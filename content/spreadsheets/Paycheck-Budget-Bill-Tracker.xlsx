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ycheck Setup" sheetId="2" state="visible" r:id="rId2"/>
    <sheet name="Bills" sheetId="3" state="visible" r:id="rId3"/>
    <sheet name="Budget Categories" sheetId="4" state="visible" r:id="rId4"/>
    <sheet name="Transaction Log" sheetId="5" state="visible" r:id="rId5"/>
    <sheet name="Instructions" sheetId="6" state="visible" r:id="rId6"/>
  </sheets>
  <definedNames>
    <definedName name="UserName">'Paycheck Setup'!$C$4</definedName>
    <definedName name="PayFrequency">'Paycheck Setup'!$C$5</definedName>
    <definedName name="PayAmount">'Paycheck Setup'!$C$6</definedName>
    <definedName name="ExtraIncome">'Paycheck Setup'!$C$7</definedName>
    <definedName name="LastPayDate">'Paycheck Setup'!$C$8</definedName>
    <definedName name="NextPayDate">'Paycheck Setup'!$C$11</definedName>
    <definedName name="PeriodStart">'Paycheck Setup'!$C$12</definedName>
    <definedName name="PeriodEnd">'Paycheck Setup'!$C$13</definedName>
    <definedName name="DaysInPeriod">'Paycheck Setup'!$C$14</definedName>
    <definedName name="TotalAvailable">'Paycheck Setup'!$C$15</definedName>
    <definedName name="TotalBillsPeriod">'Paycheck Setup'!$C$18</definedName>
    <definedName name="BillsUnpaid">'Paycheck Setup'!$C$19</definedName>
    <definedName name="PlannedSpending">'Paycheck Setup'!$C$20</definedName>
    <definedName name="ActualSpending">'Paycheck Setup'!$C$21</definedName>
    <definedName name="LeftAfterBills">'Paycheck Setup'!$C$22</definedName>
    <definedName name="LeftAfterBudget">'Paycheck Setup'!$C$23</definedName>
    <definedName name="LeftAfterActual">'Paycheck Setup'!$C$24</definedName>
    <definedName name="List_PayFreq">'Paycheck Setup'!$N$2:$N$4</definedName>
    <definedName name="List_BillFreq">'Paycheck Setup'!$N$6:$N$11</definedName>
    <definedName name="List_PaidStatus">'Paycheck Setup'!$N$13:$N$14</definedName>
    <definedName name="List_Categories">'Budget Categories'!$A$5:$A$24</definedName>
    <definedName name="TxnDates">'Transaction Log'!$A$5:$A$104</definedName>
    <definedName name="TxnCategories">'Transaction Log'!$C$5:$C$104</definedName>
    <definedName name="TxnAmounts">'Transaction Log'!$D$5:$D$104</definedName>
    <definedName name="_xlnm.Print_Area" localSheetId="0">'Dashboard'!$A$1:$L$50</definedName>
    <definedName name="_xlnm.Print_Area" localSheetId="1">'Paycheck Setup'!$A$1:$F$40</definedName>
    <definedName name="_xlnm._FilterDatabase" localSheetId="2" hidden="1">'Bills'!$A$4:$L$34</definedName>
    <definedName name="_xlnm.Print_Area" localSheetId="2">'Bills'!$A$1:$L$37</definedName>
    <definedName name="_xlnm._FilterDatabase" localSheetId="3" hidden="1">'Budget Categories'!$A$4:$G$24</definedName>
    <definedName name="_xlnm.Print_Area" localSheetId="3">'Budget Categories'!$A$1:$G$27</definedName>
    <definedName name="_xlnm._FilterDatabase" localSheetId="4" hidden="1">'Transaction Log'!$A$4:$F$104</definedName>
    <definedName name="_xlnm.Print_Area" localSheetId="4">'Transaction Log'!$A$1:$F$20</definedName>
    <definedName name="_xlnm.Print_Area" localSheetId="5">'Instructions'!$A$1:$H$58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&quot;$&quot;#,##0.0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1F2A33"/>
      <sz val="18"/>
    </font>
    <font>
      <name val="Calibri"/>
      <b val="1"/>
      <color rgb="00176257"/>
      <sz val="11"/>
    </font>
    <font>
      <name val="Calibri"/>
      <i val="1"/>
      <color rgb="005D6D7E"/>
      <sz val="8"/>
    </font>
    <font>
      <name val="Calibri"/>
      <b val="1"/>
      <color rgb="00FFFFFF"/>
      <sz val="11"/>
    </font>
    <font>
      <name val="Calibri"/>
      <color rgb="001F2A33"/>
      <sz val="10"/>
    </font>
    <font>
      <name val="Calibri"/>
      <b val="1"/>
      <color rgb="001F2A33"/>
      <sz val="10"/>
    </font>
    <font>
      <name val="Calibri"/>
      <b val="1"/>
      <color rgb="005D6D7E"/>
      <sz val="9"/>
    </font>
    <font>
      <name val="Calibri"/>
      <b val="1"/>
      <color rgb="00FFFFFF"/>
      <sz val="8"/>
    </font>
    <font>
      <name val="Calibri"/>
      <color rgb="001F2A33"/>
      <sz val="8"/>
    </font>
    <font>
      <name val="Calibri"/>
      <color rgb="001F7A6B"/>
      <sz val="10"/>
    </font>
    <font>
      <name val="Calibri"/>
      <i val="1"/>
      <color rgb="005D6D7E"/>
      <sz val="9"/>
    </font>
    <font>
      <name val="Calibri"/>
      <i val="1"/>
      <color rgb="005D6D7E"/>
      <sz val="10"/>
    </font>
    <font>
      <name val="Calibri"/>
      <b val="1"/>
      <color rgb="00FFFFFF"/>
      <sz val="12"/>
    </font>
    <font>
      <name val="Calibri"/>
      <color rgb="001F2A33"/>
      <sz val="11"/>
    </font>
    <font>
      <name val="Calibri"/>
      <b val="1"/>
      <color rgb="001F2A33"/>
      <sz val="11"/>
    </font>
    <font>
      <name val="Calibri"/>
      <color rgb="005D6D7E"/>
      <sz val="10"/>
    </font>
    <font>
      <name val="Calibri"/>
      <b val="1"/>
      <color rgb="00C0392B"/>
      <sz val="10"/>
    </font>
    <font>
      <name val="Calibri"/>
      <b val="1"/>
      <color rgb="00D68910"/>
      <sz val="10"/>
    </font>
    <font>
      <name val="Calibri"/>
      <b val="1"/>
      <color rgb="001B7A4E"/>
      <sz val="10"/>
    </font>
    <font>
      <name val="Calibri"/>
      <b val="1"/>
      <color rgb="00FFFFFF"/>
      <sz val="10"/>
    </font>
    <font>
      <name val="Calibri"/>
      <b val="1"/>
      <color rgb="00176257"/>
      <sz val="10"/>
    </font>
    <font>
      <name val="Calibri"/>
      <color rgb="005D6D7E"/>
      <sz val="9"/>
    </font>
    <font>
      <name val="Calibri"/>
      <i val="1"/>
      <color rgb="005D6D7E"/>
      <sz val="11"/>
    </font>
  </fonts>
  <fills count="1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3E59"/>
      </patternFill>
    </fill>
    <fill>
      <patternFill patternType="solid">
        <fgColor rgb="00F7F9FB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1F7A6B"/>
      </patternFill>
    </fill>
    <fill>
      <patternFill patternType="solid">
        <fgColor rgb="00E8F4FC"/>
      </patternFill>
    </fill>
    <fill>
      <patternFill patternType="solid">
        <fgColor rgb="00FDECEA"/>
      </patternFill>
    </fill>
    <fill>
      <patternFill patternType="solid">
        <fgColor rgb="00FEF5E0"/>
      </patternFill>
    </fill>
    <fill>
      <patternFill patternType="solid">
        <fgColor rgb="00E8F8F0"/>
      </patternFill>
    </fill>
    <fill>
      <patternFill patternType="solid">
        <fgColor rgb="00E8F5F2"/>
      </patternFill>
    </fill>
    <fill>
      <patternFill patternType="solid">
        <fgColor rgb="00EEF2F5"/>
      </patternFill>
    </fill>
  </fills>
  <borders count="26">
    <border>
      <left/>
      <right/>
      <top/>
      <bottom/>
      <diagonal/>
    </border>
    <border>
      <left style="thin">
        <color rgb="00D5D8DC"/>
      </left>
      <right/>
      <top style="thin">
        <color rgb="00D5D8DC"/>
      </top>
      <bottom/>
    </border>
    <border>
      <left/>
      <right/>
      <top style="thin">
        <color rgb="00D5D8DC"/>
      </top>
      <bottom/>
    </border>
    <border>
      <left/>
      <right style="thin">
        <color rgb="00D5D8DC"/>
      </right>
      <top style="thin">
        <color rgb="00D5D8DC"/>
      </top>
      <bottom/>
    </border>
    <border>
      <left style="thin">
        <color rgb="00D5D8DC"/>
      </left>
      <right/>
      <top/>
      <bottom/>
    </border>
    <border>
      <left/>
      <right/>
      <top/>
      <bottom/>
    </border>
    <border>
      <left/>
      <right style="thin">
        <color rgb="00D5D8DC"/>
      </right>
      <top/>
      <bottom/>
    </border>
    <border>
      <left style="thin">
        <color rgb="00D5D8DC"/>
      </left>
      <right/>
      <top/>
      <bottom style="thin">
        <color rgb="00D5D8DC"/>
      </bottom>
    </border>
    <border>
      <left/>
      <right/>
      <top/>
      <bottom style="thin">
        <color rgb="00D5D8DC"/>
      </bottom>
    </border>
    <border>
      <left/>
      <right style="thin">
        <color rgb="00D5D8DC"/>
      </right>
      <top/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dashed">
        <color rgb="00B0B8C1"/>
      </left>
      <right style="dashed">
        <color rgb="00B0B8C1"/>
      </right>
      <top style="dashed">
        <color rgb="00B0B8C1"/>
      </top>
      <bottom style="dashed">
        <color rgb="00B0B8C1"/>
      </bottom>
    </border>
    <border>
      <left/>
      <right/>
      <top style="thin">
        <color rgb="00D5D8DC"/>
      </top>
      <bottom style="thin">
        <color rgb="00D5D8DC"/>
      </bottom>
      <diagonal/>
    </border>
    <border>
      <left style="thin">
        <color rgb="00D5D8DC"/>
      </left>
      <right style="thin">
        <color rgb="00D5D8DC"/>
      </right>
      <top/>
      <bottom/>
    </border>
    <border>
      <left/>
      <right style="thin">
        <color rgb="00D5D8DC"/>
      </right>
      <top/>
      <bottom/>
      <diagonal/>
    </border>
    <border>
      <left style="thin">
        <color rgb="00D5D8DC"/>
      </left>
      <right style="thin">
        <color rgb="00D5D8DC"/>
      </right>
      <top/>
      <bottom style="thin">
        <color rgb="00D5D8DC"/>
      </bottom>
    </border>
    <border>
      <left/>
      <right/>
      <top/>
      <bottom style="thin">
        <color rgb="00D5D8DC"/>
      </bottom>
      <diagonal/>
    </border>
    <border>
      <left/>
      <right style="thin">
        <color rgb="00D5D8DC"/>
      </right>
      <top/>
      <bottom style="thin">
        <color rgb="00D5D8DC"/>
      </bottom>
      <diagonal/>
    </border>
    <border>
      <left style="thin">
        <color rgb="00D5D8DC"/>
      </left>
      <right style="thin">
        <color rgb="00D5D8DC"/>
      </right>
      <top style="thin">
        <color rgb="00D5D8DC"/>
      </top>
      <bottom/>
    </border>
    <border>
      <left/>
      <right/>
      <top style="dashed">
        <color rgb="00B0B8C1"/>
      </top>
      <bottom/>
      <diagonal/>
    </border>
    <border>
      <left/>
      <right style="dashed">
        <color rgb="00B0B8C1"/>
      </right>
      <top style="dashed">
        <color rgb="00B0B8C1"/>
      </top>
      <bottom/>
      <diagonal/>
    </border>
    <border>
      <left/>
      <right/>
      <top style="dashed">
        <color rgb="00B0B8C1"/>
      </top>
      <bottom style="dashed">
        <color rgb="00B0B8C1"/>
      </bottom>
      <diagonal/>
    </border>
    <border>
      <left/>
      <right style="dashed">
        <color rgb="00B0B8C1"/>
      </right>
      <top style="dashed">
        <color rgb="00B0B8C1"/>
      </top>
      <bottom style="dashed">
        <color rgb="00B0B8C1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165" fontId="5" fillId="5" borderId="4" applyAlignment="1" pivotButton="0" quotePrefix="0" xfId="0">
      <alignment horizontal="center" vertical="center"/>
    </xf>
    <xf numFmtId="165" fontId="6" fillId="5" borderId="4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5" borderId="10" applyAlignment="1" pivotButton="0" quotePrefix="0" xfId="0">
      <alignment horizontal="left" vertical="center"/>
    </xf>
    <xf numFmtId="165" fontId="10" fillId="6" borderId="10" applyAlignment="1" pivotButton="0" quotePrefix="0" xfId="0">
      <alignment horizontal="right" vertical="center"/>
    </xf>
    <xf numFmtId="0" fontId="10" fillId="6" borderId="10" applyAlignment="1" pivotButton="0" quotePrefix="0" xfId="0">
      <alignment horizontal="right" vertical="center"/>
    </xf>
    <xf numFmtId="0" fontId="4" fillId="3" borderId="10" applyAlignment="1" pivotButton="0" quotePrefix="0" xfId="0">
      <alignment horizontal="center" vertical="center"/>
    </xf>
    <xf numFmtId="164" fontId="9" fillId="5" borderId="10" applyAlignment="1" pivotButton="0" quotePrefix="0" xfId="0">
      <alignment horizontal="center" vertical="center"/>
    </xf>
    <xf numFmtId="165" fontId="9" fillId="5" borderId="10" applyAlignment="1" pivotButton="0" quotePrefix="0" xfId="0">
      <alignment horizontal="right" vertical="center"/>
    </xf>
    <xf numFmtId="0" fontId="9" fillId="5" borderId="10" applyAlignment="1" pivotButton="0" quotePrefix="0" xfId="0">
      <alignment horizontal="center" vertical="center"/>
    </xf>
    <xf numFmtId="9" fontId="10" fillId="6" borderId="1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wrapText="1"/>
    </xf>
    <xf numFmtId="0" fontId="9" fillId="5" borderId="10" pivotButton="0" quotePrefix="0" xfId="0"/>
    <xf numFmtId="9" fontId="9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left" vertical="center"/>
    </xf>
    <xf numFmtId="0" fontId="10" fillId="5" borderId="1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2" fillId="2" borderId="10" pivotButton="0" quotePrefix="0" xfId="0"/>
    <xf numFmtId="49" fontId="13" fillId="6" borderId="10" pivotButton="0" quotePrefix="0" xfId="0"/>
    <xf numFmtId="165" fontId="13" fillId="6" borderId="10" pivotButton="0" quotePrefix="0" xfId="0"/>
    <xf numFmtId="0" fontId="24" fillId="2" borderId="0" applyAlignment="1" applyProtection="1" pivotButton="0" quotePrefix="0" xfId="0">
      <alignment horizontal="left" vertical="center"/>
      <protection locked="0" hidden="0"/>
    </xf>
    <xf numFmtId="0" fontId="7" fillId="4" borderId="0" pivotButton="0" quotePrefix="0" xfId="0"/>
    <xf numFmtId="0" fontId="16" fillId="4" borderId="0" applyAlignment="1" pivotButton="0" quotePrefix="0" xfId="0">
      <alignment horizontal="left" vertical="center"/>
    </xf>
    <xf numFmtId="0" fontId="9" fillId="8" borderId="10" applyProtection="1" pivotButton="0" quotePrefix="0" xfId="0">
      <protection locked="0" hidden="0"/>
    </xf>
    <xf numFmtId="0" fontId="7" fillId="0" borderId="0" pivotButton="0" quotePrefix="0" xfId="0"/>
    <xf numFmtId="0" fontId="17" fillId="2" borderId="0" applyAlignment="1" pivotButton="0" quotePrefix="0" xfId="0">
      <alignment horizontal="left" vertical="center"/>
    </xf>
    <xf numFmtId="0" fontId="18" fillId="5" borderId="10" applyAlignment="1" pivotButton="0" quotePrefix="0" xfId="0">
      <alignment horizontal="left" vertical="center"/>
    </xf>
    <xf numFmtId="0" fontId="19" fillId="8" borderId="10" applyAlignment="1" applyProtection="1" pivotButton="0" quotePrefix="0" xfId="0">
      <alignment horizontal="left" vertical="center"/>
      <protection locked="0" hidden="0"/>
    </xf>
    <xf numFmtId="0" fontId="15" fillId="4" borderId="0" pivotButton="0" quotePrefix="0" xfId="0"/>
    <xf numFmtId="165" fontId="19" fillId="8" borderId="10" applyAlignment="1" applyProtection="1" pivotButton="0" quotePrefix="0" xfId="0">
      <alignment horizontal="left" vertical="center"/>
      <protection locked="0" hidden="0"/>
    </xf>
    <xf numFmtId="164" fontId="19" fillId="8" borderId="10" applyAlignment="1" applyProtection="1" pivotButton="0" quotePrefix="0" xfId="0">
      <alignment horizontal="left" vertical="center"/>
      <protection locked="0" hidden="0"/>
    </xf>
    <xf numFmtId="0" fontId="17" fillId="7" borderId="0" applyAlignment="1" pivotButton="0" quotePrefix="0" xfId="0">
      <alignment horizontal="left" vertical="center"/>
    </xf>
    <xf numFmtId="164" fontId="19" fillId="6" borderId="10" applyAlignment="1" pivotButton="0" quotePrefix="0" xfId="0">
      <alignment horizontal="left" vertical="center"/>
    </xf>
    <xf numFmtId="1" fontId="19" fillId="6" borderId="10" applyAlignment="1" pivotButton="0" quotePrefix="0" xfId="0">
      <alignment horizontal="left" vertical="center"/>
    </xf>
    <xf numFmtId="165" fontId="19" fillId="6" borderId="10" applyAlignment="1" pivotButton="0" quotePrefix="0" xfId="0">
      <alignment horizontal="left" vertical="center"/>
    </xf>
    <xf numFmtId="9" fontId="19" fillId="6" borderId="10" applyAlignment="1" pivotButton="0" quotePrefix="0" xfId="0">
      <alignment horizontal="left" vertical="center"/>
    </xf>
    <xf numFmtId="0" fontId="18" fillId="5" borderId="10" applyAlignment="1" applyProtection="1" pivotButton="0" quotePrefix="0" xfId="0">
      <alignment horizontal="left" vertical="center"/>
      <protection locked="0" hidden="0"/>
    </xf>
    <xf numFmtId="0" fontId="10" fillId="8" borderId="10" applyAlignment="1" pivotButton="0" quotePrefix="0" xfId="0">
      <alignment horizontal="center" vertical="center"/>
    </xf>
    <xf numFmtId="0" fontId="20" fillId="4" borderId="0" pivotButton="0" quotePrefix="0" xfId="0"/>
    <xf numFmtId="0" fontId="10" fillId="6" borderId="10" applyAlignment="1" pivotButton="0" quotePrefix="0" xfId="0">
      <alignment horizontal="center" vertical="center"/>
    </xf>
    <xf numFmtId="0" fontId="21" fillId="9" borderId="10" applyAlignment="1" pivotButton="0" quotePrefix="0" xfId="0">
      <alignment horizontal="center" vertical="center"/>
    </xf>
    <xf numFmtId="0" fontId="22" fillId="10" borderId="10" applyAlignment="1" pivotButton="0" quotePrefix="0" xfId="0">
      <alignment horizontal="center" vertical="center"/>
    </xf>
    <xf numFmtId="0" fontId="23" fillId="11" borderId="1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25" fillId="12" borderId="0" applyAlignment="1" pivotButton="0" quotePrefix="0" xfId="0">
      <alignment horizontal="left" vertical="center"/>
    </xf>
    <xf numFmtId="0" fontId="24" fillId="2" borderId="10" applyAlignment="1" pivotButton="0" quotePrefix="0" xfId="0">
      <alignment horizontal="center" vertical="center" wrapText="1"/>
    </xf>
    <xf numFmtId="165" fontId="9" fillId="8" borderId="10" applyAlignment="1" applyProtection="1" pivotButton="0" quotePrefix="0" xfId="0">
      <alignment horizontal="right" vertical="center"/>
      <protection locked="0" hidden="0"/>
    </xf>
    <xf numFmtId="164" fontId="9" fillId="8" borderId="10" applyProtection="1" pivotButton="0" quotePrefix="0" xfId="0">
      <protection locked="0" hidden="0"/>
    </xf>
    <xf numFmtId="0" fontId="9" fillId="8" borderId="10" applyAlignment="1" applyProtection="1" pivotButton="0" quotePrefix="0" xfId="0">
      <alignment horizontal="center" vertical="center"/>
      <protection locked="0" hidden="0"/>
    </xf>
    <xf numFmtId="164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26" fillId="6" borderId="0" pivotButton="0" quotePrefix="0" xfId="0"/>
    <xf numFmtId="0" fontId="24" fillId="7" borderId="10" pivotButton="0" quotePrefix="0" xfId="0"/>
    <xf numFmtId="0" fontId="0" fillId="7" borderId="10" pivotButton="0" quotePrefix="0" xfId="0"/>
    <xf numFmtId="165" fontId="24" fillId="7" borderId="10" pivotButton="0" quotePrefix="0" xfId="0"/>
    <xf numFmtId="165" fontId="9" fillId="6" borderId="10" applyAlignment="1" pivotButton="0" quotePrefix="0" xfId="0">
      <alignment horizontal="right" vertical="center"/>
    </xf>
    <xf numFmtId="9" fontId="9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left" vertical="center"/>
    </xf>
    <xf numFmtId="9" fontId="24" fillId="7" borderId="10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1" fillId="2" borderId="0" applyAlignment="1" applyProtection="1" pivotButton="0" quotePrefix="0" xfId="0">
      <alignment horizontal="left" vertical="center"/>
      <protection locked="0" hidden="0"/>
    </xf>
    <xf numFmtId="0" fontId="0" fillId="4" borderId="0" applyProtection="1" pivotButton="0" quotePrefix="0" xfId="0">
      <protection locked="0" hidden="0"/>
    </xf>
    <xf numFmtId="0" fontId="16" fillId="4" borderId="0" applyProtection="1" pivotButton="0" quotePrefix="0" xfId="0">
      <protection locked="0" hidden="0"/>
    </xf>
    <xf numFmtId="0" fontId="17" fillId="2" borderId="0" applyAlignment="1" applyProtection="1" pivotButton="0" quotePrefix="0" xfId="0">
      <alignment horizontal="left" vertical="center"/>
      <protection locked="0" hidden="0"/>
    </xf>
    <xf numFmtId="0" fontId="18" fillId="5" borderId="10" applyAlignment="1" applyProtection="1" pivotButton="0" quotePrefix="0" xfId="0">
      <alignment horizontal="left" vertical="center" wrapText="1"/>
      <protection locked="0" hidden="0"/>
    </xf>
    <xf numFmtId="0" fontId="27" fillId="13" borderId="14" applyAlignment="1" applyProtection="1" pivotButton="0" quotePrefix="0" xfId="0">
      <alignment horizontal="center" vertical="center" wrapText="1"/>
      <protection locked="0" hidden="0"/>
    </xf>
    <xf numFmtId="0" fontId="16" fillId="4" borderId="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7" borderId="21" applyAlignment="1" pivotButton="0" quotePrefix="0" xfId="0">
      <alignment horizontal="center" vertical="center"/>
    </xf>
    <xf numFmtId="164" fontId="5" fillId="5" borderId="16" applyAlignment="1" pivotButton="0" quotePrefix="0" xfId="0">
      <alignment horizontal="center" vertical="center"/>
    </xf>
    <xf numFmtId="0" fontId="0" fillId="0" borderId="17" pivotButton="0" quotePrefix="0" xfId="0"/>
    <xf numFmtId="165" fontId="5" fillId="5" borderId="16" applyAlignment="1" pivotButton="0" quotePrefix="0" xfId="0">
      <alignment horizontal="center" vertical="center"/>
    </xf>
    <xf numFmtId="165" fontId="6" fillId="5" borderId="16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7" fillId="6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name val="Calibri"/>
        <b val="1"/>
        <color rgb="00C0392B"/>
        <sz val="18"/>
      </font>
      <fill>
        <patternFill patternType="solid">
          <fgColor rgb="00FDECEA"/>
        </patternFill>
      </fill>
    </dxf>
    <dxf>
      <font>
        <name val="Calibri"/>
        <b val="1"/>
        <color rgb="00C0392B"/>
        <sz val="10"/>
      </font>
      <fill>
        <patternFill patternType="solid">
          <fgColor rgb="00FDECEA"/>
        </patternFill>
      </fill>
    </dxf>
    <dxf>
      <font>
        <name val="Calibri"/>
        <b val="1"/>
        <color rgb="001B7A4E"/>
        <sz val="10"/>
      </font>
      <fill>
        <patternFill patternType="solid">
          <fgColor rgb="00E8F8F0"/>
        </patternFill>
      </fill>
    </dxf>
    <dxf>
      <font>
        <name val="Calibri"/>
        <color rgb="00C0392B"/>
        <sz val="10"/>
      </font>
      <fill>
        <patternFill patternType="solid">
          <fgColor rgb="00FDECEA"/>
        </patternFill>
      </fill>
    </dxf>
    <dxf>
      <font>
        <name val="Calibri"/>
        <color rgb="00D68910"/>
        <sz val="10"/>
      </font>
      <fill>
        <patternFill patternType="solid">
          <fgColor rgb="00FEF5E0"/>
        </patternFill>
      </fill>
    </dxf>
    <dxf>
      <font>
        <name val="Calibri"/>
        <color rgb="001B7A4E"/>
        <sz val="10"/>
      </font>
      <fill>
        <patternFill patternType="solid">
          <fgColor rgb="00E8F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'Dashboard'!B53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4F72"/>
              </a:solidFill>
              <a:ln>
                <a:prstDash val="solid"/>
              </a:ln>
            </spPr>
          </dPt>
          <dPt>
            <idx val="1"/>
            <spPr>
              <a:solidFill>
                <a:srgbClr val="1F7A6B"/>
              </a:solidFill>
              <a:ln>
                <a:prstDash val="solid"/>
              </a:ln>
            </spPr>
          </dPt>
          <dPt>
            <idx val="2"/>
            <spPr>
              <a:solidFill>
                <a:srgbClr val="3D7EAA"/>
              </a:solidFill>
              <a:ln>
                <a:prstDash val="solid"/>
              </a:ln>
            </spPr>
          </dPt>
          <dPt>
            <idx val="3"/>
            <spPr>
              <a:solidFill>
                <a:srgbClr val="D68910"/>
              </a:solidFill>
              <a:ln>
                <a:prstDash val="solid"/>
              </a:ln>
            </spPr>
          </dPt>
          <dPt>
            <idx val="4"/>
            <spPr>
              <a:solidFill>
                <a:srgbClr val="7F8C8D"/>
              </a:solidFill>
              <a:ln>
                <a:prstDash val="solid"/>
              </a:ln>
            </spPr>
          </dPt>
          <dPt>
            <idx val="5"/>
            <spPr>
              <a:solidFill>
                <a:srgbClr val="5D6D7E"/>
              </a:solidFill>
              <a:ln>
                <a:prstDash val="solid"/>
              </a:ln>
            </spPr>
          </dPt>
          <dPt>
            <idx val="6"/>
            <spPr>
              <a:solidFill>
                <a:srgbClr val="176257"/>
              </a:solidFill>
              <a:ln>
                <a:prstDash val="solid"/>
              </a:ln>
            </spPr>
          </dPt>
          <dPt>
            <idx val="7"/>
            <spPr>
              <a:solidFill>
                <a:srgbClr val="6B8F71"/>
              </a:solidFill>
              <a:ln>
                <a:prstDash val="solid"/>
              </a:ln>
            </spPr>
          </dPt>
          <cat>
            <numRef>
              <f>'Dashboard'!$A$54:$A$65</f>
            </numRef>
          </cat>
          <val>
            <numRef>
              <f>'Dashboard'!$B$54:$B$65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'Dashboard'!C53</f>
            </strRef>
          </tx>
          <spPr>
            <a:solidFill>
              <a:srgbClr val="1B4F72"/>
            </a:solidFill>
            <a:ln>
              <a:prstDash val="solid"/>
            </a:ln>
          </spPr>
          <cat>
            <numRef>
              <f>'Dashboard'!$A$54:$A$65</f>
            </numRef>
          </cat>
          <val>
            <numRef>
              <f>'Dashboard'!$C$54:$C$65</f>
            </numRef>
          </val>
        </ser>
        <ser>
          <idx val="1"/>
          <order val="1"/>
          <tx>
            <strRef>
              <f>'Dashboard'!D53</f>
            </strRef>
          </tx>
          <spPr>
            <a:solidFill>
              <a:srgbClr val="1F7A6B"/>
            </a:solidFill>
            <a:ln>
              <a:prstDash val="solid"/>
            </a:ln>
          </spPr>
          <cat>
            <numRef>
              <f>'Dashboard'!$A$54:$A$65</f>
            </numRef>
          </cat>
          <val>
            <numRef>
              <f>'Dashboard'!$D$54:$D$65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Paycheck Budget</author>
  </authors>
  <commentList>
    <comment ref="C4" authorId="0" shapeId="0">
      <text>
        <t>Shown on the Dashboard greeting.</t>
      </text>
    </comment>
    <comment ref="C5" authorId="0" shapeId="0">
      <text>
        <t>Weekly, Bi-Weekly (every 2 weeks), or Monthly.</t>
      </text>
    </comment>
    <comment ref="C6" authorId="0" shapeId="0">
      <text>
        <t>Take-home pay after taxes and deductions — not your gross salary.</t>
      </text>
    </comment>
    <comment ref="C7" authorId="0" shapeId="0">
      <text>
        <t>Optional. Side jobs, reimbursements, or any extra money this period. Use 0 if none.</t>
      </text>
    </comment>
    <comment ref="C8" authorId="0" shapeId="0">
      <text>
        <t>The date you received this paycheck. This is the start of the period.</t>
      </text>
    </comment>
  </commentList>
</comments>
</file>

<file path=xl/comments/comment2.xml><?xml version="1.0" encoding="utf-8"?>
<comments xmlns="http://schemas.openxmlformats.org/spreadsheetml/2006/main">
  <authors>
    <author>Paycheck Budget</author>
  </authors>
  <commentList>
    <comment ref="G4" authorId="0" shapeId="0">
      <text>
        <t>Optional override. Enter a dollar amount to assign part (or all) of this bill to this paycheck even if the due date falls outside the period. Example: put $600 of a $1,200 rent bill on this check.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4" customWidth="1" min="10" max="10"/>
    <col width="13" customWidth="1" min="11" max="11"/>
    <col width="14" customWidth="1" min="12" max="12"/>
    <col width="16" customWidth="1" min="14" max="14"/>
    <col width="16" customWidth="1" min="15" max="15"/>
    <col width="16" customWidth="1" min="16" max="16"/>
    <col width="16" customWidth="1" min="17" max="17"/>
  </cols>
  <sheetData>
    <row r="1" ht="32" customHeight="1">
      <c r="A1" s="1" t="inlineStr">
        <is>
          <t>Paycheck Budget + Bill Tracker</t>
        </is>
      </c>
    </row>
    <row r="2" ht="20" customHeight="1">
      <c r="A2" s="2">
        <f>IF(UserName="","Your paycheck overview","Hello, "&amp;UserName)&amp;IF(OR(PeriodStart="",PeriodEnd=""),"  ·  Set your pay date on Paycheck Setup","  ·  "&amp;TEXT(PeriodStart,"mmm d")&amp;" – "&amp;TEXT(PeriodEnd,"mmm d, yyyy")&amp;"  ·  "&amp;PayFrequency)</f>
        <v/>
      </c>
      <c r="I2" s="3">
        <f>"As of "&amp;TEXT(TODAY(),"mmm d, yyyy")</f>
        <v/>
      </c>
    </row>
    <row r="3" ht="10" customHeight="1">
      <c r="A3" s="4" t="n"/>
    </row>
    <row r="4" ht="20" customHeight="1">
      <c r="A4" s="88" t="inlineStr">
        <is>
          <t>NEXT PAYCHECK</t>
        </is>
      </c>
      <c r="B4" s="89" t="n"/>
      <c r="C4" s="90" t="n"/>
      <c r="D4" s="88" t="inlineStr">
        <is>
          <t>BILLS THIS PERIOD</t>
        </is>
      </c>
      <c r="E4" s="89" t="n"/>
      <c r="F4" s="90" t="n"/>
      <c r="G4" s="91" t="inlineStr">
        <is>
          <t>LEFT AFTER BILLS</t>
        </is>
      </c>
      <c r="H4" s="89" t="n"/>
      <c r="I4" s="90" t="n"/>
      <c r="J4" s="91" t="inlineStr">
        <is>
          <t>LEFT AFTER BILLS + BUDGET</t>
        </is>
      </c>
      <c r="K4" s="89" t="n"/>
      <c r="L4" s="90" t="n"/>
    </row>
    <row r="5" ht="28" customHeight="1">
      <c r="A5" s="92">
        <f>NextPayDate</f>
        <v/>
      </c>
      <c r="C5" s="93" t="n"/>
      <c r="D5" s="94">
        <f>TotalBillsPeriod</f>
        <v/>
      </c>
      <c r="F5" s="93" t="n"/>
      <c r="G5" s="94">
        <f>LeftAfterBills</f>
        <v/>
      </c>
      <c r="I5" s="93" t="n"/>
      <c r="J5" s="94">
        <f>LeftAfterBudget</f>
        <v/>
      </c>
      <c r="L5" s="93" t="n"/>
    </row>
    <row r="6" ht="20" customHeight="1">
      <c r="A6" s="95">
        <f>PayAmount</f>
        <v/>
      </c>
      <c r="C6" s="93" t="n"/>
      <c r="D6" s="96">
        <f>IF(N(BillsUnpaid)&lt;=0,"All paid","Unpaid  "&amp;TEXT(BillsUnpaid,"$#,##0.00"))</f>
        <v/>
      </c>
      <c r="F6" s="93" t="n"/>
      <c r="G6" s="96">
        <f>"Available  "&amp;TEXT(TotalAvailable,"$#,##0.00")</f>
        <v/>
      </c>
      <c r="I6" s="93" t="n"/>
      <c r="J6" s="96">
        <f>"If you stick to the plan"</f>
        <v/>
      </c>
      <c r="L6" s="93" t="n"/>
    </row>
    <row r="7" ht="18" customHeight="1">
      <c r="A7" s="97" t="inlineStr">
        <is>
          <t>Primary take-home on that day</t>
        </is>
      </c>
      <c r="B7" s="98" t="n"/>
      <c r="C7" s="99" t="n"/>
      <c r="D7" s="97" t="inlineStr">
        <is>
          <t>Due in this paycheck window</t>
        </is>
      </c>
      <c r="E7" s="98" t="n"/>
      <c r="F7" s="99" t="n"/>
      <c r="G7" s="97" t="inlineStr">
        <is>
          <t>Pay + extra − bills</t>
        </is>
      </c>
      <c r="H7" s="98" t="n"/>
      <c r="I7" s="99" t="n"/>
      <c r="J7" s="97" t="inlineStr">
        <is>
          <t>True leftover / unallocated</t>
        </is>
      </c>
      <c r="K7" s="98" t="n"/>
      <c r="L7" s="99" t="n"/>
    </row>
    <row r="8" ht="10" customHeight="1">
      <c r="A8" s="4" t="n"/>
    </row>
    <row r="9">
      <c r="A9" s="22" t="inlineStr">
        <is>
          <t>THIS PAYCHECK AT A GLANCE</t>
        </is>
      </c>
      <c r="F9" s="4" t="n"/>
      <c r="G9" s="22" t="inlineStr">
        <is>
          <t>BILLS DUE THIS PERIOD</t>
        </is>
      </c>
    </row>
    <row r="10" ht="18" customHeight="1">
      <c r="A10" s="23" t="inlineStr">
        <is>
          <t>Total available (pay + extra)</t>
        </is>
      </c>
      <c r="B10" s="100" t="n"/>
      <c r="C10" s="101" t="n"/>
      <c r="D10" s="24">
        <f>TotalAvailable</f>
        <v/>
      </c>
      <c r="E10" s="101" t="n"/>
      <c r="F10" s="4" t="n"/>
      <c r="G10" s="26" t="inlineStr">
        <is>
          <t>Bill</t>
        </is>
      </c>
      <c r="H10" s="101" t="n"/>
      <c r="I10" s="26" t="inlineStr">
        <is>
          <t>Due</t>
        </is>
      </c>
      <c r="J10" s="26" t="inlineStr">
        <is>
          <t>Amount</t>
        </is>
      </c>
      <c r="K10" s="26" t="inlineStr">
        <is>
          <t>Status</t>
        </is>
      </c>
      <c r="L10" s="101" t="n"/>
    </row>
    <row r="11" ht="18" customHeight="1">
      <c r="A11" s="23" t="inlineStr">
        <is>
          <t>Bills due this period</t>
        </is>
      </c>
      <c r="B11" s="100" t="n"/>
      <c r="C11" s="101" t="n"/>
      <c r="D11" s="24">
        <f>TotalBillsPeriod</f>
        <v/>
      </c>
      <c r="E11" s="101" t="n"/>
      <c r="F11" s="4" t="n"/>
      <c r="G11" s="23">
        <f>IFERROR(INDEX(Bills!$A$5:$A$34,MATCH(1,Bills!$M$5:$M$34,0)),"")</f>
        <v/>
      </c>
      <c r="H11" s="101" t="n"/>
      <c r="I11" s="27">
        <f>IF(G11="","",IFERROR(INDEX(Bills!$H$5:$H$34,MATCH(1,Bills!$M$5:$M$34,0)),""))</f>
        <v/>
      </c>
      <c r="J11" s="28">
        <f>IF(G11="","",IFERROR(INDEX(Bills!$J$5:$J$34,MATCH(1,Bills!$M$5:$M$34,0)),""))</f>
        <v/>
      </c>
      <c r="K11" s="29">
        <f>IF(G11="","",IFERROR(INDEX(Bills!$L$5:$L$34,MATCH(1,Bills!$M$5:$M$34,0)),""))</f>
        <v/>
      </c>
      <c r="L11" s="101" t="n"/>
    </row>
    <row r="12" ht="18" customHeight="1">
      <c r="A12" s="23" t="inlineStr">
        <is>
          <t>Left after bills</t>
        </is>
      </c>
      <c r="B12" s="100" t="n"/>
      <c r="C12" s="101" t="n"/>
      <c r="D12" s="24">
        <f>LeftAfterBills</f>
        <v/>
      </c>
      <c r="E12" s="101" t="n"/>
      <c r="F12" s="4" t="n"/>
      <c r="G12" s="23">
        <f>IFERROR(INDEX(Bills!$A$5:$A$34,MATCH(2,Bills!$M$5:$M$34,0)),"")</f>
        <v/>
      </c>
      <c r="H12" s="101" t="n"/>
      <c r="I12" s="27">
        <f>IF(G12="","",IFERROR(INDEX(Bills!$H$5:$H$34,MATCH(2,Bills!$M$5:$M$34,0)),""))</f>
        <v/>
      </c>
      <c r="J12" s="28">
        <f>IF(G12="","",IFERROR(INDEX(Bills!$J$5:$J$34,MATCH(2,Bills!$M$5:$M$34,0)),""))</f>
        <v/>
      </c>
      <c r="K12" s="29">
        <f>IF(G12="","",IFERROR(INDEX(Bills!$L$5:$L$34,MATCH(2,Bills!$M$5:$M$34,0)),""))</f>
        <v/>
      </c>
      <c r="L12" s="101" t="n"/>
    </row>
    <row r="13" ht="18" customHeight="1">
      <c r="A13" s="23" t="inlineStr">
        <is>
          <t>Planned category spending</t>
        </is>
      </c>
      <c r="B13" s="100" t="n"/>
      <c r="C13" s="101" t="n"/>
      <c r="D13" s="24">
        <f>PlannedSpending</f>
        <v/>
      </c>
      <c r="E13" s="101" t="n"/>
      <c r="F13" s="4" t="n"/>
      <c r="G13" s="23">
        <f>IFERROR(INDEX(Bills!$A$5:$A$34,MATCH(3,Bills!$M$5:$M$34,0)),"")</f>
        <v/>
      </c>
      <c r="H13" s="101" t="n"/>
      <c r="I13" s="27">
        <f>IF(G13="","",IFERROR(INDEX(Bills!$H$5:$H$34,MATCH(3,Bills!$M$5:$M$34,0)),""))</f>
        <v/>
      </c>
      <c r="J13" s="28">
        <f>IF(G13="","",IFERROR(INDEX(Bills!$J$5:$J$34,MATCH(3,Bills!$M$5:$M$34,0)),""))</f>
        <v/>
      </c>
      <c r="K13" s="29">
        <f>IF(G13="","",IFERROR(INDEX(Bills!$L$5:$L$34,MATCH(3,Bills!$M$5:$M$34,0)),""))</f>
        <v/>
      </c>
      <c r="L13" s="101" t="n"/>
    </row>
    <row r="14" ht="18" customHeight="1">
      <c r="A14" s="23" t="inlineStr">
        <is>
          <t>Actual spending so far</t>
        </is>
      </c>
      <c r="B14" s="100" t="n"/>
      <c r="C14" s="101" t="n"/>
      <c r="D14" s="24">
        <f>ActualSpending</f>
        <v/>
      </c>
      <c r="E14" s="101" t="n"/>
      <c r="F14" s="4" t="n"/>
      <c r="G14" s="23">
        <f>IFERROR(INDEX(Bills!$A$5:$A$34,MATCH(4,Bills!$M$5:$M$34,0)),"")</f>
        <v/>
      </c>
      <c r="H14" s="101" t="n"/>
      <c r="I14" s="27">
        <f>IF(G14="","",IFERROR(INDEX(Bills!$H$5:$H$34,MATCH(4,Bills!$M$5:$M$34,0)),""))</f>
        <v/>
      </c>
      <c r="J14" s="28">
        <f>IF(G14="","",IFERROR(INDEX(Bills!$J$5:$J$34,MATCH(4,Bills!$M$5:$M$34,0)),""))</f>
        <v/>
      </c>
      <c r="K14" s="29">
        <f>IF(G14="","",IFERROR(INDEX(Bills!$L$5:$L$34,MATCH(4,Bills!$M$5:$M$34,0)),""))</f>
        <v/>
      </c>
      <c r="L14" s="101" t="n"/>
    </row>
    <row r="15" ht="18" customHeight="1">
      <c r="A15" s="23" t="inlineStr">
        <is>
          <t>Left after bills + budget</t>
        </is>
      </c>
      <c r="B15" s="100" t="n"/>
      <c r="C15" s="101" t="n"/>
      <c r="D15" s="24">
        <f>LeftAfterBudget</f>
        <v/>
      </c>
      <c r="E15" s="101" t="n"/>
      <c r="F15" s="4" t="n"/>
      <c r="G15" s="23">
        <f>IFERROR(INDEX(Bills!$A$5:$A$34,MATCH(5,Bills!$M$5:$M$34,0)),"")</f>
        <v/>
      </c>
      <c r="H15" s="101" t="n"/>
      <c r="I15" s="27">
        <f>IF(G15="","",IFERROR(INDEX(Bills!$H$5:$H$34,MATCH(5,Bills!$M$5:$M$34,0)),""))</f>
        <v/>
      </c>
      <c r="J15" s="28">
        <f>IF(G15="","",IFERROR(INDEX(Bills!$J$5:$J$34,MATCH(5,Bills!$M$5:$M$34,0)),""))</f>
        <v/>
      </c>
      <c r="K15" s="29">
        <f>IF(G15="","",IFERROR(INDEX(Bills!$L$5:$L$34,MATCH(5,Bills!$M$5:$M$34,0)),""))</f>
        <v/>
      </c>
      <c r="L15" s="101" t="n"/>
    </row>
    <row r="16" ht="18" customHeight="1">
      <c r="A16" s="23" t="inlineStr">
        <is>
          <t>Left after actual spending</t>
        </is>
      </c>
      <c r="B16" s="100" t="n"/>
      <c r="C16" s="101" t="n"/>
      <c r="D16" s="24">
        <f>LeftAfterActual</f>
        <v/>
      </c>
      <c r="E16" s="101" t="n"/>
      <c r="F16" s="4" t="n"/>
      <c r="G16" s="23">
        <f>IFERROR(INDEX(Bills!$A$5:$A$34,MATCH(6,Bills!$M$5:$M$34,0)),"")</f>
        <v/>
      </c>
      <c r="H16" s="101" t="n"/>
      <c r="I16" s="27">
        <f>IF(G16="","",IFERROR(INDEX(Bills!$H$5:$H$34,MATCH(6,Bills!$M$5:$M$34,0)),""))</f>
        <v/>
      </c>
      <c r="J16" s="28">
        <f>IF(G16="","",IFERROR(INDEX(Bills!$J$5:$J$34,MATCH(6,Bills!$M$5:$M$34,0)),""))</f>
        <v/>
      </c>
      <c r="K16" s="29">
        <f>IF(G16="","",IFERROR(INDEX(Bills!$L$5:$L$34,MATCH(6,Bills!$M$5:$M$34,0)),""))</f>
        <v/>
      </c>
      <c r="L16" s="101" t="n"/>
    </row>
    <row r="17" ht="18" customHeight="1">
      <c r="A17" s="23" t="inlineStr">
        <is>
          <t>Category budget used</t>
        </is>
      </c>
      <c r="B17" s="100" t="n"/>
      <c r="C17" s="101" t="n"/>
      <c r="D17" s="30">
        <f>IF(PlannedSpending=0,"",ActualSpending/PlannedSpending)</f>
        <v/>
      </c>
      <c r="E17" s="101" t="n"/>
      <c r="F17" s="4" t="n"/>
      <c r="G17" s="23">
        <f>IFERROR(INDEX(Bills!$A$5:$A$34,MATCH(7,Bills!$M$5:$M$34,0)),"")</f>
        <v/>
      </c>
      <c r="H17" s="101" t="n"/>
      <c r="I17" s="27">
        <f>IF(G17="","",IFERROR(INDEX(Bills!$H$5:$H$34,MATCH(7,Bills!$M$5:$M$34,0)),""))</f>
        <v/>
      </c>
      <c r="J17" s="28">
        <f>IF(G17="","",IFERROR(INDEX(Bills!$J$5:$J$34,MATCH(7,Bills!$M$5:$M$34,0)),""))</f>
        <v/>
      </c>
      <c r="K17" s="29">
        <f>IF(G17="","",IFERROR(INDEX(Bills!$L$5:$L$34,MATCH(7,Bills!$M$5:$M$34,0)),""))</f>
        <v/>
      </c>
      <c r="L17" s="101" t="n"/>
    </row>
    <row r="18" ht="18" customHeight="1">
      <c r="A18" s="31" t="inlineStr">
        <is>
          <t>Bills are reserved even if unpaid. Change pay info on Paycheck Setup.</t>
        </is>
      </c>
      <c r="F18" s="4" t="n"/>
      <c r="G18" s="23">
        <f>IFERROR(INDEX(Bills!$A$5:$A$34,MATCH(8,Bills!$M$5:$M$34,0)),"")</f>
        <v/>
      </c>
      <c r="H18" s="101" t="n"/>
      <c r="I18" s="27">
        <f>IF(G18="","",IFERROR(INDEX(Bills!$H$5:$H$34,MATCH(8,Bills!$M$5:$M$34,0)),""))</f>
        <v/>
      </c>
      <c r="J18" s="28">
        <f>IF(G18="","",IFERROR(INDEX(Bills!$J$5:$J$34,MATCH(8,Bills!$M$5:$M$34,0)),""))</f>
        <v/>
      </c>
      <c r="K18" s="29">
        <f>IF(G18="","",IFERROR(INDEX(Bills!$L$5:$L$34,MATCH(8,Bills!$M$5:$M$34,0)),""))</f>
        <v/>
      </c>
      <c r="L18" s="101" t="n"/>
    </row>
    <row r="19" ht="10" customHeight="1">
      <c r="A19" s="4" t="n"/>
    </row>
    <row r="20">
      <c r="A20" s="22" t="inlineStr">
        <is>
          <t>ACTUAL SPENDING BY CATEGORY</t>
        </is>
      </c>
      <c r="G20" s="22" t="inlineStr">
        <is>
          <t>PLANNED VS ACTUAL</t>
        </is>
      </c>
    </row>
    <row r="21" ht="1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0" customHeight="1">
      <c r="A38" s="4" t="n"/>
    </row>
    <row r="39">
      <c r="A39" s="22" t="inlineStr">
        <is>
          <t>CATEGORY PROGRESS</t>
        </is>
      </c>
    </row>
    <row r="40">
      <c r="A40" s="26" t="inlineStr">
        <is>
          <t>Category</t>
        </is>
      </c>
      <c r="B40" s="26" t="inlineStr">
        <is>
          <t>Planned</t>
        </is>
      </c>
      <c r="C40" s="26" t="inlineStr">
        <is>
          <t>Actual</t>
        </is>
      </c>
      <c r="D40" s="26" t="inlineStr">
        <is>
          <t>Remaining</t>
        </is>
      </c>
      <c r="E40" s="26" t="inlineStr">
        <is>
          <t>% used</t>
        </is>
      </c>
      <c r="F40" s="26" t="inlineStr">
        <is>
          <t>Progress</t>
        </is>
      </c>
      <c r="G40" s="100" t="n"/>
      <c r="H40" s="100" t="n"/>
      <c r="I40" s="101" t="n"/>
      <c r="J40" s="26" t="inlineStr">
        <is>
          <t>Status</t>
        </is>
      </c>
      <c r="K40" s="100" t="n"/>
      <c r="L40" s="101" t="n"/>
    </row>
    <row r="41" ht="18" customHeight="1">
      <c r="A41" s="32">
        <f>IF('Budget Categories'!A5="","",'Budget Categories'!A5)</f>
        <v/>
      </c>
      <c r="B41" s="28">
        <f>IF(A41="","",'Budget Categories'!B5)</f>
        <v/>
      </c>
      <c r="C41" s="28">
        <f>IF(A41="","",'Budget Categories'!C5)</f>
        <v/>
      </c>
      <c r="D41" s="28">
        <f>IF(A41="","",'Budget Categories'!D5)</f>
        <v/>
      </c>
      <c r="E41" s="33">
        <f>IF(A41="","",'Budget Categories'!E5)</f>
        <v/>
      </c>
      <c r="F41" s="34">
        <f>IF(A41="","",'Budget Categories'!F5)</f>
        <v/>
      </c>
      <c r="G41" s="100" t="n"/>
      <c r="H41" s="100" t="n"/>
      <c r="I41" s="101" t="n"/>
      <c r="J41" s="35">
        <f>IF(A41="","",'Budget Categories'!G5)</f>
        <v/>
      </c>
      <c r="K41" s="100" t="n"/>
      <c r="L41" s="101" t="n"/>
    </row>
    <row r="42" ht="18" customHeight="1">
      <c r="A42" s="32">
        <f>IF('Budget Categories'!A6="","",'Budget Categories'!A6)</f>
        <v/>
      </c>
      <c r="B42" s="28">
        <f>IF(A42="","",'Budget Categories'!B6)</f>
        <v/>
      </c>
      <c r="C42" s="28">
        <f>IF(A42="","",'Budget Categories'!C6)</f>
        <v/>
      </c>
      <c r="D42" s="28">
        <f>IF(A42="","",'Budget Categories'!D6)</f>
        <v/>
      </c>
      <c r="E42" s="33">
        <f>IF(A42="","",'Budget Categories'!E6)</f>
        <v/>
      </c>
      <c r="F42" s="34">
        <f>IF(A42="","",'Budget Categories'!F6)</f>
        <v/>
      </c>
      <c r="G42" s="100" t="n"/>
      <c r="H42" s="100" t="n"/>
      <c r="I42" s="101" t="n"/>
      <c r="J42" s="35">
        <f>IF(A42="","",'Budget Categories'!G6)</f>
        <v/>
      </c>
      <c r="K42" s="100" t="n"/>
      <c r="L42" s="101" t="n"/>
    </row>
    <row r="43" ht="18" customHeight="1">
      <c r="A43" s="32">
        <f>IF('Budget Categories'!A7="","",'Budget Categories'!A7)</f>
        <v/>
      </c>
      <c r="B43" s="28">
        <f>IF(A43="","",'Budget Categories'!B7)</f>
        <v/>
      </c>
      <c r="C43" s="28">
        <f>IF(A43="","",'Budget Categories'!C7)</f>
        <v/>
      </c>
      <c r="D43" s="28">
        <f>IF(A43="","",'Budget Categories'!D7)</f>
        <v/>
      </c>
      <c r="E43" s="33">
        <f>IF(A43="","",'Budget Categories'!E7)</f>
        <v/>
      </c>
      <c r="F43" s="34">
        <f>IF(A43="","",'Budget Categories'!F7)</f>
        <v/>
      </c>
      <c r="G43" s="100" t="n"/>
      <c r="H43" s="100" t="n"/>
      <c r="I43" s="101" t="n"/>
      <c r="J43" s="35">
        <f>IF(A43="","",'Budget Categories'!G7)</f>
        <v/>
      </c>
      <c r="K43" s="100" t="n"/>
      <c r="L43" s="101" t="n"/>
    </row>
    <row r="44" ht="18" customHeight="1">
      <c r="A44" s="32">
        <f>IF('Budget Categories'!A8="","",'Budget Categories'!A8)</f>
        <v/>
      </c>
      <c r="B44" s="28">
        <f>IF(A44="","",'Budget Categories'!B8)</f>
        <v/>
      </c>
      <c r="C44" s="28">
        <f>IF(A44="","",'Budget Categories'!C8)</f>
        <v/>
      </c>
      <c r="D44" s="28">
        <f>IF(A44="","",'Budget Categories'!D8)</f>
        <v/>
      </c>
      <c r="E44" s="33">
        <f>IF(A44="","",'Budget Categories'!E8)</f>
        <v/>
      </c>
      <c r="F44" s="34">
        <f>IF(A44="","",'Budget Categories'!F8)</f>
        <v/>
      </c>
      <c r="G44" s="100" t="n"/>
      <c r="H44" s="100" t="n"/>
      <c r="I44" s="101" t="n"/>
      <c r="J44" s="35">
        <f>IF(A44="","",'Budget Categories'!G8)</f>
        <v/>
      </c>
      <c r="K44" s="100" t="n"/>
      <c r="L44" s="101" t="n"/>
    </row>
    <row r="45" ht="18" customHeight="1">
      <c r="A45" s="32">
        <f>IF('Budget Categories'!A9="","",'Budget Categories'!A9)</f>
        <v/>
      </c>
      <c r="B45" s="28">
        <f>IF(A45="","",'Budget Categories'!B9)</f>
        <v/>
      </c>
      <c r="C45" s="28">
        <f>IF(A45="","",'Budget Categories'!C9)</f>
        <v/>
      </c>
      <c r="D45" s="28">
        <f>IF(A45="","",'Budget Categories'!D9)</f>
        <v/>
      </c>
      <c r="E45" s="33">
        <f>IF(A45="","",'Budget Categories'!E9)</f>
        <v/>
      </c>
      <c r="F45" s="34">
        <f>IF(A45="","",'Budget Categories'!F9)</f>
        <v/>
      </c>
      <c r="G45" s="100" t="n"/>
      <c r="H45" s="100" t="n"/>
      <c r="I45" s="101" t="n"/>
      <c r="J45" s="35">
        <f>IF(A45="","",'Budget Categories'!G9)</f>
        <v/>
      </c>
      <c r="K45" s="100" t="n"/>
      <c r="L45" s="101" t="n"/>
    </row>
    <row r="46" ht="18" customHeight="1">
      <c r="A46" s="32">
        <f>IF('Budget Categories'!A10="","",'Budget Categories'!A10)</f>
        <v/>
      </c>
      <c r="B46" s="28">
        <f>IF(A46="","",'Budget Categories'!B10)</f>
        <v/>
      </c>
      <c r="C46" s="28">
        <f>IF(A46="","",'Budget Categories'!C10)</f>
        <v/>
      </c>
      <c r="D46" s="28">
        <f>IF(A46="","",'Budget Categories'!D10)</f>
        <v/>
      </c>
      <c r="E46" s="33">
        <f>IF(A46="","",'Budget Categories'!E10)</f>
        <v/>
      </c>
      <c r="F46" s="34">
        <f>IF(A46="","",'Budget Categories'!F10)</f>
        <v/>
      </c>
      <c r="G46" s="100" t="n"/>
      <c r="H46" s="100" t="n"/>
      <c r="I46" s="101" t="n"/>
      <c r="J46" s="35">
        <f>IF(A46="","",'Budget Categories'!G10)</f>
        <v/>
      </c>
      <c r="K46" s="100" t="n"/>
      <c r="L46" s="101" t="n"/>
    </row>
    <row r="47" ht="18" customHeight="1">
      <c r="A47" s="32">
        <f>IF('Budget Categories'!A11="","",'Budget Categories'!A11)</f>
        <v/>
      </c>
      <c r="B47" s="28">
        <f>IF(A47="","",'Budget Categories'!B11)</f>
        <v/>
      </c>
      <c r="C47" s="28">
        <f>IF(A47="","",'Budget Categories'!C11)</f>
        <v/>
      </c>
      <c r="D47" s="28">
        <f>IF(A47="","",'Budget Categories'!D11)</f>
        <v/>
      </c>
      <c r="E47" s="33">
        <f>IF(A47="","",'Budget Categories'!E11)</f>
        <v/>
      </c>
      <c r="F47" s="34">
        <f>IF(A47="","",'Budget Categories'!F11)</f>
        <v/>
      </c>
      <c r="G47" s="100" t="n"/>
      <c r="H47" s="100" t="n"/>
      <c r="I47" s="101" t="n"/>
      <c r="J47" s="35">
        <f>IF(A47="","",'Budget Categories'!G11)</f>
        <v/>
      </c>
      <c r="K47" s="100" t="n"/>
      <c r="L47" s="101" t="n"/>
    </row>
    <row r="48" ht="18" customHeight="1">
      <c r="A48" s="32">
        <f>IF('Budget Categories'!A12="","",'Budget Categories'!A12)</f>
        <v/>
      </c>
      <c r="B48" s="28">
        <f>IF(A48="","",'Budget Categories'!B12)</f>
        <v/>
      </c>
      <c r="C48" s="28">
        <f>IF(A48="","",'Budget Categories'!C12)</f>
        <v/>
      </c>
      <c r="D48" s="28">
        <f>IF(A48="","",'Budget Categories'!D12)</f>
        <v/>
      </c>
      <c r="E48" s="33">
        <f>IF(A48="","",'Budget Categories'!E12)</f>
        <v/>
      </c>
      <c r="F48" s="34">
        <f>IF(A48="","",'Budget Categories'!F12)</f>
        <v/>
      </c>
      <c r="G48" s="100" t="n"/>
      <c r="H48" s="100" t="n"/>
      <c r="I48" s="101" t="n"/>
      <c r="J48" s="35">
        <f>IF(A48="","",'Budget Categories'!G12)</f>
        <v/>
      </c>
      <c r="K48" s="100" t="n"/>
      <c r="L48" s="101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8" customHeight="1">
      <c r="A50" s="36" t="inlineStr">
        <is>
          <t>Blue cells (on other tabs) are for typing. This page is a live summary — nothing to edit here. To start the next paycheck, duplicate the file and follow the checklist on Paycheck Setup. See Instructions for the 5-minute start.</t>
        </is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37" t="inlineStr">
        <is>
          <t>CHART DATA  ·  used by the graphs above — do not edit</t>
        </is>
      </c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38" t="inlineStr">
        <is>
          <t>Category</t>
        </is>
      </c>
      <c r="B53" s="38" t="inlineStr">
        <is>
          <t>Actual</t>
        </is>
      </c>
      <c r="C53" s="38" t="inlineStr">
        <is>
          <t>Planned</t>
        </is>
      </c>
      <c r="D53" s="38" t="inlineStr">
        <is>
          <t>Spent</t>
        </is>
      </c>
    </row>
    <row r="54">
      <c r="A54" s="39">
        <f>IF('Budget Categories'!A5="","",'Budget Categories'!A5)</f>
        <v/>
      </c>
      <c r="B54" s="40">
        <f>IF(OR(A54="",'Budget Categories'!C5=0),NA(),'Budget Categories'!C5)</f>
        <v/>
      </c>
      <c r="C54" s="40">
        <f>IF(A54="","",'Budget Categories'!B5)</f>
        <v/>
      </c>
      <c r="D54" s="40">
        <f>IF(A54="","",'Budget Categories'!C5)</f>
        <v/>
      </c>
    </row>
    <row r="55">
      <c r="A55" s="39">
        <f>IF('Budget Categories'!A6="","",'Budget Categories'!A6)</f>
        <v/>
      </c>
      <c r="B55" s="40">
        <f>IF(OR(A55="",'Budget Categories'!C6=0),NA(),'Budget Categories'!C6)</f>
        <v/>
      </c>
      <c r="C55" s="40">
        <f>IF(A55="","",'Budget Categories'!B6)</f>
        <v/>
      </c>
      <c r="D55" s="40">
        <f>IF(A55="","",'Budget Categories'!C6)</f>
        <v/>
      </c>
    </row>
    <row r="56">
      <c r="A56" s="39">
        <f>IF('Budget Categories'!A7="","",'Budget Categories'!A7)</f>
        <v/>
      </c>
      <c r="B56" s="40">
        <f>IF(OR(A56="",'Budget Categories'!C7=0),NA(),'Budget Categories'!C7)</f>
        <v/>
      </c>
      <c r="C56" s="40">
        <f>IF(A56="","",'Budget Categories'!B7)</f>
        <v/>
      </c>
      <c r="D56" s="40">
        <f>IF(A56="","",'Budget Categories'!C7)</f>
        <v/>
      </c>
    </row>
    <row r="57">
      <c r="A57" s="39">
        <f>IF('Budget Categories'!A8="","",'Budget Categories'!A8)</f>
        <v/>
      </c>
      <c r="B57" s="40">
        <f>IF(OR(A57="",'Budget Categories'!C8=0),NA(),'Budget Categories'!C8)</f>
        <v/>
      </c>
      <c r="C57" s="40">
        <f>IF(A57="","",'Budget Categories'!B8)</f>
        <v/>
      </c>
      <c r="D57" s="40">
        <f>IF(A57="","",'Budget Categories'!C8)</f>
        <v/>
      </c>
    </row>
    <row r="58">
      <c r="A58" s="39">
        <f>IF('Budget Categories'!A9="","",'Budget Categories'!A9)</f>
        <v/>
      </c>
      <c r="B58" s="40">
        <f>IF(OR(A58="",'Budget Categories'!C9=0),NA(),'Budget Categories'!C9)</f>
        <v/>
      </c>
      <c r="C58" s="40">
        <f>IF(A58="","",'Budget Categories'!B9)</f>
        <v/>
      </c>
      <c r="D58" s="40">
        <f>IF(A58="","",'Budget Categories'!C9)</f>
        <v/>
      </c>
    </row>
    <row r="59">
      <c r="A59" s="39">
        <f>IF('Budget Categories'!A10="","",'Budget Categories'!A10)</f>
        <v/>
      </c>
      <c r="B59" s="40">
        <f>IF(OR(A59="",'Budget Categories'!C10=0),NA(),'Budget Categories'!C10)</f>
        <v/>
      </c>
      <c r="C59" s="40">
        <f>IF(A59="","",'Budget Categories'!B10)</f>
        <v/>
      </c>
      <c r="D59" s="40">
        <f>IF(A59="","",'Budget Categories'!C10)</f>
        <v/>
      </c>
    </row>
    <row r="60">
      <c r="A60" s="39">
        <f>IF('Budget Categories'!A11="","",'Budget Categories'!A11)</f>
        <v/>
      </c>
      <c r="B60" s="40">
        <f>IF(OR(A60="",'Budget Categories'!C11=0),NA(),'Budget Categories'!C11)</f>
        <v/>
      </c>
      <c r="C60" s="40">
        <f>IF(A60="","",'Budget Categories'!B11)</f>
        <v/>
      </c>
      <c r="D60" s="40">
        <f>IF(A60="","",'Budget Categories'!C11)</f>
        <v/>
      </c>
    </row>
    <row r="61">
      <c r="A61" s="39">
        <f>IF('Budget Categories'!A12="","",'Budget Categories'!A12)</f>
        <v/>
      </c>
      <c r="B61" s="40">
        <f>IF(OR(A61="",'Budget Categories'!C12=0),NA(),'Budget Categories'!C12)</f>
        <v/>
      </c>
      <c r="C61" s="40">
        <f>IF(A61="","",'Budget Categories'!B12)</f>
        <v/>
      </c>
      <c r="D61" s="40">
        <f>IF(A61="","",'Budget Categories'!C12)</f>
        <v/>
      </c>
    </row>
    <row r="62">
      <c r="A62" s="39">
        <f>IF('Budget Categories'!A13="","",'Budget Categories'!A13)</f>
        <v/>
      </c>
      <c r="B62" s="40">
        <f>IF(OR(A62="",'Budget Categories'!C13=0),NA(),'Budget Categories'!C13)</f>
        <v/>
      </c>
      <c r="C62" s="40">
        <f>IF(A62="","",'Budget Categories'!B13)</f>
        <v/>
      </c>
      <c r="D62" s="40">
        <f>IF(A62="","",'Budget Categories'!C13)</f>
        <v/>
      </c>
    </row>
    <row r="63">
      <c r="A63" s="39">
        <f>IF('Budget Categories'!A14="","",'Budget Categories'!A14)</f>
        <v/>
      </c>
      <c r="B63" s="40">
        <f>IF(OR(A63="",'Budget Categories'!C14=0),NA(),'Budget Categories'!C14)</f>
        <v/>
      </c>
      <c r="C63" s="40">
        <f>IF(A63="","",'Budget Categories'!B14)</f>
        <v/>
      </c>
      <c r="D63" s="40">
        <f>IF(A63="","",'Budget Categories'!C14)</f>
        <v/>
      </c>
    </row>
    <row r="64">
      <c r="A64" s="39">
        <f>IF('Budget Categories'!A15="","",'Budget Categories'!A15)</f>
        <v/>
      </c>
      <c r="B64" s="40">
        <f>IF(OR(A64="",'Budget Categories'!C15=0),NA(),'Budget Categories'!C15)</f>
        <v/>
      </c>
      <c r="C64" s="40">
        <f>IF(A64="","",'Budget Categories'!B15)</f>
        <v/>
      </c>
      <c r="D64" s="40">
        <f>IF(A64="","",'Budget Categories'!C15)</f>
        <v/>
      </c>
    </row>
    <row r="65">
      <c r="A65" s="39">
        <f>IF('Budget Categories'!A16="","",'Budget Categories'!A16)</f>
        <v/>
      </c>
      <c r="B65" s="40">
        <f>IF(OR(A65="",'Budget Categories'!C16=0),NA(),'Budget Categories'!C16)</f>
        <v/>
      </c>
      <c r="C65" s="40">
        <f>IF(A65="","",'Budget Categories'!B16)</f>
        <v/>
      </c>
      <c r="D65" s="40">
        <f>IF(A65="","",'Budget Categories'!C16)</f>
        <v/>
      </c>
    </row>
  </sheetData>
  <mergeCells count="84">
    <mergeCell ref="D13:E13"/>
    <mergeCell ref="A20:F20"/>
    <mergeCell ref="G18:H18"/>
    <mergeCell ref="J46:L46"/>
    <mergeCell ref="J48:L48"/>
    <mergeCell ref="A6:C6"/>
    <mergeCell ref="J40:L40"/>
    <mergeCell ref="K13:L13"/>
    <mergeCell ref="G12:H12"/>
    <mergeCell ref="D10:E10"/>
    <mergeCell ref="G6:I6"/>
    <mergeCell ref="F43:I43"/>
    <mergeCell ref="K15:L15"/>
    <mergeCell ref="A12:C12"/>
    <mergeCell ref="A3:L3"/>
    <mergeCell ref="J7:L7"/>
    <mergeCell ref="J41:L41"/>
    <mergeCell ref="A40"/>
    <mergeCell ref="A5:C5"/>
    <mergeCell ref="D11:E11"/>
    <mergeCell ref="A14:C14"/>
    <mergeCell ref="F44:I44"/>
    <mergeCell ref="G4:I4"/>
    <mergeCell ref="J43:L43"/>
    <mergeCell ref="A4:C4"/>
    <mergeCell ref="G20:L20"/>
    <mergeCell ref="A38:L38"/>
    <mergeCell ref="A13:C13"/>
    <mergeCell ref="D5:F5"/>
    <mergeCell ref="J42:L42"/>
    <mergeCell ref="A2:H2"/>
    <mergeCell ref="A15:C15"/>
    <mergeCell ref="J44:L44"/>
    <mergeCell ref="F45:I45"/>
    <mergeCell ref="K17:L17"/>
    <mergeCell ref="F42:I42"/>
    <mergeCell ref="J5:L5"/>
    <mergeCell ref="D15:E15"/>
    <mergeCell ref="G16:H16"/>
    <mergeCell ref="K10:L10"/>
    <mergeCell ref="F47:I47"/>
    <mergeCell ref="A7:C7"/>
    <mergeCell ref="A16:C16"/>
    <mergeCell ref="F46:I46"/>
    <mergeCell ref="K16:L16"/>
    <mergeCell ref="J6:L6"/>
    <mergeCell ref="G11:H11"/>
    <mergeCell ref="A52:D52"/>
    <mergeCell ref="F48:I48"/>
    <mergeCell ref="J4:L4"/>
    <mergeCell ref="D7:F7"/>
    <mergeCell ref="A50:L50"/>
    <mergeCell ref="K11:L11"/>
    <mergeCell ref="G5:I5"/>
    <mergeCell ref="J47:L47"/>
    <mergeCell ref="I2:L2"/>
    <mergeCell ref="G13:H13"/>
    <mergeCell ref="D17:E17"/>
    <mergeCell ref="A18:E18"/>
    <mergeCell ref="G15:H15"/>
    <mergeCell ref="G9:L9"/>
    <mergeCell ref="D12:E12"/>
    <mergeCell ref="D14:E14"/>
    <mergeCell ref="D6:F6"/>
    <mergeCell ref="G7:I7"/>
    <mergeCell ref="K18:L18"/>
    <mergeCell ref="J45:L45"/>
    <mergeCell ref="G17:H17"/>
    <mergeCell ref="G10:H10"/>
    <mergeCell ref="D4:F4"/>
    <mergeCell ref="A17:C17"/>
    <mergeCell ref="A8:L8"/>
    <mergeCell ref="A10:C10"/>
    <mergeCell ref="D16:E16"/>
    <mergeCell ref="F40:I40"/>
    <mergeCell ref="K12:L12"/>
    <mergeCell ref="A19:L19"/>
    <mergeCell ref="G14:H14"/>
    <mergeCell ref="K14:L14"/>
    <mergeCell ref="A39:L39"/>
    <mergeCell ref="A11:C11"/>
    <mergeCell ref="F41:I41"/>
    <mergeCell ref="A1:L1"/>
    <mergeCell ref="A9:E9"/>
  </mergeCells>
  <conditionalFormatting sqref="G5:I6">
    <cfRule type="expression" priority="1" dxfId="0">
      <formula>LeftAfterBills&lt;0</formula>
    </cfRule>
  </conditionalFormatting>
  <conditionalFormatting sqref="J5:L6">
    <cfRule type="expression" priority="2" dxfId="0">
      <formula>LeftAfterBudget&lt;0</formula>
    </cfRule>
  </conditionalFormatting>
  <conditionalFormatting sqref="D12:E12">
    <cfRule type="expression" priority="3" dxfId="1">
      <formula>LeftAfterBills&lt;0</formula>
    </cfRule>
    <cfRule type="expression" priority="5" dxfId="2">
      <formula>LeftAfterBills&gt;=0</formula>
    </cfRule>
  </conditionalFormatting>
  <conditionalFormatting sqref="D15:E15">
    <cfRule type="expression" priority="4" dxfId="1">
      <formula>LeftAfterBudget&lt;0</formula>
    </cfRule>
    <cfRule type="expression" priority="6" dxfId="2">
      <formula>LeftAfterBudget&gt;=0</formula>
    </cfRule>
  </conditionalFormatting>
  <conditionalFormatting sqref="G11:L18">
    <cfRule type="expression" priority="7" dxfId="3">
      <formula>K11="Overdue"</formula>
    </cfRule>
    <cfRule type="expression" priority="8" dxfId="4">
      <formula>K11="Due soon"</formula>
    </cfRule>
    <cfRule type="expression" priority="9" dxfId="5">
      <formula>K11="Paid"</formula>
    </cfRule>
  </conditionalFormatting>
  <conditionalFormatting sqref="A41:L48">
    <cfRule type="expression" priority="10" dxfId="3">
      <formula>J41="Over"</formula>
    </cfRule>
    <cfRule type="expression" priority="11" dxfId="4">
      <formula>J41="On track"</formula>
    </cfRule>
    <cfRule type="expression" priority="12" dxfId="5">
      <formula>J41="Under"</formula>
    </cfRule>
  </conditionalFormatting>
  <printOptions horizontalCentered="1"/>
  <pageMargins left="0.5" right="0.5" top="0.6" bottom="0.6" header="0.3" footer="0.3"/>
  <pageSetup orientation="landscape" paperSize="1" fitToHeight="1" fitToWidth="1"/>
  <headerFooter>
    <oddHeader>&amp;LDashboard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7A6B"/>
    <outlinePr summaryBelow="1" summaryRight="1"/>
    <pageSetUpPr fitToPage="1"/>
  </sheetPr>
  <dimension ref="A1:O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" customWidth="1" min="2" max="2"/>
    <col width="20" customWidth="1" min="3" max="3"/>
    <col width="3" customWidth="1" min="4" max="4"/>
    <col width="36" customWidth="1" min="5" max="5"/>
    <col width="22" customWidth="1" min="6" max="6"/>
    <col width="14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16" customWidth="1" min="14" max="14"/>
    <col width="42" customWidth="1" min="15" max="15"/>
  </cols>
  <sheetData>
    <row r="1" ht="30" customHeight="1">
      <c r="A1" s="1" t="inlineStr">
        <is>
          <t>Paycheck Budget + Bill Tracker</t>
        </is>
      </c>
      <c r="N1" s="41" t="inlineStr">
        <is>
          <t>DROPDOWN LISTS</t>
        </is>
      </c>
      <c r="O1" s="42" t="inlineStr">
        <is>
          <t>Edit these if you need extra options. Don't insert columns.</t>
        </is>
      </c>
    </row>
    <row r="2">
      <c r="A2" s="43" t="inlineStr">
        <is>
          <t>Paycheck Setup  ·  Enter your pay info here. Blue cells are for typing. Gray cells calculate automatically.</t>
        </is>
      </c>
      <c r="N2" s="44" t="inlineStr">
        <is>
          <t>Weekly</t>
        </is>
      </c>
      <c r="O2" s="45" t="inlineStr">
        <is>
          <t>Pay frequency list</t>
        </is>
      </c>
    </row>
    <row r="3" ht="22" customHeight="1">
      <c r="A3" s="46" t="inlineStr">
        <is>
          <t>1. YOUR PAY</t>
        </is>
      </c>
      <c r="D3" s="4" t="n"/>
      <c r="E3" s="4" t="n"/>
      <c r="F3" s="4" t="n"/>
      <c r="N3" s="44" t="inlineStr">
        <is>
          <t>Bi-Weekly</t>
        </is>
      </c>
    </row>
    <row r="4">
      <c r="A4" s="47" t="inlineStr">
        <is>
          <t>Your name</t>
        </is>
      </c>
      <c r="B4" s="4" t="n"/>
      <c r="C4" s="48" t="inlineStr">
        <is>
          <t>Alex Rivera</t>
        </is>
      </c>
      <c r="D4" s="4" t="n"/>
      <c r="E4" s="49" t="inlineStr">
        <is>
          <t>Appears at the top of the Dashboard.</t>
        </is>
      </c>
      <c r="F4" s="4" t="n"/>
      <c r="N4" s="44" t="inlineStr">
        <is>
          <t>Monthly</t>
        </is>
      </c>
    </row>
    <row r="5">
      <c r="A5" s="47" t="inlineStr">
        <is>
          <t>Pay frequency</t>
        </is>
      </c>
      <c r="B5" s="4" t="n"/>
      <c r="C5" s="48" t="inlineStr">
        <is>
          <t>Bi-Weekly</t>
        </is>
      </c>
      <c r="D5" s="4" t="n"/>
      <c r="E5" s="49" t="inlineStr">
        <is>
          <t>How often you get paid.</t>
        </is>
      </c>
      <c r="F5" s="4" t="n"/>
    </row>
    <row r="6">
      <c r="A6" s="47" t="inlineStr">
        <is>
          <t>Net paycheck amount</t>
        </is>
      </c>
      <c r="B6" s="4" t="n"/>
      <c r="C6" s="50" t="n">
        <v>1850</v>
      </c>
      <c r="D6" s="4" t="n"/>
      <c r="E6" s="49" t="inlineStr">
        <is>
          <t>Your take-home (net) amount.</t>
        </is>
      </c>
      <c r="F6" s="4" t="n"/>
      <c r="N6" s="44" t="inlineStr">
        <is>
          <t>Weekly</t>
        </is>
      </c>
      <c r="O6" s="45" t="inlineStr">
        <is>
          <t>Bill frequency list</t>
        </is>
      </c>
    </row>
    <row r="7">
      <c r="A7" s="47" t="inlineStr">
        <is>
          <t>Extra income this period</t>
        </is>
      </c>
      <c r="B7" s="4" t="n"/>
      <c r="C7" s="50" t="n">
        <v>120</v>
      </c>
      <c r="D7" s="4" t="n"/>
      <c r="E7" s="49" t="inlineStr">
        <is>
          <t>Optional extra money this period.</t>
        </is>
      </c>
      <c r="F7" s="4" t="n"/>
      <c r="N7" s="44" t="inlineStr">
        <is>
          <t>Bi-Weekly</t>
        </is>
      </c>
    </row>
    <row r="8">
      <c r="A8" s="47" t="inlineStr">
        <is>
          <t>Last paycheck date</t>
        </is>
      </c>
      <c r="B8" s="4" t="n"/>
      <c r="C8" s="51" t="n">
        <v>46241</v>
      </c>
      <c r="D8" s="4" t="n"/>
      <c r="E8" s="49" t="inlineStr">
        <is>
          <t>Date printed on this paycheck.</t>
        </is>
      </c>
      <c r="F8" s="4" t="n"/>
      <c r="N8" s="44" t="inlineStr">
        <is>
          <t>Monthly</t>
        </is>
      </c>
    </row>
    <row r="9">
      <c r="A9" s="4" t="n"/>
      <c r="B9" s="4" t="n"/>
      <c r="C9" s="4" t="n"/>
      <c r="D9" s="4" t="n"/>
      <c r="E9" s="4" t="n"/>
      <c r="F9" s="4" t="n"/>
      <c r="N9" s="44" t="inlineStr">
        <is>
          <t>Quarterly</t>
        </is>
      </c>
    </row>
    <row r="10" ht="22" customHeight="1">
      <c r="A10" s="52" t="inlineStr">
        <is>
          <t>2. THIS PERIOD  (calculated — don't edit)</t>
        </is>
      </c>
      <c r="D10" s="4" t="n"/>
      <c r="E10" s="4" t="n"/>
      <c r="F10" s="4" t="n"/>
      <c r="N10" s="44" t="inlineStr">
        <is>
          <t>Yearly</t>
        </is>
      </c>
    </row>
    <row r="11">
      <c r="A11" s="47" t="inlineStr">
        <is>
          <t>Next paycheck date</t>
        </is>
      </c>
      <c r="B11" s="4" t="n"/>
      <c r="C11" s="53">
        <f>IF(C8="","",IF(C5="Weekly",C8+7,IF(C5="Bi-Weekly",C8+14,IF(C5="Monthly",EDATE(C8,1),""))))</f>
        <v/>
      </c>
      <c r="D11" s="4" t="n"/>
      <c r="E11" s="49" t="inlineStr">
        <is>
          <t>Last pay date plus 7 days, 14 days, or one month.</t>
        </is>
      </c>
      <c r="F11" s="4" t="n"/>
      <c r="N11" s="44" t="inlineStr">
        <is>
          <t>One-Time</t>
        </is>
      </c>
    </row>
    <row r="12">
      <c r="A12" s="47" t="inlineStr">
        <is>
          <t>Period start</t>
        </is>
      </c>
      <c r="B12" s="4" t="n"/>
      <c r="C12" s="53">
        <f>IF(C8="","",C8)</f>
        <v/>
      </c>
      <c r="D12" s="4" t="n"/>
      <c r="E12" s="49" t="inlineStr">
        <is>
          <t>Same as last paycheck date.</t>
        </is>
      </c>
      <c r="F12" s="4" t="n"/>
    </row>
    <row r="13">
      <c r="A13" s="47" t="inlineStr">
        <is>
          <t>Period end</t>
        </is>
      </c>
      <c r="B13" s="4" t="n"/>
      <c r="C13" s="53">
        <f>IF(C11="","",C11-1)</f>
        <v/>
      </c>
      <c r="D13" s="4" t="n"/>
      <c r="E13" s="49" t="inlineStr">
        <is>
          <t>The day before your next paycheck.</t>
        </is>
      </c>
      <c r="F13" s="4" t="n"/>
      <c r="N13" s="44" t="inlineStr">
        <is>
          <t>Unpaid</t>
        </is>
      </c>
      <c r="O13" s="45" t="inlineStr">
        <is>
          <t>Paid status list</t>
        </is>
      </c>
    </row>
    <row r="14">
      <c r="A14" s="47" t="inlineStr">
        <is>
          <t>Days in period</t>
        </is>
      </c>
      <c r="B14" s="4" t="n"/>
      <c r="C14" s="54">
        <f>IF(OR(C12="",C13=""),"",C13-C12+1)</f>
        <v/>
      </c>
      <c r="D14" s="4" t="n"/>
      <c r="E14" s="49" t="inlineStr">
        <is>
          <t>Length of this paycheck window.</t>
        </is>
      </c>
      <c r="F14" s="4" t="n"/>
      <c r="N14" s="44" t="inlineStr">
        <is>
          <t>Paid</t>
        </is>
      </c>
    </row>
    <row r="15">
      <c r="A15" s="47" t="inlineStr">
        <is>
          <t>Total available</t>
        </is>
      </c>
      <c r="B15" s="4" t="n"/>
      <c r="C15" s="55">
        <f>N(C6)+N(C7)</f>
        <v/>
      </c>
      <c r="D15" s="4" t="n"/>
      <c r="E15" s="49" t="inlineStr">
        <is>
          <t>Net paycheck + extra income.</t>
        </is>
      </c>
      <c r="F15" s="4" t="n"/>
    </row>
    <row r="16">
      <c r="A16" s="4" t="n"/>
      <c r="B16" s="4" t="n"/>
      <c r="C16" s="4" t="n"/>
      <c r="D16" s="4" t="n"/>
      <c r="E16" s="4" t="n"/>
      <c r="F16" s="4" t="n"/>
    </row>
    <row r="17" ht="22" customHeight="1">
      <c r="A17" s="52" t="inlineStr">
        <is>
          <t>3. THIS PERIOD TOTALS  (calculated — don't edit)</t>
        </is>
      </c>
      <c r="D17" s="4" t="n"/>
      <c r="E17" s="4" t="n"/>
      <c r="F17" s="4" t="n"/>
    </row>
    <row r="18">
      <c r="A18" s="47" t="inlineStr">
        <is>
          <t>Bills due this period</t>
        </is>
      </c>
      <c r="B18" s="4" t="n"/>
      <c r="C18" s="55">
        <f>SUM(Bills!$J$5:$J$34)</f>
        <v/>
      </c>
      <c r="D18" s="4" t="n"/>
      <c r="E18" s="49" t="inlineStr">
        <is>
          <t>Sum of Amount this period on the Bills tab.</t>
        </is>
      </c>
      <c r="F18" s="4" t="n"/>
    </row>
    <row r="19">
      <c r="A19" s="47" t="inlineStr">
        <is>
          <t>Bills still unpaid</t>
        </is>
      </c>
      <c r="B19" s="4" t="n"/>
      <c r="C19" s="55">
        <f>SUMIFS(Bills!$J$5:$J$34,Bills!$F$5:$F$34,"Unpaid",Bills!$J$5:$J$34,"&gt;0")</f>
        <v/>
      </c>
      <c r="D19" s="4" t="n"/>
      <c r="E19" s="49" t="inlineStr">
        <is>
          <t>Unpaid portion of those bills.</t>
        </is>
      </c>
      <c r="F19" s="4" t="n"/>
    </row>
    <row r="20">
      <c r="A20" s="47" t="inlineStr">
        <is>
          <t>Planned category spending</t>
        </is>
      </c>
      <c r="B20" s="4" t="n"/>
      <c r="C20" s="55">
        <f>'Budget Categories'!B25</f>
        <v/>
      </c>
      <c r="D20" s="4" t="n"/>
      <c r="E20" s="49" t="inlineStr">
        <is>
          <t>Sum of planned amounts on Budget Categories.</t>
        </is>
      </c>
      <c r="F20" s="4" t="n"/>
    </row>
    <row r="21">
      <c r="A21" s="47" t="inlineStr">
        <is>
          <t>Actual spending (from log)</t>
        </is>
      </c>
      <c r="B21" s="4" t="n"/>
      <c r="C21" s="55">
        <f>SUMIFS('Transaction Log'!$D$5:$D$104,'Transaction Log'!$A$5:$A$104,"&gt;="&amp;PeriodStart,'Transaction Log'!$A$5:$A$104,"&lt;="&amp;PeriodEnd)</f>
        <v/>
      </c>
      <c r="D21" s="4" t="n"/>
      <c r="E21" s="49" t="inlineStr">
        <is>
          <t>Spending logged inside this period.</t>
        </is>
      </c>
      <c r="F21" s="4" t="n"/>
    </row>
    <row r="22">
      <c r="A22" s="47" t="inlineStr">
        <is>
          <t>Left after bills</t>
        </is>
      </c>
      <c r="B22" s="4" t="n"/>
      <c r="C22" s="55">
        <f>C15-C18</f>
        <v/>
      </c>
      <c r="D22" s="4" t="n"/>
      <c r="E22" s="49" t="inlineStr">
        <is>
          <t>Available minus bills. The first leftover number.</t>
        </is>
      </c>
      <c r="F22" s="4" t="n"/>
    </row>
    <row r="23">
      <c r="A23" s="47" t="inlineStr">
        <is>
          <t>Left after bills + budget</t>
        </is>
      </c>
      <c r="B23" s="4" t="n"/>
      <c r="C23" s="55">
        <f>C15-C18-C20</f>
        <v/>
      </c>
      <c r="D23" s="4" t="n"/>
      <c r="E23" s="49" t="inlineStr">
        <is>
          <t>True leftover if you stick to the plan.</t>
        </is>
      </c>
      <c r="F23" s="4" t="n"/>
    </row>
    <row r="24">
      <c r="A24" s="47" t="inlineStr">
        <is>
          <t>Left after actual spending</t>
        </is>
      </c>
      <c r="B24" s="4" t="n"/>
      <c r="C24" s="55">
        <f>C15-C18-C21</f>
        <v/>
      </c>
      <c r="D24" s="4" t="n"/>
      <c r="E24" s="49" t="inlineStr">
        <is>
          <t>Available minus bills minus what you have already spent.</t>
        </is>
      </c>
      <c r="F24" s="4" t="n"/>
    </row>
    <row r="25">
      <c r="A25" s="47" t="inlineStr">
        <is>
          <t>Category budget used</t>
        </is>
      </c>
      <c r="B25" s="4" t="n"/>
      <c r="C25" s="56">
        <f>IF(C20=0,"",C21/C20)</f>
        <v/>
      </c>
      <c r="D25" s="4" t="n"/>
      <c r="E25" s="49" t="inlineStr">
        <is>
          <t>Actual spending ÷ planned categories.</t>
        </is>
      </c>
      <c r="F25" s="4" t="n"/>
    </row>
    <row r="26">
      <c r="A26" s="4" t="n"/>
      <c r="B26" s="4" t="n"/>
      <c r="C26" s="4" t="n"/>
      <c r="D26" s="4" t="n"/>
      <c r="E26" s="4" t="n"/>
      <c r="F26" s="4" t="n"/>
    </row>
    <row r="27" ht="22" customHeight="1">
      <c r="A27" s="46" t="inlineStr">
        <is>
          <t>4. START A NEW PAYCHECK PERIOD</t>
        </is>
      </c>
    </row>
    <row r="28" ht="20" customHeight="1">
      <c r="A28" s="57" t="inlineStr">
        <is>
          <t>☐   File → Save As (Excel) or File → Make a copy (Google Sheets). Name it with the new payday.</t>
        </is>
      </c>
      <c r="B28" s="102" t="n"/>
      <c r="C28" s="102" t="n"/>
      <c r="D28" s="102" t="n"/>
      <c r="E28" s="102" t="n"/>
      <c r="F28" s="103" t="n"/>
    </row>
    <row r="29" ht="20" customHeight="1">
      <c r="A29" s="57" t="inlineStr">
        <is>
          <t>☐   Update Last paycheck date, Net paycheck amount, and Extra income above.</t>
        </is>
      </c>
      <c r="B29" s="102" t="n"/>
      <c r="C29" s="102" t="n"/>
      <c r="D29" s="102" t="n"/>
      <c r="E29" s="102" t="n"/>
      <c r="F29" s="103" t="n"/>
    </row>
    <row r="30" ht="20" customHeight="1">
      <c r="A30" s="57" t="inlineStr">
        <is>
          <t>☐   On Bills, set Paid? back to Unpaid and change any amounts that moved.</t>
        </is>
      </c>
      <c r="B30" s="102" t="n"/>
      <c r="C30" s="102" t="n"/>
      <c r="D30" s="102" t="n"/>
      <c r="E30" s="102" t="n"/>
      <c r="F30" s="103" t="n"/>
    </row>
    <row r="31" ht="20" customHeight="1">
      <c r="A31" s="57" t="inlineStr">
        <is>
          <t>☐   On Transaction Log, delete the old spending rows (keep the header and formulas in column F).</t>
        </is>
      </c>
      <c r="B31" s="102" t="n"/>
      <c r="C31" s="102" t="n"/>
      <c r="D31" s="102" t="n"/>
      <c r="E31" s="102" t="n"/>
      <c r="F31" s="103" t="n"/>
    </row>
    <row r="32" ht="20" customHeight="1">
      <c r="A32" s="57" t="inlineStr">
        <is>
          <t>☐   Adjust category planned amounts if this paycheck needs a different plan.</t>
        </is>
      </c>
      <c r="B32" s="102" t="n"/>
      <c r="C32" s="102" t="n"/>
      <c r="D32" s="102" t="n"/>
      <c r="E32" s="102" t="n"/>
      <c r="F32" s="103" t="n"/>
    </row>
    <row r="33" ht="20" customHeight="1">
      <c r="A33" s="57" t="inlineStr">
        <is>
          <t>☐   Open the Dashboard and confirm the four cards match the new period.</t>
        </is>
      </c>
      <c r="B33" s="102" t="n"/>
      <c r="C33" s="102" t="n"/>
      <c r="D33" s="102" t="n"/>
      <c r="E33" s="102" t="n"/>
      <c r="F33" s="103" t="n"/>
    </row>
    <row r="34">
      <c r="A34" s="4" t="n"/>
      <c r="B34" s="4" t="n"/>
      <c r="C34" s="4" t="n"/>
      <c r="D34" s="4" t="n"/>
      <c r="E34" s="4" t="n"/>
      <c r="F34" s="4" t="n"/>
    </row>
    <row r="35">
      <c r="A35" s="46" t="inlineStr">
        <is>
          <t>COLOR KEY</t>
        </is>
      </c>
    </row>
    <row r="36">
      <c r="A36" s="58" t="inlineStr">
        <is>
          <t>Type here</t>
        </is>
      </c>
      <c r="B36" s="4" t="n"/>
      <c r="C36" s="59" t="inlineStr">
        <is>
          <t>Blue cells — the only places you type.</t>
        </is>
      </c>
      <c r="D36" s="4" t="n"/>
      <c r="E36" s="4" t="n"/>
      <c r="F36" s="4" t="n"/>
    </row>
    <row r="37">
      <c r="A37" s="60" t="inlineStr">
        <is>
          <t>Calculated</t>
        </is>
      </c>
      <c r="B37" s="4" t="n"/>
      <c r="C37" s="59" t="inlineStr">
        <is>
          <t>Gray cells — formulas. Leave them alone.</t>
        </is>
      </c>
      <c r="D37" s="4" t="n"/>
      <c r="E37" s="4" t="n"/>
      <c r="F37" s="4" t="n"/>
    </row>
    <row r="38">
      <c r="A38" s="61" t="inlineStr">
        <is>
          <t>Over / overdue</t>
        </is>
      </c>
      <c r="B38" s="4" t="n"/>
      <c r="C38" s="59" t="inlineStr">
        <is>
          <t>Red — overspent category or overdue unpaid bill.</t>
        </is>
      </c>
      <c r="D38" s="4" t="n"/>
      <c r="E38" s="4" t="n"/>
      <c r="F38" s="4" t="n"/>
    </row>
    <row r="39">
      <c r="A39" s="62" t="inlineStr">
        <is>
          <t>Due soon</t>
        </is>
      </c>
      <c r="B39" s="4" t="n"/>
      <c r="C39" s="59" t="inlineStr">
        <is>
          <t>Amber — bill due within 7 days.</t>
        </is>
      </c>
      <c r="D39" s="4" t="n"/>
      <c r="E39" s="4" t="n"/>
      <c r="F39" s="4" t="n"/>
    </row>
    <row r="40">
      <c r="A40" s="63" t="inlineStr">
        <is>
          <t>Under budget</t>
        </is>
      </c>
      <c r="B40" s="4" t="n"/>
      <c r="C40" s="59" t="inlineStr">
        <is>
          <t>Green — category still has room.</t>
        </is>
      </c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</sheetData>
  <mergeCells count="13">
    <mergeCell ref="A10:C10"/>
    <mergeCell ref="A2:F2"/>
    <mergeCell ref="A33:F33"/>
    <mergeCell ref="A28:F28"/>
    <mergeCell ref="A1:F1"/>
    <mergeCell ref="A32:F32"/>
    <mergeCell ref="A27:F27"/>
    <mergeCell ref="A17:C17"/>
    <mergeCell ref="A31:F31"/>
    <mergeCell ref="A3:C3"/>
    <mergeCell ref="A35:F35"/>
    <mergeCell ref="A30:F30"/>
    <mergeCell ref="A29:F29"/>
  </mergeCells>
  <dataValidations count="3">
    <dataValidation sqref="C5" showDropDown="0" showInputMessage="0" showErrorMessage="0" allowBlank="0" type="list">
      <formula1>='Paycheck Setup'!$N$2:$N$4</formula1>
    </dataValidation>
    <dataValidation sqref="C8" showDropDown="0" showInputMessage="0" showErrorMessage="0" allowBlank="0" type="date" operator="greaterThanOrEqual">
      <formula1>DATE(2000,1,1)</formula1>
    </dataValidation>
    <dataValidation sqref="C6 C7" showDropDown="0" showInputMessage="0" showErrorMessage="0" allowBlank="0" type="decimal" operator="greaterThanOrEqual">
      <formula1>0</formula1>
    </dataValidation>
  </dataValidations>
  <printOptions horizontalCentered="1"/>
  <pageMargins left="0.5" right="0.5" top="0.6" bottom="0.6" header="0.3" footer="0.3"/>
  <pageSetup orientation="portrait" paperSize="1" fitToHeight="0" fitToWidth="1"/>
  <headerFooter>
    <oddHeader>&amp;LPaycheck Setup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D68910"/>
    <outlinePr summaryBelow="1" summaryRight="1"/>
    <pageSetUpPr fitToPage="1"/>
  </sheetPr>
  <dimension ref="A1:M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16" customWidth="1" min="5" max="5"/>
    <col width="11" customWidth="1" min="6" max="6"/>
    <col width="14" customWidth="1" min="7" max="7"/>
    <col width="13" customWidth="1" min="8" max="8"/>
    <col width="12" customWidth="1" min="9" max="9"/>
    <col width="16" customWidth="1" min="10" max="10"/>
    <col width="14" customWidth="1" min="11" max="11"/>
    <col width="16" customWidth="1" min="12" max="12"/>
    <col hidden="1" width="6" customWidth="1" min="13" max="13"/>
  </cols>
  <sheetData>
    <row r="1" ht="30" customHeight="1">
      <c r="A1" s="1" t="inlineStr">
        <is>
          <t>Bills</t>
        </is>
      </c>
    </row>
    <row r="2" ht="32" customHeight="1">
      <c r="A2" s="64" t="inlineStr">
        <is>
          <t>Recurring and one-time bills. Blue = type. Gray = calculated. A weekly bill in a 2-week period is counted twice. Use This period $ to assign part of a bill (like half of rent) to this paycheck.</t>
        </is>
      </c>
    </row>
    <row r="3">
      <c r="A3" s="65">
        <f>IF(OR(PeriodStart="",PeriodEnd=""),"Set Last paycheck date on Paycheck Setup.","Period: "&amp;TEXT(PeriodStart,"mmm d")&amp;" – "&amp;TEXT(PeriodEnd,"mmm d, yyyy")&amp;"   ·   Bills this period: "&amp;TEXT(TotalBillsPeriod,"$#,##0.00")&amp;"   ·   Still unpaid: "&amp;TEXT(BillsUnpaid,"$#,##0.00"))</f>
        <v/>
      </c>
    </row>
    <row r="4" ht="32" customHeight="1">
      <c r="A4" s="66" t="inlineStr">
        <is>
          <t>Bill name</t>
        </is>
      </c>
      <c r="B4" s="66" t="inlineStr">
        <is>
          <t>Amount</t>
        </is>
      </c>
      <c r="C4" s="66" t="inlineStr">
        <is>
          <t>Due date</t>
        </is>
      </c>
      <c r="D4" s="66" t="inlineStr">
        <is>
          <t>Frequency</t>
        </is>
      </c>
      <c r="E4" s="66" t="inlineStr">
        <is>
          <t>Category</t>
        </is>
      </c>
      <c r="F4" s="66" t="inlineStr">
        <is>
          <t>Paid?</t>
        </is>
      </c>
      <c r="G4" s="66" t="inlineStr">
        <is>
          <t>This period $ (optional)</t>
        </is>
      </c>
      <c r="H4" s="66" t="inlineStr">
        <is>
          <t>Next due</t>
        </is>
      </c>
      <c r="I4" s="66" t="inlineStr">
        <is>
          <t>Occurrences</t>
        </is>
      </c>
      <c r="J4" s="66" t="inlineStr">
        <is>
          <t>Amount this period</t>
        </is>
      </c>
      <c r="K4" s="66" t="inlineStr">
        <is>
          <t>Due this period?</t>
        </is>
      </c>
      <c r="L4" s="66" t="inlineStr">
        <is>
          <t>Status</t>
        </is>
      </c>
    </row>
    <row r="5" ht="18" customHeight="1">
      <c r="A5" s="44" t="inlineStr">
        <is>
          <t>Rent</t>
        </is>
      </c>
      <c r="B5" s="67" t="n">
        <v>1200</v>
      </c>
      <c r="C5" s="68" t="n">
        <v>46235</v>
      </c>
      <c r="D5" s="69" t="inlineStr">
        <is>
          <t>Monthly</t>
        </is>
      </c>
      <c r="E5" s="44" t="n"/>
      <c r="F5" s="69" t="inlineStr">
        <is>
          <t>Unpaid</t>
        </is>
      </c>
      <c r="G5" s="67" t="n">
        <v>600</v>
      </c>
      <c r="H5" s="70">
        <f>IF(OR(A5="",C5="",D5=""),"",IF(D5="One-Time",IF(AND(C5&gt;=PeriodStart,C5&lt;=PeriodEnd),C5,""),IF(OR(D5="Weekly",D5="Bi-Weekly"),IF(C5&gt;PeriodEnd,"",MAX(C5,C5+IF(D5="Weekly",7,14)*CEILING(MAX(0,PeriodStart-C5)/IF(D5="Weekly",7,14),1))),IF(OR(D5="Monthly",D5="Quarterly",D5="Yearly"),IF(EDATE(C5,CEILING(MAX(0,(YEAR(PeriodStart)-YEAR(C5))*12+(MONTH(PeriodStart)-MONTH(C5)))/IF(D5="Monthly",1,IF(D5="Quarterly",3,12)),1)*IF(D5="Monthly",1,IF(D5="Quarterly",3,12)))&lt;PeriodStart,EDATE(C5,CEILING(MAX(0,(YEAR(PeriodStart)-YEAR(C5))*12+(MONTH(PeriodStart)-MONTH(C5)))/IF(D5="Monthly",1,IF(D5="Quarterly",3,12)),1)*IF(D5="Monthly",1,IF(D5="Quarterly",3,12))+IF(D5="Monthly",1,IF(D5="Quarterly",3,12))),EDATE(C5,CEILING(MAX(0,(YEAR(PeriodStart)-YEAR(C5))*12+(MONTH(PeriodStart)-MONTH(C5)))/IF(D5="Monthly",1,IF(D5="Quarterly",3,12)),1)*IF(D5="Monthly",1,IF(D5="Quarterly",3,12)))),""))))</f>
        <v/>
      </c>
      <c r="I5" s="71">
        <f>IF(A5="","",IF(H5="",0,IF(OR(D5="Monthly",D5="Quarterly",D5="Yearly",D5="One-Time"),IF(AND(H5&gt;=PeriodStart,H5&lt;=PeriodEnd),1,0),IF(D5="Weekly",1+INT((PeriodEnd-H5)/7),IF(D5="Bi-Weekly",1+INT((PeriodEnd-H5)/14),0)))))</f>
        <v/>
      </c>
      <c r="J5" s="24">
        <f>IF(A5="","",IF(G5&lt;&gt;"",G5,IF(I5=0,0,B5*I5)))</f>
        <v/>
      </c>
      <c r="K5" s="71">
        <f>IF(A5="","",IF(N(J5)&gt;0,"Yes",""))</f>
        <v/>
      </c>
      <c r="L5" s="60">
        <f>IF(A5="","",IF(F5="Paid","Paid",IF(N(J5)&lt;=0,"Not this period",IF(AND(H5&lt;&gt;"",H5&lt;TODAY()),"Overdue",IF(AND(H5&lt;&gt;"",H5&lt;=TODAY()+7),"Due soon","Scheduled")))))</f>
        <v/>
      </c>
      <c r="M5" s="72">
        <f>IF(OR(A5="",N(J5)&lt;=0),"",COUNTIF($J$5:$J5,"&gt;0"))</f>
        <v/>
      </c>
    </row>
    <row r="6" ht="18" customHeight="1">
      <c r="A6" s="44" t="inlineStr">
        <is>
          <t>Electric</t>
        </is>
      </c>
      <c r="B6" s="67" t="n">
        <v>95</v>
      </c>
      <c r="C6" s="68" t="n">
        <v>46244</v>
      </c>
      <c r="D6" s="69" t="inlineStr">
        <is>
          <t>Monthly</t>
        </is>
      </c>
      <c r="E6" s="44" t="n"/>
      <c r="F6" s="69" t="inlineStr">
        <is>
          <t>Unpaid</t>
        </is>
      </c>
      <c r="G6" s="67" t="n"/>
      <c r="H6" s="70">
        <f>IF(OR(A6="",C6="",D6=""),"",IF(D6="One-Time",IF(AND(C6&gt;=PeriodStart,C6&lt;=PeriodEnd),C6,""),IF(OR(D6="Weekly",D6="Bi-Weekly"),IF(C6&gt;PeriodEnd,"",MAX(C6,C6+IF(D6="Weekly",7,14)*CEILING(MAX(0,PeriodStart-C6)/IF(D6="Weekly",7,14),1))),IF(OR(D6="Monthly",D6="Quarterly",D6="Yearly"),IF(EDATE(C6,CEILING(MAX(0,(YEAR(PeriodStart)-YEAR(C6))*12+(MONTH(PeriodStart)-MONTH(C6)))/IF(D6="Monthly",1,IF(D6="Quarterly",3,12)),1)*IF(D6="Monthly",1,IF(D6="Quarterly",3,12)))&lt;PeriodStart,EDATE(C6,CEILING(MAX(0,(YEAR(PeriodStart)-YEAR(C6))*12+(MONTH(PeriodStart)-MONTH(C6)))/IF(D6="Monthly",1,IF(D6="Quarterly",3,12)),1)*IF(D6="Monthly",1,IF(D6="Quarterly",3,12))+IF(D6="Monthly",1,IF(D6="Quarterly",3,12))),EDATE(C6,CEILING(MAX(0,(YEAR(PeriodStart)-YEAR(C6))*12+(MONTH(PeriodStart)-MONTH(C6)))/IF(D6="Monthly",1,IF(D6="Quarterly",3,12)),1)*IF(D6="Monthly",1,IF(D6="Quarterly",3,12)))),""))))</f>
        <v/>
      </c>
      <c r="I6" s="71">
        <f>IF(A6="","",IF(H6="",0,IF(OR(D6="Monthly",D6="Quarterly",D6="Yearly",D6="One-Time"),IF(AND(H6&gt;=PeriodStart,H6&lt;=PeriodEnd),1,0),IF(D6="Weekly",1+INT((PeriodEnd-H6)/7),IF(D6="Bi-Weekly",1+INT((PeriodEnd-H6)/14),0)))))</f>
        <v/>
      </c>
      <c r="J6" s="24">
        <f>IF(A6="","",IF(G6&lt;&gt;"",G6,IF(I6=0,0,B6*I6)))</f>
        <v/>
      </c>
      <c r="K6" s="71">
        <f>IF(A6="","",IF(N(J6)&gt;0,"Yes",""))</f>
        <v/>
      </c>
      <c r="L6" s="60">
        <f>IF(A6="","",IF(F6="Paid","Paid",IF(N(J6)&lt;=0,"Not this period",IF(AND(H6&lt;&gt;"",H6&lt;TODAY()),"Overdue",IF(AND(H6&lt;&gt;"",H6&lt;=TODAY()+7),"Due soon","Scheduled")))))</f>
        <v/>
      </c>
      <c r="M6" s="72">
        <f>IF(OR(A6="",N(J6)&lt;=0),"",COUNTIF($J$5:$J6,"&gt;0"))</f>
        <v/>
      </c>
    </row>
    <row r="7" ht="18" customHeight="1">
      <c r="A7" s="44" t="inlineStr">
        <is>
          <t>Phone</t>
        </is>
      </c>
      <c r="B7" s="67" t="n">
        <v>75</v>
      </c>
      <c r="C7" s="68" t="n">
        <v>46242</v>
      </c>
      <c r="D7" s="69" t="inlineStr">
        <is>
          <t>Monthly</t>
        </is>
      </c>
      <c r="E7" s="44" t="n"/>
      <c r="F7" s="69" t="inlineStr">
        <is>
          <t>Paid</t>
        </is>
      </c>
      <c r="G7" s="67" t="n"/>
      <c r="H7" s="70">
        <f>IF(OR(A7="",C7="",D7=""),"",IF(D7="One-Time",IF(AND(C7&gt;=PeriodStart,C7&lt;=PeriodEnd),C7,""),IF(OR(D7="Weekly",D7="Bi-Weekly"),IF(C7&gt;PeriodEnd,"",MAX(C7,C7+IF(D7="Weekly",7,14)*CEILING(MAX(0,PeriodStart-C7)/IF(D7="Weekly",7,14),1))),IF(OR(D7="Monthly",D7="Quarterly",D7="Yearly"),IF(EDATE(C7,CEILING(MAX(0,(YEAR(PeriodStart)-YEAR(C7))*12+(MONTH(PeriodStart)-MONTH(C7)))/IF(D7="Monthly",1,IF(D7="Quarterly",3,12)),1)*IF(D7="Monthly",1,IF(D7="Quarterly",3,12)))&lt;PeriodStart,EDATE(C7,CEILING(MAX(0,(YEAR(PeriodStart)-YEAR(C7))*12+(MONTH(PeriodStart)-MONTH(C7)))/IF(D7="Monthly",1,IF(D7="Quarterly",3,12)),1)*IF(D7="Monthly",1,IF(D7="Quarterly",3,12))+IF(D7="Monthly",1,IF(D7="Quarterly",3,12))),EDATE(C7,CEILING(MAX(0,(YEAR(PeriodStart)-YEAR(C7))*12+(MONTH(PeriodStart)-MONTH(C7)))/IF(D7="Monthly",1,IF(D7="Quarterly",3,12)),1)*IF(D7="Monthly",1,IF(D7="Quarterly",3,12)))),""))))</f>
        <v/>
      </c>
      <c r="I7" s="71">
        <f>IF(A7="","",IF(H7="",0,IF(OR(D7="Monthly",D7="Quarterly",D7="Yearly",D7="One-Time"),IF(AND(H7&gt;=PeriodStart,H7&lt;=PeriodEnd),1,0),IF(D7="Weekly",1+INT((PeriodEnd-H7)/7),IF(D7="Bi-Weekly",1+INT((PeriodEnd-H7)/14),0)))))</f>
        <v/>
      </c>
      <c r="J7" s="24">
        <f>IF(A7="","",IF(G7&lt;&gt;"",G7,IF(I7=0,0,B7*I7)))</f>
        <v/>
      </c>
      <c r="K7" s="71">
        <f>IF(A7="","",IF(N(J7)&gt;0,"Yes",""))</f>
        <v/>
      </c>
      <c r="L7" s="60">
        <f>IF(A7="","",IF(F7="Paid","Paid",IF(N(J7)&lt;=0,"Not this period",IF(AND(H7&lt;&gt;"",H7&lt;TODAY()),"Overdue",IF(AND(H7&lt;&gt;"",H7&lt;=TODAY()+7),"Due soon","Scheduled")))))</f>
        <v/>
      </c>
      <c r="M7" s="72">
        <f>IF(OR(A7="",N(J7)&lt;=0),"",COUNTIF($J$5:$J7,"&gt;0"))</f>
        <v/>
      </c>
    </row>
    <row r="8" ht="18" customHeight="1">
      <c r="A8" s="44" t="inlineStr">
        <is>
          <t>Internet</t>
        </is>
      </c>
      <c r="B8" s="67" t="n">
        <v>65</v>
      </c>
      <c r="C8" s="68" t="n">
        <v>46249</v>
      </c>
      <c r="D8" s="69" t="inlineStr">
        <is>
          <t>Monthly</t>
        </is>
      </c>
      <c r="E8" s="44" t="n"/>
      <c r="F8" s="69" t="inlineStr">
        <is>
          <t>Unpaid</t>
        </is>
      </c>
      <c r="G8" s="67" t="n"/>
      <c r="H8" s="70">
        <f>IF(OR(A8="",C8="",D8=""),"",IF(D8="One-Time",IF(AND(C8&gt;=PeriodStart,C8&lt;=PeriodEnd),C8,""),IF(OR(D8="Weekly",D8="Bi-Weekly"),IF(C8&gt;PeriodEnd,"",MAX(C8,C8+IF(D8="Weekly",7,14)*CEILING(MAX(0,PeriodStart-C8)/IF(D8="Weekly",7,14),1))),IF(OR(D8="Monthly",D8="Quarterly",D8="Yearly"),IF(EDATE(C8,CEILING(MAX(0,(YEAR(PeriodStart)-YEAR(C8))*12+(MONTH(PeriodStart)-MONTH(C8)))/IF(D8="Monthly",1,IF(D8="Quarterly",3,12)),1)*IF(D8="Monthly",1,IF(D8="Quarterly",3,12)))&lt;PeriodStart,EDATE(C8,CEILING(MAX(0,(YEAR(PeriodStart)-YEAR(C8))*12+(MONTH(PeriodStart)-MONTH(C8)))/IF(D8="Monthly",1,IF(D8="Quarterly",3,12)),1)*IF(D8="Monthly",1,IF(D8="Quarterly",3,12))+IF(D8="Monthly",1,IF(D8="Quarterly",3,12))),EDATE(C8,CEILING(MAX(0,(YEAR(PeriodStart)-YEAR(C8))*12+(MONTH(PeriodStart)-MONTH(C8)))/IF(D8="Monthly",1,IF(D8="Quarterly",3,12)),1)*IF(D8="Monthly",1,IF(D8="Quarterly",3,12)))),""))))</f>
        <v/>
      </c>
      <c r="I8" s="71">
        <f>IF(A8="","",IF(H8="",0,IF(OR(D8="Monthly",D8="Quarterly",D8="Yearly",D8="One-Time"),IF(AND(H8&gt;=PeriodStart,H8&lt;=PeriodEnd),1,0),IF(D8="Weekly",1+INT((PeriodEnd-H8)/7),IF(D8="Bi-Weekly",1+INT((PeriodEnd-H8)/14),0)))))</f>
        <v/>
      </c>
      <c r="J8" s="24">
        <f>IF(A8="","",IF(G8&lt;&gt;"",G8,IF(I8=0,0,B8*I8)))</f>
        <v/>
      </c>
      <c r="K8" s="71">
        <f>IF(A8="","",IF(N(J8)&gt;0,"Yes",""))</f>
        <v/>
      </c>
      <c r="L8" s="60">
        <f>IF(A8="","",IF(F8="Paid","Paid",IF(N(J8)&lt;=0,"Not this period",IF(AND(H8&lt;&gt;"",H8&lt;TODAY()),"Overdue",IF(AND(H8&lt;&gt;"",H8&lt;=TODAY()+7),"Due soon","Scheduled")))))</f>
        <v/>
      </c>
      <c r="M8" s="72">
        <f>IF(OR(A8="",N(J8)&lt;=0),"",COUNTIF($J$5:$J8,"&gt;0"))</f>
        <v/>
      </c>
    </row>
    <row r="9" ht="18" customHeight="1">
      <c r="A9" s="44" t="inlineStr">
        <is>
          <t>Car insurance</t>
        </is>
      </c>
      <c r="B9" s="67" t="n">
        <v>142</v>
      </c>
      <c r="C9" s="68" t="n">
        <v>46246</v>
      </c>
      <c r="D9" s="69" t="inlineStr">
        <is>
          <t>Monthly</t>
        </is>
      </c>
      <c r="E9" s="44" t="n"/>
      <c r="F9" s="69" t="inlineStr">
        <is>
          <t>Unpaid</t>
        </is>
      </c>
      <c r="G9" s="67" t="n"/>
      <c r="H9" s="70">
        <f>IF(OR(A9="",C9="",D9=""),"",IF(D9="One-Time",IF(AND(C9&gt;=PeriodStart,C9&lt;=PeriodEnd),C9,""),IF(OR(D9="Weekly",D9="Bi-Weekly"),IF(C9&gt;PeriodEnd,"",MAX(C9,C9+IF(D9="Weekly",7,14)*CEILING(MAX(0,PeriodStart-C9)/IF(D9="Weekly",7,14),1))),IF(OR(D9="Monthly",D9="Quarterly",D9="Yearly"),IF(EDATE(C9,CEILING(MAX(0,(YEAR(PeriodStart)-YEAR(C9))*12+(MONTH(PeriodStart)-MONTH(C9)))/IF(D9="Monthly",1,IF(D9="Quarterly",3,12)),1)*IF(D9="Monthly",1,IF(D9="Quarterly",3,12)))&lt;PeriodStart,EDATE(C9,CEILING(MAX(0,(YEAR(PeriodStart)-YEAR(C9))*12+(MONTH(PeriodStart)-MONTH(C9)))/IF(D9="Monthly",1,IF(D9="Quarterly",3,12)),1)*IF(D9="Monthly",1,IF(D9="Quarterly",3,12))+IF(D9="Monthly",1,IF(D9="Quarterly",3,12))),EDATE(C9,CEILING(MAX(0,(YEAR(PeriodStart)-YEAR(C9))*12+(MONTH(PeriodStart)-MONTH(C9)))/IF(D9="Monthly",1,IF(D9="Quarterly",3,12)),1)*IF(D9="Monthly",1,IF(D9="Quarterly",3,12)))),""))))</f>
        <v/>
      </c>
      <c r="I9" s="71">
        <f>IF(A9="","",IF(H9="",0,IF(OR(D9="Monthly",D9="Quarterly",D9="Yearly",D9="One-Time"),IF(AND(H9&gt;=PeriodStart,H9&lt;=PeriodEnd),1,0),IF(D9="Weekly",1+INT((PeriodEnd-H9)/7),IF(D9="Bi-Weekly",1+INT((PeriodEnd-H9)/14),0)))))</f>
        <v/>
      </c>
      <c r="J9" s="24">
        <f>IF(A9="","",IF(G9&lt;&gt;"",G9,IF(I9=0,0,B9*I9)))</f>
        <v/>
      </c>
      <c r="K9" s="71">
        <f>IF(A9="","",IF(N(J9)&gt;0,"Yes",""))</f>
        <v/>
      </c>
      <c r="L9" s="60">
        <f>IF(A9="","",IF(F9="Paid","Paid",IF(N(J9)&lt;=0,"Not this period",IF(AND(H9&lt;&gt;"",H9&lt;TODAY()),"Overdue",IF(AND(H9&lt;&gt;"",H9&lt;=TODAY()+7),"Due soon","Scheduled")))))</f>
        <v/>
      </c>
      <c r="M9" s="72">
        <f>IF(OR(A9="",N(J9)&lt;=0),"",COUNTIF($J$5:$J9,"&gt;0"))</f>
        <v/>
      </c>
    </row>
    <row r="10" ht="18" customHeight="1">
      <c r="A10" s="44" t="inlineStr">
        <is>
          <t>Credit card min.</t>
        </is>
      </c>
      <c r="B10" s="67" t="n">
        <v>85</v>
      </c>
      <c r="C10" s="68" t="n">
        <v>46252</v>
      </c>
      <c r="D10" s="69" t="inlineStr">
        <is>
          <t>Monthly</t>
        </is>
      </c>
      <c r="E10" s="44" t="n"/>
      <c r="F10" s="69" t="inlineStr">
        <is>
          <t>Unpaid</t>
        </is>
      </c>
      <c r="G10" s="67" t="n"/>
      <c r="H10" s="70">
        <f>IF(OR(A10="",C10="",D10=""),"",IF(D10="One-Time",IF(AND(C10&gt;=PeriodStart,C10&lt;=PeriodEnd),C10,""),IF(OR(D10="Weekly",D10="Bi-Weekly"),IF(C10&gt;PeriodEnd,"",MAX(C10,C10+IF(D10="Weekly",7,14)*CEILING(MAX(0,PeriodStart-C10)/IF(D10="Weekly",7,14),1))),IF(OR(D10="Monthly",D10="Quarterly",D10="Yearly"),IF(EDATE(C10,CEILING(MAX(0,(YEAR(PeriodStart)-YEAR(C10))*12+(MONTH(PeriodStart)-MONTH(C10)))/IF(D10="Monthly",1,IF(D10="Quarterly",3,12)),1)*IF(D10="Monthly",1,IF(D10="Quarterly",3,12)))&lt;PeriodStart,EDATE(C10,CEILING(MAX(0,(YEAR(PeriodStart)-YEAR(C10))*12+(MONTH(PeriodStart)-MONTH(C10)))/IF(D10="Monthly",1,IF(D10="Quarterly",3,12)),1)*IF(D10="Monthly",1,IF(D10="Quarterly",3,12))+IF(D10="Monthly",1,IF(D10="Quarterly",3,12))),EDATE(C10,CEILING(MAX(0,(YEAR(PeriodStart)-YEAR(C10))*12+(MONTH(PeriodStart)-MONTH(C10)))/IF(D10="Monthly",1,IF(D10="Quarterly",3,12)),1)*IF(D10="Monthly",1,IF(D10="Quarterly",3,12)))),""))))</f>
        <v/>
      </c>
      <c r="I10" s="71">
        <f>IF(A10="","",IF(H10="",0,IF(OR(D10="Monthly",D10="Quarterly",D10="Yearly",D10="One-Time"),IF(AND(H10&gt;=PeriodStart,H10&lt;=PeriodEnd),1,0),IF(D10="Weekly",1+INT((PeriodEnd-H10)/7),IF(D10="Bi-Weekly",1+INT((PeriodEnd-H10)/14),0)))))</f>
        <v/>
      </c>
      <c r="J10" s="24">
        <f>IF(A10="","",IF(G10&lt;&gt;"",G10,IF(I10=0,0,B10*I10)))</f>
        <v/>
      </c>
      <c r="K10" s="71">
        <f>IF(A10="","",IF(N(J10)&gt;0,"Yes",""))</f>
        <v/>
      </c>
      <c r="L10" s="60">
        <f>IF(A10="","",IF(F10="Paid","Paid",IF(N(J10)&lt;=0,"Not this period",IF(AND(H10&lt;&gt;"",H10&lt;TODAY()),"Overdue",IF(AND(H10&lt;&gt;"",H10&lt;=TODAY()+7),"Due soon","Scheduled")))))</f>
        <v/>
      </c>
      <c r="M10" s="72">
        <f>IF(OR(A10="",N(J10)&lt;=0),"",COUNTIF($J$5:$J10,"&gt;0"))</f>
        <v/>
      </c>
    </row>
    <row r="11" ht="18" customHeight="1">
      <c r="A11" s="44" t="inlineStr">
        <is>
          <t>Streaming</t>
        </is>
      </c>
      <c r="B11" s="67" t="n">
        <v>16</v>
      </c>
      <c r="C11" s="68" t="n">
        <v>46237</v>
      </c>
      <c r="D11" s="69" t="inlineStr">
        <is>
          <t>Monthly</t>
        </is>
      </c>
      <c r="E11" s="44" t="n"/>
      <c r="F11" s="69" t="inlineStr">
        <is>
          <t>Paid</t>
        </is>
      </c>
      <c r="G11" s="67" t="n"/>
      <c r="H11" s="70">
        <f>IF(OR(A11="",C11="",D11=""),"",IF(D11="One-Time",IF(AND(C11&gt;=PeriodStart,C11&lt;=PeriodEnd),C11,""),IF(OR(D11="Weekly",D11="Bi-Weekly"),IF(C11&gt;PeriodEnd,"",MAX(C11,C11+IF(D11="Weekly",7,14)*CEILING(MAX(0,PeriodStart-C11)/IF(D11="Weekly",7,14),1))),IF(OR(D11="Monthly",D11="Quarterly",D11="Yearly"),IF(EDATE(C11,CEILING(MAX(0,(YEAR(PeriodStart)-YEAR(C11))*12+(MONTH(PeriodStart)-MONTH(C11)))/IF(D11="Monthly",1,IF(D11="Quarterly",3,12)),1)*IF(D11="Monthly",1,IF(D11="Quarterly",3,12)))&lt;PeriodStart,EDATE(C11,CEILING(MAX(0,(YEAR(PeriodStart)-YEAR(C11))*12+(MONTH(PeriodStart)-MONTH(C11)))/IF(D11="Monthly",1,IF(D11="Quarterly",3,12)),1)*IF(D11="Monthly",1,IF(D11="Quarterly",3,12))+IF(D11="Monthly",1,IF(D11="Quarterly",3,12))),EDATE(C11,CEILING(MAX(0,(YEAR(PeriodStart)-YEAR(C11))*12+(MONTH(PeriodStart)-MONTH(C11)))/IF(D11="Monthly",1,IF(D11="Quarterly",3,12)),1)*IF(D11="Monthly",1,IF(D11="Quarterly",3,12)))),""))))</f>
        <v/>
      </c>
      <c r="I11" s="71">
        <f>IF(A11="","",IF(H11="",0,IF(OR(D11="Monthly",D11="Quarterly",D11="Yearly",D11="One-Time"),IF(AND(H11&gt;=PeriodStart,H11&lt;=PeriodEnd),1,0),IF(D11="Weekly",1+INT((PeriodEnd-H11)/7),IF(D11="Bi-Weekly",1+INT((PeriodEnd-H11)/14),0)))))</f>
        <v/>
      </c>
      <c r="J11" s="24">
        <f>IF(A11="","",IF(G11&lt;&gt;"",G11,IF(I11=0,0,B11*I11)))</f>
        <v/>
      </c>
      <c r="K11" s="71">
        <f>IF(A11="","",IF(N(J11)&gt;0,"Yes",""))</f>
        <v/>
      </c>
      <c r="L11" s="60">
        <f>IF(A11="","",IF(F11="Paid","Paid",IF(N(J11)&lt;=0,"Not this period",IF(AND(H11&lt;&gt;"",H11&lt;TODAY()),"Overdue",IF(AND(H11&lt;&gt;"",H11&lt;=TODAY()+7),"Due soon","Scheduled")))))</f>
        <v/>
      </c>
      <c r="M11" s="72">
        <f>IF(OR(A11="",N(J11)&lt;=0),"",COUNTIF($J$5:$J11,"&gt;0"))</f>
        <v/>
      </c>
    </row>
    <row r="12" ht="18" customHeight="1">
      <c r="A12" s="44" t="inlineStr">
        <is>
          <t>Gym (weekly)</t>
        </is>
      </c>
      <c r="B12" s="67" t="n">
        <v>12</v>
      </c>
      <c r="C12" s="68" t="n">
        <v>46241</v>
      </c>
      <c r="D12" s="69" t="inlineStr">
        <is>
          <t>Weekly</t>
        </is>
      </c>
      <c r="E12" s="44" t="n"/>
      <c r="F12" s="69" t="inlineStr">
        <is>
          <t>Unpaid</t>
        </is>
      </c>
      <c r="G12" s="67" t="n"/>
      <c r="H12" s="70">
        <f>IF(OR(A12="",C12="",D12=""),"",IF(D12="One-Time",IF(AND(C12&gt;=PeriodStart,C12&lt;=PeriodEnd),C12,""),IF(OR(D12="Weekly",D12="Bi-Weekly"),IF(C12&gt;PeriodEnd,"",MAX(C12,C12+IF(D12="Weekly",7,14)*CEILING(MAX(0,PeriodStart-C12)/IF(D12="Weekly",7,14),1))),IF(OR(D12="Monthly",D12="Quarterly",D12="Yearly"),IF(EDATE(C12,CEILING(MAX(0,(YEAR(PeriodStart)-YEAR(C12))*12+(MONTH(PeriodStart)-MONTH(C12)))/IF(D12="Monthly",1,IF(D12="Quarterly",3,12)),1)*IF(D12="Monthly",1,IF(D12="Quarterly",3,12)))&lt;PeriodStart,EDATE(C12,CEILING(MAX(0,(YEAR(PeriodStart)-YEAR(C12))*12+(MONTH(PeriodStart)-MONTH(C12)))/IF(D12="Monthly",1,IF(D12="Quarterly",3,12)),1)*IF(D12="Monthly",1,IF(D12="Quarterly",3,12))+IF(D12="Monthly",1,IF(D12="Quarterly",3,12))),EDATE(C12,CEILING(MAX(0,(YEAR(PeriodStart)-YEAR(C12))*12+(MONTH(PeriodStart)-MONTH(C12)))/IF(D12="Monthly",1,IF(D12="Quarterly",3,12)),1)*IF(D12="Monthly",1,IF(D12="Quarterly",3,12)))),""))))</f>
        <v/>
      </c>
      <c r="I12" s="71">
        <f>IF(A12="","",IF(H12="",0,IF(OR(D12="Monthly",D12="Quarterly",D12="Yearly",D12="One-Time"),IF(AND(H12&gt;=PeriodStart,H12&lt;=PeriodEnd),1,0),IF(D12="Weekly",1+INT((PeriodEnd-H12)/7),IF(D12="Bi-Weekly",1+INT((PeriodEnd-H12)/14),0)))))</f>
        <v/>
      </c>
      <c r="J12" s="24">
        <f>IF(A12="","",IF(G12&lt;&gt;"",G12,IF(I12=0,0,B12*I12)))</f>
        <v/>
      </c>
      <c r="K12" s="71">
        <f>IF(A12="","",IF(N(J12)&gt;0,"Yes",""))</f>
        <v/>
      </c>
      <c r="L12" s="60">
        <f>IF(A12="","",IF(F12="Paid","Paid",IF(N(J12)&lt;=0,"Not this period",IF(AND(H12&lt;&gt;"",H12&lt;TODAY()),"Overdue",IF(AND(H12&lt;&gt;"",H12&lt;=TODAY()+7),"Due soon","Scheduled")))))</f>
        <v/>
      </c>
      <c r="M12" s="72">
        <f>IF(OR(A12="",N(J12)&lt;=0),"",COUNTIF($J$5:$J12,"&gt;0"))</f>
        <v/>
      </c>
    </row>
    <row r="13" ht="18" customHeight="1">
      <c r="A13" s="44" t="inlineStr">
        <is>
          <t>Vet visit</t>
        </is>
      </c>
      <c r="B13" s="67" t="n">
        <v>80</v>
      </c>
      <c r="C13" s="68" t="n">
        <v>46248</v>
      </c>
      <c r="D13" s="69" t="inlineStr">
        <is>
          <t>One-Time</t>
        </is>
      </c>
      <c r="E13" s="44" t="n"/>
      <c r="F13" s="69" t="inlineStr">
        <is>
          <t>Unpaid</t>
        </is>
      </c>
      <c r="G13" s="67" t="n"/>
      <c r="H13" s="70">
        <f>IF(OR(A13="",C13="",D13=""),"",IF(D13="One-Time",IF(AND(C13&gt;=PeriodStart,C13&lt;=PeriodEnd),C13,""),IF(OR(D13="Weekly",D13="Bi-Weekly"),IF(C13&gt;PeriodEnd,"",MAX(C13,C13+IF(D13="Weekly",7,14)*CEILING(MAX(0,PeriodStart-C13)/IF(D13="Weekly",7,14),1))),IF(OR(D13="Monthly",D13="Quarterly",D13="Yearly"),IF(EDATE(C13,CEILING(MAX(0,(YEAR(PeriodStart)-YEAR(C13))*12+(MONTH(PeriodStart)-MONTH(C13)))/IF(D13="Monthly",1,IF(D13="Quarterly",3,12)),1)*IF(D13="Monthly",1,IF(D13="Quarterly",3,12)))&lt;PeriodStart,EDATE(C13,CEILING(MAX(0,(YEAR(PeriodStart)-YEAR(C13))*12+(MONTH(PeriodStart)-MONTH(C13)))/IF(D13="Monthly",1,IF(D13="Quarterly",3,12)),1)*IF(D13="Monthly",1,IF(D13="Quarterly",3,12))+IF(D13="Monthly",1,IF(D13="Quarterly",3,12))),EDATE(C13,CEILING(MAX(0,(YEAR(PeriodStart)-YEAR(C13))*12+(MONTH(PeriodStart)-MONTH(C13)))/IF(D13="Monthly",1,IF(D13="Quarterly",3,12)),1)*IF(D13="Monthly",1,IF(D13="Quarterly",3,12)))),""))))</f>
        <v/>
      </c>
      <c r="I13" s="71">
        <f>IF(A13="","",IF(H13="",0,IF(OR(D13="Monthly",D13="Quarterly",D13="Yearly",D13="One-Time"),IF(AND(H13&gt;=PeriodStart,H13&lt;=PeriodEnd),1,0),IF(D13="Weekly",1+INT((PeriodEnd-H13)/7),IF(D13="Bi-Weekly",1+INT((PeriodEnd-H13)/14),0)))))</f>
        <v/>
      </c>
      <c r="J13" s="24">
        <f>IF(A13="","",IF(G13&lt;&gt;"",G13,IF(I13=0,0,B13*I13)))</f>
        <v/>
      </c>
      <c r="K13" s="71">
        <f>IF(A13="","",IF(N(J13)&gt;0,"Yes",""))</f>
        <v/>
      </c>
      <c r="L13" s="60">
        <f>IF(A13="","",IF(F13="Paid","Paid",IF(N(J13)&lt;=0,"Not this period",IF(AND(H13&lt;&gt;"",H13&lt;TODAY()),"Overdue",IF(AND(H13&lt;&gt;"",H13&lt;=TODAY()+7),"Due soon","Scheduled")))))</f>
        <v/>
      </c>
      <c r="M13" s="72">
        <f>IF(OR(A13="",N(J13)&lt;=0),"",COUNTIF($J$5:$J13,"&gt;0"))</f>
        <v/>
      </c>
    </row>
    <row r="14" ht="18" customHeight="1">
      <c r="A14" s="44" t="n"/>
      <c r="B14" s="67" t="n"/>
      <c r="C14" s="68" t="n"/>
      <c r="D14" s="69" t="n"/>
      <c r="E14" s="44" t="n"/>
      <c r="F14" s="69" t="n"/>
      <c r="G14" s="67" t="n"/>
      <c r="H14" s="70">
        <f>IF(OR(A14="",C14="",D14=""),"",IF(D14="One-Time",IF(AND(C14&gt;=PeriodStart,C14&lt;=PeriodEnd),C14,""),IF(OR(D14="Weekly",D14="Bi-Weekly"),IF(C14&gt;PeriodEnd,"",MAX(C14,C14+IF(D14="Weekly",7,14)*CEILING(MAX(0,PeriodStart-C14)/IF(D14="Weekly",7,14),1))),IF(OR(D14="Monthly",D14="Quarterly",D14="Yearly"),IF(EDATE(C14,CEILING(MAX(0,(YEAR(PeriodStart)-YEAR(C14))*12+(MONTH(PeriodStart)-MONTH(C14)))/IF(D14="Monthly",1,IF(D14="Quarterly",3,12)),1)*IF(D14="Monthly",1,IF(D14="Quarterly",3,12)))&lt;PeriodStart,EDATE(C14,CEILING(MAX(0,(YEAR(PeriodStart)-YEAR(C14))*12+(MONTH(PeriodStart)-MONTH(C14)))/IF(D14="Monthly",1,IF(D14="Quarterly",3,12)),1)*IF(D14="Monthly",1,IF(D14="Quarterly",3,12))+IF(D14="Monthly",1,IF(D14="Quarterly",3,12))),EDATE(C14,CEILING(MAX(0,(YEAR(PeriodStart)-YEAR(C14))*12+(MONTH(PeriodStart)-MONTH(C14)))/IF(D14="Monthly",1,IF(D14="Quarterly",3,12)),1)*IF(D14="Monthly",1,IF(D14="Quarterly",3,12)))),""))))</f>
        <v/>
      </c>
      <c r="I14" s="71">
        <f>IF(A14="","",IF(H14="",0,IF(OR(D14="Monthly",D14="Quarterly",D14="Yearly",D14="One-Time"),IF(AND(H14&gt;=PeriodStart,H14&lt;=PeriodEnd),1,0),IF(D14="Weekly",1+INT((PeriodEnd-H14)/7),IF(D14="Bi-Weekly",1+INT((PeriodEnd-H14)/14),0)))))</f>
        <v/>
      </c>
      <c r="J14" s="24">
        <f>IF(A14="","",IF(G14&lt;&gt;"",G14,IF(I14=0,0,B14*I14)))</f>
        <v/>
      </c>
      <c r="K14" s="71">
        <f>IF(A14="","",IF(N(J14)&gt;0,"Yes",""))</f>
        <v/>
      </c>
      <c r="L14" s="60">
        <f>IF(A14="","",IF(F14="Paid","Paid",IF(N(J14)&lt;=0,"Not this period",IF(AND(H14&lt;&gt;"",H14&lt;TODAY()),"Overdue",IF(AND(H14&lt;&gt;"",H14&lt;=TODAY()+7),"Due soon","Scheduled")))))</f>
        <v/>
      </c>
      <c r="M14" s="72">
        <f>IF(OR(A14="",N(J14)&lt;=0),"",COUNTIF($J$5:$J14,"&gt;0"))</f>
        <v/>
      </c>
    </row>
    <row r="15" ht="18" customHeight="1">
      <c r="A15" s="44" t="n"/>
      <c r="B15" s="67" t="n"/>
      <c r="C15" s="68" t="n"/>
      <c r="D15" s="69" t="n"/>
      <c r="E15" s="44" t="n"/>
      <c r="F15" s="69" t="n"/>
      <c r="G15" s="67" t="n"/>
      <c r="H15" s="70">
        <f>IF(OR(A15="",C15="",D15=""),"",IF(D15="One-Time",IF(AND(C15&gt;=PeriodStart,C15&lt;=PeriodEnd),C15,""),IF(OR(D15="Weekly",D15="Bi-Weekly"),IF(C15&gt;PeriodEnd,"",MAX(C15,C15+IF(D15="Weekly",7,14)*CEILING(MAX(0,PeriodStart-C15)/IF(D15="Weekly",7,14),1))),IF(OR(D15="Monthly",D15="Quarterly",D15="Yearly"),IF(EDATE(C15,CEILING(MAX(0,(YEAR(PeriodStart)-YEAR(C15))*12+(MONTH(PeriodStart)-MONTH(C15)))/IF(D15="Monthly",1,IF(D15="Quarterly",3,12)),1)*IF(D15="Monthly",1,IF(D15="Quarterly",3,12)))&lt;PeriodStart,EDATE(C15,CEILING(MAX(0,(YEAR(PeriodStart)-YEAR(C15))*12+(MONTH(PeriodStart)-MONTH(C15)))/IF(D15="Monthly",1,IF(D15="Quarterly",3,12)),1)*IF(D15="Monthly",1,IF(D15="Quarterly",3,12))+IF(D15="Monthly",1,IF(D15="Quarterly",3,12))),EDATE(C15,CEILING(MAX(0,(YEAR(PeriodStart)-YEAR(C15))*12+(MONTH(PeriodStart)-MONTH(C15)))/IF(D15="Monthly",1,IF(D15="Quarterly",3,12)),1)*IF(D15="Monthly",1,IF(D15="Quarterly",3,12)))),""))))</f>
        <v/>
      </c>
      <c r="I15" s="71">
        <f>IF(A15="","",IF(H15="",0,IF(OR(D15="Monthly",D15="Quarterly",D15="Yearly",D15="One-Time"),IF(AND(H15&gt;=PeriodStart,H15&lt;=PeriodEnd),1,0),IF(D15="Weekly",1+INT((PeriodEnd-H15)/7),IF(D15="Bi-Weekly",1+INT((PeriodEnd-H15)/14),0)))))</f>
        <v/>
      </c>
      <c r="J15" s="24">
        <f>IF(A15="","",IF(G15&lt;&gt;"",G15,IF(I15=0,0,B15*I15)))</f>
        <v/>
      </c>
      <c r="K15" s="71">
        <f>IF(A15="","",IF(N(J15)&gt;0,"Yes",""))</f>
        <v/>
      </c>
      <c r="L15" s="60">
        <f>IF(A15="","",IF(F15="Paid","Paid",IF(N(J15)&lt;=0,"Not this period",IF(AND(H15&lt;&gt;"",H15&lt;TODAY()),"Overdue",IF(AND(H15&lt;&gt;"",H15&lt;=TODAY()+7),"Due soon","Scheduled")))))</f>
        <v/>
      </c>
      <c r="M15" s="72">
        <f>IF(OR(A15="",N(J15)&lt;=0),"",COUNTIF($J$5:$J15,"&gt;0"))</f>
        <v/>
      </c>
    </row>
    <row r="16" ht="18" customHeight="1">
      <c r="A16" s="44" t="n"/>
      <c r="B16" s="67" t="n"/>
      <c r="C16" s="68" t="n"/>
      <c r="D16" s="69" t="n"/>
      <c r="E16" s="44" t="n"/>
      <c r="F16" s="69" t="n"/>
      <c r="G16" s="67" t="n"/>
      <c r="H16" s="70">
        <f>IF(OR(A16="",C16="",D16=""),"",IF(D16="One-Time",IF(AND(C16&gt;=PeriodStart,C16&lt;=PeriodEnd),C16,""),IF(OR(D16="Weekly",D16="Bi-Weekly"),IF(C16&gt;PeriodEnd,"",MAX(C16,C16+IF(D16="Weekly",7,14)*CEILING(MAX(0,PeriodStart-C16)/IF(D16="Weekly",7,14),1))),IF(OR(D16="Monthly",D16="Quarterly",D16="Yearly"),IF(EDATE(C16,CEILING(MAX(0,(YEAR(PeriodStart)-YEAR(C16))*12+(MONTH(PeriodStart)-MONTH(C16)))/IF(D16="Monthly",1,IF(D16="Quarterly",3,12)),1)*IF(D16="Monthly",1,IF(D16="Quarterly",3,12)))&lt;PeriodStart,EDATE(C16,CEILING(MAX(0,(YEAR(PeriodStart)-YEAR(C16))*12+(MONTH(PeriodStart)-MONTH(C16)))/IF(D16="Monthly",1,IF(D16="Quarterly",3,12)),1)*IF(D16="Monthly",1,IF(D16="Quarterly",3,12))+IF(D16="Monthly",1,IF(D16="Quarterly",3,12))),EDATE(C16,CEILING(MAX(0,(YEAR(PeriodStart)-YEAR(C16))*12+(MONTH(PeriodStart)-MONTH(C16)))/IF(D16="Monthly",1,IF(D16="Quarterly",3,12)),1)*IF(D16="Monthly",1,IF(D16="Quarterly",3,12)))),""))))</f>
        <v/>
      </c>
      <c r="I16" s="71">
        <f>IF(A16="","",IF(H16="",0,IF(OR(D16="Monthly",D16="Quarterly",D16="Yearly",D16="One-Time"),IF(AND(H16&gt;=PeriodStart,H16&lt;=PeriodEnd),1,0),IF(D16="Weekly",1+INT((PeriodEnd-H16)/7),IF(D16="Bi-Weekly",1+INT((PeriodEnd-H16)/14),0)))))</f>
        <v/>
      </c>
      <c r="J16" s="24">
        <f>IF(A16="","",IF(G16&lt;&gt;"",G16,IF(I16=0,0,B16*I16)))</f>
        <v/>
      </c>
      <c r="K16" s="71">
        <f>IF(A16="","",IF(N(J16)&gt;0,"Yes",""))</f>
        <v/>
      </c>
      <c r="L16" s="60">
        <f>IF(A16="","",IF(F16="Paid","Paid",IF(N(J16)&lt;=0,"Not this period",IF(AND(H16&lt;&gt;"",H16&lt;TODAY()),"Overdue",IF(AND(H16&lt;&gt;"",H16&lt;=TODAY()+7),"Due soon","Scheduled")))))</f>
        <v/>
      </c>
      <c r="M16" s="72">
        <f>IF(OR(A16="",N(J16)&lt;=0),"",COUNTIF($J$5:$J16,"&gt;0"))</f>
        <v/>
      </c>
    </row>
    <row r="17" ht="18" customHeight="1">
      <c r="A17" s="44" t="n"/>
      <c r="B17" s="67" t="n"/>
      <c r="C17" s="68" t="n"/>
      <c r="D17" s="69" t="n"/>
      <c r="E17" s="44" t="n"/>
      <c r="F17" s="69" t="n"/>
      <c r="G17" s="67" t="n"/>
      <c r="H17" s="70">
        <f>IF(OR(A17="",C17="",D17=""),"",IF(D17="One-Time",IF(AND(C17&gt;=PeriodStart,C17&lt;=PeriodEnd),C17,""),IF(OR(D17="Weekly",D17="Bi-Weekly"),IF(C17&gt;PeriodEnd,"",MAX(C17,C17+IF(D17="Weekly",7,14)*CEILING(MAX(0,PeriodStart-C17)/IF(D17="Weekly",7,14),1))),IF(OR(D17="Monthly",D17="Quarterly",D17="Yearly"),IF(EDATE(C17,CEILING(MAX(0,(YEAR(PeriodStart)-YEAR(C17))*12+(MONTH(PeriodStart)-MONTH(C17)))/IF(D17="Monthly",1,IF(D17="Quarterly",3,12)),1)*IF(D17="Monthly",1,IF(D17="Quarterly",3,12)))&lt;PeriodStart,EDATE(C17,CEILING(MAX(0,(YEAR(PeriodStart)-YEAR(C17))*12+(MONTH(PeriodStart)-MONTH(C17)))/IF(D17="Monthly",1,IF(D17="Quarterly",3,12)),1)*IF(D17="Monthly",1,IF(D17="Quarterly",3,12))+IF(D17="Monthly",1,IF(D17="Quarterly",3,12))),EDATE(C17,CEILING(MAX(0,(YEAR(PeriodStart)-YEAR(C17))*12+(MONTH(PeriodStart)-MONTH(C17)))/IF(D17="Monthly",1,IF(D17="Quarterly",3,12)),1)*IF(D17="Monthly",1,IF(D17="Quarterly",3,12)))),""))))</f>
        <v/>
      </c>
      <c r="I17" s="71">
        <f>IF(A17="","",IF(H17="",0,IF(OR(D17="Monthly",D17="Quarterly",D17="Yearly",D17="One-Time"),IF(AND(H17&gt;=PeriodStart,H17&lt;=PeriodEnd),1,0),IF(D17="Weekly",1+INT((PeriodEnd-H17)/7),IF(D17="Bi-Weekly",1+INT((PeriodEnd-H17)/14),0)))))</f>
        <v/>
      </c>
      <c r="J17" s="24">
        <f>IF(A17="","",IF(G17&lt;&gt;"",G17,IF(I17=0,0,B17*I17)))</f>
        <v/>
      </c>
      <c r="K17" s="71">
        <f>IF(A17="","",IF(N(J17)&gt;0,"Yes",""))</f>
        <v/>
      </c>
      <c r="L17" s="60">
        <f>IF(A17="","",IF(F17="Paid","Paid",IF(N(J17)&lt;=0,"Not this period",IF(AND(H17&lt;&gt;"",H17&lt;TODAY()),"Overdue",IF(AND(H17&lt;&gt;"",H17&lt;=TODAY()+7),"Due soon","Scheduled")))))</f>
        <v/>
      </c>
      <c r="M17" s="72">
        <f>IF(OR(A17="",N(J17)&lt;=0),"",COUNTIF($J$5:$J17,"&gt;0"))</f>
        <v/>
      </c>
    </row>
    <row r="18" ht="18" customHeight="1">
      <c r="A18" s="44" t="n"/>
      <c r="B18" s="67" t="n"/>
      <c r="C18" s="68" t="n"/>
      <c r="D18" s="69" t="n"/>
      <c r="E18" s="44" t="n"/>
      <c r="F18" s="69" t="n"/>
      <c r="G18" s="67" t="n"/>
      <c r="H18" s="70">
        <f>IF(OR(A18="",C18="",D18=""),"",IF(D18="One-Time",IF(AND(C18&gt;=PeriodStart,C18&lt;=PeriodEnd),C18,""),IF(OR(D18="Weekly",D18="Bi-Weekly"),IF(C18&gt;PeriodEnd,"",MAX(C18,C18+IF(D18="Weekly",7,14)*CEILING(MAX(0,PeriodStart-C18)/IF(D18="Weekly",7,14),1))),IF(OR(D18="Monthly",D18="Quarterly",D18="Yearly"),IF(EDATE(C18,CEILING(MAX(0,(YEAR(PeriodStart)-YEAR(C18))*12+(MONTH(PeriodStart)-MONTH(C18)))/IF(D18="Monthly",1,IF(D18="Quarterly",3,12)),1)*IF(D18="Monthly",1,IF(D18="Quarterly",3,12)))&lt;PeriodStart,EDATE(C18,CEILING(MAX(0,(YEAR(PeriodStart)-YEAR(C18))*12+(MONTH(PeriodStart)-MONTH(C18)))/IF(D18="Monthly",1,IF(D18="Quarterly",3,12)),1)*IF(D18="Monthly",1,IF(D18="Quarterly",3,12))+IF(D18="Monthly",1,IF(D18="Quarterly",3,12))),EDATE(C18,CEILING(MAX(0,(YEAR(PeriodStart)-YEAR(C18))*12+(MONTH(PeriodStart)-MONTH(C18)))/IF(D18="Monthly",1,IF(D18="Quarterly",3,12)),1)*IF(D18="Monthly",1,IF(D18="Quarterly",3,12)))),""))))</f>
        <v/>
      </c>
      <c r="I18" s="71">
        <f>IF(A18="","",IF(H18="",0,IF(OR(D18="Monthly",D18="Quarterly",D18="Yearly",D18="One-Time"),IF(AND(H18&gt;=PeriodStart,H18&lt;=PeriodEnd),1,0),IF(D18="Weekly",1+INT((PeriodEnd-H18)/7),IF(D18="Bi-Weekly",1+INT((PeriodEnd-H18)/14),0)))))</f>
        <v/>
      </c>
      <c r="J18" s="24">
        <f>IF(A18="","",IF(G18&lt;&gt;"",G18,IF(I18=0,0,B18*I18)))</f>
        <v/>
      </c>
      <c r="K18" s="71">
        <f>IF(A18="","",IF(N(J18)&gt;0,"Yes",""))</f>
        <v/>
      </c>
      <c r="L18" s="60">
        <f>IF(A18="","",IF(F18="Paid","Paid",IF(N(J18)&lt;=0,"Not this period",IF(AND(H18&lt;&gt;"",H18&lt;TODAY()),"Overdue",IF(AND(H18&lt;&gt;"",H18&lt;=TODAY()+7),"Due soon","Scheduled")))))</f>
        <v/>
      </c>
      <c r="M18" s="72">
        <f>IF(OR(A18="",N(J18)&lt;=0),"",COUNTIF($J$5:$J18,"&gt;0"))</f>
        <v/>
      </c>
    </row>
    <row r="19" ht="18" customHeight="1">
      <c r="A19" s="44" t="n"/>
      <c r="B19" s="67" t="n"/>
      <c r="C19" s="68" t="n"/>
      <c r="D19" s="69" t="n"/>
      <c r="E19" s="44" t="n"/>
      <c r="F19" s="69" t="n"/>
      <c r="G19" s="67" t="n"/>
      <c r="H19" s="70">
        <f>IF(OR(A19="",C19="",D19=""),"",IF(D19="One-Time",IF(AND(C19&gt;=PeriodStart,C19&lt;=PeriodEnd),C19,""),IF(OR(D19="Weekly",D19="Bi-Weekly"),IF(C19&gt;PeriodEnd,"",MAX(C19,C19+IF(D19="Weekly",7,14)*CEILING(MAX(0,PeriodStart-C19)/IF(D19="Weekly",7,14),1))),IF(OR(D19="Monthly",D19="Quarterly",D19="Yearly"),IF(EDATE(C19,CEILING(MAX(0,(YEAR(PeriodStart)-YEAR(C19))*12+(MONTH(PeriodStart)-MONTH(C19)))/IF(D19="Monthly",1,IF(D19="Quarterly",3,12)),1)*IF(D19="Monthly",1,IF(D19="Quarterly",3,12)))&lt;PeriodStart,EDATE(C19,CEILING(MAX(0,(YEAR(PeriodStart)-YEAR(C19))*12+(MONTH(PeriodStart)-MONTH(C19)))/IF(D19="Monthly",1,IF(D19="Quarterly",3,12)),1)*IF(D19="Monthly",1,IF(D19="Quarterly",3,12))+IF(D19="Monthly",1,IF(D19="Quarterly",3,12))),EDATE(C19,CEILING(MAX(0,(YEAR(PeriodStart)-YEAR(C19))*12+(MONTH(PeriodStart)-MONTH(C19)))/IF(D19="Monthly",1,IF(D19="Quarterly",3,12)),1)*IF(D19="Monthly",1,IF(D19="Quarterly",3,12)))),""))))</f>
        <v/>
      </c>
      <c r="I19" s="71">
        <f>IF(A19="","",IF(H19="",0,IF(OR(D19="Monthly",D19="Quarterly",D19="Yearly",D19="One-Time"),IF(AND(H19&gt;=PeriodStart,H19&lt;=PeriodEnd),1,0),IF(D19="Weekly",1+INT((PeriodEnd-H19)/7),IF(D19="Bi-Weekly",1+INT((PeriodEnd-H19)/14),0)))))</f>
        <v/>
      </c>
      <c r="J19" s="24">
        <f>IF(A19="","",IF(G19&lt;&gt;"",G19,IF(I19=0,0,B19*I19)))</f>
        <v/>
      </c>
      <c r="K19" s="71">
        <f>IF(A19="","",IF(N(J19)&gt;0,"Yes",""))</f>
        <v/>
      </c>
      <c r="L19" s="60">
        <f>IF(A19="","",IF(F19="Paid","Paid",IF(N(J19)&lt;=0,"Not this period",IF(AND(H19&lt;&gt;"",H19&lt;TODAY()),"Overdue",IF(AND(H19&lt;&gt;"",H19&lt;=TODAY()+7),"Due soon","Scheduled")))))</f>
        <v/>
      </c>
      <c r="M19" s="72">
        <f>IF(OR(A19="",N(J19)&lt;=0),"",COUNTIF($J$5:$J19,"&gt;0"))</f>
        <v/>
      </c>
    </row>
    <row r="20" ht="18" customHeight="1">
      <c r="A20" s="44" t="n"/>
      <c r="B20" s="67" t="n"/>
      <c r="C20" s="68" t="n"/>
      <c r="D20" s="69" t="n"/>
      <c r="E20" s="44" t="n"/>
      <c r="F20" s="69" t="n"/>
      <c r="G20" s="67" t="n"/>
      <c r="H20" s="70">
        <f>IF(OR(A20="",C20="",D20=""),"",IF(D20="One-Time",IF(AND(C20&gt;=PeriodStart,C20&lt;=PeriodEnd),C20,""),IF(OR(D20="Weekly",D20="Bi-Weekly"),IF(C20&gt;PeriodEnd,"",MAX(C20,C20+IF(D20="Weekly",7,14)*CEILING(MAX(0,PeriodStart-C20)/IF(D20="Weekly",7,14),1))),IF(OR(D20="Monthly",D20="Quarterly",D20="Yearly"),IF(EDATE(C20,CEILING(MAX(0,(YEAR(PeriodStart)-YEAR(C20))*12+(MONTH(PeriodStart)-MONTH(C20)))/IF(D20="Monthly",1,IF(D20="Quarterly",3,12)),1)*IF(D20="Monthly",1,IF(D20="Quarterly",3,12)))&lt;PeriodStart,EDATE(C20,CEILING(MAX(0,(YEAR(PeriodStart)-YEAR(C20))*12+(MONTH(PeriodStart)-MONTH(C20)))/IF(D20="Monthly",1,IF(D20="Quarterly",3,12)),1)*IF(D20="Monthly",1,IF(D20="Quarterly",3,12))+IF(D20="Monthly",1,IF(D20="Quarterly",3,12))),EDATE(C20,CEILING(MAX(0,(YEAR(PeriodStart)-YEAR(C20))*12+(MONTH(PeriodStart)-MONTH(C20)))/IF(D20="Monthly",1,IF(D20="Quarterly",3,12)),1)*IF(D20="Monthly",1,IF(D20="Quarterly",3,12)))),""))))</f>
        <v/>
      </c>
      <c r="I20" s="71">
        <f>IF(A20="","",IF(H20="",0,IF(OR(D20="Monthly",D20="Quarterly",D20="Yearly",D20="One-Time"),IF(AND(H20&gt;=PeriodStart,H20&lt;=PeriodEnd),1,0),IF(D20="Weekly",1+INT((PeriodEnd-H20)/7),IF(D20="Bi-Weekly",1+INT((PeriodEnd-H20)/14),0)))))</f>
        <v/>
      </c>
      <c r="J20" s="24">
        <f>IF(A20="","",IF(G20&lt;&gt;"",G20,IF(I20=0,0,B20*I20)))</f>
        <v/>
      </c>
      <c r="K20" s="71">
        <f>IF(A20="","",IF(N(J20)&gt;0,"Yes",""))</f>
        <v/>
      </c>
      <c r="L20" s="60">
        <f>IF(A20="","",IF(F20="Paid","Paid",IF(N(J20)&lt;=0,"Not this period",IF(AND(H20&lt;&gt;"",H20&lt;TODAY()),"Overdue",IF(AND(H20&lt;&gt;"",H20&lt;=TODAY()+7),"Due soon","Scheduled")))))</f>
        <v/>
      </c>
      <c r="M20" s="72">
        <f>IF(OR(A20="",N(J20)&lt;=0),"",COUNTIF($J$5:$J20,"&gt;0"))</f>
        <v/>
      </c>
    </row>
    <row r="21" ht="18" customHeight="1">
      <c r="A21" s="44" t="n"/>
      <c r="B21" s="67" t="n"/>
      <c r="C21" s="68" t="n"/>
      <c r="D21" s="69" t="n"/>
      <c r="E21" s="44" t="n"/>
      <c r="F21" s="69" t="n"/>
      <c r="G21" s="67" t="n"/>
      <c r="H21" s="70">
        <f>IF(OR(A21="",C21="",D21=""),"",IF(D21="One-Time",IF(AND(C21&gt;=PeriodStart,C21&lt;=PeriodEnd),C21,""),IF(OR(D21="Weekly",D21="Bi-Weekly"),IF(C21&gt;PeriodEnd,"",MAX(C21,C21+IF(D21="Weekly",7,14)*CEILING(MAX(0,PeriodStart-C21)/IF(D21="Weekly",7,14),1))),IF(OR(D21="Monthly",D21="Quarterly",D21="Yearly"),IF(EDATE(C21,CEILING(MAX(0,(YEAR(PeriodStart)-YEAR(C21))*12+(MONTH(PeriodStart)-MONTH(C21)))/IF(D21="Monthly",1,IF(D21="Quarterly",3,12)),1)*IF(D21="Monthly",1,IF(D21="Quarterly",3,12)))&lt;PeriodStart,EDATE(C21,CEILING(MAX(0,(YEAR(PeriodStart)-YEAR(C21))*12+(MONTH(PeriodStart)-MONTH(C21)))/IF(D21="Monthly",1,IF(D21="Quarterly",3,12)),1)*IF(D21="Monthly",1,IF(D21="Quarterly",3,12))+IF(D21="Monthly",1,IF(D21="Quarterly",3,12))),EDATE(C21,CEILING(MAX(0,(YEAR(PeriodStart)-YEAR(C21))*12+(MONTH(PeriodStart)-MONTH(C21)))/IF(D21="Monthly",1,IF(D21="Quarterly",3,12)),1)*IF(D21="Monthly",1,IF(D21="Quarterly",3,12)))),""))))</f>
        <v/>
      </c>
      <c r="I21" s="71">
        <f>IF(A21="","",IF(H21="",0,IF(OR(D21="Monthly",D21="Quarterly",D21="Yearly",D21="One-Time"),IF(AND(H21&gt;=PeriodStart,H21&lt;=PeriodEnd),1,0),IF(D21="Weekly",1+INT((PeriodEnd-H21)/7),IF(D21="Bi-Weekly",1+INT((PeriodEnd-H21)/14),0)))))</f>
        <v/>
      </c>
      <c r="J21" s="24">
        <f>IF(A21="","",IF(G21&lt;&gt;"",G21,IF(I21=0,0,B21*I21)))</f>
        <v/>
      </c>
      <c r="K21" s="71">
        <f>IF(A21="","",IF(N(J21)&gt;0,"Yes",""))</f>
        <v/>
      </c>
      <c r="L21" s="60">
        <f>IF(A21="","",IF(F21="Paid","Paid",IF(N(J21)&lt;=0,"Not this period",IF(AND(H21&lt;&gt;"",H21&lt;TODAY()),"Overdue",IF(AND(H21&lt;&gt;"",H21&lt;=TODAY()+7),"Due soon","Scheduled")))))</f>
        <v/>
      </c>
      <c r="M21" s="72">
        <f>IF(OR(A21="",N(J21)&lt;=0),"",COUNTIF($J$5:$J21,"&gt;0"))</f>
        <v/>
      </c>
    </row>
    <row r="22" ht="18" customHeight="1">
      <c r="A22" s="44" t="n"/>
      <c r="B22" s="67" t="n"/>
      <c r="C22" s="68" t="n"/>
      <c r="D22" s="69" t="n"/>
      <c r="E22" s="44" t="n"/>
      <c r="F22" s="69" t="n"/>
      <c r="G22" s="67" t="n"/>
      <c r="H22" s="70">
        <f>IF(OR(A22="",C22="",D22=""),"",IF(D22="One-Time",IF(AND(C22&gt;=PeriodStart,C22&lt;=PeriodEnd),C22,""),IF(OR(D22="Weekly",D22="Bi-Weekly"),IF(C22&gt;PeriodEnd,"",MAX(C22,C22+IF(D22="Weekly",7,14)*CEILING(MAX(0,PeriodStart-C22)/IF(D22="Weekly",7,14),1))),IF(OR(D22="Monthly",D22="Quarterly",D22="Yearly"),IF(EDATE(C22,CEILING(MAX(0,(YEAR(PeriodStart)-YEAR(C22))*12+(MONTH(PeriodStart)-MONTH(C22)))/IF(D22="Monthly",1,IF(D22="Quarterly",3,12)),1)*IF(D22="Monthly",1,IF(D22="Quarterly",3,12)))&lt;PeriodStart,EDATE(C22,CEILING(MAX(0,(YEAR(PeriodStart)-YEAR(C22))*12+(MONTH(PeriodStart)-MONTH(C22)))/IF(D22="Monthly",1,IF(D22="Quarterly",3,12)),1)*IF(D22="Monthly",1,IF(D22="Quarterly",3,12))+IF(D22="Monthly",1,IF(D22="Quarterly",3,12))),EDATE(C22,CEILING(MAX(0,(YEAR(PeriodStart)-YEAR(C22))*12+(MONTH(PeriodStart)-MONTH(C22)))/IF(D22="Monthly",1,IF(D22="Quarterly",3,12)),1)*IF(D22="Monthly",1,IF(D22="Quarterly",3,12)))),""))))</f>
        <v/>
      </c>
      <c r="I22" s="71">
        <f>IF(A22="","",IF(H22="",0,IF(OR(D22="Monthly",D22="Quarterly",D22="Yearly",D22="One-Time"),IF(AND(H22&gt;=PeriodStart,H22&lt;=PeriodEnd),1,0),IF(D22="Weekly",1+INT((PeriodEnd-H22)/7),IF(D22="Bi-Weekly",1+INT((PeriodEnd-H22)/14),0)))))</f>
        <v/>
      </c>
      <c r="J22" s="24">
        <f>IF(A22="","",IF(G22&lt;&gt;"",G22,IF(I22=0,0,B22*I22)))</f>
        <v/>
      </c>
      <c r="K22" s="71">
        <f>IF(A22="","",IF(N(J22)&gt;0,"Yes",""))</f>
        <v/>
      </c>
      <c r="L22" s="60">
        <f>IF(A22="","",IF(F22="Paid","Paid",IF(N(J22)&lt;=0,"Not this period",IF(AND(H22&lt;&gt;"",H22&lt;TODAY()),"Overdue",IF(AND(H22&lt;&gt;"",H22&lt;=TODAY()+7),"Due soon","Scheduled")))))</f>
        <v/>
      </c>
      <c r="M22" s="72">
        <f>IF(OR(A22="",N(J22)&lt;=0),"",COUNTIF($J$5:$J22,"&gt;0"))</f>
        <v/>
      </c>
    </row>
    <row r="23" ht="18" customHeight="1">
      <c r="A23" s="44" t="n"/>
      <c r="B23" s="67" t="n"/>
      <c r="C23" s="68" t="n"/>
      <c r="D23" s="69" t="n"/>
      <c r="E23" s="44" t="n"/>
      <c r="F23" s="69" t="n"/>
      <c r="G23" s="67" t="n"/>
      <c r="H23" s="70">
        <f>IF(OR(A23="",C23="",D23=""),"",IF(D23="One-Time",IF(AND(C23&gt;=PeriodStart,C23&lt;=PeriodEnd),C23,""),IF(OR(D23="Weekly",D23="Bi-Weekly"),IF(C23&gt;PeriodEnd,"",MAX(C23,C23+IF(D23="Weekly",7,14)*CEILING(MAX(0,PeriodStart-C23)/IF(D23="Weekly",7,14),1))),IF(OR(D23="Monthly",D23="Quarterly",D23="Yearly"),IF(EDATE(C23,CEILING(MAX(0,(YEAR(PeriodStart)-YEAR(C23))*12+(MONTH(PeriodStart)-MONTH(C23)))/IF(D23="Monthly",1,IF(D23="Quarterly",3,12)),1)*IF(D23="Monthly",1,IF(D23="Quarterly",3,12)))&lt;PeriodStart,EDATE(C23,CEILING(MAX(0,(YEAR(PeriodStart)-YEAR(C23))*12+(MONTH(PeriodStart)-MONTH(C23)))/IF(D23="Monthly",1,IF(D23="Quarterly",3,12)),1)*IF(D23="Monthly",1,IF(D23="Quarterly",3,12))+IF(D23="Monthly",1,IF(D23="Quarterly",3,12))),EDATE(C23,CEILING(MAX(0,(YEAR(PeriodStart)-YEAR(C23))*12+(MONTH(PeriodStart)-MONTH(C23)))/IF(D23="Monthly",1,IF(D23="Quarterly",3,12)),1)*IF(D23="Monthly",1,IF(D23="Quarterly",3,12)))),""))))</f>
        <v/>
      </c>
      <c r="I23" s="71">
        <f>IF(A23="","",IF(H23="",0,IF(OR(D23="Monthly",D23="Quarterly",D23="Yearly",D23="One-Time"),IF(AND(H23&gt;=PeriodStart,H23&lt;=PeriodEnd),1,0),IF(D23="Weekly",1+INT((PeriodEnd-H23)/7),IF(D23="Bi-Weekly",1+INT((PeriodEnd-H23)/14),0)))))</f>
        <v/>
      </c>
      <c r="J23" s="24">
        <f>IF(A23="","",IF(G23&lt;&gt;"",G23,IF(I23=0,0,B23*I23)))</f>
        <v/>
      </c>
      <c r="K23" s="71">
        <f>IF(A23="","",IF(N(J23)&gt;0,"Yes",""))</f>
        <v/>
      </c>
      <c r="L23" s="60">
        <f>IF(A23="","",IF(F23="Paid","Paid",IF(N(J23)&lt;=0,"Not this period",IF(AND(H23&lt;&gt;"",H23&lt;TODAY()),"Overdue",IF(AND(H23&lt;&gt;"",H23&lt;=TODAY()+7),"Due soon","Scheduled")))))</f>
        <v/>
      </c>
      <c r="M23" s="72">
        <f>IF(OR(A23="",N(J23)&lt;=0),"",COUNTIF($J$5:$J23,"&gt;0"))</f>
        <v/>
      </c>
    </row>
    <row r="24" ht="18" customHeight="1">
      <c r="A24" s="44" t="n"/>
      <c r="B24" s="67" t="n"/>
      <c r="C24" s="68" t="n"/>
      <c r="D24" s="69" t="n"/>
      <c r="E24" s="44" t="n"/>
      <c r="F24" s="69" t="n"/>
      <c r="G24" s="67" t="n"/>
      <c r="H24" s="70">
        <f>IF(OR(A24="",C24="",D24=""),"",IF(D24="One-Time",IF(AND(C24&gt;=PeriodStart,C24&lt;=PeriodEnd),C24,""),IF(OR(D24="Weekly",D24="Bi-Weekly"),IF(C24&gt;PeriodEnd,"",MAX(C24,C24+IF(D24="Weekly",7,14)*CEILING(MAX(0,PeriodStart-C24)/IF(D24="Weekly",7,14),1))),IF(OR(D24="Monthly",D24="Quarterly",D24="Yearly"),IF(EDATE(C24,CEILING(MAX(0,(YEAR(PeriodStart)-YEAR(C24))*12+(MONTH(PeriodStart)-MONTH(C24)))/IF(D24="Monthly",1,IF(D24="Quarterly",3,12)),1)*IF(D24="Monthly",1,IF(D24="Quarterly",3,12)))&lt;PeriodStart,EDATE(C24,CEILING(MAX(0,(YEAR(PeriodStart)-YEAR(C24))*12+(MONTH(PeriodStart)-MONTH(C24)))/IF(D24="Monthly",1,IF(D24="Quarterly",3,12)),1)*IF(D24="Monthly",1,IF(D24="Quarterly",3,12))+IF(D24="Monthly",1,IF(D24="Quarterly",3,12))),EDATE(C24,CEILING(MAX(0,(YEAR(PeriodStart)-YEAR(C24))*12+(MONTH(PeriodStart)-MONTH(C24)))/IF(D24="Monthly",1,IF(D24="Quarterly",3,12)),1)*IF(D24="Monthly",1,IF(D24="Quarterly",3,12)))),""))))</f>
        <v/>
      </c>
      <c r="I24" s="71">
        <f>IF(A24="","",IF(H24="",0,IF(OR(D24="Monthly",D24="Quarterly",D24="Yearly",D24="One-Time"),IF(AND(H24&gt;=PeriodStart,H24&lt;=PeriodEnd),1,0),IF(D24="Weekly",1+INT((PeriodEnd-H24)/7),IF(D24="Bi-Weekly",1+INT((PeriodEnd-H24)/14),0)))))</f>
        <v/>
      </c>
      <c r="J24" s="24">
        <f>IF(A24="","",IF(G24&lt;&gt;"",G24,IF(I24=0,0,B24*I24)))</f>
        <v/>
      </c>
      <c r="K24" s="71">
        <f>IF(A24="","",IF(N(J24)&gt;0,"Yes",""))</f>
        <v/>
      </c>
      <c r="L24" s="60">
        <f>IF(A24="","",IF(F24="Paid","Paid",IF(N(J24)&lt;=0,"Not this period",IF(AND(H24&lt;&gt;"",H24&lt;TODAY()),"Overdue",IF(AND(H24&lt;&gt;"",H24&lt;=TODAY()+7),"Due soon","Scheduled")))))</f>
        <v/>
      </c>
      <c r="M24" s="72">
        <f>IF(OR(A24="",N(J24)&lt;=0),"",COUNTIF($J$5:$J24,"&gt;0"))</f>
        <v/>
      </c>
    </row>
    <row r="25" ht="18" customHeight="1">
      <c r="A25" s="44" t="n"/>
      <c r="B25" s="67" t="n"/>
      <c r="C25" s="68" t="n"/>
      <c r="D25" s="69" t="n"/>
      <c r="E25" s="44" t="n"/>
      <c r="F25" s="69" t="n"/>
      <c r="G25" s="67" t="n"/>
      <c r="H25" s="70">
        <f>IF(OR(A25="",C25="",D25=""),"",IF(D25="One-Time",IF(AND(C25&gt;=PeriodStart,C25&lt;=PeriodEnd),C25,""),IF(OR(D25="Weekly",D25="Bi-Weekly"),IF(C25&gt;PeriodEnd,"",MAX(C25,C25+IF(D25="Weekly",7,14)*CEILING(MAX(0,PeriodStart-C25)/IF(D25="Weekly",7,14),1))),IF(OR(D25="Monthly",D25="Quarterly",D25="Yearly"),IF(EDATE(C25,CEILING(MAX(0,(YEAR(PeriodStart)-YEAR(C25))*12+(MONTH(PeriodStart)-MONTH(C25)))/IF(D25="Monthly",1,IF(D25="Quarterly",3,12)),1)*IF(D25="Monthly",1,IF(D25="Quarterly",3,12)))&lt;PeriodStart,EDATE(C25,CEILING(MAX(0,(YEAR(PeriodStart)-YEAR(C25))*12+(MONTH(PeriodStart)-MONTH(C25)))/IF(D25="Monthly",1,IF(D25="Quarterly",3,12)),1)*IF(D25="Monthly",1,IF(D25="Quarterly",3,12))+IF(D25="Monthly",1,IF(D25="Quarterly",3,12))),EDATE(C25,CEILING(MAX(0,(YEAR(PeriodStart)-YEAR(C25))*12+(MONTH(PeriodStart)-MONTH(C25)))/IF(D25="Monthly",1,IF(D25="Quarterly",3,12)),1)*IF(D25="Monthly",1,IF(D25="Quarterly",3,12)))),""))))</f>
        <v/>
      </c>
      <c r="I25" s="71">
        <f>IF(A25="","",IF(H25="",0,IF(OR(D25="Monthly",D25="Quarterly",D25="Yearly",D25="One-Time"),IF(AND(H25&gt;=PeriodStart,H25&lt;=PeriodEnd),1,0),IF(D25="Weekly",1+INT((PeriodEnd-H25)/7),IF(D25="Bi-Weekly",1+INT((PeriodEnd-H25)/14),0)))))</f>
        <v/>
      </c>
      <c r="J25" s="24">
        <f>IF(A25="","",IF(G25&lt;&gt;"",G25,IF(I25=0,0,B25*I25)))</f>
        <v/>
      </c>
      <c r="K25" s="71">
        <f>IF(A25="","",IF(N(J25)&gt;0,"Yes",""))</f>
        <v/>
      </c>
      <c r="L25" s="60">
        <f>IF(A25="","",IF(F25="Paid","Paid",IF(N(J25)&lt;=0,"Not this period",IF(AND(H25&lt;&gt;"",H25&lt;TODAY()),"Overdue",IF(AND(H25&lt;&gt;"",H25&lt;=TODAY()+7),"Due soon","Scheduled")))))</f>
        <v/>
      </c>
      <c r="M25" s="72">
        <f>IF(OR(A25="",N(J25)&lt;=0),"",COUNTIF($J$5:$J25,"&gt;0"))</f>
        <v/>
      </c>
    </row>
    <row r="26" ht="18" customHeight="1">
      <c r="A26" s="44" t="n"/>
      <c r="B26" s="67" t="n"/>
      <c r="C26" s="68" t="n"/>
      <c r="D26" s="69" t="n"/>
      <c r="E26" s="44" t="n"/>
      <c r="F26" s="69" t="n"/>
      <c r="G26" s="67" t="n"/>
      <c r="H26" s="70">
        <f>IF(OR(A26="",C26="",D26=""),"",IF(D26="One-Time",IF(AND(C26&gt;=PeriodStart,C26&lt;=PeriodEnd),C26,""),IF(OR(D26="Weekly",D26="Bi-Weekly"),IF(C26&gt;PeriodEnd,"",MAX(C26,C26+IF(D26="Weekly",7,14)*CEILING(MAX(0,PeriodStart-C26)/IF(D26="Weekly",7,14),1))),IF(OR(D26="Monthly",D26="Quarterly",D26="Yearly"),IF(EDATE(C26,CEILING(MAX(0,(YEAR(PeriodStart)-YEAR(C26))*12+(MONTH(PeriodStart)-MONTH(C26)))/IF(D26="Monthly",1,IF(D26="Quarterly",3,12)),1)*IF(D26="Monthly",1,IF(D26="Quarterly",3,12)))&lt;PeriodStart,EDATE(C26,CEILING(MAX(0,(YEAR(PeriodStart)-YEAR(C26))*12+(MONTH(PeriodStart)-MONTH(C26)))/IF(D26="Monthly",1,IF(D26="Quarterly",3,12)),1)*IF(D26="Monthly",1,IF(D26="Quarterly",3,12))+IF(D26="Monthly",1,IF(D26="Quarterly",3,12))),EDATE(C26,CEILING(MAX(0,(YEAR(PeriodStart)-YEAR(C26))*12+(MONTH(PeriodStart)-MONTH(C26)))/IF(D26="Monthly",1,IF(D26="Quarterly",3,12)),1)*IF(D26="Monthly",1,IF(D26="Quarterly",3,12)))),""))))</f>
        <v/>
      </c>
      <c r="I26" s="71">
        <f>IF(A26="","",IF(H26="",0,IF(OR(D26="Monthly",D26="Quarterly",D26="Yearly",D26="One-Time"),IF(AND(H26&gt;=PeriodStart,H26&lt;=PeriodEnd),1,0),IF(D26="Weekly",1+INT((PeriodEnd-H26)/7),IF(D26="Bi-Weekly",1+INT((PeriodEnd-H26)/14),0)))))</f>
        <v/>
      </c>
      <c r="J26" s="24">
        <f>IF(A26="","",IF(G26&lt;&gt;"",G26,IF(I26=0,0,B26*I26)))</f>
        <v/>
      </c>
      <c r="K26" s="71">
        <f>IF(A26="","",IF(N(J26)&gt;0,"Yes",""))</f>
        <v/>
      </c>
      <c r="L26" s="60">
        <f>IF(A26="","",IF(F26="Paid","Paid",IF(N(J26)&lt;=0,"Not this period",IF(AND(H26&lt;&gt;"",H26&lt;TODAY()),"Overdue",IF(AND(H26&lt;&gt;"",H26&lt;=TODAY()+7),"Due soon","Scheduled")))))</f>
        <v/>
      </c>
      <c r="M26" s="72">
        <f>IF(OR(A26="",N(J26)&lt;=0),"",COUNTIF($J$5:$J26,"&gt;0"))</f>
        <v/>
      </c>
    </row>
    <row r="27" ht="18" customHeight="1">
      <c r="A27" s="44" t="n"/>
      <c r="B27" s="67" t="n"/>
      <c r="C27" s="68" t="n"/>
      <c r="D27" s="69" t="n"/>
      <c r="E27" s="44" t="n"/>
      <c r="F27" s="69" t="n"/>
      <c r="G27" s="67" t="n"/>
      <c r="H27" s="70">
        <f>IF(OR(A27="",C27="",D27=""),"",IF(D27="One-Time",IF(AND(C27&gt;=PeriodStart,C27&lt;=PeriodEnd),C27,""),IF(OR(D27="Weekly",D27="Bi-Weekly"),IF(C27&gt;PeriodEnd,"",MAX(C27,C27+IF(D27="Weekly",7,14)*CEILING(MAX(0,PeriodStart-C27)/IF(D27="Weekly",7,14),1))),IF(OR(D27="Monthly",D27="Quarterly",D27="Yearly"),IF(EDATE(C27,CEILING(MAX(0,(YEAR(PeriodStart)-YEAR(C27))*12+(MONTH(PeriodStart)-MONTH(C27)))/IF(D27="Monthly",1,IF(D27="Quarterly",3,12)),1)*IF(D27="Monthly",1,IF(D27="Quarterly",3,12)))&lt;PeriodStart,EDATE(C27,CEILING(MAX(0,(YEAR(PeriodStart)-YEAR(C27))*12+(MONTH(PeriodStart)-MONTH(C27)))/IF(D27="Monthly",1,IF(D27="Quarterly",3,12)),1)*IF(D27="Monthly",1,IF(D27="Quarterly",3,12))+IF(D27="Monthly",1,IF(D27="Quarterly",3,12))),EDATE(C27,CEILING(MAX(0,(YEAR(PeriodStart)-YEAR(C27))*12+(MONTH(PeriodStart)-MONTH(C27)))/IF(D27="Monthly",1,IF(D27="Quarterly",3,12)),1)*IF(D27="Monthly",1,IF(D27="Quarterly",3,12)))),""))))</f>
        <v/>
      </c>
      <c r="I27" s="71">
        <f>IF(A27="","",IF(H27="",0,IF(OR(D27="Monthly",D27="Quarterly",D27="Yearly",D27="One-Time"),IF(AND(H27&gt;=PeriodStart,H27&lt;=PeriodEnd),1,0),IF(D27="Weekly",1+INT((PeriodEnd-H27)/7),IF(D27="Bi-Weekly",1+INT((PeriodEnd-H27)/14),0)))))</f>
        <v/>
      </c>
      <c r="J27" s="24">
        <f>IF(A27="","",IF(G27&lt;&gt;"",G27,IF(I27=0,0,B27*I27)))</f>
        <v/>
      </c>
      <c r="K27" s="71">
        <f>IF(A27="","",IF(N(J27)&gt;0,"Yes",""))</f>
        <v/>
      </c>
      <c r="L27" s="60">
        <f>IF(A27="","",IF(F27="Paid","Paid",IF(N(J27)&lt;=0,"Not this period",IF(AND(H27&lt;&gt;"",H27&lt;TODAY()),"Overdue",IF(AND(H27&lt;&gt;"",H27&lt;=TODAY()+7),"Due soon","Scheduled")))))</f>
        <v/>
      </c>
      <c r="M27" s="72">
        <f>IF(OR(A27="",N(J27)&lt;=0),"",COUNTIF($J$5:$J27,"&gt;0"))</f>
        <v/>
      </c>
    </row>
    <row r="28" ht="18" customHeight="1">
      <c r="A28" s="44" t="n"/>
      <c r="B28" s="67" t="n"/>
      <c r="C28" s="68" t="n"/>
      <c r="D28" s="69" t="n"/>
      <c r="E28" s="44" t="n"/>
      <c r="F28" s="69" t="n"/>
      <c r="G28" s="67" t="n"/>
      <c r="H28" s="70">
        <f>IF(OR(A28="",C28="",D28=""),"",IF(D28="One-Time",IF(AND(C28&gt;=PeriodStart,C28&lt;=PeriodEnd),C28,""),IF(OR(D28="Weekly",D28="Bi-Weekly"),IF(C28&gt;PeriodEnd,"",MAX(C28,C28+IF(D28="Weekly",7,14)*CEILING(MAX(0,PeriodStart-C28)/IF(D28="Weekly",7,14),1))),IF(OR(D28="Monthly",D28="Quarterly",D28="Yearly"),IF(EDATE(C28,CEILING(MAX(0,(YEAR(PeriodStart)-YEAR(C28))*12+(MONTH(PeriodStart)-MONTH(C28)))/IF(D28="Monthly",1,IF(D28="Quarterly",3,12)),1)*IF(D28="Monthly",1,IF(D28="Quarterly",3,12)))&lt;PeriodStart,EDATE(C28,CEILING(MAX(0,(YEAR(PeriodStart)-YEAR(C28))*12+(MONTH(PeriodStart)-MONTH(C28)))/IF(D28="Monthly",1,IF(D28="Quarterly",3,12)),1)*IF(D28="Monthly",1,IF(D28="Quarterly",3,12))+IF(D28="Monthly",1,IF(D28="Quarterly",3,12))),EDATE(C28,CEILING(MAX(0,(YEAR(PeriodStart)-YEAR(C28))*12+(MONTH(PeriodStart)-MONTH(C28)))/IF(D28="Monthly",1,IF(D28="Quarterly",3,12)),1)*IF(D28="Monthly",1,IF(D28="Quarterly",3,12)))),""))))</f>
        <v/>
      </c>
      <c r="I28" s="71">
        <f>IF(A28="","",IF(H28="",0,IF(OR(D28="Monthly",D28="Quarterly",D28="Yearly",D28="One-Time"),IF(AND(H28&gt;=PeriodStart,H28&lt;=PeriodEnd),1,0),IF(D28="Weekly",1+INT((PeriodEnd-H28)/7),IF(D28="Bi-Weekly",1+INT((PeriodEnd-H28)/14),0)))))</f>
        <v/>
      </c>
      <c r="J28" s="24">
        <f>IF(A28="","",IF(G28&lt;&gt;"",G28,IF(I28=0,0,B28*I28)))</f>
        <v/>
      </c>
      <c r="K28" s="71">
        <f>IF(A28="","",IF(N(J28)&gt;0,"Yes",""))</f>
        <v/>
      </c>
      <c r="L28" s="60">
        <f>IF(A28="","",IF(F28="Paid","Paid",IF(N(J28)&lt;=0,"Not this period",IF(AND(H28&lt;&gt;"",H28&lt;TODAY()),"Overdue",IF(AND(H28&lt;&gt;"",H28&lt;=TODAY()+7),"Due soon","Scheduled")))))</f>
        <v/>
      </c>
      <c r="M28" s="72">
        <f>IF(OR(A28="",N(J28)&lt;=0),"",COUNTIF($J$5:$J28,"&gt;0"))</f>
        <v/>
      </c>
    </row>
    <row r="29" ht="18" customHeight="1">
      <c r="A29" s="44" t="n"/>
      <c r="B29" s="67" t="n"/>
      <c r="C29" s="68" t="n"/>
      <c r="D29" s="69" t="n"/>
      <c r="E29" s="44" t="n"/>
      <c r="F29" s="69" t="n"/>
      <c r="G29" s="67" t="n"/>
      <c r="H29" s="70">
        <f>IF(OR(A29="",C29="",D29=""),"",IF(D29="One-Time",IF(AND(C29&gt;=PeriodStart,C29&lt;=PeriodEnd),C29,""),IF(OR(D29="Weekly",D29="Bi-Weekly"),IF(C29&gt;PeriodEnd,"",MAX(C29,C29+IF(D29="Weekly",7,14)*CEILING(MAX(0,PeriodStart-C29)/IF(D29="Weekly",7,14),1))),IF(OR(D29="Monthly",D29="Quarterly",D29="Yearly"),IF(EDATE(C29,CEILING(MAX(0,(YEAR(PeriodStart)-YEAR(C29))*12+(MONTH(PeriodStart)-MONTH(C29)))/IF(D29="Monthly",1,IF(D29="Quarterly",3,12)),1)*IF(D29="Monthly",1,IF(D29="Quarterly",3,12)))&lt;PeriodStart,EDATE(C29,CEILING(MAX(0,(YEAR(PeriodStart)-YEAR(C29))*12+(MONTH(PeriodStart)-MONTH(C29)))/IF(D29="Monthly",1,IF(D29="Quarterly",3,12)),1)*IF(D29="Monthly",1,IF(D29="Quarterly",3,12))+IF(D29="Monthly",1,IF(D29="Quarterly",3,12))),EDATE(C29,CEILING(MAX(0,(YEAR(PeriodStart)-YEAR(C29))*12+(MONTH(PeriodStart)-MONTH(C29)))/IF(D29="Monthly",1,IF(D29="Quarterly",3,12)),1)*IF(D29="Monthly",1,IF(D29="Quarterly",3,12)))),""))))</f>
        <v/>
      </c>
      <c r="I29" s="71">
        <f>IF(A29="","",IF(H29="",0,IF(OR(D29="Monthly",D29="Quarterly",D29="Yearly",D29="One-Time"),IF(AND(H29&gt;=PeriodStart,H29&lt;=PeriodEnd),1,0),IF(D29="Weekly",1+INT((PeriodEnd-H29)/7),IF(D29="Bi-Weekly",1+INT((PeriodEnd-H29)/14),0)))))</f>
        <v/>
      </c>
      <c r="J29" s="24">
        <f>IF(A29="","",IF(G29&lt;&gt;"",G29,IF(I29=0,0,B29*I29)))</f>
        <v/>
      </c>
      <c r="K29" s="71">
        <f>IF(A29="","",IF(N(J29)&gt;0,"Yes",""))</f>
        <v/>
      </c>
      <c r="L29" s="60">
        <f>IF(A29="","",IF(F29="Paid","Paid",IF(N(J29)&lt;=0,"Not this period",IF(AND(H29&lt;&gt;"",H29&lt;TODAY()),"Overdue",IF(AND(H29&lt;&gt;"",H29&lt;=TODAY()+7),"Due soon","Scheduled")))))</f>
        <v/>
      </c>
      <c r="M29" s="72">
        <f>IF(OR(A29="",N(J29)&lt;=0),"",COUNTIF($J$5:$J29,"&gt;0"))</f>
        <v/>
      </c>
    </row>
    <row r="30" ht="18" customHeight="1">
      <c r="A30" s="44" t="n"/>
      <c r="B30" s="67" t="n"/>
      <c r="C30" s="68" t="n"/>
      <c r="D30" s="69" t="n"/>
      <c r="E30" s="44" t="n"/>
      <c r="F30" s="69" t="n"/>
      <c r="G30" s="67" t="n"/>
      <c r="H30" s="70">
        <f>IF(OR(A30="",C30="",D30=""),"",IF(D30="One-Time",IF(AND(C30&gt;=PeriodStart,C30&lt;=PeriodEnd),C30,""),IF(OR(D30="Weekly",D30="Bi-Weekly"),IF(C30&gt;PeriodEnd,"",MAX(C30,C30+IF(D30="Weekly",7,14)*CEILING(MAX(0,PeriodStart-C30)/IF(D30="Weekly",7,14),1))),IF(OR(D30="Monthly",D30="Quarterly",D30="Yearly"),IF(EDATE(C30,CEILING(MAX(0,(YEAR(PeriodStart)-YEAR(C30))*12+(MONTH(PeriodStart)-MONTH(C30)))/IF(D30="Monthly",1,IF(D30="Quarterly",3,12)),1)*IF(D30="Monthly",1,IF(D30="Quarterly",3,12)))&lt;PeriodStart,EDATE(C30,CEILING(MAX(0,(YEAR(PeriodStart)-YEAR(C30))*12+(MONTH(PeriodStart)-MONTH(C30)))/IF(D30="Monthly",1,IF(D30="Quarterly",3,12)),1)*IF(D30="Monthly",1,IF(D30="Quarterly",3,12))+IF(D30="Monthly",1,IF(D30="Quarterly",3,12))),EDATE(C30,CEILING(MAX(0,(YEAR(PeriodStart)-YEAR(C30))*12+(MONTH(PeriodStart)-MONTH(C30)))/IF(D30="Monthly",1,IF(D30="Quarterly",3,12)),1)*IF(D30="Monthly",1,IF(D30="Quarterly",3,12)))),""))))</f>
        <v/>
      </c>
      <c r="I30" s="71">
        <f>IF(A30="","",IF(H30="",0,IF(OR(D30="Monthly",D30="Quarterly",D30="Yearly",D30="One-Time"),IF(AND(H30&gt;=PeriodStart,H30&lt;=PeriodEnd),1,0),IF(D30="Weekly",1+INT((PeriodEnd-H30)/7),IF(D30="Bi-Weekly",1+INT((PeriodEnd-H30)/14),0)))))</f>
        <v/>
      </c>
      <c r="J30" s="24">
        <f>IF(A30="","",IF(G30&lt;&gt;"",G30,IF(I30=0,0,B30*I30)))</f>
        <v/>
      </c>
      <c r="K30" s="71">
        <f>IF(A30="","",IF(N(J30)&gt;0,"Yes",""))</f>
        <v/>
      </c>
      <c r="L30" s="60">
        <f>IF(A30="","",IF(F30="Paid","Paid",IF(N(J30)&lt;=0,"Not this period",IF(AND(H30&lt;&gt;"",H30&lt;TODAY()),"Overdue",IF(AND(H30&lt;&gt;"",H30&lt;=TODAY()+7),"Due soon","Scheduled")))))</f>
        <v/>
      </c>
      <c r="M30" s="72">
        <f>IF(OR(A30="",N(J30)&lt;=0),"",COUNTIF($J$5:$J30,"&gt;0"))</f>
        <v/>
      </c>
    </row>
    <row r="31" ht="18" customHeight="1">
      <c r="A31" s="44" t="n"/>
      <c r="B31" s="67" t="n"/>
      <c r="C31" s="68" t="n"/>
      <c r="D31" s="69" t="n"/>
      <c r="E31" s="44" t="n"/>
      <c r="F31" s="69" t="n"/>
      <c r="G31" s="67" t="n"/>
      <c r="H31" s="70">
        <f>IF(OR(A31="",C31="",D31=""),"",IF(D31="One-Time",IF(AND(C31&gt;=PeriodStart,C31&lt;=PeriodEnd),C31,""),IF(OR(D31="Weekly",D31="Bi-Weekly"),IF(C31&gt;PeriodEnd,"",MAX(C31,C31+IF(D31="Weekly",7,14)*CEILING(MAX(0,PeriodStart-C31)/IF(D31="Weekly",7,14),1))),IF(OR(D31="Monthly",D31="Quarterly",D31="Yearly"),IF(EDATE(C31,CEILING(MAX(0,(YEAR(PeriodStart)-YEAR(C31))*12+(MONTH(PeriodStart)-MONTH(C31)))/IF(D31="Monthly",1,IF(D31="Quarterly",3,12)),1)*IF(D31="Monthly",1,IF(D31="Quarterly",3,12)))&lt;PeriodStart,EDATE(C31,CEILING(MAX(0,(YEAR(PeriodStart)-YEAR(C31))*12+(MONTH(PeriodStart)-MONTH(C31)))/IF(D31="Monthly",1,IF(D31="Quarterly",3,12)),1)*IF(D31="Monthly",1,IF(D31="Quarterly",3,12))+IF(D31="Monthly",1,IF(D31="Quarterly",3,12))),EDATE(C31,CEILING(MAX(0,(YEAR(PeriodStart)-YEAR(C31))*12+(MONTH(PeriodStart)-MONTH(C31)))/IF(D31="Monthly",1,IF(D31="Quarterly",3,12)),1)*IF(D31="Monthly",1,IF(D31="Quarterly",3,12)))),""))))</f>
        <v/>
      </c>
      <c r="I31" s="71">
        <f>IF(A31="","",IF(H31="",0,IF(OR(D31="Monthly",D31="Quarterly",D31="Yearly",D31="One-Time"),IF(AND(H31&gt;=PeriodStart,H31&lt;=PeriodEnd),1,0),IF(D31="Weekly",1+INT((PeriodEnd-H31)/7),IF(D31="Bi-Weekly",1+INT((PeriodEnd-H31)/14),0)))))</f>
        <v/>
      </c>
      <c r="J31" s="24">
        <f>IF(A31="","",IF(G31&lt;&gt;"",G31,IF(I31=0,0,B31*I31)))</f>
        <v/>
      </c>
      <c r="K31" s="71">
        <f>IF(A31="","",IF(N(J31)&gt;0,"Yes",""))</f>
        <v/>
      </c>
      <c r="L31" s="60">
        <f>IF(A31="","",IF(F31="Paid","Paid",IF(N(J31)&lt;=0,"Not this period",IF(AND(H31&lt;&gt;"",H31&lt;TODAY()),"Overdue",IF(AND(H31&lt;&gt;"",H31&lt;=TODAY()+7),"Due soon","Scheduled")))))</f>
        <v/>
      </c>
      <c r="M31" s="72">
        <f>IF(OR(A31="",N(J31)&lt;=0),"",COUNTIF($J$5:$J31,"&gt;0"))</f>
        <v/>
      </c>
    </row>
    <row r="32" ht="18" customHeight="1">
      <c r="A32" s="44" t="n"/>
      <c r="B32" s="67" t="n"/>
      <c r="C32" s="68" t="n"/>
      <c r="D32" s="69" t="n"/>
      <c r="E32" s="44" t="n"/>
      <c r="F32" s="69" t="n"/>
      <c r="G32" s="67" t="n"/>
      <c r="H32" s="70">
        <f>IF(OR(A32="",C32="",D32=""),"",IF(D32="One-Time",IF(AND(C32&gt;=PeriodStart,C32&lt;=PeriodEnd),C32,""),IF(OR(D32="Weekly",D32="Bi-Weekly"),IF(C32&gt;PeriodEnd,"",MAX(C32,C32+IF(D32="Weekly",7,14)*CEILING(MAX(0,PeriodStart-C32)/IF(D32="Weekly",7,14),1))),IF(OR(D32="Monthly",D32="Quarterly",D32="Yearly"),IF(EDATE(C32,CEILING(MAX(0,(YEAR(PeriodStart)-YEAR(C32))*12+(MONTH(PeriodStart)-MONTH(C32)))/IF(D32="Monthly",1,IF(D32="Quarterly",3,12)),1)*IF(D32="Monthly",1,IF(D32="Quarterly",3,12)))&lt;PeriodStart,EDATE(C32,CEILING(MAX(0,(YEAR(PeriodStart)-YEAR(C32))*12+(MONTH(PeriodStart)-MONTH(C32)))/IF(D32="Monthly",1,IF(D32="Quarterly",3,12)),1)*IF(D32="Monthly",1,IF(D32="Quarterly",3,12))+IF(D32="Monthly",1,IF(D32="Quarterly",3,12))),EDATE(C32,CEILING(MAX(0,(YEAR(PeriodStart)-YEAR(C32))*12+(MONTH(PeriodStart)-MONTH(C32)))/IF(D32="Monthly",1,IF(D32="Quarterly",3,12)),1)*IF(D32="Monthly",1,IF(D32="Quarterly",3,12)))),""))))</f>
        <v/>
      </c>
      <c r="I32" s="71">
        <f>IF(A32="","",IF(H32="",0,IF(OR(D32="Monthly",D32="Quarterly",D32="Yearly",D32="One-Time"),IF(AND(H32&gt;=PeriodStart,H32&lt;=PeriodEnd),1,0),IF(D32="Weekly",1+INT((PeriodEnd-H32)/7),IF(D32="Bi-Weekly",1+INT((PeriodEnd-H32)/14),0)))))</f>
        <v/>
      </c>
      <c r="J32" s="24">
        <f>IF(A32="","",IF(G32&lt;&gt;"",G32,IF(I32=0,0,B32*I32)))</f>
        <v/>
      </c>
      <c r="K32" s="71">
        <f>IF(A32="","",IF(N(J32)&gt;0,"Yes",""))</f>
        <v/>
      </c>
      <c r="L32" s="60">
        <f>IF(A32="","",IF(F32="Paid","Paid",IF(N(J32)&lt;=0,"Not this period",IF(AND(H32&lt;&gt;"",H32&lt;TODAY()),"Overdue",IF(AND(H32&lt;&gt;"",H32&lt;=TODAY()+7),"Due soon","Scheduled")))))</f>
        <v/>
      </c>
      <c r="M32" s="72">
        <f>IF(OR(A32="",N(J32)&lt;=0),"",COUNTIF($J$5:$J32,"&gt;0"))</f>
        <v/>
      </c>
    </row>
    <row r="33" ht="18" customHeight="1">
      <c r="A33" s="44" t="n"/>
      <c r="B33" s="67" t="n"/>
      <c r="C33" s="68" t="n"/>
      <c r="D33" s="69" t="n"/>
      <c r="E33" s="44" t="n"/>
      <c r="F33" s="69" t="n"/>
      <c r="G33" s="67" t="n"/>
      <c r="H33" s="70">
        <f>IF(OR(A33="",C33="",D33=""),"",IF(D33="One-Time",IF(AND(C33&gt;=PeriodStart,C33&lt;=PeriodEnd),C33,""),IF(OR(D33="Weekly",D33="Bi-Weekly"),IF(C33&gt;PeriodEnd,"",MAX(C33,C33+IF(D33="Weekly",7,14)*CEILING(MAX(0,PeriodStart-C33)/IF(D33="Weekly",7,14),1))),IF(OR(D33="Monthly",D33="Quarterly",D33="Yearly"),IF(EDATE(C33,CEILING(MAX(0,(YEAR(PeriodStart)-YEAR(C33))*12+(MONTH(PeriodStart)-MONTH(C33)))/IF(D33="Monthly",1,IF(D33="Quarterly",3,12)),1)*IF(D33="Monthly",1,IF(D33="Quarterly",3,12)))&lt;PeriodStart,EDATE(C33,CEILING(MAX(0,(YEAR(PeriodStart)-YEAR(C33))*12+(MONTH(PeriodStart)-MONTH(C33)))/IF(D33="Monthly",1,IF(D33="Quarterly",3,12)),1)*IF(D33="Monthly",1,IF(D33="Quarterly",3,12))+IF(D33="Monthly",1,IF(D33="Quarterly",3,12))),EDATE(C33,CEILING(MAX(0,(YEAR(PeriodStart)-YEAR(C33))*12+(MONTH(PeriodStart)-MONTH(C33)))/IF(D33="Monthly",1,IF(D33="Quarterly",3,12)),1)*IF(D33="Monthly",1,IF(D33="Quarterly",3,12)))),""))))</f>
        <v/>
      </c>
      <c r="I33" s="71">
        <f>IF(A33="","",IF(H33="",0,IF(OR(D33="Monthly",D33="Quarterly",D33="Yearly",D33="One-Time"),IF(AND(H33&gt;=PeriodStart,H33&lt;=PeriodEnd),1,0),IF(D33="Weekly",1+INT((PeriodEnd-H33)/7),IF(D33="Bi-Weekly",1+INT((PeriodEnd-H33)/14),0)))))</f>
        <v/>
      </c>
      <c r="J33" s="24">
        <f>IF(A33="","",IF(G33&lt;&gt;"",G33,IF(I33=0,0,B33*I33)))</f>
        <v/>
      </c>
      <c r="K33" s="71">
        <f>IF(A33="","",IF(N(J33)&gt;0,"Yes",""))</f>
        <v/>
      </c>
      <c r="L33" s="60">
        <f>IF(A33="","",IF(F33="Paid","Paid",IF(N(J33)&lt;=0,"Not this period",IF(AND(H33&lt;&gt;"",H33&lt;TODAY()),"Overdue",IF(AND(H33&lt;&gt;"",H33&lt;=TODAY()+7),"Due soon","Scheduled")))))</f>
        <v/>
      </c>
      <c r="M33" s="72">
        <f>IF(OR(A33="",N(J33)&lt;=0),"",COUNTIF($J$5:$J33,"&gt;0"))</f>
        <v/>
      </c>
    </row>
    <row r="34" ht="18" customHeight="1">
      <c r="A34" s="44" t="n"/>
      <c r="B34" s="67" t="n"/>
      <c r="C34" s="68" t="n"/>
      <c r="D34" s="69" t="n"/>
      <c r="E34" s="44" t="n"/>
      <c r="F34" s="69" t="n"/>
      <c r="G34" s="67" t="n"/>
      <c r="H34" s="70">
        <f>IF(OR(A34="",C34="",D34=""),"",IF(D34="One-Time",IF(AND(C34&gt;=PeriodStart,C34&lt;=PeriodEnd),C34,""),IF(OR(D34="Weekly",D34="Bi-Weekly"),IF(C34&gt;PeriodEnd,"",MAX(C34,C34+IF(D34="Weekly",7,14)*CEILING(MAX(0,PeriodStart-C34)/IF(D34="Weekly",7,14),1))),IF(OR(D34="Monthly",D34="Quarterly",D34="Yearly"),IF(EDATE(C34,CEILING(MAX(0,(YEAR(PeriodStart)-YEAR(C34))*12+(MONTH(PeriodStart)-MONTH(C34)))/IF(D34="Monthly",1,IF(D34="Quarterly",3,12)),1)*IF(D34="Monthly",1,IF(D34="Quarterly",3,12)))&lt;PeriodStart,EDATE(C34,CEILING(MAX(0,(YEAR(PeriodStart)-YEAR(C34))*12+(MONTH(PeriodStart)-MONTH(C34)))/IF(D34="Monthly",1,IF(D34="Quarterly",3,12)),1)*IF(D34="Monthly",1,IF(D34="Quarterly",3,12))+IF(D34="Monthly",1,IF(D34="Quarterly",3,12))),EDATE(C34,CEILING(MAX(0,(YEAR(PeriodStart)-YEAR(C34))*12+(MONTH(PeriodStart)-MONTH(C34)))/IF(D34="Monthly",1,IF(D34="Quarterly",3,12)),1)*IF(D34="Monthly",1,IF(D34="Quarterly",3,12)))),""))))</f>
        <v/>
      </c>
      <c r="I34" s="71">
        <f>IF(A34="","",IF(H34="",0,IF(OR(D34="Monthly",D34="Quarterly",D34="Yearly",D34="One-Time"),IF(AND(H34&gt;=PeriodStart,H34&lt;=PeriodEnd),1,0),IF(D34="Weekly",1+INT((PeriodEnd-H34)/7),IF(D34="Bi-Weekly",1+INT((PeriodEnd-H34)/14),0)))))</f>
        <v/>
      </c>
      <c r="J34" s="24">
        <f>IF(A34="","",IF(G34&lt;&gt;"",G34,IF(I34=0,0,B34*I34)))</f>
        <v/>
      </c>
      <c r="K34" s="71">
        <f>IF(A34="","",IF(N(J34)&gt;0,"Yes",""))</f>
        <v/>
      </c>
      <c r="L34" s="60">
        <f>IF(A34="","",IF(F34="Paid","Paid",IF(N(J34)&lt;=0,"Not this period",IF(AND(H34&lt;&gt;"",H34&lt;TODAY()),"Overdue",IF(AND(H34&lt;&gt;"",H34&lt;=TODAY()+7),"Due soon","Scheduled")))))</f>
        <v/>
      </c>
      <c r="M34" s="72">
        <f>IF(OR(A34="",N(J34)&lt;=0),"",COUNTIF($J$5:$J34,"&gt;0"))</f>
        <v/>
      </c>
    </row>
    <row r="35">
      <c r="A35" s="73" t="inlineStr">
        <is>
          <t>TOTAL THIS PERIOD</t>
        </is>
      </c>
      <c r="B35" s="74" t="n"/>
      <c r="C35" s="74" t="n"/>
      <c r="D35" s="74" t="n"/>
      <c r="E35" s="74" t="n"/>
      <c r="F35" s="74" t="n"/>
      <c r="G35" s="74" t="n"/>
      <c r="H35" s="74" t="n"/>
      <c r="I35" s="74" t="n"/>
      <c r="J35" s="75">
        <f>SUM(J5:J34)</f>
        <v/>
      </c>
      <c r="K35" s="74" t="n"/>
      <c r="L35" s="74" t="n"/>
    </row>
    <row r="37" ht="28" customHeight="1">
      <c r="A37" s="36" t="inlineStr">
        <is>
          <t>Tip: Do not also log a bill payment on the Transaction Log — it would be counted twice. Mark it Paid? here instead. Streaming is a sample monthly bill whose next due date falls outside this period, so it is $0 here.</t>
        </is>
      </c>
    </row>
  </sheetData>
  <autoFilter ref="A4:L34"/>
  <mergeCells count="4">
    <mergeCell ref="A3:L3"/>
    <mergeCell ref="A2:L2"/>
    <mergeCell ref="A1:L1"/>
    <mergeCell ref="A37:L37"/>
  </mergeCells>
  <conditionalFormatting sqref="A5:L34">
    <cfRule type="expression" priority="1" dxfId="3">
      <formula>$L5="Overdue"</formula>
    </cfRule>
    <cfRule type="expression" priority="2" dxfId="4">
      <formula>$L5="Due soon"</formula>
    </cfRule>
  </conditionalFormatting>
  <conditionalFormatting sqref="F5:F34">
    <cfRule type="expression" priority="3" dxfId="5">
      <formula>$F5="Paid"</formula>
    </cfRule>
  </conditionalFormatting>
  <dataValidations count="5">
    <dataValidation sqref="D5:D34" showDropDown="0" showInputMessage="0" showErrorMessage="0" allowBlank="1" type="list">
      <formula1>='Paycheck Setup'!$N$6:$N$11</formula1>
    </dataValidation>
    <dataValidation sqref="F5:F34" showDropDown="0" showInputMessage="0" showErrorMessage="0" allowBlank="1" type="list">
      <formula1>='Paycheck Setup'!$N$13:$N$14</formula1>
    </dataValidation>
    <dataValidation sqref="E5:E34" showDropDown="0" showInputMessage="0" showErrorMessage="0" allowBlank="1" type="list">
      <formula1>='Budget Categories'!$A$5:$A$24</formula1>
    </dataValidation>
    <dataValidation sqref="C5:C34" showDropDown="0" showInputMessage="0" showErrorMessage="0" allowBlank="1" type="date" operator="greaterThanOrEqual">
      <formula1>DATE(2000,1,1)</formula1>
    </dataValidation>
    <dataValidation sqref="B5:B34 G5:G3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6" bottom="0.6" header="0.3" footer="0.3"/>
  <pageSetup orientation="landscape" paperSize="1" fitToHeight="0" fitToWidth="1"/>
  <headerFooter>
    <oddHeader>&amp;LBills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7A4E"/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</cols>
  <sheetData>
    <row r="1" ht="30" customHeight="1">
      <c r="A1" s="1" t="inlineStr">
        <is>
          <t>Budget Categories</t>
        </is>
      </c>
    </row>
    <row r="2" ht="28" customHeight="1">
      <c r="A2" s="64" t="inlineStr">
        <is>
          <t>Plan how the leftover after bills gets spent. Actual fills in from the Transaction Log. Do not put rent or utilities here — those live on the Bills tab.</t>
        </is>
      </c>
    </row>
    <row r="3">
      <c r="A3" s="65">
        <f>IF(PlannedSpending="","","Planned "&amp;TEXT(PlannedSpending,"$#,##0.00")&amp;"   ·   Spent "&amp;TEXT(ActualSpending,"$#,##0.00")&amp;"   ·   Remaining "&amp;TEXT(PlannedSpending-ActualSpending,"$#,##0.00")&amp;"   ·   Used "&amp;TEXT(IF(PlannedSpending=0,0,ActualSpending/PlannedSpending),"0%"))</f>
        <v/>
      </c>
    </row>
    <row r="4" ht="28" customHeight="1">
      <c r="A4" s="66" t="inlineStr">
        <is>
          <t>Category</t>
        </is>
      </c>
      <c r="B4" s="66" t="inlineStr">
        <is>
          <t>Planned</t>
        </is>
      </c>
      <c r="C4" s="66" t="inlineStr">
        <is>
          <t>Actual</t>
        </is>
      </c>
      <c r="D4" s="66" t="inlineStr">
        <is>
          <t>Remaining</t>
        </is>
      </c>
      <c r="E4" s="66" t="inlineStr">
        <is>
          <t>% used</t>
        </is>
      </c>
      <c r="F4" s="66" t="inlineStr">
        <is>
          <t>Progress</t>
        </is>
      </c>
      <c r="G4" s="66" t="inlineStr">
        <is>
          <t>Status</t>
        </is>
      </c>
    </row>
    <row r="5" ht="18" customHeight="1">
      <c r="A5" s="44" t="inlineStr">
        <is>
          <t>Groceries</t>
        </is>
      </c>
      <c r="B5" s="67" t="n">
        <v>180</v>
      </c>
      <c r="C5" s="76">
        <f>IF(A5="","",SUMIFS('Transaction Log'!$D$5:$D$104,'Transaction Log'!$C$5:$C$104,A5,'Transaction Log'!$A$5:$A$104,"&gt;="&amp;PeriodStart,'Transaction Log'!$A$5:$A$104,"&lt;="&amp;PeriodEnd))</f>
        <v/>
      </c>
      <c r="D5" s="76">
        <f>IF(A5="","",B5-C5)</f>
        <v/>
      </c>
      <c r="E5" s="77">
        <f>IF(OR(A5="",B5=0),"",C5/B5)</f>
        <v/>
      </c>
      <c r="F5" s="78">
        <f>IF(A5="","",REPT("█",ROUND(MIN(1,IF(B5=0,0,C5/B5))*16,0))&amp;REPT("░",16-ROUND(MIN(1,IF(B5=0,0,C5/B5))*16,0)))</f>
        <v/>
      </c>
      <c r="G5" s="60">
        <f>IF(A5="","",IF(B5=0,"—",IF(C5&gt;B5,"Over",IF(C5/B5&gt;=0.8,"On track","Under"))))</f>
        <v/>
      </c>
    </row>
    <row r="6" ht="18" customHeight="1">
      <c r="A6" s="44" t="inlineStr">
        <is>
          <t>Gas / Transit</t>
        </is>
      </c>
      <c r="B6" s="67" t="n">
        <v>70</v>
      </c>
      <c r="C6" s="76">
        <f>IF(A6="","",SUMIFS('Transaction Log'!$D$5:$D$104,'Transaction Log'!$C$5:$C$104,A6,'Transaction Log'!$A$5:$A$104,"&gt;="&amp;PeriodStart,'Transaction Log'!$A$5:$A$104,"&lt;="&amp;PeriodEnd))</f>
        <v/>
      </c>
      <c r="D6" s="76">
        <f>IF(A6="","",B6-C6)</f>
        <v/>
      </c>
      <c r="E6" s="77">
        <f>IF(OR(A6="",B6=0),"",C6/B6)</f>
        <v/>
      </c>
      <c r="F6" s="78">
        <f>IF(A6="","",REPT("█",ROUND(MIN(1,IF(B6=0,0,C6/B6))*16,0))&amp;REPT("░",16-ROUND(MIN(1,IF(B6=0,0,C6/B6))*16,0)))</f>
        <v/>
      </c>
      <c r="G6" s="60">
        <f>IF(A6="","",IF(B6=0,"—",IF(C6&gt;B6,"Over",IF(C6/B6&gt;=0.8,"On track","Under"))))</f>
        <v/>
      </c>
    </row>
    <row r="7" ht="18" customHeight="1">
      <c r="A7" s="44" t="inlineStr">
        <is>
          <t>Dining out</t>
        </is>
      </c>
      <c r="B7" s="67" t="n">
        <v>60</v>
      </c>
      <c r="C7" s="76">
        <f>IF(A7="","",SUMIFS('Transaction Log'!$D$5:$D$104,'Transaction Log'!$C$5:$C$104,A7,'Transaction Log'!$A$5:$A$104,"&gt;="&amp;PeriodStart,'Transaction Log'!$A$5:$A$104,"&lt;="&amp;PeriodEnd))</f>
        <v/>
      </c>
      <c r="D7" s="76">
        <f>IF(A7="","",B7-C7)</f>
        <v/>
      </c>
      <c r="E7" s="77">
        <f>IF(OR(A7="",B7=0),"",C7/B7)</f>
        <v/>
      </c>
      <c r="F7" s="78">
        <f>IF(A7="","",REPT("█",ROUND(MIN(1,IF(B7=0,0,C7/B7))*16,0))&amp;REPT("░",16-ROUND(MIN(1,IF(B7=0,0,C7/B7))*16,0)))</f>
        <v/>
      </c>
      <c r="G7" s="60">
        <f>IF(A7="","",IF(B7=0,"—",IF(C7&gt;B7,"Over",IF(C7/B7&gt;=0.8,"On track","Under"))))</f>
        <v/>
      </c>
    </row>
    <row r="8" ht="18" customHeight="1">
      <c r="A8" s="44" t="inlineStr">
        <is>
          <t>Personal care</t>
        </is>
      </c>
      <c r="B8" s="67" t="n">
        <v>30</v>
      </c>
      <c r="C8" s="76">
        <f>IF(A8="","",SUMIFS('Transaction Log'!$D$5:$D$104,'Transaction Log'!$C$5:$C$104,A8,'Transaction Log'!$A$5:$A$104,"&gt;="&amp;PeriodStart,'Transaction Log'!$A$5:$A$104,"&lt;="&amp;PeriodEnd))</f>
        <v/>
      </c>
      <c r="D8" s="76">
        <f>IF(A8="","",B8-C8)</f>
        <v/>
      </c>
      <c r="E8" s="77">
        <f>IF(OR(A8="",B8=0),"",C8/B8)</f>
        <v/>
      </c>
      <c r="F8" s="78">
        <f>IF(A8="","",REPT("█",ROUND(MIN(1,IF(B8=0,0,C8/B8))*16,0))&amp;REPT("░",16-ROUND(MIN(1,IF(B8=0,0,C8/B8))*16,0)))</f>
        <v/>
      </c>
      <c r="G8" s="60">
        <f>IF(A8="","",IF(B8=0,"—",IF(C8&gt;B8,"Over",IF(C8/B8&gt;=0.8,"On track","Under"))))</f>
        <v/>
      </c>
    </row>
    <row r="9" ht="18" customHeight="1">
      <c r="A9" s="44" t="inlineStr">
        <is>
          <t>Fun / Entertainment</t>
        </is>
      </c>
      <c r="B9" s="67" t="n">
        <v>40</v>
      </c>
      <c r="C9" s="76">
        <f>IF(A9="","",SUMIFS('Transaction Log'!$D$5:$D$104,'Transaction Log'!$C$5:$C$104,A9,'Transaction Log'!$A$5:$A$104,"&gt;="&amp;PeriodStart,'Transaction Log'!$A$5:$A$104,"&lt;="&amp;PeriodEnd))</f>
        <v/>
      </c>
      <c r="D9" s="76">
        <f>IF(A9="","",B9-C9)</f>
        <v/>
      </c>
      <c r="E9" s="77">
        <f>IF(OR(A9="",B9=0),"",C9/B9)</f>
        <v/>
      </c>
      <c r="F9" s="78">
        <f>IF(A9="","",REPT("█",ROUND(MIN(1,IF(B9=0,0,C9/B9))*16,0))&amp;REPT("░",16-ROUND(MIN(1,IF(B9=0,0,C9/B9))*16,0)))</f>
        <v/>
      </c>
      <c r="G9" s="60">
        <f>IF(A9="","",IF(B9=0,"—",IF(C9&gt;B9,"Over",IF(C9/B9&gt;=0.8,"On track","Under"))))</f>
        <v/>
      </c>
    </row>
    <row r="10" ht="18" customHeight="1">
      <c r="A10" s="44" t="inlineStr">
        <is>
          <t>Household / Misc</t>
        </is>
      </c>
      <c r="B10" s="67" t="n">
        <v>35</v>
      </c>
      <c r="C10" s="76">
        <f>IF(A10="","",SUMIFS('Transaction Log'!$D$5:$D$104,'Transaction Log'!$C$5:$C$104,A10,'Transaction Log'!$A$5:$A$104,"&gt;="&amp;PeriodStart,'Transaction Log'!$A$5:$A$104,"&lt;="&amp;PeriodEnd))</f>
        <v/>
      </c>
      <c r="D10" s="76">
        <f>IF(A10="","",B10-C10)</f>
        <v/>
      </c>
      <c r="E10" s="77">
        <f>IF(OR(A10="",B10=0),"",C10/B10)</f>
        <v/>
      </c>
      <c r="F10" s="78">
        <f>IF(A10="","",REPT("█",ROUND(MIN(1,IF(B10=0,0,C10/B10))*16,0))&amp;REPT("░",16-ROUND(MIN(1,IF(B10=0,0,C10/B10))*16,0)))</f>
        <v/>
      </c>
      <c r="G10" s="60">
        <f>IF(A10="","",IF(B10=0,"—",IF(C10&gt;B10,"Over",IF(C10/B10&gt;=0.8,"On track","Under"))))</f>
        <v/>
      </c>
    </row>
    <row r="11" ht="18" customHeight="1">
      <c r="A11" s="44" t="inlineStr">
        <is>
          <t>Savings transfer</t>
        </is>
      </c>
      <c r="B11" s="67" t="n">
        <v>150</v>
      </c>
      <c r="C11" s="76">
        <f>IF(A11="","",SUMIFS('Transaction Log'!$D$5:$D$104,'Transaction Log'!$C$5:$C$104,A11,'Transaction Log'!$A$5:$A$104,"&gt;="&amp;PeriodStart,'Transaction Log'!$A$5:$A$104,"&lt;="&amp;PeriodEnd))</f>
        <v/>
      </c>
      <c r="D11" s="76">
        <f>IF(A11="","",B11-C11)</f>
        <v/>
      </c>
      <c r="E11" s="77">
        <f>IF(OR(A11="",B11=0),"",C11/B11)</f>
        <v/>
      </c>
      <c r="F11" s="78">
        <f>IF(A11="","",REPT("█",ROUND(MIN(1,IF(B11=0,0,C11/B11))*16,0))&amp;REPT("░",16-ROUND(MIN(1,IF(B11=0,0,C11/B11))*16,0)))</f>
        <v/>
      </c>
      <c r="G11" s="60">
        <f>IF(A11="","",IF(B11=0,"—",IF(C11&gt;B11,"Over",IF(C11/B11&gt;=0.8,"On track","Under"))))</f>
        <v/>
      </c>
    </row>
    <row r="12" ht="18" customHeight="1">
      <c r="A12" s="44" t="inlineStr">
        <is>
          <t>Buffer</t>
        </is>
      </c>
      <c r="B12" s="67" t="n">
        <v>40</v>
      </c>
      <c r="C12" s="76">
        <f>IF(A12="","",SUMIFS('Transaction Log'!$D$5:$D$104,'Transaction Log'!$C$5:$C$104,A12,'Transaction Log'!$A$5:$A$104,"&gt;="&amp;PeriodStart,'Transaction Log'!$A$5:$A$104,"&lt;="&amp;PeriodEnd))</f>
        <v/>
      </c>
      <c r="D12" s="76">
        <f>IF(A12="","",B12-C12)</f>
        <v/>
      </c>
      <c r="E12" s="77">
        <f>IF(OR(A12="",B12=0),"",C12/B12)</f>
        <v/>
      </c>
      <c r="F12" s="78">
        <f>IF(A12="","",REPT("█",ROUND(MIN(1,IF(B12=0,0,C12/B12))*16,0))&amp;REPT("░",16-ROUND(MIN(1,IF(B12=0,0,C12/B12))*16,0)))</f>
        <v/>
      </c>
      <c r="G12" s="60">
        <f>IF(A12="","",IF(B12=0,"—",IF(C12&gt;B12,"Over",IF(C12/B12&gt;=0.8,"On track","Under"))))</f>
        <v/>
      </c>
    </row>
    <row r="13" ht="18" customHeight="1">
      <c r="A13" s="44" t="n"/>
      <c r="B13" s="67" t="n"/>
      <c r="C13" s="76">
        <f>IF(A13="","",SUMIFS('Transaction Log'!$D$5:$D$104,'Transaction Log'!$C$5:$C$104,A13,'Transaction Log'!$A$5:$A$104,"&gt;="&amp;PeriodStart,'Transaction Log'!$A$5:$A$104,"&lt;="&amp;PeriodEnd))</f>
        <v/>
      </c>
      <c r="D13" s="76">
        <f>IF(A13="","",B13-C13)</f>
        <v/>
      </c>
      <c r="E13" s="77">
        <f>IF(OR(A13="",B13=0),"",C13/B13)</f>
        <v/>
      </c>
      <c r="F13" s="78">
        <f>IF(A13="","",REPT("█",ROUND(MIN(1,IF(B13=0,0,C13/B13))*16,0))&amp;REPT("░",16-ROUND(MIN(1,IF(B13=0,0,C13/B13))*16,0)))</f>
        <v/>
      </c>
      <c r="G13" s="60">
        <f>IF(A13="","",IF(B13=0,"—",IF(C13&gt;B13,"Over",IF(C13/B13&gt;=0.8,"On track","Under"))))</f>
        <v/>
      </c>
    </row>
    <row r="14" ht="18" customHeight="1">
      <c r="A14" s="44" t="n"/>
      <c r="B14" s="67" t="n"/>
      <c r="C14" s="76">
        <f>IF(A14="","",SUMIFS('Transaction Log'!$D$5:$D$104,'Transaction Log'!$C$5:$C$104,A14,'Transaction Log'!$A$5:$A$104,"&gt;="&amp;PeriodStart,'Transaction Log'!$A$5:$A$104,"&lt;="&amp;PeriodEnd))</f>
        <v/>
      </c>
      <c r="D14" s="76">
        <f>IF(A14="","",B14-C14)</f>
        <v/>
      </c>
      <c r="E14" s="77">
        <f>IF(OR(A14="",B14=0),"",C14/B14)</f>
        <v/>
      </c>
      <c r="F14" s="78">
        <f>IF(A14="","",REPT("█",ROUND(MIN(1,IF(B14=0,0,C14/B14))*16,0))&amp;REPT("░",16-ROUND(MIN(1,IF(B14=0,0,C14/B14))*16,0)))</f>
        <v/>
      </c>
      <c r="G14" s="60">
        <f>IF(A14="","",IF(B14=0,"—",IF(C14&gt;B14,"Over",IF(C14/B14&gt;=0.8,"On track","Under"))))</f>
        <v/>
      </c>
    </row>
    <row r="15" ht="18" customHeight="1">
      <c r="A15" s="44" t="n"/>
      <c r="B15" s="67" t="n"/>
      <c r="C15" s="76">
        <f>IF(A15="","",SUMIFS('Transaction Log'!$D$5:$D$104,'Transaction Log'!$C$5:$C$104,A15,'Transaction Log'!$A$5:$A$104,"&gt;="&amp;PeriodStart,'Transaction Log'!$A$5:$A$104,"&lt;="&amp;PeriodEnd))</f>
        <v/>
      </c>
      <c r="D15" s="76">
        <f>IF(A15="","",B15-C15)</f>
        <v/>
      </c>
      <c r="E15" s="77">
        <f>IF(OR(A15="",B15=0),"",C15/B15)</f>
        <v/>
      </c>
      <c r="F15" s="78">
        <f>IF(A15="","",REPT("█",ROUND(MIN(1,IF(B15=0,0,C15/B15))*16,0))&amp;REPT("░",16-ROUND(MIN(1,IF(B15=0,0,C15/B15))*16,0)))</f>
        <v/>
      </c>
      <c r="G15" s="60">
        <f>IF(A15="","",IF(B15=0,"—",IF(C15&gt;B15,"Over",IF(C15/B15&gt;=0.8,"On track","Under"))))</f>
        <v/>
      </c>
    </row>
    <row r="16" ht="18" customHeight="1">
      <c r="A16" s="44" t="n"/>
      <c r="B16" s="67" t="n"/>
      <c r="C16" s="76">
        <f>IF(A16="","",SUMIFS('Transaction Log'!$D$5:$D$104,'Transaction Log'!$C$5:$C$104,A16,'Transaction Log'!$A$5:$A$104,"&gt;="&amp;PeriodStart,'Transaction Log'!$A$5:$A$104,"&lt;="&amp;PeriodEnd))</f>
        <v/>
      </c>
      <c r="D16" s="76">
        <f>IF(A16="","",B16-C16)</f>
        <v/>
      </c>
      <c r="E16" s="77">
        <f>IF(OR(A16="",B16=0),"",C16/B16)</f>
        <v/>
      </c>
      <c r="F16" s="78">
        <f>IF(A16="","",REPT("█",ROUND(MIN(1,IF(B16=0,0,C16/B16))*16,0))&amp;REPT("░",16-ROUND(MIN(1,IF(B16=0,0,C16/B16))*16,0)))</f>
        <v/>
      </c>
      <c r="G16" s="60">
        <f>IF(A16="","",IF(B16=0,"—",IF(C16&gt;B16,"Over",IF(C16/B16&gt;=0.8,"On track","Under"))))</f>
        <v/>
      </c>
    </row>
    <row r="17" ht="18" customHeight="1">
      <c r="A17" s="44" t="n"/>
      <c r="B17" s="67" t="n"/>
      <c r="C17" s="76">
        <f>IF(A17="","",SUMIFS('Transaction Log'!$D$5:$D$104,'Transaction Log'!$C$5:$C$104,A17,'Transaction Log'!$A$5:$A$104,"&gt;="&amp;PeriodStart,'Transaction Log'!$A$5:$A$104,"&lt;="&amp;PeriodEnd))</f>
        <v/>
      </c>
      <c r="D17" s="76">
        <f>IF(A17="","",B17-C17)</f>
        <v/>
      </c>
      <c r="E17" s="77">
        <f>IF(OR(A17="",B17=0),"",C17/B17)</f>
        <v/>
      </c>
      <c r="F17" s="78">
        <f>IF(A17="","",REPT("█",ROUND(MIN(1,IF(B17=0,0,C17/B17))*16,0))&amp;REPT("░",16-ROUND(MIN(1,IF(B17=0,0,C17/B17))*16,0)))</f>
        <v/>
      </c>
      <c r="G17" s="60">
        <f>IF(A17="","",IF(B17=0,"—",IF(C17&gt;B17,"Over",IF(C17/B17&gt;=0.8,"On track","Under"))))</f>
        <v/>
      </c>
    </row>
    <row r="18" ht="18" customHeight="1">
      <c r="A18" s="44" t="n"/>
      <c r="B18" s="67" t="n"/>
      <c r="C18" s="76">
        <f>IF(A18="","",SUMIFS('Transaction Log'!$D$5:$D$104,'Transaction Log'!$C$5:$C$104,A18,'Transaction Log'!$A$5:$A$104,"&gt;="&amp;PeriodStart,'Transaction Log'!$A$5:$A$104,"&lt;="&amp;PeriodEnd))</f>
        <v/>
      </c>
      <c r="D18" s="76">
        <f>IF(A18="","",B18-C18)</f>
        <v/>
      </c>
      <c r="E18" s="77">
        <f>IF(OR(A18="",B18=0),"",C18/B18)</f>
        <v/>
      </c>
      <c r="F18" s="78">
        <f>IF(A18="","",REPT("█",ROUND(MIN(1,IF(B18=0,0,C18/B18))*16,0))&amp;REPT("░",16-ROUND(MIN(1,IF(B18=0,0,C18/B18))*16,0)))</f>
        <v/>
      </c>
      <c r="G18" s="60">
        <f>IF(A18="","",IF(B18=0,"—",IF(C18&gt;B18,"Over",IF(C18/B18&gt;=0.8,"On track","Under"))))</f>
        <v/>
      </c>
    </row>
    <row r="19" ht="18" customHeight="1">
      <c r="A19" s="44" t="n"/>
      <c r="B19" s="67" t="n"/>
      <c r="C19" s="76">
        <f>IF(A19="","",SUMIFS('Transaction Log'!$D$5:$D$104,'Transaction Log'!$C$5:$C$104,A19,'Transaction Log'!$A$5:$A$104,"&gt;="&amp;PeriodStart,'Transaction Log'!$A$5:$A$104,"&lt;="&amp;PeriodEnd))</f>
        <v/>
      </c>
      <c r="D19" s="76">
        <f>IF(A19="","",B19-C19)</f>
        <v/>
      </c>
      <c r="E19" s="77">
        <f>IF(OR(A19="",B19=0),"",C19/B19)</f>
        <v/>
      </c>
      <c r="F19" s="78">
        <f>IF(A19="","",REPT("█",ROUND(MIN(1,IF(B19=0,0,C19/B19))*16,0))&amp;REPT("░",16-ROUND(MIN(1,IF(B19=0,0,C19/B19))*16,0)))</f>
        <v/>
      </c>
      <c r="G19" s="60">
        <f>IF(A19="","",IF(B19=0,"—",IF(C19&gt;B19,"Over",IF(C19/B19&gt;=0.8,"On track","Under"))))</f>
        <v/>
      </c>
    </row>
    <row r="20" ht="18" customHeight="1">
      <c r="A20" s="44" t="n"/>
      <c r="B20" s="67" t="n"/>
      <c r="C20" s="76">
        <f>IF(A20="","",SUMIFS('Transaction Log'!$D$5:$D$104,'Transaction Log'!$C$5:$C$104,A20,'Transaction Log'!$A$5:$A$104,"&gt;="&amp;PeriodStart,'Transaction Log'!$A$5:$A$104,"&lt;="&amp;PeriodEnd))</f>
        <v/>
      </c>
      <c r="D20" s="76">
        <f>IF(A20="","",B20-C20)</f>
        <v/>
      </c>
      <c r="E20" s="77">
        <f>IF(OR(A20="",B20=0),"",C20/B20)</f>
        <v/>
      </c>
      <c r="F20" s="78">
        <f>IF(A20="","",REPT("█",ROUND(MIN(1,IF(B20=0,0,C20/B20))*16,0))&amp;REPT("░",16-ROUND(MIN(1,IF(B20=0,0,C20/B20))*16,0)))</f>
        <v/>
      </c>
      <c r="G20" s="60">
        <f>IF(A20="","",IF(B20=0,"—",IF(C20&gt;B20,"Over",IF(C20/B20&gt;=0.8,"On track","Under"))))</f>
        <v/>
      </c>
    </row>
    <row r="21" ht="18" customHeight="1">
      <c r="A21" s="44" t="n"/>
      <c r="B21" s="67" t="n"/>
      <c r="C21" s="76">
        <f>IF(A21="","",SUMIFS('Transaction Log'!$D$5:$D$104,'Transaction Log'!$C$5:$C$104,A21,'Transaction Log'!$A$5:$A$104,"&gt;="&amp;PeriodStart,'Transaction Log'!$A$5:$A$104,"&lt;="&amp;PeriodEnd))</f>
        <v/>
      </c>
      <c r="D21" s="76">
        <f>IF(A21="","",B21-C21)</f>
        <v/>
      </c>
      <c r="E21" s="77">
        <f>IF(OR(A21="",B21=0),"",C21/B21)</f>
        <v/>
      </c>
      <c r="F21" s="78">
        <f>IF(A21="","",REPT("█",ROUND(MIN(1,IF(B21=0,0,C21/B21))*16,0))&amp;REPT("░",16-ROUND(MIN(1,IF(B21=0,0,C21/B21))*16,0)))</f>
        <v/>
      </c>
      <c r="G21" s="60">
        <f>IF(A21="","",IF(B21=0,"—",IF(C21&gt;B21,"Over",IF(C21/B21&gt;=0.8,"On track","Under"))))</f>
        <v/>
      </c>
    </row>
    <row r="22" ht="18" customHeight="1">
      <c r="A22" s="44" t="n"/>
      <c r="B22" s="67" t="n"/>
      <c r="C22" s="76">
        <f>IF(A22="","",SUMIFS('Transaction Log'!$D$5:$D$104,'Transaction Log'!$C$5:$C$104,A22,'Transaction Log'!$A$5:$A$104,"&gt;="&amp;PeriodStart,'Transaction Log'!$A$5:$A$104,"&lt;="&amp;PeriodEnd))</f>
        <v/>
      </c>
      <c r="D22" s="76">
        <f>IF(A22="","",B22-C22)</f>
        <v/>
      </c>
      <c r="E22" s="77">
        <f>IF(OR(A22="",B22=0),"",C22/B22)</f>
        <v/>
      </c>
      <c r="F22" s="78">
        <f>IF(A22="","",REPT("█",ROUND(MIN(1,IF(B22=0,0,C22/B22))*16,0))&amp;REPT("░",16-ROUND(MIN(1,IF(B22=0,0,C22/B22))*16,0)))</f>
        <v/>
      </c>
      <c r="G22" s="60">
        <f>IF(A22="","",IF(B22=0,"—",IF(C22&gt;B22,"Over",IF(C22/B22&gt;=0.8,"On track","Under"))))</f>
        <v/>
      </c>
    </row>
    <row r="23" ht="18" customHeight="1">
      <c r="A23" s="44" t="n"/>
      <c r="B23" s="67" t="n"/>
      <c r="C23" s="76">
        <f>IF(A23="","",SUMIFS('Transaction Log'!$D$5:$D$104,'Transaction Log'!$C$5:$C$104,A23,'Transaction Log'!$A$5:$A$104,"&gt;="&amp;PeriodStart,'Transaction Log'!$A$5:$A$104,"&lt;="&amp;PeriodEnd))</f>
        <v/>
      </c>
      <c r="D23" s="76">
        <f>IF(A23="","",B23-C23)</f>
        <v/>
      </c>
      <c r="E23" s="77">
        <f>IF(OR(A23="",B23=0),"",C23/B23)</f>
        <v/>
      </c>
      <c r="F23" s="78">
        <f>IF(A23="","",REPT("█",ROUND(MIN(1,IF(B23=0,0,C23/B23))*16,0))&amp;REPT("░",16-ROUND(MIN(1,IF(B23=0,0,C23/B23))*16,0)))</f>
        <v/>
      </c>
      <c r="G23" s="60">
        <f>IF(A23="","",IF(B23=0,"—",IF(C23&gt;B23,"Over",IF(C23/B23&gt;=0.8,"On track","Under"))))</f>
        <v/>
      </c>
    </row>
    <row r="24" ht="18" customHeight="1">
      <c r="A24" s="44" t="n"/>
      <c r="B24" s="67" t="n"/>
      <c r="C24" s="76">
        <f>IF(A24="","",SUMIFS('Transaction Log'!$D$5:$D$104,'Transaction Log'!$C$5:$C$104,A24,'Transaction Log'!$A$5:$A$104,"&gt;="&amp;PeriodStart,'Transaction Log'!$A$5:$A$104,"&lt;="&amp;PeriodEnd))</f>
        <v/>
      </c>
      <c r="D24" s="76">
        <f>IF(A24="","",B24-C24)</f>
        <v/>
      </c>
      <c r="E24" s="77">
        <f>IF(OR(A24="",B24=0),"",C24/B24)</f>
        <v/>
      </c>
      <c r="F24" s="78">
        <f>IF(A24="","",REPT("█",ROUND(MIN(1,IF(B24=0,0,C24/B24))*16,0))&amp;REPT("░",16-ROUND(MIN(1,IF(B24=0,0,C24/B24))*16,0)))</f>
        <v/>
      </c>
      <c r="G24" s="60">
        <f>IF(A24="","",IF(B24=0,"—",IF(C24&gt;B24,"Over",IF(C24/B24&gt;=0.8,"On track","Under"))))</f>
        <v/>
      </c>
    </row>
    <row r="25">
      <c r="A25" s="73" t="inlineStr">
        <is>
          <t>TOTAL</t>
        </is>
      </c>
      <c r="B25" s="75">
        <f>SUM(B5:B24)</f>
        <v/>
      </c>
      <c r="C25" s="75">
        <f>SUM(C5:C24)</f>
        <v/>
      </c>
      <c r="D25" s="75">
        <f>B25-C25</f>
        <v/>
      </c>
      <c r="E25" s="79">
        <f>IF(B25=0,"",C25/B25)</f>
        <v/>
      </c>
      <c r="F25" s="74" t="n"/>
      <c r="G25" s="74" t="n"/>
    </row>
    <row r="27">
      <c r="A27" s="49" t="inlineStr">
        <is>
          <t>Status: Under = under 80% used. On track = 80–100%. Over = spent more than planned (row turns red).</t>
        </is>
      </c>
    </row>
  </sheetData>
  <autoFilter ref="A4:G24"/>
  <mergeCells count="4">
    <mergeCell ref="A27:G27"/>
    <mergeCell ref="A3:G3"/>
    <mergeCell ref="A2:G2"/>
    <mergeCell ref="A1:G1"/>
  </mergeCells>
  <conditionalFormatting sqref="A5:G24">
    <cfRule type="expression" priority="1" dxfId="3">
      <formula>$G5="Over"</formula>
    </cfRule>
    <cfRule type="expression" priority="2" dxfId="4">
      <formula>$G5="On track"</formula>
    </cfRule>
    <cfRule type="expression" priority="3" dxfId="5">
      <formula>$G5="Under"</formula>
    </cfRule>
  </conditionalFormatting>
  <conditionalFormatting sqref="E5:E24">
    <cfRule type="dataBar" priority="4">
      <dataBar showValue="1">
        <cfvo type="num" val="0"/>
        <cfvo type="num" val="1"/>
        <color rgb="001F7A6B"/>
      </dataBar>
    </cfRule>
  </conditionalFormatting>
  <dataValidations count="1">
    <dataValidation sqref="B5:B2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6" bottom="0.6" header="0.3" footer="0.3"/>
  <pageSetup orientation="landscape" paperSize="1" fitToHeight="0" fitToWidth="1"/>
  <headerFooter>
    <oddHeader>&amp;LBudget Categories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D7EAA"/>
    <outlinePr summaryBelow="1" summaryRight="1"/>
    <pageSetUpPr fitToPage="1"/>
  </sheetPr>
  <dimension ref="A1:F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2" customWidth="1" min="4" max="4"/>
    <col width="22" customWidth="1" min="5" max="5"/>
    <col width="14" customWidth="1" min="6" max="6"/>
  </cols>
  <sheetData>
    <row r="1" ht="30" customHeight="1">
      <c r="A1" s="1" t="inlineStr">
        <is>
          <t>Transaction Log</t>
        </is>
      </c>
    </row>
    <row r="2" ht="28" customHeight="1">
      <c r="A2" s="64" t="inlineStr">
        <is>
          <t>Record daily spending here — not bill payments. Pick a category from the list so Budget Categories and the Dashboard stay in sync.</t>
        </is>
      </c>
    </row>
    <row r="3">
      <c r="A3" s="65">
        <f>IF(PeriodStart="","","Period: "&amp;TEXT(PeriodStart,"mmm d")&amp;" – "&amp;TEXT(PeriodEnd,"mmm d, yyyy")&amp;"   ·   Logged this period: "&amp;TEXT(ActualSpending,"$#,##0.00"))</f>
        <v/>
      </c>
    </row>
    <row r="4" ht="22" customHeight="1">
      <c r="A4" s="80" t="inlineStr">
        <is>
          <t>Date</t>
        </is>
      </c>
      <c r="B4" s="80" t="inlineStr">
        <is>
          <t>Description</t>
        </is>
      </c>
      <c r="C4" s="80" t="inlineStr">
        <is>
          <t>Category</t>
        </is>
      </c>
      <c r="D4" s="80" t="inlineStr">
        <is>
          <t>Amount</t>
        </is>
      </c>
      <c r="E4" s="80" t="inlineStr">
        <is>
          <t>Notes</t>
        </is>
      </c>
      <c r="F4" s="80" t="inlineStr">
        <is>
          <t>In this period?</t>
        </is>
      </c>
    </row>
    <row r="5" ht="18" customHeight="1">
      <c r="A5" s="68" t="n">
        <v>46241</v>
      </c>
      <c r="B5" s="44" t="inlineStr">
        <is>
          <t>Kroger</t>
        </is>
      </c>
      <c r="C5" s="44" t="inlineStr">
        <is>
          <t>Groceries</t>
        </is>
      </c>
      <c r="D5" s="67" t="n">
        <v>62.4</v>
      </c>
      <c r="E5" s="44" t="inlineStr">
        <is>
          <t>Weekly shop</t>
        </is>
      </c>
      <c r="F5" s="71">
        <f>IF(A5="","",IF(AND(A5&gt;=PeriodStart,A5&lt;=PeriodEnd),"Yes",""))</f>
        <v/>
      </c>
    </row>
    <row r="6" ht="18" customHeight="1">
      <c r="A6" s="68" t="n">
        <v>46241</v>
      </c>
      <c r="B6" s="44" t="inlineStr">
        <is>
          <t>Shell</t>
        </is>
      </c>
      <c r="C6" s="44" t="inlineStr">
        <is>
          <t>Gas / Transit</t>
        </is>
      </c>
      <c r="D6" s="67" t="n">
        <v>41.2</v>
      </c>
      <c r="E6" s="44" t="inlineStr">
        <is>
          <t>Fill-up</t>
        </is>
      </c>
      <c r="F6" s="71">
        <f>IF(A6="","",IF(AND(A6&gt;=PeriodStart,A6&lt;=PeriodEnd),"Yes",""))</f>
        <v/>
      </c>
    </row>
    <row r="7" ht="18" customHeight="1">
      <c r="A7" s="68" t="n">
        <v>46242</v>
      </c>
      <c r="B7" s="44" t="inlineStr">
        <is>
          <t>Neighborhood coffee</t>
        </is>
      </c>
      <c r="C7" s="44" t="inlineStr">
        <is>
          <t>Dining out</t>
        </is>
      </c>
      <c r="D7" s="67" t="n">
        <v>6.75</v>
      </c>
      <c r="E7" s="44" t="inlineStr"/>
      <c r="F7" s="71">
        <f>IF(A7="","",IF(AND(A7&gt;=PeriodStart,A7&lt;=PeriodEnd),"Yes",""))</f>
        <v/>
      </c>
    </row>
    <row r="8" ht="18" customHeight="1">
      <c r="A8" s="68" t="n">
        <v>46242</v>
      </c>
      <c r="B8" s="44" t="inlineStr">
        <is>
          <t>Target</t>
        </is>
      </c>
      <c r="C8" s="44" t="inlineStr">
        <is>
          <t>Household / Misc</t>
        </is>
      </c>
      <c r="D8" s="67" t="n">
        <v>18.33</v>
      </c>
      <c r="E8" s="44" t="inlineStr">
        <is>
          <t>Paper goods</t>
        </is>
      </c>
      <c r="F8" s="71">
        <f>IF(A8="","",IF(AND(A8&gt;=PeriodStart,A8&lt;=PeriodEnd),"Yes",""))</f>
        <v/>
      </c>
    </row>
    <row r="9" ht="18" customHeight="1">
      <c r="A9" s="68" t="n">
        <v>46243</v>
      </c>
      <c r="B9" s="44" t="inlineStr">
        <is>
          <t>Trader Joe's</t>
        </is>
      </c>
      <c r="C9" s="44" t="inlineStr">
        <is>
          <t>Groceries</t>
        </is>
      </c>
      <c r="D9" s="67" t="n">
        <v>47.89</v>
      </c>
      <c r="E9" s="44" t="inlineStr"/>
      <c r="F9" s="71">
        <f>IF(A9="","",IF(AND(A9&gt;=PeriodStart,A9&lt;=PeriodEnd),"Yes",""))</f>
        <v/>
      </c>
    </row>
    <row r="10" ht="18" customHeight="1">
      <c r="A10" s="68" t="n">
        <v>46243</v>
      </c>
      <c r="B10" s="44" t="inlineStr">
        <is>
          <t>Chipotle</t>
        </is>
      </c>
      <c r="C10" s="44" t="inlineStr">
        <is>
          <t>Dining out</t>
        </is>
      </c>
      <c r="D10" s="67" t="n">
        <v>14.5</v>
      </c>
      <c r="E10" s="44" t="inlineStr">
        <is>
          <t>Lunch</t>
        </is>
      </c>
      <c r="F10" s="71">
        <f>IF(A10="","",IF(AND(A10&gt;=PeriodStart,A10&lt;=PeriodEnd),"Yes",""))</f>
        <v/>
      </c>
    </row>
    <row r="11" ht="18" customHeight="1">
      <c r="A11" s="68" t="n">
        <v>46244</v>
      </c>
      <c r="B11" s="44" t="inlineStr">
        <is>
          <t>CVS</t>
        </is>
      </c>
      <c r="C11" s="44" t="inlineStr">
        <is>
          <t>Personal care</t>
        </is>
      </c>
      <c r="D11" s="67" t="n">
        <v>12.99</v>
      </c>
      <c r="E11" s="44" t="inlineStr"/>
      <c r="F11" s="71">
        <f>IF(A11="","",IF(AND(A11&gt;=PeriodStart,A11&lt;=PeriodEnd),"Yes",""))</f>
        <v/>
      </c>
    </row>
    <row r="12" ht="18" customHeight="1">
      <c r="A12" s="68" t="n">
        <v>46244</v>
      </c>
      <c r="B12" s="44" t="inlineStr">
        <is>
          <t>Movie tickets</t>
        </is>
      </c>
      <c r="C12" s="44" t="inlineStr">
        <is>
          <t>Fun / Entertainment</t>
        </is>
      </c>
      <c r="D12" s="67" t="n">
        <v>28</v>
      </c>
      <c r="E12" s="44" t="inlineStr">
        <is>
          <t>Saturday</t>
        </is>
      </c>
      <c r="F12" s="71">
        <f>IF(A12="","",IF(AND(A12&gt;=PeriodStart,A12&lt;=PeriodEnd),"Yes",""))</f>
        <v/>
      </c>
    </row>
    <row r="13" ht="18" customHeight="1">
      <c r="A13" s="68" t="n">
        <v>46245</v>
      </c>
      <c r="B13" s="44" t="inlineStr">
        <is>
          <t>Aldi</t>
        </is>
      </c>
      <c r="C13" s="44" t="inlineStr">
        <is>
          <t>Groceries</t>
        </is>
      </c>
      <c r="D13" s="67" t="n">
        <v>38.15</v>
      </c>
      <c r="E13" s="44" t="inlineStr"/>
      <c r="F13" s="71">
        <f>IF(A13="","",IF(AND(A13&gt;=PeriodStart,A13&lt;=PeriodEnd),"Yes",""))</f>
        <v/>
      </c>
    </row>
    <row r="14" ht="18" customHeight="1">
      <c r="A14" s="68" t="n">
        <v>46245</v>
      </c>
      <c r="B14" s="44" t="inlineStr">
        <is>
          <t>Transfer to savings</t>
        </is>
      </c>
      <c r="C14" s="44" t="inlineStr">
        <is>
          <t>Savings transfer</t>
        </is>
      </c>
      <c r="D14" s="67" t="n">
        <v>150</v>
      </c>
      <c r="E14" s="44" t="inlineStr">
        <is>
          <t>Auto transfer</t>
        </is>
      </c>
      <c r="F14" s="71">
        <f>IF(A14="","",IF(AND(A14&gt;=PeriodStart,A14&lt;=PeriodEnd),"Yes",""))</f>
        <v/>
      </c>
    </row>
    <row r="15" ht="18" customHeight="1">
      <c r="A15" s="68" t="n">
        <v>46246</v>
      </c>
      <c r="B15" s="44" t="inlineStr">
        <is>
          <t>Gas station</t>
        </is>
      </c>
      <c r="C15" s="44" t="inlineStr">
        <is>
          <t>Gas / Transit</t>
        </is>
      </c>
      <c r="D15" s="67" t="n">
        <v>18.4</v>
      </c>
      <c r="E15" s="44" t="inlineStr"/>
      <c r="F15" s="71">
        <f>IF(A15="","",IF(AND(A15&gt;=PeriodStart,A15&lt;=PeriodEnd),"Yes",""))</f>
        <v/>
      </c>
    </row>
    <row r="16" ht="18" customHeight="1">
      <c r="A16" s="68" t="n">
        <v>46246</v>
      </c>
      <c r="B16" s="44" t="inlineStr">
        <is>
          <t>Deli lunch</t>
        </is>
      </c>
      <c r="C16" s="44" t="inlineStr">
        <is>
          <t>Dining out</t>
        </is>
      </c>
      <c r="D16" s="67" t="n">
        <v>22.8</v>
      </c>
      <c r="E16" s="44" t="inlineStr"/>
      <c r="F16" s="71">
        <f>IF(A16="","",IF(AND(A16&gt;=PeriodStart,A16&lt;=PeriodEnd),"Yes",""))</f>
        <v/>
      </c>
    </row>
    <row r="17" ht="18" customHeight="1">
      <c r="A17" s="68" t="n"/>
      <c r="B17" s="44" t="n"/>
      <c r="C17" s="44" t="n"/>
      <c r="D17" s="67" t="n"/>
      <c r="E17" s="44" t="n"/>
      <c r="F17" s="71">
        <f>IF(A17="","",IF(AND(A17&gt;=PeriodStart,A17&lt;=PeriodEnd),"Yes",""))</f>
        <v/>
      </c>
    </row>
    <row r="18" ht="18" customHeight="1">
      <c r="A18" s="68" t="n"/>
      <c r="B18" s="44" t="n"/>
      <c r="C18" s="44" t="n"/>
      <c r="D18" s="67" t="n"/>
      <c r="E18" s="44" t="n"/>
      <c r="F18" s="71">
        <f>IF(A18="","",IF(AND(A18&gt;=PeriodStart,A18&lt;=PeriodEnd),"Yes",""))</f>
        <v/>
      </c>
    </row>
    <row r="19" ht="18" customHeight="1">
      <c r="A19" s="68" t="n"/>
      <c r="B19" s="44" t="n"/>
      <c r="C19" s="44" t="n"/>
      <c r="D19" s="67" t="n"/>
      <c r="E19" s="44" t="n"/>
      <c r="F19" s="71">
        <f>IF(A19="","",IF(AND(A19&gt;=PeriodStart,A19&lt;=PeriodEnd),"Yes",""))</f>
        <v/>
      </c>
    </row>
    <row r="20" ht="18" customHeight="1">
      <c r="A20" s="68" t="n"/>
      <c r="B20" s="44" t="n"/>
      <c r="C20" s="44" t="n"/>
      <c r="D20" s="67" t="n"/>
      <c r="E20" s="44" t="n"/>
      <c r="F20" s="71">
        <f>IF(A20="","",IF(AND(A20&gt;=PeriodStart,A20&lt;=PeriodEnd),"Yes",""))</f>
        <v/>
      </c>
    </row>
    <row r="21" ht="18" customHeight="1">
      <c r="A21" s="68" t="n"/>
      <c r="B21" s="44" t="n"/>
      <c r="C21" s="44" t="n"/>
      <c r="D21" s="67" t="n"/>
      <c r="E21" s="44" t="n"/>
      <c r="F21" s="71">
        <f>IF(A21="","",IF(AND(A21&gt;=PeriodStart,A21&lt;=PeriodEnd),"Yes",""))</f>
        <v/>
      </c>
    </row>
    <row r="22" ht="18" customHeight="1">
      <c r="A22" s="68" t="n"/>
      <c r="B22" s="44" t="n"/>
      <c r="C22" s="44" t="n"/>
      <c r="D22" s="67" t="n"/>
      <c r="E22" s="44" t="n"/>
      <c r="F22" s="71">
        <f>IF(A22="","",IF(AND(A22&gt;=PeriodStart,A22&lt;=PeriodEnd),"Yes",""))</f>
        <v/>
      </c>
    </row>
    <row r="23" ht="18" customHeight="1">
      <c r="A23" s="68" t="n"/>
      <c r="B23" s="44" t="n"/>
      <c r="C23" s="44" t="n"/>
      <c r="D23" s="67" t="n"/>
      <c r="E23" s="44" t="n"/>
      <c r="F23" s="71">
        <f>IF(A23="","",IF(AND(A23&gt;=PeriodStart,A23&lt;=PeriodEnd),"Yes",""))</f>
        <v/>
      </c>
    </row>
    <row r="24" ht="18" customHeight="1">
      <c r="A24" s="68" t="n"/>
      <c r="B24" s="44" t="n"/>
      <c r="C24" s="44" t="n"/>
      <c r="D24" s="67" t="n"/>
      <c r="E24" s="44" t="n"/>
      <c r="F24" s="71">
        <f>IF(A24="","",IF(AND(A24&gt;=PeriodStart,A24&lt;=PeriodEnd),"Yes",""))</f>
        <v/>
      </c>
    </row>
    <row r="25" ht="18" customHeight="1">
      <c r="A25" s="68" t="n"/>
      <c r="B25" s="44" t="n"/>
      <c r="C25" s="44" t="n"/>
      <c r="D25" s="67" t="n"/>
      <c r="E25" s="44" t="n"/>
      <c r="F25" s="71">
        <f>IF(A25="","",IF(AND(A25&gt;=PeriodStart,A25&lt;=PeriodEnd),"Yes",""))</f>
        <v/>
      </c>
    </row>
    <row r="26" ht="18" customHeight="1">
      <c r="A26" s="68" t="n"/>
      <c r="B26" s="44" t="n"/>
      <c r="C26" s="44" t="n"/>
      <c r="D26" s="67" t="n"/>
      <c r="E26" s="44" t="n"/>
      <c r="F26" s="71">
        <f>IF(A26="","",IF(AND(A26&gt;=PeriodStart,A26&lt;=PeriodEnd),"Yes",""))</f>
        <v/>
      </c>
    </row>
    <row r="27" ht="18" customHeight="1">
      <c r="A27" s="68" t="n"/>
      <c r="B27" s="44" t="n"/>
      <c r="C27" s="44" t="n"/>
      <c r="D27" s="67" t="n"/>
      <c r="E27" s="44" t="n"/>
      <c r="F27" s="71">
        <f>IF(A27="","",IF(AND(A27&gt;=PeriodStart,A27&lt;=PeriodEnd),"Yes",""))</f>
        <v/>
      </c>
    </row>
    <row r="28" ht="18" customHeight="1">
      <c r="A28" s="68" t="n"/>
      <c r="B28" s="44" t="n"/>
      <c r="C28" s="44" t="n"/>
      <c r="D28" s="67" t="n"/>
      <c r="E28" s="44" t="n"/>
      <c r="F28" s="71">
        <f>IF(A28="","",IF(AND(A28&gt;=PeriodStart,A28&lt;=PeriodEnd),"Yes",""))</f>
        <v/>
      </c>
    </row>
    <row r="29" ht="18" customHeight="1">
      <c r="A29" s="68" t="n"/>
      <c r="B29" s="44" t="n"/>
      <c r="C29" s="44" t="n"/>
      <c r="D29" s="67" t="n"/>
      <c r="E29" s="44" t="n"/>
      <c r="F29" s="71">
        <f>IF(A29="","",IF(AND(A29&gt;=PeriodStart,A29&lt;=PeriodEnd),"Yes",""))</f>
        <v/>
      </c>
    </row>
    <row r="30" ht="18" customHeight="1">
      <c r="A30" s="68" t="n"/>
      <c r="B30" s="44" t="n"/>
      <c r="C30" s="44" t="n"/>
      <c r="D30" s="67" t="n"/>
      <c r="E30" s="44" t="n"/>
      <c r="F30" s="71">
        <f>IF(A30="","",IF(AND(A30&gt;=PeriodStart,A30&lt;=PeriodEnd),"Yes",""))</f>
        <v/>
      </c>
    </row>
    <row r="31" ht="18" customHeight="1">
      <c r="A31" s="68" t="n"/>
      <c r="B31" s="44" t="n"/>
      <c r="C31" s="44" t="n"/>
      <c r="D31" s="67" t="n"/>
      <c r="E31" s="44" t="n"/>
      <c r="F31" s="71">
        <f>IF(A31="","",IF(AND(A31&gt;=PeriodStart,A31&lt;=PeriodEnd),"Yes",""))</f>
        <v/>
      </c>
    </row>
    <row r="32" ht="18" customHeight="1">
      <c r="A32" s="68" t="n"/>
      <c r="B32" s="44" t="n"/>
      <c r="C32" s="44" t="n"/>
      <c r="D32" s="67" t="n"/>
      <c r="E32" s="44" t="n"/>
      <c r="F32" s="71">
        <f>IF(A32="","",IF(AND(A32&gt;=PeriodStart,A32&lt;=PeriodEnd),"Yes",""))</f>
        <v/>
      </c>
    </row>
    <row r="33" ht="18" customHeight="1">
      <c r="A33" s="68" t="n"/>
      <c r="B33" s="44" t="n"/>
      <c r="C33" s="44" t="n"/>
      <c r="D33" s="67" t="n"/>
      <c r="E33" s="44" t="n"/>
      <c r="F33" s="71">
        <f>IF(A33="","",IF(AND(A33&gt;=PeriodStart,A33&lt;=PeriodEnd),"Yes",""))</f>
        <v/>
      </c>
    </row>
    <row r="34" ht="18" customHeight="1">
      <c r="A34" s="68" t="n"/>
      <c r="B34" s="44" t="n"/>
      <c r="C34" s="44" t="n"/>
      <c r="D34" s="67" t="n"/>
      <c r="E34" s="44" t="n"/>
      <c r="F34" s="71">
        <f>IF(A34="","",IF(AND(A34&gt;=PeriodStart,A34&lt;=PeriodEnd),"Yes",""))</f>
        <v/>
      </c>
    </row>
    <row r="35" ht="18" customHeight="1">
      <c r="A35" s="68" t="n"/>
      <c r="B35" s="44" t="n"/>
      <c r="C35" s="44" t="n"/>
      <c r="D35" s="67" t="n"/>
      <c r="E35" s="44" t="n"/>
      <c r="F35" s="71">
        <f>IF(A35="","",IF(AND(A35&gt;=PeriodStart,A35&lt;=PeriodEnd),"Yes",""))</f>
        <v/>
      </c>
    </row>
    <row r="36" ht="18" customHeight="1">
      <c r="A36" s="68" t="n"/>
      <c r="B36" s="44" t="n"/>
      <c r="C36" s="44" t="n"/>
      <c r="D36" s="67" t="n"/>
      <c r="E36" s="44" t="n"/>
      <c r="F36" s="71">
        <f>IF(A36="","",IF(AND(A36&gt;=PeriodStart,A36&lt;=PeriodEnd),"Yes",""))</f>
        <v/>
      </c>
    </row>
    <row r="37" ht="18" customHeight="1">
      <c r="A37" s="68" t="n"/>
      <c r="B37" s="44" t="n"/>
      <c r="C37" s="44" t="n"/>
      <c r="D37" s="67" t="n"/>
      <c r="E37" s="44" t="n"/>
      <c r="F37" s="71">
        <f>IF(A37="","",IF(AND(A37&gt;=PeriodStart,A37&lt;=PeriodEnd),"Yes",""))</f>
        <v/>
      </c>
    </row>
    <row r="38" ht="18" customHeight="1">
      <c r="A38" s="68" t="n"/>
      <c r="B38" s="44" t="n"/>
      <c r="C38" s="44" t="n"/>
      <c r="D38" s="67" t="n"/>
      <c r="E38" s="44" t="n"/>
      <c r="F38" s="71">
        <f>IF(A38="","",IF(AND(A38&gt;=PeriodStart,A38&lt;=PeriodEnd),"Yes",""))</f>
        <v/>
      </c>
    </row>
    <row r="39" ht="18" customHeight="1">
      <c r="A39" s="68" t="n"/>
      <c r="B39" s="44" t="n"/>
      <c r="C39" s="44" t="n"/>
      <c r="D39" s="67" t="n"/>
      <c r="E39" s="44" t="n"/>
      <c r="F39" s="71">
        <f>IF(A39="","",IF(AND(A39&gt;=PeriodStart,A39&lt;=PeriodEnd),"Yes",""))</f>
        <v/>
      </c>
    </row>
    <row r="40" ht="18" customHeight="1">
      <c r="A40" s="68" t="n"/>
      <c r="B40" s="44" t="n"/>
      <c r="C40" s="44" t="n"/>
      <c r="D40" s="67" t="n"/>
      <c r="E40" s="44" t="n"/>
      <c r="F40" s="71">
        <f>IF(A40="","",IF(AND(A40&gt;=PeriodStart,A40&lt;=PeriodEnd),"Yes",""))</f>
        <v/>
      </c>
    </row>
    <row r="41" ht="18" customHeight="1">
      <c r="A41" s="68" t="n"/>
      <c r="B41" s="44" t="n"/>
      <c r="C41" s="44" t="n"/>
      <c r="D41" s="67" t="n"/>
      <c r="E41" s="44" t="n"/>
      <c r="F41" s="71">
        <f>IF(A41="","",IF(AND(A41&gt;=PeriodStart,A41&lt;=PeriodEnd),"Yes",""))</f>
        <v/>
      </c>
    </row>
    <row r="42" ht="18" customHeight="1">
      <c r="A42" s="68" t="n"/>
      <c r="B42" s="44" t="n"/>
      <c r="C42" s="44" t="n"/>
      <c r="D42" s="67" t="n"/>
      <c r="E42" s="44" t="n"/>
      <c r="F42" s="71">
        <f>IF(A42="","",IF(AND(A42&gt;=PeriodStart,A42&lt;=PeriodEnd),"Yes",""))</f>
        <v/>
      </c>
    </row>
    <row r="43" ht="18" customHeight="1">
      <c r="A43" s="68" t="n"/>
      <c r="B43" s="44" t="n"/>
      <c r="C43" s="44" t="n"/>
      <c r="D43" s="67" t="n"/>
      <c r="E43" s="44" t="n"/>
      <c r="F43" s="71">
        <f>IF(A43="","",IF(AND(A43&gt;=PeriodStart,A43&lt;=PeriodEnd),"Yes",""))</f>
        <v/>
      </c>
    </row>
    <row r="44" ht="18" customHeight="1">
      <c r="A44" s="68" t="n"/>
      <c r="B44" s="44" t="n"/>
      <c r="C44" s="44" t="n"/>
      <c r="D44" s="67" t="n"/>
      <c r="E44" s="44" t="n"/>
      <c r="F44" s="71">
        <f>IF(A44="","",IF(AND(A44&gt;=PeriodStart,A44&lt;=PeriodEnd),"Yes",""))</f>
        <v/>
      </c>
    </row>
    <row r="45" ht="18" customHeight="1">
      <c r="A45" s="68" t="n"/>
      <c r="B45" s="44" t="n"/>
      <c r="C45" s="44" t="n"/>
      <c r="D45" s="67" t="n"/>
      <c r="E45" s="44" t="n"/>
      <c r="F45" s="71">
        <f>IF(A45="","",IF(AND(A45&gt;=PeriodStart,A45&lt;=PeriodEnd),"Yes",""))</f>
        <v/>
      </c>
    </row>
    <row r="46" ht="18" customHeight="1">
      <c r="A46" s="68" t="n"/>
      <c r="B46" s="44" t="n"/>
      <c r="C46" s="44" t="n"/>
      <c r="D46" s="67" t="n"/>
      <c r="E46" s="44" t="n"/>
      <c r="F46" s="71">
        <f>IF(A46="","",IF(AND(A46&gt;=PeriodStart,A46&lt;=PeriodEnd),"Yes",""))</f>
        <v/>
      </c>
    </row>
    <row r="47" ht="18" customHeight="1">
      <c r="A47" s="68" t="n"/>
      <c r="B47" s="44" t="n"/>
      <c r="C47" s="44" t="n"/>
      <c r="D47" s="67" t="n"/>
      <c r="E47" s="44" t="n"/>
      <c r="F47" s="71">
        <f>IF(A47="","",IF(AND(A47&gt;=PeriodStart,A47&lt;=PeriodEnd),"Yes",""))</f>
        <v/>
      </c>
    </row>
    <row r="48" ht="18" customHeight="1">
      <c r="A48" s="68" t="n"/>
      <c r="B48" s="44" t="n"/>
      <c r="C48" s="44" t="n"/>
      <c r="D48" s="67" t="n"/>
      <c r="E48" s="44" t="n"/>
      <c r="F48" s="71">
        <f>IF(A48="","",IF(AND(A48&gt;=PeriodStart,A48&lt;=PeriodEnd),"Yes",""))</f>
        <v/>
      </c>
    </row>
    <row r="49" ht="18" customHeight="1">
      <c r="A49" s="68" t="n"/>
      <c r="B49" s="44" t="n"/>
      <c r="C49" s="44" t="n"/>
      <c r="D49" s="67" t="n"/>
      <c r="E49" s="44" t="n"/>
      <c r="F49" s="71">
        <f>IF(A49="","",IF(AND(A49&gt;=PeriodStart,A49&lt;=PeriodEnd),"Yes",""))</f>
        <v/>
      </c>
    </row>
    <row r="50" ht="18" customHeight="1">
      <c r="A50" s="68" t="n"/>
      <c r="B50" s="44" t="n"/>
      <c r="C50" s="44" t="n"/>
      <c r="D50" s="67" t="n"/>
      <c r="E50" s="44" t="n"/>
      <c r="F50" s="71">
        <f>IF(A50="","",IF(AND(A50&gt;=PeriodStart,A50&lt;=PeriodEnd),"Yes",""))</f>
        <v/>
      </c>
    </row>
    <row r="51" ht="18" customHeight="1">
      <c r="A51" s="68" t="n"/>
      <c r="B51" s="44" t="n"/>
      <c r="C51" s="44" t="n"/>
      <c r="D51" s="67" t="n"/>
      <c r="E51" s="44" t="n"/>
      <c r="F51" s="71">
        <f>IF(A51="","",IF(AND(A51&gt;=PeriodStart,A51&lt;=PeriodEnd),"Yes",""))</f>
        <v/>
      </c>
    </row>
    <row r="52" ht="18" customHeight="1">
      <c r="A52" s="68" t="n"/>
      <c r="B52" s="44" t="n"/>
      <c r="C52" s="44" t="n"/>
      <c r="D52" s="67" t="n"/>
      <c r="E52" s="44" t="n"/>
      <c r="F52" s="71">
        <f>IF(A52="","",IF(AND(A52&gt;=PeriodStart,A52&lt;=PeriodEnd),"Yes",""))</f>
        <v/>
      </c>
    </row>
    <row r="53" ht="18" customHeight="1">
      <c r="A53" s="68" t="n"/>
      <c r="B53" s="44" t="n"/>
      <c r="C53" s="44" t="n"/>
      <c r="D53" s="67" t="n"/>
      <c r="E53" s="44" t="n"/>
      <c r="F53" s="71">
        <f>IF(A53="","",IF(AND(A53&gt;=PeriodStart,A53&lt;=PeriodEnd),"Yes",""))</f>
        <v/>
      </c>
    </row>
    <row r="54" ht="18" customHeight="1">
      <c r="A54" s="68" t="n"/>
      <c r="B54" s="44" t="n"/>
      <c r="C54" s="44" t="n"/>
      <c r="D54" s="67" t="n"/>
      <c r="E54" s="44" t="n"/>
      <c r="F54" s="71">
        <f>IF(A54="","",IF(AND(A54&gt;=PeriodStart,A54&lt;=PeriodEnd),"Yes",""))</f>
        <v/>
      </c>
    </row>
    <row r="55" ht="18" customHeight="1">
      <c r="A55" s="68" t="n"/>
      <c r="B55" s="44" t="n"/>
      <c r="C55" s="44" t="n"/>
      <c r="D55" s="67" t="n"/>
      <c r="E55" s="44" t="n"/>
      <c r="F55" s="71">
        <f>IF(A55="","",IF(AND(A55&gt;=PeriodStart,A55&lt;=PeriodEnd),"Yes",""))</f>
        <v/>
      </c>
    </row>
    <row r="56" ht="18" customHeight="1">
      <c r="A56" s="68" t="n"/>
      <c r="B56" s="44" t="n"/>
      <c r="C56" s="44" t="n"/>
      <c r="D56" s="67" t="n"/>
      <c r="E56" s="44" t="n"/>
      <c r="F56" s="71">
        <f>IF(A56="","",IF(AND(A56&gt;=PeriodStart,A56&lt;=PeriodEnd),"Yes",""))</f>
        <v/>
      </c>
    </row>
    <row r="57" ht="18" customHeight="1">
      <c r="A57" s="68" t="n"/>
      <c r="B57" s="44" t="n"/>
      <c r="C57" s="44" t="n"/>
      <c r="D57" s="67" t="n"/>
      <c r="E57" s="44" t="n"/>
      <c r="F57" s="71">
        <f>IF(A57="","",IF(AND(A57&gt;=PeriodStart,A57&lt;=PeriodEnd),"Yes",""))</f>
        <v/>
      </c>
    </row>
    <row r="58" ht="18" customHeight="1">
      <c r="A58" s="68" t="n"/>
      <c r="B58" s="44" t="n"/>
      <c r="C58" s="44" t="n"/>
      <c r="D58" s="67" t="n"/>
      <c r="E58" s="44" t="n"/>
      <c r="F58" s="71">
        <f>IF(A58="","",IF(AND(A58&gt;=PeriodStart,A58&lt;=PeriodEnd),"Yes",""))</f>
        <v/>
      </c>
    </row>
    <row r="59" ht="18" customHeight="1">
      <c r="A59" s="68" t="n"/>
      <c r="B59" s="44" t="n"/>
      <c r="C59" s="44" t="n"/>
      <c r="D59" s="67" t="n"/>
      <c r="E59" s="44" t="n"/>
      <c r="F59" s="71">
        <f>IF(A59="","",IF(AND(A59&gt;=PeriodStart,A59&lt;=PeriodEnd),"Yes",""))</f>
        <v/>
      </c>
    </row>
    <row r="60" ht="18" customHeight="1">
      <c r="A60" s="68" t="n"/>
      <c r="B60" s="44" t="n"/>
      <c r="C60" s="44" t="n"/>
      <c r="D60" s="67" t="n"/>
      <c r="E60" s="44" t="n"/>
      <c r="F60" s="71">
        <f>IF(A60="","",IF(AND(A60&gt;=PeriodStart,A60&lt;=PeriodEnd),"Yes",""))</f>
        <v/>
      </c>
    </row>
    <row r="61" ht="18" customHeight="1">
      <c r="A61" s="68" t="n"/>
      <c r="B61" s="44" t="n"/>
      <c r="C61" s="44" t="n"/>
      <c r="D61" s="67" t="n"/>
      <c r="E61" s="44" t="n"/>
      <c r="F61" s="71">
        <f>IF(A61="","",IF(AND(A61&gt;=PeriodStart,A61&lt;=PeriodEnd),"Yes",""))</f>
        <v/>
      </c>
    </row>
    <row r="62" ht="18" customHeight="1">
      <c r="A62" s="68" t="n"/>
      <c r="B62" s="44" t="n"/>
      <c r="C62" s="44" t="n"/>
      <c r="D62" s="67" t="n"/>
      <c r="E62" s="44" t="n"/>
      <c r="F62" s="71">
        <f>IF(A62="","",IF(AND(A62&gt;=PeriodStart,A62&lt;=PeriodEnd),"Yes",""))</f>
        <v/>
      </c>
    </row>
    <row r="63" ht="18" customHeight="1">
      <c r="A63" s="68" t="n"/>
      <c r="B63" s="44" t="n"/>
      <c r="C63" s="44" t="n"/>
      <c r="D63" s="67" t="n"/>
      <c r="E63" s="44" t="n"/>
      <c r="F63" s="71">
        <f>IF(A63="","",IF(AND(A63&gt;=PeriodStart,A63&lt;=PeriodEnd),"Yes",""))</f>
        <v/>
      </c>
    </row>
    <row r="64" ht="18" customHeight="1">
      <c r="A64" s="68" t="n"/>
      <c r="B64" s="44" t="n"/>
      <c r="C64" s="44" t="n"/>
      <c r="D64" s="67" t="n"/>
      <c r="E64" s="44" t="n"/>
      <c r="F64" s="71">
        <f>IF(A64="","",IF(AND(A64&gt;=PeriodStart,A64&lt;=PeriodEnd),"Yes",""))</f>
        <v/>
      </c>
    </row>
    <row r="65" ht="18" customHeight="1">
      <c r="A65" s="68" t="n"/>
      <c r="B65" s="44" t="n"/>
      <c r="C65" s="44" t="n"/>
      <c r="D65" s="67" t="n"/>
      <c r="E65" s="44" t="n"/>
      <c r="F65" s="71">
        <f>IF(A65="","",IF(AND(A65&gt;=PeriodStart,A65&lt;=PeriodEnd),"Yes",""))</f>
        <v/>
      </c>
    </row>
    <row r="66" ht="18" customHeight="1">
      <c r="A66" s="68" t="n"/>
      <c r="B66" s="44" t="n"/>
      <c r="C66" s="44" t="n"/>
      <c r="D66" s="67" t="n"/>
      <c r="E66" s="44" t="n"/>
      <c r="F66" s="71">
        <f>IF(A66="","",IF(AND(A66&gt;=PeriodStart,A66&lt;=PeriodEnd),"Yes",""))</f>
        <v/>
      </c>
    </row>
    <row r="67" ht="18" customHeight="1">
      <c r="A67" s="68" t="n"/>
      <c r="B67" s="44" t="n"/>
      <c r="C67" s="44" t="n"/>
      <c r="D67" s="67" t="n"/>
      <c r="E67" s="44" t="n"/>
      <c r="F67" s="71">
        <f>IF(A67="","",IF(AND(A67&gt;=PeriodStart,A67&lt;=PeriodEnd),"Yes",""))</f>
        <v/>
      </c>
    </row>
    <row r="68" ht="18" customHeight="1">
      <c r="A68" s="68" t="n"/>
      <c r="B68" s="44" t="n"/>
      <c r="C68" s="44" t="n"/>
      <c r="D68" s="67" t="n"/>
      <c r="E68" s="44" t="n"/>
      <c r="F68" s="71">
        <f>IF(A68="","",IF(AND(A68&gt;=PeriodStart,A68&lt;=PeriodEnd),"Yes",""))</f>
        <v/>
      </c>
    </row>
    <row r="69" ht="18" customHeight="1">
      <c r="A69" s="68" t="n"/>
      <c r="B69" s="44" t="n"/>
      <c r="C69" s="44" t="n"/>
      <c r="D69" s="67" t="n"/>
      <c r="E69" s="44" t="n"/>
      <c r="F69" s="71">
        <f>IF(A69="","",IF(AND(A69&gt;=PeriodStart,A69&lt;=PeriodEnd),"Yes",""))</f>
        <v/>
      </c>
    </row>
    <row r="70" ht="18" customHeight="1">
      <c r="A70" s="68" t="n"/>
      <c r="B70" s="44" t="n"/>
      <c r="C70" s="44" t="n"/>
      <c r="D70" s="67" t="n"/>
      <c r="E70" s="44" t="n"/>
      <c r="F70" s="71">
        <f>IF(A70="","",IF(AND(A70&gt;=PeriodStart,A70&lt;=PeriodEnd),"Yes",""))</f>
        <v/>
      </c>
    </row>
    <row r="71" ht="18" customHeight="1">
      <c r="A71" s="68" t="n"/>
      <c r="B71" s="44" t="n"/>
      <c r="C71" s="44" t="n"/>
      <c r="D71" s="67" t="n"/>
      <c r="E71" s="44" t="n"/>
      <c r="F71" s="71">
        <f>IF(A71="","",IF(AND(A71&gt;=PeriodStart,A71&lt;=PeriodEnd),"Yes",""))</f>
        <v/>
      </c>
    </row>
    <row r="72" ht="18" customHeight="1">
      <c r="A72" s="68" t="n"/>
      <c r="B72" s="44" t="n"/>
      <c r="C72" s="44" t="n"/>
      <c r="D72" s="67" t="n"/>
      <c r="E72" s="44" t="n"/>
      <c r="F72" s="71">
        <f>IF(A72="","",IF(AND(A72&gt;=PeriodStart,A72&lt;=PeriodEnd),"Yes",""))</f>
        <v/>
      </c>
    </row>
    <row r="73" ht="18" customHeight="1">
      <c r="A73" s="68" t="n"/>
      <c r="B73" s="44" t="n"/>
      <c r="C73" s="44" t="n"/>
      <c r="D73" s="67" t="n"/>
      <c r="E73" s="44" t="n"/>
      <c r="F73" s="71">
        <f>IF(A73="","",IF(AND(A73&gt;=PeriodStart,A73&lt;=PeriodEnd),"Yes",""))</f>
        <v/>
      </c>
    </row>
    <row r="74" ht="18" customHeight="1">
      <c r="A74" s="68" t="n"/>
      <c r="B74" s="44" t="n"/>
      <c r="C74" s="44" t="n"/>
      <c r="D74" s="67" t="n"/>
      <c r="E74" s="44" t="n"/>
      <c r="F74" s="71">
        <f>IF(A74="","",IF(AND(A74&gt;=PeriodStart,A74&lt;=PeriodEnd),"Yes",""))</f>
        <v/>
      </c>
    </row>
    <row r="75" ht="18" customHeight="1">
      <c r="A75" s="68" t="n"/>
      <c r="B75" s="44" t="n"/>
      <c r="C75" s="44" t="n"/>
      <c r="D75" s="67" t="n"/>
      <c r="E75" s="44" t="n"/>
      <c r="F75" s="71">
        <f>IF(A75="","",IF(AND(A75&gt;=PeriodStart,A75&lt;=PeriodEnd),"Yes",""))</f>
        <v/>
      </c>
    </row>
    <row r="76" ht="18" customHeight="1">
      <c r="A76" s="68" t="n"/>
      <c r="B76" s="44" t="n"/>
      <c r="C76" s="44" t="n"/>
      <c r="D76" s="67" t="n"/>
      <c r="E76" s="44" t="n"/>
      <c r="F76" s="71">
        <f>IF(A76="","",IF(AND(A76&gt;=PeriodStart,A76&lt;=PeriodEnd),"Yes",""))</f>
        <v/>
      </c>
    </row>
    <row r="77" ht="18" customHeight="1">
      <c r="A77" s="68" t="n"/>
      <c r="B77" s="44" t="n"/>
      <c r="C77" s="44" t="n"/>
      <c r="D77" s="67" t="n"/>
      <c r="E77" s="44" t="n"/>
      <c r="F77" s="71">
        <f>IF(A77="","",IF(AND(A77&gt;=PeriodStart,A77&lt;=PeriodEnd),"Yes",""))</f>
        <v/>
      </c>
    </row>
    <row r="78" ht="18" customHeight="1">
      <c r="A78" s="68" t="n"/>
      <c r="B78" s="44" t="n"/>
      <c r="C78" s="44" t="n"/>
      <c r="D78" s="67" t="n"/>
      <c r="E78" s="44" t="n"/>
      <c r="F78" s="71">
        <f>IF(A78="","",IF(AND(A78&gt;=PeriodStart,A78&lt;=PeriodEnd),"Yes",""))</f>
        <v/>
      </c>
    </row>
    <row r="79" ht="18" customHeight="1">
      <c r="A79" s="68" t="n"/>
      <c r="B79" s="44" t="n"/>
      <c r="C79" s="44" t="n"/>
      <c r="D79" s="67" t="n"/>
      <c r="E79" s="44" t="n"/>
      <c r="F79" s="71">
        <f>IF(A79="","",IF(AND(A79&gt;=PeriodStart,A79&lt;=PeriodEnd),"Yes",""))</f>
        <v/>
      </c>
    </row>
    <row r="80" ht="18" customHeight="1">
      <c r="A80" s="68" t="n"/>
      <c r="B80" s="44" t="n"/>
      <c r="C80" s="44" t="n"/>
      <c r="D80" s="67" t="n"/>
      <c r="E80" s="44" t="n"/>
      <c r="F80" s="71">
        <f>IF(A80="","",IF(AND(A80&gt;=PeriodStart,A80&lt;=PeriodEnd),"Yes",""))</f>
        <v/>
      </c>
    </row>
    <row r="81" ht="18" customHeight="1">
      <c r="A81" s="68" t="n"/>
      <c r="B81" s="44" t="n"/>
      <c r="C81" s="44" t="n"/>
      <c r="D81" s="67" t="n"/>
      <c r="E81" s="44" t="n"/>
      <c r="F81" s="71">
        <f>IF(A81="","",IF(AND(A81&gt;=PeriodStart,A81&lt;=PeriodEnd),"Yes",""))</f>
        <v/>
      </c>
    </row>
    <row r="82" ht="18" customHeight="1">
      <c r="A82" s="68" t="n"/>
      <c r="B82" s="44" t="n"/>
      <c r="C82" s="44" t="n"/>
      <c r="D82" s="67" t="n"/>
      <c r="E82" s="44" t="n"/>
      <c r="F82" s="71">
        <f>IF(A82="","",IF(AND(A82&gt;=PeriodStart,A82&lt;=PeriodEnd),"Yes",""))</f>
        <v/>
      </c>
    </row>
    <row r="83" ht="18" customHeight="1">
      <c r="A83" s="68" t="n"/>
      <c r="B83" s="44" t="n"/>
      <c r="C83" s="44" t="n"/>
      <c r="D83" s="67" t="n"/>
      <c r="E83" s="44" t="n"/>
      <c r="F83" s="71">
        <f>IF(A83="","",IF(AND(A83&gt;=PeriodStart,A83&lt;=PeriodEnd),"Yes",""))</f>
        <v/>
      </c>
    </row>
    <row r="84" ht="18" customHeight="1">
      <c r="A84" s="68" t="n"/>
      <c r="B84" s="44" t="n"/>
      <c r="C84" s="44" t="n"/>
      <c r="D84" s="67" t="n"/>
      <c r="E84" s="44" t="n"/>
      <c r="F84" s="71">
        <f>IF(A84="","",IF(AND(A84&gt;=PeriodStart,A84&lt;=PeriodEnd),"Yes",""))</f>
        <v/>
      </c>
    </row>
    <row r="85" ht="18" customHeight="1">
      <c r="A85" s="68" t="n"/>
      <c r="B85" s="44" t="n"/>
      <c r="C85" s="44" t="n"/>
      <c r="D85" s="67" t="n"/>
      <c r="E85" s="44" t="n"/>
      <c r="F85" s="71">
        <f>IF(A85="","",IF(AND(A85&gt;=PeriodStart,A85&lt;=PeriodEnd),"Yes",""))</f>
        <v/>
      </c>
    </row>
    <row r="86" ht="18" customHeight="1">
      <c r="A86" s="68" t="n"/>
      <c r="B86" s="44" t="n"/>
      <c r="C86" s="44" t="n"/>
      <c r="D86" s="67" t="n"/>
      <c r="E86" s="44" t="n"/>
      <c r="F86" s="71">
        <f>IF(A86="","",IF(AND(A86&gt;=PeriodStart,A86&lt;=PeriodEnd),"Yes",""))</f>
        <v/>
      </c>
    </row>
    <row r="87" ht="18" customHeight="1">
      <c r="A87" s="68" t="n"/>
      <c r="B87" s="44" t="n"/>
      <c r="C87" s="44" t="n"/>
      <c r="D87" s="67" t="n"/>
      <c r="E87" s="44" t="n"/>
      <c r="F87" s="71">
        <f>IF(A87="","",IF(AND(A87&gt;=PeriodStart,A87&lt;=PeriodEnd),"Yes",""))</f>
        <v/>
      </c>
    </row>
    <row r="88" ht="18" customHeight="1">
      <c r="A88" s="68" t="n"/>
      <c r="B88" s="44" t="n"/>
      <c r="C88" s="44" t="n"/>
      <c r="D88" s="67" t="n"/>
      <c r="E88" s="44" t="n"/>
      <c r="F88" s="71">
        <f>IF(A88="","",IF(AND(A88&gt;=PeriodStart,A88&lt;=PeriodEnd),"Yes",""))</f>
        <v/>
      </c>
    </row>
    <row r="89" ht="18" customHeight="1">
      <c r="A89" s="68" t="n"/>
      <c r="B89" s="44" t="n"/>
      <c r="C89" s="44" t="n"/>
      <c r="D89" s="67" t="n"/>
      <c r="E89" s="44" t="n"/>
      <c r="F89" s="71">
        <f>IF(A89="","",IF(AND(A89&gt;=PeriodStart,A89&lt;=PeriodEnd),"Yes",""))</f>
        <v/>
      </c>
    </row>
    <row r="90" ht="18" customHeight="1">
      <c r="A90" s="68" t="n"/>
      <c r="B90" s="44" t="n"/>
      <c r="C90" s="44" t="n"/>
      <c r="D90" s="67" t="n"/>
      <c r="E90" s="44" t="n"/>
      <c r="F90" s="71">
        <f>IF(A90="","",IF(AND(A90&gt;=PeriodStart,A90&lt;=PeriodEnd),"Yes",""))</f>
        <v/>
      </c>
    </row>
    <row r="91" ht="18" customHeight="1">
      <c r="A91" s="68" t="n"/>
      <c r="B91" s="44" t="n"/>
      <c r="C91" s="44" t="n"/>
      <c r="D91" s="67" t="n"/>
      <c r="E91" s="44" t="n"/>
      <c r="F91" s="71">
        <f>IF(A91="","",IF(AND(A91&gt;=PeriodStart,A91&lt;=PeriodEnd),"Yes",""))</f>
        <v/>
      </c>
    </row>
    <row r="92" ht="18" customHeight="1">
      <c r="A92" s="68" t="n"/>
      <c r="B92" s="44" t="n"/>
      <c r="C92" s="44" t="n"/>
      <c r="D92" s="67" t="n"/>
      <c r="E92" s="44" t="n"/>
      <c r="F92" s="71">
        <f>IF(A92="","",IF(AND(A92&gt;=PeriodStart,A92&lt;=PeriodEnd),"Yes",""))</f>
        <v/>
      </c>
    </row>
    <row r="93" ht="18" customHeight="1">
      <c r="A93" s="68" t="n"/>
      <c r="B93" s="44" t="n"/>
      <c r="C93" s="44" t="n"/>
      <c r="D93" s="67" t="n"/>
      <c r="E93" s="44" t="n"/>
      <c r="F93" s="71">
        <f>IF(A93="","",IF(AND(A93&gt;=PeriodStart,A93&lt;=PeriodEnd),"Yes",""))</f>
        <v/>
      </c>
    </row>
    <row r="94" ht="18" customHeight="1">
      <c r="A94" s="68" t="n"/>
      <c r="B94" s="44" t="n"/>
      <c r="C94" s="44" t="n"/>
      <c r="D94" s="67" t="n"/>
      <c r="E94" s="44" t="n"/>
      <c r="F94" s="71">
        <f>IF(A94="","",IF(AND(A94&gt;=PeriodStart,A94&lt;=PeriodEnd),"Yes",""))</f>
        <v/>
      </c>
    </row>
    <row r="95" ht="18" customHeight="1">
      <c r="A95" s="68" t="n"/>
      <c r="B95" s="44" t="n"/>
      <c r="C95" s="44" t="n"/>
      <c r="D95" s="67" t="n"/>
      <c r="E95" s="44" t="n"/>
      <c r="F95" s="71">
        <f>IF(A95="","",IF(AND(A95&gt;=PeriodStart,A95&lt;=PeriodEnd),"Yes",""))</f>
        <v/>
      </c>
    </row>
    <row r="96" ht="18" customHeight="1">
      <c r="A96" s="68" t="n"/>
      <c r="B96" s="44" t="n"/>
      <c r="C96" s="44" t="n"/>
      <c r="D96" s="67" t="n"/>
      <c r="E96" s="44" t="n"/>
      <c r="F96" s="71">
        <f>IF(A96="","",IF(AND(A96&gt;=PeriodStart,A96&lt;=PeriodEnd),"Yes",""))</f>
        <v/>
      </c>
    </row>
    <row r="97" ht="18" customHeight="1">
      <c r="A97" s="68" t="n"/>
      <c r="B97" s="44" t="n"/>
      <c r="C97" s="44" t="n"/>
      <c r="D97" s="67" t="n"/>
      <c r="E97" s="44" t="n"/>
      <c r="F97" s="71">
        <f>IF(A97="","",IF(AND(A97&gt;=PeriodStart,A97&lt;=PeriodEnd),"Yes",""))</f>
        <v/>
      </c>
    </row>
    <row r="98" ht="18" customHeight="1">
      <c r="A98" s="68" t="n"/>
      <c r="B98" s="44" t="n"/>
      <c r="C98" s="44" t="n"/>
      <c r="D98" s="67" t="n"/>
      <c r="E98" s="44" t="n"/>
      <c r="F98" s="71">
        <f>IF(A98="","",IF(AND(A98&gt;=PeriodStart,A98&lt;=PeriodEnd),"Yes",""))</f>
        <v/>
      </c>
    </row>
    <row r="99" ht="18" customHeight="1">
      <c r="A99" s="68" t="n"/>
      <c r="B99" s="44" t="n"/>
      <c r="C99" s="44" t="n"/>
      <c r="D99" s="67" t="n"/>
      <c r="E99" s="44" t="n"/>
      <c r="F99" s="71">
        <f>IF(A99="","",IF(AND(A99&gt;=PeriodStart,A99&lt;=PeriodEnd),"Yes",""))</f>
        <v/>
      </c>
    </row>
    <row r="100" ht="18" customHeight="1">
      <c r="A100" s="68" t="n"/>
      <c r="B100" s="44" t="n"/>
      <c r="C100" s="44" t="n"/>
      <c r="D100" s="67" t="n"/>
      <c r="E100" s="44" t="n"/>
      <c r="F100" s="71">
        <f>IF(A100="","",IF(AND(A100&gt;=PeriodStart,A100&lt;=PeriodEnd),"Yes",""))</f>
        <v/>
      </c>
    </row>
    <row r="101" ht="18" customHeight="1">
      <c r="A101" s="68" t="n"/>
      <c r="B101" s="44" t="n"/>
      <c r="C101" s="44" t="n"/>
      <c r="D101" s="67" t="n"/>
      <c r="E101" s="44" t="n"/>
      <c r="F101" s="71">
        <f>IF(A101="","",IF(AND(A101&gt;=PeriodStart,A101&lt;=PeriodEnd),"Yes",""))</f>
        <v/>
      </c>
    </row>
    <row r="102" ht="18" customHeight="1">
      <c r="A102" s="68" t="n"/>
      <c r="B102" s="44" t="n"/>
      <c r="C102" s="44" t="n"/>
      <c r="D102" s="67" t="n"/>
      <c r="E102" s="44" t="n"/>
      <c r="F102" s="71">
        <f>IF(A102="","",IF(AND(A102&gt;=PeriodStart,A102&lt;=PeriodEnd),"Yes",""))</f>
        <v/>
      </c>
    </row>
    <row r="103" ht="18" customHeight="1">
      <c r="A103" s="68" t="n"/>
      <c r="B103" s="44" t="n"/>
      <c r="C103" s="44" t="n"/>
      <c r="D103" s="67" t="n"/>
      <c r="E103" s="44" t="n"/>
      <c r="F103" s="71">
        <f>IF(A103="","",IF(AND(A103&gt;=PeriodStart,A103&lt;=PeriodEnd),"Yes",""))</f>
        <v/>
      </c>
    </row>
    <row r="104" ht="18" customHeight="1">
      <c r="A104" s="68" t="n"/>
      <c r="B104" s="44" t="n"/>
      <c r="C104" s="44" t="n"/>
      <c r="D104" s="67" t="n"/>
      <c r="E104" s="44" t="n"/>
      <c r="F104" s="71">
        <f>IF(A104="","",IF(AND(A104&gt;=PeriodStart,A104&lt;=PeriodEnd),"Yes",""))</f>
        <v/>
      </c>
    </row>
    <row r="105">
      <c r="A105" s="73" t="inlineStr">
        <is>
          <t>TOTAL (all rows)</t>
        </is>
      </c>
      <c r="B105" s="74" t="n"/>
      <c r="C105" s="74" t="n"/>
      <c r="D105" s="75">
        <f>SUM(D5:D104)</f>
        <v/>
      </c>
      <c r="E105" s="74" t="n"/>
      <c r="F105" s="74" t="n"/>
    </row>
    <row r="107">
      <c r="A107" s="49" t="inlineStr">
        <is>
          <t>To start a new period: delete the values in columns A–E (leave column F). Or Save As / Make a copy and clear the sample rows.</t>
        </is>
      </c>
    </row>
  </sheetData>
  <autoFilter ref="A4:F104"/>
  <mergeCells count="4">
    <mergeCell ref="A3:F3"/>
    <mergeCell ref="A2:F2"/>
    <mergeCell ref="A107:F107"/>
    <mergeCell ref="A1:F1"/>
  </mergeCells>
  <dataValidations count="3">
    <dataValidation sqref="C5:C104" showDropDown="0" showInputMessage="0" showErrorMessage="0" allowBlank="1" type="list">
      <formula1>='Budget Categories'!$A$5:$A$24</formula1>
    </dataValidation>
    <dataValidation sqref="A5:A104" showDropDown="0" showInputMessage="0" showErrorMessage="0" allowBlank="1" type="date" operator="greaterThanOrEqual">
      <formula1>DATE(2000,1,1)</formula1>
    </dataValidation>
    <dataValidation sqref="D5:D10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6" bottom="0.6" header="0.3" footer="0.3"/>
  <pageSetup orientation="landscape" paperSize="1" fitToHeight="0" fitToWidth="1"/>
  <headerFooter>
    <oddHeader>&amp;LTransaction Log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H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30" customHeight="1">
      <c r="A1" s="81" t="inlineStr">
        <is>
          <t>How to use this template</t>
        </is>
      </c>
      <c r="B1" s="104" t="n"/>
      <c r="C1" s="104" t="n"/>
      <c r="D1" s="104" t="n"/>
      <c r="E1" s="104" t="n"/>
      <c r="F1" s="104" t="n"/>
      <c r="G1" s="104" t="n"/>
      <c r="H1" s="104" t="n"/>
    </row>
    <row r="2">
      <c r="A2" s="82" t="n"/>
      <c r="B2" s="83" t="inlineStr">
        <is>
          <t>A beginner-friendly paycheck budget. Most people are up and running in under 5 minutes.</t>
        </is>
      </c>
      <c r="C2" s="104" t="n"/>
      <c r="D2" s="104" t="n"/>
      <c r="E2" s="104" t="n"/>
      <c r="F2" s="104" t="n"/>
      <c r="G2" s="104" t="n"/>
      <c r="H2" s="82" t="n"/>
    </row>
    <row r="3">
      <c r="A3" s="82" t="n"/>
      <c r="B3" s="82" t="n"/>
      <c r="C3" s="82" t="n"/>
      <c r="D3" s="82" t="n"/>
      <c r="E3" s="82" t="n"/>
      <c r="F3" s="82" t="n"/>
      <c r="G3" s="82" t="n"/>
      <c r="H3" s="82" t="n"/>
    </row>
    <row r="4" ht="22" customHeight="1">
      <c r="A4" s="82" t="n"/>
      <c r="B4" s="84" t="inlineStr">
        <is>
          <t>1. Five-minute start</t>
        </is>
      </c>
      <c r="C4" s="104" t="n"/>
      <c r="D4" s="104" t="n"/>
      <c r="E4" s="104" t="n"/>
      <c r="F4" s="104" t="n"/>
      <c r="G4" s="104" t="n"/>
      <c r="H4" s="82" t="n"/>
    </row>
    <row r="5" ht="36" customHeight="1">
      <c r="A5" s="82" t="n"/>
      <c r="B5" s="85" t="inlineStr">
        <is>
          <t>1. Open Paycheck Setup. Type your name, how often you are paid (Weekly, Bi-Weekly, or Monthly), your take-home amount, any extra income, and the date of this paycheck.</t>
        </is>
      </c>
      <c r="C5" s="102" t="n"/>
      <c r="D5" s="102" t="n"/>
      <c r="E5" s="102" t="n"/>
      <c r="F5" s="102" t="n"/>
      <c r="G5" s="103" t="n"/>
      <c r="H5" s="82" t="n"/>
    </row>
    <row r="6" ht="36" customHeight="1">
      <c r="A6" s="82" t="n"/>
      <c r="B6" s="85" t="inlineStr">
        <is>
          <t>2. Open Bills. Replace the sample bills with yours — name, amount, next due date, and how often it repeats. Leave This period $ blank unless you want to split a bill (see below).</t>
        </is>
      </c>
      <c r="C6" s="102" t="n"/>
      <c r="D6" s="102" t="n"/>
      <c r="E6" s="102" t="n"/>
      <c r="F6" s="102" t="n"/>
      <c r="G6" s="103" t="n"/>
      <c r="H6" s="82" t="n"/>
    </row>
    <row r="7" ht="36" customHeight="1">
      <c r="A7" s="82" t="n"/>
      <c r="B7" s="85" t="inlineStr">
        <is>
          <t>3. Open Budget Categories. Set a planned amount for groceries, gas, and the other buckets you actually use. Delete or overwrite the sample names you don't need.</t>
        </is>
      </c>
      <c r="C7" s="102" t="n"/>
      <c r="D7" s="102" t="n"/>
      <c r="E7" s="102" t="n"/>
      <c r="F7" s="102" t="n"/>
      <c r="G7" s="103" t="n"/>
      <c r="H7" s="82" t="n"/>
    </row>
    <row r="8" ht="36" customHeight="1">
      <c r="A8" s="82" t="n"/>
      <c r="B8" s="85" t="inlineStr">
        <is>
          <t>4. During the period, add spending on the Transaction Log. Pick a category from the dropdown so the totals stay honest.</t>
        </is>
      </c>
      <c r="C8" s="102" t="n"/>
      <c r="D8" s="102" t="n"/>
      <c r="E8" s="102" t="n"/>
      <c r="F8" s="102" t="n"/>
      <c r="G8" s="103" t="n"/>
      <c r="H8" s="82" t="n"/>
    </row>
    <row r="9" ht="36" customHeight="1">
      <c r="A9" s="82" t="n"/>
      <c r="B9" s="85" t="inlineStr">
        <is>
          <t>5. Live on the Dashboard. The four cards are the whole story: next paycheck, bills this period, money left after bills, and money left after bills + the plan.</t>
        </is>
      </c>
      <c r="C9" s="102" t="n"/>
      <c r="D9" s="102" t="n"/>
      <c r="E9" s="102" t="n"/>
      <c r="F9" s="102" t="n"/>
      <c r="G9" s="103" t="n"/>
      <c r="H9" s="82" t="n"/>
    </row>
    <row r="10" ht="56" customHeight="1">
      <c r="A10" s="82" t="n"/>
      <c r="B10" s="86" t="inlineStr">
        <is>
          <t>[Screenshot: Dashboard cards after you enter your pay info]</t>
        </is>
      </c>
      <c r="C10" s="105" t="n"/>
      <c r="D10" s="105" t="n"/>
      <c r="E10" s="105" t="n"/>
      <c r="F10" s="105" t="n"/>
      <c r="G10" s="106" t="n"/>
      <c r="H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</row>
    <row r="12" ht="22" customHeight="1">
      <c r="A12" s="82" t="n"/>
      <c r="B12" s="84" t="inlineStr">
        <is>
          <t>2. What each tab does</t>
        </is>
      </c>
      <c r="C12" s="104" t="n"/>
      <c r="D12" s="104" t="n"/>
      <c r="E12" s="104" t="n"/>
      <c r="F12" s="104" t="n"/>
      <c r="G12" s="104" t="n"/>
      <c r="H12" s="82" t="n"/>
    </row>
    <row r="13" ht="24" customHeight="1">
      <c r="A13" s="82" t="n"/>
      <c r="B13" s="85" t="inlineStr">
        <is>
          <t>Dashboard — A simple financial summary. Nothing to type.</t>
        </is>
      </c>
      <c r="C13" s="102" t="n"/>
      <c r="D13" s="102" t="n"/>
      <c r="E13" s="102" t="n"/>
      <c r="F13" s="102" t="n"/>
      <c r="G13" s="103" t="n"/>
      <c r="H13" s="82" t="n"/>
    </row>
    <row r="14" ht="24" customHeight="1">
      <c r="A14" s="82" t="n"/>
      <c r="B14" s="85" t="inlineStr">
        <is>
          <t>Paycheck Setup — Your pay schedule, period dates, and running totals. Start here every new paycheck.</t>
        </is>
      </c>
      <c r="C14" s="102" t="n"/>
      <c r="D14" s="102" t="n"/>
      <c r="E14" s="102" t="n"/>
      <c r="F14" s="102" t="n"/>
      <c r="G14" s="103" t="n"/>
      <c r="H14" s="82" t="n"/>
    </row>
    <row r="15" ht="24" customHeight="1">
      <c r="A15" s="82" t="n"/>
      <c r="B15" s="85" t="inlineStr">
        <is>
          <t>Bills — Recurring and one-time bills, paid status, and how much hits this paycheck.</t>
        </is>
      </c>
      <c r="C15" s="102" t="n"/>
      <c r="D15" s="102" t="n"/>
      <c r="E15" s="102" t="n"/>
      <c r="F15" s="102" t="n"/>
      <c r="G15" s="103" t="n"/>
      <c r="H15" s="82" t="n"/>
    </row>
    <row r="16" ht="24" customHeight="1">
      <c r="A16" s="82" t="n"/>
      <c r="B16" s="85" t="inlineStr">
        <is>
          <t>Budget Categories — Planned vs actual spending, remaining, and a progress bar.</t>
        </is>
      </c>
      <c r="C16" s="102" t="n"/>
      <c r="D16" s="102" t="n"/>
      <c r="E16" s="102" t="n"/>
      <c r="F16" s="102" t="n"/>
      <c r="G16" s="103" t="n"/>
      <c r="H16" s="82" t="n"/>
    </row>
    <row r="17" ht="24" customHeight="1">
      <c r="A17" s="82" t="n"/>
      <c r="B17" s="85" t="inlineStr">
        <is>
          <t>Transaction Log — Daily spending. Do not log bill payments here.</t>
        </is>
      </c>
      <c r="C17" s="102" t="n"/>
      <c r="D17" s="102" t="n"/>
      <c r="E17" s="102" t="n"/>
      <c r="F17" s="102" t="n"/>
      <c r="G17" s="103" t="n"/>
      <c r="H17" s="82" t="n"/>
    </row>
    <row r="18" ht="24" customHeight="1">
      <c r="A18" s="82" t="n"/>
      <c r="B18" s="85" t="inlineStr">
        <is>
          <t>Instructions — This guide.</t>
        </is>
      </c>
      <c r="C18" s="102" t="n"/>
      <c r="D18" s="102" t="n"/>
      <c r="E18" s="102" t="n"/>
      <c r="F18" s="102" t="n"/>
      <c r="G18" s="103" t="n"/>
      <c r="H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</row>
    <row r="20" ht="22" customHeight="1">
      <c r="A20" s="82" t="n"/>
      <c r="B20" s="84" t="inlineStr">
        <is>
          <t>3. How bills are counted</t>
        </is>
      </c>
      <c r="C20" s="104" t="n"/>
      <c r="D20" s="104" t="n"/>
      <c r="E20" s="104" t="n"/>
      <c r="F20" s="104" t="n"/>
      <c r="G20" s="104" t="n"/>
      <c r="H20" s="82" t="n"/>
    </row>
    <row r="21" ht="44" customHeight="1">
      <c r="A21" s="82" t="n"/>
      <c r="B21" s="85" t="inlineStr">
        <is>
          <t>A bill counts in this paycheck if its next due date (based on Frequency) falls between Period start and Period end. Weekly and bi-weekly bills can hit more than once — a $12 weekly gym fee in a 14-day period becomes $24.</t>
        </is>
      </c>
      <c r="C21" s="102" t="n"/>
      <c r="D21" s="102" t="n"/>
      <c r="E21" s="102" t="n"/>
      <c r="F21" s="102" t="n"/>
      <c r="G21" s="103" t="n"/>
      <c r="H21" s="82" t="n"/>
    </row>
    <row r="22" ht="48" customHeight="1">
      <c r="A22" s="82" t="n"/>
      <c r="B22" s="85" t="inlineStr">
        <is>
          <t>Monthly bills only hit the paycheck that contains their due day. Rent due on the 1st will not appear in an Aug 7–20 period. That is expected. Use This period $ to assign part of that bill to this check anyway — the sample Rent row puts $600 of a $1,200 rent bill on this paycheck.</t>
        </is>
      </c>
      <c r="C22" s="102" t="n"/>
      <c r="D22" s="102" t="n"/>
      <c r="E22" s="102" t="n"/>
      <c r="F22" s="102" t="n"/>
      <c r="G22" s="103" t="n"/>
      <c r="H22" s="82" t="n"/>
    </row>
    <row r="23" ht="32" customHeight="1">
      <c r="A23" s="82" t="n"/>
      <c r="B23" s="85" t="inlineStr">
        <is>
          <t>Mark Paid? when you pay it. Unpaid bills still count against “left after bills” so you don't spend money that is already spoken for.</t>
        </is>
      </c>
      <c r="C23" s="102" t="n"/>
      <c r="D23" s="102" t="n"/>
      <c r="E23" s="102" t="n"/>
      <c r="F23" s="102" t="n"/>
      <c r="G23" s="103" t="n"/>
      <c r="H23" s="82" t="n"/>
    </row>
    <row r="24" ht="32" customHeight="1">
      <c r="A24" s="82" t="n"/>
      <c r="B24" s="85" t="inlineStr">
        <is>
          <t>Do not also enter a bill payment on the Transaction Log. Bills and everyday spending are tracked separately so nothing is double-counted.</t>
        </is>
      </c>
      <c r="C24" s="102" t="n"/>
      <c r="D24" s="102" t="n"/>
      <c r="E24" s="102" t="n"/>
      <c r="F24" s="102" t="n"/>
      <c r="G24" s="103" t="n"/>
      <c r="H24" s="82" t="n"/>
    </row>
    <row r="25" ht="56" customHeight="1">
      <c r="A25" s="82" t="n"/>
      <c r="B25" s="86" t="inlineStr">
        <is>
          <t>[Screenshot: Bills tracker with Status colors — overdue, due soon, paid]</t>
        </is>
      </c>
      <c r="C25" s="105" t="n"/>
      <c r="D25" s="105" t="n"/>
      <c r="E25" s="105" t="n"/>
      <c r="F25" s="105" t="n"/>
      <c r="G25" s="106" t="n"/>
      <c r="H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</row>
    <row r="27" ht="22" customHeight="1">
      <c r="A27" s="82" t="n"/>
      <c r="B27" s="84" t="inlineStr">
        <is>
          <t>4. Color key</t>
        </is>
      </c>
      <c r="C27" s="104" t="n"/>
      <c r="D27" s="104" t="n"/>
      <c r="E27" s="104" t="n"/>
      <c r="F27" s="104" t="n"/>
      <c r="G27" s="104" t="n"/>
      <c r="H27" s="82" t="n"/>
    </row>
    <row r="28" ht="22" customHeight="1">
      <c r="A28" s="82" t="n"/>
      <c r="B28" s="85" t="inlineStr">
        <is>
          <t>Blue cell = type here.    Gray cell = formula, leave it alone.</t>
        </is>
      </c>
      <c r="C28" s="102" t="n"/>
      <c r="D28" s="102" t="n"/>
      <c r="E28" s="102" t="n"/>
      <c r="F28" s="102" t="n"/>
      <c r="G28" s="103" t="n"/>
      <c r="H28" s="82" t="n"/>
    </row>
    <row r="29" ht="22" customHeight="1">
      <c r="A29" s="82" t="n"/>
      <c r="B29" s="85" t="inlineStr">
        <is>
          <t>Green = under budget, or a bill marked Paid.</t>
        </is>
      </c>
      <c r="C29" s="102" t="n"/>
      <c r="D29" s="102" t="n"/>
      <c r="E29" s="102" t="n"/>
      <c r="F29" s="102" t="n"/>
      <c r="G29" s="103" t="n"/>
      <c r="H29" s="82" t="n"/>
    </row>
    <row r="30" ht="22" customHeight="1">
      <c r="A30" s="82" t="n"/>
      <c r="B30" s="85" t="inlineStr">
        <is>
          <t>Amber = category is 80–100% used (“On track”), or a bill due within 7 days.</t>
        </is>
      </c>
      <c r="C30" s="102" t="n"/>
      <c r="D30" s="102" t="n"/>
      <c r="E30" s="102" t="n"/>
      <c r="F30" s="102" t="n"/>
      <c r="G30" s="103" t="n"/>
      <c r="H30" s="82" t="n"/>
    </row>
    <row r="31" ht="22" customHeight="1">
      <c r="A31" s="82" t="n"/>
      <c r="B31" s="85" t="inlineStr">
        <is>
          <t>Red = category is overspent, leftover is negative, or a bill is overdue.</t>
        </is>
      </c>
      <c r="C31" s="102" t="n"/>
      <c r="D31" s="102" t="n"/>
      <c r="E31" s="102" t="n"/>
      <c r="F31" s="102" t="n"/>
      <c r="G31" s="103" t="n"/>
      <c r="H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</row>
    <row r="33" ht="22" customHeight="1">
      <c r="A33" s="82" t="n"/>
      <c r="B33" s="84" t="inlineStr">
        <is>
          <t>5. Start a new paycheck period</t>
        </is>
      </c>
      <c r="C33" s="104" t="n"/>
      <c r="D33" s="104" t="n"/>
      <c r="E33" s="104" t="n"/>
      <c r="F33" s="104" t="n"/>
      <c r="G33" s="104" t="n"/>
      <c r="H33" s="82" t="n"/>
    </row>
    <row r="34" ht="24" customHeight="1">
      <c r="A34" s="82" t="n"/>
      <c r="B34" s="85" t="inlineStr">
        <is>
          <t>This file is one paycheck. When the next one arrives, duplicate it so you keep a history.</t>
        </is>
      </c>
      <c r="C34" s="102" t="n"/>
      <c r="D34" s="102" t="n"/>
      <c r="E34" s="102" t="n"/>
      <c r="F34" s="102" t="n"/>
      <c r="G34" s="103" t="n"/>
      <c r="H34" s="82" t="n"/>
    </row>
    <row r="35" ht="36" customHeight="1">
      <c r="A35" s="82" t="n"/>
      <c r="B35" s="85" t="inlineStr">
        <is>
          <t>•  Excel: File → Save As. Name it something like “Paycheck Budget – Aug 21 2026”.</t>
        </is>
      </c>
      <c r="C35" s="102" t="n"/>
      <c r="D35" s="102" t="n"/>
      <c r="E35" s="102" t="n"/>
      <c r="F35" s="102" t="n"/>
      <c r="G35" s="103" t="n"/>
      <c r="H35" s="82" t="n"/>
    </row>
    <row r="36" ht="36" customHeight="1">
      <c r="A36" s="82" t="n"/>
      <c r="B36" s="85" t="inlineStr">
        <is>
          <t>•  Google Sheets: File → Make a copy. Same idea for the name.</t>
        </is>
      </c>
      <c r="C36" s="102" t="n"/>
      <c r="D36" s="102" t="n"/>
      <c r="E36" s="102" t="n"/>
      <c r="F36" s="102" t="n"/>
      <c r="G36" s="103" t="n"/>
      <c r="H36" s="82" t="n"/>
    </row>
    <row r="37" ht="36" customHeight="1">
      <c r="A37" s="82" t="n"/>
      <c r="B37" s="85" t="inlineStr">
        <is>
          <t>•  Then follow the checklist at the bottom of Paycheck Setup: update the last-pay date and amounts, reset Paid? to Unpaid, clear the Transaction Log, tweak category plans if needed, and check the Dashboard.</t>
        </is>
      </c>
      <c r="C37" s="102" t="n"/>
      <c r="D37" s="102" t="n"/>
      <c r="E37" s="102" t="n"/>
      <c r="F37" s="102" t="n"/>
      <c r="G37" s="103" t="n"/>
      <c r="H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</row>
    <row r="39" ht="22" customHeight="1">
      <c r="A39" s="82" t="n"/>
      <c r="B39" s="84" t="inlineStr">
        <is>
          <t>6. How to customize</t>
        </is>
      </c>
      <c r="C39" s="104" t="n"/>
      <c r="D39" s="104" t="n"/>
      <c r="E39" s="104" t="n"/>
      <c r="F39" s="104" t="n"/>
      <c r="G39" s="104" t="n"/>
      <c r="H39" s="82" t="n"/>
    </row>
    <row r="40" ht="40" customHeight="1">
      <c r="A40" s="82" t="n"/>
      <c r="B40" s="85" t="inlineStr">
        <is>
          <t>•  Add a bill or category: type in the next blank blue row. Formulas in the gray columns are already there.</t>
        </is>
      </c>
      <c r="C40" s="102" t="n"/>
      <c r="D40" s="102" t="n"/>
      <c r="E40" s="102" t="n"/>
      <c r="F40" s="102" t="n"/>
      <c r="G40" s="103" t="n"/>
      <c r="H40" s="82" t="n"/>
    </row>
    <row r="41" ht="40" customHeight="1">
      <c r="A41" s="82" t="n"/>
      <c r="B41" s="85" t="inlineStr">
        <is>
          <t>•  Remove sample data: select the sample values (not the gray formula cells) and press Delete. Or overwrite them with yours.</t>
        </is>
      </c>
      <c r="C41" s="102" t="n"/>
      <c r="D41" s="102" t="n"/>
      <c r="E41" s="102" t="n"/>
      <c r="F41" s="102" t="n"/>
      <c r="G41" s="103" t="n"/>
      <c r="H41" s="82" t="n"/>
    </row>
    <row r="42" ht="40" customHeight="1">
      <c r="A42" s="82" t="n"/>
      <c r="B42" s="85" t="inlineStr">
        <is>
          <t>•  Rename a category: change it on Budget Categories, then update any matching rows on Bills and the Transaction Log so Actual still adds up.</t>
        </is>
      </c>
      <c r="C42" s="102" t="n"/>
      <c r="D42" s="102" t="n"/>
      <c r="E42" s="102" t="n"/>
      <c r="F42" s="102" t="n"/>
      <c r="G42" s="103" t="n"/>
      <c r="H42" s="82" t="n"/>
    </row>
    <row r="43" ht="40" customHeight="1">
      <c r="A43" s="82" t="n"/>
      <c r="B43" s="85" t="inlineStr">
        <is>
          <t>•  Change dropdown options: edit the lists in column N on Paycheck Setup (Weekly / Monthly / Paid, etc.).</t>
        </is>
      </c>
      <c r="C43" s="102" t="n"/>
      <c r="D43" s="102" t="n"/>
      <c r="E43" s="102" t="n"/>
      <c r="F43" s="102" t="n"/>
      <c r="G43" s="103" t="n"/>
      <c r="H43" s="82" t="n"/>
    </row>
    <row r="44" ht="40" customHeight="1">
      <c r="A44" s="82" t="n"/>
      <c r="B44" s="85" t="inlineStr">
        <is>
          <t>•  Change colors or column widths: Review → Unprotect Sheet (no password), then restyle. Re-protect when you are done if you like.</t>
        </is>
      </c>
      <c r="C44" s="102" t="n"/>
      <c r="D44" s="102" t="n"/>
      <c r="E44" s="102" t="n"/>
      <c r="F44" s="102" t="n"/>
      <c r="G44" s="103" t="n"/>
      <c r="H44" s="82" t="n"/>
    </row>
    <row r="45" ht="40" customHeight="1">
      <c r="A45" s="82" t="n"/>
      <c r="B45" s="85" t="inlineStr">
        <is>
          <t>•  Charts read the first 12 category rows (the Chart data table at the bottom of the Dashboard). If you add more categories and want them on the pie/bar, unprotect the Dashboard and extend that table and the chart ranges.</t>
        </is>
      </c>
      <c r="C45" s="102" t="n"/>
      <c r="D45" s="102" t="n"/>
      <c r="E45" s="102" t="n"/>
      <c r="F45" s="102" t="n"/>
      <c r="G45" s="103" t="n"/>
      <c r="H45" s="82" t="n"/>
    </row>
    <row r="46" ht="40" customHeight="1">
      <c r="A46" s="82" t="n"/>
      <c r="B46" s="85" t="inlineStr">
        <is>
          <t>•  Google Sheets: upload this file to Drive and open it with Google Sheets. Dropdowns and formulas come across. Sheet protection often does not — that is fine, the gray/blue colors still show you what to edit. If a dropdown is missing, set it again using the lists in Paycheck Setup column N.</t>
        </is>
      </c>
      <c r="C46" s="102" t="n"/>
      <c r="D46" s="102" t="n"/>
      <c r="E46" s="102" t="n"/>
      <c r="F46" s="102" t="n"/>
      <c r="G46" s="103" t="n"/>
      <c r="H46" s="82" t="n"/>
    </row>
    <row r="47" ht="40" customHeight="1">
      <c r="A47" s="82" t="n"/>
      <c r="B47" s="85" t="inlineStr">
        <is>
          <t>•  Weekly vs monthly pay: change Pay frequency. Next paycheck date and the period window update automatically. Then review which bills fall inside the new window.</t>
        </is>
      </c>
      <c r="C47" s="102" t="n"/>
      <c r="D47" s="102" t="n"/>
      <c r="E47" s="102" t="n"/>
      <c r="F47" s="102" t="n"/>
      <c r="G47" s="103" t="n"/>
      <c r="H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</row>
    <row r="49" ht="22" customHeight="1">
      <c r="A49" s="82" t="n"/>
      <c r="B49" s="84" t="inlineStr">
        <is>
          <t>7. A few things this template does not do</t>
        </is>
      </c>
      <c r="C49" s="104" t="n"/>
      <c r="D49" s="104" t="n"/>
      <c r="E49" s="104" t="n"/>
      <c r="F49" s="104" t="n"/>
      <c r="G49" s="104" t="n"/>
      <c r="H49" s="82" t="n"/>
    </row>
    <row r="50" ht="44" customHeight="1">
      <c r="A50" s="82" t="n"/>
      <c r="B50" s="85" t="inlineStr">
        <is>
          <t>It does not import bank transactions, track multiple years on one sheet, or split a household with two pay cycles automatically. Extra income from a second job can go in Extra income this period. For a second person's full paycheck, duplicate the file.</t>
        </is>
      </c>
      <c r="C50" s="102" t="n"/>
      <c r="D50" s="102" t="n"/>
      <c r="E50" s="102" t="n"/>
      <c r="F50" s="102" t="n"/>
      <c r="G50" s="103" t="n"/>
      <c r="H50" s="82" t="n"/>
    </row>
    <row r="51" ht="56" customHeight="1">
      <c r="A51" s="82" t="n"/>
      <c r="B51" s="86" t="inlineStr">
        <is>
          <t>[Screenshot: Transaction Log with a few daily purchases]</t>
        </is>
      </c>
      <c r="C51" s="105" t="n"/>
      <c r="D51" s="105" t="n"/>
      <c r="E51" s="105" t="n"/>
      <c r="F51" s="105" t="n"/>
      <c r="G51" s="106" t="n"/>
      <c r="H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</row>
    <row r="53" ht="22" customHeight="1">
      <c r="A53" s="82" t="n"/>
      <c r="B53" s="84" t="inlineStr">
        <is>
          <t>8. Suggested first week</t>
        </is>
      </c>
      <c r="C53" s="104" t="n"/>
      <c r="D53" s="104" t="n"/>
      <c r="E53" s="104" t="n"/>
      <c r="F53" s="104" t="n"/>
      <c r="G53" s="104" t="n"/>
      <c r="H53" s="82" t="n"/>
    </row>
    <row r="54" ht="28" customHeight="1">
      <c r="A54" s="82" t="n"/>
      <c r="B54" s="85" t="inlineStr">
        <is>
          <t>Day 1 — Replace the sample name, pay, bills, and categories with yours. Glance at the Dashboard.</t>
        </is>
      </c>
      <c r="C54" s="102" t="n"/>
      <c r="D54" s="102" t="n"/>
      <c r="E54" s="102" t="n"/>
      <c r="F54" s="102" t="n"/>
      <c r="G54" s="103" t="n"/>
      <c r="H54" s="82" t="n"/>
    </row>
    <row r="55" ht="28" customHeight="1">
      <c r="A55" s="82" t="n"/>
      <c r="B55" s="85" t="inlineStr">
        <is>
          <t>Days 2–13 — Log spending as it happens (30 seconds). Watch category bars move.</t>
        </is>
      </c>
      <c r="C55" s="102" t="n"/>
      <c r="D55" s="102" t="n"/>
      <c r="E55" s="102" t="n"/>
      <c r="F55" s="102" t="n"/>
      <c r="G55" s="103" t="n"/>
      <c r="H55" s="82" t="n"/>
    </row>
    <row r="56" ht="28" customHeight="1">
      <c r="A56" s="82" t="n"/>
      <c r="B56" s="85" t="inlineStr">
        <is>
          <t>Payday — Duplicate the file, tick the checklist, start the next period clean.</t>
        </is>
      </c>
      <c r="C56" s="102" t="n"/>
      <c r="D56" s="102" t="n"/>
      <c r="E56" s="102" t="n"/>
      <c r="F56" s="102" t="n"/>
      <c r="G56" s="103" t="n"/>
      <c r="H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</row>
    <row r="58">
      <c r="A58" s="82" t="n"/>
      <c r="B58" s="87" t="inlineStr">
        <is>
          <t>You are not supposed to fill every row. Empty blue rows are waiting for you.</t>
        </is>
      </c>
      <c r="C58" s="104" t="n"/>
      <c r="D58" s="104" t="n"/>
      <c r="E58" s="104" t="n"/>
      <c r="F58" s="104" t="n"/>
      <c r="G58" s="104" t="n"/>
      <c r="H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</sheetData>
  <mergeCells count="49">
    <mergeCell ref="B2:G2"/>
    <mergeCell ref="B42:G42"/>
    <mergeCell ref="B14:G14"/>
    <mergeCell ref="B17:G17"/>
    <mergeCell ref="B23:G23"/>
    <mergeCell ref="B8:G8"/>
    <mergeCell ref="B13:G13"/>
    <mergeCell ref="A1:H1"/>
    <mergeCell ref="B44:G44"/>
    <mergeCell ref="B53:G53"/>
    <mergeCell ref="B29:G29"/>
    <mergeCell ref="B34:G34"/>
    <mergeCell ref="B10:G10"/>
    <mergeCell ref="B28:G28"/>
    <mergeCell ref="B37:G37"/>
    <mergeCell ref="B9:G9"/>
    <mergeCell ref="B49:G49"/>
    <mergeCell ref="B40:G40"/>
    <mergeCell ref="B30:G30"/>
    <mergeCell ref="B15:G15"/>
    <mergeCell ref="B33:G33"/>
    <mergeCell ref="B55:G55"/>
    <mergeCell ref="B6:G6"/>
    <mergeCell ref="B24:G24"/>
    <mergeCell ref="B51:G51"/>
    <mergeCell ref="B20:G20"/>
    <mergeCell ref="B5:G5"/>
    <mergeCell ref="B36:G36"/>
    <mergeCell ref="B45:G45"/>
    <mergeCell ref="B41:G41"/>
    <mergeCell ref="B35:G35"/>
    <mergeCell ref="B4:G4"/>
    <mergeCell ref="B50:G50"/>
    <mergeCell ref="B7:G7"/>
    <mergeCell ref="B25:G25"/>
    <mergeCell ref="B47:G47"/>
    <mergeCell ref="B16:G16"/>
    <mergeCell ref="B54:G54"/>
    <mergeCell ref="B46:G46"/>
    <mergeCell ref="B22:G22"/>
    <mergeCell ref="B31:G31"/>
    <mergeCell ref="B27:G27"/>
    <mergeCell ref="B43:G43"/>
    <mergeCell ref="B12:G12"/>
    <mergeCell ref="B18:G18"/>
    <mergeCell ref="B56:G56"/>
    <mergeCell ref="B58:G58"/>
    <mergeCell ref="B21:G21"/>
    <mergeCell ref="B39:G39"/>
  </mergeCells>
  <printOptions horizontalCentered="1"/>
  <pageMargins left="0.5" right="0.5" top="0.6" bottom="0.6" header="0.3" footer="0.3"/>
  <pageSetup orientation="portrait" paperSize="1" fitToHeight="0" fitToWidth="1"/>
  <headerFooter>
    <oddHeader>&amp;LInstructions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Paycheck Budget Tracker</dc:creator>
  <dc:title>Paycheck Budget + Bill Tracker</dc:title>
  <dc:description>Beginner-friendly paycheck budget and bill tracker. Works in Microsoft Excel and Google Sheets.</dc:description>
  <dcterms:created xsi:type="dcterms:W3CDTF">2026-08-12T22:22:11Z</dcterms:created>
  <dcterms:modified xsi:type="dcterms:W3CDTF">2026-08-20T17:58:52Z</dcterms:modified>
</cp:coreProperties>
</file>