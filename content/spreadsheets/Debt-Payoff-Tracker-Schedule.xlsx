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ebt List" sheetId="2" state="visible" r:id="rId2"/>
    <sheet name="Payoff Schedule" sheetId="3" state="visible" r:id="rId3"/>
    <sheet name="Payment Log" sheetId="4" state="visible" r:id="rId4"/>
    <sheet name="Snowball vs Avalanche" sheetId="5" state="visible" r:id="rId5"/>
    <sheet name="Instructions" sheetId="6" state="visible" r:id="rId6"/>
    <sheet name="_Calc" sheetId="7" state="hidden" r:id="rId7"/>
  </sheets>
  <definedNames>
    <definedName name="UserName">Dashboard!$B$3</definedName>
    <definedName name="Method">Dashboard!$D$3</definedName>
    <definedName name="ExtraPayment">Dashboard!$F$3</definedName>
    <definedName name="PlanStart">Dashboard!$H$3</definedName>
    <definedName name="List_Method">Dashboard!$N$2:$N$4</definedName>
    <definedName name="RemainingDebt">Dashboard!$N$6</definedName>
    <definedName name="OriginalDebt">Dashboard!$N$7</definedName>
    <definedName name="ProgressPct">Dashboard!$N$8</definedName>
    <definedName name="DebtsLeft">Dashboard!$N$9</definedName>
    <definedName name="DebtsTotal">Dashboard!$N$10</definedName>
    <definedName name="MinTotal">Dashboard!$N$11</definedName>
    <definedName name="TargetDebt">Dashboard!$N$12</definedName>
    <definedName name="MinOnlyInt">Dashboard!$N$13</definedName>
    <definedName name="PlanInterest">Dashboard!$N$14</definedName>
    <definedName name="PayoffDate">Dashboard!$N$15</definedName>
    <definedName name="PayoffMonths">Dashboard!$N$16</definedName>
    <definedName name="InterestSaved">Dashboard!$N$17</definedName>
    <definedName name="ProgressBar">Dashboard!$N$18</definedName>
    <definedName name="DebtNames">'Debt List'!$A$5:$A$12</definedName>
    <definedName name="OrderPlan">'Debt List'!$K$5:$K$12</definedName>
    <definedName name="OrderSnow">'Debt List'!$L$5:$L$12</definedName>
    <definedName name="OrderAval">'Debt List'!$M$5:$M$12</definedName>
    <definedName name="SnowDate">'_Calc'!CC$2</definedName>
    <definedName name="SnowInt">'_Calc'!CD$2</definedName>
    <definedName name="SnowPaid">'_Calc'!CE$2</definedName>
    <definedName name="SnowMonths">'_Calc'!CF$2</definedName>
    <definedName name="AvalDate">'_Calc'!FE$2</definedName>
    <definedName name="AvalInt">'_Calc'!FF$2</definedName>
    <definedName name="AvalPaid">'_Calc'!FG$2</definedName>
    <definedName name="AvalMonths">'_Calc'!FH$2</definedName>
    <definedName name="_xlnm.Print_Area" localSheetId="0">'Dashboard'!$A$1:$L$36</definedName>
    <definedName name="_xlnm._FilterDatabase" localSheetId="1" hidden="1">'Debt List'!$A$4:$O$12</definedName>
    <definedName name="_xlnm.Print_Area" localSheetId="1">'Debt List'!$A$1:$O$15</definedName>
    <definedName name="_xlnm.Print_Area" localSheetId="2">'Payoff Schedule'!$A$1:$Q$40</definedName>
    <definedName name="_xlnm._FilterDatabase" localSheetId="3" hidden="1">'Payment Log'!$A$4:$D$104</definedName>
    <definedName name="_xlnm.Print_Area" localSheetId="3">'Payment Log'!$A$1:$D$24</definedName>
    <definedName name="_xlnm.Print_Area" localSheetId="4">'Snowball vs Avalanche'!$A$1:$L$35</definedName>
    <definedName name="_xlnm.Print_Area" localSheetId="5">'Instructions'!$A$1:$H$38</definedName>
  </definedNames>
  <calcPr calcId="124519" fullCalcOnLoad="1"/>
</workbook>
</file>

<file path=xl/styles.xml><?xml version="1.0" encoding="utf-8"?>
<styleSheet xmlns="http://schemas.openxmlformats.org/spreadsheetml/2006/main">
  <numFmts count="4">
    <numFmt numFmtId="164" formatCode="&quot;$&quot;#,##0.00"/>
    <numFmt numFmtId="165" formatCode="mmm yyyy"/>
    <numFmt numFmtId="166" formatCode="0.0%"/>
    <numFmt numFmtId="167" formatCode="mmm d, yyyy"/>
  </numFmts>
  <fonts count="27">
    <font>
      <name val="Calibri"/>
      <family val="2"/>
      <color theme="1"/>
      <sz val="11"/>
      <scheme val="minor"/>
    </font>
    <font>
      <name val="Calibri"/>
      <b val="1"/>
      <color rgb="00FFFFFF"/>
      <sz val="12"/>
    </font>
    <font>
      <name val="Calibri"/>
      <b val="1"/>
      <color rgb="00FFFFFF"/>
      <sz val="10"/>
    </font>
    <font>
      <name val="Calibri"/>
      <b val="1"/>
      <color rgb="00FFFFFF"/>
      <sz val="8"/>
    </font>
    <font>
      <name val="Calibri"/>
      <b val="1"/>
      <color rgb="00FFFFFF"/>
      <sz val="7"/>
    </font>
    <font>
      <name val="Calibri"/>
      <b val="1"/>
      <color rgb="00FFFFFF"/>
      <sz val="20"/>
    </font>
    <font>
      <name val="Calibri"/>
      <i val="1"/>
      <color rgb="005D6D7E"/>
      <sz val="9"/>
    </font>
    <font>
      <name val="Calibri"/>
      <b val="1"/>
      <color rgb="001F7A6B"/>
      <sz val="10"/>
    </font>
    <font>
      <name val="Calibri"/>
      <b val="1"/>
      <color rgb="00FFFFFF"/>
      <sz val="9"/>
    </font>
    <font>
      <name val="Calibri"/>
      <color rgb="001F2A33"/>
      <sz val="10"/>
    </font>
    <font>
      <name val="Calibri"/>
      <color rgb="001F2A33"/>
      <sz val="8"/>
    </font>
    <font>
      <name val="Calibri"/>
      <b val="1"/>
      <color rgb="001F2A33"/>
      <sz val="10"/>
    </font>
    <font>
      <name val="Calibri"/>
      <color rgb="001F2A33"/>
      <sz val="9"/>
    </font>
    <font>
      <name val="Calibri"/>
      <b val="1"/>
      <color rgb="001F2A33"/>
      <sz val="9"/>
    </font>
    <font>
      <name val="Calibri"/>
      <b val="1"/>
      <color rgb="001F2A33"/>
      <sz val="12"/>
    </font>
    <font>
      <name val="Calibri"/>
      <b val="1"/>
      <color rgb="001F2A33"/>
      <sz val="11"/>
    </font>
    <font>
      <name val="Calibri"/>
      <color rgb="001F2A33"/>
      <sz val="11"/>
    </font>
    <font>
      <name val="Calibri"/>
      <b val="1"/>
      <color rgb="00FFFFFF"/>
      <sz val="11"/>
    </font>
    <font>
      <name val="Calibri"/>
      <b val="1"/>
      <color rgb="005D6D7E"/>
      <sz val="8"/>
    </font>
    <font>
      <name val="Calibri"/>
      <color rgb="00FFFFFF"/>
      <sz val="11"/>
    </font>
    <font>
      <name val="Calibri"/>
      <color rgb="005D6D7E"/>
      <sz val="9"/>
    </font>
    <font>
      <name val="Calibri"/>
      <i val="1"/>
      <color rgb="005D6D7E"/>
      <sz val="8"/>
    </font>
    <font>
      <name val="Calibri"/>
      <b val="1"/>
      <color rgb="001F2A33"/>
      <sz val="18"/>
    </font>
    <font>
      <name val="Calibri"/>
      <b val="1"/>
      <color rgb="001F2A33"/>
      <sz val="16"/>
    </font>
    <font>
      <name val="Calibri"/>
      <b val="1"/>
      <color rgb="001F7A6B"/>
      <sz val="12"/>
    </font>
    <font>
      <name val="Calibri"/>
      <i val="1"/>
      <color rgb="005D6D7E"/>
      <sz val="10"/>
    </font>
    <font>
      <name val="Calibri"/>
      <i val="1"/>
      <color rgb="005D6D7E"/>
      <sz val="11"/>
    </font>
  </fonts>
  <fills count="13">
    <fill>
      <patternFill/>
    </fill>
    <fill>
      <patternFill patternType="gray125"/>
    </fill>
    <fill>
      <patternFill patternType="solid">
        <fgColor rgb="001B4F72"/>
      </patternFill>
    </fill>
    <fill>
      <patternFill patternType="solid">
        <fgColor rgb="001F7A6B"/>
      </patternFill>
    </fill>
    <fill>
      <patternFill patternType="solid">
        <fgColor rgb="00153E59"/>
      </patternFill>
    </fill>
    <fill>
      <patternFill patternType="solid">
        <fgColor rgb="00F7F9FB"/>
      </patternFill>
    </fill>
    <fill>
      <patternFill patternType="solid">
        <fgColor rgb="00E8F5F2"/>
      </patternFill>
    </fill>
    <fill>
      <patternFill patternType="solid">
        <fgColor rgb="00E8F4FC"/>
      </patternFill>
    </fill>
    <fill>
      <patternFill patternType="solid">
        <fgColor rgb="00F4F6F8"/>
      </patternFill>
    </fill>
    <fill>
      <patternFill patternType="solid">
        <fgColor rgb="00C9A227"/>
      </patternFill>
    </fill>
    <fill>
      <patternFill patternType="solid">
        <fgColor rgb="00FFFFFF"/>
      </patternFill>
    </fill>
    <fill>
      <patternFill patternType="solid">
        <fgColor rgb="00D68910"/>
      </patternFill>
    </fill>
    <fill>
      <patternFill patternType="solid">
        <fgColor rgb="00EEF2F5"/>
      </patternFill>
    </fill>
  </fills>
  <borders count="28">
    <border>
      <left/>
      <right/>
      <top/>
      <bottom/>
      <diagonal/>
    </border>
    <border>
      <left style="thin">
        <color rgb="00D5D8DC"/>
      </left>
      <right style="thin">
        <color rgb="00D5D8DC"/>
      </right>
      <top style="thin">
        <color rgb="00D5D8DC"/>
      </top>
      <bottom style="thin">
        <color rgb="00D5D8DC"/>
      </bottom>
    </border>
    <border>
      <left style="thin">
        <color rgb="00D5D8DC"/>
      </left>
      <right/>
      <top style="thin">
        <color rgb="00D5D8DC"/>
      </top>
      <bottom/>
    </border>
    <border>
      <left/>
      <right/>
      <top style="thin">
        <color rgb="00D5D8DC"/>
      </top>
      <bottom/>
    </border>
    <border>
      <left/>
      <right style="thin">
        <color rgb="00D5D8DC"/>
      </right>
      <top style="thin">
        <color rgb="00D5D8DC"/>
      </top>
      <bottom/>
    </border>
    <border>
      <left style="thin">
        <color rgb="00D5D8DC"/>
      </left>
      <right/>
      <top/>
      <bottom/>
    </border>
    <border>
      <left/>
      <right/>
      <top/>
      <bottom/>
    </border>
    <border>
      <left/>
      <right style="thin">
        <color rgb="00D5D8DC"/>
      </right>
      <top/>
      <bottom/>
    </border>
    <border>
      <left style="thin">
        <color rgb="00D5D8DC"/>
      </left>
      <right/>
      <top/>
      <bottom style="thin">
        <color rgb="00D5D8DC"/>
      </bottom>
    </border>
    <border>
      <left/>
      <right/>
      <top/>
      <bottom style="thin">
        <color rgb="00D5D8DC"/>
      </bottom>
    </border>
    <border>
      <left/>
      <right style="thin">
        <color rgb="00D5D8DC"/>
      </right>
      <top/>
      <bottom style="thin">
        <color rgb="00D5D8DC"/>
      </bottom>
    </border>
    <border>
      <left style="dashed">
        <color rgb="00B0B8C1"/>
      </left>
      <right style="dashed">
        <color rgb="00B0B8C1"/>
      </right>
      <top style="dashed">
        <color rgb="00B0B8C1"/>
      </top>
      <bottom style="dashed">
        <color rgb="00B0B8C1"/>
      </bottom>
    </border>
    <border>
      <left/>
      <right/>
      <top style="thin">
        <color rgb="00D5D8DC"/>
      </top>
      <bottom/>
      <diagonal/>
    </border>
    <border>
      <left/>
      <right style="thin">
        <color rgb="00D5D8DC"/>
      </right>
      <top style="thin">
        <color rgb="00D5D8DC"/>
      </top>
      <bottom/>
      <diagonal/>
    </border>
    <border>
      <left/>
      <right style="thin">
        <color rgb="00D5D8DC"/>
      </right>
      <top style="thin">
        <color rgb="00D5D8DC"/>
      </top>
      <bottom style="thin">
        <color rgb="00D5D8DC"/>
      </bottom>
      <diagonal/>
    </border>
    <border>
      <left style="thin">
        <color rgb="00D5D8DC"/>
      </left>
      <right style="thin">
        <color rgb="00D5D8DC"/>
      </right>
      <top/>
      <bottom/>
    </border>
    <border>
      <left/>
      <right style="thin">
        <color rgb="00D5D8DC"/>
      </right>
      <top/>
      <bottom/>
      <diagonal/>
    </border>
    <border>
      <left style="thin">
        <color rgb="00D5D8DC"/>
      </left>
      <right style="thin">
        <color rgb="00D5D8DC"/>
      </right>
      <top/>
      <bottom style="thin">
        <color rgb="00D5D8DC"/>
      </bottom>
    </border>
    <border>
      <left/>
      <right/>
      <top/>
      <bottom style="thin">
        <color rgb="00D5D8DC"/>
      </bottom>
      <diagonal/>
    </border>
    <border>
      <left/>
      <right style="thin">
        <color rgb="00D5D8DC"/>
      </right>
      <top/>
      <bottom style="thin">
        <color rgb="00D5D8DC"/>
      </bottom>
      <diagonal/>
    </border>
    <border>
      <left style="thin">
        <color rgb="00D5D8DC"/>
      </left>
      <right style="thin">
        <color rgb="00D5D8DC"/>
      </right>
      <top style="thin">
        <color rgb="00D5D8DC"/>
      </top>
      <bottom/>
    </border>
    <border>
      <left/>
      <right/>
      <top style="thin">
        <color rgb="00D5D8DC"/>
      </top>
      <bottom style="thin">
        <color rgb="00D5D8DC"/>
      </bottom>
      <diagonal/>
    </border>
    <border>
      <left style="thin">
        <color rgb="00D5D8DC"/>
      </left>
      <right/>
      <top/>
      <bottom/>
      <diagonal/>
    </border>
    <border>
      <left style="thin">
        <color rgb="00D5D8DC"/>
      </left>
      <right/>
      <top/>
      <bottom style="thin">
        <color rgb="00D5D8DC"/>
      </bottom>
      <diagonal/>
    </border>
    <border>
      <left/>
      <right/>
      <top style="dashed">
        <color rgb="00B0B8C1"/>
      </top>
      <bottom/>
      <diagonal/>
    </border>
    <border>
      <left/>
      <right style="dashed">
        <color rgb="00B0B8C1"/>
      </right>
      <top style="dashed">
        <color rgb="00B0B8C1"/>
      </top>
      <bottom/>
      <diagonal/>
    </border>
    <border>
      <left/>
      <right/>
      <top style="dashed">
        <color rgb="00B0B8C1"/>
      </top>
      <bottom style="dashed">
        <color rgb="00B0B8C1"/>
      </bottom>
      <diagonal/>
    </border>
    <border>
      <left/>
      <right style="dashed">
        <color rgb="00B0B8C1"/>
      </right>
      <top style="dashed">
        <color rgb="00B0B8C1"/>
      </top>
      <bottom style="dashed">
        <color rgb="00B0B8C1"/>
      </bottom>
      <diagonal/>
    </border>
  </borders>
  <cellStyleXfs count="1">
    <xf numFmtId="0" fontId="0" fillId="0" borderId="0"/>
  </cellStyleXfs>
  <cellXfs count="134">
    <xf numFmtId="0" fontId="0" fillId="0" borderId="0" pivotButton="0" quotePrefix="0" xfId="0"/>
    <xf numFmtId="0" fontId="5" fillId="2" borderId="0" applyAlignment="1" pivotButton="0" quotePrefix="0" xfId="0">
      <alignment horizontal="left" vertical="center"/>
    </xf>
    <xf numFmtId="0" fontId="3" fillId="2" borderId="0" applyProtection="1" pivotButton="0" quotePrefix="0" xfId="0">
      <protection locked="0" hidden="0"/>
    </xf>
    <xf numFmtId="0" fontId="19" fillId="4" borderId="0" applyAlignment="1" pivotButton="0" quotePrefix="0" xfId="0">
      <alignment horizontal="left" vertical="center"/>
    </xf>
    <xf numFmtId="0" fontId="9" fillId="7" borderId="1" applyProtection="1" pivotButton="0" quotePrefix="0" xfId="0">
      <protection locked="0" hidden="0"/>
    </xf>
    <xf numFmtId="0" fontId="20" fillId="10" borderId="1" pivotButton="0" quotePrefix="0" xfId="0"/>
    <xf numFmtId="0" fontId="11" fillId="7" borderId="1" applyProtection="1" pivotButton="0" quotePrefix="0" xfId="0">
      <protection locked="0" hidden="0"/>
    </xf>
    <xf numFmtId="164" fontId="11" fillId="7" borderId="1" applyProtection="1" pivotButton="0" quotePrefix="0" xfId="0">
      <protection locked="0" hidden="0"/>
    </xf>
    <xf numFmtId="165" fontId="11" fillId="7" borderId="1" applyProtection="1" pivotButton="0" quotePrefix="0" xfId="0">
      <protection locked="0" hidden="0"/>
    </xf>
    <xf numFmtId="0" fontId="21" fillId="5" borderId="0" applyAlignment="1" pivotButton="0" quotePrefix="0" xfId="0">
      <alignment horizontal="left" vertical="center"/>
    </xf>
    <xf numFmtId="0" fontId="0" fillId="5" borderId="0" pivotButton="0" quotePrefix="0" xfId="0"/>
    <xf numFmtId="0" fontId="3" fillId="3" borderId="2" applyAlignment="1" pivotButton="0" quotePrefix="0" xfId="0">
      <alignment horizontal="center" vertical="center"/>
    </xf>
    <xf numFmtId="0" fontId="3" fillId="3" borderId="3" applyAlignment="1" pivotButton="0" quotePrefix="0" xfId="0">
      <alignment horizontal="center" vertical="center"/>
    </xf>
    <xf numFmtId="0" fontId="3" fillId="3" borderId="4" applyAlignment="1" pivotButton="0" quotePrefix="0" xfId="0">
      <alignment horizontal="center" vertical="center"/>
    </xf>
    <xf numFmtId="0" fontId="3" fillId="2" borderId="2" applyAlignment="1" pivotButton="0" quotePrefix="0" xfId="0">
      <alignment horizontal="center"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xf>
    <xf numFmtId="164" fontId="22" fillId="10" borderId="5" applyAlignment="1" pivotButton="0" quotePrefix="0" xfId="0">
      <alignment horizontal="center" vertical="center"/>
    </xf>
    <xf numFmtId="0" fontId="22" fillId="10" borderId="6" applyAlignment="1" pivotButton="0" quotePrefix="0" xfId="0">
      <alignment horizontal="center" vertical="center"/>
    </xf>
    <xf numFmtId="0" fontId="22" fillId="10" borderId="7" applyAlignment="1" pivotButton="0" quotePrefix="0" xfId="0">
      <alignment horizontal="center" vertical="center"/>
    </xf>
    <xf numFmtId="166" fontId="22" fillId="10" borderId="5" applyAlignment="1" pivotButton="0" quotePrefix="0" xfId="0">
      <alignment horizontal="center" vertical="center"/>
    </xf>
    <xf numFmtId="165" fontId="22" fillId="10" borderId="5" applyAlignment="1" pivotButton="0" quotePrefix="0" xfId="0">
      <alignment horizontal="center" vertical="center"/>
    </xf>
    <xf numFmtId="0" fontId="7" fillId="10" borderId="5" applyAlignment="1" pivotButton="0" quotePrefix="0" xfId="0">
      <alignment horizontal="center" vertical="center"/>
    </xf>
    <xf numFmtId="0" fontId="7" fillId="10" borderId="6" applyAlignment="1" pivotButton="0" quotePrefix="0" xfId="0">
      <alignment horizontal="center" vertical="center"/>
    </xf>
    <xf numFmtId="0" fontId="7" fillId="10" borderId="7" applyAlignment="1" pivotButton="0" quotePrefix="0" xfId="0">
      <alignment horizontal="center" vertical="center"/>
    </xf>
    <xf numFmtId="0" fontId="21" fillId="8" borderId="8" applyAlignment="1" pivotButton="0" quotePrefix="0" xfId="0">
      <alignment horizontal="center" vertical="center"/>
    </xf>
    <xf numFmtId="0" fontId="21" fillId="8" borderId="9" applyAlignment="1" pivotButton="0" quotePrefix="0" xfId="0">
      <alignment horizontal="center" vertical="center"/>
    </xf>
    <xf numFmtId="0" fontId="21" fillId="8" borderId="10" applyAlignment="1" pivotButton="0" quotePrefix="0" xfId="0">
      <alignment horizontal="center" vertical="center"/>
    </xf>
    <xf numFmtId="0" fontId="3" fillId="11" borderId="2" applyAlignment="1" pivotButton="0" quotePrefix="0" xfId="0">
      <alignment horizontal="center" vertical="center"/>
    </xf>
    <xf numFmtId="0" fontId="3" fillId="11" borderId="3" applyAlignment="1" pivotButton="0" quotePrefix="0" xfId="0">
      <alignment horizontal="center" vertical="center"/>
    </xf>
    <xf numFmtId="0" fontId="3" fillId="11" borderId="4" applyAlignment="1" pivotButton="0" quotePrefix="0" xfId="0">
      <alignment horizontal="center" vertical="center"/>
    </xf>
    <xf numFmtId="1" fontId="23" fillId="10" borderId="5" applyAlignment="1" pivotButton="0" quotePrefix="0" xfId="0">
      <alignment horizontal="center" vertical="center"/>
    </xf>
    <xf numFmtId="0" fontId="23" fillId="10" borderId="6" applyAlignment="1" pivotButton="0" quotePrefix="0" xfId="0">
      <alignment horizontal="center" vertical="center"/>
    </xf>
    <xf numFmtId="0" fontId="23" fillId="10" borderId="7" applyAlignment="1" pivotButton="0" quotePrefix="0" xfId="0">
      <alignment horizontal="center" vertical="center"/>
    </xf>
    <xf numFmtId="164" fontId="23" fillId="10" borderId="5" applyAlignment="1" pivotButton="0" quotePrefix="0" xfId="0">
      <alignment horizontal="center" vertical="center"/>
    </xf>
    <xf numFmtId="0" fontId="23" fillId="10" borderId="5" applyAlignment="1" pivotButton="0" quotePrefix="0" xfId="0">
      <alignment horizontal="center" vertical="center"/>
    </xf>
    <xf numFmtId="0" fontId="24" fillId="6" borderId="0" applyAlignment="1" pivotButton="0" quotePrefix="0" xfId="0">
      <alignment horizontal="left" vertical="center" wrapText="1"/>
    </xf>
    <xf numFmtId="0" fontId="17" fillId="2" borderId="0" applyAlignment="1" pivotButton="0" quotePrefix="0" xfId="0">
      <alignment horizontal="left" vertical="center"/>
    </xf>
    <xf numFmtId="0" fontId="8" fillId="4" borderId="1" applyAlignment="1" pivotButton="0" quotePrefix="0" xfId="0">
      <alignment horizontal="center" vertical="center"/>
    </xf>
    <xf numFmtId="0" fontId="9" fillId="10" borderId="1" pivotButton="0" quotePrefix="0" xfId="0"/>
    <xf numFmtId="164" fontId="9" fillId="10" borderId="1" applyAlignment="1" pivotButton="0" quotePrefix="0" xfId="0">
      <alignment horizontal="right" vertical="center"/>
    </xf>
    <xf numFmtId="10" fontId="9" fillId="10" borderId="1" applyAlignment="1" pivotButton="0" quotePrefix="0" xfId="0">
      <alignment horizontal="center" vertical="center"/>
    </xf>
    <xf numFmtId="0" fontId="11" fillId="10" borderId="1" applyAlignment="1" pivotButton="0" quotePrefix="0" xfId="0">
      <alignment horizontal="center" vertical="center"/>
    </xf>
    <xf numFmtId="0" fontId="6" fillId="5" borderId="0" applyAlignment="1" pivotButton="0" quotePrefix="0" xfId="0">
      <alignment horizontal="left" vertical="center" wrapText="1"/>
    </xf>
    <xf numFmtId="0" fontId="18" fillId="0" borderId="0" pivotButton="0" quotePrefix="0" xfId="0"/>
    <xf numFmtId="165" fontId="0" fillId="0" borderId="0" pivotButton="0" quotePrefix="0" xfId="0"/>
    <xf numFmtId="164" fontId="0" fillId="0" borderId="0" pivotButton="0" quotePrefix="0" xfId="0"/>
    <xf numFmtId="0" fontId="7" fillId="6" borderId="0" applyAlignment="1" pivotButton="0" quotePrefix="0" xfId="0">
      <alignment horizontal="left" vertical="center"/>
    </xf>
    <xf numFmtId="0" fontId="8" fillId="2" borderId="1" applyAlignment="1" pivotButton="0" quotePrefix="0" xfId="0">
      <alignment horizontal="center" vertical="center" wrapText="1"/>
    </xf>
    <xf numFmtId="164" fontId="9" fillId="7" borderId="1" applyAlignment="1" applyProtection="1" pivotButton="0" quotePrefix="0" xfId="0">
      <alignment horizontal="right" vertical="center"/>
      <protection locked="0" hidden="0"/>
    </xf>
    <xf numFmtId="1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167" fontId="9" fillId="7" borderId="1" applyProtection="1" pivotButton="0" quotePrefix="0" xfId="0">
      <protection locked="0" hidden="0"/>
    </xf>
    <xf numFmtId="164" fontId="9" fillId="8" borderId="1" applyAlignment="1" pivotButton="0" quotePrefix="0" xfId="0">
      <alignment horizontal="right" vertical="center"/>
    </xf>
    <xf numFmtId="0" fontId="11" fillId="8" borderId="1" applyAlignment="1" pivotButton="0" quotePrefix="0" xfId="0">
      <alignment horizontal="center" vertical="center"/>
    </xf>
    <xf numFmtId="0" fontId="9" fillId="8" borderId="1" applyAlignment="1" pivotButton="0" quotePrefix="0" xfId="0">
      <alignment horizontal="center" vertical="center"/>
    </xf>
    <xf numFmtId="0" fontId="10" fillId="8" borderId="0" pivotButton="0" quotePrefix="0" xfId="0"/>
    <xf numFmtId="0" fontId="2" fillId="3" borderId="1" pivotButton="0" quotePrefix="0" xfId="0"/>
    <xf numFmtId="0" fontId="0" fillId="3" borderId="1" pivotButton="0" quotePrefix="0" xfId="0"/>
    <xf numFmtId="164" fontId="2" fillId="3" borderId="1" pivotButton="0" quotePrefix="0" xfId="0"/>
    <xf numFmtId="0" fontId="6" fillId="5" borderId="0" applyAlignment="1" pivotButton="0" quotePrefix="0" xfId="0">
      <alignment horizontal="left" vertical="center"/>
    </xf>
    <xf numFmtId="0" fontId="3" fillId="2" borderId="1" applyAlignment="1" pivotButton="0" quotePrefix="0" xfId="0">
      <alignment horizontal="center" vertical="center" wrapText="1"/>
    </xf>
    <xf numFmtId="0" fontId="12" fillId="8" borderId="1" applyAlignment="1" pivotButton="0" quotePrefix="0" xfId="0">
      <alignment horizontal="center" vertical="center"/>
    </xf>
    <xf numFmtId="165" fontId="12" fillId="8" borderId="1" pivotButton="0" quotePrefix="0" xfId="0"/>
    <xf numFmtId="0" fontId="13" fillId="8" borderId="1" pivotButton="0" quotePrefix="0" xfId="0"/>
    <xf numFmtId="164" fontId="12" fillId="8" borderId="1" applyAlignment="1" pivotButton="0" quotePrefix="0" xfId="0">
      <alignment horizontal="right" vertical="center"/>
    </xf>
    <xf numFmtId="164" fontId="13" fillId="8" borderId="1" applyAlignment="1" pivotButton="0" quotePrefix="0" xfId="0">
      <alignment horizontal="right" vertical="center"/>
    </xf>
    <xf numFmtId="164" fontId="10" fillId="8" borderId="1" applyAlignment="1" pivotButton="0" quotePrefix="0" xfId="0">
      <alignment horizontal="right" vertical="center"/>
    </xf>
    <xf numFmtId="0" fontId="2" fillId="2" borderId="1" applyAlignment="1" pivotButton="0" quotePrefix="0" xfId="0">
      <alignment horizontal="center" vertical="center"/>
    </xf>
    <xf numFmtId="0" fontId="1" fillId="3" borderId="0" applyAlignment="1" pivotButton="0" quotePrefix="0" xfId="0">
      <alignment horizontal="center" vertical="center"/>
    </xf>
    <xf numFmtId="0" fontId="1" fillId="2" borderId="0" applyAlignment="1" pivotButton="0" quotePrefix="0" xfId="0">
      <alignment horizontal="center" vertical="center"/>
    </xf>
    <xf numFmtId="0" fontId="1" fillId="9" borderId="0" applyAlignment="1" pivotButton="0" quotePrefix="0" xfId="0">
      <alignment horizontal="center" vertical="center"/>
    </xf>
    <xf numFmtId="0" fontId="8" fillId="4" borderId="1" pivotButton="0" quotePrefix="0" xfId="0"/>
    <xf numFmtId="0" fontId="8" fillId="3" borderId="1" applyAlignment="1" pivotButton="0" quotePrefix="0" xfId="0">
      <alignment horizontal="center" vertical="center"/>
    </xf>
    <xf numFmtId="0" fontId="8" fillId="2" borderId="1" applyAlignment="1" pivotButton="0" quotePrefix="0" xfId="0">
      <alignment horizontal="center" vertical="center"/>
    </xf>
    <xf numFmtId="0" fontId="8" fillId="9" borderId="1" applyAlignment="1" pivotButton="0" quotePrefix="0" xfId="0">
      <alignment horizontal="center" vertical="center"/>
    </xf>
    <xf numFmtId="165" fontId="14" fillId="8" borderId="1" applyAlignment="1" pivotButton="0" quotePrefix="0" xfId="0">
      <alignment horizontal="center" vertical="center"/>
    </xf>
    <xf numFmtId="0" fontId="14" fillId="8" borderId="1" applyAlignment="1" pivotButton="0" quotePrefix="0" xfId="0">
      <alignment horizontal="center" vertical="center"/>
    </xf>
    <xf numFmtId="0" fontId="15" fillId="10" borderId="1" applyAlignment="1" pivotButton="0" quotePrefix="0" xfId="0">
      <alignment horizontal="center" vertical="center"/>
    </xf>
    <xf numFmtId="1" fontId="14" fillId="8" borderId="1" applyAlignment="1" pivotButton="0" quotePrefix="0" xfId="0">
      <alignment horizontal="center" vertical="center"/>
    </xf>
    <xf numFmtId="164" fontId="14" fillId="8" borderId="1" applyAlignment="1" pivotButton="0" quotePrefix="0" xfId="0">
      <alignment horizontal="center" vertical="center"/>
    </xf>
    <xf numFmtId="0" fontId="1" fillId="2" borderId="0" applyAlignment="1" pivotButton="0" quotePrefix="0" xfId="0">
      <alignment horizontal="left" vertical="center"/>
    </xf>
    <xf numFmtId="0" fontId="16" fillId="10" borderId="1" applyAlignment="1" pivotButton="0" quotePrefix="0" xfId="0">
      <alignment horizontal="left" vertical="center" wrapText="1"/>
    </xf>
    <xf numFmtId="0" fontId="10" fillId="0" borderId="0" pivotButton="0" quotePrefix="0" xfId="0"/>
    <xf numFmtId="164" fontId="10" fillId="0" borderId="0" pivotButton="0" quotePrefix="0" xfId="0"/>
    <xf numFmtId="0" fontId="5" fillId="2" borderId="0" applyAlignment="1" applyProtection="1" pivotButton="0" quotePrefix="0" xfId="0">
      <alignment horizontal="left" vertical="center"/>
      <protection locked="0" hidden="0"/>
    </xf>
    <xf numFmtId="0" fontId="0" fillId="5" borderId="0" applyProtection="1" pivotButton="0" quotePrefix="0" xfId="0">
      <protection locked="0" hidden="0"/>
    </xf>
    <xf numFmtId="0" fontId="25" fillId="5" borderId="0" applyProtection="1" pivotButton="0" quotePrefix="0" xfId="0">
      <protection locked="0" hidden="0"/>
    </xf>
    <xf numFmtId="0" fontId="1" fillId="2" borderId="0" applyAlignment="1" applyProtection="1" pivotButton="0" quotePrefix="0" xfId="0">
      <alignment horizontal="left" vertical="center"/>
      <protection locked="0" hidden="0"/>
    </xf>
    <xf numFmtId="0" fontId="16" fillId="10" borderId="1" applyAlignment="1" applyProtection="1" pivotButton="0" quotePrefix="0" xfId="0">
      <alignment horizontal="left" vertical="center" wrapText="1"/>
      <protection locked="0" hidden="0"/>
    </xf>
    <xf numFmtId="0" fontId="26" fillId="12" borderId="11" applyAlignment="1" applyProtection="1" pivotButton="0" quotePrefix="0" xfId="0">
      <alignment horizontal="center" vertical="center"/>
      <protection locked="0" hidden="0"/>
    </xf>
    <xf numFmtId="0" fontId="2" fillId="2" borderId="0" pivotButton="0" quotePrefix="0" xfId="0"/>
    <xf numFmtId="0" fontId="3" fillId="2" borderId="0" pivotButton="0" quotePrefix="0" xfId="0"/>
    <xf numFmtId="0" fontId="4" fillId="3" borderId="0" pivotButton="0" quotePrefix="0" xfId="0"/>
    <xf numFmtId="0" fontId="4" fillId="4" borderId="0" pivotButton="0" quotePrefix="0" xfId="0"/>
    <xf numFmtId="164" fontId="11" fillId="7" borderId="1" applyProtection="1" pivotButton="0" quotePrefix="0" xfId="0">
      <protection locked="0" hidden="0"/>
    </xf>
    <xf numFmtId="165" fontId="11" fillId="7" borderId="1" applyProtection="1" pivotButton="0" quotePrefix="0" xfId="0">
      <protection locked="0" hidden="0"/>
    </xf>
    <xf numFmtId="0" fontId="3" fillId="3" borderId="20" applyAlignment="1" pivotButton="0" quotePrefix="0" xfId="0">
      <alignment horizontal="center" vertical="center"/>
    </xf>
    <xf numFmtId="0" fontId="0" fillId="0" borderId="12" pivotButton="0" quotePrefix="0" xfId="0"/>
    <xf numFmtId="0" fontId="0" fillId="0" borderId="13" pivotButton="0" quotePrefix="0" xfId="0"/>
    <xf numFmtId="0" fontId="3" fillId="2" borderId="20" applyAlignment="1" pivotButton="0" quotePrefix="0" xfId="0">
      <alignment horizontal="center" vertical="center"/>
    </xf>
    <xf numFmtId="164" fontId="22" fillId="10" borderId="15" applyAlignment="1" pivotButton="0" quotePrefix="0" xfId="0">
      <alignment horizontal="center" vertical="center"/>
    </xf>
    <xf numFmtId="0" fontId="0" fillId="0" borderId="16" pivotButton="0" quotePrefix="0" xfId="0"/>
    <xf numFmtId="166" fontId="22" fillId="10" borderId="15" applyAlignment="1" pivotButton="0" quotePrefix="0" xfId="0">
      <alignment horizontal="center" vertical="center"/>
    </xf>
    <xf numFmtId="165" fontId="22" fillId="10" borderId="15" applyAlignment="1" pivotButton="0" quotePrefix="0" xfId="0">
      <alignment horizontal="center" vertical="center"/>
    </xf>
    <xf numFmtId="0" fontId="7" fillId="10" borderId="15" applyAlignment="1" pivotButton="0" quotePrefix="0" xfId="0">
      <alignment horizontal="center" vertical="center"/>
    </xf>
    <xf numFmtId="0" fontId="21" fillId="8" borderId="17" applyAlignment="1" pivotButton="0" quotePrefix="0" xfId="0">
      <alignment horizontal="center" vertical="center"/>
    </xf>
    <xf numFmtId="0" fontId="0" fillId="0" borderId="18" pivotButton="0" quotePrefix="0" xfId="0"/>
    <xf numFmtId="0" fontId="0" fillId="0" borderId="19" pivotButton="0" quotePrefix="0" xfId="0"/>
    <xf numFmtId="0" fontId="3" fillId="11" borderId="20" applyAlignment="1" pivotButton="0" quotePrefix="0" xfId="0">
      <alignment horizontal="center" vertical="center"/>
    </xf>
    <xf numFmtId="1" fontId="23" fillId="10" borderId="15" applyAlignment="1" pivotButton="0" quotePrefix="0" xfId="0">
      <alignment horizontal="center" vertical="center"/>
    </xf>
    <xf numFmtId="164" fontId="23" fillId="10" borderId="15" applyAlignment="1" pivotButton="0" quotePrefix="0" xfId="0">
      <alignment horizontal="center" vertical="center"/>
    </xf>
    <xf numFmtId="0" fontId="23" fillId="10" borderId="15" applyAlignment="1" pivotButton="0" quotePrefix="0" xfId="0">
      <alignment horizontal="center" vertical="center"/>
    </xf>
    <xf numFmtId="0" fontId="0" fillId="0" borderId="14" pivotButton="0" quotePrefix="0" xfId="0"/>
    <xf numFmtId="164" fontId="9" fillId="10" borderId="1" applyAlignment="1" pivotButton="0" quotePrefix="0" xfId="0">
      <alignment horizontal="right" vertical="center"/>
    </xf>
    <xf numFmtId="165" fontId="0" fillId="0" borderId="0" pivotButton="0" quotePrefix="0" xfId="0"/>
    <xf numFmtId="164" fontId="0" fillId="0" borderId="0" pivotButton="0" quotePrefix="0" xfId="0"/>
    <xf numFmtId="164" fontId="9" fillId="7" borderId="1" applyAlignment="1" applyProtection="1" pivotButton="0" quotePrefix="0" xfId="0">
      <alignment horizontal="right" vertical="center"/>
      <protection locked="0" hidden="0"/>
    </xf>
    <xf numFmtId="164" fontId="9" fillId="8" borderId="1" applyAlignment="1" pivotButton="0" quotePrefix="0" xfId="0">
      <alignment horizontal="right" vertical="center"/>
    </xf>
    <xf numFmtId="164" fontId="2" fillId="3" borderId="1" pivotButton="0" quotePrefix="0" xfId="0"/>
    <xf numFmtId="165" fontId="12" fillId="8" borderId="1" pivotButton="0" quotePrefix="0" xfId="0"/>
    <xf numFmtId="164" fontId="12" fillId="8" borderId="1" applyAlignment="1" pivotButton="0" quotePrefix="0" xfId="0">
      <alignment horizontal="right" vertical="center"/>
    </xf>
    <xf numFmtId="164" fontId="13" fillId="8" borderId="1" applyAlignment="1" pivotButton="0" quotePrefix="0" xfId="0">
      <alignment horizontal="right" vertical="center"/>
    </xf>
    <xf numFmtId="164" fontId="10" fillId="8" borderId="1" applyAlignment="1" pivotButton="0" quotePrefix="0" xfId="0">
      <alignment horizontal="right" vertical="center"/>
    </xf>
    <xf numFmtId="0" fontId="0" fillId="0" borderId="21" pivotButton="0" quotePrefix="0" xfId="0"/>
    <xf numFmtId="165" fontId="14" fillId="8" borderId="1" applyAlignment="1" pivotButton="0" quotePrefix="0" xfId="0">
      <alignment horizontal="center" vertical="center"/>
    </xf>
    <xf numFmtId="164" fontId="14" fillId="8" borderId="1" applyAlignment="1" pivotButton="0" quotePrefix="0" xfId="0">
      <alignment horizontal="center" vertical="center"/>
    </xf>
    <xf numFmtId="0" fontId="0" fillId="0" borderId="23" pivotButton="0" quotePrefix="0" xfId="0"/>
    <xf numFmtId="164" fontId="10" fillId="0" borderId="0" pivotButton="0" quotePrefix="0" xfId="0"/>
    <xf numFmtId="0" fontId="0" fillId="0" borderId="0" applyProtection="1" pivotButton="0" quotePrefix="0" xfId="0">
      <protection locked="0" hidden="0"/>
    </xf>
    <xf numFmtId="0" fontId="0" fillId="0" borderId="21" applyProtection="1" pivotButton="0" quotePrefix="0" xfId="0">
      <protection locked="0" hidden="0"/>
    </xf>
    <xf numFmtId="0" fontId="0" fillId="0" borderId="14" applyProtection="1" pivotButton="0" quotePrefix="0" xfId="0">
      <protection locked="0" hidden="0"/>
    </xf>
    <xf numFmtId="0" fontId="0" fillId="0" borderId="26" applyProtection="1" pivotButton="0" quotePrefix="0" xfId="0">
      <protection locked="0" hidden="0"/>
    </xf>
    <xf numFmtId="0" fontId="0" fillId="0" borderId="27" applyProtection="1" pivotButton="0" quotePrefix="0" xfId="0">
      <protection locked="0" hidden="0"/>
    </xf>
  </cellXfs>
  <cellStyles count="1">
    <cellStyle name="Normal" xfId="0" builtinId="0" hidden="0"/>
  </cellStyles>
  <dxfs count="5">
    <dxf>
      <font>
        <name val="Calibri"/>
        <color rgb="00D68910"/>
        <sz val="10"/>
      </font>
      <fill>
        <patternFill patternType="solid">
          <fgColor rgb="00FEF5E0"/>
        </patternFill>
      </fill>
    </dxf>
    <dxf>
      <font>
        <name val="Calibri"/>
        <color rgb="001B7A4E"/>
        <sz val="10"/>
      </font>
      <fill>
        <patternFill patternType="solid">
          <fgColor rgb="00E8F8F0"/>
        </patternFill>
      </fill>
    </dxf>
    <dxf>
      <font>
        <name val="Calibri"/>
        <b val="1"/>
        <color rgb="00D68910"/>
        <sz val="9"/>
      </font>
      <fill>
        <patternFill patternType="solid">
          <fgColor rgb="00FEF5E0"/>
        </patternFill>
      </fill>
    </dxf>
    <dxf>
      <font>
        <name val="Calibri"/>
        <color rgb="001B7A4E"/>
        <sz val="9"/>
      </font>
      <fill>
        <patternFill patternType="solid">
          <fgColor rgb="00E8F8F0"/>
        </patternFill>
      </fill>
    </dxf>
    <dxf>
      <font>
        <name val="Calibri"/>
        <color rgb="001B7A4E"/>
        <sz val="8"/>
      </font>
      <fill>
        <patternFill patternType="solid">
          <fgColor rgb="00E8F8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plotArea>
      <lineChart>
        <grouping val="standard"/>
        <varyColors val="0"/>
        <ser>
          <idx val="0"/>
          <order val="0"/>
          <tx>
            <strRef>
              <f>'Dashboard'!B70</f>
            </strRef>
          </tx>
          <spPr>
            <a:ln>
              <a:prstDash val="solid"/>
            </a:ln>
          </spPr>
          <marker>
            <symbol val="none"/>
            <spPr>
              <a:ln>
                <a:prstDash val="solid"/>
              </a:ln>
            </spPr>
          </marker>
          <cat>
            <numRef>
              <f>'Dashboard'!$A$71:$A$130</f>
            </numRef>
          </cat>
          <val>
            <numRef>
              <f>'Dashboard'!$B$71:$B$130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varyColors val="0"/>
        <ser>
          <idx val="0"/>
          <order val="0"/>
          <tx>
            <strRef>
              <f>'Snowball vs Avalanche'!B40</f>
            </strRef>
          </tx>
          <spPr>
            <a:solidFill>
              <a:srgbClr val="1F7A6B"/>
            </a:solidFill>
            <a:ln>
              <a:prstDash val="solid"/>
            </a:ln>
          </spPr>
          <cat>
            <numRef>
              <f>'Snowball vs Avalanche'!$A$41:$A$43</f>
            </numRef>
          </cat>
          <val>
            <numRef>
              <f>'Snowball vs Avalanche'!$B$41:$B$43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omments/comment1.xml><?xml version="1.0" encoding="utf-8"?>
<comments xmlns="http://schemas.openxmlformats.org/spreadsheetml/2006/main">
  <authors>
    <author>Debt Payoff</author>
  </authors>
  <commentList>
    <comment ref="D3" authorId="0" shapeId="0">
      <text>
        <t>Snowball = lowest balance first. Avalanche = highest APR first. Custom = Priority column on Debt List.</t>
      </text>
    </comment>
    <comment ref="F3" authorId="0" shapeId="0">
      <text>
        <t>Money above the minimums, applied to the current target debt, then the next, and so on.</t>
      </text>
    </comment>
    <comment ref="H3" authorId="0" shapeId="0">
      <text>
        <t>First month of the projection. Usually next month.</t>
      </text>
    </comment>
  </commentList>
</comments>
</file>

<file path=xl/comments/comment2.xml><?xml version="1.0" encoding="utf-8"?>
<comments xmlns="http://schemas.openxmlformats.org/spreadsheetml/2006/main">
  <authors>
    <author>Debt Payoff</author>
  </authors>
  <commentList>
    <comment ref="D4" authorId="0" shapeId="0">
      <text>
        <t>What you owe today. After a payment, lower this number. Projection starts from these balances.</t>
      </text>
    </comment>
    <comment ref="E4" authorId="0" shapeId="0">
      <text>
        <t>Annual rate. Type 24.99% or 0.2499.</t>
      </text>
    </comment>
    <comment ref="F4" authorId="0" shapeId="0">
      <text>
        <t>The amount you must send this creditor each month.</t>
      </text>
    </comment>
    <comment ref="I4" authorId="0" shapeId="0">
      <text>
        <t>Used only when Method = Custom. 1 is attacked first.</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17</row>
      <rowOff>0</rowOff>
    </from>
    <ext cx="468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16</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B4F72"/>
    <outlinePr summaryBelow="1" summaryRight="1"/>
    <pageSetUpPr fitToPage="1"/>
  </sheetPr>
  <dimension ref="A1:N130"/>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6" customWidth="1" min="7" max="7"/>
    <col width="13" customWidth="1" min="8" max="8"/>
    <col width="13" customWidth="1" min="9" max="9"/>
    <col width="14" customWidth="1" min="10" max="10"/>
    <col width="13" customWidth="1" min="11" max="11"/>
    <col width="14" customWidth="1" min="12" max="12"/>
    <col hidden="1" width="13" customWidth="1" min="14" max="14"/>
  </cols>
  <sheetData>
    <row r="1" ht="32" customHeight="1">
      <c r="A1" s="1" t="inlineStr">
        <is>
          <t>Debt Payoff Tracker &amp; Schedule</t>
        </is>
      </c>
      <c r="N1" s="2" t="inlineStr">
        <is>
          <t>LISTS / HELPERS</t>
        </is>
      </c>
    </row>
    <row r="2">
      <c r="A2" s="3">
        <f>IF(UserName="","Your payoff plan","Hello, "&amp;UserName)&amp;"  ·  "&amp;TEXT(TODAY(),"mmm d, yyyy")&amp;"  ·  "&amp;Method&amp;"  ·  extra "&amp;TEXT(ExtraPayment,"$#,##0")&amp;"/mo"</f>
        <v/>
      </c>
      <c r="N2" s="4" t="inlineStr">
        <is>
          <t>Snowball</t>
        </is>
      </c>
    </row>
    <row r="3" ht="22" customHeight="1">
      <c r="A3" s="5" t="inlineStr">
        <is>
          <t>Your name</t>
        </is>
      </c>
      <c r="B3" s="6" t="inlineStr">
        <is>
          <t>Alex</t>
        </is>
      </c>
      <c r="C3" s="5" t="inlineStr">
        <is>
          <t>Method</t>
        </is>
      </c>
      <c r="D3" s="6" t="inlineStr">
        <is>
          <t>Snowball</t>
        </is>
      </c>
      <c r="E3" s="5" t="inlineStr">
        <is>
          <t>Extra / month</t>
        </is>
      </c>
      <c r="F3" s="95" t="n">
        <v>200</v>
      </c>
      <c r="G3" s="5" t="inlineStr">
        <is>
          <t>Plan start</t>
        </is>
      </c>
      <c r="H3" s="96" t="n">
        <v>46266</v>
      </c>
      <c r="I3" s="9" t="inlineStr">
        <is>
          <t>Blue settings drive the whole plan. Open Debt List to edit balances.</t>
        </is>
      </c>
      <c r="N3" s="4" t="inlineStr">
        <is>
          <t>Avalanche</t>
        </is>
      </c>
    </row>
    <row r="4" ht="8" customHeight="1">
      <c r="A4" s="10" t="n"/>
      <c r="N4" s="4" t="inlineStr">
        <is>
          <t>Custom</t>
        </is>
      </c>
    </row>
    <row r="5" ht="18" customHeight="1">
      <c r="A5" s="97" t="inlineStr">
        <is>
          <t>REMAINING DEBT</t>
        </is>
      </c>
      <c r="B5" s="98" t="n"/>
      <c r="C5" s="99" t="n"/>
      <c r="D5" s="97" t="inlineStr">
        <is>
          <t>PROGRESS</t>
        </is>
      </c>
      <c r="E5" s="98" t="n"/>
      <c r="F5" s="99" t="n"/>
      <c r="G5" s="100" t="inlineStr">
        <is>
          <t>DEBT-FREE DATE</t>
        </is>
      </c>
      <c r="H5" s="98" t="n"/>
      <c r="I5" s="99" t="n"/>
      <c r="J5" s="100" t="inlineStr">
        <is>
          <t>INTEREST ON THIS PLAN</t>
        </is>
      </c>
      <c r="K5" s="98" t="n"/>
      <c r="L5" s="99" t="n"/>
    </row>
    <row r="6" ht="26" customHeight="1">
      <c r="A6" s="101">
        <f>RemainingDebt</f>
        <v/>
      </c>
      <c r="C6" s="102" t="n"/>
      <c r="D6" s="103">
        <f>ProgressPct</f>
        <v/>
      </c>
      <c r="F6" s="102" t="n"/>
      <c r="G6" s="104">
        <f>PayoffDate</f>
        <v/>
      </c>
      <c r="I6" s="102" t="n"/>
      <c r="J6" s="101">
        <f>PlanInterest</f>
        <v/>
      </c>
      <c r="L6" s="102" t="n"/>
      <c r="N6">
        <f>SUM('Debt List'!D5:D12)</f>
        <v/>
      </c>
    </row>
    <row r="7" ht="20" customHeight="1">
      <c r="A7" s="105">
        <f>"of "&amp;TEXT(OriginalDebt,"$#,##0")&amp;" original"</f>
        <v/>
      </c>
      <c r="C7" s="102" t="n"/>
      <c r="D7" s="105">
        <f>ProgressBar</f>
        <v/>
      </c>
      <c r="F7" s="102" t="n"/>
      <c r="G7" s="105">
        <f>"in "&amp;TEXT(PayoffMonths,"#,##0")&amp;" months"</f>
        <v/>
      </c>
      <c r="I7" s="102" t="n"/>
      <c r="J7" s="105">
        <f>"Save "&amp;TEXT(InterestSaved,"$#,##0")&amp;" vs mins only"</f>
        <v/>
      </c>
      <c r="L7" s="102" t="n"/>
      <c r="N7">
        <f>IF('Debt List'!A5="",0,IF('Debt List'!C5="",N('Debt List'!D5),N('Debt List'!C5)))+IF('Debt List'!A6="",0,IF('Debt List'!C6="",N('Debt List'!D6),N('Debt List'!C6)))+IF('Debt List'!A7="",0,IF('Debt List'!C7="",N('Debt List'!D7),N('Debt List'!C7)))+IF('Debt List'!A8="",0,IF('Debt List'!C8="",N('Debt List'!D8),N('Debt List'!C8)))+IF('Debt List'!A9="",0,IF('Debt List'!C9="",N('Debt List'!D9),N('Debt List'!C9)))+IF('Debt List'!A10="",0,IF('Debt List'!C10="",N('Debt List'!D10),N('Debt List'!C10)))+IF('Debt List'!A11="",0,IF('Debt List'!C11="",N('Debt List'!D11),N('Debt List'!C11)))+IF('Debt List'!A12="",0,IF('Debt List'!C12="",N('Debt List'!D12),N('Debt List'!C12)))</f>
        <v/>
      </c>
    </row>
    <row r="8" ht="16" customHeight="1">
      <c r="A8" s="106" t="inlineStr">
        <is>
          <t>Sum of current balances</t>
        </is>
      </c>
      <c r="B8" s="107" t="n"/>
      <c r="C8" s="108" t="n"/>
      <c r="D8" s="106" t="inlineStr">
        <is>
          <t>Paid down vs original</t>
        </is>
      </c>
      <c r="E8" s="107" t="n"/>
      <c r="F8" s="108" t="n"/>
      <c r="G8" s="106" t="inlineStr">
        <is>
          <t>At this extra and method</t>
        </is>
      </c>
      <c r="H8" s="107" t="n"/>
      <c r="I8" s="108" t="n"/>
      <c r="J8" s="106" t="inlineStr">
        <is>
          <t>Compared with never sending extra</t>
        </is>
      </c>
      <c r="K8" s="107" t="n"/>
      <c r="L8" s="108" t="n"/>
      <c r="N8">
        <f>IF(N7=0,"",(N7-N6)/N7)</f>
        <v/>
      </c>
    </row>
    <row r="9" ht="8" customHeight="1">
      <c r="A9" s="10" t="n"/>
      <c r="N9">
        <f>COUNTIF('Debt List'!N5:N12,"Active")</f>
        <v/>
      </c>
    </row>
    <row r="10" ht="18" customHeight="1">
      <c r="A10" s="100" t="inlineStr">
        <is>
          <t>DEBTS LEFT</t>
        </is>
      </c>
      <c r="B10" s="98" t="n"/>
      <c r="C10" s="99" t="n"/>
      <c r="D10" s="97" t="inlineStr">
        <is>
          <t>THIS MONTH’S PLAN</t>
        </is>
      </c>
      <c r="E10" s="98" t="n"/>
      <c r="F10" s="99" t="n"/>
      <c r="G10" s="109" t="inlineStr">
        <is>
          <t>CURRENT TARGET</t>
        </is>
      </c>
      <c r="H10" s="98" t="n"/>
      <c r="I10" s="99" t="n"/>
      <c r="J10" s="100" t="inlineStr">
        <is>
          <t>LOGGED THIS MONTH</t>
        </is>
      </c>
      <c r="K10" s="98" t="n"/>
      <c r="L10" s="99" t="n"/>
      <c r="N10">
        <f>COUNTA('Debt List'!A5:A12)</f>
        <v/>
      </c>
    </row>
    <row r="11" ht="24" customHeight="1">
      <c r="A11" s="110">
        <f>DebtsLeft</f>
        <v/>
      </c>
      <c r="C11" s="102" t="n"/>
      <c r="D11" s="111">
        <f>MinTotal+ExtraPayment</f>
        <v/>
      </c>
      <c r="F11" s="102" t="n"/>
      <c r="G11" s="112">
        <f>TargetDebt</f>
        <v/>
      </c>
      <c r="I11" s="102" t="n"/>
      <c r="J11" s="111">
        <f>SUMIFS('Payment Log'!$C$5:$C$104,'Payment Log'!$A$5:$A$104,"&gt;="&amp;DATE(YEAR(TODAY()),MONTH(TODAY()),1))</f>
        <v/>
      </c>
      <c r="L11" s="102" t="n"/>
      <c r="N11">
        <f>SUM('Debt List'!F5:F12)</f>
        <v/>
      </c>
    </row>
    <row r="12" ht="18" customHeight="1">
      <c r="A12" s="105">
        <f>"of "&amp;TEXT(DebtsTotal,"0")&amp;" on your list"</f>
        <v/>
      </c>
      <c r="C12" s="102" t="n"/>
      <c r="D12" s="105">
        <f>"Mins "&amp;TEXT(MinTotal,"$#,##0")&amp;" + extra"</f>
        <v/>
      </c>
      <c r="F12" s="102" t="n"/>
      <c r="G12" s="105">
        <f>"Order #1 under "&amp;Method</f>
        <v/>
      </c>
      <c r="I12" s="102" t="n"/>
      <c r="J12" s="105" t="inlineStr">
        <is>
          <t>From the Payment Log</t>
        </is>
      </c>
      <c r="L12" s="102" t="n"/>
      <c r="N12">
        <f>IFERROR(INDEX(DebtNames,MATCH(1,'Debt List'!K5:K12,0)),"—")</f>
        <v/>
      </c>
    </row>
    <row r="13" ht="16" customHeight="1">
      <c r="A13" s="106" t="inlineStr">
        <is>
          <t>Current balance above $0</t>
        </is>
      </c>
      <c r="B13" s="107" t="n"/>
      <c r="C13" s="108" t="n"/>
      <c r="D13" s="106" t="inlineStr">
        <is>
          <t>Send this much to stay on track</t>
        </is>
      </c>
      <c r="E13" s="107" t="n"/>
      <c r="F13" s="108" t="n"/>
      <c r="G13" s="106" t="inlineStr">
        <is>
          <t>Every extra dollar goes here first</t>
        </is>
      </c>
      <c r="H13" s="107" t="n"/>
      <c r="I13" s="108" t="n"/>
      <c r="J13" s="106" t="inlineStr">
        <is>
          <t>Compare to This month’s plan</t>
        </is>
      </c>
      <c r="K13" s="107" t="n"/>
      <c r="L13" s="108" t="n"/>
      <c r="N13">
        <f>IF(ISNUMBER('Debt List'!S5),'Debt List'!S5,0)+IF(ISNUMBER('Debt List'!S6),'Debt List'!S6,0)+IF(ISNUMBER('Debt List'!S7),'Debt List'!S7,0)+IF(ISNUMBER('Debt List'!S8),'Debt List'!S8,0)+IF(ISNUMBER('Debt List'!S9),'Debt List'!S9,0)+IF(ISNUMBER('Debt List'!S10),'Debt List'!S10,0)+IF(ISNUMBER('Debt List'!S11),'Debt List'!S11,0)+IF(ISNUMBER('Debt List'!S12),'Debt List'!S12,0)</f>
        <v/>
      </c>
    </row>
    <row r="14" ht="20" customHeight="1">
      <c r="A14" s="36">
        <f>IF(UserName="","You","You, "&amp;UserName)&amp;" — "&amp;TEXT(ProgressPct,"0%")&amp;" of the original balance is gone. Keep the extra coming and this plan says you are done in "&amp;TEXT(PayoffDate,"mmmm yyyy")&amp;". That is not a slogan. It is the schedule on the next tab."</f>
        <v/>
      </c>
      <c r="N14">
        <f>'_Calc'!B$2</f>
        <v/>
      </c>
    </row>
    <row r="15" ht="20" customHeight="1">
      <c r="N15">
        <f>'_Calc'!A$2</f>
        <v/>
      </c>
    </row>
    <row r="16" ht="8" customHeight="1">
      <c r="A16" s="10" t="n"/>
      <c r="N16">
        <f>'_Calc'!D$2</f>
        <v/>
      </c>
    </row>
    <row r="17">
      <c r="A17" s="37" t="inlineStr">
        <is>
          <t>REMAINING BALANCE OVER TIME</t>
        </is>
      </c>
      <c r="G17" s="37" t="inlineStr">
        <is>
          <t>YOUR DEBTS</t>
        </is>
      </c>
      <c r="N17">
        <f>IF(N13=0,"",N13-N14)</f>
        <v/>
      </c>
    </row>
    <row r="18">
      <c r="A18" s="10" t="n"/>
      <c r="B18" s="10" t="n"/>
      <c r="C18" s="10" t="n"/>
      <c r="D18" s="10" t="n"/>
      <c r="E18" s="10" t="n"/>
      <c r="F18" s="10" t="n"/>
      <c r="G18" s="38" t="inlineStr">
        <is>
          <t>Debt</t>
        </is>
      </c>
      <c r="H18" s="113" t="n"/>
      <c r="I18" s="38" t="inlineStr">
        <is>
          <t>Balance</t>
        </is>
      </c>
      <c r="J18" s="38" t="inlineStr">
        <is>
          <t>APR</t>
        </is>
      </c>
      <c r="K18" s="38" t="inlineStr">
        <is>
          <t>Min</t>
        </is>
      </c>
      <c r="L18" s="38" t="inlineStr">
        <is>
          <t>Target</t>
        </is>
      </c>
      <c r="N18">
        <f>IF(OR(N8="",N8&lt;0),"",REPT("█",ROUND(MIN(1,N8)*16,0))&amp;REPT("░",16-ROUND(MIN(1,N8)*16,0)))</f>
        <v/>
      </c>
    </row>
    <row r="19" ht="18" customHeight="1">
      <c r="A19" s="10" t="n"/>
      <c r="B19" s="10" t="n"/>
      <c r="C19" s="10" t="n"/>
      <c r="D19" s="10" t="n"/>
      <c r="E19" s="10" t="n"/>
      <c r="F19" s="10" t="n"/>
      <c r="G19" s="39">
        <f>IF('Debt List'!A5="","",'Debt List'!A5)</f>
        <v/>
      </c>
      <c r="H19" s="113" t="n"/>
      <c r="I19" s="114">
        <f>IF(G19="","",'Debt List'!D5)</f>
        <v/>
      </c>
      <c r="J19" s="41">
        <f>IF(G19="","",'Debt List'!E5)</f>
        <v/>
      </c>
      <c r="K19" s="114">
        <f>IF(G19="","",'Debt List'!F5)</f>
        <v/>
      </c>
      <c r="L19" s="42">
        <f>IF(G19="","",'Debt List'!O5)</f>
        <v/>
      </c>
    </row>
    <row r="20" ht="18" customHeight="1">
      <c r="A20" s="10" t="n"/>
      <c r="B20" s="10" t="n"/>
      <c r="C20" s="10" t="n"/>
      <c r="D20" s="10" t="n"/>
      <c r="E20" s="10" t="n"/>
      <c r="F20" s="10" t="n"/>
      <c r="G20" s="39">
        <f>IF('Debt List'!A6="","",'Debt List'!A6)</f>
        <v/>
      </c>
      <c r="H20" s="113" t="n"/>
      <c r="I20" s="114">
        <f>IF(G20="","",'Debt List'!D6)</f>
        <v/>
      </c>
      <c r="J20" s="41">
        <f>IF(G20="","",'Debt List'!E6)</f>
        <v/>
      </c>
      <c r="K20" s="114">
        <f>IF(G20="","",'Debt List'!F6)</f>
        <v/>
      </c>
      <c r="L20" s="42">
        <f>IF(G20="","",'Debt List'!O6)</f>
        <v/>
      </c>
    </row>
    <row r="21" ht="18" customHeight="1">
      <c r="A21" s="10" t="n"/>
      <c r="B21" s="10" t="n"/>
      <c r="C21" s="10" t="n"/>
      <c r="D21" s="10" t="n"/>
      <c r="E21" s="10" t="n"/>
      <c r="F21" s="10" t="n"/>
      <c r="G21" s="39">
        <f>IF('Debt List'!A7="","",'Debt List'!A7)</f>
        <v/>
      </c>
      <c r="H21" s="113" t="n"/>
      <c r="I21" s="114">
        <f>IF(G21="","",'Debt List'!D7)</f>
        <v/>
      </c>
      <c r="J21" s="41">
        <f>IF(G21="","",'Debt List'!E7)</f>
        <v/>
      </c>
      <c r="K21" s="114">
        <f>IF(G21="","",'Debt List'!F7)</f>
        <v/>
      </c>
      <c r="L21" s="42">
        <f>IF(G21="","",'Debt List'!O7)</f>
        <v/>
      </c>
    </row>
    <row r="22" ht="18" customHeight="1">
      <c r="A22" s="10" t="n"/>
      <c r="B22" s="10" t="n"/>
      <c r="C22" s="10" t="n"/>
      <c r="D22" s="10" t="n"/>
      <c r="E22" s="10" t="n"/>
      <c r="F22" s="10" t="n"/>
      <c r="G22" s="39">
        <f>IF('Debt List'!A8="","",'Debt List'!A8)</f>
        <v/>
      </c>
      <c r="H22" s="113" t="n"/>
      <c r="I22" s="114">
        <f>IF(G22="","",'Debt List'!D8)</f>
        <v/>
      </c>
      <c r="J22" s="41">
        <f>IF(G22="","",'Debt List'!E8)</f>
        <v/>
      </c>
      <c r="K22" s="114">
        <f>IF(G22="","",'Debt List'!F8)</f>
        <v/>
      </c>
      <c r="L22" s="42">
        <f>IF(G22="","",'Debt List'!O8)</f>
        <v/>
      </c>
    </row>
    <row r="23" ht="18" customHeight="1">
      <c r="A23" s="10" t="n"/>
      <c r="B23" s="10" t="n"/>
      <c r="C23" s="10" t="n"/>
      <c r="D23" s="10" t="n"/>
      <c r="E23" s="10" t="n"/>
      <c r="F23" s="10" t="n"/>
      <c r="G23" s="39">
        <f>IF('Debt List'!A9="","",'Debt List'!A9)</f>
        <v/>
      </c>
      <c r="H23" s="113" t="n"/>
      <c r="I23" s="114">
        <f>IF(G23="","",'Debt List'!D9)</f>
        <v/>
      </c>
      <c r="J23" s="41">
        <f>IF(G23="","",'Debt List'!E9)</f>
        <v/>
      </c>
      <c r="K23" s="114">
        <f>IF(G23="","",'Debt List'!F9)</f>
        <v/>
      </c>
      <c r="L23" s="42">
        <f>IF(G23="","",'Debt List'!O9)</f>
        <v/>
      </c>
    </row>
    <row r="24" ht="18" customHeight="1">
      <c r="A24" s="10" t="n"/>
      <c r="B24" s="10" t="n"/>
      <c r="C24" s="10" t="n"/>
      <c r="D24" s="10" t="n"/>
      <c r="E24" s="10" t="n"/>
      <c r="F24" s="10" t="n"/>
      <c r="G24" s="39">
        <f>IF('Debt List'!A10="","",'Debt List'!A10)</f>
        <v/>
      </c>
      <c r="H24" s="113" t="n"/>
      <c r="I24" s="114">
        <f>IF(G24="","",'Debt List'!D10)</f>
        <v/>
      </c>
      <c r="J24" s="41">
        <f>IF(G24="","",'Debt List'!E10)</f>
        <v/>
      </c>
      <c r="K24" s="114">
        <f>IF(G24="","",'Debt List'!F10)</f>
        <v/>
      </c>
      <c r="L24" s="42">
        <f>IF(G24="","",'Debt List'!O10)</f>
        <v/>
      </c>
    </row>
    <row r="25">
      <c r="A25" s="10" t="n"/>
      <c r="B25" s="10" t="n"/>
      <c r="C25" s="10" t="n"/>
      <c r="D25" s="10" t="n"/>
      <c r="E25" s="10" t="n"/>
      <c r="F25" s="10" t="n"/>
      <c r="G25" s="10" t="n"/>
      <c r="H25" s="10" t="n"/>
      <c r="I25" s="10" t="n"/>
      <c r="J25" s="10" t="n"/>
      <c r="K25" s="10" t="n"/>
      <c r="L25" s="10" t="n"/>
    </row>
    <row r="26">
      <c r="A26" s="10" t="n"/>
      <c r="B26" s="10" t="n"/>
      <c r="C26" s="10" t="n"/>
      <c r="D26" s="10" t="n"/>
      <c r="E26" s="10" t="n"/>
      <c r="F26" s="10" t="n"/>
      <c r="G26" s="10" t="n"/>
      <c r="H26" s="10" t="n"/>
      <c r="I26" s="10" t="n"/>
      <c r="J26" s="10" t="n"/>
      <c r="K26" s="10" t="n"/>
      <c r="L26" s="10" t="n"/>
    </row>
    <row r="27">
      <c r="A27" s="10" t="n"/>
      <c r="B27" s="10" t="n"/>
      <c r="C27" s="10" t="n"/>
      <c r="D27" s="10" t="n"/>
      <c r="E27" s="10" t="n"/>
      <c r="F27" s="10" t="n"/>
      <c r="G27" s="10" t="n"/>
      <c r="H27" s="10" t="n"/>
      <c r="I27" s="10" t="n"/>
      <c r="J27" s="10" t="n"/>
      <c r="K27" s="10" t="n"/>
      <c r="L27" s="10" t="n"/>
    </row>
    <row r="28">
      <c r="A28" s="10" t="n"/>
      <c r="B28" s="10" t="n"/>
      <c r="C28" s="10" t="n"/>
      <c r="D28" s="10" t="n"/>
      <c r="E28" s="10" t="n"/>
      <c r="F28" s="10" t="n"/>
      <c r="G28" s="10" t="n"/>
      <c r="H28" s="10" t="n"/>
      <c r="I28" s="10" t="n"/>
      <c r="J28" s="10" t="n"/>
      <c r="K28" s="10" t="n"/>
      <c r="L28" s="10" t="n"/>
    </row>
    <row r="29">
      <c r="A29" s="10" t="n"/>
      <c r="B29" s="10" t="n"/>
      <c r="C29" s="10" t="n"/>
      <c r="D29" s="10" t="n"/>
      <c r="E29" s="10" t="n"/>
      <c r="F29" s="10" t="n"/>
      <c r="G29" s="10" t="n"/>
      <c r="H29" s="10" t="n"/>
      <c r="I29" s="10" t="n"/>
      <c r="J29" s="10" t="n"/>
      <c r="K29" s="10" t="n"/>
      <c r="L29" s="10" t="n"/>
    </row>
    <row r="30">
      <c r="A30" s="10" t="n"/>
      <c r="B30" s="10" t="n"/>
      <c r="C30" s="10" t="n"/>
      <c r="D30" s="10" t="n"/>
      <c r="E30" s="10" t="n"/>
      <c r="F30" s="10" t="n"/>
      <c r="G30" s="10" t="n"/>
      <c r="H30" s="10" t="n"/>
      <c r="I30" s="10" t="n"/>
      <c r="J30" s="10" t="n"/>
      <c r="K30" s="10" t="n"/>
      <c r="L30" s="10" t="n"/>
    </row>
    <row r="31">
      <c r="A31" s="10" t="n"/>
      <c r="B31" s="10" t="n"/>
      <c r="C31" s="10" t="n"/>
      <c r="D31" s="10" t="n"/>
      <c r="E31" s="10" t="n"/>
      <c r="F31" s="10" t="n"/>
      <c r="G31" s="10" t="n"/>
      <c r="H31" s="10" t="n"/>
      <c r="I31" s="10" t="n"/>
      <c r="J31" s="10" t="n"/>
      <c r="K31" s="10" t="n"/>
      <c r="L31" s="10" t="n"/>
    </row>
    <row r="32">
      <c r="A32" s="10" t="n"/>
      <c r="B32" s="10" t="n"/>
      <c r="C32" s="10" t="n"/>
      <c r="D32" s="10" t="n"/>
      <c r="E32" s="10" t="n"/>
      <c r="F32" s="10" t="n"/>
      <c r="G32" s="10" t="n"/>
      <c r="H32" s="10" t="n"/>
      <c r="I32" s="10" t="n"/>
      <c r="J32" s="10" t="n"/>
      <c r="K32" s="10" t="n"/>
      <c r="L32" s="10" t="n"/>
    </row>
    <row r="33">
      <c r="A33" s="10" t="n"/>
      <c r="B33" s="10" t="n"/>
      <c r="C33" s="10" t="n"/>
      <c r="D33" s="10" t="n"/>
      <c r="E33" s="10" t="n"/>
      <c r="F33" s="10" t="n"/>
      <c r="G33" s="10" t="n"/>
      <c r="H33" s="10" t="n"/>
      <c r="I33" s="10" t="n"/>
      <c r="J33" s="10" t="n"/>
      <c r="K33" s="10" t="n"/>
      <c r="L33" s="10" t="n"/>
    </row>
    <row r="34">
      <c r="A34" s="10" t="n"/>
      <c r="B34" s="10" t="n"/>
      <c r="C34" s="10" t="n"/>
      <c r="D34" s="10" t="n"/>
      <c r="E34" s="10" t="n"/>
      <c r="F34" s="10" t="n"/>
      <c r="G34" s="10" t="n"/>
      <c r="H34" s="10" t="n"/>
      <c r="I34" s="10" t="n"/>
      <c r="J34" s="10" t="n"/>
      <c r="K34" s="10" t="n"/>
      <c r="L34" s="10" t="n"/>
    </row>
    <row r="35">
      <c r="A35" s="10" t="n"/>
      <c r="B35" s="10" t="n"/>
      <c r="C35" s="10" t="n"/>
      <c r="D35" s="10" t="n"/>
      <c r="E35" s="10" t="n"/>
      <c r="F35" s="10" t="n"/>
      <c r="G35" s="10" t="n"/>
      <c r="H35" s="10" t="n"/>
      <c r="I35" s="10" t="n"/>
      <c r="J35" s="10" t="n"/>
      <c r="K35" s="10" t="n"/>
      <c r="L35" s="10" t="n"/>
    </row>
    <row r="36" ht="28" customHeight="1">
      <c r="A36" s="43" t="inlineStr">
        <is>
          <t>Change Extra / month and Method above — the date, the interest, this chart, and the Payoff Schedule all move. Compare Snowball and Avalanche on the next tab before you pick. See Instructions for the 5-minute start.</t>
        </is>
      </c>
    </row>
    <row r="37">
      <c r="A37" s="10" t="n"/>
      <c r="B37" s="10" t="n"/>
      <c r="C37" s="10" t="n"/>
      <c r="D37" s="10" t="n"/>
      <c r="E37" s="10" t="n"/>
      <c r="F37" s="10" t="n"/>
      <c r="G37" s="10" t="n"/>
      <c r="H37" s="10" t="n"/>
      <c r="I37" s="10" t="n"/>
      <c r="J37" s="10" t="n"/>
      <c r="K37" s="10" t="n"/>
      <c r="L37" s="10" t="n"/>
    </row>
    <row r="38">
      <c r="A38" s="10" t="n"/>
      <c r="B38" s="10" t="n"/>
      <c r="C38" s="10" t="n"/>
      <c r="D38" s="10" t="n"/>
      <c r="E38" s="10" t="n"/>
      <c r="F38" s="10" t="n"/>
      <c r="G38" s="10" t="n"/>
      <c r="H38" s="10" t="n"/>
      <c r="I38" s="10" t="n"/>
      <c r="J38" s="10" t="n"/>
      <c r="K38" s="10" t="n"/>
      <c r="L38" s="10" t="n"/>
    </row>
    <row r="70">
      <c r="A70" s="44" t="inlineStr">
        <is>
          <t>Month</t>
        </is>
      </c>
      <c r="B70" s="44" t="inlineStr">
        <is>
          <t>Remaining</t>
        </is>
      </c>
    </row>
    <row r="71">
      <c r="A71" s="115">
        <f>_Calc!B5</f>
        <v/>
      </c>
      <c r="B71" s="116">
        <f>IF(_Calc!A5="",NA(),IF(AND(0&gt;0,_Calc!H5&lt;=0.005,_Calc!H5&lt;=0.005),NA(),_Calc!H5))</f>
        <v/>
      </c>
    </row>
    <row r="72">
      <c r="A72" s="115">
        <f>_Calc!B6</f>
        <v/>
      </c>
      <c r="B72" s="116">
        <f>IF(_Calc!A6="",NA(),IF(AND(1&gt;0,_Calc!H6&lt;=0.005,_Calc!H5&lt;=0.005),NA(),_Calc!H6))</f>
        <v/>
      </c>
    </row>
    <row r="73">
      <c r="A73" s="115">
        <f>_Calc!B7</f>
        <v/>
      </c>
      <c r="B73" s="116">
        <f>IF(_Calc!A7="",NA(),IF(AND(2&gt;0,_Calc!H7&lt;=0.005,_Calc!H6&lt;=0.005),NA(),_Calc!H7))</f>
        <v/>
      </c>
    </row>
    <row r="74">
      <c r="A74" s="115">
        <f>_Calc!B8</f>
        <v/>
      </c>
      <c r="B74" s="116">
        <f>IF(_Calc!A8="",NA(),IF(AND(3&gt;0,_Calc!H8&lt;=0.005,_Calc!H7&lt;=0.005),NA(),_Calc!H8))</f>
        <v/>
      </c>
    </row>
    <row r="75">
      <c r="A75" s="115">
        <f>_Calc!B9</f>
        <v/>
      </c>
      <c r="B75" s="116">
        <f>IF(_Calc!A9="",NA(),IF(AND(4&gt;0,_Calc!H9&lt;=0.005,_Calc!H8&lt;=0.005),NA(),_Calc!H9))</f>
        <v/>
      </c>
    </row>
    <row r="76">
      <c r="A76" s="115">
        <f>_Calc!B10</f>
        <v/>
      </c>
      <c r="B76" s="116">
        <f>IF(_Calc!A10="",NA(),IF(AND(5&gt;0,_Calc!H10&lt;=0.005,_Calc!H9&lt;=0.005),NA(),_Calc!H10))</f>
        <v/>
      </c>
    </row>
    <row r="77">
      <c r="A77" s="115">
        <f>_Calc!B11</f>
        <v/>
      </c>
      <c r="B77" s="116">
        <f>IF(_Calc!A11="",NA(),IF(AND(6&gt;0,_Calc!H11&lt;=0.005,_Calc!H10&lt;=0.005),NA(),_Calc!H11))</f>
        <v/>
      </c>
    </row>
    <row r="78">
      <c r="A78" s="115">
        <f>_Calc!B12</f>
        <v/>
      </c>
      <c r="B78" s="116">
        <f>IF(_Calc!A12="",NA(),IF(AND(7&gt;0,_Calc!H12&lt;=0.005,_Calc!H11&lt;=0.005),NA(),_Calc!H12))</f>
        <v/>
      </c>
    </row>
    <row r="79">
      <c r="A79" s="115">
        <f>_Calc!B13</f>
        <v/>
      </c>
      <c r="B79" s="116">
        <f>IF(_Calc!A13="",NA(),IF(AND(8&gt;0,_Calc!H13&lt;=0.005,_Calc!H12&lt;=0.005),NA(),_Calc!H13))</f>
        <v/>
      </c>
    </row>
    <row r="80">
      <c r="A80" s="115">
        <f>_Calc!B14</f>
        <v/>
      </c>
      <c r="B80" s="116">
        <f>IF(_Calc!A14="",NA(),IF(AND(9&gt;0,_Calc!H14&lt;=0.005,_Calc!H13&lt;=0.005),NA(),_Calc!H14))</f>
        <v/>
      </c>
    </row>
    <row r="81">
      <c r="A81" s="115">
        <f>_Calc!B15</f>
        <v/>
      </c>
      <c r="B81" s="116">
        <f>IF(_Calc!A15="",NA(),IF(AND(10&gt;0,_Calc!H15&lt;=0.005,_Calc!H14&lt;=0.005),NA(),_Calc!H15))</f>
        <v/>
      </c>
    </row>
    <row r="82">
      <c r="A82" s="115">
        <f>_Calc!B16</f>
        <v/>
      </c>
      <c r="B82" s="116">
        <f>IF(_Calc!A16="",NA(),IF(AND(11&gt;0,_Calc!H16&lt;=0.005,_Calc!H15&lt;=0.005),NA(),_Calc!H16))</f>
        <v/>
      </c>
    </row>
    <row r="83">
      <c r="A83" s="115">
        <f>_Calc!B17</f>
        <v/>
      </c>
      <c r="B83" s="116">
        <f>IF(_Calc!A17="",NA(),IF(AND(12&gt;0,_Calc!H17&lt;=0.005,_Calc!H16&lt;=0.005),NA(),_Calc!H17))</f>
        <v/>
      </c>
    </row>
    <row r="84">
      <c r="A84" s="115">
        <f>_Calc!B18</f>
        <v/>
      </c>
      <c r="B84" s="116">
        <f>IF(_Calc!A18="",NA(),IF(AND(13&gt;0,_Calc!H18&lt;=0.005,_Calc!H17&lt;=0.005),NA(),_Calc!H18))</f>
        <v/>
      </c>
    </row>
    <row r="85">
      <c r="A85" s="115">
        <f>_Calc!B19</f>
        <v/>
      </c>
      <c r="B85" s="116">
        <f>IF(_Calc!A19="",NA(),IF(AND(14&gt;0,_Calc!H19&lt;=0.005,_Calc!H18&lt;=0.005),NA(),_Calc!H19))</f>
        <v/>
      </c>
    </row>
    <row r="86">
      <c r="A86" s="115">
        <f>_Calc!B20</f>
        <v/>
      </c>
      <c r="B86" s="116">
        <f>IF(_Calc!A20="",NA(),IF(AND(15&gt;0,_Calc!H20&lt;=0.005,_Calc!H19&lt;=0.005),NA(),_Calc!H20))</f>
        <v/>
      </c>
    </row>
    <row r="87">
      <c r="A87" s="115">
        <f>_Calc!B21</f>
        <v/>
      </c>
      <c r="B87" s="116">
        <f>IF(_Calc!A21="",NA(),IF(AND(16&gt;0,_Calc!H21&lt;=0.005,_Calc!H20&lt;=0.005),NA(),_Calc!H21))</f>
        <v/>
      </c>
    </row>
    <row r="88">
      <c r="A88" s="115">
        <f>_Calc!B22</f>
        <v/>
      </c>
      <c r="B88" s="116">
        <f>IF(_Calc!A22="",NA(),IF(AND(17&gt;0,_Calc!H22&lt;=0.005,_Calc!H21&lt;=0.005),NA(),_Calc!H22))</f>
        <v/>
      </c>
    </row>
    <row r="89">
      <c r="A89" s="115">
        <f>_Calc!B23</f>
        <v/>
      </c>
      <c r="B89" s="116">
        <f>IF(_Calc!A23="",NA(),IF(AND(18&gt;0,_Calc!H23&lt;=0.005,_Calc!H22&lt;=0.005),NA(),_Calc!H23))</f>
        <v/>
      </c>
    </row>
    <row r="90">
      <c r="A90" s="115">
        <f>_Calc!B24</f>
        <v/>
      </c>
      <c r="B90" s="116">
        <f>IF(_Calc!A24="",NA(),IF(AND(19&gt;0,_Calc!H24&lt;=0.005,_Calc!H23&lt;=0.005),NA(),_Calc!H24))</f>
        <v/>
      </c>
    </row>
    <row r="91">
      <c r="A91" s="115">
        <f>_Calc!B25</f>
        <v/>
      </c>
      <c r="B91" s="116">
        <f>IF(_Calc!A25="",NA(),IF(AND(20&gt;0,_Calc!H25&lt;=0.005,_Calc!H24&lt;=0.005),NA(),_Calc!H25))</f>
        <v/>
      </c>
    </row>
    <row r="92">
      <c r="A92" s="115">
        <f>_Calc!B26</f>
        <v/>
      </c>
      <c r="B92" s="116">
        <f>IF(_Calc!A26="",NA(),IF(AND(21&gt;0,_Calc!H26&lt;=0.005,_Calc!H25&lt;=0.005),NA(),_Calc!H26))</f>
        <v/>
      </c>
    </row>
    <row r="93">
      <c r="A93" s="115">
        <f>_Calc!B27</f>
        <v/>
      </c>
      <c r="B93" s="116">
        <f>IF(_Calc!A27="",NA(),IF(AND(22&gt;0,_Calc!H27&lt;=0.005,_Calc!H26&lt;=0.005),NA(),_Calc!H27))</f>
        <v/>
      </c>
    </row>
    <row r="94">
      <c r="A94" s="115">
        <f>_Calc!B28</f>
        <v/>
      </c>
      <c r="B94" s="116">
        <f>IF(_Calc!A28="",NA(),IF(AND(23&gt;0,_Calc!H28&lt;=0.005,_Calc!H27&lt;=0.005),NA(),_Calc!H28))</f>
        <v/>
      </c>
    </row>
    <row r="95">
      <c r="A95" s="115">
        <f>_Calc!B29</f>
        <v/>
      </c>
      <c r="B95" s="116">
        <f>IF(_Calc!A29="",NA(),IF(AND(24&gt;0,_Calc!H29&lt;=0.005,_Calc!H28&lt;=0.005),NA(),_Calc!H29))</f>
        <v/>
      </c>
    </row>
    <row r="96">
      <c r="A96" s="115">
        <f>_Calc!B30</f>
        <v/>
      </c>
      <c r="B96" s="116">
        <f>IF(_Calc!A30="",NA(),IF(AND(25&gt;0,_Calc!H30&lt;=0.005,_Calc!H29&lt;=0.005),NA(),_Calc!H30))</f>
        <v/>
      </c>
    </row>
    <row r="97">
      <c r="A97" s="115">
        <f>_Calc!B31</f>
        <v/>
      </c>
      <c r="B97" s="116">
        <f>IF(_Calc!A31="",NA(),IF(AND(26&gt;0,_Calc!H31&lt;=0.005,_Calc!H30&lt;=0.005),NA(),_Calc!H31))</f>
        <v/>
      </c>
    </row>
    <row r="98">
      <c r="A98" s="115">
        <f>_Calc!B32</f>
        <v/>
      </c>
      <c r="B98" s="116">
        <f>IF(_Calc!A32="",NA(),IF(AND(27&gt;0,_Calc!H32&lt;=0.005,_Calc!H31&lt;=0.005),NA(),_Calc!H32))</f>
        <v/>
      </c>
    </row>
    <row r="99">
      <c r="A99" s="115">
        <f>_Calc!B33</f>
        <v/>
      </c>
      <c r="B99" s="116">
        <f>IF(_Calc!A33="",NA(),IF(AND(28&gt;0,_Calc!H33&lt;=0.005,_Calc!H32&lt;=0.005),NA(),_Calc!H33))</f>
        <v/>
      </c>
    </row>
    <row r="100">
      <c r="A100" s="115">
        <f>_Calc!B34</f>
        <v/>
      </c>
      <c r="B100" s="116">
        <f>IF(_Calc!A34="",NA(),IF(AND(29&gt;0,_Calc!H34&lt;=0.005,_Calc!H33&lt;=0.005),NA(),_Calc!H34))</f>
        <v/>
      </c>
    </row>
    <row r="101">
      <c r="A101" s="115">
        <f>_Calc!B35</f>
        <v/>
      </c>
      <c r="B101" s="116">
        <f>IF(_Calc!A35="",NA(),IF(AND(30&gt;0,_Calc!H35&lt;=0.005,_Calc!H34&lt;=0.005),NA(),_Calc!H35))</f>
        <v/>
      </c>
    </row>
    <row r="102">
      <c r="A102" s="115">
        <f>_Calc!B36</f>
        <v/>
      </c>
      <c r="B102" s="116">
        <f>IF(_Calc!A36="",NA(),IF(AND(31&gt;0,_Calc!H36&lt;=0.005,_Calc!H35&lt;=0.005),NA(),_Calc!H36))</f>
        <v/>
      </c>
    </row>
    <row r="103">
      <c r="A103" s="115">
        <f>_Calc!B37</f>
        <v/>
      </c>
      <c r="B103" s="116">
        <f>IF(_Calc!A37="",NA(),IF(AND(32&gt;0,_Calc!H37&lt;=0.005,_Calc!H36&lt;=0.005),NA(),_Calc!H37))</f>
        <v/>
      </c>
    </row>
    <row r="104">
      <c r="A104" s="115">
        <f>_Calc!B38</f>
        <v/>
      </c>
      <c r="B104" s="116">
        <f>IF(_Calc!A38="",NA(),IF(AND(33&gt;0,_Calc!H38&lt;=0.005,_Calc!H37&lt;=0.005),NA(),_Calc!H38))</f>
        <v/>
      </c>
    </row>
    <row r="105">
      <c r="A105" s="115">
        <f>_Calc!B39</f>
        <v/>
      </c>
      <c r="B105" s="116">
        <f>IF(_Calc!A39="",NA(),IF(AND(34&gt;0,_Calc!H39&lt;=0.005,_Calc!H38&lt;=0.005),NA(),_Calc!H39))</f>
        <v/>
      </c>
    </row>
    <row r="106">
      <c r="A106" s="115">
        <f>_Calc!B40</f>
        <v/>
      </c>
      <c r="B106" s="116">
        <f>IF(_Calc!A40="",NA(),IF(AND(35&gt;0,_Calc!H40&lt;=0.005,_Calc!H39&lt;=0.005),NA(),_Calc!H40))</f>
        <v/>
      </c>
    </row>
    <row r="107">
      <c r="A107" s="115">
        <f>_Calc!B41</f>
        <v/>
      </c>
      <c r="B107" s="116">
        <f>IF(_Calc!A41="",NA(),IF(AND(36&gt;0,_Calc!H41&lt;=0.005,_Calc!H40&lt;=0.005),NA(),_Calc!H41))</f>
        <v/>
      </c>
    </row>
    <row r="108">
      <c r="A108" s="115">
        <f>_Calc!B42</f>
        <v/>
      </c>
      <c r="B108" s="116">
        <f>IF(_Calc!A42="",NA(),IF(AND(37&gt;0,_Calc!H42&lt;=0.005,_Calc!H41&lt;=0.005),NA(),_Calc!H42))</f>
        <v/>
      </c>
    </row>
    <row r="109">
      <c r="A109" s="115">
        <f>_Calc!B43</f>
        <v/>
      </c>
      <c r="B109" s="116">
        <f>IF(_Calc!A43="",NA(),IF(AND(38&gt;0,_Calc!H43&lt;=0.005,_Calc!H42&lt;=0.005),NA(),_Calc!H43))</f>
        <v/>
      </c>
    </row>
    <row r="110">
      <c r="A110" s="115">
        <f>_Calc!B44</f>
        <v/>
      </c>
      <c r="B110" s="116">
        <f>IF(_Calc!A44="",NA(),IF(AND(39&gt;0,_Calc!H44&lt;=0.005,_Calc!H43&lt;=0.005),NA(),_Calc!H44))</f>
        <v/>
      </c>
    </row>
    <row r="111">
      <c r="A111" s="115">
        <f>_Calc!B45</f>
        <v/>
      </c>
      <c r="B111" s="116">
        <f>IF(_Calc!A45="",NA(),IF(AND(40&gt;0,_Calc!H45&lt;=0.005,_Calc!H44&lt;=0.005),NA(),_Calc!H45))</f>
        <v/>
      </c>
    </row>
    <row r="112">
      <c r="A112" s="115">
        <f>_Calc!B46</f>
        <v/>
      </c>
      <c r="B112" s="116">
        <f>IF(_Calc!A46="",NA(),IF(AND(41&gt;0,_Calc!H46&lt;=0.005,_Calc!H45&lt;=0.005),NA(),_Calc!H46))</f>
        <v/>
      </c>
    </row>
    <row r="113">
      <c r="A113" s="115">
        <f>_Calc!B47</f>
        <v/>
      </c>
      <c r="B113" s="116">
        <f>IF(_Calc!A47="",NA(),IF(AND(42&gt;0,_Calc!H47&lt;=0.005,_Calc!H46&lt;=0.005),NA(),_Calc!H47))</f>
        <v/>
      </c>
    </row>
    <row r="114">
      <c r="A114" s="115">
        <f>_Calc!B48</f>
        <v/>
      </c>
      <c r="B114" s="116">
        <f>IF(_Calc!A48="",NA(),IF(AND(43&gt;0,_Calc!H48&lt;=0.005,_Calc!H47&lt;=0.005),NA(),_Calc!H48))</f>
        <v/>
      </c>
    </row>
    <row r="115">
      <c r="A115" s="115">
        <f>_Calc!B49</f>
        <v/>
      </c>
      <c r="B115" s="116">
        <f>IF(_Calc!A49="",NA(),IF(AND(44&gt;0,_Calc!H49&lt;=0.005,_Calc!H48&lt;=0.005),NA(),_Calc!H49))</f>
        <v/>
      </c>
    </row>
    <row r="116">
      <c r="A116" s="115">
        <f>_Calc!B50</f>
        <v/>
      </c>
      <c r="B116" s="116">
        <f>IF(_Calc!A50="",NA(),IF(AND(45&gt;0,_Calc!H50&lt;=0.005,_Calc!H49&lt;=0.005),NA(),_Calc!H50))</f>
        <v/>
      </c>
    </row>
    <row r="117">
      <c r="A117" s="115">
        <f>_Calc!B51</f>
        <v/>
      </c>
      <c r="B117" s="116">
        <f>IF(_Calc!A51="",NA(),IF(AND(46&gt;0,_Calc!H51&lt;=0.005,_Calc!H50&lt;=0.005),NA(),_Calc!H51))</f>
        <v/>
      </c>
    </row>
    <row r="118">
      <c r="A118" s="115">
        <f>_Calc!B52</f>
        <v/>
      </c>
      <c r="B118" s="116">
        <f>IF(_Calc!A52="",NA(),IF(AND(47&gt;0,_Calc!H52&lt;=0.005,_Calc!H51&lt;=0.005),NA(),_Calc!H52))</f>
        <v/>
      </c>
    </row>
    <row r="119">
      <c r="A119" s="115">
        <f>_Calc!B53</f>
        <v/>
      </c>
      <c r="B119" s="116">
        <f>IF(_Calc!A53="",NA(),IF(AND(48&gt;0,_Calc!H53&lt;=0.005,_Calc!H52&lt;=0.005),NA(),_Calc!H53))</f>
        <v/>
      </c>
    </row>
    <row r="120">
      <c r="A120" s="115">
        <f>_Calc!B54</f>
        <v/>
      </c>
      <c r="B120" s="116">
        <f>IF(_Calc!A54="",NA(),IF(AND(49&gt;0,_Calc!H54&lt;=0.005,_Calc!H53&lt;=0.005),NA(),_Calc!H54))</f>
        <v/>
      </c>
    </row>
    <row r="121">
      <c r="A121" s="115">
        <f>_Calc!B55</f>
        <v/>
      </c>
      <c r="B121" s="116">
        <f>IF(_Calc!A55="",NA(),IF(AND(50&gt;0,_Calc!H55&lt;=0.005,_Calc!H54&lt;=0.005),NA(),_Calc!H55))</f>
        <v/>
      </c>
    </row>
    <row r="122">
      <c r="A122" s="115">
        <f>_Calc!B56</f>
        <v/>
      </c>
      <c r="B122" s="116">
        <f>IF(_Calc!A56="",NA(),IF(AND(51&gt;0,_Calc!H56&lt;=0.005,_Calc!H55&lt;=0.005),NA(),_Calc!H56))</f>
        <v/>
      </c>
    </row>
    <row r="123">
      <c r="A123" s="115">
        <f>_Calc!B57</f>
        <v/>
      </c>
      <c r="B123" s="116">
        <f>IF(_Calc!A57="",NA(),IF(AND(52&gt;0,_Calc!H57&lt;=0.005,_Calc!H56&lt;=0.005),NA(),_Calc!H57))</f>
        <v/>
      </c>
    </row>
    <row r="124">
      <c r="A124" s="115">
        <f>_Calc!B58</f>
        <v/>
      </c>
      <c r="B124" s="116">
        <f>IF(_Calc!A58="",NA(),IF(AND(53&gt;0,_Calc!H58&lt;=0.005,_Calc!H57&lt;=0.005),NA(),_Calc!H58))</f>
        <v/>
      </c>
    </row>
    <row r="125">
      <c r="A125" s="115">
        <f>_Calc!B59</f>
        <v/>
      </c>
      <c r="B125" s="116">
        <f>IF(_Calc!A59="",NA(),IF(AND(54&gt;0,_Calc!H59&lt;=0.005,_Calc!H58&lt;=0.005),NA(),_Calc!H59))</f>
        <v/>
      </c>
    </row>
    <row r="126">
      <c r="A126" s="115">
        <f>_Calc!B60</f>
        <v/>
      </c>
      <c r="B126" s="116">
        <f>IF(_Calc!A60="",NA(),IF(AND(55&gt;0,_Calc!H60&lt;=0.005,_Calc!H59&lt;=0.005),NA(),_Calc!H60))</f>
        <v/>
      </c>
    </row>
    <row r="127">
      <c r="A127" s="115">
        <f>_Calc!B61</f>
        <v/>
      </c>
      <c r="B127" s="116">
        <f>IF(_Calc!A61="",NA(),IF(AND(56&gt;0,_Calc!H61&lt;=0.005,_Calc!H60&lt;=0.005),NA(),_Calc!H61))</f>
        <v/>
      </c>
    </row>
    <row r="128">
      <c r="A128" s="115">
        <f>_Calc!B62</f>
        <v/>
      </c>
      <c r="B128" s="116">
        <f>IF(_Calc!A62="",NA(),IF(AND(57&gt;0,_Calc!H62&lt;=0.005,_Calc!H61&lt;=0.005),NA(),_Calc!H62))</f>
        <v/>
      </c>
    </row>
    <row r="129">
      <c r="A129" s="115">
        <f>_Calc!B63</f>
        <v/>
      </c>
      <c r="B129" s="116">
        <f>IF(_Calc!A63="",NA(),IF(AND(58&gt;0,_Calc!H63&lt;=0.005,_Calc!H62&lt;=0.005),NA(),_Calc!H63))</f>
        <v/>
      </c>
    </row>
    <row r="130">
      <c r="A130" s="115">
        <f>_Calc!B64</f>
        <v/>
      </c>
      <c r="B130" s="116">
        <f>IF(_Calc!A64="",NA(),IF(AND(59&gt;0,_Calc!H64&lt;=0.005,_Calc!H63&lt;=0.005),NA(),_Calc!H64))</f>
        <v/>
      </c>
    </row>
  </sheetData>
  <sheetProtection selectLockedCells="1" selectUnlockedCells="1" sheet="1" objects="0" insertRows="1" insertHyperlinks="1" autoFilter="1" scenarios="0" formatColumns="1" deleteColumns="1" insertColumns="1" pivotTables="1" deleteRows="1" formatCells="1" formatRows="1" sort="1"/>
  <mergeCells count="49">
    <mergeCell ref="G21:H21"/>
    <mergeCell ref="J6:L6"/>
    <mergeCell ref="A16:L16"/>
    <mergeCell ref="D11:F11"/>
    <mergeCell ref="D13:F13"/>
    <mergeCell ref="G10:I10"/>
    <mergeCell ref="G6:I6"/>
    <mergeCell ref="G13:I13"/>
    <mergeCell ref="G23:H23"/>
    <mergeCell ref="D7:F7"/>
    <mergeCell ref="A12:C12"/>
    <mergeCell ref="J11:L11"/>
    <mergeCell ref="J7:L7"/>
    <mergeCell ref="A2:L2"/>
    <mergeCell ref="A5:C5"/>
    <mergeCell ref="G5:I5"/>
    <mergeCell ref="A8:C8"/>
    <mergeCell ref="D12:F12"/>
    <mergeCell ref="G19:H19"/>
    <mergeCell ref="A17:F17"/>
    <mergeCell ref="J12:L12"/>
    <mergeCell ref="D8:F8"/>
    <mergeCell ref="G18:H18"/>
    <mergeCell ref="A4:L4"/>
    <mergeCell ref="A10:C10"/>
    <mergeCell ref="A13:C13"/>
    <mergeCell ref="D5:F5"/>
    <mergeCell ref="G24:H24"/>
    <mergeCell ref="J8:L8"/>
    <mergeCell ref="A9:L9"/>
    <mergeCell ref="G12:I12"/>
    <mergeCell ref="D10:F10"/>
    <mergeCell ref="G11:I11"/>
    <mergeCell ref="J5:L5"/>
    <mergeCell ref="G20:H20"/>
    <mergeCell ref="A11:C11"/>
    <mergeCell ref="J10:L10"/>
    <mergeCell ref="I3:L3"/>
    <mergeCell ref="J13:L13"/>
    <mergeCell ref="A1:L1"/>
    <mergeCell ref="A6:C6"/>
    <mergeCell ref="D6:F6"/>
    <mergeCell ref="A36:L36"/>
    <mergeCell ref="G8:I8"/>
    <mergeCell ref="G17:L17"/>
    <mergeCell ref="A14:L15"/>
    <mergeCell ref="G22:H22"/>
    <mergeCell ref="A7:C7"/>
    <mergeCell ref="G7:I7"/>
  </mergeCells>
  <conditionalFormatting sqref="G19:L24">
    <cfRule type="expression" priority="1" dxfId="0">
      <formula>L19="Yes"</formula>
    </cfRule>
    <cfRule type="expression" priority="2" dxfId="1">
      <formula>AND(G19&lt;&gt;"",I19&lt;=0.005)</formula>
    </cfRule>
  </conditionalFormatting>
  <dataValidations count="2">
    <dataValidation sqref="D3" showDropDown="0" showInputMessage="0" showErrorMessage="0" allowBlank="0" type="list">
      <formula1>=Dashboard!$N$2:$N$4</formula1>
    </dataValidation>
    <dataValidation sqref="F3" showDropDown="0" showInputMessage="0" showErrorMessage="0" allowBlank="0" type="decimal" operator="greaterThanOrEqual">
      <formula1>0</formula1>
    </dataValidation>
  </dataValidations>
  <printOptions horizontalCentered="1"/>
  <pageMargins left="0.5" right="0.5" top="0.55" bottom="0.55" header="0.3" footer="0.3"/>
  <pageSetup orientation="landscape" paperSize="1" fitToHeight="1" fitToWidth="1"/>
  <headerFooter>
    <oddHeader>&amp;LDashboard</oddHeader>
    <oddFooter>&amp;RPage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tabColor rgb="001F7A6B"/>
    <outlinePr summaryBelow="1" summaryRight="1"/>
    <pageSetUpPr fitToPage="1"/>
  </sheetPr>
  <dimension ref="A1:T15"/>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14" customWidth="1" min="3" max="3"/>
    <col width="14" customWidth="1" min="4" max="4"/>
    <col width="10" customWidth="1" min="5" max="5"/>
    <col width="13" customWidth="1" min="6" max="6"/>
    <col width="10" customWidth="1" min="7" max="7"/>
    <col width="13" customWidth="1" min="8" max="8"/>
    <col width="10" customWidth="1" min="9" max="9"/>
    <col width="13" customWidth="1" min="10" max="10"/>
    <col width="10" customWidth="1" min="11" max="11"/>
    <col width="10" customWidth="1" min="12" max="12"/>
    <col width="10" customWidth="1" min="13" max="13"/>
    <col width="12" customWidth="1" min="14" max="14"/>
    <col width="10" customWidth="1" min="15" max="15"/>
    <col hidden="1" width="10" customWidth="1" min="16" max="16"/>
    <col hidden="1" width="10" customWidth="1" min="17" max="17"/>
    <col hidden="1" width="10" customWidth="1" min="18" max="18"/>
    <col hidden="1" width="13" customWidth="1" min="19" max="19"/>
    <col hidden="1" width="13" customWidth="1" min="20" max="20"/>
  </cols>
  <sheetData>
    <row r="1" ht="30" customHeight="1">
      <c r="A1" s="1" t="inlineStr">
        <is>
          <t>Debt List</t>
        </is>
      </c>
    </row>
    <row r="2" ht="28" customHeight="1">
      <c r="A2" s="43" t="inlineStr">
        <is>
          <t>Blue = type. Gray = calculated. Empty name = unused slot. Update Current balance when you pay (the Payment Log is a journal, not an automatic write-down).</t>
        </is>
      </c>
    </row>
    <row r="3">
      <c r="A3" s="47">
        <f>COUNTA(A5:A12)&amp;" debts   ·   Remaining "&amp;TEXT(SUM(D5:D12),"$#,##0.00")&amp;"   ·   Minimums "&amp;TEXT(SUM(F5:F12),"$#,##0.00")&amp;"   ·   + extra "&amp;TEXT(ExtraPayment,"$#,##0.00")&amp;" = "&amp;TEXT(SUM(F5:F12)+N(ExtraPayment),"$#,##0.00")&amp;" / month   ·   Method: "&amp;Method</f>
        <v/>
      </c>
    </row>
    <row r="4" ht="30" customHeight="1">
      <c r="A4" s="48" t="inlineStr">
        <is>
          <t>Debt name</t>
        </is>
      </c>
      <c r="B4" s="48" t="inlineStr">
        <is>
          <t>Creditor</t>
        </is>
      </c>
      <c r="C4" s="48" t="inlineStr">
        <is>
          <t>Original balance</t>
        </is>
      </c>
      <c r="D4" s="48" t="inlineStr">
        <is>
          <t>Current balance</t>
        </is>
      </c>
      <c r="E4" s="48" t="inlineStr">
        <is>
          <t>APR</t>
        </is>
      </c>
      <c r="F4" s="48" t="inlineStr">
        <is>
          <t>Min. payment</t>
        </is>
      </c>
      <c r="G4" s="48" t="inlineStr">
        <is>
          <t>Due day</t>
        </is>
      </c>
      <c r="H4" s="48" t="inlineStr">
        <is>
          <t>Opened</t>
        </is>
      </c>
      <c r="I4" s="48" t="inlineStr">
        <is>
          <t>Priority</t>
        </is>
      </c>
      <c r="J4" s="48" t="inlineStr">
        <is>
          <t>Logged payments</t>
        </is>
      </c>
      <c r="K4" s="48" t="inlineStr">
        <is>
          <t>Order</t>
        </is>
      </c>
      <c r="L4" s="48" t="inlineStr">
        <is>
          <t>Snow #</t>
        </is>
      </c>
      <c r="M4" s="48" t="inlineStr">
        <is>
          <t>Aval #</t>
        </is>
      </c>
      <c r="N4" s="48" t="inlineStr">
        <is>
          <t>Status</t>
        </is>
      </c>
      <c r="O4" s="48" t="inlineStr">
        <is>
          <t>Target?</t>
        </is>
      </c>
    </row>
    <row r="5" ht="18" customHeight="1">
      <c r="A5" s="4" t="inlineStr">
        <is>
          <t>Store card</t>
        </is>
      </c>
      <c r="B5" s="4" t="inlineStr">
        <is>
          <t>Target</t>
        </is>
      </c>
      <c r="C5" s="117" t="n">
        <v>850</v>
      </c>
      <c r="D5" s="117" t="n">
        <v>820</v>
      </c>
      <c r="E5" s="50" t="n">
        <v>0.2499</v>
      </c>
      <c r="F5" s="117" t="n">
        <v>35</v>
      </c>
      <c r="G5" s="51" t="n">
        <v>15</v>
      </c>
      <c r="H5" s="52" t="n">
        <v>45717</v>
      </c>
      <c r="I5" s="51" t="n">
        <v>1</v>
      </c>
      <c r="J5" s="118">
        <f>IF(A5="","",SUMIFS('Payment Log'!$C$5:$C$104,'Payment Log'!$B$5:$B$104,A5))</f>
        <v/>
      </c>
      <c r="K5" s="54">
        <f>IF(A5="","",IF(Method="Avalanche",COUNTIF($Q$5:$Q$12,"&lt;"&amp;Q5)+1,IF(Method="Custom",COUNTIF($R$5:$R$12,"&lt;"&amp;R5)+1,COUNTIF($P$5:$P$12,"&lt;"&amp;P5)+1)))</f>
        <v/>
      </c>
      <c r="L5" s="55">
        <f>IF(A5="","",COUNTIF($P$5:$P$12,"&lt;"&amp;P5)+1)</f>
        <v/>
      </c>
      <c r="M5" s="55">
        <f>IF(A5="","",COUNTIF($Q$5:$Q$12,"&lt;"&amp;Q5)+1)</f>
        <v/>
      </c>
      <c r="N5" s="54">
        <f>IF(A5="","",IF(N(D5)&lt;=0.005,"Paid off","Active"))</f>
        <v/>
      </c>
      <c r="O5" s="54">
        <f>IF(A5="","",IF(AND(N5="Active",K5=1),"Yes",""))</f>
        <v/>
      </c>
      <c r="P5" s="56">
        <f>IF(A5="","",IF(N(D5)&lt;=0.005,99+ROW()/100,N(D5)+ROW()/100000))</f>
        <v/>
      </c>
      <c r="Q5" s="56">
        <f>IF(A5="","",IF(N(D5)&lt;=0.005,99+ROW()/100,-N(E5)+ROW()/100000))</f>
        <v/>
      </c>
      <c r="R5" s="56">
        <f>IF(A5="","",IF(N(D5)&lt;=0.005,99+ROW()/100,IF(I5="",50,N(I5))+ROW()/100000))</f>
        <v/>
      </c>
      <c r="S5">
        <f>IF(OR(A5="",N(D5)&lt;=0,N(F5)&lt;=0),"",IF(N(F5)&lt;=N(D5)*N(E5)/12,"Never",N(F5)*NPER(N(E5)/12,N(F5),-N(D5))-N(D5)))</f>
        <v/>
      </c>
      <c r="T5">
        <f>IF(OR(A5="",S5="",S5="Never"),"",NPER(N(E5)/12,N(F5),-N(D5)))</f>
        <v/>
      </c>
    </row>
    <row r="6" ht="18" customHeight="1">
      <c r="A6" s="4" t="inlineStr">
        <is>
          <t>Visa</t>
        </is>
      </c>
      <c r="B6" s="4" t="inlineStr">
        <is>
          <t>Chase</t>
        </is>
      </c>
      <c r="C6" s="117" t="n">
        <v>3200</v>
      </c>
      <c r="D6" s="117" t="n">
        <v>3050</v>
      </c>
      <c r="E6" s="50" t="n">
        <v>0.2199</v>
      </c>
      <c r="F6" s="117" t="n">
        <v>80</v>
      </c>
      <c r="G6" s="51" t="n">
        <v>8</v>
      </c>
      <c r="H6" s="52" t="n">
        <v>45078</v>
      </c>
      <c r="I6" s="51" t="n">
        <v>2</v>
      </c>
      <c r="J6" s="118">
        <f>IF(A6="","",SUMIFS('Payment Log'!$C$5:$C$104,'Payment Log'!$B$5:$B$104,A6))</f>
        <v/>
      </c>
      <c r="K6" s="54">
        <f>IF(A6="","",IF(Method="Avalanche",COUNTIF($Q$5:$Q$12,"&lt;"&amp;Q6)+1,IF(Method="Custom",COUNTIF($R$5:$R$12,"&lt;"&amp;R6)+1,COUNTIF($P$5:$P$12,"&lt;"&amp;P6)+1)))</f>
        <v/>
      </c>
      <c r="L6" s="55">
        <f>IF(A6="","",COUNTIF($P$5:$P$12,"&lt;"&amp;P6)+1)</f>
        <v/>
      </c>
      <c r="M6" s="55">
        <f>IF(A6="","",COUNTIF($Q$5:$Q$12,"&lt;"&amp;Q6)+1)</f>
        <v/>
      </c>
      <c r="N6" s="54">
        <f>IF(A6="","",IF(N(D6)&lt;=0.005,"Paid off","Active"))</f>
        <v/>
      </c>
      <c r="O6" s="54">
        <f>IF(A6="","",IF(AND(N6="Active",K6=1),"Yes",""))</f>
        <v/>
      </c>
      <c r="P6" s="56">
        <f>IF(A6="","",IF(N(D6)&lt;=0.005,99+ROW()/100,N(D6)+ROW()/100000))</f>
        <v/>
      </c>
      <c r="Q6" s="56">
        <f>IF(A6="","",IF(N(D6)&lt;=0.005,99+ROW()/100,-N(E6)+ROW()/100000))</f>
        <v/>
      </c>
      <c r="R6" s="56">
        <f>IF(A6="","",IF(N(D6)&lt;=0.005,99+ROW()/100,IF(I6="",50,N(I6))+ROW()/100000))</f>
        <v/>
      </c>
      <c r="S6">
        <f>IF(OR(A6="",N(D6)&lt;=0,N(F6)&lt;=0),"",IF(N(F6)&lt;=N(D6)*N(E6)/12,"Never",N(F6)*NPER(N(E6)/12,N(F6),-N(D6))-N(D6)))</f>
        <v/>
      </c>
      <c r="T6">
        <f>IF(OR(A6="",S6="",S6="Never"),"",NPER(N(E6)/12,N(F6),-N(D6)))</f>
        <v/>
      </c>
    </row>
    <row r="7" ht="18" customHeight="1">
      <c r="A7" s="4" t="inlineStr">
        <is>
          <t>Mastercard</t>
        </is>
      </c>
      <c r="B7" s="4" t="inlineStr">
        <is>
          <t>Citi</t>
        </is>
      </c>
      <c r="C7" s="117" t="n">
        <v>1450</v>
      </c>
      <c r="D7" s="117" t="n">
        <v>1380</v>
      </c>
      <c r="E7" s="50" t="n">
        <v>0.1999</v>
      </c>
      <c r="F7" s="117" t="n">
        <v>40</v>
      </c>
      <c r="G7" s="51" t="n">
        <v>22</v>
      </c>
      <c r="H7" s="52" t="n">
        <v>45292</v>
      </c>
      <c r="I7" s="51" t="n">
        <v>3</v>
      </c>
      <c r="J7" s="118">
        <f>IF(A7="","",SUMIFS('Payment Log'!$C$5:$C$104,'Payment Log'!$B$5:$B$104,A7))</f>
        <v/>
      </c>
      <c r="K7" s="54">
        <f>IF(A7="","",IF(Method="Avalanche",COUNTIF($Q$5:$Q$12,"&lt;"&amp;Q7)+1,IF(Method="Custom",COUNTIF($R$5:$R$12,"&lt;"&amp;R7)+1,COUNTIF($P$5:$P$12,"&lt;"&amp;P7)+1)))</f>
        <v/>
      </c>
      <c r="L7" s="55">
        <f>IF(A7="","",COUNTIF($P$5:$P$12,"&lt;"&amp;P7)+1)</f>
        <v/>
      </c>
      <c r="M7" s="55">
        <f>IF(A7="","",COUNTIF($Q$5:$Q$12,"&lt;"&amp;Q7)+1)</f>
        <v/>
      </c>
      <c r="N7" s="54">
        <f>IF(A7="","",IF(N(D7)&lt;=0.005,"Paid off","Active"))</f>
        <v/>
      </c>
      <c r="O7" s="54">
        <f>IF(A7="","",IF(AND(N7="Active",K7=1),"Yes",""))</f>
        <v/>
      </c>
      <c r="P7" s="56">
        <f>IF(A7="","",IF(N(D7)&lt;=0.005,99+ROW()/100,N(D7)+ROW()/100000))</f>
        <v/>
      </c>
      <c r="Q7" s="56">
        <f>IF(A7="","",IF(N(D7)&lt;=0.005,99+ROW()/100,-N(E7)+ROW()/100000))</f>
        <v/>
      </c>
      <c r="R7" s="56">
        <f>IF(A7="","",IF(N(D7)&lt;=0.005,99+ROW()/100,IF(I7="",50,N(I7))+ROW()/100000))</f>
        <v/>
      </c>
      <c r="S7">
        <f>IF(OR(A7="",N(D7)&lt;=0,N(F7)&lt;=0),"",IF(N(F7)&lt;=N(D7)*N(E7)/12,"Never",N(F7)*NPER(N(E7)/12,N(F7),-N(D7))-N(D7)))</f>
        <v/>
      </c>
      <c r="T7">
        <f>IF(OR(A7="",S7="",S7="Never"),"",NPER(N(E7)/12,N(F7),-N(D7)))</f>
        <v/>
      </c>
    </row>
    <row r="8" ht="18" customHeight="1">
      <c r="A8" s="4" t="inlineStr">
        <is>
          <t>Car loan</t>
        </is>
      </c>
      <c r="B8" s="4" t="inlineStr">
        <is>
          <t>Credit union</t>
        </is>
      </c>
      <c r="C8" s="117" t="n">
        <v>12400</v>
      </c>
      <c r="D8" s="117" t="n">
        <v>8400</v>
      </c>
      <c r="E8" s="50" t="n">
        <v>0.065</v>
      </c>
      <c r="F8" s="117" t="n">
        <v>265</v>
      </c>
      <c r="G8" s="51" t="n">
        <v>3</v>
      </c>
      <c r="H8" s="52" t="n">
        <v>45536</v>
      </c>
      <c r="I8" s="51" t="n">
        <v>4</v>
      </c>
      <c r="J8" s="118">
        <f>IF(A8="","",SUMIFS('Payment Log'!$C$5:$C$104,'Payment Log'!$B$5:$B$104,A8))</f>
        <v/>
      </c>
      <c r="K8" s="54">
        <f>IF(A8="","",IF(Method="Avalanche",COUNTIF($Q$5:$Q$12,"&lt;"&amp;Q8)+1,IF(Method="Custom",COUNTIF($R$5:$R$12,"&lt;"&amp;R8)+1,COUNTIF($P$5:$P$12,"&lt;"&amp;P8)+1)))</f>
        <v/>
      </c>
      <c r="L8" s="55">
        <f>IF(A8="","",COUNTIF($P$5:$P$12,"&lt;"&amp;P8)+1)</f>
        <v/>
      </c>
      <c r="M8" s="55">
        <f>IF(A8="","",COUNTIF($Q$5:$Q$12,"&lt;"&amp;Q8)+1)</f>
        <v/>
      </c>
      <c r="N8" s="54">
        <f>IF(A8="","",IF(N(D8)&lt;=0.005,"Paid off","Active"))</f>
        <v/>
      </c>
      <c r="O8" s="54">
        <f>IF(A8="","",IF(AND(N8="Active",K8=1),"Yes",""))</f>
        <v/>
      </c>
      <c r="P8" s="56">
        <f>IF(A8="","",IF(N(D8)&lt;=0.005,99+ROW()/100,N(D8)+ROW()/100000))</f>
        <v/>
      </c>
      <c r="Q8" s="56">
        <f>IF(A8="","",IF(N(D8)&lt;=0.005,99+ROW()/100,-N(E8)+ROW()/100000))</f>
        <v/>
      </c>
      <c r="R8" s="56">
        <f>IF(A8="","",IF(N(D8)&lt;=0.005,99+ROW()/100,IF(I8="",50,N(I8))+ROW()/100000))</f>
        <v/>
      </c>
      <c r="S8">
        <f>IF(OR(A8="",N(D8)&lt;=0,N(F8)&lt;=0),"",IF(N(F8)&lt;=N(D8)*N(E8)/12,"Never",N(F8)*NPER(N(E8)/12,N(F8),-N(D8))-N(D8)))</f>
        <v/>
      </c>
      <c r="T8">
        <f>IF(OR(A8="",S8="",S8="Never"),"",NPER(N(E8)/12,N(F8),-N(D8)))</f>
        <v/>
      </c>
    </row>
    <row r="9" ht="18" customHeight="1">
      <c r="A9" s="4" t="inlineStr">
        <is>
          <t>Student loan</t>
        </is>
      </c>
      <c r="B9" s="4" t="inlineStr">
        <is>
          <t>Mohela</t>
        </is>
      </c>
      <c r="C9" s="117" t="n">
        <v>15800</v>
      </c>
      <c r="D9" s="117" t="n">
        <v>12600</v>
      </c>
      <c r="E9" s="50" t="n">
        <v>0.055</v>
      </c>
      <c r="F9" s="117" t="n">
        <v>145</v>
      </c>
      <c r="G9" s="51" t="n">
        <v>28</v>
      </c>
      <c r="H9" s="52" t="n">
        <v>43709</v>
      </c>
      <c r="I9" s="51" t="n">
        <v>5</v>
      </c>
      <c r="J9" s="118">
        <f>IF(A9="","",SUMIFS('Payment Log'!$C$5:$C$104,'Payment Log'!$B$5:$B$104,A9))</f>
        <v/>
      </c>
      <c r="K9" s="54">
        <f>IF(A9="","",IF(Method="Avalanche",COUNTIF($Q$5:$Q$12,"&lt;"&amp;Q9)+1,IF(Method="Custom",COUNTIF($R$5:$R$12,"&lt;"&amp;R9)+1,COUNTIF($P$5:$P$12,"&lt;"&amp;P9)+1)))</f>
        <v/>
      </c>
      <c r="L9" s="55">
        <f>IF(A9="","",COUNTIF($P$5:$P$12,"&lt;"&amp;P9)+1)</f>
        <v/>
      </c>
      <c r="M9" s="55">
        <f>IF(A9="","",COUNTIF($Q$5:$Q$12,"&lt;"&amp;Q9)+1)</f>
        <v/>
      </c>
      <c r="N9" s="54">
        <f>IF(A9="","",IF(N(D9)&lt;=0.005,"Paid off","Active"))</f>
        <v/>
      </c>
      <c r="O9" s="54">
        <f>IF(A9="","",IF(AND(N9="Active",K9=1),"Yes",""))</f>
        <v/>
      </c>
      <c r="P9" s="56">
        <f>IF(A9="","",IF(N(D9)&lt;=0.005,99+ROW()/100,N(D9)+ROW()/100000))</f>
        <v/>
      </c>
      <c r="Q9" s="56">
        <f>IF(A9="","",IF(N(D9)&lt;=0.005,99+ROW()/100,-N(E9)+ROW()/100000))</f>
        <v/>
      </c>
      <c r="R9" s="56">
        <f>IF(A9="","",IF(N(D9)&lt;=0.005,99+ROW()/100,IF(I9="",50,N(I9))+ROW()/100000))</f>
        <v/>
      </c>
      <c r="S9">
        <f>IF(OR(A9="",N(D9)&lt;=0,N(F9)&lt;=0),"",IF(N(F9)&lt;=N(D9)*N(E9)/12,"Never",N(F9)*NPER(N(E9)/12,N(F9),-N(D9))-N(D9)))</f>
        <v/>
      </c>
      <c r="T9">
        <f>IF(OR(A9="",S9="",S9="Never"),"",NPER(N(E9)/12,N(F9),-N(D9)))</f>
        <v/>
      </c>
    </row>
    <row r="10" ht="18" customHeight="1">
      <c r="A10" s="4" t="inlineStr">
        <is>
          <t>Personal loan</t>
        </is>
      </c>
      <c r="B10" s="4" t="inlineStr">
        <is>
          <t>SoFi</t>
        </is>
      </c>
      <c r="C10" s="117" t="n">
        <v>2500</v>
      </c>
      <c r="D10" s="117" t="n">
        <v>2100</v>
      </c>
      <c r="E10" s="50" t="n">
        <v>0.119</v>
      </c>
      <c r="F10" s="117" t="n">
        <v>75</v>
      </c>
      <c r="G10" s="51" t="n">
        <v>12</v>
      </c>
      <c r="H10" s="52" t="n">
        <v>45962</v>
      </c>
      <c r="I10" s="51" t="n">
        <v>6</v>
      </c>
      <c r="J10" s="118">
        <f>IF(A10="","",SUMIFS('Payment Log'!$C$5:$C$104,'Payment Log'!$B$5:$B$104,A10))</f>
        <v/>
      </c>
      <c r="K10" s="54">
        <f>IF(A10="","",IF(Method="Avalanche",COUNTIF($Q$5:$Q$12,"&lt;"&amp;Q10)+1,IF(Method="Custom",COUNTIF($R$5:$R$12,"&lt;"&amp;R10)+1,COUNTIF($P$5:$P$12,"&lt;"&amp;P10)+1)))</f>
        <v/>
      </c>
      <c r="L10" s="55">
        <f>IF(A10="","",COUNTIF($P$5:$P$12,"&lt;"&amp;P10)+1)</f>
        <v/>
      </c>
      <c r="M10" s="55">
        <f>IF(A10="","",COUNTIF($Q$5:$Q$12,"&lt;"&amp;Q10)+1)</f>
        <v/>
      </c>
      <c r="N10" s="54">
        <f>IF(A10="","",IF(N(D10)&lt;=0.005,"Paid off","Active"))</f>
        <v/>
      </c>
      <c r="O10" s="54">
        <f>IF(A10="","",IF(AND(N10="Active",K10=1),"Yes",""))</f>
        <v/>
      </c>
      <c r="P10" s="56">
        <f>IF(A10="","",IF(N(D10)&lt;=0.005,99+ROW()/100,N(D10)+ROW()/100000))</f>
        <v/>
      </c>
      <c r="Q10" s="56">
        <f>IF(A10="","",IF(N(D10)&lt;=0.005,99+ROW()/100,-N(E10)+ROW()/100000))</f>
        <v/>
      </c>
      <c r="R10" s="56">
        <f>IF(A10="","",IF(N(D10)&lt;=0.005,99+ROW()/100,IF(I10="",50,N(I10))+ROW()/100000))</f>
        <v/>
      </c>
      <c r="S10">
        <f>IF(OR(A10="",N(D10)&lt;=0,N(F10)&lt;=0),"",IF(N(F10)&lt;=N(D10)*N(E10)/12,"Never",N(F10)*NPER(N(E10)/12,N(F10),-N(D10))-N(D10)))</f>
        <v/>
      </c>
      <c r="T10">
        <f>IF(OR(A10="",S10="",S10="Never"),"",NPER(N(E10)/12,N(F10),-N(D10)))</f>
        <v/>
      </c>
    </row>
    <row r="11" ht="18" customHeight="1">
      <c r="A11" s="4" t="n"/>
      <c r="B11" s="4" t="n"/>
      <c r="C11" s="117" t="n"/>
      <c r="D11" s="117" t="n"/>
      <c r="E11" s="50" t="n"/>
      <c r="F11" s="117" t="n"/>
      <c r="G11" s="51" t="n"/>
      <c r="H11" s="52" t="n"/>
      <c r="I11" s="51" t="n"/>
      <c r="J11" s="118">
        <f>IF(A11="","",SUMIFS('Payment Log'!$C$5:$C$104,'Payment Log'!$B$5:$B$104,A11))</f>
        <v/>
      </c>
      <c r="K11" s="54">
        <f>IF(A11="","",IF(Method="Avalanche",COUNTIF($Q$5:$Q$12,"&lt;"&amp;Q11)+1,IF(Method="Custom",COUNTIF($R$5:$R$12,"&lt;"&amp;R11)+1,COUNTIF($P$5:$P$12,"&lt;"&amp;P11)+1)))</f>
        <v/>
      </c>
      <c r="L11" s="55">
        <f>IF(A11="","",COUNTIF($P$5:$P$12,"&lt;"&amp;P11)+1)</f>
        <v/>
      </c>
      <c r="M11" s="55">
        <f>IF(A11="","",COUNTIF($Q$5:$Q$12,"&lt;"&amp;Q11)+1)</f>
        <v/>
      </c>
      <c r="N11" s="54">
        <f>IF(A11="","",IF(N(D11)&lt;=0.005,"Paid off","Active"))</f>
        <v/>
      </c>
      <c r="O11" s="54">
        <f>IF(A11="","",IF(AND(N11="Active",K11=1),"Yes",""))</f>
        <v/>
      </c>
      <c r="P11" s="56">
        <f>IF(A11="","",IF(N(D11)&lt;=0.005,99+ROW()/100,N(D11)+ROW()/100000))</f>
        <v/>
      </c>
      <c r="Q11" s="56">
        <f>IF(A11="","",IF(N(D11)&lt;=0.005,99+ROW()/100,-N(E11)+ROW()/100000))</f>
        <v/>
      </c>
      <c r="R11" s="56">
        <f>IF(A11="","",IF(N(D11)&lt;=0.005,99+ROW()/100,IF(I11="",50,N(I11))+ROW()/100000))</f>
        <v/>
      </c>
      <c r="S11">
        <f>IF(OR(A11="",N(D11)&lt;=0,N(F11)&lt;=0),"",IF(N(F11)&lt;=N(D11)*N(E11)/12,"Never",N(F11)*NPER(N(E11)/12,N(F11),-N(D11))-N(D11)))</f>
        <v/>
      </c>
      <c r="T11">
        <f>IF(OR(A11="",S11="",S11="Never"),"",NPER(N(E11)/12,N(F11),-N(D11)))</f>
        <v/>
      </c>
    </row>
    <row r="12" ht="18" customHeight="1">
      <c r="A12" s="4" t="n"/>
      <c r="B12" s="4" t="n"/>
      <c r="C12" s="117" t="n"/>
      <c r="D12" s="117" t="n"/>
      <c r="E12" s="50" t="n"/>
      <c r="F12" s="117" t="n"/>
      <c r="G12" s="51" t="n"/>
      <c r="H12" s="52" t="n"/>
      <c r="I12" s="51" t="n"/>
      <c r="J12" s="118">
        <f>IF(A12="","",SUMIFS('Payment Log'!$C$5:$C$104,'Payment Log'!$B$5:$B$104,A12))</f>
        <v/>
      </c>
      <c r="K12" s="54">
        <f>IF(A12="","",IF(Method="Avalanche",COUNTIF($Q$5:$Q$12,"&lt;"&amp;Q12)+1,IF(Method="Custom",COUNTIF($R$5:$R$12,"&lt;"&amp;R12)+1,COUNTIF($P$5:$P$12,"&lt;"&amp;P12)+1)))</f>
        <v/>
      </c>
      <c r="L12" s="55">
        <f>IF(A12="","",COUNTIF($P$5:$P$12,"&lt;"&amp;P12)+1)</f>
        <v/>
      </c>
      <c r="M12" s="55">
        <f>IF(A12="","",COUNTIF($Q$5:$Q$12,"&lt;"&amp;Q12)+1)</f>
        <v/>
      </c>
      <c r="N12" s="54">
        <f>IF(A12="","",IF(N(D12)&lt;=0.005,"Paid off","Active"))</f>
        <v/>
      </c>
      <c r="O12" s="54">
        <f>IF(A12="","",IF(AND(N12="Active",K12=1),"Yes",""))</f>
        <v/>
      </c>
      <c r="P12" s="56">
        <f>IF(A12="","",IF(N(D12)&lt;=0.005,99+ROW()/100,N(D12)+ROW()/100000))</f>
        <v/>
      </c>
      <c r="Q12" s="56">
        <f>IF(A12="","",IF(N(D12)&lt;=0.005,99+ROW()/100,-N(E12)+ROW()/100000))</f>
        <v/>
      </c>
      <c r="R12" s="56">
        <f>IF(A12="","",IF(N(D12)&lt;=0.005,99+ROW()/100,IF(I12="",50,N(I12))+ROW()/100000))</f>
        <v/>
      </c>
      <c r="S12">
        <f>IF(OR(A12="",N(D12)&lt;=0,N(F12)&lt;=0),"",IF(N(F12)&lt;=N(D12)*N(E12)/12,"Never",N(F12)*NPER(N(E12)/12,N(F12),-N(D12))-N(D12)))</f>
        <v/>
      </c>
      <c r="T12">
        <f>IF(OR(A12="",S12="",S12="Never"),"",NPER(N(E12)/12,N(F12),-N(D12)))</f>
        <v/>
      </c>
    </row>
    <row r="13">
      <c r="A13" s="57" t="inlineStr">
        <is>
          <t>TOTAL</t>
        </is>
      </c>
      <c r="B13" s="58" t="n"/>
      <c r="C13" s="119">
        <f>SUM(C5:C12)</f>
        <v/>
      </c>
      <c r="D13" s="119">
        <f>SUM(D5:D12)</f>
        <v/>
      </c>
      <c r="E13" s="58" t="n"/>
      <c r="F13" s="119">
        <f>SUM(F5:F12)</f>
        <v/>
      </c>
      <c r="G13" s="58" t="n"/>
      <c r="H13" s="58" t="n"/>
      <c r="I13" s="58" t="n"/>
      <c r="J13" s="119">
        <f>SUM(J5:J12)</f>
        <v/>
      </c>
      <c r="K13" s="58" t="n"/>
      <c r="L13" s="58" t="n"/>
      <c r="M13" s="58" t="n"/>
      <c r="N13" s="58" t="n"/>
      <c r="O13" s="58" t="n"/>
    </row>
    <row r="15" ht="28" customHeight="1">
      <c r="A15" s="43" t="inlineStr">
        <is>
          <t>Snowball attacks the lowest balance first (quick wins). Avalanche attacks the highest APR first (less interest). Custom uses the Priority column. Add a debt in the next blank blue row (up to 8).</t>
        </is>
      </c>
    </row>
  </sheetData>
  <sheetProtection selectLockedCells="1" selectUnlockedCells="1" sheet="1" objects="0" insertRows="1" insertHyperlinks="1" autoFilter="1" scenarios="0" formatColumns="1" deleteColumns="1" insertColumns="1" pivotTables="1" deleteRows="1" formatCells="1" formatRows="1" sort="1"/>
  <autoFilter ref="A4:O12"/>
  <mergeCells count="4">
    <mergeCell ref="A15:O15"/>
    <mergeCell ref="A1:O1"/>
    <mergeCell ref="A3:O3"/>
    <mergeCell ref="A2:O2"/>
  </mergeCells>
  <conditionalFormatting sqref="A5:O12">
    <cfRule type="expression" priority="1" dxfId="1">
      <formula>$N5="Paid off"</formula>
    </cfRule>
    <cfRule type="expression" priority="2" dxfId="0">
      <formula>$O5="Yes"</formula>
    </cfRule>
  </conditionalFormatting>
  <dataValidations count="3">
    <dataValidation sqref="C5:D12 F5:F12" showDropDown="0" showInputMessage="0" showErrorMessage="0" allowBlank="1" type="decimal" operator="greaterThanOrEqual">
      <formula1>0</formula1>
    </dataValidation>
    <dataValidation sqref="E5:E12" showDropDown="0" showInputMessage="0" showErrorMessage="0" allowBlank="1" type="decimal" operator="between">
      <formula1>0</formula1>
      <formula2>1</formula2>
    </dataValidation>
    <dataValidation sqref="G5:G12" showDropDown="0" showInputMessage="0" showErrorMessage="0" allowBlank="1" type="whole" operator="between">
      <formula1>1</formula1>
      <formula2>28</formula2>
    </dataValidation>
  </dataValidations>
  <printOptions horizontalCentered="1"/>
  <pageMargins left="0.5" right="0.5" top="0.55" bottom="0.55" header="0.3" footer="0.3"/>
  <pageSetup orientation="landscape" paperSize="1" fitToHeight="0" fitToWidth="1"/>
  <headerFooter>
    <oddHeader>&amp;LDebt List</oddHeader>
    <oddFooter>&amp;RPage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3D7EAA"/>
    <outlinePr summaryBelow="1" summaryRight="1"/>
    <pageSetUpPr fitToPage="1"/>
  </sheetPr>
  <dimension ref="A1:Q124"/>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ht="30" customHeight="1">
      <c r="A1" s="1" t="inlineStr">
        <is>
          <t>Payoff Schedule</t>
        </is>
      </c>
    </row>
    <row r="2">
      <c r="A2" s="60">
        <f>"Method: "&amp;Method&amp;"   ·   Extra "&amp;TEXT(ExtraPayment,"$#,##0.00")&amp;"/mo   ·   Starting "&amp;TEXT(PlanStart,"mmm yyyy")&amp;"   ·   Gray rows are calculated. This follows the Order column on Debt List."</f>
        <v/>
      </c>
    </row>
    <row r="3">
      <c r="A3" s="47">
        <f>IF(OR(PayoffDate="",PayoffDate="Beyond 120 mo"),"Not paid off within 120 months — raise Extra payment.","Debt-free "&amp;TEXT(PayoffDate,"mmm yyyy")&amp;"   ·   Interest on this plan "&amp;TEXT(PlanInterest,"$#,##0.00"))</f>
        <v/>
      </c>
    </row>
    <row r="4" ht="28" customHeight="1">
      <c r="A4" s="48" t="inlineStr">
        <is>
          <t>#</t>
        </is>
      </c>
      <c r="B4" s="48" t="inlineStr">
        <is>
          <t>Month</t>
        </is>
      </c>
      <c r="C4" s="48" t="inlineStr">
        <is>
          <t>Target debt</t>
        </is>
      </c>
      <c r="D4" s="48" t="inlineStr">
        <is>
          <t>Paid</t>
        </is>
      </c>
      <c r="E4" s="48" t="inlineStr">
        <is>
          <t>Interest</t>
        </is>
      </c>
      <c r="F4" s="48" t="inlineStr">
        <is>
          <t>Cum. interest</t>
        </is>
      </c>
      <c r="G4" s="48" t="inlineStr">
        <is>
          <t>Remaining</t>
        </is>
      </c>
      <c r="H4" s="48" t="inlineStr">
        <is>
          <t>Debts left</t>
        </is>
      </c>
      <c r="I4" s="61">
        <f>IF(INDEX(DebtNames,1)="","Debt 1",INDEX(DebtNames,1))</f>
        <v/>
      </c>
      <c r="J4" s="61">
        <f>IF(INDEX(DebtNames,2)="","Debt 2",INDEX(DebtNames,2))</f>
        <v/>
      </c>
      <c r="K4" s="61">
        <f>IF(INDEX(DebtNames,3)="","Debt 3",INDEX(DebtNames,3))</f>
        <v/>
      </c>
      <c r="L4" s="61">
        <f>IF(INDEX(DebtNames,4)="","Debt 4",INDEX(DebtNames,4))</f>
        <v/>
      </c>
      <c r="M4" s="61">
        <f>IF(INDEX(DebtNames,5)="","Debt 5",INDEX(DebtNames,5))</f>
        <v/>
      </c>
      <c r="N4" s="61">
        <f>IF(INDEX(DebtNames,6)="","Debt 6",INDEX(DebtNames,6))</f>
        <v/>
      </c>
      <c r="O4" s="61">
        <f>IF(INDEX(DebtNames,7)="","Debt 7",INDEX(DebtNames,7))</f>
        <v/>
      </c>
      <c r="P4" s="61">
        <f>IF(INDEX(DebtNames,8)="","Debt 8",INDEX(DebtNames,8))</f>
        <v/>
      </c>
    </row>
    <row r="5" ht="16" customHeight="1">
      <c r="A5" s="62">
        <f>_Calc!A5</f>
        <v/>
      </c>
      <c r="B5" s="120">
        <f>_Calc!B5</f>
        <v/>
      </c>
      <c r="C5" s="64">
        <f>_Calc!C5</f>
        <v/>
      </c>
      <c r="D5" s="121">
        <f>_Calc!E5</f>
        <v/>
      </c>
      <c r="E5" s="121">
        <f>_Calc!F5</f>
        <v/>
      </c>
      <c r="F5" s="121">
        <f>_Calc!G5</f>
        <v/>
      </c>
      <c r="G5" s="122">
        <f>_Calc!H5</f>
        <v/>
      </c>
      <c r="H5" s="62">
        <f>_Calc!I5</f>
        <v/>
      </c>
      <c r="I5" s="123">
        <f>IF(INDEX(DebtNames,1)="","",_Calc!M5)</f>
        <v/>
      </c>
      <c r="J5" s="123">
        <f>IF(INDEX(DebtNames,2)="","",_Calc!Q5)</f>
        <v/>
      </c>
      <c r="K5" s="123">
        <f>IF(INDEX(DebtNames,3)="","",_Calc!U5)</f>
        <v/>
      </c>
      <c r="L5" s="123">
        <f>IF(INDEX(DebtNames,4)="","",_Calc!Y5)</f>
        <v/>
      </c>
      <c r="M5" s="123">
        <f>IF(INDEX(DebtNames,5)="","",_Calc!AC5)</f>
        <v/>
      </c>
      <c r="N5" s="123">
        <f>IF(INDEX(DebtNames,6)="","",_Calc!AG5)</f>
        <v/>
      </c>
      <c r="O5" s="123">
        <f>IF(INDEX(DebtNames,7)="","",_Calc!AK5)</f>
        <v/>
      </c>
      <c r="P5" s="123">
        <f>IF(INDEX(DebtNames,8)="","",_Calc!AO5)</f>
        <v/>
      </c>
    </row>
    <row r="6" ht="16" customHeight="1">
      <c r="A6" s="62">
        <f>_Calc!A6</f>
        <v/>
      </c>
      <c r="B6" s="120">
        <f>_Calc!B6</f>
        <v/>
      </c>
      <c r="C6" s="64">
        <f>_Calc!C6</f>
        <v/>
      </c>
      <c r="D6" s="121">
        <f>_Calc!E6</f>
        <v/>
      </c>
      <c r="E6" s="121">
        <f>_Calc!F6</f>
        <v/>
      </c>
      <c r="F6" s="121">
        <f>_Calc!G6</f>
        <v/>
      </c>
      <c r="G6" s="122">
        <f>_Calc!H6</f>
        <v/>
      </c>
      <c r="H6" s="62">
        <f>_Calc!I6</f>
        <v/>
      </c>
      <c r="I6" s="123">
        <f>IF(INDEX(DebtNames,1)="","",_Calc!M6)</f>
        <v/>
      </c>
      <c r="J6" s="123">
        <f>IF(INDEX(DebtNames,2)="","",_Calc!Q6)</f>
        <v/>
      </c>
      <c r="K6" s="123">
        <f>IF(INDEX(DebtNames,3)="","",_Calc!U6)</f>
        <v/>
      </c>
      <c r="L6" s="123">
        <f>IF(INDEX(DebtNames,4)="","",_Calc!Y6)</f>
        <v/>
      </c>
      <c r="M6" s="123">
        <f>IF(INDEX(DebtNames,5)="","",_Calc!AC6)</f>
        <v/>
      </c>
      <c r="N6" s="123">
        <f>IF(INDEX(DebtNames,6)="","",_Calc!AG6)</f>
        <v/>
      </c>
      <c r="O6" s="123">
        <f>IF(INDEX(DebtNames,7)="","",_Calc!AK6)</f>
        <v/>
      </c>
      <c r="P6" s="123">
        <f>IF(INDEX(DebtNames,8)="","",_Calc!AO6)</f>
        <v/>
      </c>
    </row>
    <row r="7" ht="16" customHeight="1">
      <c r="A7" s="62">
        <f>_Calc!A7</f>
        <v/>
      </c>
      <c r="B7" s="120">
        <f>_Calc!B7</f>
        <v/>
      </c>
      <c r="C7" s="64">
        <f>_Calc!C7</f>
        <v/>
      </c>
      <c r="D7" s="121">
        <f>_Calc!E7</f>
        <v/>
      </c>
      <c r="E7" s="121">
        <f>_Calc!F7</f>
        <v/>
      </c>
      <c r="F7" s="121">
        <f>_Calc!G7</f>
        <v/>
      </c>
      <c r="G7" s="122">
        <f>_Calc!H7</f>
        <v/>
      </c>
      <c r="H7" s="62">
        <f>_Calc!I7</f>
        <v/>
      </c>
      <c r="I7" s="123">
        <f>IF(INDEX(DebtNames,1)="","",_Calc!M7)</f>
        <v/>
      </c>
      <c r="J7" s="123">
        <f>IF(INDEX(DebtNames,2)="","",_Calc!Q7)</f>
        <v/>
      </c>
      <c r="K7" s="123">
        <f>IF(INDEX(DebtNames,3)="","",_Calc!U7)</f>
        <v/>
      </c>
      <c r="L7" s="123">
        <f>IF(INDEX(DebtNames,4)="","",_Calc!Y7)</f>
        <v/>
      </c>
      <c r="M7" s="123">
        <f>IF(INDEX(DebtNames,5)="","",_Calc!AC7)</f>
        <v/>
      </c>
      <c r="N7" s="123">
        <f>IF(INDEX(DebtNames,6)="","",_Calc!AG7)</f>
        <v/>
      </c>
      <c r="O7" s="123">
        <f>IF(INDEX(DebtNames,7)="","",_Calc!AK7)</f>
        <v/>
      </c>
      <c r="P7" s="123">
        <f>IF(INDEX(DebtNames,8)="","",_Calc!AO7)</f>
        <v/>
      </c>
    </row>
    <row r="8" ht="16" customHeight="1">
      <c r="A8" s="62">
        <f>_Calc!A8</f>
        <v/>
      </c>
      <c r="B8" s="120">
        <f>_Calc!B8</f>
        <v/>
      </c>
      <c r="C8" s="64">
        <f>_Calc!C8</f>
        <v/>
      </c>
      <c r="D8" s="121">
        <f>_Calc!E8</f>
        <v/>
      </c>
      <c r="E8" s="121">
        <f>_Calc!F8</f>
        <v/>
      </c>
      <c r="F8" s="121">
        <f>_Calc!G8</f>
        <v/>
      </c>
      <c r="G8" s="122">
        <f>_Calc!H8</f>
        <v/>
      </c>
      <c r="H8" s="62">
        <f>_Calc!I8</f>
        <v/>
      </c>
      <c r="I8" s="123">
        <f>IF(INDEX(DebtNames,1)="","",_Calc!M8)</f>
        <v/>
      </c>
      <c r="J8" s="123">
        <f>IF(INDEX(DebtNames,2)="","",_Calc!Q8)</f>
        <v/>
      </c>
      <c r="K8" s="123">
        <f>IF(INDEX(DebtNames,3)="","",_Calc!U8)</f>
        <v/>
      </c>
      <c r="L8" s="123">
        <f>IF(INDEX(DebtNames,4)="","",_Calc!Y8)</f>
        <v/>
      </c>
      <c r="M8" s="123">
        <f>IF(INDEX(DebtNames,5)="","",_Calc!AC8)</f>
        <v/>
      </c>
      <c r="N8" s="123">
        <f>IF(INDEX(DebtNames,6)="","",_Calc!AG8)</f>
        <v/>
      </c>
      <c r="O8" s="123">
        <f>IF(INDEX(DebtNames,7)="","",_Calc!AK8)</f>
        <v/>
      </c>
      <c r="P8" s="123">
        <f>IF(INDEX(DebtNames,8)="","",_Calc!AO8)</f>
        <v/>
      </c>
    </row>
    <row r="9" ht="16" customHeight="1">
      <c r="A9" s="62">
        <f>_Calc!A9</f>
        <v/>
      </c>
      <c r="B9" s="120">
        <f>_Calc!B9</f>
        <v/>
      </c>
      <c r="C9" s="64">
        <f>_Calc!C9</f>
        <v/>
      </c>
      <c r="D9" s="121">
        <f>_Calc!E9</f>
        <v/>
      </c>
      <c r="E9" s="121">
        <f>_Calc!F9</f>
        <v/>
      </c>
      <c r="F9" s="121">
        <f>_Calc!G9</f>
        <v/>
      </c>
      <c r="G9" s="122">
        <f>_Calc!H9</f>
        <v/>
      </c>
      <c r="H9" s="62">
        <f>_Calc!I9</f>
        <v/>
      </c>
      <c r="I9" s="123">
        <f>IF(INDEX(DebtNames,1)="","",_Calc!M9)</f>
        <v/>
      </c>
      <c r="J9" s="123">
        <f>IF(INDEX(DebtNames,2)="","",_Calc!Q9)</f>
        <v/>
      </c>
      <c r="K9" s="123">
        <f>IF(INDEX(DebtNames,3)="","",_Calc!U9)</f>
        <v/>
      </c>
      <c r="L9" s="123">
        <f>IF(INDEX(DebtNames,4)="","",_Calc!Y9)</f>
        <v/>
      </c>
      <c r="M9" s="123">
        <f>IF(INDEX(DebtNames,5)="","",_Calc!AC9)</f>
        <v/>
      </c>
      <c r="N9" s="123">
        <f>IF(INDEX(DebtNames,6)="","",_Calc!AG9)</f>
        <v/>
      </c>
      <c r="O9" s="123">
        <f>IF(INDEX(DebtNames,7)="","",_Calc!AK9)</f>
        <v/>
      </c>
      <c r="P9" s="123">
        <f>IF(INDEX(DebtNames,8)="","",_Calc!AO9)</f>
        <v/>
      </c>
    </row>
    <row r="10" ht="16" customHeight="1">
      <c r="A10" s="62">
        <f>_Calc!A10</f>
        <v/>
      </c>
      <c r="B10" s="120">
        <f>_Calc!B10</f>
        <v/>
      </c>
      <c r="C10" s="64">
        <f>_Calc!C10</f>
        <v/>
      </c>
      <c r="D10" s="121">
        <f>_Calc!E10</f>
        <v/>
      </c>
      <c r="E10" s="121">
        <f>_Calc!F10</f>
        <v/>
      </c>
      <c r="F10" s="121">
        <f>_Calc!G10</f>
        <v/>
      </c>
      <c r="G10" s="122">
        <f>_Calc!H10</f>
        <v/>
      </c>
      <c r="H10" s="62">
        <f>_Calc!I10</f>
        <v/>
      </c>
      <c r="I10" s="123">
        <f>IF(INDEX(DebtNames,1)="","",_Calc!M10)</f>
        <v/>
      </c>
      <c r="J10" s="123">
        <f>IF(INDEX(DebtNames,2)="","",_Calc!Q10)</f>
        <v/>
      </c>
      <c r="K10" s="123">
        <f>IF(INDEX(DebtNames,3)="","",_Calc!U10)</f>
        <v/>
      </c>
      <c r="L10" s="123">
        <f>IF(INDEX(DebtNames,4)="","",_Calc!Y10)</f>
        <v/>
      </c>
      <c r="M10" s="123">
        <f>IF(INDEX(DebtNames,5)="","",_Calc!AC10)</f>
        <v/>
      </c>
      <c r="N10" s="123">
        <f>IF(INDEX(DebtNames,6)="","",_Calc!AG10)</f>
        <v/>
      </c>
      <c r="O10" s="123">
        <f>IF(INDEX(DebtNames,7)="","",_Calc!AK10)</f>
        <v/>
      </c>
      <c r="P10" s="123">
        <f>IF(INDEX(DebtNames,8)="","",_Calc!AO10)</f>
        <v/>
      </c>
    </row>
    <row r="11" ht="16" customHeight="1">
      <c r="A11" s="62">
        <f>_Calc!A11</f>
        <v/>
      </c>
      <c r="B11" s="120">
        <f>_Calc!B11</f>
        <v/>
      </c>
      <c r="C11" s="64">
        <f>_Calc!C11</f>
        <v/>
      </c>
      <c r="D11" s="121">
        <f>_Calc!E11</f>
        <v/>
      </c>
      <c r="E11" s="121">
        <f>_Calc!F11</f>
        <v/>
      </c>
      <c r="F11" s="121">
        <f>_Calc!G11</f>
        <v/>
      </c>
      <c r="G11" s="122">
        <f>_Calc!H11</f>
        <v/>
      </c>
      <c r="H11" s="62">
        <f>_Calc!I11</f>
        <v/>
      </c>
      <c r="I11" s="123">
        <f>IF(INDEX(DebtNames,1)="","",_Calc!M11)</f>
        <v/>
      </c>
      <c r="J11" s="123">
        <f>IF(INDEX(DebtNames,2)="","",_Calc!Q11)</f>
        <v/>
      </c>
      <c r="K11" s="123">
        <f>IF(INDEX(DebtNames,3)="","",_Calc!U11)</f>
        <v/>
      </c>
      <c r="L11" s="123">
        <f>IF(INDEX(DebtNames,4)="","",_Calc!Y11)</f>
        <v/>
      </c>
      <c r="M11" s="123">
        <f>IF(INDEX(DebtNames,5)="","",_Calc!AC11)</f>
        <v/>
      </c>
      <c r="N11" s="123">
        <f>IF(INDEX(DebtNames,6)="","",_Calc!AG11)</f>
        <v/>
      </c>
      <c r="O11" s="123">
        <f>IF(INDEX(DebtNames,7)="","",_Calc!AK11)</f>
        <v/>
      </c>
      <c r="P11" s="123">
        <f>IF(INDEX(DebtNames,8)="","",_Calc!AO11)</f>
        <v/>
      </c>
    </row>
    <row r="12" ht="16" customHeight="1">
      <c r="A12" s="62">
        <f>_Calc!A12</f>
        <v/>
      </c>
      <c r="B12" s="120">
        <f>_Calc!B12</f>
        <v/>
      </c>
      <c r="C12" s="64">
        <f>_Calc!C12</f>
        <v/>
      </c>
      <c r="D12" s="121">
        <f>_Calc!E12</f>
        <v/>
      </c>
      <c r="E12" s="121">
        <f>_Calc!F12</f>
        <v/>
      </c>
      <c r="F12" s="121">
        <f>_Calc!G12</f>
        <v/>
      </c>
      <c r="G12" s="122">
        <f>_Calc!H12</f>
        <v/>
      </c>
      <c r="H12" s="62">
        <f>_Calc!I12</f>
        <v/>
      </c>
      <c r="I12" s="123">
        <f>IF(INDEX(DebtNames,1)="","",_Calc!M12)</f>
        <v/>
      </c>
      <c r="J12" s="123">
        <f>IF(INDEX(DebtNames,2)="","",_Calc!Q12)</f>
        <v/>
      </c>
      <c r="K12" s="123">
        <f>IF(INDEX(DebtNames,3)="","",_Calc!U12)</f>
        <v/>
      </c>
      <c r="L12" s="123">
        <f>IF(INDEX(DebtNames,4)="","",_Calc!Y12)</f>
        <v/>
      </c>
      <c r="M12" s="123">
        <f>IF(INDEX(DebtNames,5)="","",_Calc!AC12)</f>
        <v/>
      </c>
      <c r="N12" s="123">
        <f>IF(INDEX(DebtNames,6)="","",_Calc!AG12)</f>
        <v/>
      </c>
      <c r="O12" s="123">
        <f>IF(INDEX(DebtNames,7)="","",_Calc!AK12)</f>
        <v/>
      </c>
      <c r="P12" s="123">
        <f>IF(INDEX(DebtNames,8)="","",_Calc!AO12)</f>
        <v/>
      </c>
    </row>
    <row r="13" ht="16" customHeight="1">
      <c r="A13" s="62">
        <f>_Calc!A13</f>
        <v/>
      </c>
      <c r="B13" s="120">
        <f>_Calc!B13</f>
        <v/>
      </c>
      <c r="C13" s="64">
        <f>_Calc!C13</f>
        <v/>
      </c>
      <c r="D13" s="121">
        <f>_Calc!E13</f>
        <v/>
      </c>
      <c r="E13" s="121">
        <f>_Calc!F13</f>
        <v/>
      </c>
      <c r="F13" s="121">
        <f>_Calc!G13</f>
        <v/>
      </c>
      <c r="G13" s="122">
        <f>_Calc!H13</f>
        <v/>
      </c>
      <c r="H13" s="62">
        <f>_Calc!I13</f>
        <v/>
      </c>
      <c r="I13" s="123">
        <f>IF(INDEX(DebtNames,1)="","",_Calc!M13)</f>
        <v/>
      </c>
      <c r="J13" s="123">
        <f>IF(INDEX(DebtNames,2)="","",_Calc!Q13)</f>
        <v/>
      </c>
      <c r="K13" s="123">
        <f>IF(INDEX(DebtNames,3)="","",_Calc!U13)</f>
        <v/>
      </c>
      <c r="L13" s="123">
        <f>IF(INDEX(DebtNames,4)="","",_Calc!Y13)</f>
        <v/>
      </c>
      <c r="M13" s="123">
        <f>IF(INDEX(DebtNames,5)="","",_Calc!AC13)</f>
        <v/>
      </c>
      <c r="N13" s="123">
        <f>IF(INDEX(DebtNames,6)="","",_Calc!AG13)</f>
        <v/>
      </c>
      <c r="O13" s="123">
        <f>IF(INDEX(DebtNames,7)="","",_Calc!AK13)</f>
        <v/>
      </c>
      <c r="P13" s="123">
        <f>IF(INDEX(DebtNames,8)="","",_Calc!AO13)</f>
        <v/>
      </c>
    </row>
    <row r="14" ht="16" customHeight="1">
      <c r="A14" s="62">
        <f>_Calc!A14</f>
        <v/>
      </c>
      <c r="B14" s="120">
        <f>_Calc!B14</f>
        <v/>
      </c>
      <c r="C14" s="64">
        <f>_Calc!C14</f>
        <v/>
      </c>
      <c r="D14" s="121">
        <f>_Calc!E14</f>
        <v/>
      </c>
      <c r="E14" s="121">
        <f>_Calc!F14</f>
        <v/>
      </c>
      <c r="F14" s="121">
        <f>_Calc!G14</f>
        <v/>
      </c>
      <c r="G14" s="122">
        <f>_Calc!H14</f>
        <v/>
      </c>
      <c r="H14" s="62">
        <f>_Calc!I14</f>
        <v/>
      </c>
      <c r="I14" s="123">
        <f>IF(INDEX(DebtNames,1)="","",_Calc!M14)</f>
        <v/>
      </c>
      <c r="J14" s="123">
        <f>IF(INDEX(DebtNames,2)="","",_Calc!Q14)</f>
        <v/>
      </c>
      <c r="K14" s="123">
        <f>IF(INDEX(DebtNames,3)="","",_Calc!U14)</f>
        <v/>
      </c>
      <c r="L14" s="123">
        <f>IF(INDEX(DebtNames,4)="","",_Calc!Y14)</f>
        <v/>
      </c>
      <c r="M14" s="123">
        <f>IF(INDEX(DebtNames,5)="","",_Calc!AC14)</f>
        <v/>
      </c>
      <c r="N14" s="123">
        <f>IF(INDEX(DebtNames,6)="","",_Calc!AG14)</f>
        <v/>
      </c>
      <c r="O14" s="123">
        <f>IF(INDEX(DebtNames,7)="","",_Calc!AK14)</f>
        <v/>
      </c>
      <c r="P14" s="123">
        <f>IF(INDEX(DebtNames,8)="","",_Calc!AO14)</f>
        <v/>
      </c>
    </row>
    <row r="15" ht="16" customHeight="1">
      <c r="A15" s="62">
        <f>_Calc!A15</f>
        <v/>
      </c>
      <c r="B15" s="120">
        <f>_Calc!B15</f>
        <v/>
      </c>
      <c r="C15" s="64">
        <f>_Calc!C15</f>
        <v/>
      </c>
      <c r="D15" s="121">
        <f>_Calc!E15</f>
        <v/>
      </c>
      <c r="E15" s="121">
        <f>_Calc!F15</f>
        <v/>
      </c>
      <c r="F15" s="121">
        <f>_Calc!G15</f>
        <v/>
      </c>
      <c r="G15" s="122">
        <f>_Calc!H15</f>
        <v/>
      </c>
      <c r="H15" s="62">
        <f>_Calc!I15</f>
        <v/>
      </c>
      <c r="I15" s="123">
        <f>IF(INDEX(DebtNames,1)="","",_Calc!M15)</f>
        <v/>
      </c>
      <c r="J15" s="123">
        <f>IF(INDEX(DebtNames,2)="","",_Calc!Q15)</f>
        <v/>
      </c>
      <c r="K15" s="123">
        <f>IF(INDEX(DebtNames,3)="","",_Calc!U15)</f>
        <v/>
      </c>
      <c r="L15" s="123">
        <f>IF(INDEX(DebtNames,4)="","",_Calc!Y15)</f>
        <v/>
      </c>
      <c r="M15" s="123">
        <f>IF(INDEX(DebtNames,5)="","",_Calc!AC15)</f>
        <v/>
      </c>
      <c r="N15" s="123">
        <f>IF(INDEX(DebtNames,6)="","",_Calc!AG15)</f>
        <v/>
      </c>
      <c r="O15" s="123">
        <f>IF(INDEX(DebtNames,7)="","",_Calc!AK15)</f>
        <v/>
      </c>
      <c r="P15" s="123">
        <f>IF(INDEX(DebtNames,8)="","",_Calc!AO15)</f>
        <v/>
      </c>
    </row>
    <row r="16" ht="16" customHeight="1">
      <c r="A16" s="62">
        <f>_Calc!A16</f>
        <v/>
      </c>
      <c r="B16" s="120">
        <f>_Calc!B16</f>
        <v/>
      </c>
      <c r="C16" s="64">
        <f>_Calc!C16</f>
        <v/>
      </c>
      <c r="D16" s="121">
        <f>_Calc!E16</f>
        <v/>
      </c>
      <c r="E16" s="121">
        <f>_Calc!F16</f>
        <v/>
      </c>
      <c r="F16" s="121">
        <f>_Calc!G16</f>
        <v/>
      </c>
      <c r="G16" s="122">
        <f>_Calc!H16</f>
        <v/>
      </c>
      <c r="H16" s="62">
        <f>_Calc!I16</f>
        <v/>
      </c>
      <c r="I16" s="123">
        <f>IF(INDEX(DebtNames,1)="","",_Calc!M16)</f>
        <v/>
      </c>
      <c r="J16" s="123">
        <f>IF(INDEX(DebtNames,2)="","",_Calc!Q16)</f>
        <v/>
      </c>
      <c r="K16" s="123">
        <f>IF(INDEX(DebtNames,3)="","",_Calc!U16)</f>
        <v/>
      </c>
      <c r="L16" s="123">
        <f>IF(INDEX(DebtNames,4)="","",_Calc!Y16)</f>
        <v/>
      </c>
      <c r="M16" s="123">
        <f>IF(INDEX(DebtNames,5)="","",_Calc!AC16)</f>
        <v/>
      </c>
      <c r="N16" s="123">
        <f>IF(INDEX(DebtNames,6)="","",_Calc!AG16)</f>
        <v/>
      </c>
      <c r="O16" s="123">
        <f>IF(INDEX(DebtNames,7)="","",_Calc!AK16)</f>
        <v/>
      </c>
      <c r="P16" s="123">
        <f>IF(INDEX(DebtNames,8)="","",_Calc!AO16)</f>
        <v/>
      </c>
    </row>
    <row r="17" ht="16" customHeight="1">
      <c r="A17" s="62">
        <f>_Calc!A17</f>
        <v/>
      </c>
      <c r="B17" s="120">
        <f>_Calc!B17</f>
        <v/>
      </c>
      <c r="C17" s="64">
        <f>_Calc!C17</f>
        <v/>
      </c>
      <c r="D17" s="121">
        <f>_Calc!E17</f>
        <v/>
      </c>
      <c r="E17" s="121">
        <f>_Calc!F17</f>
        <v/>
      </c>
      <c r="F17" s="121">
        <f>_Calc!G17</f>
        <v/>
      </c>
      <c r="G17" s="122">
        <f>_Calc!H17</f>
        <v/>
      </c>
      <c r="H17" s="62">
        <f>_Calc!I17</f>
        <v/>
      </c>
      <c r="I17" s="123">
        <f>IF(INDEX(DebtNames,1)="","",_Calc!M17)</f>
        <v/>
      </c>
      <c r="J17" s="123">
        <f>IF(INDEX(DebtNames,2)="","",_Calc!Q17)</f>
        <v/>
      </c>
      <c r="K17" s="123">
        <f>IF(INDEX(DebtNames,3)="","",_Calc!U17)</f>
        <v/>
      </c>
      <c r="L17" s="123">
        <f>IF(INDEX(DebtNames,4)="","",_Calc!Y17)</f>
        <v/>
      </c>
      <c r="M17" s="123">
        <f>IF(INDEX(DebtNames,5)="","",_Calc!AC17)</f>
        <v/>
      </c>
      <c r="N17" s="123">
        <f>IF(INDEX(DebtNames,6)="","",_Calc!AG17)</f>
        <v/>
      </c>
      <c r="O17" s="123">
        <f>IF(INDEX(DebtNames,7)="","",_Calc!AK17)</f>
        <v/>
      </c>
      <c r="P17" s="123">
        <f>IF(INDEX(DebtNames,8)="","",_Calc!AO17)</f>
        <v/>
      </c>
    </row>
    <row r="18" ht="16" customHeight="1">
      <c r="A18" s="62">
        <f>_Calc!A18</f>
        <v/>
      </c>
      <c r="B18" s="120">
        <f>_Calc!B18</f>
        <v/>
      </c>
      <c r="C18" s="64">
        <f>_Calc!C18</f>
        <v/>
      </c>
      <c r="D18" s="121">
        <f>_Calc!E18</f>
        <v/>
      </c>
      <c r="E18" s="121">
        <f>_Calc!F18</f>
        <v/>
      </c>
      <c r="F18" s="121">
        <f>_Calc!G18</f>
        <v/>
      </c>
      <c r="G18" s="122">
        <f>_Calc!H18</f>
        <v/>
      </c>
      <c r="H18" s="62">
        <f>_Calc!I18</f>
        <v/>
      </c>
      <c r="I18" s="123">
        <f>IF(INDEX(DebtNames,1)="","",_Calc!M18)</f>
        <v/>
      </c>
      <c r="J18" s="123">
        <f>IF(INDEX(DebtNames,2)="","",_Calc!Q18)</f>
        <v/>
      </c>
      <c r="K18" s="123">
        <f>IF(INDEX(DebtNames,3)="","",_Calc!U18)</f>
        <v/>
      </c>
      <c r="L18" s="123">
        <f>IF(INDEX(DebtNames,4)="","",_Calc!Y18)</f>
        <v/>
      </c>
      <c r="M18" s="123">
        <f>IF(INDEX(DebtNames,5)="","",_Calc!AC18)</f>
        <v/>
      </c>
      <c r="N18" s="123">
        <f>IF(INDEX(DebtNames,6)="","",_Calc!AG18)</f>
        <v/>
      </c>
      <c r="O18" s="123">
        <f>IF(INDEX(DebtNames,7)="","",_Calc!AK18)</f>
        <v/>
      </c>
      <c r="P18" s="123">
        <f>IF(INDEX(DebtNames,8)="","",_Calc!AO18)</f>
        <v/>
      </c>
    </row>
    <row r="19" ht="16" customHeight="1">
      <c r="A19" s="62">
        <f>_Calc!A19</f>
        <v/>
      </c>
      <c r="B19" s="120">
        <f>_Calc!B19</f>
        <v/>
      </c>
      <c r="C19" s="64">
        <f>_Calc!C19</f>
        <v/>
      </c>
      <c r="D19" s="121">
        <f>_Calc!E19</f>
        <v/>
      </c>
      <c r="E19" s="121">
        <f>_Calc!F19</f>
        <v/>
      </c>
      <c r="F19" s="121">
        <f>_Calc!G19</f>
        <v/>
      </c>
      <c r="G19" s="122">
        <f>_Calc!H19</f>
        <v/>
      </c>
      <c r="H19" s="62">
        <f>_Calc!I19</f>
        <v/>
      </c>
      <c r="I19" s="123">
        <f>IF(INDEX(DebtNames,1)="","",_Calc!M19)</f>
        <v/>
      </c>
      <c r="J19" s="123">
        <f>IF(INDEX(DebtNames,2)="","",_Calc!Q19)</f>
        <v/>
      </c>
      <c r="K19" s="123">
        <f>IF(INDEX(DebtNames,3)="","",_Calc!U19)</f>
        <v/>
      </c>
      <c r="L19" s="123">
        <f>IF(INDEX(DebtNames,4)="","",_Calc!Y19)</f>
        <v/>
      </c>
      <c r="M19" s="123">
        <f>IF(INDEX(DebtNames,5)="","",_Calc!AC19)</f>
        <v/>
      </c>
      <c r="N19" s="123">
        <f>IF(INDEX(DebtNames,6)="","",_Calc!AG19)</f>
        <v/>
      </c>
      <c r="O19" s="123">
        <f>IF(INDEX(DebtNames,7)="","",_Calc!AK19)</f>
        <v/>
      </c>
      <c r="P19" s="123">
        <f>IF(INDEX(DebtNames,8)="","",_Calc!AO19)</f>
        <v/>
      </c>
    </row>
    <row r="20" ht="16" customHeight="1">
      <c r="A20" s="62">
        <f>_Calc!A20</f>
        <v/>
      </c>
      <c r="B20" s="120">
        <f>_Calc!B20</f>
        <v/>
      </c>
      <c r="C20" s="64">
        <f>_Calc!C20</f>
        <v/>
      </c>
      <c r="D20" s="121">
        <f>_Calc!E20</f>
        <v/>
      </c>
      <c r="E20" s="121">
        <f>_Calc!F20</f>
        <v/>
      </c>
      <c r="F20" s="121">
        <f>_Calc!G20</f>
        <v/>
      </c>
      <c r="G20" s="122">
        <f>_Calc!H20</f>
        <v/>
      </c>
      <c r="H20" s="62">
        <f>_Calc!I20</f>
        <v/>
      </c>
      <c r="I20" s="123">
        <f>IF(INDEX(DebtNames,1)="","",_Calc!M20)</f>
        <v/>
      </c>
      <c r="J20" s="123">
        <f>IF(INDEX(DebtNames,2)="","",_Calc!Q20)</f>
        <v/>
      </c>
      <c r="K20" s="123">
        <f>IF(INDEX(DebtNames,3)="","",_Calc!U20)</f>
        <v/>
      </c>
      <c r="L20" s="123">
        <f>IF(INDEX(DebtNames,4)="","",_Calc!Y20)</f>
        <v/>
      </c>
      <c r="M20" s="123">
        <f>IF(INDEX(DebtNames,5)="","",_Calc!AC20)</f>
        <v/>
      </c>
      <c r="N20" s="123">
        <f>IF(INDEX(DebtNames,6)="","",_Calc!AG20)</f>
        <v/>
      </c>
      <c r="O20" s="123">
        <f>IF(INDEX(DebtNames,7)="","",_Calc!AK20)</f>
        <v/>
      </c>
      <c r="P20" s="123">
        <f>IF(INDEX(DebtNames,8)="","",_Calc!AO20)</f>
        <v/>
      </c>
    </row>
    <row r="21" ht="16" customHeight="1">
      <c r="A21" s="62">
        <f>_Calc!A21</f>
        <v/>
      </c>
      <c r="B21" s="120">
        <f>_Calc!B21</f>
        <v/>
      </c>
      <c r="C21" s="64">
        <f>_Calc!C21</f>
        <v/>
      </c>
      <c r="D21" s="121">
        <f>_Calc!E21</f>
        <v/>
      </c>
      <c r="E21" s="121">
        <f>_Calc!F21</f>
        <v/>
      </c>
      <c r="F21" s="121">
        <f>_Calc!G21</f>
        <v/>
      </c>
      <c r="G21" s="122">
        <f>_Calc!H21</f>
        <v/>
      </c>
      <c r="H21" s="62">
        <f>_Calc!I21</f>
        <v/>
      </c>
      <c r="I21" s="123">
        <f>IF(INDEX(DebtNames,1)="","",_Calc!M21)</f>
        <v/>
      </c>
      <c r="J21" s="123">
        <f>IF(INDEX(DebtNames,2)="","",_Calc!Q21)</f>
        <v/>
      </c>
      <c r="K21" s="123">
        <f>IF(INDEX(DebtNames,3)="","",_Calc!U21)</f>
        <v/>
      </c>
      <c r="L21" s="123">
        <f>IF(INDEX(DebtNames,4)="","",_Calc!Y21)</f>
        <v/>
      </c>
      <c r="M21" s="123">
        <f>IF(INDEX(DebtNames,5)="","",_Calc!AC21)</f>
        <v/>
      </c>
      <c r="N21" s="123">
        <f>IF(INDEX(DebtNames,6)="","",_Calc!AG21)</f>
        <v/>
      </c>
      <c r="O21" s="123">
        <f>IF(INDEX(DebtNames,7)="","",_Calc!AK21)</f>
        <v/>
      </c>
      <c r="P21" s="123">
        <f>IF(INDEX(DebtNames,8)="","",_Calc!AO21)</f>
        <v/>
      </c>
    </row>
    <row r="22" ht="16" customHeight="1">
      <c r="A22" s="62">
        <f>_Calc!A22</f>
        <v/>
      </c>
      <c r="B22" s="120">
        <f>_Calc!B22</f>
        <v/>
      </c>
      <c r="C22" s="64">
        <f>_Calc!C22</f>
        <v/>
      </c>
      <c r="D22" s="121">
        <f>_Calc!E22</f>
        <v/>
      </c>
      <c r="E22" s="121">
        <f>_Calc!F22</f>
        <v/>
      </c>
      <c r="F22" s="121">
        <f>_Calc!G22</f>
        <v/>
      </c>
      <c r="G22" s="122">
        <f>_Calc!H22</f>
        <v/>
      </c>
      <c r="H22" s="62">
        <f>_Calc!I22</f>
        <v/>
      </c>
      <c r="I22" s="123">
        <f>IF(INDEX(DebtNames,1)="","",_Calc!M22)</f>
        <v/>
      </c>
      <c r="J22" s="123">
        <f>IF(INDEX(DebtNames,2)="","",_Calc!Q22)</f>
        <v/>
      </c>
      <c r="K22" s="123">
        <f>IF(INDEX(DebtNames,3)="","",_Calc!U22)</f>
        <v/>
      </c>
      <c r="L22" s="123">
        <f>IF(INDEX(DebtNames,4)="","",_Calc!Y22)</f>
        <v/>
      </c>
      <c r="M22" s="123">
        <f>IF(INDEX(DebtNames,5)="","",_Calc!AC22)</f>
        <v/>
      </c>
      <c r="N22" s="123">
        <f>IF(INDEX(DebtNames,6)="","",_Calc!AG22)</f>
        <v/>
      </c>
      <c r="O22" s="123">
        <f>IF(INDEX(DebtNames,7)="","",_Calc!AK22)</f>
        <v/>
      </c>
      <c r="P22" s="123">
        <f>IF(INDEX(DebtNames,8)="","",_Calc!AO22)</f>
        <v/>
      </c>
    </row>
    <row r="23" ht="16" customHeight="1">
      <c r="A23" s="62">
        <f>_Calc!A23</f>
        <v/>
      </c>
      <c r="B23" s="120">
        <f>_Calc!B23</f>
        <v/>
      </c>
      <c r="C23" s="64">
        <f>_Calc!C23</f>
        <v/>
      </c>
      <c r="D23" s="121">
        <f>_Calc!E23</f>
        <v/>
      </c>
      <c r="E23" s="121">
        <f>_Calc!F23</f>
        <v/>
      </c>
      <c r="F23" s="121">
        <f>_Calc!G23</f>
        <v/>
      </c>
      <c r="G23" s="122">
        <f>_Calc!H23</f>
        <v/>
      </c>
      <c r="H23" s="62">
        <f>_Calc!I23</f>
        <v/>
      </c>
      <c r="I23" s="123">
        <f>IF(INDEX(DebtNames,1)="","",_Calc!M23)</f>
        <v/>
      </c>
      <c r="J23" s="123">
        <f>IF(INDEX(DebtNames,2)="","",_Calc!Q23)</f>
        <v/>
      </c>
      <c r="K23" s="123">
        <f>IF(INDEX(DebtNames,3)="","",_Calc!U23)</f>
        <v/>
      </c>
      <c r="L23" s="123">
        <f>IF(INDEX(DebtNames,4)="","",_Calc!Y23)</f>
        <v/>
      </c>
      <c r="M23" s="123">
        <f>IF(INDEX(DebtNames,5)="","",_Calc!AC23)</f>
        <v/>
      </c>
      <c r="N23" s="123">
        <f>IF(INDEX(DebtNames,6)="","",_Calc!AG23)</f>
        <v/>
      </c>
      <c r="O23" s="123">
        <f>IF(INDEX(DebtNames,7)="","",_Calc!AK23)</f>
        <v/>
      </c>
      <c r="P23" s="123">
        <f>IF(INDEX(DebtNames,8)="","",_Calc!AO23)</f>
        <v/>
      </c>
    </row>
    <row r="24" ht="16" customHeight="1">
      <c r="A24" s="62">
        <f>_Calc!A24</f>
        <v/>
      </c>
      <c r="B24" s="120">
        <f>_Calc!B24</f>
        <v/>
      </c>
      <c r="C24" s="64">
        <f>_Calc!C24</f>
        <v/>
      </c>
      <c r="D24" s="121">
        <f>_Calc!E24</f>
        <v/>
      </c>
      <c r="E24" s="121">
        <f>_Calc!F24</f>
        <v/>
      </c>
      <c r="F24" s="121">
        <f>_Calc!G24</f>
        <v/>
      </c>
      <c r="G24" s="122">
        <f>_Calc!H24</f>
        <v/>
      </c>
      <c r="H24" s="62">
        <f>_Calc!I24</f>
        <v/>
      </c>
      <c r="I24" s="123">
        <f>IF(INDEX(DebtNames,1)="","",_Calc!M24)</f>
        <v/>
      </c>
      <c r="J24" s="123">
        <f>IF(INDEX(DebtNames,2)="","",_Calc!Q24)</f>
        <v/>
      </c>
      <c r="K24" s="123">
        <f>IF(INDEX(DebtNames,3)="","",_Calc!U24)</f>
        <v/>
      </c>
      <c r="L24" s="123">
        <f>IF(INDEX(DebtNames,4)="","",_Calc!Y24)</f>
        <v/>
      </c>
      <c r="M24" s="123">
        <f>IF(INDEX(DebtNames,5)="","",_Calc!AC24)</f>
        <v/>
      </c>
      <c r="N24" s="123">
        <f>IF(INDEX(DebtNames,6)="","",_Calc!AG24)</f>
        <v/>
      </c>
      <c r="O24" s="123">
        <f>IF(INDEX(DebtNames,7)="","",_Calc!AK24)</f>
        <v/>
      </c>
      <c r="P24" s="123">
        <f>IF(INDEX(DebtNames,8)="","",_Calc!AO24)</f>
        <v/>
      </c>
    </row>
    <row r="25" ht="16" customHeight="1">
      <c r="A25" s="62">
        <f>_Calc!A25</f>
        <v/>
      </c>
      <c r="B25" s="120">
        <f>_Calc!B25</f>
        <v/>
      </c>
      <c r="C25" s="64">
        <f>_Calc!C25</f>
        <v/>
      </c>
      <c r="D25" s="121">
        <f>_Calc!E25</f>
        <v/>
      </c>
      <c r="E25" s="121">
        <f>_Calc!F25</f>
        <v/>
      </c>
      <c r="F25" s="121">
        <f>_Calc!G25</f>
        <v/>
      </c>
      <c r="G25" s="122">
        <f>_Calc!H25</f>
        <v/>
      </c>
      <c r="H25" s="62">
        <f>_Calc!I25</f>
        <v/>
      </c>
      <c r="I25" s="123">
        <f>IF(INDEX(DebtNames,1)="","",_Calc!M25)</f>
        <v/>
      </c>
      <c r="J25" s="123">
        <f>IF(INDEX(DebtNames,2)="","",_Calc!Q25)</f>
        <v/>
      </c>
      <c r="K25" s="123">
        <f>IF(INDEX(DebtNames,3)="","",_Calc!U25)</f>
        <v/>
      </c>
      <c r="L25" s="123">
        <f>IF(INDEX(DebtNames,4)="","",_Calc!Y25)</f>
        <v/>
      </c>
      <c r="M25" s="123">
        <f>IF(INDEX(DebtNames,5)="","",_Calc!AC25)</f>
        <v/>
      </c>
      <c r="N25" s="123">
        <f>IF(INDEX(DebtNames,6)="","",_Calc!AG25)</f>
        <v/>
      </c>
      <c r="O25" s="123">
        <f>IF(INDEX(DebtNames,7)="","",_Calc!AK25)</f>
        <v/>
      </c>
      <c r="P25" s="123">
        <f>IF(INDEX(DebtNames,8)="","",_Calc!AO25)</f>
        <v/>
      </c>
    </row>
    <row r="26" ht="16" customHeight="1">
      <c r="A26" s="62">
        <f>_Calc!A26</f>
        <v/>
      </c>
      <c r="B26" s="120">
        <f>_Calc!B26</f>
        <v/>
      </c>
      <c r="C26" s="64">
        <f>_Calc!C26</f>
        <v/>
      </c>
      <c r="D26" s="121">
        <f>_Calc!E26</f>
        <v/>
      </c>
      <c r="E26" s="121">
        <f>_Calc!F26</f>
        <v/>
      </c>
      <c r="F26" s="121">
        <f>_Calc!G26</f>
        <v/>
      </c>
      <c r="G26" s="122">
        <f>_Calc!H26</f>
        <v/>
      </c>
      <c r="H26" s="62">
        <f>_Calc!I26</f>
        <v/>
      </c>
      <c r="I26" s="123">
        <f>IF(INDEX(DebtNames,1)="","",_Calc!M26)</f>
        <v/>
      </c>
      <c r="J26" s="123">
        <f>IF(INDEX(DebtNames,2)="","",_Calc!Q26)</f>
        <v/>
      </c>
      <c r="K26" s="123">
        <f>IF(INDEX(DebtNames,3)="","",_Calc!U26)</f>
        <v/>
      </c>
      <c r="L26" s="123">
        <f>IF(INDEX(DebtNames,4)="","",_Calc!Y26)</f>
        <v/>
      </c>
      <c r="M26" s="123">
        <f>IF(INDEX(DebtNames,5)="","",_Calc!AC26)</f>
        <v/>
      </c>
      <c r="N26" s="123">
        <f>IF(INDEX(DebtNames,6)="","",_Calc!AG26)</f>
        <v/>
      </c>
      <c r="O26" s="123">
        <f>IF(INDEX(DebtNames,7)="","",_Calc!AK26)</f>
        <v/>
      </c>
      <c r="P26" s="123">
        <f>IF(INDEX(DebtNames,8)="","",_Calc!AO26)</f>
        <v/>
      </c>
    </row>
    <row r="27" ht="16" customHeight="1">
      <c r="A27" s="62">
        <f>_Calc!A27</f>
        <v/>
      </c>
      <c r="B27" s="120">
        <f>_Calc!B27</f>
        <v/>
      </c>
      <c r="C27" s="64">
        <f>_Calc!C27</f>
        <v/>
      </c>
      <c r="D27" s="121">
        <f>_Calc!E27</f>
        <v/>
      </c>
      <c r="E27" s="121">
        <f>_Calc!F27</f>
        <v/>
      </c>
      <c r="F27" s="121">
        <f>_Calc!G27</f>
        <v/>
      </c>
      <c r="G27" s="122">
        <f>_Calc!H27</f>
        <v/>
      </c>
      <c r="H27" s="62">
        <f>_Calc!I27</f>
        <v/>
      </c>
      <c r="I27" s="123">
        <f>IF(INDEX(DebtNames,1)="","",_Calc!M27)</f>
        <v/>
      </c>
      <c r="J27" s="123">
        <f>IF(INDEX(DebtNames,2)="","",_Calc!Q27)</f>
        <v/>
      </c>
      <c r="K27" s="123">
        <f>IF(INDEX(DebtNames,3)="","",_Calc!U27)</f>
        <v/>
      </c>
      <c r="L27" s="123">
        <f>IF(INDEX(DebtNames,4)="","",_Calc!Y27)</f>
        <v/>
      </c>
      <c r="M27" s="123">
        <f>IF(INDEX(DebtNames,5)="","",_Calc!AC27)</f>
        <v/>
      </c>
      <c r="N27" s="123">
        <f>IF(INDEX(DebtNames,6)="","",_Calc!AG27)</f>
        <v/>
      </c>
      <c r="O27" s="123">
        <f>IF(INDEX(DebtNames,7)="","",_Calc!AK27)</f>
        <v/>
      </c>
      <c r="P27" s="123">
        <f>IF(INDEX(DebtNames,8)="","",_Calc!AO27)</f>
        <v/>
      </c>
    </row>
    <row r="28" ht="16" customHeight="1">
      <c r="A28" s="62">
        <f>_Calc!A28</f>
        <v/>
      </c>
      <c r="B28" s="120">
        <f>_Calc!B28</f>
        <v/>
      </c>
      <c r="C28" s="64">
        <f>_Calc!C28</f>
        <v/>
      </c>
      <c r="D28" s="121">
        <f>_Calc!E28</f>
        <v/>
      </c>
      <c r="E28" s="121">
        <f>_Calc!F28</f>
        <v/>
      </c>
      <c r="F28" s="121">
        <f>_Calc!G28</f>
        <v/>
      </c>
      <c r="G28" s="122">
        <f>_Calc!H28</f>
        <v/>
      </c>
      <c r="H28" s="62">
        <f>_Calc!I28</f>
        <v/>
      </c>
      <c r="I28" s="123">
        <f>IF(INDEX(DebtNames,1)="","",_Calc!M28)</f>
        <v/>
      </c>
      <c r="J28" s="123">
        <f>IF(INDEX(DebtNames,2)="","",_Calc!Q28)</f>
        <v/>
      </c>
      <c r="K28" s="123">
        <f>IF(INDEX(DebtNames,3)="","",_Calc!U28)</f>
        <v/>
      </c>
      <c r="L28" s="123">
        <f>IF(INDEX(DebtNames,4)="","",_Calc!Y28)</f>
        <v/>
      </c>
      <c r="M28" s="123">
        <f>IF(INDEX(DebtNames,5)="","",_Calc!AC28)</f>
        <v/>
      </c>
      <c r="N28" s="123">
        <f>IF(INDEX(DebtNames,6)="","",_Calc!AG28)</f>
        <v/>
      </c>
      <c r="O28" s="123">
        <f>IF(INDEX(DebtNames,7)="","",_Calc!AK28)</f>
        <v/>
      </c>
      <c r="P28" s="123">
        <f>IF(INDEX(DebtNames,8)="","",_Calc!AO28)</f>
        <v/>
      </c>
    </row>
    <row r="29" ht="16" customHeight="1">
      <c r="A29" s="62">
        <f>_Calc!A29</f>
        <v/>
      </c>
      <c r="B29" s="120">
        <f>_Calc!B29</f>
        <v/>
      </c>
      <c r="C29" s="64">
        <f>_Calc!C29</f>
        <v/>
      </c>
      <c r="D29" s="121">
        <f>_Calc!E29</f>
        <v/>
      </c>
      <c r="E29" s="121">
        <f>_Calc!F29</f>
        <v/>
      </c>
      <c r="F29" s="121">
        <f>_Calc!G29</f>
        <v/>
      </c>
      <c r="G29" s="122">
        <f>_Calc!H29</f>
        <v/>
      </c>
      <c r="H29" s="62">
        <f>_Calc!I29</f>
        <v/>
      </c>
      <c r="I29" s="123">
        <f>IF(INDEX(DebtNames,1)="","",_Calc!M29)</f>
        <v/>
      </c>
      <c r="J29" s="123">
        <f>IF(INDEX(DebtNames,2)="","",_Calc!Q29)</f>
        <v/>
      </c>
      <c r="K29" s="123">
        <f>IF(INDEX(DebtNames,3)="","",_Calc!U29)</f>
        <v/>
      </c>
      <c r="L29" s="123">
        <f>IF(INDEX(DebtNames,4)="","",_Calc!Y29)</f>
        <v/>
      </c>
      <c r="M29" s="123">
        <f>IF(INDEX(DebtNames,5)="","",_Calc!AC29)</f>
        <v/>
      </c>
      <c r="N29" s="123">
        <f>IF(INDEX(DebtNames,6)="","",_Calc!AG29)</f>
        <v/>
      </c>
      <c r="O29" s="123">
        <f>IF(INDEX(DebtNames,7)="","",_Calc!AK29)</f>
        <v/>
      </c>
      <c r="P29" s="123">
        <f>IF(INDEX(DebtNames,8)="","",_Calc!AO29)</f>
        <v/>
      </c>
    </row>
    <row r="30" ht="16" customHeight="1">
      <c r="A30" s="62">
        <f>_Calc!A30</f>
        <v/>
      </c>
      <c r="B30" s="120">
        <f>_Calc!B30</f>
        <v/>
      </c>
      <c r="C30" s="64">
        <f>_Calc!C30</f>
        <v/>
      </c>
      <c r="D30" s="121">
        <f>_Calc!E30</f>
        <v/>
      </c>
      <c r="E30" s="121">
        <f>_Calc!F30</f>
        <v/>
      </c>
      <c r="F30" s="121">
        <f>_Calc!G30</f>
        <v/>
      </c>
      <c r="G30" s="122">
        <f>_Calc!H30</f>
        <v/>
      </c>
      <c r="H30" s="62">
        <f>_Calc!I30</f>
        <v/>
      </c>
      <c r="I30" s="123">
        <f>IF(INDEX(DebtNames,1)="","",_Calc!M30)</f>
        <v/>
      </c>
      <c r="J30" s="123">
        <f>IF(INDEX(DebtNames,2)="","",_Calc!Q30)</f>
        <v/>
      </c>
      <c r="K30" s="123">
        <f>IF(INDEX(DebtNames,3)="","",_Calc!U30)</f>
        <v/>
      </c>
      <c r="L30" s="123">
        <f>IF(INDEX(DebtNames,4)="","",_Calc!Y30)</f>
        <v/>
      </c>
      <c r="M30" s="123">
        <f>IF(INDEX(DebtNames,5)="","",_Calc!AC30)</f>
        <v/>
      </c>
      <c r="N30" s="123">
        <f>IF(INDEX(DebtNames,6)="","",_Calc!AG30)</f>
        <v/>
      </c>
      <c r="O30" s="123">
        <f>IF(INDEX(DebtNames,7)="","",_Calc!AK30)</f>
        <v/>
      </c>
      <c r="P30" s="123">
        <f>IF(INDEX(DebtNames,8)="","",_Calc!AO30)</f>
        <v/>
      </c>
    </row>
    <row r="31" ht="16" customHeight="1">
      <c r="A31" s="62">
        <f>_Calc!A31</f>
        <v/>
      </c>
      <c r="B31" s="120">
        <f>_Calc!B31</f>
        <v/>
      </c>
      <c r="C31" s="64">
        <f>_Calc!C31</f>
        <v/>
      </c>
      <c r="D31" s="121">
        <f>_Calc!E31</f>
        <v/>
      </c>
      <c r="E31" s="121">
        <f>_Calc!F31</f>
        <v/>
      </c>
      <c r="F31" s="121">
        <f>_Calc!G31</f>
        <v/>
      </c>
      <c r="G31" s="122">
        <f>_Calc!H31</f>
        <v/>
      </c>
      <c r="H31" s="62">
        <f>_Calc!I31</f>
        <v/>
      </c>
      <c r="I31" s="123">
        <f>IF(INDEX(DebtNames,1)="","",_Calc!M31)</f>
        <v/>
      </c>
      <c r="J31" s="123">
        <f>IF(INDEX(DebtNames,2)="","",_Calc!Q31)</f>
        <v/>
      </c>
      <c r="K31" s="123">
        <f>IF(INDEX(DebtNames,3)="","",_Calc!U31)</f>
        <v/>
      </c>
      <c r="L31" s="123">
        <f>IF(INDEX(DebtNames,4)="","",_Calc!Y31)</f>
        <v/>
      </c>
      <c r="M31" s="123">
        <f>IF(INDEX(DebtNames,5)="","",_Calc!AC31)</f>
        <v/>
      </c>
      <c r="N31" s="123">
        <f>IF(INDEX(DebtNames,6)="","",_Calc!AG31)</f>
        <v/>
      </c>
      <c r="O31" s="123">
        <f>IF(INDEX(DebtNames,7)="","",_Calc!AK31)</f>
        <v/>
      </c>
      <c r="P31" s="123">
        <f>IF(INDEX(DebtNames,8)="","",_Calc!AO31)</f>
        <v/>
      </c>
    </row>
    <row r="32" ht="16" customHeight="1">
      <c r="A32" s="62">
        <f>_Calc!A32</f>
        <v/>
      </c>
      <c r="B32" s="120">
        <f>_Calc!B32</f>
        <v/>
      </c>
      <c r="C32" s="64">
        <f>_Calc!C32</f>
        <v/>
      </c>
      <c r="D32" s="121">
        <f>_Calc!E32</f>
        <v/>
      </c>
      <c r="E32" s="121">
        <f>_Calc!F32</f>
        <v/>
      </c>
      <c r="F32" s="121">
        <f>_Calc!G32</f>
        <v/>
      </c>
      <c r="G32" s="122">
        <f>_Calc!H32</f>
        <v/>
      </c>
      <c r="H32" s="62">
        <f>_Calc!I32</f>
        <v/>
      </c>
      <c r="I32" s="123">
        <f>IF(INDEX(DebtNames,1)="","",_Calc!M32)</f>
        <v/>
      </c>
      <c r="J32" s="123">
        <f>IF(INDEX(DebtNames,2)="","",_Calc!Q32)</f>
        <v/>
      </c>
      <c r="K32" s="123">
        <f>IF(INDEX(DebtNames,3)="","",_Calc!U32)</f>
        <v/>
      </c>
      <c r="L32" s="123">
        <f>IF(INDEX(DebtNames,4)="","",_Calc!Y32)</f>
        <v/>
      </c>
      <c r="M32" s="123">
        <f>IF(INDEX(DebtNames,5)="","",_Calc!AC32)</f>
        <v/>
      </c>
      <c r="N32" s="123">
        <f>IF(INDEX(DebtNames,6)="","",_Calc!AG32)</f>
        <v/>
      </c>
      <c r="O32" s="123">
        <f>IF(INDEX(DebtNames,7)="","",_Calc!AK32)</f>
        <v/>
      </c>
      <c r="P32" s="123">
        <f>IF(INDEX(DebtNames,8)="","",_Calc!AO32)</f>
        <v/>
      </c>
    </row>
    <row r="33" ht="16" customHeight="1">
      <c r="A33" s="62">
        <f>_Calc!A33</f>
        <v/>
      </c>
      <c r="B33" s="120">
        <f>_Calc!B33</f>
        <v/>
      </c>
      <c r="C33" s="64">
        <f>_Calc!C33</f>
        <v/>
      </c>
      <c r="D33" s="121">
        <f>_Calc!E33</f>
        <v/>
      </c>
      <c r="E33" s="121">
        <f>_Calc!F33</f>
        <v/>
      </c>
      <c r="F33" s="121">
        <f>_Calc!G33</f>
        <v/>
      </c>
      <c r="G33" s="122">
        <f>_Calc!H33</f>
        <v/>
      </c>
      <c r="H33" s="62">
        <f>_Calc!I33</f>
        <v/>
      </c>
      <c r="I33" s="123">
        <f>IF(INDEX(DebtNames,1)="","",_Calc!M33)</f>
        <v/>
      </c>
      <c r="J33" s="123">
        <f>IF(INDEX(DebtNames,2)="","",_Calc!Q33)</f>
        <v/>
      </c>
      <c r="K33" s="123">
        <f>IF(INDEX(DebtNames,3)="","",_Calc!U33)</f>
        <v/>
      </c>
      <c r="L33" s="123">
        <f>IF(INDEX(DebtNames,4)="","",_Calc!Y33)</f>
        <v/>
      </c>
      <c r="M33" s="123">
        <f>IF(INDEX(DebtNames,5)="","",_Calc!AC33)</f>
        <v/>
      </c>
      <c r="N33" s="123">
        <f>IF(INDEX(DebtNames,6)="","",_Calc!AG33)</f>
        <v/>
      </c>
      <c r="O33" s="123">
        <f>IF(INDEX(DebtNames,7)="","",_Calc!AK33)</f>
        <v/>
      </c>
      <c r="P33" s="123">
        <f>IF(INDEX(DebtNames,8)="","",_Calc!AO33)</f>
        <v/>
      </c>
    </row>
    <row r="34" ht="16" customHeight="1">
      <c r="A34" s="62">
        <f>_Calc!A34</f>
        <v/>
      </c>
      <c r="B34" s="120">
        <f>_Calc!B34</f>
        <v/>
      </c>
      <c r="C34" s="64">
        <f>_Calc!C34</f>
        <v/>
      </c>
      <c r="D34" s="121">
        <f>_Calc!E34</f>
        <v/>
      </c>
      <c r="E34" s="121">
        <f>_Calc!F34</f>
        <v/>
      </c>
      <c r="F34" s="121">
        <f>_Calc!G34</f>
        <v/>
      </c>
      <c r="G34" s="122">
        <f>_Calc!H34</f>
        <v/>
      </c>
      <c r="H34" s="62">
        <f>_Calc!I34</f>
        <v/>
      </c>
      <c r="I34" s="123">
        <f>IF(INDEX(DebtNames,1)="","",_Calc!M34)</f>
        <v/>
      </c>
      <c r="J34" s="123">
        <f>IF(INDEX(DebtNames,2)="","",_Calc!Q34)</f>
        <v/>
      </c>
      <c r="K34" s="123">
        <f>IF(INDEX(DebtNames,3)="","",_Calc!U34)</f>
        <v/>
      </c>
      <c r="L34" s="123">
        <f>IF(INDEX(DebtNames,4)="","",_Calc!Y34)</f>
        <v/>
      </c>
      <c r="M34" s="123">
        <f>IF(INDEX(DebtNames,5)="","",_Calc!AC34)</f>
        <v/>
      </c>
      <c r="N34" s="123">
        <f>IF(INDEX(DebtNames,6)="","",_Calc!AG34)</f>
        <v/>
      </c>
      <c r="O34" s="123">
        <f>IF(INDEX(DebtNames,7)="","",_Calc!AK34)</f>
        <v/>
      </c>
      <c r="P34" s="123">
        <f>IF(INDEX(DebtNames,8)="","",_Calc!AO34)</f>
        <v/>
      </c>
    </row>
    <row r="35" ht="16" customHeight="1">
      <c r="A35" s="62">
        <f>_Calc!A35</f>
        <v/>
      </c>
      <c r="B35" s="120">
        <f>_Calc!B35</f>
        <v/>
      </c>
      <c r="C35" s="64">
        <f>_Calc!C35</f>
        <v/>
      </c>
      <c r="D35" s="121">
        <f>_Calc!E35</f>
        <v/>
      </c>
      <c r="E35" s="121">
        <f>_Calc!F35</f>
        <v/>
      </c>
      <c r="F35" s="121">
        <f>_Calc!G35</f>
        <v/>
      </c>
      <c r="G35" s="122">
        <f>_Calc!H35</f>
        <v/>
      </c>
      <c r="H35" s="62">
        <f>_Calc!I35</f>
        <v/>
      </c>
      <c r="I35" s="123">
        <f>IF(INDEX(DebtNames,1)="","",_Calc!M35)</f>
        <v/>
      </c>
      <c r="J35" s="123">
        <f>IF(INDEX(DebtNames,2)="","",_Calc!Q35)</f>
        <v/>
      </c>
      <c r="K35" s="123">
        <f>IF(INDEX(DebtNames,3)="","",_Calc!U35)</f>
        <v/>
      </c>
      <c r="L35" s="123">
        <f>IF(INDEX(DebtNames,4)="","",_Calc!Y35)</f>
        <v/>
      </c>
      <c r="M35" s="123">
        <f>IF(INDEX(DebtNames,5)="","",_Calc!AC35)</f>
        <v/>
      </c>
      <c r="N35" s="123">
        <f>IF(INDEX(DebtNames,6)="","",_Calc!AG35)</f>
        <v/>
      </c>
      <c r="O35" s="123">
        <f>IF(INDEX(DebtNames,7)="","",_Calc!AK35)</f>
        <v/>
      </c>
      <c r="P35" s="123">
        <f>IF(INDEX(DebtNames,8)="","",_Calc!AO35)</f>
        <v/>
      </c>
    </row>
    <row r="36" ht="16" customHeight="1">
      <c r="A36" s="62">
        <f>_Calc!A36</f>
        <v/>
      </c>
      <c r="B36" s="120">
        <f>_Calc!B36</f>
        <v/>
      </c>
      <c r="C36" s="64">
        <f>_Calc!C36</f>
        <v/>
      </c>
      <c r="D36" s="121">
        <f>_Calc!E36</f>
        <v/>
      </c>
      <c r="E36" s="121">
        <f>_Calc!F36</f>
        <v/>
      </c>
      <c r="F36" s="121">
        <f>_Calc!G36</f>
        <v/>
      </c>
      <c r="G36" s="122">
        <f>_Calc!H36</f>
        <v/>
      </c>
      <c r="H36" s="62">
        <f>_Calc!I36</f>
        <v/>
      </c>
      <c r="I36" s="123">
        <f>IF(INDEX(DebtNames,1)="","",_Calc!M36)</f>
        <v/>
      </c>
      <c r="J36" s="123">
        <f>IF(INDEX(DebtNames,2)="","",_Calc!Q36)</f>
        <v/>
      </c>
      <c r="K36" s="123">
        <f>IF(INDEX(DebtNames,3)="","",_Calc!U36)</f>
        <v/>
      </c>
      <c r="L36" s="123">
        <f>IF(INDEX(DebtNames,4)="","",_Calc!Y36)</f>
        <v/>
      </c>
      <c r="M36" s="123">
        <f>IF(INDEX(DebtNames,5)="","",_Calc!AC36)</f>
        <v/>
      </c>
      <c r="N36" s="123">
        <f>IF(INDEX(DebtNames,6)="","",_Calc!AG36)</f>
        <v/>
      </c>
      <c r="O36" s="123">
        <f>IF(INDEX(DebtNames,7)="","",_Calc!AK36)</f>
        <v/>
      </c>
      <c r="P36" s="123">
        <f>IF(INDEX(DebtNames,8)="","",_Calc!AO36)</f>
        <v/>
      </c>
    </row>
    <row r="37" ht="16" customHeight="1">
      <c r="A37" s="62">
        <f>_Calc!A37</f>
        <v/>
      </c>
      <c r="B37" s="120">
        <f>_Calc!B37</f>
        <v/>
      </c>
      <c r="C37" s="64">
        <f>_Calc!C37</f>
        <v/>
      </c>
      <c r="D37" s="121">
        <f>_Calc!E37</f>
        <v/>
      </c>
      <c r="E37" s="121">
        <f>_Calc!F37</f>
        <v/>
      </c>
      <c r="F37" s="121">
        <f>_Calc!G37</f>
        <v/>
      </c>
      <c r="G37" s="122">
        <f>_Calc!H37</f>
        <v/>
      </c>
      <c r="H37" s="62">
        <f>_Calc!I37</f>
        <v/>
      </c>
      <c r="I37" s="123">
        <f>IF(INDEX(DebtNames,1)="","",_Calc!M37)</f>
        <v/>
      </c>
      <c r="J37" s="123">
        <f>IF(INDEX(DebtNames,2)="","",_Calc!Q37)</f>
        <v/>
      </c>
      <c r="K37" s="123">
        <f>IF(INDEX(DebtNames,3)="","",_Calc!U37)</f>
        <v/>
      </c>
      <c r="L37" s="123">
        <f>IF(INDEX(DebtNames,4)="","",_Calc!Y37)</f>
        <v/>
      </c>
      <c r="M37" s="123">
        <f>IF(INDEX(DebtNames,5)="","",_Calc!AC37)</f>
        <v/>
      </c>
      <c r="N37" s="123">
        <f>IF(INDEX(DebtNames,6)="","",_Calc!AG37)</f>
        <v/>
      </c>
      <c r="O37" s="123">
        <f>IF(INDEX(DebtNames,7)="","",_Calc!AK37)</f>
        <v/>
      </c>
      <c r="P37" s="123">
        <f>IF(INDEX(DebtNames,8)="","",_Calc!AO37)</f>
        <v/>
      </c>
    </row>
    <row r="38" ht="16" customHeight="1">
      <c r="A38" s="62">
        <f>_Calc!A38</f>
        <v/>
      </c>
      <c r="B38" s="120">
        <f>_Calc!B38</f>
        <v/>
      </c>
      <c r="C38" s="64">
        <f>_Calc!C38</f>
        <v/>
      </c>
      <c r="D38" s="121">
        <f>_Calc!E38</f>
        <v/>
      </c>
      <c r="E38" s="121">
        <f>_Calc!F38</f>
        <v/>
      </c>
      <c r="F38" s="121">
        <f>_Calc!G38</f>
        <v/>
      </c>
      <c r="G38" s="122">
        <f>_Calc!H38</f>
        <v/>
      </c>
      <c r="H38" s="62">
        <f>_Calc!I38</f>
        <v/>
      </c>
      <c r="I38" s="123">
        <f>IF(INDEX(DebtNames,1)="","",_Calc!M38)</f>
        <v/>
      </c>
      <c r="J38" s="123">
        <f>IF(INDEX(DebtNames,2)="","",_Calc!Q38)</f>
        <v/>
      </c>
      <c r="K38" s="123">
        <f>IF(INDEX(DebtNames,3)="","",_Calc!U38)</f>
        <v/>
      </c>
      <c r="L38" s="123">
        <f>IF(INDEX(DebtNames,4)="","",_Calc!Y38)</f>
        <v/>
      </c>
      <c r="M38" s="123">
        <f>IF(INDEX(DebtNames,5)="","",_Calc!AC38)</f>
        <v/>
      </c>
      <c r="N38" s="123">
        <f>IF(INDEX(DebtNames,6)="","",_Calc!AG38)</f>
        <v/>
      </c>
      <c r="O38" s="123">
        <f>IF(INDEX(DebtNames,7)="","",_Calc!AK38)</f>
        <v/>
      </c>
      <c r="P38" s="123">
        <f>IF(INDEX(DebtNames,8)="","",_Calc!AO38)</f>
        <v/>
      </c>
    </row>
    <row r="39" ht="16" customHeight="1">
      <c r="A39" s="62">
        <f>_Calc!A39</f>
        <v/>
      </c>
      <c r="B39" s="120">
        <f>_Calc!B39</f>
        <v/>
      </c>
      <c r="C39" s="64">
        <f>_Calc!C39</f>
        <v/>
      </c>
      <c r="D39" s="121">
        <f>_Calc!E39</f>
        <v/>
      </c>
      <c r="E39" s="121">
        <f>_Calc!F39</f>
        <v/>
      </c>
      <c r="F39" s="121">
        <f>_Calc!G39</f>
        <v/>
      </c>
      <c r="G39" s="122">
        <f>_Calc!H39</f>
        <v/>
      </c>
      <c r="H39" s="62">
        <f>_Calc!I39</f>
        <v/>
      </c>
      <c r="I39" s="123">
        <f>IF(INDEX(DebtNames,1)="","",_Calc!M39)</f>
        <v/>
      </c>
      <c r="J39" s="123">
        <f>IF(INDEX(DebtNames,2)="","",_Calc!Q39)</f>
        <v/>
      </c>
      <c r="K39" s="123">
        <f>IF(INDEX(DebtNames,3)="","",_Calc!U39)</f>
        <v/>
      </c>
      <c r="L39" s="123">
        <f>IF(INDEX(DebtNames,4)="","",_Calc!Y39)</f>
        <v/>
      </c>
      <c r="M39" s="123">
        <f>IF(INDEX(DebtNames,5)="","",_Calc!AC39)</f>
        <v/>
      </c>
      <c r="N39" s="123">
        <f>IF(INDEX(DebtNames,6)="","",_Calc!AG39)</f>
        <v/>
      </c>
      <c r="O39" s="123">
        <f>IF(INDEX(DebtNames,7)="","",_Calc!AK39)</f>
        <v/>
      </c>
      <c r="P39" s="123">
        <f>IF(INDEX(DebtNames,8)="","",_Calc!AO39)</f>
        <v/>
      </c>
    </row>
    <row r="40" ht="16" customHeight="1">
      <c r="A40" s="62">
        <f>_Calc!A40</f>
        <v/>
      </c>
      <c r="B40" s="120">
        <f>_Calc!B40</f>
        <v/>
      </c>
      <c r="C40" s="64">
        <f>_Calc!C40</f>
        <v/>
      </c>
      <c r="D40" s="121">
        <f>_Calc!E40</f>
        <v/>
      </c>
      <c r="E40" s="121">
        <f>_Calc!F40</f>
        <v/>
      </c>
      <c r="F40" s="121">
        <f>_Calc!G40</f>
        <v/>
      </c>
      <c r="G40" s="122">
        <f>_Calc!H40</f>
        <v/>
      </c>
      <c r="H40" s="62">
        <f>_Calc!I40</f>
        <v/>
      </c>
      <c r="I40" s="123">
        <f>IF(INDEX(DebtNames,1)="","",_Calc!M40)</f>
        <v/>
      </c>
      <c r="J40" s="123">
        <f>IF(INDEX(DebtNames,2)="","",_Calc!Q40)</f>
        <v/>
      </c>
      <c r="K40" s="123">
        <f>IF(INDEX(DebtNames,3)="","",_Calc!U40)</f>
        <v/>
      </c>
      <c r="L40" s="123">
        <f>IF(INDEX(DebtNames,4)="","",_Calc!Y40)</f>
        <v/>
      </c>
      <c r="M40" s="123">
        <f>IF(INDEX(DebtNames,5)="","",_Calc!AC40)</f>
        <v/>
      </c>
      <c r="N40" s="123">
        <f>IF(INDEX(DebtNames,6)="","",_Calc!AG40)</f>
        <v/>
      </c>
      <c r="O40" s="123">
        <f>IF(INDEX(DebtNames,7)="","",_Calc!AK40)</f>
        <v/>
      </c>
      <c r="P40" s="123">
        <f>IF(INDEX(DebtNames,8)="","",_Calc!AO40)</f>
        <v/>
      </c>
    </row>
    <row r="41" ht="16" customHeight="1">
      <c r="A41" s="62">
        <f>_Calc!A41</f>
        <v/>
      </c>
      <c r="B41" s="120">
        <f>_Calc!B41</f>
        <v/>
      </c>
      <c r="C41" s="64">
        <f>_Calc!C41</f>
        <v/>
      </c>
      <c r="D41" s="121">
        <f>_Calc!E41</f>
        <v/>
      </c>
      <c r="E41" s="121">
        <f>_Calc!F41</f>
        <v/>
      </c>
      <c r="F41" s="121">
        <f>_Calc!G41</f>
        <v/>
      </c>
      <c r="G41" s="122">
        <f>_Calc!H41</f>
        <v/>
      </c>
      <c r="H41" s="62">
        <f>_Calc!I41</f>
        <v/>
      </c>
      <c r="I41" s="123">
        <f>IF(INDEX(DebtNames,1)="","",_Calc!M41)</f>
        <v/>
      </c>
      <c r="J41" s="123">
        <f>IF(INDEX(DebtNames,2)="","",_Calc!Q41)</f>
        <v/>
      </c>
      <c r="K41" s="123">
        <f>IF(INDEX(DebtNames,3)="","",_Calc!U41)</f>
        <v/>
      </c>
      <c r="L41" s="123">
        <f>IF(INDEX(DebtNames,4)="","",_Calc!Y41)</f>
        <v/>
      </c>
      <c r="M41" s="123">
        <f>IF(INDEX(DebtNames,5)="","",_Calc!AC41)</f>
        <v/>
      </c>
      <c r="N41" s="123">
        <f>IF(INDEX(DebtNames,6)="","",_Calc!AG41)</f>
        <v/>
      </c>
      <c r="O41" s="123">
        <f>IF(INDEX(DebtNames,7)="","",_Calc!AK41)</f>
        <v/>
      </c>
      <c r="P41" s="123">
        <f>IF(INDEX(DebtNames,8)="","",_Calc!AO41)</f>
        <v/>
      </c>
    </row>
    <row r="42" ht="16" customHeight="1">
      <c r="A42" s="62">
        <f>_Calc!A42</f>
        <v/>
      </c>
      <c r="B42" s="120">
        <f>_Calc!B42</f>
        <v/>
      </c>
      <c r="C42" s="64">
        <f>_Calc!C42</f>
        <v/>
      </c>
      <c r="D42" s="121">
        <f>_Calc!E42</f>
        <v/>
      </c>
      <c r="E42" s="121">
        <f>_Calc!F42</f>
        <v/>
      </c>
      <c r="F42" s="121">
        <f>_Calc!G42</f>
        <v/>
      </c>
      <c r="G42" s="122">
        <f>_Calc!H42</f>
        <v/>
      </c>
      <c r="H42" s="62">
        <f>_Calc!I42</f>
        <v/>
      </c>
      <c r="I42" s="123">
        <f>IF(INDEX(DebtNames,1)="","",_Calc!M42)</f>
        <v/>
      </c>
      <c r="J42" s="123">
        <f>IF(INDEX(DebtNames,2)="","",_Calc!Q42)</f>
        <v/>
      </c>
      <c r="K42" s="123">
        <f>IF(INDEX(DebtNames,3)="","",_Calc!U42)</f>
        <v/>
      </c>
      <c r="L42" s="123">
        <f>IF(INDEX(DebtNames,4)="","",_Calc!Y42)</f>
        <v/>
      </c>
      <c r="M42" s="123">
        <f>IF(INDEX(DebtNames,5)="","",_Calc!AC42)</f>
        <v/>
      </c>
      <c r="N42" s="123">
        <f>IF(INDEX(DebtNames,6)="","",_Calc!AG42)</f>
        <v/>
      </c>
      <c r="O42" s="123">
        <f>IF(INDEX(DebtNames,7)="","",_Calc!AK42)</f>
        <v/>
      </c>
      <c r="P42" s="123">
        <f>IF(INDEX(DebtNames,8)="","",_Calc!AO42)</f>
        <v/>
      </c>
    </row>
    <row r="43" ht="16" customHeight="1">
      <c r="A43" s="62">
        <f>_Calc!A43</f>
        <v/>
      </c>
      <c r="B43" s="120">
        <f>_Calc!B43</f>
        <v/>
      </c>
      <c r="C43" s="64">
        <f>_Calc!C43</f>
        <v/>
      </c>
      <c r="D43" s="121">
        <f>_Calc!E43</f>
        <v/>
      </c>
      <c r="E43" s="121">
        <f>_Calc!F43</f>
        <v/>
      </c>
      <c r="F43" s="121">
        <f>_Calc!G43</f>
        <v/>
      </c>
      <c r="G43" s="122">
        <f>_Calc!H43</f>
        <v/>
      </c>
      <c r="H43" s="62">
        <f>_Calc!I43</f>
        <v/>
      </c>
      <c r="I43" s="123">
        <f>IF(INDEX(DebtNames,1)="","",_Calc!M43)</f>
        <v/>
      </c>
      <c r="J43" s="123">
        <f>IF(INDEX(DebtNames,2)="","",_Calc!Q43)</f>
        <v/>
      </c>
      <c r="K43" s="123">
        <f>IF(INDEX(DebtNames,3)="","",_Calc!U43)</f>
        <v/>
      </c>
      <c r="L43" s="123">
        <f>IF(INDEX(DebtNames,4)="","",_Calc!Y43)</f>
        <v/>
      </c>
      <c r="M43" s="123">
        <f>IF(INDEX(DebtNames,5)="","",_Calc!AC43)</f>
        <v/>
      </c>
      <c r="N43" s="123">
        <f>IF(INDEX(DebtNames,6)="","",_Calc!AG43)</f>
        <v/>
      </c>
      <c r="O43" s="123">
        <f>IF(INDEX(DebtNames,7)="","",_Calc!AK43)</f>
        <v/>
      </c>
      <c r="P43" s="123">
        <f>IF(INDEX(DebtNames,8)="","",_Calc!AO43)</f>
        <v/>
      </c>
    </row>
    <row r="44" ht="16" customHeight="1">
      <c r="A44" s="62">
        <f>_Calc!A44</f>
        <v/>
      </c>
      <c r="B44" s="120">
        <f>_Calc!B44</f>
        <v/>
      </c>
      <c r="C44" s="64">
        <f>_Calc!C44</f>
        <v/>
      </c>
      <c r="D44" s="121">
        <f>_Calc!E44</f>
        <v/>
      </c>
      <c r="E44" s="121">
        <f>_Calc!F44</f>
        <v/>
      </c>
      <c r="F44" s="121">
        <f>_Calc!G44</f>
        <v/>
      </c>
      <c r="G44" s="122">
        <f>_Calc!H44</f>
        <v/>
      </c>
      <c r="H44" s="62">
        <f>_Calc!I44</f>
        <v/>
      </c>
      <c r="I44" s="123">
        <f>IF(INDEX(DebtNames,1)="","",_Calc!M44)</f>
        <v/>
      </c>
      <c r="J44" s="123">
        <f>IF(INDEX(DebtNames,2)="","",_Calc!Q44)</f>
        <v/>
      </c>
      <c r="K44" s="123">
        <f>IF(INDEX(DebtNames,3)="","",_Calc!U44)</f>
        <v/>
      </c>
      <c r="L44" s="123">
        <f>IF(INDEX(DebtNames,4)="","",_Calc!Y44)</f>
        <v/>
      </c>
      <c r="M44" s="123">
        <f>IF(INDEX(DebtNames,5)="","",_Calc!AC44)</f>
        <v/>
      </c>
      <c r="N44" s="123">
        <f>IF(INDEX(DebtNames,6)="","",_Calc!AG44)</f>
        <v/>
      </c>
      <c r="O44" s="123">
        <f>IF(INDEX(DebtNames,7)="","",_Calc!AK44)</f>
        <v/>
      </c>
      <c r="P44" s="123">
        <f>IF(INDEX(DebtNames,8)="","",_Calc!AO44)</f>
        <v/>
      </c>
    </row>
    <row r="45" ht="16" customHeight="1">
      <c r="A45" s="62">
        <f>_Calc!A45</f>
        <v/>
      </c>
      <c r="B45" s="120">
        <f>_Calc!B45</f>
        <v/>
      </c>
      <c r="C45" s="64">
        <f>_Calc!C45</f>
        <v/>
      </c>
      <c r="D45" s="121">
        <f>_Calc!E45</f>
        <v/>
      </c>
      <c r="E45" s="121">
        <f>_Calc!F45</f>
        <v/>
      </c>
      <c r="F45" s="121">
        <f>_Calc!G45</f>
        <v/>
      </c>
      <c r="G45" s="122">
        <f>_Calc!H45</f>
        <v/>
      </c>
      <c r="H45" s="62">
        <f>_Calc!I45</f>
        <v/>
      </c>
      <c r="I45" s="123">
        <f>IF(INDEX(DebtNames,1)="","",_Calc!M45)</f>
        <v/>
      </c>
      <c r="J45" s="123">
        <f>IF(INDEX(DebtNames,2)="","",_Calc!Q45)</f>
        <v/>
      </c>
      <c r="K45" s="123">
        <f>IF(INDEX(DebtNames,3)="","",_Calc!U45)</f>
        <v/>
      </c>
      <c r="L45" s="123">
        <f>IF(INDEX(DebtNames,4)="","",_Calc!Y45)</f>
        <v/>
      </c>
      <c r="M45" s="123">
        <f>IF(INDEX(DebtNames,5)="","",_Calc!AC45)</f>
        <v/>
      </c>
      <c r="N45" s="123">
        <f>IF(INDEX(DebtNames,6)="","",_Calc!AG45)</f>
        <v/>
      </c>
      <c r="O45" s="123">
        <f>IF(INDEX(DebtNames,7)="","",_Calc!AK45)</f>
        <v/>
      </c>
      <c r="P45" s="123">
        <f>IF(INDEX(DebtNames,8)="","",_Calc!AO45)</f>
        <v/>
      </c>
    </row>
    <row r="46" ht="16" customHeight="1">
      <c r="A46" s="62">
        <f>_Calc!A46</f>
        <v/>
      </c>
      <c r="B46" s="120">
        <f>_Calc!B46</f>
        <v/>
      </c>
      <c r="C46" s="64">
        <f>_Calc!C46</f>
        <v/>
      </c>
      <c r="D46" s="121">
        <f>_Calc!E46</f>
        <v/>
      </c>
      <c r="E46" s="121">
        <f>_Calc!F46</f>
        <v/>
      </c>
      <c r="F46" s="121">
        <f>_Calc!G46</f>
        <v/>
      </c>
      <c r="G46" s="122">
        <f>_Calc!H46</f>
        <v/>
      </c>
      <c r="H46" s="62">
        <f>_Calc!I46</f>
        <v/>
      </c>
      <c r="I46" s="123">
        <f>IF(INDEX(DebtNames,1)="","",_Calc!M46)</f>
        <v/>
      </c>
      <c r="J46" s="123">
        <f>IF(INDEX(DebtNames,2)="","",_Calc!Q46)</f>
        <v/>
      </c>
      <c r="K46" s="123">
        <f>IF(INDEX(DebtNames,3)="","",_Calc!U46)</f>
        <v/>
      </c>
      <c r="L46" s="123">
        <f>IF(INDEX(DebtNames,4)="","",_Calc!Y46)</f>
        <v/>
      </c>
      <c r="M46" s="123">
        <f>IF(INDEX(DebtNames,5)="","",_Calc!AC46)</f>
        <v/>
      </c>
      <c r="N46" s="123">
        <f>IF(INDEX(DebtNames,6)="","",_Calc!AG46)</f>
        <v/>
      </c>
      <c r="O46" s="123">
        <f>IF(INDEX(DebtNames,7)="","",_Calc!AK46)</f>
        <v/>
      </c>
      <c r="P46" s="123">
        <f>IF(INDEX(DebtNames,8)="","",_Calc!AO46)</f>
        <v/>
      </c>
    </row>
    <row r="47" ht="16" customHeight="1">
      <c r="A47" s="62">
        <f>_Calc!A47</f>
        <v/>
      </c>
      <c r="B47" s="120">
        <f>_Calc!B47</f>
        <v/>
      </c>
      <c r="C47" s="64">
        <f>_Calc!C47</f>
        <v/>
      </c>
      <c r="D47" s="121">
        <f>_Calc!E47</f>
        <v/>
      </c>
      <c r="E47" s="121">
        <f>_Calc!F47</f>
        <v/>
      </c>
      <c r="F47" s="121">
        <f>_Calc!G47</f>
        <v/>
      </c>
      <c r="G47" s="122">
        <f>_Calc!H47</f>
        <v/>
      </c>
      <c r="H47" s="62">
        <f>_Calc!I47</f>
        <v/>
      </c>
      <c r="I47" s="123">
        <f>IF(INDEX(DebtNames,1)="","",_Calc!M47)</f>
        <v/>
      </c>
      <c r="J47" s="123">
        <f>IF(INDEX(DebtNames,2)="","",_Calc!Q47)</f>
        <v/>
      </c>
      <c r="K47" s="123">
        <f>IF(INDEX(DebtNames,3)="","",_Calc!U47)</f>
        <v/>
      </c>
      <c r="L47" s="123">
        <f>IF(INDEX(DebtNames,4)="","",_Calc!Y47)</f>
        <v/>
      </c>
      <c r="M47" s="123">
        <f>IF(INDEX(DebtNames,5)="","",_Calc!AC47)</f>
        <v/>
      </c>
      <c r="N47" s="123">
        <f>IF(INDEX(DebtNames,6)="","",_Calc!AG47)</f>
        <v/>
      </c>
      <c r="O47" s="123">
        <f>IF(INDEX(DebtNames,7)="","",_Calc!AK47)</f>
        <v/>
      </c>
      <c r="P47" s="123">
        <f>IF(INDEX(DebtNames,8)="","",_Calc!AO47)</f>
        <v/>
      </c>
    </row>
    <row r="48" ht="16" customHeight="1">
      <c r="A48" s="62">
        <f>_Calc!A48</f>
        <v/>
      </c>
      <c r="B48" s="120">
        <f>_Calc!B48</f>
        <v/>
      </c>
      <c r="C48" s="64">
        <f>_Calc!C48</f>
        <v/>
      </c>
      <c r="D48" s="121">
        <f>_Calc!E48</f>
        <v/>
      </c>
      <c r="E48" s="121">
        <f>_Calc!F48</f>
        <v/>
      </c>
      <c r="F48" s="121">
        <f>_Calc!G48</f>
        <v/>
      </c>
      <c r="G48" s="122">
        <f>_Calc!H48</f>
        <v/>
      </c>
      <c r="H48" s="62">
        <f>_Calc!I48</f>
        <v/>
      </c>
      <c r="I48" s="123">
        <f>IF(INDEX(DebtNames,1)="","",_Calc!M48)</f>
        <v/>
      </c>
      <c r="J48" s="123">
        <f>IF(INDEX(DebtNames,2)="","",_Calc!Q48)</f>
        <v/>
      </c>
      <c r="K48" s="123">
        <f>IF(INDEX(DebtNames,3)="","",_Calc!U48)</f>
        <v/>
      </c>
      <c r="L48" s="123">
        <f>IF(INDEX(DebtNames,4)="","",_Calc!Y48)</f>
        <v/>
      </c>
      <c r="M48" s="123">
        <f>IF(INDEX(DebtNames,5)="","",_Calc!AC48)</f>
        <v/>
      </c>
      <c r="N48" s="123">
        <f>IF(INDEX(DebtNames,6)="","",_Calc!AG48)</f>
        <v/>
      </c>
      <c r="O48" s="123">
        <f>IF(INDEX(DebtNames,7)="","",_Calc!AK48)</f>
        <v/>
      </c>
      <c r="P48" s="123">
        <f>IF(INDEX(DebtNames,8)="","",_Calc!AO48)</f>
        <v/>
      </c>
    </row>
    <row r="49" ht="16" customHeight="1">
      <c r="A49" s="62">
        <f>_Calc!A49</f>
        <v/>
      </c>
      <c r="B49" s="120">
        <f>_Calc!B49</f>
        <v/>
      </c>
      <c r="C49" s="64">
        <f>_Calc!C49</f>
        <v/>
      </c>
      <c r="D49" s="121">
        <f>_Calc!E49</f>
        <v/>
      </c>
      <c r="E49" s="121">
        <f>_Calc!F49</f>
        <v/>
      </c>
      <c r="F49" s="121">
        <f>_Calc!G49</f>
        <v/>
      </c>
      <c r="G49" s="122">
        <f>_Calc!H49</f>
        <v/>
      </c>
      <c r="H49" s="62">
        <f>_Calc!I49</f>
        <v/>
      </c>
      <c r="I49" s="123">
        <f>IF(INDEX(DebtNames,1)="","",_Calc!M49)</f>
        <v/>
      </c>
      <c r="J49" s="123">
        <f>IF(INDEX(DebtNames,2)="","",_Calc!Q49)</f>
        <v/>
      </c>
      <c r="K49" s="123">
        <f>IF(INDEX(DebtNames,3)="","",_Calc!U49)</f>
        <v/>
      </c>
      <c r="L49" s="123">
        <f>IF(INDEX(DebtNames,4)="","",_Calc!Y49)</f>
        <v/>
      </c>
      <c r="M49" s="123">
        <f>IF(INDEX(DebtNames,5)="","",_Calc!AC49)</f>
        <v/>
      </c>
      <c r="N49" s="123">
        <f>IF(INDEX(DebtNames,6)="","",_Calc!AG49)</f>
        <v/>
      </c>
      <c r="O49" s="123">
        <f>IF(INDEX(DebtNames,7)="","",_Calc!AK49)</f>
        <v/>
      </c>
      <c r="P49" s="123">
        <f>IF(INDEX(DebtNames,8)="","",_Calc!AO49)</f>
        <v/>
      </c>
    </row>
    <row r="50" ht="16" customHeight="1">
      <c r="A50" s="62">
        <f>_Calc!A50</f>
        <v/>
      </c>
      <c r="B50" s="120">
        <f>_Calc!B50</f>
        <v/>
      </c>
      <c r="C50" s="64">
        <f>_Calc!C50</f>
        <v/>
      </c>
      <c r="D50" s="121">
        <f>_Calc!E50</f>
        <v/>
      </c>
      <c r="E50" s="121">
        <f>_Calc!F50</f>
        <v/>
      </c>
      <c r="F50" s="121">
        <f>_Calc!G50</f>
        <v/>
      </c>
      <c r="G50" s="122">
        <f>_Calc!H50</f>
        <v/>
      </c>
      <c r="H50" s="62">
        <f>_Calc!I50</f>
        <v/>
      </c>
      <c r="I50" s="123">
        <f>IF(INDEX(DebtNames,1)="","",_Calc!M50)</f>
        <v/>
      </c>
      <c r="J50" s="123">
        <f>IF(INDEX(DebtNames,2)="","",_Calc!Q50)</f>
        <v/>
      </c>
      <c r="K50" s="123">
        <f>IF(INDEX(DebtNames,3)="","",_Calc!U50)</f>
        <v/>
      </c>
      <c r="L50" s="123">
        <f>IF(INDEX(DebtNames,4)="","",_Calc!Y50)</f>
        <v/>
      </c>
      <c r="M50" s="123">
        <f>IF(INDEX(DebtNames,5)="","",_Calc!AC50)</f>
        <v/>
      </c>
      <c r="N50" s="123">
        <f>IF(INDEX(DebtNames,6)="","",_Calc!AG50)</f>
        <v/>
      </c>
      <c r="O50" s="123">
        <f>IF(INDEX(DebtNames,7)="","",_Calc!AK50)</f>
        <v/>
      </c>
      <c r="P50" s="123">
        <f>IF(INDEX(DebtNames,8)="","",_Calc!AO50)</f>
        <v/>
      </c>
    </row>
    <row r="51" ht="16" customHeight="1">
      <c r="A51" s="62">
        <f>_Calc!A51</f>
        <v/>
      </c>
      <c r="B51" s="120">
        <f>_Calc!B51</f>
        <v/>
      </c>
      <c r="C51" s="64">
        <f>_Calc!C51</f>
        <v/>
      </c>
      <c r="D51" s="121">
        <f>_Calc!E51</f>
        <v/>
      </c>
      <c r="E51" s="121">
        <f>_Calc!F51</f>
        <v/>
      </c>
      <c r="F51" s="121">
        <f>_Calc!G51</f>
        <v/>
      </c>
      <c r="G51" s="122">
        <f>_Calc!H51</f>
        <v/>
      </c>
      <c r="H51" s="62">
        <f>_Calc!I51</f>
        <v/>
      </c>
      <c r="I51" s="123">
        <f>IF(INDEX(DebtNames,1)="","",_Calc!M51)</f>
        <v/>
      </c>
      <c r="J51" s="123">
        <f>IF(INDEX(DebtNames,2)="","",_Calc!Q51)</f>
        <v/>
      </c>
      <c r="K51" s="123">
        <f>IF(INDEX(DebtNames,3)="","",_Calc!U51)</f>
        <v/>
      </c>
      <c r="L51" s="123">
        <f>IF(INDEX(DebtNames,4)="","",_Calc!Y51)</f>
        <v/>
      </c>
      <c r="M51" s="123">
        <f>IF(INDEX(DebtNames,5)="","",_Calc!AC51)</f>
        <v/>
      </c>
      <c r="N51" s="123">
        <f>IF(INDEX(DebtNames,6)="","",_Calc!AG51)</f>
        <v/>
      </c>
      <c r="O51" s="123">
        <f>IF(INDEX(DebtNames,7)="","",_Calc!AK51)</f>
        <v/>
      </c>
      <c r="P51" s="123">
        <f>IF(INDEX(DebtNames,8)="","",_Calc!AO51)</f>
        <v/>
      </c>
    </row>
    <row r="52" ht="16" customHeight="1">
      <c r="A52" s="62">
        <f>_Calc!A52</f>
        <v/>
      </c>
      <c r="B52" s="120">
        <f>_Calc!B52</f>
        <v/>
      </c>
      <c r="C52" s="64">
        <f>_Calc!C52</f>
        <v/>
      </c>
      <c r="D52" s="121">
        <f>_Calc!E52</f>
        <v/>
      </c>
      <c r="E52" s="121">
        <f>_Calc!F52</f>
        <v/>
      </c>
      <c r="F52" s="121">
        <f>_Calc!G52</f>
        <v/>
      </c>
      <c r="G52" s="122">
        <f>_Calc!H52</f>
        <v/>
      </c>
      <c r="H52" s="62">
        <f>_Calc!I52</f>
        <v/>
      </c>
      <c r="I52" s="123">
        <f>IF(INDEX(DebtNames,1)="","",_Calc!M52)</f>
        <v/>
      </c>
      <c r="J52" s="123">
        <f>IF(INDEX(DebtNames,2)="","",_Calc!Q52)</f>
        <v/>
      </c>
      <c r="K52" s="123">
        <f>IF(INDEX(DebtNames,3)="","",_Calc!U52)</f>
        <v/>
      </c>
      <c r="L52" s="123">
        <f>IF(INDEX(DebtNames,4)="","",_Calc!Y52)</f>
        <v/>
      </c>
      <c r="M52" s="123">
        <f>IF(INDEX(DebtNames,5)="","",_Calc!AC52)</f>
        <v/>
      </c>
      <c r="N52" s="123">
        <f>IF(INDEX(DebtNames,6)="","",_Calc!AG52)</f>
        <v/>
      </c>
      <c r="O52" s="123">
        <f>IF(INDEX(DebtNames,7)="","",_Calc!AK52)</f>
        <v/>
      </c>
      <c r="P52" s="123">
        <f>IF(INDEX(DebtNames,8)="","",_Calc!AO52)</f>
        <v/>
      </c>
    </row>
    <row r="53" ht="16" customHeight="1">
      <c r="A53" s="62">
        <f>_Calc!A53</f>
        <v/>
      </c>
      <c r="B53" s="120">
        <f>_Calc!B53</f>
        <v/>
      </c>
      <c r="C53" s="64">
        <f>_Calc!C53</f>
        <v/>
      </c>
      <c r="D53" s="121">
        <f>_Calc!E53</f>
        <v/>
      </c>
      <c r="E53" s="121">
        <f>_Calc!F53</f>
        <v/>
      </c>
      <c r="F53" s="121">
        <f>_Calc!G53</f>
        <v/>
      </c>
      <c r="G53" s="122">
        <f>_Calc!H53</f>
        <v/>
      </c>
      <c r="H53" s="62">
        <f>_Calc!I53</f>
        <v/>
      </c>
      <c r="I53" s="123">
        <f>IF(INDEX(DebtNames,1)="","",_Calc!M53)</f>
        <v/>
      </c>
      <c r="J53" s="123">
        <f>IF(INDEX(DebtNames,2)="","",_Calc!Q53)</f>
        <v/>
      </c>
      <c r="K53" s="123">
        <f>IF(INDEX(DebtNames,3)="","",_Calc!U53)</f>
        <v/>
      </c>
      <c r="L53" s="123">
        <f>IF(INDEX(DebtNames,4)="","",_Calc!Y53)</f>
        <v/>
      </c>
      <c r="M53" s="123">
        <f>IF(INDEX(DebtNames,5)="","",_Calc!AC53)</f>
        <v/>
      </c>
      <c r="N53" s="123">
        <f>IF(INDEX(DebtNames,6)="","",_Calc!AG53)</f>
        <v/>
      </c>
      <c r="O53" s="123">
        <f>IF(INDEX(DebtNames,7)="","",_Calc!AK53)</f>
        <v/>
      </c>
      <c r="P53" s="123">
        <f>IF(INDEX(DebtNames,8)="","",_Calc!AO53)</f>
        <v/>
      </c>
    </row>
    <row r="54" ht="16" customHeight="1">
      <c r="A54" s="62">
        <f>_Calc!A54</f>
        <v/>
      </c>
      <c r="B54" s="120">
        <f>_Calc!B54</f>
        <v/>
      </c>
      <c r="C54" s="64">
        <f>_Calc!C54</f>
        <v/>
      </c>
      <c r="D54" s="121">
        <f>_Calc!E54</f>
        <v/>
      </c>
      <c r="E54" s="121">
        <f>_Calc!F54</f>
        <v/>
      </c>
      <c r="F54" s="121">
        <f>_Calc!G54</f>
        <v/>
      </c>
      <c r="G54" s="122">
        <f>_Calc!H54</f>
        <v/>
      </c>
      <c r="H54" s="62">
        <f>_Calc!I54</f>
        <v/>
      </c>
      <c r="I54" s="123">
        <f>IF(INDEX(DebtNames,1)="","",_Calc!M54)</f>
        <v/>
      </c>
      <c r="J54" s="123">
        <f>IF(INDEX(DebtNames,2)="","",_Calc!Q54)</f>
        <v/>
      </c>
      <c r="K54" s="123">
        <f>IF(INDEX(DebtNames,3)="","",_Calc!U54)</f>
        <v/>
      </c>
      <c r="L54" s="123">
        <f>IF(INDEX(DebtNames,4)="","",_Calc!Y54)</f>
        <v/>
      </c>
      <c r="M54" s="123">
        <f>IF(INDEX(DebtNames,5)="","",_Calc!AC54)</f>
        <v/>
      </c>
      <c r="N54" s="123">
        <f>IF(INDEX(DebtNames,6)="","",_Calc!AG54)</f>
        <v/>
      </c>
      <c r="O54" s="123">
        <f>IF(INDEX(DebtNames,7)="","",_Calc!AK54)</f>
        <v/>
      </c>
      <c r="P54" s="123">
        <f>IF(INDEX(DebtNames,8)="","",_Calc!AO54)</f>
        <v/>
      </c>
    </row>
    <row r="55" ht="16" customHeight="1">
      <c r="A55" s="62">
        <f>_Calc!A55</f>
        <v/>
      </c>
      <c r="B55" s="120">
        <f>_Calc!B55</f>
        <v/>
      </c>
      <c r="C55" s="64">
        <f>_Calc!C55</f>
        <v/>
      </c>
      <c r="D55" s="121">
        <f>_Calc!E55</f>
        <v/>
      </c>
      <c r="E55" s="121">
        <f>_Calc!F55</f>
        <v/>
      </c>
      <c r="F55" s="121">
        <f>_Calc!G55</f>
        <v/>
      </c>
      <c r="G55" s="122">
        <f>_Calc!H55</f>
        <v/>
      </c>
      <c r="H55" s="62">
        <f>_Calc!I55</f>
        <v/>
      </c>
      <c r="I55" s="123">
        <f>IF(INDEX(DebtNames,1)="","",_Calc!M55)</f>
        <v/>
      </c>
      <c r="J55" s="123">
        <f>IF(INDEX(DebtNames,2)="","",_Calc!Q55)</f>
        <v/>
      </c>
      <c r="K55" s="123">
        <f>IF(INDEX(DebtNames,3)="","",_Calc!U55)</f>
        <v/>
      </c>
      <c r="L55" s="123">
        <f>IF(INDEX(DebtNames,4)="","",_Calc!Y55)</f>
        <v/>
      </c>
      <c r="M55" s="123">
        <f>IF(INDEX(DebtNames,5)="","",_Calc!AC55)</f>
        <v/>
      </c>
      <c r="N55" s="123">
        <f>IF(INDEX(DebtNames,6)="","",_Calc!AG55)</f>
        <v/>
      </c>
      <c r="O55" s="123">
        <f>IF(INDEX(DebtNames,7)="","",_Calc!AK55)</f>
        <v/>
      </c>
      <c r="P55" s="123">
        <f>IF(INDEX(DebtNames,8)="","",_Calc!AO55)</f>
        <v/>
      </c>
    </row>
    <row r="56" ht="16" customHeight="1">
      <c r="A56" s="62">
        <f>_Calc!A56</f>
        <v/>
      </c>
      <c r="B56" s="120">
        <f>_Calc!B56</f>
        <v/>
      </c>
      <c r="C56" s="64">
        <f>_Calc!C56</f>
        <v/>
      </c>
      <c r="D56" s="121">
        <f>_Calc!E56</f>
        <v/>
      </c>
      <c r="E56" s="121">
        <f>_Calc!F56</f>
        <v/>
      </c>
      <c r="F56" s="121">
        <f>_Calc!G56</f>
        <v/>
      </c>
      <c r="G56" s="122">
        <f>_Calc!H56</f>
        <v/>
      </c>
      <c r="H56" s="62">
        <f>_Calc!I56</f>
        <v/>
      </c>
      <c r="I56" s="123">
        <f>IF(INDEX(DebtNames,1)="","",_Calc!M56)</f>
        <v/>
      </c>
      <c r="J56" s="123">
        <f>IF(INDEX(DebtNames,2)="","",_Calc!Q56)</f>
        <v/>
      </c>
      <c r="K56" s="123">
        <f>IF(INDEX(DebtNames,3)="","",_Calc!U56)</f>
        <v/>
      </c>
      <c r="L56" s="123">
        <f>IF(INDEX(DebtNames,4)="","",_Calc!Y56)</f>
        <v/>
      </c>
      <c r="M56" s="123">
        <f>IF(INDEX(DebtNames,5)="","",_Calc!AC56)</f>
        <v/>
      </c>
      <c r="N56" s="123">
        <f>IF(INDEX(DebtNames,6)="","",_Calc!AG56)</f>
        <v/>
      </c>
      <c r="O56" s="123">
        <f>IF(INDEX(DebtNames,7)="","",_Calc!AK56)</f>
        <v/>
      </c>
      <c r="P56" s="123">
        <f>IF(INDEX(DebtNames,8)="","",_Calc!AO56)</f>
        <v/>
      </c>
    </row>
    <row r="57" ht="16" customHeight="1">
      <c r="A57" s="62">
        <f>_Calc!A57</f>
        <v/>
      </c>
      <c r="B57" s="120">
        <f>_Calc!B57</f>
        <v/>
      </c>
      <c r="C57" s="64">
        <f>_Calc!C57</f>
        <v/>
      </c>
      <c r="D57" s="121">
        <f>_Calc!E57</f>
        <v/>
      </c>
      <c r="E57" s="121">
        <f>_Calc!F57</f>
        <v/>
      </c>
      <c r="F57" s="121">
        <f>_Calc!G57</f>
        <v/>
      </c>
      <c r="G57" s="122">
        <f>_Calc!H57</f>
        <v/>
      </c>
      <c r="H57" s="62">
        <f>_Calc!I57</f>
        <v/>
      </c>
      <c r="I57" s="123">
        <f>IF(INDEX(DebtNames,1)="","",_Calc!M57)</f>
        <v/>
      </c>
      <c r="J57" s="123">
        <f>IF(INDEX(DebtNames,2)="","",_Calc!Q57)</f>
        <v/>
      </c>
      <c r="K57" s="123">
        <f>IF(INDEX(DebtNames,3)="","",_Calc!U57)</f>
        <v/>
      </c>
      <c r="L57" s="123">
        <f>IF(INDEX(DebtNames,4)="","",_Calc!Y57)</f>
        <v/>
      </c>
      <c r="M57" s="123">
        <f>IF(INDEX(DebtNames,5)="","",_Calc!AC57)</f>
        <v/>
      </c>
      <c r="N57" s="123">
        <f>IF(INDEX(DebtNames,6)="","",_Calc!AG57)</f>
        <v/>
      </c>
      <c r="O57" s="123">
        <f>IF(INDEX(DebtNames,7)="","",_Calc!AK57)</f>
        <v/>
      </c>
      <c r="P57" s="123">
        <f>IF(INDEX(DebtNames,8)="","",_Calc!AO57)</f>
        <v/>
      </c>
    </row>
    <row r="58" ht="16" customHeight="1">
      <c r="A58" s="62">
        <f>_Calc!A58</f>
        <v/>
      </c>
      <c r="B58" s="120">
        <f>_Calc!B58</f>
        <v/>
      </c>
      <c r="C58" s="64">
        <f>_Calc!C58</f>
        <v/>
      </c>
      <c r="D58" s="121">
        <f>_Calc!E58</f>
        <v/>
      </c>
      <c r="E58" s="121">
        <f>_Calc!F58</f>
        <v/>
      </c>
      <c r="F58" s="121">
        <f>_Calc!G58</f>
        <v/>
      </c>
      <c r="G58" s="122">
        <f>_Calc!H58</f>
        <v/>
      </c>
      <c r="H58" s="62">
        <f>_Calc!I58</f>
        <v/>
      </c>
      <c r="I58" s="123">
        <f>IF(INDEX(DebtNames,1)="","",_Calc!M58)</f>
        <v/>
      </c>
      <c r="J58" s="123">
        <f>IF(INDEX(DebtNames,2)="","",_Calc!Q58)</f>
        <v/>
      </c>
      <c r="K58" s="123">
        <f>IF(INDEX(DebtNames,3)="","",_Calc!U58)</f>
        <v/>
      </c>
      <c r="L58" s="123">
        <f>IF(INDEX(DebtNames,4)="","",_Calc!Y58)</f>
        <v/>
      </c>
      <c r="M58" s="123">
        <f>IF(INDEX(DebtNames,5)="","",_Calc!AC58)</f>
        <v/>
      </c>
      <c r="N58" s="123">
        <f>IF(INDEX(DebtNames,6)="","",_Calc!AG58)</f>
        <v/>
      </c>
      <c r="O58" s="123">
        <f>IF(INDEX(DebtNames,7)="","",_Calc!AK58)</f>
        <v/>
      </c>
      <c r="P58" s="123">
        <f>IF(INDEX(DebtNames,8)="","",_Calc!AO58)</f>
        <v/>
      </c>
    </row>
    <row r="59" ht="16" customHeight="1">
      <c r="A59" s="62">
        <f>_Calc!A59</f>
        <v/>
      </c>
      <c r="B59" s="120">
        <f>_Calc!B59</f>
        <v/>
      </c>
      <c r="C59" s="64">
        <f>_Calc!C59</f>
        <v/>
      </c>
      <c r="D59" s="121">
        <f>_Calc!E59</f>
        <v/>
      </c>
      <c r="E59" s="121">
        <f>_Calc!F59</f>
        <v/>
      </c>
      <c r="F59" s="121">
        <f>_Calc!G59</f>
        <v/>
      </c>
      <c r="G59" s="122">
        <f>_Calc!H59</f>
        <v/>
      </c>
      <c r="H59" s="62">
        <f>_Calc!I59</f>
        <v/>
      </c>
      <c r="I59" s="123">
        <f>IF(INDEX(DebtNames,1)="","",_Calc!M59)</f>
        <v/>
      </c>
      <c r="J59" s="123">
        <f>IF(INDEX(DebtNames,2)="","",_Calc!Q59)</f>
        <v/>
      </c>
      <c r="K59" s="123">
        <f>IF(INDEX(DebtNames,3)="","",_Calc!U59)</f>
        <v/>
      </c>
      <c r="L59" s="123">
        <f>IF(INDEX(DebtNames,4)="","",_Calc!Y59)</f>
        <v/>
      </c>
      <c r="M59" s="123">
        <f>IF(INDEX(DebtNames,5)="","",_Calc!AC59)</f>
        <v/>
      </c>
      <c r="N59" s="123">
        <f>IF(INDEX(DebtNames,6)="","",_Calc!AG59)</f>
        <v/>
      </c>
      <c r="O59" s="123">
        <f>IF(INDEX(DebtNames,7)="","",_Calc!AK59)</f>
        <v/>
      </c>
      <c r="P59" s="123">
        <f>IF(INDEX(DebtNames,8)="","",_Calc!AO59)</f>
        <v/>
      </c>
    </row>
    <row r="60" ht="16" customHeight="1">
      <c r="A60" s="62">
        <f>_Calc!A60</f>
        <v/>
      </c>
      <c r="B60" s="120">
        <f>_Calc!B60</f>
        <v/>
      </c>
      <c r="C60" s="64">
        <f>_Calc!C60</f>
        <v/>
      </c>
      <c r="D60" s="121">
        <f>_Calc!E60</f>
        <v/>
      </c>
      <c r="E60" s="121">
        <f>_Calc!F60</f>
        <v/>
      </c>
      <c r="F60" s="121">
        <f>_Calc!G60</f>
        <v/>
      </c>
      <c r="G60" s="122">
        <f>_Calc!H60</f>
        <v/>
      </c>
      <c r="H60" s="62">
        <f>_Calc!I60</f>
        <v/>
      </c>
      <c r="I60" s="123">
        <f>IF(INDEX(DebtNames,1)="","",_Calc!M60)</f>
        <v/>
      </c>
      <c r="J60" s="123">
        <f>IF(INDEX(DebtNames,2)="","",_Calc!Q60)</f>
        <v/>
      </c>
      <c r="K60" s="123">
        <f>IF(INDEX(DebtNames,3)="","",_Calc!U60)</f>
        <v/>
      </c>
      <c r="L60" s="123">
        <f>IF(INDEX(DebtNames,4)="","",_Calc!Y60)</f>
        <v/>
      </c>
      <c r="M60" s="123">
        <f>IF(INDEX(DebtNames,5)="","",_Calc!AC60)</f>
        <v/>
      </c>
      <c r="N60" s="123">
        <f>IF(INDEX(DebtNames,6)="","",_Calc!AG60)</f>
        <v/>
      </c>
      <c r="O60" s="123">
        <f>IF(INDEX(DebtNames,7)="","",_Calc!AK60)</f>
        <v/>
      </c>
      <c r="P60" s="123">
        <f>IF(INDEX(DebtNames,8)="","",_Calc!AO60)</f>
        <v/>
      </c>
    </row>
    <row r="61" ht="16" customHeight="1">
      <c r="A61" s="62">
        <f>_Calc!A61</f>
        <v/>
      </c>
      <c r="B61" s="120">
        <f>_Calc!B61</f>
        <v/>
      </c>
      <c r="C61" s="64">
        <f>_Calc!C61</f>
        <v/>
      </c>
      <c r="D61" s="121">
        <f>_Calc!E61</f>
        <v/>
      </c>
      <c r="E61" s="121">
        <f>_Calc!F61</f>
        <v/>
      </c>
      <c r="F61" s="121">
        <f>_Calc!G61</f>
        <v/>
      </c>
      <c r="G61" s="122">
        <f>_Calc!H61</f>
        <v/>
      </c>
      <c r="H61" s="62">
        <f>_Calc!I61</f>
        <v/>
      </c>
      <c r="I61" s="123">
        <f>IF(INDEX(DebtNames,1)="","",_Calc!M61)</f>
        <v/>
      </c>
      <c r="J61" s="123">
        <f>IF(INDEX(DebtNames,2)="","",_Calc!Q61)</f>
        <v/>
      </c>
      <c r="K61" s="123">
        <f>IF(INDEX(DebtNames,3)="","",_Calc!U61)</f>
        <v/>
      </c>
      <c r="L61" s="123">
        <f>IF(INDEX(DebtNames,4)="","",_Calc!Y61)</f>
        <v/>
      </c>
      <c r="M61" s="123">
        <f>IF(INDEX(DebtNames,5)="","",_Calc!AC61)</f>
        <v/>
      </c>
      <c r="N61" s="123">
        <f>IF(INDEX(DebtNames,6)="","",_Calc!AG61)</f>
        <v/>
      </c>
      <c r="O61" s="123">
        <f>IF(INDEX(DebtNames,7)="","",_Calc!AK61)</f>
        <v/>
      </c>
      <c r="P61" s="123">
        <f>IF(INDEX(DebtNames,8)="","",_Calc!AO61)</f>
        <v/>
      </c>
    </row>
    <row r="62" ht="16" customHeight="1">
      <c r="A62" s="62">
        <f>_Calc!A62</f>
        <v/>
      </c>
      <c r="B62" s="120">
        <f>_Calc!B62</f>
        <v/>
      </c>
      <c r="C62" s="64">
        <f>_Calc!C62</f>
        <v/>
      </c>
      <c r="D62" s="121">
        <f>_Calc!E62</f>
        <v/>
      </c>
      <c r="E62" s="121">
        <f>_Calc!F62</f>
        <v/>
      </c>
      <c r="F62" s="121">
        <f>_Calc!G62</f>
        <v/>
      </c>
      <c r="G62" s="122">
        <f>_Calc!H62</f>
        <v/>
      </c>
      <c r="H62" s="62">
        <f>_Calc!I62</f>
        <v/>
      </c>
      <c r="I62" s="123">
        <f>IF(INDEX(DebtNames,1)="","",_Calc!M62)</f>
        <v/>
      </c>
      <c r="J62" s="123">
        <f>IF(INDEX(DebtNames,2)="","",_Calc!Q62)</f>
        <v/>
      </c>
      <c r="K62" s="123">
        <f>IF(INDEX(DebtNames,3)="","",_Calc!U62)</f>
        <v/>
      </c>
      <c r="L62" s="123">
        <f>IF(INDEX(DebtNames,4)="","",_Calc!Y62)</f>
        <v/>
      </c>
      <c r="M62" s="123">
        <f>IF(INDEX(DebtNames,5)="","",_Calc!AC62)</f>
        <v/>
      </c>
      <c r="N62" s="123">
        <f>IF(INDEX(DebtNames,6)="","",_Calc!AG62)</f>
        <v/>
      </c>
      <c r="O62" s="123">
        <f>IF(INDEX(DebtNames,7)="","",_Calc!AK62)</f>
        <v/>
      </c>
      <c r="P62" s="123">
        <f>IF(INDEX(DebtNames,8)="","",_Calc!AO62)</f>
        <v/>
      </c>
    </row>
    <row r="63" ht="16" customHeight="1">
      <c r="A63" s="62">
        <f>_Calc!A63</f>
        <v/>
      </c>
      <c r="B63" s="120">
        <f>_Calc!B63</f>
        <v/>
      </c>
      <c r="C63" s="64">
        <f>_Calc!C63</f>
        <v/>
      </c>
      <c r="D63" s="121">
        <f>_Calc!E63</f>
        <v/>
      </c>
      <c r="E63" s="121">
        <f>_Calc!F63</f>
        <v/>
      </c>
      <c r="F63" s="121">
        <f>_Calc!G63</f>
        <v/>
      </c>
      <c r="G63" s="122">
        <f>_Calc!H63</f>
        <v/>
      </c>
      <c r="H63" s="62">
        <f>_Calc!I63</f>
        <v/>
      </c>
      <c r="I63" s="123">
        <f>IF(INDEX(DebtNames,1)="","",_Calc!M63)</f>
        <v/>
      </c>
      <c r="J63" s="123">
        <f>IF(INDEX(DebtNames,2)="","",_Calc!Q63)</f>
        <v/>
      </c>
      <c r="K63" s="123">
        <f>IF(INDEX(DebtNames,3)="","",_Calc!U63)</f>
        <v/>
      </c>
      <c r="L63" s="123">
        <f>IF(INDEX(DebtNames,4)="","",_Calc!Y63)</f>
        <v/>
      </c>
      <c r="M63" s="123">
        <f>IF(INDEX(DebtNames,5)="","",_Calc!AC63)</f>
        <v/>
      </c>
      <c r="N63" s="123">
        <f>IF(INDEX(DebtNames,6)="","",_Calc!AG63)</f>
        <v/>
      </c>
      <c r="O63" s="123">
        <f>IF(INDEX(DebtNames,7)="","",_Calc!AK63)</f>
        <v/>
      </c>
      <c r="P63" s="123">
        <f>IF(INDEX(DebtNames,8)="","",_Calc!AO63)</f>
        <v/>
      </c>
    </row>
    <row r="64" ht="16" customHeight="1">
      <c r="A64" s="62">
        <f>_Calc!A64</f>
        <v/>
      </c>
      <c r="B64" s="120">
        <f>_Calc!B64</f>
        <v/>
      </c>
      <c r="C64" s="64">
        <f>_Calc!C64</f>
        <v/>
      </c>
      <c r="D64" s="121">
        <f>_Calc!E64</f>
        <v/>
      </c>
      <c r="E64" s="121">
        <f>_Calc!F64</f>
        <v/>
      </c>
      <c r="F64" s="121">
        <f>_Calc!G64</f>
        <v/>
      </c>
      <c r="G64" s="122">
        <f>_Calc!H64</f>
        <v/>
      </c>
      <c r="H64" s="62">
        <f>_Calc!I64</f>
        <v/>
      </c>
      <c r="I64" s="123">
        <f>IF(INDEX(DebtNames,1)="","",_Calc!M64)</f>
        <v/>
      </c>
      <c r="J64" s="123">
        <f>IF(INDEX(DebtNames,2)="","",_Calc!Q64)</f>
        <v/>
      </c>
      <c r="K64" s="123">
        <f>IF(INDEX(DebtNames,3)="","",_Calc!U64)</f>
        <v/>
      </c>
      <c r="L64" s="123">
        <f>IF(INDEX(DebtNames,4)="","",_Calc!Y64)</f>
        <v/>
      </c>
      <c r="M64" s="123">
        <f>IF(INDEX(DebtNames,5)="","",_Calc!AC64)</f>
        <v/>
      </c>
      <c r="N64" s="123">
        <f>IF(INDEX(DebtNames,6)="","",_Calc!AG64)</f>
        <v/>
      </c>
      <c r="O64" s="123">
        <f>IF(INDEX(DebtNames,7)="","",_Calc!AK64)</f>
        <v/>
      </c>
      <c r="P64" s="123">
        <f>IF(INDEX(DebtNames,8)="","",_Calc!AO64)</f>
        <v/>
      </c>
    </row>
    <row r="65" ht="16" customHeight="1">
      <c r="A65" s="62">
        <f>_Calc!A65</f>
        <v/>
      </c>
      <c r="B65" s="120">
        <f>_Calc!B65</f>
        <v/>
      </c>
      <c r="C65" s="64">
        <f>_Calc!C65</f>
        <v/>
      </c>
      <c r="D65" s="121">
        <f>_Calc!E65</f>
        <v/>
      </c>
      <c r="E65" s="121">
        <f>_Calc!F65</f>
        <v/>
      </c>
      <c r="F65" s="121">
        <f>_Calc!G65</f>
        <v/>
      </c>
      <c r="G65" s="122">
        <f>_Calc!H65</f>
        <v/>
      </c>
      <c r="H65" s="62">
        <f>_Calc!I65</f>
        <v/>
      </c>
      <c r="I65" s="123">
        <f>IF(INDEX(DebtNames,1)="","",_Calc!M65)</f>
        <v/>
      </c>
      <c r="J65" s="123">
        <f>IF(INDEX(DebtNames,2)="","",_Calc!Q65)</f>
        <v/>
      </c>
      <c r="K65" s="123">
        <f>IF(INDEX(DebtNames,3)="","",_Calc!U65)</f>
        <v/>
      </c>
      <c r="L65" s="123">
        <f>IF(INDEX(DebtNames,4)="","",_Calc!Y65)</f>
        <v/>
      </c>
      <c r="M65" s="123">
        <f>IF(INDEX(DebtNames,5)="","",_Calc!AC65)</f>
        <v/>
      </c>
      <c r="N65" s="123">
        <f>IF(INDEX(DebtNames,6)="","",_Calc!AG65)</f>
        <v/>
      </c>
      <c r="O65" s="123">
        <f>IF(INDEX(DebtNames,7)="","",_Calc!AK65)</f>
        <v/>
      </c>
      <c r="P65" s="123">
        <f>IF(INDEX(DebtNames,8)="","",_Calc!AO65)</f>
        <v/>
      </c>
    </row>
    <row r="66" ht="16" customHeight="1">
      <c r="A66" s="62">
        <f>_Calc!A66</f>
        <v/>
      </c>
      <c r="B66" s="120">
        <f>_Calc!B66</f>
        <v/>
      </c>
      <c r="C66" s="64">
        <f>_Calc!C66</f>
        <v/>
      </c>
      <c r="D66" s="121">
        <f>_Calc!E66</f>
        <v/>
      </c>
      <c r="E66" s="121">
        <f>_Calc!F66</f>
        <v/>
      </c>
      <c r="F66" s="121">
        <f>_Calc!G66</f>
        <v/>
      </c>
      <c r="G66" s="122">
        <f>_Calc!H66</f>
        <v/>
      </c>
      <c r="H66" s="62">
        <f>_Calc!I66</f>
        <v/>
      </c>
      <c r="I66" s="123">
        <f>IF(INDEX(DebtNames,1)="","",_Calc!M66)</f>
        <v/>
      </c>
      <c r="J66" s="123">
        <f>IF(INDEX(DebtNames,2)="","",_Calc!Q66)</f>
        <v/>
      </c>
      <c r="K66" s="123">
        <f>IF(INDEX(DebtNames,3)="","",_Calc!U66)</f>
        <v/>
      </c>
      <c r="L66" s="123">
        <f>IF(INDEX(DebtNames,4)="","",_Calc!Y66)</f>
        <v/>
      </c>
      <c r="M66" s="123">
        <f>IF(INDEX(DebtNames,5)="","",_Calc!AC66)</f>
        <v/>
      </c>
      <c r="N66" s="123">
        <f>IF(INDEX(DebtNames,6)="","",_Calc!AG66)</f>
        <v/>
      </c>
      <c r="O66" s="123">
        <f>IF(INDEX(DebtNames,7)="","",_Calc!AK66)</f>
        <v/>
      </c>
      <c r="P66" s="123">
        <f>IF(INDEX(DebtNames,8)="","",_Calc!AO66)</f>
        <v/>
      </c>
    </row>
    <row r="67" ht="16" customHeight="1">
      <c r="A67" s="62">
        <f>_Calc!A67</f>
        <v/>
      </c>
      <c r="B67" s="120">
        <f>_Calc!B67</f>
        <v/>
      </c>
      <c r="C67" s="64">
        <f>_Calc!C67</f>
        <v/>
      </c>
      <c r="D67" s="121">
        <f>_Calc!E67</f>
        <v/>
      </c>
      <c r="E67" s="121">
        <f>_Calc!F67</f>
        <v/>
      </c>
      <c r="F67" s="121">
        <f>_Calc!G67</f>
        <v/>
      </c>
      <c r="G67" s="122">
        <f>_Calc!H67</f>
        <v/>
      </c>
      <c r="H67" s="62">
        <f>_Calc!I67</f>
        <v/>
      </c>
      <c r="I67" s="123">
        <f>IF(INDEX(DebtNames,1)="","",_Calc!M67)</f>
        <v/>
      </c>
      <c r="J67" s="123">
        <f>IF(INDEX(DebtNames,2)="","",_Calc!Q67)</f>
        <v/>
      </c>
      <c r="K67" s="123">
        <f>IF(INDEX(DebtNames,3)="","",_Calc!U67)</f>
        <v/>
      </c>
      <c r="L67" s="123">
        <f>IF(INDEX(DebtNames,4)="","",_Calc!Y67)</f>
        <v/>
      </c>
      <c r="M67" s="123">
        <f>IF(INDEX(DebtNames,5)="","",_Calc!AC67)</f>
        <v/>
      </c>
      <c r="N67" s="123">
        <f>IF(INDEX(DebtNames,6)="","",_Calc!AG67)</f>
        <v/>
      </c>
      <c r="O67" s="123">
        <f>IF(INDEX(DebtNames,7)="","",_Calc!AK67)</f>
        <v/>
      </c>
      <c r="P67" s="123">
        <f>IF(INDEX(DebtNames,8)="","",_Calc!AO67)</f>
        <v/>
      </c>
    </row>
    <row r="68" ht="16" customHeight="1">
      <c r="A68" s="62">
        <f>_Calc!A68</f>
        <v/>
      </c>
      <c r="B68" s="120">
        <f>_Calc!B68</f>
        <v/>
      </c>
      <c r="C68" s="64">
        <f>_Calc!C68</f>
        <v/>
      </c>
      <c r="D68" s="121">
        <f>_Calc!E68</f>
        <v/>
      </c>
      <c r="E68" s="121">
        <f>_Calc!F68</f>
        <v/>
      </c>
      <c r="F68" s="121">
        <f>_Calc!G68</f>
        <v/>
      </c>
      <c r="G68" s="122">
        <f>_Calc!H68</f>
        <v/>
      </c>
      <c r="H68" s="62">
        <f>_Calc!I68</f>
        <v/>
      </c>
      <c r="I68" s="123">
        <f>IF(INDEX(DebtNames,1)="","",_Calc!M68)</f>
        <v/>
      </c>
      <c r="J68" s="123">
        <f>IF(INDEX(DebtNames,2)="","",_Calc!Q68)</f>
        <v/>
      </c>
      <c r="K68" s="123">
        <f>IF(INDEX(DebtNames,3)="","",_Calc!U68)</f>
        <v/>
      </c>
      <c r="L68" s="123">
        <f>IF(INDEX(DebtNames,4)="","",_Calc!Y68)</f>
        <v/>
      </c>
      <c r="M68" s="123">
        <f>IF(INDEX(DebtNames,5)="","",_Calc!AC68)</f>
        <v/>
      </c>
      <c r="N68" s="123">
        <f>IF(INDEX(DebtNames,6)="","",_Calc!AG68)</f>
        <v/>
      </c>
      <c r="O68" s="123">
        <f>IF(INDEX(DebtNames,7)="","",_Calc!AK68)</f>
        <v/>
      </c>
      <c r="P68" s="123">
        <f>IF(INDEX(DebtNames,8)="","",_Calc!AO68)</f>
        <v/>
      </c>
    </row>
    <row r="69" ht="16" customHeight="1">
      <c r="A69" s="62">
        <f>_Calc!A69</f>
        <v/>
      </c>
      <c r="B69" s="120">
        <f>_Calc!B69</f>
        <v/>
      </c>
      <c r="C69" s="64">
        <f>_Calc!C69</f>
        <v/>
      </c>
      <c r="D69" s="121">
        <f>_Calc!E69</f>
        <v/>
      </c>
      <c r="E69" s="121">
        <f>_Calc!F69</f>
        <v/>
      </c>
      <c r="F69" s="121">
        <f>_Calc!G69</f>
        <v/>
      </c>
      <c r="G69" s="122">
        <f>_Calc!H69</f>
        <v/>
      </c>
      <c r="H69" s="62">
        <f>_Calc!I69</f>
        <v/>
      </c>
      <c r="I69" s="123">
        <f>IF(INDEX(DebtNames,1)="","",_Calc!M69)</f>
        <v/>
      </c>
      <c r="J69" s="123">
        <f>IF(INDEX(DebtNames,2)="","",_Calc!Q69)</f>
        <v/>
      </c>
      <c r="K69" s="123">
        <f>IF(INDEX(DebtNames,3)="","",_Calc!U69)</f>
        <v/>
      </c>
      <c r="L69" s="123">
        <f>IF(INDEX(DebtNames,4)="","",_Calc!Y69)</f>
        <v/>
      </c>
      <c r="M69" s="123">
        <f>IF(INDEX(DebtNames,5)="","",_Calc!AC69)</f>
        <v/>
      </c>
      <c r="N69" s="123">
        <f>IF(INDEX(DebtNames,6)="","",_Calc!AG69)</f>
        <v/>
      </c>
      <c r="O69" s="123">
        <f>IF(INDEX(DebtNames,7)="","",_Calc!AK69)</f>
        <v/>
      </c>
      <c r="P69" s="123">
        <f>IF(INDEX(DebtNames,8)="","",_Calc!AO69)</f>
        <v/>
      </c>
    </row>
    <row r="70" ht="16" customHeight="1">
      <c r="A70" s="62">
        <f>_Calc!A70</f>
        <v/>
      </c>
      <c r="B70" s="120">
        <f>_Calc!B70</f>
        <v/>
      </c>
      <c r="C70" s="64">
        <f>_Calc!C70</f>
        <v/>
      </c>
      <c r="D70" s="121">
        <f>_Calc!E70</f>
        <v/>
      </c>
      <c r="E70" s="121">
        <f>_Calc!F70</f>
        <v/>
      </c>
      <c r="F70" s="121">
        <f>_Calc!G70</f>
        <v/>
      </c>
      <c r="G70" s="122">
        <f>_Calc!H70</f>
        <v/>
      </c>
      <c r="H70" s="62">
        <f>_Calc!I70</f>
        <v/>
      </c>
      <c r="I70" s="123">
        <f>IF(INDEX(DebtNames,1)="","",_Calc!M70)</f>
        <v/>
      </c>
      <c r="J70" s="123">
        <f>IF(INDEX(DebtNames,2)="","",_Calc!Q70)</f>
        <v/>
      </c>
      <c r="K70" s="123">
        <f>IF(INDEX(DebtNames,3)="","",_Calc!U70)</f>
        <v/>
      </c>
      <c r="L70" s="123">
        <f>IF(INDEX(DebtNames,4)="","",_Calc!Y70)</f>
        <v/>
      </c>
      <c r="M70" s="123">
        <f>IF(INDEX(DebtNames,5)="","",_Calc!AC70)</f>
        <v/>
      </c>
      <c r="N70" s="123">
        <f>IF(INDEX(DebtNames,6)="","",_Calc!AG70)</f>
        <v/>
      </c>
      <c r="O70" s="123">
        <f>IF(INDEX(DebtNames,7)="","",_Calc!AK70)</f>
        <v/>
      </c>
      <c r="P70" s="123">
        <f>IF(INDEX(DebtNames,8)="","",_Calc!AO70)</f>
        <v/>
      </c>
    </row>
    <row r="71" ht="16" customHeight="1">
      <c r="A71" s="62">
        <f>_Calc!A71</f>
        <v/>
      </c>
      <c r="B71" s="120">
        <f>_Calc!B71</f>
        <v/>
      </c>
      <c r="C71" s="64">
        <f>_Calc!C71</f>
        <v/>
      </c>
      <c r="D71" s="121">
        <f>_Calc!E71</f>
        <v/>
      </c>
      <c r="E71" s="121">
        <f>_Calc!F71</f>
        <v/>
      </c>
      <c r="F71" s="121">
        <f>_Calc!G71</f>
        <v/>
      </c>
      <c r="G71" s="122">
        <f>_Calc!H71</f>
        <v/>
      </c>
      <c r="H71" s="62">
        <f>_Calc!I71</f>
        <v/>
      </c>
      <c r="I71" s="123">
        <f>IF(INDEX(DebtNames,1)="","",_Calc!M71)</f>
        <v/>
      </c>
      <c r="J71" s="123">
        <f>IF(INDEX(DebtNames,2)="","",_Calc!Q71)</f>
        <v/>
      </c>
      <c r="K71" s="123">
        <f>IF(INDEX(DebtNames,3)="","",_Calc!U71)</f>
        <v/>
      </c>
      <c r="L71" s="123">
        <f>IF(INDEX(DebtNames,4)="","",_Calc!Y71)</f>
        <v/>
      </c>
      <c r="M71" s="123">
        <f>IF(INDEX(DebtNames,5)="","",_Calc!AC71)</f>
        <v/>
      </c>
      <c r="N71" s="123">
        <f>IF(INDEX(DebtNames,6)="","",_Calc!AG71)</f>
        <v/>
      </c>
      <c r="O71" s="123">
        <f>IF(INDEX(DebtNames,7)="","",_Calc!AK71)</f>
        <v/>
      </c>
      <c r="P71" s="123">
        <f>IF(INDEX(DebtNames,8)="","",_Calc!AO71)</f>
        <v/>
      </c>
    </row>
    <row r="72" ht="16" customHeight="1">
      <c r="A72" s="62">
        <f>_Calc!A72</f>
        <v/>
      </c>
      <c r="B72" s="120">
        <f>_Calc!B72</f>
        <v/>
      </c>
      <c r="C72" s="64">
        <f>_Calc!C72</f>
        <v/>
      </c>
      <c r="D72" s="121">
        <f>_Calc!E72</f>
        <v/>
      </c>
      <c r="E72" s="121">
        <f>_Calc!F72</f>
        <v/>
      </c>
      <c r="F72" s="121">
        <f>_Calc!G72</f>
        <v/>
      </c>
      <c r="G72" s="122">
        <f>_Calc!H72</f>
        <v/>
      </c>
      <c r="H72" s="62">
        <f>_Calc!I72</f>
        <v/>
      </c>
      <c r="I72" s="123">
        <f>IF(INDEX(DebtNames,1)="","",_Calc!M72)</f>
        <v/>
      </c>
      <c r="J72" s="123">
        <f>IF(INDEX(DebtNames,2)="","",_Calc!Q72)</f>
        <v/>
      </c>
      <c r="K72" s="123">
        <f>IF(INDEX(DebtNames,3)="","",_Calc!U72)</f>
        <v/>
      </c>
      <c r="L72" s="123">
        <f>IF(INDEX(DebtNames,4)="","",_Calc!Y72)</f>
        <v/>
      </c>
      <c r="M72" s="123">
        <f>IF(INDEX(DebtNames,5)="","",_Calc!AC72)</f>
        <v/>
      </c>
      <c r="N72" s="123">
        <f>IF(INDEX(DebtNames,6)="","",_Calc!AG72)</f>
        <v/>
      </c>
      <c r="O72" s="123">
        <f>IF(INDEX(DebtNames,7)="","",_Calc!AK72)</f>
        <v/>
      </c>
      <c r="P72" s="123">
        <f>IF(INDEX(DebtNames,8)="","",_Calc!AO72)</f>
        <v/>
      </c>
    </row>
    <row r="73" ht="16" customHeight="1">
      <c r="A73" s="62">
        <f>_Calc!A73</f>
        <v/>
      </c>
      <c r="B73" s="120">
        <f>_Calc!B73</f>
        <v/>
      </c>
      <c r="C73" s="64">
        <f>_Calc!C73</f>
        <v/>
      </c>
      <c r="D73" s="121">
        <f>_Calc!E73</f>
        <v/>
      </c>
      <c r="E73" s="121">
        <f>_Calc!F73</f>
        <v/>
      </c>
      <c r="F73" s="121">
        <f>_Calc!G73</f>
        <v/>
      </c>
      <c r="G73" s="122">
        <f>_Calc!H73</f>
        <v/>
      </c>
      <c r="H73" s="62">
        <f>_Calc!I73</f>
        <v/>
      </c>
      <c r="I73" s="123">
        <f>IF(INDEX(DebtNames,1)="","",_Calc!M73)</f>
        <v/>
      </c>
      <c r="J73" s="123">
        <f>IF(INDEX(DebtNames,2)="","",_Calc!Q73)</f>
        <v/>
      </c>
      <c r="K73" s="123">
        <f>IF(INDEX(DebtNames,3)="","",_Calc!U73)</f>
        <v/>
      </c>
      <c r="L73" s="123">
        <f>IF(INDEX(DebtNames,4)="","",_Calc!Y73)</f>
        <v/>
      </c>
      <c r="M73" s="123">
        <f>IF(INDEX(DebtNames,5)="","",_Calc!AC73)</f>
        <v/>
      </c>
      <c r="N73" s="123">
        <f>IF(INDEX(DebtNames,6)="","",_Calc!AG73)</f>
        <v/>
      </c>
      <c r="O73" s="123">
        <f>IF(INDEX(DebtNames,7)="","",_Calc!AK73)</f>
        <v/>
      </c>
      <c r="P73" s="123">
        <f>IF(INDEX(DebtNames,8)="","",_Calc!AO73)</f>
        <v/>
      </c>
    </row>
    <row r="74" ht="16" customHeight="1">
      <c r="A74" s="62">
        <f>_Calc!A74</f>
        <v/>
      </c>
      <c r="B74" s="120">
        <f>_Calc!B74</f>
        <v/>
      </c>
      <c r="C74" s="64">
        <f>_Calc!C74</f>
        <v/>
      </c>
      <c r="D74" s="121">
        <f>_Calc!E74</f>
        <v/>
      </c>
      <c r="E74" s="121">
        <f>_Calc!F74</f>
        <v/>
      </c>
      <c r="F74" s="121">
        <f>_Calc!G74</f>
        <v/>
      </c>
      <c r="G74" s="122">
        <f>_Calc!H74</f>
        <v/>
      </c>
      <c r="H74" s="62">
        <f>_Calc!I74</f>
        <v/>
      </c>
      <c r="I74" s="123">
        <f>IF(INDEX(DebtNames,1)="","",_Calc!M74)</f>
        <v/>
      </c>
      <c r="J74" s="123">
        <f>IF(INDEX(DebtNames,2)="","",_Calc!Q74)</f>
        <v/>
      </c>
      <c r="K74" s="123">
        <f>IF(INDEX(DebtNames,3)="","",_Calc!U74)</f>
        <v/>
      </c>
      <c r="L74" s="123">
        <f>IF(INDEX(DebtNames,4)="","",_Calc!Y74)</f>
        <v/>
      </c>
      <c r="M74" s="123">
        <f>IF(INDEX(DebtNames,5)="","",_Calc!AC74)</f>
        <v/>
      </c>
      <c r="N74" s="123">
        <f>IF(INDEX(DebtNames,6)="","",_Calc!AG74)</f>
        <v/>
      </c>
      <c r="O74" s="123">
        <f>IF(INDEX(DebtNames,7)="","",_Calc!AK74)</f>
        <v/>
      </c>
      <c r="P74" s="123">
        <f>IF(INDEX(DebtNames,8)="","",_Calc!AO74)</f>
        <v/>
      </c>
    </row>
    <row r="75" ht="16" customHeight="1">
      <c r="A75" s="62">
        <f>_Calc!A75</f>
        <v/>
      </c>
      <c r="B75" s="120">
        <f>_Calc!B75</f>
        <v/>
      </c>
      <c r="C75" s="64">
        <f>_Calc!C75</f>
        <v/>
      </c>
      <c r="D75" s="121">
        <f>_Calc!E75</f>
        <v/>
      </c>
      <c r="E75" s="121">
        <f>_Calc!F75</f>
        <v/>
      </c>
      <c r="F75" s="121">
        <f>_Calc!G75</f>
        <v/>
      </c>
      <c r="G75" s="122">
        <f>_Calc!H75</f>
        <v/>
      </c>
      <c r="H75" s="62">
        <f>_Calc!I75</f>
        <v/>
      </c>
      <c r="I75" s="123">
        <f>IF(INDEX(DebtNames,1)="","",_Calc!M75)</f>
        <v/>
      </c>
      <c r="J75" s="123">
        <f>IF(INDEX(DebtNames,2)="","",_Calc!Q75)</f>
        <v/>
      </c>
      <c r="K75" s="123">
        <f>IF(INDEX(DebtNames,3)="","",_Calc!U75)</f>
        <v/>
      </c>
      <c r="L75" s="123">
        <f>IF(INDEX(DebtNames,4)="","",_Calc!Y75)</f>
        <v/>
      </c>
      <c r="M75" s="123">
        <f>IF(INDEX(DebtNames,5)="","",_Calc!AC75)</f>
        <v/>
      </c>
      <c r="N75" s="123">
        <f>IF(INDEX(DebtNames,6)="","",_Calc!AG75)</f>
        <v/>
      </c>
      <c r="O75" s="123">
        <f>IF(INDEX(DebtNames,7)="","",_Calc!AK75)</f>
        <v/>
      </c>
      <c r="P75" s="123">
        <f>IF(INDEX(DebtNames,8)="","",_Calc!AO75)</f>
        <v/>
      </c>
    </row>
    <row r="76" ht="16" customHeight="1">
      <c r="A76" s="62">
        <f>_Calc!A76</f>
        <v/>
      </c>
      <c r="B76" s="120">
        <f>_Calc!B76</f>
        <v/>
      </c>
      <c r="C76" s="64">
        <f>_Calc!C76</f>
        <v/>
      </c>
      <c r="D76" s="121">
        <f>_Calc!E76</f>
        <v/>
      </c>
      <c r="E76" s="121">
        <f>_Calc!F76</f>
        <v/>
      </c>
      <c r="F76" s="121">
        <f>_Calc!G76</f>
        <v/>
      </c>
      <c r="G76" s="122">
        <f>_Calc!H76</f>
        <v/>
      </c>
      <c r="H76" s="62">
        <f>_Calc!I76</f>
        <v/>
      </c>
      <c r="I76" s="123">
        <f>IF(INDEX(DebtNames,1)="","",_Calc!M76)</f>
        <v/>
      </c>
      <c r="J76" s="123">
        <f>IF(INDEX(DebtNames,2)="","",_Calc!Q76)</f>
        <v/>
      </c>
      <c r="K76" s="123">
        <f>IF(INDEX(DebtNames,3)="","",_Calc!U76)</f>
        <v/>
      </c>
      <c r="L76" s="123">
        <f>IF(INDEX(DebtNames,4)="","",_Calc!Y76)</f>
        <v/>
      </c>
      <c r="M76" s="123">
        <f>IF(INDEX(DebtNames,5)="","",_Calc!AC76)</f>
        <v/>
      </c>
      <c r="N76" s="123">
        <f>IF(INDEX(DebtNames,6)="","",_Calc!AG76)</f>
        <v/>
      </c>
      <c r="O76" s="123">
        <f>IF(INDEX(DebtNames,7)="","",_Calc!AK76)</f>
        <v/>
      </c>
      <c r="P76" s="123">
        <f>IF(INDEX(DebtNames,8)="","",_Calc!AO76)</f>
        <v/>
      </c>
    </row>
    <row r="77" ht="16" customHeight="1">
      <c r="A77" s="62">
        <f>_Calc!A77</f>
        <v/>
      </c>
      <c r="B77" s="120">
        <f>_Calc!B77</f>
        <v/>
      </c>
      <c r="C77" s="64">
        <f>_Calc!C77</f>
        <v/>
      </c>
      <c r="D77" s="121">
        <f>_Calc!E77</f>
        <v/>
      </c>
      <c r="E77" s="121">
        <f>_Calc!F77</f>
        <v/>
      </c>
      <c r="F77" s="121">
        <f>_Calc!G77</f>
        <v/>
      </c>
      <c r="G77" s="122">
        <f>_Calc!H77</f>
        <v/>
      </c>
      <c r="H77" s="62">
        <f>_Calc!I77</f>
        <v/>
      </c>
      <c r="I77" s="123">
        <f>IF(INDEX(DebtNames,1)="","",_Calc!M77)</f>
        <v/>
      </c>
      <c r="J77" s="123">
        <f>IF(INDEX(DebtNames,2)="","",_Calc!Q77)</f>
        <v/>
      </c>
      <c r="K77" s="123">
        <f>IF(INDEX(DebtNames,3)="","",_Calc!U77)</f>
        <v/>
      </c>
      <c r="L77" s="123">
        <f>IF(INDEX(DebtNames,4)="","",_Calc!Y77)</f>
        <v/>
      </c>
      <c r="M77" s="123">
        <f>IF(INDEX(DebtNames,5)="","",_Calc!AC77)</f>
        <v/>
      </c>
      <c r="N77" s="123">
        <f>IF(INDEX(DebtNames,6)="","",_Calc!AG77)</f>
        <v/>
      </c>
      <c r="O77" s="123">
        <f>IF(INDEX(DebtNames,7)="","",_Calc!AK77)</f>
        <v/>
      </c>
      <c r="P77" s="123">
        <f>IF(INDEX(DebtNames,8)="","",_Calc!AO77)</f>
        <v/>
      </c>
    </row>
    <row r="78" ht="16" customHeight="1">
      <c r="A78" s="62">
        <f>_Calc!A78</f>
        <v/>
      </c>
      <c r="B78" s="120">
        <f>_Calc!B78</f>
        <v/>
      </c>
      <c r="C78" s="64">
        <f>_Calc!C78</f>
        <v/>
      </c>
      <c r="D78" s="121">
        <f>_Calc!E78</f>
        <v/>
      </c>
      <c r="E78" s="121">
        <f>_Calc!F78</f>
        <v/>
      </c>
      <c r="F78" s="121">
        <f>_Calc!G78</f>
        <v/>
      </c>
      <c r="G78" s="122">
        <f>_Calc!H78</f>
        <v/>
      </c>
      <c r="H78" s="62">
        <f>_Calc!I78</f>
        <v/>
      </c>
      <c r="I78" s="123">
        <f>IF(INDEX(DebtNames,1)="","",_Calc!M78)</f>
        <v/>
      </c>
      <c r="J78" s="123">
        <f>IF(INDEX(DebtNames,2)="","",_Calc!Q78)</f>
        <v/>
      </c>
      <c r="K78" s="123">
        <f>IF(INDEX(DebtNames,3)="","",_Calc!U78)</f>
        <v/>
      </c>
      <c r="L78" s="123">
        <f>IF(INDEX(DebtNames,4)="","",_Calc!Y78)</f>
        <v/>
      </c>
      <c r="M78" s="123">
        <f>IF(INDEX(DebtNames,5)="","",_Calc!AC78)</f>
        <v/>
      </c>
      <c r="N78" s="123">
        <f>IF(INDEX(DebtNames,6)="","",_Calc!AG78)</f>
        <v/>
      </c>
      <c r="O78" s="123">
        <f>IF(INDEX(DebtNames,7)="","",_Calc!AK78)</f>
        <v/>
      </c>
      <c r="P78" s="123">
        <f>IF(INDEX(DebtNames,8)="","",_Calc!AO78)</f>
        <v/>
      </c>
    </row>
    <row r="79" ht="16" customHeight="1">
      <c r="A79" s="62">
        <f>_Calc!A79</f>
        <v/>
      </c>
      <c r="B79" s="120">
        <f>_Calc!B79</f>
        <v/>
      </c>
      <c r="C79" s="64">
        <f>_Calc!C79</f>
        <v/>
      </c>
      <c r="D79" s="121">
        <f>_Calc!E79</f>
        <v/>
      </c>
      <c r="E79" s="121">
        <f>_Calc!F79</f>
        <v/>
      </c>
      <c r="F79" s="121">
        <f>_Calc!G79</f>
        <v/>
      </c>
      <c r="G79" s="122">
        <f>_Calc!H79</f>
        <v/>
      </c>
      <c r="H79" s="62">
        <f>_Calc!I79</f>
        <v/>
      </c>
      <c r="I79" s="123">
        <f>IF(INDEX(DebtNames,1)="","",_Calc!M79)</f>
        <v/>
      </c>
      <c r="J79" s="123">
        <f>IF(INDEX(DebtNames,2)="","",_Calc!Q79)</f>
        <v/>
      </c>
      <c r="K79" s="123">
        <f>IF(INDEX(DebtNames,3)="","",_Calc!U79)</f>
        <v/>
      </c>
      <c r="L79" s="123">
        <f>IF(INDEX(DebtNames,4)="","",_Calc!Y79)</f>
        <v/>
      </c>
      <c r="M79" s="123">
        <f>IF(INDEX(DebtNames,5)="","",_Calc!AC79)</f>
        <v/>
      </c>
      <c r="N79" s="123">
        <f>IF(INDEX(DebtNames,6)="","",_Calc!AG79)</f>
        <v/>
      </c>
      <c r="O79" s="123">
        <f>IF(INDEX(DebtNames,7)="","",_Calc!AK79)</f>
        <v/>
      </c>
      <c r="P79" s="123">
        <f>IF(INDEX(DebtNames,8)="","",_Calc!AO79)</f>
        <v/>
      </c>
    </row>
    <row r="80" ht="16" customHeight="1">
      <c r="A80" s="62">
        <f>_Calc!A80</f>
        <v/>
      </c>
      <c r="B80" s="120">
        <f>_Calc!B80</f>
        <v/>
      </c>
      <c r="C80" s="64">
        <f>_Calc!C80</f>
        <v/>
      </c>
      <c r="D80" s="121">
        <f>_Calc!E80</f>
        <v/>
      </c>
      <c r="E80" s="121">
        <f>_Calc!F80</f>
        <v/>
      </c>
      <c r="F80" s="121">
        <f>_Calc!G80</f>
        <v/>
      </c>
      <c r="G80" s="122">
        <f>_Calc!H80</f>
        <v/>
      </c>
      <c r="H80" s="62">
        <f>_Calc!I80</f>
        <v/>
      </c>
      <c r="I80" s="123">
        <f>IF(INDEX(DebtNames,1)="","",_Calc!M80)</f>
        <v/>
      </c>
      <c r="J80" s="123">
        <f>IF(INDEX(DebtNames,2)="","",_Calc!Q80)</f>
        <v/>
      </c>
      <c r="K80" s="123">
        <f>IF(INDEX(DebtNames,3)="","",_Calc!U80)</f>
        <v/>
      </c>
      <c r="L80" s="123">
        <f>IF(INDEX(DebtNames,4)="","",_Calc!Y80)</f>
        <v/>
      </c>
      <c r="M80" s="123">
        <f>IF(INDEX(DebtNames,5)="","",_Calc!AC80)</f>
        <v/>
      </c>
      <c r="N80" s="123">
        <f>IF(INDEX(DebtNames,6)="","",_Calc!AG80)</f>
        <v/>
      </c>
      <c r="O80" s="123">
        <f>IF(INDEX(DebtNames,7)="","",_Calc!AK80)</f>
        <v/>
      </c>
      <c r="P80" s="123">
        <f>IF(INDEX(DebtNames,8)="","",_Calc!AO80)</f>
        <v/>
      </c>
    </row>
    <row r="81" ht="16" customHeight="1">
      <c r="A81" s="62">
        <f>_Calc!A81</f>
        <v/>
      </c>
      <c r="B81" s="120">
        <f>_Calc!B81</f>
        <v/>
      </c>
      <c r="C81" s="64">
        <f>_Calc!C81</f>
        <v/>
      </c>
      <c r="D81" s="121">
        <f>_Calc!E81</f>
        <v/>
      </c>
      <c r="E81" s="121">
        <f>_Calc!F81</f>
        <v/>
      </c>
      <c r="F81" s="121">
        <f>_Calc!G81</f>
        <v/>
      </c>
      <c r="G81" s="122">
        <f>_Calc!H81</f>
        <v/>
      </c>
      <c r="H81" s="62">
        <f>_Calc!I81</f>
        <v/>
      </c>
      <c r="I81" s="123">
        <f>IF(INDEX(DebtNames,1)="","",_Calc!M81)</f>
        <v/>
      </c>
      <c r="J81" s="123">
        <f>IF(INDEX(DebtNames,2)="","",_Calc!Q81)</f>
        <v/>
      </c>
      <c r="K81" s="123">
        <f>IF(INDEX(DebtNames,3)="","",_Calc!U81)</f>
        <v/>
      </c>
      <c r="L81" s="123">
        <f>IF(INDEX(DebtNames,4)="","",_Calc!Y81)</f>
        <v/>
      </c>
      <c r="M81" s="123">
        <f>IF(INDEX(DebtNames,5)="","",_Calc!AC81)</f>
        <v/>
      </c>
      <c r="N81" s="123">
        <f>IF(INDEX(DebtNames,6)="","",_Calc!AG81)</f>
        <v/>
      </c>
      <c r="O81" s="123">
        <f>IF(INDEX(DebtNames,7)="","",_Calc!AK81)</f>
        <v/>
      </c>
      <c r="P81" s="123">
        <f>IF(INDEX(DebtNames,8)="","",_Calc!AO81)</f>
        <v/>
      </c>
    </row>
    <row r="82" ht="16" customHeight="1">
      <c r="A82" s="62">
        <f>_Calc!A82</f>
        <v/>
      </c>
      <c r="B82" s="120">
        <f>_Calc!B82</f>
        <v/>
      </c>
      <c r="C82" s="64">
        <f>_Calc!C82</f>
        <v/>
      </c>
      <c r="D82" s="121">
        <f>_Calc!E82</f>
        <v/>
      </c>
      <c r="E82" s="121">
        <f>_Calc!F82</f>
        <v/>
      </c>
      <c r="F82" s="121">
        <f>_Calc!G82</f>
        <v/>
      </c>
      <c r="G82" s="122">
        <f>_Calc!H82</f>
        <v/>
      </c>
      <c r="H82" s="62">
        <f>_Calc!I82</f>
        <v/>
      </c>
      <c r="I82" s="123">
        <f>IF(INDEX(DebtNames,1)="","",_Calc!M82)</f>
        <v/>
      </c>
      <c r="J82" s="123">
        <f>IF(INDEX(DebtNames,2)="","",_Calc!Q82)</f>
        <v/>
      </c>
      <c r="K82" s="123">
        <f>IF(INDEX(DebtNames,3)="","",_Calc!U82)</f>
        <v/>
      </c>
      <c r="L82" s="123">
        <f>IF(INDEX(DebtNames,4)="","",_Calc!Y82)</f>
        <v/>
      </c>
      <c r="M82" s="123">
        <f>IF(INDEX(DebtNames,5)="","",_Calc!AC82)</f>
        <v/>
      </c>
      <c r="N82" s="123">
        <f>IF(INDEX(DebtNames,6)="","",_Calc!AG82)</f>
        <v/>
      </c>
      <c r="O82" s="123">
        <f>IF(INDEX(DebtNames,7)="","",_Calc!AK82)</f>
        <v/>
      </c>
      <c r="P82" s="123">
        <f>IF(INDEX(DebtNames,8)="","",_Calc!AO82)</f>
        <v/>
      </c>
    </row>
    <row r="83" ht="16" customHeight="1">
      <c r="A83" s="62">
        <f>_Calc!A83</f>
        <v/>
      </c>
      <c r="B83" s="120">
        <f>_Calc!B83</f>
        <v/>
      </c>
      <c r="C83" s="64">
        <f>_Calc!C83</f>
        <v/>
      </c>
      <c r="D83" s="121">
        <f>_Calc!E83</f>
        <v/>
      </c>
      <c r="E83" s="121">
        <f>_Calc!F83</f>
        <v/>
      </c>
      <c r="F83" s="121">
        <f>_Calc!G83</f>
        <v/>
      </c>
      <c r="G83" s="122">
        <f>_Calc!H83</f>
        <v/>
      </c>
      <c r="H83" s="62">
        <f>_Calc!I83</f>
        <v/>
      </c>
      <c r="I83" s="123">
        <f>IF(INDEX(DebtNames,1)="","",_Calc!M83)</f>
        <v/>
      </c>
      <c r="J83" s="123">
        <f>IF(INDEX(DebtNames,2)="","",_Calc!Q83)</f>
        <v/>
      </c>
      <c r="K83" s="123">
        <f>IF(INDEX(DebtNames,3)="","",_Calc!U83)</f>
        <v/>
      </c>
      <c r="L83" s="123">
        <f>IF(INDEX(DebtNames,4)="","",_Calc!Y83)</f>
        <v/>
      </c>
      <c r="M83" s="123">
        <f>IF(INDEX(DebtNames,5)="","",_Calc!AC83)</f>
        <v/>
      </c>
      <c r="N83" s="123">
        <f>IF(INDEX(DebtNames,6)="","",_Calc!AG83)</f>
        <v/>
      </c>
      <c r="O83" s="123">
        <f>IF(INDEX(DebtNames,7)="","",_Calc!AK83)</f>
        <v/>
      </c>
      <c r="P83" s="123">
        <f>IF(INDEX(DebtNames,8)="","",_Calc!AO83)</f>
        <v/>
      </c>
    </row>
    <row r="84" ht="16" customHeight="1">
      <c r="A84" s="62">
        <f>_Calc!A84</f>
        <v/>
      </c>
      <c r="B84" s="120">
        <f>_Calc!B84</f>
        <v/>
      </c>
      <c r="C84" s="64">
        <f>_Calc!C84</f>
        <v/>
      </c>
      <c r="D84" s="121">
        <f>_Calc!E84</f>
        <v/>
      </c>
      <c r="E84" s="121">
        <f>_Calc!F84</f>
        <v/>
      </c>
      <c r="F84" s="121">
        <f>_Calc!G84</f>
        <v/>
      </c>
      <c r="G84" s="122">
        <f>_Calc!H84</f>
        <v/>
      </c>
      <c r="H84" s="62">
        <f>_Calc!I84</f>
        <v/>
      </c>
      <c r="I84" s="123">
        <f>IF(INDEX(DebtNames,1)="","",_Calc!M84)</f>
        <v/>
      </c>
      <c r="J84" s="123">
        <f>IF(INDEX(DebtNames,2)="","",_Calc!Q84)</f>
        <v/>
      </c>
      <c r="K84" s="123">
        <f>IF(INDEX(DebtNames,3)="","",_Calc!U84)</f>
        <v/>
      </c>
      <c r="L84" s="123">
        <f>IF(INDEX(DebtNames,4)="","",_Calc!Y84)</f>
        <v/>
      </c>
      <c r="M84" s="123">
        <f>IF(INDEX(DebtNames,5)="","",_Calc!AC84)</f>
        <v/>
      </c>
      <c r="N84" s="123">
        <f>IF(INDEX(DebtNames,6)="","",_Calc!AG84)</f>
        <v/>
      </c>
      <c r="O84" s="123">
        <f>IF(INDEX(DebtNames,7)="","",_Calc!AK84)</f>
        <v/>
      </c>
      <c r="P84" s="123">
        <f>IF(INDEX(DebtNames,8)="","",_Calc!AO84)</f>
        <v/>
      </c>
    </row>
    <row r="85" ht="16" customHeight="1">
      <c r="A85" s="62">
        <f>_Calc!A85</f>
        <v/>
      </c>
      <c r="B85" s="120">
        <f>_Calc!B85</f>
        <v/>
      </c>
      <c r="C85" s="64">
        <f>_Calc!C85</f>
        <v/>
      </c>
      <c r="D85" s="121">
        <f>_Calc!E85</f>
        <v/>
      </c>
      <c r="E85" s="121">
        <f>_Calc!F85</f>
        <v/>
      </c>
      <c r="F85" s="121">
        <f>_Calc!G85</f>
        <v/>
      </c>
      <c r="G85" s="122">
        <f>_Calc!H85</f>
        <v/>
      </c>
      <c r="H85" s="62">
        <f>_Calc!I85</f>
        <v/>
      </c>
      <c r="I85" s="123">
        <f>IF(INDEX(DebtNames,1)="","",_Calc!M85)</f>
        <v/>
      </c>
      <c r="J85" s="123">
        <f>IF(INDEX(DebtNames,2)="","",_Calc!Q85)</f>
        <v/>
      </c>
      <c r="K85" s="123">
        <f>IF(INDEX(DebtNames,3)="","",_Calc!U85)</f>
        <v/>
      </c>
      <c r="L85" s="123">
        <f>IF(INDEX(DebtNames,4)="","",_Calc!Y85)</f>
        <v/>
      </c>
      <c r="M85" s="123">
        <f>IF(INDEX(DebtNames,5)="","",_Calc!AC85)</f>
        <v/>
      </c>
      <c r="N85" s="123">
        <f>IF(INDEX(DebtNames,6)="","",_Calc!AG85)</f>
        <v/>
      </c>
      <c r="O85" s="123">
        <f>IF(INDEX(DebtNames,7)="","",_Calc!AK85)</f>
        <v/>
      </c>
      <c r="P85" s="123">
        <f>IF(INDEX(DebtNames,8)="","",_Calc!AO85)</f>
        <v/>
      </c>
    </row>
    <row r="86" ht="16" customHeight="1">
      <c r="A86" s="62">
        <f>_Calc!A86</f>
        <v/>
      </c>
      <c r="B86" s="120">
        <f>_Calc!B86</f>
        <v/>
      </c>
      <c r="C86" s="64">
        <f>_Calc!C86</f>
        <v/>
      </c>
      <c r="D86" s="121">
        <f>_Calc!E86</f>
        <v/>
      </c>
      <c r="E86" s="121">
        <f>_Calc!F86</f>
        <v/>
      </c>
      <c r="F86" s="121">
        <f>_Calc!G86</f>
        <v/>
      </c>
      <c r="G86" s="122">
        <f>_Calc!H86</f>
        <v/>
      </c>
      <c r="H86" s="62">
        <f>_Calc!I86</f>
        <v/>
      </c>
      <c r="I86" s="123">
        <f>IF(INDEX(DebtNames,1)="","",_Calc!M86)</f>
        <v/>
      </c>
      <c r="J86" s="123">
        <f>IF(INDEX(DebtNames,2)="","",_Calc!Q86)</f>
        <v/>
      </c>
      <c r="K86" s="123">
        <f>IF(INDEX(DebtNames,3)="","",_Calc!U86)</f>
        <v/>
      </c>
      <c r="L86" s="123">
        <f>IF(INDEX(DebtNames,4)="","",_Calc!Y86)</f>
        <v/>
      </c>
      <c r="M86" s="123">
        <f>IF(INDEX(DebtNames,5)="","",_Calc!AC86)</f>
        <v/>
      </c>
      <c r="N86" s="123">
        <f>IF(INDEX(DebtNames,6)="","",_Calc!AG86)</f>
        <v/>
      </c>
      <c r="O86" s="123">
        <f>IF(INDEX(DebtNames,7)="","",_Calc!AK86)</f>
        <v/>
      </c>
      <c r="P86" s="123">
        <f>IF(INDEX(DebtNames,8)="","",_Calc!AO86)</f>
        <v/>
      </c>
    </row>
    <row r="87" ht="16" customHeight="1">
      <c r="A87" s="62">
        <f>_Calc!A87</f>
        <v/>
      </c>
      <c r="B87" s="120">
        <f>_Calc!B87</f>
        <v/>
      </c>
      <c r="C87" s="64">
        <f>_Calc!C87</f>
        <v/>
      </c>
      <c r="D87" s="121">
        <f>_Calc!E87</f>
        <v/>
      </c>
      <c r="E87" s="121">
        <f>_Calc!F87</f>
        <v/>
      </c>
      <c r="F87" s="121">
        <f>_Calc!G87</f>
        <v/>
      </c>
      <c r="G87" s="122">
        <f>_Calc!H87</f>
        <v/>
      </c>
      <c r="H87" s="62">
        <f>_Calc!I87</f>
        <v/>
      </c>
      <c r="I87" s="123">
        <f>IF(INDEX(DebtNames,1)="","",_Calc!M87)</f>
        <v/>
      </c>
      <c r="J87" s="123">
        <f>IF(INDEX(DebtNames,2)="","",_Calc!Q87)</f>
        <v/>
      </c>
      <c r="K87" s="123">
        <f>IF(INDEX(DebtNames,3)="","",_Calc!U87)</f>
        <v/>
      </c>
      <c r="L87" s="123">
        <f>IF(INDEX(DebtNames,4)="","",_Calc!Y87)</f>
        <v/>
      </c>
      <c r="M87" s="123">
        <f>IF(INDEX(DebtNames,5)="","",_Calc!AC87)</f>
        <v/>
      </c>
      <c r="N87" s="123">
        <f>IF(INDEX(DebtNames,6)="","",_Calc!AG87)</f>
        <v/>
      </c>
      <c r="O87" s="123">
        <f>IF(INDEX(DebtNames,7)="","",_Calc!AK87)</f>
        <v/>
      </c>
      <c r="P87" s="123">
        <f>IF(INDEX(DebtNames,8)="","",_Calc!AO87)</f>
        <v/>
      </c>
    </row>
    <row r="88" ht="16" customHeight="1">
      <c r="A88" s="62">
        <f>_Calc!A88</f>
        <v/>
      </c>
      <c r="B88" s="120">
        <f>_Calc!B88</f>
        <v/>
      </c>
      <c r="C88" s="64">
        <f>_Calc!C88</f>
        <v/>
      </c>
      <c r="D88" s="121">
        <f>_Calc!E88</f>
        <v/>
      </c>
      <c r="E88" s="121">
        <f>_Calc!F88</f>
        <v/>
      </c>
      <c r="F88" s="121">
        <f>_Calc!G88</f>
        <v/>
      </c>
      <c r="G88" s="122">
        <f>_Calc!H88</f>
        <v/>
      </c>
      <c r="H88" s="62">
        <f>_Calc!I88</f>
        <v/>
      </c>
      <c r="I88" s="123">
        <f>IF(INDEX(DebtNames,1)="","",_Calc!M88)</f>
        <v/>
      </c>
      <c r="J88" s="123">
        <f>IF(INDEX(DebtNames,2)="","",_Calc!Q88)</f>
        <v/>
      </c>
      <c r="K88" s="123">
        <f>IF(INDEX(DebtNames,3)="","",_Calc!U88)</f>
        <v/>
      </c>
      <c r="L88" s="123">
        <f>IF(INDEX(DebtNames,4)="","",_Calc!Y88)</f>
        <v/>
      </c>
      <c r="M88" s="123">
        <f>IF(INDEX(DebtNames,5)="","",_Calc!AC88)</f>
        <v/>
      </c>
      <c r="N88" s="123">
        <f>IF(INDEX(DebtNames,6)="","",_Calc!AG88)</f>
        <v/>
      </c>
      <c r="O88" s="123">
        <f>IF(INDEX(DebtNames,7)="","",_Calc!AK88)</f>
        <v/>
      </c>
      <c r="P88" s="123">
        <f>IF(INDEX(DebtNames,8)="","",_Calc!AO88)</f>
        <v/>
      </c>
    </row>
    <row r="89" ht="16" customHeight="1">
      <c r="A89" s="62">
        <f>_Calc!A89</f>
        <v/>
      </c>
      <c r="B89" s="120">
        <f>_Calc!B89</f>
        <v/>
      </c>
      <c r="C89" s="64">
        <f>_Calc!C89</f>
        <v/>
      </c>
      <c r="D89" s="121">
        <f>_Calc!E89</f>
        <v/>
      </c>
      <c r="E89" s="121">
        <f>_Calc!F89</f>
        <v/>
      </c>
      <c r="F89" s="121">
        <f>_Calc!G89</f>
        <v/>
      </c>
      <c r="G89" s="122">
        <f>_Calc!H89</f>
        <v/>
      </c>
      <c r="H89" s="62">
        <f>_Calc!I89</f>
        <v/>
      </c>
      <c r="I89" s="123">
        <f>IF(INDEX(DebtNames,1)="","",_Calc!M89)</f>
        <v/>
      </c>
      <c r="J89" s="123">
        <f>IF(INDEX(DebtNames,2)="","",_Calc!Q89)</f>
        <v/>
      </c>
      <c r="K89" s="123">
        <f>IF(INDEX(DebtNames,3)="","",_Calc!U89)</f>
        <v/>
      </c>
      <c r="L89" s="123">
        <f>IF(INDEX(DebtNames,4)="","",_Calc!Y89)</f>
        <v/>
      </c>
      <c r="M89" s="123">
        <f>IF(INDEX(DebtNames,5)="","",_Calc!AC89)</f>
        <v/>
      </c>
      <c r="N89" s="123">
        <f>IF(INDEX(DebtNames,6)="","",_Calc!AG89)</f>
        <v/>
      </c>
      <c r="O89" s="123">
        <f>IF(INDEX(DebtNames,7)="","",_Calc!AK89)</f>
        <v/>
      </c>
      <c r="P89" s="123">
        <f>IF(INDEX(DebtNames,8)="","",_Calc!AO89)</f>
        <v/>
      </c>
    </row>
    <row r="90" ht="16" customHeight="1">
      <c r="A90" s="62">
        <f>_Calc!A90</f>
        <v/>
      </c>
      <c r="B90" s="120">
        <f>_Calc!B90</f>
        <v/>
      </c>
      <c r="C90" s="64">
        <f>_Calc!C90</f>
        <v/>
      </c>
      <c r="D90" s="121">
        <f>_Calc!E90</f>
        <v/>
      </c>
      <c r="E90" s="121">
        <f>_Calc!F90</f>
        <v/>
      </c>
      <c r="F90" s="121">
        <f>_Calc!G90</f>
        <v/>
      </c>
      <c r="G90" s="122">
        <f>_Calc!H90</f>
        <v/>
      </c>
      <c r="H90" s="62">
        <f>_Calc!I90</f>
        <v/>
      </c>
      <c r="I90" s="123">
        <f>IF(INDEX(DebtNames,1)="","",_Calc!M90)</f>
        <v/>
      </c>
      <c r="J90" s="123">
        <f>IF(INDEX(DebtNames,2)="","",_Calc!Q90)</f>
        <v/>
      </c>
      <c r="K90" s="123">
        <f>IF(INDEX(DebtNames,3)="","",_Calc!U90)</f>
        <v/>
      </c>
      <c r="L90" s="123">
        <f>IF(INDEX(DebtNames,4)="","",_Calc!Y90)</f>
        <v/>
      </c>
      <c r="M90" s="123">
        <f>IF(INDEX(DebtNames,5)="","",_Calc!AC90)</f>
        <v/>
      </c>
      <c r="N90" s="123">
        <f>IF(INDEX(DebtNames,6)="","",_Calc!AG90)</f>
        <v/>
      </c>
      <c r="O90" s="123">
        <f>IF(INDEX(DebtNames,7)="","",_Calc!AK90)</f>
        <v/>
      </c>
      <c r="P90" s="123">
        <f>IF(INDEX(DebtNames,8)="","",_Calc!AO90)</f>
        <v/>
      </c>
    </row>
    <row r="91" ht="16" customHeight="1">
      <c r="A91" s="62">
        <f>_Calc!A91</f>
        <v/>
      </c>
      <c r="B91" s="120">
        <f>_Calc!B91</f>
        <v/>
      </c>
      <c r="C91" s="64">
        <f>_Calc!C91</f>
        <v/>
      </c>
      <c r="D91" s="121">
        <f>_Calc!E91</f>
        <v/>
      </c>
      <c r="E91" s="121">
        <f>_Calc!F91</f>
        <v/>
      </c>
      <c r="F91" s="121">
        <f>_Calc!G91</f>
        <v/>
      </c>
      <c r="G91" s="122">
        <f>_Calc!H91</f>
        <v/>
      </c>
      <c r="H91" s="62">
        <f>_Calc!I91</f>
        <v/>
      </c>
      <c r="I91" s="123">
        <f>IF(INDEX(DebtNames,1)="","",_Calc!M91)</f>
        <v/>
      </c>
      <c r="J91" s="123">
        <f>IF(INDEX(DebtNames,2)="","",_Calc!Q91)</f>
        <v/>
      </c>
      <c r="K91" s="123">
        <f>IF(INDEX(DebtNames,3)="","",_Calc!U91)</f>
        <v/>
      </c>
      <c r="L91" s="123">
        <f>IF(INDEX(DebtNames,4)="","",_Calc!Y91)</f>
        <v/>
      </c>
      <c r="M91" s="123">
        <f>IF(INDEX(DebtNames,5)="","",_Calc!AC91)</f>
        <v/>
      </c>
      <c r="N91" s="123">
        <f>IF(INDEX(DebtNames,6)="","",_Calc!AG91)</f>
        <v/>
      </c>
      <c r="O91" s="123">
        <f>IF(INDEX(DebtNames,7)="","",_Calc!AK91)</f>
        <v/>
      </c>
      <c r="P91" s="123">
        <f>IF(INDEX(DebtNames,8)="","",_Calc!AO91)</f>
        <v/>
      </c>
    </row>
    <row r="92" ht="16" customHeight="1">
      <c r="A92" s="62">
        <f>_Calc!A92</f>
        <v/>
      </c>
      <c r="B92" s="120">
        <f>_Calc!B92</f>
        <v/>
      </c>
      <c r="C92" s="64">
        <f>_Calc!C92</f>
        <v/>
      </c>
      <c r="D92" s="121">
        <f>_Calc!E92</f>
        <v/>
      </c>
      <c r="E92" s="121">
        <f>_Calc!F92</f>
        <v/>
      </c>
      <c r="F92" s="121">
        <f>_Calc!G92</f>
        <v/>
      </c>
      <c r="G92" s="122">
        <f>_Calc!H92</f>
        <v/>
      </c>
      <c r="H92" s="62">
        <f>_Calc!I92</f>
        <v/>
      </c>
      <c r="I92" s="123">
        <f>IF(INDEX(DebtNames,1)="","",_Calc!M92)</f>
        <v/>
      </c>
      <c r="J92" s="123">
        <f>IF(INDEX(DebtNames,2)="","",_Calc!Q92)</f>
        <v/>
      </c>
      <c r="K92" s="123">
        <f>IF(INDEX(DebtNames,3)="","",_Calc!U92)</f>
        <v/>
      </c>
      <c r="L92" s="123">
        <f>IF(INDEX(DebtNames,4)="","",_Calc!Y92)</f>
        <v/>
      </c>
      <c r="M92" s="123">
        <f>IF(INDEX(DebtNames,5)="","",_Calc!AC92)</f>
        <v/>
      </c>
      <c r="N92" s="123">
        <f>IF(INDEX(DebtNames,6)="","",_Calc!AG92)</f>
        <v/>
      </c>
      <c r="O92" s="123">
        <f>IF(INDEX(DebtNames,7)="","",_Calc!AK92)</f>
        <v/>
      </c>
      <c r="P92" s="123">
        <f>IF(INDEX(DebtNames,8)="","",_Calc!AO92)</f>
        <v/>
      </c>
    </row>
    <row r="93" ht="16" customHeight="1">
      <c r="A93" s="62">
        <f>_Calc!A93</f>
        <v/>
      </c>
      <c r="B93" s="120">
        <f>_Calc!B93</f>
        <v/>
      </c>
      <c r="C93" s="64">
        <f>_Calc!C93</f>
        <v/>
      </c>
      <c r="D93" s="121">
        <f>_Calc!E93</f>
        <v/>
      </c>
      <c r="E93" s="121">
        <f>_Calc!F93</f>
        <v/>
      </c>
      <c r="F93" s="121">
        <f>_Calc!G93</f>
        <v/>
      </c>
      <c r="G93" s="122">
        <f>_Calc!H93</f>
        <v/>
      </c>
      <c r="H93" s="62">
        <f>_Calc!I93</f>
        <v/>
      </c>
      <c r="I93" s="123">
        <f>IF(INDEX(DebtNames,1)="","",_Calc!M93)</f>
        <v/>
      </c>
      <c r="J93" s="123">
        <f>IF(INDEX(DebtNames,2)="","",_Calc!Q93)</f>
        <v/>
      </c>
      <c r="K93" s="123">
        <f>IF(INDEX(DebtNames,3)="","",_Calc!U93)</f>
        <v/>
      </c>
      <c r="L93" s="123">
        <f>IF(INDEX(DebtNames,4)="","",_Calc!Y93)</f>
        <v/>
      </c>
      <c r="M93" s="123">
        <f>IF(INDEX(DebtNames,5)="","",_Calc!AC93)</f>
        <v/>
      </c>
      <c r="N93" s="123">
        <f>IF(INDEX(DebtNames,6)="","",_Calc!AG93)</f>
        <v/>
      </c>
      <c r="O93" s="123">
        <f>IF(INDEX(DebtNames,7)="","",_Calc!AK93)</f>
        <v/>
      </c>
      <c r="P93" s="123">
        <f>IF(INDEX(DebtNames,8)="","",_Calc!AO93)</f>
        <v/>
      </c>
    </row>
    <row r="94" ht="16" customHeight="1">
      <c r="A94" s="62">
        <f>_Calc!A94</f>
        <v/>
      </c>
      <c r="B94" s="120">
        <f>_Calc!B94</f>
        <v/>
      </c>
      <c r="C94" s="64">
        <f>_Calc!C94</f>
        <v/>
      </c>
      <c r="D94" s="121">
        <f>_Calc!E94</f>
        <v/>
      </c>
      <c r="E94" s="121">
        <f>_Calc!F94</f>
        <v/>
      </c>
      <c r="F94" s="121">
        <f>_Calc!G94</f>
        <v/>
      </c>
      <c r="G94" s="122">
        <f>_Calc!H94</f>
        <v/>
      </c>
      <c r="H94" s="62">
        <f>_Calc!I94</f>
        <v/>
      </c>
      <c r="I94" s="123">
        <f>IF(INDEX(DebtNames,1)="","",_Calc!M94)</f>
        <v/>
      </c>
      <c r="J94" s="123">
        <f>IF(INDEX(DebtNames,2)="","",_Calc!Q94)</f>
        <v/>
      </c>
      <c r="K94" s="123">
        <f>IF(INDEX(DebtNames,3)="","",_Calc!U94)</f>
        <v/>
      </c>
      <c r="L94" s="123">
        <f>IF(INDEX(DebtNames,4)="","",_Calc!Y94)</f>
        <v/>
      </c>
      <c r="M94" s="123">
        <f>IF(INDEX(DebtNames,5)="","",_Calc!AC94)</f>
        <v/>
      </c>
      <c r="N94" s="123">
        <f>IF(INDEX(DebtNames,6)="","",_Calc!AG94)</f>
        <v/>
      </c>
      <c r="O94" s="123">
        <f>IF(INDEX(DebtNames,7)="","",_Calc!AK94)</f>
        <v/>
      </c>
      <c r="P94" s="123">
        <f>IF(INDEX(DebtNames,8)="","",_Calc!AO94)</f>
        <v/>
      </c>
    </row>
    <row r="95" ht="16" customHeight="1">
      <c r="A95" s="62">
        <f>_Calc!A95</f>
        <v/>
      </c>
      <c r="B95" s="120">
        <f>_Calc!B95</f>
        <v/>
      </c>
      <c r="C95" s="64">
        <f>_Calc!C95</f>
        <v/>
      </c>
      <c r="D95" s="121">
        <f>_Calc!E95</f>
        <v/>
      </c>
      <c r="E95" s="121">
        <f>_Calc!F95</f>
        <v/>
      </c>
      <c r="F95" s="121">
        <f>_Calc!G95</f>
        <v/>
      </c>
      <c r="G95" s="122">
        <f>_Calc!H95</f>
        <v/>
      </c>
      <c r="H95" s="62">
        <f>_Calc!I95</f>
        <v/>
      </c>
      <c r="I95" s="123">
        <f>IF(INDEX(DebtNames,1)="","",_Calc!M95)</f>
        <v/>
      </c>
      <c r="J95" s="123">
        <f>IF(INDEX(DebtNames,2)="","",_Calc!Q95)</f>
        <v/>
      </c>
      <c r="K95" s="123">
        <f>IF(INDEX(DebtNames,3)="","",_Calc!U95)</f>
        <v/>
      </c>
      <c r="L95" s="123">
        <f>IF(INDEX(DebtNames,4)="","",_Calc!Y95)</f>
        <v/>
      </c>
      <c r="M95" s="123">
        <f>IF(INDEX(DebtNames,5)="","",_Calc!AC95)</f>
        <v/>
      </c>
      <c r="N95" s="123">
        <f>IF(INDEX(DebtNames,6)="","",_Calc!AG95)</f>
        <v/>
      </c>
      <c r="O95" s="123">
        <f>IF(INDEX(DebtNames,7)="","",_Calc!AK95)</f>
        <v/>
      </c>
      <c r="P95" s="123">
        <f>IF(INDEX(DebtNames,8)="","",_Calc!AO95)</f>
        <v/>
      </c>
    </row>
    <row r="96" ht="16" customHeight="1">
      <c r="A96" s="62">
        <f>_Calc!A96</f>
        <v/>
      </c>
      <c r="B96" s="120">
        <f>_Calc!B96</f>
        <v/>
      </c>
      <c r="C96" s="64">
        <f>_Calc!C96</f>
        <v/>
      </c>
      <c r="D96" s="121">
        <f>_Calc!E96</f>
        <v/>
      </c>
      <c r="E96" s="121">
        <f>_Calc!F96</f>
        <v/>
      </c>
      <c r="F96" s="121">
        <f>_Calc!G96</f>
        <v/>
      </c>
      <c r="G96" s="122">
        <f>_Calc!H96</f>
        <v/>
      </c>
      <c r="H96" s="62">
        <f>_Calc!I96</f>
        <v/>
      </c>
      <c r="I96" s="123">
        <f>IF(INDEX(DebtNames,1)="","",_Calc!M96)</f>
        <v/>
      </c>
      <c r="J96" s="123">
        <f>IF(INDEX(DebtNames,2)="","",_Calc!Q96)</f>
        <v/>
      </c>
      <c r="K96" s="123">
        <f>IF(INDEX(DebtNames,3)="","",_Calc!U96)</f>
        <v/>
      </c>
      <c r="L96" s="123">
        <f>IF(INDEX(DebtNames,4)="","",_Calc!Y96)</f>
        <v/>
      </c>
      <c r="M96" s="123">
        <f>IF(INDEX(DebtNames,5)="","",_Calc!AC96)</f>
        <v/>
      </c>
      <c r="N96" s="123">
        <f>IF(INDEX(DebtNames,6)="","",_Calc!AG96)</f>
        <v/>
      </c>
      <c r="O96" s="123">
        <f>IF(INDEX(DebtNames,7)="","",_Calc!AK96)</f>
        <v/>
      </c>
      <c r="P96" s="123">
        <f>IF(INDEX(DebtNames,8)="","",_Calc!AO96)</f>
        <v/>
      </c>
    </row>
    <row r="97" ht="16" customHeight="1">
      <c r="A97" s="62">
        <f>_Calc!A97</f>
        <v/>
      </c>
      <c r="B97" s="120">
        <f>_Calc!B97</f>
        <v/>
      </c>
      <c r="C97" s="64">
        <f>_Calc!C97</f>
        <v/>
      </c>
      <c r="D97" s="121">
        <f>_Calc!E97</f>
        <v/>
      </c>
      <c r="E97" s="121">
        <f>_Calc!F97</f>
        <v/>
      </c>
      <c r="F97" s="121">
        <f>_Calc!G97</f>
        <v/>
      </c>
      <c r="G97" s="122">
        <f>_Calc!H97</f>
        <v/>
      </c>
      <c r="H97" s="62">
        <f>_Calc!I97</f>
        <v/>
      </c>
      <c r="I97" s="123">
        <f>IF(INDEX(DebtNames,1)="","",_Calc!M97)</f>
        <v/>
      </c>
      <c r="J97" s="123">
        <f>IF(INDEX(DebtNames,2)="","",_Calc!Q97)</f>
        <v/>
      </c>
      <c r="K97" s="123">
        <f>IF(INDEX(DebtNames,3)="","",_Calc!U97)</f>
        <v/>
      </c>
      <c r="L97" s="123">
        <f>IF(INDEX(DebtNames,4)="","",_Calc!Y97)</f>
        <v/>
      </c>
      <c r="M97" s="123">
        <f>IF(INDEX(DebtNames,5)="","",_Calc!AC97)</f>
        <v/>
      </c>
      <c r="N97" s="123">
        <f>IF(INDEX(DebtNames,6)="","",_Calc!AG97)</f>
        <v/>
      </c>
      <c r="O97" s="123">
        <f>IF(INDEX(DebtNames,7)="","",_Calc!AK97)</f>
        <v/>
      </c>
      <c r="P97" s="123">
        <f>IF(INDEX(DebtNames,8)="","",_Calc!AO97)</f>
        <v/>
      </c>
    </row>
    <row r="98" ht="16" customHeight="1">
      <c r="A98" s="62">
        <f>_Calc!A98</f>
        <v/>
      </c>
      <c r="B98" s="120">
        <f>_Calc!B98</f>
        <v/>
      </c>
      <c r="C98" s="64">
        <f>_Calc!C98</f>
        <v/>
      </c>
      <c r="D98" s="121">
        <f>_Calc!E98</f>
        <v/>
      </c>
      <c r="E98" s="121">
        <f>_Calc!F98</f>
        <v/>
      </c>
      <c r="F98" s="121">
        <f>_Calc!G98</f>
        <v/>
      </c>
      <c r="G98" s="122">
        <f>_Calc!H98</f>
        <v/>
      </c>
      <c r="H98" s="62">
        <f>_Calc!I98</f>
        <v/>
      </c>
      <c r="I98" s="123">
        <f>IF(INDEX(DebtNames,1)="","",_Calc!M98)</f>
        <v/>
      </c>
      <c r="J98" s="123">
        <f>IF(INDEX(DebtNames,2)="","",_Calc!Q98)</f>
        <v/>
      </c>
      <c r="K98" s="123">
        <f>IF(INDEX(DebtNames,3)="","",_Calc!U98)</f>
        <v/>
      </c>
      <c r="L98" s="123">
        <f>IF(INDEX(DebtNames,4)="","",_Calc!Y98)</f>
        <v/>
      </c>
      <c r="M98" s="123">
        <f>IF(INDEX(DebtNames,5)="","",_Calc!AC98)</f>
        <v/>
      </c>
      <c r="N98" s="123">
        <f>IF(INDEX(DebtNames,6)="","",_Calc!AG98)</f>
        <v/>
      </c>
      <c r="O98" s="123">
        <f>IF(INDEX(DebtNames,7)="","",_Calc!AK98)</f>
        <v/>
      </c>
      <c r="P98" s="123">
        <f>IF(INDEX(DebtNames,8)="","",_Calc!AO98)</f>
        <v/>
      </c>
    </row>
    <row r="99" ht="16" customHeight="1">
      <c r="A99" s="62">
        <f>_Calc!A99</f>
        <v/>
      </c>
      <c r="B99" s="120">
        <f>_Calc!B99</f>
        <v/>
      </c>
      <c r="C99" s="64">
        <f>_Calc!C99</f>
        <v/>
      </c>
      <c r="D99" s="121">
        <f>_Calc!E99</f>
        <v/>
      </c>
      <c r="E99" s="121">
        <f>_Calc!F99</f>
        <v/>
      </c>
      <c r="F99" s="121">
        <f>_Calc!G99</f>
        <v/>
      </c>
      <c r="G99" s="122">
        <f>_Calc!H99</f>
        <v/>
      </c>
      <c r="H99" s="62">
        <f>_Calc!I99</f>
        <v/>
      </c>
      <c r="I99" s="123">
        <f>IF(INDEX(DebtNames,1)="","",_Calc!M99)</f>
        <v/>
      </c>
      <c r="J99" s="123">
        <f>IF(INDEX(DebtNames,2)="","",_Calc!Q99)</f>
        <v/>
      </c>
      <c r="K99" s="123">
        <f>IF(INDEX(DebtNames,3)="","",_Calc!U99)</f>
        <v/>
      </c>
      <c r="L99" s="123">
        <f>IF(INDEX(DebtNames,4)="","",_Calc!Y99)</f>
        <v/>
      </c>
      <c r="M99" s="123">
        <f>IF(INDEX(DebtNames,5)="","",_Calc!AC99)</f>
        <v/>
      </c>
      <c r="N99" s="123">
        <f>IF(INDEX(DebtNames,6)="","",_Calc!AG99)</f>
        <v/>
      </c>
      <c r="O99" s="123">
        <f>IF(INDEX(DebtNames,7)="","",_Calc!AK99)</f>
        <v/>
      </c>
      <c r="P99" s="123">
        <f>IF(INDEX(DebtNames,8)="","",_Calc!AO99)</f>
        <v/>
      </c>
    </row>
    <row r="100" ht="16" customHeight="1">
      <c r="A100" s="62">
        <f>_Calc!A100</f>
        <v/>
      </c>
      <c r="B100" s="120">
        <f>_Calc!B100</f>
        <v/>
      </c>
      <c r="C100" s="64">
        <f>_Calc!C100</f>
        <v/>
      </c>
      <c r="D100" s="121">
        <f>_Calc!E100</f>
        <v/>
      </c>
      <c r="E100" s="121">
        <f>_Calc!F100</f>
        <v/>
      </c>
      <c r="F100" s="121">
        <f>_Calc!G100</f>
        <v/>
      </c>
      <c r="G100" s="122">
        <f>_Calc!H100</f>
        <v/>
      </c>
      <c r="H100" s="62">
        <f>_Calc!I100</f>
        <v/>
      </c>
      <c r="I100" s="123">
        <f>IF(INDEX(DebtNames,1)="","",_Calc!M100)</f>
        <v/>
      </c>
      <c r="J100" s="123">
        <f>IF(INDEX(DebtNames,2)="","",_Calc!Q100)</f>
        <v/>
      </c>
      <c r="K100" s="123">
        <f>IF(INDEX(DebtNames,3)="","",_Calc!U100)</f>
        <v/>
      </c>
      <c r="L100" s="123">
        <f>IF(INDEX(DebtNames,4)="","",_Calc!Y100)</f>
        <v/>
      </c>
      <c r="M100" s="123">
        <f>IF(INDEX(DebtNames,5)="","",_Calc!AC100)</f>
        <v/>
      </c>
      <c r="N100" s="123">
        <f>IF(INDEX(DebtNames,6)="","",_Calc!AG100)</f>
        <v/>
      </c>
      <c r="O100" s="123">
        <f>IF(INDEX(DebtNames,7)="","",_Calc!AK100)</f>
        <v/>
      </c>
      <c r="P100" s="123">
        <f>IF(INDEX(DebtNames,8)="","",_Calc!AO100)</f>
        <v/>
      </c>
    </row>
    <row r="101" ht="16" customHeight="1">
      <c r="A101" s="62">
        <f>_Calc!A101</f>
        <v/>
      </c>
      <c r="B101" s="120">
        <f>_Calc!B101</f>
        <v/>
      </c>
      <c r="C101" s="64">
        <f>_Calc!C101</f>
        <v/>
      </c>
      <c r="D101" s="121">
        <f>_Calc!E101</f>
        <v/>
      </c>
      <c r="E101" s="121">
        <f>_Calc!F101</f>
        <v/>
      </c>
      <c r="F101" s="121">
        <f>_Calc!G101</f>
        <v/>
      </c>
      <c r="G101" s="122">
        <f>_Calc!H101</f>
        <v/>
      </c>
      <c r="H101" s="62">
        <f>_Calc!I101</f>
        <v/>
      </c>
      <c r="I101" s="123">
        <f>IF(INDEX(DebtNames,1)="","",_Calc!M101)</f>
        <v/>
      </c>
      <c r="J101" s="123">
        <f>IF(INDEX(DebtNames,2)="","",_Calc!Q101)</f>
        <v/>
      </c>
      <c r="K101" s="123">
        <f>IF(INDEX(DebtNames,3)="","",_Calc!U101)</f>
        <v/>
      </c>
      <c r="L101" s="123">
        <f>IF(INDEX(DebtNames,4)="","",_Calc!Y101)</f>
        <v/>
      </c>
      <c r="M101" s="123">
        <f>IF(INDEX(DebtNames,5)="","",_Calc!AC101)</f>
        <v/>
      </c>
      <c r="N101" s="123">
        <f>IF(INDEX(DebtNames,6)="","",_Calc!AG101)</f>
        <v/>
      </c>
      <c r="O101" s="123">
        <f>IF(INDEX(DebtNames,7)="","",_Calc!AK101)</f>
        <v/>
      </c>
      <c r="P101" s="123">
        <f>IF(INDEX(DebtNames,8)="","",_Calc!AO101)</f>
        <v/>
      </c>
    </row>
    <row r="102" ht="16" customHeight="1">
      <c r="A102" s="62">
        <f>_Calc!A102</f>
        <v/>
      </c>
      <c r="B102" s="120">
        <f>_Calc!B102</f>
        <v/>
      </c>
      <c r="C102" s="64">
        <f>_Calc!C102</f>
        <v/>
      </c>
      <c r="D102" s="121">
        <f>_Calc!E102</f>
        <v/>
      </c>
      <c r="E102" s="121">
        <f>_Calc!F102</f>
        <v/>
      </c>
      <c r="F102" s="121">
        <f>_Calc!G102</f>
        <v/>
      </c>
      <c r="G102" s="122">
        <f>_Calc!H102</f>
        <v/>
      </c>
      <c r="H102" s="62">
        <f>_Calc!I102</f>
        <v/>
      </c>
      <c r="I102" s="123">
        <f>IF(INDEX(DebtNames,1)="","",_Calc!M102)</f>
        <v/>
      </c>
      <c r="J102" s="123">
        <f>IF(INDEX(DebtNames,2)="","",_Calc!Q102)</f>
        <v/>
      </c>
      <c r="K102" s="123">
        <f>IF(INDEX(DebtNames,3)="","",_Calc!U102)</f>
        <v/>
      </c>
      <c r="L102" s="123">
        <f>IF(INDEX(DebtNames,4)="","",_Calc!Y102)</f>
        <v/>
      </c>
      <c r="M102" s="123">
        <f>IF(INDEX(DebtNames,5)="","",_Calc!AC102)</f>
        <v/>
      </c>
      <c r="N102" s="123">
        <f>IF(INDEX(DebtNames,6)="","",_Calc!AG102)</f>
        <v/>
      </c>
      <c r="O102" s="123">
        <f>IF(INDEX(DebtNames,7)="","",_Calc!AK102)</f>
        <v/>
      </c>
      <c r="P102" s="123">
        <f>IF(INDEX(DebtNames,8)="","",_Calc!AO102)</f>
        <v/>
      </c>
    </row>
    <row r="103" ht="16" customHeight="1">
      <c r="A103" s="62">
        <f>_Calc!A103</f>
        <v/>
      </c>
      <c r="B103" s="120">
        <f>_Calc!B103</f>
        <v/>
      </c>
      <c r="C103" s="64">
        <f>_Calc!C103</f>
        <v/>
      </c>
      <c r="D103" s="121">
        <f>_Calc!E103</f>
        <v/>
      </c>
      <c r="E103" s="121">
        <f>_Calc!F103</f>
        <v/>
      </c>
      <c r="F103" s="121">
        <f>_Calc!G103</f>
        <v/>
      </c>
      <c r="G103" s="122">
        <f>_Calc!H103</f>
        <v/>
      </c>
      <c r="H103" s="62">
        <f>_Calc!I103</f>
        <v/>
      </c>
      <c r="I103" s="123">
        <f>IF(INDEX(DebtNames,1)="","",_Calc!M103)</f>
        <v/>
      </c>
      <c r="J103" s="123">
        <f>IF(INDEX(DebtNames,2)="","",_Calc!Q103)</f>
        <v/>
      </c>
      <c r="K103" s="123">
        <f>IF(INDEX(DebtNames,3)="","",_Calc!U103)</f>
        <v/>
      </c>
      <c r="L103" s="123">
        <f>IF(INDEX(DebtNames,4)="","",_Calc!Y103)</f>
        <v/>
      </c>
      <c r="M103" s="123">
        <f>IF(INDEX(DebtNames,5)="","",_Calc!AC103)</f>
        <v/>
      </c>
      <c r="N103" s="123">
        <f>IF(INDEX(DebtNames,6)="","",_Calc!AG103)</f>
        <v/>
      </c>
      <c r="O103" s="123">
        <f>IF(INDEX(DebtNames,7)="","",_Calc!AK103)</f>
        <v/>
      </c>
      <c r="P103" s="123">
        <f>IF(INDEX(DebtNames,8)="","",_Calc!AO103)</f>
        <v/>
      </c>
    </row>
    <row r="104" ht="16" customHeight="1">
      <c r="A104" s="62">
        <f>_Calc!A104</f>
        <v/>
      </c>
      <c r="B104" s="120">
        <f>_Calc!B104</f>
        <v/>
      </c>
      <c r="C104" s="64">
        <f>_Calc!C104</f>
        <v/>
      </c>
      <c r="D104" s="121">
        <f>_Calc!E104</f>
        <v/>
      </c>
      <c r="E104" s="121">
        <f>_Calc!F104</f>
        <v/>
      </c>
      <c r="F104" s="121">
        <f>_Calc!G104</f>
        <v/>
      </c>
      <c r="G104" s="122">
        <f>_Calc!H104</f>
        <v/>
      </c>
      <c r="H104" s="62">
        <f>_Calc!I104</f>
        <v/>
      </c>
      <c r="I104" s="123">
        <f>IF(INDEX(DebtNames,1)="","",_Calc!M104)</f>
        <v/>
      </c>
      <c r="J104" s="123">
        <f>IF(INDEX(DebtNames,2)="","",_Calc!Q104)</f>
        <v/>
      </c>
      <c r="K104" s="123">
        <f>IF(INDEX(DebtNames,3)="","",_Calc!U104)</f>
        <v/>
      </c>
      <c r="L104" s="123">
        <f>IF(INDEX(DebtNames,4)="","",_Calc!Y104)</f>
        <v/>
      </c>
      <c r="M104" s="123">
        <f>IF(INDEX(DebtNames,5)="","",_Calc!AC104)</f>
        <v/>
      </c>
      <c r="N104" s="123">
        <f>IF(INDEX(DebtNames,6)="","",_Calc!AG104)</f>
        <v/>
      </c>
      <c r="O104" s="123">
        <f>IF(INDEX(DebtNames,7)="","",_Calc!AK104)</f>
        <v/>
      </c>
      <c r="P104" s="123">
        <f>IF(INDEX(DebtNames,8)="","",_Calc!AO104)</f>
        <v/>
      </c>
    </row>
    <row r="105" ht="16" customHeight="1">
      <c r="A105" s="62">
        <f>_Calc!A105</f>
        <v/>
      </c>
      <c r="B105" s="120">
        <f>_Calc!B105</f>
        <v/>
      </c>
      <c r="C105" s="64">
        <f>_Calc!C105</f>
        <v/>
      </c>
      <c r="D105" s="121">
        <f>_Calc!E105</f>
        <v/>
      </c>
      <c r="E105" s="121">
        <f>_Calc!F105</f>
        <v/>
      </c>
      <c r="F105" s="121">
        <f>_Calc!G105</f>
        <v/>
      </c>
      <c r="G105" s="122">
        <f>_Calc!H105</f>
        <v/>
      </c>
      <c r="H105" s="62">
        <f>_Calc!I105</f>
        <v/>
      </c>
      <c r="I105" s="123">
        <f>IF(INDEX(DebtNames,1)="","",_Calc!M105)</f>
        <v/>
      </c>
      <c r="J105" s="123">
        <f>IF(INDEX(DebtNames,2)="","",_Calc!Q105)</f>
        <v/>
      </c>
      <c r="K105" s="123">
        <f>IF(INDEX(DebtNames,3)="","",_Calc!U105)</f>
        <v/>
      </c>
      <c r="L105" s="123">
        <f>IF(INDEX(DebtNames,4)="","",_Calc!Y105)</f>
        <v/>
      </c>
      <c r="M105" s="123">
        <f>IF(INDEX(DebtNames,5)="","",_Calc!AC105)</f>
        <v/>
      </c>
      <c r="N105" s="123">
        <f>IF(INDEX(DebtNames,6)="","",_Calc!AG105)</f>
        <v/>
      </c>
      <c r="O105" s="123">
        <f>IF(INDEX(DebtNames,7)="","",_Calc!AK105)</f>
        <v/>
      </c>
      <c r="P105" s="123">
        <f>IF(INDEX(DebtNames,8)="","",_Calc!AO105)</f>
        <v/>
      </c>
    </row>
    <row r="106" ht="16" customHeight="1">
      <c r="A106" s="62">
        <f>_Calc!A106</f>
        <v/>
      </c>
      <c r="B106" s="120">
        <f>_Calc!B106</f>
        <v/>
      </c>
      <c r="C106" s="64">
        <f>_Calc!C106</f>
        <v/>
      </c>
      <c r="D106" s="121">
        <f>_Calc!E106</f>
        <v/>
      </c>
      <c r="E106" s="121">
        <f>_Calc!F106</f>
        <v/>
      </c>
      <c r="F106" s="121">
        <f>_Calc!G106</f>
        <v/>
      </c>
      <c r="G106" s="122">
        <f>_Calc!H106</f>
        <v/>
      </c>
      <c r="H106" s="62">
        <f>_Calc!I106</f>
        <v/>
      </c>
      <c r="I106" s="123">
        <f>IF(INDEX(DebtNames,1)="","",_Calc!M106)</f>
        <v/>
      </c>
      <c r="J106" s="123">
        <f>IF(INDEX(DebtNames,2)="","",_Calc!Q106)</f>
        <v/>
      </c>
      <c r="K106" s="123">
        <f>IF(INDEX(DebtNames,3)="","",_Calc!U106)</f>
        <v/>
      </c>
      <c r="L106" s="123">
        <f>IF(INDEX(DebtNames,4)="","",_Calc!Y106)</f>
        <v/>
      </c>
      <c r="M106" s="123">
        <f>IF(INDEX(DebtNames,5)="","",_Calc!AC106)</f>
        <v/>
      </c>
      <c r="N106" s="123">
        <f>IF(INDEX(DebtNames,6)="","",_Calc!AG106)</f>
        <v/>
      </c>
      <c r="O106" s="123">
        <f>IF(INDEX(DebtNames,7)="","",_Calc!AK106)</f>
        <v/>
      </c>
      <c r="P106" s="123">
        <f>IF(INDEX(DebtNames,8)="","",_Calc!AO106)</f>
        <v/>
      </c>
    </row>
    <row r="107" ht="16" customHeight="1">
      <c r="A107" s="62">
        <f>_Calc!A107</f>
        <v/>
      </c>
      <c r="B107" s="120">
        <f>_Calc!B107</f>
        <v/>
      </c>
      <c r="C107" s="64">
        <f>_Calc!C107</f>
        <v/>
      </c>
      <c r="D107" s="121">
        <f>_Calc!E107</f>
        <v/>
      </c>
      <c r="E107" s="121">
        <f>_Calc!F107</f>
        <v/>
      </c>
      <c r="F107" s="121">
        <f>_Calc!G107</f>
        <v/>
      </c>
      <c r="G107" s="122">
        <f>_Calc!H107</f>
        <v/>
      </c>
      <c r="H107" s="62">
        <f>_Calc!I107</f>
        <v/>
      </c>
      <c r="I107" s="123">
        <f>IF(INDEX(DebtNames,1)="","",_Calc!M107)</f>
        <v/>
      </c>
      <c r="J107" s="123">
        <f>IF(INDEX(DebtNames,2)="","",_Calc!Q107)</f>
        <v/>
      </c>
      <c r="K107" s="123">
        <f>IF(INDEX(DebtNames,3)="","",_Calc!U107)</f>
        <v/>
      </c>
      <c r="L107" s="123">
        <f>IF(INDEX(DebtNames,4)="","",_Calc!Y107)</f>
        <v/>
      </c>
      <c r="M107" s="123">
        <f>IF(INDEX(DebtNames,5)="","",_Calc!AC107)</f>
        <v/>
      </c>
      <c r="N107" s="123">
        <f>IF(INDEX(DebtNames,6)="","",_Calc!AG107)</f>
        <v/>
      </c>
      <c r="O107" s="123">
        <f>IF(INDEX(DebtNames,7)="","",_Calc!AK107)</f>
        <v/>
      </c>
      <c r="P107" s="123">
        <f>IF(INDEX(DebtNames,8)="","",_Calc!AO107)</f>
        <v/>
      </c>
    </row>
    <row r="108" ht="16" customHeight="1">
      <c r="A108" s="62">
        <f>_Calc!A108</f>
        <v/>
      </c>
      <c r="B108" s="120">
        <f>_Calc!B108</f>
        <v/>
      </c>
      <c r="C108" s="64">
        <f>_Calc!C108</f>
        <v/>
      </c>
      <c r="D108" s="121">
        <f>_Calc!E108</f>
        <v/>
      </c>
      <c r="E108" s="121">
        <f>_Calc!F108</f>
        <v/>
      </c>
      <c r="F108" s="121">
        <f>_Calc!G108</f>
        <v/>
      </c>
      <c r="G108" s="122">
        <f>_Calc!H108</f>
        <v/>
      </c>
      <c r="H108" s="62">
        <f>_Calc!I108</f>
        <v/>
      </c>
      <c r="I108" s="123">
        <f>IF(INDEX(DebtNames,1)="","",_Calc!M108)</f>
        <v/>
      </c>
      <c r="J108" s="123">
        <f>IF(INDEX(DebtNames,2)="","",_Calc!Q108)</f>
        <v/>
      </c>
      <c r="K108" s="123">
        <f>IF(INDEX(DebtNames,3)="","",_Calc!U108)</f>
        <v/>
      </c>
      <c r="L108" s="123">
        <f>IF(INDEX(DebtNames,4)="","",_Calc!Y108)</f>
        <v/>
      </c>
      <c r="M108" s="123">
        <f>IF(INDEX(DebtNames,5)="","",_Calc!AC108)</f>
        <v/>
      </c>
      <c r="N108" s="123">
        <f>IF(INDEX(DebtNames,6)="","",_Calc!AG108)</f>
        <v/>
      </c>
      <c r="O108" s="123">
        <f>IF(INDEX(DebtNames,7)="","",_Calc!AK108)</f>
        <v/>
      </c>
      <c r="P108" s="123">
        <f>IF(INDEX(DebtNames,8)="","",_Calc!AO108)</f>
        <v/>
      </c>
    </row>
    <row r="109" ht="16" customHeight="1">
      <c r="A109" s="62">
        <f>_Calc!A109</f>
        <v/>
      </c>
      <c r="B109" s="120">
        <f>_Calc!B109</f>
        <v/>
      </c>
      <c r="C109" s="64">
        <f>_Calc!C109</f>
        <v/>
      </c>
      <c r="D109" s="121">
        <f>_Calc!E109</f>
        <v/>
      </c>
      <c r="E109" s="121">
        <f>_Calc!F109</f>
        <v/>
      </c>
      <c r="F109" s="121">
        <f>_Calc!G109</f>
        <v/>
      </c>
      <c r="G109" s="122">
        <f>_Calc!H109</f>
        <v/>
      </c>
      <c r="H109" s="62">
        <f>_Calc!I109</f>
        <v/>
      </c>
      <c r="I109" s="123">
        <f>IF(INDEX(DebtNames,1)="","",_Calc!M109)</f>
        <v/>
      </c>
      <c r="J109" s="123">
        <f>IF(INDEX(DebtNames,2)="","",_Calc!Q109)</f>
        <v/>
      </c>
      <c r="K109" s="123">
        <f>IF(INDEX(DebtNames,3)="","",_Calc!U109)</f>
        <v/>
      </c>
      <c r="L109" s="123">
        <f>IF(INDEX(DebtNames,4)="","",_Calc!Y109)</f>
        <v/>
      </c>
      <c r="M109" s="123">
        <f>IF(INDEX(DebtNames,5)="","",_Calc!AC109)</f>
        <v/>
      </c>
      <c r="N109" s="123">
        <f>IF(INDEX(DebtNames,6)="","",_Calc!AG109)</f>
        <v/>
      </c>
      <c r="O109" s="123">
        <f>IF(INDEX(DebtNames,7)="","",_Calc!AK109)</f>
        <v/>
      </c>
      <c r="P109" s="123">
        <f>IF(INDEX(DebtNames,8)="","",_Calc!AO109)</f>
        <v/>
      </c>
    </row>
    <row r="110" ht="16" customHeight="1">
      <c r="A110" s="62">
        <f>_Calc!A110</f>
        <v/>
      </c>
      <c r="B110" s="120">
        <f>_Calc!B110</f>
        <v/>
      </c>
      <c r="C110" s="64">
        <f>_Calc!C110</f>
        <v/>
      </c>
      <c r="D110" s="121">
        <f>_Calc!E110</f>
        <v/>
      </c>
      <c r="E110" s="121">
        <f>_Calc!F110</f>
        <v/>
      </c>
      <c r="F110" s="121">
        <f>_Calc!G110</f>
        <v/>
      </c>
      <c r="G110" s="122">
        <f>_Calc!H110</f>
        <v/>
      </c>
      <c r="H110" s="62">
        <f>_Calc!I110</f>
        <v/>
      </c>
      <c r="I110" s="123">
        <f>IF(INDEX(DebtNames,1)="","",_Calc!M110)</f>
        <v/>
      </c>
      <c r="J110" s="123">
        <f>IF(INDEX(DebtNames,2)="","",_Calc!Q110)</f>
        <v/>
      </c>
      <c r="K110" s="123">
        <f>IF(INDEX(DebtNames,3)="","",_Calc!U110)</f>
        <v/>
      </c>
      <c r="L110" s="123">
        <f>IF(INDEX(DebtNames,4)="","",_Calc!Y110)</f>
        <v/>
      </c>
      <c r="M110" s="123">
        <f>IF(INDEX(DebtNames,5)="","",_Calc!AC110)</f>
        <v/>
      </c>
      <c r="N110" s="123">
        <f>IF(INDEX(DebtNames,6)="","",_Calc!AG110)</f>
        <v/>
      </c>
      <c r="O110" s="123">
        <f>IF(INDEX(DebtNames,7)="","",_Calc!AK110)</f>
        <v/>
      </c>
      <c r="P110" s="123">
        <f>IF(INDEX(DebtNames,8)="","",_Calc!AO110)</f>
        <v/>
      </c>
    </row>
    <row r="111" ht="16" customHeight="1">
      <c r="A111" s="62">
        <f>_Calc!A111</f>
        <v/>
      </c>
      <c r="B111" s="120">
        <f>_Calc!B111</f>
        <v/>
      </c>
      <c r="C111" s="64">
        <f>_Calc!C111</f>
        <v/>
      </c>
      <c r="D111" s="121">
        <f>_Calc!E111</f>
        <v/>
      </c>
      <c r="E111" s="121">
        <f>_Calc!F111</f>
        <v/>
      </c>
      <c r="F111" s="121">
        <f>_Calc!G111</f>
        <v/>
      </c>
      <c r="G111" s="122">
        <f>_Calc!H111</f>
        <v/>
      </c>
      <c r="H111" s="62">
        <f>_Calc!I111</f>
        <v/>
      </c>
      <c r="I111" s="123">
        <f>IF(INDEX(DebtNames,1)="","",_Calc!M111)</f>
        <v/>
      </c>
      <c r="J111" s="123">
        <f>IF(INDEX(DebtNames,2)="","",_Calc!Q111)</f>
        <v/>
      </c>
      <c r="K111" s="123">
        <f>IF(INDEX(DebtNames,3)="","",_Calc!U111)</f>
        <v/>
      </c>
      <c r="L111" s="123">
        <f>IF(INDEX(DebtNames,4)="","",_Calc!Y111)</f>
        <v/>
      </c>
      <c r="M111" s="123">
        <f>IF(INDEX(DebtNames,5)="","",_Calc!AC111)</f>
        <v/>
      </c>
      <c r="N111" s="123">
        <f>IF(INDEX(DebtNames,6)="","",_Calc!AG111)</f>
        <v/>
      </c>
      <c r="O111" s="123">
        <f>IF(INDEX(DebtNames,7)="","",_Calc!AK111)</f>
        <v/>
      </c>
      <c r="P111" s="123">
        <f>IF(INDEX(DebtNames,8)="","",_Calc!AO111)</f>
        <v/>
      </c>
    </row>
    <row r="112" ht="16" customHeight="1">
      <c r="A112" s="62">
        <f>_Calc!A112</f>
        <v/>
      </c>
      <c r="B112" s="120">
        <f>_Calc!B112</f>
        <v/>
      </c>
      <c r="C112" s="64">
        <f>_Calc!C112</f>
        <v/>
      </c>
      <c r="D112" s="121">
        <f>_Calc!E112</f>
        <v/>
      </c>
      <c r="E112" s="121">
        <f>_Calc!F112</f>
        <v/>
      </c>
      <c r="F112" s="121">
        <f>_Calc!G112</f>
        <v/>
      </c>
      <c r="G112" s="122">
        <f>_Calc!H112</f>
        <v/>
      </c>
      <c r="H112" s="62">
        <f>_Calc!I112</f>
        <v/>
      </c>
      <c r="I112" s="123">
        <f>IF(INDEX(DebtNames,1)="","",_Calc!M112)</f>
        <v/>
      </c>
      <c r="J112" s="123">
        <f>IF(INDEX(DebtNames,2)="","",_Calc!Q112)</f>
        <v/>
      </c>
      <c r="K112" s="123">
        <f>IF(INDEX(DebtNames,3)="","",_Calc!U112)</f>
        <v/>
      </c>
      <c r="L112" s="123">
        <f>IF(INDEX(DebtNames,4)="","",_Calc!Y112)</f>
        <v/>
      </c>
      <c r="M112" s="123">
        <f>IF(INDEX(DebtNames,5)="","",_Calc!AC112)</f>
        <v/>
      </c>
      <c r="N112" s="123">
        <f>IF(INDEX(DebtNames,6)="","",_Calc!AG112)</f>
        <v/>
      </c>
      <c r="O112" s="123">
        <f>IF(INDEX(DebtNames,7)="","",_Calc!AK112)</f>
        <v/>
      </c>
      <c r="P112" s="123">
        <f>IF(INDEX(DebtNames,8)="","",_Calc!AO112)</f>
        <v/>
      </c>
    </row>
    <row r="113" ht="16" customHeight="1">
      <c r="A113" s="62">
        <f>_Calc!A113</f>
        <v/>
      </c>
      <c r="B113" s="120">
        <f>_Calc!B113</f>
        <v/>
      </c>
      <c r="C113" s="64">
        <f>_Calc!C113</f>
        <v/>
      </c>
      <c r="D113" s="121">
        <f>_Calc!E113</f>
        <v/>
      </c>
      <c r="E113" s="121">
        <f>_Calc!F113</f>
        <v/>
      </c>
      <c r="F113" s="121">
        <f>_Calc!G113</f>
        <v/>
      </c>
      <c r="G113" s="122">
        <f>_Calc!H113</f>
        <v/>
      </c>
      <c r="H113" s="62">
        <f>_Calc!I113</f>
        <v/>
      </c>
      <c r="I113" s="123">
        <f>IF(INDEX(DebtNames,1)="","",_Calc!M113)</f>
        <v/>
      </c>
      <c r="J113" s="123">
        <f>IF(INDEX(DebtNames,2)="","",_Calc!Q113)</f>
        <v/>
      </c>
      <c r="K113" s="123">
        <f>IF(INDEX(DebtNames,3)="","",_Calc!U113)</f>
        <v/>
      </c>
      <c r="L113" s="123">
        <f>IF(INDEX(DebtNames,4)="","",_Calc!Y113)</f>
        <v/>
      </c>
      <c r="M113" s="123">
        <f>IF(INDEX(DebtNames,5)="","",_Calc!AC113)</f>
        <v/>
      </c>
      <c r="N113" s="123">
        <f>IF(INDEX(DebtNames,6)="","",_Calc!AG113)</f>
        <v/>
      </c>
      <c r="O113" s="123">
        <f>IF(INDEX(DebtNames,7)="","",_Calc!AK113)</f>
        <v/>
      </c>
      <c r="P113" s="123">
        <f>IF(INDEX(DebtNames,8)="","",_Calc!AO113)</f>
        <v/>
      </c>
    </row>
    <row r="114" ht="16" customHeight="1">
      <c r="A114" s="62">
        <f>_Calc!A114</f>
        <v/>
      </c>
      <c r="B114" s="120">
        <f>_Calc!B114</f>
        <v/>
      </c>
      <c r="C114" s="64">
        <f>_Calc!C114</f>
        <v/>
      </c>
      <c r="D114" s="121">
        <f>_Calc!E114</f>
        <v/>
      </c>
      <c r="E114" s="121">
        <f>_Calc!F114</f>
        <v/>
      </c>
      <c r="F114" s="121">
        <f>_Calc!G114</f>
        <v/>
      </c>
      <c r="G114" s="122">
        <f>_Calc!H114</f>
        <v/>
      </c>
      <c r="H114" s="62">
        <f>_Calc!I114</f>
        <v/>
      </c>
      <c r="I114" s="123">
        <f>IF(INDEX(DebtNames,1)="","",_Calc!M114)</f>
        <v/>
      </c>
      <c r="J114" s="123">
        <f>IF(INDEX(DebtNames,2)="","",_Calc!Q114)</f>
        <v/>
      </c>
      <c r="K114" s="123">
        <f>IF(INDEX(DebtNames,3)="","",_Calc!U114)</f>
        <v/>
      </c>
      <c r="L114" s="123">
        <f>IF(INDEX(DebtNames,4)="","",_Calc!Y114)</f>
        <v/>
      </c>
      <c r="M114" s="123">
        <f>IF(INDEX(DebtNames,5)="","",_Calc!AC114)</f>
        <v/>
      </c>
      <c r="N114" s="123">
        <f>IF(INDEX(DebtNames,6)="","",_Calc!AG114)</f>
        <v/>
      </c>
      <c r="O114" s="123">
        <f>IF(INDEX(DebtNames,7)="","",_Calc!AK114)</f>
        <v/>
      </c>
      <c r="P114" s="123">
        <f>IF(INDEX(DebtNames,8)="","",_Calc!AO114)</f>
        <v/>
      </c>
    </row>
    <row r="115" ht="16" customHeight="1">
      <c r="A115" s="62">
        <f>_Calc!A115</f>
        <v/>
      </c>
      <c r="B115" s="120">
        <f>_Calc!B115</f>
        <v/>
      </c>
      <c r="C115" s="64">
        <f>_Calc!C115</f>
        <v/>
      </c>
      <c r="D115" s="121">
        <f>_Calc!E115</f>
        <v/>
      </c>
      <c r="E115" s="121">
        <f>_Calc!F115</f>
        <v/>
      </c>
      <c r="F115" s="121">
        <f>_Calc!G115</f>
        <v/>
      </c>
      <c r="G115" s="122">
        <f>_Calc!H115</f>
        <v/>
      </c>
      <c r="H115" s="62">
        <f>_Calc!I115</f>
        <v/>
      </c>
      <c r="I115" s="123">
        <f>IF(INDEX(DebtNames,1)="","",_Calc!M115)</f>
        <v/>
      </c>
      <c r="J115" s="123">
        <f>IF(INDEX(DebtNames,2)="","",_Calc!Q115)</f>
        <v/>
      </c>
      <c r="K115" s="123">
        <f>IF(INDEX(DebtNames,3)="","",_Calc!U115)</f>
        <v/>
      </c>
      <c r="L115" s="123">
        <f>IF(INDEX(DebtNames,4)="","",_Calc!Y115)</f>
        <v/>
      </c>
      <c r="M115" s="123">
        <f>IF(INDEX(DebtNames,5)="","",_Calc!AC115)</f>
        <v/>
      </c>
      <c r="N115" s="123">
        <f>IF(INDEX(DebtNames,6)="","",_Calc!AG115)</f>
        <v/>
      </c>
      <c r="O115" s="123">
        <f>IF(INDEX(DebtNames,7)="","",_Calc!AK115)</f>
        <v/>
      </c>
      <c r="P115" s="123">
        <f>IF(INDEX(DebtNames,8)="","",_Calc!AO115)</f>
        <v/>
      </c>
    </row>
    <row r="116" ht="16" customHeight="1">
      <c r="A116" s="62">
        <f>_Calc!A116</f>
        <v/>
      </c>
      <c r="B116" s="120">
        <f>_Calc!B116</f>
        <v/>
      </c>
      <c r="C116" s="64">
        <f>_Calc!C116</f>
        <v/>
      </c>
      <c r="D116" s="121">
        <f>_Calc!E116</f>
        <v/>
      </c>
      <c r="E116" s="121">
        <f>_Calc!F116</f>
        <v/>
      </c>
      <c r="F116" s="121">
        <f>_Calc!G116</f>
        <v/>
      </c>
      <c r="G116" s="122">
        <f>_Calc!H116</f>
        <v/>
      </c>
      <c r="H116" s="62">
        <f>_Calc!I116</f>
        <v/>
      </c>
      <c r="I116" s="123">
        <f>IF(INDEX(DebtNames,1)="","",_Calc!M116)</f>
        <v/>
      </c>
      <c r="J116" s="123">
        <f>IF(INDEX(DebtNames,2)="","",_Calc!Q116)</f>
        <v/>
      </c>
      <c r="K116" s="123">
        <f>IF(INDEX(DebtNames,3)="","",_Calc!U116)</f>
        <v/>
      </c>
      <c r="L116" s="123">
        <f>IF(INDEX(DebtNames,4)="","",_Calc!Y116)</f>
        <v/>
      </c>
      <c r="M116" s="123">
        <f>IF(INDEX(DebtNames,5)="","",_Calc!AC116)</f>
        <v/>
      </c>
      <c r="N116" s="123">
        <f>IF(INDEX(DebtNames,6)="","",_Calc!AG116)</f>
        <v/>
      </c>
      <c r="O116" s="123">
        <f>IF(INDEX(DebtNames,7)="","",_Calc!AK116)</f>
        <v/>
      </c>
      <c r="P116" s="123">
        <f>IF(INDEX(DebtNames,8)="","",_Calc!AO116)</f>
        <v/>
      </c>
    </row>
    <row r="117" ht="16" customHeight="1">
      <c r="A117" s="62">
        <f>_Calc!A117</f>
        <v/>
      </c>
      <c r="B117" s="120">
        <f>_Calc!B117</f>
        <v/>
      </c>
      <c r="C117" s="64">
        <f>_Calc!C117</f>
        <v/>
      </c>
      <c r="D117" s="121">
        <f>_Calc!E117</f>
        <v/>
      </c>
      <c r="E117" s="121">
        <f>_Calc!F117</f>
        <v/>
      </c>
      <c r="F117" s="121">
        <f>_Calc!G117</f>
        <v/>
      </c>
      <c r="G117" s="122">
        <f>_Calc!H117</f>
        <v/>
      </c>
      <c r="H117" s="62">
        <f>_Calc!I117</f>
        <v/>
      </c>
      <c r="I117" s="123">
        <f>IF(INDEX(DebtNames,1)="","",_Calc!M117)</f>
        <v/>
      </c>
      <c r="J117" s="123">
        <f>IF(INDEX(DebtNames,2)="","",_Calc!Q117)</f>
        <v/>
      </c>
      <c r="K117" s="123">
        <f>IF(INDEX(DebtNames,3)="","",_Calc!U117)</f>
        <v/>
      </c>
      <c r="L117" s="123">
        <f>IF(INDEX(DebtNames,4)="","",_Calc!Y117)</f>
        <v/>
      </c>
      <c r="M117" s="123">
        <f>IF(INDEX(DebtNames,5)="","",_Calc!AC117)</f>
        <v/>
      </c>
      <c r="N117" s="123">
        <f>IF(INDEX(DebtNames,6)="","",_Calc!AG117)</f>
        <v/>
      </c>
      <c r="O117" s="123">
        <f>IF(INDEX(DebtNames,7)="","",_Calc!AK117)</f>
        <v/>
      </c>
      <c r="P117" s="123">
        <f>IF(INDEX(DebtNames,8)="","",_Calc!AO117)</f>
        <v/>
      </c>
    </row>
    <row r="118" ht="16" customHeight="1">
      <c r="A118" s="62">
        <f>_Calc!A118</f>
        <v/>
      </c>
      <c r="B118" s="120">
        <f>_Calc!B118</f>
        <v/>
      </c>
      <c r="C118" s="64">
        <f>_Calc!C118</f>
        <v/>
      </c>
      <c r="D118" s="121">
        <f>_Calc!E118</f>
        <v/>
      </c>
      <c r="E118" s="121">
        <f>_Calc!F118</f>
        <v/>
      </c>
      <c r="F118" s="121">
        <f>_Calc!G118</f>
        <v/>
      </c>
      <c r="G118" s="122">
        <f>_Calc!H118</f>
        <v/>
      </c>
      <c r="H118" s="62">
        <f>_Calc!I118</f>
        <v/>
      </c>
      <c r="I118" s="123">
        <f>IF(INDEX(DebtNames,1)="","",_Calc!M118)</f>
        <v/>
      </c>
      <c r="J118" s="123">
        <f>IF(INDEX(DebtNames,2)="","",_Calc!Q118)</f>
        <v/>
      </c>
      <c r="K118" s="123">
        <f>IF(INDEX(DebtNames,3)="","",_Calc!U118)</f>
        <v/>
      </c>
      <c r="L118" s="123">
        <f>IF(INDEX(DebtNames,4)="","",_Calc!Y118)</f>
        <v/>
      </c>
      <c r="M118" s="123">
        <f>IF(INDEX(DebtNames,5)="","",_Calc!AC118)</f>
        <v/>
      </c>
      <c r="N118" s="123">
        <f>IF(INDEX(DebtNames,6)="","",_Calc!AG118)</f>
        <v/>
      </c>
      <c r="O118" s="123">
        <f>IF(INDEX(DebtNames,7)="","",_Calc!AK118)</f>
        <v/>
      </c>
      <c r="P118" s="123">
        <f>IF(INDEX(DebtNames,8)="","",_Calc!AO118)</f>
        <v/>
      </c>
    </row>
    <row r="119" ht="16" customHeight="1">
      <c r="A119" s="62">
        <f>_Calc!A119</f>
        <v/>
      </c>
      <c r="B119" s="120">
        <f>_Calc!B119</f>
        <v/>
      </c>
      <c r="C119" s="64">
        <f>_Calc!C119</f>
        <v/>
      </c>
      <c r="D119" s="121">
        <f>_Calc!E119</f>
        <v/>
      </c>
      <c r="E119" s="121">
        <f>_Calc!F119</f>
        <v/>
      </c>
      <c r="F119" s="121">
        <f>_Calc!G119</f>
        <v/>
      </c>
      <c r="G119" s="122">
        <f>_Calc!H119</f>
        <v/>
      </c>
      <c r="H119" s="62">
        <f>_Calc!I119</f>
        <v/>
      </c>
      <c r="I119" s="123">
        <f>IF(INDEX(DebtNames,1)="","",_Calc!M119)</f>
        <v/>
      </c>
      <c r="J119" s="123">
        <f>IF(INDEX(DebtNames,2)="","",_Calc!Q119)</f>
        <v/>
      </c>
      <c r="K119" s="123">
        <f>IF(INDEX(DebtNames,3)="","",_Calc!U119)</f>
        <v/>
      </c>
      <c r="L119" s="123">
        <f>IF(INDEX(DebtNames,4)="","",_Calc!Y119)</f>
        <v/>
      </c>
      <c r="M119" s="123">
        <f>IF(INDEX(DebtNames,5)="","",_Calc!AC119)</f>
        <v/>
      </c>
      <c r="N119" s="123">
        <f>IF(INDEX(DebtNames,6)="","",_Calc!AG119)</f>
        <v/>
      </c>
      <c r="O119" s="123">
        <f>IF(INDEX(DebtNames,7)="","",_Calc!AK119)</f>
        <v/>
      </c>
      <c r="P119" s="123">
        <f>IF(INDEX(DebtNames,8)="","",_Calc!AO119)</f>
        <v/>
      </c>
    </row>
    <row r="120" ht="16" customHeight="1">
      <c r="A120" s="62">
        <f>_Calc!A120</f>
        <v/>
      </c>
      <c r="B120" s="120">
        <f>_Calc!B120</f>
        <v/>
      </c>
      <c r="C120" s="64">
        <f>_Calc!C120</f>
        <v/>
      </c>
      <c r="D120" s="121">
        <f>_Calc!E120</f>
        <v/>
      </c>
      <c r="E120" s="121">
        <f>_Calc!F120</f>
        <v/>
      </c>
      <c r="F120" s="121">
        <f>_Calc!G120</f>
        <v/>
      </c>
      <c r="G120" s="122">
        <f>_Calc!H120</f>
        <v/>
      </c>
      <c r="H120" s="62">
        <f>_Calc!I120</f>
        <v/>
      </c>
      <c r="I120" s="123">
        <f>IF(INDEX(DebtNames,1)="","",_Calc!M120)</f>
        <v/>
      </c>
      <c r="J120" s="123">
        <f>IF(INDEX(DebtNames,2)="","",_Calc!Q120)</f>
        <v/>
      </c>
      <c r="K120" s="123">
        <f>IF(INDEX(DebtNames,3)="","",_Calc!U120)</f>
        <v/>
      </c>
      <c r="L120" s="123">
        <f>IF(INDEX(DebtNames,4)="","",_Calc!Y120)</f>
        <v/>
      </c>
      <c r="M120" s="123">
        <f>IF(INDEX(DebtNames,5)="","",_Calc!AC120)</f>
        <v/>
      </c>
      <c r="N120" s="123">
        <f>IF(INDEX(DebtNames,6)="","",_Calc!AG120)</f>
        <v/>
      </c>
      <c r="O120" s="123">
        <f>IF(INDEX(DebtNames,7)="","",_Calc!AK120)</f>
        <v/>
      </c>
      <c r="P120" s="123">
        <f>IF(INDEX(DebtNames,8)="","",_Calc!AO120)</f>
        <v/>
      </c>
    </row>
    <row r="121" ht="16" customHeight="1">
      <c r="A121" s="62">
        <f>_Calc!A121</f>
        <v/>
      </c>
      <c r="B121" s="120">
        <f>_Calc!B121</f>
        <v/>
      </c>
      <c r="C121" s="64">
        <f>_Calc!C121</f>
        <v/>
      </c>
      <c r="D121" s="121">
        <f>_Calc!E121</f>
        <v/>
      </c>
      <c r="E121" s="121">
        <f>_Calc!F121</f>
        <v/>
      </c>
      <c r="F121" s="121">
        <f>_Calc!G121</f>
        <v/>
      </c>
      <c r="G121" s="122">
        <f>_Calc!H121</f>
        <v/>
      </c>
      <c r="H121" s="62">
        <f>_Calc!I121</f>
        <v/>
      </c>
      <c r="I121" s="123">
        <f>IF(INDEX(DebtNames,1)="","",_Calc!M121)</f>
        <v/>
      </c>
      <c r="J121" s="123">
        <f>IF(INDEX(DebtNames,2)="","",_Calc!Q121)</f>
        <v/>
      </c>
      <c r="K121" s="123">
        <f>IF(INDEX(DebtNames,3)="","",_Calc!U121)</f>
        <v/>
      </c>
      <c r="L121" s="123">
        <f>IF(INDEX(DebtNames,4)="","",_Calc!Y121)</f>
        <v/>
      </c>
      <c r="M121" s="123">
        <f>IF(INDEX(DebtNames,5)="","",_Calc!AC121)</f>
        <v/>
      </c>
      <c r="N121" s="123">
        <f>IF(INDEX(DebtNames,6)="","",_Calc!AG121)</f>
        <v/>
      </c>
      <c r="O121" s="123">
        <f>IF(INDEX(DebtNames,7)="","",_Calc!AK121)</f>
        <v/>
      </c>
      <c r="P121" s="123">
        <f>IF(INDEX(DebtNames,8)="","",_Calc!AO121)</f>
        <v/>
      </c>
    </row>
    <row r="122" ht="16" customHeight="1">
      <c r="A122" s="62">
        <f>_Calc!A122</f>
        <v/>
      </c>
      <c r="B122" s="120">
        <f>_Calc!B122</f>
        <v/>
      </c>
      <c r="C122" s="64">
        <f>_Calc!C122</f>
        <v/>
      </c>
      <c r="D122" s="121">
        <f>_Calc!E122</f>
        <v/>
      </c>
      <c r="E122" s="121">
        <f>_Calc!F122</f>
        <v/>
      </c>
      <c r="F122" s="121">
        <f>_Calc!G122</f>
        <v/>
      </c>
      <c r="G122" s="122">
        <f>_Calc!H122</f>
        <v/>
      </c>
      <c r="H122" s="62">
        <f>_Calc!I122</f>
        <v/>
      </c>
      <c r="I122" s="123">
        <f>IF(INDEX(DebtNames,1)="","",_Calc!M122)</f>
        <v/>
      </c>
      <c r="J122" s="123">
        <f>IF(INDEX(DebtNames,2)="","",_Calc!Q122)</f>
        <v/>
      </c>
      <c r="K122" s="123">
        <f>IF(INDEX(DebtNames,3)="","",_Calc!U122)</f>
        <v/>
      </c>
      <c r="L122" s="123">
        <f>IF(INDEX(DebtNames,4)="","",_Calc!Y122)</f>
        <v/>
      </c>
      <c r="M122" s="123">
        <f>IF(INDEX(DebtNames,5)="","",_Calc!AC122)</f>
        <v/>
      </c>
      <c r="N122" s="123">
        <f>IF(INDEX(DebtNames,6)="","",_Calc!AG122)</f>
        <v/>
      </c>
      <c r="O122" s="123">
        <f>IF(INDEX(DebtNames,7)="","",_Calc!AK122)</f>
        <v/>
      </c>
      <c r="P122" s="123">
        <f>IF(INDEX(DebtNames,8)="","",_Calc!AO122)</f>
        <v/>
      </c>
    </row>
    <row r="123" ht="16" customHeight="1">
      <c r="A123" s="62">
        <f>_Calc!A123</f>
        <v/>
      </c>
      <c r="B123" s="120">
        <f>_Calc!B123</f>
        <v/>
      </c>
      <c r="C123" s="64">
        <f>_Calc!C123</f>
        <v/>
      </c>
      <c r="D123" s="121">
        <f>_Calc!E123</f>
        <v/>
      </c>
      <c r="E123" s="121">
        <f>_Calc!F123</f>
        <v/>
      </c>
      <c r="F123" s="121">
        <f>_Calc!G123</f>
        <v/>
      </c>
      <c r="G123" s="122">
        <f>_Calc!H123</f>
        <v/>
      </c>
      <c r="H123" s="62">
        <f>_Calc!I123</f>
        <v/>
      </c>
      <c r="I123" s="123">
        <f>IF(INDEX(DebtNames,1)="","",_Calc!M123)</f>
        <v/>
      </c>
      <c r="J123" s="123">
        <f>IF(INDEX(DebtNames,2)="","",_Calc!Q123)</f>
        <v/>
      </c>
      <c r="K123" s="123">
        <f>IF(INDEX(DebtNames,3)="","",_Calc!U123)</f>
        <v/>
      </c>
      <c r="L123" s="123">
        <f>IF(INDEX(DebtNames,4)="","",_Calc!Y123)</f>
        <v/>
      </c>
      <c r="M123" s="123">
        <f>IF(INDEX(DebtNames,5)="","",_Calc!AC123)</f>
        <v/>
      </c>
      <c r="N123" s="123">
        <f>IF(INDEX(DebtNames,6)="","",_Calc!AG123)</f>
        <v/>
      </c>
      <c r="O123" s="123">
        <f>IF(INDEX(DebtNames,7)="","",_Calc!AK123)</f>
        <v/>
      </c>
      <c r="P123" s="123">
        <f>IF(INDEX(DebtNames,8)="","",_Calc!AO123)</f>
        <v/>
      </c>
    </row>
    <row r="124" ht="16" customHeight="1">
      <c r="A124" s="62">
        <f>_Calc!A124</f>
        <v/>
      </c>
      <c r="B124" s="120">
        <f>_Calc!B124</f>
        <v/>
      </c>
      <c r="C124" s="64">
        <f>_Calc!C124</f>
        <v/>
      </c>
      <c r="D124" s="121">
        <f>_Calc!E124</f>
        <v/>
      </c>
      <c r="E124" s="121">
        <f>_Calc!F124</f>
        <v/>
      </c>
      <c r="F124" s="121">
        <f>_Calc!G124</f>
        <v/>
      </c>
      <c r="G124" s="122">
        <f>_Calc!H124</f>
        <v/>
      </c>
      <c r="H124" s="62">
        <f>_Calc!I124</f>
        <v/>
      </c>
      <c r="I124" s="123">
        <f>IF(INDEX(DebtNames,1)="","",_Calc!M124)</f>
        <v/>
      </c>
      <c r="J124" s="123">
        <f>IF(INDEX(DebtNames,2)="","",_Calc!Q124)</f>
        <v/>
      </c>
      <c r="K124" s="123">
        <f>IF(INDEX(DebtNames,3)="","",_Calc!U124)</f>
        <v/>
      </c>
      <c r="L124" s="123">
        <f>IF(INDEX(DebtNames,4)="","",_Calc!Y124)</f>
        <v/>
      </c>
      <c r="M124" s="123">
        <f>IF(INDEX(DebtNames,5)="","",_Calc!AC124)</f>
        <v/>
      </c>
      <c r="N124" s="123">
        <f>IF(INDEX(DebtNames,6)="","",_Calc!AG124)</f>
        <v/>
      </c>
      <c r="O124" s="123">
        <f>IF(INDEX(DebtNames,7)="","",_Calc!AK124)</f>
        <v/>
      </c>
      <c r="P124" s="123">
        <f>IF(INDEX(DebtNames,8)="","",_Calc!AO124)</f>
        <v/>
      </c>
    </row>
  </sheetData>
  <sheetProtection selectLockedCells="1" selectUnlockedCells="1" sheet="1" objects="0" insertRows="1" insertHyperlinks="1" autoFilter="1" scenarios="0" formatColumns="1" deleteColumns="1" insertColumns="1" pivotTables="1" deleteRows="1" formatCells="1" formatRows="1" sort="1"/>
  <mergeCells count="3">
    <mergeCell ref="A3:Q3"/>
    <mergeCell ref="A2:Q2"/>
    <mergeCell ref="A1:Q1"/>
  </mergeCells>
  <conditionalFormatting sqref="C5:C124">
    <cfRule type="expression" priority="1" dxfId="2">
      <formula>$C5&lt;&gt;""</formula>
    </cfRule>
  </conditionalFormatting>
  <conditionalFormatting sqref="G5:G124">
    <cfRule type="expression" priority="2" dxfId="3">
      <formula>$G5&lt;=0.005</formula>
    </cfRule>
  </conditionalFormatting>
  <conditionalFormatting sqref="I5:I124">
    <cfRule type="expression" priority="3" dxfId="4">
      <formula>AND(I5&lt;&gt;"",I5&lt;=0.005)</formula>
    </cfRule>
  </conditionalFormatting>
  <conditionalFormatting sqref="J5:J124">
    <cfRule type="expression" priority="4" dxfId="4">
      <formula>AND(J5&lt;&gt;"",J5&lt;=0.005)</formula>
    </cfRule>
  </conditionalFormatting>
  <conditionalFormatting sqref="K5:K124">
    <cfRule type="expression" priority="5" dxfId="4">
      <formula>AND(K5&lt;&gt;"",K5&lt;=0.005)</formula>
    </cfRule>
  </conditionalFormatting>
  <conditionalFormatting sqref="L5:L124">
    <cfRule type="expression" priority="6" dxfId="4">
      <formula>AND(L5&lt;&gt;"",L5&lt;=0.005)</formula>
    </cfRule>
  </conditionalFormatting>
  <conditionalFormatting sqref="M5:M124">
    <cfRule type="expression" priority="7" dxfId="4">
      <formula>AND(M5&lt;&gt;"",M5&lt;=0.005)</formula>
    </cfRule>
  </conditionalFormatting>
  <conditionalFormatting sqref="N5:N124">
    <cfRule type="expression" priority="8" dxfId="4">
      <formula>AND(N5&lt;&gt;"",N5&lt;=0.005)</formula>
    </cfRule>
  </conditionalFormatting>
  <conditionalFormatting sqref="O5:O124">
    <cfRule type="expression" priority="9" dxfId="4">
      <formula>AND(O5&lt;&gt;"",O5&lt;=0.005)</formula>
    </cfRule>
  </conditionalFormatting>
  <conditionalFormatting sqref="P5:P124">
    <cfRule type="expression" priority="10" dxfId="4">
      <formula>AND(P5&lt;&gt;"",P5&lt;=0.005)</formula>
    </cfRule>
  </conditionalFormatting>
  <printOptions horizontalCentered="1"/>
  <pageMargins left="0.5" right="0.5" top="0.55" bottom="0.55" header="0.3" footer="0.3"/>
  <pageSetup orientation="landscape" paperSize="1" fitToHeight="0" fitToWidth="1"/>
  <headerFooter>
    <oddHeader>&amp;LPayoff Schedule</oddHeader>
    <oddFooter>&amp;RPage &amp;P of &amp;N</oddFooter>
    <evenHeader/>
    <evenFooter/>
    <firstHeader/>
    <firstFooter/>
  </headerFooter>
</worksheet>
</file>

<file path=xl/worksheets/sheet4.xml><?xml version="1.0" encoding="utf-8"?>
<worksheet xmlns="http://schemas.openxmlformats.org/spreadsheetml/2006/main">
  <sheetPr>
    <tabColor rgb="00C9A227"/>
    <outlinePr summaryBelow="1" summaryRight="1"/>
    <pageSetUpPr fitToPage="1"/>
  </sheetPr>
  <dimension ref="A1:D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14" customWidth="1" min="3" max="3"/>
    <col width="28" customWidth="1" min="4" max="4"/>
  </cols>
  <sheetData>
    <row r="1" ht="30" customHeight="1">
      <c r="A1" s="1" t="inlineStr">
        <is>
          <t>Payment Log</t>
        </is>
      </c>
    </row>
    <row r="2" ht="28" customHeight="1">
      <c r="A2" s="43" t="inlineStr">
        <is>
          <t>Journal of payments you actually sent. It does not change the projection — update Current balance on the Debt List after you pay. Use it to stay honest.</t>
        </is>
      </c>
    </row>
    <row r="3">
      <c r="A3" s="47">
        <f>"Logged: "&amp;TEXT(SUM(C5:C104),"$#,##0.00")&amp;"   ·   "&amp;COUNTA(A5:A104)&amp;" payments"</f>
        <v/>
      </c>
    </row>
    <row r="4">
      <c r="A4" s="68" t="inlineStr">
        <is>
          <t>Date</t>
        </is>
      </c>
      <c r="B4" s="68" t="inlineStr">
        <is>
          <t>Debt</t>
        </is>
      </c>
      <c r="C4" s="68" t="inlineStr">
        <is>
          <t>Amount</t>
        </is>
      </c>
      <c r="D4" s="68" t="inlineStr">
        <is>
          <t>Notes</t>
        </is>
      </c>
    </row>
    <row r="5" ht="18" customHeight="1">
      <c r="A5" s="52" t="n">
        <v>46237</v>
      </c>
      <c r="B5" s="4" t="inlineStr">
        <is>
          <t>Store card</t>
        </is>
      </c>
      <c r="C5" s="117" t="n">
        <v>35</v>
      </c>
      <c r="D5" s="4" t="inlineStr">
        <is>
          <t>Minimum</t>
        </is>
      </c>
    </row>
    <row r="6" ht="18" customHeight="1">
      <c r="A6" s="52" t="n">
        <v>46242</v>
      </c>
      <c r="B6" s="4" t="inlineStr">
        <is>
          <t>Visa</t>
        </is>
      </c>
      <c r="C6" s="117" t="n">
        <v>80</v>
      </c>
      <c r="D6" s="4" t="inlineStr">
        <is>
          <t>Minimum</t>
        </is>
      </c>
    </row>
    <row r="7" ht="18" customHeight="1">
      <c r="A7" s="52" t="n">
        <v>46242</v>
      </c>
      <c r="B7" s="4" t="inlineStr">
        <is>
          <t>Mastercard</t>
        </is>
      </c>
      <c r="C7" s="117" t="n">
        <v>40</v>
      </c>
      <c r="D7" s="4" t="inlineStr">
        <is>
          <t>Minimum</t>
        </is>
      </c>
    </row>
    <row r="8" ht="18" customHeight="1">
      <c r="A8" s="52" t="n">
        <v>46237</v>
      </c>
      <c r="B8" s="4" t="inlineStr">
        <is>
          <t>Car loan</t>
        </is>
      </c>
      <c r="C8" s="117" t="n">
        <v>265</v>
      </c>
      <c r="D8" s="4" t="inlineStr">
        <is>
          <t>Minimum</t>
        </is>
      </c>
    </row>
    <row r="9" ht="18" customHeight="1">
      <c r="A9" s="52" t="n">
        <v>46246</v>
      </c>
      <c r="B9" s="4" t="inlineStr">
        <is>
          <t>Student loan</t>
        </is>
      </c>
      <c r="C9" s="117" t="n">
        <v>145</v>
      </c>
      <c r="D9" s="4" t="inlineStr">
        <is>
          <t>Minimum</t>
        </is>
      </c>
    </row>
    <row r="10" ht="18" customHeight="1">
      <c r="A10" s="52" t="n">
        <v>46246</v>
      </c>
      <c r="B10" s="4" t="inlineStr">
        <is>
          <t>Personal loan</t>
        </is>
      </c>
      <c r="C10" s="117" t="n">
        <v>75</v>
      </c>
      <c r="D10" s="4" t="inlineStr">
        <is>
          <t>Minimum</t>
        </is>
      </c>
    </row>
    <row r="11" ht="18" customHeight="1">
      <c r="A11" s="52" t="n">
        <v>46249</v>
      </c>
      <c r="B11" s="4" t="inlineStr">
        <is>
          <t>Store card</t>
        </is>
      </c>
      <c r="C11" s="117" t="n">
        <v>200</v>
      </c>
      <c r="D11" s="4" t="inlineStr">
        <is>
          <t>Extra — snowball</t>
        </is>
      </c>
    </row>
    <row r="12" ht="18" customHeight="1">
      <c r="A12" s="52" t="n"/>
      <c r="B12" s="4" t="n"/>
      <c r="C12" s="117" t="n"/>
      <c r="D12" s="4" t="n"/>
    </row>
    <row r="13" ht="18" customHeight="1">
      <c r="A13" s="52" t="n"/>
      <c r="B13" s="4" t="n"/>
      <c r="C13" s="117" t="n"/>
      <c r="D13" s="4" t="n"/>
    </row>
    <row r="14" ht="18" customHeight="1">
      <c r="A14" s="52" t="n"/>
      <c r="B14" s="4" t="n"/>
      <c r="C14" s="117" t="n"/>
      <c r="D14" s="4" t="n"/>
    </row>
    <row r="15" ht="18" customHeight="1">
      <c r="A15" s="52" t="n"/>
      <c r="B15" s="4" t="n"/>
      <c r="C15" s="117" t="n"/>
      <c r="D15" s="4" t="n"/>
    </row>
    <row r="16" ht="18" customHeight="1">
      <c r="A16" s="52" t="n"/>
      <c r="B16" s="4" t="n"/>
      <c r="C16" s="117" t="n"/>
      <c r="D16" s="4" t="n"/>
    </row>
    <row r="17" ht="18" customHeight="1">
      <c r="A17" s="52" t="n"/>
      <c r="B17" s="4" t="n"/>
      <c r="C17" s="117" t="n"/>
      <c r="D17" s="4" t="n"/>
    </row>
    <row r="18" ht="18" customHeight="1">
      <c r="A18" s="52" t="n"/>
      <c r="B18" s="4" t="n"/>
      <c r="C18" s="117" t="n"/>
      <c r="D18" s="4" t="n"/>
    </row>
    <row r="19" ht="18" customHeight="1">
      <c r="A19" s="52" t="n"/>
      <c r="B19" s="4" t="n"/>
      <c r="C19" s="117" t="n"/>
      <c r="D19" s="4" t="n"/>
    </row>
    <row r="20" ht="18" customHeight="1">
      <c r="A20" s="52" t="n"/>
      <c r="B20" s="4" t="n"/>
      <c r="C20" s="117" t="n"/>
      <c r="D20" s="4" t="n"/>
    </row>
    <row r="21" ht="18" customHeight="1">
      <c r="A21" s="52" t="n"/>
      <c r="B21" s="4" t="n"/>
      <c r="C21" s="117" t="n"/>
      <c r="D21" s="4" t="n"/>
    </row>
    <row r="22" ht="18" customHeight="1">
      <c r="A22" s="52" t="n"/>
      <c r="B22" s="4" t="n"/>
      <c r="C22" s="117" t="n"/>
      <c r="D22" s="4" t="n"/>
    </row>
    <row r="23" ht="18" customHeight="1">
      <c r="A23" s="52" t="n"/>
      <c r="B23" s="4" t="n"/>
      <c r="C23" s="117" t="n"/>
      <c r="D23" s="4" t="n"/>
    </row>
    <row r="24" ht="18" customHeight="1">
      <c r="A24" s="52" t="n"/>
      <c r="B24" s="4" t="n"/>
      <c r="C24" s="117" t="n"/>
      <c r="D24" s="4" t="n"/>
    </row>
    <row r="25" ht="18" customHeight="1">
      <c r="A25" s="52" t="n"/>
      <c r="B25" s="4" t="n"/>
      <c r="C25" s="117" t="n"/>
      <c r="D25" s="4" t="n"/>
    </row>
    <row r="26" ht="18" customHeight="1">
      <c r="A26" s="52" t="n"/>
      <c r="B26" s="4" t="n"/>
      <c r="C26" s="117" t="n"/>
      <c r="D26" s="4" t="n"/>
    </row>
    <row r="27" ht="18" customHeight="1">
      <c r="A27" s="52" t="n"/>
      <c r="B27" s="4" t="n"/>
      <c r="C27" s="117" t="n"/>
      <c r="D27" s="4" t="n"/>
    </row>
    <row r="28" ht="18" customHeight="1">
      <c r="A28" s="52" t="n"/>
      <c r="B28" s="4" t="n"/>
      <c r="C28" s="117" t="n"/>
      <c r="D28" s="4" t="n"/>
    </row>
    <row r="29" ht="18" customHeight="1">
      <c r="A29" s="52" t="n"/>
      <c r="B29" s="4" t="n"/>
      <c r="C29" s="117" t="n"/>
      <c r="D29" s="4" t="n"/>
    </row>
    <row r="30" ht="18" customHeight="1">
      <c r="A30" s="52" t="n"/>
      <c r="B30" s="4" t="n"/>
      <c r="C30" s="117" t="n"/>
      <c r="D30" s="4" t="n"/>
    </row>
    <row r="31" ht="18" customHeight="1">
      <c r="A31" s="52" t="n"/>
      <c r="B31" s="4" t="n"/>
      <c r="C31" s="117" t="n"/>
      <c r="D31" s="4" t="n"/>
    </row>
    <row r="32" ht="18" customHeight="1">
      <c r="A32" s="52" t="n"/>
      <c r="B32" s="4" t="n"/>
      <c r="C32" s="117" t="n"/>
      <c r="D32" s="4" t="n"/>
    </row>
    <row r="33" ht="18" customHeight="1">
      <c r="A33" s="52" t="n"/>
      <c r="B33" s="4" t="n"/>
      <c r="C33" s="117" t="n"/>
      <c r="D33" s="4" t="n"/>
    </row>
    <row r="34" ht="18" customHeight="1">
      <c r="A34" s="52" t="n"/>
      <c r="B34" s="4" t="n"/>
      <c r="C34" s="117" t="n"/>
      <c r="D34" s="4" t="n"/>
    </row>
    <row r="35" ht="18" customHeight="1">
      <c r="A35" s="52" t="n"/>
      <c r="B35" s="4" t="n"/>
      <c r="C35" s="117" t="n"/>
      <c r="D35" s="4" t="n"/>
    </row>
    <row r="36" ht="18" customHeight="1">
      <c r="A36" s="52" t="n"/>
      <c r="B36" s="4" t="n"/>
      <c r="C36" s="117" t="n"/>
      <c r="D36" s="4" t="n"/>
    </row>
    <row r="37" ht="18" customHeight="1">
      <c r="A37" s="52" t="n"/>
      <c r="B37" s="4" t="n"/>
      <c r="C37" s="117" t="n"/>
      <c r="D37" s="4" t="n"/>
    </row>
    <row r="38" ht="18" customHeight="1">
      <c r="A38" s="52" t="n"/>
      <c r="B38" s="4" t="n"/>
      <c r="C38" s="117" t="n"/>
      <c r="D38" s="4" t="n"/>
    </row>
    <row r="39" ht="18" customHeight="1">
      <c r="A39" s="52" t="n"/>
      <c r="B39" s="4" t="n"/>
      <c r="C39" s="117" t="n"/>
      <c r="D39" s="4" t="n"/>
    </row>
    <row r="40" ht="18" customHeight="1">
      <c r="A40" s="52" t="n"/>
      <c r="B40" s="4" t="n"/>
      <c r="C40" s="117" t="n"/>
      <c r="D40" s="4" t="n"/>
    </row>
    <row r="41" ht="18" customHeight="1">
      <c r="A41" s="52" t="n"/>
      <c r="B41" s="4" t="n"/>
      <c r="C41" s="117" t="n"/>
      <c r="D41" s="4" t="n"/>
    </row>
    <row r="42" ht="18" customHeight="1">
      <c r="A42" s="52" t="n"/>
      <c r="B42" s="4" t="n"/>
      <c r="C42" s="117" t="n"/>
      <c r="D42" s="4" t="n"/>
    </row>
    <row r="43" ht="18" customHeight="1">
      <c r="A43" s="52" t="n"/>
      <c r="B43" s="4" t="n"/>
      <c r="C43" s="117" t="n"/>
      <c r="D43" s="4" t="n"/>
    </row>
    <row r="44" ht="18" customHeight="1">
      <c r="A44" s="52" t="n"/>
      <c r="B44" s="4" t="n"/>
      <c r="C44" s="117" t="n"/>
      <c r="D44" s="4" t="n"/>
    </row>
    <row r="45" ht="18" customHeight="1">
      <c r="A45" s="52" t="n"/>
      <c r="B45" s="4" t="n"/>
      <c r="C45" s="117" t="n"/>
      <c r="D45" s="4" t="n"/>
    </row>
    <row r="46" ht="18" customHeight="1">
      <c r="A46" s="52" t="n"/>
      <c r="B46" s="4" t="n"/>
      <c r="C46" s="117" t="n"/>
      <c r="D46" s="4" t="n"/>
    </row>
    <row r="47" ht="18" customHeight="1">
      <c r="A47" s="52" t="n"/>
      <c r="B47" s="4" t="n"/>
      <c r="C47" s="117" t="n"/>
      <c r="D47" s="4" t="n"/>
    </row>
    <row r="48" ht="18" customHeight="1">
      <c r="A48" s="52" t="n"/>
      <c r="B48" s="4" t="n"/>
      <c r="C48" s="117" t="n"/>
      <c r="D48" s="4" t="n"/>
    </row>
    <row r="49" ht="18" customHeight="1">
      <c r="A49" s="52" t="n"/>
      <c r="B49" s="4" t="n"/>
      <c r="C49" s="117" t="n"/>
      <c r="D49" s="4" t="n"/>
    </row>
    <row r="50" ht="18" customHeight="1">
      <c r="A50" s="52" t="n"/>
      <c r="B50" s="4" t="n"/>
      <c r="C50" s="117" t="n"/>
      <c r="D50" s="4" t="n"/>
    </row>
    <row r="51" ht="18" customHeight="1">
      <c r="A51" s="52" t="n"/>
      <c r="B51" s="4" t="n"/>
      <c r="C51" s="117" t="n"/>
      <c r="D51" s="4" t="n"/>
    </row>
    <row r="52" ht="18" customHeight="1">
      <c r="A52" s="52" t="n"/>
      <c r="B52" s="4" t="n"/>
      <c r="C52" s="117" t="n"/>
      <c r="D52" s="4" t="n"/>
    </row>
    <row r="53" ht="18" customHeight="1">
      <c r="A53" s="52" t="n"/>
      <c r="B53" s="4" t="n"/>
      <c r="C53" s="117" t="n"/>
      <c r="D53" s="4" t="n"/>
    </row>
    <row r="54" ht="18" customHeight="1">
      <c r="A54" s="52" t="n"/>
      <c r="B54" s="4" t="n"/>
      <c r="C54" s="117" t="n"/>
      <c r="D54" s="4" t="n"/>
    </row>
    <row r="55" ht="18" customHeight="1">
      <c r="A55" s="52" t="n"/>
      <c r="B55" s="4" t="n"/>
      <c r="C55" s="117" t="n"/>
      <c r="D55" s="4" t="n"/>
    </row>
    <row r="56" ht="18" customHeight="1">
      <c r="A56" s="52" t="n"/>
      <c r="B56" s="4" t="n"/>
      <c r="C56" s="117" t="n"/>
      <c r="D56" s="4" t="n"/>
    </row>
    <row r="57" ht="18" customHeight="1">
      <c r="A57" s="52" t="n"/>
      <c r="B57" s="4" t="n"/>
      <c r="C57" s="117" t="n"/>
      <c r="D57" s="4" t="n"/>
    </row>
    <row r="58" ht="18" customHeight="1">
      <c r="A58" s="52" t="n"/>
      <c r="B58" s="4" t="n"/>
      <c r="C58" s="117" t="n"/>
      <c r="D58" s="4" t="n"/>
    </row>
    <row r="59" ht="18" customHeight="1">
      <c r="A59" s="52" t="n"/>
      <c r="B59" s="4" t="n"/>
      <c r="C59" s="117" t="n"/>
      <c r="D59" s="4" t="n"/>
    </row>
    <row r="60" ht="18" customHeight="1">
      <c r="A60" s="52" t="n"/>
      <c r="B60" s="4" t="n"/>
      <c r="C60" s="117" t="n"/>
      <c r="D60" s="4" t="n"/>
    </row>
    <row r="61" ht="18" customHeight="1">
      <c r="A61" s="52" t="n"/>
      <c r="B61" s="4" t="n"/>
      <c r="C61" s="117" t="n"/>
      <c r="D61" s="4" t="n"/>
    </row>
    <row r="62" ht="18" customHeight="1">
      <c r="A62" s="52" t="n"/>
      <c r="B62" s="4" t="n"/>
      <c r="C62" s="117" t="n"/>
      <c r="D62" s="4" t="n"/>
    </row>
    <row r="63" ht="18" customHeight="1">
      <c r="A63" s="52" t="n"/>
      <c r="B63" s="4" t="n"/>
      <c r="C63" s="117" t="n"/>
      <c r="D63" s="4" t="n"/>
    </row>
    <row r="64" ht="18" customHeight="1">
      <c r="A64" s="52" t="n"/>
      <c r="B64" s="4" t="n"/>
      <c r="C64" s="117" t="n"/>
      <c r="D64" s="4" t="n"/>
    </row>
    <row r="65" ht="18" customHeight="1">
      <c r="A65" s="52" t="n"/>
      <c r="B65" s="4" t="n"/>
      <c r="C65" s="117" t="n"/>
      <c r="D65" s="4" t="n"/>
    </row>
    <row r="66" ht="18" customHeight="1">
      <c r="A66" s="52" t="n"/>
      <c r="B66" s="4" t="n"/>
      <c r="C66" s="117" t="n"/>
      <c r="D66" s="4" t="n"/>
    </row>
    <row r="67" ht="18" customHeight="1">
      <c r="A67" s="52" t="n"/>
      <c r="B67" s="4" t="n"/>
      <c r="C67" s="117" t="n"/>
      <c r="D67" s="4" t="n"/>
    </row>
    <row r="68" ht="18" customHeight="1">
      <c r="A68" s="52" t="n"/>
      <c r="B68" s="4" t="n"/>
      <c r="C68" s="117" t="n"/>
      <c r="D68" s="4" t="n"/>
    </row>
    <row r="69" ht="18" customHeight="1">
      <c r="A69" s="52" t="n"/>
      <c r="B69" s="4" t="n"/>
      <c r="C69" s="117" t="n"/>
      <c r="D69" s="4" t="n"/>
    </row>
    <row r="70" ht="18" customHeight="1">
      <c r="A70" s="52" t="n"/>
      <c r="B70" s="4" t="n"/>
      <c r="C70" s="117" t="n"/>
      <c r="D70" s="4" t="n"/>
    </row>
    <row r="71" ht="18" customHeight="1">
      <c r="A71" s="52" t="n"/>
      <c r="B71" s="4" t="n"/>
      <c r="C71" s="117" t="n"/>
      <c r="D71" s="4" t="n"/>
    </row>
    <row r="72" ht="18" customHeight="1">
      <c r="A72" s="52" t="n"/>
      <c r="B72" s="4" t="n"/>
      <c r="C72" s="117" t="n"/>
      <c r="D72" s="4" t="n"/>
    </row>
    <row r="73" ht="18" customHeight="1">
      <c r="A73" s="52" t="n"/>
      <c r="B73" s="4" t="n"/>
      <c r="C73" s="117" t="n"/>
      <c r="D73" s="4" t="n"/>
    </row>
    <row r="74" ht="18" customHeight="1">
      <c r="A74" s="52" t="n"/>
      <c r="B74" s="4" t="n"/>
      <c r="C74" s="117" t="n"/>
      <c r="D74" s="4" t="n"/>
    </row>
    <row r="75" ht="18" customHeight="1">
      <c r="A75" s="52" t="n"/>
      <c r="B75" s="4" t="n"/>
      <c r="C75" s="117" t="n"/>
      <c r="D75" s="4" t="n"/>
    </row>
    <row r="76" ht="18" customHeight="1">
      <c r="A76" s="52" t="n"/>
      <c r="B76" s="4" t="n"/>
      <c r="C76" s="117" t="n"/>
      <c r="D76" s="4" t="n"/>
    </row>
    <row r="77" ht="18" customHeight="1">
      <c r="A77" s="52" t="n"/>
      <c r="B77" s="4" t="n"/>
      <c r="C77" s="117" t="n"/>
      <c r="D77" s="4" t="n"/>
    </row>
    <row r="78" ht="18" customHeight="1">
      <c r="A78" s="52" t="n"/>
      <c r="B78" s="4" t="n"/>
      <c r="C78" s="117" t="n"/>
      <c r="D78" s="4" t="n"/>
    </row>
    <row r="79" ht="18" customHeight="1">
      <c r="A79" s="52" t="n"/>
      <c r="B79" s="4" t="n"/>
      <c r="C79" s="117" t="n"/>
      <c r="D79" s="4" t="n"/>
    </row>
    <row r="80" ht="18" customHeight="1">
      <c r="A80" s="52" t="n"/>
      <c r="B80" s="4" t="n"/>
      <c r="C80" s="117" t="n"/>
      <c r="D80" s="4" t="n"/>
    </row>
    <row r="81" ht="18" customHeight="1">
      <c r="A81" s="52" t="n"/>
      <c r="B81" s="4" t="n"/>
      <c r="C81" s="117" t="n"/>
      <c r="D81" s="4" t="n"/>
    </row>
    <row r="82" ht="18" customHeight="1">
      <c r="A82" s="52" t="n"/>
      <c r="B82" s="4" t="n"/>
      <c r="C82" s="117" t="n"/>
      <c r="D82" s="4" t="n"/>
    </row>
    <row r="83" ht="18" customHeight="1">
      <c r="A83" s="52" t="n"/>
      <c r="B83" s="4" t="n"/>
      <c r="C83" s="117" t="n"/>
      <c r="D83" s="4" t="n"/>
    </row>
    <row r="84" ht="18" customHeight="1">
      <c r="A84" s="52" t="n"/>
      <c r="B84" s="4" t="n"/>
      <c r="C84" s="117" t="n"/>
      <c r="D84" s="4" t="n"/>
    </row>
    <row r="85" ht="18" customHeight="1">
      <c r="A85" s="52" t="n"/>
      <c r="B85" s="4" t="n"/>
      <c r="C85" s="117" t="n"/>
      <c r="D85" s="4" t="n"/>
    </row>
    <row r="86" ht="18" customHeight="1">
      <c r="A86" s="52" t="n"/>
      <c r="B86" s="4" t="n"/>
      <c r="C86" s="117" t="n"/>
      <c r="D86" s="4" t="n"/>
    </row>
    <row r="87" ht="18" customHeight="1">
      <c r="A87" s="52" t="n"/>
      <c r="B87" s="4" t="n"/>
      <c r="C87" s="117" t="n"/>
      <c r="D87" s="4" t="n"/>
    </row>
    <row r="88" ht="18" customHeight="1">
      <c r="A88" s="52" t="n"/>
      <c r="B88" s="4" t="n"/>
      <c r="C88" s="117" t="n"/>
      <c r="D88" s="4" t="n"/>
    </row>
    <row r="89" ht="18" customHeight="1">
      <c r="A89" s="52" t="n"/>
      <c r="B89" s="4" t="n"/>
      <c r="C89" s="117" t="n"/>
      <c r="D89" s="4" t="n"/>
    </row>
    <row r="90" ht="18" customHeight="1">
      <c r="A90" s="52" t="n"/>
      <c r="B90" s="4" t="n"/>
      <c r="C90" s="117" t="n"/>
      <c r="D90" s="4" t="n"/>
    </row>
    <row r="91" ht="18" customHeight="1">
      <c r="A91" s="52" t="n"/>
      <c r="B91" s="4" t="n"/>
      <c r="C91" s="117" t="n"/>
      <c r="D91" s="4" t="n"/>
    </row>
    <row r="92" ht="18" customHeight="1">
      <c r="A92" s="52" t="n"/>
      <c r="B92" s="4" t="n"/>
      <c r="C92" s="117" t="n"/>
      <c r="D92" s="4" t="n"/>
    </row>
    <row r="93" ht="18" customHeight="1">
      <c r="A93" s="52" t="n"/>
      <c r="B93" s="4" t="n"/>
      <c r="C93" s="117" t="n"/>
      <c r="D93" s="4" t="n"/>
    </row>
    <row r="94" ht="18" customHeight="1">
      <c r="A94" s="52" t="n"/>
      <c r="B94" s="4" t="n"/>
      <c r="C94" s="117" t="n"/>
      <c r="D94" s="4" t="n"/>
    </row>
    <row r="95" ht="18" customHeight="1">
      <c r="A95" s="52" t="n"/>
      <c r="B95" s="4" t="n"/>
      <c r="C95" s="117" t="n"/>
      <c r="D95" s="4" t="n"/>
    </row>
    <row r="96" ht="18" customHeight="1">
      <c r="A96" s="52" t="n"/>
      <c r="B96" s="4" t="n"/>
      <c r="C96" s="117" t="n"/>
      <c r="D96" s="4" t="n"/>
    </row>
    <row r="97" ht="18" customHeight="1">
      <c r="A97" s="52" t="n"/>
      <c r="B97" s="4" t="n"/>
      <c r="C97" s="117" t="n"/>
      <c r="D97" s="4" t="n"/>
    </row>
    <row r="98" ht="18" customHeight="1">
      <c r="A98" s="52" t="n"/>
      <c r="B98" s="4" t="n"/>
      <c r="C98" s="117" t="n"/>
      <c r="D98" s="4" t="n"/>
    </row>
    <row r="99" ht="18" customHeight="1">
      <c r="A99" s="52" t="n"/>
      <c r="B99" s="4" t="n"/>
      <c r="C99" s="117" t="n"/>
      <c r="D99" s="4" t="n"/>
    </row>
    <row r="100" ht="18" customHeight="1">
      <c r="A100" s="52" t="n"/>
      <c r="B100" s="4" t="n"/>
      <c r="C100" s="117" t="n"/>
      <c r="D100" s="4" t="n"/>
    </row>
    <row r="101" ht="18" customHeight="1">
      <c r="A101" s="52" t="n"/>
      <c r="B101" s="4" t="n"/>
      <c r="C101" s="117" t="n"/>
      <c r="D101" s="4" t="n"/>
    </row>
    <row r="102" ht="18" customHeight="1">
      <c r="A102" s="52" t="n"/>
      <c r="B102" s="4" t="n"/>
      <c r="C102" s="117" t="n"/>
      <c r="D102" s="4" t="n"/>
    </row>
    <row r="103" ht="18" customHeight="1">
      <c r="A103" s="52" t="n"/>
      <c r="B103" s="4" t="n"/>
      <c r="C103" s="117" t="n"/>
      <c r="D103" s="4" t="n"/>
    </row>
    <row r="104" ht="18" customHeight="1">
      <c r="A104" s="52" t="n"/>
      <c r="B104" s="4" t="n"/>
      <c r="C104" s="117" t="n"/>
      <c r="D104" s="4" t="n"/>
    </row>
    <row r="105">
      <c r="A105" s="57" t="inlineStr">
        <is>
          <t>TOTAL</t>
        </is>
      </c>
      <c r="B105" s="58" t="n"/>
      <c r="C105" s="119">
        <f>SUM(C5:C104)</f>
        <v/>
      </c>
      <c r="D105" s="58" t="n"/>
    </row>
  </sheetData>
  <sheetProtection selectLockedCells="1" selectUnlockedCells="1" sheet="1" objects="0" insertRows="1" insertHyperlinks="1" autoFilter="1" scenarios="0" formatColumns="1" deleteColumns="1" insertColumns="1" pivotTables="1" deleteRows="1" formatCells="1" formatRows="1" sort="1"/>
  <autoFilter ref="A4:D104"/>
  <mergeCells count="3">
    <mergeCell ref="A1:D1"/>
    <mergeCell ref="A3:D3"/>
    <mergeCell ref="A2:D2"/>
  </mergeCells>
  <dataValidations count="3">
    <dataValidation sqref="B5:B104" showDropDown="0" showInputMessage="0" showErrorMessage="0" allowBlank="1" type="list">
      <formula1>='Debt List'!$A$5:$A$12</formula1>
    </dataValidation>
    <dataValidation sqref="A5:A104" showDropDown="0" showInputMessage="0" showErrorMessage="0" allowBlank="1" type="date" operator="greaterThanOrEqual">
      <formula1>DATE(2000,1,1)</formula1>
    </dataValidation>
    <dataValidation sqref="C5:C104" showDropDown="0" showInputMessage="0" showErrorMessage="0" allowBlank="1" type="decimal" operator="greaterThan">
      <formula1>0</formula1>
    </dataValidation>
  </dataValidations>
  <printOptions horizontalCentered="1"/>
  <pageMargins left="0.5" right="0.5" top="0.55" bottom="0.55" header="0.3" footer="0.3"/>
  <pageSetup orientation="portrait" paperSize="1" fitToHeight="0" fitToWidth="1"/>
  <headerFooter>
    <oddHeader>&amp;LPayment Log</oddHeader>
    <oddFooter>&amp;RPage &amp;P of &amp;N</oddFooter>
    <evenHeader/>
    <evenFooter/>
    <firstHeader/>
    <firstFooter/>
  </headerFooter>
</worksheet>
</file>

<file path=xl/worksheets/sheet5.xml><?xml version="1.0" encoding="utf-8"?>
<worksheet xmlns="http://schemas.openxmlformats.org/spreadsheetml/2006/main">
  <sheetPr>
    <tabColor rgb="00D68910"/>
    <outlinePr summaryBelow="1" summaryRight="1"/>
    <pageSetUpPr fitToPage="1"/>
  </sheetPr>
  <dimension ref="A1:L43"/>
  <sheetViews>
    <sheetView showGridLines="0" workbookViewId="0">
      <selection activeCell="A1" sqref="A1"/>
    </sheetView>
  </sheetViews>
  <sheetFormatPr baseColWidth="8" defaultRowHeight="15"/>
  <cols>
    <col width="22" customWidth="1" min="1" max="1"/>
    <col width="16" customWidth="1" min="2" max="2"/>
    <col width="16" customWidth="1" min="3" max="3"/>
    <col width="16"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30" customHeight="1">
      <c r="A1" s="1" t="inlineStr">
        <is>
          <t>Snowball vs Avalanche</t>
        </is>
      </c>
    </row>
    <row r="2" ht="28" customHeight="1">
      <c r="A2" s="43" t="inlineStr">
        <is>
          <t>Same debts, same extra payment, two attack orders. Snowball = smallest balance first. Avalanche = highest interest rate first. Neither changes your minimums.</t>
        </is>
      </c>
    </row>
    <row r="3">
      <c r="A3" s="69" t="inlineStr">
        <is>
          <t>SNOWBALL — lowest balance first</t>
        </is>
      </c>
      <c r="E3" s="70" t="inlineStr">
        <is>
          <t>AVALANCHE — highest APR first</t>
        </is>
      </c>
      <c r="I3" s="71" t="inlineStr">
        <is>
          <t>WHICH WINS?</t>
        </is>
      </c>
    </row>
    <row r="4">
      <c r="A4" s="72" t="inlineStr">
        <is>
          <t>Metric</t>
        </is>
      </c>
      <c r="B4" s="73" t="inlineStr">
        <is>
          <t>Snowball</t>
        </is>
      </c>
      <c r="C4" s="124" t="n"/>
      <c r="D4" s="113" t="n"/>
      <c r="E4" s="74" t="inlineStr">
        <is>
          <t>Avalanche</t>
        </is>
      </c>
      <c r="F4" s="124" t="n"/>
      <c r="G4" s="124" t="n"/>
      <c r="H4" s="113" t="n"/>
      <c r="I4" s="75" t="inlineStr">
        <is>
          <t>Better on this metric</t>
        </is>
      </c>
      <c r="J4" s="124" t="n"/>
      <c r="K4" s="124" t="n"/>
      <c r="L4" s="113" t="n"/>
    </row>
    <row r="5" ht="22" customHeight="1">
      <c r="A5" s="39" t="inlineStr">
        <is>
          <t>Debt-free date</t>
        </is>
      </c>
      <c r="B5" s="125">
        <f>SnowDate</f>
        <v/>
      </c>
      <c r="C5" s="124" t="n"/>
      <c r="D5" s="113" t="n"/>
      <c r="E5" s="125">
        <f>AvalDate</f>
        <v/>
      </c>
      <c r="F5" s="124" t="n"/>
      <c r="G5" s="124" t="n"/>
      <c r="H5" s="113" t="n"/>
      <c r="I5" s="78">
        <f>IF(OR(SnowDate="Beyond 120 mo",AvalDate="Beyond 120 mo"),"—",IF(SnowDate&lt;AvalDate,"Snowball",IF(AvalDate&lt;SnowDate,"Avalanche","Tie")))</f>
        <v/>
      </c>
      <c r="J5" s="124" t="n"/>
      <c r="K5" s="124" t="n"/>
      <c r="L5" s="113" t="n"/>
    </row>
    <row r="6" ht="22" customHeight="1">
      <c r="A6" s="39" t="inlineStr">
        <is>
          <t>Months to freedom</t>
        </is>
      </c>
      <c r="B6" s="79">
        <f>SnowMonths</f>
        <v/>
      </c>
      <c r="C6" s="124" t="n"/>
      <c r="D6" s="113" t="n"/>
      <c r="E6" s="79">
        <f>AvalMonths</f>
        <v/>
      </c>
      <c r="F6" s="124" t="n"/>
      <c r="G6" s="124" t="n"/>
      <c r="H6" s="113" t="n"/>
      <c r="I6" s="78">
        <f>IF(N(SnowMonths)&lt;N(AvalMonths),"Snowball",IF(N(AvalMonths)&lt;N(SnowMonths),"Avalanche","Tie"))</f>
        <v/>
      </c>
      <c r="J6" s="124" t="n"/>
      <c r="K6" s="124" t="n"/>
      <c r="L6" s="113" t="n"/>
    </row>
    <row r="7" ht="22" customHeight="1">
      <c r="A7" s="39" t="inlineStr">
        <is>
          <t>Total interest</t>
        </is>
      </c>
      <c r="B7" s="126">
        <f>SnowInt</f>
        <v/>
      </c>
      <c r="C7" s="124" t="n"/>
      <c r="D7" s="113" t="n"/>
      <c r="E7" s="126">
        <f>AvalInt</f>
        <v/>
      </c>
      <c r="F7" s="124" t="n"/>
      <c r="G7" s="124" t="n"/>
      <c r="H7" s="113" t="n"/>
      <c r="I7" s="78">
        <f>IF(N(SnowInt)&lt;N(AvalInt),"Snowball",IF(N(AvalInt)&lt;N(SnowInt),"Avalanche","Tie"))</f>
        <v/>
      </c>
      <c r="J7" s="124" t="n"/>
      <c r="K7" s="124" t="n"/>
      <c r="L7" s="113" t="n"/>
    </row>
    <row r="8" ht="22" customHeight="1">
      <c r="A8" s="39" t="inlineStr">
        <is>
          <t>Total paid</t>
        </is>
      </c>
      <c r="B8" s="126">
        <f>SnowPaid</f>
        <v/>
      </c>
      <c r="C8" s="124" t="n"/>
      <c r="D8" s="113" t="n"/>
      <c r="E8" s="126">
        <f>AvalPaid</f>
        <v/>
      </c>
      <c r="F8" s="124" t="n"/>
      <c r="G8" s="124" t="n"/>
      <c r="H8" s="113" t="n"/>
      <c r="I8" s="78">
        <f>IF(N(SnowPaid)&lt;N(AvalPaid),"Snowball",IF(N(AvalPaid)&lt;N(SnowPaid),"Avalanche","Tie"))</f>
        <v/>
      </c>
      <c r="J8" s="124" t="n"/>
      <c r="K8" s="124" t="n"/>
      <c r="L8" s="113" t="n"/>
    </row>
    <row r="9" ht="22" customHeight="1">
      <c r="A9" s="39" t="inlineStr">
        <is>
          <t>Interest vs minimums only</t>
        </is>
      </c>
      <c r="B9" s="126">
        <f>IF(MinOnlyInt="","",MinOnlyInt-SnowInt)</f>
        <v/>
      </c>
      <c r="C9" s="124" t="n"/>
      <c r="D9" s="113" t="n"/>
      <c r="E9" s="126">
        <f>IF(MinOnlyInt="","",MinOnlyInt-AvalInt)</f>
        <v/>
      </c>
      <c r="F9" s="124" t="n"/>
      <c r="G9" s="124" t="n"/>
      <c r="H9" s="113" t="n"/>
      <c r="I9" s="78">
        <f>IF(OR(MinOnlyInt="",MinOnlyInt="Never"),"—",IF((MinOnlyInt-SnowInt)&gt;(MinOnlyInt-AvalInt),"Snowball",IF((MinOnlyInt-AvalInt)&gt;(MinOnlyInt-SnowInt),"Avalanche","Tie")))</f>
        <v/>
      </c>
      <c r="J9" s="124" t="n"/>
      <c r="K9" s="124" t="n"/>
      <c r="L9" s="113" t="n"/>
    </row>
    <row r="10" ht="22" customHeight="1">
      <c r="A10" s="39" t="inlineStr">
        <is>
          <t>Minimums-only interest (no extra)</t>
        </is>
      </c>
      <c r="B10" s="126">
        <f>MinOnlyInt</f>
        <v/>
      </c>
      <c r="C10" s="124" t="n"/>
      <c r="D10" s="113" t="n"/>
      <c r="E10" s="126">
        <f>MinOnlyInt</f>
        <v/>
      </c>
      <c r="F10" s="124" t="n"/>
      <c r="G10" s="124" t="n"/>
      <c r="H10" s="113" t="n"/>
      <c r="I10" s="78" t="inlineStr">
        <is>
          <t>Same baseline</t>
        </is>
      </c>
      <c r="J10" s="124" t="n"/>
      <c r="K10" s="124" t="n"/>
      <c r="L10" s="113" t="n"/>
    </row>
    <row r="11">
      <c r="A11" s="10" t="n"/>
      <c r="B11" s="10" t="n"/>
      <c r="C11" s="10" t="n"/>
      <c r="D11" s="10" t="n"/>
      <c r="E11" s="10" t="n"/>
      <c r="F11" s="10" t="n"/>
      <c r="G11" s="10" t="n"/>
      <c r="H11" s="10" t="n"/>
      <c r="I11" s="10" t="n"/>
      <c r="J11" s="10" t="n"/>
      <c r="K11" s="10" t="n"/>
      <c r="L11" s="10" t="n"/>
    </row>
    <row r="12">
      <c r="A12" s="81" t="inlineStr">
        <is>
          <t>HOW TO CHOOSE</t>
        </is>
      </c>
    </row>
    <row r="13" ht="22" customHeight="1">
      <c r="A13" s="82" t="inlineStr">
        <is>
          <t>Avalanche usually costs less interest because expensive debt dies first. Snowball usually clears your first account sooner, which some people find easier to stick with. The math is on this sheet. The method you can follow for years is the one that wins. Set Method on the Dashboard to the one you pick — the Payoff Schedule will follow it.</t>
        </is>
      </c>
      <c r="B13" s="98" t="n"/>
      <c r="C13" s="98" t="n"/>
      <c r="D13" s="98" t="n"/>
      <c r="E13" s="98" t="n"/>
      <c r="F13" s="98" t="n"/>
      <c r="G13" s="98" t="n"/>
      <c r="H13" s="98" t="n"/>
      <c r="I13" s="98" t="n"/>
      <c r="J13" s="98" t="n"/>
      <c r="K13" s="98" t="n"/>
      <c r="L13" s="99" t="n"/>
    </row>
    <row r="14" ht="22" customHeight="1">
      <c r="A14" s="127" t="n"/>
      <c r="B14" s="107" t="n"/>
      <c r="C14" s="107" t="n"/>
      <c r="D14" s="107" t="n"/>
      <c r="E14" s="107" t="n"/>
      <c r="F14" s="107" t="n"/>
      <c r="G14" s="107" t="n"/>
      <c r="H14" s="107" t="n"/>
      <c r="I14" s="107" t="n"/>
      <c r="J14" s="107" t="n"/>
      <c r="K14" s="107" t="n"/>
      <c r="L14" s="108" t="n"/>
    </row>
    <row r="15">
      <c r="A15" s="10" t="n"/>
      <c r="B15" s="10" t="n"/>
      <c r="C15" s="10" t="n"/>
      <c r="D15" s="10" t="n"/>
      <c r="E15" s="10" t="n"/>
      <c r="F15" s="10" t="n"/>
      <c r="G15" s="10" t="n"/>
      <c r="H15" s="10" t="n"/>
      <c r="I15" s="10" t="n"/>
      <c r="J15" s="10" t="n"/>
      <c r="K15" s="10" t="n"/>
      <c r="L15" s="10" t="n"/>
    </row>
    <row r="16">
      <c r="A16" s="37" t="inlineStr">
        <is>
          <t>INTEREST COMPARISON</t>
        </is>
      </c>
    </row>
    <row r="17">
      <c r="A17" s="10" t="n"/>
      <c r="B17" s="10" t="n"/>
      <c r="C17" s="10" t="n"/>
      <c r="D17" s="10" t="n"/>
      <c r="E17" s="10" t="n"/>
      <c r="F17" s="10" t="n"/>
      <c r="G17" s="10" t="n"/>
      <c r="H17" s="10" t="n"/>
      <c r="I17" s="10" t="n"/>
      <c r="J17" s="10" t="n"/>
      <c r="K17" s="10" t="n"/>
      <c r="L17" s="10" t="n"/>
    </row>
    <row r="18">
      <c r="A18" s="10" t="n"/>
      <c r="B18" s="10" t="n"/>
      <c r="C18" s="10" t="n"/>
      <c r="D18" s="10" t="n"/>
      <c r="E18" s="10" t="n"/>
      <c r="F18" s="10" t="n"/>
      <c r="G18" s="10" t="n"/>
      <c r="H18" s="10" t="n"/>
      <c r="I18" s="10" t="n"/>
      <c r="J18" s="10" t="n"/>
      <c r="K18" s="10" t="n"/>
      <c r="L18" s="10" t="n"/>
    </row>
    <row r="19">
      <c r="A19" s="10" t="n"/>
      <c r="B19" s="10" t="n"/>
      <c r="C19" s="10" t="n"/>
      <c r="D19" s="10" t="n"/>
      <c r="E19" s="10" t="n"/>
      <c r="F19" s="10" t="n"/>
      <c r="G19" s="10" t="n"/>
      <c r="H19" s="10" t="n"/>
      <c r="I19" s="10" t="n"/>
      <c r="J19" s="10" t="n"/>
      <c r="K19" s="10" t="n"/>
      <c r="L19" s="10" t="n"/>
    </row>
    <row r="20">
      <c r="A20" s="10" t="n"/>
      <c r="B20" s="10" t="n"/>
      <c r="C20" s="10" t="n"/>
      <c r="D20" s="10" t="n"/>
      <c r="E20" s="10" t="n"/>
      <c r="F20" s="10" t="n"/>
      <c r="G20" s="10" t="n"/>
      <c r="H20" s="10" t="n"/>
      <c r="I20" s="10" t="n"/>
      <c r="J20" s="10" t="n"/>
      <c r="K20" s="10" t="n"/>
      <c r="L20" s="10" t="n"/>
    </row>
    <row r="21">
      <c r="A21" s="10" t="n"/>
      <c r="B21" s="10" t="n"/>
      <c r="C21" s="10" t="n"/>
      <c r="D21" s="10" t="n"/>
      <c r="E21" s="10" t="n"/>
      <c r="F21" s="10" t="n"/>
      <c r="G21" s="10" t="n"/>
      <c r="H21" s="10" t="n"/>
      <c r="I21" s="10" t="n"/>
      <c r="J21" s="10" t="n"/>
      <c r="K21" s="10" t="n"/>
      <c r="L21" s="10" t="n"/>
    </row>
    <row r="22">
      <c r="A22" s="10" t="n"/>
      <c r="B22" s="10" t="n"/>
      <c r="C22" s="10" t="n"/>
      <c r="D22" s="10" t="n"/>
      <c r="E22" s="10" t="n"/>
      <c r="F22" s="10" t="n"/>
      <c r="G22" s="10" t="n"/>
      <c r="H22" s="10" t="n"/>
      <c r="I22" s="10" t="n"/>
      <c r="J22" s="10" t="n"/>
      <c r="K22" s="10" t="n"/>
      <c r="L22" s="10" t="n"/>
    </row>
    <row r="23">
      <c r="A23" s="10" t="n"/>
      <c r="B23" s="10" t="n"/>
      <c r="C23" s="10" t="n"/>
      <c r="D23" s="10" t="n"/>
      <c r="E23" s="10" t="n"/>
      <c r="F23" s="10" t="n"/>
      <c r="G23" s="10" t="n"/>
      <c r="H23" s="10" t="n"/>
      <c r="I23" s="10" t="n"/>
      <c r="J23" s="10" t="n"/>
      <c r="K23" s="10" t="n"/>
      <c r="L23" s="10" t="n"/>
    </row>
    <row r="24">
      <c r="A24" s="10" t="n"/>
      <c r="B24" s="10" t="n"/>
      <c r="C24" s="10" t="n"/>
      <c r="D24" s="10" t="n"/>
      <c r="E24" s="10" t="n"/>
      <c r="F24" s="10" t="n"/>
      <c r="G24" s="10" t="n"/>
      <c r="H24" s="10" t="n"/>
      <c r="I24" s="10" t="n"/>
      <c r="J24" s="10" t="n"/>
      <c r="K24" s="10" t="n"/>
      <c r="L24" s="10" t="n"/>
    </row>
    <row r="25">
      <c r="A25" s="10" t="n"/>
      <c r="B25" s="10" t="n"/>
      <c r="C25" s="10" t="n"/>
      <c r="D25" s="10" t="n"/>
      <c r="E25" s="10" t="n"/>
      <c r="F25" s="10" t="n"/>
      <c r="G25" s="10" t="n"/>
      <c r="H25" s="10" t="n"/>
      <c r="I25" s="10" t="n"/>
      <c r="J25" s="10" t="n"/>
      <c r="K25" s="10" t="n"/>
      <c r="L25" s="10" t="n"/>
    </row>
    <row r="26">
      <c r="A26" s="10" t="n"/>
      <c r="B26" s="10" t="n"/>
      <c r="C26" s="10" t="n"/>
      <c r="D26" s="10" t="n"/>
      <c r="E26" s="10" t="n"/>
      <c r="F26" s="10" t="n"/>
      <c r="G26" s="10" t="n"/>
      <c r="H26" s="10" t="n"/>
      <c r="I26" s="10" t="n"/>
      <c r="J26" s="10" t="n"/>
      <c r="K26" s="10" t="n"/>
      <c r="L26" s="10" t="n"/>
    </row>
    <row r="27">
      <c r="A27" s="10" t="n"/>
      <c r="B27" s="10" t="n"/>
      <c r="C27" s="10" t="n"/>
      <c r="D27" s="10" t="n"/>
      <c r="E27" s="10" t="n"/>
      <c r="F27" s="10" t="n"/>
      <c r="G27" s="10" t="n"/>
      <c r="H27" s="10" t="n"/>
      <c r="I27" s="10" t="n"/>
      <c r="J27" s="10" t="n"/>
      <c r="K27" s="10" t="n"/>
      <c r="L27" s="10" t="n"/>
    </row>
    <row r="28">
      <c r="A28" s="10" t="n"/>
      <c r="B28" s="10" t="n"/>
      <c r="C28" s="10" t="n"/>
      <c r="D28" s="10" t="n"/>
      <c r="E28" s="10" t="n"/>
      <c r="F28" s="10" t="n"/>
      <c r="G28" s="10" t="n"/>
      <c r="H28" s="10" t="n"/>
      <c r="I28" s="10" t="n"/>
      <c r="J28" s="10" t="n"/>
      <c r="K28" s="10" t="n"/>
      <c r="L28" s="10" t="n"/>
    </row>
    <row r="29">
      <c r="A29" s="10" t="n"/>
      <c r="B29" s="10" t="n"/>
      <c r="C29" s="10" t="n"/>
      <c r="D29" s="10" t="n"/>
      <c r="E29" s="10" t="n"/>
      <c r="F29" s="10" t="n"/>
      <c r="G29" s="10" t="n"/>
      <c r="H29" s="10" t="n"/>
      <c r="I29" s="10" t="n"/>
      <c r="J29" s="10" t="n"/>
      <c r="K29" s="10" t="n"/>
      <c r="L29" s="10" t="n"/>
    </row>
    <row r="30">
      <c r="A30" s="10" t="n"/>
      <c r="B30" s="10" t="n"/>
      <c r="C30" s="10" t="n"/>
      <c r="D30" s="10" t="n"/>
      <c r="E30" s="10" t="n"/>
      <c r="F30" s="10" t="n"/>
      <c r="G30" s="10" t="n"/>
      <c r="H30" s="10" t="n"/>
      <c r="I30" s="10" t="n"/>
      <c r="J30" s="10" t="n"/>
      <c r="K30" s="10" t="n"/>
      <c r="L30" s="10" t="n"/>
    </row>
    <row r="31">
      <c r="A31" s="10" t="n"/>
      <c r="B31" s="10" t="n"/>
      <c r="C31" s="10" t="n"/>
      <c r="D31" s="10" t="n"/>
      <c r="E31" s="10" t="n"/>
      <c r="F31" s="10" t="n"/>
      <c r="G31" s="10" t="n"/>
      <c r="H31" s="10" t="n"/>
      <c r="I31" s="10" t="n"/>
      <c r="J31" s="10" t="n"/>
      <c r="K31" s="10" t="n"/>
      <c r="L31" s="10" t="n"/>
    </row>
    <row r="32">
      <c r="A32" s="10" t="n"/>
      <c r="B32" s="10" t="n"/>
      <c r="C32" s="10" t="n"/>
      <c r="D32" s="10" t="n"/>
      <c r="E32" s="10" t="n"/>
      <c r="F32" s="10" t="n"/>
      <c r="G32" s="10" t="n"/>
      <c r="H32" s="10" t="n"/>
      <c r="I32" s="10" t="n"/>
      <c r="J32" s="10" t="n"/>
      <c r="K32" s="10" t="n"/>
      <c r="L32" s="10" t="n"/>
    </row>
    <row r="33">
      <c r="A33" s="10" t="n"/>
      <c r="B33" s="10" t="n"/>
      <c r="C33" s="10" t="n"/>
      <c r="D33" s="10" t="n"/>
      <c r="E33" s="10" t="n"/>
      <c r="F33" s="10" t="n"/>
      <c r="G33" s="10" t="n"/>
      <c r="H33" s="10" t="n"/>
      <c r="I33" s="10" t="n"/>
      <c r="J33" s="10" t="n"/>
      <c r="K33" s="10" t="n"/>
      <c r="L33" s="10" t="n"/>
    </row>
    <row r="34">
      <c r="A34" s="43" t="inlineStr">
        <is>
          <t>These two engines ignore Custom priority. They always sort by balance (Snowball) or APR (Avalanche) using today’s Current balances. If a card’s minimum does not cover the interest, minimums-only shows Never — extra payment is what makes payoff possible.</t>
        </is>
      </c>
    </row>
    <row r="35"/>
    <row r="36">
      <c r="A36" s="10" t="n"/>
      <c r="B36" s="10" t="n"/>
      <c r="C36" s="10" t="n"/>
      <c r="D36" s="10" t="n"/>
      <c r="E36" s="10" t="n"/>
      <c r="F36" s="10" t="n"/>
      <c r="G36" s="10" t="n"/>
      <c r="H36" s="10" t="n"/>
      <c r="I36" s="10" t="n"/>
      <c r="J36" s="10" t="n"/>
      <c r="K36" s="10" t="n"/>
      <c r="L36" s="10" t="n"/>
    </row>
    <row r="40">
      <c r="A40" s="44" t="inlineStr">
        <is>
          <t>Method</t>
        </is>
      </c>
      <c r="B40" s="44" t="inlineStr">
        <is>
          <t>Interest</t>
        </is>
      </c>
    </row>
    <row r="41">
      <c r="A41" s="83" t="inlineStr">
        <is>
          <t>Minimums only</t>
        </is>
      </c>
      <c r="B41" s="128">
        <f>IF(MinOnlyInt="Never","",MinOnlyInt)</f>
        <v/>
      </c>
    </row>
    <row r="42">
      <c r="A42" s="83" t="inlineStr">
        <is>
          <t>Snowball</t>
        </is>
      </c>
      <c r="B42" s="128">
        <f>SnowInt</f>
        <v/>
      </c>
    </row>
    <row r="43">
      <c r="A43" s="83" t="inlineStr">
        <is>
          <t>Avalanche</t>
        </is>
      </c>
      <c r="B43" s="128">
        <f>AvalInt</f>
        <v/>
      </c>
    </row>
  </sheetData>
  <sheetProtection selectLockedCells="1" selectUnlockedCells="1" sheet="1" objects="0" insertRows="1" insertHyperlinks="1" autoFilter="1" scenarios="0" formatColumns="1" deleteColumns="1" insertColumns="1" pivotTables="1" deleteRows="1" formatCells="1" formatRows="1" sort="1"/>
  <mergeCells count="30">
    <mergeCell ref="A16:L16"/>
    <mergeCell ref="I8:L8"/>
    <mergeCell ref="B8:D8"/>
    <mergeCell ref="I4:L4"/>
    <mergeCell ref="E7:H7"/>
    <mergeCell ref="I10:L10"/>
    <mergeCell ref="A12:L12"/>
    <mergeCell ref="A34:L35"/>
    <mergeCell ref="B10:D10"/>
    <mergeCell ref="A2:L2"/>
    <mergeCell ref="I9:L9"/>
    <mergeCell ref="E3:H3"/>
    <mergeCell ref="I6:L6"/>
    <mergeCell ref="B9:D9"/>
    <mergeCell ref="B6:D6"/>
    <mergeCell ref="E5:H5"/>
    <mergeCell ref="B5:D5"/>
    <mergeCell ref="E8:H8"/>
    <mergeCell ref="E4:H4"/>
    <mergeCell ref="B4:D4"/>
    <mergeCell ref="I7:L7"/>
    <mergeCell ref="B7:D7"/>
    <mergeCell ref="E10:H10"/>
    <mergeCell ref="E9:H9"/>
    <mergeCell ref="I3:L3"/>
    <mergeCell ref="A3:D3"/>
    <mergeCell ref="A1:L1"/>
    <mergeCell ref="E6:H6"/>
    <mergeCell ref="A13:L14"/>
    <mergeCell ref="I5:L5"/>
  </mergeCells>
  <printOptions horizontalCentered="1"/>
  <pageMargins left="0.5" right="0.5" top="0.55" bottom="0.55" header="0.3" footer="0.3"/>
  <pageSetup orientation="landscape" paperSize="1" fitToHeight="1" fitToWidth="1"/>
  <headerFooter>
    <oddHeader>&amp;LSnowball vs Avalanche</oddHeader>
    <oddFooter>&amp;RPage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7F8C8D"/>
    <outlinePr summaryBelow="1" summaryRight="1"/>
    <pageSetUpPr fitToPage="1"/>
  </sheetPr>
  <dimension ref="A1:H80"/>
  <sheetViews>
    <sheetView showGridLines="0" workbookViewId="0">
      <pane ySplit="2" topLeftCell="A3" activePane="bottomLeft" state="frozen"/>
      <selection pane="bottomLeft" activeCell="A1" sqref="A1"/>
    </sheetView>
  </sheetViews>
  <sheetFormatPr baseColWidth="8" defaultRowHeight="15"/>
  <cols>
    <col width="3" customWidth="1" min="1" max="1"/>
    <col width="18" customWidth="1" min="2" max="2"/>
    <col width="16" customWidth="1" min="3" max="3"/>
    <col width="16" customWidth="1" min="4" max="4"/>
    <col width="16" customWidth="1" min="5" max="5"/>
    <col width="16" customWidth="1" min="6" max="6"/>
    <col width="16" customWidth="1" min="7" max="7"/>
    <col width="3" customWidth="1" min="8" max="8"/>
  </cols>
  <sheetData>
    <row r="1" ht="30" customHeight="1">
      <c r="A1" s="85" t="inlineStr">
        <is>
          <t>How to use this template</t>
        </is>
      </c>
      <c r="B1" s="129" t="n"/>
      <c r="C1" s="129" t="n"/>
      <c r="D1" s="129" t="n"/>
      <c r="E1" s="129" t="n"/>
      <c r="F1" s="129" t="n"/>
      <c r="G1" s="129" t="n"/>
      <c r="H1" s="129" t="n"/>
    </row>
    <row r="2">
      <c r="A2" s="86" t="n"/>
      <c r="B2" s="87" t="inlineStr">
        <is>
          <t>A payoff plan you can actually follow. Snowball or Avalanche, one extra payment, a date you can circle.</t>
        </is>
      </c>
      <c r="C2" s="129" t="n"/>
      <c r="D2" s="129" t="n"/>
      <c r="E2" s="129" t="n"/>
      <c r="F2" s="129" t="n"/>
      <c r="G2" s="129" t="n"/>
      <c r="H2" s="86" t="n"/>
    </row>
    <row r="3">
      <c r="A3" s="86" t="n"/>
      <c r="B3" s="86" t="n"/>
      <c r="C3" s="86" t="n"/>
      <c r="D3" s="86" t="n"/>
      <c r="E3" s="86" t="n"/>
      <c r="F3" s="86" t="n"/>
      <c r="G3" s="86" t="n"/>
      <c r="H3" s="86" t="n"/>
    </row>
    <row r="4" ht="22" customHeight="1">
      <c r="A4" s="86" t="n"/>
      <c r="B4" s="88" t="inlineStr">
        <is>
          <t>1. Five-minute start</t>
        </is>
      </c>
      <c r="C4" s="129" t="n"/>
      <c r="D4" s="129" t="n"/>
      <c r="E4" s="129" t="n"/>
      <c r="F4" s="129" t="n"/>
      <c r="G4" s="129" t="n"/>
      <c r="H4" s="86" t="n"/>
    </row>
    <row r="5" ht="40" customHeight="1">
      <c r="A5" s="86" t="n"/>
      <c r="B5" s="89" t="inlineStr">
        <is>
          <t>1. Open Debt List. Replace the sample debts with yours: name, original balance, what you owe today, APR, and the minimum the lender wants.</t>
        </is>
      </c>
      <c r="C5" s="130" t="n"/>
      <c r="D5" s="130" t="n"/>
      <c r="E5" s="130" t="n"/>
      <c r="F5" s="130" t="n"/>
      <c r="G5" s="131" t="n"/>
      <c r="H5" s="86" t="n"/>
    </row>
    <row r="6" ht="40" customHeight="1">
      <c r="A6" s="86" t="n"/>
      <c r="B6" s="89" t="inlineStr">
        <is>
          <t>2. Open the Dashboard. Type your name, pick Snowball or Avalanche, enter the extra you can send every month, and set Plan start (usually next month).</t>
        </is>
      </c>
      <c r="C6" s="130" t="n"/>
      <c r="D6" s="130" t="n"/>
      <c r="E6" s="130" t="n"/>
      <c r="F6" s="130" t="n"/>
      <c r="G6" s="131" t="n"/>
      <c r="H6" s="86" t="n"/>
    </row>
    <row r="7" ht="40" customHeight="1">
      <c r="A7" s="86" t="n"/>
      <c r="B7" s="89" t="inlineStr">
        <is>
          <t>3. Read the four cards: remaining, progress, debt-free date, interest. That date is the schedule, not a wish.</t>
        </is>
      </c>
      <c r="C7" s="130" t="n"/>
      <c r="D7" s="130" t="n"/>
      <c r="E7" s="130" t="n"/>
      <c r="F7" s="130" t="n"/>
      <c r="G7" s="131" t="n"/>
      <c r="H7" s="86" t="n"/>
    </row>
    <row r="8" ht="40" customHeight="1">
      <c r="A8" s="86" t="n"/>
      <c r="B8" s="89" t="inlineStr">
        <is>
          <t>4. Optional: open Snowball vs Avalanche before you lock a method. Avalanche usually costs less interest. Snowball usually kills the first account sooner.</t>
        </is>
      </c>
      <c r="C8" s="130" t="n"/>
      <c r="D8" s="130" t="n"/>
      <c r="E8" s="130" t="n"/>
      <c r="F8" s="130" t="n"/>
      <c r="G8" s="131" t="n"/>
      <c r="H8" s="86" t="n"/>
    </row>
    <row r="9" ht="40" customHeight="1">
      <c r="A9" s="86" t="n"/>
      <c r="B9" s="89" t="inlineStr">
        <is>
          <t>5. Each month, send every minimum plus the extra to the highlighted Target. Then log the payments and lower Current balance on the Debt List.</t>
        </is>
      </c>
      <c r="C9" s="130" t="n"/>
      <c r="D9" s="130" t="n"/>
      <c r="E9" s="130" t="n"/>
      <c r="F9" s="130" t="n"/>
      <c r="G9" s="131" t="n"/>
      <c r="H9" s="86" t="n"/>
    </row>
    <row r="10" ht="50" customHeight="1">
      <c r="A10" s="86" t="n"/>
      <c r="B10" s="90" t="inlineStr">
        <is>
          <t>[Screenshot: Dashboard cards — remaining, progress, debt-free date]</t>
        </is>
      </c>
      <c r="C10" s="132" t="n"/>
      <c r="D10" s="132" t="n"/>
      <c r="E10" s="132" t="n"/>
      <c r="F10" s="132" t="n"/>
      <c r="G10" s="133" t="n"/>
      <c r="H10" s="86" t="n"/>
    </row>
    <row r="11">
      <c r="A11" s="86" t="n"/>
      <c r="B11" s="86" t="n"/>
      <c r="C11" s="86" t="n"/>
      <c r="D11" s="86" t="n"/>
      <c r="E11" s="86" t="n"/>
      <c r="F11" s="86" t="n"/>
      <c r="G11" s="86" t="n"/>
      <c r="H11" s="86" t="n"/>
    </row>
    <row r="12" ht="22" customHeight="1">
      <c r="A12" s="86" t="n"/>
      <c r="B12" s="88" t="inlineStr">
        <is>
          <t>2. Snowball vs Avalanche</t>
        </is>
      </c>
      <c r="C12" s="129" t="n"/>
      <c r="D12" s="129" t="n"/>
      <c r="E12" s="129" t="n"/>
      <c r="F12" s="129" t="n"/>
      <c r="G12" s="129" t="n"/>
      <c r="H12" s="86" t="n"/>
    </row>
    <row r="13" ht="40" customHeight="1">
      <c r="A13" s="86" t="n"/>
      <c r="B13" s="89" t="inlineStr">
        <is>
          <t>Snowball — pay minimums on everything, throw every extra dollar at the smallest balance. When it dies, that minimum joins the extra on the next-smallest. People like it because a debt disappears sooner.</t>
        </is>
      </c>
      <c r="C13" s="130" t="n"/>
      <c r="D13" s="130" t="n"/>
      <c r="E13" s="130" t="n"/>
      <c r="F13" s="130" t="n"/>
      <c r="G13" s="131" t="n"/>
      <c r="H13" s="86" t="n"/>
    </row>
    <row r="14" ht="36" customHeight="1">
      <c r="A14" s="86" t="n"/>
      <c r="B14" s="89" t="inlineStr">
        <is>
          <t>Avalanche — same extra, but the target is the highest APR. Math usually prefers this. You keep the store card longer; you keep less of your money in interest.</t>
        </is>
      </c>
      <c r="C14" s="130" t="n"/>
      <c r="D14" s="130" t="n"/>
      <c r="E14" s="130" t="n"/>
      <c r="F14" s="130" t="n"/>
      <c r="G14" s="131" t="n"/>
      <c r="H14" s="86" t="n"/>
    </row>
    <row r="15" ht="36" customHeight="1">
      <c r="A15" s="86" t="n"/>
      <c r="B15" s="89" t="inlineStr">
        <is>
          <t>Custom — type 1, 2, 3… in Priority on the Debt List if you have a reason the math does not know about (a card you want gone before a move, a loan with a promo rate ending).</t>
        </is>
      </c>
      <c r="C15" s="130" t="n"/>
      <c r="D15" s="130" t="n"/>
      <c r="E15" s="130" t="n"/>
      <c r="F15" s="130" t="n"/>
      <c r="G15" s="131" t="n"/>
      <c r="H15" s="86" t="n"/>
    </row>
    <row r="16" ht="32" customHeight="1">
      <c r="A16" s="86" t="n"/>
      <c r="B16" s="89" t="inlineStr">
        <is>
          <t>The extra is a waterfall: it fills the target until that debt is gone, then spills to the next in order the same month. You do not leave money sitting.</t>
        </is>
      </c>
      <c r="C16" s="130" t="n"/>
      <c r="D16" s="130" t="n"/>
      <c r="E16" s="130" t="n"/>
      <c r="F16" s="130" t="n"/>
      <c r="G16" s="131" t="n"/>
      <c r="H16" s="86" t="n"/>
    </row>
    <row r="17">
      <c r="A17" s="86" t="n"/>
      <c r="B17" s="86" t="n"/>
      <c r="C17" s="86" t="n"/>
      <c r="D17" s="86" t="n"/>
      <c r="E17" s="86" t="n"/>
      <c r="F17" s="86" t="n"/>
      <c r="G17" s="86" t="n"/>
      <c r="H17" s="86" t="n"/>
    </row>
    <row r="18" ht="22" customHeight="1">
      <c r="A18" s="86" t="n"/>
      <c r="B18" s="88" t="inlineStr">
        <is>
          <t>3. What each tab does</t>
        </is>
      </c>
      <c r="C18" s="129" t="n"/>
      <c r="D18" s="129" t="n"/>
      <c r="E18" s="129" t="n"/>
      <c r="F18" s="129" t="n"/>
      <c r="G18" s="129" t="n"/>
      <c r="H18" s="86" t="n"/>
    </row>
    <row r="19" ht="24" customHeight="1">
      <c r="A19" s="86" t="n"/>
      <c r="B19" s="89" t="inlineStr">
        <is>
          <t>Dashboard — method, extra, start date, and the numbers that keep you going.</t>
        </is>
      </c>
      <c r="C19" s="130" t="n"/>
      <c r="D19" s="130" t="n"/>
      <c r="E19" s="130" t="n"/>
      <c r="F19" s="130" t="n"/>
      <c r="G19" s="131" t="n"/>
      <c r="H19" s="86" t="n"/>
    </row>
    <row r="20" ht="24" customHeight="1">
      <c r="A20" s="86" t="n"/>
      <c r="B20" s="89" t="inlineStr">
        <is>
          <t>Debt List — up to 8 debts. The amber Target? row is who gets the extra right now.</t>
        </is>
      </c>
      <c r="C20" s="130" t="n"/>
      <c r="D20" s="130" t="n"/>
      <c r="E20" s="130" t="n"/>
      <c r="F20" s="130" t="n"/>
      <c r="G20" s="131" t="n"/>
      <c r="H20" s="86" t="n"/>
    </row>
    <row r="21" ht="24" customHeight="1">
      <c r="A21" s="86" t="n"/>
      <c r="B21" s="89" t="inlineStr">
        <is>
          <t>Payoff Schedule — every month for 10 years: who is targeted, what you send, what is left.</t>
        </is>
      </c>
      <c r="C21" s="130" t="n"/>
      <c r="D21" s="130" t="n"/>
      <c r="E21" s="130" t="n"/>
      <c r="F21" s="130" t="n"/>
      <c r="G21" s="131" t="n"/>
      <c r="H21" s="86" t="n"/>
    </row>
    <row r="22" ht="24" customHeight="1">
      <c r="A22" s="86" t="n"/>
      <c r="B22" s="89" t="inlineStr">
        <is>
          <t>Payment Log — what you actually paid. Update Current balance after you pay; the log will not do it for you.</t>
        </is>
      </c>
      <c r="C22" s="130" t="n"/>
      <c r="D22" s="130" t="n"/>
      <c r="E22" s="130" t="n"/>
      <c r="F22" s="130" t="n"/>
      <c r="G22" s="131" t="n"/>
      <c r="H22" s="86" t="n"/>
    </row>
    <row r="23" ht="24" customHeight="1">
      <c r="A23" s="86" t="n"/>
      <c r="B23" s="89" t="inlineStr">
        <is>
          <t>Snowball vs Avalanche — same extra, both orders, interest and dates side by side.</t>
        </is>
      </c>
      <c r="C23" s="130" t="n"/>
      <c r="D23" s="130" t="n"/>
      <c r="E23" s="130" t="n"/>
      <c r="F23" s="130" t="n"/>
      <c r="G23" s="131" t="n"/>
      <c r="H23" s="86" t="n"/>
    </row>
    <row r="24" ht="24" customHeight="1">
      <c r="A24" s="86" t="n"/>
      <c r="B24" s="89" t="inlineStr">
        <is>
          <t>Instructions — this guide.</t>
        </is>
      </c>
      <c r="C24" s="130" t="n"/>
      <c r="D24" s="130" t="n"/>
      <c r="E24" s="130" t="n"/>
      <c r="F24" s="130" t="n"/>
      <c r="G24" s="131" t="n"/>
      <c r="H24" s="86" t="n"/>
    </row>
    <row r="25">
      <c r="A25" s="86" t="n"/>
      <c r="B25" s="86" t="n"/>
      <c r="C25" s="86" t="n"/>
      <c r="D25" s="86" t="n"/>
      <c r="E25" s="86" t="n"/>
      <c r="F25" s="86" t="n"/>
      <c r="G25" s="86" t="n"/>
      <c r="H25" s="86" t="n"/>
    </row>
    <row r="26" ht="22" customHeight="1">
      <c r="A26" s="86" t="n"/>
      <c r="B26" s="88" t="inlineStr">
        <is>
          <t>4. Color key</t>
        </is>
      </c>
      <c r="C26" s="129" t="n"/>
      <c r="D26" s="129" t="n"/>
      <c r="E26" s="129" t="n"/>
      <c r="F26" s="129" t="n"/>
      <c r="G26" s="129" t="n"/>
      <c r="H26" s="86" t="n"/>
    </row>
    <row r="27" ht="22" customHeight="1">
      <c r="A27" s="86" t="n"/>
      <c r="B27" s="89" t="inlineStr">
        <is>
          <t>Blue = type.    Gray = formula.</t>
        </is>
      </c>
      <c r="C27" s="130" t="n"/>
      <c r="D27" s="130" t="n"/>
      <c r="E27" s="130" t="n"/>
      <c r="F27" s="130" t="n"/>
      <c r="G27" s="131" t="n"/>
      <c r="H27" s="86" t="n"/>
    </row>
    <row r="28" ht="22" customHeight="1">
      <c r="A28" s="86" t="n"/>
      <c r="B28" s="89" t="inlineStr">
        <is>
          <t>Amber row = current target.    Green = paid off.</t>
        </is>
      </c>
      <c r="C28" s="130" t="n"/>
      <c r="D28" s="130" t="n"/>
      <c r="E28" s="130" t="n"/>
      <c r="F28" s="130" t="n"/>
      <c r="G28" s="131" t="n"/>
      <c r="H28" s="86" t="n"/>
    </row>
    <row r="29">
      <c r="A29" s="86" t="n"/>
      <c r="B29" s="86" t="n"/>
      <c r="C29" s="86" t="n"/>
      <c r="D29" s="86" t="n"/>
      <c r="E29" s="86" t="n"/>
      <c r="F29" s="86" t="n"/>
      <c r="G29" s="86" t="n"/>
      <c r="H29" s="86" t="n"/>
    </row>
    <row r="30" ht="22" customHeight="1">
      <c r="A30" s="86" t="n"/>
      <c r="B30" s="88" t="inlineStr">
        <is>
          <t>5. Add or remove a debt</t>
        </is>
      </c>
      <c r="C30" s="129" t="n"/>
      <c r="D30" s="129" t="n"/>
      <c r="E30" s="129" t="n"/>
      <c r="F30" s="129" t="n"/>
      <c r="G30" s="129" t="n"/>
      <c r="H30" s="86" t="n"/>
    </row>
    <row r="31" ht="26" customHeight="1">
      <c r="A31" s="86" t="n"/>
      <c r="B31" s="89" t="inlineStr">
        <is>
          <t>Add: type in the next blank blue row on Debt List (8 slots). Order and the schedule rebuild.</t>
        </is>
      </c>
      <c r="C31" s="130" t="n"/>
      <c r="D31" s="130" t="n"/>
      <c r="E31" s="130" t="n"/>
      <c r="F31" s="130" t="n"/>
      <c r="G31" s="131" t="n"/>
      <c r="H31" s="86" t="n"/>
    </row>
    <row r="32" ht="26" customHeight="1">
      <c r="A32" s="86" t="n"/>
      <c r="B32" s="89" t="inlineStr">
        <is>
          <t>Remove: delete the values in that row (not the gray formulas). Or set Current balance to 0 to mark it paid.</t>
        </is>
      </c>
      <c r="C32" s="130" t="n"/>
      <c r="D32" s="130" t="n"/>
      <c r="E32" s="130" t="n"/>
      <c r="F32" s="130" t="n"/>
      <c r="G32" s="131" t="n"/>
      <c r="H32" s="86" t="n"/>
    </row>
    <row r="33" ht="28" customHeight="1">
      <c r="A33" s="86" t="n"/>
      <c r="B33" s="89" t="inlineStr">
        <is>
          <t>If the schedule says Beyond 120 months, raise Extra or check that every minimum is greater than the monthly interest.</t>
        </is>
      </c>
      <c r="C33" s="130" t="n"/>
      <c r="D33" s="130" t="n"/>
      <c r="E33" s="130" t="n"/>
      <c r="F33" s="130" t="n"/>
      <c r="G33" s="131" t="n"/>
      <c r="H33" s="86" t="n"/>
    </row>
    <row r="34">
      <c r="A34" s="86" t="n"/>
      <c r="B34" s="86" t="n"/>
      <c r="C34" s="86" t="n"/>
      <c r="D34" s="86" t="n"/>
      <c r="E34" s="86" t="n"/>
      <c r="F34" s="86" t="n"/>
      <c r="G34" s="86" t="n"/>
      <c r="H34" s="86" t="n"/>
    </row>
    <row r="35" ht="22" customHeight="1">
      <c r="A35" s="86" t="n"/>
      <c r="B35" s="88" t="inlineStr">
        <is>
          <t>6. A note on honesty</t>
        </is>
      </c>
      <c r="C35" s="129" t="n"/>
      <c r="D35" s="129" t="n"/>
      <c r="E35" s="129" t="n"/>
      <c r="F35" s="129" t="n"/>
      <c r="G35" s="129" t="n"/>
      <c r="H35" s="86" t="n"/>
    </row>
    <row r="36" ht="40" customHeight="1">
      <c r="A36" s="86" t="n"/>
      <c r="B36" s="89" t="inlineStr">
        <is>
          <t>This is a plan, not a lender. Promotional APRs, missed payments, and new charges will move the date. When life happens, update Current balance and look at the Dashboard again. The plan is still there.</t>
        </is>
      </c>
      <c r="C36" s="130" t="n"/>
      <c r="D36" s="130" t="n"/>
      <c r="E36" s="130" t="n"/>
      <c r="F36" s="130" t="n"/>
      <c r="G36" s="131" t="n"/>
      <c r="H36" s="86" t="n"/>
    </row>
    <row r="37">
      <c r="A37" s="86" t="n"/>
      <c r="B37" s="86" t="n"/>
      <c r="C37" s="86" t="n"/>
      <c r="D37" s="86" t="n"/>
      <c r="E37" s="86" t="n"/>
      <c r="F37" s="86" t="n"/>
      <c r="G37" s="86" t="n"/>
      <c r="H37" s="86" t="n"/>
    </row>
    <row r="38">
      <c r="A38" s="86" t="n"/>
      <c r="B38" s="87" t="inlineStr">
        <is>
          <t>You do not have to fill all eight slots. Empty rows are waiting, not missing.</t>
        </is>
      </c>
      <c r="C38" s="129" t="n"/>
      <c r="D38" s="129" t="n"/>
      <c r="E38" s="129" t="n"/>
      <c r="F38" s="129" t="n"/>
      <c r="G38" s="129" t="n"/>
      <c r="H38" s="86" t="n"/>
    </row>
    <row r="39">
      <c r="A39" s="86" t="n"/>
      <c r="B39" s="86" t="n"/>
      <c r="C39" s="86" t="n"/>
      <c r="D39" s="86" t="n"/>
      <c r="E39" s="86" t="n"/>
      <c r="F39" s="86" t="n"/>
      <c r="G39" s="86" t="n"/>
      <c r="H39" s="86" t="n"/>
    </row>
    <row r="40">
      <c r="A40" s="10" t="n"/>
      <c r="B40" s="10" t="n"/>
      <c r="C40" s="10" t="n"/>
      <c r="D40" s="10" t="n"/>
      <c r="E40" s="10" t="n"/>
      <c r="F40" s="10" t="n"/>
      <c r="G40" s="10" t="n"/>
      <c r="H40" s="10" t="n"/>
    </row>
    <row r="41">
      <c r="A41" s="10" t="n"/>
      <c r="B41" s="10" t="n"/>
      <c r="C41" s="10" t="n"/>
      <c r="D41" s="10" t="n"/>
      <c r="E41" s="10" t="n"/>
      <c r="F41" s="10" t="n"/>
      <c r="G41" s="10" t="n"/>
      <c r="H41" s="10" t="n"/>
    </row>
    <row r="42">
      <c r="A42" s="10" t="n"/>
      <c r="B42" s="10" t="n"/>
      <c r="C42" s="10" t="n"/>
      <c r="D42" s="10" t="n"/>
      <c r="E42" s="10" t="n"/>
      <c r="F42" s="10" t="n"/>
      <c r="G42" s="10" t="n"/>
      <c r="H42" s="10" t="n"/>
    </row>
    <row r="43">
      <c r="A43" s="10" t="n"/>
      <c r="B43" s="10" t="n"/>
      <c r="C43" s="10" t="n"/>
      <c r="D43" s="10" t="n"/>
      <c r="E43" s="10" t="n"/>
      <c r="F43" s="10" t="n"/>
      <c r="G43" s="10" t="n"/>
      <c r="H43" s="10" t="n"/>
    </row>
    <row r="44">
      <c r="A44" s="10" t="n"/>
      <c r="B44" s="10" t="n"/>
      <c r="C44" s="10" t="n"/>
      <c r="D44" s="10" t="n"/>
      <c r="E44" s="10" t="n"/>
      <c r="F44" s="10" t="n"/>
      <c r="G44" s="10" t="n"/>
      <c r="H44" s="10" t="n"/>
    </row>
    <row r="45">
      <c r="A45" s="10" t="n"/>
      <c r="B45" s="10" t="n"/>
      <c r="C45" s="10" t="n"/>
      <c r="D45" s="10" t="n"/>
      <c r="E45" s="10" t="n"/>
      <c r="F45" s="10" t="n"/>
      <c r="G45" s="10" t="n"/>
      <c r="H45" s="10" t="n"/>
    </row>
    <row r="46">
      <c r="A46" s="10" t="n"/>
      <c r="B46" s="10" t="n"/>
      <c r="C46" s="10" t="n"/>
      <c r="D46" s="10" t="n"/>
      <c r="E46" s="10" t="n"/>
      <c r="F46" s="10" t="n"/>
      <c r="G46" s="10" t="n"/>
      <c r="H46" s="10" t="n"/>
    </row>
    <row r="47">
      <c r="A47" s="10" t="n"/>
      <c r="B47" s="10" t="n"/>
      <c r="C47" s="10" t="n"/>
      <c r="D47" s="10" t="n"/>
      <c r="E47" s="10" t="n"/>
      <c r="F47" s="10" t="n"/>
      <c r="G47" s="10" t="n"/>
      <c r="H47" s="10" t="n"/>
    </row>
    <row r="48">
      <c r="A48" s="10" t="n"/>
      <c r="B48" s="10" t="n"/>
      <c r="C48" s="10" t="n"/>
      <c r="D48" s="10" t="n"/>
      <c r="E48" s="10" t="n"/>
      <c r="F48" s="10" t="n"/>
      <c r="G48" s="10" t="n"/>
      <c r="H48" s="10" t="n"/>
    </row>
    <row r="49">
      <c r="A49" s="10" t="n"/>
      <c r="B49" s="10" t="n"/>
      <c r="C49" s="10" t="n"/>
      <c r="D49" s="10" t="n"/>
      <c r="E49" s="10" t="n"/>
      <c r="F49" s="10" t="n"/>
      <c r="G49" s="10" t="n"/>
      <c r="H49" s="10" t="n"/>
    </row>
    <row r="50">
      <c r="A50" s="10" t="n"/>
      <c r="B50" s="10" t="n"/>
      <c r="C50" s="10" t="n"/>
      <c r="D50" s="10" t="n"/>
      <c r="E50" s="10" t="n"/>
      <c r="F50" s="10" t="n"/>
      <c r="G50" s="10" t="n"/>
      <c r="H50" s="10" t="n"/>
    </row>
    <row r="51">
      <c r="A51" s="10" t="n"/>
      <c r="B51" s="10" t="n"/>
      <c r="C51" s="10" t="n"/>
      <c r="D51" s="10" t="n"/>
      <c r="E51" s="10" t="n"/>
      <c r="F51" s="10" t="n"/>
      <c r="G51" s="10" t="n"/>
      <c r="H51" s="10" t="n"/>
    </row>
    <row r="52">
      <c r="A52" s="10" t="n"/>
      <c r="B52" s="10" t="n"/>
      <c r="C52" s="10" t="n"/>
      <c r="D52" s="10" t="n"/>
      <c r="E52" s="10" t="n"/>
      <c r="F52" s="10" t="n"/>
      <c r="G52" s="10" t="n"/>
      <c r="H52" s="10" t="n"/>
    </row>
    <row r="53">
      <c r="A53" s="10" t="n"/>
      <c r="B53" s="10" t="n"/>
      <c r="C53" s="10" t="n"/>
      <c r="D53" s="10" t="n"/>
      <c r="E53" s="10" t="n"/>
      <c r="F53" s="10" t="n"/>
      <c r="G53" s="10" t="n"/>
      <c r="H53" s="10" t="n"/>
    </row>
    <row r="54">
      <c r="A54" s="10" t="n"/>
      <c r="B54" s="10" t="n"/>
      <c r="C54" s="10" t="n"/>
      <c r="D54" s="10" t="n"/>
      <c r="E54" s="10" t="n"/>
      <c r="F54" s="10" t="n"/>
      <c r="G54" s="10" t="n"/>
      <c r="H54" s="10" t="n"/>
    </row>
    <row r="55">
      <c r="A55" s="10" t="n"/>
      <c r="B55" s="10" t="n"/>
      <c r="C55" s="10" t="n"/>
      <c r="D55" s="10" t="n"/>
      <c r="E55" s="10" t="n"/>
      <c r="F55" s="10" t="n"/>
      <c r="G55" s="10" t="n"/>
      <c r="H55" s="10" t="n"/>
    </row>
    <row r="56">
      <c r="A56" s="10" t="n"/>
      <c r="B56" s="10" t="n"/>
      <c r="C56" s="10" t="n"/>
      <c r="D56" s="10" t="n"/>
      <c r="E56" s="10" t="n"/>
      <c r="F56" s="10" t="n"/>
      <c r="G56" s="10" t="n"/>
      <c r="H56" s="10" t="n"/>
    </row>
    <row r="57">
      <c r="A57" s="10" t="n"/>
      <c r="B57" s="10" t="n"/>
      <c r="C57" s="10" t="n"/>
      <c r="D57" s="10" t="n"/>
      <c r="E57" s="10" t="n"/>
      <c r="F57" s="10" t="n"/>
      <c r="G57" s="10" t="n"/>
      <c r="H57" s="10" t="n"/>
    </row>
    <row r="58">
      <c r="A58" s="10" t="n"/>
      <c r="B58" s="10" t="n"/>
      <c r="C58" s="10" t="n"/>
      <c r="D58" s="10" t="n"/>
      <c r="E58" s="10" t="n"/>
      <c r="F58" s="10" t="n"/>
      <c r="G58" s="10" t="n"/>
      <c r="H58" s="10" t="n"/>
    </row>
    <row r="59">
      <c r="A59" s="10" t="n"/>
      <c r="B59" s="10" t="n"/>
      <c r="C59" s="10" t="n"/>
      <c r="D59" s="10" t="n"/>
      <c r="E59" s="10" t="n"/>
      <c r="F59" s="10" t="n"/>
      <c r="G59" s="10" t="n"/>
      <c r="H59" s="10" t="n"/>
    </row>
    <row r="60">
      <c r="A60" s="10" t="n"/>
      <c r="B60" s="10" t="n"/>
      <c r="C60" s="10" t="n"/>
      <c r="D60" s="10" t="n"/>
      <c r="E60" s="10" t="n"/>
      <c r="F60" s="10" t="n"/>
      <c r="G60" s="10" t="n"/>
      <c r="H60" s="10" t="n"/>
    </row>
    <row r="61">
      <c r="A61" s="10" t="n"/>
      <c r="B61" s="10" t="n"/>
      <c r="C61" s="10" t="n"/>
      <c r="D61" s="10" t="n"/>
      <c r="E61" s="10" t="n"/>
      <c r="F61" s="10" t="n"/>
      <c r="G61" s="10" t="n"/>
      <c r="H61" s="10" t="n"/>
    </row>
    <row r="62">
      <c r="A62" s="10" t="n"/>
      <c r="B62" s="10" t="n"/>
      <c r="C62" s="10" t="n"/>
      <c r="D62" s="10" t="n"/>
      <c r="E62" s="10" t="n"/>
      <c r="F62" s="10" t="n"/>
      <c r="G62" s="10" t="n"/>
      <c r="H62" s="10" t="n"/>
    </row>
    <row r="63">
      <c r="A63" s="10" t="n"/>
      <c r="B63" s="10" t="n"/>
      <c r="C63" s="10" t="n"/>
      <c r="D63" s="10" t="n"/>
      <c r="E63" s="10" t="n"/>
      <c r="F63" s="10" t="n"/>
      <c r="G63" s="10" t="n"/>
      <c r="H63" s="10" t="n"/>
    </row>
    <row r="64">
      <c r="A64" s="10" t="n"/>
      <c r="B64" s="10" t="n"/>
      <c r="C64" s="10" t="n"/>
      <c r="D64" s="10" t="n"/>
      <c r="E64" s="10" t="n"/>
      <c r="F64" s="10" t="n"/>
      <c r="G64" s="10" t="n"/>
      <c r="H64" s="10" t="n"/>
    </row>
    <row r="65">
      <c r="A65" s="10" t="n"/>
      <c r="B65" s="10" t="n"/>
      <c r="C65" s="10" t="n"/>
      <c r="D65" s="10" t="n"/>
      <c r="E65" s="10" t="n"/>
      <c r="F65" s="10" t="n"/>
      <c r="G65" s="10" t="n"/>
      <c r="H65" s="10" t="n"/>
    </row>
    <row r="66">
      <c r="A66" s="10" t="n"/>
      <c r="B66" s="10" t="n"/>
      <c r="C66" s="10" t="n"/>
      <c r="D66" s="10" t="n"/>
      <c r="E66" s="10" t="n"/>
      <c r="F66" s="10" t="n"/>
      <c r="G66" s="10" t="n"/>
      <c r="H66" s="10" t="n"/>
    </row>
    <row r="67">
      <c r="A67" s="10" t="n"/>
      <c r="B67" s="10" t="n"/>
      <c r="C67" s="10" t="n"/>
      <c r="D67" s="10" t="n"/>
      <c r="E67" s="10" t="n"/>
      <c r="F67" s="10" t="n"/>
      <c r="G67" s="10" t="n"/>
      <c r="H67" s="10" t="n"/>
    </row>
    <row r="68">
      <c r="A68" s="10" t="n"/>
      <c r="B68" s="10" t="n"/>
      <c r="C68" s="10" t="n"/>
      <c r="D68" s="10" t="n"/>
      <c r="E68" s="10" t="n"/>
      <c r="F68" s="10" t="n"/>
      <c r="G68" s="10" t="n"/>
      <c r="H68" s="10" t="n"/>
    </row>
    <row r="69">
      <c r="A69" s="10" t="n"/>
      <c r="B69" s="10" t="n"/>
      <c r="C69" s="10" t="n"/>
      <c r="D69" s="10" t="n"/>
      <c r="E69" s="10" t="n"/>
      <c r="F69" s="10" t="n"/>
      <c r="G69" s="10" t="n"/>
      <c r="H69" s="10" t="n"/>
    </row>
    <row r="70">
      <c r="A70" s="10" t="n"/>
      <c r="B70" s="10" t="n"/>
      <c r="C70" s="10" t="n"/>
      <c r="D70" s="10" t="n"/>
      <c r="E70" s="10" t="n"/>
      <c r="F70" s="10" t="n"/>
      <c r="G70" s="10" t="n"/>
      <c r="H70" s="10" t="n"/>
    </row>
    <row r="71">
      <c r="A71" s="10" t="n"/>
      <c r="B71" s="10" t="n"/>
      <c r="C71" s="10" t="n"/>
      <c r="D71" s="10" t="n"/>
      <c r="E71" s="10" t="n"/>
      <c r="F71" s="10" t="n"/>
      <c r="G71" s="10" t="n"/>
      <c r="H71" s="10" t="n"/>
    </row>
    <row r="72">
      <c r="A72" s="10" t="n"/>
      <c r="B72" s="10" t="n"/>
      <c r="C72" s="10" t="n"/>
      <c r="D72" s="10" t="n"/>
      <c r="E72" s="10" t="n"/>
      <c r="F72" s="10" t="n"/>
      <c r="G72" s="10" t="n"/>
      <c r="H72" s="10" t="n"/>
    </row>
    <row r="73">
      <c r="A73" s="10" t="n"/>
      <c r="B73" s="10" t="n"/>
      <c r="C73" s="10" t="n"/>
      <c r="D73" s="10" t="n"/>
      <c r="E73" s="10" t="n"/>
      <c r="F73" s="10" t="n"/>
      <c r="G73" s="10" t="n"/>
      <c r="H73" s="10" t="n"/>
    </row>
    <row r="74">
      <c r="A74" s="10" t="n"/>
      <c r="B74" s="10" t="n"/>
      <c r="C74" s="10" t="n"/>
      <c r="D74" s="10" t="n"/>
      <c r="E74" s="10" t="n"/>
      <c r="F74" s="10" t="n"/>
      <c r="G74" s="10" t="n"/>
      <c r="H74" s="10" t="n"/>
    </row>
    <row r="75">
      <c r="A75" s="10" t="n"/>
      <c r="B75" s="10" t="n"/>
      <c r="C75" s="10" t="n"/>
      <c r="D75" s="10" t="n"/>
      <c r="E75" s="10" t="n"/>
      <c r="F75" s="10" t="n"/>
      <c r="G75" s="10" t="n"/>
      <c r="H75" s="10" t="n"/>
    </row>
    <row r="76">
      <c r="A76" s="10" t="n"/>
      <c r="B76" s="10" t="n"/>
      <c r="C76" s="10" t="n"/>
      <c r="D76" s="10" t="n"/>
      <c r="E76" s="10" t="n"/>
      <c r="F76" s="10" t="n"/>
      <c r="G76" s="10" t="n"/>
      <c r="H76" s="10" t="n"/>
    </row>
    <row r="77">
      <c r="A77" s="10" t="n"/>
      <c r="B77" s="10" t="n"/>
      <c r="C77" s="10" t="n"/>
      <c r="D77" s="10" t="n"/>
      <c r="E77" s="10" t="n"/>
      <c r="F77" s="10" t="n"/>
      <c r="G77" s="10" t="n"/>
      <c r="H77" s="10" t="n"/>
    </row>
    <row r="78">
      <c r="A78" s="10" t="n"/>
      <c r="B78" s="10" t="n"/>
      <c r="C78" s="10" t="n"/>
      <c r="D78" s="10" t="n"/>
      <c r="E78" s="10" t="n"/>
      <c r="F78" s="10" t="n"/>
      <c r="G78" s="10" t="n"/>
      <c r="H78" s="10" t="n"/>
    </row>
    <row r="79">
      <c r="A79" s="10" t="n"/>
      <c r="B79" s="10" t="n"/>
      <c r="C79" s="10" t="n"/>
      <c r="D79" s="10" t="n"/>
      <c r="E79" s="10" t="n"/>
      <c r="F79" s="10" t="n"/>
      <c r="G79" s="10" t="n"/>
      <c r="H79" s="10" t="n"/>
    </row>
    <row r="80">
      <c r="A80" s="10" t="n"/>
      <c r="B80" s="10" t="n"/>
      <c r="C80" s="10" t="n"/>
      <c r="D80" s="10" t="n"/>
      <c r="E80" s="10" t="n"/>
      <c r="F80" s="10" t="n"/>
      <c r="G80" s="10" t="n"/>
      <c r="H80" s="10" t="n"/>
    </row>
  </sheetData>
  <sheetProtection selectLockedCells="1" selectUnlockedCells="1" sheet="1" objects="0" insertRows="1" insertHyperlinks="1" autoFilter="1" scenarios="0" formatColumns="1" deleteColumns="1" insertColumns="1" pivotTables="1" deleteRows="1" formatCells="1" formatRows="1" sort="1"/>
  <mergeCells count="31">
    <mergeCell ref="B2:G2"/>
    <mergeCell ref="B14:G14"/>
    <mergeCell ref="B23:G23"/>
    <mergeCell ref="B8:G8"/>
    <mergeCell ref="B13:G13"/>
    <mergeCell ref="A1:H1"/>
    <mergeCell ref="B38:G38"/>
    <mergeCell ref="B19:G19"/>
    <mergeCell ref="B10:G10"/>
    <mergeCell ref="B28:G28"/>
    <mergeCell ref="B9:G9"/>
    <mergeCell ref="B30:G30"/>
    <mergeCell ref="B15:G15"/>
    <mergeCell ref="B33:G33"/>
    <mergeCell ref="B6:G6"/>
    <mergeCell ref="B24:G24"/>
    <mergeCell ref="B20:G20"/>
    <mergeCell ref="B5:G5"/>
    <mergeCell ref="B36:G36"/>
    <mergeCell ref="B32:G32"/>
    <mergeCell ref="B4:G4"/>
    <mergeCell ref="B35:G35"/>
    <mergeCell ref="B26:G26"/>
    <mergeCell ref="B7:G7"/>
    <mergeCell ref="B16:G16"/>
    <mergeCell ref="B22:G22"/>
    <mergeCell ref="B31:G31"/>
    <mergeCell ref="B27:G27"/>
    <mergeCell ref="B12:G12"/>
    <mergeCell ref="B18:G18"/>
    <mergeCell ref="B21:G21"/>
  </mergeCells>
  <printOptions horizontalCentered="1"/>
  <pageMargins left="0.5" right="0.5" top="0.55" bottom="0.55" header="0.3" footer="0.3"/>
  <pageSetup orientation="portrait" paperSize="1" fitToHeight="0" fitToWidth="1"/>
  <headerFooter>
    <oddHeader>&amp;LInstructions</oddHeader>
    <oddFooter>&amp;RPage &amp;P of &amp;N</oddFooter>
    <evenHeader/>
    <evenFooter/>
    <firstHeader/>
    <firstFooter/>
  </headerFooter>
</worksheet>
</file>

<file path=xl/worksheets/sheet7.xml><?xml version="1.0" encoding="utf-8"?>
<worksheet xmlns="http://schemas.openxmlformats.org/spreadsheetml/2006/main">
  <sheetPr>
    <tabColor rgb="00999999"/>
    <outlinePr summaryBelow="1" summaryRight="1"/>
    <pageSetUpPr/>
  </sheetPr>
  <dimension ref="A1:HY124"/>
  <sheetViews>
    <sheetView workbookViewId="0">
      <selection activeCell="A1" sqref="A1"/>
    </sheetView>
  </sheetViews>
  <sheetFormatPr baseColWidth="8" defaultRowHeight="15"/>
  <sheetData>
    <row r="1">
      <c r="A1" s="91" t="inlineStr">
        <is>
          <t>PLAN (selected method)</t>
        </is>
      </c>
      <c r="CC1" s="91" t="inlineStr">
        <is>
          <t>SNOWBALL</t>
        </is>
      </c>
      <c r="FE1" s="91" t="inlineStr">
        <is>
          <t>AVALANCHE</t>
        </is>
      </c>
    </row>
    <row r="2">
      <c r="A2">
        <f>IFERROR(INDEX(B5:B124,MATCH(0,I5:I124,0)),"Beyond 120 mo")</f>
        <v/>
      </c>
      <c r="B2">
        <f>IFERROR(INDEX(G5:G124,MATCH(0,I5:I124,0)),MAX(G5:G124))</f>
        <v/>
      </c>
      <c r="C2">
        <f>SUM(E5:E124)</f>
        <v/>
      </c>
      <c r="D2">
        <f>IFERROR(MATCH(0,I5:I124,0),"Beyond 120 mo")</f>
        <v/>
      </c>
      <c r="E2">
        <f>IFERROR(MATCH(COUNTA(DebtNames)-1,I5:I124,0),"")</f>
        <v/>
      </c>
      <c r="CC2">
        <f>IFERROR(INDEX(CD5:CD124,MATCH(0,CK5:CK124,0)),"Beyond 120 mo")</f>
        <v/>
      </c>
      <c r="CD2">
        <f>IFERROR(INDEX(CI5:CI124,MATCH(0,CK5:CK124,0)),MAX(CI5:CI124))</f>
        <v/>
      </c>
      <c r="CE2">
        <f>SUM(CG5:CG124)</f>
        <v/>
      </c>
      <c r="CF2">
        <f>IFERROR(MATCH(0,CK5:CK124,0),"Beyond 120 mo")</f>
        <v/>
      </c>
      <c r="CG2">
        <f>IFERROR(MATCH(COUNTA(DebtNames)-1,CK5:CK124,0),"")</f>
        <v/>
      </c>
      <c r="FE2">
        <f>IFERROR(INDEX(FF5:FF124,MATCH(0,FM5:FM124,0)),"Beyond 120 mo")</f>
        <v/>
      </c>
      <c r="FF2">
        <f>IFERROR(INDEX(FK5:FK124,MATCH(0,FM5:FM124,0)),MAX(FK5:FK124))</f>
        <v/>
      </c>
      <c r="FG2">
        <f>SUM(FI5:FI124)</f>
        <v/>
      </c>
      <c r="FH2">
        <f>IFERROR(MATCH(0,FM5:FM124,0),"Beyond 120 mo")</f>
        <v/>
      </c>
      <c r="FI2">
        <f>IFERROR(MATCH(COUNTA(DebtNames)-1,FM5:FM124,0),"")</f>
        <v/>
      </c>
    </row>
    <row r="3">
      <c r="A3" s="92" t="inlineStr">
        <is>
          <t>Mo</t>
        </is>
      </c>
      <c r="B3" s="92" t="inlineStr">
        <is>
          <t>Date</t>
        </is>
      </c>
      <c r="C3" s="92" t="inlineStr">
        <is>
          <t>Target</t>
        </is>
      </c>
      <c r="D3" s="92" t="inlineStr">
        <is>
          <t>Unused extra</t>
        </is>
      </c>
      <c r="E3" s="92" t="inlineStr">
        <is>
          <t>Paid</t>
        </is>
      </c>
      <c r="F3" s="92" t="inlineStr">
        <is>
          <t>Interest</t>
        </is>
      </c>
      <c r="G3" s="92" t="inlineStr">
        <is>
          <t>Cum int</t>
        </is>
      </c>
      <c r="H3" s="92" t="inlineStr">
        <is>
          <t>Remaining</t>
        </is>
      </c>
      <c r="I3" s="92" t="inlineStr">
        <is>
          <t>Debts</t>
        </is>
      </c>
      <c r="J3" s="93" t="inlineStr">
        <is>
          <t>D1 start</t>
        </is>
      </c>
      <c r="K3" s="93" t="inlineStr">
        <is>
          <t>int</t>
        </is>
      </c>
      <c r="L3" s="93" t="inlineStr">
        <is>
          <t>pay</t>
        </is>
      </c>
      <c r="M3" s="93" t="inlineStr">
        <is>
          <t>end</t>
        </is>
      </c>
      <c r="N3" s="93" t="inlineStr">
        <is>
          <t>D2 start</t>
        </is>
      </c>
      <c r="O3" s="93" t="inlineStr">
        <is>
          <t>int</t>
        </is>
      </c>
      <c r="P3" s="93" t="inlineStr">
        <is>
          <t>pay</t>
        </is>
      </c>
      <c r="Q3" s="93" t="inlineStr">
        <is>
          <t>end</t>
        </is>
      </c>
      <c r="R3" s="93" t="inlineStr">
        <is>
          <t>D3 start</t>
        </is>
      </c>
      <c r="S3" s="93" t="inlineStr">
        <is>
          <t>int</t>
        </is>
      </c>
      <c r="T3" s="93" t="inlineStr">
        <is>
          <t>pay</t>
        </is>
      </c>
      <c r="U3" s="93" t="inlineStr">
        <is>
          <t>end</t>
        </is>
      </c>
      <c r="V3" s="93" t="inlineStr">
        <is>
          <t>D4 start</t>
        </is>
      </c>
      <c r="W3" s="93" t="inlineStr">
        <is>
          <t>int</t>
        </is>
      </c>
      <c r="X3" s="93" t="inlineStr">
        <is>
          <t>pay</t>
        </is>
      </c>
      <c r="Y3" s="93" t="inlineStr">
        <is>
          <t>end</t>
        </is>
      </c>
      <c r="Z3" s="93" t="inlineStr">
        <is>
          <t>D5 start</t>
        </is>
      </c>
      <c r="AA3" s="93" t="inlineStr">
        <is>
          <t>int</t>
        </is>
      </c>
      <c r="AB3" s="93" t="inlineStr">
        <is>
          <t>pay</t>
        </is>
      </c>
      <c r="AC3" s="93" t="inlineStr">
        <is>
          <t>end</t>
        </is>
      </c>
      <c r="AD3" s="93" t="inlineStr">
        <is>
          <t>D6 start</t>
        </is>
      </c>
      <c r="AE3" s="93" t="inlineStr">
        <is>
          <t>int</t>
        </is>
      </c>
      <c r="AF3" s="93" t="inlineStr">
        <is>
          <t>pay</t>
        </is>
      </c>
      <c r="AG3" s="93" t="inlineStr">
        <is>
          <t>end</t>
        </is>
      </c>
      <c r="AH3" s="93" t="inlineStr">
        <is>
          <t>D7 start</t>
        </is>
      </c>
      <c r="AI3" s="93" t="inlineStr">
        <is>
          <t>int</t>
        </is>
      </c>
      <c r="AJ3" s="93" t="inlineStr">
        <is>
          <t>pay</t>
        </is>
      </c>
      <c r="AK3" s="93" t="inlineStr">
        <is>
          <t>end</t>
        </is>
      </c>
      <c r="AL3" s="93" t="inlineStr">
        <is>
          <t>D8 start</t>
        </is>
      </c>
      <c r="AM3" s="93" t="inlineStr">
        <is>
          <t>int</t>
        </is>
      </c>
      <c r="AN3" s="93" t="inlineStr">
        <is>
          <t>pay</t>
        </is>
      </c>
      <c r="AO3" s="93" t="inlineStr">
        <is>
          <t>end</t>
        </is>
      </c>
      <c r="AP3" s="94" t="inlineStr">
        <is>
          <t>P1 idx</t>
        </is>
      </c>
      <c r="AQ3" s="94" t="inlineStr">
        <is>
          <t>need</t>
        </is>
      </c>
      <c r="AR3" s="94" t="inlineStr">
        <is>
          <t>ex</t>
        </is>
      </c>
      <c r="AS3" s="94" t="inlineStr">
        <is>
          <t>left</t>
        </is>
      </c>
      <c r="AT3" s="94" t="inlineStr">
        <is>
          <t>P2 idx</t>
        </is>
      </c>
      <c r="AU3" s="94" t="inlineStr">
        <is>
          <t>need</t>
        </is>
      </c>
      <c r="AV3" s="94" t="inlineStr">
        <is>
          <t>ex</t>
        </is>
      </c>
      <c r="AW3" s="94" t="inlineStr">
        <is>
          <t>left</t>
        </is>
      </c>
      <c r="AX3" s="94" t="inlineStr">
        <is>
          <t>P3 idx</t>
        </is>
      </c>
      <c r="AY3" s="94" t="inlineStr">
        <is>
          <t>need</t>
        </is>
      </c>
      <c r="AZ3" s="94" t="inlineStr">
        <is>
          <t>ex</t>
        </is>
      </c>
      <c r="BA3" s="94" t="inlineStr">
        <is>
          <t>left</t>
        </is>
      </c>
      <c r="BB3" s="94" t="inlineStr">
        <is>
          <t>P4 idx</t>
        </is>
      </c>
      <c r="BC3" s="94" t="inlineStr">
        <is>
          <t>need</t>
        </is>
      </c>
      <c r="BD3" s="94" t="inlineStr">
        <is>
          <t>ex</t>
        </is>
      </c>
      <c r="BE3" s="94" t="inlineStr">
        <is>
          <t>left</t>
        </is>
      </c>
      <c r="BF3" s="94" t="inlineStr">
        <is>
          <t>P5 idx</t>
        </is>
      </c>
      <c r="BG3" s="94" t="inlineStr">
        <is>
          <t>need</t>
        </is>
      </c>
      <c r="BH3" s="94" t="inlineStr">
        <is>
          <t>ex</t>
        </is>
      </c>
      <c r="BI3" s="94" t="inlineStr">
        <is>
          <t>left</t>
        </is>
      </c>
      <c r="BJ3" s="94" t="inlineStr">
        <is>
          <t>P6 idx</t>
        </is>
      </c>
      <c r="BK3" s="94" t="inlineStr">
        <is>
          <t>need</t>
        </is>
      </c>
      <c r="BL3" s="94" t="inlineStr">
        <is>
          <t>ex</t>
        </is>
      </c>
      <c r="BM3" s="94" t="inlineStr">
        <is>
          <t>left</t>
        </is>
      </c>
      <c r="BN3" s="94" t="inlineStr">
        <is>
          <t>P7 idx</t>
        </is>
      </c>
      <c r="BO3" s="94" t="inlineStr">
        <is>
          <t>need</t>
        </is>
      </c>
      <c r="BP3" s="94" t="inlineStr">
        <is>
          <t>ex</t>
        </is>
      </c>
      <c r="BQ3" s="94" t="inlineStr">
        <is>
          <t>left</t>
        </is>
      </c>
      <c r="BR3" s="94" t="inlineStr">
        <is>
          <t>P8 idx</t>
        </is>
      </c>
      <c r="BS3" s="94" t="inlineStr">
        <is>
          <t>need</t>
        </is>
      </c>
      <c r="BT3" s="94" t="inlineStr">
        <is>
          <t>ex</t>
        </is>
      </c>
      <c r="BU3" s="94" t="inlineStr">
        <is>
          <t>left</t>
        </is>
      </c>
      <c r="CC3" s="92" t="inlineStr">
        <is>
          <t>Mo</t>
        </is>
      </c>
      <c r="CD3" s="92" t="inlineStr">
        <is>
          <t>Date</t>
        </is>
      </c>
      <c r="CE3" s="92" t="inlineStr">
        <is>
          <t>Target</t>
        </is>
      </c>
      <c r="CF3" s="92" t="inlineStr">
        <is>
          <t>Unused extra</t>
        </is>
      </c>
      <c r="CG3" s="92" t="inlineStr">
        <is>
          <t>Paid</t>
        </is>
      </c>
      <c r="CH3" s="92" t="inlineStr">
        <is>
          <t>Interest</t>
        </is>
      </c>
      <c r="CI3" s="92" t="inlineStr">
        <is>
          <t>Cum int</t>
        </is>
      </c>
      <c r="CJ3" s="92" t="inlineStr">
        <is>
          <t>Remaining</t>
        </is>
      </c>
      <c r="CK3" s="92" t="inlineStr">
        <is>
          <t>Debts</t>
        </is>
      </c>
      <c r="CL3" s="93" t="inlineStr">
        <is>
          <t>D1 start</t>
        </is>
      </c>
      <c r="CM3" s="93" t="inlineStr">
        <is>
          <t>int</t>
        </is>
      </c>
      <c r="CN3" s="93" t="inlineStr">
        <is>
          <t>pay</t>
        </is>
      </c>
      <c r="CO3" s="93" t="inlineStr">
        <is>
          <t>end</t>
        </is>
      </c>
      <c r="CP3" s="93" t="inlineStr">
        <is>
          <t>D2 start</t>
        </is>
      </c>
      <c r="CQ3" s="93" t="inlineStr">
        <is>
          <t>int</t>
        </is>
      </c>
      <c r="CR3" s="93" t="inlineStr">
        <is>
          <t>pay</t>
        </is>
      </c>
      <c r="CS3" s="93" t="inlineStr">
        <is>
          <t>end</t>
        </is>
      </c>
      <c r="CT3" s="93" t="inlineStr">
        <is>
          <t>D3 start</t>
        </is>
      </c>
      <c r="CU3" s="93" t="inlineStr">
        <is>
          <t>int</t>
        </is>
      </c>
      <c r="CV3" s="93" t="inlineStr">
        <is>
          <t>pay</t>
        </is>
      </c>
      <c r="CW3" s="93" t="inlineStr">
        <is>
          <t>end</t>
        </is>
      </c>
      <c r="CX3" s="93" t="inlineStr">
        <is>
          <t>D4 start</t>
        </is>
      </c>
      <c r="CY3" s="93" t="inlineStr">
        <is>
          <t>int</t>
        </is>
      </c>
      <c r="CZ3" s="93" t="inlineStr">
        <is>
          <t>pay</t>
        </is>
      </c>
      <c r="DA3" s="93" t="inlineStr">
        <is>
          <t>end</t>
        </is>
      </c>
      <c r="DB3" s="93" t="inlineStr">
        <is>
          <t>D5 start</t>
        </is>
      </c>
      <c r="DC3" s="93" t="inlineStr">
        <is>
          <t>int</t>
        </is>
      </c>
      <c r="DD3" s="93" t="inlineStr">
        <is>
          <t>pay</t>
        </is>
      </c>
      <c r="DE3" s="93" t="inlineStr">
        <is>
          <t>end</t>
        </is>
      </c>
      <c r="DF3" s="93" t="inlineStr">
        <is>
          <t>D6 start</t>
        </is>
      </c>
      <c r="DG3" s="93" t="inlineStr">
        <is>
          <t>int</t>
        </is>
      </c>
      <c r="DH3" s="93" t="inlineStr">
        <is>
          <t>pay</t>
        </is>
      </c>
      <c r="DI3" s="93" t="inlineStr">
        <is>
          <t>end</t>
        </is>
      </c>
      <c r="DJ3" s="93" t="inlineStr">
        <is>
          <t>D7 start</t>
        </is>
      </c>
      <c r="DK3" s="93" t="inlineStr">
        <is>
          <t>int</t>
        </is>
      </c>
      <c r="DL3" s="93" t="inlineStr">
        <is>
          <t>pay</t>
        </is>
      </c>
      <c r="DM3" s="93" t="inlineStr">
        <is>
          <t>end</t>
        </is>
      </c>
      <c r="DN3" s="93" t="inlineStr">
        <is>
          <t>D8 start</t>
        </is>
      </c>
      <c r="DO3" s="93" t="inlineStr">
        <is>
          <t>int</t>
        </is>
      </c>
      <c r="DP3" s="93" t="inlineStr">
        <is>
          <t>pay</t>
        </is>
      </c>
      <c r="DQ3" s="93" t="inlineStr">
        <is>
          <t>end</t>
        </is>
      </c>
      <c r="DR3" s="94" t="inlineStr">
        <is>
          <t>P1 idx</t>
        </is>
      </c>
      <c r="DS3" s="94" t="inlineStr">
        <is>
          <t>need</t>
        </is>
      </c>
      <c r="DT3" s="94" t="inlineStr">
        <is>
          <t>ex</t>
        </is>
      </c>
      <c r="DU3" s="94" t="inlineStr">
        <is>
          <t>left</t>
        </is>
      </c>
      <c r="DV3" s="94" t="inlineStr">
        <is>
          <t>P2 idx</t>
        </is>
      </c>
      <c r="DW3" s="94" t="inlineStr">
        <is>
          <t>need</t>
        </is>
      </c>
      <c r="DX3" s="94" t="inlineStr">
        <is>
          <t>ex</t>
        </is>
      </c>
      <c r="DY3" s="94" t="inlineStr">
        <is>
          <t>left</t>
        </is>
      </c>
      <c r="DZ3" s="94" t="inlineStr">
        <is>
          <t>P3 idx</t>
        </is>
      </c>
      <c r="EA3" s="94" t="inlineStr">
        <is>
          <t>need</t>
        </is>
      </c>
      <c r="EB3" s="94" t="inlineStr">
        <is>
          <t>ex</t>
        </is>
      </c>
      <c r="EC3" s="94" t="inlineStr">
        <is>
          <t>left</t>
        </is>
      </c>
      <c r="ED3" s="94" t="inlineStr">
        <is>
          <t>P4 idx</t>
        </is>
      </c>
      <c r="EE3" s="94" t="inlineStr">
        <is>
          <t>need</t>
        </is>
      </c>
      <c r="EF3" s="94" t="inlineStr">
        <is>
          <t>ex</t>
        </is>
      </c>
      <c r="EG3" s="94" t="inlineStr">
        <is>
          <t>left</t>
        </is>
      </c>
      <c r="EH3" s="94" t="inlineStr">
        <is>
          <t>P5 idx</t>
        </is>
      </c>
      <c r="EI3" s="94" t="inlineStr">
        <is>
          <t>need</t>
        </is>
      </c>
      <c r="EJ3" s="94" t="inlineStr">
        <is>
          <t>ex</t>
        </is>
      </c>
      <c r="EK3" s="94" t="inlineStr">
        <is>
          <t>left</t>
        </is>
      </c>
      <c r="EL3" s="94" t="inlineStr">
        <is>
          <t>P6 idx</t>
        </is>
      </c>
      <c r="EM3" s="94" t="inlineStr">
        <is>
          <t>need</t>
        </is>
      </c>
      <c r="EN3" s="94" t="inlineStr">
        <is>
          <t>ex</t>
        </is>
      </c>
      <c r="EO3" s="94" t="inlineStr">
        <is>
          <t>left</t>
        </is>
      </c>
      <c r="EP3" s="94" t="inlineStr">
        <is>
          <t>P7 idx</t>
        </is>
      </c>
      <c r="EQ3" s="94" t="inlineStr">
        <is>
          <t>need</t>
        </is>
      </c>
      <c r="ER3" s="94" t="inlineStr">
        <is>
          <t>ex</t>
        </is>
      </c>
      <c r="ES3" s="94" t="inlineStr">
        <is>
          <t>left</t>
        </is>
      </c>
      <c r="ET3" s="94" t="inlineStr">
        <is>
          <t>P8 idx</t>
        </is>
      </c>
      <c r="EU3" s="94" t="inlineStr">
        <is>
          <t>need</t>
        </is>
      </c>
      <c r="EV3" s="94" t="inlineStr">
        <is>
          <t>ex</t>
        </is>
      </c>
      <c r="EW3" s="94" t="inlineStr">
        <is>
          <t>left</t>
        </is>
      </c>
      <c r="FE3" s="92" t="inlineStr">
        <is>
          <t>Mo</t>
        </is>
      </c>
      <c r="FF3" s="92" t="inlineStr">
        <is>
          <t>Date</t>
        </is>
      </c>
      <c r="FG3" s="92" t="inlineStr">
        <is>
          <t>Target</t>
        </is>
      </c>
      <c r="FH3" s="92" t="inlineStr">
        <is>
          <t>Unused extra</t>
        </is>
      </c>
      <c r="FI3" s="92" t="inlineStr">
        <is>
          <t>Paid</t>
        </is>
      </c>
      <c r="FJ3" s="92" t="inlineStr">
        <is>
          <t>Interest</t>
        </is>
      </c>
      <c r="FK3" s="92" t="inlineStr">
        <is>
          <t>Cum int</t>
        </is>
      </c>
      <c r="FL3" s="92" t="inlineStr">
        <is>
          <t>Remaining</t>
        </is>
      </c>
      <c r="FM3" s="92" t="inlineStr">
        <is>
          <t>Debts</t>
        </is>
      </c>
      <c r="FN3" s="93" t="inlineStr">
        <is>
          <t>D1 start</t>
        </is>
      </c>
      <c r="FO3" s="93" t="inlineStr">
        <is>
          <t>int</t>
        </is>
      </c>
      <c r="FP3" s="93" t="inlineStr">
        <is>
          <t>pay</t>
        </is>
      </c>
      <c r="FQ3" s="93" t="inlineStr">
        <is>
          <t>end</t>
        </is>
      </c>
      <c r="FR3" s="93" t="inlineStr">
        <is>
          <t>D2 start</t>
        </is>
      </c>
      <c r="FS3" s="93" t="inlineStr">
        <is>
          <t>int</t>
        </is>
      </c>
      <c r="FT3" s="93" t="inlineStr">
        <is>
          <t>pay</t>
        </is>
      </c>
      <c r="FU3" s="93" t="inlineStr">
        <is>
          <t>end</t>
        </is>
      </c>
      <c r="FV3" s="93" t="inlineStr">
        <is>
          <t>D3 start</t>
        </is>
      </c>
      <c r="FW3" s="93" t="inlineStr">
        <is>
          <t>int</t>
        </is>
      </c>
      <c r="FX3" s="93" t="inlineStr">
        <is>
          <t>pay</t>
        </is>
      </c>
      <c r="FY3" s="93" t="inlineStr">
        <is>
          <t>end</t>
        </is>
      </c>
      <c r="FZ3" s="93" t="inlineStr">
        <is>
          <t>D4 start</t>
        </is>
      </c>
      <c r="GA3" s="93" t="inlineStr">
        <is>
          <t>int</t>
        </is>
      </c>
      <c r="GB3" s="93" t="inlineStr">
        <is>
          <t>pay</t>
        </is>
      </c>
      <c r="GC3" s="93" t="inlineStr">
        <is>
          <t>end</t>
        </is>
      </c>
      <c r="GD3" s="93" t="inlineStr">
        <is>
          <t>D5 start</t>
        </is>
      </c>
      <c r="GE3" s="93" t="inlineStr">
        <is>
          <t>int</t>
        </is>
      </c>
      <c r="GF3" s="93" t="inlineStr">
        <is>
          <t>pay</t>
        </is>
      </c>
      <c r="GG3" s="93" t="inlineStr">
        <is>
          <t>end</t>
        </is>
      </c>
      <c r="GH3" s="93" t="inlineStr">
        <is>
          <t>D6 start</t>
        </is>
      </c>
      <c r="GI3" s="93" t="inlineStr">
        <is>
          <t>int</t>
        </is>
      </c>
      <c r="GJ3" s="93" t="inlineStr">
        <is>
          <t>pay</t>
        </is>
      </c>
      <c r="GK3" s="93" t="inlineStr">
        <is>
          <t>end</t>
        </is>
      </c>
      <c r="GL3" s="93" t="inlineStr">
        <is>
          <t>D7 start</t>
        </is>
      </c>
      <c r="GM3" s="93" t="inlineStr">
        <is>
          <t>int</t>
        </is>
      </c>
      <c r="GN3" s="93" t="inlineStr">
        <is>
          <t>pay</t>
        </is>
      </c>
      <c r="GO3" s="93" t="inlineStr">
        <is>
          <t>end</t>
        </is>
      </c>
      <c r="GP3" s="93" t="inlineStr">
        <is>
          <t>D8 start</t>
        </is>
      </c>
      <c r="GQ3" s="93" t="inlineStr">
        <is>
          <t>int</t>
        </is>
      </c>
      <c r="GR3" s="93" t="inlineStr">
        <is>
          <t>pay</t>
        </is>
      </c>
      <c r="GS3" s="93" t="inlineStr">
        <is>
          <t>end</t>
        </is>
      </c>
      <c r="GT3" s="94" t="inlineStr">
        <is>
          <t>P1 idx</t>
        </is>
      </c>
      <c r="GU3" s="94" t="inlineStr">
        <is>
          <t>need</t>
        </is>
      </c>
      <c r="GV3" s="94" t="inlineStr">
        <is>
          <t>ex</t>
        </is>
      </c>
      <c r="GW3" s="94" t="inlineStr">
        <is>
          <t>left</t>
        </is>
      </c>
      <c r="GX3" s="94" t="inlineStr">
        <is>
          <t>P2 idx</t>
        </is>
      </c>
      <c r="GY3" s="94" t="inlineStr">
        <is>
          <t>need</t>
        </is>
      </c>
      <c r="GZ3" s="94" t="inlineStr">
        <is>
          <t>ex</t>
        </is>
      </c>
      <c r="HA3" s="94" t="inlineStr">
        <is>
          <t>left</t>
        </is>
      </c>
      <c r="HB3" s="94" t="inlineStr">
        <is>
          <t>P3 idx</t>
        </is>
      </c>
      <c r="HC3" s="94" t="inlineStr">
        <is>
          <t>need</t>
        </is>
      </c>
      <c r="HD3" s="94" t="inlineStr">
        <is>
          <t>ex</t>
        </is>
      </c>
      <c r="HE3" s="94" t="inlineStr">
        <is>
          <t>left</t>
        </is>
      </c>
      <c r="HF3" s="94" t="inlineStr">
        <is>
          <t>P4 idx</t>
        </is>
      </c>
      <c r="HG3" s="94" t="inlineStr">
        <is>
          <t>need</t>
        </is>
      </c>
      <c r="HH3" s="94" t="inlineStr">
        <is>
          <t>ex</t>
        </is>
      </c>
      <c r="HI3" s="94" t="inlineStr">
        <is>
          <t>left</t>
        </is>
      </c>
      <c r="HJ3" s="94" t="inlineStr">
        <is>
          <t>P5 idx</t>
        </is>
      </c>
      <c r="HK3" s="94" t="inlineStr">
        <is>
          <t>need</t>
        </is>
      </c>
      <c r="HL3" s="94" t="inlineStr">
        <is>
          <t>ex</t>
        </is>
      </c>
      <c r="HM3" s="94" t="inlineStr">
        <is>
          <t>left</t>
        </is>
      </c>
      <c r="HN3" s="94" t="inlineStr">
        <is>
          <t>P6 idx</t>
        </is>
      </c>
      <c r="HO3" s="94" t="inlineStr">
        <is>
          <t>need</t>
        </is>
      </c>
      <c r="HP3" s="94" t="inlineStr">
        <is>
          <t>ex</t>
        </is>
      </c>
      <c r="HQ3" s="94" t="inlineStr">
        <is>
          <t>left</t>
        </is>
      </c>
      <c r="HR3" s="94" t="inlineStr">
        <is>
          <t>P7 idx</t>
        </is>
      </c>
      <c r="HS3" s="94" t="inlineStr">
        <is>
          <t>need</t>
        </is>
      </c>
      <c r="HT3" s="94" t="inlineStr">
        <is>
          <t>ex</t>
        </is>
      </c>
      <c r="HU3" s="94" t="inlineStr">
        <is>
          <t>left</t>
        </is>
      </c>
      <c r="HV3" s="94" t="inlineStr">
        <is>
          <t>P8 idx</t>
        </is>
      </c>
      <c r="HW3" s="94" t="inlineStr">
        <is>
          <t>need</t>
        </is>
      </c>
      <c r="HX3" s="94" t="inlineStr">
        <is>
          <t>ex</t>
        </is>
      </c>
      <c r="HY3" s="94" t="inlineStr">
        <is>
          <t>left</t>
        </is>
      </c>
    </row>
    <row r="5">
      <c r="A5" t="n">
        <v>1</v>
      </c>
      <c r="B5" s="115">
        <f>DATE(YEAR(PlanStart),MONTH(PlanStart)+A5-1,1)</f>
        <v/>
      </c>
      <c r="C5">
        <f>IF(AND(AP5&lt;&gt;"",N(CHOOSE(AP5,J5,N5,R5,V5,Z5,AD5,AH5,AL5))&gt;0.005),INDEX(DebtNames,AP5),IF(AND(AT5&lt;&gt;"",N(CHOOSE(AT5,J5,N5,R5,V5,Z5,AD5,AH5,AL5))&gt;0.005),INDEX(DebtNames,AT5),IF(AND(AX5&lt;&gt;"",N(CHOOSE(AX5,J5,N5,R5,V5,Z5,AD5,AH5,AL5))&gt;0.005),INDEX(DebtNames,AX5),IF(AND(BB5&lt;&gt;"",N(CHOOSE(BB5,J5,N5,R5,V5,Z5,AD5,AH5,AL5))&gt;0.005),INDEX(DebtNames,BB5),IF(AND(BF5&lt;&gt;"",N(CHOOSE(BF5,J5,N5,R5,V5,Z5,AD5,AH5,AL5))&gt;0.005),INDEX(DebtNames,BF5),IF(AND(BJ5&lt;&gt;"",N(CHOOSE(BJ5,J5,N5,R5,V5,Z5,AD5,AH5,AL5))&gt;0.005),INDEX(DebtNames,BJ5),IF(AND(BN5&lt;&gt;"",N(CHOOSE(BN5,J5,N5,R5,V5,Z5,AD5,AH5,AL5))&gt;0.005),INDEX(DebtNames,BN5),IF(AND(BR5&lt;&gt;"",N(CHOOSE(BR5,J5,N5,R5,V5,Z5,AD5,AH5,AL5))&gt;0.005),INDEX(DebtNames,BR5),""))))))))</f>
        <v/>
      </c>
      <c r="D5">
        <f>N(BU5)</f>
        <v/>
      </c>
      <c r="E5">
        <f>N(L5)+N(P5)+N(T5)+N(X5)+N(AB5)+N(AF5)+N(AJ5)+N(AN5)</f>
        <v/>
      </c>
      <c r="F5">
        <f>N(K5)+N(O5)+N(S5)+N(W5)+N(AA5)+N(AE5)+N(AI5)+N(AM5)</f>
        <v/>
      </c>
      <c r="G5">
        <f>N(F5)</f>
        <v/>
      </c>
      <c r="H5">
        <f>N(M5)+N(Q5)+N(U5)+N(Y5)+N(AC5)+N(AG5)+N(AK5)+N(AO5)</f>
        <v/>
      </c>
      <c r="I5">
        <f>(M5&gt;0.005)*1+(Q5&gt;0.005)*1+(U5&gt;0.005)*1+(Y5&gt;0.005)*1+(AC5&gt;0.005)*1+(AG5&gt;0.005)*1+(AK5&gt;0.005)*1+(AO5&gt;0.005)*1</f>
        <v/>
      </c>
      <c r="J5">
        <f>N('Debt List'!D5)</f>
        <v/>
      </c>
      <c r="K5">
        <f>IF(N(J5)&lt;=0.005,0,ROUND(N(J5)*N('Debt List'!E5)/12,2))</f>
        <v/>
      </c>
      <c r="L5">
        <f>IF(N(J5)&lt;=0.005,0,MIN(N('Debt List'!F5),N(J5)+N(K5)))+((AP5=1)*AR5+(AT5=1)*AV5+(AX5=1)*AZ5+(BB5=1)*BD5+(BF5=1)*BH5+(BJ5=1)*BL5+(BN5=1)*BP5+(BR5=1)*BT5)</f>
        <v/>
      </c>
      <c r="M5">
        <f>MAX(0,ROUND(N(J5)+N(K5)-N(L5),2))</f>
        <v/>
      </c>
      <c r="N5">
        <f>N('Debt List'!D6)</f>
        <v/>
      </c>
      <c r="O5">
        <f>IF(N(N5)&lt;=0.005,0,ROUND(N(N5)*N('Debt List'!E6)/12,2))</f>
        <v/>
      </c>
      <c r="P5">
        <f>IF(N(N5)&lt;=0.005,0,MIN(N('Debt List'!F6),N(N5)+N(O5)))+((AP5=2)*AR5+(AT5=2)*AV5+(AX5=2)*AZ5+(BB5=2)*BD5+(BF5=2)*BH5+(BJ5=2)*BL5+(BN5=2)*BP5+(BR5=2)*BT5)</f>
        <v/>
      </c>
      <c r="Q5">
        <f>MAX(0,ROUND(N(N5)+N(O5)-N(P5),2))</f>
        <v/>
      </c>
      <c r="R5">
        <f>N('Debt List'!D7)</f>
        <v/>
      </c>
      <c r="S5">
        <f>IF(N(R5)&lt;=0.005,0,ROUND(N(R5)*N('Debt List'!E7)/12,2))</f>
        <v/>
      </c>
      <c r="T5">
        <f>IF(N(R5)&lt;=0.005,0,MIN(N('Debt List'!F7),N(R5)+N(S5)))+((AP5=3)*AR5+(AT5=3)*AV5+(AX5=3)*AZ5+(BB5=3)*BD5+(BF5=3)*BH5+(BJ5=3)*BL5+(BN5=3)*BP5+(BR5=3)*BT5)</f>
        <v/>
      </c>
      <c r="U5">
        <f>MAX(0,ROUND(N(R5)+N(S5)-N(T5),2))</f>
        <v/>
      </c>
      <c r="V5">
        <f>N('Debt List'!D8)</f>
        <v/>
      </c>
      <c r="W5">
        <f>IF(N(V5)&lt;=0.005,0,ROUND(N(V5)*N('Debt List'!E8)/12,2))</f>
        <v/>
      </c>
      <c r="X5">
        <f>IF(N(V5)&lt;=0.005,0,MIN(N('Debt List'!F8),N(V5)+N(W5)))+((AP5=4)*AR5+(AT5=4)*AV5+(AX5=4)*AZ5+(BB5=4)*BD5+(BF5=4)*BH5+(BJ5=4)*BL5+(BN5=4)*BP5+(BR5=4)*BT5)</f>
        <v/>
      </c>
      <c r="Y5">
        <f>MAX(0,ROUND(N(V5)+N(W5)-N(X5),2))</f>
        <v/>
      </c>
      <c r="Z5">
        <f>N('Debt List'!D9)</f>
        <v/>
      </c>
      <c r="AA5">
        <f>IF(N(Z5)&lt;=0.005,0,ROUND(N(Z5)*N('Debt List'!E9)/12,2))</f>
        <v/>
      </c>
      <c r="AB5">
        <f>IF(N(Z5)&lt;=0.005,0,MIN(N('Debt List'!F9),N(Z5)+N(AA5)))+((AP5=5)*AR5+(AT5=5)*AV5+(AX5=5)*AZ5+(BB5=5)*BD5+(BF5=5)*BH5+(BJ5=5)*BL5+(BN5=5)*BP5+(BR5=5)*BT5)</f>
        <v/>
      </c>
      <c r="AC5">
        <f>MAX(0,ROUND(N(Z5)+N(AA5)-N(AB5),2))</f>
        <v/>
      </c>
      <c r="AD5">
        <f>N('Debt List'!D10)</f>
        <v/>
      </c>
      <c r="AE5">
        <f>IF(N(AD5)&lt;=0.005,0,ROUND(N(AD5)*N('Debt List'!E10)/12,2))</f>
        <v/>
      </c>
      <c r="AF5">
        <f>IF(N(AD5)&lt;=0.005,0,MIN(N('Debt List'!F10),N(AD5)+N(AE5)))+((AP5=6)*AR5+(AT5=6)*AV5+(AX5=6)*AZ5+(BB5=6)*BD5+(BF5=6)*BH5+(BJ5=6)*BL5+(BN5=6)*BP5+(BR5=6)*BT5)</f>
        <v/>
      </c>
      <c r="AG5">
        <f>MAX(0,ROUND(N(AD5)+N(AE5)-N(AF5),2))</f>
        <v/>
      </c>
      <c r="AH5">
        <f>N('Debt List'!D11)</f>
        <v/>
      </c>
      <c r="AI5">
        <f>IF(N(AH5)&lt;=0.005,0,ROUND(N(AH5)*N('Debt List'!E11)/12,2))</f>
        <v/>
      </c>
      <c r="AJ5">
        <f>IF(N(AH5)&lt;=0.005,0,MIN(N('Debt List'!F11),N(AH5)+N(AI5)))+((AP5=7)*AR5+(AT5=7)*AV5+(AX5=7)*AZ5+(BB5=7)*BD5+(BF5=7)*BH5+(BJ5=7)*BL5+(BN5=7)*BP5+(BR5=7)*BT5)</f>
        <v/>
      </c>
      <c r="AK5">
        <f>MAX(0,ROUND(N(AH5)+N(AI5)-N(AJ5),2))</f>
        <v/>
      </c>
      <c r="AL5">
        <f>N('Debt List'!D12)</f>
        <v/>
      </c>
      <c r="AM5">
        <f>IF(N(AL5)&lt;=0.005,0,ROUND(N(AL5)*N('Debt List'!E12)/12,2))</f>
        <v/>
      </c>
      <c r="AN5">
        <f>IF(N(AL5)&lt;=0.005,0,MIN(N('Debt List'!F12),N(AL5)+N(AM5)))+((AP5=8)*AR5+(AT5=8)*AV5+(AX5=8)*AZ5+(BB5=8)*BD5+(BF5=8)*BH5+(BJ5=8)*BL5+(BN5=8)*BP5+(BR5=8)*BT5)</f>
        <v/>
      </c>
      <c r="AO5">
        <f>MAX(0,ROUND(N(AL5)+N(AM5)-N(AN5),2))</f>
        <v/>
      </c>
      <c r="AP5">
        <f>IFERROR(MATCH(1,OrderPlan,0),"")</f>
        <v/>
      </c>
      <c r="AQ5">
        <f>IF(AP5="",0,IFERROR(IF(N(CHOOSE(AP5,J5,N5,R5,V5,Z5,AD5,AH5,AL5))&lt;=0.005,0,MAX(0,N(CHOOSE(AP5,J5,N5,R5,V5,Z5,AD5,AH5,AL5))+N(CHOOSE(AP5,K5,O5,S5,W5,AA5,AE5,AI5,AM5))-MIN(N(CHOOSE(AP5,'Debt List'!$F$5,'Debt List'!$F$6,'Debt List'!$F$7,'Debt List'!$F$8,'Debt List'!$F$9,'Debt List'!$F$10,'Debt List'!$F$11,'Debt List'!$F$12)),N(CHOOSE(AP5,J5,N5,R5,V5,Z5,AD5,AH5,AL5))+N(CHOOSE(AP5,K5,O5,S5,W5,AA5,AE5,AI5,AM5))))),0))</f>
        <v/>
      </c>
      <c r="AR5">
        <f>MIN(N(AQ5),MAX(0,N(ExtraPayment)))</f>
        <v/>
      </c>
      <c r="AS5">
        <f>MAX(0,N(ExtraPayment)-N(AR5))</f>
        <v/>
      </c>
      <c r="AT5">
        <f>IFERROR(MATCH(2,OrderPlan,0),"")</f>
        <v/>
      </c>
      <c r="AU5">
        <f>IF(AT5="",0,IFERROR(IF(N(CHOOSE(AT5,J5,N5,R5,V5,Z5,AD5,AH5,AL5))&lt;=0.005,0,MAX(0,N(CHOOSE(AT5,J5,N5,R5,V5,Z5,AD5,AH5,AL5))+N(CHOOSE(AT5,K5,O5,S5,W5,AA5,AE5,AI5,AM5))-MIN(N(CHOOSE(AT5,'Debt List'!$F$5,'Debt List'!$F$6,'Debt List'!$F$7,'Debt List'!$F$8,'Debt List'!$F$9,'Debt List'!$F$10,'Debt List'!$F$11,'Debt List'!$F$12)),N(CHOOSE(AT5,J5,N5,R5,V5,Z5,AD5,AH5,AL5))+N(CHOOSE(AT5,K5,O5,S5,W5,AA5,AE5,AI5,AM5))))),0))</f>
        <v/>
      </c>
      <c r="AV5">
        <f>MIN(N(AU5),MAX(0,N(AS5)))</f>
        <v/>
      </c>
      <c r="AW5">
        <f>MAX(0,N(AS5)-N(AV5))</f>
        <v/>
      </c>
      <c r="AX5">
        <f>IFERROR(MATCH(3,OrderPlan,0),"")</f>
        <v/>
      </c>
      <c r="AY5">
        <f>IF(AX5="",0,IFERROR(IF(N(CHOOSE(AX5,J5,N5,R5,V5,Z5,AD5,AH5,AL5))&lt;=0.005,0,MAX(0,N(CHOOSE(AX5,J5,N5,R5,V5,Z5,AD5,AH5,AL5))+N(CHOOSE(AX5,K5,O5,S5,W5,AA5,AE5,AI5,AM5))-MIN(N(CHOOSE(AX5,'Debt List'!$F$5,'Debt List'!$F$6,'Debt List'!$F$7,'Debt List'!$F$8,'Debt List'!$F$9,'Debt List'!$F$10,'Debt List'!$F$11,'Debt List'!$F$12)),N(CHOOSE(AX5,J5,N5,R5,V5,Z5,AD5,AH5,AL5))+N(CHOOSE(AX5,K5,O5,S5,W5,AA5,AE5,AI5,AM5))))),0))</f>
        <v/>
      </c>
      <c r="AZ5">
        <f>MIN(N(AY5),MAX(0,N(AW5)))</f>
        <v/>
      </c>
      <c r="BA5">
        <f>MAX(0,N(AW5)-N(AZ5))</f>
        <v/>
      </c>
      <c r="BB5">
        <f>IFERROR(MATCH(4,OrderPlan,0),"")</f>
        <v/>
      </c>
      <c r="BC5">
        <f>IF(BB5="",0,IFERROR(IF(N(CHOOSE(BB5,J5,N5,R5,V5,Z5,AD5,AH5,AL5))&lt;=0.005,0,MAX(0,N(CHOOSE(BB5,J5,N5,R5,V5,Z5,AD5,AH5,AL5))+N(CHOOSE(BB5,K5,O5,S5,W5,AA5,AE5,AI5,AM5))-MIN(N(CHOOSE(BB5,'Debt List'!$F$5,'Debt List'!$F$6,'Debt List'!$F$7,'Debt List'!$F$8,'Debt List'!$F$9,'Debt List'!$F$10,'Debt List'!$F$11,'Debt List'!$F$12)),N(CHOOSE(BB5,J5,N5,R5,V5,Z5,AD5,AH5,AL5))+N(CHOOSE(BB5,K5,O5,S5,W5,AA5,AE5,AI5,AM5))))),0))</f>
        <v/>
      </c>
      <c r="BD5">
        <f>MIN(N(BC5),MAX(0,N(BA5)))</f>
        <v/>
      </c>
      <c r="BE5">
        <f>MAX(0,N(BA5)-N(BD5))</f>
        <v/>
      </c>
      <c r="BF5">
        <f>IFERROR(MATCH(5,OrderPlan,0),"")</f>
        <v/>
      </c>
      <c r="BG5">
        <f>IF(BF5="",0,IFERROR(IF(N(CHOOSE(BF5,J5,N5,R5,V5,Z5,AD5,AH5,AL5))&lt;=0.005,0,MAX(0,N(CHOOSE(BF5,J5,N5,R5,V5,Z5,AD5,AH5,AL5))+N(CHOOSE(BF5,K5,O5,S5,W5,AA5,AE5,AI5,AM5))-MIN(N(CHOOSE(BF5,'Debt List'!$F$5,'Debt List'!$F$6,'Debt List'!$F$7,'Debt List'!$F$8,'Debt List'!$F$9,'Debt List'!$F$10,'Debt List'!$F$11,'Debt List'!$F$12)),N(CHOOSE(BF5,J5,N5,R5,V5,Z5,AD5,AH5,AL5))+N(CHOOSE(BF5,K5,O5,S5,W5,AA5,AE5,AI5,AM5))))),0))</f>
        <v/>
      </c>
      <c r="BH5">
        <f>MIN(N(BG5),MAX(0,N(BE5)))</f>
        <v/>
      </c>
      <c r="BI5">
        <f>MAX(0,N(BE5)-N(BH5))</f>
        <v/>
      </c>
      <c r="BJ5">
        <f>IFERROR(MATCH(6,OrderPlan,0),"")</f>
        <v/>
      </c>
      <c r="BK5">
        <f>IF(BJ5="",0,IFERROR(IF(N(CHOOSE(BJ5,J5,N5,R5,V5,Z5,AD5,AH5,AL5))&lt;=0.005,0,MAX(0,N(CHOOSE(BJ5,J5,N5,R5,V5,Z5,AD5,AH5,AL5))+N(CHOOSE(BJ5,K5,O5,S5,W5,AA5,AE5,AI5,AM5))-MIN(N(CHOOSE(BJ5,'Debt List'!$F$5,'Debt List'!$F$6,'Debt List'!$F$7,'Debt List'!$F$8,'Debt List'!$F$9,'Debt List'!$F$10,'Debt List'!$F$11,'Debt List'!$F$12)),N(CHOOSE(BJ5,J5,N5,R5,V5,Z5,AD5,AH5,AL5))+N(CHOOSE(BJ5,K5,O5,S5,W5,AA5,AE5,AI5,AM5))))),0))</f>
        <v/>
      </c>
      <c r="BL5">
        <f>MIN(N(BK5),MAX(0,N(BI5)))</f>
        <v/>
      </c>
      <c r="BM5">
        <f>MAX(0,N(BI5)-N(BL5))</f>
        <v/>
      </c>
      <c r="BN5">
        <f>IFERROR(MATCH(7,OrderPlan,0),"")</f>
        <v/>
      </c>
      <c r="BO5">
        <f>IF(BN5="",0,IFERROR(IF(N(CHOOSE(BN5,J5,N5,R5,V5,Z5,AD5,AH5,AL5))&lt;=0.005,0,MAX(0,N(CHOOSE(BN5,J5,N5,R5,V5,Z5,AD5,AH5,AL5))+N(CHOOSE(BN5,K5,O5,S5,W5,AA5,AE5,AI5,AM5))-MIN(N(CHOOSE(BN5,'Debt List'!$F$5,'Debt List'!$F$6,'Debt List'!$F$7,'Debt List'!$F$8,'Debt List'!$F$9,'Debt List'!$F$10,'Debt List'!$F$11,'Debt List'!$F$12)),N(CHOOSE(BN5,J5,N5,R5,V5,Z5,AD5,AH5,AL5))+N(CHOOSE(BN5,K5,O5,S5,W5,AA5,AE5,AI5,AM5))))),0))</f>
        <v/>
      </c>
      <c r="BP5">
        <f>MIN(N(BO5),MAX(0,N(BM5)))</f>
        <v/>
      </c>
      <c r="BQ5">
        <f>MAX(0,N(BM5)-N(BP5))</f>
        <v/>
      </c>
      <c r="BR5">
        <f>IFERROR(MATCH(8,OrderPlan,0),"")</f>
        <v/>
      </c>
      <c r="BS5">
        <f>IF(BR5="",0,IFERROR(IF(N(CHOOSE(BR5,J5,N5,R5,V5,Z5,AD5,AH5,AL5))&lt;=0.005,0,MAX(0,N(CHOOSE(BR5,J5,N5,R5,V5,Z5,AD5,AH5,AL5))+N(CHOOSE(BR5,K5,O5,S5,W5,AA5,AE5,AI5,AM5))-MIN(N(CHOOSE(BR5,'Debt List'!$F$5,'Debt List'!$F$6,'Debt List'!$F$7,'Debt List'!$F$8,'Debt List'!$F$9,'Debt List'!$F$10,'Debt List'!$F$11,'Debt List'!$F$12)),N(CHOOSE(BR5,J5,N5,R5,V5,Z5,AD5,AH5,AL5))+N(CHOOSE(BR5,K5,O5,S5,W5,AA5,AE5,AI5,AM5))))),0))</f>
        <v/>
      </c>
      <c r="BT5">
        <f>MIN(N(BS5),MAX(0,N(BQ5)))</f>
        <v/>
      </c>
      <c r="BU5">
        <f>MAX(0,N(BQ5)-N(BT5))</f>
        <v/>
      </c>
      <c r="CC5" t="n">
        <v>1</v>
      </c>
      <c r="CD5" s="115">
        <f>DATE(YEAR(PlanStart),MONTH(PlanStart)+CC5-1,1)</f>
        <v/>
      </c>
      <c r="CE5">
        <f>IF(AND(DR5&lt;&gt;"",N(CHOOSE(DR5,CL5,CP5,CT5,CX5,DB5,DF5,DJ5,DN5))&gt;0.005),INDEX(DebtNames,DR5),IF(AND(DV5&lt;&gt;"",N(CHOOSE(DV5,CL5,CP5,CT5,CX5,DB5,DF5,DJ5,DN5))&gt;0.005),INDEX(DebtNames,DV5),IF(AND(DZ5&lt;&gt;"",N(CHOOSE(DZ5,CL5,CP5,CT5,CX5,DB5,DF5,DJ5,DN5))&gt;0.005),INDEX(DebtNames,DZ5),IF(AND(ED5&lt;&gt;"",N(CHOOSE(ED5,CL5,CP5,CT5,CX5,DB5,DF5,DJ5,DN5))&gt;0.005),INDEX(DebtNames,ED5),IF(AND(EH5&lt;&gt;"",N(CHOOSE(EH5,CL5,CP5,CT5,CX5,DB5,DF5,DJ5,DN5))&gt;0.005),INDEX(DebtNames,EH5),IF(AND(EL5&lt;&gt;"",N(CHOOSE(EL5,CL5,CP5,CT5,CX5,DB5,DF5,DJ5,DN5))&gt;0.005),INDEX(DebtNames,EL5),IF(AND(EP5&lt;&gt;"",N(CHOOSE(EP5,CL5,CP5,CT5,CX5,DB5,DF5,DJ5,DN5))&gt;0.005),INDEX(DebtNames,EP5),IF(AND(ET5&lt;&gt;"",N(CHOOSE(ET5,CL5,CP5,CT5,CX5,DB5,DF5,DJ5,DN5))&gt;0.005),INDEX(DebtNames,ET5),""))))))))</f>
        <v/>
      </c>
      <c r="CF5">
        <f>N(EW5)</f>
        <v/>
      </c>
      <c r="CG5">
        <f>N(CN5)+N(CR5)+N(CV5)+N(CZ5)+N(DD5)+N(DH5)+N(DL5)+N(DP5)</f>
        <v/>
      </c>
      <c r="CH5">
        <f>N(CM5)+N(CQ5)+N(CU5)+N(CY5)+N(DC5)+N(DG5)+N(DK5)+N(DO5)</f>
        <v/>
      </c>
      <c r="CI5">
        <f>N(CH5)</f>
        <v/>
      </c>
      <c r="CJ5">
        <f>N(CO5)+N(CS5)+N(CW5)+N(DA5)+N(DE5)+N(DI5)+N(DM5)+N(DQ5)</f>
        <v/>
      </c>
      <c r="CK5">
        <f>(CO5&gt;0.005)*1+(CS5&gt;0.005)*1+(CW5&gt;0.005)*1+(DA5&gt;0.005)*1+(DE5&gt;0.005)*1+(DI5&gt;0.005)*1+(DM5&gt;0.005)*1+(DQ5&gt;0.005)*1</f>
        <v/>
      </c>
      <c r="CL5">
        <f>N('Debt List'!D5)</f>
        <v/>
      </c>
      <c r="CM5">
        <f>IF(N(CL5)&lt;=0.005,0,ROUND(N(CL5)*N('Debt List'!E5)/12,2))</f>
        <v/>
      </c>
      <c r="CN5">
        <f>IF(N(CL5)&lt;=0.005,0,MIN(N('Debt List'!F5),N(CL5)+N(CM5)))+((DR5=1)*DT5+(DV5=1)*DX5+(DZ5=1)*EB5+(ED5=1)*EF5+(EH5=1)*EJ5+(EL5=1)*EN5+(EP5=1)*ER5+(ET5=1)*EV5)</f>
        <v/>
      </c>
      <c r="CO5">
        <f>MAX(0,ROUND(N(CL5)+N(CM5)-N(CN5),2))</f>
        <v/>
      </c>
      <c r="CP5">
        <f>N('Debt List'!D6)</f>
        <v/>
      </c>
      <c r="CQ5">
        <f>IF(N(CP5)&lt;=0.005,0,ROUND(N(CP5)*N('Debt List'!E6)/12,2))</f>
        <v/>
      </c>
      <c r="CR5">
        <f>IF(N(CP5)&lt;=0.005,0,MIN(N('Debt List'!F6),N(CP5)+N(CQ5)))+((DR5=2)*DT5+(DV5=2)*DX5+(DZ5=2)*EB5+(ED5=2)*EF5+(EH5=2)*EJ5+(EL5=2)*EN5+(EP5=2)*ER5+(ET5=2)*EV5)</f>
        <v/>
      </c>
      <c r="CS5">
        <f>MAX(0,ROUND(N(CP5)+N(CQ5)-N(CR5),2))</f>
        <v/>
      </c>
      <c r="CT5">
        <f>N('Debt List'!D7)</f>
        <v/>
      </c>
      <c r="CU5">
        <f>IF(N(CT5)&lt;=0.005,0,ROUND(N(CT5)*N('Debt List'!E7)/12,2))</f>
        <v/>
      </c>
      <c r="CV5">
        <f>IF(N(CT5)&lt;=0.005,0,MIN(N('Debt List'!F7),N(CT5)+N(CU5)))+((DR5=3)*DT5+(DV5=3)*DX5+(DZ5=3)*EB5+(ED5=3)*EF5+(EH5=3)*EJ5+(EL5=3)*EN5+(EP5=3)*ER5+(ET5=3)*EV5)</f>
        <v/>
      </c>
      <c r="CW5">
        <f>MAX(0,ROUND(N(CT5)+N(CU5)-N(CV5),2))</f>
        <v/>
      </c>
      <c r="CX5">
        <f>N('Debt List'!D8)</f>
        <v/>
      </c>
      <c r="CY5">
        <f>IF(N(CX5)&lt;=0.005,0,ROUND(N(CX5)*N('Debt List'!E8)/12,2))</f>
        <v/>
      </c>
      <c r="CZ5">
        <f>IF(N(CX5)&lt;=0.005,0,MIN(N('Debt List'!F8),N(CX5)+N(CY5)))+((DR5=4)*DT5+(DV5=4)*DX5+(DZ5=4)*EB5+(ED5=4)*EF5+(EH5=4)*EJ5+(EL5=4)*EN5+(EP5=4)*ER5+(ET5=4)*EV5)</f>
        <v/>
      </c>
      <c r="DA5">
        <f>MAX(0,ROUND(N(CX5)+N(CY5)-N(CZ5),2))</f>
        <v/>
      </c>
      <c r="DB5">
        <f>N('Debt List'!D9)</f>
        <v/>
      </c>
      <c r="DC5">
        <f>IF(N(DB5)&lt;=0.005,0,ROUND(N(DB5)*N('Debt List'!E9)/12,2))</f>
        <v/>
      </c>
      <c r="DD5">
        <f>IF(N(DB5)&lt;=0.005,0,MIN(N('Debt List'!F9),N(DB5)+N(DC5)))+((DR5=5)*DT5+(DV5=5)*DX5+(DZ5=5)*EB5+(ED5=5)*EF5+(EH5=5)*EJ5+(EL5=5)*EN5+(EP5=5)*ER5+(ET5=5)*EV5)</f>
        <v/>
      </c>
      <c r="DE5">
        <f>MAX(0,ROUND(N(DB5)+N(DC5)-N(DD5),2))</f>
        <v/>
      </c>
      <c r="DF5">
        <f>N('Debt List'!D10)</f>
        <v/>
      </c>
      <c r="DG5">
        <f>IF(N(DF5)&lt;=0.005,0,ROUND(N(DF5)*N('Debt List'!E10)/12,2))</f>
        <v/>
      </c>
      <c r="DH5">
        <f>IF(N(DF5)&lt;=0.005,0,MIN(N('Debt List'!F10),N(DF5)+N(DG5)))+((DR5=6)*DT5+(DV5=6)*DX5+(DZ5=6)*EB5+(ED5=6)*EF5+(EH5=6)*EJ5+(EL5=6)*EN5+(EP5=6)*ER5+(ET5=6)*EV5)</f>
        <v/>
      </c>
      <c r="DI5">
        <f>MAX(0,ROUND(N(DF5)+N(DG5)-N(DH5),2))</f>
        <v/>
      </c>
      <c r="DJ5">
        <f>N('Debt List'!D11)</f>
        <v/>
      </c>
      <c r="DK5">
        <f>IF(N(DJ5)&lt;=0.005,0,ROUND(N(DJ5)*N('Debt List'!E11)/12,2))</f>
        <v/>
      </c>
      <c r="DL5">
        <f>IF(N(DJ5)&lt;=0.005,0,MIN(N('Debt List'!F11),N(DJ5)+N(DK5)))+((DR5=7)*DT5+(DV5=7)*DX5+(DZ5=7)*EB5+(ED5=7)*EF5+(EH5=7)*EJ5+(EL5=7)*EN5+(EP5=7)*ER5+(ET5=7)*EV5)</f>
        <v/>
      </c>
      <c r="DM5">
        <f>MAX(0,ROUND(N(DJ5)+N(DK5)-N(DL5),2))</f>
        <v/>
      </c>
      <c r="DN5">
        <f>N('Debt List'!D12)</f>
        <v/>
      </c>
      <c r="DO5">
        <f>IF(N(DN5)&lt;=0.005,0,ROUND(N(DN5)*N('Debt List'!E12)/12,2))</f>
        <v/>
      </c>
      <c r="DP5">
        <f>IF(N(DN5)&lt;=0.005,0,MIN(N('Debt List'!F12),N(DN5)+N(DO5)))+((DR5=8)*DT5+(DV5=8)*DX5+(DZ5=8)*EB5+(ED5=8)*EF5+(EH5=8)*EJ5+(EL5=8)*EN5+(EP5=8)*ER5+(ET5=8)*EV5)</f>
        <v/>
      </c>
      <c r="DQ5">
        <f>MAX(0,ROUND(N(DN5)+N(DO5)-N(DP5),2))</f>
        <v/>
      </c>
      <c r="DR5">
        <f>IFERROR(MATCH(1,OrderSnow,0),"")</f>
        <v/>
      </c>
      <c r="DS5">
        <f>IF(DR5="",0,IFERROR(IF(N(CHOOSE(DR5,CL5,CP5,CT5,CX5,DB5,DF5,DJ5,DN5))&lt;=0.005,0,MAX(0,N(CHOOSE(DR5,CL5,CP5,CT5,CX5,DB5,DF5,DJ5,DN5))+N(CHOOSE(DR5,CM5,CQ5,CU5,CY5,DC5,DG5,DK5,DO5))-MIN(N(CHOOSE(DR5,'Debt List'!$F$5,'Debt List'!$F$6,'Debt List'!$F$7,'Debt List'!$F$8,'Debt List'!$F$9,'Debt List'!$F$10,'Debt List'!$F$11,'Debt List'!$F$12)),N(CHOOSE(DR5,CL5,CP5,CT5,CX5,DB5,DF5,DJ5,DN5))+N(CHOOSE(DR5,CM5,CQ5,CU5,CY5,DC5,DG5,DK5,DO5))))),0))</f>
        <v/>
      </c>
      <c r="DT5">
        <f>MIN(N(DS5),MAX(0,N(ExtraPayment)))</f>
        <v/>
      </c>
      <c r="DU5">
        <f>MAX(0,N(ExtraPayment)-N(DT5))</f>
        <v/>
      </c>
      <c r="DV5">
        <f>IFERROR(MATCH(2,OrderSnow,0),"")</f>
        <v/>
      </c>
      <c r="DW5">
        <f>IF(DV5="",0,IFERROR(IF(N(CHOOSE(DV5,CL5,CP5,CT5,CX5,DB5,DF5,DJ5,DN5))&lt;=0.005,0,MAX(0,N(CHOOSE(DV5,CL5,CP5,CT5,CX5,DB5,DF5,DJ5,DN5))+N(CHOOSE(DV5,CM5,CQ5,CU5,CY5,DC5,DG5,DK5,DO5))-MIN(N(CHOOSE(DV5,'Debt List'!$F$5,'Debt List'!$F$6,'Debt List'!$F$7,'Debt List'!$F$8,'Debt List'!$F$9,'Debt List'!$F$10,'Debt List'!$F$11,'Debt List'!$F$12)),N(CHOOSE(DV5,CL5,CP5,CT5,CX5,DB5,DF5,DJ5,DN5))+N(CHOOSE(DV5,CM5,CQ5,CU5,CY5,DC5,DG5,DK5,DO5))))),0))</f>
        <v/>
      </c>
      <c r="DX5">
        <f>MIN(N(DW5),MAX(0,N(DU5)))</f>
        <v/>
      </c>
      <c r="DY5">
        <f>MAX(0,N(DU5)-N(DX5))</f>
        <v/>
      </c>
      <c r="DZ5">
        <f>IFERROR(MATCH(3,OrderSnow,0),"")</f>
        <v/>
      </c>
      <c r="EA5">
        <f>IF(DZ5="",0,IFERROR(IF(N(CHOOSE(DZ5,CL5,CP5,CT5,CX5,DB5,DF5,DJ5,DN5))&lt;=0.005,0,MAX(0,N(CHOOSE(DZ5,CL5,CP5,CT5,CX5,DB5,DF5,DJ5,DN5))+N(CHOOSE(DZ5,CM5,CQ5,CU5,CY5,DC5,DG5,DK5,DO5))-MIN(N(CHOOSE(DZ5,'Debt List'!$F$5,'Debt List'!$F$6,'Debt List'!$F$7,'Debt List'!$F$8,'Debt List'!$F$9,'Debt List'!$F$10,'Debt List'!$F$11,'Debt List'!$F$12)),N(CHOOSE(DZ5,CL5,CP5,CT5,CX5,DB5,DF5,DJ5,DN5))+N(CHOOSE(DZ5,CM5,CQ5,CU5,CY5,DC5,DG5,DK5,DO5))))),0))</f>
        <v/>
      </c>
      <c r="EB5">
        <f>MIN(N(EA5),MAX(0,N(DY5)))</f>
        <v/>
      </c>
      <c r="EC5">
        <f>MAX(0,N(DY5)-N(EB5))</f>
        <v/>
      </c>
      <c r="ED5">
        <f>IFERROR(MATCH(4,OrderSnow,0),"")</f>
        <v/>
      </c>
      <c r="EE5">
        <f>IF(ED5="",0,IFERROR(IF(N(CHOOSE(ED5,CL5,CP5,CT5,CX5,DB5,DF5,DJ5,DN5))&lt;=0.005,0,MAX(0,N(CHOOSE(ED5,CL5,CP5,CT5,CX5,DB5,DF5,DJ5,DN5))+N(CHOOSE(ED5,CM5,CQ5,CU5,CY5,DC5,DG5,DK5,DO5))-MIN(N(CHOOSE(ED5,'Debt List'!$F$5,'Debt List'!$F$6,'Debt List'!$F$7,'Debt List'!$F$8,'Debt List'!$F$9,'Debt List'!$F$10,'Debt List'!$F$11,'Debt List'!$F$12)),N(CHOOSE(ED5,CL5,CP5,CT5,CX5,DB5,DF5,DJ5,DN5))+N(CHOOSE(ED5,CM5,CQ5,CU5,CY5,DC5,DG5,DK5,DO5))))),0))</f>
        <v/>
      </c>
      <c r="EF5">
        <f>MIN(N(EE5),MAX(0,N(EC5)))</f>
        <v/>
      </c>
      <c r="EG5">
        <f>MAX(0,N(EC5)-N(EF5))</f>
        <v/>
      </c>
      <c r="EH5">
        <f>IFERROR(MATCH(5,OrderSnow,0),"")</f>
        <v/>
      </c>
      <c r="EI5">
        <f>IF(EH5="",0,IFERROR(IF(N(CHOOSE(EH5,CL5,CP5,CT5,CX5,DB5,DF5,DJ5,DN5))&lt;=0.005,0,MAX(0,N(CHOOSE(EH5,CL5,CP5,CT5,CX5,DB5,DF5,DJ5,DN5))+N(CHOOSE(EH5,CM5,CQ5,CU5,CY5,DC5,DG5,DK5,DO5))-MIN(N(CHOOSE(EH5,'Debt List'!$F$5,'Debt List'!$F$6,'Debt List'!$F$7,'Debt List'!$F$8,'Debt List'!$F$9,'Debt List'!$F$10,'Debt List'!$F$11,'Debt List'!$F$12)),N(CHOOSE(EH5,CL5,CP5,CT5,CX5,DB5,DF5,DJ5,DN5))+N(CHOOSE(EH5,CM5,CQ5,CU5,CY5,DC5,DG5,DK5,DO5))))),0))</f>
        <v/>
      </c>
      <c r="EJ5">
        <f>MIN(N(EI5),MAX(0,N(EG5)))</f>
        <v/>
      </c>
      <c r="EK5">
        <f>MAX(0,N(EG5)-N(EJ5))</f>
        <v/>
      </c>
      <c r="EL5">
        <f>IFERROR(MATCH(6,OrderSnow,0),"")</f>
        <v/>
      </c>
      <c r="EM5">
        <f>IF(EL5="",0,IFERROR(IF(N(CHOOSE(EL5,CL5,CP5,CT5,CX5,DB5,DF5,DJ5,DN5))&lt;=0.005,0,MAX(0,N(CHOOSE(EL5,CL5,CP5,CT5,CX5,DB5,DF5,DJ5,DN5))+N(CHOOSE(EL5,CM5,CQ5,CU5,CY5,DC5,DG5,DK5,DO5))-MIN(N(CHOOSE(EL5,'Debt List'!$F$5,'Debt List'!$F$6,'Debt List'!$F$7,'Debt List'!$F$8,'Debt List'!$F$9,'Debt List'!$F$10,'Debt List'!$F$11,'Debt List'!$F$12)),N(CHOOSE(EL5,CL5,CP5,CT5,CX5,DB5,DF5,DJ5,DN5))+N(CHOOSE(EL5,CM5,CQ5,CU5,CY5,DC5,DG5,DK5,DO5))))),0))</f>
        <v/>
      </c>
      <c r="EN5">
        <f>MIN(N(EM5),MAX(0,N(EK5)))</f>
        <v/>
      </c>
      <c r="EO5">
        <f>MAX(0,N(EK5)-N(EN5))</f>
        <v/>
      </c>
      <c r="EP5">
        <f>IFERROR(MATCH(7,OrderSnow,0),"")</f>
        <v/>
      </c>
      <c r="EQ5">
        <f>IF(EP5="",0,IFERROR(IF(N(CHOOSE(EP5,CL5,CP5,CT5,CX5,DB5,DF5,DJ5,DN5))&lt;=0.005,0,MAX(0,N(CHOOSE(EP5,CL5,CP5,CT5,CX5,DB5,DF5,DJ5,DN5))+N(CHOOSE(EP5,CM5,CQ5,CU5,CY5,DC5,DG5,DK5,DO5))-MIN(N(CHOOSE(EP5,'Debt List'!$F$5,'Debt List'!$F$6,'Debt List'!$F$7,'Debt List'!$F$8,'Debt List'!$F$9,'Debt List'!$F$10,'Debt List'!$F$11,'Debt List'!$F$12)),N(CHOOSE(EP5,CL5,CP5,CT5,CX5,DB5,DF5,DJ5,DN5))+N(CHOOSE(EP5,CM5,CQ5,CU5,CY5,DC5,DG5,DK5,DO5))))),0))</f>
        <v/>
      </c>
      <c r="ER5">
        <f>MIN(N(EQ5),MAX(0,N(EO5)))</f>
        <v/>
      </c>
      <c r="ES5">
        <f>MAX(0,N(EO5)-N(ER5))</f>
        <v/>
      </c>
      <c r="ET5">
        <f>IFERROR(MATCH(8,OrderSnow,0),"")</f>
        <v/>
      </c>
      <c r="EU5">
        <f>IF(ET5="",0,IFERROR(IF(N(CHOOSE(ET5,CL5,CP5,CT5,CX5,DB5,DF5,DJ5,DN5))&lt;=0.005,0,MAX(0,N(CHOOSE(ET5,CL5,CP5,CT5,CX5,DB5,DF5,DJ5,DN5))+N(CHOOSE(ET5,CM5,CQ5,CU5,CY5,DC5,DG5,DK5,DO5))-MIN(N(CHOOSE(ET5,'Debt List'!$F$5,'Debt List'!$F$6,'Debt List'!$F$7,'Debt List'!$F$8,'Debt List'!$F$9,'Debt List'!$F$10,'Debt List'!$F$11,'Debt List'!$F$12)),N(CHOOSE(ET5,CL5,CP5,CT5,CX5,DB5,DF5,DJ5,DN5))+N(CHOOSE(ET5,CM5,CQ5,CU5,CY5,DC5,DG5,DK5,DO5))))),0))</f>
        <v/>
      </c>
      <c r="EV5">
        <f>MIN(N(EU5),MAX(0,N(ES5)))</f>
        <v/>
      </c>
      <c r="EW5">
        <f>MAX(0,N(ES5)-N(EV5))</f>
        <v/>
      </c>
      <c r="FE5" t="n">
        <v>1</v>
      </c>
      <c r="FF5" s="115">
        <f>DATE(YEAR(PlanStart),MONTH(PlanStart)+FE5-1,1)</f>
        <v/>
      </c>
      <c r="FG5">
        <f>IF(AND(GT5&lt;&gt;"",N(CHOOSE(GT5,FN5,FR5,FV5,FZ5,GD5,GH5,GL5,GP5))&gt;0.005),INDEX(DebtNames,GT5),IF(AND(GX5&lt;&gt;"",N(CHOOSE(GX5,FN5,FR5,FV5,FZ5,GD5,GH5,GL5,GP5))&gt;0.005),INDEX(DebtNames,GX5),IF(AND(HB5&lt;&gt;"",N(CHOOSE(HB5,FN5,FR5,FV5,FZ5,GD5,GH5,GL5,GP5))&gt;0.005),INDEX(DebtNames,HB5),IF(AND(HF5&lt;&gt;"",N(CHOOSE(HF5,FN5,FR5,FV5,FZ5,GD5,GH5,GL5,GP5))&gt;0.005),INDEX(DebtNames,HF5),IF(AND(HJ5&lt;&gt;"",N(CHOOSE(HJ5,FN5,FR5,FV5,FZ5,GD5,GH5,GL5,GP5))&gt;0.005),INDEX(DebtNames,HJ5),IF(AND(HN5&lt;&gt;"",N(CHOOSE(HN5,FN5,FR5,FV5,FZ5,GD5,GH5,GL5,GP5))&gt;0.005),INDEX(DebtNames,HN5),IF(AND(HR5&lt;&gt;"",N(CHOOSE(HR5,FN5,FR5,FV5,FZ5,GD5,GH5,GL5,GP5))&gt;0.005),INDEX(DebtNames,HR5),IF(AND(HV5&lt;&gt;"",N(CHOOSE(HV5,FN5,FR5,FV5,FZ5,GD5,GH5,GL5,GP5))&gt;0.005),INDEX(DebtNames,HV5),""))))))))</f>
        <v/>
      </c>
      <c r="FH5">
        <f>N(HY5)</f>
        <v/>
      </c>
      <c r="FI5">
        <f>N(FP5)+N(FT5)+N(FX5)+N(GB5)+N(GF5)+N(GJ5)+N(GN5)+N(GR5)</f>
        <v/>
      </c>
      <c r="FJ5">
        <f>N(FO5)+N(FS5)+N(FW5)+N(GA5)+N(GE5)+N(GI5)+N(GM5)+N(GQ5)</f>
        <v/>
      </c>
      <c r="FK5">
        <f>N(FJ5)</f>
        <v/>
      </c>
      <c r="FL5">
        <f>N(FQ5)+N(FU5)+N(FY5)+N(GC5)+N(GG5)+N(GK5)+N(GO5)+N(GS5)</f>
        <v/>
      </c>
      <c r="FM5">
        <f>(FQ5&gt;0.005)*1+(FU5&gt;0.005)*1+(FY5&gt;0.005)*1+(GC5&gt;0.005)*1+(GG5&gt;0.005)*1+(GK5&gt;0.005)*1+(GO5&gt;0.005)*1+(GS5&gt;0.005)*1</f>
        <v/>
      </c>
      <c r="FN5">
        <f>N('Debt List'!D5)</f>
        <v/>
      </c>
      <c r="FO5">
        <f>IF(N(FN5)&lt;=0.005,0,ROUND(N(FN5)*N('Debt List'!E5)/12,2))</f>
        <v/>
      </c>
      <c r="FP5">
        <f>IF(N(FN5)&lt;=0.005,0,MIN(N('Debt List'!F5),N(FN5)+N(FO5)))+((GT5=1)*GV5+(GX5=1)*GZ5+(HB5=1)*HD5+(HF5=1)*HH5+(HJ5=1)*HL5+(HN5=1)*HP5+(HR5=1)*HT5+(HV5=1)*HX5)</f>
        <v/>
      </c>
      <c r="FQ5">
        <f>MAX(0,ROUND(N(FN5)+N(FO5)-N(FP5),2))</f>
        <v/>
      </c>
      <c r="FR5">
        <f>N('Debt List'!D6)</f>
        <v/>
      </c>
      <c r="FS5">
        <f>IF(N(FR5)&lt;=0.005,0,ROUND(N(FR5)*N('Debt List'!E6)/12,2))</f>
        <v/>
      </c>
      <c r="FT5">
        <f>IF(N(FR5)&lt;=0.005,0,MIN(N('Debt List'!F6),N(FR5)+N(FS5)))+((GT5=2)*GV5+(GX5=2)*GZ5+(HB5=2)*HD5+(HF5=2)*HH5+(HJ5=2)*HL5+(HN5=2)*HP5+(HR5=2)*HT5+(HV5=2)*HX5)</f>
        <v/>
      </c>
      <c r="FU5">
        <f>MAX(0,ROUND(N(FR5)+N(FS5)-N(FT5),2))</f>
        <v/>
      </c>
      <c r="FV5">
        <f>N('Debt List'!D7)</f>
        <v/>
      </c>
      <c r="FW5">
        <f>IF(N(FV5)&lt;=0.005,0,ROUND(N(FV5)*N('Debt List'!E7)/12,2))</f>
        <v/>
      </c>
      <c r="FX5">
        <f>IF(N(FV5)&lt;=0.005,0,MIN(N('Debt List'!F7),N(FV5)+N(FW5)))+((GT5=3)*GV5+(GX5=3)*GZ5+(HB5=3)*HD5+(HF5=3)*HH5+(HJ5=3)*HL5+(HN5=3)*HP5+(HR5=3)*HT5+(HV5=3)*HX5)</f>
        <v/>
      </c>
      <c r="FY5">
        <f>MAX(0,ROUND(N(FV5)+N(FW5)-N(FX5),2))</f>
        <v/>
      </c>
      <c r="FZ5">
        <f>N('Debt List'!D8)</f>
        <v/>
      </c>
      <c r="GA5">
        <f>IF(N(FZ5)&lt;=0.005,0,ROUND(N(FZ5)*N('Debt List'!E8)/12,2))</f>
        <v/>
      </c>
      <c r="GB5">
        <f>IF(N(FZ5)&lt;=0.005,0,MIN(N('Debt List'!F8),N(FZ5)+N(GA5)))+((GT5=4)*GV5+(GX5=4)*GZ5+(HB5=4)*HD5+(HF5=4)*HH5+(HJ5=4)*HL5+(HN5=4)*HP5+(HR5=4)*HT5+(HV5=4)*HX5)</f>
        <v/>
      </c>
      <c r="GC5">
        <f>MAX(0,ROUND(N(FZ5)+N(GA5)-N(GB5),2))</f>
        <v/>
      </c>
      <c r="GD5">
        <f>N('Debt List'!D9)</f>
        <v/>
      </c>
      <c r="GE5">
        <f>IF(N(GD5)&lt;=0.005,0,ROUND(N(GD5)*N('Debt List'!E9)/12,2))</f>
        <v/>
      </c>
      <c r="GF5">
        <f>IF(N(GD5)&lt;=0.005,0,MIN(N('Debt List'!F9),N(GD5)+N(GE5)))+((GT5=5)*GV5+(GX5=5)*GZ5+(HB5=5)*HD5+(HF5=5)*HH5+(HJ5=5)*HL5+(HN5=5)*HP5+(HR5=5)*HT5+(HV5=5)*HX5)</f>
        <v/>
      </c>
      <c r="GG5">
        <f>MAX(0,ROUND(N(GD5)+N(GE5)-N(GF5),2))</f>
        <v/>
      </c>
      <c r="GH5">
        <f>N('Debt List'!D10)</f>
        <v/>
      </c>
      <c r="GI5">
        <f>IF(N(GH5)&lt;=0.005,0,ROUND(N(GH5)*N('Debt List'!E10)/12,2))</f>
        <v/>
      </c>
      <c r="GJ5">
        <f>IF(N(GH5)&lt;=0.005,0,MIN(N('Debt List'!F10),N(GH5)+N(GI5)))+((GT5=6)*GV5+(GX5=6)*GZ5+(HB5=6)*HD5+(HF5=6)*HH5+(HJ5=6)*HL5+(HN5=6)*HP5+(HR5=6)*HT5+(HV5=6)*HX5)</f>
        <v/>
      </c>
      <c r="GK5">
        <f>MAX(0,ROUND(N(GH5)+N(GI5)-N(GJ5),2))</f>
        <v/>
      </c>
      <c r="GL5">
        <f>N('Debt List'!D11)</f>
        <v/>
      </c>
      <c r="GM5">
        <f>IF(N(GL5)&lt;=0.005,0,ROUND(N(GL5)*N('Debt List'!E11)/12,2))</f>
        <v/>
      </c>
      <c r="GN5">
        <f>IF(N(GL5)&lt;=0.005,0,MIN(N('Debt List'!F11),N(GL5)+N(GM5)))+((GT5=7)*GV5+(GX5=7)*GZ5+(HB5=7)*HD5+(HF5=7)*HH5+(HJ5=7)*HL5+(HN5=7)*HP5+(HR5=7)*HT5+(HV5=7)*HX5)</f>
        <v/>
      </c>
      <c r="GO5">
        <f>MAX(0,ROUND(N(GL5)+N(GM5)-N(GN5),2))</f>
        <v/>
      </c>
      <c r="GP5">
        <f>N('Debt List'!D12)</f>
        <v/>
      </c>
      <c r="GQ5">
        <f>IF(N(GP5)&lt;=0.005,0,ROUND(N(GP5)*N('Debt List'!E12)/12,2))</f>
        <v/>
      </c>
      <c r="GR5">
        <f>IF(N(GP5)&lt;=0.005,0,MIN(N('Debt List'!F12),N(GP5)+N(GQ5)))+((GT5=8)*GV5+(GX5=8)*GZ5+(HB5=8)*HD5+(HF5=8)*HH5+(HJ5=8)*HL5+(HN5=8)*HP5+(HR5=8)*HT5+(HV5=8)*HX5)</f>
        <v/>
      </c>
      <c r="GS5">
        <f>MAX(0,ROUND(N(GP5)+N(GQ5)-N(GR5),2))</f>
        <v/>
      </c>
      <c r="GT5">
        <f>IFERROR(MATCH(1,OrderAval,0),"")</f>
        <v/>
      </c>
      <c r="GU5">
        <f>IF(GT5="",0,IFERROR(IF(N(CHOOSE(GT5,FN5,FR5,FV5,FZ5,GD5,GH5,GL5,GP5))&lt;=0.005,0,MAX(0,N(CHOOSE(GT5,FN5,FR5,FV5,FZ5,GD5,GH5,GL5,GP5))+N(CHOOSE(GT5,FO5,FS5,FW5,GA5,GE5,GI5,GM5,GQ5))-MIN(N(CHOOSE(GT5,'Debt List'!$F$5,'Debt List'!$F$6,'Debt List'!$F$7,'Debt List'!$F$8,'Debt List'!$F$9,'Debt List'!$F$10,'Debt List'!$F$11,'Debt List'!$F$12)),N(CHOOSE(GT5,FN5,FR5,FV5,FZ5,GD5,GH5,GL5,GP5))+N(CHOOSE(GT5,FO5,FS5,FW5,GA5,GE5,GI5,GM5,GQ5))))),0))</f>
        <v/>
      </c>
      <c r="GV5">
        <f>MIN(N(GU5),MAX(0,N(ExtraPayment)))</f>
        <v/>
      </c>
      <c r="GW5">
        <f>MAX(0,N(ExtraPayment)-N(GV5))</f>
        <v/>
      </c>
      <c r="GX5">
        <f>IFERROR(MATCH(2,OrderAval,0),"")</f>
        <v/>
      </c>
      <c r="GY5">
        <f>IF(GX5="",0,IFERROR(IF(N(CHOOSE(GX5,FN5,FR5,FV5,FZ5,GD5,GH5,GL5,GP5))&lt;=0.005,0,MAX(0,N(CHOOSE(GX5,FN5,FR5,FV5,FZ5,GD5,GH5,GL5,GP5))+N(CHOOSE(GX5,FO5,FS5,FW5,GA5,GE5,GI5,GM5,GQ5))-MIN(N(CHOOSE(GX5,'Debt List'!$F$5,'Debt List'!$F$6,'Debt List'!$F$7,'Debt List'!$F$8,'Debt List'!$F$9,'Debt List'!$F$10,'Debt List'!$F$11,'Debt List'!$F$12)),N(CHOOSE(GX5,FN5,FR5,FV5,FZ5,GD5,GH5,GL5,GP5))+N(CHOOSE(GX5,FO5,FS5,FW5,GA5,GE5,GI5,GM5,GQ5))))),0))</f>
        <v/>
      </c>
      <c r="GZ5">
        <f>MIN(N(GY5),MAX(0,N(GW5)))</f>
        <v/>
      </c>
      <c r="HA5">
        <f>MAX(0,N(GW5)-N(GZ5))</f>
        <v/>
      </c>
      <c r="HB5">
        <f>IFERROR(MATCH(3,OrderAval,0),"")</f>
        <v/>
      </c>
      <c r="HC5">
        <f>IF(HB5="",0,IFERROR(IF(N(CHOOSE(HB5,FN5,FR5,FV5,FZ5,GD5,GH5,GL5,GP5))&lt;=0.005,0,MAX(0,N(CHOOSE(HB5,FN5,FR5,FV5,FZ5,GD5,GH5,GL5,GP5))+N(CHOOSE(HB5,FO5,FS5,FW5,GA5,GE5,GI5,GM5,GQ5))-MIN(N(CHOOSE(HB5,'Debt List'!$F$5,'Debt List'!$F$6,'Debt List'!$F$7,'Debt List'!$F$8,'Debt List'!$F$9,'Debt List'!$F$10,'Debt List'!$F$11,'Debt List'!$F$12)),N(CHOOSE(HB5,FN5,FR5,FV5,FZ5,GD5,GH5,GL5,GP5))+N(CHOOSE(HB5,FO5,FS5,FW5,GA5,GE5,GI5,GM5,GQ5))))),0))</f>
        <v/>
      </c>
      <c r="HD5">
        <f>MIN(N(HC5),MAX(0,N(HA5)))</f>
        <v/>
      </c>
      <c r="HE5">
        <f>MAX(0,N(HA5)-N(HD5))</f>
        <v/>
      </c>
      <c r="HF5">
        <f>IFERROR(MATCH(4,OrderAval,0),"")</f>
        <v/>
      </c>
      <c r="HG5">
        <f>IF(HF5="",0,IFERROR(IF(N(CHOOSE(HF5,FN5,FR5,FV5,FZ5,GD5,GH5,GL5,GP5))&lt;=0.005,0,MAX(0,N(CHOOSE(HF5,FN5,FR5,FV5,FZ5,GD5,GH5,GL5,GP5))+N(CHOOSE(HF5,FO5,FS5,FW5,GA5,GE5,GI5,GM5,GQ5))-MIN(N(CHOOSE(HF5,'Debt List'!$F$5,'Debt List'!$F$6,'Debt List'!$F$7,'Debt List'!$F$8,'Debt List'!$F$9,'Debt List'!$F$10,'Debt List'!$F$11,'Debt List'!$F$12)),N(CHOOSE(HF5,FN5,FR5,FV5,FZ5,GD5,GH5,GL5,GP5))+N(CHOOSE(HF5,FO5,FS5,FW5,GA5,GE5,GI5,GM5,GQ5))))),0))</f>
        <v/>
      </c>
      <c r="HH5">
        <f>MIN(N(HG5),MAX(0,N(HE5)))</f>
        <v/>
      </c>
      <c r="HI5">
        <f>MAX(0,N(HE5)-N(HH5))</f>
        <v/>
      </c>
      <c r="HJ5">
        <f>IFERROR(MATCH(5,OrderAval,0),"")</f>
        <v/>
      </c>
      <c r="HK5">
        <f>IF(HJ5="",0,IFERROR(IF(N(CHOOSE(HJ5,FN5,FR5,FV5,FZ5,GD5,GH5,GL5,GP5))&lt;=0.005,0,MAX(0,N(CHOOSE(HJ5,FN5,FR5,FV5,FZ5,GD5,GH5,GL5,GP5))+N(CHOOSE(HJ5,FO5,FS5,FW5,GA5,GE5,GI5,GM5,GQ5))-MIN(N(CHOOSE(HJ5,'Debt List'!$F$5,'Debt List'!$F$6,'Debt List'!$F$7,'Debt List'!$F$8,'Debt List'!$F$9,'Debt List'!$F$10,'Debt List'!$F$11,'Debt List'!$F$12)),N(CHOOSE(HJ5,FN5,FR5,FV5,FZ5,GD5,GH5,GL5,GP5))+N(CHOOSE(HJ5,FO5,FS5,FW5,GA5,GE5,GI5,GM5,GQ5))))),0))</f>
        <v/>
      </c>
      <c r="HL5">
        <f>MIN(N(HK5),MAX(0,N(HI5)))</f>
        <v/>
      </c>
      <c r="HM5">
        <f>MAX(0,N(HI5)-N(HL5))</f>
        <v/>
      </c>
      <c r="HN5">
        <f>IFERROR(MATCH(6,OrderAval,0),"")</f>
        <v/>
      </c>
      <c r="HO5">
        <f>IF(HN5="",0,IFERROR(IF(N(CHOOSE(HN5,FN5,FR5,FV5,FZ5,GD5,GH5,GL5,GP5))&lt;=0.005,0,MAX(0,N(CHOOSE(HN5,FN5,FR5,FV5,FZ5,GD5,GH5,GL5,GP5))+N(CHOOSE(HN5,FO5,FS5,FW5,GA5,GE5,GI5,GM5,GQ5))-MIN(N(CHOOSE(HN5,'Debt List'!$F$5,'Debt List'!$F$6,'Debt List'!$F$7,'Debt List'!$F$8,'Debt List'!$F$9,'Debt List'!$F$10,'Debt List'!$F$11,'Debt List'!$F$12)),N(CHOOSE(HN5,FN5,FR5,FV5,FZ5,GD5,GH5,GL5,GP5))+N(CHOOSE(HN5,FO5,FS5,FW5,GA5,GE5,GI5,GM5,GQ5))))),0))</f>
        <v/>
      </c>
      <c r="HP5">
        <f>MIN(N(HO5),MAX(0,N(HM5)))</f>
        <v/>
      </c>
      <c r="HQ5">
        <f>MAX(0,N(HM5)-N(HP5))</f>
        <v/>
      </c>
      <c r="HR5">
        <f>IFERROR(MATCH(7,OrderAval,0),"")</f>
        <v/>
      </c>
      <c r="HS5">
        <f>IF(HR5="",0,IFERROR(IF(N(CHOOSE(HR5,FN5,FR5,FV5,FZ5,GD5,GH5,GL5,GP5))&lt;=0.005,0,MAX(0,N(CHOOSE(HR5,FN5,FR5,FV5,FZ5,GD5,GH5,GL5,GP5))+N(CHOOSE(HR5,FO5,FS5,FW5,GA5,GE5,GI5,GM5,GQ5))-MIN(N(CHOOSE(HR5,'Debt List'!$F$5,'Debt List'!$F$6,'Debt List'!$F$7,'Debt List'!$F$8,'Debt List'!$F$9,'Debt List'!$F$10,'Debt List'!$F$11,'Debt List'!$F$12)),N(CHOOSE(HR5,FN5,FR5,FV5,FZ5,GD5,GH5,GL5,GP5))+N(CHOOSE(HR5,FO5,FS5,FW5,GA5,GE5,GI5,GM5,GQ5))))),0))</f>
        <v/>
      </c>
      <c r="HT5">
        <f>MIN(N(HS5),MAX(0,N(HQ5)))</f>
        <v/>
      </c>
      <c r="HU5">
        <f>MAX(0,N(HQ5)-N(HT5))</f>
        <v/>
      </c>
      <c r="HV5">
        <f>IFERROR(MATCH(8,OrderAval,0),"")</f>
        <v/>
      </c>
      <c r="HW5">
        <f>IF(HV5="",0,IFERROR(IF(N(CHOOSE(HV5,FN5,FR5,FV5,FZ5,GD5,GH5,GL5,GP5))&lt;=0.005,0,MAX(0,N(CHOOSE(HV5,FN5,FR5,FV5,FZ5,GD5,GH5,GL5,GP5))+N(CHOOSE(HV5,FO5,FS5,FW5,GA5,GE5,GI5,GM5,GQ5))-MIN(N(CHOOSE(HV5,'Debt List'!$F$5,'Debt List'!$F$6,'Debt List'!$F$7,'Debt List'!$F$8,'Debt List'!$F$9,'Debt List'!$F$10,'Debt List'!$F$11,'Debt List'!$F$12)),N(CHOOSE(HV5,FN5,FR5,FV5,FZ5,GD5,GH5,GL5,GP5))+N(CHOOSE(HV5,FO5,FS5,FW5,GA5,GE5,GI5,GM5,GQ5))))),0))</f>
        <v/>
      </c>
      <c r="HX5">
        <f>MIN(N(HW5),MAX(0,N(HU5)))</f>
        <v/>
      </c>
      <c r="HY5">
        <f>MAX(0,N(HU5)-N(HX5))</f>
        <v/>
      </c>
    </row>
    <row r="6">
      <c r="A6" t="n">
        <v>2</v>
      </c>
      <c r="B6" s="115">
        <f>DATE(YEAR(PlanStart),MONTH(PlanStart)+A6-1,1)</f>
        <v/>
      </c>
      <c r="C6">
        <f>IF(AND(AP6&lt;&gt;"",N(CHOOSE(AP6,J6,N6,R6,V6,Z6,AD6,AH6,AL6))&gt;0.005),INDEX(DebtNames,AP6),IF(AND(AT6&lt;&gt;"",N(CHOOSE(AT6,J6,N6,R6,V6,Z6,AD6,AH6,AL6))&gt;0.005),INDEX(DebtNames,AT6),IF(AND(AX6&lt;&gt;"",N(CHOOSE(AX6,J6,N6,R6,V6,Z6,AD6,AH6,AL6))&gt;0.005),INDEX(DebtNames,AX6),IF(AND(BB6&lt;&gt;"",N(CHOOSE(BB6,J6,N6,R6,V6,Z6,AD6,AH6,AL6))&gt;0.005),INDEX(DebtNames,BB6),IF(AND(BF6&lt;&gt;"",N(CHOOSE(BF6,J6,N6,R6,V6,Z6,AD6,AH6,AL6))&gt;0.005),INDEX(DebtNames,BF6),IF(AND(BJ6&lt;&gt;"",N(CHOOSE(BJ6,J6,N6,R6,V6,Z6,AD6,AH6,AL6))&gt;0.005),INDEX(DebtNames,BJ6),IF(AND(BN6&lt;&gt;"",N(CHOOSE(BN6,J6,N6,R6,V6,Z6,AD6,AH6,AL6))&gt;0.005),INDEX(DebtNames,BN6),IF(AND(BR6&lt;&gt;"",N(CHOOSE(BR6,J6,N6,R6,V6,Z6,AD6,AH6,AL6))&gt;0.005),INDEX(DebtNames,BR6),""))))))))</f>
        <v/>
      </c>
      <c r="D6">
        <f>N(BU6)</f>
        <v/>
      </c>
      <c r="E6">
        <f>N(L6)+N(P6)+N(T6)+N(X6)+N(AB6)+N(AF6)+N(AJ6)+N(AN6)</f>
        <v/>
      </c>
      <c r="F6">
        <f>N(K6)+N(O6)+N(S6)+N(W6)+N(AA6)+N(AE6)+N(AI6)+N(AM6)</f>
        <v/>
      </c>
      <c r="G6">
        <f>N(G5)+N(F6)</f>
        <v/>
      </c>
      <c r="H6">
        <f>N(M6)+N(Q6)+N(U6)+N(Y6)+N(AC6)+N(AG6)+N(AK6)+N(AO6)</f>
        <v/>
      </c>
      <c r="I6">
        <f>(M6&gt;0.005)*1+(Q6&gt;0.005)*1+(U6&gt;0.005)*1+(Y6&gt;0.005)*1+(AC6&gt;0.005)*1+(AG6&gt;0.005)*1+(AK6&gt;0.005)*1+(AO6&gt;0.005)*1</f>
        <v/>
      </c>
      <c r="J6">
        <f>N(M5)</f>
        <v/>
      </c>
      <c r="K6">
        <f>IF(N(J6)&lt;=0.005,0,ROUND(N(J6)*N('Debt List'!E5)/12,2))</f>
        <v/>
      </c>
      <c r="L6">
        <f>IF(N(J6)&lt;=0.005,0,MIN(N('Debt List'!F5),N(J6)+N(K6)))+((AP6=1)*AR6+(AT6=1)*AV6+(AX6=1)*AZ6+(BB6=1)*BD6+(BF6=1)*BH6+(BJ6=1)*BL6+(BN6=1)*BP6+(BR6=1)*BT6)</f>
        <v/>
      </c>
      <c r="M6">
        <f>MAX(0,ROUND(N(J6)+N(K6)-N(L6),2))</f>
        <v/>
      </c>
      <c r="N6">
        <f>N(Q5)</f>
        <v/>
      </c>
      <c r="O6">
        <f>IF(N(N6)&lt;=0.005,0,ROUND(N(N6)*N('Debt List'!E6)/12,2))</f>
        <v/>
      </c>
      <c r="P6">
        <f>IF(N(N6)&lt;=0.005,0,MIN(N('Debt List'!F6),N(N6)+N(O6)))+((AP6=2)*AR6+(AT6=2)*AV6+(AX6=2)*AZ6+(BB6=2)*BD6+(BF6=2)*BH6+(BJ6=2)*BL6+(BN6=2)*BP6+(BR6=2)*BT6)</f>
        <v/>
      </c>
      <c r="Q6">
        <f>MAX(0,ROUND(N(N6)+N(O6)-N(P6),2))</f>
        <v/>
      </c>
      <c r="R6">
        <f>N(U5)</f>
        <v/>
      </c>
      <c r="S6">
        <f>IF(N(R6)&lt;=0.005,0,ROUND(N(R6)*N('Debt List'!E7)/12,2))</f>
        <v/>
      </c>
      <c r="T6">
        <f>IF(N(R6)&lt;=0.005,0,MIN(N('Debt List'!F7),N(R6)+N(S6)))+((AP6=3)*AR6+(AT6=3)*AV6+(AX6=3)*AZ6+(BB6=3)*BD6+(BF6=3)*BH6+(BJ6=3)*BL6+(BN6=3)*BP6+(BR6=3)*BT6)</f>
        <v/>
      </c>
      <c r="U6">
        <f>MAX(0,ROUND(N(R6)+N(S6)-N(T6),2))</f>
        <v/>
      </c>
      <c r="V6">
        <f>N(Y5)</f>
        <v/>
      </c>
      <c r="W6">
        <f>IF(N(V6)&lt;=0.005,0,ROUND(N(V6)*N('Debt List'!E8)/12,2))</f>
        <v/>
      </c>
      <c r="X6">
        <f>IF(N(V6)&lt;=0.005,0,MIN(N('Debt List'!F8),N(V6)+N(W6)))+((AP6=4)*AR6+(AT6=4)*AV6+(AX6=4)*AZ6+(BB6=4)*BD6+(BF6=4)*BH6+(BJ6=4)*BL6+(BN6=4)*BP6+(BR6=4)*BT6)</f>
        <v/>
      </c>
      <c r="Y6">
        <f>MAX(0,ROUND(N(V6)+N(W6)-N(X6),2))</f>
        <v/>
      </c>
      <c r="Z6">
        <f>N(AC5)</f>
        <v/>
      </c>
      <c r="AA6">
        <f>IF(N(Z6)&lt;=0.005,0,ROUND(N(Z6)*N('Debt List'!E9)/12,2))</f>
        <v/>
      </c>
      <c r="AB6">
        <f>IF(N(Z6)&lt;=0.005,0,MIN(N('Debt List'!F9),N(Z6)+N(AA6)))+((AP6=5)*AR6+(AT6=5)*AV6+(AX6=5)*AZ6+(BB6=5)*BD6+(BF6=5)*BH6+(BJ6=5)*BL6+(BN6=5)*BP6+(BR6=5)*BT6)</f>
        <v/>
      </c>
      <c r="AC6">
        <f>MAX(0,ROUND(N(Z6)+N(AA6)-N(AB6),2))</f>
        <v/>
      </c>
      <c r="AD6">
        <f>N(AG5)</f>
        <v/>
      </c>
      <c r="AE6">
        <f>IF(N(AD6)&lt;=0.005,0,ROUND(N(AD6)*N('Debt List'!E10)/12,2))</f>
        <v/>
      </c>
      <c r="AF6">
        <f>IF(N(AD6)&lt;=0.005,0,MIN(N('Debt List'!F10),N(AD6)+N(AE6)))+((AP6=6)*AR6+(AT6=6)*AV6+(AX6=6)*AZ6+(BB6=6)*BD6+(BF6=6)*BH6+(BJ6=6)*BL6+(BN6=6)*BP6+(BR6=6)*BT6)</f>
        <v/>
      </c>
      <c r="AG6">
        <f>MAX(0,ROUND(N(AD6)+N(AE6)-N(AF6),2))</f>
        <v/>
      </c>
      <c r="AH6">
        <f>N(AK5)</f>
        <v/>
      </c>
      <c r="AI6">
        <f>IF(N(AH6)&lt;=0.005,0,ROUND(N(AH6)*N('Debt List'!E11)/12,2))</f>
        <v/>
      </c>
      <c r="AJ6">
        <f>IF(N(AH6)&lt;=0.005,0,MIN(N('Debt List'!F11),N(AH6)+N(AI6)))+((AP6=7)*AR6+(AT6=7)*AV6+(AX6=7)*AZ6+(BB6=7)*BD6+(BF6=7)*BH6+(BJ6=7)*BL6+(BN6=7)*BP6+(BR6=7)*BT6)</f>
        <v/>
      </c>
      <c r="AK6">
        <f>MAX(0,ROUND(N(AH6)+N(AI6)-N(AJ6),2))</f>
        <v/>
      </c>
      <c r="AL6">
        <f>N(AO5)</f>
        <v/>
      </c>
      <c r="AM6">
        <f>IF(N(AL6)&lt;=0.005,0,ROUND(N(AL6)*N('Debt List'!E12)/12,2))</f>
        <v/>
      </c>
      <c r="AN6">
        <f>IF(N(AL6)&lt;=0.005,0,MIN(N('Debt List'!F12),N(AL6)+N(AM6)))+((AP6=8)*AR6+(AT6=8)*AV6+(AX6=8)*AZ6+(BB6=8)*BD6+(BF6=8)*BH6+(BJ6=8)*BL6+(BN6=8)*BP6+(BR6=8)*BT6)</f>
        <v/>
      </c>
      <c r="AO6">
        <f>MAX(0,ROUND(N(AL6)+N(AM6)-N(AN6),2))</f>
        <v/>
      </c>
      <c r="AP6">
        <f>IFERROR(MATCH(1,OrderPlan,0),"")</f>
        <v/>
      </c>
      <c r="AQ6">
        <f>IF(AP6="",0,IFERROR(IF(N(CHOOSE(AP6,J6,N6,R6,V6,Z6,AD6,AH6,AL6))&lt;=0.005,0,MAX(0,N(CHOOSE(AP6,J6,N6,R6,V6,Z6,AD6,AH6,AL6))+N(CHOOSE(AP6,K6,O6,S6,W6,AA6,AE6,AI6,AM6))-MIN(N(CHOOSE(AP6,'Debt List'!$F$5,'Debt List'!$F$6,'Debt List'!$F$7,'Debt List'!$F$8,'Debt List'!$F$9,'Debt List'!$F$10,'Debt List'!$F$11,'Debt List'!$F$12)),N(CHOOSE(AP6,J6,N6,R6,V6,Z6,AD6,AH6,AL6))+N(CHOOSE(AP6,K6,O6,S6,W6,AA6,AE6,AI6,AM6))))),0))</f>
        <v/>
      </c>
      <c r="AR6">
        <f>MIN(N(AQ6),MAX(0,N(ExtraPayment)))</f>
        <v/>
      </c>
      <c r="AS6">
        <f>MAX(0,N(ExtraPayment)-N(AR6))</f>
        <v/>
      </c>
      <c r="AT6">
        <f>IFERROR(MATCH(2,OrderPlan,0),"")</f>
        <v/>
      </c>
      <c r="AU6">
        <f>IF(AT6="",0,IFERROR(IF(N(CHOOSE(AT6,J6,N6,R6,V6,Z6,AD6,AH6,AL6))&lt;=0.005,0,MAX(0,N(CHOOSE(AT6,J6,N6,R6,V6,Z6,AD6,AH6,AL6))+N(CHOOSE(AT6,K6,O6,S6,W6,AA6,AE6,AI6,AM6))-MIN(N(CHOOSE(AT6,'Debt List'!$F$5,'Debt List'!$F$6,'Debt List'!$F$7,'Debt List'!$F$8,'Debt List'!$F$9,'Debt List'!$F$10,'Debt List'!$F$11,'Debt List'!$F$12)),N(CHOOSE(AT6,J6,N6,R6,V6,Z6,AD6,AH6,AL6))+N(CHOOSE(AT6,K6,O6,S6,W6,AA6,AE6,AI6,AM6))))),0))</f>
        <v/>
      </c>
      <c r="AV6">
        <f>MIN(N(AU6),MAX(0,N(AS6)))</f>
        <v/>
      </c>
      <c r="AW6">
        <f>MAX(0,N(AS6)-N(AV6))</f>
        <v/>
      </c>
      <c r="AX6">
        <f>IFERROR(MATCH(3,OrderPlan,0),"")</f>
        <v/>
      </c>
      <c r="AY6">
        <f>IF(AX6="",0,IFERROR(IF(N(CHOOSE(AX6,J6,N6,R6,V6,Z6,AD6,AH6,AL6))&lt;=0.005,0,MAX(0,N(CHOOSE(AX6,J6,N6,R6,V6,Z6,AD6,AH6,AL6))+N(CHOOSE(AX6,K6,O6,S6,W6,AA6,AE6,AI6,AM6))-MIN(N(CHOOSE(AX6,'Debt List'!$F$5,'Debt List'!$F$6,'Debt List'!$F$7,'Debt List'!$F$8,'Debt List'!$F$9,'Debt List'!$F$10,'Debt List'!$F$11,'Debt List'!$F$12)),N(CHOOSE(AX6,J6,N6,R6,V6,Z6,AD6,AH6,AL6))+N(CHOOSE(AX6,K6,O6,S6,W6,AA6,AE6,AI6,AM6))))),0))</f>
        <v/>
      </c>
      <c r="AZ6">
        <f>MIN(N(AY6),MAX(0,N(AW6)))</f>
        <v/>
      </c>
      <c r="BA6">
        <f>MAX(0,N(AW6)-N(AZ6))</f>
        <v/>
      </c>
      <c r="BB6">
        <f>IFERROR(MATCH(4,OrderPlan,0),"")</f>
        <v/>
      </c>
      <c r="BC6">
        <f>IF(BB6="",0,IFERROR(IF(N(CHOOSE(BB6,J6,N6,R6,V6,Z6,AD6,AH6,AL6))&lt;=0.005,0,MAX(0,N(CHOOSE(BB6,J6,N6,R6,V6,Z6,AD6,AH6,AL6))+N(CHOOSE(BB6,K6,O6,S6,W6,AA6,AE6,AI6,AM6))-MIN(N(CHOOSE(BB6,'Debt List'!$F$5,'Debt List'!$F$6,'Debt List'!$F$7,'Debt List'!$F$8,'Debt List'!$F$9,'Debt List'!$F$10,'Debt List'!$F$11,'Debt List'!$F$12)),N(CHOOSE(BB6,J6,N6,R6,V6,Z6,AD6,AH6,AL6))+N(CHOOSE(BB6,K6,O6,S6,W6,AA6,AE6,AI6,AM6))))),0))</f>
        <v/>
      </c>
      <c r="BD6">
        <f>MIN(N(BC6),MAX(0,N(BA6)))</f>
        <v/>
      </c>
      <c r="BE6">
        <f>MAX(0,N(BA6)-N(BD6))</f>
        <v/>
      </c>
      <c r="BF6">
        <f>IFERROR(MATCH(5,OrderPlan,0),"")</f>
        <v/>
      </c>
      <c r="BG6">
        <f>IF(BF6="",0,IFERROR(IF(N(CHOOSE(BF6,J6,N6,R6,V6,Z6,AD6,AH6,AL6))&lt;=0.005,0,MAX(0,N(CHOOSE(BF6,J6,N6,R6,V6,Z6,AD6,AH6,AL6))+N(CHOOSE(BF6,K6,O6,S6,W6,AA6,AE6,AI6,AM6))-MIN(N(CHOOSE(BF6,'Debt List'!$F$5,'Debt List'!$F$6,'Debt List'!$F$7,'Debt List'!$F$8,'Debt List'!$F$9,'Debt List'!$F$10,'Debt List'!$F$11,'Debt List'!$F$12)),N(CHOOSE(BF6,J6,N6,R6,V6,Z6,AD6,AH6,AL6))+N(CHOOSE(BF6,K6,O6,S6,W6,AA6,AE6,AI6,AM6))))),0))</f>
        <v/>
      </c>
      <c r="BH6">
        <f>MIN(N(BG6),MAX(0,N(BE6)))</f>
        <v/>
      </c>
      <c r="BI6">
        <f>MAX(0,N(BE6)-N(BH6))</f>
        <v/>
      </c>
      <c r="BJ6">
        <f>IFERROR(MATCH(6,OrderPlan,0),"")</f>
        <v/>
      </c>
      <c r="BK6">
        <f>IF(BJ6="",0,IFERROR(IF(N(CHOOSE(BJ6,J6,N6,R6,V6,Z6,AD6,AH6,AL6))&lt;=0.005,0,MAX(0,N(CHOOSE(BJ6,J6,N6,R6,V6,Z6,AD6,AH6,AL6))+N(CHOOSE(BJ6,K6,O6,S6,W6,AA6,AE6,AI6,AM6))-MIN(N(CHOOSE(BJ6,'Debt List'!$F$5,'Debt List'!$F$6,'Debt List'!$F$7,'Debt List'!$F$8,'Debt List'!$F$9,'Debt List'!$F$10,'Debt List'!$F$11,'Debt List'!$F$12)),N(CHOOSE(BJ6,J6,N6,R6,V6,Z6,AD6,AH6,AL6))+N(CHOOSE(BJ6,K6,O6,S6,W6,AA6,AE6,AI6,AM6))))),0))</f>
        <v/>
      </c>
      <c r="BL6">
        <f>MIN(N(BK6),MAX(0,N(BI6)))</f>
        <v/>
      </c>
      <c r="BM6">
        <f>MAX(0,N(BI6)-N(BL6))</f>
        <v/>
      </c>
      <c r="BN6">
        <f>IFERROR(MATCH(7,OrderPlan,0),"")</f>
        <v/>
      </c>
      <c r="BO6">
        <f>IF(BN6="",0,IFERROR(IF(N(CHOOSE(BN6,J6,N6,R6,V6,Z6,AD6,AH6,AL6))&lt;=0.005,0,MAX(0,N(CHOOSE(BN6,J6,N6,R6,V6,Z6,AD6,AH6,AL6))+N(CHOOSE(BN6,K6,O6,S6,W6,AA6,AE6,AI6,AM6))-MIN(N(CHOOSE(BN6,'Debt List'!$F$5,'Debt List'!$F$6,'Debt List'!$F$7,'Debt List'!$F$8,'Debt List'!$F$9,'Debt List'!$F$10,'Debt List'!$F$11,'Debt List'!$F$12)),N(CHOOSE(BN6,J6,N6,R6,V6,Z6,AD6,AH6,AL6))+N(CHOOSE(BN6,K6,O6,S6,W6,AA6,AE6,AI6,AM6))))),0))</f>
        <v/>
      </c>
      <c r="BP6">
        <f>MIN(N(BO6),MAX(0,N(BM6)))</f>
        <v/>
      </c>
      <c r="BQ6">
        <f>MAX(0,N(BM6)-N(BP6))</f>
        <v/>
      </c>
      <c r="BR6">
        <f>IFERROR(MATCH(8,OrderPlan,0),"")</f>
        <v/>
      </c>
      <c r="BS6">
        <f>IF(BR6="",0,IFERROR(IF(N(CHOOSE(BR6,J6,N6,R6,V6,Z6,AD6,AH6,AL6))&lt;=0.005,0,MAX(0,N(CHOOSE(BR6,J6,N6,R6,V6,Z6,AD6,AH6,AL6))+N(CHOOSE(BR6,K6,O6,S6,W6,AA6,AE6,AI6,AM6))-MIN(N(CHOOSE(BR6,'Debt List'!$F$5,'Debt List'!$F$6,'Debt List'!$F$7,'Debt List'!$F$8,'Debt List'!$F$9,'Debt List'!$F$10,'Debt List'!$F$11,'Debt List'!$F$12)),N(CHOOSE(BR6,J6,N6,R6,V6,Z6,AD6,AH6,AL6))+N(CHOOSE(BR6,K6,O6,S6,W6,AA6,AE6,AI6,AM6))))),0))</f>
        <v/>
      </c>
      <c r="BT6">
        <f>MIN(N(BS6),MAX(0,N(BQ6)))</f>
        <v/>
      </c>
      <c r="BU6">
        <f>MAX(0,N(BQ6)-N(BT6))</f>
        <v/>
      </c>
      <c r="CC6" t="n">
        <v>2</v>
      </c>
      <c r="CD6" s="115">
        <f>DATE(YEAR(PlanStart),MONTH(PlanStart)+CC6-1,1)</f>
        <v/>
      </c>
      <c r="CE6">
        <f>IF(AND(DR6&lt;&gt;"",N(CHOOSE(DR6,CL6,CP6,CT6,CX6,DB6,DF6,DJ6,DN6))&gt;0.005),INDEX(DebtNames,DR6),IF(AND(DV6&lt;&gt;"",N(CHOOSE(DV6,CL6,CP6,CT6,CX6,DB6,DF6,DJ6,DN6))&gt;0.005),INDEX(DebtNames,DV6),IF(AND(DZ6&lt;&gt;"",N(CHOOSE(DZ6,CL6,CP6,CT6,CX6,DB6,DF6,DJ6,DN6))&gt;0.005),INDEX(DebtNames,DZ6),IF(AND(ED6&lt;&gt;"",N(CHOOSE(ED6,CL6,CP6,CT6,CX6,DB6,DF6,DJ6,DN6))&gt;0.005),INDEX(DebtNames,ED6),IF(AND(EH6&lt;&gt;"",N(CHOOSE(EH6,CL6,CP6,CT6,CX6,DB6,DF6,DJ6,DN6))&gt;0.005),INDEX(DebtNames,EH6),IF(AND(EL6&lt;&gt;"",N(CHOOSE(EL6,CL6,CP6,CT6,CX6,DB6,DF6,DJ6,DN6))&gt;0.005),INDEX(DebtNames,EL6),IF(AND(EP6&lt;&gt;"",N(CHOOSE(EP6,CL6,CP6,CT6,CX6,DB6,DF6,DJ6,DN6))&gt;0.005),INDEX(DebtNames,EP6),IF(AND(ET6&lt;&gt;"",N(CHOOSE(ET6,CL6,CP6,CT6,CX6,DB6,DF6,DJ6,DN6))&gt;0.005),INDEX(DebtNames,ET6),""))))))))</f>
        <v/>
      </c>
      <c r="CF6">
        <f>N(EW6)</f>
        <v/>
      </c>
      <c r="CG6">
        <f>N(CN6)+N(CR6)+N(CV6)+N(CZ6)+N(DD6)+N(DH6)+N(DL6)+N(DP6)</f>
        <v/>
      </c>
      <c r="CH6">
        <f>N(CM6)+N(CQ6)+N(CU6)+N(CY6)+N(DC6)+N(DG6)+N(DK6)+N(DO6)</f>
        <v/>
      </c>
      <c r="CI6">
        <f>N(CI5)+N(CH6)</f>
        <v/>
      </c>
      <c r="CJ6">
        <f>N(CO6)+N(CS6)+N(CW6)+N(DA6)+N(DE6)+N(DI6)+N(DM6)+N(DQ6)</f>
        <v/>
      </c>
      <c r="CK6">
        <f>(CO6&gt;0.005)*1+(CS6&gt;0.005)*1+(CW6&gt;0.005)*1+(DA6&gt;0.005)*1+(DE6&gt;0.005)*1+(DI6&gt;0.005)*1+(DM6&gt;0.005)*1+(DQ6&gt;0.005)*1</f>
        <v/>
      </c>
      <c r="CL6">
        <f>N(CO5)</f>
        <v/>
      </c>
      <c r="CM6">
        <f>IF(N(CL6)&lt;=0.005,0,ROUND(N(CL6)*N('Debt List'!E5)/12,2))</f>
        <v/>
      </c>
      <c r="CN6">
        <f>IF(N(CL6)&lt;=0.005,0,MIN(N('Debt List'!F5),N(CL6)+N(CM6)))+((DR6=1)*DT6+(DV6=1)*DX6+(DZ6=1)*EB6+(ED6=1)*EF6+(EH6=1)*EJ6+(EL6=1)*EN6+(EP6=1)*ER6+(ET6=1)*EV6)</f>
        <v/>
      </c>
      <c r="CO6">
        <f>MAX(0,ROUND(N(CL6)+N(CM6)-N(CN6),2))</f>
        <v/>
      </c>
      <c r="CP6">
        <f>N(CS5)</f>
        <v/>
      </c>
      <c r="CQ6">
        <f>IF(N(CP6)&lt;=0.005,0,ROUND(N(CP6)*N('Debt List'!E6)/12,2))</f>
        <v/>
      </c>
      <c r="CR6">
        <f>IF(N(CP6)&lt;=0.005,0,MIN(N('Debt List'!F6),N(CP6)+N(CQ6)))+((DR6=2)*DT6+(DV6=2)*DX6+(DZ6=2)*EB6+(ED6=2)*EF6+(EH6=2)*EJ6+(EL6=2)*EN6+(EP6=2)*ER6+(ET6=2)*EV6)</f>
        <v/>
      </c>
      <c r="CS6">
        <f>MAX(0,ROUND(N(CP6)+N(CQ6)-N(CR6),2))</f>
        <v/>
      </c>
      <c r="CT6">
        <f>N(CW5)</f>
        <v/>
      </c>
      <c r="CU6">
        <f>IF(N(CT6)&lt;=0.005,0,ROUND(N(CT6)*N('Debt List'!E7)/12,2))</f>
        <v/>
      </c>
      <c r="CV6">
        <f>IF(N(CT6)&lt;=0.005,0,MIN(N('Debt List'!F7),N(CT6)+N(CU6)))+((DR6=3)*DT6+(DV6=3)*DX6+(DZ6=3)*EB6+(ED6=3)*EF6+(EH6=3)*EJ6+(EL6=3)*EN6+(EP6=3)*ER6+(ET6=3)*EV6)</f>
        <v/>
      </c>
      <c r="CW6">
        <f>MAX(0,ROUND(N(CT6)+N(CU6)-N(CV6),2))</f>
        <v/>
      </c>
      <c r="CX6">
        <f>N(DA5)</f>
        <v/>
      </c>
      <c r="CY6">
        <f>IF(N(CX6)&lt;=0.005,0,ROUND(N(CX6)*N('Debt List'!E8)/12,2))</f>
        <v/>
      </c>
      <c r="CZ6">
        <f>IF(N(CX6)&lt;=0.005,0,MIN(N('Debt List'!F8),N(CX6)+N(CY6)))+((DR6=4)*DT6+(DV6=4)*DX6+(DZ6=4)*EB6+(ED6=4)*EF6+(EH6=4)*EJ6+(EL6=4)*EN6+(EP6=4)*ER6+(ET6=4)*EV6)</f>
        <v/>
      </c>
      <c r="DA6">
        <f>MAX(0,ROUND(N(CX6)+N(CY6)-N(CZ6),2))</f>
        <v/>
      </c>
      <c r="DB6">
        <f>N(DE5)</f>
        <v/>
      </c>
      <c r="DC6">
        <f>IF(N(DB6)&lt;=0.005,0,ROUND(N(DB6)*N('Debt List'!E9)/12,2))</f>
        <v/>
      </c>
      <c r="DD6">
        <f>IF(N(DB6)&lt;=0.005,0,MIN(N('Debt List'!F9),N(DB6)+N(DC6)))+((DR6=5)*DT6+(DV6=5)*DX6+(DZ6=5)*EB6+(ED6=5)*EF6+(EH6=5)*EJ6+(EL6=5)*EN6+(EP6=5)*ER6+(ET6=5)*EV6)</f>
        <v/>
      </c>
      <c r="DE6">
        <f>MAX(0,ROUND(N(DB6)+N(DC6)-N(DD6),2))</f>
        <v/>
      </c>
      <c r="DF6">
        <f>N(DI5)</f>
        <v/>
      </c>
      <c r="DG6">
        <f>IF(N(DF6)&lt;=0.005,0,ROUND(N(DF6)*N('Debt List'!E10)/12,2))</f>
        <v/>
      </c>
      <c r="DH6">
        <f>IF(N(DF6)&lt;=0.005,0,MIN(N('Debt List'!F10),N(DF6)+N(DG6)))+((DR6=6)*DT6+(DV6=6)*DX6+(DZ6=6)*EB6+(ED6=6)*EF6+(EH6=6)*EJ6+(EL6=6)*EN6+(EP6=6)*ER6+(ET6=6)*EV6)</f>
        <v/>
      </c>
      <c r="DI6">
        <f>MAX(0,ROUND(N(DF6)+N(DG6)-N(DH6),2))</f>
        <v/>
      </c>
      <c r="DJ6">
        <f>N(DM5)</f>
        <v/>
      </c>
      <c r="DK6">
        <f>IF(N(DJ6)&lt;=0.005,0,ROUND(N(DJ6)*N('Debt List'!E11)/12,2))</f>
        <v/>
      </c>
      <c r="DL6">
        <f>IF(N(DJ6)&lt;=0.005,0,MIN(N('Debt List'!F11),N(DJ6)+N(DK6)))+((DR6=7)*DT6+(DV6=7)*DX6+(DZ6=7)*EB6+(ED6=7)*EF6+(EH6=7)*EJ6+(EL6=7)*EN6+(EP6=7)*ER6+(ET6=7)*EV6)</f>
        <v/>
      </c>
      <c r="DM6">
        <f>MAX(0,ROUND(N(DJ6)+N(DK6)-N(DL6),2))</f>
        <v/>
      </c>
      <c r="DN6">
        <f>N(DQ5)</f>
        <v/>
      </c>
      <c r="DO6">
        <f>IF(N(DN6)&lt;=0.005,0,ROUND(N(DN6)*N('Debt List'!E12)/12,2))</f>
        <v/>
      </c>
      <c r="DP6">
        <f>IF(N(DN6)&lt;=0.005,0,MIN(N('Debt List'!F12),N(DN6)+N(DO6)))+((DR6=8)*DT6+(DV6=8)*DX6+(DZ6=8)*EB6+(ED6=8)*EF6+(EH6=8)*EJ6+(EL6=8)*EN6+(EP6=8)*ER6+(ET6=8)*EV6)</f>
        <v/>
      </c>
      <c r="DQ6">
        <f>MAX(0,ROUND(N(DN6)+N(DO6)-N(DP6),2))</f>
        <v/>
      </c>
      <c r="DR6">
        <f>IFERROR(MATCH(1,OrderSnow,0),"")</f>
        <v/>
      </c>
      <c r="DS6">
        <f>IF(DR6="",0,IFERROR(IF(N(CHOOSE(DR6,CL6,CP6,CT6,CX6,DB6,DF6,DJ6,DN6))&lt;=0.005,0,MAX(0,N(CHOOSE(DR6,CL6,CP6,CT6,CX6,DB6,DF6,DJ6,DN6))+N(CHOOSE(DR6,CM6,CQ6,CU6,CY6,DC6,DG6,DK6,DO6))-MIN(N(CHOOSE(DR6,'Debt List'!$F$5,'Debt List'!$F$6,'Debt List'!$F$7,'Debt List'!$F$8,'Debt List'!$F$9,'Debt List'!$F$10,'Debt List'!$F$11,'Debt List'!$F$12)),N(CHOOSE(DR6,CL6,CP6,CT6,CX6,DB6,DF6,DJ6,DN6))+N(CHOOSE(DR6,CM6,CQ6,CU6,CY6,DC6,DG6,DK6,DO6))))),0))</f>
        <v/>
      </c>
      <c r="DT6">
        <f>MIN(N(DS6),MAX(0,N(ExtraPayment)))</f>
        <v/>
      </c>
      <c r="DU6">
        <f>MAX(0,N(ExtraPayment)-N(DT6))</f>
        <v/>
      </c>
      <c r="DV6">
        <f>IFERROR(MATCH(2,OrderSnow,0),"")</f>
        <v/>
      </c>
      <c r="DW6">
        <f>IF(DV6="",0,IFERROR(IF(N(CHOOSE(DV6,CL6,CP6,CT6,CX6,DB6,DF6,DJ6,DN6))&lt;=0.005,0,MAX(0,N(CHOOSE(DV6,CL6,CP6,CT6,CX6,DB6,DF6,DJ6,DN6))+N(CHOOSE(DV6,CM6,CQ6,CU6,CY6,DC6,DG6,DK6,DO6))-MIN(N(CHOOSE(DV6,'Debt List'!$F$5,'Debt List'!$F$6,'Debt List'!$F$7,'Debt List'!$F$8,'Debt List'!$F$9,'Debt List'!$F$10,'Debt List'!$F$11,'Debt List'!$F$12)),N(CHOOSE(DV6,CL6,CP6,CT6,CX6,DB6,DF6,DJ6,DN6))+N(CHOOSE(DV6,CM6,CQ6,CU6,CY6,DC6,DG6,DK6,DO6))))),0))</f>
        <v/>
      </c>
      <c r="DX6">
        <f>MIN(N(DW6),MAX(0,N(DU6)))</f>
        <v/>
      </c>
      <c r="DY6">
        <f>MAX(0,N(DU6)-N(DX6))</f>
        <v/>
      </c>
      <c r="DZ6">
        <f>IFERROR(MATCH(3,OrderSnow,0),"")</f>
        <v/>
      </c>
      <c r="EA6">
        <f>IF(DZ6="",0,IFERROR(IF(N(CHOOSE(DZ6,CL6,CP6,CT6,CX6,DB6,DF6,DJ6,DN6))&lt;=0.005,0,MAX(0,N(CHOOSE(DZ6,CL6,CP6,CT6,CX6,DB6,DF6,DJ6,DN6))+N(CHOOSE(DZ6,CM6,CQ6,CU6,CY6,DC6,DG6,DK6,DO6))-MIN(N(CHOOSE(DZ6,'Debt List'!$F$5,'Debt List'!$F$6,'Debt List'!$F$7,'Debt List'!$F$8,'Debt List'!$F$9,'Debt List'!$F$10,'Debt List'!$F$11,'Debt List'!$F$12)),N(CHOOSE(DZ6,CL6,CP6,CT6,CX6,DB6,DF6,DJ6,DN6))+N(CHOOSE(DZ6,CM6,CQ6,CU6,CY6,DC6,DG6,DK6,DO6))))),0))</f>
        <v/>
      </c>
      <c r="EB6">
        <f>MIN(N(EA6),MAX(0,N(DY6)))</f>
        <v/>
      </c>
      <c r="EC6">
        <f>MAX(0,N(DY6)-N(EB6))</f>
        <v/>
      </c>
      <c r="ED6">
        <f>IFERROR(MATCH(4,OrderSnow,0),"")</f>
        <v/>
      </c>
      <c r="EE6">
        <f>IF(ED6="",0,IFERROR(IF(N(CHOOSE(ED6,CL6,CP6,CT6,CX6,DB6,DF6,DJ6,DN6))&lt;=0.005,0,MAX(0,N(CHOOSE(ED6,CL6,CP6,CT6,CX6,DB6,DF6,DJ6,DN6))+N(CHOOSE(ED6,CM6,CQ6,CU6,CY6,DC6,DG6,DK6,DO6))-MIN(N(CHOOSE(ED6,'Debt List'!$F$5,'Debt List'!$F$6,'Debt List'!$F$7,'Debt List'!$F$8,'Debt List'!$F$9,'Debt List'!$F$10,'Debt List'!$F$11,'Debt List'!$F$12)),N(CHOOSE(ED6,CL6,CP6,CT6,CX6,DB6,DF6,DJ6,DN6))+N(CHOOSE(ED6,CM6,CQ6,CU6,CY6,DC6,DG6,DK6,DO6))))),0))</f>
        <v/>
      </c>
      <c r="EF6">
        <f>MIN(N(EE6),MAX(0,N(EC6)))</f>
        <v/>
      </c>
      <c r="EG6">
        <f>MAX(0,N(EC6)-N(EF6))</f>
        <v/>
      </c>
      <c r="EH6">
        <f>IFERROR(MATCH(5,OrderSnow,0),"")</f>
        <v/>
      </c>
      <c r="EI6">
        <f>IF(EH6="",0,IFERROR(IF(N(CHOOSE(EH6,CL6,CP6,CT6,CX6,DB6,DF6,DJ6,DN6))&lt;=0.005,0,MAX(0,N(CHOOSE(EH6,CL6,CP6,CT6,CX6,DB6,DF6,DJ6,DN6))+N(CHOOSE(EH6,CM6,CQ6,CU6,CY6,DC6,DG6,DK6,DO6))-MIN(N(CHOOSE(EH6,'Debt List'!$F$5,'Debt List'!$F$6,'Debt List'!$F$7,'Debt List'!$F$8,'Debt List'!$F$9,'Debt List'!$F$10,'Debt List'!$F$11,'Debt List'!$F$12)),N(CHOOSE(EH6,CL6,CP6,CT6,CX6,DB6,DF6,DJ6,DN6))+N(CHOOSE(EH6,CM6,CQ6,CU6,CY6,DC6,DG6,DK6,DO6))))),0))</f>
        <v/>
      </c>
      <c r="EJ6">
        <f>MIN(N(EI6),MAX(0,N(EG6)))</f>
        <v/>
      </c>
      <c r="EK6">
        <f>MAX(0,N(EG6)-N(EJ6))</f>
        <v/>
      </c>
      <c r="EL6">
        <f>IFERROR(MATCH(6,OrderSnow,0),"")</f>
        <v/>
      </c>
      <c r="EM6">
        <f>IF(EL6="",0,IFERROR(IF(N(CHOOSE(EL6,CL6,CP6,CT6,CX6,DB6,DF6,DJ6,DN6))&lt;=0.005,0,MAX(0,N(CHOOSE(EL6,CL6,CP6,CT6,CX6,DB6,DF6,DJ6,DN6))+N(CHOOSE(EL6,CM6,CQ6,CU6,CY6,DC6,DG6,DK6,DO6))-MIN(N(CHOOSE(EL6,'Debt List'!$F$5,'Debt List'!$F$6,'Debt List'!$F$7,'Debt List'!$F$8,'Debt List'!$F$9,'Debt List'!$F$10,'Debt List'!$F$11,'Debt List'!$F$12)),N(CHOOSE(EL6,CL6,CP6,CT6,CX6,DB6,DF6,DJ6,DN6))+N(CHOOSE(EL6,CM6,CQ6,CU6,CY6,DC6,DG6,DK6,DO6))))),0))</f>
        <v/>
      </c>
      <c r="EN6">
        <f>MIN(N(EM6),MAX(0,N(EK6)))</f>
        <v/>
      </c>
      <c r="EO6">
        <f>MAX(0,N(EK6)-N(EN6))</f>
        <v/>
      </c>
      <c r="EP6">
        <f>IFERROR(MATCH(7,OrderSnow,0),"")</f>
        <v/>
      </c>
      <c r="EQ6">
        <f>IF(EP6="",0,IFERROR(IF(N(CHOOSE(EP6,CL6,CP6,CT6,CX6,DB6,DF6,DJ6,DN6))&lt;=0.005,0,MAX(0,N(CHOOSE(EP6,CL6,CP6,CT6,CX6,DB6,DF6,DJ6,DN6))+N(CHOOSE(EP6,CM6,CQ6,CU6,CY6,DC6,DG6,DK6,DO6))-MIN(N(CHOOSE(EP6,'Debt List'!$F$5,'Debt List'!$F$6,'Debt List'!$F$7,'Debt List'!$F$8,'Debt List'!$F$9,'Debt List'!$F$10,'Debt List'!$F$11,'Debt List'!$F$12)),N(CHOOSE(EP6,CL6,CP6,CT6,CX6,DB6,DF6,DJ6,DN6))+N(CHOOSE(EP6,CM6,CQ6,CU6,CY6,DC6,DG6,DK6,DO6))))),0))</f>
        <v/>
      </c>
      <c r="ER6">
        <f>MIN(N(EQ6),MAX(0,N(EO6)))</f>
        <v/>
      </c>
      <c r="ES6">
        <f>MAX(0,N(EO6)-N(ER6))</f>
        <v/>
      </c>
      <c r="ET6">
        <f>IFERROR(MATCH(8,OrderSnow,0),"")</f>
        <v/>
      </c>
      <c r="EU6">
        <f>IF(ET6="",0,IFERROR(IF(N(CHOOSE(ET6,CL6,CP6,CT6,CX6,DB6,DF6,DJ6,DN6))&lt;=0.005,0,MAX(0,N(CHOOSE(ET6,CL6,CP6,CT6,CX6,DB6,DF6,DJ6,DN6))+N(CHOOSE(ET6,CM6,CQ6,CU6,CY6,DC6,DG6,DK6,DO6))-MIN(N(CHOOSE(ET6,'Debt List'!$F$5,'Debt List'!$F$6,'Debt List'!$F$7,'Debt List'!$F$8,'Debt List'!$F$9,'Debt List'!$F$10,'Debt List'!$F$11,'Debt List'!$F$12)),N(CHOOSE(ET6,CL6,CP6,CT6,CX6,DB6,DF6,DJ6,DN6))+N(CHOOSE(ET6,CM6,CQ6,CU6,CY6,DC6,DG6,DK6,DO6))))),0))</f>
        <v/>
      </c>
      <c r="EV6">
        <f>MIN(N(EU6),MAX(0,N(ES6)))</f>
        <v/>
      </c>
      <c r="EW6">
        <f>MAX(0,N(ES6)-N(EV6))</f>
        <v/>
      </c>
      <c r="FE6" t="n">
        <v>2</v>
      </c>
      <c r="FF6" s="115">
        <f>DATE(YEAR(PlanStart),MONTH(PlanStart)+FE6-1,1)</f>
        <v/>
      </c>
      <c r="FG6">
        <f>IF(AND(GT6&lt;&gt;"",N(CHOOSE(GT6,FN6,FR6,FV6,FZ6,GD6,GH6,GL6,GP6))&gt;0.005),INDEX(DebtNames,GT6),IF(AND(GX6&lt;&gt;"",N(CHOOSE(GX6,FN6,FR6,FV6,FZ6,GD6,GH6,GL6,GP6))&gt;0.005),INDEX(DebtNames,GX6),IF(AND(HB6&lt;&gt;"",N(CHOOSE(HB6,FN6,FR6,FV6,FZ6,GD6,GH6,GL6,GP6))&gt;0.005),INDEX(DebtNames,HB6),IF(AND(HF6&lt;&gt;"",N(CHOOSE(HF6,FN6,FR6,FV6,FZ6,GD6,GH6,GL6,GP6))&gt;0.005),INDEX(DebtNames,HF6),IF(AND(HJ6&lt;&gt;"",N(CHOOSE(HJ6,FN6,FR6,FV6,FZ6,GD6,GH6,GL6,GP6))&gt;0.005),INDEX(DebtNames,HJ6),IF(AND(HN6&lt;&gt;"",N(CHOOSE(HN6,FN6,FR6,FV6,FZ6,GD6,GH6,GL6,GP6))&gt;0.005),INDEX(DebtNames,HN6),IF(AND(HR6&lt;&gt;"",N(CHOOSE(HR6,FN6,FR6,FV6,FZ6,GD6,GH6,GL6,GP6))&gt;0.005),INDEX(DebtNames,HR6),IF(AND(HV6&lt;&gt;"",N(CHOOSE(HV6,FN6,FR6,FV6,FZ6,GD6,GH6,GL6,GP6))&gt;0.005),INDEX(DebtNames,HV6),""))))))))</f>
        <v/>
      </c>
      <c r="FH6">
        <f>N(HY6)</f>
        <v/>
      </c>
      <c r="FI6">
        <f>N(FP6)+N(FT6)+N(FX6)+N(GB6)+N(GF6)+N(GJ6)+N(GN6)+N(GR6)</f>
        <v/>
      </c>
      <c r="FJ6">
        <f>N(FO6)+N(FS6)+N(FW6)+N(GA6)+N(GE6)+N(GI6)+N(GM6)+N(GQ6)</f>
        <v/>
      </c>
      <c r="FK6">
        <f>N(FK5)+N(FJ6)</f>
        <v/>
      </c>
      <c r="FL6">
        <f>N(FQ6)+N(FU6)+N(FY6)+N(GC6)+N(GG6)+N(GK6)+N(GO6)+N(GS6)</f>
        <v/>
      </c>
      <c r="FM6">
        <f>(FQ6&gt;0.005)*1+(FU6&gt;0.005)*1+(FY6&gt;0.005)*1+(GC6&gt;0.005)*1+(GG6&gt;0.005)*1+(GK6&gt;0.005)*1+(GO6&gt;0.005)*1+(GS6&gt;0.005)*1</f>
        <v/>
      </c>
      <c r="FN6">
        <f>N(FQ5)</f>
        <v/>
      </c>
      <c r="FO6">
        <f>IF(N(FN6)&lt;=0.005,0,ROUND(N(FN6)*N('Debt List'!E5)/12,2))</f>
        <v/>
      </c>
      <c r="FP6">
        <f>IF(N(FN6)&lt;=0.005,0,MIN(N('Debt List'!F5),N(FN6)+N(FO6)))+((GT6=1)*GV6+(GX6=1)*GZ6+(HB6=1)*HD6+(HF6=1)*HH6+(HJ6=1)*HL6+(HN6=1)*HP6+(HR6=1)*HT6+(HV6=1)*HX6)</f>
        <v/>
      </c>
      <c r="FQ6">
        <f>MAX(0,ROUND(N(FN6)+N(FO6)-N(FP6),2))</f>
        <v/>
      </c>
      <c r="FR6">
        <f>N(FU5)</f>
        <v/>
      </c>
      <c r="FS6">
        <f>IF(N(FR6)&lt;=0.005,0,ROUND(N(FR6)*N('Debt List'!E6)/12,2))</f>
        <v/>
      </c>
      <c r="FT6">
        <f>IF(N(FR6)&lt;=0.005,0,MIN(N('Debt List'!F6),N(FR6)+N(FS6)))+((GT6=2)*GV6+(GX6=2)*GZ6+(HB6=2)*HD6+(HF6=2)*HH6+(HJ6=2)*HL6+(HN6=2)*HP6+(HR6=2)*HT6+(HV6=2)*HX6)</f>
        <v/>
      </c>
      <c r="FU6">
        <f>MAX(0,ROUND(N(FR6)+N(FS6)-N(FT6),2))</f>
        <v/>
      </c>
      <c r="FV6">
        <f>N(FY5)</f>
        <v/>
      </c>
      <c r="FW6">
        <f>IF(N(FV6)&lt;=0.005,0,ROUND(N(FV6)*N('Debt List'!E7)/12,2))</f>
        <v/>
      </c>
      <c r="FX6">
        <f>IF(N(FV6)&lt;=0.005,0,MIN(N('Debt List'!F7),N(FV6)+N(FW6)))+((GT6=3)*GV6+(GX6=3)*GZ6+(HB6=3)*HD6+(HF6=3)*HH6+(HJ6=3)*HL6+(HN6=3)*HP6+(HR6=3)*HT6+(HV6=3)*HX6)</f>
        <v/>
      </c>
      <c r="FY6">
        <f>MAX(0,ROUND(N(FV6)+N(FW6)-N(FX6),2))</f>
        <v/>
      </c>
      <c r="FZ6">
        <f>N(GC5)</f>
        <v/>
      </c>
      <c r="GA6">
        <f>IF(N(FZ6)&lt;=0.005,0,ROUND(N(FZ6)*N('Debt List'!E8)/12,2))</f>
        <v/>
      </c>
      <c r="GB6">
        <f>IF(N(FZ6)&lt;=0.005,0,MIN(N('Debt List'!F8),N(FZ6)+N(GA6)))+((GT6=4)*GV6+(GX6=4)*GZ6+(HB6=4)*HD6+(HF6=4)*HH6+(HJ6=4)*HL6+(HN6=4)*HP6+(HR6=4)*HT6+(HV6=4)*HX6)</f>
        <v/>
      </c>
      <c r="GC6">
        <f>MAX(0,ROUND(N(FZ6)+N(GA6)-N(GB6),2))</f>
        <v/>
      </c>
      <c r="GD6">
        <f>N(GG5)</f>
        <v/>
      </c>
      <c r="GE6">
        <f>IF(N(GD6)&lt;=0.005,0,ROUND(N(GD6)*N('Debt List'!E9)/12,2))</f>
        <v/>
      </c>
      <c r="GF6">
        <f>IF(N(GD6)&lt;=0.005,0,MIN(N('Debt List'!F9),N(GD6)+N(GE6)))+((GT6=5)*GV6+(GX6=5)*GZ6+(HB6=5)*HD6+(HF6=5)*HH6+(HJ6=5)*HL6+(HN6=5)*HP6+(HR6=5)*HT6+(HV6=5)*HX6)</f>
        <v/>
      </c>
      <c r="GG6">
        <f>MAX(0,ROUND(N(GD6)+N(GE6)-N(GF6),2))</f>
        <v/>
      </c>
      <c r="GH6">
        <f>N(GK5)</f>
        <v/>
      </c>
      <c r="GI6">
        <f>IF(N(GH6)&lt;=0.005,0,ROUND(N(GH6)*N('Debt List'!E10)/12,2))</f>
        <v/>
      </c>
      <c r="GJ6">
        <f>IF(N(GH6)&lt;=0.005,0,MIN(N('Debt List'!F10),N(GH6)+N(GI6)))+((GT6=6)*GV6+(GX6=6)*GZ6+(HB6=6)*HD6+(HF6=6)*HH6+(HJ6=6)*HL6+(HN6=6)*HP6+(HR6=6)*HT6+(HV6=6)*HX6)</f>
        <v/>
      </c>
      <c r="GK6">
        <f>MAX(0,ROUND(N(GH6)+N(GI6)-N(GJ6),2))</f>
        <v/>
      </c>
      <c r="GL6">
        <f>N(GO5)</f>
        <v/>
      </c>
      <c r="GM6">
        <f>IF(N(GL6)&lt;=0.005,0,ROUND(N(GL6)*N('Debt List'!E11)/12,2))</f>
        <v/>
      </c>
      <c r="GN6">
        <f>IF(N(GL6)&lt;=0.005,0,MIN(N('Debt List'!F11),N(GL6)+N(GM6)))+((GT6=7)*GV6+(GX6=7)*GZ6+(HB6=7)*HD6+(HF6=7)*HH6+(HJ6=7)*HL6+(HN6=7)*HP6+(HR6=7)*HT6+(HV6=7)*HX6)</f>
        <v/>
      </c>
      <c r="GO6">
        <f>MAX(0,ROUND(N(GL6)+N(GM6)-N(GN6),2))</f>
        <v/>
      </c>
      <c r="GP6">
        <f>N(GS5)</f>
        <v/>
      </c>
      <c r="GQ6">
        <f>IF(N(GP6)&lt;=0.005,0,ROUND(N(GP6)*N('Debt List'!E12)/12,2))</f>
        <v/>
      </c>
      <c r="GR6">
        <f>IF(N(GP6)&lt;=0.005,0,MIN(N('Debt List'!F12),N(GP6)+N(GQ6)))+((GT6=8)*GV6+(GX6=8)*GZ6+(HB6=8)*HD6+(HF6=8)*HH6+(HJ6=8)*HL6+(HN6=8)*HP6+(HR6=8)*HT6+(HV6=8)*HX6)</f>
        <v/>
      </c>
      <c r="GS6">
        <f>MAX(0,ROUND(N(GP6)+N(GQ6)-N(GR6),2))</f>
        <v/>
      </c>
      <c r="GT6">
        <f>IFERROR(MATCH(1,OrderAval,0),"")</f>
        <v/>
      </c>
      <c r="GU6">
        <f>IF(GT6="",0,IFERROR(IF(N(CHOOSE(GT6,FN6,FR6,FV6,FZ6,GD6,GH6,GL6,GP6))&lt;=0.005,0,MAX(0,N(CHOOSE(GT6,FN6,FR6,FV6,FZ6,GD6,GH6,GL6,GP6))+N(CHOOSE(GT6,FO6,FS6,FW6,GA6,GE6,GI6,GM6,GQ6))-MIN(N(CHOOSE(GT6,'Debt List'!$F$5,'Debt List'!$F$6,'Debt List'!$F$7,'Debt List'!$F$8,'Debt List'!$F$9,'Debt List'!$F$10,'Debt List'!$F$11,'Debt List'!$F$12)),N(CHOOSE(GT6,FN6,FR6,FV6,FZ6,GD6,GH6,GL6,GP6))+N(CHOOSE(GT6,FO6,FS6,FW6,GA6,GE6,GI6,GM6,GQ6))))),0))</f>
        <v/>
      </c>
      <c r="GV6">
        <f>MIN(N(GU6),MAX(0,N(ExtraPayment)))</f>
        <v/>
      </c>
      <c r="GW6">
        <f>MAX(0,N(ExtraPayment)-N(GV6))</f>
        <v/>
      </c>
      <c r="GX6">
        <f>IFERROR(MATCH(2,OrderAval,0),"")</f>
        <v/>
      </c>
      <c r="GY6">
        <f>IF(GX6="",0,IFERROR(IF(N(CHOOSE(GX6,FN6,FR6,FV6,FZ6,GD6,GH6,GL6,GP6))&lt;=0.005,0,MAX(0,N(CHOOSE(GX6,FN6,FR6,FV6,FZ6,GD6,GH6,GL6,GP6))+N(CHOOSE(GX6,FO6,FS6,FW6,GA6,GE6,GI6,GM6,GQ6))-MIN(N(CHOOSE(GX6,'Debt List'!$F$5,'Debt List'!$F$6,'Debt List'!$F$7,'Debt List'!$F$8,'Debt List'!$F$9,'Debt List'!$F$10,'Debt List'!$F$11,'Debt List'!$F$12)),N(CHOOSE(GX6,FN6,FR6,FV6,FZ6,GD6,GH6,GL6,GP6))+N(CHOOSE(GX6,FO6,FS6,FW6,GA6,GE6,GI6,GM6,GQ6))))),0))</f>
        <v/>
      </c>
      <c r="GZ6">
        <f>MIN(N(GY6),MAX(0,N(GW6)))</f>
        <v/>
      </c>
      <c r="HA6">
        <f>MAX(0,N(GW6)-N(GZ6))</f>
        <v/>
      </c>
      <c r="HB6">
        <f>IFERROR(MATCH(3,OrderAval,0),"")</f>
        <v/>
      </c>
      <c r="HC6">
        <f>IF(HB6="",0,IFERROR(IF(N(CHOOSE(HB6,FN6,FR6,FV6,FZ6,GD6,GH6,GL6,GP6))&lt;=0.005,0,MAX(0,N(CHOOSE(HB6,FN6,FR6,FV6,FZ6,GD6,GH6,GL6,GP6))+N(CHOOSE(HB6,FO6,FS6,FW6,GA6,GE6,GI6,GM6,GQ6))-MIN(N(CHOOSE(HB6,'Debt List'!$F$5,'Debt List'!$F$6,'Debt List'!$F$7,'Debt List'!$F$8,'Debt List'!$F$9,'Debt List'!$F$10,'Debt List'!$F$11,'Debt List'!$F$12)),N(CHOOSE(HB6,FN6,FR6,FV6,FZ6,GD6,GH6,GL6,GP6))+N(CHOOSE(HB6,FO6,FS6,FW6,GA6,GE6,GI6,GM6,GQ6))))),0))</f>
        <v/>
      </c>
      <c r="HD6">
        <f>MIN(N(HC6),MAX(0,N(HA6)))</f>
        <v/>
      </c>
      <c r="HE6">
        <f>MAX(0,N(HA6)-N(HD6))</f>
        <v/>
      </c>
      <c r="HF6">
        <f>IFERROR(MATCH(4,OrderAval,0),"")</f>
        <v/>
      </c>
      <c r="HG6">
        <f>IF(HF6="",0,IFERROR(IF(N(CHOOSE(HF6,FN6,FR6,FV6,FZ6,GD6,GH6,GL6,GP6))&lt;=0.005,0,MAX(0,N(CHOOSE(HF6,FN6,FR6,FV6,FZ6,GD6,GH6,GL6,GP6))+N(CHOOSE(HF6,FO6,FS6,FW6,GA6,GE6,GI6,GM6,GQ6))-MIN(N(CHOOSE(HF6,'Debt List'!$F$5,'Debt List'!$F$6,'Debt List'!$F$7,'Debt List'!$F$8,'Debt List'!$F$9,'Debt List'!$F$10,'Debt List'!$F$11,'Debt List'!$F$12)),N(CHOOSE(HF6,FN6,FR6,FV6,FZ6,GD6,GH6,GL6,GP6))+N(CHOOSE(HF6,FO6,FS6,FW6,GA6,GE6,GI6,GM6,GQ6))))),0))</f>
        <v/>
      </c>
      <c r="HH6">
        <f>MIN(N(HG6),MAX(0,N(HE6)))</f>
        <v/>
      </c>
      <c r="HI6">
        <f>MAX(0,N(HE6)-N(HH6))</f>
        <v/>
      </c>
      <c r="HJ6">
        <f>IFERROR(MATCH(5,OrderAval,0),"")</f>
        <v/>
      </c>
      <c r="HK6">
        <f>IF(HJ6="",0,IFERROR(IF(N(CHOOSE(HJ6,FN6,FR6,FV6,FZ6,GD6,GH6,GL6,GP6))&lt;=0.005,0,MAX(0,N(CHOOSE(HJ6,FN6,FR6,FV6,FZ6,GD6,GH6,GL6,GP6))+N(CHOOSE(HJ6,FO6,FS6,FW6,GA6,GE6,GI6,GM6,GQ6))-MIN(N(CHOOSE(HJ6,'Debt List'!$F$5,'Debt List'!$F$6,'Debt List'!$F$7,'Debt List'!$F$8,'Debt List'!$F$9,'Debt List'!$F$10,'Debt List'!$F$11,'Debt List'!$F$12)),N(CHOOSE(HJ6,FN6,FR6,FV6,FZ6,GD6,GH6,GL6,GP6))+N(CHOOSE(HJ6,FO6,FS6,FW6,GA6,GE6,GI6,GM6,GQ6))))),0))</f>
        <v/>
      </c>
      <c r="HL6">
        <f>MIN(N(HK6),MAX(0,N(HI6)))</f>
        <v/>
      </c>
      <c r="HM6">
        <f>MAX(0,N(HI6)-N(HL6))</f>
        <v/>
      </c>
      <c r="HN6">
        <f>IFERROR(MATCH(6,OrderAval,0),"")</f>
        <v/>
      </c>
      <c r="HO6">
        <f>IF(HN6="",0,IFERROR(IF(N(CHOOSE(HN6,FN6,FR6,FV6,FZ6,GD6,GH6,GL6,GP6))&lt;=0.005,0,MAX(0,N(CHOOSE(HN6,FN6,FR6,FV6,FZ6,GD6,GH6,GL6,GP6))+N(CHOOSE(HN6,FO6,FS6,FW6,GA6,GE6,GI6,GM6,GQ6))-MIN(N(CHOOSE(HN6,'Debt List'!$F$5,'Debt List'!$F$6,'Debt List'!$F$7,'Debt List'!$F$8,'Debt List'!$F$9,'Debt List'!$F$10,'Debt List'!$F$11,'Debt List'!$F$12)),N(CHOOSE(HN6,FN6,FR6,FV6,FZ6,GD6,GH6,GL6,GP6))+N(CHOOSE(HN6,FO6,FS6,FW6,GA6,GE6,GI6,GM6,GQ6))))),0))</f>
        <v/>
      </c>
      <c r="HP6">
        <f>MIN(N(HO6),MAX(0,N(HM6)))</f>
        <v/>
      </c>
      <c r="HQ6">
        <f>MAX(0,N(HM6)-N(HP6))</f>
        <v/>
      </c>
      <c r="HR6">
        <f>IFERROR(MATCH(7,OrderAval,0),"")</f>
        <v/>
      </c>
      <c r="HS6">
        <f>IF(HR6="",0,IFERROR(IF(N(CHOOSE(HR6,FN6,FR6,FV6,FZ6,GD6,GH6,GL6,GP6))&lt;=0.005,0,MAX(0,N(CHOOSE(HR6,FN6,FR6,FV6,FZ6,GD6,GH6,GL6,GP6))+N(CHOOSE(HR6,FO6,FS6,FW6,GA6,GE6,GI6,GM6,GQ6))-MIN(N(CHOOSE(HR6,'Debt List'!$F$5,'Debt List'!$F$6,'Debt List'!$F$7,'Debt List'!$F$8,'Debt List'!$F$9,'Debt List'!$F$10,'Debt List'!$F$11,'Debt List'!$F$12)),N(CHOOSE(HR6,FN6,FR6,FV6,FZ6,GD6,GH6,GL6,GP6))+N(CHOOSE(HR6,FO6,FS6,FW6,GA6,GE6,GI6,GM6,GQ6))))),0))</f>
        <v/>
      </c>
      <c r="HT6">
        <f>MIN(N(HS6),MAX(0,N(HQ6)))</f>
        <v/>
      </c>
      <c r="HU6">
        <f>MAX(0,N(HQ6)-N(HT6))</f>
        <v/>
      </c>
      <c r="HV6">
        <f>IFERROR(MATCH(8,OrderAval,0),"")</f>
        <v/>
      </c>
      <c r="HW6">
        <f>IF(HV6="",0,IFERROR(IF(N(CHOOSE(HV6,FN6,FR6,FV6,FZ6,GD6,GH6,GL6,GP6))&lt;=0.005,0,MAX(0,N(CHOOSE(HV6,FN6,FR6,FV6,FZ6,GD6,GH6,GL6,GP6))+N(CHOOSE(HV6,FO6,FS6,FW6,GA6,GE6,GI6,GM6,GQ6))-MIN(N(CHOOSE(HV6,'Debt List'!$F$5,'Debt List'!$F$6,'Debt List'!$F$7,'Debt List'!$F$8,'Debt List'!$F$9,'Debt List'!$F$10,'Debt List'!$F$11,'Debt List'!$F$12)),N(CHOOSE(HV6,FN6,FR6,FV6,FZ6,GD6,GH6,GL6,GP6))+N(CHOOSE(HV6,FO6,FS6,FW6,GA6,GE6,GI6,GM6,GQ6))))),0))</f>
        <v/>
      </c>
      <c r="HX6">
        <f>MIN(N(HW6),MAX(0,N(HU6)))</f>
        <v/>
      </c>
      <c r="HY6">
        <f>MAX(0,N(HU6)-N(HX6))</f>
        <v/>
      </c>
    </row>
    <row r="7">
      <c r="A7" t="n">
        <v>3</v>
      </c>
      <c r="B7" s="115">
        <f>DATE(YEAR(PlanStart),MONTH(PlanStart)+A7-1,1)</f>
        <v/>
      </c>
      <c r="C7">
        <f>IF(AND(AP7&lt;&gt;"",N(CHOOSE(AP7,J7,N7,R7,V7,Z7,AD7,AH7,AL7))&gt;0.005),INDEX(DebtNames,AP7),IF(AND(AT7&lt;&gt;"",N(CHOOSE(AT7,J7,N7,R7,V7,Z7,AD7,AH7,AL7))&gt;0.005),INDEX(DebtNames,AT7),IF(AND(AX7&lt;&gt;"",N(CHOOSE(AX7,J7,N7,R7,V7,Z7,AD7,AH7,AL7))&gt;0.005),INDEX(DebtNames,AX7),IF(AND(BB7&lt;&gt;"",N(CHOOSE(BB7,J7,N7,R7,V7,Z7,AD7,AH7,AL7))&gt;0.005),INDEX(DebtNames,BB7),IF(AND(BF7&lt;&gt;"",N(CHOOSE(BF7,J7,N7,R7,V7,Z7,AD7,AH7,AL7))&gt;0.005),INDEX(DebtNames,BF7),IF(AND(BJ7&lt;&gt;"",N(CHOOSE(BJ7,J7,N7,R7,V7,Z7,AD7,AH7,AL7))&gt;0.005),INDEX(DebtNames,BJ7),IF(AND(BN7&lt;&gt;"",N(CHOOSE(BN7,J7,N7,R7,V7,Z7,AD7,AH7,AL7))&gt;0.005),INDEX(DebtNames,BN7),IF(AND(BR7&lt;&gt;"",N(CHOOSE(BR7,J7,N7,R7,V7,Z7,AD7,AH7,AL7))&gt;0.005),INDEX(DebtNames,BR7),""))))))))</f>
        <v/>
      </c>
      <c r="D7">
        <f>N(BU7)</f>
        <v/>
      </c>
      <c r="E7">
        <f>N(L7)+N(P7)+N(T7)+N(X7)+N(AB7)+N(AF7)+N(AJ7)+N(AN7)</f>
        <v/>
      </c>
      <c r="F7">
        <f>N(K7)+N(O7)+N(S7)+N(W7)+N(AA7)+N(AE7)+N(AI7)+N(AM7)</f>
        <v/>
      </c>
      <c r="G7">
        <f>N(G6)+N(F7)</f>
        <v/>
      </c>
      <c r="H7">
        <f>N(M7)+N(Q7)+N(U7)+N(Y7)+N(AC7)+N(AG7)+N(AK7)+N(AO7)</f>
        <v/>
      </c>
      <c r="I7">
        <f>(M7&gt;0.005)*1+(Q7&gt;0.005)*1+(U7&gt;0.005)*1+(Y7&gt;0.005)*1+(AC7&gt;0.005)*1+(AG7&gt;0.005)*1+(AK7&gt;0.005)*1+(AO7&gt;0.005)*1</f>
        <v/>
      </c>
      <c r="J7">
        <f>N(M6)</f>
        <v/>
      </c>
      <c r="K7">
        <f>IF(N(J7)&lt;=0.005,0,ROUND(N(J7)*N('Debt List'!E5)/12,2))</f>
        <v/>
      </c>
      <c r="L7">
        <f>IF(N(J7)&lt;=0.005,0,MIN(N('Debt List'!F5),N(J7)+N(K7)))+((AP7=1)*AR7+(AT7=1)*AV7+(AX7=1)*AZ7+(BB7=1)*BD7+(BF7=1)*BH7+(BJ7=1)*BL7+(BN7=1)*BP7+(BR7=1)*BT7)</f>
        <v/>
      </c>
      <c r="M7">
        <f>MAX(0,ROUND(N(J7)+N(K7)-N(L7),2))</f>
        <v/>
      </c>
      <c r="N7">
        <f>N(Q6)</f>
        <v/>
      </c>
      <c r="O7">
        <f>IF(N(N7)&lt;=0.005,0,ROUND(N(N7)*N('Debt List'!E6)/12,2))</f>
        <v/>
      </c>
      <c r="P7">
        <f>IF(N(N7)&lt;=0.005,0,MIN(N('Debt List'!F6),N(N7)+N(O7)))+((AP7=2)*AR7+(AT7=2)*AV7+(AX7=2)*AZ7+(BB7=2)*BD7+(BF7=2)*BH7+(BJ7=2)*BL7+(BN7=2)*BP7+(BR7=2)*BT7)</f>
        <v/>
      </c>
      <c r="Q7">
        <f>MAX(0,ROUND(N(N7)+N(O7)-N(P7),2))</f>
        <v/>
      </c>
      <c r="R7">
        <f>N(U6)</f>
        <v/>
      </c>
      <c r="S7">
        <f>IF(N(R7)&lt;=0.005,0,ROUND(N(R7)*N('Debt List'!E7)/12,2))</f>
        <v/>
      </c>
      <c r="T7">
        <f>IF(N(R7)&lt;=0.005,0,MIN(N('Debt List'!F7),N(R7)+N(S7)))+((AP7=3)*AR7+(AT7=3)*AV7+(AX7=3)*AZ7+(BB7=3)*BD7+(BF7=3)*BH7+(BJ7=3)*BL7+(BN7=3)*BP7+(BR7=3)*BT7)</f>
        <v/>
      </c>
      <c r="U7">
        <f>MAX(0,ROUND(N(R7)+N(S7)-N(T7),2))</f>
        <v/>
      </c>
      <c r="V7">
        <f>N(Y6)</f>
        <v/>
      </c>
      <c r="W7">
        <f>IF(N(V7)&lt;=0.005,0,ROUND(N(V7)*N('Debt List'!E8)/12,2))</f>
        <v/>
      </c>
      <c r="X7">
        <f>IF(N(V7)&lt;=0.005,0,MIN(N('Debt List'!F8),N(V7)+N(W7)))+((AP7=4)*AR7+(AT7=4)*AV7+(AX7=4)*AZ7+(BB7=4)*BD7+(BF7=4)*BH7+(BJ7=4)*BL7+(BN7=4)*BP7+(BR7=4)*BT7)</f>
        <v/>
      </c>
      <c r="Y7">
        <f>MAX(0,ROUND(N(V7)+N(W7)-N(X7),2))</f>
        <v/>
      </c>
      <c r="Z7">
        <f>N(AC6)</f>
        <v/>
      </c>
      <c r="AA7">
        <f>IF(N(Z7)&lt;=0.005,0,ROUND(N(Z7)*N('Debt List'!E9)/12,2))</f>
        <v/>
      </c>
      <c r="AB7">
        <f>IF(N(Z7)&lt;=0.005,0,MIN(N('Debt List'!F9),N(Z7)+N(AA7)))+((AP7=5)*AR7+(AT7=5)*AV7+(AX7=5)*AZ7+(BB7=5)*BD7+(BF7=5)*BH7+(BJ7=5)*BL7+(BN7=5)*BP7+(BR7=5)*BT7)</f>
        <v/>
      </c>
      <c r="AC7">
        <f>MAX(0,ROUND(N(Z7)+N(AA7)-N(AB7),2))</f>
        <v/>
      </c>
      <c r="AD7">
        <f>N(AG6)</f>
        <v/>
      </c>
      <c r="AE7">
        <f>IF(N(AD7)&lt;=0.005,0,ROUND(N(AD7)*N('Debt List'!E10)/12,2))</f>
        <v/>
      </c>
      <c r="AF7">
        <f>IF(N(AD7)&lt;=0.005,0,MIN(N('Debt List'!F10),N(AD7)+N(AE7)))+((AP7=6)*AR7+(AT7=6)*AV7+(AX7=6)*AZ7+(BB7=6)*BD7+(BF7=6)*BH7+(BJ7=6)*BL7+(BN7=6)*BP7+(BR7=6)*BT7)</f>
        <v/>
      </c>
      <c r="AG7">
        <f>MAX(0,ROUND(N(AD7)+N(AE7)-N(AF7),2))</f>
        <v/>
      </c>
      <c r="AH7">
        <f>N(AK6)</f>
        <v/>
      </c>
      <c r="AI7">
        <f>IF(N(AH7)&lt;=0.005,0,ROUND(N(AH7)*N('Debt List'!E11)/12,2))</f>
        <v/>
      </c>
      <c r="AJ7">
        <f>IF(N(AH7)&lt;=0.005,0,MIN(N('Debt List'!F11),N(AH7)+N(AI7)))+((AP7=7)*AR7+(AT7=7)*AV7+(AX7=7)*AZ7+(BB7=7)*BD7+(BF7=7)*BH7+(BJ7=7)*BL7+(BN7=7)*BP7+(BR7=7)*BT7)</f>
        <v/>
      </c>
      <c r="AK7">
        <f>MAX(0,ROUND(N(AH7)+N(AI7)-N(AJ7),2))</f>
        <v/>
      </c>
      <c r="AL7">
        <f>N(AO6)</f>
        <v/>
      </c>
      <c r="AM7">
        <f>IF(N(AL7)&lt;=0.005,0,ROUND(N(AL7)*N('Debt List'!E12)/12,2))</f>
        <v/>
      </c>
      <c r="AN7">
        <f>IF(N(AL7)&lt;=0.005,0,MIN(N('Debt List'!F12),N(AL7)+N(AM7)))+((AP7=8)*AR7+(AT7=8)*AV7+(AX7=8)*AZ7+(BB7=8)*BD7+(BF7=8)*BH7+(BJ7=8)*BL7+(BN7=8)*BP7+(BR7=8)*BT7)</f>
        <v/>
      </c>
      <c r="AO7">
        <f>MAX(0,ROUND(N(AL7)+N(AM7)-N(AN7),2))</f>
        <v/>
      </c>
      <c r="AP7">
        <f>IFERROR(MATCH(1,OrderPlan,0),"")</f>
        <v/>
      </c>
      <c r="AQ7">
        <f>IF(AP7="",0,IFERROR(IF(N(CHOOSE(AP7,J7,N7,R7,V7,Z7,AD7,AH7,AL7))&lt;=0.005,0,MAX(0,N(CHOOSE(AP7,J7,N7,R7,V7,Z7,AD7,AH7,AL7))+N(CHOOSE(AP7,K7,O7,S7,W7,AA7,AE7,AI7,AM7))-MIN(N(CHOOSE(AP7,'Debt List'!$F$5,'Debt List'!$F$6,'Debt List'!$F$7,'Debt List'!$F$8,'Debt List'!$F$9,'Debt List'!$F$10,'Debt List'!$F$11,'Debt List'!$F$12)),N(CHOOSE(AP7,J7,N7,R7,V7,Z7,AD7,AH7,AL7))+N(CHOOSE(AP7,K7,O7,S7,W7,AA7,AE7,AI7,AM7))))),0))</f>
        <v/>
      </c>
      <c r="AR7">
        <f>MIN(N(AQ7),MAX(0,N(ExtraPayment)))</f>
        <v/>
      </c>
      <c r="AS7">
        <f>MAX(0,N(ExtraPayment)-N(AR7))</f>
        <v/>
      </c>
      <c r="AT7">
        <f>IFERROR(MATCH(2,OrderPlan,0),"")</f>
        <v/>
      </c>
      <c r="AU7">
        <f>IF(AT7="",0,IFERROR(IF(N(CHOOSE(AT7,J7,N7,R7,V7,Z7,AD7,AH7,AL7))&lt;=0.005,0,MAX(0,N(CHOOSE(AT7,J7,N7,R7,V7,Z7,AD7,AH7,AL7))+N(CHOOSE(AT7,K7,O7,S7,W7,AA7,AE7,AI7,AM7))-MIN(N(CHOOSE(AT7,'Debt List'!$F$5,'Debt List'!$F$6,'Debt List'!$F$7,'Debt List'!$F$8,'Debt List'!$F$9,'Debt List'!$F$10,'Debt List'!$F$11,'Debt List'!$F$12)),N(CHOOSE(AT7,J7,N7,R7,V7,Z7,AD7,AH7,AL7))+N(CHOOSE(AT7,K7,O7,S7,W7,AA7,AE7,AI7,AM7))))),0))</f>
        <v/>
      </c>
      <c r="AV7">
        <f>MIN(N(AU7),MAX(0,N(AS7)))</f>
        <v/>
      </c>
      <c r="AW7">
        <f>MAX(0,N(AS7)-N(AV7))</f>
        <v/>
      </c>
      <c r="AX7">
        <f>IFERROR(MATCH(3,OrderPlan,0),"")</f>
        <v/>
      </c>
      <c r="AY7">
        <f>IF(AX7="",0,IFERROR(IF(N(CHOOSE(AX7,J7,N7,R7,V7,Z7,AD7,AH7,AL7))&lt;=0.005,0,MAX(0,N(CHOOSE(AX7,J7,N7,R7,V7,Z7,AD7,AH7,AL7))+N(CHOOSE(AX7,K7,O7,S7,W7,AA7,AE7,AI7,AM7))-MIN(N(CHOOSE(AX7,'Debt List'!$F$5,'Debt List'!$F$6,'Debt List'!$F$7,'Debt List'!$F$8,'Debt List'!$F$9,'Debt List'!$F$10,'Debt List'!$F$11,'Debt List'!$F$12)),N(CHOOSE(AX7,J7,N7,R7,V7,Z7,AD7,AH7,AL7))+N(CHOOSE(AX7,K7,O7,S7,W7,AA7,AE7,AI7,AM7))))),0))</f>
        <v/>
      </c>
      <c r="AZ7">
        <f>MIN(N(AY7),MAX(0,N(AW7)))</f>
        <v/>
      </c>
      <c r="BA7">
        <f>MAX(0,N(AW7)-N(AZ7))</f>
        <v/>
      </c>
      <c r="BB7">
        <f>IFERROR(MATCH(4,OrderPlan,0),"")</f>
        <v/>
      </c>
      <c r="BC7">
        <f>IF(BB7="",0,IFERROR(IF(N(CHOOSE(BB7,J7,N7,R7,V7,Z7,AD7,AH7,AL7))&lt;=0.005,0,MAX(0,N(CHOOSE(BB7,J7,N7,R7,V7,Z7,AD7,AH7,AL7))+N(CHOOSE(BB7,K7,O7,S7,W7,AA7,AE7,AI7,AM7))-MIN(N(CHOOSE(BB7,'Debt List'!$F$5,'Debt List'!$F$6,'Debt List'!$F$7,'Debt List'!$F$8,'Debt List'!$F$9,'Debt List'!$F$10,'Debt List'!$F$11,'Debt List'!$F$12)),N(CHOOSE(BB7,J7,N7,R7,V7,Z7,AD7,AH7,AL7))+N(CHOOSE(BB7,K7,O7,S7,W7,AA7,AE7,AI7,AM7))))),0))</f>
        <v/>
      </c>
      <c r="BD7">
        <f>MIN(N(BC7),MAX(0,N(BA7)))</f>
        <v/>
      </c>
      <c r="BE7">
        <f>MAX(0,N(BA7)-N(BD7))</f>
        <v/>
      </c>
      <c r="BF7">
        <f>IFERROR(MATCH(5,OrderPlan,0),"")</f>
        <v/>
      </c>
      <c r="BG7">
        <f>IF(BF7="",0,IFERROR(IF(N(CHOOSE(BF7,J7,N7,R7,V7,Z7,AD7,AH7,AL7))&lt;=0.005,0,MAX(0,N(CHOOSE(BF7,J7,N7,R7,V7,Z7,AD7,AH7,AL7))+N(CHOOSE(BF7,K7,O7,S7,W7,AA7,AE7,AI7,AM7))-MIN(N(CHOOSE(BF7,'Debt List'!$F$5,'Debt List'!$F$6,'Debt List'!$F$7,'Debt List'!$F$8,'Debt List'!$F$9,'Debt List'!$F$10,'Debt List'!$F$11,'Debt List'!$F$12)),N(CHOOSE(BF7,J7,N7,R7,V7,Z7,AD7,AH7,AL7))+N(CHOOSE(BF7,K7,O7,S7,W7,AA7,AE7,AI7,AM7))))),0))</f>
        <v/>
      </c>
      <c r="BH7">
        <f>MIN(N(BG7),MAX(0,N(BE7)))</f>
        <v/>
      </c>
      <c r="BI7">
        <f>MAX(0,N(BE7)-N(BH7))</f>
        <v/>
      </c>
      <c r="BJ7">
        <f>IFERROR(MATCH(6,OrderPlan,0),"")</f>
        <v/>
      </c>
      <c r="BK7">
        <f>IF(BJ7="",0,IFERROR(IF(N(CHOOSE(BJ7,J7,N7,R7,V7,Z7,AD7,AH7,AL7))&lt;=0.005,0,MAX(0,N(CHOOSE(BJ7,J7,N7,R7,V7,Z7,AD7,AH7,AL7))+N(CHOOSE(BJ7,K7,O7,S7,W7,AA7,AE7,AI7,AM7))-MIN(N(CHOOSE(BJ7,'Debt List'!$F$5,'Debt List'!$F$6,'Debt List'!$F$7,'Debt List'!$F$8,'Debt List'!$F$9,'Debt List'!$F$10,'Debt List'!$F$11,'Debt List'!$F$12)),N(CHOOSE(BJ7,J7,N7,R7,V7,Z7,AD7,AH7,AL7))+N(CHOOSE(BJ7,K7,O7,S7,W7,AA7,AE7,AI7,AM7))))),0))</f>
        <v/>
      </c>
      <c r="BL7">
        <f>MIN(N(BK7),MAX(0,N(BI7)))</f>
        <v/>
      </c>
      <c r="BM7">
        <f>MAX(0,N(BI7)-N(BL7))</f>
        <v/>
      </c>
      <c r="BN7">
        <f>IFERROR(MATCH(7,OrderPlan,0),"")</f>
        <v/>
      </c>
      <c r="BO7">
        <f>IF(BN7="",0,IFERROR(IF(N(CHOOSE(BN7,J7,N7,R7,V7,Z7,AD7,AH7,AL7))&lt;=0.005,0,MAX(0,N(CHOOSE(BN7,J7,N7,R7,V7,Z7,AD7,AH7,AL7))+N(CHOOSE(BN7,K7,O7,S7,W7,AA7,AE7,AI7,AM7))-MIN(N(CHOOSE(BN7,'Debt List'!$F$5,'Debt List'!$F$6,'Debt List'!$F$7,'Debt List'!$F$8,'Debt List'!$F$9,'Debt List'!$F$10,'Debt List'!$F$11,'Debt List'!$F$12)),N(CHOOSE(BN7,J7,N7,R7,V7,Z7,AD7,AH7,AL7))+N(CHOOSE(BN7,K7,O7,S7,W7,AA7,AE7,AI7,AM7))))),0))</f>
        <v/>
      </c>
      <c r="BP7">
        <f>MIN(N(BO7),MAX(0,N(BM7)))</f>
        <v/>
      </c>
      <c r="BQ7">
        <f>MAX(0,N(BM7)-N(BP7))</f>
        <v/>
      </c>
      <c r="BR7">
        <f>IFERROR(MATCH(8,OrderPlan,0),"")</f>
        <v/>
      </c>
      <c r="BS7">
        <f>IF(BR7="",0,IFERROR(IF(N(CHOOSE(BR7,J7,N7,R7,V7,Z7,AD7,AH7,AL7))&lt;=0.005,0,MAX(0,N(CHOOSE(BR7,J7,N7,R7,V7,Z7,AD7,AH7,AL7))+N(CHOOSE(BR7,K7,O7,S7,W7,AA7,AE7,AI7,AM7))-MIN(N(CHOOSE(BR7,'Debt List'!$F$5,'Debt List'!$F$6,'Debt List'!$F$7,'Debt List'!$F$8,'Debt List'!$F$9,'Debt List'!$F$10,'Debt List'!$F$11,'Debt List'!$F$12)),N(CHOOSE(BR7,J7,N7,R7,V7,Z7,AD7,AH7,AL7))+N(CHOOSE(BR7,K7,O7,S7,W7,AA7,AE7,AI7,AM7))))),0))</f>
        <v/>
      </c>
      <c r="BT7">
        <f>MIN(N(BS7),MAX(0,N(BQ7)))</f>
        <v/>
      </c>
      <c r="BU7">
        <f>MAX(0,N(BQ7)-N(BT7))</f>
        <v/>
      </c>
      <c r="CC7" t="n">
        <v>3</v>
      </c>
      <c r="CD7" s="115">
        <f>DATE(YEAR(PlanStart),MONTH(PlanStart)+CC7-1,1)</f>
        <v/>
      </c>
      <c r="CE7">
        <f>IF(AND(DR7&lt;&gt;"",N(CHOOSE(DR7,CL7,CP7,CT7,CX7,DB7,DF7,DJ7,DN7))&gt;0.005),INDEX(DebtNames,DR7),IF(AND(DV7&lt;&gt;"",N(CHOOSE(DV7,CL7,CP7,CT7,CX7,DB7,DF7,DJ7,DN7))&gt;0.005),INDEX(DebtNames,DV7),IF(AND(DZ7&lt;&gt;"",N(CHOOSE(DZ7,CL7,CP7,CT7,CX7,DB7,DF7,DJ7,DN7))&gt;0.005),INDEX(DebtNames,DZ7),IF(AND(ED7&lt;&gt;"",N(CHOOSE(ED7,CL7,CP7,CT7,CX7,DB7,DF7,DJ7,DN7))&gt;0.005),INDEX(DebtNames,ED7),IF(AND(EH7&lt;&gt;"",N(CHOOSE(EH7,CL7,CP7,CT7,CX7,DB7,DF7,DJ7,DN7))&gt;0.005),INDEX(DebtNames,EH7),IF(AND(EL7&lt;&gt;"",N(CHOOSE(EL7,CL7,CP7,CT7,CX7,DB7,DF7,DJ7,DN7))&gt;0.005),INDEX(DebtNames,EL7),IF(AND(EP7&lt;&gt;"",N(CHOOSE(EP7,CL7,CP7,CT7,CX7,DB7,DF7,DJ7,DN7))&gt;0.005),INDEX(DebtNames,EP7),IF(AND(ET7&lt;&gt;"",N(CHOOSE(ET7,CL7,CP7,CT7,CX7,DB7,DF7,DJ7,DN7))&gt;0.005),INDEX(DebtNames,ET7),""))))))))</f>
        <v/>
      </c>
      <c r="CF7">
        <f>N(EW7)</f>
        <v/>
      </c>
      <c r="CG7">
        <f>N(CN7)+N(CR7)+N(CV7)+N(CZ7)+N(DD7)+N(DH7)+N(DL7)+N(DP7)</f>
        <v/>
      </c>
      <c r="CH7">
        <f>N(CM7)+N(CQ7)+N(CU7)+N(CY7)+N(DC7)+N(DG7)+N(DK7)+N(DO7)</f>
        <v/>
      </c>
      <c r="CI7">
        <f>N(CI6)+N(CH7)</f>
        <v/>
      </c>
      <c r="CJ7">
        <f>N(CO7)+N(CS7)+N(CW7)+N(DA7)+N(DE7)+N(DI7)+N(DM7)+N(DQ7)</f>
        <v/>
      </c>
      <c r="CK7">
        <f>(CO7&gt;0.005)*1+(CS7&gt;0.005)*1+(CW7&gt;0.005)*1+(DA7&gt;0.005)*1+(DE7&gt;0.005)*1+(DI7&gt;0.005)*1+(DM7&gt;0.005)*1+(DQ7&gt;0.005)*1</f>
        <v/>
      </c>
      <c r="CL7">
        <f>N(CO6)</f>
        <v/>
      </c>
      <c r="CM7">
        <f>IF(N(CL7)&lt;=0.005,0,ROUND(N(CL7)*N('Debt List'!E5)/12,2))</f>
        <v/>
      </c>
      <c r="CN7">
        <f>IF(N(CL7)&lt;=0.005,0,MIN(N('Debt List'!F5),N(CL7)+N(CM7)))+((DR7=1)*DT7+(DV7=1)*DX7+(DZ7=1)*EB7+(ED7=1)*EF7+(EH7=1)*EJ7+(EL7=1)*EN7+(EP7=1)*ER7+(ET7=1)*EV7)</f>
        <v/>
      </c>
      <c r="CO7">
        <f>MAX(0,ROUND(N(CL7)+N(CM7)-N(CN7),2))</f>
        <v/>
      </c>
      <c r="CP7">
        <f>N(CS6)</f>
        <v/>
      </c>
      <c r="CQ7">
        <f>IF(N(CP7)&lt;=0.005,0,ROUND(N(CP7)*N('Debt List'!E6)/12,2))</f>
        <v/>
      </c>
      <c r="CR7">
        <f>IF(N(CP7)&lt;=0.005,0,MIN(N('Debt List'!F6),N(CP7)+N(CQ7)))+((DR7=2)*DT7+(DV7=2)*DX7+(DZ7=2)*EB7+(ED7=2)*EF7+(EH7=2)*EJ7+(EL7=2)*EN7+(EP7=2)*ER7+(ET7=2)*EV7)</f>
        <v/>
      </c>
      <c r="CS7">
        <f>MAX(0,ROUND(N(CP7)+N(CQ7)-N(CR7),2))</f>
        <v/>
      </c>
      <c r="CT7">
        <f>N(CW6)</f>
        <v/>
      </c>
      <c r="CU7">
        <f>IF(N(CT7)&lt;=0.005,0,ROUND(N(CT7)*N('Debt List'!E7)/12,2))</f>
        <v/>
      </c>
      <c r="CV7">
        <f>IF(N(CT7)&lt;=0.005,0,MIN(N('Debt List'!F7),N(CT7)+N(CU7)))+((DR7=3)*DT7+(DV7=3)*DX7+(DZ7=3)*EB7+(ED7=3)*EF7+(EH7=3)*EJ7+(EL7=3)*EN7+(EP7=3)*ER7+(ET7=3)*EV7)</f>
        <v/>
      </c>
      <c r="CW7">
        <f>MAX(0,ROUND(N(CT7)+N(CU7)-N(CV7),2))</f>
        <v/>
      </c>
      <c r="CX7">
        <f>N(DA6)</f>
        <v/>
      </c>
      <c r="CY7">
        <f>IF(N(CX7)&lt;=0.005,0,ROUND(N(CX7)*N('Debt List'!E8)/12,2))</f>
        <v/>
      </c>
      <c r="CZ7">
        <f>IF(N(CX7)&lt;=0.005,0,MIN(N('Debt List'!F8),N(CX7)+N(CY7)))+((DR7=4)*DT7+(DV7=4)*DX7+(DZ7=4)*EB7+(ED7=4)*EF7+(EH7=4)*EJ7+(EL7=4)*EN7+(EP7=4)*ER7+(ET7=4)*EV7)</f>
        <v/>
      </c>
      <c r="DA7">
        <f>MAX(0,ROUND(N(CX7)+N(CY7)-N(CZ7),2))</f>
        <v/>
      </c>
      <c r="DB7">
        <f>N(DE6)</f>
        <v/>
      </c>
      <c r="DC7">
        <f>IF(N(DB7)&lt;=0.005,0,ROUND(N(DB7)*N('Debt List'!E9)/12,2))</f>
        <v/>
      </c>
      <c r="DD7">
        <f>IF(N(DB7)&lt;=0.005,0,MIN(N('Debt List'!F9),N(DB7)+N(DC7)))+((DR7=5)*DT7+(DV7=5)*DX7+(DZ7=5)*EB7+(ED7=5)*EF7+(EH7=5)*EJ7+(EL7=5)*EN7+(EP7=5)*ER7+(ET7=5)*EV7)</f>
        <v/>
      </c>
      <c r="DE7">
        <f>MAX(0,ROUND(N(DB7)+N(DC7)-N(DD7),2))</f>
        <v/>
      </c>
      <c r="DF7">
        <f>N(DI6)</f>
        <v/>
      </c>
      <c r="DG7">
        <f>IF(N(DF7)&lt;=0.005,0,ROUND(N(DF7)*N('Debt List'!E10)/12,2))</f>
        <v/>
      </c>
      <c r="DH7">
        <f>IF(N(DF7)&lt;=0.005,0,MIN(N('Debt List'!F10),N(DF7)+N(DG7)))+((DR7=6)*DT7+(DV7=6)*DX7+(DZ7=6)*EB7+(ED7=6)*EF7+(EH7=6)*EJ7+(EL7=6)*EN7+(EP7=6)*ER7+(ET7=6)*EV7)</f>
        <v/>
      </c>
      <c r="DI7">
        <f>MAX(0,ROUND(N(DF7)+N(DG7)-N(DH7),2))</f>
        <v/>
      </c>
      <c r="DJ7">
        <f>N(DM6)</f>
        <v/>
      </c>
      <c r="DK7">
        <f>IF(N(DJ7)&lt;=0.005,0,ROUND(N(DJ7)*N('Debt List'!E11)/12,2))</f>
        <v/>
      </c>
      <c r="DL7">
        <f>IF(N(DJ7)&lt;=0.005,0,MIN(N('Debt List'!F11),N(DJ7)+N(DK7)))+((DR7=7)*DT7+(DV7=7)*DX7+(DZ7=7)*EB7+(ED7=7)*EF7+(EH7=7)*EJ7+(EL7=7)*EN7+(EP7=7)*ER7+(ET7=7)*EV7)</f>
        <v/>
      </c>
      <c r="DM7">
        <f>MAX(0,ROUND(N(DJ7)+N(DK7)-N(DL7),2))</f>
        <v/>
      </c>
      <c r="DN7">
        <f>N(DQ6)</f>
        <v/>
      </c>
      <c r="DO7">
        <f>IF(N(DN7)&lt;=0.005,0,ROUND(N(DN7)*N('Debt List'!E12)/12,2))</f>
        <v/>
      </c>
      <c r="DP7">
        <f>IF(N(DN7)&lt;=0.005,0,MIN(N('Debt List'!F12),N(DN7)+N(DO7)))+((DR7=8)*DT7+(DV7=8)*DX7+(DZ7=8)*EB7+(ED7=8)*EF7+(EH7=8)*EJ7+(EL7=8)*EN7+(EP7=8)*ER7+(ET7=8)*EV7)</f>
        <v/>
      </c>
      <c r="DQ7">
        <f>MAX(0,ROUND(N(DN7)+N(DO7)-N(DP7),2))</f>
        <v/>
      </c>
      <c r="DR7">
        <f>IFERROR(MATCH(1,OrderSnow,0),"")</f>
        <v/>
      </c>
      <c r="DS7">
        <f>IF(DR7="",0,IFERROR(IF(N(CHOOSE(DR7,CL7,CP7,CT7,CX7,DB7,DF7,DJ7,DN7))&lt;=0.005,0,MAX(0,N(CHOOSE(DR7,CL7,CP7,CT7,CX7,DB7,DF7,DJ7,DN7))+N(CHOOSE(DR7,CM7,CQ7,CU7,CY7,DC7,DG7,DK7,DO7))-MIN(N(CHOOSE(DR7,'Debt List'!$F$5,'Debt List'!$F$6,'Debt List'!$F$7,'Debt List'!$F$8,'Debt List'!$F$9,'Debt List'!$F$10,'Debt List'!$F$11,'Debt List'!$F$12)),N(CHOOSE(DR7,CL7,CP7,CT7,CX7,DB7,DF7,DJ7,DN7))+N(CHOOSE(DR7,CM7,CQ7,CU7,CY7,DC7,DG7,DK7,DO7))))),0))</f>
        <v/>
      </c>
      <c r="DT7">
        <f>MIN(N(DS7),MAX(0,N(ExtraPayment)))</f>
        <v/>
      </c>
      <c r="DU7">
        <f>MAX(0,N(ExtraPayment)-N(DT7))</f>
        <v/>
      </c>
      <c r="DV7">
        <f>IFERROR(MATCH(2,OrderSnow,0),"")</f>
        <v/>
      </c>
      <c r="DW7">
        <f>IF(DV7="",0,IFERROR(IF(N(CHOOSE(DV7,CL7,CP7,CT7,CX7,DB7,DF7,DJ7,DN7))&lt;=0.005,0,MAX(0,N(CHOOSE(DV7,CL7,CP7,CT7,CX7,DB7,DF7,DJ7,DN7))+N(CHOOSE(DV7,CM7,CQ7,CU7,CY7,DC7,DG7,DK7,DO7))-MIN(N(CHOOSE(DV7,'Debt List'!$F$5,'Debt List'!$F$6,'Debt List'!$F$7,'Debt List'!$F$8,'Debt List'!$F$9,'Debt List'!$F$10,'Debt List'!$F$11,'Debt List'!$F$12)),N(CHOOSE(DV7,CL7,CP7,CT7,CX7,DB7,DF7,DJ7,DN7))+N(CHOOSE(DV7,CM7,CQ7,CU7,CY7,DC7,DG7,DK7,DO7))))),0))</f>
        <v/>
      </c>
      <c r="DX7">
        <f>MIN(N(DW7),MAX(0,N(DU7)))</f>
        <v/>
      </c>
      <c r="DY7">
        <f>MAX(0,N(DU7)-N(DX7))</f>
        <v/>
      </c>
      <c r="DZ7">
        <f>IFERROR(MATCH(3,OrderSnow,0),"")</f>
        <v/>
      </c>
      <c r="EA7">
        <f>IF(DZ7="",0,IFERROR(IF(N(CHOOSE(DZ7,CL7,CP7,CT7,CX7,DB7,DF7,DJ7,DN7))&lt;=0.005,0,MAX(0,N(CHOOSE(DZ7,CL7,CP7,CT7,CX7,DB7,DF7,DJ7,DN7))+N(CHOOSE(DZ7,CM7,CQ7,CU7,CY7,DC7,DG7,DK7,DO7))-MIN(N(CHOOSE(DZ7,'Debt List'!$F$5,'Debt List'!$F$6,'Debt List'!$F$7,'Debt List'!$F$8,'Debt List'!$F$9,'Debt List'!$F$10,'Debt List'!$F$11,'Debt List'!$F$12)),N(CHOOSE(DZ7,CL7,CP7,CT7,CX7,DB7,DF7,DJ7,DN7))+N(CHOOSE(DZ7,CM7,CQ7,CU7,CY7,DC7,DG7,DK7,DO7))))),0))</f>
        <v/>
      </c>
      <c r="EB7">
        <f>MIN(N(EA7),MAX(0,N(DY7)))</f>
        <v/>
      </c>
      <c r="EC7">
        <f>MAX(0,N(DY7)-N(EB7))</f>
        <v/>
      </c>
      <c r="ED7">
        <f>IFERROR(MATCH(4,OrderSnow,0),"")</f>
        <v/>
      </c>
      <c r="EE7">
        <f>IF(ED7="",0,IFERROR(IF(N(CHOOSE(ED7,CL7,CP7,CT7,CX7,DB7,DF7,DJ7,DN7))&lt;=0.005,0,MAX(0,N(CHOOSE(ED7,CL7,CP7,CT7,CX7,DB7,DF7,DJ7,DN7))+N(CHOOSE(ED7,CM7,CQ7,CU7,CY7,DC7,DG7,DK7,DO7))-MIN(N(CHOOSE(ED7,'Debt List'!$F$5,'Debt List'!$F$6,'Debt List'!$F$7,'Debt List'!$F$8,'Debt List'!$F$9,'Debt List'!$F$10,'Debt List'!$F$11,'Debt List'!$F$12)),N(CHOOSE(ED7,CL7,CP7,CT7,CX7,DB7,DF7,DJ7,DN7))+N(CHOOSE(ED7,CM7,CQ7,CU7,CY7,DC7,DG7,DK7,DO7))))),0))</f>
        <v/>
      </c>
      <c r="EF7">
        <f>MIN(N(EE7),MAX(0,N(EC7)))</f>
        <v/>
      </c>
      <c r="EG7">
        <f>MAX(0,N(EC7)-N(EF7))</f>
        <v/>
      </c>
      <c r="EH7">
        <f>IFERROR(MATCH(5,OrderSnow,0),"")</f>
        <v/>
      </c>
      <c r="EI7">
        <f>IF(EH7="",0,IFERROR(IF(N(CHOOSE(EH7,CL7,CP7,CT7,CX7,DB7,DF7,DJ7,DN7))&lt;=0.005,0,MAX(0,N(CHOOSE(EH7,CL7,CP7,CT7,CX7,DB7,DF7,DJ7,DN7))+N(CHOOSE(EH7,CM7,CQ7,CU7,CY7,DC7,DG7,DK7,DO7))-MIN(N(CHOOSE(EH7,'Debt List'!$F$5,'Debt List'!$F$6,'Debt List'!$F$7,'Debt List'!$F$8,'Debt List'!$F$9,'Debt List'!$F$10,'Debt List'!$F$11,'Debt List'!$F$12)),N(CHOOSE(EH7,CL7,CP7,CT7,CX7,DB7,DF7,DJ7,DN7))+N(CHOOSE(EH7,CM7,CQ7,CU7,CY7,DC7,DG7,DK7,DO7))))),0))</f>
        <v/>
      </c>
      <c r="EJ7">
        <f>MIN(N(EI7),MAX(0,N(EG7)))</f>
        <v/>
      </c>
      <c r="EK7">
        <f>MAX(0,N(EG7)-N(EJ7))</f>
        <v/>
      </c>
      <c r="EL7">
        <f>IFERROR(MATCH(6,OrderSnow,0),"")</f>
        <v/>
      </c>
      <c r="EM7">
        <f>IF(EL7="",0,IFERROR(IF(N(CHOOSE(EL7,CL7,CP7,CT7,CX7,DB7,DF7,DJ7,DN7))&lt;=0.005,0,MAX(0,N(CHOOSE(EL7,CL7,CP7,CT7,CX7,DB7,DF7,DJ7,DN7))+N(CHOOSE(EL7,CM7,CQ7,CU7,CY7,DC7,DG7,DK7,DO7))-MIN(N(CHOOSE(EL7,'Debt List'!$F$5,'Debt List'!$F$6,'Debt List'!$F$7,'Debt List'!$F$8,'Debt List'!$F$9,'Debt List'!$F$10,'Debt List'!$F$11,'Debt List'!$F$12)),N(CHOOSE(EL7,CL7,CP7,CT7,CX7,DB7,DF7,DJ7,DN7))+N(CHOOSE(EL7,CM7,CQ7,CU7,CY7,DC7,DG7,DK7,DO7))))),0))</f>
        <v/>
      </c>
      <c r="EN7">
        <f>MIN(N(EM7),MAX(0,N(EK7)))</f>
        <v/>
      </c>
      <c r="EO7">
        <f>MAX(0,N(EK7)-N(EN7))</f>
        <v/>
      </c>
      <c r="EP7">
        <f>IFERROR(MATCH(7,OrderSnow,0),"")</f>
        <v/>
      </c>
      <c r="EQ7">
        <f>IF(EP7="",0,IFERROR(IF(N(CHOOSE(EP7,CL7,CP7,CT7,CX7,DB7,DF7,DJ7,DN7))&lt;=0.005,0,MAX(0,N(CHOOSE(EP7,CL7,CP7,CT7,CX7,DB7,DF7,DJ7,DN7))+N(CHOOSE(EP7,CM7,CQ7,CU7,CY7,DC7,DG7,DK7,DO7))-MIN(N(CHOOSE(EP7,'Debt List'!$F$5,'Debt List'!$F$6,'Debt List'!$F$7,'Debt List'!$F$8,'Debt List'!$F$9,'Debt List'!$F$10,'Debt List'!$F$11,'Debt List'!$F$12)),N(CHOOSE(EP7,CL7,CP7,CT7,CX7,DB7,DF7,DJ7,DN7))+N(CHOOSE(EP7,CM7,CQ7,CU7,CY7,DC7,DG7,DK7,DO7))))),0))</f>
        <v/>
      </c>
      <c r="ER7">
        <f>MIN(N(EQ7),MAX(0,N(EO7)))</f>
        <v/>
      </c>
      <c r="ES7">
        <f>MAX(0,N(EO7)-N(ER7))</f>
        <v/>
      </c>
      <c r="ET7">
        <f>IFERROR(MATCH(8,OrderSnow,0),"")</f>
        <v/>
      </c>
      <c r="EU7">
        <f>IF(ET7="",0,IFERROR(IF(N(CHOOSE(ET7,CL7,CP7,CT7,CX7,DB7,DF7,DJ7,DN7))&lt;=0.005,0,MAX(0,N(CHOOSE(ET7,CL7,CP7,CT7,CX7,DB7,DF7,DJ7,DN7))+N(CHOOSE(ET7,CM7,CQ7,CU7,CY7,DC7,DG7,DK7,DO7))-MIN(N(CHOOSE(ET7,'Debt List'!$F$5,'Debt List'!$F$6,'Debt List'!$F$7,'Debt List'!$F$8,'Debt List'!$F$9,'Debt List'!$F$10,'Debt List'!$F$11,'Debt List'!$F$12)),N(CHOOSE(ET7,CL7,CP7,CT7,CX7,DB7,DF7,DJ7,DN7))+N(CHOOSE(ET7,CM7,CQ7,CU7,CY7,DC7,DG7,DK7,DO7))))),0))</f>
        <v/>
      </c>
      <c r="EV7">
        <f>MIN(N(EU7),MAX(0,N(ES7)))</f>
        <v/>
      </c>
      <c r="EW7">
        <f>MAX(0,N(ES7)-N(EV7))</f>
        <v/>
      </c>
      <c r="FE7" t="n">
        <v>3</v>
      </c>
      <c r="FF7" s="115">
        <f>DATE(YEAR(PlanStart),MONTH(PlanStart)+FE7-1,1)</f>
        <v/>
      </c>
      <c r="FG7">
        <f>IF(AND(GT7&lt;&gt;"",N(CHOOSE(GT7,FN7,FR7,FV7,FZ7,GD7,GH7,GL7,GP7))&gt;0.005),INDEX(DebtNames,GT7),IF(AND(GX7&lt;&gt;"",N(CHOOSE(GX7,FN7,FR7,FV7,FZ7,GD7,GH7,GL7,GP7))&gt;0.005),INDEX(DebtNames,GX7),IF(AND(HB7&lt;&gt;"",N(CHOOSE(HB7,FN7,FR7,FV7,FZ7,GD7,GH7,GL7,GP7))&gt;0.005),INDEX(DebtNames,HB7),IF(AND(HF7&lt;&gt;"",N(CHOOSE(HF7,FN7,FR7,FV7,FZ7,GD7,GH7,GL7,GP7))&gt;0.005),INDEX(DebtNames,HF7),IF(AND(HJ7&lt;&gt;"",N(CHOOSE(HJ7,FN7,FR7,FV7,FZ7,GD7,GH7,GL7,GP7))&gt;0.005),INDEX(DebtNames,HJ7),IF(AND(HN7&lt;&gt;"",N(CHOOSE(HN7,FN7,FR7,FV7,FZ7,GD7,GH7,GL7,GP7))&gt;0.005),INDEX(DebtNames,HN7),IF(AND(HR7&lt;&gt;"",N(CHOOSE(HR7,FN7,FR7,FV7,FZ7,GD7,GH7,GL7,GP7))&gt;0.005),INDEX(DebtNames,HR7),IF(AND(HV7&lt;&gt;"",N(CHOOSE(HV7,FN7,FR7,FV7,FZ7,GD7,GH7,GL7,GP7))&gt;0.005),INDEX(DebtNames,HV7),""))))))))</f>
        <v/>
      </c>
      <c r="FH7">
        <f>N(HY7)</f>
        <v/>
      </c>
      <c r="FI7">
        <f>N(FP7)+N(FT7)+N(FX7)+N(GB7)+N(GF7)+N(GJ7)+N(GN7)+N(GR7)</f>
        <v/>
      </c>
      <c r="FJ7">
        <f>N(FO7)+N(FS7)+N(FW7)+N(GA7)+N(GE7)+N(GI7)+N(GM7)+N(GQ7)</f>
        <v/>
      </c>
      <c r="FK7">
        <f>N(FK6)+N(FJ7)</f>
        <v/>
      </c>
      <c r="FL7">
        <f>N(FQ7)+N(FU7)+N(FY7)+N(GC7)+N(GG7)+N(GK7)+N(GO7)+N(GS7)</f>
        <v/>
      </c>
      <c r="FM7">
        <f>(FQ7&gt;0.005)*1+(FU7&gt;0.005)*1+(FY7&gt;0.005)*1+(GC7&gt;0.005)*1+(GG7&gt;0.005)*1+(GK7&gt;0.005)*1+(GO7&gt;0.005)*1+(GS7&gt;0.005)*1</f>
        <v/>
      </c>
      <c r="FN7">
        <f>N(FQ6)</f>
        <v/>
      </c>
      <c r="FO7">
        <f>IF(N(FN7)&lt;=0.005,0,ROUND(N(FN7)*N('Debt List'!E5)/12,2))</f>
        <v/>
      </c>
      <c r="FP7">
        <f>IF(N(FN7)&lt;=0.005,0,MIN(N('Debt List'!F5),N(FN7)+N(FO7)))+((GT7=1)*GV7+(GX7=1)*GZ7+(HB7=1)*HD7+(HF7=1)*HH7+(HJ7=1)*HL7+(HN7=1)*HP7+(HR7=1)*HT7+(HV7=1)*HX7)</f>
        <v/>
      </c>
      <c r="FQ7">
        <f>MAX(0,ROUND(N(FN7)+N(FO7)-N(FP7),2))</f>
        <v/>
      </c>
      <c r="FR7">
        <f>N(FU6)</f>
        <v/>
      </c>
      <c r="FS7">
        <f>IF(N(FR7)&lt;=0.005,0,ROUND(N(FR7)*N('Debt List'!E6)/12,2))</f>
        <v/>
      </c>
      <c r="FT7">
        <f>IF(N(FR7)&lt;=0.005,0,MIN(N('Debt List'!F6),N(FR7)+N(FS7)))+((GT7=2)*GV7+(GX7=2)*GZ7+(HB7=2)*HD7+(HF7=2)*HH7+(HJ7=2)*HL7+(HN7=2)*HP7+(HR7=2)*HT7+(HV7=2)*HX7)</f>
        <v/>
      </c>
      <c r="FU7">
        <f>MAX(0,ROUND(N(FR7)+N(FS7)-N(FT7),2))</f>
        <v/>
      </c>
      <c r="FV7">
        <f>N(FY6)</f>
        <v/>
      </c>
      <c r="FW7">
        <f>IF(N(FV7)&lt;=0.005,0,ROUND(N(FV7)*N('Debt List'!E7)/12,2))</f>
        <v/>
      </c>
      <c r="FX7">
        <f>IF(N(FV7)&lt;=0.005,0,MIN(N('Debt List'!F7),N(FV7)+N(FW7)))+((GT7=3)*GV7+(GX7=3)*GZ7+(HB7=3)*HD7+(HF7=3)*HH7+(HJ7=3)*HL7+(HN7=3)*HP7+(HR7=3)*HT7+(HV7=3)*HX7)</f>
        <v/>
      </c>
      <c r="FY7">
        <f>MAX(0,ROUND(N(FV7)+N(FW7)-N(FX7),2))</f>
        <v/>
      </c>
      <c r="FZ7">
        <f>N(GC6)</f>
        <v/>
      </c>
      <c r="GA7">
        <f>IF(N(FZ7)&lt;=0.005,0,ROUND(N(FZ7)*N('Debt List'!E8)/12,2))</f>
        <v/>
      </c>
      <c r="GB7">
        <f>IF(N(FZ7)&lt;=0.005,0,MIN(N('Debt List'!F8),N(FZ7)+N(GA7)))+((GT7=4)*GV7+(GX7=4)*GZ7+(HB7=4)*HD7+(HF7=4)*HH7+(HJ7=4)*HL7+(HN7=4)*HP7+(HR7=4)*HT7+(HV7=4)*HX7)</f>
        <v/>
      </c>
      <c r="GC7">
        <f>MAX(0,ROUND(N(FZ7)+N(GA7)-N(GB7),2))</f>
        <v/>
      </c>
      <c r="GD7">
        <f>N(GG6)</f>
        <v/>
      </c>
      <c r="GE7">
        <f>IF(N(GD7)&lt;=0.005,0,ROUND(N(GD7)*N('Debt List'!E9)/12,2))</f>
        <v/>
      </c>
      <c r="GF7">
        <f>IF(N(GD7)&lt;=0.005,0,MIN(N('Debt List'!F9),N(GD7)+N(GE7)))+((GT7=5)*GV7+(GX7=5)*GZ7+(HB7=5)*HD7+(HF7=5)*HH7+(HJ7=5)*HL7+(HN7=5)*HP7+(HR7=5)*HT7+(HV7=5)*HX7)</f>
        <v/>
      </c>
      <c r="GG7">
        <f>MAX(0,ROUND(N(GD7)+N(GE7)-N(GF7),2))</f>
        <v/>
      </c>
      <c r="GH7">
        <f>N(GK6)</f>
        <v/>
      </c>
      <c r="GI7">
        <f>IF(N(GH7)&lt;=0.005,0,ROUND(N(GH7)*N('Debt List'!E10)/12,2))</f>
        <v/>
      </c>
      <c r="GJ7">
        <f>IF(N(GH7)&lt;=0.005,0,MIN(N('Debt List'!F10),N(GH7)+N(GI7)))+((GT7=6)*GV7+(GX7=6)*GZ7+(HB7=6)*HD7+(HF7=6)*HH7+(HJ7=6)*HL7+(HN7=6)*HP7+(HR7=6)*HT7+(HV7=6)*HX7)</f>
        <v/>
      </c>
      <c r="GK7">
        <f>MAX(0,ROUND(N(GH7)+N(GI7)-N(GJ7),2))</f>
        <v/>
      </c>
      <c r="GL7">
        <f>N(GO6)</f>
        <v/>
      </c>
      <c r="GM7">
        <f>IF(N(GL7)&lt;=0.005,0,ROUND(N(GL7)*N('Debt List'!E11)/12,2))</f>
        <v/>
      </c>
      <c r="GN7">
        <f>IF(N(GL7)&lt;=0.005,0,MIN(N('Debt List'!F11),N(GL7)+N(GM7)))+((GT7=7)*GV7+(GX7=7)*GZ7+(HB7=7)*HD7+(HF7=7)*HH7+(HJ7=7)*HL7+(HN7=7)*HP7+(HR7=7)*HT7+(HV7=7)*HX7)</f>
        <v/>
      </c>
      <c r="GO7">
        <f>MAX(0,ROUND(N(GL7)+N(GM7)-N(GN7),2))</f>
        <v/>
      </c>
      <c r="GP7">
        <f>N(GS6)</f>
        <v/>
      </c>
      <c r="GQ7">
        <f>IF(N(GP7)&lt;=0.005,0,ROUND(N(GP7)*N('Debt List'!E12)/12,2))</f>
        <v/>
      </c>
      <c r="GR7">
        <f>IF(N(GP7)&lt;=0.005,0,MIN(N('Debt List'!F12),N(GP7)+N(GQ7)))+((GT7=8)*GV7+(GX7=8)*GZ7+(HB7=8)*HD7+(HF7=8)*HH7+(HJ7=8)*HL7+(HN7=8)*HP7+(HR7=8)*HT7+(HV7=8)*HX7)</f>
        <v/>
      </c>
      <c r="GS7">
        <f>MAX(0,ROUND(N(GP7)+N(GQ7)-N(GR7),2))</f>
        <v/>
      </c>
      <c r="GT7">
        <f>IFERROR(MATCH(1,OrderAval,0),"")</f>
        <v/>
      </c>
      <c r="GU7">
        <f>IF(GT7="",0,IFERROR(IF(N(CHOOSE(GT7,FN7,FR7,FV7,FZ7,GD7,GH7,GL7,GP7))&lt;=0.005,0,MAX(0,N(CHOOSE(GT7,FN7,FR7,FV7,FZ7,GD7,GH7,GL7,GP7))+N(CHOOSE(GT7,FO7,FS7,FW7,GA7,GE7,GI7,GM7,GQ7))-MIN(N(CHOOSE(GT7,'Debt List'!$F$5,'Debt List'!$F$6,'Debt List'!$F$7,'Debt List'!$F$8,'Debt List'!$F$9,'Debt List'!$F$10,'Debt List'!$F$11,'Debt List'!$F$12)),N(CHOOSE(GT7,FN7,FR7,FV7,FZ7,GD7,GH7,GL7,GP7))+N(CHOOSE(GT7,FO7,FS7,FW7,GA7,GE7,GI7,GM7,GQ7))))),0))</f>
        <v/>
      </c>
      <c r="GV7">
        <f>MIN(N(GU7),MAX(0,N(ExtraPayment)))</f>
        <v/>
      </c>
      <c r="GW7">
        <f>MAX(0,N(ExtraPayment)-N(GV7))</f>
        <v/>
      </c>
      <c r="GX7">
        <f>IFERROR(MATCH(2,OrderAval,0),"")</f>
        <v/>
      </c>
      <c r="GY7">
        <f>IF(GX7="",0,IFERROR(IF(N(CHOOSE(GX7,FN7,FR7,FV7,FZ7,GD7,GH7,GL7,GP7))&lt;=0.005,0,MAX(0,N(CHOOSE(GX7,FN7,FR7,FV7,FZ7,GD7,GH7,GL7,GP7))+N(CHOOSE(GX7,FO7,FS7,FW7,GA7,GE7,GI7,GM7,GQ7))-MIN(N(CHOOSE(GX7,'Debt List'!$F$5,'Debt List'!$F$6,'Debt List'!$F$7,'Debt List'!$F$8,'Debt List'!$F$9,'Debt List'!$F$10,'Debt List'!$F$11,'Debt List'!$F$12)),N(CHOOSE(GX7,FN7,FR7,FV7,FZ7,GD7,GH7,GL7,GP7))+N(CHOOSE(GX7,FO7,FS7,FW7,GA7,GE7,GI7,GM7,GQ7))))),0))</f>
        <v/>
      </c>
      <c r="GZ7">
        <f>MIN(N(GY7),MAX(0,N(GW7)))</f>
        <v/>
      </c>
      <c r="HA7">
        <f>MAX(0,N(GW7)-N(GZ7))</f>
        <v/>
      </c>
      <c r="HB7">
        <f>IFERROR(MATCH(3,OrderAval,0),"")</f>
        <v/>
      </c>
      <c r="HC7">
        <f>IF(HB7="",0,IFERROR(IF(N(CHOOSE(HB7,FN7,FR7,FV7,FZ7,GD7,GH7,GL7,GP7))&lt;=0.005,0,MAX(0,N(CHOOSE(HB7,FN7,FR7,FV7,FZ7,GD7,GH7,GL7,GP7))+N(CHOOSE(HB7,FO7,FS7,FW7,GA7,GE7,GI7,GM7,GQ7))-MIN(N(CHOOSE(HB7,'Debt List'!$F$5,'Debt List'!$F$6,'Debt List'!$F$7,'Debt List'!$F$8,'Debt List'!$F$9,'Debt List'!$F$10,'Debt List'!$F$11,'Debt List'!$F$12)),N(CHOOSE(HB7,FN7,FR7,FV7,FZ7,GD7,GH7,GL7,GP7))+N(CHOOSE(HB7,FO7,FS7,FW7,GA7,GE7,GI7,GM7,GQ7))))),0))</f>
        <v/>
      </c>
      <c r="HD7">
        <f>MIN(N(HC7),MAX(0,N(HA7)))</f>
        <v/>
      </c>
      <c r="HE7">
        <f>MAX(0,N(HA7)-N(HD7))</f>
        <v/>
      </c>
      <c r="HF7">
        <f>IFERROR(MATCH(4,OrderAval,0),"")</f>
        <v/>
      </c>
      <c r="HG7">
        <f>IF(HF7="",0,IFERROR(IF(N(CHOOSE(HF7,FN7,FR7,FV7,FZ7,GD7,GH7,GL7,GP7))&lt;=0.005,0,MAX(0,N(CHOOSE(HF7,FN7,FR7,FV7,FZ7,GD7,GH7,GL7,GP7))+N(CHOOSE(HF7,FO7,FS7,FW7,GA7,GE7,GI7,GM7,GQ7))-MIN(N(CHOOSE(HF7,'Debt List'!$F$5,'Debt List'!$F$6,'Debt List'!$F$7,'Debt List'!$F$8,'Debt List'!$F$9,'Debt List'!$F$10,'Debt List'!$F$11,'Debt List'!$F$12)),N(CHOOSE(HF7,FN7,FR7,FV7,FZ7,GD7,GH7,GL7,GP7))+N(CHOOSE(HF7,FO7,FS7,FW7,GA7,GE7,GI7,GM7,GQ7))))),0))</f>
        <v/>
      </c>
      <c r="HH7">
        <f>MIN(N(HG7),MAX(0,N(HE7)))</f>
        <v/>
      </c>
      <c r="HI7">
        <f>MAX(0,N(HE7)-N(HH7))</f>
        <v/>
      </c>
      <c r="HJ7">
        <f>IFERROR(MATCH(5,OrderAval,0),"")</f>
        <v/>
      </c>
      <c r="HK7">
        <f>IF(HJ7="",0,IFERROR(IF(N(CHOOSE(HJ7,FN7,FR7,FV7,FZ7,GD7,GH7,GL7,GP7))&lt;=0.005,0,MAX(0,N(CHOOSE(HJ7,FN7,FR7,FV7,FZ7,GD7,GH7,GL7,GP7))+N(CHOOSE(HJ7,FO7,FS7,FW7,GA7,GE7,GI7,GM7,GQ7))-MIN(N(CHOOSE(HJ7,'Debt List'!$F$5,'Debt List'!$F$6,'Debt List'!$F$7,'Debt List'!$F$8,'Debt List'!$F$9,'Debt List'!$F$10,'Debt List'!$F$11,'Debt List'!$F$12)),N(CHOOSE(HJ7,FN7,FR7,FV7,FZ7,GD7,GH7,GL7,GP7))+N(CHOOSE(HJ7,FO7,FS7,FW7,GA7,GE7,GI7,GM7,GQ7))))),0))</f>
        <v/>
      </c>
      <c r="HL7">
        <f>MIN(N(HK7),MAX(0,N(HI7)))</f>
        <v/>
      </c>
      <c r="HM7">
        <f>MAX(0,N(HI7)-N(HL7))</f>
        <v/>
      </c>
      <c r="HN7">
        <f>IFERROR(MATCH(6,OrderAval,0),"")</f>
        <v/>
      </c>
      <c r="HO7">
        <f>IF(HN7="",0,IFERROR(IF(N(CHOOSE(HN7,FN7,FR7,FV7,FZ7,GD7,GH7,GL7,GP7))&lt;=0.005,0,MAX(0,N(CHOOSE(HN7,FN7,FR7,FV7,FZ7,GD7,GH7,GL7,GP7))+N(CHOOSE(HN7,FO7,FS7,FW7,GA7,GE7,GI7,GM7,GQ7))-MIN(N(CHOOSE(HN7,'Debt List'!$F$5,'Debt List'!$F$6,'Debt List'!$F$7,'Debt List'!$F$8,'Debt List'!$F$9,'Debt List'!$F$10,'Debt List'!$F$11,'Debt List'!$F$12)),N(CHOOSE(HN7,FN7,FR7,FV7,FZ7,GD7,GH7,GL7,GP7))+N(CHOOSE(HN7,FO7,FS7,FW7,GA7,GE7,GI7,GM7,GQ7))))),0))</f>
        <v/>
      </c>
      <c r="HP7">
        <f>MIN(N(HO7),MAX(0,N(HM7)))</f>
        <v/>
      </c>
      <c r="HQ7">
        <f>MAX(0,N(HM7)-N(HP7))</f>
        <v/>
      </c>
      <c r="HR7">
        <f>IFERROR(MATCH(7,OrderAval,0),"")</f>
        <v/>
      </c>
      <c r="HS7">
        <f>IF(HR7="",0,IFERROR(IF(N(CHOOSE(HR7,FN7,FR7,FV7,FZ7,GD7,GH7,GL7,GP7))&lt;=0.005,0,MAX(0,N(CHOOSE(HR7,FN7,FR7,FV7,FZ7,GD7,GH7,GL7,GP7))+N(CHOOSE(HR7,FO7,FS7,FW7,GA7,GE7,GI7,GM7,GQ7))-MIN(N(CHOOSE(HR7,'Debt List'!$F$5,'Debt List'!$F$6,'Debt List'!$F$7,'Debt List'!$F$8,'Debt List'!$F$9,'Debt List'!$F$10,'Debt List'!$F$11,'Debt List'!$F$12)),N(CHOOSE(HR7,FN7,FR7,FV7,FZ7,GD7,GH7,GL7,GP7))+N(CHOOSE(HR7,FO7,FS7,FW7,GA7,GE7,GI7,GM7,GQ7))))),0))</f>
        <v/>
      </c>
      <c r="HT7">
        <f>MIN(N(HS7),MAX(0,N(HQ7)))</f>
        <v/>
      </c>
      <c r="HU7">
        <f>MAX(0,N(HQ7)-N(HT7))</f>
        <v/>
      </c>
      <c r="HV7">
        <f>IFERROR(MATCH(8,OrderAval,0),"")</f>
        <v/>
      </c>
      <c r="HW7">
        <f>IF(HV7="",0,IFERROR(IF(N(CHOOSE(HV7,FN7,FR7,FV7,FZ7,GD7,GH7,GL7,GP7))&lt;=0.005,0,MAX(0,N(CHOOSE(HV7,FN7,FR7,FV7,FZ7,GD7,GH7,GL7,GP7))+N(CHOOSE(HV7,FO7,FS7,FW7,GA7,GE7,GI7,GM7,GQ7))-MIN(N(CHOOSE(HV7,'Debt List'!$F$5,'Debt List'!$F$6,'Debt List'!$F$7,'Debt List'!$F$8,'Debt List'!$F$9,'Debt List'!$F$10,'Debt List'!$F$11,'Debt List'!$F$12)),N(CHOOSE(HV7,FN7,FR7,FV7,FZ7,GD7,GH7,GL7,GP7))+N(CHOOSE(HV7,FO7,FS7,FW7,GA7,GE7,GI7,GM7,GQ7))))),0))</f>
        <v/>
      </c>
      <c r="HX7">
        <f>MIN(N(HW7),MAX(0,N(HU7)))</f>
        <v/>
      </c>
      <c r="HY7">
        <f>MAX(0,N(HU7)-N(HX7))</f>
        <v/>
      </c>
    </row>
    <row r="8">
      <c r="A8" t="n">
        <v>4</v>
      </c>
      <c r="B8" s="115">
        <f>DATE(YEAR(PlanStart),MONTH(PlanStart)+A8-1,1)</f>
        <v/>
      </c>
      <c r="C8">
        <f>IF(AND(AP8&lt;&gt;"",N(CHOOSE(AP8,J8,N8,R8,V8,Z8,AD8,AH8,AL8))&gt;0.005),INDEX(DebtNames,AP8),IF(AND(AT8&lt;&gt;"",N(CHOOSE(AT8,J8,N8,R8,V8,Z8,AD8,AH8,AL8))&gt;0.005),INDEX(DebtNames,AT8),IF(AND(AX8&lt;&gt;"",N(CHOOSE(AX8,J8,N8,R8,V8,Z8,AD8,AH8,AL8))&gt;0.005),INDEX(DebtNames,AX8),IF(AND(BB8&lt;&gt;"",N(CHOOSE(BB8,J8,N8,R8,V8,Z8,AD8,AH8,AL8))&gt;0.005),INDEX(DebtNames,BB8),IF(AND(BF8&lt;&gt;"",N(CHOOSE(BF8,J8,N8,R8,V8,Z8,AD8,AH8,AL8))&gt;0.005),INDEX(DebtNames,BF8),IF(AND(BJ8&lt;&gt;"",N(CHOOSE(BJ8,J8,N8,R8,V8,Z8,AD8,AH8,AL8))&gt;0.005),INDEX(DebtNames,BJ8),IF(AND(BN8&lt;&gt;"",N(CHOOSE(BN8,J8,N8,R8,V8,Z8,AD8,AH8,AL8))&gt;0.005),INDEX(DebtNames,BN8),IF(AND(BR8&lt;&gt;"",N(CHOOSE(BR8,J8,N8,R8,V8,Z8,AD8,AH8,AL8))&gt;0.005),INDEX(DebtNames,BR8),""))))))))</f>
        <v/>
      </c>
      <c r="D8">
        <f>N(BU8)</f>
        <v/>
      </c>
      <c r="E8">
        <f>N(L8)+N(P8)+N(T8)+N(X8)+N(AB8)+N(AF8)+N(AJ8)+N(AN8)</f>
        <v/>
      </c>
      <c r="F8">
        <f>N(K8)+N(O8)+N(S8)+N(W8)+N(AA8)+N(AE8)+N(AI8)+N(AM8)</f>
        <v/>
      </c>
      <c r="G8">
        <f>N(G7)+N(F8)</f>
        <v/>
      </c>
      <c r="H8">
        <f>N(M8)+N(Q8)+N(U8)+N(Y8)+N(AC8)+N(AG8)+N(AK8)+N(AO8)</f>
        <v/>
      </c>
      <c r="I8">
        <f>(M8&gt;0.005)*1+(Q8&gt;0.005)*1+(U8&gt;0.005)*1+(Y8&gt;0.005)*1+(AC8&gt;0.005)*1+(AG8&gt;0.005)*1+(AK8&gt;0.005)*1+(AO8&gt;0.005)*1</f>
        <v/>
      </c>
      <c r="J8">
        <f>N(M7)</f>
        <v/>
      </c>
      <c r="K8">
        <f>IF(N(J8)&lt;=0.005,0,ROUND(N(J8)*N('Debt List'!E5)/12,2))</f>
        <v/>
      </c>
      <c r="L8">
        <f>IF(N(J8)&lt;=0.005,0,MIN(N('Debt List'!F5),N(J8)+N(K8)))+((AP8=1)*AR8+(AT8=1)*AV8+(AX8=1)*AZ8+(BB8=1)*BD8+(BF8=1)*BH8+(BJ8=1)*BL8+(BN8=1)*BP8+(BR8=1)*BT8)</f>
        <v/>
      </c>
      <c r="M8">
        <f>MAX(0,ROUND(N(J8)+N(K8)-N(L8),2))</f>
        <v/>
      </c>
      <c r="N8">
        <f>N(Q7)</f>
        <v/>
      </c>
      <c r="O8">
        <f>IF(N(N8)&lt;=0.005,0,ROUND(N(N8)*N('Debt List'!E6)/12,2))</f>
        <v/>
      </c>
      <c r="P8">
        <f>IF(N(N8)&lt;=0.005,0,MIN(N('Debt List'!F6),N(N8)+N(O8)))+((AP8=2)*AR8+(AT8=2)*AV8+(AX8=2)*AZ8+(BB8=2)*BD8+(BF8=2)*BH8+(BJ8=2)*BL8+(BN8=2)*BP8+(BR8=2)*BT8)</f>
        <v/>
      </c>
      <c r="Q8">
        <f>MAX(0,ROUND(N(N8)+N(O8)-N(P8),2))</f>
        <v/>
      </c>
      <c r="R8">
        <f>N(U7)</f>
        <v/>
      </c>
      <c r="S8">
        <f>IF(N(R8)&lt;=0.005,0,ROUND(N(R8)*N('Debt List'!E7)/12,2))</f>
        <v/>
      </c>
      <c r="T8">
        <f>IF(N(R8)&lt;=0.005,0,MIN(N('Debt List'!F7),N(R8)+N(S8)))+((AP8=3)*AR8+(AT8=3)*AV8+(AX8=3)*AZ8+(BB8=3)*BD8+(BF8=3)*BH8+(BJ8=3)*BL8+(BN8=3)*BP8+(BR8=3)*BT8)</f>
        <v/>
      </c>
      <c r="U8">
        <f>MAX(0,ROUND(N(R8)+N(S8)-N(T8),2))</f>
        <v/>
      </c>
      <c r="V8">
        <f>N(Y7)</f>
        <v/>
      </c>
      <c r="W8">
        <f>IF(N(V8)&lt;=0.005,0,ROUND(N(V8)*N('Debt List'!E8)/12,2))</f>
        <v/>
      </c>
      <c r="X8">
        <f>IF(N(V8)&lt;=0.005,0,MIN(N('Debt List'!F8),N(V8)+N(W8)))+((AP8=4)*AR8+(AT8=4)*AV8+(AX8=4)*AZ8+(BB8=4)*BD8+(BF8=4)*BH8+(BJ8=4)*BL8+(BN8=4)*BP8+(BR8=4)*BT8)</f>
        <v/>
      </c>
      <c r="Y8">
        <f>MAX(0,ROUND(N(V8)+N(W8)-N(X8),2))</f>
        <v/>
      </c>
      <c r="Z8">
        <f>N(AC7)</f>
        <v/>
      </c>
      <c r="AA8">
        <f>IF(N(Z8)&lt;=0.005,0,ROUND(N(Z8)*N('Debt List'!E9)/12,2))</f>
        <v/>
      </c>
      <c r="AB8">
        <f>IF(N(Z8)&lt;=0.005,0,MIN(N('Debt List'!F9),N(Z8)+N(AA8)))+((AP8=5)*AR8+(AT8=5)*AV8+(AX8=5)*AZ8+(BB8=5)*BD8+(BF8=5)*BH8+(BJ8=5)*BL8+(BN8=5)*BP8+(BR8=5)*BT8)</f>
        <v/>
      </c>
      <c r="AC8">
        <f>MAX(0,ROUND(N(Z8)+N(AA8)-N(AB8),2))</f>
        <v/>
      </c>
      <c r="AD8">
        <f>N(AG7)</f>
        <v/>
      </c>
      <c r="AE8">
        <f>IF(N(AD8)&lt;=0.005,0,ROUND(N(AD8)*N('Debt List'!E10)/12,2))</f>
        <v/>
      </c>
      <c r="AF8">
        <f>IF(N(AD8)&lt;=0.005,0,MIN(N('Debt List'!F10),N(AD8)+N(AE8)))+((AP8=6)*AR8+(AT8=6)*AV8+(AX8=6)*AZ8+(BB8=6)*BD8+(BF8=6)*BH8+(BJ8=6)*BL8+(BN8=6)*BP8+(BR8=6)*BT8)</f>
        <v/>
      </c>
      <c r="AG8">
        <f>MAX(0,ROUND(N(AD8)+N(AE8)-N(AF8),2))</f>
        <v/>
      </c>
      <c r="AH8">
        <f>N(AK7)</f>
        <v/>
      </c>
      <c r="AI8">
        <f>IF(N(AH8)&lt;=0.005,0,ROUND(N(AH8)*N('Debt List'!E11)/12,2))</f>
        <v/>
      </c>
      <c r="AJ8">
        <f>IF(N(AH8)&lt;=0.005,0,MIN(N('Debt List'!F11),N(AH8)+N(AI8)))+((AP8=7)*AR8+(AT8=7)*AV8+(AX8=7)*AZ8+(BB8=7)*BD8+(BF8=7)*BH8+(BJ8=7)*BL8+(BN8=7)*BP8+(BR8=7)*BT8)</f>
        <v/>
      </c>
      <c r="AK8">
        <f>MAX(0,ROUND(N(AH8)+N(AI8)-N(AJ8),2))</f>
        <v/>
      </c>
      <c r="AL8">
        <f>N(AO7)</f>
        <v/>
      </c>
      <c r="AM8">
        <f>IF(N(AL8)&lt;=0.005,0,ROUND(N(AL8)*N('Debt List'!E12)/12,2))</f>
        <v/>
      </c>
      <c r="AN8">
        <f>IF(N(AL8)&lt;=0.005,0,MIN(N('Debt List'!F12),N(AL8)+N(AM8)))+((AP8=8)*AR8+(AT8=8)*AV8+(AX8=8)*AZ8+(BB8=8)*BD8+(BF8=8)*BH8+(BJ8=8)*BL8+(BN8=8)*BP8+(BR8=8)*BT8)</f>
        <v/>
      </c>
      <c r="AO8">
        <f>MAX(0,ROUND(N(AL8)+N(AM8)-N(AN8),2))</f>
        <v/>
      </c>
      <c r="AP8">
        <f>IFERROR(MATCH(1,OrderPlan,0),"")</f>
        <v/>
      </c>
      <c r="AQ8">
        <f>IF(AP8="",0,IFERROR(IF(N(CHOOSE(AP8,J8,N8,R8,V8,Z8,AD8,AH8,AL8))&lt;=0.005,0,MAX(0,N(CHOOSE(AP8,J8,N8,R8,V8,Z8,AD8,AH8,AL8))+N(CHOOSE(AP8,K8,O8,S8,W8,AA8,AE8,AI8,AM8))-MIN(N(CHOOSE(AP8,'Debt List'!$F$5,'Debt List'!$F$6,'Debt List'!$F$7,'Debt List'!$F$8,'Debt List'!$F$9,'Debt List'!$F$10,'Debt List'!$F$11,'Debt List'!$F$12)),N(CHOOSE(AP8,J8,N8,R8,V8,Z8,AD8,AH8,AL8))+N(CHOOSE(AP8,K8,O8,S8,W8,AA8,AE8,AI8,AM8))))),0))</f>
        <v/>
      </c>
      <c r="AR8">
        <f>MIN(N(AQ8),MAX(0,N(ExtraPayment)))</f>
        <v/>
      </c>
      <c r="AS8">
        <f>MAX(0,N(ExtraPayment)-N(AR8))</f>
        <v/>
      </c>
      <c r="AT8">
        <f>IFERROR(MATCH(2,OrderPlan,0),"")</f>
        <v/>
      </c>
      <c r="AU8">
        <f>IF(AT8="",0,IFERROR(IF(N(CHOOSE(AT8,J8,N8,R8,V8,Z8,AD8,AH8,AL8))&lt;=0.005,0,MAX(0,N(CHOOSE(AT8,J8,N8,R8,V8,Z8,AD8,AH8,AL8))+N(CHOOSE(AT8,K8,O8,S8,W8,AA8,AE8,AI8,AM8))-MIN(N(CHOOSE(AT8,'Debt List'!$F$5,'Debt List'!$F$6,'Debt List'!$F$7,'Debt List'!$F$8,'Debt List'!$F$9,'Debt List'!$F$10,'Debt List'!$F$11,'Debt List'!$F$12)),N(CHOOSE(AT8,J8,N8,R8,V8,Z8,AD8,AH8,AL8))+N(CHOOSE(AT8,K8,O8,S8,W8,AA8,AE8,AI8,AM8))))),0))</f>
        <v/>
      </c>
      <c r="AV8">
        <f>MIN(N(AU8),MAX(0,N(AS8)))</f>
        <v/>
      </c>
      <c r="AW8">
        <f>MAX(0,N(AS8)-N(AV8))</f>
        <v/>
      </c>
      <c r="AX8">
        <f>IFERROR(MATCH(3,OrderPlan,0),"")</f>
        <v/>
      </c>
      <c r="AY8">
        <f>IF(AX8="",0,IFERROR(IF(N(CHOOSE(AX8,J8,N8,R8,V8,Z8,AD8,AH8,AL8))&lt;=0.005,0,MAX(0,N(CHOOSE(AX8,J8,N8,R8,V8,Z8,AD8,AH8,AL8))+N(CHOOSE(AX8,K8,O8,S8,W8,AA8,AE8,AI8,AM8))-MIN(N(CHOOSE(AX8,'Debt List'!$F$5,'Debt List'!$F$6,'Debt List'!$F$7,'Debt List'!$F$8,'Debt List'!$F$9,'Debt List'!$F$10,'Debt List'!$F$11,'Debt List'!$F$12)),N(CHOOSE(AX8,J8,N8,R8,V8,Z8,AD8,AH8,AL8))+N(CHOOSE(AX8,K8,O8,S8,W8,AA8,AE8,AI8,AM8))))),0))</f>
        <v/>
      </c>
      <c r="AZ8">
        <f>MIN(N(AY8),MAX(0,N(AW8)))</f>
        <v/>
      </c>
      <c r="BA8">
        <f>MAX(0,N(AW8)-N(AZ8))</f>
        <v/>
      </c>
      <c r="BB8">
        <f>IFERROR(MATCH(4,OrderPlan,0),"")</f>
        <v/>
      </c>
      <c r="BC8">
        <f>IF(BB8="",0,IFERROR(IF(N(CHOOSE(BB8,J8,N8,R8,V8,Z8,AD8,AH8,AL8))&lt;=0.005,0,MAX(0,N(CHOOSE(BB8,J8,N8,R8,V8,Z8,AD8,AH8,AL8))+N(CHOOSE(BB8,K8,O8,S8,W8,AA8,AE8,AI8,AM8))-MIN(N(CHOOSE(BB8,'Debt List'!$F$5,'Debt List'!$F$6,'Debt List'!$F$7,'Debt List'!$F$8,'Debt List'!$F$9,'Debt List'!$F$10,'Debt List'!$F$11,'Debt List'!$F$12)),N(CHOOSE(BB8,J8,N8,R8,V8,Z8,AD8,AH8,AL8))+N(CHOOSE(BB8,K8,O8,S8,W8,AA8,AE8,AI8,AM8))))),0))</f>
        <v/>
      </c>
      <c r="BD8">
        <f>MIN(N(BC8),MAX(0,N(BA8)))</f>
        <v/>
      </c>
      <c r="BE8">
        <f>MAX(0,N(BA8)-N(BD8))</f>
        <v/>
      </c>
      <c r="BF8">
        <f>IFERROR(MATCH(5,OrderPlan,0),"")</f>
        <v/>
      </c>
      <c r="BG8">
        <f>IF(BF8="",0,IFERROR(IF(N(CHOOSE(BF8,J8,N8,R8,V8,Z8,AD8,AH8,AL8))&lt;=0.005,0,MAX(0,N(CHOOSE(BF8,J8,N8,R8,V8,Z8,AD8,AH8,AL8))+N(CHOOSE(BF8,K8,O8,S8,W8,AA8,AE8,AI8,AM8))-MIN(N(CHOOSE(BF8,'Debt List'!$F$5,'Debt List'!$F$6,'Debt List'!$F$7,'Debt List'!$F$8,'Debt List'!$F$9,'Debt List'!$F$10,'Debt List'!$F$11,'Debt List'!$F$12)),N(CHOOSE(BF8,J8,N8,R8,V8,Z8,AD8,AH8,AL8))+N(CHOOSE(BF8,K8,O8,S8,W8,AA8,AE8,AI8,AM8))))),0))</f>
        <v/>
      </c>
      <c r="BH8">
        <f>MIN(N(BG8),MAX(0,N(BE8)))</f>
        <v/>
      </c>
      <c r="BI8">
        <f>MAX(0,N(BE8)-N(BH8))</f>
        <v/>
      </c>
      <c r="BJ8">
        <f>IFERROR(MATCH(6,OrderPlan,0),"")</f>
        <v/>
      </c>
      <c r="BK8">
        <f>IF(BJ8="",0,IFERROR(IF(N(CHOOSE(BJ8,J8,N8,R8,V8,Z8,AD8,AH8,AL8))&lt;=0.005,0,MAX(0,N(CHOOSE(BJ8,J8,N8,R8,V8,Z8,AD8,AH8,AL8))+N(CHOOSE(BJ8,K8,O8,S8,W8,AA8,AE8,AI8,AM8))-MIN(N(CHOOSE(BJ8,'Debt List'!$F$5,'Debt List'!$F$6,'Debt List'!$F$7,'Debt List'!$F$8,'Debt List'!$F$9,'Debt List'!$F$10,'Debt List'!$F$11,'Debt List'!$F$12)),N(CHOOSE(BJ8,J8,N8,R8,V8,Z8,AD8,AH8,AL8))+N(CHOOSE(BJ8,K8,O8,S8,W8,AA8,AE8,AI8,AM8))))),0))</f>
        <v/>
      </c>
      <c r="BL8">
        <f>MIN(N(BK8),MAX(0,N(BI8)))</f>
        <v/>
      </c>
      <c r="BM8">
        <f>MAX(0,N(BI8)-N(BL8))</f>
        <v/>
      </c>
      <c r="BN8">
        <f>IFERROR(MATCH(7,OrderPlan,0),"")</f>
        <v/>
      </c>
      <c r="BO8">
        <f>IF(BN8="",0,IFERROR(IF(N(CHOOSE(BN8,J8,N8,R8,V8,Z8,AD8,AH8,AL8))&lt;=0.005,0,MAX(0,N(CHOOSE(BN8,J8,N8,R8,V8,Z8,AD8,AH8,AL8))+N(CHOOSE(BN8,K8,O8,S8,W8,AA8,AE8,AI8,AM8))-MIN(N(CHOOSE(BN8,'Debt List'!$F$5,'Debt List'!$F$6,'Debt List'!$F$7,'Debt List'!$F$8,'Debt List'!$F$9,'Debt List'!$F$10,'Debt List'!$F$11,'Debt List'!$F$12)),N(CHOOSE(BN8,J8,N8,R8,V8,Z8,AD8,AH8,AL8))+N(CHOOSE(BN8,K8,O8,S8,W8,AA8,AE8,AI8,AM8))))),0))</f>
        <v/>
      </c>
      <c r="BP8">
        <f>MIN(N(BO8),MAX(0,N(BM8)))</f>
        <v/>
      </c>
      <c r="BQ8">
        <f>MAX(0,N(BM8)-N(BP8))</f>
        <v/>
      </c>
      <c r="BR8">
        <f>IFERROR(MATCH(8,OrderPlan,0),"")</f>
        <v/>
      </c>
      <c r="BS8">
        <f>IF(BR8="",0,IFERROR(IF(N(CHOOSE(BR8,J8,N8,R8,V8,Z8,AD8,AH8,AL8))&lt;=0.005,0,MAX(0,N(CHOOSE(BR8,J8,N8,R8,V8,Z8,AD8,AH8,AL8))+N(CHOOSE(BR8,K8,O8,S8,W8,AA8,AE8,AI8,AM8))-MIN(N(CHOOSE(BR8,'Debt List'!$F$5,'Debt List'!$F$6,'Debt List'!$F$7,'Debt List'!$F$8,'Debt List'!$F$9,'Debt List'!$F$10,'Debt List'!$F$11,'Debt List'!$F$12)),N(CHOOSE(BR8,J8,N8,R8,V8,Z8,AD8,AH8,AL8))+N(CHOOSE(BR8,K8,O8,S8,W8,AA8,AE8,AI8,AM8))))),0))</f>
        <v/>
      </c>
      <c r="BT8">
        <f>MIN(N(BS8),MAX(0,N(BQ8)))</f>
        <v/>
      </c>
      <c r="BU8">
        <f>MAX(0,N(BQ8)-N(BT8))</f>
        <v/>
      </c>
      <c r="CC8" t="n">
        <v>4</v>
      </c>
      <c r="CD8" s="115">
        <f>DATE(YEAR(PlanStart),MONTH(PlanStart)+CC8-1,1)</f>
        <v/>
      </c>
      <c r="CE8">
        <f>IF(AND(DR8&lt;&gt;"",N(CHOOSE(DR8,CL8,CP8,CT8,CX8,DB8,DF8,DJ8,DN8))&gt;0.005),INDEX(DebtNames,DR8),IF(AND(DV8&lt;&gt;"",N(CHOOSE(DV8,CL8,CP8,CT8,CX8,DB8,DF8,DJ8,DN8))&gt;0.005),INDEX(DebtNames,DV8),IF(AND(DZ8&lt;&gt;"",N(CHOOSE(DZ8,CL8,CP8,CT8,CX8,DB8,DF8,DJ8,DN8))&gt;0.005),INDEX(DebtNames,DZ8),IF(AND(ED8&lt;&gt;"",N(CHOOSE(ED8,CL8,CP8,CT8,CX8,DB8,DF8,DJ8,DN8))&gt;0.005),INDEX(DebtNames,ED8),IF(AND(EH8&lt;&gt;"",N(CHOOSE(EH8,CL8,CP8,CT8,CX8,DB8,DF8,DJ8,DN8))&gt;0.005),INDEX(DebtNames,EH8),IF(AND(EL8&lt;&gt;"",N(CHOOSE(EL8,CL8,CP8,CT8,CX8,DB8,DF8,DJ8,DN8))&gt;0.005),INDEX(DebtNames,EL8),IF(AND(EP8&lt;&gt;"",N(CHOOSE(EP8,CL8,CP8,CT8,CX8,DB8,DF8,DJ8,DN8))&gt;0.005),INDEX(DebtNames,EP8),IF(AND(ET8&lt;&gt;"",N(CHOOSE(ET8,CL8,CP8,CT8,CX8,DB8,DF8,DJ8,DN8))&gt;0.005),INDEX(DebtNames,ET8),""))))))))</f>
        <v/>
      </c>
      <c r="CF8">
        <f>N(EW8)</f>
        <v/>
      </c>
      <c r="CG8">
        <f>N(CN8)+N(CR8)+N(CV8)+N(CZ8)+N(DD8)+N(DH8)+N(DL8)+N(DP8)</f>
        <v/>
      </c>
      <c r="CH8">
        <f>N(CM8)+N(CQ8)+N(CU8)+N(CY8)+N(DC8)+N(DG8)+N(DK8)+N(DO8)</f>
        <v/>
      </c>
      <c r="CI8">
        <f>N(CI7)+N(CH8)</f>
        <v/>
      </c>
      <c r="CJ8">
        <f>N(CO8)+N(CS8)+N(CW8)+N(DA8)+N(DE8)+N(DI8)+N(DM8)+N(DQ8)</f>
        <v/>
      </c>
      <c r="CK8">
        <f>(CO8&gt;0.005)*1+(CS8&gt;0.005)*1+(CW8&gt;0.005)*1+(DA8&gt;0.005)*1+(DE8&gt;0.005)*1+(DI8&gt;0.005)*1+(DM8&gt;0.005)*1+(DQ8&gt;0.005)*1</f>
        <v/>
      </c>
      <c r="CL8">
        <f>N(CO7)</f>
        <v/>
      </c>
      <c r="CM8">
        <f>IF(N(CL8)&lt;=0.005,0,ROUND(N(CL8)*N('Debt List'!E5)/12,2))</f>
        <v/>
      </c>
      <c r="CN8">
        <f>IF(N(CL8)&lt;=0.005,0,MIN(N('Debt List'!F5),N(CL8)+N(CM8)))+((DR8=1)*DT8+(DV8=1)*DX8+(DZ8=1)*EB8+(ED8=1)*EF8+(EH8=1)*EJ8+(EL8=1)*EN8+(EP8=1)*ER8+(ET8=1)*EV8)</f>
        <v/>
      </c>
      <c r="CO8">
        <f>MAX(0,ROUND(N(CL8)+N(CM8)-N(CN8),2))</f>
        <v/>
      </c>
      <c r="CP8">
        <f>N(CS7)</f>
        <v/>
      </c>
      <c r="CQ8">
        <f>IF(N(CP8)&lt;=0.005,0,ROUND(N(CP8)*N('Debt List'!E6)/12,2))</f>
        <v/>
      </c>
      <c r="CR8">
        <f>IF(N(CP8)&lt;=0.005,0,MIN(N('Debt List'!F6),N(CP8)+N(CQ8)))+((DR8=2)*DT8+(DV8=2)*DX8+(DZ8=2)*EB8+(ED8=2)*EF8+(EH8=2)*EJ8+(EL8=2)*EN8+(EP8=2)*ER8+(ET8=2)*EV8)</f>
        <v/>
      </c>
      <c r="CS8">
        <f>MAX(0,ROUND(N(CP8)+N(CQ8)-N(CR8),2))</f>
        <v/>
      </c>
      <c r="CT8">
        <f>N(CW7)</f>
        <v/>
      </c>
      <c r="CU8">
        <f>IF(N(CT8)&lt;=0.005,0,ROUND(N(CT8)*N('Debt List'!E7)/12,2))</f>
        <v/>
      </c>
      <c r="CV8">
        <f>IF(N(CT8)&lt;=0.005,0,MIN(N('Debt List'!F7),N(CT8)+N(CU8)))+((DR8=3)*DT8+(DV8=3)*DX8+(DZ8=3)*EB8+(ED8=3)*EF8+(EH8=3)*EJ8+(EL8=3)*EN8+(EP8=3)*ER8+(ET8=3)*EV8)</f>
        <v/>
      </c>
      <c r="CW8">
        <f>MAX(0,ROUND(N(CT8)+N(CU8)-N(CV8),2))</f>
        <v/>
      </c>
      <c r="CX8">
        <f>N(DA7)</f>
        <v/>
      </c>
      <c r="CY8">
        <f>IF(N(CX8)&lt;=0.005,0,ROUND(N(CX8)*N('Debt List'!E8)/12,2))</f>
        <v/>
      </c>
      <c r="CZ8">
        <f>IF(N(CX8)&lt;=0.005,0,MIN(N('Debt List'!F8),N(CX8)+N(CY8)))+((DR8=4)*DT8+(DV8=4)*DX8+(DZ8=4)*EB8+(ED8=4)*EF8+(EH8=4)*EJ8+(EL8=4)*EN8+(EP8=4)*ER8+(ET8=4)*EV8)</f>
        <v/>
      </c>
      <c r="DA8">
        <f>MAX(0,ROUND(N(CX8)+N(CY8)-N(CZ8),2))</f>
        <v/>
      </c>
      <c r="DB8">
        <f>N(DE7)</f>
        <v/>
      </c>
      <c r="DC8">
        <f>IF(N(DB8)&lt;=0.005,0,ROUND(N(DB8)*N('Debt List'!E9)/12,2))</f>
        <v/>
      </c>
      <c r="DD8">
        <f>IF(N(DB8)&lt;=0.005,0,MIN(N('Debt List'!F9),N(DB8)+N(DC8)))+((DR8=5)*DT8+(DV8=5)*DX8+(DZ8=5)*EB8+(ED8=5)*EF8+(EH8=5)*EJ8+(EL8=5)*EN8+(EP8=5)*ER8+(ET8=5)*EV8)</f>
        <v/>
      </c>
      <c r="DE8">
        <f>MAX(0,ROUND(N(DB8)+N(DC8)-N(DD8),2))</f>
        <v/>
      </c>
      <c r="DF8">
        <f>N(DI7)</f>
        <v/>
      </c>
      <c r="DG8">
        <f>IF(N(DF8)&lt;=0.005,0,ROUND(N(DF8)*N('Debt List'!E10)/12,2))</f>
        <v/>
      </c>
      <c r="DH8">
        <f>IF(N(DF8)&lt;=0.005,0,MIN(N('Debt List'!F10),N(DF8)+N(DG8)))+((DR8=6)*DT8+(DV8=6)*DX8+(DZ8=6)*EB8+(ED8=6)*EF8+(EH8=6)*EJ8+(EL8=6)*EN8+(EP8=6)*ER8+(ET8=6)*EV8)</f>
        <v/>
      </c>
      <c r="DI8">
        <f>MAX(0,ROUND(N(DF8)+N(DG8)-N(DH8),2))</f>
        <v/>
      </c>
      <c r="DJ8">
        <f>N(DM7)</f>
        <v/>
      </c>
      <c r="DK8">
        <f>IF(N(DJ8)&lt;=0.005,0,ROUND(N(DJ8)*N('Debt List'!E11)/12,2))</f>
        <v/>
      </c>
      <c r="DL8">
        <f>IF(N(DJ8)&lt;=0.005,0,MIN(N('Debt List'!F11),N(DJ8)+N(DK8)))+((DR8=7)*DT8+(DV8=7)*DX8+(DZ8=7)*EB8+(ED8=7)*EF8+(EH8=7)*EJ8+(EL8=7)*EN8+(EP8=7)*ER8+(ET8=7)*EV8)</f>
        <v/>
      </c>
      <c r="DM8">
        <f>MAX(0,ROUND(N(DJ8)+N(DK8)-N(DL8),2))</f>
        <v/>
      </c>
      <c r="DN8">
        <f>N(DQ7)</f>
        <v/>
      </c>
      <c r="DO8">
        <f>IF(N(DN8)&lt;=0.005,0,ROUND(N(DN8)*N('Debt List'!E12)/12,2))</f>
        <v/>
      </c>
      <c r="DP8">
        <f>IF(N(DN8)&lt;=0.005,0,MIN(N('Debt List'!F12),N(DN8)+N(DO8)))+((DR8=8)*DT8+(DV8=8)*DX8+(DZ8=8)*EB8+(ED8=8)*EF8+(EH8=8)*EJ8+(EL8=8)*EN8+(EP8=8)*ER8+(ET8=8)*EV8)</f>
        <v/>
      </c>
      <c r="DQ8">
        <f>MAX(0,ROUND(N(DN8)+N(DO8)-N(DP8),2))</f>
        <v/>
      </c>
      <c r="DR8">
        <f>IFERROR(MATCH(1,OrderSnow,0),"")</f>
        <v/>
      </c>
      <c r="DS8">
        <f>IF(DR8="",0,IFERROR(IF(N(CHOOSE(DR8,CL8,CP8,CT8,CX8,DB8,DF8,DJ8,DN8))&lt;=0.005,0,MAX(0,N(CHOOSE(DR8,CL8,CP8,CT8,CX8,DB8,DF8,DJ8,DN8))+N(CHOOSE(DR8,CM8,CQ8,CU8,CY8,DC8,DG8,DK8,DO8))-MIN(N(CHOOSE(DR8,'Debt List'!$F$5,'Debt List'!$F$6,'Debt List'!$F$7,'Debt List'!$F$8,'Debt List'!$F$9,'Debt List'!$F$10,'Debt List'!$F$11,'Debt List'!$F$12)),N(CHOOSE(DR8,CL8,CP8,CT8,CX8,DB8,DF8,DJ8,DN8))+N(CHOOSE(DR8,CM8,CQ8,CU8,CY8,DC8,DG8,DK8,DO8))))),0))</f>
        <v/>
      </c>
      <c r="DT8">
        <f>MIN(N(DS8),MAX(0,N(ExtraPayment)))</f>
        <v/>
      </c>
      <c r="DU8">
        <f>MAX(0,N(ExtraPayment)-N(DT8))</f>
        <v/>
      </c>
      <c r="DV8">
        <f>IFERROR(MATCH(2,OrderSnow,0),"")</f>
        <v/>
      </c>
      <c r="DW8">
        <f>IF(DV8="",0,IFERROR(IF(N(CHOOSE(DV8,CL8,CP8,CT8,CX8,DB8,DF8,DJ8,DN8))&lt;=0.005,0,MAX(0,N(CHOOSE(DV8,CL8,CP8,CT8,CX8,DB8,DF8,DJ8,DN8))+N(CHOOSE(DV8,CM8,CQ8,CU8,CY8,DC8,DG8,DK8,DO8))-MIN(N(CHOOSE(DV8,'Debt List'!$F$5,'Debt List'!$F$6,'Debt List'!$F$7,'Debt List'!$F$8,'Debt List'!$F$9,'Debt List'!$F$10,'Debt List'!$F$11,'Debt List'!$F$12)),N(CHOOSE(DV8,CL8,CP8,CT8,CX8,DB8,DF8,DJ8,DN8))+N(CHOOSE(DV8,CM8,CQ8,CU8,CY8,DC8,DG8,DK8,DO8))))),0))</f>
        <v/>
      </c>
      <c r="DX8">
        <f>MIN(N(DW8),MAX(0,N(DU8)))</f>
        <v/>
      </c>
      <c r="DY8">
        <f>MAX(0,N(DU8)-N(DX8))</f>
        <v/>
      </c>
      <c r="DZ8">
        <f>IFERROR(MATCH(3,OrderSnow,0),"")</f>
        <v/>
      </c>
      <c r="EA8">
        <f>IF(DZ8="",0,IFERROR(IF(N(CHOOSE(DZ8,CL8,CP8,CT8,CX8,DB8,DF8,DJ8,DN8))&lt;=0.005,0,MAX(0,N(CHOOSE(DZ8,CL8,CP8,CT8,CX8,DB8,DF8,DJ8,DN8))+N(CHOOSE(DZ8,CM8,CQ8,CU8,CY8,DC8,DG8,DK8,DO8))-MIN(N(CHOOSE(DZ8,'Debt List'!$F$5,'Debt List'!$F$6,'Debt List'!$F$7,'Debt List'!$F$8,'Debt List'!$F$9,'Debt List'!$F$10,'Debt List'!$F$11,'Debt List'!$F$12)),N(CHOOSE(DZ8,CL8,CP8,CT8,CX8,DB8,DF8,DJ8,DN8))+N(CHOOSE(DZ8,CM8,CQ8,CU8,CY8,DC8,DG8,DK8,DO8))))),0))</f>
        <v/>
      </c>
      <c r="EB8">
        <f>MIN(N(EA8),MAX(0,N(DY8)))</f>
        <v/>
      </c>
      <c r="EC8">
        <f>MAX(0,N(DY8)-N(EB8))</f>
        <v/>
      </c>
      <c r="ED8">
        <f>IFERROR(MATCH(4,OrderSnow,0),"")</f>
        <v/>
      </c>
      <c r="EE8">
        <f>IF(ED8="",0,IFERROR(IF(N(CHOOSE(ED8,CL8,CP8,CT8,CX8,DB8,DF8,DJ8,DN8))&lt;=0.005,0,MAX(0,N(CHOOSE(ED8,CL8,CP8,CT8,CX8,DB8,DF8,DJ8,DN8))+N(CHOOSE(ED8,CM8,CQ8,CU8,CY8,DC8,DG8,DK8,DO8))-MIN(N(CHOOSE(ED8,'Debt List'!$F$5,'Debt List'!$F$6,'Debt List'!$F$7,'Debt List'!$F$8,'Debt List'!$F$9,'Debt List'!$F$10,'Debt List'!$F$11,'Debt List'!$F$12)),N(CHOOSE(ED8,CL8,CP8,CT8,CX8,DB8,DF8,DJ8,DN8))+N(CHOOSE(ED8,CM8,CQ8,CU8,CY8,DC8,DG8,DK8,DO8))))),0))</f>
        <v/>
      </c>
      <c r="EF8">
        <f>MIN(N(EE8),MAX(0,N(EC8)))</f>
        <v/>
      </c>
      <c r="EG8">
        <f>MAX(0,N(EC8)-N(EF8))</f>
        <v/>
      </c>
      <c r="EH8">
        <f>IFERROR(MATCH(5,OrderSnow,0),"")</f>
        <v/>
      </c>
      <c r="EI8">
        <f>IF(EH8="",0,IFERROR(IF(N(CHOOSE(EH8,CL8,CP8,CT8,CX8,DB8,DF8,DJ8,DN8))&lt;=0.005,0,MAX(0,N(CHOOSE(EH8,CL8,CP8,CT8,CX8,DB8,DF8,DJ8,DN8))+N(CHOOSE(EH8,CM8,CQ8,CU8,CY8,DC8,DG8,DK8,DO8))-MIN(N(CHOOSE(EH8,'Debt List'!$F$5,'Debt List'!$F$6,'Debt List'!$F$7,'Debt List'!$F$8,'Debt List'!$F$9,'Debt List'!$F$10,'Debt List'!$F$11,'Debt List'!$F$12)),N(CHOOSE(EH8,CL8,CP8,CT8,CX8,DB8,DF8,DJ8,DN8))+N(CHOOSE(EH8,CM8,CQ8,CU8,CY8,DC8,DG8,DK8,DO8))))),0))</f>
        <v/>
      </c>
      <c r="EJ8">
        <f>MIN(N(EI8),MAX(0,N(EG8)))</f>
        <v/>
      </c>
      <c r="EK8">
        <f>MAX(0,N(EG8)-N(EJ8))</f>
        <v/>
      </c>
      <c r="EL8">
        <f>IFERROR(MATCH(6,OrderSnow,0),"")</f>
        <v/>
      </c>
      <c r="EM8">
        <f>IF(EL8="",0,IFERROR(IF(N(CHOOSE(EL8,CL8,CP8,CT8,CX8,DB8,DF8,DJ8,DN8))&lt;=0.005,0,MAX(0,N(CHOOSE(EL8,CL8,CP8,CT8,CX8,DB8,DF8,DJ8,DN8))+N(CHOOSE(EL8,CM8,CQ8,CU8,CY8,DC8,DG8,DK8,DO8))-MIN(N(CHOOSE(EL8,'Debt List'!$F$5,'Debt List'!$F$6,'Debt List'!$F$7,'Debt List'!$F$8,'Debt List'!$F$9,'Debt List'!$F$10,'Debt List'!$F$11,'Debt List'!$F$12)),N(CHOOSE(EL8,CL8,CP8,CT8,CX8,DB8,DF8,DJ8,DN8))+N(CHOOSE(EL8,CM8,CQ8,CU8,CY8,DC8,DG8,DK8,DO8))))),0))</f>
        <v/>
      </c>
      <c r="EN8">
        <f>MIN(N(EM8),MAX(0,N(EK8)))</f>
        <v/>
      </c>
      <c r="EO8">
        <f>MAX(0,N(EK8)-N(EN8))</f>
        <v/>
      </c>
      <c r="EP8">
        <f>IFERROR(MATCH(7,OrderSnow,0),"")</f>
        <v/>
      </c>
      <c r="EQ8">
        <f>IF(EP8="",0,IFERROR(IF(N(CHOOSE(EP8,CL8,CP8,CT8,CX8,DB8,DF8,DJ8,DN8))&lt;=0.005,0,MAX(0,N(CHOOSE(EP8,CL8,CP8,CT8,CX8,DB8,DF8,DJ8,DN8))+N(CHOOSE(EP8,CM8,CQ8,CU8,CY8,DC8,DG8,DK8,DO8))-MIN(N(CHOOSE(EP8,'Debt List'!$F$5,'Debt List'!$F$6,'Debt List'!$F$7,'Debt List'!$F$8,'Debt List'!$F$9,'Debt List'!$F$10,'Debt List'!$F$11,'Debt List'!$F$12)),N(CHOOSE(EP8,CL8,CP8,CT8,CX8,DB8,DF8,DJ8,DN8))+N(CHOOSE(EP8,CM8,CQ8,CU8,CY8,DC8,DG8,DK8,DO8))))),0))</f>
        <v/>
      </c>
      <c r="ER8">
        <f>MIN(N(EQ8),MAX(0,N(EO8)))</f>
        <v/>
      </c>
      <c r="ES8">
        <f>MAX(0,N(EO8)-N(ER8))</f>
        <v/>
      </c>
      <c r="ET8">
        <f>IFERROR(MATCH(8,OrderSnow,0),"")</f>
        <v/>
      </c>
      <c r="EU8">
        <f>IF(ET8="",0,IFERROR(IF(N(CHOOSE(ET8,CL8,CP8,CT8,CX8,DB8,DF8,DJ8,DN8))&lt;=0.005,0,MAX(0,N(CHOOSE(ET8,CL8,CP8,CT8,CX8,DB8,DF8,DJ8,DN8))+N(CHOOSE(ET8,CM8,CQ8,CU8,CY8,DC8,DG8,DK8,DO8))-MIN(N(CHOOSE(ET8,'Debt List'!$F$5,'Debt List'!$F$6,'Debt List'!$F$7,'Debt List'!$F$8,'Debt List'!$F$9,'Debt List'!$F$10,'Debt List'!$F$11,'Debt List'!$F$12)),N(CHOOSE(ET8,CL8,CP8,CT8,CX8,DB8,DF8,DJ8,DN8))+N(CHOOSE(ET8,CM8,CQ8,CU8,CY8,DC8,DG8,DK8,DO8))))),0))</f>
        <v/>
      </c>
      <c r="EV8">
        <f>MIN(N(EU8),MAX(0,N(ES8)))</f>
        <v/>
      </c>
      <c r="EW8">
        <f>MAX(0,N(ES8)-N(EV8))</f>
        <v/>
      </c>
      <c r="FE8" t="n">
        <v>4</v>
      </c>
      <c r="FF8" s="115">
        <f>DATE(YEAR(PlanStart),MONTH(PlanStart)+FE8-1,1)</f>
        <v/>
      </c>
      <c r="FG8">
        <f>IF(AND(GT8&lt;&gt;"",N(CHOOSE(GT8,FN8,FR8,FV8,FZ8,GD8,GH8,GL8,GP8))&gt;0.005),INDEX(DebtNames,GT8),IF(AND(GX8&lt;&gt;"",N(CHOOSE(GX8,FN8,FR8,FV8,FZ8,GD8,GH8,GL8,GP8))&gt;0.005),INDEX(DebtNames,GX8),IF(AND(HB8&lt;&gt;"",N(CHOOSE(HB8,FN8,FR8,FV8,FZ8,GD8,GH8,GL8,GP8))&gt;0.005),INDEX(DebtNames,HB8),IF(AND(HF8&lt;&gt;"",N(CHOOSE(HF8,FN8,FR8,FV8,FZ8,GD8,GH8,GL8,GP8))&gt;0.005),INDEX(DebtNames,HF8),IF(AND(HJ8&lt;&gt;"",N(CHOOSE(HJ8,FN8,FR8,FV8,FZ8,GD8,GH8,GL8,GP8))&gt;0.005),INDEX(DebtNames,HJ8),IF(AND(HN8&lt;&gt;"",N(CHOOSE(HN8,FN8,FR8,FV8,FZ8,GD8,GH8,GL8,GP8))&gt;0.005),INDEX(DebtNames,HN8),IF(AND(HR8&lt;&gt;"",N(CHOOSE(HR8,FN8,FR8,FV8,FZ8,GD8,GH8,GL8,GP8))&gt;0.005),INDEX(DebtNames,HR8),IF(AND(HV8&lt;&gt;"",N(CHOOSE(HV8,FN8,FR8,FV8,FZ8,GD8,GH8,GL8,GP8))&gt;0.005),INDEX(DebtNames,HV8),""))))))))</f>
        <v/>
      </c>
      <c r="FH8">
        <f>N(HY8)</f>
        <v/>
      </c>
      <c r="FI8">
        <f>N(FP8)+N(FT8)+N(FX8)+N(GB8)+N(GF8)+N(GJ8)+N(GN8)+N(GR8)</f>
        <v/>
      </c>
      <c r="FJ8">
        <f>N(FO8)+N(FS8)+N(FW8)+N(GA8)+N(GE8)+N(GI8)+N(GM8)+N(GQ8)</f>
        <v/>
      </c>
      <c r="FK8">
        <f>N(FK7)+N(FJ8)</f>
        <v/>
      </c>
      <c r="FL8">
        <f>N(FQ8)+N(FU8)+N(FY8)+N(GC8)+N(GG8)+N(GK8)+N(GO8)+N(GS8)</f>
        <v/>
      </c>
      <c r="FM8">
        <f>(FQ8&gt;0.005)*1+(FU8&gt;0.005)*1+(FY8&gt;0.005)*1+(GC8&gt;0.005)*1+(GG8&gt;0.005)*1+(GK8&gt;0.005)*1+(GO8&gt;0.005)*1+(GS8&gt;0.005)*1</f>
        <v/>
      </c>
      <c r="FN8">
        <f>N(FQ7)</f>
        <v/>
      </c>
      <c r="FO8">
        <f>IF(N(FN8)&lt;=0.005,0,ROUND(N(FN8)*N('Debt List'!E5)/12,2))</f>
        <v/>
      </c>
      <c r="FP8">
        <f>IF(N(FN8)&lt;=0.005,0,MIN(N('Debt List'!F5),N(FN8)+N(FO8)))+((GT8=1)*GV8+(GX8=1)*GZ8+(HB8=1)*HD8+(HF8=1)*HH8+(HJ8=1)*HL8+(HN8=1)*HP8+(HR8=1)*HT8+(HV8=1)*HX8)</f>
        <v/>
      </c>
      <c r="FQ8">
        <f>MAX(0,ROUND(N(FN8)+N(FO8)-N(FP8),2))</f>
        <v/>
      </c>
      <c r="FR8">
        <f>N(FU7)</f>
        <v/>
      </c>
      <c r="FS8">
        <f>IF(N(FR8)&lt;=0.005,0,ROUND(N(FR8)*N('Debt List'!E6)/12,2))</f>
        <v/>
      </c>
      <c r="FT8">
        <f>IF(N(FR8)&lt;=0.005,0,MIN(N('Debt List'!F6),N(FR8)+N(FS8)))+((GT8=2)*GV8+(GX8=2)*GZ8+(HB8=2)*HD8+(HF8=2)*HH8+(HJ8=2)*HL8+(HN8=2)*HP8+(HR8=2)*HT8+(HV8=2)*HX8)</f>
        <v/>
      </c>
      <c r="FU8">
        <f>MAX(0,ROUND(N(FR8)+N(FS8)-N(FT8),2))</f>
        <v/>
      </c>
      <c r="FV8">
        <f>N(FY7)</f>
        <v/>
      </c>
      <c r="FW8">
        <f>IF(N(FV8)&lt;=0.005,0,ROUND(N(FV8)*N('Debt List'!E7)/12,2))</f>
        <v/>
      </c>
      <c r="FX8">
        <f>IF(N(FV8)&lt;=0.005,0,MIN(N('Debt List'!F7),N(FV8)+N(FW8)))+((GT8=3)*GV8+(GX8=3)*GZ8+(HB8=3)*HD8+(HF8=3)*HH8+(HJ8=3)*HL8+(HN8=3)*HP8+(HR8=3)*HT8+(HV8=3)*HX8)</f>
        <v/>
      </c>
      <c r="FY8">
        <f>MAX(0,ROUND(N(FV8)+N(FW8)-N(FX8),2))</f>
        <v/>
      </c>
      <c r="FZ8">
        <f>N(GC7)</f>
        <v/>
      </c>
      <c r="GA8">
        <f>IF(N(FZ8)&lt;=0.005,0,ROUND(N(FZ8)*N('Debt List'!E8)/12,2))</f>
        <v/>
      </c>
      <c r="GB8">
        <f>IF(N(FZ8)&lt;=0.005,0,MIN(N('Debt List'!F8),N(FZ8)+N(GA8)))+((GT8=4)*GV8+(GX8=4)*GZ8+(HB8=4)*HD8+(HF8=4)*HH8+(HJ8=4)*HL8+(HN8=4)*HP8+(HR8=4)*HT8+(HV8=4)*HX8)</f>
        <v/>
      </c>
      <c r="GC8">
        <f>MAX(0,ROUND(N(FZ8)+N(GA8)-N(GB8),2))</f>
        <v/>
      </c>
      <c r="GD8">
        <f>N(GG7)</f>
        <v/>
      </c>
      <c r="GE8">
        <f>IF(N(GD8)&lt;=0.005,0,ROUND(N(GD8)*N('Debt List'!E9)/12,2))</f>
        <v/>
      </c>
      <c r="GF8">
        <f>IF(N(GD8)&lt;=0.005,0,MIN(N('Debt List'!F9),N(GD8)+N(GE8)))+((GT8=5)*GV8+(GX8=5)*GZ8+(HB8=5)*HD8+(HF8=5)*HH8+(HJ8=5)*HL8+(HN8=5)*HP8+(HR8=5)*HT8+(HV8=5)*HX8)</f>
        <v/>
      </c>
      <c r="GG8">
        <f>MAX(0,ROUND(N(GD8)+N(GE8)-N(GF8),2))</f>
        <v/>
      </c>
      <c r="GH8">
        <f>N(GK7)</f>
        <v/>
      </c>
      <c r="GI8">
        <f>IF(N(GH8)&lt;=0.005,0,ROUND(N(GH8)*N('Debt List'!E10)/12,2))</f>
        <v/>
      </c>
      <c r="GJ8">
        <f>IF(N(GH8)&lt;=0.005,0,MIN(N('Debt List'!F10),N(GH8)+N(GI8)))+((GT8=6)*GV8+(GX8=6)*GZ8+(HB8=6)*HD8+(HF8=6)*HH8+(HJ8=6)*HL8+(HN8=6)*HP8+(HR8=6)*HT8+(HV8=6)*HX8)</f>
        <v/>
      </c>
      <c r="GK8">
        <f>MAX(0,ROUND(N(GH8)+N(GI8)-N(GJ8),2))</f>
        <v/>
      </c>
      <c r="GL8">
        <f>N(GO7)</f>
        <v/>
      </c>
      <c r="GM8">
        <f>IF(N(GL8)&lt;=0.005,0,ROUND(N(GL8)*N('Debt List'!E11)/12,2))</f>
        <v/>
      </c>
      <c r="GN8">
        <f>IF(N(GL8)&lt;=0.005,0,MIN(N('Debt List'!F11),N(GL8)+N(GM8)))+((GT8=7)*GV8+(GX8=7)*GZ8+(HB8=7)*HD8+(HF8=7)*HH8+(HJ8=7)*HL8+(HN8=7)*HP8+(HR8=7)*HT8+(HV8=7)*HX8)</f>
        <v/>
      </c>
      <c r="GO8">
        <f>MAX(0,ROUND(N(GL8)+N(GM8)-N(GN8),2))</f>
        <v/>
      </c>
      <c r="GP8">
        <f>N(GS7)</f>
        <v/>
      </c>
      <c r="GQ8">
        <f>IF(N(GP8)&lt;=0.005,0,ROUND(N(GP8)*N('Debt List'!E12)/12,2))</f>
        <v/>
      </c>
      <c r="GR8">
        <f>IF(N(GP8)&lt;=0.005,0,MIN(N('Debt List'!F12),N(GP8)+N(GQ8)))+((GT8=8)*GV8+(GX8=8)*GZ8+(HB8=8)*HD8+(HF8=8)*HH8+(HJ8=8)*HL8+(HN8=8)*HP8+(HR8=8)*HT8+(HV8=8)*HX8)</f>
        <v/>
      </c>
      <c r="GS8">
        <f>MAX(0,ROUND(N(GP8)+N(GQ8)-N(GR8),2))</f>
        <v/>
      </c>
      <c r="GT8">
        <f>IFERROR(MATCH(1,OrderAval,0),"")</f>
        <v/>
      </c>
      <c r="GU8">
        <f>IF(GT8="",0,IFERROR(IF(N(CHOOSE(GT8,FN8,FR8,FV8,FZ8,GD8,GH8,GL8,GP8))&lt;=0.005,0,MAX(0,N(CHOOSE(GT8,FN8,FR8,FV8,FZ8,GD8,GH8,GL8,GP8))+N(CHOOSE(GT8,FO8,FS8,FW8,GA8,GE8,GI8,GM8,GQ8))-MIN(N(CHOOSE(GT8,'Debt List'!$F$5,'Debt List'!$F$6,'Debt List'!$F$7,'Debt List'!$F$8,'Debt List'!$F$9,'Debt List'!$F$10,'Debt List'!$F$11,'Debt List'!$F$12)),N(CHOOSE(GT8,FN8,FR8,FV8,FZ8,GD8,GH8,GL8,GP8))+N(CHOOSE(GT8,FO8,FS8,FW8,GA8,GE8,GI8,GM8,GQ8))))),0))</f>
        <v/>
      </c>
      <c r="GV8">
        <f>MIN(N(GU8),MAX(0,N(ExtraPayment)))</f>
        <v/>
      </c>
      <c r="GW8">
        <f>MAX(0,N(ExtraPayment)-N(GV8))</f>
        <v/>
      </c>
      <c r="GX8">
        <f>IFERROR(MATCH(2,OrderAval,0),"")</f>
        <v/>
      </c>
      <c r="GY8">
        <f>IF(GX8="",0,IFERROR(IF(N(CHOOSE(GX8,FN8,FR8,FV8,FZ8,GD8,GH8,GL8,GP8))&lt;=0.005,0,MAX(0,N(CHOOSE(GX8,FN8,FR8,FV8,FZ8,GD8,GH8,GL8,GP8))+N(CHOOSE(GX8,FO8,FS8,FW8,GA8,GE8,GI8,GM8,GQ8))-MIN(N(CHOOSE(GX8,'Debt List'!$F$5,'Debt List'!$F$6,'Debt List'!$F$7,'Debt List'!$F$8,'Debt List'!$F$9,'Debt List'!$F$10,'Debt List'!$F$11,'Debt List'!$F$12)),N(CHOOSE(GX8,FN8,FR8,FV8,FZ8,GD8,GH8,GL8,GP8))+N(CHOOSE(GX8,FO8,FS8,FW8,GA8,GE8,GI8,GM8,GQ8))))),0))</f>
        <v/>
      </c>
      <c r="GZ8">
        <f>MIN(N(GY8),MAX(0,N(GW8)))</f>
        <v/>
      </c>
      <c r="HA8">
        <f>MAX(0,N(GW8)-N(GZ8))</f>
        <v/>
      </c>
      <c r="HB8">
        <f>IFERROR(MATCH(3,OrderAval,0),"")</f>
        <v/>
      </c>
      <c r="HC8">
        <f>IF(HB8="",0,IFERROR(IF(N(CHOOSE(HB8,FN8,FR8,FV8,FZ8,GD8,GH8,GL8,GP8))&lt;=0.005,0,MAX(0,N(CHOOSE(HB8,FN8,FR8,FV8,FZ8,GD8,GH8,GL8,GP8))+N(CHOOSE(HB8,FO8,FS8,FW8,GA8,GE8,GI8,GM8,GQ8))-MIN(N(CHOOSE(HB8,'Debt List'!$F$5,'Debt List'!$F$6,'Debt List'!$F$7,'Debt List'!$F$8,'Debt List'!$F$9,'Debt List'!$F$10,'Debt List'!$F$11,'Debt List'!$F$12)),N(CHOOSE(HB8,FN8,FR8,FV8,FZ8,GD8,GH8,GL8,GP8))+N(CHOOSE(HB8,FO8,FS8,FW8,GA8,GE8,GI8,GM8,GQ8))))),0))</f>
        <v/>
      </c>
      <c r="HD8">
        <f>MIN(N(HC8),MAX(0,N(HA8)))</f>
        <v/>
      </c>
      <c r="HE8">
        <f>MAX(0,N(HA8)-N(HD8))</f>
        <v/>
      </c>
      <c r="HF8">
        <f>IFERROR(MATCH(4,OrderAval,0),"")</f>
        <v/>
      </c>
      <c r="HG8">
        <f>IF(HF8="",0,IFERROR(IF(N(CHOOSE(HF8,FN8,FR8,FV8,FZ8,GD8,GH8,GL8,GP8))&lt;=0.005,0,MAX(0,N(CHOOSE(HF8,FN8,FR8,FV8,FZ8,GD8,GH8,GL8,GP8))+N(CHOOSE(HF8,FO8,FS8,FW8,GA8,GE8,GI8,GM8,GQ8))-MIN(N(CHOOSE(HF8,'Debt List'!$F$5,'Debt List'!$F$6,'Debt List'!$F$7,'Debt List'!$F$8,'Debt List'!$F$9,'Debt List'!$F$10,'Debt List'!$F$11,'Debt List'!$F$12)),N(CHOOSE(HF8,FN8,FR8,FV8,FZ8,GD8,GH8,GL8,GP8))+N(CHOOSE(HF8,FO8,FS8,FW8,GA8,GE8,GI8,GM8,GQ8))))),0))</f>
        <v/>
      </c>
      <c r="HH8">
        <f>MIN(N(HG8),MAX(0,N(HE8)))</f>
        <v/>
      </c>
      <c r="HI8">
        <f>MAX(0,N(HE8)-N(HH8))</f>
        <v/>
      </c>
      <c r="HJ8">
        <f>IFERROR(MATCH(5,OrderAval,0),"")</f>
        <v/>
      </c>
      <c r="HK8">
        <f>IF(HJ8="",0,IFERROR(IF(N(CHOOSE(HJ8,FN8,FR8,FV8,FZ8,GD8,GH8,GL8,GP8))&lt;=0.005,0,MAX(0,N(CHOOSE(HJ8,FN8,FR8,FV8,FZ8,GD8,GH8,GL8,GP8))+N(CHOOSE(HJ8,FO8,FS8,FW8,GA8,GE8,GI8,GM8,GQ8))-MIN(N(CHOOSE(HJ8,'Debt List'!$F$5,'Debt List'!$F$6,'Debt List'!$F$7,'Debt List'!$F$8,'Debt List'!$F$9,'Debt List'!$F$10,'Debt List'!$F$11,'Debt List'!$F$12)),N(CHOOSE(HJ8,FN8,FR8,FV8,FZ8,GD8,GH8,GL8,GP8))+N(CHOOSE(HJ8,FO8,FS8,FW8,GA8,GE8,GI8,GM8,GQ8))))),0))</f>
        <v/>
      </c>
      <c r="HL8">
        <f>MIN(N(HK8),MAX(0,N(HI8)))</f>
        <v/>
      </c>
      <c r="HM8">
        <f>MAX(0,N(HI8)-N(HL8))</f>
        <v/>
      </c>
      <c r="HN8">
        <f>IFERROR(MATCH(6,OrderAval,0),"")</f>
        <v/>
      </c>
      <c r="HO8">
        <f>IF(HN8="",0,IFERROR(IF(N(CHOOSE(HN8,FN8,FR8,FV8,FZ8,GD8,GH8,GL8,GP8))&lt;=0.005,0,MAX(0,N(CHOOSE(HN8,FN8,FR8,FV8,FZ8,GD8,GH8,GL8,GP8))+N(CHOOSE(HN8,FO8,FS8,FW8,GA8,GE8,GI8,GM8,GQ8))-MIN(N(CHOOSE(HN8,'Debt List'!$F$5,'Debt List'!$F$6,'Debt List'!$F$7,'Debt List'!$F$8,'Debt List'!$F$9,'Debt List'!$F$10,'Debt List'!$F$11,'Debt List'!$F$12)),N(CHOOSE(HN8,FN8,FR8,FV8,FZ8,GD8,GH8,GL8,GP8))+N(CHOOSE(HN8,FO8,FS8,FW8,GA8,GE8,GI8,GM8,GQ8))))),0))</f>
        <v/>
      </c>
      <c r="HP8">
        <f>MIN(N(HO8),MAX(0,N(HM8)))</f>
        <v/>
      </c>
      <c r="HQ8">
        <f>MAX(0,N(HM8)-N(HP8))</f>
        <v/>
      </c>
      <c r="HR8">
        <f>IFERROR(MATCH(7,OrderAval,0),"")</f>
        <v/>
      </c>
      <c r="HS8">
        <f>IF(HR8="",0,IFERROR(IF(N(CHOOSE(HR8,FN8,FR8,FV8,FZ8,GD8,GH8,GL8,GP8))&lt;=0.005,0,MAX(0,N(CHOOSE(HR8,FN8,FR8,FV8,FZ8,GD8,GH8,GL8,GP8))+N(CHOOSE(HR8,FO8,FS8,FW8,GA8,GE8,GI8,GM8,GQ8))-MIN(N(CHOOSE(HR8,'Debt List'!$F$5,'Debt List'!$F$6,'Debt List'!$F$7,'Debt List'!$F$8,'Debt List'!$F$9,'Debt List'!$F$10,'Debt List'!$F$11,'Debt List'!$F$12)),N(CHOOSE(HR8,FN8,FR8,FV8,FZ8,GD8,GH8,GL8,GP8))+N(CHOOSE(HR8,FO8,FS8,FW8,GA8,GE8,GI8,GM8,GQ8))))),0))</f>
        <v/>
      </c>
      <c r="HT8">
        <f>MIN(N(HS8),MAX(0,N(HQ8)))</f>
        <v/>
      </c>
      <c r="HU8">
        <f>MAX(0,N(HQ8)-N(HT8))</f>
        <v/>
      </c>
      <c r="HV8">
        <f>IFERROR(MATCH(8,OrderAval,0),"")</f>
        <v/>
      </c>
      <c r="HW8">
        <f>IF(HV8="",0,IFERROR(IF(N(CHOOSE(HV8,FN8,FR8,FV8,FZ8,GD8,GH8,GL8,GP8))&lt;=0.005,0,MAX(0,N(CHOOSE(HV8,FN8,FR8,FV8,FZ8,GD8,GH8,GL8,GP8))+N(CHOOSE(HV8,FO8,FS8,FW8,GA8,GE8,GI8,GM8,GQ8))-MIN(N(CHOOSE(HV8,'Debt List'!$F$5,'Debt List'!$F$6,'Debt List'!$F$7,'Debt List'!$F$8,'Debt List'!$F$9,'Debt List'!$F$10,'Debt List'!$F$11,'Debt List'!$F$12)),N(CHOOSE(HV8,FN8,FR8,FV8,FZ8,GD8,GH8,GL8,GP8))+N(CHOOSE(HV8,FO8,FS8,FW8,GA8,GE8,GI8,GM8,GQ8))))),0))</f>
        <v/>
      </c>
      <c r="HX8">
        <f>MIN(N(HW8),MAX(0,N(HU8)))</f>
        <v/>
      </c>
      <c r="HY8">
        <f>MAX(0,N(HU8)-N(HX8))</f>
        <v/>
      </c>
    </row>
    <row r="9">
      <c r="A9" t="n">
        <v>5</v>
      </c>
      <c r="B9" s="115">
        <f>DATE(YEAR(PlanStart),MONTH(PlanStart)+A9-1,1)</f>
        <v/>
      </c>
      <c r="C9">
        <f>IF(AND(AP9&lt;&gt;"",N(CHOOSE(AP9,J9,N9,R9,V9,Z9,AD9,AH9,AL9))&gt;0.005),INDEX(DebtNames,AP9),IF(AND(AT9&lt;&gt;"",N(CHOOSE(AT9,J9,N9,R9,V9,Z9,AD9,AH9,AL9))&gt;0.005),INDEX(DebtNames,AT9),IF(AND(AX9&lt;&gt;"",N(CHOOSE(AX9,J9,N9,R9,V9,Z9,AD9,AH9,AL9))&gt;0.005),INDEX(DebtNames,AX9),IF(AND(BB9&lt;&gt;"",N(CHOOSE(BB9,J9,N9,R9,V9,Z9,AD9,AH9,AL9))&gt;0.005),INDEX(DebtNames,BB9),IF(AND(BF9&lt;&gt;"",N(CHOOSE(BF9,J9,N9,R9,V9,Z9,AD9,AH9,AL9))&gt;0.005),INDEX(DebtNames,BF9),IF(AND(BJ9&lt;&gt;"",N(CHOOSE(BJ9,J9,N9,R9,V9,Z9,AD9,AH9,AL9))&gt;0.005),INDEX(DebtNames,BJ9),IF(AND(BN9&lt;&gt;"",N(CHOOSE(BN9,J9,N9,R9,V9,Z9,AD9,AH9,AL9))&gt;0.005),INDEX(DebtNames,BN9),IF(AND(BR9&lt;&gt;"",N(CHOOSE(BR9,J9,N9,R9,V9,Z9,AD9,AH9,AL9))&gt;0.005),INDEX(DebtNames,BR9),""))))))))</f>
        <v/>
      </c>
      <c r="D9">
        <f>N(BU9)</f>
        <v/>
      </c>
      <c r="E9">
        <f>N(L9)+N(P9)+N(T9)+N(X9)+N(AB9)+N(AF9)+N(AJ9)+N(AN9)</f>
        <v/>
      </c>
      <c r="F9">
        <f>N(K9)+N(O9)+N(S9)+N(W9)+N(AA9)+N(AE9)+N(AI9)+N(AM9)</f>
        <v/>
      </c>
      <c r="G9">
        <f>N(G8)+N(F9)</f>
        <v/>
      </c>
      <c r="H9">
        <f>N(M9)+N(Q9)+N(U9)+N(Y9)+N(AC9)+N(AG9)+N(AK9)+N(AO9)</f>
        <v/>
      </c>
      <c r="I9">
        <f>(M9&gt;0.005)*1+(Q9&gt;0.005)*1+(U9&gt;0.005)*1+(Y9&gt;0.005)*1+(AC9&gt;0.005)*1+(AG9&gt;0.005)*1+(AK9&gt;0.005)*1+(AO9&gt;0.005)*1</f>
        <v/>
      </c>
      <c r="J9">
        <f>N(M8)</f>
        <v/>
      </c>
      <c r="K9">
        <f>IF(N(J9)&lt;=0.005,0,ROUND(N(J9)*N('Debt List'!E5)/12,2))</f>
        <v/>
      </c>
      <c r="L9">
        <f>IF(N(J9)&lt;=0.005,0,MIN(N('Debt List'!F5),N(J9)+N(K9)))+((AP9=1)*AR9+(AT9=1)*AV9+(AX9=1)*AZ9+(BB9=1)*BD9+(BF9=1)*BH9+(BJ9=1)*BL9+(BN9=1)*BP9+(BR9=1)*BT9)</f>
        <v/>
      </c>
      <c r="M9">
        <f>MAX(0,ROUND(N(J9)+N(K9)-N(L9),2))</f>
        <v/>
      </c>
      <c r="N9">
        <f>N(Q8)</f>
        <v/>
      </c>
      <c r="O9">
        <f>IF(N(N9)&lt;=0.005,0,ROUND(N(N9)*N('Debt List'!E6)/12,2))</f>
        <v/>
      </c>
      <c r="P9">
        <f>IF(N(N9)&lt;=0.005,0,MIN(N('Debt List'!F6),N(N9)+N(O9)))+((AP9=2)*AR9+(AT9=2)*AV9+(AX9=2)*AZ9+(BB9=2)*BD9+(BF9=2)*BH9+(BJ9=2)*BL9+(BN9=2)*BP9+(BR9=2)*BT9)</f>
        <v/>
      </c>
      <c r="Q9">
        <f>MAX(0,ROUND(N(N9)+N(O9)-N(P9),2))</f>
        <v/>
      </c>
      <c r="R9">
        <f>N(U8)</f>
        <v/>
      </c>
      <c r="S9">
        <f>IF(N(R9)&lt;=0.005,0,ROUND(N(R9)*N('Debt List'!E7)/12,2))</f>
        <v/>
      </c>
      <c r="T9">
        <f>IF(N(R9)&lt;=0.005,0,MIN(N('Debt List'!F7),N(R9)+N(S9)))+((AP9=3)*AR9+(AT9=3)*AV9+(AX9=3)*AZ9+(BB9=3)*BD9+(BF9=3)*BH9+(BJ9=3)*BL9+(BN9=3)*BP9+(BR9=3)*BT9)</f>
        <v/>
      </c>
      <c r="U9">
        <f>MAX(0,ROUND(N(R9)+N(S9)-N(T9),2))</f>
        <v/>
      </c>
      <c r="V9">
        <f>N(Y8)</f>
        <v/>
      </c>
      <c r="W9">
        <f>IF(N(V9)&lt;=0.005,0,ROUND(N(V9)*N('Debt List'!E8)/12,2))</f>
        <v/>
      </c>
      <c r="X9">
        <f>IF(N(V9)&lt;=0.005,0,MIN(N('Debt List'!F8),N(V9)+N(W9)))+((AP9=4)*AR9+(AT9=4)*AV9+(AX9=4)*AZ9+(BB9=4)*BD9+(BF9=4)*BH9+(BJ9=4)*BL9+(BN9=4)*BP9+(BR9=4)*BT9)</f>
        <v/>
      </c>
      <c r="Y9">
        <f>MAX(0,ROUND(N(V9)+N(W9)-N(X9),2))</f>
        <v/>
      </c>
      <c r="Z9">
        <f>N(AC8)</f>
        <v/>
      </c>
      <c r="AA9">
        <f>IF(N(Z9)&lt;=0.005,0,ROUND(N(Z9)*N('Debt List'!E9)/12,2))</f>
        <v/>
      </c>
      <c r="AB9">
        <f>IF(N(Z9)&lt;=0.005,0,MIN(N('Debt List'!F9),N(Z9)+N(AA9)))+((AP9=5)*AR9+(AT9=5)*AV9+(AX9=5)*AZ9+(BB9=5)*BD9+(BF9=5)*BH9+(BJ9=5)*BL9+(BN9=5)*BP9+(BR9=5)*BT9)</f>
        <v/>
      </c>
      <c r="AC9">
        <f>MAX(0,ROUND(N(Z9)+N(AA9)-N(AB9),2))</f>
        <v/>
      </c>
      <c r="AD9">
        <f>N(AG8)</f>
        <v/>
      </c>
      <c r="AE9">
        <f>IF(N(AD9)&lt;=0.005,0,ROUND(N(AD9)*N('Debt List'!E10)/12,2))</f>
        <v/>
      </c>
      <c r="AF9">
        <f>IF(N(AD9)&lt;=0.005,0,MIN(N('Debt List'!F10),N(AD9)+N(AE9)))+((AP9=6)*AR9+(AT9=6)*AV9+(AX9=6)*AZ9+(BB9=6)*BD9+(BF9=6)*BH9+(BJ9=6)*BL9+(BN9=6)*BP9+(BR9=6)*BT9)</f>
        <v/>
      </c>
      <c r="AG9">
        <f>MAX(0,ROUND(N(AD9)+N(AE9)-N(AF9),2))</f>
        <v/>
      </c>
      <c r="AH9">
        <f>N(AK8)</f>
        <v/>
      </c>
      <c r="AI9">
        <f>IF(N(AH9)&lt;=0.005,0,ROUND(N(AH9)*N('Debt List'!E11)/12,2))</f>
        <v/>
      </c>
      <c r="AJ9">
        <f>IF(N(AH9)&lt;=0.005,0,MIN(N('Debt List'!F11),N(AH9)+N(AI9)))+((AP9=7)*AR9+(AT9=7)*AV9+(AX9=7)*AZ9+(BB9=7)*BD9+(BF9=7)*BH9+(BJ9=7)*BL9+(BN9=7)*BP9+(BR9=7)*BT9)</f>
        <v/>
      </c>
      <c r="AK9">
        <f>MAX(0,ROUND(N(AH9)+N(AI9)-N(AJ9),2))</f>
        <v/>
      </c>
      <c r="AL9">
        <f>N(AO8)</f>
        <v/>
      </c>
      <c r="AM9">
        <f>IF(N(AL9)&lt;=0.005,0,ROUND(N(AL9)*N('Debt List'!E12)/12,2))</f>
        <v/>
      </c>
      <c r="AN9">
        <f>IF(N(AL9)&lt;=0.005,0,MIN(N('Debt List'!F12),N(AL9)+N(AM9)))+((AP9=8)*AR9+(AT9=8)*AV9+(AX9=8)*AZ9+(BB9=8)*BD9+(BF9=8)*BH9+(BJ9=8)*BL9+(BN9=8)*BP9+(BR9=8)*BT9)</f>
        <v/>
      </c>
      <c r="AO9">
        <f>MAX(0,ROUND(N(AL9)+N(AM9)-N(AN9),2))</f>
        <v/>
      </c>
      <c r="AP9">
        <f>IFERROR(MATCH(1,OrderPlan,0),"")</f>
        <v/>
      </c>
      <c r="AQ9">
        <f>IF(AP9="",0,IFERROR(IF(N(CHOOSE(AP9,J9,N9,R9,V9,Z9,AD9,AH9,AL9))&lt;=0.005,0,MAX(0,N(CHOOSE(AP9,J9,N9,R9,V9,Z9,AD9,AH9,AL9))+N(CHOOSE(AP9,K9,O9,S9,W9,AA9,AE9,AI9,AM9))-MIN(N(CHOOSE(AP9,'Debt List'!$F$5,'Debt List'!$F$6,'Debt List'!$F$7,'Debt List'!$F$8,'Debt List'!$F$9,'Debt List'!$F$10,'Debt List'!$F$11,'Debt List'!$F$12)),N(CHOOSE(AP9,J9,N9,R9,V9,Z9,AD9,AH9,AL9))+N(CHOOSE(AP9,K9,O9,S9,W9,AA9,AE9,AI9,AM9))))),0))</f>
        <v/>
      </c>
      <c r="AR9">
        <f>MIN(N(AQ9),MAX(0,N(ExtraPayment)))</f>
        <v/>
      </c>
      <c r="AS9">
        <f>MAX(0,N(ExtraPayment)-N(AR9))</f>
        <v/>
      </c>
      <c r="AT9">
        <f>IFERROR(MATCH(2,OrderPlan,0),"")</f>
        <v/>
      </c>
      <c r="AU9">
        <f>IF(AT9="",0,IFERROR(IF(N(CHOOSE(AT9,J9,N9,R9,V9,Z9,AD9,AH9,AL9))&lt;=0.005,0,MAX(0,N(CHOOSE(AT9,J9,N9,R9,V9,Z9,AD9,AH9,AL9))+N(CHOOSE(AT9,K9,O9,S9,W9,AA9,AE9,AI9,AM9))-MIN(N(CHOOSE(AT9,'Debt List'!$F$5,'Debt List'!$F$6,'Debt List'!$F$7,'Debt List'!$F$8,'Debt List'!$F$9,'Debt List'!$F$10,'Debt List'!$F$11,'Debt List'!$F$12)),N(CHOOSE(AT9,J9,N9,R9,V9,Z9,AD9,AH9,AL9))+N(CHOOSE(AT9,K9,O9,S9,W9,AA9,AE9,AI9,AM9))))),0))</f>
        <v/>
      </c>
      <c r="AV9">
        <f>MIN(N(AU9),MAX(0,N(AS9)))</f>
        <v/>
      </c>
      <c r="AW9">
        <f>MAX(0,N(AS9)-N(AV9))</f>
        <v/>
      </c>
      <c r="AX9">
        <f>IFERROR(MATCH(3,OrderPlan,0),"")</f>
        <v/>
      </c>
      <c r="AY9">
        <f>IF(AX9="",0,IFERROR(IF(N(CHOOSE(AX9,J9,N9,R9,V9,Z9,AD9,AH9,AL9))&lt;=0.005,0,MAX(0,N(CHOOSE(AX9,J9,N9,R9,V9,Z9,AD9,AH9,AL9))+N(CHOOSE(AX9,K9,O9,S9,W9,AA9,AE9,AI9,AM9))-MIN(N(CHOOSE(AX9,'Debt List'!$F$5,'Debt List'!$F$6,'Debt List'!$F$7,'Debt List'!$F$8,'Debt List'!$F$9,'Debt List'!$F$10,'Debt List'!$F$11,'Debt List'!$F$12)),N(CHOOSE(AX9,J9,N9,R9,V9,Z9,AD9,AH9,AL9))+N(CHOOSE(AX9,K9,O9,S9,W9,AA9,AE9,AI9,AM9))))),0))</f>
        <v/>
      </c>
      <c r="AZ9">
        <f>MIN(N(AY9),MAX(0,N(AW9)))</f>
        <v/>
      </c>
      <c r="BA9">
        <f>MAX(0,N(AW9)-N(AZ9))</f>
        <v/>
      </c>
      <c r="BB9">
        <f>IFERROR(MATCH(4,OrderPlan,0),"")</f>
        <v/>
      </c>
      <c r="BC9">
        <f>IF(BB9="",0,IFERROR(IF(N(CHOOSE(BB9,J9,N9,R9,V9,Z9,AD9,AH9,AL9))&lt;=0.005,0,MAX(0,N(CHOOSE(BB9,J9,N9,R9,V9,Z9,AD9,AH9,AL9))+N(CHOOSE(BB9,K9,O9,S9,W9,AA9,AE9,AI9,AM9))-MIN(N(CHOOSE(BB9,'Debt List'!$F$5,'Debt List'!$F$6,'Debt List'!$F$7,'Debt List'!$F$8,'Debt List'!$F$9,'Debt List'!$F$10,'Debt List'!$F$11,'Debt List'!$F$12)),N(CHOOSE(BB9,J9,N9,R9,V9,Z9,AD9,AH9,AL9))+N(CHOOSE(BB9,K9,O9,S9,W9,AA9,AE9,AI9,AM9))))),0))</f>
        <v/>
      </c>
      <c r="BD9">
        <f>MIN(N(BC9),MAX(0,N(BA9)))</f>
        <v/>
      </c>
      <c r="BE9">
        <f>MAX(0,N(BA9)-N(BD9))</f>
        <v/>
      </c>
      <c r="BF9">
        <f>IFERROR(MATCH(5,OrderPlan,0),"")</f>
        <v/>
      </c>
      <c r="BG9">
        <f>IF(BF9="",0,IFERROR(IF(N(CHOOSE(BF9,J9,N9,R9,V9,Z9,AD9,AH9,AL9))&lt;=0.005,0,MAX(0,N(CHOOSE(BF9,J9,N9,R9,V9,Z9,AD9,AH9,AL9))+N(CHOOSE(BF9,K9,O9,S9,W9,AA9,AE9,AI9,AM9))-MIN(N(CHOOSE(BF9,'Debt List'!$F$5,'Debt List'!$F$6,'Debt List'!$F$7,'Debt List'!$F$8,'Debt List'!$F$9,'Debt List'!$F$10,'Debt List'!$F$11,'Debt List'!$F$12)),N(CHOOSE(BF9,J9,N9,R9,V9,Z9,AD9,AH9,AL9))+N(CHOOSE(BF9,K9,O9,S9,W9,AA9,AE9,AI9,AM9))))),0))</f>
        <v/>
      </c>
      <c r="BH9">
        <f>MIN(N(BG9),MAX(0,N(BE9)))</f>
        <v/>
      </c>
      <c r="BI9">
        <f>MAX(0,N(BE9)-N(BH9))</f>
        <v/>
      </c>
      <c r="BJ9">
        <f>IFERROR(MATCH(6,OrderPlan,0),"")</f>
        <v/>
      </c>
      <c r="BK9">
        <f>IF(BJ9="",0,IFERROR(IF(N(CHOOSE(BJ9,J9,N9,R9,V9,Z9,AD9,AH9,AL9))&lt;=0.005,0,MAX(0,N(CHOOSE(BJ9,J9,N9,R9,V9,Z9,AD9,AH9,AL9))+N(CHOOSE(BJ9,K9,O9,S9,W9,AA9,AE9,AI9,AM9))-MIN(N(CHOOSE(BJ9,'Debt List'!$F$5,'Debt List'!$F$6,'Debt List'!$F$7,'Debt List'!$F$8,'Debt List'!$F$9,'Debt List'!$F$10,'Debt List'!$F$11,'Debt List'!$F$12)),N(CHOOSE(BJ9,J9,N9,R9,V9,Z9,AD9,AH9,AL9))+N(CHOOSE(BJ9,K9,O9,S9,W9,AA9,AE9,AI9,AM9))))),0))</f>
        <v/>
      </c>
      <c r="BL9">
        <f>MIN(N(BK9),MAX(0,N(BI9)))</f>
        <v/>
      </c>
      <c r="BM9">
        <f>MAX(0,N(BI9)-N(BL9))</f>
        <v/>
      </c>
      <c r="BN9">
        <f>IFERROR(MATCH(7,OrderPlan,0),"")</f>
        <v/>
      </c>
      <c r="BO9">
        <f>IF(BN9="",0,IFERROR(IF(N(CHOOSE(BN9,J9,N9,R9,V9,Z9,AD9,AH9,AL9))&lt;=0.005,0,MAX(0,N(CHOOSE(BN9,J9,N9,R9,V9,Z9,AD9,AH9,AL9))+N(CHOOSE(BN9,K9,O9,S9,W9,AA9,AE9,AI9,AM9))-MIN(N(CHOOSE(BN9,'Debt List'!$F$5,'Debt List'!$F$6,'Debt List'!$F$7,'Debt List'!$F$8,'Debt List'!$F$9,'Debt List'!$F$10,'Debt List'!$F$11,'Debt List'!$F$12)),N(CHOOSE(BN9,J9,N9,R9,V9,Z9,AD9,AH9,AL9))+N(CHOOSE(BN9,K9,O9,S9,W9,AA9,AE9,AI9,AM9))))),0))</f>
        <v/>
      </c>
      <c r="BP9">
        <f>MIN(N(BO9),MAX(0,N(BM9)))</f>
        <v/>
      </c>
      <c r="BQ9">
        <f>MAX(0,N(BM9)-N(BP9))</f>
        <v/>
      </c>
      <c r="BR9">
        <f>IFERROR(MATCH(8,OrderPlan,0),"")</f>
        <v/>
      </c>
      <c r="BS9">
        <f>IF(BR9="",0,IFERROR(IF(N(CHOOSE(BR9,J9,N9,R9,V9,Z9,AD9,AH9,AL9))&lt;=0.005,0,MAX(0,N(CHOOSE(BR9,J9,N9,R9,V9,Z9,AD9,AH9,AL9))+N(CHOOSE(BR9,K9,O9,S9,W9,AA9,AE9,AI9,AM9))-MIN(N(CHOOSE(BR9,'Debt List'!$F$5,'Debt List'!$F$6,'Debt List'!$F$7,'Debt List'!$F$8,'Debt List'!$F$9,'Debt List'!$F$10,'Debt List'!$F$11,'Debt List'!$F$12)),N(CHOOSE(BR9,J9,N9,R9,V9,Z9,AD9,AH9,AL9))+N(CHOOSE(BR9,K9,O9,S9,W9,AA9,AE9,AI9,AM9))))),0))</f>
        <v/>
      </c>
      <c r="BT9">
        <f>MIN(N(BS9),MAX(0,N(BQ9)))</f>
        <v/>
      </c>
      <c r="BU9">
        <f>MAX(0,N(BQ9)-N(BT9))</f>
        <v/>
      </c>
      <c r="CC9" t="n">
        <v>5</v>
      </c>
      <c r="CD9" s="115">
        <f>DATE(YEAR(PlanStart),MONTH(PlanStart)+CC9-1,1)</f>
        <v/>
      </c>
      <c r="CE9">
        <f>IF(AND(DR9&lt;&gt;"",N(CHOOSE(DR9,CL9,CP9,CT9,CX9,DB9,DF9,DJ9,DN9))&gt;0.005),INDEX(DebtNames,DR9),IF(AND(DV9&lt;&gt;"",N(CHOOSE(DV9,CL9,CP9,CT9,CX9,DB9,DF9,DJ9,DN9))&gt;0.005),INDEX(DebtNames,DV9),IF(AND(DZ9&lt;&gt;"",N(CHOOSE(DZ9,CL9,CP9,CT9,CX9,DB9,DF9,DJ9,DN9))&gt;0.005),INDEX(DebtNames,DZ9),IF(AND(ED9&lt;&gt;"",N(CHOOSE(ED9,CL9,CP9,CT9,CX9,DB9,DF9,DJ9,DN9))&gt;0.005),INDEX(DebtNames,ED9),IF(AND(EH9&lt;&gt;"",N(CHOOSE(EH9,CL9,CP9,CT9,CX9,DB9,DF9,DJ9,DN9))&gt;0.005),INDEX(DebtNames,EH9),IF(AND(EL9&lt;&gt;"",N(CHOOSE(EL9,CL9,CP9,CT9,CX9,DB9,DF9,DJ9,DN9))&gt;0.005),INDEX(DebtNames,EL9),IF(AND(EP9&lt;&gt;"",N(CHOOSE(EP9,CL9,CP9,CT9,CX9,DB9,DF9,DJ9,DN9))&gt;0.005),INDEX(DebtNames,EP9),IF(AND(ET9&lt;&gt;"",N(CHOOSE(ET9,CL9,CP9,CT9,CX9,DB9,DF9,DJ9,DN9))&gt;0.005),INDEX(DebtNames,ET9),""))))))))</f>
        <v/>
      </c>
      <c r="CF9">
        <f>N(EW9)</f>
        <v/>
      </c>
      <c r="CG9">
        <f>N(CN9)+N(CR9)+N(CV9)+N(CZ9)+N(DD9)+N(DH9)+N(DL9)+N(DP9)</f>
        <v/>
      </c>
      <c r="CH9">
        <f>N(CM9)+N(CQ9)+N(CU9)+N(CY9)+N(DC9)+N(DG9)+N(DK9)+N(DO9)</f>
        <v/>
      </c>
      <c r="CI9">
        <f>N(CI8)+N(CH9)</f>
        <v/>
      </c>
      <c r="CJ9">
        <f>N(CO9)+N(CS9)+N(CW9)+N(DA9)+N(DE9)+N(DI9)+N(DM9)+N(DQ9)</f>
        <v/>
      </c>
      <c r="CK9">
        <f>(CO9&gt;0.005)*1+(CS9&gt;0.005)*1+(CW9&gt;0.005)*1+(DA9&gt;0.005)*1+(DE9&gt;0.005)*1+(DI9&gt;0.005)*1+(DM9&gt;0.005)*1+(DQ9&gt;0.005)*1</f>
        <v/>
      </c>
      <c r="CL9">
        <f>N(CO8)</f>
        <v/>
      </c>
      <c r="CM9">
        <f>IF(N(CL9)&lt;=0.005,0,ROUND(N(CL9)*N('Debt List'!E5)/12,2))</f>
        <v/>
      </c>
      <c r="CN9">
        <f>IF(N(CL9)&lt;=0.005,0,MIN(N('Debt List'!F5),N(CL9)+N(CM9)))+((DR9=1)*DT9+(DV9=1)*DX9+(DZ9=1)*EB9+(ED9=1)*EF9+(EH9=1)*EJ9+(EL9=1)*EN9+(EP9=1)*ER9+(ET9=1)*EV9)</f>
        <v/>
      </c>
      <c r="CO9">
        <f>MAX(0,ROUND(N(CL9)+N(CM9)-N(CN9),2))</f>
        <v/>
      </c>
      <c r="CP9">
        <f>N(CS8)</f>
        <v/>
      </c>
      <c r="CQ9">
        <f>IF(N(CP9)&lt;=0.005,0,ROUND(N(CP9)*N('Debt List'!E6)/12,2))</f>
        <v/>
      </c>
      <c r="CR9">
        <f>IF(N(CP9)&lt;=0.005,0,MIN(N('Debt List'!F6),N(CP9)+N(CQ9)))+((DR9=2)*DT9+(DV9=2)*DX9+(DZ9=2)*EB9+(ED9=2)*EF9+(EH9=2)*EJ9+(EL9=2)*EN9+(EP9=2)*ER9+(ET9=2)*EV9)</f>
        <v/>
      </c>
      <c r="CS9">
        <f>MAX(0,ROUND(N(CP9)+N(CQ9)-N(CR9),2))</f>
        <v/>
      </c>
      <c r="CT9">
        <f>N(CW8)</f>
        <v/>
      </c>
      <c r="CU9">
        <f>IF(N(CT9)&lt;=0.005,0,ROUND(N(CT9)*N('Debt List'!E7)/12,2))</f>
        <v/>
      </c>
      <c r="CV9">
        <f>IF(N(CT9)&lt;=0.005,0,MIN(N('Debt List'!F7),N(CT9)+N(CU9)))+((DR9=3)*DT9+(DV9=3)*DX9+(DZ9=3)*EB9+(ED9=3)*EF9+(EH9=3)*EJ9+(EL9=3)*EN9+(EP9=3)*ER9+(ET9=3)*EV9)</f>
        <v/>
      </c>
      <c r="CW9">
        <f>MAX(0,ROUND(N(CT9)+N(CU9)-N(CV9),2))</f>
        <v/>
      </c>
      <c r="CX9">
        <f>N(DA8)</f>
        <v/>
      </c>
      <c r="CY9">
        <f>IF(N(CX9)&lt;=0.005,0,ROUND(N(CX9)*N('Debt List'!E8)/12,2))</f>
        <v/>
      </c>
      <c r="CZ9">
        <f>IF(N(CX9)&lt;=0.005,0,MIN(N('Debt List'!F8),N(CX9)+N(CY9)))+((DR9=4)*DT9+(DV9=4)*DX9+(DZ9=4)*EB9+(ED9=4)*EF9+(EH9=4)*EJ9+(EL9=4)*EN9+(EP9=4)*ER9+(ET9=4)*EV9)</f>
        <v/>
      </c>
      <c r="DA9">
        <f>MAX(0,ROUND(N(CX9)+N(CY9)-N(CZ9),2))</f>
        <v/>
      </c>
      <c r="DB9">
        <f>N(DE8)</f>
        <v/>
      </c>
      <c r="DC9">
        <f>IF(N(DB9)&lt;=0.005,0,ROUND(N(DB9)*N('Debt List'!E9)/12,2))</f>
        <v/>
      </c>
      <c r="DD9">
        <f>IF(N(DB9)&lt;=0.005,0,MIN(N('Debt List'!F9),N(DB9)+N(DC9)))+((DR9=5)*DT9+(DV9=5)*DX9+(DZ9=5)*EB9+(ED9=5)*EF9+(EH9=5)*EJ9+(EL9=5)*EN9+(EP9=5)*ER9+(ET9=5)*EV9)</f>
        <v/>
      </c>
      <c r="DE9">
        <f>MAX(0,ROUND(N(DB9)+N(DC9)-N(DD9),2))</f>
        <v/>
      </c>
      <c r="DF9">
        <f>N(DI8)</f>
        <v/>
      </c>
      <c r="DG9">
        <f>IF(N(DF9)&lt;=0.005,0,ROUND(N(DF9)*N('Debt List'!E10)/12,2))</f>
        <v/>
      </c>
      <c r="DH9">
        <f>IF(N(DF9)&lt;=0.005,0,MIN(N('Debt List'!F10),N(DF9)+N(DG9)))+((DR9=6)*DT9+(DV9=6)*DX9+(DZ9=6)*EB9+(ED9=6)*EF9+(EH9=6)*EJ9+(EL9=6)*EN9+(EP9=6)*ER9+(ET9=6)*EV9)</f>
        <v/>
      </c>
      <c r="DI9">
        <f>MAX(0,ROUND(N(DF9)+N(DG9)-N(DH9),2))</f>
        <v/>
      </c>
      <c r="DJ9">
        <f>N(DM8)</f>
        <v/>
      </c>
      <c r="DK9">
        <f>IF(N(DJ9)&lt;=0.005,0,ROUND(N(DJ9)*N('Debt List'!E11)/12,2))</f>
        <v/>
      </c>
      <c r="DL9">
        <f>IF(N(DJ9)&lt;=0.005,0,MIN(N('Debt List'!F11),N(DJ9)+N(DK9)))+((DR9=7)*DT9+(DV9=7)*DX9+(DZ9=7)*EB9+(ED9=7)*EF9+(EH9=7)*EJ9+(EL9=7)*EN9+(EP9=7)*ER9+(ET9=7)*EV9)</f>
        <v/>
      </c>
      <c r="DM9">
        <f>MAX(0,ROUND(N(DJ9)+N(DK9)-N(DL9),2))</f>
        <v/>
      </c>
      <c r="DN9">
        <f>N(DQ8)</f>
        <v/>
      </c>
      <c r="DO9">
        <f>IF(N(DN9)&lt;=0.005,0,ROUND(N(DN9)*N('Debt List'!E12)/12,2))</f>
        <v/>
      </c>
      <c r="DP9">
        <f>IF(N(DN9)&lt;=0.005,0,MIN(N('Debt List'!F12),N(DN9)+N(DO9)))+((DR9=8)*DT9+(DV9=8)*DX9+(DZ9=8)*EB9+(ED9=8)*EF9+(EH9=8)*EJ9+(EL9=8)*EN9+(EP9=8)*ER9+(ET9=8)*EV9)</f>
        <v/>
      </c>
      <c r="DQ9">
        <f>MAX(0,ROUND(N(DN9)+N(DO9)-N(DP9),2))</f>
        <v/>
      </c>
      <c r="DR9">
        <f>IFERROR(MATCH(1,OrderSnow,0),"")</f>
        <v/>
      </c>
      <c r="DS9">
        <f>IF(DR9="",0,IFERROR(IF(N(CHOOSE(DR9,CL9,CP9,CT9,CX9,DB9,DF9,DJ9,DN9))&lt;=0.005,0,MAX(0,N(CHOOSE(DR9,CL9,CP9,CT9,CX9,DB9,DF9,DJ9,DN9))+N(CHOOSE(DR9,CM9,CQ9,CU9,CY9,DC9,DG9,DK9,DO9))-MIN(N(CHOOSE(DR9,'Debt List'!$F$5,'Debt List'!$F$6,'Debt List'!$F$7,'Debt List'!$F$8,'Debt List'!$F$9,'Debt List'!$F$10,'Debt List'!$F$11,'Debt List'!$F$12)),N(CHOOSE(DR9,CL9,CP9,CT9,CX9,DB9,DF9,DJ9,DN9))+N(CHOOSE(DR9,CM9,CQ9,CU9,CY9,DC9,DG9,DK9,DO9))))),0))</f>
        <v/>
      </c>
      <c r="DT9">
        <f>MIN(N(DS9),MAX(0,N(ExtraPayment)))</f>
        <v/>
      </c>
      <c r="DU9">
        <f>MAX(0,N(ExtraPayment)-N(DT9))</f>
        <v/>
      </c>
      <c r="DV9">
        <f>IFERROR(MATCH(2,OrderSnow,0),"")</f>
        <v/>
      </c>
      <c r="DW9">
        <f>IF(DV9="",0,IFERROR(IF(N(CHOOSE(DV9,CL9,CP9,CT9,CX9,DB9,DF9,DJ9,DN9))&lt;=0.005,0,MAX(0,N(CHOOSE(DV9,CL9,CP9,CT9,CX9,DB9,DF9,DJ9,DN9))+N(CHOOSE(DV9,CM9,CQ9,CU9,CY9,DC9,DG9,DK9,DO9))-MIN(N(CHOOSE(DV9,'Debt List'!$F$5,'Debt List'!$F$6,'Debt List'!$F$7,'Debt List'!$F$8,'Debt List'!$F$9,'Debt List'!$F$10,'Debt List'!$F$11,'Debt List'!$F$12)),N(CHOOSE(DV9,CL9,CP9,CT9,CX9,DB9,DF9,DJ9,DN9))+N(CHOOSE(DV9,CM9,CQ9,CU9,CY9,DC9,DG9,DK9,DO9))))),0))</f>
        <v/>
      </c>
      <c r="DX9">
        <f>MIN(N(DW9),MAX(0,N(DU9)))</f>
        <v/>
      </c>
      <c r="DY9">
        <f>MAX(0,N(DU9)-N(DX9))</f>
        <v/>
      </c>
      <c r="DZ9">
        <f>IFERROR(MATCH(3,OrderSnow,0),"")</f>
        <v/>
      </c>
      <c r="EA9">
        <f>IF(DZ9="",0,IFERROR(IF(N(CHOOSE(DZ9,CL9,CP9,CT9,CX9,DB9,DF9,DJ9,DN9))&lt;=0.005,0,MAX(0,N(CHOOSE(DZ9,CL9,CP9,CT9,CX9,DB9,DF9,DJ9,DN9))+N(CHOOSE(DZ9,CM9,CQ9,CU9,CY9,DC9,DG9,DK9,DO9))-MIN(N(CHOOSE(DZ9,'Debt List'!$F$5,'Debt List'!$F$6,'Debt List'!$F$7,'Debt List'!$F$8,'Debt List'!$F$9,'Debt List'!$F$10,'Debt List'!$F$11,'Debt List'!$F$12)),N(CHOOSE(DZ9,CL9,CP9,CT9,CX9,DB9,DF9,DJ9,DN9))+N(CHOOSE(DZ9,CM9,CQ9,CU9,CY9,DC9,DG9,DK9,DO9))))),0))</f>
        <v/>
      </c>
      <c r="EB9">
        <f>MIN(N(EA9),MAX(0,N(DY9)))</f>
        <v/>
      </c>
      <c r="EC9">
        <f>MAX(0,N(DY9)-N(EB9))</f>
        <v/>
      </c>
      <c r="ED9">
        <f>IFERROR(MATCH(4,OrderSnow,0),"")</f>
        <v/>
      </c>
      <c r="EE9">
        <f>IF(ED9="",0,IFERROR(IF(N(CHOOSE(ED9,CL9,CP9,CT9,CX9,DB9,DF9,DJ9,DN9))&lt;=0.005,0,MAX(0,N(CHOOSE(ED9,CL9,CP9,CT9,CX9,DB9,DF9,DJ9,DN9))+N(CHOOSE(ED9,CM9,CQ9,CU9,CY9,DC9,DG9,DK9,DO9))-MIN(N(CHOOSE(ED9,'Debt List'!$F$5,'Debt List'!$F$6,'Debt List'!$F$7,'Debt List'!$F$8,'Debt List'!$F$9,'Debt List'!$F$10,'Debt List'!$F$11,'Debt List'!$F$12)),N(CHOOSE(ED9,CL9,CP9,CT9,CX9,DB9,DF9,DJ9,DN9))+N(CHOOSE(ED9,CM9,CQ9,CU9,CY9,DC9,DG9,DK9,DO9))))),0))</f>
        <v/>
      </c>
      <c r="EF9">
        <f>MIN(N(EE9),MAX(0,N(EC9)))</f>
        <v/>
      </c>
      <c r="EG9">
        <f>MAX(0,N(EC9)-N(EF9))</f>
        <v/>
      </c>
      <c r="EH9">
        <f>IFERROR(MATCH(5,OrderSnow,0),"")</f>
        <v/>
      </c>
      <c r="EI9">
        <f>IF(EH9="",0,IFERROR(IF(N(CHOOSE(EH9,CL9,CP9,CT9,CX9,DB9,DF9,DJ9,DN9))&lt;=0.005,0,MAX(0,N(CHOOSE(EH9,CL9,CP9,CT9,CX9,DB9,DF9,DJ9,DN9))+N(CHOOSE(EH9,CM9,CQ9,CU9,CY9,DC9,DG9,DK9,DO9))-MIN(N(CHOOSE(EH9,'Debt List'!$F$5,'Debt List'!$F$6,'Debt List'!$F$7,'Debt List'!$F$8,'Debt List'!$F$9,'Debt List'!$F$10,'Debt List'!$F$11,'Debt List'!$F$12)),N(CHOOSE(EH9,CL9,CP9,CT9,CX9,DB9,DF9,DJ9,DN9))+N(CHOOSE(EH9,CM9,CQ9,CU9,CY9,DC9,DG9,DK9,DO9))))),0))</f>
        <v/>
      </c>
      <c r="EJ9">
        <f>MIN(N(EI9),MAX(0,N(EG9)))</f>
        <v/>
      </c>
      <c r="EK9">
        <f>MAX(0,N(EG9)-N(EJ9))</f>
        <v/>
      </c>
      <c r="EL9">
        <f>IFERROR(MATCH(6,OrderSnow,0),"")</f>
        <v/>
      </c>
      <c r="EM9">
        <f>IF(EL9="",0,IFERROR(IF(N(CHOOSE(EL9,CL9,CP9,CT9,CX9,DB9,DF9,DJ9,DN9))&lt;=0.005,0,MAX(0,N(CHOOSE(EL9,CL9,CP9,CT9,CX9,DB9,DF9,DJ9,DN9))+N(CHOOSE(EL9,CM9,CQ9,CU9,CY9,DC9,DG9,DK9,DO9))-MIN(N(CHOOSE(EL9,'Debt List'!$F$5,'Debt List'!$F$6,'Debt List'!$F$7,'Debt List'!$F$8,'Debt List'!$F$9,'Debt List'!$F$10,'Debt List'!$F$11,'Debt List'!$F$12)),N(CHOOSE(EL9,CL9,CP9,CT9,CX9,DB9,DF9,DJ9,DN9))+N(CHOOSE(EL9,CM9,CQ9,CU9,CY9,DC9,DG9,DK9,DO9))))),0))</f>
        <v/>
      </c>
      <c r="EN9">
        <f>MIN(N(EM9),MAX(0,N(EK9)))</f>
        <v/>
      </c>
      <c r="EO9">
        <f>MAX(0,N(EK9)-N(EN9))</f>
        <v/>
      </c>
      <c r="EP9">
        <f>IFERROR(MATCH(7,OrderSnow,0),"")</f>
        <v/>
      </c>
      <c r="EQ9">
        <f>IF(EP9="",0,IFERROR(IF(N(CHOOSE(EP9,CL9,CP9,CT9,CX9,DB9,DF9,DJ9,DN9))&lt;=0.005,0,MAX(0,N(CHOOSE(EP9,CL9,CP9,CT9,CX9,DB9,DF9,DJ9,DN9))+N(CHOOSE(EP9,CM9,CQ9,CU9,CY9,DC9,DG9,DK9,DO9))-MIN(N(CHOOSE(EP9,'Debt List'!$F$5,'Debt List'!$F$6,'Debt List'!$F$7,'Debt List'!$F$8,'Debt List'!$F$9,'Debt List'!$F$10,'Debt List'!$F$11,'Debt List'!$F$12)),N(CHOOSE(EP9,CL9,CP9,CT9,CX9,DB9,DF9,DJ9,DN9))+N(CHOOSE(EP9,CM9,CQ9,CU9,CY9,DC9,DG9,DK9,DO9))))),0))</f>
        <v/>
      </c>
      <c r="ER9">
        <f>MIN(N(EQ9),MAX(0,N(EO9)))</f>
        <v/>
      </c>
      <c r="ES9">
        <f>MAX(0,N(EO9)-N(ER9))</f>
        <v/>
      </c>
      <c r="ET9">
        <f>IFERROR(MATCH(8,OrderSnow,0),"")</f>
        <v/>
      </c>
      <c r="EU9">
        <f>IF(ET9="",0,IFERROR(IF(N(CHOOSE(ET9,CL9,CP9,CT9,CX9,DB9,DF9,DJ9,DN9))&lt;=0.005,0,MAX(0,N(CHOOSE(ET9,CL9,CP9,CT9,CX9,DB9,DF9,DJ9,DN9))+N(CHOOSE(ET9,CM9,CQ9,CU9,CY9,DC9,DG9,DK9,DO9))-MIN(N(CHOOSE(ET9,'Debt List'!$F$5,'Debt List'!$F$6,'Debt List'!$F$7,'Debt List'!$F$8,'Debt List'!$F$9,'Debt List'!$F$10,'Debt List'!$F$11,'Debt List'!$F$12)),N(CHOOSE(ET9,CL9,CP9,CT9,CX9,DB9,DF9,DJ9,DN9))+N(CHOOSE(ET9,CM9,CQ9,CU9,CY9,DC9,DG9,DK9,DO9))))),0))</f>
        <v/>
      </c>
      <c r="EV9">
        <f>MIN(N(EU9),MAX(0,N(ES9)))</f>
        <v/>
      </c>
      <c r="EW9">
        <f>MAX(0,N(ES9)-N(EV9))</f>
        <v/>
      </c>
      <c r="FE9" t="n">
        <v>5</v>
      </c>
      <c r="FF9" s="115">
        <f>DATE(YEAR(PlanStart),MONTH(PlanStart)+FE9-1,1)</f>
        <v/>
      </c>
      <c r="FG9">
        <f>IF(AND(GT9&lt;&gt;"",N(CHOOSE(GT9,FN9,FR9,FV9,FZ9,GD9,GH9,GL9,GP9))&gt;0.005),INDEX(DebtNames,GT9),IF(AND(GX9&lt;&gt;"",N(CHOOSE(GX9,FN9,FR9,FV9,FZ9,GD9,GH9,GL9,GP9))&gt;0.005),INDEX(DebtNames,GX9),IF(AND(HB9&lt;&gt;"",N(CHOOSE(HB9,FN9,FR9,FV9,FZ9,GD9,GH9,GL9,GP9))&gt;0.005),INDEX(DebtNames,HB9),IF(AND(HF9&lt;&gt;"",N(CHOOSE(HF9,FN9,FR9,FV9,FZ9,GD9,GH9,GL9,GP9))&gt;0.005),INDEX(DebtNames,HF9),IF(AND(HJ9&lt;&gt;"",N(CHOOSE(HJ9,FN9,FR9,FV9,FZ9,GD9,GH9,GL9,GP9))&gt;0.005),INDEX(DebtNames,HJ9),IF(AND(HN9&lt;&gt;"",N(CHOOSE(HN9,FN9,FR9,FV9,FZ9,GD9,GH9,GL9,GP9))&gt;0.005),INDEX(DebtNames,HN9),IF(AND(HR9&lt;&gt;"",N(CHOOSE(HR9,FN9,FR9,FV9,FZ9,GD9,GH9,GL9,GP9))&gt;0.005),INDEX(DebtNames,HR9),IF(AND(HV9&lt;&gt;"",N(CHOOSE(HV9,FN9,FR9,FV9,FZ9,GD9,GH9,GL9,GP9))&gt;0.005),INDEX(DebtNames,HV9),""))))))))</f>
        <v/>
      </c>
      <c r="FH9">
        <f>N(HY9)</f>
        <v/>
      </c>
      <c r="FI9">
        <f>N(FP9)+N(FT9)+N(FX9)+N(GB9)+N(GF9)+N(GJ9)+N(GN9)+N(GR9)</f>
        <v/>
      </c>
      <c r="FJ9">
        <f>N(FO9)+N(FS9)+N(FW9)+N(GA9)+N(GE9)+N(GI9)+N(GM9)+N(GQ9)</f>
        <v/>
      </c>
      <c r="FK9">
        <f>N(FK8)+N(FJ9)</f>
        <v/>
      </c>
      <c r="FL9">
        <f>N(FQ9)+N(FU9)+N(FY9)+N(GC9)+N(GG9)+N(GK9)+N(GO9)+N(GS9)</f>
        <v/>
      </c>
      <c r="FM9">
        <f>(FQ9&gt;0.005)*1+(FU9&gt;0.005)*1+(FY9&gt;0.005)*1+(GC9&gt;0.005)*1+(GG9&gt;0.005)*1+(GK9&gt;0.005)*1+(GO9&gt;0.005)*1+(GS9&gt;0.005)*1</f>
        <v/>
      </c>
      <c r="FN9">
        <f>N(FQ8)</f>
        <v/>
      </c>
      <c r="FO9">
        <f>IF(N(FN9)&lt;=0.005,0,ROUND(N(FN9)*N('Debt List'!E5)/12,2))</f>
        <v/>
      </c>
      <c r="FP9">
        <f>IF(N(FN9)&lt;=0.005,0,MIN(N('Debt List'!F5),N(FN9)+N(FO9)))+((GT9=1)*GV9+(GX9=1)*GZ9+(HB9=1)*HD9+(HF9=1)*HH9+(HJ9=1)*HL9+(HN9=1)*HP9+(HR9=1)*HT9+(HV9=1)*HX9)</f>
        <v/>
      </c>
      <c r="FQ9">
        <f>MAX(0,ROUND(N(FN9)+N(FO9)-N(FP9),2))</f>
        <v/>
      </c>
      <c r="FR9">
        <f>N(FU8)</f>
        <v/>
      </c>
      <c r="FS9">
        <f>IF(N(FR9)&lt;=0.005,0,ROUND(N(FR9)*N('Debt List'!E6)/12,2))</f>
        <v/>
      </c>
      <c r="FT9">
        <f>IF(N(FR9)&lt;=0.005,0,MIN(N('Debt List'!F6),N(FR9)+N(FS9)))+((GT9=2)*GV9+(GX9=2)*GZ9+(HB9=2)*HD9+(HF9=2)*HH9+(HJ9=2)*HL9+(HN9=2)*HP9+(HR9=2)*HT9+(HV9=2)*HX9)</f>
        <v/>
      </c>
      <c r="FU9">
        <f>MAX(0,ROUND(N(FR9)+N(FS9)-N(FT9),2))</f>
        <v/>
      </c>
      <c r="FV9">
        <f>N(FY8)</f>
        <v/>
      </c>
      <c r="FW9">
        <f>IF(N(FV9)&lt;=0.005,0,ROUND(N(FV9)*N('Debt List'!E7)/12,2))</f>
        <v/>
      </c>
      <c r="FX9">
        <f>IF(N(FV9)&lt;=0.005,0,MIN(N('Debt List'!F7),N(FV9)+N(FW9)))+((GT9=3)*GV9+(GX9=3)*GZ9+(HB9=3)*HD9+(HF9=3)*HH9+(HJ9=3)*HL9+(HN9=3)*HP9+(HR9=3)*HT9+(HV9=3)*HX9)</f>
        <v/>
      </c>
      <c r="FY9">
        <f>MAX(0,ROUND(N(FV9)+N(FW9)-N(FX9),2))</f>
        <v/>
      </c>
      <c r="FZ9">
        <f>N(GC8)</f>
        <v/>
      </c>
      <c r="GA9">
        <f>IF(N(FZ9)&lt;=0.005,0,ROUND(N(FZ9)*N('Debt List'!E8)/12,2))</f>
        <v/>
      </c>
      <c r="GB9">
        <f>IF(N(FZ9)&lt;=0.005,0,MIN(N('Debt List'!F8),N(FZ9)+N(GA9)))+((GT9=4)*GV9+(GX9=4)*GZ9+(HB9=4)*HD9+(HF9=4)*HH9+(HJ9=4)*HL9+(HN9=4)*HP9+(HR9=4)*HT9+(HV9=4)*HX9)</f>
        <v/>
      </c>
      <c r="GC9">
        <f>MAX(0,ROUND(N(FZ9)+N(GA9)-N(GB9),2))</f>
        <v/>
      </c>
      <c r="GD9">
        <f>N(GG8)</f>
        <v/>
      </c>
      <c r="GE9">
        <f>IF(N(GD9)&lt;=0.005,0,ROUND(N(GD9)*N('Debt List'!E9)/12,2))</f>
        <v/>
      </c>
      <c r="GF9">
        <f>IF(N(GD9)&lt;=0.005,0,MIN(N('Debt List'!F9),N(GD9)+N(GE9)))+((GT9=5)*GV9+(GX9=5)*GZ9+(HB9=5)*HD9+(HF9=5)*HH9+(HJ9=5)*HL9+(HN9=5)*HP9+(HR9=5)*HT9+(HV9=5)*HX9)</f>
        <v/>
      </c>
      <c r="GG9">
        <f>MAX(0,ROUND(N(GD9)+N(GE9)-N(GF9),2))</f>
        <v/>
      </c>
      <c r="GH9">
        <f>N(GK8)</f>
        <v/>
      </c>
      <c r="GI9">
        <f>IF(N(GH9)&lt;=0.005,0,ROUND(N(GH9)*N('Debt List'!E10)/12,2))</f>
        <v/>
      </c>
      <c r="GJ9">
        <f>IF(N(GH9)&lt;=0.005,0,MIN(N('Debt List'!F10),N(GH9)+N(GI9)))+((GT9=6)*GV9+(GX9=6)*GZ9+(HB9=6)*HD9+(HF9=6)*HH9+(HJ9=6)*HL9+(HN9=6)*HP9+(HR9=6)*HT9+(HV9=6)*HX9)</f>
        <v/>
      </c>
      <c r="GK9">
        <f>MAX(0,ROUND(N(GH9)+N(GI9)-N(GJ9),2))</f>
        <v/>
      </c>
      <c r="GL9">
        <f>N(GO8)</f>
        <v/>
      </c>
      <c r="GM9">
        <f>IF(N(GL9)&lt;=0.005,0,ROUND(N(GL9)*N('Debt List'!E11)/12,2))</f>
        <v/>
      </c>
      <c r="GN9">
        <f>IF(N(GL9)&lt;=0.005,0,MIN(N('Debt List'!F11),N(GL9)+N(GM9)))+((GT9=7)*GV9+(GX9=7)*GZ9+(HB9=7)*HD9+(HF9=7)*HH9+(HJ9=7)*HL9+(HN9=7)*HP9+(HR9=7)*HT9+(HV9=7)*HX9)</f>
        <v/>
      </c>
      <c r="GO9">
        <f>MAX(0,ROUND(N(GL9)+N(GM9)-N(GN9),2))</f>
        <v/>
      </c>
      <c r="GP9">
        <f>N(GS8)</f>
        <v/>
      </c>
      <c r="GQ9">
        <f>IF(N(GP9)&lt;=0.005,0,ROUND(N(GP9)*N('Debt List'!E12)/12,2))</f>
        <v/>
      </c>
      <c r="GR9">
        <f>IF(N(GP9)&lt;=0.005,0,MIN(N('Debt List'!F12),N(GP9)+N(GQ9)))+((GT9=8)*GV9+(GX9=8)*GZ9+(HB9=8)*HD9+(HF9=8)*HH9+(HJ9=8)*HL9+(HN9=8)*HP9+(HR9=8)*HT9+(HV9=8)*HX9)</f>
        <v/>
      </c>
      <c r="GS9">
        <f>MAX(0,ROUND(N(GP9)+N(GQ9)-N(GR9),2))</f>
        <v/>
      </c>
      <c r="GT9">
        <f>IFERROR(MATCH(1,OrderAval,0),"")</f>
        <v/>
      </c>
      <c r="GU9">
        <f>IF(GT9="",0,IFERROR(IF(N(CHOOSE(GT9,FN9,FR9,FV9,FZ9,GD9,GH9,GL9,GP9))&lt;=0.005,0,MAX(0,N(CHOOSE(GT9,FN9,FR9,FV9,FZ9,GD9,GH9,GL9,GP9))+N(CHOOSE(GT9,FO9,FS9,FW9,GA9,GE9,GI9,GM9,GQ9))-MIN(N(CHOOSE(GT9,'Debt List'!$F$5,'Debt List'!$F$6,'Debt List'!$F$7,'Debt List'!$F$8,'Debt List'!$F$9,'Debt List'!$F$10,'Debt List'!$F$11,'Debt List'!$F$12)),N(CHOOSE(GT9,FN9,FR9,FV9,FZ9,GD9,GH9,GL9,GP9))+N(CHOOSE(GT9,FO9,FS9,FW9,GA9,GE9,GI9,GM9,GQ9))))),0))</f>
        <v/>
      </c>
      <c r="GV9">
        <f>MIN(N(GU9),MAX(0,N(ExtraPayment)))</f>
        <v/>
      </c>
      <c r="GW9">
        <f>MAX(0,N(ExtraPayment)-N(GV9))</f>
        <v/>
      </c>
      <c r="GX9">
        <f>IFERROR(MATCH(2,OrderAval,0),"")</f>
        <v/>
      </c>
      <c r="GY9">
        <f>IF(GX9="",0,IFERROR(IF(N(CHOOSE(GX9,FN9,FR9,FV9,FZ9,GD9,GH9,GL9,GP9))&lt;=0.005,0,MAX(0,N(CHOOSE(GX9,FN9,FR9,FV9,FZ9,GD9,GH9,GL9,GP9))+N(CHOOSE(GX9,FO9,FS9,FW9,GA9,GE9,GI9,GM9,GQ9))-MIN(N(CHOOSE(GX9,'Debt List'!$F$5,'Debt List'!$F$6,'Debt List'!$F$7,'Debt List'!$F$8,'Debt List'!$F$9,'Debt List'!$F$10,'Debt List'!$F$11,'Debt List'!$F$12)),N(CHOOSE(GX9,FN9,FR9,FV9,FZ9,GD9,GH9,GL9,GP9))+N(CHOOSE(GX9,FO9,FS9,FW9,GA9,GE9,GI9,GM9,GQ9))))),0))</f>
        <v/>
      </c>
      <c r="GZ9">
        <f>MIN(N(GY9),MAX(0,N(GW9)))</f>
        <v/>
      </c>
      <c r="HA9">
        <f>MAX(0,N(GW9)-N(GZ9))</f>
        <v/>
      </c>
      <c r="HB9">
        <f>IFERROR(MATCH(3,OrderAval,0),"")</f>
        <v/>
      </c>
      <c r="HC9">
        <f>IF(HB9="",0,IFERROR(IF(N(CHOOSE(HB9,FN9,FR9,FV9,FZ9,GD9,GH9,GL9,GP9))&lt;=0.005,0,MAX(0,N(CHOOSE(HB9,FN9,FR9,FV9,FZ9,GD9,GH9,GL9,GP9))+N(CHOOSE(HB9,FO9,FS9,FW9,GA9,GE9,GI9,GM9,GQ9))-MIN(N(CHOOSE(HB9,'Debt List'!$F$5,'Debt List'!$F$6,'Debt List'!$F$7,'Debt List'!$F$8,'Debt List'!$F$9,'Debt List'!$F$10,'Debt List'!$F$11,'Debt List'!$F$12)),N(CHOOSE(HB9,FN9,FR9,FV9,FZ9,GD9,GH9,GL9,GP9))+N(CHOOSE(HB9,FO9,FS9,FW9,GA9,GE9,GI9,GM9,GQ9))))),0))</f>
        <v/>
      </c>
      <c r="HD9">
        <f>MIN(N(HC9),MAX(0,N(HA9)))</f>
        <v/>
      </c>
      <c r="HE9">
        <f>MAX(0,N(HA9)-N(HD9))</f>
        <v/>
      </c>
      <c r="HF9">
        <f>IFERROR(MATCH(4,OrderAval,0),"")</f>
        <v/>
      </c>
      <c r="HG9">
        <f>IF(HF9="",0,IFERROR(IF(N(CHOOSE(HF9,FN9,FR9,FV9,FZ9,GD9,GH9,GL9,GP9))&lt;=0.005,0,MAX(0,N(CHOOSE(HF9,FN9,FR9,FV9,FZ9,GD9,GH9,GL9,GP9))+N(CHOOSE(HF9,FO9,FS9,FW9,GA9,GE9,GI9,GM9,GQ9))-MIN(N(CHOOSE(HF9,'Debt List'!$F$5,'Debt List'!$F$6,'Debt List'!$F$7,'Debt List'!$F$8,'Debt List'!$F$9,'Debt List'!$F$10,'Debt List'!$F$11,'Debt List'!$F$12)),N(CHOOSE(HF9,FN9,FR9,FV9,FZ9,GD9,GH9,GL9,GP9))+N(CHOOSE(HF9,FO9,FS9,FW9,GA9,GE9,GI9,GM9,GQ9))))),0))</f>
        <v/>
      </c>
      <c r="HH9">
        <f>MIN(N(HG9),MAX(0,N(HE9)))</f>
        <v/>
      </c>
      <c r="HI9">
        <f>MAX(0,N(HE9)-N(HH9))</f>
        <v/>
      </c>
      <c r="HJ9">
        <f>IFERROR(MATCH(5,OrderAval,0),"")</f>
        <v/>
      </c>
      <c r="HK9">
        <f>IF(HJ9="",0,IFERROR(IF(N(CHOOSE(HJ9,FN9,FR9,FV9,FZ9,GD9,GH9,GL9,GP9))&lt;=0.005,0,MAX(0,N(CHOOSE(HJ9,FN9,FR9,FV9,FZ9,GD9,GH9,GL9,GP9))+N(CHOOSE(HJ9,FO9,FS9,FW9,GA9,GE9,GI9,GM9,GQ9))-MIN(N(CHOOSE(HJ9,'Debt List'!$F$5,'Debt List'!$F$6,'Debt List'!$F$7,'Debt List'!$F$8,'Debt List'!$F$9,'Debt List'!$F$10,'Debt List'!$F$11,'Debt List'!$F$12)),N(CHOOSE(HJ9,FN9,FR9,FV9,FZ9,GD9,GH9,GL9,GP9))+N(CHOOSE(HJ9,FO9,FS9,FW9,GA9,GE9,GI9,GM9,GQ9))))),0))</f>
        <v/>
      </c>
      <c r="HL9">
        <f>MIN(N(HK9),MAX(0,N(HI9)))</f>
        <v/>
      </c>
      <c r="HM9">
        <f>MAX(0,N(HI9)-N(HL9))</f>
        <v/>
      </c>
      <c r="HN9">
        <f>IFERROR(MATCH(6,OrderAval,0),"")</f>
        <v/>
      </c>
      <c r="HO9">
        <f>IF(HN9="",0,IFERROR(IF(N(CHOOSE(HN9,FN9,FR9,FV9,FZ9,GD9,GH9,GL9,GP9))&lt;=0.005,0,MAX(0,N(CHOOSE(HN9,FN9,FR9,FV9,FZ9,GD9,GH9,GL9,GP9))+N(CHOOSE(HN9,FO9,FS9,FW9,GA9,GE9,GI9,GM9,GQ9))-MIN(N(CHOOSE(HN9,'Debt List'!$F$5,'Debt List'!$F$6,'Debt List'!$F$7,'Debt List'!$F$8,'Debt List'!$F$9,'Debt List'!$F$10,'Debt List'!$F$11,'Debt List'!$F$12)),N(CHOOSE(HN9,FN9,FR9,FV9,FZ9,GD9,GH9,GL9,GP9))+N(CHOOSE(HN9,FO9,FS9,FW9,GA9,GE9,GI9,GM9,GQ9))))),0))</f>
        <v/>
      </c>
      <c r="HP9">
        <f>MIN(N(HO9),MAX(0,N(HM9)))</f>
        <v/>
      </c>
      <c r="HQ9">
        <f>MAX(0,N(HM9)-N(HP9))</f>
        <v/>
      </c>
      <c r="HR9">
        <f>IFERROR(MATCH(7,OrderAval,0),"")</f>
        <v/>
      </c>
      <c r="HS9">
        <f>IF(HR9="",0,IFERROR(IF(N(CHOOSE(HR9,FN9,FR9,FV9,FZ9,GD9,GH9,GL9,GP9))&lt;=0.005,0,MAX(0,N(CHOOSE(HR9,FN9,FR9,FV9,FZ9,GD9,GH9,GL9,GP9))+N(CHOOSE(HR9,FO9,FS9,FW9,GA9,GE9,GI9,GM9,GQ9))-MIN(N(CHOOSE(HR9,'Debt List'!$F$5,'Debt List'!$F$6,'Debt List'!$F$7,'Debt List'!$F$8,'Debt List'!$F$9,'Debt List'!$F$10,'Debt List'!$F$11,'Debt List'!$F$12)),N(CHOOSE(HR9,FN9,FR9,FV9,FZ9,GD9,GH9,GL9,GP9))+N(CHOOSE(HR9,FO9,FS9,FW9,GA9,GE9,GI9,GM9,GQ9))))),0))</f>
        <v/>
      </c>
      <c r="HT9">
        <f>MIN(N(HS9),MAX(0,N(HQ9)))</f>
        <v/>
      </c>
      <c r="HU9">
        <f>MAX(0,N(HQ9)-N(HT9))</f>
        <v/>
      </c>
      <c r="HV9">
        <f>IFERROR(MATCH(8,OrderAval,0),"")</f>
        <v/>
      </c>
      <c r="HW9">
        <f>IF(HV9="",0,IFERROR(IF(N(CHOOSE(HV9,FN9,FR9,FV9,FZ9,GD9,GH9,GL9,GP9))&lt;=0.005,0,MAX(0,N(CHOOSE(HV9,FN9,FR9,FV9,FZ9,GD9,GH9,GL9,GP9))+N(CHOOSE(HV9,FO9,FS9,FW9,GA9,GE9,GI9,GM9,GQ9))-MIN(N(CHOOSE(HV9,'Debt List'!$F$5,'Debt List'!$F$6,'Debt List'!$F$7,'Debt List'!$F$8,'Debt List'!$F$9,'Debt List'!$F$10,'Debt List'!$F$11,'Debt List'!$F$12)),N(CHOOSE(HV9,FN9,FR9,FV9,FZ9,GD9,GH9,GL9,GP9))+N(CHOOSE(HV9,FO9,FS9,FW9,GA9,GE9,GI9,GM9,GQ9))))),0))</f>
        <v/>
      </c>
      <c r="HX9">
        <f>MIN(N(HW9),MAX(0,N(HU9)))</f>
        <v/>
      </c>
      <c r="HY9">
        <f>MAX(0,N(HU9)-N(HX9))</f>
        <v/>
      </c>
    </row>
    <row r="10">
      <c r="A10" t="n">
        <v>6</v>
      </c>
      <c r="B10" s="115">
        <f>DATE(YEAR(PlanStart),MONTH(PlanStart)+A10-1,1)</f>
        <v/>
      </c>
      <c r="C10">
        <f>IF(AND(AP10&lt;&gt;"",N(CHOOSE(AP10,J10,N10,R10,V10,Z10,AD10,AH10,AL10))&gt;0.005),INDEX(DebtNames,AP10),IF(AND(AT10&lt;&gt;"",N(CHOOSE(AT10,J10,N10,R10,V10,Z10,AD10,AH10,AL10))&gt;0.005),INDEX(DebtNames,AT10),IF(AND(AX10&lt;&gt;"",N(CHOOSE(AX10,J10,N10,R10,V10,Z10,AD10,AH10,AL10))&gt;0.005),INDEX(DebtNames,AX10),IF(AND(BB10&lt;&gt;"",N(CHOOSE(BB10,J10,N10,R10,V10,Z10,AD10,AH10,AL10))&gt;0.005),INDEX(DebtNames,BB10),IF(AND(BF10&lt;&gt;"",N(CHOOSE(BF10,J10,N10,R10,V10,Z10,AD10,AH10,AL10))&gt;0.005),INDEX(DebtNames,BF10),IF(AND(BJ10&lt;&gt;"",N(CHOOSE(BJ10,J10,N10,R10,V10,Z10,AD10,AH10,AL10))&gt;0.005),INDEX(DebtNames,BJ10),IF(AND(BN10&lt;&gt;"",N(CHOOSE(BN10,J10,N10,R10,V10,Z10,AD10,AH10,AL10))&gt;0.005),INDEX(DebtNames,BN10),IF(AND(BR10&lt;&gt;"",N(CHOOSE(BR10,J10,N10,R10,V10,Z10,AD10,AH10,AL10))&gt;0.005),INDEX(DebtNames,BR10),""))))))))</f>
        <v/>
      </c>
      <c r="D10">
        <f>N(BU10)</f>
        <v/>
      </c>
      <c r="E10">
        <f>N(L10)+N(P10)+N(T10)+N(X10)+N(AB10)+N(AF10)+N(AJ10)+N(AN10)</f>
        <v/>
      </c>
      <c r="F10">
        <f>N(K10)+N(O10)+N(S10)+N(W10)+N(AA10)+N(AE10)+N(AI10)+N(AM10)</f>
        <v/>
      </c>
      <c r="G10">
        <f>N(G9)+N(F10)</f>
        <v/>
      </c>
      <c r="H10">
        <f>N(M10)+N(Q10)+N(U10)+N(Y10)+N(AC10)+N(AG10)+N(AK10)+N(AO10)</f>
        <v/>
      </c>
      <c r="I10">
        <f>(M10&gt;0.005)*1+(Q10&gt;0.005)*1+(U10&gt;0.005)*1+(Y10&gt;0.005)*1+(AC10&gt;0.005)*1+(AG10&gt;0.005)*1+(AK10&gt;0.005)*1+(AO10&gt;0.005)*1</f>
        <v/>
      </c>
      <c r="J10">
        <f>N(M9)</f>
        <v/>
      </c>
      <c r="K10">
        <f>IF(N(J10)&lt;=0.005,0,ROUND(N(J10)*N('Debt List'!E5)/12,2))</f>
        <v/>
      </c>
      <c r="L10">
        <f>IF(N(J10)&lt;=0.005,0,MIN(N('Debt List'!F5),N(J10)+N(K10)))+((AP10=1)*AR10+(AT10=1)*AV10+(AX10=1)*AZ10+(BB10=1)*BD10+(BF10=1)*BH10+(BJ10=1)*BL10+(BN10=1)*BP10+(BR10=1)*BT10)</f>
        <v/>
      </c>
      <c r="M10">
        <f>MAX(0,ROUND(N(J10)+N(K10)-N(L10),2))</f>
        <v/>
      </c>
      <c r="N10">
        <f>N(Q9)</f>
        <v/>
      </c>
      <c r="O10">
        <f>IF(N(N10)&lt;=0.005,0,ROUND(N(N10)*N('Debt List'!E6)/12,2))</f>
        <v/>
      </c>
      <c r="P10">
        <f>IF(N(N10)&lt;=0.005,0,MIN(N('Debt List'!F6),N(N10)+N(O10)))+((AP10=2)*AR10+(AT10=2)*AV10+(AX10=2)*AZ10+(BB10=2)*BD10+(BF10=2)*BH10+(BJ10=2)*BL10+(BN10=2)*BP10+(BR10=2)*BT10)</f>
        <v/>
      </c>
      <c r="Q10">
        <f>MAX(0,ROUND(N(N10)+N(O10)-N(P10),2))</f>
        <v/>
      </c>
      <c r="R10">
        <f>N(U9)</f>
        <v/>
      </c>
      <c r="S10">
        <f>IF(N(R10)&lt;=0.005,0,ROUND(N(R10)*N('Debt List'!E7)/12,2))</f>
        <v/>
      </c>
      <c r="T10">
        <f>IF(N(R10)&lt;=0.005,0,MIN(N('Debt List'!F7),N(R10)+N(S10)))+((AP10=3)*AR10+(AT10=3)*AV10+(AX10=3)*AZ10+(BB10=3)*BD10+(BF10=3)*BH10+(BJ10=3)*BL10+(BN10=3)*BP10+(BR10=3)*BT10)</f>
        <v/>
      </c>
      <c r="U10">
        <f>MAX(0,ROUND(N(R10)+N(S10)-N(T10),2))</f>
        <v/>
      </c>
      <c r="V10">
        <f>N(Y9)</f>
        <v/>
      </c>
      <c r="W10">
        <f>IF(N(V10)&lt;=0.005,0,ROUND(N(V10)*N('Debt List'!E8)/12,2))</f>
        <v/>
      </c>
      <c r="X10">
        <f>IF(N(V10)&lt;=0.005,0,MIN(N('Debt List'!F8),N(V10)+N(W10)))+((AP10=4)*AR10+(AT10=4)*AV10+(AX10=4)*AZ10+(BB10=4)*BD10+(BF10=4)*BH10+(BJ10=4)*BL10+(BN10=4)*BP10+(BR10=4)*BT10)</f>
        <v/>
      </c>
      <c r="Y10">
        <f>MAX(0,ROUND(N(V10)+N(W10)-N(X10),2))</f>
        <v/>
      </c>
      <c r="Z10">
        <f>N(AC9)</f>
        <v/>
      </c>
      <c r="AA10">
        <f>IF(N(Z10)&lt;=0.005,0,ROUND(N(Z10)*N('Debt List'!E9)/12,2))</f>
        <v/>
      </c>
      <c r="AB10">
        <f>IF(N(Z10)&lt;=0.005,0,MIN(N('Debt List'!F9),N(Z10)+N(AA10)))+((AP10=5)*AR10+(AT10=5)*AV10+(AX10=5)*AZ10+(BB10=5)*BD10+(BF10=5)*BH10+(BJ10=5)*BL10+(BN10=5)*BP10+(BR10=5)*BT10)</f>
        <v/>
      </c>
      <c r="AC10">
        <f>MAX(0,ROUND(N(Z10)+N(AA10)-N(AB10),2))</f>
        <v/>
      </c>
      <c r="AD10">
        <f>N(AG9)</f>
        <v/>
      </c>
      <c r="AE10">
        <f>IF(N(AD10)&lt;=0.005,0,ROUND(N(AD10)*N('Debt List'!E10)/12,2))</f>
        <v/>
      </c>
      <c r="AF10">
        <f>IF(N(AD10)&lt;=0.005,0,MIN(N('Debt List'!F10),N(AD10)+N(AE10)))+((AP10=6)*AR10+(AT10=6)*AV10+(AX10=6)*AZ10+(BB10=6)*BD10+(BF10=6)*BH10+(BJ10=6)*BL10+(BN10=6)*BP10+(BR10=6)*BT10)</f>
        <v/>
      </c>
      <c r="AG10">
        <f>MAX(0,ROUND(N(AD10)+N(AE10)-N(AF10),2))</f>
        <v/>
      </c>
      <c r="AH10">
        <f>N(AK9)</f>
        <v/>
      </c>
      <c r="AI10">
        <f>IF(N(AH10)&lt;=0.005,0,ROUND(N(AH10)*N('Debt List'!E11)/12,2))</f>
        <v/>
      </c>
      <c r="AJ10">
        <f>IF(N(AH10)&lt;=0.005,0,MIN(N('Debt List'!F11),N(AH10)+N(AI10)))+((AP10=7)*AR10+(AT10=7)*AV10+(AX10=7)*AZ10+(BB10=7)*BD10+(BF10=7)*BH10+(BJ10=7)*BL10+(BN10=7)*BP10+(BR10=7)*BT10)</f>
        <v/>
      </c>
      <c r="AK10">
        <f>MAX(0,ROUND(N(AH10)+N(AI10)-N(AJ10),2))</f>
        <v/>
      </c>
      <c r="AL10">
        <f>N(AO9)</f>
        <v/>
      </c>
      <c r="AM10">
        <f>IF(N(AL10)&lt;=0.005,0,ROUND(N(AL10)*N('Debt List'!E12)/12,2))</f>
        <v/>
      </c>
      <c r="AN10">
        <f>IF(N(AL10)&lt;=0.005,0,MIN(N('Debt List'!F12),N(AL10)+N(AM10)))+((AP10=8)*AR10+(AT10=8)*AV10+(AX10=8)*AZ10+(BB10=8)*BD10+(BF10=8)*BH10+(BJ10=8)*BL10+(BN10=8)*BP10+(BR10=8)*BT10)</f>
        <v/>
      </c>
      <c r="AO10">
        <f>MAX(0,ROUND(N(AL10)+N(AM10)-N(AN10),2))</f>
        <v/>
      </c>
      <c r="AP10">
        <f>IFERROR(MATCH(1,OrderPlan,0),"")</f>
        <v/>
      </c>
      <c r="AQ10">
        <f>IF(AP10="",0,IFERROR(IF(N(CHOOSE(AP10,J10,N10,R10,V10,Z10,AD10,AH10,AL10))&lt;=0.005,0,MAX(0,N(CHOOSE(AP10,J10,N10,R10,V10,Z10,AD10,AH10,AL10))+N(CHOOSE(AP10,K10,O10,S10,W10,AA10,AE10,AI10,AM10))-MIN(N(CHOOSE(AP10,'Debt List'!$F$5,'Debt List'!$F$6,'Debt List'!$F$7,'Debt List'!$F$8,'Debt List'!$F$9,'Debt List'!$F$10,'Debt List'!$F$11,'Debt List'!$F$12)),N(CHOOSE(AP10,J10,N10,R10,V10,Z10,AD10,AH10,AL10))+N(CHOOSE(AP10,K10,O10,S10,W10,AA10,AE10,AI10,AM10))))),0))</f>
        <v/>
      </c>
      <c r="AR10">
        <f>MIN(N(AQ10),MAX(0,N(ExtraPayment)))</f>
        <v/>
      </c>
      <c r="AS10">
        <f>MAX(0,N(ExtraPayment)-N(AR10))</f>
        <v/>
      </c>
      <c r="AT10">
        <f>IFERROR(MATCH(2,OrderPlan,0),"")</f>
        <v/>
      </c>
      <c r="AU10">
        <f>IF(AT10="",0,IFERROR(IF(N(CHOOSE(AT10,J10,N10,R10,V10,Z10,AD10,AH10,AL10))&lt;=0.005,0,MAX(0,N(CHOOSE(AT10,J10,N10,R10,V10,Z10,AD10,AH10,AL10))+N(CHOOSE(AT10,K10,O10,S10,W10,AA10,AE10,AI10,AM10))-MIN(N(CHOOSE(AT10,'Debt List'!$F$5,'Debt List'!$F$6,'Debt List'!$F$7,'Debt List'!$F$8,'Debt List'!$F$9,'Debt List'!$F$10,'Debt List'!$F$11,'Debt List'!$F$12)),N(CHOOSE(AT10,J10,N10,R10,V10,Z10,AD10,AH10,AL10))+N(CHOOSE(AT10,K10,O10,S10,W10,AA10,AE10,AI10,AM10))))),0))</f>
        <v/>
      </c>
      <c r="AV10">
        <f>MIN(N(AU10),MAX(0,N(AS10)))</f>
        <v/>
      </c>
      <c r="AW10">
        <f>MAX(0,N(AS10)-N(AV10))</f>
        <v/>
      </c>
      <c r="AX10">
        <f>IFERROR(MATCH(3,OrderPlan,0),"")</f>
        <v/>
      </c>
      <c r="AY10">
        <f>IF(AX10="",0,IFERROR(IF(N(CHOOSE(AX10,J10,N10,R10,V10,Z10,AD10,AH10,AL10))&lt;=0.005,0,MAX(0,N(CHOOSE(AX10,J10,N10,R10,V10,Z10,AD10,AH10,AL10))+N(CHOOSE(AX10,K10,O10,S10,W10,AA10,AE10,AI10,AM10))-MIN(N(CHOOSE(AX10,'Debt List'!$F$5,'Debt List'!$F$6,'Debt List'!$F$7,'Debt List'!$F$8,'Debt List'!$F$9,'Debt List'!$F$10,'Debt List'!$F$11,'Debt List'!$F$12)),N(CHOOSE(AX10,J10,N10,R10,V10,Z10,AD10,AH10,AL10))+N(CHOOSE(AX10,K10,O10,S10,W10,AA10,AE10,AI10,AM10))))),0))</f>
        <v/>
      </c>
      <c r="AZ10">
        <f>MIN(N(AY10),MAX(0,N(AW10)))</f>
        <v/>
      </c>
      <c r="BA10">
        <f>MAX(0,N(AW10)-N(AZ10))</f>
        <v/>
      </c>
      <c r="BB10">
        <f>IFERROR(MATCH(4,OrderPlan,0),"")</f>
        <v/>
      </c>
      <c r="BC10">
        <f>IF(BB10="",0,IFERROR(IF(N(CHOOSE(BB10,J10,N10,R10,V10,Z10,AD10,AH10,AL10))&lt;=0.005,0,MAX(0,N(CHOOSE(BB10,J10,N10,R10,V10,Z10,AD10,AH10,AL10))+N(CHOOSE(BB10,K10,O10,S10,W10,AA10,AE10,AI10,AM10))-MIN(N(CHOOSE(BB10,'Debt List'!$F$5,'Debt List'!$F$6,'Debt List'!$F$7,'Debt List'!$F$8,'Debt List'!$F$9,'Debt List'!$F$10,'Debt List'!$F$11,'Debt List'!$F$12)),N(CHOOSE(BB10,J10,N10,R10,V10,Z10,AD10,AH10,AL10))+N(CHOOSE(BB10,K10,O10,S10,W10,AA10,AE10,AI10,AM10))))),0))</f>
        <v/>
      </c>
      <c r="BD10">
        <f>MIN(N(BC10),MAX(0,N(BA10)))</f>
        <v/>
      </c>
      <c r="BE10">
        <f>MAX(0,N(BA10)-N(BD10))</f>
        <v/>
      </c>
      <c r="BF10">
        <f>IFERROR(MATCH(5,OrderPlan,0),"")</f>
        <v/>
      </c>
      <c r="BG10">
        <f>IF(BF10="",0,IFERROR(IF(N(CHOOSE(BF10,J10,N10,R10,V10,Z10,AD10,AH10,AL10))&lt;=0.005,0,MAX(0,N(CHOOSE(BF10,J10,N10,R10,V10,Z10,AD10,AH10,AL10))+N(CHOOSE(BF10,K10,O10,S10,W10,AA10,AE10,AI10,AM10))-MIN(N(CHOOSE(BF10,'Debt List'!$F$5,'Debt List'!$F$6,'Debt List'!$F$7,'Debt List'!$F$8,'Debt List'!$F$9,'Debt List'!$F$10,'Debt List'!$F$11,'Debt List'!$F$12)),N(CHOOSE(BF10,J10,N10,R10,V10,Z10,AD10,AH10,AL10))+N(CHOOSE(BF10,K10,O10,S10,W10,AA10,AE10,AI10,AM10))))),0))</f>
        <v/>
      </c>
      <c r="BH10">
        <f>MIN(N(BG10),MAX(0,N(BE10)))</f>
        <v/>
      </c>
      <c r="BI10">
        <f>MAX(0,N(BE10)-N(BH10))</f>
        <v/>
      </c>
      <c r="BJ10">
        <f>IFERROR(MATCH(6,OrderPlan,0),"")</f>
        <v/>
      </c>
      <c r="BK10">
        <f>IF(BJ10="",0,IFERROR(IF(N(CHOOSE(BJ10,J10,N10,R10,V10,Z10,AD10,AH10,AL10))&lt;=0.005,0,MAX(0,N(CHOOSE(BJ10,J10,N10,R10,V10,Z10,AD10,AH10,AL10))+N(CHOOSE(BJ10,K10,O10,S10,W10,AA10,AE10,AI10,AM10))-MIN(N(CHOOSE(BJ10,'Debt List'!$F$5,'Debt List'!$F$6,'Debt List'!$F$7,'Debt List'!$F$8,'Debt List'!$F$9,'Debt List'!$F$10,'Debt List'!$F$11,'Debt List'!$F$12)),N(CHOOSE(BJ10,J10,N10,R10,V10,Z10,AD10,AH10,AL10))+N(CHOOSE(BJ10,K10,O10,S10,W10,AA10,AE10,AI10,AM10))))),0))</f>
        <v/>
      </c>
      <c r="BL10">
        <f>MIN(N(BK10),MAX(0,N(BI10)))</f>
        <v/>
      </c>
      <c r="BM10">
        <f>MAX(0,N(BI10)-N(BL10))</f>
        <v/>
      </c>
      <c r="BN10">
        <f>IFERROR(MATCH(7,OrderPlan,0),"")</f>
        <v/>
      </c>
      <c r="BO10">
        <f>IF(BN10="",0,IFERROR(IF(N(CHOOSE(BN10,J10,N10,R10,V10,Z10,AD10,AH10,AL10))&lt;=0.005,0,MAX(0,N(CHOOSE(BN10,J10,N10,R10,V10,Z10,AD10,AH10,AL10))+N(CHOOSE(BN10,K10,O10,S10,W10,AA10,AE10,AI10,AM10))-MIN(N(CHOOSE(BN10,'Debt List'!$F$5,'Debt List'!$F$6,'Debt List'!$F$7,'Debt List'!$F$8,'Debt List'!$F$9,'Debt List'!$F$10,'Debt List'!$F$11,'Debt List'!$F$12)),N(CHOOSE(BN10,J10,N10,R10,V10,Z10,AD10,AH10,AL10))+N(CHOOSE(BN10,K10,O10,S10,W10,AA10,AE10,AI10,AM10))))),0))</f>
        <v/>
      </c>
      <c r="BP10">
        <f>MIN(N(BO10),MAX(0,N(BM10)))</f>
        <v/>
      </c>
      <c r="BQ10">
        <f>MAX(0,N(BM10)-N(BP10))</f>
        <v/>
      </c>
      <c r="BR10">
        <f>IFERROR(MATCH(8,OrderPlan,0),"")</f>
        <v/>
      </c>
      <c r="BS10">
        <f>IF(BR10="",0,IFERROR(IF(N(CHOOSE(BR10,J10,N10,R10,V10,Z10,AD10,AH10,AL10))&lt;=0.005,0,MAX(0,N(CHOOSE(BR10,J10,N10,R10,V10,Z10,AD10,AH10,AL10))+N(CHOOSE(BR10,K10,O10,S10,W10,AA10,AE10,AI10,AM10))-MIN(N(CHOOSE(BR10,'Debt List'!$F$5,'Debt List'!$F$6,'Debt List'!$F$7,'Debt List'!$F$8,'Debt List'!$F$9,'Debt List'!$F$10,'Debt List'!$F$11,'Debt List'!$F$12)),N(CHOOSE(BR10,J10,N10,R10,V10,Z10,AD10,AH10,AL10))+N(CHOOSE(BR10,K10,O10,S10,W10,AA10,AE10,AI10,AM10))))),0))</f>
        <v/>
      </c>
      <c r="BT10">
        <f>MIN(N(BS10),MAX(0,N(BQ10)))</f>
        <v/>
      </c>
      <c r="BU10">
        <f>MAX(0,N(BQ10)-N(BT10))</f>
        <v/>
      </c>
      <c r="CC10" t="n">
        <v>6</v>
      </c>
      <c r="CD10" s="115">
        <f>DATE(YEAR(PlanStart),MONTH(PlanStart)+CC10-1,1)</f>
        <v/>
      </c>
      <c r="CE10">
        <f>IF(AND(DR10&lt;&gt;"",N(CHOOSE(DR10,CL10,CP10,CT10,CX10,DB10,DF10,DJ10,DN10))&gt;0.005),INDEX(DebtNames,DR10),IF(AND(DV10&lt;&gt;"",N(CHOOSE(DV10,CL10,CP10,CT10,CX10,DB10,DF10,DJ10,DN10))&gt;0.005),INDEX(DebtNames,DV10),IF(AND(DZ10&lt;&gt;"",N(CHOOSE(DZ10,CL10,CP10,CT10,CX10,DB10,DF10,DJ10,DN10))&gt;0.005),INDEX(DebtNames,DZ10),IF(AND(ED10&lt;&gt;"",N(CHOOSE(ED10,CL10,CP10,CT10,CX10,DB10,DF10,DJ10,DN10))&gt;0.005),INDEX(DebtNames,ED10),IF(AND(EH10&lt;&gt;"",N(CHOOSE(EH10,CL10,CP10,CT10,CX10,DB10,DF10,DJ10,DN10))&gt;0.005),INDEX(DebtNames,EH10),IF(AND(EL10&lt;&gt;"",N(CHOOSE(EL10,CL10,CP10,CT10,CX10,DB10,DF10,DJ10,DN10))&gt;0.005),INDEX(DebtNames,EL10),IF(AND(EP10&lt;&gt;"",N(CHOOSE(EP10,CL10,CP10,CT10,CX10,DB10,DF10,DJ10,DN10))&gt;0.005),INDEX(DebtNames,EP10),IF(AND(ET10&lt;&gt;"",N(CHOOSE(ET10,CL10,CP10,CT10,CX10,DB10,DF10,DJ10,DN10))&gt;0.005),INDEX(DebtNames,ET10),""))))))))</f>
        <v/>
      </c>
      <c r="CF10">
        <f>N(EW10)</f>
        <v/>
      </c>
      <c r="CG10">
        <f>N(CN10)+N(CR10)+N(CV10)+N(CZ10)+N(DD10)+N(DH10)+N(DL10)+N(DP10)</f>
        <v/>
      </c>
      <c r="CH10">
        <f>N(CM10)+N(CQ10)+N(CU10)+N(CY10)+N(DC10)+N(DG10)+N(DK10)+N(DO10)</f>
        <v/>
      </c>
      <c r="CI10">
        <f>N(CI9)+N(CH10)</f>
        <v/>
      </c>
      <c r="CJ10">
        <f>N(CO10)+N(CS10)+N(CW10)+N(DA10)+N(DE10)+N(DI10)+N(DM10)+N(DQ10)</f>
        <v/>
      </c>
      <c r="CK10">
        <f>(CO10&gt;0.005)*1+(CS10&gt;0.005)*1+(CW10&gt;0.005)*1+(DA10&gt;0.005)*1+(DE10&gt;0.005)*1+(DI10&gt;0.005)*1+(DM10&gt;0.005)*1+(DQ10&gt;0.005)*1</f>
        <v/>
      </c>
      <c r="CL10">
        <f>N(CO9)</f>
        <v/>
      </c>
      <c r="CM10">
        <f>IF(N(CL10)&lt;=0.005,0,ROUND(N(CL10)*N('Debt List'!E5)/12,2))</f>
        <v/>
      </c>
      <c r="CN10">
        <f>IF(N(CL10)&lt;=0.005,0,MIN(N('Debt List'!F5),N(CL10)+N(CM10)))+((DR10=1)*DT10+(DV10=1)*DX10+(DZ10=1)*EB10+(ED10=1)*EF10+(EH10=1)*EJ10+(EL10=1)*EN10+(EP10=1)*ER10+(ET10=1)*EV10)</f>
        <v/>
      </c>
      <c r="CO10">
        <f>MAX(0,ROUND(N(CL10)+N(CM10)-N(CN10),2))</f>
        <v/>
      </c>
      <c r="CP10">
        <f>N(CS9)</f>
        <v/>
      </c>
      <c r="CQ10">
        <f>IF(N(CP10)&lt;=0.005,0,ROUND(N(CP10)*N('Debt List'!E6)/12,2))</f>
        <v/>
      </c>
      <c r="CR10">
        <f>IF(N(CP10)&lt;=0.005,0,MIN(N('Debt List'!F6),N(CP10)+N(CQ10)))+((DR10=2)*DT10+(DV10=2)*DX10+(DZ10=2)*EB10+(ED10=2)*EF10+(EH10=2)*EJ10+(EL10=2)*EN10+(EP10=2)*ER10+(ET10=2)*EV10)</f>
        <v/>
      </c>
      <c r="CS10">
        <f>MAX(0,ROUND(N(CP10)+N(CQ10)-N(CR10),2))</f>
        <v/>
      </c>
      <c r="CT10">
        <f>N(CW9)</f>
        <v/>
      </c>
      <c r="CU10">
        <f>IF(N(CT10)&lt;=0.005,0,ROUND(N(CT10)*N('Debt List'!E7)/12,2))</f>
        <v/>
      </c>
      <c r="CV10">
        <f>IF(N(CT10)&lt;=0.005,0,MIN(N('Debt List'!F7),N(CT10)+N(CU10)))+((DR10=3)*DT10+(DV10=3)*DX10+(DZ10=3)*EB10+(ED10=3)*EF10+(EH10=3)*EJ10+(EL10=3)*EN10+(EP10=3)*ER10+(ET10=3)*EV10)</f>
        <v/>
      </c>
      <c r="CW10">
        <f>MAX(0,ROUND(N(CT10)+N(CU10)-N(CV10),2))</f>
        <v/>
      </c>
      <c r="CX10">
        <f>N(DA9)</f>
        <v/>
      </c>
      <c r="CY10">
        <f>IF(N(CX10)&lt;=0.005,0,ROUND(N(CX10)*N('Debt List'!E8)/12,2))</f>
        <v/>
      </c>
      <c r="CZ10">
        <f>IF(N(CX10)&lt;=0.005,0,MIN(N('Debt List'!F8),N(CX10)+N(CY10)))+((DR10=4)*DT10+(DV10=4)*DX10+(DZ10=4)*EB10+(ED10=4)*EF10+(EH10=4)*EJ10+(EL10=4)*EN10+(EP10=4)*ER10+(ET10=4)*EV10)</f>
        <v/>
      </c>
      <c r="DA10">
        <f>MAX(0,ROUND(N(CX10)+N(CY10)-N(CZ10),2))</f>
        <v/>
      </c>
      <c r="DB10">
        <f>N(DE9)</f>
        <v/>
      </c>
      <c r="DC10">
        <f>IF(N(DB10)&lt;=0.005,0,ROUND(N(DB10)*N('Debt List'!E9)/12,2))</f>
        <v/>
      </c>
      <c r="DD10">
        <f>IF(N(DB10)&lt;=0.005,0,MIN(N('Debt List'!F9),N(DB10)+N(DC10)))+((DR10=5)*DT10+(DV10=5)*DX10+(DZ10=5)*EB10+(ED10=5)*EF10+(EH10=5)*EJ10+(EL10=5)*EN10+(EP10=5)*ER10+(ET10=5)*EV10)</f>
        <v/>
      </c>
      <c r="DE10">
        <f>MAX(0,ROUND(N(DB10)+N(DC10)-N(DD10),2))</f>
        <v/>
      </c>
      <c r="DF10">
        <f>N(DI9)</f>
        <v/>
      </c>
      <c r="DG10">
        <f>IF(N(DF10)&lt;=0.005,0,ROUND(N(DF10)*N('Debt List'!E10)/12,2))</f>
        <v/>
      </c>
      <c r="DH10">
        <f>IF(N(DF10)&lt;=0.005,0,MIN(N('Debt List'!F10),N(DF10)+N(DG10)))+((DR10=6)*DT10+(DV10=6)*DX10+(DZ10=6)*EB10+(ED10=6)*EF10+(EH10=6)*EJ10+(EL10=6)*EN10+(EP10=6)*ER10+(ET10=6)*EV10)</f>
        <v/>
      </c>
      <c r="DI10">
        <f>MAX(0,ROUND(N(DF10)+N(DG10)-N(DH10),2))</f>
        <v/>
      </c>
      <c r="DJ10">
        <f>N(DM9)</f>
        <v/>
      </c>
      <c r="DK10">
        <f>IF(N(DJ10)&lt;=0.005,0,ROUND(N(DJ10)*N('Debt List'!E11)/12,2))</f>
        <v/>
      </c>
      <c r="DL10">
        <f>IF(N(DJ10)&lt;=0.005,0,MIN(N('Debt List'!F11),N(DJ10)+N(DK10)))+((DR10=7)*DT10+(DV10=7)*DX10+(DZ10=7)*EB10+(ED10=7)*EF10+(EH10=7)*EJ10+(EL10=7)*EN10+(EP10=7)*ER10+(ET10=7)*EV10)</f>
        <v/>
      </c>
      <c r="DM10">
        <f>MAX(0,ROUND(N(DJ10)+N(DK10)-N(DL10),2))</f>
        <v/>
      </c>
      <c r="DN10">
        <f>N(DQ9)</f>
        <v/>
      </c>
      <c r="DO10">
        <f>IF(N(DN10)&lt;=0.005,0,ROUND(N(DN10)*N('Debt List'!E12)/12,2))</f>
        <v/>
      </c>
      <c r="DP10">
        <f>IF(N(DN10)&lt;=0.005,0,MIN(N('Debt List'!F12),N(DN10)+N(DO10)))+((DR10=8)*DT10+(DV10=8)*DX10+(DZ10=8)*EB10+(ED10=8)*EF10+(EH10=8)*EJ10+(EL10=8)*EN10+(EP10=8)*ER10+(ET10=8)*EV10)</f>
        <v/>
      </c>
      <c r="DQ10">
        <f>MAX(0,ROUND(N(DN10)+N(DO10)-N(DP10),2))</f>
        <v/>
      </c>
      <c r="DR10">
        <f>IFERROR(MATCH(1,OrderSnow,0),"")</f>
        <v/>
      </c>
      <c r="DS10">
        <f>IF(DR10="",0,IFERROR(IF(N(CHOOSE(DR10,CL10,CP10,CT10,CX10,DB10,DF10,DJ10,DN10))&lt;=0.005,0,MAX(0,N(CHOOSE(DR10,CL10,CP10,CT10,CX10,DB10,DF10,DJ10,DN10))+N(CHOOSE(DR10,CM10,CQ10,CU10,CY10,DC10,DG10,DK10,DO10))-MIN(N(CHOOSE(DR10,'Debt List'!$F$5,'Debt List'!$F$6,'Debt List'!$F$7,'Debt List'!$F$8,'Debt List'!$F$9,'Debt List'!$F$10,'Debt List'!$F$11,'Debt List'!$F$12)),N(CHOOSE(DR10,CL10,CP10,CT10,CX10,DB10,DF10,DJ10,DN10))+N(CHOOSE(DR10,CM10,CQ10,CU10,CY10,DC10,DG10,DK10,DO10))))),0))</f>
        <v/>
      </c>
      <c r="DT10">
        <f>MIN(N(DS10),MAX(0,N(ExtraPayment)))</f>
        <v/>
      </c>
      <c r="DU10">
        <f>MAX(0,N(ExtraPayment)-N(DT10))</f>
        <v/>
      </c>
      <c r="DV10">
        <f>IFERROR(MATCH(2,OrderSnow,0),"")</f>
        <v/>
      </c>
      <c r="DW10">
        <f>IF(DV10="",0,IFERROR(IF(N(CHOOSE(DV10,CL10,CP10,CT10,CX10,DB10,DF10,DJ10,DN10))&lt;=0.005,0,MAX(0,N(CHOOSE(DV10,CL10,CP10,CT10,CX10,DB10,DF10,DJ10,DN10))+N(CHOOSE(DV10,CM10,CQ10,CU10,CY10,DC10,DG10,DK10,DO10))-MIN(N(CHOOSE(DV10,'Debt List'!$F$5,'Debt List'!$F$6,'Debt List'!$F$7,'Debt List'!$F$8,'Debt List'!$F$9,'Debt List'!$F$10,'Debt List'!$F$11,'Debt List'!$F$12)),N(CHOOSE(DV10,CL10,CP10,CT10,CX10,DB10,DF10,DJ10,DN10))+N(CHOOSE(DV10,CM10,CQ10,CU10,CY10,DC10,DG10,DK10,DO10))))),0))</f>
        <v/>
      </c>
      <c r="DX10">
        <f>MIN(N(DW10),MAX(0,N(DU10)))</f>
        <v/>
      </c>
      <c r="DY10">
        <f>MAX(0,N(DU10)-N(DX10))</f>
        <v/>
      </c>
      <c r="DZ10">
        <f>IFERROR(MATCH(3,OrderSnow,0),"")</f>
        <v/>
      </c>
      <c r="EA10">
        <f>IF(DZ10="",0,IFERROR(IF(N(CHOOSE(DZ10,CL10,CP10,CT10,CX10,DB10,DF10,DJ10,DN10))&lt;=0.005,0,MAX(0,N(CHOOSE(DZ10,CL10,CP10,CT10,CX10,DB10,DF10,DJ10,DN10))+N(CHOOSE(DZ10,CM10,CQ10,CU10,CY10,DC10,DG10,DK10,DO10))-MIN(N(CHOOSE(DZ10,'Debt List'!$F$5,'Debt List'!$F$6,'Debt List'!$F$7,'Debt List'!$F$8,'Debt List'!$F$9,'Debt List'!$F$10,'Debt List'!$F$11,'Debt List'!$F$12)),N(CHOOSE(DZ10,CL10,CP10,CT10,CX10,DB10,DF10,DJ10,DN10))+N(CHOOSE(DZ10,CM10,CQ10,CU10,CY10,DC10,DG10,DK10,DO10))))),0))</f>
        <v/>
      </c>
      <c r="EB10">
        <f>MIN(N(EA10),MAX(0,N(DY10)))</f>
        <v/>
      </c>
      <c r="EC10">
        <f>MAX(0,N(DY10)-N(EB10))</f>
        <v/>
      </c>
      <c r="ED10">
        <f>IFERROR(MATCH(4,OrderSnow,0),"")</f>
        <v/>
      </c>
      <c r="EE10">
        <f>IF(ED10="",0,IFERROR(IF(N(CHOOSE(ED10,CL10,CP10,CT10,CX10,DB10,DF10,DJ10,DN10))&lt;=0.005,0,MAX(0,N(CHOOSE(ED10,CL10,CP10,CT10,CX10,DB10,DF10,DJ10,DN10))+N(CHOOSE(ED10,CM10,CQ10,CU10,CY10,DC10,DG10,DK10,DO10))-MIN(N(CHOOSE(ED10,'Debt List'!$F$5,'Debt List'!$F$6,'Debt List'!$F$7,'Debt List'!$F$8,'Debt List'!$F$9,'Debt List'!$F$10,'Debt List'!$F$11,'Debt List'!$F$12)),N(CHOOSE(ED10,CL10,CP10,CT10,CX10,DB10,DF10,DJ10,DN10))+N(CHOOSE(ED10,CM10,CQ10,CU10,CY10,DC10,DG10,DK10,DO10))))),0))</f>
        <v/>
      </c>
      <c r="EF10">
        <f>MIN(N(EE10),MAX(0,N(EC10)))</f>
        <v/>
      </c>
      <c r="EG10">
        <f>MAX(0,N(EC10)-N(EF10))</f>
        <v/>
      </c>
      <c r="EH10">
        <f>IFERROR(MATCH(5,OrderSnow,0),"")</f>
        <v/>
      </c>
      <c r="EI10">
        <f>IF(EH10="",0,IFERROR(IF(N(CHOOSE(EH10,CL10,CP10,CT10,CX10,DB10,DF10,DJ10,DN10))&lt;=0.005,0,MAX(0,N(CHOOSE(EH10,CL10,CP10,CT10,CX10,DB10,DF10,DJ10,DN10))+N(CHOOSE(EH10,CM10,CQ10,CU10,CY10,DC10,DG10,DK10,DO10))-MIN(N(CHOOSE(EH10,'Debt List'!$F$5,'Debt List'!$F$6,'Debt List'!$F$7,'Debt List'!$F$8,'Debt List'!$F$9,'Debt List'!$F$10,'Debt List'!$F$11,'Debt List'!$F$12)),N(CHOOSE(EH10,CL10,CP10,CT10,CX10,DB10,DF10,DJ10,DN10))+N(CHOOSE(EH10,CM10,CQ10,CU10,CY10,DC10,DG10,DK10,DO10))))),0))</f>
        <v/>
      </c>
      <c r="EJ10">
        <f>MIN(N(EI10),MAX(0,N(EG10)))</f>
        <v/>
      </c>
      <c r="EK10">
        <f>MAX(0,N(EG10)-N(EJ10))</f>
        <v/>
      </c>
      <c r="EL10">
        <f>IFERROR(MATCH(6,OrderSnow,0),"")</f>
        <v/>
      </c>
      <c r="EM10">
        <f>IF(EL10="",0,IFERROR(IF(N(CHOOSE(EL10,CL10,CP10,CT10,CX10,DB10,DF10,DJ10,DN10))&lt;=0.005,0,MAX(0,N(CHOOSE(EL10,CL10,CP10,CT10,CX10,DB10,DF10,DJ10,DN10))+N(CHOOSE(EL10,CM10,CQ10,CU10,CY10,DC10,DG10,DK10,DO10))-MIN(N(CHOOSE(EL10,'Debt List'!$F$5,'Debt List'!$F$6,'Debt List'!$F$7,'Debt List'!$F$8,'Debt List'!$F$9,'Debt List'!$F$10,'Debt List'!$F$11,'Debt List'!$F$12)),N(CHOOSE(EL10,CL10,CP10,CT10,CX10,DB10,DF10,DJ10,DN10))+N(CHOOSE(EL10,CM10,CQ10,CU10,CY10,DC10,DG10,DK10,DO10))))),0))</f>
        <v/>
      </c>
      <c r="EN10">
        <f>MIN(N(EM10),MAX(0,N(EK10)))</f>
        <v/>
      </c>
      <c r="EO10">
        <f>MAX(0,N(EK10)-N(EN10))</f>
        <v/>
      </c>
      <c r="EP10">
        <f>IFERROR(MATCH(7,OrderSnow,0),"")</f>
        <v/>
      </c>
      <c r="EQ10">
        <f>IF(EP10="",0,IFERROR(IF(N(CHOOSE(EP10,CL10,CP10,CT10,CX10,DB10,DF10,DJ10,DN10))&lt;=0.005,0,MAX(0,N(CHOOSE(EP10,CL10,CP10,CT10,CX10,DB10,DF10,DJ10,DN10))+N(CHOOSE(EP10,CM10,CQ10,CU10,CY10,DC10,DG10,DK10,DO10))-MIN(N(CHOOSE(EP10,'Debt List'!$F$5,'Debt List'!$F$6,'Debt List'!$F$7,'Debt List'!$F$8,'Debt List'!$F$9,'Debt List'!$F$10,'Debt List'!$F$11,'Debt List'!$F$12)),N(CHOOSE(EP10,CL10,CP10,CT10,CX10,DB10,DF10,DJ10,DN10))+N(CHOOSE(EP10,CM10,CQ10,CU10,CY10,DC10,DG10,DK10,DO10))))),0))</f>
        <v/>
      </c>
      <c r="ER10">
        <f>MIN(N(EQ10),MAX(0,N(EO10)))</f>
        <v/>
      </c>
      <c r="ES10">
        <f>MAX(0,N(EO10)-N(ER10))</f>
        <v/>
      </c>
      <c r="ET10">
        <f>IFERROR(MATCH(8,OrderSnow,0),"")</f>
        <v/>
      </c>
      <c r="EU10">
        <f>IF(ET10="",0,IFERROR(IF(N(CHOOSE(ET10,CL10,CP10,CT10,CX10,DB10,DF10,DJ10,DN10))&lt;=0.005,0,MAX(0,N(CHOOSE(ET10,CL10,CP10,CT10,CX10,DB10,DF10,DJ10,DN10))+N(CHOOSE(ET10,CM10,CQ10,CU10,CY10,DC10,DG10,DK10,DO10))-MIN(N(CHOOSE(ET10,'Debt List'!$F$5,'Debt List'!$F$6,'Debt List'!$F$7,'Debt List'!$F$8,'Debt List'!$F$9,'Debt List'!$F$10,'Debt List'!$F$11,'Debt List'!$F$12)),N(CHOOSE(ET10,CL10,CP10,CT10,CX10,DB10,DF10,DJ10,DN10))+N(CHOOSE(ET10,CM10,CQ10,CU10,CY10,DC10,DG10,DK10,DO10))))),0))</f>
        <v/>
      </c>
      <c r="EV10">
        <f>MIN(N(EU10),MAX(0,N(ES10)))</f>
        <v/>
      </c>
      <c r="EW10">
        <f>MAX(0,N(ES10)-N(EV10))</f>
        <v/>
      </c>
      <c r="FE10" t="n">
        <v>6</v>
      </c>
      <c r="FF10" s="115">
        <f>DATE(YEAR(PlanStart),MONTH(PlanStart)+FE10-1,1)</f>
        <v/>
      </c>
      <c r="FG10">
        <f>IF(AND(GT10&lt;&gt;"",N(CHOOSE(GT10,FN10,FR10,FV10,FZ10,GD10,GH10,GL10,GP10))&gt;0.005),INDEX(DebtNames,GT10),IF(AND(GX10&lt;&gt;"",N(CHOOSE(GX10,FN10,FR10,FV10,FZ10,GD10,GH10,GL10,GP10))&gt;0.005),INDEX(DebtNames,GX10),IF(AND(HB10&lt;&gt;"",N(CHOOSE(HB10,FN10,FR10,FV10,FZ10,GD10,GH10,GL10,GP10))&gt;0.005),INDEX(DebtNames,HB10),IF(AND(HF10&lt;&gt;"",N(CHOOSE(HF10,FN10,FR10,FV10,FZ10,GD10,GH10,GL10,GP10))&gt;0.005),INDEX(DebtNames,HF10),IF(AND(HJ10&lt;&gt;"",N(CHOOSE(HJ10,FN10,FR10,FV10,FZ10,GD10,GH10,GL10,GP10))&gt;0.005),INDEX(DebtNames,HJ10),IF(AND(HN10&lt;&gt;"",N(CHOOSE(HN10,FN10,FR10,FV10,FZ10,GD10,GH10,GL10,GP10))&gt;0.005),INDEX(DebtNames,HN10),IF(AND(HR10&lt;&gt;"",N(CHOOSE(HR10,FN10,FR10,FV10,FZ10,GD10,GH10,GL10,GP10))&gt;0.005),INDEX(DebtNames,HR10),IF(AND(HV10&lt;&gt;"",N(CHOOSE(HV10,FN10,FR10,FV10,FZ10,GD10,GH10,GL10,GP10))&gt;0.005),INDEX(DebtNames,HV10),""))))))))</f>
        <v/>
      </c>
      <c r="FH10">
        <f>N(HY10)</f>
        <v/>
      </c>
      <c r="FI10">
        <f>N(FP10)+N(FT10)+N(FX10)+N(GB10)+N(GF10)+N(GJ10)+N(GN10)+N(GR10)</f>
        <v/>
      </c>
      <c r="FJ10">
        <f>N(FO10)+N(FS10)+N(FW10)+N(GA10)+N(GE10)+N(GI10)+N(GM10)+N(GQ10)</f>
        <v/>
      </c>
      <c r="FK10">
        <f>N(FK9)+N(FJ10)</f>
        <v/>
      </c>
      <c r="FL10">
        <f>N(FQ10)+N(FU10)+N(FY10)+N(GC10)+N(GG10)+N(GK10)+N(GO10)+N(GS10)</f>
        <v/>
      </c>
      <c r="FM10">
        <f>(FQ10&gt;0.005)*1+(FU10&gt;0.005)*1+(FY10&gt;0.005)*1+(GC10&gt;0.005)*1+(GG10&gt;0.005)*1+(GK10&gt;0.005)*1+(GO10&gt;0.005)*1+(GS10&gt;0.005)*1</f>
        <v/>
      </c>
      <c r="FN10">
        <f>N(FQ9)</f>
        <v/>
      </c>
      <c r="FO10">
        <f>IF(N(FN10)&lt;=0.005,0,ROUND(N(FN10)*N('Debt List'!E5)/12,2))</f>
        <v/>
      </c>
      <c r="FP10">
        <f>IF(N(FN10)&lt;=0.005,0,MIN(N('Debt List'!F5),N(FN10)+N(FO10)))+((GT10=1)*GV10+(GX10=1)*GZ10+(HB10=1)*HD10+(HF10=1)*HH10+(HJ10=1)*HL10+(HN10=1)*HP10+(HR10=1)*HT10+(HV10=1)*HX10)</f>
        <v/>
      </c>
      <c r="FQ10">
        <f>MAX(0,ROUND(N(FN10)+N(FO10)-N(FP10),2))</f>
        <v/>
      </c>
      <c r="FR10">
        <f>N(FU9)</f>
        <v/>
      </c>
      <c r="FS10">
        <f>IF(N(FR10)&lt;=0.005,0,ROUND(N(FR10)*N('Debt List'!E6)/12,2))</f>
        <v/>
      </c>
      <c r="FT10">
        <f>IF(N(FR10)&lt;=0.005,0,MIN(N('Debt List'!F6),N(FR10)+N(FS10)))+((GT10=2)*GV10+(GX10=2)*GZ10+(HB10=2)*HD10+(HF10=2)*HH10+(HJ10=2)*HL10+(HN10=2)*HP10+(HR10=2)*HT10+(HV10=2)*HX10)</f>
        <v/>
      </c>
      <c r="FU10">
        <f>MAX(0,ROUND(N(FR10)+N(FS10)-N(FT10),2))</f>
        <v/>
      </c>
      <c r="FV10">
        <f>N(FY9)</f>
        <v/>
      </c>
      <c r="FW10">
        <f>IF(N(FV10)&lt;=0.005,0,ROUND(N(FV10)*N('Debt List'!E7)/12,2))</f>
        <v/>
      </c>
      <c r="FX10">
        <f>IF(N(FV10)&lt;=0.005,0,MIN(N('Debt List'!F7),N(FV10)+N(FW10)))+((GT10=3)*GV10+(GX10=3)*GZ10+(HB10=3)*HD10+(HF10=3)*HH10+(HJ10=3)*HL10+(HN10=3)*HP10+(HR10=3)*HT10+(HV10=3)*HX10)</f>
        <v/>
      </c>
      <c r="FY10">
        <f>MAX(0,ROUND(N(FV10)+N(FW10)-N(FX10),2))</f>
        <v/>
      </c>
      <c r="FZ10">
        <f>N(GC9)</f>
        <v/>
      </c>
      <c r="GA10">
        <f>IF(N(FZ10)&lt;=0.005,0,ROUND(N(FZ10)*N('Debt List'!E8)/12,2))</f>
        <v/>
      </c>
      <c r="GB10">
        <f>IF(N(FZ10)&lt;=0.005,0,MIN(N('Debt List'!F8),N(FZ10)+N(GA10)))+((GT10=4)*GV10+(GX10=4)*GZ10+(HB10=4)*HD10+(HF10=4)*HH10+(HJ10=4)*HL10+(HN10=4)*HP10+(HR10=4)*HT10+(HV10=4)*HX10)</f>
        <v/>
      </c>
      <c r="GC10">
        <f>MAX(0,ROUND(N(FZ10)+N(GA10)-N(GB10),2))</f>
        <v/>
      </c>
      <c r="GD10">
        <f>N(GG9)</f>
        <v/>
      </c>
      <c r="GE10">
        <f>IF(N(GD10)&lt;=0.005,0,ROUND(N(GD10)*N('Debt List'!E9)/12,2))</f>
        <v/>
      </c>
      <c r="GF10">
        <f>IF(N(GD10)&lt;=0.005,0,MIN(N('Debt List'!F9),N(GD10)+N(GE10)))+((GT10=5)*GV10+(GX10=5)*GZ10+(HB10=5)*HD10+(HF10=5)*HH10+(HJ10=5)*HL10+(HN10=5)*HP10+(HR10=5)*HT10+(HV10=5)*HX10)</f>
        <v/>
      </c>
      <c r="GG10">
        <f>MAX(0,ROUND(N(GD10)+N(GE10)-N(GF10),2))</f>
        <v/>
      </c>
      <c r="GH10">
        <f>N(GK9)</f>
        <v/>
      </c>
      <c r="GI10">
        <f>IF(N(GH10)&lt;=0.005,0,ROUND(N(GH10)*N('Debt List'!E10)/12,2))</f>
        <v/>
      </c>
      <c r="GJ10">
        <f>IF(N(GH10)&lt;=0.005,0,MIN(N('Debt List'!F10),N(GH10)+N(GI10)))+((GT10=6)*GV10+(GX10=6)*GZ10+(HB10=6)*HD10+(HF10=6)*HH10+(HJ10=6)*HL10+(HN10=6)*HP10+(HR10=6)*HT10+(HV10=6)*HX10)</f>
        <v/>
      </c>
      <c r="GK10">
        <f>MAX(0,ROUND(N(GH10)+N(GI10)-N(GJ10),2))</f>
        <v/>
      </c>
      <c r="GL10">
        <f>N(GO9)</f>
        <v/>
      </c>
      <c r="GM10">
        <f>IF(N(GL10)&lt;=0.005,0,ROUND(N(GL10)*N('Debt List'!E11)/12,2))</f>
        <v/>
      </c>
      <c r="GN10">
        <f>IF(N(GL10)&lt;=0.005,0,MIN(N('Debt List'!F11),N(GL10)+N(GM10)))+((GT10=7)*GV10+(GX10=7)*GZ10+(HB10=7)*HD10+(HF10=7)*HH10+(HJ10=7)*HL10+(HN10=7)*HP10+(HR10=7)*HT10+(HV10=7)*HX10)</f>
        <v/>
      </c>
      <c r="GO10">
        <f>MAX(0,ROUND(N(GL10)+N(GM10)-N(GN10),2))</f>
        <v/>
      </c>
      <c r="GP10">
        <f>N(GS9)</f>
        <v/>
      </c>
      <c r="GQ10">
        <f>IF(N(GP10)&lt;=0.005,0,ROUND(N(GP10)*N('Debt List'!E12)/12,2))</f>
        <v/>
      </c>
      <c r="GR10">
        <f>IF(N(GP10)&lt;=0.005,0,MIN(N('Debt List'!F12),N(GP10)+N(GQ10)))+((GT10=8)*GV10+(GX10=8)*GZ10+(HB10=8)*HD10+(HF10=8)*HH10+(HJ10=8)*HL10+(HN10=8)*HP10+(HR10=8)*HT10+(HV10=8)*HX10)</f>
        <v/>
      </c>
      <c r="GS10">
        <f>MAX(0,ROUND(N(GP10)+N(GQ10)-N(GR10),2))</f>
        <v/>
      </c>
      <c r="GT10">
        <f>IFERROR(MATCH(1,OrderAval,0),"")</f>
        <v/>
      </c>
      <c r="GU10">
        <f>IF(GT10="",0,IFERROR(IF(N(CHOOSE(GT10,FN10,FR10,FV10,FZ10,GD10,GH10,GL10,GP10))&lt;=0.005,0,MAX(0,N(CHOOSE(GT10,FN10,FR10,FV10,FZ10,GD10,GH10,GL10,GP10))+N(CHOOSE(GT10,FO10,FS10,FW10,GA10,GE10,GI10,GM10,GQ10))-MIN(N(CHOOSE(GT10,'Debt List'!$F$5,'Debt List'!$F$6,'Debt List'!$F$7,'Debt List'!$F$8,'Debt List'!$F$9,'Debt List'!$F$10,'Debt List'!$F$11,'Debt List'!$F$12)),N(CHOOSE(GT10,FN10,FR10,FV10,FZ10,GD10,GH10,GL10,GP10))+N(CHOOSE(GT10,FO10,FS10,FW10,GA10,GE10,GI10,GM10,GQ10))))),0))</f>
        <v/>
      </c>
      <c r="GV10">
        <f>MIN(N(GU10),MAX(0,N(ExtraPayment)))</f>
        <v/>
      </c>
      <c r="GW10">
        <f>MAX(0,N(ExtraPayment)-N(GV10))</f>
        <v/>
      </c>
      <c r="GX10">
        <f>IFERROR(MATCH(2,OrderAval,0),"")</f>
        <v/>
      </c>
      <c r="GY10">
        <f>IF(GX10="",0,IFERROR(IF(N(CHOOSE(GX10,FN10,FR10,FV10,FZ10,GD10,GH10,GL10,GP10))&lt;=0.005,0,MAX(0,N(CHOOSE(GX10,FN10,FR10,FV10,FZ10,GD10,GH10,GL10,GP10))+N(CHOOSE(GX10,FO10,FS10,FW10,GA10,GE10,GI10,GM10,GQ10))-MIN(N(CHOOSE(GX10,'Debt List'!$F$5,'Debt List'!$F$6,'Debt List'!$F$7,'Debt List'!$F$8,'Debt List'!$F$9,'Debt List'!$F$10,'Debt List'!$F$11,'Debt List'!$F$12)),N(CHOOSE(GX10,FN10,FR10,FV10,FZ10,GD10,GH10,GL10,GP10))+N(CHOOSE(GX10,FO10,FS10,FW10,GA10,GE10,GI10,GM10,GQ10))))),0))</f>
        <v/>
      </c>
      <c r="GZ10">
        <f>MIN(N(GY10),MAX(0,N(GW10)))</f>
        <v/>
      </c>
      <c r="HA10">
        <f>MAX(0,N(GW10)-N(GZ10))</f>
        <v/>
      </c>
      <c r="HB10">
        <f>IFERROR(MATCH(3,OrderAval,0),"")</f>
        <v/>
      </c>
      <c r="HC10">
        <f>IF(HB10="",0,IFERROR(IF(N(CHOOSE(HB10,FN10,FR10,FV10,FZ10,GD10,GH10,GL10,GP10))&lt;=0.005,0,MAX(0,N(CHOOSE(HB10,FN10,FR10,FV10,FZ10,GD10,GH10,GL10,GP10))+N(CHOOSE(HB10,FO10,FS10,FW10,GA10,GE10,GI10,GM10,GQ10))-MIN(N(CHOOSE(HB10,'Debt List'!$F$5,'Debt List'!$F$6,'Debt List'!$F$7,'Debt List'!$F$8,'Debt List'!$F$9,'Debt List'!$F$10,'Debt List'!$F$11,'Debt List'!$F$12)),N(CHOOSE(HB10,FN10,FR10,FV10,FZ10,GD10,GH10,GL10,GP10))+N(CHOOSE(HB10,FO10,FS10,FW10,GA10,GE10,GI10,GM10,GQ10))))),0))</f>
        <v/>
      </c>
      <c r="HD10">
        <f>MIN(N(HC10),MAX(0,N(HA10)))</f>
        <v/>
      </c>
      <c r="HE10">
        <f>MAX(0,N(HA10)-N(HD10))</f>
        <v/>
      </c>
      <c r="HF10">
        <f>IFERROR(MATCH(4,OrderAval,0),"")</f>
        <v/>
      </c>
      <c r="HG10">
        <f>IF(HF10="",0,IFERROR(IF(N(CHOOSE(HF10,FN10,FR10,FV10,FZ10,GD10,GH10,GL10,GP10))&lt;=0.005,0,MAX(0,N(CHOOSE(HF10,FN10,FR10,FV10,FZ10,GD10,GH10,GL10,GP10))+N(CHOOSE(HF10,FO10,FS10,FW10,GA10,GE10,GI10,GM10,GQ10))-MIN(N(CHOOSE(HF10,'Debt List'!$F$5,'Debt List'!$F$6,'Debt List'!$F$7,'Debt List'!$F$8,'Debt List'!$F$9,'Debt List'!$F$10,'Debt List'!$F$11,'Debt List'!$F$12)),N(CHOOSE(HF10,FN10,FR10,FV10,FZ10,GD10,GH10,GL10,GP10))+N(CHOOSE(HF10,FO10,FS10,FW10,GA10,GE10,GI10,GM10,GQ10))))),0))</f>
        <v/>
      </c>
      <c r="HH10">
        <f>MIN(N(HG10),MAX(0,N(HE10)))</f>
        <v/>
      </c>
      <c r="HI10">
        <f>MAX(0,N(HE10)-N(HH10))</f>
        <v/>
      </c>
      <c r="HJ10">
        <f>IFERROR(MATCH(5,OrderAval,0),"")</f>
        <v/>
      </c>
      <c r="HK10">
        <f>IF(HJ10="",0,IFERROR(IF(N(CHOOSE(HJ10,FN10,FR10,FV10,FZ10,GD10,GH10,GL10,GP10))&lt;=0.005,0,MAX(0,N(CHOOSE(HJ10,FN10,FR10,FV10,FZ10,GD10,GH10,GL10,GP10))+N(CHOOSE(HJ10,FO10,FS10,FW10,GA10,GE10,GI10,GM10,GQ10))-MIN(N(CHOOSE(HJ10,'Debt List'!$F$5,'Debt List'!$F$6,'Debt List'!$F$7,'Debt List'!$F$8,'Debt List'!$F$9,'Debt List'!$F$10,'Debt List'!$F$11,'Debt List'!$F$12)),N(CHOOSE(HJ10,FN10,FR10,FV10,FZ10,GD10,GH10,GL10,GP10))+N(CHOOSE(HJ10,FO10,FS10,FW10,GA10,GE10,GI10,GM10,GQ10))))),0))</f>
        <v/>
      </c>
      <c r="HL10">
        <f>MIN(N(HK10),MAX(0,N(HI10)))</f>
        <v/>
      </c>
      <c r="HM10">
        <f>MAX(0,N(HI10)-N(HL10))</f>
        <v/>
      </c>
      <c r="HN10">
        <f>IFERROR(MATCH(6,OrderAval,0),"")</f>
        <v/>
      </c>
      <c r="HO10">
        <f>IF(HN10="",0,IFERROR(IF(N(CHOOSE(HN10,FN10,FR10,FV10,FZ10,GD10,GH10,GL10,GP10))&lt;=0.005,0,MAX(0,N(CHOOSE(HN10,FN10,FR10,FV10,FZ10,GD10,GH10,GL10,GP10))+N(CHOOSE(HN10,FO10,FS10,FW10,GA10,GE10,GI10,GM10,GQ10))-MIN(N(CHOOSE(HN10,'Debt List'!$F$5,'Debt List'!$F$6,'Debt List'!$F$7,'Debt List'!$F$8,'Debt List'!$F$9,'Debt List'!$F$10,'Debt List'!$F$11,'Debt List'!$F$12)),N(CHOOSE(HN10,FN10,FR10,FV10,FZ10,GD10,GH10,GL10,GP10))+N(CHOOSE(HN10,FO10,FS10,FW10,GA10,GE10,GI10,GM10,GQ10))))),0))</f>
        <v/>
      </c>
      <c r="HP10">
        <f>MIN(N(HO10),MAX(0,N(HM10)))</f>
        <v/>
      </c>
      <c r="HQ10">
        <f>MAX(0,N(HM10)-N(HP10))</f>
        <v/>
      </c>
      <c r="HR10">
        <f>IFERROR(MATCH(7,OrderAval,0),"")</f>
        <v/>
      </c>
      <c r="HS10">
        <f>IF(HR10="",0,IFERROR(IF(N(CHOOSE(HR10,FN10,FR10,FV10,FZ10,GD10,GH10,GL10,GP10))&lt;=0.005,0,MAX(0,N(CHOOSE(HR10,FN10,FR10,FV10,FZ10,GD10,GH10,GL10,GP10))+N(CHOOSE(HR10,FO10,FS10,FW10,GA10,GE10,GI10,GM10,GQ10))-MIN(N(CHOOSE(HR10,'Debt List'!$F$5,'Debt List'!$F$6,'Debt List'!$F$7,'Debt List'!$F$8,'Debt List'!$F$9,'Debt List'!$F$10,'Debt List'!$F$11,'Debt List'!$F$12)),N(CHOOSE(HR10,FN10,FR10,FV10,FZ10,GD10,GH10,GL10,GP10))+N(CHOOSE(HR10,FO10,FS10,FW10,GA10,GE10,GI10,GM10,GQ10))))),0))</f>
        <v/>
      </c>
      <c r="HT10">
        <f>MIN(N(HS10),MAX(0,N(HQ10)))</f>
        <v/>
      </c>
      <c r="HU10">
        <f>MAX(0,N(HQ10)-N(HT10))</f>
        <v/>
      </c>
      <c r="HV10">
        <f>IFERROR(MATCH(8,OrderAval,0),"")</f>
        <v/>
      </c>
      <c r="HW10">
        <f>IF(HV10="",0,IFERROR(IF(N(CHOOSE(HV10,FN10,FR10,FV10,FZ10,GD10,GH10,GL10,GP10))&lt;=0.005,0,MAX(0,N(CHOOSE(HV10,FN10,FR10,FV10,FZ10,GD10,GH10,GL10,GP10))+N(CHOOSE(HV10,FO10,FS10,FW10,GA10,GE10,GI10,GM10,GQ10))-MIN(N(CHOOSE(HV10,'Debt List'!$F$5,'Debt List'!$F$6,'Debt List'!$F$7,'Debt List'!$F$8,'Debt List'!$F$9,'Debt List'!$F$10,'Debt List'!$F$11,'Debt List'!$F$12)),N(CHOOSE(HV10,FN10,FR10,FV10,FZ10,GD10,GH10,GL10,GP10))+N(CHOOSE(HV10,FO10,FS10,FW10,GA10,GE10,GI10,GM10,GQ10))))),0))</f>
        <v/>
      </c>
      <c r="HX10">
        <f>MIN(N(HW10),MAX(0,N(HU10)))</f>
        <v/>
      </c>
      <c r="HY10">
        <f>MAX(0,N(HU10)-N(HX10))</f>
        <v/>
      </c>
    </row>
    <row r="11">
      <c r="A11" t="n">
        <v>7</v>
      </c>
      <c r="B11" s="115">
        <f>DATE(YEAR(PlanStart),MONTH(PlanStart)+A11-1,1)</f>
        <v/>
      </c>
      <c r="C11">
        <f>IF(AND(AP11&lt;&gt;"",N(CHOOSE(AP11,J11,N11,R11,V11,Z11,AD11,AH11,AL11))&gt;0.005),INDEX(DebtNames,AP11),IF(AND(AT11&lt;&gt;"",N(CHOOSE(AT11,J11,N11,R11,V11,Z11,AD11,AH11,AL11))&gt;0.005),INDEX(DebtNames,AT11),IF(AND(AX11&lt;&gt;"",N(CHOOSE(AX11,J11,N11,R11,V11,Z11,AD11,AH11,AL11))&gt;0.005),INDEX(DebtNames,AX11),IF(AND(BB11&lt;&gt;"",N(CHOOSE(BB11,J11,N11,R11,V11,Z11,AD11,AH11,AL11))&gt;0.005),INDEX(DebtNames,BB11),IF(AND(BF11&lt;&gt;"",N(CHOOSE(BF11,J11,N11,R11,V11,Z11,AD11,AH11,AL11))&gt;0.005),INDEX(DebtNames,BF11),IF(AND(BJ11&lt;&gt;"",N(CHOOSE(BJ11,J11,N11,R11,V11,Z11,AD11,AH11,AL11))&gt;0.005),INDEX(DebtNames,BJ11),IF(AND(BN11&lt;&gt;"",N(CHOOSE(BN11,J11,N11,R11,V11,Z11,AD11,AH11,AL11))&gt;0.005),INDEX(DebtNames,BN11),IF(AND(BR11&lt;&gt;"",N(CHOOSE(BR11,J11,N11,R11,V11,Z11,AD11,AH11,AL11))&gt;0.005),INDEX(DebtNames,BR11),""))))))))</f>
        <v/>
      </c>
      <c r="D11">
        <f>N(BU11)</f>
        <v/>
      </c>
      <c r="E11">
        <f>N(L11)+N(P11)+N(T11)+N(X11)+N(AB11)+N(AF11)+N(AJ11)+N(AN11)</f>
        <v/>
      </c>
      <c r="F11">
        <f>N(K11)+N(O11)+N(S11)+N(W11)+N(AA11)+N(AE11)+N(AI11)+N(AM11)</f>
        <v/>
      </c>
      <c r="G11">
        <f>N(G10)+N(F11)</f>
        <v/>
      </c>
      <c r="H11">
        <f>N(M11)+N(Q11)+N(U11)+N(Y11)+N(AC11)+N(AG11)+N(AK11)+N(AO11)</f>
        <v/>
      </c>
      <c r="I11">
        <f>(M11&gt;0.005)*1+(Q11&gt;0.005)*1+(U11&gt;0.005)*1+(Y11&gt;0.005)*1+(AC11&gt;0.005)*1+(AG11&gt;0.005)*1+(AK11&gt;0.005)*1+(AO11&gt;0.005)*1</f>
        <v/>
      </c>
      <c r="J11">
        <f>N(M10)</f>
        <v/>
      </c>
      <c r="K11">
        <f>IF(N(J11)&lt;=0.005,0,ROUND(N(J11)*N('Debt List'!E5)/12,2))</f>
        <v/>
      </c>
      <c r="L11">
        <f>IF(N(J11)&lt;=0.005,0,MIN(N('Debt List'!F5),N(J11)+N(K11)))+((AP11=1)*AR11+(AT11=1)*AV11+(AX11=1)*AZ11+(BB11=1)*BD11+(BF11=1)*BH11+(BJ11=1)*BL11+(BN11=1)*BP11+(BR11=1)*BT11)</f>
        <v/>
      </c>
      <c r="M11">
        <f>MAX(0,ROUND(N(J11)+N(K11)-N(L11),2))</f>
        <v/>
      </c>
      <c r="N11">
        <f>N(Q10)</f>
        <v/>
      </c>
      <c r="O11">
        <f>IF(N(N11)&lt;=0.005,0,ROUND(N(N11)*N('Debt List'!E6)/12,2))</f>
        <v/>
      </c>
      <c r="P11">
        <f>IF(N(N11)&lt;=0.005,0,MIN(N('Debt List'!F6),N(N11)+N(O11)))+((AP11=2)*AR11+(AT11=2)*AV11+(AX11=2)*AZ11+(BB11=2)*BD11+(BF11=2)*BH11+(BJ11=2)*BL11+(BN11=2)*BP11+(BR11=2)*BT11)</f>
        <v/>
      </c>
      <c r="Q11">
        <f>MAX(0,ROUND(N(N11)+N(O11)-N(P11),2))</f>
        <v/>
      </c>
      <c r="R11">
        <f>N(U10)</f>
        <v/>
      </c>
      <c r="S11">
        <f>IF(N(R11)&lt;=0.005,0,ROUND(N(R11)*N('Debt List'!E7)/12,2))</f>
        <v/>
      </c>
      <c r="T11">
        <f>IF(N(R11)&lt;=0.005,0,MIN(N('Debt List'!F7),N(R11)+N(S11)))+((AP11=3)*AR11+(AT11=3)*AV11+(AX11=3)*AZ11+(BB11=3)*BD11+(BF11=3)*BH11+(BJ11=3)*BL11+(BN11=3)*BP11+(BR11=3)*BT11)</f>
        <v/>
      </c>
      <c r="U11">
        <f>MAX(0,ROUND(N(R11)+N(S11)-N(T11),2))</f>
        <v/>
      </c>
      <c r="V11">
        <f>N(Y10)</f>
        <v/>
      </c>
      <c r="W11">
        <f>IF(N(V11)&lt;=0.005,0,ROUND(N(V11)*N('Debt List'!E8)/12,2))</f>
        <v/>
      </c>
      <c r="X11">
        <f>IF(N(V11)&lt;=0.005,0,MIN(N('Debt List'!F8),N(V11)+N(W11)))+((AP11=4)*AR11+(AT11=4)*AV11+(AX11=4)*AZ11+(BB11=4)*BD11+(BF11=4)*BH11+(BJ11=4)*BL11+(BN11=4)*BP11+(BR11=4)*BT11)</f>
        <v/>
      </c>
      <c r="Y11">
        <f>MAX(0,ROUND(N(V11)+N(W11)-N(X11),2))</f>
        <v/>
      </c>
      <c r="Z11">
        <f>N(AC10)</f>
        <v/>
      </c>
      <c r="AA11">
        <f>IF(N(Z11)&lt;=0.005,0,ROUND(N(Z11)*N('Debt List'!E9)/12,2))</f>
        <v/>
      </c>
      <c r="AB11">
        <f>IF(N(Z11)&lt;=0.005,0,MIN(N('Debt List'!F9),N(Z11)+N(AA11)))+((AP11=5)*AR11+(AT11=5)*AV11+(AX11=5)*AZ11+(BB11=5)*BD11+(BF11=5)*BH11+(BJ11=5)*BL11+(BN11=5)*BP11+(BR11=5)*BT11)</f>
        <v/>
      </c>
      <c r="AC11">
        <f>MAX(0,ROUND(N(Z11)+N(AA11)-N(AB11),2))</f>
        <v/>
      </c>
      <c r="AD11">
        <f>N(AG10)</f>
        <v/>
      </c>
      <c r="AE11">
        <f>IF(N(AD11)&lt;=0.005,0,ROUND(N(AD11)*N('Debt List'!E10)/12,2))</f>
        <v/>
      </c>
      <c r="AF11">
        <f>IF(N(AD11)&lt;=0.005,0,MIN(N('Debt List'!F10),N(AD11)+N(AE11)))+((AP11=6)*AR11+(AT11=6)*AV11+(AX11=6)*AZ11+(BB11=6)*BD11+(BF11=6)*BH11+(BJ11=6)*BL11+(BN11=6)*BP11+(BR11=6)*BT11)</f>
        <v/>
      </c>
      <c r="AG11">
        <f>MAX(0,ROUND(N(AD11)+N(AE11)-N(AF11),2))</f>
        <v/>
      </c>
      <c r="AH11">
        <f>N(AK10)</f>
        <v/>
      </c>
      <c r="AI11">
        <f>IF(N(AH11)&lt;=0.005,0,ROUND(N(AH11)*N('Debt List'!E11)/12,2))</f>
        <v/>
      </c>
      <c r="AJ11">
        <f>IF(N(AH11)&lt;=0.005,0,MIN(N('Debt List'!F11),N(AH11)+N(AI11)))+((AP11=7)*AR11+(AT11=7)*AV11+(AX11=7)*AZ11+(BB11=7)*BD11+(BF11=7)*BH11+(BJ11=7)*BL11+(BN11=7)*BP11+(BR11=7)*BT11)</f>
        <v/>
      </c>
      <c r="AK11">
        <f>MAX(0,ROUND(N(AH11)+N(AI11)-N(AJ11),2))</f>
        <v/>
      </c>
      <c r="AL11">
        <f>N(AO10)</f>
        <v/>
      </c>
      <c r="AM11">
        <f>IF(N(AL11)&lt;=0.005,0,ROUND(N(AL11)*N('Debt List'!E12)/12,2))</f>
        <v/>
      </c>
      <c r="AN11">
        <f>IF(N(AL11)&lt;=0.005,0,MIN(N('Debt List'!F12),N(AL11)+N(AM11)))+((AP11=8)*AR11+(AT11=8)*AV11+(AX11=8)*AZ11+(BB11=8)*BD11+(BF11=8)*BH11+(BJ11=8)*BL11+(BN11=8)*BP11+(BR11=8)*BT11)</f>
        <v/>
      </c>
      <c r="AO11">
        <f>MAX(0,ROUND(N(AL11)+N(AM11)-N(AN11),2))</f>
        <v/>
      </c>
      <c r="AP11">
        <f>IFERROR(MATCH(1,OrderPlan,0),"")</f>
        <v/>
      </c>
      <c r="AQ11">
        <f>IF(AP11="",0,IFERROR(IF(N(CHOOSE(AP11,J11,N11,R11,V11,Z11,AD11,AH11,AL11))&lt;=0.005,0,MAX(0,N(CHOOSE(AP11,J11,N11,R11,V11,Z11,AD11,AH11,AL11))+N(CHOOSE(AP11,K11,O11,S11,W11,AA11,AE11,AI11,AM11))-MIN(N(CHOOSE(AP11,'Debt List'!$F$5,'Debt List'!$F$6,'Debt List'!$F$7,'Debt List'!$F$8,'Debt List'!$F$9,'Debt List'!$F$10,'Debt List'!$F$11,'Debt List'!$F$12)),N(CHOOSE(AP11,J11,N11,R11,V11,Z11,AD11,AH11,AL11))+N(CHOOSE(AP11,K11,O11,S11,W11,AA11,AE11,AI11,AM11))))),0))</f>
        <v/>
      </c>
      <c r="AR11">
        <f>MIN(N(AQ11),MAX(0,N(ExtraPayment)))</f>
        <v/>
      </c>
      <c r="AS11">
        <f>MAX(0,N(ExtraPayment)-N(AR11))</f>
        <v/>
      </c>
      <c r="AT11">
        <f>IFERROR(MATCH(2,OrderPlan,0),"")</f>
        <v/>
      </c>
      <c r="AU11">
        <f>IF(AT11="",0,IFERROR(IF(N(CHOOSE(AT11,J11,N11,R11,V11,Z11,AD11,AH11,AL11))&lt;=0.005,0,MAX(0,N(CHOOSE(AT11,J11,N11,R11,V11,Z11,AD11,AH11,AL11))+N(CHOOSE(AT11,K11,O11,S11,W11,AA11,AE11,AI11,AM11))-MIN(N(CHOOSE(AT11,'Debt List'!$F$5,'Debt List'!$F$6,'Debt List'!$F$7,'Debt List'!$F$8,'Debt List'!$F$9,'Debt List'!$F$10,'Debt List'!$F$11,'Debt List'!$F$12)),N(CHOOSE(AT11,J11,N11,R11,V11,Z11,AD11,AH11,AL11))+N(CHOOSE(AT11,K11,O11,S11,W11,AA11,AE11,AI11,AM11))))),0))</f>
        <v/>
      </c>
      <c r="AV11">
        <f>MIN(N(AU11),MAX(0,N(AS11)))</f>
        <v/>
      </c>
      <c r="AW11">
        <f>MAX(0,N(AS11)-N(AV11))</f>
        <v/>
      </c>
      <c r="AX11">
        <f>IFERROR(MATCH(3,OrderPlan,0),"")</f>
        <v/>
      </c>
      <c r="AY11">
        <f>IF(AX11="",0,IFERROR(IF(N(CHOOSE(AX11,J11,N11,R11,V11,Z11,AD11,AH11,AL11))&lt;=0.005,0,MAX(0,N(CHOOSE(AX11,J11,N11,R11,V11,Z11,AD11,AH11,AL11))+N(CHOOSE(AX11,K11,O11,S11,W11,AA11,AE11,AI11,AM11))-MIN(N(CHOOSE(AX11,'Debt List'!$F$5,'Debt List'!$F$6,'Debt List'!$F$7,'Debt List'!$F$8,'Debt List'!$F$9,'Debt List'!$F$10,'Debt List'!$F$11,'Debt List'!$F$12)),N(CHOOSE(AX11,J11,N11,R11,V11,Z11,AD11,AH11,AL11))+N(CHOOSE(AX11,K11,O11,S11,W11,AA11,AE11,AI11,AM11))))),0))</f>
        <v/>
      </c>
      <c r="AZ11">
        <f>MIN(N(AY11),MAX(0,N(AW11)))</f>
        <v/>
      </c>
      <c r="BA11">
        <f>MAX(0,N(AW11)-N(AZ11))</f>
        <v/>
      </c>
      <c r="BB11">
        <f>IFERROR(MATCH(4,OrderPlan,0),"")</f>
        <v/>
      </c>
      <c r="BC11">
        <f>IF(BB11="",0,IFERROR(IF(N(CHOOSE(BB11,J11,N11,R11,V11,Z11,AD11,AH11,AL11))&lt;=0.005,0,MAX(0,N(CHOOSE(BB11,J11,N11,R11,V11,Z11,AD11,AH11,AL11))+N(CHOOSE(BB11,K11,O11,S11,W11,AA11,AE11,AI11,AM11))-MIN(N(CHOOSE(BB11,'Debt List'!$F$5,'Debt List'!$F$6,'Debt List'!$F$7,'Debt List'!$F$8,'Debt List'!$F$9,'Debt List'!$F$10,'Debt List'!$F$11,'Debt List'!$F$12)),N(CHOOSE(BB11,J11,N11,R11,V11,Z11,AD11,AH11,AL11))+N(CHOOSE(BB11,K11,O11,S11,W11,AA11,AE11,AI11,AM11))))),0))</f>
        <v/>
      </c>
      <c r="BD11">
        <f>MIN(N(BC11),MAX(0,N(BA11)))</f>
        <v/>
      </c>
      <c r="BE11">
        <f>MAX(0,N(BA11)-N(BD11))</f>
        <v/>
      </c>
      <c r="BF11">
        <f>IFERROR(MATCH(5,OrderPlan,0),"")</f>
        <v/>
      </c>
      <c r="BG11">
        <f>IF(BF11="",0,IFERROR(IF(N(CHOOSE(BF11,J11,N11,R11,V11,Z11,AD11,AH11,AL11))&lt;=0.005,0,MAX(0,N(CHOOSE(BF11,J11,N11,R11,V11,Z11,AD11,AH11,AL11))+N(CHOOSE(BF11,K11,O11,S11,W11,AA11,AE11,AI11,AM11))-MIN(N(CHOOSE(BF11,'Debt List'!$F$5,'Debt List'!$F$6,'Debt List'!$F$7,'Debt List'!$F$8,'Debt List'!$F$9,'Debt List'!$F$10,'Debt List'!$F$11,'Debt List'!$F$12)),N(CHOOSE(BF11,J11,N11,R11,V11,Z11,AD11,AH11,AL11))+N(CHOOSE(BF11,K11,O11,S11,W11,AA11,AE11,AI11,AM11))))),0))</f>
        <v/>
      </c>
      <c r="BH11">
        <f>MIN(N(BG11),MAX(0,N(BE11)))</f>
        <v/>
      </c>
      <c r="BI11">
        <f>MAX(0,N(BE11)-N(BH11))</f>
        <v/>
      </c>
      <c r="BJ11">
        <f>IFERROR(MATCH(6,OrderPlan,0),"")</f>
        <v/>
      </c>
      <c r="BK11">
        <f>IF(BJ11="",0,IFERROR(IF(N(CHOOSE(BJ11,J11,N11,R11,V11,Z11,AD11,AH11,AL11))&lt;=0.005,0,MAX(0,N(CHOOSE(BJ11,J11,N11,R11,V11,Z11,AD11,AH11,AL11))+N(CHOOSE(BJ11,K11,O11,S11,W11,AA11,AE11,AI11,AM11))-MIN(N(CHOOSE(BJ11,'Debt List'!$F$5,'Debt List'!$F$6,'Debt List'!$F$7,'Debt List'!$F$8,'Debt List'!$F$9,'Debt List'!$F$10,'Debt List'!$F$11,'Debt List'!$F$12)),N(CHOOSE(BJ11,J11,N11,R11,V11,Z11,AD11,AH11,AL11))+N(CHOOSE(BJ11,K11,O11,S11,W11,AA11,AE11,AI11,AM11))))),0))</f>
        <v/>
      </c>
      <c r="BL11">
        <f>MIN(N(BK11),MAX(0,N(BI11)))</f>
        <v/>
      </c>
      <c r="BM11">
        <f>MAX(0,N(BI11)-N(BL11))</f>
        <v/>
      </c>
      <c r="BN11">
        <f>IFERROR(MATCH(7,OrderPlan,0),"")</f>
        <v/>
      </c>
      <c r="BO11">
        <f>IF(BN11="",0,IFERROR(IF(N(CHOOSE(BN11,J11,N11,R11,V11,Z11,AD11,AH11,AL11))&lt;=0.005,0,MAX(0,N(CHOOSE(BN11,J11,N11,R11,V11,Z11,AD11,AH11,AL11))+N(CHOOSE(BN11,K11,O11,S11,W11,AA11,AE11,AI11,AM11))-MIN(N(CHOOSE(BN11,'Debt List'!$F$5,'Debt List'!$F$6,'Debt List'!$F$7,'Debt List'!$F$8,'Debt List'!$F$9,'Debt List'!$F$10,'Debt List'!$F$11,'Debt List'!$F$12)),N(CHOOSE(BN11,J11,N11,R11,V11,Z11,AD11,AH11,AL11))+N(CHOOSE(BN11,K11,O11,S11,W11,AA11,AE11,AI11,AM11))))),0))</f>
        <v/>
      </c>
      <c r="BP11">
        <f>MIN(N(BO11),MAX(0,N(BM11)))</f>
        <v/>
      </c>
      <c r="BQ11">
        <f>MAX(0,N(BM11)-N(BP11))</f>
        <v/>
      </c>
      <c r="BR11">
        <f>IFERROR(MATCH(8,OrderPlan,0),"")</f>
        <v/>
      </c>
      <c r="BS11">
        <f>IF(BR11="",0,IFERROR(IF(N(CHOOSE(BR11,J11,N11,R11,V11,Z11,AD11,AH11,AL11))&lt;=0.005,0,MAX(0,N(CHOOSE(BR11,J11,N11,R11,V11,Z11,AD11,AH11,AL11))+N(CHOOSE(BR11,K11,O11,S11,W11,AA11,AE11,AI11,AM11))-MIN(N(CHOOSE(BR11,'Debt List'!$F$5,'Debt List'!$F$6,'Debt List'!$F$7,'Debt List'!$F$8,'Debt List'!$F$9,'Debt List'!$F$10,'Debt List'!$F$11,'Debt List'!$F$12)),N(CHOOSE(BR11,J11,N11,R11,V11,Z11,AD11,AH11,AL11))+N(CHOOSE(BR11,K11,O11,S11,W11,AA11,AE11,AI11,AM11))))),0))</f>
        <v/>
      </c>
      <c r="BT11">
        <f>MIN(N(BS11),MAX(0,N(BQ11)))</f>
        <v/>
      </c>
      <c r="BU11">
        <f>MAX(0,N(BQ11)-N(BT11))</f>
        <v/>
      </c>
      <c r="CC11" t="n">
        <v>7</v>
      </c>
      <c r="CD11" s="115">
        <f>DATE(YEAR(PlanStart),MONTH(PlanStart)+CC11-1,1)</f>
        <v/>
      </c>
      <c r="CE11">
        <f>IF(AND(DR11&lt;&gt;"",N(CHOOSE(DR11,CL11,CP11,CT11,CX11,DB11,DF11,DJ11,DN11))&gt;0.005),INDEX(DebtNames,DR11),IF(AND(DV11&lt;&gt;"",N(CHOOSE(DV11,CL11,CP11,CT11,CX11,DB11,DF11,DJ11,DN11))&gt;0.005),INDEX(DebtNames,DV11),IF(AND(DZ11&lt;&gt;"",N(CHOOSE(DZ11,CL11,CP11,CT11,CX11,DB11,DF11,DJ11,DN11))&gt;0.005),INDEX(DebtNames,DZ11),IF(AND(ED11&lt;&gt;"",N(CHOOSE(ED11,CL11,CP11,CT11,CX11,DB11,DF11,DJ11,DN11))&gt;0.005),INDEX(DebtNames,ED11),IF(AND(EH11&lt;&gt;"",N(CHOOSE(EH11,CL11,CP11,CT11,CX11,DB11,DF11,DJ11,DN11))&gt;0.005),INDEX(DebtNames,EH11),IF(AND(EL11&lt;&gt;"",N(CHOOSE(EL11,CL11,CP11,CT11,CX11,DB11,DF11,DJ11,DN11))&gt;0.005),INDEX(DebtNames,EL11),IF(AND(EP11&lt;&gt;"",N(CHOOSE(EP11,CL11,CP11,CT11,CX11,DB11,DF11,DJ11,DN11))&gt;0.005),INDEX(DebtNames,EP11),IF(AND(ET11&lt;&gt;"",N(CHOOSE(ET11,CL11,CP11,CT11,CX11,DB11,DF11,DJ11,DN11))&gt;0.005),INDEX(DebtNames,ET11),""))))))))</f>
        <v/>
      </c>
      <c r="CF11">
        <f>N(EW11)</f>
        <v/>
      </c>
      <c r="CG11">
        <f>N(CN11)+N(CR11)+N(CV11)+N(CZ11)+N(DD11)+N(DH11)+N(DL11)+N(DP11)</f>
        <v/>
      </c>
      <c r="CH11">
        <f>N(CM11)+N(CQ11)+N(CU11)+N(CY11)+N(DC11)+N(DG11)+N(DK11)+N(DO11)</f>
        <v/>
      </c>
      <c r="CI11">
        <f>N(CI10)+N(CH11)</f>
        <v/>
      </c>
      <c r="CJ11">
        <f>N(CO11)+N(CS11)+N(CW11)+N(DA11)+N(DE11)+N(DI11)+N(DM11)+N(DQ11)</f>
        <v/>
      </c>
      <c r="CK11">
        <f>(CO11&gt;0.005)*1+(CS11&gt;0.005)*1+(CW11&gt;0.005)*1+(DA11&gt;0.005)*1+(DE11&gt;0.005)*1+(DI11&gt;0.005)*1+(DM11&gt;0.005)*1+(DQ11&gt;0.005)*1</f>
        <v/>
      </c>
      <c r="CL11">
        <f>N(CO10)</f>
        <v/>
      </c>
      <c r="CM11">
        <f>IF(N(CL11)&lt;=0.005,0,ROUND(N(CL11)*N('Debt List'!E5)/12,2))</f>
        <v/>
      </c>
      <c r="CN11">
        <f>IF(N(CL11)&lt;=0.005,0,MIN(N('Debt List'!F5),N(CL11)+N(CM11)))+((DR11=1)*DT11+(DV11=1)*DX11+(DZ11=1)*EB11+(ED11=1)*EF11+(EH11=1)*EJ11+(EL11=1)*EN11+(EP11=1)*ER11+(ET11=1)*EV11)</f>
        <v/>
      </c>
      <c r="CO11">
        <f>MAX(0,ROUND(N(CL11)+N(CM11)-N(CN11),2))</f>
        <v/>
      </c>
      <c r="CP11">
        <f>N(CS10)</f>
        <v/>
      </c>
      <c r="CQ11">
        <f>IF(N(CP11)&lt;=0.005,0,ROUND(N(CP11)*N('Debt List'!E6)/12,2))</f>
        <v/>
      </c>
      <c r="CR11">
        <f>IF(N(CP11)&lt;=0.005,0,MIN(N('Debt List'!F6),N(CP11)+N(CQ11)))+((DR11=2)*DT11+(DV11=2)*DX11+(DZ11=2)*EB11+(ED11=2)*EF11+(EH11=2)*EJ11+(EL11=2)*EN11+(EP11=2)*ER11+(ET11=2)*EV11)</f>
        <v/>
      </c>
      <c r="CS11">
        <f>MAX(0,ROUND(N(CP11)+N(CQ11)-N(CR11),2))</f>
        <v/>
      </c>
      <c r="CT11">
        <f>N(CW10)</f>
        <v/>
      </c>
      <c r="CU11">
        <f>IF(N(CT11)&lt;=0.005,0,ROUND(N(CT11)*N('Debt List'!E7)/12,2))</f>
        <v/>
      </c>
      <c r="CV11">
        <f>IF(N(CT11)&lt;=0.005,0,MIN(N('Debt List'!F7),N(CT11)+N(CU11)))+((DR11=3)*DT11+(DV11=3)*DX11+(DZ11=3)*EB11+(ED11=3)*EF11+(EH11=3)*EJ11+(EL11=3)*EN11+(EP11=3)*ER11+(ET11=3)*EV11)</f>
        <v/>
      </c>
      <c r="CW11">
        <f>MAX(0,ROUND(N(CT11)+N(CU11)-N(CV11),2))</f>
        <v/>
      </c>
      <c r="CX11">
        <f>N(DA10)</f>
        <v/>
      </c>
      <c r="CY11">
        <f>IF(N(CX11)&lt;=0.005,0,ROUND(N(CX11)*N('Debt List'!E8)/12,2))</f>
        <v/>
      </c>
      <c r="CZ11">
        <f>IF(N(CX11)&lt;=0.005,0,MIN(N('Debt List'!F8),N(CX11)+N(CY11)))+((DR11=4)*DT11+(DV11=4)*DX11+(DZ11=4)*EB11+(ED11=4)*EF11+(EH11=4)*EJ11+(EL11=4)*EN11+(EP11=4)*ER11+(ET11=4)*EV11)</f>
        <v/>
      </c>
      <c r="DA11">
        <f>MAX(0,ROUND(N(CX11)+N(CY11)-N(CZ11),2))</f>
        <v/>
      </c>
      <c r="DB11">
        <f>N(DE10)</f>
        <v/>
      </c>
      <c r="DC11">
        <f>IF(N(DB11)&lt;=0.005,0,ROUND(N(DB11)*N('Debt List'!E9)/12,2))</f>
        <v/>
      </c>
      <c r="DD11">
        <f>IF(N(DB11)&lt;=0.005,0,MIN(N('Debt List'!F9),N(DB11)+N(DC11)))+((DR11=5)*DT11+(DV11=5)*DX11+(DZ11=5)*EB11+(ED11=5)*EF11+(EH11=5)*EJ11+(EL11=5)*EN11+(EP11=5)*ER11+(ET11=5)*EV11)</f>
        <v/>
      </c>
      <c r="DE11">
        <f>MAX(0,ROUND(N(DB11)+N(DC11)-N(DD11),2))</f>
        <v/>
      </c>
      <c r="DF11">
        <f>N(DI10)</f>
        <v/>
      </c>
      <c r="DG11">
        <f>IF(N(DF11)&lt;=0.005,0,ROUND(N(DF11)*N('Debt List'!E10)/12,2))</f>
        <v/>
      </c>
      <c r="DH11">
        <f>IF(N(DF11)&lt;=0.005,0,MIN(N('Debt List'!F10),N(DF11)+N(DG11)))+((DR11=6)*DT11+(DV11=6)*DX11+(DZ11=6)*EB11+(ED11=6)*EF11+(EH11=6)*EJ11+(EL11=6)*EN11+(EP11=6)*ER11+(ET11=6)*EV11)</f>
        <v/>
      </c>
      <c r="DI11">
        <f>MAX(0,ROUND(N(DF11)+N(DG11)-N(DH11),2))</f>
        <v/>
      </c>
      <c r="DJ11">
        <f>N(DM10)</f>
        <v/>
      </c>
      <c r="DK11">
        <f>IF(N(DJ11)&lt;=0.005,0,ROUND(N(DJ11)*N('Debt List'!E11)/12,2))</f>
        <v/>
      </c>
      <c r="DL11">
        <f>IF(N(DJ11)&lt;=0.005,0,MIN(N('Debt List'!F11),N(DJ11)+N(DK11)))+((DR11=7)*DT11+(DV11=7)*DX11+(DZ11=7)*EB11+(ED11=7)*EF11+(EH11=7)*EJ11+(EL11=7)*EN11+(EP11=7)*ER11+(ET11=7)*EV11)</f>
        <v/>
      </c>
      <c r="DM11">
        <f>MAX(0,ROUND(N(DJ11)+N(DK11)-N(DL11),2))</f>
        <v/>
      </c>
      <c r="DN11">
        <f>N(DQ10)</f>
        <v/>
      </c>
      <c r="DO11">
        <f>IF(N(DN11)&lt;=0.005,0,ROUND(N(DN11)*N('Debt List'!E12)/12,2))</f>
        <v/>
      </c>
      <c r="DP11">
        <f>IF(N(DN11)&lt;=0.005,0,MIN(N('Debt List'!F12),N(DN11)+N(DO11)))+((DR11=8)*DT11+(DV11=8)*DX11+(DZ11=8)*EB11+(ED11=8)*EF11+(EH11=8)*EJ11+(EL11=8)*EN11+(EP11=8)*ER11+(ET11=8)*EV11)</f>
        <v/>
      </c>
      <c r="DQ11">
        <f>MAX(0,ROUND(N(DN11)+N(DO11)-N(DP11),2))</f>
        <v/>
      </c>
      <c r="DR11">
        <f>IFERROR(MATCH(1,OrderSnow,0),"")</f>
        <v/>
      </c>
      <c r="DS11">
        <f>IF(DR11="",0,IFERROR(IF(N(CHOOSE(DR11,CL11,CP11,CT11,CX11,DB11,DF11,DJ11,DN11))&lt;=0.005,0,MAX(0,N(CHOOSE(DR11,CL11,CP11,CT11,CX11,DB11,DF11,DJ11,DN11))+N(CHOOSE(DR11,CM11,CQ11,CU11,CY11,DC11,DG11,DK11,DO11))-MIN(N(CHOOSE(DR11,'Debt List'!$F$5,'Debt List'!$F$6,'Debt List'!$F$7,'Debt List'!$F$8,'Debt List'!$F$9,'Debt List'!$F$10,'Debt List'!$F$11,'Debt List'!$F$12)),N(CHOOSE(DR11,CL11,CP11,CT11,CX11,DB11,DF11,DJ11,DN11))+N(CHOOSE(DR11,CM11,CQ11,CU11,CY11,DC11,DG11,DK11,DO11))))),0))</f>
        <v/>
      </c>
      <c r="DT11">
        <f>MIN(N(DS11),MAX(0,N(ExtraPayment)))</f>
        <v/>
      </c>
      <c r="DU11">
        <f>MAX(0,N(ExtraPayment)-N(DT11))</f>
        <v/>
      </c>
      <c r="DV11">
        <f>IFERROR(MATCH(2,OrderSnow,0),"")</f>
        <v/>
      </c>
      <c r="DW11">
        <f>IF(DV11="",0,IFERROR(IF(N(CHOOSE(DV11,CL11,CP11,CT11,CX11,DB11,DF11,DJ11,DN11))&lt;=0.005,0,MAX(0,N(CHOOSE(DV11,CL11,CP11,CT11,CX11,DB11,DF11,DJ11,DN11))+N(CHOOSE(DV11,CM11,CQ11,CU11,CY11,DC11,DG11,DK11,DO11))-MIN(N(CHOOSE(DV11,'Debt List'!$F$5,'Debt List'!$F$6,'Debt List'!$F$7,'Debt List'!$F$8,'Debt List'!$F$9,'Debt List'!$F$10,'Debt List'!$F$11,'Debt List'!$F$12)),N(CHOOSE(DV11,CL11,CP11,CT11,CX11,DB11,DF11,DJ11,DN11))+N(CHOOSE(DV11,CM11,CQ11,CU11,CY11,DC11,DG11,DK11,DO11))))),0))</f>
        <v/>
      </c>
      <c r="DX11">
        <f>MIN(N(DW11),MAX(0,N(DU11)))</f>
        <v/>
      </c>
      <c r="DY11">
        <f>MAX(0,N(DU11)-N(DX11))</f>
        <v/>
      </c>
      <c r="DZ11">
        <f>IFERROR(MATCH(3,OrderSnow,0),"")</f>
        <v/>
      </c>
      <c r="EA11">
        <f>IF(DZ11="",0,IFERROR(IF(N(CHOOSE(DZ11,CL11,CP11,CT11,CX11,DB11,DF11,DJ11,DN11))&lt;=0.005,0,MAX(0,N(CHOOSE(DZ11,CL11,CP11,CT11,CX11,DB11,DF11,DJ11,DN11))+N(CHOOSE(DZ11,CM11,CQ11,CU11,CY11,DC11,DG11,DK11,DO11))-MIN(N(CHOOSE(DZ11,'Debt List'!$F$5,'Debt List'!$F$6,'Debt List'!$F$7,'Debt List'!$F$8,'Debt List'!$F$9,'Debt List'!$F$10,'Debt List'!$F$11,'Debt List'!$F$12)),N(CHOOSE(DZ11,CL11,CP11,CT11,CX11,DB11,DF11,DJ11,DN11))+N(CHOOSE(DZ11,CM11,CQ11,CU11,CY11,DC11,DG11,DK11,DO11))))),0))</f>
        <v/>
      </c>
      <c r="EB11">
        <f>MIN(N(EA11),MAX(0,N(DY11)))</f>
        <v/>
      </c>
      <c r="EC11">
        <f>MAX(0,N(DY11)-N(EB11))</f>
        <v/>
      </c>
      <c r="ED11">
        <f>IFERROR(MATCH(4,OrderSnow,0),"")</f>
        <v/>
      </c>
      <c r="EE11">
        <f>IF(ED11="",0,IFERROR(IF(N(CHOOSE(ED11,CL11,CP11,CT11,CX11,DB11,DF11,DJ11,DN11))&lt;=0.005,0,MAX(0,N(CHOOSE(ED11,CL11,CP11,CT11,CX11,DB11,DF11,DJ11,DN11))+N(CHOOSE(ED11,CM11,CQ11,CU11,CY11,DC11,DG11,DK11,DO11))-MIN(N(CHOOSE(ED11,'Debt List'!$F$5,'Debt List'!$F$6,'Debt List'!$F$7,'Debt List'!$F$8,'Debt List'!$F$9,'Debt List'!$F$10,'Debt List'!$F$11,'Debt List'!$F$12)),N(CHOOSE(ED11,CL11,CP11,CT11,CX11,DB11,DF11,DJ11,DN11))+N(CHOOSE(ED11,CM11,CQ11,CU11,CY11,DC11,DG11,DK11,DO11))))),0))</f>
        <v/>
      </c>
      <c r="EF11">
        <f>MIN(N(EE11),MAX(0,N(EC11)))</f>
        <v/>
      </c>
      <c r="EG11">
        <f>MAX(0,N(EC11)-N(EF11))</f>
        <v/>
      </c>
      <c r="EH11">
        <f>IFERROR(MATCH(5,OrderSnow,0),"")</f>
        <v/>
      </c>
      <c r="EI11">
        <f>IF(EH11="",0,IFERROR(IF(N(CHOOSE(EH11,CL11,CP11,CT11,CX11,DB11,DF11,DJ11,DN11))&lt;=0.005,0,MAX(0,N(CHOOSE(EH11,CL11,CP11,CT11,CX11,DB11,DF11,DJ11,DN11))+N(CHOOSE(EH11,CM11,CQ11,CU11,CY11,DC11,DG11,DK11,DO11))-MIN(N(CHOOSE(EH11,'Debt List'!$F$5,'Debt List'!$F$6,'Debt List'!$F$7,'Debt List'!$F$8,'Debt List'!$F$9,'Debt List'!$F$10,'Debt List'!$F$11,'Debt List'!$F$12)),N(CHOOSE(EH11,CL11,CP11,CT11,CX11,DB11,DF11,DJ11,DN11))+N(CHOOSE(EH11,CM11,CQ11,CU11,CY11,DC11,DG11,DK11,DO11))))),0))</f>
        <v/>
      </c>
      <c r="EJ11">
        <f>MIN(N(EI11),MAX(0,N(EG11)))</f>
        <v/>
      </c>
      <c r="EK11">
        <f>MAX(0,N(EG11)-N(EJ11))</f>
        <v/>
      </c>
      <c r="EL11">
        <f>IFERROR(MATCH(6,OrderSnow,0),"")</f>
        <v/>
      </c>
      <c r="EM11">
        <f>IF(EL11="",0,IFERROR(IF(N(CHOOSE(EL11,CL11,CP11,CT11,CX11,DB11,DF11,DJ11,DN11))&lt;=0.005,0,MAX(0,N(CHOOSE(EL11,CL11,CP11,CT11,CX11,DB11,DF11,DJ11,DN11))+N(CHOOSE(EL11,CM11,CQ11,CU11,CY11,DC11,DG11,DK11,DO11))-MIN(N(CHOOSE(EL11,'Debt List'!$F$5,'Debt List'!$F$6,'Debt List'!$F$7,'Debt List'!$F$8,'Debt List'!$F$9,'Debt List'!$F$10,'Debt List'!$F$11,'Debt List'!$F$12)),N(CHOOSE(EL11,CL11,CP11,CT11,CX11,DB11,DF11,DJ11,DN11))+N(CHOOSE(EL11,CM11,CQ11,CU11,CY11,DC11,DG11,DK11,DO11))))),0))</f>
        <v/>
      </c>
      <c r="EN11">
        <f>MIN(N(EM11),MAX(0,N(EK11)))</f>
        <v/>
      </c>
      <c r="EO11">
        <f>MAX(0,N(EK11)-N(EN11))</f>
        <v/>
      </c>
      <c r="EP11">
        <f>IFERROR(MATCH(7,OrderSnow,0),"")</f>
        <v/>
      </c>
      <c r="EQ11">
        <f>IF(EP11="",0,IFERROR(IF(N(CHOOSE(EP11,CL11,CP11,CT11,CX11,DB11,DF11,DJ11,DN11))&lt;=0.005,0,MAX(0,N(CHOOSE(EP11,CL11,CP11,CT11,CX11,DB11,DF11,DJ11,DN11))+N(CHOOSE(EP11,CM11,CQ11,CU11,CY11,DC11,DG11,DK11,DO11))-MIN(N(CHOOSE(EP11,'Debt List'!$F$5,'Debt List'!$F$6,'Debt List'!$F$7,'Debt List'!$F$8,'Debt List'!$F$9,'Debt List'!$F$10,'Debt List'!$F$11,'Debt List'!$F$12)),N(CHOOSE(EP11,CL11,CP11,CT11,CX11,DB11,DF11,DJ11,DN11))+N(CHOOSE(EP11,CM11,CQ11,CU11,CY11,DC11,DG11,DK11,DO11))))),0))</f>
        <v/>
      </c>
      <c r="ER11">
        <f>MIN(N(EQ11),MAX(0,N(EO11)))</f>
        <v/>
      </c>
      <c r="ES11">
        <f>MAX(0,N(EO11)-N(ER11))</f>
        <v/>
      </c>
      <c r="ET11">
        <f>IFERROR(MATCH(8,OrderSnow,0),"")</f>
        <v/>
      </c>
      <c r="EU11">
        <f>IF(ET11="",0,IFERROR(IF(N(CHOOSE(ET11,CL11,CP11,CT11,CX11,DB11,DF11,DJ11,DN11))&lt;=0.005,0,MAX(0,N(CHOOSE(ET11,CL11,CP11,CT11,CX11,DB11,DF11,DJ11,DN11))+N(CHOOSE(ET11,CM11,CQ11,CU11,CY11,DC11,DG11,DK11,DO11))-MIN(N(CHOOSE(ET11,'Debt List'!$F$5,'Debt List'!$F$6,'Debt List'!$F$7,'Debt List'!$F$8,'Debt List'!$F$9,'Debt List'!$F$10,'Debt List'!$F$11,'Debt List'!$F$12)),N(CHOOSE(ET11,CL11,CP11,CT11,CX11,DB11,DF11,DJ11,DN11))+N(CHOOSE(ET11,CM11,CQ11,CU11,CY11,DC11,DG11,DK11,DO11))))),0))</f>
        <v/>
      </c>
      <c r="EV11">
        <f>MIN(N(EU11),MAX(0,N(ES11)))</f>
        <v/>
      </c>
      <c r="EW11">
        <f>MAX(0,N(ES11)-N(EV11))</f>
        <v/>
      </c>
      <c r="FE11" t="n">
        <v>7</v>
      </c>
      <c r="FF11" s="115">
        <f>DATE(YEAR(PlanStart),MONTH(PlanStart)+FE11-1,1)</f>
        <v/>
      </c>
      <c r="FG11">
        <f>IF(AND(GT11&lt;&gt;"",N(CHOOSE(GT11,FN11,FR11,FV11,FZ11,GD11,GH11,GL11,GP11))&gt;0.005),INDEX(DebtNames,GT11),IF(AND(GX11&lt;&gt;"",N(CHOOSE(GX11,FN11,FR11,FV11,FZ11,GD11,GH11,GL11,GP11))&gt;0.005),INDEX(DebtNames,GX11),IF(AND(HB11&lt;&gt;"",N(CHOOSE(HB11,FN11,FR11,FV11,FZ11,GD11,GH11,GL11,GP11))&gt;0.005),INDEX(DebtNames,HB11),IF(AND(HF11&lt;&gt;"",N(CHOOSE(HF11,FN11,FR11,FV11,FZ11,GD11,GH11,GL11,GP11))&gt;0.005),INDEX(DebtNames,HF11),IF(AND(HJ11&lt;&gt;"",N(CHOOSE(HJ11,FN11,FR11,FV11,FZ11,GD11,GH11,GL11,GP11))&gt;0.005),INDEX(DebtNames,HJ11),IF(AND(HN11&lt;&gt;"",N(CHOOSE(HN11,FN11,FR11,FV11,FZ11,GD11,GH11,GL11,GP11))&gt;0.005),INDEX(DebtNames,HN11),IF(AND(HR11&lt;&gt;"",N(CHOOSE(HR11,FN11,FR11,FV11,FZ11,GD11,GH11,GL11,GP11))&gt;0.005),INDEX(DebtNames,HR11),IF(AND(HV11&lt;&gt;"",N(CHOOSE(HV11,FN11,FR11,FV11,FZ11,GD11,GH11,GL11,GP11))&gt;0.005),INDEX(DebtNames,HV11),""))))))))</f>
        <v/>
      </c>
      <c r="FH11">
        <f>N(HY11)</f>
        <v/>
      </c>
      <c r="FI11">
        <f>N(FP11)+N(FT11)+N(FX11)+N(GB11)+N(GF11)+N(GJ11)+N(GN11)+N(GR11)</f>
        <v/>
      </c>
      <c r="FJ11">
        <f>N(FO11)+N(FS11)+N(FW11)+N(GA11)+N(GE11)+N(GI11)+N(GM11)+N(GQ11)</f>
        <v/>
      </c>
      <c r="FK11">
        <f>N(FK10)+N(FJ11)</f>
        <v/>
      </c>
      <c r="FL11">
        <f>N(FQ11)+N(FU11)+N(FY11)+N(GC11)+N(GG11)+N(GK11)+N(GO11)+N(GS11)</f>
        <v/>
      </c>
      <c r="FM11">
        <f>(FQ11&gt;0.005)*1+(FU11&gt;0.005)*1+(FY11&gt;0.005)*1+(GC11&gt;0.005)*1+(GG11&gt;0.005)*1+(GK11&gt;0.005)*1+(GO11&gt;0.005)*1+(GS11&gt;0.005)*1</f>
        <v/>
      </c>
      <c r="FN11">
        <f>N(FQ10)</f>
        <v/>
      </c>
      <c r="FO11">
        <f>IF(N(FN11)&lt;=0.005,0,ROUND(N(FN11)*N('Debt List'!E5)/12,2))</f>
        <v/>
      </c>
      <c r="FP11">
        <f>IF(N(FN11)&lt;=0.005,0,MIN(N('Debt List'!F5),N(FN11)+N(FO11)))+((GT11=1)*GV11+(GX11=1)*GZ11+(HB11=1)*HD11+(HF11=1)*HH11+(HJ11=1)*HL11+(HN11=1)*HP11+(HR11=1)*HT11+(HV11=1)*HX11)</f>
        <v/>
      </c>
      <c r="FQ11">
        <f>MAX(0,ROUND(N(FN11)+N(FO11)-N(FP11),2))</f>
        <v/>
      </c>
      <c r="FR11">
        <f>N(FU10)</f>
        <v/>
      </c>
      <c r="FS11">
        <f>IF(N(FR11)&lt;=0.005,0,ROUND(N(FR11)*N('Debt List'!E6)/12,2))</f>
        <v/>
      </c>
      <c r="FT11">
        <f>IF(N(FR11)&lt;=0.005,0,MIN(N('Debt List'!F6),N(FR11)+N(FS11)))+((GT11=2)*GV11+(GX11=2)*GZ11+(HB11=2)*HD11+(HF11=2)*HH11+(HJ11=2)*HL11+(HN11=2)*HP11+(HR11=2)*HT11+(HV11=2)*HX11)</f>
        <v/>
      </c>
      <c r="FU11">
        <f>MAX(0,ROUND(N(FR11)+N(FS11)-N(FT11),2))</f>
        <v/>
      </c>
      <c r="FV11">
        <f>N(FY10)</f>
        <v/>
      </c>
      <c r="FW11">
        <f>IF(N(FV11)&lt;=0.005,0,ROUND(N(FV11)*N('Debt List'!E7)/12,2))</f>
        <v/>
      </c>
      <c r="FX11">
        <f>IF(N(FV11)&lt;=0.005,0,MIN(N('Debt List'!F7),N(FV11)+N(FW11)))+((GT11=3)*GV11+(GX11=3)*GZ11+(HB11=3)*HD11+(HF11=3)*HH11+(HJ11=3)*HL11+(HN11=3)*HP11+(HR11=3)*HT11+(HV11=3)*HX11)</f>
        <v/>
      </c>
      <c r="FY11">
        <f>MAX(0,ROUND(N(FV11)+N(FW11)-N(FX11),2))</f>
        <v/>
      </c>
      <c r="FZ11">
        <f>N(GC10)</f>
        <v/>
      </c>
      <c r="GA11">
        <f>IF(N(FZ11)&lt;=0.005,0,ROUND(N(FZ11)*N('Debt List'!E8)/12,2))</f>
        <v/>
      </c>
      <c r="GB11">
        <f>IF(N(FZ11)&lt;=0.005,0,MIN(N('Debt List'!F8),N(FZ11)+N(GA11)))+((GT11=4)*GV11+(GX11=4)*GZ11+(HB11=4)*HD11+(HF11=4)*HH11+(HJ11=4)*HL11+(HN11=4)*HP11+(HR11=4)*HT11+(HV11=4)*HX11)</f>
        <v/>
      </c>
      <c r="GC11">
        <f>MAX(0,ROUND(N(FZ11)+N(GA11)-N(GB11),2))</f>
        <v/>
      </c>
      <c r="GD11">
        <f>N(GG10)</f>
        <v/>
      </c>
      <c r="GE11">
        <f>IF(N(GD11)&lt;=0.005,0,ROUND(N(GD11)*N('Debt List'!E9)/12,2))</f>
        <v/>
      </c>
      <c r="GF11">
        <f>IF(N(GD11)&lt;=0.005,0,MIN(N('Debt List'!F9),N(GD11)+N(GE11)))+((GT11=5)*GV11+(GX11=5)*GZ11+(HB11=5)*HD11+(HF11=5)*HH11+(HJ11=5)*HL11+(HN11=5)*HP11+(HR11=5)*HT11+(HV11=5)*HX11)</f>
        <v/>
      </c>
      <c r="GG11">
        <f>MAX(0,ROUND(N(GD11)+N(GE11)-N(GF11),2))</f>
        <v/>
      </c>
      <c r="GH11">
        <f>N(GK10)</f>
        <v/>
      </c>
      <c r="GI11">
        <f>IF(N(GH11)&lt;=0.005,0,ROUND(N(GH11)*N('Debt List'!E10)/12,2))</f>
        <v/>
      </c>
      <c r="GJ11">
        <f>IF(N(GH11)&lt;=0.005,0,MIN(N('Debt List'!F10),N(GH11)+N(GI11)))+((GT11=6)*GV11+(GX11=6)*GZ11+(HB11=6)*HD11+(HF11=6)*HH11+(HJ11=6)*HL11+(HN11=6)*HP11+(HR11=6)*HT11+(HV11=6)*HX11)</f>
        <v/>
      </c>
      <c r="GK11">
        <f>MAX(0,ROUND(N(GH11)+N(GI11)-N(GJ11),2))</f>
        <v/>
      </c>
      <c r="GL11">
        <f>N(GO10)</f>
        <v/>
      </c>
      <c r="GM11">
        <f>IF(N(GL11)&lt;=0.005,0,ROUND(N(GL11)*N('Debt List'!E11)/12,2))</f>
        <v/>
      </c>
      <c r="GN11">
        <f>IF(N(GL11)&lt;=0.005,0,MIN(N('Debt List'!F11),N(GL11)+N(GM11)))+((GT11=7)*GV11+(GX11=7)*GZ11+(HB11=7)*HD11+(HF11=7)*HH11+(HJ11=7)*HL11+(HN11=7)*HP11+(HR11=7)*HT11+(HV11=7)*HX11)</f>
        <v/>
      </c>
      <c r="GO11">
        <f>MAX(0,ROUND(N(GL11)+N(GM11)-N(GN11),2))</f>
        <v/>
      </c>
      <c r="GP11">
        <f>N(GS10)</f>
        <v/>
      </c>
      <c r="GQ11">
        <f>IF(N(GP11)&lt;=0.005,0,ROUND(N(GP11)*N('Debt List'!E12)/12,2))</f>
        <v/>
      </c>
      <c r="GR11">
        <f>IF(N(GP11)&lt;=0.005,0,MIN(N('Debt List'!F12),N(GP11)+N(GQ11)))+((GT11=8)*GV11+(GX11=8)*GZ11+(HB11=8)*HD11+(HF11=8)*HH11+(HJ11=8)*HL11+(HN11=8)*HP11+(HR11=8)*HT11+(HV11=8)*HX11)</f>
        <v/>
      </c>
      <c r="GS11">
        <f>MAX(0,ROUND(N(GP11)+N(GQ11)-N(GR11),2))</f>
        <v/>
      </c>
      <c r="GT11">
        <f>IFERROR(MATCH(1,OrderAval,0),"")</f>
        <v/>
      </c>
      <c r="GU11">
        <f>IF(GT11="",0,IFERROR(IF(N(CHOOSE(GT11,FN11,FR11,FV11,FZ11,GD11,GH11,GL11,GP11))&lt;=0.005,0,MAX(0,N(CHOOSE(GT11,FN11,FR11,FV11,FZ11,GD11,GH11,GL11,GP11))+N(CHOOSE(GT11,FO11,FS11,FW11,GA11,GE11,GI11,GM11,GQ11))-MIN(N(CHOOSE(GT11,'Debt List'!$F$5,'Debt List'!$F$6,'Debt List'!$F$7,'Debt List'!$F$8,'Debt List'!$F$9,'Debt List'!$F$10,'Debt List'!$F$11,'Debt List'!$F$12)),N(CHOOSE(GT11,FN11,FR11,FV11,FZ11,GD11,GH11,GL11,GP11))+N(CHOOSE(GT11,FO11,FS11,FW11,GA11,GE11,GI11,GM11,GQ11))))),0))</f>
        <v/>
      </c>
      <c r="GV11">
        <f>MIN(N(GU11),MAX(0,N(ExtraPayment)))</f>
        <v/>
      </c>
      <c r="GW11">
        <f>MAX(0,N(ExtraPayment)-N(GV11))</f>
        <v/>
      </c>
      <c r="GX11">
        <f>IFERROR(MATCH(2,OrderAval,0),"")</f>
        <v/>
      </c>
      <c r="GY11">
        <f>IF(GX11="",0,IFERROR(IF(N(CHOOSE(GX11,FN11,FR11,FV11,FZ11,GD11,GH11,GL11,GP11))&lt;=0.005,0,MAX(0,N(CHOOSE(GX11,FN11,FR11,FV11,FZ11,GD11,GH11,GL11,GP11))+N(CHOOSE(GX11,FO11,FS11,FW11,GA11,GE11,GI11,GM11,GQ11))-MIN(N(CHOOSE(GX11,'Debt List'!$F$5,'Debt List'!$F$6,'Debt List'!$F$7,'Debt List'!$F$8,'Debt List'!$F$9,'Debt List'!$F$10,'Debt List'!$F$11,'Debt List'!$F$12)),N(CHOOSE(GX11,FN11,FR11,FV11,FZ11,GD11,GH11,GL11,GP11))+N(CHOOSE(GX11,FO11,FS11,FW11,GA11,GE11,GI11,GM11,GQ11))))),0))</f>
        <v/>
      </c>
      <c r="GZ11">
        <f>MIN(N(GY11),MAX(0,N(GW11)))</f>
        <v/>
      </c>
      <c r="HA11">
        <f>MAX(0,N(GW11)-N(GZ11))</f>
        <v/>
      </c>
      <c r="HB11">
        <f>IFERROR(MATCH(3,OrderAval,0),"")</f>
        <v/>
      </c>
      <c r="HC11">
        <f>IF(HB11="",0,IFERROR(IF(N(CHOOSE(HB11,FN11,FR11,FV11,FZ11,GD11,GH11,GL11,GP11))&lt;=0.005,0,MAX(0,N(CHOOSE(HB11,FN11,FR11,FV11,FZ11,GD11,GH11,GL11,GP11))+N(CHOOSE(HB11,FO11,FS11,FW11,GA11,GE11,GI11,GM11,GQ11))-MIN(N(CHOOSE(HB11,'Debt List'!$F$5,'Debt List'!$F$6,'Debt List'!$F$7,'Debt List'!$F$8,'Debt List'!$F$9,'Debt List'!$F$10,'Debt List'!$F$11,'Debt List'!$F$12)),N(CHOOSE(HB11,FN11,FR11,FV11,FZ11,GD11,GH11,GL11,GP11))+N(CHOOSE(HB11,FO11,FS11,FW11,GA11,GE11,GI11,GM11,GQ11))))),0))</f>
        <v/>
      </c>
      <c r="HD11">
        <f>MIN(N(HC11),MAX(0,N(HA11)))</f>
        <v/>
      </c>
      <c r="HE11">
        <f>MAX(0,N(HA11)-N(HD11))</f>
        <v/>
      </c>
      <c r="HF11">
        <f>IFERROR(MATCH(4,OrderAval,0),"")</f>
        <v/>
      </c>
      <c r="HG11">
        <f>IF(HF11="",0,IFERROR(IF(N(CHOOSE(HF11,FN11,FR11,FV11,FZ11,GD11,GH11,GL11,GP11))&lt;=0.005,0,MAX(0,N(CHOOSE(HF11,FN11,FR11,FV11,FZ11,GD11,GH11,GL11,GP11))+N(CHOOSE(HF11,FO11,FS11,FW11,GA11,GE11,GI11,GM11,GQ11))-MIN(N(CHOOSE(HF11,'Debt List'!$F$5,'Debt List'!$F$6,'Debt List'!$F$7,'Debt List'!$F$8,'Debt List'!$F$9,'Debt List'!$F$10,'Debt List'!$F$11,'Debt List'!$F$12)),N(CHOOSE(HF11,FN11,FR11,FV11,FZ11,GD11,GH11,GL11,GP11))+N(CHOOSE(HF11,FO11,FS11,FW11,GA11,GE11,GI11,GM11,GQ11))))),0))</f>
        <v/>
      </c>
      <c r="HH11">
        <f>MIN(N(HG11),MAX(0,N(HE11)))</f>
        <v/>
      </c>
      <c r="HI11">
        <f>MAX(0,N(HE11)-N(HH11))</f>
        <v/>
      </c>
      <c r="HJ11">
        <f>IFERROR(MATCH(5,OrderAval,0),"")</f>
        <v/>
      </c>
      <c r="HK11">
        <f>IF(HJ11="",0,IFERROR(IF(N(CHOOSE(HJ11,FN11,FR11,FV11,FZ11,GD11,GH11,GL11,GP11))&lt;=0.005,0,MAX(0,N(CHOOSE(HJ11,FN11,FR11,FV11,FZ11,GD11,GH11,GL11,GP11))+N(CHOOSE(HJ11,FO11,FS11,FW11,GA11,GE11,GI11,GM11,GQ11))-MIN(N(CHOOSE(HJ11,'Debt List'!$F$5,'Debt List'!$F$6,'Debt List'!$F$7,'Debt List'!$F$8,'Debt List'!$F$9,'Debt List'!$F$10,'Debt List'!$F$11,'Debt List'!$F$12)),N(CHOOSE(HJ11,FN11,FR11,FV11,FZ11,GD11,GH11,GL11,GP11))+N(CHOOSE(HJ11,FO11,FS11,FW11,GA11,GE11,GI11,GM11,GQ11))))),0))</f>
        <v/>
      </c>
      <c r="HL11">
        <f>MIN(N(HK11),MAX(0,N(HI11)))</f>
        <v/>
      </c>
      <c r="HM11">
        <f>MAX(0,N(HI11)-N(HL11))</f>
        <v/>
      </c>
      <c r="HN11">
        <f>IFERROR(MATCH(6,OrderAval,0),"")</f>
        <v/>
      </c>
      <c r="HO11">
        <f>IF(HN11="",0,IFERROR(IF(N(CHOOSE(HN11,FN11,FR11,FV11,FZ11,GD11,GH11,GL11,GP11))&lt;=0.005,0,MAX(0,N(CHOOSE(HN11,FN11,FR11,FV11,FZ11,GD11,GH11,GL11,GP11))+N(CHOOSE(HN11,FO11,FS11,FW11,GA11,GE11,GI11,GM11,GQ11))-MIN(N(CHOOSE(HN11,'Debt List'!$F$5,'Debt List'!$F$6,'Debt List'!$F$7,'Debt List'!$F$8,'Debt List'!$F$9,'Debt List'!$F$10,'Debt List'!$F$11,'Debt List'!$F$12)),N(CHOOSE(HN11,FN11,FR11,FV11,FZ11,GD11,GH11,GL11,GP11))+N(CHOOSE(HN11,FO11,FS11,FW11,GA11,GE11,GI11,GM11,GQ11))))),0))</f>
        <v/>
      </c>
      <c r="HP11">
        <f>MIN(N(HO11),MAX(0,N(HM11)))</f>
        <v/>
      </c>
      <c r="HQ11">
        <f>MAX(0,N(HM11)-N(HP11))</f>
        <v/>
      </c>
      <c r="HR11">
        <f>IFERROR(MATCH(7,OrderAval,0),"")</f>
        <v/>
      </c>
      <c r="HS11">
        <f>IF(HR11="",0,IFERROR(IF(N(CHOOSE(HR11,FN11,FR11,FV11,FZ11,GD11,GH11,GL11,GP11))&lt;=0.005,0,MAX(0,N(CHOOSE(HR11,FN11,FR11,FV11,FZ11,GD11,GH11,GL11,GP11))+N(CHOOSE(HR11,FO11,FS11,FW11,GA11,GE11,GI11,GM11,GQ11))-MIN(N(CHOOSE(HR11,'Debt List'!$F$5,'Debt List'!$F$6,'Debt List'!$F$7,'Debt List'!$F$8,'Debt List'!$F$9,'Debt List'!$F$10,'Debt List'!$F$11,'Debt List'!$F$12)),N(CHOOSE(HR11,FN11,FR11,FV11,FZ11,GD11,GH11,GL11,GP11))+N(CHOOSE(HR11,FO11,FS11,FW11,GA11,GE11,GI11,GM11,GQ11))))),0))</f>
        <v/>
      </c>
      <c r="HT11">
        <f>MIN(N(HS11),MAX(0,N(HQ11)))</f>
        <v/>
      </c>
      <c r="HU11">
        <f>MAX(0,N(HQ11)-N(HT11))</f>
        <v/>
      </c>
      <c r="HV11">
        <f>IFERROR(MATCH(8,OrderAval,0),"")</f>
        <v/>
      </c>
      <c r="HW11">
        <f>IF(HV11="",0,IFERROR(IF(N(CHOOSE(HV11,FN11,FR11,FV11,FZ11,GD11,GH11,GL11,GP11))&lt;=0.005,0,MAX(0,N(CHOOSE(HV11,FN11,FR11,FV11,FZ11,GD11,GH11,GL11,GP11))+N(CHOOSE(HV11,FO11,FS11,FW11,GA11,GE11,GI11,GM11,GQ11))-MIN(N(CHOOSE(HV11,'Debt List'!$F$5,'Debt List'!$F$6,'Debt List'!$F$7,'Debt List'!$F$8,'Debt List'!$F$9,'Debt List'!$F$10,'Debt List'!$F$11,'Debt List'!$F$12)),N(CHOOSE(HV11,FN11,FR11,FV11,FZ11,GD11,GH11,GL11,GP11))+N(CHOOSE(HV11,FO11,FS11,FW11,GA11,GE11,GI11,GM11,GQ11))))),0))</f>
        <v/>
      </c>
      <c r="HX11">
        <f>MIN(N(HW11),MAX(0,N(HU11)))</f>
        <v/>
      </c>
      <c r="HY11">
        <f>MAX(0,N(HU11)-N(HX11))</f>
        <v/>
      </c>
    </row>
    <row r="12">
      <c r="A12" t="n">
        <v>8</v>
      </c>
      <c r="B12" s="115">
        <f>DATE(YEAR(PlanStart),MONTH(PlanStart)+A12-1,1)</f>
        <v/>
      </c>
      <c r="C12">
        <f>IF(AND(AP12&lt;&gt;"",N(CHOOSE(AP12,J12,N12,R12,V12,Z12,AD12,AH12,AL12))&gt;0.005),INDEX(DebtNames,AP12),IF(AND(AT12&lt;&gt;"",N(CHOOSE(AT12,J12,N12,R12,V12,Z12,AD12,AH12,AL12))&gt;0.005),INDEX(DebtNames,AT12),IF(AND(AX12&lt;&gt;"",N(CHOOSE(AX12,J12,N12,R12,V12,Z12,AD12,AH12,AL12))&gt;0.005),INDEX(DebtNames,AX12),IF(AND(BB12&lt;&gt;"",N(CHOOSE(BB12,J12,N12,R12,V12,Z12,AD12,AH12,AL12))&gt;0.005),INDEX(DebtNames,BB12),IF(AND(BF12&lt;&gt;"",N(CHOOSE(BF12,J12,N12,R12,V12,Z12,AD12,AH12,AL12))&gt;0.005),INDEX(DebtNames,BF12),IF(AND(BJ12&lt;&gt;"",N(CHOOSE(BJ12,J12,N12,R12,V12,Z12,AD12,AH12,AL12))&gt;0.005),INDEX(DebtNames,BJ12),IF(AND(BN12&lt;&gt;"",N(CHOOSE(BN12,J12,N12,R12,V12,Z12,AD12,AH12,AL12))&gt;0.005),INDEX(DebtNames,BN12),IF(AND(BR12&lt;&gt;"",N(CHOOSE(BR12,J12,N12,R12,V12,Z12,AD12,AH12,AL12))&gt;0.005),INDEX(DebtNames,BR12),""))))))))</f>
        <v/>
      </c>
      <c r="D12">
        <f>N(BU12)</f>
        <v/>
      </c>
      <c r="E12">
        <f>N(L12)+N(P12)+N(T12)+N(X12)+N(AB12)+N(AF12)+N(AJ12)+N(AN12)</f>
        <v/>
      </c>
      <c r="F12">
        <f>N(K12)+N(O12)+N(S12)+N(W12)+N(AA12)+N(AE12)+N(AI12)+N(AM12)</f>
        <v/>
      </c>
      <c r="G12">
        <f>N(G11)+N(F12)</f>
        <v/>
      </c>
      <c r="H12">
        <f>N(M12)+N(Q12)+N(U12)+N(Y12)+N(AC12)+N(AG12)+N(AK12)+N(AO12)</f>
        <v/>
      </c>
      <c r="I12">
        <f>(M12&gt;0.005)*1+(Q12&gt;0.005)*1+(U12&gt;0.005)*1+(Y12&gt;0.005)*1+(AC12&gt;0.005)*1+(AG12&gt;0.005)*1+(AK12&gt;0.005)*1+(AO12&gt;0.005)*1</f>
        <v/>
      </c>
      <c r="J12">
        <f>N(M11)</f>
        <v/>
      </c>
      <c r="K12">
        <f>IF(N(J12)&lt;=0.005,0,ROUND(N(J12)*N('Debt List'!E5)/12,2))</f>
        <v/>
      </c>
      <c r="L12">
        <f>IF(N(J12)&lt;=0.005,0,MIN(N('Debt List'!F5),N(J12)+N(K12)))+((AP12=1)*AR12+(AT12=1)*AV12+(AX12=1)*AZ12+(BB12=1)*BD12+(BF12=1)*BH12+(BJ12=1)*BL12+(BN12=1)*BP12+(BR12=1)*BT12)</f>
        <v/>
      </c>
      <c r="M12">
        <f>MAX(0,ROUND(N(J12)+N(K12)-N(L12),2))</f>
        <v/>
      </c>
      <c r="N12">
        <f>N(Q11)</f>
        <v/>
      </c>
      <c r="O12">
        <f>IF(N(N12)&lt;=0.005,0,ROUND(N(N12)*N('Debt List'!E6)/12,2))</f>
        <v/>
      </c>
      <c r="P12">
        <f>IF(N(N12)&lt;=0.005,0,MIN(N('Debt List'!F6),N(N12)+N(O12)))+((AP12=2)*AR12+(AT12=2)*AV12+(AX12=2)*AZ12+(BB12=2)*BD12+(BF12=2)*BH12+(BJ12=2)*BL12+(BN12=2)*BP12+(BR12=2)*BT12)</f>
        <v/>
      </c>
      <c r="Q12">
        <f>MAX(0,ROUND(N(N12)+N(O12)-N(P12),2))</f>
        <v/>
      </c>
      <c r="R12">
        <f>N(U11)</f>
        <v/>
      </c>
      <c r="S12">
        <f>IF(N(R12)&lt;=0.005,0,ROUND(N(R12)*N('Debt List'!E7)/12,2))</f>
        <v/>
      </c>
      <c r="T12">
        <f>IF(N(R12)&lt;=0.005,0,MIN(N('Debt List'!F7),N(R12)+N(S12)))+((AP12=3)*AR12+(AT12=3)*AV12+(AX12=3)*AZ12+(BB12=3)*BD12+(BF12=3)*BH12+(BJ12=3)*BL12+(BN12=3)*BP12+(BR12=3)*BT12)</f>
        <v/>
      </c>
      <c r="U12">
        <f>MAX(0,ROUND(N(R12)+N(S12)-N(T12),2))</f>
        <v/>
      </c>
      <c r="V12">
        <f>N(Y11)</f>
        <v/>
      </c>
      <c r="W12">
        <f>IF(N(V12)&lt;=0.005,0,ROUND(N(V12)*N('Debt List'!E8)/12,2))</f>
        <v/>
      </c>
      <c r="X12">
        <f>IF(N(V12)&lt;=0.005,0,MIN(N('Debt List'!F8),N(V12)+N(W12)))+((AP12=4)*AR12+(AT12=4)*AV12+(AX12=4)*AZ12+(BB12=4)*BD12+(BF12=4)*BH12+(BJ12=4)*BL12+(BN12=4)*BP12+(BR12=4)*BT12)</f>
        <v/>
      </c>
      <c r="Y12">
        <f>MAX(0,ROUND(N(V12)+N(W12)-N(X12),2))</f>
        <v/>
      </c>
      <c r="Z12">
        <f>N(AC11)</f>
        <v/>
      </c>
      <c r="AA12">
        <f>IF(N(Z12)&lt;=0.005,0,ROUND(N(Z12)*N('Debt List'!E9)/12,2))</f>
        <v/>
      </c>
      <c r="AB12">
        <f>IF(N(Z12)&lt;=0.005,0,MIN(N('Debt List'!F9),N(Z12)+N(AA12)))+((AP12=5)*AR12+(AT12=5)*AV12+(AX12=5)*AZ12+(BB12=5)*BD12+(BF12=5)*BH12+(BJ12=5)*BL12+(BN12=5)*BP12+(BR12=5)*BT12)</f>
        <v/>
      </c>
      <c r="AC12">
        <f>MAX(0,ROUND(N(Z12)+N(AA12)-N(AB12),2))</f>
        <v/>
      </c>
      <c r="AD12">
        <f>N(AG11)</f>
        <v/>
      </c>
      <c r="AE12">
        <f>IF(N(AD12)&lt;=0.005,0,ROUND(N(AD12)*N('Debt List'!E10)/12,2))</f>
        <v/>
      </c>
      <c r="AF12">
        <f>IF(N(AD12)&lt;=0.005,0,MIN(N('Debt List'!F10),N(AD12)+N(AE12)))+((AP12=6)*AR12+(AT12=6)*AV12+(AX12=6)*AZ12+(BB12=6)*BD12+(BF12=6)*BH12+(BJ12=6)*BL12+(BN12=6)*BP12+(BR12=6)*BT12)</f>
        <v/>
      </c>
      <c r="AG12">
        <f>MAX(0,ROUND(N(AD12)+N(AE12)-N(AF12),2))</f>
        <v/>
      </c>
      <c r="AH12">
        <f>N(AK11)</f>
        <v/>
      </c>
      <c r="AI12">
        <f>IF(N(AH12)&lt;=0.005,0,ROUND(N(AH12)*N('Debt List'!E11)/12,2))</f>
        <v/>
      </c>
      <c r="AJ12">
        <f>IF(N(AH12)&lt;=0.005,0,MIN(N('Debt List'!F11),N(AH12)+N(AI12)))+((AP12=7)*AR12+(AT12=7)*AV12+(AX12=7)*AZ12+(BB12=7)*BD12+(BF12=7)*BH12+(BJ12=7)*BL12+(BN12=7)*BP12+(BR12=7)*BT12)</f>
        <v/>
      </c>
      <c r="AK12">
        <f>MAX(0,ROUND(N(AH12)+N(AI12)-N(AJ12),2))</f>
        <v/>
      </c>
      <c r="AL12">
        <f>N(AO11)</f>
        <v/>
      </c>
      <c r="AM12">
        <f>IF(N(AL12)&lt;=0.005,0,ROUND(N(AL12)*N('Debt List'!E12)/12,2))</f>
        <v/>
      </c>
      <c r="AN12">
        <f>IF(N(AL12)&lt;=0.005,0,MIN(N('Debt List'!F12),N(AL12)+N(AM12)))+((AP12=8)*AR12+(AT12=8)*AV12+(AX12=8)*AZ12+(BB12=8)*BD12+(BF12=8)*BH12+(BJ12=8)*BL12+(BN12=8)*BP12+(BR12=8)*BT12)</f>
        <v/>
      </c>
      <c r="AO12">
        <f>MAX(0,ROUND(N(AL12)+N(AM12)-N(AN12),2))</f>
        <v/>
      </c>
      <c r="AP12">
        <f>IFERROR(MATCH(1,OrderPlan,0),"")</f>
        <v/>
      </c>
      <c r="AQ12">
        <f>IF(AP12="",0,IFERROR(IF(N(CHOOSE(AP12,J12,N12,R12,V12,Z12,AD12,AH12,AL12))&lt;=0.005,0,MAX(0,N(CHOOSE(AP12,J12,N12,R12,V12,Z12,AD12,AH12,AL12))+N(CHOOSE(AP12,K12,O12,S12,W12,AA12,AE12,AI12,AM12))-MIN(N(CHOOSE(AP12,'Debt List'!$F$5,'Debt List'!$F$6,'Debt List'!$F$7,'Debt List'!$F$8,'Debt List'!$F$9,'Debt List'!$F$10,'Debt List'!$F$11,'Debt List'!$F$12)),N(CHOOSE(AP12,J12,N12,R12,V12,Z12,AD12,AH12,AL12))+N(CHOOSE(AP12,K12,O12,S12,W12,AA12,AE12,AI12,AM12))))),0))</f>
        <v/>
      </c>
      <c r="AR12">
        <f>MIN(N(AQ12),MAX(0,N(ExtraPayment)))</f>
        <v/>
      </c>
      <c r="AS12">
        <f>MAX(0,N(ExtraPayment)-N(AR12))</f>
        <v/>
      </c>
      <c r="AT12">
        <f>IFERROR(MATCH(2,OrderPlan,0),"")</f>
        <v/>
      </c>
      <c r="AU12">
        <f>IF(AT12="",0,IFERROR(IF(N(CHOOSE(AT12,J12,N12,R12,V12,Z12,AD12,AH12,AL12))&lt;=0.005,0,MAX(0,N(CHOOSE(AT12,J12,N12,R12,V12,Z12,AD12,AH12,AL12))+N(CHOOSE(AT12,K12,O12,S12,W12,AA12,AE12,AI12,AM12))-MIN(N(CHOOSE(AT12,'Debt List'!$F$5,'Debt List'!$F$6,'Debt List'!$F$7,'Debt List'!$F$8,'Debt List'!$F$9,'Debt List'!$F$10,'Debt List'!$F$11,'Debt List'!$F$12)),N(CHOOSE(AT12,J12,N12,R12,V12,Z12,AD12,AH12,AL12))+N(CHOOSE(AT12,K12,O12,S12,W12,AA12,AE12,AI12,AM12))))),0))</f>
        <v/>
      </c>
      <c r="AV12">
        <f>MIN(N(AU12),MAX(0,N(AS12)))</f>
        <v/>
      </c>
      <c r="AW12">
        <f>MAX(0,N(AS12)-N(AV12))</f>
        <v/>
      </c>
      <c r="AX12">
        <f>IFERROR(MATCH(3,OrderPlan,0),"")</f>
        <v/>
      </c>
      <c r="AY12">
        <f>IF(AX12="",0,IFERROR(IF(N(CHOOSE(AX12,J12,N12,R12,V12,Z12,AD12,AH12,AL12))&lt;=0.005,0,MAX(0,N(CHOOSE(AX12,J12,N12,R12,V12,Z12,AD12,AH12,AL12))+N(CHOOSE(AX12,K12,O12,S12,W12,AA12,AE12,AI12,AM12))-MIN(N(CHOOSE(AX12,'Debt List'!$F$5,'Debt List'!$F$6,'Debt List'!$F$7,'Debt List'!$F$8,'Debt List'!$F$9,'Debt List'!$F$10,'Debt List'!$F$11,'Debt List'!$F$12)),N(CHOOSE(AX12,J12,N12,R12,V12,Z12,AD12,AH12,AL12))+N(CHOOSE(AX12,K12,O12,S12,W12,AA12,AE12,AI12,AM12))))),0))</f>
        <v/>
      </c>
      <c r="AZ12">
        <f>MIN(N(AY12),MAX(0,N(AW12)))</f>
        <v/>
      </c>
      <c r="BA12">
        <f>MAX(0,N(AW12)-N(AZ12))</f>
        <v/>
      </c>
      <c r="BB12">
        <f>IFERROR(MATCH(4,OrderPlan,0),"")</f>
        <v/>
      </c>
      <c r="BC12">
        <f>IF(BB12="",0,IFERROR(IF(N(CHOOSE(BB12,J12,N12,R12,V12,Z12,AD12,AH12,AL12))&lt;=0.005,0,MAX(0,N(CHOOSE(BB12,J12,N12,R12,V12,Z12,AD12,AH12,AL12))+N(CHOOSE(BB12,K12,O12,S12,W12,AA12,AE12,AI12,AM12))-MIN(N(CHOOSE(BB12,'Debt List'!$F$5,'Debt List'!$F$6,'Debt List'!$F$7,'Debt List'!$F$8,'Debt List'!$F$9,'Debt List'!$F$10,'Debt List'!$F$11,'Debt List'!$F$12)),N(CHOOSE(BB12,J12,N12,R12,V12,Z12,AD12,AH12,AL12))+N(CHOOSE(BB12,K12,O12,S12,W12,AA12,AE12,AI12,AM12))))),0))</f>
        <v/>
      </c>
      <c r="BD12">
        <f>MIN(N(BC12),MAX(0,N(BA12)))</f>
        <v/>
      </c>
      <c r="BE12">
        <f>MAX(0,N(BA12)-N(BD12))</f>
        <v/>
      </c>
      <c r="BF12">
        <f>IFERROR(MATCH(5,OrderPlan,0),"")</f>
        <v/>
      </c>
      <c r="BG12">
        <f>IF(BF12="",0,IFERROR(IF(N(CHOOSE(BF12,J12,N12,R12,V12,Z12,AD12,AH12,AL12))&lt;=0.005,0,MAX(0,N(CHOOSE(BF12,J12,N12,R12,V12,Z12,AD12,AH12,AL12))+N(CHOOSE(BF12,K12,O12,S12,W12,AA12,AE12,AI12,AM12))-MIN(N(CHOOSE(BF12,'Debt List'!$F$5,'Debt List'!$F$6,'Debt List'!$F$7,'Debt List'!$F$8,'Debt List'!$F$9,'Debt List'!$F$10,'Debt List'!$F$11,'Debt List'!$F$12)),N(CHOOSE(BF12,J12,N12,R12,V12,Z12,AD12,AH12,AL12))+N(CHOOSE(BF12,K12,O12,S12,W12,AA12,AE12,AI12,AM12))))),0))</f>
        <v/>
      </c>
      <c r="BH12">
        <f>MIN(N(BG12),MAX(0,N(BE12)))</f>
        <v/>
      </c>
      <c r="BI12">
        <f>MAX(0,N(BE12)-N(BH12))</f>
        <v/>
      </c>
      <c r="BJ12">
        <f>IFERROR(MATCH(6,OrderPlan,0),"")</f>
        <v/>
      </c>
      <c r="BK12">
        <f>IF(BJ12="",0,IFERROR(IF(N(CHOOSE(BJ12,J12,N12,R12,V12,Z12,AD12,AH12,AL12))&lt;=0.005,0,MAX(0,N(CHOOSE(BJ12,J12,N12,R12,V12,Z12,AD12,AH12,AL12))+N(CHOOSE(BJ12,K12,O12,S12,W12,AA12,AE12,AI12,AM12))-MIN(N(CHOOSE(BJ12,'Debt List'!$F$5,'Debt List'!$F$6,'Debt List'!$F$7,'Debt List'!$F$8,'Debt List'!$F$9,'Debt List'!$F$10,'Debt List'!$F$11,'Debt List'!$F$12)),N(CHOOSE(BJ12,J12,N12,R12,V12,Z12,AD12,AH12,AL12))+N(CHOOSE(BJ12,K12,O12,S12,W12,AA12,AE12,AI12,AM12))))),0))</f>
        <v/>
      </c>
      <c r="BL12">
        <f>MIN(N(BK12),MAX(0,N(BI12)))</f>
        <v/>
      </c>
      <c r="BM12">
        <f>MAX(0,N(BI12)-N(BL12))</f>
        <v/>
      </c>
      <c r="BN12">
        <f>IFERROR(MATCH(7,OrderPlan,0),"")</f>
        <v/>
      </c>
      <c r="BO12">
        <f>IF(BN12="",0,IFERROR(IF(N(CHOOSE(BN12,J12,N12,R12,V12,Z12,AD12,AH12,AL12))&lt;=0.005,0,MAX(0,N(CHOOSE(BN12,J12,N12,R12,V12,Z12,AD12,AH12,AL12))+N(CHOOSE(BN12,K12,O12,S12,W12,AA12,AE12,AI12,AM12))-MIN(N(CHOOSE(BN12,'Debt List'!$F$5,'Debt List'!$F$6,'Debt List'!$F$7,'Debt List'!$F$8,'Debt List'!$F$9,'Debt List'!$F$10,'Debt List'!$F$11,'Debt List'!$F$12)),N(CHOOSE(BN12,J12,N12,R12,V12,Z12,AD12,AH12,AL12))+N(CHOOSE(BN12,K12,O12,S12,W12,AA12,AE12,AI12,AM12))))),0))</f>
        <v/>
      </c>
      <c r="BP12">
        <f>MIN(N(BO12),MAX(0,N(BM12)))</f>
        <v/>
      </c>
      <c r="BQ12">
        <f>MAX(0,N(BM12)-N(BP12))</f>
        <v/>
      </c>
      <c r="BR12">
        <f>IFERROR(MATCH(8,OrderPlan,0),"")</f>
        <v/>
      </c>
      <c r="BS12">
        <f>IF(BR12="",0,IFERROR(IF(N(CHOOSE(BR12,J12,N12,R12,V12,Z12,AD12,AH12,AL12))&lt;=0.005,0,MAX(0,N(CHOOSE(BR12,J12,N12,R12,V12,Z12,AD12,AH12,AL12))+N(CHOOSE(BR12,K12,O12,S12,W12,AA12,AE12,AI12,AM12))-MIN(N(CHOOSE(BR12,'Debt List'!$F$5,'Debt List'!$F$6,'Debt List'!$F$7,'Debt List'!$F$8,'Debt List'!$F$9,'Debt List'!$F$10,'Debt List'!$F$11,'Debt List'!$F$12)),N(CHOOSE(BR12,J12,N12,R12,V12,Z12,AD12,AH12,AL12))+N(CHOOSE(BR12,K12,O12,S12,W12,AA12,AE12,AI12,AM12))))),0))</f>
        <v/>
      </c>
      <c r="BT12">
        <f>MIN(N(BS12),MAX(0,N(BQ12)))</f>
        <v/>
      </c>
      <c r="BU12">
        <f>MAX(0,N(BQ12)-N(BT12))</f>
        <v/>
      </c>
      <c r="CC12" t="n">
        <v>8</v>
      </c>
      <c r="CD12" s="115">
        <f>DATE(YEAR(PlanStart),MONTH(PlanStart)+CC12-1,1)</f>
        <v/>
      </c>
      <c r="CE12">
        <f>IF(AND(DR12&lt;&gt;"",N(CHOOSE(DR12,CL12,CP12,CT12,CX12,DB12,DF12,DJ12,DN12))&gt;0.005),INDEX(DebtNames,DR12),IF(AND(DV12&lt;&gt;"",N(CHOOSE(DV12,CL12,CP12,CT12,CX12,DB12,DF12,DJ12,DN12))&gt;0.005),INDEX(DebtNames,DV12),IF(AND(DZ12&lt;&gt;"",N(CHOOSE(DZ12,CL12,CP12,CT12,CX12,DB12,DF12,DJ12,DN12))&gt;0.005),INDEX(DebtNames,DZ12),IF(AND(ED12&lt;&gt;"",N(CHOOSE(ED12,CL12,CP12,CT12,CX12,DB12,DF12,DJ12,DN12))&gt;0.005),INDEX(DebtNames,ED12),IF(AND(EH12&lt;&gt;"",N(CHOOSE(EH12,CL12,CP12,CT12,CX12,DB12,DF12,DJ12,DN12))&gt;0.005),INDEX(DebtNames,EH12),IF(AND(EL12&lt;&gt;"",N(CHOOSE(EL12,CL12,CP12,CT12,CX12,DB12,DF12,DJ12,DN12))&gt;0.005),INDEX(DebtNames,EL12),IF(AND(EP12&lt;&gt;"",N(CHOOSE(EP12,CL12,CP12,CT12,CX12,DB12,DF12,DJ12,DN12))&gt;0.005),INDEX(DebtNames,EP12),IF(AND(ET12&lt;&gt;"",N(CHOOSE(ET12,CL12,CP12,CT12,CX12,DB12,DF12,DJ12,DN12))&gt;0.005),INDEX(DebtNames,ET12),""))))))))</f>
        <v/>
      </c>
      <c r="CF12">
        <f>N(EW12)</f>
        <v/>
      </c>
      <c r="CG12">
        <f>N(CN12)+N(CR12)+N(CV12)+N(CZ12)+N(DD12)+N(DH12)+N(DL12)+N(DP12)</f>
        <v/>
      </c>
      <c r="CH12">
        <f>N(CM12)+N(CQ12)+N(CU12)+N(CY12)+N(DC12)+N(DG12)+N(DK12)+N(DO12)</f>
        <v/>
      </c>
      <c r="CI12">
        <f>N(CI11)+N(CH12)</f>
        <v/>
      </c>
      <c r="CJ12">
        <f>N(CO12)+N(CS12)+N(CW12)+N(DA12)+N(DE12)+N(DI12)+N(DM12)+N(DQ12)</f>
        <v/>
      </c>
      <c r="CK12">
        <f>(CO12&gt;0.005)*1+(CS12&gt;0.005)*1+(CW12&gt;0.005)*1+(DA12&gt;0.005)*1+(DE12&gt;0.005)*1+(DI12&gt;0.005)*1+(DM12&gt;0.005)*1+(DQ12&gt;0.005)*1</f>
        <v/>
      </c>
      <c r="CL12">
        <f>N(CO11)</f>
        <v/>
      </c>
      <c r="CM12">
        <f>IF(N(CL12)&lt;=0.005,0,ROUND(N(CL12)*N('Debt List'!E5)/12,2))</f>
        <v/>
      </c>
      <c r="CN12">
        <f>IF(N(CL12)&lt;=0.005,0,MIN(N('Debt List'!F5),N(CL12)+N(CM12)))+((DR12=1)*DT12+(DV12=1)*DX12+(DZ12=1)*EB12+(ED12=1)*EF12+(EH12=1)*EJ12+(EL12=1)*EN12+(EP12=1)*ER12+(ET12=1)*EV12)</f>
        <v/>
      </c>
      <c r="CO12">
        <f>MAX(0,ROUND(N(CL12)+N(CM12)-N(CN12),2))</f>
        <v/>
      </c>
      <c r="CP12">
        <f>N(CS11)</f>
        <v/>
      </c>
      <c r="CQ12">
        <f>IF(N(CP12)&lt;=0.005,0,ROUND(N(CP12)*N('Debt List'!E6)/12,2))</f>
        <v/>
      </c>
      <c r="CR12">
        <f>IF(N(CP12)&lt;=0.005,0,MIN(N('Debt List'!F6),N(CP12)+N(CQ12)))+((DR12=2)*DT12+(DV12=2)*DX12+(DZ12=2)*EB12+(ED12=2)*EF12+(EH12=2)*EJ12+(EL12=2)*EN12+(EP12=2)*ER12+(ET12=2)*EV12)</f>
        <v/>
      </c>
      <c r="CS12">
        <f>MAX(0,ROUND(N(CP12)+N(CQ12)-N(CR12),2))</f>
        <v/>
      </c>
      <c r="CT12">
        <f>N(CW11)</f>
        <v/>
      </c>
      <c r="CU12">
        <f>IF(N(CT12)&lt;=0.005,0,ROUND(N(CT12)*N('Debt List'!E7)/12,2))</f>
        <v/>
      </c>
      <c r="CV12">
        <f>IF(N(CT12)&lt;=0.005,0,MIN(N('Debt List'!F7),N(CT12)+N(CU12)))+((DR12=3)*DT12+(DV12=3)*DX12+(DZ12=3)*EB12+(ED12=3)*EF12+(EH12=3)*EJ12+(EL12=3)*EN12+(EP12=3)*ER12+(ET12=3)*EV12)</f>
        <v/>
      </c>
      <c r="CW12">
        <f>MAX(0,ROUND(N(CT12)+N(CU12)-N(CV12),2))</f>
        <v/>
      </c>
      <c r="CX12">
        <f>N(DA11)</f>
        <v/>
      </c>
      <c r="CY12">
        <f>IF(N(CX12)&lt;=0.005,0,ROUND(N(CX12)*N('Debt List'!E8)/12,2))</f>
        <v/>
      </c>
      <c r="CZ12">
        <f>IF(N(CX12)&lt;=0.005,0,MIN(N('Debt List'!F8),N(CX12)+N(CY12)))+((DR12=4)*DT12+(DV12=4)*DX12+(DZ12=4)*EB12+(ED12=4)*EF12+(EH12=4)*EJ12+(EL12=4)*EN12+(EP12=4)*ER12+(ET12=4)*EV12)</f>
        <v/>
      </c>
      <c r="DA12">
        <f>MAX(0,ROUND(N(CX12)+N(CY12)-N(CZ12),2))</f>
        <v/>
      </c>
      <c r="DB12">
        <f>N(DE11)</f>
        <v/>
      </c>
      <c r="DC12">
        <f>IF(N(DB12)&lt;=0.005,0,ROUND(N(DB12)*N('Debt List'!E9)/12,2))</f>
        <v/>
      </c>
      <c r="DD12">
        <f>IF(N(DB12)&lt;=0.005,0,MIN(N('Debt List'!F9),N(DB12)+N(DC12)))+((DR12=5)*DT12+(DV12=5)*DX12+(DZ12=5)*EB12+(ED12=5)*EF12+(EH12=5)*EJ12+(EL12=5)*EN12+(EP12=5)*ER12+(ET12=5)*EV12)</f>
        <v/>
      </c>
      <c r="DE12">
        <f>MAX(0,ROUND(N(DB12)+N(DC12)-N(DD12),2))</f>
        <v/>
      </c>
      <c r="DF12">
        <f>N(DI11)</f>
        <v/>
      </c>
      <c r="DG12">
        <f>IF(N(DF12)&lt;=0.005,0,ROUND(N(DF12)*N('Debt List'!E10)/12,2))</f>
        <v/>
      </c>
      <c r="DH12">
        <f>IF(N(DF12)&lt;=0.005,0,MIN(N('Debt List'!F10),N(DF12)+N(DG12)))+((DR12=6)*DT12+(DV12=6)*DX12+(DZ12=6)*EB12+(ED12=6)*EF12+(EH12=6)*EJ12+(EL12=6)*EN12+(EP12=6)*ER12+(ET12=6)*EV12)</f>
        <v/>
      </c>
      <c r="DI12">
        <f>MAX(0,ROUND(N(DF12)+N(DG12)-N(DH12),2))</f>
        <v/>
      </c>
      <c r="DJ12">
        <f>N(DM11)</f>
        <v/>
      </c>
      <c r="DK12">
        <f>IF(N(DJ12)&lt;=0.005,0,ROUND(N(DJ12)*N('Debt List'!E11)/12,2))</f>
        <v/>
      </c>
      <c r="DL12">
        <f>IF(N(DJ12)&lt;=0.005,0,MIN(N('Debt List'!F11),N(DJ12)+N(DK12)))+((DR12=7)*DT12+(DV12=7)*DX12+(DZ12=7)*EB12+(ED12=7)*EF12+(EH12=7)*EJ12+(EL12=7)*EN12+(EP12=7)*ER12+(ET12=7)*EV12)</f>
        <v/>
      </c>
      <c r="DM12">
        <f>MAX(0,ROUND(N(DJ12)+N(DK12)-N(DL12),2))</f>
        <v/>
      </c>
      <c r="DN12">
        <f>N(DQ11)</f>
        <v/>
      </c>
      <c r="DO12">
        <f>IF(N(DN12)&lt;=0.005,0,ROUND(N(DN12)*N('Debt List'!E12)/12,2))</f>
        <v/>
      </c>
      <c r="DP12">
        <f>IF(N(DN12)&lt;=0.005,0,MIN(N('Debt List'!F12),N(DN12)+N(DO12)))+((DR12=8)*DT12+(DV12=8)*DX12+(DZ12=8)*EB12+(ED12=8)*EF12+(EH12=8)*EJ12+(EL12=8)*EN12+(EP12=8)*ER12+(ET12=8)*EV12)</f>
        <v/>
      </c>
      <c r="DQ12">
        <f>MAX(0,ROUND(N(DN12)+N(DO12)-N(DP12),2))</f>
        <v/>
      </c>
      <c r="DR12">
        <f>IFERROR(MATCH(1,OrderSnow,0),"")</f>
        <v/>
      </c>
      <c r="DS12">
        <f>IF(DR12="",0,IFERROR(IF(N(CHOOSE(DR12,CL12,CP12,CT12,CX12,DB12,DF12,DJ12,DN12))&lt;=0.005,0,MAX(0,N(CHOOSE(DR12,CL12,CP12,CT12,CX12,DB12,DF12,DJ12,DN12))+N(CHOOSE(DR12,CM12,CQ12,CU12,CY12,DC12,DG12,DK12,DO12))-MIN(N(CHOOSE(DR12,'Debt List'!$F$5,'Debt List'!$F$6,'Debt List'!$F$7,'Debt List'!$F$8,'Debt List'!$F$9,'Debt List'!$F$10,'Debt List'!$F$11,'Debt List'!$F$12)),N(CHOOSE(DR12,CL12,CP12,CT12,CX12,DB12,DF12,DJ12,DN12))+N(CHOOSE(DR12,CM12,CQ12,CU12,CY12,DC12,DG12,DK12,DO12))))),0))</f>
        <v/>
      </c>
      <c r="DT12">
        <f>MIN(N(DS12),MAX(0,N(ExtraPayment)))</f>
        <v/>
      </c>
      <c r="DU12">
        <f>MAX(0,N(ExtraPayment)-N(DT12))</f>
        <v/>
      </c>
      <c r="DV12">
        <f>IFERROR(MATCH(2,OrderSnow,0),"")</f>
        <v/>
      </c>
      <c r="DW12">
        <f>IF(DV12="",0,IFERROR(IF(N(CHOOSE(DV12,CL12,CP12,CT12,CX12,DB12,DF12,DJ12,DN12))&lt;=0.005,0,MAX(0,N(CHOOSE(DV12,CL12,CP12,CT12,CX12,DB12,DF12,DJ12,DN12))+N(CHOOSE(DV12,CM12,CQ12,CU12,CY12,DC12,DG12,DK12,DO12))-MIN(N(CHOOSE(DV12,'Debt List'!$F$5,'Debt List'!$F$6,'Debt List'!$F$7,'Debt List'!$F$8,'Debt List'!$F$9,'Debt List'!$F$10,'Debt List'!$F$11,'Debt List'!$F$12)),N(CHOOSE(DV12,CL12,CP12,CT12,CX12,DB12,DF12,DJ12,DN12))+N(CHOOSE(DV12,CM12,CQ12,CU12,CY12,DC12,DG12,DK12,DO12))))),0))</f>
        <v/>
      </c>
      <c r="DX12">
        <f>MIN(N(DW12),MAX(0,N(DU12)))</f>
        <v/>
      </c>
      <c r="DY12">
        <f>MAX(0,N(DU12)-N(DX12))</f>
        <v/>
      </c>
      <c r="DZ12">
        <f>IFERROR(MATCH(3,OrderSnow,0),"")</f>
        <v/>
      </c>
      <c r="EA12">
        <f>IF(DZ12="",0,IFERROR(IF(N(CHOOSE(DZ12,CL12,CP12,CT12,CX12,DB12,DF12,DJ12,DN12))&lt;=0.005,0,MAX(0,N(CHOOSE(DZ12,CL12,CP12,CT12,CX12,DB12,DF12,DJ12,DN12))+N(CHOOSE(DZ12,CM12,CQ12,CU12,CY12,DC12,DG12,DK12,DO12))-MIN(N(CHOOSE(DZ12,'Debt List'!$F$5,'Debt List'!$F$6,'Debt List'!$F$7,'Debt List'!$F$8,'Debt List'!$F$9,'Debt List'!$F$10,'Debt List'!$F$11,'Debt List'!$F$12)),N(CHOOSE(DZ12,CL12,CP12,CT12,CX12,DB12,DF12,DJ12,DN12))+N(CHOOSE(DZ12,CM12,CQ12,CU12,CY12,DC12,DG12,DK12,DO12))))),0))</f>
        <v/>
      </c>
      <c r="EB12">
        <f>MIN(N(EA12),MAX(0,N(DY12)))</f>
        <v/>
      </c>
      <c r="EC12">
        <f>MAX(0,N(DY12)-N(EB12))</f>
        <v/>
      </c>
      <c r="ED12">
        <f>IFERROR(MATCH(4,OrderSnow,0),"")</f>
        <v/>
      </c>
      <c r="EE12">
        <f>IF(ED12="",0,IFERROR(IF(N(CHOOSE(ED12,CL12,CP12,CT12,CX12,DB12,DF12,DJ12,DN12))&lt;=0.005,0,MAX(0,N(CHOOSE(ED12,CL12,CP12,CT12,CX12,DB12,DF12,DJ12,DN12))+N(CHOOSE(ED12,CM12,CQ12,CU12,CY12,DC12,DG12,DK12,DO12))-MIN(N(CHOOSE(ED12,'Debt List'!$F$5,'Debt List'!$F$6,'Debt List'!$F$7,'Debt List'!$F$8,'Debt List'!$F$9,'Debt List'!$F$10,'Debt List'!$F$11,'Debt List'!$F$12)),N(CHOOSE(ED12,CL12,CP12,CT12,CX12,DB12,DF12,DJ12,DN12))+N(CHOOSE(ED12,CM12,CQ12,CU12,CY12,DC12,DG12,DK12,DO12))))),0))</f>
        <v/>
      </c>
      <c r="EF12">
        <f>MIN(N(EE12),MAX(0,N(EC12)))</f>
        <v/>
      </c>
      <c r="EG12">
        <f>MAX(0,N(EC12)-N(EF12))</f>
        <v/>
      </c>
      <c r="EH12">
        <f>IFERROR(MATCH(5,OrderSnow,0),"")</f>
        <v/>
      </c>
      <c r="EI12">
        <f>IF(EH12="",0,IFERROR(IF(N(CHOOSE(EH12,CL12,CP12,CT12,CX12,DB12,DF12,DJ12,DN12))&lt;=0.005,0,MAX(0,N(CHOOSE(EH12,CL12,CP12,CT12,CX12,DB12,DF12,DJ12,DN12))+N(CHOOSE(EH12,CM12,CQ12,CU12,CY12,DC12,DG12,DK12,DO12))-MIN(N(CHOOSE(EH12,'Debt List'!$F$5,'Debt List'!$F$6,'Debt List'!$F$7,'Debt List'!$F$8,'Debt List'!$F$9,'Debt List'!$F$10,'Debt List'!$F$11,'Debt List'!$F$12)),N(CHOOSE(EH12,CL12,CP12,CT12,CX12,DB12,DF12,DJ12,DN12))+N(CHOOSE(EH12,CM12,CQ12,CU12,CY12,DC12,DG12,DK12,DO12))))),0))</f>
        <v/>
      </c>
      <c r="EJ12">
        <f>MIN(N(EI12),MAX(0,N(EG12)))</f>
        <v/>
      </c>
      <c r="EK12">
        <f>MAX(0,N(EG12)-N(EJ12))</f>
        <v/>
      </c>
      <c r="EL12">
        <f>IFERROR(MATCH(6,OrderSnow,0),"")</f>
        <v/>
      </c>
      <c r="EM12">
        <f>IF(EL12="",0,IFERROR(IF(N(CHOOSE(EL12,CL12,CP12,CT12,CX12,DB12,DF12,DJ12,DN12))&lt;=0.005,0,MAX(0,N(CHOOSE(EL12,CL12,CP12,CT12,CX12,DB12,DF12,DJ12,DN12))+N(CHOOSE(EL12,CM12,CQ12,CU12,CY12,DC12,DG12,DK12,DO12))-MIN(N(CHOOSE(EL12,'Debt List'!$F$5,'Debt List'!$F$6,'Debt List'!$F$7,'Debt List'!$F$8,'Debt List'!$F$9,'Debt List'!$F$10,'Debt List'!$F$11,'Debt List'!$F$12)),N(CHOOSE(EL12,CL12,CP12,CT12,CX12,DB12,DF12,DJ12,DN12))+N(CHOOSE(EL12,CM12,CQ12,CU12,CY12,DC12,DG12,DK12,DO12))))),0))</f>
        <v/>
      </c>
      <c r="EN12">
        <f>MIN(N(EM12),MAX(0,N(EK12)))</f>
        <v/>
      </c>
      <c r="EO12">
        <f>MAX(0,N(EK12)-N(EN12))</f>
        <v/>
      </c>
      <c r="EP12">
        <f>IFERROR(MATCH(7,OrderSnow,0),"")</f>
        <v/>
      </c>
      <c r="EQ12">
        <f>IF(EP12="",0,IFERROR(IF(N(CHOOSE(EP12,CL12,CP12,CT12,CX12,DB12,DF12,DJ12,DN12))&lt;=0.005,0,MAX(0,N(CHOOSE(EP12,CL12,CP12,CT12,CX12,DB12,DF12,DJ12,DN12))+N(CHOOSE(EP12,CM12,CQ12,CU12,CY12,DC12,DG12,DK12,DO12))-MIN(N(CHOOSE(EP12,'Debt List'!$F$5,'Debt List'!$F$6,'Debt List'!$F$7,'Debt List'!$F$8,'Debt List'!$F$9,'Debt List'!$F$10,'Debt List'!$F$11,'Debt List'!$F$12)),N(CHOOSE(EP12,CL12,CP12,CT12,CX12,DB12,DF12,DJ12,DN12))+N(CHOOSE(EP12,CM12,CQ12,CU12,CY12,DC12,DG12,DK12,DO12))))),0))</f>
        <v/>
      </c>
      <c r="ER12">
        <f>MIN(N(EQ12),MAX(0,N(EO12)))</f>
        <v/>
      </c>
      <c r="ES12">
        <f>MAX(0,N(EO12)-N(ER12))</f>
        <v/>
      </c>
      <c r="ET12">
        <f>IFERROR(MATCH(8,OrderSnow,0),"")</f>
        <v/>
      </c>
      <c r="EU12">
        <f>IF(ET12="",0,IFERROR(IF(N(CHOOSE(ET12,CL12,CP12,CT12,CX12,DB12,DF12,DJ12,DN12))&lt;=0.005,0,MAX(0,N(CHOOSE(ET12,CL12,CP12,CT12,CX12,DB12,DF12,DJ12,DN12))+N(CHOOSE(ET12,CM12,CQ12,CU12,CY12,DC12,DG12,DK12,DO12))-MIN(N(CHOOSE(ET12,'Debt List'!$F$5,'Debt List'!$F$6,'Debt List'!$F$7,'Debt List'!$F$8,'Debt List'!$F$9,'Debt List'!$F$10,'Debt List'!$F$11,'Debt List'!$F$12)),N(CHOOSE(ET12,CL12,CP12,CT12,CX12,DB12,DF12,DJ12,DN12))+N(CHOOSE(ET12,CM12,CQ12,CU12,CY12,DC12,DG12,DK12,DO12))))),0))</f>
        <v/>
      </c>
      <c r="EV12">
        <f>MIN(N(EU12),MAX(0,N(ES12)))</f>
        <v/>
      </c>
      <c r="EW12">
        <f>MAX(0,N(ES12)-N(EV12))</f>
        <v/>
      </c>
      <c r="FE12" t="n">
        <v>8</v>
      </c>
      <c r="FF12" s="115">
        <f>DATE(YEAR(PlanStart),MONTH(PlanStart)+FE12-1,1)</f>
        <v/>
      </c>
      <c r="FG12">
        <f>IF(AND(GT12&lt;&gt;"",N(CHOOSE(GT12,FN12,FR12,FV12,FZ12,GD12,GH12,GL12,GP12))&gt;0.005),INDEX(DebtNames,GT12),IF(AND(GX12&lt;&gt;"",N(CHOOSE(GX12,FN12,FR12,FV12,FZ12,GD12,GH12,GL12,GP12))&gt;0.005),INDEX(DebtNames,GX12),IF(AND(HB12&lt;&gt;"",N(CHOOSE(HB12,FN12,FR12,FV12,FZ12,GD12,GH12,GL12,GP12))&gt;0.005),INDEX(DebtNames,HB12),IF(AND(HF12&lt;&gt;"",N(CHOOSE(HF12,FN12,FR12,FV12,FZ12,GD12,GH12,GL12,GP12))&gt;0.005),INDEX(DebtNames,HF12),IF(AND(HJ12&lt;&gt;"",N(CHOOSE(HJ12,FN12,FR12,FV12,FZ12,GD12,GH12,GL12,GP12))&gt;0.005),INDEX(DebtNames,HJ12),IF(AND(HN12&lt;&gt;"",N(CHOOSE(HN12,FN12,FR12,FV12,FZ12,GD12,GH12,GL12,GP12))&gt;0.005),INDEX(DebtNames,HN12),IF(AND(HR12&lt;&gt;"",N(CHOOSE(HR12,FN12,FR12,FV12,FZ12,GD12,GH12,GL12,GP12))&gt;0.005),INDEX(DebtNames,HR12),IF(AND(HV12&lt;&gt;"",N(CHOOSE(HV12,FN12,FR12,FV12,FZ12,GD12,GH12,GL12,GP12))&gt;0.005),INDEX(DebtNames,HV12),""))))))))</f>
        <v/>
      </c>
      <c r="FH12">
        <f>N(HY12)</f>
        <v/>
      </c>
      <c r="FI12">
        <f>N(FP12)+N(FT12)+N(FX12)+N(GB12)+N(GF12)+N(GJ12)+N(GN12)+N(GR12)</f>
        <v/>
      </c>
      <c r="FJ12">
        <f>N(FO12)+N(FS12)+N(FW12)+N(GA12)+N(GE12)+N(GI12)+N(GM12)+N(GQ12)</f>
        <v/>
      </c>
      <c r="FK12">
        <f>N(FK11)+N(FJ12)</f>
        <v/>
      </c>
      <c r="FL12">
        <f>N(FQ12)+N(FU12)+N(FY12)+N(GC12)+N(GG12)+N(GK12)+N(GO12)+N(GS12)</f>
        <v/>
      </c>
      <c r="FM12">
        <f>(FQ12&gt;0.005)*1+(FU12&gt;0.005)*1+(FY12&gt;0.005)*1+(GC12&gt;0.005)*1+(GG12&gt;0.005)*1+(GK12&gt;0.005)*1+(GO12&gt;0.005)*1+(GS12&gt;0.005)*1</f>
        <v/>
      </c>
      <c r="FN12">
        <f>N(FQ11)</f>
        <v/>
      </c>
      <c r="FO12">
        <f>IF(N(FN12)&lt;=0.005,0,ROUND(N(FN12)*N('Debt List'!E5)/12,2))</f>
        <v/>
      </c>
      <c r="FP12">
        <f>IF(N(FN12)&lt;=0.005,0,MIN(N('Debt List'!F5),N(FN12)+N(FO12)))+((GT12=1)*GV12+(GX12=1)*GZ12+(HB12=1)*HD12+(HF12=1)*HH12+(HJ12=1)*HL12+(HN12=1)*HP12+(HR12=1)*HT12+(HV12=1)*HX12)</f>
        <v/>
      </c>
      <c r="FQ12">
        <f>MAX(0,ROUND(N(FN12)+N(FO12)-N(FP12),2))</f>
        <v/>
      </c>
      <c r="FR12">
        <f>N(FU11)</f>
        <v/>
      </c>
      <c r="FS12">
        <f>IF(N(FR12)&lt;=0.005,0,ROUND(N(FR12)*N('Debt List'!E6)/12,2))</f>
        <v/>
      </c>
      <c r="FT12">
        <f>IF(N(FR12)&lt;=0.005,0,MIN(N('Debt List'!F6),N(FR12)+N(FS12)))+((GT12=2)*GV12+(GX12=2)*GZ12+(HB12=2)*HD12+(HF12=2)*HH12+(HJ12=2)*HL12+(HN12=2)*HP12+(HR12=2)*HT12+(HV12=2)*HX12)</f>
        <v/>
      </c>
      <c r="FU12">
        <f>MAX(0,ROUND(N(FR12)+N(FS12)-N(FT12),2))</f>
        <v/>
      </c>
      <c r="FV12">
        <f>N(FY11)</f>
        <v/>
      </c>
      <c r="FW12">
        <f>IF(N(FV12)&lt;=0.005,0,ROUND(N(FV12)*N('Debt List'!E7)/12,2))</f>
        <v/>
      </c>
      <c r="FX12">
        <f>IF(N(FV12)&lt;=0.005,0,MIN(N('Debt List'!F7),N(FV12)+N(FW12)))+((GT12=3)*GV12+(GX12=3)*GZ12+(HB12=3)*HD12+(HF12=3)*HH12+(HJ12=3)*HL12+(HN12=3)*HP12+(HR12=3)*HT12+(HV12=3)*HX12)</f>
        <v/>
      </c>
      <c r="FY12">
        <f>MAX(0,ROUND(N(FV12)+N(FW12)-N(FX12),2))</f>
        <v/>
      </c>
      <c r="FZ12">
        <f>N(GC11)</f>
        <v/>
      </c>
      <c r="GA12">
        <f>IF(N(FZ12)&lt;=0.005,0,ROUND(N(FZ12)*N('Debt List'!E8)/12,2))</f>
        <v/>
      </c>
      <c r="GB12">
        <f>IF(N(FZ12)&lt;=0.005,0,MIN(N('Debt List'!F8),N(FZ12)+N(GA12)))+((GT12=4)*GV12+(GX12=4)*GZ12+(HB12=4)*HD12+(HF12=4)*HH12+(HJ12=4)*HL12+(HN12=4)*HP12+(HR12=4)*HT12+(HV12=4)*HX12)</f>
        <v/>
      </c>
      <c r="GC12">
        <f>MAX(0,ROUND(N(FZ12)+N(GA12)-N(GB12),2))</f>
        <v/>
      </c>
      <c r="GD12">
        <f>N(GG11)</f>
        <v/>
      </c>
      <c r="GE12">
        <f>IF(N(GD12)&lt;=0.005,0,ROUND(N(GD12)*N('Debt List'!E9)/12,2))</f>
        <v/>
      </c>
      <c r="GF12">
        <f>IF(N(GD12)&lt;=0.005,0,MIN(N('Debt List'!F9),N(GD12)+N(GE12)))+((GT12=5)*GV12+(GX12=5)*GZ12+(HB12=5)*HD12+(HF12=5)*HH12+(HJ12=5)*HL12+(HN12=5)*HP12+(HR12=5)*HT12+(HV12=5)*HX12)</f>
        <v/>
      </c>
      <c r="GG12">
        <f>MAX(0,ROUND(N(GD12)+N(GE12)-N(GF12),2))</f>
        <v/>
      </c>
      <c r="GH12">
        <f>N(GK11)</f>
        <v/>
      </c>
      <c r="GI12">
        <f>IF(N(GH12)&lt;=0.005,0,ROUND(N(GH12)*N('Debt List'!E10)/12,2))</f>
        <v/>
      </c>
      <c r="GJ12">
        <f>IF(N(GH12)&lt;=0.005,0,MIN(N('Debt List'!F10),N(GH12)+N(GI12)))+((GT12=6)*GV12+(GX12=6)*GZ12+(HB12=6)*HD12+(HF12=6)*HH12+(HJ12=6)*HL12+(HN12=6)*HP12+(HR12=6)*HT12+(HV12=6)*HX12)</f>
        <v/>
      </c>
      <c r="GK12">
        <f>MAX(0,ROUND(N(GH12)+N(GI12)-N(GJ12),2))</f>
        <v/>
      </c>
      <c r="GL12">
        <f>N(GO11)</f>
        <v/>
      </c>
      <c r="GM12">
        <f>IF(N(GL12)&lt;=0.005,0,ROUND(N(GL12)*N('Debt List'!E11)/12,2))</f>
        <v/>
      </c>
      <c r="GN12">
        <f>IF(N(GL12)&lt;=0.005,0,MIN(N('Debt List'!F11),N(GL12)+N(GM12)))+((GT12=7)*GV12+(GX12=7)*GZ12+(HB12=7)*HD12+(HF12=7)*HH12+(HJ12=7)*HL12+(HN12=7)*HP12+(HR12=7)*HT12+(HV12=7)*HX12)</f>
        <v/>
      </c>
      <c r="GO12">
        <f>MAX(0,ROUND(N(GL12)+N(GM12)-N(GN12),2))</f>
        <v/>
      </c>
      <c r="GP12">
        <f>N(GS11)</f>
        <v/>
      </c>
      <c r="GQ12">
        <f>IF(N(GP12)&lt;=0.005,0,ROUND(N(GP12)*N('Debt List'!E12)/12,2))</f>
        <v/>
      </c>
      <c r="GR12">
        <f>IF(N(GP12)&lt;=0.005,0,MIN(N('Debt List'!F12),N(GP12)+N(GQ12)))+((GT12=8)*GV12+(GX12=8)*GZ12+(HB12=8)*HD12+(HF12=8)*HH12+(HJ12=8)*HL12+(HN12=8)*HP12+(HR12=8)*HT12+(HV12=8)*HX12)</f>
        <v/>
      </c>
      <c r="GS12">
        <f>MAX(0,ROUND(N(GP12)+N(GQ12)-N(GR12),2))</f>
        <v/>
      </c>
      <c r="GT12">
        <f>IFERROR(MATCH(1,OrderAval,0),"")</f>
        <v/>
      </c>
      <c r="GU12">
        <f>IF(GT12="",0,IFERROR(IF(N(CHOOSE(GT12,FN12,FR12,FV12,FZ12,GD12,GH12,GL12,GP12))&lt;=0.005,0,MAX(0,N(CHOOSE(GT12,FN12,FR12,FV12,FZ12,GD12,GH12,GL12,GP12))+N(CHOOSE(GT12,FO12,FS12,FW12,GA12,GE12,GI12,GM12,GQ12))-MIN(N(CHOOSE(GT12,'Debt List'!$F$5,'Debt List'!$F$6,'Debt List'!$F$7,'Debt List'!$F$8,'Debt List'!$F$9,'Debt List'!$F$10,'Debt List'!$F$11,'Debt List'!$F$12)),N(CHOOSE(GT12,FN12,FR12,FV12,FZ12,GD12,GH12,GL12,GP12))+N(CHOOSE(GT12,FO12,FS12,FW12,GA12,GE12,GI12,GM12,GQ12))))),0))</f>
        <v/>
      </c>
      <c r="GV12">
        <f>MIN(N(GU12),MAX(0,N(ExtraPayment)))</f>
        <v/>
      </c>
      <c r="GW12">
        <f>MAX(0,N(ExtraPayment)-N(GV12))</f>
        <v/>
      </c>
      <c r="GX12">
        <f>IFERROR(MATCH(2,OrderAval,0),"")</f>
        <v/>
      </c>
      <c r="GY12">
        <f>IF(GX12="",0,IFERROR(IF(N(CHOOSE(GX12,FN12,FR12,FV12,FZ12,GD12,GH12,GL12,GP12))&lt;=0.005,0,MAX(0,N(CHOOSE(GX12,FN12,FR12,FV12,FZ12,GD12,GH12,GL12,GP12))+N(CHOOSE(GX12,FO12,FS12,FW12,GA12,GE12,GI12,GM12,GQ12))-MIN(N(CHOOSE(GX12,'Debt List'!$F$5,'Debt List'!$F$6,'Debt List'!$F$7,'Debt List'!$F$8,'Debt List'!$F$9,'Debt List'!$F$10,'Debt List'!$F$11,'Debt List'!$F$12)),N(CHOOSE(GX12,FN12,FR12,FV12,FZ12,GD12,GH12,GL12,GP12))+N(CHOOSE(GX12,FO12,FS12,FW12,GA12,GE12,GI12,GM12,GQ12))))),0))</f>
        <v/>
      </c>
      <c r="GZ12">
        <f>MIN(N(GY12),MAX(0,N(GW12)))</f>
        <v/>
      </c>
      <c r="HA12">
        <f>MAX(0,N(GW12)-N(GZ12))</f>
        <v/>
      </c>
      <c r="HB12">
        <f>IFERROR(MATCH(3,OrderAval,0),"")</f>
        <v/>
      </c>
      <c r="HC12">
        <f>IF(HB12="",0,IFERROR(IF(N(CHOOSE(HB12,FN12,FR12,FV12,FZ12,GD12,GH12,GL12,GP12))&lt;=0.005,0,MAX(0,N(CHOOSE(HB12,FN12,FR12,FV12,FZ12,GD12,GH12,GL12,GP12))+N(CHOOSE(HB12,FO12,FS12,FW12,GA12,GE12,GI12,GM12,GQ12))-MIN(N(CHOOSE(HB12,'Debt List'!$F$5,'Debt List'!$F$6,'Debt List'!$F$7,'Debt List'!$F$8,'Debt List'!$F$9,'Debt List'!$F$10,'Debt List'!$F$11,'Debt List'!$F$12)),N(CHOOSE(HB12,FN12,FR12,FV12,FZ12,GD12,GH12,GL12,GP12))+N(CHOOSE(HB12,FO12,FS12,FW12,GA12,GE12,GI12,GM12,GQ12))))),0))</f>
        <v/>
      </c>
      <c r="HD12">
        <f>MIN(N(HC12),MAX(0,N(HA12)))</f>
        <v/>
      </c>
      <c r="HE12">
        <f>MAX(0,N(HA12)-N(HD12))</f>
        <v/>
      </c>
      <c r="HF12">
        <f>IFERROR(MATCH(4,OrderAval,0),"")</f>
        <v/>
      </c>
      <c r="HG12">
        <f>IF(HF12="",0,IFERROR(IF(N(CHOOSE(HF12,FN12,FR12,FV12,FZ12,GD12,GH12,GL12,GP12))&lt;=0.005,0,MAX(0,N(CHOOSE(HF12,FN12,FR12,FV12,FZ12,GD12,GH12,GL12,GP12))+N(CHOOSE(HF12,FO12,FS12,FW12,GA12,GE12,GI12,GM12,GQ12))-MIN(N(CHOOSE(HF12,'Debt List'!$F$5,'Debt List'!$F$6,'Debt List'!$F$7,'Debt List'!$F$8,'Debt List'!$F$9,'Debt List'!$F$10,'Debt List'!$F$11,'Debt List'!$F$12)),N(CHOOSE(HF12,FN12,FR12,FV12,FZ12,GD12,GH12,GL12,GP12))+N(CHOOSE(HF12,FO12,FS12,FW12,GA12,GE12,GI12,GM12,GQ12))))),0))</f>
        <v/>
      </c>
      <c r="HH12">
        <f>MIN(N(HG12),MAX(0,N(HE12)))</f>
        <v/>
      </c>
      <c r="HI12">
        <f>MAX(0,N(HE12)-N(HH12))</f>
        <v/>
      </c>
      <c r="HJ12">
        <f>IFERROR(MATCH(5,OrderAval,0),"")</f>
        <v/>
      </c>
      <c r="HK12">
        <f>IF(HJ12="",0,IFERROR(IF(N(CHOOSE(HJ12,FN12,FR12,FV12,FZ12,GD12,GH12,GL12,GP12))&lt;=0.005,0,MAX(0,N(CHOOSE(HJ12,FN12,FR12,FV12,FZ12,GD12,GH12,GL12,GP12))+N(CHOOSE(HJ12,FO12,FS12,FW12,GA12,GE12,GI12,GM12,GQ12))-MIN(N(CHOOSE(HJ12,'Debt List'!$F$5,'Debt List'!$F$6,'Debt List'!$F$7,'Debt List'!$F$8,'Debt List'!$F$9,'Debt List'!$F$10,'Debt List'!$F$11,'Debt List'!$F$12)),N(CHOOSE(HJ12,FN12,FR12,FV12,FZ12,GD12,GH12,GL12,GP12))+N(CHOOSE(HJ12,FO12,FS12,FW12,GA12,GE12,GI12,GM12,GQ12))))),0))</f>
        <v/>
      </c>
      <c r="HL12">
        <f>MIN(N(HK12),MAX(0,N(HI12)))</f>
        <v/>
      </c>
      <c r="HM12">
        <f>MAX(0,N(HI12)-N(HL12))</f>
        <v/>
      </c>
      <c r="HN12">
        <f>IFERROR(MATCH(6,OrderAval,0),"")</f>
        <v/>
      </c>
      <c r="HO12">
        <f>IF(HN12="",0,IFERROR(IF(N(CHOOSE(HN12,FN12,FR12,FV12,FZ12,GD12,GH12,GL12,GP12))&lt;=0.005,0,MAX(0,N(CHOOSE(HN12,FN12,FR12,FV12,FZ12,GD12,GH12,GL12,GP12))+N(CHOOSE(HN12,FO12,FS12,FW12,GA12,GE12,GI12,GM12,GQ12))-MIN(N(CHOOSE(HN12,'Debt List'!$F$5,'Debt List'!$F$6,'Debt List'!$F$7,'Debt List'!$F$8,'Debt List'!$F$9,'Debt List'!$F$10,'Debt List'!$F$11,'Debt List'!$F$12)),N(CHOOSE(HN12,FN12,FR12,FV12,FZ12,GD12,GH12,GL12,GP12))+N(CHOOSE(HN12,FO12,FS12,FW12,GA12,GE12,GI12,GM12,GQ12))))),0))</f>
        <v/>
      </c>
      <c r="HP12">
        <f>MIN(N(HO12),MAX(0,N(HM12)))</f>
        <v/>
      </c>
      <c r="HQ12">
        <f>MAX(0,N(HM12)-N(HP12))</f>
        <v/>
      </c>
      <c r="HR12">
        <f>IFERROR(MATCH(7,OrderAval,0),"")</f>
        <v/>
      </c>
      <c r="HS12">
        <f>IF(HR12="",0,IFERROR(IF(N(CHOOSE(HR12,FN12,FR12,FV12,FZ12,GD12,GH12,GL12,GP12))&lt;=0.005,0,MAX(0,N(CHOOSE(HR12,FN12,FR12,FV12,FZ12,GD12,GH12,GL12,GP12))+N(CHOOSE(HR12,FO12,FS12,FW12,GA12,GE12,GI12,GM12,GQ12))-MIN(N(CHOOSE(HR12,'Debt List'!$F$5,'Debt List'!$F$6,'Debt List'!$F$7,'Debt List'!$F$8,'Debt List'!$F$9,'Debt List'!$F$10,'Debt List'!$F$11,'Debt List'!$F$12)),N(CHOOSE(HR12,FN12,FR12,FV12,FZ12,GD12,GH12,GL12,GP12))+N(CHOOSE(HR12,FO12,FS12,FW12,GA12,GE12,GI12,GM12,GQ12))))),0))</f>
        <v/>
      </c>
      <c r="HT12">
        <f>MIN(N(HS12),MAX(0,N(HQ12)))</f>
        <v/>
      </c>
      <c r="HU12">
        <f>MAX(0,N(HQ12)-N(HT12))</f>
        <v/>
      </c>
      <c r="HV12">
        <f>IFERROR(MATCH(8,OrderAval,0),"")</f>
        <v/>
      </c>
      <c r="HW12">
        <f>IF(HV12="",0,IFERROR(IF(N(CHOOSE(HV12,FN12,FR12,FV12,FZ12,GD12,GH12,GL12,GP12))&lt;=0.005,0,MAX(0,N(CHOOSE(HV12,FN12,FR12,FV12,FZ12,GD12,GH12,GL12,GP12))+N(CHOOSE(HV12,FO12,FS12,FW12,GA12,GE12,GI12,GM12,GQ12))-MIN(N(CHOOSE(HV12,'Debt List'!$F$5,'Debt List'!$F$6,'Debt List'!$F$7,'Debt List'!$F$8,'Debt List'!$F$9,'Debt List'!$F$10,'Debt List'!$F$11,'Debt List'!$F$12)),N(CHOOSE(HV12,FN12,FR12,FV12,FZ12,GD12,GH12,GL12,GP12))+N(CHOOSE(HV12,FO12,FS12,FW12,GA12,GE12,GI12,GM12,GQ12))))),0))</f>
        <v/>
      </c>
      <c r="HX12">
        <f>MIN(N(HW12),MAX(0,N(HU12)))</f>
        <v/>
      </c>
      <c r="HY12">
        <f>MAX(0,N(HU12)-N(HX12))</f>
        <v/>
      </c>
    </row>
    <row r="13">
      <c r="A13" t="n">
        <v>9</v>
      </c>
      <c r="B13" s="115">
        <f>DATE(YEAR(PlanStart),MONTH(PlanStart)+A13-1,1)</f>
        <v/>
      </c>
      <c r="C13">
        <f>IF(AND(AP13&lt;&gt;"",N(CHOOSE(AP13,J13,N13,R13,V13,Z13,AD13,AH13,AL13))&gt;0.005),INDEX(DebtNames,AP13),IF(AND(AT13&lt;&gt;"",N(CHOOSE(AT13,J13,N13,R13,V13,Z13,AD13,AH13,AL13))&gt;0.005),INDEX(DebtNames,AT13),IF(AND(AX13&lt;&gt;"",N(CHOOSE(AX13,J13,N13,R13,V13,Z13,AD13,AH13,AL13))&gt;0.005),INDEX(DebtNames,AX13),IF(AND(BB13&lt;&gt;"",N(CHOOSE(BB13,J13,N13,R13,V13,Z13,AD13,AH13,AL13))&gt;0.005),INDEX(DebtNames,BB13),IF(AND(BF13&lt;&gt;"",N(CHOOSE(BF13,J13,N13,R13,V13,Z13,AD13,AH13,AL13))&gt;0.005),INDEX(DebtNames,BF13),IF(AND(BJ13&lt;&gt;"",N(CHOOSE(BJ13,J13,N13,R13,V13,Z13,AD13,AH13,AL13))&gt;0.005),INDEX(DebtNames,BJ13),IF(AND(BN13&lt;&gt;"",N(CHOOSE(BN13,J13,N13,R13,V13,Z13,AD13,AH13,AL13))&gt;0.005),INDEX(DebtNames,BN13),IF(AND(BR13&lt;&gt;"",N(CHOOSE(BR13,J13,N13,R13,V13,Z13,AD13,AH13,AL13))&gt;0.005),INDEX(DebtNames,BR13),""))))))))</f>
        <v/>
      </c>
      <c r="D13">
        <f>N(BU13)</f>
        <v/>
      </c>
      <c r="E13">
        <f>N(L13)+N(P13)+N(T13)+N(X13)+N(AB13)+N(AF13)+N(AJ13)+N(AN13)</f>
        <v/>
      </c>
      <c r="F13">
        <f>N(K13)+N(O13)+N(S13)+N(W13)+N(AA13)+N(AE13)+N(AI13)+N(AM13)</f>
        <v/>
      </c>
      <c r="G13">
        <f>N(G12)+N(F13)</f>
        <v/>
      </c>
      <c r="H13">
        <f>N(M13)+N(Q13)+N(U13)+N(Y13)+N(AC13)+N(AG13)+N(AK13)+N(AO13)</f>
        <v/>
      </c>
      <c r="I13">
        <f>(M13&gt;0.005)*1+(Q13&gt;0.005)*1+(U13&gt;0.005)*1+(Y13&gt;0.005)*1+(AC13&gt;0.005)*1+(AG13&gt;0.005)*1+(AK13&gt;0.005)*1+(AO13&gt;0.005)*1</f>
        <v/>
      </c>
      <c r="J13">
        <f>N(M12)</f>
        <v/>
      </c>
      <c r="K13">
        <f>IF(N(J13)&lt;=0.005,0,ROUND(N(J13)*N('Debt List'!E5)/12,2))</f>
        <v/>
      </c>
      <c r="L13">
        <f>IF(N(J13)&lt;=0.005,0,MIN(N('Debt List'!F5),N(J13)+N(K13)))+((AP13=1)*AR13+(AT13=1)*AV13+(AX13=1)*AZ13+(BB13=1)*BD13+(BF13=1)*BH13+(BJ13=1)*BL13+(BN13=1)*BP13+(BR13=1)*BT13)</f>
        <v/>
      </c>
      <c r="M13">
        <f>MAX(0,ROUND(N(J13)+N(K13)-N(L13),2))</f>
        <v/>
      </c>
      <c r="N13">
        <f>N(Q12)</f>
        <v/>
      </c>
      <c r="O13">
        <f>IF(N(N13)&lt;=0.005,0,ROUND(N(N13)*N('Debt List'!E6)/12,2))</f>
        <v/>
      </c>
      <c r="P13">
        <f>IF(N(N13)&lt;=0.005,0,MIN(N('Debt List'!F6),N(N13)+N(O13)))+((AP13=2)*AR13+(AT13=2)*AV13+(AX13=2)*AZ13+(BB13=2)*BD13+(BF13=2)*BH13+(BJ13=2)*BL13+(BN13=2)*BP13+(BR13=2)*BT13)</f>
        <v/>
      </c>
      <c r="Q13">
        <f>MAX(0,ROUND(N(N13)+N(O13)-N(P13),2))</f>
        <v/>
      </c>
      <c r="R13">
        <f>N(U12)</f>
        <v/>
      </c>
      <c r="S13">
        <f>IF(N(R13)&lt;=0.005,0,ROUND(N(R13)*N('Debt List'!E7)/12,2))</f>
        <v/>
      </c>
      <c r="T13">
        <f>IF(N(R13)&lt;=0.005,0,MIN(N('Debt List'!F7),N(R13)+N(S13)))+((AP13=3)*AR13+(AT13=3)*AV13+(AX13=3)*AZ13+(BB13=3)*BD13+(BF13=3)*BH13+(BJ13=3)*BL13+(BN13=3)*BP13+(BR13=3)*BT13)</f>
        <v/>
      </c>
      <c r="U13">
        <f>MAX(0,ROUND(N(R13)+N(S13)-N(T13),2))</f>
        <v/>
      </c>
      <c r="V13">
        <f>N(Y12)</f>
        <v/>
      </c>
      <c r="W13">
        <f>IF(N(V13)&lt;=0.005,0,ROUND(N(V13)*N('Debt List'!E8)/12,2))</f>
        <v/>
      </c>
      <c r="X13">
        <f>IF(N(V13)&lt;=0.005,0,MIN(N('Debt List'!F8),N(V13)+N(W13)))+((AP13=4)*AR13+(AT13=4)*AV13+(AX13=4)*AZ13+(BB13=4)*BD13+(BF13=4)*BH13+(BJ13=4)*BL13+(BN13=4)*BP13+(BR13=4)*BT13)</f>
        <v/>
      </c>
      <c r="Y13">
        <f>MAX(0,ROUND(N(V13)+N(W13)-N(X13),2))</f>
        <v/>
      </c>
      <c r="Z13">
        <f>N(AC12)</f>
        <v/>
      </c>
      <c r="AA13">
        <f>IF(N(Z13)&lt;=0.005,0,ROUND(N(Z13)*N('Debt List'!E9)/12,2))</f>
        <v/>
      </c>
      <c r="AB13">
        <f>IF(N(Z13)&lt;=0.005,0,MIN(N('Debt List'!F9),N(Z13)+N(AA13)))+((AP13=5)*AR13+(AT13=5)*AV13+(AX13=5)*AZ13+(BB13=5)*BD13+(BF13=5)*BH13+(BJ13=5)*BL13+(BN13=5)*BP13+(BR13=5)*BT13)</f>
        <v/>
      </c>
      <c r="AC13">
        <f>MAX(0,ROUND(N(Z13)+N(AA13)-N(AB13),2))</f>
        <v/>
      </c>
      <c r="AD13">
        <f>N(AG12)</f>
        <v/>
      </c>
      <c r="AE13">
        <f>IF(N(AD13)&lt;=0.005,0,ROUND(N(AD13)*N('Debt List'!E10)/12,2))</f>
        <v/>
      </c>
      <c r="AF13">
        <f>IF(N(AD13)&lt;=0.005,0,MIN(N('Debt List'!F10),N(AD13)+N(AE13)))+((AP13=6)*AR13+(AT13=6)*AV13+(AX13=6)*AZ13+(BB13=6)*BD13+(BF13=6)*BH13+(BJ13=6)*BL13+(BN13=6)*BP13+(BR13=6)*BT13)</f>
        <v/>
      </c>
      <c r="AG13">
        <f>MAX(0,ROUND(N(AD13)+N(AE13)-N(AF13),2))</f>
        <v/>
      </c>
      <c r="AH13">
        <f>N(AK12)</f>
        <v/>
      </c>
      <c r="AI13">
        <f>IF(N(AH13)&lt;=0.005,0,ROUND(N(AH13)*N('Debt List'!E11)/12,2))</f>
        <v/>
      </c>
      <c r="AJ13">
        <f>IF(N(AH13)&lt;=0.005,0,MIN(N('Debt List'!F11),N(AH13)+N(AI13)))+((AP13=7)*AR13+(AT13=7)*AV13+(AX13=7)*AZ13+(BB13=7)*BD13+(BF13=7)*BH13+(BJ13=7)*BL13+(BN13=7)*BP13+(BR13=7)*BT13)</f>
        <v/>
      </c>
      <c r="AK13">
        <f>MAX(0,ROUND(N(AH13)+N(AI13)-N(AJ13),2))</f>
        <v/>
      </c>
      <c r="AL13">
        <f>N(AO12)</f>
        <v/>
      </c>
      <c r="AM13">
        <f>IF(N(AL13)&lt;=0.005,0,ROUND(N(AL13)*N('Debt List'!E12)/12,2))</f>
        <v/>
      </c>
      <c r="AN13">
        <f>IF(N(AL13)&lt;=0.005,0,MIN(N('Debt List'!F12),N(AL13)+N(AM13)))+((AP13=8)*AR13+(AT13=8)*AV13+(AX13=8)*AZ13+(BB13=8)*BD13+(BF13=8)*BH13+(BJ13=8)*BL13+(BN13=8)*BP13+(BR13=8)*BT13)</f>
        <v/>
      </c>
      <c r="AO13">
        <f>MAX(0,ROUND(N(AL13)+N(AM13)-N(AN13),2))</f>
        <v/>
      </c>
      <c r="AP13">
        <f>IFERROR(MATCH(1,OrderPlan,0),"")</f>
        <v/>
      </c>
      <c r="AQ13">
        <f>IF(AP13="",0,IFERROR(IF(N(CHOOSE(AP13,J13,N13,R13,V13,Z13,AD13,AH13,AL13))&lt;=0.005,0,MAX(0,N(CHOOSE(AP13,J13,N13,R13,V13,Z13,AD13,AH13,AL13))+N(CHOOSE(AP13,K13,O13,S13,W13,AA13,AE13,AI13,AM13))-MIN(N(CHOOSE(AP13,'Debt List'!$F$5,'Debt List'!$F$6,'Debt List'!$F$7,'Debt List'!$F$8,'Debt List'!$F$9,'Debt List'!$F$10,'Debt List'!$F$11,'Debt List'!$F$12)),N(CHOOSE(AP13,J13,N13,R13,V13,Z13,AD13,AH13,AL13))+N(CHOOSE(AP13,K13,O13,S13,W13,AA13,AE13,AI13,AM13))))),0))</f>
        <v/>
      </c>
      <c r="AR13">
        <f>MIN(N(AQ13),MAX(0,N(ExtraPayment)))</f>
        <v/>
      </c>
      <c r="AS13">
        <f>MAX(0,N(ExtraPayment)-N(AR13))</f>
        <v/>
      </c>
      <c r="AT13">
        <f>IFERROR(MATCH(2,OrderPlan,0),"")</f>
        <v/>
      </c>
      <c r="AU13">
        <f>IF(AT13="",0,IFERROR(IF(N(CHOOSE(AT13,J13,N13,R13,V13,Z13,AD13,AH13,AL13))&lt;=0.005,0,MAX(0,N(CHOOSE(AT13,J13,N13,R13,V13,Z13,AD13,AH13,AL13))+N(CHOOSE(AT13,K13,O13,S13,W13,AA13,AE13,AI13,AM13))-MIN(N(CHOOSE(AT13,'Debt List'!$F$5,'Debt List'!$F$6,'Debt List'!$F$7,'Debt List'!$F$8,'Debt List'!$F$9,'Debt List'!$F$10,'Debt List'!$F$11,'Debt List'!$F$12)),N(CHOOSE(AT13,J13,N13,R13,V13,Z13,AD13,AH13,AL13))+N(CHOOSE(AT13,K13,O13,S13,W13,AA13,AE13,AI13,AM13))))),0))</f>
        <v/>
      </c>
      <c r="AV13">
        <f>MIN(N(AU13),MAX(0,N(AS13)))</f>
        <v/>
      </c>
      <c r="AW13">
        <f>MAX(0,N(AS13)-N(AV13))</f>
        <v/>
      </c>
      <c r="AX13">
        <f>IFERROR(MATCH(3,OrderPlan,0),"")</f>
        <v/>
      </c>
      <c r="AY13">
        <f>IF(AX13="",0,IFERROR(IF(N(CHOOSE(AX13,J13,N13,R13,V13,Z13,AD13,AH13,AL13))&lt;=0.005,0,MAX(0,N(CHOOSE(AX13,J13,N13,R13,V13,Z13,AD13,AH13,AL13))+N(CHOOSE(AX13,K13,O13,S13,W13,AA13,AE13,AI13,AM13))-MIN(N(CHOOSE(AX13,'Debt List'!$F$5,'Debt List'!$F$6,'Debt List'!$F$7,'Debt List'!$F$8,'Debt List'!$F$9,'Debt List'!$F$10,'Debt List'!$F$11,'Debt List'!$F$12)),N(CHOOSE(AX13,J13,N13,R13,V13,Z13,AD13,AH13,AL13))+N(CHOOSE(AX13,K13,O13,S13,W13,AA13,AE13,AI13,AM13))))),0))</f>
        <v/>
      </c>
      <c r="AZ13">
        <f>MIN(N(AY13),MAX(0,N(AW13)))</f>
        <v/>
      </c>
      <c r="BA13">
        <f>MAX(0,N(AW13)-N(AZ13))</f>
        <v/>
      </c>
      <c r="BB13">
        <f>IFERROR(MATCH(4,OrderPlan,0),"")</f>
        <v/>
      </c>
      <c r="BC13">
        <f>IF(BB13="",0,IFERROR(IF(N(CHOOSE(BB13,J13,N13,R13,V13,Z13,AD13,AH13,AL13))&lt;=0.005,0,MAX(0,N(CHOOSE(BB13,J13,N13,R13,V13,Z13,AD13,AH13,AL13))+N(CHOOSE(BB13,K13,O13,S13,W13,AA13,AE13,AI13,AM13))-MIN(N(CHOOSE(BB13,'Debt List'!$F$5,'Debt List'!$F$6,'Debt List'!$F$7,'Debt List'!$F$8,'Debt List'!$F$9,'Debt List'!$F$10,'Debt List'!$F$11,'Debt List'!$F$12)),N(CHOOSE(BB13,J13,N13,R13,V13,Z13,AD13,AH13,AL13))+N(CHOOSE(BB13,K13,O13,S13,W13,AA13,AE13,AI13,AM13))))),0))</f>
        <v/>
      </c>
      <c r="BD13">
        <f>MIN(N(BC13),MAX(0,N(BA13)))</f>
        <v/>
      </c>
      <c r="BE13">
        <f>MAX(0,N(BA13)-N(BD13))</f>
        <v/>
      </c>
      <c r="BF13">
        <f>IFERROR(MATCH(5,OrderPlan,0),"")</f>
        <v/>
      </c>
      <c r="BG13">
        <f>IF(BF13="",0,IFERROR(IF(N(CHOOSE(BF13,J13,N13,R13,V13,Z13,AD13,AH13,AL13))&lt;=0.005,0,MAX(0,N(CHOOSE(BF13,J13,N13,R13,V13,Z13,AD13,AH13,AL13))+N(CHOOSE(BF13,K13,O13,S13,W13,AA13,AE13,AI13,AM13))-MIN(N(CHOOSE(BF13,'Debt List'!$F$5,'Debt List'!$F$6,'Debt List'!$F$7,'Debt List'!$F$8,'Debt List'!$F$9,'Debt List'!$F$10,'Debt List'!$F$11,'Debt List'!$F$12)),N(CHOOSE(BF13,J13,N13,R13,V13,Z13,AD13,AH13,AL13))+N(CHOOSE(BF13,K13,O13,S13,W13,AA13,AE13,AI13,AM13))))),0))</f>
        <v/>
      </c>
      <c r="BH13">
        <f>MIN(N(BG13),MAX(0,N(BE13)))</f>
        <v/>
      </c>
      <c r="BI13">
        <f>MAX(0,N(BE13)-N(BH13))</f>
        <v/>
      </c>
      <c r="BJ13">
        <f>IFERROR(MATCH(6,OrderPlan,0),"")</f>
        <v/>
      </c>
      <c r="BK13">
        <f>IF(BJ13="",0,IFERROR(IF(N(CHOOSE(BJ13,J13,N13,R13,V13,Z13,AD13,AH13,AL13))&lt;=0.005,0,MAX(0,N(CHOOSE(BJ13,J13,N13,R13,V13,Z13,AD13,AH13,AL13))+N(CHOOSE(BJ13,K13,O13,S13,W13,AA13,AE13,AI13,AM13))-MIN(N(CHOOSE(BJ13,'Debt List'!$F$5,'Debt List'!$F$6,'Debt List'!$F$7,'Debt List'!$F$8,'Debt List'!$F$9,'Debt List'!$F$10,'Debt List'!$F$11,'Debt List'!$F$12)),N(CHOOSE(BJ13,J13,N13,R13,V13,Z13,AD13,AH13,AL13))+N(CHOOSE(BJ13,K13,O13,S13,W13,AA13,AE13,AI13,AM13))))),0))</f>
        <v/>
      </c>
      <c r="BL13">
        <f>MIN(N(BK13),MAX(0,N(BI13)))</f>
        <v/>
      </c>
      <c r="BM13">
        <f>MAX(0,N(BI13)-N(BL13))</f>
        <v/>
      </c>
      <c r="BN13">
        <f>IFERROR(MATCH(7,OrderPlan,0),"")</f>
        <v/>
      </c>
      <c r="BO13">
        <f>IF(BN13="",0,IFERROR(IF(N(CHOOSE(BN13,J13,N13,R13,V13,Z13,AD13,AH13,AL13))&lt;=0.005,0,MAX(0,N(CHOOSE(BN13,J13,N13,R13,V13,Z13,AD13,AH13,AL13))+N(CHOOSE(BN13,K13,O13,S13,W13,AA13,AE13,AI13,AM13))-MIN(N(CHOOSE(BN13,'Debt List'!$F$5,'Debt List'!$F$6,'Debt List'!$F$7,'Debt List'!$F$8,'Debt List'!$F$9,'Debt List'!$F$10,'Debt List'!$F$11,'Debt List'!$F$12)),N(CHOOSE(BN13,J13,N13,R13,V13,Z13,AD13,AH13,AL13))+N(CHOOSE(BN13,K13,O13,S13,W13,AA13,AE13,AI13,AM13))))),0))</f>
        <v/>
      </c>
      <c r="BP13">
        <f>MIN(N(BO13),MAX(0,N(BM13)))</f>
        <v/>
      </c>
      <c r="BQ13">
        <f>MAX(0,N(BM13)-N(BP13))</f>
        <v/>
      </c>
      <c r="BR13">
        <f>IFERROR(MATCH(8,OrderPlan,0),"")</f>
        <v/>
      </c>
      <c r="BS13">
        <f>IF(BR13="",0,IFERROR(IF(N(CHOOSE(BR13,J13,N13,R13,V13,Z13,AD13,AH13,AL13))&lt;=0.005,0,MAX(0,N(CHOOSE(BR13,J13,N13,R13,V13,Z13,AD13,AH13,AL13))+N(CHOOSE(BR13,K13,O13,S13,W13,AA13,AE13,AI13,AM13))-MIN(N(CHOOSE(BR13,'Debt List'!$F$5,'Debt List'!$F$6,'Debt List'!$F$7,'Debt List'!$F$8,'Debt List'!$F$9,'Debt List'!$F$10,'Debt List'!$F$11,'Debt List'!$F$12)),N(CHOOSE(BR13,J13,N13,R13,V13,Z13,AD13,AH13,AL13))+N(CHOOSE(BR13,K13,O13,S13,W13,AA13,AE13,AI13,AM13))))),0))</f>
        <v/>
      </c>
      <c r="BT13">
        <f>MIN(N(BS13),MAX(0,N(BQ13)))</f>
        <v/>
      </c>
      <c r="BU13">
        <f>MAX(0,N(BQ13)-N(BT13))</f>
        <v/>
      </c>
      <c r="CC13" t="n">
        <v>9</v>
      </c>
      <c r="CD13" s="115">
        <f>DATE(YEAR(PlanStart),MONTH(PlanStart)+CC13-1,1)</f>
        <v/>
      </c>
      <c r="CE13">
        <f>IF(AND(DR13&lt;&gt;"",N(CHOOSE(DR13,CL13,CP13,CT13,CX13,DB13,DF13,DJ13,DN13))&gt;0.005),INDEX(DebtNames,DR13),IF(AND(DV13&lt;&gt;"",N(CHOOSE(DV13,CL13,CP13,CT13,CX13,DB13,DF13,DJ13,DN13))&gt;0.005),INDEX(DebtNames,DV13),IF(AND(DZ13&lt;&gt;"",N(CHOOSE(DZ13,CL13,CP13,CT13,CX13,DB13,DF13,DJ13,DN13))&gt;0.005),INDEX(DebtNames,DZ13),IF(AND(ED13&lt;&gt;"",N(CHOOSE(ED13,CL13,CP13,CT13,CX13,DB13,DF13,DJ13,DN13))&gt;0.005),INDEX(DebtNames,ED13),IF(AND(EH13&lt;&gt;"",N(CHOOSE(EH13,CL13,CP13,CT13,CX13,DB13,DF13,DJ13,DN13))&gt;0.005),INDEX(DebtNames,EH13),IF(AND(EL13&lt;&gt;"",N(CHOOSE(EL13,CL13,CP13,CT13,CX13,DB13,DF13,DJ13,DN13))&gt;0.005),INDEX(DebtNames,EL13),IF(AND(EP13&lt;&gt;"",N(CHOOSE(EP13,CL13,CP13,CT13,CX13,DB13,DF13,DJ13,DN13))&gt;0.005),INDEX(DebtNames,EP13),IF(AND(ET13&lt;&gt;"",N(CHOOSE(ET13,CL13,CP13,CT13,CX13,DB13,DF13,DJ13,DN13))&gt;0.005),INDEX(DebtNames,ET13),""))))))))</f>
        <v/>
      </c>
      <c r="CF13">
        <f>N(EW13)</f>
        <v/>
      </c>
      <c r="CG13">
        <f>N(CN13)+N(CR13)+N(CV13)+N(CZ13)+N(DD13)+N(DH13)+N(DL13)+N(DP13)</f>
        <v/>
      </c>
      <c r="CH13">
        <f>N(CM13)+N(CQ13)+N(CU13)+N(CY13)+N(DC13)+N(DG13)+N(DK13)+N(DO13)</f>
        <v/>
      </c>
      <c r="CI13">
        <f>N(CI12)+N(CH13)</f>
        <v/>
      </c>
      <c r="CJ13">
        <f>N(CO13)+N(CS13)+N(CW13)+N(DA13)+N(DE13)+N(DI13)+N(DM13)+N(DQ13)</f>
        <v/>
      </c>
      <c r="CK13">
        <f>(CO13&gt;0.005)*1+(CS13&gt;0.005)*1+(CW13&gt;0.005)*1+(DA13&gt;0.005)*1+(DE13&gt;0.005)*1+(DI13&gt;0.005)*1+(DM13&gt;0.005)*1+(DQ13&gt;0.005)*1</f>
        <v/>
      </c>
      <c r="CL13">
        <f>N(CO12)</f>
        <v/>
      </c>
      <c r="CM13">
        <f>IF(N(CL13)&lt;=0.005,0,ROUND(N(CL13)*N('Debt List'!E5)/12,2))</f>
        <v/>
      </c>
      <c r="CN13">
        <f>IF(N(CL13)&lt;=0.005,0,MIN(N('Debt List'!F5),N(CL13)+N(CM13)))+((DR13=1)*DT13+(DV13=1)*DX13+(DZ13=1)*EB13+(ED13=1)*EF13+(EH13=1)*EJ13+(EL13=1)*EN13+(EP13=1)*ER13+(ET13=1)*EV13)</f>
        <v/>
      </c>
      <c r="CO13">
        <f>MAX(0,ROUND(N(CL13)+N(CM13)-N(CN13),2))</f>
        <v/>
      </c>
      <c r="CP13">
        <f>N(CS12)</f>
        <v/>
      </c>
      <c r="CQ13">
        <f>IF(N(CP13)&lt;=0.005,0,ROUND(N(CP13)*N('Debt List'!E6)/12,2))</f>
        <v/>
      </c>
      <c r="CR13">
        <f>IF(N(CP13)&lt;=0.005,0,MIN(N('Debt List'!F6),N(CP13)+N(CQ13)))+((DR13=2)*DT13+(DV13=2)*DX13+(DZ13=2)*EB13+(ED13=2)*EF13+(EH13=2)*EJ13+(EL13=2)*EN13+(EP13=2)*ER13+(ET13=2)*EV13)</f>
        <v/>
      </c>
      <c r="CS13">
        <f>MAX(0,ROUND(N(CP13)+N(CQ13)-N(CR13),2))</f>
        <v/>
      </c>
      <c r="CT13">
        <f>N(CW12)</f>
        <v/>
      </c>
      <c r="CU13">
        <f>IF(N(CT13)&lt;=0.005,0,ROUND(N(CT13)*N('Debt List'!E7)/12,2))</f>
        <v/>
      </c>
      <c r="CV13">
        <f>IF(N(CT13)&lt;=0.005,0,MIN(N('Debt List'!F7),N(CT13)+N(CU13)))+((DR13=3)*DT13+(DV13=3)*DX13+(DZ13=3)*EB13+(ED13=3)*EF13+(EH13=3)*EJ13+(EL13=3)*EN13+(EP13=3)*ER13+(ET13=3)*EV13)</f>
        <v/>
      </c>
      <c r="CW13">
        <f>MAX(0,ROUND(N(CT13)+N(CU13)-N(CV13),2))</f>
        <v/>
      </c>
      <c r="CX13">
        <f>N(DA12)</f>
        <v/>
      </c>
      <c r="CY13">
        <f>IF(N(CX13)&lt;=0.005,0,ROUND(N(CX13)*N('Debt List'!E8)/12,2))</f>
        <v/>
      </c>
      <c r="CZ13">
        <f>IF(N(CX13)&lt;=0.005,0,MIN(N('Debt List'!F8),N(CX13)+N(CY13)))+((DR13=4)*DT13+(DV13=4)*DX13+(DZ13=4)*EB13+(ED13=4)*EF13+(EH13=4)*EJ13+(EL13=4)*EN13+(EP13=4)*ER13+(ET13=4)*EV13)</f>
        <v/>
      </c>
      <c r="DA13">
        <f>MAX(0,ROUND(N(CX13)+N(CY13)-N(CZ13),2))</f>
        <v/>
      </c>
      <c r="DB13">
        <f>N(DE12)</f>
        <v/>
      </c>
      <c r="DC13">
        <f>IF(N(DB13)&lt;=0.005,0,ROUND(N(DB13)*N('Debt List'!E9)/12,2))</f>
        <v/>
      </c>
      <c r="DD13">
        <f>IF(N(DB13)&lt;=0.005,0,MIN(N('Debt List'!F9),N(DB13)+N(DC13)))+((DR13=5)*DT13+(DV13=5)*DX13+(DZ13=5)*EB13+(ED13=5)*EF13+(EH13=5)*EJ13+(EL13=5)*EN13+(EP13=5)*ER13+(ET13=5)*EV13)</f>
        <v/>
      </c>
      <c r="DE13">
        <f>MAX(0,ROUND(N(DB13)+N(DC13)-N(DD13),2))</f>
        <v/>
      </c>
      <c r="DF13">
        <f>N(DI12)</f>
        <v/>
      </c>
      <c r="DG13">
        <f>IF(N(DF13)&lt;=0.005,0,ROUND(N(DF13)*N('Debt List'!E10)/12,2))</f>
        <v/>
      </c>
      <c r="DH13">
        <f>IF(N(DF13)&lt;=0.005,0,MIN(N('Debt List'!F10),N(DF13)+N(DG13)))+((DR13=6)*DT13+(DV13=6)*DX13+(DZ13=6)*EB13+(ED13=6)*EF13+(EH13=6)*EJ13+(EL13=6)*EN13+(EP13=6)*ER13+(ET13=6)*EV13)</f>
        <v/>
      </c>
      <c r="DI13">
        <f>MAX(0,ROUND(N(DF13)+N(DG13)-N(DH13),2))</f>
        <v/>
      </c>
      <c r="DJ13">
        <f>N(DM12)</f>
        <v/>
      </c>
      <c r="DK13">
        <f>IF(N(DJ13)&lt;=0.005,0,ROUND(N(DJ13)*N('Debt List'!E11)/12,2))</f>
        <v/>
      </c>
      <c r="DL13">
        <f>IF(N(DJ13)&lt;=0.005,0,MIN(N('Debt List'!F11),N(DJ13)+N(DK13)))+((DR13=7)*DT13+(DV13=7)*DX13+(DZ13=7)*EB13+(ED13=7)*EF13+(EH13=7)*EJ13+(EL13=7)*EN13+(EP13=7)*ER13+(ET13=7)*EV13)</f>
        <v/>
      </c>
      <c r="DM13">
        <f>MAX(0,ROUND(N(DJ13)+N(DK13)-N(DL13),2))</f>
        <v/>
      </c>
      <c r="DN13">
        <f>N(DQ12)</f>
        <v/>
      </c>
      <c r="DO13">
        <f>IF(N(DN13)&lt;=0.005,0,ROUND(N(DN13)*N('Debt List'!E12)/12,2))</f>
        <v/>
      </c>
      <c r="DP13">
        <f>IF(N(DN13)&lt;=0.005,0,MIN(N('Debt List'!F12),N(DN13)+N(DO13)))+((DR13=8)*DT13+(DV13=8)*DX13+(DZ13=8)*EB13+(ED13=8)*EF13+(EH13=8)*EJ13+(EL13=8)*EN13+(EP13=8)*ER13+(ET13=8)*EV13)</f>
        <v/>
      </c>
      <c r="DQ13">
        <f>MAX(0,ROUND(N(DN13)+N(DO13)-N(DP13),2))</f>
        <v/>
      </c>
      <c r="DR13">
        <f>IFERROR(MATCH(1,OrderSnow,0),"")</f>
        <v/>
      </c>
      <c r="DS13">
        <f>IF(DR13="",0,IFERROR(IF(N(CHOOSE(DR13,CL13,CP13,CT13,CX13,DB13,DF13,DJ13,DN13))&lt;=0.005,0,MAX(0,N(CHOOSE(DR13,CL13,CP13,CT13,CX13,DB13,DF13,DJ13,DN13))+N(CHOOSE(DR13,CM13,CQ13,CU13,CY13,DC13,DG13,DK13,DO13))-MIN(N(CHOOSE(DR13,'Debt List'!$F$5,'Debt List'!$F$6,'Debt List'!$F$7,'Debt List'!$F$8,'Debt List'!$F$9,'Debt List'!$F$10,'Debt List'!$F$11,'Debt List'!$F$12)),N(CHOOSE(DR13,CL13,CP13,CT13,CX13,DB13,DF13,DJ13,DN13))+N(CHOOSE(DR13,CM13,CQ13,CU13,CY13,DC13,DG13,DK13,DO13))))),0))</f>
        <v/>
      </c>
      <c r="DT13">
        <f>MIN(N(DS13),MAX(0,N(ExtraPayment)))</f>
        <v/>
      </c>
      <c r="DU13">
        <f>MAX(0,N(ExtraPayment)-N(DT13))</f>
        <v/>
      </c>
      <c r="DV13">
        <f>IFERROR(MATCH(2,OrderSnow,0),"")</f>
        <v/>
      </c>
      <c r="DW13">
        <f>IF(DV13="",0,IFERROR(IF(N(CHOOSE(DV13,CL13,CP13,CT13,CX13,DB13,DF13,DJ13,DN13))&lt;=0.005,0,MAX(0,N(CHOOSE(DV13,CL13,CP13,CT13,CX13,DB13,DF13,DJ13,DN13))+N(CHOOSE(DV13,CM13,CQ13,CU13,CY13,DC13,DG13,DK13,DO13))-MIN(N(CHOOSE(DV13,'Debt List'!$F$5,'Debt List'!$F$6,'Debt List'!$F$7,'Debt List'!$F$8,'Debt List'!$F$9,'Debt List'!$F$10,'Debt List'!$F$11,'Debt List'!$F$12)),N(CHOOSE(DV13,CL13,CP13,CT13,CX13,DB13,DF13,DJ13,DN13))+N(CHOOSE(DV13,CM13,CQ13,CU13,CY13,DC13,DG13,DK13,DO13))))),0))</f>
        <v/>
      </c>
      <c r="DX13">
        <f>MIN(N(DW13),MAX(0,N(DU13)))</f>
        <v/>
      </c>
      <c r="DY13">
        <f>MAX(0,N(DU13)-N(DX13))</f>
        <v/>
      </c>
      <c r="DZ13">
        <f>IFERROR(MATCH(3,OrderSnow,0),"")</f>
        <v/>
      </c>
      <c r="EA13">
        <f>IF(DZ13="",0,IFERROR(IF(N(CHOOSE(DZ13,CL13,CP13,CT13,CX13,DB13,DF13,DJ13,DN13))&lt;=0.005,0,MAX(0,N(CHOOSE(DZ13,CL13,CP13,CT13,CX13,DB13,DF13,DJ13,DN13))+N(CHOOSE(DZ13,CM13,CQ13,CU13,CY13,DC13,DG13,DK13,DO13))-MIN(N(CHOOSE(DZ13,'Debt List'!$F$5,'Debt List'!$F$6,'Debt List'!$F$7,'Debt List'!$F$8,'Debt List'!$F$9,'Debt List'!$F$10,'Debt List'!$F$11,'Debt List'!$F$12)),N(CHOOSE(DZ13,CL13,CP13,CT13,CX13,DB13,DF13,DJ13,DN13))+N(CHOOSE(DZ13,CM13,CQ13,CU13,CY13,DC13,DG13,DK13,DO13))))),0))</f>
        <v/>
      </c>
      <c r="EB13">
        <f>MIN(N(EA13),MAX(0,N(DY13)))</f>
        <v/>
      </c>
      <c r="EC13">
        <f>MAX(0,N(DY13)-N(EB13))</f>
        <v/>
      </c>
      <c r="ED13">
        <f>IFERROR(MATCH(4,OrderSnow,0),"")</f>
        <v/>
      </c>
      <c r="EE13">
        <f>IF(ED13="",0,IFERROR(IF(N(CHOOSE(ED13,CL13,CP13,CT13,CX13,DB13,DF13,DJ13,DN13))&lt;=0.005,0,MAX(0,N(CHOOSE(ED13,CL13,CP13,CT13,CX13,DB13,DF13,DJ13,DN13))+N(CHOOSE(ED13,CM13,CQ13,CU13,CY13,DC13,DG13,DK13,DO13))-MIN(N(CHOOSE(ED13,'Debt List'!$F$5,'Debt List'!$F$6,'Debt List'!$F$7,'Debt List'!$F$8,'Debt List'!$F$9,'Debt List'!$F$10,'Debt List'!$F$11,'Debt List'!$F$12)),N(CHOOSE(ED13,CL13,CP13,CT13,CX13,DB13,DF13,DJ13,DN13))+N(CHOOSE(ED13,CM13,CQ13,CU13,CY13,DC13,DG13,DK13,DO13))))),0))</f>
        <v/>
      </c>
      <c r="EF13">
        <f>MIN(N(EE13),MAX(0,N(EC13)))</f>
        <v/>
      </c>
      <c r="EG13">
        <f>MAX(0,N(EC13)-N(EF13))</f>
        <v/>
      </c>
      <c r="EH13">
        <f>IFERROR(MATCH(5,OrderSnow,0),"")</f>
        <v/>
      </c>
      <c r="EI13">
        <f>IF(EH13="",0,IFERROR(IF(N(CHOOSE(EH13,CL13,CP13,CT13,CX13,DB13,DF13,DJ13,DN13))&lt;=0.005,0,MAX(0,N(CHOOSE(EH13,CL13,CP13,CT13,CX13,DB13,DF13,DJ13,DN13))+N(CHOOSE(EH13,CM13,CQ13,CU13,CY13,DC13,DG13,DK13,DO13))-MIN(N(CHOOSE(EH13,'Debt List'!$F$5,'Debt List'!$F$6,'Debt List'!$F$7,'Debt List'!$F$8,'Debt List'!$F$9,'Debt List'!$F$10,'Debt List'!$F$11,'Debt List'!$F$12)),N(CHOOSE(EH13,CL13,CP13,CT13,CX13,DB13,DF13,DJ13,DN13))+N(CHOOSE(EH13,CM13,CQ13,CU13,CY13,DC13,DG13,DK13,DO13))))),0))</f>
        <v/>
      </c>
      <c r="EJ13">
        <f>MIN(N(EI13),MAX(0,N(EG13)))</f>
        <v/>
      </c>
      <c r="EK13">
        <f>MAX(0,N(EG13)-N(EJ13))</f>
        <v/>
      </c>
      <c r="EL13">
        <f>IFERROR(MATCH(6,OrderSnow,0),"")</f>
        <v/>
      </c>
      <c r="EM13">
        <f>IF(EL13="",0,IFERROR(IF(N(CHOOSE(EL13,CL13,CP13,CT13,CX13,DB13,DF13,DJ13,DN13))&lt;=0.005,0,MAX(0,N(CHOOSE(EL13,CL13,CP13,CT13,CX13,DB13,DF13,DJ13,DN13))+N(CHOOSE(EL13,CM13,CQ13,CU13,CY13,DC13,DG13,DK13,DO13))-MIN(N(CHOOSE(EL13,'Debt List'!$F$5,'Debt List'!$F$6,'Debt List'!$F$7,'Debt List'!$F$8,'Debt List'!$F$9,'Debt List'!$F$10,'Debt List'!$F$11,'Debt List'!$F$12)),N(CHOOSE(EL13,CL13,CP13,CT13,CX13,DB13,DF13,DJ13,DN13))+N(CHOOSE(EL13,CM13,CQ13,CU13,CY13,DC13,DG13,DK13,DO13))))),0))</f>
        <v/>
      </c>
      <c r="EN13">
        <f>MIN(N(EM13),MAX(0,N(EK13)))</f>
        <v/>
      </c>
      <c r="EO13">
        <f>MAX(0,N(EK13)-N(EN13))</f>
        <v/>
      </c>
      <c r="EP13">
        <f>IFERROR(MATCH(7,OrderSnow,0),"")</f>
        <v/>
      </c>
      <c r="EQ13">
        <f>IF(EP13="",0,IFERROR(IF(N(CHOOSE(EP13,CL13,CP13,CT13,CX13,DB13,DF13,DJ13,DN13))&lt;=0.005,0,MAX(0,N(CHOOSE(EP13,CL13,CP13,CT13,CX13,DB13,DF13,DJ13,DN13))+N(CHOOSE(EP13,CM13,CQ13,CU13,CY13,DC13,DG13,DK13,DO13))-MIN(N(CHOOSE(EP13,'Debt List'!$F$5,'Debt List'!$F$6,'Debt List'!$F$7,'Debt List'!$F$8,'Debt List'!$F$9,'Debt List'!$F$10,'Debt List'!$F$11,'Debt List'!$F$12)),N(CHOOSE(EP13,CL13,CP13,CT13,CX13,DB13,DF13,DJ13,DN13))+N(CHOOSE(EP13,CM13,CQ13,CU13,CY13,DC13,DG13,DK13,DO13))))),0))</f>
        <v/>
      </c>
      <c r="ER13">
        <f>MIN(N(EQ13),MAX(0,N(EO13)))</f>
        <v/>
      </c>
      <c r="ES13">
        <f>MAX(0,N(EO13)-N(ER13))</f>
        <v/>
      </c>
      <c r="ET13">
        <f>IFERROR(MATCH(8,OrderSnow,0),"")</f>
        <v/>
      </c>
      <c r="EU13">
        <f>IF(ET13="",0,IFERROR(IF(N(CHOOSE(ET13,CL13,CP13,CT13,CX13,DB13,DF13,DJ13,DN13))&lt;=0.005,0,MAX(0,N(CHOOSE(ET13,CL13,CP13,CT13,CX13,DB13,DF13,DJ13,DN13))+N(CHOOSE(ET13,CM13,CQ13,CU13,CY13,DC13,DG13,DK13,DO13))-MIN(N(CHOOSE(ET13,'Debt List'!$F$5,'Debt List'!$F$6,'Debt List'!$F$7,'Debt List'!$F$8,'Debt List'!$F$9,'Debt List'!$F$10,'Debt List'!$F$11,'Debt List'!$F$12)),N(CHOOSE(ET13,CL13,CP13,CT13,CX13,DB13,DF13,DJ13,DN13))+N(CHOOSE(ET13,CM13,CQ13,CU13,CY13,DC13,DG13,DK13,DO13))))),0))</f>
        <v/>
      </c>
      <c r="EV13">
        <f>MIN(N(EU13),MAX(0,N(ES13)))</f>
        <v/>
      </c>
      <c r="EW13">
        <f>MAX(0,N(ES13)-N(EV13))</f>
        <v/>
      </c>
      <c r="FE13" t="n">
        <v>9</v>
      </c>
      <c r="FF13" s="115">
        <f>DATE(YEAR(PlanStart),MONTH(PlanStart)+FE13-1,1)</f>
        <v/>
      </c>
      <c r="FG13">
        <f>IF(AND(GT13&lt;&gt;"",N(CHOOSE(GT13,FN13,FR13,FV13,FZ13,GD13,GH13,GL13,GP13))&gt;0.005),INDEX(DebtNames,GT13),IF(AND(GX13&lt;&gt;"",N(CHOOSE(GX13,FN13,FR13,FV13,FZ13,GD13,GH13,GL13,GP13))&gt;0.005),INDEX(DebtNames,GX13),IF(AND(HB13&lt;&gt;"",N(CHOOSE(HB13,FN13,FR13,FV13,FZ13,GD13,GH13,GL13,GP13))&gt;0.005),INDEX(DebtNames,HB13),IF(AND(HF13&lt;&gt;"",N(CHOOSE(HF13,FN13,FR13,FV13,FZ13,GD13,GH13,GL13,GP13))&gt;0.005),INDEX(DebtNames,HF13),IF(AND(HJ13&lt;&gt;"",N(CHOOSE(HJ13,FN13,FR13,FV13,FZ13,GD13,GH13,GL13,GP13))&gt;0.005),INDEX(DebtNames,HJ13),IF(AND(HN13&lt;&gt;"",N(CHOOSE(HN13,FN13,FR13,FV13,FZ13,GD13,GH13,GL13,GP13))&gt;0.005),INDEX(DebtNames,HN13),IF(AND(HR13&lt;&gt;"",N(CHOOSE(HR13,FN13,FR13,FV13,FZ13,GD13,GH13,GL13,GP13))&gt;0.005),INDEX(DebtNames,HR13),IF(AND(HV13&lt;&gt;"",N(CHOOSE(HV13,FN13,FR13,FV13,FZ13,GD13,GH13,GL13,GP13))&gt;0.005),INDEX(DebtNames,HV13),""))))))))</f>
        <v/>
      </c>
      <c r="FH13">
        <f>N(HY13)</f>
        <v/>
      </c>
      <c r="FI13">
        <f>N(FP13)+N(FT13)+N(FX13)+N(GB13)+N(GF13)+N(GJ13)+N(GN13)+N(GR13)</f>
        <v/>
      </c>
      <c r="FJ13">
        <f>N(FO13)+N(FS13)+N(FW13)+N(GA13)+N(GE13)+N(GI13)+N(GM13)+N(GQ13)</f>
        <v/>
      </c>
      <c r="FK13">
        <f>N(FK12)+N(FJ13)</f>
        <v/>
      </c>
      <c r="FL13">
        <f>N(FQ13)+N(FU13)+N(FY13)+N(GC13)+N(GG13)+N(GK13)+N(GO13)+N(GS13)</f>
        <v/>
      </c>
      <c r="FM13">
        <f>(FQ13&gt;0.005)*1+(FU13&gt;0.005)*1+(FY13&gt;0.005)*1+(GC13&gt;0.005)*1+(GG13&gt;0.005)*1+(GK13&gt;0.005)*1+(GO13&gt;0.005)*1+(GS13&gt;0.005)*1</f>
        <v/>
      </c>
      <c r="FN13">
        <f>N(FQ12)</f>
        <v/>
      </c>
      <c r="FO13">
        <f>IF(N(FN13)&lt;=0.005,0,ROUND(N(FN13)*N('Debt List'!E5)/12,2))</f>
        <v/>
      </c>
      <c r="FP13">
        <f>IF(N(FN13)&lt;=0.005,0,MIN(N('Debt List'!F5),N(FN13)+N(FO13)))+((GT13=1)*GV13+(GX13=1)*GZ13+(HB13=1)*HD13+(HF13=1)*HH13+(HJ13=1)*HL13+(HN13=1)*HP13+(HR13=1)*HT13+(HV13=1)*HX13)</f>
        <v/>
      </c>
      <c r="FQ13">
        <f>MAX(0,ROUND(N(FN13)+N(FO13)-N(FP13),2))</f>
        <v/>
      </c>
      <c r="FR13">
        <f>N(FU12)</f>
        <v/>
      </c>
      <c r="FS13">
        <f>IF(N(FR13)&lt;=0.005,0,ROUND(N(FR13)*N('Debt List'!E6)/12,2))</f>
        <v/>
      </c>
      <c r="FT13">
        <f>IF(N(FR13)&lt;=0.005,0,MIN(N('Debt List'!F6),N(FR13)+N(FS13)))+((GT13=2)*GV13+(GX13=2)*GZ13+(HB13=2)*HD13+(HF13=2)*HH13+(HJ13=2)*HL13+(HN13=2)*HP13+(HR13=2)*HT13+(HV13=2)*HX13)</f>
        <v/>
      </c>
      <c r="FU13">
        <f>MAX(0,ROUND(N(FR13)+N(FS13)-N(FT13),2))</f>
        <v/>
      </c>
      <c r="FV13">
        <f>N(FY12)</f>
        <v/>
      </c>
      <c r="FW13">
        <f>IF(N(FV13)&lt;=0.005,0,ROUND(N(FV13)*N('Debt List'!E7)/12,2))</f>
        <v/>
      </c>
      <c r="FX13">
        <f>IF(N(FV13)&lt;=0.005,0,MIN(N('Debt List'!F7),N(FV13)+N(FW13)))+((GT13=3)*GV13+(GX13=3)*GZ13+(HB13=3)*HD13+(HF13=3)*HH13+(HJ13=3)*HL13+(HN13=3)*HP13+(HR13=3)*HT13+(HV13=3)*HX13)</f>
        <v/>
      </c>
      <c r="FY13">
        <f>MAX(0,ROUND(N(FV13)+N(FW13)-N(FX13),2))</f>
        <v/>
      </c>
      <c r="FZ13">
        <f>N(GC12)</f>
        <v/>
      </c>
      <c r="GA13">
        <f>IF(N(FZ13)&lt;=0.005,0,ROUND(N(FZ13)*N('Debt List'!E8)/12,2))</f>
        <v/>
      </c>
      <c r="GB13">
        <f>IF(N(FZ13)&lt;=0.005,0,MIN(N('Debt List'!F8),N(FZ13)+N(GA13)))+((GT13=4)*GV13+(GX13=4)*GZ13+(HB13=4)*HD13+(HF13=4)*HH13+(HJ13=4)*HL13+(HN13=4)*HP13+(HR13=4)*HT13+(HV13=4)*HX13)</f>
        <v/>
      </c>
      <c r="GC13">
        <f>MAX(0,ROUND(N(FZ13)+N(GA13)-N(GB13),2))</f>
        <v/>
      </c>
      <c r="GD13">
        <f>N(GG12)</f>
        <v/>
      </c>
      <c r="GE13">
        <f>IF(N(GD13)&lt;=0.005,0,ROUND(N(GD13)*N('Debt List'!E9)/12,2))</f>
        <v/>
      </c>
      <c r="GF13">
        <f>IF(N(GD13)&lt;=0.005,0,MIN(N('Debt List'!F9),N(GD13)+N(GE13)))+((GT13=5)*GV13+(GX13=5)*GZ13+(HB13=5)*HD13+(HF13=5)*HH13+(HJ13=5)*HL13+(HN13=5)*HP13+(HR13=5)*HT13+(HV13=5)*HX13)</f>
        <v/>
      </c>
      <c r="GG13">
        <f>MAX(0,ROUND(N(GD13)+N(GE13)-N(GF13),2))</f>
        <v/>
      </c>
      <c r="GH13">
        <f>N(GK12)</f>
        <v/>
      </c>
      <c r="GI13">
        <f>IF(N(GH13)&lt;=0.005,0,ROUND(N(GH13)*N('Debt List'!E10)/12,2))</f>
        <v/>
      </c>
      <c r="GJ13">
        <f>IF(N(GH13)&lt;=0.005,0,MIN(N('Debt List'!F10),N(GH13)+N(GI13)))+((GT13=6)*GV13+(GX13=6)*GZ13+(HB13=6)*HD13+(HF13=6)*HH13+(HJ13=6)*HL13+(HN13=6)*HP13+(HR13=6)*HT13+(HV13=6)*HX13)</f>
        <v/>
      </c>
      <c r="GK13">
        <f>MAX(0,ROUND(N(GH13)+N(GI13)-N(GJ13),2))</f>
        <v/>
      </c>
      <c r="GL13">
        <f>N(GO12)</f>
        <v/>
      </c>
      <c r="GM13">
        <f>IF(N(GL13)&lt;=0.005,0,ROUND(N(GL13)*N('Debt List'!E11)/12,2))</f>
        <v/>
      </c>
      <c r="GN13">
        <f>IF(N(GL13)&lt;=0.005,0,MIN(N('Debt List'!F11),N(GL13)+N(GM13)))+((GT13=7)*GV13+(GX13=7)*GZ13+(HB13=7)*HD13+(HF13=7)*HH13+(HJ13=7)*HL13+(HN13=7)*HP13+(HR13=7)*HT13+(HV13=7)*HX13)</f>
        <v/>
      </c>
      <c r="GO13">
        <f>MAX(0,ROUND(N(GL13)+N(GM13)-N(GN13),2))</f>
        <v/>
      </c>
      <c r="GP13">
        <f>N(GS12)</f>
        <v/>
      </c>
      <c r="GQ13">
        <f>IF(N(GP13)&lt;=0.005,0,ROUND(N(GP13)*N('Debt List'!E12)/12,2))</f>
        <v/>
      </c>
      <c r="GR13">
        <f>IF(N(GP13)&lt;=0.005,0,MIN(N('Debt List'!F12),N(GP13)+N(GQ13)))+((GT13=8)*GV13+(GX13=8)*GZ13+(HB13=8)*HD13+(HF13=8)*HH13+(HJ13=8)*HL13+(HN13=8)*HP13+(HR13=8)*HT13+(HV13=8)*HX13)</f>
        <v/>
      </c>
      <c r="GS13">
        <f>MAX(0,ROUND(N(GP13)+N(GQ13)-N(GR13),2))</f>
        <v/>
      </c>
      <c r="GT13">
        <f>IFERROR(MATCH(1,OrderAval,0),"")</f>
        <v/>
      </c>
      <c r="GU13">
        <f>IF(GT13="",0,IFERROR(IF(N(CHOOSE(GT13,FN13,FR13,FV13,FZ13,GD13,GH13,GL13,GP13))&lt;=0.005,0,MAX(0,N(CHOOSE(GT13,FN13,FR13,FV13,FZ13,GD13,GH13,GL13,GP13))+N(CHOOSE(GT13,FO13,FS13,FW13,GA13,GE13,GI13,GM13,GQ13))-MIN(N(CHOOSE(GT13,'Debt List'!$F$5,'Debt List'!$F$6,'Debt List'!$F$7,'Debt List'!$F$8,'Debt List'!$F$9,'Debt List'!$F$10,'Debt List'!$F$11,'Debt List'!$F$12)),N(CHOOSE(GT13,FN13,FR13,FV13,FZ13,GD13,GH13,GL13,GP13))+N(CHOOSE(GT13,FO13,FS13,FW13,GA13,GE13,GI13,GM13,GQ13))))),0))</f>
        <v/>
      </c>
      <c r="GV13">
        <f>MIN(N(GU13),MAX(0,N(ExtraPayment)))</f>
        <v/>
      </c>
      <c r="GW13">
        <f>MAX(0,N(ExtraPayment)-N(GV13))</f>
        <v/>
      </c>
      <c r="GX13">
        <f>IFERROR(MATCH(2,OrderAval,0),"")</f>
        <v/>
      </c>
      <c r="GY13">
        <f>IF(GX13="",0,IFERROR(IF(N(CHOOSE(GX13,FN13,FR13,FV13,FZ13,GD13,GH13,GL13,GP13))&lt;=0.005,0,MAX(0,N(CHOOSE(GX13,FN13,FR13,FV13,FZ13,GD13,GH13,GL13,GP13))+N(CHOOSE(GX13,FO13,FS13,FW13,GA13,GE13,GI13,GM13,GQ13))-MIN(N(CHOOSE(GX13,'Debt List'!$F$5,'Debt List'!$F$6,'Debt List'!$F$7,'Debt List'!$F$8,'Debt List'!$F$9,'Debt List'!$F$10,'Debt List'!$F$11,'Debt List'!$F$12)),N(CHOOSE(GX13,FN13,FR13,FV13,FZ13,GD13,GH13,GL13,GP13))+N(CHOOSE(GX13,FO13,FS13,FW13,GA13,GE13,GI13,GM13,GQ13))))),0))</f>
        <v/>
      </c>
      <c r="GZ13">
        <f>MIN(N(GY13),MAX(0,N(GW13)))</f>
        <v/>
      </c>
      <c r="HA13">
        <f>MAX(0,N(GW13)-N(GZ13))</f>
        <v/>
      </c>
      <c r="HB13">
        <f>IFERROR(MATCH(3,OrderAval,0),"")</f>
        <v/>
      </c>
      <c r="HC13">
        <f>IF(HB13="",0,IFERROR(IF(N(CHOOSE(HB13,FN13,FR13,FV13,FZ13,GD13,GH13,GL13,GP13))&lt;=0.005,0,MAX(0,N(CHOOSE(HB13,FN13,FR13,FV13,FZ13,GD13,GH13,GL13,GP13))+N(CHOOSE(HB13,FO13,FS13,FW13,GA13,GE13,GI13,GM13,GQ13))-MIN(N(CHOOSE(HB13,'Debt List'!$F$5,'Debt List'!$F$6,'Debt List'!$F$7,'Debt List'!$F$8,'Debt List'!$F$9,'Debt List'!$F$10,'Debt List'!$F$11,'Debt List'!$F$12)),N(CHOOSE(HB13,FN13,FR13,FV13,FZ13,GD13,GH13,GL13,GP13))+N(CHOOSE(HB13,FO13,FS13,FW13,GA13,GE13,GI13,GM13,GQ13))))),0))</f>
        <v/>
      </c>
      <c r="HD13">
        <f>MIN(N(HC13),MAX(0,N(HA13)))</f>
        <v/>
      </c>
      <c r="HE13">
        <f>MAX(0,N(HA13)-N(HD13))</f>
        <v/>
      </c>
      <c r="HF13">
        <f>IFERROR(MATCH(4,OrderAval,0),"")</f>
        <v/>
      </c>
      <c r="HG13">
        <f>IF(HF13="",0,IFERROR(IF(N(CHOOSE(HF13,FN13,FR13,FV13,FZ13,GD13,GH13,GL13,GP13))&lt;=0.005,0,MAX(0,N(CHOOSE(HF13,FN13,FR13,FV13,FZ13,GD13,GH13,GL13,GP13))+N(CHOOSE(HF13,FO13,FS13,FW13,GA13,GE13,GI13,GM13,GQ13))-MIN(N(CHOOSE(HF13,'Debt List'!$F$5,'Debt List'!$F$6,'Debt List'!$F$7,'Debt List'!$F$8,'Debt List'!$F$9,'Debt List'!$F$10,'Debt List'!$F$11,'Debt List'!$F$12)),N(CHOOSE(HF13,FN13,FR13,FV13,FZ13,GD13,GH13,GL13,GP13))+N(CHOOSE(HF13,FO13,FS13,FW13,GA13,GE13,GI13,GM13,GQ13))))),0))</f>
        <v/>
      </c>
      <c r="HH13">
        <f>MIN(N(HG13),MAX(0,N(HE13)))</f>
        <v/>
      </c>
      <c r="HI13">
        <f>MAX(0,N(HE13)-N(HH13))</f>
        <v/>
      </c>
      <c r="HJ13">
        <f>IFERROR(MATCH(5,OrderAval,0),"")</f>
        <v/>
      </c>
      <c r="HK13">
        <f>IF(HJ13="",0,IFERROR(IF(N(CHOOSE(HJ13,FN13,FR13,FV13,FZ13,GD13,GH13,GL13,GP13))&lt;=0.005,0,MAX(0,N(CHOOSE(HJ13,FN13,FR13,FV13,FZ13,GD13,GH13,GL13,GP13))+N(CHOOSE(HJ13,FO13,FS13,FW13,GA13,GE13,GI13,GM13,GQ13))-MIN(N(CHOOSE(HJ13,'Debt List'!$F$5,'Debt List'!$F$6,'Debt List'!$F$7,'Debt List'!$F$8,'Debt List'!$F$9,'Debt List'!$F$10,'Debt List'!$F$11,'Debt List'!$F$12)),N(CHOOSE(HJ13,FN13,FR13,FV13,FZ13,GD13,GH13,GL13,GP13))+N(CHOOSE(HJ13,FO13,FS13,FW13,GA13,GE13,GI13,GM13,GQ13))))),0))</f>
        <v/>
      </c>
      <c r="HL13">
        <f>MIN(N(HK13),MAX(0,N(HI13)))</f>
        <v/>
      </c>
      <c r="HM13">
        <f>MAX(0,N(HI13)-N(HL13))</f>
        <v/>
      </c>
      <c r="HN13">
        <f>IFERROR(MATCH(6,OrderAval,0),"")</f>
        <v/>
      </c>
      <c r="HO13">
        <f>IF(HN13="",0,IFERROR(IF(N(CHOOSE(HN13,FN13,FR13,FV13,FZ13,GD13,GH13,GL13,GP13))&lt;=0.005,0,MAX(0,N(CHOOSE(HN13,FN13,FR13,FV13,FZ13,GD13,GH13,GL13,GP13))+N(CHOOSE(HN13,FO13,FS13,FW13,GA13,GE13,GI13,GM13,GQ13))-MIN(N(CHOOSE(HN13,'Debt List'!$F$5,'Debt List'!$F$6,'Debt List'!$F$7,'Debt List'!$F$8,'Debt List'!$F$9,'Debt List'!$F$10,'Debt List'!$F$11,'Debt List'!$F$12)),N(CHOOSE(HN13,FN13,FR13,FV13,FZ13,GD13,GH13,GL13,GP13))+N(CHOOSE(HN13,FO13,FS13,FW13,GA13,GE13,GI13,GM13,GQ13))))),0))</f>
        <v/>
      </c>
      <c r="HP13">
        <f>MIN(N(HO13),MAX(0,N(HM13)))</f>
        <v/>
      </c>
      <c r="HQ13">
        <f>MAX(0,N(HM13)-N(HP13))</f>
        <v/>
      </c>
      <c r="HR13">
        <f>IFERROR(MATCH(7,OrderAval,0),"")</f>
        <v/>
      </c>
      <c r="HS13">
        <f>IF(HR13="",0,IFERROR(IF(N(CHOOSE(HR13,FN13,FR13,FV13,FZ13,GD13,GH13,GL13,GP13))&lt;=0.005,0,MAX(0,N(CHOOSE(HR13,FN13,FR13,FV13,FZ13,GD13,GH13,GL13,GP13))+N(CHOOSE(HR13,FO13,FS13,FW13,GA13,GE13,GI13,GM13,GQ13))-MIN(N(CHOOSE(HR13,'Debt List'!$F$5,'Debt List'!$F$6,'Debt List'!$F$7,'Debt List'!$F$8,'Debt List'!$F$9,'Debt List'!$F$10,'Debt List'!$F$11,'Debt List'!$F$12)),N(CHOOSE(HR13,FN13,FR13,FV13,FZ13,GD13,GH13,GL13,GP13))+N(CHOOSE(HR13,FO13,FS13,FW13,GA13,GE13,GI13,GM13,GQ13))))),0))</f>
        <v/>
      </c>
      <c r="HT13">
        <f>MIN(N(HS13),MAX(0,N(HQ13)))</f>
        <v/>
      </c>
      <c r="HU13">
        <f>MAX(0,N(HQ13)-N(HT13))</f>
        <v/>
      </c>
      <c r="HV13">
        <f>IFERROR(MATCH(8,OrderAval,0),"")</f>
        <v/>
      </c>
      <c r="HW13">
        <f>IF(HV13="",0,IFERROR(IF(N(CHOOSE(HV13,FN13,FR13,FV13,FZ13,GD13,GH13,GL13,GP13))&lt;=0.005,0,MAX(0,N(CHOOSE(HV13,FN13,FR13,FV13,FZ13,GD13,GH13,GL13,GP13))+N(CHOOSE(HV13,FO13,FS13,FW13,GA13,GE13,GI13,GM13,GQ13))-MIN(N(CHOOSE(HV13,'Debt List'!$F$5,'Debt List'!$F$6,'Debt List'!$F$7,'Debt List'!$F$8,'Debt List'!$F$9,'Debt List'!$F$10,'Debt List'!$F$11,'Debt List'!$F$12)),N(CHOOSE(HV13,FN13,FR13,FV13,FZ13,GD13,GH13,GL13,GP13))+N(CHOOSE(HV13,FO13,FS13,FW13,GA13,GE13,GI13,GM13,GQ13))))),0))</f>
        <v/>
      </c>
      <c r="HX13">
        <f>MIN(N(HW13),MAX(0,N(HU13)))</f>
        <v/>
      </c>
      <c r="HY13">
        <f>MAX(0,N(HU13)-N(HX13))</f>
        <v/>
      </c>
    </row>
    <row r="14">
      <c r="A14" t="n">
        <v>10</v>
      </c>
      <c r="B14" s="115">
        <f>DATE(YEAR(PlanStart),MONTH(PlanStart)+A14-1,1)</f>
        <v/>
      </c>
      <c r="C14">
        <f>IF(AND(AP14&lt;&gt;"",N(CHOOSE(AP14,J14,N14,R14,V14,Z14,AD14,AH14,AL14))&gt;0.005),INDEX(DebtNames,AP14),IF(AND(AT14&lt;&gt;"",N(CHOOSE(AT14,J14,N14,R14,V14,Z14,AD14,AH14,AL14))&gt;0.005),INDEX(DebtNames,AT14),IF(AND(AX14&lt;&gt;"",N(CHOOSE(AX14,J14,N14,R14,V14,Z14,AD14,AH14,AL14))&gt;0.005),INDEX(DebtNames,AX14),IF(AND(BB14&lt;&gt;"",N(CHOOSE(BB14,J14,N14,R14,V14,Z14,AD14,AH14,AL14))&gt;0.005),INDEX(DebtNames,BB14),IF(AND(BF14&lt;&gt;"",N(CHOOSE(BF14,J14,N14,R14,V14,Z14,AD14,AH14,AL14))&gt;0.005),INDEX(DebtNames,BF14),IF(AND(BJ14&lt;&gt;"",N(CHOOSE(BJ14,J14,N14,R14,V14,Z14,AD14,AH14,AL14))&gt;0.005),INDEX(DebtNames,BJ14),IF(AND(BN14&lt;&gt;"",N(CHOOSE(BN14,J14,N14,R14,V14,Z14,AD14,AH14,AL14))&gt;0.005),INDEX(DebtNames,BN14),IF(AND(BR14&lt;&gt;"",N(CHOOSE(BR14,J14,N14,R14,V14,Z14,AD14,AH14,AL14))&gt;0.005),INDEX(DebtNames,BR14),""))))))))</f>
        <v/>
      </c>
      <c r="D14">
        <f>N(BU14)</f>
        <v/>
      </c>
      <c r="E14">
        <f>N(L14)+N(P14)+N(T14)+N(X14)+N(AB14)+N(AF14)+N(AJ14)+N(AN14)</f>
        <v/>
      </c>
      <c r="F14">
        <f>N(K14)+N(O14)+N(S14)+N(W14)+N(AA14)+N(AE14)+N(AI14)+N(AM14)</f>
        <v/>
      </c>
      <c r="G14">
        <f>N(G13)+N(F14)</f>
        <v/>
      </c>
      <c r="H14">
        <f>N(M14)+N(Q14)+N(U14)+N(Y14)+N(AC14)+N(AG14)+N(AK14)+N(AO14)</f>
        <v/>
      </c>
      <c r="I14">
        <f>(M14&gt;0.005)*1+(Q14&gt;0.005)*1+(U14&gt;0.005)*1+(Y14&gt;0.005)*1+(AC14&gt;0.005)*1+(AG14&gt;0.005)*1+(AK14&gt;0.005)*1+(AO14&gt;0.005)*1</f>
        <v/>
      </c>
      <c r="J14">
        <f>N(M13)</f>
        <v/>
      </c>
      <c r="K14">
        <f>IF(N(J14)&lt;=0.005,0,ROUND(N(J14)*N('Debt List'!E5)/12,2))</f>
        <v/>
      </c>
      <c r="L14">
        <f>IF(N(J14)&lt;=0.005,0,MIN(N('Debt List'!F5),N(J14)+N(K14)))+((AP14=1)*AR14+(AT14=1)*AV14+(AX14=1)*AZ14+(BB14=1)*BD14+(BF14=1)*BH14+(BJ14=1)*BL14+(BN14=1)*BP14+(BR14=1)*BT14)</f>
        <v/>
      </c>
      <c r="M14">
        <f>MAX(0,ROUND(N(J14)+N(K14)-N(L14),2))</f>
        <v/>
      </c>
      <c r="N14">
        <f>N(Q13)</f>
        <v/>
      </c>
      <c r="O14">
        <f>IF(N(N14)&lt;=0.005,0,ROUND(N(N14)*N('Debt List'!E6)/12,2))</f>
        <v/>
      </c>
      <c r="P14">
        <f>IF(N(N14)&lt;=0.005,0,MIN(N('Debt List'!F6),N(N14)+N(O14)))+((AP14=2)*AR14+(AT14=2)*AV14+(AX14=2)*AZ14+(BB14=2)*BD14+(BF14=2)*BH14+(BJ14=2)*BL14+(BN14=2)*BP14+(BR14=2)*BT14)</f>
        <v/>
      </c>
      <c r="Q14">
        <f>MAX(0,ROUND(N(N14)+N(O14)-N(P14),2))</f>
        <v/>
      </c>
      <c r="R14">
        <f>N(U13)</f>
        <v/>
      </c>
      <c r="S14">
        <f>IF(N(R14)&lt;=0.005,0,ROUND(N(R14)*N('Debt List'!E7)/12,2))</f>
        <v/>
      </c>
      <c r="T14">
        <f>IF(N(R14)&lt;=0.005,0,MIN(N('Debt List'!F7),N(R14)+N(S14)))+((AP14=3)*AR14+(AT14=3)*AV14+(AX14=3)*AZ14+(BB14=3)*BD14+(BF14=3)*BH14+(BJ14=3)*BL14+(BN14=3)*BP14+(BR14=3)*BT14)</f>
        <v/>
      </c>
      <c r="U14">
        <f>MAX(0,ROUND(N(R14)+N(S14)-N(T14),2))</f>
        <v/>
      </c>
      <c r="V14">
        <f>N(Y13)</f>
        <v/>
      </c>
      <c r="W14">
        <f>IF(N(V14)&lt;=0.005,0,ROUND(N(V14)*N('Debt List'!E8)/12,2))</f>
        <v/>
      </c>
      <c r="X14">
        <f>IF(N(V14)&lt;=0.005,0,MIN(N('Debt List'!F8),N(V14)+N(W14)))+((AP14=4)*AR14+(AT14=4)*AV14+(AX14=4)*AZ14+(BB14=4)*BD14+(BF14=4)*BH14+(BJ14=4)*BL14+(BN14=4)*BP14+(BR14=4)*BT14)</f>
        <v/>
      </c>
      <c r="Y14">
        <f>MAX(0,ROUND(N(V14)+N(W14)-N(X14),2))</f>
        <v/>
      </c>
      <c r="Z14">
        <f>N(AC13)</f>
        <v/>
      </c>
      <c r="AA14">
        <f>IF(N(Z14)&lt;=0.005,0,ROUND(N(Z14)*N('Debt List'!E9)/12,2))</f>
        <v/>
      </c>
      <c r="AB14">
        <f>IF(N(Z14)&lt;=0.005,0,MIN(N('Debt List'!F9),N(Z14)+N(AA14)))+((AP14=5)*AR14+(AT14=5)*AV14+(AX14=5)*AZ14+(BB14=5)*BD14+(BF14=5)*BH14+(BJ14=5)*BL14+(BN14=5)*BP14+(BR14=5)*BT14)</f>
        <v/>
      </c>
      <c r="AC14">
        <f>MAX(0,ROUND(N(Z14)+N(AA14)-N(AB14),2))</f>
        <v/>
      </c>
      <c r="AD14">
        <f>N(AG13)</f>
        <v/>
      </c>
      <c r="AE14">
        <f>IF(N(AD14)&lt;=0.005,0,ROUND(N(AD14)*N('Debt List'!E10)/12,2))</f>
        <v/>
      </c>
      <c r="AF14">
        <f>IF(N(AD14)&lt;=0.005,0,MIN(N('Debt List'!F10),N(AD14)+N(AE14)))+((AP14=6)*AR14+(AT14=6)*AV14+(AX14=6)*AZ14+(BB14=6)*BD14+(BF14=6)*BH14+(BJ14=6)*BL14+(BN14=6)*BP14+(BR14=6)*BT14)</f>
        <v/>
      </c>
      <c r="AG14">
        <f>MAX(0,ROUND(N(AD14)+N(AE14)-N(AF14),2))</f>
        <v/>
      </c>
      <c r="AH14">
        <f>N(AK13)</f>
        <v/>
      </c>
      <c r="AI14">
        <f>IF(N(AH14)&lt;=0.005,0,ROUND(N(AH14)*N('Debt List'!E11)/12,2))</f>
        <v/>
      </c>
      <c r="AJ14">
        <f>IF(N(AH14)&lt;=0.005,0,MIN(N('Debt List'!F11),N(AH14)+N(AI14)))+((AP14=7)*AR14+(AT14=7)*AV14+(AX14=7)*AZ14+(BB14=7)*BD14+(BF14=7)*BH14+(BJ14=7)*BL14+(BN14=7)*BP14+(BR14=7)*BT14)</f>
        <v/>
      </c>
      <c r="AK14">
        <f>MAX(0,ROUND(N(AH14)+N(AI14)-N(AJ14),2))</f>
        <v/>
      </c>
      <c r="AL14">
        <f>N(AO13)</f>
        <v/>
      </c>
      <c r="AM14">
        <f>IF(N(AL14)&lt;=0.005,0,ROUND(N(AL14)*N('Debt List'!E12)/12,2))</f>
        <v/>
      </c>
      <c r="AN14">
        <f>IF(N(AL14)&lt;=0.005,0,MIN(N('Debt List'!F12),N(AL14)+N(AM14)))+((AP14=8)*AR14+(AT14=8)*AV14+(AX14=8)*AZ14+(BB14=8)*BD14+(BF14=8)*BH14+(BJ14=8)*BL14+(BN14=8)*BP14+(BR14=8)*BT14)</f>
        <v/>
      </c>
      <c r="AO14">
        <f>MAX(0,ROUND(N(AL14)+N(AM14)-N(AN14),2))</f>
        <v/>
      </c>
      <c r="AP14">
        <f>IFERROR(MATCH(1,OrderPlan,0),"")</f>
        <v/>
      </c>
      <c r="AQ14">
        <f>IF(AP14="",0,IFERROR(IF(N(CHOOSE(AP14,J14,N14,R14,V14,Z14,AD14,AH14,AL14))&lt;=0.005,0,MAX(0,N(CHOOSE(AP14,J14,N14,R14,V14,Z14,AD14,AH14,AL14))+N(CHOOSE(AP14,K14,O14,S14,W14,AA14,AE14,AI14,AM14))-MIN(N(CHOOSE(AP14,'Debt List'!$F$5,'Debt List'!$F$6,'Debt List'!$F$7,'Debt List'!$F$8,'Debt List'!$F$9,'Debt List'!$F$10,'Debt List'!$F$11,'Debt List'!$F$12)),N(CHOOSE(AP14,J14,N14,R14,V14,Z14,AD14,AH14,AL14))+N(CHOOSE(AP14,K14,O14,S14,W14,AA14,AE14,AI14,AM14))))),0))</f>
        <v/>
      </c>
      <c r="AR14">
        <f>MIN(N(AQ14),MAX(0,N(ExtraPayment)))</f>
        <v/>
      </c>
      <c r="AS14">
        <f>MAX(0,N(ExtraPayment)-N(AR14))</f>
        <v/>
      </c>
      <c r="AT14">
        <f>IFERROR(MATCH(2,OrderPlan,0),"")</f>
        <v/>
      </c>
      <c r="AU14">
        <f>IF(AT14="",0,IFERROR(IF(N(CHOOSE(AT14,J14,N14,R14,V14,Z14,AD14,AH14,AL14))&lt;=0.005,0,MAX(0,N(CHOOSE(AT14,J14,N14,R14,V14,Z14,AD14,AH14,AL14))+N(CHOOSE(AT14,K14,O14,S14,W14,AA14,AE14,AI14,AM14))-MIN(N(CHOOSE(AT14,'Debt List'!$F$5,'Debt List'!$F$6,'Debt List'!$F$7,'Debt List'!$F$8,'Debt List'!$F$9,'Debt List'!$F$10,'Debt List'!$F$11,'Debt List'!$F$12)),N(CHOOSE(AT14,J14,N14,R14,V14,Z14,AD14,AH14,AL14))+N(CHOOSE(AT14,K14,O14,S14,W14,AA14,AE14,AI14,AM14))))),0))</f>
        <v/>
      </c>
      <c r="AV14">
        <f>MIN(N(AU14),MAX(0,N(AS14)))</f>
        <v/>
      </c>
      <c r="AW14">
        <f>MAX(0,N(AS14)-N(AV14))</f>
        <v/>
      </c>
      <c r="AX14">
        <f>IFERROR(MATCH(3,OrderPlan,0),"")</f>
        <v/>
      </c>
      <c r="AY14">
        <f>IF(AX14="",0,IFERROR(IF(N(CHOOSE(AX14,J14,N14,R14,V14,Z14,AD14,AH14,AL14))&lt;=0.005,0,MAX(0,N(CHOOSE(AX14,J14,N14,R14,V14,Z14,AD14,AH14,AL14))+N(CHOOSE(AX14,K14,O14,S14,W14,AA14,AE14,AI14,AM14))-MIN(N(CHOOSE(AX14,'Debt List'!$F$5,'Debt List'!$F$6,'Debt List'!$F$7,'Debt List'!$F$8,'Debt List'!$F$9,'Debt List'!$F$10,'Debt List'!$F$11,'Debt List'!$F$12)),N(CHOOSE(AX14,J14,N14,R14,V14,Z14,AD14,AH14,AL14))+N(CHOOSE(AX14,K14,O14,S14,W14,AA14,AE14,AI14,AM14))))),0))</f>
        <v/>
      </c>
      <c r="AZ14">
        <f>MIN(N(AY14),MAX(0,N(AW14)))</f>
        <v/>
      </c>
      <c r="BA14">
        <f>MAX(0,N(AW14)-N(AZ14))</f>
        <v/>
      </c>
      <c r="BB14">
        <f>IFERROR(MATCH(4,OrderPlan,0),"")</f>
        <v/>
      </c>
      <c r="BC14">
        <f>IF(BB14="",0,IFERROR(IF(N(CHOOSE(BB14,J14,N14,R14,V14,Z14,AD14,AH14,AL14))&lt;=0.005,0,MAX(0,N(CHOOSE(BB14,J14,N14,R14,V14,Z14,AD14,AH14,AL14))+N(CHOOSE(BB14,K14,O14,S14,W14,AA14,AE14,AI14,AM14))-MIN(N(CHOOSE(BB14,'Debt List'!$F$5,'Debt List'!$F$6,'Debt List'!$F$7,'Debt List'!$F$8,'Debt List'!$F$9,'Debt List'!$F$10,'Debt List'!$F$11,'Debt List'!$F$12)),N(CHOOSE(BB14,J14,N14,R14,V14,Z14,AD14,AH14,AL14))+N(CHOOSE(BB14,K14,O14,S14,W14,AA14,AE14,AI14,AM14))))),0))</f>
        <v/>
      </c>
      <c r="BD14">
        <f>MIN(N(BC14),MAX(0,N(BA14)))</f>
        <v/>
      </c>
      <c r="BE14">
        <f>MAX(0,N(BA14)-N(BD14))</f>
        <v/>
      </c>
      <c r="BF14">
        <f>IFERROR(MATCH(5,OrderPlan,0),"")</f>
        <v/>
      </c>
      <c r="BG14">
        <f>IF(BF14="",0,IFERROR(IF(N(CHOOSE(BF14,J14,N14,R14,V14,Z14,AD14,AH14,AL14))&lt;=0.005,0,MAX(0,N(CHOOSE(BF14,J14,N14,R14,V14,Z14,AD14,AH14,AL14))+N(CHOOSE(BF14,K14,O14,S14,W14,AA14,AE14,AI14,AM14))-MIN(N(CHOOSE(BF14,'Debt List'!$F$5,'Debt List'!$F$6,'Debt List'!$F$7,'Debt List'!$F$8,'Debt List'!$F$9,'Debt List'!$F$10,'Debt List'!$F$11,'Debt List'!$F$12)),N(CHOOSE(BF14,J14,N14,R14,V14,Z14,AD14,AH14,AL14))+N(CHOOSE(BF14,K14,O14,S14,W14,AA14,AE14,AI14,AM14))))),0))</f>
        <v/>
      </c>
      <c r="BH14">
        <f>MIN(N(BG14),MAX(0,N(BE14)))</f>
        <v/>
      </c>
      <c r="BI14">
        <f>MAX(0,N(BE14)-N(BH14))</f>
        <v/>
      </c>
      <c r="BJ14">
        <f>IFERROR(MATCH(6,OrderPlan,0),"")</f>
        <v/>
      </c>
      <c r="BK14">
        <f>IF(BJ14="",0,IFERROR(IF(N(CHOOSE(BJ14,J14,N14,R14,V14,Z14,AD14,AH14,AL14))&lt;=0.005,0,MAX(0,N(CHOOSE(BJ14,J14,N14,R14,V14,Z14,AD14,AH14,AL14))+N(CHOOSE(BJ14,K14,O14,S14,W14,AA14,AE14,AI14,AM14))-MIN(N(CHOOSE(BJ14,'Debt List'!$F$5,'Debt List'!$F$6,'Debt List'!$F$7,'Debt List'!$F$8,'Debt List'!$F$9,'Debt List'!$F$10,'Debt List'!$F$11,'Debt List'!$F$12)),N(CHOOSE(BJ14,J14,N14,R14,V14,Z14,AD14,AH14,AL14))+N(CHOOSE(BJ14,K14,O14,S14,W14,AA14,AE14,AI14,AM14))))),0))</f>
        <v/>
      </c>
      <c r="BL14">
        <f>MIN(N(BK14),MAX(0,N(BI14)))</f>
        <v/>
      </c>
      <c r="BM14">
        <f>MAX(0,N(BI14)-N(BL14))</f>
        <v/>
      </c>
      <c r="BN14">
        <f>IFERROR(MATCH(7,OrderPlan,0),"")</f>
        <v/>
      </c>
      <c r="BO14">
        <f>IF(BN14="",0,IFERROR(IF(N(CHOOSE(BN14,J14,N14,R14,V14,Z14,AD14,AH14,AL14))&lt;=0.005,0,MAX(0,N(CHOOSE(BN14,J14,N14,R14,V14,Z14,AD14,AH14,AL14))+N(CHOOSE(BN14,K14,O14,S14,W14,AA14,AE14,AI14,AM14))-MIN(N(CHOOSE(BN14,'Debt List'!$F$5,'Debt List'!$F$6,'Debt List'!$F$7,'Debt List'!$F$8,'Debt List'!$F$9,'Debt List'!$F$10,'Debt List'!$F$11,'Debt List'!$F$12)),N(CHOOSE(BN14,J14,N14,R14,V14,Z14,AD14,AH14,AL14))+N(CHOOSE(BN14,K14,O14,S14,W14,AA14,AE14,AI14,AM14))))),0))</f>
        <v/>
      </c>
      <c r="BP14">
        <f>MIN(N(BO14),MAX(0,N(BM14)))</f>
        <v/>
      </c>
      <c r="BQ14">
        <f>MAX(0,N(BM14)-N(BP14))</f>
        <v/>
      </c>
      <c r="BR14">
        <f>IFERROR(MATCH(8,OrderPlan,0),"")</f>
        <v/>
      </c>
      <c r="BS14">
        <f>IF(BR14="",0,IFERROR(IF(N(CHOOSE(BR14,J14,N14,R14,V14,Z14,AD14,AH14,AL14))&lt;=0.005,0,MAX(0,N(CHOOSE(BR14,J14,N14,R14,V14,Z14,AD14,AH14,AL14))+N(CHOOSE(BR14,K14,O14,S14,W14,AA14,AE14,AI14,AM14))-MIN(N(CHOOSE(BR14,'Debt List'!$F$5,'Debt List'!$F$6,'Debt List'!$F$7,'Debt List'!$F$8,'Debt List'!$F$9,'Debt List'!$F$10,'Debt List'!$F$11,'Debt List'!$F$12)),N(CHOOSE(BR14,J14,N14,R14,V14,Z14,AD14,AH14,AL14))+N(CHOOSE(BR14,K14,O14,S14,W14,AA14,AE14,AI14,AM14))))),0))</f>
        <v/>
      </c>
      <c r="BT14">
        <f>MIN(N(BS14),MAX(0,N(BQ14)))</f>
        <v/>
      </c>
      <c r="BU14">
        <f>MAX(0,N(BQ14)-N(BT14))</f>
        <v/>
      </c>
      <c r="CC14" t="n">
        <v>10</v>
      </c>
      <c r="CD14" s="115">
        <f>DATE(YEAR(PlanStart),MONTH(PlanStart)+CC14-1,1)</f>
        <v/>
      </c>
      <c r="CE14">
        <f>IF(AND(DR14&lt;&gt;"",N(CHOOSE(DR14,CL14,CP14,CT14,CX14,DB14,DF14,DJ14,DN14))&gt;0.005),INDEX(DebtNames,DR14),IF(AND(DV14&lt;&gt;"",N(CHOOSE(DV14,CL14,CP14,CT14,CX14,DB14,DF14,DJ14,DN14))&gt;0.005),INDEX(DebtNames,DV14),IF(AND(DZ14&lt;&gt;"",N(CHOOSE(DZ14,CL14,CP14,CT14,CX14,DB14,DF14,DJ14,DN14))&gt;0.005),INDEX(DebtNames,DZ14),IF(AND(ED14&lt;&gt;"",N(CHOOSE(ED14,CL14,CP14,CT14,CX14,DB14,DF14,DJ14,DN14))&gt;0.005),INDEX(DebtNames,ED14),IF(AND(EH14&lt;&gt;"",N(CHOOSE(EH14,CL14,CP14,CT14,CX14,DB14,DF14,DJ14,DN14))&gt;0.005),INDEX(DebtNames,EH14),IF(AND(EL14&lt;&gt;"",N(CHOOSE(EL14,CL14,CP14,CT14,CX14,DB14,DF14,DJ14,DN14))&gt;0.005),INDEX(DebtNames,EL14),IF(AND(EP14&lt;&gt;"",N(CHOOSE(EP14,CL14,CP14,CT14,CX14,DB14,DF14,DJ14,DN14))&gt;0.005),INDEX(DebtNames,EP14),IF(AND(ET14&lt;&gt;"",N(CHOOSE(ET14,CL14,CP14,CT14,CX14,DB14,DF14,DJ14,DN14))&gt;0.005),INDEX(DebtNames,ET14),""))))))))</f>
        <v/>
      </c>
      <c r="CF14">
        <f>N(EW14)</f>
        <v/>
      </c>
      <c r="CG14">
        <f>N(CN14)+N(CR14)+N(CV14)+N(CZ14)+N(DD14)+N(DH14)+N(DL14)+N(DP14)</f>
        <v/>
      </c>
      <c r="CH14">
        <f>N(CM14)+N(CQ14)+N(CU14)+N(CY14)+N(DC14)+N(DG14)+N(DK14)+N(DO14)</f>
        <v/>
      </c>
      <c r="CI14">
        <f>N(CI13)+N(CH14)</f>
        <v/>
      </c>
      <c r="CJ14">
        <f>N(CO14)+N(CS14)+N(CW14)+N(DA14)+N(DE14)+N(DI14)+N(DM14)+N(DQ14)</f>
        <v/>
      </c>
      <c r="CK14">
        <f>(CO14&gt;0.005)*1+(CS14&gt;0.005)*1+(CW14&gt;0.005)*1+(DA14&gt;0.005)*1+(DE14&gt;0.005)*1+(DI14&gt;0.005)*1+(DM14&gt;0.005)*1+(DQ14&gt;0.005)*1</f>
        <v/>
      </c>
      <c r="CL14">
        <f>N(CO13)</f>
        <v/>
      </c>
      <c r="CM14">
        <f>IF(N(CL14)&lt;=0.005,0,ROUND(N(CL14)*N('Debt List'!E5)/12,2))</f>
        <v/>
      </c>
      <c r="CN14">
        <f>IF(N(CL14)&lt;=0.005,0,MIN(N('Debt List'!F5),N(CL14)+N(CM14)))+((DR14=1)*DT14+(DV14=1)*DX14+(DZ14=1)*EB14+(ED14=1)*EF14+(EH14=1)*EJ14+(EL14=1)*EN14+(EP14=1)*ER14+(ET14=1)*EV14)</f>
        <v/>
      </c>
      <c r="CO14">
        <f>MAX(0,ROUND(N(CL14)+N(CM14)-N(CN14),2))</f>
        <v/>
      </c>
      <c r="CP14">
        <f>N(CS13)</f>
        <v/>
      </c>
      <c r="CQ14">
        <f>IF(N(CP14)&lt;=0.005,0,ROUND(N(CP14)*N('Debt List'!E6)/12,2))</f>
        <v/>
      </c>
      <c r="CR14">
        <f>IF(N(CP14)&lt;=0.005,0,MIN(N('Debt List'!F6),N(CP14)+N(CQ14)))+((DR14=2)*DT14+(DV14=2)*DX14+(DZ14=2)*EB14+(ED14=2)*EF14+(EH14=2)*EJ14+(EL14=2)*EN14+(EP14=2)*ER14+(ET14=2)*EV14)</f>
        <v/>
      </c>
      <c r="CS14">
        <f>MAX(0,ROUND(N(CP14)+N(CQ14)-N(CR14),2))</f>
        <v/>
      </c>
      <c r="CT14">
        <f>N(CW13)</f>
        <v/>
      </c>
      <c r="CU14">
        <f>IF(N(CT14)&lt;=0.005,0,ROUND(N(CT14)*N('Debt List'!E7)/12,2))</f>
        <v/>
      </c>
      <c r="CV14">
        <f>IF(N(CT14)&lt;=0.005,0,MIN(N('Debt List'!F7),N(CT14)+N(CU14)))+((DR14=3)*DT14+(DV14=3)*DX14+(DZ14=3)*EB14+(ED14=3)*EF14+(EH14=3)*EJ14+(EL14=3)*EN14+(EP14=3)*ER14+(ET14=3)*EV14)</f>
        <v/>
      </c>
      <c r="CW14">
        <f>MAX(0,ROUND(N(CT14)+N(CU14)-N(CV14),2))</f>
        <v/>
      </c>
      <c r="CX14">
        <f>N(DA13)</f>
        <v/>
      </c>
      <c r="CY14">
        <f>IF(N(CX14)&lt;=0.005,0,ROUND(N(CX14)*N('Debt List'!E8)/12,2))</f>
        <v/>
      </c>
      <c r="CZ14">
        <f>IF(N(CX14)&lt;=0.005,0,MIN(N('Debt List'!F8),N(CX14)+N(CY14)))+((DR14=4)*DT14+(DV14=4)*DX14+(DZ14=4)*EB14+(ED14=4)*EF14+(EH14=4)*EJ14+(EL14=4)*EN14+(EP14=4)*ER14+(ET14=4)*EV14)</f>
        <v/>
      </c>
      <c r="DA14">
        <f>MAX(0,ROUND(N(CX14)+N(CY14)-N(CZ14),2))</f>
        <v/>
      </c>
      <c r="DB14">
        <f>N(DE13)</f>
        <v/>
      </c>
      <c r="DC14">
        <f>IF(N(DB14)&lt;=0.005,0,ROUND(N(DB14)*N('Debt List'!E9)/12,2))</f>
        <v/>
      </c>
      <c r="DD14">
        <f>IF(N(DB14)&lt;=0.005,0,MIN(N('Debt List'!F9),N(DB14)+N(DC14)))+((DR14=5)*DT14+(DV14=5)*DX14+(DZ14=5)*EB14+(ED14=5)*EF14+(EH14=5)*EJ14+(EL14=5)*EN14+(EP14=5)*ER14+(ET14=5)*EV14)</f>
        <v/>
      </c>
      <c r="DE14">
        <f>MAX(0,ROUND(N(DB14)+N(DC14)-N(DD14),2))</f>
        <v/>
      </c>
      <c r="DF14">
        <f>N(DI13)</f>
        <v/>
      </c>
      <c r="DG14">
        <f>IF(N(DF14)&lt;=0.005,0,ROUND(N(DF14)*N('Debt List'!E10)/12,2))</f>
        <v/>
      </c>
      <c r="DH14">
        <f>IF(N(DF14)&lt;=0.005,0,MIN(N('Debt List'!F10),N(DF14)+N(DG14)))+((DR14=6)*DT14+(DV14=6)*DX14+(DZ14=6)*EB14+(ED14=6)*EF14+(EH14=6)*EJ14+(EL14=6)*EN14+(EP14=6)*ER14+(ET14=6)*EV14)</f>
        <v/>
      </c>
      <c r="DI14">
        <f>MAX(0,ROUND(N(DF14)+N(DG14)-N(DH14),2))</f>
        <v/>
      </c>
      <c r="DJ14">
        <f>N(DM13)</f>
        <v/>
      </c>
      <c r="DK14">
        <f>IF(N(DJ14)&lt;=0.005,0,ROUND(N(DJ14)*N('Debt List'!E11)/12,2))</f>
        <v/>
      </c>
      <c r="DL14">
        <f>IF(N(DJ14)&lt;=0.005,0,MIN(N('Debt List'!F11),N(DJ14)+N(DK14)))+((DR14=7)*DT14+(DV14=7)*DX14+(DZ14=7)*EB14+(ED14=7)*EF14+(EH14=7)*EJ14+(EL14=7)*EN14+(EP14=7)*ER14+(ET14=7)*EV14)</f>
        <v/>
      </c>
      <c r="DM14">
        <f>MAX(0,ROUND(N(DJ14)+N(DK14)-N(DL14),2))</f>
        <v/>
      </c>
      <c r="DN14">
        <f>N(DQ13)</f>
        <v/>
      </c>
      <c r="DO14">
        <f>IF(N(DN14)&lt;=0.005,0,ROUND(N(DN14)*N('Debt List'!E12)/12,2))</f>
        <v/>
      </c>
      <c r="DP14">
        <f>IF(N(DN14)&lt;=0.005,0,MIN(N('Debt List'!F12),N(DN14)+N(DO14)))+((DR14=8)*DT14+(DV14=8)*DX14+(DZ14=8)*EB14+(ED14=8)*EF14+(EH14=8)*EJ14+(EL14=8)*EN14+(EP14=8)*ER14+(ET14=8)*EV14)</f>
        <v/>
      </c>
      <c r="DQ14">
        <f>MAX(0,ROUND(N(DN14)+N(DO14)-N(DP14),2))</f>
        <v/>
      </c>
      <c r="DR14">
        <f>IFERROR(MATCH(1,OrderSnow,0),"")</f>
        <v/>
      </c>
      <c r="DS14">
        <f>IF(DR14="",0,IFERROR(IF(N(CHOOSE(DR14,CL14,CP14,CT14,CX14,DB14,DF14,DJ14,DN14))&lt;=0.005,0,MAX(0,N(CHOOSE(DR14,CL14,CP14,CT14,CX14,DB14,DF14,DJ14,DN14))+N(CHOOSE(DR14,CM14,CQ14,CU14,CY14,DC14,DG14,DK14,DO14))-MIN(N(CHOOSE(DR14,'Debt List'!$F$5,'Debt List'!$F$6,'Debt List'!$F$7,'Debt List'!$F$8,'Debt List'!$F$9,'Debt List'!$F$10,'Debt List'!$F$11,'Debt List'!$F$12)),N(CHOOSE(DR14,CL14,CP14,CT14,CX14,DB14,DF14,DJ14,DN14))+N(CHOOSE(DR14,CM14,CQ14,CU14,CY14,DC14,DG14,DK14,DO14))))),0))</f>
        <v/>
      </c>
      <c r="DT14">
        <f>MIN(N(DS14),MAX(0,N(ExtraPayment)))</f>
        <v/>
      </c>
      <c r="DU14">
        <f>MAX(0,N(ExtraPayment)-N(DT14))</f>
        <v/>
      </c>
      <c r="DV14">
        <f>IFERROR(MATCH(2,OrderSnow,0),"")</f>
        <v/>
      </c>
      <c r="DW14">
        <f>IF(DV14="",0,IFERROR(IF(N(CHOOSE(DV14,CL14,CP14,CT14,CX14,DB14,DF14,DJ14,DN14))&lt;=0.005,0,MAX(0,N(CHOOSE(DV14,CL14,CP14,CT14,CX14,DB14,DF14,DJ14,DN14))+N(CHOOSE(DV14,CM14,CQ14,CU14,CY14,DC14,DG14,DK14,DO14))-MIN(N(CHOOSE(DV14,'Debt List'!$F$5,'Debt List'!$F$6,'Debt List'!$F$7,'Debt List'!$F$8,'Debt List'!$F$9,'Debt List'!$F$10,'Debt List'!$F$11,'Debt List'!$F$12)),N(CHOOSE(DV14,CL14,CP14,CT14,CX14,DB14,DF14,DJ14,DN14))+N(CHOOSE(DV14,CM14,CQ14,CU14,CY14,DC14,DG14,DK14,DO14))))),0))</f>
        <v/>
      </c>
      <c r="DX14">
        <f>MIN(N(DW14),MAX(0,N(DU14)))</f>
        <v/>
      </c>
      <c r="DY14">
        <f>MAX(0,N(DU14)-N(DX14))</f>
        <v/>
      </c>
      <c r="DZ14">
        <f>IFERROR(MATCH(3,OrderSnow,0),"")</f>
        <v/>
      </c>
      <c r="EA14">
        <f>IF(DZ14="",0,IFERROR(IF(N(CHOOSE(DZ14,CL14,CP14,CT14,CX14,DB14,DF14,DJ14,DN14))&lt;=0.005,0,MAX(0,N(CHOOSE(DZ14,CL14,CP14,CT14,CX14,DB14,DF14,DJ14,DN14))+N(CHOOSE(DZ14,CM14,CQ14,CU14,CY14,DC14,DG14,DK14,DO14))-MIN(N(CHOOSE(DZ14,'Debt List'!$F$5,'Debt List'!$F$6,'Debt List'!$F$7,'Debt List'!$F$8,'Debt List'!$F$9,'Debt List'!$F$10,'Debt List'!$F$11,'Debt List'!$F$12)),N(CHOOSE(DZ14,CL14,CP14,CT14,CX14,DB14,DF14,DJ14,DN14))+N(CHOOSE(DZ14,CM14,CQ14,CU14,CY14,DC14,DG14,DK14,DO14))))),0))</f>
        <v/>
      </c>
      <c r="EB14">
        <f>MIN(N(EA14),MAX(0,N(DY14)))</f>
        <v/>
      </c>
      <c r="EC14">
        <f>MAX(0,N(DY14)-N(EB14))</f>
        <v/>
      </c>
      <c r="ED14">
        <f>IFERROR(MATCH(4,OrderSnow,0),"")</f>
        <v/>
      </c>
      <c r="EE14">
        <f>IF(ED14="",0,IFERROR(IF(N(CHOOSE(ED14,CL14,CP14,CT14,CX14,DB14,DF14,DJ14,DN14))&lt;=0.005,0,MAX(0,N(CHOOSE(ED14,CL14,CP14,CT14,CX14,DB14,DF14,DJ14,DN14))+N(CHOOSE(ED14,CM14,CQ14,CU14,CY14,DC14,DG14,DK14,DO14))-MIN(N(CHOOSE(ED14,'Debt List'!$F$5,'Debt List'!$F$6,'Debt List'!$F$7,'Debt List'!$F$8,'Debt List'!$F$9,'Debt List'!$F$10,'Debt List'!$F$11,'Debt List'!$F$12)),N(CHOOSE(ED14,CL14,CP14,CT14,CX14,DB14,DF14,DJ14,DN14))+N(CHOOSE(ED14,CM14,CQ14,CU14,CY14,DC14,DG14,DK14,DO14))))),0))</f>
        <v/>
      </c>
      <c r="EF14">
        <f>MIN(N(EE14),MAX(0,N(EC14)))</f>
        <v/>
      </c>
      <c r="EG14">
        <f>MAX(0,N(EC14)-N(EF14))</f>
        <v/>
      </c>
      <c r="EH14">
        <f>IFERROR(MATCH(5,OrderSnow,0),"")</f>
        <v/>
      </c>
      <c r="EI14">
        <f>IF(EH14="",0,IFERROR(IF(N(CHOOSE(EH14,CL14,CP14,CT14,CX14,DB14,DF14,DJ14,DN14))&lt;=0.005,0,MAX(0,N(CHOOSE(EH14,CL14,CP14,CT14,CX14,DB14,DF14,DJ14,DN14))+N(CHOOSE(EH14,CM14,CQ14,CU14,CY14,DC14,DG14,DK14,DO14))-MIN(N(CHOOSE(EH14,'Debt List'!$F$5,'Debt List'!$F$6,'Debt List'!$F$7,'Debt List'!$F$8,'Debt List'!$F$9,'Debt List'!$F$10,'Debt List'!$F$11,'Debt List'!$F$12)),N(CHOOSE(EH14,CL14,CP14,CT14,CX14,DB14,DF14,DJ14,DN14))+N(CHOOSE(EH14,CM14,CQ14,CU14,CY14,DC14,DG14,DK14,DO14))))),0))</f>
        <v/>
      </c>
      <c r="EJ14">
        <f>MIN(N(EI14),MAX(0,N(EG14)))</f>
        <v/>
      </c>
      <c r="EK14">
        <f>MAX(0,N(EG14)-N(EJ14))</f>
        <v/>
      </c>
      <c r="EL14">
        <f>IFERROR(MATCH(6,OrderSnow,0),"")</f>
        <v/>
      </c>
      <c r="EM14">
        <f>IF(EL14="",0,IFERROR(IF(N(CHOOSE(EL14,CL14,CP14,CT14,CX14,DB14,DF14,DJ14,DN14))&lt;=0.005,0,MAX(0,N(CHOOSE(EL14,CL14,CP14,CT14,CX14,DB14,DF14,DJ14,DN14))+N(CHOOSE(EL14,CM14,CQ14,CU14,CY14,DC14,DG14,DK14,DO14))-MIN(N(CHOOSE(EL14,'Debt List'!$F$5,'Debt List'!$F$6,'Debt List'!$F$7,'Debt List'!$F$8,'Debt List'!$F$9,'Debt List'!$F$10,'Debt List'!$F$11,'Debt List'!$F$12)),N(CHOOSE(EL14,CL14,CP14,CT14,CX14,DB14,DF14,DJ14,DN14))+N(CHOOSE(EL14,CM14,CQ14,CU14,CY14,DC14,DG14,DK14,DO14))))),0))</f>
        <v/>
      </c>
      <c r="EN14">
        <f>MIN(N(EM14),MAX(0,N(EK14)))</f>
        <v/>
      </c>
      <c r="EO14">
        <f>MAX(0,N(EK14)-N(EN14))</f>
        <v/>
      </c>
      <c r="EP14">
        <f>IFERROR(MATCH(7,OrderSnow,0),"")</f>
        <v/>
      </c>
      <c r="EQ14">
        <f>IF(EP14="",0,IFERROR(IF(N(CHOOSE(EP14,CL14,CP14,CT14,CX14,DB14,DF14,DJ14,DN14))&lt;=0.005,0,MAX(0,N(CHOOSE(EP14,CL14,CP14,CT14,CX14,DB14,DF14,DJ14,DN14))+N(CHOOSE(EP14,CM14,CQ14,CU14,CY14,DC14,DG14,DK14,DO14))-MIN(N(CHOOSE(EP14,'Debt List'!$F$5,'Debt List'!$F$6,'Debt List'!$F$7,'Debt List'!$F$8,'Debt List'!$F$9,'Debt List'!$F$10,'Debt List'!$F$11,'Debt List'!$F$12)),N(CHOOSE(EP14,CL14,CP14,CT14,CX14,DB14,DF14,DJ14,DN14))+N(CHOOSE(EP14,CM14,CQ14,CU14,CY14,DC14,DG14,DK14,DO14))))),0))</f>
        <v/>
      </c>
      <c r="ER14">
        <f>MIN(N(EQ14),MAX(0,N(EO14)))</f>
        <v/>
      </c>
      <c r="ES14">
        <f>MAX(0,N(EO14)-N(ER14))</f>
        <v/>
      </c>
      <c r="ET14">
        <f>IFERROR(MATCH(8,OrderSnow,0),"")</f>
        <v/>
      </c>
      <c r="EU14">
        <f>IF(ET14="",0,IFERROR(IF(N(CHOOSE(ET14,CL14,CP14,CT14,CX14,DB14,DF14,DJ14,DN14))&lt;=0.005,0,MAX(0,N(CHOOSE(ET14,CL14,CP14,CT14,CX14,DB14,DF14,DJ14,DN14))+N(CHOOSE(ET14,CM14,CQ14,CU14,CY14,DC14,DG14,DK14,DO14))-MIN(N(CHOOSE(ET14,'Debt List'!$F$5,'Debt List'!$F$6,'Debt List'!$F$7,'Debt List'!$F$8,'Debt List'!$F$9,'Debt List'!$F$10,'Debt List'!$F$11,'Debt List'!$F$12)),N(CHOOSE(ET14,CL14,CP14,CT14,CX14,DB14,DF14,DJ14,DN14))+N(CHOOSE(ET14,CM14,CQ14,CU14,CY14,DC14,DG14,DK14,DO14))))),0))</f>
        <v/>
      </c>
      <c r="EV14">
        <f>MIN(N(EU14),MAX(0,N(ES14)))</f>
        <v/>
      </c>
      <c r="EW14">
        <f>MAX(0,N(ES14)-N(EV14))</f>
        <v/>
      </c>
      <c r="FE14" t="n">
        <v>10</v>
      </c>
      <c r="FF14" s="115">
        <f>DATE(YEAR(PlanStart),MONTH(PlanStart)+FE14-1,1)</f>
        <v/>
      </c>
      <c r="FG14">
        <f>IF(AND(GT14&lt;&gt;"",N(CHOOSE(GT14,FN14,FR14,FV14,FZ14,GD14,GH14,GL14,GP14))&gt;0.005),INDEX(DebtNames,GT14),IF(AND(GX14&lt;&gt;"",N(CHOOSE(GX14,FN14,FR14,FV14,FZ14,GD14,GH14,GL14,GP14))&gt;0.005),INDEX(DebtNames,GX14),IF(AND(HB14&lt;&gt;"",N(CHOOSE(HB14,FN14,FR14,FV14,FZ14,GD14,GH14,GL14,GP14))&gt;0.005),INDEX(DebtNames,HB14),IF(AND(HF14&lt;&gt;"",N(CHOOSE(HF14,FN14,FR14,FV14,FZ14,GD14,GH14,GL14,GP14))&gt;0.005),INDEX(DebtNames,HF14),IF(AND(HJ14&lt;&gt;"",N(CHOOSE(HJ14,FN14,FR14,FV14,FZ14,GD14,GH14,GL14,GP14))&gt;0.005),INDEX(DebtNames,HJ14),IF(AND(HN14&lt;&gt;"",N(CHOOSE(HN14,FN14,FR14,FV14,FZ14,GD14,GH14,GL14,GP14))&gt;0.005),INDEX(DebtNames,HN14),IF(AND(HR14&lt;&gt;"",N(CHOOSE(HR14,FN14,FR14,FV14,FZ14,GD14,GH14,GL14,GP14))&gt;0.005),INDEX(DebtNames,HR14),IF(AND(HV14&lt;&gt;"",N(CHOOSE(HV14,FN14,FR14,FV14,FZ14,GD14,GH14,GL14,GP14))&gt;0.005),INDEX(DebtNames,HV14),""))))))))</f>
        <v/>
      </c>
      <c r="FH14">
        <f>N(HY14)</f>
        <v/>
      </c>
      <c r="FI14">
        <f>N(FP14)+N(FT14)+N(FX14)+N(GB14)+N(GF14)+N(GJ14)+N(GN14)+N(GR14)</f>
        <v/>
      </c>
      <c r="FJ14">
        <f>N(FO14)+N(FS14)+N(FW14)+N(GA14)+N(GE14)+N(GI14)+N(GM14)+N(GQ14)</f>
        <v/>
      </c>
      <c r="FK14">
        <f>N(FK13)+N(FJ14)</f>
        <v/>
      </c>
      <c r="FL14">
        <f>N(FQ14)+N(FU14)+N(FY14)+N(GC14)+N(GG14)+N(GK14)+N(GO14)+N(GS14)</f>
        <v/>
      </c>
      <c r="FM14">
        <f>(FQ14&gt;0.005)*1+(FU14&gt;0.005)*1+(FY14&gt;0.005)*1+(GC14&gt;0.005)*1+(GG14&gt;0.005)*1+(GK14&gt;0.005)*1+(GO14&gt;0.005)*1+(GS14&gt;0.005)*1</f>
        <v/>
      </c>
      <c r="FN14">
        <f>N(FQ13)</f>
        <v/>
      </c>
      <c r="FO14">
        <f>IF(N(FN14)&lt;=0.005,0,ROUND(N(FN14)*N('Debt List'!E5)/12,2))</f>
        <v/>
      </c>
      <c r="FP14">
        <f>IF(N(FN14)&lt;=0.005,0,MIN(N('Debt List'!F5),N(FN14)+N(FO14)))+((GT14=1)*GV14+(GX14=1)*GZ14+(HB14=1)*HD14+(HF14=1)*HH14+(HJ14=1)*HL14+(HN14=1)*HP14+(HR14=1)*HT14+(HV14=1)*HX14)</f>
        <v/>
      </c>
      <c r="FQ14">
        <f>MAX(0,ROUND(N(FN14)+N(FO14)-N(FP14),2))</f>
        <v/>
      </c>
      <c r="FR14">
        <f>N(FU13)</f>
        <v/>
      </c>
      <c r="FS14">
        <f>IF(N(FR14)&lt;=0.005,0,ROUND(N(FR14)*N('Debt List'!E6)/12,2))</f>
        <v/>
      </c>
      <c r="FT14">
        <f>IF(N(FR14)&lt;=0.005,0,MIN(N('Debt List'!F6),N(FR14)+N(FS14)))+((GT14=2)*GV14+(GX14=2)*GZ14+(HB14=2)*HD14+(HF14=2)*HH14+(HJ14=2)*HL14+(HN14=2)*HP14+(HR14=2)*HT14+(HV14=2)*HX14)</f>
        <v/>
      </c>
      <c r="FU14">
        <f>MAX(0,ROUND(N(FR14)+N(FS14)-N(FT14),2))</f>
        <v/>
      </c>
      <c r="FV14">
        <f>N(FY13)</f>
        <v/>
      </c>
      <c r="FW14">
        <f>IF(N(FV14)&lt;=0.005,0,ROUND(N(FV14)*N('Debt List'!E7)/12,2))</f>
        <v/>
      </c>
      <c r="FX14">
        <f>IF(N(FV14)&lt;=0.005,0,MIN(N('Debt List'!F7),N(FV14)+N(FW14)))+((GT14=3)*GV14+(GX14=3)*GZ14+(HB14=3)*HD14+(HF14=3)*HH14+(HJ14=3)*HL14+(HN14=3)*HP14+(HR14=3)*HT14+(HV14=3)*HX14)</f>
        <v/>
      </c>
      <c r="FY14">
        <f>MAX(0,ROUND(N(FV14)+N(FW14)-N(FX14),2))</f>
        <v/>
      </c>
      <c r="FZ14">
        <f>N(GC13)</f>
        <v/>
      </c>
      <c r="GA14">
        <f>IF(N(FZ14)&lt;=0.005,0,ROUND(N(FZ14)*N('Debt List'!E8)/12,2))</f>
        <v/>
      </c>
      <c r="GB14">
        <f>IF(N(FZ14)&lt;=0.005,0,MIN(N('Debt List'!F8),N(FZ14)+N(GA14)))+((GT14=4)*GV14+(GX14=4)*GZ14+(HB14=4)*HD14+(HF14=4)*HH14+(HJ14=4)*HL14+(HN14=4)*HP14+(HR14=4)*HT14+(HV14=4)*HX14)</f>
        <v/>
      </c>
      <c r="GC14">
        <f>MAX(0,ROUND(N(FZ14)+N(GA14)-N(GB14),2))</f>
        <v/>
      </c>
      <c r="GD14">
        <f>N(GG13)</f>
        <v/>
      </c>
      <c r="GE14">
        <f>IF(N(GD14)&lt;=0.005,0,ROUND(N(GD14)*N('Debt List'!E9)/12,2))</f>
        <v/>
      </c>
      <c r="GF14">
        <f>IF(N(GD14)&lt;=0.005,0,MIN(N('Debt List'!F9),N(GD14)+N(GE14)))+((GT14=5)*GV14+(GX14=5)*GZ14+(HB14=5)*HD14+(HF14=5)*HH14+(HJ14=5)*HL14+(HN14=5)*HP14+(HR14=5)*HT14+(HV14=5)*HX14)</f>
        <v/>
      </c>
      <c r="GG14">
        <f>MAX(0,ROUND(N(GD14)+N(GE14)-N(GF14),2))</f>
        <v/>
      </c>
      <c r="GH14">
        <f>N(GK13)</f>
        <v/>
      </c>
      <c r="GI14">
        <f>IF(N(GH14)&lt;=0.005,0,ROUND(N(GH14)*N('Debt List'!E10)/12,2))</f>
        <v/>
      </c>
      <c r="GJ14">
        <f>IF(N(GH14)&lt;=0.005,0,MIN(N('Debt List'!F10),N(GH14)+N(GI14)))+((GT14=6)*GV14+(GX14=6)*GZ14+(HB14=6)*HD14+(HF14=6)*HH14+(HJ14=6)*HL14+(HN14=6)*HP14+(HR14=6)*HT14+(HV14=6)*HX14)</f>
        <v/>
      </c>
      <c r="GK14">
        <f>MAX(0,ROUND(N(GH14)+N(GI14)-N(GJ14),2))</f>
        <v/>
      </c>
      <c r="GL14">
        <f>N(GO13)</f>
        <v/>
      </c>
      <c r="GM14">
        <f>IF(N(GL14)&lt;=0.005,0,ROUND(N(GL14)*N('Debt List'!E11)/12,2))</f>
        <v/>
      </c>
      <c r="GN14">
        <f>IF(N(GL14)&lt;=0.005,0,MIN(N('Debt List'!F11),N(GL14)+N(GM14)))+((GT14=7)*GV14+(GX14=7)*GZ14+(HB14=7)*HD14+(HF14=7)*HH14+(HJ14=7)*HL14+(HN14=7)*HP14+(HR14=7)*HT14+(HV14=7)*HX14)</f>
        <v/>
      </c>
      <c r="GO14">
        <f>MAX(0,ROUND(N(GL14)+N(GM14)-N(GN14),2))</f>
        <v/>
      </c>
      <c r="GP14">
        <f>N(GS13)</f>
        <v/>
      </c>
      <c r="GQ14">
        <f>IF(N(GP14)&lt;=0.005,0,ROUND(N(GP14)*N('Debt List'!E12)/12,2))</f>
        <v/>
      </c>
      <c r="GR14">
        <f>IF(N(GP14)&lt;=0.005,0,MIN(N('Debt List'!F12),N(GP14)+N(GQ14)))+((GT14=8)*GV14+(GX14=8)*GZ14+(HB14=8)*HD14+(HF14=8)*HH14+(HJ14=8)*HL14+(HN14=8)*HP14+(HR14=8)*HT14+(HV14=8)*HX14)</f>
        <v/>
      </c>
      <c r="GS14">
        <f>MAX(0,ROUND(N(GP14)+N(GQ14)-N(GR14),2))</f>
        <v/>
      </c>
      <c r="GT14">
        <f>IFERROR(MATCH(1,OrderAval,0),"")</f>
        <v/>
      </c>
      <c r="GU14">
        <f>IF(GT14="",0,IFERROR(IF(N(CHOOSE(GT14,FN14,FR14,FV14,FZ14,GD14,GH14,GL14,GP14))&lt;=0.005,0,MAX(0,N(CHOOSE(GT14,FN14,FR14,FV14,FZ14,GD14,GH14,GL14,GP14))+N(CHOOSE(GT14,FO14,FS14,FW14,GA14,GE14,GI14,GM14,GQ14))-MIN(N(CHOOSE(GT14,'Debt List'!$F$5,'Debt List'!$F$6,'Debt List'!$F$7,'Debt List'!$F$8,'Debt List'!$F$9,'Debt List'!$F$10,'Debt List'!$F$11,'Debt List'!$F$12)),N(CHOOSE(GT14,FN14,FR14,FV14,FZ14,GD14,GH14,GL14,GP14))+N(CHOOSE(GT14,FO14,FS14,FW14,GA14,GE14,GI14,GM14,GQ14))))),0))</f>
        <v/>
      </c>
      <c r="GV14">
        <f>MIN(N(GU14),MAX(0,N(ExtraPayment)))</f>
        <v/>
      </c>
      <c r="GW14">
        <f>MAX(0,N(ExtraPayment)-N(GV14))</f>
        <v/>
      </c>
      <c r="GX14">
        <f>IFERROR(MATCH(2,OrderAval,0),"")</f>
        <v/>
      </c>
      <c r="GY14">
        <f>IF(GX14="",0,IFERROR(IF(N(CHOOSE(GX14,FN14,FR14,FV14,FZ14,GD14,GH14,GL14,GP14))&lt;=0.005,0,MAX(0,N(CHOOSE(GX14,FN14,FR14,FV14,FZ14,GD14,GH14,GL14,GP14))+N(CHOOSE(GX14,FO14,FS14,FW14,GA14,GE14,GI14,GM14,GQ14))-MIN(N(CHOOSE(GX14,'Debt List'!$F$5,'Debt List'!$F$6,'Debt List'!$F$7,'Debt List'!$F$8,'Debt List'!$F$9,'Debt List'!$F$10,'Debt List'!$F$11,'Debt List'!$F$12)),N(CHOOSE(GX14,FN14,FR14,FV14,FZ14,GD14,GH14,GL14,GP14))+N(CHOOSE(GX14,FO14,FS14,FW14,GA14,GE14,GI14,GM14,GQ14))))),0))</f>
        <v/>
      </c>
      <c r="GZ14">
        <f>MIN(N(GY14),MAX(0,N(GW14)))</f>
        <v/>
      </c>
      <c r="HA14">
        <f>MAX(0,N(GW14)-N(GZ14))</f>
        <v/>
      </c>
      <c r="HB14">
        <f>IFERROR(MATCH(3,OrderAval,0),"")</f>
        <v/>
      </c>
      <c r="HC14">
        <f>IF(HB14="",0,IFERROR(IF(N(CHOOSE(HB14,FN14,FR14,FV14,FZ14,GD14,GH14,GL14,GP14))&lt;=0.005,0,MAX(0,N(CHOOSE(HB14,FN14,FR14,FV14,FZ14,GD14,GH14,GL14,GP14))+N(CHOOSE(HB14,FO14,FS14,FW14,GA14,GE14,GI14,GM14,GQ14))-MIN(N(CHOOSE(HB14,'Debt List'!$F$5,'Debt List'!$F$6,'Debt List'!$F$7,'Debt List'!$F$8,'Debt List'!$F$9,'Debt List'!$F$10,'Debt List'!$F$11,'Debt List'!$F$12)),N(CHOOSE(HB14,FN14,FR14,FV14,FZ14,GD14,GH14,GL14,GP14))+N(CHOOSE(HB14,FO14,FS14,FW14,GA14,GE14,GI14,GM14,GQ14))))),0))</f>
        <v/>
      </c>
      <c r="HD14">
        <f>MIN(N(HC14),MAX(0,N(HA14)))</f>
        <v/>
      </c>
      <c r="HE14">
        <f>MAX(0,N(HA14)-N(HD14))</f>
        <v/>
      </c>
      <c r="HF14">
        <f>IFERROR(MATCH(4,OrderAval,0),"")</f>
        <v/>
      </c>
      <c r="HG14">
        <f>IF(HF14="",0,IFERROR(IF(N(CHOOSE(HF14,FN14,FR14,FV14,FZ14,GD14,GH14,GL14,GP14))&lt;=0.005,0,MAX(0,N(CHOOSE(HF14,FN14,FR14,FV14,FZ14,GD14,GH14,GL14,GP14))+N(CHOOSE(HF14,FO14,FS14,FW14,GA14,GE14,GI14,GM14,GQ14))-MIN(N(CHOOSE(HF14,'Debt List'!$F$5,'Debt List'!$F$6,'Debt List'!$F$7,'Debt List'!$F$8,'Debt List'!$F$9,'Debt List'!$F$10,'Debt List'!$F$11,'Debt List'!$F$12)),N(CHOOSE(HF14,FN14,FR14,FV14,FZ14,GD14,GH14,GL14,GP14))+N(CHOOSE(HF14,FO14,FS14,FW14,GA14,GE14,GI14,GM14,GQ14))))),0))</f>
        <v/>
      </c>
      <c r="HH14">
        <f>MIN(N(HG14),MAX(0,N(HE14)))</f>
        <v/>
      </c>
      <c r="HI14">
        <f>MAX(0,N(HE14)-N(HH14))</f>
        <v/>
      </c>
      <c r="HJ14">
        <f>IFERROR(MATCH(5,OrderAval,0),"")</f>
        <v/>
      </c>
      <c r="HK14">
        <f>IF(HJ14="",0,IFERROR(IF(N(CHOOSE(HJ14,FN14,FR14,FV14,FZ14,GD14,GH14,GL14,GP14))&lt;=0.005,0,MAX(0,N(CHOOSE(HJ14,FN14,FR14,FV14,FZ14,GD14,GH14,GL14,GP14))+N(CHOOSE(HJ14,FO14,FS14,FW14,GA14,GE14,GI14,GM14,GQ14))-MIN(N(CHOOSE(HJ14,'Debt List'!$F$5,'Debt List'!$F$6,'Debt List'!$F$7,'Debt List'!$F$8,'Debt List'!$F$9,'Debt List'!$F$10,'Debt List'!$F$11,'Debt List'!$F$12)),N(CHOOSE(HJ14,FN14,FR14,FV14,FZ14,GD14,GH14,GL14,GP14))+N(CHOOSE(HJ14,FO14,FS14,FW14,GA14,GE14,GI14,GM14,GQ14))))),0))</f>
        <v/>
      </c>
      <c r="HL14">
        <f>MIN(N(HK14),MAX(0,N(HI14)))</f>
        <v/>
      </c>
      <c r="HM14">
        <f>MAX(0,N(HI14)-N(HL14))</f>
        <v/>
      </c>
      <c r="HN14">
        <f>IFERROR(MATCH(6,OrderAval,0),"")</f>
        <v/>
      </c>
      <c r="HO14">
        <f>IF(HN14="",0,IFERROR(IF(N(CHOOSE(HN14,FN14,FR14,FV14,FZ14,GD14,GH14,GL14,GP14))&lt;=0.005,0,MAX(0,N(CHOOSE(HN14,FN14,FR14,FV14,FZ14,GD14,GH14,GL14,GP14))+N(CHOOSE(HN14,FO14,FS14,FW14,GA14,GE14,GI14,GM14,GQ14))-MIN(N(CHOOSE(HN14,'Debt List'!$F$5,'Debt List'!$F$6,'Debt List'!$F$7,'Debt List'!$F$8,'Debt List'!$F$9,'Debt List'!$F$10,'Debt List'!$F$11,'Debt List'!$F$12)),N(CHOOSE(HN14,FN14,FR14,FV14,FZ14,GD14,GH14,GL14,GP14))+N(CHOOSE(HN14,FO14,FS14,FW14,GA14,GE14,GI14,GM14,GQ14))))),0))</f>
        <v/>
      </c>
      <c r="HP14">
        <f>MIN(N(HO14),MAX(0,N(HM14)))</f>
        <v/>
      </c>
      <c r="HQ14">
        <f>MAX(0,N(HM14)-N(HP14))</f>
        <v/>
      </c>
      <c r="HR14">
        <f>IFERROR(MATCH(7,OrderAval,0),"")</f>
        <v/>
      </c>
      <c r="HS14">
        <f>IF(HR14="",0,IFERROR(IF(N(CHOOSE(HR14,FN14,FR14,FV14,FZ14,GD14,GH14,GL14,GP14))&lt;=0.005,0,MAX(0,N(CHOOSE(HR14,FN14,FR14,FV14,FZ14,GD14,GH14,GL14,GP14))+N(CHOOSE(HR14,FO14,FS14,FW14,GA14,GE14,GI14,GM14,GQ14))-MIN(N(CHOOSE(HR14,'Debt List'!$F$5,'Debt List'!$F$6,'Debt List'!$F$7,'Debt List'!$F$8,'Debt List'!$F$9,'Debt List'!$F$10,'Debt List'!$F$11,'Debt List'!$F$12)),N(CHOOSE(HR14,FN14,FR14,FV14,FZ14,GD14,GH14,GL14,GP14))+N(CHOOSE(HR14,FO14,FS14,FW14,GA14,GE14,GI14,GM14,GQ14))))),0))</f>
        <v/>
      </c>
      <c r="HT14">
        <f>MIN(N(HS14),MAX(0,N(HQ14)))</f>
        <v/>
      </c>
      <c r="HU14">
        <f>MAX(0,N(HQ14)-N(HT14))</f>
        <v/>
      </c>
      <c r="HV14">
        <f>IFERROR(MATCH(8,OrderAval,0),"")</f>
        <v/>
      </c>
      <c r="HW14">
        <f>IF(HV14="",0,IFERROR(IF(N(CHOOSE(HV14,FN14,FR14,FV14,FZ14,GD14,GH14,GL14,GP14))&lt;=0.005,0,MAX(0,N(CHOOSE(HV14,FN14,FR14,FV14,FZ14,GD14,GH14,GL14,GP14))+N(CHOOSE(HV14,FO14,FS14,FW14,GA14,GE14,GI14,GM14,GQ14))-MIN(N(CHOOSE(HV14,'Debt List'!$F$5,'Debt List'!$F$6,'Debt List'!$F$7,'Debt List'!$F$8,'Debt List'!$F$9,'Debt List'!$F$10,'Debt List'!$F$11,'Debt List'!$F$12)),N(CHOOSE(HV14,FN14,FR14,FV14,FZ14,GD14,GH14,GL14,GP14))+N(CHOOSE(HV14,FO14,FS14,FW14,GA14,GE14,GI14,GM14,GQ14))))),0))</f>
        <v/>
      </c>
      <c r="HX14">
        <f>MIN(N(HW14),MAX(0,N(HU14)))</f>
        <v/>
      </c>
      <c r="HY14">
        <f>MAX(0,N(HU14)-N(HX14))</f>
        <v/>
      </c>
    </row>
    <row r="15">
      <c r="A15" t="n">
        <v>11</v>
      </c>
      <c r="B15" s="115">
        <f>DATE(YEAR(PlanStart),MONTH(PlanStart)+A15-1,1)</f>
        <v/>
      </c>
      <c r="C15">
        <f>IF(AND(AP15&lt;&gt;"",N(CHOOSE(AP15,J15,N15,R15,V15,Z15,AD15,AH15,AL15))&gt;0.005),INDEX(DebtNames,AP15),IF(AND(AT15&lt;&gt;"",N(CHOOSE(AT15,J15,N15,R15,V15,Z15,AD15,AH15,AL15))&gt;0.005),INDEX(DebtNames,AT15),IF(AND(AX15&lt;&gt;"",N(CHOOSE(AX15,J15,N15,R15,V15,Z15,AD15,AH15,AL15))&gt;0.005),INDEX(DebtNames,AX15),IF(AND(BB15&lt;&gt;"",N(CHOOSE(BB15,J15,N15,R15,V15,Z15,AD15,AH15,AL15))&gt;0.005),INDEX(DebtNames,BB15),IF(AND(BF15&lt;&gt;"",N(CHOOSE(BF15,J15,N15,R15,V15,Z15,AD15,AH15,AL15))&gt;0.005),INDEX(DebtNames,BF15),IF(AND(BJ15&lt;&gt;"",N(CHOOSE(BJ15,J15,N15,R15,V15,Z15,AD15,AH15,AL15))&gt;0.005),INDEX(DebtNames,BJ15),IF(AND(BN15&lt;&gt;"",N(CHOOSE(BN15,J15,N15,R15,V15,Z15,AD15,AH15,AL15))&gt;0.005),INDEX(DebtNames,BN15),IF(AND(BR15&lt;&gt;"",N(CHOOSE(BR15,J15,N15,R15,V15,Z15,AD15,AH15,AL15))&gt;0.005),INDEX(DebtNames,BR15),""))))))))</f>
        <v/>
      </c>
      <c r="D15">
        <f>N(BU15)</f>
        <v/>
      </c>
      <c r="E15">
        <f>N(L15)+N(P15)+N(T15)+N(X15)+N(AB15)+N(AF15)+N(AJ15)+N(AN15)</f>
        <v/>
      </c>
      <c r="F15">
        <f>N(K15)+N(O15)+N(S15)+N(W15)+N(AA15)+N(AE15)+N(AI15)+N(AM15)</f>
        <v/>
      </c>
      <c r="G15">
        <f>N(G14)+N(F15)</f>
        <v/>
      </c>
      <c r="H15">
        <f>N(M15)+N(Q15)+N(U15)+N(Y15)+N(AC15)+N(AG15)+N(AK15)+N(AO15)</f>
        <v/>
      </c>
      <c r="I15">
        <f>(M15&gt;0.005)*1+(Q15&gt;0.005)*1+(U15&gt;0.005)*1+(Y15&gt;0.005)*1+(AC15&gt;0.005)*1+(AG15&gt;0.005)*1+(AK15&gt;0.005)*1+(AO15&gt;0.005)*1</f>
        <v/>
      </c>
      <c r="J15">
        <f>N(M14)</f>
        <v/>
      </c>
      <c r="K15">
        <f>IF(N(J15)&lt;=0.005,0,ROUND(N(J15)*N('Debt List'!E5)/12,2))</f>
        <v/>
      </c>
      <c r="L15">
        <f>IF(N(J15)&lt;=0.005,0,MIN(N('Debt List'!F5),N(J15)+N(K15)))+((AP15=1)*AR15+(AT15=1)*AV15+(AX15=1)*AZ15+(BB15=1)*BD15+(BF15=1)*BH15+(BJ15=1)*BL15+(BN15=1)*BP15+(BR15=1)*BT15)</f>
        <v/>
      </c>
      <c r="M15">
        <f>MAX(0,ROUND(N(J15)+N(K15)-N(L15),2))</f>
        <v/>
      </c>
      <c r="N15">
        <f>N(Q14)</f>
        <v/>
      </c>
      <c r="O15">
        <f>IF(N(N15)&lt;=0.005,0,ROUND(N(N15)*N('Debt List'!E6)/12,2))</f>
        <v/>
      </c>
      <c r="P15">
        <f>IF(N(N15)&lt;=0.005,0,MIN(N('Debt List'!F6),N(N15)+N(O15)))+((AP15=2)*AR15+(AT15=2)*AV15+(AX15=2)*AZ15+(BB15=2)*BD15+(BF15=2)*BH15+(BJ15=2)*BL15+(BN15=2)*BP15+(BR15=2)*BT15)</f>
        <v/>
      </c>
      <c r="Q15">
        <f>MAX(0,ROUND(N(N15)+N(O15)-N(P15),2))</f>
        <v/>
      </c>
      <c r="R15">
        <f>N(U14)</f>
        <v/>
      </c>
      <c r="S15">
        <f>IF(N(R15)&lt;=0.005,0,ROUND(N(R15)*N('Debt List'!E7)/12,2))</f>
        <v/>
      </c>
      <c r="T15">
        <f>IF(N(R15)&lt;=0.005,0,MIN(N('Debt List'!F7),N(R15)+N(S15)))+((AP15=3)*AR15+(AT15=3)*AV15+(AX15=3)*AZ15+(BB15=3)*BD15+(BF15=3)*BH15+(BJ15=3)*BL15+(BN15=3)*BP15+(BR15=3)*BT15)</f>
        <v/>
      </c>
      <c r="U15">
        <f>MAX(0,ROUND(N(R15)+N(S15)-N(T15),2))</f>
        <v/>
      </c>
      <c r="V15">
        <f>N(Y14)</f>
        <v/>
      </c>
      <c r="W15">
        <f>IF(N(V15)&lt;=0.005,0,ROUND(N(V15)*N('Debt List'!E8)/12,2))</f>
        <v/>
      </c>
      <c r="X15">
        <f>IF(N(V15)&lt;=0.005,0,MIN(N('Debt List'!F8),N(V15)+N(W15)))+((AP15=4)*AR15+(AT15=4)*AV15+(AX15=4)*AZ15+(BB15=4)*BD15+(BF15=4)*BH15+(BJ15=4)*BL15+(BN15=4)*BP15+(BR15=4)*BT15)</f>
        <v/>
      </c>
      <c r="Y15">
        <f>MAX(0,ROUND(N(V15)+N(W15)-N(X15),2))</f>
        <v/>
      </c>
      <c r="Z15">
        <f>N(AC14)</f>
        <v/>
      </c>
      <c r="AA15">
        <f>IF(N(Z15)&lt;=0.005,0,ROUND(N(Z15)*N('Debt List'!E9)/12,2))</f>
        <v/>
      </c>
      <c r="AB15">
        <f>IF(N(Z15)&lt;=0.005,0,MIN(N('Debt List'!F9),N(Z15)+N(AA15)))+((AP15=5)*AR15+(AT15=5)*AV15+(AX15=5)*AZ15+(BB15=5)*BD15+(BF15=5)*BH15+(BJ15=5)*BL15+(BN15=5)*BP15+(BR15=5)*BT15)</f>
        <v/>
      </c>
      <c r="AC15">
        <f>MAX(0,ROUND(N(Z15)+N(AA15)-N(AB15),2))</f>
        <v/>
      </c>
      <c r="AD15">
        <f>N(AG14)</f>
        <v/>
      </c>
      <c r="AE15">
        <f>IF(N(AD15)&lt;=0.005,0,ROUND(N(AD15)*N('Debt List'!E10)/12,2))</f>
        <v/>
      </c>
      <c r="AF15">
        <f>IF(N(AD15)&lt;=0.005,0,MIN(N('Debt List'!F10),N(AD15)+N(AE15)))+((AP15=6)*AR15+(AT15=6)*AV15+(AX15=6)*AZ15+(BB15=6)*BD15+(BF15=6)*BH15+(BJ15=6)*BL15+(BN15=6)*BP15+(BR15=6)*BT15)</f>
        <v/>
      </c>
      <c r="AG15">
        <f>MAX(0,ROUND(N(AD15)+N(AE15)-N(AF15),2))</f>
        <v/>
      </c>
      <c r="AH15">
        <f>N(AK14)</f>
        <v/>
      </c>
      <c r="AI15">
        <f>IF(N(AH15)&lt;=0.005,0,ROUND(N(AH15)*N('Debt List'!E11)/12,2))</f>
        <v/>
      </c>
      <c r="AJ15">
        <f>IF(N(AH15)&lt;=0.005,0,MIN(N('Debt List'!F11),N(AH15)+N(AI15)))+((AP15=7)*AR15+(AT15=7)*AV15+(AX15=7)*AZ15+(BB15=7)*BD15+(BF15=7)*BH15+(BJ15=7)*BL15+(BN15=7)*BP15+(BR15=7)*BT15)</f>
        <v/>
      </c>
      <c r="AK15">
        <f>MAX(0,ROUND(N(AH15)+N(AI15)-N(AJ15),2))</f>
        <v/>
      </c>
      <c r="AL15">
        <f>N(AO14)</f>
        <v/>
      </c>
      <c r="AM15">
        <f>IF(N(AL15)&lt;=0.005,0,ROUND(N(AL15)*N('Debt List'!E12)/12,2))</f>
        <v/>
      </c>
      <c r="AN15">
        <f>IF(N(AL15)&lt;=0.005,0,MIN(N('Debt List'!F12),N(AL15)+N(AM15)))+((AP15=8)*AR15+(AT15=8)*AV15+(AX15=8)*AZ15+(BB15=8)*BD15+(BF15=8)*BH15+(BJ15=8)*BL15+(BN15=8)*BP15+(BR15=8)*BT15)</f>
        <v/>
      </c>
      <c r="AO15">
        <f>MAX(0,ROUND(N(AL15)+N(AM15)-N(AN15),2))</f>
        <v/>
      </c>
      <c r="AP15">
        <f>IFERROR(MATCH(1,OrderPlan,0),"")</f>
        <v/>
      </c>
      <c r="AQ15">
        <f>IF(AP15="",0,IFERROR(IF(N(CHOOSE(AP15,J15,N15,R15,V15,Z15,AD15,AH15,AL15))&lt;=0.005,0,MAX(0,N(CHOOSE(AP15,J15,N15,R15,V15,Z15,AD15,AH15,AL15))+N(CHOOSE(AP15,K15,O15,S15,W15,AA15,AE15,AI15,AM15))-MIN(N(CHOOSE(AP15,'Debt List'!$F$5,'Debt List'!$F$6,'Debt List'!$F$7,'Debt List'!$F$8,'Debt List'!$F$9,'Debt List'!$F$10,'Debt List'!$F$11,'Debt List'!$F$12)),N(CHOOSE(AP15,J15,N15,R15,V15,Z15,AD15,AH15,AL15))+N(CHOOSE(AP15,K15,O15,S15,W15,AA15,AE15,AI15,AM15))))),0))</f>
        <v/>
      </c>
      <c r="AR15">
        <f>MIN(N(AQ15),MAX(0,N(ExtraPayment)))</f>
        <v/>
      </c>
      <c r="AS15">
        <f>MAX(0,N(ExtraPayment)-N(AR15))</f>
        <v/>
      </c>
      <c r="AT15">
        <f>IFERROR(MATCH(2,OrderPlan,0),"")</f>
        <v/>
      </c>
      <c r="AU15">
        <f>IF(AT15="",0,IFERROR(IF(N(CHOOSE(AT15,J15,N15,R15,V15,Z15,AD15,AH15,AL15))&lt;=0.005,0,MAX(0,N(CHOOSE(AT15,J15,N15,R15,V15,Z15,AD15,AH15,AL15))+N(CHOOSE(AT15,K15,O15,S15,W15,AA15,AE15,AI15,AM15))-MIN(N(CHOOSE(AT15,'Debt List'!$F$5,'Debt List'!$F$6,'Debt List'!$F$7,'Debt List'!$F$8,'Debt List'!$F$9,'Debt List'!$F$10,'Debt List'!$F$11,'Debt List'!$F$12)),N(CHOOSE(AT15,J15,N15,R15,V15,Z15,AD15,AH15,AL15))+N(CHOOSE(AT15,K15,O15,S15,W15,AA15,AE15,AI15,AM15))))),0))</f>
        <v/>
      </c>
      <c r="AV15">
        <f>MIN(N(AU15),MAX(0,N(AS15)))</f>
        <v/>
      </c>
      <c r="AW15">
        <f>MAX(0,N(AS15)-N(AV15))</f>
        <v/>
      </c>
      <c r="AX15">
        <f>IFERROR(MATCH(3,OrderPlan,0),"")</f>
        <v/>
      </c>
      <c r="AY15">
        <f>IF(AX15="",0,IFERROR(IF(N(CHOOSE(AX15,J15,N15,R15,V15,Z15,AD15,AH15,AL15))&lt;=0.005,0,MAX(0,N(CHOOSE(AX15,J15,N15,R15,V15,Z15,AD15,AH15,AL15))+N(CHOOSE(AX15,K15,O15,S15,W15,AA15,AE15,AI15,AM15))-MIN(N(CHOOSE(AX15,'Debt List'!$F$5,'Debt List'!$F$6,'Debt List'!$F$7,'Debt List'!$F$8,'Debt List'!$F$9,'Debt List'!$F$10,'Debt List'!$F$11,'Debt List'!$F$12)),N(CHOOSE(AX15,J15,N15,R15,V15,Z15,AD15,AH15,AL15))+N(CHOOSE(AX15,K15,O15,S15,W15,AA15,AE15,AI15,AM15))))),0))</f>
        <v/>
      </c>
      <c r="AZ15">
        <f>MIN(N(AY15),MAX(0,N(AW15)))</f>
        <v/>
      </c>
      <c r="BA15">
        <f>MAX(0,N(AW15)-N(AZ15))</f>
        <v/>
      </c>
      <c r="BB15">
        <f>IFERROR(MATCH(4,OrderPlan,0),"")</f>
        <v/>
      </c>
      <c r="BC15">
        <f>IF(BB15="",0,IFERROR(IF(N(CHOOSE(BB15,J15,N15,R15,V15,Z15,AD15,AH15,AL15))&lt;=0.005,0,MAX(0,N(CHOOSE(BB15,J15,N15,R15,V15,Z15,AD15,AH15,AL15))+N(CHOOSE(BB15,K15,O15,S15,W15,AA15,AE15,AI15,AM15))-MIN(N(CHOOSE(BB15,'Debt List'!$F$5,'Debt List'!$F$6,'Debt List'!$F$7,'Debt List'!$F$8,'Debt List'!$F$9,'Debt List'!$F$10,'Debt List'!$F$11,'Debt List'!$F$12)),N(CHOOSE(BB15,J15,N15,R15,V15,Z15,AD15,AH15,AL15))+N(CHOOSE(BB15,K15,O15,S15,W15,AA15,AE15,AI15,AM15))))),0))</f>
        <v/>
      </c>
      <c r="BD15">
        <f>MIN(N(BC15),MAX(0,N(BA15)))</f>
        <v/>
      </c>
      <c r="BE15">
        <f>MAX(0,N(BA15)-N(BD15))</f>
        <v/>
      </c>
      <c r="BF15">
        <f>IFERROR(MATCH(5,OrderPlan,0),"")</f>
        <v/>
      </c>
      <c r="BG15">
        <f>IF(BF15="",0,IFERROR(IF(N(CHOOSE(BF15,J15,N15,R15,V15,Z15,AD15,AH15,AL15))&lt;=0.005,0,MAX(0,N(CHOOSE(BF15,J15,N15,R15,V15,Z15,AD15,AH15,AL15))+N(CHOOSE(BF15,K15,O15,S15,W15,AA15,AE15,AI15,AM15))-MIN(N(CHOOSE(BF15,'Debt List'!$F$5,'Debt List'!$F$6,'Debt List'!$F$7,'Debt List'!$F$8,'Debt List'!$F$9,'Debt List'!$F$10,'Debt List'!$F$11,'Debt List'!$F$12)),N(CHOOSE(BF15,J15,N15,R15,V15,Z15,AD15,AH15,AL15))+N(CHOOSE(BF15,K15,O15,S15,W15,AA15,AE15,AI15,AM15))))),0))</f>
        <v/>
      </c>
      <c r="BH15">
        <f>MIN(N(BG15),MAX(0,N(BE15)))</f>
        <v/>
      </c>
      <c r="BI15">
        <f>MAX(0,N(BE15)-N(BH15))</f>
        <v/>
      </c>
      <c r="BJ15">
        <f>IFERROR(MATCH(6,OrderPlan,0),"")</f>
        <v/>
      </c>
      <c r="BK15">
        <f>IF(BJ15="",0,IFERROR(IF(N(CHOOSE(BJ15,J15,N15,R15,V15,Z15,AD15,AH15,AL15))&lt;=0.005,0,MAX(0,N(CHOOSE(BJ15,J15,N15,R15,V15,Z15,AD15,AH15,AL15))+N(CHOOSE(BJ15,K15,O15,S15,W15,AA15,AE15,AI15,AM15))-MIN(N(CHOOSE(BJ15,'Debt List'!$F$5,'Debt List'!$F$6,'Debt List'!$F$7,'Debt List'!$F$8,'Debt List'!$F$9,'Debt List'!$F$10,'Debt List'!$F$11,'Debt List'!$F$12)),N(CHOOSE(BJ15,J15,N15,R15,V15,Z15,AD15,AH15,AL15))+N(CHOOSE(BJ15,K15,O15,S15,W15,AA15,AE15,AI15,AM15))))),0))</f>
        <v/>
      </c>
      <c r="BL15">
        <f>MIN(N(BK15),MAX(0,N(BI15)))</f>
        <v/>
      </c>
      <c r="BM15">
        <f>MAX(0,N(BI15)-N(BL15))</f>
        <v/>
      </c>
      <c r="BN15">
        <f>IFERROR(MATCH(7,OrderPlan,0),"")</f>
        <v/>
      </c>
      <c r="BO15">
        <f>IF(BN15="",0,IFERROR(IF(N(CHOOSE(BN15,J15,N15,R15,V15,Z15,AD15,AH15,AL15))&lt;=0.005,0,MAX(0,N(CHOOSE(BN15,J15,N15,R15,V15,Z15,AD15,AH15,AL15))+N(CHOOSE(BN15,K15,O15,S15,W15,AA15,AE15,AI15,AM15))-MIN(N(CHOOSE(BN15,'Debt List'!$F$5,'Debt List'!$F$6,'Debt List'!$F$7,'Debt List'!$F$8,'Debt List'!$F$9,'Debt List'!$F$10,'Debt List'!$F$11,'Debt List'!$F$12)),N(CHOOSE(BN15,J15,N15,R15,V15,Z15,AD15,AH15,AL15))+N(CHOOSE(BN15,K15,O15,S15,W15,AA15,AE15,AI15,AM15))))),0))</f>
        <v/>
      </c>
      <c r="BP15">
        <f>MIN(N(BO15),MAX(0,N(BM15)))</f>
        <v/>
      </c>
      <c r="BQ15">
        <f>MAX(0,N(BM15)-N(BP15))</f>
        <v/>
      </c>
      <c r="BR15">
        <f>IFERROR(MATCH(8,OrderPlan,0),"")</f>
        <v/>
      </c>
      <c r="BS15">
        <f>IF(BR15="",0,IFERROR(IF(N(CHOOSE(BR15,J15,N15,R15,V15,Z15,AD15,AH15,AL15))&lt;=0.005,0,MAX(0,N(CHOOSE(BR15,J15,N15,R15,V15,Z15,AD15,AH15,AL15))+N(CHOOSE(BR15,K15,O15,S15,W15,AA15,AE15,AI15,AM15))-MIN(N(CHOOSE(BR15,'Debt List'!$F$5,'Debt List'!$F$6,'Debt List'!$F$7,'Debt List'!$F$8,'Debt List'!$F$9,'Debt List'!$F$10,'Debt List'!$F$11,'Debt List'!$F$12)),N(CHOOSE(BR15,J15,N15,R15,V15,Z15,AD15,AH15,AL15))+N(CHOOSE(BR15,K15,O15,S15,W15,AA15,AE15,AI15,AM15))))),0))</f>
        <v/>
      </c>
      <c r="BT15">
        <f>MIN(N(BS15),MAX(0,N(BQ15)))</f>
        <v/>
      </c>
      <c r="BU15">
        <f>MAX(0,N(BQ15)-N(BT15))</f>
        <v/>
      </c>
      <c r="CC15" t="n">
        <v>11</v>
      </c>
      <c r="CD15" s="115">
        <f>DATE(YEAR(PlanStart),MONTH(PlanStart)+CC15-1,1)</f>
        <v/>
      </c>
      <c r="CE15">
        <f>IF(AND(DR15&lt;&gt;"",N(CHOOSE(DR15,CL15,CP15,CT15,CX15,DB15,DF15,DJ15,DN15))&gt;0.005),INDEX(DebtNames,DR15),IF(AND(DV15&lt;&gt;"",N(CHOOSE(DV15,CL15,CP15,CT15,CX15,DB15,DF15,DJ15,DN15))&gt;0.005),INDEX(DebtNames,DV15),IF(AND(DZ15&lt;&gt;"",N(CHOOSE(DZ15,CL15,CP15,CT15,CX15,DB15,DF15,DJ15,DN15))&gt;0.005),INDEX(DebtNames,DZ15),IF(AND(ED15&lt;&gt;"",N(CHOOSE(ED15,CL15,CP15,CT15,CX15,DB15,DF15,DJ15,DN15))&gt;0.005),INDEX(DebtNames,ED15),IF(AND(EH15&lt;&gt;"",N(CHOOSE(EH15,CL15,CP15,CT15,CX15,DB15,DF15,DJ15,DN15))&gt;0.005),INDEX(DebtNames,EH15),IF(AND(EL15&lt;&gt;"",N(CHOOSE(EL15,CL15,CP15,CT15,CX15,DB15,DF15,DJ15,DN15))&gt;0.005),INDEX(DebtNames,EL15),IF(AND(EP15&lt;&gt;"",N(CHOOSE(EP15,CL15,CP15,CT15,CX15,DB15,DF15,DJ15,DN15))&gt;0.005),INDEX(DebtNames,EP15),IF(AND(ET15&lt;&gt;"",N(CHOOSE(ET15,CL15,CP15,CT15,CX15,DB15,DF15,DJ15,DN15))&gt;0.005),INDEX(DebtNames,ET15),""))))))))</f>
        <v/>
      </c>
      <c r="CF15">
        <f>N(EW15)</f>
        <v/>
      </c>
      <c r="CG15">
        <f>N(CN15)+N(CR15)+N(CV15)+N(CZ15)+N(DD15)+N(DH15)+N(DL15)+N(DP15)</f>
        <v/>
      </c>
      <c r="CH15">
        <f>N(CM15)+N(CQ15)+N(CU15)+N(CY15)+N(DC15)+N(DG15)+N(DK15)+N(DO15)</f>
        <v/>
      </c>
      <c r="CI15">
        <f>N(CI14)+N(CH15)</f>
        <v/>
      </c>
      <c r="CJ15">
        <f>N(CO15)+N(CS15)+N(CW15)+N(DA15)+N(DE15)+N(DI15)+N(DM15)+N(DQ15)</f>
        <v/>
      </c>
      <c r="CK15">
        <f>(CO15&gt;0.005)*1+(CS15&gt;0.005)*1+(CW15&gt;0.005)*1+(DA15&gt;0.005)*1+(DE15&gt;0.005)*1+(DI15&gt;0.005)*1+(DM15&gt;0.005)*1+(DQ15&gt;0.005)*1</f>
        <v/>
      </c>
      <c r="CL15">
        <f>N(CO14)</f>
        <v/>
      </c>
      <c r="CM15">
        <f>IF(N(CL15)&lt;=0.005,0,ROUND(N(CL15)*N('Debt List'!E5)/12,2))</f>
        <v/>
      </c>
      <c r="CN15">
        <f>IF(N(CL15)&lt;=0.005,0,MIN(N('Debt List'!F5),N(CL15)+N(CM15)))+((DR15=1)*DT15+(DV15=1)*DX15+(DZ15=1)*EB15+(ED15=1)*EF15+(EH15=1)*EJ15+(EL15=1)*EN15+(EP15=1)*ER15+(ET15=1)*EV15)</f>
        <v/>
      </c>
      <c r="CO15">
        <f>MAX(0,ROUND(N(CL15)+N(CM15)-N(CN15),2))</f>
        <v/>
      </c>
      <c r="CP15">
        <f>N(CS14)</f>
        <v/>
      </c>
      <c r="CQ15">
        <f>IF(N(CP15)&lt;=0.005,0,ROUND(N(CP15)*N('Debt List'!E6)/12,2))</f>
        <v/>
      </c>
      <c r="CR15">
        <f>IF(N(CP15)&lt;=0.005,0,MIN(N('Debt List'!F6),N(CP15)+N(CQ15)))+((DR15=2)*DT15+(DV15=2)*DX15+(DZ15=2)*EB15+(ED15=2)*EF15+(EH15=2)*EJ15+(EL15=2)*EN15+(EP15=2)*ER15+(ET15=2)*EV15)</f>
        <v/>
      </c>
      <c r="CS15">
        <f>MAX(0,ROUND(N(CP15)+N(CQ15)-N(CR15),2))</f>
        <v/>
      </c>
      <c r="CT15">
        <f>N(CW14)</f>
        <v/>
      </c>
      <c r="CU15">
        <f>IF(N(CT15)&lt;=0.005,0,ROUND(N(CT15)*N('Debt List'!E7)/12,2))</f>
        <v/>
      </c>
      <c r="CV15">
        <f>IF(N(CT15)&lt;=0.005,0,MIN(N('Debt List'!F7),N(CT15)+N(CU15)))+((DR15=3)*DT15+(DV15=3)*DX15+(DZ15=3)*EB15+(ED15=3)*EF15+(EH15=3)*EJ15+(EL15=3)*EN15+(EP15=3)*ER15+(ET15=3)*EV15)</f>
        <v/>
      </c>
      <c r="CW15">
        <f>MAX(0,ROUND(N(CT15)+N(CU15)-N(CV15),2))</f>
        <v/>
      </c>
      <c r="CX15">
        <f>N(DA14)</f>
        <v/>
      </c>
      <c r="CY15">
        <f>IF(N(CX15)&lt;=0.005,0,ROUND(N(CX15)*N('Debt List'!E8)/12,2))</f>
        <v/>
      </c>
      <c r="CZ15">
        <f>IF(N(CX15)&lt;=0.005,0,MIN(N('Debt List'!F8),N(CX15)+N(CY15)))+((DR15=4)*DT15+(DV15=4)*DX15+(DZ15=4)*EB15+(ED15=4)*EF15+(EH15=4)*EJ15+(EL15=4)*EN15+(EP15=4)*ER15+(ET15=4)*EV15)</f>
        <v/>
      </c>
      <c r="DA15">
        <f>MAX(0,ROUND(N(CX15)+N(CY15)-N(CZ15),2))</f>
        <v/>
      </c>
      <c r="DB15">
        <f>N(DE14)</f>
        <v/>
      </c>
      <c r="DC15">
        <f>IF(N(DB15)&lt;=0.005,0,ROUND(N(DB15)*N('Debt List'!E9)/12,2))</f>
        <v/>
      </c>
      <c r="DD15">
        <f>IF(N(DB15)&lt;=0.005,0,MIN(N('Debt List'!F9),N(DB15)+N(DC15)))+((DR15=5)*DT15+(DV15=5)*DX15+(DZ15=5)*EB15+(ED15=5)*EF15+(EH15=5)*EJ15+(EL15=5)*EN15+(EP15=5)*ER15+(ET15=5)*EV15)</f>
        <v/>
      </c>
      <c r="DE15">
        <f>MAX(0,ROUND(N(DB15)+N(DC15)-N(DD15),2))</f>
        <v/>
      </c>
      <c r="DF15">
        <f>N(DI14)</f>
        <v/>
      </c>
      <c r="DG15">
        <f>IF(N(DF15)&lt;=0.005,0,ROUND(N(DF15)*N('Debt List'!E10)/12,2))</f>
        <v/>
      </c>
      <c r="DH15">
        <f>IF(N(DF15)&lt;=0.005,0,MIN(N('Debt List'!F10),N(DF15)+N(DG15)))+((DR15=6)*DT15+(DV15=6)*DX15+(DZ15=6)*EB15+(ED15=6)*EF15+(EH15=6)*EJ15+(EL15=6)*EN15+(EP15=6)*ER15+(ET15=6)*EV15)</f>
        <v/>
      </c>
      <c r="DI15">
        <f>MAX(0,ROUND(N(DF15)+N(DG15)-N(DH15),2))</f>
        <v/>
      </c>
      <c r="DJ15">
        <f>N(DM14)</f>
        <v/>
      </c>
      <c r="DK15">
        <f>IF(N(DJ15)&lt;=0.005,0,ROUND(N(DJ15)*N('Debt List'!E11)/12,2))</f>
        <v/>
      </c>
      <c r="DL15">
        <f>IF(N(DJ15)&lt;=0.005,0,MIN(N('Debt List'!F11),N(DJ15)+N(DK15)))+((DR15=7)*DT15+(DV15=7)*DX15+(DZ15=7)*EB15+(ED15=7)*EF15+(EH15=7)*EJ15+(EL15=7)*EN15+(EP15=7)*ER15+(ET15=7)*EV15)</f>
        <v/>
      </c>
      <c r="DM15">
        <f>MAX(0,ROUND(N(DJ15)+N(DK15)-N(DL15),2))</f>
        <v/>
      </c>
      <c r="DN15">
        <f>N(DQ14)</f>
        <v/>
      </c>
      <c r="DO15">
        <f>IF(N(DN15)&lt;=0.005,0,ROUND(N(DN15)*N('Debt List'!E12)/12,2))</f>
        <v/>
      </c>
      <c r="DP15">
        <f>IF(N(DN15)&lt;=0.005,0,MIN(N('Debt List'!F12),N(DN15)+N(DO15)))+((DR15=8)*DT15+(DV15=8)*DX15+(DZ15=8)*EB15+(ED15=8)*EF15+(EH15=8)*EJ15+(EL15=8)*EN15+(EP15=8)*ER15+(ET15=8)*EV15)</f>
        <v/>
      </c>
      <c r="DQ15">
        <f>MAX(0,ROUND(N(DN15)+N(DO15)-N(DP15),2))</f>
        <v/>
      </c>
      <c r="DR15">
        <f>IFERROR(MATCH(1,OrderSnow,0),"")</f>
        <v/>
      </c>
      <c r="DS15">
        <f>IF(DR15="",0,IFERROR(IF(N(CHOOSE(DR15,CL15,CP15,CT15,CX15,DB15,DF15,DJ15,DN15))&lt;=0.005,0,MAX(0,N(CHOOSE(DR15,CL15,CP15,CT15,CX15,DB15,DF15,DJ15,DN15))+N(CHOOSE(DR15,CM15,CQ15,CU15,CY15,DC15,DG15,DK15,DO15))-MIN(N(CHOOSE(DR15,'Debt List'!$F$5,'Debt List'!$F$6,'Debt List'!$F$7,'Debt List'!$F$8,'Debt List'!$F$9,'Debt List'!$F$10,'Debt List'!$F$11,'Debt List'!$F$12)),N(CHOOSE(DR15,CL15,CP15,CT15,CX15,DB15,DF15,DJ15,DN15))+N(CHOOSE(DR15,CM15,CQ15,CU15,CY15,DC15,DG15,DK15,DO15))))),0))</f>
        <v/>
      </c>
      <c r="DT15">
        <f>MIN(N(DS15),MAX(0,N(ExtraPayment)))</f>
        <v/>
      </c>
      <c r="DU15">
        <f>MAX(0,N(ExtraPayment)-N(DT15))</f>
        <v/>
      </c>
      <c r="DV15">
        <f>IFERROR(MATCH(2,OrderSnow,0),"")</f>
        <v/>
      </c>
      <c r="DW15">
        <f>IF(DV15="",0,IFERROR(IF(N(CHOOSE(DV15,CL15,CP15,CT15,CX15,DB15,DF15,DJ15,DN15))&lt;=0.005,0,MAX(0,N(CHOOSE(DV15,CL15,CP15,CT15,CX15,DB15,DF15,DJ15,DN15))+N(CHOOSE(DV15,CM15,CQ15,CU15,CY15,DC15,DG15,DK15,DO15))-MIN(N(CHOOSE(DV15,'Debt List'!$F$5,'Debt List'!$F$6,'Debt List'!$F$7,'Debt List'!$F$8,'Debt List'!$F$9,'Debt List'!$F$10,'Debt List'!$F$11,'Debt List'!$F$12)),N(CHOOSE(DV15,CL15,CP15,CT15,CX15,DB15,DF15,DJ15,DN15))+N(CHOOSE(DV15,CM15,CQ15,CU15,CY15,DC15,DG15,DK15,DO15))))),0))</f>
        <v/>
      </c>
      <c r="DX15">
        <f>MIN(N(DW15),MAX(0,N(DU15)))</f>
        <v/>
      </c>
      <c r="DY15">
        <f>MAX(0,N(DU15)-N(DX15))</f>
        <v/>
      </c>
      <c r="DZ15">
        <f>IFERROR(MATCH(3,OrderSnow,0),"")</f>
        <v/>
      </c>
      <c r="EA15">
        <f>IF(DZ15="",0,IFERROR(IF(N(CHOOSE(DZ15,CL15,CP15,CT15,CX15,DB15,DF15,DJ15,DN15))&lt;=0.005,0,MAX(0,N(CHOOSE(DZ15,CL15,CP15,CT15,CX15,DB15,DF15,DJ15,DN15))+N(CHOOSE(DZ15,CM15,CQ15,CU15,CY15,DC15,DG15,DK15,DO15))-MIN(N(CHOOSE(DZ15,'Debt List'!$F$5,'Debt List'!$F$6,'Debt List'!$F$7,'Debt List'!$F$8,'Debt List'!$F$9,'Debt List'!$F$10,'Debt List'!$F$11,'Debt List'!$F$12)),N(CHOOSE(DZ15,CL15,CP15,CT15,CX15,DB15,DF15,DJ15,DN15))+N(CHOOSE(DZ15,CM15,CQ15,CU15,CY15,DC15,DG15,DK15,DO15))))),0))</f>
        <v/>
      </c>
      <c r="EB15">
        <f>MIN(N(EA15),MAX(0,N(DY15)))</f>
        <v/>
      </c>
      <c r="EC15">
        <f>MAX(0,N(DY15)-N(EB15))</f>
        <v/>
      </c>
      <c r="ED15">
        <f>IFERROR(MATCH(4,OrderSnow,0),"")</f>
        <v/>
      </c>
      <c r="EE15">
        <f>IF(ED15="",0,IFERROR(IF(N(CHOOSE(ED15,CL15,CP15,CT15,CX15,DB15,DF15,DJ15,DN15))&lt;=0.005,0,MAX(0,N(CHOOSE(ED15,CL15,CP15,CT15,CX15,DB15,DF15,DJ15,DN15))+N(CHOOSE(ED15,CM15,CQ15,CU15,CY15,DC15,DG15,DK15,DO15))-MIN(N(CHOOSE(ED15,'Debt List'!$F$5,'Debt List'!$F$6,'Debt List'!$F$7,'Debt List'!$F$8,'Debt List'!$F$9,'Debt List'!$F$10,'Debt List'!$F$11,'Debt List'!$F$12)),N(CHOOSE(ED15,CL15,CP15,CT15,CX15,DB15,DF15,DJ15,DN15))+N(CHOOSE(ED15,CM15,CQ15,CU15,CY15,DC15,DG15,DK15,DO15))))),0))</f>
        <v/>
      </c>
      <c r="EF15">
        <f>MIN(N(EE15),MAX(0,N(EC15)))</f>
        <v/>
      </c>
      <c r="EG15">
        <f>MAX(0,N(EC15)-N(EF15))</f>
        <v/>
      </c>
      <c r="EH15">
        <f>IFERROR(MATCH(5,OrderSnow,0),"")</f>
        <v/>
      </c>
      <c r="EI15">
        <f>IF(EH15="",0,IFERROR(IF(N(CHOOSE(EH15,CL15,CP15,CT15,CX15,DB15,DF15,DJ15,DN15))&lt;=0.005,0,MAX(0,N(CHOOSE(EH15,CL15,CP15,CT15,CX15,DB15,DF15,DJ15,DN15))+N(CHOOSE(EH15,CM15,CQ15,CU15,CY15,DC15,DG15,DK15,DO15))-MIN(N(CHOOSE(EH15,'Debt List'!$F$5,'Debt List'!$F$6,'Debt List'!$F$7,'Debt List'!$F$8,'Debt List'!$F$9,'Debt List'!$F$10,'Debt List'!$F$11,'Debt List'!$F$12)),N(CHOOSE(EH15,CL15,CP15,CT15,CX15,DB15,DF15,DJ15,DN15))+N(CHOOSE(EH15,CM15,CQ15,CU15,CY15,DC15,DG15,DK15,DO15))))),0))</f>
        <v/>
      </c>
      <c r="EJ15">
        <f>MIN(N(EI15),MAX(0,N(EG15)))</f>
        <v/>
      </c>
      <c r="EK15">
        <f>MAX(0,N(EG15)-N(EJ15))</f>
        <v/>
      </c>
      <c r="EL15">
        <f>IFERROR(MATCH(6,OrderSnow,0),"")</f>
        <v/>
      </c>
      <c r="EM15">
        <f>IF(EL15="",0,IFERROR(IF(N(CHOOSE(EL15,CL15,CP15,CT15,CX15,DB15,DF15,DJ15,DN15))&lt;=0.005,0,MAX(0,N(CHOOSE(EL15,CL15,CP15,CT15,CX15,DB15,DF15,DJ15,DN15))+N(CHOOSE(EL15,CM15,CQ15,CU15,CY15,DC15,DG15,DK15,DO15))-MIN(N(CHOOSE(EL15,'Debt List'!$F$5,'Debt List'!$F$6,'Debt List'!$F$7,'Debt List'!$F$8,'Debt List'!$F$9,'Debt List'!$F$10,'Debt List'!$F$11,'Debt List'!$F$12)),N(CHOOSE(EL15,CL15,CP15,CT15,CX15,DB15,DF15,DJ15,DN15))+N(CHOOSE(EL15,CM15,CQ15,CU15,CY15,DC15,DG15,DK15,DO15))))),0))</f>
        <v/>
      </c>
      <c r="EN15">
        <f>MIN(N(EM15),MAX(0,N(EK15)))</f>
        <v/>
      </c>
      <c r="EO15">
        <f>MAX(0,N(EK15)-N(EN15))</f>
        <v/>
      </c>
      <c r="EP15">
        <f>IFERROR(MATCH(7,OrderSnow,0),"")</f>
        <v/>
      </c>
      <c r="EQ15">
        <f>IF(EP15="",0,IFERROR(IF(N(CHOOSE(EP15,CL15,CP15,CT15,CX15,DB15,DF15,DJ15,DN15))&lt;=0.005,0,MAX(0,N(CHOOSE(EP15,CL15,CP15,CT15,CX15,DB15,DF15,DJ15,DN15))+N(CHOOSE(EP15,CM15,CQ15,CU15,CY15,DC15,DG15,DK15,DO15))-MIN(N(CHOOSE(EP15,'Debt List'!$F$5,'Debt List'!$F$6,'Debt List'!$F$7,'Debt List'!$F$8,'Debt List'!$F$9,'Debt List'!$F$10,'Debt List'!$F$11,'Debt List'!$F$12)),N(CHOOSE(EP15,CL15,CP15,CT15,CX15,DB15,DF15,DJ15,DN15))+N(CHOOSE(EP15,CM15,CQ15,CU15,CY15,DC15,DG15,DK15,DO15))))),0))</f>
        <v/>
      </c>
      <c r="ER15">
        <f>MIN(N(EQ15),MAX(0,N(EO15)))</f>
        <v/>
      </c>
      <c r="ES15">
        <f>MAX(0,N(EO15)-N(ER15))</f>
        <v/>
      </c>
      <c r="ET15">
        <f>IFERROR(MATCH(8,OrderSnow,0),"")</f>
        <v/>
      </c>
      <c r="EU15">
        <f>IF(ET15="",0,IFERROR(IF(N(CHOOSE(ET15,CL15,CP15,CT15,CX15,DB15,DF15,DJ15,DN15))&lt;=0.005,0,MAX(0,N(CHOOSE(ET15,CL15,CP15,CT15,CX15,DB15,DF15,DJ15,DN15))+N(CHOOSE(ET15,CM15,CQ15,CU15,CY15,DC15,DG15,DK15,DO15))-MIN(N(CHOOSE(ET15,'Debt List'!$F$5,'Debt List'!$F$6,'Debt List'!$F$7,'Debt List'!$F$8,'Debt List'!$F$9,'Debt List'!$F$10,'Debt List'!$F$11,'Debt List'!$F$12)),N(CHOOSE(ET15,CL15,CP15,CT15,CX15,DB15,DF15,DJ15,DN15))+N(CHOOSE(ET15,CM15,CQ15,CU15,CY15,DC15,DG15,DK15,DO15))))),0))</f>
        <v/>
      </c>
      <c r="EV15">
        <f>MIN(N(EU15),MAX(0,N(ES15)))</f>
        <v/>
      </c>
      <c r="EW15">
        <f>MAX(0,N(ES15)-N(EV15))</f>
        <v/>
      </c>
      <c r="FE15" t="n">
        <v>11</v>
      </c>
      <c r="FF15" s="115">
        <f>DATE(YEAR(PlanStart),MONTH(PlanStart)+FE15-1,1)</f>
        <v/>
      </c>
      <c r="FG15">
        <f>IF(AND(GT15&lt;&gt;"",N(CHOOSE(GT15,FN15,FR15,FV15,FZ15,GD15,GH15,GL15,GP15))&gt;0.005),INDEX(DebtNames,GT15),IF(AND(GX15&lt;&gt;"",N(CHOOSE(GX15,FN15,FR15,FV15,FZ15,GD15,GH15,GL15,GP15))&gt;0.005),INDEX(DebtNames,GX15),IF(AND(HB15&lt;&gt;"",N(CHOOSE(HB15,FN15,FR15,FV15,FZ15,GD15,GH15,GL15,GP15))&gt;0.005),INDEX(DebtNames,HB15),IF(AND(HF15&lt;&gt;"",N(CHOOSE(HF15,FN15,FR15,FV15,FZ15,GD15,GH15,GL15,GP15))&gt;0.005),INDEX(DebtNames,HF15),IF(AND(HJ15&lt;&gt;"",N(CHOOSE(HJ15,FN15,FR15,FV15,FZ15,GD15,GH15,GL15,GP15))&gt;0.005),INDEX(DebtNames,HJ15),IF(AND(HN15&lt;&gt;"",N(CHOOSE(HN15,FN15,FR15,FV15,FZ15,GD15,GH15,GL15,GP15))&gt;0.005),INDEX(DebtNames,HN15),IF(AND(HR15&lt;&gt;"",N(CHOOSE(HR15,FN15,FR15,FV15,FZ15,GD15,GH15,GL15,GP15))&gt;0.005),INDEX(DebtNames,HR15),IF(AND(HV15&lt;&gt;"",N(CHOOSE(HV15,FN15,FR15,FV15,FZ15,GD15,GH15,GL15,GP15))&gt;0.005),INDEX(DebtNames,HV15),""))))))))</f>
        <v/>
      </c>
      <c r="FH15">
        <f>N(HY15)</f>
        <v/>
      </c>
      <c r="FI15">
        <f>N(FP15)+N(FT15)+N(FX15)+N(GB15)+N(GF15)+N(GJ15)+N(GN15)+N(GR15)</f>
        <v/>
      </c>
      <c r="FJ15">
        <f>N(FO15)+N(FS15)+N(FW15)+N(GA15)+N(GE15)+N(GI15)+N(GM15)+N(GQ15)</f>
        <v/>
      </c>
      <c r="FK15">
        <f>N(FK14)+N(FJ15)</f>
        <v/>
      </c>
      <c r="FL15">
        <f>N(FQ15)+N(FU15)+N(FY15)+N(GC15)+N(GG15)+N(GK15)+N(GO15)+N(GS15)</f>
        <v/>
      </c>
      <c r="FM15">
        <f>(FQ15&gt;0.005)*1+(FU15&gt;0.005)*1+(FY15&gt;0.005)*1+(GC15&gt;0.005)*1+(GG15&gt;0.005)*1+(GK15&gt;0.005)*1+(GO15&gt;0.005)*1+(GS15&gt;0.005)*1</f>
        <v/>
      </c>
      <c r="FN15">
        <f>N(FQ14)</f>
        <v/>
      </c>
      <c r="FO15">
        <f>IF(N(FN15)&lt;=0.005,0,ROUND(N(FN15)*N('Debt List'!E5)/12,2))</f>
        <v/>
      </c>
      <c r="FP15">
        <f>IF(N(FN15)&lt;=0.005,0,MIN(N('Debt List'!F5),N(FN15)+N(FO15)))+((GT15=1)*GV15+(GX15=1)*GZ15+(HB15=1)*HD15+(HF15=1)*HH15+(HJ15=1)*HL15+(HN15=1)*HP15+(HR15=1)*HT15+(HV15=1)*HX15)</f>
        <v/>
      </c>
      <c r="FQ15">
        <f>MAX(0,ROUND(N(FN15)+N(FO15)-N(FP15),2))</f>
        <v/>
      </c>
      <c r="FR15">
        <f>N(FU14)</f>
        <v/>
      </c>
      <c r="FS15">
        <f>IF(N(FR15)&lt;=0.005,0,ROUND(N(FR15)*N('Debt List'!E6)/12,2))</f>
        <v/>
      </c>
      <c r="FT15">
        <f>IF(N(FR15)&lt;=0.005,0,MIN(N('Debt List'!F6),N(FR15)+N(FS15)))+((GT15=2)*GV15+(GX15=2)*GZ15+(HB15=2)*HD15+(HF15=2)*HH15+(HJ15=2)*HL15+(HN15=2)*HP15+(HR15=2)*HT15+(HV15=2)*HX15)</f>
        <v/>
      </c>
      <c r="FU15">
        <f>MAX(0,ROUND(N(FR15)+N(FS15)-N(FT15),2))</f>
        <v/>
      </c>
      <c r="FV15">
        <f>N(FY14)</f>
        <v/>
      </c>
      <c r="FW15">
        <f>IF(N(FV15)&lt;=0.005,0,ROUND(N(FV15)*N('Debt List'!E7)/12,2))</f>
        <v/>
      </c>
      <c r="FX15">
        <f>IF(N(FV15)&lt;=0.005,0,MIN(N('Debt List'!F7),N(FV15)+N(FW15)))+((GT15=3)*GV15+(GX15=3)*GZ15+(HB15=3)*HD15+(HF15=3)*HH15+(HJ15=3)*HL15+(HN15=3)*HP15+(HR15=3)*HT15+(HV15=3)*HX15)</f>
        <v/>
      </c>
      <c r="FY15">
        <f>MAX(0,ROUND(N(FV15)+N(FW15)-N(FX15),2))</f>
        <v/>
      </c>
      <c r="FZ15">
        <f>N(GC14)</f>
        <v/>
      </c>
      <c r="GA15">
        <f>IF(N(FZ15)&lt;=0.005,0,ROUND(N(FZ15)*N('Debt List'!E8)/12,2))</f>
        <v/>
      </c>
      <c r="GB15">
        <f>IF(N(FZ15)&lt;=0.005,0,MIN(N('Debt List'!F8),N(FZ15)+N(GA15)))+((GT15=4)*GV15+(GX15=4)*GZ15+(HB15=4)*HD15+(HF15=4)*HH15+(HJ15=4)*HL15+(HN15=4)*HP15+(HR15=4)*HT15+(HV15=4)*HX15)</f>
        <v/>
      </c>
      <c r="GC15">
        <f>MAX(0,ROUND(N(FZ15)+N(GA15)-N(GB15),2))</f>
        <v/>
      </c>
      <c r="GD15">
        <f>N(GG14)</f>
        <v/>
      </c>
      <c r="GE15">
        <f>IF(N(GD15)&lt;=0.005,0,ROUND(N(GD15)*N('Debt List'!E9)/12,2))</f>
        <v/>
      </c>
      <c r="GF15">
        <f>IF(N(GD15)&lt;=0.005,0,MIN(N('Debt List'!F9),N(GD15)+N(GE15)))+((GT15=5)*GV15+(GX15=5)*GZ15+(HB15=5)*HD15+(HF15=5)*HH15+(HJ15=5)*HL15+(HN15=5)*HP15+(HR15=5)*HT15+(HV15=5)*HX15)</f>
        <v/>
      </c>
      <c r="GG15">
        <f>MAX(0,ROUND(N(GD15)+N(GE15)-N(GF15),2))</f>
        <v/>
      </c>
      <c r="GH15">
        <f>N(GK14)</f>
        <v/>
      </c>
      <c r="GI15">
        <f>IF(N(GH15)&lt;=0.005,0,ROUND(N(GH15)*N('Debt List'!E10)/12,2))</f>
        <v/>
      </c>
      <c r="GJ15">
        <f>IF(N(GH15)&lt;=0.005,0,MIN(N('Debt List'!F10),N(GH15)+N(GI15)))+((GT15=6)*GV15+(GX15=6)*GZ15+(HB15=6)*HD15+(HF15=6)*HH15+(HJ15=6)*HL15+(HN15=6)*HP15+(HR15=6)*HT15+(HV15=6)*HX15)</f>
        <v/>
      </c>
      <c r="GK15">
        <f>MAX(0,ROUND(N(GH15)+N(GI15)-N(GJ15),2))</f>
        <v/>
      </c>
      <c r="GL15">
        <f>N(GO14)</f>
        <v/>
      </c>
      <c r="GM15">
        <f>IF(N(GL15)&lt;=0.005,0,ROUND(N(GL15)*N('Debt List'!E11)/12,2))</f>
        <v/>
      </c>
      <c r="GN15">
        <f>IF(N(GL15)&lt;=0.005,0,MIN(N('Debt List'!F11),N(GL15)+N(GM15)))+((GT15=7)*GV15+(GX15=7)*GZ15+(HB15=7)*HD15+(HF15=7)*HH15+(HJ15=7)*HL15+(HN15=7)*HP15+(HR15=7)*HT15+(HV15=7)*HX15)</f>
        <v/>
      </c>
      <c r="GO15">
        <f>MAX(0,ROUND(N(GL15)+N(GM15)-N(GN15),2))</f>
        <v/>
      </c>
      <c r="GP15">
        <f>N(GS14)</f>
        <v/>
      </c>
      <c r="GQ15">
        <f>IF(N(GP15)&lt;=0.005,0,ROUND(N(GP15)*N('Debt List'!E12)/12,2))</f>
        <v/>
      </c>
      <c r="GR15">
        <f>IF(N(GP15)&lt;=0.005,0,MIN(N('Debt List'!F12),N(GP15)+N(GQ15)))+((GT15=8)*GV15+(GX15=8)*GZ15+(HB15=8)*HD15+(HF15=8)*HH15+(HJ15=8)*HL15+(HN15=8)*HP15+(HR15=8)*HT15+(HV15=8)*HX15)</f>
        <v/>
      </c>
      <c r="GS15">
        <f>MAX(0,ROUND(N(GP15)+N(GQ15)-N(GR15),2))</f>
        <v/>
      </c>
      <c r="GT15">
        <f>IFERROR(MATCH(1,OrderAval,0),"")</f>
        <v/>
      </c>
      <c r="GU15">
        <f>IF(GT15="",0,IFERROR(IF(N(CHOOSE(GT15,FN15,FR15,FV15,FZ15,GD15,GH15,GL15,GP15))&lt;=0.005,0,MAX(0,N(CHOOSE(GT15,FN15,FR15,FV15,FZ15,GD15,GH15,GL15,GP15))+N(CHOOSE(GT15,FO15,FS15,FW15,GA15,GE15,GI15,GM15,GQ15))-MIN(N(CHOOSE(GT15,'Debt List'!$F$5,'Debt List'!$F$6,'Debt List'!$F$7,'Debt List'!$F$8,'Debt List'!$F$9,'Debt List'!$F$10,'Debt List'!$F$11,'Debt List'!$F$12)),N(CHOOSE(GT15,FN15,FR15,FV15,FZ15,GD15,GH15,GL15,GP15))+N(CHOOSE(GT15,FO15,FS15,FW15,GA15,GE15,GI15,GM15,GQ15))))),0))</f>
        <v/>
      </c>
      <c r="GV15">
        <f>MIN(N(GU15),MAX(0,N(ExtraPayment)))</f>
        <v/>
      </c>
      <c r="GW15">
        <f>MAX(0,N(ExtraPayment)-N(GV15))</f>
        <v/>
      </c>
      <c r="GX15">
        <f>IFERROR(MATCH(2,OrderAval,0),"")</f>
        <v/>
      </c>
      <c r="GY15">
        <f>IF(GX15="",0,IFERROR(IF(N(CHOOSE(GX15,FN15,FR15,FV15,FZ15,GD15,GH15,GL15,GP15))&lt;=0.005,0,MAX(0,N(CHOOSE(GX15,FN15,FR15,FV15,FZ15,GD15,GH15,GL15,GP15))+N(CHOOSE(GX15,FO15,FS15,FW15,GA15,GE15,GI15,GM15,GQ15))-MIN(N(CHOOSE(GX15,'Debt List'!$F$5,'Debt List'!$F$6,'Debt List'!$F$7,'Debt List'!$F$8,'Debt List'!$F$9,'Debt List'!$F$10,'Debt List'!$F$11,'Debt List'!$F$12)),N(CHOOSE(GX15,FN15,FR15,FV15,FZ15,GD15,GH15,GL15,GP15))+N(CHOOSE(GX15,FO15,FS15,FW15,GA15,GE15,GI15,GM15,GQ15))))),0))</f>
        <v/>
      </c>
      <c r="GZ15">
        <f>MIN(N(GY15),MAX(0,N(GW15)))</f>
        <v/>
      </c>
      <c r="HA15">
        <f>MAX(0,N(GW15)-N(GZ15))</f>
        <v/>
      </c>
      <c r="HB15">
        <f>IFERROR(MATCH(3,OrderAval,0),"")</f>
        <v/>
      </c>
      <c r="HC15">
        <f>IF(HB15="",0,IFERROR(IF(N(CHOOSE(HB15,FN15,FR15,FV15,FZ15,GD15,GH15,GL15,GP15))&lt;=0.005,0,MAX(0,N(CHOOSE(HB15,FN15,FR15,FV15,FZ15,GD15,GH15,GL15,GP15))+N(CHOOSE(HB15,FO15,FS15,FW15,GA15,GE15,GI15,GM15,GQ15))-MIN(N(CHOOSE(HB15,'Debt List'!$F$5,'Debt List'!$F$6,'Debt List'!$F$7,'Debt List'!$F$8,'Debt List'!$F$9,'Debt List'!$F$10,'Debt List'!$F$11,'Debt List'!$F$12)),N(CHOOSE(HB15,FN15,FR15,FV15,FZ15,GD15,GH15,GL15,GP15))+N(CHOOSE(HB15,FO15,FS15,FW15,GA15,GE15,GI15,GM15,GQ15))))),0))</f>
        <v/>
      </c>
      <c r="HD15">
        <f>MIN(N(HC15),MAX(0,N(HA15)))</f>
        <v/>
      </c>
      <c r="HE15">
        <f>MAX(0,N(HA15)-N(HD15))</f>
        <v/>
      </c>
      <c r="HF15">
        <f>IFERROR(MATCH(4,OrderAval,0),"")</f>
        <v/>
      </c>
      <c r="HG15">
        <f>IF(HF15="",0,IFERROR(IF(N(CHOOSE(HF15,FN15,FR15,FV15,FZ15,GD15,GH15,GL15,GP15))&lt;=0.005,0,MAX(0,N(CHOOSE(HF15,FN15,FR15,FV15,FZ15,GD15,GH15,GL15,GP15))+N(CHOOSE(HF15,FO15,FS15,FW15,GA15,GE15,GI15,GM15,GQ15))-MIN(N(CHOOSE(HF15,'Debt List'!$F$5,'Debt List'!$F$6,'Debt List'!$F$7,'Debt List'!$F$8,'Debt List'!$F$9,'Debt List'!$F$10,'Debt List'!$F$11,'Debt List'!$F$12)),N(CHOOSE(HF15,FN15,FR15,FV15,FZ15,GD15,GH15,GL15,GP15))+N(CHOOSE(HF15,FO15,FS15,FW15,GA15,GE15,GI15,GM15,GQ15))))),0))</f>
        <v/>
      </c>
      <c r="HH15">
        <f>MIN(N(HG15),MAX(0,N(HE15)))</f>
        <v/>
      </c>
      <c r="HI15">
        <f>MAX(0,N(HE15)-N(HH15))</f>
        <v/>
      </c>
      <c r="HJ15">
        <f>IFERROR(MATCH(5,OrderAval,0),"")</f>
        <v/>
      </c>
      <c r="HK15">
        <f>IF(HJ15="",0,IFERROR(IF(N(CHOOSE(HJ15,FN15,FR15,FV15,FZ15,GD15,GH15,GL15,GP15))&lt;=0.005,0,MAX(0,N(CHOOSE(HJ15,FN15,FR15,FV15,FZ15,GD15,GH15,GL15,GP15))+N(CHOOSE(HJ15,FO15,FS15,FW15,GA15,GE15,GI15,GM15,GQ15))-MIN(N(CHOOSE(HJ15,'Debt List'!$F$5,'Debt List'!$F$6,'Debt List'!$F$7,'Debt List'!$F$8,'Debt List'!$F$9,'Debt List'!$F$10,'Debt List'!$F$11,'Debt List'!$F$12)),N(CHOOSE(HJ15,FN15,FR15,FV15,FZ15,GD15,GH15,GL15,GP15))+N(CHOOSE(HJ15,FO15,FS15,FW15,GA15,GE15,GI15,GM15,GQ15))))),0))</f>
        <v/>
      </c>
      <c r="HL15">
        <f>MIN(N(HK15),MAX(0,N(HI15)))</f>
        <v/>
      </c>
      <c r="HM15">
        <f>MAX(0,N(HI15)-N(HL15))</f>
        <v/>
      </c>
      <c r="HN15">
        <f>IFERROR(MATCH(6,OrderAval,0),"")</f>
        <v/>
      </c>
      <c r="HO15">
        <f>IF(HN15="",0,IFERROR(IF(N(CHOOSE(HN15,FN15,FR15,FV15,FZ15,GD15,GH15,GL15,GP15))&lt;=0.005,0,MAX(0,N(CHOOSE(HN15,FN15,FR15,FV15,FZ15,GD15,GH15,GL15,GP15))+N(CHOOSE(HN15,FO15,FS15,FW15,GA15,GE15,GI15,GM15,GQ15))-MIN(N(CHOOSE(HN15,'Debt List'!$F$5,'Debt List'!$F$6,'Debt List'!$F$7,'Debt List'!$F$8,'Debt List'!$F$9,'Debt List'!$F$10,'Debt List'!$F$11,'Debt List'!$F$12)),N(CHOOSE(HN15,FN15,FR15,FV15,FZ15,GD15,GH15,GL15,GP15))+N(CHOOSE(HN15,FO15,FS15,FW15,GA15,GE15,GI15,GM15,GQ15))))),0))</f>
        <v/>
      </c>
      <c r="HP15">
        <f>MIN(N(HO15),MAX(0,N(HM15)))</f>
        <v/>
      </c>
      <c r="HQ15">
        <f>MAX(0,N(HM15)-N(HP15))</f>
        <v/>
      </c>
      <c r="HR15">
        <f>IFERROR(MATCH(7,OrderAval,0),"")</f>
        <v/>
      </c>
      <c r="HS15">
        <f>IF(HR15="",0,IFERROR(IF(N(CHOOSE(HR15,FN15,FR15,FV15,FZ15,GD15,GH15,GL15,GP15))&lt;=0.005,0,MAX(0,N(CHOOSE(HR15,FN15,FR15,FV15,FZ15,GD15,GH15,GL15,GP15))+N(CHOOSE(HR15,FO15,FS15,FW15,GA15,GE15,GI15,GM15,GQ15))-MIN(N(CHOOSE(HR15,'Debt List'!$F$5,'Debt List'!$F$6,'Debt List'!$F$7,'Debt List'!$F$8,'Debt List'!$F$9,'Debt List'!$F$10,'Debt List'!$F$11,'Debt List'!$F$12)),N(CHOOSE(HR15,FN15,FR15,FV15,FZ15,GD15,GH15,GL15,GP15))+N(CHOOSE(HR15,FO15,FS15,FW15,GA15,GE15,GI15,GM15,GQ15))))),0))</f>
        <v/>
      </c>
      <c r="HT15">
        <f>MIN(N(HS15),MAX(0,N(HQ15)))</f>
        <v/>
      </c>
      <c r="HU15">
        <f>MAX(0,N(HQ15)-N(HT15))</f>
        <v/>
      </c>
      <c r="HV15">
        <f>IFERROR(MATCH(8,OrderAval,0),"")</f>
        <v/>
      </c>
      <c r="HW15">
        <f>IF(HV15="",0,IFERROR(IF(N(CHOOSE(HV15,FN15,FR15,FV15,FZ15,GD15,GH15,GL15,GP15))&lt;=0.005,0,MAX(0,N(CHOOSE(HV15,FN15,FR15,FV15,FZ15,GD15,GH15,GL15,GP15))+N(CHOOSE(HV15,FO15,FS15,FW15,GA15,GE15,GI15,GM15,GQ15))-MIN(N(CHOOSE(HV15,'Debt List'!$F$5,'Debt List'!$F$6,'Debt List'!$F$7,'Debt List'!$F$8,'Debt List'!$F$9,'Debt List'!$F$10,'Debt List'!$F$11,'Debt List'!$F$12)),N(CHOOSE(HV15,FN15,FR15,FV15,FZ15,GD15,GH15,GL15,GP15))+N(CHOOSE(HV15,FO15,FS15,FW15,GA15,GE15,GI15,GM15,GQ15))))),0))</f>
        <v/>
      </c>
      <c r="HX15">
        <f>MIN(N(HW15),MAX(0,N(HU15)))</f>
        <v/>
      </c>
      <c r="HY15">
        <f>MAX(0,N(HU15)-N(HX15))</f>
        <v/>
      </c>
    </row>
    <row r="16">
      <c r="A16" t="n">
        <v>12</v>
      </c>
      <c r="B16" s="115">
        <f>DATE(YEAR(PlanStart),MONTH(PlanStart)+A16-1,1)</f>
        <v/>
      </c>
      <c r="C16">
        <f>IF(AND(AP16&lt;&gt;"",N(CHOOSE(AP16,J16,N16,R16,V16,Z16,AD16,AH16,AL16))&gt;0.005),INDEX(DebtNames,AP16),IF(AND(AT16&lt;&gt;"",N(CHOOSE(AT16,J16,N16,R16,V16,Z16,AD16,AH16,AL16))&gt;0.005),INDEX(DebtNames,AT16),IF(AND(AX16&lt;&gt;"",N(CHOOSE(AX16,J16,N16,R16,V16,Z16,AD16,AH16,AL16))&gt;0.005),INDEX(DebtNames,AX16),IF(AND(BB16&lt;&gt;"",N(CHOOSE(BB16,J16,N16,R16,V16,Z16,AD16,AH16,AL16))&gt;0.005),INDEX(DebtNames,BB16),IF(AND(BF16&lt;&gt;"",N(CHOOSE(BF16,J16,N16,R16,V16,Z16,AD16,AH16,AL16))&gt;0.005),INDEX(DebtNames,BF16),IF(AND(BJ16&lt;&gt;"",N(CHOOSE(BJ16,J16,N16,R16,V16,Z16,AD16,AH16,AL16))&gt;0.005),INDEX(DebtNames,BJ16),IF(AND(BN16&lt;&gt;"",N(CHOOSE(BN16,J16,N16,R16,V16,Z16,AD16,AH16,AL16))&gt;0.005),INDEX(DebtNames,BN16),IF(AND(BR16&lt;&gt;"",N(CHOOSE(BR16,J16,N16,R16,V16,Z16,AD16,AH16,AL16))&gt;0.005),INDEX(DebtNames,BR16),""))))))))</f>
        <v/>
      </c>
      <c r="D16">
        <f>N(BU16)</f>
        <v/>
      </c>
      <c r="E16">
        <f>N(L16)+N(P16)+N(T16)+N(X16)+N(AB16)+N(AF16)+N(AJ16)+N(AN16)</f>
        <v/>
      </c>
      <c r="F16">
        <f>N(K16)+N(O16)+N(S16)+N(W16)+N(AA16)+N(AE16)+N(AI16)+N(AM16)</f>
        <v/>
      </c>
      <c r="G16">
        <f>N(G15)+N(F16)</f>
        <v/>
      </c>
      <c r="H16">
        <f>N(M16)+N(Q16)+N(U16)+N(Y16)+N(AC16)+N(AG16)+N(AK16)+N(AO16)</f>
        <v/>
      </c>
      <c r="I16">
        <f>(M16&gt;0.005)*1+(Q16&gt;0.005)*1+(U16&gt;0.005)*1+(Y16&gt;0.005)*1+(AC16&gt;0.005)*1+(AG16&gt;0.005)*1+(AK16&gt;0.005)*1+(AO16&gt;0.005)*1</f>
        <v/>
      </c>
      <c r="J16">
        <f>N(M15)</f>
        <v/>
      </c>
      <c r="K16">
        <f>IF(N(J16)&lt;=0.005,0,ROUND(N(J16)*N('Debt List'!E5)/12,2))</f>
        <v/>
      </c>
      <c r="L16">
        <f>IF(N(J16)&lt;=0.005,0,MIN(N('Debt List'!F5),N(J16)+N(K16)))+((AP16=1)*AR16+(AT16=1)*AV16+(AX16=1)*AZ16+(BB16=1)*BD16+(BF16=1)*BH16+(BJ16=1)*BL16+(BN16=1)*BP16+(BR16=1)*BT16)</f>
        <v/>
      </c>
      <c r="M16">
        <f>MAX(0,ROUND(N(J16)+N(K16)-N(L16),2))</f>
        <v/>
      </c>
      <c r="N16">
        <f>N(Q15)</f>
        <v/>
      </c>
      <c r="O16">
        <f>IF(N(N16)&lt;=0.005,0,ROUND(N(N16)*N('Debt List'!E6)/12,2))</f>
        <v/>
      </c>
      <c r="P16">
        <f>IF(N(N16)&lt;=0.005,0,MIN(N('Debt List'!F6),N(N16)+N(O16)))+((AP16=2)*AR16+(AT16=2)*AV16+(AX16=2)*AZ16+(BB16=2)*BD16+(BF16=2)*BH16+(BJ16=2)*BL16+(BN16=2)*BP16+(BR16=2)*BT16)</f>
        <v/>
      </c>
      <c r="Q16">
        <f>MAX(0,ROUND(N(N16)+N(O16)-N(P16),2))</f>
        <v/>
      </c>
      <c r="R16">
        <f>N(U15)</f>
        <v/>
      </c>
      <c r="S16">
        <f>IF(N(R16)&lt;=0.005,0,ROUND(N(R16)*N('Debt List'!E7)/12,2))</f>
        <v/>
      </c>
      <c r="T16">
        <f>IF(N(R16)&lt;=0.005,0,MIN(N('Debt List'!F7),N(R16)+N(S16)))+((AP16=3)*AR16+(AT16=3)*AV16+(AX16=3)*AZ16+(BB16=3)*BD16+(BF16=3)*BH16+(BJ16=3)*BL16+(BN16=3)*BP16+(BR16=3)*BT16)</f>
        <v/>
      </c>
      <c r="U16">
        <f>MAX(0,ROUND(N(R16)+N(S16)-N(T16),2))</f>
        <v/>
      </c>
      <c r="V16">
        <f>N(Y15)</f>
        <v/>
      </c>
      <c r="W16">
        <f>IF(N(V16)&lt;=0.005,0,ROUND(N(V16)*N('Debt List'!E8)/12,2))</f>
        <v/>
      </c>
      <c r="X16">
        <f>IF(N(V16)&lt;=0.005,0,MIN(N('Debt List'!F8),N(V16)+N(W16)))+((AP16=4)*AR16+(AT16=4)*AV16+(AX16=4)*AZ16+(BB16=4)*BD16+(BF16=4)*BH16+(BJ16=4)*BL16+(BN16=4)*BP16+(BR16=4)*BT16)</f>
        <v/>
      </c>
      <c r="Y16">
        <f>MAX(0,ROUND(N(V16)+N(W16)-N(X16),2))</f>
        <v/>
      </c>
      <c r="Z16">
        <f>N(AC15)</f>
        <v/>
      </c>
      <c r="AA16">
        <f>IF(N(Z16)&lt;=0.005,0,ROUND(N(Z16)*N('Debt List'!E9)/12,2))</f>
        <v/>
      </c>
      <c r="AB16">
        <f>IF(N(Z16)&lt;=0.005,0,MIN(N('Debt List'!F9),N(Z16)+N(AA16)))+((AP16=5)*AR16+(AT16=5)*AV16+(AX16=5)*AZ16+(BB16=5)*BD16+(BF16=5)*BH16+(BJ16=5)*BL16+(BN16=5)*BP16+(BR16=5)*BT16)</f>
        <v/>
      </c>
      <c r="AC16">
        <f>MAX(0,ROUND(N(Z16)+N(AA16)-N(AB16),2))</f>
        <v/>
      </c>
      <c r="AD16">
        <f>N(AG15)</f>
        <v/>
      </c>
      <c r="AE16">
        <f>IF(N(AD16)&lt;=0.005,0,ROUND(N(AD16)*N('Debt List'!E10)/12,2))</f>
        <v/>
      </c>
      <c r="AF16">
        <f>IF(N(AD16)&lt;=0.005,0,MIN(N('Debt List'!F10),N(AD16)+N(AE16)))+((AP16=6)*AR16+(AT16=6)*AV16+(AX16=6)*AZ16+(BB16=6)*BD16+(BF16=6)*BH16+(BJ16=6)*BL16+(BN16=6)*BP16+(BR16=6)*BT16)</f>
        <v/>
      </c>
      <c r="AG16">
        <f>MAX(0,ROUND(N(AD16)+N(AE16)-N(AF16),2))</f>
        <v/>
      </c>
      <c r="AH16">
        <f>N(AK15)</f>
        <v/>
      </c>
      <c r="AI16">
        <f>IF(N(AH16)&lt;=0.005,0,ROUND(N(AH16)*N('Debt List'!E11)/12,2))</f>
        <v/>
      </c>
      <c r="AJ16">
        <f>IF(N(AH16)&lt;=0.005,0,MIN(N('Debt List'!F11),N(AH16)+N(AI16)))+((AP16=7)*AR16+(AT16=7)*AV16+(AX16=7)*AZ16+(BB16=7)*BD16+(BF16=7)*BH16+(BJ16=7)*BL16+(BN16=7)*BP16+(BR16=7)*BT16)</f>
        <v/>
      </c>
      <c r="AK16">
        <f>MAX(0,ROUND(N(AH16)+N(AI16)-N(AJ16),2))</f>
        <v/>
      </c>
      <c r="AL16">
        <f>N(AO15)</f>
        <v/>
      </c>
      <c r="AM16">
        <f>IF(N(AL16)&lt;=0.005,0,ROUND(N(AL16)*N('Debt List'!E12)/12,2))</f>
        <v/>
      </c>
      <c r="AN16">
        <f>IF(N(AL16)&lt;=0.005,0,MIN(N('Debt List'!F12),N(AL16)+N(AM16)))+((AP16=8)*AR16+(AT16=8)*AV16+(AX16=8)*AZ16+(BB16=8)*BD16+(BF16=8)*BH16+(BJ16=8)*BL16+(BN16=8)*BP16+(BR16=8)*BT16)</f>
        <v/>
      </c>
      <c r="AO16">
        <f>MAX(0,ROUND(N(AL16)+N(AM16)-N(AN16),2))</f>
        <v/>
      </c>
      <c r="AP16">
        <f>IFERROR(MATCH(1,OrderPlan,0),"")</f>
        <v/>
      </c>
      <c r="AQ16">
        <f>IF(AP16="",0,IFERROR(IF(N(CHOOSE(AP16,J16,N16,R16,V16,Z16,AD16,AH16,AL16))&lt;=0.005,0,MAX(0,N(CHOOSE(AP16,J16,N16,R16,V16,Z16,AD16,AH16,AL16))+N(CHOOSE(AP16,K16,O16,S16,W16,AA16,AE16,AI16,AM16))-MIN(N(CHOOSE(AP16,'Debt List'!$F$5,'Debt List'!$F$6,'Debt List'!$F$7,'Debt List'!$F$8,'Debt List'!$F$9,'Debt List'!$F$10,'Debt List'!$F$11,'Debt List'!$F$12)),N(CHOOSE(AP16,J16,N16,R16,V16,Z16,AD16,AH16,AL16))+N(CHOOSE(AP16,K16,O16,S16,W16,AA16,AE16,AI16,AM16))))),0))</f>
        <v/>
      </c>
      <c r="AR16">
        <f>MIN(N(AQ16),MAX(0,N(ExtraPayment)))</f>
        <v/>
      </c>
      <c r="AS16">
        <f>MAX(0,N(ExtraPayment)-N(AR16))</f>
        <v/>
      </c>
      <c r="AT16">
        <f>IFERROR(MATCH(2,OrderPlan,0),"")</f>
        <v/>
      </c>
      <c r="AU16">
        <f>IF(AT16="",0,IFERROR(IF(N(CHOOSE(AT16,J16,N16,R16,V16,Z16,AD16,AH16,AL16))&lt;=0.005,0,MAX(0,N(CHOOSE(AT16,J16,N16,R16,V16,Z16,AD16,AH16,AL16))+N(CHOOSE(AT16,K16,O16,S16,W16,AA16,AE16,AI16,AM16))-MIN(N(CHOOSE(AT16,'Debt List'!$F$5,'Debt List'!$F$6,'Debt List'!$F$7,'Debt List'!$F$8,'Debt List'!$F$9,'Debt List'!$F$10,'Debt List'!$F$11,'Debt List'!$F$12)),N(CHOOSE(AT16,J16,N16,R16,V16,Z16,AD16,AH16,AL16))+N(CHOOSE(AT16,K16,O16,S16,W16,AA16,AE16,AI16,AM16))))),0))</f>
        <v/>
      </c>
      <c r="AV16">
        <f>MIN(N(AU16),MAX(0,N(AS16)))</f>
        <v/>
      </c>
      <c r="AW16">
        <f>MAX(0,N(AS16)-N(AV16))</f>
        <v/>
      </c>
      <c r="AX16">
        <f>IFERROR(MATCH(3,OrderPlan,0),"")</f>
        <v/>
      </c>
      <c r="AY16">
        <f>IF(AX16="",0,IFERROR(IF(N(CHOOSE(AX16,J16,N16,R16,V16,Z16,AD16,AH16,AL16))&lt;=0.005,0,MAX(0,N(CHOOSE(AX16,J16,N16,R16,V16,Z16,AD16,AH16,AL16))+N(CHOOSE(AX16,K16,O16,S16,W16,AA16,AE16,AI16,AM16))-MIN(N(CHOOSE(AX16,'Debt List'!$F$5,'Debt List'!$F$6,'Debt List'!$F$7,'Debt List'!$F$8,'Debt List'!$F$9,'Debt List'!$F$10,'Debt List'!$F$11,'Debt List'!$F$12)),N(CHOOSE(AX16,J16,N16,R16,V16,Z16,AD16,AH16,AL16))+N(CHOOSE(AX16,K16,O16,S16,W16,AA16,AE16,AI16,AM16))))),0))</f>
        <v/>
      </c>
      <c r="AZ16">
        <f>MIN(N(AY16),MAX(0,N(AW16)))</f>
        <v/>
      </c>
      <c r="BA16">
        <f>MAX(0,N(AW16)-N(AZ16))</f>
        <v/>
      </c>
      <c r="BB16">
        <f>IFERROR(MATCH(4,OrderPlan,0),"")</f>
        <v/>
      </c>
      <c r="BC16">
        <f>IF(BB16="",0,IFERROR(IF(N(CHOOSE(BB16,J16,N16,R16,V16,Z16,AD16,AH16,AL16))&lt;=0.005,0,MAX(0,N(CHOOSE(BB16,J16,N16,R16,V16,Z16,AD16,AH16,AL16))+N(CHOOSE(BB16,K16,O16,S16,W16,AA16,AE16,AI16,AM16))-MIN(N(CHOOSE(BB16,'Debt List'!$F$5,'Debt List'!$F$6,'Debt List'!$F$7,'Debt List'!$F$8,'Debt List'!$F$9,'Debt List'!$F$10,'Debt List'!$F$11,'Debt List'!$F$12)),N(CHOOSE(BB16,J16,N16,R16,V16,Z16,AD16,AH16,AL16))+N(CHOOSE(BB16,K16,O16,S16,W16,AA16,AE16,AI16,AM16))))),0))</f>
        <v/>
      </c>
      <c r="BD16">
        <f>MIN(N(BC16),MAX(0,N(BA16)))</f>
        <v/>
      </c>
      <c r="BE16">
        <f>MAX(0,N(BA16)-N(BD16))</f>
        <v/>
      </c>
      <c r="BF16">
        <f>IFERROR(MATCH(5,OrderPlan,0),"")</f>
        <v/>
      </c>
      <c r="BG16">
        <f>IF(BF16="",0,IFERROR(IF(N(CHOOSE(BF16,J16,N16,R16,V16,Z16,AD16,AH16,AL16))&lt;=0.005,0,MAX(0,N(CHOOSE(BF16,J16,N16,R16,V16,Z16,AD16,AH16,AL16))+N(CHOOSE(BF16,K16,O16,S16,W16,AA16,AE16,AI16,AM16))-MIN(N(CHOOSE(BF16,'Debt List'!$F$5,'Debt List'!$F$6,'Debt List'!$F$7,'Debt List'!$F$8,'Debt List'!$F$9,'Debt List'!$F$10,'Debt List'!$F$11,'Debt List'!$F$12)),N(CHOOSE(BF16,J16,N16,R16,V16,Z16,AD16,AH16,AL16))+N(CHOOSE(BF16,K16,O16,S16,W16,AA16,AE16,AI16,AM16))))),0))</f>
        <v/>
      </c>
      <c r="BH16">
        <f>MIN(N(BG16),MAX(0,N(BE16)))</f>
        <v/>
      </c>
      <c r="BI16">
        <f>MAX(0,N(BE16)-N(BH16))</f>
        <v/>
      </c>
      <c r="BJ16">
        <f>IFERROR(MATCH(6,OrderPlan,0),"")</f>
        <v/>
      </c>
      <c r="BK16">
        <f>IF(BJ16="",0,IFERROR(IF(N(CHOOSE(BJ16,J16,N16,R16,V16,Z16,AD16,AH16,AL16))&lt;=0.005,0,MAX(0,N(CHOOSE(BJ16,J16,N16,R16,V16,Z16,AD16,AH16,AL16))+N(CHOOSE(BJ16,K16,O16,S16,W16,AA16,AE16,AI16,AM16))-MIN(N(CHOOSE(BJ16,'Debt List'!$F$5,'Debt List'!$F$6,'Debt List'!$F$7,'Debt List'!$F$8,'Debt List'!$F$9,'Debt List'!$F$10,'Debt List'!$F$11,'Debt List'!$F$12)),N(CHOOSE(BJ16,J16,N16,R16,V16,Z16,AD16,AH16,AL16))+N(CHOOSE(BJ16,K16,O16,S16,W16,AA16,AE16,AI16,AM16))))),0))</f>
        <v/>
      </c>
      <c r="BL16">
        <f>MIN(N(BK16),MAX(0,N(BI16)))</f>
        <v/>
      </c>
      <c r="BM16">
        <f>MAX(0,N(BI16)-N(BL16))</f>
        <v/>
      </c>
      <c r="BN16">
        <f>IFERROR(MATCH(7,OrderPlan,0),"")</f>
        <v/>
      </c>
      <c r="BO16">
        <f>IF(BN16="",0,IFERROR(IF(N(CHOOSE(BN16,J16,N16,R16,V16,Z16,AD16,AH16,AL16))&lt;=0.005,0,MAX(0,N(CHOOSE(BN16,J16,N16,R16,V16,Z16,AD16,AH16,AL16))+N(CHOOSE(BN16,K16,O16,S16,W16,AA16,AE16,AI16,AM16))-MIN(N(CHOOSE(BN16,'Debt List'!$F$5,'Debt List'!$F$6,'Debt List'!$F$7,'Debt List'!$F$8,'Debt List'!$F$9,'Debt List'!$F$10,'Debt List'!$F$11,'Debt List'!$F$12)),N(CHOOSE(BN16,J16,N16,R16,V16,Z16,AD16,AH16,AL16))+N(CHOOSE(BN16,K16,O16,S16,W16,AA16,AE16,AI16,AM16))))),0))</f>
        <v/>
      </c>
      <c r="BP16">
        <f>MIN(N(BO16),MAX(0,N(BM16)))</f>
        <v/>
      </c>
      <c r="BQ16">
        <f>MAX(0,N(BM16)-N(BP16))</f>
        <v/>
      </c>
      <c r="BR16">
        <f>IFERROR(MATCH(8,OrderPlan,0),"")</f>
        <v/>
      </c>
      <c r="BS16">
        <f>IF(BR16="",0,IFERROR(IF(N(CHOOSE(BR16,J16,N16,R16,V16,Z16,AD16,AH16,AL16))&lt;=0.005,0,MAX(0,N(CHOOSE(BR16,J16,N16,R16,V16,Z16,AD16,AH16,AL16))+N(CHOOSE(BR16,K16,O16,S16,W16,AA16,AE16,AI16,AM16))-MIN(N(CHOOSE(BR16,'Debt List'!$F$5,'Debt List'!$F$6,'Debt List'!$F$7,'Debt List'!$F$8,'Debt List'!$F$9,'Debt List'!$F$10,'Debt List'!$F$11,'Debt List'!$F$12)),N(CHOOSE(BR16,J16,N16,R16,V16,Z16,AD16,AH16,AL16))+N(CHOOSE(BR16,K16,O16,S16,W16,AA16,AE16,AI16,AM16))))),0))</f>
        <v/>
      </c>
      <c r="BT16">
        <f>MIN(N(BS16),MAX(0,N(BQ16)))</f>
        <v/>
      </c>
      <c r="BU16">
        <f>MAX(0,N(BQ16)-N(BT16))</f>
        <v/>
      </c>
      <c r="CC16" t="n">
        <v>12</v>
      </c>
      <c r="CD16" s="115">
        <f>DATE(YEAR(PlanStart),MONTH(PlanStart)+CC16-1,1)</f>
        <v/>
      </c>
      <c r="CE16">
        <f>IF(AND(DR16&lt;&gt;"",N(CHOOSE(DR16,CL16,CP16,CT16,CX16,DB16,DF16,DJ16,DN16))&gt;0.005),INDEX(DebtNames,DR16),IF(AND(DV16&lt;&gt;"",N(CHOOSE(DV16,CL16,CP16,CT16,CX16,DB16,DF16,DJ16,DN16))&gt;0.005),INDEX(DebtNames,DV16),IF(AND(DZ16&lt;&gt;"",N(CHOOSE(DZ16,CL16,CP16,CT16,CX16,DB16,DF16,DJ16,DN16))&gt;0.005),INDEX(DebtNames,DZ16),IF(AND(ED16&lt;&gt;"",N(CHOOSE(ED16,CL16,CP16,CT16,CX16,DB16,DF16,DJ16,DN16))&gt;0.005),INDEX(DebtNames,ED16),IF(AND(EH16&lt;&gt;"",N(CHOOSE(EH16,CL16,CP16,CT16,CX16,DB16,DF16,DJ16,DN16))&gt;0.005),INDEX(DebtNames,EH16),IF(AND(EL16&lt;&gt;"",N(CHOOSE(EL16,CL16,CP16,CT16,CX16,DB16,DF16,DJ16,DN16))&gt;0.005),INDEX(DebtNames,EL16),IF(AND(EP16&lt;&gt;"",N(CHOOSE(EP16,CL16,CP16,CT16,CX16,DB16,DF16,DJ16,DN16))&gt;0.005),INDEX(DebtNames,EP16),IF(AND(ET16&lt;&gt;"",N(CHOOSE(ET16,CL16,CP16,CT16,CX16,DB16,DF16,DJ16,DN16))&gt;0.005),INDEX(DebtNames,ET16),""))))))))</f>
        <v/>
      </c>
      <c r="CF16">
        <f>N(EW16)</f>
        <v/>
      </c>
      <c r="CG16">
        <f>N(CN16)+N(CR16)+N(CV16)+N(CZ16)+N(DD16)+N(DH16)+N(DL16)+N(DP16)</f>
        <v/>
      </c>
      <c r="CH16">
        <f>N(CM16)+N(CQ16)+N(CU16)+N(CY16)+N(DC16)+N(DG16)+N(DK16)+N(DO16)</f>
        <v/>
      </c>
      <c r="CI16">
        <f>N(CI15)+N(CH16)</f>
        <v/>
      </c>
      <c r="CJ16">
        <f>N(CO16)+N(CS16)+N(CW16)+N(DA16)+N(DE16)+N(DI16)+N(DM16)+N(DQ16)</f>
        <v/>
      </c>
      <c r="CK16">
        <f>(CO16&gt;0.005)*1+(CS16&gt;0.005)*1+(CW16&gt;0.005)*1+(DA16&gt;0.005)*1+(DE16&gt;0.005)*1+(DI16&gt;0.005)*1+(DM16&gt;0.005)*1+(DQ16&gt;0.005)*1</f>
        <v/>
      </c>
      <c r="CL16">
        <f>N(CO15)</f>
        <v/>
      </c>
      <c r="CM16">
        <f>IF(N(CL16)&lt;=0.005,0,ROUND(N(CL16)*N('Debt List'!E5)/12,2))</f>
        <v/>
      </c>
      <c r="CN16">
        <f>IF(N(CL16)&lt;=0.005,0,MIN(N('Debt List'!F5),N(CL16)+N(CM16)))+((DR16=1)*DT16+(DV16=1)*DX16+(DZ16=1)*EB16+(ED16=1)*EF16+(EH16=1)*EJ16+(EL16=1)*EN16+(EP16=1)*ER16+(ET16=1)*EV16)</f>
        <v/>
      </c>
      <c r="CO16">
        <f>MAX(0,ROUND(N(CL16)+N(CM16)-N(CN16),2))</f>
        <v/>
      </c>
      <c r="CP16">
        <f>N(CS15)</f>
        <v/>
      </c>
      <c r="CQ16">
        <f>IF(N(CP16)&lt;=0.005,0,ROUND(N(CP16)*N('Debt List'!E6)/12,2))</f>
        <v/>
      </c>
      <c r="CR16">
        <f>IF(N(CP16)&lt;=0.005,0,MIN(N('Debt List'!F6),N(CP16)+N(CQ16)))+((DR16=2)*DT16+(DV16=2)*DX16+(DZ16=2)*EB16+(ED16=2)*EF16+(EH16=2)*EJ16+(EL16=2)*EN16+(EP16=2)*ER16+(ET16=2)*EV16)</f>
        <v/>
      </c>
      <c r="CS16">
        <f>MAX(0,ROUND(N(CP16)+N(CQ16)-N(CR16),2))</f>
        <v/>
      </c>
      <c r="CT16">
        <f>N(CW15)</f>
        <v/>
      </c>
      <c r="CU16">
        <f>IF(N(CT16)&lt;=0.005,0,ROUND(N(CT16)*N('Debt List'!E7)/12,2))</f>
        <v/>
      </c>
      <c r="CV16">
        <f>IF(N(CT16)&lt;=0.005,0,MIN(N('Debt List'!F7),N(CT16)+N(CU16)))+((DR16=3)*DT16+(DV16=3)*DX16+(DZ16=3)*EB16+(ED16=3)*EF16+(EH16=3)*EJ16+(EL16=3)*EN16+(EP16=3)*ER16+(ET16=3)*EV16)</f>
        <v/>
      </c>
      <c r="CW16">
        <f>MAX(0,ROUND(N(CT16)+N(CU16)-N(CV16),2))</f>
        <v/>
      </c>
      <c r="CX16">
        <f>N(DA15)</f>
        <v/>
      </c>
      <c r="CY16">
        <f>IF(N(CX16)&lt;=0.005,0,ROUND(N(CX16)*N('Debt List'!E8)/12,2))</f>
        <v/>
      </c>
      <c r="CZ16">
        <f>IF(N(CX16)&lt;=0.005,0,MIN(N('Debt List'!F8),N(CX16)+N(CY16)))+((DR16=4)*DT16+(DV16=4)*DX16+(DZ16=4)*EB16+(ED16=4)*EF16+(EH16=4)*EJ16+(EL16=4)*EN16+(EP16=4)*ER16+(ET16=4)*EV16)</f>
        <v/>
      </c>
      <c r="DA16">
        <f>MAX(0,ROUND(N(CX16)+N(CY16)-N(CZ16),2))</f>
        <v/>
      </c>
      <c r="DB16">
        <f>N(DE15)</f>
        <v/>
      </c>
      <c r="DC16">
        <f>IF(N(DB16)&lt;=0.005,0,ROUND(N(DB16)*N('Debt List'!E9)/12,2))</f>
        <v/>
      </c>
      <c r="DD16">
        <f>IF(N(DB16)&lt;=0.005,0,MIN(N('Debt List'!F9),N(DB16)+N(DC16)))+((DR16=5)*DT16+(DV16=5)*DX16+(DZ16=5)*EB16+(ED16=5)*EF16+(EH16=5)*EJ16+(EL16=5)*EN16+(EP16=5)*ER16+(ET16=5)*EV16)</f>
        <v/>
      </c>
      <c r="DE16">
        <f>MAX(0,ROUND(N(DB16)+N(DC16)-N(DD16),2))</f>
        <v/>
      </c>
      <c r="DF16">
        <f>N(DI15)</f>
        <v/>
      </c>
      <c r="DG16">
        <f>IF(N(DF16)&lt;=0.005,0,ROUND(N(DF16)*N('Debt List'!E10)/12,2))</f>
        <v/>
      </c>
      <c r="DH16">
        <f>IF(N(DF16)&lt;=0.005,0,MIN(N('Debt List'!F10),N(DF16)+N(DG16)))+((DR16=6)*DT16+(DV16=6)*DX16+(DZ16=6)*EB16+(ED16=6)*EF16+(EH16=6)*EJ16+(EL16=6)*EN16+(EP16=6)*ER16+(ET16=6)*EV16)</f>
        <v/>
      </c>
      <c r="DI16">
        <f>MAX(0,ROUND(N(DF16)+N(DG16)-N(DH16),2))</f>
        <v/>
      </c>
      <c r="DJ16">
        <f>N(DM15)</f>
        <v/>
      </c>
      <c r="DK16">
        <f>IF(N(DJ16)&lt;=0.005,0,ROUND(N(DJ16)*N('Debt List'!E11)/12,2))</f>
        <v/>
      </c>
      <c r="DL16">
        <f>IF(N(DJ16)&lt;=0.005,0,MIN(N('Debt List'!F11),N(DJ16)+N(DK16)))+((DR16=7)*DT16+(DV16=7)*DX16+(DZ16=7)*EB16+(ED16=7)*EF16+(EH16=7)*EJ16+(EL16=7)*EN16+(EP16=7)*ER16+(ET16=7)*EV16)</f>
        <v/>
      </c>
      <c r="DM16">
        <f>MAX(0,ROUND(N(DJ16)+N(DK16)-N(DL16),2))</f>
        <v/>
      </c>
      <c r="DN16">
        <f>N(DQ15)</f>
        <v/>
      </c>
      <c r="DO16">
        <f>IF(N(DN16)&lt;=0.005,0,ROUND(N(DN16)*N('Debt List'!E12)/12,2))</f>
        <v/>
      </c>
      <c r="DP16">
        <f>IF(N(DN16)&lt;=0.005,0,MIN(N('Debt List'!F12),N(DN16)+N(DO16)))+((DR16=8)*DT16+(DV16=8)*DX16+(DZ16=8)*EB16+(ED16=8)*EF16+(EH16=8)*EJ16+(EL16=8)*EN16+(EP16=8)*ER16+(ET16=8)*EV16)</f>
        <v/>
      </c>
      <c r="DQ16">
        <f>MAX(0,ROUND(N(DN16)+N(DO16)-N(DP16),2))</f>
        <v/>
      </c>
      <c r="DR16">
        <f>IFERROR(MATCH(1,OrderSnow,0),"")</f>
        <v/>
      </c>
      <c r="DS16">
        <f>IF(DR16="",0,IFERROR(IF(N(CHOOSE(DR16,CL16,CP16,CT16,CX16,DB16,DF16,DJ16,DN16))&lt;=0.005,0,MAX(0,N(CHOOSE(DR16,CL16,CP16,CT16,CX16,DB16,DF16,DJ16,DN16))+N(CHOOSE(DR16,CM16,CQ16,CU16,CY16,DC16,DG16,DK16,DO16))-MIN(N(CHOOSE(DR16,'Debt List'!$F$5,'Debt List'!$F$6,'Debt List'!$F$7,'Debt List'!$F$8,'Debt List'!$F$9,'Debt List'!$F$10,'Debt List'!$F$11,'Debt List'!$F$12)),N(CHOOSE(DR16,CL16,CP16,CT16,CX16,DB16,DF16,DJ16,DN16))+N(CHOOSE(DR16,CM16,CQ16,CU16,CY16,DC16,DG16,DK16,DO16))))),0))</f>
        <v/>
      </c>
      <c r="DT16">
        <f>MIN(N(DS16),MAX(0,N(ExtraPayment)))</f>
        <v/>
      </c>
      <c r="DU16">
        <f>MAX(0,N(ExtraPayment)-N(DT16))</f>
        <v/>
      </c>
      <c r="DV16">
        <f>IFERROR(MATCH(2,OrderSnow,0),"")</f>
        <v/>
      </c>
      <c r="DW16">
        <f>IF(DV16="",0,IFERROR(IF(N(CHOOSE(DV16,CL16,CP16,CT16,CX16,DB16,DF16,DJ16,DN16))&lt;=0.005,0,MAX(0,N(CHOOSE(DV16,CL16,CP16,CT16,CX16,DB16,DF16,DJ16,DN16))+N(CHOOSE(DV16,CM16,CQ16,CU16,CY16,DC16,DG16,DK16,DO16))-MIN(N(CHOOSE(DV16,'Debt List'!$F$5,'Debt List'!$F$6,'Debt List'!$F$7,'Debt List'!$F$8,'Debt List'!$F$9,'Debt List'!$F$10,'Debt List'!$F$11,'Debt List'!$F$12)),N(CHOOSE(DV16,CL16,CP16,CT16,CX16,DB16,DF16,DJ16,DN16))+N(CHOOSE(DV16,CM16,CQ16,CU16,CY16,DC16,DG16,DK16,DO16))))),0))</f>
        <v/>
      </c>
      <c r="DX16">
        <f>MIN(N(DW16),MAX(0,N(DU16)))</f>
        <v/>
      </c>
      <c r="DY16">
        <f>MAX(0,N(DU16)-N(DX16))</f>
        <v/>
      </c>
      <c r="DZ16">
        <f>IFERROR(MATCH(3,OrderSnow,0),"")</f>
        <v/>
      </c>
      <c r="EA16">
        <f>IF(DZ16="",0,IFERROR(IF(N(CHOOSE(DZ16,CL16,CP16,CT16,CX16,DB16,DF16,DJ16,DN16))&lt;=0.005,0,MAX(0,N(CHOOSE(DZ16,CL16,CP16,CT16,CX16,DB16,DF16,DJ16,DN16))+N(CHOOSE(DZ16,CM16,CQ16,CU16,CY16,DC16,DG16,DK16,DO16))-MIN(N(CHOOSE(DZ16,'Debt List'!$F$5,'Debt List'!$F$6,'Debt List'!$F$7,'Debt List'!$F$8,'Debt List'!$F$9,'Debt List'!$F$10,'Debt List'!$F$11,'Debt List'!$F$12)),N(CHOOSE(DZ16,CL16,CP16,CT16,CX16,DB16,DF16,DJ16,DN16))+N(CHOOSE(DZ16,CM16,CQ16,CU16,CY16,DC16,DG16,DK16,DO16))))),0))</f>
        <v/>
      </c>
      <c r="EB16">
        <f>MIN(N(EA16),MAX(0,N(DY16)))</f>
        <v/>
      </c>
      <c r="EC16">
        <f>MAX(0,N(DY16)-N(EB16))</f>
        <v/>
      </c>
      <c r="ED16">
        <f>IFERROR(MATCH(4,OrderSnow,0),"")</f>
        <v/>
      </c>
      <c r="EE16">
        <f>IF(ED16="",0,IFERROR(IF(N(CHOOSE(ED16,CL16,CP16,CT16,CX16,DB16,DF16,DJ16,DN16))&lt;=0.005,0,MAX(0,N(CHOOSE(ED16,CL16,CP16,CT16,CX16,DB16,DF16,DJ16,DN16))+N(CHOOSE(ED16,CM16,CQ16,CU16,CY16,DC16,DG16,DK16,DO16))-MIN(N(CHOOSE(ED16,'Debt List'!$F$5,'Debt List'!$F$6,'Debt List'!$F$7,'Debt List'!$F$8,'Debt List'!$F$9,'Debt List'!$F$10,'Debt List'!$F$11,'Debt List'!$F$12)),N(CHOOSE(ED16,CL16,CP16,CT16,CX16,DB16,DF16,DJ16,DN16))+N(CHOOSE(ED16,CM16,CQ16,CU16,CY16,DC16,DG16,DK16,DO16))))),0))</f>
        <v/>
      </c>
      <c r="EF16">
        <f>MIN(N(EE16),MAX(0,N(EC16)))</f>
        <v/>
      </c>
      <c r="EG16">
        <f>MAX(0,N(EC16)-N(EF16))</f>
        <v/>
      </c>
      <c r="EH16">
        <f>IFERROR(MATCH(5,OrderSnow,0),"")</f>
        <v/>
      </c>
      <c r="EI16">
        <f>IF(EH16="",0,IFERROR(IF(N(CHOOSE(EH16,CL16,CP16,CT16,CX16,DB16,DF16,DJ16,DN16))&lt;=0.005,0,MAX(0,N(CHOOSE(EH16,CL16,CP16,CT16,CX16,DB16,DF16,DJ16,DN16))+N(CHOOSE(EH16,CM16,CQ16,CU16,CY16,DC16,DG16,DK16,DO16))-MIN(N(CHOOSE(EH16,'Debt List'!$F$5,'Debt List'!$F$6,'Debt List'!$F$7,'Debt List'!$F$8,'Debt List'!$F$9,'Debt List'!$F$10,'Debt List'!$F$11,'Debt List'!$F$12)),N(CHOOSE(EH16,CL16,CP16,CT16,CX16,DB16,DF16,DJ16,DN16))+N(CHOOSE(EH16,CM16,CQ16,CU16,CY16,DC16,DG16,DK16,DO16))))),0))</f>
        <v/>
      </c>
      <c r="EJ16">
        <f>MIN(N(EI16),MAX(0,N(EG16)))</f>
        <v/>
      </c>
      <c r="EK16">
        <f>MAX(0,N(EG16)-N(EJ16))</f>
        <v/>
      </c>
      <c r="EL16">
        <f>IFERROR(MATCH(6,OrderSnow,0),"")</f>
        <v/>
      </c>
      <c r="EM16">
        <f>IF(EL16="",0,IFERROR(IF(N(CHOOSE(EL16,CL16,CP16,CT16,CX16,DB16,DF16,DJ16,DN16))&lt;=0.005,0,MAX(0,N(CHOOSE(EL16,CL16,CP16,CT16,CX16,DB16,DF16,DJ16,DN16))+N(CHOOSE(EL16,CM16,CQ16,CU16,CY16,DC16,DG16,DK16,DO16))-MIN(N(CHOOSE(EL16,'Debt List'!$F$5,'Debt List'!$F$6,'Debt List'!$F$7,'Debt List'!$F$8,'Debt List'!$F$9,'Debt List'!$F$10,'Debt List'!$F$11,'Debt List'!$F$12)),N(CHOOSE(EL16,CL16,CP16,CT16,CX16,DB16,DF16,DJ16,DN16))+N(CHOOSE(EL16,CM16,CQ16,CU16,CY16,DC16,DG16,DK16,DO16))))),0))</f>
        <v/>
      </c>
      <c r="EN16">
        <f>MIN(N(EM16),MAX(0,N(EK16)))</f>
        <v/>
      </c>
      <c r="EO16">
        <f>MAX(0,N(EK16)-N(EN16))</f>
        <v/>
      </c>
      <c r="EP16">
        <f>IFERROR(MATCH(7,OrderSnow,0),"")</f>
        <v/>
      </c>
      <c r="EQ16">
        <f>IF(EP16="",0,IFERROR(IF(N(CHOOSE(EP16,CL16,CP16,CT16,CX16,DB16,DF16,DJ16,DN16))&lt;=0.005,0,MAX(0,N(CHOOSE(EP16,CL16,CP16,CT16,CX16,DB16,DF16,DJ16,DN16))+N(CHOOSE(EP16,CM16,CQ16,CU16,CY16,DC16,DG16,DK16,DO16))-MIN(N(CHOOSE(EP16,'Debt List'!$F$5,'Debt List'!$F$6,'Debt List'!$F$7,'Debt List'!$F$8,'Debt List'!$F$9,'Debt List'!$F$10,'Debt List'!$F$11,'Debt List'!$F$12)),N(CHOOSE(EP16,CL16,CP16,CT16,CX16,DB16,DF16,DJ16,DN16))+N(CHOOSE(EP16,CM16,CQ16,CU16,CY16,DC16,DG16,DK16,DO16))))),0))</f>
        <v/>
      </c>
      <c r="ER16">
        <f>MIN(N(EQ16),MAX(0,N(EO16)))</f>
        <v/>
      </c>
      <c r="ES16">
        <f>MAX(0,N(EO16)-N(ER16))</f>
        <v/>
      </c>
      <c r="ET16">
        <f>IFERROR(MATCH(8,OrderSnow,0),"")</f>
        <v/>
      </c>
      <c r="EU16">
        <f>IF(ET16="",0,IFERROR(IF(N(CHOOSE(ET16,CL16,CP16,CT16,CX16,DB16,DF16,DJ16,DN16))&lt;=0.005,0,MAX(0,N(CHOOSE(ET16,CL16,CP16,CT16,CX16,DB16,DF16,DJ16,DN16))+N(CHOOSE(ET16,CM16,CQ16,CU16,CY16,DC16,DG16,DK16,DO16))-MIN(N(CHOOSE(ET16,'Debt List'!$F$5,'Debt List'!$F$6,'Debt List'!$F$7,'Debt List'!$F$8,'Debt List'!$F$9,'Debt List'!$F$10,'Debt List'!$F$11,'Debt List'!$F$12)),N(CHOOSE(ET16,CL16,CP16,CT16,CX16,DB16,DF16,DJ16,DN16))+N(CHOOSE(ET16,CM16,CQ16,CU16,CY16,DC16,DG16,DK16,DO16))))),0))</f>
        <v/>
      </c>
      <c r="EV16">
        <f>MIN(N(EU16),MAX(0,N(ES16)))</f>
        <v/>
      </c>
      <c r="EW16">
        <f>MAX(0,N(ES16)-N(EV16))</f>
        <v/>
      </c>
      <c r="FE16" t="n">
        <v>12</v>
      </c>
      <c r="FF16" s="115">
        <f>DATE(YEAR(PlanStart),MONTH(PlanStart)+FE16-1,1)</f>
        <v/>
      </c>
      <c r="FG16">
        <f>IF(AND(GT16&lt;&gt;"",N(CHOOSE(GT16,FN16,FR16,FV16,FZ16,GD16,GH16,GL16,GP16))&gt;0.005),INDEX(DebtNames,GT16),IF(AND(GX16&lt;&gt;"",N(CHOOSE(GX16,FN16,FR16,FV16,FZ16,GD16,GH16,GL16,GP16))&gt;0.005),INDEX(DebtNames,GX16),IF(AND(HB16&lt;&gt;"",N(CHOOSE(HB16,FN16,FR16,FV16,FZ16,GD16,GH16,GL16,GP16))&gt;0.005),INDEX(DebtNames,HB16),IF(AND(HF16&lt;&gt;"",N(CHOOSE(HF16,FN16,FR16,FV16,FZ16,GD16,GH16,GL16,GP16))&gt;0.005),INDEX(DebtNames,HF16),IF(AND(HJ16&lt;&gt;"",N(CHOOSE(HJ16,FN16,FR16,FV16,FZ16,GD16,GH16,GL16,GP16))&gt;0.005),INDEX(DebtNames,HJ16),IF(AND(HN16&lt;&gt;"",N(CHOOSE(HN16,FN16,FR16,FV16,FZ16,GD16,GH16,GL16,GP16))&gt;0.005),INDEX(DebtNames,HN16),IF(AND(HR16&lt;&gt;"",N(CHOOSE(HR16,FN16,FR16,FV16,FZ16,GD16,GH16,GL16,GP16))&gt;0.005),INDEX(DebtNames,HR16),IF(AND(HV16&lt;&gt;"",N(CHOOSE(HV16,FN16,FR16,FV16,FZ16,GD16,GH16,GL16,GP16))&gt;0.005),INDEX(DebtNames,HV16),""))))))))</f>
        <v/>
      </c>
      <c r="FH16">
        <f>N(HY16)</f>
        <v/>
      </c>
      <c r="FI16">
        <f>N(FP16)+N(FT16)+N(FX16)+N(GB16)+N(GF16)+N(GJ16)+N(GN16)+N(GR16)</f>
        <v/>
      </c>
      <c r="FJ16">
        <f>N(FO16)+N(FS16)+N(FW16)+N(GA16)+N(GE16)+N(GI16)+N(GM16)+N(GQ16)</f>
        <v/>
      </c>
      <c r="FK16">
        <f>N(FK15)+N(FJ16)</f>
        <v/>
      </c>
      <c r="FL16">
        <f>N(FQ16)+N(FU16)+N(FY16)+N(GC16)+N(GG16)+N(GK16)+N(GO16)+N(GS16)</f>
        <v/>
      </c>
      <c r="FM16">
        <f>(FQ16&gt;0.005)*1+(FU16&gt;0.005)*1+(FY16&gt;0.005)*1+(GC16&gt;0.005)*1+(GG16&gt;0.005)*1+(GK16&gt;0.005)*1+(GO16&gt;0.005)*1+(GS16&gt;0.005)*1</f>
        <v/>
      </c>
      <c r="FN16">
        <f>N(FQ15)</f>
        <v/>
      </c>
      <c r="FO16">
        <f>IF(N(FN16)&lt;=0.005,0,ROUND(N(FN16)*N('Debt List'!E5)/12,2))</f>
        <v/>
      </c>
      <c r="FP16">
        <f>IF(N(FN16)&lt;=0.005,0,MIN(N('Debt List'!F5),N(FN16)+N(FO16)))+((GT16=1)*GV16+(GX16=1)*GZ16+(HB16=1)*HD16+(HF16=1)*HH16+(HJ16=1)*HL16+(HN16=1)*HP16+(HR16=1)*HT16+(HV16=1)*HX16)</f>
        <v/>
      </c>
      <c r="FQ16">
        <f>MAX(0,ROUND(N(FN16)+N(FO16)-N(FP16),2))</f>
        <v/>
      </c>
      <c r="FR16">
        <f>N(FU15)</f>
        <v/>
      </c>
      <c r="FS16">
        <f>IF(N(FR16)&lt;=0.005,0,ROUND(N(FR16)*N('Debt List'!E6)/12,2))</f>
        <v/>
      </c>
      <c r="FT16">
        <f>IF(N(FR16)&lt;=0.005,0,MIN(N('Debt List'!F6),N(FR16)+N(FS16)))+((GT16=2)*GV16+(GX16=2)*GZ16+(HB16=2)*HD16+(HF16=2)*HH16+(HJ16=2)*HL16+(HN16=2)*HP16+(HR16=2)*HT16+(HV16=2)*HX16)</f>
        <v/>
      </c>
      <c r="FU16">
        <f>MAX(0,ROUND(N(FR16)+N(FS16)-N(FT16),2))</f>
        <v/>
      </c>
      <c r="FV16">
        <f>N(FY15)</f>
        <v/>
      </c>
      <c r="FW16">
        <f>IF(N(FV16)&lt;=0.005,0,ROUND(N(FV16)*N('Debt List'!E7)/12,2))</f>
        <v/>
      </c>
      <c r="FX16">
        <f>IF(N(FV16)&lt;=0.005,0,MIN(N('Debt List'!F7),N(FV16)+N(FW16)))+((GT16=3)*GV16+(GX16=3)*GZ16+(HB16=3)*HD16+(HF16=3)*HH16+(HJ16=3)*HL16+(HN16=3)*HP16+(HR16=3)*HT16+(HV16=3)*HX16)</f>
        <v/>
      </c>
      <c r="FY16">
        <f>MAX(0,ROUND(N(FV16)+N(FW16)-N(FX16),2))</f>
        <v/>
      </c>
      <c r="FZ16">
        <f>N(GC15)</f>
        <v/>
      </c>
      <c r="GA16">
        <f>IF(N(FZ16)&lt;=0.005,0,ROUND(N(FZ16)*N('Debt List'!E8)/12,2))</f>
        <v/>
      </c>
      <c r="GB16">
        <f>IF(N(FZ16)&lt;=0.005,0,MIN(N('Debt List'!F8),N(FZ16)+N(GA16)))+((GT16=4)*GV16+(GX16=4)*GZ16+(HB16=4)*HD16+(HF16=4)*HH16+(HJ16=4)*HL16+(HN16=4)*HP16+(HR16=4)*HT16+(HV16=4)*HX16)</f>
        <v/>
      </c>
      <c r="GC16">
        <f>MAX(0,ROUND(N(FZ16)+N(GA16)-N(GB16),2))</f>
        <v/>
      </c>
      <c r="GD16">
        <f>N(GG15)</f>
        <v/>
      </c>
      <c r="GE16">
        <f>IF(N(GD16)&lt;=0.005,0,ROUND(N(GD16)*N('Debt List'!E9)/12,2))</f>
        <v/>
      </c>
      <c r="GF16">
        <f>IF(N(GD16)&lt;=0.005,0,MIN(N('Debt List'!F9),N(GD16)+N(GE16)))+((GT16=5)*GV16+(GX16=5)*GZ16+(HB16=5)*HD16+(HF16=5)*HH16+(HJ16=5)*HL16+(HN16=5)*HP16+(HR16=5)*HT16+(HV16=5)*HX16)</f>
        <v/>
      </c>
      <c r="GG16">
        <f>MAX(0,ROUND(N(GD16)+N(GE16)-N(GF16),2))</f>
        <v/>
      </c>
      <c r="GH16">
        <f>N(GK15)</f>
        <v/>
      </c>
      <c r="GI16">
        <f>IF(N(GH16)&lt;=0.005,0,ROUND(N(GH16)*N('Debt List'!E10)/12,2))</f>
        <v/>
      </c>
      <c r="GJ16">
        <f>IF(N(GH16)&lt;=0.005,0,MIN(N('Debt List'!F10),N(GH16)+N(GI16)))+((GT16=6)*GV16+(GX16=6)*GZ16+(HB16=6)*HD16+(HF16=6)*HH16+(HJ16=6)*HL16+(HN16=6)*HP16+(HR16=6)*HT16+(HV16=6)*HX16)</f>
        <v/>
      </c>
      <c r="GK16">
        <f>MAX(0,ROUND(N(GH16)+N(GI16)-N(GJ16),2))</f>
        <v/>
      </c>
      <c r="GL16">
        <f>N(GO15)</f>
        <v/>
      </c>
      <c r="GM16">
        <f>IF(N(GL16)&lt;=0.005,0,ROUND(N(GL16)*N('Debt List'!E11)/12,2))</f>
        <v/>
      </c>
      <c r="GN16">
        <f>IF(N(GL16)&lt;=0.005,0,MIN(N('Debt List'!F11),N(GL16)+N(GM16)))+((GT16=7)*GV16+(GX16=7)*GZ16+(HB16=7)*HD16+(HF16=7)*HH16+(HJ16=7)*HL16+(HN16=7)*HP16+(HR16=7)*HT16+(HV16=7)*HX16)</f>
        <v/>
      </c>
      <c r="GO16">
        <f>MAX(0,ROUND(N(GL16)+N(GM16)-N(GN16),2))</f>
        <v/>
      </c>
      <c r="GP16">
        <f>N(GS15)</f>
        <v/>
      </c>
      <c r="GQ16">
        <f>IF(N(GP16)&lt;=0.005,0,ROUND(N(GP16)*N('Debt List'!E12)/12,2))</f>
        <v/>
      </c>
      <c r="GR16">
        <f>IF(N(GP16)&lt;=0.005,0,MIN(N('Debt List'!F12),N(GP16)+N(GQ16)))+((GT16=8)*GV16+(GX16=8)*GZ16+(HB16=8)*HD16+(HF16=8)*HH16+(HJ16=8)*HL16+(HN16=8)*HP16+(HR16=8)*HT16+(HV16=8)*HX16)</f>
        <v/>
      </c>
      <c r="GS16">
        <f>MAX(0,ROUND(N(GP16)+N(GQ16)-N(GR16),2))</f>
        <v/>
      </c>
      <c r="GT16">
        <f>IFERROR(MATCH(1,OrderAval,0),"")</f>
        <v/>
      </c>
      <c r="GU16">
        <f>IF(GT16="",0,IFERROR(IF(N(CHOOSE(GT16,FN16,FR16,FV16,FZ16,GD16,GH16,GL16,GP16))&lt;=0.005,0,MAX(0,N(CHOOSE(GT16,FN16,FR16,FV16,FZ16,GD16,GH16,GL16,GP16))+N(CHOOSE(GT16,FO16,FS16,FW16,GA16,GE16,GI16,GM16,GQ16))-MIN(N(CHOOSE(GT16,'Debt List'!$F$5,'Debt List'!$F$6,'Debt List'!$F$7,'Debt List'!$F$8,'Debt List'!$F$9,'Debt List'!$F$10,'Debt List'!$F$11,'Debt List'!$F$12)),N(CHOOSE(GT16,FN16,FR16,FV16,FZ16,GD16,GH16,GL16,GP16))+N(CHOOSE(GT16,FO16,FS16,FW16,GA16,GE16,GI16,GM16,GQ16))))),0))</f>
        <v/>
      </c>
      <c r="GV16">
        <f>MIN(N(GU16),MAX(0,N(ExtraPayment)))</f>
        <v/>
      </c>
      <c r="GW16">
        <f>MAX(0,N(ExtraPayment)-N(GV16))</f>
        <v/>
      </c>
      <c r="GX16">
        <f>IFERROR(MATCH(2,OrderAval,0),"")</f>
        <v/>
      </c>
      <c r="GY16">
        <f>IF(GX16="",0,IFERROR(IF(N(CHOOSE(GX16,FN16,FR16,FV16,FZ16,GD16,GH16,GL16,GP16))&lt;=0.005,0,MAX(0,N(CHOOSE(GX16,FN16,FR16,FV16,FZ16,GD16,GH16,GL16,GP16))+N(CHOOSE(GX16,FO16,FS16,FW16,GA16,GE16,GI16,GM16,GQ16))-MIN(N(CHOOSE(GX16,'Debt List'!$F$5,'Debt List'!$F$6,'Debt List'!$F$7,'Debt List'!$F$8,'Debt List'!$F$9,'Debt List'!$F$10,'Debt List'!$F$11,'Debt List'!$F$12)),N(CHOOSE(GX16,FN16,FR16,FV16,FZ16,GD16,GH16,GL16,GP16))+N(CHOOSE(GX16,FO16,FS16,FW16,GA16,GE16,GI16,GM16,GQ16))))),0))</f>
        <v/>
      </c>
      <c r="GZ16">
        <f>MIN(N(GY16),MAX(0,N(GW16)))</f>
        <v/>
      </c>
      <c r="HA16">
        <f>MAX(0,N(GW16)-N(GZ16))</f>
        <v/>
      </c>
      <c r="HB16">
        <f>IFERROR(MATCH(3,OrderAval,0),"")</f>
        <v/>
      </c>
      <c r="HC16">
        <f>IF(HB16="",0,IFERROR(IF(N(CHOOSE(HB16,FN16,FR16,FV16,FZ16,GD16,GH16,GL16,GP16))&lt;=0.005,0,MAX(0,N(CHOOSE(HB16,FN16,FR16,FV16,FZ16,GD16,GH16,GL16,GP16))+N(CHOOSE(HB16,FO16,FS16,FW16,GA16,GE16,GI16,GM16,GQ16))-MIN(N(CHOOSE(HB16,'Debt List'!$F$5,'Debt List'!$F$6,'Debt List'!$F$7,'Debt List'!$F$8,'Debt List'!$F$9,'Debt List'!$F$10,'Debt List'!$F$11,'Debt List'!$F$12)),N(CHOOSE(HB16,FN16,FR16,FV16,FZ16,GD16,GH16,GL16,GP16))+N(CHOOSE(HB16,FO16,FS16,FW16,GA16,GE16,GI16,GM16,GQ16))))),0))</f>
        <v/>
      </c>
      <c r="HD16">
        <f>MIN(N(HC16),MAX(0,N(HA16)))</f>
        <v/>
      </c>
      <c r="HE16">
        <f>MAX(0,N(HA16)-N(HD16))</f>
        <v/>
      </c>
      <c r="HF16">
        <f>IFERROR(MATCH(4,OrderAval,0),"")</f>
        <v/>
      </c>
      <c r="HG16">
        <f>IF(HF16="",0,IFERROR(IF(N(CHOOSE(HF16,FN16,FR16,FV16,FZ16,GD16,GH16,GL16,GP16))&lt;=0.005,0,MAX(0,N(CHOOSE(HF16,FN16,FR16,FV16,FZ16,GD16,GH16,GL16,GP16))+N(CHOOSE(HF16,FO16,FS16,FW16,GA16,GE16,GI16,GM16,GQ16))-MIN(N(CHOOSE(HF16,'Debt List'!$F$5,'Debt List'!$F$6,'Debt List'!$F$7,'Debt List'!$F$8,'Debt List'!$F$9,'Debt List'!$F$10,'Debt List'!$F$11,'Debt List'!$F$12)),N(CHOOSE(HF16,FN16,FR16,FV16,FZ16,GD16,GH16,GL16,GP16))+N(CHOOSE(HF16,FO16,FS16,FW16,GA16,GE16,GI16,GM16,GQ16))))),0))</f>
        <v/>
      </c>
      <c r="HH16">
        <f>MIN(N(HG16),MAX(0,N(HE16)))</f>
        <v/>
      </c>
      <c r="HI16">
        <f>MAX(0,N(HE16)-N(HH16))</f>
        <v/>
      </c>
      <c r="HJ16">
        <f>IFERROR(MATCH(5,OrderAval,0),"")</f>
        <v/>
      </c>
      <c r="HK16">
        <f>IF(HJ16="",0,IFERROR(IF(N(CHOOSE(HJ16,FN16,FR16,FV16,FZ16,GD16,GH16,GL16,GP16))&lt;=0.005,0,MAX(0,N(CHOOSE(HJ16,FN16,FR16,FV16,FZ16,GD16,GH16,GL16,GP16))+N(CHOOSE(HJ16,FO16,FS16,FW16,GA16,GE16,GI16,GM16,GQ16))-MIN(N(CHOOSE(HJ16,'Debt List'!$F$5,'Debt List'!$F$6,'Debt List'!$F$7,'Debt List'!$F$8,'Debt List'!$F$9,'Debt List'!$F$10,'Debt List'!$F$11,'Debt List'!$F$12)),N(CHOOSE(HJ16,FN16,FR16,FV16,FZ16,GD16,GH16,GL16,GP16))+N(CHOOSE(HJ16,FO16,FS16,FW16,GA16,GE16,GI16,GM16,GQ16))))),0))</f>
        <v/>
      </c>
      <c r="HL16">
        <f>MIN(N(HK16),MAX(0,N(HI16)))</f>
        <v/>
      </c>
      <c r="HM16">
        <f>MAX(0,N(HI16)-N(HL16))</f>
        <v/>
      </c>
      <c r="HN16">
        <f>IFERROR(MATCH(6,OrderAval,0),"")</f>
        <v/>
      </c>
      <c r="HO16">
        <f>IF(HN16="",0,IFERROR(IF(N(CHOOSE(HN16,FN16,FR16,FV16,FZ16,GD16,GH16,GL16,GP16))&lt;=0.005,0,MAX(0,N(CHOOSE(HN16,FN16,FR16,FV16,FZ16,GD16,GH16,GL16,GP16))+N(CHOOSE(HN16,FO16,FS16,FW16,GA16,GE16,GI16,GM16,GQ16))-MIN(N(CHOOSE(HN16,'Debt List'!$F$5,'Debt List'!$F$6,'Debt List'!$F$7,'Debt List'!$F$8,'Debt List'!$F$9,'Debt List'!$F$10,'Debt List'!$F$11,'Debt List'!$F$12)),N(CHOOSE(HN16,FN16,FR16,FV16,FZ16,GD16,GH16,GL16,GP16))+N(CHOOSE(HN16,FO16,FS16,FW16,GA16,GE16,GI16,GM16,GQ16))))),0))</f>
        <v/>
      </c>
      <c r="HP16">
        <f>MIN(N(HO16),MAX(0,N(HM16)))</f>
        <v/>
      </c>
      <c r="HQ16">
        <f>MAX(0,N(HM16)-N(HP16))</f>
        <v/>
      </c>
      <c r="HR16">
        <f>IFERROR(MATCH(7,OrderAval,0),"")</f>
        <v/>
      </c>
      <c r="HS16">
        <f>IF(HR16="",0,IFERROR(IF(N(CHOOSE(HR16,FN16,FR16,FV16,FZ16,GD16,GH16,GL16,GP16))&lt;=0.005,0,MAX(0,N(CHOOSE(HR16,FN16,FR16,FV16,FZ16,GD16,GH16,GL16,GP16))+N(CHOOSE(HR16,FO16,FS16,FW16,GA16,GE16,GI16,GM16,GQ16))-MIN(N(CHOOSE(HR16,'Debt List'!$F$5,'Debt List'!$F$6,'Debt List'!$F$7,'Debt List'!$F$8,'Debt List'!$F$9,'Debt List'!$F$10,'Debt List'!$F$11,'Debt List'!$F$12)),N(CHOOSE(HR16,FN16,FR16,FV16,FZ16,GD16,GH16,GL16,GP16))+N(CHOOSE(HR16,FO16,FS16,FW16,GA16,GE16,GI16,GM16,GQ16))))),0))</f>
        <v/>
      </c>
      <c r="HT16">
        <f>MIN(N(HS16),MAX(0,N(HQ16)))</f>
        <v/>
      </c>
      <c r="HU16">
        <f>MAX(0,N(HQ16)-N(HT16))</f>
        <v/>
      </c>
      <c r="HV16">
        <f>IFERROR(MATCH(8,OrderAval,0),"")</f>
        <v/>
      </c>
      <c r="HW16">
        <f>IF(HV16="",0,IFERROR(IF(N(CHOOSE(HV16,FN16,FR16,FV16,FZ16,GD16,GH16,GL16,GP16))&lt;=0.005,0,MAX(0,N(CHOOSE(HV16,FN16,FR16,FV16,FZ16,GD16,GH16,GL16,GP16))+N(CHOOSE(HV16,FO16,FS16,FW16,GA16,GE16,GI16,GM16,GQ16))-MIN(N(CHOOSE(HV16,'Debt List'!$F$5,'Debt List'!$F$6,'Debt List'!$F$7,'Debt List'!$F$8,'Debt List'!$F$9,'Debt List'!$F$10,'Debt List'!$F$11,'Debt List'!$F$12)),N(CHOOSE(HV16,FN16,FR16,FV16,FZ16,GD16,GH16,GL16,GP16))+N(CHOOSE(HV16,FO16,FS16,FW16,GA16,GE16,GI16,GM16,GQ16))))),0))</f>
        <v/>
      </c>
      <c r="HX16">
        <f>MIN(N(HW16),MAX(0,N(HU16)))</f>
        <v/>
      </c>
      <c r="HY16">
        <f>MAX(0,N(HU16)-N(HX16))</f>
        <v/>
      </c>
    </row>
    <row r="17">
      <c r="A17" t="n">
        <v>13</v>
      </c>
      <c r="B17" s="115">
        <f>DATE(YEAR(PlanStart),MONTH(PlanStart)+A17-1,1)</f>
        <v/>
      </c>
      <c r="C17">
        <f>IF(AND(AP17&lt;&gt;"",N(CHOOSE(AP17,J17,N17,R17,V17,Z17,AD17,AH17,AL17))&gt;0.005),INDEX(DebtNames,AP17),IF(AND(AT17&lt;&gt;"",N(CHOOSE(AT17,J17,N17,R17,V17,Z17,AD17,AH17,AL17))&gt;0.005),INDEX(DebtNames,AT17),IF(AND(AX17&lt;&gt;"",N(CHOOSE(AX17,J17,N17,R17,V17,Z17,AD17,AH17,AL17))&gt;0.005),INDEX(DebtNames,AX17),IF(AND(BB17&lt;&gt;"",N(CHOOSE(BB17,J17,N17,R17,V17,Z17,AD17,AH17,AL17))&gt;0.005),INDEX(DebtNames,BB17),IF(AND(BF17&lt;&gt;"",N(CHOOSE(BF17,J17,N17,R17,V17,Z17,AD17,AH17,AL17))&gt;0.005),INDEX(DebtNames,BF17),IF(AND(BJ17&lt;&gt;"",N(CHOOSE(BJ17,J17,N17,R17,V17,Z17,AD17,AH17,AL17))&gt;0.005),INDEX(DebtNames,BJ17),IF(AND(BN17&lt;&gt;"",N(CHOOSE(BN17,J17,N17,R17,V17,Z17,AD17,AH17,AL17))&gt;0.005),INDEX(DebtNames,BN17),IF(AND(BR17&lt;&gt;"",N(CHOOSE(BR17,J17,N17,R17,V17,Z17,AD17,AH17,AL17))&gt;0.005),INDEX(DebtNames,BR17),""))))))))</f>
        <v/>
      </c>
      <c r="D17">
        <f>N(BU17)</f>
        <v/>
      </c>
      <c r="E17">
        <f>N(L17)+N(P17)+N(T17)+N(X17)+N(AB17)+N(AF17)+N(AJ17)+N(AN17)</f>
        <v/>
      </c>
      <c r="F17">
        <f>N(K17)+N(O17)+N(S17)+N(W17)+N(AA17)+N(AE17)+N(AI17)+N(AM17)</f>
        <v/>
      </c>
      <c r="G17">
        <f>N(G16)+N(F17)</f>
        <v/>
      </c>
      <c r="H17">
        <f>N(M17)+N(Q17)+N(U17)+N(Y17)+N(AC17)+N(AG17)+N(AK17)+N(AO17)</f>
        <v/>
      </c>
      <c r="I17">
        <f>(M17&gt;0.005)*1+(Q17&gt;0.005)*1+(U17&gt;0.005)*1+(Y17&gt;0.005)*1+(AC17&gt;0.005)*1+(AG17&gt;0.005)*1+(AK17&gt;0.005)*1+(AO17&gt;0.005)*1</f>
        <v/>
      </c>
      <c r="J17">
        <f>N(M16)</f>
        <v/>
      </c>
      <c r="K17">
        <f>IF(N(J17)&lt;=0.005,0,ROUND(N(J17)*N('Debt List'!E5)/12,2))</f>
        <v/>
      </c>
      <c r="L17">
        <f>IF(N(J17)&lt;=0.005,0,MIN(N('Debt List'!F5),N(J17)+N(K17)))+((AP17=1)*AR17+(AT17=1)*AV17+(AX17=1)*AZ17+(BB17=1)*BD17+(BF17=1)*BH17+(BJ17=1)*BL17+(BN17=1)*BP17+(BR17=1)*BT17)</f>
        <v/>
      </c>
      <c r="M17">
        <f>MAX(0,ROUND(N(J17)+N(K17)-N(L17),2))</f>
        <v/>
      </c>
      <c r="N17">
        <f>N(Q16)</f>
        <v/>
      </c>
      <c r="O17">
        <f>IF(N(N17)&lt;=0.005,0,ROUND(N(N17)*N('Debt List'!E6)/12,2))</f>
        <v/>
      </c>
      <c r="P17">
        <f>IF(N(N17)&lt;=0.005,0,MIN(N('Debt List'!F6),N(N17)+N(O17)))+((AP17=2)*AR17+(AT17=2)*AV17+(AX17=2)*AZ17+(BB17=2)*BD17+(BF17=2)*BH17+(BJ17=2)*BL17+(BN17=2)*BP17+(BR17=2)*BT17)</f>
        <v/>
      </c>
      <c r="Q17">
        <f>MAX(0,ROUND(N(N17)+N(O17)-N(P17),2))</f>
        <v/>
      </c>
      <c r="R17">
        <f>N(U16)</f>
        <v/>
      </c>
      <c r="S17">
        <f>IF(N(R17)&lt;=0.005,0,ROUND(N(R17)*N('Debt List'!E7)/12,2))</f>
        <v/>
      </c>
      <c r="T17">
        <f>IF(N(R17)&lt;=0.005,0,MIN(N('Debt List'!F7),N(R17)+N(S17)))+((AP17=3)*AR17+(AT17=3)*AV17+(AX17=3)*AZ17+(BB17=3)*BD17+(BF17=3)*BH17+(BJ17=3)*BL17+(BN17=3)*BP17+(BR17=3)*BT17)</f>
        <v/>
      </c>
      <c r="U17">
        <f>MAX(0,ROUND(N(R17)+N(S17)-N(T17),2))</f>
        <v/>
      </c>
      <c r="V17">
        <f>N(Y16)</f>
        <v/>
      </c>
      <c r="W17">
        <f>IF(N(V17)&lt;=0.005,0,ROUND(N(V17)*N('Debt List'!E8)/12,2))</f>
        <v/>
      </c>
      <c r="X17">
        <f>IF(N(V17)&lt;=0.005,0,MIN(N('Debt List'!F8),N(V17)+N(W17)))+((AP17=4)*AR17+(AT17=4)*AV17+(AX17=4)*AZ17+(BB17=4)*BD17+(BF17=4)*BH17+(BJ17=4)*BL17+(BN17=4)*BP17+(BR17=4)*BT17)</f>
        <v/>
      </c>
      <c r="Y17">
        <f>MAX(0,ROUND(N(V17)+N(W17)-N(X17),2))</f>
        <v/>
      </c>
      <c r="Z17">
        <f>N(AC16)</f>
        <v/>
      </c>
      <c r="AA17">
        <f>IF(N(Z17)&lt;=0.005,0,ROUND(N(Z17)*N('Debt List'!E9)/12,2))</f>
        <v/>
      </c>
      <c r="AB17">
        <f>IF(N(Z17)&lt;=0.005,0,MIN(N('Debt List'!F9),N(Z17)+N(AA17)))+((AP17=5)*AR17+(AT17=5)*AV17+(AX17=5)*AZ17+(BB17=5)*BD17+(BF17=5)*BH17+(BJ17=5)*BL17+(BN17=5)*BP17+(BR17=5)*BT17)</f>
        <v/>
      </c>
      <c r="AC17">
        <f>MAX(0,ROUND(N(Z17)+N(AA17)-N(AB17),2))</f>
        <v/>
      </c>
      <c r="AD17">
        <f>N(AG16)</f>
        <v/>
      </c>
      <c r="AE17">
        <f>IF(N(AD17)&lt;=0.005,0,ROUND(N(AD17)*N('Debt List'!E10)/12,2))</f>
        <v/>
      </c>
      <c r="AF17">
        <f>IF(N(AD17)&lt;=0.005,0,MIN(N('Debt List'!F10),N(AD17)+N(AE17)))+((AP17=6)*AR17+(AT17=6)*AV17+(AX17=6)*AZ17+(BB17=6)*BD17+(BF17=6)*BH17+(BJ17=6)*BL17+(BN17=6)*BP17+(BR17=6)*BT17)</f>
        <v/>
      </c>
      <c r="AG17">
        <f>MAX(0,ROUND(N(AD17)+N(AE17)-N(AF17),2))</f>
        <v/>
      </c>
      <c r="AH17">
        <f>N(AK16)</f>
        <v/>
      </c>
      <c r="AI17">
        <f>IF(N(AH17)&lt;=0.005,0,ROUND(N(AH17)*N('Debt List'!E11)/12,2))</f>
        <v/>
      </c>
      <c r="AJ17">
        <f>IF(N(AH17)&lt;=0.005,0,MIN(N('Debt List'!F11),N(AH17)+N(AI17)))+((AP17=7)*AR17+(AT17=7)*AV17+(AX17=7)*AZ17+(BB17=7)*BD17+(BF17=7)*BH17+(BJ17=7)*BL17+(BN17=7)*BP17+(BR17=7)*BT17)</f>
        <v/>
      </c>
      <c r="AK17">
        <f>MAX(0,ROUND(N(AH17)+N(AI17)-N(AJ17),2))</f>
        <v/>
      </c>
      <c r="AL17">
        <f>N(AO16)</f>
        <v/>
      </c>
      <c r="AM17">
        <f>IF(N(AL17)&lt;=0.005,0,ROUND(N(AL17)*N('Debt List'!E12)/12,2))</f>
        <v/>
      </c>
      <c r="AN17">
        <f>IF(N(AL17)&lt;=0.005,0,MIN(N('Debt List'!F12),N(AL17)+N(AM17)))+((AP17=8)*AR17+(AT17=8)*AV17+(AX17=8)*AZ17+(BB17=8)*BD17+(BF17=8)*BH17+(BJ17=8)*BL17+(BN17=8)*BP17+(BR17=8)*BT17)</f>
        <v/>
      </c>
      <c r="AO17">
        <f>MAX(0,ROUND(N(AL17)+N(AM17)-N(AN17),2))</f>
        <v/>
      </c>
      <c r="AP17">
        <f>IFERROR(MATCH(1,OrderPlan,0),"")</f>
        <v/>
      </c>
      <c r="AQ17">
        <f>IF(AP17="",0,IFERROR(IF(N(CHOOSE(AP17,J17,N17,R17,V17,Z17,AD17,AH17,AL17))&lt;=0.005,0,MAX(0,N(CHOOSE(AP17,J17,N17,R17,V17,Z17,AD17,AH17,AL17))+N(CHOOSE(AP17,K17,O17,S17,W17,AA17,AE17,AI17,AM17))-MIN(N(CHOOSE(AP17,'Debt List'!$F$5,'Debt List'!$F$6,'Debt List'!$F$7,'Debt List'!$F$8,'Debt List'!$F$9,'Debt List'!$F$10,'Debt List'!$F$11,'Debt List'!$F$12)),N(CHOOSE(AP17,J17,N17,R17,V17,Z17,AD17,AH17,AL17))+N(CHOOSE(AP17,K17,O17,S17,W17,AA17,AE17,AI17,AM17))))),0))</f>
        <v/>
      </c>
      <c r="AR17">
        <f>MIN(N(AQ17),MAX(0,N(ExtraPayment)))</f>
        <v/>
      </c>
      <c r="AS17">
        <f>MAX(0,N(ExtraPayment)-N(AR17))</f>
        <v/>
      </c>
      <c r="AT17">
        <f>IFERROR(MATCH(2,OrderPlan,0),"")</f>
        <v/>
      </c>
      <c r="AU17">
        <f>IF(AT17="",0,IFERROR(IF(N(CHOOSE(AT17,J17,N17,R17,V17,Z17,AD17,AH17,AL17))&lt;=0.005,0,MAX(0,N(CHOOSE(AT17,J17,N17,R17,V17,Z17,AD17,AH17,AL17))+N(CHOOSE(AT17,K17,O17,S17,W17,AA17,AE17,AI17,AM17))-MIN(N(CHOOSE(AT17,'Debt List'!$F$5,'Debt List'!$F$6,'Debt List'!$F$7,'Debt List'!$F$8,'Debt List'!$F$9,'Debt List'!$F$10,'Debt List'!$F$11,'Debt List'!$F$12)),N(CHOOSE(AT17,J17,N17,R17,V17,Z17,AD17,AH17,AL17))+N(CHOOSE(AT17,K17,O17,S17,W17,AA17,AE17,AI17,AM17))))),0))</f>
        <v/>
      </c>
      <c r="AV17">
        <f>MIN(N(AU17),MAX(0,N(AS17)))</f>
        <v/>
      </c>
      <c r="AW17">
        <f>MAX(0,N(AS17)-N(AV17))</f>
        <v/>
      </c>
      <c r="AX17">
        <f>IFERROR(MATCH(3,OrderPlan,0),"")</f>
        <v/>
      </c>
      <c r="AY17">
        <f>IF(AX17="",0,IFERROR(IF(N(CHOOSE(AX17,J17,N17,R17,V17,Z17,AD17,AH17,AL17))&lt;=0.005,0,MAX(0,N(CHOOSE(AX17,J17,N17,R17,V17,Z17,AD17,AH17,AL17))+N(CHOOSE(AX17,K17,O17,S17,W17,AA17,AE17,AI17,AM17))-MIN(N(CHOOSE(AX17,'Debt List'!$F$5,'Debt List'!$F$6,'Debt List'!$F$7,'Debt List'!$F$8,'Debt List'!$F$9,'Debt List'!$F$10,'Debt List'!$F$11,'Debt List'!$F$12)),N(CHOOSE(AX17,J17,N17,R17,V17,Z17,AD17,AH17,AL17))+N(CHOOSE(AX17,K17,O17,S17,W17,AA17,AE17,AI17,AM17))))),0))</f>
        <v/>
      </c>
      <c r="AZ17">
        <f>MIN(N(AY17),MAX(0,N(AW17)))</f>
        <v/>
      </c>
      <c r="BA17">
        <f>MAX(0,N(AW17)-N(AZ17))</f>
        <v/>
      </c>
      <c r="BB17">
        <f>IFERROR(MATCH(4,OrderPlan,0),"")</f>
        <v/>
      </c>
      <c r="BC17">
        <f>IF(BB17="",0,IFERROR(IF(N(CHOOSE(BB17,J17,N17,R17,V17,Z17,AD17,AH17,AL17))&lt;=0.005,0,MAX(0,N(CHOOSE(BB17,J17,N17,R17,V17,Z17,AD17,AH17,AL17))+N(CHOOSE(BB17,K17,O17,S17,W17,AA17,AE17,AI17,AM17))-MIN(N(CHOOSE(BB17,'Debt List'!$F$5,'Debt List'!$F$6,'Debt List'!$F$7,'Debt List'!$F$8,'Debt List'!$F$9,'Debt List'!$F$10,'Debt List'!$F$11,'Debt List'!$F$12)),N(CHOOSE(BB17,J17,N17,R17,V17,Z17,AD17,AH17,AL17))+N(CHOOSE(BB17,K17,O17,S17,W17,AA17,AE17,AI17,AM17))))),0))</f>
        <v/>
      </c>
      <c r="BD17">
        <f>MIN(N(BC17),MAX(0,N(BA17)))</f>
        <v/>
      </c>
      <c r="BE17">
        <f>MAX(0,N(BA17)-N(BD17))</f>
        <v/>
      </c>
      <c r="BF17">
        <f>IFERROR(MATCH(5,OrderPlan,0),"")</f>
        <v/>
      </c>
      <c r="BG17">
        <f>IF(BF17="",0,IFERROR(IF(N(CHOOSE(BF17,J17,N17,R17,V17,Z17,AD17,AH17,AL17))&lt;=0.005,0,MAX(0,N(CHOOSE(BF17,J17,N17,R17,V17,Z17,AD17,AH17,AL17))+N(CHOOSE(BF17,K17,O17,S17,W17,AA17,AE17,AI17,AM17))-MIN(N(CHOOSE(BF17,'Debt List'!$F$5,'Debt List'!$F$6,'Debt List'!$F$7,'Debt List'!$F$8,'Debt List'!$F$9,'Debt List'!$F$10,'Debt List'!$F$11,'Debt List'!$F$12)),N(CHOOSE(BF17,J17,N17,R17,V17,Z17,AD17,AH17,AL17))+N(CHOOSE(BF17,K17,O17,S17,W17,AA17,AE17,AI17,AM17))))),0))</f>
        <v/>
      </c>
      <c r="BH17">
        <f>MIN(N(BG17),MAX(0,N(BE17)))</f>
        <v/>
      </c>
      <c r="BI17">
        <f>MAX(0,N(BE17)-N(BH17))</f>
        <v/>
      </c>
      <c r="BJ17">
        <f>IFERROR(MATCH(6,OrderPlan,0),"")</f>
        <v/>
      </c>
      <c r="BK17">
        <f>IF(BJ17="",0,IFERROR(IF(N(CHOOSE(BJ17,J17,N17,R17,V17,Z17,AD17,AH17,AL17))&lt;=0.005,0,MAX(0,N(CHOOSE(BJ17,J17,N17,R17,V17,Z17,AD17,AH17,AL17))+N(CHOOSE(BJ17,K17,O17,S17,W17,AA17,AE17,AI17,AM17))-MIN(N(CHOOSE(BJ17,'Debt List'!$F$5,'Debt List'!$F$6,'Debt List'!$F$7,'Debt List'!$F$8,'Debt List'!$F$9,'Debt List'!$F$10,'Debt List'!$F$11,'Debt List'!$F$12)),N(CHOOSE(BJ17,J17,N17,R17,V17,Z17,AD17,AH17,AL17))+N(CHOOSE(BJ17,K17,O17,S17,W17,AA17,AE17,AI17,AM17))))),0))</f>
        <v/>
      </c>
      <c r="BL17">
        <f>MIN(N(BK17),MAX(0,N(BI17)))</f>
        <v/>
      </c>
      <c r="BM17">
        <f>MAX(0,N(BI17)-N(BL17))</f>
        <v/>
      </c>
      <c r="BN17">
        <f>IFERROR(MATCH(7,OrderPlan,0),"")</f>
        <v/>
      </c>
      <c r="BO17">
        <f>IF(BN17="",0,IFERROR(IF(N(CHOOSE(BN17,J17,N17,R17,V17,Z17,AD17,AH17,AL17))&lt;=0.005,0,MAX(0,N(CHOOSE(BN17,J17,N17,R17,V17,Z17,AD17,AH17,AL17))+N(CHOOSE(BN17,K17,O17,S17,W17,AA17,AE17,AI17,AM17))-MIN(N(CHOOSE(BN17,'Debt List'!$F$5,'Debt List'!$F$6,'Debt List'!$F$7,'Debt List'!$F$8,'Debt List'!$F$9,'Debt List'!$F$10,'Debt List'!$F$11,'Debt List'!$F$12)),N(CHOOSE(BN17,J17,N17,R17,V17,Z17,AD17,AH17,AL17))+N(CHOOSE(BN17,K17,O17,S17,W17,AA17,AE17,AI17,AM17))))),0))</f>
        <v/>
      </c>
      <c r="BP17">
        <f>MIN(N(BO17),MAX(0,N(BM17)))</f>
        <v/>
      </c>
      <c r="BQ17">
        <f>MAX(0,N(BM17)-N(BP17))</f>
        <v/>
      </c>
      <c r="BR17">
        <f>IFERROR(MATCH(8,OrderPlan,0),"")</f>
        <v/>
      </c>
      <c r="BS17">
        <f>IF(BR17="",0,IFERROR(IF(N(CHOOSE(BR17,J17,N17,R17,V17,Z17,AD17,AH17,AL17))&lt;=0.005,0,MAX(0,N(CHOOSE(BR17,J17,N17,R17,V17,Z17,AD17,AH17,AL17))+N(CHOOSE(BR17,K17,O17,S17,W17,AA17,AE17,AI17,AM17))-MIN(N(CHOOSE(BR17,'Debt List'!$F$5,'Debt List'!$F$6,'Debt List'!$F$7,'Debt List'!$F$8,'Debt List'!$F$9,'Debt List'!$F$10,'Debt List'!$F$11,'Debt List'!$F$12)),N(CHOOSE(BR17,J17,N17,R17,V17,Z17,AD17,AH17,AL17))+N(CHOOSE(BR17,K17,O17,S17,W17,AA17,AE17,AI17,AM17))))),0))</f>
        <v/>
      </c>
      <c r="BT17">
        <f>MIN(N(BS17),MAX(0,N(BQ17)))</f>
        <v/>
      </c>
      <c r="BU17">
        <f>MAX(0,N(BQ17)-N(BT17))</f>
        <v/>
      </c>
      <c r="CC17" t="n">
        <v>13</v>
      </c>
      <c r="CD17" s="115">
        <f>DATE(YEAR(PlanStart),MONTH(PlanStart)+CC17-1,1)</f>
        <v/>
      </c>
      <c r="CE17">
        <f>IF(AND(DR17&lt;&gt;"",N(CHOOSE(DR17,CL17,CP17,CT17,CX17,DB17,DF17,DJ17,DN17))&gt;0.005),INDEX(DebtNames,DR17),IF(AND(DV17&lt;&gt;"",N(CHOOSE(DV17,CL17,CP17,CT17,CX17,DB17,DF17,DJ17,DN17))&gt;0.005),INDEX(DebtNames,DV17),IF(AND(DZ17&lt;&gt;"",N(CHOOSE(DZ17,CL17,CP17,CT17,CX17,DB17,DF17,DJ17,DN17))&gt;0.005),INDEX(DebtNames,DZ17),IF(AND(ED17&lt;&gt;"",N(CHOOSE(ED17,CL17,CP17,CT17,CX17,DB17,DF17,DJ17,DN17))&gt;0.005),INDEX(DebtNames,ED17),IF(AND(EH17&lt;&gt;"",N(CHOOSE(EH17,CL17,CP17,CT17,CX17,DB17,DF17,DJ17,DN17))&gt;0.005),INDEX(DebtNames,EH17),IF(AND(EL17&lt;&gt;"",N(CHOOSE(EL17,CL17,CP17,CT17,CX17,DB17,DF17,DJ17,DN17))&gt;0.005),INDEX(DebtNames,EL17),IF(AND(EP17&lt;&gt;"",N(CHOOSE(EP17,CL17,CP17,CT17,CX17,DB17,DF17,DJ17,DN17))&gt;0.005),INDEX(DebtNames,EP17),IF(AND(ET17&lt;&gt;"",N(CHOOSE(ET17,CL17,CP17,CT17,CX17,DB17,DF17,DJ17,DN17))&gt;0.005),INDEX(DebtNames,ET17),""))))))))</f>
        <v/>
      </c>
      <c r="CF17">
        <f>N(EW17)</f>
        <v/>
      </c>
      <c r="CG17">
        <f>N(CN17)+N(CR17)+N(CV17)+N(CZ17)+N(DD17)+N(DH17)+N(DL17)+N(DP17)</f>
        <v/>
      </c>
      <c r="CH17">
        <f>N(CM17)+N(CQ17)+N(CU17)+N(CY17)+N(DC17)+N(DG17)+N(DK17)+N(DO17)</f>
        <v/>
      </c>
      <c r="CI17">
        <f>N(CI16)+N(CH17)</f>
        <v/>
      </c>
      <c r="CJ17">
        <f>N(CO17)+N(CS17)+N(CW17)+N(DA17)+N(DE17)+N(DI17)+N(DM17)+N(DQ17)</f>
        <v/>
      </c>
      <c r="CK17">
        <f>(CO17&gt;0.005)*1+(CS17&gt;0.005)*1+(CW17&gt;0.005)*1+(DA17&gt;0.005)*1+(DE17&gt;0.005)*1+(DI17&gt;0.005)*1+(DM17&gt;0.005)*1+(DQ17&gt;0.005)*1</f>
        <v/>
      </c>
      <c r="CL17">
        <f>N(CO16)</f>
        <v/>
      </c>
      <c r="CM17">
        <f>IF(N(CL17)&lt;=0.005,0,ROUND(N(CL17)*N('Debt List'!E5)/12,2))</f>
        <v/>
      </c>
      <c r="CN17">
        <f>IF(N(CL17)&lt;=0.005,0,MIN(N('Debt List'!F5),N(CL17)+N(CM17)))+((DR17=1)*DT17+(DV17=1)*DX17+(DZ17=1)*EB17+(ED17=1)*EF17+(EH17=1)*EJ17+(EL17=1)*EN17+(EP17=1)*ER17+(ET17=1)*EV17)</f>
        <v/>
      </c>
      <c r="CO17">
        <f>MAX(0,ROUND(N(CL17)+N(CM17)-N(CN17),2))</f>
        <v/>
      </c>
      <c r="CP17">
        <f>N(CS16)</f>
        <v/>
      </c>
      <c r="CQ17">
        <f>IF(N(CP17)&lt;=0.005,0,ROUND(N(CP17)*N('Debt List'!E6)/12,2))</f>
        <v/>
      </c>
      <c r="CR17">
        <f>IF(N(CP17)&lt;=0.005,0,MIN(N('Debt List'!F6),N(CP17)+N(CQ17)))+((DR17=2)*DT17+(DV17=2)*DX17+(DZ17=2)*EB17+(ED17=2)*EF17+(EH17=2)*EJ17+(EL17=2)*EN17+(EP17=2)*ER17+(ET17=2)*EV17)</f>
        <v/>
      </c>
      <c r="CS17">
        <f>MAX(0,ROUND(N(CP17)+N(CQ17)-N(CR17),2))</f>
        <v/>
      </c>
      <c r="CT17">
        <f>N(CW16)</f>
        <v/>
      </c>
      <c r="CU17">
        <f>IF(N(CT17)&lt;=0.005,0,ROUND(N(CT17)*N('Debt List'!E7)/12,2))</f>
        <v/>
      </c>
      <c r="CV17">
        <f>IF(N(CT17)&lt;=0.005,0,MIN(N('Debt List'!F7),N(CT17)+N(CU17)))+((DR17=3)*DT17+(DV17=3)*DX17+(DZ17=3)*EB17+(ED17=3)*EF17+(EH17=3)*EJ17+(EL17=3)*EN17+(EP17=3)*ER17+(ET17=3)*EV17)</f>
        <v/>
      </c>
      <c r="CW17">
        <f>MAX(0,ROUND(N(CT17)+N(CU17)-N(CV17),2))</f>
        <v/>
      </c>
      <c r="CX17">
        <f>N(DA16)</f>
        <v/>
      </c>
      <c r="CY17">
        <f>IF(N(CX17)&lt;=0.005,0,ROUND(N(CX17)*N('Debt List'!E8)/12,2))</f>
        <v/>
      </c>
      <c r="CZ17">
        <f>IF(N(CX17)&lt;=0.005,0,MIN(N('Debt List'!F8),N(CX17)+N(CY17)))+((DR17=4)*DT17+(DV17=4)*DX17+(DZ17=4)*EB17+(ED17=4)*EF17+(EH17=4)*EJ17+(EL17=4)*EN17+(EP17=4)*ER17+(ET17=4)*EV17)</f>
        <v/>
      </c>
      <c r="DA17">
        <f>MAX(0,ROUND(N(CX17)+N(CY17)-N(CZ17),2))</f>
        <v/>
      </c>
      <c r="DB17">
        <f>N(DE16)</f>
        <v/>
      </c>
      <c r="DC17">
        <f>IF(N(DB17)&lt;=0.005,0,ROUND(N(DB17)*N('Debt List'!E9)/12,2))</f>
        <v/>
      </c>
      <c r="DD17">
        <f>IF(N(DB17)&lt;=0.005,0,MIN(N('Debt List'!F9),N(DB17)+N(DC17)))+((DR17=5)*DT17+(DV17=5)*DX17+(DZ17=5)*EB17+(ED17=5)*EF17+(EH17=5)*EJ17+(EL17=5)*EN17+(EP17=5)*ER17+(ET17=5)*EV17)</f>
        <v/>
      </c>
      <c r="DE17">
        <f>MAX(0,ROUND(N(DB17)+N(DC17)-N(DD17),2))</f>
        <v/>
      </c>
      <c r="DF17">
        <f>N(DI16)</f>
        <v/>
      </c>
      <c r="DG17">
        <f>IF(N(DF17)&lt;=0.005,0,ROUND(N(DF17)*N('Debt List'!E10)/12,2))</f>
        <v/>
      </c>
      <c r="DH17">
        <f>IF(N(DF17)&lt;=0.005,0,MIN(N('Debt List'!F10),N(DF17)+N(DG17)))+((DR17=6)*DT17+(DV17=6)*DX17+(DZ17=6)*EB17+(ED17=6)*EF17+(EH17=6)*EJ17+(EL17=6)*EN17+(EP17=6)*ER17+(ET17=6)*EV17)</f>
        <v/>
      </c>
      <c r="DI17">
        <f>MAX(0,ROUND(N(DF17)+N(DG17)-N(DH17),2))</f>
        <v/>
      </c>
      <c r="DJ17">
        <f>N(DM16)</f>
        <v/>
      </c>
      <c r="DK17">
        <f>IF(N(DJ17)&lt;=0.005,0,ROUND(N(DJ17)*N('Debt List'!E11)/12,2))</f>
        <v/>
      </c>
      <c r="DL17">
        <f>IF(N(DJ17)&lt;=0.005,0,MIN(N('Debt List'!F11),N(DJ17)+N(DK17)))+((DR17=7)*DT17+(DV17=7)*DX17+(DZ17=7)*EB17+(ED17=7)*EF17+(EH17=7)*EJ17+(EL17=7)*EN17+(EP17=7)*ER17+(ET17=7)*EV17)</f>
        <v/>
      </c>
      <c r="DM17">
        <f>MAX(0,ROUND(N(DJ17)+N(DK17)-N(DL17),2))</f>
        <v/>
      </c>
      <c r="DN17">
        <f>N(DQ16)</f>
        <v/>
      </c>
      <c r="DO17">
        <f>IF(N(DN17)&lt;=0.005,0,ROUND(N(DN17)*N('Debt List'!E12)/12,2))</f>
        <v/>
      </c>
      <c r="DP17">
        <f>IF(N(DN17)&lt;=0.005,0,MIN(N('Debt List'!F12),N(DN17)+N(DO17)))+((DR17=8)*DT17+(DV17=8)*DX17+(DZ17=8)*EB17+(ED17=8)*EF17+(EH17=8)*EJ17+(EL17=8)*EN17+(EP17=8)*ER17+(ET17=8)*EV17)</f>
        <v/>
      </c>
      <c r="DQ17">
        <f>MAX(0,ROUND(N(DN17)+N(DO17)-N(DP17),2))</f>
        <v/>
      </c>
      <c r="DR17">
        <f>IFERROR(MATCH(1,OrderSnow,0),"")</f>
        <v/>
      </c>
      <c r="DS17">
        <f>IF(DR17="",0,IFERROR(IF(N(CHOOSE(DR17,CL17,CP17,CT17,CX17,DB17,DF17,DJ17,DN17))&lt;=0.005,0,MAX(0,N(CHOOSE(DR17,CL17,CP17,CT17,CX17,DB17,DF17,DJ17,DN17))+N(CHOOSE(DR17,CM17,CQ17,CU17,CY17,DC17,DG17,DK17,DO17))-MIN(N(CHOOSE(DR17,'Debt List'!$F$5,'Debt List'!$F$6,'Debt List'!$F$7,'Debt List'!$F$8,'Debt List'!$F$9,'Debt List'!$F$10,'Debt List'!$F$11,'Debt List'!$F$12)),N(CHOOSE(DR17,CL17,CP17,CT17,CX17,DB17,DF17,DJ17,DN17))+N(CHOOSE(DR17,CM17,CQ17,CU17,CY17,DC17,DG17,DK17,DO17))))),0))</f>
        <v/>
      </c>
      <c r="DT17">
        <f>MIN(N(DS17),MAX(0,N(ExtraPayment)))</f>
        <v/>
      </c>
      <c r="DU17">
        <f>MAX(0,N(ExtraPayment)-N(DT17))</f>
        <v/>
      </c>
      <c r="DV17">
        <f>IFERROR(MATCH(2,OrderSnow,0),"")</f>
        <v/>
      </c>
      <c r="DW17">
        <f>IF(DV17="",0,IFERROR(IF(N(CHOOSE(DV17,CL17,CP17,CT17,CX17,DB17,DF17,DJ17,DN17))&lt;=0.005,0,MAX(0,N(CHOOSE(DV17,CL17,CP17,CT17,CX17,DB17,DF17,DJ17,DN17))+N(CHOOSE(DV17,CM17,CQ17,CU17,CY17,DC17,DG17,DK17,DO17))-MIN(N(CHOOSE(DV17,'Debt List'!$F$5,'Debt List'!$F$6,'Debt List'!$F$7,'Debt List'!$F$8,'Debt List'!$F$9,'Debt List'!$F$10,'Debt List'!$F$11,'Debt List'!$F$12)),N(CHOOSE(DV17,CL17,CP17,CT17,CX17,DB17,DF17,DJ17,DN17))+N(CHOOSE(DV17,CM17,CQ17,CU17,CY17,DC17,DG17,DK17,DO17))))),0))</f>
        <v/>
      </c>
      <c r="DX17">
        <f>MIN(N(DW17),MAX(0,N(DU17)))</f>
        <v/>
      </c>
      <c r="DY17">
        <f>MAX(0,N(DU17)-N(DX17))</f>
        <v/>
      </c>
      <c r="DZ17">
        <f>IFERROR(MATCH(3,OrderSnow,0),"")</f>
        <v/>
      </c>
      <c r="EA17">
        <f>IF(DZ17="",0,IFERROR(IF(N(CHOOSE(DZ17,CL17,CP17,CT17,CX17,DB17,DF17,DJ17,DN17))&lt;=0.005,0,MAX(0,N(CHOOSE(DZ17,CL17,CP17,CT17,CX17,DB17,DF17,DJ17,DN17))+N(CHOOSE(DZ17,CM17,CQ17,CU17,CY17,DC17,DG17,DK17,DO17))-MIN(N(CHOOSE(DZ17,'Debt List'!$F$5,'Debt List'!$F$6,'Debt List'!$F$7,'Debt List'!$F$8,'Debt List'!$F$9,'Debt List'!$F$10,'Debt List'!$F$11,'Debt List'!$F$12)),N(CHOOSE(DZ17,CL17,CP17,CT17,CX17,DB17,DF17,DJ17,DN17))+N(CHOOSE(DZ17,CM17,CQ17,CU17,CY17,DC17,DG17,DK17,DO17))))),0))</f>
        <v/>
      </c>
      <c r="EB17">
        <f>MIN(N(EA17),MAX(0,N(DY17)))</f>
        <v/>
      </c>
      <c r="EC17">
        <f>MAX(0,N(DY17)-N(EB17))</f>
        <v/>
      </c>
      <c r="ED17">
        <f>IFERROR(MATCH(4,OrderSnow,0),"")</f>
        <v/>
      </c>
      <c r="EE17">
        <f>IF(ED17="",0,IFERROR(IF(N(CHOOSE(ED17,CL17,CP17,CT17,CX17,DB17,DF17,DJ17,DN17))&lt;=0.005,0,MAX(0,N(CHOOSE(ED17,CL17,CP17,CT17,CX17,DB17,DF17,DJ17,DN17))+N(CHOOSE(ED17,CM17,CQ17,CU17,CY17,DC17,DG17,DK17,DO17))-MIN(N(CHOOSE(ED17,'Debt List'!$F$5,'Debt List'!$F$6,'Debt List'!$F$7,'Debt List'!$F$8,'Debt List'!$F$9,'Debt List'!$F$10,'Debt List'!$F$11,'Debt List'!$F$12)),N(CHOOSE(ED17,CL17,CP17,CT17,CX17,DB17,DF17,DJ17,DN17))+N(CHOOSE(ED17,CM17,CQ17,CU17,CY17,DC17,DG17,DK17,DO17))))),0))</f>
        <v/>
      </c>
      <c r="EF17">
        <f>MIN(N(EE17),MAX(0,N(EC17)))</f>
        <v/>
      </c>
      <c r="EG17">
        <f>MAX(0,N(EC17)-N(EF17))</f>
        <v/>
      </c>
      <c r="EH17">
        <f>IFERROR(MATCH(5,OrderSnow,0),"")</f>
        <v/>
      </c>
      <c r="EI17">
        <f>IF(EH17="",0,IFERROR(IF(N(CHOOSE(EH17,CL17,CP17,CT17,CX17,DB17,DF17,DJ17,DN17))&lt;=0.005,0,MAX(0,N(CHOOSE(EH17,CL17,CP17,CT17,CX17,DB17,DF17,DJ17,DN17))+N(CHOOSE(EH17,CM17,CQ17,CU17,CY17,DC17,DG17,DK17,DO17))-MIN(N(CHOOSE(EH17,'Debt List'!$F$5,'Debt List'!$F$6,'Debt List'!$F$7,'Debt List'!$F$8,'Debt List'!$F$9,'Debt List'!$F$10,'Debt List'!$F$11,'Debt List'!$F$12)),N(CHOOSE(EH17,CL17,CP17,CT17,CX17,DB17,DF17,DJ17,DN17))+N(CHOOSE(EH17,CM17,CQ17,CU17,CY17,DC17,DG17,DK17,DO17))))),0))</f>
        <v/>
      </c>
      <c r="EJ17">
        <f>MIN(N(EI17),MAX(0,N(EG17)))</f>
        <v/>
      </c>
      <c r="EK17">
        <f>MAX(0,N(EG17)-N(EJ17))</f>
        <v/>
      </c>
      <c r="EL17">
        <f>IFERROR(MATCH(6,OrderSnow,0),"")</f>
        <v/>
      </c>
      <c r="EM17">
        <f>IF(EL17="",0,IFERROR(IF(N(CHOOSE(EL17,CL17,CP17,CT17,CX17,DB17,DF17,DJ17,DN17))&lt;=0.005,0,MAX(0,N(CHOOSE(EL17,CL17,CP17,CT17,CX17,DB17,DF17,DJ17,DN17))+N(CHOOSE(EL17,CM17,CQ17,CU17,CY17,DC17,DG17,DK17,DO17))-MIN(N(CHOOSE(EL17,'Debt List'!$F$5,'Debt List'!$F$6,'Debt List'!$F$7,'Debt List'!$F$8,'Debt List'!$F$9,'Debt List'!$F$10,'Debt List'!$F$11,'Debt List'!$F$12)),N(CHOOSE(EL17,CL17,CP17,CT17,CX17,DB17,DF17,DJ17,DN17))+N(CHOOSE(EL17,CM17,CQ17,CU17,CY17,DC17,DG17,DK17,DO17))))),0))</f>
        <v/>
      </c>
      <c r="EN17">
        <f>MIN(N(EM17),MAX(0,N(EK17)))</f>
        <v/>
      </c>
      <c r="EO17">
        <f>MAX(0,N(EK17)-N(EN17))</f>
        <v/>
      </c>
      <c r="EP17">
        <f>IFERROR(MATCH(7,OrderSnow,0),"")</f>
        <v/>
      </c>
      <c r="EQ17">
        <f>IF(EP17="",0,IFERROR(IF(N(CHOOSE(EP17,CL17,CP17,CT17,CX17,DB17,DF17,DJ17,DN17))&lt;=0.005,0,MAX(0,N(CHOOSE(EP17,CL17,CP17,CT17,CX17,DB17,DF17,DJ17,DN17))+N(CHOOSE(EP17,CM17,CQ17,CU17,CY17,DC17,DG17,DK17,DO17))-MIN(N(CHOOSE(EP17,'Debt List'!$F$5,'Debt List'!$F$6,'Debt List'!$F$7,'Debt List'!$F$8,'Debt List'!$F$9,'Debt List'!$F$10,'Debt List'!$F$11,'Debt List'!$F$12)),N(CHOOSE(EP17,CL17,CP17,CT17,CX17,DB17,DF17,DJ17,DN17))+N(CHOOSE(EP17,CM17,CQ17,CU17,CY17,DC17,DG17,DK17,DO17))))),0))</f>
        <v/>
      </c>
      <c r="ER17">
        <f>MIN(N(EQ17),MAX(0,N(EO17)))</f>
        <v/>
      </c>
      <c r="ES17">
        <f>MAX(0,N(EO17)-N(ER17))</f>
        <v/>
      </c>
      <c r="ET17">
        <f>IFERROR(MATCH(8,OrderSnow,0),"")</f>
        <v/>
      </c>
      <c r="EU17">
        <f>IF(ET17="",0,IFERROR(IF(N(CHOOSE(ET17,CL17,CP17,CT17,CX17,DB17,DF17,DJ17,DN17))&lt;=0.005,0,MAX(0,N(CHOOSE(ET17,CL17,CP17,CT17,CX17,DB17,DF17,DJ17,DN17))+N(CHOOSE(ET17,CM17,CQ17,CU17,CY17,DC17,DG17,DK17,DO17))-MIN(N(CHOOSE(ET17,'Debt List'!$F$5,'Debt List'!$F$6,'Debt List'!$F$7,'Debt List'!$F$8,'Debt List'!$F$9,'Debt List'!$F$10,'Debt List'!$F$11,'Debt List'!$F$12)),N(CHOOSE(ET17,CL17,CP17,CT17,CX17,DB17,DF17,DJ17,DN17))+N(CHOOSE(ET17,CM17,CQ17,CU17,CY17,DC17,DG17,DK17,DO17))))),0))</f>
        <v/>
      </c>
      <c r="EV17">
        <f>MIN(N(EU17),MAX(0,N(ES17)))</f>
        <v/>
      </c>
      <c r="EW17">
        <f>MAX(0,N(ES17)-N(EV17))</f>
        <v/>
      </c>
      <c r="FE17" t="n">
        <v>13</v>
      </c>
      <c r="FF17" s="115">
        <f>DATE(YEAR(PlanStart),MONTH(PlanStart)+FE17-1,1)</f>
        <v/>
      </c>
      <c r="FG17">
        <f>IF(AND(GT17&lt;&gt;"",N(CHOOSE(GT17,FN17,FR17,FV17,FZ17,GD17,GH17,GL17,GP17))&gt;0.005),INDEX(DebtNames,GT17),IF(AND(GX17&lt;&gt;"",N(CHOOSE(GX17,FN17,FR17,FV17,FZ17,GD17,GH17,GL17,GP17))&gt;0.005),INDEX(DebtNames,GX17),IF(AND(HB17&lt;&gt;"",N(CHOOSE(HB17,FN17,FR17,FV17,FZ17,GD17,GH17,GL17,GP17))&gt;0.005),INDEX(DebtNames,HB17),IF(AND(HF17&lt;&gt;"",N(CHOOSE(HF17,FN17,FR17,FV17,FZ17,GD17,GH17,GL17,GP17))&gt;0.005),INDEX(DebtNames,HF17),IF(AND(HJ17&lt;&gt;"",N(CHOOSE(HJ17,FN17,FR17,FV17,FZ17,GD17,GH17,GL17,GP17))&gt;0.005),INDEX(DebtNames,HJ17),IF(AND(HN17&lt;&gt;"",N(CHOOSE(HN17,FN17,FR17,FV17,FZ17,GD17,GH17,GL17,GP17))&gt;0.005),INDEX(DebtNames,HN17),IF(AND(HR17&lt;&gt;"",N(CHOOSE(HR17,FN17,FR17,FV17,FZ17,GD17,GH17,GL17,GP17))&gt;0.005),INDEX(DebtNames,HR17),IF(AND(HV17&lt;&gt;"",N(CHOOSE(HV17,FN17,FR17,FV17,FZ17,GD17,GH17,GL17,GP17))&gt;0.005),INDEX(DebtNames,HV17),""))))))))</f>
        <v/>
      </c>
      <c r="FH17">
        <f>N(HY17)</f>
        <v/>
      </c>
      <c r="FI17">
        <f>N(FP17)+N(FT17)+N(FX17)+N(GB17)+N(GF17)+N(GJ17)+N(GN17)+N(GR17)</f>
        <v/>
      </c>
      <c r="FJ17">
        <f>N(FO17)+N(FS17)+N(FW17)+N(GA17)+N(GE17)+N(GI17)+N(GM17)+N(GQ17)</f>
        <v/>
      </c>
      <c r="FK17">
        <f>N(FK16)+N(FJ17)</f>
        <v/>
      </c>
      <c r="FL17">
        <f>N(FQ17)+N(FU17)+N(FY17)+N(GC17)+N(GG17)+N(GK17)+N(GO17)+N(GS17)</f>
        <v/>
      </c>
      <c r="FM17">
        <f>(FQ17&gt;0.005)*1+(FU17&gt;0.005)*1+(FY17&gt;0.005)*1+(GC17&gt;0.005)*1+(GG17&gt;0.005)*1+(GK17&gt;0.005)*1+(GO17&gt;0.005)*1+(GS17&gt;0.005)*1</f>
        <v/>
      </c>
      <c r="FN17">
        <f>N(FQ16)</f>
        <v/>
      </c>
      <c r="FO17">
        <f>IF(N(FN17)&lt;=0.005,0,ROUND(N(FN17)*N('Debt List'!E5)/12,2))</f>
        <v/>
      </c>
      <c r="FP17">
        <f>IF(N(FN17)&lt;=0.005,0,MIN(N('Debt List'!F5),N(FN17)+N(FO17)))+((GT17=1)*GV17+(GX17=1)*GZ17+(HB17=1)*HD17+(HF17=1)*HH17+(HJ17=1)*HL17+(HN17=1)*HP17+(HR17=1)*HT17+(HV17=1)*HX17)</f>
        <v/>
      </c>
      <c r="FQ17">
        <f>MAX(0,ROUND(N(FN17)+N(FO17)-N(FP17),2))</f>
        <v/>
      </c>
      <c r="FR17">
        <f>N(FU16)</f>
        <v/>
      </c>
      <c r="FS17">
        <f>IF(N(FR17)&lt;=0.005,0,ROUND(N(FR17)*N('Debt List'!E6)/12,2))</f>
        <v/>
      </c>
      <c r="FT17">
        <f>IF(N(FR17)&lt;=0.005,0,MIN(N('Debt List'!F6),N(FR17)+N(FS17)))+((GT17=2)*GV17+(GX17=2)*GZ17+(HB17=2)*HD17+(HF17=2)*HH17+(HJ17=2)*HL17+(HN17=2)*HP17+(HR17=2)*HT17+(HV17=2)*HX17)</f>
        <v/>
      </c>
      <c r="FU17">
        <f>MAX(0,ROUND(N(FR17)+N(FS17)-N(FT17),2))</f>
        <v/>
      </c>
      <c r="FV17">
        <f>N(FY16)</f>
        <v/>
      </c>
      <c r="FW17">
        <f>IF(N(FV17)&lt;=0.005,0,ROUND(N(FV17)*N('Debt List'!E7)/12,2))</f>
        <v/>
      </c>
      <c r="FX17">
        <f>IF(N(FV17)&lt;=0.005,0,MIN(N('Debt List'!F7),N(FV17)+N(FW17)))+((GT17=3)*GV17+(GX17=3)*GZ17+(HB17=3)*HD17+(HF17=3)*HH17+(HJ17=3)*HL17+(HN17=3)*HP17+(HR17=3)*HT17+(HV17=3)*HX17)</f>
        <v/>
      </c>
      <c r="FY17">
        <f>MAX(0,ROUND(N(FV17)+N(FW17)-N(FX17),2))</f>
        <v/>
      </c>
      <c r="FZ17">
        <f>N(GC16)</f>
        <v/>
      </c>
      <c r="GA17">
        <f>IF(N(FZ17)&lt;=0.005,0,ROUND(N(FZ17)*N('Debt List'!E8)/12,2))</f>
        <v/>
      </c>
      <c r="GB17">
        <f>IF(N(FZ17)&lt;=0.005,0,MIN(N('Debt List'!F8),N(FZ17)+N(GA17)))+((GT17=4)*GV17+(GX17=4)*GZ17+(HB17=4)*HD17+(HF17=4)*HH17+(HJ17=4)*HL17+(HN17=4)*HP17+(HR17=4)*HT17+(HV17=4)*HX17)</f>
        <v/>
      </c>
      <c r="GC17">
        <f>MAX(0,ROUND(N(FZ17)+N(GA17)-N(GB17),2))</f>
        <v/>
      </c>
      <c r="GD17">
        <f>N(GG16)</f>
        <v/>
      </c>
      <c r="GE17">
        <f>IF(N(GD17)&lt;=0.005,0,ROUND(N(GD17)*N('Debt List'!E9)/12,2))</f>
        <v/>
      </c>
      <c r="GF17">
        <f>IF(N(GD17)&lt;=0.005,0,MIN(N('Debt List'!F9),N(GD17)+N(GE17)))+((GT17=5)*GV17+(GX17=5)*GZ17+(HB17=5)*HD17+(HF17=5)*HH17+(HJ17=5)*HL17+(HN17=5)*HP17+(HR17=5)*HT17+(HV17=5)*HX17)</f>
        <v/>
      </c>
      <c r="GG17">
        <f>MAX(0,ROUND(N(GD17)+N(GE17)-N(GF17),2))</f>
        <v/>
      </c>
      <c r="GH17">
        <f>N(GK16)</f>
        <v/>
      </c>
      <c r="GI17">
        <f>IF(N(GH17)&lt;=0.005,0,ROUND(N(GH17)*N('Debt List'!E10)/12,2))</f>
        <v/>
      </c>
      <c r="GJ17">
        <f>IF(N(GH17)&lt;=0.005,0,MIN(N('Debt List'!F10),N(GH17)+N(GI17)))+((GT17=6)*GV17+(GX17=6)*GZ17+(HB17=6)*HD17+(HF17=6)*HH17+(HJ17=6)*HL17+(HN17=6)*HP17+(HR17=6)*HT17+(HV17=6)*HX17)</f>
        <v/>
      </c>
      <c r="GK17">
        <f>MAX(0,ROUND(N(GH17)+N(GI17)-N(GJ17),2))</f>
        <v/>
      </c>
      <c r="GL17">
        <f>N(GO16)</f>
        <v/>
      </c>
      <c r="GM17">
        <f>IF(N(GL17)&lt;=0.005,0,ROUND(N(GL17)*N('Debt List'!E11)/12,2))</f>
        <v/>
      </c>
      <c r="GN17">
        <f>IF(N(GL17)&lt;=0.005,0,MIN(N('Debt List'!F11),N(GL17)+N(GM17)))+((GT17=7)*GV17+(GX17=7)*GZ17+(HB17=7)*HD17+(HF17=7)*HH17+(HJ17=7)*HL17+(HN17=7)*HP17+(HR17=7)*HT17+(HV17=7)*HX17)</f>
        <v/>
      </c>
      <c r="GO17">
        <f>MAX(0,ROUND(N(GL17)+N(GM17)-N(GN17),2))</f>
        <v/>
      </c>
      <c r="GP17">
        <f>N(GS16)</f>
        <v/>
      </c>
      <c r="GQ17">
        <f>IF(N(GP17)&lt;=0.005,0,ROUND(N(GP17)*N('Debt List'!E12)/12,2))</f>
        <v/>
      </c>
      <c r="GR17">
        <f>IF(N(GP17)&lt;=0.005,0,MIN(N('Debt List'!F12),N(GP17)+N(GQ17)))+((GT17=8)*GV17+(GX17=8)*GZ17+(HB17=8)*HD17+(HF17=8)*HH17+(HJ17=8)*HL17+(HN17=8)*HP17+(HR17=8)*HT17+(HV17=8)*HX17)</f>
        <v/>
      </c>
      <c r="GS17">
        <f>MAX(0,ROUND(N(GP17)+N(GQ17)-N(GR17),2))</f>
        <v/>
      </c>
      <c r="GT17">
        <f>IFERROR(MATCH(1,OrderAval,0),"")</f>
        <v/>
      </c>
      <c r="GU17">
        <f>IF(GT17="",0,IFERROR(IF(N(CHOOSE(GT17,FN17,FR17,FV17,FZ17,GD17,GH17,GL17,GP17))&lt;=0.005,0,MAX(0,N(CHOOSE(GT17,FN17,FR17,FV17,FZ17,GD17,GH17,GL17,GP17))+N(CHOOSE(GT17,FO17,FS17,FW17,GA17,GE17,GI17,GM17,GQ17))-MIN(N(CHOOSE(GT17,'Debt List'!$F$5,'Debt List'!$F$6,'Debt List'!$F$7,'Debt List'!$F$8,'Debt List'!$F$9,'Debt List'!$F$10,'Debt List'!$F$11,'Debt List'!$F$12)),N(CHOOSE(GT17,FN17,FR17,FV17,FZ17,GD17,GH17,GL17,GP17))+N(CHOOSE(GT17,FO17,FS17,FW17,GA17,GE17,GI17,GM17,GQ17))))),0))</f>
        <v/>
      </c>
      <c r="GV17">
        <f>MIN(N(GU17),MAX(0,N(ExtraPayment)))</f>
        <v/>
      </c>
      <c r="GW17">
        <f>MAX(0,N(ExtraPayment)-N(GV17))</f>
        <v/>
      </c>
      <c r="GX17">
        <f>IFERROR(MATCH(2,OrderAval,0),"")</f>
        <v/>
      </c>
      <c r="GY17">
        <f>IF(GX17="",0,IFERROR(IF(N(CHOOSE(GX17,FN17,FR17,FV17,FZ17,GD17,GH17,GL17,GP17))&lt;=0.005,0,MAX(0,N(CHOOSE(GX17,FN17,FR17,FV17,FZ17,GD17,GH17,GL17,GP17))+N(CHOOSE(GX17,FO17,FS17,FW17,GA17,GE17,GI17,GM17,GQ17))-MIN(N(CHOOSE(GX17,'Debt List'!$F$5,'Debt List'!$F$6,'Debt List'!$F$7,'Debt List'!$F$8,'Debt List'!$F$9,'Debt List'!$F$10,'Debt List'!$F$11,'Debt List'!$F$12)),N(CHOOSE(GX17,FN17,FR17,FV17,FZ17,GD17,GH17,GL17,GP17))+N(CHOOSE(GX17,FO17,FS17,FW17,GA17,GE17,GI17,GM17,GQ17))))),0))</f>
        <v/>
      </c>
      <c r="GZ17">
        <f>MIN(N(GY17),MAX(0,N(GW17)))</f>
        <v/>
      </c>
      <c r="HA17">
        <f>MAX(0,N(GW17)-N(GZ17))</f>
        <v/>
      </c>
      <c r="HB17">
        <f>IFERROR(MATCH(3,OrderAval,0),"")</f>
        <v/>
      </c>
      <c r="HC17">
        <f>IF(HB17="",0,IFERROR(IF(N(CHOOSE(HB17,FN17,FR17,FV17,FZ17,GD17,GH17,GL17,GP17))&lt;=0.005,0,MAX(0,N(CHOOSE(HB17,FN17,FR17,FV17,FZ17,GD17,GH17,GL17,GP17))+N(CHOOSE(HB17,FO17,FS17,FW17,GA17,GE17,GI17,GM17,GQ17))-MIN(N(CHOOSE(HB17,'Debt List'!$F$5,'Debt List'!$F$6,'Debt List'!$F$7,'Debt List'!$F$8,'Debt List'!$F$9,'Debt List'!$F$10,'Debt List'!$F$11,'Debt List'!$F$12)),N(CHOOSE(HB17,FN17,FR17,FV17,FZ17,GD17,GH17,GL17,GP17))+N(CHOOSE(HB17,FO17,FS17,FW17,GA17,GE17,GI17,GM17,GQ17))))),0))</f>
        <v/>
      </c>
      <c r="HD17">
        <f>MIN(N(HC17),MAX(0,N(HA17)))</f>
        <v/>
      </c>
      <c r="HE17">
        <f>MAX(0,N(HA17)-N(HD17))</f>
        <v/>
      </c>
      <c r="HF17">
        <f>IFERROR(MATCH(4,OrderAval,0),"")</f>
        <v/>
      </c>
      <c r="HG17">
        <f>IF(HF17="",0,IFERROR(IF(N(CHOOSE(HF17,FN17,FR17,FV17,FZ17,GD17,GH17,GL17,GP17))&lt;=0.005,0,MAX(0,N(CHOOSE(HF17,FN17,FR17,FV17,FZ17,GD17,GH17,GL17,GP17))+N(CHOOSE(HF17,FO17,FS17,FW17,GA17,GE17,GI17,GM17,GQ17))-MIN(N(CHOOSE(HF17,'Debt List'!$F$5,'Debt List'!$F$6,'Debt List'!$F$7,'Debt List'!$F$8,'Debt List'!$F$9,'Debt List'!$F$10,'Debt List'!$F$11,'Debt List'!$F$12)),N(CHOOSE(HF17,FN17,FR17,FV17,FZ17,GD17,GH17,GL17,GP17))+N(CHOOSE(HF17,FO17,FS17,FW17,GA17,GE17,GI17,GM17,GQ17))))),0))</f>
        <v/>
      </c>
      <c r="HH17">
        <f>MIN(N(HG17),MAX(0,N(HE17)))</f>
        <v/>
      </c>
      <c r="HI17">
        <f>MAX(0,N(HE17)-N(HH17))</f>
        <v/>
      </c>
      <c r="HJ17">
        <f>IFERROR(MATCH(5,OrderAval,0),"")</f>
        <v/>
      </c>
      <c r="HK17">
        <f>IF(HJ17="",0,IFERROR(IF(N(CHOOSE(HJ17,FN17,FR17,FV17,FZ17,GD17,GH17,GL17,GP17))&lt;=0.005,0,MAX(0,N(CHOOSE(HJ17,FN17,FR17,FV17,FZ17,GD17,GH17,GL17,GP17))+N(CHOOSE(HJ17,FO17,FS17,FW17,GA17,GE17,GI17,GM17,GQ17))-MIN(N(CHOOSE(HJ17,'Debt List'!$F$5,'Debt List'!$F$6,'Debt List'!$F$7,'Debt List'!$F$8,'Debt List'!$F$9,'Debt List'!$F$10,'Debt List'!$F$11,'Debt List'!$F$12)),N(CHOOSE(HJ17,FN17,FR17,FV17,FZ17,GD17,GH17,GL17,GP17))+N(CHOOSE(HJ17,FO17,FS17,FW17,GA17,GE17,GI17,GM17,GQ17))))),0))</f>
        <v/>
      </c>
      <c r="HL17">
        <f>MIN(N(HK17),MAX(0,N(HI17)))</f>
        <v/>
      </c>
      <c r="HM17">
        <f>MAX(0,N(HI17)-N(HL17))</f>
        <v/>
      </c>
      <c r="HN17">
        <f>IFERROR(MATCH(6,OrderAval,0),"")</f>
        <v/>
      </c>
      <c r="HO17">
        <f>IF(HN17="",0,IFERROR(IF(N(CHOOSE(HN17,FN17,FR17,FV17,FZ17,GD17,GH17,GL17,GP17))&lt;=0.005,0,MAX(0,N(CHOOSE(HN17,FN17,FR17,FV17,FZ17,GD17,GH17,GL17,GP17))+N(CHOOSE(HN17,FO17,FS17,FW17,GA17,GE17,GI17,GM17,GQ17))-MIN(N(CHOOSE(HN17,'Debt List'!$F$5,'Debt List'!$F$6,'Debt List'!$F$7,'Debt List'!$F$8,'Debt List'!$F$9,'Debt List'!$F$10,'Debt List'!$F$11,'Debt List'!$F$12)),N(CHOOSE(HN17,FN17,FR17,FV17,FZ17,GD17,GH17,GL17,GP17))+N(CHOOSE(HN17,FO17,FS17,FW17,GA17,GE17,GI17,GM17,GQ17))))),0))</f>
        <v/>
      </c>
      <c r="HP17">
        <f>MIN(N(HO17),MAX(0,N(HM17)))</f>
        <v/>
      </c>
      <c r="HQ17">
        <f>MAX(0,N(HM17)-N(HP17))</f>
        <v/>
      </c>
      <c r="HR17">
        <f>IFERROR(MATCH(7,OrderAval,0),"")</f>
        <v/>
      </c>
      <c r="HS17">
        <f>IF(HR17="",0,IFERROR(IF(N(CHOOSE(HR17,FN17,FR17,FV17,FZ17,GD17,GH17,GL17,GP17))&lt;=0.005,0,MAX(0,N(CHOOSE(HR17,FN17,FR17,FV17,FZ17,GD17,GH17,GL17,GP17))+N(CHOOSE(HR17,FO17,FS17,FW17,GA17,GE17,GI17,GM17,GQ17))-MIN(N(CHOOSE(HR17,'Debt List'!$F$5,'Debt List'!$F$6,'Debt List'!$F$7,'Debt List'!$F$8,'Debt List'!$F$9,'Debt List'!$F$10,'Debt List'!$F$11,'Debt List'!$F$12)),N(CHOOSE(HR17,FN17,FR17,FV17,FZ17,GD17,GH17,GL17,GP17))+N(CHOOSE(HR17,FO17,FS17,FW17,GA17,GE17,GI17,GM17,GQ17))))),0))</f>
        <v/>
      </c>
      <c r="HT17">
        <f>MIN(N(HS17),MAX(0,N(HQ17)))</f>
        <v/>
      </c>
      <c r="HU17">
        <f>MAX(0,N(HQ17)-N(HT17))</f>
        <v/>
      </c>
      <c r="HV17">
        <f>IFERROR(MATCH(8,OrderAval,0),"")</f>
        <v/>
      </c>
      <c r="HW17">
        <f>IF(HV17="",0,IFERROR(IF(N(CHOOSE(HV17,FN17,FR17,FV17,FZ17,GD17,GH17,GL17,GP17))&lt;=0.005,0,MAX(0,N(CHOOSE(HV17,FN17,FR17,FV17,FZ17,GD17,GH17,GL17,GP17))+N(CHOOSE(HV17,FO17,FS17,FW17,GA17,GE17,GI17,GM17,GQ17))-MIN(N(CHOOSE(HV17,'Debt List'!$F$5,'Debt List'!$F$6,'Debt List'!$F$7,'Debt List'!$F$8,'Debt List'!$F$9,'Debt List'!$F$10,'Debt List'!$F$11,'Debt List'!$F$12)),N(CHOOSE(HV17,FN17,FR17,FV17,FZ17,GD17,GH17,GL17,GP17))+N(CHOOSE(HV17,FO17,FS17,FW17,GA17,GE17,GI17,GM17,GQ17))))),0))</f>
        <v/>
      </c>
      <c r="HX17">
        <f>MIN(N(HW17),MAX(0,N(HU17)))</f>
        <v/>
      </c>
      <c r="HY17">
        <f>MAX(0,N(HU17)-N(HX17))</f>
        <v/>
      </c>
    </row>
    <row r="18">
      <c r="A18" t="n">
        <v>14</v>
      </c>
      <c r="B18" s="115">
        <f>DATE(YEAR(PlanStart),MONTH(PlanStart)+A18-1,1)</f>
        <v/>
      </c>
      <c r="C18">
        <f>IF(AND(AP18&lt;&gt;"",N(CHOOSE(AP18,J18,N18,R18,V18,Z18,AD18,AH18,AL18))&gt;0.005),INDEX(DebtNames,AP18),IF(AND(AT18&lt;&gt;"",N(CHOOSE(AT18,J18,N18,R18,V18,Z18,AD18,AH18,AL18))&gt;0.005),INDEX(DebtNames,AT18),IF(AND(AX18&lt;&gt;"",N(CHOOSE(AX18,J18,N18,R18,V18,Z18,AD18,AH18,AL18))&gt;0.005),INDEX(DebtNames,AX18),IF(AND(BB18&lt;&gt;"",N(CHOOSE(BB18,J18,N18,R18,V18,Z18,AD18,AH18,AL18))&gt;0.005),INDEX(DebtNames,BB18),IF(AND(BF18&lt;&gt;"",N(CHOOSE(BF18,J18,N18,R18,V18,Z18,AD18,AH18,AL18))&gt;0.005),INDEX(DebtNames,BF18),IF(AND(BJ18&lt;&gt;"",N(CHOOSE(BJ18,J18,N18,R18,V18,Z18,AD18,AH18,AL18))&gt;0.005),INDEX(DebtNames,BJ18),IF(AND(BN18&lt;&gt;"",N(CHOOSE(BN18,J18,N18,R18,V18,Z18,AD18,AH18,AL18))&gt;0.005),INDEX(DebtNames,BN18),IF(AND(BR18&lt;&gt;"",N(CHOOSE(BR18,J18,N18,R18,V18,Z18,AD18,AH18,AL18))&gt;0.005),INDEX(DebtNames,BR18),""))))))))</f>
        <v/>
      </c>
      <c r="D18">
        <f>N(BU18)</f>
        <v/>
      </c>
      <c r="E18">
        <f>N(L18)+N(P18)+N(T18)+N(X18)+N(AB18)+N(AF18)+N(AJ18)+N(AN18)</f>
        <v/>
      </c>
      <c r="F18">
        <f>N(K18)+N(O18)+N(S18)+N(W18)+N(AA18)+N(AE18)+N(AI18)+N(AM18)</f>
        <v/>
      </c>
      <c r="G18">
        <f>N(G17)+N(F18)</f>
        <v/>
      </c>
      <c r="H18">
        <f>N(M18)+N(Q18)+N(U18)+N(Y18)+N(AC18)+N(AG18)+N(AK18)+N(AO18)</f>
        <v/>
      </c>
      <c r="I18">
        <f>(M18&gt;0.005)*1+(Q18&gt;0.005)*1+(U18&gt;0.005)*1+(Y18&gt;0.005)*1+(AC18&gt;0.005)*1+(AG18&gt;0.005)*1+(AK18&gt;0.005)*1+(AO18&gt;0.005)*1</f>
        <v/>
      </c>
      <c r="J18">
        <f>N(M17)</f>
        <v/>
      </c>
      <c r="K18">
        <f>IF(N(J18)&lt;=0.005,0,ROUND(N(J18)*N('Debt List'!E5)/12,2))</f>
        <v/>
      </c>
      <c r="L18">
        <f>IF(N(J18)&lt;=0.005,0,MIN(N('Debt List'!F5),N(J18)+N(K18)))+((AP18=1)*AR18+(AT18=1)*AV18+(AX18=1)*AZ18+(BB18=1)*BD18+(BF18=1)*BH18+(BJ18=1)*BL18+(BN18=1)*BP18+(BR18=1)*BT18)</f>
        <v/>
      </c>
      <c r="M18">
        <f>MAX(0,ROUND(N(J18)+N(K18)-N(L18),2))</f>
        <v/>
      </c>
      <c r="N18">
        <f>N(Q17)</f>
        <v/>
      </c>
      <c r="O18">
        <f>IF(N(N18)&lt;=0.005,0,ROUND(N(N18)*N('Debt List'!E6)/12,2))</f>
        <v/>
      </c>
      <c r="P18">
        <f>IF(N(N18)&lt;=0.005,0,MIN(N('Debt List'!F6),N(N18)+N(O18)))+((AP18=2)*AR18+(AT18=2)*AV18+(AX18=2)*AZ18+(BB18=2)*BD18+(BF18=2)*BH18+(BJ18=2)*BL18+(BN18=2)*BP18+(BR18=2)*BT18)</f>
        <v/>
      </c>
      <c r="Q18">
        <f>MAX(0,ROUND(N(N18)+N(O18)-N(P18),2))</f>
        <v/>
      </c>
      <c r="R18">
        <f>N(U17)</f>
        <v/>
      </c>
      <c r="S18">
        <f>IF(N(R18)&lt;=0.005,0,ROUND(N(R18)*N('Debt List'!E7)/12,2))</f>
        <v/>
      </c>
      <c r="T18">
        <f>IF(N(R18)&lt;=0.005,0,MIN(N('Debt List'!F7),N(R18)+N(S18)))+((AP18=3)*AR18+(AT18=3)*AV18+(AX18=3)*AZ18+(BB18=3)*BD18+(BF18=3)*BH18+(BJ18=3)*BL18+(BN18=3)*BP18+(BR18=3)*BT18)</f>
        <v/>
      </c>
      <c r="U18">
        <f>MAX(0,ROUND(N(R18)+N(S18)-N(T18),2))</f>
        <v/>
      </c>
      <c r="V18">
        <f>N(Y17)</f>
        <v/>
      </c>
      <c r="W18">
        <f>IF(N(V18)&lt;=0.005,0,ROUND(N(V18)*N('Debt List'!E8)/12,2))</f>
        <v/>
      </c>
      <c r="X18">
        <f>IF(N(V18)&lt;=0.005,0,MIN(N('Debt List'!F8),N(V18)+N(W18)))+((AP18=4)*AR18+(AT18=4)*AV18+(AX18=4)*AZ18+(BB18=4)*BD18+(BF18=4)*BH18+(BJ18=4)*BL18+(BN18=4)*BP18+(BR18=4)*BT18)</f>
        <v/>
      </c>
      <c r="Y18">
        <f>MAX(0,ROUND(N(V18)+N(W18)-N(X18),2))</f>
        <v/>
      </c>
      <c r="Z18">
        <f>N(AC17)</f>
        <v/>
      </c>
      <c r="AA18">
        <f>IF(N(Z18)&lt;=0.005,0,ROUND(N(Z18)*N('Debt List'!E9)/12,2))</f>
        <v/>
      </c>
      <c r="AB18">
        <f>IF(N(Z18)&lt;=0.005,0,MIN(N('Debt List'!F9),N(Z18)+N(AA18)))+((AP18=5)*AR18+(AT18=5)*AV18+(AX18=5)*AZ18+(BB18=5)*BD18+(BF18=5)*BH18+(BJ18=5)*BL18+(BN18=5)*BP18+(BR18=5)*BT18)</f>
        <v/>
      </c>
      <c r="AC18">
        <f>MAX(0,ROUND(N(Z18)+N(AA18)-N(AB18),2))</f>
        <v/>
      </c>
      <c r="AD18">
        <f>N(AG17)</f>
        <v/>
      </c>
      <c r="AE18">
        <f>IF(N(AD18)&lt;=0.005,0,ROUND(N(AD18)*N('Debt List'!E10)/12,2))</f>
        <v/>
      </c>
      <c r="AF18">
        <f>IF(N(AD18)&lt;=0.005,0,MIN(N('Debt List'!F10),N(AD18)+N(AE18)))+((AP18=6)*AR18+(AT18=6)*AV18+(AX18=6)*AZ18+(BB18=6)*BD18+(BF18=6)*BH18+(BJ18=6)*BL18+(BN18=6)*BP18+(BR18=6)*BT18)</f>
        <v/>
      </c>
      <c r="AG18">
        <f>MAX(0,ROUND(N(AD18)+N(AE18)-N(AF18),2))</f>
        <v/>
      </c>
      <c r="AH18">
        <f>N(AK17)</f>
        <v/>
      </c>
      <c r="AI18">
        <f>IF(N(AH18)&lt;=0.005,0,ROUND(N(AH18)*N('Debt List'!E11)/12,2))</f>
        <v/>
      </c>
      <c r="AJ18">
        <f>IF(N(AH18)&lt;=0.005,0,MIN(N('Debt List'!F11),N(AH18)+N(AI18)))+((AP18=7)*AR18+(AT18=7)*AV18+(AX18=7)*AZ18+(BB18=7)*BD18+(BF18=7)*BH18+(BJ18=7)*BL18+(BN18=7)*BP18+(BR18=7)*BT18)</f>
        <v/>
      </c>
      <c r="AK18">
        <f>MAX(0,ROUND(N(AH18)+N(AI18)-N(AJ18),2))</f>
        <v/>
      </c>
      <c r="AL18">
        <f>N(AO17)</f>
        <v/>
      </c>
      <c r="AM18">
        <f>IF(N(AL18)&lt;=0.005,0,ROUND(N(AL18)*N('Debt List'!E12)/12,2))</f>
        <v/>
      </c>
      <c r="AN18">
        <f>IF(N(AL18)&lt;=0.005,0,MIN(N('Debt List'!F12),N(AL18)+N(AM18)))+((AP18=8)*AR18+(AT18=8)*AV18+(AX18=8)*AZ18+(BB18=8)*BD18+(BF18=8)*BH18+(BJ18=8)*BL18+(BN18=8)*BP18+(BR18=8)*BT18)</f>
        <v/>
      </c>
      <c r="AO18">
        <f>MAX(0,ROUND(N(AL18)+N(AM18)-N(AN18),2))</f>
        <v/>
      </c>
      <c r="AP18">
        <f>IFERROR(MATCH(1,OrderPlan,0),"")</f>
        <v/>
      </c>
      <c r="AQ18">
        <f>IF(AP18="",0,IFERROR(IF(N(CHOOSE(AP18,J18,N18,R18,V18,Z18,AD18,AH18,AL18))&lt;=0.005,0,MAX(0,N(CHOOSE(AP18,J18,N18,R18,V18,Z18,AD18,AH18,AL18))+N(CHOOSE(AP18,K18,O18,S18,W18,AA18,AE18,AI18,AM18))-MIN(N(CHOOSE(AP18,'Debt List'!$F$5,'Debt List'!$F$6,'Debt List'!$F$7,'Debt List'!$F$8,'Debt List'!$F$9,'Debt List'!$F$10,'Debt List'!$F$11,'Debt List'!$F$12)),N(CHOOSE(AP18,J18,N18,R18,V18,Z18,AD18,AH18,AL18))+N(CHOOSE(AP18,K18,O18,S18,W18,AA18,AE18,AI18,AM18))))),0))</f>
        <v/>
      </c>
      <c r="AR18">
        <f>MIN(N(AQ18),MAX(0,N(ExtraPayment)))</f>
        <v/>
      </c>
      <c r="AS18">
        <f>MAX(0,N(ExtraPayment)-N(AR18))</f>
        <v/>
      </c>
      <c r="AT18">
        <f>IFERROR(MATCH(2,OrderPlan,0),"")</f>
        <v/>
      </c>
      <c r="AU18">
        <f>IF(AT18="",0,IFERROR(IF(N(CHOOSE(AT18,J18,N18,R18,V18,Z18,AD18,AH18,AL18))&lt;=0.005,0,MAX(0,N(CHOOSE(AT18,J18,N18,R18,V18,Z18,AD18,AH18,AL18))+N(CHOOSE(AT18,K18,O18,S18,W18,AA18,AE18,AI18,AM18))-MIN(N(CHOOSE(AT18,'Debt List'!$F$5,'Debt List'!$F$6,'Debt List'!$F$7,'Debt List'!$F$8,'Debt List'!$F$9,'Debt List'!$F$10,'Debt List'!$F$11,'Debt List'!$F$12)),N(CHOOSE(AT18,J18,N18,R18,V18,Z18,AD18,AH18,AL18))+N(CHOOSE(AT18,K18,O18,S18,W18,AA18,AE18,AI18,AM18))))),0))</f>
        <v/>
      </c>
      <c r="AV18">
        <f>MIN(N(AU18),MAX(0,N(AS18)))</f>
        <v/>
      </c>
      <c r="AW18">
        <f>MAX(0,N(AS18)-N(AV18))</f>
        <v/>
      </c>
      <c r="AX18">
        <f>IFERROR(MATCH(3,OrderPlan,0),"")</f>
        <v/>
      </c>
      <c r="AY18">
        <f>IF(AX18="",0,IFERROR(IF(N(CHOOSE(AX18,J18,N18,R18,V18,Z18,AD18,AH18,AL18))&lt;=0.005,0,MAX(0,N(CHOOSE(AX18,J18,N18,R18,V18,Z18,AD18,AH18,AL18))+N(CHOOSE(AX18,K18,O18,S18,W18,AA18,AE18,AI18,AM18))-MIN(N(CHOOSE(AX18,'Debt List'!$F$5,'Debt List'!$F$6,'Debt List'!$F$7,'Debt List'!$F$8,'Debt List'!$F$9,'Debt List'!$F$10,'Debt List'!$F$11,'Debt List'!$F$12)),N(CHOOSE(AX18,J18,N18,R18,V18,Z18,AD18,AH18,AL18))+N(CHOOSE(AX18,K18,O18,S18,W18,AA18,AE18,AI18,AM18))))),0))</f>
        <v/>
      </c>
      <c r="AZ18">
        <f>MIN(N(AY18),MAX(0,N(AW18)))</f>
        <v/>
      </c>
      <c r="BA18">
        <f>MAX(0,N(AW18)-N(AZ18))</f>
        <v/>
      </c>
      <c r="BB18">
        <f>IFERROR(MATCH(4,OrderPlan,0),"")</f>
        <v/>
      </c>
      <c r="BC18">
        <f>IF(BB18="",0,IFERROR(IF(N(CHOOSE(BB18,J18,N18,R18,V18,Z18,AD18,AH18,AL18))&lt;=0.005,0,MAX(0,N(CHOOSE(BB18,J18,N18,R18,V18,Z18,AD18,AH18,AL18))+N(CHOOSE(BB18,K18,O18,S18,W18,AA18,AE18,AI18,AM18))-MIN(N(CHOOSE(BB18,'Debt List'!$F$5,'Debt List'!$F$6,'Debt List'!$F$7,'Debt List'!$F$8,'Debt List'!$F$9,'Debt List'!$F$10,'Debt List'!$F$11,'Debt List'!$F$12)),N(CHOOSE(BB18,J18,N18,R18,V18,Z18,AD18,AH18,AL18))+N(CHOOSE(BB18,K18,O18,S18,W18,AA18,AE18,AI18,AM18))))),0))</f>
        <v/>
      </c>
      <c r="BD18">
        <f>MIN(N(BC18),MAX(0,N(BA18)))</f>
        <v/>
      </c>
      <c r="BE18">
        <f>MAX(0,N(BA18)-N(BD18))</f>
        <v/>
      </c>
      <c r="BF18">
        <f>IFERROR(MATCH(5,OrderPlan,0),"")</f>
        <v/>
      </c>
      <c r="BG18">
        <f>IF(BF18="",0,IFERROR(IF(N(CHOOSE(BF18,J18,N18,R18,V18,Z18,AD18,AH18,AL18))&lt;=0.005,0,MAX(0,N(CHOOSE(BF18,J18,N18,R18,V18,Z18,AD18,AH18,AL18))+N(CHOOSE(BF18,K18,O18,S18,W18,AA18,AE18,AI18,AM18))-MIN(N(CHOOSE(BF18,'Debt List'!$F$5,'Debt List'!$F$6,'Debt List'!$F$7,'Debt List'!$F$8,'Debt List'!$F$9,'Debt List'!$F$10,'Debt List'!$F$11,'Debt List'!$F$12)),N(CHOOSE(BF18,J18,N18,R18,V18,Z18,AD18,AH18,AL18))+N(CHOOSE(BF18,K18,O18,S18,W18,AA18,AE18,AI18,AM18))))),0))</f>
        <v/>
      </c>
      <c r="BH18">
        <f>MIN(N(BG18),MAX(0,N(BE18)))</f>
        <v/>
      </c>
      <c r="BI18">
        <f>MAX(0,N(BE18)-N(BH18))</f>
        <v/>
      </c>
      <c r="BJ18">
        <f>IFERROR(MATCH(6,OrderPlan,0),"")</f>
        <v/>
      </c>
      <c r="BK18">
        <f>IF(BJ18="",0,IFERROR(IF(N(CHOOSE(BJ18,J18,N18,R18,V18,Z18,AD18,AH18,AL18))&lt;=0.005,0,MAX(0,N(CHOOSE(BJ18,J18,N18,R18,V18,Z18,AD18,AH18,AL18))+N(CHOOSE(BJ18,K18,O18,S18,W18,AA18,AE18,AI18,AM18))-MIN(N(CHOOSE(BJ18,'Debt List'!$F$5,'Debt List'!$F$6,'Debt List'!$F$7,'Debt List'!$F$8,'Debt List'!$F$9,'Debt List'!$F$10,'Debt List'!$F$11,'Debt List'!$F$12)),N(CHOOSE(BJ18,J18,N18,R18,V18,Z18,AD18,AH18,AL18))+N(CHOOSE(BJ18,K18,O18,S18,W18,AA18,AE18,AI18,AM18))))),0))</f>
        <v/>
      </c>
      <c r="BL18">
        <f>MIN(N(BK18),MAX(0,N(BI18)))</f>
        <v/>
      </c>
      <c r="BM18">
        <f>MAX(0,N(BI18)-N(BL18))</f>
        <v/>
      </c>
      <c r="BN18">
        <f>IFERROR(MATCH(7,OrderPlan,0),"")</f>
        <v/>
      </c>
      <c r="BO18">
        <f>IF(BN18="",0,IFERROR(IF(N(CHOOSE(BN18,J18,N18,R18,V18,Z18,AD18,AH18,AL18))&lt;=0.005,0,MAX(0,N(CHOOSE(BN18,J18,N18,R18,V18,Z18,AD18,AH18,AL18))+N(CHOOSE(BN18,K18,O18,S18,W18,AA18,AE18,AI18,AM18))-MIN(N(CHOOSE(BN18,'Debt List'!$F$5,'Debt List'!$F$6,'Debt List'!$F$7,'Debt List'!$F$8,'Debt List'!$F$9,'Debt List'!$F$10,'Debt List'!$F$11,'Debt List'!$F$12)),N(CHOOSE(BN18,J18,N18,R18,V18,Z18,AD18,AH18,AL18))+N(CHOOSE(BN18,K18,O18,S18,W18,AA18,AE18,AI18,AM18))))),0))</f>
        <v/>
      </c>
      <c r="BP18">
        <f>MIN(N(BO18),MAX(0,N(BM18)))</f>
        <v/>
      </c>
      <c r="BQ18">
        <f>MAX(0,N(BM18)-N(BP18))</f>
        <v/>
      </c>
      <c r="BR18">
        <f>IFERROR(MATCH(8,OrderPlan,0),"")</f>
        <v/>
      </c>
      <c r="BS18">
        <f>IF(BR18="",0,IFERROR(IF(N(CHOOSE(BR18,J18,N18,R18,V18,Z18,AD18,AH18,AL18))&lt;=0.005,0,MAX(0,N(CHOOSE(BR18,J18,N18,R18,V18,Z18,AD18,AH18,AL18))+N(CHOOSE(BR18,K18,O18,S18,W18,AA18,AE18,AI18,AM18))-MIN(N(CHOOSE(BR18,'Debt List'!$F$5,'Debt List'!$F$6,'Debt List'!$F$7,'Debt List'!$F$8,'Debt List'!$F$9,'Debt List'!$F$10,'Debt List'!$F$11,'Debt List'!$F$12)),N(CHOOSE(BR18,J18,N18,R18,V18,Z18,AD18,AH18,AL18))+N(CHOOSE(BR18,K18,O18,S18,W18,AA18,AE18,AI18,AM18))))),0))</f>
        <v/>
      </c>
      <c r="BT18">
        <f>MIN(N(BS18),MAX(0,N(BQ18)))</f>
        <v/>
      </c>
      <c r="BU18">
        <f>MAX(0,N(BQ18)-N(BT18))</f>
        <v/>
      </c>
      <c r="CC18" t="n">
        <v>14</v>
      </c>
      <c r="CD18" s="115">
        <f>DATE(YEAR(PlanStart),MONTH(PlanStart)+CC18-1,1)</f>
        <v/>
      </c>
      <c r="CE18">
        <f>IF(AND(DR18&lt;&gt;"",N(CHOOSE(DR18,CL18,CP18,CT18,CX18,DB18,DF18,DJ18,DN18))&gt;0.005),INDEX(DebtNames,DR18),IF(AND(DV18&lt;&gt;"",N(CHOOSE(DV18,CL18,CP18,CT18,CX18,DB18,DF18,DJ18,DN18))&gt;0.005),INDEX(DebtNames,DV18),IF(AND(DZ18&lt;&gt;"",N(CHOOSE(DZ18,CL18,CP18,CT18,CX18,DB18,DF18,DJ18,DN18))&gt;0.005),INDEX(DebtNames,DZ18),IF(AND(ED18&lt;&gt;"",N(CHOOSE(ED18,CL18,CP18,CT18,CX18,DB18,DF18,DJ18,DN18))&gt;0.005),INDEX(DebtNames,ED18),IF(AND(EH18&lt;&gt;"",N(CHOOSE(EH18,CL18,CP18,CT18,CX18,DB18,DF18,DJ18,DN18))&gt;0.005),INDEX(DebtNames,EH18),IF(AND(EL18&lt;&gt;"",N(CHOOSE(EL18,CL18,CP18,CT18,CX18,DB18,DF18,DJ18,DN18))&gt;0.005),INDEX(DebtNames,EL18),IF(AND(EP18&lt;&gt;"",N(CHOOSE(EP18,CL18,CP18,CT18,CX18,DB18,DF18,DJ18,DN18))&gt;0.005),INDEX(DebtNames,EP18),IF(AND(ET18&lt;&gt;"",N(CHOOSE(ET18,CL18,CP18,CT18,CX18,DB18,DF18,DJ18,DN18))&gt;0.005),INDEX(DebtNames,ET18),""))))))))</f>
        <v/>
      </c>
      <c r="CF18">
        <f>N(EW18)</f>
        <v/>
      </c>
      <c r="CG18">
        <f>N(CN18)+N(CR18)+N(CV18)+N(CZ18)+N(DD18)+N(DH18)+N(DL18)+N(DP18)</f>
        <v/>
      </c>
      <c r="CH18">
        <f>N(CM18)+N(CQ18)+N(CU18)+N(CY18)+N(DC18)+N(DG18)+N(DK18)+N(DO18)</f>
        <v/>
      </c>
      <c r="CI18">
        <f>N(CI17)+N(CH18)</f>
        <v/>
      </c>
      <c r="CJ18">
        <f>N(CO18)+N(CS18)+N(CW18)+N(DA18)+N(DE18)+N(DI18)+N(DM18)+N(DQ18)</f>
        <v/>
      </c>
      <c r="CK18">
        <f>(CO18&gt;0.005)*1+(CS18&gt;0.005)*1+(CW18&gt;0.005)*1+(DA18&gt;0.005)*1+(DE18&gt;0.005)*1+(DI18&gt;0.005)*1+(DM18&gt;0.005)*1+(DQ18&gt;0.005)*1</f>
        <v/>
      </c>
      <c r="CL18">
        <f>N(CO17)</f>
        <v/>
      </c>
      <c r="CM18">
        <f>IF(N(CL18)&lt;=0.005,0,ROUND(N(CL18)*N('Debt List'!E5)/12,2))</f>
        <v/>
      </c>
      <c r="CN18">
        <f>IF(N(CL18)&lt;=0.005,0,MIN(N('Debt List'!F5),N(CL18)+N(CM18)))+((DR18=1)*DT18+(DV18=1)*DX18+(DZ18=1)*EB18+(ED18=1)*EF18+(EH18=1)*EJ18+(EL18=1)*EN18+(EP18=1)*ER18+(ET18=1)*EV18)</f>
        <v/>
      </c>
      <c r="CO18">
        <f>MAX(0,ROUND(N(CL18)+N(CM18)-N(CN18),2))</f>
        <v/>
      </c>
      <c r="CP18">
        <f>N(CS17)</f>
        <v/>
      </c>
      <c r="CQ18">
        <f>IF(N(CP18)&lt;=0.005,0,ROUND(N(CP18)*N('Debt List'!E6)/12,2))</f>
        <v/>
      </c>
      <c r="CR18">
        <f>IF(N(CP18)&lt;=0.005,0,MIN(N('Debt List'!F6),N(CP18)+N(CQ18)))+((DR18=2)*DT18+(DV18=2)*DX18+(DZ18=2)*EB18+(ED18=2)*EF18+(EH18=2)*EJ18+(EL18=2)*EN18+(EP18=2)*ER18+(ET18=2)*EV18)</f>
        <v/>
      </c>
      <c r="CS18">
        <f>MAX(0,ROUND(N(CP18)+N(CQ18)-N(CR18),2))</f>
        <v/>
      </c>
      <c r="CT18">
        <f>N(CW17)</f>
        <v/>
      </c>
      <c r="CU18">
        <f>IF(N(CT18)&lt;=0.005,0,ROUND(N(CT18)*N('Debt List'!E7)/12,2))</f>
        <v/>
      </c>
      <c r="CV18">
        <f>IF(N(CT18)&lt;=0.005,0,MIN(N('Debt List'!F7),N(CT18)+N(CU18)))+((DR18=3)*DT18+(DV18=3)*DX18+(DZ18=3)*EB18+(ED18=3)*EF18+(EH18=3)*EJ18+(EL18=3)*EN18+(EP18=3)*ER18+(ET18=3)*EV18)</f>
        <v/>
      </c>
      <c r="CW18">
        <f>MAX(0,ROUND(N(CT18)+N(CU18)-N(CV18),2))</f>
        <v/>
      </c>
      <c r="CX18">
        <f>N(DA17)</f>
        <v/>
      </c>
      <c r="CY18">
        <f>IF(N(CX18)&lt;=0.005,0,ROUND(N(CX18)*N('Debt List'!E8)/12,2))</f>
        <v/>
      </c>
      <c r="CZ18">
        <f>IF(N(CX18)&lt;=0.005,0,MIN(N('Debt List'!F8),N(CX18)+N(CY18)))+((DR18=4)*DT18+(DV18=4)*DX18+(DZ18=4)*EB18+(ED18=4)*EF18+(EH18=4)*EJ18+(EL18=4)*EN18+(EP18=4)*ER18+(ET18=4)*EV18)</f>
        <v/>
      </c>
      <c r="DA18">
        <f>MAX(0,ROUND(N(CX18)+N(CY18)-N(CZ18),2))</f>
        <v/>
      </c>
      <c r="DB18">
        <f>N(DE17)</f>
        <v/>
      </c>
      <c r="DC18">
        <f>IF(N(DB18)&lt;=0.005,0,ROUND(N(DB18)*N('Debt List'!E9)/12,2))</f>
        <v/>
      </c>
      <c r="DD18">
        <f>IF(N(DB18)&lt;=0.005,0,MIN(N('Debt List'!F9),N(DB18)+N(DC18)))+((DR18=5)*DT18+(DV18=5)*DX18+(DZ18=5)*EB18+(ED18=5)*EF18+(EH18=5)*EJ18+(EL18=5)*EN18+(EP18=5)*ER18+(ET18=5)*EV18)</f>
        <v/>
      </c>
      <c r="DE18">
        <f>MAX(0,ROUND(N(DB18)+N(DC18)-N(DD18),2))</f>
        <v/>
      </c>
      <c r="DF18">
        <f>N(DI17)</f>
        <v/>
      </c>
      <c r="DG18">
        <f>IF(N(DF18)&lt;=0.005,0,ROUND(N(DF18)*N('Debt List'!E10)/12,2))</f>
        <v/>
      </c>
      <c r="DH18">
        <f>IF(N(DF18)&lt;=0.005,0,MIN(N('Debt List'!F10),N(DF18)+N(DG18)))+((DR18=6)*DT18+(DV18=6)*DX18+(DZ18=6)*EB18+(ED18=6)*EF18+(EH18=6)*EJ18+(EL18=6)*EN18+(EP18=6)*ER18+(ET18=6)*EV18)</f>
        <v/>
      </c>
      <c r="DI18">
        <f>MAX(0,ROUND(N(DF18)+N(DG18)-N(DH18),2))</f>
        <v/>
      </c>
      <c r="DJ18">
        <f>N(DM17)</f>
        <v/>
      </c>
      <c r="DK18">
        <f>IF(N(DJ18)&lt;=0.005,0,ROUND(N(DJ18)*N('Debt List'!E11)/12,2))</f>
        <v/>
      </c>
      <c r="DL18">
        <f>IF(N(DJ18)&lt;=0.005,0,MIN(N('Debt List'!F11),N(DJ18)+N(DK18)))+((DR18=7)*DT18+(DV18=7)*DX18+(DZ18=7)*EB18+(ED18=7)*EF18+(EH18=7)*EJ18+(EL18=7)*EN18+(EP18=7)*ER18+(ET18=7)*EV18)</f>
        <v/>
      </c>
      <c r="DM18">
        <f>MAX(0,ROUND(N(DJ18)+N(DK18)-N(DL18),2))</f>
        <v/>
      </c>
      <c r="DN18">
        <f>N(DQ17)</f>
        <v/>
      </c>
      <c r="DO18">
        <f>IF(N(DN18)&lt;=0.005,0,ROUND(N(DN18)*N('Debt List'!E12)/12,2))</f>
        <v/>
      </c>
      <c r="DP18">
        <f>IF(N(DN18)&lt;=0.005,0,MIN(N('Debt List'!F12),N(DN18)+N(DO18)))+((DR18=8)*DT18+(DV18=8)*DX18+(DZ18=8)*EB18+(ED18=8)*EF18+(EH18=8)*EJ18+(EL18=8)*EN18+(EP18=8)*ER18+(ET18=8)*EV18)</f>
        <v/>
      </c>
      <c r="DQ18">
        <f>MAX(0,ROUND(N(DN18)+N(DO18)-N(DP18),2))</f>
        <v/>
      </c>
      <c r="DR18">
        <f>IFERROR(MATCH(1,OrderSnow,0),"")</f>
        <v/>
      </c>
      <c r="DS18">
        <f>IF(DR18="",0,IFERROR(IF(N(CHOOSE(DR18,CL18,CP18,CT18,CX18,DB18,DF18,DJ18,DN18))&lt;=0.005,0,MAX(0,N(CHOOSE(DR18,CL18,CP18,CT18,CX18,DB18,DF18,DJ18,DN18))+N(CHOOSE(DR18,CM18,CQ18,CU18,CY18,DC18,DG18,DK18,DO18))-MIN(N(CHOOSE(DR18,'Debt List'!$F$5,'Debt List'!$F$6,'Debt List'!$F$7,'Debt List'!$F$8,'Debt List'!$F$9,'Debt List'!$F$10,'Debt List'!$F$11,'Debt List'!$F$12)),N(CHOOSE(DR18,CL18,CP18,CT18,CX18,DB18,DF18,DJ18,DN18))+N(CHOOSE(DR18,CM18,CQ18,CU18,CY18,DC18,DG18,DK18,DO18))))),0))</f>
        <v/>
      </c>
      <c r="DT18">
        <f>MIN(N(DS18),MAX(0,N(ExtraPayment)))</f>
        <v/>
      </c>
      <c r="DU18">
        <f>MAX(0,N(ExtraPayment)-N(DT18))</f>
        <v/>
      </c>
      <c r="DV18">
        <f>IFERROR(MATCH(2,OrderSnow,0),"")</f>
        <v/>
      </c>
      <c r="DW18">
        <f>IF(DV18="",0,IFERROR(IF(N(CHOOSE(DV18,CL18,CP18,CT18,CX18,DB18,DF18,DJ18,DN18))&lt;=0.005,0,MAX(0,N(CHOOSE(DV18,CL18,CP18,CT18,CX18,DB18,DF18,DJ18,DN18))+N(CHOOSE(DV18,CM18,CQ18,CU18,CY18,DC18,DG18,DK18,DO18))-MIN(N(CHOOSE(DV18,'Debt List'!$F$5,'Debt List'!$F$6,'Debt List'!$F$7,'Debt List'!$F$8,'Debt List'!$F$9,'Debt List'!$F$10,'Debt List'!$F$11,'Debt List'!$F$12)),N(CHOOSE(DV18,CL18,CP18,CT18,CX18,DB18,DF18,DJ18,DN18))+N(CHOOSE(DV18,CM18,CQ18,CU18,CY18,DC18,DG18,DK18,DO18))))),0))</f>
        <v/>
      </c>
      <c r="DX18">
        <f>MIN(N(DW18),MAX(0,N(DU18)))</f>
        <v/>
      </c>
      <c r="DY18">
        <f>MAX(0,N(DU18)-N(DX18))</f>
        <v/>
      </c>
      <c r="DZ18">
        <f>IFERROR(MATCH(3,OrderSnow,0),"")</f>
        <v/>
      </c>
      <c r="EA18">
        <f>IF(DZ18="",0,IFERROR(IF(N(CHOOSE(DZ18,CL18,CP18,CT18,CX18,DB18,DF18,DJ18,DN18))&lt;=0.005,0,MAX(0,N(CHOOSE(DZ18,CL18,CP18,CT18,CX18,DB18,DF18,DJ18,DN18))+N(CHOOSE(DZ18,CM18,CQ18,CU18,CY18,DC18,DG18,DK18,DO18))-MIN(N(CHOOSE(DZ18,'Debt List'!$F$5,'Debt List'!$F$6,'Debt List'!$F$7,'Debt List'!$F$8,'Debt List'!$F$9,'Debt List'!$F$10,'Debt List'!$F$11,'Debt List'!$F$12)),N(CHOOSE(DZ18,CL18,CP18,CT18,CX18,DB18,DF18,DJ18,DN18))+N(CHOOSE(DZ18,CM18,CQ18,CU18,CY18,DC18,DG18,DK18,DO18))))),0))</f>
        <v/>
      </c>
      <c r="EB18">
        <f>MIN(N(EA18),MAX(0,N(DY18)))</f>
        <v/>
      </c>
      <c r="EC18">
        <f>MAX(0,N(DY18)-N(EB18))</f>
        <v/>
      </c>
      <c r="ED18">
        <f>IFERROR(MATCH(4,OrderSnow,0),"")</f>
        <v/>
      </c>
      <c r="EE18">
        <f>IF(ED18="",0,IFERROR(IF(N(CHOOSE(ED18,CL18,CP18,CT18,CX18,DB18,DF18,DJ18,DN18))&lt;=0.005,0,MAX(0,N(CHOOSE(ED18,CL18,CP18,CT18,CX18,DB18,DF18,DJ18,DN18))+N(CHOOSE(ED18,CM18,CQ18,CU18,CY18,DC18,DG18,DK18,DO18))-MIN(N(CHOOSE(ED18,'Debt List'!$F$5,'Debt List'!$F$6,'Debt List'!$F$7,'Debt List'!$F$8,'Debt List'!$F$9,'Debt List'!$F$10,'Debt List'!$F$11,'Debt List'!$F$12)),N(CHOOSE(ED18,CL18,CP18,CT18,CX18,DB18,DF18,DJ18,DN18))+N(CHOOSE(ED18,CM18,CQ18,CU18,CY18,DC18,DG18,DK18,DO18))))),0))</f>
        <v/>
      </c>
      <c r="EF18">
        <f>MIN(N(EE18),MAX(0,N(EC18)))</f>
        <v/>
      </c>
      <c r="EG18">
        <f>MAX(0,N(EC18)-N(EF18))</f>
        <v/>
      </c>
      <c r="EH18">
        <f>IFERROR(MATCH(5,OrderSnow,0),"")</f>
        <v/>
      </c>
      <c r="EI18">
        <f>IF(EH18="",0,IFERROR(IF(N(CHOOSE(EH18,CL18,CP18,CT18,CX18,DB18,DF18,DJ18,DN18))&lt;=0.005,0,MAX(0,N(CHOOSE(EH18,CL18,CP18,CT18,CX18,DB18,DF18,DJ18,DN18))+N(CHOOSE(EH18,CM18,CQ18,CU18,CY18,DC18,DG18,DK18,DO18))-MIN(N(CHOOSE(EH18,'Debt List'!$F$5,'Debt List'!$F$6,'Debt List'!$F$7,'Debt List'!$F$8,'Debt List'!$F$9,'Debt List'!$F$10,'Debt List'!$F$11,'Debt List'!$F$12)),N(CHOOSE(EH18,CL18,CP18,CT18,CX18,DB18,DF18,DJ18,DN18))+N(CHOOSE(EH18,CM18,CQ18,CU18,CY18,DC18,DG18,DK18,DO18))))),0))</f>
        <v/>
      </c>
      <c r="EJ18">
        <f>MIN(N(EI18),MAX(0,N(EG18)))</f>
        <v/>
      </c>
      <c r="EK18">
        <f>MAX(0,N(EG18)-N(EJ18))</f>
        <v/>
      </c>
      <c r="EL18">
        <f>IFERROR(MATCH(6,OrderSnow,0),"")</f>
        <v/>
      </c>
      <c r="EM18">
        <f>IF(EL18="",0,IFERROR(IF(N(CHOOSE(EL18,CL18,CP18,CT18,CX18,DB18,DF18,DJ18,DN18))&lt;=0.005,0,MAX(0,N(CHOOSE(EL18,CL18,CP18,CT18,CX18,DB18,DF18,DJ18,DN18))+N(CHOOSE(EL18,CM18,CQ18,CU18,CY18,DC18,DG18,DK18,DO18))-MIN(N(CHOOSE(EL18,'Debt List'!$F$5,'Debt List'!$F$6,'Debt List'!$F$7,'Debt List'!$F$8,'Debt List'!$F$9,'Debt List'!$F$10,'Debt List'!$F$11,'Debt List'!$F$12)),N(CHOOSE(EL18,CL18,CP18,CT18,CX18,DB18,DF18,DJ18,DN18))+N(CHOOSE(EL18,CM18,CQ18,CU18,CY18,DC18,DG18,DK18,DO18))))),0))</f>
        <v/>
      </c>
      <c r="EN18">
        <f>MIN(N(EM18),MAX(0,N(EK18)))</f>
        <v/>
      </c>
      <c r="EO18">
        <f>MAX(0,N(EK18)-N(EN18))</f>
        <v/>
      </c>
      <c r="EP18">
        <f>IFERROR(MATCH(7,OrderSnow,0),"")</f>
        <v/>
      </c>
      <c r="EQ18">
        <f>IF(EP18="",0,IFERROR(IF(N(CHOOSE(EP18,CL18,CP18,CT18,CX18,DB18,DF18,DJ18,DN18))&lt;=0.005,0,MAX(0,N(CHOOSE(EP18,CL18,CP18,CT18,CX18,DB18,DF18,DJ18,DN18))+N(CHOOSE(EP18,CM18,CQ18,CU18,CY18,DC18,DG18,DK18,DO18))-MIN(N(CHOOSE(EP18,'Debt List'!$F$5,'Debt List'!$F$6,'Debt List'!$F$7,'Debt List'!$F$8,'Debt List'!$F$9,'Debt List'!$F$10,'Debt List'!$F$11,'Debt List'!$F$12)),N(CHOOSE(EP18,CL18,CP18,CT18,CX18,DB18,DF18,DJ18,DN18))+N(CHOOSE(EP18,CM18,CQ18,CU18,CY18,DC18,DG18,DK18,DO18))))),0))</f>
        <v/>
      </c>
      <c r="ER18">
        <f>MIN(N(EQ18),MAX(0,N(EO18)))</f>
        <v/>
      </c>
      <c r="ES18">
        <f>MAX(0,N(EO18)-N(ER18))</f>
        <v/>
      </c>
      <c r="ET18">
        <f>IFERROR(MATCH(8,OrderSnow,0),"")</f>
        <v/>
      </c>
      <c r="EU18">
        <f>IF(ET18="",0,IFERROR(IF(N(CHOOSE(ET18,CL18,CP18,CT18,CX18,DB18,DF18,DJ18,DN18))&lt;=0.005,0,MAX(0,N(CHOOSE(ET18,CL18,CP18,CT18,CX18,DB18,DF18,DJ18,DN18))+N(CHOOSE(ET18,CM18,CQ18,CU18,CY18,DC18,DG18,DK18,DO18))-MIN(N(CHOOSE(ET18,'Debt List'!$F$5,'Debt List'!$F$6,'Debt List'!$F$7,'Debt List'!$F$8,'Debt List'!$F$9,'Debt List'!$F$10,'Debt List'!$F$11,'Debt List'!$F$12)),N(CHOOSE(ET18,CL18,CP18,CT18,CX18,DB18,DF18,DJ18,DN18))+N(CHOOSE(ET18,CM18,CQ18,CU18,CY18,DC18,DG18,DK18,DO18))))),0))</f>
        <v/>
      </c>
      <c r="EV18">
        <f>MIN(N(EU18),MAX(0,N(ES18)))</f>
        <v/>
      </c>
      <c r="EW18">
        <f>MAX(0,N(ES18)-N(EV18))</f>
        <v/>
      </c>
      <c r="FE18" t="n">
        <v>14</v>
      </c>
      <c r="FF18" s="115">
        <f>DATE(YEAR(PlanStart),MONTH(PlanStart)+FE18-1,1)</f>
        <v/>
      </c>
      <c r="FG18">
        <f>IF(AND(GT18&lt;&gt;"",N(CHOOSE(GT18,FN18,FR18,FV18,FZ18,GD18,GH18,GL18,GP18))&gt;0.005),INDEX(DebtNames,GT18),IF(AND(GX18&lt;&gt;"",N(CHOOSE(GX18,FN18,FR18,FV18,FZ18,GD18,GH18,GL18,GP18))&gt;0.005),INDEX(DebtNames,GX18),IF(AND(HB18&lt;&gt;"",N(CHOOSE(HB18,FN18,FR18,FV18,FZ18,GD18,GH18,GL18,GP18))&gt;0.005),INDEX(DebtNames,HB18),IF(AND(HF18&lt;&gt;"",N(CHOOSE(HF18,FN18,FR18,FV18,FZ18,GD18,GH18,GL18,GP18))&gt;0.005),INDEX(DebtNames,HF18),IF(AND(HJ18&lt;&gt;"",N(CHOOSE(HJ18,FN18,FR18,FV18,FZ18,GD18,GH18,GL18,GP18))&gt;0.005),INDEX(DebtNames,HJ18),IF(AND(HN18&lt;&gt;"",N(CHOOSE(HN18,FN18,FR18,FV18,FZ18,GD18,GH18,GL18,GP18))&gt;0.005),INDEX(DebtNames,HN18),IF(AND(HR18&lt;&gt;"",N(CHOOSE(HR18,FN18,FR18,FV18,FZ18,GD18,GH18,GL18,GP18))&gt;0.005),INDEX(DebtNames,HR18),IF(AND(HV18&lt;&gt;"",N(CHOOSE(HV18,FN18,FR18,FV18,FZ18,GD18,GH18,GL18,GP18))&gt;0.005),INDEX(DebtNames,HV18),""))))))))</f>
        <v/>
      </c>
      <c r="FH18">
        <f>N(HY18)</f>
        <v/>
      </c>
      <c r="FI18">
        <f>N(FP18)+N(FT18)+N(FX18)+N(GB18)+N(GF18)+N(GJ18)+N(GN18)+N(GR18)</f>
        <v/>
      </c>
      <c r="FJ18">
        <f>N(FO18)+N(FS18)+N(FW18)+N(GA18)+N(GE18)+N(GI18)+N(GM18)+N(GQ18)</f>
        <v/>
      </c>
      <c r="FK18">
        <f>N(FK17)+N(FJ18)</f>
        <v/>
      </c>
      <c r="FL18">
        <f>N(FQ18)+N(FU18)+N(FY18)+N(GC18)+N(GG18)+N(GK18)+N(GO18)+N(GS18)</f>
        <v/>
      </c>
      <c r="FM18">
        <f>(FQ18&gt;0.005)*1+(FU18&gt;0.005)*1+(FY18&gt;0.005)*1+(GC18&gt;0.005)*1+(GG18&gt;0.005)*1+(GK18&gt;0.005)*1+(GO18&gt;0.005)*1+(GS18&gt;0.005)*1</f>
        <v/>
      </c>
      <c r="FN18">
        <f>N(FQ17)</f>
        <v/>
      </c>
      <c r="FO18">
        <f>IF(N(FN18)&lt;=0.005,0,ROUND(N(FN18)*N('Debt List'!E5)/12,2))</f>
        <v/>
      </c>
      <c r="FP18">
        <f>IF(N(FN18)&lt;=0.005,0,MIN(N('Debt List'!F5),N(FN18)+N(FO18)))+((GT18=1)*GV18+(GX18=1)*GZ18+(HB18=1)*HD18+(HF18=1)*HH18+(HJ18=1)*HL18+(HN18=1)*HP18+(HR18=1)*HT18+(HV18=1)*HX18)</f>
        <v/>
      </c>
      <c r="FQ18">
        <f>MAX(0,ROUND(N(FN18)+N(FO18)-N(FP18),2))</f>
        <v/>
      </c>
      <c r="FR18">
        <f>N(FU17)</f>
        <v/>
      </c>
      <c r="FS18">
        <f>IF(N(FR18)&lt;=0.005,0,ROUND(N(FR18)*N('Debt List'!E6)/12,2))</f>
        <v/>
      </c>
      <c r="FT18">
        <f>IF(N(FR18)&lt;=0.005,0,MIN(N('Debt List'!F6),N(FR18)+N(FS18)))+((GT18=2)*GV18+(GX18=2)*GZ18+(HB18=2)*HD18+(HF18=2)*HH18+(HJ18=2)*HL18+(HN18=2)*HP18+(HR18=2)*HT18+(HV18=2)*HX18)</f>
        <v/>
      </c>
      <c r="FU18">
        <f>MAX(0,ROUND(N(FR18)+N(FS18)-N(FT18),2))</f>
        <v/>
      </c>
      <c r="FV18">
        <f>N(FY17)</f>
        <v/>
      </c>
      <c r="FW18">
        <f>IF(N(FV18)&lt;=0.005,0,ROUND(N(FV18)*N('Debt List'!E7)/12,2))</f>
        <v/>
      </c>
      <c r="FX18">
        <f>IF(N(FV18)&lt;=0.005,0,MIN(N('Debt List'!F7),N(FV18)+N(FW18)))+((GT18=3)*GV18+(GX18=3)*GZ18+(HB18=3)*HD18+(HF18=3)*HH18+(HJ18=3)*HL18+(HN18=3)*HP18+(HR18=3)*HT18+(HV18=3)*HX18)</f>
        <v/>
      </c>
      <c r="FY18">
        <f>MAX(0,ROUND(N(FV18)+N(FW18)-N(FX18),2))</f>
        <v/>
      </c>
      <c r="FZ18">
        <f>N(GC17)</f>
        <v/>
      </c>
      <c r="GA18">
        <f>IF(N(FZ18)&lt;=0.005,0,ROUND(N(FZ18)*N('Debt List'!E8)/12,2))</f>
        <v/>
      </c>
      <c r="GB18">
        <f>IF(N(FZ18)&lt;=0.005,0,MIN(N('Debt List'!F8),N(FZ18)+N(GA18)))+((GT18=4)*GV18+(GX18=4)*GZ18+(HB18=4)*HD18+(HF18=4)*HH18+(HJ18=4)*HL18+(HN18=4)*HP18+(HR18=4)*HT18+(HV18=4)*HX18)</f>
        <v/>
      </c>
      <c r="GC18">
        <f>MAX(0,ROUND(N(FZ18)+N(GA18)-N(GB18),2))</f>
        <v/>
      </c>
      <c r="GD18">
        <f>N(GG17)</f>
        <v/>
      </c>
      <c r="GE18">
        <f>IF(N(GD18)&lt;=0.005,0,ROUND(N(GD18)*N('Debt List'!E9)/12,2))</f>
        <v/>
      </c>
      <c r="GF18">
        <f>IF(N(GD18)&lt;=0.005,0,MIN(N('Debt List'!F9),N(GD18)+N(GE18)))+((GT18=5)*GV18+(GX18=5)*GZ18+(HB18=5)*HD18+(HF18=5)*HH18+(HJ18=5)*HL18+(HN18=5)*HP18+(HR18=5)*HT18+(HV18=5)*HX18)</f>
        <v/>
      </c>
      <c r="GG18">
        <f>MAX(0,ROUND(N(GD18)+N(GE18)-N(GF18),2))</f>
        <v/>
      </c>
      <c r="GH18">
        <f>N(GK17)</f>
        <v/>
      </c>
      <c r="GI18">
        <f>IF(N(GH18)&lt;=0.005,0,ROUND(N(GH18)*N('Debt List'!E10)/12,2))</f>
        <v/>
      </c>
      <c r="GJ18">
        <f>IF(N(GH18)&lt;=0.005,0,MIN(N('Debt List'!F10),N(GH18)+N(GI18)))+((GT18=6)*GV18+(GX18=6)*GZ18+(HB18=6)*HD18+(HF18=6)*HH18+(HJ18=6)*HL18+(HN18=6)*HP18+(HR18=6)*HT18+(HV18=6)*HX18)</f>
        <v/>
      </c>
      <c r="GK18">
        <f>MAX(0,ROUND(N(GH18)+N(GI18)-N(GJ18),2))</f>
        <v/>
      </c>
      <c r="GL18">
        <f>N(GO17)</f>
        <v/>
      </c>
      <c r="GM18">
        <f>IF(N(GL18)&lt;=0.005,0,ROUND(N(GL18)*N('Debt List'!E11)/12,2))</f>
        <v/>
      </c>
      <c r="GN18">
        <f>IF(N(GL18)&lt;=0.005,0,MIN(N('Debt List'!F11),N(GL18)+N(GM18)))+((GT18=7)*GV18+(GX18=7)*GZ18+(HB18=7)*HD18+(HF18=7)*HH18+(HJ18=7)*HL18+(HN18=7)*HP18+(HR18=7)*HT18+(HV18=7)*HX18)</f>
        <v/>
      </c>
      <c r="GO18">
        <f>MAX(0,ROUND(N(GL18)+N(GM18)-N(GN18),2))</f>
        <v/>
      </c>
      <c r="GP18">
        <f>N(GS17)</f>
        <v/>
      </c>
      <c r="GQ18">
        <f>IF(N(GP18)&lt;=0.005,0,ROUND(N(GP18)*N('Debt List'!E12)/12,2))</f>
        <v/>
      </c>
      <c r="GR18">
        <f>IF(N(GP18)&lt;=0.005,0,MIN(N('Debt List'!F12),N(GP18)+N(GQ18)))+((GT18=8)*GV18+(GX18=8)*GZ18+(HB18=8)*HD18+(HF18=8)*HH18+(HJ18=8)*HL18+(HN18=8)*HP18+(HR18=8)*HT18+(HV18=8)*HX18)</f>
        <v/>
      </c>
      <c r="GS18">
        <f>MAX(0,ROUND(N(GP18)+N(GQ18)-N(GR18),2))</f>
        <v/>
      </c>
      <c r="GT18">
        <f>IFERROR(MATCH(1,OrderAval,0),"")</f>
        <v/>
      </c>
      <c r="GU18">
        <f>IF(GT18="",0,IFERROR(IF(N(CHOOSE(GT18,FN18,FR18,FV18,FZ18,GD18,GH18,GL18,GP18))&lt;=0.005,0,MAX(0,N(CHOOSE(GT18,FN18,FR18,FV18,FZ18,GD18,GH18,GL18,GP18))+N(CHOOSE(GT18,FO18,FS18,FW18,GA18,GE18,GI18,GM18,GQ18))-MIN(N(CHOOSE(GT18,'Debt List'!$F$5,'Debt List'!$F$6,'Debt List'!$F$7,'Debt List'!$F$8,'Debt List'!$F$9,'Debt List'!$F$10,'Debt List'!$F$11,'Debt List'!$F$12)),N(CHOOSE(GT18,FN18,FR18,FV18,FZ18,GD18,GH18,GL18,GP18))+N(CHOOSE(GT18,FO18,FS18,FW18,GA18,GE18,GI18,GM18,GQ18))))),0))</f>
        <v/>
      </c>
      <c r="GV18">
        <f>MIN(N(GU18),MAX(0,N(ExtraPayment)))</f>
        <v/>
      </c>
      <c r="GW18">
        <f>MAX(0,N(ExtraPayment)-N(GV18))</f>
        <v/>
      </c>
      <c r="GX18">
        <f>IFERROR(MATCH(2,OrderAval,0),"")</f>
        <v/>
      </c>
      <c r="GY18">
        <f>IF(GX18="",0,IFERROR(IF(N(CHOOSE(GX18,FN18,FR18,FV18,FZ18,GD18,GH18,GL18,GP18))&lt;=0.005,0,MAX(0,N(CHOOSE(GX18,FN18,FR18,FV18,FZ18,GD18,GH18,GL18,GP18))+N(CHOOSE(GX18,FO18,FS18,FW18,GA18,GE18,GI18,GM18,GQ18))-MIN(N(CHOOSE(GX18,'Debt List'!$F$5,'Debt List'!$F$6,'Debt List'!$F$7,'Debt List'!$F$8,'Debt List'!$F$9,'Debt List'!$F$10,'Debt List'!$F$11,'Debt List'!$F$12)),N(CHOOSE(GX18,FN18,FR18,FV18,FZ18,GD18,GH18,GL18,GP18))+N(CHOOSE(GX18,FO18,FS18,FW18,GA18,GE18,GI18,GM18,GQ18))))),0))</f>
        <v/>
      </c>
      <c r="GZ18">
        <f>MIN(N(GY18),MAX(0,N(GW18)))</f>
        <v/>
      </c>
      <c r="HA18">
        <f>MAX(0,N(GW18)-N(GZ18))</f>
        <v/>
      </c>
      <c r="HB18">
        <f>IFERROR(MATCH(3,OrderAval,0),"")</f>
        <v/>
      </c>
      <c r="HC18">
        <f>IF(HB18="",0,IFERROR(IF(N(CHOOSE(HB18,FN18,FR18,FV18,FZ18,GD18,GH18,GL18,GP18))&lt;=0.005,0,MAX(0,N(CHOOSE(HB18,FN18,FR18,FV18,FZ18,GD18,GH18,GL18,GP18))+N(CHOOSE(HB18,FO18,FS18,FW18,GA18,GE18,GI18,GM18,GQ18))-MIN(N(CHOOSE(HB18,'Debt List'!$F$5,'Debt List'!$F$6,'Debt List'!$F$7,'Debt List'!$F$8,'Debt List'!$F$9,'Debt List'!$F$10,'Debt List'!$F$11,'Debt List'!$F$12)),N(CHOOSE(HB18,FN18,FR18,FV18,FZ18,GD18,GH18,GL18,GP18))+N(CHOOSE(HB18,FO18,FS18,FW18,GA18,GE18,GI18,GM18,GQ18))))),0))</f>
        <v/>
      </c>
      <c r="HD18">
        <f>MIN(N(HC18),MAX(0,N(HA18)))</f>
        <v/>
      </c>
      <c r="HE18">
        <f>MAX(0,N(HA18)-N(HD18))</f>
        <v/>
      </c>
      <c r="HF18">
        <f>IFERROR(MATCH(4,OrderAval,0),"")</f>
        <v/>
      </c>
      <c r="HG18">
        <f>IF(HF18="",0,IFERROR(IF(N(CHOOSE(HF18,FN18,FR18,FV18,FZ18,GD18,GH18,GL18,GP18))&lt;=0.005,0,MAX(0,N(CHOOSE(HF18,FN18,FR18,FV18,FZ18,GD18,GH18,GL18,GP18))+N(CHOOSE(HF18,FO18,FS18,FW18,GA18,GE18,GI18,GM18,GQ18))-MIN(N(CHOOSE(HF18,'Debt List'!$F$5,'Debt List'!$F$6,'Debt List'!$F$7,'Debt List'!$F$8,'Debt List'!$F$9,'Debt List'!$F$10,'Debt List'!$F$11,'Debt List'!$F$12)),N(CHOOSE(HF18,FN18,FR18,FV18,FZ18,GD18,GH18,GL18,GP18))+N(CHOOSE(HF18,FO18,FS18,FW18,GA18,GE18,GI18,GM18,GQ18))))),0))</f>
        <v/>
      </c>
      <c r="HH18">
        <f>MIN(N(HG18),MAX(0,N(HE18)))</f>
        <v/>
      </c>
      <c r="HI18">
        <f>MAX(0,N(HE18)-N(HH18))</f>
        <v/>
      </c>
      <c r="HJ18">
        <f>IFERROR(MATCH(5,OrderAval,0),"")</f>
        <v/>
      </c>
      <c r="HK18">
        <f>IF(HJ18="",0,IFERROR(IF(N(CHOOSE(HJ18,FN18,FR18,FV18,FZ18,GD18,GH18,GL18,GP18))&lt;=0.005,0,MAX(0,N(CHOOSE(HJ18,FN18,FR18,FV18,FZ18,GD18,GH18,GL18,GP18))+N(CHOOSE(HJ18,FO18,FS18,FW18,GA18,GE18,GI18,GM18,GQ18))-MIN(N(CHOOSE(HJ18,'Debt List'!$F$5,'Debt List'!$F$6,'Debt List'!$F$7,'Debt List'!$F$8,'Debt List'!$F$9,'Debt List'!$F$10,'Debt List'!$F$11,'Debt List'!$F$12)),N(CHOOSE(HJ18,FN18,FR18,FV18,FZ18,GD18,GH18,GL18,GP18))+N(CHOOSE(HJ18,FO18,FS18,FW18,GA18,GE18,GI18,GM18,GQ18))))),0))</f>
        <v/>
      </c>
      <c r="HL18">
        <f>MIN(N(HK18),MAX(0,N(HI18)))</f>
        <v/>
      </c>
      <c r="HM18">
        <f>MAX(0,N(HI18)-N(HL18))</f>
        <v/>
      </c>
      <c r="HN18">
        <f>IFERROR(MATCH(6,OrderAval,0),"")</f>
        <v/>
      </c>
      <c r="HO18">
        <f>IF(HN18="",0,IFERROR(IF(N(CHOOSE(HN18,FN18,FR18,FV18,FZ18,GD18,GH18,GL18,GP18))&lt;=0.005,0,MAX(0,N(CHOOSE(HN18,FN18,FR18,FV18,FZ18,GD18,GH18,GL18,GP18))+N(CHOOSE(HN18,FO18,FS18,FW18,GA18,GE18,GI18,GM18,GQ18))-MIN(N(CHOOSE(HN18,'Debt List'!$F$5,'Debt List'!$F$6,'Debt List'!$F$7,'Debt List'!$F$8,'Debt List'!$F$9,'Debt List'!$F$10,'Debt List'!$F$11,'Debt List'!$F$12)),N(CHOOSE(HN18,FN18,FR18,FV18,FZ18,GD18,GH18,GL18,GP18))+N(CHOOSE(HN18,FO18,FS18,FW18,GA18,GE18,GI18,GM18,GQ18))))),0))</f>
        <v/>
      </c>
      <c r="HP18">
        <f>MIN(N(HO18),MAX(0,N(HM18)))</f>
        <v/>
      </c>
      <c r="HQ18">
        <f>MAX(0,N(HM18)-N(HP18))</f>
        <v/>
      </c>
      <c r="HR18">
        <f>IFERROR(MATCH(7,OrderAval,0),"")</f>
        <v/>
      </c>
      <c r="HS18">
        <f>IF(HR18="",0,IFERROR(IF(N(CHOOSE(HR18,FN18,FR18,FV18,FZ18,GD18,GH18,GL18,GP18))&lt;=0.005,0,MAX(0,N(CHOOSE(HR18,FN18,FR18,FV18,FZ18,GD18,GH18,GL18,GP18))+N(CHOOSE(HR18,FO18,FS18,FW18,GA18,GE18,GI18,GM18,GQ18))-MIN(N(CHOOSE(HR18,'Debt List'!$F$5,'Debt List'!$F$6,'Debt List'!$F$7,'Debt List'!$F$8,'Debt List'!$F$9,'Debt List'!$F$10,'Debt List'!$F$11,'Debt List'!$F$12)),N(CHOOSE(HR18,FN18,FR18,FV18,FZ18,GD18,GH18,GL18,GP18))+N(CHOOSE(HR18,FO18,FS18,FW18,GA18,GE18,GI18,GM18,GQ18))))),0))</f>
        <v/>
      </c>
      <c r="HT18">
        <f>MIN(N(HS18),MAX(0,N(HQ18)))</f>
        <v/>
      </c>
      <c r="HU18">
        <f>MAX(0,N(HQ18)-N(HT18))</f>
        <v/>
      </c>
      <c r="HV18">
        <f>IFERROR(MATCH(8,OrderAval,0),"")</f>
        <v/>
      </c>
      <c r="HW18">
        <f>IF(HV18="",0,IFERROR(IF(N(CHOOSE(HV18,FN18,FR18,FV18,FZ18,GD18,GH18,GL18,GP18))&lt;=0.005,0,MAX(0,N(CHOOSE(HV18,FN18,FR18,FV18,FZ18,GD18,GH18,GL18,GP18))+N(CHOOSE(HV18,FO18,FS18,FW18,GA18,GE18,GI18,GM18,GQ18))-MIN(N(CHOOSE(HV18,'Debt List'!$F$5,'Debt List'!$F$6,'Debt List'!$F$7,'Debt List'!$F$8,'Debt List'!$F$9,'Debt List'!$F$10,'Debt List'!$F$11,'Debt List'!$F$12)),N(CHOOSE(HV18,FN18,FR18,FV18,FZ18,GD18,GH18,GL18,GP18))+N(CHOOSE(HV18,FO18,FS18,FW18,GA18,GE18,GI18,GM18,GQ18))))),0))</f>
        <v/>
      </c>
      <c r="HX18">
        <f>MIN(N(HW18),MAX(0,N(HU18)))</f>
        <v/>
      </c>
      <c r="HY18">
        <f>MAX(0,N(HU18)-N(HX18))</f>
        <v/>
      </c>
    </row>
    <row r="19">
      <c r="A19" t="n">
        <v>15</v>
      </c>
      <c r="B19" s="115">
        <f>DATE(YEAR(PlanStart),MONTH(PlanStart)+A19-1,1)</f>
        <v/>
      </c>
      <c r="C19">
        <f>IF(AND(AP19&lt;&gt;"",N(CHOOSE(AP19,J19,N19,R19,V19,Z19,AD19,AH19,AL19))&gt;0.005),INDEX(DebtNames,AP19),IF(AND(AT19&lt;&gt;"",N(CHOOSE(AT19,J19,N19,R19,V19,Z19,AD19,AH19,AL19))&gt;0.005),INDEX(DebtNames,AT19),IF(AND(AX19&lt;&gt;"",N(CHOOSE(AX19,J19,N19,R19,V19,Z19,AD19,AH19,AL19))&gt;0.005),INDEX(DebtNames,AX19),IF(AND(BB19&lt;&gt;"",N(CHOOSE(BB19,J19,N19,R19,V19,Z19,AD19,AH19,AL19))&gt;0.005),INDEX(DebtNames,BB19),IF(AND(BF19&lt;&gt;"",N(CHOOSE(BF19,J19,N19,R19,V19,Z19,AD19,AH19,AL19))&gt;0.005),INDEX(DebtNames,BF19),IF(AND(BJ19&lt;&gt;"",N(CHOOSE(BJ19,J19,N19,R19,V19,Z19,AD19,AH19,AL19))&gt;0.005),INDEX(DebtNames,BJ19),IF(AND(BN19&lt;&gt;"",N(CHOOSE(BN19,J19,N19,R19,V19,Z19,AD19,AH19,AL19))&gt;0.005),INDEX(DebtNames,BN19),IF(AND(BR19&lt;&gt;"",N(CHOOSE(BR19,J19,N19,R19,V19,Z19,AD19,AH19,AL19))&gt;0.005),INDEX(DebtNames,BR19),""))))))))</f>
        <v/>
      </c>
      <c r="D19">
        <f>N(BU19)</f>
        <v/>
      </c>
      <c r="E19">
        <f>N(L19)+N(P19)+N(T19)+N(X19)+N(AB19)+N(AF19)+N(AJ19)+N(AN19)</f>
        <v/>
      </c>
      <c r="F19">
        <f>N(K19)+N(O19)+N(S19)+N(W19)+N(AA19)+N(AE19)+N(AI19)+N(AM19)</f>
        <v/>
      </c>
      <c r="G19">
        <f>N(G18)+N(F19)</f>
        <v/>
      </c>
      <c r="H19">
        <f>N(M19)+N(Q19)+N(U19)+N(Y19)+N(AC19)+N(AG19)+N(AK19)+N(AO19)</f>
        <v/>
      </c>
      <c r="I19">
        <f>(M19&gt;0.005)*1+(Q19&gt;0.005)*1+(U19&gt;0.005)*1+(Y19&gt;0.005)*1+(AC19&gt;0.005)*1+(AG19&gt;0.005)*1+(AK19&gt;0.005)*1+(AO19&gt;0.005)*1</f>
        <v/>
      </c>
      <c r="J19">
        <f>N(M18)</f>
        <v/>
      </c>
      <c r="K19">
        <f>IF(N(J19)&lt;=0.005,0,ROUND(N(J19)*N('Debt List'!E5)/12,2))</f>
        <v/>
      </c>
      <c r="L19">
        <f>IF(N(J19)&lt;=0.005,0,MIN(N('Debt List'!F5),N(J19)+N(K19)))+((AP19=1)*AR19+(AT19=1)*AV19+(AX19=1)*AZ19+(BB19=1)*BD19+(BF19=1)*BH19+(BJ19=1)*BL19+(BN19=1)*BP19+(BR19=1)*BT19)</f>
        <v/>
      </c>
      <c r="M19">
        <f>MAX(0,ROUND(N(J19)+N(K19)-N(L19),2))</f>
        <v/>
      </c>
      <c r="N19">
        <f>N(Q18)</f>
        <v/>
      </c>
      <c r="O19">
        <f>IF(N(N19)&lt;=0.005,0,ROUND(N(N19)*N('Debt List'!E6)/12,2))</f>
        <v/>
      </c>
      <c r="P19">
        <f>IF(N(N19)&lt;=0.005,0,MIN(N('Debt List'!F6),N(N19)+N(O19)))+((AP19=2)*AR19+(AT19=2)*AV19+(AX19=2)*AZ19+(BB19=2)*BD19+(BF19=2)*BH19+(BJ19=2)*BL19+(BN19=2)*BP19+(BR19=2)*BT19)</f>
        <v/>
      </c>
      <c r="Q19">
        <f>MAX(0,ROUND(N(N19)+N(O19)-N(P19),2))</f>
        <v/>
      </c>
      <c r="R19">
        <f>N(U18)</f>
        <v/>
      </c>
      <c r="S19">
        <f>IF(N(R19)&lt;=0.005,0,ROUND(N(R19)*N('Debt List'!E7)/12,2))</f>
        <v/>
      </c>
      <c r="T19">
        <f>IF(N(R19)&lt;=0.005,0,MIN(N('Debt List'!F7),N(R19)+N(S19)))+((AP19=3)*AR19+(AT19=3)*AV19+(AX19=3)*AZ19+(BB19=3)*BD19+(BF19=3)*BH19+(BJ19=3)*BL19+(BN19=3)*BP19+(BR19=3)*BT19)</f>
        <v/>
      </c>
      <c r="U19">
        <f>MAX(0,ROUND(N(R19)+N(S19)-N(T19),2))</f>
        <v/>
      </c>
      <c r="V19">
        <f>N(Y18)</f>
        <v/>
      </c>
      <c r="W19">
        <f>IF(N(V19)&lt;=0.005,0,ROUND(N(V19)*N('Debt List'!E8)/12,2))</f>
        <v/>
      </c>
      <c r="X19">
        <f>IF(N(V19)&lt;=0.005,0,MIN(N('Debt List'!F8),N(V19)+N(W19)))+((AP19=4)*AR19+(AT19=4)*AV19+(AX19=4)*AZ19+(BB19=4)*BD19+(BF19=4)*BH19+(BJ19=4)*BL19+(BN19=4)*BP19+(BR19=4)*BT19)</f>
        <v/>
      </c>
      <c r="Y19">
        <f>MAX(0,ROUND(N(V19)+N(W19)-N(X19),2))</f>
        <v/>
      </c>
      <c r="Z19">
        <f>N(AC18)</f>
        <v/>
      </c>
      <c r="AA19">
        <f>IF(N(Z19)&lt;=0.005,0,ROUND(N(Z19)*N('Debt List'!E9)/12,2))</f>
        <v/>
      </c>
      <c r="AB19">
        <f>IF(N(Z19)&lt;=0.005,0,MIN(N('Debt List'!F9),N(Z19)+N(AA19)))+((AP19=5)*AR19+(AT19=5)*AV19+(AX19=5)*AZ19+(BB19=5)*BD19+(BF19=5)*BH19+(BJ19=5)*BL19+(BN19=5)*BP19+(BR19=5)*BT19)</f>
        <v/>
      </c>
      <c r="AC19">
        <f>MAX(0,ROUND(N(Z19)+N(AA19)-N(AB19),2))</f>
        <v/>
      </c>
      <c r="AD19">
        <f>N(AG18)</f>
        <v/>
      </c>
      <c r="AE19">
        <f>IF(N(AD19)&lt;=0.005,0,ROUND(N(AD19)*N('Debt List'!E10)/12,2))</f>
        <v/>
      </c>
      <c r="AF19">
        <f>IF(N(AD19)&lt;=0.005,0,MIN(N('Debt List'!F10),N(AD19)+N(AE19)))+((AP19=6)*AR19+(AT19=6)*AV19+(AX19=6)*AZ19+(BB19=6)*BD19+(BF19=6)*BH19+(BJ19=6)*BL19+(BN19=6)*BP19+(BR19=6)*BT19)</f>
        <v/>
      </c>
      <c r="AG19">
        <f>MAX(0,ROUND(N(AD19)+N(AE19)-N(AF19),2))</f>
        <v/>
      </c>
      <c r="AH19">
        <f>N(AK18)</f>
        <v/>
      </c>
      <c r="AI19">
        <f>IF(N(AH19)&lt;=0.005,0,ROUND(N(AH19)*N('Debt List'!E11)/12,2))</f>
        <v/>
      </c>
      <c r="AJ19">
        <f>IF(N(AH19)&lt;=0.005,0,MIN(N('Debt List'!F11),N(AH19)+N(AI19)))+((AP19=7)*AR19+(AT19=7)*AV19+(AX19=7)*AZ19+(BB19=7)*BD19+(BF19=7)*BH19+(BJ19=7)*BL19+(BN19=7)*BP19+(BR19=7)*BT19)</f>
        <v/>
      </c>
      <c r="AK19">
        <f>MAX(0,ROUND(N(AH19)+N(AI19)-N(AJ19),2))</f>
        <v/>
      </c>
      <c r="AL19">
        <f>N(AO18)</f>
        <v/>
      </c>
      <c r="AM19">
        <f>IF(N(AL19)&lt;=0.005,0,ROUND(N(AL19)*N('Debt List'!E12)/12,2))</f>
        <v/>
      </c>
      <c r="AN19">
        <f>IF(N(AL19)&lt;=0.005,0,MIN(N('Debt List'!F12),N(AL19)+N(AM19)))+((AP19=8)*AR19+(AT19=8)*AV19+(AX19=8)*AZ19+(BB19=8)*BD19+(BF19=8)*BH19+(BJ19=8)*BL19+(BN19=8)*BP19+(BR19=8)*BT19)</f>
        <v/>
      </c>
      <c r="AO19">
        <f>MAX(0,ROUND(N(AL19)+N(AM19)-N(AN19),2))</f>
        <v/>
      </c>
      <c r="AP19">
        <f>IFERROR(MATCH(1,OrderPlan,0),"")</f>
        <v/>
      </c>
      <c r="AQ19">
        <f>IF(AP19="",0,IFERROR(IF(N(CHOOSE(AP19,J19,N19,R19,V19,Z19,AD19,AH19,AL19))&lt;=0.005,0,MAX(0,N(CHOOSE(AP19,J19,N19,R19,V19,Z19,AD19,AH19,AL19))+N(CHOOSE(AP19,K19,O19,S19,W19,AA19,AE19,AI19,AM19))-MIN(N(CHOOSE(AP19,'Debt List'!$F$5,'Debt List'!$F$6,'Debt List'!$F$7,'Debt List'!$F$8,'Debt List'!$F$9,'Debt List'!$F$10,'Debt List'!$F$11,'Debt List'!$F$12)),N(CHOOSE(AP19,J19,N19,R19,V19,Z19,AD19,AH19,AL19))+N(CHOOSE(AP19,K19,O19,S19,W19,AA19,AE19,AI19,AM19))))),0))</f>
        <v/>
      </c>
      <c r="AR19">
        <f>MIN(N(AQ19),MAX(0,N(ExtraPayment)))</f>
        <v/>
      </c>
      <c r="AS19">
        <f>MAX(0,N(ExtraPayment)-N(AR19))</f>
        <v/>
      </c>
      <c r="AT19">
        <f>IFERROR(MATCH(2,OrderPlan,0),"")</f>
        <v/>
      </c>
      <c r="AU19">
        <f>IF(AT19="",0,IFERROR(IF(N(CHOOSE(AT19,J19,N19,R19,V19,Z19,AD19,AH19,AL19))&lt;=0.005,0,MAX(0,N(CHOOSE(AT19,J19,N19,R19,V19,Z19,AD19,AH19,AL19))+N(CHOOSE(AT19,K19,O19,S19,W19,AA19,AE19,AI19,AM19))-MIN(N(CHOOSE(AT19,'Debt List'!$F$5,'Debt List'!$F$6,'Debt List'!$F$7,'Debt List'!$F$8,'Debt List'!$F$9,'Debt List'!$F$10,'Debt List'!$F$11,'Debt List'!$F$12)),N(CHOOSE(AT19,J19,N19,R19,V19,Z19,AD19,AH19,AL19))+N(CHOOSE(AT19,K19,O19,S19,W19,AA19,AE19,AI19,AM19))))),0))</f>
        <v/>
      </c>
      <c r="AV19">
        <f>MIN(N(AU19),MAX(0,N(AS19)))</f>
        <v/>
      </c>
      <c r="AW19">
        <f>MAX(0,N(AS19)-N(AV19))</f>
        <v/>
      </c>
      <c r="AX19">
        <f>IFERROR(MATCH(3,OrderPlan,0),"")</f>
        <v/>
      </c>
      <c r="AY19">
        <f>IF(AX19="",0,IFERROR(IF(N(CHOOSE(AX19,J19,N19,R19,V19,Z19,AD19,AH19,AL19))&lt;=0.005,0,MAX(0,N(CHOOSE(AX19,J19,N19,R19,V19,Z19,AD19,AH19,AL19))+N(CHOOSE(AX19,K19,O19,S19,W19,AA19,AE19,AI19,AM19))-MIN(N(CHOOSE(AX19,'Debt List'!$F$5,'Debt List'!$F$6,'Debt List'!$F$7,'Debt List'!$F$8,'Debt List'!$F$9,'Debt List'!$F$10,'Debt List'!$F$11,'Debt List'!$F$12)),N(CHOOSE(AX19,J19,N19,R19,V19,Z19,AD19,AH19,AL19))+N(CHOOSE(AX19,K19,O19,S19,W19,AA19,AE19,AI19,AM19))))),0))</f>
        <v/>
      </c>
      <c r="AZ19">
        <f>MIN(N(AY19),MAX(0,N(AW19)))</f>
        <v/>
      </c>
      <c r="BA19">
        <f>MAX(0,N(AW19)-N(AZ19))</f>
        <v/>
      </c>
      <c r="BB19">
        <f>IFERROR(MATCH(4,OrderPlan,0),"")</f>
        <v/>
      </c>
      <c r="BC19">
        <f>IF(BB19="",0,IFERROR(IF(N(CHOOSE(BB19,J19,N19,R19,V19,Z19,AD19,AH19,AL19))&lt;=0.005,0,MAX(0,N(CHOOSE(BB19,J19,N19,R19,V19,Z19,AD19,AH19,AL19))+N(CHOOSE(BB19,K19,O19,S19,W19,AA19,AE19,AI19,AM19))-MIN(N(CHOOSE(BB19,'Debt List'!$F$5,'Debt List'!$F$6,'Debt List'!$F$7,'Debt List'!$F$8,'Debt List'!$F$9,'Debt List'!$F$10,'Debt List'!$F$11,'Debt List'!$F$12)),N(CHOOSE(BB19,J19,N19,R19,V19,Z19,AD19,AH19,AL19))+N(CHOOSE(BB19,K19,O19,S19,W19,AA19,AE19,AI19,AM19))))),0))</f>
        <v/>
      </c>
      <c r="BD19">
        <f>MIN(N(BC19),MAX(0,N(BA19)))</f>
        <v/>
      </c>
      <c r="BE19">
        <f>MAX(0,N(BA19)-N(BD19))</f>
        <v/>
      </c>
      <c r="BF19">
        <f>IFERROR(MATCH(5,OrderPlan,0),"")</f>
        <v/>
      </c>
      <c r="BG19">
        <f>IF(BF19="",0,IFERROR(IF(N(CHOOSE(BF19,J19,N19,R19,V19,Z19,AD19,AH19,AL19))&lt;=0.005,0,MAX(0,N(CHOOSE(BF19,J19,N19,R19,V19,Z19,AD19,AH19,AL19))+N(CHOOSE(BF19,K19,O19,S19,W19,AA19,AE19,AI19,AM19))-MIN(N(CHOOSE(BF19,'Debt List'!$F$5,'Debt List'!$F$6,'Debt List'!$F$7,'Debt List'!$F$8,'Debt List'!$F$9,'Debt List'!$F$10,'Debt List'!$F$11,'Debt List'!$F$12)),N(CHOOSE(BF19,J19,N19,R19,V19,Z19,AD19,AH19,AL19))+N(CHOOSE(BF19,K19,O19,S19,W19,AA19,AE19,AI19,AM19))))),0))</f>
        <v/>
      </c>
      <c r="BH19">
        <f>MIN(N(BG19),MAX(0,N(BE19)))</f>
        <v/>
      </c>
      <c r="BI19">
        <f>MAX(0,N(BE19)-N(BH19))</f>
        <v/>
      </c>
      <c r="BJ19">
        <f>IFERROR(MATCH(6,OrderPlan,0),"")</f>
        <v/>
      </c>
      <c r="BK19">
        <f>IF(BJ19="",0,IFERROR(IF(N(CHOOSE(BJ19,J19,N19,R19,V19,Z19,AD19,AH19,AL19))&lt;=0.005,0,MAX(0,N(CHOOSE(BJ19,J19,N19,R19,V19,Z19,AD19,AH19,AL19))+N(CHOOSE(BJ19,K19,O19,S19,W19,AA19,AE19,AI19,AM19))-MIN(N(CHOOSE(BJ19,'Debt List'!$F$5,'Debt List'!$F$6,'Debt List'!$F$7,'Debt List'!$F$8,'Debt List'!$F$9,'Debt List'!$F$10,'Debt List'!$F$11,'Debt List'!$F$12)),N(CHOOSE(BJ19,J19,N19,R19,V19,Z19,AD19,AH19,AL19))+N(CHOOSE(BJ19,K19,O19,S19,W19,AA19,AE19,AI19,AM19))))),0))</f>
        <v/>
      </c>
      <c r="BL19">
        <f>MIN(N(BK19),MAX(0,N(BI19)))</f>
        <v/>
      </c>
      <c r="BM19">
        <f>MAX(0,N(BI19)-N(BL19))</f>
        <v/>
      </c>
      <c r="BN19">
        <f>IFERROR(MATCH(7,OrderPlan,0),"")</f>
        <v/>
      </c>
      <c r="BO19">
        <f>IF(BN19="",0,IFERROR(IF(N(CHOOSE(BN19,J19,N19,R19,V19,Z19,AD19,AH19,AL19))&lt;=0.005,0,MAX(0,N(CHOOSE(BN19,J19,N19,R19,V19,Z19,AD19,AH19,AL19))+N(CHOOSE(BN19,K19,O19,S19,W19,AA19,AE19,AI19,AM19))-MIN(N(CHOOSE(BN19,'Debt List'!$F$5,'Debt List'!$F$6,'Debt List'!$F$7,'Debt List'!$F$8,'Debt List'!$F$9,'Debt List'!$F$10,'Debt List'!$F$11,'Debt List'!$F$12)),N(CHOOSE(BN19,J19,N19,R19,V19,Z19,AD19,AH19,AL19))+N(CHOOSE(BN19,K19,O19,S19,W19,AA19,AE19,AI19,AM19))))),0))</f>
        <v/>
      </c>
      <c r="BP19">
        <f>MIN(N(BO19),MAX(0,N(BM19)))</f>
        <v/>
      </c>
      <c r="BQ19">
        <f>MAX(0,N(BM19)-N(BP19))</f>
        <v/>
      </c>
      <c r="BR19">
        <f>IFERROR(MATCH(8,OrderPlan,0),"")</f>
        <v/>
      </c>
      <c r="BS19">
        <f>IF(BR19="",0,IFERROR(IF(N(CHOOSE(BR19,J19,N19,R19,V19,Z19,AD19,AH19,AL19))&lt;=0.005,0,MAX(0,N(CHOOSE(BR19,J19,N19,R19,V19,Z19,AD19,AH19,AL19))+N(CHOOSE(BR19,K19,O19,S19,W19,AA19,AE19,AI19,AM19))-MIN(N(CHOOSE(BR19,'Debt List'!$F$5,'Debt List'!$F$6,'Debt List'!$F$7,'Debt List'!$F$8,'Debt List'!$F$9,'Debt List'!$F$10,'Debt List'!$F$11,'Debt List'!$F$12)),N(CHOOSE(BR19,J19,N19,R19,V19,Z19,AD19,AH19,AL19))+N(CHOOSE(BR19,K19,O19,S19,W19,AA19,AE19,AI19,AM19))))),0))</f>
        <v/>
      </c>
      <c r="BT19">
        <f>MIN(N(BS19),MAX(0,N(BQ19)))</f>
        <v/>
      </c>
      <c r="BU19">
        <f>MAX(0,N(BQ19)-N(BT19))</f>
        <v/>
      </c>
      <c r="CC19" t="n">
        <v>15</v>
      </c>
      <c r="CD19" s="115">
        <f>DATE(YEAR(PlanStart),MONTH(PlanStart)+CC19-1,1)</f>
        <v/>
      </c>
      <c r="CE19">
        <f>IF(AND(DR19&lt;&gt;"",N(CHOOSE(DR19,CL19,CP19,CT19,CX19,DB19,DF19,DJ19,DN19))&gt;0.005),INDEX(DebtNames,DR19),IF(AND(DV19&lt;&gt;"",N(CHOOSE(DV19,CL19,CP19,CT19,CX19,DB19,DF19,DJ19,DN19))&gt;0.005),INDEX(DebtNames,DV19),IF(AND(DZ19&lt;&gt;"",N(CHOOSE(DZ19,CL19,CP19,CT19,CX19,DB19,DF19,DJ19,DN19))&gt;0.005),INDEX(DebtNames,DZ19),IF(AND(ED19&lt;&gt;"",N(CHOOSE(ED19,CL19,CP19,CT19,CX19,DB19,DF19,DJ19,DN19))&gt;0.005),INDEX(DebtNames,ED19),IF(AND(EH19&lt;&gt;"",N(CHOOSE(EH19,CL19,CP19,CT19,CX19,DB19,DF19,DJ19,DN19))&gt;0.005),INDEX(DebtNames,EH19),IF(AND(EL19&lt;&gt;"",N(CHOOSE(EL19,CL19,CP19,CT19,CX19,DB19,DF19,DJ19,DN19))&gt;0.005),INDEX(DebtNames,EL19),IF(AND(EP19&lt;&gt;"",N(CHOOSE(EP19,CL19,CP19,CT19,CX19,DB19,DF19,DJ19,DN19))&gt;0.005),INDEX(DebtNames,EP19),IF(AND(ET19&lt;&gt;"",N(CHOOSE(ET19,CL19,CP19,CT19,CX19,DB19,DF19,DJ19,DN19))&gt;0.005),INDEX(DebtNames,ET19),""))))))))</f>
        <v/>
      </c>
      <c r="CF19">
        <f>N(EW19)</f>
        <v/>
      </c>
      <c r="CG19">
        <f>N(CN19)+N(CR19)+N(CV19)+N(CZ19)+N(DD19)+N(DH19)+N(DL19)+N(DP19)</f>
        <v/>
      </c>
      <c r="CH19">
        <f>N(CM19)+N(CQ19)+N(CU19)+N(CY19)+N(DC19)+N(DG19)+N(DK19)+N(DO19)</f>
        <v/>
      </c>
      <c r="CI19">
        <f>N(CI18)+N(CH19)</f>
        <v/>
      </c>
      <c r="CJ19">
        <f>N(CO19)+N(CS19)+N(CW19)+N(DA19)+N(DE19)+N(DI19)+N(DM19)+N(DQ19)</f>
        <v/>
      </c>
      <c r="CK19">
        <f>(CO19&gt;0.005)*1+(CS19&gt;0.005)*1+(CW19&gt;0.005)*1+(DA19&gt;0.005)*1+(DE19&gt;0.005)*1+(DI19&gt;0.005)*1+(DM19&gt;0.005)*1+(DQ19&gt;0.005)*1</f>
        <v/>
      </c>
      <c r="CL19">
        <f>N(CO18)</f>
        <v/>
      </c>
      <c r="CM19">
        <f>IF(N(CL19)&lt;=0.005,0,ROUND(N(CL19)*N('Debt List'!E5)/12,2))</f>
        <v/>
      </c>
      <c r="CN19">
        <f>IF(N(CL19)&lt;=0.005,0,MIN(N('Debt List'!F5),N(CL19)+N(CM19)))+((DR19=1)*DT19+(DV19=1)*DX19+(DZ19=1)*EB19+(ED19=1)*EF19+(EH19=1)*EJ19+(EL19=1)*EN19+(EP19=1)*ER19+(ET19=1)*EV19)</f>
        <v/>
      </c>
      <c r="CO19">
        <f>MAX(0,ROUND(N(CL19)+N(CM19)-N(CN19),2))</f>
        <v/>
      </c>
      <c r="CP19">
        <f>N(CS18)</f>
        <v/>
      </c>
      <c r="CQ19">
        <f>IF(N(CP19)&lt;=0.005,0,ROUND(N(CP19)*N('Debt List'!E6)/12,2))</f>
        <v/>
      </c>
      <c r="CR19">
        <f>IF(N(CP19)&lt;=0.005,0,MIN(N('Debt List'!F6),N(CP19)+N(CQ19)))+((DR19=2)*DT19+(DV19=2)*DX19+(DZ19=2)*EB19+(ED19=2)*EF19+(EH19=2)*EJ19+(EL19=2)*EN19+(EP19=2)*ER19+(ET19=2)*EV19)</f>
        <v/>
      </c>
      <c r="CS19">
        <f>MAX(0,ROUND(N(CP19)+N(CQ19)-N(CR19),2))</f>
        <v/>
      </c>
      <c r="CT19">
        <f>N(CW18)</f>
        <v/>
      </c>
      <c r="CU19">
        <f>IF(N(CT19)&lt;=0.005,0,ROUND(N(CT19)*N('Debt List'!E7)/12,2))</f>
        <v/>
      </c>
      <c r="CV19">
        <f>IF(N(CT19)&lt;=0.005,0,MIN(N('Debt List'!F7),N(CT19)+N(CU19)))+((DR19=3)*DT19+(DV19=3)*DX19+(DZ19=3)*EB19+(ED19=3)*EF19+(EH19=3)*EJ19+(EL19=3)*EN19+(EP19=3)*ER19+(ET19=3)*EV19)</f>
        <v/>
      </c>
      <c r="CW19">
        <f>MAX(0,ROUND(N(CT19)+N(CU19)-N(CV19),2))</f>
        <v/>
      </c>
      <c r="CX19">
        <f>N(DA18)</f>
        <v/>
      </c>
      <c r="CY19">
        <f>IF(N(CX19)&lt;=0.005,0,ROUND(N(CX19)*N('Debt List'!E8)/12,2))</f>
        <v/>
      </c>
      <c r="CZ19">
        <f>IF(N(CX19)&lt;=0.005,0,MIN(N('Debt List'!F8),N(CX19)+N(CY19)))+((DR19=4)*DT19+(DV19=4)*DX19+(DZ19=4)*EB19+(ED19=4)*EF19+(EH19=4)*EJ19+(EL19=4)*EN19+(EP19=4)*ER19+(ET19=4)*EV19)</f>
        <v/>
      </c>
      <c r="DA19">
        <f>MAX(0,ROUND(N(CX19)+N(CY19)-N(CZ19),2))</f>
        <v/>
      </c>
      <c r="DB19">
        <f>N(DE18)</f>
        <v/>
      </c>
      <c r="DC19">
        <f>IF(N(DB19)&lt;=0.005,0,ROUND(N(DB19)*N('Debt List'!E9)/12,2))</f>
        <v/>
      </c>
      <c r="DD19">
        <f>IF(N(DB19)&lt;=0.005,0,MIN(N('Debt List'!F9),N(DB19)+N(DC19)))+((DR19=5)*DT19+(DV19=5)*DX19+(DZ19=5)*EB19+(ED19=5)*EF19+(EH19=5)*EJ19+(EL19=5)*EN19+(EP19=5)*ER19+(ET19=5)*EV19)</f>
        <v/>
      </c>
      <c r="DE19">
        <f>MAX(0,ROUND(N(DB19)+N(DC19)-N(DD19),2))</f>
        <v/>
      </c>
      <c r="DF19">
        <f>N(DI18)</f>
        <v/>
      </c>
      <c r="DG19">
        <f>IF(N(DF19)&lt;=0.005,0,ROUND(N(DF19)*N('Debt List'!E10)/12,2))</f>
        <v/>
      </c>
      <c r="DH19">
        <f>IF(N(DF19)&lt;=0.005,0,MIN(N('Debt List'!F10),N(DF19)+N(DG19)))+((DR19=6)*DT19+(DV19=6)*DX19+(DZ19=6)*EB19+(ED19=6)*EF19+(EH19=6)*EJ19+(EL19=6)*EN19+(EP19=6)*ER19+(ET19=6)*EV19)</f>
        <v/>
      </c>
      <c r="DI19">
        <f>MAX(0,ROUND(N(DF19)+N(DG19)-N(DH19),2))</f>
        <v/>
      </c>
      <c r="DJ19">
        <f>N(DM18)</f>
        <v/>
      </c>
      <c r="DK19">
        <f>IF(N(DJ19)&lt;=0.005,0,ROUND(N(DJ19)*N('Debt List'!E11)/12,2))</f>
        <v/>
      </c>
      <c r="DL19">
        <f>IF(N(DJ19)&lt;=0.005,0,MIN(N('Debt List'!F11),N(DJ19)+N(DK19)))+((DR19=7)*DT19+(DV19=7)*DX19+(DZ19=7)*EB19+(ED19=7)*EF19+(EH19=7)*EJ19+(EL19=7)*EN19+(EP19=7)*ER19+(ET19=7)*EV19)</f>
        <v/>
      </c>
      <c r="DM19">
        <f>MAX(0,ROUND(N(DJ19)+N(DK19)-N(DL19),2))</f>
        <v/>
      </c>
      <c r="DN19">
        <f>N(DQ18)</f>
        <v/>
      </c>
      <c r="DO19">
        <f>IF(N(DN19)&lt;=0.005,0,ROUND(N(DN19)*N('Debt List'!E12)/12,2))</f>
        <v/>
      </c>
      <c r="DP19">
        <f>IF(N(DN19)&lt;=0.005,0,MIN(N('Debt List'!F12),N(DN19)+N(DO19)))+((DR19=8)*DT19+(DV19=8)*DX19+(DZ19=8)*EB19+(ED19=8)*EF19+(EH19=8)*EJ19+(EL19=8)*EN19+(EP19=8)*ER19+(ET19=8)*EV19)</f>
        <v/>
      </c>
      <c r="DQ19">
        <f>MAX(0,ROUND(N(DN19)+N(DO19)-N(DP19),2))</f>
        <v/>
      </c>
      <c r="DR19">
        <f>IFERROR(MATCH(1,OrderSnow,0),"")</f>
        <v/>
      </c>
      <c r="DS19">
        <f>IF(DR19="",0,IFERROR(IF(N(CHOOSE(DR19,CL19,CP19,CT19,CX19,DB19,DF19,DJ19,DN19))&lt;=0.005,0,MAX(0,N(CHOOSE(DR19,CL19,CP19,CT19,CX19,DB19,DF19,DJ19,DN19))+N(CHOOSE(DR19,CM19,CQ19,CU19,CY19,DC19,DG19,DK19,DO19))-MIN(N(CHOOSE(DR19,'Debt List'!$F$5,'Debt List'!$F$6,'Debt List'!$F$7,'Debt List'!$F$8,'Debt List'!$F$9,'Debt List'!$F$10,'Debt List'!$F$11,'Debt List'!$F$12)),N(CHOOSE(DR19,CL19,CP19,CT19,CX19,DB19,DF19,DJ19,DN19))+N(CHOOSE(DR19,CM19,CQ19,CU19,CY19,DC19,DG19,DK19,DO19))))),0))</f>
        <v/>
      </c>
      <c r="DT19">
        <f>MIN(N(DS19),MAX(0,N(ExtraPayment)))</f>
        <v/>
      </c>
      <c r="DU19">
        <f>MAX(0,N(ExtraPayment)-N(DT19))</f>
        <v/>
      </c>
      <c r="DV19">
        <f>IFERROR(MATCH(2,OrderSnow,0),"")</f>
        <v/>
      </c>
      <c r="DW19">
        <f>IF(DV19="",0,IFERROR(IF(N(CHOOSE(DV19,CL19,CP19,CT19,CX19,DB19,DF19,DJ19,DN19))&lt;=0.005,0,MAX(0,N(CHOOSE(DV19,CL19,CP19,CT19,CX19,DB19,DF19,DJ19,DN19))+N(CHOOSE(DV19,CM19,CQ19,CU19,CY19,DC19,DG19,DK19,DO19))-MIN(N(CHOOSE(DV19,'Debt List'!$F$5,'Debt List'!$F$6,'Debt List'!$F$7,'Debt List'!$F$8,'Debt List'!$F$9,'Debt List'!$F$10,'Debt List'!$F$11,'Debt List'!$F$12)),N(CHOOSE(DV19,CL19,CP19,CT19,CX19,DB19,DF19,DJ19,DN19))+N(CHOOSE(DV19,CM19,CQ19,CU19,CY19,DC19,DG19,DK19,DO19))))),0))</f>
        <v/>
      </c>
      <c r="DX19">
        <f>MIN(N(DW19),MAX(0,N(DU19)))</f>
        <v/>
      </c>
      <c r="DY19">
        <f>MAX(0,N(DU19)-N(DX19))</f>
        <v/>
      </c>
      <c r="DZ19">
        <f>IFERROR(MATCH(3,OrderSnow,0),"")</f>
        <v/>
      </c>
      <c r="EA19">
        <f>IF(DZ19="",0,IFERROR(IF(N(CHOOSE(DZ19,CL19,CP19,CT19,CX19,DB19,DF19,DJ19,DN19))&lt;=0.005,0,MAX(0,N(CHOOSE(DZ19,CL19,CP19,CT19,CX19,DB19,DF19,DJ19,DN19))+N(CHOOSE(DZ19,CM19,CQ19,CU19,CY19,DC19,DG19,DK19,DO19))-MIN(N(CHOOSE(DZ19,'Debt List'!$F$5,'Debt List'!$F$6,'Debt List'!$F$7,'Debt List'!$F$8,'Debt List'!$F$9,'Debt List'!$F$10,'Debt List'!$F$11,'Debt List'!$F$12)),N(CHOOSE(DZ19,CL19,CP19,CT19,CX19,DB19,DF19,DJ19,DN19))+N(CHOOSE(DZ19,CM19,CQ19,CU19,CY19,DC19,DG19,DK19,DO19))))),0))</f>
        <v/>
      </c>
      <c r="EB19">
        <f>MIN(N(EA19),MAX(0,N(DY19)))</f>
        <v/>
      </c>
      <c r="EC19">
        <f>MAX(0,N(DY19)-N(EB19))</f>
        <v/>
      </c>
      <c r="ED19">
        <f>IFERROR(MATCH(4,OrderSnow,0),"")</f>
        <v/>
      </c>
      <c r="EE19">
        <f>IF(ED19="",0,IFERROR(IF(N(CHOOSE(ED19,CL19,CP19,CT19,CX19,DB19,DF19,DJ19,DN19))&lt;=0.005,0,MAX(0,N(CHOOSE(ED19,CL19,CP19,CT19,CX19,DB19,DF19,DJ19,DN19))+N(CHOOSE(ED19,CM19,CQ19,CU19,CY19,DC19,DG19,DK19,DO19))-MIN(N(CHOOSE(ED19,'Debt List'!$F$5,'Debt List'!$F$6,'Debt List'!$F$7,'Debt List'!$F$8,'Debt List'!$F$9,'Debt List'!$F$10,'Debt List'!$F$11,'Debt List'!$F$12)),N(CHOOSE(ED19,CL19,CP19,CT19,CX19,DB19,DF19,DJ19,DN19))+N(CHOOSE(ED19,CM19,CQ19,CU19,CY19,DC19,DG19,DK19,DO19))))),0))</f>
        <v/>
      </c>
      <c r="EF19">
        <f>MIN(N(EE19),MAX(0,N(EC19)))</f>
        <v/>
      </c>
      <c r="EG19">
        <f>MAX(0,N(EC19)-N(EF19))</f>
        <v/>
      </c>
      <c r="EH19">
        <f>IFERROR(MATCH(5,OrderSnow,0),"")</f>
        <v/>
      </c>
      <c r="EI19">
        <f>IF(EH19="",0,IFERROR(IF(N(CHOOSE(EH19,CL19,CP19,CT19,CX19,DB19,DF19,DJ19,DN19))&lt;=0.005,0,MAX(0,N(CHOOSE(EH19,CL19,CP19,CT19,CX19,DB19,DF19,DJ19,DN19))+N(CHOOSE(EH19,CM19,CQ19,CU19,CY19,DC19,DG19,DK19,DO19))-MIN(N(CHOOSE(EH19,'Debt List'!$F$5,'Debt List'!$F$6,'Debt List'!$F$7,'Debt List'!$F$8,'Debt List'!$F$9,'Debt List'!$F$10,'Debt List'!$F$11,'Debt List'!$F$12)),N(CHOOSE(EH19,CL19,CP19,CT19,CX19,DB19,DF19,DJ19,DN19))+N(CHOOSE(EH19,CM19,CQ19,CU19,CY19,DC19,DG19,DK19,DO19))))),0))</f>
        <v/>
      </c>
      <c r="EJ19">
        <f>MIN(N(EI19),MAX(0,N(EG19)))</f>
        <v/>
      </c>
      <c r="EK19">
        <f>MAX(0,N(EG19)-N(EJ19))</f>
        <v/>
      </c>
      <c r="EL19">
        <f>IFERROR(MATCH(6,OrderSnow,0),"")</f>
        <v/>
      </c>
      <c r="EM19">
        <f>IF(EL19="",0,IFERROR(IF(N(CHOOSE(EL19,CL19,CP19,CT19,CX19,DB19,DF19,DJ19,DN19))&lt;=0.005,0,MAX(0,N(CHOOSE(EL19,CL19,CP19,CT19,CX19,DB19,DF19,DJ19,DN19))+N(CHOOSE(EL19,CM19,CQ19,CU19,CY19,DC19,DG19,DK19,DO19))-MIN(N(CHOOSE(EL19,'Debt List'!$F$5,'Debt List'!$F$6,'Debt List'!$F$7,'Debt List'!$F$8,'Debt List'!$F$9,'Debt List'!$F$10,'Debt List'!$F$11,'Debt List'!$F$12)),N(CHOOSE(EL19,CL19,CP19,CT19,CX19,DB19,DF19,DJ19,DN19))+N(CHOOSE(EL19,CM19,CQ19,CU19,CY19,DC19,DG19,DK19,DO19))))),0))</f>
        <v/>
      </c>
      <c r="EN19">
        <f>MIN(N(EM19),MAX(0,N(EK19)))</f>
        <v/>
      </c>
      <c r="EO19">
        <f>MAX(0,N(EK19)-N(EN19))</f>
        <v/>
      </c>
      <c r="EP19">
        <f>IFERROR(MATCH(7,OrderSnow,0),"")</f>
        <v/>
      </c>
      <c r="EQ19">
        <f>IF(EP19="",0,IFERROR(IF(N(CHOOSE(EP19,CL19,CP19,CT19,CX19,DB19,DF19,DJ19,DN19))&lt;=0.005,0,MAX(0,N(CHOOSE(EP19,CL19,CP19,CT19,CX19,DB19,DF19,DJ19,DN19))+N(CHOOSE(EP19,CM19,CQ19,CU19,CY19,DC19,DG19,DK19,DO19))-MIN(N(CHOOSE(EP19,'Debt List'!$F$5,'Debt List'!$F$6,'Debt List'!$F$7,'Debt List'!$F$8,'Debt List'!$F$9,'Debt List'!$F$10,'Debt List'!$F$11,'Debt List'!$F$12)),N(CHOOSE(EP19,CL19,CP19,CT19,CX19,DB19,DF19,DJ19,DN19))+N(CHOOSE(EP19,CM19,CQ19,CU19,CY19,DC19,DG19,DK19,DO19))))),0))</f>
        <v/>
      </c>
      <c r="ER19">
        <f>MIN(N(EQ19),MAX(0,N(EO19)))</f>
        <v/>
      </c>
      <c r="ES19">
        <f>MAX(0,N(EO19)-N(ER19))</f>
        <v/>
      </c>
      <c r="ET19">
        <f>IFERROR(MATCH(8,OrderSnow,0),"")</f>
        <v/>
      </c>
      <c r="EU19">
        <f>IF(ET19="",0,IFERROR(IF(N(CHOOSE(ET19,CL19,CP19,CT19,CX19,DB19,DF19,DJ19,DN19))&lt;=0.005,0,MAX(0,N(CHOOSE(ET19,CL19,CP19,CT19,CX19,DB19,DF19,DJ19,DN19))+N(CHOOSE(ET19,CM19,CQ19,CU19,CY19,DC19,DG19,DK19,DO19))-MIN(N(CHOOSE(ET19,'Debt List'!$F$5,'Debt List'!$F$6,'Debt List'!$F$7,'Debt List'!$F$8,'Debt List'!$F$9,'Debt List'!$F$10,'Debt List'!$F$11,'Debt List'!$F$12)),N(CHOOSE(ET19,CL19,CP19,CT19,CX19,DB19,DF19,DJ19,DN19))+N(CHOOSE(ET19,CM19,CQ19,CU19,CY19,DC19,DG19,DK19,DO19))))),0))</f>
        <v/>
      </c>
      <c r="EV19">
        <f>MIN(N(EU19),MAX(0,N(ES19)))</f>
        <v/>
      </c>
      <c r="EW19">
        <f>MAX(0,N(ES19)-N(EV19))</f>
        <v/>
      </c>
      <c r="FE19" t="n">
        <v>15</v>
      </c>
      <c r="FF19" s="115">
        <f>DATE(YEAR(PlanStart),MONTH(PlanStart)+FE19-1,1)</f>
        <v/>
      </c>
      <c r="FG19">
        <f>IF(AND(GT19&lt;&gt;"",N(CHOOSE(GT19,FN19,FR19,FV19,FZ19,GD19,GH19,GL19,GP19))&gt;0.005),INDEX(DebtNames,GT19),IF(AND(GX19&lt;&gt;"",N(CHOOSE(GX19,FN19,FR19,FV19,FZ19,GD19,GH19,GL19,GP19))&gt;0.005),INDEX(DebtNames,GX19),IF(AND(HB19&lt;&gt;"",N(CHOOSE(HB19,FN19,FR19,FV19,FZ19,GD19,GH19,GL19,GP19))&gt;0.005),INDEX(DebtNames,HB19),IF(AND(HF19&lt;&gt;"",N(CHOOSE(HF19,FN19,FR19,FV19,FZ19,GD19,GH19,GL19,GP19))&gt;0.005),INDEX(DebtNames,HF19),IF(AND(HJ19&lt;&gt;"",N(CHOOSE(HJ19,FN19,FR19,FV19,FZ19,GD19,GH19,GL19,GP19))&gt;0.005),INDEX(DebtNames,HJ19),IF(AND(HN19&lt;&gt;"",N(CHOOSE(HN19,FN19,FR19,FV19,FZ19,GD19,GH19,GL19,GP19))&gt;0.005),INDEX(DebtNames,HN19),IF(AND(HR19&lt;&gt;"",N(CHOOSE(HR19,FN19,FR19,FV19,FZ19,GD19,GH19,GL19,GP19))&gt;0.005),INDEX(DebtNames,HR19),IF(AND(HV19&lt;&gt;"",N(CHOOSE(HV19,FN19,FR19,FV19,FZ19,GD19,GH19,GL19,GP19))&gt;0.005),INDEX(DebtNames,HV19),""))))))))</f>
        <v/>
      </c>
      <c r="FH19">
        <f>N(HY19)</f>
        <v/>
      </c>
      <c r="FI19">
        <f>N(FP19)+N(FT19)+N(FX19)+N(GB19)+N(GF19)+N(GJ19)+N(GN19)+N(GR19)</f>
        <v/>
      </c>
      <c r="FJ19">
        <f>N(FO19)+N(FS19)+N(FW19)+N(GA19)+N(GE19)+N(GI19)+N(GM19)+N(GQ19)</f>
        <v/>
      </c>
      <c r="FK19">
        <f>N(FK18)+N(FJ19)</f>
        <v/>
      </c>
      <c r="FL19">
        <f>N(FQ19)+N(FU19)+N(FY19)+N(GC19)+N(GG19)+N(GK19)+N(GO19)+N(GS19)</f>
        <v/>
      </c>
      <c r="FM19">
        <f>(FQ19&gt;0.005)*1+(FU19&gt;0.005)*1+(FY19&gt;0.005)*1+(GC19&gt;0.005)*1+(GG19&gt;0.005)*1+(GK19&gt;0.005)*1+(GO19&gt;0.005)*1+(GS19&gt;0.005)*1</f>
        <v/>
      </c>
      <c r="FN19">
        <f>N(FQ18)</f>
        <v/>
      </c>
      <c r="FO19">
        <f>IF(N(FN19)&lt;=0.005,0,ROUND(N(FN19)*N('Debt List'!E5)/12,2))</f>
        <v/>
      </c>
      <c r="FP19">
        <f>IF(N(FN19)&lt;=0.005,0,MIN(N('Debt List'!F5),N(FN19)+N(FO19)))+((GT19=1)*GV19+(GX19=1)*GZ19+(HB19=1)*HD19+(HF19=1)*HH19+(HJ19=1)*HL19+(HN19=1)*HP19+(HR19=1)*HT19+(HV19=1)*HX19)</f>
        <v/>
      </c>
      <c r="FQ19">
        <f>MAX(0,ROUND(N(FN19)+N(FO19)-N(FP19),2))</f>
        <v/>
      </c>
      <c r="FR19">
        <f>N(FU18)</f>
        <v/>
      </c>
      <c r="FS19">
        <f>IF(N(FR19)&lt;=0.005,0,ROUND(N(FR19)*N('Debt List'!E6)/12,2))</f>
        <v/>
      </c>
      <c r="FT19">
        <f>IF(N(FR19)&lt;=0.005,0,MIN(N('Debt List'!F6),N(FR19)+N(FS19)))+((GT19=2)*GV19+(GX19=2)*GZ19+(HB19=2)*HD19+(HF19=2)*HH19+(HJ19=2)*HL19+(HN19=2)*HP19+(HR19=2)*HT19+(HV19=2)*HX19)</f>
        <v/>
      </c>
      <c r="FU19">
        <f>MAX(0,ROUND(N(FR19)+N(FS19)-N(FT19),2))</f>
        <v/>
      </c>
      <c r="FV19">
        <f>N(FY18)</f>
        <v/>
      </c>
      <c r="FW19">
        <f>IF(N(FV19)&lt;=0.005,0,ROUND(N(FV19)*N('Debt List'!E7)/12,2))</f>
        <v/>
      </c>
      <c r="FX19">
        <f>IF(N(FV19)&lt;=0.005,0,MIN(N('Debt List'!F7),N(FV19)+N(FW19)))+((GT19=3)*GV19+(GX19=3)*GZ19+(HB19=3)*HD19+(HF19=3)*HH19+(HJ19=3)*HL19+(HN19=3)*HP19+(HR19=3)*HT19+(HV19=3)*HX19)</f>
        <v/>
      </c>
      <c r="FY19">
        <f>MAX(0,ROUND(N(FV19)+N(FW19)-N(FX19),2))</f>
        <v/>
      </c>
      <c r="FZ19">
        <f>N(GC18)</f>
        <v/>
      </c>
      <c r="GA19">
        <f>IF(N(FZ19)&lt;=0.005,0,ROUND(N(FZ19)*N('Debt List'!E8)/12,2))</f>
        <v/>
      </c>
      <c r="GB19">
        <f>IF(N(FZ19)&lt;=0.005,0,MIN(N('Debt List'!F8),N(FZ19)+N(GA19)))+((GT19=4)*GV19+(GX19=4)*GZ19+(HB19=4)*HD19+(HF19=4)*HH19+(HJ19=4)*HL19+(HN19=4)*HP19+(HR19=4)*HT19+(HV19=4)*HX19)</f>
        <v/>
      </c>
      <c r="GC19">
        <f>MAX(0,ROUND(N(FZ19)+N(GA19)-N(GB19),2))</f>
        <v/>
      </c>
      <c r="GD19">
        <f>N(GG18)</f>
        <v/>
      </c>
      <c r="GE19">
        <f>IF(N(GD19)&lt;=0.005,0,ROUND(N(GD19)*N('Debt List'!E9)/12,2))</f>
        <v/>
      </c>
      <c r="GF19">
        <f>IF(N(GD19)&lt;=0.005,0,MIN(N('Debt List'!F9),N(GD19)+N(GE19)))+((GT19=5)*GV19+(GX19=5)*GZ19+(HB19=5)*HD19+(HF19=5)*HH19+(HJ19=5)*HL19+(HN19=5)*HP19+(HR19=5)*HT19+(HV19=5)*HX19)</f>
        <v/>
      </c>
      <c r="GG19">
        <f>MAX(0,ROUND(N(GD19)+N(GE19)-N(GF19),2))</f>
        <v/>
      </c>
      <c r="GH19">
        <f>N(GK18)</f>
        <v/>
      </c>
      <c r="GI19">
        <f>IF(N(GH19)&lt;=0.005,0,ROUND(N(GH19)*N('Debt List'!E10)/12,2))</f>
        <v/>
      </c>
      <c r="GJ19">
        <f>IF(N(GH19)&lt;=0.005,0,MIN(N('Debt List'!F10),N(GH19)+N(GI19)))+((GT19=6)*GV19+(GX19=6)*GZ19+(HB19=6)*HD19+(HF19=6)*HH19+(HJ19=6)*HL19+(HN19=6)*HP19+(HR19=6)*HT19+(HV19=6)*HX19)</f>
        <v/>
      </c>
      <c r="GK19">
        <f>MAX(0,ROUND(N(GH19)+N(GI19)-N(GJ19),2))</f>
        <v/>
      </c>
      <c r="GL19">
        <f>N(GO18)</f>
        <v/>
      </c>
      <c r="GM19">
        <f>IF(N(GL19)&lt;=0.005,0,ROUND(N(GL19)*N('Debt List'!E11)/12,2))</f>
        <v/>
      </c>
      <c r="GN19">
        <f>IF(N(GL19)&lt;=0.005,0,MIN(N('Debt List'!F11),N(GL19)+N(GM19)))+((GT19=7)*GV19+(GX19=7)*GZ19+(HB19=7)*HD19+(HF19=7)*HH19+(HJ19=7)*HL19+(HN19=7)*HP19+(HR19=7)*HT19+(HV19=7)*HX19)</f>
        <v/>
      </c>
      <c r="GO19">
        <f>MAX(0,ROUND(N(GL19)+N(GM19)-N(GN19),2))</f>
        <v/>
      </c>
      <c r="GP19">
        <f>N(GS18)</f>
        <v/>
      </c>
      <c r="GQ19">
        <f>IF(N(GP19)&lt;=0.005,0,ROUND(N(GP19)*N('Debt List'!E12)/12,2))</f>
        <v/>
      </c>
      <c r="GR19">
        <f>IF(N(GP19)&lt;=0.005,0,MIN(N('Debt List'!F12),N(GP19)+N(GQ19)))+((GT19=8)*GV19+(GX19=8)*GZ19+(HB19=8)*HD19+(HF19=8)*HH19+(HJ19=8)*HL19+(HN19=8)*HP19+(HR19=8)*HT19+(HV19=8)*HX19)</f>
        <v/>
      </c>
      <c r="GS19">
        <f>MAX(0,ROUND(N(GP19)+N(GQ19)-N(GR19),2))</f>
        <v/>
      </c>
      <c r="GT19">
        <f>IFERROR(MATCH(1,OrderAval,0),"")</f>
        <v/>
      </c>
      <c r="GU19">
        <f>IF(GT19="",0,IFERROR(IF(N(CHOOSE(GT19,FN19,FR19,FV19,FZ19,GD19,GH19,GL19,GP19))&lt;=0.005,0,MAX(0,N(CHOOSE(GT19,FN19,FR19,FV19,FZ19,GD19,GH19,GL19,GP19))+N(CHOOSE(GT19,FO19,FS19,FW19,GA19,GE19,GI19,GM19,GQ19))-MIN(N(CHOOSE(GT19,'Debt List'!$F$5,'Debt List'!$F$6,'Debt List'!$F$7,'Debt List'!$F$8,'Debt List'!$F$9,'Debt List'!$F$10,'Debt List'!$F$11,'Debt List'!$F$12)),N(CHOOSE(GT19,FN19,FR19,FV19,FZ19,GD19,GH19,GL19,GP19))+N(CHOOSE(GT19,FO19,FS19,FW19,GA19,GE19,GI19,GM19,GQ19))))),0))</f>
        <v/>
      </c>
      <c r="GV19">
        <f>MIN(N(GU19),MAX(0,N(ExtraPayment)))</f>
        <v/>
      </c>
      <c r="GW19">
        <f>MAX(0,N(ExtraPayment)-N(GV19))</f>
        <v/>
      </c>
      <c r="GX19">
        <f>IFERROR(MATCH(2,OrderAval,0),"")</f>
        <v/>
      </c>
      <c r="GY19">
        <f>IF(GX19="",0,IFERROR(IF(N(CHOOSE(GX19,FN19,FR19,FV19,FZ19,GD19,GH19,GL19,GP19))&lt;=0.005,0,MAX(0,N(CHOOSE(GX19,FN19,FR19,FV19,FZ19,GD19,GH19,GL19,GP19))+N(CHOOSE(GX19,FO19,FS19,FW19,GA19,GE19,GI19,GM19,GQ19))-MIN(N(CHOOSE(GX19,'Debt List'!$F$5,'Debt List'!$F$6,'Debt List'!$F$7,'Debt List'!$F$8,'Debt List'!$F$9,'Debt List'!$F$10,'Debt List'!$F$11,'Debt List'!$F$12)),N(CHOOSE(GX19,FN19,FR19,FV19,FZ19,GD19,GH19,GL19,GP19))+N(CHOOSE(GX19,FO19,FS19,FW19,GA19,GE19,GI19,GM19,GQ19))))),0))</f>
        <v/>
      </c>
      <c r="GZ19">
        <f>MIN(N(GY19),MAX(0,N(GW19)))</f>
        <v/>
      </c>
      <c r="HA19">
        <f>MAX(0,N(GW19)-N(GZ19))</f>
        <v/>
      </c>
      <c r="HB19">
        <f>IFERROR(MATCH(3,OrderAval,0),"")</f>
        <v/>
      </c>
      <c r="HC19">
        <f>IF(HB19="",0,IFERROR(IF(N(CHOOSE(HB19,FN19,FR19,FV19,FZ19,GD19,GH19,GL19,GP19))&lt;=0.005,0,MAX(0,N(CHOOSE(HB19,FN19,FR19,FV19,FZ19,GD19,GH19,GL19,GP19))+N(CHOOSE(HB19,FO19,FS19,FW19,GA19,GE19,GI19,GM19,GQ19))-MIN(N(CHOOSE(HB19,'Debt List'!$F$5,'Debt List'!$F$6,'Debt List'!$F$7,'Debt List'!$F$8,'Debt List'!$F$9,'Debt List'!$F$10,'Debt List'!$F$11,'Debt List'!$F$12)),N(CHOOSE(HB19,FN19,FR19,FV19,FZ19,GD19,GH19,GL19,GP19))+N(CHOOSE(HB19,FO19,FS19,FW19,GA19,GE19,GI19,GM19,GQ19))))),0))</f>
        <v/>
      </c>
      <c r="HD19">
        <f>MIN(N(HC19),MAX(0,N(HA19)))</f>
        <v/>
      </c>
      <c r="HE19">
        <f>MAX(0,N(HA19)-N(HD19))</f>
        <v/>
      </c>
      <c r="HF19">
        <f>IFERROR(MATCH(4,OrderAval,0),"")</f>
        <v/>
      </c>
      <c r="HG19">
        <f>IF(HF19="",0,IFERROR(IF(N(CHOOSE(HF19,FN19,FR19,FV19,FZ19,GD19,GH19,GL19,GP19))&lt;=0.005,0,MAX(0,N(CHOOSE(HF19,FN19,FR19,FV19,FZ19,GD19,GH19,GL19,GP19))+N(CHOOSE(HF19,FO19,FS19,FW19,GA19,GE19,GI19,GM19,GQ19))-MIN(N(CHOOSE(HF19,'Debt List'!$F$5,'Debt List'!$F$6,'Debt List'!$F$7,'Debt List'!$F$8,'Debt List'!$F$9,'Debt List'!$F$10,'Debt List'!$F$11,'Debt List'!$F$12)),N(CHOOSE(HF19,FN19,FR19,FV19,FZ19,GD19,GH19,GL19,GP19))+N(CHOOSE(HF19,FO19,FS19,FW19,GA19,GE19,GI19,GM19,GQ19))))),0))</f>
        <v/>
      </c>
      <c r="HH19">
        <f>MIN(N(HG19),MAX(0,N(HE19)))</f>
        <v/>
      </c>
      <c r="HI19">
        <f>MAX(0,N(HE19)-N(HH19))</f>
        <v/>
      </c>
      <c r="HJ19">
        <f>IFERROR(MATCH(5,OrderAval,0),"")</f>
        <v/>
      </c>
      <c r="HK19">
        <f>IF(HJ19="",0,IFERROR(IF(N(CHOOSE(HJ19,FN19,FR19,FV19,FZ19,GD19,GH19,GL19,GP19))&lt;=0.005,0,MAX(0,N(CHOOSE(HJ19,FN19,FR19,FV19,FZ19,GD19,GH19,GL19,GP19))+N(CHOOSE(HJ19,FO19,FS19,FW19,GA19,GE19,GI19,GM19,GQ19))-MIN(N(CHOOSE(HJ19,'Debt List'!$F$5,'Debt List'!$F$6,'Debt List'!$F$7,'Debt List'!$F$8,'Debt List'!$F$9,'Debt List'!$F$10,'Debt List'!$F$11,'Debt List'!$F$12)),N(CHOOSE(HJ19,FN19,FR19,FV19,FZ19,GD19,GH19,GL19,GP19))+N(CHOOSE(HJ19,FO19,FS19,FW19,GA19,GE19,GI19,GM19,GQ19))))),0))</f>
        <v/>
      </c>
      <c r="HL19">
        <f>MIN(N(HK19),MAX(0,N(HI19)))</f>
        <v/>
      </c>
      <c r="HM19">
        <f>MAX(0,N(HI19)-N(HL19))</f>
        <v/>
      </c>
      <c r="HN19">
        <f>IFERROR(MATCH(6,OrderAval,0),"")</f>
        <v/>
      </c>
      <c r="HO19">
        <f>IF(HN19="",0,IFERROR(IF(N(CHOOSE(HN19,FN19,FR19,FV19,FZ19,GD19,GH19,GL19,GP19))&lt;=0.005,0,MAX(0,N(CHOOSE(HN19,FN19,FR19,FV19,FZ19,GD19,GH19,GL19,GP19))+N(CHOOSE(HN19,FO19,FS19,FW19,GA19,GE19,GI19,GM19,GQ19))-MIN(N(CHOOSE(HN19,'Debt List'!$F$5,'Debt List'!$F$6,'Debt List'!$F$7,'Debt List'!$F$8,'Debt List'!$F$9,'Debt List'!$F$10,'Debt List'!$F$11,'Debt List'!$F$12)),N(CHOOSE(HN19,FN19,FR19,FV19,FZ19,GD19,GH19,GL19,GP19))+N(CHOOSE(HN19,FO19,FS19,FW19,GA19,GE19,GI19,GM19,GQ19))))),0))</f>
        <v/>
      </c>
      <c r="HP19">
        <f>MIN(N(HO19),MAX(0,N(HM19)))</f>
        <v/>
      </c>
      <c r="HQ19">
        <f>MAX(0,N(HM19)-N(HP19))</f>
        <v/>
      </c>
      <c r="HR19">
        <f>IFERROR(MATCH(7,OrderAval,0),"")</f>
        <v/>
      </c>
      <c r="HS19">
        <f>IF(HR19="",0,IFERROR(IF(N(CHOOSE(HR19,FN19,FR19,FV19,FZ19,GD19,GH19,GL19,GP19))&lt;=0.005,0,MAX(0,N(CHOOSE(HR19,FN19,FR19,FV19,FZ19,GD19,GH19,GL19,GP19))+N(CHOOSE(HR19,FO19,FS19,FW19,GA19,GE19,GI19,GM19,GQ19))-MIN(N(CHOOSE(HR19,'Debt List'!$F$5,'Debt List'!$F$6,'Debt List'!$F$7,'Debt List'!$F$8,'Debt List'!$F$9,'Debt List'!$F$10,'Debt List'!$F$11,'Debt List'!$F$12)),N(CHOOSE(HR19,FN19,FR19,FV19,FZ19,GD19,GH19,GL19,GP19))+N(CHOOSE(HR19,FO19,FS19,FW19,GA19,GE19,GI19,GM19,GQ19))))),0))</f>
        <v/>
      </c>
      <c r="HT19">
        <f>MIN(N(HS19),MAX(0,N(HQ19)))</f>
        <v/>
      </c>
      <c r="HU19">
        <f>MAX(0,N(HQ19)-N(HT19))</f>
        <v/>
      </c>
      <c r="HV19">
        <f>IFERROR(MATCH(8,OrderAval,0),"")</f>
        <v/>
      </c>
      <c r="HW19">
        <f>IF(HV19="",0,IFERROR(IF(N(CHOOSE(HV19,FN19,FR19,FV19,FZ19,GD19,GH19,GL19,GP19))&lt;=0.005,0,MAX(0,N(CHOOSE(HV19,FN19,FR19,FV19,FZ19,GD19,GH19,GL19,GP19))+N(CHOOSE(HV19,FO19,FS19,FW19,GA19,GE19,GI19,GM19,GQ19))-MIN(N(CHOOSE(HV19,'Debt List'!$F$5,'Debt List'!$F$6,'Debt List'!$F$7,'Debt List'!$F$8,'Debt List'!$F$9,'Debt List'!$F$10,'Debt List'!$F$11,'Debt List'!$F$12)),N(CHOOSE(HV19,FN19,FR19,FV19,FZ19,GD19,GH19,GL19,GP19))+N(CHOOSE(HV19,FO19,FS19,FW19,GA19,GE19,GI19,GM19,GQ19))))),0))</f>
        <v/>
      </c>
      <c r="HX19">
        <f>MIN(N(HW19),MAX(0,N(HU19)))</f>
        <v/>
      </c>
      <c r="HY19">
        <f>MAX(0,N(HU19)-N(HX19))</f>
        <v/>
      </c>
    </row>
    <row r="20">
      <c r="A20" t="n">
        <v>16</v>
      </c>
      <c r="B20" s="115">
        <f>DATE(YEAR(PlanStart),MONTH(PlanStart)+A20-1,1)</f>
        <v/>
      </c>
      <c r="C20">
        <f>IF(AND(AP20&lt;&gt;"",N(CHOOSE(AP20,J20,N20,R20,V20,Z20,AD20,AH20,AL20))&gt;0.005),INDEX(DebtNames,AP20),IF(AND(AT20&lt;&gt;"",N(CHOOSE(AT20,J20,N20,R20,V20,Z20,AD20,AH20,AL20))&gt;0.005),INDEX(DebtNames,AT20),IF(AND(AX20&lt;&gt;"",N(CHOOSE(AX20,J20,N20,R20,V20,Z20,AD20,AH20,AL20))&gt;0.005),INDEX(DebtNames,AX20),IF(AND(BB20&lt;&gt;"",N(CHOOSE(BB20,J20,N20,R20,V20,Z20,AD20,AH20,AL20))&gt;0.005),INDEX(DebtNames,BB20),IF(AND(BF20&lt;&gt;"",N(CHOOSE(BF20,J20,N20,R20,V20,Z20,AD20,AH20,AL20))&gt;0.005),INDEX(DebtNames,BF20),IF(AND(BJ20&lt;&gt;"",N(CHOOSE(BJ20,J20,N20,R20,V20,Z20,AD20,AH20,AL20))&gt;0.005),INDEX(DebtNames,BJ20),IF(AND(BN20&lt;&gt;"",N(CHOOSE(BN20,J20,N20,R20,V20,Z20,AD20,AH20,AL20))&gt;0.005),INDEX(DebtNames,BN20),IF(AND(BR20&lt;&gt;"",N(CHOOSE(BR20,J20,N20,R20,V20,Z20,AD20,AH20,AL20))&gt;0.005),INDEX(DebtNames,BR20),""))))))))</f>
        <v/>
      </c>
      <c r="D20">
        <f>N(BU20)</f>
        <v/>
      </c>
      <c r="E20">
        <f>N(L20)+N(P20)+N(T20)+N(X20)+N(AB20)+N(AF20)+N(AJ20)+N(AN20)</f>
        <v/>
      </c>
      <c r="F20">
        <f>N(K20)+N(O20)+N(S20)+N(W20)+N(AA20)+N(AE20)+N(AI20)+N(AM20)</f>
        <v/>
      </c>
      <c r="G20">
        <f>N(G19)+N(F20)</f>
        <v/>
      </c>
      <c r="H20">
        <f>N(M20)+N(Q20)+N(U20)+N(Y20)+N(AC20)+N(AG20)+N(AK20)+N(AO20)</f>
        <v/>
      </c>
      <c r="I20">
        <f>(M20&gt;0.005)*1+(Q20&gt;0.005)*1+(U20&gt;0.005)*1+(Y20&gt;0.005)*1+(AC20&gt;0.005)*1+(AG20&gt;0.005)*1+(AK20&gt;0.005)*1+(AO20&gt;0.005)*1</f>
        <v/>
      </c>
      <c r="J20">
        <f>N(M19)</f>
        <v/>
      </c>
      <c r="K20">
        <f>IF(N(J20)&lt;=0.005,0,ROUND(N(J20)*N('Debt List'!E5)/12,2))</f>
        <v/>
      </c>
      <c r="L20">
        <f>IF(N(J20)&lt;=0.005,0,MIN(N('Debt List'!F5),N(J20)+N(K20)))+((AP20=1)*AR20+(AT20=1)*AV20+(AX20=1)*AZ20+(BB20=1)*BD20+(BF20=1)*BH20+(BJ20=1)*BL20+(BN20=1)*BP20+(BR20=1)*BT20)</f>
        <v/>
      </c>
      <c r="M20">
        <f>MAX(0,ROUND(N(J20)+N(K20)-N(L20),2))</f>
        <v/>
      </c>
      <c r="N20">
        <f>N(Q19)</f>
        <v/>
      </c>
      <c r="O20">
        <f>IF(N(N20)&lt;=0.005,0,ROUND(N(N20)*N('Debt List'!E6)/12,2))</f>
        <v/>
      </c>
      <c r="P20">
        <f>IF(N(N20)&lt;=0.005,0,MIN(N('Debt List'!F6),N(N20)+N(O20)))+((AP20=2)*AR20+(AT20=2)*AV20+(AX20=2)*AZ20+(BB20=2)*BD20+(BF20=2)*BH20+(BJ20=2)*BL20+(BN20=2)*BP20+(BR20=2)*BT20)</f>
        <v/>
      </c>
      <c r="Q20">
        <f>MAX(0,ROUND(N(N20)+N(O20)-N(P20),2))</f>
        <v/>
      </c>
      <c r="R20">
        <f>N(U19)</f>
        <v/>
      </c>
      <c r="S20">
        <f>IF(N(R20)&lt;=0.005,0,ROUND(N(R20)*N('Debt List'!E7)/12,2))</f>
        <v/>
      </c>
      <c r="T20">
        <f>IF(N(R20)&lt;=0.005,0,MIN(N('Debt List'!F7),N(R20)+N(S20)))+((AP20=3)*AR20+(AT20=3)*AV20+(AX20=3)*AZ20+(BB20=3)*BD20+(BF20=3)*BH20+(BJ20=3)*BL20+(BN20=3)*BP20+(BR20=3)*BT20)</f>
        <v/>
      </c>
      <c r="U20">
        <f>MAX(0,ROUND(N(R20)+N(S20)-N(T20),2))</f>
        <v/>
      </c>
      <c r="V20">
        <f>N(Y19)</f>
        <v/>
      </c>
      <c r="W20">
        <f>IF(N(V20)&lt;=0.005,0,ROUND(N(V20)*N('Debt List'!E8)/12,2))</f>
        <v/>
      </c>
      <c r="X20">
        <f>IF(N(V20)&lt;=0.005,0,MIN(N('Debt List'!F8),N(V20)+N(W20)))+((AP20=4)*AR20+(AT20=4)*AV20+(AX20=4)*AZ20+(BB20=4)*BD20+(BF20=4)*BH20+(BJ20=4)*BL20+(BN20=4)*BP20+(BR20=4)*BT20)</f>
        <v/>
      </c>
      <c r="Y20">
        <f>MAX(0,ROUND(N(V20)+N(W20)-N(X20),2))</f>
        <v/>
      </c>
      <c r="Z20">
        <f>N(AC19)</f>
        <v/>
      </c>
      <c r="AA20">
        <f>IF(N(Z20)&lt;=0.005,0,ROUND(N(Z20)*N('Debt List'!E9)/12,2))</f>
        <v/>
      </c>
      <c r="AB20">
        <f>IF(N(Z20)&lt;=0.005,0,MIN(N('Debt List'!F9),N(Z20)+N(AA20)))+((AP20=5)*AR20+(AT20=5)*AV20+(AX20=5)*AZ20+(BB20=5)*BD20+(BF20=5)*BH20+(BJ20=5)*BL20+(BN20=5)*BP20+(BR20=5)*BT20)</f>
        <v/>
      </c>
      <c r="AC20">
        <f>MAX(0,ROUND(N(Z20)+N(AA20)-N(AB20),2))</f>
        <v/>
      </c>
      <c r="AD20">
        <f>N(AG19)</f>
        <v/>
      </c>
      <c r="AE20">
        <f>IF(N(AD20)&lt;=0.005,0,ROUND(N(AD20)*N('Debt List'!E10)/12,2))</f>
        <v/>
      </c>
      <c r="AF20">
        <f>IF(N(AD20)&lt;=0.005,0,MIN(N('Debt List'!F10),N(AD20)+N(AE20)))+((AP20=6)*AR20+(AT20=6)*AV20+(AX20=6)*AZ20+(BB20=6)*BD20+(BF20=6)*BH20+(BJ20=6)*BL20+(BN20=6)*BP20+(BR20=6)*BT20)</f>
        <v/>
      </c>
      <c r="AG20">
        <f>MAX(0,ROUND(N(AD20)+N(AE20)-N(AF20),2))</f>
        <v/>
      </c>
      <c r="AH20">
        <f>N(AK19)</f>
        <v/>
      </c>
      <c r="AI20">
        <f>IF(N(AH20)&lt;=0.005,0,ROUND(N(AH20)*N('Debt List'!E11)/12,2))</f>
        <v/>
      </c>
      <c r="AJ20">
        <f>IF(N(AH20)&lt;=0.005,0,MIN(N('Debt List'!F11),N(AH20)+N(AI20)))+((AP20=7)*AR20+(AT20=7)*AV20+(AX20=7)*AZ20+(BB20=7)*BD20+(BF20=7)*BH20+(BJ20=7)*BL20+(BN20=7)*BP20+(BR20=7)*BT20)</f>
        <v/>
      </c>
      <c r="AK20">
        <f>MAX(0,ROUND(N(AH20)+N(AI20)-N(AJ20),2))</f>
        <v/>
      </c>
      <c r="AL20">
        <f>N(AO19)</f>
        <v/>
      </c>
      <c r="AM20">
        <f>IF(N(AL20)&lt;=0.005,0,ROUND(N(AL20)*N('Debt List'!E12)/12,2))</f>
        <v/>
      </c>
      <c r="AN20">
        <f>IF(N(AL20)&lt;=0.005,0,MIN(N('Debt List'!F12),N(AL20)+N(AM20)))+((AP20=8)*AR20+(AT20=8)*AV20+(AX20=8)*AZ20+(BB20=8)*BD20+(BF20=8)*BH20+(BJ20=8)*BL20+(BN20=8)*BP20+(BR20=8)*BT20)</f>
        <v/>
      </c>
      <c r="AO20">
        <f>MAX(0,ROUND(N(AL20)+N(AM20)-N(AN20),2))</f>
        <v/>
      </c>
      <c r="AP20">
        <f>IFERROR(MATCH(1,OrderPlan,0),"")</f>
        <v/>
      </c>
      <c r="AQ20">
        <f>IF(AP20="",0,IFERROR(IF(N(CHOOSE(AP20,J20,N20,R20,V20,Z20,AD20,AH20,AL20))&lt;=0.005,0,MAX(0,N(CHOOSE(AP20,J20,N20,R20,V20,Z20,AD20,AH20,AL20))+N(CHOOSE(AP20,K20,O20,S20,W20,AA20,AE20,AI20,AM20))-MIN(N(CHOOSE(AP20,'Debt List'!$F$5,'Debt List'!$F$6,'Debt List'!$F$7,'Debt List'!$F$8,'Debt List'!$F$9,'Debt List'!$F$10,'Debt List'!$F$11,'Debt List'!$F$12)),N(CHOOSE(AP20,J20,N20,R20,V20,Z20,AD20,AH20,AL20))+N(CHOOSE(AP20,K20,O20,S20,W20,AA20,AE20,AI20,AM20))))),0))</f>
        <v/>
      </c>
      <c r="AR20">
        <f>MIN(N(AQ20),MAX(0,N(ExtraPayment)))</f>
        <v/>
      </c>
      <c r="AS20">
        <f>MAX(0,N(ExtraPayment)-N(AR20))</f>
        <v/>
      </c>
      <c r="AT20">
        <f>IFERROR(MATCH(2,OrderPlan,0),"")</f>
        <v/>
      </c>
      <c r="AU20">
        <f>IF(AT20="",0,IFERROR(IF(N(CHOOSE(AT20,J20,N20,R20,V20,Z20,AD20,AH20,AL20))&lt;=0.005,0,MAX(0,N(CHOOSE(AT20,J20,N20,R20,V20,Z20,AD20,AH20,AL20))+N(CHOOSE(AT20,K20,O20,S20,W20,AA20,AE20,AI20,AM20))-MIN(N(CHOOSE(AT20,'Debt List'!$F$5,'Debt List'!$F$6,'Debt List'!$F$7,'Debt List'!$F$8,'Debt List'!$F$9,'Debt List'!$F$10,'Debt List'!$F$11,'Debt List'!$F$12)),N(CHOOSE(AT20,J20,N20,R20,V20,Z20,AD20,AH20,AL20))+N(CHOOSE(AT20,K20,O20,S20,W20,AA20,AE20,AI20,AM20))))),0))</f>
        <v/>
      </c>
      <c r="AV20">
        <f>MIN(N(AU20),MAX(0,N(AS20)))</f>
        <v/>
      </c>
      <c r="AW20">
        <f>MAX(0,N(AS20)-N(AV20))</f>
        <v/>
      </c>
      <c r="AX20">
        <f>IFERROR(MATCH(3,OrderPlan,0),"")</f>
        <v/>
      </c>
      <c r="AY20">
        <f>IF(AX20="",0,IFERROR(IF(N(CHOOSE(AX20,J20,N20,R20,V20,Z20,AD20,AH20,AL20))&lt;=0.005,0,MAX(0,N(CHOOSE(AX20,J20,N20,R20,V20,Z20,AD20,AH20,AL20))+N(CHOOSE(AX20,K20,O20,S20,W20,AA20,AE20,AI20,AM20))-MIN(N(CHOOSE(AX20,'Debt List'!$F$5,'Debt List'!$F$6,'Debt List'!$F$7,'Debt List'!$F$8,'Debt List'!$F$9,'Debt List'!$F$10,'Debt List'!$F$11,'Debt List'!$F$12)),N(CHOOSE(AX20,J20,N20,R20,V20,Z20,AD20,AH20,AL20))+N(CHOOSE(AX20,K20,O20,S20,W20,AA20,AE20,AI20,AM20))))),0))</f>
        <v/>
      </c>
      <c r="AZ20">
        <f>MIN(N(AY20),MAX(0,N(AW20)))</f>
        <v/>
      </c>
      <c r="BA20">
        <f>MAX(0,N(AW20)-N(AZ20))</f>
        <v/>
      </c>
      <c r="BB20">
        <f>IFERROR(MATCH(4,OrderPlan,0),"")</f>
        <v/>
      </c>
      <c r="BC20">
        <f>IF(BB20="",0,IFERROR(IF(N(CHOOSE(BB20,J20,N20,R20,V20,Z20,AD20,AH20,AL20))&lt;=0.005,0,MAX(0,N(CHOOSE(BB20,J20,N20,R20,V20,Z20,AD20,AH20,AL20))+N(CHOOSE(BB20,K20,O20,S20,W20,AA20,AE20,AI20,AM20))-MIN(N(CHOOSE(BB20,'Debt List'!$F$5,'Debt List'!$F$6,'Debt List'!$F$7,'Debt List'!$F$8,'Debt List'!$F$9,'Debt List'!$F$10,'Debt List'!$F$11,'Debt List'!$F$12)),N(CHOOSE(BB20,J20,N20,R20,V20,Z20,AD20,AH20,AL20))+N(CHOOSE(BB20,K20,O20,S20,W20,AA20,AE20,AI20,AM20))))),0))</f>
        <v/>
      </c>
      <c r="BD20">
        <f>MIN(N(BC20),MAX(0,N(BA20)))</f>
        <v/>
      </c>
      <c r="BE20">
        <f>MAX(0,N(BA20)-N(BD20))</f>
        <v/>
      </c>
      <c r="BF20">
        <f>IFERROR(MATCH(5,OrderPlan,0),"")</f>
        <v/>
      </c>
      <c r="BG20">
        <f>IF(BF20="",0,IFERROR(IF(N(CHOOSE(BF20,J20,N20,R20,V20,Z20,AD20,AH20,AL20))&lt;=0.005,0,MAX(0,N(CHOOSE(BF20,J20,N20,R20,V20,Z20,AD20,AH20,AL20))+N(CHOOSE(BF20,K20,O20,S20,W20,AA20,AE20,AI20,AM20))-MIN(N(CHOOSE(BF20,'Debt List'!$F$5,'Debt List'!$F$6,'Debt List'!$F$7,'Debt List'!$F$8,'Debt List'!$F$9,'Debt List'!$F$10,'Debt List'!$F$11,'Debt List'!$F$12)),N(CHOOSE(BF20,J20,N20,R20,V20,Z20,AD20,AH20,AL20))+N(CHOOSE(BF20,K20,O20,S20,W20,AA20,AE20,AI20,AM20))))),0))</f>
        <v/>
      </c>
      <c r="BH20">
        <f>MIN(N(BG20),MAX(0,N(BE20)))</f>
        <v/>
      </c>
      <c r="BI20">
        <f>MAX(0,N(BE20)-N(BH20))</f>
        <v/>
      </c>
      <c r="BJ20">
        <f>IFERROR(MATCH(6,OrderPlan,0),"")</f>
        <v/>
      </c>
      <c r="BK20">
        <f>IF(BJ20="",0,IFERROR(IF(N(CHOOSE(BJ20,J20,N20,R20,V20,Z20,AD20,AH20,AL20))&lt;=0.005,0,MAX(0,N(CHOOSE(BJ20,J20,N20,R20,V20,Z20,AD20,AH20,AL20))+N(CHOOSE(BJ20,K20,O20,S20,W20,AA20,AE20,AI20,AM20))-MIN(N(CHOOSE(BJ20,'Debt List'!$F$5,'Debt List'!$F$6,'Debt List'!$F$7,'Debt List'!$F$8,'Debt List'!$F$9,'Debt List'!$F$10,'Debt List'!$F$11,'Debt List'!$F$12)),N(CHOOSE(BJ20,J20,N20,R20,V20,Z20,AD20,AH20,AL20))+N(CHOOSE(BJ20,K20,O20,S20,W20,AA20,AE20,AI20,AM20))))),0))</f>
        <v/>
      </c>
      <c r="BL20">
        <f>MIN(N(BK20),MAX(0,N(BI20)))</f>
        <v/>
      </c>
      <c r="BM20">
        <f>MAX(0,N(BI20)-N(BL20))</f>
        <v/>
      </c>
      <c r="BN20">
        <f>IFERROR(MATCH(7,OrderPlan,0),"")</f>
        <v/>
      </c>
      <c r="BO20">
        <f>IF(BN20="",0,IFERROR(IF(N(CHOOSE(BN20,J20,N20,R20,V20,Z20,AD20,AH20,AL20))&lt;=0.005,0,MAX(0,N(CHOOSE(BN20,J20,N20,R20,V20,Z20,AD20,AH20,AL20))+N(CHOOSE(BN20,K20,O20,S20,W20,AA20,AE20,AI20,AM20))-MIN(N(CHOOSE(BN20,'Debt List'!$F$5,'Debt List'!$F$6,'Debt List'!$F$7,'Debt List'!$F$8,'Debt List'!$F$9,'Debt List'!$F$10,'Debt List'!$F$11,'Debt List'!$F$12)),N(CHOOSE(BN20,J20,N20,R20,V20,Z20,AD20,AH20,AL20))+N(CHOOSE(BN20,K20,O20,S20,W20,AA20,AE20,AI20,AM20))))),0))</f>
        <v/>
      </c>
      <c r="BP20">
        <f>MIN(N(BO20),MAX(0,N(BM20)))</f>
        <v/>
      </c>
      <c r="BQ20">
        <f>MAX(0,N(BM20)-N(BP20))</f>
        <v/>
      </c>
      <c r="BR20">
        <f>IFERROR(MATCH(8,OrderPlan,0),"")</f>
        <v/>
      </c>
      <c r="BS20">
        <f>IF(BR20="",0,IFERROR(IF(N(CHOOSE(BR20,J20,N20,R20,V20,Z20,AD20,AH20,AL20))&lt;=0.005,0,MAX(0,N(CHOOSE(BR20,J20,N20,R20,V20,Z20,AD20,AH20,AL20))+N(CHOOSE(BR20,K20,O20,S20,W20,AA20,AE20,AI20,AM20))-MIN(N(CHOOSE(BR20,'Debt List'!$F$5,'Debt List'!$F$6,'Debt List'!$F$7,'Debt List'!$F$8,'Debt List'!$F$9,'Debt List'!$F$10,'Debt List'!$F$11,'Debt List'!$F$12)),N(CHOOSE(BR20,J20,N20,R20,V20,Z20,AD20,AH20,AL20))+N(CHOOSE(BR20,K20,O20,S20,W20,AA20,AE20,AI20,AM20))))),0))</f>
        <v/>
      </c>
      <c r="BT20">
        <f>MIN(N(BS20),MAX(0,N(BQ20)))</f>
        <v/>
      </c>
      <c r="BU20">
        <f>MAX(0,N(BQ20)-N(BT20))</f>
        <v/>
      </c>
      <c r="CC20" t="n">
        <v>16</v>
      </c>
      <c r="CD20" s="115">
        <f>DATE(YEAR(PlanStart),MONTH(PlanStart)+CC20-1,1)</f>
        <v/>
      </c>
      <c r="CE20">
        <f>IF(AND(DR20&lt;&gt;"",N(CHOOSE(DR20,CL20,CP20,CT20,CX20,DB20,DF20,DJ20,DN20))&gt;0.005),INDEX(DebtNames,DR20),IF(AND(DV20&lt;&gt;"",N(CHOOSE(DV20,CL20,CP20,CT20,CX20,DB20,DF20,DJ20,DN20))&gt;0.005),INDEX(DebtNames,DV20),IF(AND(DZ20&lt;&gt;"",N(CHOOSE(DZ20,CL20,CP20,CT20,CX20,DB20,DF20,DJ20,DN20))&gt;0.005),INDEX(DebtNames,DZ20),IF(AND(ED20&lt;&gt;"",N(CHOOSE(ED20,CL20,CP20,CT20,CX20,DB20,DF20,DJ20,DN20))&gt;0.005),INDEX(DebtNames,ED20),IF(AND(EH20&lt;&gt;"",N(CHOOSE(EH20,CL20,CP20,CT20,CX20,DB20,DF20,DJ20,DN20))&gt;0.005),INDEX(DebtNames,EH20),IF(AND(EL20&lt;&gt;"",N(CHOOSE(EL20,CL20,CP20,CT20,CX20,DB20,DF20,DJ20,DN20))&gt;0.005),INDEX(DebtNames,EL20),IF(AND(EP20&lt;&gt;"",N(CHOOSE(EP20,CL20,CP20,CT20,CX20,DB20,DF20,DJ20,DN20))&gt;0.005),INDEX(DebtNames,EP20),IF(AND(ET20&lt;&gt;"",N(CHOOSE(ET20,CL20,CP20,CT20,CX20,DB20,DF20,DJ20,DN20))&gt;0.005),INDEX(DebtNames,ET20),""))))))))</f>
        <v/>
      </c>
      <c r="CF20">
        <f>N(EW20)</f>
        <v/>
      </c>
      <c r="CG20">
        <f>N(CN20)+N(CR20)+N(CV20)+N(CZ20)+N(DD20)+N(DH20)+N(DL20)+N(DP20)</f>
        <v/>
      </c>
      <c r="CH20">
        <f>N(CM20)+N(CQ20)+N(CU20)+N(CY20)+N(DC20)+N(DG20)+N(DK20)+N(DO20)</f>
        <v/>
      </c>
      <c r="CI20">
        <f>N(CI19)+N(CH20)</f>
        <v/>
      </c>
      <c r="CJ20">
        <f>N(CO20)+N(CS20)+N(CW20)+N(DA20)+N(DE20)+N(DI20)+N(DM20)+N(DQ20)</f>
        <v/>
      </c>
      <c r="CK20">
        <f>(CO20&gt;0.005)*1+(CS20&gt;0.005)*1+(CW20&gt;0.005)*1+(DA20&gt;0.005)*1+(DE20&gt;0.005)*1+(DI20&gt;0.005)*1+(DM20&gt;0.005)*1+(DQ20&gt;0.005)*1</f>
        <v/>
      </c>
      <c r="CL20">
        <f>N(CO19)</f>
        <v/>
      </c>
      <c r="CM20">
        <f>IF(N(CL20)&lt;=0.005,0,ROUND(N(CL20)*N('Debt List'!E5)/12,2))</f>
        <v/>
      </c>
      <c r="CN20">
        <f>IF(N(CL20)&lt;=0.005,0,MIN(N('Debt List'!F5),N(CL20)+N(CM20)))+((DR20=1)*DT20+(DV20=1)*DX20+(DZ20=1)*EB20+(ED20=1)*EF20+(EH20=1)*EJ20+(EL20=1)*EN20+(EP20=1)*ER20+(ET20=1)*EV20)</f>
        <v/>
      </c>
      <c r="CO20">
        <f>MAX(0,ROUND(N(CL20)+N(CM20)-N(CN20),2))</f>
        <v/>
      </c>
      <c r="CP20">
        <f>N(CS19)</f>
        <v/>
      </c>
      <c r="CQ20">
        <f>IF(N(CP20)&lt;=0.005,0,ROUND(N(CP20)*N('Debt List'!E6)/12,2))</f>
        <v/>
      </c>
      <c r="CR20">
        <f>IF(N(CP20)&lt;=0.005,0,MIN(N('Debt List'!F6),N(CP20)+N(CQ20)))+((DR20=2)*DT20+(DV20=2)*DX20+(DZ20=2)*EB20+(ED20=2)*EF20+(EH20=2)*EJ20+(EL20=2)*EN20+(EP20=2)*ER20+(ET20=2)*EV20)</f>
        <v/>
      </c>
      <c r="CS20">
        <f>MAX(0,ROUND(N(CP20)+N(CQ20)-N(CR20),2))</f>
        <v/>
      </c>
      <c r="CT20">
        <f>N(CW19)</f>
        <v/>
      </c>
      <c r="CU20">
        <f>IF(N(CT20)&lt;=0.005,0,ROUND(N(CT20)*N('Debt List'!E7)/12,2))</f>
        <v/>
      </c>
      <c r="CV20">
        <f>IF(N(CT20)&lt;=0.005,0,MIN(N('Debt List'!F7),N(CT20)+N(CU20)))+((DR20=3)*DT20+(DV20=3)*DX20+(DZ20=3)*EB20+(ED20=3)*EF20+(EH20=3)*EJ20+(EL20=3)*EN20+(EP20=3)*ER20+(ET20=3)*EV20)</f>
        <v/>
      </c>
      <c r="CW20">
        <f>MAX(0,ROUND(N(CT20)+N(CU20)-N(CV20),2))</f>
        <v/>
      </c>
      <c r="CX20">
        <f>N(DA19)</f>
        <v/>
      </c>
      <c r="CY20">
        <f>IF(N(CX20)&lt;=0.005,0,ROUND(N(CX20)*N('Debt List'!E8)/12,2))</f>
        <v/>
      </c>
      <c r="CZ20">
        <f>IF(N(CX20)&lt;=0.005,0,MIN(N('Debt List'!F8),N(CX20)+N(CY20)))+((DR20=4)*DT20+(DV20=4)*DX20+(DZ20=4)*EB20+(ED20=4)*EF20+(EH20=4)*EJ20+(EL20=4)*EN20+(EP20=4)*ER20+(ET20=4)*EV20)</f>
        <v/>
      </c>
      <c r="DA20">
        <f>MAX(0,ROUND(N(CX20)+N(CY20)-N(CZ20),2))</f>
        <v/>
      </c>
      <c r="DB20">
        <f>N(DE19)</f>
        <v/>
      </c>
      <c r="DC20">
        <f>IF(N(DB20)&lt;=0.005,0,ROUND(N(DB20)*N('Debt List'!E9)/12,2))</f>
        <v/>
      </c>
      <c r="DD20">
        <f>IF(N(DB20)&lt;=0.005,0,MIN(N('Debt List'!F9),N(DB20)+N(DC20)))+((DR20=5)*DT20+(DV20=5)*DX20+(DZ20=5)*EB20+(ED20=5)*EF20+(EH20=5)*EJ20+(EL20=5)*EN20+(EP20=5)*ER20+(ET20=5)*EV20)</f>
        <v/>
      </c>
      <c r="DE20">
        <f>MAX(0,ROUND(N(DB20)+N(DC20)-N(DD20),2))</f>
        <v/>
      </c>
      <c r="DF20">
        <f>N(DI19)</f>
        <v/>
      </c>
      <c r="DG20">
        <f>IF(N(DF20)&lt;=0.005,0,ROUND(N(DF20)*N('Debt List'!E10)/12,2))</f>
        <v/>
      </c>
      <c r="DH20">
        <f>IF(N(DF20)&lt;=0.005,0,MIN(N('Debt List'!F10),N(DF20)+N(DG20)))+((DR20=6)*DT20+(DV20=6)*DX20+(DZ20=6)*EB20+(ED20=6)*EF20+(EH20=6)*EJ20+(EL20=6)*EN20+(EP20=6)*ER20+(ET20=6)*EV20)</f>
        <v/>
      </c>
      <c r="DI20">
        <f>MAX(0,ROUND(N(DF20)+N(DG20)-N(DH20),2))</f>
        <v/>
      </c>
      <c r="DJ20">
        <f>N(DM19)</f>
        <v/>
      </c>
      <c r="DK20">
        <f>IF(N(DJ20)&lt;=0.005,0,ROUND(N(DJ20)*N('Debt List'!E11)/12,2))</f>
        <v/>
      </c>
      <c r="DL20">
        <f>IF(N(DJ20)&lt;=0.005,0,MIN(N('Debt List'!F11),N(DJ20)+N(DK20)))+((DR20=7)*DT20+(DV20=7)*DX20+(DZ20=7)*EB20+(ED20=7)*EF20+(EH20=7)*EJ20+(EL20=7)*EN20+(EP20=7)*ER20+(ET20=7)*EV20)</f>
        <v/>
      </c>
      <c r="DM20">
        <f>MAX(0,ROUND(N(DJ20)+N(DK20)-N(DL20),2))</f>
        <v/>
      </c>
      <c r="DN20">
        <f>N(DQ19)</f>
        <v/>
      </c>
      <c r="DO20">
        <f>IF(N(DN20)&lt;=0.005,0,ROUND(N(DN20)*N('Debt List'!E12)/12,2))</f>
        <v/>
      </c>
      <c r="DP20">
        <f>IF(N(DN20)&lt;=0.005,0,MIN(N('Debt List'!F12),N(DN20)+N(DO20)))+((DR20=8)*DT20+(DV20=8)*DX20+(DZ20=8)*EB20+(ED20=8)*EF20+(EH20=8)*EJ20+(EL20=8)*EN20+(EP20=8)*ER20+(ET20=8)*EV20)</f>
        <v/>
      </c>
      <c r="DQ20">
        <f>MAX(0,ROUND(N(DN20)+N(DO20)-N(DP20),2))</f>
        <v/>
      </c>
      <c r="DR20">
        <f>IFERROR(MATCH(1,OrderSnow,0),"")</f>
        <v/>
      </c>
      <c r="DS20">
        <f>IF(DR20="",0,IFERROR(IF(N(CHOOSE(DR20,CL20,CP20,CT20,CX20,DB20,DF20,DJ20,DN20))&lt;=0.005,0,MAX(0,N(CHOOSE(DR20,CL20,CP20,CT20,CX20,DB20,DF20,DJ20,DN20))+N(CHOOSE(DR20,CM20,CQ20,CU20,CY20,DC20,DG20,DK20,DO20))-MIN(N(CHOOSE(DR20,'Debt List'!$F$5,'Debt List'!$F$6,'Debt List'!$F$7,'Debt List'!$F$8,'Debt List'!$F$9,'Debt List'!$F$10,'Debt List'!$F$11,'Debt List'!$F$12)),N(CHOOSE(DR20,CL20,CP20,CT20,CX20,DB20,DF20,DJ20,DN20))+N(CHOOSE(DR20,CM20,CQ20,CU20,CY20,DC20,DG20,DK20,DO20))))),0))</f>
        <v/>
      </c>
      <c r="DT20">
        <f>MIN(N(DS20),MAX(0,N(ExtraPayment)))</f>
        <v/>
      </c>
      <c r="DU20">
        <f>MAX(0,N(ExtraPayment)-N(DT20))</f>
        <v/>
      </c>
      <c r="DV20">
        <f>IFERROR(MATCH(2,OrderSnow,0),"")</f>
        <v/>
      </c>
      <c r="DW20">
        <f>IF(DV20="",0,IFERROR(IF(N(CHOOSE(DV20,CL20,CP20,CT20,CX20,DB20,DF20,DJ20,DN20))&lt;=0.005,0,MAX(0,N(CHOOSE(DV20,CL20,CP20,CT20,CX20,DB20,DF20,DJ20,DN20))+N(CHOOSE(DV20,CM20,CQ20,CU20,CY20,DC20,DG20,DK20,DO20))-MIN(N(CHOOSE(DV20,'Debt List'!$F$5,'Debt List'!$F$6,'Debt List'!$F$7,'Debt List'!$F$8,'Debt List'!$F$9,'Debt List'!$F$10,'Debt List'!$F$11,'Debt List'!$F$12)),N(CHOOSE(DV20,CL20,CP20,CT20,CX20,DB20,DF20,DJ20,DN20))+N(CHOOSE(DV20,CM20,CQ20,CU20,CY20,DC20,DG20,DK20,DO20))))),0))</f>
        <v/>
      </c>
      <c r="DX20">
        <f>MIN(N(DW20),MAX(0,N(DU20)))</f>
        <v/>
      </c>
      <c r="DY20">
        <f>MAX(0,N(DU20)-N(DX20))</f>
        <v/>
      </c>
      <c r="DZ20">
        <f>IFERROR(MATCH(3,OrderSnow,0),"")</f>
        <v/>
      </c>
      <c r="EA20">
        <f>IF(DZ20="",0,IFERROR(IF(N(CHOOSE(DZ20,CL20,CP20,CT20,CX20,DB20,DF20,DJ20,DN20))&lt;=0.005,0,MAX(0,N(CHOOSE(DZ20,CL20,CP20,CT20,CX20,DB20,DF20,DJ20,DN20))+N(CHOOSE(DZ20,CM20,CQ20,CU20,CY20,DC20,DG20,DK20,DO20))-MIN(N(CHOOSE(DZ20,'Debt List'!$F$5,'Debt List'!$F$6,'Debt List'!$F$7,'Debt List'!$F$8,'Debt List'!$F$9,'Debt List'!$F$10,'Debt List'!$F$11,'Debt List'!$F$12)),N(CHOOSE(DZ20,CL20,CP20,CT20,CX20,DB20,DF20,DJ20,DN20))+N(CHOOSE(DZ20,CM20,CQ20,CU20,CY20,DC20,DG20,DK20,DO20))))),0))</f>
        <v/>
      </c>
      <c r="EB20">
        <f>MIN(N(EA20),MAX(0,N(DY20)))</f>
        <v/>
      </c>
      <c r="EC20">
        <f>MAX(0,N(DY20)-N(EB20))</f>
        <v/>
      </c>
      <c r="ED20">
        <f>IFERROR(MATCH(4,OrderSnow,0),"")</f>
        <v/>
      </c>
      <c r="EE20">
        <f>IF(ED20="",0,IFERROR(IF(N(CHOOSE(ED20,CL20,CP20,CT20,CX20,DB20,DF20,DJ20,DN20))&lt;=0.005,0,MAX(0,N(CHOOSE(ED20,CL20,CP20,CT20,CX20,DB20,DF20,DJ20,DN20))+N(CHOOSE(ED20,CM20,CQ20,CU20,CY20,DC20,DG20,DK20,DO20))-MIN(N(CHOOSE(ED20,'Debt List'!$F$5,'Debt List'!$F$6,'Debt List'!$F$7,'Debt List'!$F$8,'Debt List'!$F$9,'Debt List'!$F$10,'Debt List'!$F$11,'Debt List'!$F$12)),N(CHOOSE(ED20,CL20,CP20,CT20,CX20,DB20,DF20,DJ20,DN20))+N(CHOOSE(ED20,CM20,CQ20,CU20,CY20,DC20,DG20,DK20,DO20))))),0))</f>
        <v/>
      </c>
      <c r="EF20">
        <f>MIN(N(EE20),MAX(0,N(EC20)))</f>
        <v/>
      </c>
      <c r="EG20">
        <f>MAX(0,N(EC20)-N(EF20))</f>
        <v/>
      </c>
      <c r="EH20">
        <f>IFERROR(MATCH(5,OrderSnow,0),"")</f>
        <v/>
      </c>
      <c r="EI20">
        <f>IF(EH20="",0,IFERROR(IF(N(CHOOSE(EH20,CL20,CP20,CT20,CX20,DB20,DF20,DJ20,DN20))&lt;=0.005,0,MAX(0,N(CHOOSE(EH20,CL20,CP20,CT20,CX20,DB20,DF20,DJ20,DN20))+N(CHOOSE(EH20,CM20,CQ20,CU20,CY20,DC20,DG20,DK20,DO20))-MIN(N(CHOOSE(EH20,'Debt List'!$F$5,'Debt List'!$F$6,'Debt List'!$F$7,'Debt List'!$F$8,'Debt List'!$F$9,'Debt List'!$F$10,'Debt List'!$F$11,'Debt List'!$F$12)),N(CHOOSE(EH20,CL20,CP20,CT20,CX20,DB20,DF20,DJ20,DN20))+N(CHOOSE(EH20,CM20,CQ20,CU20,CY20,DC20,DG20,DK20,DO20))))),0))</f>
        <v/>
      </c>
      <c r="EJ20">
        <f>MIN(N(EI20),MAX(0,N(EG20)))</f>
        <v/>
      </c>
      <c r="EK20">
        <f>MAX(0,N(EG20)-N(EJ20))</f>
        <v/>
      </c>
      <c r="EL20">
        <f>IFERROR(MATCH(6,OrderSnow,0),"")</f>
        <v/>
      </c>
      <c r="EM20">
        <f>IF(EL20="",0,IFERROR(IF(N(CHOOSE(EL20,CL20,CP20,CT20,CX20,DB20,DF20,DJ20,DN20))&lt;=0.005,0,MAX(0,N(CHOOSE(EL20,CL20,CP20,CT20,CX20,DB20,DF20,DJ20,DN20))+N(CHOOSE(EL20,CM20,CQ20,CU20,CY20,DC20,DG20,DK20,DO20))-MIN(N(CHOOSE(EL20,'Debt List'!$F$5,'Debt List'!$F$6,'Debt List'!$F$7,'Debt List'!$F$8,'Debt List'!$F$9,'Debt List'!$F$10,'Debt List'!$F$11,'Debt List'!$F$12)),N(CHOOSE(EL20,CL20,CP20,CT20,CX20,DB20,DF20,DJ20,DN20))+N(CHOOSE(EL20,CM20,CQ20,CU20,CY20,DC20,DG20,DK20,DO20))))),0))</f>
        <v/>
      </c>
      <c r="EN20">
        <f>MIN(N(EM20),MAX(0,N(EK20)))</f>
        <v/>
      </c>
      <c r="EO20">
        <f>MAX(0,N(EK20)-N(EN20))</f>
        <v/>
      </c>
      <c r="EP20">
        <f>IFERROR(MATCH(7,OrderSnow,0),"")</f>
        <v/>
      </c>
      <c r="EQ20">
        <f>IF(EP20="",0,IFERROR(IF(N(CHOOSE(EP20,CL20,CP20,CT20,CX20,DB20,DF20,DJ20,DN20))&lt;=0.005,0,MAX(0,N(CHOOSE(EP20,CL20,CP20,CT20,CX20,DB20,DF20,DJ20,DN20))+N(CHOOSE(EP20,CM20,CQ20,CU20,CY20,DC20,DG20,DK20,DO20))-MIN(N(CHOOSE(EP20,'Debt List'!$F$5,'Debt List'!$F$6,'Debt List'!$F$7,'Debt List'!$F$8,'Debt List'!$F$9,'Debt List'!$F$10,'Debt List'!$F$11,'Debt List'!$F$12)),N(CHOOSE(EP20,CL20,CP20,CT20,CX20,DB20,DF20,DJ20,DN20))+N(CHOOSE(EP20,CM20,CQ20,CU20,CY20,DC20,DG20,DK20,DO20))))),0))</f>
        <v/>
      </c>
      <c r="ER20">
        <f>MIN(N(EQ20),MAX(0,N(EO20)))</f>
        <v/>
      </c>
      <c r="ES20">
        <f>MAX(0,N(EO20)-N(ER20))</f>
        <v/>
      </c>
      <c r="ET20">
        <f>IFERROR(MATCH(8,OrderSnow,0),"")</f>
        <v/>
      </c>
      <c r="EU20">
        <f>IF(ET20="",0,IFERROR(IF(N(CHOOSE(ET20,CL20,CP20,CT20,CX20,DB20,DF20,DJ20,DN20))&lt;=0.005,0,MAX(0,N(CHOOSE(ET20,CL20,CP20,CT20,CX20,DB20,DF20,DJ20,DN20))+N(CHOOSE(ET20,CM20,CQ20,CU20,CY20,DC20,DG20,DK20,DO20))-MIN(N(CHOOSE(ET20,'Debt List'!$F$5,'Debt List'!$F$6,'Debt List'!$F$7,'Debt List'!$F$8,'Debt List'!$F$9,'Debt List'!$F$10,'Debt List'!$F$11,'Debt List'!$F$12)),N(CHOOSE(ET20,CL20,CP20,CT20,CX20,DB20,DF20,DJ20,DN20))+N(CHOOSE(ET20,CM20,CQ20,CU20,CY20,DC20,DG20,DK20,DO20))))),0))</f>
        <v/>
      </c>
      <c r="EV20">
        <f>MIN(N(EU20),MAX(0,N(ES20)))</f>
        <v/>
      </c>
      <c r="EW20">
        <f>MAX(0,N(ES20)-N(EV20))</f>
        <v/>
      </c>
      <c r="FE20" t="n">
        <v>16</v>
      </c>
      <c r="FF20" s="115">
        <f>DATE(YEAR(PlanStart),MONTH(PlanStart)+FE20-1,1)</f>
        <v/>
      </c>
      <c r="FG20">
        <f>IF(AND(GT20&lt;&gt;"",N(CHOOSE(GT20,FN20,FR20,FV20,FZ20,GD20,GH20,GL20,GP20))&gt;0.005),INDEX(DebtNames,GT20),IF(AND(GX20&lt;&gt;"",N(CHOOSE(GX20,FN20,FR20,FV20,FZ20,GD20,GH20,GL20,GP20))&gt;0.005),INDEX(DebtNames,GX20),IF(AND(HB20&lt;&gt;"",N(CHOOSE(HB20,FN20,FR20,FV20,FZ20,GD20,GH20,GL20,GP20))&gt;0.005),INDEX(DebtNames,HB20),IF(AND(HF20&lt;&gt;"",N(CHOOSE(HF20,FN20,FR20,FV20,FZ20,GD20,GH20,GL20,GP20))&gt;0.005),INDEX(DebtNames,HF20),IF(AND(HJ20&lt;&gt;"",N(CHOOSE(HJ20,FN20,FR20,FV20,FZ20,GD20,GH20,GL20,GP20))&gt;0.005),INDEX(DebtNames,HJ20),IF(AND(HN20&lt;&gt;"",N(CHOOSE(HN20,FN20,FR20,FV20,FZ20,GD20,GH20,GL20,GP20))&gt;0.005),INDEX(DebtNames,HN20),IF(AND(HR20&lt;&gt;"",N(CHOOSE(HR20,FN20,FR20,FV20,FZ20,GD20,GH20,GL20,GP20))&gt;0.005),INDEX(DebtNames,HR20),IF(AND(HV20&lt;&gt;"",N(CHOOSE(HV20,FN20,FR20,FV20,FZ20,GD20,GH20,GL20,GP20))&gt;0.005),INDEX(DebtNames,HV20),""))))))))</f>
        <v/>
      </c>
      <c r="FH20">
        <f>N(HY20)</f>
        <v/>
      </c>
      <c r="FI20">
        <f>N(FP20)+N(FT20)+N(FX20)+N(GB20)+N(GF20)+N(GJ20)+N(GN20)+N(GR20)</f>
        <v/>
      </c>
      <c r="FJ20">
        <f>N(FO20)+N(FS20)+N(FW20)+N(GA20)+N(GE20)+N(GI20)+N(GM20)+N(GQ20)</f>
        <v/>
      </c>
      <c r="FK20">
        <f>N(FK19)+N(FJ20)</f>
        <v/>
      </c>
      <c r="FL20">
        <f>N(FQ20)+N(FU20)+N(FY20)+N(GC20)+N(GG20)+N(GK20)+N(GO20)+N(GS20)</f>
        <v/>
      </c>
      <c r="FM20">
        <f>(FQ20&gt;0.005)*1+(FU20&gt;0.005)*1+(FY20&gt;0.005)*1+(GC20&gt;0.005)*1+(GG20&gt;0.005)*1+(GK20&gt;0.005)*1+(GO20&gt;0.005)*1+(GS20&gt;0.005)*1</f>
        <v/>
      </c>
      <c r="FN20">
        <f>N(FQ19)</f>
        <v/>
      </c>
      <c r="FO20">
        <f>IF(N(FN20)&lt;=0.005,0,ROUND(N(FN20)*N('Debt List'!E5)/12,2))</f>
        <v/>
      </c>
      <c r="FP20">
        <f>IF(N(FN20)&lt;=0.005,0,MIN(N('Debt List'!F5),N(FN20)+N(FO20)))+((GT20=1)*GV20+(GX20=1)*GZ20+(HB20=1)*HD20+(HF20=1)*HH20+(HJ20=1)*HL20+(HN20=1)*HP20+(HR20=1)*HT20+(HV20=1)*HX20)</f>
        <v/>
      </c>
      <c r="FQ20">
        <f>MAX(0,ROUND(N(FN20)+N(FO20)-N(FP20),2))</f>
        <v/>
      </c>
      <c r="FR20">
        <f>N(FU19)</f>
        <v/>
      </c>
      <c r="FS20">
        <f>IF(N(FR20)&lt;=0.005,0,ROUND(N(FR20)*N('Debt List'!E6)/12,2))</f>
        <v/>
      </c>
      <c r="FT20">
        <f>IF(N(FR20)&lt;=0.005,0,MIN(N('Debt List'!F6),N(FR20)+N(FS20)))+((GT20=2)*GV20+(GX20=2)*GZ20+(HB20=2)*HD20+(HF20=2)*HH20+(HJ20=2)*HL20+(HN20=2)*HP20+(HR20=2)*HT20+(HV20=2)*HX20)</f>
        <v/>
      </c>
      <c r="FU20">
        <f>MAX(0,ROUND(N(FR20)+N(FS20)-N(FT20),2))</f>
        <v/>
      </c>
      <c r="FV20">
        <f>N(FY19)</f>
        <v/>
      </c>
      <c r="FW20">
        <f>IF(N(FV20)&lt;=0.005,0,ROUND(N(FV20)*N('Debt List'!E7)/12,2))</f>
        <v/>
      </c>
      <c r="FX20">
        <f>IF(N(FV20)&lt;=0.005,0,MIN(N('Debt List'!F7),N(FV20)+N(FW20)))+((GT20=3)*GV20+(GX20=3)*GZ20+(HB20=3)*HD20+(HF20=3)*HH20+(HJ20=3)*HL20+(HN20=3)*HP20+(HR20=3)*HT20+(HV20=3)*HX20)</f>
        <v/>
      </c>
      <c r="FY20">
        <f>MAX(0,ROUND(N(FV20)+N(FW20)-N(FX20),2))</f>
        <v/>
      </c>
      <c r="FZ20">
        <f>N(GC19)</f>
        <v/>
      </c>
      <c r="GA20">
        <f>IF(N(FZ20)&lt;=0.005,0,ROUND(N(FZ20)*N('Debt List'!E8)/12,2))</f>
        <v/>
      </c>
      <c r="GB20">
        <f>IF(N(FZ20)&lt;=0.005,0,MIN(N('Debt List'!F8),N(FZ20)+N(GA20)))+((GT20=4)*GV20+(GX20=4)*GZ20+(HB20=4)*HD20+(HF20=4)*HH20+(HJ20=4)*HL20+(HN20=4)*HP20+(HR20=4)*HT20+(HV20=4)*HX20)</f>
        <v/>
      </c>
      <c r="GC20">
        <f>MAX(0,ROUND(N(FZ20)+N(GA20)-N(GB20),2))</f>
        <v/>
      </c>
      <c r="GD20">
        <f>N(GG19)</f>
        <v/>
      </c>
      <c r="GE20">
        <f>IF(N(GD20)&lt;=0.005,0,ROUND(N(GD20)*N('Debt List'!E9)/12,2))</f>
        <v/>
      </c>
      <c r="GF20">
        <f>IF(N(GD20)&lt;=0.005,0,MIN(N('Debt List'!F9),N(GD20)+N(GE20)))+((GT20=5)*GV20+(GX20=5)*GZ20+(HB20=5)*HD20+(HF20=5)*HH20+(HJ20=5)*HL20+(HN20=5)*HP20+(HR20=5)*HT20+(HV20=5)*HX20)</f>
        <v/>
      </c>
      <c r="GG20">
        <f>MAX(0,ROUND(N(GD20)+N(GE20)-N(GF20),2))</f>
        <v/>
      </c>
      <c r="GH20">
        <f>N(GK19)</f>
        <v/>
      </c>
      <c r="GI20">
        <f>IF(N(GH20)&lt;=0.005,0,ROUND(N(GH20)*N('Debt List'!E10)/12,2))</f>
        <v/>
      </c>
      <c r="GJ20">
        <f>IF(N(GH20)&lt;=0.005,0,MIN(N('Debt List'!F10),N(GH20)+N(GI20)))+((GT20=6)*GV20+(GX20=6)*GZ20+(HB20=6)*HD20+(HF20=6)*HH20+(HJ20=6)*HL20+(HN20=6)*HP20+(HR20=6)*HT20+(HV20=6)*HX20)</f>
        <v/>
      </c>
      <c r="GK20">
        <f>MAX(0,ROUND(N(GH20)+N(GI20)-N(GJ20),2))</f>
        <v/>
      </c>
      <c r="GL20">
        <f>N(GO19)</f>
        <v/>
      </c>
      <c r="GM20">
        <f>IF(N(GL20)&lt;=0.005,0,ROUND(N(GL20)*N('Debt List'!E11)/12,2))</f>
        <v/>
      </c>
      <c r="GN20">
        <f>IF(N(GL20)&lt;=0.005,0,MIN(N('Debt List'!F11),N(GL20)+N(GM20)))+((GT20=7)*GV20+(GX20=7)*GZ20+(HB20=7)*HD20+(HF20=7)*HH20+(HJ20=7)*HL20+(HN20=7)*HP20+(HR20=7)*HT20+(HV20=7)*HX20)</f>
        <v/>
      </c>
      <c r="GO20">
        <f>MAX(0,ROUND(N(GL20)+N(GM20)-N(GN20),2))</f>
        <v/>
      </c>
      <c r="GP20">
        <f>N(GS19)</f>
        <v/>
      </c>
      <c r="GQ20">
        <f>IF(N(GP20)&lt;=0.005,0,ROUND(N(GP20)*N('Debt List'!E12)/12,2))</f>
        <v/>
      </c>
      <c r="GR20">
        <f>IF(N(GP20)&lt;=0.005,0,MIN(N('Debt List'!F12),N(GP20)+N(GQ20)))+((GT20=8)*GV20+(GX20=8)*GZ20+(HB20=8)*HD20+(HF20=8)*HH20+(HJ20=8)*HL20+(HN20=8)*HP20+(HR20=8)*HT20+(HV20=8)*HX20)</f>
        <v/>
      </c>
      <c r="GS20">
        <f>MAX(0,ROUND(N(GP20)+N(GQ20)-N(GR20),2))</f>
        <v/>
      </c>
      <c r="GT20">
        <f>IFERROR(MATCH(1,OrderAval,0),"")</f>
        <v/>
      </c>
      <c r="GU20">
        <f>IF(GT20="",0,IFERROR(IF(N(CHOOSE(GT20,FN20,FR20,FV20,FZ20,GD20,GH20,GL20,GP20))&lt;=0.005,0,MAX(0,N(CHOOSE(GT20,FN20,FR20,FV20,FZ20,GD20,GH20,GL20,GP20))+N(CHOOSE(GT20,FO20,FS20,FW20,GA20,GE20,GI20,GM20,GQ20))-MIN(N(CHOOSE(GT20,'Debt List'!$F$5,'Debt List'!$F$6,'Debt List'!$F$7,'Debt List'!$F$8,'Debt List'!$F$9,'Debt List'!$F$10,'Debt List'!$F$11,'Debt List'!$F$12)),N(CHOOSE(GT20,FN20,FR20,FV20,FZ20,GD20,GH20,GL20,GP20))+N(CHOOSE(GT20,FO20,FS20,FW20,GA20,GE20,GI20,GM20,GQ20))))),0))</f>
        <v/>
      </c>
      <c r="GV20">
        <f>MIN(N(GU20),MAX(0,N(ExtraPayment)))</f>
        <v/>
      </c>
      <c r="GW20">
        <f>MAX(0,N(ExtraPayment)-N(GV20))</f>
        <v/>
      </c>
      <c r="GX20">
        <f>IFERROR(MATCH(2,OrderAval,0),"")</f>
        <v/>
      </c>
      <c r="GY20">
        <f>IF(GX20="",0,IFERROR(IF(N(CHOOSE(GX20,FN20,FR20,FV20,FZ20,GD20,GH20,GL20,GP20))&lt;=0.005,0,MAX(0,N(CHOOSE(GX20,FN20,FR20,FV20,FZ20,GD20,GH20,GL20,GP20))+N(CHOOSE(GX20,FO20,FS20,FW20,GA20,GE20,GI20,GM20,GQ20))-MIN(N(CHOOSE(GX20,'Debt List'!$F$5,'Debt List'!$F$6,'Debt List'!$F$7,'Debt List'!$F$8,'Debt List'!$F$9,'Debt List'!$F$10,'Debt List'!$F$11,'Debt List'!$F$12)),N(CHOOSE(GX20,FN20,FR20,FV20,FZ20,GD20,GH20,GL20,GP20))+N(CHOOSE(GX20,FO20,FS20,FW20,GA20,GE20,GI20,GM20,GQ20))))),0))</f>
        <v/>
      </c>
      <c r="GZ20">
        <f>MIN(N(GY20),MAX(0,N(GW20)))</f>
        <v/>
      </c>
      <c r="HA20">
        <f>MAX(0,N(GW20)-N(GZ20))</f>
        <v/>
      </c>
      <c r="HB20">
        <f>IFERROR(MATCH(3,OrderAval,0),"")</f>
        <v/>
      </c>
      <c r="HC20">
        <f>IF(HB20="",0,IFERROR(IF(N(CHOOSE(HB20,FN20,FR20,FV20,FZ20,GD20,GH20,GL20,GP20))&lt;=0.005,0,MAX(0,N(CHOOSE(HB20,FN20,FR20,FV20,FZ20,GD20,GH20,GL20,GP20))+N(CHOOSE(HB20,FO20,FS20,FW20,GA20,GE20,GI20,GM20,GQ20))-MIN(N(CHOOSE(HB20,'Debt List'!$F$5,'Debt List'!$F$6,'Debt List'!$F$7,'Debt List'!$F$8,'Debt List'!$F$9,'Debt List'!$F$10,'Debt List'!$F$11,'Debt List'!$F$12)),N(CHOOSE(HB20,FN20,FR20,FV20,FZ20,GD20,GH20,GL20,GP20))+N(CHOOSE(HB20,FO20,FS20,FW20,GA20,GE20,GI20,GM20,GQ20))))),0))</f>
        <v/>
      </c>
      <c r="HD20">
        <f>MIN(N(HC20),MAX(0,N(HA20)))</f>
        <v/>
      </c>
      <c r="HE20">
        <f>MAX(0,N(HA20)-N(HD20))</f>
        <v/>
      </c>
      <c r="HF20">
        <f>IFERROR(MATCH(4,OrderAval,0),"")</f>
        <v/>
      </c>
      <c r="HG20">
        <f>IF(HF20="",0,IFERROR(IF(N(CHOOSE(HF20,FN20,FR20,FV20,FZ20,GD20,GH20,GL20,GP20))&lt;=0.005,0,MAX(0,N(CHOOSE(HF20,FN20,FR20,FV20,FZ20,GD20,GH20,GL20,GP20))+N(CHOOSE(HF20,FO20,FS20,FW20,GA20,GE20,GI20,GM20,GQ20))-MIN(N(CHOOSE(HF20,'Debt List'!$F$5,'Debt List'!$F$6,'Debt List'!$F$7,'Debt List'!$F$8,'Debt List'!$F$9,'Debt List'!$F$10,'Debt List'!$F$11,'Debt List'!$F$12)),N(CHOOSE(HF20,FN20,FR20,FV20,FZ20,GD20,GH20,GL20,GP20))+N(CHOOSE(HF20,FO20,FS20,FW20,GA20,GE20,GI20,GM20,GQ20))))),0))</f>
        <v/>
      </c>
      <c r="HH20">
        <f>MIN(N(HG20),MAX(0,N(HE20)))</f>
        <v/>
      </c>
      <c r="HI20">
        <f>MAX(0,N(HE20)-N(HH20))</f>
        <v/>
      </c>
      <c r="HJ20">
        <f>IFERROR(MATCH(5,OrderAval,0),"")</f>
        <v/>
      </c>
      <c r="HK20">
        <f>IF(HJ20="",0,IFERROR(IF(N(CHOOSE(HJ20,FN20,FR20,FV20,FZ20,GD20,GH20,GL20,GP20))&lt;=0.005,0,MAX(0,N(CHOOSE(HJ20,FN20,FR20,FV20,FZ20,GD20,GH20,GL20,GP20))+N(CHOOSE(HJ20,FO20,FS20,FW20,GA20,GE20,GI20,GM20,GQ20))-MIN(N(CHOOSE(HJ20,'Debt List'!$F$5,'Debt List'!$F$6,'Debt List'!$F$7,'Debt List'!$F$8,'Debt List'!$F$9,'Debt List'!$F$10,'Debt List'!$F$11,'Debt List'!$F$12)),N(CHOOSE(HJ20,FN20,FR20,FV20,FZ20,GD20,GH20,GL20,GP20))+N(CHOOSE(HJ20,FO20,FS20,FW20,GA20,GE20,GI20,GM20,GQ20))))),0))</f>
        <v/>
      </c>
      <c r="HL20">
        <f>MIN(N(HK20),MAX(0,N(HI20)))</f>
        <v/>
      </c>
      <c r="HM20">
        <f>MAX(0,N(HI20)-N(HL20))</f>
        <v/>
      </c>
      <c r="HN20">
        <f>IFERROR(MATCH(6,OrderAval,0),"")</f>
        <v/>
      </c>
      <c r="HO20">
        <f>IF(HN20="",0,IFERROR(IF(N(CHOOSE(HN20,FN20,FR20,FV20,FZ20,GD20,GH20,GL20,GP20))&lt;=0.005,0,MAX(0,N(CHOOSE(HN20,FN20,FR20,FV20,FZ20,GD20,GH20,GL20,GP20))+N(CHOOSE(HN20,FO20,FS20,FW20,GA20,GE20,GI20,GM20,GQ20))-MIN(N(CHOOSE(HN20,'Debt List'!$F$5,'Debt List'!$F$6,'Debt List'!$F$7,'Debt List'!$F$8,'Debt List'!$F$9,'Debt List'!$F$10,'Debt List'!$F$11,'Debt List'!$F$12)),N(CHOOSE(HN20,FN20,FR20,FV20,FZ20,GD20,GH20,GL20,GP20))+N(CHOOSE(HN20,FO20,FS20,FW20,GA20,GE20,GI20,GM20,GQ20))))),0))</f>
        <v/>
      </c>
      <c r="HP20">
        <f>MIN(N(HO20),MAX(0,N(HM20)))</f>
        <v/>
      </c>
      <c r="HQ20">
        <f>MAX(0,N(HM20)-N(HP20))</f>
        <v/>
      </c>
      <c r="HR20">
        <f>IFERROR(MATCH(7,OrderAval,0),"")</f>
        <v/>
      </c>
      <c r="HS20">
        <f>IF(HR20="",0,IFERROR(IF(N(CHOOSE(HR20,FN20,FR20,FV20,FZ20,GD20,GH20,GL20,GP20))&lt;=0.005,0,MAX(0,N(CHOOSE(HR20,FN20,FR20,FV20,FZ20,GD20,GH20,GL20,GP20))+N(CHOOSE(HR20,FO20,FS20,FW20,GA20,GE20,GI20,GM20,GQ20))-MIN(N(CHOOSE(HR20,'Debt List'!$F$5,'Debt List'!$F$6,'Debt List'!$F$7,'Debt List'!$F$8,'Debt List'!$F$9,'Debt List'!$F$10,'Debt List'!$F$11,'Debt List'!$F$12)),N(CHOOSE(HR20,FN20,FR20,FV20,FZ20,GD20,GH20,GL20,GP20))+N(CHOOSE(HR20,FO20,FS20,FW20,GA20,GE20,GI20,GM20,GQ20))))),0))</f>
        <v/>
      </c>
      <c r="HT20">
        <f>MIN(N(HS20),MAX(0,N(HQ20)))</f>
        <v/>
      </c>
      <c r="HU20">
        <f>MAX(0,N(HQ20)-N(HT20))</f>
        <v/>
      </c>
      <c r="HV20">
        <f>IFERROR(MATCH(8,OrderAval,0),"")</f>
        <v/>
      </c>
      <c r="HW20">
        <f>IF(HV20="",0,IFERROR(IF(N(CHOOSE(HV20,FN20,FR20,FV20,FZ20,GD20,GH20,GL20,GP20))&lt;=0.005,0,MAX(0,N(CHOOSE(HV20,FN20,FR20,FV20,FZ20,GD20,GH20,GL20,GP20))+N(CHOOSE(HV20,FO20,FS20,FW20,GA20,GE20,GI20,GM20,GQ20))-MIN(N(CHOOSE(HV20,'Debt List'!$F$5,'Debt List'!$F$6,'Debt List'!$F$7,'Debt List'!$F$8,'Debt List'!$F$9,'Debt List'!$F$10,'Debt List'!$F$11,'Debt List'!$F$12)),N(CHOOSE(HV20,FN20,FR20,FV20,FZ20,GD20,GH20,GL20,GP20))+N(CHOOSE(HV20,FO20,FS20,FW20,GA20,GE20,GI20,GM20,GQ20))))),0))</f>
        <v/>
      </c>
      <c r="HX20">
        <f>MIN(N(HW20),MAX(0,N(HU20)))</f>
        <v/>
      </c>
      <c r="HY20">
        <f>MAX(0,N(HU20)-N(HX20))</f>
        <v/>
      </c>
    </row>
    <row r="21">
      <c r="A21" t="n">
        <v>17</v>
      </c>
      <c r="B21" s="115">
        <f>DATE(YEAR(PlanStart),MONTH(PlanStart)+A21-1,1)</f>
        <v/>
      </c>
      <c r="C21">
        <f>IF(AND(AP21&lt;&gt;"",N(CHOOSE(AP21,J21,N21,R21,V21,Z21,AD21,AH21,AL21))&gt;0.005),INDEX(DebtNames,AP21),IF(AND(AT21&lt;&gt;"",N(CHOOSE(AT21,J21,N21,R21,V21,Z21,AD21,AH21,AL21))&gt;0.005),INDEX(DebtNames,AT21),IF(AND(AX21&lt;&gt;"",N(CHOOSE(AX21,J21,N21,R21,V21,Z21,AD21,AH21,AL21))&gt;0.005),INDEX(DebtNames,AX21),IF(AND(BB21&lt;&gt;"",N(CHOOSE(BB21,J21,N21,R21,V21,Z21,AD21,AH21,AL21))&gt;0.005),INDEX(DebtNames,BB21),IF(AND(BF21&lt;&gt;"",N(CHOOSE(BF21,J21,N21,R21,V21,Z21,AD21,AH21,AL21))&gt;0.005),INDEX(DebtNames,BF21),IF(AND(BJ21&lt;&gt;"",N(CHOOSE(BJ21,J21,N21,R21,V21,Z21,AD21,AH21,AL21))&gt;0.005),INDEX(DebtNames,BJ21),IF(AND(BN21&lt;&gt;"",N(CHOOSE(BN21,J21,N21,R21,V21,Z21,AD21,AH21,AL21))&gt;0.005),INDEX(DebtNames,BN21),IF(AND(BR21&lt;&gt;"",N(CHOOSE(BR21,J21,N21,R21,V21,Z21,AD21,AH21,AL21))&gt;0.005),INDEX(DebtNames,BR21),""))))))))</f>
        <v/>
      </c>
      <c r="D21">
        <f>N(BU21)</f>
        <v/>
      </c>
      <c r="E21">
        <f>N(L21)+N(P21)+N(T21)+N(X21)+N(AB21)+N(AF21)+N(AJ21)+N(AN21)</f>
        <v/>
      </c>
      <c r="F21">
        <f>N(K21)+N(O21)+N(S21)+N(W21)+N(AA21)+N(AE21)+N(AI21)+N(AM21)</f>
        <v/>
      </c>
      <c r="G21">
        <f>N(G20)+N(F21)</f>
        <v/>
      </c>
      <c r="H21">
        <f>N(M21)+N(Q21)+N(U21)+N(Y21)+N(AC21)+N(AG21)+N(AK21)+N(AO21)</f>
        <v/>
      </c>
      <c r="I21">
        <f>(M21&gt;0.005)*1+(Q21&gt;0.005)*1+(U21&gt;0.005)*1+(Y21&gt;0.005)*1+(AC21&gt;0.005)*1+(AG21&gt;0.005)*1+(AK21&gt;0.005)*1+(AO21&gt;0.005)*1</f>
        <v/>
      </c>
      <c r="J21">
        <f>N(M20)</f>
        <v/>
      </c>
      <c r="K21">
        <f>IF(N(J21)&lt;=0.005,0,ROUND(N(J21)*N('Debt List'!E5)/12,2))</f>
        <v/>
      </c>
      <c r="L21">
        <f>IF(N(J21)&lt;=0.005,0,MIN(N('Debt List'!F5),N(J21)+N(K21)))+((AP21=1)*AR21+(AT21=1)*AV21+(AX21=1)*AZ21+(BB21=1)*BD21+(BF21=1)*BH21+(BJ21=1)*BL21+(BN21=1)*BP21+(BR21=1)*BT21)</f>
        <v/>
      </c>
      <c r="M21">
        <f>MAX(0,ROUND(N(J21)+N(K21)-N(L21),2))</f>
        <v/>
      </c>
      <c r="N21">
        <f>N(Q20)</f>
        <v/>
      </c>
      <c r="O21">
        <f>IF(N(N21)&lt;=0.005,0,ROUND(N(N21)*N('Debt List'!E6)/12,2))</f>
        <v/>
      </c>
      <c r="P21">
        <f>IF(N(N21)&lt;=0.005,0,MIN(N('Debt List'!F6),N(N21)+N(O21)))+((AP21=2)*AR21+(AT21=2)*AV21+(AX21=2)*AZ21+(BB21=2)*BD21+(BF21=2)*BH21+(BJ21=2)*BL21+(BN21=2)*BP21+(BR21=2)*BT21)</f>
        <v/>
      </c>
      <c r="Q21">
        <f>MAX(0,ROUND(N(N21)+N(O21)-N(P21),2))</f>
        <v/>
      </c>
      <c r="R21">
        <f>N(U20)</f>
        <v/>
      </c>
      <c r="S21">
        <f>IF(N(R21)&lt;=0.005,0,ROUND(N(R21)*N('Debt List'!E7)/12,2))</f>
        <v/>
      </c>
      <c r="T21">
        <f>IF(N(R21)&lt;=0.005,0,MIN(N('Debt List'!F7),N(R21)+N(S21)))+((AP21=3)*AR21+(AT21=3)*AV21+(AX21=3)*AZ21+(BB21=3)*BD21+(BF21=3)*BH21+(BJ21=3)*BL21+(BN21=3)*BP21+(BR21=3)*BT21)</f>
        <v/>
      </c>
      <c r="U21">
        <f>MAX(0,ROUND(N(R21)+N(S21)-N(T21),2))</f>
        <v/>
      </c>
      <c r="V21">
        <f>N(Y20)</f>
        <v/>
      </c>
      <c r="W21">
        <f>IF(N(V21)&lt;=0.005,0,ROUND(N(V21)*N('Debt List'!E8)/12,2))</f>
        <v/>
      </c>
      <c r="X21">
        <f>IF(N(V21)&lt;=0.005,0,MIN(N('Debt List'!F8),N(V21)+N(W21)))+((AP21=4)*AR21+(AT21=4)*AV21+(AX21=4)*AZ21+(BB21=4)*BD21+(BF21=4)*BH21+(BJ21=4)*BL21+(BN21=4)*BP21+(BR21=4)*BT21)</f>
        <v/>
      </c>
      <c r="Y21">
        <f>MAX(0,ROUND(N(V21)+N(W21)-N(X21),2))</f>
        <v/>
      </c>
      <c r="Z21">
        <f>N(AC20)</f>
        <v/>
      </c>
      <c r="AA21">
        <f>IF(N(Z21)&lt;=0.005,0,ROUND(N(Z21)*N('Debt List'!E9)/12,2))</f>
        <v/>
      </c>
      <c r="AB21">
        <f>IF(N(Z21)&lt;=0.005,0,MIN(N('Debt List'!F9),N(Z21)+N(AA21)))+((AP21=5)*AR21+(AT21=5)*AV21+(AX21=5)*AZ21+(BB21=5)*BD21+(BF21=5)*BH21+(BJ21=5)*BL21+(BN21=5)*BP21+(BR21=5)*BT21)</f>
        <v/>
      </c>
      <c r="AC21">
        <f>MAX(0,ROUND(N(Z21)+N(AA21)-N(AB21),2))</f>
        <v/>
      </c>
      <c r="AD21">
        <f>N(AG20)</f>
        <v/>
      </c>
      <c r="AE21">
        <f>IF(N(AD21)&lt;=0.005,0,ROUND(N(AD21)*N('Debt List'!E10)/12,2))</f>
        <v/>
      </c>
      <c r="AF21">
        <f>IF(N(AD21)&lt;=0.005,0,MIN(N('Debt List'!F10),N(AD21)+N(AE21)))+((AP21=6)*AR21+(AT21=6)*AV21+(AX21=6)*AZ21+(BB21=6)*BD21+(BF21=6)*BH21+(BJ21=6)*BL21+(BN21=6)*BP21+(BR21=6)*BT21)</f>
        <v/>
      </c>
      <c r="AG21">
        <f>MAX(0,ROUND(N(AD21)+N(AE21)-N(AF21),2))</f>
        <v/>
      </c>
      <c r="AH21">
        <f>N(AK20)</f>
        <v/>
      </c>
      <c r="AI21">
        <f>IF(N(AH21)&lt;=0.005,0,ROUND(N(AH21)*N('Debt List'!E11)/12,2))</f>
        <v/>
      </c>
      <c r="AJ21">
        <f>IF(N(AH21)&lt;=0.005,0,MIN(N('Debt List'!F11),N(AH21)+N(AI21)))+((AP21=7)*AR21+(AT21=7)*AV21+(AX21=7)*AZ21+(BB21=7)*BD21+(BF21=7)*BH21+(BJ21=7)*BL21+(BN21=7)*BP21+(BR21=7)*BT21)</f>
        <v/>
      </c>
      <c r="AK21">
        <f>MAX(0,ROUND(N(AH21)+N(AI21)-N(AJ21),2))</f>
        <v/>
      </c>
      <c r="AL21">
        <f>N(AO20)</f>
        <v/>
      </c>
      <c r="AM21">
        <f>IF(N(AL21)&lt;=0.005,0,ROUND(N(AL21)*N('Debt List'!E12)/12,2))</f>
        <v/>
      </c>
      <c r="AN21">
        <f>IF(N(AL21)&lt;=0.005,0,MIN(N('Debt List'!F12),N(AL21)+N(AM21)))+((AP21=8)*AR21+(AT21=8)*AV21+(AX21=8)*AZ21+(BB21=8)*BD21+(BF21=8)*BH21+(BJ21=8)*BL21+(BN21=8)*BP21+(BR21=8)*BT21)</f>
        <v/>
      </c>
      <c r="AO21">
        <f>MAX(0,ROUND(N(AL21)+N(AM21)-N(AN21),2))</f>
        <v/>
      </c>
      <c r="AP21">
        <f>IFERROR(MATCH(1,OrderPlan,0),"")</f>
        <v/>
      </c>
      <c r="AQ21">
        <f>IF(AP21="",0,IFERROR(IF(N(CHOOSE(AP21,J21,N21,R21,V21,Z21,AD21,AH21,AL21))&lt;=0.005,0,MAX(0,N(CHOOSE(AP21,J21,N21,R21,V21,Z21,AD21,AH21,AL21))+N(CHOOSE(AP21,K21,O21,S21,W21,AA21,AE21,AI21,AM21))-MIN(N(CHOOSE(AP21,'Debt List'!$F$5,'Debt List'!$F$6,'Debt List'!$F$7,'Debt List'!$F$8,'Debt List'!$F$9,'Debt List'!$F$10,'Debt List'!$F$11,'Debt List'!$F$12)),N(CHOOSE(AP21,J21,N21,R21,V21,Z21,AD21,AH21,AL21))+N(CHOOSE(AP21,K21,O21,S21,W21,AA21,AE21,AI21,AM21))))),0))</f>
        <v/>
      </c>
      <c r="AR21">
        <f>MIN(N(AQ21),MAX(0,N(ExtraPayment)))</f>
        <v/>
      </c>
      <c r="AS21">
        <f>MAX(0,N(ExtraPayment)-N(AR21))</f>
        <v/>
      </c>
      <c r="AT21">
        <f>IFERROR(MATCH(2,OrderPlan,0),"")</f>
        <v/>
      </c>
      <c r="AU21">
        <f>IF(AT21="",0,IFERROR(IF(N(CHOOSE(AT21,J21,N21,R21,V21,Z21,AD21,AH21,AL21))&lt;=0.005,0,MAX(0,N(CHOOSE(AT21,J21,N21,R21,V21,Z21,AD21,AH21,AL21))+N(CHOOSE(AT21,K21,O21,S21,W21,AA21,AE21,AI21,AM21))-MIN(N(CHOOSE(AT21,'Debt List'!$F$5,'Debt List'!$F$6,'Debt List'!$F$7,'Debt List'!$F$8,'Debt List'!$F$9,'Debt List'!$F$10,'Debt List'!$F$11,'Debt List'!$F$12)),N(CHOOSE(AT21,J21,N21,R21,V21,Z21,AD21,AH21,AL21))+N(CHOOSE(AT21,K21,O21,S21,W21,AA21,AE21,AI21,AM21))))),0))</f>
        <v/>
      </c>
      <c r="AV21">
        <f>MIN(N(AU21),MAX(0,N(AS21)))</f>
        <v/>
      </c>
      <c r="AW21">
        <f>MAX(0,N(AS21)-N(AV21))</f>
        <v/>
      </c>
      <c r="AX21">
        <f>IFERROR(MATCH(3,OrderPlan,0),"")</f>
        <v/>
      </c>
      <c r="AY21">
        <f>IF(AX21="",0,IFERROR(IF(N(CHOOSE(AX21,J21,N21,R21,V21,Z21,AD21,AH21,AL21))&lt;=0.005,0,MAX(0,N(CHOOSE(AX21,J21,N21,R21,V21,Z21,AD21,AH21,AL21))+N(CHOOSE(AX21,K21,O21,S21,W21,AA21,AE21,AI21,AM21))-MIN(N(CHOOSE(AX21,'Debt List'!$F$5,'Debt List'!$F$6,'Debt List'!$F$7,'Debt List'!$F$8,'Debt List'!$F$9,'Debt List'!$F$10,'Debt List'!$F$11,'Debt List'!$F$12)),N(CHOOSE(AX21,J21,N21,R21,V21,Z21,AD21,AH21,AL21))+N(CHOOSE(AX21,K21,O21,S21,W21,AA21,AE21,AI21,AM21))))),0))</f>
        <v/>
      </c>
      <c r="AZ21">
        <f>MIN(N(AY21),MAX(0,N(AW21)))</f>
        <v/>
      </c>
      <c r="BA21">
        <f>MAX(0,N(AW21)-N(AZ21))</f>
        <v/>
      </c>
      <c r="BB21">
        <f>IFERROR(MATCH(4,OrderPlan,0),"")</f>
        <v/>
      </c>
      <c r="BC21">
        <f>IF(BB21="",0,IFERROR(IF(N(CHOOSE(BB21,J21,N21,R21,V21,Z21,AD21,AH21,AL21))&lt;=0.005,0,MAX(0,N(CHOOSE(BB21,J21,N21,R21,V21,Z21,AD21,AH21,AL21))+N(CHOOSE(BB21,K21,O21,S21,W21,AA21,AE21,AI21,AM21))-MIN(N(CHOOSE(BB21,'Debt List'!$F$5,'Debt List'!$F$6,'Debt List'!$F$7,'Debt List'!$F$8,'Debt List'!$F$9,'Debt List'!$F$10,'Debt List'!$F$11,'Debt List'!$F$12)),N(CHOOSE(BB21,J21,N21,R21,V21,Z21,AD21,AH21,AL21))+N(CHOOSE(BB21,K21,O21,S21,W21,AA21,AE21,AI21,AM21))))),0))</f>
        <v/>
      </c>
      <c r="BD21">
        <f>MIN(N(BC21),MAX(0,N(BA21)))</f>
        <v/>
      </c>
      <c r="BE21">
        <f>MAX(0,N(BA21)-N(BD21))</f>
        <v/>
      </c>
      <c r="BF21">
        <f>IFERROR(MATCH(5,OrderPlan,0),"")</f>
        <v/>
      </c>
      <c r="BG21">
        <f>IF(BF21="",0,IFERROR(IF(N(CHOOSE(BF21,J21,N21,R21,V21,Z21,AD21,AH21,AL21))&lt;=0.005,0,MAX(0,N(CHOOSE(BF21,J21,N21,R21,V21,Z21,AD21,AH21,AL21))+N(CHOOSE(BF21,K21,O21,S21,W21,AA21,AE21,AI21,AM21))-MIN(N(CHOOSE(BF21,'Debt List'!$F$5,'Debt List'!$F$6,'Debt List'!$F$7,'Debt List'!$F$8,'Debt List'!$F$9,'Debt List'!$F$10,'Debt List'!$F$11,'Debt List'!$F$12)),N(CHOOSE(BF21,J21,N21,R21,V21,Z21,AD21,AH21,AL21))+N(CHOOSE(BF21,K21,O21,S21,W21,AA21,AE21,AI21,AM21))))),0))</f>
        <v/>
      </c>
      <c r="BH21">
        <f>MIN(N(BG21),MAX(0,N(BE21)))</f>
        <v/>
      </c>
      <c r="BI21">
        <f>MAX(0,N(BE21)-N(BH21))</f>
        <v/>
      </c>
      <c r="BJ21">
        <f>IFERROR(MATCH(6,OrderPlan,0),"")</f>
        <v/>
      </c>
      <c r="BK21">
        <f>IF(BJ21="",0,IFERROR(IF(N(CHOOSE(BJ21,J21,N21,R21,V21,Z21,AD21,AH21,AL21))&lt;=0.005,0,MAX(0,N(CHOOSE(BJ21,J21,N21,R21,V21,Z21,AD21,AH21,AL21))+N(CHOOSE(BJ21,K21,O21,S21,W21,AA21,AE21,AI21,AM21))-MIN(N(CHOOSE(BJ21,'Debt List'!$F$5,'Debt List'!$F$6,'Debt List'!$F$7,'Debt List'!$F$8,'Debt List'!$F$9,'Debt List'!$F$10,'Debt List'!$F$11,'Debt List'!$F$12)),N(CHOOSE(BJ21,J21,N21,R21,V21,Z21,AD21,AH21,AL21))+N(CHOOSE(BJ21,K21,O21,S21,W21,AA21,AE21,AI21,AM21))))),0))</f>
        <v/>
      </c>
      <c r="BL21">
        <f>MIN(N(BK21),MAX(0,N(BI21)))</f>
        <v/>
      </c>
      <c r="BM21">
        <f>MAX(0,N(BI21)-N(BL21))</f>
        <v/>
      </c>
      <c r="BN21">
        <f>IFERROR(MATCH(7,OrderPlan,0),"")</f>
        <v/>
      </c>
      <c r="BO21">
        <f>IF(BN21="",0,IFERROR(IF(N(CHOOSE(BN21,J21,N21,R21,V21,Z21,AD21,AH21,AL21))&lt;=0.005,0,MAX(0,N(CHOOSE(BN21,J21,N21,R21,V21,Z21,AD21,AH21,AL21))+N(CHOOSE(BN21,K21,O21,S21,W21,AA21,AE21,AI21,AM21))-MIN(N(CHOOSE(BN21,'Debt List'!$F$5,'Debt List'!$F$6,'Debt List'!$F$7,'Debt List'!$F$8,'Debt List'!$F$9,'Debt List'!$F$10,'Debt List'!$F$11,'Debt List'!$F$12)),N(CHOOSE(BN21,J21,N21,R21,V21,Z21,AD21,AH21,AL21))+N(CHOOSE(BN21,K21,O21,S21,W21,AA21,AE21,AI21,AM21))))),0))</f>
        <v/>
      </c>
      <c r="BP21">
        <f>MIN(N(BO21),MAX(0,N(BM21)))</f>
        <v/>
      </c>
      <c r="BQ21">
        <f>MAX(0,N(BM21)-N(BP21))</f>
        <v/>
      </c>
      <c r="BR21">
        <f>IFERROR(MATCH(8,OrderPlan,0),"")</f>
        <v/>
      </c>
      <c r="BS21">
        <f>IF(BR21="",0,IFERROR(IF(N(CHOOSE(BR21,J21,N21,R21,V21,Z21,AD21,AH21,AL21))&lt;=0.005,0,MAX(0,N(CHOOSE(BR21,J21,N21,R21,V21,Z21,AD21,AH21,AL21))+N(CHOOSE(BR21,K21,O21,S21,W21,AA21,AE21,AI21,AM21))-MIN(N(CHOOSE(BR21,'Debt List'!$F$5,'Debt List'!$F$6,'Debt List'!$F$7,'Debt List'!$F$8,'Debt List'!$F$9,'Debt List'!$F$10,'Debt List'!$F$11,'Debt List'!$F$12)),N(CHOOSE(BR21,J21,N21,R21,V21,Z21,AD21,AH21,AL21))+N(CHOOSE(BR21,K21,O21,S21,W21,AA21,AE21,AI21,AM21))))),0))</f>
        <v/>
      </c>
      <c r="BT21">
        <f>MIN(N(BS21),MAX(0,N(BQ21)))</f>
        <v/>
      </c>
      <c r="BU21">
        <f>MAX(0,N(BQ21)-N(BT21))</f>
        <v/>
      </c>
      <c r="CC21" t="n">
        <v>17</v>
      </c>
      <c r="CD21" s="115">
        <f>DATE(YEAR(PlanStart),MONTH(PlanStart)+CC21-1,1)</f>
        <v/>
      </c>
      <c r="CE21">
        <f>IF(AND(DR21&lt;&gt;"",N(CHOOSE(DR21,CL21,CP21,CT21,CX21,DB21,DF21,DJ21,DN21))&gt;0.005),INDEX(DebtNames,DR21),IF(AND(DV21&lt;&gt;"",N(CHOOSE(DV21,CL21,CP21,CT21,CX21,DB21,DF21,DJ21,DN21))&gt;0.005),INDEX(DebtNames,DV21),IF(AND(DZ21&lt;&gt;"",N(CHOOSE(DZ21,CL21,CP21,CT21,CX21,DB21,DF21,DJ21,DN21))&gt;0.005),INDEX(DebtNames,DZ21),IF(AND(ED21&lt;&gt;"",N(CHOOSE(ED21,CL21,CP21,CT21,CX21,DB21,DF21,DJ21,DN21))&gt;0.005),INDEX(DebtNames,ED21),IF(AND(EH21&lt;&gt;"",N(CHOOSE(EH21,CL21,CP21,CT21,CX21,DB21,DF21,DJ21,DN21))&gt;0.005),INDEX(DebtNames,EH21),IF(AND(EL21&lt;&gt;"",N(CHOOSE(EL21,CL21,CP21,CT21,CX21,DB21,DF21,DJ21,DN21))&gt;0.005),INDEX(DebtNames,EL21),IF(AND(EP21&lt;&gt;"",N(CHOOSE(EP21,CL21,CP21,CT21,CX21,DB21,DF21,DJ21,DN21))&gt;0.005),INDEX(DebtNames,EP21),IF(AND(ET21&lt;&gt;"",N(CHOOSE(ET21,CL21,CP21,CT21,CX21,DB21,DF21,DJ21,DN21))&gt;0.005),INDEX(DebtNames,ET21),""))))))))</f>
        <v/>
      </c>
      <c r="CF21">
        <f>N(EW21)</f>
        <v/>
      </c>
      <c r="CG21">
        <f>N(CN21)+N(CR21)+N(CV21)+N(CZ21)+N(DD21)+N(DH21)+N(DL21)+N(DP21)</f>
        <v/>
      </c>
      <c r="CH21">
        <f>N(CM21)+N(CQ21)+N(CU21)+N(CY21)+N(DC21)+N(DG21)+N(DK21)+N(DO21)</f>
        <v/>
      </c>
      <c r="CI21">
        <f>N(CI20)+N(CH21)</f>
        <v/>
      </c>
      <c r="CJ21">
        <f>N(CO21)+N(CS21)+N(CW21)+N(DA21)+N(DE21)+N(DI21)+N(DM21)+N(DQ21)</f>
        <v/>
      </c>
      <c r="CK21">
        <f>(CO21&gt;0.005)*1+(CS21&gt;0.005)*1+(CW21&gt;0.005)*1+(DA21&gt;0.005)*1+(DE21&gt;0.005)*1+(DI21&gt;0.005)*1+(DM21&gt;0.005)*1+(DQ21&gt;0.005)*1</f>
        <v/>
      </c>
      <c r="CL21">
        <f>N(CO20)</f>
        <v/>
      </c>
      <c r="CM21">
        <f>IF(N(CL21)&lt;=0.005,0,ROUND(N(CL21)*N('Debt List'!E5)/12,2))</f>
        <v/>
      </c>
      <c r="CN21">
        <f>IF(N(CL21)&lt;=0.005,0,MIN(N('Debt List'!F5),N(CL21)+N(CM21)))+((DR21=1)*DT21+(DV21=1)*DX21+(DZ21=1)*EB21+(ED21=1)*EF21+(EH21=1)*EJ21+(EL21=1)*EN21+(EP21=1)*ER21+(ET21=1)*EV21)</f>
        <v/>
      </c>
      <c r="CO21">
        <f>MAX(0,ROUND(N(CL21)+N(CM21)-N(CN21),2))</f>
        <v/>
      </c>
      <c r="CP21">
        <f>N(CS20)</f>
        <v/>
      </c>
      <c r="CQ21">
        <f>IF(N(CP21)&lt;=0.005,0,ROUND(N(CP21)*N('Debt List'!E6)/12,2))</f>
        <v/>
      </c>
      <c r="CR21">
        <f>IF(N(CP21)&lt;=0.005,0,MIN(N('Debt List'!F6),N(CP21)+N(CQ21)))+((DR21=2)*DT21+(DV21=2)*DX21+(DZ21=2)*EB21+(ED21=2)*EF21+(EH21=2)*EJ21+(EL21=2)*EN21+(EP21=2)*ER21+(ET21=2)*EV21)</f>
        <v/>
      </c>
      <c r="CS21">
        <f>MAX(0,ROUND(N(CP21)+N(CQ21)-N(CR21),2))</f>
        <v/>
      </c>
      <c r="CT21">
        <f>N(CW20)</f>
        <v/>
      </c>
      <c r="CU21">
        <f>IF(N(CT21)&lt;=0.005,0,ROUND(N(CT21)*N('Debt List'!E7)/12,2))</f>
        <v/>
      </c>
      <c r="CV21">
        <f>IF(N(CT21)&lt;=0.005,0,MIN(N('Debt List'!F7),N(CT21)+N(CU21)))+((DR21=3)*DT21+(DV21=3)*DX21+(DZ21=3)*EB21+(ED21=3)*EF21+(EH21=3)*EJ21+(EL21=3)*EN21+(EP21=3)*ER21+(ET21=3)*EV21)</f>
        <v/>
      </c>
      <c r="CW21">
        <f>MAX(0,ROUND(N(CT21)+N(CU21)-N(CV21),2))</f>
        <v/>
      </c>
      <c r="CX21">
        <f>N(DA20)</f>
        <v/>
      </c>
      <c r="CY21">
        <f>IF(N(CX21)&lt;=0.005,0,ROUND(N(CX21)*N('Debt List'!E8)/12,2))</f>
        <v/>
      </c>
      <c r="CZ21">
        <f>IF(N(CX21)&lt;=0.005,0,MIN(N('Debt List'!F8),N(CX21)+N(CY21)))+((DR21=4)*DT21+(DV21=4)*DX21+(DZ21=4)*EB21+(ED21=4)*EF21+(EH21=4)*EJ21+(EL21=4)*EN21+(EP21=4)*ER21+(ET21=4)*EV21)</f>
        <v/>
      </c>
      <c r="DA21">
        <f>MAX(0,ROUND(N(CX21)+N(CY21)-N(CZ21),2))</f>
        <v/>
      </c>
      <c r="DB21">
        <f>N(DE20)</f>
        <v/>
      </c>
      <c r="DC21">
        <f>IF(N(DB21)&lt;=0.005,0,ROUND(N(DB21)*N('Debt List'!E9)/12,2))</f>
        <v/>
      </c>
      <c r="DD21">
        <f>IF(N(DB21)&lt;=0.005,0,MIN(N('Debt List'!F9),N(DB21)+N(DC21)))+((DR21=5)*DT21+(DV21=5)*DX21+(DZ21=5)*EB21+(ED21=5)*EF21+(EH21=5)*EJ21+(EL21=5)*EN21+(EP21=5)*ER21+(ET21=5)*EV21)</f>
        <v/>
      </c>
      <c r="DE21">
        <f>MAX(0,ROUND(N(DB21)+N(DC21)-N(DD21),2))</f>
        <v/>
      </c>
      <c r="DF21">
        <f>N(DI20)</f>
        <v/>
      </c>
      <c r="DG21">
        <f>IF(N(DF21)&lt;=0.005,0,ROUND(N(DF21)*N('Debt List'!E10)/12,2))</f>
        <v/>
      </c>
      <c r="DH21">
        <f>IF(N(DF21)&lt;=0.005,0,MIN(N('Debt List'!F10),N(DF21)+N(DG21)))+((DR21=6)*DT21+(DV21=6)*DX21+(DZ21=6)*EB21+(ED21=6)*EF21+(EH21=6)*EJ21+(EL21=6)*EN21+(EP21=6)*ER21+(ET21=6)*EV21)</f>
        <v/>
      </c>
      <c r="DI21">
        <f>MAX(0,ROUND(N(DF21)+N(DG21)-N(DH21),2))</f>
        <v/>
      </c>
      <c r="DJ21">
        <f>N(DM20)</f>
        <v/>
      </c>
      <c r="DK21">
        <f>IF(N(DJ21)&lt;=0.005,0,ROUND(N(DJ21)*N('Debt List'!E11)/12,2))</f>
        <v/>
      </c>
      <c r="DL21">
        <f>IF(N(DJ21)&lt;=0.005,0,MIN(N('Debt List'!F11),N(DJ21)+N(DK21)))+((DR21=7)*DT21+(DV21=7)*DX21+(DZ21=7)*EB21+(ED21=7)*EF21+(EH21=7)*EJ21+(EL21=7)*EN21+(EP21=7)*ER21+(ET21=7)*EV21)</f>
        <v/>
      </c>
      <c r="DM21">
        <f>MAX(0,ROUND(N(DJ21)+N(DK21)-N(DL21),2))</f>
        <v/>
      </c>
      <c r="DN21">
        <f>N(DQ20)</f>
        <v/>
      </c>
      <c r="DO21">
        <f>IF(N(DN21)&lt;=0.005,0,ROUND(N(DN21)*N('Debt List'!E12)/12,2))</f>
        <v/>
      </c>
      <c r="DP21">
        <f>IF(N(DN21)&lt;=0.005,0,MIN(N('Debt List'!F12),N(DN21)+N(DO21)))+((DR21=8)*DT21+(DV21=8)*DX21+(DZ21=8)*EB21+(ED21=8)*EF21+(EH21=8)*EJ21+(EL21=8)*EN21+(EP21=8)*ER21+(ET21=8)*EV21)</f>
        <v/>
      </c>
      <c r="DQ21">
        <f>MAX(0,ROUND(N(DN21)+N(DO21)-N(DP21),2))</f>
        <v/>
      </c>
      <c r="DR21">
        <f>IFERROR(MATCH(1,OrderSnow,0),"")</f>
        <v/>
      </c>
      <c r="DS21">
        <f>IF(DR21="",0,IFERROR(IF(N(CHOOSE(DR21,CL21,CP21,CT21,CX21,DB21,DF21,DJ21,DN21))&lt;=0.005,0,MAX(0,N(CHOOSE(DR21,CL21,CP21,CT21,CX21,DB21,DF21,DJ21,DN21))+N(CHOOSE(DR21,CM21,CQ21,CU21,CY21,DC21,DG21,DK21,DO21))-MIN(N(CHOOSE(DR21,'Debt List'!$F$5,'Debt List'!$F$6,'Debt List'!$F$7,'Debt List'!$F$8,'Debt List'!$F$9,'Debt List'!$F$10,'Debt List'!$F$11,'Debt List'!$F$12)),N(CHOOSE(DR21,CL21,CP21,CT21,CX21,DB21,DF21,DJ21,DN21))+N(CHOOSE(DR21,CM21,CQ21,CU21,CY21,DC21,DG21,DK21,DO21))))),0))</f>
        <v/>
      </c>
      <c r="DT21">
        <f>MIN(N(DS21),MAX(0,N(ExtraPayment)))</f>
        <v/>
      </c>
      <c r="DU21">
        <f>MAX(0,N(ExtraPayment)-N(DT21))</f>
        <v/>
      </c>
      <c r="DV21">
        <f>IFERROR(MATCH(2,OrderSnow,0),"")</f>
        <v/>
      </c>
      <c r="DW21">
        <f>IF(DV21="",0,IFERROR(IF(N(CHOOSE(DV21,CL21,CP21,CT21,CX21,DB21,DF21,DJ21,DN21))&lt;=0.005,0,MAX(0,N(CHOOSE(DV21,CL21,CP21,CT21,CX21,DB21,DF21,DJ21,DN21))+N(CHOOSE(DV21,CM21,CQ21,CU21,CY21,DC21,DG21,DK21,DO21))-MIN(N(CHOOSE(DV21,'Debt List'!$F$5,'Debt List'!$F$6,'Debt List'!$F$7,'Debt List'!$F$8,'Debt List'!$F$9,'Debt List'!$F$10,'Debt List'!$F$11,'Debt List'!$F$12)),N(CHOOSE(DV21,CL21,CP21,CT21,CX21,DB21,DF21,DJ21,DN21))+N(CHOOSE(DV21,CM21,CQ21,CU21,CY21,DC21,DG21,DK21,DO21))))),0))</f>
        <v/>
      </c>
      <c r="DX21">
        <f>MIN(N(DW21),MAX(0,N(DU21)))</f>
        <v/>
      </c>
      <c r="DY21">
        <f>MAX(0,N(DU21)-N(DX21))</f>
        <v/>
      </c>
      <c r="DZ21">
        <f>IFERROR(MATCH(3,OrderSnow,0),"")</f>
        <v/>
      </c>
      <c r="EA21">
        <f>IF(DZ21="",0,IFERROR(IF(N(CHOOSE(DZ21,CL21,CP21,CT21,CX21,DB21,DF21,DJ21,DN21))&lt;=0.005,0,MAX(0,N(CHOOSE(DZ21,CL21,CP21,CT21,CX21,DB21,DF21,DJ21,DN21))+N(CHOOSE(DZ21,CM21,CQ21,CU21,CY21,DC21,DG21,DK21,DO21))-MIN(N(CHOOSE(DZ21,'Debt List'!$F$5,'Debt List'!$F$6,'Debt List'!$F$7,'Debt List'!$F$8,'Debt List'!$F$9,'Debt List'!$F$10,'Debt List'!$F$11,'Debt List'!$F$12)),N(CHOOSE(DZ21,CL21,CP21,CT21,CX21,DB21,DF21,DJ21,DN21))+N(CHOOSE(DZ21,CM21,CQ21,CU21,CY21,DC21,DG21,DK21,DO21))))),0))</f>
        <v/>
      </c>
      <c r="EB21">
        <f>MIN(N(EA21),MAX(0,N(DY21)))</f>
        <v/>
      </c>
      <c r="EC21">
        <f>MAX(0,N(DY21)-N(EB21))</f>
        <v/>
      </c>
      <c r="ED21">
        <f>IFERROR(MATCH(4,OrderSnow,0),"")</f>
        <v/>
      </c>
      <c r="EE21">
        <f>IF(ED21="",0,IFERROR(IF(N(CHOOSE(ED21,CL21,CP21,CT21,CX21,DB21,DF21,DJ21,DN21))&lt;=0.005,0,MAX(0,N(CHOOSE(ED21,CL21,CP21,CT21,CX21,DB21,DF21,DJ21,DN21))+N(CHOOSE(ED21,CM21,CQ21,CU21,CY21,DC21,DG21,DK21,DO21))-MIN(N(CHOOSE(ED21,'Debt List'!$F$5,'Debt List'!$F$6,'Debt List'!$F$7,'Debt List'!$F$8,'Debt List'!$F$9,'Debt List'!$F$10,'Debt List'!$F$11,'Debt List'!$F$12)),N(CHOOSE(ED21,CL21,CP21,CT21,CX21,DB21,DF21,DJ21,DN21))+N(CHOOSE(ED21,CM21,CQ21,CU21,CY21,DC21,DG21,DK21,DO21))))),0))</f>
        <v/>
      </c>
      <c r="EF21">
        <f>MIN(N(EE21),MAX(0,N(EC21)))</f>
        <v/>
      </c>
      <c r="EG21">
        <f>MAX(0,N(EC21)-N(EF21))</f>
        <v/>
      </c>
      <c r="EH21">
        <f>IFERROR(MATCH(5,OrderSnow,0),"")</f>
        <v/>
      </c>
      <c r="EI21">
        <f>IF(EH21="",0,IFERROR(IF(N(CHOOSE(EH21,CL21,CP21,CT21,CX21,DB21,DF21,DJ21,DN21))&lt;=0.005,0,MAX(0,N(CHOOSE(EH21,CL21,CP21,CT21,CX21,DB21,DF21,DJ21,DN21))+N(CHOOSE(EH21,CM21,CQ21,CU21,CY21,DC21,DG21,DK21,DO21))-MIN(N(CHOOSE(EH21,'Debt List'!$F$5,'Debt List'!$F$6,'Debt List'!$F$7,'Debt List'!$F$8,'Debt List'!$F$9,'Debt List'!$F$10,'Debt List'!$F$11,'Debt List'!$F$12)),N(CHOOSE(EH21,CL21,CP21,CT21,CX21,DB21,DF21,DJ21,DN21))+N(CHOOSE(EH21,CM21,CQ21,CU21,CY21,DC21,DG21,DK21,DO21))))),0))</f>
        <v/>
      </c>
      <c r="EJ21">
        <f>MIN(N(EI21),MAX(0,N(EG21)))</f>
        <v/>
      </c>
      <c r="EK21">
        <f>MAX(0,N(EG21)-N(EJ21))</f>
        <v/>
      </c>
      <c r="EL21">
        <f>IFERROR(MATCH(6,OrderSnow,0),"")</f>
        <v/>
      </c>
      <c r="EM21">
        <f>IF(EL21="",0,IFERROR(IF(N(CHOOSE(EL21,CL21,CP21,CT21,CX21,DB21,DF21,DJ21,DN21))&lt;=0.005,0,MAX(0,N(CHOOSE(EL21,CL21,CP21,CT21,CX21,DB21,DF21,DJ21,DN21))+N(CHOOSE(EL21,CM21,CQ21,CU21,CY21,DC21,DG21,DK21,DO21))-MIN(N(CHOOSE(EL21,'Debt List'!$F$5,'Debt List'!$F$6,'Debt List'!$F$7,'Debt List'!$F$8,'Debt List'!$F$9,'Debt List'!$F$10,'Debt List'!$F$11,'Debt List'!$F$12)),N(CHOOSE(EL21,CL21,CP21,CT21,CX21,DB21,DF21,DJ21,DN21))+N(CHOOSE(EL21,CM21,CQ21,CU21,CY21,DC21,DG21,DK21,DO21))))),0))</f>
        <v/>
      </c>
      <c r="EN21">
        <f>MIN(N(EM21),MAX(0,N(EK21)))</f>
        <v/>
      </c>
      <c r="EO21">
        <f>MAX(0,N(EK21)-N(EN21))</f>
        <v/>
      </c>
      <c r="EP21">
        <f>IFERROR(MATCH(7,OrderSnow,0),"")</f>
        <v/>
      </c>
      <c r="EQ21">
        <f>IF(EP21="",0,IFERROR(IF(N(CHOOSE(EP21,CL21,CP21,CT21,CX21,DB21,DF21,DJ21,DN21))&lt;=0.005,0,MAX(0,N(CHOOSE(EP21,CL21,CP21,CT21,CX21,DB21,DF21,DJ21,DN21))+N(CHOOSE(EP21,CM21,CQ21,CU21,CY21,DC21,DG21,DK21,DO21))-MIN(N(CHOOSE(EP21,'Debt List'!$F$5,'Debt List'!$F$6,'Debt List'!$F$7,'Debt List'!$F$8,'Debt List'!$F$9,'Debt List'!$F$10,'Debt List'!$F$11,'Debt List'!$F$12)),N(CHOOSE(EP21,CL21,CP21,CT21,CX21,DB21,DF21,DJ21,DN21))+N(CHOOSE(EP21,CM21,CQ21,CU21,CY21,DC21,DG21,DK21,DO21))))),0))</f>
        <v/>
      </c>
      <c r="ER21">
        <f>MIN(N(EQ21),MAX(0,N(EO21)))</f>
        <v/>
      </c>
      <c r="ES21">
        <f>MAX(0,N(EO21)-N(ER21))</f>
        <v/>
      </c>
      <c r="ET21">
        <f>IFERROR(MATCH(8,OrderSnow,0),"")</f>
        <v/>
      </c>
      <c r="EU21">
        <f>IF(ET21="",0,IFERROR(IF(N(CHOOSE(ET21,CL21,CP21,CT21,CX21,DB21,DF21,DJ21,DN21))&lt;=0.005,0,MAX(0,N(CHOOSE(ET21,CL21,CP21,CT21,CX21,DB21,DF21,DJ21,DN21))+N(CHOOSE(ET21,CM21,CQ21,CU21,CY21,DC21,DG21,DK21,DO21))-MIN(N(CHOOSE(ET21,'Debt List'!$F$5,'Debt List'!$F$6,'Debt List'!$F$7,'Debt List'!$F$8,'Debt List'!$F$9,'Debt List'!$F$10,'Debt List'!$F$11,'Debt List'!$F$12)),N(CHOOSE(ET21,CL21,CP21,CT21,CX21,DB21,DF21,DJ21,DN21))+N(CHOOSE(ET21,CM21,CQ21,CU21,CY21,DC21,DG21,DK21,DO21))))),0))</f>
        <v/>
      </c>
      <c r="EV21">
        <f>MIN(N(EU21),MAX(0,N(ES21)))</f>
        <v/>
      </c>
      <c r="EW21">
        <f>MAX(0,N(ES21)-N(EV21))</f>
        <v/>
      </c>
      <c r="FE21" t="n">
        <v>17</v>
      </c>
      <c r="FF21" s="115">
        <f>DATE(YEAR(PlanStart),MONTH(PlanStart)+FE21-1,1)</f>
        <v/>
      </c>
      <c r="FG21">
        <f>IF(AND(GT21&lt;&gt;"",N(CHOOSE(GT21,FN21,FR21,FV21,FZ21,GD21,GH21,GL21,GP21))&gt;0.005),INDEX(DebtNames,GT21),IF(AND(GX21&lt;&gt;"",N(CHOOSE(GX21,FN21,FR21,FV21,FZ21,GD21,GH21,GL21,GP21))&gt;0.005),INDEX(DebtNames,GX21),IF(AND(HB21&lt;&gt;"",N(CHOOSE(HB21,FN21,FR21,FV21,FZ21,GD21,GH21,GL21,GP21))&gt;0.005),INDEX(DebtNames,HB21),IF(AND(HF21&lt;&gt;"",N(CHOOSE(HF21,FN21,FR21,FV21,FZ21,GD21,GH21,GL21,GP21))&gt;0.005),INDEX(DebtNames,HF21),IF(AND(HJ21&lt;&gt;"",N(CHOOSE(HJ21,FN21,FR21,FV21,FZ21,GD21,GH21,GL21,GP21))&gt;0.005),INDEX(DebtNames,HJ21),IF(AND(HN21&lt;&gt;"",N(CHOOSE(HN21,FN21,FR21,FV21,FZ21,GD21,GH21,GL21,GP21))&gt;0.005),INDEX(DebtNames,HN21),IF(AND(HR21&lt;&gt;"",N(CHOOSE(HR21,FN21,FR21,FV21,FZ21,GD21,GH21,GL21,GP21))&gt;0.005),INDEX(DebtNames,HR21),IF(AND(HV21&lt;&gt;"",N(CHOOSE(HV21,FN21,FR21,FV21,FZ21,GD21,GH21,GL21,GP21))&gt;0.005),INDEX(DebtNames,HV21),""))))))))</f>
        <v/>
      </c>
      <c r="FH21">
        <f>N(HY21)</f>
        <v/>
      </c>
      <c r="FI21">
        <f>N(FP21)+N(FT21)+N(FX21)+N(GB21)+N(GF21)+N(GJ21)+N(GN21)+N(GR21)</f>
        <v/>
      </c>
      <c r="FJ21">
        <f>N(FO21)+N(FS21)+N(FW21)+N(GA21)+N(GE21)+N(GI21)+N(GM21)+N(GQ21)</f>
        <v/>
      </c>
      <c r="FK21">
        <f>N(FK20)+N(FJ21)</f>
        <v/>
      </c>
      <c r="FL21">
        <f>N(FQ21)+N(FU21)+N(FY21)+N(GC21)+N(GG21)+N(GK21)+N(GO21)+N(GS21)</f>
        <v/>
      </c>
      <c r="FM21">
        <f>(FQ21&gt;0.005)*1+(FU21&gt;0.005)*1+(FY21&gt;0.005)*1+(GC21&gt;0.005)*1+(GG21&gt;0.005)*1+(GK21&gt;0.005)*1+(GO21&gt;0.005)*1+(GS21&gt;0.005)*1</f>
        <v/>
      </c>
      <c r="FN21">
        <f>N(FQ20)</f>
        <v/>
      </c>
      <c r="FO21">
        <f>IF(N(FN21)&lt;=0.005,0,ROUND(N(FN21)*N('Debt List'!E5)/12,2))</f>
        <v/>
      </c>
      <c r="FP21">
        <f>IF(N(FN21)&lt;=0.005,0,MIN(N('Debt List'!F5),N(FN21)+N(FO21)))+((GT21=1)*GV21+(GX21=1)*GZ21+(HB21=1)*HD21+(HF21=1)*HH21+(HJ21=1)*HL21+(HN21=1)*HP21+(HR21=1)*HT21+(HV21=1)*HX21)</f>
        <v/>
      </c>
      <c r="FQ21">
        <f>MAX(0,ROUND(N(FN21)+N(FO21)-N(FP21),2))</f>
        <v/>
      </c>
      <c r="FR21">
        <f>N(FU20)</f>
        <v/>
      </c>
      <c r="FS21">
        <f>IF(N(FR21)&lt;=0.005,0,ROUND(N(FR21)*N('Debt List'!E6)/12,2))</f>
        <v/>
      </c>
      <c r="FT21">
        <f>IF(N(FR21)&lt;=0.005,0,MIN(N('Debt List'!F6),N(FR21)+N(FS21)))+((GT21=2)*GV21+(GX21=2)*GZ21+(HB21=2)*HD21+(HF21=2)*HH21+(HJ21=2)*HL21+(HN21=2)*HP21+(HR21=2)*HT21+(HV21=2)*HX21)</f>
        <v/>
      </c>
      <c r="FU21">
        <f>MAX(0,ROUND(N(FR21)+N(FS21)-N(FT21),2))</f>
        <v/>
      </c>
      <c r="FV21">
        <f>N(FY20)</f>
        <v/>
      </c>
      <c r="FW21">
        <f>IF(N(FV21)&lt;=0.005,0,ROUND(N(FV21)*N('Debt List'!E7)/12,2))</f>
        <v/>
      </c>
      <c r="FX21">
        <f>IF(N(FV21)&lt;=0.005,0,MIN(N('Debt List'!F7),N(FV21)+N(FW21)))+((GT21=3)*GV21+(GX21=3)*GZ21+(HB21=3)*HD21+(HF21=3)*HH21+(HJ21=3)*HL21+(HN21=3)*HP21+(HR21=3)*HT21+(HV21=3)*HX21)</f>
        <v/>
      </c>
      <c r="FY21">
        <f>MAX(0,ROUND(N(FV21)+N(FW21)-N(FX21),2))</f>
        <v/>
      </c>
      <c r="FZ21">
        <f>N(GC20)</f>
        <v/>
      </c>
      <c r="GA21">
        <f>IF(N(FZ21)&lt;=0.005,0,ROUND(N(FZ21)*N('Debt List'!E8)/12,2))</f>
        <v/>
      </c>
      <c r="GB21">
        <f>IF(N(FZ21)&lt;=0.005,0,MIN(N('Debt List'!F8),N(FZ21)+N(GA21)))+((GT21=4)*GV21+(GX21=4)*GZ21+(HB21=4)*HD21+(HF21=4)*HH21+(HJ21=4)*HL21+(HN21=4)*HP21+(HR21=4)*HT21+(HV21=4)*HX21)</f>
        <v/>
      </c>
      <c r="GC21">
        <f>MAX(0,ROUND(N(FZ21)+N(GA21)-N(GB21),2))</f>
        <v/>
      </c>
      <c r="GD21">
        <f>N(GG20)</f>
        <v/>
      </c>
      <c r="GE21">
        <f>IF(N(GD21)&lt;=0.005,0,ROUND(N(GD21)*N('Debt List'!E9)/12,2))</f>
        <v/>
      </c>
      <c r="GF21">
        <f>IF(N(GD21)&lt;=0.005,0,MIN(N('Debt List'!F9),N(GD21)+N(GE21)))+((GT21=5)*GV21+(GX21=5)*GZ21+(HB21=5)*HD21+(HF21=5)*HH21+(HJ21=5)*HL21+(HN21=5)*HP21+(HR21=5)*HT21+(HV21=5)*HX21)</f>
        <v/>
      </c>
      <c r="GG21">
        <f>MAX(0,ROUND(N(GD21)+N(GE21)-N(GF21),2))</f>
        <v/>
      </c>
      <c r="GH21">
        <f>N(GK20)</f>
        <v/>
      </c>
      <c r="GI21">
        <f>IF(N(GH21)&lt;=0.005,0,ROUND(N(GH21)*N('Debt List'!E10)/12,2))</f>
        <v/>
      </c>
      <c r="GJ21">
        <f>IF(N(GH21)&lt;=0.005,0,MIN(N('Debt List'!F10),N(GH21)+N(GI21)))+((GT21=6)*GV21+(GX21=6)*GZ21+(HB21=6)*HD21+(HF21=6)*HH21+(HJ21=6)*HL21+(HN21=6)*HP21+(HR21=6)*HT21+(HV21=6)*HX21)</f>
        <v/>
      </c>
      <c r="GK21">
        <f>MAX(0,ROUND(N(GH21)+N(GI21)-N(GJ21),2))</f>
        <v/>
      </c>
      <c r="GL21">
        <f>N(GO20)</f>
        <v/>
      </c>
      <c r="GM21">
        <f>IF(N(GL21)&lt;=0.005,0,ROUND(N(GL21)*N('Debt List'!E11)/12,2))</f>
        <v/>
      </c>
      <c r="GN21">
        <f>IF(N(GL21)&lt;=0.005,0,MIN(N('Debt List'!F11),N(GL21)+N(GM21)))+((GT21=7)*GV21+(GX21=7)*GZ21+(HB21=7)*HD21+(HF21=7)*HH21+(HJ21=7)*HL21+(HN21=7)*HP21+(HR21=7)*HT21+(HV21=7)*HX21)</f>
        <v/>
      </c>
      <c r="GO21">
        <f>MAX(0,ROUND(N(GL21)+N(GM21)-N(GN21),2))</f>
        <v/>
      </c>
      <c r="GP21">
        <f>N(GS20)</f>
        <v/>
      </c>
      <c r="GQ21">
        <f>IF(N(GP21)&lt;=0.005,0,ROUND(N(GP21)*N('Debt List'!E12)/12,2))</f>
        <v/>
      </c>
      <c r="GR21">
        <f>IF(N(GP21)&lt;=0.005,0,MIN(N('Debt List'!F12),N(GP21)+N(GQ21)))+((GT21=8)*GV21+(GX21=8)*GZ21+(HB21=8)*HD21+(HF21=8)*HH21+(HJ21=8)*HL21+(HN21=8)*HP21+(HR21=8)*HT21+(HV21=8)*HX21)</f>
        <v/>
      </c>
      <c r="GS21">
        <f>MAX(0,ROUND(N(GP21)+N(GQ21)-N(GR21),2))</f>
        <v/>
      </c>
      <c r="GT21">
        <f>IFERROR(MATCH(1,OrderAval,0),"")</f>
        <v/>
      </c>
      <c r="GU21">
        <f>IF(GT21="",0,IFERROR(IF(N(CHOOSE(GT21,FN21,FR21,FV21,FZ21,GD21,GH21,GL21,GP21))&lt;=0.005,0,MAX(0,N(CHOOSE(GT21,FN21,FR21,FV21,FZ21,GD21,GH21,GL21,GP21))+N(CHOOSE(GT21,FO21,FS21,FW21,GA21,GE21,GI21,GM21,GQ21))-MIN(N(CHOOSE(GT21,'Debt List'!$F$5,'Debt List'!$F$6,'Debt List'!$F$7,'Debt List'!$F$8,'Debt List'!$F$9,'Debt List'!$F$10,'Debt List'!$F$11,'Debt List'!$F$12)),N(CHOOSE(GT21,FN21,FR21,FV21,FZ21,GD21,GH21,GL21,GP21))+N(CHOOSE(GT21,FO21,FS21,FW21,GA21,GE21,GI21,GM21,GQ21))))),0))</f>
        <v/>
      </c>
      <c r="GV21">
        <f>MIN(N(GU21),MAX(0,N(ExtraPayment)))</f>
        <v/>
      </c>
      <c r="GW21">
        <f>MAX(0,N(ExtraPayment)-N(GV21))</f>
        <v/>
      </c>
      <c r="GX21">
        <f>IFERROR(MATCH(2,OrderAval,0),"")</f>
        <v/>
      </c>
      <c r="GY21">
        <f>IF(GX21="",0,IFERROR(IF(N(CHOOSE(GX21,FN21,FR21,FV21,FZ21,GD21,GH21,GL21,GP21))&lt;=0.005,0,MAX(0,N(CHOOSE(GX21,FN21,FR21,FV21,FZ21,GD21,GH21,GL21,GP21))+N(CHOOSE(GX21,FO21,FS21,FW21,GA21,GE21,GI21,GM21,GQ21))-MIN(N(CHOOSE(GX21,'Debt List'!$F$5,'Debt List'!$F$6,'Debt List'!$F$7,'Debt List'!$F$8,'Debt List'!$F$9,'Debt List'!$F$10,'Debt List'!$F$11,'Debt List'!$F$12)),N(CHOOSE(GX21,FN21,FR21,FV21,FZ21,GD21,GH21,GL21,GP21))+N(CHOOSE(GX21,FO21,FS21,FW21,GA21,GE21,GI21,GM21,GQ21))))),0))</f>
        <v/>
      </c>
      <c r="GZ21">
        <f>MIN(N(GY21),MAX(0,N(GW21)))</f>
        <v/>
      </c>
      <c r="HA21">
        <f>MAX(0,N(GW21)-N(GZ21))</f>
        <v/>
      </c>
      <c r="HB21">
        <f>IFERROR(MATCH(3,OrderAval,0),"")</f>
        <v/>
      </c>
      <c r="HC21">
        <f>IF(HB21="",0,IFERROR(IF(N(CHOOSE(HB21,FN21,FR21,FV21,FZ21,GD21,GH21,GL21,GP21))&lt;=0.005,0,MAX(0,N(CHOOSE(HB21,FN21,FR21,FV21,FZ21,GD21,GH21,GL21,GP21))+N(CHOOSE(HB21,FO21,FS21,FW21,GA21,GE21,GI21,GM21,GQ21))-MIN(N(CHOOSE(HB21,'Debt List'!$F$5,'Debt List'!$F$6,'Debt List'!$F$7,'Debt List'!$F$8,'Debt List'!$F$9,'Debt List'!$F$10,'Debt List'!$F$11,'Debt List'!$F$12)),N(CHOOSE(HB21,FN21,FR21,FV21,FZ21,GD21,GH21,GL21,GP21))+N(CHOOSE(HB21,FO21,FS21,FW21,GA21,GE21,GI21,GM21,GQ21))))),0))</f>
        <v/>
      </c>
      <c r="HD21">
        <f>MIN(N(HC21),MAX(0,N(HA21)))</f>
        <v/>
      </c>
      <c r="HE21">
        <f>MAX(0,N(HA21)-N(HD21))</f>
        <v/>
      </c>
      <c r="HF21">
        <f>IFERROR(MATCH(4,OrderAval,0),"")</f>
        <v/>
      </c>
      <c r="HG21">
        <f>IF(HF21="",0,IFERROR(IF(N(CHOOSE(HF21,FN21,FR21,FV21,FZ21,GD21,GH21,GL21,GP21))&lt;=0.005,0,MAX(0,N(CHOOSE(HF21,FN21,FR21,FV21,FZ21,GD21,GH21,GL21,GP21))+N(CHOOSE(HF21,FO21,FS21,FW21,GA21,GE21,GI21,GM21,GQ21))-MIN(N(CHOOSE(HF21,'Debt List'!$F$5,'Debt List'!$F$6,'Debt List'!$F$7,'Debt List'!$F$8,'Debt List'!$F$9,'Debt List'!$F$10,'Debt List'!$F$11,'Debt List'!$F$12)),N(CHOOSE(HF21,FN21,FR21,FV21,FZ21,GD21,GH21,GL21,GP21))+N(CHOOSE(HF21,FO21,FS21,FW21,GA21,GE21,GI21,GM21,GQ21))))),0))</f>
        <v/>
      </c>
      <c r="HH21">
        <f>MIN(N(HG21),MAX(0,N(HE21)))</f>
        <v/>
      </c>
      <c r="HI21">
        <f>MAX(0,N(HE21)-N(HH21))</f>
        <v/>
      </c>
      <c r="HJ21">
        <f>IFERROR(MATCH(5,OrderAval,0),"")</f>
        <v/>
      </c>
      <c r="HK21">
        <f>IF(HJ21="",0,IFERROR(IF(N(CHOOSE(HJ21,FN21,FR21,FV21,FZ21,GD21,GH21,GL21,GP21))&lt;=0.005,0,MAX(0,N(CHOOSE(HJ21,FN21,FR21,FV21,FZ21,GD21,GH21,GL21,GP21))+N(CHOOSE(HJ21,FO21,FS21,FW21,GA21,GE21,GI21,GM21,GQ21))-MIN(N(CHOOSE(HJ21,'Debt List'!$F$5,'Debt List'!$F$6,'Debt List'!$F$7,'Debt List'!$F$8,'Debt List'!$F$9,'Debt List'!$F$10,'Debt List'!$F$11,'Debt List'!$F$12)),N(CHOOSE(HJ21,FN21,FR21,FV21,FZ21,GD21,GH21,GL21,GP21))+N(CHOOSE(HJ21,FO21,FS21,FW21,GA21,GE21,GI21,GM21,GQ21))))),0))</f>
        <v/>
      </c>
      <c r="HL21">
        <f>MIN(N(HK21),MAX(0,N(HI21)))</f>
        <v/>
      </c>
      <c r="HM21">
        <f>MAX(0,N(HI21)-N(HL21))</f>
        <v/>
      </c>
      <c r="HN21">
        <f>IFERROR(MATCH(6,OrderAval,0),"")</f>
        <v/>
      </c>
      <c r="HO21">
        <f>IF(HN21="",0,IFERROR(IF(N(CHOOSE(HN21,FN21,FR21,FV21,FZ21,GD21,GH21,GL21,GP21))&lt;=0.005,0,MAX(0,N(CHOOSE(HN21,FN21,FR21,FV21,FZ21,GD21,GH21,GL21,GP21))+N(CHOOSE(HN21,FO21,FS21,FW21,GA21,GE21,GI21,GM21,GQ21))-MIN(N(CHOOSE(HN21,'Debt List'!$F$5,'Debt List'!$F$6,'Debt List'!$F$7,'Debt List'!$F$8,'Debt List'!$F$9,'Debt List'!$F$10,'Debt List'!$F$11,'Debt List'!$F$12)),N(CHOOSE(HN21,FN21,FR21,FV21,FZ21,GD21,GH21,GL21,GP21))+N(CHOOSE(HN21,FO21,FS21,FW21,GA21,GE21,GI21,GM21,GQ21))))),0))</f>
        <v/>
      </c>
      <c r="HP21">
        <f>MIN(N(HO21),MAX(0,N(HM21)))</f>
        <v/>
      </c>
      <c r="HQ21">
        <f>MAX(0,N(HM21)-N(HP21))</f>
        <v/>
      </c>
      <c r="HR21">
        <f>IFERROR(MATCH(7,OrderAval,0),"")</f>
        <v/>
      </c>
      <c r="HS21">
        <f>IF(HR21="",0,IFERROR(IF(N(CHOOSE(HR21,FN21,FR21,FV21,FZ21,GD21,GH21,GL21,GP21))&lt;=0.005,0,MAX(0,N(CHOOSE(HR21,FN21,FR21,FV21,FZ21,GD21,GH21,GL21,GP21))+N(CHOOSE(HR21,FO21,FS21,FW21,GA21,GE21,GI21,GM21,GQ21))-MIN(N(CHOOSE(HR21,'Debt List'!$F$5,'Debt List'!$F$6,'Debt List'!$F$7,'Debt List'!$F$8,'Debt List'!$F$9,'Debt List'!$F$10,'Debt List'!$F$11,'Debt List'!$F$12)),N(CHOOSE(HR21,FN21,FR21,FV21,FZ21,GD21,GH21,GL21,GP21))+N(CHOOSE(HR21,FO21,FS21,FW21,GA21,GE21,GI21,GM21,GQ21))))),0))</f>
        <v/>
      </c>
      <c r="HT21">
        <f>MIN(N(HS21),MAX(0,N(HQ21)))</f>
        <v/>
      </c>
      <c r="HU21">
        <f>MAX(0,N(HQ21)-N(HT21))</f>
        <v/>
      </c>
      <c r="HV21">
        <f>IFERROR(MATCH(8,OrderAval,0),"")</f>
        <v/>
      </c>
      <c r="HW21">
        <f>IF(HV21="",0,IFERROR(IF(N(CHOOSE(HV21,FN21,FR21,FV21,FZ21,GD21,GH21,GL21,GP21))&lt;=0.005,0,MAX(0,N(CHOOSE(HV21,FN21,FR21,FV21,FZ21,GD21,GH21,GL21,GP21))+N(CHOOSE(HV21,FO21,FS21,FW21,GA21,GE21,GI21,GM21,GQ21))-MIN(N(CHOOSE(HV21,'Debt List'!$F$5,'Debt List'!$F$6,'Debt List'!$F$7,'Debt List'!$F$8,'Debt List'!$F$9,'Debt List'!$F$10,'Debt List'!$F$11,'Debt List'!$F$12)),N(CHOOSE(HV21,FN21,FR21,FV21,FZ21,GD21,GH21,GL21,GP21))+N(CHOOSE(HV21,FO21,FS21,FW21,GA21,GE21,GI21,GM21,GQ21))))),0))</f>
        <v/>
      </c>
      <c r="HX21">
        <f>MIN(N(HW21),MAX(0,N(HU21)))</f>
        <v/>
      </c>
      <c r="HY21">
        <f>MAX(0,N(HU21)-N(HX21))</f>
        <v/>
      </c>
    </row>
    <row r="22">
      <c r="A22" t="n">
        <v>18</v>
      </c>
      <c r="B22" s="115">
        <f>DATE(YEAR(PlanStart),MONTH(PlanStart)+A22-1,1)</f>
        <v/>
      </c>
      <c r="C22">
        <f>IF(AND(AP22&lt;&gt;"",N(CHOOSE(AP22,J22,N22,R22,V22,Z22,AD22,AH22,AL22))&gt;0.005),INDEX(DebtNames,AP22),IF(AND(AT22&lt;&gt;"",N(CHOOSE(AT22,J22,N22,R22,V22,Z22,AD22,AH22,AL22))&gt;0.005),INDEX(DebtNames,AT22),IF(AND(AX22&lt;&gt;"",N(CHOOSE(AX22,J22,N22,R22,V22,Z22,AD22,AH22,AL22))&gt;0.005),INDEX(DebtNames,AX22),IF(AND(BB22&lt;&gt;"",N(CHOOSE(BB22,J22,N22,R22,V22,Z22,AD22,AH22,AL22))&gt;0.005),INDEX(DebtNames,BB22),IF(AND(BF22&lt;&gt;"",N(CHOOSE(BF22,J22,N22,R22,V22,Z22,AD22,AH22,AL22))&gt;0.005),INDEX(DebtNames,BF22),IF(AND(BJ22&lt;&gt;"",N(CHOOSE(BJ22,J22,N22,R22,V22,Z22,AD22,AH22,AL22))&gt;0.005),INDEX(DebtNames,BJ22),IF(AND(BN22&lt;&gt;"",N(CHOOSE(BN22,J22,N22,R22,V22,Z22,AD22,AH22,AL22))&gt;0.005),INDEX(DebtNames,BN22),IF(AND(BR22&lt;&gt;"",N(CHOOSE(BR22,J22,N22,R22,V22,Z22,AD22,AH22,AL22))&gt;0.005),INDEX(DebtNames,BR22),""))))))))</f>
        <v/>
      </c>
      <c r="D22">
        <f>N(BU22)</f>
        <v/>
      </c>
      <c r="E22">
        <f>N(L22)+N(P22)+N(T22)+N(X22)+N(AB22)+N(AF22)+N(AJ22)+N(AN22)</f>
        <v/>
      </c>
      <c r="F22">
        <f>N(K22)+N(O22)+N(S22)+N(W22)+N(AA22)+N(AE22)+N(AI22)+N(AM22)</f>
        <v/>
      </c>
      <c r="G22">
        <f>N(G21)+N(F22)</f>
        <v/>
      </c>
      <c r="H22">
        <f>N(M22)+N(Q22)+N(U22)+N(Y22)+N(AC22)+N(AG22)+N(AK22)+N(AO22)</f>
        <v/>
      </c>
      <c r="I22">
        <f>(M22&gt;0.005)*1+(Q22&gt;0.005)*1+(U22&gt;0.005)*1+(Y22&gt;0.005)*1+(AC22&gt;0.005)*1+(AG22&gt;0.005)*1+(AK22&gt;0.005)*1+(AO22&gt;0.005)*1</f>
        <v/>
      </c>
      <c r="J22">
        <f>N(M21)</f>
        <v/>
      </c>
      <c r="K22">
        <f>IF(N(J22)&lt;=0.005,0,ROUND(N(J22)*N('Debt List'!E5)/12,2))</f>
        <v/>
      </c>
      <c r="L22">
        <f>IF(N(J22)&lt;=0.005,0,MIN(N('Debt List'!F5),N(J22)+N(K22)))+((AP22=1)*AR22+(AT22=1)*AV22+(AX22=1)*AZ22+(BB22=1)*BD22+(BF22=1)*BH22+(BJ22=1)*BL22+(BN22=1)*BP22+(BR22=1)*BT22)</f>
        <v/>
      </c>
      <c r="M22">
        <f>MAX(0,ROUND(N(J22)+N(K22)-N(L22),2))</f>
        <v/>
      </c>
      <c r="N22">
        <f>N(Q21)</f>
        <v/>
      </c>
      <c r="O22">
        <f>IF(N(N22)&lt;=0.005,0,ROUND(N(N22)*N('Debt List'!E6)/12,2))</f>
        <v/>
      </c>
      <c r="P22">
        <f>IF(N(N22)&lt;=0.005,0,MIN(N('Debt List'!F6),N(N22)+N(O22)))+((AP22=2)*AR22+(AT22=2)*AV22+(AX22=2)*AZ22+(BB22=2)*BD22+(BF22=2)*BH22+(BJ22=2)*BL22+(BN22=2)*BP22+(BR22=2)*BT22)</f>
        <v/>
      </c>
      <c r="Q22">
        <f>MAX(0,ROUND(N(N22)+N(O22)-N(P22),2))</f>
        <v/>
      </c>
      <c r="R22">
        <f>N(U21)</f>
        <v/>
      </c>
      <c r="S22">
        <f>IF(N(R22)&lt;=0.005,0,ROUND(N(R22)*N('Debt List'!E7)/12,2))</f>
        <v/>
      </c>
      <c r="T22">
        <f>IF(N(R22)&lt;=0.005,0,MIN(N('Debt List'!F7),N(R22)+N(S22)))+((AP22=3)*AR22+(AT22=3)*AV22+(AX22=3)*AZ22+(BB22=3)*BD22+(BF22=3)*BH22+(BJ22=3)*BL22+(BN22=3)*BP22+(BR22=3)*BT22)</f>
        <v/>
      </c>
      <c r="U22">
        <f>MAX(0,ROUND(N(R22)+N(S22)-N(T22),2))</f>
        <v/>
      </c>
      <c r="V22">
        <f>N(Y21)</f>
        <v/>
      </c>
      <c r="W22">
        <f>IF(N(V22)&lt;=0.005,0,ROUND(N(V22)*N('Debt List'!E8)/12,2))</f>
        <v/>
      </c>
      <c r="X22">
        <f>IF(N(V22)&lt;=0.005,0,MIN(N('Debt List'!F8),N(V22)+N(W22)))+((AP22=4)*AR22+(AT22=4)*AV22+(AX22=4)*AZ22+(BB22=4)*BD22+(BF22=4)*BH22+(BJ22=4)*BL22+(BN22=4)*BP22+(BR22=4)*BT22)</f>
        <v/>
      </c>
      <c r="Y22">
        <f>MAX(0,ROUND(N(V22)+N(W22)-N(X22),2))</f>
        <v/>
      </c>
      <c r="Z22">
        <f>N(AC21)</f>
        <v/>
      </c>
      <c r="AA22">
        <f>IF(N(Z22)&lt;=0.005,0,ROUND(N(Z22)*N('Debt List'!E9)/12,2))</f>
        <v/>
      </c>
      <c r="AB22">
        <f>IF(N(Z22)&lt;=0.005,0,MIN(N('Debt List'!F9),N(Z22)+N(AA22)))+((AP22=5)*AR22+(AT22=5)*AV22+(AX22=5)*AZ22+(BB22=5)*BD22+(BF22=5)*BH22+(BJ22=5)*BL22+(BN22=5)*BP22+(BR22=5)*BT22)</f>
        <v/>
      </c>
      <c r="AC22">
        <f>MAX(0,ROUND(N(Z22)+N(AA22)-N(AB22),2))</f>
        <v/>
      </c>
      <c r="AD22">
        <f>N(AG21)</f>
        <v/>
      </c>
      <c r="AE22">
        <f>IF(N(AD22)&lt;=0.005,0,ROUND(N(AD22)*N('Debt List'!E10)/12,2))</f>
        <v/>
      </c>
      <c r="AF22">
        <f>IF(N(AD22)&lt;=0.005,0,MIN(N('Debt List'!F10),N(AD22)+N(AE22)))+((AP22=6)*AR22+(AT22=6)*AV22+(AX22=6)*AZ22+(BB22=6)*BD22+(BF22=6)*BH22+(BJ22=6)*BL22+(BN22=6)*BP22+(BR22=6)*BT22)</f>
        <v/>
      </c>
      <c r="AG22">
        <f>MAX(0,ROUND(N(AD22)+N(AE22)-N(AF22),2))</f>
        <v/>
      </c>
      <c r="AH22">
        <f>N(AK21)</f>
        <v/>
      </c>
      <c r="AI22">
        <f>IF(N(AH22)&lt;=0.005,0,ROUND(N(AH22)*N('Debt List'!E11)/12,2))</f>
        <v/>
      </c>
      <c r="AJ22">
        <f>IF(N(AH22)&lt;=0.005,0,MIN(N('Debt List'!F11),N(AH22)+N(AI22)))+((AP22=7)*AR22+(AT22=7)*AV22+(AX22=7)*AZ22+(BB22=7)*BD22+(BF22=7)*BH22+(BJ22=7)*BL22+(BN22=7)*BP22+(BR22=7)*BT22)</f>
        <v/>
      </c>
      <c r="AK22">
        <f>MAX(0,ROUND(N(AH22)+N(AI22)-N(AJ22),2))</f>
        <v/>
      </c>
      <c r="AL22">
        <f>N(AO21)</f>
        <v/>
      </c>
      <c r="AM22">
        <f>IF(N(AL22)&lt;=0.005,0,ROUND(N(AL22)*N('Debt List'!E12)/12,2))</f>
        <v/>
      </c>
      <c r="AN22">
        <f>IF(N(AL22)&lt;=0.005,0,MIN(N('Debt List'!F12),N(AL22)+N(AM22)))+((AP22=8)*AR22+(AT22=8)*AV22+(AX22=8)*AZ22+(BB22=8)*BD22+(BF22=8)*BH22+(BJ22=8)*BL22+(BN22=8)*BP22+(BR22=8)*BT22)</f>
        <v/>
      </c>
      <c r="AO22">
        <f>MAX(0,ROUND(N(AL22)+N(AM22)-N(AN22),2))</f>
        <v/>
      </c>
      <c r="AP22">
        <f>IFERROR(MATCH(1,OrderPlan,0),"")</f>
        <v/>
      </c>
      <c r="AQ22">
        <f>IF(AP22="",0,IFERROR(IF(N(CHOOSE(AP22,J22,N22,R22,V22,Z22,AD22,AH22,AL22))&lt;=0.005,0,MAX(0,N(CHOOSE(AP22,J22,N22,R22,V22,Z22,AD22,AH22,AL22))+N(CHOOSE(AP22,K22,O22,S22,W22,AA22,AE22,AI22,AM22))-MIN(N(CHOOSE(AP22,'Debt List'!$F$5,'Debt List'!$F$6,'Debt List'!$F$7,'Debt List'!$F$8,'Debt List'!$F$9,'Debt List'!$F$10,'Debt List'!$F$11,'Debt List'!$F$12)),N(CHOOSE(AP22,J22,N22,R22,V22,Z22,AD22,AH22,AL22))+N(CHOOSE(AP22,K22,O22,S22,W22,AA22,AE22,AI22,AM22))))),0))</f>
        <v/>
      </c>
      <c r="AR22">
        <f>MIN(N(AQ22),MAX(0,N(ExtraPayment)))</f>
        <v/>
      </c>
      <c r="AS22">
        <f>MAX(0,N(ExtraPayment)-N(AR22))</f>
        <v/>
      </c>
      <c r="AT22">
        <f>IFERROR(MATCH(2,OrderPlan,0),"")</f>
        <v/>
      </c>
      <c r="AU22">
        <f>IF(AT22="",0,IFERROR(IF(N(CHOOSE(AT22,J22,N22,R22,V22,Z22,AD22,AH22,AL22))&lt;=0.005,0,MAX(0,N(CHOOSE(AT22,J22,N22,R22,V22,Z22,AD22,AH22,AL22))+N(CHOOSE(AT22,K22,O22,S22,W22,AA22,AE22,AI22,AM22))-MIN(N(CHOOSE(AT22,'Debt List'!$F$5,'Debt List'!$F$6,'Debt List'!$F$7,'Debt List'!$F$8,'Debt List'!$F$9,'Debt List'!$F$10,'Debt List'!$F$11,'Debt List'!$F$12)),N(CHOOSE(AT22,J22,N22,R22,V22,Z22,AD22,AH22,AL22))+N(CHOOSE(AT22,K22,O22,S22,W22,AA22,AE22,AI22,AM22))))),0))</f>
        <v/>
      </c>
      <c r="AV22">
        <f>MIN(N(AU22),MAX(0,N(AS22)))</f>
        <v/>
      </c>
      <c r="AW22">
        <f>MAX(0,N(AS22)-N(AV22))</f>
        <v/>
      </c>
      <c r="AX22">
        <f>IFERROR(MATCH(3,OrderPlan,0),"")</f>
        <v/>
      </c>
      <c r="AY22">
        <f>IF(AX22="",0,IFERROR(IF(N(CHOOSE(AX22,J22,N22,R22,V22,Z22,AD22,AH22,AL22))&lt;=0.005,0,MAX(0,N(CHOOSE(AX22,J22,N22,R22,V22,Z22,AD22,AH22,AL22))+N(CHOOSE(AX22,K22,O22,S22,W22,AA22,AE22,AI22,AM22))-MIN(N(CHOOSE(AX22,'Debt List'!$F$5,'Debt List'!$F$6,'Debt List'!$F$7,'Debt List'!$F$8,'Debt List'!$F$9,'Debt List'!$F$10,'Debt List'!$F$11,'Debt List'!$F$12)),N(CHOOSE(AX22,J22,N22,R22,V22,Z22,AD22,AH22,AL22))+N(CHOOSE(AX22,K22,O22,S22,W22,AA22,AE22,AI22,AM22))))),0))</f>
        <v/>
      </c>
      <c r="AZ22">
        <f>MIN(N(AY22),MAX(0,N(AW22)))</f>
        <v/>
      </c>
      <c r="BA22">
        <f>MAX(0,N(AW22)-N(AZ22))</f>
        <v/>
      </c>
      <c r="BB22">
        <f>IFERROR(MATCH(4,OrderPlan,0),"")</f>
        <v/>
      </c>
      <c r="BC22">
        <f>IF(BB22="",0,IFERROR(IF(N(CHOOSE(BB22,J22,N22,R22,V22,Z22,AD22,AH22,AL22))&lt;=0.005,0,MAX(0,N(CHOOSE(BB22,J22,N22,R22,V22,Z22,AD22,AH22,AL22))+N(CHOOSE(BB22,K22,O22,S22,W22,AA22,AE22,AI22,AM22))-MIN(N(CHOOSE(BB22,'Debt List'!$F$5,'Debt List'!$F$6,'Debt List'!$F$7,'Debt List'!$F$8,'Debt List'!$F$9,'Debt List'!$F$10,'Debt List'!$F$11,'Debt List'!$F$12)),N(CHOOSE(BB22,J22,N22,R22,V22,Z22,AD22,AH22,AL22))+N(CHOOSE(BB22,K22,O22,S22,W22,AA22,AE22,AI22,AM22))))),0))</f>
        <v/>
      </c>
      <c r="BD22">
        <f>MIN(N(BC22),MAX(0,N(BA22)))</f>
        <v/>
      </c>
      <c r="BE22">
        <f>MAX(0,N(BA22)-N(BD22))</f>
        <v/>
      </c>
      <c r="BF22">
        <f>IFERROR(MATCH(5,OrderPlan,0),"")</f>
        <v/>
      </c>
      <c r="BG22">
        <f>IF(BF22="",0,IFERROR(IF(N(CHOOSE(BF22,J22,N22,R22,V22,Z22,AD22,AH22,AL22))&lt;=0.005,0,MAX(0,N(CHOOSE(BF22,J22,N22,R22,V22,Z22,AD22,AH22,AL22))+N(CHOOSE(BF22,K22,O22,S22,W22,AA22,AE22,AI22,AM22))-MIN(N(CHOOSE(BF22,'Debt List'!$F$5,'Debt List'!$F$6,'Debt List'!$F$7,'Debt List'!$F$8,'Debt List'!$F$9,'Debt List'!$F$10,'Debt List'!$F$11,'Debt List'!$F$12)),N(CHOOSE(BF22,J22,N22,R22,V22,Z22,AD22,AH22,AL22))+N(CHOOSE(BF22,K22,O22,S22,W22,AA22,AE22,AI22,AM22))))),0))</f>
        <v/>
      </c>
      <c r="BH22">
        <f>MIN(N(BG22),MAX(0,N(BE22)))</f>
        <v/>
      </c>
      <c r="BI22">
        <f>MAX(0,N(BE22)-N(BH22))</f>
        <v/>
      </c>
      <c r="BJ22">
        <f>IFERROR(MATCH(6,OrderPlan,0),"")</f>
        <v/>
      </c>
      <c r="BK22">
        <f>IF(BJ22="",0,IFERROR(IF(N(CHOOSE(BJ22,J22,N22,R22,V22,Z22,AD22,AH22,AL22))&lt;=0.005,0,MAX(0,N(CHOOSE(BJ22,J22,N22,R22,V22,Z22,AD22,AH22,AL22))+N(CHOOSE(BJ22,K22,O22,S22,W22,AA22,AE22,AI22,AM22))-MIN(N(CHOOSE(BJ22,'Debt List'!$F$5,'Debt List'!$F$6,'Debt List'!$F$7,'Debt List'!$F$8,'Debt List'!$F$9,'Debt List'!$F$10,'Debt List'!$F$11,'Debt List'!$F$12)),N(CHOOSE(BJ22,J22,N22,R22,V22,Z22,AD22,AH22,AL22))+N(CHOOSE(BJ22,K22,O22,S22,W22,AA22,AE22,AI22,AM22))))),0))</f>
        <v/>
      </c>
      <c r="BL22">
        <f>MIN(N(BK22),MAX(0,N(BI22)))</f>
        <v/>
      </c>
      <c r="BM22">
        <f>MAX(0,N(BI22)-N(BL22))</f>
        <v/>
      </c>
      <c r="BN22">
        <f>IFERROR(MATCH(7,OrderPlan,0),"")</f>
        <v/>
      </c>
      <c r="BO22">
        <f>IF(BN22="",0,IFERROR(IF(N(CHOOSE(BN22,J22,N22,R22,V22,Z22,AD22,AH22,AL22))&lt;=0.005,0,MAX(0,N(CHOOSE(BN22,J22,N22,R22,V22,Z22,AD22,AH22,AL22))+N(CHOOSE(BN22,K22,O22,S22,W22,AA22,AE22,AI22,AM22))-MIN(N(CHOOSE(BN22,'Debt List'!$F$5,'Debt List'!$F$6,'Debt List'!$F$7,'Debt List'!$F$8,'Debt List'!$F$9,'Debt List'!$F$10,'Debt List'!$F$11,'Debt List'!$F$12)),N(CHOOSE(BN22,J22,N22,R22,V22,Z22,AD22,AH22,AL22))+N(CHOOSE(BN22,K22,O22,S22,W22,AA22,AE22,AI22,AM22))))),0))</f>
        <v/>
      </c>
      <c r="BP22">
        <f>MIN(N(BO22),MAX(0,N(BM22)))</f>
        <v/>
      </c>
      <c r="BQ22">
        <f>MAX(0,N(BM22)-N(BP22))</f>
        <v/>
      </c>
      <c r="BR22">
        <f>IFERROR(MATCH(8,OrderPlan,0),"")</f>
        <v/>
      </c>
      <c r="BS22">
        <f>IF(BR22="",0,IFERROR(IF(N(CHOOSE(BR22,J22,N22,R22,V22,Z22,AD22,AH22,AL22))&lt;=0.005,0,MAX(0,N(CHOOSE(BR22,J22,N22,R22,V22,Z22,AD22,AH22,AL22))+N(CHOOSE(BR22,K22,O22,S22,W22,AA22,AE22,AI22,AM22))-MIN(N(CHOOSE(BR22,'Debt List'!$F$5,'Debt List'!$F$6,'Debt List'!$F$7,'Debt List'!$F$8,'Debt List'!$F$9,'Debt List'!$F$10,'Debt List'!$F$11,'Debt List'!$F$12)),N(CHOOSE(BR22,J22,N22,R22,V22,Z22,AD22,AH22,AL22))+N(CHOOSE(BR22,K22,O22,S22,W22,AA22,AE22,AI22,AM22))))),0))</f>
        <v/>
      </c>
      <c r="BT22">
        <f>MIN(N(BS22),MAX(0,N(BQ22)))</f>
        <v/>
      </c>
      <c r="BU22">
        <f>MAX(0,N(BQ22)-N(BT22))</f>
        <v/>
      </c>
      <c r="CC22" t="n">
        <v>18</v>
      </c>
      <c r="CD22" s="115">
        <f>DATE(YEAR(PlanStart),MONTH(PlanStart)+CC22-1,1)</f>
        <v/>
      </c>
      <c r="CE22">
        <f>IF(AND(DR22&lt;&gt;"",N(CHOOSE(DR22,CL22,CP22,CT22,CX22,DB22,DF22,DJ22,DN22))&gt;0.005),INDEX(DebtNames,DR22),IF(AND(DV22&lt;&gt;"",N(CHOOSE(DV22,CL22,CP22,CT22,CX22,DB22,DF22,DJ22,DN22))&gt;0.005),INDEX(DebtNames,DV22),IF(AND(DZ22&lt;&gt;"",N(CHOOSE(DZ22,CL22,CP22,CT22,CX22,DB22,DF22,DJ22,DN22))&gt;0.005),INDEX(DebtNames,DZ22),IF(AND(ED22&lt;&gt;"",N(CHOOSE(ED22,CL22,CP22,CT22,CX22,DB22,DF22,DJ22,DN22))&gt;0.005),INDEX(DebtNames,ED22),IF(AND(EH22&lt;&gt;"",N(CHOOSE(EH22,CL22,CP22,CT22,CX22,DB22,DF22,DJ22,DN22))&gt;0.005),INDEX(DebtNames,EH22),IF(AND(EL22&lt;&gt;"",N(CHOOSE(EL22,CL22,CP22,CT22,CX22,DB22,DF22,DJ22,DN22))&gt;0.005),INDEX(DebtNames,EL22),IF(AND(EP22&lt;&gt;"",N(CHOOSE(EP22,CL22,CP22,CT22,CX22,DB22,DF22,DJ22,DN22))&gt;0.005),INDEX(DebtNames,EP22),IF(AND(ET22&lt;&gt;"",N(CHOOSE(ET22,CL22,CP22,CT22,CX22,DB22,DF22,DJ22,DN22))&gt;0.005),INDEX(DebtNames,ET22),""))))))))</f>
        <v/>
      </c>
      <c r="CF22">
        <f>N(EW22)</f>
        <v/>
      </c>
      <c r="CG22">
        <f>N(CN22)+N(CR22)+N(CV22)+N(CZ22)+N(DD22)+N(DH22)+N(DL22)+N(DP22)</f>
        <v/>
      </c>
      <c r="CH22">
        <f>N(CM22)+N(CQ22)+N(CU22)+N(CY22)+N(DC22)+N(DG22)+N(DK22)+N(DO22)</f>
        <v/>
      </c>
      <c r="CI22">
        <f>N(CI21)+N(CH22)</f>
        <v/>
      </c>
      <c r="CJ22">
        <f>N(CO22)+N(CS22)+N(CW22)+N(DA22)+N(DE22)+N(DI22)+N(DM22)+N(DQ22)</f>
        <v/>
      </c>
      <c r="CK22">
        <f>(CO22&gt;0.005)*1+(CS22&gt;0.005)*1+(CW22&gt;0.005)*1+(DA22&gt;0.005)*1+(DE22&gt;0.005)*1+(DI22&gt;0.005)*1+(DM22&gt;0.005)*1+(DQ22&gt;0.005)*1</f>
        <v/>
      </c>
      <c r="CL22">
        <f>N(CO21)</f>
        <v/>
      </c>
      <c r="CM22">
        <f>IF(N(CL22)&lt;=0.005,0,ROUND(N(CL22)*N('Debt List'!E5)/12,2))</f>
        <v/>
      </c>
      <c r="CN22">
        <f>IF(N(CL22)&lt;=0.005,0,MIN(N('Debt List'!F5),N(CL22)+N(CM22)))+((DR22=1)*DT22+(DV22=1)*DX22+(DZ22=1)*EB22+(ED22=1)*EF22+(EH22=1)*EJ22+(EL22=1)*EN22+(EP22=1)*ER22+(ET22=1)*EV22)</f>
        <v/>
      </c>
      <c r="CO22">
        <f>MAX(0,ROUND(N(CL22)+N(CM22)-N(CN22),2))</f>
        <v/>
      </c>
      <c r="CP22">
        <f>N(CS21)</f>
        <v/>
      </c>
      <c r="CQ22">
        <f>IF(N(CP22)&lt;=0.005,0,ROUND(N(CP22)*N('Debt List'!E6)/12,2))</f>
        <v/>
      </c>
      <c r="CR22">
        <f>IF(N(CP22)&lt;=0.005,0,MIN(N('Debt List'!F6),N(CP22)+N(CQ22)))+((DR22=2)*DT22+(DV22=2)*DX22+(DZ22=2)*EB22+(ED22=2)*EF22+(EH22=2)*EJ22+(EL22=2)*EN22+(EP22=2)*ER22+(ET22=2)*EV22)</f>
        <v/>
      </c>
      <c r="CS22">
        <f>MAX(0,ROUND(N(CP22)+N(CQ22)-N(CR22),2))</f>
        <v/>
      </c>
      <c r="CT22">
        <f>N(CW21)</f>
        <v/>
      </c>
      <c r="CU22">
        <f>IF(N(CT22)&lt;=0.005,0,ROUND(N(CT22)*N('Debt List'!E7)/12,2))</f>
        <v/>
      </c>
      <c r="CV22">
        <f>IF(N(CT22)&lt;=0.005,0,MIN(N('Debt List'!F7),N(CT22)+N(CU22)))+((DR22=3)*DT22+(DV22=3)*DX22+(DZ22=3)*EB22+(ED22=3)*EF22+(EH22=3)*EJ22+(EL22=3)*EN22+(EP22=3)*ER22+(ET22=3)*EV22)</f>
        <v/>
      </c>
      <c r="CW22">
        <f>MAX(0,ROUND(N(CT22)+N(CU22)-N(CV22),2))</f>
        <v/>
      </c>
      <c r="CX22">
        <f>N(DA21)</f>
        <v/>
      </c>
      <c r="CY22">
        <f>IF(N(CX22)&lt;=0.005,0,ROUND(N(CX22)*N('Debt List'!E8)/12,2))</f>
        <v/>
      </c>
      <c r="CZ22">
        <f>IF(N(CX22)&lt;=0.005,0,MIN(N('Debt List'!F8),N(CX22)+N(CY22)))+((DR22=4)*DT22+(DV22=4)*DX22+(DZ22=4)*EB22+(ED22=4)*EF22+(EH22=4)*EJ22+(EL22=4)*EN22+(EP22=4)*ER22+(ET22=4)*EV22)</f>
        <v/>
      </c>
      <c r="DA22">
        <f>MAX(0,ROUND(N(CX22)+N(CY22)-N(CZ22),2))</f>
        <v/>
      </c>
      <c r="DB22">
        <f>N(DE21)</f>
        <v/>
      </c>
      <c r="DC22">
        <f>IF(N(DB22)&lt;=0.005,0,ROUND(N(DB22)*N('Debt List'!E9)/12,2))</f>
        <v/>
      </c>
      <c r="DD22">
        <f>IF(N(DB22)&lt;=0.005,0,MIN(N('Debt List'!F9),N(DB22)+N(DC22)))+((DR22=5)*DT22+(DV22=5)*DX22+(DZ22=5)*EB22+(ED22=5)*EF22+(EH22=5)*EJ22+(EL22=5)*EN22+(EP22=5)*ER22+(ET22=5)*EV22)</f>
        <v/>
      </c>
      <c r="DE22">
        <f>MAX(0,ROUND(N(DB22)+N(DC22)-N(DD22),2))</f>
        <v/>
      </c>
      <c r="DF22">
        <f>N(DI21)</f>
        <v/>
      </c>
      <c r="DG22">
        <f>IF(N(DF22)&lt;=0.005,0,ROUND(N(DF22)*N('Debt List'!E10)/12,2))</f>
        <v/>
      </c>
      <c r="DH22">
        <f>IF(N(DF22)&lt;=0.005,0,MIN(N('Debt List'!F10),N(DF22)+N(DG22)))+((DR22=6)*DT22+(DV22=6)*DX22+(DZ22=6)*EB22+(ED22=6)*EF22+(EH22=6)*EJ22+(EL22=6)*EN22+(EP22=6)*ER22+(ET22=6)*EV22)</f>
        <v/>
      </c>
      <c r="DI22">
        <f>MAX(0,ROUND(N(DF22)+N(DG22)-N(DH22),2))</f>
        <v/>
      </c>
      <c r="DJ22">
        <f>N(DM21)</f>
        <v/>
      </c>
      <c r="DK22">
        <f>IF(N(DJ22)&lt;=0.005,0,ROUND(N(DJ22)*N('Debt List'!E11)/12,2))</f>
        <v/>
      </c>
      <c r="DL22">
        <f>IF(N(DJ22)&lt;=0.005,0,MIN(N('Debt List'!F11),N(DJ22)+N(DK22)))+((DR22=7)*DT22+(DV22=7)*DX22+(DZ22=7)*EB22+(ED22=7)*EF22+(EH22=7)*EJ22+(EL22=7)*EN22+(EP22=7)*ER22+(ET22=7)*EV22)</f>
        <v/>
      </c>
      <c r="DM22">
        <f>MAX(0,ROUND(N(DJ22)+N(DK22)-N(DL22),2))</f>
        <v/>
      </c>
      <c r="DN22">
        <f>N(DQ21)</f>
        <v/>
      </c>
      <c r="DO22">
        <f>IF(N(DN22)&lt;=0.005,0,ROUND(N(DN22)*N('Debt List'!E12)/12,2))</f>
        <v/>
      </c>
      <c r="DP22">
        <f>IF(N(DN22)&lt;=0.005,0,MIN(N('Debt List'!F12),N(DN22)+N(DO22)))+((DR22=8)*DT22+(DV22=8)*DX22+(DZ22=8)*EB22+(ED22=8)*EF22+(EH22=8)*EJ22+(EL22=8)*EN22+(EP22=8)*ER22+(ET22=8)*EV22)</f>
        <v/>
      </c>
      <c r="DQ22">
        <f>MAX(0,ROUND(N(DN22)+N(DO22)-N(DP22),2))</f>
        <v/>
      </c>
      <c r="DR22">
        <f>IFERROR(MATCH(1,OrderSnow,0),"")</f>
        <v/>
      </c>
      <c r="DS22">
        <f>IF(DR22="",0,IFERROR(IF(N(CHOOSE(DR22,CL22,CP22,CT22,CX22,DB22,DF22,DJ22,DN22))&lt;=0.005,0,MAX(0,N(CHOOSE(DR22,CL22,CP22,CT22,CX22,DB22,DF22,DJ22,DN22))+N(CHOOSE(DR22,CM22,CQ22,CU22,CY22,DC22,DG22,DK22,DO22))-MIN(N(CHOOSE(DR22,'Debt List'!$F$5,'Debt List'!$F$6,'Debt List'!$F$7,'Debt List'!$F$8,'Debt List'!$F$9,'Debt List'!$F$10,'Debt List'!$F$11,'Debt List'!$F$12)),N(CHOOSE(DR22,CL22,CP22,CT22,CX22,DB22,DF22,DJ22,DN22))+N(CHOOSE(DR22,CM22,CQ22,CU22,CY22,DC22,DG22,DK22,DO22))))),0))</f>
        <v/>
      </c>
      <c r="DT22">
        <f>MIN(N(DS22),MAX(0,N(ExtraPayment)))</f>
        <v/>
      </c>
      <c r="DU22">
        <f>MAX(0,N(ExtraPayment)-N(DT22))</f>
        <v/>
      </c>
      <c r="DV22">
        <f>IFERROR(MATCH(2,OrderSnow,0),"")</f>
        <v/>
      </c>
      <c r="DW22">
        <f>IF(DV22="",0,IFERROR(IF(N(CHOOSE(DV22,CL22,CP22,CT22,CX22,DB22,DF22,DJ22,DN22))&lt;=0.005,0,MAX(0,N(CHOOSE(DV22,CL22,CP22,CT22,CX22,DB22,DF22,DJ22,DN22))+N(CHOOSE(DV22,CM22,CQ22,CU22,CY22,DC22,DG22,DK22,DO22))-MIN(N(CHOOSE(DV22,'Debt List'!$F$5,'Debt List'!$F$6,'Debt List'!$F$7,'Debt List'!$F$8,'Debt List'!$F$9,'Debt List'!$F$10,'Debt List'!$F$11,'Debt List'!$F$12)),N(CHOOSE(DV22,CL22,CP22,CT22,CX22,DB22,DF22,DJ22,DN22))+N(CHOOSE(DV22,CM22,CQ22,CU22,CY22,DC22,DG22,DK22,DO22))))),0))</f>
        <v/>
      </c>
      <c r="DX22">
        <f>MIN(N(DW22),MAX(0,N(DU22)))</f>
        <v/>
      </c>
      <c r="DY22">
        <f>MAX(0,N(DU22)-N(DX22))</f>
        <v/>
      </c>
      <c r="DZ22">
        <f>IFERROR(MATCH(3,OrderSnow,0),"")</f>
        <v/>
      </c>
      <c r="EA22">
        <f>IF(DZ22="",0,IFERROR(IF(N(CHOOSE(DZ22,CL22,CP22,CT22,CX22,DB22,DF22,DJ22,DN22))&lt;=0.005,0,MAX(0,N(CHOOSE(DZ22,CL22,CP22,CT22,CX22,DB22,DF22,DJ22,DN22))+N(CHOOSE(DZ22,CM22,CQ22,CU22,CY22,DC22,DG22,DK22,DO22))-MIN(N(CHOOSE(DZ22,'Debt List'!$F$5,'Debt List'!$F$6,'Debt List'!$F$7,'Debt List'!$F$8,'Debt List'!$F$9,'Debt List'!$F$10,'Debt List'!$F$11,'Debt List'!$F$12)),N(CHOOSE(DZ22,CL22,CP22,CT22,CX22,DB22,DF22,DJ22,DN22))+N(CHOOSE(DZ22,CM22,CQ22,CU22,CY22,DC22,DG22,DK22,DO22))))),0))</f>
        <v/>
      </c>
      <c r="EB22">
        <f>MIN(N(EA22),MAX(0,N(DY22)))</f>
        <v/>
      </c>
      <c r="EC22">
        <f>MAX(0,N(DY22)-N(EB22))</f>
        <v/>
      </c>
      <c r="ED22">
        <f>IFERROR(MATCH(4,OrderSnow,0),"")</f>
        <v/>
      </c>
      <c r="EE22">
        <f>IF(ED22="",0,IFERROR(IF(N(CHOOSE(ED22,CL22,CP22,CT22,CX22,DB22,DF22,DJ22,DN22))&lt;=0.005,0,MAX(0,N(CHOOSE(ED22,CL22,CP22,CT22,CX22,DB22,DF22,DJ22,DN22))+N(CHOOSE(ED22,CM22,CQ22,CU22,CY22,DC22,DG22,DK22,DO22))-MIN(N(CHOOSE(ED22,'Debt List'!$F$5,'Debt List'!$F$6,'Debt List'!$F$7,'Debt List'!$F$8,'Debt List'!$F$9,'Debt List'!$F$10,'Debt List'!$F$11,'Debt List'!$F$12)),N(CHOOSE(ED22,CL22,CP22,CT22,CX22,DB22,DF22,DJ22,DN22))+N(CHOOSE(ED22,CM22,CQ22,CU22,CY22,DC22,DG22,DK22,DO22))))),0))</f>
        <v/>
      </c>
      <c r="EF22">
        <f>MIN(N(EE22),MAX(0,N(EC22)))</f>
        <v/>
      </c>
      <c r="EG22">
        <f>MAX(0,N(EC22)-N(EF22))</f>
        <v/>
      </c>
      <c r="EH22">
        <f>IFERROR(MATCH(5,OrderSnow,0),"")</f>
        <v/>
      </c>
      <c r="EI22">
        <f>IF(EH22="",0,IFERROR(IF(N(CHOOSE(EH22,CL22,CP22,CT22,CX22,DB22,DF22,DJ22,DN22))&lt;=0.005,0,MAX(0,N(CHOOSE(EH22,CL22,CP22,CT22,CX22,DB22,DF22,DJ22,DN22))+N(CHOOSE(EH22,CM22,CQ22,CU22,CY22,DC22,DG22,DK22,DO22))-MIN(N(CHOOSE(EH22,'Debt List'!$F$5,'Debt List'!$F$6,'Debt List'!$F$7,'Debt List'!$F$8,'Debt List'!$F$9,'Debt List'!$F$10,'Debt List'!$F$11,'Debt List'!$F$12)),N(CHOOSE(EH22,CL22,CP22,CT22,CX22,DB22,DF22,DJ22,DN22))+N(CHOOSE(EH22,CM22,CQ22,CU22,CY22,DC22,DG22,DK22,DO22))))),0))</f>
        <v/>
      </c>
      <c r="EJ22">
        <f>MIN(N(EI22),MAX(0,N(EG22)))</f>
        <v/>
      </c>
      <c r="EK22">
        <f>MAX(0,N(EG22)-N(EJ22))</f>
        <v/>
      </c>
      <c r="EL22">
        <f>IFERROR(MATCH(6,OrderSnow,0),"")</f>
        <v/>
      </c>
      <c r="EM22">
        <f>IF(EL22="",0,IFERROR(IF(N(CHOOSE(EL22,CL22,CP22,CT22,CX22,DB22,DF22,DJ22,DN22))&lt;=0.005,0,MAX(0,N(CHOOSE(EL22,CL22,CP22,CT22,CX22,DB22,DF22,DJ22,DN22))+N(CHOOSE(EL22,CM22,CQ22,CU22,CY22,DC22,DG22,DK22,DO22))-MIN(N(CHOOSE(EL22,'Debt List'!$F$5,'Debt List'!$F$6,'Debt List'!$F$7,'Debt List'!$F$8,'Debt List'!$F$9,'Debt List'!$F$10,'Debt List'!$F$11,'Debt List'!$F$12)),N(CHOOSE(EL22,CL22,CP22,CT22,CX22,DB22,DF22,DJ22,DN22))+N(CHOOSE(EL22,CM22,CQ22,CU22,CY22,DC22,DG22,DK22,DO22))))),0))</f>
        <v/>
      </c>
      <c r="EN22">
        <f>MIN(N(EM22),MAX(0,N(EK22)))</f>
        <v/>
      </c>
      <c r="EO22">
        <f>MAX(0,N(EK22)-N(EN22))</f>
        <v/>
      </c>
      <c r="EP22">
        <f>IFERROR(MATCH(7,OrderSnow,0),"")</f>
        <v/>
      </c>
      <c r="EQ22">
        <f>IF(EP22="",0,IFERROR(IF(N(CHOOSE(EP22,CL22,CP22,CT22,CX22,DB22,DF22,DJ22,DN22))&lt;=0.005,0,MAX(0,N(CHOOSE(EP22,CL22,CP22,CT22,CX22,DB22,DF22,DJ22,DN22))+N(CHOOSE(EP22,CM22,CQ22,CU22,CY22,DC22,DG22,DK22,DO22))-MIN(N(CHOOSE(EP22,'Debt List'!$F$5,'Debt List'!$F$6,'Debt List'!$F$7,'Debt List'!$F$8,'Debt List'!$F$9,'Debt List'!$F$10,'Debt List'!$F$11,'Debt List'!$F$12)),N(CHOOSE(EP22,CL22,CP22,CT22,CX22,DB22,DF22,DJ22,DN22))+N(CHOOSE(EP22,CM22,CQ22,CU22,CY22,DC22,DG22,DK22,DO22))))),0))</f>
        <v/>
      </c>
      <c r="ER22">
        <f>MIN(N(EQ22),MAX(0,N(EO22)))</f>
        <v/>
      </c>
      <c r="ES22">
        <f>MAX(0,N(EO22)-N(ER22))</f>
        <v/>
      </c>
      <c r="ET22">
        <f>IFERROR(MATCH(8,OrderSnow,0),"")</f>
        <v/>
      </c>
      <c r="EU22">
        <f>IF(ET22="",0,IFERROR(IF(N(CHOOSE(ET22,CL22,CP22,CT22,CX22,DB22,DF22,DJ22,DN22))&lt;=0.005,0,MAX(0,N(CHOOSE(ET22,CL22,CP22,CT22,CX22,DB22,DF22,DJ22,DN22))+N(CHOOSE(ET22,CM22,CQ22,CU22,CY22,DC22,DG22,DK22,DO22))-MIN(N(CHOOSE(ET22,'Debt List'!$F$5,'Debt List'!$F$6,'Debt List'!$F$7,'Debt List'!$F$8,'Debt List'!$F$9,'Debt List'!$F$10,'Debt List'!$F$11,'Debt List'!$F$12)),N(CHOOSE(ET22,CL22,CP22,CT22,CX22,DB22,DF22,DJ22,DN22))+N(CHOOSE(ET22,CM22,CQ22,CU22,CY22,DC22,DG22,DK22,DO22))))),0))</f>
        <v/>
      </c>
      <c r="EV22">
        <f>MIN(N(EU22),MAX(0,N(ES22)))</f>
        <v/>
      </c>
      <c r="EW22">
        <f>MAX(0,N(ES22)-N(EV22))</f>
        <v/>
      </c>
      <c r="FE22" t="n">
        <v>18</v>
      </c>
      <c r="FF22" s="115">
        <f>DATE(YEAR(PlanStart),MONTH(PlanStart)+FE22-1,1)</f>
        <v/>
      </c>
      <c r="FG22">
        <f>IF(AND(GT22&lt;&gt;"",N(CHOOSE(GT22,FN22,FR22,FV22,FZ22,GD22,GH22,GL22,GP22))&gt;0.005),INDEX(DebtNames,GT22),IF(AND(GX22&lt;&gt;"",N(CHOOSE(GX22,FN22,FR22,FV22,FZ22,GD22,GH22,GL22,GP22))&gt;0.005),INDEX(DebtNames,GX22),IF(AND(HB22&lt;&gt;"",N(CHOOSE(HB22,FN22,FR22,FV22,FZ22,GD22,GH22,GL22,GP22))&gt;0.005),INDEX(DebtNames,HB22),IF(AND(HF22&lt;&gt;"",N(CHOOSE(HF22,FN22,FR22,FV22,FZ22,GD22,GH22,GL22,GP22))&gt;0.005),INDEX(DebtNames,HF22),IF(AND(HJ22&lt;&gt;"",N(CHOOSE(HJ22,FN22,FR22,FV22,FZ22,GD22,GH22,GL22,GP22))&gt;0.005),INDEX(DebtNames,HJ22),IF(AND(HN22&lt;&gt;"",N(CHOOSE(HN22,FN22,FR22,FV22,FZ22,GD22,GH22,GL22,GP22))&gt;0.005),INDEX(DebtNames,HN22),IF(AND(HR22&lt;&gt;"",N(CHOOSE(HR22,FN22,FR22,FV22,FZ22,GD22,GH22,GL22,GP22))&gt;0.005),INDEX(DebtNames,HR22),IF(AND(HV22&lt;&gt;"",N(CHOOSE(HV22,FN22,FR22,FV22,FZ22,GD22,GH22,GL22,GP22))&gt;0.005),INDEX(DebtNames,HV22),""))))))))</f>
        <v/>
      </c>
      <c r="FH22">
        <f>N(HY22)</f>
        <v/>
      </c>
      <c r="FI22">
        <f>N(FP22)+N(FT22)+N(FX22)+N(GB22)+N(GF22)+N(GJ22)+N(GN22)+N(GR22)</f>
        <v/>
      </c>
      <c r="FJ22">
        <f>N(FO22)+N(FS22)+N(FW22)+N(GA22)+N(GE22)+N(GI22)+N(GM22)+N(GQ22)</f>
        <v/>
      </c>
      <c r="FK22">
        <f>N(FK21)+N(FJ22)</f>
        <v/>
      </c>
      <c r="FL22">
        <f>N(FQ22)+N(FU22)+N(FY22)+N(GC22)+N(GG22)+N(GK22)+N(GO22)+N(GS22)</f>
        <v/>
      </c>
      <c r="FM22">
        <f>(FQ22&gt;0.005)*1+(FU22&gt;0.005)*1+(FY22&gt;0.005)*1+(GC22&gt;0.005)*1+(GG22&gt;0.005)*1+(GK22&gt;0.005)*1+(GO22&gt;0.005)*1+(GS22&gt;0.005)*1</f>
        <v/>
      </c>
      <c r="FN22">
        <f>N(FQ21)</f>
        <v/>
      </c>
      <c r="FO22">
        <f>IF(N(FN22)&lt;=0.005,0,ROUND(N(FN22)*N('Debt List'!E5)/12,2))</f>
        <v/>
      </c>
      <c r="FP22">
        <f>IF(N(FN22)&lt;=0.005,0,MIN(N('Debt List'!F5),N(FN22)+N(FO22)))+((GT22=1)*GV22+(GX22=1)*GZ22+(HB22=1)*HD22+(HF22=1)*HH22+(HJ22=1)*HL22+(HN22=1)*HP22+(HR22=1)*HT22+(HV22=1)*HX22)</f>
        <v/>
      </c>
      <c r="FQ22">
        <f>MAX(0,ROUND(N(FN22)+N(FO22)-N(FP22),2))</f>
        <v/>
      </c>
      <c r="FR22">
        <f>N(FU21)</f>
        <v/>
      </c>
      <c r="FS22">
        <f>IF(N(FR22)&lt;=0.005,0,ROUND(N(FR22)*N('Debt List'!E6)/12,2))</f>
        <v/>
      </c>
      <c r="FT22">
        <f>IF(N(FR22)&lt;=0.005,0,MIN(N('Debt List'!F6),N(FR22)+N(FS22)))+((GT22=2)*GV22+(GX22=2)*GZ22+(HB22=2)*HD22+(HF22=2)*HH22+(HJ22=2)*HL22+(HN22=2)*HP22+(HR22=2)*HT22+(HV22=2)*HX22)</f>
        <v/>
      </c>
      <c r="FU22">
        <f>MAX(0,ROUND(N(FR22)+N(FS22)-N(FT22),2))</f>
        <v/>
      </c>
      <c r="FV22">
        <f>N(FY21)</f>
        <v/>
      </c>
      <c r="FW22">
        <f>IF(N(FV22)&lt;=0.005,0,ROUND(N(FV22)*N('Debt List'!E7)/12,2))</f>
        <v/>
      </c>
      <c r="FX22">
        <f>IF(N(FV22)&lt;=0.005,0,MIN(N('Debt List'!F7),N(FV22)+N(FW22)))+((GT22=3)*GV22+(GX22=3)*GZ22+(HB22=3)*HD22+(HF22=3)*HH22+(HJ22=3)*HL22+(HN22=3)*HP22+(HR22=3)*HT22+(HV22=3)*HX22)</f>
        <v/>
      </c>
      <c r="FY22">
        <f>MAX(0,ROUND(N(FV22)+N(FW22)-N(FX22),2))</f>
        <v/>
      </c>
      <c r="FZ22">
        <f>N(GC21)</f>
        <v/>
      </c>
      <c r="GA22">
        <f>IF(N(FZ22)&lt;=0.005,0,ROUND(N(FZ22)*N('Debt List'!E8)/12,2))</f>
        <v/>
      </c>
      <c r="GB22">
        <f>IF(N(FZ22)&lt;=0.005,0,MIN(N('Debt List'!F8),N(FZ22)+N(GA22)))+((GT22=4)*GV22+(GX22=4)*GZ22+(HB22=4)*HD22+(HF22=4)*HH22+(HJ22=4)*HL22+(HN22=4)*HP22+(HR22=4)*HT22+(HV22=4)*HX22)</f>
        <v/>
      </c>
      <c r="GC22">
        <f>MAX(0,ROUND(N(FZ22)+N(GA22)-N(GB22),2))</f>
        <v/>
      </c>
      <c r="GD22">
        <f>N(GG21)</f>
        <v/>
      </c>
      <c r="GE22">
        <f>IF(N(GD22)&lt;=0.005,0,ROUND(N(GD22)*N('Debt List'!E9)/12,2))</f>
        <v/>
      </c>
      <c r="GF22">
        <f>IF(N(GD22)&lt;=0.005,0,MIN(N('Debt List'!F9),N(GD22)+N(GE22)))+((GT22=5)*GV22+(GX22=5)*GZ22+(HB22=5)*HD22+(HF22=5)*HH22+(HJ22=5)*HL22+(HN22=5)*HP22+(HR22=5)*HT22+(HV22=5)*HX22)</f>
        <v/>
      </c>
      <c r="GG22">
        <f>MAX(0,ROUND(N(GD22)+N(GE22)-N(GF22),2))</f>
        <v/>
      </c>
      <c r="GH22">
        <f>N(GK21)</f>
        <v/>
      </c>
      <c r="GI22">
        <f>IF(N(GH22)&lt;=0.005,0,ROUND(N(GH22)*N('Debt List'!E10)/12,2))</f>
        <v/>
      </c>
      <c r="GJ22">
        <f>IF(N(GH22)&lt;=0.005,0,MIN(N('Debt List'!F10),N(GH22)+N(GI22)))+((GT22=6)*GV22+(GX22=6)*GZ22+(HB22=6)*HD22+(HF22=6)*HH22+(HJ22=6)*HL22+(HN22=6)*HP22+(HR22=6)*HT22+(HV22=6)*HX22)</f>
        <v/>
      </c>
      <c r="GK22">
        <f>MAX(0,ROUND(N(GH22)+N(GI22)-N(GJ22),2))</f>
        <v/>
      </c>
      <c r="GL22">
        <f>N(GO21)</f>
        <v/>
      </c>
      <c r="GM22">
        <f>IF(N(GL22)&lt;=0.005,0,ROUND(N(GL22)*N('Debt List'!E11)/12,2))</f>
        <v/>
      </c>
      <c r="GN22">
        <f>IF(N(GL22)&lt;=0.005,0,MIN(N('Debt List'!F11),N(GL22)+N(GM22)))+((GT22=7)*GV22+(GX22=7)*GZ22+(HB22=7)*HD22+(HF22=7)*HH22+(HJ22=7)*HL22+(HN22=7)*HP22+(HR22=7)*HT22+(HV22=7)*HX22)</f>
        <v/>
      </c>
      <c r="GO22">
        <f>MAX(0,ROUND(N(GL22)+N(GM22)-N(GN22),2))</f>
        <v/>
      </c>
      <c r="GP22">
        <f>N(GS21)</f>
        <v/>
      </c>
      <c r="GQ22">
        <f>IF(N(GP22)&lt;=0.005,0,ROUND(N(GP22)*N('Debt List'!E12)/12,2))</f>
        <v/>
      </c>
      <c r="GR22">
        <f>IF(N(GP22)&lt;=0.005,0,MIN(N('Debt List'!F12),N(GP22)+N(GQ22)))+((GT22=8)*GV22+(GX22=8)*GZ22+(HB22=8)*HD22+(HF22=8)*HH22+(HJ22=8)*HL22+(HN22=8)*HP22+(HR22=8)*HT22+(HV22=8)*HX22)</f>
        <v/>
      </c>
      <c r="GS22">
        <f>MAX(0,ROUND(N(GP22)+N(GQ22)-N(GR22),2))</f>
        <v/>
      </c>
      <c r="GT22">
        <f>IFERROR(MATCH(1,OrderAval,0),"")</f>
        <v/>
      </c>
      <c r="GU22">
        <f>IF(GT22="",0,IFERROR(IF(N(CHOOSE(GT22,FN22,FR22,FV22,FZ22,GD22,GH22,GL22,GP22))&lt;=0.005,0,MAX(0,N(CHOOSE(GT22,FN22,FR22,FV22,FZ22,GD22,GH22,GL22,GP22))+N(CHOOSE(GT22,FO22,FS22,FW22,GA22,GE22,GI22,GM22,GQ22))-MIN(N(CHOOSE(GT22,'Debt List'!$F$5,'Debt List'!$F$6,'Debt List'!$F$7,'Debt List'!$F$8,'Debt List'!$F$9,'Debt List'!$F$10,'Debt List'!$F$11,'Debt List'!$F$12)),N(CHOOSE(GT22,FN22,FR22,FV22,FZ22,GD22,GH22,GL22,GP22))+N(CHOOSE(GT22,FO22,FS22,FW22,GA22,GE22,GI22,GM22,GQ22))))),0))</f>
        <v/>
      </c>
      <c r="GV22">
        <f>MIN(N(GU22),MAX(0,N(ExtraPayment)))</f>
        <v/>
      </c>
      <c r="GW22">
        <f>MAX(0,N(ExtraPayment)-N(GV22))</f>
        <v/>
      </c>
      <c r="GX22">
        <f>IFERROR(MATCH(2,OrderAval,0),"")</f>
        <v/>
      </c>
      <c r="GY22">
        <f>IF(GX22="",0,IFERROR(IF(N(CHOOSE(GX22,FN22,FR22,FV22,FZ22,GD22,GH22,GL22,GP22))&lt;=0.005,0,MAX(0,N(CHOOSE(GX22,FN22,FR22,FV22,FZ22,GD22,GH22,GL22,GP22))+N(CHOOSE(GX22,FO22,FS22,FW22,GA22,GE22,GI22,GM22,GQ22))-MIN(N(CHOOSE(GX22,'Debt List'!$F$5,'Debt List'!$F$6,'Debt List'!$F$7,'Debt List'!$F$8,'Debt List'!$F$9,'Debt List'!$F$10,'Debt List'!$F$11,'Debt List'!$F$12)),N(CHOOSE(GX22,FN22,FR22,FV22,FZ22,GD22,GH22,GL22,GP22))+N(CHOOSE(GX22,FO22,FS22,FW22,GA22,GE22,GI22,GM22,GQ22))))),0))</f>
        <v/>
      </c>
      <c r="GZ22">
        <f>MIN(N(GY22),MAX(0,N(GW22)))</f>
        <v/>
      </c>
      <c r="HA22">
        <f>MAX(0,N(GW22)-N(GZ22))</f>
        <v/>
      </c>
      <c r="HB22">
        <f>IFERROR(MATCH(3,OrderAval,0),"")</f>
        <v/>
      </c>
      <c r="HC22">
        <f>IF(HB22="",0,IFERROR(IF(N(CHOOSE(HB22,FN22,FR22,FV22,FZ22,GD22,GH22,GL22,GP22))&lt;=0.005,0,MAX(0,N(CHOOSE(HB22,FN22,FR22,FV22,FZ22,GD22,GH22,GL22,GP22))+N(CHOOSE(HB22,FO22,FS22,FW22,GA22,GE22,GI22,GM22,GQ22))-MIN(N(CHOOSE(HB22,'Debt List'!$F$5,'Debt List'!$F$6,'Debt List'!$F$7,'Debt List'!$F$8,'Debt List'!$F$9,'Debt List'!$F$10,'Debt List'!$F$11,'Debt List'!$F$12)),N(CHOOSE(HB22,FN22,FR22,FV22,FZ22,GD22,GH22,GL22,GP22))+N(CHOOSE(HB22,FO22,FS22,FW22,GA22,GE22,GI22,GM22,GQ22))))),0))</f>
        <v/>
      </c>
      <c r="HD22">
        <f>MIN(N(HC22),MAX(0,N(HA22)))</f>
        <v/>
      </c>
      <c r="HE22">
        <f>MAX(0,N(HA22)-N(HD22))</f>
        <v/>
      </c>
      <c r="HF22">
        <f>IFERROR(MATCH(4,OrderAval,0),"")</f>
        <v/>
      </c>
      <c r="HG22">
        <f>IF(HF22="",0,IFERROR(IF(N(CHOOSE(HF22,FN22,FR22,FV22,FZ22,GD22,GH22,GL22,GP22))&lt;=0.005,0,MAX(0,N(CHOOSE(HF22,FN22,FR22,FV22,FZ22,GD22,GH22,GL22,GP22))+N(CHOOSE(HF22,FO22,FS22,FW22,GA22,GE22,GI22,GM22,GQ22))-MIN(N(CHOOSE(HF22,'Debt List'!$F$5,'Debt List'!$F$6,'Debt List'!$F$7,'Debt List'!$F$8,'Debt List'!$F$9,'Debt List'!$F$10,'Debt List'!$F$11,'Debt List'!$F$12)),N(CHOOSE(HF22,FN22,FR22,FV22,FZ22,GD22,GH22,GL22,GP22))+N(CHOOSE(HF22,FO22,FS22,FW22,GA22,GE22,GI22,GM22,GQ22))))),0))</f>
        <v/>
      </c>
      <c r="HH22">
        <f>MIN(N(HG22),MAX(0,N(HE22)))</f>
        <v/>
      </c>
      <c r="HI22">
        <f>MAX(0,N(HE22)-N(HH22))</f>
        <v/>
      </c>
      <c r="HJ22">
        <f>IFERROR(MATCH(5,OrderAval,0),"")</f>
        <v/>
      </c>
      <c r="HK22">
        <f>IF(HJ22="",0,IFERROR(IF(N(CHOOSE(HJ22,FN22,FR22,FV22,FZ22,GD22,GH22,GL22,GP22))&lt;=0.005,0,MAX(0,N(CHOOSE(HJ22,FN22,FR22,FV22,FZ22,GD22,GH22,GL22,GP22))+N(CHOOSE(HJ22,FO22,FS22,FW22,GA22,GE22,GI22,GM22,GQ22))-MIN(N(CHOOSE(HJ22,'Debt List'!$F$5,'Debt List'!$F$6,'Debt List'!$F$7,'Debt List'!$F$8,'Debt List'!$F$9,'Debt List'!$F$10,'Debt List'!$F$11,'Debt List'!$F$12)),N(CHOOSE(HJ22,FN22,FR22,FV22,FZ22,GD22,GH22,GL22,GP22))+N(CHOOSE(HJ22,FO22,FS22,FW22,GA22,GE22,GI22,GM22,GQ22))))),0))</f>
        <v/>
      </c>
      <c r="HL22">
        <f>MIN(N(HK22),MAX(0,N(HI22)))</f>
        <v/>
      </c>
      <c r="HM22">
        <f>MAX(0,N(HI22)-N(HL22))</f>
        <v/>
      </c>
      <c r="HN22">
        <f>IFERROR(MATCH(6,OrderAval,0),"")</f>
        <v/>
      </c>
      <c r="HO22">
        <f>IF(HN22="",0,IFERROR(IF(N(CHOOSE(HN22,FN22,FR22,FV22,FZ22,GD22,GH22,GL22,GP22))&lt;=0.005,0,MAX(0,N(CHOOSE(HN22,FN22,FR22,FV22,FZ22,GD22,GH22,GL22,GP22))+N(CHOOSE(HN22,FO22,FS22,FW22,GA22,GE22,GI22,GM22,GQ22))-MIN(N(CHOOSE(HN22,'Debt List'!$F$5,'Debt List'!$F$6,'Debt List'!$F$7,'Debt List'!$F$8,'Debt List'!$F$9,'Debt List'!$F$10,'Debt List'!$F$11,'Debt List'!$F$12)),N(CHOOSE(HN22,FN22,FR22,FV22,FZ22,GD22,GH22,GL22,GP22))+N(CHOOSE(HN22,FO22,FS22,FW22,GA22,GE22,GI22,GM22,GQ22))))),0))</f>
        <v/>
      </c>
      <c r="HP22">
        <f>MIN(N(HO22),MAX(0,N(HM22)))</f>
        <v/>
      </c>
      <c r="HQ22">
        <f>MAX(0,N(HM22)-N(HP22))</f>
        <v/>
      </c>
      <c r="HR22">
        <f>IFERROR(MATCH(7,OrderAval,0),"")</f>
        <v/>
      </c>
      <c r="HS22">
        <f>IF(HR22="",0,IFERROR(IF(N(CHOOSE(HR22,FN22,FR22,FV22,FZ22,GD22,GH22,GL22,GP22))&lt;=0.005,0,MAX(0,N(CHOOSE(HR22,FN22,FR22,FV22,FZ22,GD22,GH22,GL22,GP22))+N(CHOOSE(HR22,FO22,FS22,FW22,GA22,GE22,GI22,GM22,GQ22))-MIN(N(CHOOSE(HR22,'Debt List'!$F$5,'Debt List'!$F$6,'Debt List'!$F$7,'Debt List'!$F$8,'Debt List'!$F$9,'Debt List'!$F$10,'Debt List'!$F$11,'Debt List'!$F$12)),N(CHOOSE(HR22,FN22,FR22,FV22,FZ22,GD22,GH22,GL22,GP22))+N(CHOOSE(HR22,FO22,FS22,FW22,GA22,GE22,GI22,GM22,GQ22))))),0))</f>
        <v/>
      </c>
      <c r="HT22">
        <f>MIN(N(HS22),MAX(0,N(HQ22)))</f>
        <v/>
      </c>
      <c r="HU22">
        <f>MAX(0,N(HQ22)-N(HT22))</f>
        <v/>
      </c>
      <c r="HV22">
        <f>IFERROR(MATCH(8,OrderAval,0),"")</f>
        <v/>
      </c>
      <c r="HW22">
        <f>IF(HV22="",0,IFERROR(IF(N(CHOOSE(HV22,FN22,FR22,FV22,FZ22,GD22,GH22,GL22,GP22))&lt;=0.005,0,MAX(0,N(CHOOSE(HV22,FN22,FR22,FV22,FZ22,GD22,GH22,GL22,GP22))+N(CHOOSE(HV22,FO22,FS22,FW22,GA22,GE22,GI22,GM22,GQ22))-MIN(N(CHOOSE(HV22,'Debt List'!$F$5,'Debt List'!$F$6,'Debt List'!$F$7,'Debt List'!$F$8,'Debt List'!$F$9,'Debt List'!$F$10,'Debt List'!$F$11,'Debt List'!$F$12)),N(CHOOSE(HV22,FN22,FR22,FV22,FZ22,GD22,GH22,GL22,GP22))+N(CHOOSE(HV22,FO22,FS22,FW22,GA22,GE22,GI22,GM22,GQ22))))),0))</f>
        <v/>
      </c>
      <c r="HX22">
        <f>MIN(N(HW22),MAX(0,N(HU22)))</f>
        <v/>
      </c>
      <c r="HY22">
        <f>MAX(0,N(HU22)-N(HX22))</f>
        <v/>
      </c>
    </row>
    <row r="23">
      <c r="A23" t="n">
        <v>19</v>
      </c>
      <c r="B23" s="115">
        <f>DATE(YEAR(PlanStart),MONTH(PlanStart)+A23-1,1)</f>
        <v/>
      </c>
      <c r="C23">
        <f>IF(AND(AP23&lt;&gt;"",N(CHOOSE(AP23,J23,N23,R23,V23,Z23,AD23,AH23,AL23))&gt;0.005),INDEX(DebtNames,AP23),IF(AND(AT23&lt;&gt;"",N(CHOOSE(AT23,J23,N23,R23,V23,Z23,AD23,AH23,AL23))&gt;0.005),INDEX(DebtNames,AT23),IF(AND(AX23&lt;&gt;"",N(CHOOSE(AX23,J23,N23,R23,V23,Z23,AD23,AH23,AL23))&gt;0.005),INDEX(DebtNames,AX23),IF(AND(BB23&lt;&gt;"",N(CHOOSE(BB23,J23,N23,R23,V23,Z23,AD23,AH23,AL23))&gt;0.005),INDEX(DebtNames,BB23),IF(AND(BF23&lt;&gt;"",N(CHOOSE(BF23,J23,N23,R23,V23,Z23,AD23,AH23,AL23))&gt;0.005),INDEX(DebtNames,BF23),IF(AND(BJ23&lt;&gt;"",N(CHOOSE(BJ23,J23,N23,R23,V23,Z23,AD23,AH23,AL23))&gt;0.005),INDEX(DebtNames,BJ23),IF(AND(BN23&lt;&gt;"",N(CHOOSE(BN23,J23,N23,R23,V23,Z23,AD23,AH23,AL23))&gt;0.005),INDEX(DebtNames,BN23),IF(AND(BR23&lt;&gt;"",N(CHOOSE(BR23,J23,N23,R23,V23,Z23,AD23,AH23,AL23))&gt;0.005),INDEX(DebtNames,BR23),""))))))))</f>
        <v/>
      </c>
      <c r="D23">
        <f>N(BU23)</f>
        <v/>
      </c>
      <c r="E23">
        <f>N(L23)+N(P23)+N(T23)+N(X23)+N(AB23)+N(AF23)+N(AJ23)+N(AN23)</f>
        <v/>
      </c>
      <c r="F23">
        <f>N(K23)+N(O23)+N(S23)+N(W23)+N(AA23)+N(AE23)+N(AI23)+N(AM23)</f>
        <v/>
      </c>
      <c r="G23">
        <f>N(G22)+N(F23)</f>
        <v/>
      </c>
      <c r="H23">
        <f>N(M23)+N(Q23)+N(U23)+N(Y23)+N(AC23)+N(AG23)+N(AK23)+N(AO23)</f>
        <v/>
      </c>
      <c r="I23">
        <f>(M23&gt;0.005)*1+(Q23&gt;0.005)*1+(U23&gt;0.005)*1+(Y23&gt;0.005)*1+(AC23&gt;0.005)*1+(AG23&gt;0.005)*1+(AK23&gt;0.005)*1+(AO23&gt;0.005)*1</f>
        <v/>
      </c>
      <c r="J23">
        <f>N(M22)</f>
        <v/>
      </c>
      <c r="K23">
        <f>IF(N(J23)&lt;=0.005,0,ROUND(N(J23)*N('Debt List'!E5)/12,2))</f>
        <v/>
      </c>
      <c r="L23">
        <f>IF(N(J23)&lt;=0.005,0,MIN(N('Debt List'!F5),N(J23)+N(K23)))+((AP23=1)*AR23+(AT23=1)*AV23+(AX23=1)*AZ23+(BB23=1)*BD23+(BF23=1)*BH23+(BJ23=1)*BL23+(BN23=1)*BP23+(BR23=1)*BT23)</f>
        <v/>
      </c>
      <c r="M23">
        <f>MAX(0,ROUND(N(J23)+N(K23)-N(L23),2))</f>
        <v/>
      </c>
      <c r="N23">
        <f>N(Q22)</f>
        <v/>
      </c>
      <c r="O23">
        <f>IF(N(N23)&lt;=0.005,0,ROUND(N(N23)*N('Debt List'!E6)/12,2))</f>
        <v/>
      </c>
      <c r="P23">
        <f>IF(N(N23)&lt;=0.005,0,MIN(N('Debt List'!F6),N(N23)+N(O23)))+((AP23=2)*AR23+(AT23=2)*AV23+(AX23=2)*AZ23+(BB23=2)*BD23+(BF23=2)*BH23+(BJ23=2)*BL23+(BN23=2)*BP23+(BR23=2)*BT23)</f>
        <v/>
      </c>
      <c r="Q23">
        <f>MAX(0,ROUND(N(N23)+N(O23)-N(P23),2))</f>
        <v/>
      </c>
      <c r="R23">
        <f>N(U22)</f>
        <v/>
      </c>
      <c r="S23">
        <f>IF(N(R23)&lt;=0.005,0,ROUND(N(R23)*N('Debt List'!E7)/12,2))</f>
        <v/>
      </c>
      <c r="T23">
        <f>IF(N(R23)&lt;=0.005,0,MIN(N('Debt List'!F7),N(R23)+N(S23)))+((AP23=3)*AR23+(AT23=3)*AV23+(AX23=3)*AZ23+(BB23=3)*BD23+(BF23=3)*BH23+(BJ23=3)*BL23+(BN23=3)*BP23+(BR23=3)*BT23)</f>
        <v/>
      </c>
      <c r="U23">
        <f>MAX(0,ROUND(N(R23)+N(S23)-N(T23),2))</f>
        <v/>
      </c>
      <c r="V23">
        <f>N(Y22)</f>
        <v/>
      </c>
      <c r="W23">
        <f>IF(N(V23)&lt;=0.005,0,ROUND(N(V23)*N('Debt List'!E8)/12,2))</f>
        <v/>
      </c>
      <c r="X23">
        <f>IF(N(V23)&lt;=0.005,0,MIN(N('Debt List'!F8),N(V23)+N(W23)))+((AP23=4)*AR23+(AT23=4)*AV23+(AX23=4)*AZ23+(BB23=4)*BD23+(BF23=4)*BH23+(BJ23=4)*BL23+(BN23=4)*BP23+(BR23=4)*BT23)</f>
        <v/>
      </c>
      <c r="Y23">
        <f>MAX(0,ROUND(N(V23)+N(W23)-N(X23),2))</f>
        <v/>
      </c>
      <c r="Z23">
        <f>N(AC22)</f>
        <v/>
      </c>
      <c r="AA23">
        <f>IF(N(Z23)&lt;=0.005,0,ROUND(N(Z23)*N('Debt List'!E9)/12,2))</f>
        <v/>
      </c>
      <c r="AB23">
        <f>IF(N(Z23)&lt;=0.005,0,MIN(N('Debt List'!F9),N(Z23)+N(AA23)))+((AP23=5)*AR23+(AT23=5)*AV23+(AX23=5)*AZ23+(BB23=5)*BD23+(BF23=5)*BH23+(BJ23=5)*BL23+(BN23=5)*BP23+(BR23=5)*BT23)</f>
        <v/>
      </c>
      <c r="AC23">
        <f>MAX(0,ROUND(N(Z23)+N(AA23)-N(AB23),2))</f>
        <v/>
      </c>
      <c r="AD23">
        <f>N(AG22)</f>
        <v/>
      </c>
      <c r="AE23">
        <f>IF(N(AD23)&lt;=0.005,0,ROUND(N(AD23)*N('Debt List'!E10)/12,2))</f>
        <v/>
      </c>
      <c r="AF23">
        <f>IF(N(AD23)&lt;=0.005,0,MIN(N('Debt List'!F10),N(AD23)+N(AE23)))+((AP23=6)*AR23+(AT23=6)*AV23+(AX23=6)*AZ23+(BB23=6)*BD23+(BF23=6)*BH23+(BJ23=6)*BL23+(BN23=6)*BP23+(BR23=6)*BT23)</f>
        <v/>
      </c>
      <c r="AG23">
        <f>MAX(0,ROUND(N(AD23)+N(AE23)-N(AF23),2))</f>
        <v/>
      </c>
      <c r="AH23">
        <f>N(AK22)</f>
        <v/>
      </c>
      <c r="AI23">
        <f>IF(N(AH23)&lt;=0.005,0,ROUND(N(AH23)*N('Debt List'!E11)/12,2))</f>
        <v/>
      </c>
      <c r="AJ23">
        <f>IF(N(AH23)&lt;=0.005,0,MIN(N('Debt List'!F11),N(AH23)+N(AI23)))+((AP23=7)*AR23+(AT23=7)*AV23+(AX23=7)*AZ23+(BB23=7)*BD23+(BF23=7)*BH23+(BJ23=7)*BL23+(BN23=7)*BP23+(BR23=7)*BT23)</f>
        <v/>
      </c>
      <c r="AK23">
        <f>MAX(0,ROUND(N(AH23)+N(AI23)-N(AJ23),2))</f>
        <v/>
      </c>
      <c r="AL23">
        <f>N(AO22)</f>
        <v/>
      </c>
      <c r="AM23">
        <f>IF(N(AL23)&lt;=0.005,0,ROUND(N(AL23)*N('Debt List'!E12)/12,2))</f>
        <v/>
      </c>
      <c r="AN23">
        <f>IF(N(AL23)&lt;=0.005,0,MIN(N('Debt List'!F12),N(AL23)+N(AM23)))+((AP23=8)*AR23+(AT23=8)*AV23+(AX23=8)*AZ23+(BB23=8)*BD23+(BF23=8)*BH23+(BJ23=8)*BL23+(BN23=8)*BP23+(BR23=8)*BT23)</f>
        <v/>
      </c>
      <c r="AO23">
        <f>MAX(0,ROUND(N(AL23)+N(AM23)-N(AN23),2))</f>
        <v/>
      </c>
      <c r="AP23">
        <f>IFERROR(MATCH(1,OrderPlan,0),"")</f>
        <v/>
      </c>
      <c r="AQ23">
        <f>IF(AP23="",0,IFERROR(IF(N(CHOOSE(AP23,J23,N23,R23,V23,Z23,AD23,AH23,AL23))&lt;=0.005,0,MAX(0,N(CHOOSE(AP23,J23,N23,R23,V23,Z23,AD23,AH23,AL23))+N(CHOOSE(AP23,K23,O23,S23,W23,AA23,AE23,AI23,AM23))-MIN(N(CHOOSE(AP23,'Debt List'!$F$5,'Debt List'!$F$6,'Debt List'!$F$7,'Debt List'!$F$8,'Debt List'!$F$9,'Debt List'!$F$10,'Debt List'!$F$11,'Debt List'!$F$12)),N(CHOOSE(AP23,J23,N23,R23,V23,Z23,AD23,AH23,AL23))+N(CHOOSE(AP23,K23,O23,S23,W23,AA23,AE23,AI23,AM23))))),0))</f>
        <v/>
      </c>
      <c r="AR23">
        <f>MIN(N(AQ23),MAX(0,N(ExtraPayment)))</f>
        <v/>
      </c>
      <c r="AS23">
        <f>MAX(0,N(ExtraPayment)-N(AR23))</f>
        <v/>
      </c>
      <c r="AT23">
        <f>IFERROR(MATCH(2,OrderPlan,0),"")</f>
        <v/>
      </c>
      <c r="AU23">
        <f>IF(AT23="",0,IFERROR(IF(N(CHOOSE(AT23,J23,N23,R23,V23,Z23,AD23,AH23,AL23))&lt;=0.005,0,MAX(0,N(CHOOSE(AT23,J23,N23,R23,V23,Z23,AD23,AH23,AL23))+N(CHOOSE(AT23,K23,O23,S23,W23,AA23,AE23,AI23,AM23))-MIN(N(CHOOSE(AT23,'Debt List'!$F$5,'Debt List'!$F$6,'Debt List'!$F$7,'Debt List'!$F$8,'Debt List'!$F$9,'Debt List'!$F$10,'Debt List'!$F$11,'Debt List'!$F$12)),N(CHOOSE(AT23,J23,N23,R23,V23,Z23,AD23,AH23,AL23))+N(CHOOSE(AT23,K23,O23,S23,W23,AA23,AE23,AI23,AM23))))),0))</f>
        <v/>
      </c>
      <c r="AV23">
        <f>MIN(N(AU23),MAX(0,N(AS23)))</f>
        <v/>
      </c>
      <c r="AW23">
        <f>MAX(0,N(AS23)-N(AV23))</f>
        <v/>
      </c>
      <c r="AX23">
        <f>IFERROR(MATCH(3,OrderPlan,0),"")</f>
        <v/>
      </c>
      <c r="AY23">
        <f>IF(AX23="",0,IFERROR(IF(N(CHOOSE(AX23,J23,N23,R23,V23,Z23,AD23,AH23,AL23))&lt;=0.005,0,MAX(0,N(CHOOSE(AX23,J23,N23,R23,V23,Z23,AD23,AH23,AL23))+N(CHOOSE(AX23,K23,O23,S23,W23,AA23,AE23,AI23,AM23))-MIN(N(CHOOSE(AX23,'Debt List'!$F$5,'Debt List'!$F$6,'Debt List'!$F$7,'Debt List'!$F$8,'Debt List'!$F$9,'Debt List'!$F$10,'Debt List'!$F$11,'Debt List'!$F$12)),N(CHOOSE(AX23,J23,N23,R23,V23,Z23,AD23,AH23,AL23))+N(CHOOSE(AX23,K23,O23,S23,W23,AA23,AE23,AI23,AM23))))),0))</f>
        <v/>
      </c>
      <c r="AZ23">
        <f>MIN(N(AY23),MAX(0,N(AW23)))</f>
        <v/>
      </c>
      <c r="BA23">
        <f>MAX(0,N(AW23)-N(AZ23))</f>
        <v/>
      </c>
      <c r="BB23">
        <f>IFERROR(MATCH(4,OrderPlan,0),"")</f>
        <v/>
      </c>
      <c r="BC23">
        <f>IF(BB23="",0,IFERROR(IF(N(CHOOSE(BB23,J23,N23,R23,V23,Z23,AD23,AH23,AL23))&lt;=0.005,0,MAX(0,N(CHOOSE(BB23,J23,N23,R23,V23,Z23,AD23,AH23,AL23))+N(CHOOSE(BB23,K23,O23,S23,W23,AA23,AE23,AI23,AM23))-MIN(N(CHOOSE(BB23,'Debt List'!$F$5,'Debt List'!$F$6,'Debt List'!$F$7,'Debt List'!$F$8,'Debt List'!$F$9,'Debt List'!$F$10,'Debt List'!$F$11,'Debt List'!$F$12)),N(CHOOSE(BB23,J23,N23,R23,V23,Z23,AD23,AH23,AL23))+N(CHOOSE(BB23,K23,O23,S23,W23,AA23,AE23,AI23,AM23))))),0))</f>
        <v/>
      </c>
      <c r="BD23">
        <f>MIN(N(BC23),MAX(0,N(BA23)))</f>
        <v/>
      </c>
      <c r="BE23">
        <f>MAX(0,N(BA23)-N(BD23))</f>
        <v/>
      </c>
      <c r="BF23">
        <f>IFERROR(MATCH(5,OrderPlan,0),"")</f>
        <v/>
      </c>
      <c r="BG23">
        <f>IF(BF23="",0,IFERROR(IF(N(CHOOSE(BF23,J23,N23,R23,V23,Z23,AD23,AH23,AL23))&lt;=0.005,0,MAX(0,N(CHOOSE(BF23,J23,N23,R23,V23,Z23,AD23,AH23,AL23))+N(CHOOSE(BF23,K23,O23,S23,W23,AA23,AE23,AI23,AM23))-MIN(N(CHOOSE(BF23,'Debt List'!$F$5,'Debt List'!$F$6,'Debt List'!$F$7,'Debt List'!$F$8,'Debt List'!$F$9,'Debt List'!$F$10,'Debt List'!$F$11,'Debt List'!$F$12)),N(CHOOSE(BF23,J23,N23,R23,V23,Z23,AD23,AH23,AL23))+N(CHOOSE(BF23,K23,O23,S23,W23,AA23,AE23,AI23,AM23))))),0))</f>
        <v/>
      </c>
      <c r="BH23">
        <f>MIN(N(BG23),MAX(0,N(BE23)))</f>
        <v/>
      </c>
      <c r="BI23">
        <f>MAX(0,N(BE23)-N(BH23))</f>
        <v/>
      </c>
      <c r="BJ23">
        <f>IFERROR(MATCH(6,OrderPlan,0),"")</f>
        <v/>
      </c>
      <c r="BK23">
        <f>IF(BJ23="",0,IFERROR(IF(N(CHOOSE(BJ23,J23,N23,R23,V23,Z23,AD23,AH23,AL23))&lt;=0.005,0,MAX(0,N(CHOOSE(BJ23,J23,N23,R23,V23,Z23,AD23,AH23,AL23))+N(CHOOSE(BJ23,K23,O23,S23,W23,AA23,AE23,AI23,AM23))-MIN(N(CHOOSE(BJ23,'Debt List'!$F$5,'Debt List'!$F$6,'Debt List'!$F$7,'Debt List'!$F$8,'Debt List'!$F$9,'Debt List'!$F$10,'Debt List'!$F$11,'Debt List'!$F$12)),N(CHOOSE(BJ23,J23,N23,R23,V23,Z23,AD23,AH23,AL23))+N(CHOOSE(BJ23,K23,O23,S23,W23,AA23,AE23,AI23,AM23))))),0))</f>
        <v/>
      </c>
      <c r="BL23">
        <f>MIN(N(BK23),MAX(0,N(BI23)))</f>
        <v/>
      </c>
      <c r="BM23">
        <f>MAX(0,N(BI23)-N(BL23))</f>
        <v/>
      </c>
      <c r="BN23">
        <f>IFERROR(MATCH(7,OrderPlan,0),"")</f>
        <v/>
      </c>
      <c r="BO23">
        <f>IF(BN23="",0,IFERROR(IF(N(CHOOSE(BN23,J23,N23,R23,V23,Z23,AD23,AH23,AL23))&lt;=0.005,0,MAX(0,N(CHOOSE(BN23,J23,N23,R23,V23,Z23,AD23,AH23,AL23))+N(CHOOSE(BN23,K23,O23,S23,W23,AA23,AE23,AI23,AM23))-MIN(N(CHOOSE(BN23,'Debt List'!$F$5,'Debt List'!$F$6,'Debt List'!$F$7,'Debt List'!$F$8,'Debt List'!$F$9,'Debt List'!$F$10,'Debt List'!$F$11,'Debt List'!$F$12)),N(CHOOSE(BN23,J23,N23,R23,V23,Z23,AD23,AH23,AL23))+N(CHOOSE(BN23,K23,O23,S23,W23,AA23,AE23,AI23,AM23))))),0))</f>
        <v/>
      </c>
      <c r="BP23">
        <f>MIN(N(BO23),MAX(0,N(BM23)))</f>
        <v/>
      </c>
      <c r="BQ23">
        <f>MAX(0,N(BM23)-N(BP23))</f>
        <v/>
      </c>
      <c r="BR23">
        <f>IFERROR(MATCH(8,OrderPlan,0),"")</f>
        <v/>
      </c>
      <c r="BS23">
        <f>IF(BR23="",0,IFERROR(IF(N(CHOOSE(BR23,J23,N23,R23,V23,Z23,AD23,AH23,AL23))&lt;=0.005,0,MAX(0,N(CHOOSE(BR23,J23,N23,R23,V23,Z23,AD23,AH23,AL23))+N(CHOOSE(BR23,K23,O23,S23,W23,AA23,AE23,AI23,AM23))-MIN(N(CHOOSE(BR23,'Debt List'!$F$5,'Debt List'!$F$6,'Debt List'!$F$7,'Debt List'!$F$8,'Debt List'!$F$9,'Debt List'!$F$10,'Debt List'!$F$11,'Debt List'!$F$12)),N(CHOOSE(BR23,J23,N23,R23,V23,Z23,AD23,AH23,AL23))+N(CHOOSE(BR23,K23,O23,S23,W23,AA23,AE23,AI23,AM23))))),0))</f>
        <v/>
      </c>
      <c r="BT23">
        <f>MIN(N(BS23),MAX(0,N(BQ23)))</f>
        <v/>
      </c>
      <c r="BU23">
        <f>MAX(0,N(BQ23)-N(BT23))</f>
        <v/>
      </c>
      <c r="CC23" t="n">
        <v>19</v>
      </c>
      <c r="CD23" s="115">
        <f>DATE(YEAR(PlanStart),MONTH(PlanStart)+CC23-1,1)</f>
        <v/>
      </c>
      <c r="CE23">
        <f>IF(AND(DR23&lt;&gt;"",N(CHOOSE(DR23,CL23,CP23,CT23,CX23,DB23,DF23,DJ23,DN23))&gt;0.005),INDEX(DebtNames,DR23),IF(AND(DV23&lt;&gt;"",N(CHOOSE(DV23,CL23,CP23,CT23,CX23,DB23,DF23,DJ23,DN23))&gt;0.005),INDEX(DebtNames,DV23),IF(AND(DZ23&lt;&gt;"",N(CHOOSE(DZ23,CL23,CP23,CT23,CX23,DB23,DF23,DJ23,DN23))&gt;0.005),INDEX(DebtNames,DZ23),IF(AND(ED23&lt;&gt;"",N(CHOOSE(ED23,CL23,CP23,CT23,CX23,DB23,DF23,DJ23,DN23))&gt;0.005),INDEX(DebtNames,ED23),IF(AND(EH23&lt;&gt;"",N(CHOOSE(EH23,CL23,CP23,CT23,CX23,DB23,DF23,DJ23,DN23))&gt;0.005),INDEX(DebtNames,EH23),IF(AND(EL23&lt;&gt;"",N(CHOOSE(EL23,CL23,CP23,CT23,CX23,DB23,DF23,DJ23,DN23))&gt;0.005),INDEX(DebtNames,EL23),IF(AND(EP23&lt;&gt;"",N(CHOOSE(EP23,CL23,CP23,CT23,CX23,DB23,DF23,DJ23,DN23))&gt;0.005),INDEX(DebtNames,EP23),IF(AND(ET23&lt;&gt;"",N(CHOOSE(ET23,CL23,CP23,CT23,CX23,DB23,DF23,DJ23,DN23))&gt;0.005),INDEX(DebtNames,ET23),""))))))))</f>
        <v/>
      </c>
      <c r="CF23">
        <f>N(EW23)</f>
        <v/>
      </c>
      <c r="CG23">
        <f>N(CN23)+N(CR23)+N(CV23)+N(CZ23)+N(DD23)+N(DH23)+N(DL23)+N(DP23)</f>
        <v/>
      </c>
      <c r="CH23">
        <f>N(CM23)+N(CQ23)+N(CU23)+N(CY23)+N(DC23)+N(DG23)+N(DK23)+N(DO23)</f>
        <v/>
      </c>
      <c r="CI23">
        <f>N(CI22)+N(CH23)</f>
        <v/>
      </c>
      <c r="CJ23">
        <f>N(CO23)+N(CS23)+N(CW23)+N(DA23)+N(DE23)+N(DI23)+N(DM23)+N(DQ23)</f>
        <v/>
      </c>
      <c r="CK23">
        <f>(CO23&gt;0.005)*1+(CS23&gt;0.005)*1+(CW23&gt;0.005)*1+(DA23&gt;0.005)*1+(DE23&gt;0.005)*1+(DI23&gt;0.005)*1+(DM23&gt;0.005)*1+(DQ23&gt;0.005)*1</f>
        <v/>
      </c>
      <c r="CL23">
        <f>N(CO22)</f>
        <v/>
      </c>
      <c r="CM23">
        <f>IF(N(CL23)&lt;=0.005,0,ROUND(N(CL23)*N('Debt List'!E5)/12,2))</f>
        <v/>
      </c>
      <c r="CN23">
        <f>IF(N(CL23)&lt;=0.005,0,MIN(N('Debt List'!F5),N(CL23)+N(CM23)))+((DR23=1)*DT23+(DV23=1)*DX23+(DZ23=1)*EB23+(ED23=1)*EF23+(EH23=1)*EJ23+(EL23=1)*EN23+(EP23=1)*ER23+(ET23=1)*EV23)</f>
        <v/>
      </c>
      <c r="CO23">
        <f>MAX(0,ROUND(N(CL23)+N(CM23)-N(CN23),2))</f>
        <v/>
      </c>
      <c r="CP23">
        <f>N(CS22)</f>
        <v/>
      </c>
      <c r="CQ23">
        <f>IF(N(CP23)&lt;=0.005,0,ROUND(N(CP23)*N('Debt List'!E6)/12,2))</f>
        <v/>
      </c>
      <c r="CR23">
        <f>IF(N(CP23)&lt;=0.005,0,MIN(N('Debt List'!F6),N(CP23)+N(CQ23)))+((DR23=2)*DT23+(DV23=2)*DX23+(DZ23=2)*EB23+(ED23=2)*EF23+(EH23=2)*EJ23+(EL23=2)*EN23+(EP23=2)*ER23+(ET23=2)*EV23)</f>
        <v/>
      </c>
      <c r="CS23">
        <f>MAX(0,ROUND(N(CP23)+N(CQ23)-N(CR23),2))</f>
        <v/>
      </c>
      <c r="CT23">
        <f>N(CW22)</f>
        <v/>
      </c>
      <c r="CU23">
        <f>IF(N(CT23)&lt;=0.005,0,ROUND(N(CT23)*N('Debt List'!E7)/12,2))</f>
        <v/>
      </c>
      <c r="CV23">
        <f>IF(N(CT23)&lt;=0.005,0,MIN(N('Debt List'!F7),N(CT23)+N(CU23)))+((DR23=3)*DT23+(DV23=3)*DX23+(DZ23=3)*EB23+(ED23=3)*EF23+(EH23=3)*EJ23+(EL23=3)*EN23+(EP23=3)*ER23+(ET23=3)*EV23)</f>
        <v/>
      </c>
      <c r="CW23">
        <f>MAX(0,ROUND(N(CT23)+N(CU23)-N(CV23),2))</f>
        <v/>
      </c>
      <c r="CX23">
        <f>N(DA22)</f>
        <v/>
      </c>
      <c r="CY23">
        <f>IF(N(CX23)&lt;=0.005,0,ROUND(N(CX23)*N('Debt List'!E8)/12,2))</f>
        <v/>
      </c>
      <c r="CZ23">
        <f>IF(N(CX23)&lt;=0.005,0,MIN(N('Debt List'!F8),N(CX23)+N(CY23)))+((DR23=4)*DT23+(DV23=4)*DX23+(DZ23=4)*EB23+(ED23=4)*EF23+(EH23=4)*EJ23+(EL23=4)*EN23+(EP23=4)*ER23+(ET23=4)*EV23)</f>
        <v/>
      </c>
      <c r="DA23">
        <f>MAX(0,ROUND(N(CX23)+N(CY23)-N(CZ23),2))</f>
        <v/>
      </c>
      <c r="DB23">
        <f>N(DE22)</f>
        <v/>
      </c>
      <c r="DC23">
        <f>IF(N(DB23)&lt;=0.005,0,ROUND(N(DB23)*N('Debt List'!E9)/12,2))</f>
        <v/>
      </c>
      <c r="DD23">
        <f>IF(N(DB23)&lt;=0.005,0,MIN(N('Debt List'!F9),N(DB23)+N(DC23)))+((DR23=5)*DT23+(DV23=5)*DX23+(DZ23=5)*EB23+(ED23=5)*EF23+(EH23=5)*EJ23+(EL23=5)*EN23+(EP23=5)*ER23+(ET23=5)*EV23)</f>
        <v/>
      </c>
      <c r="DE23">
        <f>MAX(0,ROUND(N(DB23)+N(DC23)-N(DD23),2))</f>
        <v/>
      </c>
      <c r="DF23">
        <f>N(DI22)</f>
        <v/>
      </c>
      <c r="DG23">
        <f>IF(N(DF23)&lt;=0.005,0,ROUND(N(DF23)*N('Debt List'!E10)/12,2))</f>
        <v/>
      </c>
      <c r="DH23">
        <f>IF(N(DF23)&lt;=0.005,0,MIN(N('Debt List'!F10),N(DF23)+N(DG23)))+((DR23=6)*DT23+(DV23=6)*DX23+(DZ23=6)*EB23+(ED23=6)*EF23+(EH23=6)*EJ23+(EL23=6)*EN23+(EP23=6)*ER23+(ET23=6)*EV23)</f>
        <v/>
      </c>
      <c r="DI23">
        <f>MAX(0,ROUND(N(DF23)+N(DG23)-N(DH23),2))</f>
        <v/>
      </c>
      <c r="DJ23">
        <f>N(DM22)</f>
        <v/>
      </c>
      <c r="DK23">
        <f>IF(N(DJ23)&lt;=0.005,0,ROUND(N(DJ23)*N('Debt List'!E11)/12,2))</f>
        <v/>
      </c>
      <c r="DL23">
        <f>IF(N(DJ23)&lt;=0.005,0,MIN(N('Debt List'!F11),N(DJ23)+N(DK23)))+((DR23=7)*DT23+(DV23=7)*DX23+(DZ23=7)*EB23+(ED23=7)*EF23+(EH23=7)*EJ23+(EL23=7)*EN23+(EP23=7)*ER23+(ET23=7)*EV23)</f>
        <v/>
      </c>
      <c r="DM23">
        <f>MAX(0,ROUND(N(DJ23)+N(DK23)-N(DL23),2))</f>
        <v/>
      </c>
      <c r="DN23">
        <f>N(DQ22)</f>
        <v/>
      </c>
      <c r="DO23">
        <f>IF(N(DN23)&lt;=0.005,0,ROUND(N(DN23)*N('Debt List'!E12)/12,2))</f>
        <v/>
      </c>
      <c r="DP23">
        <f>IF(N(DN23)&lt;=0.005,0,MIN(N('Debt List'!F12),N(DN23)+N(DO23)))+((DR23=8)*DT23+(DV23=8)*DX23+(DZ23=8)*EB23+(ED23=8)*EF23+(EH23=8)*EJ23+(EL23=8)*EN23+(EP23=8)*ER23+(ET23=8)*EV23)</f>
        <v/>
      </c>
      <c r="DQ23">
        <f>MAX(0,ROUND(N(DN23)+N(DO23)-N(DP23),2))</f>
        <v/>
      </c>
      <c r="DR23">
        <f>IFERROR(MATCH(1,OrderSnow,0),"")</f>
        <v/>
      </c>
      <c r="DS23">
        <f>IF(DR23="",0,IFERROR(IF(N(CHOOSE(DR23,CL23,CP23,CT23,CX23,DB23,DF23,DJ23,DN23))&lt;=0.005,0,MAX(0,N(CHOOSE(DR23,CL23,CP23,CT23,CX23,DB23,DF23,DJ23,DN23))+N(CHOOSE(DR23,CM23,CQ23,CU23,CY23,DC23,DG23,DK23,DO23))-MIN(N(CHOOSE(DR23,'Debt List'!$F$5,'Debt List'!$F$6,'Debt List'!$F$7,'Debt List'!$F$8,'Debt List'!$F$9,'Debt List'!$F$10,'Debt List'!$F$11,'Debt List'!$F$12)),N(CHOOSE(DR23,CL23,CP23,CT23,CX23,DB23,DF23,DJ23,DN23))+N(CHOOSE(DR23,CM23,CQ23,CU23,CY23,DC23,DG23,DK23,DO23))))),0))</f>
        <v/>
      </c>
      <c r="DT23">
        <f>MIN(N(DS23),MAX(0,N(ExtraPayment)))</f>
        <v/>
      </c>
      <c r="DU23">
        <f>MAX(0,N(ExtraPayment)-N(DT23))</f>
        <v/>
      </c>
      <c r="DV23">
        <f>IFERROR(MATCH(2,OrderSnow,0),"")</f>
        <v/>
      </c>
      <c r="DW23">
        <f>IF(DV23="",0,IFERROR(IF(N(CHOOSE(DV23,CL23,CP23,CT23,CX23,DB23,DF23,DJ23,DN23))&lt;=0.005,0,MAX(0,N(CHOOSE(DV23,CL23,CP23,CT23,CX23,DB23,DF23,DJ23,DN23))+N(CHOOSE(DV23,CM23,CQ23,CU23,CY23,DC23,DG23,DK23,DO23))-MIN(N(CHOOSE(DV23,'Debt List'!$F$5,'Debt List'!$F$6,'Debt List'!$F$7,'Debt List'!$F$8,'Debt List'!$F$9,'Debt List'!$F$10,'Debt List'!$F$11,'Debt List'!$F$12)),N(CHOOSE(DV23,CL23,CP23,CT23,CX23,DB23,DF23,DJ23,DN23))+N(CHOOSE(DV23,CM23,CQ23,CU23,CY23,DC23,DG23,DK23,DO23))))),0))</f>
        <v/>
      </c>
      <c r="DX23">
        <f>MIN(N(DW23),MAX(0,N(DU23)))</f>
        <v/>
      </c>
      <c r="DY23">
        <f>MAX(0,N(DU23)-N(DX23))</f>
        <v/>
      </c>
      <c r="DZ23">
        <f>IFERROR(MATCH(3,OrderSnow,0),"")</f>
        <v/>
      </c>
      <c r="EA23">
        <f>IF(DZ23="",0,IFERROR(IF(N(CHOOSE(DZ23,CL23,CP23,CT23,CX23,DB23,DF23,DJ23,DN23))&lt;=0.005,0,MAX(0,N(CHOOSE(DZ23,CL23,CP23,CT23,CX23,DB23,DF23,DJ23,DN23))+N(CHOOSE(DZ23,CM23,CQ23,CU23,CY23,DC23,DG23,DK23,DO23))-MIN(N(CHOOSE(DZ23,'Debt List'!$F$5,'Debt List'!$F$6,'Debt List'!$F$7,'Debt List'!$F$8,'Debt List'!$F$9,'Debt List'!$F$10,'Debt List'!$F$11,'Debt List'!$F$12)),N(CHOOSE(DZ23,CL23,CP23,CT23,CX23,DB23,DF23,DJ23,DN23))+N(CHOOSE(DZ23,CM23,CQ23,CU23,CY23,DC23,DG23,DK23,DO23))))),0))</f>
        <v/>
      </c>
      <c r="EB23">
        <f>MIN(N(EA23),MAX(0,N(DY23)))</f>
        <v/>
      </c>
      <c r="EC23">
        <f>MAX(0,N(DY23)-N(EB23))</f>
        <v/>
      </c>
      <c r="ED23">
        <f>IFERROR(MATCH(4,OrderSnow,0),"")</f>
        <v/>
      </c>
      <c r="EE23">
        <f>IF(ED23="",0,IFERROR(IF(N(CHOOSE(ED23,CL23,CP23,CT23,CX23,DB23,DF23,DJ23,DN23))&lt;=0.005,0,MAX(0,N(CHOOSE(ED23,CL23,CP23,CT23,CX23,DB23,DF23,DJ23,DN23))+N(CHOOSE(ED23,CM23,CQ23,CU23,CY23,DC23,DG23,DK23,DO23))-MIN(N(CHOOSE(ED23,'Debt List'!$F$5,'Debt List'!$F$6,'Debt List'!$F$7,'Debt List'!$F$8,'Debt List'!$F$9,'Debt List'!$F$10,'Debt List'!$F$11,'Debt List'!$F$12)),N(CHOOSE(ED23,CL23,CP23,CT23,CX23,DB23,DF23,DJ23,DN23))+N(CHOOSE(ED23,CM23,CQ23,CU23,CY23,DC23,DG23,DK23,DO23))))),0))</f>
        <v/>
      </c>
      <c r="EF23">
        <f>MIN(N(EE23),MAX(0,N(EC23)))</f>
        <v/>
      </c>
      <c r="EG23">
        <f>MAX(0,N(EC23)-N(EF23))</f>
        <v/>
      </c>
      <c r="EH23">
        <f>IFERROR(MATCH(5,OrderSnow,0),"")</f>
        <v/>
      </c>
      <c r="EI23">
        <f>IF(EH23="",0,IFERROR(IF(N(CHOOSE(EH23,CL23,CP23,CT23,CX23,DB23,DF23,DJ23,DN23))&lt;=0.005,0,MAX(0,N(CHOOSE(EH23,CL23,CP23,CT23,CX23,DB23,DF23,DJ23,DN23))+N(CHOOSE(EH23,CM23,CQ23,CU23,CY23,DC23,DG23,DK23,DO23))-MIN(N(CHOOSE(EH23,'Debt List'!$F$5,'Debt List'!$F$6,'Debt List'!$F$7,'Debt List'!$F$8,'Debt List'!$F$9,'Debt List'!$F$10,'Debt List'!$F$11,'Debt List'!$F$12)),N(CHOOSE(EH23,CL23,CP23,CT23,CX23,DB23,DF23,DJ23,DN23))+N(CHOOSE(EH23,CM23,CQ23,CU23,CY23,DC23,DG23,DK23,DO23))))),0))</f>
        <v/>
      </c>
      <c r="EJ23">
        <f>MIN(N(EI23),MAX(0,N(EG23)))</f>
        <v/>
      </c>
      <c r="EK23">
        <f>MAX(0,N(EG23)-N(EJ23))</f>
        <v/>
      </c>
      <c r="EL23">
        <f>IFERROR(MATCH(6,OrderSnow,0),"")</f>
        <v/>
      </c>
      <c r="EM23">
        <f>IF(EL23="",0,IFERROR(IF(N(CHOOSE(EL23,CL23,CP23,CT23,CX23,DB23,DF23,DJ23,DN23))&lt;=0.005,0,MAX(0,N(CHOOSE(EL23,CL23,CP23,CT23,CX23,DB23,DF23,DJ23,DN23))+N(CHOOSE(EL23,CM23,CQ23,CU23,CY23,DC23,DG23,DK23,DO23))-MIN(N(CHOOSE(EL23,'Debt List'!$F$5,'Debt List'!$F$6,'Debt List'!$F$7,'Debt List'!$F$8,'Debt List'!$F$9,'Debt List'!$F$10,'Debt List'!$F$11,'Debt List'!$F$12)),N(CHOOSE(EL23,CL23,CP23,CT23,CX23,DB23,DF23,DJ23,DN23))+N(CHOOSE(EL23,CM23,CQ23,CU23,CY23,DC23,DG23,DK23,DO23))))),0))</f>
        <v/>
      </c>
      <c r="EN23">
        <f>MIN(N(EM23),MAX(0,N(EK23)))</f>
        <v/>
      </c>
      <c r="EO23">
        <f>MAX(0,N(EK23)-N(EN23))</f>
        <v/>
      </c>
      <c r="EP23">
        <f>IFERROR(MATCH(7,OrderSnow,0),"")</f>
        <v/>
      </c>
      <c r="EQ23">
        <f>IF(EP23="",0,IFERROR(IF(N(CHOOSE(EP23,CL23,CP23,CT23,CX23,DB23,DF23,DJ23,DN23))&lt;=0.005,0,MAX(0,N(CHOOSE(EP23,CL23,CP23,CT23,CX23,DB23,DF23,DJ23,DN23))+N(CHOOSE(EP23,CM23,CQ23,CU23,CY23,DC23,DG23,DK23,DO23))-MIN(N(CHOOSE(EP23,'Debt List'!$F$5,'Debt List'!$F$6,'Debt List'!$F$7,'Debt List'!$F$8,'Debt List'!$F$9,'Debt List'!$F$10,'Debt List'!$F$11,'Debt List'!$F$12)),N(CHOOSE(EP23,CL23,CP23,CT23,CX23,DB23,DF23,DJ23,DN23))+N(CHOOSE(EP23,CM23,CQ23,CU23,CY23,DC23,DG23,DK23,DO23))))),0))</f>
        <v/>
      </c>
      <c r="ER23">
        <f>MIN(N(EQ23),MAX(0,N(EO23)))</f>
        <v/>
      </c>
      <c r="ES23">
        <f>MAX(0,N(EO23)-N(ER23))</f>
        <v/>
      </c>
      <c r="ET23">
        <f>IFERROR(MATCH(8,OrderSnow,0),"")</f>
        <v/>
      </c>
      <c r="EU23">
        <f>IF(ET23="",0,IFERROR(IF(N(CHOOSE(ET23,CL23,CP23,CT23,CX23,DB23,DF23,DJ23,DN23))&lt;=0.005,0,MAX(0,N(CHOOSE(ET23,CL23,CP23,CT23,CX23,DB23,DF23,DJ23,DN23))+N(CHOOSE(ET23,CM23,CQ23,CU23,CY23,DC23,DG23,DK23,DO23))-MIN(N(CHOOSE(ET23,'Debt List'!$F$5,'Debt List'!$F$6,'Debt List'!$F$7,'Debt List'!$F$8,'Debt List'!$F$9,'Debt List'!$F$10,'Debt List'!$F$11,'Debt List'!$F$12)),N(CHOOSE(ET23,CL23,CP23,CT23,CX23,DB23,DF23,DJ23,DN23))+N(CHOOSE(ET23,CM23,CQ23,CU23,CY23,DC23,DG23,DK23,DO23))))),0))</f>
        <v/>
      </c>
      <c r="EV23">
        <f>MIN(N(EU23),MAX(0,N(ES23)))</f>
        <v/>
      </c>
      <c r="EW23">
        <f>MAX(0,N(ES23)-N(EV23))</f>
        <v/>
      </c>
      <c r="FE23" t="n">
        <v>19</v>
      </c>
      <c r="FF23" s="115">
        <f>DATE(YEAR(PlanStart),MONTH(PlanStart)+FE23-1,1)</f>
        <v/>
      </c>
      <c r="FG23">
        <f>IF(AND(GT23&lt;&gt;"",N(CHOOSE(GT23,FN23,FR23,FV23,FZ23,GD23,GH23,GL23,GP23))&gt;0.005),INDEX(DebtNames,GT23),IF(AND(GX23&lt;&gt;"",N(CHOOSE(GX23,FN23,FR23,FV23,FZ23,GD23,GH23,GL23,GP23))&gt;0.005),INDEX(DebtNames,GX23),IF(AND(HB23&lt;&gt;"",N(CHOOSE(HB23,FN23,FR23,FV23,FZ23,GD23,GH23,GL23,GP23))&gt;0.005),INDEX(DebtNames,HB23),IF(AND(HF23&lt;&gt;"",N(CHOOSE(HF23,FN23,FR23,FV23,FZ23,GD23,GH23,GL23,GP23))&gt;0.005),INDEX(DebtNames,HF23),IF(AND(HJ23&lt;&gt;"",N(CHOOSE(HJ23,FN23,FR23,FV23,FZ23,GD23,GH23,GL23,GP23))&gt;0.005),INDEX(DebtNames,HJ23),IF(AND(HN23&lt;&gt;"",N(CHOOSE(HN23,FN23,FR23,FV23,FZ23,GD23,GH23,GL23,GP23))&gt;0.005),INDEX(DebtNames,HN23),IF(AND(HR23&lt;&gt;"",N(CHOOSE(HR23,FN23,FR23,FV23,FZ23,GD23,GH23,GL23,GP23))&gt;0.005),INDEX(DebtNames,HR23),IF(AND(HV23&lt;&gt;"",N(CHOOSE(HV23,FN23,FR23,FV23,FZ23,GD23,GH23,GL23,GP23))&gt;0.005),INDEX(DebtNames,HV23),""))))))))</f>
        <v/>
      </c>
      <c r="FH23">
        <f>N(HY23)</f>
        <v/>
      </c>
      <c r="FI23">
        <f>N(FP23)+N(FT23)+N(FX23)+N(GB23)+N(GF23)+N(GJ23)+N(GN23)+N(GR23)</f>
        <v/>
      </c>
      <c r="FJ23">
        <f>N(FO23)+N(FS23)+N(FW23)+N(GA23)+N(GE23)+N(GI23)+N(GM23)+N(GQ23)</f>
        <v/>
      </c>
      <c r="FK23">
        <f>N(FK22)+N(FJ23)</f>
        <v/>
      </c>
      <c r="FL23">
        <f>N(FQ23)+N(FU23)+N(FY23)+N(GC23)+N(GG23)+N(GK23)+N(GO23)+N(GS23)</f>
        <v/>
      </c>
      <c r="FM23">
        <f>(FQ23&gt;0.005)*1+(FU23&gt;0.005)*1+(FY23&gt;0.005)*1+(GC23&gt;0.005)*1+(GG23&gt;0.005)*1+(GK23&gt;0.005)*1+(GO23&gt;0.005)*1+(GS23&gt;0.005)*1</f>
        <v/>
      </c>
      <c r="FN23">
        <f>N(FQ22)</f>
        <v/>
      </c>
      <c r="FO23">
        <f>IF(N(FN23)&lt;=0.005,0,ROUND(N(FN23)*N('Debt List'!E5)/12,2))</f>
        <v/>
      </c>
      <c r="FP23">
        <f>IF(N(FN23)&lt;=0.005,0,MIN(N('Debt List'!F5),N(FN23)+N(FO23)))+((GT23=1)*GV23+(GX23=1)*GZ23+(HB23=1)*HD23+(HF23=1)*HH23+(HJ23=1)*HL23+(HN23=1)*HP23+(HR23=1)*HT23+(HV23=1)*HX23)</f>
        <v/>
      </c>
      <c r="FQ23">
        <f>MAX(0,ROUND(N(FN23)+N(FO23)-N(FP23),2))</f>
        <v/>
      </c>
      <c r="FR23">
        <f>N(FU22)</f>
        <v/>
      </c>
      <c r="FS23">
        <f>IF(N(FR23)&lt;=0.005,0,ROUND(N(FR23)*N('Debt List'!E6)/12,2))</f>
        <v/>
      </c>
      <c r="FT23">
        <f>IF(N(FR23)&lt;=0.005,0,MIN(N('Debt List'!F6),N(FR23)+N(FS23)))+((GT23=2)*GV23+(GX23=2)*GZ23+(HB23=2)*HD23+(HF23=2)*HH23+(HJ23=2)*HL23+(HN23=2)*HP23+(HR23=2)*HT23+(HV23=2)*HX23)</f>
        <v/>
      </c>
      <c r="FU23">
        <f>MAX(0,ROUND(N(FR23)+N(FS23)-N(FT23),2))</f>
        <v/>
      </c>
      <c r="FV23">
        <f>N(FY22)</f>
        <v/>
      </c>
      <c r="FW23">
        <f>IF(N(FV23)&lt;=0.005,0,ROUND(N(FV23)*N('Debt List'!E7)/12,2))</f>
        <v/>
      </c>
      <c r="FX23">
        <f>IF(N(FV23)&lt;=0.005,0,MIN(N('Debt List'!F7),N(FV23)+N(FW23)))+((GT23=3)*GV23+(GX23=3)*GZ23+(HB23=3)*HD23+(HF23=3)*HH23+(HJ23=3)*HL23+(HN23=3)*HP23+(HR23=3)*HT23+(HV23=3)*HX23)</f>
        <v/>
      </c>
      <c r="FY23">
        <f>MAX(0,ROUND(N(FV23)+N(FW23)-N(FX23),2))</f>
        <v/>
      </c>
      <c r="FZ23">
        <f>N(GC22)</f>
        <v/>
      </c>
      <c r="GA23">
        <f>IF(N(FZ23)&lt;=0.005,0,ROUND(N(FZ23)*N('Debt List'!E8)/12,2))</f>
        <v/>
      </c>
      <c r="GB23">
        <f>IF(N(FZ23)&lt;=0.005,0,MIN(N('Debt List'!F8),N(FZ23)+N(GA23)))+((GT23=4)*GV23+(GX23=4)*GZ23+(HB23=4)*HD23+(HF23=4)*HH23+(HJ23=4)*HL23+(HN23=4)*HP23+(HR23=4)*HT23+(HV23=4)*HX23)</f>
        <v/>
      </c>
      <c r="GC23">
        <f>MAX(0,ROUND(N(FZ23)+N(GA23)-N(GB23),2))</f>
        <v/>
      </c>
      <c r="GD23">
        <f>N(GG22)</f>
        <v/>
      </c>
      <c r="GE23">
        <f>IF(N(GD23)&lt;=0.005,0,ROUND(N(GD23)*N('Debt List'!E9)/12,2))</f>
        <v/>
      </c>
      <c r="GF23">
        <f>IF(N(GD23)&lt;=0.005,0,MIN(N('Debt List'!F9),N(GD23)+N(GE23)))+((GT23=5)*GV23+(GX23=5)*GZ23+(HB23=5)*HD23+(HF23=5)*HH23+(HJ23=5)*HL23+(HN23=5)*HP23+(HR23=5)*HT23+(HV23=5)*HX23)</f>
        <v/>
      </c>
      <c r="GG23">
        <f>MAX(0,ROUND(N(GD23)+N(GE23)-N(GF23),2))</f>
        <v/>
      </c>
      <c r="GH23">
        <f>N(GK22)</f>
        <v/>
      </c>
      <c r="GI23">
        <f>IF(N(GH23)&lt;=0.005,0,ROUND(N(GH23)*N('Debt List'!E10)/12,2))</f>
        <v/>
      </c>
      <c r="GJ23">
        <f>IF(N(GH23)&lt;=0.005,0,MIN(N('Debt List'!F10),N(GH23)+N(GI23)))+((GT23=6)*GV23+(GX23=6)*GZ23+(HB23=6)*HD23+(HF23=6)*HH23+(HJ23=6)*HL23+(HN23=6)*HP23+(HR23=6)*HT23+(HV23=6)*HX23)</f>
        <v/>
      </c>
      <c r="GK23">
        <f>MAX(0,ROUND(N(GH23)+N(GI23)-N(GJ23),2))</f>
        <v/>
      </c>
      <c r="GL23">
        <f>N(GO22)</f>
        <v/>
      </c>
      <c r="GM23">
        <f>IF(N(GL23)&lt;=0.005,0,ROUND(N(GL23)*N('Debt List'!E11)/12,2))</f>
        <v/>
      </c>
      <c r="GN23">
        <f>IF(N(GL23)&lt;=0.005,0,MIN(N('Debt List'!F11),N(GL23)+N(GM23)))+((GT23=7)*GV23+(GX23=7)*GZ23+(HB23=7)*HD23+(HF23=7)*HH23+(HJ23=7)*HL23+(HN23=7)*HP23+(HR23=7)*HT23+(HV23=7)*HX23)</f>
        <v/>
      </c>
      <c r="GO23">
        <f>MAX(0,ROUND(N(GL23)+N(GM23)-N(GN23),2))</f>
        <v/>
      </c>
      <c r="GP23">
        <f>N(GS22)</f>
        <v/>
      </c>
      <c r="GQ23">
        <f>IF(N(GP23)&lt;=0.005,0,ROUND(N(GP23)*N('Debt List'!E12)/12,2))</f>
        <v/>
      </c>
      <c r="GR23">
        <f>IF(N(GP23)&lt;=0.005,0,MIN(N('Debt List'!F12),N(GP23)+N(GQ23)))+((GT23=8)*GV23+(GX23=8)*GZ23+(HB23=8)*HD23+(HF23=8)*HH23+(HJ23=8)*HL23+(HN23=8)*HP23+(HR23=8)*HT23+(HV23=8)*HX23)</f>
        <v/>
      </c>
      <c r="GS23">
        <f>MAX(0,ROUND(N(GP23)+N(GQ23)-N(GR23),2))</f>
        <v/>
      </c>
      <c r="GT23">
        <f>IFERROR(MATCH(1,OrderAval,0),"")</f>
        <v/>
      </c>
      <c r="GU23">
        <f>IF(GT23="",0,IFERROR(IF(N(CHOOSE(GT23,FN23,FR23,FV23,FZ23,GD23,GH23,GL23,GP23))&lt;=0.005,0,MAX(0,N(CHOOSE(GT23,FN23,FR23,FV23,FZ23,GD23,GH23,GL23,GP23))+N(CHOOSE(GT23,FO23,FS23,FW23,GA23,GE23,GI23,GM23,GQ23))-MIN(N(CHOOSE(GT23,'Debt List'!$F$5,'Debt List'!$F$6,'Debt List'!$F$7,'Debt List'!$F$8,'Debt List'!$F$9,'Debt List'!$F$10,'Debt List'!$F$11,'Debt List'!$F$12)),N(CHOOSE(GT23,FN23,FR23,FV23,FZ23,GD23,GH23,GL23,GP23))+N(CHOOSE(GT23,FO23,FS23,FW23,GA23,GE23,GI23,GM23,GQ23))))),0))</f>
        <v/>
      </c>
      <c r="GV23">
        <f>MIN(N(GU23),MAX(0,N(ExtraPayment)))</f>
        <v/>
      </c>
      <c r="GW23">
        <f>MAX(0,N(ExtraPayment)-N(GV23))</f>
        <v/>
      </c>
      <c r="GX23">
        <f>IFERROR(MATCH(2,OrderAval,0),"")</f>
        <v/>
      </c>
      <c r="GY23">
        <f>IF(GX23="",0,IFERROR(IF(N(CHOOSE(GX23,FN23,FR23,FV23,FZ23,GD23,GH23,GL23,GP23))&lt;=0.005,0,MAX(0,N(CHOOSE(GX23,FN23,FR23,FV23,FZ23,GD23,GH23,GL23,GP23))+N(CHOOSE(GX23,FO23,FS23,FW23,GA23,GE23,GI23,GM23,GQ23))-MIN(N(CHOOSE(GX23,'Debt List'!$F$5,'Debt List'!$F$6,'Debt List'!$F$7,'Debt List'!$F$8,'Debt List'!$F$9,'Debt List'!$F$10,'Debt List'!$F$11,'Debt List'!$F$12)),N(CHOOSE(GX23,FN23,FR23,FV23,FZ23,GD23,GH23,GL23,GP23))+N(CHOOSE(GX23,FO23,FS23,FW23,GA23,GE23,GI23,GM23,GQ23))))),0))</f>
        <v/>
      </c>
      <c r="GZ23">
        <f>MIN(N(GY23),MAX(0,N(GW23)))</f>
        <v/>
      </c>
      <c r="HA23">
        <f>MAX(0,N(GW23)-N(GZ23))</f>
        <v/>
      </c>
      <c r="HB23">
        <f>IFERROR(MATCH(3,OrderAval,0),"")</f>
        <v/>
      </c>
      <c r="HC23">
        <f>IF(HB23="",0,IFERROR(IF(N(CHOOSE(HB23,FN23,FR23,FV23,FZ23,GD23,GH23,GL23,GP23))&lt;=0.005,0,MAX(0,N(CHOOSE(HB23,FN23,FR23,FV23,FZ23,GD23,GH23,GL23,GP23))+N(CHOOSE(HB23,FO23,FS23,FW23,GA23,GE23,GI23,GM23,GQ23))-MIN(N(CHOOSE(HB23,'Debt List'!$F$5,'Debt List'!$F$6,'Debt List'!$F$7,'Debt List'!$F$8,'Debt List'!$F$9,'Debt List'!$F$10,'Debt List'!$F$11,'Debt List'!$F$12)),N(CHOOSE(HB23,FN23,FR23,FV23,FZ23,GD23,GH23,GL23,GP23))+N(CHOOSE(HB23,FO23,FS23,FW23,GA23,GE23,GI23,GM23,GQ23))))),0))</f>
        <v/>
      </c>
      <c r="HD23">
        <f>MIN(N(HC23),MAX(0,N(HA23)))</f>
        <v/>
      </c>
      <c r="HE23">
        <f>MAX(0,N(HA23)-N(HD23))</f>
        <v/>
      </c>
      <c r="HF23">
        <f>IFERROR(MATCH(4,OrderAval,0),"")</f>
        <v/>
      </c>
      <c r="HG23">
        <f>IF(HF23="",0,IFERROR(IF(N(CHOOSE(HF23,FN23,FR23,FV23,FZ23,GD23,GH23,GL23,GP23))&lt;=0.005,0,MAX(0,N(CHOOSE(HF23,FN23,FR23,FV23,FZ23,GD23,GH23,GL23,GP23))+N(CHOOSE(HF23,FO23,FS23,FW23,GA23,GE23,GI23,GM23,GQ23))-MIN(N(CHOOSE(HF23,'Debt List'!$F$5,'Debt List'!$F$6,'Debt List'!$F$7,'Debt List'!$F$8,'Debt List'!$F$9,'Debt List'!$F$10,'Debt List'!$F$11,'Debt List'!$F$12)),N(CHOOSE(HF23,FN23,FR23,FV23,FZ23,GD23,GH23,GL23,GP23))+N(CHOOSE(HF23,FO23,FS23,FW23,GA23,GE23,GI23,GM23,GQ23))))),0))</f>
        <v/>
      </c>
      <c r="HH23">
        <f>MIN(N(HG23),MAX(0,N(HE23)))</f>
        <v/>
      </c>
      <c r="HI23">
        <f>MAX(0,N(HE23)-N(HH23))</f>
        <v/>
      </c>
      <c r="HJ23">
        <f>IFERROR(MATCH(5,OrderAval,0),"")</f>
        <v/>
      </c>
      <c r="HK23">
        <f>IF(HJ23="",0,IFERROR(IF(N(CHOOSE(HJ23,FN23,FR23,FV23,FZ23,GD23,GH23,GL23,GP23))&lt;=0.005,0,MAX(0,N(CHOOSE(HJ23,FN23,FR23,FV23,FZ23,GD23,GH23,GL23,GP23))+N(CHOOSE(HJ23,FO23,FS23,FW23,GA23,GE23,GI23,GM23,GQ23))-MIN(N(CHOOSE(HJ23,'Debt List'!$F$5,'Debt List'!$F$6,'Debt List'!$F$7,'Debt List'!$F$8,'Debt List'!$F$9,'Debt List'!$F$10,'Debt List'!$F$11,'Debt List'!$F$12)),N(CHOOSE(HJ23,FN23,FR23,FV23,FZ23,GD23,GH23,GL23,GP23))+N(CHOOSE(HJ23,FO23,FS23,FW23,GA23,GE23,GI23,GM23,GQ23))))),0))</f>
        <v/>
      </c>
      <c r="HL23">
        <f>MIN(N(HK23),MAX(0,N(HI23)))</f>
        <v/>
      </c>
      <c r="HM23">
        <f>MAX(0,N(HI23)-N(HL23))</f>
        <v/>
      </c>
      <c r="HN23">
        <f>IFERROR(MATCH(6,OrderAval,0),"")</f>
        <v/>
      </c>
      <c r="HO23">
        <f>IF(HN23="",0,IFERROR(IF(N(CHOOSE(HN23,FN23,FR23,FV23,FZ23,GD23,GH23,GL23,GP23))&lt;=0.005,0,MAX(0,N(CHOOSE(HN23,FN23,FR23,FV23,FZ23,GD23,GH23,GL23,GP23))+N(CHOOSE(HN23,FO23,FS23,FW23,GA23,GE23,GI23,GM23,GQ23))-MIN(N(CHOOSE(HN23,'Debt List'!$F$5,'Debt List'!$F$6,'Debt List'!$F$7,'Debt List'!$F$8,'Debt List'!$F$9,'Debt List'!$F$10,'Debt List'!$F$11,'Debt List'!$F$12)),N(CHOOSE(HN23,FN23,FR23,FV23,FZ23,GD23,GH23,GL23,GP23))+N(CHOOSE(HN23,FO23,FS23,FW23,GA23,GE23,GI23,GM23,GQ23))))),0))</f>
        <v/>
      </c>
      <c r="HP23">
        <f>MIN(N(HO23),MAX(0,N(HM23)))</f>
        <v/>
      </c>
      <c r="HQ23">
        <f>MAX(0,N(HM23)-N(HP23))</f>
        <v/>
      </c>
      <c r="HR23">
        <f>IFERROR(MATCH(7,OrderAval,0),"")</f>
        <v/>
      </c>
      <c r="HS23">
        <f>IF(HR23="",0,IFERROR(IF(N(CHOOSE(HR23,FN23,FR23,FV23,FZ23,GD23,GH23,GL23,GP23))&lt;=0.005,0,MAX(0,N(CHOOSE(HR23,FN23,FR23,FV23,FZ23,GD23,GH23,GL23,GP23))+N(CHOOSE(HR23,FO23,FS23,FW23,GA23,GE23,GI23,GM23,GQ23))-MIN(N(CHOOSE(HR23,'Debt List'!$F$5,'Debt List'!$F$6,'Debt List'!$F$7,'Debt List'!$F$8,'Debt List'!$F$9,'Debt List'!$F$10,'Debt List'!$F$11,'Debt List'!$F$12)),N(CHOOSE(HR23,FN23,FR23,FV23,FZ23,GD23,GH23,GL23,GP23))+N(CHOOSE(HR23,FO23,FS23,FW23,GA23,GE23,GI23,GM23,GQ23))))),0))</f>
        <v/>
      </c>
      <c r="HT23">
        <f>MIN(N(HS23),MAX(0,N(HQ23)))</f>
        <v/>
      </c>
      <c r="HU23">
        <f>MAX(0,N(HQ23)-N(HT23))</f>
        <v/>
      </c>
      <c r="HV23">
        <f>IFERROR(MATCH(8,OrderAval,0),"")</f>
        <v/>
      </c>
      <c r="HW23">
        <f>IF(HV23="",0,IFERROR(IF(N(CHOOSE(HV23,FN23,FR23,FV23,FZ23,GD23,GH23,GL23,GP23))&lt;=0.005,0,MAX(0,N(CHOOSE(HV23,FN23,FR23,FV23,FZ23,GD23,GH23,GL23,GP23))+N(CHOOSE(HV23,FO23,FS23,FW23,GA23,GE23,GI23,GM23,GQ23))-MIN(N(CHOOSE(HV23,'Debt List'!$F$5,'Debt List'!$F$6,'Debt List'!$F$7,'Debt List'!$F$8,'Debt List'!$F$9,'Debt List'!$F$10,'Debt List'!$F$11,'Debt List'!$F$12)),N(CHOOSE(HV23,FN23,FR23,FV23,FZ23,GD23,GH23,GL23,GP23))+N(CHOOSE(HV23,FO23,FS23,FW23,GA23,GE23,GI23,GM23,GQ23))))),0))</f>
        <v/>
      </c>
      <c r="HX23">
        <f>MIN(N(HW23),MAX(0,N(HU23)))</f>
        <v/>
      </c>
      <c r="HY23">
        <f>MAX(0,N(HU23)-N(HX23))</f>
        <v/>
      </c>
    </row>
    <row r="24">
      <c r="A24" t="n">
        <v>20</v>
      </c>
      <c r="B24" s="115">
        <f>DATE(YEAR(PlanStart),MONTH(PlanStart)+A24-1,1)</f>
        <v/>
      </c>
      <c r="C24">
        <f>IF(AND(AP24&lt;&gt;"",N(CHOOSE(AP24,J24,N24,R24,V24,Z24,AD24,AH24,AL24))&gt;0.005),INDEX(DebtNames,AP24),IF(AND(AT24&lt;&gt;"",N(CHOOSE(AT24,J24,N24,R24,V24,Z24,AD24,AH24,AL24))&gt;0.005),INDEX(DebtNames,AT24),IF(AND(AX24&lt;&gt;"",N(CHOOSE(AX24,J24,N24,R24,V24,Z24,AD24,AH24,AL24))&gt;0.005),INDEX(DebtNames,AX24),IF(AND(BB24&lt;&gt;"",N(CHOOSE(BB24,J24,N24,R24,V24,Z24,AD24,AH24,AL24))&gt;0.005),INDEX(DebtNames,BB24),IF(AND(BF24&lt;&gt;"",N(CHOOSE(BF24,J24,N24,R24,V24,Z24,AD24,AH24,AL24))&gt;0.005),INDEX(DebtNames,BF24),IF(AND(BJ24&lt;&gt;"",N(CHOOSE(BJ24,J24,N24,R24,V24,Z24,AD24,AH24,AL24))&gt;0.005),INDEX(DebtNames,BJ24),IF(AND(BN24&lt;&gt;"",N(CHOOSE(BN24,J24,N24,R24,V24,Z24,AD24,AH24,AL24))&gt;0.005),INDEX(DebtNames,BN24),IF(AND(BR24&lt;&gt;"",N(CHOOSE(BR24,J24,N24,R24,V24,Z24,AD24,AH24,AL24))&gt;0.005),INDEX(DebtNames,BR24),""))))))))</f>
        <v/>
      </c>
      <c r="D24">
        <f>N(BU24)</f>
        <v/>
      </c>
      <c r="E24">
        <f>N(L24)+N(P24)+N(T24)+N(X24)+N(AB24)+N(AF24)+N(AJ24)+N(AN24)</f>
        <v/>
      </c>
      <c r="F24">
        <f>N(K24)+N(O24)+N(S24)+N(W24)+N(AA24)+N(AE24)+N(AI24)+N(AM24)</f>
        <v/>
      </c>
      <c r="G24">
        <f>N(G23)+N(F24)</f>
        <v/>
      </c>
      <c r="H24">
        <f>N(M24)+N(Q24)+N(U24)+N(Y24)+N(AC24)+N(AG24)+N(AK24)+N(AO24)</f>
        <v/>
      </c>
      <c r="I24">
        <f>(M24&gt;0.005)*1+(Q24&gt;0.005)*1+(U24&gt;0.005)*1+(Y24&gt;0.005)*1+(AC24&gt;0.005)*1+(AG24&gt;0.005)*1+(AK24&gt;0.005)*1+(AO24&gt;0.005)*1</f>
        <v/>
      </c>
      <c r="J24">
        <f>N(M23)</f>
        <v/>
      </c>
      <c r="K24">
        <f>IF(N(J24)&lt;=0.005,0,ROUND(N(J24)*N('Debt List'!E5)/12,2))</f>
        <v/>
      </c>
      <c r="L24">
        <f>IF(N(J24)&lt;=0.005,0,MIN(N('Debt List'!F5),N(J24)+N(K24)))+((AP24=1)*AR24+(AT24=1)*AV24+(AX24=1)*AZ24+(BB24=1)*BD24+(BF24=1)*BH24+(BJ24=1)*BL24+(BN24=1)*BP24+(BR24=1)*BT24)</f>
        <v/>
      </c>
      <c r="M24">
        <f>MAX(0,ROUND(N(J24)+N(K24)-N(L24),2))</f>
        <v/>
      </c>
      <c r="N24">
        <f>N(Q23)</f>
        <v/>
      </c>
      <c r="O24">
        <f>IF(N(N24)&lt;=0.005,0,ROUND(N(N24)*N('Debt List'!E6)/12,2))</f>
        <v/>
      </c>
      <c r="P24">
        <f>IF(N(N24)&lt;=0.005,0,MIN(N('Debt List'!F6),N(N24)+N(O24)))+((AP24=2)*AR24+(AT24=2)*AV24+(AX24=2)*AZ24+(BB24=2)*BD24+(BF24=2)*BH24+(BJ24=2)*BL24+(BN24=2)*BP24+(BR24=2)*BT24)</f>
        <v/>
      </c>
      <c r="Q24">
        <f>MAX(0,ROUND(N(N24)+N(O24)-N(P24),2))</f>
        <v/>
      </c>
      <c r="R24">
        <f>N(U23)</f>
        <v/>
      </c>
      <c r="S24">
        <f>IF(N(R24)&lt;=0.005,0,ROUND(N(R24)*N('Debt List'!E7)/12,2))</f>
        <v/>
      </c>
      <c r="T24">
        <f>IF(N(R24)&lt;=0.005,0,MIN(N('Debt List'!F7),N(R24)+N(S24)))+((AP24=3)*AR24+(AT24=3)*AV24+(AX24=3)*AZ24+(BB24=3)*BD24+(BF24=3)*BH24+(BJ24=3)*BL24+(BN24=3)*BP24+(BR24=3)*BT24)</f>
        <v/>
      </c>
      <c r="U24">
        <f>MAX(0,ROUND(N(R24)+N(S24)-N(T24),2))</f>
        <v/>
      </c>
      <c r="V24">
        <f>N(Y23)</f>
        <v/>
      </c>
      <c r="W24">
        <f>IF(N(V24)&lt;=0.005,0,ROUND(N(V24)*N('Debt List'!E8)/12,2))</f>
        <v/>
      </c>
      <c r="X24">
        <f>IF(N(V24)&lt;=0.005,0,MIN(N('Debt List'!F8),N(V24)+N(W24)))+((AP24=4)*AR24+(AT24=4)*AV24+(AX24=4)*AZ24+(BB24=4)*BD24+(BF24=4)*BH24+(BJ24=4)*BL24+(BN24=4)*BP24+(BR24=4)*BT24)</f>
        <v/>
      </c>
      <c r="Y24">
        <f>MAX(0,ROUND(N(V24)+N(W24)-N(X24),2))</f>
        <v/>
      </c>
      <c r="Z24">
        <f>N(AC23)</f>
        <v/>
      </c>
      <c r="AA24">
        <f>IF(N(Z24)&lt;=0.005,0,ROUND(N(Z24)*N('Debt List'!E9)/12,2))</f>
        <v/>
      </c>
      <c r="AB24">
        <f>IF(N(Z24)&lt;=0.005,0,MIN(N('Debt List'!F9),N(Z24)+N(AA24)))+((AP24=5)*AR24+(AT24=5)*AV24+(AX24=5)*AZ24+(BB24=5)*BD24+(BF24=5)*BH24+(BJ24=5)*BL24+(BN24=5)*BP24+(BR24=5)*BT24)</f>
        <v/>
      </c>
      <c r="AC24">
        <f>MAX(0,ROUND(N(Z24)+N(AA24)-N(AB24),2))</f>
        <v/>
      </c>
      <c r="AD24">
        <f>N(AG23)</f>
        <v/>
      </c>
      <c r="AE24">
        <f>IF(N(AD24)&lt;=0.005,0,ROUND(N(AD24)*N('Debt List'!E10)/12,2))</f>
        <v/>
      </c>
      <c r="AF24">
        <f>IF(N(AD24)&lt;=0.005,0,MIN(N('Debt List'!F10),N(AD24)+N(AE24)))+((AP24=6)*AR24+(AT24=6)*AV24+(AX24=6)*AZ24+(BB24=6)*BD24+(BF24=6)*BH24+(BJ24=6)*BL24+(BN24=6)*BP24+(BR24=6)*BT24)</f>
        <v/>
      </c>
      <c r="AG24">
        <f>MAX(0,ROUND(N(AD24)+N(AE24)-N(AF24),2))</f>
        <v/>
      </c>
      <c r="AH24">
        <f>N(AK23)</f>
        <v/>
      </c>
      <c r="AI24">
        <f>IF(N(AH24)&lt;=0.005,0,ROUND(N(AH24)*N('Debt List'!E11)/12,2))</f>
        <v/>
      </c>
      <c r="AJ24">
        <f>IF(N(AH24)&lt;=0.005,0,MIN(N('Debt List'!F11),N(AH24)+N(AI24)))+((AP24=7)*AR24+(AT24=7)*AV24+(AX24=7)*AZ24+(BB24=7)*BD24+(BF24=7)*BH24+(BJ24=7)*BL24+(BN24=7)*BP24+(BR24=7)*BT24)</f>
        <v/>
      </c>
      <c r="AK24">
        <f>MAX(0,ROUND(N(AH24)+N(AI24)-N(AJ24),2))</f>
        <v/>
      </c>
      <c r="AL24">
        <f>N(AO23)</f>
        <v/>
      </c>
      <c r="AM24">
        <f>IF(N(AL24)&lt;=0.005,0,ROUND(N(AL24)*N('Debt List'!E12)/12,2))</f>
        <v/>
      </c>
      <c r="AN24">
        <f>IF(N(AL24)&lt;=0.005,0,MIN(N('Debt List'!F12),N(AL24)+N(AM24)))+((AP24=8)*AR24+(AT24=8)*AV24+(AX24=8)*AZ24+(BB24=8)*BD24+(BF24=8)*BH24+(BJ24=8)*BL24+(BN24=8)*BP24+(BR24=8)*BT24)</f>
        <v/>
      </c>
      <c r="AO24">
        <f>MAX(0,ROUND(N(AL24)+N(AM24)-N(AN24),2))</f>
        <v/>
      </c>
      <c r="AP24">
        <f>IFERROR(MATCH(1,OrderPlan,0),"")</f>
        <v/>
      </c>
      <c r="AQ24">
        <f>IF(AP24="",0,IFERROR(IF(N(CHOOSE(AP24,J24,N24,R24,V24,Z24,AD24,AH24,AL24))&lt;=0.005,0,MAX(0,N(CHOOSE(AP24,J24,N24,R24,V24,Z24,AD24,AH24,AL24))+N(CHOOSE(AP24,K24,O24,S24,W24,AA24,AE24,AI24,AM24))-MIN(N(CHOOSE(AP24,'Debt List'!$F$5,'Debt List'!$F$6,'Debt List'!$F$7,'Debt List'!$F$8,'Debt List'!$F$9,'Debt List'!$F$10,'Debt List'!$F$11,'Debt List'!$F$12)),N(CHOOSE(AP24,J24,N24,R24,V24,Z24,AD24,AH24,AL24))+N(CHOOSE(AP24,K24,O24,S24,W24,AA24,AE24,AI24,AM24))))),0))</f>
        <v/>
      </c>
      <c r="AR24">
        <f>MIN(N(AQ24),MAX(0,N(ExtraPayment)))</f>
        <v/>
      </c>
      <c r="AS24">
        <f>MAX(0,N(ExtraPayment)-N(AR24))</f>
        <v/>
      </c>
      <c r="AT24">
        <f>IFERROR(MATCH(2,OrderPlan,0),"")</f>
        <v/>
      </c>
      <c r="AU24">
        <f>IF(AT24="",0,IFERROR(IF(N(CHOOSE(AT24,J24,N24,R24,V24,Z24,AD24,AH24,AL24))&lt;=0.005,0,MAX(0,N(CHOOSE(AT24,J24,N24,R24,V24,Z24,AD24,AH24,AL24))+N(CHOOSE(AT24,K24,O24,S24,W24,AA24,AE24,AI24,AM24))-MIN(N(CHOOSE(AT24,'Debt List'!$F$5,'Debt List'!$F$6,'Debt List'!$F$7,'Debt List'!$F$8,'Debt List'!$F$9,'Debt List'!$F$10,'Debt List'!$F$11,'Debt List'!$F$12)),N(CHOOSE(AT24,J24,N24,R24,V24,Z24,AD24,AH24,AL24))+N(CHOOSE(AT24,K24,O24,S24,W24,AA24,AE24,AI24,AM24))))),0))</f>
        <v/>
      </c>
      <c r="AV24">
        <f>MIN(N(AU24),MAX(0,N(AS24)))</f>
        <v/>
      </c>
      <c r="AW24">
        <f>MAX(0,N(AS24)-N(AV24))</f>
        <v/>
      </c>
      <c r="AX24">
        <f>IFERROR(MATCH(3,OrderPlan,0),"")</f>
        <v/>
      </c>
      <c r="AY24">
        <f>IF(AX24="",0,IFERROR(IF(N(CHOOSE(AX24,J24,N24,R24,V24,Z24,AD24,AH24,AL24))&lt;=0.005,0,MAX(0,N(CHOOSE(AX24,J24,N24,R24,V24,Z24,AD24,AH24,AL24))+N(CHOOSE(AX24,K24,O24,S24,W24,AA24,AE24,AI24,AM24))-MIN(N(CHOOSE(AX24,'Debt List'!$F$5,'Debt List'!$F$6,'Debt List'!$F$7,'Debt List'!$F$8,'Debt List'!$F$9,'Debt List'!$F$10,'Debt List'!$F$11,'Debt List'!$F$12)),N(CHOOSE(AX24,J24,N24,R24,V24,Z24,AD24,AH24,AL24))+N(CHOOSE(AX24,K24,O24,S24,W24,AA24,AE24,AI24,AM24))))),0))</f>
        <v/>
      </c>
      <c r="AZ24">
        <f>MIN(N(AY24),MAX(0,N(AW24)))</f>
        <v/>
      </c>
      <c r="BA24">
        <f>MAX(0,N(AW24)-N(AZ24))</f>
        <v/>
      </c>
      <c r="BB24">
        <f>IFERROR(MATCH(4,OrderPlan,0),"")</f>
        <v/>
      </c>
      <c r="BC24">
        <f>IF(BB24="",0,IFERROR(IF(N(CHOOSE(BB24,J24,N24,R24,V24,Z24,AD24,AH24,AL24))&lt;=0.005,0,MAX(0,N(CHOOSE(BB24,J24,N24,R24,V24,Z24,AD24,AH24,AL24))+N(CHOOSE(BB24,K24,O24,S24,W24,AA24,AE24,AI24,AM24))-MIN(N(CHOOSE(BB24,'Debt List'!$F$5,'Debt List'!$F$6,'Debt List'!$F$7,'Debt List'!$F$8,'Debt List'!$F$9,'Debt List'!$F$10,'Debt List'!$F$11,'Debt List'!$F$12)),N(CHOOSE(BB24,J24,N24,R24,V24,Z24,AD24,AH24,AL24))+N(CHOOSE(BB24,K24,O24,S24,W24,AA24,AE24,AI24,AM24))))),0))</f>
        <v/>
      </c>
      <c r="BD24">
        <f>MIN(N(BC24),MAX(0,N(BA24)))</f>
        <v/>
      </c>
      <c r="BE24">
        <f>MAX(0,N(BA24)-N(BD24))</f>
        <v/>
      </c>
      <c r="BF24">
        <f>IFERROR(MATCH(5,OrderPlan,0),"")</f>
        <v/>
      </c>
      <c r="BG24">
        <f>IF(BF24="",0,IFERROR(IF(N(CHOOSE(BF24,J24,N24,R24,V24,Z24,AD24,AH24,AL24))&lt;=0.005,0,MAX(0,N(CHOOSE(BF24,J24,N24,R24,V24,Z24,AD24,AH24,AL24))+N(CHOOSE(BF24,K24,O24,S24,W24,AA24,AE24,AI24,AM24))-MIN(N(CHOOSE(BF24,'Debt List'!$F$5,'Debt List'!$F$6,'Debt List'!$F$7,'Debt List'!$F$8,'Debt List'!$F$9,'Debt List'!$F$10,'Debt List'!$F$11,'Debt List'!$F$12)),N(CHOOSE(BF24,J24,N24,R24,V24,Z24,AD24,AH24,AL24))+N(CHOOSE(BF24,K24,O24,S24,W24,AA24,AE24,AI24,AM24))))),0))</f>
        <v/>
      </c>
      <c r="BH24">
        <f>MIN(N(BG24),MAX(0,N(BE24)))</f>
        <v/>
      </c>
      <c r="BI24">
        <f>MAX(0,N(BE24)-N(BH24))</f>
        <v/>
      </c>
      <c r="BJ24">
        <f>IFERROR(MATCH(6,OrderPlan,0),"")</f>
        <v/>
      </c>
      <c r="BK24">
        <f>IF(BJ24="",0,IFERROR(IF(N(CHOOSE(BJ24,J24,N24,R24,V24,Z24,AD24,AH24,AL24))&lt;=0.005,0,MAX(0,N(CHOOSE(BJ24,J24,N24,R24,V24,Z24,AD24,AH24,AL24))+N(CHOOSE(BJ24,K24,O24,S24,W24,AA24,AE24,AI24,AM24))-MIN(N(CHOOSE(BJ24,'Debt List'!$F$5,'Debt List'!$F$6,'Debt List'!$F$7,'Debt List'!$F$8,'Debt List'!$F$9,'Debt List'!$F$10,'Debt List'!$F$11,'Debt List'!$F$12)),N(CHOOSE(BJ24,J24,N24,R24,V24,Z24,AD24,AH24,AL24))+N(CHOOSE(BJ24,K24,O24,S24,W24,AA24,AE24,AI24,AM24))))),0))</f>
        <v/>
      </c>
      <c r="BL24">
        <f>MIN(N(BK24),MAX(0,N(BI24)))</f>
        <v/>
      </c>
      <c r="BM24">
        <f>MAX(0,N(BI24)-N(BL24))</f>
        <v/>
      </c>
      <c r="BN24">
        <f>IFERROR(MATCH(7,OrderPlan,0),"")</f>
        <v/>
      </c>
      <c r="BO24">
        <f>IF(BN24="",0,IFERROR(IF(N(CHOOSE(BN24,J24,N24,R24,V24,Z24,AD24,AH24,AL24))&lt;=0.005,0,MAX(0,N(CHOOSE(BN24,J24,N24,R24,V24,Z24,AD24,AH24,AL24))+N(CHOOSE(BN24,K24,O24,S24,W24,AA24,AE24,AI24,AM24))-MIN(N(CHOOSE(BN24,'Debt List'!$F$5,'Debt List'!$F$6,'Debt List'!$F$7,'Debt List'!$F$8,'Debt List'!$F$9,'Debt List'!$F$10,'Debt List'!$F$11,'Debt List'!$F$12)),N(CHOOSE(BN24,J24,N24,R24,V24,Z24,AD24,AH24,AL24))+N(CHOOSE(BN24,K24,O24,S24,W24,AA24,AE24,AI24,AM24))))),0))</f>
        <v/>
      </c>
      <c r="BP24">
        <f>MIN(N(BO24),MAX(0,N(BM24)))</f>
        <v/>
      </c>
      <c r="BQ24">
        <f>MAX(0,N(BM24)-N(BP24))</f>
        <v/>
      </c>
      <c r="BR24">
        <f>IFERROR(MATCH(8,OrderPlan,0),"")</f>
        <v/>
      </c>
      <c r="BS24">
        <f>IF(BR24="",0,IFERROR(IF(N(CHOOSE(BR24,J24,N24,R24,V24,Z24,AD24,AH24,AL24))&lt;=0.005,0,MAX(0,N(CHOOSE(BR24,J24,N24,R24,V24,Z24,AD24,AH24,AL24))+N(CHOOSE(BR24,K24,O24,S24,W24,AA24,AE24,AI24,AM24))-MIN(N(CHOOSE(BR24,'Debt List'!$F$5,'Debt List'!$F$6,'Debt List'!$F$7,'Debt List'!$F$8,'Debt List'!$F$9,'Debt List'!$F$10,'Debt List'!$F$11,'Debt List'!$F$12)),N(CHOOSE(BR24,J24,N24,R24,V24,Z24,AD24,AH24,AL24))+N(CHOOSE(BR24,K24,O24,S24,W24,AA24,AE24,AI24,AM24))))),0))</f>
        <v/>
      </c>
      <c r="BT24">
        <f>MIN(N(BS24),MAX(0,N(BQ24)))</f>
        <v/>
      </c>
      <c r="BU24">
        <f>MAX(0,N(BQ24)-N(BT24))</f>
        <v/>
      </c>
      <c r="CC24" t="n">
        <v>20</v>
      </c>
      <c r="CD24" s="115">
        <f>DATE(YEAR(PlanStart),MONTH(PlanStart)+CC24-1,1)</f>
        <v/>
      </c>
      <c r="CE24">
        <f>IF(AND(DR24&lt;&gt;"",N(CHOOSE(DR24,CL24,CP24,CT24,CX24,DB24,DF24,DJ24,DN24))&gt;0.005),INDEX(DebtNames,DR24),IF(AND(DV24&lt;&gt;"",N(CHOOSE(DV24,CL24,CP24,CT24,CX24,DB24,DF24,DJ24,DN24))&gt;0.005),INDEX(DebtNames,DV24),IF(AND(DZ24&lt;&gt;"",N(CHOOSE(DZ24,CL24,CP24,CT24,CX24,DB24,DF24,DJ24,DN24))&gt;0.005),INDEX(DebtNames,DZ24),IF(AND(ED24&lt;&gt;"",N(CHOOSE(ED24,CL24,CP24,CT24,CX24,DB24,DF24,DJ24,DN24))&gt;0.005),INDEX(DebtNames,ED24),IF(AND(EH24&lt;&gt;"",N(CHOOSE(EH24,CL24,CP24,CT24,CX24,DB24,DF24,DJ24,DN24))&gt;0.005),INDEX(DebtNames,EH24),IF(AND(EL24&lt;&gt;"",N(CHOOSE(EL24,CL24,CP24,CT24,CX24,DB24,DF24,DJ24,DN24))&gt;0.005),INDEX(DebtNames,EL24),IF(AND(EP24&lt;&gt;"",N(CHOOSE(EP24,CL24,CP24,CT24,CX24,DB24,DF24,DJ24,DN24))&gt;0.005),INDEX(DebtNames,EP24),IF(AND(ET24&lt;&gt;"",N(CHOOSE(ET24,CL24,CP24,CT24,CX24,DB24,DF24,DJ24,DN24))&gt;0.005),INDEX(DebtNames,ET24),""))))))))</f>
        <v/>
      </c>
      <c r="CF24">
        <f>N(EW24)</f>
        <v/>
      </c>
      <c r="CG24">
        <f>N(CN24)+N(CR24)+N(CV24)+N(CZ24)+N(DD24)+N(DH24)+N(DL24)+N(DP24)</f>
        <v/>
      </c>
      <c r="CH24">
        <f>N(CM24)+N(CQ24)+N(CU24)+N(CY24)+N(DC24)+N(DG24)+N(DK24)+N(DO24)</f>
        <v/>
      </c>
      <c r="CI24">
        <f>N(CI23)+N(CH24)</f>
        <v/>
      </c>
      <c r="CJ24">
        <f>N(CO24)+N(CS24)+N(CW24)+N(DA24)+N(DE24)+N(DI24)+N(DM24)+N(DQ24)</f>
        <v/>
      </c>
      <c r="CK24">
        <f>(CO24&gt;0.005)*1+(CS24&gt;0.005)*1+(CW24&gt;0.005)*1+(DA24&gt;0.005)*1+(DE24&gt;0.005)*1+(DI24&gt;0.005)*1+(DM24&gt;0.005)*1+(DQ24&gt;0.005)*1</f>
        <v/>
      </c>
      <c r="CL24">
        <f>N(CO23)</f>
        <v/>
      </c>
      <c r="CM24">
        <f>IF(N(CL24)&lt;=0.005,0,ROUND(N(CL24)*N('Debt List'!E5)/12,2))</f>
        <v/>
      </c>
      <c r="CN24">
        <f>IF(N(CL24)&lt;=0.005,0,MIN(N('Debt List'!F5),N(CL24)+N(CM24)))+((DR24=1)*DT24+(DV24=1)*DX24+(DZ24=1)*EB24+(ED24=1)*EF24+(EH24=1)*EJ24+(EL24=1)*EN24+(EP24=1)*ER24+(ET24=1)*EV24)</f>
        <v/>
      </c>
      <c r="CO24">
        <f>MAX(0,ROUND(N(CL24)+N(CM24)-N(CN24),2))</f>
        <v/>
      </c>
      <c r="CP24">
        <f>N(CS23)</f>
        <v/>
      </c>
      <c r="CQ24">
        <f>IF(N(CP24)&lt;=0.005,0,ROUND(N(CP24)*N('Debt List'!E6)/12,2))</f>
        <v/>
      </c>
      <c r="CR24">
        <f>IF(N(CP24)&lt;=0.005,0,MIN(N('Debt List'!F6),N(CP24)+N(CQ24)))+((DR24=2)*DT24+(DV24=2)*DX24+(DZ24=2)*EB24+(ED24=2)*EF24+(EH24=2)*EJ24+(EL24=2)*EN24+(EP24=2)*ER24+(ET24=2)*EV24)</f>
        <v/>
      </c>
      <c r="CS24">
        <f>MAX(0,ROUND(N(CP24)+N(CQ24)-N(CR24),2))</f>
        <v/>
      </c>
      <c r="CT24">
        <f>N(CW23)</f>
        <v/>
      </c>
      <c r="CU24">
        <f>IF(N(CT24)&lt;=0.005,0,ROUND(N(CT24)*N('Debt List'!E7)/12,2))</f>
        <v/>
      </c>
      <c r="CV24">
        <f>IF(N(CT24)&lt;=0.005,0,MIN(N('Debt List'!F7),N(CT24)+N(CU24)))+((DR24=3)*DT24+(DV24=3)*DX24+(DZ24=3)*EB24+(ED24=3)*EF24+(EH24=3)*EJ24+(EL24=3)*EN24+(EP24=3)*ER24+(ET24=3)*EV24)</f>
        <v/>
      </c>
      <c r="CW24">
        <f>MAX(0,ROUND(N(CT24)+N(CU24)-N(CV24),2))</f>
        <v/>
      </c>
      <c r="CX24">
        <f>N(DA23)</f>
        <v/>
      </c>
      <c r="CY24">
        <f>IF(N(CX24)&lt;=0.005,0,ROUND(N(CX24)*N('Debt List'!E8)/12,2))</f>
        <v/>
      </c>
      <c r="CZ24">
        <f>IF(N(CX24)&lt;=0.005,0,MIN(N('Debt List'!F8),N(CX24)+N(CY24)))+((DR24=4)*DT24+(DV24=4)*DX24+(DZ24=4)*EB24+(ED24=4)*EF24+(EH24=4)*EJ24+(EL24=4)*EN24+(EP24=4)*ER24+(ET24=4)*EV24)</f>
        <v/>
      </c>
      <c r="DA24">
        <f>MAX(0,ROUND(N(CX24)+N(CY24)-N(CZ24),2))</f>
        <v/>
      </c>
      <c r="DB24">
        <f>N(DE23)</f>
        <v/>
      </c>
      <c r="DC24">
        <f>IF(N(DB24)&lt;=0.005,0,ROUND(N(DB24)*N('Debt List'!E9)/12,2))</f>
        <v/>
      </c>
      <c r="DD24">
        <f>IF(N(DB24)&lt;=0.005,0,MIN(N('Debt List'!F9),N(DB24)+N(DC24)))+((DR24=5)*DT24+(DV24=5)*DX24+(DZ24=5)*EB24+(ED24=5)*EF24+(EH24=5)*EJ24+(EL24=5)*EN24+(EP24=5)*ER24+(ET24=5)*EV24)</f>
        <v/>
      </c>
      <c r="DE24">
        <f>MAX(0,ROUND(N(DB24)+N(DC24)-N(DD24),2))</f>
        <v/>
      </c>
      <c r="DF24">
        <f>N(DI23)</f>
        <v/>
      </c>
      <c r="DG24">
        <f>IF(N(DF24)&lt;=0.005,0,ROUND(N(DF24)*N('Debt List'!E10)/12,2))</f>
        <v/>
      </c>
      <c r="DH24">
        <f>IF(N(DF24)&lt;=0.005,0,MIN(N('Debt List'!F10),N(DF24)+N(DG24)))+((DR24=6)*DT24+(DV24=6)*DX24+(DZ24=6)*EB24+(ED24=6)*EF24+(EH24=6)*EJ24+(EL24=6)*EN24+(EP24=6)*ER24+(ET24=6)*EV24)</f>
        <v/>
      </c>
      <c r="DI24">
        <f>MAX(0,ROUND(N(DF24)+N(DG24)-N(DH24),2))</f>
        <v/>
      </c>
      <c r="DJ24">
        <f>N(DM23)</f>
        <v/>
      </c>
      <c r="DK24">
        <f>IF(N(DJ24)&lt;=0.005,0,ROUND(N(DJ24)*N('Debt List'!E11)/12,2))</f>
        <v/>
      </c>
      <c r="DL24">
        <f>IF(N(DJ24)&lt;=0.005,0,MIN(N('Debt List'!F11),N(DJ24)+N(DK24)))+((DR24=7)*DT24+(DV24=7)*DX24+(DZ24=7)*EB24+(ED24=7)*EF24+(EH24=7)*EJ24+(EL24=7)*EN24+(EP24=7)*ER24+(ET24=7)*EV24)</f>
        <v/>
      </c>
      <c r="DM24">
        <f>MAX(0,ROUND(N(DJ24)+N(DK24)-N(DL24),2))</f>
        <v/>
      </c>
      <c r="DN24">
        <f>N(DQ23)</f>
        <v/>
      </c>
      <c r="DO24">
        <f>IF(N(DN24)&lt;=0.005,0,ROUND(N(DN24)*N('Debt List'!E12)/12,2))</f>
        <v/>
      </c>
      <c r="DP24">
        <f>IF(N(DN24)&lt;=0.005,0,MIN(N('Debt List'!F12),N(DN24)+N(DO24)))+((DR24=8)*DT24+(DV24=8)*DX24+(DZ24=8)*EB24+(ED24=8)*EF24+(EH24=8)*EJ24+(EL24=8)*EN24+(EP24=8)*ER24+(ET24=8)*EV24)</f>
        <v/>
      </c>
      <c r="DQ24">
        <f>MAX(0,ROUND(N(DN24)+N(DO24)-N(DP24),2))</f>
        <v/>
      </c>
      <c r="DR24">
        <f>IFERROR(MATCH(1,OrderSnow,0),"")</f>
        <v/>
      </c>
      <c r="DS24">
        <f>IF(DR24="",0,IFERROR(IF(N(CHOOSE(DR24,CL24,CP24,CT24,CX24,DB24,DF24,DJ24,DN24))&lt;=0.005,0,MAX(0,N(CHOOSE(DR24,CL24,CP24,CT24,CX24,DB24,DF24,DJ24,DN24))+N(CHOOSE(DR24,CM24,CQ24,CU24,CY24,DC24,DG24,DK24,DO24))-MIN(N(CHOOSE(DR24,'Debt List'!$F$5,'Debt List'!$F$6,'Debt List'!$F$7,'Debt List'!$F$8,'Debt List'!$F$9,'Debt List'!$F$10,'Debt List'!$F$11,'Debt List'!$F$12)),N(CHOOSE(DR24,CL24,CP24,CT24,CX24,DB24,DF24,DJ24,DN24))+N(CHOOSE(DR24,CM24,CQ24,CU24,CY24,DC24,DG24,DK24,DO24))))),0))</f>
        <v/>
      </c>
      <c r="DT24">
        <f>MIN(N(DS24),MAX(0,N(ExtraPayment)))</f>
        <v/>
      </c>
      <c r="DU24">
        <f>MAX(0,N(ExtraPayment)-N(DT24))</f>
        <v/>
      </c>
      <c r="DV24">
        <f>IFERROR(MATCH(2,OrderSnow,0),"")</f>
        <v/>
      </c>
      <c r="DW24">
        <f>IF(DV24="",0,IFERROR(IF(N(CHOOSE(DV24,CL24,CP24,CT24,CX24,DB24,DF24,DJ24,DN24))&lt;=0.005,0,MAX(0,N(CHOOSE(DV24,CL24,CP24,CT24,CX24,DB24,DF24,DJ24,DN24))+N(CHOOSE(DV24,CM24,CQ24,CU24,CY24,DC24,DG24,DK24,DO24))-MIN(N(CHOOSE(DV24,'Debt List'!$F$5,'Debt List'!$F$6,'Debt List'!$F$7,'Debt List'!$F$8,'Debt List'!$F$9,'Debt List'!$F$10,'Debt List'!$F$11,'Debt List'!$F$12)),N(CHOOSE(DV24,CL24,CP24,CT24,CX24,DB24,DF24,DJ24,DN24))+N(CHOOSE(DV24,CM24,CQ24,CU24,CY24,DC24,DG24,DK24,DO24))))),0))</f>
        <v/>
      </c>
      <c r="DX24">
        <f>MIN(N(DW24),MAX(0,N(DU24)))</f>
        <v/>
      </c>
      <c r="DY24">
        <f>MAX(0,N(DU24)-N(DX24))</f>
        <v/>
      </c>
      <c r="DZ24">
        <f>IFERROR(MATCH(3,OrderSnow,0),"")</f>
        <v/>
      </c>
      <c r="EA24">
        <f>IF(DZ24="",0,IFERROR(IF(N(CHOOSE(DZ24,CL24,CP24,CT24,CX24,DB24,DF24,DJ24,DN24))&lt;=0.005,0,MAX(0,N(CHOOSE(DZ24,CL24,CP24,CT24,CX24,DB24,DF24,DJ24,DN24))+N(CHOOSE(DZ24,CM24,CQ24,CU24,CY24,DC24,DG24,DK24,DO24))-MIN(N(CHOOSE(DZ24,'Debt List'!$F$5,'Debt List'!$F$6,'Debt List'!$F$7,'Debt List'!$F$8,'Debt List'!$F$9,'Debt List'!$F$10,'Debt List'!$F$11,'Debt List'!$F$12)),N(CHOOSE(DZ24,CL24,CP24,CT24,CX24,DB24,DF24,DJ24,DN24))+N(CHOOSE(DZ24,CM24,CQ24,CU24,CY24,DC24,DG24,DK24,DO24))))),0))</f>
        <v/>
      </c>
      <c r="EB24">
        <f>MIN(N(EA24),MAX(0,N(DY24)))</f>
        <v/>
      </c>
      <c r="EC24">
        <f>MAX(0,N(DY24)-N(EB24))</f>
        <v/>
      </c>
      <c r="ED24">
        <f>IFERROR(MATCH(4,OrderSnow,0),"")</f>
        <v/>
      </c>
      <c r="EE24">
        <f>IF(ED24="",0,IFERROR(IF(N(CHOOSE(ED24,CL24,CP24,CT24,CX24,DB24,DF24,DJ24,DN24))&lt;=0.005,0,MAX(0,N(CHOOSE(ED24,CL24,CP24,CT24,CX24,DB24,DF24,DJ24,DN24))+N(CHOOSE(ED24,CM24,CQ24,CU24,CY24,DC24,DG24,DK24,DO24))-MIN(N(CHOOSE(ED24,'Debt List'!$F$5,'Debt List'!$F$6,'Debt List'!$F$7,'Debt List'!$F$8,'Debt List'!$F$9,'Debt List'!$F$10,'Debt List'!$F$11,'Debt List'!$F$12)),N(CHOOSE(ED24,CL24,CP24,CT24,CX24,DB24,DF24,DJ24,DN24))+N(CHOOSE(ED24,CM24,CQ24,CU24,CY24,DC24,DG24,DK24,DO24))))),0))</f>
        <v/>
      </c>
      <c r="EF24">
        <f>MIN(N(EE24),MAX(0,N(EC24)))</f>
        <v/>
      </c>
      <c r="EG24">
        <f>MAX(0,N(EC24)-N(EF24))</f>
        <v/>
      </c>
      <c r="EH24">
        <f>IFERROR(MATCH(5,OrderSnow,0),"")</f>
        <v/>
      </c>
      <c r="EI24">
        <f>IF(EH24="",0,IFERROR(IF(N(CHOOSE(EH24,CL24,CP24,CT24,CX24,DB24,DF24,DJ24,DN24))&lt;=0.005,0,MAX(0,N(CHOOSE(EH24,CL24,CP24,CT24,CX24,DB24,DF24,DJ24,DN24))+N(CHOOSE(EH24,CM24,CQ24,CU24,CY24,DC24,DG24,DK24,DO24))-MIN(N(CHOOSE(EH24,'Debt List'!$F$5,'Debt List'!$F$6,'Debt List'!$F$7,'Debt List'!$F$8,'Debt List'!$F$9,'Debt List'!$F$10,'Debt List'!$F$11,'Debt List'!$F$12)),N(CHOOSE(EH24,CL24,CP24,CT24,CX24,DB24,DF24,DJ24,DN24))+N(CHOOSE(EH24,CM24,CQ24,CU24,CY24,DC24,DG24,DK24,DO24))))),0))</f>
        <v/>
      </c>
      <c r="EJ24">
        <f>MIN(N(EI24),MAX(0,N(EG24)))</f>
        <v/>
      </c>
      <c r="EK24">
        <f>MAX(0,N(EG24)-N(EJ24))</f>
        <v/>
      </c>
      <c r="EL24">
        <f>IFERROR(MATCH(6,OrderSnow,0),"")</f>
        <v/>
      </c>
      <c r="EM24">
        <f>IF(EL24="",0,IFERROR(IF(N(CHOOSE(EL24,CL24,CP24,CT24,CX24,DB24,DF24,DJ24,DN24))&lt;=0.005,0,MAX(0,N(CHOOSE(EL24,CL24,CP24,CT24,CX24,DB24,DF24,DJ24,DN24))+N(CHOOSE(EL24,CM24,CQ24,CU24,CY24,DC24,DG24,DK24,DO24))-MIN(N(CHOOSE(EL24,'Debt List'!$F$5,'Debt List'!$F$6,'Debt List'!$F$7,'Debt List'!$F$8,'Debt List'!$F$9,'Debt List'!$F$10,'Debt List'!$F$11,'Debt List'!$F$12)),N(CHOOSE(EL24,CL24,CP24,CT24,CX24,DB24,DF24,DJ24,DN24))+N(CHOOSE(EL24,CM24,CQ24,CU24,CY24,DC24,DG24,DK24,DO24))))),0))</f>
        <v/>
      </c>
      <c r="EN24">
        <f>MIN(N(EM24),MAX(0,N(EK24)))</f>
        <v/>
      </c>
      <c r="EO24">
        <f>MAX(0,N(EK24)-N(EN24))</f>
        <v/>
      </c>
      <c r="EP24">
        <f>IFERROR(MATCH(7,OrderSnow,0),"")</f>
        <v/>
      </c>
      <c r="EQ24">
        <f>IF(EP24="",0,IFERROR(IF(N(CHOOSE(EP24,CL24,CP24,CT24,CX24,DB24,DF24,DJ24,DN24))&lt;=0.005,0,MAX(0,N(CHOOSE(EP24,CL24,CP24,CT24,CX24,DB24,DF24,DJ24,DN24))+N(CHOOSE(EP24,CM24,CQ24,CU24,CY24,DC24,DG24,DK24,DO24))-MIN(N(CHOOSE(EP24,'Debt List'!$F$5,'Debt List'!$F$6,'Debt List'!$F$7,'Debt List'!$F$8,'Debt List'!$F$9,'Debt List'!$F$10,'Debt List'!$F$11,'Debt List'!$F$12)),N(CHOOSE(EP24,CL24,CP24,CT24,CX24,DB24,DF24,DJ24,DN24))+N(CHOOSE(EP24,CM24,CQ24,CU24,CY24,DC24,DG24,DK24,DO24))))),0))</f>
        <v/>
      </c>
      <c r="ER24">
        <f>MIN(N(EQ24),MAX(0,N(EO24)))</f>
        <v/>
      </c>
      <c r="ES24">
        <f>MAX(0,N(EO24)-N(ER24))</f>
        <v/>
      </c>
      <c r="ET24">
        <f>IFERROR(MATCH(8,OrderSnow,0),"")</f>
        <v/>
      </c>
      <c r="EU24">
        <f>IF(ET24="",0,IFERROR(IF(N(CHOOSE(ET24,CL24,CP24,CT24,CX24,DB24,DF24,DJ24,DN24))&lt;=0.005,0,MAX(0,N(CHOOSE(ET24,CL24,CP24,CT24,CX24,DB24,DF24,DJ24,DN24))+N(CHOOSE(ET24,CM24,CQ24,CU24,CY24,DC24,DG24,DK24,DO24))-MIN(N(CHOOSE(ET24,'Debt List'!$F$5,'Debt List'!$F$6,'Debt List'!$F$7,'Debt List'!$F$8,'Debt List'!$F$9,'Debt List'!$F$10,'Debt List'!$F$11,'Debt List'!$F$12)),N(CHOOSE(ET24,CL24,CP24,CT24,CX24,DB24,DF24,DJ24,DN24))+N(CHOOSE(ET24,CM24,CQ24,CU24,CY24,DC24,DG24,DK24,DO24))))),0))</f>
        <v/>
      </c>
      <c r="EV24">
        <f>MIN(N(EU24),MAX(0,N(ES24)))</f>
        <v/>
      </c>
      <c r="EW24">
        <f>MAX(0,N(ES24)-N(EV24))</f>
        <v/>
      </c>
      <c r="FE24" t="n">
        <v>20</v>
      </c>
      <c r="FF24" s="115">
        <f>DATE(YEAR(PlanStart),MONTH(PlanStart)+FE24-1,1)</f>
        <v/>
      </c>
      <c r="FG24">
        <f>IF(AND(GT24&lt;&gt;"",N(CHOOSE(GT24,FN24,FR24,FV24,FZ24,GD24,GH24,GL24,GP24))&gt;0.005),INDEX(DebtNames,GT24),IF(AND(GX24&lt;&gt;"",N(CHOOSE(GX24,FN24,FR24,FV24,FZ24,GD24,GH24,GL24,GP24))&gt;0.005),INDEX(DebtNames,GX24),IF(AND(HB24&lt;&gt;"",N(CHOOSE(HB24,FN24,FR24,FV24,FZ24,GD24,GH24,GL24,GP24))&gt;0.005),INDEX(DebtNames,HB24),IF(AND(HF24&lt;&gt;"",N(CHOOSE(HF24,FN24,FR24,FV24,FZ24,GD24,GH24,GL24,GP24))&gt;0.005),INDEX(DebtNames,HF24),IF(AND(HJ24&lt;&gt;"",N(CHOOSE(HJ24,FN24,FR24,FV24,FZ24,GD24,GH24,GL24,GP24))&gt;0.005),INDEX(DebtNames,HJ24),IF(AND(HN24&lt;&gt;"",N(CHOOSE(HN24,FN24,FR24,FV24,FZ24,GD24,GH24,GL24,GP24))&gt;0.005),INDEX(DebtNames,HN24),IF(AND(HR24&lt;&gt;"",N(CHOOSE(HR24,FN24,FR24,FV24,FZ24,GD24,GH24,GL24,GP24))&gt;0.005),INDEX(DebtNames,HR24),IF(AND(HV24&lt;&gt;"",N(CHOOSE(HV24,FN24,FR24,FV24,FZ24,GD24,GH24,GL24,GP24))&gt;0.005),INDEX(DebtNames,HV24),""))))))))</f>
        <v/>
      </c>
      <c r="FH24">
        <f>N(HY24)</f>
        <v/>
      </c>
      <c r="FI24">
        <f>N(FP24)+N(FT24)+N(FX24)+N(GB24)+N(GF24)+N(GJ24)+N(GN24)+N(GR24)</f>
        <v/>
      </c>
      <c r="FJ24">
        <f>N(FO24)+N(FS24)+N(FW24)+N(GA24)+N(GE24)+N(GI24)+N(GM24)+N(GQ24)</f>
        <v/>
      </c>
      <c r="FK24">
        <f>N(FK23)+N(FJ24)</f>
        <v/>
      </c>
      <c r="FL24">
        <f>N(FQ24)+N(FU24)+N(FY24)+N(GC24)+N(GG24)+N(GK24)+N(GO24)+N(GS24)</f>
        <v/>
      </c>
      <c r="FM24">
        <f>(FQ24&gt;0.005)*1+(FU24&gt;0.005)*1+(FY24&gt;0.005)*1+(GC24&gt;0.005)*1+(GG24&gt;0.005)*1+(GK24&gt;0.005)*1+(GO24&gt;0.005)*1+(GS24&gt;0.005)*1</f>
        <v/>
      </c>
      <c r="FN24">
        <f>N(FQ23)</f>
        <v/>
      </c>
      <c r="FO24">
        <f>IF(N(FN24)&lt;=0.005,0,ROUND(N(FN24)*N('Debt List'!E5)/12,2))</f>
        <v/>
      </c>
      <c r="FP24">
        <f>IF(N(FN24)&lt;=0.005,0,MIN(N('Debt List'!F5),N(FN24)+N(FO24)))+((GT24=1)*GV24+(GX24=1)*GZ24+(HB24=1)*HD24+(HF24=1)*HH24+(HJ24=1)*HL24+(HN24=1)*HP24+(HR24=1)*HT24+(HV24=1)*HX24)</f>
        <v/>
      </c>
      <c r="FQ24">
        <f>MAX(0,ROUND(N(FN24)+N(FO24)-N(FP24),2))</f>
        <v/>
      </c>
      <c r="FR24">
        <f>N(FU23)</f>
        <v/>
      </c>
      <c r="FS24">
        <f>IF(N(FR24)&lt;=0.005,0,ROUND(N(FR24)*N('Debt List'!E6)/12,2))</f>
        <v/>
      </c>
      <c r="FT24">
        <f>IF(N(FR24)&lt;=0.005,0,MIN(N('Debt List'!F6),N(FR24)+N(FS24)))+((GT24=2)*GV24+(GX24=2)*GZ24+(HB24=2)*HD24+(HF24=2)*HH24+(HJ24=2)*HL24+(HN24=2)*HP24+(HR24=2)*HT24+(HV24=2)*HX24)</f>
        <v/>
      </c>
      <c r="FU24">
        <f>MAX(0,ROUND(N(FR24)+N(FS24)-N(FT24),2))</f>
        <v/>
      </c>
      <c r="FV24">
        <f>N(FY23)</f>
        <v/>
      </c>
      <c r="FW24">
        <f>IF(N(FV24)&lt;=0.005,0,ROUND(N(FV24)*N('Debt List'!E7)/12,2))</f>
        <v/>
      </c>
      <c r="FX24">
        <f>IF(N(FV24)&lt;=0.005,0,MIN(N('Debt List'!F7),N(FV24)+N(FW24)))+((GT24=3)*GV24+(GX24=3)*GZ24+(HB24=3)*HD24+(HF24=3)*HH24+(HJ24=3)*HL24+(HN24=3)*HP24+(HR24=3)*HT24+(HV24=3)*HX24)</f>
        <v/>
      </c>
      <c r="FY24">
        <f>MAX(0,ROUND(N(FV24)+N(FW24)-N(FX24),2))</f>
        <v/>
      </c>
      <c r="FZ24">
        <f>N(GC23)</f>
        <v/>
      </c>
      <c r="GA24">
        <f>IF(N(FZ24)&lt;=0.005,0,ROUND(N(FZ24)*N('Debt List'!E8)/12,2))</f>
        <v/>
      </c>
      <c r="GB24">
        <f>IF(N(FZ24)&lt;=0.005,0,MIN(N('Debt List'!F8),N(FZ24)+N(GA24)))+((GT24=4)*GV24+(GX24=4)*GZ24+(HB24=4)*HD24+(HF24=4)*HH24+(HJ24=4)*HL24+(HN24=4)*HP24+(HR24=4)*HT24+(HV24=4)*HX24)</f>
        <v/>
      </c>
      <c r="GC24">
        <f>MAX(0,ROUND(N(FZ24)+N(GA24)-N(GB24),2))</f>
        <v/>
      </c>
      <c r="GD24">
        <f>N(GG23)</f>
        <v/>
      </c>
      <c r="GE24">
        <f>IF(N(GD24)&lt;=0.005,0,ROUND(N(GD24)*N('Debt List'!E9)/12,2))</f>
        <v/>
      </c>
      <c r="GF24">
        <f>IF(N(GD24)&lt;=0.005,0,MIN(N('Debt List'!F9),N(GD24)+N(GE24)))+((GT24=5)*GV24+(GX24=5)*GZ24+(HB24=5)*HD24+(HF24=5)*HH24+(HJ24=5)*HL24+(HN24=5)*HP24+(HR24=5)*HT24+(HV24=5)*HX24)</f>
        <v/>
      </c>
      <c r="GG24">
        <f>MAX(0,ROUND(N(GD24)+N(GE24)-N(GF24),2))</f>
        <v/>
      </c>
      <c r="GH24">
        <f>N(GK23)</f>
        <v/>
      </c>
      <c r="GI24">
        <f>IF(N(GH24)&lt;=0.005,0,ROUND(N(GH24)*N('Debt List'!E10)/12,2))</f>
        <v/>
      </c>
      <c r="GJ24">
        <f>IF(N(GH24)&lt;=0.005,0,MIN(N('Debt List'!F10),N(GH24)+N(GI24)))+((GT24=6)*GV24+(GX24=6)*GZ24+(HB24=6)*HD24+(HF24=6)*HH24+(HJ24=6)*HL24+(HN24=6)*HP24+(HR24=6)*HT24+(HV24=6)*HX24)</f>
        <v/>
      </c>
      <c r="GK24">
        <f>MAX(0,ROUND(N(GH24)+N(GI24)-N(GJ24),2))</f>
        <v/>
      </c>
      <c r="GL24">
        <f>N(GO23)</f>
        <v/>
      </c>
      <c r="GM24">
        <f>IF(N(GL24)&lt;=0.005,0,ROUND(N(GL24)*N('Debt List'!E11)/12,2))</f>
        <v/>
      </c>
      <c r="GN24">
        <f>IF(N(GL24)&lt;=0.005,0,MIN(N('Debt List'!F11),N(GL24)+N(GM24)))+((GT24=7)*GV24+(GX24=7)*GZ24+(HB24=7)*HD24+(HF24=7)*HH24+(HJ24=7)*HL24+(HN24=7)*HP24+(HR24=7)*HT24+(HV24=7)*HX24)</f>
        <v/>
      </c>
      <c r="GO24">
        <f>MAX(0,ROUND(N(GL24)+N(GM24)-N(GN24),2))</f>
        <v/>
      </c>
      <c r="GP24">
        <f>N(GS23)</f>
        <v/>
      </c>
      <c r="GQ24">
        <f>IF(N(GP24)&lt;=0.005,0,ROUND(N(GP24)*N('Debt List'!E12)/12,2))</f>
        <v/>
      </c>
      <c r="GR24">
        <f>IF(N(GP24)&lt;=0.005,0,MIN(N('Debt List'!F12),N(GP24)+N(GQ24)))+((GT24=8)*GV24+(GX24=8)*GZ24+(HB24=8)*HD24+(HF24=8)*HH24+(HJ24=8)*HL24+(HN24=8)*HP24+(HR24=8)*HT24+(HV24=8)*HX24)</f>
        <v/>
      </c>
      <c r="GS24">
        <f>MAX(0,ROUND(N(GP24)+N(GQ24)-N(GR24),2))</f>
        <v/>
      </c>
      <c r="GT24">
        <f>IFERROR(MATCH(1,OrderAval,0),"")</f>
        <v/>
      </c>
      <c r="GU24">
        <f>IF(GT24="",0,IFERROR(IF(N(CHOOSE(GT24,FN24,FR24,FV24,FZ24,GD24,GH24,GL24,GP24))&lt;=0.005,0,MAX(0,N(CHOOSE(GT24,FN24,FR24,FV24,FZ24,GD24,GH24,GL24,GP24))+N(CHOOSE(GT24,FO24,FS24,FW24,GA24,GE24,GI24,GM24,GQ24))-MIN(N(CHOOSE(GT24,'Debt List'!$F$5,'Debt List'!$F$6,'Debt List'!$F$7,'Debt List'!$F$8,'Debt List'!$F$9,'Debt List'!$F$10,'Debt List'!$F$11,'Debt List'!$F$12)),N(CHOOSE(GT24,FN24,FR24,FV24,FZ24,GD24,GH24,GL24,GP24))+N(CHOOSE(GT24,FO24,FS24,FW24,GA24,GE24,GI24,GM24,GQ24))))),0))</f>
        <v/>
      </c>
      <c r="GV24">
        <f>MIN(N(GU24),MAX(0,N(ExtraPayment)))</f>
        <v/>
      </c>
      <c r="GW24">
        <f>MAX(0,N(ExtraPayment)-N(GV24))</f>
        <v/>
      </c>
      <c r="GX24">
        <f>IFERROR(MATCH(2,OrderAval,0),"")</f>
        <v/>
      </c>
      <c r="GY24">
        <f>IF(GX24="",0,IFERROR(IF(N(CHOOSE(GX24,FN24,FR24,FV24,FZ24,GD24,GH24,GL24,GP24))&lt;=0.005,0,MAX(0,N(CHOOSE(GX24,FN24,FR24,FV24,FZ24,GD24,GH24,GL24,GP24))+N(CHOOSE(GX24,FO24,FS24,FW24,GA24,GE24,GI24,GM24,GQ24))-MIN(N(CHOOSE(GX24,'Debt List'!$F$5,'Debt List'!$F$6,'Debt List'!$F$7,'Debt List'!$F$8,'Debt List'!$F$9,'Debt List'!$F$10,'Debt List'!$F$11,'Debt List'!$F$12)),N(CHOOSE(GX24,FN24,FR24,FV24,FZ24,GD24,GH24,GL24,GP24))+N(CHOOSE(GX24,FO24,FS24,FW24,GA24,GE24,GI24,GM24,GQ24))))),0))</f>
        <v/>
      </c>
      <c r="GZ24">
        <f>MIN(N(GY24),MAX(0,N(GW24)))</f>
        <v/>
      </c>
      <c r="HA24">
        <f>MAX(0,N(GW24)-N(GZ24))</f>
        <v/>
      </c>
      <c r="HB24">
        <f>IFERROR(MATCH(3,OrderAval,0),"")</f>
        <v/>
      </c>
      <c r="HC24">
        <f>IF(HB24="",0,IFERROR(IF(N(CHOOSE(HB24,FN24,FR24,FV24,FZ24,GD24,GH24,GL24,GP24))&lt;=0.005,0,MAX(0,N(CHOOSE(HB24,FN24,FR24,FV24,FZ24,GD24,GH24,GL24,GP24))+N(CHOOSE(HB24,FO24,FS24,FW24,GA24,GE24,GI24,GM24,GQ24))-MIN(N(CHOOSE(HB24,'Debt List'!$F$5,'Debt List'!$F$6,'Debt List'!$F$7,'Debt List'!$F$8,'Debt List'!$F$9,'Debt List'!$F$10,'Debt List'!$F$11,'Debt List'!$F$12)),N(CHOOSE(HB24,FN24,FR24,FV24,FZ24,GD24,GH24,GL24,GP24))+N(CHOOSE(HB24,FO24,FS24,FW24,GA24,GE24,GI24,GM24,GQ24))))),0))</f>
        <v/>
      </c>
      <c r="HD24">
        <f>MIN(N(HC24),MAX(0,N(HA24)))</f>
        <v/>
      </c>
      <c r="HE24">
        <f>MAX(0,N(HA24)-N(HD24))</f>
        <v/>
      </c>
      <c r="HF24">
        <f>IFERROR(MATCH(4,OrderAval,0),"")</f>
        <v/>
      </c>
      <c r="HG24">
        <f>IF(HF24="",0,IFERROR(IF(N(CHOOSE(HF24,FN24,FR24,FV24,FZ24,GD24,GH24,GL24,GP24))&lt;=0.005,0,MAX(0,N(CHOOSE(HF24,FN24,FR24,FV24,FZ24,GD24,GH24,GL24,GP24))+N(CHOOSE(HF24,FO24,FS24,FW24,GA24,GE24,GI24,GM24,GQ24))-MIN(N(CHOOSE(HF24,'Debt List'!$F$5,'Debt List'!$F$6,'Debt List'!$F$7,'Debt List'!$F$8,'Debt List'!$F$9,'Debt List'!$F$10,'Debt List'!$F$11,'Debt List'!$F$12)),N(CHOOSE(HF24,FN24,FR24,FV24,FZ24,GD24,GH24,GL24,GP24))+N(CHOOSE(HF24,FO24,FS24,FW24,GA24,GE24,GI24,GM24,GQ24))))),0))</f>
        <v/>
      </c>
      <c r="HH24">
        <f>MIN(N(HG24),MAX(0,N(HE24)))</f>
        <v/>
      </c>
      <c r="HI24">
        <f>MAX(0,N(HE24)-N(HH24))</f>
        <v/>
      </c>
      <c r="HJ24">
        <f>IFERROR(MATCH(5,OrderAval,0),"")</f>
        <v/>
      </c>
      <c r="HK24">
        <f>IF(HJ24="",0,IFERROR(IF(N(CHOOSE(HJ24,FN24,FR24,FV24,FZ24,GD24,GH24,GL24,GP24))&lt;=0.005,0,MAX(0,N(CHOOSE(HJ24,FN24,FR24,FV24,FZ24,GD24,GH24,GL24,GP24))+N(CHOOSE(HJ24,FO24,FS24,FW24,GA24,GE24,GI24,GM24,GQ24))-MIN(N(CHOOSE(HJ24,'Debt List'!$F$5,'Debt List'!$F$6,'Debt List'!$F$7,'Debt List'!$F$8,'Debt List'!$F$9,'Debt List'!$F$10,'Debt List'!$F$11,'Debt List'!$F$12)),N(CHOOSE(HJ24,FN24,FR24,FV24,FZ24,GD24,GH24,GL24,GP24))+N(CHOOSE(HJ24,FO24,FS24,FW24,GA24,GE24,GI24,GM24,GQ24))))),0))</f>
        <v/>
      </c>
      <c r="HL24">
        <f>MIN(N(HK24),MAX(0,N(HI24)))</f>
        <v/>
      </c>
      <c r="HM24">
        <f>MAX(0,N(HI24)-N(HL24))</f>
        <v/>
      </c>
      <c r="HN24">
        <f>IFERROR(MATCH(6,OrderAval,0),"")</f>
        <v/>
      </c>
      <c r="HO24">
        <f>IF(HN24="",0,IFERROR(IF(N(CHOOSE(HN24,FN24,FR24,FV24,FZ24,GD24,GH24,GL24,GP24))&lt;=0.005,0,MAX(0,N(CHOOSE(HN24,FN24,FR24,FV24,FZ24,GD24,GH24,GL24,GP24))+N(CHOOSE(HN24,FO24,FS24,FW24,GA24,GE24,GI24,GM24,GQ24))-MIN(N(CHOOSE(HN24,'Debt List'!$F$5,'Debt List'!$F$6,'Debt List'!$F$7,'Debt List'!$F$8,'Debt List'!$F$9,'Debt List'!$F$10,'Debt List'!$F$11,'Debt List'!$F$12)),N(CHOOSE(HN24,FN24,FR24,FV24,FZ24,GD24,GH24,GL24,GP24))+N(CHOOSE(HN24,FO24,FS24,FW24,GA24,GE24,GI24,GM24,GQ24))))),0))</f>
        <v/>
      </c>
      <c r="HP24">
        <f>MIN(N(HO24),MAX(0,N(HM24)))</f>
        <v/>
      </c>
      <c r="HQ24">
        <f>MAX(0,N(HM24)-N(HP24))</f>
        <v/>
      </c>
      <c r="HR24">
        <f>IFERROR(MATCH(7,OrderAval,0),"")</f>
        <v/>
      </c>
      <c r="HS24">
        <f>IF(HR24="",0,IFERROR(IF(N(CHOOSE(HR24,FN24,FR24,FV24,FZ24,GD24,GH24,GL24,GP24))&lt;=0.005,0,MAX(0,N(CHOOSE(HR24,FN24,FR24,FV24,FZ24,GD24,GH24,GL24,GP24))+N(CHOOSE(HR24,FO24,FS24,FW24,GA24,GE24,GI24,GM24,GQ24))-MIN(N(CHOOSE(HR24,'Debt List'!$F$5,'Debt List'!$F$6,'Debt List'!$F$7,'Debt List'!$F$8,'Debt List'!$F$9,'Debt List'!$F$10,'Debt List'!$F$11,'Debt List'!$F$12)),N(CHOOSE(HR24,FN24,FR24,FV24,FZ24,GD24,GH24,GL24,GP24))+N(CHOOSE(HR24,FO24,FS24,FW24,GA24,GE24,GI24,GM24,GQ24))))),0))</f>
        <v/>
      </c>
      <c r="HT24">
        <f>MIN(N(HS24),MAX(0,N(HQ24)))</f>
        <v/>
      </c>
      <c r="HU24">
        <f>MAX(0,N(HQ24)-N(HT24))</f>
        <v/>
      </c>
      <c r="HV24">
        <f>IFERROR(MATCH(8,OrderAval,0),"")</f>
        <v/>
      </c>
      <c r="HW24">
        <f>IF(HV24="",0,IFERROR(IF(N(CHOOSE(HV24,FN24,FR24,FV24,FZ24,GD24,GH24,GL24,GP24))&lt;=0.005,0,MAX(0,N(CHOOSE(HV24,FN24,FR24,FV24,FZ24,GD24,GH24,GL24,GP24))+N(CHOOSE(HV24,FO24,FS24,FW24,GA24,GE24,GI24,GM24,GQ24))-MIN(N(CHOOSE(HV24,'Debt List'!$F$5,'Debt List'!$F$6,'Debt List'!$F$7,'Debt List'!$F$8,'Debt List'!$F$9,'Debt List'!$F$10,'Debt List'!$F$11,'Debt List'!$F$12)),N(CHOOSE(HV24,FN24,FR24,FV24,FZ24,GD24,GH24,GL24,GP24))+N(CHOOSE(HV24,FO24,FS24,FW24,GA24,GE24,GI24,GM24,GQ24))))),0))</f>
        <v/>
      </c>
      <c r="HX24">
        <f>MIN(N(HW24),MAX(0,N(HU24)))</f>
        <v/>
      </c>
      <c r="HY24">
        <f>MAX(0,N(HU24)-N(HX24))</f>
        <v/>
      </c>
    </row>
    <row r="25">
      <c r="A25" t="n">
        <v>21</v>
      </c>
      <c r="B25" s="115">
        <f>DATE(YEAR(PlanStart),MONTH(PlanStart)+A25-1,1)</f>
        <v/>
      </c>
      <c r="C25">
        <f>IF(AND(AP25&lt;&gt;"",N(CHOOSE(AP25,J25,N25,R25,V25,Z25,AD25,AH25,AL25))&gt;0.005),INDEX(DebtNames,AP25),IF(AND(AT25&lt;&gt;"",N(CHOOSE(AT25,J25,N25,R25,V25,Z25,AD25,AH25,AL25))&gt;0.005),INDEX(DebtNames,AT25),IF(AND(AX25&lt;&gt;"",N(CHOOSE(AX25,J25,N25,R25,V25,Z25,AD25,AH25,AL25))&gt;0.005),INDEX(DebtNames,AX25),IF(AND(BB25&lt;&gt;"",N(CHOOSE(BB25,J25,N25,R25,V25,Z25,AD25,AH25,AL25))&gt;0.005),INDEX(DebtNames,BB25),IF(AND(BF25&lt;&gt;"",N(CHOOSE(BF25,J25,N25,R25,V25,Z25,AD25,AH25,AL25))&gt;0.005),INDEX(DebtNames,BF25),IF(AND(BJ25&lt;&gt;"",N(CHOOSE(BJ25,J25,N25,R25,V25,Z25,AD25,AH25,AL25))&gt;0.005),INDEX(DebtNames,BJ25),IF(AND(BN25&lt;&gt;"",N(CHOOSE(BN25,J25,N25,R25,V25,Z25,AD25,AH25,AL25))&gt;0.005),INDEX(DebtNames,BN25),IF(AND(BR25&lt;&gt;"",N(CHOOSE(BR25,J25,N25,R25,V25,Z25,AD25,AH25,AL25))&gt;0.005),INDEX(DebtNames,BR25),""))))))))</f>
        <v/>
      </c>
      <c r="D25">
        <f>N(BU25)</f>
        <v/>
      </c>
      <c r="E25">
        <f>N(L25)+N(P25)+N(T25)+N(X25)+N(AB25)+N(AF25)+N(AJ25)+N(AN25)</f>
        <v/>
      </c>
      <c r="F25">
        <f>N(K25)+N(O25)+N(S25)+N(W25)+N(AA25)+N(AE25)+N(AI25)+N(AM25)</f>
        <v/>
      </c>
      <c r="G25">
        <f>N(G24)+N(F25)</f>
        <v/>
      </c>
      <c r="H25">
        <f>N(M25)+N(Q25)+N(U25)+N(Y25)+N(AC25)+N(AG25)+N(AK25)+N(AO25)</f>
        <v/>
      </c>
      <c r="I25">
        <f>(M25&gt;0.005)*1+(Q25&gt;0.005)*1+(U25&gt;0.005)*1+(Y25&gt;0.005)*1+(AC25&gt;0.005)*1+(AG25&gt;0.005)*1+(AK25&gt;0.005)*1+(AO25&gt;0.005)*1</f>
        <v/>
      </c>
      <c r="J25">
        <f>N(M24)</f>
        <v/>
      </c>
      <c r="K25">
        <f>IF(N(J25)&lt;=0.005,0,ROUND(N(J25)*N('Debt List'!E5)/12,2))</f>
        <v/>
      </c>
      <c r="L25">
        <f>IF(N(J25)&lt;=0.005,0,MIN(N('Debt List'!F5),N(J25)+N(K25)))+((AP25=1)*AR25+(AT25=1)*AV25+(AX25=1)*AZ25+(BB25=1)*BD25+(BF25=1)*BH25+(BJ25=1)*BL25+(BN25=1)*BP25+(BR25=1)*BT25)</f>
        <v/>
      </c>
      <c r="M25">
        <f>MAX(0,ROUND(N(J25)+N(K25)-N(L25),2))</f>
        <v/>
      </c>
      <c r="N25">
        <f>N(Q24)</f>
        <v/>
      </c>
      <c r="O25">
        <f>IF(N(N25)&lt;=0.005,0,ROUND(N(N25)*N('Debt List'!E6)/12,2))</f>
        <v/>
      </c>
      <c r="P25">
        <f>IF(N(N25)&lt;=0.005,0,MIN(N('Debt List'!F6),N(N25)+N(O25)))+((AP25=2)*AR25+(AT25=2)*AV25+(AX25=2)*AZ25+(BB25=2)*BD25+(BF25=2)*BH25+(BJ25=2)*BL25+(BN25=2)*BP25+(BR25=2)*BT25)</f>
        <v/>
      </c>
      <c r="Q25">
        <f>MAX(0,ROUND(N(N25)+N(O25)-N(P25),2))</f>
        <v/>
      </c>
      <c r="R25">
        <f>N(U24)</f>
        <v/>
      </c>
      <c r="S25">
        <f>IF(N(R25)&lt;=0.005,0,ROUND(N(R25)*N('Debt List'!E7)/12,2))</f>
        <v/>
      </c>
      <c r="T25">
        <f>IF(N(R25)&lt;=0.005,0,MIN(N('Debt List'!F7),N(R25)+N(S25)))+((AP25=3)*AR25+(AT25=3)*AV25+(AX25=3)*AZ25+(BB25=3)*BD25+(BF25=3)*BH25+(BJ25=3)*BL25+(BN25=3)*BP25+(BR25=3)*BT25)</f>
        <v/>
      </c>
      <c r="U25">
        <f>MAX(0,ROUND(N(R25)+N(S25)-N(T25),2))</f>
        <v/>
      </c>
      <c r="V25">
        <f>N(Y24)</f>
        <v/>
      </c>
      <c r="W25">
        <f>IF(N(V25)&lt;=0.005,0,ROUND(N(V25)*N('Debt List'!E8)/12,2))</f>
        <v/>
      </c>
      <c r="X25">
        <f>IF(N(V25)&lt;=0.005,0,MIN(N('Debt List'!F8),N(V25)+N(W25)))+((AP25=4)*AR25+(AT25=4)*AV25+(AX25=4)*AZ25+(BB25=4)*BD25+(BF25=4)*BH25+(BJ25=4)*BL25+(BN25=4)*BP25+(BR25=4)*BT25)</f>
        <v/>
      </c>
      <c r="Y25">
        <f>MAX(0,ROUND(N(V25)+N(W25)-N(X25),2))</f>
        <v/>
      </c>
      <c r="Z25">
        <f>N(AC24)</f>
        <v/>
      </c>
      <c r="AA25">
        <f>IF(N(Z25)&lt;=0.005,0,ROUND(N(Z25)*N('Debt List'!E9)/12,2))</f>
        <v/>
      </c>
      <c r="AB25">
        <f>IF(N(Z25)&lt;=0.005,0,MIN(N('Debt List'!F9),N(Z25)+N(AA25)))+((AP25=5)*AR25+(AT25=5)*AV25+(AX25=5)*AZ25+(BB25=5)*BD25+(BF25=5)*BH25+(BJ25=5)*BL25+(BN25=5)*BP25+(BR25=5)*BT25)</f>
        <v/>
      </c>
      <c r="AC25">
        <f>MAX(0,ROUND(N(Z25)+N(AA25)-N(AB25),2))</f>
        <v/>
      </c>
      <c r="AD25">
        <f>N(AG24)</f>
        <v/>
      </c>
      <c r="AE25">
        <f>IF(N(AD25)&lt;=0.005,0,ROUND(N(AD25)*N('Debt List'!E10)/12,2))</f>
        <v/>
      </c>
      <c r="AF25">
        <f>IF(N(AD25)&lt;=0.005,0,MIN(N('Debt List'!F10),N(AD25)+N(AE25)))+((AP25=6)*AR25+(AT25=6)*AV25+(AX25=6)*AZ25+(BB25=6)*BD25+(BF25=6)*BH25+(BJ25=6)*BL25+(BN25=6)*BP25+(BR25=6)*BT25)</f>
        <v/>
      </c>
      <c r="AG25">
        <f>MAX(0,ROUND(N(AD25)+N(AE25)-N(AF25),2))</f>
        <v/>
      </c>
      <c r="AH25">
        <f>N(AK24)</f>
        <v/>
      </c>
      <c r="AI25">
        <f>IF(N(AH25)&lt;=0.005,0,ROUND(N(AH25)*N('Debt List'!E11)/12,2))</f>
        <v/>
      </c>
      <c r="AJ25">
        <f>IF(N(AH25)&lt;=0.005,0,MIN(N('Debt List'!F11),N(AH25)+N(AI25)))+((AP25=7)*AR25+(AT25=7)*AV25+(AX25=7)*AZ25+(BB25=7)*BD25+(BF25=7)*BH25+(BJ25=7)*BL25+(BN25=7)*BP25+(BR25=7)*BT25)</f>
        <v/>
      </c>
      <c r="AK25">
        <f>MAX(0,ROUND(N(AH25)+N(AI25)-N(AJ25),2))</f>
        <v/>
      </c>
      <c r="AL25">
        <f>N(AO24)</f>
        <v/>
      </c>
      <c r="AM25">
        <f>IF(N(AL25)&lt;=0.005,0,ROUND(N(AL25)*N('Debt List'!E12)/12,2))</f>
        <v/>
      </c>
      <c r="AN25">
        <f>IF(N(AL25)&lt;=0.005,0,MIN(N('Debt List'!F12),N(AL25)+N(AM25)))+((AP25=8)*AR25+(AT25=8)*AV25+(AX25=8)*AZ25+(BB25=8)*BD25+(BF25=8)*BH25+(BJ25=8)*BL25+(BN25=8)*BP25+(BR25=8)*BT25)</f>
        <v/>
      </c>
      <c r="AO25">
        <f>MAX(0,ROUND(N(AL25)+N(AM25)-N(AN25),2))</f>
        <v/>
      </c>
      <c r="AP25">
        <f>IFERROR(MATCH(1,OrderPlan,0),"")</f>
        <v/>
      </c>
      <c r="AQ25">
        <f>IF(AP25="",0,IFERROR(IF(N(CHOOSE(AP25,J25,N25,R25,V25,Z25,AD25,AH25,AL25))&lt;=0.005,0,MAX(0,N(CHOOSE(AP25,J25,N25,R25,V25,Z25,AD25,AH25,AL25))+N(CHOOSE(AP25,K25,O25,S25,W25,AA25,AE25,AI25,AM25))-MIN(N(CHOOSE(AP25,'Debt List'!$F$5,'Debt List'!$F$6,'Debt List'!$F$7,'Debt List'!$F$8,'Debt List'!$F$9,'Debt List'!$F$10,'Debt List'!$F$11,'Debt List'!$F$12)),N(CHOOSE(AP25,J25,N25,R25,V25,Z25,AD25,AH25,AL25))+N(CHOOSE(AP25,K25,O25,S25,W25,AA25,AE25,AI25,AM25))))),0))</f>
        <v/>
      </c>
      <c r="AR25">
        <f>MIN(N(AQ25),MAX(0,N(ExtraPayment)))</f>
        <v/>
      </c>
      <c r="AS25">
        <f>MAX(0,N(ExtraPayment)-N(AR25))</f>
        <v/>
      </c>
      <c r="AT25">
        <f>IFERROR(MATCH(2,OrderPlan,0),"")</f>
        <v/>
      </c>
      <c r="AU25">
        <f>IF(AT25="",0,IFERROR(IF(N(CHOOSE(AT25,J25,N25,R25,V25,Z25,AD25,AH25,AL25))&lt;=0.005,0,MAX(0,N(CHOOSE(AT25,J25,N25,R25,V25,Z25,AD25,AH25,AL25))+N(CHOOSE(AT25,K25,O25,S25,W25,AA25,AE25,AI25,AM25))-MIN(N(CHOOSE(AT25,'Debt List'!$F$5,'Debt List'!$F$6,'Debt List'!$F$7,'Debt List'!$F$8,'Debt List'!$F$9,'Debt List'!$F$10,'Debt List'!$F$11,'Debt List'!$F$12)),N(CHOOSE(AT25,J25,N25,R25,V25,Z25,AD25,AH25,AL25))+N(CHOOSE(AT25,K25,O25,S25,W25,AA25,AE25,AI25,AM25))))),0))</f>
        <v/>
      </c>
      <c r="AV25">
        <f>MIN(N(AU25),MAX(0,N(AS25)))</f>
        <v/>
      </c>
      <c r="AW25">
        <f>MAX(0,N(AS25)-N(AV25))</f>
        <v/>
      </c>
      <c r="AX25">
        <f>IFERROR(MATCH(3,OrderPlan,0),"")</f>
        <v/>
      </c>
      <c r="AY25">
        <f>IF(AX25="",0,IFERROR(IF(N(CHOOSE(AX25,J25,N25,R25,V25,Z25,AD25,AH25,AL25))&lt;=0.005,0,MAX(0,N(CHOOSE(AX25,J25,N25,R25,V25,Z25,AD25,AH25,AL25))+N(CHOOSE(AX25,K25,O25,S25,W25,AA25,AE25,AI25,AM25))-MIN(N(CHOOSE(AX25,'Debt List'!$F$5,'Debt List'!$F$6,'Debt List'!$F$7,'Debt List'!$F$8,'Debt List'!$F$9,'Debt List'!$F$10,'Debt List'!$F$11,'Debt List'!$F$12)),N(CHOOSE(AX25,J25,N25,R25,V25,Z25,AD25,AH25,AL25))+N(CHOOSE(AX25,K25,O25,S25,W25,AA25,AE25,AI25,AM25))))),0))</f>
        <v/>
      </c>
      <c r="AZ25">
        <f>MIN(N(AY25),MAX(0,N(AW25)))</f>
        <v/>
      </c>
      <c r="BA25">
        <f>MAX(0,N(AW25)-N(AZ25))</f>
        <v/>
      </c>
      <c r="BB25">
        <f>IFERROR(MATCH(4,OrderPlan,0),"")</f>
        <v/>
      </c>
      <c r="BC25">
        <f>IF(BB25="",0,IFERROR(IF(N(CHOOSE(BB25,J25,N25,R25,V25,Z25,AD25,AH25,AL25))&lt;=0.005,0,MAX(0,N(CHOOSE(BB25,J25,N25,R25,V25,Z25,AD25,AH25,AL25))+N(CHOOSE(BB25,K25,O25,S25,W25,AA25,AE25,AI25,AM25))-MIN(N(CHOOSE(BB25,'Debt List'!$F$5,'Debt List'!$F$6,'Debt List'!$F$7,'Debt List'!$F$8,'Debt List'!$F$9,'Debt List'!$F$10,'Debt List'!$F$11,'Debt List'!$F$12)),N(CHOOSE(BB25,J25,N25,R25,V25,Z25,AD25,AH25,AL25))+N(CHOOSE(BB25,K25,O25,S25,W25,AA25,AE25,AI25,AM25))))),0))</f>
        <v/>
      </c>
      <c r="BD25">
        <f>MIN(N(BC25),MAX(0,N(BA25)))</f>
        <v/>
      </c>
      <c r="BE25">
        <f>MAX(0,N(BA25)-N(BD25))</f>
        <v/>
      </c>
      <c r="BF25">
        <f>IFERROR(MATCH(5,OrderPlan,0),"")</f>
        <v/>
      </c>
      <c r="BG25">
        <f>IF(BF25="",0,IFERROR(IF(N(CHOOSE(BF25,J25,N25,R25,V25,Z25,AD25,AH25,AL25))&lt;=0.005,0,MAX(0,N(CHOOSE(BF25,J25,N25,R25,V25,Z25,AD25,AH25,AL25))+N(CHOOSE(BF25,K25,O25,S25,W25,AA25,AE25,AI25,AM25))-MIN(N(CHOOSE(BF25,'Debt List'!$F$5,'Debt List'!$F$6,'Debt List'!$F$7,'Debt List'!$F$8,'Debt List'!$F$9,'Debt List'!$F$10,'Debt List'!$F$11,'Debt List'!$F$12)),N(CHOOSE(BF25,J25,N25,R25,V25,Z25,AD25,AH25,AL25))+N(CHOOSE(BF25,K25,O25,S25,W25,AA25,AE25,AI25,AM25))))),0))</f>
        <v/>
      </c>
      <c r="BH25">
        <f>MIN(N(BG25),MAX(0,N(BE25)))</f>
        <v/>
      </c>
      <c r="BI25">
        <f>MAX(0,N(BE25)-N(BH25))</f>
        <v/>
      </c>
      <c r="BJ25">
        <f>IFERROR(MATCH(6,OrderPlan,0),"")</f>
        <v/>
      </c>
      <c r="BK25">
        <f>IF(BJ25="",0,IFERROR(IF(N(CHOOSE(BJ25,J25,N25,R25,V25,Z25,AD25,AH25,AL25))&lt;=0.005,0,MAX(0,N(CHOOSE(BJ25,J25,N25,R25,V25,Z25,AD25,AH25,AL25))+N(CHOOSE(BJ25,K25,O25,S25,W25,AA25,AE25,AI25,AM25))-MIN(N(CHOOSE(BJ25,'Debt List'!$F$5,'Debt List'!$F$6,'Debt List'!$F$7,'Debt List'!$F$8,'Debt List'!$F$9,'Debt List'!$F$10,'Debt List'!$F$11,'Debt List'!$F$12)),N(CHOOSE(BJ25,J25,N25,R25,V25,Z25,AD25,AH25,AL25))+N(CHOOSE(BJ25,K25,O25,S25,W25,AA25,AE25,AI25,AM25))))),0))</f>
        <v/>
      </c>
      <c r="BL25">
        <f>MIN(N(BK25),MAX(0,N(BI25)))</f>
        <v/>
      </c>
      <c r="BM25">
        <f>MAX(0,N(BI25)-N(BL25))</f>
        <v/>
      </c>
      <c r="BN25">
        <f>IFERROR(MATCH(7,OrderPlan,0),"")</f>
        <v/>
      </c>
      <c r="BO25">
        <f>IF(BN25="",0,IFERROR(IF(N(CHOOSE(BN25,J25,N25,R25,V25,Z25,AD25,AH25,AL25))&lt;=0.005,0,MAX(0,N(CHOOSE(BN25,J25,N25,R25,V25,Z25,AD25,AH25,AL25))+N(CHOOSE(BN25,K25,O25,S25,W25,AA25,AE25,AI25,AM25))-MIN(N(CHOOSE(BN25,'Debt List'!$F$5,'Debt List'!$F$6,'Debt List'!$F$7,'Debt List'!$F$8,'Debt List'!$F$9,'Debt List'!$F$10,'Debt List'!$F$11,'Debt List'!$F$12)),N(CHOOSE(BN25,J25,N25,R25,V25,Z25,AD25,AH25,AL25))+N(CHOOSE(BN25,K25,O25,S25,W25,AA25,AE25,AI25,AM25))))),0))</f>
        <v/>
      </c>
      <c r="BP25">
        <f>MIN(N(BO25),MAX(0,N(BM25)))</f>
        <v/>
      </c>
      <c r="BQ25">
        <f>MAX(0,N(BM25)-N(BP25))</f>
        <v/>
      </c>
      <c r="BR25">
        <f>IFERROR(MATCH(8,OrderPlan,0),"")</f>
        <v/>
      </c>
      <c r="BS25">
        <f>IF(BR25="",0,IFERROR(IF(N(CHOOSE(BR25,J25,N25,R25,V25,Z25,AD25,AH25,AL25))&lt;=0.005,0,MAX(0,N(CHOOSE(BR25,J25,N25,R25,V25,Z25,AD25,AH25,AL25))+N(CHOOSE(BR25,K25,O25,S25,W25,AA25,AE25,AI25,AM25))-MIN(N(CHOOSE(BR25,'Debt List'!$F$5,'Debt List'!$F$6,'Debt List'!$F$7,'Debt List'!$F$8,'Debt List'!$F$9,'Debt List'!$F$10,'Debt List'!$F$11,'Debt List'!$F$12)),N(CHOOSE(BR25,J25,N25,R25,V25,Z25,AD25,AH25,AL25))+N(CHOOSE(BR25,K25,O25,S25,W25,AA25,AE25,AI25,AM25))))),0))</f>
        <v/>
      </c>
      <c r="BT25">
        <f>MIN(N(BS25),MAX(0,N(BQ25)))</f>
        <v/>
      </c>
      <c r="BU25">
        <f>MAX(0,N(BQ25)-N(BT25))</f>
        <v/>
      </c>
      <c r="CC25" t="n">
        <v>21</v>
      </c>
      <c r="CD25" s="115">
        <f>DATE(YEAR(PlanStart),MONTH(PlanStart)+CC25-1,1)</f>
        <v/>
      </c>
      <c r="CE25">
        <f>IF(AND(DR25&lt;&gt;"",N(CHOOSE(DR25,CL25,CP25,CT25,CX25,DB25,DF25,DJ25,DN25))&gt;0.005),INDEX(DebtNames,DR25),IF(AND(DV25&lt;&gt;"",N(CHOOSE(DV25,CL25,CP25,CT25,CX25,DB25,DF25,DJ25,DN25))&gt;0.005),INDEX(DebtNames,DV25),IF(AND(DZ25&lt;&gt;"",N(CHOOSE(DZ25,CL25,CP25,CT25,CX25,DB25,DF25,DJ25,DN25))&gt;0.005),INDEX(DebtNames,DZ25),IF(AND(ED25&lt;&gt;"",N(CHOOSE(ED25,CL25,CP25,CT25,CX25,DB25,DF25,DJ25,DN25))&gt;0.005),INDEX(DebtNames,ED25),IF(AND(EH25&lt;&gt;"",N(CHOOSE(EH25,CL25,CP25,CT25,CX25,DB25,DF25,DJ25,DN25))&gt;0.005),INDEX(DebtNames,EH25),IF(AND(EL25&lt;&gt;"",N(CHOOSE(EL25,CL25,CP25,CT25,CX25,DB25,DF25,DJ25,DN25))&gt;0.005),INDEX(DebtNames,EL25),IF(AND(EP25&lt;&gt;"",N(CHOOSE(EP25,CL25,CP25,CT25,CX25,DB25,DF25,DJ25,DN25))&gt;0.005),INDEX(DebtNames,EP25),IF(AND(ET25&lt;&gt;"",N(CHOOSE(ET25,CL25,CP25,CT25,CX25,DB25,DF25,DJ25,DN25))&gt;0.005),INDEX(DebtNames,ET25),""))))))))</f>
        <v/>
      </c>
      <c r="CF25">
        <f>N(EW25)</f>
        <v/>
      </c>
      <c r="CG25">
        <f>N(CN25)+N(CR25)+N(CV25)+N(CZ25)+N(DD25)+N(DH25)+N(DL25)+N(DP25)</f>
        <v/>
      </c>
      <c r="CH25">
        <f>N(CM25)+N(CQ25)+N(CU25)+N(CY25)+N(DC25)+N(DG25)+N(DK25)+N(DO25)</f>
        <v/>
      </c>
      <c r="CI25">
        <f>N(CI24)+N(CH25)</f>
        <v/>
      </c>
      <c r="CJ25">
        <f>N(CO25)+N(CS25)+N(CW25)+N(DA25)+N(DE25)+N(DI25)+N(DM25)+N(DQ25)</f>
        <v/>
      </c>
      <c r="CK25">
        <f>(CO25&gt;0.005)*1+(CS25&gt;0.005)*1+(CW25&gt;0.005)*1+(DA25&gt;0.005)*1+(DE25&gt;0.005)*1+(DI25&gt;0.005)*1+(DM25&gt;0.005)*1+(DQ25&gt;0.005)*1</f>
        <v/>
      </c>
      <c r="CL25">
        <f>N(CO24)</f>
        <v/>
      </c>
      <c r="CM25">
        <f>IF(N(CL25)&lt;=0.005,0,ROUND(N(CL25)*N('Debt List'!E5)/12,2))</f>
        <v/>
      </c>
      <c r="CN25">
        <f>IF(N(CL25)&lt;=0.005,0,MIN(N('Debt List'!F5),N(CL25)+N(CM25)))+((DR25=1)*DT25+(DV25=1)*DX25+(DZ25=1)*EB25+(ED25=1)*EF25+(EH25=1)*EJ25+(EL25=1)*EN25+(EP25=1)*ER25+(ET25=1)*EV25)</f>
        <v/>
      </c>
      <c r="CO25">
        <f>MAX(0,ROUND(N(CL25)+N(CM25)-N(CN25),2))</f>
        <v/>
      </c>
      <c r="CP25">
        <f>N(CS24)</f>
        <v/>
      </c>
      <c r="CQ25">
        <f>IF(N(CP25)&lt;=0.005,0,ROUND(N(CP25)*N('Debt List'!E6)/12,2))</f>
        <v/>
      </c>
      <c r="CR25">
        <f>IF(N(CP25)&lt;=0.005,0,MIN(N('Debt List'!F6),N(CP25)+N(CQ25)))+((DR25=2)*DT25+(DV25=2)*DX25+(DZ25=2)*EB25+(ED25=2)*EF25+(EH25=2)*EJ25+(EL25=2)*EN25+(EP25=2)*ER25+(ET25=2)*EV25)</f>
        <v/>
      </c>
      <c r="CS25">
        <f>MAX(0,ROUND(N(CP25)+N(CQ25)-N(CR25),2))</f>
        <v/>
      </c>
      <c r="CT25">
        <f>N(CW24)</f>
        <v/>
      </c>
      <c r="CU25">
        <f>IF(N(CT25)&lt;=0.005,0,ROUND(N(CT25)*N('Debt List'!E7)/12,2))</f>
        <v/>
      </c>
      <c r="CV25">
        <f>IF(N(CT25)&lt;=0.005,0,MIN(N('Debt List'!F7),N(CT25)+N(CU25)))+((DR25=3)*DT25+(DV25=3)*DX25+(DZ25=3)*EB25+(ED25=3)*EF25+(EH25=3)*EJ25+(EL25=3)*EN25+(EP25=3)*ER25+(ET25=3)*EV25)</f>
        <v/>
      </c>
      <c r="CW25">
        <f>MAX(0,ROUND(N(CT25)+N(CU25)-N(CV25),2))</f>
        <v/>
      </c>
      <c r="CX25">
        <f>N(DA24)</f>
        <v/>
      </c>
      <c r="CY25">
        <f>IF(N(CX25)&lt;=0.005,0,ROUND(N(CX25)*N('Debt List'!E8)/12,2))</f>
        <v/>
      </c>
      <c r="CZ25">
        <f>IF(N(CX25)&lt;=0.005,0,MIN(N('Debt List'!F8),N(CX25)+N(CY25)))+((DR25=4)*DT25+(DV25=4)*DX25+(DZ25=4)*EB25+(ED25=4)*EF25+(EH25=4)*EJ25+(EL25=4)*EN25+(EP25=4)*ER25+(ET25=4)*EV25)</f>
        <v/>
      </c>
      <c r="DA25">
        <f>MAX(0,ROUND(N(CX25)+N(CY25)-N(CZ25),2))</f>
        <v/>
      </c>
      <c r="DB25">
        <f>N(DE24)</f>
        <v/>
      </c>
      <c r="DC25">
        <f>IF(N(DB25)&lt;=0.005,0,ROUND(N(DB25)*N('Debt List'!E9)/12,2))</f>
        <v/>
      </c>
      <c r="DD25">
        <f>IF(N(DB25)&lt;=0.005,0,MIN(N('Debt List'!F9),N(DB25)+N(DC25)))+((DR25=5)*DT25+(DV25=5)*DX25+(DZ25=5)*EB25+(ED25=5)*EF25+(EH25=5)*EJ25+(EL25=5)*EN25+(EP25=5)*ER25+(ET25=5)*EV25)</f>
        <v/>
      </c>
      <c r="DE25">
        <f>MAX(0,ROUND(N(DB25)+N(DC25)-N(DD25),2))</f>
        <v/>
      </c>
      <c r="DF25">
        <f>N(DI24)</f>
        <v/>
      </c>
      <c r="DG25">
        <f>IF(N(DF25)&lt;=0.005,0,ROUND(N(DF25)*N('Debt List'!E10)/12,2))</f>
        <v/>
      </c>
      <c r="DH25">
        <f>IF(N(DF25)&lt;=0.005,0,MIN(N('Debt List'!F10),N(DF25)+N(DG25)))+((DR25=6)*DT25+(DV25=6)*DX25+(DZ25=6)*EB25+(ED25=6)*EF25+(EH25=6)*EJ25+(EL25=6)*EN25+(EP25=6)*ER25+(ET25=6)*EV25)</f>
        <v/>
      </c>
      <c r="DI25">
        <f>MAX(0,ROUND(N(DF25)+N(DG25)-N(DH25),2))</f>
        <v/>
      </c>
      <c r="DJ25">
        <f>N(DM24)</f>
        <v/>
      </c>
      <c r="DK25">
        <f>IF(N(DJ25)&lt;=0.005,0,ROUND(N(DJ25)*N('Debt List'!E11)/12,2))</f>
        <v/>
      </c>
      <c r="DL25">
        <f>IF(N(DJ25)&lt;=0.005,0,MIN(N('Debt List'!F11),N(DJ25)+N(DK25)))+((DR25=7)*DT25+(DV25=7)*DX25+(DZ25=7)*EB25+(ED25=7)*EF25+(EH25=7)*EJ25+(EL25=7)*EN25+(EP25=7)*ER25+(ET25=7)*EV25)</f>
        <v/>
      </c>
      <c r="DM25">
        <f>MAX(0,ROUND(N(DJ25)+N(DK25)-N(DL25),2))</f>
        <v/>
      </c>
      <c r="DN25">
        <f>N(DQ24)</f>
        <v/>
      </c>
      <c r="DO25">
        <f>IF(N(DN25)&lt;=0.005,0,ROUND(N(DN25)*N('Debt List'!E12)/12,2))</f>
        <v/>
      </c>
      <c r="DP25">
        <f>IF(N(DN25)&lt;=0.005,0,MIN(N('Debt List'!F12),N(DN25)+N(DO25)))+((DR25=8)*DT25+(DV25=8)*DX25+(DZ25=8)*EB25+(ED25=8)*EF25+(EH25=8)*EJ25+(EL25=8)*EN25+(EP25=8)*ER25+(ET25=8)*EV25)</f>
        <v/>
      </c>
      <c r="DQ25">
        <f>MAX(0,ROUND(N(DN25)+N(DO25)-N(DP25),2))</f>
        <v/>
      </c>
      <c r="DR25">
        <f>IFERROR(MATCH(1,OrderSnow,0),"")</f>
        <v/>
      </c>
      <c r="DS25">
        <f>IF(DR25="",0,IFERROR(IF(N(CHOOSE(DR25,CL25,CP25,CT25,CX25,DB25,DF25,DJ25,DN25))&lt;=0.005,0,MAX(0,N(CHOOSE(DR25,CL25,CP25,CT25,CX25,DB25,DF25,DJ25,DN25))+N(CHOOSE(DR25,CM25,CQ25,CU25,CY25,DC25,DG25,DK25,DO25))-MIN(N(CHOOSE(DR25,'Debt List'!$F$5,'Debt List'!$F$6,'Debt List'!$F$7,'Debt List'!$F$8,'Debt List'!$F$9,'Debt List'!$F$10,'Debt List'!$F$11,'Debt List'!$F$12)),N(CHOOSE(DR25,CL25,CP25,CT25,CX25,DB25,DF25,DJ25,DN25))+N(CHOOSE(DR25,CM25,CQ25,CU25,CY25,DC25,DG25,DK25,DO25))))),0))</f>
        <v/>
      </c>
      <c r="DT25">
        <f>MIN(N(DS25),MAX(0,N(ExtraPayment)))</f>
        <v/>
      </c>
      <c r="DU25">
        <f>MAX(0,N(ExtraPayment)-N(DT25))</f>
        <v/>
      </c>
      <c r="DV25">
        <f>IFERROR(MATCH(2,OrderSnow,0),"")</f>
        <v/>
      </c>
      <c r="DW25">
        <f>IF(DV25="",0,IFERROR(IF(N(CHOOSE(DV25,CL25,CP25,CT25,CX25,DB25,DF25,DJ25,DN25))&lt;=0.005,0,MAX(0,N(CHOOSE(DV25,CL25,CP25,CT25,CX25,DB25,DF25,DJ25,DN25))+N(CHOOSE(DV25,CM25,CQ25,CU25,CY25,DC25,DG25,DK25,DO25))-MIN(N(CHOOSE(DV25,'Debt List'!$F$5,'Debt List'!$F$6,'Debt List'!$F$7,'Debt List'!$F$8,'Debt List'!$F$9,'Debt List'!$F$10,'Debt List'!$F$11,'Debt List'!$F$12)),N(CHOOSE(DV25,CL25,CP25,CT25,CX25,DB25,DF25,DJ25,DN25))+N(CHOOSE(DV25,CM25,CQ25,CU25,CY25,DC25,DG25,DK25,DO25))))),0))</f>
        <v/>
      </c>
      <c r="DX25">
        <f>MIN(N(DW25),MAX(0,N(DU25)))</f>
        <v/>
      </c>
      <c r="DY25">
        <f>MAX(0,N(DU25)-N(DX25))</f>
        <v/>
      </c>
      <c r="DZ25">
        <f>IFERROR(MATCH(3,OrderSnow,0),"")</f>
        <v/>
      </c>
      <c r="EA25">
        <f>IF(DZ25="",0,IFERROR(IF(N(CHOOSE(DZ25,CL25,CP25,CT25,CX25,DB25,DF25,DJ25,DN25))&lt;=0.005,0,MAX(0,N(CHOOSE(DZ25,CL25,CP25,CT25,CX25,DB25,DF25,DJ25,DN25))+N(CHOOSE(DZ25,CM25,CQ25,CU25,CY25,DC25,DG25,DK25,DO25))-MIN(N(CHOOSE(DZ25,'Debt List'!$F$5,'Debt List'!$F$6,'Debt List'!$F$7,'Debt List'!$F$8,'Debt List'!$F$9,'Debt List'!$F$10,'Debt List'!$F$11,'Debt List'!$F$12)),N(CHOOSE(DZ25,CL25,CP25,CT25,CX25,DB25,DF25,DJ25,DN25))+N(CHOOSE(DZ25,CM25,CQ25,CU25,CY25,DC25,DG25,DK25,DO25))))),0))</f>
        <v/>
      </c>
      <c r="EB25">
        <f>MIN(N(EA25),MAX(0,N(DY25)))</f>
        <v/>
      </c>
      <c r="EC25">
        <f>MAX(0,N(DY25)-N(EB25))</f>
        <v/>
      </c>
      <c r="ED25">
        <f>IFERROR(MATCH(4,OrderSnow,0),"")</f>
        <v/>
      </c>
      <c r="EE25">
        <f>IF(ED25="",0,IFERROR(IF(N(CHOOSE(ED25,CL25,CP25,CT25,CX25,DB25,DF25,DJ25,DN25))&lt;=0.005,0,MAX(0,N(CHOOSE(ED25,CL25,CP25,CT25,CX25,DB25,DF25,DJ25,DN25))+N(CHOOSE(ED25,CM25,CQ25,CU25,CY25,DC25,DG25,DK25,DO25))-MIN(N(CHOOSE(ED25,'Debt List'!$F$5,'Debt List'!$F$6,'Debt List'!$F$7,'Debt List'!$F$8,'Debt List'!$F$9,'Debt List'!$F$10,'Debt List'!$F$11,'Debt List'!$F$12)),N(CHOOSE(ED25,CL25,CP25,CT25,CX25,DB25,DF25,DJ25,DN25))+N(CHOOSE(ED25,CM25,CQ25,CU25,CY25,DC25,DG25,DK25,DO25))))),0))</f>
        <v/>
      </c>
      <c r="EF25">
        <f>MIN(N(EE25),MAX(0,N(EC25)))</f>
        <v/>
      </c>
      <c r="EG25">
        <f>MAX(0,N(EC25)-N(EF25))</f>
        <v/>
      </c>
      <c r="EH25">
        <f>IFERROR(MATCH(5,OrderSnow,0),"")</f>
        <v/>
      </c>
      <c r="EI25">
        <f>IF(EH25="",0,IFERROR(IF(N(CHOOSE(EH25,CL25,CP25,CT25,CX25,DB25,DF25,DJ25,DN25))&lt;=0.005,0,MAX(0,N(CHOOSE(EH25,CL25,CP25,CT25,CX25,DB25,DF25,DJ25,DN25))+N(CHOOSE(EH25,CM25,CQ25,CU25,CY25,DC25,DG25,DK25,DO25))-MIN(N(CHOOSE(EH25,'Debt List'!$F$5,'Debt List'!$F$6,'Debt List'!$F$7,'Debt List'!$F$8,'Debt List'!$F$9,'Debt List'!$F$10,'Debt List'!$F$11,'Debt List'!$F$12)),N(CHOOSE(EH25,CL25,CP25,CT25,CX25,DB25,DF25,DJ25,DN25))+N(CHOOSE(EH25,CM25,CQ25,CU25,CY25,DC25,DG25,DK25,DO25))))),0))</f>
        <v/>
      </c>
      <c r="EJ25">
        <f>MIN(N(EI25),MAX(0,N(EG25)))</f>
        <v/>
      </c>
      <c r="EK25">
        <f>MAX(0,N(EG25)-N(EJ25))</f>
        <v/>
      </c>
      <c r="EL25">
        <f>IFERROR(MATCH(6,OrderSnow,0),"")</f>
        <v/>
      </c>
      <c r="EM25">
        <f>IF(EL25="",0,IFERROR(IF(N(CHOOSE(EL25,CL25,CP25,CT25,CX25,DB25,DF25,DJ25,DN25))&lt;=0.005,0,MAX(0,N(CHOOSE(EL25,CL25,CP25,CT25,CX25,DB25,DF25,DJ25,DN25))+N(CHOOSE(EL25,CM25,CQ25,CU25,CY25,DC25,DG25,DK25,DO25))-MIN(N(CHOOSE(EL25,'Debt List'!$F$5,'Debt List'!$F$6,'Debt List'!$F$7,'Debt List'!$F$8,'Debt List'!$F$9,'Debt List'!$F$10,'Debt List'!$F$11,'Debt List'!$F$12)),N(CHOOSE(EL25,CL25,CP25,CT25,CX25,DB25,DF25,DJ25,DN25))+N(CHOOSE(EL25,CM25,CQ25,CU25,CY25,DC25,DG25,DK25,DO25))))),0))</f>
        <v/>
      </c>
      <c r="EN25">
        <f>MIN(N(EM25),MAX(0,N(EK25)))</f>
        <v/>
      </c>
      <c r="EO25">
        <f>MAX(0,N(EK25)-N(EN25))</f>
        <v/>
      </c>
      <c r="EP25">
        <f>IFERROR(MATCH(7,OrderSnow,0),"")</f>
        <v/>
      </c>
      <c r="EQ25">
        <f>IF(EP25="",0,IFERROR(IF(N(CHOOSE(EP25,CL25,CP25,CT25,CX25,DB25,DF25,DJ25,DN25))&lt;=0.005,0,MAX(0,N(CHOOSE(EP25,CL25,CP25,CT25,CX25,DB25,DF25,DJ25,DN25))+N(CHOOSE(EP25,CM25,CQ25,CU25,CY25,DC25,DG25,DK25,DO25))-MIN(N(CHOOSE(EP25,'Debt List'!$F$5,'Debt List'!$F$6,'Debt List'!$F$7,'Debt List'!$F$8,'Debt List'!$F$9,'Debt List'!$F$10,'Debt List'!$F$11,'Debt List'!$F$12)),N(CHOOSE(EP25,CL25,CP25,CT25,CX25,DB25,DF25,DJ25,DN25))+N(CHOOSE(EP25,CM25,CQ25,CU25,CY25,DC25,DG25,DK25,DO25))))),0))</f>
        <v/>
      </c>
      <c r="ER25">
        <f>MIN(N(EQ25),MAX(0,N(EO25)))</f>
        <v/>
      </c>
      <c r="ES25">
        <f>MAX(0,N(EO25)-N(ER25))</f>
        <v/>
      </c>
      <c r="ET25">
        <f>IFERROR(MATCH(8,OrderSnow,0),"")</f>
        <v/>
      </c>
      <c r="EU25">
        <f>IF(ET25="",0,IFERROR(IF(N(CHOOSE(ET25,CL25,CP25,CT25,CX25,DB25,DF25,DJ25,DN25))&lt;=0.005,0,MAX(0,N(CHOOSE(ET25,CL25,CP25,CT25,CX25,DB25,DF25,DJ25,DN25))+N(CHOOSE(ET25,CM25,CQ25,CU25,CY25,DC25,DG25,DK25,DO25))-MIN(N(CHOOSE(ET25,'Debt List'!$F$5,'Debt List'!$F$6,'Debt List'!$F$7,'Debt List'!$F$8,'Debt List'!$F$9,'Debt List'!$F$10,'Debt List'!$F$11,'Debt List'!$F$12)),N(CHOOSE(ET25,CL25,CP25,CT25,CX25,DB25,DF25,DJ25,DN25))+N(CHOOSE(ET25,CM25,CQ25,CU25,CY25,DC25,DG25,DK25,DO25))))),0))</f>
        <v/>
      </c>
      <c r="EV25">
        <f>MIN(N(EU25),MAX(0,N(ES25)))</f>
        <v/>
      </c>
      <c r="EW25">
        <f>MAX(0,N(ES25)-N(EV25))</f>
        <v/>
      </c>
      <c r="FE25" t="n">
        <v>21</v>
      </c>
      <c r="FF25" s="115">
        <f>DATE(YEAR(PlanStart),MONTH(PlanStart)+FE25-1,1)</f>
        <v/>
      </c>
      <c r="FG25">
        <f>IF(AND(GT25&lt;&gt;"",N(CHOOSE(GT25,FN25,FR25,FV25,FZ25,GD25,GH25,GL25,GP25))&gt;0.005),INDEX(DebtNames,GT25),IF(AND(GX25&lt;&gt;"",N(CHOOSE(GX25,FN25,FR25,FV25,FZ25,GD25,GH25,GL25,GP25))&gt;0.005),INDEX(DebtNames,GX25),IF(AND(HB25&lt;&gt;"",N(CHOOSE(HB25,FN25,FR25,FV25,FZ25,GD25,GH25,GL25,GP25))&gt;0.005),INDEX(DebtNames,HB25),IF(AND(HF25&lt;&gt;"",N(CHOOSE(HF25,FN25,FR25,FV25,FZ25,GD25,GH25,GL25,GP25))&gt;0.005),INDEX(DebtNames,HF25),IF(AND(HJ25&lt;&gt;"",N(CHOOSE(HJ25,FN25,FR25,FV25,FZ25,GD25,GH25,GL25,GP25))&gt;0.005),INDEX(DebtNames,HJ25),IF(AND(HN25&lt;&gt;"",N(CHOOSE(HN25,FN25,FR25,FV25,FZ25,GD25,GH25,GL25,GP25))&gt;0.005),INDEX(DebtNames,HN25),IF(AND(HR25&lt;&gt;"",N(CHOOSE(HR25,FN25,FR25,FV25,FZ25,GD25,GH25,GL25,GP25))&gt;0.005),INDEX(DebtNames,HR25),IF(AND(HV25&lt;&gt;"",N(CHOOSE(HV25,FN25,FR25,FV25,FZ25,GD25,GH25,GL25,GP25))&gt;0.005),INDEX(DebtNames,HV25),""))))))))</f>
        <v/>
      </c>
      <c r="FH25">
        <f>N(HY25)</f>
        <v/>
      </c>
      <c r="FI25">
        <f>N(FP25)+N(FT25)+N(FX25)+N(GB25)+N(GF25)+N(GJ25)+N(GN25)+N(GR25)</f>
        <v/>
      </c>
      <c r="FJ25">
        <f>N(FO25)+N(FS25)+N(FW25)+N(GA25)+N(GE25)+N(GI25)+N(GM25)+N(GQ25)</f>
        <v/>
      </c>
      <c r="FK25">
        <f>N(FK24)+N(FJ25)</f>
        <v/>
      </c>
      <c r="FL25">
        <f>N(FQ25)+N(FU25)+N(FY25)+N(GC25)+N(GG25)+N(GK25)+N(GO25)+N(GS25)</f>
        <v/>
      </c>
      <c r="FM25">
        <f>(FQ25&gt;0.005)*1+(FU25&gt;0.005)*1+(FY25&gt;0.005)*1+(GC25&gt;0.005)*1+(GG25&gt;0.005)*1+(GK25&gt;0.005)*1+(GO25&gt;0.005)*1+(GS25&gt;0.005)*1</f>
        <v/>
      </c>
      <c r="FN25">
        <f>N(FQ24)</f>
        <v/>
      </c>
      <c r="FO25">
        <f>IF(N(FN25)&lt;=0.005,0,ROUND(N(FN25)*N('Debt List'!E5)/12,2))</f>
        <v/>
      </c>
      <c r="FP25">
        <f>IF(N(FN25)&lt;=0.005,0,MIN(N('Debt List'!F5),N(FN25)+N(FO25)))+((GT25=1)*GV25+(GX25=1)*GZ25+(HB25=1)*HD25+(HF25=1)*HH25+(HJ25=1)*HL25+(HN25=1)*HP25+(HR25=1)*HT25+(HV25=1)*HX25)</f>
        <v/>
      </c>
      <c r="FQ25">
        <f>MAX(0,ROUND(N(FN25)+N(FO25)-N(FP25),2))</f>
        <v/>
      </c>
      <c r="FR25">
        <f>N(FU24)</f>
        <v/>
      </c>
      <c r="FS25">
        <f>IF(N(FR25)&lt;=0.005,0,ROUND(N(FR25)*N('Debt List'!E6)/12,2))</f>
        <v/>
      </c>
      <c r="FT25">
        <f>IF(N(FR25)&lt;=0.005,0,MIN(N('Debt List'!F6),N(FR25)+N(FS25)))+((GT25=2)*GV25+(GX25=2)*GZ25+(HB25=2)*HD25+(HF25=2)*HH25+(HJ25=2)*HL25+(HN25=2)*HP25+(HR25=2)*HT25+(HV25=2)*HX25)</f>
        <v/>
      </c>
      <c r="FU25">
        <f>MAX(0,ROUND(N(FR25)+N(FS25)-N(FT25),2))</f>
        <v/>
      </c>
      <c r="FV25">
        <f>N(FY24)</f>
        <v/>
      </c>
      <c r="FW25">
        <f>IF(N(FV25)&lt;=0.005,0,ROUND(N(FV25)*N('Debt List'!E7)/12,2))</f>
        <v/>
      </c>
      <c r="FX25">
        <f>IF(N(FV25)&lt;=0.005,0,MIN(N('Debt List'!F7),N(FV25)+N(FW25)))+((GT25=3)*GV25+(GX25=3)*GZ25+(HB25=3)*HD25+(HF25=3)*HH25+(HJ25=3)*HL25+(HN25=3)*HP25+(HR25=3)*HT25+(HV25=3)*HX25)</f>
        <v/>
      </c>
      <c r="FY25">
        <f>MAX(0,ROUND(N(FV25)+N(FW25)-N(FX25),2))</f>
        <v/>
      </c>
      <c r="FZ25">
        <f>N(GC24)</f>
        <v/>
      </c>
      <c r="GA25">
        <f>IF(N(FZ25)&lt;=0.005,0,ROUND(N(FZ25)*N('Debt List'!E8)/12,2))</f>
        <v/>
      </c>
      <c r="GB25">
        <f>IF(N(FZ25)&lt;=0.005,0,MIN(N('Debt List'!F8),N(FZ25)+N(GA25)))+((GT25=4)*GV25+(GX25=4)*GZ25+(HB25=4)*HD25+(HF25=4)*HH25+(HJ25=4)*HL25+(HN25=4)*HP25+(HR25=4)*HT25+(HV25=4)*HX25)</f>
        <v/>
      </c>
      <c r="GC25">
        <f>MAX(0,ROUND(N(FZ25)+N(GA25)-N(GB25),2))</f>
        <v/>
      </c>
      <c r="GD25">
        <f>N(GG24)</f>
        <v/>
      </c>
      <c r="GE25">
        <f>IF(N(GD25)&lt;=0.005,0,ROUND(N(GD25)*N('Debt List'!E9)/12,2))</f>
        <v/>
      </c>
      <c r="GF25">
        <f>IF(N(GD25)&lt;=0.005,0,MIN(N('Debt List'!F9),N(GD25)+N(GE25)))+((GT25=5)*GV25+(GX25=5)*GZ25+(HB25=5)*HD25+(HF25=5)*HH25+(HJ25=5)*HL25+(HN25=5)*HP25+(HR25=5)*HT25+(HV25=5)*HX25)</f>
        <v/>
      </c>
      <c r="GG25">
        <f>MAX(0,ROUND(N(GD25)+N(GE25)-N(GF25),2))</f>
        <v/>
      </c>
      <c r="GH25">
        <f>N(GK24)</f>
        <v/>
      </c>
      <c r="GI25">
        <f>IF(N(GH25)&lt;=0.005,0,ROUND(N(GH25)*N('Debt List'!E10)/12,2))</f>
        <v/>
      </c>
      <c r="GJ25">
        <f>IF(N(GH25)&lt;=0.005,0,MIN(N('Debt List'!F10),N(GH25)+N(GI25)))+((GT25=6)*GV25+(GX25=6)*GZ25+(HB25=6)*HD25+(HF25=6)*HH25+(HJ25=6)*HL25+(HN25=6)*HP25+(HR25=6)*HT25+(HV25=6)*HX25)</f>
        <v/>
      </c>
      <c r="GK25">
        <f>MAX(0,ROUND(N(GH25)+N(GI25)-N(GJ25),2))</f>
        <v/>
      </c>
      <c r="GL25">
        <f>N(GO24)</f>
        <v/>
      </c>
      <c r="GM25">
        <f>IF(N(GL25)&lt;=0.005,0,ROUND(N(GL25)*N('Debt List'!E11)/12,2))</f>
        <v/>
      </c>
      <c r="GN25">
        <f>IF(N(GL25)&lt;=0.005,0,MIN(N('Debt List'!F11),N(GL25)+N(GM25)))+((GT25=7)*GV25+(GX25=7)*GZ25+(HB25=7)*HD25+(HF25=7)*HH25+(HJ25=7)*HL25+(HN25=7)*HP25+(HR25=7)*HT25+(HV25=7)*HX25)</f>
        <v/>
      </c>
      <c r="GO25">
        <f>MAX(0,ROUND(N(GL25)+N(GM25)-N(GN25),2))</f>
        <v/>
      </c>
      <c r="GP25">
        <f>N(GS24)</f>
        <v/>
      </c>
      <c r="GQ25">
        <f>IF(N(GP25)&lt;=0.005,0,ROUND(N(GP25)*N('Debt List'!E12)/12,2))</f>
        <v/>
      </c>
      <c r="GR25">
        <f>IF(N(GP25)&lt;=0.005,0,MIN(N('Debt List'!F12),N(GP25)+N(GQ25)))+((GT25=8)*GV25+(GX25=8)*GZ25+(HB25=8)*HD25+(HF25=8)*HH25+(HJ25=8)*HL25+(HN25=8)*HP25+(HR25=8)*HT25+(HV25=8)*HX25)</f>
        <v/>
      </c>
      <c r="GS25">
        <f>MAX(0,ROUND(N(GP25)+N(GQ25)-N(GR25),2))</f>
        <v/>
      </c>
      <c r="GT25">
        <f>IFERROR(MATCH(1,OrderAval,0),"")</f>
        <v/>
      </c>
      <c r="GU25">
        <f>IF(GT25="",0,IFERROR(IF(N(CHOOSE(GT25,FN25,FR25,FV25,FZ25,GD25,GH25,GL25,GP25))&lt;=0.005,0,MAX(0,N(CHOOSE(GT25,FN25,FR25,FV25,FZ25,GD25,GH25,GL25,GP25))+N(CHOOSE(GT25,FO25,FS25,FW25,GA25,GE25,GI25,GM25,GQ25))-MIN(N(CHOOSE(GT25,'Debt List'!$F$5,'Debt List'!$F$6,'Debt List'!$F$7,'Debt List'!$F$8,'Debt List'!$F$9,'Debt List'!$F$10,'Debt List'!$F$11,'Debt List'!$F$12)),N(CHOOSE(GT25,FN25,FR25,FV25,FZ25,GD25,GH25,GL25,GP25))+N(CHOOSE(GT25,FO25,FS25,FW25,GA25,GE25,GI25,GM25,GQ25))))),0))</f>
        <v/>
      </c>
      <c r="GV25">
        <f>MIN(N(GU25),MAX(0,N(ExtraPayment)))</f>
        <v/>
      </c>
      <c r="GW25">
        <f>MAX(0,N(ExtraPayment)-N(GV25))</f>
        <v/>
      </c>
      <c r="GX25">
        <f>IFERROR(MATCH(2,OrderAval,0),"")</f>
        <v/>
      </c>
      <c r="GY25">
        <f>IF(GX25="",0,IFERROR(IF(N(CHOOSE(GX25,FN25,FR25,FV25,FZ25,GD25,GH25,GL25,GP25))&lt;=0.005,0,MAX(0,N(CHOOSE(GX25,FN25,FR25,FV25,FZ25,GD25,GH25,GL25,GP25))+N(CHOOSE(GX25,FO25,FS25,FW25,GA25,GE25,GI25,GM25,GQ25))-MIN(N(CHOOSE(GX25,'Debt List'!$F$5,'Debt List'!$F$6,'Debt List'!$F$7,'Debt List'!$F$8,'Debt List'!$F$9,'Debt List'!$F$10,'Debt List'!$F$11,'Debt List'!$F$12)),N(CHOOSE(GX25,FN25,FR25,FV25,FZ25,GD25,GH25,GL25,GP25))+N(CHOOSE(GX25,FO25,FS25,FW25,GA25,GE25,GI25,GM25,GQ25))))),0))</f>
        <v/>
      </c>
      <c r="GZ25">
        <f>MIN(N(GY25),MAX(0,N(GW25)))</f>
        <v/>
      </c>
      <c r="HA25">
        <f>MAX(0,N(GW25)-N(GZ25))</f>
        <v/>
      </c>
      <c r="HB25">
        <f>IFERROR(MATCH(3,OrderAval,0),"")</f>
        <v/>
      </c>
      <c r="HC25">
        <f>IF(HB25="",0,IFERROR(IF(N(CHOOSE(HB25,FN25,FR25,FV25,FZ25,GD25,GH25,GL25,GP25))&lt;=0.005,0,MAX(0,N(CHOOSE(HB25,FN25,FR25,FV25,FZ25,GD25,GH25,GL25,GP25))+N(CHOOSE(HB25,FO25,FS25,FW25,GA25,GE25,GI25,GM25,GQ25))-MIN(N(CHOOSE(HB25,'Debt List'!$F$5,'Debt List'!$F$6,'Debt List'!$F$7,'Debt List'!$F$8,'Debt List'!$F$9,'Debt List'!$F$10,'Debt List'!$F$11,'Debt List'!$F$12)),N(CHOOSE(HB25,FN25,FR25,FV25,FZ25,GD25,GH25,GL25,GP25))+N(CHOOSE(HB25,FO25,FS25,FW25,GA25,GE25,GI25,GM25,GQ25))))),0))</f>
        <v/>
      </c>
      <c r="HD25">
        <f>MIN(N(HC25),MAX(0,N(HA25)))</f>
        <v/>
      </c>
      <c r="HE25">
        <f>MAX(0,N(HA25)-N(HD25))</f>
        <v/>
      </c>
      <c r="HF25">
        <f>IFERROR(MATCH(4,OrderAval,0),"")</f>
        <v/>
      </c>
      <c r="HG25">
        <f>IF(HF25="",0,IFERROR(IF(N(CHOOSE(HF25,FN25,FR25,FV25,FZ25,GD25,GH25,GL25,GP25))&lt;=0.005,0,MAX(0,N(CHOOSE(HF25,FN25,FR25,FV25,FZ25,GD25,GH25,GL25,GP25))+N(CHOOSE(HF25,FO25,FS25,FW25,GA25,GE25,GI25,GM25,GQ25))-MIN(N(CHOOSE(HF25,'Debt List'!$F$5,'Debt List'!$F$6,'Debt List'!$F$7,'Debt List'!$F$8,'Debt List'!$F$9,'Debt List'!$F$10,'Debt List'!$F$11,'Debt List'!$F$12)),N(CHOOSE(HF25,FN25,FR25,FV25,FZ25,GD25,GH25,GL25,GP25))+N(CHOOSE(HF25,FO25,FS25,FW25,GA25,GE25,GI25,GM25,GQ25))))),0))</f>
        <v/>
      </c>
      <c r="HH25">
        <f>MIN(N(HG25),MAX(0,N(HE25)))</f>
        <v/>
      </c>
      <c r="HI25">
        <f>MAX(0,N(HE25)-N(HH25))</f>
        <v/>
      </c>
      <c r="HJ25">
        <f>IFERROR(MATCH(5,OrderAval,0),"")</f>
        <v/>
      </c>
      <c r="HK25">
        <f>IF(HJ25="",0,IFERROR(IF(N(CHOOSE(HJ25,FN25,FR25,FV25,FZ25,GD25,GH25,GL25,GP25))&lt;=0.005,0,MAX(0,N(CHOOSE(HJ25,FN25,FR25,FV25,FZ25,GD25,GH25,GL25,GP25))+N(CHOOSE(HJ25,FO25,FS25,FW25,GA25,GE25,GI25,GM25,GQ25))-MIN(N(CHOOSE(HJ25,'Debt List'!$F$5,'Debt List'!$F$6,'Debt List'!$F$7,'Debt List'!$F$8,'Debt List'!$F$9,'Debt List'!$F$10,'Debt List'!$F$11,'Debt List'!$F$12)),N(CHOOSE(HJ25,FN25,FR25,FV25,FZ25,GD25,GH25,GL25,GP25))+N(CHOOSE(HJ25,FO25,FS25,FW25,GA25,GE25,GI25,GM25,GQ25))))),0))</f>
        <v/>
      </c>
      <c r="HL25">
        <f>MIN(N(HK25),MAX(0,N(HI25)))</f>
        <v/>
      </c>
      <c r="HM25">
        <f>MAX(0,N(HI25)-N(HL25))</f>
        <v/>
      </c>
      <c r="HN25">
        <f>IFERROR(MATCH(6,OrderAval,0),"")</f>
        <v/>
      </c>
      <c r="HO25">
        <f>IF(HN25="",0,IFERROR(IF(N(CHOOSE(HN25,FN25,FR25,FV25,FZ25,GD25,GH25,GL25,GP25))&lt;=0.005,0,MAX(0,N(CHOOSE(HN25,FN25,FR25,FV25,FZ25,GD25,GH25,GL25,GP25))+N(CHOOSE(HN25,FO25,FS25,FW25,GA25,GE25,GI25,GM25,GQ25))-MIN(N(CHOOSE(HN25,'Debt List'!$F$5,'Debt List'!$F$6,'Debt List'!$F$7,'Debt List'!$F$8,'Debt List'!$F$9,'Debt List'!$F$10,'Debt List'!$F$11,'Debt List'!$F$12)),N(CHOOSE(HN25,FN25,FR25,FV25,FZ25,GD25,GH25,GL25,GP25))+N(CHOOSE(HN25,FO25,FS25,FW25,GA25,GE25,GI25,GM25,GQ25))))),0))</f>
        <v/>
      </c>
      <c r="HP25">
        <f>MIN(N(HO25),MAX(0,N(HM25)))</f>
        <v/>
      </c>
      <c r="HQ25">
        <f>MAX(0,N(HM25)-N(HP25))</f>
        <v/>
      </c>
      <c r="HR25">
        <f>IFERROR(MATCH(7,OrderAval,0),"")</f>
        <v/>
      </c>
      <c r="HS25">
        <f>IF(HR25="",0,IFERROR(IF(N(CHOOSE(HR25,FN25,FR25,FV25,FZ25,GD25,GH25,GL25,GP25))&lt;=0.005,0,MAX(0,N(CHOOSE(HR25,FN25,FR25,FV25,FZ25,GD25,GH25,GL25,GP25))+N(CHOOSE(HR25,FO25,FS25,FW25,GA25,GE25,GI25,GM25,GQ25))-MIN(N(CHOOSE(HR25,'Debt List'!$F$5,'Debt List'!$F$6,'Debt List'!$F$7,'Debt List'!$F$8,'Debt List'!$F$9,'Debt List'!$F$10,'Debt List'!$F$11,'Debt List'!$F$12)),N(CHOOSE(HR25,FN25,FR25,FV25,FZ25,GD25,GH25,GL25,GP25))+N(CHOOSE(HR25,FO25,FS25,FW25,GA25,GE25,GI25,GM25,GQ25))))),0))</f>
        <v/>
      </c>
      <c r="HT25">
        <f>MIN(N(HS25),MAX(0,N(HQ25)))</f>
        <v/>
      </c>
      <c r="HU25">
        <f>MAX(0,N(HQ25)-N(HT25))</f>
        <v/>
      </c>
      <c r="HV25">
        <f>IFERROR(MATCH(8,OrderAval,0),"")</f>
        <v/>
      </c>
      <c r="HW25">
        <f>IF(HV25="",0,IFERROR(IF(N(CHOOSE(HV25,FN25,FR25,FV25,FZ25,GD25,GH25,GL25,GP25))&lt;=0.005,0,MAX(0,N(CHOOSE(HV25,FN25,FR25,FV25,FZ25,GD25,GH25,GL25,GP25))+N(CHOOSE(HV25,FO25,FS25,FW25,GA25,GE25,GI25,GM25,GQ25))-MIN(N(CHOOSE(HV25,'Debt List'!$F$5,'Debt List'!$F$6,'Debt List'!$F$7,'Debt List'!$F$8,'Debt List'!$F$9,'Debt List'!$F$10,'Debt List'!$F$11,'Debt List'!$F$12)),N(CHOOSE(HV25,FN25,FR25,FV25,FZ25,GD25,GH25,GL25,GP25))+N(CHOOSE(HV25,FO25,FS25,FW25,GA25,GE25,GI25,GM25,GQ25))))),0))</f>
        <v/>
      </c>
      <c r="HX25">
        <f>MIN(N(HW25),MAX(0,N(HU25)))</f>
        <v/>
      </c>
      <c r="HY25">
        <f>MAX(0,N(HU25)-N(HX25))</f>
        <v/>
      </c>
    </row>
    <row r="26">
      <c r="A26" t="n">
        <v>22</v>
      </c>
      <c r="B26" s="115">
        <f>DATE(YEAR(PlanStart),MONTH(PlanStart)+A26-1,1)</f>
        <v/>
      </c>
      <c r="C26">
        <f>IF(AND(AP26&lt;&gt;"",N(CHOOSE(AP26,J26,N26,R26,V26,Z26,AD26,AH26,AL26))&gt;0.005),INDEX(DebtNames,AP26),IF(AND(AT26&lt;&gt;"",N(CHOOSE(AT26,J26,N26,R26,V26,Z26,AD26,AH26,AL26))&gt;0.005),INDEX(DebtNames,AT26),IF(AND(AX26&lt;&gt;"",N(CHOOSE(AX26,J26,N26,R26,V26,Z26,AD26,AH26,AL26))&gt;0.005),INDEX(DebtNames,AX26),IF(AND(BB26&lt;&gt;"",N(CHOOSE(BB26,J26,N26,R26,V26,Z26,AD26,AH26,AL26))&gt;0.005),INDEX(DebtNames,BB26),IF(AND(BF26&lt;&gt;"",N(CHOOSE(BF26,J26,N26,R26,V26,Z26,AD26,AH26,AL26))&gt;0.005),INDEX(DebtNames,BF26),IF(AND(BJ26&lt;&gt;"",N(CHOOSE(BJ26,J26,N26,R26,V26,Z26,AD26,AH26,AL26))&gt;0.005),INDEX(DebtNames,BJ26),IF(AND(BN26&lt;&gt;"",N(CHOOSE(BN26,J26,N26,R26,V26,Z26,AD26,AH26,AL26))&gt;0.005),INDEX(DebtNames,BN26),IF(AND(BR26&lt;&gt;"",N(CHOOSE(BR26,J26,N26,R26,V26,Z26,AD26,AH26,AL26))&gt;0.005),INDEX(DebtNames,BR26),""))))))))</f>
        <v/>
      </c>
      <c r="D26">
        <f>N(BU26)</f>
        <v/>
      </c>
      <c r="E26">
        <f>N(L26)+N(P26)+N(T26)+N(X26)+N(AB26)+N(AF26)+N(AJ26)+N(AN26)</f>
        <v/>
      </c>
      <c r="F26">
        <f>N(K26)+N(O26)+N(S26)+N(W26)+N(AA26)+N(AE26)+N(AI26)+N(AM26)</f>
        <v/>
      </c>
      <c r="G26">
        <f>N(G25)+N(F26)</f>
        <v/>
      </c>
      <c r="H26">
        <f>N(M26)+N(Q26)+N(U26)+N(Y26)+N(AC26)+N(AG26)+N(AK26)+N(AO26)</f>
        <v/>
      </c>
      <c r="I26">
        <f>(M26&gt;0.005)*1+(Q26&gt;0.005)*1+(U26&gt;0.005)*1+(Y26&gt;0.005)*1+(AC26&gt;0.005)*1+(AG26&gt;0.005)*1+(AK26&gt;0.005)*1+(AO26&gt;0.005)*1</f>
        <v/>
      </c>
      <c r="J26">
        <f>N(M25)</f>
        <v/>
      </c>
      <c r="K26">
        <f>IF(N(J26)&lt;=0.005,0,ROUND(N(J26)*N('Debt List'!E5)/12,2))</f>
        <v/>
      </c>
      <c r="L26">
        <f>IF(N(J26)&lt;=0.005,0,MIN(N('Debt List'!F5),N(J26)+N(K26)))+((AP26=1)*AR26+(AT26=1)*AV26+(AX26=1)*AZ26+(BB26=1)*BD26+(BF26=1)*BH26+(BJ26=1)*BL26+(BN26=1)*BP26+(BR26=1)*BT26)</f>
        <v/>
      </c>
      <c r="M26">
        <f>MAX(0,ROUND(N(J26)+N(K26)-N(L26),2))</f>
        <v/>
      </c>
      <c r="N26">
        <f>N(Q25)</f>
        <v/>
      </c>
      <c r="O26">
        <f>IF(N(N26)&lt;=0.005,0,ROUND(N(N26)*N('Debt List'!E6)/12,2))</f>
        <v/>
      </c>
      <c r="P26">
        <f>IF(N(N26)&lt;=0.005,0,MIN(N('Debt List'!F6),N(N26)+N(O26)))+((AP26=2)*AR26+(AT26=2)*AV26+(AX26=2)*AZ26+(BB26=2)*BD26+(BF26=2)*BH26+(BJ26=2)*BL26+(BN26=2)*BP26+(BR26=2)*BT26)</f>
        <v/>
      </c>
      <c r="Q26">
        <f>MAX(0,ROUND(N(N26)+N(O26)-N(P26),2))</f>
        <v/>
      </c>
      <c r="R26">
        <f>N(U25)</f>
        <v/>
      </c>
      <c r="S26">
        <f>IF(N(R26)&lt;=0.005,0,ROUND(N(R26)*N('Debt List'!E7)/12,2))</f>
        <v/>
      </c>
      <c r="T26">
        <f>IF(N(R26)&lt;=0.005,0,MIN(N('Debt List'!F7),N(R26)+N(S26)))+((AP26=3)*AR26+(AT26=3)*AV26+(AX26=3)*AZ26+(BB26=3)*BD26+(BF26=3)*BH26+(BJ26=3)*BL26+(BN26=3)*BP26+(BR26=3)*BT26)</f>
        <v/>
      </c>
      <c r="U26">
        <f>MAX(0,ROUND(N(R26)+N(S26)-N(T26),2))</f>
        <v/>
      </c>
      <c r="V26">
        <f>N(Y25)</f>
        <v/>
      </c>
      <c r="W26">
        <f>IF(N(V26)&lt;=0.005,0,ROUND(N(V26)*N('Debt List'!E8)/12,2))</f>
        <v/>
      </c>
      <c r="X26">
        <f>IF(N(V26)&lt;=0.005,0,MIN(N('Debt List'!F8),N(V26)+N(W26)))+((AP26=4)*AR26+(AT26=4)*AV26+(AX26=4)*AZ26+(BB26=4)*BD26+(BF26=4)*BH26+(BJ26=4)*BL26+(BN26=4)*BP26+(BR26=4)*BT26)</f>
        <v/>
      </c>
      <c r="Y26">
        <f>MAX(0,ROUND(N(V26)+N(W26)-N(X26),2))</f>
        <v/>
      </c>
      <c r="Z26">
        <f>N(AC25)</f>
        <v/>
      </c>
      <c r="AA26">
        <f>IF(N(Z26)&lt;=0.005,0,ROUND(N(Z26)*N('Debt List'!E9)/12,2))</f>
        <v/>
      </c>
      <c r="AB26">
        <f>IF(N(Z26)&lt;=0.005,0,MIN(N('Debt List'!F9),N(Z26)+N(AA26)))+((AP26=5)*AR26+(AT26=5)*AV26+(AX26=5)*AZ26+(BB26=5)*BD26+(BF26=5)*BH26+(BJ26=5)*BL26+(BN26=5)*BP26+(BR26=5)*BT26)</f>
        <v/>
      </c>
      <c r="AC26">
        <f>MAX(0,ROUND(N(Z26)+N(AA26)-N(AB26),2))</f>
        <v/>
      </c>
      <c r="AD26">
        <f>N(AG25)</f>
        <v/>
      </c>
      <c r="AE26">
        <f>IF(N(AD26)&lt;=0.005,0,ROUND(N(AD26)*N('Debt List'!E10)/12,2))</f>
        <v/>
      </c>
      <c r="AF26">
        <f>IF(N(AD26)&lt;=0.005,0,MIN(N('Debt List'!F10),N(AD26)+N(AE26)))+((AP26=6)*AR26+(AT26=6)*AV26+(AX26=6)*AZ26+(BB26=6)*BD26+(BF26=6)*BH26+(BJ26=6)*BL26+(BN26=6)*BP26+(BR26=6)*BT26)</f>
        <v/>
      </c>
      <c r="AG26">
        <f>MAX(0,ROUND(N(AD26)+N(AE26)-N(AF26),2))</f>
        <v/>
      </c>
      <c r="AH26">
        <f>N(AK25)</f>
        <v/>
      </c>
      <c r="AI26">
        <f>IF(N(AH26)&lt;=0.005,0,ROUND(N(AH26)*N('Debt List'!E11)/12,2))</f>
        <v/>
      </c>
      <c r="AJ26">
        <f>IF(N(AH26)&lt;=0.005,0,MIN(N('Debt List'!F11),N(AH26)+N(AI26)))+((AP26=7)*AR26+(AT26=7)*AV26+(AX26=7)*AZ26+(BB26=7)*BD26+(BF26=7)*BH26+(BJ26=7)*BL26+(BN26=7)*BP26+(BR26=7)*BT26)</f>
        <v/>
      </c>
      <c r="AK26">
        <f>MAX(0,ROUND(N(AH26)+N(AI26)-N(AJ26),2))</f>
        <v/>
      </c>
      <c r="AL26">
        <f>N(AO25)</f>
        <v/>
      </c>
      <c r="AM26">
        <f>IF(N(AL26)&lt;=0.005,0,ROUND(N(AL26)*N('Debt List'!E12)/12,2))</f>
        <v/>
      </c>
      <c r="AN26">
        <f>IF(N(AL26)&lt;=0.005,0,MIN(N('Debt List'!F12),N(AL26)+N(AM26)))+((AP26=8)*AR26+(AT26=8)*AV26+(AX26=8)*AZ26+(BB26=8)*BD26+(BF26=8)*BH26+(BJ26=8)*BL26+(BN26=8)*BP26+(BR26=8)*BT26)</f>
        <v/>
      </c>
      <c r="AO26">
        <f>MAX(0,ROUND(N(AL26)+N(AM26)-N(AN26),2))</f>
        <v/>
      </c>
      <c r="AP26">
        <f>IFERROR(MATCH(1,OrderPlan,0),"")</f>
        <v/>
      </c>
      <c r="AQ26">
        <f>IF(AP26="",0,IFERROR(IF(N(CHOOSE(AP26,J26,N26,R26,V26,Z26,AD26,AH26,AL26))&lt;=0.005,0,MAX(0,N(CHOOSE(AP26,J26,N26,R26,V26,Z26,AD26,AH26,AL26))+N(CHOOSE(AP26,K26,O26,S26,W26,AA26,AE26,AI26,AM26))-MIN(N(CHOOSE(AP26,'Debt List'!$F$5,'Debt List'!$F$6,'Debt List'!$F$7,'Debt List'!$F$8,'Debt List'!$F$9,'Debt List'!$F$10,'Debt List'!$F$11,'Debt List'!$F$12)),N(CHOOSE(AP26,J26,N26,R26,V26,Z26,AD26,AH26,AL26))+N(CHOOSE(AP26,K26,O26,S26,W26,AA26,AE26,AI26,AM26))))),0))</f>
        <v/>
      </c>
      <c r="AR26">
        <f>MIN(N(AQ26),MAX(0,N(ExtraPayment)))</f>
        <v/>
      </c>
      <c r="AS26">
        <f>MAX(0,N(ExtraPayment)-N(AR26))</f>
        <v/>
      </c>
      <c r="AT26">
        <f>IFERROR(MATCH(2,OrderPlan,0),"")</f>
        <v/>
      </c>
      <c r="AU26">
        <f>IF(AT26="",0,IFERROR(IF(N(CHOOSE(AT26,J26,N26,R26,V26,Z26,AD26,AH26,AL26))&lt;=0.005,0,MAX(0,N(CHOOSE(AT26,J26,N26,R26,V26,Z26,AD26,AH26,AL26))+N(CHOOSE(AT26,K26,O26,S26,W26,AA26,AE26,AI26,AM26))-MIN(N(CHOOSE(AT26,'Debt List'!$F$5,'Debt List'!$F$6,'Debt List'!$F$7,'Debt List'!$F$8,'Debt List'!$F$9,'Debt List'!$F$10,'Debt List'!$F$11,'Debt List'!$F$12)),N(CHOOSE(AT26,J26,N26,R26,V26,Z26,AD26,AH26,AL26))+N(CHOOSE(AT26,K26,O26,S26,W26,AA26,AE26,AI26,AM26))))),0))</f>
        <v/>
      </c>
      <c r="AV26">
        <f>MIN(N(AU26),MAX(0,N(AS26)))</f>
        <v/>
      </c>
      <c r="AW26">
        <f>MAX(0,N(AS26)-N(AV26))</f>
        <v/>
      </c>
      <c r="AX26">
        <f>IFERROR(MATCH(3,OrderPlan,0),"")</f>
        <v/>
      </c>
      <c r="AY26">
        <f>IF(AX26="",0,IFERROR(IF(N(CHOOSE(AX26,J26,N26,R26,V26,Z26,AD26,AH26,AL26))&lt;=0.005,0,MAX(0,N(CHOOSE(AX26,J26,N26,R26,V26,Z26,AD26,AH26,AL26))+N(CHOOSE(AX26,K26,O26,S26,W26,AA26,AE26,AI26,AM26))-MIN(N(CHOOSE(AX26,'Debt List'!$F$5,'Debt List'!$F$6,'Debt List'!$F$7,'Debt List'!$F$8,'Debt List'!$F$9,'Debt List'!$F$10,'Debt List'!$F$11,'Debt List'!$F$12)),N(CHOOSE(AX26,J26,N26,R26,V26,Z26,AD26,AH26,AL26))+N(CHOOSE(AX26,K26,O26,S26,W26,AA26,AE26,AI26,AM26))))),0))</f>
        <v/>
      </c>
      <c r="AZ26">
        <f>MIN(N(AY26),MAX(0,N(AW26)))</f>
        <v/>
      </c>
      <c r="BA26">
        <f>MAX(0,N(AW26)-N(AZ26))</f>
        <v/>
      </c>
      <c r="BB26">
        <f>IFERROR(MATCH(4,OrderPlan,0),"")</f>
        <v/>
      </c>
      <c r="BC26">
        <f>IF(BB26="",0,IFERROR(IF(N(CHOOSE(BB26,J26,N26,R26,V26,Z26,AD26,AH26,AL26))&lt;=0.005,0,MAX(0,N(CHOOSE(BB26,J26,N26,R26,V26,Z26,AD26,AH26,AL26))+N(CHOOSE(BB26,K26,O26,S26,W26,AA26,AE26,AI26,AM26))-MIN(N(CHOOSE(BB26,'Debt List'!$F$5,'Debt List'!$F$6,'Debt List'!$F$7,'Debt List'!$F$8,'Debt List'!$F$9,'Debt List'!$F$10,'Debt List'!$F$11,'Debt List'!$F$12)),N(CHOOSE(BB26,J26,N26,R26,V26,Z26,AD26,AH26,AL26))+N(CHOOSE(BB26,K26,O26,S26,W26,AA26,AE26,AI26,AM26))))),0))</f>
        <v/>
      </c>
      <c r="BD26">
        <f>MIN(N(BC26),MAX(0,N(BA26)))</f>
        <v/>
      </c>
      <c r="BE26">
        <f>MAX(0,N(BA26)-N(BD26))</f>
        <v/>
      </c>
      <c r="BF26">
        <f>IFERROR(MATCH(5,OrderPlan,0),"")</f>
        <v/>
      </c>
      <c r="BG26">
        <f>IF(BF26="",0,IFERROR(IF(N(CHOOSE(BF26,J26,N26,R26,V26,Z26,AD26,AH26,AL26))&lt;=0.005,0,MAX(0,N(CHOOSE(BF26,J26,N26,R26,V26,Z26,AD26,AH26,AL26))+N(CHOOSE(BF26,K26,O26,S26,W26,AA26,AE26,AI26,AM26))-MIN(N(CHOOSE(BF26,'Debt List'!$F$5,'Debt List'!$F$6,'Debt List'!$F$7,'Debt List'!$F$8,'Debt List'!$F$9,'Debt List'!$F$10,'Debt List'!$F$11,'Debt List'!$F$12)),N(CHOOSE(BF26,J26,N26,R26,V26,Z26,AD26,AH26,AL26))+N(CHOOSE(BF26,K26,O26,S26,W26,AA26,AE26,AI26,AM26))))),0))</f>
        <v/>
      </c>
      <c r="BH26">
        <f>MIN(N(BG26),MAX(0,N(BE26)))</f>
        <v/>
      </c>
      <c r="BI26">
        <f>MAX(0,N(BE26)-N(BH26))</f>
        <v/>
      </c>
      <c r="BJ26">
        <f>IFERROR(MATCH(6,OrderPlan,0),"")</f>
        <v/>
      </c>
      <c r="BK26">
        <f>IF(BJ26="",0,IFERROR(IF(N(CHOOSE(BJ26,J26,N26,R26,V26,Z26,AD26,AH26,AL26))&lt;=0.005,0,MAX(0,N(CHOOSE(BJ26,J26,N26,R26,V26,Z26,AD26,AH26,AL26))+N(CHOOSE(BJ26,K26,O26,S26,W26,AA26,AE26,AI26,AM26))-MIN(N(CHOOSE(BJ26,'Debt List'!$F$5,'Debt List'!$F$6,'Debt List'!$F$7,'Debt List'!$F$8,'Debt List'!$F$9,'Debt List'!$F$10,'Debt List'!$F$11,'Debt List'!$F$12)),N(CHOOSE(BJ26,J26,N26,R26,V26,Z26,AD26,AH26,AL26))+N(CHOOSE(BJ26,K26,O26,S26,W26,AA26,AE26,AI26,AM26))))),0))</f>
        <v/>
      </c>
      <c r="BL26">
        <f>MIN(N(BK26),MAX(0,N(BI26)))</f>
        <v/>
      </c>
      <c r="BM26">
        <f>MAX(0,N(BI26)-N(BL26))</f>
        <v/>
      </c>
      <c r="BN26">
        <f>IFERROR(MATCH(7,OrderPlan,0),"")</f>
        <v/>
      </c>
      <c r="BO26">
        <f>IF(BN26="",0,IFERROR(IF(N(CHOOSE(BN26,J26,N26,R26,V26,Z26,AD26,AH26,AL26))&lt;=0.005,0,MAX(0,N(CHOOSE(BN26,J26,N26,R26,V26,Z26,AD26,AH26,AL26))+N(CHOOSE(BN26,K26,O26,S26,W26,AA26,AE26,AI26,AM26))-MIN(N(CHOOSE(BN26,'Debt List'!$F$5,'Debt List'!$F$6,'Debt List'!$F$7,'Debt List'!$F$8,'Debt List'!$F$9,'Debt List'!$F$10,'Debt List'!$F$11,'Debt List'!$F$12)),N(CHOOSE(BN26,J26,N26,R26,V26,Z26,AD26,AH26,AL26))+N(CHOOSE(BN26,K26,O26,S26,W26,AA26,AE26,AI26,AM26))))),0))</f>
        <v/>
      </c>
      <c r="BP26">
        <f>MIN(N(BO26),MAX(0,N(BM26)))</f>
        <v/>
      </c>
      <c r="BQ26">
        <f>MAX(0,N(BM26)-N(BP26))</f>
        <v/>
      </c>
      <c r="BR26">
        <f>IFERROR(MATCH(8,OrderPlan,0),"")</f>
        <v/>
      </c>
      <c r="BS26">
        <f>IF(BR26="",0,IFERROR(IF(N(CHOOSE(BR26,J26,N26,R26,V26,Z26,AD26,AH26,AL26))&lt;=0.005,0,MAX(0,N(CHOOSE(BR26,J26,N26,R26,V26,Z26,AD26,AH26,AL26))+N(CHOOSE(BR26,K26,O26,S26,W26,AA26,AE26,AI26,AM26))-MIN(N(CHOOSE(BR26,'Debt List'!$F$5,'Debt List'!$F$6,'Debt List'!$F$7,'Debt List'!$F$8,'Debt List'!$F$9,'Debt List'!$F$10,'Debt List'!$F$11,'Debt List'!$F$12)),N(CHOOSE(BR26,J26,N26,R26,V26,Z26,AD26,AH26,AL26))+N(CHOOSE(BR26,K26,O26,S26,W26,AA26,AE26,AI26,AM26))))),0))</f>
        <v/>
      </c>
      <c r="BT26">
        <f>MIN(N(BS26),MAX(0,N(BQ26)))</f>
        <v/>
      </c>
      <c r="BU26">
        <f>MAX(0,N(BQ26)-N(BT26))</f>
        <v/>
      </c>
      <c r="CC26" t="n">
        <v>22</v>
      </c>
      <c r="CD26" s="115">
        <f>DATE(YEAR(PlanStart),MONTH(PlanStart)+CC26-1,1)</f>
        <v/>
      </c>
      <c r="CE26">
        <f>IF(AND(DR26&lt;&gt;"",N(CHOOSE(DR26,CL26,CP26,CT26,CX26,DB26,DF26,DJ26,DN26))&gt;0.005),INDEX(DebtNames,DR26),IF(AND(DV26&lt;&gt;"",N(CHOOSE(DV26,CL26,CP26,CT26,CX26,DB26,DF26,DJ26,DN26))&gt;0.005),INDEX(DebtNames,DV26),IF(AND(DZ26&lt;&gt;"",N(CHOOSE(DZ26,CL26,CP26,CT26,CX26,DB26,DF26,DJ26,DN26))&gt;0.005),INDEX(DebtNames,DZ26),IF(AND(ED26&lt;&gt;"",N(CHOOSE(ED26,CL26,CP26,CT26,CX26,DB26,DF26,DJ26,DN26))&gt;0.005),INDEX(DebtNames,ED26),IF(AND(EH26&lt;&gt;"",N(CHOOSE(EH26,CL26,CP26,CT26,CX26,DB26,DF26,DJ26,DN26))&gt;0.005),INDEX(DebtNames,EH26),IF(AND(EL26&lt;&gt;"",N(CHOOSE(EL26,CL26,CP26,CT26,CX26,DB26,DF26,DJ26,DN26))&gt;0.005),INDEX(DebtNames,EL26),IF(AND(EP26&lt;&gt;"",N(CHOOSE(EP26,CL26,CP26,CT26,CX26,DB26,DF26,DJ26,DN26))&gt;0.005),INDEX(DebtNames,EP26),IF(AND(ET26&lt;&gt;"",N(CHOOSE(ET26,CL26,CP26,CT26,CX26,DB26,DF26,DJ26,DN26))&gt;0.005),INDEX(DebtNames,ET26),""))))))))</f>
        <v/>
      </c>
      <c r="CF26">
        <f>N(EW26)</f>
        <v/>
      </c>
      <c r="CG26">
        <f>N(CN26)+N(CR26)+N(CV26)+N(CZ26)+N(DD26)+N(DH26)+N(DL26)+N(DP26)</f>
        <v/>
      </c>
      <c r="CH26">
        <f>N(CM26)+N(CQ26)+N(CU26)+N(CY26)+N(DC26)+N(DG26)+N(DK26)+N(DO26)</f>
        <v/>
      </c>
      <c r="CI26">
        <f>N(CI25)+N(CH26)</f>
        <v/>
      </c>
      <c r="CJ26">
        <f>N(CO26)+N(CS26)+N(CW26)+N(DA26)+N(DE26)+N(DI26)+N(DM26)+N(DQ26)</f>
        <v/>
      </c>
      <c r="CK26">
        <f>(CO26&gt;0.005)*1+(CS26&gt;0.005)*1+(CW26&gt;0.005)*1+(DA26&gt;0.005)*1+(DE26&gt;0.005)*1+(DI26&gt;0.005)*1+(DM26&gt;0.005)*1+(DQ26&gt;0.005)*1</f>
        <v/>
      </c>
      <c r="CL26">
        <f>N(CO25)</f>
        <v/>
      </c>
      <c r="CM26">
        <f>IF(N(CL26)&lt;=0.005,0,ROUND(N(CL26)*N('Debt List'!E5)/12,2))</f>
        <v/>
      </c>
      <c r="CN26">
        <f>IF(N(CL26)&lt;=0.005,0,MIN(N('Debt List'!F5),N(CL26)+N(CM26)))+((DR26=1)*DT26+(DV26=1)*DX26+(DZ26=1)*EB26+(ED26=1)*EF26+(EH26=1)*EJ26+(EL26=1)*EN26+(EP26=1)*ER26+(ET26=1)*EV26)</f>
        <v/>
      </c>
      <c r="CO26">
        <f>MAX(0,ROUND(N(CL26)+N(CM26)-N(CN26),2))</f>
        <v/>
      </c>
      <c r="CP26">
        <f>N(CS25)</f>
        <v/>
      </c>
      <c r="CQ26">
        <f>IF(N(CP26)&lt;=0.005,0,ROUND(N(CP26)*N('Debt List'!E6)/12,2))</f>
        <v/>
      </c>
      <c r="CR26">
        <f>IF(N(CP26)&lt;=0.005,0,MIN(N('Debt List'!F6),N(CP26)+N(CQ26)))+((DR26=2)*DT26+(DV26=2)*DX26+(DZ26=2)*EB26+(ED26=2)*EF26+(EH26=2)*EJ26+(EL26=2)*EN26+(EP26=2)*ER26+(ET26=2)*EV26)</f>
        <v/>
      </c>
      <c r="CS26">
        <f>MAX(0,ROUND(N(CP26)+N(CQ26)-N(CR26),2))</f>
        <v/>
      </c>
      <c r="CT26">
        <f>N(CW25)</f>
        <v/>
      </c>
      <c r="CU26">
        <f>IF(N(CT26)&lt;=0.005,0,ROUND(N(CT26)*N('Debt List'!E7)/12,2))</f>
        <v/>
      </c>
      <c r="CV26">
        <f>IF(N(CT26)&lt;=0.005,0,MIN(N('Debt List'!F7),N(CT26)+N(CU26)))+((DR26=3)*DT26+(DV26=3)*DX26+(DZ26=3)*EB26+(ED26=3)*EF26+(EH26=3)*EJ26+(EL26=3)*EN26+(EP26=3)*ER26+(ET26=3)*EV26)</f>
        <v/>
      </c>
      <c r="CW26">
        <f>MAX(0,ROUND(N(CT26)+N(CU26)-N(CV26),2))</f>
        <v/>
      </c>
      <c r="CX26">
        <f>N(DA25)</f>
        <v/>
      </c>
      <c r="CY26">
        <f>IF(N(CX26)&lt;=0.005,0,ROUND(N(CX26)*N('Debt List'!E8)/12,2))</f>
        <v/>
      </c>
      <c r="CZ26">
        <f>IF(N(CX26)&lt;=0.005,0,MIN(N('Debt List'!F8),N(CX26)+N(CY26)))+((DR26=4)*DT26+(DV26=4)*DX26+(DZ26=4)*EB26+(ED26=4)*EF26+(EH26=4)*EJ26+(EL26=4)*EN26+(EP26=4)*ER26+(ET26=4)*EV26)</f>
        <v/>
      </c>
      <c r="DA26">
        <f>MAX(0,ROUND(N(CX26)+N(CY26)-N(CZ26),2))</f>
        <v/>
      </c>
      <c r="DB26">
        <f>N(DE25)</f>
        <v/>
      </c>
      <c r="DC26">
        <f>IF(N(DB26)&lt;=0.005,0,ROUND(N(DB26)*N('Debt List'!E9)/12,2))</f>
        <v/>
      </c>
      <c r="DD26">
        <f>IF(N(DB26)&lt;=0.005,0,MIN(N('Debt List'!F9),N(DB26)+N(DC26)))+((DR26=5)*DT26+(DV26=5)*DX26+(DZ26=5)*EB26+(ED26=5)*EF26+(EH26=5)*EJ26+(EL26=5)*EN26+(EP26=5)*ER26+(ET26=5)*EV26)</f>
        <v/>
      </c>
      <c r="DE26">
        <f>MAX(0,ROUND(N(DB26)+N(DC26)-N(DD26),2))</f>
        <v/>
      </c>
      <c r="DF26">
        <f>N(DI25)</f>
        <v/>
      </c>
      <c r="DG26">
        <f>IF(N(DF26)&lt;=0.005,0,ROUND(N(DF26)*N('Debt List'!E10)/12,2))</f>
        <v/>
      </c>
      <c r="DH26">
        <f>IF(N(DF26)&lt;=0.005,0,MIN(N('Debt List'!F10),N(DF26)+N(DG26)))+((DR26=6)*DT26+(DV26=6)*DX26+(DZ26=6)*EB26+(ED26=6)*EF26+(EH26=6)*EJ26+(EL26=6)*EN26+(EP26=6)*ER26+(ET26=6)*EV26)</f>
        <v/>
      </c>
      <c r="DI26">
        <f>MAX(0,ROUND(N(DF26)+N(DG26)-N(DH26),2))</f>
        <v/>
      </c>
      <c r="DJ26">
        <f>N(DM25)</f>
        <v/>
      </c>
      <c r="DK26">
        <f>IF(N(DJ26)&lt;=0.005,0,ROUND(N(DJ26)*N('Debt List'!E11)/12,2))</f>
        <v/>
      </c>
      <c r="DL26">
        <f>IF(N(DJ26)&lt;=0.005,0,MIN(N('Debt List'!F11),N(DJ26)+N(DK26)))+((DR26=7)*DT26+(DV26=7)*DX26+(DZ26=7)*EB26+(ED26=7)*EF26+(EH26=7)*EJ26+(EL26=7)*EN26+(EP26=7)*ER26+(ET26=7)*EV26)</f>
        <v/>
      </c>
      <c r="DM26">
        <f>MAX(0,ROUND(N(DJ26)+N(DK26)-N(DL26),2))</f>
        <v/>
      </c>
      <c r="DN26">
        <f>N(DQ25)</f>
        <v/>
      </c>
      <c r="DO26">
        <f>IF(N(DN26)&lt;=0.005,0,ROUND(N(DN26)*N('Debt List'!E12)/12,2))</f>
        <v/>
      </c>
      <c r="DP26">
        <f>IF(N(DN26)&lt;=0.005,0,MIN(N('Debt List'!F12),N(DN26)+N(DO26)))+((DR26=8)*DT26+(DV26=8)*DX26+(DZ26=8)*EB26+(ED26=8)*EF26+(EH26=8)*EJ26+(EL26=8)*EN26+(EP26=8)*ER26+(ET26=8)*EV26)</f>
        <v/>
      </c>
      <c r="DQ26">
        <f>MAX(0,ROUND(N(DN26)+N(DO26)-N(DP26),2))</f>
        <v/>
      </c>
      <c r="DR26">
        <f>IFERROR(MATCH(1,OrderSnow,0),"")</f>
        <v/>
      </c>
      <c r="DS26">
        <f>IF(DR26="",0,IFERROR(IF(N(CHOOSE(DR26,CL26,CP26,CT26,CX26,DB26,DF26,DJ26,DN26))&lt;=0.005,0,MAX(0,N(CHOOSE(DR26,CL26,CP26,CT26,CX26,DB26,DF26,DJ26,DN26))+N(CHOOSE(DR26,CM26,CQ26,CU26,CY26,DC26,DG26,DK26,DO26))-MIN(N(CHOOSE(DR26,'Debt List'!$F$5,'Debt List'!$F$6,'Debt List'!$F$7,'Debt List'!$F$8,'Debt List'!$F$9,'Debt List'!$F$10,'Debt List'!$F$11,'Debt List'!$F$12)),N(CHOOSE(DR26,CL26,CP26,CT26,CX26,DB26,DF26,DJ26,DN26))+N(CHOOSE(DR26,CM26,CQ26,CU26,CY26,DC26,DG26,DK26,DO26))))),0))</f>
        <v/>
      </c>
      <c r="DT26">
        <f>MIN(N(DS26),MAX(0,N(ExtraPayment)))</f>
        <v/>
      </c>
      <c r="DU26">
        <f>MAX(0,N(ExtraPayment)-N(DT26))</f>
        <v/>
      </c>
      <c r="DV26">
        <f>IFERROR(MATCH(2,OrderSnow,0),"")</f>
        <v/>
      </c>
      <c r="DW26">
        <f>IF(DV26="",0,IFERROR(IF(N(CHOOSE(DV26,CL26,CP26,CT26,CX26,DB26,DF26,DJ26,DN26))&lt;=0.005,0,MAX(0,N(CHOOSE(DV26,CL26,CP26,CT26,CX26,DB26,DF26,DJ26,DN26))+N(CHOOSE(DV26,CM26,CQ26,CU26,CY26,DC26,DG26,DK26,DO26))-MIN(N(CHOOSE(DV26,'Debt List'!$F$5,'Debt List'!$F$6,'Debt List'!$F$7,'Debt List'!$F$8,'Debt List'!$F$9,'Debt List'!$F$10,'Debt List'!$F$11,'Debt List'!$F$12)),N(CHOOSE(DV26,CL26,CP26,CT26,CX26,DB26,DF26,DJ26,DN26))+N(CHOOSE(DV26,CM26,CQ26,CU26,CY26,DC26,DG26,DK26,DO26))))),0))</f>
        <v/>
      </c>
      <c r="DX26">
        <f>MIN(N(DW26),MAX(0,N(DU26)))</f>
        <v/>
      </c>
      <c r="DY26">
        <f>MAX(0,N(DU26)-N(DX26))</f>
        <v/>
      </c>
      <c r="DZ26">
        <f>IFERROR(MATCH(3,OrderSnow,0),"")</f>
        <v/>
      </c>
      <c r="EA26">
        <f>IF(DZ26="",0,IFERROR(IF(N(CHOOSE(DZ26,CL26,CP26,CT26,CX26,DB26,DF26,DJ26,DN26))&lt;=0.005,0,MAX(0,N(CHOOSE(DZ26,CL26,CP26,CT26,CX26,DB26,DF26,DJ26,DN26))+N(CHOOSE(DZ26,CM26,CQ26,CU26,CY26,DC26,DG26,DK26,DO26))-MIN(N(CHOOSE(DZ26,'Debt List'!$F$5,'Debt List'!$F$6,'Debt List'!$F$7,'Debt List'!$F$8,'Debt List'!$F$9,'Debt List'!$F$10,'Debt List'!$F$11,'Debt List'!$F$12)),N(CHOOSE(DZ26,CL26,CP26,CT26,CX26,DB26,DF26,DJ26,DN26))+N(CHOOSE(DZ26,CM26,CQ26,CU26,CY26,DC26,DG26,DK26,DO26))))),0))</f>
        <v/>
      </c>
      <c r="EB26">
        <f>MIN(N(EA26),MAX(0,N(DY26)))</f>
        <v/>
      </c>
      <c r="EC26">
        <f>MAX(0,N(DY26)-N(EB26))</f>
        <v/>
      </c>
      <c r="ED26">
        <f>IFERROR(MATCH(4,OrderSnow,0),"")</f>
        <v/>
      </c>
      <c r="EE26">
        <f>IF(ED26="",0,IFERROR(IF(N(CHOOSE(ED26,CL26,CP26,CT26,CX26,DB26,DF26,DJ26,DN26))&lt;=0.005,0,MAX(0,N(CHOOSE(ED26,CL26,CP26,CT26,CX26,DB26,DF26,DJ26,DN26))+N(CHOOSE(ED26,CM26,CQ26,CU26,CY26,DC26,DG26,DK26,DO26))-MIN(N(CHOOSE(ED26,'Debt List'!$F$5,'Debt List'!$F$6,'Debt List'!$F$7,'Debt List'!$F$8,'Debt List'!$F$9,'Debt List'!$F$10,'Debt List'!$F$11,'Debt List'!$F$12)),N(CHOOSE(ED26,CL26,CP26,CT26,CX26,DB26,DF26,DJ26,DN26))+N(CHOOSE(ED26,CM26,CQ26,CU26,CY26,DC26,DG26,DK26,DO26))))),0))</f>
        <v/>
      </c>
      <c r="EF26">
        <f>MIN(N(EE26),MAX(0,N(EC26)))</f>
        <v/>
      </c>
      <c r="EG26">
        <f>MAX(0,N(EC26)-N(EF26))</f>
        <v/>
      </c>
      <c r="EH26">
        <f>IFERROR(MATCH(5,OrderSnow,0),"")</f>
        <v/>
      </c>
      <c r="EI26">
        <f>IF(EH26="",0,IFERROR(IF(N(CHOOSE(EH26,CL26,CP26,CT26,CX26,DB26,DF26,DJ26,DN26))&lt;=0.005,0,MAX(0,N(CHOOSE(EH26,CL26,CP26,CT26,CX26,DB26,DF26,DJ26,DN26))+N(CHOOSE(EH26,CM26,CQ26,CU26,CY26,DC26,DG26,DK26,DO26))-MIN(N(CHOOSE(EH26,'Debt List'!$F$5,'Debt List'!$F$6,'Debt List'!$F$7,'Debt List'!$F$8,'Debt List'!$F$9,'Debt List'!$F$10,'Debt List'!$F$11,'Debt List'!$F$12)),N(CHOOSE(EH26,CL26,CP26,CT26,CX26,DB26,DF26,DJ26,DN26))+N(CHOOSE(EH26,CM26,CQ26,CU26,CY26,DC26,DG26,DK26,DO26))))),0))</f>
        <v/>
      </c>
      <c r="EJ26">
        <f>MIN(N(EI26),MAX(0,N(EG26)))</f>
        <v/>
      </c>
      <c r="EK26">
        <f>MAX(0,N(EG26)-N(EJ26))</f>
        <v/>
      </c>
      <c r="EL26">
        <f>IFERROR(MATCH(6,OrderSnow,0),"")</f>
        <v/>
      </c>
      <c r="EM26">
        <f>IF(EL26="",0,IFERROR(IF(N(CHOOSE(EL26,CL26,CP26,CT26,CX26,DB26,DF26,DJ26,DN26))&lt;=0.005,0,MAX(0,N(CHOOSE(EL26,CL26,CP26,CT26,CX26,DB26,DF26,DJ26,DN26))+N(CHOOSE(EL26,CM26,CQ26,CU26,CY26,DC26,DG26,DK26,DO26))-MIN(N(CHOOSE(EL26,'Debt List'!$F$5,'Debt List'!$F$6,'Debt List'!$F$7,'Debt List'!$F$8,'Debt List'!$F$9,'Debt List'!$F$10,'Debt List'!$F$11,'Debt List'!$F$12)),N(CHOOSE(EL26,CL26,CP26,CT26,CX26,DB26,DF26,DJ26,DN26))+N(CHOOSE(EL26,CM26,CQ26,CU26,CY26,DC26,DG26,DK26,DO26))))),0))</f>
        <v/>
      </c>
      <c r="EN26">
        <f>MIN(N(EM26),MAX(0,N(EK26)))</f>
        <v/>
      </c>
      <c r="EO26">
        <f>MAX(0,N(EK26)-N(EN26))</f>
        <v/>
      </c>
      <c r="EP26">
        <f>IFERROR(MATCH(7,OrderSnow,0),"")</f>
        <v/>
      </c>
      <c r="EQ26">
        <f>IF(EP26="",0,IFERROR(IF(N(CHOOSE(EP26,CL26,CP26,CT26,CX26,DB26,DF26,DJ26,DN26))&lt;=0.005,0,MAX(0,N(CHOOSE(EP26,CL26,CP26,CT26,CX26,DB26,DF26,DJ26,DN26))+N(CHOOSE(EP26,CM26,CQ26,CU26,CY26,DC26,DG26,DK26,DO26))-MIN(N(CHOOSE(EP26,'Debt List'!$F$5,'Debt List'!$F$6,'Debt List'!$F$7,'Debt List'!$F$8,'Debt List'!$F$9,'Debt List'!$F$10,'Debt List'!$F$11,'Debt List'!$F$12)),N(CHOOSE(EP26,CL26,CP26,CT26,CX26,DB26,DF26,DJ26,DN26))+N(CHOOSE(EP26,CM26,CQ26,CU26,CY26,DC26,DG26,DK26,DO26))))),0))</f>
        <v/>
      </c>
      <c r="ER26">
        <f>MIN(N(EQ26),MAX(0,N(EO26)))</f>
        <v/>
      </c>
      <c r="ES26">
        <f>MAX(0,N(EO26)-N(ER26))</f>
        <v/>
      </c>
      <c r="ET26">
        <f>IFERROR(MATCH(8,OrderSnow,0),"")</f>
        <v/>
      </c>
      <c r="EU26">
        <f>IF(ET26="",0,IFERROR(IF(N(CHOOSE(ET26,CL26,CP26,CT26,CX26,DB26,DF26,DJ26,DN26))&lt;=0.005,0,MAX(0,N(CHOOSE(ET26,CL26,CP26,CT26,CX26,DB26,DF26,DJ26,DN26))+N(CHOOSE(ET26,CM26,CQ26,CU26,CY26,DC26,DG26,DK26,DO26))-MIN(N(CHOOSE(ET26,'Debt List'!$F$5,'Debt List'!$F$6,'Debt List'!$F$7,'Debt List'!$F$8,'Debt List'!$F$9,'Debt List'!$F$10,'Debt List'!$F$11,'Debt List'!$F$12)),N(CHOOSE(ET26,CL26,CP26,CT26,CX26,DB26,DF26,DJ26,DN26))+N(CHOOSE(ET26,CM26,CQ26,CU26,CY26,DC26,DG26,DK26,DO26))))),0))</f>
        <v/>
      </c>
      <c r="EV26">
        <f>MIN(N(EU26),MAX(0,N(ES26)))</f>
        <v/>
      </c>
      <c r="EW26">
        <f>MAX(0,N(ES26)-N(EV26))</f>
        <v/>
      </c>
      <c r="FE26" t="n">
        <v>22</v>
      </c>
      <c r="FF26" s="115">
        <f>DATE(YEAR(PlanStart),MONTH(PlanStart)+FE26-1,1)</f>
        <v/>
      </c>
      <c r="FG26">
        <f>IF(AND(GT26&lt;&gt;"",N(CHOOSE(GT26,FN26,FR26,FV26,FZ26,GD26,GH26,GL26,GP26))&gt;0.005),INDEX(DebtNames,GT26),IF(AND(GX26&lt;&gt;"",N(CHOOSE(GX26,FN26,FR26,FV26,FZ26,GD26,GH26,GL26,GP26))&gt;0.005),INDEX(DebtNames,GX26),IF(AND(HB26&lt;&gt;"",N(CHOOSE(HB26,FN26,FR26,FV26,FZ26,GD26,GH26,GL26,GP26))&gt;0.005),INDEX(DebtNames,HB26),IF(AND(HF26&lt;&gt;"",N(CHOOSE(HF26,FN26,FR26,FV26,FZ26,GD26,GH26,GL26,GP26))&gt;0.005),INDEX(DebtNames,HF26),IF(AND(HJ26&lt;&gt;"",N(CHOOSE(HJ26,FN26,FR26,FV26,FZ26,GD26,GH26,GL26,GP26))&gt;0.005),INDEX(DebtNames,HJ26),IF(AND(HN26&lt;&gt;"",N(CHOOSE(HN26,FN26,FR26,FV26,FZ26,GD26,GH26,GL26,GP26))&gt;0.005),INDEX(DebtNames,HN26),IF(AND(HR26&lt;&gt;"",N(CHOOSE(HR26,FN26,FR26,FV26,FZ26,GD26,GH26,GL26,GP26))&gt;0.005),INDEX(DebtNames,HR26),IF(AND(HV26&lt;&gt;"",N(CHOOSE(HV26,FN26,FR26,FV26,FZ26,GD26,GH26,GL26,GP26))&gt;0.005),INDEX(DebtNames,HV26),""))))))))</f>
        <v/>
      </c>
      <c r="FH26">
        <f>N(HY26)</f>
        <v/>
      </c>
      <c r="FI26">
        <f>N(FP26)+N(FT26)+N(FX26)+N(GB26)+N(GF26)+N(GJ26)+N(GN26)+N(GR26)</f>
        <v/>
      </c>
      <c r="FJ26">
        <f>N(FO26)+N(FS26)+N(FW26)+N(GA26)+N(GE26)+N(GI26)+N(GM26)+N(GQ26)</f>
        <v/>
      </c>
      <c r="FK26">
        <f>N(FK25)+N(FJ26)</f>
        <v/>
      </c>
      <c r="FL26">
        <f>N(FQ26)+N(FU26)+N(FY26)+N(GC26)+N(GG26)+N(GK26)+N(GO26)+N(GS26)</f>
        <v/>
      </c>
      <c r="FM26">
        <f>(FQ26&gt;0.005)*1+(FU26&gt;0.005)*1+(FY26&gt;0.005)*1+(GC26&gt;0.005)*1+(GG26&gt;0.005)*1+(GK26&gt;0.005)*1+(GO26&gt;0.005)*1+(GS26&gt;0.005)*1</f>
        <v/>
      </c>
      <c r="FN26">
        <f>N(FQ25)</f>
        <v/>
      </c>
      <c r="FO26">
        <f>IF(N(FN26)&lt;=0.005,0,ROUND(N(FN26)*N('Debt List'!E5)/12,2))</f>
        <v/>
      </c>
      <c r="FP26">
        <f>IF(N(FN26)&lt;=0.005,0,MIN(N('Debt List'!F5),N(FN26)+N(FO26)))+((GT26=1)*GV26+(GX26=1)*GZ26+(HB26=1)*HD26+(HF26=1)*HH26+(HJ26=1)*HL26+(HN26=1)*HP26+(HR26=1)*HT26+(HV26=1)*HX26)</f>
        <v/>
      </c>
      <c r="FQ26">
        <f>MAX(0,ROUND(N(FN26)+N(FO26)-N(FP26),2))</f>
        <v/>
      </c>
      <c r="FR26">
        <f>N(FU25)</f>
        <v/>
      </c>
      <c r="FS26">
        <f>IF(N(FR26)&lt;=0.005,0,ROUND(N(FR26)*N('Debt List'!E6)/12,2))</f>
        <v/>
      </c>
      <c r="FT26">
        <f>IF(N(FR26)&lt;=0.005,0,MIN(N('Debt List'!F6),N(FR26)+N(FS26)))+((GT26=2)*GV26+(GX26=2)*GZ26+(HB26=2)*HD26+(HF26=2)*HH26+(HJ26=2)*HL26+(HN26=2)*HP26+(HR26=2)*HT26+(HV26=2)*HX26)</f>
        <v/>
      </c>
      <c r="FU26">
        <f>MAX(0,ROUND(N(FR26)+N(FS26)-N(FT26),2))</f>
        <v/>
      </c>
      <c r="FV26">
        <f>N(FY25)</f>
        <v/>
      </c>
      <c r="FW26">
        <f>IF(N(FV26)&lt;=0.005,0,ROUND(N(FV26)*N('Debt List'!E7)/12,2))</f>
        <v/>
      </c>
      <c r="FX26">
        <f>IF(N(FV26)&lt;=0.005,0,MIN(N('Debt List'!F7),N(FV26)+N(FW26)))+((GT26=3)*GV26+(GX26=3)*GZ26+(HB26=3)*HD26+(HF26=3)*HH26+(HJ26=3)*HL26+(HN26=3)*HP26+(HR26=3)*HT26+(HV26=3)*HX26)</f>
        <v/>
      </c>
      <c r="FY26">
        <f>MAX(0,ROUND(N(FV26)+N(FW26)-N(FX26),2))</f>
        <v/>
      </c>
      <c r="FZ26">
        <f>N(GC25)</f>
        <v/>
      </c>
      <c r="GA26">
        <f>IF(N(FZ26)&lt;=0.005,0,ROUND(N(FZ26)*N('Debt List'!E8)/12,2))</f>
        <v/>
      </c>
      <c r="GB26">
        <f>IF(N(FZ26)&lt;=0.005,0,MIN(N('Debt List'!F8),N(FZ26)+N(GA26)))+((GT26=4)*GV26+(GX26=4)*GZ26+(HB26=4)*HD26+(HF26=4)*HH26+(HJ26=4)*HL26+(HN26=4)*HP26+(HR26=4)*HT26+(HV26=4)*HX26)</f>
        <v/>
      </c>
      <c r="GC26">
        <f>MAX(0,ROUND(N(FZ26)+N(GA26)-N(GB26),2))</f>
        <v/>
      </c>
      <c r="GD26">
        <f>N(GG25)</f>
        <v/>
      </c>
      <c r="GE26">
        <f>IF(N(GD26)&lt;=0.005,0,ROUND(N(GD26)*N('Debt List'!E9)/12,2))</f>
        <v/>
      </c>
      <c r="GF26">
        <f>IF(N(GD26)&lt;=0.005,0,MIN(N('Debt List'!F9),N(GD26)+N(GE26)))+((GT26=5)*GV26+(GX26=5)*GZ26+(HB26=5)*HD26+(HF26=5)*HH26+(HJ26=5)*HL26+(HN26=5)*HP26+(HR26=5)*HT26+(HV26=5)*HX26)</f>
        <v/>
      </c>
      <c r="GG26">
        <f>MAX(0,ROUND(N(GD26)+N(GE26)-N(GF26),2))</f>
        <v/>
      </c>
      <c r="GH26">
        <f>N(GK25)</f>
        <v/>
      </c>
      <c r="GI26">
        <f>IF(N(GH26)&lt;=0.005,0,ROUND(N(GH26)*N('Debt List'!E10)/12,2))</f>
        <v/>
      </c>
      <c r="GJ26">
        <f>IF(N(GH26)&lt;=0.005,0,MIN(N('Debt List'!F10),N(GH26)+N(GI26)))+((GT26=6)*GV26+(GX26=6)*GZ26+(HB26=6)*HD26+(HF26=6)*HH26+(HJ26=6)*HL26+(HN26=6)*HP26+(HR26=6)*HT26+(HV26=6)*HX26)</f>
        <v/>
      </c>
      <c r="GK26">
        <f>MAX(0,ROUND(N(GH26)+N(GI26)-N(GJ26),2))</f>
        <v/>
      </c>
      <c r="GL26">
        <f>N(GO25)</f>
        <v/>
      </c>
      <c r="GM26">
        <f>IF(N(GL26)&lt;=0.005,0,ROUND(N(GL26)*N('Debt List'!E11)/12,2))</f>
        <v/>
      </c>
      <c r="GN26">
        <f>IF(N(GL26)&lt;=0.005,0,MIN(N('Debt List'!F11),N(GL26)+N(GM26)))+((GT26=7)*GV26+(GX26=7)*GZ26+(HB26=7)*HD26+(HF26=7)*HH26+(HJ26=7)*HL26+(HN26=7)*HP26+(HR26=7)*HT26+(HV26=7)*HX26)</f>
        <v/>
      </c>
      <c r="GO26">
        <f>MAX(0,ROUND(N(GL26)+N(GM26)-N(GN26),2))</f>
        <v/>
      </c>
      <c r="GP26">
        <f>N(GS25)</f>
        <v/>
      </c>
      <c r="GQ26">
        <f>IF(N(GP26)&lt;=0.005,0,ROUND(N(GP26)*N('Debt List'!E12)/12,2))</f>
        <v/>
      </c>
      <c r="GR26">
        <f>IF(N(GP26)&lt;=0.005,0,MIN(N('Debt List'!F12),N(GP26)+N(GQ26)))+((GT26=8)*GV26+(GX26=8)*GZ26+(HB26=8)*HD26+(HF26=8)*HH26+(HJ26=8)*HL26+(HN26=8)*HP26+(HR26=8)*HT26+(HV26=8)*HX26)</f>
        <v/>
      </c>
      <c r="GS26">
        <f>MAX(0,ROUND(N(GP26)+N(GQ26)-N(GR26),2))</f>
        <v/>
      </c>
      <c r="GT26">
        <f>IFERROR(MATCH(1,OrderAval,0),"")</f>
        <v/>
      </c>
      <c r="GU26">
        <f>IF(GT26="",0,IFERROR(IF(N(CHOOSE(GT26,FN26,FR26,FV26,FZ26,GD26,GH26,GL26,GP26))&lt;=0.005,0,MAX(0,N(CHOOSE(GT26,FN26,FR26,FV26,FZ26,GD26,GH26,GL26,GP26))+N(CHOOSE(GT26,FO26,FS26,FW26,GA26,GE26,GI26,GM26,GQ26))-MIN(N(CHOOSE(GT26,'Debt List'!$F$5,'Debt List'!$F$6,'Debt List'!$F$7,'Debt List'!$F$8,'Debt List'!$F$9,'Debt List'!$F$10,'Debt List'!$F$11,'Debt List'!$F$12)),N(CHOOSE(GT26,FN26,FR26,FV26,FZ26,GD26,GH26,GL26,GP26))+N(CHOOSE(GT26,FO26,FS26,FW26,GA26,GE26,GI26,GM26,GQ26))))),0))</f>
        <v/>
      </c>
      <c r="GV26">
        <f>MIN(N(GU26),MAX(0,N(ExtraPayment)))</f>
        <v/>
      </c>
      <c r="GW26">
        <f>MAX(0,N(ExtraPayment)-N(GV26))</f>
        <v/>
      </c>
      <c r="GX26">
        <f>IFERROR(MATCH(2,OrderAval,0),"")</f>
        <v/>
      </c>
      <c r="GY26">
        <f>IF(GX26="",0,IFERROR(IF(N(CHOOSE(GX26,FN26,FR26,FV26,FZ26,GD26,GH26,GL26,GP26))&lt;=0.005,0,MAX(0,N(CHOOSE(GX26,FN26,FR26,FV26,FZ26,GD26,GH26,GL26,GP26))+N(CHOOSE(GX26,FO26,FS26,FW26,GA26,GE26,GI26,GM26,GQ26))-MIN(N(CHOOSE(GX26,'Debt List'!$F$5,'Debt List'!$F$6,'Debt List'!$F$7,'Debt List'!$F$8,'Debt List'!$F$9,'Debt List'!$F$10,'Debt List'!$F$11,'Debt List'!$F$12)),N(CHOOSE(GX26,FN26,FR26,FV26,FZ26,GD26,GH26,GL26,GP26))+N(CHOOSE(GX26,FO26,FS26,FW26,GA26,GE26,GI26,GM26,GQ26))))),0))</f>
        <v/>
      </c>
      <c r="GZ26">
        <f>MIN(N(GY26),MAX(0,N(GW26)))</f>
        <v/>
      </c>
      <c r="HA26">
        <f>MAX(0,N(GW26)-N(GZ26))</f>
        <v/>
      </c>
      <c r="HB26">
        <f>IFERROR(MATCH(3,OrderAval,0),"")</f>
        <v/>
      </c>
      <c r="HC26">
        <f>IF(HB26="",0,IFERROR(IF(N(CHOOSE(HB26,FN26,FR26,FV26,FZ26,GD26,GH26,GL26,GP26))&lt;=0.005,0,MAX(0,N(CHOOSE(HB26,FN26,FR26,FV26,FZ26,GD26,GH26,GL26,GP26))+N(CHOOSE(HB26,FO26,FS26,FW26,GA26,GE26,GI26,GM26,GQ26))-MIN(N(CHOOSE(HB26,'Debt List'!$F$5,'Debt List'!$F$6,'Debt List'!$F$7,'Debt List'!$F$8,'Debt List'!$F$9,'Debt List'!$F$10,'Debt List'!$F$11,'Debt List'!$F$12)),N(CHOOSE(HB26,FN26,FR26,FV26,FZ26,GD26,GH26,GL26,GP26))+N(CHOOSE(HB26,FO26,FS26,FW26,GA26,GE26,GI26,GM26,GQ26))))),0))</f>
        <v/>
      </c>
      <c r="HD26">
        <f>MIN(N(HC26),MAX(0,N(HA26)))</f>
        <v/>
      </c>
      <c r="HE26">
        <f>MAX(0,N(HA26)-N(HD26))</f>
        <v/>
      </c>
      <c r="HF26">
        <f>IFERROR(MATCH(4,OrderAval,0),"")</f>
        <v/>
      </c>
      <c r="HG26">
        <f>IF(HF26="",0,IFERROR(IF(N(CHOOSE(HF26,FN26,FR26,FV26,FZ26,GD26,GH26,GL26,GP26))&lt;=0.005,0,MAX(0,N(CHOOSE(HF26,FN26,FR26,FV26,FZ26,GD26,GH26,GL26,GP26))+N(CHOOSE(HF26,FO26,FS26,FW26,GA26,GE26,GI26,GM26,GQ26))-MIN(N(CHOOSE(HF26,'Debt List'!$F$5,'Debt List'!$F$6,'Debt List'!$F$7,'Debt List'!$F$8,'Debt List'!$F$9,'Debt List'!$F$10,'Debt List'!$F$11,'Debt List'!$F$12)),N(CHOOSE(HF26,FN26,FR26,FV26,FZ26,GD26,GH26,GL26,GP26))+N(CHOOSE(HF26,FO26,FS26,FW26,GA26,GE26,GI26,GM26,GQ26))))),0))</f>
        <v/>
      </c>
      <c r="HH26">
        <f>MIN(N(HG26),MAX(0,N(HE26)))</f>
        <v/>
      </c>
      <c r="HI26">
        <f>MAX(0,N(HE26)-N(HH26))</f>
        <v/>
      </c>
      <c r="HJ26">
        <f>IFERROR(MATCH(5,OrderAval,0),"")</f>
        <v/>
      </c>
      <c r="HK26">
        <f>IF(HJ26="",0,IFERROR(IF(N(CHOOSE(HJ26,FN26,FR26,FV26,FZ26,GD26,GH26,GL26,GP26))&lt;=0.005,0,MAX(0,N(CHOOSE(HJ26,FN26,FR26,FV26,FZ26,GD26,GH26,GL26,GP26))+N(CHOOSE(HJ26,FO26,FS26,FW26,GA26,GE26,GI26,GM26,GQ26))-MIN(N(CHOOSE(HJ26,'Debt List'!$F$5,'Debt List'!$F$6,'Debt List'!$F$7,'Debt List'!$F$8,'Debt List'!$F$9,'Debt List'!$F$10,'Debt List'!$F$11,'Debt List'!$F$12)),N(CHOOSE(HJ26,FN26,FR26,FV26,FZ26,GD26,GH26,GL26,GP26))+N(CHOOSE(HJ26,FO26,FS26,FW26,GA26,GE26,GI26,GM26,GQ26))))),0))</f>
        <v/>
      </c>
      <c r="HL26">
        <f>MIN(N(HK26),MAX(0,N(HI26)))</f>
        <v/>
      </c>
      <c r="HM26">
        <f>MAX(0,N(HI26)-N(HL26))</f>
        <v/>
      </c>
      <c r="HN26">
        <f>IFERROR(MATCH(6,OrderAval,0),"")</f>
        <v/>
      </c>
      <c r="HO26">
        <f>IF(HN26="",0,IFERROR(IF(N(CHOOSE(HN26,FN26,FR26,FV26,FZ26,GD26,GH26,GL26,GP26))&lt;=0.005,0,MAX(0,N(CHOOSE(HN26,FN26,FR26,FV26,FZ26,GD26,GH26,GL26,GP26))+N(CHOOSE(HN26,FO26,FS26,FW26,GA26,GE26,GI26,GM26,GQ26))-MIN(N(CHOOSE(HN26,'Debt List'!$F$5,'Debt List'!$F$6,'Debt List'!$F$7,'Debt List'!$F$8,'Debt List'!$F$9,'Debt List'!$F$10,'Debt List'!$F$11,'Debt List'!$F$12)),N(CHOOSE(HN26,FN26,FR26,FV26,FZ26,GD26,GH26,GL26,GP26))+N(CHOOSE(HN26,FO26,FS26,FW26,GA26,GE26,GI26,GM26,GQ26))))),0))</f>
        <v/>
      </c>
      <c r="HP26">
        <f>MIN(N(HO26),MAX(0,N(HM26)))</f>
        <v/>
      </c>
      <c r="HQ26">
        <f>MAX(0,N(HM26)-N(HP26))</f>
        <v/>
      </c>
      <c r="HR26">
        <f>IFERROR(MATCH(7,OrderAval,0),"")</f>
        <v/>
      </c>
      <c r="HS26">
        <f>IF(HR26="",0,IFERROR(IF(N(CHOOSE(HR26,FN26,FR26,FV26,FZ26,GD26,GH26,GL26,GP26))&lt;=0.005,0,MAX(0,N(CHOOSE(HR26,FN26,FR26,FV26,FZ26,GD26,GH26,GL26,GP26))+N(CHOOSE(HR26,FO26,FS26,FW26,GA26,GE26,GI26,GM26,GQ26))-MIN(N(CHOOSE(HR26,'Debt List'!$F$5,'Debt List'!$F$6,'Debt List'!$F$7,'Debt List'!$F$8,'Debt List'!$F$9,'Debt List'!$F$10,'Debt List'!$F$11,'Debt List'!$F$12)),N(CHOOSE(HR26,FN26,FR26,FV26,FZ26,GD26,GH26,GL26,GP26))+N(CHOOSE(HR26,FO26,FS26,FW26,GA26,GE26,GI26,GM26,GQ26))))),0))</f>
        <v/>
      </c>
      <c r="HT26">
        <f>MIN(N(HS26),MAX(0,N(HQ26)))</f>
        <v/>
      </c>
      <c r="HU26">
        <f>MAX(0,N(HQ26)-N(HT26))</f>
        <v/>
      </c>
      <c r="HV26">
        <f>IFERROR(MATCH(8,OrderAval,0),"")</f>
        <v/>
      </c>
      <c r="HW26">
        <f>IF(HV26="",0,IFERROR(IF(N(CHOOSE(HV26,FN26,FR26,FV26,FZ26,GD26,GH26,GL26,GP26))&lt;=0.005,0,MAX(0,N(CHOOSE(HV26,FN26,FR26,FV26,FZ26,GD26,GH26,GL26,GP26))+N(CHOOSE(HV26,FO26,FS26,FW26,GA26,GE26,GI26,GM26,GQ26))-MIN(N(CHOOSE(HV26,'Debt List'!$F$5,'Debt List'!$F$6,'Debt List'!$F$7,'Debt List'!$F$8,'Debt List'!$F$9,'Debt List'!$F$10,'Debt List'!$F$11,'Debt List'!$F$12)),N(CHOOSE(HV26,FN26,FR26,FV26,FZ26,GD26,GH26,GL26,GP26))+N(CHOOSE(HV26,FO26,FS26,FW26,GA26,GE26,GI26,GM26,GQ26))))),0))</f>
        <v/>
      </c>
      <c r="HX26">
        <f>MIN(N(HW26),MAX(0,N(HU26)))</f>
        <v/>
      </c>
      <c r="HY26">
        <f>MAX(0,N(HU26)-N(HX26))</f>
        <v/>
      </c>
    </row>
    <row r="27">
      <c r="A27" t="n">
        <v>23</v>
      </c>
      <c r="B27" s="115">
        <f>DATE(YEAR(PlanStart),MONTH(PlanStart)+A27-1,1)</f>
        <v/>
      </c>
      <c r="C27">
        <f>IF(AND(AP27&lt;&gt;"",N(CHOOSE(AP27,J27,N27,R27,V27,Z27,AD27,AH27,AL27))&gt;0.005),INDEX(DebtNames,AP27),IF(AND(AT27&lt;&gt;"",N(CHOOSE(AT27,J27,N27,R27,V27,Z27,AD27,AH27,AL27))&gt;0.005),INDEX(DebtNames,AT27),IF(AND(AX27&lt;&gt;"",N(CHOOSE(AX27,J27,N27,R27,V27,Z27,AD27,AH27,AL27))&gt;0.005),INDEX(DebtNames,AX27),IF(AND(BB27&lt;&gt;"",N(CHOOSE(BB27,J27,N27,R27,V27,Z27,AD27,AH27,AL27))&gt;0.005),INDEX(DebtNames,BB27),IF(AND(BF27&lt;&gt;"",N(CHOOSE(BF27,J27,N27,R27,V27,Z27,AD27,AH27,AL27))&gt;0.005),INDEX(DebtNames,BF27),IF(AND(BJ27&lt;&gt;"",N(CHOOSE(BJ27,J27,N27,R27,V27,Z27,AD27,AH27,AL27))&gt;0.005),INDEX(DebtNames,BJ27),IF(AND(BN27&lt;&gt;"",N(CHOOSE(BN27,J27,N27,R27,V27,Z27,AD27,AH27,AL27))&gt;0.005),INDEX(DebtNames,BN27),IF(AND(BR27&lt;&gt;"",N(CHOOSE(BR27,J27,N27,R27,V27,Z27,AD27,AH27,AL27))&gt;0.005),INDEX(DebtNames,BR27),""))))))))</f>
        <v/>
      </c>
      <c r="D27">
        <f>N(BU27)</f>
        <v/>
      </c>
      <c r="E27">
        <f>N(L27)+N(P27)+N(T27)+N(X27)+N(AB27)+N(AF27)+N(AJ27)+N(AN27)</f>
        <v/>
      </c>
      <c r="F27">
        <f>N(K27)+N(O27)+N(S27)+N(W27)+N(AA27)+N(AE27)+N(AI27)+N(AM27)</f>
        <v/>
      </c>
      <c r="G27">
        <f>N(G26)+N(F27)</f>
        <v/>
      </c>
      <c r="H27">
        <f>N(M27)+N(Q27)+N(U27)+N(Y27)+N(AC27)+N(AG27)+N(AK27)+N(AO27)</f>
        <v/>
      </c>
      <c r="I27">
        <f>(M27&gt;0.005)*1+(Q27&gt;0.005)*1+(U27&gt;0.005)*1+(Y27&gt;0.005)*1+(AC27&gt;0.005)*1+(AG27&gt;0.005)*1+(AK27&gt;0.005)*1+(AO27&gt;0.005)*1</f>
        <v/>
      </c>
      <c r="J27">
        <f>N(M26)</f>
        <v/>
      </c>
      <c r="K27">
        <f>IF(N(J27)&lt;=0.005,0,ROUND(N(J27)*N('Debt List'!E5)/12,2))</f>
        <v/>
      </c>
      <c r="L27">
        <f>IF(N(J27)&lt;=0.005,0,MIN(N('Debt List'!F5),N(J27)+N(K27)))+((AP27=1)*AR27+(AT27=1)*AV27+(AX27=1)*AZ27+(BB27=1)*BD27+(BF27=1)*BH27+(BJ27=1)*BL27+(BN27=1)*BP27+(BR27=1)*BT27)</f>
        <v/>
      </c>
      <c r="M27">
        <f>MAX(0,ROUND(N(J27)+N(K27)-N(L27),2))</f>
        <v/>
      </c>
      <c r="N27">
        <f>N(Q26)</f>
        <v/>
      </c>
      <c r="O27">
        <f>IF(N(N27)&lt;=0.005,0,ROUND(N(N27)*N('Debt List'!E6)/12,2))</f>
        <v/>
      </c>
      <c r="P27">
        <f>IF(N(N27)&lt;=0.005,0,MIN(N('Debt List'!F6),N(N27)+N(O27)))+((AP27=2)*AR27+(AT27=2)*AV27+(AX27=2)*AZ27+(BB27=2)*BD27+(BF27=2)*BH27+(BJ27=2)*BL27+(BN27=2)*BP27+(BR27=2)*BT27)</f>
        <v/>
      </c>
      <c r="Q27">
        <f>MAX(0,ROUND(N(N27)+N(O27)-N(P27),2))</f>
        <v/>
      </c>
      <c r="R27">
        <f>N(U26)</f>
        <v/>
      </c>
      <c r="S27">
        <f>IF(N(R27)&lt;=0.005,0,ROUND(N(R27)*N('Debt List'!E7)/12,2))</f>
        <v/>
      </c>
      <c r="T27">
        <f>IF(N(R27)&lt;=0.005,0,MIN(N('Debt List'!F7),N(R27)+N(S27)))+((AP27=3)*AR27+(AT27=3)*AV27+(AX27=3)*AZ27+(BB27=3)*BD27+(BF27=3)*BH27+(BJ27=3)*BL27+(BN27=3)*BP27+(BR27=3)*BT27)</f>
        <v/>
      </c>
      <c r="U27">
        <f>MAX(0,ROUND(N(R27)+N(S27)-N(T27),2))</f>
        <v/>
      </c>
      <c r="V27">
        <f>N(Y26)</f>
        <v/>
      </c>
      <c r="W27">
        <f>IF(N(V27)&lt;=0.005,0,ROUND(N(V27)*N('Debt List'!E8)/12,2))</f>
        <v/>
      </c>
      <c r="X27">
        <f>IF(N(V27)&lt;=0.005,0,MIN(N('Debt List'!F8),N(V27)+N(W27)))+((AP27=4)*AR27+(AT27=4)*AV27+(AX27=4)*AZ27+(BB27=4)*BD27+(BF27=4)*BH27+(BJ27=4)*BL27+(BN27=4)*BP27+(BR27=4)*BT27)</f>
        <v/>
      </c>
      <c r="Y27">
        <f>MAX(0,ROUND(N(V27)+N(W27)-N(X27),2))</f>
        <v/>
      </c>
      <c r="Z27">
        <f>N(AC26)</f>
        <v/>
      </c>
      <c r="AA27">
        <f>IF(N(Z27)&lt;=0.005,0,ROUND(N(Z27)*N('Debt List'!E9)/12,2))</f>
        <v/>
      </c>
      <c r="AB27">
        <f>IF(N(Z27)&lt;=0.005,0,MIN(N('Debt List'!F9),N(Z27)+N(AA27)))+((AP27=5)*AR27+(AT27=5)*AV27+(AX27=5)*AZ27+(BB27=5)*BD27+(BF27=5)*BH27+(BJ27=5)*BL27+(BN27=5)*BP27+(BR27=5)*BT27)</f>
        <v/>
      </c>
      <c r="AC27">
        <f>MAX(0,ROUND(N(Z27)+N(AA27)-N(AB27),2))</f>
        <v/>
      </c>
      <c r="AD27">
        <f>N(AG26)</f>
        <v/>
      </c>
      <c r="AE27">
        <f>IF(N(AD27)&lt;=0.005,0,ROUND(N(AD27)*N('Debt List'!E10)/12,2))</f>
        <v/>
      </c>
      <c r="AF27">
        <f>IF(N(AD27)&lt;=0.005,0,MIN(N('Debt List'!F10),N(AD27)+N(AE27)))+((AP27=6)*AR27+(AT27=6)*AV27+(AX27=6)*AZ27+(BB27=6)*BD27+(BF27=6)*BH27+(BJ27=6)*BL27+(BN27=6)*BP27+(BR27=6)*BT27)</f>
        <v/>
      </c>
      <c r="AG27">
        <f>MAX(0,ROUND(N(AD27)+N(AE27)-N(AF27),2))</f>
        <v/>
      </c>
      <c r="AH27">
        <f>N(AK26)</f>
        <v/>
      </c>
      <c r="AI27">
        <f>IF(N(AH27)&lt;=0.005,0,ROUND(N(AH27)*N('Debt List'!E11)/12,2))</f>
        <v/>
      </c>
      <c r="AJ27">
        <f>IF(N(AH27)&lt;=0.005,0,MIN(N('Debt List'!F11),N(AH27)+N(AI27)))+((AP27=7)*AR27+(AT27=7)*AV27+(AX27=7)*AZ27+(BB27=7)*BD27+(BF27=7)*BH27+(BJ27=7)*BL27+(BN27=7)*BP27+(BR27=7)*BT27)</f>
        <v/>
      </c>
      <c r="AK27">
        <f>MAX(0,ROUND(N(AH27)+N(AI27)-N(AJ27),2))</f>
        <v/>
      </c>
      <c r="AL27">
        <f>N(AO26)</f>
        <v/>
      </c>
      <c r="AM27">
        <f>IF(N(AL27)&lt;=0.005,0,ROUND(N(AL27)*N('Debt List'!E12)/12,2))</f>
        <v/>
      </c>
      <c r="AN27">
        <f>IF(N(AL27)&lt;=0.005,0,MIN(N('Debt List'!F12),N(AL27)+N(AM27)))+((AP27=8)*AR27+(AT27=8)*AV27+(AX27=8)*AZ27+(BB27=8)*BD27+(BF27=8)*BH27+(BJ27=8)*BL27+(BN27=8)*BP27+(BR27=8)*BT27)</f>
        <v/>
      </c>
      <c r="AO27">
        <f>MAX(0,ROUND(N(AL27)+N(AM27)-N(AN27),2))</f>
        <v/>
      </c>
      <c r="AP27">
        <f>IFERROR(MATCH(1,OrderPlan,0),"")</f>
        <v/>
      </c>
      <c r="AQ27">
        <f>IF(AP27="",0,IFERROR(IF(N(CHOOSE(AP27,J27,N27,R27,V27,Z27,AD27,AH27,AL27))&lt;=0.005,0,MAX(0,N(CHOOSE(AP27,J27,N27,R27,V27,Z27,AD27,AH27,AL27))+N(CHOOSE(AP27,K27,O27,S27,W27,AA27,AE27,AI27,AM27))-MIN(N(CHOOSE(AP27,'Debt List'!$F$5,'Debt List'!$F$6,'Debt List'!$F$7,'Debt List'!$F$8,'Debt List'!$F$9,'Debt List'!$F$10,'Debt List'!$F$11,'Debt List'!$F$12)),N(CHOOSE(AP27,J27,N27,R27,V27,Z27,AD27,AH27,AL27))+N(CHOOSE(AP27,K27,O27,S27,W27,AA27,AE27,AI27,AM27))))),0))</f>
        <v/>
      </c>
      <c r="AR27">
        <f>MIN(N(AQ27),MAX(0,N(ExtraPayment)))</f>
        <v/>
      </c>
      <c r="AS27">
        <f>MAX(0,N(ExtraPayment)-N(AR27))</f>
        <v/>
      </c>
      <c r="AT27">
        <f>IFERROR(MATCH(2,OrderPlan,0),"")</f>
        <v/>
      </c>
      <c r="AU27">
        <f>IF(AT27="",0,IFERROR(IF(N(CHOOSE(AT27,J27,N27,R27,V27,Z27,AD27,AH27,AL27))&lt;=0.005,0,MAX(0,N(CHOOSE(AT27,J27,N27,R27,V27,Z27,AD27,AH27,AL27))+N(CHOOSE(AT27,K27,O27,S27,W27,AA27,AE27,AI27,AM27))-MIN(N(CHOOSE(AT27,'Debt List'!$F$5,'Debt List'!$F$6,'Debt List'!$F$7,'Debt List'!$F$8,'Debt List'!$F$9,'Debt List'!$F$10,'Debt List'!$F$11,'Debt List'!$F$12)),N(CHOOSE(AT27,J27,N27,R27,V27,Z27,AD27,AH27,AL27))+N(CHOOSE(AT27,K27,O27,S27,W27,AA27,AE27,AI27,AM27))))),0))</f>
        <v/>
      </c>
      <c r="AV27">
        <f>MIN(N(AU27),MAX(0,N(AS27)))</f>
        <v/>
      </c>
      <c r="AW27">
        <f>MAX(0,N(AS27)-N(AV27))</f>
        <v/>
      </c>
      <c r="AX27">
        <f>IFERROR(MATCH(3,OrderPlan,0),"")</f>
        <v/>
      </c>
      <c r="AY27">
        <f>IF(AX27="",0,IFERROR(IF(N(CHOOSE(AX27,J27,N27,R27,V27,Z27,AD27,AH27,AL27))&lt;=0.005,0,MAX(0,N(CHOOSE(AX27,J27,N27,R27,V27,Z27,AD27,AH27,AL27))+N(CHOOSE(AX27,K27,O27,S27,W27,AA27,AE27,AI27,AM27))-MIN(N(CHOOSE(AX27,'Debt List'!$F$5,'Debt List'!$F$6,'Debt List'!$F$7,'Debt List'!$F$8,'Debt List'!$F$9,'Debt List'!$F$10,'Debt List'!$F$11,'Debt List'!$F$12)),N(CHOOSE(AX27,J27,N27,R27,V27,Z27,AD27,AH27,AL27))+N(CHOOSE(AX27,K27,O27,S27,W27,AA27,AE27,AI27,AM27))))),0))</f>
        <v/>
      </c>
      <c r="AZ27">
        <f>MIN(N(AY27),MAX(0,N(AW27)))</f>
        <v/>
      </c>
      <c r="BA27">
        <f>MAX(0,N(AW27)-N(AZ27))</f>
        <v/>
      </c>
      <c r="BB27">
        <f>IFERROR(MATCH(4,OrderPlan,0),"")</f>
        <v/>
      </c>
      <c r="BC27">
        <f>IF(BB27="",0,IFERROR(IF(N(CHOOSE(BB27,J27,N27,R27,V27,Z27,AD27,AH27,AL27))&lt;=0.005,0,MAX(0,N(CHOOSE(BB27,J27,N27,R27,V27,Z27,AD27,AH27,AL27))+N(CHOOSE(BB27,K27,O27,S27,W27,AA27,AE27,AI27,AM27))-MIN(N(CHOOSE(BB27,'Debt List'!$F$5,'Debt List'!$F$6,'Debt List'!$F$7,'Debt List'!$F$8,'Debt List'!$F$9,'Debt List'!$F$10,'Debt List'!$F$11,'Debt List'!$F$12)),N(CHOOSE(BB27,J27,N27,R27,V27,Z27,AD27,AH27,AL27))+N(CHOOSE(BB27,K27,O27,S27,W27,AA27,AE27,AI27,AM27))))),0))</f>
        <v/>
      </c>
      <c r="BD27">
        <f>MIN(N(BC27),MAX(0,N(BA27)))</f>
        <v/>
      </c>
      <c r="BE27">
        <f>MAX(0,N(BA27)-N(BD27))</f>
        <v/>
      </c>
      <c r="BF27">
        <f>IFERROR(MATCH(5,OrderPlan,0),"")</f>
        <v/>
      </c>
      <c r="BG27">
        <f>IF(BF27="",0,IFERROR(IF(N(CHOOSE(BF27,J27,N27,R27,V27,Z27,AD27,AH27,AL27))&lt;=0.005,0,MAX(0,N(CHOOSE(BF27,J27,N27,R27,V27,Z27,AD27,AH27,AL27))+N(CHOOSE(BF27,K27,O27,S27,W27,AA27,AE27,AI27,AM27))-MIN(N(CHOOSE(BF27,'Debt List'!$F$5,'Debt List'!$F$6,'Debt List'!$F$7,'Debt List'!$F$8,'Debt List'!$F$9,'Debt List'!$F$10,'Debt List'!$F$11,'Debt List'!$F$12)),N(CHOOSE(BF27,J27,N27,R27,V27,Z27,AD27,AH27,AL27))+N(CHOOSE(BF27,K27,O27,S27,W27,AA27,AE27,AI27,AM27))))),0))</f>
        <v/>
      </c>
      <c r="BH27">
        <f>MIN(N(BG27),MAX(0,N(BE27)))</f>
        <v/>
      </c>
      <c r="BI27">
        <f>MAX(0,N(BE27)-N(BH27))</f>
        <v/>
      </c>
      <c r="BJ27">
        <f>IFERROR(MATCH(6,OrderPlan,0),"")</f>
        <v/>
      </c>
      <c r="BK27">
        <f>IF(BJ27="",0,IFERROR(IF(N(CHOOSE(BJ27,J27,N27,R27,V27,Z27,AD27,AH27,AL27))&lt;=0.005,0,MAX(0,N(CHOOSE(BJ27,J27,N27,R27,V27,Z27,AD27,AH27,AL27))+N(CHOOSE(BJ27,K27,O27,S27,W27,AA27,AE27,AI27,AM27))-MIN(N(CHOOSE(BJ27,'Debt List'!$F$5,'Debt List'!$F$6,'Debt List'!$F$7,'Debt List'!$F$8,'Debt List'!$F$9,'Debt List'!$F$10,'Debt List'!$F$11,'Debt List'!$F$12)),N(CHOOSE(BJ27,J27,N27,R27,V27,Z27,AD27,AH27,AL27))+N(CHOOSE(BJ27,K27,O27,S27,W27,AA27,AE27,AI27,AM27))))),0))</f>
        <v/>
      </c>
      <c r="BL27">
        <f>MIN(N(BK27),MAX(0,N(BI27)))</f>
        <v/>
      </c>
      <c r="BM27">
        <f>MAX(0,N(BI27)-N(BL27))</f>
        <v/>
      </c>
      <c r="BN27">
        <f>IFERROR(MATCH(7,OrderPlan,0),"")</f>
        <v/>
      </c>
      <c r="BO27">
        <f>IF(BN27="",0,IFERROR(IF(N(CHOOSE(BN27,J27,N27,R27,V27,Z27,AD27,AH27,AL27))&lt;=0.005,0,MAX(0,N(CHOOSE(BN27,J27,N27,R27,V27,Z27,AD27,AH27,AL27))+N(CHOOSE(BN27,K27,O27,S27,W27,AA27,AE27,AI27,AM27))-MIN(N(CHOOSE(BN27,'Debt List'!$F$5,'Debt List'!$F$6,'Debt List'!$F$7,'Debt List'!$F$8,'Debt List'!$F$9,'Debt List'!$F$10,'Debt List'!$F$11,'Debt List'!$F$12)),N(CHOOSE(BN27,J27,N27,R27,V27,Z27,AD27,AH27,AL27))+N(CHOOSE(BN27,K27,O27,S27,W27,AA27,AE27,AI27,AM27))))),0))</f>
        <v/>
      </c>
      <c r="BP27">
        <f>MIN(N(BO27),MAX(0,N(BM27)))</f>
        <v/>
      </c>
      <c r="BQ27">
        <f>MAX(0,N(BM27)-N(BP27))</f>
        <v/>
      </c>
      <c r="BR27">
        <f>IFERROR(MATCH(8,OrderPlan,0),"")</f>
        <v/>
      </c>
      <c r="BS27">
        <f>IF(BR27="",0,IFERROR(IF(N(CHOOSE(BR27,J27,N27,R27,V27,Z27,AD27,AH27,AL27))&lt;=0.005,0,MAX(0,N(CHOOSE(BR27,J27,N27,R27,V27,Z27,AD27,AH27,AL27))+N(CHOOSE(BR27,K27,O27,S27,W27,AA27,AE27,AI27,AM27))-MIN(N(CHOOSE(BR27,'Debt List'!$F$5,'Debt List'!$F$6,'Debt List'!$F$7,'Debt List'!$F$8,'Debt List'!$F$9,'Debt List'!$F$10,'Debt List'!$F$11,'Debt List'!$F$12)),N(CHOOSE(BR27,J27,N27,R27,V27,Z27,AD27,AH27,AL27))+N(CHOOSE(BR27,K27,O27,S27,W27,AA27,AE27,AI27,AM27))))),0))</f>
        <v/>
      </c>
      <c r="BT27">
        <f>MIN(N(BS27),MAX(0,N(BQ27)))</f>
        <v/>
      </c>
      <c r="BU27">
        <f>MAX(0,N(BQ27)-N(BT27))</f>
        <v/>
      </c>
      <c r="CC27" t="n">
        <v>23</v>
      </c>
      <c r="CD27" s="115">
        <f>DATE(YEAR(PlanStart),MONTH(PlanStart)+CC27-1,1)</f>
        <v/>
      </c>
      <c r="CE27">
        <f>IF(AND(DR27&lt;&gt;"",N(CHOOSE(DR27,CL27,CP27,CT27,CX27,DB27,DF27,DJ27,DN27))&gt;0.005),INDEX(DebtNames,DR27),IF(AND(DV27&lt;&gt;"",N(CHOOSE(DV27,CL27,CP27,CT27,CX27,DB27,DF27,DJ27,DN27))&gt;0.005),INDEX(DebtNames,DV27),IF(AND(DZ27&lt;&gt;"",N(CHOOSE(DZ27,CL27,CP27,CT27,CX27,DB27,DF27,DJ27,DN27))&gt;0.005),INDEX(DebtNames,DZ27),IF(AND(ED27&lt;&gt;"",N(CHOOSE(ED27,CL27,CP27,CT27,CX27,DB27,DF27,DJ27,DN27))&gt;0.005),INDEX(DebtNames,ED27),IF(AND(EH27&lt;&gt;"",N(CHOOSE(EH27,CL27,CP27,CT27,CX27,DB27,DF27,DJ27,DN27))&gt;0.005),INDEX(DebtNames,EH27),IF(AND(EL27&lt;&gt;"",N(CHOOSE(EL27,CL27,CP27,CT27,CX27,DB27,DF27,DJ27,DN27))&gt;0.005),INDEX(DebtNames,EL27),IF(AND(EP27&lt;&gt;"",N(CHOOSE(EP27,CL27,CP27,CT27,CX27,DB27,DF27,DJ27,DN27))&gt;0.005),INDEX(DebtNames,EP27),IF(AND(ET27&lt;&gt;"",N(CHOOSE(ET27,CL27,CP27,CT27,CX27,DB27,DF27,DJ27,DN27))&gt;0.005),INDEX(DebtNames,ET27),""))))))))</f>
        <v/>
      </c>
      <c r="CF27">
        <f>N(EW27)</f>
        <v/>
      </c>
      <c r="CG27">
        <f>N(CN27)+N(CR27)+N(CV27)+N(CZ27)+N(DD27)+N(DH27)+N(DL27)+N(DP27)</f>
        <v/>
      </c>
      <c r="CH27">
        <f>N(CM27)+N(CQ27)+N(CU27)+N(CY27)+N(DC27)+N(DG27)+N(DK27)+N(DO27)</f>
        <v/>
      </c>
      <c r="CI27">
        <f>N(CI26)+N(CH27)</f>
        <v/>
      </c>
      <c r="CJ27">
        <f>N(CO27)+N(CS27)+N(CW27)+N(DA27)+N(DE27)+N(DI27)+N(DM27)+N(DQ27)</f>
        <v/>
      </c>
      <c r="CK27">
        <f>(CO27&gt;0.005)*1+(CS27&gt;0.005)*1+(CW27&gt;0.005)*1+(DA27&gt;0.005)*1+(DE27&gt;0.005)*1+(DI27&gt;0.005)*1+(DM27&gt;0.005)*1+(DQ27&gt;0.005)*1</f>
        <v/>
      </c>
      <c r="CL27">
        <f>N(CO26)</f>
        <v/>
      </c>
      <c r="CM27">
        <f>IF(N(CL27)&lt;=0.005,0,ROUND(N(CL27)*N('Debt List'!E5)/12,2))</f>
        <v/>
      </c>
      <c r="CN27">
        <f>IF(N(CL27)&lt;=0.005,0,MIN(N('Debt List'!F5),N(CL27)+N(CM27)))+((DR27=1)*DT27+(DV27=1)*DX27+(DZ27=1)*EB27+(ED27=1)*EF27+(EH27=1)*EJ27+(EL27=1)*EN27+(EP27=1)*ER27+(ET27=1)*EV27)</f>
        <v/>
      </c>
      <c r="CO27">
        <f>MAX(0,ROUND(N(CL27)+N(CM27)-N(CN27),2))</f>
        <v/>
      </c>
      <c r="CP27">
        <f>N(CS26)</f>
        <v/>
      </c>
      <c r="CQ27">
        <f>IF(N(CP27)&lt;=0.005,0,ROUND(N(CP27)*N('Debt List'!E6)/12,2))</f>
        <v/>
      </c>
      <c r="CR27">
        <f>IF(N(CP27)&lt;=0.005,0,MIN(N('Debt List'!F6),N(CP27)+N(CQ27)))+((DR27=2)*DT27+(DV27=2)*DX27+(DZ27=2)*EB27+(ED27=2)*EF27+(EH27=2)*EJ27+(EL27=2)*EN27+(EP27=2)*ER27+(ET27=2)*EV27)</f>
        <v/>
      </c>
      <c r="CS27">
        <f>MAX(0,ROUND(N(CP27)+N(CQ27)-N(CR27),2))</f>
        <v/>
      </c>
      <c r="CT27">
        <f>N(CW26)</f>
        <v/>
      </c>
      <c r="CU27">
        <f>IF(N(CT27)&lt;=0.005,0,ROUND(N(CT27)*N('Debt List'!E7)/12,2))</f>
        <v/>
      </c>
      <c r="CV27">
        <f>IF(N(CT27)&lt;=0.005,0,MIN(N('Debt List'!F7),N(CT27)+N(CU27)))+((DR27=3)*DT27+(DV27=3)*DX27+(DZ27=3)*EB27+(ED27=3)*EF27+(EH27=3)*EJ27+(EL27=3)*EN27+(EP27=3)*ER27+(ET27=3)*EV27)</f>
        <v/>
      </c>
      <c r="CW27">
        <f>MAX(0,ROUND(N(CT27)+N(CU27)-N(CV27),2))</f>
        <v/>
      </c>
      <c r="CX27">
        <f>N(DA26)</f>
        <v/>
      </c>
      <c r="CY27">
        <f>IF(N(CX27)&lt;=0.005,0,ROUND(N(CX27)*N('Debt List'!E8)/12,2))</f>
        <v/>
      </c>
      <c r="CZ27">
        <f>IF(N(CX27)&lt;=0.005,0,MIN(N('Debt List'!F8),N(CX27)+N(CY27)))+((DR27=4)*DT27+(DV27=4)*DX27+(DZ27=4)*EB27+(ED27=4)*EF27+(EH27=4)*EJ27+(EL27=4)*EN27+(EP27=4)*ER27+(ET27=4)*EV27)</f>
        <v/>
      </c>
      <c r="DA27">
        <f>MAX(0,ROUND(N(CX27)+N(CY27)-N(CZ27),2))</f>
        <v/>
      </c>
      <c r="DB27">
        <f>N(DE26)</f>
        <v/>
      </c>
      <c r="DC27">
        <f>IF(N(DB27)&lt;=0.005,0,ROUND(N(DB27)*N('Debt List'!E9)/12,2))</f>
        <v/>
      </c>
      <c r="DD27">
        <f>IF(N(DB27)&lt;=0.005,0,MIN(N('Debt List'!F9),N(DB27)+N(DC27)))+((DR27=5)*DT27+(DV27=5)*DX27+(DZ27=5)*EB27+(ED27=5)*EF27+(EH27=5)*EJ27+(EL27=5)*EN27+(EP27=5)*ER27+(ET27=5)*EV27)</f>
        <v/>
      </c>
      <c r="DE27">
        <f>MAX(0,ROUND(N(DB27)+N(DC27)-N(DD27),2))</f>
        <v/>
      </c>
      <c r="DF27">
        <f>N(DI26)</f>
        <v/>
      </c>
      <c r="DG27">
        <f>IF(N(DF27)&lt;=0.005,0,ROUND(N(DF27)*N('Debt List'!E10)/12,2))</f>
        <v/>
      </c>
      <c r="DH27">
        <f>IF(N(DF27)&lt;=0.005,0,MIN(N('Debt List'!F10),N(DF27)+N(DG27)))+((DR27=6)*DT27+(DV27=6)*DX27+(DZ27=6)*EB27+(ED27=6)*EF27+(EH27=6)*EJ27+(EL27=6)*EN27+(EP27=6)*ER27+(ET27=6)*EV27)</f>
        <v/>
      </c>
      <c r="DI27">
        <f>MAX(0,ROUND(N(DF27)+N(DG27)-N(DH27),2))</f>
        <v/>
      </c>
      <c r="DJ27">
        <f>N(DM26)</f>
        <v/>
      </c>
      <c r="DK27">
        <f>IF(N(DJ27)&lt;=0.005,0,ROUND(N(DJ27)*N('Debt List'!E11)/12,2))</f>
        <v/>
      </c>
      <c r="DL27">
        <f>IF(N(DJ27)&lt;=0.005,0,MIN(N('Debt List'!F11),N(DJ27)+N(DK27)))+((DR27=7)*DT27+(DV27=7)*DX27+(DZ27=7)*EB27+(ED27=7)*EF27+(EH27=7)*EJ27+(EL27=7)*EN27+(EP27=7)*ER27+(ET27=7)*EV27)</f>
        <v/>
      </c>
      <c r="DM27">
        <f>MAX(0,ROUND(N(DJ27)+N(DK27)-N(DL27),2))</f>
        <v/>
      </c>
      <c r="DN27">
        <f>N(DQ26)</f>
        <v/>
      </c>
      <c r="DO27">
        <f>IF(N(DN27)&lt;=0.005,0,ROUND(N(DN27)*N('Debt List'!E12)/12,2))</f>
        <v/>
      </c>
      <c r="DP27">
        <f>IF(N(DN27)&lt;=0.005,0,MIN(N('Debt List'!F12),N(DN27)+N(DO27)))+((DR27=8)*DT27+(DV27=8)*DX27+(DZ27=8)*EB27+(ED27=8)*EF27+(EH27=8)*EJ27+(EL27=8)*EN27+(EP27=8)*ER27+(ET27=8)*EV27)</f>
        <v/>
      </c>
      <c r="DQ27">
        <f>MAX(0,ROUND(N(DN27)+N(DO27)-N(DP27),2))</f>
        <v/>
      </c>
      <c r="DR27">
        <f>IFERROR(MATCH(1,OrderSnow,0),"")</f>
        <v/>
      </c>
      <c r="DS27">
        <f>IF(DR27="",0,IFERROR(IF(N(CHOOSE(DR27,CL27,CP27,CT27,CX27,DB27,DF27,DJ27,DN27))&lt;=0.005,0,MAX(0,N(CHOOSE(DR27,CL27,CP27,CT27,CX27,DB27,DF27,DJ27,DN27))+N(CHOOSE(DR27,CM27,CQ27,CU27,CY27,DC27,DG27,DK27,DO27))-MIN(N(CHOOSE(DR27,'Debt List'!$F$5,'Debt List'!$F$6,'Debt List'!$F$7,'Debt List'!$F$8,'Debt List'!$F$9,'Debt List'!$F$10,'Debt List'!$F$11,'Debt List'!$F$12)),N(CHOOSE(DR27,CL27,CP27,CT27,CX27,DB27,DF27,DJ27,DN27))+N(CHOOSE(DR27,CM27,CQ27,CU27,CY27,DC27,DG27,DK27,DO27))))),0))</f>
        <v/>
      </c>
      <c r="DT27">
        <f>MIN(N(DS27),MAX(0,N(ExtraPayment)))</f>
        <v/>
      </c>
      <c r="DU27">
        <f>MAX(0,N(ExtraPayment)-N(DT27))</f>
        <v/>
      </c>
      <c r="DV27">
        <f>IFERROR(MATCH(2,OrderSnow,0),"")</f>
        <v/>
      </c>
      <c r="DW27">
        <f>IF(DV27="",0,IFERROR(IF(N(CHOOSE(DV27,CL27,CP27,CT27,CX27,DB27,DF27,DJ27,DN27))&lt;=0.005,0,MAX(0,N(CHOOSE(DV27,CL27,CP27,CT27,CX27,DB27,DF27,DJ27,DN27))+N(CHOOSE(DV27,CM27,CQ27,CU27,CY27,DC27,DG27,DK27,DO27))-MIN(N(CHOOSE(DV27,'Debt List'!$F$5,'Debt List'!$F$6,'Debt List'!$F$7,'Debt List'!$F$8,'Debt List'!$F$9,'Debt List'!$F$10,'Debt List'!$F$11,'Debt List'!$F$12)),N(CHOOSE(DV27,CL27,CP27,CT27,CX27,DB27,DF27,DJ27,DN27))+N(CHOOSE(DV27,CM27,CQ27,CU27,CY27,DC27,DG27,DK27,DO27))))),0))</f>
        <v/>
      </c>
      <c r="DX27">
        <f>MIN(N(DW27),MAX(0,N(DU27)))</f>
        <v/>
      </c>
      <c r="DY27">
        <f>MAX(0,N(DU27)-N(DX27))</f>
        <v/>
      </c>
      <c r="DZ27">
        <f>IFERROR(MATCH(3,OrderSnow,0),"")</f>
        <v/>
      </c>
      <c r="EA27">
        <f>IF(DZ27="",0,IFERROR(IF(N(CHOOSE(DZ27,CL27,CP27,CT27,CX27,DB27,DF27,DJ27,DN27))&lt;=0.005,0,MAX(0,N(CHOOSE(DZ27,CL27,CP27,CT27,CX27,DB27,DF27,DJ27,DN27))+N(CHOOSE(DZ27,CM27,CQ27,CU27,CY27,DC27,DG27,DK27,DO27))-MIN(N(CHOOSE(DZ27,'Debt List'!$F$5,'Debt List'!$F$6,'Debt List'!$F$7,'Debt List'!$F$8,'Debt List'!$F$9,'Debt List'!$F$10,'Debt List'!$F$11,'Debt List'!$F$12)),N(CHOOSE(DZ27,CL27,CP27,CT27,CX27,DB27,DF27,DJ27,DN27))+N(CHOOSE(DZ27,CM27,CQ27,CU27,CY27,DC27,DG27,DK27,DO27))))),0))</f>
        <v/>
      </c>
      <c r="EB27">
        <f>MIN(N(EA27),MAX(0,N(DY27)))</f>
        <v/>
      </c>
      <c r="EC27">
        <f>MAX(0,N(DY27)-N(EB27))</f>
        <v/>
      </c>
      <c r="ED27">
        <f>IFERROR(MATCH(4,OrderSnow,0),"")</f>
        <v/>
      </c>
      <c r="EE27">
        <f>IF(ED27="",0,IFERROR(IF(N(CHOOSE(ED27,CL27,CP27,CT27,CX27,DB27,DF27,DJ27,DN27))&lt;=0.005,0,MAX(0,N(CHOOSE(ED27,CL27,CP27,CT27,CX27,DB27,DF27,DJ27,DN27))+N(CHOOSE(ED27,CM27,CQ27,CU27,CY27,DC27,DG27,DK27,DO27))-MIN(N(CHOOSE(ED27,'Debt List'!$F$5,'Debt List'!$F$6,'Debt List'!$F$7,'Debt List'!$F$8,'Debt List'!$F$9,'Debt List'!$F$10,'Debt List'!$F$11,'Debt List'!$F$12)),N(CHOOSE(ED27,CL27,CP27,CT27,CX27,DB27,DF27,DJ27,DN27))+N(CHOOSE(ED27,CM27,CQ27,CU27,CY27,DC27,DG27,DK27,DO27))))),0))</f>
        <v/>
      </c>
      <c r="EF27">
        <f>MIN(N(EE27),MAX(0,N(EC27)))</f>
        <v/>
      </c>
      <c r="EG27">
        <f>MAX(0,N(EC27)-N(EF27))</f>
        <v/>
      </c>
      <c r="EH27">
        <f>IFERROR(MATCH(5,OrderSnow,0),"")</f>
        <v/>
      </c>
      <c r="EI27">
        <f>IF(EH27="",0,IFERROR(IF(N(CHOOSE(EH27,CL27,CP27,CT27,CX27,DB27,DF27,DJ27,DN27))&lt;=0.005,0,MAX(0,N(CHOOSE(EH27,CL27,CP27,CT27,CX27,DB27,DF27,DJ27,DN27))+N(CHOOSE(EH27,CM27,CQ27,CU27,CY27,DC27,DG27,DK27,DO27))-MIN(N(CHOOSE(EH27,'Debt List'!$F$5,'Debt List'!$F$6,'Debt List'!$F$7,'Debt List'!$F$8,'Debt List'!$F$9,'Debt List'!$F$10,'Debt List'!$F$11,'Debt List'!$F$12)),N(CHOOSE(EH27,CL27,CP27,CT27,CX27,DB27,DF27,DJ27,DN27))+N(CHOOSE(EH27,CM27,CQ27,CU27,CY27,DC27,DG27,DK27,DO27))))),0))</f>
        <v/>
      </c>
      <c r="EJ27">
        <f>MIN(N(EI27),MAX(0,N(EG27)))</f>
        <v/>
      </c>
      <c r="EK27">
        <f>MAX(0,N(EG27)-N(EJ27))</f>
        <v/>
      </c>
      <c r="EL27">
        <f>IFERROR(MATCH(6,OrderSnow,0),"")</f>
        <v/>
      </c>
      <c r="EM27">
        <f>IF(EL27="",0,IFERROR(IF(N(CHOOSE(EL27,CL27,CP27,CT27,CX27,DB27,DF27,DJ27,DN27))&lt;=0.005,0,MAX(0,N(CHOOSE(EL27,CL27,CP27,CT27,CX27,DB27,DF27,DJ27,DN27))+N(CHOOSE(EL27,CM27,CQ27,CU27,CY27,DC27,DG27,DK27,DO27))-MIN(N(CHOOSE(EL27,'Debt List'!$F$5,'Debt List'!$F$6,'Debt List'!$F$7,'Debt List'!$F$8,'Debt List'!$F$9,'Debt List'!$F$10,'Debt List'!$F$11,'Debt List'!$F$12)),N(CHOOSE(EL27,CL27,CP27,CT27,CX27,DB27,DF27,DJ27,DN27))+N(CHOOSE(EL27,CM27,CQ27,CU27,CY27,DC27,DG27,DK27,DO27))))),0))</f>
        <v/>
      </c>
      <c r="EN27">
        <f>MIN(N(EM27),MAX(0,N(EK27)))</f>
        <v/>
      </c>
      <c r="EO27">
        <f>MAX(0,N(EK27)-N(EN27))</f>
        <v/>
      </c>
      <c r="EP27">
        <f>IFERROR(MATCH(7,OrderSnow,0),"")</f>
        <v/>
      </c>
      <c r="EQ27">
        <f>IF(EP27="",0,IFERROR(IF(N(CHOOSE(EP27,CL27,CP27,CT27,CX27,DB27,DF27,DJ27,DN27))&lt;=0.005,0,MAX(0,N(CHOOSE(EP27,CL27,CP27,CT27,CX27,DB27,DF27,DJ27,DN27))+N(CHOOSE(EP27,CM27,CQ27,CU27,CY27,DC27,DG27,DK27,DO27))-MIN(N(CHOOSE(EP27,'Debt List'!$F$5,'Debt List'!$F$6,'Debt List'!$F$7,'Debt List'!$F$8,'Debt List'!$F$9,'Debt List'!$F$10,'Debt List'!$F$11,'Debt List'!$F$12)),N(CHOOSE(EP27,CL27,CP27,CT27,CX27,DB27,DF27,DJ27,DN27))+N(CHOOSE(EP27,CM27,CQ27,CU27,CY27,DC27,DG27,DK27,DO27))))),0))</f>
        <v/>
      </c>
      <c r="ER27">
        <f>MIN(N(EQ27),MAX(0,N(EO27)))</f>
        <v/>
      </c>
      <c r="ES27">
        <f>MAX(0,N(EO27)-N(ER27))</f>
        <v/>
      </c>
      <c r="ET27">
        <f>IFERROR(MATCH(8,OrderSnow,0),"")</f>
        <v/>
      </c>
      <c r="EU27">
        <f>IF(ET27="",0,IFERROR(IF(N(CHOOSE(ET27,CL27,CP27,CT27,CX27,DB27,DF27,DJ27,DN27))&lt;=0.005,0,MAX(0,N(CHOOSE(ET27,CL27,CP27,CT27,CX27,DB27,DF27,DJ27,DN27))+N(CHOOSE(ET27,CM27,CQ27,CU27,CY27,DC27,DG27,DK27,DO27))-MIN(N(CHOOSE(ET27,'Debt List'!$F$5,'Debt List'!$F$6,'Debt List'!$F$7,'Debt List'!$F$8,'Debt List'!$F$9,'Debt List'!$F$10,'Debt List'!$F$11,'Debt List'!$F$12)),N(CHOOSE(ET27,CL27,CP27,CT27,CX27,DB27,DF27,DJ27,DN27))+N(CHOOSE(ET27,CM27,CQ27,CU27,CY27,DC27,DG27,DK27,DO27))))),0))</f>
        <v/>
      </c>
      <c r="EV27">
        <f>MIN(N(EU27),MAX(0,N(ES27)))</f>
        <v/>
      </c>
      <c r="EW27">
        <f>MAX(0,N(ES27)-N(EV27))</f>
        <v/>
      </c>
      <c r="FE27" t="n">
        <v>23</v>
      </c>
      <c r="FF27" s="115">
        <f>DATE(YEAR(PlanStart),MONTH(PlanStart)+FE27-1,1)</f>
        <v/>
      </c>
      <c r="FG27">
        <f>IF(AND(GT27&lt;&gt;"",N(CHOOSE(GT27,FN27,FR27,FV27,FZ27,GD27,GH27,GL27,GP27))&gt;0.005),INDEX(DebtNames,GT27),IF(AND(GX27&lt;&gt;"",N(CHOOSE(GX27,FN27,FR27,FV27,FZ27,GD27,GH27,GL27,GP27))&gt;0.005),INDEX(DebtNames,GX27),IF(AND(HB27&lt;&gt;"",N(CHOOSE(HB27,FN27,FR27,FV27,FZ27,GD27,GH27,GL27,GP27))&gt;0.005),INDEX(DebtNames,HB27),IF(AND(HF27&lt;&gt;"",N(CHOOSE(HF27,FN27,FR27,FV27,FZ27,GD27,GH27,GL27,GP27))&gt;0.005),INDEX(DebtNames,HF27),IF(AND(HJ27&lt;&gt;"",N(CHOOSE(HJ27,FN27,FR27,FV27,FZ27,GD27,GH27,GL27,GP27))&gt;0.005),INDEX(DebtNames,HJ27),IF(AND(HN27&lt;&gt;"",N(CHOOSE(HN27,FN27,FR27,FV27,FZ27,GD27,GH27,GL27,GP27))&gt;0.005),INDEX(DebtNames,HN27),IF(AND(HR27&lt;&gt;"",N(CHOOSE(HR27,FN27,FR27,FV27,FZ27,GD27,GH27,GL27,GP27))&gt;0.005),INDEX(DebtNames,HR27),IF(AND(HV27&lt;&gt;"",N(CHOOSE(HV27,FN27,FR27,FV27,FZ27,GD27,GH27,GL27,GP27))&gt;0.005),INDEX(DebtNames,HV27),""))))))))</f>
        <v/>
      </c>
      <c r="FH27">
        <f>N(HY27)</f>
        <v/>
      </c>
      <c r="FI27">
        <f>N(FP27)+N(FT27)+N(FX27)+N(GB27)+N(GF27)+N(GJ27)+N(GN27)+N(GR27)</f>
        <v/>
      </c>
      <c r="FJ27">
        <f>N(FO27)+N(FS27)+N(FW27)+N(GA27)+N(GE27)+N(GI27)+N(GM27)+N(GQ27)</f>
        <v/>
      </c>
      <c r="FK27">
        <f>N(FK26)+N(FJ27)</f>
        <v/>
      </c>
      <c r="FL27">
        <f>N(FQ27)+N(FU27)+N(FY27)+N(GC27)+N(GG27)+N(GK27)+N(GO27)+N(GS27)</f>
        <v/>
      </c>
      <c r="FM27">
        <f>(FQ27&gt;0.005)*1+(FU27&gt;0.005)*1+(FY27&gt;0.005)*1+(GC27&gt;0.005)*1+(GG27&gt;0.005)*1+(GK27&gt;0.005)*1+(GO27&gt;0.005)*1+(GS27&gt;0.005)*1</f>
        <v/>
      </c>
      <c r="FN27">
        <f>N(FQ26)</f>
        <v/>
      </c>
      <c r="FO27">
        <f>IF(N(FN27)&lt;=0.005,0,ROUND(N(FN27)*N('Debt List'!E5)/12,2))</f>
        <v/>
      </c>
      <c r="FP27">
        <f>IF(N(FN27)&lt;=0.005,0,MIN(N('Debt List'!F5),N(FN27)+N(FO27)))+((GT27=1)*GV27+(GX27=1)*GZ27+(HB27=1)*HD27+(HF27=1)*HH27+(HJ27=1)*HL27+(HN27=1)*HP27+(HR27=1)*HT27+(HV27=1)*HX27)</f>
        <v/>
      </c>
      <c r="FQ27">
        <f>MAX(0,ROUND(N(FN27)+N(FO27)-N(FP27),2))</f>
        <v/>
      </c>
      <c r="FR27">
        <f>N(FU26)</f>
        <v/>
      </c>
      <c r="FS27">
        <f>IF(N(FR27)&lt;=0.005,0,ROUND(N(FR27)*N('Debt List'!E6)/12,2))</f>
        <v/>
      </c>
      <c r="FT27">
        <f>IF(N(FR27)&lt;=0.005,0,MIN(N('Debt List'!F6),N(FR27)+N(FS27)))+((GT27=2)*GV27+(GX27=2)*GZ27+(HB27=2)*HD27+(HF27=2)*HH27+(HJ27=2)*HL27+(HN27=2)*HP27+(HR27=2)*HT27+(HV27=2)*HX27)</f>
        <v/>
      </c>
      <c r="FU27">
        <f>MAX(0,ROUND(N(FR27)+N(FS27)-N(FT27),2))</f>
        <v/>
      </c>
      <c r="FV27">
        <f>N(FY26)</f>
        <v/>
      </c>
      <c r="FW27">
        <f>IF(N(FV27)&lt;=0.005,0,ROUND(N(FV27)*N('Debt List'!E7)/12,2))</f>
        <v/>
      </c>
      <c r="FX27">
        <f>IF(N(FV27)&lt;=0.005,0,MIN(N('Debt List'!F7),N(FV27)+N(FW27)))+((GT27=3)*GV27+(GX27=3)*GZ27+(HB27=3)*HD27+(HF27=3)*HH27+(HJ27=3)*HL27+(HN27=3)*HP27+(HR27=3)*HT27+(HV27=3)*HX27)</f>
        <v/>
      </c>
      <c r="FY27">
        <f>MAX(0,ROUND(N(FV27)+N(FW27)-N(FX27),2))</f>
        <v/>
      </c>
      <c r="FZ27">
        <f>N(GC26)</f>
        <v/>
      </c>
      <c r="GA27">
        <f>IF(N(FZ27)&lt;=0.005,0,ROUND(N(FZ27)*N('Debt List'!E8)/12,2))</f>
        <v/>
      </c>
      <c r="GB27">
        <f>IF(N(FZ27)&lt;=0.005,0,MIN(N('Debt List'!F8),N(FZ27)+N(GA27)))+((GT27=4)*GV27+(GX27=4)*GZ27+(HB27=4)*HD27+(HF27=4)*HH27+(HJ27=4)*HL27+(HN27=4)*HP27+(HR27=4)*HT27+(HV27=4)*HX27)</f>
        <v/>
      </c>
      <c r="GC27">
        <f>MAX(0,ROUND(N(FZ27)+N(GA27)-N(GB27),2))</f>
        <v/>
      </c>
      <c r="GD27">
        <f>N(GG26)</f>
        <v/>
      </c>
      <c r="GE27">
        <f>IF(N(GD27)&lt;=0.005,0,ROUND(N(GD27)*N('Debt List'!E9)/12,2))</f>
        <v/>
      </c>
      <c r="GF27">
        <f>IF(N(GD27)&lt;=0.005,0,MIN(N('Debt List'!F9),N(GD27)+N(GE27)))+((GT27=5)*GV27+(GX27=5)*GZ27+(HB27=5)*HD27+(HF27=5)*HH27+(HJ27=5)*HL27+(HN27=5)*HP27+(HR27=5)*HT27+(HV27=5)*HX27)</f>
        <v/>
      </c>
      <c r="GG27">
        <f>MAX(0,ROUND(N(GD27)+N(GE27)-N(GF27),2))</f>
        <v/>
      </c>
      <c r="GH27">
        <f>N(GK26)</f>
        <v/>
      </c>
      <c r="GI27">
        <f>IF(N(GH27)&lt;=0.005,0,ROUND(N(GH27)*N('Debt List'!E10)/12,2))</f>
        <v/>
      </c>
      <c r="GJ27">
        <f>IF(N(GH27)&lt;=0.005,0,MIN(N('Debt List'!F10),N(GH27)+N(GI27)))+((GT27=6)*GV27+(GX27=6)*GZ27+(HB27=6)*HD27+(HF27=6)*HH27+(HJ27=6)*HL27+(HN27=6)*HP27+(HR27=6)*HT27+(HV27=6)*HX27)</f>
        <v/>
      </c>
      <c r="GK27">
        <f>MAX(0,ROUND(N(GH27)+N(GI27)-N(GJ27),2))</f>
        <v/>
      </c>
      <c r="GL27">
        <f>N(GO26)</f>
        <v/>
      </c>
      <c r="GM27">
        <f>IF(N(GL27)&lt;=0.005,0,ROUND(N(GL27)*N('Debt List'!E11)/12,2))</f>
        <v/>
      </c>
      <c r="GN27">
        <f>IF(N(GL27)&lt;=0.005,0,MIN(N('Debt List'!F11),N(GL27)+N(GM27)))+((GT27=7)*GV27+(GX27=7)*GZ27+(HB27=7)*HD27+(HF27=7)*HH27+(HJ27=7)*HL27+(HN27=7)*HP27+(HR27=7)*HT27+(HV27=7)*HX27)</f>
        <v/>
      </c>
      <c r="GO27">
        <f>MAX(0,ROUND(N(GL27)+N(GM27)-N(GN27),2))</f>
        <v/>
      </c>
      <c r="GP27">
        <f>N(GS26)</f>
        <v/>
      </c>
      <c r="GQ27">
        <f>IF(N(GP27)&lt;=0.005,0,ROUND(N(GP27)*N('Debt List'!E12)/12,2))</f>
        <v/>
      </c>
      <c r="GR27">
        <f>IF(N(GP27)&lt;=0.005,0,MIN(N('Debt List'!F12),N(GP27)+N(GQ27)))+((GT27=8)*GV27+(GX27=8)*GZ27+(HB27=8)*HD27+(HF27=8)*HH27+(HJ27=8)*HL27+(HN27=8)*HP27+(HR27=8)*HT27+(HV27=8)*HX27)</f>
        <v/>
      </c>
      <c r="GS27">
        <f>MAX(0,ROUND(N(GP27)+N(GQ27)-N(GR27),2))</f>
        <v/>
      </c>
      <c r="GT27">
        <f>IFERROR(MATCH(1,OrderAval,0),"")</f>
        <v/>
      </c>
      <c r="GU27">
        <f>IF(GT27="",0,IFERROR(IF(N(CHOOSE(GT27,FN27,FR27,FV27,FZ27,GD27,GH27,GL27,GP27))&lt;=0.005,0,MAX(0,N(CHOOSE(GT27,FN27,FR27,FV27,FZ27,GD27,GH27,GL27,GP27))+N(CHOOSE(GT27,FO27,FS27,FW27,GA27,GE27,GI27,GM27,GQ27))-MIN(N(CHOOSE(GT27,'Debt List'!$F$5,'Debt List'!$F$6,'Debt List'!$F$7,'Debt List'!$F$8,'Debt List'!$F$9,'Debt List'!$F$10,'Debt List'!$F$11,'Debt List'!$F$12)),N(CHOOSE(GT27,FN27,FR27,FV27,FZ27,GD27,GH27,GL27,GP27))+N(CHOOSE(GT27,FO27,FS27,FW27,GA27,GE27,GI27,GM27,GQ27))))),0))</f>
        <v/>
      </c>
      <c r="GV27">
        <f>MIN(N(GU27),MAX(0,N(ExtraPayment)))</f>
        <v/>
      </c>
      <c r="GW27">
        <f>MAX(0,N(ExtraPayment)-N(GV27))</f>
        <v/>
      </c>
      <c r="GX27">
        <f>IFERROR(MATCH(2,OrderAval,0),"")</f>
        <v/>
      </c>
      <c r="GY27">
        <f>IF(GX27="",0,IFERROR(IF(N(CHOOSE(GX27,FN27,FR27,FV27,FZ27,GD27,GH27,GL27,GP27))&lt;=0.005,0,MAX(0,N(CHOOSE(GX27,FN27,FR27,FV27,FZ27,GD27,GH27,GL27,GP27))+N(CHOOSE(GX27,FO27,FS27,FW27,GA27,GE27,GI27,GM27,GQ27))-MIN(N(CHOOSE(GX27,'Debt List'!$F$5,'Debt List'!$F$6,'Debt List'!$F$7,'Debt List'!$F$8,'Debt List'!$F$9,'Debt List'!$F$10,'Debt List'!$F$11,'Debt List'!$F$12)),N(CHOOSE(GX27,FN27,FR27,FV27,FZ27,GD27,GH27,GL27,GP27))+N(CHOOSE(GX27,FO27,FS27,FW27,GA27,GE27,GI27,GM27,GQ27))))),0))</f>
        <v/>
      </c>
      <c r="GZ27">
        <f>MIN(N(GY27),MAX(0,N(GW27)))</f>
        <v/>
      </c>
      <c r="HA27">
        <f>MAX(0,N(GW27)-N(GZ27))</f>
        <v/>
      </c>
      <c r="HB27">
        <f>IFERROR(MATCH(3,OrderAval,0),"")</f>
        <v/>
      </c>
      <c r="HC27">
        <f>IF(HB27="",0,IFERROR(IF(N(CHOOSE(HB27,FN27,FR27,FV27,FZ27,GD27,GH27,GL27,GP27))&lt;=0.005,0,MAX(0,N(CHOOSE(HB27,FN27,FR27,FV27,FZ27,GD27,GH27,GL27,GP27))+N(CHOOSE(HB27,FO27,FS27,FW27,GA27,GE27,GI27,GM27,GQ27))-MIN(N(CHOOSE(HB27,'Debt List'!$F$5,'Debt List'!$F$6,'Debt List'!$F$7,'Debt List'!$F$8,'Debt List'!$F$9,'Debt List'!$F$10,'Debt List'!$F$11,'Debt List'!$F$12)),N(CHOOSE(HB27,FN27,FR27,FV27,FZ27,GD27,GH27,GL27,GP27))+N(CHOOSE(HB27,FO27,FS27,FW27,GA27,GE27,GI27,GM27,GQ27))))),0))</f>
        <v/>
      </c>
      <c r="HD27">
        <f>MIN(N(HC27),MAX(0,N(HA27)))</f>
        <v/>
      </c>
      <c r="HE27">
        <f>MAX(0,N(HA27)-N(HD27))</f>
        <v/>
      </c>
      <c r="HF27">
        <f>IFERROR(MATCH(4,OrderAval,0),"")</f>
        <v/>
      </c>
      <c r="HG27">
        <f>IF(HF27="",0,IFERROR(IF(N(CHOOSE(HF27,FN27,FR27,FV27,FZ27,GD27,GH27,GL27,GP27))&lt;=0.005,0,MAX(0,N(CHOOSE(HF27,FN27,FR27,FV27,FZ27,GD27,GH27,GL27,GP27))+N(CHOOSE(HF27,FO27,FS27,FW27,GA27,GE27,GI27,GM27,GQ27))-MIN(N(CHOOSE(HF27,'Debt List'!$F$5,'Debt List'!$F$6,'Debt List'!$F$7,'Debt List'!$F$8,'Debt List'!$F$9,'Debt List'!$F$10,'Debt List'!$F$11,'Debt List'!$F$12)),N(CHOOSE(HF27,FN27,FR27,FV27,FZ27,GD27,GH27,GL27,GP27))+N(CHOOSE(HF27,FO27,FS27,FW27,GA27,GE27,GI27,GM27,GQ27))))),0))</f>
        <v/>
      </c>
      <c r="HH27">
        <f>MIN(N(HG27),MAX(0,N(HE27)))</f>
        <v/>
      </c>
      <c r="HI27">
        <f>MAX(0,N(HE27)-N(HH27))</f>
        <v/>
      </c>
      <c r="HJ27">
        <f>IFERROR(MATCH(5,OrderAval,0),"")</f>
        <v/>
      </c>
      <c r="HK27">
        <f>IF(HJ27="",0,IFERROR(IF(N(CHOOSE(HJ27,FN27,FR27,FV27,FZ27,GD27,GH27,GL27,GP27))&lt;=0.005,0,MAX(0,N(CHOOSE(HJ27,FN27,FR27,FV27,FZ27,GD27,GH27,GL27,GP27))+N(CHOOSE(HJ27,FO27,FS27,FW27,GA27,GE27,GI27,GM27,GQ27))-MIN(N(CHOOSE(HJ27,'Debt List'!$F$5,'Debt List'!$F$6,'Debt List'!$F$7,'Debt List'!$F$8,'Debt List'!$F$9,'Debt List'!$F$10,'Debt List'!$F$11,'Debt List'!$F$12)),N(CHOOSE(HJ27,FN27,FR27,FV27,FZ27,GD27,GH27,GL27,GP27))+N(CHOOSE(HJ27,FO27,FS27,FW27,GA27,GE27,GI27,GM27,GQ27))))),0))</f>
        <v/>
      </c>
      <c r="HL27">
        <f>MIN(N(HK27),MAX(0,N(HI27)))</f>
        <v/>
      </c>
      <c r="HM27">
        <f>MAX(0,N(HI27)-N(HL27))</f>
        <v/>
      </c>
      <c r="HN27">
        <f>IFERROR(MATCH(6,OrderAval,0),"")</f>
        <v/>
      </c>
      <c r="HO27">
        <f>IF(HN27="",0,IFERROR(IF(N(CHOOSE(HN27,FN27,FR27,FV27,FZ27,GD27,GH27,GL27,GP27))&lt;=0.005,0,MAX(0,N(CHOOSE(HN27,FN27,FR27,FV27,FZ27,GD27,GH27,GL27,GP27))+N(CHOOSE(HN27,FO27,FS27,FW27,GA27,GE27,GI27,GM27,GQ27))-MIN(N(CHOOSE(HN27,'Debt List'!$F$5,'Debt List'!$F$6,'Debt List'!$F$7,'Debt List'!$F$8,'Debt List'!$F$9,'Debt List'!$F$10,'Debt List'!$F$11,'Debt List'!$F$12)),N(CHOOSE(HN27,FN27,FR27,FV27,FZ27,GD27,GH27,GL27,GP27))+N(CHOOSE(HN27,FO27,FS27,FW27,GA27,GE27,GI27,GM27,GQ27))))),0))</f>
        <v/>
      </c>
      <c r="HP27">
        <f>MIN(N(HO27),MAX(0,N(HM27)))</f>
        <v/>
      </c>
      <c r="HQ27">
        <f>MAX(0,N(HM27)-N(HP27))</f>
        <v/>
      </c>
      <c r="HR27">
        <f>IFERROR(MATCH(7,OrderAval,0),"")</f>
        <v/>
      </c>
      <c r="HS27">
        <f>IF(HR27="",0,IFERROR(IF(N(CHOOSE(HR27,FN27,FR27,FV27,FZ27,GD27,GH27,GL27,GP27))&lt;=0.005,0,MAX(0,N(CHOOSE(HR27,FN27,FR27,FV27,FZ27,GD27,GH27,GL27,GP27))+N(CHOOSE(HR27,FO27,FS27,FW27,GA27,GE27,GI27,GM27,GQ27))-MIN(N(CHOOSE(HR27,'Debt List'!$F$5,'Debt List'!$F$6,'Debt List'!$F$7,'Debt List'!$F$8,'Debt List'!$F$9,'Debt List'!$F$10,'Debt List'!$F$11,'Debt List'!$F$12)),N(CHOOSE(HR27,FN27,FR27,FV27,FZ27,GD27,GH27,GL27,GP27))+N(CHOOSE(HR27,FO27,FS27,FW27,GA27,GE27,GI27,GM27,GQ27))))),0))</f>
        <v/>
      </c>
      <c r="HT27">
        <f>MIN(N(HS27),MAX(0,N(HQ27)))</f>
        <v/>
      </c>
      <c r="HU27">
        <f>MAX(0,N(HQ27)-N(HT27))</f>
        <v/>
      </c>
      <c r="HV27">
        <f>IFERROR(MATCH(8,OrderAval,0),"")</f>
        <v/>
      </c>
      <c r="HW27">
        <f>IF(HV27="",0,IFERROR(IF(N(CHOOSE(HV27,FN27,FR27,FV27,FZ27,GD27,GH27,GL27,GP27))&lt;=0.005,0,MAX(0,N(CHOOSE(HV27,FN27,FR27,FV27,FZ27,GD27,GH27,GL27,GP27))+N(CHOOSE(HV27,FO27,FS27,FW27,GA27,GE27,GI27,GM27,GQ27))-MIN(N(CHOOSE(HV27,'Debt List'!$F$5,'Debt List'!$F$6,'Debt List'!$F$7,'Debt List'!$F$8,'Debt List'!$F$9,'Debt List'!$F$10,'Debt List'!$F$11,'Debt List'!$F$12)),N(CHOOSE(HV27,FN27,FR27,FV27,FZ27,GD27,GH27,GL27,GP27))+N(CHOOSE(HV27,FO27,FS27,FW27,GA27,GE27,GI27,GM27,GQ27))))),0))</f>
        <v/>
      </c>
      <c r="HX27">
        <f>MIN(N(HW27),MAX(0,N(HU27)))</f>
        <v/>
      </c>
      <c r="HY27">
        <f>MAX(0,N(HU27)-N(HX27))</f>
        <v/>
      </c>
    </row>
    <row r="28">
      <c r="A28" t="n">
        <v>24</v>
      </c>
      <c r="B28" s="115">
        <f>DATE(YEAR(PlanStart),MONTH(PlanStart)+A28-1,1)</f>
        <v/>
      </c>
      <c r="C28">
        <f>IF(AND(AP28&lt;&gt;"",N(CHOOSE(AP28,J28,N28,R28,V28,Z28,AD28,AH28,AL28))&gt;0.005),INDEX(DebtNames,AP28),IF(AND(AT28&lt;&gt;"",N(CHOOSE(AT28,J28,N28,R28,V28,Z28,AD28,AH28,AL28))&gt;0.005),INDEX(DebtNames,AT28),IF(AND(AX28&lt;&gt;"",N(CHOOSE(AX28,J28,N28,R28,V28,Z28,AD28,AH28,AL28))&gt;0.005),INDEX(DebtNames,AX28),IF(AND(BB28&lt;&gt;"",N(CHOOSE(BB28,J28,N28,R28,V28,Z28,AD28,AH28,AL28))&gt;0.005),INDEX(DebtNames,BB28),IF(AND(BF28&lt;&gt;"",N(CHOOSE(BF28,J28,N28,R28,V28,Z28,AD28,AH28,AL28))&gt;0.005),INDEX(DebtNames,BF28),IF(AND(BJ28&lt;&gt;"",N(CHOOSE(BJ28,J28,N28,R28,V28,Z28,AD28,AH28,AL28))&gt;0.005),INDEX(DebtNames,BJ28),IF(AND(BN28&lt;&gt;"",N(CHOOSE(BN28,J28,N28,R28,V28,Z28,AD28,AH28,AL28))&gt;0.005),INDEX(DebtNames,BN28),IF(AND(BR28&lt;&gt;"",N(CHOOSE(BR28,J28,N28,R28,V28,Z28,AD28,AH28,AL28))&gt;0.005),INDEX(DebtNames,BR28),""))))))))</f>
        <v/>
      </c>
      <c r="D28">
        <f>N(BU28)</f>
        <v/>
      </c>
      <c r="E28">
        <f>N(L28)+N(P28)+N(T28)+N(X28)+N(AB28)+N(AF28)+N(AJ28)+N(AN28)</f>
        <v/>
      </c>
      <c r="F28">
        <f>N(K28)+N(O28)+N(S28)+N(W28)+N(AA28)+N(AE28)+N(AI28)+N(AM28)</f>
        <v/>
      </c>
      <c r="G28">
        <f>N(G27)+N(F28)</f>
        <v/>
      </c>
      <c r="H28">
        <f>N(M28)+N(Q28)+N(U28)+N(Y28)+N(AC28)+N(AG28)+N(AK28)+N(AO28)</f>
        <v/>
      </c>
      <c r="I28">
        <f>(M28&gt;0.005)*1+(Q28&gt;0.005)*1+(U28&gt;0.005)*1+(Y28&gt;0.005)*1+(AC28&gt;0.005)*1+(AG28&gt;0.005)*1+(AK28&gt;0.005)*1+(AO28&gt;0.005)*1</f>
        <v/>
      </c>
      <c r="J28">
        <f>N(M27)</f>
        <v/>
      </c>
      <c r="K28">
        <f>IF(N(J28)&lt;=0.005,0,ROUND(N(J28)*N('Debt List'!E5)/12,2))</f>
        <v/>
      </c>
      <c r="L28">
        <f>IF(N(J28)&lt;=0.005,0,MIN(N('Debt List'!F5),N(J28)+N(K28)))+((AP28=1)*AR28+(AT28=1)*AV28+(AX28=1)*AZ28+(BB28=1)*BD28+(BF28=1)*BH28+(BJ28=1)*BL28+(BN28=1)*BP28+(BR28=1)*BT28)</f>
        <v/>
      </c>
      <c r="M28">
        <f>MAX(0,ROUND(N(J28)+N(K28)-N(L28),2))</f>
        <v/>
      </c>
      <c r="N28">
        <f>N(Q27)</f>
        <v/>
      </c>
      <c r="O28">
        <f>IF(N(N28)&lt;=0.005,0,ROUND(N(N28)*N('Debt List'!E6)/12,2))</f>
        <v/>
      </c>
      <c r="P28">
        <f>IF(N(N28)&lt;=0.005,0,MIN(N('Debt List'!F6),N(N28)+N(O28)))+((AP28=2)*AR28+(AT28=2)*AV28+(AX28=2)*AZ28+(BB28=2)*BD28+(BF28=2)*BH28+(BJ28=2)*BL28+(BN28=2)*BP28+(BR28=2)*BT28)</f>
        <v/>
      </c>
      <c r="Q28">
        <f>MAX(0,ROUND(N(N28)+N(O28)-N(P28),2))</f>
        <v/>
      </c>
      <c r="R28">
        <f>N(U27)</f>
        <v/>
      </c>
      <c r="S28">
        <f>IF(N(R28)&lt;=0.005,0,ROUND(N(R28)*N('Debt List'!E7)/12,2))</f>
        <v/>
      </c>
      <c r="T28">
        <f>IF(N(R28)&lt;=0.005,0,MIN(N('Debt List'!F7),N(R28)+N(S28)))+((AP28=3)*AR28+(AT28=3)*AV28+(AX28=3)*AZ28+(BB28=3)*BD28+(BF28=3)*BH28+(BJ28=3)*BL28+(BN28=3)*BP28+(BR28=3)*BT28)</f>
        <v/>
      </c>
      <c r="U28">
        <f>MAX(0,ROUND(N(R28)+N(S28)-N(T28),2))</f>
        <v/>
      </c>
      <c r="V28">
        <f>N(Y27)</f>
        <v/>
      </c>
      <c r="W28">
        <f>IF(N(V28)&lt;=0.005,0,ROUND(N(V28)*N('Debt List'!E8)/12,2))</f>
        <v/>
      </c>
      <c r="X28">
        <f>IF(N(V28)&lt;=0.005,0,MIN(N('Debt List'!F8),N(V28)+N(W28)))+((AP28=4)*AR28+(AT28=4)*AV28+(AX28=4)*AZ28+(BB28=4)*BD28+(BF28=4)*BH28+(BJ28=4)*BL28+(BN28=4)*BP28+(BR28=4)*BT28)</f>
        <v/>
      </c>
      <c r="Y28">
        <f>MAX(0,ROUND(N(V28)+N(W28)-N(X28),2))</f>
        <v/>
      </c>
      <c r="Z28">
        <f>N(AC27)</f>
        <v/>
      </c>
      <c r="AA28">
        <f>IF(N(Z28)&lt;=0.005,0,ROUND(N(Z28)*N('Debt List'!E9)/12,2))</f>
        <v/>
      </c>
      <c r="AB28">
        <f>IF(N(Z28)&lt;=0.005,0,MIN(N('Debt List'!F9),N(Z28)+N(AA28)))+((AP28=5)*AR28+(AT28=5)*AV28+(AX28=5)*AZ28+(BB28=5)*BD28+(BF28=5)*BH28+(BJ28=5)*BL28+(BN28=5)*BP28+(BR28=5)*BT28)</f>
        <v/>
      </c>
      <c r="AC28">
        <f>MAX(0,ROUND(N(Z28)+N(AA28)-N(AB28),2))</f>
        <v/>
      </c>
      <c r="AD28">
        <f>N(AG27)</f>
        <v/>
      </c>
      <c r="AE28">
        <f>IF(N(AD28)&lt;=0.005,0,ROUND(N(AD28)*N('Debt List'!E10)/12,2))</f>
        <v/>
      </c>
      <c r="AF28">
        <f>IF(N(AD28)&lt;=0.005,0,MIN(N('Debt List'!F10),N(AD28)+N(AE28)))+((AP28=6)*AR28+(AT28=6)*AV28+(AX28=6)*AZ28+(BB28=6)*BD28+(BF28=6)*BH28+(BJ28=6)*BL28+(BN28=6)*BP28+(BR28=6)*BT28)</f>
        <v/>
      </c>
      <c r="AG28">
        <f>MAX(0,ROUND(N(AD28)+N(AE28)-N(AF28),2))</f>
        <v/>
      </c>
      <c r="AH28">
        <f>N(AK27)</f>
        <v/>
      </c>
      <c r="AI28">
        <f>IF(N(AH28)&lt;=0.005,0,ROUND(N(AH28)*N('Debt List'!E11)/12,2))</f>
        <v/>
      </c>
      <c r="AJ28">
        <f>IF(N(AH28)&lt;=0.005,0,MIN(N('Debt List'!F11),N(AH28)+N(AI28)))+((AP28=7)*AR28+(AT28=7)*AV28+(AX28=7)*AZ28+(BB28=7)*BD28+(BF28=7)*BH28+(BJ28=7)*BL28+(BN28=7)*BP28+(BR28=7)*BT28)</f>
        <v/>
      </c>
      <c r="AK28">
        <f>MAX(0,ROUND(N(AH28)+N(AI28)-N(AJ28),2))</f>
        <v/>
      </c>
      <c r="AL28">
        <f>N(AO27)</f>
        <v/>
      </c>
      <c r="AM28">
        <f>IF(N(AL28)&lt;=0.005,0,ROUND(N(AL28)*N('Debt List'!E12)/12,2))</f>
        <v/>
      </c>
      <c r="AN28">
        <f>IF(N(AL28)&lt;=0.005,0,MIN(N('Debt List'!F12),N(AL28)+N(AM28)))+((AP28=8)*AR28+(AT28=8)*AV28+(AX28=8)*AZ28+(BB28=8)*BD28+(BF28=8)*BH28+(BJ28=8)*BL28+(BN28=8)*BP28+(BR28=8)*BT28)</f>
        <v/>
      </c>
      <c r="AO28">
        <f>MAX(0,ROUND(N(AL28)+N(AM28)-N(AN28),2))</f>
        <v/>
      </c>
      <c r="AP28">
        <f>IFERROR(MATCH(1,OrderPlan,0),"")</f>
        <v/>
      </c>
      <c r="AQ28">
        <f>IF(AP28="",0,IFERROR(IF(N(CHOOSE(AP28,J28,N28,R28,V28,Z28,AD28,AH28,AL28))&lt;=0.005,0,MAX(0,N(CHOOSE(AP28,J28,N28,R28,V28,Z28,AD28,AH28,AL28))+N(CHOOSE(AP28,K28,O28,S28,W28,AA28,AE28,AI28,AM28))-MIN(N(CHOOSE(AP28,'Debt List'!$F$5,'Debt List'!$F$6,'Debt List'!$F$7,'Debt List'!$F$8,'Debt List'!$F$9,'Debt List'!$F$10,'Debt List'!$F$11,'Debt List'!$F$12)),N(CHOOSE(AP28,J28,N28,R28,V28,Z28,AD28,AH28,AL28))+N(CHOOSE(AP28,K28,O28,S28,W28,AA28,AE28,AI28,AM28))))),0))</f>
        <v/>
      </c>
      <c r="AR28">
        <f>MIN(N(AQ28),MAX(0,N(ExtraPayment)))</f>
        <v/>
      </c>
      <c r="AS28">
        <f>MAX(0,N(ExtraPayment)-N(AR28))</f>
        <v/>
      </c>
      <c r="AT28">
        <f>IFERROR(MATCH(2,OrderPlan,0),"")</f>
        <v/>
      </c>
      <c r="AU28">
        <f>IF(AT28="",0,IFERROR(IF(N(CHOOSE(AT28,J28,N28,R28,V28,Z28,AD28,AH28,AL28))&lt;=0.005,0,MAX(0,N(CHOOSE(AT28,J28,N28,R28,V28,Z28,AD28,AH28,AL28))+N(CHOOSE(AT28,K28,O28,S28,W28,AA28,AE28,AI28,AM28))-MIN(N(CHOOSE(AT28,'Debt List'!$F$5,'Debt List'!$F$6,'Debt List'!$F$7,'Debt List'!$F$8,'Debt List'!$F$9,'Debt List'!$F$10,'Debt List'!$F$11,'Debt List'!$F$12)),N(CHOOSE(AT28,J28,N28,R28,V28,Z28,AD28,AH28,AL28))+N(CHOOSE(AT28,K28,O28,S28,W28,AA28,AE28,AI28,AM28))))),0))</f>
        <v/>
      </c>
      <c r="AV28">
        <f>MIN(N(AU28),MAX(0,N(AS28)))</f>
        <v/>
      </c>
      <c r="AW28">
        <f>MAX(0,N(AS28)-N(AV28))</f>
        <v/>
      </c>
      <c r="AX28">
        <f>IFERROR(MATCH(3,OrderPlan,0),"")</f>
        <v/>
      </c>
      <c r="AY28">
        <f>IF(AX28="",0,IFERROR(IF(N(CHOOSE(AX28,J28,N28,R28,V28,Z28,AD28,AH28,AL28))&lt;=0.005,0,MAX(0,N(CHOOSE(AX28,J28,N28,R28,V28,Z28,AD28,AH28,AL28))+N(CHOOSE(AX28,K28,O28,S28,W28,AA28,AE28,AI28,AM28))-MIN(N(CHOOSE(AX28,'Debt List'!$F$5,'Debt List'!$F$6,'Debt List'!$F$7,'Debt List'!$F$8,'Debt List'!$F$9,'Debt List'!$F$10,'Debt List'!$F$11,'Debt List'!$F$12)),N(CHOOSE(AX28,J28,N28,R28,V28,Z28,AD28,AH28,AL28))+N(CHOOSE(AX28,K28,O28,S28,W28,AA28,AE28,AI28,AM28))))),0))</f>
        <v/>
      </c>
      <c r="AZ28">
        <f>MIN(N(AY28),MAX(0,N(AW28)))</f>
        <v/>
      </c>
      <c r="BA28">
        <f>MAX(0,N(AW28)-N(AZ28))</f>
        <v/>
      </c>
      <c r="BB28">
        <f>IFERROR(MATCH(4,OrderPlan,0),"")</f>
        <v/>
      </c>
      <c r="BC28">
        <f>IF(BB28="",0,IFERROR(IF(N(CHOOSE(BB28,J28,N28,R28,V28,Z28,AD28,AH28,AL28))&lt;=0.005,0,MAX(0,N(CHOOSE(BB28,J28,N28,R28,V28,Z28,AD28,AH28,AL28))+N(CHOOSE(BB28,K28,O28,S28,W28,AA28,AE28,AI28,AM28))-MIN(N(CHOOSE(BB28,'Debt List'!$F$5,'Debt List'!$F$6,'Debt List'!$F$7,'Debt List'!$F$8,'Debt List'!$F$9,'Debt List'!$F$10,'Debt List'!$F$11,'Debt List'!$F$12)),N(CHOOSE(BB28,J28,N28,R28,V28,Z28,AD28,AH28,AL28))+N(CHOOSE(BB28,K28,O28,S28,W28,AA28,AE28,AI28,AM28))))),0))</f>
        <v/>
      </c>
      <c r="BD28">
        <f>MIN(N(BC28),MAX(0,N(BA28)))</f>
        <v/>
      </c>
      <c r="BE28">
        <f>MAX(0,N(BA28)-N(BD28))</f>
        <v/>
      </c>
      <c r="BF28">
        <f>IFERROR(MATCH(5,OrderPlan,0),"")</f>
        <v/>
      </c>
      <c r="BG28">
        <f>IF(BF28="",0,IFERROR(IF(N(CHOOSE(BF28,J28,N28,R28,V28,Z28,AD28,AH28,AL28))&lt;=0.005,0,MAX(0,N(CHOOSE(BF28,J28,N28,R28,V28,Z28,AD28,AH28,AL28))+N(CHOOSE(BF28,K28,O28,S28,W28,AA28,AE28,AI28,AM28))-MIN(N(CHOOSE(BF28,'Debt List'!$F$5,'Debt List'!$F$6,'Debt List'!$F$7,'Debt List'!$F$8,'Debt List'!$F$9,'Debt List'!$F$10,'Debt List'!$F$11,'Debt List'!$F$12)),N(CHOOSE(BF28,J28,N28,R28,V28,Z28,AD28,AH28,AL28))+N(CHOOSE(BF28,K28,O28,S28,W28,AA28,AE28,AI28,AM28))))),0))</f>
        <v/>
      </c>
      <c r="BH28">
        <f>MIN(N(BG28),MAX(0,N(BE28)))</f>
        <v/>
      </c>
      <c r="BI28">
        <f>MAX(0,N(BE28)-N(BH28))</f>
        <v/>
      </c>
      <c r="BJ28">
        <f>IFERROR(MATCH(6,OrderPlan,0),"")</f>
        <v/>
      </c>
      <c r="BK28">
        <f>IF(BJ28="",0,IFERROR(IF(N(CHOOSE(BJ28,J28,N28,R28,V28,Z28,AD28,AH28,AL28))&lt;=0.005,0,MAX(0,N(CHOOSE(BJ28,J28,N28,R28,V28,Z28,AD28,AH28,AL28))+N(CHOOSE(BJ28,K28,O28,S28,W28,AA28,AE28,AI28,AM28))-MIN(N(CHOOSE(BJ28,'Debt List'!$F$5,'Debt List'!$F$6,'Debt List'!$F$7,'Debt List'!$F$8,'Debt List'!$F$9,'Debt List'!$F$10,'Debt List'!$F$11,'Debt List'!$F$12)),N(CHOOSE(BJ28,J28,N28,R28,V28,Z28,AD28,AH28,AL28))+N(CHOOSE(BJ28,K28,O28,S28,W28,AA28,AE28,AI28,AM28))))),0))</f>
        <v/>
      </c>
      <c r="BL28">
        <f>MIN(N(BK28),MAX(0,N(BI28)))</f>
        <v/>
      </c>
      <c r="BM28">
        <f>MAX(0,N(BI28)-N(BL28))</f>
        <v/>
      </c>
      <c r="BN28">
        <f>IFERROR(MATCH(7,OrderPlan,0),"")</f>
        <v/>
      </c>
      <c r="BO28">
        <f>IF(BN28="",0,IFERROR(IF(N(CHOOSE(BN28,J28,N28,R28,V28,Z28,AD28,AH28,AL28))&lt;=0.005,0,MAX(0,N(CHOOSE(BN28,J28,N28,R28,V28,Z28,AD28,AH28,AL28))+N(CHOOSE(BN28,K28,O28,S28,W28,AA28,AE28,AI28,AM28))-MIN(N(CHOOSE(BN28,'Debt List'!$F$5,'Debt List'!$F$6,'Debt List'!$F$7,'Debt List'!$F$8,'Debt List'!$F$9,'Debt List'!$F$10,'Debt List'!$F$11,'Debt List'!$F$12)),N(CHOOSE(BN28,J28,N28,R28,V28,Z28,AD28,AH28,AL28))+N(CHOOSE(BN28,K28,O28,S28,W28,AA28,AE28,AI28,AM28))))),0))</f>
        <v/>
      </c>
      <c r="BP28">
        <f>MIN(N(BO28),MAX(0,N(BM28)))</f>
        <v/>
      </c>
      <c r="BQ28">
        <f>MAX(0,N(BM28)-N(BP28))</f>
        <v/>
      </c>
      <c r="BR28">
        <f>IFERROR(MATCH(8,OrderPlan,0),"")</f>
        <v/>
      </c>
      <c r="BS28">
        <f>IF(BR28="",0,IFERROR(IF(N(CHOOSE(BR28,J28,N28,R28,V28,Z28,AD28,AH28,AL28))&lt;=0.005,0,MAX(0,N(CHOOSE(BR28,J28,N28,R28,V28,Z28,AD28,AH28,AL28))+N(CHOOSE(BR28,K28,O28,S28,W28,AA28,AE28,AI28,AM28))-MIN(N(CHOOSE(BR28,'Debt List'!$F$5,'Debt List'!$F$6,'Debt List'!$F$7,'Debt List'!$F$8,'Debt List'!$F$9,'Debt List'!$F$10,'Debt List'!$F$11,'Debt List'!$F$12)),N(CHOOSE(BR28,J28,N28,R28,V28,Z28,AD28,AH28,AL28))+N(CHOOSE(BR28,K28,O28,S28,W28,AA28,AE28,AI28,AM28))))),0))</f>
        <v/>
      </c>
      <c r="BT28">
        <f>MIN(N(BS28),MAX(0,N(BQ28)))</f>
        <v/>
      </c>
      <c r="BU28">
        <f>MAX(0,N(BQ28)-N(BT28))</f>
        <v/>
      </c>
      <c r="CC28" t="n">
        <v>24</v>
      </c>
      <c r="CD28" s="115">
        <f>DATE(YEAR(PlanStart),MONTH(PlanStart)+CC28-1,1)</f>
        <v/>
      </c>
      <c r="CE28">
        <f>IF(AND(DR28&lt;&gt;"",N(CHOOSE(DR28,CL28,CP28,CT28,CX28,DB28,DF28,DJ28,DN28))&gt;0.005),INDEX(DebtNames,DR28),IF(AND(DV28&lt;&gt;"",N(CHOOSE(DV28,CL28,CP28,CT28,CX28,DB28,DF28,DJ28,DN28))&gt;0.005),INDEX(DebtNames,DV28),IF(AND(DZ28&lt;&gt;"",N(CHOOSE(DZ28,CL28,CP28,CT28,CX28,DB28,DF28,DJ28,DN28))&gt;0.005),INDEX(DebtNames,DZ28),IF(AND(ED28&lt;&gt;"",N(CHOOSE(ED28,CL28,CP28,CT28,CX28,DB28,DF28,DJ28,DN28))&gt;0.005),INDEX(DebtNames,ED28),IF(AND(EH28&lt;&gt;"",N(CHOOSE(EH28,CL28,CP28,CT28,CX28,DB28,DF28,DJ28,DN28))&gt;0.005),INDEX(DebtNames,EH28),IF(AND(EL28&lt;&gt;"",N(CHOOSE(EL28,CL28,CP28,CT28,CX28,DB28,DF28,DJ28,DN28))&gt;0.005),INDEX(DebtNames,EL28),IF(AND(EP28&lt;&gt;"",N(CHOOSE(EP28,CL28,CP28,CT28,CX28,DB28,DF28,DJ28,DN28))&gt;0.005),INDEX(DebtNames,EP28),IF(AND(ET28&lt;&gt;"",N(CHOOSE(ET28,CL28,CP28,CT28,CX28,DB28,DF28,DJ28,DN28))&gt;0.005),INDEX(DebtNames,ET28),""))))))))</f>
        <v/>
      </c>
      <c r="CF28">
        <f>N(EW28)</f>
        <v/>
      </c>
      <c r="CG28">
        <f>N(CN28)+N(CR28)+N(CV28)+N(CZ28)+N(DD28)+N(DH28)+N(DL28)+N(DP28)</f>
        <v/>
      </c>
      <c r="CH28">
        <f>N(CM28)+N(CQ28)+N(CU28)+N(CY28)+N(DC28)+N(DG28)+N(DK28)+N(DO28)</f>
        <v/>
      </c>
      <c r="CI28">
        <f>N(CI27)+N(CH28)</f>
        <v/>
      </c>
      <c r="CJ28">
        <f>N(CO28)+N(CS28)+N(CW28)+N(DA28)+N(DE28)+N(DI28)+N(DM28)+N(DQ28)</f>
        <v/>
      </c>
      <c r="CK28">
        <f>(CO28&gt;0.005)*1+(CS28&gt;0.005)*1+(CW28&gt;0.005)*1+(DA28&gt;0.005)*1+(DE28&gt;0.005)*1+(DI28&gt;0.005)*1+(DM28&gt;0.005)*1+(DQ28&gt;0.005)*1</f>
        <v/>
      </c>
      <c r="CL28">
        <f>N(CO27)</f>
        <v/>
      </c>
      <c r="CM28">
        <f>IF(N(CL28)&lt;=0.005,0,ROUND(N(CL28)*N('Debt List'!E5)/12,2))</f>
        <v/>
      </c>
      <c r="CN28">
        <f>IF(N(CL28)&lt;=0.005,0,MIN(N('Debt List'!F5),N(CL28)+N(CM28)))+((DR28=1)*DT28+(DV28=1)*DX28+(DZ28=1)*EB28+(ED28=1)*EF28+(EH28=1)*EJ28+(EL28=1)*EN28+(EP28=1)*ER28+(ET28=1)*EV28)</f>
        <v/>
      </c>
      <c r="CO28">
        <f>MAX(0,ROUND(N(CL28)+N(CM28)-N(CN28),2))</f>
        <v/>
      </c>
      <c r="CP28">
        <f>N(CS27)</f>
        <v/>
      </c>
      <c r="CQ28">
        <f>IF(N(CP28)&lt;=0.005,0,ROUND(N(CP28)*N('Debt List'!E6)/12,2))</f>
        <v/>
      </c>
      <c r="CR28">
        <f>IF(N(CP28)&lt;=0.005,0,MIN(N('Debt List'!F6),N(CP28)+N(CQ28)))+((DR28=2)*DT28+(DV28=2)*DX28+(DZ28=2)*EB28+(ED28=2)*EF28+(EH28=2)*EJ28+(EL28=2)*EN28+(EP28=2)*ER28+(ET28=2)*EV28)</f>
        <v/>
      </c>
      <c r="CS28">
        <f>MAX(0,ROUND(N(CP28)+N(CQ28)-N(CR28),2))</f>
        <v/>
      </c>
      <c r="CT28">
        <f>N(CW27)</f>
        <v/>
      </c>
      <c r="CU28">
        <f>IF(N(CT28)&lt;=0.005,0,ROUND(N(CT28)*N('Debt List'!E7)/12,2))</f>
        <v/>
      </c>
      <c r="CV28">
        <f>IF(N(CT28)&lt;=0.005,0,MIN(N('Debt List'!F7),N(CT28)+N(CU28)))+((DR28=3)*DT28+(DV28=3)*DX28+(DZ28=3)*EB28+(ED28=3)*EF28+(EH28=3)*EJ28+(EL28=3)*EN28+(EP28=3)*ER28+(ET28=3)*EV28)</f>
        <v/>
      </c>
      <c r="CW28">
        <f>MAX(0,ROUND(N(CT28)+N(CU28)-N(CV28),2))</f>
        <v/>
      </c>
      <c r="CX28">
        <f>N(DA27)</f>
        <v/>
      </c>
      <c r="CY28">
        <f>IF(N(CX28)&lt;=0.005,0,ROUND(N(CX28)*N('Debt List'!E8)/12,2))</f>
        <v/>
      </c>
      <c r="CZ28">
        <f>IF(N(CX28)&lt;=0.005,0,MIN(N('Debt List'!F8),N(CX28)+N(CY28)))+((DR28=4)*DT28+(DV28=4)*DX28+(DZ28=4)*EB28+(ED28=4)*EF28+(EH28=4)*EJ28+(EL28=4)*EN28+(EP28=4)*ER28+(ET28=4)*EV28)</f>
        <v/>
      </c>
      <c r="DA28">
        <f>MAX(0,ROUND(N(CX28)+N(CY28)-N(CZ28),2))</f>
        <v/>
      </c>
      <c r="DB28">
        <f>N(DE27)</f>
        <v/>
      </c>
      <c r="DC28">
        <f>IF(N(DB28)&lt;=0.005,0,ROUND(N(DB28)*N('Debt List'!E9)/12,2))</f>
        <v/>
      </c>
      <c r="DD28">
        <f>IF(N(DB28)&lt;=0.005,0,MIN(N('Debt List'!F9),N(DB28)+N(DC28)))+((DR28=5)*DT28+(DV28=5)*DX28+(DZ28=5)*EB28+(ED28=5)*EF28+(EH28=5)*EJ28+(EL28=5)*EN28+(EP28=5)*ER28+(ET28=5)*EV28)</f>
        <v/>
      </c>
      <c r="DE28">
        <f>MAX(0,ROUND(N(DB28)+N(DC28)-N(DD28),2))</f>
        <v/>
      </c>
      <c r="DF28">
        <f>N(DI27)</f>
        <v/>
      </c>
      <c r="DG28">
        <f>IF(N(DF28)&lt;=0.005,0,ROUND(N(DF28)*N('Debt List'!E10)/12,2))</f>
        <v/>
      </c>
      <c r="DH28">
        <f>IF(N(DF28)&lt;=0.005,0,MIN(N('Debt List'!F10),N(DF28)+N(DG28)))+((DR28=6)*DT28+(DV28=6)*DX28+(DZ28=6)*EB28+(ED28=6)*EF28+(EH28=6)*EJ28+(EL28=6)*EN28+(EP28=6)*ER28+(ET28=6)*EV28)</f>
        <v/>
      </c>
      <c r="DI28">
        <f>MAX(0,ROUND(N(DF28)+N(DG28)-N(DH28),2))</f>
        <v/>
      </c>
      <c r="DJ28">
        <f>N(DM27)</f>
        <v/>
      </c>
      <c r="DK28">
        <f>IF(N(DJ28)&lt;=0.005,0,ROUND(N(DJ28)*N('Debt List'!E11)/12,2))</f>
        <v/>
      </c>
      <c r="DL28">
        <f>IF(N(DJ28)&lt;=0.005,0,MIN(N('Debt List'!F11),N(DJ28)+N(DK28)))+((DR28=7)*DT28+(DV28=7)*DX28+(DZ28=7)*EB28+(ED28=7)*EF28+(EH28=7)*EJ28+(EL28=7)*EN28+(EP28=7)*ER28+(ET28=7)*EV28)</f>
        <v/>
      </c>
      <c r="DM28">
        <f>MAX(0,ROUND(N(DJ28)+N(DK28)-N(DL28),2))</f>
        <v/>
      </c>
      <c r="DN28">
        <f>N(DQ27)</f>
        <v/>
      </c>
      <c r="DO28">
        <f>IF(N(DN28)&lt;=0.005,0,ROUND(N(DN28)*N('Debt List'!E12)/12,2))</f>
        <v/>
      </c>
      <c r="DP28">
        <f>IF(N(DN28)&lt;=0.005,0,MIN(N('Debt List'!F12),N(DN28)+N(DO28)))+((DR28=8)*DT28+(DV28=8)*DX28+(DZ28=8)*EB28+(ED28=8)*EF28+(EH28=8)*EJ28+(EL28=8)*EN28+(EP28=8)*ER28+(ET28=8)*EV28)</f>
        <v/>
      </c>
      <c r="DQ28">
        <f>MAX(0,ROUND(N(DN28)+N(DO28)-N(DP28),2))</f>
        <v/>
      </c>
      <c r="DR28">
        <f>IFERROR(MATCH(1,OrderSnow,0),"")</f>
        <v/>
      </c>
      <c r="DS28">
        <f>IF(DR28="",0,IFERROR(IF(N(CHOOSE(DR28,CL28,CP28,CT28,CX28,DB28,DF28,DJ28,DN28))&lt;=0.005,0,MAX(0,N(CHOOSE(DR28,CL28,CP28,CT28,CX28,DB28,DF28,DJ28,DN28))+N(CHOOSE(DR28,CM28,CQ28,CU28,CY28,DC28,DG28,DK28,DO28))-MIN(N(CHOOSE(DR28,'Debt List'!$F$5,'Debt List'!$F$6,'Debt List'!$F$7,'Debt List'!$F$8,'Debt List'!$F$9,'Debt List'!$F$10,'Debt List'!$F$11,'Debt List'!$F$12)),N(CHOOSE(DR28,CL28,CP28,CT28,CX28,DB28,DF28,DJ28,DN28))+N(CHOOSE(DR28,CM28,CQ28,CU28,CY28,DC28,DG28,DK28,DO28))))),0))</f>
        <v/>
      </c>
      <c r="DT28">
        <f>MIN(N(DS28),MAX(0,N(ExtraPayment)))</f>
        <v/>
      </c>
      <c r="DU28">
        <f>MAX(0,N(ExtraPayment)-N(DT28))</f>
        <v/>
      </c>
      <c r="DV28">
        <f>IFERROR(MATCH(2,OrderSnow,0),"")</f>
        <v/>
      </c>
      <c r="DW28">
        <f>IF(DV28="",0,IFERROR(IF(N(CHOOSE(DV28,CL28,CP28,CT28,CX28,DB28,DF28,DJ28,DN28))&lt;=0.005,0,MAX(0,N(CHOOSE(DV28,CL28,CP28,CT28,CX28,DB28,DF28,DJ28,DN28))+N(CHOOSE(DV28,CM28,CQ28,CU28,CY28,DC28,DG28,DK28,DO28))-MIN(N(CHOOSE(DV28,'Debt List'!$F$5,'Debt List'!$F$6,'Debt List'!$F$7,'Debt List'!$F$8,'Debt List'!$F$9,'Debt List'!$F$10,'Debt List'!$F$11,'Debt List'!$F$12)),N(CHOOSE(DV28,CL28,CP28,CT28,CX28,DB28,DF28,DJ28,DN28))+N(CHOOSE(DV28,CM28,CQ28,CU28,CY28,DC28,DG28,DK28,DO28))))),0))</f>
        <v/>
      </c>
      <c r="DX28">
        <f>MIN(N(DW28),MAX(0,N(DU28)))</f>
        <v/>
      </c>
      <c r="DY28">
        <f>MAX(0,N(DU28)-N(DX28))</f>
        <v/>
      </c>
      <c r="DZ28">
        <f>IFERROR(MATCH(3,OrderSnow,0),"")</f>
        <v/>
      </c>
      <c r="EA28">
        <f>IF(DZ28="",0,IFERROR(IF(N(CHOOSE(DZ28,CL28,CP28,CT28,CX28,DB28,DF28,DJ28,DN28))&lt;=0.005,0,MAX(0,N(CHOOSE(DZ28,CL28,CP28,CT28,CX28,DB28,DF28,DJ28,DN28))+N(CHOOSE(DZ28,CM28,CQ28,CU28,CY28,DC28,DG28,DK28,DO28))-MIN(N(CHOOSE(DZ28,'Debt List'!$F$5,'Debt List'!$F$6,'Debt List'!$F$7,'Debt List'!$F$8,'Debt List'!$F$9,'Debt List'!$F$10,'Debt List'!$F$11,'Debt List'!$F$12)),N(CHOOSE(DZ28,CL28,CP28,CT28,CX28,DB28,DF28,DJ28,DN28))+N(CHOOSE(DZ28,CM28,CQ28,CU28,CY28,DC28,DG28,DK28,DO28))))),0))</f>
        <v/>
      </c>
      <c r="EB28">
        <f>MIN(N(EA28),MAX(0,N(DY28)))</f>
        <v/>
      </c>
      <c r="EC28">
        <f>MAX(0,N(DY28)-N(EB28))</f>
        <v/>
      </c>
      <c r="ED28">
        <f>IFERROR(MATCH(4,OrderSnow,0),"")</f>
        <v/>
      </c>
      <c r="EE28">
        <f>IF(ED28="",0,IFERROR(IF(N(CHOOSE(ED28,CL28,CP28,CT28,CX28,DB28,DF28,DJ28,DN28))&lt;=0.005,0,MAX(0,N(CHOOSE(ED28,CL28,CP28,CT28,CX28,DB28,DF28,DJ28,DN28))+N(CHOOSE(ED28,CM28,CQ28,CU28,CY28,DC28,DG28,DK28,DO28))-MIN(N(CHOOSE(ED28,'Debt List'!$F$5,'Debt List'!$F$6,'Debt List'!$F$7,'Debt List'!$F$8,'Debt List'!$F$9,'Debt List'!$F$10,'Debt List'!$F$11,'Debt List'!$F$12)),N(CHOOSE(ED28,CL28,CP28,CT28,CX28,DB28,DF28,DJ28,DN28))+N(CHOOSE(ED28,CM28,CQ28,CU28,CY28,DC28,DG28,DK28,DO28))))),0))</f>
        <v/>
      </c>
      <c r="EF28">
        <f>MIN(N(EE28),MAX(0,N(EC28)))</f>
        <v/>
      </c>
      <c r="EG28">
        <f>MAX(0,N(EC28)-N(EF28))</f>
        <v/>
      </c>
      <c r="EH28">
        <f>IFERROR(MATCH(5,OrderSnow,0),"")</f>
        <v/>
      </c>
      <c r="EI28">
        <f>IF(EH28="",0,IFERROR(IF(N(CHOOSE(EH28,CL28,CP28,CT28,CX28,DB28,DF28,DJ28,DN28))&lt;=0.005,0,MAX(0,N(CHOOSE(EH28,CL28,CP28,CT28,CX28,DB28,DF28,DJ28,DN28))+N(CHOOSE(EH28,CM28,CQ28,CU28,CY28,DC28,DG28,DK28,DO28))-MIN(N(CHOOSE(EH28,'Debt List'!$F$5,'Debt List'!$F$6,'Debt List'!$F$7,'Debt List'!$F$8,'Debt List'!$F$9,'Debt List'!$F$10,'Debt List'!$F$11,'Debt List'!$F$12)),N(CHOOSE(EH28,CL28,CP28,CT28,CX28,DB28,DF28,DJ28,DN28))+N(CHOOSE(EH28,CM28,CQ28,CU28,CY28,DC28,DG28,DK28,DO28))))),0))</f>
        <v/>
      </c>
      <c r="EJ28">
        <f>MIN(N(EI28),MAX(0,N(EG28)))</f>
        <v/>
      </c>
      <c r="EK28">
        <f>MAX(0,N(EG28)-N(EJ28))</f>
        <v/>
      </c>
      <c r="EL28">
        <f>IFERROR(MATCH(6,OrderSnow,0),"")</f>
        <v/>
      </c>
      <c r="EM28">
        <f>IF(EL28="",0,IFERROR(IF(N(CHOOSE(EL28,CL28,CP28,CT28,CX28,DB28,DF28,DJ28,DN28))&lt;=0.005,0,MAX(0,N(CHOOSE(EL28,CL28,CP28,CT28,CX28,DB28,DF28,DJ28,DN28))+N(CHOOSE(EL28,CM28,CQ28,CU28,CY28,DC28,DG28,DK28,DO28))-MIN(N(CHOOSE(EL28,'Debt List'!$F$5,'Debt List'!$F$6,'Debt List'!$F$7,'Debt List'!$F$8,'Debt List'!$F$9,'Debt List'!$F$10,'Debt List'!$F$11,'Debt List'!$F$12)),N(CHOOSE(EL28,CL28,CP28,CT28,CX28,DB28,DF28,DJ28,DN28))+N(CHOOSE(EL28,CM28,CQ28,CU28,CY28,DC28,DG28,DK28,DO28))))),0))</f>
        <v/>
      </c>
      <c r="EN28">
        <f>MIN(N(EM28),MAX(0,N(EK28)))</f>
        <v/>
      </c>
      <c r="EO28">
        <f>MAX(0,N(EK28)-N(EN28))</f>
        <v/>
      </c>
      <c r="EP28">
        <f>IFERROR(MATCH(7,OrderSnow,0),"")</f>
        <v/>
      </c>
      <c r="EQ28">
        <f>IF(EP28="",0,IFERROR(IF(N(CHOOSE(EP28,CL28,CP28,CT28,CX28,DB28,DF28,DJ28,DN28))&lt;=0.005,0,MAX(0,N(CHOOSE(EP28,CL28,CP28,CT28,CX28,DB28,DF28,DJ28,DN28))+N(CHOOSE(EP28,CM28,CQ28,CU28,CY28,DC28,DG28,DK28,DO28))-MIN(N(CHOOSE(EP28,'Debt List'!$F$5,'Debt List'!$F$6,'Debt List'!$F$7,'Debt List'!$F$8,'Debt List'!$F$9,'Debt List'!$F$10,'Debt List'!$F$11,'Debt List'!$F$12)),N(CHOOSE(EP28,CL28,CP28,CT28,CX28,DB28,DF28,DJ28,DN28))+N(CHOOSE(EP28,CM28,CQ28,CU28,CY28,DC28,DG28,DK28,DO28))))),0))</f>
        <v/>
      </c>
      <c r="ER28">
        <f>MIN(N(EQ28),MAX(0,N(EO28)))</f>
        <v/>
      </c>
      <c r="ES28">
        <f>MAX(0,N(EO28)-N(ER28))</f>
        <v/>
      </c>
      <c r="ET28">
        <f>IFERROR(MATCH(8,OrderSnow,0),"")</f>
        <v/>
      </c>
      <c r="EU28">
        <f>IF(ET28="",0,IFERROR(IF(N(CHOOSE(ET28,CL28,CP28,CT28,CX28,DB28,DF28,DJ28,DN28))&lt;=0.005,0,MAX(0,N(CHOOSE(ET28,CL28,CP28,CT28,CX28,DB28,DF28,DJ28,DN28))+N(CHOOSE(ET28,CM28,CQ28,CU28,CY28,DC28,DG28,DK28,DO28))-MIN(N(CHOOSE(ET28,'Debt List'!$F$5,'Debt List'!$F$6,'Debt List'!$F$7,'Debt List'!$F$8,'Debt List'!$F$9,'Debt List'!$F$10,'Debt List'!$F$11,'Debt List'!$F$12)),N(CHOOSE(ET28,CL28,CP28,CT28,CX28,DB28,DF28,DJ28,DN28))+N(CHOOSE(ET28,CM28,CQ28,CU28,CY28,DC28,DG28,DK28,DO28))))),0))</f>
        <v/>
      </c>
      <c r="EV28">
        <f>MIN(N(EU28),MAX(0,N(ES28)))</f>
        <v/>
      </c>
      <c r="EW28">
        <f>MAX(0,N(ES28)-N(EV28))</f>
        <v/>
      </c>
      <c r="FE28" t="n">
        <v>24</v>
      </c>
      <c r="FF28" s="115">
        <f>DATE(YEAR(PlanStart),MONTH(PlanStart)+FE28-1,1)</f>
        <v/>
      </c>
      <c r="FG28">
        <f>IF(AND(GT28&lt;&gt;"",N(CHOOSE(GT28,FN28,FR28,FV28,FZ28,GD28,GH28,GL28,GP28))&gt;0.005),INDEX(DebtNames,GT28),IF(AND(GX28&lt;&gt;"",N(CHOOSE(GX28,FN28,FR28,FV28,FZ28,GD28,GH28,GL28,GP28))&gt;0.005),INDEX(DebtNames,GX28),IF(AND(HB28&lt;&gt;"",N(CHOOSE(HB28,FN28,FR28,FV28,FZ28,GD28,GH28,GL28,GP28))&gt;0.005),INDEX(DebtNames,HB28),IF(AND(HF28&lt;&gt;"",N(CHOOSE(HF28,FN28,FR28,FV28,FZ28,GD28,GH28,GL28,GP28))&gt;0.005),INDEX(DebtNames,HF28),IF(AND(HJ28&lt;&gt;"",N(CHOOSE(HJ28,FN28,FR28,FV28,FZ28,GD28,GH28,GL28,GP28))&gt;0.005),INDEX(DebtNames,HJ28),IF(AND(HN28&lt;&gt;"",N(CHOOSE(HN28,FN28,FR28,FV28,FZ28,GD28,GH28,GL28,GP28))&gt;0.005),INDEX(DebtNames,HN28),IF(AND(HR28&lt;&gt;"",N(CHOOSE(HR28,FN28,FR28,FV28,FZ28,GD28,GH28,GL28,GP28))&gt;0.005),INDEX(DebtNames,HR28),IF(AND(HV28&lt;&gt;"",N(CHOOSE(HV28,FN28,FR28,FV28,FZ28,GD28,GH28,GL28,GP28))&gt;0.005),INDEX(DebtNames,HV28),""))))))))</f>
        <v/>
      </c>
      <c r="FH28">
        <f>N(HY28)</f>
        <v/>
      </c>
      <c r="FI28">
        <f>N(FP28)+N(FT28)+N(FX28)+N(GB28)+N(GF28)+N(GJ28)+N(GN28)+N(GR28)</f>
        <v/>
      </c>
      <c r="FJ28">
        <f>N(FO28)+N(FS28)+N(FW28)+N(GA28)+N(GE28)+N(GI28)+N(GM28)+N(GQ28)</f>
        <v/>
      </c>
      <c r="FK28">
        <f>N(FK27)+N(FJ28)</f>
        <v/>
      </c>
      <c r="FL28">
        <f>N(FQ28)+N(FU28)+N(FY28)+N(GC28)+N(GG28)+N(GK28)+N(GO28)+N(GS28)</f>
        <v/>
      </c>
      <c r="FM28">
        <f>(FQ28&gt;0.005)*1+(FU28&gt;0.005)*1+(FY28&gt;0.005)*1+(GC28&gt;0.005)*1+(GG28&gt;0.005)*1+(GK28&gt;0.005)*1+(GO28&gt;0.005)*1+(GS28&gt;0.005)*1</f>
        <v/>
      </c>
      <c r="FN28">
        <f>N(FQ27)</f>
        <v/>
      </c>
      <c r="FO28">
        <f>IF(N(FN28)&lt;=0.005,0,ROUND(N(FN28)*N('Debt List'!E5)/12,2))</f>
        <v/>
      </c>
      <c r="FP28">
        <f>IF(N(FN28)&lt;=0.005,0,MIN(N('Debt List'!F5),N(FN28)+N(FO28)))+((GT28=1)*GV28+(GX28=1)*GZ28+(HB28=1)*HD28+(HF28=1)*HH28+(HJ28=1)*HL28+(HN28=1)*HP28+(HR28=1)*HT28+(HV28=1)*HX28)</f>
        <v/>
      </c>
      <c r="FQ28">
        <f>MAX(0,ROUND(N(FN28)+N(FO28)-N(FP28),2))</f>
        <v/>
      </c>
      <c r="FR28">
        <f>N(FU27)</f>
        <v/>
      </c>
      <c r="FS28">
        <f>IF(N(FR28)&lt;=0.005,0,ROUND(N(FR28)*N('Debt List'!E6)/12,2))</f>
        <v/>
      </c>
      <c r="FT28">
        <f>IF(N(FR28)&lt;=0.005,0,MIN(N('Debt List'!F6),N(FR28)+N(FS28)))+((GT28=2)*GV28+(GX28=2)*GZ28+(HB28=2)*HD28+(HF28=2)*HH28+(HJ28=2)*HL28+(HN28=2)*HP28+(HR28=2)*HT28+(HV28=2)*HX28)</f>
        <v/>
      </c>
      <c r="FU28">
        <f>MAX(0,ROUND(N(FR28)+N(FS28)-N(FT28),2))</f>
        <v/>
      </c>
      <c r="FV28">
        <f>N(FY27)</f>
        <v/>
      </c>
      <c r="FW28">
        <f>IF(N(FV28)&lt;=0.005,0,ROUND(N(FV28)*N('Debt List'!E7)/12,2))</f>
        <v/>
      </c>
      <c r="FX28">
        <f>IF(N(FV28)&lt;=0.005,0,MIN(N('Debt List'!F7),N(FV28)+N(FW28)))+((GT28=3)*GV28+(GX28=3)*GZ28+(HB28=3)*HD28+(HF28=3)*HH28+(HJ28=3)*HL28+(HN28=3)*HP28+(HR28=3)*HT28+(HV28=3)*HX28)</f>
        <v/>
      </c>
      <c r="FY28">
        <f>MAX(0,ROUND(N(FV28)+N(FW28)-N(FX28),2))</f>
        <v/>
      </c>
      <c r="FZ28">
        <f>N(GC27)</f>
        <v/>
      </c>
      <c r="GA28">
        <f>IF(N(FZ28)&lt;=0.005,0,ROUND(N(FZ28)*N('Debt List'!E8)/12,2))</f>
        <v/>
      </c>
      <c r="GB28">
        <f>IF(N(FZ28)&lt;=0.005,0,MIN(N('Debt List'!F8),N(FZ28)+N(GA28)))+((GT28=4)*GV28+(GX28=4)*GZ28+(HB28=4)*HD28+(HF28=4)*HH28+(HJ28=4)*HL28+(HN28=4)*HP28+(HR28=4)*HT28+(HV28=4)*HX28)</f>
        <v/>
      </c>
      <c r="GC28">
        <f>MAX(0,ROUND(N(FZ28)+N(GA28)-N(GB28),2))</f>
        <v/>
      </c>
      <c r="GD28">
        <f>N(GG27)</f>
        <v/>
      </c>
      <c r="GE28">
        <f>IF(N(GD28)&lt;=0.005,0,ROUND(N(GD28)*N('Debt List'!E9)/12,2))</f>
        <v/>
      </c>
      <c r="GF28">
        <f>IF(N(GD28)&lt;=0.005,0,MIN(N('Debt List'!F9),N(GD28)+N(GE28)))+((GT28=5)*GV28+(GX28=5)*GZ28+(HB28=5)*HD28+(HF28=5)*HH28+(HJ28=5)*HL28+(HN28=5)*HP28+(HR28=5)*HT28+(HV28=5)*HX28)</f>
        <v/>
      </c>
      <c r="GG28">
        <f>MAX(0,ROUND(N(GD28)+N(GE28)-N(GF28),2))</f>
        <v/>
      </c>
      <c r="GH28">
        <f>N(GK27)</f>
        <v/>
      </c>
      <c r="GI28">
        <f>IF(N(GH28)&lt;=0.005,0,ROUND(N(GH28)*N('Debt List'!E10)/12,2))</f>
        <v/>
      </c>
      <c r="GJ28">
        <f>IF(N(GH28)&lt;=0.005,0,MIN(N('Debt List'!F10),N(GH28)+N(GI28)))+((GT28=6)*GV28+(GX28=6)*GZ28+(HB28=6)*HD28+(HF28=6)*HH28+(HJ28=6)*HL28+(HN28=6)*HP28+(HR28=6)*HT28+(HV28=6)*HX28)</f>
        <v/>
      </c>
      <c r="GK28">
        <f>MAX(0,ROUND(N(GH28)+N(GI28)-N(GJ28),2))</f>
        <v/>
      </c>
      <c r="GL28">
        <f>N(GO27)</f>
        <v/>
      </c>
      <c r="GM28">
        <f>IF(N(GL28)&lt;=0.005,0,ROUND(N(GL28)*N('Debt List'!E11)/12,2))</f>
        <v/>
      </c>
      <c r="GN28">
        <f>IF(N(GL28)&lt;=0.005,0,MIN(N('Debt List'!F11),N(GL28)+N(GM28)))+((GT28=7)*GV28+(GX28=7)*GZ28+(HB28=7)*HD28+(HF28=7)*HH28+(HJ28=7)*HL28+(HN28=7)*HP28+(HR28=7)*HT28+(HV28=7)*HX28)</f>
        <v/>
      </c>
      <c r="GO28">
        <f>MAX(0,ROUND(N(GL28)+N(GM28)-N(GN28),2))</f>
        <v/>
      </c>
      <c r="GP28">
        <f>N(GS27)</f>
        <v/>
      </c>
      <c r="GQ28">
        <f>IF(N(GP28)&lt;=0.005,0,ROUND(N(GP28)*N('Debt List'!E12)/12,2))</f>
        <v/>
      </c>
      <c r="GR28">
        <f>IF(N(GP28)&lt;=0.005,0,MIN(N('Debt List'!F12),N(GP28)+N(GQ28)))+((GT28=8)*GV28+(GX28=8)*GZ28+(HB28=8)*HD28+(HF28=8)*HH28+(HJ28=8)*HL28+(HN28=8)*HP28+(HR28=8)*HT28+(HV28=8)*HX28)</f>
        <v/>
      </c>
      <c r="GS28">
        <f>MAX(0,ROUND(N(GP28)+N(GQ28)-N(GR28),2))</f>
        <v/>
      </c>
      <c r="GT28">
        <f>IFERROR(MATCH(1,OrderAval,0),"")</f>
        <v/>
      </c>
      <c r="GU28">
        <f>IF(GT28="",0,IFERROR(IF(N(CHOOSE(GT28,FN28,FR28,FV28,FZ28,GD28,GH28,GL28,GP28))&lt;=0.005,0,MAX(0,N(CHOOSE(GT28,FN28,FR28,FV28,FZ28,GD28,GH28,GL28,GP28))+N(CHOOSE(GT28,FO28,FS28,FW28,GA28,GE28,GI28,GM28,GQ28))-MIN(N(CHOOSE(GT28,'Debt List'!$F$5,'Debt List'!$F$6,'Debt List'!$F$7,'Debt List'!$F$8,'Debt List'!$F$9,'Debt List'!$F$10,'Debt List'!$F$11,'Debt List'!$F$12)),N(CHOOSE(GT28,FN28,FR28,FV28,FZ28,GD28,GH28,GL28,GP28))+N(CHOOSE(GT28,FO28,FS28,FW28,GA28,GE28,GI28,GM28,GQ28))))),0))</f>
        <v/>
      </c>
      <c r="GV28">
        <f>MIN(N(GU28),MAX(0,N(ExtraPayment)))</f>
        <v/>
      </c>
      <c r="GW28">
        <f>MAX(0,N(ExtraPayment)-N(GV28))</f>
        <v/>
      </c>
      <c r="GX28">
        <f>IFERROR(MATCH(2,OrderAval,0),"")</f>
        <v/>
      </c>
      <c r="GY28">
        <f>IF(GX28="",0,IFERROR(IF(N(CHOOSE(GX28,FN28,FR28,FV28,FZ28,GD28,GH28,GL28,GP28))&lt;=0.005,0,MAX(0,N(CHOOSE(GX28,FN28,FR28,FV28,FZ28,GD28,GH28,GL28,GP28))+N(CHOOSE(GX28,FO28,FS28,FW28,GA28,GE28,GI28,GM28,GQ28))-MIN(N(CHOOSE(GX28,'Debt List'!$F$5,'Debt List'!$F$6,'Debt List'!$F$7,'Debt List'!$F$8,'Debt List'!$F$9,'Debt List'!$F$10,'Debt List'!$F$11,'Debt List'!$F$12)),N(CHOOSE(GX28,FN28,FR28,FV28,FZ28,GD28,GH28,GL28,GP28))+N(CHOOSE(GX28,FO28,FS28,FW28,GA28,GE28,GI28,GM28,GQ28))))),0))</f>
        <v/>
      </c>
      <c r="GZ28">
        <f>MIN(N(GY28),MAX(0,N(GW28)))</f>
        <v/>
      </c>
      <c r="HA28">
        <f>MAX(0,N(GW28)-N(GZ28))</f>
        <v/>
      </c>
      <c r="HB28">
        <f>IFERROR(MATCH(3,OrderAval,0),"")</f>
        <v/>
      </c>
      <c r="HC28">
        <f>IF(HB28="",0,IFERROR(IF(N(CHOOSE(HB28,FN28,FR28,FV28,FZ28,GD28,GH28,GL28,GP28))&lt;=0.005,0,MAX(0,N(CHOOSE(HB28,FN28,FR28,FV28,FZ28,GD28,GH28,GL28,GP28))+N(CHOOSE(HB28,FO28,FS28,FW28,GA28,GE28,GI28,GM28,GQ28))-MIN(N(CHOOSE(HB28,'Debt List'!$F$5,'Debt List'!$F$6,'Debt List'!$F$7,'Debt List'!$F$8,'Debt List'!$F$9,'Debt List'!$F$10,'Debt List'!$F$11,'Debt List'!$F$12)),N(CHOOSE(HB28,FN28,FR28,FV28,FZ28,GD28,GH28,GL28,GP28))+N(CHOOSE(HB28,FO28,FS28,FW28,GA28,GE28,GI28,GM28,GQ28))))),0))</f>
        <v/>
      </c>
      <c r="HD28">
        <f>MIN(N(HC28),MAX(0,N(HA28)))</f>
        <v/>
      </c>
      <c r="HE28">
        <f>MAX(0,N(HA28)-N(HD28))</f>
        <v/>
      </c>
      <c r="HF28">
        <f>IFERROR(MATCH(4,OrderAval,0),"")</f>
        <v/>
      </c>
      <c r="HG28">
        <f>IF(HF28="",0,IFERROR(IF(N(CHOOSE(HF28,FN28,FR28,FV28,FZ28,GD28,GH28,GL28,GP28))&lt;=0.005,0,MAX(0,N(CHOOSE(HF28,FN28,FR28,FV28,FZ28,GD28,GH28,GL28,GP28))+N(CHOOSE(HF28,FO28,FS28,FW28,GA28,GE28,GI28,GM28,GQ28))-MIN(N(CHOOSE(HF28,'Debt List'!$F$5,'Debt List'!$F$6,'Debt List'!$F$7,'Debt List'!$F$8,'Debt List'!$F$9,'Debt List'!$F$10,'Debt List'!$F$11,'Debt List'!$F$12)),N(CHOOSE(HF28,FN28,FR28,FV28,FZ28,GD28,GH28,GL28,GP28))+N(CHOOSE(HF28,FO28,FS28,FW28,GA28,GE28,GI28,GM28,GQ28))))),0))</f>
        <v/>
      </c>
      <c r="HH28">
        <f>MIN(N(HG28),MAX(0,N(HE28)))</f>
        <v/>
      </c>
      <c r="HI28">
        <f>MAX(0,N(HE28)-N(HH28))</f>
        <v/>
      </c>
      <c r="HJ28">
        <f>IFERROR(MATCH(5,OrderAval,0),"")</f>
        <v/>
      </c>
      <c r="HK28">
        <f>IF(HJ28="",0,IFERROR(IF(N(CHOOSE(HJ28,FN28,FR28,FV28,FZ28,GD28,GH28,GL28,GP28))&lt;=0.005,0,MAX(0,N(CHOOSE(HJ28,FN28,FR28,FV28,FZ28,GD28,GH28,GL28,GP28))+N(CHOOSE(HJ28,FO28,FS28,FW28,GA28,GE28,GI28,GM28,GQ28))-MIN(N(CHOOSE(HJ28,'Debt List'!$F$5,'Debt List'!$F$6,'Debt List'!$F$7,'Debt List'!$F$8,'Debt List'!$F$9,'Debt List'!$F$10,'Debt List'!$F$11,'Debt List'!$F$12)),N(CHOOSE(HJ28,FN28,FR28,FV28,FZ28,GD28,GH28,GL28,GP28))+N(CHOOSE(HJ28,FO28,FS28,FW28,GA28,GE28,GI28,GM28,GQ28))))),0))</f>
        <v/>
      </c>
      <c r="HL28">
        <f>MIN(N(HK28),MAX(0,N(HI28)))</f>
        <v/>
      </c>
      <c r="HM28">
        <f>MAX(0,N(HI28)-N(HL28))</f>
        <v/>
      </c>
      <c r="HN28">
        <f>IFERROR(MATCH(6,OrderAval,0),"")</f>
        <v/>
      </c>
      <c r="HO28">
        <f>IF(HN28="",0,IFERROR(IF(N(CHOOSE(HN28,FN28,FR28,FV28,FZ28,GD28,GH28,GL28,GP28))&lt;=0.005,0,MAX(0,N(CHOOSE(HN28,FN28,FR28,FV28,FZ28,GD28,GH28,GL28,GP28))+N(CHOOSE(HN28,FO28,FS28,FW28,GA28,GE28,GI28,GM28,GQ28))-MIN(N(CHOOSE(HN28,'Debt List'!$F$5,'Debt List'!$F$6,'Debt List'!$F$7,'Debt List'!$F$8,'Debt List'!$F$9,'Debt List'!$F$10,'Debt List'!$F$11,'Debt List'!$F$12)),N(CHOOSE(HN28,FN28,FR28,FV28,FZ28,GD28,GH28,GL28,GP28))+N(CHOOSE(HN28,FO28,FS28,FW28,GA28,GE28,GI28,GM28,GQ28))))),0))</f>
        <v/>
      </c>
      <c r="HP28">
        <f>MIN(N(HO28),MAX(0,N(HM28)))</f>
        <v/>
      </c>
      <c r="HQ28">
        <f>MAX(0,N(HM28)-N(HP28))</f>
        <v/>
      </c>
      <c r="HR28">
        <f>IFERROR(MATCH(7,OrderAval,0),"")</f>
        <v/>
      </c>
      <c r="HS28">
        <f>IF(HR28="",0,IFERROR(IF(N(CHOOSE(HR28,FN28,FR28,FV28,FZ28,GD28,GH28,GL28,GP28))&lt;=0.005,0,MAX(0,N(CHOOSE(HR28,FN28,FR28,FV28,FZ28,GD28,GH28,GL28,GP28))+N(CHOOSE(HR28,FO28,FS28,FW28,GA28,GE28,GI28,GM28,GQ28))-MIN(N(CHOOSE(HR28,'Debt List'!$F$5,'Debt List'!$F$6,'Debt List'!$F$7,'Debt List'!$F$8,'Debt List'!$F$9,'Debt List'!$F$10,'Debt List'!$F$11,'Debt List'!$F$12)),N(CHOOSE(HR28,FN28,FR28,FV28,FZ28,GD28,GH28,GL28,GP28))+N(CHOOSE(HR28,FO28,FS28,FW28,GA28,GE28,GI28,GM28,GQ28))))),0))</f>
        <v/>
      </c>
      <c r="HT28">
        <f>MIN(N(HS28),MAX(0,N(HQ28)))</f>
        <v/>
      </c>
      <c r="HU28">
        <f>MAX(0,N(HQ28)-N(HT28))</f>
        <v/>
      </c>
      <c r="HV28">
        <f>IFERROR(MATCH(8,OrderAval,0),"")</f>
        <v/>
      </c>
      <c r="HW28">
        <f>IF(HV28="",0,IFERROR(IF(N(CHOOSE(HV28,FN28,FR28,FV28,FZ28,GD28,GH28,GL28,GP28))&lt;=0.005,0,MAX(0,N(CHOOSE(HV28,FN28,FR28,FV28,FZ28,GD28,GH28,GL28,GP28))+N(CHOOSE(HV28,FO28,FS28,FW28,GA28,GE28,GI28,GM28,GQ28))-MIN(N(CHOOSE(HV28,'Debt List'!$F$5,'Debt List'!$F$6,'Debt List'!$F$7,'Debt List'!$F$8,'Debt List'!$F$9,'Debt List'!$F$10,'Debt List'!$F$11,'Debt List'!$F$12)),N(CHOOSE(HV28,FN28,FR28,FV28,FZ28,GD28,GH28,GL28,GP28))+N(CHOOSE(HV28,FO28,FS28,FW28,GA28,GE28,GI28,GM28,GQ28))))),0))</f>
        <v/>
      </c>
      <c r="HX28">
        <f>MIN(N(HW28),MAX(0,N(HU28)))</f>
        <v/>
      </c>
      <c r="HY28">
        <f>MAX(0,N(HU28)-N(HX28))</f>
        <v/>
      </c>
    </row>
    <row r="29">
      <c r="A29" t="n">
        <v>25</v>
      </c>
      <c r="B29" s="115">
        <f>DATE(YEAR(PlanStart),MONTH(PlanStart)+A29-1,1)</f>
        <v/>
      </c>
      <c r="C29">
        <f>IF(AND(AP29&lt;&gt;"",N(CHOOSE(AP29,J29,N29,R29,V29,Z29,AD29,AH29,AL29))&gt;0.005),INDEX(DebtNames,AP29),IF(AND(AT29&lt;&gt;"",N(CHOOSE(AT29,J29,N29,R29,V29,Z29,AD29,AH29,AL29))&gt;0.005),INDEX(DebtNames,AT29),IF(AND(AX29&lt;&gt;"",N(CHOOSE(AX29,J29,N29,R29,V29,Z29,AD29,AH29,AL29))&gt;0.005),INDEX(DebtNames,AX29),IF(AND(BB29&lt;&gt;"",N(CHOOSE(BB29,J29,N29,R29,V29,Z29,AD29,AH29,AL29))&gt;0.005),INDEX(DebtNames,BB29),IF(AND(BF29&lt;&gt;"",N(CHOOSE(BF29,J29,N29,R29,V29,Z29,AD29,AH29,AL29))&gt;0.005),INDEX(DebtNames,BF29),IF(AND(BJ29&lt;&gt;"",N(CHOOSE(BJ29,J29,N29,R29,V29,Z29,AD29,AH29,AL29))&gt;0.005),INDEX(DebtNames,BJ29),IF(AND(BN29&lt;&gt;"",N(CHOOSE(BN29,J29,N29,R29,V29,Z29,AD29,AH29,AL29))&gt;0.005),INDEX(DebtNames,BN29),IF(AND(BR29&lt;&gt;"",N(CHOOSE(BR29,J29,N29,R29,V29,Z29,AD29,AH29,AL29))&gt;0.005),INDEX(DebtNames,BR29),""))))))))</f>
        <v/>
      </c>
      <c r="D29">
        <f>N(BU29)</f>
        <v/>
      </c>
      <c r="E29">
        <f>N(L29)+N(P29)+N(T29)+N(X29)+N(AB29)+N(AF29)+N(AJ29)+N(AN29)</f>
        <v/>
      </c>
      <c r="F29">
        <f>N(K29)+N(O29)+N(S29)+N(W29)+N(AA29)+N(AE29)+N(AI29)+N(AM29)</f>
        <v/>
      </c>
      <c r="G29">
        <f>N(G28)+N(F29)</f>
        <v/>
      </c>
      <c r="H29">
        <f>N(M29)+N(Q29)+N(U29)+N(Y29)+N(AC29)+N(AG29)+N(AK29)+N(AO29)</f>
        <v/>
      </c>
      <c r="I29">
        <f>(M29&gt;0.005)*1+(Q29&gt;0.005)*1+(U29&gt;0.005)*1+(Y29&gt;0.005)*1+(AC29&gt;0.005)*1+(AG29&gt;0.005)*1+(AK29&gt;0.005)*1+(AO29&gt;0.005)*1</f>
        <v/>
      </c>
      <c r="J29">
        <f>N(M28)</f>
        <v/>
      </c>
      <c r="K29">
        <f>IF(N(J29)&lt;=0.005,0,ROUND(N(J29)*N('Debt List'!E5)/12,2))</f>
        <v/>
      </c>
      <c r="L29">
        <f>IF(N(J29)&lt;=0.005,0,MIN(N('Debt List'!F5),N(J29)+N(K29)))+((AP29=1)*AR29+(AT29=1)*AV29+(AX29=1)*AZ29+(BB29=1)*BD29+(BF29=1)*BH29+(BJ29=1)*BL29+(BN29=1)*BP29+(BR29=1)*BT29)</f>
        <v/>
      </c>
      <c r="M29">
        <f>MAX(0,ROUND(N(J29)+N(K29)-N(L29),2))</f>
        <v/>
      </c>
      <c r="N29">
        <f>N(Q28)</f>
        <v/>
      </c>
      <c r="O29">
        <f>IF(N(N29)&lt;=0.005,0,ROUND(N(N29)*N('Debt List'!E6)/12,2))</f>
        <v/>
      </c>
      <c r="P29">
        <f>IF(N(N29)&lt;=0.005,0,MIN(N('Debt List'!F6),N(N29)+N(O29)))+((AP29=2)*AR29+(AT29=2)*AV29+(AX29=2)*AZ29+(BB29=2)*BD29+(BF29=2)*BH29+(BJ29=2)*BL29+(BN29=2)*BP29+(BR29=2)*BT29)</f>
        <v/>
      </c>
      <c r="Q29">
        <f>MAX(0,ROUND(N(N29)+N(O29)-N(P29),2))</f>
        <v/>
      </c>
      <c r="R29">
        <f>N(U28)</f>
        <v/>
      </c>
      <c r="S29">
        <f>IF(N(R29)&lt;=0.005,0,ROUND(N(R29)*N('Debt List'!E7)/12,2))</f>
        <v/>
      </c>
      <c r="T29">
        <f>IF(N(R29)&lt;=0.005,0,MIN(N('Debt List'!F7),N(R29)+N(S29)))+((AP29=3)*AR29+(AT29=3)*AV29+(AX29=3)*AZ29+(BB29=3)*BD29+(BF29=3)*BH29+(BJ29=3)*BL29+(BN29=3)*BP29+(BR29=3)*BT29)</f>
        <v/>
      </c>
      <c r="U29">
        <f>MAX(0,ROUND(N(R29)+N(S29)-N(T29),2))</f>
        <v/>
      </c>
      <c r="V29">
        <f>N(Y28)</f>
        <v/>
      </c>
      <c r="W29">
        <f>IF(N(V29)&lt;=0.005,0,ROUND(N(V29)*N('Debt List'!E8)/12,2))</f>
        <v/>
      </c>
      <c r="X29">
        <f>IF(N(V29)&lt;=0.005,0,MIN(N('Debt List'!F8),N(V29)+N(W29)))+((AP29=4)*AR29+(AT29=4)*AV29+(AX29=4)*AZ29+(BB29=4)*BD29+(BF29=4)*BH29+(BJ29=4)*BL29+(BN29=4)*BP29+(BR29=4)*BT29)</f>
        <v/>
      </c>
      <c r="Y29">
        <f>MAX(0,ROUND(N(V29)+N(W29)-N(X29),2))</f>
        <v/>
      </c>
      <c r="Z29">
        <f>N(AC28)</f>
        <v/>
      </c>
      <c r="AA29">
        <f>IF(N(Z29)&lt;=0.005,0,ROUND(N(Z29)*N('Debt List'!E9)/12,2))</f>
        <v/>
      </c>
      <c r="AB29">
        <f>IF(N(Z29)&lt;=0.005,0,MIN(N('Debt List'!F9),N(Z29)+N(AA29)))+((AP29=5)*AR29+(AT29=5)*AV29+(AX29=5)*AZ29+(BB29=5)*BD29+(BF29=5)*BH29+(BJ29=5)*BL29+(BN29=5)*BP29+(BR29=5)*BT29)</f>
        <v/>
      </c>
      <c r="AC29">
        <f>MAX(0,ROUND(N(Z29)+N(AA29)-N(AB29),2))</f>
        <v/>
      </c>
      <c r="AD29">
        <f>N(AG28)</f>
        <v/>
      </c>
      <c r="AE29">
        <f>IF(N(AD29)&lt;=0.005,0,ROUND(N(AD29)*N('Debt List'!E10)/12,2))</f>
        <v/>
      </c>
      <c r="AF29">
        <f>IF(N(AD29)&lt;=0.005,0,MIN(N('Debt List'!F10),N(AD29)+N(AE29)))+((AP29=6)*AR29+(AT29=6)*AV29+(AX29=6)*AZ29+(BB29=6)*BD29+(BF29=6)*BH29+(BJ29=6)*BL29+(BN29=6)*BP29+(BR29=6)*BT29)</f>
        <v/>
      </c>
      <c r="AG29">
        <f>MAX(0,ROUND(N(AD29)+N(AE29)-N(AF29),2))</f>
        <v/>
      </c>
      <c r="AH29">
        <f>N(AK28)</f>
        <v/>
      </c>
      <c r="AI29">
        <f>IF(N(AH29)&lt;=0.005,0,ROUND(N(AH29)*N('Debt List'!E11)/12,2))</f>
        <v/>
      </c>
      <c r="AJ29">
        <f>IF(N(AH29)&lt;=0.005,0,MIN(N('Debt List'!F11),N(AH29)+N(AI29)))+((AP29=7)*AR29+(AT29=7)*AV29+(AX29=7)*AZ29+(BB29=7)*BD29+(BF29=7)*BH29+(BJ29=7)*BL29+(BN29=7)*BP29+(BR29=7)*BT29)</f>
        <v/>
      </c>
      <c r="AK29">
        <f>MAX(0,ROUND(N(AH29)+N(AI29)-N(AJ29),2))</f>
        <v/>
      </c>
      <c r="AL29">
        <f>N(AO28)</f>
        <v/>
      </c>
      <c r="AM29">
        <f>IF(N(AL29)&lt;=0.005,0,ROUND(N(AL29)*N('Debt List'!E12)/12,2))</f>
        <v/>
      </c>
      <c r="AN29">
        <f>IF(N(AL29)&lt;=0.005,0,MIN(N('Debt List'!F12),N(AL29)+N(AM29)))+((AP29=8)*AR29+(AT29=8)*AV29+(AX29=8)*AZ29+(BB29=8)*BD29+(BF29=8)*BH29+(BJ29=8)*BL29+(BN29=8)*BP29+(BR29=8)*BT29)</f>
        <v/>
      </c>
      <c r="AO29">
        <f>MAX(0,ROUND(N(AL29)+N(AM29)-N(AN29),2))</f>
        <v/>
      </c>
      <c r="AP29">
        <f>IFERROR(MATCH(1,OrderPlan,0),"")</f>
        <v/>
      </c>
      <c r="AQ29">
        <f>IF(AP29="",0,IFERROR(IF(N(CHOOSE(AP29,J29,N29,R29,V29,Z29,AD29,AH29,AL29))&lt;=0.005,0,MAX(0,N(CHOOSE(AP29,J29,N29,R29,V29,Z29,AD29,AH29,AL29))+N(CHOOSE(AP29,K29,O29,S29,W29,AA29,AE29,AI29,AM29))-MIN(N(CHOOSE(AP29,'Debt List'!$F$5,'Debt List'!$F$6,'Debt List'!$F$7,'Debt List'!$F$8,'Debt List'!$F$9,'Debt List'!$F$10,'Debt List'!$F$11,'Debt List'!$F$12)),N(CHOOSE(AP29,J29,N29,R29,V29,Z29,AD29,AH29,AL29))+N(CHOOSE(AP29,K29,O29,S29,W29,AA29,AE29,AI29,AM29))))),0))</f>
        <v/>
      </c>
      <c r="AR29">
        <f>MIN(N(AQ29),MAX(0,N(ExtraPayment)))</f>
        <v/>
      </c>
      <c r="AS29">
        <f>MAX(0,N(ExtraPayment)-N(AR29))</f>
        <v/>
      </c>
      <c r="AT29">
        <f>IFERROR(MATCH(2,OrderPlan,0),"")</f>
        <v/>
      </c>
      <c r="AU29">
        <f>IF(AT29="",0,IFERROR(IF(N(CHOOSE(AT29,J29,N29,R29,V29,Z29,AD29,AH29,AL29))&lt;=0.005,0,MAX(0,N(CHOOSE(AT29,J29,N29,R29,V29,Z29,AD29,AH29,AL29))+N(CHOOSE(AT29,K29,O29,S29,W29,AA29,AE29,AI29,AM29))-MIN(N(CHOOSE(AT29,'Debt List'!$F$5,'Debt List'!$F$6,'Debt List'!$F$7,'Debt List'!$F$8,'Debt List'!$F$9,'Debt List'!$F$10,'Debt List'!$F$11,'Debt List'!$F$12)),N(CHOOSE(AT29,J29,N29,R29,V29,Z29,AD29,AH29,AL29))+N(CHOOSE(AT29,K29,O29,S29,W29,AA29,AE29,AI29,AM29))))),0))</f>
        <v/>
      </c>
      <c r="AV29">
        <f>MIN(N(AU29),MAX(0,N(AS29)))</f>
        <v/>
      </c>
      <c r="AW29">
        <f>MAX(0,N(AS29)-N(AV29))</f>
        <v/>
      </c>
      <c r="AX29">
        <f>IFERROR(MATCH(3,OrderPlan,0),"")</f>
        <v/>
      </c>
      <c r="AY29">
        <f>IF(AX29="",0,IFERROR(IF(N(CHOOSE(AX29,J29,N29,R29,V29,Z29,AD29,AH29,AL29))&lt;=0.005,0,MAX(0,N(CHOOSE(AX29,J29,N29,R29,V29,Z29,AD29,AH29,AL29))+N(CHOOSE(AX29,K29,O29,S29,W29,AA29,AE29,AI29,AM29))-MIN(N(CHOOSE(AX29,'Debt List'!$F$5,'Debt List'!$F$6,'Debt List'!$F$7,'Debt List'!$F$8,'Debt List'!$F$9,'Debt List'!$F$10,'Debt List'!$F$11,'Debt List'!$F$12)),N(CHOOSE(AX29,J29,N29,R29,V29,Z29,AD29,AH29,AL29))+N(CHOOSE(AX29,K29,O29,S29,W29,AA29,AE29,AI29,AM29))))),0))</f>
        <v/>
      </c>
      <c r="AZ29">
        <f>MIN(N(AY29),MAX(0,N(AW29)))</f>
        <v/>
      </c>
      <c r="BA29">
        <f>MAX(0,N(AW29)-N(AZ29))</f>
        <v/>
      </c>
      <c r="BB29">
        <f>IFERROR(MATCH(4,OrderPlan,0),"")</f>
        <v/>
      </c>
      <c r="BC29">
        <f>IF(BB29="",0,IFERROR(IF(N(CHOOSE(BB29,J29,N29,R29,V29,Z29,AD29,AH29,AL29))&lt;=0.005,0,MAX(0,N(CHOOSE(BB29,J29,N29,R29,V29,Z29,AD29,AH29,AL29))+N(CHOOSE(BB29,K29,O29,S29,W29,AA29,AE29,AI29,AM29))-MIN(N(CHOOSE(BB29,'Debt List'!$F$5,'Debt List'!$F$6,'Debt List'!$F$7,'Debt List'!$F$8,'Debt List'!$F$9,'Debt List'!$F$10,'Debt List'!$F$11,'Debt List'!$F$12)),N(CHOOSE(BB29,J29,N29,R29,V29,Z29,AD29,AH29,AL29))+N(CHOOSE(BB29,K29,O29,S29,W29,AA29,AE29,AI29,AM29))))),0))</f>
        <v/>
      </c>
      <c r="BD29">
        <f>MIN(N(BC29),MAX(0,N(BA29)))</f>
        <v/>
      </c>
      <c r="BE29">
        <f>MAX(0,N(BA29)-N(BD29))</f>
        <v/>
      </c>
      <c r="BF29">
        <f>IFERROR(MATCH(5,OrderPlan,0),"")</f>
        <v/>
      </c>
      <c r="BG29">
        <f>IF(BF29="",0,IFERROR(IF(N(CHOOSE(BF29,J29,N29,R29,V29,Z29,AD29,AH29,AL29))&lt;=0.005,0,MAX(0,N(CHOOSE(BF29,J29,N29,R29,V29,Z29,AD29,AH29,AL29))+N(CHOOSE(BF29,K29,O29,S29,W29,AA29,AE29,AI29,AM29))-MIN(N(CHOOSE(BF29,'Debt List'!$F$5,'Debt List'!$F$6,'Debt List'!$F$7,'Debt List'!$F$8,'Debt List'!$F$9,'Debt List'!$F$10,'Debt List'!$F$11,'Debt List'!$F$12)),N(CHOOSE(BF29,J29,N29,R29,V29,Z29,AD29,AH29,AL29))+N(CHOOSE(BF29,K29,O29,S29,W29,AA29,AE29,AI29,AM29))))),0))</f>
        <v/>
      </c>
      <c r="BH29">
        <f>MIN(N(BG29),MAX(0,N(BE29)))</f>
        <v/>
      </c>
      <c r="BI29">
        <f>MAX(0,N(BE29)-N(BH29))</f>
        <v/>
      </c>
      <c r="BJ29">
        <f>IFERROR(MATCH(6,OrderPlan,0),"")</f>
        <v/>
      </c>
      <c r="BK29">
        <f>IF(BJ29="",0,IFERROR(IF(N(CHOOSE(BJ29,J29,N29,R29,V29,Z29,AD29,AH29,AL29))&lt;=0.005,0,MAX(0,N(CHOOSE(BJ29,J29,N29,R29,V29,Z29,AD29,AH29,AL29))+N(CHOOSE(BJ29,K29,O29,S29,W29,AA29,AE29,AI29,AM29))-MIN(N(CHOOSE(BJ29,'Debt List'!$F$5,'Debt List'!$F$6,'Debt List'!$F$7,'Debt List'!$F$8,'Debt List'!$F$9,'Debt List'!$F$10,'Debt List'!$F$11,'Debt List'!$F$12)),N(CHOOSE(BJ29,J29,N29,R29,V29,Z29,AD29,AH29,AL29))+N(CHOOSE(BJ29,K29,O29,S29,W29,AA29,AE29,AI29,AM29))))),0))</f>
        <v/>
      </c>
      <c r="BL29">
        <f>MIN(N(BK29),MAX(0,N(BI29)))</f>
        <v/>
      </c>
      <c r="BM29">
        <f>MAX(0,N(BI29)-N(BL29))</f>
        <v/>
      </c>
      <c r="BN29">
        <f>IFERROR(MATCH(7,OrderPlan,0),"")</f>
        <v/>
      </c>
      <c r="BO29">
        <f>IF(BN29="",0,IFERROR(IF(N(CHOOSE(BN29,J29,N29,R29,V29,Z29,AD29,AH29,AL29))&lt;=0.005,0,MAX(0,N(CHOOSE(BN29,J29,N29,R29,V29,Z29,AD29,AH29,AL29))+N(CHOOSE(BN29,K29,O29,S29,W29,AA29,AE29,AI29,AM29))-MIN(N(CHOOSE(BN29,'Debt List'!$F$5,'Debt List'!$F$6,'Debt List'!$F$7,'Debt List'!$F$8,'Debt List'!$F$9,'Debt List'!$F$10,'Debt List'!$F$11,'Debt List'!$F$12)),N(CHOOSE(BN29,J29,N29,R29,V29,Z29,AD29,AH29,AL29))+N(CHOOSE(BN29,K29,O29,S29,W29,AA29,AE29,AI29,AM29))))),0))</f>
        <v/>
      </c>
      <c r="BP29">
        <f>MIN(N(BO29),MAX(0,N(BM29)))</f>
        <v/>
      </c>
      <c r="BQ29">
        <f>MAX(0,N(BM29)-N(BP29))</f>
        <v/>
      </c>
      <c r="BR29">
        <f>IFERROR(MATCH(8,OrderPlan,0),"")</f>
        <v/>
      </c>
      <c r="BS29">
        <f>IF(BR29="",0,IFERROR(IF(N(CHOOSE(BR29,J29,N29,R29,V29,Z29,AD29,AH29,AL29))&lt;=0.005,0,MAX(0,N(CHOOSE(BR29,J29,N29,R29,V29,Z29,AD29,AH29,AL29))+N(CHOOSE(BR29,K29,O29,S29,W29,AA29,AE29,AI29,AM29))-MIN(N(CHOOSE(BR29,'Debt List'!$F$5,'Debt List'!$F$6,'Debt List'!$F$7,'Debt List'!$F$8,'Debt List'!$F$9,'Debt List'!$F$10,'Debt List'!$F$11,'Debt List'!$F$12)),N(CHOOSE(BR29,J29,N29,R29,V29,Z29,AD29,AH29,AL29))+N(CHOOSE(BR29,K29,O29,S29,W29,AA29,AE29,AI29,AM29))))),0))</f>
        <v/>
      </c>
      <c r="BT29">
        <f>MIN(N(BS29),MAX(0,N(BQ29)))</f>
        <v/>
      </c>
      <c r="BU29">
        <f>MAX(0,N(BQ29)-N(BT29))</f>
        <v/>
      </c>
      <c r="CC29" t="n">
        <v>25</v>
      </c>
      <c r="CD29" s="115">
        <f>DATE(YEAR(PlanStart),MONTH(PlanStart)+CC29-1,1)</f>
        <v/>
      </c>
      <c r="CE29">
        <f>IF(AND(DR29&lt;&gt;"",N(CHOOSE(DR29,CL29,CP29,CT29,CX29,DB29,DF29,DJ29,DN29))&gt;0.005),INDEX(DebtNames,DR29),IF(AND(DV29&lt;&gt;"",N(CHOOSE(DV29,CL29,CP29,CT29,CX29,DB29,DF29,DJ29,DN29))&gt;0.005),INDEX(DebtNames,DV29),IF(AND(DZ29&lt;&gt;"",N(CHOOSE(DZ29,CL29,CP29,CT29,CX29,DB29,DF29,DJ29,DN29))&gt;0.005),INDEX(DebtNames,DZ29),IF(AND(ED29&lt;&gt;"",N(CHOOSE(ED29,CL29,CP29,CT29,CX29,DB29,DF29,DJ29,DN29))&gt;0.005),INDEX(DebtNames,ED29),IF(AND(EH29&lt;&gt;"",N(CHOOSE(EH29,CL29,CP29,CT29,CX29,DB29,DF29,DJ29,DN29))&gt;0.005),INDEX(DebtNames,EH29),IF(AND(EL29&lt;&gt;"",N(CHOOSE(EL29,CL29,CP29,CT29,CX29,DB29,DF29,DJ29,DN29))&gt;0.005),INDEX(DebtNames,EL29),IF(AND(EP29&lt;&gt;"",N(CHOOSE(EP29,CL29,CP29,CT29,CX29,DB29,DF29,DJ29,DN29))&gt;0.005),INDEX(DebtNames,EP29),IF(AND(ET29&lt;&gt;"",N(CHOOSE(ET29,CL29,CP29,CT29,CX29,DB29,DF29,DJ29,DN29))&gt;0.005),INDEX(DebtNames,ET29),""))))))))</f>
        <v/>
      </c>
      <c r="CF29">
        <f>N(EW29)</f>
        <v/>
      </c>
      <c r="CG29">
        <f>N(CN29)+N(CR29)+N(CV29)+N(CZ29)+N(DD29)+N(DH29)+N(DL29)+N(DP29)</f>
        <v/>
      </c>
      <c r="CH29">
        <f>N(CM29)+N(CQ29)+N(CU29)+N(CY29)+N(DC29)+N(DG29)+N(DK29)+N(DO29)</f>
        <v/>
      </c>
      <c r="CI29">
        <f>N(CI28)+N(CH29)</f>
        <v/>
      </c>
      <c r="CJ29">
        <f>N(CO29)+N(CS29)+N(CW29)+N(DA29)+N(DE29)+N(DI29)+N(DM29)+N(DQ29)</f>
        <v/>
      </c>
      <c r="CK29">
        <f>(CO29&gt;0.005)*1+(CS29&gt;0.005)*1+(CW29&gt;0.005)*1+(DA29&gt;0.005)*1+(DE29&gt;0.005)*1+(DI29&gt;0.005)*1+(DM29&gt;0.005)*1+(DQ29&gt;0.005)*1</f>
        <v/>
      </c>
      <c r="CL29">
        <f>N(CO28)</f>
        <v/>
      </c>
      <c r="CM29">
        <f>IF(N(CL29)&lt;=0.005,0,ROUND(N(CL29)*N('Debt List'!E5)/12,2))</f>
        <v/>
      </c>
      <c r="CN29">
        <f>IF(N(CL29)&lt;=0.005,0,MIN(N('Debt List'!F5),N(CL29)+N(CM29)))+((DR29=1)*DT29+(DV29=1)*DX29+(DZ29=1)*EB29+(ED29=1)*EF29+(EH29=1)*EJ29+(EL29=1)*EN29+(EP29=1)*ER29+(ET29=1)*EV29)</f>
        <v/>
      </c>
      <c r="CO29">
        <f>MAX(0,ROUND(N(CL29)+N(CM29)-N(CN29),2))</f>
        <v/>
      </c>
      <c r="CP29">
        <f>N(CS28)</f>
        <v/>
      </c>
      <c r="CQ29">
        <f>IF(N(CP29)&lt;=0.005,0,ROUND(N(CP29)*N('Debt List'!E6)/12,2))</f>
        <v/>
      </c>
      <c r="CR29">
        <f>IF(N(CP29)&lt;=0.005,0,MIN(N('Debt List'!F6),N(CP29)+N(CQ29)))+((DR29=2)*DT29+(DV29=2)*DX29+(DZ29=2)*EB29+(ED29=2)*EF29+(EH29=2)*EJ29+(EL29=2)*EN29+(EP29=2)*ER29+(ET29=2)*EV29)</f>
        <v/>
      </c>
      <c r="CS29">
        <f>MAX(0,ROUND(N(CP29)+N(CQ29)-N(CR29),2))</f>
        <v/>
      </c>
      <c r="CT29">
        <f>N(CW28)</f>
        <v/>
      </c>
      <c r="CU29">
        <f>IF(N(CT29)&lt;=0.005,0,ROUND(N(CT29)*N('Debt List'!E7)/12,2))</f>
        <v/>
      </c>
      <c r="CV29">
        <f>IF(N(CT29)&lt;=0.005,0,MIN(N('Debt List'!F7),N(CT29)+N(CU29)))+((DR29=3)*DT29+(DV29=3)*DX29+(DZ29=3)*EB29+(ED29=3)*EF29+(EH29=3)*EJ29+(EL29=3)*EN29+(EP29=3)*ER29+(ET29=3)*EV29)</f>
        <v/>
      </c>
      <c r="CW29">
        <f>MAX(0,ROUND(N(CT29)+N(CU29)-N(CV29),2))</f>
        <v/>
      </c>
      <c r="CX29">
        <f>N(DA28)</f>
        <v/>
      </c>
      <c r="CY29">
        <f>IF(N(CX29)&lt;=0.005,0,ROUND(N(CX29)*N('Debt List'!E8)/12,2))</f>
        <v/>
      </c>
      <c r="CZ29">
        <f>IF(N(CX29)&lt;=0.005,0,MIN(N('Debt List'!F8),N(CX29)+N(CY29)))+((DR29=4)*DT29+(DV29=4)*DX29+(DZ29=4)*EB29+(ED29=4)*EF29+(EH29=4)*EJ29+(EL29=4)*EN29+(EP29=4)*ER29+(ET29=4)*EV29)</f>
        <v/>
      </c>
      <c r="DA29">
        <f>MAX(0,ROUND(N(CX29)+N(CY29)-N(CZ29),2))</f>
        <v/>
      </c>
      <c r="DB29">
        <f>N(DE28)</f>
        <v/>
      </c>
      <c r="DC29">
        <f>IF(N(DB29)&lt;=0.005,0,ROUND(N(DB29)*N('Debt List'!E9)/12,2))</f>
        <v/>
      </c>
      <c r="DD29">
        <f>IF(N(DB29)&lt;=0.005,0,MIN(N('Debt List'!F9),N(DB29)+N(DC29)))+((DR29=5)*DT29+(DV29=5)*DX29+(DZ29=5)*EB29+(ED29=5)*EF29+(EH29=5)*EJ29+(EL29=5)*EN29+(EP29=5)*ER29+(ET29=5)*EV29)</f>
        <v/>
      </c>
      <c r="DE29">
        <f>MAX(0,ROUND(N(DB29)+N(DC29)-N(DD29),2))</f>
        <v/>
      </c>
      <c r="DF29">
        <f>N(DI28)</f>
        <v/>
      </c>
      <c r="DG29">
        <f>IF(N(DF29)&lt;=0.005,0,ROUND(N(DF29)*N('Debt List'!E10)/12,2))</f>
        <v/>
      </c>
      <c r="DH29">
        <f>IF(N(DF29)&lt;=0.005,0,MIN(N('Debt List'!F10),N(DF29)+N(DG29)))+((DR29=6)*DT29+(DV29=6)*DX29+(DZ29=6)*EB29+(ED29=6)*EF29+(EH29=6)*EJ29+(EL29=6)*EN29+(EP29=6)*ER29+(ET29=6)*EV29)</f>
        <v/>
      </c>
      <c r="DI29">
        <f>MAX(0,ROUND(N(DF29)+N(DG29)-N(DH29),2))</f>
        <v/>
      </c>
      <c r="DJ29">
        <f>N(DM28)</f>
        <v/>
      </c>
      <c r="DK29">
        <f>IF(N(DJ29)&lt;=0.005,0,ROUND(N(DJ29)*N('Debt List'!E11)/12,2))</f>
        <v/>
      </c>
      <c r="DL29">
        <f>IF(N(DJ29)&lt;=0.005,0,MIN(N('Debt List'!F11),N(DJ29)+N(DK29)))+((DR29=7)*DT29+(DV29=7)*DX29+(DZ29=7)*EB29+(ED29=7)*EF29+(EH29=7)*EJ29+(EL29=7)*EN29+(EP29=7)*ER29+(ET29=7)*EV29)</f>
        <v/>
      </c>
      <c r="DM29">
        <f>MAX(0,ROUND(N(DJ29)+N(DK29)-N(DL29),2))</f>
        <v/>
      </c>
      <c r="DN29">
        <f>N(DQ28)</f>
        <v/>
      </c>
      <c r="DO29">
        <f>IF(N(DN29)&lt;=0.005,0,ROUND(N(DN29)*N('Debt List'!E12)/12,2))</f>
        <v/>
      </c>
      <c r="DP29">
        <f>IF(N(DN29)&lt;=0.005,0,MIN(N('Debt List'!F12),N(DN29)+N(DO29)))+((DR29=8)*DT29+(DV29=8)*DX29+(DZ29=8)*EB29+(ED29=8)*EF29+(EH29=8)*EJ29+(EL29=8)*EN29+(EP29=8)*ER29+(ET29=8)*EV29)</f>
        <v/>
      </c>
      <c r="DQ29">
        <f>MAX(0,ROUND(N(DN29)+N(DO29)-N(DP29),2))</f>
        <v/>
      </c>
      <c r="DR29">
        <f>IFERROR(MATCH(1,OrderSnow,0),"")</f>
        <v/>
      </c>
      <c r="DS29">
        <f>IF(DR29="",0,IFERROR(IF(N(CHOOSE(DR29,CL29,CP29,CT29,CX29,DB29,DF29,DJ29,DN29))&lt;=0.005,0,MAX(0,N(CHOOSE(DR29,CL29,CP29,CT29,CX29,DB29,DF29,DJ29,DN29))+N(CHOOSE(DR29,CM29,CQ29,CU29,CY29,DC29,DG29,DK29,DO29))-MIN(N(CHOOSE(DR29,'Debt List'!$F$5,'Debt List'!$F$6,'Debt List'!$F$7,'Debt List'!$F$8,'Debt List'!$F$9,'Debt List'!$F$10,'Debt List'!$F$11,'Debt List'!$F$12)),N(CHOOSE(DR29,CL29,CP29,CT29,CX29,DB29,DF29,DJ29,DN29))+N(CHOOSE(DR29,CM29,CQ29,CU29,CY29,DC29,DG29,DK29,DO29))))),0))</f>
        <v/>
      </c>
      <c r="DT29">
        <f>MIN(N(DS29),MAX(0,N(ExtraPayment)))</f>
        <v/>
      </c>
      <c r="DU29">
        <f>MAX(0,N(ExtraPayment)-N(DT29))</f>
        <v/>
      </c>
      <c r="DV29">
        <f>IFERROR(MATCH(2,OrderSnow,0),"")</f>
        <v/>
      </c>
      <c r="DW29">
        <f>IF(DV29="",0,IFERROR(IF(N(CHOOSE(DV29,CL29,CP29,CT29,CX29,DB29,DF29,DJ29,DN29))&lt;=0.005,0,MAX(0,N(CHOOSE(DV29,CL29,CP29,CT29,CX29,DB29,DF29,DJ29,DN29))+N(CHOOSE(DV29,CM29,CQ29,CU29,CY29,DC29,DG29,DK29,DO29))-MIN(N(CHOOSE(DV29,'Debt List'!$F$5,'Debt List'!$F$6,'Debt List'!$F$7,'Debt List'!$F$8,'Debt List'!$F$9,'Debt List'!$F$10,'Debt List'!$F$11,'Debt List'!$F$12)),N(CHOOSE(DV29,CL29,CP29,CT29,CX29,DB29,DF29,DJ29,DN29))+N(CHOOSE(DV29,CM29,CQ29,CU29,CY29,DC29,DG29,DK29,DO29))))),0))</f>
        <v/>
      </c>
      <c r="DX29">
        <f>MIN(N(DW29),MAX(0,N(DU29)))</f>
        <v/>
      </c>
      <c r="DY29">
        <f>MAX(0,N(DU29)-N(DX29))</f>
        <v/>
      </c>
      <c r="DZ29">
        <f>IFERROR(MATCH(3,OrderSnow,0),"")</f>
        <v/>
      </c>
      <c r="EA29">
        <f>IF(DZ29="",0,IFERROR(IF(N(CHOOSE(DZ29,CL29,CP29,CT29,CX29,DB29,DF29,DJ29,DN29))&lt;=0.005,0,MAX(0,N(CHOOSE(DZ29,CL29,CP29,CT29,CX29,DB29,DF29,DJ29,DN29))+N(CHOOSE(DZ29,CM29,CQ29,CU29,CY29,DC29,DG29,DK29,DO29))-MIN(N(CHOOSE(DZ29,'Debt List'!$F$5,'Debt List'!$F$6,'Debt List'!$F$7,'Debt List'!$F$8,'Debt List'!$F$9,'Debt List'!$F$10,'Debt List'!$F$11,'Debt List'!$F$12)),N(CHOOSE(DZ29,CL29,CP29,CT29,CX29,DB29,DF29,DJ29,DN29))+N(CHOOSE(DZ29,CM29,CQ29,CU29,CY29,DC29,DG29,DK29,DO29))))),0))</f>
        <v/>
      </c>
      <c r="EB29">
        <f>MIN(N(EA29),MAX(0,N(DY29)))</f>
        <v/>
      </c>
      <c r="EC29">
        <f>MAX(0,N(DY29)-N(EB29))</f>
        <v/>
      </c>
      <c r="ED29">
        <f>IFERROR(MATCH(4,OrderSnow,0),"")</f>
        <v/>
      </c>
      <c r="EE29">
        <f>IF(ED29="",0,IFERROR(IF(N(CHOOSE(ED29,CL29,CP29,CT29,CX29,DB29,DF29,DJ29,DN29))&lt;=0.005,0,MAX(0,N(CHOOSE(ED29,CL29,CP29,CT29,CX29,DB29,DF29,DJ29,DN29))+N(CHOOSE(ED29,CM29,CQ29,CU29,CY29,DC29,DG29,DK29,DO29))-MIN(N(CHOOSE(ED29,'Debt List'!$F$5,'Debt List'!$F$6,'Debt List'!$F$7,'Debt List'!$F$8,'Debt List'!$F$9,'Debt List'!$F$10,'Debt List'!$F$11,'Debt List'!$F$12)),N(CHOOSE(ED29,CL29,CP29,CT29,CX29,DB29,DF29,DJ29,DN29))+N(CHOOSE(ED29,CM29,CQ29,CU29,CY29,DC29,DG29,DK29,DO29))))),0))</f>
        <v/>
      </c>
      <c r="EF29">
        <f>MIN(N(EE29),MAX(0,N(EC29)))</f>
        <v/>
      </c>
      <c r="EG29">
        <f>MAX(0,N(EC29)-N(EF29))</f>
        <v/>
      </c>
      <c r="EH29">
        <f>IFERROR(MATCH(5,OrderSnow,0),"")</f>
        <v/>
      </c>
      <c r="EI29">
        <f>IF(EH29="",0,IFERROR(IF(N(CHOOSE(EH29,CL29,CP29,CT29,CX29,DB29,DF29,DJ29,DN29))&lt;=0.005,0,MAX(0,N(CHOOSE(EH29,CL29,CP29,CT29,CX29,DB29,DF29,DJ29,DN29))+N(CHOOSE(EH29,CM29,CQ29,CU29,CY29,DC29,DG29,DK29,DO29))-MIN(N(CHOOSE(EH29,'Debt List'!$F$5,'Debt List'!$F$6,'Debt List'!$F$7,'Debt List'!$F$8,'Debt List'!$F$9,'Debt List'!$F$10,'Debt List'!$F$11,'Debt List'!$F$12)),N(CHOOSE(EH29,CL29,CP29,CT29,CX29,DB29,DF29,DJ29,DN29))+N(CHOOSE(EH29,CM29,CQ29,CU29,CY29,DC29,DG29,DK29,DO29))))),0))</f>
        <v/>
      </c>
      <c r="EJ29">
        <f>MIN(N(EI29),MAX(0,N(EG29)))</f>
        <v/>
      </c>
      <c r="EK29">
        <f>MAX(0,N(EG29)-N(EJ29))</f>
        <v/>
      </c>
      <c r="EL29">
        <f>IFERROR(MATCH(6,OrderSnow,0),"")</f>
        <v/>
      </c>
      <c r="EM29">
        <f>IF(EL29="",0,IFERROR(IF(N(CHOOSE(EL29,CL29,CP29,CT29,CX29,DB29,DF29,DJ29,DN29))&lt;=0.005,0,MAX(0,N(CHOOSE(EL29,CL29,CP29,CT29,CX29,DB29,DF29,DJ29,DN29))+N(CHOOSE(EL29,CM29,CQ29,CU29,CY29,DC29,DG29,DK29,DO29))-MIN(N(CHOOSE(EL29,'Debt List'!$F$5,'Debt List'!$F$6,'Debt List'!$F$7,'Debt List'!$F$8,'Debt List'!$F$9,'Debt List'!$F$10,'Debt List'!$F$11,'Debt List'!$F$12)),N(CHOOSE(EL29,CL29,CP29,CT29,CX29,DB29,DF29,DJ29,DN29))+N(CHOOSE(EL29,CM29,CQ29,CU29,CY29,DC29,DG29,DK29,DO29))))),0))</f>
        <v/>
      </c>
      <c r="EN29">
        <f>MIN(N(EM29),MAX(0,N(EK29)))</f>
        <v/>
      </c>
      <c r="EO29">
        <f>MAX(0,N(EK29)-N(EN29))</f>
        <v/>
      </c>
      <c r="EP29">
        <f>IFERROR(MATCH(7,OrderSnow,0),"")</f>
        <v/>
      </c>
      <c r="EQ29">
        <f>IF(EP29="",0,IFERROR(IF(N(CHOOSE(EP29,CL29,CP29,CT29,CX29,DB29,DF29,DJ29,DN29))&lt;=0.005,0,MAX(0,N(CHOOSE(EP29,CL29,CP29,CT29,CX29,DB29,DF29,DJ29,DN29))+N(CHOOSE(EP29,CM29,CQ29,CU29,CY29,DC29,DG29,DK29,DO29))-MIN(N(CHOOSE(EP29,'Debt List'!$F$5,'Debt List'!$F$6,'Debt List'!$F$7,'Debt List'!$F$8,'Debt List'!$F$9,'Debt List'!$F$10,'Debt List'!$F$11,'Debt List'!$F$12)),N(CHOOSE(EP29,CL29,CP29,CT29,CX29,DB29,DF29,DJ29,DN29))+N(CHOOSE(EP29,CM29,CQ29,CU29,CY29,DC29,DG29,DK29,DO29))))),0))</f>
        <v/>
      </c>
      <c r="ER29">
        <f>MIN(N(EQ29),MAX(0,N(EO29)))</f>
        <v/>
      </c>
      <c r="ES29">
        <f>MAX(0,N(EO29)-N(ER29))</f>
        <v/>
      </c>
      <c r="ET29">
        <f>IFERROR(MATCH(8,OrderSnow,0),"")</f>
        <v/>
      </c>
      <c r="EU29">
        <f>IF(ET29="",0,IFERROR(IF(N(CHOOSE(ET29,CL29,CP29,CT29,CX29,DB29,DF29,DJ29,DN29))&lt;=0.005,0,MAX(0,N(CHOOSE(ET29,CL29,CP29,CT29,CX29,DB29,DF29,DJ29,DN29))+N(CHOOSE(ET29,CM29,CQ29,CU29,CY29,DC29,DG29,DK29,DO29))-MIN(N(CHOOSE(ET29,'Debt List'!$F$5,'Debt List'!$F$6,'Debt List'!$F$7,'Debt List'!$F$8,'Debt List'!$F$9,'Debt List'!$F$10,'Debt List'!$F$11,'Debt List'!$F$12)),N(CHOOSE(ET29,CL29,CP29,CT29,CX29,DB29,DF29,DJ29,DN29))+N(CHOOSE(ET29,CM29,CQ29,CU29,CY29,DC29,DG29,DK29,DO29))))),0))</f>
        <v/>
      </c>
      <c r="EV29">
        <f>MIN(N(EU29),MAX(0,N(ES29)))</f>
        <v/>
      </c>
      <c r="EW29">
        <f>MAX(0,N(ES29)-N(EV29))</f>
        <v/>
      </c>
      <c r="FE29" t="n">
        <v>25</v>
      </c>
      <c r="FF29" s="115">
        <f>DATE(YEAR(PlanStart),MONTH(PlanStart)+FE29-1,1)</f>
        <v/>
      </c>
      <c r="FG29">
        <f>IF(AND(GT29&lt;&gt;"",N(CHOOSE(GT29,FN29,FR29,FV29,FZ29,GD29,GH29,GL29,GP29))&gt;0.005),INDEX(DebtNames,GT29),IF(AND(GX29&lt;&gt;"",N(CHOOSE(GX29,FN29,FR29,FV29,FZ29,GD29,GH29,GL29,GP29))&gt;0.005),INDEX(DebtNames,GX29),IF(AND(HB29&lt;&gt;"",N(CHOOSE(HB29,FN29,FR29,FV29,FZ29,GD29,GH29,GL29,GP29))&gt;0.005),INDEX(DebtNames,HB29),IF(AND(HF29&lt;&gt;"",N(CHOOSE(HF29,FN29,FR29,FV29,FZ29,GD29,GH29,GL29,GP29))&gt;0.005),INDEX(DebtNames,HF29),IF(AND(HJ29&lt;&gt;"",N(CHOOSE(HJ29,FN29,FR29,FV29,FZ29,GD29,GH29,GL29,GP29))&gt;0.005),INDEX(DebtNames,HJ29),IF(AND(HN29&lt;&gt;"",N(CHOOSE(HN29,FN29,FR29,FV29,FZ29,GD29,GH29,GL29,GP29))&gt;0.005),INDEX(DebtNames,HN29),IF(AND(HR29&lt;&gt;"",N(CHOOSE(HR29,FN29,FR29,FV29,FZ29,GD29,GH29,GL29,GP29))&gt;0.005),INDEX(DebtNames,HR29),IF(AND(HV29&lt;&gt;"",N(CHOOSE(HV29,FN29,FR29,FV29,FZ29,GD29,GH29,GL29,GP29))&gt;0.005),INDEX(DebtNames,HV29),""))))))))</f>
        <v/>
      </c>
      <c r="FH29">
        <f>N(HY29)</f>
        <v/>
      </c>
      <c r="FI29">
        <f>N(FP29)+N(FT29)+N(FX29)+N(GB29)+N(GF29)+N(GJ29)+N(GN29)+N(GR29)</f>
        <v/>
      </c>
      <c r="FJ29">
        <f>N(FO29)+N(FS29)+N(FW29)+N(GA29)+N(GE29)+N(GI29)+N(GM29)+N(GQ29)</f>
        <v/>
      </c>
      <c r="FK29">
        <f>N(FK28)+N(FJ29)</f>
        <v/>
      </c>
      <c r="FL29">
        <f>N(FQ29)+N(FU29)+N(FY29)+N(GC29)+N(GG29)+N(GK29)+N(GO29)+N(GS29)</f>
        <v/>
      </c>
      <c r="FM29">
        <f>(FQ29&gt;0.005)*1+(FU29&gt;0.005)*1+(FY29&gt;0.005)*1+(GC29&gt;0.005)*1+(GG29&gt;0.005)*1+(GK29&gt;0.005)*1+(GO29&gt;0.005)*1+(GS29&gt;0.005)*1</f>
        <v/>
      </c>
      <c r="FN29">
        <f>N(FQ28)</f>
        <v/>
      </c>
      <c r="FO29">
        <f>IF(N(FN29)&lt;=0.005,0,ROUND(N(FN29)*N('Debt List'!E5)/12,2))</f>
        <v/>
      </c>
      <c r="FP29">
        <f>IF(N(FN29)&lt;=0.005,0,MIN(N('Debt List'!F5),N(FN29)+N(FO29)))+((GT29=1)*GV29+(GX29=1)*GZ29+(HB29=1)*HD29+(HF29=1)*HH29+(HJ29=1)*HL29+(HN29=1)*HP29+(HR29=1)*HT29+(HV29=1)*HX29)</f>
        <v/>
      </c>
      <c r="FQ29">
        <f>MAX(0,ROUND(N(FN29)+N(FO29)-N(FP29),2))</f>
        <v/>
      </c>
      <c r="FR29">
        <f>N(FU28)</f>
        <v/>
      </c>
      <c r="FS29">
        <f>IF(N(FR29)&lt;=0.005,0,ROUND(N(FR29)*N('Debt List'!E6)/12,2))</f>
        <v/>
      </c>
      <c r="FT29">
        <f>IF(N(FR29)&lt;=0.005,0,MIN(N('Debt List'!F6),N(FR29)+N(FS29)))+((GT29=2)*GV29+(GX29=2)*GZ29+(HB29=2)*HD29+(HF29=2)*HH29+(HJ29=2)*HL29+(HN29=2)*HP29+(HR29=2)*HT29+(HV29=2)*HX29)</f>
        <v/>
      </c>
      <c r="FU29">
        <f>MAX(0,ROUND(N(FR29)+N(FS29)-N(FT29),2))</f>
        <v/>
      </c>
      <c r="FV29">
        <f>N(FY28)</f>
        <v/>
      </c>
      <c r="FW29">
        <f>IF(N(FV29)&lt;=0.005,0,ROUND(N(FV29)*N('Debt List'!E7)/12,2))</f>
        <v/>
      </c>
      <c r="FX29">
        <f>IF(N(FV29)&lt;=0.005,0,MIN(N('Debt List'!F7),N(FV29)+N(FW29)))+((GT29=3)*GV29+(GX29=3)*GZ29+(HB29=3)*HD29+(HF29=3)*HH29+(HJ29=3)*HL29+(HN29=3)*HP29+(HR29=3)*HT29+(HV29=3)*HX29)</f>
        <v/>
      </c>
      <c r="FY29">
        <f>MAX(0,ROUND(N(FV29)+N(FW29)-N(FX29),2))</f>
        <v/>
      </c>
      <c r="FZ29">
        <f>N(GC28)</f>
        <v/>
      </c>
      <c r="GA29">
        <f>IF(N(FZ29)&lt;=0.005,0,ROUND(N(FZ29)*N('Debt List'!E8)/12,2))</f>
        <v/>
      </c>
      <c r="GB29">
        <f>IF(N(FZ29)&lt;=0.005,0,MIN(N('Debt List'!F8),N(FZ29)+N(GA29)))+((GT29=4)*GV29+(GX29=4)*GZ29+(HB29=4)*HD29+(HF29=4)*HH29+(HJ29=4)*HL29+(HN29=4)*HP29+(HR29=4)*HT29+(HV29=4)*HX29)</f>
        <v/>
      </c>
      <c r="GC29">
        <f>MAX(0,ROUND(N(FZ29)+N(GA29)-N(GB29),2))</f>
        <v/>
      </c>
      <c r="GD29">
        <f>N(GG28)</f>
        <v/>
      </c>
      <c r="GE29">
        <f>IF(N(GD29)&lt;=0.005,0,ROUND(N(GD29)*N('Debt List'!E9)/12,2))</f>
        <v/>
      </c>
      <c r="GF29">
        <f>IF(N(GD29)&lt;=0.005,0,MIN(N('Debt List'!F9),N(GD29)+N(GE29)))+((GT29=5)*GV29+(GX29=5)*GZ29+(HB29=5)*HD29+(HF29=5)*HH29+(HJ29=5)*HL29+(HN29=5)*HP29+(HR29=5)*HT29+(HV29=5)*HX29)</f>
        <v/>
      </c>
      <c r="GG29">
        <f>MAX(0,ROUND(N(GD29)+N(GE29)-N(GF29),2))</f>
        <v/>
      </c>
      <c r="GH29">
        <f>N(GK28)</f>
        <v/>
      </c>
      <c r="GI29">
        <f>IF(N(GH29)&lt;=0.005,0,ROUND(N(GH29)*N('Debt List'!E10)/12,2))</f>
        <v/>
      </c>
      <c r="GJ29">
        <f>IF(N(GH29)&lt;=0.005,0,MIN(N('Debt List'!F10),N(GH29)+N(GI29)))+((GT29=6)*GV29+(GX29=6)*GZ29+(HB29=6)*HD29+(HF29=6)*HH29+(HJ29=6)*HL29+(HN29=6)*HP29+(HR29=6)*HT29+(HV29=6)*HX29)</f>
        <v/>
      </c>
      <c r="GK29">
        <f>MAX(0,ROUND(N(GH29)+N(GI29)-N(GJ29),2))</f>
        <v/>
      </c>
      <c r="GL29">
        <f>N(GO28)</f>
        <v/>
      </c>
      <c r="GM29">
        <f>IF(N(GL29)&lt;=0.005,0,ROUND(N(GL29)*N('Debt List'!E11)/12,2))</f>
        <v/>
      </c>
      <c r="GN29">
        <f>IF(N(GL29)&lt;=0.005,0,MIN(N('Debt List'!F11),N(GL29)+N(GM29)))+((GT29=7)*GV29+(GX29=7)*GZ29+(HB29=7)*HD29+(HF29=7)*HH29+(HJ29=7)*HL29+(HN29=7)*HP29+(HR29=7)*HT29+(HV29=7)*HX29)</f>
        <v/>
      </c>
      <c r="GO29">
        <f>MAX(0,ROUND(N(GL29)+N(GM29)-N(GN29),2))</f>
        <v/>
      </c>
      <c r="GP29">
        <f>N(GS28)</f>
        <v/>
      </c>
      <c r="GQ29">
        <f>IF(N(GP29)&lt;=0.005,0,ROUND(N(GP29)*N('Debt List'!E12)/12,2))</f>
        <v/>
      </c>
      <c r="GR29">
        <f>IF(N(GP29)&lt;=0.005,0,MIN(N('Debt List'!F12),N(GP29)+N(GQ29)))+((GT29=8)*GV29+(GX29=8)*GZ29+(HB29=8)*HD29+(HF29=8)*HH29+(HJ29=8)*HL29+(HN29=8)*HP29+(HR29=8)*HT29+(HV29=8)*HX29)</f>
        <v/>
      </c>
      <c r="GS29">
        <f>MAX(0,ROUND(N(GP29)+N(GQ29)-N(GR29),2))</f>
        <v/>
      </c>
      <c r="GT29">
        <f>IFERROR(MATCH(1,OrderAval,0),"")</f>
        <v/>
      </c>
      <c r="GU29">
        <f>IF(GT29="",0,IFERROR(IF(N(CHOOSE(GT29,FN29,FR29,FV29,FZ29,GD29,GH29,GL29,GP29))&lt;=0.005,0,MAX(0,N(CHOOSE(GT29,FN29,FR29,FV29,FZ29,GD29,GH29,GL29,GP29))+N(CHOOSE(GT29,FO29,FS29,FW29,GA29,GE29,GI29,GM29,GQ29))-MIN(N(CHOOSE(GT29,'Debt List'!$F$5,'Debt List'!$F$6,'Debt List'!$F$7,'Debt List'!$F$8,'Debt List'!$F$9,'Debt List'!$F$10,'Debt List'!$F$11,'Debt List'!$F$12)),N(CHOOSE(GT29,FN29,FR29,FV29,FZ29,GD29,GH29,GL29,GP29))+N(CHOOSE(GT29,FO29,FS29,FW29,GA29,GE29,GI29,GM29,GQ29))))),0))</f>
        <v/>
      </c>
      <c r="GV29">
        <f>MIN(N(GU29),MAX(0,N(ExtraPayment)))</f>
        <v/>
      </c>
      <c r="GW29">
        <f>MAX(0,N(ExtraPayment)-N(GV29))</f>
        <v/>
      </c>
      <c r="GX29">
        <f>IFERROR(MATCH(2,OrderAval,0),"")</f>
        <v/>
      </c>
      <c r="GY29">
        <f>IF(GX29="",0,IFERROR(IF(N(CHOOSE(GX29,FN29,FR29,FV29,FZ29,GD29,GH29,GL29,GP29))&lt;=0.005,0,MAX(0,N(CHOOSE(GX29,FN29,FR29,FV29,FZ29,GD29,GH29,GL29,GP29))+N(CHOOSE(GX29,FO29,FS29,FW29,GA29,GE29,GI29,GM29,GQ29))-MIN(N(CHOOSE(GX29,'Debt List'!$F$5,'Debt List'!$F$6,'Debt List'!$F$7,'Debt List'!$F$8,'Debt List'!$F$9,'Debt List'!$F$10,'Debt List'!$F$11,'Debt List'!$F$12)),N(CHOOSE(GX29,FN29,FR29,FV29,FZ29,GD29,GH29,GL29,GP29))+N(CHOOSE(GX29,FO29,FS29,FW29,GA29,GE29,GI29,GM29,GQ29))))),0))</f>
        <v/>
      </c>
      <c r="GZ29">
        <f>MIN(N(GY29),MAX(0,N(GW29)))</f>
        <v/>
      </c>
      <c r="HA29">
        <f>MAX(0,N(GW29)-N(GZ29))</f>
        <v/>
      </c>
      <c r="HB29">
        <f>IFERROR(MATCH(3,OrderAval,0),"")</f>
        <v/>
      </c>
      <c r="HC29">
        <f>IF(HB29="",0,IFERROR(IF(N(CHOOSE(HB29,FN29,FR29,FV29,FZ29,GD29,GH29,GL29,GP29))&lt;=0.005,0,MAX(0,N(CHOOSE(HB29,FN29,FR29,FV29,FZ29,GD29,GH29,GL29,GP29))+N(CHOOSE(HB29,FO29,FS29,FW29,GA29,GE29,GI29,GM29,GQ29))-MIN(N(CHOOSE(HB29,'Debt List'!$F$5,'Debt List'!$F$6,'Debt List'!$F$7,'Debt List'!$F$8,'Debt List'!$F$9,'Debt List'!$F$10,'Debt List'!$F$11,'Debt List'!$F$12)),N(CHOOSE(HB29,FN29,FR29,FV29,FZ29,GD29,GH29,GL29,GP29))+N(CHOOSE(HB29,FO29,FS29,FW29,GA29,GE29,GI29,GM29,GQ29))))),0))</f>
        <v/>
      </c>
      <c r="HD29">
        <f>MIN(N(HC29),MAX(0,N(HA29)))</f>
        <v/>
      </c>
      <c r="HE29">
        <f>MAX(0,N(HA29)-N(HD29))</f>
        <v/>
      </c>
      <c r="HF29">
        <f>IFERROR(MATCH(4,OrderAval,0),"")</f>
        <v/>
      </c>
      <c r="HG29">
        <f>IF(HF29="",0,IFERROR(IF(N(CHOOSE(HF29,FN29,FR29,FV29,FZ29,GD29,GH29,GL29,GP29))&lt;=0.005,0,MAX(0,N(CHOOSE(HF29,FN29,FR29,FV29,FZ29,GD29,GH29,GL29,GP29))+N(CHOOSE(HF29,FO29,FS29,FW29,GA29,GE29,GI29,GM29,GQ29))-MIN(N(CHOOSE(HF29,'Debt List'!$F$5,'Debt List'!$F$6,'Debt List'!$F$7,'Debt List'!$F$8,'Debt List'!$F$9,'Debt List'!$F$10,'Debt List'!$F$11,'Debt List'!$F$12)),N(CHOOSE(HF29,FN29,FR29,FV29,FZ29,GD29,GH29,GL29,GP29))+N(CHOOSE(HF29,FO29,FS29,FW29,GA29,GE29,GI29,GM29,GQ29))))),0))</f>
        <v/>
      </c>
      <c r="HH29">
        <f>MIN(N(HG29),MAX(0,N(HE29)))</f>
        <v/>
      </c>
      <c r="HI29">
        <f>MAX(0,N(HE29)-N(HH29))</f>
        <v/>
      </c>
      <c r="HJ29">
        <f>IFERROR(MATCH(5,OrderAval,0),"")</f>
        <v/>
      </c>
      <c r="HK29">
        <f>IF(HJ29="",0,IFERROR(IF(N(CHOOSE(HJ29,FN29,FR29,FV29,FZ29,GD29,GH29,GL29,GP29))&lt;=0.005,0,MAX(0,N(CHOOSE(HJ29,FN29,FR29,FV29,FZ29,GD29,GH29,GL29,GP29))+N(CHOOSE(HJ29,FO29,FS29,FW29,GA29,GE29,GI29,GM29,GQ29))-MIN(N(CHOOSE(HJ29,'Debt List'!$F$5,'Debt List'!$F$6,'Debt List'!$F$7,'Debt List'!$F$8,'Debt List'!$F$9,'Debt List'!$F$10,'Debt List'!$F$11,'Debt List'!$F$12)),N(CHOOSE(HJ29,FN29,FR29,FV29,FZ29,GD29,GH29,GL29,GP29))+N(CHOOSE(HJ29,FO29,FS29,FW29,GA29,GE29,GI29,GM29,GQ29))))),0))</f>
        <v/>
      </c>
      <c r="HL29">
        <f>MIN(N(HK29),MAX(0,N(HI29)))</f>
        <v/>
      </c>
      <c r="HM29">
        <f>MAX(0,N(HI29)-N(HL29))</f>
        <v/>
      </c>
      <c r="HN29">
        <f>IFERROR(MATCH(6,OrderAval,0),"")</f>
        <v/>
      </c>
      <c r="HO29">
        <f>IF(HN29="",0,IFERROR(IF(N(CHOOSE(HN29,FN29,FR29,FV29,FZ29,GD29,GH29,GL29,GP29))&lt;=0.005,0,MAX(0,N(CHOOSE(HN29,FN29,FR29,FV29,FZ29,GD29,GH29,GL29,GP29))+N(CHOOSE(HN29,FO29,FS29,FW29,GA29,GE29,GI29,GM29,GQ29))-MIN(N(CHOOSE(HN29,'Debt List'!$F$5,'Debt List'!$F$6,'Debt List'!$F$7,'Debt List'!$F$8,'Debt List'!$F$9,'Debt List'!$F$10,'Debt List'!$F$11,'Debt List'!$F$12)),N(CHOOSE(HN29,FN29,FR29,FV29,FZ29,GD29,GH29,GL29,GP29))+N(CHOOSE(HN29,FO29,FS29,FW29,GA29,GE29,GI29,GM29,GQ29))))),0))</f>
        <v/>
      </c>
      <c r="HP29">
        <f>MIN(N(HO29),MAX(0,N(HM29)))</f>
        <v/>
      </c>
      <c r="HQ29">
        <f>MAX(0,N(HM29)-N(HP29))</f>
        <v/>
      </c>
      <c r="HR29">
        <f>IFERROR(MATCH(7,OrderAval,0),"")</f>
        <v/>
      </c>
      <c r="HS29">
        <f>IF(HR29="",0,IFERROR(IF(N(CHOOSE(HR29,FN29,FR29,FV29,FZ29,GD29,GH29,GL29,GP29))&lt;=0.005,0,MAX(0,N(CHOOSE(HR29,FN29,FR29,FV29,FZ29,GD29,GH29,GL29,GP29))+N(CHOOSE(HR29,FO29,FS29,FW29,GA29,GE29,GI29,GM29,GQ29))-MIN(N(CHOOSE(HR29,'Debt List'!$F$5,'Debt List'!$F$6,'Debt List'!$F$7,'Debt List'!$F$8,'Debt List'!$F$9,'Debt List'!$F$10,'Debt List'!$F$11,'Debt List'!$F$12)),N(CHOOSE(HR29,FN29,FR29,FV29,FZ29,GD29,GH29,GL29,GP29))+N(CHOOSE(HR29,FO29,FS29,FW29,GA29,GE29,GI29,GM29,GQ29))))),0))</f>
        <v/>
      </c>
      <c r="HT29">
        <f>MIN(N(HS29),MAX(0,N(HQ29)))</f>
        <v/>
      </c>
      <c r="HU29">
        <f>MAX(0,N(HQ29)-N(HT29))</f>
        <v/>
      </c>
      <c r="HV29">
        <f>IFERROR(MATCH(8,OrderAval,0),"")</f>
        <v/>
      </c>
      <c r="HW29">
        <f>IF(HV29="",0,IFERROR(IF(N(CHOOSE(HV29,FN29,FR29,FV29,FZ29,GD29,GH29,GL29,GP29))&lt;=0.005,0,MAX(0,N(CHOOSE(HV29,FN29,FR29,FV29,FZ29,GD29,GH29,GL29,GP29))+N(CHOOSE(HV29,FO29,FS29,FW29,GA29,GE29,GI29,GM29,GQ29))-MIN(N(CHOOSE(HV29,'Debt List'!$F$5,'Debt List'!$F$6,'Debt List'!$F$7,'Debt List'!$F$8,'Debt List'!$F$9,'Debt List'!$F$10,'Debt List'!$F$11,'Debt List'!$F$12)),N(CHOOSE(HV29,FN29,FR29,FV29,FZ29,GD29,GH29,GL29,GP29))+N(CHOOSE(HV29,FO29,FS29,FW29,GA29,GE29,GI29,GM29,GQ29))))),0))</f>
        <v/>
      </c>
      <c r="HX29">
        <f>MIN(N(HW29),MAX(0,N(HU29)))</f>
        <v/>
      </c>
      <c r="HY29">
        <f>MAX(0,N(HU29)-N(HX29))</f>
        <v/>
      </c>
    </row>
    <row r="30">
      <c r="A30" t="n">
        <v>26</v>
      </c>
      <c r="B30" s="115">
        <f>DATE(YEAR(PlanStart),MONTH(PlanStart)+A30-1,1)</f>
        <v/>
      </c>
      <c r="C30">
        <f>IF(AND(AP30&lt;&gt;"",N(CHOOSE(AP30,J30,N30,R30,V30,Z30,AD30,AH30,AL30))&gt;0.005),INDEX(DebtNames,AP30),IF(AND(AT30&lt;&gt;"",N(CHOOSE(AT30,J30,N30,R30,V30,Z30,AD30,AH30,AL30))&gt;0.005),INDEX(DebtNames,AT30),IF(AND(AX30&lt;&gt;"",N(CHOOSE(AX30,J30,N30,R30,V30,Z30,AD30,AH30,AL30))&gt;0.005),INDEX(DebtNames,AX30),IF(AND(BB30&lt;&gt;"",N(CHOOSE(BB30,J30,N30,R30,V30,Z30,AD30,AH30,AL30))&gt;0.005),INDEX(DebtNames,BB30),IF(AND(BF30&lt;&gt;"",N(CHOOSE(BF30,J30,N30,R30,V30,Z30,AD30,AH30,AL30))&gt;0.005),INDEX(DebtNames,BF30),IF(AND(BJ30&lt;&gt;"",N(CHOOSE(BJ30,J30,N30,R30,V30,Z30,AD30,AH30,AL30))&gt;0.005),INDEX(DebtNames,BJ30),IF(AND(BN30&lt;&gt;"",N(CHOOSE(BN30,J30,N30,R30,V30,Z30,AD30,AH30,AL30))&gt;0.005),INDEX(DebtNames,BN30),IF(AND(BR30&lt;&gt;"",N(CHOOSE(BR30,J30,N30,R30,V30,Z30,AD30,AH30,AL30))&gt;0.005),INDEX(DebtNames,BR30),""))))))))</f>
        <v/>
      </c>
      <c r="D30">
        <f>N(BU30)</f>
        <v/>
      </c>
      <c r="E30">
        <f>N(L30)+N(P30)+N(T30)+N(X30)+N(AB30)+N(AF30)+N(AJ30)+N(AN30)</f>
        <v/>
      </c>
      <c r="F30">
        <f>N(K30)+N(O30)+N(S30)+N(W30)+N(AA30)+N(AE30)+N(AI30)+N(AM30)</f>
        <v/>
      </c>
      <c r="G30">
        <f>N(G29)+N(F30)</f>
        <v/>
      </c>
      <c r="H30">
        <f>N(M30)+N(Q30)+N(U30)+N(Y30)+N(AC30)+N(AG30)+N(AK30)+N(AO30)</f>
        <v/>
      </c>
      <c r="I30">
        <f>(M30&gt;0.005)*1+(Q30&gt;0.005)*1+(U30&gt;0.005)*1+(Y30&gt;0.005)*1+(AC30&gt;0.005)*1+(AG30&gt;0.005)*1+(AK30&gt;0.005)*1+(AO30&gt;0.005)*1</f>
        <v/>
      </c>
      <c r="J30">
        <f>N(M29)</f>
        <v/>
      </c>
      <c r="K30">
        <f>IF(N(J30)&lt;=0.005,0,ROUND(N(J30)*N('Debt List'!E5)/12,2))</f>
        <v/>
      </c>
      <c r="L30">
        <f>IF(N(J30)&lt;=0.005,0,MIN(N('Debt List'!F5),N(J30)+N(K30)))+((AP30=1)*AR30+(AT30=1)*AV30+(AX30=1)*AZ30+(BB30=1)*BD30+(BF30=1)*BH30+(BJ30=1)*BL30+(BN30=1)*BP30+(BR30=1)*BT30)</f>
        <v/>
      </c>
      <c r="M30">
        <f>MAX(0,ROUND(N(J30)+N(K30)-N(L30),2))</f>
        <v/>
      </c>
      <c r="N30">
        <f>N(Q29)</f>
        <v/>
      </c>
      <c r="O30">
        <f>IF(N(N30)&lt;=0.005,0,ROUND(N(N30)*N('Debt List'!E6)/12,2))</f>
        <v/>
      </c>
      <c r="P30">
        <f>IF(N(N30)&lt;=0.005,0,MIN(N('Debt List'!F6),N(N30)+N(O30)))+((AP30=2)*AR30+(AT30=2)*AV30+(AX30=2)*AZ30+(BB30=2)*BD30+(BF30=2)*BH30+(BJ30=2)*BL30+(BN30=2)*BP30+(BR30=2)*BT30)</f>
        <v/>
      </c>
      <c r="Q30">
        <f>MAX(0,ROUND(N(N30)+N(O30)-N(P30),2))</f>
        <v/>
      </c>
      <c r="R30">
        <f>N(U29)</f>
        <v/>
      </c>
      <c r="S30">
        <f>IF(N(R30)&lt;=0.005,0,ROUND(N(R30)*N('Debt List'!E7)/12,2))</f>
        <v/>
      </c>
      <c r="T30">
        <f>IF(N(R30)&lt;=0.005,0,MIN(N('Debt List'!F7),N(R30)+N(S30)))+((AP30=3)*AR30+(AT30=3)*AV30+(AX30=3)*AZ30+(BB30=3)*BD30+(BF30=3)*BH30+(BJ30=3)*BL30+(BN30=3)*BP30+(BR30=3)*BT30)</f>
        <v/>
      </c>
      <c r="U30">
        <f>MAX(0,ROUND(N(R30)+N(S30)-N(T30),2))</f>
        <v/>
      </c>
      <c r="V30">
        <f>N(Y29)</f>
        <v/>
      </c>
      <c r="W30">
        <f>IF(N(V30)&lt;=0.005,0,ROUND(N(V30)*N('Debt List'!E8)/12,2))</f>
        <v/>
      </c>
      <c r="X30">
        <f>IF(N(V30)&lt;=0.005,0,MIN(N('Debt List'!F8),N(V30)+N(W30)))+((AP30=4)*AR30+(AT30=4)*AV30+(AX30=4)*AZ30+(BB30=4)*BD30+(BF30=4)*BH30+(BJ30=4)*BL30+(BN30=4)*BP30+(BR30=4)*BT30)</f>
        <v/>
      </c>
      <c r="Y30">
        <f>MAX(0,ROUND(N(V30)+N(W30)-N(X30),2))</f>
        <v/>
      </c>
      <c r="Z30">
        <f>N(AC29)</f>
        <v/>
      </c>
      <c r="AA30">
        <f>IF(N(Z30)&lt;=0.005,0,ROUND(N(Z30)*N('Debt List'!E9)/12,2))</f>
        <v/>
      </c>
      <c r="AB30">
        <f>IF(N(Z30)&lt;=0.005,0,MIN(N('Debt List'!F9),N(Z30)+N(AA30)))+((AP30=5)*AR30+(AT30=5)*AV30+(AX30=5)*AZ30+(BB30=5)*BD30+(BF30=5)*BH30+(BJ30=5)*BL30+(BN30=5)*BP30+(BR30=5)*BT30)</f>
        <v/>
      </c>
      <c r="AC30">
        <f>MAX(0,ROUND(N(Z30)+N(AA30)-N(AB30),2))</f>
        <v/>
      </c>
      <c r="AD30">
        <f>N(AG29)</f>
        <v/>
      </c>
      <c r="AE30">
        <f>IF(N(AD30)&lt;=0.005,0,ROUND(N(AD30)*N('Debt List'!E10)/12,2))</f>
        <v/>
      </c>
      <c r="AF30">
        <f>IF(N(AD30)&lt;=0.005,0,MIN(N('Debt List'!F10),N(AD30)+N(AE30)))+((AP30=6)*AR30+(AT30=6)*AV30+(AX30=6)*AZ30+(BB30=6)*BD30+(BF30=6)*BH30+(BJ30=6)*BL30+(BN30=6)*BP30+(BR30=6)*BT30)</f>
        <v/>
      </c>
      <c r="AG30">
        <f>MAX(0,ROUND(N(AD30)+N(AE30)-N(AF30),2))</f>
        <v/>
      </c>
      <c r="AH30">
        <f>N(AK29)</f>
        <v/>
      </c>
      <c r="AI30">
        <f>IF(N(AH30)&lt;=0.005,0,ROUND(N(AH30)*N('Debt List'!E11)/12,2))</f>
        <v/>
      </c>
      <c r="AJ30">
        <f>IF(N(AH30)&lt;=0.005,0,MIN(N('Debt List'!F11),N(AH30)+N(AI30)))+((AP30=7)*AR30+(AT30=7)*AV30+(AX30=7)*AZ30+(BB30=7)*BD30+(BF30=7)*BH30+(BJ30=7)*BL30+(BN30=7)*BP30+(BR30=7)*BT30)</f>
        <v/>
      </c>
      <c r="AK30">
        <f>MAX(0,ROUND(N(AH30)+N(AI30)-N(AJ30),2))</f>
        <v/>
      </c>
      <c r="AL30">
        <f>N(AO29)</f>
        <v/>
      </c>
      <c r="AM30">
        <f>IF(N(AL30)&lt;=0.005,0,ROUND(N(AL30)*N('Debt List'!E12)/12,2))</f>
        <v/>
      </c>
      <c r="AN30">
        <f>IF(N(AL30)&lt;=0.005,0,MIN(N('Debt List'!F12),N(AL30)+N(AM30)))+((AP30=8)*AR30+(AT30=8)*AV30+(AX30=8)*AZ30+(BB30=8)*BD30+(BF30=8)*BH30+(BJ30=8)*BL30+(BN30=8)*BP30+(BR30=8)*BT30)</f>
        <v/>
      </c>
      <c r="AO30">
        <f>MAX(0,ROUND(N(AL30)+N(AM30)-N(AN30),2))</f>
        <v/>
      </c>
      <c r="AP30">
        <f>IFERROR(MATCH(1,OrderPlan,0),"")</f>
        <v/>
      </c>
      <c r="AQ30">
        <f>IF(AP30="",0,IFERROR(IF(N(CHOOSE(AP30,J30,N30,R30,V30,Z30,AD30,AH30,AL30))&lt;=0.005,0,MAX(0,N(CHOOSE(AP30,J30,N30,R30,V30,Z30,AD30,AH30,AL30))+N(CHOOSE(AP30,K30,O30,S30,W30,AA30,AE30,AI30,AM30))-MIN(N(CHOOSE(AP30,'Debt List'!$F$5,'Debt List'!$F$6,'Debt List'!$F$7,'Debt List'!$F$8,'Debt List'!$F$9,'Debt List'!$F$10,'Debt List'!$F$11,'Debt List'!$F$12)),N(CHOOSE(AP30,J30,N30,R30,V30,Z30,AD30,AH30,AL30))+N(CHOOSE(AP30,K30,O30,S30,W30,AA30,AE30,AI30,AM30))))),0))</f>
        <v/>
      </c>
      <c r="AR30">
        <f>MIN(N(AQ30),MAX(0,N(ExtraPayment)))</f>
        <v/>
      </c>
      <c r="AS30">
        <f>MAX(0,N(ExtraPayment)-N(AR30))</f>
        <v/>
      </c>
      <c r="AT30">
        <f>IFERROR(MATCH(2,OrderPlan,0),"")</f>
        <v/>
      </c>
      <c r="AU30">
        <f>IF(AT30="",0,IFERROR(IF(N(CHOOSE(AT30,J30,N30,R30,V30,Z30,AD30,AH30,AL30))&lt;=0.005,0,MAX(0,N(CHOOSE(AT30,J30,N30,R30,V30,Z30,AD30,AH30,AL30))+N(CHOOSE(AT30,K30,O30,S30,W30,AA30,AE30,AI30,AM30))-MIN(N(CHOOSE(AT30,'Debt List'!$F$5,'Debt List'!$F$6,'Debt List'!$F$7,'Debt List'!$F$8,'Debt List'!$F$9,'Debt List'!$F$10,'Debt List'!$F$11,'Debt List'!$F$12)),N(CHOOSE(AT30,J30,N30,R30,V30,Z30,AD30,AH30,AL30))+N(CHOOSE(AT30,K30,O30,S30,W30,AA30,AE30,AI30,AM30))))),0))</f>
        <v/>
      </c>
      <c r="AV30">
        <f>MIN(N(AU30),MAX(0,N(AS30)))</f>
        <v/>
      </c>
      <c r="AW30">
        <f>MAX(0,N(AS30)-N(AV30))</f>
        <v/>
      </c>
      <c r="AX30">
        <f>IFERROR(MATCH(3,OrderPlan,0),"")</f>
        <v/>
      </c>
      <c r="AY30">
        <f>IF(AX30="",0,IFERROR(IF(N(CHOOSE(AX30,J30,N30,R30,V30,Z30,AD30,AH30,AL30))&lt;=0.005,0,MAX(0,N(CHOOSE(AX30,J30,N30,R30,V30,Z30,AD30,AH30,AL30))+N(CHOOSE(AX30,K30,O30,S30,W30,AA30,AE30,AI30,AM30))-MIN(N(CHOOSE(AX30,'Debt List'!$F$5,'Debt List'!$F$6,'Debt List'!$F$7,'Debt List'!$F$8,'Debt List'!$F$9,'Debt List'!$F$10,'Debt List'!$F$11,'Debt List'!$F$12)),N(CHOOSE(AX30,J30,N30,R30,V30,Z30,AD30,AH30,AL30))+N(CHOOSE(AX30,K30,O30,S30,W30,AA30,AE30,AI30,AM30))))),0))</f>
        <v/>
      </c>
      <c r="AZ30">
        <f>MIN(N(AY30),MAX(0,N(AW30)))</f>
        <v/>
      </c>
      <c r="BA30">
        <f>MAX(0,N(AW30)-N(AZ30))</f>
        <v/>
      </c>
      <c r="BB30">
        <f>IFERROR(MATCH(4,OrderPlan,0),"")</f>
        <v/>
      </c>
      <c r="BC30">
        <f>IF(BB30="",0,IFERROR(IF(N(CHOOSE(BB30,J30,N30,R30,V30,Z30,AD30,AH30,AL30))&lt;=0.005,0,MAX(0,N(CHOOSE(BB30,J30,N30,R30,V30,Z30,AD30,AH30,AL30))+N(CHOOSE(BB30,K30,O30,S30,W30,AA30,AE30,AI30,AM30))-MIN(N(CHOOSE(BB30,'Debt List'!$F$5,'Debt List'!$F$6,'Debt List'!$F$7,'Debt List'!$F$8,'Debt List'!$F$9,'Debt List'!$F$10,'Debt List'!$F$11,'Debt List'!$F$12)),N(CHOOSE(BB30,J30,N30,R30,V30,Z30,AD30,AH30,AL30))+N(CHOOSE(BB30,K30,O30,S30,W30,AA30,AE30,AI30,AM30))))),0))</f>
        <v/>
      </c>
      <c r="BD30">
        <f>MIN(N(BC30),MAX(0,N(BA30)))</f>
        <v/>
      </c>
      <c r="BE30">
        <f>MAX(0,N(BA30)-N(BD30))</f>
        <v/>
      </c>
      <c r="BF30">
        <f>IFERROR(MATCH(5,OrderPlan,0),"")</f>
        <v/>
      </c>
      <c r="BG30">
        <f>IF(BF30="",0,IFERROR(IF(N(CHOOSE(BF30,J30,N30,R30,V30,Z30,AD30,AH30,AL30))&lt;=0.005,0,MAX(0,N(CHOOSE(BF30,J30,N30,R30,V30,Z30,AD30,AH30,AL30))+N(CHOOSE(BF30,K30,O30,S30,W30,AA30,AE30,AI30,AM30))-MIN(N(CHOOSE(BF30,'Debt List'!$F$5,'Debt List'!$F$6,'Debt List'!$F$7,'Debt List'!$F$8,'Debt List'!$F$9,'Debt List'!$F$10,'Debt List'!$F$11,'Debt List'!$F$12)),N(CHOOSE(BF30,J30,N30,R30,V30,Z30,AD30,AH30,AL30))+N(CHOOSE(BF30,K30,O30,S30,W30,AA30,AE30,AI30,AM30))))),0))</f>
        <v/>
      </c>
      <c r="BH30">
        <f>MIN(N(BG30),MAX(0,N(BE30)))</f>
        <v/>
      </c>
      <c r="BI30">
        <f>MAX(0,N(BE30)-N(BH30))</f>
        <v/>
      </c>
      <c r="BJ30">
        <f>IFERROR(MATCH(6,OrderPlan,0),"")</f>
        <v/>
      </c>
      <c r="BK30">
        <f>IF(BJ30="",0,IFERROR(IF(N(CHOOSE(BJ30,J30,N30,R30,V30,Z30,AD30,AH30,AL30))&lt;=0.005,0,MAX(0,N(CHOOSE(BJ30,J30,N30,R30,V30,Z30,AD30,AH30,AL30))+N(CHOOSE(BJ30,K30,O30,S30,W30,AA30,AE30,AI30,AM30))-MIN(N(CHOOSE(BJ30,'Debt List'!$F$5,'Debt List'!$F$6,'Debt List'!$F$7,'Debt List'!$F$8,'Debt List'!$F$9,'Debt List'!$F$10,'Debt List'!$F$11,'Debt List'!$F$12)),N(CHOOSE(BJ30,J30,N30,R30,V30,Z30,AD30,AH30,AL30))+N(CHOOSE(BJ30,K30,O30,S30,W30,AA30,AE30,AI30,AM30))))),0))</f>
        <v/>
      </c>
      <c r="BL30">
        <f>MIN(N(BK30),MAX(0,N(BI30)))</f>
        <v/>
      </c>
      <c r="BM30">
        <f>MAX(0,N(BI30)-N(BL30))</f>
        <v/>
      </c>
      <c r="BN30">
        <f>IFERROR(MATCH(7,OrderPlan,0),"")</f>
        <v/>
      </c>
      <c r="BO30">
        <f>IF(BN30="",0,IFERROR(IF(N(CHOOSE(BN30,J30,N30,R30,V30,Z30,AD30,AH30,AL30))&lt;=0.005,0,MAX(0,N(CHOOSE(BN30,J30,N30,R30,V30,Z30,AD30,AH30,AL30))+N(CHOOSE(BN30,K30,O30,S30,W30,AA30,AE30,AI30,AM30))-MIN(N(CHOOSE(BN30,'Debt List'!$F$5,'Debt List'!$F$6,'Debt List'!$F$7,'Debt List'!$F$8,'Debt List'!$F$9,'Debt List'!$F$10,'Debt List'!$F$11,'Debt List'!$F$12)),N(CHOOSE(BN30,J30,N30,R30,V30,Z30,AD30,AH30,AL30))+N(CHOOSE(BN30,K30,O30,S30,W30,AA30,AE30,AI30,AM30))))),0))</f>
        <v/>
      </c>
      <c r="BP30">
        <f>MIN(N(BO30),MAX(0,N(BM30)))</f>
        <v/>
      </c>
      <c r="BQ30">
        <f>MAX(0,N(BM30)-N(BP30))</f>
        <v/>
      </c>
      <c r="BR30">
        <f>IFERROR(MATCH(8,OrderPlan,0),"")</f>
        <v/>
      </c>
      <c r="BS30">
        <f>IF(BR30="",0,IFERROR(IF(N(CHOOSE(BR30,J30,N30,R30,V30,Z30,AD30,AH30,AL30))&lt;=0.005,0,MAX(0,N(CHOOSE(BR30,J30,N30,R30,V30,Z30,AD30,AH30,AL30))+N(CHOOSE(BR30,K30,O30,S30,W30,AA30,AE30,AI30,AM30))-MIN(N(CHOOSE(BR30,'Debt List'!$F$5,'Debt List'!$F$6,'Debt List'!$F$7,'Debt List'!$F$8,'Debt List'!$F$9,'Debt List'!$F$10,'Debt List'!$F$11,'Debt List'!$F$12)),N(CHOOSE(BR30,J30,N30,R30,V30,Z30,AD30,AH30,AL30))+N(CHOOSE(BR30,K30,O30,S30,W30,AA30,AE30,AI30,AM30))))),0))</f>
        <v/>
      </c>
      <c r="BT30">
        <f>MIN(N(BS30),MAX(0,N(BQ30)))</f>
        <v/>
      </c>
      <c r="BU30">
        <f>MAX(0,N(BQ30)-N(BT30))</f>
        <v/>
      </c>
      <c r="CC30" t="n">
        <v>26</v>
      </c>
      <c r="CD30" s="115">
        <f>DATE(YEAR(PlanStart),MONTH(PlanStart)+CC30-1,1)</f>
        <v/>
      </c>
      <c r="CE30">
        <f>IF(AND(DR30&lt;&gt;"",N(CHOOSE(DR30,CL30,CP30,CT30,CX30,DB30,DF30,DJ30,DN30))&gt;0.005),INDEX(DebtNames,DR30),IF(AND(DV30&lt;&gt;"",N(CHOOSE(DV30,CL30,CP30,CT30,CX30,DB30,DF30,DJ30,DN30))&gt;0.005),INDEX(DebtNames,DV30),IF(AND(DZ30&lt;&gt;"",N(CHOOSE(DZ30,CL30,CP30,CT30,CX30,DB30,DF30,DJ30,DN30))&gt;0.005),INDEX(DebtNames,DZ30),IF(AND(ED30&lt;&gt;"",N(CHOOSE(ED30,CL30,CP30,CT30,CX30,DB30,DF30,DJ30,DN30))&gt;0.005),INDEX(DebtNames,ED30),IF(AND(EH30&lt;&gt;"",N(CHOOSE(EH30,CL30,CP30,CT30,CX30,DB30,DF30,DJ30,DN30))&gt;0.005),INDEX(DebtNames,EH30),IF(AND(EL30&lt;&gt;"",N(CHOOSE(EL30,CL30,CP30,CT30,CX30,DB30,DF30,DJ30,DN30))&gt;0.005),INDEX(DebtNames,EL30),IF(AND(EP30&lt;&gt;"",N(CHOOSE(EP30,CL30,CP30,CT30,CX30,DB30,DF30,DJ30,DN30))&gt;0.005),INDEX(DebtNames,EP30),IF(AND(ET30&lt;&gt;"",N(CHOOSE(ET30,CL30,CP30,CT30,CX30,DB30,DF30,DJ30,DN30))&gt;0.005),INDEX(DebtNames,ET30),""))))))))</f>
        <v/>
      </c>
      <c r="CF30">
        <f>N(EW30)</f>
        <v/>
      </c>
      <c r="CG30">
        <f>N(CN30)+N(CR30)+N(CV30)+N(CZ30)+N(DD30)+N(DH30)+N(DL30)+N(DP30)</f>
        <v/>
      </c>
      <c r="CH30">
        <f>N(CM30)+N(CQ30)+N(CU30)+N(CY30)+N(DC30)+N(DG30)+N(DK30)+N(DO30)</f>
        <v/>
      </c>
      <c r="CI30">
        <f>N(CI29)+N(CH30)</f>
        <v/>
      </c>
      <c r="CJ30">
        <f>N(CO30)+N(CS30)+N(CW30)+N(DA30)+N(DE30)+N(DI30)+N(DM30)+N(DQ30)</f>
        <v/>
      </c>
      <c r="CK30">
        <f>(CO30&gt;0.005)*1+(CS30&gt;0.005)*1+(CW30&gt;0.005)*1+(DA30&gt;0.005)*1+(DE30&gt;0.005)*1+(DI30&gt;0.005)*1+(DM30&gt;0.005)*1+(DQ30&gt;0.005)*1</f>
        <v/>
      </c>
      <c r="CL30">
        <f>N(CO29)</f>
        <v/>
      </c>
      <c r="CM30">
        <f>IF(N(CL30)&lt;=0.005,0,ROUND(N(CL30)*N('Debt List'!E5)/12,2))</f>
        <v/>
      </c>
      <c r="CN30">
        <f>IF(N(CL30)&lt;=0.005,0,MIN(N('Debt List'!F5),N(CL30)+N(CM30)))+((DR30=1)*DT30+(DV30=1)*DX30+(DZ30=1)*EB30+(ED30=1)*EF30+(EH30=1)*EJ30+(EL30=1)*EN30+(EP30=1)*ER30+(ET30=1)*EV30)</f>
        <v/>
      </c>
      <c r="CO30">
        <f>MAX(0,ROUND(N(CL30)+N(CM30)-N(CN30),2))</f>
        <v/>
      </c>
      <c r="CP30">
        <f>N(CS29)</f>
        <v/>
      </c>
      <c r="CQ30">
        <f>IF(N(CP30)&lt;=0.005,0,ROUND(N(CP30)*N('Debt List'!E6)/12,2))</f>
        <v/>
      </c>
      <c r="CR30">
        <f>IF(N(CP30)&lt;=0.005,0,MIN(N('Debt List'!F6),N(CP30)+N(CQ30)))+((DR30=2)*DT30+(DV30=2)*DX30+(DZ30=2)*EB30+(ED30=2)*EF30+(EH30=2)*EJ30+(EL30=2)*EN30+(EP30=2)*ER30+(ET30=2)*EV30)</f>
        <v/>
      </c>
      <c r="CS30">
        <f>MAX(0,ROUND(N(CP30)+N(CQ30)-N(CR30),2))</f>
        <v/>
      </c>
      <c r="CT30">
        <f>N(CW29)</f>
        <v/>
      </c>
      <c r="CU30">
        <f>IF(N(CT30)&lt;=0.005,0,ROUND(N(CT30)*N('Debt List'!E7)/12,2))</f>
        <v/>
      </c>
      <c r="CV30">
        <f>IF(N(CT30)&lt;=0.005,0,MIN(N('Debt List'!F7),N(CT30)+N(CU30)))+((DR30=3)*DT30+(DV30=3)*DX30+(DZ30=3)*EB30+(ED30=3)*EF30+(EH30=3)*EJ30+(EL30=3)*EN30+(EP30=3)*ER30+(ET30=3)*EV30)</f>
        <v/>
      </c>
      <c r="CW30">
        <f>MAX(0,ROUND(N(CT30)+N(CU30)-N(CV30),2))</f>
        <v/>
      </c>
      <c r="CX30">
        <f>N(DA29)</f>
        <v/>
      </c>
      <c r="CY30">
        <f>IF(N(CX30)&lt;=0.005,0,ROUND(N(CX30)*N('Debt List'!E8)/12,2))</f>
        <v/>
      </c>
      <c r="CZ30">
        <f>IF(N(CX30)&lt;=0.005,0,MIN(N('Debt List'!F8),N(CX30)+N(CY30)))+((DR30=4)*DT30+(DV30=4)*DX30+(DZ30=4)*EB30+(ED30=4)*EF30+(EH30=4)*EJ30+(EL30=4)*EN30+(EP30=4)*ER30+(ET30=4)*EV30)</f>
        <v/>
      </c>
      <c r="DA30">
        <f>MAX(0,ROUND(N(CX30)+N(CY30)-N(CZ30),2))</f>
        <v/>
      </c>
      <c r="DB30">
        <f>N(DE29)</f>
        <v/>
      </c>
      <c r="DC30">
        <f>IF(N(DB30)&lt;=0.005,0,ROUND(N(DB30)*N('Debt List'!E9)/12,2))</f>
        <v/>
      </c>
      <c r="DD30">
        <f>IF(N(DB30)&lt;=0.005,0,MIN(N('Debt List'!F9),N(DB30)+N(DC30)))+((DR30=5)*DT30+(DV30=5)*DX30+(DZ30=5)*EB30+(ED30=5)*EF30+(EH30=5)*EJ30+(EL30=5)*EN30+(EP30=5)*ER30+(ET30=5)*EV30)</f>
        <v/>
      </c>
      <c r="DE30">
        <f>MAX(0,ROUND(N(DB30)+N(DC30)-N(DD30),2))</f>
        <v/>
      </c>
      <c r="DF30">
        <f>N(DI29)</f>
        <v/>
      </c>
      <c r="DG30">
        <f>IF(N(DF30)&lt;=0.005,0,ROUND(N(DF30)*N('Debt List'!E10)/12,2))</f>
        <v/>
      </c>
      <c r="DH30">
        <f>IF(N(DF30)&lt;=0.005,0,MIN(N('Debt List'!F10),N(DF30)+N(DG30)))+((DR30=6)*DT30+(DV30=6)*DX30+(DZ30=6)*EB30+(ED30=6)*EF30+(EH30=6)*EJ30+(EL30=6)*EN30+(EP30=6)*ER30+(ET30=6)*EV30)</f>
        <v/>
      </c>
      <c r="DI30">
        <f>MAX(0,ROUND(N(DF30)+N(DG30)-N(DH30),2))</f>
        <v/>
      </c>
      <c r="DJ30">
        <f>N(DM29)</f>
        <v/>
      </c>
      <c r="DK30">
        <f>IF(N(DJ30)&lt;=0.005,0,ROUND(N(DJ30)*N('Debt List'!E11)/12,2))</f>
        <v/>
      </c>
      <c r="DL30">
        <f>IF(N(DJ30)&lt;=0.005,0,MIN(N('Debt List'!F11),N(DJ30)+N(DK30)))+((DR30=7)*DT30+(DV30=7)*DX30+(DZ30=7)*EB30+(ED30=7)*EF30+(EH30=7)*EJ30+(EL30=7)*EN30+(EP30=7)*ER30+(ET30=7)*EV30)</f>
        <v/>
      </c>
      <c r="DM30">
        <f>MAX(0,ROUND(N(DJ30)+N(DK30)-N(DL30),2))</f>
        <v/>
      </c>
      <c r="DN30">
        <f>N(DQ29)</f>
        <v/>
      </c>
      <c r="DO30">
        <f>IF(N(DN30)&lt;=0.005,0,ROUND(N(DN30)*N('Debt List'!E12)/12,2))</f>
        <v/>
      </c>
      <c r="DP30">
        <f>IF(N(DN30)&lt;=0.005,0,MIN(N('Debt List'!F12),N(DN30)+N(DO30)))+((DR30=8)*DT30+(DV30=8)*DX30+(DZ30=8)*EB30+(ED30=8)*EF30+(EH30=8)*EJ30+(EL30=8)*EN30+(EP30=8)*ER30+(ET30=8)*EV30)</f>
        <v/>
      </c>
      <c r="DQ30">
        <f>MAX(0,ROUND(N(DN30)+N(DO30)-N(DP30),2))</f>
        <v/>
      </c>
      <c r="DR30">
        <f>IFERROR(MATCH(1,OrderSnow,0),"")</f>
        <v/>
      </c>
      <c r="DS30">
        <f>IF(DR30="",0,IFERROR(IF(N(CHOOSE(DR30,CL30,CP30,CT30,CX30,DB30,DF30,DJ30,DN30))&lt;=0.005,0,MAX(0,N(CHOOSE(DR30,CL30,CP30,CT30,CX30,DB30,DF30,DJ30,DN30))+N(CHOOSE(DR30,CM30,CQ30,CU30,CY30,DC30,DG30,DK30,DO30))-MIN(N(CHOOSE(DR30,'Debt List'!$F$5,'Debt List'!$F$6,'Debt List'!$F$7,'Debt List'!$F$8,'Debt List'!$F$9,'Debt List'!$F$10,'Debt List'!$F$11,'Debt List'!$F$12)),N(CHOOSE(DR30,CL30,CP30,CT30,CX30,DB30,DF30,DJ30,DN30))+N(CHOOSE(DR30,CM30,CQ30,CU30,CY30,DC30,DG30,DK30,DO30))))),0))</f>
        <v/>
      </c>
      <c r="DT30">
        <f>MIN(N(DS30),MAX(0,N(ExtraPayment)))</f>
        <v/>
      </c>
      <c r="DU30">
        <f>MAX(0,N(ExtraPayment)-N(DT30))</f>
        <v/>
      </c>
      <c r="DV30">
        <f>IFERROR(MATCH(2,OrderSnow,0),"")</f>
        <v/>
      </c>
      <c r="DW30">
        <f>IF(DV30="",0,IFERROR(IF(N(CHOOSE(DV30,CL30,CP30,CT30,CX30,DB30,DF30,DJ30,DN30))&lt;=0.005,0,MAX(0,N(CHOOSE(DV30,CL30,CP30,CT30,CX30,DB30,DF30,DJ30,DN30))+N(CHOOSE(DV30,CM30,CQ30,CU30,CY30,DC30,DG30,DK30,DO30))-MIN(N(CHOOSE(DV30,'Debt List'!$F$5,'Debt List'!$F$6,'Debt List'!$F$7,'Debt List'!$F$8,'Debt List'!$F$9,'Debt List'!$F$10,'Debt List'!$F$11,'Debt List'!$F$12)),N(CHOOSE(DV30,CL30,CP30,CT30,CX30,DB30,DF30,DJ30,DN30))+N(CHOOSE(DV30,CM30,CQ30,CU30,CY30,DC30,DG30,DK30,DO30))))),0))</f>
        <v/>
      </c>
      <c r="DX30">
        <f>MIN(N(DW30),MAX(0,N(DU30)))</f>
        <v/>
      </c>
      <c r="DY30">
        <f>MAX(0,N(DU30)-N(DX30))</f>
        <v/>
      </c>
      <c r="DZ30">
        <f>IFERROR(MATCH(3,OrderSnow,0),"")</f>
        <v/>
      </c>
      <c r="EA30">
        <f>IF(DZ30="",0,IFERROR(IF(N(CHOOSE(DZ30,CL30,CP30,CT30,CX30,DB30,DF30,DJ30,DN30))&lt;=0.005,0,MAX(0,N(CHOOSE(DZ30,CL30,CP30,CT30,CX30,DB30,DF30,DJ30,DN30))+N(CHOOSE(DZ30,CM30,CQ30,CU30,CY30,DC30,DG30,DK30,DO30))-MIN(N(CHOOSE(DZ30,'Debt List'!$F$5,'Debt List'!$F$6,'Debt List'!$F$7,'Debt List'!$F$8,'Debt List'!$F$9,'Debt List'!$F$10,'Debt List'!$F$11,'Debt List'!$F$12)),N(CHOOSE(DZ30,CL30,CP30,CT30,CX30,DB30,DF30,DJ30,DN30))+N(CHOOSE(DZ30,CM30,CQ30,CU30,CY30,DC30,DG30,DK30,DO30))))),0))</f>
        <v/>
      </c>
      <c r="EB30">
        <f>MIN(N(EA30),MAX(0,N(DY30)))</f>
        <v/>
      </c>
      <c r="EC30">
        <f>MAX(0,N(DY30)-N(EB30))</f>
        <v/>
      </c>
      <c r="ED30">
        <f>IFERROR(MATCH(4,OrderSnow,0),"")</f>
        <v/>
      </c>
      <c r="EE30">
        <f>IF(ED30="",0,IFERROR(IF(N(CHOOSE(ED30,CL30,CP30,CT30,CX30,DB30,DF30,DJ30,DN30))&lt;=0.005,0,MAX(0,N(CHOOSE(ED30,CL30,CP30,CT30,CX30,DB30,DF30,DJ30,DN30))+N(CHOOSE(ED30,CM30,CQ30,CU30,CY30,DC30,DG30,DK30,DO30))-MIN(N(CHOOSE(ED30,'Debt List'!$F$5,'Debt List'!$F$6,'Debt List'!$F$7,'Debt List'!$F$8,'Debt List'!$F$9,'Debt List'!$F$10,'Debt List'!$F$11,'Debt List'!$F$12)),N(CHOOSE(ED30,CL30,CP30,CT30,CX30,DB30,DF30,DJ30,DN30))+N(CHOOSE(ED30,CM30,CQ30,CU30,CY30,DC30,DG30,DK30,DO30))))),0))</f>
        <v/>
      </c>
      <c r="EF30">
        <f>MIN(N(EE30),MAX(0,N(EC30)))</f>
        <v/>
      </c>
      <c r="EG30">
        <f>MAX(0,N(EC30)-N(EF30))</f>
        <v/>
      </c>
      <c r="EH30">
        <f>IFERROR(MATCH(5,OrderSnow,0),"")</f>
        <v/>
      </c>
      <c r="EI30">
        <f>IF(EH30="",0,IFERROR(IF(N(CHOOSE(EH30,CL30,CP30,CT30,CX30,DB30,DF30,DJ30,DN30))&lt;=0.005,0,MAX(0,N(CHOOSE(EH30,CL30,CP30,CT30,CX30,DB30,DF30,DJ30,DN30))+N(CHOOSE(EH30,CM30,CQ30,CU30,CY30,DC30,DG30,DK30,DO30))-MIN(N(CHOOSE(EH30,'Debt List'!$F$5,'Debt List'!$F$6,'Debt List'!$F$7,'Debt List'!$F$8,'Debt List'!$F$9,'Debt List'!$F$10,'Debt List'!$F$11,'Debt List'!$F$12)),N(CHOOSE(EH30,CL30,CP30,CT30,CX30,DB30,DF30,DJ30,DN30))+N(CHOOSE(EH30,CM30,CQ30,CU30,CY30,DC30,DG30,DK30,DO30))))),0))</f>
        <v/>
      </c>
      <c r="EJ30">
        <f>MIN(N(EI30),MAX(0,N(EG30)))</f>
        <v/>
      </c>
      <c r="EK30">
        <f>MAX(0,N(EG30)-N(EJ30))</f>
        <v/>
      </c>
      <c r="EL30">
        <f>IFERROR(MATCH(6,OrderSnow,0),"")</f>
        <v/>
      </c>
      <c r="EM30">
        <f>IF(EL30="",0,IFERROR(IF(N(CHOOSE(EL30,CL30,CP30,CT30,CX30,DB30,DF30,DJ30,DN30))&lt;=0.005,0,MAX(0,N(CHOOSE(EL30,CL30,CP30,CT30,CX30,DB30,DF30,DJ30,DN30))+N(CHOOSE(EL30,CM30,CQ30,CU30,CY30,DC30,DG30,DK30,DO30))-MIN(N(CHOOSE(EL30,'Debt List'!$F$5,'Debt List'!$F$6,'Debt List'!$F$7,'Debt List'!$F$8,'Debt List'!$F$9,'Debt List'!$F$10,'Debt List'!$F$11,'Debt List'!$F$12)),N(CHOOSE(EL30,CL30,CP30,CT30,CX30,DB30,DF30,DJ30,DN30))+N(CHOOSE(EL30,CM30,CQ30,CU30,CY30,DC30,DG30,DK30,DO30))))),0))</f>
        <v/>
      </c>
      <c r="EN30">
        <f>MIN(N(EM30),MAX(0,N(EK30)))</f>
        <v/>
      </c>
      <c r="EO30">
        <f>MAX(0,N(EK30)-N(EN30))</f>
        <v/>
      </c>
      <c r="EP30">
        <f>IFERROR(MATCH(7,OrderSnow,0),"")</f>
        <v/>
      </c>
      <c r="EQ30">
        <f>IF(EP30="",0,IFERROR(IF(N(CHOOSE(EP30,CL30,CP30,CT30,CX30,DB30,DF30,DJ30,DN30))&lt;=0.005,0,MAX(0,N(CHOOSE(EP30,CL30,CP30,CT30,CX30,DB30,DF30,DJ30,DN30))+N(CHOOSE(EP30,CM30,CQ30,CU30,CY30,DC30,DG30,DK30,DO30))-MIN(N(CHOOSE(EP30,'Debt List'!$F$5,'Debt List'!$F$6,'Debt List'!$F$7,'Debt List'!$F$8,'Debt List'!$F$9,'Debt List'!$F$10,'Debt List'!$F$11,'Debt List'!$F$12)),N(CHOOSE(EP30,CL30,CP30,CT30,CX30,DB30,DF30,DJ30,DN30))+N(CHOOSE(EP30,CM30,CQ30,CU30,CY30,DC30,DG30,DK30,DO30))))),0))</f>
        <v/>
      </c>
      <c r="ER30">
        <f>MIN(N(EQ30),MAX(0,N(EO30)))</f>
        <v/>
      </c>
      <c r="ES30">
        <f>MAX(0,N(EO30)-N(ER30))</f>
        <v/>
      </c>
      <c r="ET30">
        <f>IFERROR(MATCH(8,OrderSnow,0),"")</f>
        <v/>
      </c>
      <c r="EU30">
        <f>IF(ET30="",0,IFERROR(IF(N(CHOOSE(ET30,CL30,CP30,CT30,CX30,DB30,DF30,DJ30,DN30))&lt;=0.005,0,MAX(0,N(CHOOSE(ET30,CL30,CP30,CT30,CX30,DB30,DF30,DJ30,DN30))+N(CHOOSE(ET30,CM30,CQ30,CU30,CY30,DC30,DG30,DK30,DO30))-MIN(N(CHOOSE(ET30,'Debt List'!$F$5,'Debt List'!$F$6,'Debt List'!$F$7,'Debt List'!$F$8,'Debt List'!$F$9,'Debt List'!$F$10,'Debt List'!$F$11,'Debt List'!$F$12)),N(CHOOSE(ET30,CL30,CP30,CT30,CX30,DB30,DF30,DJ30,DN30))+N(CHOOSE(ET30,CM30,CQ30,CU30,CY30,DC30,DG30,DK30,DO30))))),0))</f>
        <v/>
      </c>
      <c r="EV30">
        <f>MIN(N(EU30),MAX(0,N(ES30)))</f>
        <v/>
      </c>
      <c r="EW30">
        <f>MAX(0,N(ES30)-N(EV30))</f>
        <v/>
      </c>
      <c r="FE30" t="n">
        <v>26</v>
      </c>
      <c r="FF30" s="115">
        <f>DATE(YEAR(PlanStart),MONTH(PlanStart)+FE30-1,1)</f>
        <v/>
      </c>
      <c r="FG30">
        <f>IF(AND(GT30&lt;&gt;"",N(CHOOSE(GT30,FN30,FR30,FV30,FZ30,GD30,GH30,GL30,GP30))&gt;0.005),INDEX(DebtNames,GT30),IF(AND(GX30&lt;&gt;"",N(CHOOSE(GX30,FN30,FR30,FV30,FZ30,GD30,GH30,GL30,GP30))&gt;0.005),INDEX(DebtNames,GX30),IF(AND(HB30&lt;&gt;"",N(CHOOSE(HB30,FN30,FR30,FV30,FZ30,GD30,GH30,GL30,GP30))&gt;0.005),INDEX(DebtNames,HB30),IF(AND(HF30&lt;&gt;"",N(CHOOSE(HF30,FN30,FR30,FV30,FZ30,GD30,GH30,GL30,GP30))&gt;0.005),INDEX(DebtNames,HF30),IF(AND(HJ30&lt;&gt;"",N(CHOOSE(HJ30,FN30,FR30,FV30,FZ30,GD30,GH30,GL30,GP30))&gt;0.005),INDEX(DebtNames,HJ30),IF(AND(HN30&lt;&gt;"",N(CHOOSE(HN30,FN30,FR30,FV30,FZ30,GD30,GH30,GL30,GP30))&gt;0.005),INDEX(DebtNames,HN30),IF(AND(HR30&lt;&gt;"",N(CHOOSE(HR30,FN30,FR30,FV30,FZ30,GD30,GH30,GL30,GP30))&gt;0.005),INDEX(DebtNames,HR30),IF(AND(HV30&lt;&gt;"",N(CHOOSE(HV30,FN30,FR30,FV30,FZ30,GD30,GH30,GL30,GP30))&gt;0.005),INDEX(DebtNames,HV30),""))))))))</f>
        <v/>
      </c>
      <c r="FH30">
        <f>N(HY30)</f>
        <v/>
      </c>
      <c r="FI30">
        <f>N(FP30)+N(FT30)+N(FX30)+N(GB30)+N(GF30)+N(GJ30)+N(GN30)+N(GR30)</f>
        <v/>
      </c>
      <c r="FJ30">
        <f>N(FO30)+N(FS30)+N(FW30)+N(GA30)+N(GE30)+N(GI30)+N(GM30)+N(GQ30)</f>
        <v/>
      </c>
      <c r="FK30">
        <f>N(FK29)+N(FJ30)</f>
        <v/>
      </c>
      <c r="FL30">
        <f>N(FQ30)+N(FU30)+N(FY30)+N(GC30)+N(GG30)+N(GK30)+N(GO30)+N(GS30)</f>
        <v/>
      </c>
      <c r="FM30">
        <f>(FQ30&gt;0.005)*1+(FU30&gt;0.005)*1+(FY30&gt;0.005)*1+(GC30&gt;0.005)*1+(GG30&gt;0.005)*1+(GK30&gt;0.005)*1+(GO30&gt;0.005)*1+(GS30&gt;0.005)*1</f>
        <v/>
      </c>
      <c r="FN30">
        <f>N(FQ29)</f>
        <v/>
      </c>
      <c r="FO30">
        <f>IF(N(FN30)&lt;=0.005,0,ROUND(N(FN30)*N('Debt List'!E5)/12,2))</f>
        <v/>
      </c>
      <c r="FP30">
        <f>IF(N(FN30)&lt;=0.005,0,MIN(N('Debt List'!F5),N(FN30)+N(FO30)))+((GT30=1)*GV30+(GX30=1)*GZ30+(HB30=1)*HD30+(HF30=1)*HH30+(HJ30=1)*HL30+(HN30=1)*HP30+(HR30=1)*HT30+(HV30=1)*HX30)</f>
        <v/>
      </c>
      <c r="FQ30">
        <f>MAX(0,ROUND(N(FN30)+N(FO30)-N(FP30),2))</f>
        <v/>
      </c>
      <c r="FR30">
        <f>N(FU29)</f>
        <v/>
      </c>
      <c r="FS30">
        <f>IF(N(FR30)&lt;=0.005,0,ROUND(N(FR30)*N('Debt List'!E6)/12,2))</f>
        <v/>
      </c>
      <c r="FT30">
        <f>IF(N(FR30)&lt;=0.005,0,MIN(N('Debt List'!F6),N(FR30)+N(FS30)))+((GT30=2)*GV30+(GX30=2)*GZ30+(HB30=2)*HD30+(HF30=2)*HH30+(HJ30=2)*HL30+(HN30=2)*HP30+(HR30=2)*HT30+(HV30=2)*HX30)</f>
        <v/>
      </c>
      <c r="FU30">
        <f>MAX(0,ROUND(N(FR30)+N(FS30)-N(FT30),2))</f>
        <v/>
      </c>
      <c r="FV30">
        <f>N(FY29)</f>
        <v/>
      </c>
      <c r="FW30">
        <f>IF(N(FV30)&lt;=0.005,0,ROUND(N(FV30)*N('Debt List'!E7)/12,2))</f>
        <v/>
      </c>
      <c r="FX30">
        <f>IF(N(FV30)&lt;=0.005,0,MIN(N('Debt List'!F7),N(FV30)+N(FW30)))+((GT30=3)*GV30+(GX30=3)*GZ30+(HB30=3)*HD30+(HF30=3)*HH30+(HJ30=3)*HL30+(HN30=3)*HP30+(HR30=3)*HT30+(HV30=3)*HX30)</f>
        <v/>
      </c>
      <c r="FY30">
        <f>MAX(0,ROUND(N(FV30)+N(FW30)-N(FX30),2))</f>
        <v/>
      </c>
      <c r="FZ30">
        <f>N(GC29)</f>
        <v/>
      </c>
      <c r="GA30">
        <f>IF(N(FZ30)&lt;=0.005,0,ROUND(N(FZ30)*N('Debt List'!E8)/12,2))</f>
        <v/>
      </c>
      <c r="GB30">
        <f>IF(N(FZ30)&lt;=0.005,0,MIN(N('Debt List'!F8),N(FZ30)+N(GA30)))+((GT30=4)*GV30+(GX30=4)*GZ30+(HB30=4)*HD30+(HF30=4)*HH30+(HJ30=4)*HL30+(HN30=4)*HP30+(HR30=4)*HT30+(HV30=4)*HX30)</f>
        <v/>
      </c>
      <c r="GC30">
        <f>MAX(0,ROUND(N(FZ30)+N(GA30)-N(GB30),2))</f>
        <v/>
      </c>
      <c r="GD30">
        <f>N(GG29)</f>
        <v/>
      </c>
      <c r="GE30">
        <f>IF(N(GD30)&lt;=0.005,0,ROUND(N(GD30)*N('Debt List'!E9)/12,2))</f>
        <v/>
      </c>
      <c r="GF30">
        <f>IF(N(GD30)&lt;=0.005,0,MIN(N('Debt List'!F9),N(GD30)+N(GE30)))+((GT30=5)*GV30+(GX30=5)*GZ30+(HB30=5)*HD30+(HF30=5)*HH30+(HJ30=5)*HL30+(HN30=5)*HP30+(HR30=5)*HT30+(HV30=5)*HX30)</f>
        <v/>
      </c>
      <c r="GG30">
        <f>MAX(0,ROUND(N(GD30)+N(GE30)-N(GF30),2))</f>
        <v/>
      </c>
      <c r="GH30">
        <f>N(GK29)</f>
        <v/>
      </c>
      <c r="GI30">
        <f>IF(N(GH30)&lt;=0.005,0,ROUND(N(GH30)*N('Debt List'!E10)/12,2))</f>
        <v/>
      </c>
      <c r="GJ30">
        <f>IF(N(GH30)&lt;=0.005,0,MIN(N('Debt List'!F10),N(GH30)+N(GI30)))+((GT30=6)*GV30+(GX30=6)*GZ30+(HB30=6)*HD30+(HF30=6)*HH30+(HJ30=6)*HL30+(HN30=6)*HP30+(HR30=6)*HT30+(HV30=6)*HX30)</f>
        <v/>
      </c>
      <c r="GK30">
        <f>MAX(0,ROUND(N(GH30)+N(GI30)-N(GJ30),2))</f>
        <v/>
      </c>
      <c r="GL30">
        <f>N(GO29)</f>
        <v/>
      </c>
      <c r="GM30">
        <f>IF(N(GL30)&lt;=0.005,0,ROUND(N(GL30)*N('Debt List'!E11)/12,2))</f>
        <v/>
      </c>
      <c r="GN30">
        <f>IF(N(GL30)&lt;=0.005,0,MIN(N('Debt List'!F11),N(GL30)+N(GM30)))+((GT30=7)*GV30+(GX30=7)*GZ30+(HB30=7)*HD30+(HF30=7)*HH30+(HJ30=7)*HL30+(HN30=7)*HP30+(HR30=7)*HT30+(HV30=7)*HX30)</f>
        <v/>
      </c>
      <c r="GO30">
        <f>MAX(0,ROUND(N(GL30)+N(GM30)-N(GN30),2))</f>
        <v/>
      </c>
      <c r="GP30">
        <f>N(GS29)</f>
        <v/>
      </c>
      <c r="GQ30">
        <f>IF(N(GP30)&lt;=0.005,0,ROUND(N(GP30)*N('Debt List'!E12)/12,2))</f>
        <v/>
      </c>
      <c r="GR30">
        <f>IF(N(GP30)&lt;=0.005,0,MIN(N('Debt List'!F12),N(GP30)+N(GQ30)))+((GT30=8)*GV30+(GX30=8)*GZ30+(HB30=8)*HD30+(HF30=8)*HH30+(HJ30=8)*HL30+(HN30=8)*HP30+(HR30=8)*HT30+(HV30=8)*HX30)</f>
        <v/>
      </c>
      <c r="GS30">
        <f>MAX(0,ROUND(N(GP30)+N(GQ30)-N(GR30),2))</f>
        <v/>
      </c>
      <c r="GT30">
        <f>IFERROR(MATCH(1,OrderAval,0),"")</f>
        <v/>
      </c>
      <c r="GU30">
        <f>IF(GT30="",0,IFERROR(IF(N(CHOOSE(GT30,FN30,FR30,FV30,FZ30,GD30,GH30,GL30,GP30))&lt;=0.005,0,MAX(0,N(CHOOSE(GT30,FN30,FR30,FV30,FZ30,GD30,GH30,GL30,GP30))+N(CHOOSE(GT30,FO30,FS30,FW30,GA30,GE30,GI30,GM30,GQ30))-MIN(N(CHOOSE(GT30,'Debt List'!$F$5,'Debt List'!$F$6,'Debt List'!$F$7,'Debt List'!$F$8,'Debt List'!$F$9,'Debt List'!$F$10,'Debt List'!$F$11,'Debt List'!$F$12)),N(CHOOSE(GT30,FN30,FR30,FV30,FZ30,GD30,GH30,GL30,GP30))+N(CHOOSE(GT30,FO30,FS30,FW30,GA30,GE30,GI30,GM30,GQ30))))),0))</f>
        <v/>
      </c>
      <c r="GV30">
        <f>MIN(N(GU30),MAX(0,N(ExtraPayment)))</f>
        <v/>
      </c>
      <c r="GW30">
        <f>MAX(0,N(ExtraPayment)-N(GV30))</f>
        <v/>
      </c>
      <c r="GX30">
        <f>IFERROR(MATCH(2,OrderAval,0),"")</f>
        <v/>
      </c>
      <c r="GY30">
        <f>IF(GX30="",0,IFERROR(IF(N(CHOOSE(GX30,FN30,FR30,FV30,FZ30,GD30,GH30,GL30,GP30))&lt;=0.005,0,MAX(0,N(CHOOSE(GX30,FN30,FR30,FV30,FZ30,GD30,GH30,GL30,GP30))+N(CHOOSE(GX30,FO30,FS30,FW30,GA30,GE30,GI30,GM30,GQ30))-MIN(N(CHOOSE(GX30,'Debt List'!$F$5,'Debt List'!$F$6,'Debt List'!$F$7,'Debt List'!$F$8,'Debt List'!$F$9,'Debt List'!$F$10,'Debt List'!$F$11,'Debt List'!$F$12)),N(CHOOSE(GX30,FN30,FR30,FV30,FZ30,GD30,GH30,GL30,GP30))+N(CHOOSE(GX30,FO30,FS30,FW30,GA30,GE30,GI30,GM30,GQ30))))),0))</f>
        <v/>
      </c>
      <c r="GZ30">
        <f>MIN(N(GY30),MAX(0,N(GW30)))</f>
        <v/>
      </c>
      <c r="HA30">
        <f>MAX(0,N(GW30)-N(GZ30))</f>
        <v/>
      </c>
      <c r="HB30">
        <f>IFERROR(MATCH(3,OrderAval,0),"")</f>
        <v/>
      </c>
      <c r="HC30">
        <f>IF(HB30="",0,IFERROR(IF(N(CHOOSE(HB30,FN30,FR30,FV30,FZ30,GD30,GH30,GL30,GP30))&lt;=0.005,0,MAX(0,N(CHOOSE(HB30,FN30,FR30,FV30,FZ30,GD30,GH30,GL30,GP30))+N(CHOOSE(HB30,FO30,FS30,FW30,GA30,GE30,GI30,GM30,GQ30))-MIN(N(CHOOSE(HB30,'Debt List'!$F$5,'Debt List'!$F$6,'Debt List'!$F$7,'Debt List'!$F$8,'Debt List'!$F$9,'Debt List'!$F$10,'Debt List'!$F$11,'Debt List'!$F$12)),N(CHOOSE(HB30,FN30,FR30,FV30,FZ30,GD30,GH30,GL30,GP30))+N(CHOOSE(HB30,FO30,FS30,FW30,GA30,GE30,GI30,GM30,GQ30))))),0))</f>
        <v/>
      </c>
      <c r="HD30">
        <f>MIN(N(HC30),MAX(0,N(HA30)))</f>
        <v/>
      </c>
      <c r="HE30">
        <f>MAX(0,N(HA30)-N(HD30))</f>
        <v/>
      </c>
      <c r="HF30">
        <f>IFERROR(MATCH(4,OrderAval,0),"")</f>
        <v/>
      </c>
      <c r="HG30">
        <f>IF(HF30="",0,IFERROR(IF(N(CHOOSE(HF30,FN30,FR30,FV30,FZ30,GD30,GH30,GL30,GP30))&lt;=0.005,0,MAX(0,N(CHOOSE(HF30,FN30,FR30,FV30,FZ30,GD30,GH30,GL30,GP30))+N(CHOOSE(HF30,FO30,FS30,FW30,GA30,GE30,GI30,GM30,GQ30))-MIN(N(CHOOSE(HF30,'Debt List'!$F$5,'Debt List'!$F$6,'Debt List'!$F$7,'Debt List'!$F$8,'Debt List'!$F$9,'Debt List'!$F$10,'Debt List'!$F$11,'Debt List'!$F$12)),N(CHOOSE(HF30,FN30,FR30,FV30,FZ30,GD30,GH30,GL30,GP30))+N(CHOOSE(HF30,FO30,FS30,FW30,GA30,GE30,GI30,GM30,GQ30))))),0))</f>
        <v/>
      </c>
      <c r="HH30">
        <f>MIN(N(HG30),MAX(0,N(HE30)))</f>
        <v/>
      </c>
      <c r="HI30">
        <f>MAX(0,N(HE30)-N(HH30))</f>
        <v/>
      </c>
      <c r="HJ30">
        <f>IFERROR(MATCH(5,OrderAval,0),"")</f>
        <v/>
      </c>
      <c r="HK30">
        <f>IF(HJ30="",0,IFERROR(IF(N(CHOOSE(HJ30,FN30,FR30,FV30,FZ30,GD30,GH30,GL30,GP30))&lt;=0.005,0,MAX(0,N(CHOOSE(HJ30,FN30,FR30,FV30,FZ30,GD30,GH30,GL30,GP30))+N(CHOOSE(HJ30,FO30,FS30,FW30,GA30,GE30,GI30,GM30,GQ30))-MIN(N(CHOOSE(HJ30,'Debt List'!$F$5,'Debt List'!$F$6,'Debt List'!$F$7,'Debt List'!$F$8,'Debt List'!$F$9,'Debt List'!$F$10,'Debt List'!$F$11,'Debt List'!$F$12)),N(CHOOSE(HJ30,FN30,FR30,FV30,FZ30,GD30,GH30,GL30,GP30))+N(CHOOSE(HJ30,FO30,FS30,FW30,GA30,GE30,GI30,GM30,GQ30))))),0))</f>
        <v/>
      </c>
      <c r="HL30">
        <f>MIN(N(HK30),MAX(0,N(HI30)))</f>
        <v/>
      </c>
      <c r="HM30">
        <f>MAX(0,N(HI30)-N(HL30))</f>
        <v/>
      </c>
      <c r="HN30">
        <f>IFERROR(MATCH(6,OrderAval,0),"")</f>
        <v/>
      </c>
      <c r="HO30">
        <f>IF(HN30="",0,IFERROR(IF(N(CHOOSE(HN30,FN30,FR30,FV30,FZ30,GD30,GH30,GL30,GP30))&lt;=0.005,0,MAX(0,N(CHOOSE(HN30,FN30,FR30,FV30,FZ30,GD30,GH30,GL30,GP30))+N(CHOOSE(HN30,FO30,FS30,FW30,GA30,GE30,GI30,GM30,GQ30))-MIN(N(CHOOSE(HN30,'Debt List'!$F$5,'Debt List'!$F$6,'Debt List'!$F$7,'Debt List'!$F$8,'Debt List'!$F$9,'Debt List'!$F$10,'Debt List'!$F$11,'Debt List'!$F$12)),N(CHOOSE(HN30,FN30,FR30,FV30,FZ30,GD30,GH30,GL30,GP30))+N(CHOOSE(HN30,FO30,FS30,FW30,GA30,GE30,GI30,GM30,GQ30))))),0))</f>
        <v/>
      </c>
      <c r="HP30">
        <f>MIN(N(HO30),MAX(0,N(HM30)))</f>
        <v/>
      </c>
      <c r="HQ30">
        <f>MAX(0,N(HM30)-N(HP30))</f>
        <v/>
      </c>
      <c r="HR30">
        <f>IFERROR(MATCH(7,OrderAval,0),"")</f>
        <v/>
      </c>
      <c r="HS30">
        <f>IF(HR30="",0,IFERROR(IF(N(CHOOSE(HR30,FN30,FR30,FV30,FZ30,GD30,GH30,GL30,GP30))&lt;=0.005,0,MAX(0,N(CHOOSE(HR30,FN30,FR30,FV30,FZ30,GD30,GH30,GL30,GP30))+N(CHOOSE(HR30,FO30,FS30,FW30,GA30,GE30,GI30,GM30,GQ30))-MIN(N(CHOOSE(HR30,'Debt List'!$F$5,'Debt List'!$F$6,'Debt List'!$F$7,'Debt List'!$F$8,'Debt List'!$F$9,'Debt List'!$F$10,'Debt List'!$F$11,'Debt List'!$F$12)),N(CHOOSE(HR30,FN30,FR30,FV30,FZ30,GD30,GH30,GL30,GP30))+N(CHOOSE(HR30,FO30,FS30,FW30,GA30,GE30,GI30,GM30,GQ30))))),0))</f>
        <v/>
      </c>
      <c r="HT30">
        <f>MIN(N(HS30),MAX(0,N(HQ30)))</f>
        <v/>
      </c>
      <c r="HU30">
        <f>MAX(0,N(HQ30)-N(HT30))</f>
        <v/>
      </c>
      <c r="HV30">
        <f>IFERROR(MATCH(8,OrderAval,0),"")</f>
        <v/>
      </c>
      <c r="HW30">
        <f>IF(HV30="",0,IFERROR(IF(N(CHOOSE(HV30,FN30,FR30,FV30,FZ30,GD30,GH30,GL30,GP30))&lt;=0.005,0,MAX(0,N(CHOOSE(HV30,FN30,FR30,FV30,FZ30,GD30,GH30,GL30,GP30))+N(CHOOSE(HV30,FO30,FS30,FW30,GA30,GE30,GI30,GM30,GQ30))-MIN(N(CHOOSE(HV30,'Debt List'!$F$5,'Debt List'!$F$6,'Debt List'!$F$7,'Debt List'!$F$8,'Debt List'!$F$9,'Debt List'!$F$10,'Debt List'!$F$11,'Debt List'!$F$12)),N(CHOOSE(HV30,FN30,FR30,FV30,FZ30,GD30,GH30,GL30,GP30))+N(CHOOSE(HV30,FO30,FS30,FW30,GA30,GE30,GI30,GM30,GQ30))))),0))</f>
        <v/>
      </c>
      <c r="HX30">
        <f>MIN(N(HW30),MAX(0,N(HU30)))</f>
        <v/>
      </c>
      <c r="HY30">
        <f>MAX(0,N(HU30)-N(HX30))</f>
        <v/>
      </c>
    </row>
    <row r="31">
      <c r="A31" t="n">
        <v>27</v>
      </c>
      <c r="B31" s="115">
        <f>DATE(YEAR(PlanStart),MONTH(PlanStart)+A31-1,1)</f>
        <v/>
      </c>
      <c r="C31">
        <f>IF(AND(AP31&lt;&gt;"",N(CHOOSE(AP31,J31,N31,R31,V31,Z31,AD31,AH31,AL31))&gt;0.005),INDEX(DebtNames,AP31),IF(AND(AT31&lt;&gt;"",N(CHOOSE(AT31,J31,N31,R31,V31,Z31,AD31,AH31,AL31))&gt;0.005),INDEX(DebtNames,AT31),IF(AND(AX31&lt;&gt;"",N(CHOOSE(AX31,J31,N31,R31,V31,Z31,AD31,AH31,AL31))&gt;0.005),INDEX(DebtNames,AX31),IF(AND(BB31&lt;&gt;"",N(CHOOSE(BB31,J31,N31,R31,V31,Z31,AD31,AH31,AL31))&gt;0.005),INDEX(DebtNames,BB31),IF(AND(BF31&lt;&gt;"",N(CHOOSE(BF31,J31,N31,R31,V31,Z31,AD31,AH31,AL31))&gt;0.005),INDEX(DebtNames,BF31),IF(AND(BJ31&lt;&gt;"",N(CHOOSE(BJ31,J31,N31,R31,V31,Z31,AD31,AH31,AL31))&gt;0.005),INDEX(DebtNames,BJ31),IF(AND(BN31&lt;&gt;"",N(CHOOSE(BN31,J31,N31,R31,V31,Z31,AD31,AH31,AL31))&gt;0.005),INDEX(DebtNames,BN31),IF(AND(BR31&lt;&gt;"",N(CHOOSE(BR31,J31,N31,R31,V31,Z31,AD31,AH31,AL31))&gt;0.005),INDEX(DebtNames,BR31),""))))))))</f>
        <v/>
      </c>
      <c r="D31">
        <f>N(BU31)</f>
        <v/>
      </c>
      <c r="E31">
        <f>N(L31)+N(P31)+N(T31)+N(X31)+N(AB31)+N(AF31)+N(AJ31)+N(AN31)</f>
        <v/>
      </c>
      <c r="F31">
        <f>N(K31)+N(O31)+N(S31)+N(W31)+N(AA31)+N(AE31)+N(AI31)+N(AM31)</f>
        <v/>
      </c>
      <c r="G31">
        <f>N(G30)+N(F31)</f>
        <v/>
      </c>
      <c r="H31">
        <f>N(M31)+N(Q31)+N(U31)+N(Y31)+N(AC31)+N(AG31)+N(AK31)+N(AO31)</f>
        <v/>
      </c>
      <c r="I31">
        <f>(M31&gt;0.005)*1+(Q31&gt;0.005)*1+(U31&gt;0.005)*1+(Y31&gt;0.005)*1+(AC31&gt;0.005)*1+(AG31&gt;0.005)*1+(AK31&gt;0.005)*1+(AO31&gt;0.005)*1</f>
        <v/>
      </c>
      <c r="J31">
        <f>N(M30)</f>
        <v/>
      </c>
      <c r="K31">
        <f>IF(N(J31)&lt;=0.005,0,ROUND(N(J31)*N('Debt List'!E5)/12,2))</f>
        <v/>
      </c>
      <c r="L31">
        <f>IF(N(J31)&lt;=0.005,0,MIN(N('Debt List'!F5),N(J31)+N(K31)))+((AP31=1)*AR31+(AT31=1)*AV31+(AX31=1)*AZ31+(BB31=1)*BD31+(BF31=1)*BH31+(BJ31=1)*BL31+(BN31=1)*BP31+(BR31=1)*BT31)</f>
        <v/>
      </c>
      <c r="M31">
        <f>MAX(0,ROUND(N(J31)+N(K31)-N(L31),2))</f>
        <v/>
      </c>
      <c r="N31">
        <f>N(Q30)</f>
        <v/>
      </c>
      <c r="O31">
        <f>IF(N(N31)&lt;=0.005,0,ROUND(N(N31)*N('Debt List'!E6)/12,2))</f>
        <v/>
      </c>
      <c r="P31">
        <f>IF(N(N31)&lt;=0.005,0,MIN(N('Debt List'!F6),N(N31)+N(O31)))+((AP31=2)*AR31+(AT31=2)*AV31+(AX31=2)*AZ31+(BB31=2)*BD31+(BF31=2)*BH31+(BJ31=2)*BL31+(BN31=2)*BP31+(BR31=2)*BT31)</f>
        <v/>
      </c>
      <c r="Q31">
        <f>MAX(0,ROUND(N(N31)+N(O31)-N(P31),2))</f>
        <v/>
      </c>
      <c r="R31">
        <f>N(U30)</f>
        <v/>
      </c>
      <c r="S31">
        <f>IF(N(R31)&lt;=0.005,0,ROUND(N(R31)*N('Debt List'!E7)/12,2))</f>
        <v/>
      </c>
      <c r="T31">
        <f>IF(N(R31)&lt;=0.005,0,MIN(N('Debt List'!F7),N(R31)+N(S31)))+((AP31=3)*AR31+(AT31=3)*AV31+(AX31=3)*AZ31+(BB31=3)*BD31+(BF31=3)*BH31+(BJ31=3)*BL31+(BN31=3)*BP31+(BR31=3)*BT31)</f>
        <v/>
      </c>
      <c r="U31">
        <f>MAX(0,ROUND(N(R31)+N(S31)-N(T31),2))</f>
        <v/>
      </c>
      <c r="V31">
        <f>N(Y30)</f>
        <v/>
      </c>
      <c r="W31">
        <f>IF(N(V31)&lt;=0.005,0,ROUND(N(V31)*N('Debt List'!E8)/12,2))</f>
        <v/>
      </c>
      <c r="X31">
        <f>IF(N(V31)&lt;=0.005,0,MIN(N('Debt List'!F8),N(V31)+N(W31)))+((AP31=4)*AR31+(AT31=4)*AV31+(AX31=4)*AZ31+(BB31=4)*BD31+(BF31=4)*BH31+(BJ31=4)*BL31+(BN31=4)*BP31+(BR31=4)*BT31)</f>
        <v/>
      </c>
      <c r="Y31">
        <f>MAX(0,ROUND(N(V31)+N(W31)-N(X31),2))</f>
        <v/>
      </c>
      <c r="Z31">
        <f>N(AC30)</f>
        <v/>
      </c>
      <c r="AA31">
        <f>IF(N(Z31)&lt;=0.005,0,ROUND(N(Z31)*N('Debt List'!E9)/12,2))</f>
        <v/>
      </c>
      <c r="AB31">
        <f>IF(N(Z31)&lt;=0.005,0,MIN(N('Debt List'!F9),N(Z31)+N(AA31)))+((AP31=5)*AR31+(AT31=5)*AV31+(AX31=5)*AZ31+(BB31=5)*BD31+(BF31=5)*BH31+(BJ31=5)*BL31+(BN31=5)*BP31+(BR31=5)*BT31)</f>
        <v/>
      </c>
      <c r="AC31">
        <f>MAX(0,ROUND(N(Z31)+N(AA31)-N(AB31),2))</f>
        <v/>
      </c>
      <c r="AD31">
        <f>N(AG30)</f>
        <v/>
      </c>
      <c r="AE31">
        <f>IF(N(AD31)&lt;=0.005,0,ROUND(N(AD31)*N('Debt List'!E10)/12,2))</f>
        <v/>
      </c>
      <c r="AF31">
        <f>IF(N(AD31)&lt;=0.005,0,MIN(N('Debt List'!F10),N(AD31)+N(AE31)))+((AP31=6)*AR31+(AT31=6)*AV31+(AX31=6)*AZ31+(BB31=6)*BD31+(BF31=6)*BH31+(BJ31=6)*BL31+(BN31=6)*BP31+(BR31=6)*BT31)</f>
        <v/>
      </c>
      <c r="AG31">
        <f>MAX(0,ROUND(N(AD31)+N(AE31)-N(AF31),2))</f>
        <v/>
      </c>
      <c r="AH31">
        <f>N(AK30)</f>
        <v/>
      </c>
      <c r="AI31">
        <f>IF(N(AH31)&lt;=0.005,0,ROUND(N(AH31)*N('Debt List'!E11)/12,2))</f>
        <v/>
      </c>
      <c r="AJ31">
        <f>IF(N(AH31)&lt;=0.005,0,MIN(N('Debt List'!F11),N(AH31)+N(AI31)))+((AP31=7)*AR31+(AT31=7)*AV31+(AX31=7)*AZ31+(BB31=7)*BD31+(BF31=7)*BH31+(BJ31=7)*BL31+(BN31=7)*BP31+(BR31=7)*BT31)</f>
        <v/>
      </c>
      <c r="AK31">
        <f>MAX(0,ROUND(N(AH31)+N(AI31)-N(AJ31),2))</f>
        <v/>
      </c>
      <c r="AL31">
        <f>N(AO30)</f>
        <v/>
      </c>
      <c r="AM31">
        <f>IF(N(AL31)&lt;=0.005,0,ROUND(N(AL31)*N('Debt List'!E12)/12,2))</f>
        <v/>
      </c>
      <c r="AN31">
        <f>IF(N(AL31)&lt;=0.005,0,MIN(N('Debt List'!F12),N(AL31)+N(AM31)))+((AP31=8)*AR31+(AT31=8)*AV31+(AX31=8)*AZ31+(BB31=8)*BD31+(BF31=8)*BH31+(BJ31=8)*BL31+(BN31=8)*BP31+(BR31=8)*BT31)</f>
        <v/>
      </c>
      <c r="AO31">
        <f>MAX(0,ROUND(N(AL31)+N(AM31)-N(AN31),2))</f>
        <v/>
      </c>
      <c r="AP31">
        <f>IFERROR(MATCH(1,OrderPlan,0),"")</f>
        <v/>
      </c>
      <c r="AQ31">
        <f>IF(AP31="",0,IFERROR(IF(N(CHOOSE(AP31,J31,N31,R31,V31,Z31,AD31,AH31,AL31))&lt;=0.005,0,MAX(0,N(CHOOSE(AP31,J31,N31,R31,V31,Z31,AD31,AH31,AL31))+N(CHOOSE(AP31,K31,O31,S31,W31,AA31,AE31,AI31,AM31))-MIN(N(CHOOSE(AP31,'Debt List'!$F$5,'Debt List'!$F$6,'Debt List'!$F$7,'Debt List'!$F$8,'Debt List'!$F$9,'Debt List'!$F$10,'Debt List'!$F$11,'Debt List'!$F$12)),N(CHOOSE(AP31,J31,N31,R31,V31,Z31,AD31,AH31,AL31))+N(CHOOSE(AP31,K31,O31,S31,W31,AA31,AE31,AI31,AM31))))),0))</f>
        <v/>
      </c>
      <c r="AR31">
        <f>MIN(N(AQ31),MAX(0,N(ExtraPayment)))</f>
        <v/>
      </c>
      <c r="AS31">
        <f>MAX(0,N(ExtraPayment)-N(AR31))</f>
        <v/>
      </c>
      <c r="AT31">
        <f>IFERROR(MATCH(2,OrderPlan,0),"")</f>
        <v/>
      </c>
      <c r="AU31">
        <f>IF(AT31="",0,IFERROR(IF(N(CHOOSE(AT31,J31,N31,R31,V31,Z31,AD31,AH31,AL31))&lt;=0.005,0,MAX(0,N(CHOOSE(AT31,J31,N31,R31,V31,Z31,AD31,AH31,AL31))+N(CHOOSE(AT31,K31,O31,S31,W31,AA31,AE31,AI31,AM31))-MIN(N(CHOOSE(AT31,'Debt List'!$F$5,'Debt List'!$F$6,'Debt List'!$F$7,'Debt List'!$F$8,'Debt List'!$F$9,'Debt List'!$F$10,'Debt List'!$F$11,'Debt List'!$F$12)),N(CHOOSE(AT31,J31,N31,R31,V31,Z31,AD31,AH31,AL31))+N(CHOOSE(AT31,K31,O31,S31,W31,AA31,AE31,AI31,AM31))))),0))</f>
        <v/>
      </c>
      <c r="AV31">
        <f>MIN(N(AU31),MAX(0,N(AS31)))</f>
        <v/>
      </c>
      <c r="AW31">
        <f>MAX(0,N(AS31)-N(AV31))</f>
        <v/>
      </c>
      <c r="AX31">
        <f>IFERROR(MATCH(3,OrderPlan,0),"")</f>
        <v/>
      </c>
      <c r="AY31">
        <f>IF(AX31="",0,IFERROR(IF(N(CHOOSE(AX31,J31,N31,R31,V31,Z31,AD31,AH31,AL31))&lt;=0.005,0,MAX(0,N(CHOOSE(AX31,J31,N31,R31,V31,Z31,AD31,AH31,AL31))+N(CHOOSE(AX31,K31,O31,S31,W31,AA31,AE31,AI31,AM31))-MIN(N(CHOOSE(AX31,'Debt List'!$F$5,'Debt List'!$F$6,'Debt List'!$F$7,'Debt List'!$F$8,'Debt List'!$F$9,'Debt List'!$F$10,'Debt List'!$F$11,'Debt List'!$F$12)),N(CHOOSE(AX31,J31,N31,R31,V31,Z31,AD31,AH31,AL31))+N(CHOOSE(AX31,K31,O31,S31,W31,AA31,AE31,AI31,AM31))))),0))</f>
        <v/>
      </c>
      <c r="AZ31">
        <f>MIN(N(AY31),MAX(0,N(AW31)))</f>
        <v/>
      </c>
      <c r="BA31">
        <f>MAX(0,N(AW31)-N(AZ31))</f>
        <v/>
      </c>
      <c r="BB31">
        <f>IFERROR(MATCH(4,OrderPlan,0),"")</f>
        <v/>
      </c>
      <c r="BC31">
        <f>IF(BB31="",0,IFERROR(IF(N(CHOOSE(BB31,J31,N31,R31,V31,Z31,AD31,AH31,AL31))&lt;=0.005,0,MAX(0,N(CHOOSE(BB31,J31,N31,R31,V31,Z31,AD31,AH31,AL31))+N(CHOOSE(BB31,K31,O31,S31,W31,AA31,AE31,AI31,AM31))-MIN(N(CHOOSE(BB31,'Debt List'!$F$5,'Debt List'!$F$6,'Debt List'!$F$7,'Debt List'!$F$8,'Debt List'!$F$9,'Debt List'!$F$10,'Debt List'!$F$11,'Debt List'!$F$12)),N(CHOOSE(BB31,J31,N31,R31,V31,Z31,AD31,AH31,AL31))+N(CHOOSE(BB31,K31,O31,S31,W31,AA31,AE31,AI31,AM31))))),0))</f>
        <v/>
      </c>
      <c r="BD31">
        <f>MIN(N(BC31),MAX(0,N(BA31)))</f>
        <v/>
      </c>
      <c r="BE31">
        <f>MAX(0,N(BA31)-N(BD31))</f>
        <v/>
      </c>
      <c r="BF31">
        <f>IFERROR(MATCH(5,OrderPlan,0),"")</f>
        <v/>
      </c>
      <c r="BG31">
        <f>IF(BF31="",0,IFERROR(IF(N(CHOOSE(BF31,J31,N31,R31,V31,Z31,AD31,AH31,AL31))&lt;=0.005,0,MAX(0,N(CHOOSE(BF31,J31,N31,R31,V31,Z31,AD31,AH31,AL31))+N(CHOOSE(BF31,K31,O31,S31,W31,AA31,AE31,AI31,AM31))-MIN(N(CHOOSE(BF31,'Debt List'!$F$5,'Debt List'!$F$6,'Debt List'!$F$7,'Debt List'!$F$8,'Debt List'!$F$9,'Debt List'!$F$10,'Debt List'!$F$11,'Debt List'!$F$12)),N(CHOOSE(BF31,J31,N31,R31,V31,Z31,AD31,AH31,AL31))+N(CHOOSE(BF31,K31,O31,S31,W31,AA31,AE31,AI31,AM31))))),0))</f>
        <v/>
      </c>
      <c r="BH31">
        <f>MIN(N(BG31),MAX(0,N(BE31)))</f>
        <v/>
      </c>
      <c r="BI31">
        <f>MAX(0,N(BE31)-N(BH31))</f>
        <v/>
      </c>
      <c r="BJ31">
        <f>IFERROR(MATCH(6,OrderPlan,0),"")</f>
        <v/>
      </c>
      <c r="BK31">
        <f>IF(BJ31="",0,IFERROR(IF(N(CHOOSE(BJ31,J31,N31,R31,V31,Z31,AD31,AH31,AL31))&lt;=0.005,0,MAX(0,N(CHOOSE(BJ31,J31,N31,R31,V31,Z31,AD31,AH31,AL31))+N(CHOOSE(BJ31,K31,O31,S31,W31,AA31,AE31,AI31,AM31))-MIN(N(CHOOSE(BJ31,'Debt List'!$F$5,'Debt List'!$F$6,'Debt List'!$F$7,'Debt List'!$F$8,'Debt List'!$F$9,'Debt List'!$F$10,'Debt List'!$F$11,'Debt List'!$F$12)),N(CHOOSE(BJ31,J31,N31,R31,V31,Z31,AD31,AH31,AL31))+N(CHOOSE(BJ31,K31,O31,S31,W31,AA31,AE31,AI31,AM31))))),0))</f>
        <v/>
      </c>
      <c r="BL31">
        <f>MIN(N(BK31),MAX(0,N(BI31)))</f>
        <v/>
      </c>
      <c r="BM31">
        <f>MAX(0,N(BI31)-N(BL31))</f>
        <v/>
      </c>
      <c r="BN31">
        <f>IFERROR(MATCH(7,OrderPlan,0),"")</f>
        <v/>
      </c>
      <c r="BO31">
        <f>IF(BN31="",0,IFERROR(IF(N(CHOOSE(BN31,J31,N31,R31,V31,Z31,AD31,AH31,AL31))&lt;=0.005,0,MAX(0,N(CHOOSE(BN31,J31,N31,R31,V31,Z31,AD31,AH31,AL31))+N(CHOOSE(BN31,K31,O31,S31,W31,AA31,AE31,AI31,AM31))-MIN(N(CHOOSE(BN31,'Debt List'!$F$5,'Debt List'!$F$6,'Debt List'!$F$7,'Debt List'!$F$8,'Debt List'!$F$9,'Debt List'!$F$10,'Debt List'!$F$11,'Debt List'!$F$12)),N(CHOOSE(BN31,J31,N31,R31,V31,Z31,AD31,AH31,AL31))+N(CHOOSE(BN31,K31,O31,S31,W31,AA31,AE31,AI31,AM31))))),0))</f>
        <v/>
      </c>
      <c r="BP31">
        <f>MIN(N(BO31),MAX(0,N(BM31)))</f>
        <v/>
      </c>
      <c r="BQ31">
        <f>MAX(0,N(BM31)-N(BP31))</f>
        <v/>
      </c>
      <c r="BR31">
        <f>IFERROR(MATCH(8,OrderPlan,0),"")</f>
        <v/>
      </c>
      <c r="BS31">
        <f>IF(BR31="",0,IFERROR(IF(N(CHOOSE(BR31,J31,N31,R31,V31,Z31,AD31,AH31,AL31))&lt;=0.005,0,MAX(0,N(CHOOSE(BR31,J31,N31,R31,V31,Z31,AD31,AH31,AL31))+N(CHOOSE(BR31,K31,O31,S31,W31,AA31,AE31,AI31,AM31))-MIN(N(CHOOSE(BR31,'Debt List'!$F$5,'Debt List'!$F$6,'Debt List'!$F$7,'Debt List'!$F$8,'Debt List'!$F$9,'Debt List'!$F$10,'Debt List'!$F$11,'Debt List'!$F$12)),N(CHOOSE(BR31,J31,N31,R31,V31,Z31,AD31,AH31,AL31))+N(CHOOSE(BR31,K31,O31,S31,W31,AA31,AE31,AI31,AM31))))),0))</f>
        <v/>
      </c>
      <c r="BT31">
        <f>MIN(N(BS31),MAX(0,N(BQ31)))</f>
        <v/>
      </c>
      <c r="BU31">
        <f>MAX(0,N(BQ31)-N(BT31))</f>
        <v/>
      </c>
      <c r="CC31" t="n">
        <v>27</v>
      </c>
      <c r="CD31" s="115">
        <f>DATE(YEAR(PlanStart),MONTH(PlanStart)+CC31-1,1)</f>
        <v/>
      </c>
      <c r="CE31">
        <f>IF(AND(DR31&lt;&gt;"",N(CHOOSE(DR31,CL31,CP31,CT31,CX31,DB31,DF31,DJ31,DN31))&gt;0.005),INDEX(DebtNames,DR31),IF(AND(DV31&lt;&gt;"",N(CHOOSE(DV31,CL31,CP31,CT31,CX31,DB31,DF31,DJ31,DN31))&gt;0.005),INDEX(DebtNames,DV31),IF(AND(DZ31&lt;&gt;"",N(CHOOSE(DZ31,CL31,CP31,CT31,CX31,DB31,DF31,DJ31,DN31))&gt;0.005),INDEX(DebtNames,DZ31),IF(AND(ED31&lt;&gt;"",N(CHOOSE(ED31,CL31,CP31,CT31,CX31,DB31,DF31,DJ31,DN31))&gt;0.005),INDEX(DebtNames,ED31),IF(AND(EH31&lt;&gt;"",N(CHOOSE(EH31,CL31,CP31,CT31,CX31,DB31,DF31,DJ31,DN31))&gt;0.005),INDEX(DebtNames,EH31),IF(AND(EL31&lt;&gt;"",N(CHOOSE(EL31,CL31,CP31,CT31,CX31,DB31,DF31,DJ31,DN31))&gt;0.005),INDEX(DebtNames,EL31),IF(AND(EP31&lt;&gt;"",N(CHOOSE(EP31,CL31,CP31,CT31,CX31,DB31,DF31,DJ31,DN31))&gt;0.005),INDEX(DebtNames,EP31),IF(AND(ET31&lt;&gt;"",N(CHOOSE(ET31,CL31,CP31,CT31,CX31,DB31,DF31,DJ31,DN31))&gt;0.005),INDEX(DebtNames,ET31),""))))))))</f>
        <v/>
      </c>
      <c r="CF31">
        <f>N(EW31)</f>
        <v/>
      </c>
      <c r="CG31">
        <f>N(CN31)+N(CR31)+N(CV31)+N(CZ31)+N(DD31)+N(DH31)+N(DL31)+N(DP31)</f>
        <v/>
      </c>
      <c r="CH31">
        <f>N(CM31)+N(CQ31)+N(CU31)+N(CY31)+N(DC31)+N(DG31)+N(DK31)+N(DO31)</f>
        <v/>
      </c>
      <c r="CI31">
        <f>N(CI30)+N(CH31)</f>
        <v/>
      </c>
      <c r="CJ31">
        <f>N(CO31)+N(CS31)+N(CW31)+N(DA31)+N(DE31)+N(DI31)+N(DM31)+N(DQ31)</f>
        <v/>
      </c>
      <c r="CK31">
        <f>(CO31&gt;0.005)*1+(CS31&gt;0.005)*1+(CW31&gt;0.005)*1+(DA31&gt;0.005)*1+(DE31&gt;0.005)*1+(DI31&gt;0.005)*1+(DM31&gt;0.005)*1+(DQ31&gt;0.005)*1</f>
        <v/>
      </c>
      <c r="CL31">
        <f>N(CO30)</f>
        <v/>
      </c>
      <c r="CM31">
        <f>IF(N(CL31)&lt;=0.005,0,ROUND(N(CL31)*N('Debt List'!E5)/12,2))</f>
        <v/>
      </c>
      <c r="CN31">
        <f>IF(N(CL31)&lt;=0.005,0,MIN(N('Debt List'!F5),N(CL31)+N(CM31)))+((DR31=1)*DT31+(DV31=1)*DX31+(DZ31=1)*EB31+(ED31=1)*EF31+(EH31=1)*EJ31+(EL31=1)*EN31+(EP31=1)*ER31+(ET31=1)*EV31)</f>
        <v/>
      </c>
      <c r="CO31">
        <f>MAX(0,ROUND(N(CL31)+N(CM31)-N(CN31),2))</f>
        <v/>
      </c>
      <c r="CP31">
        <f>N(CS30)</f>
        <v/>
      </c>
      <c r="CQ31">
        <f>IF(N(CP31)&lt;=0.005,0,ROUND(N(CP31)*N('Debt List'!E6)/12,2))</f>
        <v/>
      </c>
      <c r="CR31">
        <f>IF(N(CP31)&lt;=0.005,0,MIN(N('Debt List'!F6),N(CP31)+N(CQ31)))+((DR31=2)*DT31+(DV31=2)*DX31+(DZ31=2)*EB31+(ED31=2)*EF31+(EH31=2)*EJ31+(EL31=2)*EN31+(EP31=2)*ER31+(ET31=2)*EV31)</f>
        <v/>
      </c>
      <c r="CS31">
        <f>MAX(0,ROUND(N(CP31)+N(CQ31)-N(CR31),2))</f>
        <v/>
      </c>
      <c r="CT31">
        <f>N(CW30)</f>
        <v/>
      </c>
      <c r="CU31">
        <f>IF(N(CT31)&lt;=0.005,0,ROUND(N(CT31)*N('Debt List'!E7)/12,2))</f>
        <v/>
      </c>
      <c r="CV31">
        <f>IF(N(CT31)&lt;=0.005,0,MIN(N('Debt List'!F7),N(CT31)+N(CU31)))+((DR31=3)*DT31+(DV31=3)*DX31+(DZ31=3)*EB31+(ED31=3)*EF31+(EH31=3)*EJ31+(EL31=3)*EN31+(EP31=3)*ER31+(ET31=3)*EV31)</f>
        <v/>
      </c>
      <c r="CW31">
        <f>MAX(0,ROUND(N(CT31)+N(CU31)-N(CV31),2))</f>
        <v/>
      </c>
      <c r="CX31">
        <f>N(DA30)</f>
        <v/>
      </c>
      <c r="CY31">
        <f>IF(N(CX31)&lt;=0.005,0,ROUND(N(CX31)*N('Debt List'!E8)/12,2))</f>
        <v/>
      </c>
      <c r="CZ31">
        <f>IF(N(CX31)&lt;=0.005,0,MIN(N('Debt List'!F8),N(CX31)+N(CY31)))+((DR31=4)*DT31+(DV31=4)*DX31+(DZ31=4)*EB31+(ED31=4)*EF31+(EH31=4)*EJ31+(EL31=4)*EN31+(EP31=4)*ER31+(ET31=4)*EV31)</f>
        <v/>
      </c>
      <c r="DA31">
        <f>MAX(0,ROUND(N(CX31)+N(CY31)-N(CZ31),2))</f>
        <v/>
      </c>
      <c r="DB31">
        <f>N(DE30)</f>
        <v/>
      </c>
      <c r="DC31">
        <f>IF(N(DB31)&lt;=0.005,0,ROUND(N(DB31)*N('Debt List'!E9)/12,2))</f>
        <v/>
      </c>
      <c r="DD31">
        <f>IF(N(DB31)&lt;=0.005,0,MIN(N('Debt List'!F9),N(DB31)+N(DC31)))+((DR31=5)*DT31+(DV31=5)*DX31+(DZ31=5)*EB31+(ED31=5)*EF31+(EH31=5)*EJ31+(EL31=5)*EN31+(EP31=5)*ER31+(ET31=5)*EV31)</f>
        <v/>
      </c>
      <c r="DE31">
        <f>MAX(0,ROUND(N(DB31)+N(DC31)-N(DD31),2))</f>
        <v/>
      </c>
      <c r="DF31">
        <f>N(DI30)</f>
        <v/>
      </c>
      <c r="DG31">
        <f>IF(N(DF31)&lt;=0.005,0,ROUND(N(DF31)*N('Debt List'!E10)/12,2))</f>
        <v/>
      </c>
      <c r="DH31">
        <f>IF(N(DF31)&lt;=0.005,0,MIN(N('Debt List'!F10),N(DF31)+N(DG31)))+((DR31=6)*DT31+(DV31=6)*DX31+(DZ31=6)*EB31+(ED31=6)*EF31+(EH31=6)*EJ31+(EL31=6)*EN31+(EP31=6)*ER31+(ET31=6)*EV31)</f>
        <v/>
      </c>
      <c r="DI31">
        <f>MAX(0,ROUND(N(DF31)+N(DG31)-N(DH31),2))</f>
        <v/>
      </c>
      <c r="DJ31">
        <f>N(DM30)</f>
        <v/>
      </c>
      <c r="DK31">
        <f>IF(N(DJ31)&lt;=0.005,0,ROUND(N(DJ31)*N('Debt List'!E11)/12,2))</f>
        <v/>
      </c>
      <c r="DL31">
        <f>IF(N(DJ31)&lt;=0.005,0,MIN(N('Debt List'!F11),N(DJ31)+N(DK31)))+((DR31=7)*DT31+(DV31=7)*DX31+(DZ31=7)*EB31+(ED31=7)*EF31+(EH31=7)*EJ31+(EL31=7)*EN31+(EP31=7)*ER31+(ET31=7)*EV31)</f>
        <v/>
      </c>
      <c r="DM31">
        <f>MAX(0,ROUND(N(DJ31)+N(DK31)-N(DL31),2))</f>
        <v/>
      </c>
      <c r="DN31">
        <f>N(DQ30)</f>
        <v/>
      </c>
      <c r="DO31">
        <f>IF(N(DN31)&lt;=0.005,0,ROUND(N(DN31)*N('Debt List'!E12)/12,2))</f>
        <v/>
      </c>
      <c r="DP31">
        <f>IF(N(DN31)&lt;=0.005,0,MIN(N('Debt List'!F12),N(DN31)+N(DO31)))+((DR31=8)*DT31+(DV31=8)*DX31+(DZ31=8)*EB31+(ED31=8)*EF31+(EH31=8)*EJ31+(EL31=8)*EN31+(EP31=8)*ER31+(ET31=8)*EV31)</f>
        <v/>
      </c>
      <c r="DQ31">
        <f>MAX(0,ROUND(N(DN31)+N(DO31)-N(DP31),2))</f>
        <v/>
      </c>
      <c r="DR31">
        <f>IFERROR(MATCH(1,OrderSnow,0),"")</f>
        <v/>
      </c>
      <c r="DS31">
        <f>IF(DR31="",0,IFERROR(IF(N(CHOOSE(DR31,CL31,CP31,CT31,CX31,DB31,DF31,DJ31,DN31))&lt;=0.005,0,MAX(0,N(CHOOSE(DR31,CL31,CP31,CT31,CX31,DB31,DF31,DJ31,DN31))+N(CHOOSE(DR31,CM31,CQ31,CU31,CY31,DC31,DG31,DK31,DO31))-MIN(N(CHOOSE(DR31,'Debt List'!$F$5,'Debt List'!$F$6,'Debt List'!$F$7,'Debt List'!$F$8,'Debt List'!$F$9,'Debt List'!$F$10,'Debt List'!$F$11,'Debt List'!$F$12)),N(CHOOSE(DR31,CL31,CP31,CT31,CX31,DB31,DF31,DJ31,DN31))+N(CHOOSE(DR31,CM31,CQ31,CU31,CY31,DC31,DG31,DK31,DO31))))),0))</f>
        <v/>
      </c>
      <c r="DT31">
        <f>MIN(N(DS31),MAX(0,N(ExtraPayment)))</f>
        <v/>
      </c>
      <c r="DU31">
        <f>MAX(0,N(ExtraPayment)-N(DT31))</f>
        <v/>
      </c>
      <c r="DV31">
        <f>IFERROR(MATCH(2,OrderSnow,0),"")</f>
        <v/>
      </c>
      <c r="DW31">
        <f>IF(DV31="",0,IFERROR(IF(N(CHOOSE(DV31,CL31,CP31,CT31,CX31,DB31,DF31,DJ31,DN31))&lt;=0.005,0,MAX(0,N(CHOOSE(DV31,CL31,CP31,CT31,CX31,DB31,DF31,DJ31,DN31))+N(CHOOSE(DV31,CM31,CQ31,CU31,CY31,DC31,DG31,DK31,DO31))-MIN(N(CHOOSE(DV31,'Debt List'!$F$5,'Debt List'!$F$6,'Debt List'!$F$7,'Debt List'!$F$8,'Debt List'!$F$9,'Debt List'!$F$10,'Debt List'!$F$11,'Debt List'!$F$12)),N(CHOOSE(DV31,CL31,CP31,CT31,CX31,DB31,DF31,DJ31,DN31))+N(CHOOSE(DV31,CM31,CQ31,CU31,CY31,DC31,DG31,DK31,DO31))))),0))</f>
        <v/>
      </c>
      <c r="DX31">
        <f>MIN(N(DW31),MAX(0,N(DU31)))</f>
        <v/>
      </c>
      <c r="DY31">
        <f>MAX(0,N(DU31)-N(DX31))</f>
        <v/>
      </c>
      <c r="DZ31">
        <f>IFERROR(MATCH(3,OrderSnow,0),"")</f>
        <v/>
      </c>
      <c r="EA31">
        <f>IF(DZ31="",0,IFERROR(IF(N(CHOOSE(DZ31,CL31,CP31,CT31,CX31,DB31,DF31,DJ31,DN31))&lt;=0.005,0,MAX(0,N(CHOOSE(DZ31,CL31,CP31,CT31,CX31,DB31,DF31,DJ31,DN31))+N(CHOOSE(DZ31,CM31,CQ31,CU31,CY31,DC31,DG31,DK31,DO31))-MIN(N(CHOOSE(DZ31,'Debt List'!$F$5,'Debt List'!$F$6,'Debt List'!$F$7,'Debt List'!$F$8,'Debt List'!$F$9,'Debt List'!$F$10,'Debt List'!$F$11,'Debt List'!$F$12)),N(CHOOSE(DZ31,CL31,CP31,CT31,CX31,DB31,DF31,DJ31,DN31))+N(CHOOSE(DZ31,CM31,CQ31,CU31,CY31,DC31,DG31,DK31,DO31))))),0))</f>
        <v/>
      </c>
      <c r="EB31">
        <f>MIN(N(EA31),MAX(0,N(DY31)))</f>
        <v/>
      </c>
      <c r="EC31">
        <f>MAX(0,N(DY31)-N(EB31))</f>
        <v/>
      </c>
      <c r="ED31">
        <f>IFERROR(MATCH(4,OrderSnow,0),"")</f>
        <v/>
      </c>
      <c r="EE31">
        <f>IF(ED31="",0,IFERROR(IF(N(CHOOSE(ED31,CL31,CP31,CT31,CX31,DB31,DF31,DJ31,DN31))&lt;=0.005,0,MAX(0,N(CHOOSE(ED31,CL31,CP31,CT31,CX31,DB31,DF31,DJ31,DN31))+N(CHOOSE(ED31,CM31,CQ31,CU31,CY31,DC31,DG31,DK31,DO31))-MIN(N(CHOOSE(ED31,'Debt List'!$F$5,'Debt List'!$F$6,'Debt List'!$F$7,'Debt List'!$F$8,'Debt List'!$F$9,'Debt List'!$F$10,'Debt List'!$F$11,'Debt List'!$F$12)),N(CHOOSE(ED31,CL31,CP31,CT31,CX31,DB31,DF31,DJ31,DN31))+N(CHOOSE(ED31,CM31,CQ31,CU31,CY31,DC31,DG31,DK31,DO31))))),0))</f>
        <v/>
      </c>
      <c r="EF31">
        <f>MIN(N(EE31),MAX(0,N(EC31)))</f>
        <v/>
      </c>
      <c r="EG31">
        <f>MAX(0,N(EC31)-N(EF31))</f>
        <v/>
      </c>
      <c r="EH31">
        <f>IFERROR(MATCH(5,OrderSnow,0),"")</f>
        <v/>
      </c>
      <c r="EI31">
        <f>IF(EH31="",0,IFERROR(IF(N(CHOOSE(EH31,CL31,CP31,CT31,CX31,DB31,DF31,DJ31,DN31))&lt;=0.005,0,MAX(0,N(CHOOSE(EH31,CL31,CP31,CT31,CX31,DB31,DF31,DJ31,DN31))+N(CHOOSE(EH31,CM31,CQ31,CU31,CY31,DC31,DG31,DK31,DO31))-MIN(N(CHOOSE(EH31,'Debt List'!$F$5,'Debt List'!$F$6,'Debt List'!$F$7,'Debt List'!$F$8,'Debt List'!$F$9,'Debt List'!$F$10,'Debt List'!$F$11,'Debt List'!$F$12)),N(CHOOSE(EH31,CL31,CP31,CT31,CX31,DB31,DF31,DJ31,DN31))+N(CHOOSE(EH31,CM31,CQ31,CU31,CY31,DC31,DG31,DK31,DO31))))),0))</f>
        <v/>
      </c>
      <c r="EJ31">
        <f>MIN(N(EI31),MAX(0,N(EG31)))</f>
        <v/>
      </c>
      <c r="EK31">
        <f>MAX(0,N(EG31)-N(EJ31))</f>
        <v/>
      </c>
      <c r="EL31">
        <f>IFERROR(MATCH(6,OrderSnow,0),"")</f>
        <v/>
      </c>
      <c r="EM31">
        <f>IF(EL31="",0,IFERROR(IF(N(CHOOSE(EL31,CL31,CP31,CT31,CX31,DB31,DF31,DJ31,DN31))&lt;=0.005,0,MAX(0,N(CHOOSE(EL31,CL31,CP31,CT31,CX31,DB31,DF31,DJ31,DN31))+N(CHOOSE(EL31,CM31,CQ31,CU31,CY31,DC31,DG31,DK31,DO31))-MIN(N(CHOOSE(EL31,'Debt List'!$F$5,'Debt List'!$F$6,'Debt List'!$F$7,'Debt List'!$F$8,'Debt List'!$F$9,'Debt List'!$F$10,'Debt List'!$F$11,'Debt List'!$F$12)),N(CHOOSE(EL31,CL31,CP31,CT31,CX31,DB31,DF31,DJ31,DN31))+N(CHOOSE(EL31,CM31,CQ31,CU31,CY31,DC31,DG31,DK31,DO31))))),0))</f>
        <v/>
      </c>
      <c r="EN31">
        <f>MIN(N(EM31),MAX(0,N(EK31)))</f>
        <v/>
      </c>
      <c r="EO31">
        <f>MAX(0,N(EK31)-N(EN31))</f>
        <v/>
      </c>
      <c r="EP31">
        <f>IFERROR(MATCH(7,OrderSnow,0),"")</f>
        <v/>
      </c>
      <c r="EQ31">
        <f>IF(EP31="",0,IFERROR(IF(N(CHOOSE(EP31,CL31,CP31,CT31,CX31,DB31,DF31,DJ31,DN31))&lt;=0.005,0,MAX(0,N(CHOOSE(EP31,CL31,CP31,CT31,CX31,DB31,DF31,DJ31,DN31))+N(CHOOSE(EP31,CM31,CQ31,CU31,CY31,DC31,DG31,DK31,DO31))-MIN(N(CHOOSE(EP31,'Debt List'!$F$5,'Debt List'!$F$6,'Debt List'!$F$7,'Debt List'!$F$8,'Debt List'!$F$9,'Debt List'!$F$10,'Debt List'!$F$11,'Debt List'!$F$12)),N(CHOOSE(EP31,CL31,CP31,CT31,CX31,DB31,DF31,DJ31,DN31))+N(CHOOSE(EP31,CM31,CQ31,CU31,CY31,DC31,DG31,DK31,DO31))))),0))</f>
        <v/>
      </c>
      <c r="ER31">
        <f>MIN(N(EQ31),MAX(0,N(EO31)))</f>
        <v/>
      </c>
      <c r="ES31">
        <f>MAX(0,N(EO31)-N(ER31))</f>
        <v/>
      </c>
      <c r="ET31">
        <f>IFERROR(MATCH(8,OrderSnow,0),"")</f>
        <v/>
      </c>
      <c r="EU31">
        <f>IF(ET31="",0,IFERROR(IF(N(CHOOSE(ET31,CL31,CP31,CT31,CX31,DB31,DF31,DJ31,DN31))&lt;=0.005,0,MAX(0,N(CHOOSE(ET31,CL31,CP31,CT31,CX31,DB31,DF31,DJ31,DN31))+N(CHOOSE(ET31,CM31,CQ31,CU31,CY31,DC31,DG31,DK31,DO31))-MIN(N(CHOOSE(ET31,'Debt List'!$F$5,'Debt List'!$F$6,'Debt List'!$F$7,'Debt List'!$F$8,'Debt List'!$F$9,'Debt List'!$F$10,'Debt List'!$F$11,'Debt List'!$F$12)),N(CHOOSE(ET31,CL31,CP31,CT31,CX31,DB31,DF31,DJ31,DN31))+N(CHOOSE(ET31,CM31,CQ31,CU31,CY31,DC31,DG31,DK31,DO31))))),0))</f>
        <v/>
      </c>
      <c r="EV31">
        <f>MIN(N(EU31),MAX(0,N(ES31)))</f>
        <v/>
      </c>
      <c r="EW31">
        <f>MAX(0,N(ES31)-N(EV31))</f>
        <v/>
      </c>
      <c r="FE31" t="n">
        <v>27</v>
      </c>
      <c r="FF31" s="115">
        <f>DATE(YEAR(PlanStart),MONTH(PlanStart)+FE31-1,1)</f>
        <v/>
      </c>
      <c r="FG31">
        <f>IF(AND(GT31&lt;&gt;"",N(CHOOSE(GT31,FN31,FR31,FV31,FZ31,GD31,GH31,GL31,GP31))&gt;0.005),INDEX(DebtNames,GT31),IF(AND(GX31&lt;&gt;"",N(CHOOSE(GX31,FN31,FR31,FV31,FZ31,GD31,GH31,GL31,GP31))&gt;0.005),INDEX(DebtNames,GX31),IF(AND(HB31&lt;&gt;"",N(CHOOSE(HB31,FN31,FR31,FV31,FZ31,GD31,GH31,GL31,GP31))&gt;0.005),INDEX(DebtNames,HB31),IF(AND(HF31&lt;&gt;"",N(CHOOSE(HF31,FN31,FR31,FV31,FZ31,GD31,GH31,GL31,GP31))&gt;0.005),INDEX(DebtNames,HF31),IF(AND(HJ31&lt;&gt;"",N(CHOOSE(HJ31,FN31,FR31,FV31,FZ31,GD31,GH31,GL31,GP31))&gt;0.005),INDEX(DebtNames,HJ31),IF(AND(HN31&lt;&gt;"",N(CHOOSE(HN31,FN31,FR31,FV31,FZ31,GD31,GH31,GL31,GP31))&gt;0.005),INDEX(DebtNames,HN31),IF(AND(HR31&lt;&gt;"",N(CHOOSE(HR31,FN31,FR31,FV31,FZ31,GD31,GH31,GL31,GP31))&gt;0.005),INDEX(DebtNames,HR31),IF(AND(HV31&lt;&gt;"",N(CHOOSE(HV31,FN31,FR31,FV31,FZ31,GD31,GH31,GL31,GP31))&gt;0.005),INDEX(DebtNames,HV31),""))))))))</f>
        <v/>
      </c>
      <c r="FH31">
        <f>N(HY31)</f>
        <v/>
      </c>
      <c r="FI31">
        <f>N(FP31)+N(FT31)+N(FX31)+N(GB31)+N(GF31)+N(GJ31)+N(GN31)+N(GR31)</f>
        <v/>
      </c>
      <c r="FJ31">
        <f>N(FO31)+N(FS31)+N(FW31)+N(GA31)+N(GE31)+N(GI31)+N(GM31)+N(GQ31)</f>
        <v/>
      </c>
      <c r="FK31">
        <f>N(FK30)+N(FJ31)</f>
        <v/>
      </c>
      <c r="FL31">
        <f>N(FQ31)+N(FU31)+N(FY31)+N(GC31)+N(GG31)+N(GK31)+N(GO31)+N(GS31)</f>
        <v/>
      </c>
      <c r="FM31">
        <f>(FQ31&gt;0.005)*1+(FU31&gt;0.005)*1+(FY31&gt;0.005)*1+(GC31&gt;0.005)*1+(GG31&gt;0.005)*1+(GK31&gt;0.005)*1+(GO31&gt;0.005)*1+(GS31&gt;0.005)*1</f>
        <v/>
      </c>
      <c r="FN31">
        <f>N(FQ30)</f>
        <v/>
      </c>
      <c r="FO31">
        <f>IF(N(FN31)&lt;=0.005,0,ROUND(N(FN31)*N('Debt List'!E5)/12,2))</f>
        <v/>
      </c>
      <c r="FP31">
        <f>IF(N(FN31)&lt;=0.005,0,MIN(N('Debt List'!F5),N(FN31)+N(FO31)))+((GT31=1)*GV31+(GX31=1)*GZ31+(HB31=1)*HD31+(HF31=1)*HH31+(HJ31=1)*HL31+(HN31=1)*HP31+(HR31=1)*HT31+(HV31=1)*HX31)</f>
        <v/>
      </c>
      <c r="FQ31">
        <f>MAX(0,ROUND(N(FN31)+N(FO31)-N(FP31),2))</f>
        <v/>
      </c>
      <c r="FR31">
        <f>N(FU30)</f>
        <v/>
      </c>
      <c r="FS31">
        <f>IF(N(FR31)&lt;=0.005,0,ROUND(N(FR31)*N('Debt List'!E6)/12,2))</f>
        <v/>
      </c>
      <c r="FT31">
        <f>IF(N(FR31)&lt;=0.005,0,MIN(N('Debt List'!F6),N(FR31)+N(FS31)))+((GT31=2)*GV31+(GX31=2)*GZ31+(HB31=2)*HD31+(HF31=2)*HH31+(HJ31=2)*HL31+(HN31=2)*HP31+(HR31=2)*HT31+(HV31=2)*HX31)</f>
        <v/>
      </c>
      <c r="FU31">
        <f>MAX(0,ROUND(N(FR31)+N(FS31)-N(FT31),2))</f>
        <v/>
      </c>
      <c r="FV31">
        <f>N(FY30)</f>
        <v/>
      </c>
      <c r="FW31">
        <f>IF(N(FV31)&lt;=0.005,0,ROUND(N(FV31)*N('Debt List'!E7)/12,2))</f>
        <v/>
      </c>
      <c r="FX31">
        <f>IF(N(FV31)&lt;=0.005,0,MIN(N('Debt List'!F7),N(FV31)+N(FW31)))+((GT31=3)*GV31+(GX31=3)*GZ31+(HB31=3)*HD31+(HF31=3)*HH31+(HJ31=3)*HL31+(HN31=3)*HP31+(HR31=3)*HT31+(HV31=3)*HX31)</f>
        <v/>
      </c>
      <c r="FY31">
        <f>MAX(0,ROUND(N(FV31)+N(FW31)-N(FX31),2))</f>
        <v/>
      </c>
      <c r="FZ31">
        <f>N(GC30)</f>
        <v/>
      </c>
      <c r="GA31">
        <f>IF(N(FZ31)&lt;=0.005,0,ROUND(N(FZ31)*N('Debt List'!E8)/12,2))</f>
        <v/>
      </c>
      <c r="GB31">
        <f>IF(N(FZ31)&lt;=0.005,0,MIN(N('Debt List'!F8),N(FZ31)+N(GA31)))+((GT31=4)*GV31+(GX31=4)*GZ31+(HB31=4)*HD31+(HF31=4)*HH31+(HJ31=4)*HL31+(HN31=4)*HP31+(HR31=4)*HT31+(HV31=4)*HX31)</f>
        <v/>
      </c>
      <c r="GC31">
        <f>MAX(0,ROUND(N(FZ31)+N(GA31)-N(GB31),2))</f>
        <v/>
      </c>
      <c r="GD31">
        <f>N(GG30)</f>
        <v/>
      </c>
      <c r="GE31">
        <f>IF(N(GD31)&lt;=0.005,0,ROUND(N(GD31)*N('Debt List'!E9)/12,2))</f>
        <v/>
      </c>
      <c r="GF31">
        <f>IF(N(GD31)&lt;=0.005,0,MIN(N('Debt List'!F9),N(GD31)+N(GE31)))+((GT31=5)*GV31+(GX31=5)*GZ31+(HB31=5)*HD31+(HF31=5)*HH31+(HJ31=5)*HL31+(HN31=5)*HP31+(HR31=5)*HT31+(HV31=5)*HX31)</f>
        <v/>
      </c>
      <c r="GG31">
        <f>MAX(0,ROUND(N(GD31)+N(GE31)-N(GF31),2))</f>
        <v/>
      </c>
      <c r="GH31">
        <f>N(GK30)</f>
        <v/>
      </c>
      <c r="GI31">
        <f>IF(N(GH31)&lt;=0.005,0,ROUND(N(GH31)*N('Debt List'!E10)/12,2))</f>
        <v/>
      </c>
      <c r="GJ31">
        <f>IF(N(GH31)&lt;=0.005,0,MIN(N('Debt List'!F10),N(GH31)+N(GI31)))+((GT31=6)*GV31+(GX31=6)*GZ31+(HB31=6)*HD31+(HF31=6)*HH31+(HJ31=6)*HL31+(HN31=6)*HP31+(HR31=6)*HT31+(HV31=6)*HX31)</f>
        <v/>
      </c>
      <c r="GK31">
        <f>MAX(0,ROUND(N(GH31)+N(GI31)-N(GJ31),2))</f>
        <v/>
      </c>
      <c r="GL31">
        <f>N(GO30)</f>
        <v/>
      </c>
      <c r="GM31">
        <f>IF(N(GL31)&lt;=0.005,0,ROUND(N(GL31)*N('Debt List'!E11)/12,2))</f>
        <v/>
      </c>
      <c r="GN31">
        <f>IF(N(GL31)&lt;=0.005,0,MIN(N('Debt List'!F11),N(GL31)+N(GM31)))+((GT31=7)*GV31+(GX31=7)*GZ31+(HB31=7)*HD31+(HF31=7)*HH31+(HJ31=7)*HL31+(HN31=7)*HP31+(HR31=7)*HT31+(HV31=7)*HX31)</f>
        <v/>
      </c>
      <c r="GO31">
        <f>MAX(0,ROUND(N(GL31)+N(GM31)-N(GN31),2))</f>
        <v/>
      </c>
      <c r="GP31">
        <f>N(GS30)</f>
        <v/>
      </c>
      <c r="GQ31">
        <f>IF(N(GP31)&lt;=0.005,0,ROUND(N(GP31)*N('Debt List'!E12)/12,2))</f>
        <v/>
      </c>
      <c r="GR31">
        <f>IF(N(GP31)&lt;=0.005,0,MIN(N('Debt List'!F12),N(GP31)+N(GQ31)))+((GT31=8)*GV31+(GX31=8)*GZ31+(HB31=8)*HD31+(HF31=8)*HH31+(HJ31=8)*HL31+(HN31=8)*HP31+(HR31=8)*HT31+(HV31=8)*HX31)</f>
        <v/>
      </c>
      <c r="GS31">
        <f>MAX(0,ROUND(N(GP31)+N(GQ31)-N(GR31),2))</f>
        <v/>
      </c>
      <c r="GT31">
        <f>IFERROR(MATCH(1,OrderAval,0),"")</f>
        <v/>
      </c>
      <c r="GU31">
        <f>IF(GT31="",0,IFERROR(IF(N(CHOOSE(GT31,FN31,FR31,FV31,FZ31,GD31,GH31,GL31,GP31))&lt;=0.005,0,MAX(0,N(CHOOSE(GT31,FN31,FR31,FV31,FZ31,GD31,GH31,GL31,GP31))+N(CHOOSE(GT31,FO31,FS31,FW31,GA31,GE31,GI31,GM31,GQ31))-MIN(N(CHOOSE(GT31,'Debt List'!$F$5,'Debt List'!$F$6,'Debt List'!$F$7,'Debt List'!$F$8,'Debt List'!$F$9,'Debt List'!$F$10,'Debt List'!$F$11,'Debt List'!$F$12)),N(CHOOSE(GT31,FN31,FR31,FV31,FZ31,GD31,GH31,GL31,GP31))+N(CHOOSE(GT31,FO31,FS31,FW31,GA31,GE31,GI31,GM31,GQ31))))),0))</f>
        <v/>
      </c>
      <c r="GV31">
        <f>MIN(N(GU31),MAX(0,N(ExtraPayment)))</f>
        <v/>
      </c>
      <c r="GW31">
        <f>MAX(0,N(ExtraPayment)-N(GV31))</f>
        <v/>
      </c>
      <c r="GX31">
        <f>IFERROR(MATCH(2,OrderAval,0),"")</f>
        <v/>
      </c>
      <c r="GY31">
        <f>IF(GX31="",0,IFERROR(IF(N(CHOOSE(GX31,FN31,FR31,FV31,FZ31,GD31,GH31,GL31,GP31))&lt;=0.005,0,MAX(0,N(CHOOSE(GX31,FN31,FR31,FV31,FZ31,GD31,GH31,GL31,GP31))+N(CHOOSE(GX31,FO31,FS31,FW31,GA31,GE31,GI31,GM31,GQ31))-MIN(N(CHOOSE(GX31,'Debt List'!$F$5,'Debt List'!$F$6,'Debt List'!$F$7,'Debt List'!$F$8,'Debt List'!$F$9,'Debt List'!$F$10,'Debt List'!$F$11,'Debt List'!$F$12)),N(CHOOSE(GX31,FN31,FR31,FV31,FZ31,GD31,GH31,GL31,GP31))+N(CHOOSE(GX31,FO31,FS31,FW31,GA31,GE31,GI31,GM31,GQ31))))),0))</f>
        <v/>
      </c>
      <c r="GZ31">
        <f>MIN(N(GY31),MAX(0,N(GW31)))</f>
        <v/>
      </c>
      <c r="HA31">
        <f>MAX(0,N(GW31)-N(GZ31))</f>
        <v/>
      </c>
      <c r="HB31">
        <f>IFERROR(MATCH(3,OrderAval,0),"")</f>
        <v/>
      </c>
      <c r="HC31">
        <f>IF(HB31="",0,IFERROR(IF(N(CHOOSE(HB31,FN31,FR31,FV31,FZ31,GD31,GH31,GL31,GP31))&lt;=0.005,0,MAX(0,N(CHOOSE(HB31,FN31,FR31,FV31,FZ31,GD31,GH31,GL31,GP31))+N(CHOOSE(HB31,FO31,FS31,FW31,GA31,GE31,GI31,GM31,GQ31))-MIN(N(CHOOSE(HB31,'Debt List'!$F$5,'Debt List'!$F$6,'Debt List'!$F$7,'Debt List'!$F$8,'Debt List'!$F$9,'Debt List'!$F$10,'Debt List'!$F$11,'Debt List'!$F$12)),N(CHOOSE(HB31,FN31,FR31,FV31,FZ31,GD31,GH31,GL31,GP31))+N(CHOOSE(HB31,FO31,FS31,FW31,GA31,GE31,GI31,GM31,GQ31))))),0))</f>
        <v/>
      </c>
      <c r="HD31">
        <f>MIN(N(HC31),MAX(0,N(HA31)))</f>
        <v/>
      </c>
      <c r="HE31">
        <f>MAX(0,N(HA31)-N(HD31))</f>
        <v/>
      </c>
      <c r="HF31">
        <f>IFERROR(MATCH(4,OrderAval,0),"")</f>
        <v/>
      </c>
      <c r="HG31">
        <f>IF(HF31="",0,IFERROR(IF(N(CHOOSE(HF31,FN31,FR31,FV31,FZ31,GD31,GH31,GL31,GP31))&lt;=0.005,0,MAX(0,N(CHOOSE(HF31,FN31,FR31,FV31,FZ31,GD31,GH31,GL31,GP31))+N(CHOOSE(HF31,FO31,FS31,FW31,GA31,GE31,GI31,GM31,GQ31))-MIN(N(CHOOSE(HF31,'Debt List'!$F$5,'Debt List'!$F$6,'Debt List'!$F$7,'Debt List'!$F$8,'Debt List'!$F$9,'Debt List'!$F$10,'Debt List'!$F$11,'Debt List'!$F$12)),N(CHOOSE(HF31,FN31,FR31,FV31,FZ31,GD31,GH31,GL31,GP31))+N(CHOOSE(HF31,FO31,FS31,FW31,GA31,GE31,GI31,GM31,GQ31))))),0))</f>
        <v/>
      </c>
      <c r="HH31">
        <f>MIN(N(HG31),MAX(0,N(HE31)))</f>
        <v/>
      </c>
      <c r="HI31">
        <f>MAX(0,N(HE31)-N(HH31))</f>
        <v/>
      </c>
      <c r="HJ31">
        <f>IFERROR(MATCH(5,OrderAval,0),"")</f>
        <v/>
      </c>
      <c r="HK31">
        <f>IF(HJ31="",0,IFERROR(IF(N(CHOOSE(HJ31,FN31,FR31,FV31,FZ31,GD31,GH31,GL31,GP31))&lt;=0.005,0,MAX(0,N(CHOOSE(HJ31,FN31,FR31,FV31,FZ31,GD31,GH31,GL31,GP31))+N(CHOOSE(HJ31,FO31,FS31,FW31,GA31,GE31,GI31,GM31,GQ31))-MIN(N(CHOOSE(HJ31,'Debt List'!$F$5,'Debt List'!$F$6,'Debt List'!$F$7,'Debt List'!$F$8,'Debt List'!$F$9,'Debt List'!$F$10,'Debt List'!$F$11,'Debt List'!$F$12)),N(CHOOSE(HJ31,FN31,FR31,FV31,FZ31,GD31,GH31,GL31,GP31))+N(CHOOSE(HJ31,FO31,FS31,FW31,GA31,GE31,GI31,GM31,GQ31))))),0))</f>
        <v/>
      </c>
      <c r="HL31">
        <f>MIN(N(HK31),MAX(0,N(HI31)))</f>
        <v/>
      </c>
      <c r="HM31">
        <f>MAX(0,N(HI31)-N(HL31))</f>
        <v/>
      </c>
      <c r="HN31">
        <f>IFERROR(MATCH(6,OrderAval,0),"")</f>
        <v/>
      </c>
      <c r="HO31">
        <f>IF(HN31="",0,IFERROR(IF(N(CHOOSE(HN31,FN31,FR31,FV31,FZ31,GD31,GH31,GL31,GP31))&lt;=0.005,0,MAX(0,N(CHOOSE(HN31,FN31,FR31,FV31,FZ31,GD31,GH31,GL31,GP31))+N(CHOOSE(HN31,FO31,FS31,FW31,GA31,GE31,GI31,GM31,GQ31))-MIN(N(CHOOSE(HN31,'Debt List'!$F$5,'Debt List'!$F$6,'Debt List'!$F$7,'Debt List'!$F$8,'Debt List'!$F$9,'Debt List'!$F$10,'Debt List'!$F$11,'Debt List'!$F$12)),N(CHOOSE(HN31,FN31,FR31,FV31,FZ31,GD31,GH31,GL31,GP31))+N(CHOOSE(HN31,FO31,FS31,FW31,GA31,GE31,GI31,GM31,GQ31))))),0))</f>
        <v/>
      </c>
      <c r="HP31">
        <f>MIN(N(HO31),MAX(0,N(HM31)))</f>
        <v/>
      </c>
      <c r="HQ31">
        <f>MAX(0,N(HM31)-N(HP31))</f>
        <v/>
      </c>
      <c r="HR31">
        <f>IFERROR(MATCH(7,OrderAval,0),"")</f>
        <v/>
      </c>
      <c r="HS31">
        <f>IF(HR31="",0,IFERROR(IF(N(CHOOSE(HR31,FN31,FR31,FV31,FZ31,GD31,GH31,GL31,GP31))&lt;=0.005,0,MAX(0,N(CHOOSE(HR31,FN31,FR31,FV31,FZ31,GD31,GH31,GL31,GP31))+N(CHOOSE(HR31,FO31,FS31,FW31,GA31,GE31,GI31,GM31,GQ31))-MIN(N(CHOOSE(HR31,'Debt List'!$F$5,'Debt List'!$F$6,'Debt List'!$F$7,'Debt List'!$F$8,'Debt List'!$F$9,'Debt List'!$F$10,'Debt List'!$F$11,'Debt List'!$F$12)),N(CHOOSE(HR31,FN31,FR31,FV31,FZ31,GD31,GH31,GL31,GP31))+N(CHOOSE(HR31,FO31,FS31,FW31,GA31,GE31,GI31,GM31,GQ31))))),0))</f>
        <v/>
      </c>
      <c r="HT31">
        <f>MIN(N(HS31),MAX(0,N(HQ31)))</f>
        <v/>
      </c>
      <c r="HU31">
        <f>MAX(0,N(HQ31)-N(HT31))</f>
        <v/>
      </c>
      <c r="HV31">
        <f>IFERROR(MATCH(8,OrderAval,0),"")</f>
        <v/>
      </c>
      <c r="HW31">
        <f>IF(HV31="",0,IFERROR(IF(N(CHOOSE(HV31,FN31,FR31,FV31,FZ31,GD31,GH31,GL31,GP31))&lt;=0.005,0,MAX(0,N(CHOOSE(HV31,FN31,FR31,FV31,FZ31,GD31,GH31,GL31,GP31))+N(CHOOSE(HV31,FO31,FS31,FW31,GA31,GE31,GI31,GM31,GQ31))-MIN(N(CHOOSE(HV31,'Debt List'!$F$5,'Debt List'!$F$6,'Debt List'!$F$7,'Debt List'!$F$8,'Debt List'!$F$9,'Debt List'!$F$10,'Debt List'!$F$11,'Debt List'!$F$12)),N(CHOOSE(HV31,FN31,FR31,FV31,FZ31,GD31,GH31,GL31,GP31))+N(CHOOSE(HV31,FO31,FS31,FW31,GA31,GE31,GI31,GM31,GQ31))))),0))</f>
        <v/>
      </c>
      <c r="HX31">
        <f>MIN(N(HW31),MAX(0,N(HU31)))</f>
        <v/>
      </c>
      <c r="HY31">
        <f>MAX(0,N(HU31)-N(HX31))</f>
        <v/>
      </c>
    </row>
    <row r="32">
      <c r="A32" t="n">
        <v>28</v>
      </c>
      <c r="B32" s="115">
        <f>DATE(YEAR(PlanStart),MONTH(PlanStart)+A32-1,1)</f>
        <v/>
      </c>
      <c r="C32">
        <f>IF(AND(AP32&lt;&gt;"",N(CHOOSE(AP32,J32,N32,R32,V32,Z32,AD32,AH32,AL32))&gt;0.005),INDEX(DebtNames,AP32),IF(AND(AT32&lt;&gt;"",N(CHOOSE(AT32,J32,N32,R32,V32,Z32,AD32,AH32,AL32))&gt;0.005),INDEX(DebtNames,AT32),IF(AND(AX32&lt;&gt;"",N(CHOOSE(AX32,J32,N32,R32,V32,Z32,AD32,AH32,AL32))&gt;0.005),INDEX(DebtNames,AX32),IF(AND(BB32&lt;&gt;"",N(CHOOSE(BB32,J32,N32,R32,V32,Z32,AD32,AH32,AL32))&gt;0.005),INDEX(DebtNames,BB32),IF(AND(BF32&lt;&gt;"",N(CHOOSE(BF32,J32,N32,R32,V32,Z32,AD32,AH32,AL32))&gt;0.005),INDEX(DebtNames,BF32),IF(AND(BJ32&lt;&gt;"",N(CHOOSE(BJ32,J32,N32,R32,V32,Z32,AD32,AH32,AL32))&gt;0.005),INDEX(DebtNames,BJ32),IF(AND(BN32&lt;&gt;"",N(CHOOSE(BN32,J32,N32,R32,V32,Z32,AD32,AH32,AL32))&gt;0.005),INDEX(DebtNames,BN32),IF(AND(BR32&lt;&gt;"",N(CHOOSE(BR32,J32,N32,R32,V32,Z32,AD32,AH32,AL32))&gt;0.005),INDEX(DebtNames,BR32),""))))))))</f>
        <v/>
      </c>
      <c r="D32">
        <f>N(BU32)</f>
        <v/>
      </c>
      <c r="E32">
        <f>N(L32)+N(P32)+N(T32)+N(X32)+N(AB32)+N(AF32)+N(AJ32)+N(AN32)</f>
        <v/>
      </c>
      <c r="F32">
        <f>N(K32)+N(O32)+N(S32)+N(W32)+N(AA32)+N(AE32)+N(AI32)+N(AM32)</f>
        <v/>
      </c>
      <c r="G32">
        <f>N(G31)+N(F32)</f>
        <v/>
      </c>
      <c r="H32">
        <f>N(M32)+N(Q32)+N(U32)+N(Y32)+N(AC32)+N(AG32)+N(AK32)+N(AO32)</f>
        <v/>
      </c>
      <c r="I32">
        <f>(M32&gt;0.005)*1+(Q32&gt;0.005)*1+(U32&gt;0.005)*1+(Y32&gt;0.005)*1+(AC32&gt;0.005)*1+(AG32&gt;0.005)*1+(AK32&gt;0.005)*1+(AO32&gt;0.005)*1</f>
        <v/>
      </c>
      <c r="J32">
        <f>N(M31)</f>
        <v/>
      </c>
      <c r="K32">
        <f>IF(N(J32)&lt;=0.005,0,ROUND(N(J32)*N('Debt List'!E5)/12,2))</f>
        <v/>
      </c>
      <c r="L32">
        <f>IF(N(J32)&lt;=0.005,0,MIN(N('Debt List'!F5),N(J32)+N(K32)))+((AP32=1)*AR32+(AT32=1)*AV32+(AX32=1)*AZ32+(BB32=1)*BD32+(BF32=1)*BH32+(BJ32=1)*BL32+(BN32=1)*BP32+(BR32=1)*BT32)</f>
        <v/>
      </c>
      <c r="M32">
        <f>MAX(0,ROUND(N(J32)+N(K32)-N(L32),2))</f>
        <v/>
      </c>
      <c r="N32">
        <f>N(Q31)</f>
        <v/>
      </c>
      <c r="O32">
        <f>IF(N(N32)&lt;=0.005,0,ROUND(N(N32)*N('Debt List'!E6)/12,2))</f>
        <v/>
      </c>
      <c r="P32">
        <f>IF(N(N32)&lt;=0.005,0,MIN(N('Debt List'!F6),N(N32)+N(O32)))+((AP32=2)*AR32+(AT32=2)*AV32+(AX32=2)*AZ32+(BB32=2)*BD32+(BF32=2)*BH32+(BJ32=2)*BL32+(BN32=2)*BP32+(BR32=2)*BT32)</f>
        <v/>
      </c>
      <c r="Q32">
        <f>MAX(0,ROUND(N(N32)+N(O32)-N(P32),2))</f>
        <v/>
      </c>
      <c r="R32">
        <f>N(U31)</f>
        <v/>
      </c>
      <c r="S32">
        <f>IF(N(R32)&lt;=0.005,0,ROUND(N(R32)*N('Debt List'!E7)/12,2))</f>
        <v/>
      </c>
      <c r="T32">
        <f>IF(N(R32)&lt;=0.005,0,MIN(N('Debt List'!F7),N(R32)+N(S32)))+((AP32=3)*AR32+(AT32=3)*AV32+(AX32=3)*AZ32+(BB32=3)*BD32+(BF32=3)*BH32+(BJ32=3)*BL32+(BN32=3)*BP32+(BR32=3)*BT32)</f>
        <v/>
      </c>
      <c r="U32">
        <f>MAX(0,ROUND(N(R32)+N(S32)-N(T32),2))</f>
        <v/>
      </c>
      <c r="V32">
        <f>N(Y31)</f>
        <v/>
      </c>
      <c r="W32">
        <f>IF(N(V32)&lt;=0.005,0,ROUND(N(V32)*N('Debt List'!E8)/12,2))</f>
        <v/>
      </c>
      <c r="X32">
        <f>IF(N(V32)&lt;=0.005,0,MIN(N('Debt List'!F8),N(V32)+N(W32)))+((AP32=4)*AR32+(AT32=4)*AV32+(AX32=4)*AZ32+(BB32=4)*BD32+(BF32=4)*BH32+(BJ32=4)*BL32+(BN32=4)*BP32+(BR32=4)*BT32)</f>
        <v/>
      </c>
      <c r="Y32">
        <f>MAX(0,ROUND(N(V32)+N(W32)-N(X32),2))</f>
        <v/>
      </c>
      <c r="Z32">
        <f>N(AC31)</f>
        <v/>
      </c>
      <c r="AA32">
        <f>IF(N(Z32)&lt;=0.005,0,ROUND(N(Z32)*N('Debt List'!E9)/12,2))</f>
        <v/>
      </c>
      <c r="AB32">
        <f>IF(N(Z32)&lt;=0.005,0,MIN(N('Debt List'!F9),N(Z32)+N(AA32)))+((AP32=5)*AR32+(AT32=5)*AV32+(AX32=5)*AZ32+(BB32=5)*BD32+(BF32=5)*BH32+(BJ32=5)*BL32+(BN32=5)*BP32+(BR32=5)*BT32)</f>
        <v/>
      </c>
      <c r="AC32">
        <f>MAX(0,ROUND(N(Z32)+N(AA32)-N(AB32),2))</f>
        <v/>
      </c>
      <c r="AD32">
        <f>N(AG31)</f>
        <v/>
      </c>
      <c r="AE32">
        <f>IF(N(AD32)&lt;=0.005,0,ROUND(N(AD32)*N('Debt List'!E10)/12,2))</f>
        <v/>
      </c>
      <c r="AF32">
        <f>IF(N(AD32)&lt;=0.005,0,MIN(N('Debt List'!F10),N(AD32)+N(AE32)))+((AP32=6)*AR32+(AT32=6)*AV32+(AX32=6)*AZ32+(BB32=6)*BD32+(BF32=6)*BH32+(BJ32=6)*BL32+(BN32=6)*BP32+(BR32=6)*BT32)</f>
        <v/>
      </c>
      <c r="AG32">
        <f>MAX(0,ROUND(N(AD32)+N(AE32)-N(AF32),2))</f>
        <v/>
      </c>
      <c r="AH32">
        <f>N(AK31)</f>
        <v/>
      </c>
      <c r="AI32">
        <f>IF(N(AH32)&lt;=0.005,0,ROUND(N(AH32)*N('Debt List'!E11)/12,2))</f>
        <v/>
      </c>
      <c r="AJ32">
        <f>IF(N(AH32)&lt;=0.005,0,MIN(N('Debt List'!F11),N(AH32)+N(AI32)))+((AP32=7)*AR32+(AT32=7)*AV32+(AX32=7)*AZ32+(BB32=7)*BD32+(BF32=7)*BH32+(BJ32=7)*BL32+(BN32=7)*BP32+(BR32=7)*BT32)</f>
        <v/>
      </c>
      <c r="AK32">
        <f>MAX(0,ROUND(N(AH32)+N(AI32)-N(AJ32),2))</f>
        <v/>
      </c>
      <c r="AL32">
        <f>N(AO31)</f>
        <v/>
      </c>
      <c r="AM32">
        <f>IF(N(AL32)&lt;=0.005,0,ROUND(N(AL32)*N('Debt List'!E12)/12,2))</f>
        <v/>
      </c>
      <c r="AN32">
        <f>IF(N(AL32)&lt;=0.005,0,MIN(N('Debt List'!F12),N(AL32)+N(AM32)))+((AP32=8)*AR32+(AT32=8)*AV32+(AX32=8)*AZ32+(BB32=8)*BD32+(BF32=8)*BH32+(BJ32=8)*BL32+(BN32=8)*BP32+(BR32=8)*BT32)</f>
        <v/>
      </c>
      <c r="AO32">
        <f>MAX(0,ROUND(N(AL32)+N(AM32)-N(AN32),2))</f>
        <v/>
      </c>
      <c r="AP32">
        <f>IFERROR(MATCH(1,OrderPlan,0),"")</f>
        <v/>
      </c>
      <c r="AQ32">
        <f>IF(AP32="",0,IFERROR(IF(N(CHOOSE(AP32,J32,N32,R32,V32,Z32,AD32,AH32,AL32))&lt;=0.005,0,MAX(0,N(CHOOSE(AP32,J32,N32,R32,V32,Z32,AD32,AH32,AL32))+N(CHOOSE(AP32,K32,O32,S32,W32,AA32,AE32,AI32,AM32))-MIN(N(CHOOSE(AP32,'Debt List'!$F$5,'Debt List'!$F$6,'Debt List'!$F$7,'Debt List'!$F$8,'Debt List'!$F$9,'Debt List'!$F$10,'Debt List'!$F$11,'Debt List'!$F$12)),N(CHOOSE(AP32,J32,N32,R32,V32,Z32,AD32,AH32,AL32))+N(CHOOSE(AP32,K32,O32,S32,W32,AA32,AE32,AI32,AM32))))),0))</f>
        <v/>
      </c>
      <c r="AR32">
        <f>MIN(N(AQ32),MAX(0,N(ExtraPayment)))</f>
        <v/>
      </c>
      <c r="AS32">
        <f>MAX(0,N(ExtraPayment)-N(AR32))</f>
        <v/>
      </c>
      <c r="AT32">
        <f>IFERROR(MATCH(2,OrderPlan,0),"")</f>
        <v/>
      </c>
      <c r="AU32">
        <f>IF(AT32="",0,IFERROR(IF(N(CHOOSE(AT32,J32,N32,R32,V32,Z32,AD32,AH32,AL32))&lt;=0.005,0,MAX(0,N(CHOOSE(AT32,J32,N32,R32,V32,Z32,AD32,AH32,AL32))+N(CHOOSE(AT32,K32,O32,S32,W32,AA32,AE32,AI32,AM32))-MIN(N(CHOOSE(AT32,'Debt List'!$F$5,'Debt List'!$F$6,'Debt List'!$F$7,'Debt List'!$F$8,'Debt List'!$F$9,'Debt List'!$F$10,'Debt List'!$F$11,'Debt List'!$F$12)),N(CHOOSE(AT32,J32,N32,R32,V32,Z32,AD32,AH32,AL32))+N(CHOOSE(AT32,K32,O32,S32,W32,AA32,AE32,AI32,AM32))))),0))</f>
        <v/>
      </c>
      <c r="AV32">
        <f>MIN(N(AU32),MAX(0,N(AS32)))</f>
        <v/>
      </c>
      <c r="AW32">
        <f>MAX(0,N(AS32)-N(AV32))</f>
        <v/>
      </c>
      <c r="AX32">
        <f>IFERROR(MATCH(3,OrderPlan,0),"")</f>
        <v/>
      </c>
      <c r="AY32">
        <f>IF(AX32="",0,IFERROR(IF(N(CHOOSE(AX32,J32,N32,R32,V32,Z32,AD32,AH32,AL32))&lt;=0.005,0,MAX(0,N(CHOOSE(AX32,J32,N32,R32,V32,Z32,AD32,AH32,AL32))+N(CHOOSE(AX32,K32,O32,S32,W32,AA32,AE32,AI32,AM32))-MIN(N(CHOOSE(AX32,'Debt List'!$F$5,'Debt List'!$F$6,'Debt List'!$F$7,'Debt List'!$F$8,'Debt List'!$F$9,'Debt List'!$F$10,'Debt List'!$F$11,'Debt List'!$F$12)),N(CHOOSE(AX32,J32,N32,R32,V32,Z32,AD32,AH32,AL32))+N(CHOOSE(AX32,K32,O32,S32,W32,AA32,AE32,AI32,AM32))))),0))</f>
        <v/>
      </c>
      <c r="AZ32">
        <f>MIN(N(AY32),MAX(0,N(AW32)))</f>
        <v/>
      </c>
      <c r="BA32">
        <f>MAX(0,N(AW32)-N(AZ32))</f>
        <v/>
      </c>
      <c r="BB32">
        <f>IFERROR(MATCH(4,OrderPlan,0),"")</f>
        <v/>
      </c>
      <c r="BC32">
        <f>IF(BB32="",0,IFERROR(IF(N(CHOOSE(BB32,J32,N32,R32,V32,Z32,AD32,AH32,AL32))&lt;=0.005,0,MAX(0,N(CHOOSE(BB32,J32,N32,R32,V32,Z32,AD32,AH32,AL32))+N(CHOOSE(BB32,K32,O32,S32,W32,AA32,AE32,AI32,AM32))-MIN(N(CHOOSE(BB32,'Debt List'!$F$5,'Debt List'!$F$6,'Debt List'!$F$7,'Debt List'!$F$8,'Debt List'!$F$9,'Debt List'!$F$10,'Debt List'!$F$11,'Debt List'!$F$12)),N(CHOOSE(BB32,J32,N32,R32,V32,Z32,AD32,AH32,AL32))+N(CHOOSE(BB32,K32,O32,S32,W32,AA32,AE32,AI32,AM32))))),0))</f>
        <v/>
      </c>
      <c r="BD32">
        <f>MIN(N(BC32),MAX(0,N(BA32)))</f>
        <v/>
      </c>
      <c r="BE32">
        <f>MAX(0,N(BA32)-N(BD32))</f>
        <v/>
      </c>
      <c r="BF32">
        <f>IFERROR(MATCH(5,OrderPlan,0),"")</f>
        <v/>
      </c>
      <c r="BG32">
        <f>IF(BF32="",0,IFERROR(IF(N(CHOOSE(BF32,J32,N32,R32,V32,Z32,AD32,AH32,AL32))&lt;=0.005,0,MAX(0,N(CHOOSE(BF32,J32,N32,R32,V32,Z32,AD32,AH32,AL32))+N(CHOOSE(BF32,K32,O32,S32,W32,AA32,AE32,AI32,AM32))-MIN(N(CHOOSE(BF32,'Debt List'!$F$5,'Debt List'!$F$6,'Debt List'!$F$7,'Debt List'!$F$8,'Debt List'!$F$9,'Debt List'!$F$10,'Debt List'!$F$11,'Debt List'!$F$12)),N(CHOOSE(BF32,J32,N32,R32,V32,Z32,AD32,AH32,AL32))+N(CHOOSE(BF32,K32,O32,S32,W32,AA32,AE32,AI32,AM32))))),0))</f>
        <v/>
      </c>
      <c r="BH32">
        <f>MIN(N(BG32),MAX(0,N(BE32)))</f>
        <v/>
      </c>
      <c r="BI32">
        <f>MAX(0,N(BE32)-N(BH32))</f>
        <v/>
      </c>
      <c r="BJ32">
        <f>IFERROR(MATCH(6,OrderPlan,0),"")</f>
        <v/>
      </c>
      <c r="BK32">
        <f>IF(BJ32="",0,IFERROR(IF(N(CHOOSE(BJ32,J32,N32,R32,V32,Z32,AD32,AH32,AL32))&lt;=0.005,0,MAX(0,N(CHOOSE(BJ32,J32,N32,R32,V32,Z32,AD32,AH32,AL32))+N(CHOOSE(BJ32,K32,O32,S32,W32,AA32,AE32,AI32,AM32))-MIN(N(CHOOSE(BJ32,'Debt List'!$F$5,'Debt List'!$F$6,'Debt List'!$F$7,'Debt List'!$F$8,'Debt List'!$F$9,'Debt List'!$F$10,'Debt List'!$F$11,'Debt List'!$F$12)),N(CHOOSE(BJ32,J32,N32,R32,V32,Z32,AD32,AH32,AL32))+N(CHOOSE(BJ32,K32,O32,S32,W32,AA32,AE32,AI32,AM32))))),0))</f>
        <v/>
      </c>
      <c r="BL32">
        <f>MIN(N(BK32),MAX(0,N(BI32)))</f>
        <v/>
      </c>
      <c r="BM32">
        <f>MAX(0,N(BI32)-N(BL32))</f>
        <v/>
      </c>
      <c r="BN32">
        <f>IFERROR(MATCH(7,OrderPlan,0),"")</f>
        <v/>
      </c>
      <c r="BO32">
        <f>IF(BN32="",0,IFERROR(IF(N(CHOOSE(BN32,J32,N32,R32,V32,Z32,AD32,AH32,AL32))&lt;=0.005,0,MAX(0,N(CHOOSE(BN32,J32,N32,R32,V32,Z32,AD32,AH32,AL32))+N(CHOOSE(BN32,K32,O32,S32,W32,AA32,AE32,AI32,AM32))-MIN(N(CHOOSE(BN32,'Debt List'!$F$5,'Debt List'!$F$6,'Debt List'!$F$7,'Debt List'!$F$8,'Debt List'!$F$9,'Debt List'!$F$10,'Debt List'!$F$11,'Debt List'!$F$12)),N(CHOOSE(BN32,J32,N32,R32,V32,Z32,AD32,AH32,AL32))+N(CHOOSE(BN32,K32,O32,S32,W32,AA32,AE32,AI32,AM32))))),0))</f>
        <v/>
      </c>
      <c r="BP32">
        <f>MIN(N(BO32),MAX(0,N(BM32)))</f>
        <v/>
      </c>
      <c r="BQ32">
        <f>MAX(0,N(BM32)-N(BP32))</f>
        <v/>
      </c>
      <c r="BR32">
        <f>IFERROR(MATCH(8,OrderPlan,0),"")</f>
        <v/>
      </c>
      <c r="BS32">
        <f>IF(BR32="",0,IFERROR(IF(N(CHOOSE(BR32,J32,N32,R32,V32,Z32,AD32,AH32,AL32))&lt;=0.005,0,MAX(0,N(CHOOSE(BR32,J32,N32,R32,V32,Z32,AD32,AH32,AL32))+N(CHOOSE(BR32,K32,O32,S32,W32,AA32,AE32,AI32,AM32))-MIN(N(CHOOSE(BR32,'Debt List'!$F$5,'Debt List'!$F$6,'Debt List'!$F$7,'Debt List'!$F$8,'Debt List'!$F$9,'Debt List'!$F$10,'Debt List'!$F$11,'Debt List'!$F$12)),N(CHOOSE(BR32,J32,N32,R32,V32,Z32,AD32,AH32,AL32))+N(CHOOSE(BR32,K32,O32,S32,W32,AA32,AE32,AI32,AM32))))),0))</f>
        <v/>
      </c>
      <c r="BT32">
        <f>MIN(N(BS32),MAX(0,N(BQ32)))</f>
        <v/>
      </c>
      <c r="BU32">
        <f>MAX(0,N(BQ32)-N(BT32))</f>
        <v/>
      </c>
      <c r="CC32" t="n">
        <v>28</v>
      </c>
      <c r="CD32" s="115">
        <f>DATE(YEAR(PlanStart),MONTH(PlanStart)+CC32-1,1)</f>
        <v/>
      </c>
      <c r="CE32">
        <f>IF(AND(DR32&lt;&gt;"",N(CHOOSE(DR32,CL32,CP32,CT32,CX32,DB32,DF32,DJ32,DN32))&gt;0.005),INDEX(DebtNames,DR32),IF(AND(DV32&lt;&gt;"",N(CHOOSE(DV32,CL32,CP32,CT32,CX32,DB32,DF32,DJ32,DN32))&gt;0.005),INDEX(DebtNames,DV32),IF(AND(DZ32&lt;&gt;"",N(CHOOSE(DZ32,CL32,CP32,CT32,CX32,DB32,DF32,DJ32,DN32))&gt;0.005),INDEX(DebtNames,DZ32),IF(AND(ED32&lt;&gt;"",N(CHOOSE(ED32,CL32,CP32,CT32,CX32,DB32,DF32,DJ32,DN32))&gt;0.005),INDEX(DebtNames,ED32),IF(AND(EH32&lt;&gt;"",N(CHOOSE(EH32,CL32,CP32,CT32,CX32,DB32,DF32,DJ32,DN32))&gt;0.005),INDEX(DebtNames,EH32),IF(AND(EL32&lt;&gt;"",N(CHOOSE(EL32,CL32,CP32,CT32,CX32,DB32,DF32,DJ32,DN32))&gt;0.005),INDEX(DebtNames,EL32),IF(AND(EP32&lt;&gt;"",N(CHOOSE(EP32,CL32,CP32,CT32,CX32,DB32,DF32,DJ32,DN32))&gt;0.005),INDEX(DebtNames,EP32),IF(AND(ET32&lt;&gt;"",N(CHOOSE(ET32,CL32,CP32,CT32,CX32,DB32,DF32,DJ32,DN32))&gt;0.005),INDEX(DebtNames,ET32),""))))))))</f>
        <v/>
      </c>
      <c r="CF32">
        <f>N(EW32)</f>
        <v/>
      </c>
      <c r="CG32">
        <f>N(CN32)+N(CR32)+N(CV32)+N(CZ32)+N(DD32)+N(DH32)+N(DL32)+N(DP32)</f>
        <v/>
      </c>
      <c r="CH32">
        <f>N(CM32)+N(CQ32)+N(CU32)+N(CY32)+N(DC32)+N(DG32)+N(DK32)+N(DO32)</f>
        <v/>
      </c>
      <c r="CI32">
        <f>N(CI31)+N(CH32)</f>
        <v/>
      </c>
      <c r="CJ32">
        <f>N(CO32)+N(CS32)+N(CW32)+N(DA32)+N(DE32)+N(DI32)+N(DM32)+N(DQ32)</f>
        <v/>
      </c>
      <c r="CK32">
        <f>(CO32&gt;0.005)*1+(CS32&gt;0.005)*1+(CW32&gt;0.005)*1+(DA32&gt;0.005)*1+(DE32&gt;0.005)*1+(DI32&gt;0.005)*1+(DM32&gt;0.005)*1+(DQ32&gt;0.005)*1</f>
        <v/>
      </c>
      <c r="CL32">
        <f>N(CO31)</f>
        <v/>
      </c>
      <c r="CM32">
        <f>IF(N(CL32)&lt;=0.005,0,ROUND(N(CL32)*N('Debt List'!E5)/12,2))</f>
        <v/>
      </c>
      <c r="CN32">
        <f>IF(N(CL32)&lt;=0.005,0,MIN(N('Debt List'!F5),N(CL32)+N(CM32)))+((DR32=1)*DT32+(DV32=1)*DX32+(DZ32=1)*EB32+(ED32=1)*EF32+(EH32=1)*EJ32+(EL32=1)*EN32+(EP32=1)*ER32+(ET32=1)*EV32)</f>
        <v/>
      </c>
      <c r="CO32">
        <f>MAX(0,ROUND(N(CL32)+N(CM32)-N(CN32),2))</f>
        <v/>
      </c>
      <c r="CP32">
        <f>N(CS31)</f>
        <v/>
      </c>
      <c r="CQ32">
        <f>IF(N(CP32)&lt;=0.005,0,ROUND(N(CP32)*N('Debt List'!E6)/12,2))</f>
        <v/>
      </c>
      <c r="CR32">
        <f>IF(N(CP32)&lt;=0.005,0,MIN(N('Debt List'!F6),N(CP32)+N(CQ32)))+((DR32=2)*DT32+(DV32=2)*DX32+(DZ32=2)*EB32+(ED32=2)*EF32+(EH32=2)*EJ32+(EL32=2)*EN32+(EP32=2)*ER32+(ET32=2)*EV32)</f>
        <v/>
      </c>
      <c r="CS32">
        <f>MAX(0,ROUND(N(CP32)+N(CQ32)-N(CR32),2))</f>
        <v/>
      </c>
      <c r="CT32">
        <f>N(CW31)</f>
        <v/>
      </c>
      <c r="CU32">
        <f>IF(N(CT32)&lt;=0.005,0,ROUND(N(CT32)*N('Debt List'!E7)/12,2))</f>
        <v/>
      </c>
      <c r="CV32">
        <f>IF(N(CT32)&lt;=0.005,0,MIN(N('Debt List'!F7),N(CT32)+N(CU32)))+((DR32=3)*DT32+(DV32=3)*DX32+(DZ32=3)*EB32+(ED32=3)*EF32+(EH32=3)*EJ32+(EL32=3)*EN32+(EP32=3)*ER32+(ET32=3)*EV32)</f>
        <v/>
      </c>
      <c r="CW32">
        <f>MAX(0,ROUND(N(CT32)+N(CU32)-N(CV32),2))</f>
        <v/>
      </c>
      <c r="CX32">
        <f>N(DA31)</f>
        <v/>
      </c>
      <c r="CY32">
        <f>IF(N(CX32)&lt;=0.005,0,ROUND(N(CX32)*N('Debt List'!E8)/12,2))</f>
        <v/>
      </c>
      <c r="CZ32">
        <f>IF(N(CX32)&lt;=0.005,0,MIN(N('Debt List'!F8),N(CX32)+N(CY32)))+((DR32=4)*DT32+(DV32=4)*DX32+(DZ32=4)*EB32+(ED32=4)*EF32+(EH32=4)*EJ32+(EL32=4)*EN32+(EP32=4)*ER32+(ET32=4)*EV32)</f>
        <v/>
      </c>
      <c r="DA32">
        <f>MAX(0,ROUND(N(CX32)+N(CY32)-N(CZ32),2))</f>
        <v/>
      </c>
      <c r="DB32">
        <f>N(DE31)</f>
        <v/>
      </c>
      <c r="DC32">
        <f>IF(N(DB32)&lt;=0.005,0,ROUND(N(DB32)*N('Debt List'!E9)/12,2))</f>
        <v/>
      </c>
      <c r="DD32">
        <f>IF(N(DB32)&lt;=0.005,0,MIN(N('Debt List'!F9),N(DB32)+N(DC32)))+((DR32=5)*DT32+(DV32=5)*DX32+(DZ32=5)*EB32+(ED32=5)*EF32+(EH32=5)*EJ32+(EL32=5)*EN32+(EP32=5)*ER32+(ET32=5)*EV32)</f>
        <v/>
      </c>
      <c r="DE32">
        <f>MAX(0,ROUND(N(DB32)+N(DC32)-N(DD32),2))</f>
        <v/>
      </c>
      <c r="DF32">
        <f>N(DI31)</f>
        <v/>
      </c>
      <c r="DG32">
        <f>IF(N(DF32)&lt;=0.005,0,ROUND(N(DF32)*N('Debt List'!E10)/12,2))</f>
        <v/>
      </c>
      <c r="DH32">
        <f>IF(N(DF32)&lt;=0.005,0,MIN(N('Debt List'!F10),N(DF32)+N(DG32)))+((DR32=6)*DT32+(DV32=6)*DX32+(DZ32=6)*EB32+(ED32=6)*EF32+(EH32=6)*EJ32+(EL32=6)*EN32+(EP32=6)*ER32+(ET32=6)*EV32)</f>
        <v/>
      </c>
      <c r="DI32">
        <f>MAX(0,ROUND(N(DF32)+N(DG32)-N(DH32),2))</f>
        <v/>
      </c>
      <c r="DJ32">
        <f>N(DM31)</f>
        <v/>
      </c>
      <c r="DK32">
        <f>IF(N(DJ32)&lt;=0.005,0,ROUND(N(DJ32)*N('Debt List'!E11)/12,2))</f>
        <v/>
      </c>
      <c r="DL32">
        <f>IF(N(DJ32)&lt;=0.005,0,MIN(N('Debt List'!F11),N(DJ32)+N(DK32)))+((DR32=7)*DT32+(DV32=7)*DX32+(DZ32=7)*EB32+(ED32=7)*EF32+(EH32=7)*EJ32+(EL32=7)*EN32+(EP32=7)*ER32+(ET32=7)*EV32)</f>
        <v/>
      </c>
      <c r="DM32">
        <f>MAX(0,ROUND(N(DJ32)+N(DK32)-N(DL32),2))</f>
        <v/>
      </c>
      <c r="DN32">
        <f>N(DQ31)</f>
        <v/>
      </c>
      <c r="DO32">
        <f>IF(N(DN32)&lt;=0.005,0,ROUND(N(DN32)*N('Debt List'!E12)/12,2))</f>
        <v/>
      </c>
      <c r="DP32">
        <f>IF(N(DN32)&lt;=0.005,0,MIN(N('Debt List'!F12),N(DN32)+N(DO32)))+((DR32=8)*DT32+(DV32=8)*DX32+(DZ32=8)*EB32+(ED32=8)*EF32+(EH32=8)*EJ32+(EL32=8)*EN32+(EP32=8)*ER32+(ET32=8)*EV32)</f>
        <v/>
      </c>
      <c r="DQ32">
        <f>MAX(0,ROUND(N(DN32)+N(DO32)-N(DP32),2))</f>
        <v/>
      </c>
      <c r="DR32">
        <f>IFERROR(MATCH(1,OrderSnow,0),"")</f>
        <v/>
      </c>
      <c r="DS32">
        <f>IF(DR32="",0,IFERROR(IF(N(CHOOSE(DR32,CL32,CP32,CT32,CX32,DB32,DF32,DJ32,DN32))&lt;=0.005,0,MAX(0,N(CHOOSE(DR32,CL32,CP32,CT32,CX32,DB32,DF32,DJ32,DN32))+N(CHOOSE(DR32,CM32,CQ32,CU32,CY32,DC32,DG32,DK32,DO32))-MIN(N(CHOOSE(DR32,'Debt List'!$F$5,'Debt List'!$F$6,'Debt List'!$F$7,'Debt List'!$F$8,'Debt List'!$F$9,'Debt List'!$F$10,'Debt List'!$F$11,'Debt List'!$F$12)),N(CHOOSE(DR32,CL32,CP32,CT32,CX32,DB32,DF32,DJ32,DN32))+N(CHOOSE(DR32,CM32,CQ32,CU32,CY32,DC32,DG32,DK32,DO32))))),0))</f>
        <v/>
      </c>
      <c r="DT32">
        <f>MIN(N(DS32),MAX(0,N(ExtraPayment)))</f>
        <v/>
      </c>
      <c r="DU32">
        <f>MAX(0,N(ExtraPayment)-N(DT32))</f>
        <v/>
      </c>
      <c r="DV32">
        <f>IFERROR(MATCH(2,OrderSnow,0),"")</f>
        <v/>
      </c>
      <c r="DW32">
        <f>IF(DV32="",0,IFERROR(IF(N(CHOOSE(DV32,CL32,CP32,CT32,CX32,DB32,DF32,DJ32,DN32))&lt;=0.005,0,MAX(0,N(CHOOSE(DV32,CL32,CP32,CT32,CX32,DB32,DF32,DJ32,DN32))+N(CHOOSE(DV32,CM32,CQ32,CU32,CY32,DC32,DG32,DK32,DO32))-MIN(N(CHOOSE(DV32,'Debt List'!$F$5,'Debt List'!$F$6,'Debt List'!$F$7,'Debt List'!$F$8,'Debt List'!$F$9,'Debt List'!$F$10,'Debt List'!$F$11,'Debt List'!$F$12)),N(CHOOSE(DV32,CL32,CP32,CT32,CX32,DB32,DF32,DJ32,DN32))+N(CHOOSE(DV32,CM32,CQ32,CU32,CY32,DC32,DG32,DK32,DO32))))),0))</f>
        <v/>
      </c>
      <c r="DX32">
        <f>MIN(N(DW32),MAX(0,N(DU32)))</f>
        <v/>
      </c>
      <c r="DY32">
        <f>MAX(0,N(DU32)-N(DX32))</f>
        <v/>
      </c>
      <c r="DZ32">
        <f>IFERROR(MATCH(3,OrderSnow,0),"")</f>
        <v/>
      </c>
      <c r="EA32">
        <f>IF(DZ32="",0,IFERROR(IF(N(CHOOSE(DZ32,CL32,CP32,CT32,CX32,DB32,DF32,DJ32,DN32))&lt;=0.005,0,MAX(0,N(CHOOSE(DZ32,CL32,CP32,CT32,CX32,DB32,DF32,DJ32,DN32))+N(CHOOSE(DZ32,CM32,CQ32,CU32,CY32,DC32,DG32,DK32,DO32))-MIN(N(CHOOSE(DZ32,'Debt List'!$F$5,'Debt List'!$F$6,'Debt List'!$F$7,'Debt List'!$F$8,'Debt List'!$F$9,'Debt List'!$F$10,'Debt List'!$F$11,'Debt List'!$F$12)),N(CHOOSE(DZ32,CL32,CP32,CT32,CX32,DB32,DF32,DJ32,DN32))+N(CHOOSE(DZ32,CM32,CQ32,CU32,CY32,DC32,DG32,DK32,DO32))))),0))</f>
        <v/>
      </c>
      <c r="EB32">
        <f>MIN(N(EA32),MAX(0,N(DY32)))</f>
        <v/>
      </c>
      <c r="EC32">
        <f>MAX(0,N(DY32)-N(EB32))</f>
        <v/>
      </c>
      <c r="ED32">
        <f>IFERROR(MATCH(4,OrderSnow,0),"")</f>
        <v/>
      </c>
      <c r="EE32">
        <f>IF(ED32="",0,IFERROR(IF(N(CHOOSE(ED32,CL32,CP32,CT32,CX32,DB32,DF32,DJ32,DN32))&lt;=0.005,0,MAX(0,N(CHOOSE(ED32,CL32,CP32,CT32,CX32,DB32,DF32,DJ32,DN32))+N(CHOOSE(ED32,CM32,CQ32,CU32,CY32,DC32,DG32,DK32,DO32))-MIN(N(CHOOSE(ED32,'Debt List'!$F$5,'Debt List'!$F$6,'Debt List'!$F$7,'Debt List'!$F$8,'Debt List'!$F$9,'Debt List'!$F$10,'Debt List'!$F$11,'Debt List'!$F$12)),N(CHOOSE(ED32,CL32,CP32,CT32,CX32,DB32,DF32,DJ32,DN32))+N(CHOOSE(ED32,CM32,CQ32,CU32,CY32,DC32,DG32,DK32,DO32))))),0))</f>
        <v/>
      </c>
      <c r="EF32">
        <f>MIN(N(EE32),MAX(0,N(EC32)))</f>
        <v/>
      </c>
      <c r="EG32">
        <f>MAX(0,N(EC32)-N(EF32))</f>
        <v/>
      </c>
      <c r="EH32">
        <f>IFERROR(MATCH(5,OrderSnow,0),"")</f>
        <v/>
      </c>
      <c r="EI32">
        <f>IF(EH32="",0,IFERROR(IF(N(CHOOSE(EH32,CL32,CP32,CT32,CX32,DB32,DF32,DJ32,DN32))&lt;=0.005,0,MAX(0,N(CHOOSE(EH32,CL32,CP32,CT32,CX32,DB32,DF32,DJ32,DN32))+N(CHOOSE(EH32,CM32,CQ32,CU32,CY32,DC32,DG32,DK32,DO32))-MIN(N(CHOOSE(EH32,'Debt List'!$F$5,'Debt List'!$F$6,'Debt List'!$F$7,'Debt List'!$F$8,'Debt List'!$F$9,'Debt List'!$F$10,'Debt List'!$F$11,'Debt List'!$F$12)),N(CHOOSE(EH32,CL32,CP32,CT32,CX32,DB32,DF32,DJ32,DN32))+N(CHOOSE(EH32,CM32,CQ32,CU32,CY32,DC32,DG32,DK32,DO32))))),0))</f>
        <v/>
      </c>
      <c r="EJ32">
        <f>MIN(N(EI32),MAX(0,N(EG32)))</f>
        <v/>
      </c>
      <c r="EK32">
        <f>MAX(0,N(EG32)-N(EJ32))</f>
        <v/>
      </c>
      <c r="EL32">
        <f>IFERROR(MATCH(6,OrderSnow,0),"")</f>
        <v/>
      </c>
      <c r="EM32">
        <f>IF(EL32="",0,IFERROR(IF(N(CHOOSE(EL32,CL32,CP32,CT32,CX32,DB32,DF32,DJ32,DN32))&lt;=0.005,0,MAX(0,N(CHOOSE(EL32,CL32,CP32,CT32,CX32,DB32,DF32,DJ32,DN32))+N(CHOOSE(EL32,CM32,CQ32,CU32,CY32,DC32,DG32,DK32,DO32))-MIN(N(CHOOSE(EL32,'Debt List'!$F$5,'Debt List'!$F$6,'Debt List'!$F$7,'Debt List'!$F$8,'Debt List'!$F$9,'Debt List'!$F$10,'Debt List'!$F$11,'Debt List'!$F$12)),N(CHOOSE(EL32,CL32,CP32,CT32,CX32,DB32,DF32,DJ32,DN32))+N(CHOOSE(EL32,CM32,CQ32,CU32,CY32,DC32,DG32,DK32,DO32))))),0))</f>
        <v/>
      </c>
      <c r="EN32">
        <f>MIN(N(EM32),MAX(0,N(EK32)))</f>
        <v/>
      </c>
      <c r="EO32">
        <f>MAX(0,N(EK32)-N(EN32))</f>
        <v/>
      </c>
      <c r="EP32">
        <f>IFERROR(MATCH(7,OrderSnow,0),"")</f>
        <v/>
      </c>
      <c r="EQ32">
        <f>IF(EP32="",0,IFERROR(IF(N(CHOOSE(EP32,CL32,CP32,CT32,CX32,DB32,DF32,DJ32,DN32))&lt;=0.005,0,MAX(0,N(CHOOSE(EP32,CL32,CP32,CT32,CX32,DB32,DF32,DJ32,DN32))+N(CHOOSE(EP32,CM32,CQ32,CU32,CY32,DC32,DG32,DK32,DO32))-MIN(N(CHOOSE(EP32,'Debt List'!$F$5,'Debt List'!$F$6,'Debt List'!$F$7,'Debt List'!$F$8,'Debt List'!$F$9,'Debt List'!$F$10,'Debt List'!$F$11,'Debt List'!$F$12)),N(CHOOSE(EP32,CL32,CP32,CT32,CX32,DB32,DF32,DJ32,DN32))+N(CHOOSE(EP32,CM32,CQ32,CU32,CY32,DC32,DG32,DK32,DO32))))),0))</f>
        <v/>
      </c>
      <c r="ER32">
        <f>MIN(N(EQ32),MAX(0,N(EO32)))</f>
        <v/>
      </c>
      <c r="ES32">
        <f>MAX(0,N(EO32)-N(ER32))</f>
        <v/>
      </c>
      <c r="ET32">
        <f>IFERROR(MATCH(8,OrderSnow,0),"")</f>
        <v/>
      </c>
      <c r="EU32">
        <f>IF(ET32="",0,IFERROR(IF(N(CHOOSE(ET32,CL32,CP32,CT32,CX32,DB32,DF32,DJ32,DN32))&lt;=0.005,0,MAX(0,N(CHOOSE(ET32,CL32,CP32,CT32,CX32,DB32,DF32,DJ32,DN32))+N(CHOOSE(ET32,CM32,CQ32,CU32,CY32,DC32,DG32,DK32,DO32))-MIN(N(CHOOSE(ET32,'Debt List'!$F$5,'Debt List'!$F$6,'Debt List'!$F$7,'Debt List'!$F$8,'Debt List'!$F$9,'Debt List'!$F$10,'Debt List'!$F$11,'Debt List'!$F$12)),N(CHOOSE(ET32,CL32,CP32,CT32,CX32,DB32,DF32,DJ32,DN32))+N(CHOOSE(ET32,CM32,CQ32,CU32,CY32,DC32,DG32,DK32,DO32))))),0))</f>
        <v/>
      </c>
      <c r="EV32">
        <f>MIN(N(EU32),MAX(0,N(ES32)))</f>
        <v/>
      </c>
      <c r="EW32">
        <f>MAX(0,N(ES32)-N(EV32))</f>
        <v/>
      </c>
      <c r="FE32" t="n">
        <v>28</v>
      </c>
      <c r="FF32" s="115">
        <f>DATE(YEAR(PlanStart),MONTH(PlanStart)+FE32-1,1)</f>
        <v/>
      </c>
      <c r="FG32">
        <f>IF(AND(GT32&lt;&gt;"",N(CHOOSE(GT32,FN32,FR32,FV32,FZ32,GD32,GH32,GL32,GP32))&gt;0.005),INDEX(DebtNames,GT32),IF(AND(GX32&lt;&gt;"",N(CHOOSE(GX32,FN32,FR32,FV32,FZ32,GD32,GH32,GL32,GP32))&gt;0.005),INDEX(DebtNames,GX32),IF(AND(HB32&lt;&gt;"",N(CHOOSE(HB32,FN32,FR32,FV32,FZ32,GD32,GH32,GL32,GP32))&gt;0.005),INDEX(DebtNames,HB32),IF(AND(HF32&lt;&gt;"",N(CHOOSE(HF32,FN32,FR32,FV32,FZ32,GD32,GH32,GL32,GP32))&gt;0.005),INDEX(DebtNames,HF32),IF(AND(HJ32&lt;&gt;"",N(CHOOSE(HJ32,FN32,FR32,FV32,FZ32,GD32,GH32,GL32,GP32))&gt;0.005),INDEX(DebtNames,HJ32),IF(AND(HN32&lt;&gt;"",N(CHOOSE(HN32,FN32,FR32,FV32,FZ32,GD32,GH32,GL32,GP32))&gt;0.005),INDEX(DebtNames,HN32),IF(AND(HR32&lt;&gt;"",N(CHOOSE(HR32,FN32,FR32,FV32,FZ32,GD32,GH32,GL32,GP32))&gt;0.005),INDEX(DebtNames,HR32),IF(AND(HV32&lt;&gt;"",N(CHOOSE(HV32,FN32,FR32,FV32,FZ32,GD32,GH32,GL32,GP32))&gt;0.005),INDEX(DebtNames,HV32),""))))))))</f>
        <v/>
      </c>
      <c r="FH32">
        <f>N(HY32)</f>
        <v/>
      </c>
      <c r="FI32">
        <f>N(FP32)+N(FT32)+N(FX32)+N(GB32)+N(GF32)+N(GJ32)+N(GN32)+N(GR32)</f>
        <v/>
      </c>
      <c r="FJ32">
        <f>N(FO32)+N(FS32)+N(FW32)+N(GA32)+N(GE32)+N(GI32)+N(GM32)+N(GQ32)</f>
        <v/>
      </c>
      <c r="FK32">
        <f>N(FK31)+N(FJ32)</f>
        <v/>
      </c>
      <c r="FL32">
        <f>N(FQ32)+N(FU32)+N(FY32)+N(GC32)+N(GG32)+N(GK32)+N(GO32)+N(GS32)</f>
        <v/>
      </c>
      <c r="FM32">
        <f>(FQ32&gt;0.005)*1+(FU32&gt;0.005)*1+(FY32&gt;0.005)*1+(GC32&gt;0.005)*1+(GG32&gt;0.005)*1+(GK32&gt;0.005)*1+(GO32&gt;0.005)*1+(GS32&gt;0.005)*1</f>
        <v/>
      </c>
      <c r="FN32">
        <f>N(FQ31)</f>
        <v/>
      </c>
      <c r="FO32">
        <f>IF(N(FN32)&lt;=0.005,0,ROUND(N(FN32)*N('Debt List'!E5)/12,2))</f>
        <v/>
      </c>
      <c r="FP32">
        <f>IF(N(FN32)&lt;=0.005,0,MIN(N('Debt List'!F5),N(FN32)+N(FO32)))+((GT32=1)*GV32+(GX32=1)*GZ32+(HB32=1)*HD32+(HF32=1)*HH32+(HJ32=1)*HL32+(HN32=1)*HP32+(HR32=1)*HT32+(HV32=1)*HX32)</f>
        <v/>
      </c>
      <c r="FQ32">
        <f>MAX(0,ROUND(N(FN32)+N(FO32)-N(FP32),2))</f>
        <v/>
      </c>
      <c r="FR32">
        <f>N(FU31)</f>
        <v/>
      </c>
      <c r="FS32">
        <f>IF(N(FR32)&lt;=0.005,0,ROUND(N(FR32)*N('Debt List'!E6)/12,2))</f>
        <v/>
      </c>
      <c r="FT32">
        <f>IF(N(FR32)&lt;=0.005,0,MIN(N('Debt List'!F6),N(FR32)+N(FS32)))+((GT32=2)*GV32+(GX32=2)*GZ32+(HB32=2)*HD32+(HF32=2)*HH32+(HJ32=2)*HL32+(HN32=2)*HP32+(HR32=2)*HT32+(HV32=2)*HX32)</f>
        <v/>
      </c>
      <c r="FU32">
        <f>MAX(0,ROUND(N(FR32)+N(FS32)-N(FT32),2))</f>
        <v/>
      </c>
      <c r="FV32">
        <f>N(FY31)</f>
        <v/>
      </c>
      <c r="FW32">
        <f>IF(N(FV32)&lt;=0.005,0,ROUND(N(FV32)*N('Debt List'!E7)/12,2))</f>
        <v/>
      </c>
      <c r="FX32">
        <f>IF(N(FV32)&lt;=0.005,0,MIN(N('Debt List'!F7),N(FV32)+N(FW32)))+((GT32=3)*GV32+(GX32=3)*GZ32+(HB32=3)*HD32+(HF32=3)*HH32+(HJ32=3)*HL32+(HN32=3)*HP32+(HR32=3)*HT32+(HV32=3)*HX32)</f>
        <v/>
      </c>
      <c r="FY32">
        <f>MAX(0,ROUND(N(FV32)+N(FW32)-N(FX32),2))</f>
        <v/>
      </c>
      <c r="FZ32">
        <f>N(GC31)</f>
        <v/>
      </c>
      <c r="GA32">
        <f>IF(N(FZ32)&lt;=0.005,0,ROUND(N(FZ32)*N('Debt List'!E8)/12,2))</f>
        <v/>
      </c>
      <c r="GB32">
        <f>IF(N(FZ32)&lt;=0.005,0,MIN(N('Debt List'!F8),N(FZ32)+N(GA32)))+((GT32=4)*GV32+(GX32=4)*GZ32+(HB32=4)*HD32+(HF32=4)*HH32+(HJ32=4)*HL32+(HN32=4)*HP32+(HR32=4)*HT32+(HV32=4)*HX32)</f>
        <v/>
      </c>
      <c r="GC32">
        <f>MAX(0,ROUND(N(FZ32)+N(GA32)-N(GB32),2))</f>
        <v/>
      </c>
      <c r="GD32">
        <f>N(GG31)</f>
        <v/>
      </c>
      <c r="GE32">
        <f>IF(N(GD32)&lt;=0.005,0,ROUND(N(GD32)*N('Debt List'!E9)/12,2))</f>
        <v/>
      </c>
      <c r="GF32">
        <f>IF(N(GD32)&lt;=0.005,0,MIN(N('Debt List'!F9),N(GD32)+N(GE32)))+((GT32=5)*GV32+(GX32=5)*GZ32+(HB32=5)*HD32+(HF32=5)*HH32+(HJ32=5)*HL32+(HN32=5)*HP32+(HR32=5)*HT32+(HV32=5)*HX32)</f>
        <v/>
      </c>
      <c r="GG32">
        <f>MAX(0,ROUND(N(GD32)+N(GE32)-N(GF32),2))</f>
        <v/>
      </c>
      <c r="GH32">
        <f>N(GK31)</f>
        <v/>
      </c>
      <c r="GI32">
        <f>IF(N(GH32)&lt;=0.005,0,ROUND(N(GH32)*N('Debt List'!E10)/12,2))</f>
        <v/>
      </c>
      <c r="GJ32">
        <f>IF(N(GH32)&lt;=0.005,0,MIN(N('Debt List'!F10),N(GH32)+N(GI32)))+((GT32=6)*GV32+(GX32=6)*GZ32+(HB32=6)*HD32+(HF32=6)*HH32+(HJ32=6)*HL32+(HN32=6)*HP32+(HR32=6)*HT32+(HV32=6)*HX32)</f>
        <v/>
      </c>
      <c r="GK32">
        <f>MAX(0,ROUND(N(GH32)+N(GI32)-N(GJ32),2))</f>
        <v/>
      </c>
      <c r="GL32">
        <f>N(GO31)</f>
        <v/>
      </c>
      <c r="GM32">
        <f>IF(N(GL32)&lt;=0.005,0,ROUND(N(GL32)*N('Debt List'!E11)/12,2))</f>
        <v/>
      </c>
      <c r="GN32">
        <f>IF(N(GL32)&lt;=0.005,0,MIN(N('Debt List'!F11),N(GL32)+N(GM32)))+((GT32=7)*GV32+(GX32=7)*GZ32+(HB32=7)*HD32+(HF32=7)*HH32+(HJ32=7)*HL32+(HN32=7)*HP32+(HR32=7)*HT32+(HV32=7)*HX32)</f>
        <v/>
      </c>
      <c r="GO32">
        <f>MAX(0,ROUND(N(GL32)+N(GM32)-N(GN32),2))</f>
        <v/>
      </c>
      <c r="GP32">
        <f>N(GS31)</f>
        <v/>
      </c>
      <c r="GQ32">
        <f>IF(N(GP32)&lt;=0.005,0,ROUND(N(GP32)*N('Debt List'!E12)/12,2))</f>
        <v/>
      </c>
      <c r="GR32">
        <f>IF(N(GP32)&lt;=0.005,0,MIN(N('Debt List'!F12),N(GP32)+N(GQ32)))+((GT32=8)*GV32+(GX32=8)*GZ32+(HB32=8)*HD32+(HF32=8)*HH32+(HJ32=8)*HL32+(HN32=8)*HP32+(HR32=8)*HT32+(HV32=8)*HX32)</f>
        <v/>
      </c>
      <c r="GS32">
        <f>MAX(0,ROUND(N(GP32)+N(GQ32)-N(GR32),2))</f>
        <v/>
      </c>
      <c r="GT32">
        <f>IFERROR(MATCH(1,OrderAval,0),"")</f>
        <v/>
      </c>
      <c r="GU32">
        <f>IF(GT32="",0,IFERROR(IF(N(CHOOSE(GT32,FN32,FR32,FV32,FZ32,GD32,GH32,GL32,GP32))&lt;=0.005,0,MAX(0,N(CHOOSE(GT32,FN32,FR32,FV32,FZ32,GD32,GH32,GL32,GP32))+N(CHOOSE(GT32,FO32,FS32,FW32,GA32,GE32,GI32,GM32,GQ32))-MIN(N(CHOOSE(GT32,'Debt List'!$F$5,'Debt List'!$F$6,'Debt List'!$F$7,'Debt List'!$F$8,'Debt List'!$F$9,'Debt List'!$F$10,'Debt List'!$F$11,'Debt List'!$F$12)),N(CHOOSE(GT32,FN32,FR32,FV32,FZ32,GD32,GH32,GL32,GP32))+N(CHOOSE(GT32,FO32,FS32,FW32,GA32,GE32,GI32,GM32,GQ32))))),0))</f>
        <v/>
      </c>
      <c r="GV32">
        <f>MIN(N(GU32),MAX(0,N(ExtraPayment)))</f>
        <v/>
      </c>
      <c r="GW32">
        <f>MAX(0,N(ExtraPayment)-N(GV32))</f>
        <v/>
      </c>
      <c r="GX32">
        <f>IFERROR(MATCH(2,OrderAval,0),"")</f>
        <v/>
      </c>
      <c r="GY32">
        <f>IF(GX32="",0,IFERROR(IF(N(CHOOSE(GX32,FN32,FR32,FV32,FZ32,GD32,GH32,GL32,GP32))&lt;=0.005,0,MAX(0,N(CHOOSE(GX32,FN32,FR32,FV32,FZ32,GD32,GH32,GL32,GP32))+N(CHOOSE(GX32,FO32,FS32,FW32,GA32,GE32,GI32,GM32,GQ32))-MIN(N(CHOOSE(GX32,'Debt List'!$F$5,'Debt List'!$F$6,'Debt List'!$F$7,'Debt List'!$F$8,'Debt List'!$F$9,'Debt List'!$F$10,'Debt List'!$F$11,'Debt List'!$F$12)),N(CHOOSE(GX32,FN32,FR32,FV32,FZ32,GD32,GH32,GL32,GP32))+N(CHOOSE(GX32,FO32,FS32,FW32,GA32,GE32,GI32,GM32,GQ32))))),0))</f>
        <v/>
      </c>
      <c r="GZ32">
        <f>MIN(N(GY32),MAX(0,N(GW32)))</f>
        <v/>
      </c>
      <c r="HA32">
        <f>MAX(0,N(GW32)-N(GZ32))</f>
        <v/>
      </c>
      <c r="HB32">
        <f>IFERROR(MATCH(3,OrderAval,0),"")</f>
        <v/>
      </c>
      <c r="HC32">
        <f>IF(HB32="",0,IFERROR(IF(N(CHOOSE(HB32,FN32,FR32,FV32,FZ32,GD32,GH32,GL32,GP32))&lt;=0.005,0,MAX(0,N(CHOOSE(HB32,FN32,FR32,FV32,FZ32,GD32,GH32,GL32,GP32))+N(CHOOSE(HB32,FO32,FS32,FW32,GA32,GE32,GI32,GM32,GQ32))-MIN(N(CHOOSE(HB32,'Debt List'!$F$5,'Debt List'!$F$6,'Debt List'!$F$7,'Debt List'!$F$8,'Debt List'!$F$9,'Debt List'!$F$10,'Debt List'!$F$11,'Debt List'!$F$12)),N(CHOOSE(HB32,FN32,FR32,FV32,FZ32,GD32,GH32,GL32,GP32))+N(CHOOSE(HB32,FO32,FS32,FW32,GA32,GE32,GI32,GM32,GQ32))))),0))</f>
        <v/>
      </c>
      <c r="HD32">
        <f>MIN(N(HC32),MAX(0,N(HA32)))</f>
        <v/>
      </c>
      <c r="HE32">
        <f>MAX(0,N(HA32)-N(HD32))</f>
        <v/>
      </c>
      <c r="HF32">
        <f>IFERROR(MATCH(4,OrderAval,0),"")</f>
        <v/>
      </c>
      <c r="HG32">
        <f>IF(HF32="",0,IFERROR(IF(N(CHOOSE(HF32,FN32,FR32,FV32,FZ32,GD32,GH32,GL32,GP32))&lt;=0.005,0,MAX(0,N(CHOOSE(HF32,FN32,FR32,FV32,FZ32,GD32,GH32,GL32,GP32))+N(CHOOSE(HF32,FO32,FS32,FW32,GA32,GE32,GI32,GM32,GQ32))-MIN(N(CHOOSE(HF32,'Debt List'!$F$5,'Debt List'!$F$6,'Debt List'!$F$7,'Debt List'!$F$8,'Debt List'!$F$9,'Debt List'!$F$10,'Debt List'!$F$11,'Debt List'!$F$12)),N(CHOOSE(HF32,FN32,FR32,FV32,FZ32,GD32,GH32,GL32,GP32))+N(CHOOSE(HF32,FO32,FS32,FW32,GA32,GE32,GI32,GM32,GQ32))))),0))</f>
        <v/>
      </c>
      <c r="HH32">
        <f>MIN(N(HG32),MAX(0,N(HE32)))</f>
        <v/>
      </c>
      <c r="HI32">
        <f>MAX(0,N(HE32)-N(HH32))</f>
        <v/>
      </c>
      <c r="HJ32">
        <f>IFERROR(MATCH(5,OrderAval,0),"")</f>
        <v/>
      </c>
      <c r="HK32">
        <f>IF(HJ32="",0,IFERROR(IF(N(CHOOSE(HJ32,FN32,FR32,FV32,FZ32,GD32,GH32,GL32,GP32))&lt;=0.005,0,MAX(0,N(CHOOSE(HJ32,FN32,FR32,FV32,FZ32,GD32,GH32,GL32,GP32))+N(CHOOSE(HJ32,FO32,FS32,FW32,GA32,GE32,GI32,GM32,GQ32))-MIN(N(CHOOSE(HJ32,'Debt List'!$F$5,'Debt List'!$F$6,'Debt List'!$F$7,'Debt List'!$F$8,'Debt List'!$F$9,'Debt List'!$F$10,'Debt List'!$F$11,'Debt List'!$F$12)),N(CHOOSE(HJ32,FN32,FR32,FV32,FZ32,GD32,GH32,GL32,GP32))+N(CHOOSE(HJ32,FO32,FS32,FW32,GA32,GE32,GI32,GM32,GQ32))))),0))</f>
        <v/>
      </c>
      <c r="HL32">
        <f>MIN(N(HK32),MAX(0,N(HI32)))</f>
        <v/>
      </c>
      <c r="HM32">
        <f>MAX(0,N(HI32)-N(HL32))</f>
        <v/>
      </c>
      <c r="HN32">
        <f>IFERROR(MATCH(6,OrderAval,0),"")</f>
        <v/>
      </c>
      <c r="HO32">
        <f>IF(HN32="",0,IFERROR(IF(N(CHOOSE(HN32,FN32,FR32,FV32,FZ32,GD32,GH32,GL32,GP32))&lt;=0.005,0,MAX(0,N(CHOOSE(HN32,FN32,FR32,FV32,FZ32,GD32,GH32,GL32,GP32))+N(CHOOSE(HN32,FO32,FS32,FW32,GA32,GE32,GI32,GM32,GQ32))-MIN(N(CHOOSE(HN32,'Debt List'!$F$5,'Debt List'!$F$6,'Debt List'!$F$7,'Debt List'!$F$8,'Debt List'!$F$9,'Debt List'!$F$10,'Debt List'!$F$11,'Debt List'!$F$12)),N(CHOOSE(HN32,FN32,FR32,FV32,FZ32,GD32,GH32,GL32,GP32))+N(CHOOSE(HN32,FO32,FS32,FW32,GA32,GE32,GI32,GM32,GQ32))))),0))</f>
        <v/>
      </c>
      <c r="HP32">
        <f>MIN(N(HO32),MAX(0,N(HM32)))</f>
        <v/>
      </c>
      <c r="HQ32">
        <f>MAX(0,N(HM32)-N(HP32))</f>
        <v/>
      </c>
      <c r="HR32">
        <f>IFERROR(MATCH(7,OrderAval,0),"")</f>
        <v/>
      </c>
      <c r="HS32">
        <f>IF(HR32="",0,IFERROR(IF(N(CHOOSE(HR32,FN32,FR32,FV32,FZ32,GD32,GH32,GL32,GP32))&lt;=0.005,0,MAX(0,N(CHOOSE(HR32,FN32,FR32,FV32,FZ32,GD32,GH32,GL32,GP32))+N(CHOOSE(HR32,FO32,FS32,FW32,GA32,GE32,GI32,GM32,GQ32))-MIN(N(CHOOSE(HR32,'Debt List'!$F$5,'Debt List'!$F$6,'Debt List'!$F$7,'Debt List'!$F$8,'Debt List'!$F$9,'Debt List'!$F$10,'Debt List'!$F$11,'Debt List'!$F$12)),N(CHOOSE(HR32,FN32,FR32,FV32,FZ32,GD32,GH32,GL32,GP32))+N(CHOOSE(HR32,FO32,FS32,FW32,GA32,GE32,GI32,GM32,GQ32))))),0))</f>
        <v/>
      </c>
      <c r="HT32">
        <f>MIN(N(HS32),MAX(0,N(HQ32)))</f>
        <v/>
      </c>
      <c r="HU32">
        <f>MAX(0,N(HQ32)-N(HT32))</f>
        <v/>
      </c>
      <c r="HV32">
        <f>IFERROR(MATCH(8,OrderAval,0),"")</f>
        <v/>
      </c>
      <c r="HW32">
        <f>IF(HV32="",0,IFERROR(IF(N(CHOOSE(HV32,FN32,FR32,FV32,FZ32,GD32,GH32,GL32,GP32))&lt;=0.005,0,MAX(0,N(CHOOSE(HV32,FN32,FR32,FV32,FZ32,GD32,GH32,GL32,GP32))+N(CHOOSE(HV32,FO32,FS32,FW32,GA32,GE32,GI32,GM32,GQ32))-MIN(N(CHOOSE(HV32,'Debt List'!$F$5,'Debt List'!$F$6,'Debt List'!$F$7,'Debt List'!$F$8,'Debt List'!$F$9,'Debt List'!$F$10,'Debt List'!$F$11,'Debt List'!$F$12)),N(CHOOSE(HV32,FN32,FR32,FV32,FZ32,GD32,GH32,GL32,GP32))+N(CHOOSE(HV32,FO32,FS32,FW32,GA32,GE32,GI32,GM32,GQ32))))),0))</f>
        <v/>
      </c>
      <c r="HX32">
        <f>MIN(N(HW32),MAX(0,N(HU32)))</f>
        <v/>
      </c>
      <c r="HY32">
        <f>MAX(0,N(HU32)-N(HX32))</f>
        <v/>
      </c>
    </row>
    <row r="33">
      <c r="A33" t="n">
        <v>29</v>
      </c>
      <c r="B33" s="115">
        <f>DATE(YEAR(PlanStart),MONTH(PlanStart)+A33-1,1)</f>
        <v/>
      </c>
      <c r="C33">
        <f>IF(AND(AP33&lt;&gt;"",N(CHOOSE(AP33,J33,N33,R33,V33,Z33,AD33,AH33,AL33))&gt;0.005),INDEX(DebtNames,AP33),IF(AND(AT33&lt;&gt;"",N(CHOOSE(AT33,J33,N33,R33,V33,Z33,AD33,AH33,AL33))&gt;0.005),INDEX(DebtNames,AT33),IF(AND(AX33&lt;&gt;"",N(CHOOSE(AX33,J33,N33,R33,V33,Z33,AD33,AH33,AL33))&gt;0.005),INDEX(DebtNames,AX33),IF(AND(BB33&lt;&gt;"",N(CHOOSE(BB33,J33,N33,R33,V33,Z33,AD33,AH33,AL33))&gt;0.005),INDEX(DebtNames,BB33),IF(AND(BF33&lt;&gt;"",N(CHOOSE(BF33,J33,N33,R33,V33,Z33,AD33,AH33,AL33))&gt;0.005),INDEX(DebtNames,BF33),IF(AND(BJ33&lt;&gt;"",N(CHOOSE(BJ33,J33,N33,R33,V33,Z33,AD33,AH33,AL33))&gt;0.005),INDEX(DebtNames,BJ33),IF(AND(BN33&lt;&gt;"",N(CHOOSE(BN33,J33,N33,R33,V33,Z33,AD33,AH33,AL33))&gt;0.005),INDEX(DebtNames,BN33),IF(AND(BR33&lt;&gt;"",N(CHOOSE(BR33,J33,N33,R33,V33,Z33,AD33,AH33,AL33))&gt;0.005),INDEX(DebtNames,BR33),""))))))))</f>
        <v/>
      </c>
      <c r="D33">
        <f>N(BU33)</f>
        <v/>
      </c>
      <c r="E33">
        <f>N(L33)+N(P33)+N(T33)+N(X33)+N(AB33)+N(AF33)+N(AJ33)+N(AN33)</f>
        <v/>
      </c>
      <c r="F33">
        <f>N(K33)+N(O33)+N(S33)+N(W33)+N(AA33)+N(AE33)+N(AI33)+N(AM33)</f>
        <v/>
      </c>
      <c r="G33">
        <f>N(G32)+N(F33)</f>
        <v/>
      </c>
      <c r="H33">
        <f>N(M33)+N(Q33)+N(U33)+N(Y33)+N(AC33)+N(AG33)+N(AK33)+N(AO33)</f>
        <v/>
      </c>
      <c r="I33">
        <f>(M33&gt;0.005)*1+(Q33&gt;0.005)*1+(U33&gt;0.005)*1+(Y33&gt;0.005)*1+(AC33&gt;0.005)*1+(AG33&gt;0.005)*1+(AK33&gt;0.005)*1+(AO33&gt;0.005)*1</f>
        <v/>
      </c>
      <c r="J33">
        <f>N(M32)</f>
        <v/>
      </c>
      <c r="K33">
        <f>IF(N(J33)&lt;=0.005,0,ROUND(N(J33)*N('Debt List'!E5)/12,2))</f>
        <v/>
      </c>
      <c r="L33">
        <f>IF(N(J33)&lt;=0.005,0,MIN(N('Debt List'!F5),N(J33)+N(K33)))+((AP33=1)*AR33+(AT33=1)*AV33+(AX33=1)*AZ33+(BB33=1)*BD33+(BF33=1)*BH33+(BJ33=1)*BL33+(BN33=1)*BP33+(BR33=1)*BT33)</f>
        <v/>
      </c>
      <c r="M33">
        <f>MAX(0,ROUND(N(J33)+N(K33)-N(L33),2))</f>
        <v/>
      </c>
      <c r="N33">
        <f>N(Q32)</f>
        <v/>
      </c>
      <c r="O33">
        <f>IF(N(N33)&lt;=0.005,0,ROUND(N(N33)*N('Debt List'!E6)/12,2))</f>
        <v/>
      </c>
      <c r="P33">
        <f>IF(N(N33)&lt;=0.005,0,MIN(N('Debt List'!F6),N(N33)+N(O33)))+((AP33=2)*AR33+(AT33=2)*AV33+(AX33=2)*AZ33+(BB33=2)*BD33+(BF33=2)*BH33+(BJ33=2)*BL33+(BN33=2)*BP33+(BR33=2)*BT33)</f>
        <v/>
      </c>
      <c r="Q33">
        <f>MAX(0,ROUND(N(N33)+N(O33)-N(P33),2))</f>
        <v/>
      </c>
      <c r="R33">
        <f>N(U32)</f>
        <v/>
      </c>
      <c r="S33">
        <f>IF(N(R33)&lt;=0.005,0,ROUND(N(R33)*N('Debt List'!E7)/12,2))</f>
        <v/>
      </c>
      <c r="T33">
        <f>IF(N(R33)&lt;=0.005,0,MIN(N('Debt List'!F7),N(R33)+N(S33)))+((AP33=3)*AR33+(AT33=3)*AV33+(AX33=3)*AZ33+(BB33=3)*BD33+(BF33=3)*BH33+(BJ33=3)*BL33+(BN33=3)*BP33+(BR33=3)*BT33)</f>
        <v/>
      </c>
      <c r="U33">
        <f>MAX(0,ROUND(N(R33)+N(S33)-N(T33),2))</f>
        <v/>
      </c>
      <c r="V33">
        <f>N(Y32)</f>
        <v/>
      </c>
      <c r="W33">
        <f>IF(N(V33)&lt;=0.005,0,ROUND(N(V33)*N('Debt List'!E8)/12,2))</f>
        <v/>
      </c>
      <c r="X33">
        <f>IF(N(V33)&lt;=0.005,0,MIN(N('Debt List'!F8),N(V33)+N(W33)))+((AP33=4)*AR33+(AT33=4)*AV33+(AX33=4)*AZ33+(BB33=4)*BD33+(BF33=4)*BH33+(BJ33=4)*BL33+(BN33=4)*BP33+(BR33=4)*BT33)</f>
        <v/>
      </c>
      <c r="Y33">
        <f>MAX(0,ROUND(N(V33)+N(W33)-N(X33),2))</f>
        <v/>
      </c>
      <c r="Z33">
        <f>N(AC32)</f>
        <v/>
      </c>
      <c r="AA33">
        <f>IF(N(Z33)&lt;=0.005,0,ROUND(N(Z33)*N('Debt List'!E9)/12,2))</f>
        <v/>
      </c>
      <c r="AB33">
        <f>IF(N(Z33)&lt;=0.005,0,MIN(N('Debt List'!F9),N(Z33)+N(AA33)))+((AP33=5)*AR33+(AT33=5)*AV33+(AX33=5)*AZ33+(BB33=5)*BD33+(BF33=5)*BH33+(BJ33=5)*BL33+(BN33=5)*BP33+(BR33=5)*BT33)</f>
        <v/>
      </c>
      <c r="AC33">
        <f>MAX(0,ROUND(N(Z33)+N(AA33)-N(AB33),2))</f>
        <v/>
      </c>
      <c r="AD33">
        <f>N(AG32)</f>
        <v/>
      </c>
      <c r="AE33">
        <f>IF(N(AD33)&lt;=0.005,0,ROUND(N(AD33)*N('Debt List'!E10)/12,2))</f>
        <v/>
      </c>
      <c r="AF33">
        <f>IF(N(AD33)&lt;=0.005,0,MIN(N('Debt List'!F10),N(AD33)+N(AE33)))+((AP33=6)*AR33+(AT33=6)*AV33+(AX33=6)*AZ33+(BB33=6)*BD33+(BF33=6)*BH33+(BJ33=6)*BL33+(BN33=6)*BP33+(BR33=6)*BT33)</f>
        <v/>
      </c>
      <c r="AG33">
        <f>MAX(0,ROUND(N(AD33)+N(AE33)-N(AF33),2))</f>
        <v/>
      </c>
      <c r="AH33">
        <f>N(AK32)</f>
        <v/>
      </c>
      <c r="AI33">
        <f>IF(N(AH33)&lt;=0.005,0,ROUND(N(AH33)*N('Debt List'!E11)/12,2))</f>
        <v/>
      </c>
      <c r="AJ33">
        <f>IF(N(AH33)&lt;=0.005,0,MIN(N('Debt List'!F11),N(AH33)+N(AI33)))+((AP33=7)*AR33+(AT33=7)*AV33+(AX33=7)*AZ33+(BB33=7)*BD33+(BF33=7)*BH33+(BJ33=7)*BL33+(BN33=7)*BP33+(BR33=7)*BT33)</f>
        <v/>
      </c>
      <c r="AK33">
        <f>MAX(0,ROUND(N(AH33)+N(AI33)-N(AJ33),2))</f>
        <v/>
      </c>
      <c r="AL33">
        <f>N(AO32)</f>
        <v/>
      </c>
      <c r="AM33">
        <f>IF(N(AL33)&lt;=0.005,0,ROUND(N(AL33)*N('Debt List'!E12)/12,2))</f>
        <v/>
      </c>
      <c r="AN33">
        <f>IF(N(AL33)&lt;=0.005,0,MIN(N('Debt List'!F12),N(AL33)+N(AM33)))+((AP33=8)*AR33+(AT33=8)*AV33+(AX33=8)*AZ33+(BB33=8)*BD33+(BF33=8)*BH33+(BJ33=8)*BL33+(BN33=8)*BP33+(BR33=8)*BT33)</f>
        <v/>
      </c>
      <c r="AO33">
        <f>MAX(0,ROUND(N(AL33)+N(AM33)-N(AN33),2))</f>
        <v/>
      </c>
      <c r="AP33">
        <f>IFERROR(MATCH(1,OrderPlan,0),"")</f>
        <v/>
      </c>
      <c r="AQ33">
        <f>IF(AP33="",0,IFERROR(IF(N(CHOOSE(AP33,J33,N33,R33,V33,Z33,AD33,AH33,AL33))&lt;=0.005,0,MAX(0,N(CHOOSE(AP33,J33,N33,R33,V33,Z33,AD33,AH33,AL33))+N(CHOOSE(AP33,K33,O33,S33,W33,AA33,AE33,AI33,AM33))-MIN(N(CHOOSE(AP33,'Debt List'!$F$5,'Debt List'!$F$6,'Debt List'!$F$7,'Debt List'!$F$8,'Debt List'!$F$9,'Debt List'!$F$10,'Debt List'!$F$11,'Debt List'!$F$12)),N(CHOOSE(AP33,J33,N33,R33,V33,Z33,AD33,AH33,AL33))+N(CHOOSE(AP33,K33,O33,S33,W33,AA33,AE33,AI33,AM33))))),0))</f>
        <v/>
      </c>
      <c r="AR33">
        <f>MIN(N(AQ33),MAX(0,N(ExtraPayment)))</f>
        <v/>
      </c>
      <c r="AS33">
        <f>MAX(0,N(ExtraPayment)-N(AR33))</f>
        <v/>
      </c>
      <c r="AT33">
        <f>IFERROR(MATCH(2,OrderPlan,0),"")</f>
        <v/>
      </c>
      <c r="AU33">
        <f>IF(AT33="",0,IFERROR(IF(N(CHOOSE(AT33,J33,N33,R33,V33,Z33,AD33,AH33,AL33))&lt;=0.005,0,MAX(0,N(CHOOSE(AT33,J33,N33,R33,V33,Z33,AD33,AH33,AL33))+N(CHOOSE(AT33,K33,O33,S33,W33,AA33,AE33,AI33,AM33))-MIN(N(CHOOSE(AT33,'Debt List'!$F$5,'Debt List'!$F$6,'Debt List'!$F$7,'Debt List'!$F$8,'Debt List'!$F$9,'Debt List'!$F$10,'Debt List'!$F$11,'Debt List'!$F$12)),N(CHOOSE(AT33,J33,N33,R33,V33,Z33,AD33,AH33,AL33))+N(CHOOSE(AT33,K33,O33,S33,W33,AA33,AE33,AI33,AM33))))),0))</f>
        <v/>
      </c>
      <c r="AV33">
        <f>MIN(N(AU33),MAX(0,N(AS33)))</f>
        <v/>
      </c>
      <c r="AW33">
        <f>MAX(0,N(AS33)-N(AV33))</f>
        <v/>
      </c>
      <c r="AX33">
        <f>IFERROR(MATCH(3,OrderPlan,0),"")</f>
        <v/>
      </c>
      <c r="AY33">
        <f>IF(AX33="",0,IFERROR(IF(N(CHOOSE(AX33,J33,N33,R33,V33,Z33,AD33,AH33,AL33))&lt;=0.005,0,MAX(0,N(CHOOSE(AX33,J33,N33,R33,V33,Z33,AD33,AH33,AL33))+N(CHOOSE(AX33,K33,O33,S33,W33,AA33,AE33,AI33,AM33))-MIN(N(CHOOSE(AX33,'Debt List'!$F$5,'Debt List'!$F$6,'Debt List'!$F$7,'Debt List'!$F$8,'Debt List'!$F$9,'Debt List'!$F$10,'Debt List'!$F$11,'Debt List'!$F$12)),N(CHOOSE(AX33,J33,N33,R33,V33,Z33,AD33,AH33,AL33))+N(CHOOSE(AX33,K33,O33,S33,W33,AA33,AE33,AI33,AM33))))),0))</f>
        <v/>
      </c>
      <c r="AZ33">
        <f>MIN(N(AY33),MAX(0,N(AW33)))</f>
        <v/>
      </c>
      <c r="BA33">
        <f>MAX(0,N(AW33)-N(AZ33))</f>
        <v/>
      </c>
      <c r="BB33">
        <f>IFERROR(MATCH(4,OrderPlan,0),"")</f>
        <v/>
      </c>
      <c r="BC33">
        <f>IF(BB33="",0,IFERROR(IF(N(CHOOSE(BB33,J33,N33,R33,V33,Z33,AD33,AH33,AL33))&lt;=0.005,0,MAX(0,N(CHOOSE(BB33,J33,N33,R33,V33,Z33,AD33,AH33,AL33))+N(CHOOSE(BB33,K33,O33,S33,W33,AA33,AE33,AI33,AM33))-MIN(N(CHOOSE(BB33,'Debt List'!$F$5,'Debt List'!$F$6,'Debt List'!$F$7,'Debt List'!$F$8,'Debt List'!$F$9,'Debt List'!$F$10,'Debt List'!$F$11,'Debt List'!$F$12)),N(CHOOSE(BB33,J33,N33,R33,V33,Z33,AD33,AH33,AL33))+N(CHOOSE(BB33,K33,O33,S33,W33,AA33,AE33,AI33,AM33))))),0))</f>
        <v/>
      </c>
      <c r="BD33">
        <f>MIN(N(BC33),MAX(0,N(BA33)))</f>
        <v/>
      </c>
      <c r="BE33">
        <f>MAX(0,N(BA33)-N(BD33))</f>
        <v/>
      </c>
      <c r="BF33">
        <f>IFERROR(MATCH(5,OrderPlan,0),"")</f>
        <v/>
      </c>
      <c r="BG33">
        <f>IF(BF33="",0,IFERROR(IF(N(CHOOSE(BF33,J33,N33,R33,V33,Z33,AD33,AH33,AL33))&lt;=0.005,0,MAX(0,N(CHOOSE(BF33,J33,N33,R33,V33,Z33,AD33,AH33,AL33))+N(CHOOSE(BF33,K33,O33,S33,W33,AA33,AE33,AI33,AM33))-MIN(N(CHOOSE(BF33,'Debt List'!$F$5,'Debt List'!$F$6,'Debt List'!$F$7,'Debt List'!$F$8,'Debt List'!$F$9,'Debt List'!$F$10,'Debt List'!$F$11,'Debt List'!$F$12)),N(CHOOSE(BF33,J33,N33,R33,V33,Z33,AD33,AH33,AL33))+N(CHOOSE(BF33,K33,O33,S33,W33,AA33,AE33,AI33,AM33))))),0))</f>
        <v/>
      </c>
      <c r="BH33">
        <f>MIN(N(BG33),MAX(0,N(BE33)))</f>
        <v/>
      </c>
      <c r="BI33">
        <f>MAX(0,N(BE33)-N(BH33))</f>
        <v/>
      </c>
      <c r="BJ33">
        <f>IFERROR(MATCH(6,OrderPlan,0),"")</f>
        <v/>
      </c>
      <c r="BK33">
        <f>IF(BJ33="",0,IFERROR(IF(N(CHOOSE(BJ33,J33,N33,R33,V33,Z33,AD33,AH33,AL33))&lt;=0.005,0,MAX(0,N(CHOOSE(BJ33,J33,N33,R33,V33,Z33,AD33,AH33,AL33))+N(CHOOSE(BJ33,K33,O33,S33,W33,AA33,AE33,AI33,AM33))-MIN(N(CHOOSE(BJ33,'Debt List'!$F$5,'Debt List'!$F$6,'Debt List'!$F$7,'Debt List'!$F$8,'Debt List'!$F$9,'Debt List'!$F$10,'Debt List'!$F$11,'Debt List'!$F$12)),N(CHOOSE(BJ33,J33,N33,R33,V33,Z33,AD33,AH33,AL33))+N(CHOOSE(BJ33,K33,O33,S33,W33,AA33,AE33,AI33,AM33))))),0))</f>
        <v/>
      </c>
      <c r="BL33">
        <f>MIN(N(BK33),MAX(0,N(BI33)))</f>
        <v/>
      </c>
      <c r="BM33">
        <f>MAX(0,N(BI33)-N(BL33))</f>
        <v/>
      </c>
      <c r="BN33">
        <f>IFERROR(MATCH(7,OrderPlan,0),"")</f>
        <v/>
      </c>
      <c r="BO33">
        <f>IF(BN33="",0,IFERROR(IF(N(CHOOSE(BN33,J33,N33,R33,V33,Z33,AD33,AH33,AL33))&lt;=0.005,0,MAX(0,N(CHOOSE(BN33,J33,N33,R33,V33,Z33,AD33,AH33,AL33))+N(CHOOSE(BN33,K33,O33,S33,W33,AA33,AE33,AI33,AM33))-MIN(N(CHOOSE(BN33,'Debt List'!$F$5,'Debt List'!$F$6,'Debt List'!$F$7,'Debt List'!$F$8,'Debt List'!$F$9,'Debt List'!$F$10,'Debt List'!$F$11,'Debt List'!$F$12)),N(CHOOSE(BN33,J33,N33,R33,V33,Z33,AD33,AH33,AL33))+N(CHOOSE(BN33,K33,O33,S33,W33,AA33,AE33,AI33,AM33))))),0))</f>
        <v/>
      </c>
      <c r="BP33">
        <f>MIN(N(BO33),MAX(0,N(BM33)))</f>
        <v/>
      </c>
      <c r="BQ33">
        <f>MAX(0,N(BM33)-N(BP33))</f>
        <v/>
      </c>
      <c r="BR33">
        <f>IFERROR(MATCH(8,OrderPlan,0),"")</f>
        <v/>
      </c>
      <c r="BS33">
        <f>IF(BR33="",0,IFERROR(IF(N(CHOOSE(BR33,J33,N33,R33,V33,Z33,AD33,AH33,AL33))&lt;=0.005,0,MAX(0,N(CHOOSE(BR33,J33,N33,R33,V33,Z33,AD33,AH33,AL33))+N(CHOOSE(BR33,K33,O33,S33,W33,AA33,AE33,AI33,AM33))-MIN(N(CHOOSE(BR33,'Debt List'!$F$5,'Debt List'!$F$6,'Debt List'!$F$7,'Debt List'!$F$8,'Debt List'!$F$9,'Debt List'!$F$10,'Debt List'!$F$11,'Debt List'!$F$12)),N(CHOOSE(BR33,J33,N33,R33,V33,Z33,AD33,AH33,AL33))+N(CHOOSE(BR33,K33,O33,S33,W33,AA33,AE33,AI33,AM33))))),0))</f>
        <v/>
      </c>
      <c r="BT33">
        <f>MIN(N(BS33),MAX(0,N(BQ33)))</f>
        <v/>
      </c>
      <c r="BU33">
        <f>MAX(0,N(BQ33)-N(BT33))</f>
        <v/>
      </c>
      <c r="CC33" t="n">
        <v>29</v>
      </c>
      <c r="CD33" s="115">
        <f>DATE(YEAR(PlanStart),MONTH(PlanStart)+CC33-1,1)</f>
        <v/>
      </c>
      <c r="CE33">
        <f>IF(AND(DR33&lt;&gt;"",N(CHOOSE(DR33,CL33,CP33,CT33,CX33,DB33,DF33,DJ33,DN33))&gt;0.005),INDEX(DebtNames,DR33),IF(AND(DV33&lt;&gt;"",N(CHOOSE(DV33,CL33,CP33,CT33,CX33,DB33,DF33,DJ33,DN33))&gt;0.005),INDEX(DebtNames,DV33),IF(AND(DZ33&lt;&gt;"",N(CHOOSE(DZ33,CL33,CP33,CT33,CX33,DB33,DF33,DJ33,DN33))&gt;0.005),INDEX(DebtNames,DZ33),IF(AND(ED33&lt;&gt;"",N(CHOOSE(ED33,CL33,CP33,CT33,CX33,DB33,DF33,DJ33,DN33))&gt;0.005),INDEX(DebtNames,ED33),IF(AND(EH33&lt;&gt;"",N(CHOOSE(EH33,CL33,CP33,CT33,CX33,DB33,DF33,DJ33,DN33))&gt;0.005),INDEX(DebtNames,EH33),IF(AND(EL33&lt;&gt;"",N(CHOOSE(EL33,CL33,CP33,CT33,CX33,DB33,DF33,DJ33,DN33))&gt;0.005),INDEX(DebtNames,EL33),IF(AND(EP33&lt;&gt;"",N(CHOOSE(EP33,CL33,CP33,CT33,CX33,DB33,DF33,DJ33,DN33))&gt;0.005),INDEX(DebtNames,EP33),IF(AND(ET33&lt;&gt;"",N(CHOOSE(ET33,CL33,CP33,CT33,CX33,DB33,DF33,DJ33,DN33))&gt;0.005),INDEX(DebtNames,ET33),""))))))))</f>
        <v/>
      </c>
      <c r="CF33">
        <f>N(EW33)</f>
        <v/>
      </c>
      <c r="CG33">
        <f>N(CN33)+N(CR33)+N(CV33)+N(CZ33)+N(DD33)+N(DH33)+N(DL33)+N(DP33)</f>
        <v/>
      </c>
      <c r="CH33">
        <f>N(CM33)+N(CQ33)+N(CU33)+N(CY33)+N(DC33)+N(DG33)+N(DK33)+N(DO33)</f>
        <v/>
      </c>
      <c r="CI33">
        <f>N(CI32)+N(CH33)</f>
        <v/>
      </c>
      <c r="CJ33">
        <f>N(CO33)+N(CS33)+N(CW33)+N(DA33)+N(DE33)+N(DI33)+N(DM33)+N(DQ33)</f>
        <v/>
      </c>
      <c r="CK33">
        <f>(CO33&gt;0.005)*1+(CS33&gt;0.005)*1+(CW33&gt;0.005)*1+(DA33&gt;0.005)*1+(DE33&gt;0.005)*1+(DI33&gt;0.005)*1+(DM33&gt;0.005)*1+(DQ33&gt;0.005)*1</f>
        <v/>
      </c>
      <c r="CL33">
        <f>N(CO32)</f>
        <v/>
      </c>
      <c r="CM33">
        <f>IF(N(CL33)&lt;=0.005,0,ROUND(N(CL33)*N('Debt List'!E5)/12,2))</f>
        <v/>
      </c>
      <c r="CN33">
        <f>IF(N(CL33)&lt;=0.005,0,MIN(N('Debt List'!F5),N(CL33)+N(CM33)))+((DR33=1)*DT33+(DV33=1)*DX33+(DZ33=1)*EB33+(ED33=1)*EF33+(EH33=1)*EJ33+(EL33=1)*EN33+(EP33=1)*ER33+(ET33=1)*EV33)</f>
        <v/>
      </c>
      <c r="CO33">
        <f>MAX(0,ROUND(N(CL33)+N(CM33)-N(CN33),2))</f>
        <v/>
      </c>
      <c r="CP33">
        <f>N(CS32)</f>
        <v/>
      </c>
      <c r="CQ33">
        <f>IF(N(CP33)&lt;=0.005,0,ROUND(N(CP33)*N('Debt List'!E6)/12,2))</f>
        <v/>
      </c>
      <c r="CR33">
        <f>IF(N(CP33)&lt;=0.005,0,MIN(N('Debt List'!F6),N(CP33)+N(CQ33)))+((DR33=2)*DT33+(DV33=2)*DX33+(DZ33=2)*EB33+(ED33=2)*EF33+(EH33=2)*EJ33+(EL33=2)*EN33+(EP33=2)*ER33+(ET33=2)*EV33)</f>
        <v/>
      </c>
      <c r="CS33">
        <f>MAX(0,ROUND(N(CP33)+N(CQ33)-N(CR33),2))</f>
        <v/>
      </c>
      <c r="CT33">
        <f>N(CW32)</f>
        <v/>
      </c>
      <c r="CU33">
        <f>IF(N(CT33)&lt;=0.005,0,ROUND(N(CT33)*N('Debt List'!E7)/12,2))</f>
        <v/>
      </c>
      <c r="CV33">
        <f>IF(N(CT33)&lt;=0.005,0,MIN(N('Debt List'!F7),N(CT33)+N(CU33)))+((DR33=3)*DT33+(DV33=3)*DX33+(DZ33=3)*EB33+(ED33=3)*EF33+(EH33=3)*EJ33+(EL33=3)*EN33+(EP33=3)*ER33+(ET33=3)*EV33)</f>
        <v/>
      </c>
      <c r="CW33">
        <f>MAX(0,ROUND(N(CT33)+N(CU33)-N(CV33),2))</f>
        <v/>
      </c>
      <c r="CX33">
        <f>N(DA32)</f>
        <v/>
      </c>
      <c r="CY33">
        <f>IF(N(CX33)&lt;=0.005,0,ROUND(N(CX33)*N('Debt List'!E8)/12,2))</f>
        <v/>
      </c>
      <c r="CZ33">
        <f>IF(N(CX33)&lt;=0.005,0,MIN(N('Debt List'!F8),N(CX33)+N(CY33)))+((DR33=4)*DT33+(DV33=4)*DX33+(DZ33=4)*EB33+(ED33=4)*EF33+(EH33=4)*EJ33+(EL33=4)*EN33+(EP33=4)*ER33+(ET33=4)*EV33)</f>
        <v/>
      </c>
      <c r="DA33">
        <f>MAX(0,ROUND(N(CX33)+N(CY33)-N(CZ33),2))</f>
        <v/>
      </c>
      <c r="DB33">
        <f>N(DE32)</f>
        <v/>
      </c>
      <c r="DC33">
        <f>IF(N(DB33)&lt;=0.005,0,ROUND(N(DB33)*N('Debt List'!E9)/12,2))</f>
        <v/>
      </c>
      <c r="DD33">
        <f>IF(N(DB33)&lt;=0.005,0,MIN(N('Debt List'!F9),N(DB33)+N(DC33)))+((DR33=5)*DT33+(DV33=5)*DX33+(DZ33=5)*EB33+(ED33=5)*EF33+(EH33=5)*EJ33+(EL33=5)*EN33+(EP33=5)*ER33+(ET33=5)*EV33)</f>
        <v/>
      </c>
      <c r="DE33">
        <f>MAX(0,ROUND(N(DB33)+N(DC33)-N(DD33),2))</f>
        <v/>
      </c>
      <c r="DF33">
        <f>N(DI32)</f>
        <v/>
      </c>
      <c r="DG33">
        <f>IF(N(DF33)&lt;=0.005,0,ROUND(N(DF33)*N('Debt List'!E10)/12,2))</f>
        <v/>
      </c>
      <c r="DH33">
        <f>IF(N(DF33)&lt;=0.005,0,MIN(N('Debt List'!F10),N(DF33)+N(DG33)))+((DR33=6)*DT33+(DV33=6)*DX33+(DZ33=6)*EB33+(ED33=6)*EF33+(EH33=6)*EJ33+(EL33=6)*EN33+(EP33=6)*ER33+(ET33=6)*EV33)</f>
        <v/>
      </c>
      <c r="DI33">
        <f>MAX(0,ROUND(N(DF33)+N(DG33)-N(DH33),2))</f>
        <v/>
      </c>
      <c r="DJ33">
        <f>N(DM32)</f>
        <v/>
      </c>
      <c r="DK33">
        <f>IF(N(DJ33)&lt;=0.005,0,ROUND(N(DJ33)*N('Debt List'!E11)/12,2))</f>
        <v/>
      </c>
      <c r="DL33">
        <f>IF(N(DJ33)&lt;=0.005,0,MIN(N('Debt List'!F11),N(DJ33)+N(DK33)))+((DR33=7)*DT33+(DV33=7)*DX33+(DZ33=7)*EB33+(ED33=7)*EF33+(EH33=7)*EJ33+(EL33=7)*EN33+(EP33=7)*ER33+(ET33=7)*EV33)</f>
        <v/>
      </c>
      <c r="DM33">
        <f>MAX(0,ROUND(N(DJ33)+N(DK33)-N(DL33),2))</f>
        <v/>
      </c>
      <c r="DN33">
        <f>N(DQ32)</f>
        <v/>
      </c>
      <c r="DO33">
        <f>IF(N(DN33)&lt;=0.005,0,ROUND(N(DN33)*N('Debt List'!E12)/12,2))</f>
        <v/>
      </c>
      <c r="DP33">
        <f>IF(N(DN33)&lt;=0.005,0,MIN(N('Debt List'!F12),N(DN33)+N(DO33)))+((DR33=8)*DT33+(DV33=8)*DX33+(DZ33=8)*EB33+(ED33=8)*EF33+(EH33=8)*EJ33+(EL33=8)*EN33+(EP33=8)*ER33+(ET33=8)*EV33)</f>
        <v/>
      </c>
      <c r="DQ33">
        <f>MAX(0,ROUND(N(DN33)+N(DO33)-N(DP33),2))</f>
        <v/>
      </c>
      <c r="DR33">
        <f>IFERROR(MATCH(1,OrderSnow,0),"")</f>
        <v/>
      </c>
      <c r="DS33">
        <f>IF(DR33="",0,IFERROR(IF(N(CHOOSE(DR33,CL33,CP33,CT33,CX33,DB33,DF33,DJ33,DN33))&lt;=0.005,0,MAX(0,N(CHOOSE(DR33,CL33,CP33,CT33,CX33,DB33,DF33,DJ33,DN33))+N(CHOOSE(DR33,CM33,CQ33,CU33,CY33,DC33,DG33,DK33,DO33))-MIN(N(CHOOSE(DR33,'Debt List'!$F$5,'Debt List'!$F$6,'Debt List'!$F$7,'Debt List'!$F$8,'Debt List'!$F$9,'Debt List'!$F$10,'Debt List'!$F$11,'Debt List'!$F$12)),N(CHOOSE(DR33,CL33,CP33,CT33,CX33,DB33,DF33,DJ33,DN33))+N(CHOOSE(DR33,CM33,CQ33,CU33,CY33,DC33,DG33,DK33,DO33))))),0))</f>
        <v/>
      </c>
      <c r="DT33">
        <f>MIN(N(DS33),MAX(0,N(ExtraPayment)))</f>
        <v/>
      </c>
      <c r="DU33">
        <f>MAX(0,N(ExtraPayment)-N(DT33))</f>
        <v/>
      </c>
      <c r="DV33">
        <f>IFERROR(MATCH(2,OrderSnow,0),"")</f>
        <v/>
      </c>
      <c r="DW33">
        <f>IF(DV33="",0,IFERROR(IF(N(CHOOSE(DV33,CL33,CP33,CT33,CX33,DB33,DF33,DJ33,DN33))&lt;=0.005,0,MAX(0,N(CHOOSE(DV33,CL33,CP33,CT33,CX33,DB33,DF33,DJ33,DN33))+N(CHOOSE(DV33,CM33,CQ33,CU33,CY33,DC33,DG33,DK33,DO33))-MIN(N(CHOOSE(DV33,'Debt List'!$F$5,'Debt List'!$F$6,'Debt List'!$F$7,'Debt List'!$F$8,'Debt List'!$F$9,'Debt List'!$F$10,'Debt List'!$F$11,'Debt List'!$F$12)),N(CHOOSE(DV33,CL33,CP33,CT33,CX33,DB33,DF33,DJ33,DN33))+N(CHOOSE(DV33,CM33,CQ33,CU33,CY33,DC33,DG33,DK33,DO33))))),0))</f>
        <v/>
      </c>
      <c r="DX33">
        <f>MIN(N(DW33),MAX(0,N(DU33)))</f>
        <v/>
      </c>
      <c r="DY33">
        <f>MAX(0,N(DU33)-N(DX33))</f>
        <v/>
      </c>
      <c r="DZ33">
        <f>IFERROR(MATCH(3,OrderSnow,0),"")</f>
        <v/>
      </c>
      <c r="EA33">
        <f>IF(DZ33="",0,IFERROR(IF(N(CHOOSE(DZ33,CL33,CP33,CT33,CX33,DB33,DF33,DJ33,DN33))&lt;=0.005,0,MAX(0,N(CHOOSE(DZ33,CL33,CP33,CT33,CX33,DB33,DF33,DJ33,DN33))+N(CHOOSE(DZ33,CM33,CQ33,CU33,CY33,DC33,DG33,DK33,DO33))-MIN(N(CHOOSE(DZ33,'Debt List'!$F$5,'Debt List'!$F$6,'Debt List'!$F$7,'Debt List'!$F$8,'Debt List'!$F$9,'Debt List'!$F$10,'Debt List'!$F$11,'Debt List'!$F$12)),N(CHOOSE(DZ33,CL33,CP33,CT33,CX33,DB33,DF33,DJ33,DN33))+N(CHOOSE(DZ33,CM33,CQ33,CU33,CY33,DC33,DG33,DK33,DO33))))),0))</f>
        <v/>
      </c>
      <c r="EB33">
        <f>MIN(N(EA33),MAX(0,N(DY33)))</f>
        <v/>
      </c>
      <c r="EC33">
        <f>MAX(0,N(DY33)-N(EB33))</f>
        <v/>
      </c>
      <c r="ED33">
        <f>IFERROR(MATCH(4,OrderSnow,0),"")</f>
        <v/>
      </c>
      <c r="EE33">
        <f>IF(ED33="",0,IFERROR(IF(N(CHOOSE(ED33,CL33,CP33,CT33,CX33,DB33,DF33,DJ33,DN33))&lt;=0.005,0,MAX(0,N(CHOOSE(ED33,CL33,CP33,CT33,CX33,DB33,DF33,DJ33,DN33))+N(CHOOSE(ED33,CM33,CQ33,CU33,CY33,DC33,DG33,DK33,DO33))-MIN(N(CHOOSE(ED33,'Debt List'!$F$5,'Debt List'!$F$6,'Debt List'!$F$7,'Debt List'!$F$8,'Debt List'!$F$9,'Debt List'!$F$10,'Debt List'!$F$11,'Debt List'!$F$12)),N(CHOOSE(ED33,CL33,CP33,CT33,CX33,DB33,DF33,DJ33,DN33))+N(CHOOSE(ED33,CM33,CQ33,CU33,CY33,DC33,DG33,DK33,DO33))))),0))</f>
        <v/>
      </c>
      <c r="EF33">
        <f>MIN(N(EE33),MAX(0,N(EC33)))</f>
        <v/>
      </c>
      <c r="EG33">
        <f>MAX(0,N(EC33)-N(EF33))</f>
        <v/>
      </c>
      <c r="EH33">
        <f>IFERROR(MATCH(5,OrderSnow,0),"")</f>
        <v/>
      </c>
      <c r="EI33">
        <f>IF(EH33="",0,IFERROR(IF(N(CHOOSE(EH33,CL33,CP33,CT33,CX33,DB33,DF33,DJ33,DN33))&lt;=0.005,0,MAX(0,N(CHOOSE(EH33,CL33,CP33,CT33,CX33,DB33,DF33,DJ33,DN33))+N(CHOOSE(EH33,CM33,CQ33,CU33,CY33,DC33,DG33,DK33,DO33))-MIN(N(CHOOSE(EH33,'Debt List'!$F$5,'Debt List'!$F$6,'Debt List'!$F$7,'Debt List'!$F$8,'Debt List'!$F$9,'Debt List'!$F$10,'Debt List'!$F$11,'Debt List'!$F$12)),N(CHOOSE(EH33,CL33,CP33,CT33,CX33,DB33,DF33,DJ33,DN33))+N(CHOOSE(EH33,CM33,CQ33,CU33,CY33,DC33,DG33,DK33,DO33))))),0))</f>
        <v/>
      </c>
      <c r="EJ33">
        <f>MIN(N(EI33),MAX(0,N(EG33)))</f>
        <v/>
      </c>
      <c r="EK33">
        <f>MAX(0,N(EG33)-N(EJ33))</f>
        <v/>
      </c>
      <c r="EL33">
        <f>IFERROR(MATCH(6,OrderSnow,0),"")</f>
        <v/>
      </c>
      <c r="EM33">
        <f>IF(EL33="",0,IFERROR(IF(N(CHOOSE(EL33,CL33,CP33,CT33,CX33,DB33,DF33,DJ33,DN33))&lt;=0.005,0,MAX(0,N(CHOOSE(EL33,CL33,CP33,CT33,CX33,DB33,DF33,DJ33,DN33))+N(CHOOSE(EL33,CM33,CQ33,CU33,CY33,DC33,DG33,DK33,DO33))-MIN(N(CHOOSE(EL33,'Debt List'!$F$5,'Debt List'!$F$6,'Debt List'!$F$7,'Debt List'!$F$8,'Debt List'!$F$9,'Debt List'!$F$10,'Debt List'!$F$11,'Debt List'!$F$12)),N(CHOOSE(EL33,CL33,CP33,CT33,CX33,DB33,DF33,DJ33,DN33))+N(CHOOSE(EL33,CM33,CQ33,CU33,CY33,DC33,DG33,DK33,DO33))))),0))</f>
        <v/>
      </c>
      <c r="EN33">
        <f>MIN(N(EM33),MAX(0,N(EK33)))</f>
        <v/>
      </c>
      <c r="EO33">
        <f>MAX(0,N(EK33)-N(EN33))</f>
        <v/>
      </c>
      <c r="EP33">
        <f>IFERROR(MATCH(7,OrderSnow,0),"")</f>
        <v/>
      </c>
      <c r="EQ33">
        <f>IF(EP33="",0,IFERROR(IF(N(CHOOSE(EP33,CL33,CP33,CT33,CX33,DB33,DF33,DJ33,DN33))&lt;=0.005,0,MAX(0,N(CHOOSE(EP33,CL33,CP33,CT33,CX33,DB33,DF33,DJ33,DN33))+N(CHOOSE(EP33,CM33,CQ33,CU33,CY33,DC33,DG33,DK33,DO33))-MIN(N(CHOOSE(EP33,'Debt List'!$F$5,'Debt List'!$F$6,'Debt List'!$F$7,'Debt List'!$F$8,'Debt List'!$F$9,'Debt List'!$F$10,'Debt List'!$F$11,'Debt List'!$F$12)),N(CHOOSE(EP33,CL33,CP33,CT33,CX33,DB33,DF33,DJ33,DN33))+N(CHOOSE(EP33,CM33,CQ33,CU33,CY33,DC33,DG33,DK33,DO33))))),0))</f>
        <v/>
      </c>
      <c r="ER33">
        <f>MIN(N(EQ33),MAX(0,N(EO33)))</f>
        <v/>
      </c>
      <c r="ES33">
        <f>MAX(0,N(EO33)-N(ER33))</f>
        <v/>
      </c>
      <c r="ET33">
        <f>IFERROR(MATCH(8,OrderSnow,0),"")</f>
        <v/>
      </c>
      <c r="EU33">
        <f>IF(ET33="",0,IFERROR(IF(N(CHOOSE(ET33,CL33,CP33,CT33,CX33,DB33,DF33,DJ33,DN33))&lt;=0.005,0,MAX(0,N(CHOOSE(ET33,CL33,CP33,CT33,CX33,DB33,DF33,DJ33,DN33))+N(CHOOSE(ET33,CM33,CQ33,CU33,CY33,DC33,DG33,DK33,DO33))-MIN(N(CHOOSE(ET33,'Debt List'!$F$5,'Debt List'!$F$6,'Debt List'!$F$7,'Debt List'!$F$8,'Debt List'!$F$9,'Debt List'!$F$10,'Debt List'!$F$11,'Debt List'!$F$12)),N(CHOOSE(ET33,CL33,CP33,CT33,CX33,DB33,DF33,DJ33,DN33))+N(CHOOSE(ET33,CM33,CQ33,CU33,CY33,DC33,DG33,DK33,DO33))))),0))</f>
        <v/>
      </c>
      <c r="EV33">
        <f>MIN(N(EU33),MAX(0,N(ES33)))</f>
        <v/>
      </c>
      <c r="EW33">
        <f>MAX(0,N(ES33)-N(EV33))</f>
        <v/>
      </c>
      <c r="FE33" t="n">
        <v>29</v>
      </c>
      <c r="FF33" s="115">
        <f>DATE(YEAR(PlanStart),MONTH(PlanStart)+FE33-1,1)</f>
        <v/>
      </c>
      <c r="FG33">
        <f>IF(AND(GT33&lt;&gt;"",N(CHOOSE(GT33,FN33,FR33,FV33,FZ33,GD33,GH33,GL33,GP33))&gt;0.005),INDEX(DebtNames,GT33),IF(AND(GX33&lt;&gt;"",N(CHOOSE(GX33,FN33,FR33,FV33,FZ33,GD33,GH33,GL33,GP33))&gt;0.005),INDEX(DebtNames,GX33),IF(AND(HB33&lt;&gt;"",N(CHOOSE(HB33,FN33,FR33,FV33,FZ33,GD33,GH33,GL33,GP33))&gt;0.005),INDEX(DebtNames,HB33),IF(AND(HF33&lt;&gt;"",N(CHOOSE(HF33,FN33,FR33,FV33,FZ33,GD33,GH33,GL33,GP33))&gt;0.005),INDEX(DebtNames,HF33),IF(AND(HJ33&lt;&gt;"",N(CHOOSE(HJ33,FN33,FR33,FV33,FZ33,GD33,GH33,GL33,GP33))&gt;0.005),INDEX(DebtNames,HJ33),IF(AND(HN33&lt;&gt;"",N(CHOOSE(HN33,FN33,FR33,FV33,FZ33,GD33,GH33,GL33,GP33))&gt;0.005),INDEX(DebtNames,HN33),IF(AND(HR33&lt;&gt;"",N(CHOOSE(HR33,FN33,FR33,FV33,FZ33,GD33,GH33,GL33,GP33))&gt;0.005),INDEX(DebtNames,HR33),IF(AND(HV33&lt;&gt;"",N(CHOOSE(HV33,FN33,FR33,FV33,FZ33,GD33,GH33,GL33,GP33))&gt;0.005),INDEX(DebtNames,HV33),""))))))))</f>
        <v/>
      </c>
      <c r="FH33">
        <f>N(HY33)</f>
        <v/>
      </c>
      <c r="FI33">
        <f>N(FP33)+N(FT33)+N(FX33)+N(GB33)+N(GF33)+N(GJ33)+N(GN33)+N(GR33)</f>
        <v/>
      </c>
      <c r="FJ33">
        <f>N(FO33)+N(FS33)+N(FW33)+N(GA33)+N(GE33)+N(GI33)+N(GM33)+N(GQ33)</f>
        <v/>
      </c>
      <c r="FK33">
        <f>N(FK32)+N(FJ33)</f>
        <v/>
      </c>
      <c r="FL33">
        <f>N(FQ33)+N(FU33)+N(FY33)+N(GC33)+N(GG33)+N(GK33)+N(GO33)+N(GS33)</f>
        <v/>
      </c>
      <c r="FM33">
        <f>(FQ33&gt;0.005)*1+(FU33&gt;0.005)*1+(FY33&gt;0.005)*1+(GC33&gt;0.005)*1+(GG33&gt;0.005)*1+(GK33&gt;0.005)*1+(GO33&gt;0.005)*1+(GS33&gt;0.005)*1</f>
        <v/>
      </c>
      <c r="FN33">
        <f>N(FQ32)</f>
        <v/>
      </c>
      <c r="FO33">
        <f>IF(N(FN33)&lt;=0.005,0,ROUND(N(FN33)*N('Debt List'!E5)/12,2))</f>
        <v/>
      </c>
      <c r="FP33">
        <f>IF(N(FN33)&lt;=0.005,0,MIN(N('Debt List'!F5),N(FN33)+N(FO33)))+((GT33=1)*GV33+(GX33=1)*GZ33+(HB33=1)*HD33+(HF33=1)*HH33+(HJ33=1)*HL33+(HN33=1)*HP33+(HR33=1)*HT33+(HV33=1)*HX33)</f>
        <v/>
      </c>
      <c r="FQ33">
        <f>MAX(0,ROUND(N(FN33)+N(FO33)-N(FP33),2))</f>
        <v/>
      </c>
      <c r="FR33">
        <f>N(FU32)</f>
        <v/>
      </c>
      <c r="FS33">
        <f>IF(N(FR33)&lt;=0.005,0,ROUND(N(FR33)*N('Debt List'!E6)/12,2))</f>
        <v/>
      </c>
      <c r="FT33">
        <f>IF(N(FR33)&lt;=0.005,0,MIN(N('Debt List'!F6),N(FR33)+N(FS33)))+((GT33=2)*GV33+(GX33=2)*GZ33+(HB33=2)*HD33+(HF33=2)*HH33+(HJ33=2)*HL33+(HN33=2)*HP33+(HR33=2)*HT33+(HV33=2)*HX33)</f>
        <v/>
      </c>
      <c r="FU33">
        <f>MAX(0,ROUND(N(FR33)+N(FS33)-N(FT33),2))</f>
        <v/>
      </c>
      <c r="FV33">
        <f>N(FY32)</f>
        <v/>
      </c>
      <c r="FW33">
        <f>IF(N(FV33)&lt;=0.005,0,ROUND(N(FV33)*N('Debt List'!E7)/12,2))</f>
        <v/>
      </c>
      <c r="FX33">
        <f>IF(N(FV33)&lt;=0.005,0,MIN(N('Debt List'!F7),N(FV33)+N(FW33)))+((GT33=3)*GV33+(GX33=3)*GZ33+(HB33=3)*HD33+(HF33=3)*HH33+(HJ33=3)*HL33+(HN33=3)*HP33+(HR33=3)*HT33+(HV33=3)*HX33)</f>
        <v/>
      </c>
      <c r="FY33">
        <f>MAX(0,ROUND(N(FV33)+N(FW33)-N(FX33),2))</f>
        <v/>
      </c>
      <c r="FZ33">
        <f>N(GC32)</f>
        <v/>
      </c>
      <c r="GA33">
        <f>IF(N(FZ33)&lt;=0.005,0,ROUND(N(FZ33)*N('Debt List'!E8)/12,2))</f>
        <v/>
      </c>
      <c r="GB33">
        <f>IF(N(FZ33)&lt;=0.005,0,MIN(N('Debt List'!F8),N(FZ33)+N(GA33)))+((GT33=4)*GV33+(GX33=4)*GZ33+(HB33=4)*HD33+(HF33=4)*HH33+(HJ33=4)*HL33+(HN33=4)*HP33+(HR33=4)*HT33+(HV33=4)*HX33)</f>
        <v/>
      </c>
      <c r="GC33">
        <f>MAX(0,ROUND(N(FZ33)+N(GA33)-N(GB33),2))</f>
        <v/>
      </c>
      <c r="GD33">
        <f>N(GG32)</f>
        <v/>
      </c>
      <c r="GE33">
        <f>IF(N(GD33)&lt;=0.005,0,ROUND(N(GD33)*N('Debt List'!E9)/12,2))</f>
        <v/>
      </c>
      <c r="GF33">
        <f>IF(N(GD33)&lt;=0.005,0,MIN(N('Debt List'!F9),N(GD33)+N(GE33)))+((GT33=5)*GV33+(GX33=5)*GZ33+(HB33=5)*HD33+(HF33=5)*HH33+(HJ33=5)*HL33+(HN33=5)*HP33+(HR33=5)*HT33+(HV33=5)*HX33)</f>
        <v/>
      </c>
      <c r="GG33">
        <f>MAX(0,ROUND(N(GD33)+N(GE33)-N(GF33),2))</f>
        <v/>
      </c>
      <c r="GH33">
        <f>N(GK32)</f>
        <v/>
      </c>
      <c r="GI33">
        <f>IF(N(GH33)&lt;=0.005,0,ROUND(N(GH33)*N('Debt List'!E10)/12,2))</f>
        <v/>
      </c>
      <c r="GJ33">
        <f>IF(N(GH33)&lt;=0.005,0,MIN(N('Debt List'!F10),N(GH33)+N(GI33)))+((GT33=6)*GV33+(GX33=6)*GZ33+(HB33=6)*HD33+(HF33=6)*HH33+(HJ33=6)*HL33+(HN33=6)*HP33+(HR33=6)*HT33+(HV33=6)*HX33)</f>
        <v/>
      </c>
      <c r="GK33">
        <f>MAX(0,ROUND(N(GH33)+N(GI33)-N(GJ33),2))</f>
        <v/>
      </c>
      <c r="GL33">
        <f>N(GO32)</f>
        <v/>
      </c>
      <c r="GM33">
        <f>IF(N(GL33)&lt;=0.005,0,ROUND(N(GL33)*N('Debt List'!E11)/12,2))</f>
        <v/>
      </c>
      <c r="GN33">
        <f>IF(N(GL33)&lt;=0.005,0,MIN(N('Debt List'!F11),N(GL33)+N(GM33)))+((GT33=7)*GV33+(GX33=7)*GZ33+(HB33=7)*HD33+(HF33=7)*HH33+(HJ33=7)*HL33+(HN33=7)*HP33+(HR33=7)*HT33+(HV33=7)*HX33)</f>
        <v/>
      </c>
      <c r="GO33">
        <f>MAX(0,ROUND(N(GL33)+N(GM33)-N(GN33),2))</f>
        <v/>
      </c>
      <c r="GP33">
        <f>N(GS32)</f>
        <v/>
      </c>
      <c r="GQ33">
        <f>IF(N(GP33)&lt;=0.005,0,ROUND(N(GP33)*N('Debt List'!E12)/12,2))</f>
        <v/>
      </c>
      <c r="GR33">
        <f>IF(N(GP33)&lt;=0.005,0,MIN(N('Debt List'!F12),N(GP33)+N(GQ33)))+((GT33=8)*GV33+(GX33=8)*GZ33+(HB33=8)*HD33+(HF33=8)*HH33+(HJ33=8)*HL33+(HN33=8)*HP33+(HR33=8)*HT33+(HV33=8)*HX33)</f>
        <v/>
      </c>
      <c r="GS33">
        <f>MAX(0,ROUND(N(GP33)+N(GQ33)-N(GR33),2))</f>
        <v/>
      </c>
      <c r="GT33">
        <f>IFERROR(MATCH(1,OrderAval,0),"")</f>
        <v/>
      </c>
      <c r="GU33">
        <f>IF(GT33="",0,IFERROR(IF(N(CHOOSE(GT33,FN33,FR33,FV33,FZ33,GD33,GH33,GL33,GP33))&lt;=0.005,0,MAX(0,N(CHOOSE(GT33,FN33,FR33,FV33,FZ33,GD33,GH33,GL33,GP33))+N(CHOOSE(GT33,FO33,FS33,FW33,GA33,GE33,GI33,GM33,GQ33))-MIN(N(CHOOSE(GT33,'Debt List'!$F$5,'Debt List'!$F$6,'Debt List'!$F$7,'Debt List'!$F$8,'Debt List'!$F$9,'Debt List'!$F$10,'Debt List'!$F$11,'Debt List'!$F$12)),N(CHOOSE(GT33,FN33,FR33,FV33,FZ33,GD33,GH33,GL33,GP33))+N(CHOOSE(GT33,FO33,FS33,FW33,GA33,GE33,GI33,GM33,GQ33))))),0))</f>
        <v/>
      </c>
      <c r="GV33">
        <f>MIN(N(GU33),MAX(0,N(ExtraPayment)))</f>
        <v/>
      </c>
      <c r="GW33">
        <f>MAX(0,N(ExtraPayment)-N(GV33))</f>
        <v/>
      </c>
      <c r="GX33">
        <f>IFERROR(MATCH(2,OrderAval,0),"")</f>
        <v/>
      </c>
      <c r="GY33">
        <f>IF(GX33="",0,IFERROR(IF(N(CHOOSE(GX33,FN33,FR33,FV33,FZ33,GD33,GH33,GL33,GP33))&lt;=0.005,0,MAX(0,N(CHOOSE(GX33,FN33,FR33,FV33,FZ33,GD33,GH33,GL33,GP33))+N(CHOOSE(GX33,FO33,FS33,FW33,GA33,GE33,GI33,GM33,GQ33))-MIN(N(CHOOSE(GX33,'Debt List'!$F$5,'Debt List'!$F$6,'Debt List'!$F$7,'Debt List'!$F$8,'Debt List'!$F$9,'Debt List'!$F$10,'Debt List'!$F$11,'Debt List'!$F$12)),N(CHOOSE(GX33,FN33,FR33,FV33,FZ33,GD33,GH33,GL33,GP33))+N(CHOOSE(GX33,FO33,FS33,FW33,GA33,GE33,GI33,GM33,GQ33))))),0))</f>
        <v/>
      </c>
      <c r="GZ33">
        <f>MIN(N(GY33),MAX(0,N(GW33)))</f>
        <v/>
      </c>
      <c r="HA33">
        <f>MAX(0,N(GW33)-N(GZ33))</f>
        <v/>
      </c>
      <c r="HB33">
        <f>IFERROR(MATCH(3,OrderAval,0),"")</f>
        <v/>
      </c>
      <c r="HC33">
        <f>IF(HB33="",0,IFERROR(IF(N(CHOOSE(HB33,FN33,FR33,FV33,FZ33,GD33,GH33,GL33,GP33))&lt;=0.005,0,MAX(0,N(CHOOSE(HB33,FN33,FR33,FV33,FZ33,GD33,GH33,GL33,GP33))+N(CHOOSE(HB33,FO33,FS33,FW33,GA33,GE33,GI33,GM33,GQ33))-MIN(N(CHOOSE(HB33,'Debt List'!$F$5,'Debt List'!$F$6,'Debt List'!$F$7,'Debt List'!$F$8,'Debt List'!$F$9,'Debt List'!$F$10,'Debt List'!$F$11,'Debt List'!$F$12)),N(CHOOSE(HB33,FN33,FR33,FV33,FZ33,GD33,GH33,GL33,GP33))+N(CHOOSE(HB33,FO33,FS33,FW33,GA33,GE33,GI33,GM33,GQ33))))),0))</f>
        <v/>
      </c>
      <c r="HD33">
        <f>MIN(N(HC33),MAX(0,N(HA33)))</f>
        <v/>
      </c>
      <c r="HE33">
        <f>MAX(0,N(HA33)-N(HD33))</f>
        <v/>
      </c>
      <c r="HF33">
        <f>IFERROR(MATCH(4,OrderAval,0),"")</f>
        <v/>
      </c>
      <c r="HG33">
        <f>IF(HF33="",0,IFERROR(IF(N(CHOOSE(HF33,FN33,FR33,FV33,FZ33,GD33,GH33,GL33,GP33))&lt;=0.005,0,MAX(0,N(CHOOSE(HF33,FN33,FR33,FV33,FZ33,GD33,GH33,GL33,GP33))+N(CHOOSE(HF33,FO33,FS33,FW33,GA33,GE33,GI33,GM33,GQ33))-MIN(N(CHOOSE(HF33,'Debt List'!$F$5,'Debt List'!$F$6,'Debt List'!$F$7,'Debt List'!$F$8,'Debt List'!$F$9,'Debt List'!$F$10,'Debt List'!$F$11,'Debt List'!$F$12)),N(CHOOSE(HF33,FN33,FR33,FV33,FZ33,GD33,GH33,GL33,GP33))+N(CHOOSE(HF33,FO33,FS33,FW33,GA33,GE33,GI33,GM33,GQ33))))),0))</f>
        <v/>
      </c>
      <c r="HH33">
        <f>MIN(N(HG33),MAX(0,N(HE33)))</f>
        <v/>
      </c>
      <c r="HI33">
        <f>MAX(0,N(HE33)-N(HH33))</f>
        <v/>
      </c>
      <c r="HJ33">
        <f>IFERROR(MATCH(5,OrderAval,0),"")</f>
        <v/>
      </c>
      <c r="HK33">
        <f>IF(HJ33="",0,IFERROR(IF(N(CHOOSE(HJ33,FN33,FR33,FV33,FZ33,GD33,GH33,GL33,GP33))&lt;=0.005,0,MAX(0,N(CHOOSE(HJ33,FN33,FR33,FV33,FZ33,GD33,GH33,GL33,GP33))+N(CHOOSE(HJ33,FO33,FS33,FW33,GA33,GE33,GI33,GM33,GQ33))-MIN(N(CHOOSE(HJ33,'Debt List'!$F$5,'Debt List'!$F$6,'Debt List'!$F$7,'Debt List'!$F$8,'Debt List'!$F$9,'Debt List'!$F$10,'Debt List'!$F$11,'Debt List'!$F$12)),N(CHOOSE(HJ33,FN33,FR33,FV33,FZ33,GD33,GH33,GL33,GP33))+N(CHOOSE(HJ33,FO33,FS33,FW33,GA33,GE33,GI33,GM33,GQ33))))),0))</f>
        <v/>
      </c>
      <c r="HL33">
        <f>MIN(N(HK33),MAX(0,N(HI33)))</f>
        <v/>
      </c>
      <c r="HM33">
        <f>MAX(0,N(HI33)-N(HL33))</f>
        <v/>
      </c>
      <c r="HN33">
        <f>IFERROR(MATCH(6,OrderAval,0),"")</f>
        <v/>
      </c>
      <c r="HO33">
        <f>IF(HN33="",0,IFERROR(IF(N(CHOOSE(HN33,FN33,FR33,FV33,FZ33,GD33,GH33,GL33,GP33))&lt;=0.005,0,MAX(0,N(CHOOSE(HN33,FN33,FR33,FV33,FZ33,GD33,GH33,GL33,GP33))+N(CHOOSE(HN33,FO33,FS33,FW33,GA33,GE33,GI33,GM33,GQ33))-MIN(N(CHOOSE(HN33,'Debt List'!$F$5,'Debt List'!$F$6,'Debt List'!$F$7,'Debt List'!$F$8,'Debt List'!$F$9,'Debt List'!$F$10,'Debt List'!$F$11,'Debt List'!$F$12)),N(CHOOSE(HN33,FN33,FR33,FV33,FZ33,GD33,GH33,GL33,GP33))+N(CHOOSE(HN33,FO33,FS33,FW33,GA33,GE33,GI33,GM33,GQ33))))),0))</f>
        <v/>
      </c>
      <c r="HP33">
        <f>MIN(N(HO33),MAX(0,N(HM33)))</f>
        <v/>
      </c>
      <c r="HQ33">
        <f>MAX(0,N(HM33)-N(HP33))</f>
        <v/>
      </c>
      <c r="HR33">
        <f>IFERROR(MATCH(7,OrderAval,0),"")</f>
        <v/>
      </c>
      <c r="HS33">
        <f>IF(HR33="",0,IFERROR(IF(N(CHOOSE(HR33,FN33,FR33,FV33,FZ33,GD33,GH33,GL33,GP33))&lt;=0.005,0,MAX(0,N(CHOOSE(HR33,FN33,FR33,FV33,FZ33,GD33,GH33,GL33,GP33))+N(CHOOSE(HR33,FO33,FS33,FW33,GA33,GE33,GI33,GM33,GQ33))-MIN(N(CHOOSE(HR33,'Debt List'!$F$5,'Debt List'!$F$6,'Debt List'!$F$7,'Debt List'!$F$8,'Debt List'!$F$9,'Debt List'!$F$10,'Debt List'!$F$11,'Debt List'!$F$12)),N(CHOOSE(HR33,FN33,FR33,FV33,FZ33,GD33,GH33,GL33,GP33))+N(CHOOSE(HR33,FO33,FS33,FW33,GA33,GE33,GI33,GM33,GQ33))))),0))</f>
        <v/>
      </c>
      <c r="HT33">
        <f>MIN(N(HS33),MAX(0,N(HQ33)))</f>
        <v/>
      </c>
      <c r="HU33">
        <f>MAX(0,N(HQ33)-N(HT33))</f>
        <v/>
      </c>
      <c r="HV33">
        <f>IFERROR(MATCH(8,OrderAval,0),"")</f>
        <v/>
      </c>
      <c r="HW33">
        <f>IF(HV33="",0,IFERROR(IF(N(CHOOSE(HV33,FN33,FR33,FV33,FZ33,GD33,GH33,GL33,GP33))&lt;=0.005,0,MAX(0,N(CHOOSE(HV33,FN33,FR33,FV33,FZ33,GD33,GH33,GL33,GP33))+N(CHOOSE(HV33,FO33,FS33,FW33,GA33,GE33,GI33,GM33,GQ33))-MIN(N(CHOOSE(HV33,'Debt List'!$F$5,'Debt List'!$F$6,'Debt List'!$F$7,'Debt List'!$F$8,'Debt List'!$F$9,'Debt List'!$F$10,'Debt List'!$F$11,'Debt List'!$F$12)),N(CHOOSE(HV33,FN33,FR33,FV33,FZ33,GD33,GH33,GL33,GP33))+N(CHOOSE(HV33,FO33,FS33,FW33,GA33,GE33,GI33,GM33,GQ33))))),0))</f>
        <v/>
      </c>
      <c r="HX33">
        <f>MIN(N(HW33),MAX(0,N(HU33)))</f>
        <v/>
      </c>
      <c r="HY33">
        <f>MAX(0,N(HU33)-N(HX33))</f>
        <v/>
      </c>
    </row>
    <row r="34">
      <c r="A34" t="n">
        <v>30</v>
      </c>
      <c r="B34" s="115">
        <f>DATE(YEAR(PlanStart),MONTH(PlanStart)+A34-1,1)</f>
        <v/>
      </c>
      <c r="C34">
        <f>IF(AND(AP34&lt;&gt;"",N(CHOOSE(AP34,J34,N34,R34,V34,Z34,AD34,AH34,AL34))&gt;0.005),INDEX(DebtNames,AP34),IF(AND(AT34&lt;&gt;"",N(CHOOSE(AT34,J34,N34,R34,V34,Z34,AD34,AH34,AL34))&gt;0.005),INDEX(DebtNames,AT34),IF(AND(AX34&lt;&gt;"",N(CHOOSE(AX34,J34,N34,R34,V34,Z34,AD34,AH34,AL34))&gt;0.005),INDEX(DebtNames,AX34),IF(AND(BB34&lt;&gt;"",N(CHOOSE(BB34,J34,N34,R34,V34,Z34,AD34,AH34,AL34))&gt;0.005),INDEX(DebtNames,BB34),IF(AND(BF34&lt;&gt;"",N(CHOOSE(BF34,J34,N34,R34,V34,Z34,AD34,AH34,AL34))&gt;0.005),INDEX(DebtNames,BF34),IF(AND(BJ34&lt;&gt;"",N(CHOOSE(BJ34,J34,N34,R34,V34,Z34,AD34,AH34,AL34))&gt;0.005),INDEX(DebtNames,BJ34),IF(AND(BN34&lt;&gt;"",N(CHOOSE(BN34,J34,N34,R34,V34,Z34,AD34,AH34,AL34))&gt;0.005),INDEX(DebtNames,BN34),IF(AND(BR34&lt;&gt;"",N(CHOOSE(BR34,J34,N34,R34,V34,Z34,AD34,AH34,AL34))&gt;0.005),INDEX(DebtNames,BR34),""))))))))</f>
        <v/>
      </c>
      <c r="D34">
        <f>N(BU34)</f>
        <v/>
      </c>
      <c r="E34">
        <f>N(L34)+N(P34)+N(T34)+N(X34)+N(AB34)+N(AF34)+N(AJ34)+N(AN34)</f>
        <v/>
      </c>
      <c r="F34">
        <f>N(K34)+N(O34)+N(S34)+N(W34)+N(AA34)+N(AE34)+N(AI34)+N(AM34)</f>
        <v/>
      </c>
      <c r="G34">
        <f>N(G33)+N(F34)</f>
        <v/>
      </c>
      <c r="H34">
        <f>N(M34)+N(Q34)+N(U34)+N(Y34)+N(AC34)+N(AG34)+N(AK34)+N(AO34)</f>
        <v/>
      </c>
      <c r="I34">
        <f>(M34&gt;0.005)*1+(Q34&gt;0.005)*1+(U34&gt;0.005)*1+(Y34&gt;0.005)*1+(AC34&gt;0.005)*1+(AG34&gt;0.005)*1+(AK34&gt;0.005)*1+(AO34&gt;0.005)*1</f>
        <v/>
      </c>
      <c r="J34">
        <f>N(M33)</f>
        <v/>
      </c>
      <c r="K34">
        <f>IF(N(J34)&lt;=0.005,0,ROUND(N(J34)*N('Debt List'!E5)/12,2))</f>
        <v/>
      </c>
      <c r="L34">
        <f>IF(N(J34)&lt;=0.005,0,MIN(N('Debt List'!F5),N(J34)+N(K34)))+((AP34=1)*AR34+(AT34=1)*AV34+(AX34=1)*AZ34+(BB34=1)*BD34+(BF34=1)*BH34+(BJ34=1)*BL34+(BN34=1)*BP34+(BR34=1)*BT34)</f>
        <v/>
      </c>
      <c r="M34">
        <f>MAX(0,ROUND(N(J34)+N(K34)-N(L34),2))</f>
        <v/>
      </c>
      <c r="N34">
        <f>N(Q33)</f>
        <v/>
      </c>
      <c r="O34">
        <f>IF(N(N34)&lt;=0.005,0,ROUND(N(N34)*N('Debt List'!E6)/12,2))</f>
        <v/>
      </c>
      <c r="P34">
        <f>IF(N(N34)&lt;=0.005,0,MIN(N('Debt List'!F6),N(N34)+N(O34)))+((AP34=2)*AR34+(AT34=2)*AV34+(AX34=2)*AZ34+(BB34=2)*BD34+(BF34=2)*BH34+(BJ34=2)*BL34+(BN34=2)*BP34+(BR34=2)*BT34)</f>
        <v/>
      </c>
      <c r="Q34">
        <f>MAX(0,ROUND(N(N34)+N(O34)-N(P34),2))</f>
        <v/>
      </c>
      <c r="R34">
        <f>N(U33)</f>
        <v/>
      </c>
      <c r="S34">
        <f>IF(N(R34)&lt;=0.005,0,ROUND(N(R34)*N('Debt List'!E7)/12,2))</f>
        <v/>
      </c>
      <c r="T34">
        <f>IF(N(R34)&lt;=0.005,0,MIN(N('Debt List'!F7),N(R34)+N(S34)))+((AP34=3)*AR34+(AT34=3)*AV34+(AX34=3)*AZ34+(BB34=3)*BD34+(BF34=3)*BH34+(BJ34=3)*BL34+(BN34=3)*BP34+(BR34=3)*BT34)</f>
        <v/>
      </c>
      <c r="U34">
        <f>MAX(0,ROUND(N(R34)+N(S34)-N(T34),2))</f>
        <v/>
      </c>
      <c r="V34">
        <f>N(Y33)</f>
        <v/>
      </c>
      <c r="W34">
        <f>IF(N(V34)&lt;=0.005,0,ROUND(N(V34)*N('Debt List'!E8)/12,2))</f>
        <v/>
      </c>
      <c r="X34">
        <f>IF(N(V34)&lt;=0.005,0,MIN(N('Debt List'!F8),N(V34)+N(W34)))+((AP34=4)*AR34+(AT34=4)*AV34+(AX34=4)*AZ34+(BB34=4)*BD34+(BF34=4)*BH34+(BJ34=4)*BL34+(BN34=4)*BP34+(BR34=4)*BT34)</f>
        <v/>
      </c>
      <c r="Y34">
        <f>MAX(0,ROUND(N(V34)+N(W34)-N(X34),2))</f>
        <v/>
      </c>
      <c r="Z34">
        <f>N(AC33)</f>
        <v/>
      </c>
      <c r="AA34">
        <f>IF(N(Z34)&lt;=0.005,0,ROUND(N(Z34)*N('Debt List'!E9)/12,2))</f>
        <v/>
      </c>
      <c r="AB34">
        <f>IF(N(Z34)&lt;=0.005,0,MIN(N('Debt List'!F9),N(Z34)+N(AA34)))+((AP34=5)*AR34+(AT34=5)*AV34+(AX34=5)*AZ34+(BB34=5)*BD34+(BF34=5)*BH34+(BJ34=5)*BL34+(BN34=5)*BP34+(BR34=5)*BT34)</f>
        <v/>
      </c>
      <c r="AC34">
        <f>MAX(0,ROUND(N(Z34)+N(AA34)-N(AB34),2))</f>
        <v/>
      </c>
      <c r="AD34">
        <f>N(AG33)</f>
        <v/>
      </c>
      <c r="AE34">
        <f>IF(N(AD34)&lt;=0.005,0,ROUND(N(AD34)*N('Debt List'!E10)/12,2))</f>
        <v/>
      </c>
      <c r="AF34">
        <f>IF(N(AD34)&lt;=0.005,0,MIN(N('Debt List'!F10),N(AD34)+N(AE34)))+((AP34=6)*AR34+(AT34=6)*AV34+(AX34=6)*AZ34+(BB34=6)*BD34+(BF34=6)*BH34+(BJ34=6)*BL34+(BN34=6)*BP34+(BR34=6)*BT34)</f>
        <v/>
      </c>
      <c r="AG34">
        <f>MAX(0,ROUND(N(AD34)+N(AE34)-N(AF34),2))</f>
        <v/>
      </c>
      <c r="AH34">
        <f>N(AK33)</f>
        <v/>
      </c>
      <c r="AI34">
        <f>IF(N(AH34)&lt;=0.005,0,ROUND(N(AH34)*N('Debt List'!E11)/12,2))</f>
        <v/>
      </c>
      <c r="AJ34">
        <f>IF(N(AH34)&lt;=0.005,0,MIN(N('Debt List'!F11),N(AH34)+N(AI34)))+((AP34=7)*AR34+(AT34=7)*AV34+(AX34=7)*AZ34+(BB34=7)*BD34+(BF34=7)*BH34+(BJ34=7)*BL34+(BN34=7)*BP34+(BR34=7)*BT34)</f>
        <v/>
      </c>
      <c r="AK34">
        <f>MAX(0,ROUND(N(AH34)+N(AI34)-N(AJ34),2))</f>
        <v/>
      </c>
      <c r="AL34">
        <f>N(AO33)</f>
        <v/>
      </c>
      <c r="AM34">
        <f>IF(N(AL34)&lt;=0.005,0,ROUND(N(AL34)*N('Debt List'!E12)/12,2))</f>
        <v/>
      </c>
      <c r="AN34">
        <f>IF(N(AL34)&lt;=0.005,0,MIN(N('Debt List'!F12),N(AL34)+N(AM34)))+((AP34=8)*AR34+(AT34=8)*AV34+(AX34=8)*AZ34+(BB34=8)*BD34+(BF34=8)*BH34+(BJ34=8)*BL34+(BN34=8)*BP34+(BR34=8)*BT34)</f>
        <v/>
      </c>
      <c r="AO34">
        <f>MAX(0,ROUND(N(AL34)+N(AM34)-N(AN34),2))</f>
        <v/>
      </c>
      <c r="AP34">
        <f>IFERROR(MATCH(1,OrderPlan,0),"")</f>
        <v/>
      </c>
      <c r="AQ34">
        <f>IF(AP34="",0,IFERROR(IF(N(CHOOSE(AP34,J34,N34,R34,V34,Z34,AD34,AH34,AL34))&lt;=0.005,0,MAX(0,N(CHOOSE(AP34,J34,N34,R34,V34,Z34,AD34,AH34,AL34))+N(CHOOSE(AP34,K34,O34,S34,W34,AA34,AE34,AI34,AM34))-MIN(N(CHOOSE(AP34,'Debt List'!$F$5,'Debt List'!$F$6,'Debt List'!$F$7,'Debt List'!$F$8,'Debt List'!$F$9,'Debt List'!$F$10,'Debt List'!$F$11,'Debt List'!$F$12)),N(CHOOSE(AP34,J34,N34,R34,V34,Z34,AD34,AH34,AL34))+N(CHOOSE(AP34,K34,O34,S34,W34,AA34,AE34,AI34,AM34))))),0))</f>
        <v/>
      </c>
      <c r="AR34">
        <f>MIN(N(AQ34),MAX(0,N(ExtraPayment)))</f>
        <v/>
      </c>
      <c r="AS34">
        <f>MAX(0,N(ExtraPayment)-N(AR34))</f>
        <v/>
      </c>
      <c r="AT34">
        <f>IFERROR(MATCH(2,OrderPlan,0),"")</f>
        <v/>
      </c>
      <c r="AU34">
        <f>IF(AT34="",0,IFERROR(IF(N(CHOOSE(AT34,J34,N34,R34,V34,Z34,AD34,AH34,AL34))&lt;=0.005,0,MAX(0,N(CHOOSE(AT34,J34,N34,R34,V34,Z34,AD34,AH34,AL34))+N(CHOOSE(AT34,K34,O34,S34,W34,AA34,AE34,AI34,AM34))-MIN(N(CHOOSE(AT34,'Debt List'!$F$5,'Debt List'!$F$6,'Debt List'!$F$7,'Debt List'!$F$8,'Debt List'!$F$9,'Debt List'!$F$10,'Debt List'!$F$11,'Debt List'!$F$12)),N(CHOOSE(AT34,J34,N34,R34,V34,Z34,AD34,AH34,AL34))+N(CHOOSE(AT34,K34,O34,S34,W34,AA34,AE34,AI34,AM34))))),0))</f>
        <v/>
      </c>
      <c r="AV34">
        <f>MIN(N(AU34),MAX(0,N(AS34)))</f>
        <v/>
      </c>
      <c r="AW34">
        <f>MAX(0,N(AS34)-N(AV34))</f>
        <v/>
      </c>
      <c r="AX34">
        <f>IFERROR(MATCH(3,OrderPlan,0),"")</f>
        <v/>
      </c>
      <c r="AY34">
        <f>IF(AX34="",0,IFERROR(IF(N(CHOOSE(AX34,J34,N34,R34,V34,Z34,AD34,AH34,AL34))&lt;=0.005,0,MAX(0,N(CHOOSE(AX34,J34,N34,R34,V34,Z34,AD34,AH34,AL34))+N(CHOOSE(AX34,K34,O34,S34,W34,AA34,AE34,AI34,AM34))-MIN(N(CHOOSE(AX34,'Debt List'!$F$5,'Debt List'!$F$6,'Debt List'!$F$7,'Debt List'!$F$8,'Debt List'!$F$9,'Debt List'!$F$10,'Debt List'!$F$11,'Debt List'!$F$12)),N(CHOOSE(AX34,J34,N34,R34,V34,Z34,AD34,AH34,AL34))+N(CHOOSE(AX34,K34,O34,S34,W34,AA34,AE34,AI34,AM34))))),0))</f>
        <v/>
      </c>
      <c r="AZ34">
        <f>MIN(N(AY34),MAX(0,N(AW34)))</f>
        <v/>
      </c>
      <c r="BA34">
        <f>MAX(0,N(AW34)-N(AZ34))</f>
        <v/>
      </c>
      <c r="BB34">
        <f>IFERROR(MATCH(4,OrderPlan,0),"")</f>
        <v/>
      </c>
      <c r="BC34">
        <f>IF(BB34="",0,IFERROR(IF(N(CHOOSE(BB34,J34,N34,R34,V34,Z34,AD34,AH34,AL34))&lt;=0.005,0,MAX(0,N(CHOOSE(BB34,J34,N34,R34,V34,Z34,AD34,AH34,AL34))+N(CHOOSE(BB34,K34,O34,S34,W34,AA34,AE34,AI34,AM34))-MIN(N(CHOOSE(BB34,'Debt List'!$F$5,'Debt List'!$F$6,'Debt List'!$F$7,'Debt List'!$F$8,'Debt List'!$F$9,'Debt List'!$F$10,'Debt List'!$F$11,'Debt List'!$F$12)),N(CHOOSE(BB34,J34,N34,R34,V34,Z34,AD34,AH34,AL34))+N(CHOOSE(BB34,K34,O34,S34,W34,AA34,AE34,AI34,AM34))))),0))</f>
        <v/>
      </c>
      <c r="BD34">
        <f>MIN(N(BC34),MAX(0,N(BA34)))</f>
        <v/>
      </c>
      <c r="BE34">
        <f>MAX(0,N(BA34)-N(BD34))</f>
        <v/>
      </c>
      <c r="BF34">
        <f>IFERROR(MATCH(5,OrderPlan,0),"")</f>
        <v/>
      </c>
      <c r="BG34">
        <f>IF(BF34="",0,IFERROR(IF(N(CHOOSE(BF34,J34,N34,R34,V34,Z34,AD34,AH34,AL34))&lt;=0.005,0,MAX(0,N(CHOOSE(BF34,J34,N34,R34,V34,Z34,AD34,AH34,AL34))+N(CHOOSE(BF34,K34,O34,S34,W34,AA34,AE34,AI34,AM34))-MIN(N(CHOOSE(BF34,'Debt List'!$F$5,'Debt List'!$F$6,'Debt List'!$F$7,'Debt List'!$F$8,'Debt List'!$F$9,'Debt List'!$F$10,'Debt List'!$F$11,'Debt List'!$F$12)),N(CHOOSE(BF34,J34,N34,R34,V34,Z34,AD34,AH34,AL34))+N(CHOOSE(BF34,K34,O34,S34,W34,AA34,AE34,AI34,AM34))))),0))</f>
        <v/>
      </c>
      <c r="BH34">
        <f>MIN(N(BG34),MAX(0,N(BE34)))</f>
        <v/>
      </c>
      <c r="BI34">
        <f>MAX(0,N(BE34)-N(BH34))</f>
        <v/>
      </c>
      <c r="BJ34">
        <f>IFERROR(MATCH(6,OrderPlan,0),"")</f>
        <v/>
      </c>
      <c r="BK34">
        <f>IF(BJ34="",0,IFERROR(IF(N(CHOOSE(BJ34,J34,N34,R34,V34,Z34,AD34,AH34,AL34))&lt;=0.005,0,MAX(0,N(CHOOSE(BJ34,J34,N34,R34,V34,Z34,AD34,AH34,AL34))+N(CHOOSE(BJ34,K34,O34,S34,W34,AA34,AE34,AI34,AM34))-MIN(N(CHOOSE(BJ34,'Debt List'!$F$5,'Debt List'!$F$6,'Debt List'!$F$7,'Debt List'!$F$8,'Debt List'!$F$9,'Debt List'!$F$10,'Debt List'!$F$11,'Debt List'!$F$12)),N(CHOOSE(BJ34,J34,N34,R34,V34,Z34,AD34,AH34,AL34))+N(CHOOSE(BJ34,K34,O34,S34,W34,AA34,AE34,AI34,AM34))))),0))</f>
        <v/>
      </c>
      <c r="BL34">
        <f>MIN(N(BK34),MAX(0,N(BI34)))</f>
        <v/>
      </c>
      <c r="BM34">
        <f>MAX(0,N(BI34)-N(BL34))</f>
        <v/>
      </c>
      <c r="BN34">
        <f>IFERROR(MATCH(7,OrderPlan,0),"")</f>
        <v/>
      </c>
      <c r="BO34">
        <f>IF(BN34="",0,IFERROR(IF(N(CHOOSE(BN34,J34,N34,R34,V34,Z34,AD34,AH34,AL34))&lt;=0.005,0,MAX(0,N(CHOOSE(BN34,J34,N34,R34,V34,Z34,AD34,AH34,AL34))+N(CHOOSE(BN34,K34,O34,S34,W34,AA34,AE34,AI34,AM34))-MIN(N(CHOOSE(BN34,'Debt List'!$F$5,'Debt List'!$F$6,'Debt List'!$F$7,'Debt List'!$F$8,'Debt List'!$F$9,'Debt List'!$F$10,'Debt List'!$F$11,'Debt List'!$F$12)),N(CHOOSE(BN34,J34,N34,R34,V34,Z34,AD34,AH34,AL34))+N(CHOOSE(BN34,K34,O34,S34,W34,AA34,AE34,AI34,AM34))))),0))</f>
        <v/>
      </c>
      <c r="BP34">
        <f>MIN(N(BO34),MAX(0,N(BM34)))</f>
        <v/>
      </c>
      <c r="BQ34">
        <f>MAX(0,N(BM34)-N(BP34))</f>
        <v/>
      </c>
      <c r="BR34">
        <f>IFERROR(MATCH(8,OrderPlan,0),"")</f>
        <v/>
      </c>
      <c r="BS34">
        <f>IF(BR34="",0,IFERROR(IF(N(CHOOSE(BR34,J34,N34,R34,V34,Z34,AD34,AH34,AL34))&lt;=0.005,0,MAX(0,N(CHOOSE(BR34,J34,N34,R34,V34,Z34,AD34,AH34,AL34))+N(CHOOSE(BR34,K34,O34,S34,W34,AA34,AE34,AI34,AM34))-MIN(N(CHOOSE(BR34,'Debt List'!$F$5,'Debt List'!$F$6,'Debt List'!$F$7,'Debt List'!$F$8,'Debt List'!$F$9,'Debt List'!$F$10,'Debt List'!$F$11,'Debt List'!$F$12)),N(CHOOSE(BR34,J34,N34,R34,V34,Z34,AD34,AH34,AL34))+N(CHOOSE(BR34,K34,O34,S34,W34,AA34,AE34,AI34,AM34))))),0))</f>
        <v/>
      </c>
      <c r="BT34">
        <f>MIN(N(BS34),MAX(0,N(BQ34)))</f>
        <v/>
      </c>
      <c r="BU34">
        <f>MAX(0,N(BQ34)-N(BT34))</f>
        <v/>
      </c>
      <c r="CC34" t="n">
        <v>30</v>
      </c>
      <c r="CD34" s="115">
        <f>DATE(YEAR(PlanStart),MONTH(PlanStart)+CC34-1,1)</f>
        <v/>
      </c>
      <c r="CE34">
        <f>IF(AND(DR34&lt;&gt;"",N(CHOOSE(DR34,CL34,CP34,CT34,CX34,DB34,DF34,DJ34,DN34))&gt;0.005),INDEX(DebtNames,DR34),IF(AND(DV34&lt;&gt;"",N(CHOOSE(DV34,CL34,CP34,CT34,CX34,DB34,DF34,DJ34,DN34))&gt;0.005),INDEX(DebtNames,DV34),IF(AND(DZ34&lt;&gt;"",N(CHOOSE(DZ34,CL34,CP34,CT34,CX34,DB34,DF34,DJ34,DN34))&gt;0.005),INDEX(DebtNames,DZ34),IF(AND(ED34&lt;&gt;"",N(CHOOSE(ED34,CL34,CP34,CT34,CX34,DB34,DF34,DJ34,DN34))&gt;0.005),INDEX(DebtNames,ED34),IF(AND(EH34&lt;&gt;"",N(CHOOSE(EH34,CL34,CP34,CT34,CX34,DB34,DF34,DJ34,DN34))&gt;0.005),INDEX(DebtNames,EH34),IF(AND(EL34&lt;&gt;"",N(CHOOSE(EL34,CL34,CP34,CT34,CX34,DB34,DF34,DJ34,DN34))&gt;0.005),INDEX(DebtNames,EL34),IF(AND(EP34&lt;&gt;"",N(CHOOSE(EP34,CL34,CP34,CT34,CX34,DB34,DF34,DJ34,DN34))&gt;0.005),INDEX(DebtNames,EP34),IF(AND(ET34&lt;&gt;"",N(CHOOSE(ET34,CL34,CP34,CT34,CX34,DB34,DF34,DJ34,DN34))&gt;0.005),INDEX(DebtNames,ET34),""))))))))</f>
        <v/>
      </c>
      <c r="CF34">
        <f>N(EW34)</f>
        <v/>
      </c>
      <c r="CG34">
        <f>N(CN34)+N(CR34)+N(CV34)+N(CZ34)+N(DD34)+N(DH34)+N(DL34)+N(DP34)</f>
        <v/>
      </c>
      <c r="CH34">
        <f>N(CM34)+N(CQ34)+N(CU34)+N(CY34)+N(DC34)+N(DG34)+N(DK34)+N(DO34)</f>
        <v/>
      </c>
      <c r="CI34">
        <f>N(CI33)+N(CH34)</f>
        <v/>
      </c>
      <c r="CJ34">
        <f>N(CO34)+N(CS34)+N(CW34)+N(DA34)+N(DE34)+N(DI34)+N(DM34)+N(DQ34)</f>
        <v/>
      </c>
      <c r="CK34">
        <f>(CO34&gt;0.005)*1+(CS34&gt;0.005)*1+(CW34&gt;0.005)*1+(DA34&gt;0.005)*1+(DE34&gt;0.005)*1+(DI34&gt;0.005)*1+(DM34&gt;0.005)*1+(DQ34&gt;0.005)*1</f>
        <v/>
      </c>
      <c r="CL34">
        <f>N(CO33)</f>
        <v/>
      </c>
      <c r="CM34">
        <f>IF(N(CL34)&lt;=0.005,0,ROUND(N(CL34)*N('Debt List'!E5)/12,2))</f>
        <v/>
      </c>
      <c r="CN34">
        <f>IF(N(CL34)&lt;=0.005,0,MIN(N('Debt List'!F5),N(CL34)+N(CM34)))+((DR34=1)*DT34+(DV34=1)*DX34+(DZ34=1)*EB34+(ED34=1)*EF34+(EH34=1)*EJ34+(EL34=1)*EN34+(EP34=1)*ER34+(ET34=1)*EV34)</f>
        <v/>
      </c>
      <c r="CO34">
        <f>MAX(0,ROUND(N(CL34)+N(CM34)-N(CN34),2))</f>
        <v/>
      </c>
      <c r="CP34">
        <f>N(CS33)</f>
        <v/>
      </c>
      <c r="CQ34">
        <f>IF(N(CP34)&lt;=0.005,0,ROUND(N(CP34)*N('Debt List'!E6)/12,2))</f>
        <v/>
      </c>
      <c r="CR34">
        <f>IF(N(CP34)&lt;=0.005,0,MIN(N('Debt List'!F6),N(CP34)+N(CQ34)))+((DR34=2)*DT34+(DV34=2)*DX34+(DZ34=2)*EB34+(ED34=2)*EF34+(EH34=2)*EJ34+(EL34=2)*EN34+(EP34=2)*ER34+(ET34=2)*EV34)</f>
        <v/>
      </c>
      <c r="CS34">
        <f>MAX(0,ROUND(N(CP34)+N(CQ34)-N(CR34),2))</f>
        <v/>
      </c>
      <c r="CT34">
        <f>N(CW33)</f>
        <v/>
      </c>
      <c r="CU34">
        <f>IF(N(CT34)&lt;=0.005,0,ROUND(N(CT34)*N('Debt List'!E7)/12,2))</f>
        <v/>
      </c>
      <c r="CV34">
        <f>IF(N(CT34)&lt;=0.005,0,MIN(N('Debt List'!F7),N(CT34)+N(CU34)))+((DR34=3)*DT34+(DV34=3)*DX34+(DZ34=3)*EB34+(ED34=3)*EF34+(EH34=3)*EJ34+(EL34=3)*EN34+(EP34=3)*ER34+(ET34=3)*EV34)</f>
        <v/>
      </c>
      <c r="CW34">
        <f>MAX(0,ROUND(N(CT34)+N(CU34)-N(CV34),2))</f>
        <v/>
      </c>
      <c r="CX34">
        <f>N(DA33)</f>
        <v/>
      </c>
      <c r="CY34">
        <f>IF(N(CX34)&lt;=0.005,0,ROUND(N(CX34)*N('Debt List'!E8)/12,2))</f>
        <v/>
      </c>
      <c r="CZ34">
        <f>IF(N(CX34)&lt;=0.005,0,MIN(N('Debt List'!F8),N(CX34)+N(CY34)))+((DR34=4)*DT34+(DV34=4)*DX34+(DZ34=4)*EB34+(ED34=4)*EF34+(EH34=4)*EJ34+(EL34=4)*EN34+(EP34=4)*ER34+(ET34=4)*EV34)</f>
        <v/>
      </c>
      <c r="DA34">
        <f>MAX(0,ROUND(N(CX34)+N(CY34)-N(CZ34),2))</f>
        <v/>
      </c>
      <c r="DB34">
        <f>N(DE33)</f>
        <v/>
      </c>
      <c r="DC34">
        <f>IF(N(DB34)&lt;=0.005,0,ROUND(N(DB34)*N('Debt List'!E9)/12,2))</f>
        <v/>
      </c>
      <c r="DD34">
        <f>IF(N(DB34)&lt;=0.005,0,MIN(N('Debt List'!F9),N(DB34)+N(DC34)))+((DR34=5)*DT34+(DV34=5)*DX34+(DZ34=5)*EB34+(ED34=5)*EF34+(EH34=5)*EJ34+(EL34=5)*EN34+(EP34=5)*ER34+(ET34=5)*EV34)</f>
        <v/>
      </c>
      <c r="DE34">
        <f>MAX(0,ROUND(N(DB34)+N(DC34)-N(DD34),2))</f>
        <v/>
      </c>
      <c r="DF34">
        <f>N(DI33)</f>
        <v/>
      </c>
      <c r="DG34">
        <f>IF(N(DF34)&lt;=0.005,0,ROUND(N(DF34)*N('Debt List'!E10)/12,2))</f>
        <v/>
      </c>
      <c r="DH34">
        <f>IF(N(DF34)&lt;=0.005,0,MIN(N('Debt List'!F10),N(DF34)+N(DG34)))+((DR34=6)*DT34+(DV34=6)*DX34+(DZ34=6)*EB34+(ED34=6)*EF34+(EH34=6)*EJ34+(EL34=6)*EN34+(EP34=6)*ER34+(ET34=6)*EV34)</f>
        <v/>
      </c>
      <c r="DI34">
        <f>MAX(0,ROUND(N(DF34)+N(DG34)-N(DH34),2))</f>
        <v/>
      </c>
      <c r="DJ34">
        <f>N(DM33)</f>
        <v/>
      </c>
      <c r="DK34">
        <f>IF(N(DJ34)&lt;=0.005,0,ROUND(N(DJ34)*N('Debt List'!E11)/12,2))</f>
        <v/>
      </c>
      <c r="DL34">
        <f>IF(N(DJ34)&lt;=0.005,0,MIN(N('Debt List'!F11),N(DJ34)+N(DK34)))+((DR34=7)*DT34+(DV34=7)*DX34+(DZ34=7)*EB34+(ED34=7)*EF34+(EH34=7)*EJ34+(EL34=7)*EN34+(EP34=7)*ER34+(ET34=7)*EV34)</f>
        <v/>
      </c>
      <c r="DM34">
        <f>MAX(0,ROUND(N(DJ34)+N(DK34)-N(DL34),2))</f>
        <v/>
      </c>
      <c r="DN34">
        <f>N(DQ33)</f>
        <v/>
      </c>
      <c r="DO34">
        <f>IF(N(DN34)&lt;=0.005,0,ROUND(N(DN34)*N('Debt List'!E12)/12,2))</f>
        <v/>
      </c>
      <c r="DP34">
        <f>IF(N(DN34)&lt;=0.005,0,MIN(N('Debt List'!F12),N(DN34)+N(DO34)))+((DR34=8)*DT34+(DV34=8)*DX34+(DZ34=8)*EB34+(ED34=8)*EF34+(EH34=8)*EJ34+(EL34=8)*EN34+(EP34=8)*ER34+(ET34=8)*EV34)</f>
        <v/>
      </c>
      <c r="DQ34">
        <f>MAX(0,ROUND(N(DN34)+N(DO34)-N(DP34),2))</f>
        <v/>
      </c>
      <c r="DR34">
        <f>IFERROR(MATCH(1,OrderSnow,0),"")</f>
        <v/>
      </c>
      <c r="DS34">
        <f>IF(DR34="",0,IFERROR(IF(N(CHOOSE(DR34,CL34,CP34,CT34,CX34,DB34,DF34,DJ34,DN34))&lt;=0.005,0,MAX(0,N(CHOOSE(DR34,CL34,CP34,CT34,CX34,DB34,DF34,DJ34,DN34))+N(CHOOSE(DR34,CM34,CQ34,CU34,CY34,DC34,DG34,DK34,DO34))-MIN(N(CHOOSE(DR34,'Debt List'!$F$5,'Debt List'!$F$6,'Debt List'!$F$7,'Debt List'!$F$8,'Debt List'!$F$9,'Debt List'!$F$10,'Debt List'!$F$11,'Debt List'!$F$12)),N(CHOOSE(DR34,CL34,CP34,CT34,CX34,DB34,DF34,DJ34,DN34))+N(CHOOSE(DR34,CM34,CQ34,CU34,CY34,DC34,DG34,DK34,DO34))))),0))</f>
        <v/>
      </c>
      <c r="DT34">
        <f>MIN(N(DS34),MAX(0,N(ExtraPayment)))</f>
        <v/>
      </c>
      <c r="DU34">
        <f>MAX(0,N(ExtraPayment)-N(DT34))</f>
        <v/>
      </c>
      <c r="DV34">
        <f>IFERROR(MATCH(2,OrderSnow,0),"")</f>
        <v/>
      </c>
      <c r="DW34">
        <f>IF(DV34="",0,IFERROR(IF(N(CHOOSE(DV34,CL34,CP34,CT34,CX34,DB34,DF34,DJ34,DN34))&lt;=0.005,0,MAX(0,N(CHOOSE(DV34,CL34,CP34,CT34,CX34,DB34,DF34,DJ34,DN34))+N(CHOOSE(DV34,CM34,CQ34,CU34,CY34,DC34,DG34,DK34,DO34))-MIN(N(CHOOSE(DV34,'Debt List'!$F$5,'Debt List'!$F$6,'Debt List'!$F$7,'Debt List'!$F$8,'Debt List'!$F$9,'Debt List'!$F$10,'Debt List'!$F$11,'Debt List'!$F$12)),N(CHOOSE(DV34,CL34,CP34,CT34,CX34,DB34,DF34,DJ34,DN34))+N(CHOOSE(DV34,CM34,CQ34,CU34,CY34,DC34,DG34,DK34,DO34))))),0))</f>
        <v/>
      </c>
      <c r="DX34">
        <f>MIN(N(DW34),MAX(0,N(DU34)))</f>
        <v/>
      </c>
      <c r="DY34">
        <f>MAX(0,N(DU34)-N(DX34))</f>
        <v/>
      </c>
      <c r="DZ34">
        <f>IFERROR(MATCH(3,OrderSnow,0),"")</f>
        <v/>
      </c>
      <c r="EA34">
        <f>IF(DZ34="",0,IFERROR(IF(N(CHOOSE(DZ34,CL34,CP34,CT34,CX34,DB34,DF34,DJ34,DN34))&lt;=0.005,0,MAX(0,N(CHOOSE(DZ34,CL34,CP34,CT34,CX34,DB34,DF34,DJ34,DN34))+N(CHOOSE(DZ34,CM34,CQ34,CU34,CY34,DC34,DG34,DK34,DO34))-MIN(N(CHOOSE(DZ34,'Debt List'!$F$5,'Debt List'!$F$6,'Debt List'!$F$7,'Debt List'!$F$8,'Debt List'!$F$9,'Debt List'!$F$10,'Debt List'!$F$11,'Debt List'!$F$12)),N(CHOOSE(DZ34,CL34,CP34,CT34,CX34,DB34,DF34,DJ34,DN34))+N(CHOOSE(DZ34,CM34,CQ34,CU34,CY34,DC34,DG34,DK34,DO34))))),0))</f>
        <v/>
      </c>
      <c r="EB34">
        <f>MIN(N(EA34),MAX(0,N(DY34)))</f>
        <v/>
      </c>
      <c r="EC34">
        <f>MAX(0,N(DY34)-N(EB34))</f>
        <v/>
      </c>
      <c r="ED34">
        <f>IFERROR(MATCH(4,OrderSnow,0),"")</f>
        <v/>
      </c>
      <c r="EE34">
        <f>IF(ED34="",0,IFERROR(IF(N(CHOOSE(ED34,CL34,CP34,CT34,CX34,DB34,DF34,DJ34,DN34))&lt;=0.005,0,MAX(0,N(CHOOSE(ED34,CL34,CP34,CT34,CX34,DB34,DF34,DJ34,DN34))+N(CHOOSE(ED34,CM34,CQ34,CU34,CY34,DC34,DG34,DK34,DO34))-MIN(N(CHOOSE(ED34,'Debt List'!$F$5,'Debt List'!$F$6,'Debt List'!$F$7,'Debt List'!$F$8,'Debt List'!$F$9,'Debt List'!$F$10,'Debt List'!$F$11,'Debt List'!$F$12)),N(CHOOSE(ED34,CL34,CP34,CT34,CX34,DB34,DF34,DJ34,DN34))+N(CHOOSE(ED34,CM34,CQ34,CU34,CY34,DC34,DG34,DK34,DO34))))),0))</f>
        <v/>
      </c>
      <c r="EF34">
        <f>MIN(N(EE34),MAX(0,N(EC34)))</f>
        <v/>
      </c>
      <c r="EG34">
        <f>MAX(0,N(EC34)-N(EF34))</f>
        <v/>
      </c>
      <c r="EH34">
        <f>IFERROR(MATCH(5,OrderSnow,0),"")</f>
        <v/>
      </c>
      <c r="EI34">
        <f>IF(EH34="",0,IFERROR(IF(N(CHOOSE(EH34,CL34,CP34,CT34,CX34,DB34,DF34,DJ34,DN34))&lt;=0.005,0,MAX(0,N(CHOOSE(EH34,CL34,CP34,CT34,CX34,DB34,DF34,DJ34,DN34))+N(CHOOSE(EH34,CM34,CQ34,CU34,CY34,DC34,DG34,DK34,DO34))-MIN(N(CHOOSE(EH34,'Debt List'!$F$5,'Debt List'!$F$6,'Debt List'!$F$7,'Debt List'!$F$8,'Debt List'!$F$9,'Debt List'!$F$10,'Debt List'!$F$11,'Debt List'!$F$12)),N(CHOOSE(EH34,CL34,CP34,CT34,CX34,DB34,DF34,DJ34,DN34))+N(CHOOSE(EH34,CM34,CQ34,CU34,CY34,DC34,DG34,DK34,DO34))))),0))</f>
        <v/>
      </c>
      <c r="EJ34">
        <f>MIN(N(EI34),MAX(0,N(EG34)))</f>
        <v/>
      </c>
      <c r="EK34">
        <f>MAX(0,N(EG34)-N(EJ34))</f>
        <v/>
      </c>
      <c r="EL34">
        <f>IFERROR(MATCH(6,OrderSnow,0),"")</f>
        <v/>
      </c>
      <c r="EM34">
        <f>IF(EL34="",0,IFERROR(IF(N(CHOOSE(EL34,CL34,CP34,CT34,CX34,DB34,DF34,DJ34,DN34))&lt;=0.005,0,MAX(0,N(CHOOSE(EL34,CL34,CP34,CT34,CX34,DB34,DF34,DJ34,DN34))+N(CHOOSE(EL34,CM34,CQ34,CU34,CY34,DC34,DG34,DK34,DO34))-MIN(N(CHOOSE(EL34,'Debt List'!$F$5,'Debt List'!$F$6,'Debt List'!$F$7,'Debt List'!$F$8,'Debt List'!$F$9,'Debt List'!$F$10,'Debt List'!$F$11,'Debt List'!$F$12)),N(CHOOSE(EL34,CL34,CP34,CT34,CX34,DB34,DF34,DJ34,DN34))+N(CHOOSE(EL34,CM34,CQ34,CU34,CY34,DC34,DG34,DK34,DO34))))),0))</f>
        <v/>
      </c>
      <c r="EN34">
        <f>MIN(N(EM34),MAX(0,N(EK34)))</f>
        <v/>
      </c>
      <c r="EO34">
        <f>MAX(0,N(EK34)-N(EN34))</f>
        <v/>
      </c>
      <c r="EP34">
        <f>IFERROR(MATCH(7,OrderSnow,0),"")</f>
        <v/>
      </c>
      <c r="EQ34">
        <f>IF(EP34="",0,IFERROR(IF(N(CHOOSE(EP34,CL34,CP34,CT34,CX34,DB34,DF34,DJ34,DN34))&lt;=0.005,0,MAX(0,N(CHOOSE(EP34,CL34,CP34,CT34,CX34,DB34,DF34,DJ34,DN34))+N(CHOOSE(EP34,CM34,CQ34,CU34,CY34,DC34,DG34,DK34,DO34))-MIN(N(CHOOSE(EP34,'Debt List'!$F$5,'Debt List'!$F$6,'Debt List'!$F$7,'Debt List'!$F$8,'Debt List'!$F$9,'Debt List'!$F$10,'Debt List'!$F$11,'Debt List'!$F$12)),N(CHOOSE(EP34,CL34,CP34,CT34,CX34,DB34,DF34,DJ34,DN34))+N(CHOOSE(EP34,CM34,CQ34,CU34,CY34,DC34,DG34,DK34,DO34))))),0))</f>
        <v/>
      </c>
      <c r="ER34">
        <f>MIN(N(EQ34),MAX(0,N(EO34)))</f>
        <v/>
      </c>
      <c r="ES34">
        <f>MAX(0,N(EO34)-N(ER34))</f>
        <v/>
      </c>
      <c r="ET34">
        <f>IFERROR(MATCH(8,OrderSnow,0),"")</f>
        <v/>
      </c>
      <c r="EU34">
        <f>IF(ET34="",0,IFERROR(IF(N(CHOOSE(ET34,CL34,CP34,CT34,CX34,DB34,DF34,DJ34,DN34))&lt;=0.005,0,MAX(0,N(CHOOSE(ET34,CL34,CP34,CT34,CX34,DB34,DF34,DJ34,DN34))+N(CHOOSE(ET34,CM34,CQ34,CU34,CY34,DC34,DG34,DK34,DO34))-MIN(N(CHOOSE(ET34,'Debt List'!$F$5,'Debt List'!$F$6,'Debt List'!$F$7,'Debt List'!$F$8,'Debt List'!$F$9,'Debt List'!$F$10,'Debt List'!$F$11,'Debt List'!$F$12)),N(CHOOSE(ET34,CL34,CP34,CT34,CX34,DB34,DF34,DJ34,DN34))+N(CHOOSE(ET34,CM34,CQ34,CU34,CY34,DC34,DG34,DK34,DO34))))),0))</f>
        <v/>
      </c>
      <c r="EV34">
        <f>MIN(N(EU34),MAX(0,N(ES34)))</f>
        <v/>
      </c>
      <c r="EW34">
        <f>MAX(0,N(ES34)-N(EV34))</f>
        <v/>
      </c>
      <c r="FE34" t="n">
        <v>30</v>
      </c>
      <c r="FF34" s="115">
        <f>DATE(YEAR(PlanStart),MONTH(PlanStart)+FE34-1,1)</f>
        <v/>
      </c>
      <c r="FG34">
        <f>IF(AND(GT34&lt;&gt;"",N(CHOOSE(GT34,FN34,FR34,FV34,FZ34,GD34,GH34,GL34,GP34))&gt;0.005),INDEX(DebtNames,GT34),IF(AND(GX34&lt;&gt;"",N(CHOOSE(GX34,FN34,FR34,FV34,FZ34,GD34,GH34,GL34,GP34))&gt;0.005),INDEX(DebtNames,GX34),IF(AND(HB34&lt;&gt;"",N(CHOOSE(HB34,FN34,FR34,FV34,FZ34,GD34,GH34,GL34,GP34))&gt;0.005),INDEX(DebtNames,HB34),IF(AND(HF34&lt;&gt;"",N(CHOOSE(HF34,FN34,FR34,FV34,FZ34,GD34,GH34,GL34,GP34))&gt;0.005),INDEX(DebtNames,HF34),IF(AND(HJ34&lt;&gt;"",N(CHOOSE(HJ34,FN34,FR34,FV34,FZ34,GD34,GH34,GL34,GP34))&gt;0.005),INDEX(DebtNames,HJ34),IF(AND(HN34&lt;&gt;"",N(CHOOSE(HN34,FN34,FR34,FV34,FZ34,GD34,GH34,GL34,GP34))&gt;0.005),INDEX(DebtNames,HN34),IF(AND(HR34&lt;&gt;"",N(CHOOSE(HR34,FN34,FR34,FV34,FZ34,GD34,GH34,GL34,GP34))&gt;0.005),INDEX(DebtNames,HR34),IF(AND(HV34&lt;&gt;"",N(CHOOSE(HV34,FN34,FR34,FV34,FZ34,GD34,GH34,GL34,GP34))&gt;0.005),INDEX(DebtNames,HV34),""))))))))</f>
        <v/>
      </c>
      <c r="FH34">
        <f>N(HY34)</f>
        <v/>
      </c>
      <c r="FI34">
        <f>N(FP34)+N(FT34)+N(FX34)+N(GB34)+N(GF34)+N(GJ34)+N(GN34)+N(GR34)</f>
        <v/>
      </c>
      <c r="FJ34">
        <f>N(FO34)+N(FS34)+N(FW34)+N(GA34)+N(GE34)+N(GI34)+N(GM34)+N(GQ34)</f>
        <v/>
      </c>
      <c r="FK34">
        <f>N(FK33)+N(FJ34)</f>
        <v/>
      </c>
      <c r="FL34">
        <f>N(FQ34)+N(FU34)+N(FY34)+N(GC34)+N(GG34)+N(GK34)+N(GO34)+N(GS34)</f>
        <v/>
      </c>
      <c r="FM34">
        <f>(FQ34&gt;0.005)*1+(FU34&gt;0.005)*1+(FY34&gt;0.005)*1+(GC34&gt;0.005)*1+(GG34&gt;0.005)*1+(GK34&gt;0.005)*1+(GO34&gt;0.005)*1+(GS34&gt;0.005)*1</f>
        <v/>
      </c>
      <c r="FN34">
        <f>N(FQ33)</f>
        <v/>
      </c>
      <c r="FO34">
        <f>IF(N(FN34)&lt;=0.005,0,ROUND(N(FN34)*N('Debt List'!E5)/12,2))</f>
        <v/>
      </c>
      <c r="FP34">
        <f>IF(N(FN34)&lt;=0.005,0,MIN(N('Debt List'!F5),N(FN34)+N(FO34)))+((GT34=1)*GV34+(GX34=1)*GZ34+(HB34=1)*HD34+(HF34=1)*HH34+(HJ34=1)*HL34+(HN34=1)*HP34+(HR34=1)*HT34+(HV34=1)*HX34)</f>
        <v/>
      </c>
      <c r="FQ34">
        <f>MAX(0,ROUND(N(FN34)+N(FO34)-N(FP34),2))</f>
        <v/>
      </c>
      <c r="FR34">
        <f>N(FU33)</f>
        <v/>
      </c>
      <c r="FS34">
        <f>IF(N(FR34)&lt;=0.005,0,ROUND(N(FR34)*N('Debt List'!E6)/12,2))</f>
        <v/>
      </c>
      <c r="FT34">
        <f>IF(N(FR34)&lt;=0.005,0,MIN(N('Debt List'!F6),N(FR34)+N(FS34)))+((GT34=2)*GV34+(GX34=2)*GZ34+(HB34=2)*HD34+(HF34=2)*HH34+(HJ34=2)*HL34+(HN34=2)*HP34+(HR34=2)*HT34+(HV34=2)*HX34)</f>
        <v/>
      </c>
      <c r="FU34">
        <f>MAX(0,ROUND(N(FR34)+N(FS34)-N(FT34),2))</f>
        <v/>
      </c>
      <c r="FV34">
        <f>N(FY33)</f>
        <v/>
      </c>
      <c r="FW34">
        <f>IF(N(FV34)&lt;=0.005,0,ROUND(N(FV34)*N('Debt List'!E7)/12,2))</f>
        <v/>
      </c>
      <c r="FX34">
        <f>IF(N(FV34)&lt;=0.005,0,MIN(N('Debt List'!F7),N(FV34)+N(FW34)))+((GT34=3)*GV34+(GX34=3)*GZ34+(HB34=3)*HD34+(HF34=3)*HH34+(HJ34=3)*HL34+(HN34=3)*HP34+(HR34=3)*HT34+(HV34=3)*HX34)</f>
        <v/>
      </c>
      <c r="FY34">
        <f>MAX(0,ROUND(N(FV34)+N(FW34)-N(FX34),2))</f>
        <v/>
      </c>
      <c r="FZ34">
        <f>N(GC33)</f>
        <v/>
      </c>
      <c r="GA34">
        <f>IF(N(FZ34)&lt;=0.005,0,ROUND(N(FZ34)*N('Debt List'!E8)/12,2))</f>
        <v/>
      </c>
      <c r="GB34">
        <f>IF(N(FZ34)&lt;=0.005,0,MIN(N('Debt List'!F8),N(FZ34)+N(GA34)))+((GT34=4)*GV34+(GX34=4)*GZ34+(HB34=4)*HD34+(HF34=4)*HH34+(HJ34=4)*HL34+(HN34=4)*HP34+(HR34=4)*HT34+(HV34=4)*HX34)</f>
        <v/>
      </c>
      <c r="GC34">
        <f>MAX(0,ROUND(N(FZ34)+N(GA34)-N(GB34),2))</f>
        <v/>
      </c>
      <c r="GD34">
        <f>N(GG33)</f>
        <v/>
      </c>
      <c r="GE34">
        <f>IF(N(GD34)&lt;=0.005,0,ROUND(N(GD34)*N('Debt List'!E9)/12,2))</f>
        <v/>
      </c>
      <c r="GF34">
        <f>IF(N(GD34)&lt;=0.005,0,MIN(N('Debt List'!F9),N(GD34)+N(GE34)))+((GT34=5)*GV34+(GX34=5)*GZ34+(HB34=5)*HD34+(HF34=5)*HH34+(HJ34=5)*HL34+(HN34=5)*HP34+(HR34=5)*HT34+(HV34=5)*HX34)</f>
        <v/>
      </c>
      <c r="GG34">
        <f>MAX(0,ROUND(N(GD34)+N(GE34)-N(GF34),2))</f>
        <v/>
      </c>
      <c r="GH34">
        <f>N(GK33)</f>
        <v/>
      </c>
      <c r="GI34">
        <f>IF(N(GH34)&lt;=0.005,0,ROUND(N(GH34)*N('Debt List'!E10)/12,2))</f>
        <v/>
      </c>
      <c r="GJ34">
        <f>IF(N(GH34)&lt;=0.005,0,MIN(N('Debt List'!F10),N(GH34)+N(GI34)))+((GT34=6)*GV34+(GX34=6)*GZ34+(HB34=6)*HD34+(HF34=6)*HH34+(HJ34=6)*HL34+(HN34=6)*HP34+(HR34=6)*HT34+(HV34=6)*HX34)</f>
        <v/>
      </c>
      <c r="GK34">
        <f>MAX(0,ROUND(N(GH34)+N(GI34)-N(GJ34),2))</f>
        <v/>
      </c>
      <c r="GL34">
        <f>N(GO33)</f>
        <v/>
      </c>
      <c r="GM34">
        <f>IF(N(GL34)&lt;=0.005,0,ROUND(N(GL34)*N('Debt List'!E11)/12,2))</f>
        <v/>
      </c>
      <c r="GN34">
        <f>IF(N(GL34)&lt;=0.005,0,MIN(N('Debt List'!F11),N(GL34)+N(GM34)))+((GT34=7)*GV34+(GX34=7)*GZ34+(HB34=7)*HD34+(HF34=7)*HH34+(HJ34=7)*HL34+(HN34=7)*HP34+(HR34=7)*HT34+(HV34=7)*HX34)</f>
        <v/>
      </c>
      <c r="GO34">
        <f>MAX(0,ROUND(N(GL34)+N(GM34)-N(GN34),2))</f>
        <v/>
      </c>
      <c r="GP34">
        <f>N(GS33)</f>
        <v/>
      </c>
      <c r="GQ34">
        <f>IF(N(GP34)&lt;=0.005,0,ROUND(N(GP34)*N('Debt List'!E12)/12,2))</f>
        <v/>
      </c>
      <c r="GR34">
        <f>IF(N(GP34)&lt;=0.005,0,MIN(N('Debt List'!F12),N(GP34)+N(GQ34)))+((GT34=8)*GV34+(GX34=8)*GZ34+(HB34=8)*HD34+(HF34=8)*HH34+(HJ34=8)*HL34+(HN34=8)*HP34+(HR34=8)*HT34+(HV34=8)*HX34)</f>
        <v/>
      </c>
      <c r="GS34">
        <f>MAX(0,ROUND(N(GP34)+N(GQ34)-N(GR34),2))</f>
        <v/>
      </c>
      <c r="GT34">
        <f>IFERROR(MATCH(1,OrderAval,0),"")</f>
        <v/>
      </c>
      <c r="GU34">
        <f>IF(GT34="",0,IFERROR(IF(N(CHOOSE(GT34,FN34,FR34,FV34,FZ34,GD34,GH34,GL34,GP34))&lt;=0.005,0,MAX(0,N(CHOOSE(GT34,FN34,FR34,FV34,FZ34,GD34,GH34,GL34,GP34))+N(CHOOSE(GT34,FO34,FS34,FW34,GA34,GE34,GI34,GM34,GQ34))-MIN(N(CHOOSE(GT34,'Debt List'!$F$5,'Debt List'!$F$6,'Debt List'!$F$7,'Debt List'!$F$8,'Debt List'!$F$9,'Debt List'!$F$10,'Debt List'!$F$11,'Debt List'!$F$12)),N(CHOOSE(GT34,FN34,FR34,FV34,FZ34,GD34,GH34,GL34,GP34))+N(CHOOSE(GT34,FO34,FS34,FW34,GA34,GE34,GI34,GM34,GQ34))))),0))</f>
        <v/>
      </c>
      <c r="GV34">
        <f>MIN(N(GU34),MAX(0,N(ExtraPayment)))</f>
        <v/>
      </c>
      <c r="GW34">
        <f>MAX(0,N(ExtraPayment)-N(GV34))</f>
        <v/>
      </c>
      <c r="GX34">
        <f>IFERROR(MATCH(2,OrderAval,0),"")</f>
        <v/>
      </c>
      <c r="GY34">
        <f>IF(GX34="",0,IFERROR(IF(N(CHOOSE(GX34,FN34,FR34,FV34,FZ34,GD34,GH34,GL34,GP34))&lt;=0.005,0,MAX(0,N(CHOOSE(GX34,FN34,FR34,FV34,FZ34,GD34,GH34,GL34,GP34))+N(CHOOSE(GX34,FO34,FS34,FW34,GA34,GE34,GI34,GM34,GQ34))-MIN(N(CHOOSE(GX34,'Debt List'!$F$5,'Debt List'!$F$6,'Debt List'!$F$7,'Debt List'!$F$8,'Debt List'!$F$9,'Debt List'!$F$10,'Debt List'!$F$11,'Debt List'!$F$12)),N(CHOOSE(GX34,FN34,FR34,FV34,FZ34,GD34,GH34,GL34,GP34))+N(CHOOSE(GX34,FO34,FS34,FW34,GA34,GE34,GI34,GM34,GQ34))))),0))</f>
        <v/>
      </c>
      <c r="GZ34">
        <f>MIN(N(GY34),MAX(0,N(GW34)))</f>
        <v/>
      </c>
      <c r="HA34">
        <f>MAX(0,N(GW34)-N(GZ34))</f>
        <v/>
      </c>
      <c r="HB34">
        <f>IFERROR(MATCH(3,OrderAval,0),"")</f>
        <v/>
      </c>
      <c r="HC34">
        <f>IF(HB34="",0,IFERROR(IF(N(CHOOSE(HB34,FN34,FR34,FV34,FZ34,GD34,GH34,GL34,GP34))&lt;=0.005,0,MAX(0,N(CHOOSE(HB34,FN34,FR34,FV34,FZ34,GD34,GH34,GL34,GP34))+N(CHOOSE(HB34,FO34,FS34,FW34,GA34,GE34,GI34,GM34,GQ34))-MIN(N(CHOOSE(HB34,'Debt List'!$F$5,'Debt List'!$F$6,'Debt List'!$F$7,'Debt List'!$F$8,'Debt List'!$F$9,'Debt List'!$F$10,'Debt List'!$F$11,'Debt List'!$F$12)),N(CHOOSE(HB34,FN34,FR34,FV34,FZ34,GD34,GH34,GL34,GP34))+N(CHOOSE(HB34,FO34,FS34,FW34,GA34,GE34,GI34,GM34,GQ34))))),0))</f>
        <v/>
      </c>
      <c r="HD34">
        <f>MIN(N(HC34),MAX(0,N(HA34)))</f>
        <v/>
      </c>
      <c r="HE34">
        <f>MAX(0,N(HA34)-N(HD34))</f>
        <v/>
      </c>
      <c r="HF34">
        <f>IFERROR(MATCH(4,OrderAval,0),"")</f>
        <v/>
      </c>
      <c r="HG34">
        <f>IF(HF34="",0,IFERROR(IF(N(CHOOSE(HF34,FN34,FR34,FV34,FZ34,GD34,GH34,GL34,GP34))&lt;=0.005,0,MAX(0,N(CHOOSE(HF34,FN34,FR34,FV34,FZ34,GD34,GH34,GL34,GP34))+N(CHOOSE(HF34,FO34,FS34,FW34,GA34,GE34,GI34,GM34,GQ34))-MIN(N(CHOOSE(HF34,'Debt List'!$F$5,'Debt List'!$F$6,'Debt List'!$F$7,'Debt List'!$F$8,'Debt List'!$F$9,'Debt List'!$F$10,'Debt List'!$F$11,'Debt List'!$F$12)),N(CHOOSE(HF34,FN34,FR34,FV34,FZ34,GD34,GH34,GL34,GP34))+N(CHOOSE(HF34,FO34,FS34,FW34,GA34,GE34,GI34,GM34,GQ34))))),0))</f>
        <v/>
      </c>
      <c r="HH34">
        <f>MIN(N(HG34),MAX(0,N(HE34)))</f>
        <v/>
      </c>
      <c r="HI34">
        <f>MAX(0,N(HE34)-N(HH34))</f>
        <v/>
      </c>
      <c r="HJ34">
        <f>IFERROR(MATCH(5,OrderAval,0),"")</f>
        <v/>
      </c>
      <c r="HK34">
        <f>IF(HJ34="",0,IFERROR(IF(N(CHOOSE(HJ34,FN34,FR34,FV34,FZ34,GD34,GH34,GL34,GP34))&lt;=0.005,0,MAX(0,N(CHOOSE(HJ34,FN34,FR34,FV34,FZ34,GD34,GH34,GL34,GP34))+N(CHOOSE(HJ34,FO34,FS34,FW34,GA34,GE34,GI34,GM34,GQ34))-MIN(N(CHOOSE(HJ34,'Debt List'!$F$5,'Debt List'!$F$6,'Debt List'!$F$7,'Debt List'!$F$8,'Debt List'!$F$9,'Debt List'!$F$10,'Debt List'!$F$11,'Debt List'!$F$12)),N(CHOOSE(HJ34,FN34,FR34,FV34,FZ34,GD34,GH34,GL34,GP34))+N(CHOOSE(HJ34,FO34,FS34,FW34,GA34,GE34,GI34,GM34,GQ34))))),0))</f>
        <v/>
      </c>
      <c r="HL34">
        <f>MIN(N(HK34),MAX(0,N(HI34)))</f>
        <v/>
      </c>
      <c r="HM34">
        <f>MAX(0,N(HI34)-N(HL34))</f>
        <v/>
      </c>
      <c r="HN34">
        <f>IFERROR(MATCH(6,OrderAval,0),"")</f>
        <v/>
      </c>
      <c r="HO34">
        <f>IF(HN34="",0,IFERROR(IF(N(CHOOSE(HN34,FN34,FR34,FV34,FZ34,GD34,GH34,GL34,GP34))&lt;=0.005,0,MAX(0,N(CHOOSE(HN34,FN34,FR34,FV34,FZ34,GD34,GH34,GL34,GP34))+N(CHOOSE(HN34,FO34,FS34,FW34,GA34,GE34,GI34,GM34,GQ34))-MIN(N(CHOOSE(HN34,'Debt List'!$F$5,'Debt List'!$F$6,'Debt List'!$F$7,'Debt List'!$F$8,'Debt List'!$F$9,'Debt List'!$F$10,'Debt List'!$F$11,'Debt List'!$F$12)),N(CHOOSE(HN34,FN34,FR34,FV34,FZ34,GD34,GH34,GL34,GP34))+N(CHOOSE(HN34,FO34,FS34,FW34,GA34,GE34,GI34,GM34,GQ34))))),0))</f>
        <v/>
      </c>
      <c r="HP34">
        <f>MIN(N(HO34),MAX(0,N(HM34)))</f>
        <v/>
      </c>
      <c r="HQ34">
        <f>MAX(0,N(HM34)-N(HP34))</f>
        <v/>
      </c>
      <c r="HR34">
        <f>IFERROR(MATCH(7,OrderAval,0),"")</f>
        <v/>
      </c>
      <c r="HS34">
        <f>IF(HR34="",0,IFERROR(IF(N(CHOOSE(HR34,FN34,FR34,FV34,FZ34,GD34,GH34,GL34,GP34))&lt;=0.005,0,MAX(0,N(CHOOSE(HR34,FN34,FR34,FV34,FZ34,GD34,GH34,GL34,GP34))+N(CHOOSE(HR34,FO34,FS34,FW34,GA34,GE34,GI34,GM34,GQ34))-MIN(N(CHOOSE(HR34,'Debt List'!$F$5,'Debt List'!$F$6,'Debt List'!$F$7,'Debt List'!$F$8,'Debt List'!$F$9,'Debt List'!$F$10,'Debt List'!$F$11,'Debt List'!$F$12)),N(CHOOSE(HR34,FN34,FR34,FV34,FZ34,GD34,GH34,GL34,GP34))+N(CHOOSE(HR34,FO34,FS34,FW34,GA34,GE34,GI34,GM34,GQ34))))),0))</f>
        <v/>
      </c>
      <c r="HT34">
        <f>MIN(N(HS34),MAX(0,N(HQ34)))</f>
        <v/>
      </c>
      <c r="HU34">
        <f>MAX(0,N(HQ34)-N(HT34))</f>
        <v/>
      </c>
      <c r="HV34">
        <f>IFERROR(MATCH(8,OrderAval,0),"")</f>
        <v/>
      </c>
      <c r="HW34">
        <f>IF(HV34="",0,IFERROR(IF(N(CHOOSE(HV34,FN34,FR34,FV34,FZ34,GD34,GH34,GL34,GP34))&lt;=0.005,0,MAX(0,N(CHOOSE(HV34,FN34,FR34,FV34,FZ34,GD34,GH34,GL34,GP34))+N(CHOOSE(HV34,FO34,FS34,FW34,GA34,GE34,GI34,GM34,GQ34))-MIN(N(CHOOSE(HV34,'Debt List'!$F$5,'Debt List'!$F$6,'Debt List'!$F$7,'Debt List'!$F$8,'Debt List'!$F$9,'Debt List'!$F$10,'Debt List'!$F$11,'Debt List'!$F$12)),N(CHOOSE(HV34,FN34,FR34,FV34,FZ34,GD34,GH34,GL34,GP34))+N(CHOOSE(HV34,FO34,FS34,FW34,GA34,GE34,GI34,GM34,GQ34))))),0))</f>
        <v/>
      </c>
      <c r="HX34">
        <f>MIN(N(HW34),MAX(0,N(HU34)))</f>
        <v/>
      </c>
      <c r="HY34">
        <f>MAX(0,N(HU34)-N(HX34))</f>
        <v/>
      </c>
    </row>
    <row r="35">
      <c r="A35" t="n">
        <v>31</v>
      </c>
      <c r="B35" s="115">
        <f>DATE(YEAR(PlanStart),MONTH(PlanStart)+A35-1,1)</f>
        <v/>
      </c>
      <c r="C35">
        <f>IF(AND(AP35&lt;&gt;"",N(CHOOSE(AP35,J35,N35,R35,V35,Z35,AD35,AH35,AL35))&gt;0.005),INDEX(DebtNames,AP35),IF(AND(AT35&lt;&gt;"",N(CHOOSE(AT35,J35,N35,R35,V35,Z35,AD35,AH35,AL35))&gt;0.005),INDEX(DebtNames,AT35),IF(AND(AX35&lt;&gt;"",N(CHOOSE(AX35,J35,N35,R35,V35,Z35,AD35,AH35,AL35))&gt;0.005),INDEX(DebtNames,AX35),IF(AND(BB35&lt;&gt;"",N(CHOOSE(BB35,J35,N35,R35,V35,Z35,AD35,AH35,AL35))&gt;0.005),INDEX(DebtNames,BB35),IF(AND(BF35&lt;&gt;"",N(CHOOSE(BF35,J35,N35,R35,V35,Z35,AD35,AH35,AL35))&gt;0.005),INDEX(DebtNames,BF35),IF(AND(BJ35&lt;&gt;"",N(CHOOSE(BJ35,J35,N35,R35,V35,Z35,AD35,AH35,AL35))&gt;0.005),INDEX(DebtNames,BJ35),IF(AND(BN35&lt;&gt;"",N(CHOOSE(BN35,J35,N35,R35,V35,Z35,AD35,AH35,AL35))&gt;0.005),INDEX(DebtNames,BN35),IF(AND(BR35&lt;&gt;"",N(CHOOSE(BR35,J35,N35,R35,V35,Z35,AD35,AH35,AL35))&gt;0.005),INDEX(DebtNames,BR35),""))))))))</f>
        <v/>
      </c>
      <c r="D35">
        <f>N(BU35)</f>
        <v/>
      </c>
      <c r="E35">
        <f>N(L35)+N(P35)+N(T35)+N(X35)+N(AB35)+N(AF35)+N(AJ35)+N(AN35)</f>
        <v/>
      </c>
      <c r="F35">
        <f>N(K35)+N(O35)+N(S35)+N(W35)+N(AA35)+N(AE35)+N(AI35)+N(AM35)</f>
        <v/>
      </c>
      <c r="G35">
        <f>N(G34)+N(F35)</f>
        <v/>
      </c>
      <c r="H35">
        <f>N(M35)+N(Q35)+N(U35)+N(Y35)+N(AC35)+N(AG35)+N(AK35)+N(AO35)</f>
        <v/>
      </c>
      <c r="I35">
        <f>(M35&gt;0.005)*1+(Q35&gt;0.005)*1+(U35&gt;0.005)*1+(Y35&gt;0.005)*1+(AC35&gt;0.005)*1+(AG35&gt;0.005)*1+(AK35&gt;0.005)*1+(AO35&gt;0.005)*1</f>
        <v/>
      </c>
      <c r="J35">
        <f>N(M34)</f>
        <v/>
      </c>
      <c r="K35">
        <f>IF(N(J35)&lt;=0.005,0,ROUND(N(J35)*N('Debt List'!E5)/12,2))</f>
        <v/>
      </c>
      <c r="L35">
        <f>IF(N(J35)&lt;=0.005,0,MIN(N('Debt List'!F5),N(J35)+N(K35)))+((AP35=1)*AR35+(AT35=1)*AV35+(AX35=1)*AZ35+(BB35=1)*BD35+(BF35=1)*BH35+(BJ35=1)*BL35+(BN35=1)*BP35+(BR35=1)*BT35)</f>
        <v/>
      </c>
      <c r="M35">
        <f>MAX(0,ROUND(N(J35)+N(K35)-N(L35),2))</f>
        <v/>
      </c>
      <c r="N35">
        <f>N(Q34)</f>
        <v/>
      </c>
      <c r="O35">
        <f>IF(N(N35)&lt;=0.005,0,ROUND(N(N35)*N('Debt List'!E6)/12,2))</f>
        <v/>
      </c>
      <c r="P35">
        <f>IF(N(N35)&lt;=0.005,0,MIN(N('Debt List'!F6),N(N35)+N(O35)))+((AP35=2)*AR35+(AT35=2)*AV35+(AX35=2)*AZ35+(BB35=2)*BD35+(BF35=2)*BH35+(BJ35=2)*BL35+(BN35=2)*BP35+(BR35=2)*BT35)</f>
        <v/>
      </c>
      <c r="Q35">
        <f>MAX(0,ROUND(N(N35)+N(O35)-N(P35),2))</f>
        <v/>
      </c>
      <c r="R35">
        <f>N(U34)</f>
        <v/>
      </c>
      <c r="S35">
        <f>IF(N(R35)&lt;=0.005,0,ROUND(N(R35)*N('Debt List'!E7)/12,2))</f>
        <v/>
      </c>
      <c r="T35">
        <f>IF(N(R35)&lt;=0.005,0,MIN(N('Debt List'!F7),N(R35)+N(S35)))+((AP35=3)*AR35+(AT35=3)*AV35+(AX35=3)*AZ35+(BB35=3)*BD35+(BF35=3)*BH35+(BJ35=3)*BL35+(BN35=3)*BP35+(BR35=3)*BT35)</f>
        <v/>
      </c>
      <c r="U35">
        <f>MAX(0,ROUND(N(R35)+N(S35)-N(T35),2))</f>
        <v/>
      </c>
      <c r="V35">
        <f>N(Y34)</f>
        <v/>
      </c>
      <c r="W35">
        <f>IF(N(V35)&lt;=0.005,0,ROUND(N(V35)*N('Debt List'!E8)/12,2))</f>
        <v/>
      </c>
      <c r="X35">
        <f>IF(N(V35)&lt;=0.005,0,MIN(N('Debt List'!F8),N(V35)+N(W35)))+((AP35=4)*AR35+(AT35=4)*AV35+(AX35=4)*AZ35+(BB35=4)*BD35+(BF35=4)*BH35+(BJ35=4)*BL35+(BN35=4)*BP35+(BR35=4)*BT35)</f>
        <v/>
      </c>
      <c r="Y35">
        <f>MAX(0,ROUND(N(V35)+N(W35)-N(X35),2))</f>
        <v/>
      </c>
      <c r="Z35">
        <f>N(AC34)</f>
        <v/>
      </c>
      <c r="AA35">
        <f>IF(N(Z35)&lt;=0.005,0,ROUND(N(Z35)*N('Debt List'!E9)/12,2))</f>
        <v/>
      </c>
      <c r="AB35">
        <f>IF(N(Z35)&lt;=0.005,0,MIN(N('Debt List'!F9),N(Z35)+N(AA35)))+((AP35=5)*AR35+(AT35=5)*AV35+(AX35=5)*AZ35+(BB35=5)*BD35+(BF35=5)*BH35+(BJ35=5)*BL35+(BN35=5)*BP35+(BR35=5)*BT35)</f>
        <v/>
      </c>
      <c r="AC35">
        <f>MAX(0,ROUND(N(Z35)+N(AA35)-N(AB35),2))</f>
        <v/>
      </c>
      <c r="AD35">
        <f>N(AG34)</f>
        <v/>
      </c>
      <c r="AE35">
        <f>IF(N(AD35)&lt;=0.005,0,ROUND(N(AD35)*N('Debt List'!E10)/12,2))</f>
        <v/>
      </c>
      <c r="AF35">
        <f>IF(N(AD35)&lt;=0.005,0,MIN(N('Debt List'!F10),N(AD35)+N(AE35)))+((AP35=6)*AR35+(AT35=6)*AV35+(AX35=6)*AZ35+(BB35=6)*BD35+(BF35=6)*BH35+(BJ35=6)*BL35+(BN35=6)*BP35+(BR35=6)*BT35)</f>
        <v/>
      </c>
      <c r="AG35">
        <f>MAX(0,ROUND(N(AD35)+N(AE35)-N(AF35),2))</f>
        <v/>
      </c>
      <c r="AH35">
        <f>N(AK34)</f>
        <v/>
      </c>
      <c r="AI35">
        <f>IF(N(AH35)&lt;=0.005,0,ROUND(N(AH35)*N('Debt List'!E11)/12,2))</f>
        <v/>
      </c>
      <c r="AJ35">
        <f>IF(N(AH35)&lt;=0.005,0,MIN(N('Debt List'!F11),N(AH35)+N(AI35)))+((AP35=7)*AR35+(AT35=7)*AV35+(AX35=7)*AZ35+(BB35=7)*BD35+(BF35=7)*BH35+(BJ35=7)*BL35+(BN35=7)*BP35+(BR35=7)*BT35)</f>
        <v/>
      </c>
      <c r="AK35">
        <f>MAX(0,ROUND(N(AH35)+N(AI35)-N(AJ35),2))</f>
        <v/>
      </c>
      <c r="AL35">
        <f>N(AO34)</f>
        <v/>
      </c>
      <c r="AM35">
        <f>IF(N(AL35)&lt;=0.005,0,ROUND(N(AL35)*N('Debt List'!E12)/12,2))</f>
        <v/>
      </c>
      <c r="AN35">
        <f>IF(N(AL35)&lt;=0.005,0,MIN(N('Debt List'!F12),N(AL35)+N(AM35)))+((AP35=8)*AR35+(AT35=8)*AV35+(AX35=8)*AZ35+(BB35=8)*BD35+(BF35=8)*BH35+(BJ35=8)*BL35+(BN35=8)*BP35+(BR35=8)*BT35)</f>
        <v/>
      </c>
      <c r="AO35">
        <f>MAX(0,ROUND(N(AL35)+N(AM35)-N(AN35),2))</f>
        <v/>
      </c>
      <c r="AP35">
        <f>IFERROR(MATCH(1,OrderPlan,0),"")</f>
        <v/>
      </c>
      <c r="AQ35">
        <f>IF(AP35="",0,IFERROR(IF(N(CHOOSE(AP35,J35,N35,R35,V35,Z35,AD35,AH35,AL35))&lt;=0.005,0,MAX(0,N(CHOOSE(AP35,J35,N35,R35,V35,Z35,AD35,AH35,AL35))+N(CHOOSE(AP35,K35,O35,S35,W35,AA35,AE35,AI35,AM35))-MIN(N(CHOOSE(AP35,'Debt List'!$F$5,'Debt List'!$F$6,'Debt List'!$F$7,'Debt List'!$F$8,'Debt List'!$F$9,'Debt List'!$F$10,'Debt List'!$F$11,'Debt List'!$F$12)),N(CHOOSE(AP35,J35,N35,R35,V35,Z35,AD35,AH35,AL35))+N(CHOOSE(AP35,K35,O35,S35,W35,AA35,AE35,AI35,AM35))))),0))</f>
        <v/>
      </c>
      <c r="AR35">
        <f>MIN(N(AQ35),MAX(0,N(ExtraPayment)))</f>
        <v/>
      </c>
      <c r="AS35">
        <f>MAX(0,N(ExtraPayment)-N(AR35))</f>
        <v/>
      </c>
      <c r="AT35">
        <f>IFERROR(MATCH(2,OrderPlan,0),"")</f>
        <v/>
      </c>
      <c r="AU35">
        <f>IF(AT35="",0,IFERROR(IF(N(CHOOSE(AT35,J35,N35,R35,V35,Z35,AD35,AH35,AL35))&lt;=0.005,0,MAX(0,N(CHOOSE(AT35,J35,N35,R35,V35,Z35,AD35,AH35,AL35))+N(CHOOSE(AT35,K35,O35,S35,W35,AA35,AE35,AI35,AM35))-MIN(N(CHOOSE(AT35,'Debt List'!$F$5,'Debt List'!$F$6,'Debt List'!$F$7,'Debt List'!$F$8,'Debt List'!$F$9,'Debt List'!$F$10,'Debt List'!$F$11,'Debt List'!$F$12)),N(CHOOSE(AT35,J35,N35,R35,V35,Z35,AD35,AH35,AL35))+N(CHOOSE(AT35,K35,O35,S35,W35,AA35,AE35,AI35,AM35))))),0))</f>
        <v/>
      </c>
      <c r="AV35">
        <f>MIN(N(AU35),MAX(0,N(AS35)))</f>
        <v/>
      </c>
      <c r="AW35">
        <f>MAX(0,N(AS35)-N(AV35))</f>
        <v/>
      </c>
      <c r="AX35">
        <f>IFERROR(MATCH(3,OrderPlan,0),"")</f>
        <v/>
      </c>
      <c r="AY35">
        <f>IF(AX35="",0,IFERROR(IF(N(CHOOSE(AX35,J35,N35,R35,V35,Z35,AD35,AH35,AL35))&lt;=0.005,0,MAX(0,N(CHOOSE(AX35,J35,N35,R35,V35,Z35,AD35,AH35,AL35))+N(CHOOSE(AX35,K35,O35,S35,W35,AA35,AE35,AI35,AM35))-MIN(N(CHOOSE(AX35,'Debt List'!$F$5,'Debt List'!$F$6,'Debt List'!$F$7,'Debt List'!$F$8,'Debt List'!$F$9,'Debt List'!$F$10,'Debt List'!$F$11,'Debt List'!$F$12)),N(CHOOSE(AX35,J35,N35,R35,V35,Z35,AD35,AH35,AL35))+N(CHOOSE(AX35,K35,O35,S35,W35,AA35,AE35,AI35,AM35))))),0))</f>
        <v/>
      </c>
      <c r="AZ35">
        <f>MIN(N(AY35),MAX(0,N(AW35)))</f>
        <v/>
      </c>
      <c r="BA35">
        <f>MAX(0,N(AW35)-N(AZ35))</f>
        <v/>
      </c>
      <c r="BB35">
        <f>IFERROR(MATCH(4,OrderPlan,0),"")</f>
        <v/>
      </c>
      <c r="BC35">
        <f>IF(BB35="",0,IFERROR(IF(N(CHOOSE(BB35,J35,N35,R35,V35,Z35,AD35,AH35,AL35))&lt;=0.005,0,MAX(0,N(CHOOSE(BB35,J35,N35,R35,V35,Z35,AD35,AH35,AL35))+N(CHOOSE(BB35,K35,O35,S35,W35,AA35,AE35,AI35,AM35))-MIN(N(CHOOSE(BB35,'Debt List'!$F$5,'Debt List'!$F$6,'Debt List'!$F$7,'Debt List'!$F$8,'Debt List'!$F$9,'Debt List'!$F$10,'Debt List'!$F$11,'Debt List'!$F$12)),N(CHOOSE(BB35,J35,N35,R35,V35,Z35,AD35,AH35,AL35))+N(CHOOSE(BB35,K35,O35,S35,W35,AA35,AE35,AI35,AM35))))),0))</f>
        <v/>
      </c>
      <c r="BD35">
        <f>MIN(N(BC35),MAX(0,N(BA35)))</f>
        <v/>
      </c>
      <c r="BE35">
        <f>MAX(0,N(BA35)-N(BD35))</f>
        <v/>
      </c>
      <c r="BF35">
        <f>IFERROR(MATCH(5,OrderPlan,0),"")</f>
        <v/>
      </c>
      <c r="BG35">
        <f>IF(BF35="",0,IFERROR(IF(N(CHOOSE(BF35,J35,N35,R35,V35,Z35,AD35,AH35,AL35))&lt;=0.005,0,MAX(0,N(CHOOSE(BF35,J35,N35,R35,V35,Z35,AD35,AH35,AL35))+N(CHOOSE(BF35,K35,O35,S35,W35,AA35,AE35,AI35,AM35))-MIN(N(CHOOSE(BF35,'Debt List'!$F$5,'Debt List'!$F$6,'Debt List'!$F$7,'Debt List'!$F$8,'Debt List'!$F$9,'Debt List'!$F$10,'Debt List'!$F$11,'Debt List'!$F$12)),N(CHOOSE(BF35,J35,N35,R35,V35,Z35,AD35,AH35,AL35))+N(CHOOSE(BF35,K35,O35,S35,W35,AA35,AE35,AI35,AM35))))),0))</f>
        <v/>
      </c>
      <c r="BH35">
        <f>MIN(N(BG35),MAX(0,N(BE35)))</f>
        <v/>
      </c>
      <c r="BI35">
        <f>MAX(0,N(BE35)-N(BH35))</f>
        <v/>
      </c>
      <c r="BJ35">
        <f>IFERROR(MATCH(6,OrderPlan,0),"")</f>
        <v/>
      </c>
      <c r="BK35">
        <f>IF(BJ35="",0,IFERROR(IF(N(CHOOSE(BJ35,J35,N35,R35,V35,Z35,AD35,AH35,AL35))&lt;=0.005,0,MAX(0,N(CHOOSE(BJ35,J35,N35,R35,V35,Z35,AD35,AH35,AL35))+N(CHOOSE(BJ35,K35,O35,S35,W35,AA35,AE35,AI35,AM35))-MIN(N(CHOOSE(BJ35,'Debt List'!$F$5,'Debt List'!$F$6,'Debt List'!$F$7,'Debt List'!$F$8,'Debt List'!$F$9,'Debt List'!$F$10,'Debt List'!$F$11,'Debt List'!$F$12)),N(CHOOSE(BJ35,J35,N35,R35,V35,Z35,AD35,AH35,AL35))+N(CHOOSE(BJ35,K35,O35,S35,W35,AA35,AE35,AI35,AM35))))),0))</f>
        <v/>
      </c>
      <c r="BL35">
        <f>MIN(N(BK35),MAX(0,N(BI35)))</f>
        <v/>
      </c>
      <c r="BM35">
        <f>MAX(0,N(BI35)-N(BL35))</f>
        <v/>
      </c>
      <c r="BN35">
        <f>IFERROR(MATCH(7,OrderPlan,0),"")</f>
        <v/>
      </c>
      <c r="BO35">
        <f>IF(BN35="",0,IFERROR(IF(N(CHOOSE(BN35,J35,N35,R35,V35,Z35,AD35,AH35,AL35))&lt;=0.005,0,MAX(0,N(CHOOSE(BN35,J35,N35,R35,V35,Z35,AD35,AH35,AL35))+N(CHOOSE(BN35,K35,O35,S35,W35,AA35,AE35,AI35,AM35))-MIN(N(CHOOSE(BN35,'Debt List'!$F$5,'Debt List'!$F$6,'Debt List'!$F$7,'Debt List'!$F$8,'Debt List'!$F$9,'Debt List'!$F$10,'Debt List'!$F$11,'Debt List'!$F$12)),N(CHOOSE(BN35,J35,N35,R35,V35,Z35,AD35,AH35,AL35))+N(CHOOSE(BN35,K35,O35,S35,W35,AA35,AE35,AI35,AM35))))),0))</f>
        <v/>
      </c>
      <c r="BP35">
        <f>MIN(N(BO35),MAX(0,N(BM35)))</f>
        <v/>
      </c>
      <c r="BQ35">
        <f>MAX(0,N(BM35)-N(BP35))</f>
        <v/>
      </c>
      <c r="BR35">
        <f>IFERROR(MATCH(8,OrderPlan,0),"")</f>
        <v/>
      </c>
      <c r="BS35">
        <f>IF(BR35="",0,IFERROR(IF(N(CHOOSE(BR35,J35,N35,R35,V35,Z35,AD35,AH35,AL35))&lt;=0.005,0,MAX(0,N(CHOOSE(BR35,J35,N35,R35,V35,Z35,AD35,AH35,AL35))+N(CHOOSE(BR35,K35,O35,S35,W35,AA35,AE35,AI35,AM35))-MIN(N(CHOOSE(BR35,'Debt List'!$F$5,'Debt List'!$F$6,'Debt List'!$F$7,'Debt List'!$F$8,'Debt List'!$F$9,'Debt List'!$F$10,'Debt List'!$F$11,'Debt List'!$F$12)),N(CHOOSE(BR35,J35,N35,R35,V35,Z35,AD35,AH35,AL35))+N(CHOOSE(BR35,K35,O35,S35,W35,AA35,AE35,AI35,AM35))))),0))</f>
        <v/>
      </c>
      <c r="BT35">
        <f>MIN(N(BS35),MAX(0,N(BQ35)))</f>
        <v/>
      </c>
      <c r="BU35">
        <f>MAX(0,N(BQ35)-N(BT35))</f>
        <v/>
      </c>
      <c r="CC35" t="n">
        <v>31</v>
      </c>
      <c r="CD35" s="115">
        <f>DATE(YEAR(PlanStart),MONTH(PlanStart)+CC35-1,1)</f>
        <v/>
      </c>
      <c r="CE35">
        <f>IF(AND(DR35&lt;&gt;"",N(CHOOSE(DR35,CL35,CP35,CT35,CX35,DB35,DF35,DJ35,DN35))&gt;0.005),INDEX(DebtNames,DR35),IF(AND(DV35&lt;&gt;"",N(CHOOSE(DV35,CL35,CP35,CT35,CX35,DB35,DF35,DJ35,DN35))&gt;0.005),INDEX(DebtNames,DV35),IF(AND(DZ35&lt;&gt;"",N(CHOOSE(DZ35,CL35,CP35,CT35,CX35,DB35,DF35,DJ35,DN35))&gt;0.005),INDEX(DebtNames,DZ35),IF(AND(ED35&lt;&gt;"",N(CHOOSE(ED35,CL35,CP35,CT35,CX35,DB35,DF35,DJ35,DN35))&gt;0.005),INDEX(DebtNames,ED35),IF(AND(EH35&lt;&gt;"",N(CHOOSE(EH35,CL35,CP35,CT35,CX35,DB35,DF35,DJ35,DN35))&gt;0.005),INDEX(DebtNames,EH35),IF(AND(EL35&lt;&gt;"",N(CHOOSE(EL35,CL35,CP35,CT35,CX35,DB35,DF35,DJ35,DN35))&gt;0.005),INDEX(DebtNames,EL35),IF(AND(EP35&lt;&gt;"",N(CHOOSE(EP35,CL35,CP35,CT35,CX35,DB35,DF35,DJ35,DN35))&gt;0.005),INDEX(DebtNames,EP35),IF(AND(ET35&lt;&gt;"",N(CHOOSE(ET35,CL35,CP35,CT35,CX35,DB35,DF35,DJ35,DN35))&gt;0.005),INDEX(DebtNames,ET35),""))))))))</f>
        <v/>
      </c>
      <c r="CF35">
        <f>N(EW35)</f>
        <v/>
      </c>
      <c r="CG35">
        <f>N(CN35)+N(CR35)+N(CV35)+N(CZ35)+N(DD35)+N(DH35)+N(DL35)+N(DP35)</f>
        <v/>
      </c>
      <c r="CH35">
        <f>N(CM35)+N(CQ35)+N(CU35)+N(CY35)+N(DC35)+N(DG35)+N(DK35)+N(DO35)</f>
        <v/>
      </c>
      <c r="CI35">
        <f>N(CI34)+N(CH35)</f>
        <v/>
      </c>
      <c r="CJ35">
        <f>N(CO35)+N(CS35)+N(CW35)+N(DA35)+N(DE35)+N(DI35)+N(DM35)+N(DQ35)</f>
        <v/>
      </c>
      <c r="CK35">
        <f>(CO35&gt;0.005)*1+(CS35&gt;0.005)*1+(CW35&gt;0.005)*1+(DA35&gt;0.005)*1+(DE35&gt;0.005)*1+(DI35&gt;0.005)*1+(DM35&gt;0.005)*1+(DQ35&gt;0.005)*1</f>
        <v/>
      </c>
      <c r="CL35">
        <f>N(CO34)</f>
        <v/>
      </c>
      <c r="CM35">
        <f>IF(N(CL35)&lt;=0.005,0,ROUND(N(CL35)*N('Debt List'!E5)/12,2))</f>
        <v/>
      </c>
      <c r="CN35">
        <f>IF(N(CL35)&lt;=0.005,0,MIN(N('Debt List'!F5),N(CL35)+N(CM35)))+((DR35=1)*DT35+(DV35=1)*DX35+(DZ35=1)*EB35+(ED35=1)*EF35+(EH35=1)*EJ35+(EL35=1)*EN35+(EP35=1)*ER35+(ET35=1)*EV35)</f>
        <v/>
      </c>
      <c r="CO35">
        <f>MAX(0,ROUND(N(CL35)+N(CM35)-N(CN35),2))</f>
        <v/>
      </c>
      <c r="CP35">
        <f>N(CS34)</f>
        <v/>
      </c>
      <c r="CQ35">
        <f>IF(N(CP35)&lt;=0.005,0,ROUND(N(CP35)*N('Debt List'!E6)/12,2))</f>
        <v/>
      </c>
      <c r="CR35">
        <f>IF(N(CP35)&lt;=0.005,0,MIN(N('Debt List'!F6),N(CP35)+N(CQ35)))+((DR35=2)*DT35+(DV35=2)*DX35+(DZ35=2)*EB35+(ED35=2)*EF35+(EH35=2)*EJ35+(EL35=2)*EN35+(EP35=2)*ER35+(ET35=2)*EV35)</f>
        <v/>
      </c>
      <c r="CS35">
        <f>MAX(0,ROUND(N(CP35)+N(CQ35)-N(CR35),2))</f>
        <v/>
      </c>
      <c r="CT35">
        <f>N(CW34)</f>
        <v/>
      </c>
      <c r="CU35">
        <f>IF(N(CT35)&lt;=0.005,0,ROUND(N(CT35)*N('Debt List'!E7)/12,2))</f>
        <v/>
      </c>
      <c r="CV35">
        <f>IF(N(CT35)&lt;=0.005,0,MIN(N('Debt List'!F7),N(CT35)+N(CU35)))+((DR35=3)*DT35+(DV35=3)*DX35+(DZ35=3)*EB35+(ED35=3)*EF35+(EH35=3)*EJ35+(EL35=3)*EN35+(EP35=3)*ER35+(ET35=3)*EV35)</f>
        <v/>
      </c>
      <c r="CW35">
        <f>MAX(0,ROUND(N(CT35)+N(CU35)-N(CV35),2))</f>
        <v/>
      </c>
      <c r="CX35">
        <f>N(DA34)</f>
        <v/>
      </c>
      <c r="CY35">
        <f>IF(N(CX35)&lt;=0.005,0,ROUND(N(CX35)*N('Debt List'!E8)/12,2))</f>
        <v/>
      </c>
      <c r="CZ35">
        <f>IF(N(CX35)&lt;=0.005,0,MIN(N('Debt List'!F8),N(CX35)+N(CY35)))+((DR35=4)*DT35+(DV35=4)*DX35+(DZ35=4)*EB35+(ED35=4)*EF35+(EH35=4)*EJ35+(EL35=4)*EN35+(EP35=4)*ER35+(ET35=4)*EV35)</f>
        <v/>
      </c>
      <c r="DA35">
        <f>MAX(0,ROUND(N(CX35)+N(CY35)-N(CZ35),2))</f>
        <v/>
      </c>
      <c r="DB35">
        <f>N(DE34)</f>
        <v/>
      </c>
      <c r="DC35">
        <f>IF(N(DB35)&lt;=0.005,0,ROUND(N(DB35)*N('Debt List'!E9)/12,2))</f>
        <v/>
      </c>
      <c r="DD35">
        <f>IF(N(DB35)&lt;=0.005,0,MIN(N('Debt List'!F9),N(DB35)+N(DC35)))+((DR35=5)*DT35+(DV35=5)*DX35+(DZ35=5)*EB35+(ED35=5)*EF35+(EH35=5)*EJ35+(EL35=5)*EN35+(EP35=5)*ER35+(ET35=5)*EV35)</f>
        <v/>
      </c>
      <c r="DE35">
        <f>MAX(0,ROUND(N(DB35)+N(DC35)-N(DD35),2))</f>
        <v/>
      </c>
      <c r="DF35">
        <f>N(DI34)</f>
        <v/>
      </c>
      <c r="DG35">
        <f>IF(N(DF35)&lt;=0.005,0,ROUND(N(DF35)*N('Debt List'!E10)/12,2))</f>
        <v/>
      </c>
      <c r="DH35">
        <f>IF(N(DF35)&lt;=0.005,0,MIN(N('Debt List'!F10),N(DF35)+N(DG35)))+((DR35=6)*DT35+(DV35=6)*DX35+(DZ35=6)*EB35+(ED35=6)*EF35+(EH35=6)*EJ35+(EL35=6)*EN35+(EP35=6)*ER35+(ET35=6)*EV35)</f>
        <v/>
      </c>
      <c r="DI35">
        <f>MAX(0,ROUND(N(DF35)+N(DG35)-N(DH35),2))</f>
        <v/>
      </c>
      <c r="DJ35">
        <f>N(DM34)</f>
        <v/>
      </c>
      <c r="DK35">
        <f>IF(N(DJ35)&lt;=0.005,0,ROUND(N(DJ35)*N('Debt List'!E11)/12,2))</f>
        <v/>
      </c>
      <c r="DL35">
        <f>IF(N(DJ35)&lt;=0.005,0,MIN(N('Debt List'!F11),N(DJ35)+N(DK35)))+((DR35=7)*DT35+(DV35=7)*DX35+(DZ35=7)*EB35+(ED35=7)*EF35+(EH35=7)*EJ35+(EL35=7)*EN35+(EP35=7)*ER35+(ET35=7)*EV35)</f>
        <v/>
      </c>
      <c r="DM35">
        <f>MAX(0,ROUND(N(DJ35)+N(DK35)-N(DL35),2))</f>
        <v/>
      </c>
      <c r="DN35">
        <f>N(DQ34)</f>
        <v/>
      </c>
      <c r="DO35">
        <f>IF(N(DN35)&lt;=0.005,0,ROUND(N(DN35)*N('Debt List'!E12)/12,2))</f>
        <v/>
      </c>
      <c r="DP35">
        <f>IF(N(DN35)&lt;=0.005,0,MIN(N('Debt List'!F12),N(DN35)+N(DO35)))+((DR35=8)*DT35+(DV35=8)*DX35+(DZ35=8)*EB35+(ED35=8)*EF35+(EH35=8)*EJ35+(EL35=8)*EN35+(EP35=8)*ER35+(ET35=8)*EV35)</f>
        <v/>
      </c>
      <c r="DQ35">
        <f>MAX(0,ROUND(N(DN35)+N(DO35)-N(DP35),2))</f>
        <v/>
      </c>
      <c r="DR35">
        <f>IFERROR(MATCH(1,OrderSnow,0),"")</f>
        <v/>
      </c>
      <c r="DS35">
        <f>IF(DR35="",0,IFERROR(IF(N(CHOOSE(DR35,CL35,CP35,CT35,CX35,DB35,DF35,DJ35,DN35))&lt;=0.005,0,MAX(0,N(CHOOSE(DR35,CL35,CP35,CT35,CX35,DB35,DF35,DJ35,DN35))+N(CHOOSE(DR35,CM35,CQ35,CU35,CY35,DC35,DG35,DK35,DO35))-MIN(N(CHOOSE(DR35,'Debt List'!$F$5,'Debt List'!$F$6,'Debt List'!$F$7,'Debt List'!$F$8,'Debt List'!$F$9,'Debt List'!$F$10,'Debt List'!$F$11,'Debt List'!$F$12)),N(CHOOSE(DR35,CL35,CP35,CT35,CX35,DB35,DF35,DJ35,DN35))+N(CHOOSE(DR35,CM35,CQ35,CU35,CY35,DC35,DG35,DK35,DO35))))),0))</f>
        <v/>
      </c>
      <c r="DT35">
        <f>MIN(N(DS35),MAX(0,N(ExtraPayment)))</f>
        <v/>
      </c>
      <c r="DU35">
        <f>MAX(0,N(ExtraPayment)-N(DT35))</f>
        <v/>
      </c>
      <c r="DV35">
        <f>IFERROR(MATCH(2,OrderSnow,0),"")</f>
        <v/>
      </c>
      <c r="DW35">
        <f>IF(DV35="",0,IFERROR(IF(N(CHOOSE(DV35,CL35,CP35,CT35,CX35,DB35,DF35,DJ35,DN35))&lt;=0.005,0,MAX(0,N(CHOOSE(DV35,CL35,CP35,CT35,CX35,DB35,DF35,DJ35,DN35))+N(CHOOSE(DV35,CM35,CQ35,CU35,CY35,DC35,DG35,DK35,DO35))-MIN(N(CHOOSE(DV35,'Debt List'!$F$5,'Debt List'!$F$6,'Debt List'!$F$7,'Debt List'!$F$8,'Debt List'!$F$9,'Debt List'!$F$10,'Debt List'!$F$11,'Debt List'!$F$12)),N(CHOOSE(DV35,CL35,CP35,CT35,CX35,DB35,DF35,DJ35,DN35))+N(CHOOSE(DV35,CM35,CQ35,CU35,CY35,DC35,DG35,DK35,DO35))))),0))</f>
        <v/>
      </c>
      <c r="DX35">
        <f>MIN(N(DW35),MAX(0,N(DU35)))</f>
        <v/>
      </c>
      <c r="DY35">
        <f>MAX(0,N(DU35)-N(DX35))</f>
        <v/>
      </c>
      <c r="DZ35">
        <f>IFERROR(MATCH(3,OrderSnow,0),"")</f>
        <v/>
      </c>
      <c r="EA35">
        <f>IF(DZ35="",0,IFERROR(IF(N(CHOOSE(DZ35,CL35,CP35,CT35,CX35,DB35,DF35,DJ35,DN35))&lt;=0.005,0,MAX(0,N(CHOOSE(DZ35,CL35,CP35,CT35,CX35,DB35,DF35,DJ35,DN35))+N(CHOOSE(DZ35,CM35,CQ35,CU35,CY35,DC35,DG35,DK35,DO35))-MIN(N(CHOOSE(DZ35,'Debt List'!$F$5,'Debt List'!$F$6,'Debt List'!$F$7,'Debt List'!$F$8,'Debt List'!$F$9,'Debt List'!$F$10,'Debt List'!$F$11,'Debt List'!$F$12)),N(CHOOSE(DZ35,CL35,CP35,CT35,CX35,DB35,DF35,DJ35,DN35))+N(CHOOSE(DZ35,CM35,CQ35,CU35,CY35,DC35,DG35,DK35,DO35))))),0))</f>
        <v/>
      </c>
      <c r="EB35">
        <f>MIN(N(EA35),MAX(0,N(DY35)))</f>
        <v/>
      </c>
      <c r="EC35">
        <f>MAX(0,N(DY35)-N(EB35))</f>
        <v/>
      </c>
      <c r="ED35">
        <f>IFERROR(MATCH(4,OrderSnow,0),"")</f>
        <v/>
      </c>
      <c r="EE35">
        <f>IF(ED35="",0,IFERROR(IF(N(CHOOSE(ED35,CL35,CP35,CT35,CX35,DB35,DF35,DJ35,DN35))&lt;=0.005,0,MAX(0,N(CHOOSE(ED35,CL35,CP35,CT35,CX35,DB35,DF35,DJ35,DN35))+N(CHOOSE(ED35,CM35,CQ35,CU35,CY35,DC35,DG35,DK35,DO35))-MIN(N(CHOOSE(ED35,'Debt List'!$F$5,'Debt List'!$F$6,'Debt List'!$F$7,'Debt List'!$F$8,'Debt List'!$F$9,'Debt List'!$F$10,'Debt List'!$F$11,'Debt List'!$F$12)),N(CHOOSE(ED35,CL35,CP35,CT35,CX35,DB35,DF35,DJ35,DN35))+N(CHOOSE(ED35,CM35,CQ35,CU35,CY35,DC35,DG35,DK35,DO35))))),0))</f>
        <v/>
      </c>
      <c r="EF35">
        <f>MIN(N(EE35),MAX(0,N(EC35)))</f>
        <v/>
      </c>
      <c r="EG35">
        <f>MAX(0,N(EC35)-N(EF35))</f>
        <v/>
      </c>
      <c r="EH35">
        <f>IFERROR(MATCH(5,OrderSnow,0),"")</f>
        <v/>
      </c>
      <c r="EI35">
        <f>IF(EH35="",0,IFERROR(IF(N(CHOOSE(EH35,CL35,CP35,CT35,CX35,DB35,DF35,DJ35,DN35))&lt;=0.005,0,MAX(0,N(CHOOSE(EH35,CL35,CP35,CT35,CX35,DB35,DF35,DJ35,DN35))+N(CHOOSE(EH35,CM35,CQ35,CU35,CY35,DC35,DG35,DK35,DO35))-MIN(N(CHOOSE(EH35,'Debt List'!$F$5,'Debt List'!$F$6,'Debt List'!$F$7,'Debt List'!$F$8,'Debt List'!$F$9,'Debt List'!$F$10,'Debt List'!$F$11,'Debt List'!$F$12)),N(CHOOSE(EH35,CL35,CP35,CT35,CX35,DB35,DF35,DJ35,DN35))+N(CHOOSE(EH35,CM35,CQ35,CU35,CY35,DC35,DG35,DK35,DO35))))),0))</f>
        <v/>
      </c>
      <c r="EJ35">
        <f>MIN(N(EI35),MAX(0,N(EG35)))</f>
        <v/>
      </c>
      <c r="EK35">
        <f>MAX(0,N(EG35)-N(EJ35))</f>
        <v/>
      </c>
      <c r="EL35">
        <f>IFERROR(MATCH(6,OrderSnow,0),"")</f>
        <v/>
      </c>
      <c r="EM35">
        <f>IF(EL35="",0,IFERROR(IF(N(CHOOSE(EL35,CL35,CP35,CT35,CX35,DB35,DF35,DJ35,DN35))&lt;=0.005,0,MAX(0,N(CHOOSE(EL35,CL35,CP35,CT35,CX35,DB35,DF35,DJ35,DN35))+N(CHOOSE(EL35,CM35,CQ35,CU35,CY35,DC35,DG35,DK35,DO35))-MIN(N(CHOOSE(EL35,'Debt List'!$F$5,'Debt List'!$F$6,'Debt List'!$F$7,'Debt List'!$F$8,'Debt List'!$F$9,'Debt List'!$F$10,'Debt List'!$F$11,'Debt List'!$F$12)),N(CHOOSE(EL35,CL35,CP35,CT35,CX35,DB35,DF35,DJ35,DN35))+N(CHOOSE(EL35,CM35,CQ35,CU35,CY35,DC35,DG35,DK35,DO35))))),0))</f>
        <v/>
      </c>
      <c r="EN35">
        <f>MIN(N(EM35),MAX(0,N(EK35)))</f>
        <v/>
      </c>
      <c r="EO35">
        <f>MAX(0,N(EK35)-N(EN35))</f>
        <v/>
      </c>
      <c r="EP35">
        <f>IFERROR(MATCH(7,OrderSnow,0),"")</f>
        <v/>
      </c>
      <c r="EQ35">
        <f>IF(EP35="",0,IFERROR(IF(N(CHOOSE(EP35,CL35,CP35,CT35,CX35,DB35,DF35,DJ35,DN35))&lt;=0.005,0,MAX(0,N(CHOOSE(EP35,CL35,CP35,CT35,CX35,DB35,DF35,DJ35,DN35))+N(CHOOSE(EP35,CM35,CQ35,CU35,CY35,DC35,DG35,DK35,DO35))-MIN(N(CHOOSE(EP35,'Debt List'!$F$5,'Debt List'!$F$6,'Debt List'!$F$7,'Debt List'!$F$8,'Debt List'!$F$9,'Debt List'!$F$10,'Debt List'!$F$11,'Debt List'!$F$12)),N(CHOOSE(EP35,CL35,CP35,CT35,CX35,DB35,DF35,DJ35,DN35))+N(CHOOSE(EP35,CM35,CQ35,CU35,CY35,DC35,DG35,DK35,DO35))))),0))</f>
        <v/>
      </c>
      <c r="ER35">
        <f>MIN(N(EQ35),MAX(0,N(EO35)))</f>
        <v/>
      </c>
      <c r="ES35">
        <f>MAX(0,N(EO35)-N(ER35))</f>
        <v/>
      </c>
      <c r="ET35">
        <f>IFERROR(MATCH(8,OrderSnow,0),"")</f>
        <v/>
      </c>
      <c r="EU35">
        <f>IF(ET35="",0,IFERROR(IF(N(CHOOSE(ET35,CL35,CP35,CT35,CX35,DB35,DF35,DJ35,DN35))&lt;=0.005,0,MAX(0,N(CHOOSE(ET35,CL35,CP35,CT35,CX35,DB35,DF35,DJ35,DN35))+N(CHOOSE(ET35,CM35,CQ35,CU35,CY35,DC35,DG35,DK35,DO35))-MIN(N(CHOOSE(ET35,'Debt List'!$F$5,'Debt List'!$F$6,'Debt List'!$F$7,'Debt List'!$F$8,'Debt List'!$F$9,'Debt List'!$F$10,'Debt List'!$F$11,'Debt List'!$F$12)),N(CHOOSE(ET35,CL35,CP35,CT35,CX35,DB35,DF35,DJ35,DN35))+N(CHOOSE(ET35,CM35,CQ35,CU35,CY35,DC35,DG35,DK35,DO35))))),0))</f>
        <v/>
      </c>
      <c r="EV35">
        <f>MIN(N(EU35),MAX(0,N(ES35)))</f>
        <v/>
      </c>
      <c r="EW35">
        <f>MAX(0,N(ES35)-N(EV35))</f>
        <v/>
      </c>
      <c r="FE35" t="n">
        <v>31</v>
      </c>
      <c r="FF35" s="115">
        <f>DATE(YEAR(PlanStart),MONTH(PlanStart)+FE35-1,1)</f>
        <v/>
      </c>
      <c r="FG35">
        <f>IF(AND(GT35&lt;&gt;"",N(CHOOSE(GT35,FN35,FR35,FV35,FZ35,GD35,GH35,GL35,GP35))&gt;0.005),INDEX(DebtNames,GT35),IF(AND(GX35&lt;&gt;"",N(CHOOSE(GX35,FN35,FR35,FV35,FZ35,GD35,GH35,GL35,GP35))&gt;0.005),INDEX(DebtNames,GX35),IF(AND(HB35&lt;&gt;"",N(CHOOSE(HB35,FN35,FR35,FV35,FZ35,GD35,GH35,GL35,GP35))&gt;0.005),INDEX(DebtNames,HB35),IF(AND(HF35&lt;&gt;"",N(CHOOSE(HF35,FN35,FR35,FV35,FZ35,GD35,GH35,GL35,GP35))&gt;0.005),INDEX(DebtNames,HF35),IF(AND(HJ35&lt;&gt;"",N(CHOOSE(HJ35,FN35,FR35,FV35,FZ35,GD35,GH35,GL35,GP35))&gt;0.005),INDEX(DebtNames,HJ35),IF(AND(HN35&lt;&gt;"",N(CHOOSE(HN35,FN35,FR35,FV35,FZ35,GD35,GH35,GL35,GP35))&gt;0.005),INDEX(DebtNames,HN35),IF(AND(HR35&lt;&gt;"",N(CHOOSE(HR35,FN35,FR35,FV35,FZ35,GD35,GH35,GL35,GP35))&gt;0.005),INDEX(DebtNames,HR35),IF(AND(HV35&lt;&gt;"",N(CHOOSE(HV35,FN35,FR35,FV35,FZ35,GD35,GH35,GL35,GP35))&gt;0.005),INDEX(DebtNames,HV35),""))))))))</f>
        <v/>
      </c>
      <c r="FH35">
        <f>N(HY35)</f>
        <v/>
      </c>
      <c r="FI35">
        <f>N(FP35)+N(FT35)+N(FX35)+N(GB35)+N(GF35)+N(GJ35)+N(GN35)+N(GR35)</f>
        <v/>
      </c>
      <c r="FJ35">
        <f>N(FO35)+N(FS35)+N(FW35)+N(GA35)+N(GE35)+N(GI35)+N(GM35)+N(GQ35)</f>
        <v/>
      </c>
      <c r="FK35">
        <f>N(FK34)+N(FJ35)</f>
        <v/>
      </c>
      <c r="FL35">
        <f>N(FQ35)+N(FU35)+N(FY35)+N(GC35)+N(GG35)+N(GK35)+N(GO35)+N(GS35)</f>
        <v/>
      </c>
      <c r="FM35">
        <f>(FQ35&gt;0.005)*1+(FU35&gt;0.005)*1+(FY35&gt;0.005)*1+(GC35&gt;0.005)*1+(GG35&gt;0.005)*1+(GK35&gt;0.005)*1+(GO35&gt;0.005)*1+(GS35&gt;0.005)*1</f>
        <v/>
      </c>
      <c r="FN35">
        <f>N(FQ34)</f>
        <v/>
      </c>
      <c r="FO35">
        <f>IF(N(FN35)&lt;=0.005,0,ROUND(N(FN35)*N('Debt List'!E5)/12,2))</f>
        <v/>
      </c>
      <c r="FP35">
        <f>IF(N(FN35)&lt;=0.005,0,MIN(N('Debt List'!F5),N(FN35)+N(FO35)))+((GT35=1)*GV35+(GX35=1)*GZ35+(HB35=1)*HD35+(HF35=1)*HH35+(HJ35=1)*HL35+(HN35=1)*HP35+(HR35=1)*HT35+(HV35=1)*HX35)</f>
        <v/>
      </c>
      <c r="FQ35">
        <f>MAX(0,ROUND(N(FN35)+N(FO35)-N(FP35),2))</f>
        <v/>
      </c>
      <c r="FR35">
        <f>N(FU34)</f>
        <v/>
      </c>
      <c r="FS35">
        <f>IF(N(FR35)&lt;=0.005,0,ROUND(N(FR35)*N('Debt List'!E6)/12,2))</f>
        <v/>
      </c>
      <c r="FT35">
        <f>IF(N(FR35)&lt;=0.005,0,MIN(N('Debt List'!F6),N(FR35)+N(FS35)))+((GT35=2)*GV35+(GX35=2)*GZ35+(HB35=2)*HD35+(HF35=2)*HH35+(HJ35=2)*HL35+(HN35=2)*HP35+(HR35=2)*HT35+(HV35=2)*HX35)</f>
        <v/>
      </c>
      <c r="FU35">
        <f>MAX(0,ROUND(N(FR35)+N(FS35)-N(FT35),2))</f>
        <v/>
      </c>
      <c r="FV35">
        <f>N(FY34)</f>
        <v/>
      </c>
      <c r="FW35">
        <f>IF(N(FV35)&lt;=0.005,0,ROUND(N(FV35)*N('Debt List'!E7)/12,2))</f>
        <v/>
      </c>
      <c r="FX35">
        <f>IF(N(FV35)&lt;=0.005,0,MIN(N('Debt List'!F7),N(FV35)+N(FW35)))+((GT35=3)*GV35+(GX35=3)*GZ35+(HB35=3)*HD35+(HF35=3)*HH35+(HJ35=3)*HL35+(HN35=3)*HP35+(HR35=3)*HT35+(HV35=3)*HX35)</f>
        <v/>
      </c>
      <c r="FY35">
        <f>MAX(0,ROUND(N(FV35)+N(FW35)-N(FX35),2))</f>
        <v/>
      </c>
      <c r="FZ35">
        <f>N(GC34)</f>
        <v/>
      </c>
      <c r="GA35">
        <f>IF(N(FZ35)&lt;=0.005,0,ROUND(N(FZ35)*N('Debt List'!E8)/12,2))</f>
        <v/>
      </c>
      <c r="GB35">
        <f>IF(N(FZ35)&lt;=0.005,0,MIN(N('Debt List'!F8),N(FZ35)+N(GA35)))+((GT35=4)*GV35+(GX35=4)*GZ35+(HB35=4)*HD35+(HF35=4)*HH35+(HJ35=4)*HL35+(HN35=4)*HP35+(HR35=4)*HT35+(HV35=4)*HX35)</f>
        <v/>
      </c>
      <c r="GC35">
        <f>MAX(0,ROUND(N(FZ35)+N(GA35)-N(GB35),2))</f>
        <v/>
      </c>
      <c r="GD35">
        <f>N(GG34)</f>
        <v/>
      </c>
      <c r="GE35">
        <f>IF(N(GD35)&lt;=0.005,0,ROUND(N(GD35)*N('Debt List'!E9)/12,2))</f>
        <v/>
      </c>
      <c r="GF35">
        <f>IF(N(GD35)&lt;=0.005,0,MIN(N('Debt List'!F9),N(GD35)+N(GE35)))+((GT35=5)*GV35+(GX35=5)*GZ35+(HB35=5)*HD35+(HF35=5)*HH35+(HJ35=5)*HL35+(HN35=5)*HP35+(HR35=5)*HT35+(HV35=5)*HX35)</f>
        <v/>
      </c>
      <c r="GG35">
        <f>MAX(0,ROUND(N(GD35)+N(GE35)-N(GF35),2))</f>
        <v/>
      </c>
      <c r="GH35">
        <f>N(GK34)</f>
        <v/>
      </c>
      <c r="GI35">
        <f>IF(N(GH35)&lt;=0.005,0,ROUND(N(GH35)*N('Debt List'!E10)/12,2))</f>
        <v/>
      </c>
      <c r="GJ35">
        <f>IF(N(GH35)&lt;=0.005,0,MIN(N('Debt List'!F10),N(GH35)+N(GI35)))+((GT35=6)*GV35+(GX35=6)*GZ35+(HB35=6)*HD35+(HF35=6)*HH35+(HJ35=6)*HL35+(HN35=6)*HP35+(HR35=6)*HT35+(HV35=6)*HX35)</f>
        <v/>
      </c>
      <c r="GK35">
        <f>MAX(0,ROUND(N(GH35)+N(GI35)-N(GJ35),2))</f>
        <v/>
      </c>
      <c r="GL35">
        <f>N(GO34)</f>
        <v/>
      </c>
      <c r="GM35">
        <f>IF(N(GL35)&lt;=0.005,0,ROUND(N(GL35)*N('Debt List'!E11)/12,2))</f>
        <v/>
      </c>
      <c r="GN35">
        <f>IF(N(GL35)&lt;=0.005,0,MIN(N('Debt List'!F11),N(GL35)+N(GM35)))+((GT35=7)*GV35+(GX35=7)*GZ35+(HB35=7)*HD35+(HF35=7)*HH35+(HJ35=7)*HL35+(HN35=7)*HP35+(HR35=7)*HT35+(HV35=7)*HX35)</f>
        <v/>
      </c>
      <c r="GO35">
        <f>MAX(0,ROUND(N(GL35)+N(GM35)-N(GN35),2))</f>
        <v/>
      </c>
      <c r="GP35">
        <f>N(GS34)</f>
        <v/>
      </c>
      <c r="GQ35">
        <f>IF(N(GP35)&lt;=0.005,0,ROUND(N(GP35)*N('Debt List'!E12)/12,2))</f>
        <v/>
      </c>
      <c r="GR35">
        <f>IF(N(GP35)&lt;=0.005,0,MIN(N('Debt List'!F12),N(GP35)+N(GQ35)))+((GT35=8)*GV35+(GX35=8)*GZ35+(HB35=8)*HD35+(HF35=8)*HH35+(HJ35=8)*HL35+(HN35=8)*HP35+(HR35=8)*HT35+(HV35=8)*HX35)</f>
        <v/>
      </c>
      <c r="GS35">
        <f>MAX(0,ROUND(N(GP35)+N(GQ35)-N(GR35),2))</f>
        <v/>
      </c>
      <c r="GT35">
        <f>IFERROR(MATCH(1,OrderAval,0),"")</f>
        <v/>
      </c>
      <c r="GU35">
        <f>IF(GT35="",0,IFERROR(IF(N(CHOOSE(GT35,FN35,FR35,FV35,FZ35,GD35,GH35,GL35,GP35))&lt;=0.005,0,MAX(0,N(CHOOSE(GT35,FN35,FR35,FV35,FZ35,GD35,GH35,GL35,GP35))+N(CHOOSE(GT35,FO35,FS35,FW35,GA35,GE35,GI35,GM35,GQ35))-MIN(N(CHOOSE(GT35,'Debt List'!$F$5,'Debt List'!$F$6,'Debt List'!$F$7,'Debt List'!$F$8,'Debt List'!$F$9,'Debt List'!$F$10,'Debt List'!$F$11,'Debt List'!$F$12)),N(CHOOSE(GT35,FN35,FR35,FV35,FZ35,GD35,GH35,GL35,GP35))+N(CHOOSE(GT35,FO35,FS35,FW35,GA35,GE35,GI35,GM35,GQ35))))),0))</f>
        <v/>
      </c>
      <c r="GV35">
        <f>MIN(N(GU35),MAX(0,N(ExtraPayment)))</f>
        <v/>
      </c>
      <c r="GW35">
        <f>MAX(0,N(ExtraPayment)-N(GV35))</f>
        <v/>
      </c>
      <c r="GX35">
        <f>IFERROR(MATCH(2,OrderAval,0),"")</f>
        <v/>
      </c>
      <c r="GY35">
        <f>IF(GX35="",0,IFERROR(IF(N(CHOOSE(GX35,FN35,FR35,FV35,FZ35,GD35,GH35,GL35,GP35))&lt;=0.005,0,MAX(0,N(CHOOSE(GX35,FN35,FR35,FV35,FZ35,GD35,GH35,GL35,GP35))+N(CHOOSE(GX35,FO35,FS35,FW35,GA35,GE35,GI35,GM35,GQ35))-MIN(N(CHOOSE(GX35,'Debt List'!$F$5,'Debt List'!$F$6,'Debt List'!$F$7,'Debt List'!$F$8,'Debt List'!$F$9,'Debt List'!$F$10,'Debt List'!$F$11,'Debt List'!$F$12)),N(CHOOSE(GX35,FN35,FR35,FV35,FZ35,GD35,GH35,GL35,GP35))+N(CHOOSE(GX35,FO35,FS35,FW35,GA35,GE35,GI35,GM35,GQ35))))),0))</f>
        <v/>
      </c>
      <c r="GZ35">
        <f>MIN(N(GY35),MAX(0,N(GW35)))</f>
        <v/>
      </c>
      <c r="HA35">
        <f>MAX(0,N(GW35)-N(GZ35))</f>
        <v/>
      </c>
      <c r="HB35">
        <f>IFERROR(MATCH(3,OrderAval,0),"")</f>
        <v/>
      </c>
      <c r="HC35">
        <f>IF(HB35="",0,IFERROR(IF(N(CHOOSE(HB35,FN35,FR35,FV35,FZ35,GD35,GH35,GL35,GP35))&lt;=0.005,0,MAX(0,N(CHOOSE(HB35,FN35,FR35,FV35,FZ35,GD35,GH35,GL35,GP35))+N(CHOOSE(HB35,FO35,FS35,FW35,GA35,GE35,GI35,GM35,GQ35))-MIN(N(CHOOSE(HB35,'Debt List'!$F$5,'Debt List'!$F$6,'Debt List'!$F$7,'Debt List'!$F$8,'Debt List'!$F$9,'Debt List'!$F$10,'Debt List'!$F$11,'Debt List'!$F$12)),N(CHOOSE(HB35,FN35,FR35,FV35,FZ35,GD35,GH35,GL35,GP35))+N(CHOOSE(HB35,FO35,FS35,FW35,GA35,GE35,GI35,GM35,GQ35))))),0))</f>
        <v/>
      </c>
      <c r="HD35">
        <f>MIN(N(HC35),MAX(0,N(HA35)))</f>
        <v/>
      </c>
      <c r="HE35">
        <f>MAX(0,N(HA35)-N(HD35))</f>
        <v/>
      </c>
      <c r="HF35">
        <f>IFERROR(MATCH(4,OrderAval,0),"")</f>
        <v/>
      </c>
      <c r="HG35">
        <f>IF(HF35="",0,IFERROR(IF(N(CHOOSE(HF35,FN35,FR35,FV35,FZ35,GD35,GH35,GL35,GP35))&lt;=0.005,0,MAX(0,N(CHOOSE(HF35,FN35,FR35,FV35,FZ35,GD35,GH35,GL35,GP35))+N(CHOOSE(HF35,FO35,FS35,FW35,GA35,GE35,GI35,GM35,GQ35))-MIN(N(CHOOSE(HF35,'Debt List'!$F$5,'Debt List'!$F$6,'Debt List'!$F$7,'Debt List'!$F$8,'Debt List'!$F$9,'Debt List'!$F$10,'Debt List'!$F$11,'Debt List'!$F$12)),N(CHOOSE(HF35,FN35,FR35,FV35,FZ35,GD35,GH35,GL35,GP35))+N(CHOOSE(HF35,FO35,FS35,FW35,GA35,GE35,GI35,GM35,GQ35))))),0))</f>
        <v/>
      </c>
      <c r="HH35">
        <f>MIN(N(HG35),MAX(0,N(HE35)))</f>
        <v/>
      </c>
      <c r="HI35">
        <f>MAX(0,N(HE35)-N(HH35))</f>
        <v/>
      </c>
      <c r="HJ35">
        <f>IFERROR(MATCH(5,OrderAval,0),"")</f>
        <v/>
      </c>
      <c r="HK35">
        <f>IF(HJ35="",0,IFERROR(IF(N(CHOOSE(HJ35,FN35,FR35,FV35,FZ35,GD35,GH35,GL35,GP35))&lt;=0.005,0,MAX(0,N(CHOOSE(HJ35,FN35,FR35,FV35,FZ35,GD35,GH35,GL35,GP35))+N(CHOOSE(HJ35,FO35,FS35,FW35,GA35,GE35,GI35,GM35,GQ35))-MIN(N(CHOOSE(HJ35,'Debt List'!$F$5,'Debt List'!$F$6,'Debt List'!$F$7,'Debt List'!$F$8,'Debt List'!$F$9,'Debt List'!$F$10,'Debt List'!$F$11,'Debt List'!$F$12)),N(CHOOSE(HJ35,FN35,FR35,FV35,FZ35,GD35,GH35,GL35,GP35))+N(CHOOSE(HJ35,FO35,FS35,FW35,GA35,GE35,GI35,GM35,GQ35))))),0))</f>
        <v/>
      </c>
      <c r="HL35">
        <f>MIN(N(HK35),MAX(0,N(HI35)))</f>
        <v/>
      </c>
      <c r="HM35">
        <f>MAX(0,N(HI35)-N(HL35))</f>
        <v/>
      </c>
      <c r="HN35">
        <f>IFERROR(MATCH(6,OrderAval,0),"")</f>
        <v/>
      </c>
      <c r="HO35">
        <f>IF(HN35="",0,IFERROR(IF(N(CHOOSE(HN35,FN35,FR35,FV35,FZ35,GD35,GH35,GL35,GP35))&lt;=0.005,0,MAX(0,N(CHOOSE(HN35,FN35,FR35,FV35,FZ35,GD35,GH35,GL35,GP35))+N(CHOOSE(HN35,FO35,FS35,FW35,GA35,GE35,GI35,GM35,GQ35))-MIN(N(CHOOSE(HN35,'Debt List'!$F$5,'Debt List'!$F$6,'Debt List'!$F$7,'Debt List'!$F$8,'Debt List'!$F$9,'Debt List'!$F$10,'Debt List'!$F$11,'Debt List'!$F$12)),N(CHOOSE(HN35,FN35,FR35,FV35,FZ35,GD35,GH35,GL35,GP35))+N(CHOOSE(HN35,FO35,FS35,FW35,GA35,GE35,GI35,GM35,GQ35))))),0))</f>
        <v/>
      </c>
      <c r="HP35">
        <f>MIN(N(HO35),MAX(0,N(HM35)))</f>
        <v/>
      </c>
      <c r="HQ35">
        <f>MAX(0,N(HM35)-N(HP35))</f>
        <v/>
      </c>
      <c r="HR35">
        <f>IFERROR(MATCH(7,OrderAval,0),"")</f>
        <v/>
      </c>
      <c r="HS35">
        <f>IF(HR35="",0,IFERROR(IF(N(CHOOSE(HR35,FN35,FR35,FV35,FZ35,GD35,GH35,GL35,GP35))&lt;=0.005,0,MAX(0,N(CHOOSE(HR35,FN35,FR35,FV35,FZ35,GD35,GH35,GL35,GP35))+N(CHOOSE(HR35,FO35,FS35,FW35,GA35,GE35,GI35,GM35,GQ35))-MIN(N(CHOOSE(HR35,'Debt List'!$F$5,'Debt List'!$F$6,'Debt List'!$F$7,'Debt List'!$F$8,'Debt List'!$F$9,'Debt List'!$F$10,'Debt List'!$F$11,'Debt List'!$F$12)),N(CHOOSE(HR35,FN35,FR35,FV35,FZ35,GD35,GH35,GL35,GP35))+N(CHOOSE(HR35,FO35,FS35,FW35,GA35,GE35,GI35,GM35,GQ35))))),0))</f>
        <v/>
      </c>
      <c r="HT35">
        <f>MIN(N(HS35),MAX(0,N(HQ35)))</f>
        <v/>
      </c>
      <c r="HU35">
        <f>MAX(0,N(HQ35)-N(HT35))</f>
        <v/>
      </c>
      <c r="HV35">
        <f>IFERROR(MATCH(8,OrderAval,0),"")</f>
        <v/>
      </c>
      <c r="HW35">
        <f>IF(HV35="",0,IFERROR(IF(N(CHOOSE(HV35,FN35,FR35,FV35,FZ35,GD35,GH35,GL35,GP35))&lt;=0.005,0,MAX(0,N(CHOOSE(HV35,FN35,FR35,FV35,FZ35,GD35,GH35,GL35,GP35))+N(CHOOSE(HV35,FO35,FS35,FW35,GA35,GE35,GI35,GM35,GQ35))-MIN(N(CHOOSE(HV35,'Debt List'!$F$5,'Debt List'!$F$6,'Debt List'!$F$7,'Debt List'!$F$8,'Debt List'!$F$9,'Debt List'!$F$10,'Debt List'!$F$11,'Debt List'!$F$12)),N(CHOOSE(HV35,FN35,FR35,FV35,FZ35,GD35,GH35,GL35,GP35))+N(CHOOSE(HV35,FO35,FS35,FW35,GA35,GE35,GI35,GM35,GQ35))))),0))</f>
        <v/>
      </c>
      <c r="HX35">
        <f>MIN(N(HW35),MAX(0,N(HU35)))</f>
        <v/>
      </c>
      <c r="HY35">
        <f>MAX(0,N(HU35)-N(HX35))</f>
        <v/>
      </c>
    </row>
    <row r="36">
      <c r="A36" t="n">
        <v>32</v>
      </c>
      <c r="B36" s="115">
        <f>DATE(YEAR(PlanStart),MONTH(PlanStart)+A36-1,1)</f>
        <v/>
      </c>
      <c r="C36">
        <f>IF(AND(AP36&lt;&gt;"",N(CHOOSE(AP36,J36,N36,R36,V36,Z36,AD36,AH36,AL36))&gt;0.005),INDEX(DebtNames,AP36),IF(AND(AT36&lt;&gt;"",N(CHOOSE(AT36,J36,N36,R36,V36,Z36,AD36,AH36,AL36))&gt;0.005),INDEX(DebtNames,AT36),IF(AND(AX36&lt;&gt;"",N(CHOOSE(AX36,J36,N36,R36,V36,Z36,AD36,AH36,AL36))&gt;0.005),INDEX(DebtNames,AX36),IF(AND(BB36&lt;&gt;"",N(CHOOSE(BB36,J36,N36,R36,V36,Z36,AD36,AH36,AL36))&gt;0.005),INDEX(DebtNames,BB36),IF(AND(BF36&lt;&gt;"",N(CHOOSE(BF36,J36,N36,R36,V36,Z36,AD36,AH36,AL36))&gt;0.005),INDEX(DebtNames,BF36),IF(AND(BJ36&lt;&gt;"",N(CHOOSE(BJ36,J36,N36,R36,V36,Z36,AD36,AH36,AL36))&gt;0.005),INDEX(DebtNames,BJ36),IF(AND(BN36&lt;&gt;"",N(CHOOSE(BN36,J36,N36,R36,V36,Z36,AD36,AH36,AL36))&gt;0.005),INDEX(DebtNames,BN36),IF(AND(BR36&lt;&gt;"",N(CHOOSE(BR36,J36,N36,R36,V36,Z36,AD36,AH36,AL36))&gt;0.005),INDEX(DebtNames,BR36),""))))))))</f>
        <v/>
      </c>
      <c r="D36">
        <f>N(BU36)</f>
        <v/>
      </c>
      <c r="E36">
        <f>N(L36)+N(P36)+N(T36)+N(X36)+N(AB36)+N(AF36)+N(AJ36)+N(AN36)</f>
        <v/>
      </c>
      <c r="F36">
        <f>N(K36)+N(O36)+N(S36)+N(W36)+N(AA36)+N(AE36)+N(AI36)+N(AM36)</f>
        <v/>
      </c>
      <c r="G36">
        <f>N(G35)+N(F36)</f>
        <v/>
      </c>
      <c r="H36">
        <f>N(M36)+N(Q36)+N(U36)+N(Y36)+N(AC36)+N(AG36)+N(AK36)+N(AO36)</f>
        <v/>
      </c>
      <c r="I36">
        <f>(M36&gt;0.005)*1+(Q36&gt;0.005)*1+(U36&gt;0.005)*1+(Y36&gt;0.005)*1+(AC36&gt;0.005)*1+(AG36&gt;0.005)*1+(AK36&gt;0.005)*1+(AO36&gt;0.005)*1</f>
        <v/>
      </c>
      <c r="J36">
        <f>N(M35)</f>
        <v/>
      </c>
      <c r="K36">
        <f>IF(N(J36)&lt;=0.005,0,ROUND(N(J36)*N('Debt List'!E5)/12,2))</f>
        <v/>
      </c>
      <c r="L36">
        <f>IF(N(J36)&lt;=0.005,0,MIN(N('Debt List'!F5),N(J36)+N(K36)))+((AP36=1)*AR36+(AT36=1)*AV36+(AX36=1)*AZ36+(BB36=1)*BD36+(BF36=1)*BH36+(BJ36=1)*BL36+(BN36=1)*BP36+(BR36=1)*BT36)</f>
        <v/>
      </c>
      <c r="M36">
        <f>MAX(0,ROUND(N(J36)+N(K36)-N(L36),2))</f>
        <v/>
      </c>
      <c r="N36">
        <f>N(Q35)</f>
        <v/>
      </c>
      <c r="O36">
        <f>IF(N(N36)&lt;=0.005,0,ROUND(N(N36)*N('Debt List'!E6)/12,2))</f>
        <v/>
      </c>
      <c r="P36">
        <f>IF(N(N36)&lt;=0.005,0,MIN(N('Debt List'!F6),N(N36)+N(O36)))+((AP36=2)*AR36+(AT36=2)*AV36+(AX36=2)*AZ36+(BB36=2)*BD36+(BF36=2)*BH36+(BJ36=2)*BL36+(BN36=2)*BP36+(BR36=2)*BT36)</f>
        <v/>
      </c>
      <c r="Q36">
        <f>MAX(0,ROUND(N(N36)+N(O36)-N(P36),2))</f>
        <v/>
      </c>
      <c r="R36">
        <f>N(U35)</f>
        <v/>
      </c>
      <c r="S36">
        <f>IF(N(R36)&lt;=0.005,0,ROUND(N(R36)*N('Debt List'!E7)/12,2))</f>
        <v/>
      </c>
      <c r="T36">
        <f>IF(N(R36)&lt;=0.005,0,MIN(N('Debt List'!F7),N(R36)+N(S36)))+((AP36=3)*AR36+(AT36=3)*AV36+(AX36=3)*AZ36+(BB36=3)*BD36+(BF36=3)*BH36+(BJ36=3)*BL36+(BN36=3)*BP36+(BR36=3)*BT36)</f>
        <v/>
      </c>
      <c r="U36">
        <f>MAX(0,ROUND(N(R36)+N(S36)-N(T36),2))</f>
        <v/>
      </c>
      <c r="V36">
        <f>N(Y35)</f>
        <v/>
      </c>
      <c r="W36">
        <f>IF(N(V36)&lt;=0.005,0,ROUND(N(V36)*N('Debt List'!E8)/12,2))</f>
        <v/>
      </c>
      <c r="X36">
        <f>IF(N(V36)&lt;=0.005,0,MIN(N('Debt List'!F8),N(V36)+N(W36)))+((AP36=4)*AR36+(AT36=4)*AV36+(AX36=4)*AZ36+(BB36=4)*BD36+(BF36=4)*BH36+(BJ36=4)*BL36+(BN36=4)*BP36+(BR36=4)*BT36)</f>
        <v/>
      </c>
      <c r="Y36">
        <f>MAX(0,ROUND(N(V36)+N(W36)-N(X36),2))</f>
        <v/>
      </c>
      <c r="Z36">
        <f>N(AC35)</f>
        <v/>
      </c>
      <c r="AA36">
        <f>IF(N(Z36)&lt;=0.005,0,ROUND(N(Z36)*N('Debt List'!E9)/12,2))</f>
        <v/>
      </c>
      <c r="AB36">
        <f>IF(N(Z36)&lt;=0.005,0,MIN(N('Debt List'!F9),N(Z36)+N(AA36)))+((AP36=5)*AR36+(AT36=5)*AV36+(AX36=5)*AZ36+(BB36=5)*BD36+(BF36=5)*BH36+(BJ36=5)*BL36+(BN36=5)*BP36+(BR36=5)*BT36)</f>
        <v/>
      </c>
      <c r="AC36">
        <f>MAX(0,ROUND(N(Z36)+N(AA36)-N(AB36),2))</f>
        <v/>
      </c>
      <c r="AD36">
        <f>N(AG35)</f>
        <v/>
      </c>
      <c r="AE36">
        <f>IF(N(AD36)&lt;=0.005,0,ROUND(N(AD36)*N('Debt List'!E10)/12,2))</f>
        <v/>
      </c>
      <c r="AF36">
        <f>IF(N(AD36)&lt;=0.005,0,MIN(N('Debt List'!F10),N(AD36)+N(AE36)))+((AP36=6)*AR36+(AT36=6)*AV36+(AX36=6)*AZ36+(BB36=6)*BD36+(BF36=6)*BH36+(BJ36=6)*BL36+(BN36=6)*BP36+(BR36=6)*BT36)</f>
        <v/>
      </c>
      <c r="AG36">
        <f>MAX(0,ROUND(N(AD36)+N(AE36)-N(AF36),2))</f>
        <v/>
      </c>
      <c r="AH36">
        <f>N(AK35)</f>
        <v/>
      </c>
      <c r="AI36">
        <f>IF(N(AH36)&lt;=0.005,0,ROUND(N(AH36)*N('Debt List'!E11)/12,2))</f>
        <v/>
      </c>
      <c r="AJ36">
        <f>IF(N(AH36)&lt;=0.005,0,MIN(N('Debt List'!F11),N(AH36)+N(AI36)))+((AP36=7)*AR36+(AT36=7)*AV36+(AX36=7)*AZ36+(BB36=7)*BD36+(BF36=7)*BH36+(BJ36=7)*BL36+(BN36=7)*BP36+(BR36=7)*BT36)</f>
        <v/>
      </c>
      <c r="AK36">
        <f>MAX(0,ROUND(N(AH36)+N(AI36)-N(AJ36),2))</f>
        <v/>
      </c>
      <c r="AL36">
        <f>N(AO35)</f>
        <v/>
      </c>
      <c r="AM36">
        <f>IF(N(AL36)&lt;=0.005,0,ROUND(N(AL36)*N('Debt List'!E12)/12,2))</f>
        <v/>
      </c>
      <c r="AN36">
        <f>IF(N(AL36)&lt;=0.005,0,MIN(N('Debt List'!F12),N(AL36)+N(AM36)))+((AP36=8)*AR36+(AT36=8)*AV36+(AX36=8)*AZ36+(BB36=8)*BD36+(BF36=8)*BH36+(BJ36=8)*BL36+(BN36=8)*BP36+(BR36=8)*BT36)</f>
        <v/>
      </c>
      <c r="AO36">
        <f>MAX(0,ROUND(N(AL36)+N(AM36)-N(AN36),2))</f>
        <v/>
      </c>
      <c r="AP36">
        <f>IFERROR(MATCH(1,OrderPlan,0),"")</f>
        <v/>
      </c>
      <c r="AQ36">
        <f>IF(AP36="",0,IFERROR(IF(N(CHOOSE(AP36,J36,N36,R36,V36,Z36,AD36,AH36,AL36))&lt;=0.005,0,MAX(0,N(CHOOSE(AP36,J36,N36,R36,V36,Z36,AD36,AH36,AL36))+N(CHOOSE(AP36,K36,O36,S36,W36,AA36,AE36,AI36,AM36))-MIN(N(CHOOSE(AP36,'Debt List'!$F$5,'Debt List'!$F$6,'Debt List'!$F$7,'Debt List'!$F$8,'Debt List'!$F$9,'Debt List'!$F$10,'Debt List'!$F$11,'Debt List'!$F$12)),N(CHOOSE(AP36,J36,N36,R36,V36,Z36,AD36,AH36,AL36))+N(CHOOSE(AP36,K36,O36,S36,W36,AA36,AE36,AI36,AM36))))),0))</f>
        <v/>
      </c>
      <c r="AR36">
        <f>MIN(N(AQ36),MAX(0,N(ExtraPayment)))</f>
        <v/>
      </c>
      <c r="AS36">
        <f>MAX(0,N(ExtraPayment)-N(AR36))</f>
        <v/>
      </c>
      <c r="AT36">
        <f>IFERROR(MATCH(2,OrderPlan,0),"")</f>
        <v/>
      </c>
      <c r="AU36">
        <f>IF(AT36="",0,IFERROR(IF(N(CHOOSE(AT36,J36,N36,R36,V36,Z36,AD36,AH36,AL36))&lt;=0.005,0,MAX(0,N(CHOOSE(AT36,J36,N36,R36,V36,Z36,AD36,AH36,AL36))+N(CHOOSE(AT36,K36,O36,S36,W36,AA36,AE36,AI36,AM36))-MIN(N(CHOOSE(AT36,'Debt List'!$F$5,'Debt List'!$F$6,'Debt List'!$F$7,'Debt List'!$F$8,'Debt List'!$F$9,'Debt List'!$F$10,'Debt List'!$F$11,'Debt List'!$F$12)),N(CHOOSE(AT36,J36,N36,R36,V36,Z36,AD36,AH36,AL36))+N(CHOOSE(AT36,K36,O36,S36,W36,AA36,AE36,AI36,AM36))))),0))</f>
        <v/>
      </c>
      <c r="AV36">
        <f>MIN(N(AU36),MAX(0,N(AS36)))</f>
        <v/>
      </c>
      <c r="AW36">
        <f>MAX(0,N(AS36)-N(AV36))</f>
        <v/>
      </c>
      <c r="AX36">
        <f>IFERROR(MATCH(3,OrderPlan,0),"")</f>
        <v/>
      </c>
      <c r="AY36">
        <f>IF(AX36="",0,IFERROR(IF(N(CHOOSE(AX36,J36,N36,R36,V36,Z36,AD36,AH36,AL36))&lt;=0.005,0,MAX(0,N(CHOOSE(AX36,J36,N36,R36,V36,Z36,AD36,AH36,AL36))+N(CHOOSE(AX36,K36,O36,S36,W36,AA36,AE36,AI36,AM36))-MIN(N(CHOOSE(AX36,'Debt List'!$F$5,'Debt List'!$F$6,'Debt List'!$F$7,'Debt List'!$F$8,'Debt List'!$F$9,'Debt List'!$F$10,'Debt List'!$F$11,'Debt List'!$F$12)),N(CHOOSE(AX36,J36,N36,R36,V36,Z36,AD36,AH36,AL36))+N(CHOOSE(AX36,K36,O36,S36,W36,AA36,AE36,AI36,AM36))))),0))</f>
        <v/>
      </c>
      <c r="AZ36">
        <f>MIN(N(AY36),MAX(0,N(AW36)))</f>
        <v/>
      </c>
      <c r="BA36">
        <f>MAX(0,N(AW36)-N(AZ36))</f>
        <v/>
      </c>
      <c r="BB36">
        <f>IFERROR(MATCH(4,OrderPlan,0),"")</f>
        <v/>
      </c>
      <c r="BC36">
        <f>IF(BB36="",0,IFERROR(IF(N(CHOOSE(BB36,J36,N36,R36,V36,Z36,AD36,AH36,AL36))&lt;=0.005,0,MAX(0,N(CHOOSE(BB36,J36,N36,R36,V36,Z36,AD36,AH36,AL36))+N(CHOOSE(BB36,K36,O36,S36,W36,AA36,AE36,AI36,AM36))-MIN(N(CHOOSE(BB36,'Debt List'!$F$5,'Debt List'!$F$6,'Debt List'!$F$7,'Debt List'!$F$8,'Debt List'!$F$9,'Debt List'!$F$10,'Debt List'!$F$11,'Debt List'!$F$12)),N(CHOOSE(BB36,J36,N36,R36,V36,Z36,AD36,AH36,AL36))+N(CHOOSE(BB36,K36,O36,S36,W36,AA36,AE36,AI36,AM36))))),0))</f>
        <v/>
      </c>
      <c r="BD36">
        <f>MIN(N(BC36),MAX(0,N(BA36)))</f>
        <v/>
      </c>
      <c r="BE36">
        <f>MAX(0,N(BA36)-N(BD36))</f>
        <v/>
      </c>
      <c r="BF36">
        <f>IFERROR(MATCH(5,OrderPlan,0),"")</f>
        <v/>
      </c>
      <c r="BG36">
        <f>IF(BF36="",0,IFERROR(IF(N(CHOOSE(BF36,J36,N36,R36,V36,Z36,AD36,AH36,AL36))&lt;=0.005,0,MAX(0,N(CHOOSE(BF36,J36,N36,R36,V36,Z36,AD36,AH36,AL36))+N(CHOOSE(BF36,K36,O36,S36,W36,AA36,AE36,AI36,AM36))-MIN(N(CHOOSE(BF36,'Debt List'!$F$5,'Debt List'!$F$6,'Debt List'!$F$7,'Debt List'!$F$8,'Debt List'!$F$9,'Debt List'!$F$10,'Debt List'!$F$11,'Debt List'!$F$12)),N(CHOOSE(BF36,J36,N36,R36,V36,Z36,AD36,AH36,AL36))+N(CHOOSE(BF36,K36,O36,S36,W36,AA36,AE36,AI36,AM36))))),0))</f>
        <v/>
      </c>
      <c r="BH36">
        <f>MIN(N(BG36),MAX(0,N(BE36)))</f>
        <v/>
      </c>
      <c r="BI36">
        <f>MAX(0,N(BE36)-N(BH36))</f>
        <v/>
      </c>
      <c r="BJ36">
        <f>IFERROR(MATCH(6,OrderPlan,0),"")</f>
        <v/>
      </c>
      <c r="BK36">
        <f>IF(BJ36="",0,IFERROR(IF(N(CHOOSE(BJ36,J36,N36,R36,V36,Z36,AD36,AH36,AL36))&lt;=0.005,0,MAX(0,N(CHOOSE(BJ36,J36,N36,R36,V36,Z36,AD36,AH36,AL36))+N(CHOOSE(BJ36,K36,O36,S36,W36,AA36,AE36,AI36,AM36))-MIN(N(CHOOSE(BJ36,'Debt List'!$F$5,'Debt List'!$F$6,'Debt List'!$F$7,'Debt List'!$F$8,'Debt List'!$F$9,'Debt List'!$F$10,'Debt List'!$F$11,'Debt List'!$F$12)),N(CHOOSE(BJ36,J36,N36,R36,V36,Z36,AD36,AH36,AL36))+N(CHOOSE(BJ36,K36,O36,S36,W36,AA36,AE36,AI36,AM36))))),0))</f>
        <v/>
      </c>
      <c r="BL36">
        <f>MIN(N(BK36),MAX(0,N(BI36)))</f>
        <v/>
      </c>
      <c r="BM36">
        <f>MAX(0,N(BI36)-N(BL36))</f>
        <v/>
      </c>
      <c r="BN36">
        <f>IFERROR(MATCH(7,OrderPlan,0),"")</f>
        <v/>
      </c>
      <c r="BO36">
        <f>IF(BN36="",0,IFERROR(IF(N(CHOOSE(BN36,J36,N36,R36,V36,Z36,AD36,AH36,AL36))&lt;=0.005,0,MAX(0,N(CHOOSE(BN36,J36,N36,R36,V36,Z36,AD36,AH36,AL36))+N(CHOOSE(BN36,K36,O36,S36,W36,AA36,AE36,AI36,AM36))-MIN(N(CHOOSE(BN36,'Debt List'!$F$5,'Debt List'!$F$6,'Debt List'!$F$7,'Debt List'!$F$8,'Debt List'!$F$9,'Debt List'!$F$10,'Debt List'!$F$11,'Debt List'!$F$12)),N(CHOOSE(BN36,J36,N36,R36,V36,Z36,AD36,AH36,AL36))+N(CHOOSE(BN36,K36,O36,S36,W36,AA36,AE36,AI36,AM36))))),0))</f>
        <v/>
      </c>
      <c r="BP36">
        <f>MIN(N(BO36),MAX(0,N(BM36)))</f>
        <v/>
      </c>
      <c r="BQ36">
        <f>MAX(0,N(BM36)-N(BP36))</f>
        <v/>
      </c>
      <c r="BR36">
        <f>IFERROR(MATCH(8,OrderPlan,0),"")</f>
        <v/>
      </c>
      <c r="BS36">
        <f>IF(BR36="",0,IFERROR(IF(N(CHOOSE(BR36,J36,N36,R36,V36,Z36,AD36,AH36,AL36))&lt;=0.005,0,MAX(0,N(CHOOSE(BR36,J36,N36,R36,V36,Z36,AD36,AH36,AL36))+N(CHOOSE(BR36,K36,O36,S36,W36,AA36,AE36,AI36,AM36))-MIN(N(CHOOSE(BR36,'Debt List'!$F$5,'Debt List'!$F$6,'Debt List'!$F$7,'Debt List'!$F$8,'Debt List'!$F$9,'Debt List'!$F$10,'Debt List'!$F$11,'Debt List'!$F$12)),N(CHOOSE(BR36,J36,N36,R36,V36,Z36,AD36,AH36,AL36))+N(CHOOSE(BR36,K36,O36,S36,W36,AA36,AE36,AI36,AM36))))),0))</f>
        <v/>
      </c>
      <c r="BT36">
        <f>MIN(N(BS36),MAX(0,N(BQ36)))</f>
        <v/>
      </c>
      <c r="BU36">
        <f>MAX(0,N(BQ36)-N(BT36))</f>
        <v/>
      </c>
      <c r="CC36" t="n">
        <v>32</v>
      </c>
      <c r="CD36" s="115">
        <f>DATE(YEAR(PlanStart),MONTH(PlanStart)+CC36-1,1)</f>
        <v/>
      </c>
      <c r="CE36">
        <f>IF(AND(DR36&lt;&gt;"",N(CHOOSE(DR36,CL36,CP36,CT36,CX36,DB36,DF36,DJ36,DN36))&gt;0.005),INDEX(DebtNames,DR36),IF(AND(DV36&lt;&gt;"",N(CHOOSE(DV36,CL36,CP36,CT36,CX36,DB36,DF36,DJ36,DN36))&gt;0.005),INDEX(DebtNames,DV36),IF(AND(DZ36&lt;&gt;"",N(CHOOSE(DZ36,CL36,CP36,CT36,CX36,DB36,DF36,DJ36,DN36))&gt;0.005),INDEX(DebtNames,DZ36),IF(AND(ED36&lt;&gt;"",N(CHOOSE(ED36,CL36,CP36,CT36,CX36,DB36,DF36,DJ36,DN36))&gt;0.005),INDEX(DebtNames,ED36),IF(AND(EH36&lt;&gt;"",N(CHOOSE(EH36,CL36,CP36,CT36,CX36,DB36,DF36,DJ36,DN36))&gt;0.005),INDEX(DebtNames,EH36),IF(AND(EL36&lt;&gt;"",N(CHOOSE(EL36,CL36,CP36,CT36,CX36,DB36,DF36,DJ36,DN36))&gt;0.005),INDEX(DebtNames,EL36),IF(AND(EP36&lt;&gt;"",N(CHOOSE(EP36,CL36,CP36,CT36,CX36,DB36,DF36,DJ36,DN36))&gt;0.005),INDEX(DebtNames,EP36),IF(AND(ET36&lt;&gt;"",N(CHOOSE(ET36,CL36,CP36,CT36,CX36,DB36,DF36,DJ36,DN36))&gt;0.005),INDEX(DebtNames,ET36),""))))))))</f>
        <v/>
      </c>
      <c r="CF36">
        <f>N(EW36)</f>
        <v/>
      </c>
      <c r="CG36">
        <f>N(CN36)+N(CR36)+N(CV36)+N(CZ36)+N(DD36)+N(DH36)+N(DL36)+N(DP36)</f>
        <v/>
      </c>
      <c r="CH36">
        <f>N(CM36)+N(CQ36)+N(CU36)+N(CY36)+N(DC36)+N(DG36)+N(DK36)+N(DO36)</f>
        <v/>
      </c>
      <c r="CI36">
        <f>N(CI35)+N(CH36)</f>
        <v/>
      </c>
      <c r="CJ36">
        <f>N(CO36)+N(CS36)+N(CW36)+N(DA36)+N(DE36)+N(DI36)+N(DM36)+N(DQ36)</f>
        <v/>
      </c>
      <c r="CK36">
        <f>(CO36&gt;0.005)*1+(CS36&gt;0.005)*1+(CW36&gt;0.005)*1+(DA36&gt;0.005)*1+(DE36&gt;0.005)*1+(DI36&gt;0.005)*1+(DM36&gt;0.005)*1+(DQ36&gt;0.005)*1</f>
        <v/>
      </c>
      <c r="CL36">
        <f>N(CO35)</f>
        <v/>
      </c>
      <c r="CM36">
        <f>IF(N(CL36)&lt;=0.005,0,ROUND(N(CL36)*N('Debt List'!E5)/12,2))</f>
        <v/>
      </c>
      <c r="CN36">
        <f>IF(N(CL36)&lt;=0.005,0,MIN(N('Debt List'!F5),N(CL36)+N(CM36)))+((DR36=1)*DT36+(DV36=1)*DX36+(DZ36=1)*EB36+(ED36=1)*EF36+(EH36=1)*EJ36+(EL36=1)*EN36+(EP36=1)*ER36+(ET36=1)*EV36)</f>
        <v/>
      </c>
      <c r="CO36">
        <f>MAX(0,ROUND(N(CL36)+N(CM36)-N(CN36),2))</f>
        <v/>
      </c>
      <c r="CP36">
        <f>N(CS35)</f>
        <v/>
      </c>
      <c r="CQ36">
        <f>IF(N(CP36)&lt;=0.005,0,ROUND(N(CP36)*N('Debt List'!E6)/12,2))</f>
        <v/>
      </c>
      <c r="CR36">
        <f>IF(N(CP36)&lt;=0.005,0,MIN(N('Debt List'!F6),N(CP36)+N(CQ36)))+((DR36=2)*DT36+(DV36=2)*DX36+(DZ36=2)*EB36+(ED36=2)*EF36+(EH36=2)*EJ36+(EL36=2)*EN36+(EP36=2)*ER36+(ET36=2)*EV36)</f>
        <v/>
      </c>
      <c r="CS36">
        <f>MAX(0,ROUND(N(CP36)+N(CQ36)-N(CR36),2))</f>
        <v/>
      </c>
      <c r="CT36">
        <f>N(CW35)</f>
        <v/>
      </c>
      <c r="CU36">
        <f>IF(N(CT36)&lt;=0.005,0,ROUND(N(CT36)*N('Debt List'!E7)/12,2))</f>
        <v/>
      </c>
      <c r="CV36">
        <f>IF(N(CT36)&lt;=0.005,0,MIN(N('Debt List'!F7),N(CT36)+N(CU36)))+((DR36=3)*DT36+(DV36=3)*DX36+(DZ36=3)*EB36+(ED36=3)*EF36+(EH36=3)*EJ36+(EL36=3)*EN36+(EP36=3)*ER36+(ET36=3)*EV36)</f>
        <v/>
      </c>
      <c r="CW36">
        <f>MAX(0,ROUND(N(CT36)+N(CU36)-N(CV36),2))</f>
        <v/>
      </c>
      <c r="CX36">
        <f>N(DA35)</f>
        <v/>
      </c>
      <c r="CY36">
        <f>IF(N(CX36)&lt;=0.005,0,ROUND(N(CX36)*N('Debt List'!E8)/12,2))</f>
        <v/>
      </c>
      <c r="CZ36">
        <f>IF(N(CX36)&lt;=0.005,0,MIN(N('Debt List'!F8),N(CX36)+N(CY36)))+((DR36=4)*DT36+(DV36=4)*DX36+(DZ36=4)*EB36+(ED36=4)*EF36+(EH36=4)*EJ36+(EL36=4)*EN36+(EP36=4)*ER36+(ET36=4)*EV36)</f>
        <v/>
      </c>
      <c r="DA36">
        <f>MAX(0,ROUND(N(CX36)+N(CY36)-N(CZ36),2))</f>
        <v/>
      </c>
      <c r="DB36">
        <f>N(DE35)</f>
        <v/>
      </c>
      <c r="DC36">
        <f>IF(N(DB36)&lt;=0.005,0,ROUND(N(DB36)*N('Debt List'!E9)/12,2))</f>
        <v/>
      </c>
      <c r="DD36">
        <f>IF(N(DB36)&lt;=0.005,0,MIN(N('Debt List'!F9),N(DB36)+N(DC36)))+((DR36=5)*DT36+(DV36=5)*DX36+(DZ36=5)*EB36+(ED36=5)*EF36+(EH36=5)*EJ36+(EL36=5)*EN36+(EP36=5)*ER36+(ET36=5)*EV36)</f>
        <v/>
      </c>
      <c r="DE36">
        <f>MAX(0,ROUND(N(DB36)+N(DC36)-N(DD36),2))</f>
        <v/>
      </c>
      <c r="DF36">
        <f>N(DI35)</f>
        <v/>
      </c>
      <c r="DG36">
        <f>IF(N(DF36)&lt;=0.005,0,ROUND(N(DF36)*N('Debt List'!E10)/12,2))</f>
        <v/>
      </c>
      <c r="DH36">
        <f>IF(N(DF36)&lt;=0.005,0,MIN(N('Debt List'!F10),N(DF36)+N(DG36)))+((DR36=6)*DT36+(DV36=6)*DX36+(DZ36=6)*EB36+(ED36=6)*EF36+(EH36=6)*EJ36+(EL36=6)*EN36+(EP36=6)*ER36+(ET36=6)*EV36)</f>
        <v/>
      </c>
      <c r="DI36">
        <f>MAX(0,ROUND(N(DF36)+N(DG36)-N(DH36),2))</f>
        <v/>
      </c>
      <c r="DJ36">
        <f>N(DM35)</f>
        <v/>
      </c>
      <c r="DK36">
        <f>IF(N(DJ36)&lt;=0.005,0,ROUND(N(DJ36)*N('Debt List'!E11)/12,2))</f>
        <v/>
      </c>
      <c r="DL36">
        <f>IF(N(DJ36)&lt;=0.005,0,MIN(N('Debt List'!F11),N(DJ36)+N(DK36)))+((DR36=7)*DT36+(DV36=7)*DX36+(DZ36=7)*EB36+(ED36=7)*EF36+(EH36=7)*EJ36+(EL36=7)*EN36+(EP36=7)*ER36+(ET36=7)*EV36)</f>
        <v/>
      </c>
      <c r="DM36">
        <f>MAX(0,ROUND(N(DJ36)+N(DK36)-N(DL36),2))</f>
        <v/>
      </c>
      <c r="DN36">
        <f>N(DQ35)</f>
        <v/>
      </c>
      <c r="DO36">
        <f>IF(N(DN36)&lt;=0.005,0,ROUND(N(DN36)*N('Debt List'!E12)/12,2))</f>
        <v/>
      </c>
      <c r="DP36">
        <f>IF(N(DN36)&lt;=0.005,0,MIN(N('Debt List'!F12),N(DN36)+N(DO36)))+((DR36=8)*DT36+(DV36=8)*DX36+(DZ36=8)*EB36+(ED36=8)*EF36+(EH36=8)*EJ36+(EL36=8)*EN36+(EP36=8)*ER36+(ET36=8)*EV36)</f>
        <v/>
      </c>
      <c r="DQ36">
        <f>MAX(0,ROUND(N(DN36)+N(DO36)-N(DP36),2))</f>
        <v/>
      </c>
      <c r="DR36">
        <f>IFERROR(MATCH(1,OrderSnow,0),"")</f>
        <v/>
      </c>
      <c r="DS36">
        <f>IF(DR36="",0,IFERROR(IF(N(CHOOSE(DR36,CL36,CP36,CT36,CX36,DB36,DF36,DJ36,DN36))&lt;=0.005,0,MAX(0,N(CHOOSE(DR36,CL36,CP36,CT36,CX36,DB36,DF36,DJ36,DN36))+N(CHOOSE(DR36,CM36,CQ36,CU36,CY36,DC36,DG36,DK36,DO36))-MIN(N(CHOOSE(DR36,'Debt List'!$F$5,'Debt List'!$F$6,'Debt List'!$F$7,'Debt List'!$F$8,'Debt List'!$F$9,'Debt List'!$F$10,'Debt List'!$F$11,'Debt List'!$F$12)),N(CHOOSE(DR36,CL36,CP36,CT36,CX36,DB36,DF36,DJ36,DN36))+N(CHOOSE(DR36,CM36,CQ36,CU36,CY36,DC36,DG36,DK36,DO36))))),0))</f>
        <v/>
      </c>
      <c r="DT36">
        <f>MIN(N(DS36),MAX(0,N(ExtraPayment)))</f>
        <v/>
      </c>
      <c r="DU36">
        <f>MAX(0,N(ExtraPayment)-N(DT36))</f>
        <v/>
      </c>
      <c r="DV36">
        <f>IFERROR(MATCH(2,OrderSnow,0),"")</f>
        <v/>
      </c>
      <c r="DW36">
        <f>IF(DV36="",0,IFERROR(IF(N(CHOOSE(DV36,CL36,CP36,CT36,CX36,DB36,DF36,DJ36,DN36))&lt;=0.005,0,MAX(0,N(CHOOSE(DV36,CL36,CP36,CT36,CX36,DB36,DF36,DJ36,DN36))+N(CHOOSE(DV36,CM36,CQ36,CU36,CY36,DC36,DG36,DK36,DO36))-MIN(N(CHOOSE(DV36,'Debt List'!$F$5,'Debt List'!$F$6,'Debt List'!$F$7,'Debt List'!$F$8,'Debt List'!$F$9,'Debt List'!$F$10,'Debt List'!$F$11,'Debt List'!$F$12)),N(CHOOSE(DV36,CL36,CP36,CT36,CX36,DB36,DF36,DJ36,DN36))+N(CHOOSE(DV36,CM36,CQ36,CU36,CY36,DC36,DG36,DK36,DO36))))),0))</f>
        <v/>
      </c>
      <c r="DX36">
        <f>MIN(N(DW36),MAX(0,N(DU36)))</f>
        <v/>
      </c>
      <c r="DY36">
        <f>MAX(0,N(DU36)-N(DX36))</f>
        <v/>
      </c>
      <c r="DZ36">
        <f>IFERROR(MATCH(3,OrderSnow,0),"")</f>
        <v/>
      </c>
      <c r="EA36">
        <f>IF(DZ36="",0,IFERROR(IF(N(CHOOSE(DZ36,CL36,CP36,CT36,CX36,DB36,DF36,DJ36,DN36))&lt;=0.005,0,MAX(0,N(CHOOSE(DZ36,CL36,CP36,CT36,CX36,DB36,DF36,DJ36,DN36))+N(CHOOSE(DZ36,CM36,CQ36,CU36,CY36,DC36,DG36,DK36,DO36))-MIN(N(CHOOSE(DZ36,'Debt List'!$F$5,'Debt List'!$F$6,'Debt List'!$F$7,'Debt List'!$F$8,'Debt List'!$F$9,'Debt List'!$F$10,'Debt List'!$F$11,'Debt List'!$F$12)),N(CHOOSE(DZ36,CL36,CP36,CT36,CX36,DB36,DF36,DJ36,DN36))+N(CHOOSE(DZ36,CM36,CQ36,CU36,CY36,DC36,DG36,DK36,DO36))))),0))</f>
        <v/>
      </c>
      <c r="EB36">
        <f>MIN(N(EA36),MAX(0,N(DY36)))</f>
        <v/>
      </c>
      <c r="EC36">
        <f>MAX(0,N(DY36)-N(EB36))</f>
        <v/>
      </c>
      <c r="ED36">
        <f>IFERROR(MATCH(4,OrderSnow,0),"")</f>
        <v/>
      </c>
      <c r="EE36">
        <f>IF(ED36="",0,IFERROR(IF(N(CHOOSE(ED36,CL36,CP36,CT36,CX36,DB36,DF36,DJ36,DN36))&lt;=0.005,0,MAX(0,N(CHOOSE(ED36,CL36,CP36,CT36,CX36,DB36,DF36,DJ36,DN36))+N(CHOOSE(ED36,CM36,CQ36,CU36,CY36,DC36,DG36,DK36,DO36))-MIN(N(CHOOSE(ED36,'Debt List'!$F$5,'Debt List'!$F$6,'Debt List'!$F$7,'Debt List'!$F$8,'Debt List'!$F$9,'Debt List'!$F$10,'Debt List'!$F$11,'Debt List'!$F$12)),N(CHOOSE(ED36,CL36,CP36,CT36,CX36,DB36,DF36,DJ36,DN36))+N(CHOOSE(ED36,CM36,CQ36,CU36,CY36,DC36,DG36,DK36,DO36))))),0))</f>
        <v/>
      </c>
      <c r="EF36">
        <f>MIN(N(EE36),MAX(0,N(EC36)))</f>
        <v/>
      </c>
      <c r="EG36">
        <f>MAX(0,N(EC36)-N(EF36))</f>
        <v/>
      </c>
      <c r="EH36">
        <f>IFERROR(MATCH(5,OrderSnow,0),"")</f>
        <v/>
      </c>
      <c r="EI36">
        <f>IF(EH36="",0,IFERROR(IF(N(CHOOSE(EH36,CL36,CP36,CT36,CX36,DB36,DF36,DJ36,DN36))&lt;=0.005,0,MAX(0,N(CHOOSE(EH36,CL36,CP36,CT36,CX36,DB36,DF36,DJ36,DN36))+N(CHOOSE(EH36,CM36,CQ36,CU36,CY36,DC36,DG36,DK36,DO36))-MIN(N(CHOOSE(EH36,'Debt List'!$F$5,'Debt List'!$F$6,'Debt List'!$F$7,'Debt List'!$F$8,'Debt List'!$F$9,'Debt List'!$F$10,'Debt List'!$F$11,'Debt List'!$F$12)),N(CHOOSE(EH36,CL36,CP36,CT36,CX36,DB36,DF36,DJ36,DN36))+N(CHOOSE(EH36,CM36,CQ36,CU36,CY36,DC36,DG36,DK36,DO36))))),0))</f>
        <v/>
      </c>
      <c r="EJ36">
        <f>MIN(N(EI36),MAX(0,N(EG36)))</f>
        <v/>
      </c>
      <c r="EK36">
        <f>MAX(0,N(EG36)-N(EJ36))</f>
        <v/>
      </c>
      <c r="EL36">
        <f>IFERROR(MATCH(6,OrderSnow,0),"")</f>
        <v/>
      </c>
      <c r="EM36">
        <f>IF(EL36="",0,IFERROR(IF(N(CHOOSE(EL36,CL36,CP36,CT36,CX36,DB36,DF36,DJ36,DN36))&lt;=0.005,0,MAX(0,N(CHOOSE(EL36,CL36,CP36,CT36,CX36,DB36,DF36,DJ36,DN36))+N(CHOOSE(EL36,CM36,CQ36,CU36,CY36,DC36,DG36,DK36,DO36))-MIN(N(CHOOSE(EL36,'Debt List'!$F$5,'Debt List'!$F$6,'Debt List'!$F$7,'Debt List'!$F$8,'Debt List'!$F$9,'Debt List'!$F$10,'Debt List'!$F$11,'Debt List'!$F$12)),N(CHOOSE(EL36,CL36,CP36,CT36,CX36,DB36,DF36,DJ36,DN36))+N(CHOOSE(EL36,CM36,CQ36,CU36,CY36,DC36,DG36,DK36,DO36))))),0))</f>
        <v/>
      </c>
      <c r="EN36">
        <f>MIN(N(EM36),MAX(0,N(EK36)))</f>
        <v/>
      </c>
      <c r="EO36">
        <f>MAX(0,N(EK36)-N(EN36))</f>
        <v/>
      </c>
      <c r="EP36">
        <f>IFERROR(MATCH(7,OrderSnow,0),"")</f>
        <v/>
      </c>
      <c r="EQ36">
        <f>IF(EP36="",0,IFERROR(IF(N(CHOOSE(EP36,CL36,CP36,CT36,CX36,DB36,DF36,DJ36,DN36))&lt;=0.005,0,MAX(0,N(CHOOSE(EP36,CL36,CP36,CT36,CX36,DB36,DF36,DJ36,DN36))+N(CHOOSE(EP36,CM36,CQ36,CU36,CY36,DC36,DG36,DK36,DO36))-MIN(N(CHOOSE(EP36,'Debt List'!$F$5,'Debt List'!$F$6,'Debt List'!$F$7,'Debt List'!$F$8,'Debt List'!$F$9,'Debt List'!$F$10,'Debt List'!$F$11,'Debt List'!$F$12)),N(CHOOSE(EP36,CL36,CP36,CT36,CX36,DB36,DF36,DJ36,DN36))+N(CHOOSE(EP36,CM36,CQ36,CU36,CY36,DC36,DG36,DK36,DO36))))),0))</f>
        <v/>
      </c>
      <c r="ER36">
        <f>MIN(N(EQ36),MAX(0,N(EO36)))</f>
        <v/>
      </c>
      <c r="ES36">
        <f>MAX(0,N(EO36)-N(ER36))</f>
        <v/>
      </c>
      <c r="ET36">
        <f>IFERROR(MATCH(8,OrderSnow,0),"")</f>
        <v/>
      </c>
      <c r="EU36">
        <f>IF(ET36="",0,IFERROR(IF(N(CHOOSE(ET36,CL36,CP36,CT36,CX36,DB36,DF36,DJ36,DN36))&lt;=0.005,0,MAX(0,N(CHOOSE(ET36,CL36,CP36,CT36,CX36,DB36,DF36,DJ36,DN36))+N(CHOOSE(ET36,CM36,CQ36,CU36,CY36,DC36,DG36,DK36,DO36))-MIN(N(CHOOSE(ET36,'Debt List'!$F$5,'Debt List'!$F$6,'Debt List'!$F$7,'Debt List'!$F$8,'Debt List'!$F$9,'Debt List'!$F$10,'Debt List'!$F$11,'Debt List'!$F$12)),N(CHOOSE(ET36,CL36,CP36,CT36,CX36,DB36,DF36,DJ36,DN36))+N(CHOOSE(ET36,CM36,CQ36,CU36,CY36,DC36,DG36,DK36,DO36))))),0))</f>
        <v/>
      </c>
      <c r="EV36">
        <f>MIN(N(EU36),MAX(0,N(ES36)))</f>
        <v/>
      </c>
      <c r="EW36">
        <f>MAX(0,N(ES36)-N(EV36))</f>
        <v/>
      </c>
      <c r="FE36" t="n">
        <v>32</v>
      </c>
      <c r="FF36" s="115">
        <f>DATE(YEAR(PlanStart),MONTH(PlanStart)+FE36-1,1)</f>
        <v/>
      </c>
      <c r="FG36">
        <f>IF(AND(GT36&lt;&gt;"",N(CHOOSE(GT36,FN36,FR36,FV36,FZ36,GD36,GH36,GL36,GP36))&gt;0.005),INDEX(DebtNames,GT36),IF(AND(GX36&lt;&gt;"",N(CHOOSE(GX36,FN36,FR36,FV36,FZ36,GD36,GH36,GL36,GP36))&gt;0.005),INDEX(DebtNames,GX36),IF(AND(HB36&lt;&gt;"",N(CHOOSE(HB36,FN36,FR36,FV36,FZ36,GD36,GH36,GL36,GP36))&gt;0.005),INDEX(DebtNames,HB36),IF(AND(HF36&lt;&gt;"",N(CHOOSE(HF36,FN36,FR36,FV36,FZ36,GD36,GH36,GL36,GP36))&gt;0.005),INDEX(DebtNames,HF36),IF(AND(HJ36&lt;&gt;"",N(CHOOSE(HJ36,FN36,FR36,FV36,FZ36,GD36,GH36,GL36,GP36))&gt;0.005),INDEX(DebtNames,HJ36),IF(AND(HN36&lt;&gt;"",N(CHOOSE(HN36,FN36,FR36,FV36,FZ36,GD36,GH36,GL36,GP36))&gt;0.005),INDEX(DebtNames,HN36),IF(AND(HR36&lt;&gt;"",N(CHOOSE(HR36,FN36,FR36,FV36,FZ36,GD36,GH36,GL36,GP36))&gt;0.005),INDEX(DebtNames,HR36),IF(AND(HV36&lt;&gt;"",N(CHOOSE(HV36,FN36,FR36,FV36,FZ36,GD36,GH36,GL36,GP36))&gt;0.005),INDEX(DebtNames,HV36),""))))))))</f>
        <v/>
      </c>
      <c r="FH36">
        <f>N(HY36)</f>
        <v/>
      </c>
      <c r="FI36">
        <f>N(FP36)+N(FT36)+N(FX36)+N(GB36)+N(GF36)+N(GJ36)+N(GN36)+N(GR36)</f>
        <v/>
      </c>
      <c r="FJ36">
        <f>N(FO36)+N(FS36)+N(FW36)+N(GA36)+N(GE36)+N(GI36)+N(GM36)+N(GQ36)</f>
        <v/>
      </c>
      <c r="FK36">
        <f>N(FK35)+N(FJ36)</f>
        <v/>
      </c>
      <c r="FL36">
        <f>N(FQ36)+N(FU36)+N(FY36)+N(GC36)+N(GG36)+N(GK36)+N(GO36)+N(GS36)</f>
        <v/>
      </c>
      <c r="FM36">
        <f>(FQ36&gt;0.005)*1+(FU36&gt;0.005)*1+(FY36&gt;0.005)*1+(GC36&gt;0.005)*1+(GG36&gt;0.005)*1+(GK36&gt;0.005)*1+(GO36&gt;0.005)*1+(GS36&gt;0.005)*1</f>
        <v/>
      </c>
      <c r="FN36">
        <f>N(FQ35)</f>
        <v/>
      </c>
      <c r="FO36">
        <f>IF(N(FN36)&lt;=0.005,0,ROUND(N(FN36)*N('Debt List'!E5)/12,2))</f>
        <v/>
      </c>
      <c r="FP36">
        <f>IF(N(FN36)&lt;=0.005,0,MIN(N('Debt List'!F5),N(FN36)+N(FO36)))+((GT36=1)*GV36+(GX36=1)*GZ36+(HB36=1)*HD36+(HF36=1)*HH36+(HJ36=1)*HL36+(HN36=1)*HP36+(HR36=1)*HT36+(HV36=1)*HX36)</f>
        <v/>
      </c>
      <c r="FQ36">
        <f>MAX(0,ROUND(N(FN36)+N(FO36)-N(FP36),2))</f>
        <v/>
      </c>
      <c r="FR36">
        <f>N(FU35)</f>
        <v/>
      </c>
      <c r="FS36">
        <f>IF(N(FR36)&lt;=0.005,0,ROUND(N(FR36)*N('Debt List'!E6)/12,2))</f>
        <v/>
      </c>
      <c r="FT36">
        <f>IF(N(FR36)&lt;=0.005,0,MIN(N('Debt List'!F6),N(FR36)+N(FS36)))+((GT36=2)*GV36+(GX36=2)*GZ36+(HB36=2)*HD36+(HF36=2)*HH36+(HJ36=2)*HL36+(HN36=2)*HP36+(HR36=2)*HT36+(HV36=2)*HX36)</f>
        <v/>
      </c>
      <c r="FU36">
        <f>MAX(0,ROUND(N(FR36)+N(FS36)-N(FT36),2))</f>
        <v/>
      </c>
      <c r="FV36">
        <f>N(FY35)</f>
        <v/>
      </c>
      <c r="FW36">
        <f>IF(N(FV36)&lt;=0.005,0,ROUND(N(FV36)*N('Debt List'!E7)/12,2))</f>
        <v/>
      </c>
      <c r="FX36">
        <f>IF(N(FV36)&lt;=0.005,0,MIN(N('Debt List'!F7),N(FV36)+N(FW36)))+((GT36=3)*GV36+(GX36=3)*GZ36+(HB36=3)*HD36+(HF36=3)*HH36+(HJ36=3)*HL36+(HN36=3)*HP36+(HR36=3)*HT36+(HV36=3)*HX36)</f>
        <v/>
      </c>
      <c r="FY36">
        <f>MAX(0,ROUND(N(FV36)+N(FW36)-N(FX36),2))</f>
        <v/>
      </c>
      <c r="FZ36">
        <f>N(GC35)</f>
        <v/>
      </c>
      <c r="GA36">
        <f>IF(N(FZ36)&lt;=0.005,0,ROUND(N(FZ36)*N('Debt List'!E8)/12,2))</f>
        <v/>
      </c>
      <c r="GB36">
        <f>IF(N(FZ36)&lt;=0.005,0,MIN(N('Debt List'!F8),N(FZ36)+N(GA36)))+((GT36=4)*GV36+(GX36=4)*GZ36+(HB36=4)*HD36+(HF36=4)*HH36+(HJ36=4)*HL36+(HN36=4)*HP36+(HR36=4)*HT36+(HV36=4)*HX36)</f>
        <v/>
      </c>
      <c r="GC36">
        <f>MAX(0,ROUND(N(FZ36)+N(GA36)-N(GB36),2))</f>
        <v/>
      </c>
      <c r="GD36">
        <f>N(GG35)</f>
        <v/>
      </c>
      <c r="GE36">
        <f>IF(N(GD36)&lt;=0.005,0,ROUND(N(GD36)*N('Debt List'!E9)/12,2))</f>
        <v/>
      </c>
      <c r="GF36">
        <f>IF(N(GD36)&lt;=0.005,0,MIN(N('Debt List'!F9),N(GD36)+N(GE36)))+((GT36=5)*GV36+(GX36=5)*GZ36+(HB36=5)*HD36+(HF36=5)*HH36+(HJ36=5)*HL36+(HN36=5)*HP36+(HR36=5)*HT36+(HV36=5)*HX36)</f>
        <v/>
      </c>
      <c r="GG36">
        <f>MAX(0,ROUND(N(GD36)+N(GE36)-N(GF36),2))</f>
        <v/>
      </c>
      <c r="GH36">
        <f>N(GK35)</f>
        <v/>
      </c>
      <c r="GI36">
        <f>IF(N(GH36)&lt;=0.005,0,ROUND(N(GH36)*N('Debt List'!E10)/12,2))</f>
        <v/>
      </c>
      <c r="GJ36">
        <f>IF(N(GH36)&lt;=0.005,0,MIN(N('Debt List'!F10),N(GH36)+N(GI36)))+((GT36=6)*GV36+(GX36=6)*GZ36+(HB36=6)*HD36+(HF36=6)*HH36+(HJ36=6)*HL36+(HN36=6)*HP36+(HR36=6)*HT36+(HV36=6)*HX36)</f>
        <v/>
      </c>
      <c r="GK36">
        <f>MAX(0,ROUND(N(GH36)+N(GI36)-N(GJ36),2))</f>
        <v/>
      </c>
      <c r="GL36">
        <f>N(GO35)</f>
        <v/>
      </c>
      <c r="GM36">
        <f>IF(N(GL36)&lt;=0.005,0,ROUND(N(GL36)*N('Debt List'!E11)/12,2))</f>
        <v/>
      </c>
      <c r="GN36">
        <f>IF(N(GL36)&lt;=0.005,0,MIN(N('Debt List'!F11),N(GL36)+N(GM36)))+((GT36=7)*GV36+(GX36=7)*GZ36+(HB36=7)*HD36+(HF36=7)*HH36+(HJ36=7)*HL36+(HN36=7)*HP36+(HR36=7)*HT36+(HV36=7)*HX36)</f>
        <v/>
      </c>
      <c r="GO36">
        <f>MAX(0,ROUND(N(GL36)+N(GM36)-N(GN36),2))</f>
        <v/>
      </c>
      <c r="GP36">
        <f>N(GS35)</f>
        <v/>
      </c>
      <c r="GQ36">
        <f>IF(N(GP36)&lt;=0.005,0,ROUND(N(GP36)*N('Debt List'!E12)/12,2))</f>
        <v/>
      </c>
      <c r="GR36">
        <f>IF(N(GP36)&lt;=0.005,0,MIN(N('Debt List'!F12),N(GP36)+N(GQ36)))+((GT36=8)*GV36+(GX36=8)*GZ36+(HB36=8)*HD36+(HF36=8)*HH36+(HJ36=8)*HL36+(HN36=8)*HP36+(HR36=8)*HT36+(HV36=8)*HX36)</f>
        <v/>
      </c>
      <c r="GS36">
        <f>MAX(0,ROUND(N(GP36)+N(GQ36)-N(GR36),2))</f>
        <v/>
      </c>
      <c r="GT36">
        <f>IFERROR(MATCH(1,OrderAval,0),"")</f>
        <v/>
      </c>
      <c r="GU36">
        <f>IF(GT36="",0,IFERROR(IF(N(CHOOSE(GT36,FN36,FR36,FV36,FZ36,GD36,GH36,GL36,GP36))&lt;=0.005,0,MAX(0,N(CHOOSE(GT36,FN36,FR36,FV36,FZ36,GD36,GH36,GL36,GP36))+N(CHOOSE(GT36,FO36,FS36,FW36,GA36,GE36,GI36,GM36,GQ36))-MIN(N(CHOOSE(GT36,'Debt List'!$F$5,'Debt List'!$F$6,'Debt List'!$F$7,'Debt List'!$F$8,'Debt List'!$F$9,'Debt List'!$F$10,'Debt List'!$F$11,'Debt List'!$F$12)),N(CHOOSE(GT36,FN36,FR36,FV36,FZ36,GD36,GH36,GL36,GP36))+N(CHOOSE(GT36,FO36,FS36,FW36,GA36,GE36,GI36,GM36,GQ36))))),0))</f>
        <v/>
      </c>
      <c r="GV36">
        <f>MIN(N(GU36),MAX(0,N(ExtraPayment)))</f>
        <v/>
      </c>
      <c r="GW36">
        <f>MAX(0,N(ExtraPayment)-N(GV36))</f>
        <v/>
      </c>
      <c r="GX36">
        <f>IFERROR(MATCH(2,OrderAval,0),"")</f>
        <v/>
      </c>
      <c r="GY36">
        <f>IF(GX36="",0,IFERROR(IF(N(CHOOSE(GX36,FN36,FR36,FV36,FZ36,GD36,GH36,GL36,GP36))&lt;=0.005,0,MAX(0,N(CHOOSE(GX36,FN36,FR36,FV36,FZ36,GD36,GH36,GL36,GP36))+N(CHOOSE(GX36,FO36,FS36,FW36,GA36,GE36,GI36,GM36,GQ36))-MIN(N(CHOOSE(GX36,'Debt List'!$F$5,'Debt List'!$F$6,'Debt List'!$F$7,'Debt List'!$F$8,'Debt List'!$F$9,'Debt List'!$F$10,'Debt List'!$F$11,'Debt List'!$F$12)),N(CHOOSE(GX36,FN36,FR36,FV36,FZ36,GD36,GH36,GL36,GP36))+N(CHOOSE(GX36,FO36,FS36,FW36,GA36,GE36,GI36,GM36,GQ36))))),0))</f>
        <v/>
      </c>
      <c r="GZ36">
        <f>MIN(N(GY36),MAX(0,N(GW36)))</f>
        <v/>
      </c>
      <c r="HA36">
        <f>MAX(0,N(GW36)-N(GZ36))</f>
        <v/>
      </c>
      <c r="HB36">
        <f>IFERROR(MATCH(3,OrderAval,0),"")</f>
        <v/>
      </c>
      <c r="HC36">
        <f>IF(HB36="",0,IFERROR(IF(N(CHOOSE(HB36,FN36,FR36,FV36,FZ36,GD36,GH36,GL36,GP36))&lt;=0.005,0,MAX(0,N(CHOOSE(HB36,FN36,FR36,FV36,FZ36,GD36,GH36,GL36,GP36))+N(CHOOSE(HB36,FO36,FS36,FW36,GA36,GE36,GI36,GM36,GQ36))-MIN(N(CHOOSE(HB36,'Debt List'!$F$5,'Debt List'!$F$6,'Debt List'!$F$7,'Debt List'!$F$8,'Debt List'!$F$9,'Debt List'!$F$10,'Debt List'!$F$11,'Debt List'!$F$12)),N(CHOOSE(HB36,FN36,FR36,FV36,FZ36,GD36,GH36,GL36,GP36))+N(CHOOSE(HB36,FO36,FS36,FW36,GA36,GE36,GI36,GM36,GQ36))))),0))</f>
        <v/>
      </c>
      <c r="HD36">
        <f>MIN(N(HC36),MAX(0,N(HA36)))</f>
        <v/>
      </c>
      <c r="HE36">
        <f>MAX(0,N(HA36)-N(HD36))</f>
        <v/>
      </c>
      <c r="HF36">
        <f>IFERROR(MATCH(4,OrderAval,0),"")</f>
        <v/>
      </c>
      <c r="HG36">
        <f>IF(HF36="",0,IFERROR(IF(N(CHOOSE(HF36,FN36,FR36,FV36,FZ36,GD36,GH36,GL36,GP36))&lt;=0.005,0,MAX(0,N(CHOOSE(HF36,FN36,FR36,FV36,FZ36,GD36,GH36,GL36,GP36))+N(CHOOSE(HF36,FO36,FS36,FW36,GA36,GE36,GI36,GM36,GQ36))-MIN(N(CHOOSE(HF36,'Debt List'!$F$5,'Debt List'!$F$6,'Debt List'!$F$7,'Debt List'!$F$8,'Debt List'!$F$9,'Debt List'!$F$10,'Debt List'!$F$11,'Debt List'!$F$12)),N(CHOOSE(HF36,FN36,FR36,FV36,FZ36,GD36,GH36,GL36,GP36))+N(CHOOSE(HF36,FO36,FS36,FW36,GA36,GE36,GI36,GM36,GQ36))))),0))</f>
        <v/>
      </c>
      <c r="HH36">
        <f>MIN(N(HG36),MAX(0,N(HE36)))</f>
        <v/>
      </c>
      <c r="HI36">
        <f>MAX(0,N(HE36)-N(HH36))</f>
        <v/>
      </c>
      <c r="HJ36">
        <f>IFERROR(MATCH(5,OrderAval,0),"")</f>
        <v/>
      </c>
      <c r="HK36">
        <f>IF(HJ36="",0,IFERROR(IF(N(CHOOSE(HJ36,FN36,FR36,FV36,FZ36,GD36,GH36,GL36,GP36))&lt;=0.005,0,MAX(0,N(CHOOSE(HJ36,FN36,FR36,FV36,FZ36,GD36,GH36,GL36,GP36))+N(CHOOSE(HJ36,FO36,FS36,FW36,GA36,GE36,GI36,GM36,GQ36))-MIN(N(CHOOSE(HJ36,'Debt List'!$F$5,'Debt List'!$F$6,'Debt List'!$F$7,'Debt List'!$F$8,'Debt List'!$F$9,'Debt List'!$F$10,'Debt List'!$F$11,'Debt List'!$F$12)),N(CHOOSE(HJ36,FN36,FR36,FV36,FZ36,GD36,GH36,GL36,GP36))+N(CHOOSE(HJ36,FO36,FS36,FW36,GA36,GE36,GI36,GM36,GQ36))))),0))</f>
        <v/>
      </c>
      <c r="HL36">
        <f>MIN(N(HK36),MAX(0,N(HI36)))</f>
        <v/>
      </c>
      <c r="HM36">
        <f>MAX(0,N(HI36)-N(HL36))</f>
        <v/>
      </c>
      <c r="HN36">
        <f>IFERROR(MATCH(6,OrderAval,0),"")</f>
        <v/>
      </c>
      <c r="HO36">
        <f>IF(HN36="",0,IFERROR(IF(N(CHOOSE(HN36,FN36,FR36,FV36,FZ36,GD36,GH36,GL36,GP36))&lt;=0.005,0,MAX(0,N(CHOOSE(HN36,FN36,FR36,FV36,FZ36,GD36,GH36,GL36,GP36))+N(CHOOSE(HN36,FO36,FS36,FW36,GA36,GE36,GI36,GM36,GQ36))-MIN(N(CHOOSE(HN36,'Debt List'!$F$5,'Debt List'!$F$6,'Debt List'!$F$7,'Debt List'!$F$8,'Debt List'!$F$9,'Debt List'!$F$10,'Debt List'!$F$11,'Debt List'!$F$12)),N(CHOOSE(HN36,FN36,FR36,FV36,FZ36,GD36,GH36,GL36,GP36))+N(CHOOSE(HN36,FO36,FS36,FW36,GA36,GE36,GI36,GM36,GQ36))))),0))</f>
        <v/>
      </c>
      <c r="HP36">
        <f>MIN(N(HO36),MAX(0,N(HM36)))</f>
        <v/>
      </c>
      <c r="HQ36">
        <f>MAX(0,N(HM36)-N(HP36))</f>
        <v/>
      </c>
      <c r="HR36">
        <f>IFERROR(MATCH(7,OrderAval,0),"")</f>
        <v/>
      </c>
      <c r="HS36">
        <f>IF(HR36="",0,IFERROR(IF(N(CHOOSE(HR36,FN36,FR36,FV36,FZ36,GD36,GH36,GL36,GP36))&lt;=0.005,0,MAX(0,N(CHOOSE(HR36,FN36,FR36,FV36,FZ36,GD36,GH36,GL36,GP36))+N(CHOOSE(HR36,FO36,FS36,FW36,GA36,GE36,GI36,GM36,GQ36))-MIN(N(CHOOSE(HR36,'Debt List'!$F$5,'Debt List'!$F$6,'Debt List'!$F$7,'Debt List'!$F$8,'Debt List'!$F$9,'Debt List'!$F$10,'Debt List'!$F$11,'Debt List'!$F$12)),N(CHOOSE(HR36,FN36,FR36,FV36,FZ36,GD36,GH36,GL36,GP36))+N(CHOOSE(HR36,FO36,FS36,FW36,GA36,GE36,GI36,GM36,GQ36))))),0))</f>
        <v/>
      </c>
      <c r="HT36">
        <f>MIN(N(HS36),MAX(0,N(HQ36)))</f>
        <v/>
      </c>
      <c r="HU36">
        <f>MAX(0,N(HQ36)-N(HT36))</f>
        <v/>
      </c>
      <c r="HV36">
        <f>IFERROR(MATCH(8,OrderAval,0),"")</f>
        <v/>
      </c>
      <c r="HW36">
        <f>IF(HV36="",0,IFERROR(IF(N(CHOOSE(HV36,FN36,FR36,FV36,FZ36,GD36,GH36,GL36,GP36))&lt;=0.005,0,MAX(0,N(CHOOSE(HV36,FN36,FR36,FV36,FZ36,GD36,GH36,GL36,GP36))+N(CHOOSE(HV36,FO36,FS36,FW36,GA36,GE36,GI36,GM36,GQ36))-MIN(N(CHOOSE(HV36,'Debt List'!$F$5,'Debt List'!$F$6,'Debt List'!$F$7,'Debt List'!$F$8,'Debt List'!$F$9,'Debt List'!$F$10,'Debt List'!$F$11,'Debt List'!$F$12)),N(CHOOSE(HV36,FN36,FR36,FV36,FZ36,GD36,GH36,GL36,GP36))+N(CHOOSE(HV36,FO36,FS36,FW36,GA36,GE36,GI36,GM36,GQ36))))),0))</f>
        <v/>
      </c>
      <c r="HX36">
        <f>MIN(N(HW36),MAX(0,N(HU36)))</f>
        <v/>
      </c>
      <c r="HY36">
        <f>MAX(0,N(HU36)-N(HX36))</f>
        <v/>
      </c>
    </row>
    <row r="37">
      <c r="A37" t="n">
        <v>33</v>
      </c>
      <c r="B37" s="115">
        <f>DATE(YEAR(PlanStart),MONTH(PlanStart)+A37-1,1)</f>
        <v/>
      </c>
      <c r="C37">
        <f>IF(AND(AP37&lt;&gt;"",N(CHOOSE(AP37,J37,N37,R37,V37,Z37,AD37,AH37,AL37))&gt;0.005),INDEX(DebtNames,AP37),IF(AND(AT37&lt;&gt;"",N(CHOOSE(AT37,J37,N37,R37,V37,Z37,AD37,AH37,AL37))&gt;0.005),INDEX(DebtNames,AT37),IF(AND(AX37&lt;&gt;"",N(CHOOSE(AX37,J37,N37,R37,V37,Z37,AD37,AH37,AL37))&gt;0.005),INDEX(DebtNames,AX37),IF(AND(BB37&lt;&gt;"",N(CHOOSE(BB37,J37,N37,R37,V37,Z37,AD37,AH37,AL37))&gt;0.005),INDEX(DebtNames,BB37),IF(AND(BF37&lt;&gt;"",N(CHOOSE(BF37,J37,N37,R37,V37,Z37,AD37,AH37,AL37))&gt;0.005),INDEX(DebtNames,BF37),IF(AND(BJ37&lt;&gt;"",N(CHOOSE(BJ37,J37,N37,R37,V37,Z37,AD37,AH37,AL37))&gt;0.005),INDEX(DebtNames,BJ37),IF(AND(BN37&lt;&gt;"",N(CHOOSE(BN37,J37,N37,R37,V37,Z37,AD37,AH37,AL37))&gt;0.005),INDEX(DebtNames,BN37),IF(AND(BR37&lt;&gt;"",N(CHOOSE(BR37,J37,N37,R37,V37,Z37,AD37,AH37,AL37))&gt;0.005),INDEX(DebtNames,BR37),""))))))))</f>
        <v/>
      </c>
      <c r="D37">
        <f>N(BU37)</f>
        <v/>
      </c>
      <c r="E37">
        <f>N(L37)+N(P37)+N(T37)+N(X37)+N(AB37)+N(AF37)+N(AJ37)+N(AN37)</f>
        <v/>
      </c>
      <c r="F37">
        <f>N(K37)+N(O37)+N(S37)+N(W37)+N(AA37)+N(AE37)+N(AI37)+N(AM37)</f>
        <v/>
      </c>
      <c r="G37">
        <f>N(G36)+N(F37)</f>
        <v/>
      </c>
      <c r="H37">
        <f>N(M37)+N(Q37)+N(U37)+N(Y37)+N(AC37)+N(AG37)+N(AK37)+N(AO37)</f>
        <v/>
      </c>
      <c r="I37">
        <f>(M37&gt;0.005)*1+(Q37&gt;0.005)*1+(U37&gt;0.005)*1+(Y37&gt;0.005)*1+(AC37&gt;0.005)*1+(AG37&gt;0.005)*1+(AK37&gt;0.005)*1+(AO37&gt;0.005)*1</f>
        <v/>
      </c>
      <c r="J37">
        <f>N(M36)</f>
        <v/>
      </c>
      <c r="K37">
        <f>IF(N(J37)&lt;=0.005,0,ROUND(N(J37)*N('Debt List'!E5)/12,2))</f>
        <v/>
      </c>
      <c r="L37">
        <f>IF(N(J37)&lt;=0.005,0,MIN(N('Debt List'!F5),N(J37)+N(K37)))+((AP37=1)*AR37+(AT37=1)*AV37+(AX37=1)*AZ37+(BB37=1)*BD37+(BF37=1)*BH37+(BJ37=1)*BL37+(BN37=1)*BP37+(BR37=1)*BT37)</f>
        <v/>
      </c>
      <c r="M37">
        <f>MAX(0,ROUND(N(J37)+N(K37)-N(L37),2))</f>
        <v/>
      </c>
      <c r="N37">
        <f>N(Q36)</f>
        <v/>
      </c>
      <c r="O37">
        <f>IF(N(N37)&lt;=0.005,0,ROUND(N(N37)*N('Debt List'!E6)/12,2))</f>
        <v/>
      </c>
      <c r="P37">
        <f>IF(N(N37)&lt;=0.005,0,MIN(N('Debt List'!F6),N(N37)+N(O37)))+((AP37=2)*AR37+(AT37=2)*AV37+(AX37=2)*AZ37+(BB37=2)*BD37+(BF37=2)*BH37+(BJ37=2)*BL37+(BN37=2)*BP37+(BR37=2)*BT37)</f>
        <v/>
      </c>
      <c r="Q37">
        <f>MAX(0,ROUND(N(N37)+N(O37)-N(P37),2))</f>
        <v/>
      </c>
      <c r="R37">
        <f>N(U36)</f>
        <v/>
      </c>
      <c r="S37">
        <f>IF(N(R37)&lt;=0.005,0,ROUND(N(R37)*N('Debt List'!E7)/12,2))</f>
        <v/>
      </c>
      <c r="T37">
        <f>IF(N(R37)&lt;=0.005,0,MIN(N('Debt List'!F7),N(R37)+N(S37)))+((AP37=3)*AR37+(AT37=3)*AV37+(AX37=3)*AZ37+(BB37=3)*BD37+(BF37=3)*BH37+(BJ37=3)*BL37+(BN37=3)*BP37+(BR37=3)*BT37)</f>
        <v/>
      </c>
      <c r="U37">
        <f>MAX(0,ROUND(N(R37)+N(S37)-N(T37),2))</f>
        <v/>
      </c>
      <c r="V37">
        <f>N(Y36)</f>
        <v/>
      </c>
      <c r="W37">
        <f>IF(N(V37)&lt;=0.005,0,ROUND(N(V37)*N('Debt List'!E8)/12,2))</f>
        <v/>
      </c>
      <c r="X37">
        <f>IF(N(V37)&lt;=0.005,0,MIN(N('Debt List'!F8),N(V37)+N(W37)))+((AP37=4)*AR37+(AT37=4)*AV37+(AX37=4)*AZ37+(BB37=4)*BD37+(BF37=4)*BH37+(BJ37=4)*BL37+(BN37=4)*BP37+(BR37=4)*BT37)</f>
        <v/>
      </c>
      <c r="Y37">
        <f>MAX(0,ROUND(N(V37)+N(W37)-N(X37),2))</f>
        <v/>
      </c>
      <c r="Z37">
        <f>N(AC36)</f>
        <v/>
      </c>
      <c r="AA37">
        <f>IF(N(Z37)&lt;=0.005,0,ROUND(N(Z37)*N('Debt List'!E9)/12,2))</f>
        <v/>
      </c>
      <c r="AB37">
        <f>IF(N(Z37)&lt;=0.005,0,MIN(N('Debt List'!F9),N(Z37)+N(AA37)))+((AP37=5)*AR37+(AT37=5)*AV37+(AX37=5)*AZ37+(BB37=5)*BD37+(BF37=5)*BH37+(BJ37=5)*BL37+(BN37=5)*BP37+(BR37=5)*BT37)</f>
        <v/>
      </c>
      <c r="AC37">
        <f>MAX(0,ROUND(N(Z37)+N(AA37)-N(AB37),2))</f>
        <v/>
      </c>
      <c r="AD37">
        <f>N(AG36)</f>
        <v/>
      </c>
      <c r="AE37">
        <f>IF(N(AD37)&lt;=0.005,0,ROUND(N(AD37)*N('Debt List'!E10)/12,2))</f>
        <v/>
      </c>
      <c r="AF37">
        <f>IF(N(AD37)&lt;=0.005,0,MIN(N('Debt List'!F10),N(AD37)+N(AE37)))+((AP37=6)*AR37+(AT37=6)*AV37+(AX37=6)*AZ37+(BB37=6)*BD37+(BF37=6)*BH37+(BJ37=6)*BL37+(BN37=6)*BP37+(BR37=6)*BT37)</f>
        <v/>
      </c>
      <c r="AG37">
        <f>MAX(0,ROUND(N(AD37)+N(AE37)-N(AF37),2))</f>
        <v/>
      </c>
      <c r="AH37">
        <f>N(AK36)</f>
        <v/>
      </c>
      <c r="AI37">
        <f>IF(N(AH37)&lt;=0.005,0,ROUND(N(AH37)*N('Debt List'!E11)/12,2))</f>
        <v/>
      </c>
      <c r="AJ37">
        <f>IF(N(AH37)&lt;=0.005,0,MIN(N('Debt List'!F11),N(AH37)+N(AI37)))+((AP37=7)*AR37+(AT37=7)*AV37+(AX37=7)*AZ37+(BB37=7)*BD37+(BF37=7)*BH37+(BJ37=7)*BL37+(BN37=7)*BP37+(BR37=7)*BT37)</f>
        <v/>
      </c>
      <c r="AK37">
        <f>MAX(0,ROUND(N(AH37)+N(AI37)-N(AJ37),2))</f>
        <v/>
      </c>
      <c r="AL37">
        <f>N(AO36)</f>
        <v/>
      </c>
      <c r="AM37">
        <f>IF(N(AL37)&lt;=0.005,0,ROUND(N(AL37)*N('Debt List'!E12)/12,2))</f>
        <v/>
      </c>
      <c r="AN37">
        <f>IF(N(AL37)&lt;=0.005,0,MIN(N('Debt List'!F12),N(AL37)+N(AM37)))+((AP37=8)*AR37+(AT37=8)*AV37+(AX37=8)*AZ37+(BB37=8)*BD37+(BF37=8)*BH37+(BJ37=8)*BL37+(BN37=8)*BP37+(BR37=8)*BT37)</f>
        <v/>
      </c>
      <c r="AO37">
        <f>MAX(0,ROUND(N(AL37)+N(AM37)-N(AN37),2))</f>
        <v/>
      </c>
      <c r="AP37">
        <f>IFERROR(MATCH(1,OrderPlan,0),"")</f>
        <v/>
      </c>
      <c r="AQ37">
        <f>IF(AP37="",0,IFERROR(IF(N(CHOOSE(AP37,J37,N37,R37,V37,Z37,AD37,AH37,AL37))&lt;=0.005,0,MAX(0,N(CHOOSE(AP37,J37,N37,R37,V37,Z37,AD37,AH37,AL37))+N(CHOOSE(AP37,K37,O37,S37,W37,AA37,AE37,AI37,AM37))-MIN(N(CHOOSE(AP37,'Debt List'!$F$5,'Debt List'!$F$6,'Debt List'!$F$7,'Debt List'!$F$8,'Debt List'!$F$9,'Debt List'!$F$10,'Debt List'!$F$11,'Debt List'!$F$12)),N(CHOOSE(AP37,J37,N37,R37,V37,Z37,AD37,AH37,AL37))+N(CHOOSE(AP37,K37,O37,S37,W37,AA37,AE37,AI37,AM37))))),0))</f>
        <v/>
      </c>
      <c r="AR37">
        <f>MIN(N(AQ37),MAX(0,N(ExtraPayment)))</f>
        <v/>
      </c>
      <c r="AS37">
        <f>MAX(0,N(ExtraPayment)-N(AR37))</f>
        <v/>
      </c>
      <c r="AT37">
        <f>IFERROR(MATCH(2,OrderPlan,0),"")</f>
        <v/>
      </c>
      <c r="AU37">
        <f>IF(AT37="",0,IFERROR(IF(N(CHOOSE(AT37,J37,N37,R37,V37,Z37,AD37,AH37,AL37))&lt;=0.005,0,MAX(0,N(CHOOSE(AT37,J37,N37,R37,V37,Z37,AD37,AH37,AL37))+N(CHOOSE(AT37,K37,O37,S37,W37,AA37,AE37,AI37,AM37))-MIN(N(CHOOSE(AT37,'Debt List'!$F$5,'Debt List'!$F$6,'Debt List'!$F$7,'Debt List'!$F$8,'Debt List'!$F$9,'Debt List'!$F$10,'Debt List'!$F$11,'Debt List'!$F$12)),N(CHOOSE(AT37,J37,N37,R37,V37,Z37,AD37,AH37,AL37))+N(CHOOSE(AT37,K37,O37,S37,W37,AA37,AE37,AI37,AM37))))),0))</f>
        <v/>
      </c>
      <c r="AV37">
        <f>MIN(N(AU37),MAX(0,N(AS37)))</f>
        <v/>
      </c>
      <c r="AW37">
        <f>MAX(0,N(AS37)-N(AV37))</f>
        <v/>
      </c>
      <c r="AX37">
        <f>IFERROR(MATCH(3,OrderPlan,0),"")</f>
        <v/>
      </c>
      <c r="AY37">
        <f>IF(AX37="",0,IFERROR(IF(N(CHOOSE(AX37,J37,N37,R37,V37,Z37,AD37,AH37,AL37))&lt;=0.005,0,MAX(0,N(CHOOSE(AX37,J37,N37,R37,V37,Z37,AD37,AH37,AL37))+N(CHOOSE(AX37,K37,O37,S37,W37,AA37,AE37,AI37,AM37))-MIN(N(CHOOSE(AX37,'Debt List'!$F$5,'Debt List'!$F$6,'Debt List'!$F$7,'Debt List'!$F$8,'Debt List'!$F$9,'Debt List'!$F$10,'Debt List'!$F$11,'Debt List'!$F$12)),N(CHOOSE(AX37,J37,N37,R37,V37,Z37,AD37,AH37,AL37))+N(CHOOSE(AX37,K37,O37,S37,W37,AA37,AE37,AI37,AM37))))),0))</f>
        <v/>
      </c>
      <c r="AZ37">
        <f>MIN(N(AY37),MAX(0,N(AW37)))</f>
        <v/>
      </c>
      <c r="BA37">
        <f>MAX(0,N(AW37)-N(AZ37))</f>
        <v/>
      </c>
      <c r="BB37">
        <f>IFERROR(MATCH(4,OrderPlan,0),"")</f>
        <v/>
      </c>
      <c r="BC37">
        <f>IF(BB37="",0,IFERROR(IF(N(CHOOSE(BB37,J37,N37,R37,V37,Z37,AD37,AH37,AL37))&lt;=0.005,0,MAX(0,N(CHOOSE(BB37,J37,N37,R37,V37,Z37,AD37,AH37,AL37))+N(CHOOSE(BB37,K37,O37,S37,W37,AA37,AE37,AI37,AM37))-MIN(N(CHOOSE(BB37,'Debt List'!$F$5,'Debt List'!$F$6,'Debt List'!$F$7,'Debt List'!$F$8,'Debt List'!$F$9,'Debt List'!$F$10,'Debt List'!$F$11,'Debt List'!$F$12)),N(CHOOSE(BB37,J37,N37,R37,V37,Z37,AD37,AH37,AL37))+N(CHOOSE(BB37,K37,O37,S37,W37,AA37,AE37,AI37,AM37))))),0))</f>
        <v/>
      </c>
      <c r="BD37">
        <f>MIN(N(BC37),MAX(0,N(BA37)))</f>
        <v/>
      </c>
      <c r="BE37">
        <f>MAX(0,N(BA37)-N(BD37))</f>
        <v/>
      </c>
      <c r="BF37">
        <f>IFERROR(MATCH(5,OrderPlan,0),"")</f>
        <v/>
      </c>
      <c r="BG37">
        <f>IF(BF37="",0,IFERROR(IF(N(CHOOSE(BF37,J37,N37,R37,V37,Z37,AD37,AH37,AL37))&lt;=0.005,0,MAX(0,N(CHOOSE(BF37,J37,N37,R37,V37,Z37,AD37,AH37,AL37))+N(CHOOSE(BF37,K37,O37,S37,W37,AA37,AE37,AI37,AM37))-MIN(N(CHOOSE(BF37,'Debt List'!$F$5,'Debt List'!$F$6,'Debt List'!$F$7,'Debt List'!$F$8,'Debt List'!$F$9,'Debt List'!$F$10,'Debt List'!$F$11,'Debt List'!$F$12)),N(CHOOSE(BF37,J37,N37,R37,V37,Z37,AD37,AH37,AL37))+N(CHOOSE(BF37,K37,O37,S37,W37,AA37,AE37,AI37,AM37))))),0))</f>
        <v/>
      </c>
      <c r="BH37">
        <f>MIN(N(BG37),MAX(0,N(BE37)))</f>
        <v/>
      </c>
      <c r="BI37">
        <f>MAX(0,N(BE37)-N(BH37))</f>
        <v/>
      </c>
      <c r="BJ37">
        <f>IFERROR(MATCH(6,OrderPlan,0),"")</f>
        <v/>
      </c>
      <c r="BK37">
        <f>IF(BJ37="",0,IFERROR(IF(N(CHOOSE(BJ37,J37,N37,R37,V37,Z37,AD37,AH37,AL37))&lt;=0.005,0,MAX(0,N(CHOOSE(BJ37,J37,N37,R37,V37,Z37,AD37,AH37,AL37))+N(CHOOSE(BJ37,K37,O37,S37,W37,AA37,AE37,AI37,AM37))-MIN(N(CHOOSE(BJ37,'Debt List'!$F$5,'Debt List'!$F$6,'Debt List'!$F$7,'Debt List'!$F$8,'Debt List'!$F$9,'Debt List'!$F$10,'Debt List'!$F$11,'Debt List'!$F$12)),N(CHOOSE(BJ37,J37,N37,R37,V37,Z37,AD37,AH37,AL37))+N(CHOOSE(BJ37,K37,O37,S37,W37,AA37,AE37,AI37,AM37))))),0))</f>
        <v/>
      </c>
      <c r="BL37">
        <f>MIN(N(BK37),MAX(0,N(BI37)))</f>
        <v/>
      </c>
      <c r="BM37">
        <f>MAX(0,N(BI37)-N(BL37))</f>
        <v/>
      </c>
      <c r="BN37">
        <f>IFERROR(MATCH(7,OrderPlan,0),"")</f>
        <v/>
      </c>
      <c r="BO37">
        <f>IF(BN37="",0,IFERROR(IF(N(CHOOSE(BN37,J37,N37,R37,V37,Z37,AD37,AH37,AL37))&lt;=0.005,0,MAX(0,N(CHOOSE(BN37,J37,N37,R37,V37,Z37,AD37,AH37,AL37))+N(CHOOSE(BN37,K37,O37,S37,W37,AA37,AE37,AI37,AM37))-MIN(N(CHOOSE(BN37,'Debt List'!$F$5,'Debt List'!$F$6,'Debt List'!$F$7,'Debt List'!$F$8,'Debt List'!$F$9,'Debt List'!$F$10,'Debt List'!$F$11,'Debt List'!$F$12)),N(CHOOSE(BN37,J37,N37,R37,V37,Z37,AD37,AH37,AL37))+N(CHOOSE(BN37,K37,O37,S37,W37,AA37,AE37,AI37,AM37))))),0))</f>
        <v/>
      </c>
      <c r="BP37">
        <f>MIN(N(BO37),MAX(0,N(BM37)))</f>
        <v/>
      </c>
      <c r="BQ37">
        <f>MAX(0,N(BM37)-N(BP37))</f>
        <v/>
      </c>
      <c r="BR37">
        <f>IFERROR(MATCH(8,OrderPlan,0),"")</f>
        <v/>
      </c>
      <c r="BS37">
        <f>IF(BR37="",0,IFERROR(IF(N(CHOOSE(BR37,J37,N37,R37,V37,Z37,AD37,AH37,AL37))&lt;=0.005,0,MAX(0,N(CHOOSE(BR37,J37,N37,R37,V37,Z37,AD37,AH37,AL37))+N(CHOOSE(BR37,K37,O37,S37,W37,AA37,AE37,AI37,AM37))-MIN(N(CHOOSE(BR37,'Debt List'!$F$5,'Debt List'!$F$6,'Debt List'!$F$7,'Debt List'!$F$8,'Debt List'!$F$9,'Debt List'!$F$10,'Debt List'!$F$11,'Debt List'!$F$12)),N(CHOOSE(BR37,J37,N37,R37,V37,Z37,AD37,AH37,AL37))+N(CHOOSE(BR37,K37,O37,S37,W37,AA37,AE37,AI37,AM37))))),0))</f>
        <v/>
      </c>
      <c r="BT37">
        <f>MIN(N(BS37),MAX(0,N(BQ37)))</f>
        <v/>
      </c>
      <c r="BU37">
        <f>MAX(0,N(BQ37)-N(BT37))</f>
        <v/>
      </c>
      <c r="CC37" t="n">
        <v>33</v>
      </c>
      <c r="CD37" s="115">
        <f>DATE(YEAR(PlanStart),MONTH(PlanStart)+CC37-1,1)</f>
        <v/>
      </c>
      <c r="CE37">
        <f>IF(AND(DR37&lt;&gt;"",N(CHOOSE(DR37,CL37,CP37,CT37,CX37,DB37,DF37,DJ37,DN37))&gt;0.005),INDEX(DebtNames,DR37),IF(AND(DV37&lt;&gt;"",N(CHOOSE(DV37,CL37,CP37,CT37,CX37,DB37,DF37,DJ37,DN37))&gt;0.005),INDEX(DebtNames,DV37),IF(AND(DZ37&lt;&gt;"",N(CHOOSE(DZ37,CL37,CP37,CT37,CX37,DB37,DF37,DJ37,DN37))&gt;0.005),INDEX(DebtNames,DZ37),IF(AND(ED37&lt;&gt;"",N(CHOOSE(ED37,CL37,CP37,CT37,CX37,DB37,DF37,DJ37,DN37))&gt;0.005),INDEX(DebtNames,ED37),IF(AND(EH37&lt;&gt;"",N(CHOOSE(EH37,CL37,CP37,CT37,CX37,DB37,DF37,DJ37,DN37))&gt;0.005),INDEX(DebtNames,EH37),IF(AND(EL37&lt;&gt;"",N(CHOOSE(EL37,CL37,CP37,CT37,CX37,DB37,DF37,DJ37,DN37))&gt;0.005),INDEX(DebtNames,EL37),IF(AND(EP37&lt;&gt;"",N(CHOOSE(EP37,CL37,CP37,CT37,CX37,DB37,DF37,DJ37,DN37))&gt;0.005),INDEX(DebtNames,EP37),IF(AND(ET37&lt;&gt;"",N(CHOOSE(ET37,CL37,CP37,CT37,CX37,DB37,DF37,DJ37,DN37))&gt;0.005),INDEX(DebtNames,ET37),""))))))))</f>
        <v/>
      </c>
      <c r="CF37">
        <f>N(EW37)</f>
        <v/>
      </c>
      <c r="CG37">
        <f>N(CN37)+N(CR37)+N(CV37)+N(CZ37)+N(DD37)+N(DH37)+N(DL37)+N(DP37)</f>
        <v/>
      </c>
      <c r="CH37">
        <f>N(CM37)+N(CQ37)+N(CU37)+N(CY37)+N(DC37)+N(DG37)+N(DK37)+N(DO37)</f>
        <v/>
      </c>
      <c r="CI37">
        <f>N(CI36)+N(CH37)</f>
        <v/>
      </c>
      <c r="CJ37">
        <f>N(CO37)+N(CS37)+N(CW37)+N(DA37)+N(DE37)+N(DI37)+N(DM37)+N(DQ37)</f>
        <v/>
      </c>
      <c r="CK37">
        <f>(CO37&gt;0.005)*1+(CS37&gt;0.005)*1+(CW37&gt;0.005)*1+(DA37&gt;0.005)*1+(DE37&gt;0.005)*1+(DI37&gt;0.005)*1+(DM37&gt;0.005)*1+(DQ37&gt;0.005)*1</f>
        <v/>
      </c>
      <c r="CL37">
        <f>N(CO36)</f>
        <v/>
      </c>
      <c r="CM37">
        <f>IF(N(CL37)&lt;=0.005,0,ROUND(N(CL37)*N('Debt List'!E5)/12,2))</f>
        <v/>
      </c>
      <c r="CN37">
        <f>IF(N(CL37)&lt;=0.005,0,MIN(N('Debt List'!F5),N(CL37)+N(CM37)))+((DR37=1)*DT37+(DV37=1)*DX37+(DZ37=1)*EB37+(ED37=1)*EF37+(EH37=1)*EJ37+(EL37=1)*EN37+(EP37=1)*ER37+(ET37=1)*EV37)</f>
        <v/>
      </c>
      <c r="CO37">
        <f>MAX(0,ROUND(N(CL37)+N(CM37)-N(CN37),2))</f>
        <v/>
      </c>
      <c r="CP37">
        <f>N(CS36)</f>
        <v/>
      </c>
      <c r="CQ37">
        <f>IF(N(CP37)&lt;=0.005,0,ROUND(N(CP37)*N('Debt List'!E6)/12,2))</f>
        <v/>
      </c>
      <c r="CR37">
        <f>IF(N(CP37)&lt;=0.005,0,MIN(N('Debt List'!F6),N(CP37)+N(CQ37)))+((DR37=2)*DT37+(DV37=2)*DX37+(DZ37=2)*EB37+(ED37=2)*EF37+(EH37=2)*EJ37+(EL37=2)*EN37+(EP37=2)*ER37+(ET37=2)*EV37)</f>
        <v/>
      </c>
      <c r="CS37">
        <f>MAX(0,ROUND(N(CP37)+N(CQ37)-N(CR37),2))</f>
        <v/>
      </c>
      <c r="CT37">
        <f>N(CW36)</f>
        <v/>
      </c>
      <c r="CU37">
        <f>IF(N(CT37)&lt;=0.005,0,ROUND(N(CT37)*N('Debt List'!E7)/12,2))</f>
        <v/>
      </c>
      <c r="CV37">
        <f>IF(N(CT37)&lt;=0.005,0,MIN(N('Debt List'!F7),N(CT37)+N(CU37)))+((DR37=3)*DT37+(DV37=3)*DX37+(DZ37=3)*EB37+(ED37=3)*EF37+(EH37=3)*EJ37+(EL37=3)*EN37+(EP37=3)*ER37+(ET37=3)*EV37)</f>
        <v/>
      </c>
      <c r="CW37">
        <f>MAX(0,ROUND(N(CT37)+N(CU37)-N(CV37),2))</f>
        <v/>
      </c>
      <c r="CX37">
        <f>N(DA36)</f>
        <v/>
      </c>
      <c r="CY37">
        <f>IF(N(CX37)&lt;=0.005,0,ROUND(N(CX37)*N('Debt List'!E8)/12,2))</f>
        <v/>
      </c>
      <c r="CZ37">
        <f>IF(N(CX37)&lt;=0.005,0,MIN(N('Debt List'!F8),N(CX37)+N(CY37)))+((DR37=4)*DT37+(DV37=4)*DX37+(DZ37=4)*EB37+(ED37=4)*EF37+(EH37=4)*EJ37+(EL37=4)*EN37+(EP37=4)*ER37+(ET37=4)*EV37)</f>
        <v/>
      </c>
      <c r="DA37">
        <f>MAX(0,ROUND(N(CX37)+N(CY37)-N(CZ37),2))</f>
        <v/>
      </c>
      <c r="DB37">
        <f>N(DE36)</f>
        <v/>
      </c>
      <c r="DC37">
        <f>IF(N(DB37)&lt;=0.005,0,ROUND(N(DB37)*N('Debt List'!E9)/12,2))</f>
        <v/>
      </c>
      <c r="DD37">
        <f>IF(N(DB37)&lt;=0.005,0,MIN(N('Debt List'!F9),N(DB37)+N(DC37)))+((DR37=5)*DT37+(DV37=5)*DX37+(DZ37=5)*EB37+(ED37=5)*EF37+(EH37=5)*EJ37+(EL37=5)*EN37+(EP37=5)*ER37+(ET37=5)*EV37)</f>
        <v/>
      </c>
      <c r="DE37">
        <f>MAX(0,ROUND(N(DB37)+N(DC37)-N(DD37),2))</f>
        <v/>
      </c>
      <c r="DF37">
        <f>N(DI36)</f>
        <v/>
      </c>
      <c r="DG37">
        <f>IF(N(DF37)&lt;=0.005,0,ROUND(N(DF37)*N('Debt List'!E10)/12,2))</f>
        <v/>
      </c>
      <c r="DH37">
        <f>IF(N(DF37)&lt;=0.005,0,MIN(N('Debt List'!F10),N(DF37)+N(DG37)))+((DR37=6)*DT37+(DV37=6)*DX37+(DZ37=6)*EB37+(ED37=6)*EF37+(EH37=6)*EJ37+(EL37=6)*EN37+(EP37=6)*ER37+(ET37=6)*EV37)</f>
        <v/>
      </c>
      <c r="DI37">
        <f>MAX(0,ROUND(N(DF37)+N(DG37)-N(DH37),2))</f>
        <v/>
      </c>
      <c r="DJ37">
        <f>N(DM36)</f>
        <v/>
      </c>
      <c r="DK37">
        <f>IF(N(DJ37)&lt;=0.005,0,ROUND(N(DJ37)*N('Debt List'!E11)/12,2))</f>
        <v/>
      </c>
      <c r="DL37">
        <f>IF(N(DJ37)&lt;=0.005,0,MIN(N('Debt List'!F11),N(DJ37)+N(DK37)))+((DR37=7)*DT37+(DV37=7)*DX37+(DZ37=7)*EB37+(ED37=7)*EF37+(EH37=7)*EJ37+(EL37=7)*EN37+(EP37=7)*ER37+(ET37=7)*EV37)</f>
        <v/>
      </c>
      <c r="DM37">
        <f>MAX(0,ROUND(N(DJ37)+N(DK37)-N(DL37),2))</f>
        <v/>
      </c>
      <c r="DN37">
        <f>N(DQ36)</f>
        <v/>
      </c>
      <c r="DO37">
        <f>IF(N(DN37)&lt;=0.005,0,ROUND(N(DN37)*N('Debt List'!E12)/12,2))</f>
        <v/>
      </c>
      <c r="DP37">
        <f>IF(N(DN37)&lt;=0.005,0,MIN(N('Debt List'!F12),N(DN37)+N(DO37)))+((DR37=8)*DT37+(DV37=8)*DX37+(DZ37=8)*EB37+(ED37=8)*EF37+(EH37=8)*EJ37+(EL37=8)*EN37+(EP37=8)*ER37+(ET37=8)*EV37)</f>
        <v/>
      </c>
      <c r="DQ37">
        <f>MAX(0,ROUND(N(DN37)+N(DO37)-N(DP37),2))</f>
        <v/>
      </c>
      <c r="DR37">
        <f>IFERROR(MATCH(1,OrderSnow,0),"")</f>
        <v/>
      </c>
      <c r="DS37">
        <f>IF(DR37="",0,IFERROR(IF(N(CHOOSE(DR37,CL37,CP37,CT37,CX37,DB37,DF37,DJ37,DN37))&lt;=0.005,0,MAX(0,N(CHOOSE(DR37,CL37,CP37,CT37,CX37,DB37,DF37,DJ37,DN37))+N(CHOOSE(DR37,CM37,CQ37,CU37,CY37,DC37,DG37,DK37,DO37))-MIN(N(CHOOSE(DR37,'Debt List'!$F$5,'Debt List'!$F$6,'Debt List'!$F$7,'Debt List'!$F$8,'Debt List'!$F$9,'Debt List'!$F$10,'Debt List'!$F$11,'Debt List'!$F$12)),N(CHOOSE(DR37,CL37,CP37,CT37,CX37,DB37,DF37,DJ37,DN37))+N(CHOOSE(DR37,CM37,CQ37,CU37,CY37,DC37,DG37,DK37,DO37))))),0))</f>
        <v/>
      </c>
      <c r="DT37">
        <f>MIN(N(DS37),MAX(0,N(ExtraPayment)))</f>
        <v/>
      </c>
      <c r="DU37">
        <f>MAX(0,N(ExtraPayment)-N(DT37))</f>
        <v/>
      </c>
      <c r="DV37">
        <f>IFERROR(MATCH(2,OrderSnow,0),"")</f>
        <v/>
      </c>
      <c r="DW37">
        <f>IF(DV37="",0,IFERROR(IF(N(CHOOSE(DV37,CL37,CP37,CT37,CX37,DB37,DF37,DJ37,DN37))&lt;=0.005,0,MAX(0,N(CHOOSE(DV37,CL37,CP37,CT37,CX37,DB37,DF37,DJ37,DN37))+N(CHOOSE(DV37,CM37,CQ37,CU37,CY37,DC37,DG37,DK37,DO37))-MIN(N(CHOOSE(DV37,'Debt List'!$F$5,'Debt List'!$F$6,'Debt List'!$F$7,'Debt List'!$F$8,'Debt List'!$F$9,'Debt List'!$F$10,'Debt List'!$F$11,'Debt List'!$F$12)),N(CHOOSE(DV37,CL37,CP37,CT37,CX37,DB37,DF37,DJ37,DN37))+N(CHOOSE(DV37,CM37,CQ37,CU37,CY37,DC37,DG37,DK37,DO37))))),0))</f>
        <v/>
      </c>
      <c r="DX37">
        <f>MIN(N(DW37),MAX(0,N(DU37)))</f>
        <v/>
      </c>
      <c r="DY37">
        <f>MAX(0,N(DU37)-N(DX37))</f>
        <v/>
      </c>
      <c r="DZ37">
        <f>IFERROR(MATCH(3,OrderSnow,0),"")</f>
        <v/>
      </c>
      <c r="EA37">
        <f>IF(DZ37="",0,IFERROR(IF(N(CHOOSE(DZ37,CL37,CP37,CT37,CX37,DB37,DF37,DJ37,DN37))&lt;=0.005,0,MAX(0,N(CHOOSE(DZ37,CL37,CP37,CT37,CX37,DB37,DF37,DJ37,DN37))+N(CHOOSE(DZ37,CM37,CQ37,CU37,CY37,DC37,DG37,DK37,DO37))-MIN(N(CHOOSE(DZ37,'Debt List'!$F$5,'Debt List'!$F$6,'Debt List'!$F$7,'Debt List'!$F$8,'Debt List'!$F$9,'Debt List'!$F$10,'Debt List'!$F$11,'Debt List'!$F$12)),N(CHOOSE(DZ37,CL37,CP37,CT37,CX37,DB37,DF37,DJ37,DN37))+N(CHOOSE(DZ37,CM37,CQ37,CU37,CY37,DC37,DG37,DK37,DO37))))),0))</f>
        <v/>
      </c>
      <c r="EB37">
        <f>MIN(N(EA37),MAX(0,N(DY37)))</f>
        <v/>
      </c>
      <c r="EC37">
        <f>MAX(0,N(DY37)-N(EB37))</f>
        <v/>
      </c>
      <c r="ED37">
        <f>IFERROR(MATCH(4,OrderSnow,0),"")</f>
        <v/>
      </c>
      <c r="EE37">
        <f>IF(ED37="",0,IFERROR(IF(N(CHOOSE(ED37,CL37,CP37,CT37,CX37,DB37,DF37,DJ37,DN37))&lt;=0.005,0,MAX(0,N(CHOOSE(ED37,CL37,CP37,CT37,CX37,DB37,DF37,DJ37,DN37))+N(CHOOSE(ED37,CM37,CQ37,CU37,CY37,DC37,DG37,DK37,DO37))-MIN(N(CHOOSE(ED37,'Debt List'!$F$5,'Debt List'!$F$6,'Debt List'!$F$7,'Debt List'!$F$8,'Debt List'!$F$9,'Debt List'!$F$10,'Debt List'!$F$11,'Debt List'!$F$12)),N(CHOOSE(ED37,CL37,CP37,CT37,CX37,DB37,DF37,DJ37,DN37))+N(CHOOSE(ED37,CM37,CQ37,CU37,CY37,DC37,DG37,DK37,DO37))))),0))</f>
        <v/>
      </c>
      <c r="EF37">
        <f>MIN(N(EE37),MAX(0,N(EC37)))</f>
        <v/>
      </c>
      <c r="EG37">
        <f>MAX(0,N(EC37)-N(EF37))</f>
        <v/>
      </c>
      <c r="EH37">
        <f>IFERROR(MATCH(5,OrderSnow,0),"")</f>
        <v/>
      </c>
      <c r="EI37">
        <f>IF(EH37="",0,IFERROR(IF(N(CHOOSE(EH37,CL37,CP37,CT37,CX37,DB37,DF37,DJ37,DN37))&lt;=0.005,0,MAX(0,N(CHOOSE(EH37,CL37,CP37,CT37,CX37,DB37,DF37,DJ37,DN37))+N(CHOOSE(EH37,CM37,CQ37,CU37,CY37,DC37,DG37,DK37,DO37))-MIN(N(CHOOSE(EH37,'Debt List'!$F$5,'Debt List'!$F$6,'Debt List'!$F$7,'Debt List'!$F$8,'Debt List'!$F$9,'Debt List'!$F$10,'Debt List'!$F$11,'Debt List'!$F$12)),N(CHOOSE(EH37,CL37,CP37,CT37,CX37,DB37,DF37,DJ37,DN37))+N(CHOOSE(EH37,CM37,CQ37,CU37,CY37,DC37,DG37,DK37,DO37))))),0))</f>
        <v/>
      </c>
      <c r="EJ37">
        <f>MIN(N(EI37),MAX(0,N(EG37)))</f>
        <v/>
      </c>
      <c r="EK37">
        <f>MAX(0,N(EG37)-N(EJ37))</f>
        <v/>
      </c>
      <c r="EL37">
        <f>IFERROR(MATCH(6,OrderSnow,0),"")</f>
        <v/>
      </c>
      <c r="EM37">
        <f>IF(EL37="",0,IFERROR(IF(N(CHOOSE(EL37,CL37,CP37,CT37,CX37,DB37,DF37,DJ37,DN37))&lt;=0.005,0,MAX(0,N(CHOOSE(EL37,CL37,CP37,CT37,CX37,DB37,DF37,DJ37,DN37))+N(CHOOSE(EL37,CM37,CQ37,CU37,CY37,DC37,DG37,DK37,DO37))-MIN(N(CHOOSE(EL37,'Debt List'!$F$5,'Debt List'!$F$6,'Debt List'!$F$7,'Debt List'!$F$8,'Debt List'!$F$9,'Debt List'!$F$10,'Debt List'!$F$11,'Debt List'!$F$12)),N(CHOOSE(EL37,CL37,CP37,CT37,CX37,DB37,DF37,DJ37,DN37))+N(CHOOSE(EL37,CM37,CQ37,CU37,CY37,DC37,DG37,DK37,DO37))))),0))</f>
        <v/>
      </c>
      <c r="EN37">
        <f>MIN(N(EM37),MAX(0,N(EK37)))</f>
        <v/>
      </c>
      <c r="EO37">
        <f>MAX(0,N(EK37)-N(EN37))</f>
        <v/>
      </c>
      <c r="EP37">
        <f>IFERROR(MATCH(7,OrderSnow,0),"")</f>
        <v/>
      </c>
      <c r="EQ37">
        <f>IF(EP37="",0,IFERROR(IF(N(CHOOSE(EP37,CL37,CP37,CT37,CX37,DB37,DF37,DJ37,DN37))&lt;=0.005,0,MAX(0,N(CHOOSE(EP37,CL37,CP37,CT37,CX37,DB37,DF37,DJ37,DN37))+N(CHOOSE(EP37,CM37,CQ37,CU37,CY37,DC37,DG37,DK37,DO37))-MIN(N(CHOOSE(EP37,'Debt List'!$F$5,'Debt List'!$F$6,'Debt List'!$F$7,'Debt List'!$F$8,'Debt List'!$F$9,'Debt List'!$F$10,'Debt List'!$F$11,'Debt List'!$F$12)),N(CHOOSE(EP37,CL37,CP37,CT37,CX37,DB37,DF37,DJ37,DN37))+N(CHOOSE(EP37,CM37,CQ37,CU37,CY37,DC37,DG37,DK37,DO37))))),0))</f>
        <v/>
      </c>
      <c r="ER37">
        <f>MIN(N(EQ37),MAX(0,N(EO37)))</f>
        <v/>
      </c>
      <c r="ES37">
        <f>MAX(0,N(EO37)-N(ER37))</f>
        <v/>
      </c>
      <c r="ET37">
        <f>IFERROR(MATCH(8,OrderSnow,0),"")</f>
        <v/>
      </c>
      <c r="EU37">
        <f>IF(ET37="",0,IFERROR(IF(N(CHOOSE(ET37,CL37,CP37,CT37,CX37,DB37,DF37,DJ37,DN37))&lt;=0.005,0,MAX(0,N(CHOOSE(ET37,CL37,CP37,CT37,CX37,DB37,DF37,DJ37,DN37))+N(CHOOSE(ET37,CM37,CQ37,CU37,CY37,DC37,DG37,DK37,DO37))-MIN(N(CHOOSE(ET37,'Debt List'!$F$5,'Debt List'!$F$6,'Debt List'!$F$7,'Debt List'!$F$8,'Debt List'!$F$9,'Debt List'!$F$10,'Debt List'!$F$11,'Debt List'!$F$12)),N(CHOOSE(ET37,CL37,CP37,CT37,CX37,DB37,DF37,DJ37,DN37))+N(CHOOSE(ET37,CM37,CQ37,CU37,CY37,DC37,DG37,DK37,DO37))))),0))</f>
        <v/>
      </c>
      <c r="EV37">
        <f>MIN(N(EU37),MAX(0,N(ES37)))</f>
        <v/>
      </c>
      <c r="EW37">
        <f>MAX(0,N(ES37)-N(EV37))</f>
        <v/>
      </c>
      <c r="FE37" t="n">
        <v>33</v>
      </c>
      <c r="FF37" s="115">
        <f>DATE(YEAR(PlanStart),MONTH(PlanStart)+FE37-1,1)</f>
        <v/>
      </c>
      <c r="FG37">
        <f>IF(AND(GT37&lt;&gt;"",N(CHOOSE(GT37,FN37,FR37,FV37,FZ37,GD37,GH37,GL37,GP37))&gt;0.005),INDEX(DebtNames,GT37),IF(AND(GX37&lt;&gt;"",N(CHOOSE(GX37,FN37,FR37,FV37,FZ37,GD37,GH37,GL37,GP37))&gt;0.005),INDEX(DebtNames,GX37),IF(AND(HB37&lt;&gt;"",N(CHOOSE(HB37,FN37,FR37,FV37,FZ37,GD37,GH37,GL37,GP37))&gt;0.005),INDEX(DebtNames,HB37),IF(AND(HF37&lt;&gt;"",N(CHOOSE(HF37,FN37,FR37,FV37,FZ37,GD37,GH37,GL37,GP37))&gt;0.005),INDEX(DebtNames,HF37),IF(AND(HJ37&lt;&gt;"",N(CHOOSE(HJ37,FN37,FR37,FV37,FZ37,GD37,GH37,GL37,GP37))&gt;0.005),INDEX(DebtNames,HJ37),IF(AND(HN37&lt;&gt;"",N(CHOOSE(HN37,FN37,FR37,FV37,FZ37,GD37,GH37,GL37,GP37))&gt;0.005),INDEX(DebtNames,HN37),IF(AND(HR37&lt;&gt;"",N(CHOOSE(HR37,FN37,FR37,FV37,FZ37,GD37,GH37,GL37,GP37))&gt;0.005),INDEX(DebtNames,HR37),IF(AND(HV37&lt;&gt;"",N(CHOOSE(HV37,FN37,FR37,FV37,FZ37,GD37,GH37,GL37,GP37))&gt;0.005),INDEX(DebtNames,HV37),""))))))))</f>
        <v/>
      </c>
      <c r="FH37">
        <f>N(HY37)</f>
        <v/>
      </c>
      <c r="FI37">
        <f>N(FP37)+N(FT37)+N(FX37)+N(GB37)+N(GF37)+N(GJ37)+N(GN37)+N(GR37)</f>
        <v/>
      </c>
      <c r="FJ37">
        <f>N(FO37)+N(FS37)+N(FW37)+N(GA37)+N(GE37)+N(GI37)+N(GM37)+N(GQ37)</f>
        <v/>
      </c>
      <c r="FK37">
        <f>N(FK36)+N(FJ37)</f>
        <v/>
      </c>
      <c r="FL37">
        <f>N(FQ37)+N(FU37)+N(FY37)+N(GC37)+N(GG37)+N(GK37)+N(GO37)+N(GS37)</f>
        <v/>
      </c>
      <c r="FM37">
        <f>(FQ37&gt;0.005)*1+(FU37&gt;0.005)*1+(FY37&gt;0.005)*1+(GC37&gt;0.005)*1+(GG37&gt;0.005)*1+(GK37&gt;0.005)*1+(GO37&gt;0.005)*1+(GS37&gt;0.005)*1</f>
        <v/>
      </c>
      <c r="FN37">
        <f>N(FQ36)</f>
        <v/>
      </c>
      <c r="FO37">
        <f>IF(N(FN37)&lt;=0.005,0,ROUND(N(FN37)*N('Debt List'!E5)/12,2))</f>
        <v/>
      </c>
      <c r="FP37">
        <f>IF(N(FN37)&lt;=0.005,0,MIN(N('Debt List'!F5),N(FN37)+N(FO37)))+((GT37=1)*GV37+(GX37=1)*GZ37+(HB37=1)*HD37+(HF37=1)*HH37+(HJ37=1)*HL37+(HN37=1)*HP37+(HR37=1)*HT37+(HV37=1)*HX37)</f>
        <v/>
      </c>
      <c r="FQ37">
        <f>MAX(0,ROUND(N(FN37)+N(FO37)-N(FP37),2))</f>
        <v/>
      </c>
      <c r="FR37">
        <f>N(FU36)</f>
        <v/>
      </c>
      <c r="FS37">
        <f>IF(N(FR37)&lt;=0.005,0,ROUND(N(FR37)*N('Debt List'!E6)/12,2))</f>
        <v/>
      </c>
      <c r="FT37">
        <f>IF(N(FR37)&lt;=0.005,0,MIN(N('Debt List'!F6),N(FR37)+N(FS37)))+((GT37=2)*GV37+(GX37=2)*GZ37+(HB37=2)*HD37+(HF37=2)*HH37+(HJ37=2)*HL37+(HN37=2)*HP37+(HR37=2)*HT37+(HV37=2)*HX37)</f>
        <v/>
      </c>
      <c r="FU37">
        <f>MAX(0,ROUND(N(FR37)+N(FS37)-N(FT37),2))</f>
        <v/>
      </c>
      <c r="FV37">
        <f>N(FY36)</f>
        <v/>
      </c>
      <c r="FW37">
        <f>IF(N(FV37)&lt;=0.005,0,ROUND(N(FV37)*N('Debt List'!E7)/12,2))</f>
        <v/>
      </c>
      <c r="FX37">
        <f>IF(N(FV37)&lt;=0.005,0,MIN(N('Debt List'!F7),N(FV37)+N(FW37)))+((GT37=3)*GV37+(GX37=3)*GZ37+(HB37=3)*HD37+(HF37=3)*HH37+(HJ37=3)*HL37+(HN37=3)*HP37+(HR37=3)*HT37+(HV37=3)*HX37)</f>
        <v/>
      </c>
      <c r="FY37">
        <f>MAX(0,ROUND(N(FV37)+N(FW37)-N(FX37),2))</f>
        <v/>
      </c>
      <c r="FZ37">
        <f>N(GC36)</f>
        <v/>
      </c>
      <c r="GA37">
        <f>IF(N(FZ37)&lt;=0.005,0,ROUND(N(FZ37)*N('Debt List'!E8)/12,2))</f>
        <v/>
      </c>
      <c r="GB37">
        <f>IF(N(FZ37)&lt;=0.005,0,MIN(N('Debt List'!F8),N(FZ37)+N(GA37)))+((GT37=4)*GV37+(GX37=4)*GZ37+(HB37=4)*HD37+(HF37=4)*HH37+(HJ37=4)*HL37+(HN37=4)*HP37+(HR37=4)*HT37+(HV37=4)*HX37)</f>
        <v/>
      </c>
      <c r="GC37">
        <f>MAX(0,ROUND(N(FZ37)+N(GA37)-N(GB37),2))</f>
        <v/>
      </c>
      <c r="GD37">
        <f>N(GG36)</f>
        <v/>
      </c>
      <c r="GE37">
        <f>IF(N(GD37)&lt;=0.005,0,ROUND(N(GD37)*N('Debt List'!E9)/12,2))</f>
        <v/>
      </c>
      <c r="GF37">
        <f>IF(N(GD37)&lt;=0.005,0,MIN(N('Debt List'!F9),N(GD37)+N(GE37)))+((GT37=5)*GV37+(GX37=5)*GZ37+(HB37=5)*HD37+(HF37=5)*HH37+(HJ37=5)*HL37+(HN37=5)*HP37+(HR37=5)*HT37+(HV37=5)*HX37)</f>
        <v/>
      </c>
      <c r="GG37">
        <f>MAX(0,ROUND(N(GD37)+N(GE37)-N(GF37),2))</f>
        <v/>
      </c>
      <c r="GH37">
        <f>N(GK36)</f>
        <v/>
      </c>
      <c r="GI37">
        <f>IF(N(GH37)&lt;=0.005,0,ROUND(N(GH37)*N('Debt List'!E10)/12,2))</f>
        <v/>
      </c>
      <c r="GJ37">
        <f>IF(N(GH37)&lt;=0.005,0,MIN(N('Debt List'!F10),N(GH37)+N(GI37)))+((GT37=6)*GV37+(GX37=6)*GZ37+(HB37=6)*HD37+(HF37=6)*HH37+(HJ37=6)*HL37+(HN37=6)*HP37+(HR37=6)*HT37+(HV37=6)*HX37)</f>
        <v/>
      </c>
      <c r="GK37">
        <f>MAX(0,ROUND(N(GH37)+N(GI37)-N(GJ37),2))</f>
        <v/>
      </c>
      <c r="GL37">
        <f>N(GO36)</f>
        <v/>
      </c>
      <c r="GM37">
        <f>IF(N(GL37)&lt;=0.005,0,ROUND(N(GL37)*N('Debt List'!E11)/12,2))</f>
        <v/>
      </c>
      <c r="GN37">
        <f>IF(N(GL37)&lt;=0.005,0,MIN(N('Debt List'!F11),N(GL37)+N(GM37)))+((GT37=7)*GV37+(GX37=7)*GZ37+(HB37=7)*HD37+(HF37=7)*HH37+(HJ37=7)*HL37+(HN37=7)*HP37+(HR37=7)*HT37+(HV37=7)*HX37)</f>
        <v/>
      </c>
      <c r="GO37">
        <f>MAX(0,ROUND(N(GL37)+N(GM37)-N(GN37),2))</f>
        <v/>
      </c>
      <c r="GP37">
        <f>N(GS36)</f>
        <v/>
      </c>
      <c r="GQ37">
        <f>IF(N(GP37)&lt;=0.005,0,ROUND(N(GP37)*N('Debt List'!E12)/12,2))</f>
        <v/>
      </c>
      <c r="GR37">
        <f>IF(N(GP37)&lt;=0.005,0,MIN(N('Debt List'!F12),N(GP37)+N(GQ37)))+((GT37=8)*GV37+(GX37=8)*GZ37+(HB37=8)*HD37+(HF37=8)*HH37+(HJ37=8)*HL37+(HN37=8)*HP37+(HR37=8)*HT37+(HV37=8)*HX37)</f>
        <v/>
      </c>
      <c r="GS37">
        <f>MAX(0,ROUND(N(GP37)+N(GQ37)-N(GR37),2))</f>
        <v/>
      </c>
      <c r="GT37">
        <f>IFERROR(MATCH(1,OrderAval,0),"")</f>
        <v/>
      </c>
      <c r="GU37">
        <f>IF(GT37="",0,IFERROR(IF(N(CHOOSE(GT37,FN37,FR37,FV37,FZ37,GD37,GH37,GL37,GP37))&lt;=0.005,0,MAX(0,N(CHOOSE(GT37,FN37,FR37,FV37,FZ37,GD37,GH37,GL37,GP37))+N(CHOOSE(GT37,FO37,FS37,FW37,GA37,GE37,GI37,GM37,GQ37))-MIN(N(CHOOSE(GT37,'Debt List'!$F$5,'Debt List'!$F$6,'Debt List'!$F$7,'Debt List'!$F$8,'Debt List'!$F$9,'Debt List'!$F$10,'Debt List'!$F$11,'Debt List'!$F$12)),N(CHOOSE(GT37,FN37,FR37,FV37,FZ37,GD37,GH37,GL37,GP37))+N(CHOOSE(GT37,FO37,FS37,FW37,GA37,GE37,GI37,GM37,GQ37))))),0))</f>
        <v/>
      </c>
      <c r="GV37">
        <f>MIN(N(GU37),MAX(0,N(ExtraPayment)))</f>
        <v/>
      </c>
      <c r="GW37">
        <f>MAX(0,N(ExtraPayment)-N(GV37))</f>
        <v/>
      </c>
      <c r="GX37">
        <f>IFERROR(MATCH(2,OrderAval,0),"")</f>
        <v/>
      </c>
      <c r="GY37">
        <f>IF(GX37="",0,IFERROR(IF(N(CHOOSE(GX37,FN37,FR37,FV37,FZ37,GD37,GH37,GL37,GP37))&lt;=0.005,0,MAX(0,N(CHOOSE(GX37,FN37,FR37,FV37,FZ37,GD37,GH37,GL37,GP37))+N(CHOOSE(GX37,FO37,FS37,FW37,GA37,GE37,GI37,GM37,GQ37))-MIN(N(CHOOSE(GX37,'Debt List'!$F$5,'Debt List'!$F$6,'Debt List'!$F$7,'Debt List'!$F$8,'Debt List'!$F$9,'Debt List'!$F$10,'Debt List'!$F$11,'Debt List'!$F$12)),N(CHOOSE(GX37,FN37,FR37,FV37,FZ37,GD37,GH37,GL37,GP37))+N(CHOOSE(GX37,FO37,FS37,FW37,GA37,GE37,GI37,GM37,GQ37))))),0))</f>
        <v/>
      </c>
      <c r="GZ37">
        <f>MIN(N(GY37),MAX(0,N(GW37)))</f>
        <v/>
      </c>
      <c r="HA37">
        <f>MAX(0,N(GW37)-N(GZ37))</f>
        <v/>
      </c>
      <c r="HB37">
        <f>IFERROR(MATCH(3,OrderAval,0),"")</f>
        <v/>
      </c>
      <c r="HC37">
        <f>IF(HB37="",0,IFERROR(IF(N(CHOOSE(HB37,FN37,FR37,FV37,FZ37,GD37,GH37,GL37,GP37))&lt;=0.005,0,MAX(0,N(CHOOSE(HB37,FN37,FR37,FV37,FZ37,GD37,GH37,GL37,GP37))+N(CHOOSE(HB37,FO37,FS37,FW37,GA37,GE37,GI37,GM37,GQ37))-MIN(N(CHOOSE(HB37,'Debt List'!$F$5,'Debt List'!$F$6,'Debt List'!$F$7,'Debt List'!$F$8,'Debt List'!$F$9,'Debt List'!$F$10,'Debt List'!$F$11,'Debt List'!$F$12)),N(CHOOSE(HB37,FN37,FR37,FV37,FZ37,GD37,GH37,GL37,GP37))+N(CHOOSE(HB37,FO37,FS37,FW37,GA37,GE37,GI37,GM37,GQ37))))),0))</f>
        <v/>
      </c>
      <c r="HD37">
        <f>MIN(N(HC37),MAX(0,N(HA37)))</f>
        <v/>
      </c>
      <c r="HE37">
        <f>MAX(0,N(HA37)-N(HD37))</f>
        <v/>
      </c>
      <c r="HF37">
        <f>IFERROR(MATCH(4,OrderAval,0),"")</f>
        <v/>
      </c>
      <c r="HG37">
        <f>IF(HF37="",0,IFERROR(IF(N(CHOOSE(HF37,FN37,FR37,FV37,FZ37,GD37,GH37,GL37,GP37))&lt;=0.005,0,MAX(0,N(CHOOSE(HF37,FN37,FR37,FV37,FZ37,GD37,GH37,GL37,GP37))+N(CHOOSE(HF37,FO37,FS37,FW37,GA37,GE37,GI37,GM37,GQ37))-MIN(N(CHOOSE(HF37,'Debt List'!$F$5,'Debt List'!$F$6,'Debt List'!$F$7,'Debt List'!$F$8,'Debt List'!$F$9,'Debt List'!$F$10,'Debt List'!$F$11,'Debt List'!$F$12)),N(CHOOSE(HF37,FN37,FR37,FV37,FZ37,GD37,GH37,GL37,GP37))+N(CHOOSE(HF37,FO37,FS37,FW37,GA37,GE37,GI37,GM37,GQ37))))),0))</f>
        <v/>
      </c>
      <c r="HH37">
        <f>MIN(N(HG37),MAX(0,N(HE37)))</f>
        <v/>
      </c>
      <c r="HI37">
        <f>MAX(0,N(HE37)-N(HH37))</f>
        <v/>
      </c>
      <c r="HJ37">
        <f>IFERROR(MATCH(5,OrderAval,0),"")</f>
        <v/>
      </c>
      <c r="HK37">
        <f>IF(HJ37="",0,IFERROR(IF(N(CHOOSE(HJ37,FN37,FR37,FV37,FZ37,GD37,GH37,GL37,GP37))&lt;=0.005,0,MAX(0,N(CHOOSE(HJ37,FN37,FR37,FV37,FZ37,GD37,GH37,GL37,GP37))+N(CHOOSE(HJ37,FO37,FS37,FW37,GA37,GE37,GI37,GM37,GQ37))-MIN(N(CHOOSE(HJ37,'Debt List'!$F$5,'Debt List'!$F$6,'Debt List'!$F$7,'Debt List'!$F$8,'Debt List'!$F$9,'Debt List'!$F$10,'Debt List'!$F$11,'Debt List'!$F$12)),N(CHOOSE(HJ37,FN37,FR37,FV37,FZ37,GD37,GH37,GL37,GP37))+N(CHOOSE(HJ37,FO37,FS37,FW37,GA37,GE37,GI37,GM37,GQ37))))),0))</f>
        <v/>
      </c>
      <c r="HL37">
        <f>MIN(N(HK37),MAX(0,N(HI37)))</f>
        <v/>
      </c>
      <c r="HM37">
        <f>MAX(0,N(HI37)-N(HL37))</f>
        <v/>
      </c>
      <c r="HN37">
        <f>IFERROR(MATCH(6,OrderAval,0),"")</f>
        <v/>
      </c>
      <c r="HO37">
        <f>IF(HN37="",0,IFERROR(IF(N(CHOOSE(HN37,FN37,FR37,FV37,FZ37,GD37,GH37,GL37,GP37))&lt;=0.005,0,MAX(0,N(CHOOSE(HN37,FN37,FR37,FV37,FZ37,GD37,GH37,GL37,GP37))+N(CHOOSE(HN37,FO37,FS37,FW37,GA37,GE37,GI37,GM37,GQ37))-MIN(N(CHOOSE(HN37,'Debt List'!$F$5,'Debt List'!$F$6,'Debt List'!$F$7,'Debt List'!$F$8,'Debt List'!$F$9,'Debt List'!$F$10,'Debt List'!$F$11,'Debt List'!$F$12)),N(CHOOSE(HN37,FN37,FR37,FV37,FZ37,GD37,GH37,GL37,GP37))+N(CHOOSE(HN37,FO37,FS37,FW37,GA37,GE37,GI37,GM37,GQ37))))),0))</f>
        <v/>
      </c>
      <c r="HP37">
        <f>MIN(N(HO37),MAX(0,N(HM37)))</f>
        <v/>
      </c>
      <c r="HQ37">
        <f>MAX(0,N(HM37)-N(HP37))</f>
        <v/>
      </c>
      <c r="HR37">
        <f>IFERROR(MATCH(7,OrderAval,0),"")</f>
        <v/>
      </c>
      <c r="HS37">
        <f>IF(HR37="",0,IFERROR(IF(N(CHOOSE(HR37,FN37,FR37,FV37,FZ37,GD37,GH37,GL37,GP37))&lt;=0.005,0,MAX(0,N(CHOOSE(HR37,FN37,FR37,FV37,FZ37,GD37,GH37,GL37,GP37))+N(CHOOSE(HR37,FO37,FS37,FW37,GA37,GE37,GI37,GM37,GQ37))-MIN(N(CHOOSE(HR37,'Debt List'!$F$5,'Debt List'!$F$6,'Debt List'!$F$7,'Debt List'!$F$8,'Debt List'!$F$9,'Debt List'!$F$10,'Debt List'!$F$11,'Debt List'!$F$12)),N(CHOOSE(HR37,FN37,FR37,FV37,FZ37,GD37,GH37,GL37,GP37))+N(CHOOSE(HR37,FO37,FS37,FW37,GA37,GE37,GI37,GM37,GQ37))))),0))</f>
        <v/>
      </c>
      <c r="HT37">
        <f>MIN(N(HS37),MAX(0,N(HQ37)))</f>
        <v/>
      </c>
      <c r="HU37">
        <f>MAX(0,N(HQ37)-N(HT37))</f>
        <v/>
      </c>
      <c r="HV37">
        <f>IFERROR(MATCH(8,OrderAval,0),"")</f>
        <v/>
      </c>
      <c r="HW37">
        <f>IF(HV37="",0,IFERROR(IF(N(CHOOSE(HV37,FN37,FR37,FV37,FZ37,GD37,GH37,GL37,GP37))&lt;=0.005,0,MAX(0,N(CHOOSE(HV37,FN37,FR37,FV37,FZ37,GD37,GH37,GL37,GP37))+N(CHOOSE(HV37,FO37,FS37,FW37,GA37,GE37,GI37,GM37,GQ37))-MIN(N(CHOOSE(HV37,'Debt List'!$F$5,'Debt List'!$F$6,'Debt List'!$F$7,'Debt List'!$F$8,'Debt List'!$F$9,'Debt List'!$F$10,'Debt List'!$F$11,'Debt List'!$F$12)),N(CHOOSE(HV37,FN37,FR37,FV37,FZ37,GD37,GH37,GL37,GP37))+N(CHOOSE(HV37,FO37,FS37,FW37,GA37,GE37,GI37,GM37,GQ37))))),0))</f>
        <v/>
      </c>
      <c r="HX37">
        <f>MIN(N(HW37),MAX(0,N(HU37)))</f>
        <v/>
      </c>
      <c r="HY37">
        <f>MAX(0,N(HU37)-N(HX37))</f>
        <v/>
      </c>
    </row>
    <row r="38">
      <c r="A38" t="n">
        <v>34</v>
      </c>
      <c r="B38" s="115">
        <f>DATE(YEAR(PlanStart),MONTH(PlanStart)+A38-1,1)</f>
        <v/>
      </c>
      <c r="C38">
        <f>IF(AND(AP38&lt;&gt;"",N(CHOOSE(AP38,J38,N38,R38,V38,Z38,AD38,AH38,AL38))&gt;0.005),INDEX(DebtNames,AP38),IF(AND(AT38&lt;&gt;"",N(CHOOSE(AT38,J38,N38,R38,V38,Z38,AD38,AH38,AL38))&gt;0.005),INDEX(DebtNames,AT38),IF(AND(AX38&lt;&gt;"",N(CHOOSE(AX38,J38,N38,R38,V38,Z38,AD38,AH38,AL38))&gt;0.005),INDEX(DebtNames,AX38),IF(AND(BB38&lt;&gt;"",N(CHOOSE(BB38,J38,N38,R38,V38,Z38,AD38,AH38,AL38))&gt;0.005),INDEX(DebtNames,BB38),IF(AND(BF38&lt;&gt;"",N(CHOOSE(BF38,J38,N38,R38,V38,Z38,AD38,AH38,AL38))&gt;0.005),INDEX(DebtNames,BF38),IF(AND(BJ38&lt;&gt;"",N(CHOOSE(BJ38,J38,N38,R38,V38,Z38,AD38,AH38,AL38))&gt;0.005),INDEX(DebtNames,BJ38),IF(AND(BN38&lt;&gt;"",N(CHOOSE(BN38,J38,N38,R38,V38,Z38,AD38,AH38,AL38))&gt;0.005),INDEX(DebtNames,BN38),IF(AND(BR38&lt;&gt;"",N(CHOOSE(BR38,J38,N38,R38,V38,Z38,AD38,AH38,AL38))&gt;0.005),INDEX(DebtNames,BR38),""))))))))</f>
        <v/>
      </c>
      <c r="D38">
        <f>N(BU38)</f>
        <v/>
      </c>
      <c r="E38">
        <f>N(L38)+N(P38)+N(T38)+N(X38)+N(AB38)+N(AF38)+N(AJ38)+N(AN38)</f>
        <v/>
      </c>
      <c r="F38">
        <f>N(K38)+N(O38)+N(S38)+N(W38)+N(AA38)+N(AE38)+N(AI38)+N(AM38)</f>
        <v/>
      </c>
      <c r="G38">
        <f>N(G37)+N(F38)</f>
        <v/>
      </c>
      <c r="H38">
        <f>N(M38)+N(Q38)+N(U38)+N(Y38)+N(AC38)+N(AG38)+N(AK38)+N(AO38)</f>
        <v/>
      </c>
      <c r="I38">
        <f>(M38&gt;0.005)*1+(Q38&gt;0.005)*1+(U38&gt;0.005)*1+(Y38&gt;0.005)*1+(AC38&gt;0.005)*1+(AG38&gt;0.005)*1+(AK38&gt;0.005)*1+(AO38&gt;0.005)*1</f>
        <v/>
      </c>
      <c r="J38">
        <f>N(M37)</f>
        <v/>
      </c>
      <c r="K38">
        <f>IF(N(J38)&lt;=0.005,0,ROUND(N(J38)*N('Debt List'!E5)/12,2))</f>
        <v/>
      </c>
      <c r="L38">
        <f>IF(N(J38)&lt;=0.005,0,MIN(N('Debt List'!F5),N(J38)+N(K38)))+((AP38=1)*AR38+(AT38=1)*AV38+(AX38=1)*AZ38+(BB38=1)*BD38+(BF38=1)*BH38+(BJ38=1)*BL38+(BN38=1)*BP38+(BR38=1)*BT38)</f>
        <v/>
      </c>
      <c r="M38">
        <f>MAX(0,ROUND(N(J38)+N(K38)-N(L38),2))</f>
        <v/>
      </c>
      <c r="N38">
        <f>N(Q37)</f>
        <v/>
      </c>
      <c r="O38">
        <f>IF(N(N38)&lt;=0.005,0,ROUND(N(N38)*N('Debt List'!E6)/12,2))</f>
        <v/>
      </c>
      <c r="P38">
        <f>IF(N(N38)&lt;=0.005,0,MIN(N('Debt List'!F6),N(N38)+N(O38)))+((AP38=2)*AR38+(AT38=2)*AV38+(AX38=2)*AZ38+(BB38=2)*BD38+(BF38=2)*BH38+(BJ38=2)*BL38+(BN38=2)*BP38+(BR38=2)*BT38)</f>
        <v/>
      </c>
      <c r="Q38">
        <f>MAX(0,ROUND(N(N38)+N(O38)-N(P38),2))</f>
        <v/>
      </c>
      <c r="R38">
        <f>N(U37)</f>
        <v/>
      </c>
      <c r="S38">
        <f>IF(N(R38)&lt;=0.005,0,ROUND(N(R38)*N('Debt List'!E7)/12,2))</f>
        <v/>
      </c>
      <c r="T38">
        <f>IF(N(R38)&lt;=0.005,0,MIN(N('Debt List'!F7),N(R38)+N(S38)))+((AP38=3)*AR38+(AT38=3)*AV38+(AX38=3)*AZ38+(BB38=3)*BD38+(BF38=3)*BH38+(BJ38=3)*BL38+(BN38=3)*BP38+(BR38=3)*BT38)</f>
        <v/>
      </c>
      <c r="U38">
        <f>MAX(0,ROUND(N(R38)+N(S38)-N(T38),2))</f>
        <v/>
      </c>
      <c r="V38">
        <f>N(Y37)</f>
        <v/>
      </c>
      <c r="W38">
        <f>IF(N(V38)&lt;=0.005,0,ROUND(N(V38)*N('Debt List'!E8)/12,2))</f>
        <v/>
      </c>
      <c r="X38">
        <f>IF(N(V38)&lt;=0.005,0,MIN(N('Debt List'!F8),N(V38)+N(W38)))+((AP38=4)*AR38+(AT38=4)*AV38+(AX38=4)*AZ38+(BB38=4)*BD38+(BF38=4)*BH38+(BJ38=4)*BL38+(BN38=4)*BP38+(BR38=4)*BT38)</f>
        <v/>
      </c>
      <c r="Y38">
        <f>MAX(0,ROUND(N(V38)+N(W38)-N(X38),2))</f>
        <v/>
      </c>
      <c r="Z38">
        <f>N(AC37)</f>
        <v/>
      </c>
      <c r="AA38">
        <f>IF(N(Z38)&lt;=0.005,0,ROUND(N(Z38)*N('Debt List'!E9)/12,2))</f>
        <v/>
      </c>
      <c r="AB38">
        <f>IF(N(Z38)&lt;=0.005,0,MIN(N('Debt List'!F9),N(Z38)+N(AA38)))+((AP38=5)*AR38+(AT38=5)*AV38+(AX38=5)*AZ38+(BB38=5)*BD38+(BF38=5)*BH38+(BJ38=5)*BL38+(BN38=5)*BP38+(BR38=5)*BT38)</f>
        <v/>
      </c>
      <c r="AC38">
        <f>MAX(0,ROUND(N(Z38)+N(AA38)-N(AB38),2))</f>
        <v/>
      </c>
      <c r="AD38">
        <f>N(AG37)</f>
        <v/>
      </c>
      <c r="AE38">
        <f>IF(N(AD38)&lt;=0.005,0,ROUND(N(AD38)*N('Debt List'!E10)/12,2))</f>
        <v/>
      </c>
      <c r="AF38">
        <f>IF(N(AD38)&lt;=0.005,0,MIN(N('Debt List'!F10),N(AD38)+N(AE38)))+((AP38=6)*AR38+(AT38=6)*AV38+(AX38=6)*AZ38+(BB38=6)*BD38+(BF38=6)*BH38+(BJ38=6)*BL38+(BN38=6)*BP38+(BR38=6)*BT38)</f>
        <v/>
      </c>
      <c r="AG38">
        <f>MAX(0,ROUND(N(AD38)+N(AE38)-N(AF38),2))</f>
        <v/>
      </c>
      <c r="AH38">
        <f>N(AK37)</f>
        <v/>
      </c>
      <c r="AI38">
        <f>IF(N(AH38)&lt;=0.005,0,ROUND(N(AH38)*N('Debt List'!E11)/12,2))</f>
        <v/>
      </c>
      <c r="AJ38">
        <f>IF(N(AH38)&lt;=0.005,0,MIN(N('Debt List'!F11),N(AH38)+N(AI38)))+((AP38=7)*AR38+(AT38=7)*AV38+(AX38=7)*AZ38+(BB38=7)*BD38+(BF38=7)*BH38+(BJ38=7)*BL38+(BN38=7)*BP38+(BR38=7)*BT38)</f>
        <v/>
      </c>
      <c r="AK38">
        <f>MAX(0,ROUND(N(AH38)+N(AI38)-N(AJ38),2))</f>
        <v/>
      </c>
      <c r="AL38">
        <f>N(AO37)</f>
        <v/>
      </c>
      <c r="AM38">
        <f>IF(N(AL38)&lt;=0.005,0,ROUND(N(AL38)*N('Debt List'!E12)/12,2))</f>
        <v/>
      </c>
      <c r="AN38">
        <f>IF(N(AL38)&lt;=0.005,0,MIN(N('Debt List'!F12),N(AL38)+N(AM38)))+((AP38=8)*AR38+(AT38=8)*AV38+(AX38=8)*AZ38+(BB38=8)*BD38+(BF38=8)*BH38+(BJ38=8)*BL38+(BN38=8)*BP38+(BR38=8)*BT38)</f>
        <v/>
      </c>
      <c r="AO38">
        <f>MAX(0,ROUND(N(AL38)+N(AM38)-N(AN38),2))</f>
        <v/>
      </c>
      <c r="AP38">
        <f>IFERROR(MATCH(1,OrderPlan,0),"")</f>
        <v/>
      </c>
      <c r="AQ38">
        <f>IF(AP38="",0,IFERROR(IF(N(CHOOSE(AP38,J38,N38,R38,V38,Z38,AD38,AH38,AL38))&lt;=0.005,0,MAX(0,N(CHOOSE(AP38,J38,N38,R38,V38,Z38,AD38,AH38,AL38))+N(CHOOSE(AP38,K38,O38,S38,W38,AA38,AE38,AI38,AM38))-MIN(N(CHOOSE(AP38,'Debt List'!$F$5,'Debt List'!$F$6,'Debt List'!$F$7,'Debt List'!$F$8,'Debt List'!$F$9,'Debt List'!$F$10,'Debt List'!$F$11,'Debt List'!$F$12)),N(CHOOSE(AP38,J38,N38,R38,V38,Z38,AD38,AH38,AL38))+N(CHOOSE(AP38,K38,O38,S38,W38,AA38,AE38,AI38,AM38))))),0))</f>
        <v/>
      </c>
      <c r="AR38">
        <f>MIN(N(AQ38),MAX(0,N(ExtraPayment)))</f>
        <v/>
      </c>
      <c r="AS38">
        <f>MAX(0,N(ExtraPayment)-N(AR38))</f>
        <v/>
      </c>
      <c r="AT38">
        <f>IFERROR(MATCH(2,OrderPlan,0),"")</f>
        <v/>
      </c>
      <c r="AU38">
        <f>IF(AT38="",0,IFERROR(IF(N(CHOOSE(AT38,J38,N38,R38,V38,Z38,AD38,AH38,AL38))&lt;=0.005,0,MAX(0,N(CHOOSE(AT38,J38,N38,R38,V38,Z38,AD38,AH38,AL38))+N(CHOOSE(AT38,K38,O38,S38,W38,AA38,AE38,AI38,AM38))-MIN(N(CHOOSE(AT38,'Debt List'!$F$5,'Debt List'!$F$6,'Debt List'!$F$7,'Debt List'!$F$8,'Debt List'!$F$9,'Debt List'!$F$10,'Debt List'!$F$11,'Debt List'!$F$12)),N(CHOOSE(AT38,J38,N38,R38,V38,Z38,AD38,AH38,AL38))+N(CHOOSE(AT38,K38,O38,S38,W38,AA38,AE38,AI38,AM38))))),0))</f>
        <v/>
      </c>
      <c r="AV38">
        <f>MIN(N(AU38),MAX(0,N(AS38)))</f>
        <v/>
      </c>
      <c r="AW38">
        <f>MAX(0,N(AS38)-N(AV38))</f>
        <v/>
      </c>
      <c r="AX38">
        <f>IFERROR(MATCH(3,OrderPlan,0),"")</f>
        <v/>
      </c>
      <c r="AY38">
        <f>IF(AX38="",0,IFERROR(IF(N(CHOOSE(AX38,J38,N38,R38,V38,Z38,AD38,AH38,AL38))&lt;=0.005,0,MAX(0,N(CHOOSE(AX38,J38,N38,R38,V38,Z38,AD38,AH38,AL38))+N(CHOOSE(AX38,K38,O38,S38,W38,AA38,AE38,AI38,AM38))-MIN(N(CHOOSE(AX38,'Debt List'!$F$5,'Debt List'!$F$6,'Debt List'!$F$7,'Debt List'!$F$8,'Debt List'!$F$9,'Debt List'!$F$10,'Debt List'!$F$11,'Debt List'!$F$12)),N(CHOOSE(AX38,J38,N38,R38,V38,Z38,AD38,AH38,AL38))+N(CHOOSE(AX38,K38,O38,S38,W38,AA38,AE38,AI38,AM38))))),0))</f>
        <v/>
      </c>
      <c r="AZ38">
        <f>MIN(N(AY38),MAX(0,N(AW38)))</f>
        <v/>
      </c>
      <c r="BA38">
        <f>MAX(0,N(AW38)-N(AZ38))</f>
        <v/>
      </c>
      <c r="BB38">
        <f>IFERROR(MATCH(4,OrderPlan,0),"")</f>
        <v/>
      </c>
      <c r="BC38">
        <f>IF(BB38="",0,IFERROR(IF(N(CHOOSE(BB38,J38,N38,R38,V38,Z38,AD38,AH38,AL38))&lt;=0.005,0,MAX(0,N(CHOOSE(BB38,J38,N38,R38,V38,Z38,AD38,AH38,AL38))+N(CHOOSE(BB38,K38,O38,S38,W38,AA38,AE38,AI38,AM38))-MIN(N(CHOOSE(BB38,'Debt List'!$F$5,'Debt List'!$F$6,'Debt List'!$F$7,'Debt List'!$F$8,'Debt List'!$F$9,'Debt List'!$F$10,'Debt List'!$F$11,'Debt List'!$F$12)),N(CHOOSE(BB38,J38,N38,R38,V38,Z38,AD38,AH38,AL38))+N(CHOOSE(BB38,K38,O38,S38,W38,AA38,AE38,AI38,AM38))))),0))</f>
        <v/>
      </c>
      <c r="BD38">
        <f>MIN(N(BC38),MAX(0,N(BA38)))</f>
        <v/>
      </c>
      <c r="BE38">
        <f>MAX(0,N(BA38)-N(BD38))</f>
        <v/>
      </c>
      <c r="BF38">
        <f>IFERROR(MATCH(5,OrderPlan,0),"")</f>
        <v/>
      </c>
      <c r="BG38">
        <f>IF(BF38="",0,IFERROR(IF(N(CHOOSE(BF38,J38,N38,R38,V38,Z38,AD38,AH38,AL38))&lt;=0.005,0,MAX(0,N(CHOOSE(BF38,J38,N38,R38,V38,Z38,AD38,AH38,AL38))+N(CHOOSE(BF38,K38,O38,S38,W38,AA38,AE38,AI38,AM38))-MIN(N(CHOOSE(BF38,'Debt List'!$F$5,'Debt List'!$F$6,'Debt List'!$F$7,'Debt List'!$F$8,'Debt List'!$F$9,'Debt List'!$F$10,'Debt List'!$F$11,'Debt List'!$F$12)),N(CHOOSE(BF38,J38,N38,R38,V38,Z38,AD38,AH38,AL38))+N(CHOOSE(BF38,K38,O38,S38,W38,AA38,AE38,AI38,AM38))))),0))</f>
        <v/>
      </c>
      <c r="BH38">
        <f>MIN(N(BG38),MAX(0,N(BE38)))</f>
        <v/>
      </c>
      <c r="BI38">
        <f>MAX(0,N(BE38)-N(BH38))</f>
        <v/>
      </c>
      <c r="BJ38">
        <f>IFERROR(MATCH(6,OrderPlan,0),"")</f>
        <v/>
      </c>
      <c r="BK38">
        <f>IF(BJ38="",0,IFERROR(IF(N(CHOOSE(BJ38,J38,N38,R38,V38,Z38,AD38,AH38,AL38))&lt;=0.005,0,MAX(0,N(CHOOSE(BJ38,J38,N38,R38,V38,Z38,AD38,AH38,AL38))+N(CHOOSE(BJ38,K38,O38,S38,W38,AA38,AE38,AI38,AM38))-MIN(N(CHOOSE(BJ38,'Debt List'!$F$5,'Debt List'!$F$6,'Debt List'!$F$7,'Debt List'!$F$8,'Debt List'!$F$9,'Debt List'!$F$10,'Debt List'!$F$11,'Debt List'!$F$12)),N(CHOOSE(BJ38,J38,N38,R38,V38,Z38,AD38,AH38,AL38))+N(CHOOSE(BJ38,K38,O38,S38,W38,AA38,AE38,AI38,AM38))))),0))</f>
        <v/>
      </c>
      <c r="BL38">
        <f>MIN(N(BK38),MAX(0,N(BI38)))</f>
        <v/>
      </c>
      <c r="BM38">
        <f>MAX(0,N(BI38)-N(BL38))</f>
        <v/>
      </c>
      <c r="BN38">
        <f>IFERROR(MATCH(7,OrderPlan,0),"")</f>
        <v/>
      </c>
      <c r="BO38">
        <f>IF(BN38="",0,IFERROR(IF(N(CHOOSE(BN38,J38,N38,R38,V38,Z38,AD38,AH38,AL38))&lt;=0.005,0,MAX(0,N(CHOOSE(BN38,J38,N38,R38,V38,Z38,AD38,AH38,AL38))+N(CHOOSE(BN38,K38,O38,S38,W38,AA38,AE38,AI38,AM38))-MIN(N(CHOOSE(BN38,'Debt List'!$F$5,'Debt List'!$F$6,'Debt List'!$F$7,'Debt List'!$F$8,'Debt List'!$F$9,'Debt List'!$F$10,'Debt List'!$F$11,'Debt List'!$F$12)),N(CHOOSE(BN38,J38,N38,R38,V38,Z38,AD38,AH38,AL38))+N(CHOOSE(BN38,K38,O38,S38,W38,AA38,AE38,AI38,AM38))))),0))</f>
        <v/>
      </c>
      <c r="BP38">
        <f>MIN(N(BO38),MAX(0,N(BM38)))</f>
        <v/>
      </c>
      <c r="BQ38">
        <f>MAX(0,N(BM38)-N(BP38))</f>
        <v/>
      </c>
      <c r="BR38">
        <f>IFERROR(MATCH(8,OrderPlan,0),"")</f>
        <v/>
      </c>
      <c r="BS38">
        <f>IF(BR38="",0,IFERROR(IF(N(CHOOSE(BR38,J38,N38,R38,V38,Z38,AD38,AH38,AL38))&lt;=0.005,0,MAX(0,N(CHOOSE(BR38,J38,N38,R38,V38,Z38,AD38,AH38,AL38))+N(CHOOSE(BR38,K38,O38,S38,W38,AA38,AE38,AI38,AM38))-MIN(N(CHOOSE(BR38,'Debt List'!$F$5,'Debt List'!$F$6,'Debt List'!$F$7,'Debt List'!$F$8,'Debt List'!$F$9,'Debt List'!$F$10,'Debt List'!$F$11,'Debt List'!$F$12)),N(CHOOSE(BR38,J38,N38,R38,V38,Z38,AD38,AH38,AL38))+N(CHOOSE(BR38,K38,O38,S38,W38,AA38,AE38,AI38,AM38))))),0))</f>
        <v/>
      </c>
      <c r="BT38">
        <f>MIN(N(BS38),MAX(0,N(BQ38)))</f>
        <v/>
      </c>
      <c r="BU38">
        <f>MAX(0,N(BQ38)-N(BT38))</f>
        <v/>
      </c>
      <c r="CC38" t="n">
        <v>34</v>
      </c>
      <c r="CD38" s="115">
        <f>DATE(YEAR(PlanStart),MONTH(PlanStart)+CC38-1,1)</f>
        <v/>
      </c>
      <c r="CE38">
        <f>IF(AND(DR38&lt;&gt;"",N(CHOOSE(DR38,CL38,CP38,CT38,CX38,DB38,DF38,DJ38,DN38))&gt;0.005),INDEX(DebtNames,DR38),IF(AND(DV38&lt;&gt;"",N(CHOOSE(DV38,CL38,CP38,CT38,CX38,DB38,DF38,DJ38,DN38))&gt;0.005),INDEX(DebtNames,DV38),IF(AND(DZ38&lt;&gt;"",N(CHOOSE(DZ38,CL38,CP38,CT38,CX38,DB38,DF38,DJ38,DN38))&gt;0.005),INDEX(DebtNames,DZ38),IF(AND(ED38&lt;&gt;"",N(CHOOSE(ED38,CL38,CP38,CT38,CX38,DB38,DF38,DJ38,DN38))&gt;0.005),INDEX(DebtNames,ED38),IF(AND(EH38&lt;&gt;"",N(CHOOSE(EH38,CL38,CP38,CT38,CX38,DB38,DF38,DJ38,DN38))&gt;0.005),INDEX(DebtNames,EH38),IF(AND(EL38&lt;&gt;"",N(CHOOSE(EL38,CL38,CP38,CT38,CX38,DB38,DF38,DJ38,DN38))&gt;0.005),INDEX(DebtNames,EL38),IF(AND(EP38&lt;&gt;"",N(CHOOSE(EP38,CL38,CP38,CT38,CX38,DB38,DF38,DJ38,DN38))&gt;0.005),INDEX(DebtNames,EP38),IF(AND(ET38&lt;&gt;"",N(CHOOSE(ET38,CL38,CP38,CT38,CX38,DB38,DF38,DJ38,DN38))&gt;0.005),INDEX(DebtNames,ET38),""))))))))</f>
        <v/>
      </c>
      <c r="CF38">
        <f>N(EW38)</f>
        <v/>
      </c>
      <c r="CG38">
        <f>N(CN38)+N(CR38)+N(CV38)+N(CZ38)+N(DD38)+N(DH38)+N(DL38)+N(DP38)</f>
        <v/>
      </c>
      <c r="CH38">
        <f>N(CM38)+N(CQ38)+N(CU38)+N(CY38)+N(DC38)+N(DG38)+N(DK38)+N(DO38)</f>
        <v/>
      </c>
      <c r="CI38">
        <f>N(CI37)+N(CH38)</f>
        <v/>
      </c>
      <c r="CJ38">
        <f>N(CO38)+N(CS38)+N(CW38)+N(DA38)+N(DE38)+N(DI38)+N(DM38)+N(DQ38)</f>
        <v/>
      </c>
      <c r="CK38">
        <f>(CO38&gt;0.005)*1+(CS38&gt;0.005)*1+(CW38&gt;0.005)*1+(DA38&gt;0.005)*1+(DE38&gt;0.005)*1+(DI38&gt;0.005)*1+(DM38&gt;0.005)*1+(DQ38&gt;0.005)*1</f>
        <v/>
      </c>
      <c r="CL38">
        <f>N(CO37)</f>
        <v/>
      </c>
      <c r="CM38">
        <f>IF(N(CL38)&lt;=0.005,0,ROUND(N(CL38)*N('Debt List'!E5)/12,2))</f>
        <v/>
      </c>
      <c r="CN38">
        <f>IF(N(CL38)&lt;=0.005,0,MIN(N('Debt List'!F5),N(CL38)+N(CM38)))+((DR38=1)*DT38+(DV38=1)*DX38+(DZ38=1)*EB38+(ED38=1)*EF38+(EH38=1)*EJ38+(EL38=1)*EN38+(EP38=1)*ER38+(ET38=1)*EV38)</f>
        <v/>
      </c>
      <c r="CO38">
        <f>MAX(0,ROUND(N(CL38)+N(CM38)-N(CN38),2))</f>
        <v/>
      </c>
      <c r="CP38">
        <f>N(CS37)</f>
        <v/>
      </c>
      <c r="CQ38">
        <f>IF(N(CP38)&lt;=0.005,0,ROUND(N(CP38)*N('Debt List'!E6)/12,2))</f>
        <v/>
      </c>
      <c r="CR38">
        <f>IF(N(CP38)&lt;=0.005,0,MIN(N('Debt List'!F6),N(CP38)+N(CQ38)))+((DR38=2)*DT38+(DV38=2)*DX38+(DZ38=2)*EB38+(ED38=2)*EF38+(EH38=2)*EJ38+(EL38=2)*EN38+(EP38=2)*ER38+(ET38=2)*EV38)</f>
        <v/>
      </c>
      <c r="CS38">
        <f>MAX(0,ROUND(N(CP38)+N(CQ38)-N(CR38),2))</f>
        <v/>
      </c>
      <c r="CT38">
        <f>N(CW37)</f>
        <v/>
      </c>
      <c r="CU38">
        <f>IF(N(CT38)&lt;=0.005,0,ROUND(N(CT38)*N('Debt List'!E7)/12,2))</f>
        <v/>
      </c>
      <c r="CV38">
        <f>IF(N(CT38)&lt;=0.005,0,MIN(N('Debt List'!F7),N(CT38)+N(CU38)))+((DR38=3)*DT38+(DV38=3)*DX38+(DZ38=3)*EB38+(ED38=3)*EF38+(EH38=3)*EJ38+(EL38=3)*EN38+(EP38=3)*ER38+(ET38=3)*EV38)</f>
        <v/>
      </c>
      <c r="CW38">
        <f>MAX(0,ROUND(N(CT38)+N(CU38)-N(CV38),2))</f>
        <v/>
      </c>
      <c r="CX38">
        <f>N(DA37)</f>
        <v/>
      </c>
      <c r="CY38">
        <f>IF(N(CX38)&lt;=0.005,0,ROUND(N(CX38)*N('Debt List'!E8)/12,2))</f>
        <v/>
      </c>
      <c r="CZ38">
        <f>IF(N(CX38)&lt;=0.005,0,MIN(N('Debt List'!F8),N(CX38)+N(CY38)))+((DR38=4)*DT38+(DV38=4)*DX38+(DZ38=4)*EB38+(ED38=4)*EF38+(EH38=4)*EJ38+(EL38=4)*EN38+(EP38=4)*ER38+(ET38=4)*EV38)</f>
        <v/>
      </c>
      <c r="DA38">
        <f>MAX(0,ROUND(N(CX38)+N(CY38)-N(CZ38),2))</f>
        <v/>
      </c>
      <c r="DB38">
        <f>N(DE37)</f>
        <v/>
      </c>
      <c r="DC38">
        <f>IF(N(DB38)&lt;=0.005,0,ROUND(N(DB38)*N('Debt List'!E9)/12,2))</f>
        <v/>
      </c>
      <c r="DD38">
        <f>IF(N(DB38)&lt;=0.005,0,MIN(N('Debt List'!F9),N(DB38)+N(DC38)))+((DR38=5)*DT38+(DV38=5)*DX38+(DZ38=5)*EB38+(ED38=5)*EF38+(EH38=5)*EJ38+(EL38=5)*EN38+(EP38=5)*ER38+(ET38=5)*EV38)</f>
        <v/>
      </c>
      <c r="DE38">
        <f>MAX(0,ROUND(N(DB38)+N(DC38)-N(DD38),2))</f>
        <v/>
      </c>
      <c r="DF38">
        <f>N(DI37)</f>
        <v/>
      </c>
      <c r="DG38">
        <f>IF(N(DF38)&lt;=0.005,0,ROUND(N(DF38)*N('Debt List'!E10)/12,2))</f>
        <v/>
      </c>
      <c r="DH38">
        <f>IF(N(DF38)&lt;=0.005,0,MIN(N('Debt List'!F10),N(DF38)+N(DG38)))+((DR38=6)*DT38+(DV38=6)*DX38+(DZ38=6)*EB38+(ED38=6)*EF38+(EH38=6)*EJ38+(EL38=6)*EN38+(EP38=6)*ER38+(ET38=6)*EV38)</f>
        <v/>
      </c>
      <c r="DI38">
        <f>MAX(0,ROUND(N(DF38)+N(DG38)-N(DH38),2))</f>
        <v/>
      </c>
      <c r="DJ38">
        <f>N(DM37)</f>
        <v/>
      </c>
      <c r="DK38">
        <f>IF(N(DJ38)&lt;=0.005,0,ROUND(N(DJ38)*N('Debt List'!E11)/12,2))</f>
        <v/>
      </c>
      <c r="DL38">
        <f>IF(N(DJ38)&lt;=0.005,0,MIN(N('Debt List'!F11),N(DJ38)+N(DK38)))+((DR38=7)*DT38+(DV38=7)*DX38+(DZ38=7)*EB38+(ED38=7)*EF38+(EH38=7)*EJ38+(EL38=7)*EN38+(EP38=7)*ER38+(ET38=7)*EV38)</f>
        <v/>
      </c>
      <c r="DM38">
        <f>MAX(0,ROUND(N(DJ38)+N(DK38)-N(DL38),2))</f>
        <v/>
      </c>
      <c r="DN38">
        <f>N(DQ37)</f>
        <v/>
      </c>
      <c r="DO38">
        <f>IF(N(DN38)&lt;=0.005,0,ROUND(N(DN38)*N('Debt List'!E12)/12,2))</f>
        <v/>
      </c>
      <c r="DP38">
        <f>IF(N(DN38)&lt;=0.005,0,MIN(N('Debt List'!F12),N(DN38)+N(DO38)))+((DR38=8)*DT38+(DV38=8)*DX38+(DZ38=8)*EB38+(ED38=8)*EF38+(EH38=8)*EJ38+(EL38=8)*EN38+(EP38=8)*ER38+(ET38=8)*EV38)</f>
        <v/>
      </c>
      <c r="DQ38">
        <f>MAX(0,ROUND(N(DN38)+N(DO38)-N(DP38),2))</f>
        <v/>
      </c>
      <c r="DR38">
        <f>IFERROR(MATCH(1,OrderSnow,0),"")</f>
        <v/>
      </c>
      <c r="DS38">
        <f>IF(DR38="",0,IFERROR(IF(N(CHOOSE(DR38,CL38,CP38,CT38,CX38,DB38,DF38,DJ38,DN38))&lt;=0.005,0,MAX(0,N(CHOOSE(DR38,CL38,CP38,CT38,CX38,DB38,DF38,DJ38,DN38))+N(CHOOSE(DR38,CM38,CQ38,CU38,CY38,DC38,DG38,DK38,DO38))-MIN(N(CHOOSE(DR38,'Debt List'!$F$5,'Debt List'!$F$6,'Debt List'!$F$7,'Debt List'!$F$8,'Debt List'!$F$9,'Debt List'!$F$10,'Debt List'!$F$11,'Debt List'!$F$12)),N(CHOOSE(DR38,CL38,CP38,CT38,CX38,DB38,DF38,DJ38,DN38))+N(CHOOSE(DR38,CM38,CQ38,CU38,CY38,DC38,DG38,DK38,DO38))))),0))</f>
        <v/>
      </c>
      <c r="DT38">
        <f>MIN(N(DS38),MAX(0,N(ExtraPayment)))</f>
        <v/>
      </c>
      <c r="DU38">
        <f>MAX(0,N(ExtraPayment)-N(DT38))</f>
        <v/>
      </c>
      <c r="DV38">
        <f>IFERROR(MATCH(2,OrderSnow,0),"")</f>
        <v/>
      </c>
      <c r="DW38">
        <f>IF(DV38="",0,IFERROR(IF(N(CHOOSE(DV38,CL38,CP38,CT38,CX38,DB38,DF38,DJ38,DN38))&lt;=0.005,0,MAX(0,N(CHOOSE(DV38,CL38,CP38,CT38,CX38,DB38,DF38,DJ38,DN38))+N(CHOOSE(DV38,CM38,CQ38,CU38,CY38,DC38,DG38,DK38,DO38))-MIN(N(CHOOSE(DV38,'Debt List'!$F$5,'Debt List'!$F$6,'Debt List'!$F$7,'Debt List'!$F$8,'Debt List'!$F$9,'Debt List'!$F$10,'Debt List'!$F$11,'Debt List'!$F$12)),N(CHOOSE(DV38,CL38,CP38,CT38,CX38,DB38,DF38,DJ38,DN38))+N(CHOOSE(DV38,CM38,CQ38,CU38,CY38,DC38,DG38,DK38,DO38))))),0))</f>
        <v/>
      </c>
      <c r="DX38">
        <f>MIN(N(DW38),MAX(0,N(DU38)))</f>
        <v/>
      </c>
      <c r="DY38">
        <f>MAX(0,N(DU38)-N(DX38))</f>
        <v/>
      </c>
      <c r="DZ38">
        <f>IFERROR(MATCH(3,OrderSnow,0),"")</f>
        <v/>
      </c>
      <c r="EA38">
        <f>IF(DZ38="",0,IFERROR(IF(N(CHOOSE(DZ38,CL38,CP38,CT38,CX38,DB38,DF38,DJ38,DN38))&lt;=0.005,0,MAX(0,N(CHOOSE(DZ38,CL38,CP38,CT38,CX38,DB38,DF38,DJ38,DN38))+N(CHOOSE(DZ38,CM38,CQ38,CU38,CY38,DC38,DG38,DK38,DO38))-MIN(N(CHOOSE(DZ38,'Debt List'!$F$5,'Debt List'!$F$6,'Debt List'!$F$7,'Debt List'!$F$8,'Debt List'!$F$9,'Debt List'!$F$10,'Debt List'!$F$11,'Debt List'!$F$12)),N(CHOOSE(DZ38,CL38,CP38,CT38,CX38,DB38,DF38,DJ38,DN38))+N(CHOOSE(DZ38,CM38,CQ38,CU38,CY38,DC38,DG38,DK38,DO38))))),0))</f>
        <v/>
      </c>
      <c r="EB38">
        <f>MIN(N(EA38),MAX(0,N(DY38)))</f>
        <v/>
      </c>
      <c r="EC38">
        <f>MAX(0,N(DY38)-N(EB38))</f>
        <v/>
      </c>
      <c r="ED38">
        <f>IFERROR(MATCH(4,OrderSnow,0),"")</f>
        <v/>
      </c>
      <c r="EE38">
        <f>IF(ED38="",0,IFERROR(IF(N(CHOOSE(ED38,CL38,CP38,CT38,CX38,DB38,DF38,DJ38,DN38))&lt;=0.005,0,MAX(0,N(CHOOSE(ED38,CL38,CP38,CT38,CX38,DB38,DF38,DJ38,DN38))+N(CHOOSE(ED38,CM38,CQ38,CU38,CY38,DC38,DG38,DK38,DO38))-MIN(N(CHOOSE(ED38,'Debt List'!$F$5,'Debt List'!$F$6,'Debt List'!$F$7,'Debt List'!$F$8,'Debt List'!$F$9,'Debt List'!$F$10,'Debt List'!$F$11,'Debt List'!$F$12)),N(CHOOSE(ED38,CL38,CP38,CT38,CX38,DB38,DF38,DJ38,DN38))+N(CHOOSE(ED38,CM38,CQ38,CU38,CY38,DC38,DG38,DK38,DO38))))),0))</f>
        <v/>
      </c>
      <c r="EF38">
        <f>MIN(N(EE38),MAX(0,N(EC38)))</f>
        <v/>
      </c>
      <c r="EG38">
        <f>MAX(0,N(EC38)-N(EF38))</f>
        <v/>
      </c>
      <c r="EH38">
        <f>IFERROR(MATCH(5,OrderSnow,0),"")</f>
        <v/>
      </c>
      <c r="EI38">
        <f>IF(EH38="",0,IFERROR(IF(N(CHOOSE(EH38,CL38,CP38,CT38,CX38,DB38,DF38,DJ38,DN38))&lt;=0.005,0,MAX(0,N(CHOOSE(EH38,CL38,CP38,CT38,CX38,DB38,DF38,DJ38,DN38))+N(CHOOSE(EH38,CM38,CQ38,CU38,CY38,DC38,DG38,DK38,DO38))-MIN(N(CHOOSE(EH38,'Debt List'!$F$5,'Debt List'!$F$6,'Debt List'!$F$7,'Debt List'!$F$8,'Debt List'!$F$9,'Debt List'!$F$10,'Debt List'!$F$11,'Debt List'!$F$12)),N(CHOOSE(EH38,CL38,CP38,CT38,CX38,DB38,DF38,DJ38,DN38))+N(CHOOSE(EH38,CM38,CQ38,CU38,CY38,DC38,DG38,DK38,DO38))))),0))</f>
        <v/>
      </c>
      <c r="EJ38">
        <f>MIN(N(EI38),MAX(0,N(EG38)))</f>
        <v/>
      </c>
      <c r="EK38">
        <f>MAX(0,N(EG38)-N(EJ38))</f>
        <v/>
      </c>
      <c r="EL38">
        <f>IFERROR(MATCH(6,OrderSnow,0),"")</f>
        <v/>
      </c>
      <c r="EM38">
        <f>IF(EL38="",0,IFERROR(IF(N(CHOOSE(EL38,CL38,CP38,CT38,CX38,DB38,DF38,DJ38,DN38))&lt;=0.005,0,MAX(0,N(CHOOSE(EL38,CL38,CP38,CT38,CX38,DB38,DF38,DJ38,DN38))+N(CHOOSE(EL38,CM38,CQ38,CU38,CY38,DC38,DG38,DK38,DO38))-MIN(N(CHOOSE(EL38,'Debt List'!$F$5,'Debt List'!$F$6,'Debt List'!$F$7,'Debt List'!$F$8,'Debt List'!$F$9,'Debt List'!$F$10,'Debt List'!$F$11,'Debt List'!$F$12)),N(CHOOSE(EL38,CL38,CP38,CT38,CX38,DB38,DF38,DJ38,DN38))+N(CHOOSE(EL38,CM38,CQ38,CU38,CY38,DC38,DG38,DK38,DO38))))),0))</f>
        <v/>
      </c>
      <c r="EN38">
        <f>MIN(N(EM38),MAX(0,N(EK38)))</f>
        <v/>
      </c>
      <c r="EO38">
        <f>MAX(0,N(EK38)-N(EN38))</f>
        <v/>
      </c>
      <c r="EP38">
        <f>IFERROR(MATCH(7,OrderSnow,0),"")</f>
        <v/>
      </c>
      <c r="EQ38">
        <f>IF(EP38="",0,IFERROR(IF(N(CHOOSE(EP38,CL38,CP38,CT38,CX38,DB38,DF38,DJ38,DN38))&lt;=0.005,0,MAX(0,N(CHOOSE(EP38,CL38,CP38,CT38,CX38,DB38,DF38,DJ38,DN38))+N(CHOOSE(EP38,CM38,CQ38,CU38,CY38,DC38,DG38,DK38,DO38))-MIN(N(CHOOSE(EP38,'Debt List'!$F$5,'Debt List'!$F$6,'Debt List'!$F$7,'Debt List'!$F$8,'Debt List'!$F$9,'Debt List'!$F$10,'Debt List'!$F$11,'Debt List'!$F$12)),N(CHOOSE(EP38,CL38,CP38,CT38,CX38,DB38,DF38,DJ38,DN38))+N(CHOOSE(EP38,CM38,CQ38,CU38,CY38,DC38,DG38,DK38,DO38))))),0))</f>
        <v/>
      </c>
      <c r="ER38">
        <f>MIN(N(EQ38),MAX(0,N(EO38)))</f>
        <v/>
      </c>
      <c r="ES38">
        <f>MAX(0,N(EO38)-N(ER38))</f>
        <v/>
      </c>
      <c r="ET38">
        <f>IFERROR(MATCH(8,OrderSnow,0),"")</f>
        <v/>
      </c>
      <c r="EU38">
        <f>IF(ET38="",0,IFERROR(IF(N(CHOOSE(ET38,CL38,CP38,CT38,CX38,DB38,DF38,DJ38,DN38))&lt;=0.005,0,MAX(0,N(CHOOSE(ET38,CL38,CP38,CT38,CX38,DB38,DF38,DJ38,DN38))+N(CHOOSE(ET38,CM38,CQ38,CU38,CY38,DC38,DG38,DK38,DO38))-MIN(N(CHOOSE(ET38,'Debt List'!$F$5,'Debt List'!$F$6,'Debt List'!$F$7,'Debt List'!$F$8,'Debt List'!$F$9,'Debt List'!$F$10,'Debt List'!$F$11,'Debt List'!$F$12)),N(CHOOSE(ET38,CL38,CP38,CT38,CX38,DB38,DF38,DJ38,DN38))+N(CHOOSE(ET38,CM38,CQ38,CU38,CY38,DC38,DG38,DK38,DO38))))),0))</f>
        <v/>
      </c>
      <c r="EV38">
        <f>MIN(N(EU38),MAX(0,N(ES38)))</f>
        <v/>
      </c>
      <c r="EW38">
        <f>MAX(0,N(ES38)-N(EV38))</f>
        <v/>
      </c>
      <c r="FE38" t="n">
        <v>34</v>
      </c>
      <c r="FF38" s="115">
        <f>DATE(YEAR(PlanStart),MONTH(PlanStart)+FE38-1,1)</f>
        <v/>
      </c>
      <c r="FG38">
        <f>IF(AND(GT38&lt;&gt;"",N(CHOOSE(GT38,FN38,FR38,FV38,FZ38,GD38,GH38,GL38,GP38))&gt;0.005),INDEX(DebtNames,GT38),IF(AND(GX38&lt;&gt;"",N(CHOOSE(GX38,FN38,FR38,FV38,FZ38,GD38,GH38,GL38,GP38))&gt;0.005),INDEX(DebtNames,GX38),IF(AND(HB38&lt;&gt;"",N(CHOOSE(HB38,FN38,FR38,FV38,FZ38,GD38,GH38,GL38,GP38))&gt;0.005),INDEX(DebtNames,HB38),IF(AND(HF38&lt;&gt;"",N(CHOOSE(HF38,FN38,FR38,FV38,FZ38,GD38,GH38,GL38,GP38))&gt;0.005),INDEX(DebtNames,HF38),IF(AND(HJ38&lt;&gt;"",N(CHOOSE(HJ38,FN38,FR38,FV38,FZ38,GD38,GH38,GL38,GP38))&gt;0.005),INDEX(DebtNames,HJ38),IF(AND(HN38&lt;&gt;"",N(CHOOSE(HN38,FN38,FR38,FV38,FZ38,GD38,GH38,GL38,GP38))&gt;0.005),INDEX(DebtNames,HN38),IF(AND(HR38&lt;&gt;"",N(CHOOSE(HR38,FN38,FR38,FV38,FZ38,GD38,GH38,GL38,GP38))&gt;0.005),INDEX(DebtNames,HR38),IF(AND(HV38&lt;&gt;"",N(CHOOSE(HV38,FN38,FR38,FV38,FZ38,GD38,GH38,GL38,GP38))&gt;0.005),INDEX(DebtNames,HV38),""))))))))</f>
        <v/>
      </c>
      <c r="FH38">
        <f>N(HY38)</f>
        <v/>
      </c>
      <c r="FI38">
        <f>N(FP38)+N(FT38)+N(FX38)+N(GB38)+N(GF38)+N(GJ38)+N(GN38)+N(GR38)</f>
        <v/>
      </c>
      <c r="FJ38">
        <f>N(FO38)+N(FS38)+N(FW38)+N(GA38)+N(GE38)+N(GI38)+N(GM38)+N(GQ38)</f>
        <v/>
      </c>
      <c r="FK38">
        <f>N(FK37)+N(FJ38)</f>
        <v/>
      </c>
      <c r="FL38">
        <f>N(FQ38)+N(FU38)+N(FY38)+N(GC38)+N(GG38)+N(GK38)+N(GO38)+N(GS38)</f>
        <v/>
      </c>
      <c r="FM38">
        <f>(FQ38&gt;0.005)*1+(FU38&gt;0.005)*1+(FY38&gt;0.005)*1+(GC38&gt;0.005)*1+(GG38&gt;0.005)*1+(GK38&gt;0.005)*1+(GO38&gt;0.005)*1+(GS38&gt;0.005)*1</f>
        <v/>
      </c>
      <c r="FN38">
        <f>N(FQ37)</f>
        <v/>
      </c>
      <c r="FO38">
        <f>IF(N(FN38)&lt;=0.005,0,ROUND(N(FN38)*N('Debt List'!E5)/12,2))</f>
        <v/>
      </c>
      <c r="FP38">
        <f>IF(N(FN38)&lt;=0.005,0,MIN(N('Debt List'!F5),N(FN38)+N(FO38)))+((GT38=1)*GV38+(GX38=1)*GZ38+(HB38=1)*HD38+(HF38=1)*HH38+(HJ38=1)*HL38+(HN38=1)*HP38+(HR38=1)*HT38+(HV38=1)*HX38)</f>
        <v/>
      </c>
      <c r="FQ38">
        <f>MAX(0,ROUND(N(FN38)+N(FO38)-N(FP38),2))</f>
        <v/>
      </c>
      <c r="FR38">
        <f>N(FU37)</f>
        <v/>
      </c>
      <c r="FS38">
        <f>IF(N(FR38)&lt;=0.005,0,ROUND(N(FR38)*N('Debt List'!E6)/12,2))</f>
        <v/>
      </c>
      <c r="FT38">
        <f>IF(N(FR38)&lt;=0.005,0,MIN(N('Debt List'!F6),N(FR38)+N(FS38)))+((GT38=2)*GV38+(GX38=2)*GZ38+(HB38=2)*HD38+(HF38=2)*HH38+(HJ38=2)*HL38+(HN38=2)*HP38+(HR38=2)*HT38+(HV38=2)*HX38)</f>
        <v/>
      </c>
      <c r="FU38">
        <f>MAX(0,ROUND(N(FR38)+N(FS38)-N(FT38),2))</f>
        <v/>
      </c>
      <c r="FV38">
        <f>N(FY37)</f>
        <v/>
      </c>
      <c r="FW38">
        <f>IF(N(FV38)&lt;=0.005,0,ROUND(N(FV38)*N('Debt List'!E7)/12,2))</f>
        <v/>
      </c>
      <c r="FX38">
        <f>IF(N(FV38)&lt;=0.005,0,MIN(N('Debt List'!F7),N(FV38)+N(FW38)))+((GT38=3)*GV38+(GX38=3)*GZ38+(HB38=3)*HD38+(HF38=3)*HH38+(HJ38=3)*HL38+(HN38=3)*HP38+(HR38=3)*HT38+(HV38=3)*HX38)</f>
        <v/>
      </c>
      <c r="FY38">
        <f>MAX(0,ROUND(N(FV38)+N(FW38)-N(FX38),2))</f>
        <v/>
      </c>
      <c r="FZ38">
        <f>N(GC37)</f>
        <v/>
      </c>
      <c r="GA38">
        <f>IF(N(FZ38)&lt;=0.005,0,ROUND(N(FZ38)*N('Debt List'!E8)/12,2))</f>
        <v/>
      </c>
      <c r="GB38">
        <f>IF(N(FZ38)&lt;=0.005,0,MIN(N('Debt List'!F8),N(FZ38)+N(GA38)))+((GT38=4)*GV38+(GX38=4)*GZ38+(HB38=4)*HD38+(HF38=4)*HH38+(HJ38=4)*HL38+(HN38=4)*HP38+(HR38=4)*HT38+(HV38=4)*HX38)</f>
        <v/>
      </c>
      <c r="GC38">
        <f>MAX(0,ROUND(N(FZ38)+N(GA38)-N(GB38),2))</f>
        <v/>
      </c>
      <c r="GD38">
        <f>N(GG37)</f>
        <v/>
      </c>
      <c r="GE38">
        <f>IF(N(GD38)&lt;=0.005,0,ROUND(N(GD38)*N('Debt List'!E9)/12,2))</f>
        <v/>
      </c>
      <c r="GF38">
        <f>IF(N(GD38)&lt;=0.005,0,MIN(N('Debt List'!F9),N(GD38)+N(GE38)))+((GT38=5)*GV38+(GX38=5)*GZ38+(HB38=5)*HD38+(HF38=5)*HH38+(HJ38=5)*HL38+(HN38=5)*HP38+(HR38=5)*HT38+(HV38=5)*HX38)</f>
        <v/>
      </c>
      <c r="GG38">
        <f>MAX(0,ROUND(N(GD38)+N(GE38)-N(GF38),2))</f>
        <v/>
      </c>
      <c r="GH38">
        <f>N(GK37)</f>
        <v/>
      </c>
      <c r="GI38">
        <f>IF(N(GH38)&lt;=0.005,0,ROUND(N(GH38)*N('Debt List'!E10)/12,2))</f>
        <v/>
      </c>
      <c r="GJ38">
        <f>IF(N(GH38)&lt;=0.005,0,MIN(N('Debt List'!F10),N(GH38)+N(GI38)))+((GT38=6)*GV38+(GX38=6)*GZ38+(HB38=6)*HD38+(HF38=6)*HH38+(HJ38=6)*HL38+(HN38=6)*HP38+(HR38=6)*HT38+(HV38=6)*HX38)</f>
        <v/>
      </c>
      <c r="GK38">
        <f>MAX(0,ROUND(N(GH38)+N(GI38)-N(GJ38),2))</f>
        <v/>
      </c>
      <c r="GL38">
        <f>N(GO37)</f>
        <v/>
      </c>
      <c r="GM38">
        <f>IF(N(GL38)&lt;=0.005,0,ROUND(N(GL38)*N('Debt List'!E11)/12,2))</f>
        <v/>
      </c>
      <c r="GN38">
        <f>IF(N(GL38)&lt;=0.005,0,MIN(N('Debt List'!F11),N(GL38)+N(GM38)))+((GT38=7)*GV38+(GX38=7)*GZ38+(HB38=7)*HD38+(HF38=7)*HH38+(HJ38=7)*HL38+(HN38=7)*HP38+(HR38=7)*HT38+(HV38=7)*HX38)</f>
        <v/>
      </c>
      <c r="GO38">
        <f>MAX(0,ROUND(N(GL38)+N(GM38)-N(GN38),2))</f>
        <v/>
      </c>
      <c r="GP38">
        <f>N(GS37)</f>
        <v/>
      </c>
      <c r="GQ38">
        <f>IF(N(GP38)&lt;=0.005,0,ROUND(N(GP38)*N('Debt List'!E12)/12,2))</f>
        <v/>
      </c>
      <c r="GR38">
        <f>IF(N(GP38)&lt;=0.005,0,MIN(N('Debt List'!F12),N(GP38)+N(GQ38)))+((GT38=8)*GV38+(GX38=8)*GZ38+(HB38=8)*HD38+(HF38=8)*HH38+(HJ38=8)*HL38+(HN38=8)*HP38+(HR38=8)*HT38+(HV38=8)*HX38)</f>
        <v/>
      </c>
      <c r="GS38">
        <f>MAX(0,ROUND(N(GP38)+N(GQ38)-N(GR38),2))</f>
        <v/>
      </c>
      <c r="GT38">
        <f>IFERROR(MATCH(1,OrderAval,0),"")</f>
        <v/>
      </c>
      <c r="GU38">
        <f>IF(GT38="",0,IFERROR(IF(N(CHOOSE(GT38,FN38,FR38,FV38,FZ38,GD38,GH38,GL38,GP38))&lt;=0.005,0,MAX(0,N(CHOOSE(GT38,FN38,FR38,FV38,FZ38,GD38,GH38,GL38,GP38))+N(CHOOSE(GT38,FO38,FS38,FW38,GA38,GE38,GI38,GM38,GQ38))-MIN(N(CHOOSE(GT38,'Debt List'!$F$5,'Debt List'!$F$6,'Debt List'!$F$7,'Debt List'!$F$8,'Debt List'!$F$9,'Debt List'!$F$10,'Debt List'!$F$11,'Debt List'!$F$12)),N(CHOOSE(GT38,FN38,FR38,FV38,FZ38,GD38,GH38,GL38,GP38))+N(CHOOSE(GT38,FO38,FS38,FW38,GA38,GE38,GI38,GM38,GQ38))))),0))</f>
        <v/>
      </c>
      <c r="GV38">
        <f>MIN(N(GU38),MAX(0,N(ExtraPayment)))</f>
        <v/>
      </c>
      <c r="GW38">
        <f>MAX(0,N(ExtraPayment)-N(GV38))</f>
        <v/>
      </c>
      <c r="GX38">
        <f>IFERROR(MATCH(2,OrderAval,0),"")</f>
        <v/>
      </c>
      <c r="GY38">
        <f>IF(GX38="",0,IFERROR(IF(N(CHOOSE(GX38,FN38,FR38,FV38,FZ38,GD38,GH38,GL38,GP38))&lt;=0.005,0,MAX(0,N(CHOOSE(GX38,FN38,FR38,FV38,FZ38,GD38,GH38,GL38,GP38))+N(CHOOSE(GX38,FO38,FS38,FW38,GA38,GE38,GI38,GM38,GQ38))-MIN(N(CHOOSE(GX38,'Debt List'!$F$5,'Debt List'!$F$6,'Debt List'!$F$7,'Debt List'!$F$8,'Debt List'!$F$9,'Debt List'!$F$10,'Debt List'!$F$11,'Debt List'!$F$12)),N(CHOOSE(GX38,FN38,FR38,FV38,FZ38,GD38,GH38,GL38,GP38))+N(CHOOSE(GX38,FO38,FS38,FW38,GA38,GE38,GI38,GM38,GQ38))))),0))</f>
        <v/>
      </c>
      <c r="GZ38">
        <f>MIN(N(GY38),MAX(0,N(GW38)))</f>
        <v/>
      </c>
      <c r="HA38">
        <f>MAX(0,N(GW38)-N(GZ38))</f>
        <v/>
      </c>
      <c r="HB38">
        <f>IFERROR(MATCH(3,OrderAval,0),"")</f>
        <v/>
      </c>
      <c r="HC38">
        <f>IF(HB38="",0,IFERROR(IF(N(CHOOSE(HB38,FN38,FR38,FV38,FZ38,GD38,GH38,GL38,GP38))&lt;=0.005,0,MAX(0,N(CHOOSE(HB38,FN38,FR38,FV38,FZ38,GD38,GH38,GL38,GP38))+N(CHOOSE(HB38,FO38,FS38,FW38,GA38,GE38,GI38,GM38,GQ38))-MIN(N(CHOOSE(HB38,'Debt List'!$F$5,'Debt List'!$F$6,'Debt List'!$F$7,'Debt List'!$F$8,'Debt List'!$F$9,'Debt List'!$F$10,'Debt List'!$F$11,'Debt List'!$F$12)),N(CHOOSE(HB38,FN38,FR38,FV38,FZ38,GD38,GH38,GL38,GP38))+N(CHOOSE(HB38,FO38,FS38,FW38,GA38,GE38,GI38,GM38,GQ38))))),0))</f>
        <v/>
      </c>
      <c r="HD38">
        <f>MIN(N(HC38),MAX(0,N(HA38)))</f>
        <v/>
      </c>
      <c r="HE38">
        <f>MAX(0,N(HA38)-N(HD38))</f>
        <v/>
      </c>
      <c r="HF38">
        <f>IFERROR(MATCH(4,OrderAval,0),"")</f>
        <v/>
      </c>
      <c r="HG38">
        <f>IF(HF38="",0,IFERROR(IF(N(CHOOSE(HF38,FN38,FR38,FV38,FZ38,GD38,GH38,GL38,GP38))&lt;=0.005,0,MAX(0,N(CHOOSE(HF38,FN38,FR38,FV38,FZ38,GD38,GH38,GL38,GP38))+N(CHOOSE(HF38,FO38,FS38,FW38,GA38,GE38,GI38,GM38,GQ38))-MIN(N(CHOOSE(HF38,'Debt List'!$F$5,'Debt List'!$F$6,'Debt List'!$F$7,'Debt List'!$F$8,'Debt List'!$F$9,'Debt List'!$F$10,'Debt List'!$F$11,'Debt List'!$F$12)),N(CHOOSE(HF38,FN38,FR38,FV38,FZ38,GD38,GH38,GL38,GP38))+N(CHOOSE(HF38,FO38,FS38,FW38,GA38,GE38,GI38,GM38,GQ38))))),0))</f>
        <v/>
      </c>
      <c r="HH38">
        <f>MIN(N(HG38),MAX(0,N(HE38)))</f>
        <v/>
      </c>
      <c r="HI38">
        <f>MAX(0,N(HE38)-N(HH38))</f>
        <v/>
      </c>
      <c r="HJ38">
        <f>IFERROR(MATCH(5,OrderAval,0),"")</f>
        <v/>
      </c>
      <c r="HK38">
        <f>IF(HJ38="",0,IFERROR(IF(N(CHOOSE(HJ38,FN38,FR38,FV38,FZ38,GD38,GH38,GL38,GP38))&lt;=0.005,0,MAX(0,N(CHOOSE(HJ38,FN38,FR38,FV38,FZ38,GD38,GH38,GL38,GP38))+N(CHOOSE(HJ38,FO38,FS38,FW38,GA38,GE38,GI38,GM38,GQ38))-MIN(N(CHOOSE(HJ38,'Debt List'!$F$5,'Debt List'!$F$6,'Debt List'!$F$7,'Debt List'!$F$8,'Debt List'!$F$9,'Debt List'!$F$10,'Debt List'!$F$11,'Debt List'!$F$12)),N(CHOOSE(HJ38,FN38,FR38,FV38,FZ38,GD38,GH38,GL38,GP38))+N(CHOOSE(HJ38,FO38,FS38,FW38,GA38,GE38,GI38,GM38,GQ38))))),0))</f>
        <v/>
      </c>
      <c r="HL38">
        <f>MIN(N(HK38),MAX(0,N(HI38)))</f>
        <v/>
      </c>
      <c r="HM38">
        <f>MAX(0,N(HI38)-N(HL38))</f>
        <v/>
      </c>
      <c r="HN38">
        <f>IFERROR(MATCH(6,OrderAval,0),"")</f>
        <v/>
      </c>
      <c r="HO38">
        <f>IF(HN38="",0,IFERROR(IF(N(CHOOSE(HN38,FN38,FR38,FV38,FZ38,GD38,GH38,GL38,GP38))&lt;=0.005,0,MAX(0,N(CHOOSE(HN38,FN38,FR38,FV38,FZ38,GD38,GH38,GL38,GP38))+N(CHOOSE(HN38,FO38,FS38,FW38,GA38,GE38,GI38,GM38,GQ38))-MIN(N(CHOOSE(HN38,'Debt List'!$F$5,'Debt List'!$F$6,'Debt List'!$F$7,'Debt List'!$F$8,'Debt List'!$F$9,'Debt List'!$F$10,'Debt List'!$F$11,'Debt List'!$F$12)),N(CHOOSE(HN38,FN38,FR38,FV38,FZ38,GD38,GH38,GL38,GP38))+N(CHOOSE(HN38,FO38,FS38,FW38,GA38,GE38,GI38,GM38,GQ38))))),0))</f>
        <v/>
      </c>
      <c r="HP38">
        <f>MIN(N(HO38),MAX(0,N(HM38)))</f>
        <v/>
      </c>
      <c r="HQ38">
        <f>MAX(0,N(HM38)-N(HP38))</f>
        <v/>
      </c>
      <c r="HR38">
        <f>IFERROR(MATCH(7,OrderAval,0),"")</f>
        <v/>
      </c>
      <c r="HS38">
        <f>IF(HR38="",0,IFERROR(IF(N(CHOOSE(HR38,FN38,FR38,FV38,FZ38,GD38,GH38,GL38,GP38))&lt;=0.005,0,MAX(0,N(CHOOSE(HR38,FN38,FR38,FV38,FZ38,GD38,GH38,GL38,GP38))+N(CHOOSE(HR38,FO38,FS38,FW38,GA38,GE38,GI38,GM38,GQ38))-MIN(N(CHOOSE(HR38,'Debt List'!$F$5,'Debt List'!$F$6,'Debt List'!$F$7,'Debt List'!$F$8,'Debt List'!$F$9,'Debt List'!$F$10,'Debt List'!$F$11,'Debt List'!$F$12)),N(CHOOSE(HR38,FN38,FR38,FV38,FZ38,GD38,GH38,GL38,GP38))+N(CHOOSE(HR38,FO38,FS38,FW38,GA38,GE38,GI38,GM38,GQ38))))),0))</f>
        <v/>
      </c>
      <c r="HT38">
        <f>MIN(N(HS38),MAX(0,N(HQ38)))</f>
        <v/>
      </c>
      <c r="HU38">
        <f>MAX(0,N(HQ38)-N(HT38))</f>
        <v/>
      </c>
      <c r="HV38">
        <f>IFERROR(MATCH(8,OrderAval,0),"")</f>
        <v/>
      </c>
      <c r="HW38">
        <f>IF(HV38="",0,IFERROR(IF(N(CHOOSE(HV38,FN38,FR38,FV38,FZ38,GD38,GH38,GL38,GP38))&lt;=0.005,0,MAX(0,N(CHOOSE(HV38,FN38,FR38,FV38,FZ38,GD38,GH38,GL38,GP38))+N(CHOOSE(HV38,FO38,FS38,FW38,GA38,GE38,GI38,GM38,GQ38))-MIN(N(CHOOSE(HV38,'Debt List'!$F$5,'Debt List'!$F$6,'Debt List'!$F$7,'Debt List'!$F$8,'Debt List'!$F$9,'Debt List'!$F$10,'Debt List'!$F$11,'Debt List'!$F$12)),N(CHOOSE(HV38,FN38,FR38,FV38,FZ38,GD38,GH38,GL38,GP38))+N(CHOOSE(HV38,FO38,FS38,FW38,GA38,GE38,GI38,GM38,GQ38))))),0))</f>
        <v/>
      </c>
      <c r="HX38">
        <f>MIN(N(HW38),MAX(0,N(HU38)))</f>
        <v/>
      </c>
      <c r="HY38">
        <f>MAX(0,N(HU38)-N(HX38))</f>
        <v/>
      </c>
    </row>
    <row r="39">
      <c r="A39" t="n">
        <v>35</v>
      </c>
      <c r="B39" s="115">
        <f>DATE(YEAR(PlanStart),MONTH(PlanStart)+A39-1,1)</f>
        <v/>
      </c>
      <c r="C39">
        <f>IF(AND(AP39&lt;&gt;"",N(CHOOSE(AP39,J39,N39,R39,V39,Z39,AD39,AH39,AL39))&gt;0.005),INDEX(DebtNames,AP39),IF(AND(AT39&lt;&gt;"",N(CHOOSE(AT39,J39,N39,R39,V39,Z39,AD39,AH39,AL39))&gt;0.005),INDEX(DebtNames,AT39),IF(AND(AX39&lt;&gt;"",N(CHOOSE(AX39,J39,N39,R39,V39,Z39,AD39,AH39,AL39))&gt;0.005),INDEX(DebtNames,AX39),IF(AND(BB39&lt;&gt;"",N(CHOOSE(BB39,J39,N39,R39,V39,Z39,AD39,AH39,AL39))&gt;0.005),INDEX(DebtNames,BB39),IF(AND(BF39&lt;&gt;"",N(CHOOSE(BF39,J39,N39,R39,V39,Z39,AD39,AH39,AL39))&gt;0.005),INDEX(DebtNames,BF39),IF(AND(BJ39&lt;&gt;"",N(CHOOSE(BJ39,J39,N39,R39,V39,Z39,AD39,AH39,AL39))&gt;0.005),INDEX(DebtNames,BJ39),IF(AND(BN39&lt;&gt;"",N(CHOOSE(BN39,J39,N39,R39,V39,Z39,AD39,AH39,AL39))&gt;0.005),INDEX(DebtNames,BN39),IF(AND(BR39&lt;&gt;"",N(CHOOSE(BR39,J39,N39,R39,V39,Z39,AD39,AH39,AL39))&gt;0.005),INDEX(DebtNames,BR39),""))))))))</f>
        <v/>
      </c>
      <c r="D39">
        <f>N(BU39)</f>
        <v/>
      </c>
      <c r="E39">
        <f>N(L39)+N(P39)+N(T39)+N(X39)+N(AB39)+N(AF39)+N(AJ39)+N(AN39)</f>
        <v/>
      </c>
      <c r="F39">
        <f>N(K39)+N(O39)+N(S39)+N(W39)+N(AA39)+N(AE39)+N(AI39)+N(AM39)</f>
        <v/>
      </c>
      <c r="G39">
        <f>N(G38)+N(F39)</f>
        <v/>
      </c>
      <c r="H39">
        <f>N(M39)+N(Q39)+N(U39)+N(Y39)+N(AC39)+N(AG39)+N(AK39)+N(AO39)</f>
        <v/>
      </c>
      <c r="I39">
        <f>(M39&gt;0.005)*1+(Q39&gt;0.005)*1+(U39&gt;0.005)*1+(Y39&gt;0.005)*1+(AC39&gt;0.005)*1+(AG39&gt;0.005)*1+(AK39&gt;0.005)*1+(AO39&gt;0.005)*1</f>
        <v/>
      </c>
      <c r="J39">
        <f>N(M38)</f>
        <v/>
      </c>
      <c r="K39">
        <f>IF(N(J39)&lt;=0.005,0,ROUND(N(J39)*N('Debt List'!E5)/12,2))</f>
        <v/>
      </c>
      <c r="L39">
        <f>IF(N(J39)&lt;=0.005,0,MIN(N('Debt List'!F5),N(J39)+N(K39)))+((AP39=1)*AR39+(AT39=1)*AV39+(AX39=1)*AZ39+(BB39=1)*BD39+(BF39=1)*BH39+(BJ39=1)*BL39+(BN39=1)*BP39+(BR39=1)*BT39)</f>
        <v/>
      </c>
      <c r="M39">
        <f>MAX(0,ROUND(N(J39)+N(K39)-N(L39),2))</f>
        <v/>
      </c>
      <c r="N39">
        <f>N(Q38)</f>
        <v/>
      </c>
      <c r="O39">
        <f>IF(N(N39)&lt;=0.005,0,ROUND(N(N39)*N('Debt List'!E6)/12,2))</f>
        <v/>
      </c>
      <c r="P39">
        <f>IF(N(N39)&lt;=0.005,0,MIN(N('Debt List'!F6),N(N39)+N(O39)))+((AP39=2)*AR39+(AT39=2)*AV39+(AX39=2)*AZ39+(BB39=2)*BD39+(BF39=2)*BH39+(BJ39=2)*BL39+(BN39=2)*BP39+(BR39=2)*BT39)</f>
        <v/>
      </c>
      <c r="Q39">
        <f>MAX(0,ROUND(N(N39)+N(O39)-N(P39),2))</f>
        <v/>
      </c>
      <c r="R39">
        <f>N(U38)</f>
        <v/>
      </c>
      <c r="S39">
        <f>IF(N(R39)&lt;=0.005,0,ROUND(N(R39)*N('Debt List'!E7)/12,2))</f>
        <v/>
      </c>
      <c r="T39">
        <f>IF(N(R39)&lt;=0.005,0,MIN(N('Debt List'!F7),N(R39)+N(S39)))+((AP39=3)*AR39+(AT39=3)*AV39+(AX39=3)*AZ39+(BB39=3)*BD39+(BF39=3)*BH39+(BJ39=3)*BL39+(BN39=3)*BP39+(BR39=3)*BT39)</f>
        <v/>
      </c>
      <c r="U39">
        <f>MAX(0,ROUND(N(R39)+N(S39)-N(T39),2))</f>
        <v/>
      </c>
      <c r="V39">
        <f>N(Y38)</f>
        <v/>
      </c>
      <c r="W39">
        <f>IF(N(V39)&lt;=0.005,0,ROUND(N(V39)*N('Debt List'!E8)/12,2))</f>
        <v/>
      </c>
      <c r="X39">
        <f>IF(N(V39)&lt;=0.005,0,MIN(N('Debt List'!F8),N(V39)+N(W39)))+((AP39=4)*AR39+(AT39=4)*AV39+(AX39=4)*AZ39+(BB39=4)*BD39+(BF39=4)*BH39+(BJ39=4)*BL39+(BN39=4)*BP39+(BR39=4)*BT39)</f>
        <v/>
      </c>
      <c r="Y39">
        <f>MAX(0,ROUND(N(V39)+N(W39)-N(X39),2))</f>
        <v/>
      </c>
      <c r="Z39">
        <f>N(AC38)</f>
        <v/>
      </c>
      <c r="AA39">
        <f>IF(N(Z39)&lt;=0.005,0,ROUND(N(Z39)*N('Debt List'!E9)/12,2))</f>
        <v/>
      </c>
      <c r="AB39">
        <f>IF(N(Z39)&lt;=0.005,0,MIN(N('Debt List'!F9),N(Z39)+N(AA39)))+((AP39=5)*AR39+(AT39=5)*AV39+(AX39=5)*AZ39+(BB39=5)*BD39+(BF39=5)*BH39+(BJ39=5)*BL39+(BN39=5)*BP39+(BR39=5)*BT39)</f>
        <v/>
      </c>
      <c r="AC39">
        <f>MAX(0,ROUND(N(Z39)+N(AA39)-N(AB39),2))</f>
        <v/>
      </c>
      <c r="AD39">
        <f>N(AG38)</f>
        <v/>
      </c>
      <c r="AE39">
        <f>IF(N(AD39)&lt;=0.005,0,ROUND(N(AD39)*N('Debt List'!E10)/12,2))</f>
        <v/>
      </c>
      <c r="AF39">
        <f>IF(N(AD39)&lt;=0.005,0,MIN(N('Debt List'!F10),N(AD39)+N(AE39)))+((AP39=6)*AR39+(AT39=6)*AV39+(AX39=6)*AZ39+(BB39=6)*BD39+(BF39=6)*BH39+(BJ39=6)*BL39+(BN39=6)*BP39+(BR39=6)*BT39)</f>
        <v/>
      </c>
      <c r="AG39">
        <f>MAX(0,ROUND(N(AD39)+N(AE39)-N(AF39),2))</f>
        <v/>
      </c>
      <c r="AH39">
        <f>N(AK38)</f>
        <v/>
      </c>
      <c r="AI39">
        <f>IF(N(AH39)&lt;=0.005,0,ROUND(N(AH39)*N('Debt List'!E11)/12,2))</f>
        <v/>
      </c>
      <c r="AJ39">
        <f>IF(N(AH39)&lt;=0.005,0,MIN(N('Debt List'!F11),N(AH39)+N(AI39)))+((AP39=7)*AR39+(AT39=7)*AV39+(AX39=7)*AZ39+(BB39=7)*BD39+(BF39=7)*BH39+(BJ39=7)*BL39+(BN39=7)*BP39+(BR39=7)*BT39)</f>
        <v/>
      </c>
      <c r="AK39">
        <f>MAX(0,ROUND(N(AH39)+N(AI39)-N(AJ39),2))</f>
        <v/>
      </c>
      <c r="AL39">
        <f>N(AO38)</f>
        <v/>
      </c>
      <c r="AM39">
        <f>IF(N(AL39)&lt;=0.005,0,ROUND(N(AL39)*N('Debt List'!E12)/12,2))</f>
        <v/>
      </c>
      <c r="AN39">
        <f>IF(N(AL39)&lt;=0.005,0,MIN(N('Debt List'!F12),N(AL39)+N(AM39)))+((AP39=8)*AR39+(AT39=8)*AV39+(AX39=8)*AZ39+(BB39=8)*BD39+(BF39=8)*BH39+(BJ39=8)*BL39+(BN39=8)*BP39+(BR39=8)*BT39)</f>
        <v/>
      </c>
      <c r="AO39">
        <f>MAX(0,ROUND(N(AL39)+N(AM39)-N(AN39),2))</f>
        <v/>
      </c>
      <c r="AP39">
        <f>IFERROR(MATCH(1,OrderPlan,0),"")</f>
        <v/>
      </c>
      <c r="AQ39">
        <f>IF(AP39="",0,IFERROR(IF(N(CHOOSE(AP39,J39,N39,R39,V39,Z39,AD39,AH39,AL39))&lt;=0.005,0,MAX(0,N(CHOOSE(AP39,J39,N39,R39,V39,Z39,AD39,AH39,AL39))+N(CHOOSE(AP39,K39,O39,S39,W39,AA39,AE39,AI39,AM39))-MIN(N(CHOOSE(AP39,'Debt List'!$F$5,'Debt List'!$F$6,'Debt List'!$F$7,'Debt List'!$F$8,'Debt List'!$F$9,'Debt List'!$F$10,'Debt List'!$F$11,'Debt List'!$F$12)),N(CHOOSE(AP39,J39,N39,R39,V39,Z39,AD39,AH39,AL39))+N(CHOOSE(AP39,K39,O39,S39,W39,AA39,AE39,AI39,AM39))))),0))</f>
        <v/>
      </c>
      <c r="AR39">
        <f>MIN(N(AQ39),MAX(0,N(ExtraPayment)))</f>
        <v/>
      </c>
      <c r="AS39">
        <f>MAX(0,N(ExtraPayment)-N(AR39))</f>
        <v/>
      </c>
      <c r="AT39">
        <f>IFERROR(MATCH(2,OrderPlan,0),"")</f>
        <v/>
      </c>
      <c r="AU39">
        <f>IF(AT39="",0,IFERROR(IF(N(CHOOSE(AT39,J39,N39,R39,V39,Z39,AD39,AH39,AL39))&lt;=0.005,0,MAX(0,N(CHOOSE(AT39,J39,N39,R39,V39,Z39,AD39,AH39,AL39))+N(CHOOSE(AT39,K39,O39,S39,W39,AA39,AE39,AI39,AM39))-MIN(N(CHOOSE(AT39,'Debt List'!$F$5,'Debt List'!$F$6,'Debt List'!$F$7,'Debt List'!$F$8,'Debt List'!$F$9,'Debt List'!$F$10,'Debt List'!$F$11,'Debt List'!$F$12)),N(CHOOSE(AT39,J39,N39,R39,V39,Z39,AD39,AH39,AL39))+N(CHOOSE(AT39,K39,O39,S39,W39,AA39,AE39,AI39,AM39))))),0))</f>
        <v/>
      </c>
      <c r="AV39">
        <f>MIN(N(AU39),MAX(0,N(AS39)))</f>
        <v/>
      </c>
      <c r="AW39">
        <f>MAX(0,N(AS39)-N(AV39))</f>
        <v/>
      </c>
      <c r="AX39">
        <f>IFERROR(MATCH(3,OrderPlan,0),"")</f>
        <v/>
      </c>
      <c r="AY39">
        <f>IF(AX39="",0,IFERROR(IF(N(CHOOSE(AX39,J39,N39,R39,V39,Z39,AD39,AH39,AL39))&lt;=0.005,0,MAX(0,N(CHOOSE(AX39,J39,N39,R39,V39,Z39,AD39,AH39,AL39))+N(CHOOSE(AX39,K39,O39,S39,W39,AA39,AE39,AI39,AM39))-MIN(N(CHOOSE(AX39,'Debt List'!$F$5,'Debt List'!$F$6,'Debt List'!$F$7,'Debt List'!$F$8,'Debt List'!$F$9,'Debt List'!$F$10,'Debt List'!$F$11,'Debt List'!$F$12)),N(CHOOSE(AX39,J39,N39,R39,V39,Z39,AD39,AH39,AL39))+N(CHOOSE(AX39,K39,O39,S39,W39,AA39,AE39,AI39,AM39))))),0))</f>
        <v/>
      </c>
      <c r="AZ39">
        <f>MIN(N(AY39),MAX(0,N(AW39)))</f>
        <v/>
      </c>
      <c r="BA39">
        <f>MAX(0,N(AW39)-N(AZ39))</f>
        <v/>
      </c>
      <c r="BB39">
        <f>IFERROR(MATCH(4,OrderPlan,0),"")</f>
        <v/>
      </c>
      <c r="BC39">
        <f>IF(BB39="",0,IFERROR(IF(N(CHOOSE(BB39,J39,N39,R39,V39,Z39,AD39,AH39,AL39))&lt;=0.005,0,MAX(0,N(CHOOSE(BB39,J39,N39,R39,V39,Z39,AD39,AH39,AL39))+N(CHOOSE(BB39,K39,O39,S39,W39,AA39,AE39,AI39,AM39))-MIN(N(CHOOSE(BB39,'Debt List'!$F$5,'Debt List'!$F$6,'Debt List'!$F$7,'Debt List'!$F$8,'Debt List'!$F$9,'Debt List'!$F$10,'Debt List'!$F$11,'Debt List'!$F$12)),N(CHOOSE(BB39,J39,N39,R39,V39,Z39,AD39,AH39,AL39))+N(CHOOSE(BB39,K39,O39,S39,W39,AA39,AE39,AI39,AM39))))),0))</f>
        <v/>
      </c>
      <c r="BD39">
        <f>MIN(N(BC39),MAX(0,N(BA39)))</f>
        <v/>
      </c>
      <c r="BE39">
        <f>MAX(0,N(BA39)-N(BD39))</f>
        <v/>
      </c>
      <c r="BF39">
        <f>IFERROR(MATCH(5,OrderPlan,0),"")</f>
        <v/>
      </c>
      <c r="BG39">
        <f>IF(BF39="",0,IFERROR(IF(N(CHOOSE(BF39,J39,N39,R39,V39,Z39,AD39,AH39,AL39))&lt;=0.005,0,MAX(0,N(CHOOSE(BF39,J39,N39,R39,V39,Z39,AD39,AH39,AL39))+N(CHOOSE(BF39,K39,O39,S39,W39,AA39,AE39,AI39,AM39))-MIN(N(CHOOSE(BF39,'Debt List'!$F$5,'Debt List'!$F$6,'Debt List'!$F$7,'Debt List'!$F$8,'Debt List'!$F$9,'Debt List'!$F$10,'Debt List'!$F$11,'Debt List'!$F$12)),N(CHOOSE(BF39,J39,N39,R39,V39,Z39,AD39,AH39,AL39))+N(CHOOSE(BF39,K39,O39,S39,W39,AA39,AE39,AI39,AM39))))),0))</f>
        <v/>
      </c>
      <c r="BH39">
        <f>MIN(N(BG39),MAX(0,N(BE39)))</f>
        <v/>
      </c>
      <c r="BI39">
        <f>MAX(0,N(BE39)-N(BH39))</f>
        <v/>
      </c>
      <c r="BJ39">
        <f>IFERROR(MATCH(6,OrderPlan,0),"")</f>
        <v/>
      </c>
      <c r="BK39">
        <f>IF(BJ39="",0,IFERROR(IF(N(CHOOSE(BJ39,J39,N39,R39,V39,Z39,AD39,AH39,AL39))&lt;=0.005,0,MAX(0,N(CHOOSE(BJ39,J39,N39,R39,V39,Z39,AD39,AH39,AL39))+N(CHOOSE(BJ39,K39,O39,S39,W39,AA39,AE39,AI39,AM39))-MIN(N(CHOOSE(BJ39,'Debt List'!$F$5,'Debt List'!$F$6,'Debt List'!$F$7,'Debt List'!$F$8,'Debt List'!$F$9,'Debt List'!$F$10,'Debt List'!$F$11,'Debt List'!$F$12)),N(CHOOSE(BJ39,J39,N39,R39,V39,Z39,AD39,AH39,AL39))+N(CHOOSE(BJ39,K39,O39,S39,W39,AA39,AE39,AI39,AM39))))),0))</f>
        <v/>
      </c>
      <c r="BL39">
        <f>MIN(N(BK39),MAX(0,N(BI39)))</f>
        <v/>
      </c>
      <c r="BM39">
        <f>MAX(0,N(BI39)-N(BL39))</f>
        <v/>
      </c>
      <c r="BN39">
        <f>IFERROR(MATCH(7,OrderPlan,0),"")</f>
        <v/>
      </c>
      <c r="BO39">
        <f>IF(BN39="",0,IFERROR(IF(N(CHOOSE(BN39,J39,N39,R39,V39,Z39,AD39,AH39,AL39))&lt;=0.005,0,MAX(0,N(CHOOSE(BN39,J39,N39,R39,V39,Z39,AD39,AH39,AL39))+N(CHOOSE(BN39,K39,O39,S39,W39,AA39,AE39,AI39,AM39))-MIN(N(CHOOSE(BN39,'Debt List'!$F$5,'Debt List'!$F$6,'Debt List'!$F$7,'Debt List'!$F$8,'Debt List'!$F$9,'Debt List'!$F$10,'Debt List'!$F$11,'Debt List'!$F$12)),N(CHOOSE(BN39,J39,N39,R39,V39,Z39,AD39,AH39,AL39))+N(CHOOSE(BN39,K39,O39,S39,W39,AA39,AE39,AI39,AM39))))),0))</f>
        <v/>
      </c>
      <c r="BP39">
        <f>MIN(N(BO39),MAX(0,N(BM39)))</f>
        <v/>
      </c>
      <c r="BQ39">
        <f>MAX(0,N(BM39)-N(BP39))</f>
        <v/>
      </c>
      <c r="BR39">
        <f>IFERROR(MATCH(8,OrderPlan,0),"")</f>
        <v/>
      </c>
      <c r="BS39">
        <f>IF(BR39="",0,IFERROR(IF(N(CHOOSE(BR39,J39,N39,R39,V39,Z39,AD39,AH39,AL39))&lt;=0.005,0,MAX(0,N(CHOOSE(BR39,J39,N39,R39,V39,Z39,AD39,AH39,AL39))+N(CHOOSE(BR39,K39,O39,S39,W39,AA39,AE39,AI39,AM39))-MIN(N(CHOOSE(BR39,'Debt List'!$F$5,'Debt List'!$F$6,'Debt List'!$F$7,'Debt List'!$F$8,'Debt List'!$F$9,'Debt List'!$F$10,'Debt List'!$F$11,'Debt List'!$F$12)),N(CHOOSE(BR39,J39,N39,R39,V39,Z39,AD39,AH39,AL39))+N(CHOOSE(BR39,K39,O39,S39,W39,AA39,AE39,AI39,AM39))))),0))</f>
        <v/>
      </c>
      <c r="BT39">
        <f>MIN(N(BS39),MAX(0,N(BQ39)))</f>
        <v/>
      </c>
      <c r="BU39">
        <f>MAX(0,N(BQ39)-N(BT39))</f>
        <v/>
      </c>
      <c r="CC39" t="n">
        <v>35</v>
      </c>
      <c r="CD39" s="115">
        <f>DATE(YEAR(PlanStart),MONTH(PlanStart)+CC39-1,1)</f>
        <v/>
      </c>
      <c r="CE39">
        <f>IF(AND(DR39&lt;&gt;"",N(CHOOSE(DR39,CL39,CP39,CT39,CX39,DB39,DF39,DJ39,DN39))&gt;0.005),INDEX(DebtNames,DR39),IF(AND(DV39&lt;&gt;"",N(CHOOSE(DV39,CL39,CP39,CT39,CX39,DB39,DF39,DJ39,DN39))&gt;0.005),INDEX(DebtNames,DV39),IF(AND(DZ39&lt;&gt;"",N(CHOOSE(DZ39,CL39,CP39,CT39,CX39,DB39,DF39,DJ39,DN39))&gt;0.005),INDEX(DebtNames,DZ39),IF(AND(ED39&lt;&gt;"",N(CHOOSE(ED39,CL39,CP39,CT39,CX39,DB39,DF39,DJ39,DN39))&gt;0.005),INDEX(DebtNames,ED39),IF(AND(EH39&lt;&gt;"",N(CHOOSE(EH39,CL39,CP39,CT39,CX39,DB39,DF39,DJ39,DN39))&gt;0.005),INDEX(DebtNames,EH39),IF(AND(EL39&lt;&gt;"",N(CHOOSE(EL39,CL39,CP39,CT39,CX39,DB39,DF39,DJ39,DN39))&gt;0.005),INDEX(DebtNames,EL39),IF(AND(EP39&lt;&gt;"",N(CHOOSE(EP39,CL39,CP39,CT39,CX39,DB39,DF39,DJ39,DN39))&gt;0.005),INDEX(DebtNames,EP39),IF(AND(ET39&lt;&gt;"",N(CHOOSE(ET39,CL39,CP39,CT39,CX39,DB39,DF39,DJ39,DN39))&gt;0.005),INDEX(DebtNames,ET39),""))))))))</f>
        <v/>
      </c>
      <c r="CF39">
        <f>N(EW39)</f>
        <v/>
      </c>
      <c r="CG39">
        <f>N(CN39)+N(CR39)+N(CV39)+N(CZ39)+N(DD39)+N(DH39)+N(DL39)+N(DP39)</f>
        <v/>
      </c>
      <c r="CH39">
        <f>N(CM39)+N(CQ39)+N(CU39)+N(CY39)+N(DC39)+N(DG39)+N(DK39)+N(DO39)</f>
        <v/>
      </c>
      <c r="CI39">
        <f>N(CI38)+N(CH39)</f>
        <v/>
      </c>
      <c r="CJ39">
        <f>N(CO39)+N(CS39)+N(CW39)+N(DA39)+N(DE39)+N(DI39)+N(DM39)+N(DQ39)</f>
        <v/>
      </c>
      <c r="CK39">
        <f>(CO39&gt;0.005)*1+(CS39&gt;0.005)*1+(CW39&gt;0.005)*1+(DA39&gt;0.005)*1+(DE39&gt;0.005)*1+(DI39&gt;0.005)*1+(DM39&gt;0.005)*1+(DQ39&gt;0.005)*1</f>
        <v/>
      </c>
      <c r="CL39">
        <f>N(CO38)</f>
        <v/>
      </c>
      <c r="CM39">
        <f>IF(N(CL39)&lt;=0.005,0,ROUND(N(CL39)*N('Debt List'!E5)/12,2))</f>
        <v/>
      </c>
      <c r="CN39">
        <f>IF(N(CL39)&lt;=0.005,0,MIN(N('Debt List'!F5),N(CL39)+N(CM39)))+((DR39=1)*DT39+(DV39=1)*DX39+(DZ39=1)*EB39+(ED39=1)*EF39+(EH39=1)*EJ39+(EL39=1)*EN39+(EP39=1)*ER39+(ET39=1)*EV39)</f>
        <v/>
      </c>
      <c r="CO39">
        <f>MAX(0,ROUND(N(CL39)+N(CM39)-N(CN39),2))</f>
        <v/>
      </c>
      <c r="CP39">
        <f>N(CS38)</f>
        <v/>
      </c>
      <c r="CQ39">
        <f>IF(N(CP39)&lt;=0.005,0,ROUND(N(CP39)*N('Debt List'!E6)/12,2))</f>
        <v/>
      </c>
      <c r="CR39">
        <f>IF(N(CP39)&lt;=0.005,0,MIN(N('Debt List'!F6),N(CP39)+N(CQ39)))+((DR39=2)*DT39+(DV39=2)*DX39+(DZ39=2)*EB39+(ED39=2)*EF39+(EH39=2)*EJ39+(EL39=2)*EN39+(EP39=2)*ER39+(ET39=2)*EV39)</f>
        <v/>
      </c>
      <c r="CS39">
        <f>MAX(0,ROUND(N(CP39)+N(CQ39)-N(CR39),2))</f>
        <v/>
      </c>
      <c r="CT39">
        <f>N(CW38)</f>
        <v/>
      </c>
      <c r="CU39">
        <f>IF(N(CT39)&lt;=0.005,0,ROUND(N(CT39)*N('Debt List'!E7)/12,2))</f>
        <v/>
      </c>
      <c r="CV39">
        <f>IF(N(CT39)&lt;=0.005,0,MIN(N('Debt List'!F7),N(CT39)+N(CU39)))+((DR39=3)*DT39+(DV39=3)*DX39+(DZ39=3)*EB39+(ED39=3)*EF39+(EH39=3)*EJ39+(EL39=3)*EN39+(EP39=3)*ER39+(ET39=3)*EV39)</f>
        <v/>
      </c>
      <c r="CW39">
        <f>MAX(0,ROUND(N(CT39)+N(CU39)-N(CV39),2))</f>
        <v/>
      </c>
      <c r="CX39">
        <f>N(DA38)</f>
        <v/>
      </c>
      <c r="CY39">
        <f>IF(N(CX39)&lt;=0.005,0,ROUND(N(CX39)*N('Debt List'!E8)/12,2))</f>
        <v/>
      </c>
      <c r="CZ39">
        <f>IF(N(CX39)&lt;=0.005,0,MIN(N('Debt List'!F8),N(CX39)+N(CY39)))+((DR39=4)*DT39+(DV39=4)*DX39+(DZ39=4)*EB39+(ED39=4)*EF39+(EH39=4)*EJ39+(EL39=4)*EN39+(EP39=4)*ER39+(ET39=4)*EV39)</f>
        <v/>
      </c>
      <c r="DA39">
        <f>MAX(0,ROUND(N(CX39)+N(CY39)-N(CZ39),2))</f>
        <v/>
      </c>
      <c r="DB39">
        <f>N(DE38)</f>
        <v/>
      </c>
      <c r="DC39">
        <f>IF(N(DB39)&lt;=0.005,0,ROUND(N(DB39)*N('Debt List'!E9)/12,2))</f>
        <v/>
      </c>
      <c r="DD39">
        <f>IF(N(DB39)&lt;=0.005,0,MIN(N('Debt List'!F9),N(DB39)+N(DC39)))+((DR39=5)*DT39+(DV39=5)*DX39+(DZ39=5)*EB39+(ED39=5)*EF39+(EH39=5)*EJ39+(EL39=5)*EN39+(EP39=5)*ER39+(ET39=5)*EV39)</f>
        <v/>
      </c>
      <c r="DE39">
        <f>MAX(0,ROUND(N(DB39)+N(DC39)-N(DD39),2))</f>
        <v/>
      </c>
      <c r="DF39">
        <f>N(DI38)</f>
        <v/>
      </c>
      <c r="DG39">
        <f>IF(N(DF39)&lt;=0.005,0,ROUND(N(DF39)*N('Debt List'!E10)/12,2))</f>
        <v/>
      </c>
      <c r="DH39">
        <f>IF(N(DF39)&lt;=0.005,0,MIN(N('Debt List'!F10),N(DF39)+N(DG39)))+((DR39=6)*DT39+(DV39=6)*DX39+(DZ39=6)*EB39+(ED39=6)*EF39+(EH39=6)*EJ39+(EL39=6)*EN39+(EP39=6)*ER39+(ET39=6)*EV39)</f>
        <v/>
      </c>
      <c r="DI39">
        <f>MAX(0,ROUND(N(DF39)+N(DG39)-N(DH39),2))</f>
        <v/>
      </c>
      <c r="DJ39">
        <f>N(DM38)</f>
        <v/>
      </c>
      <c r="DK39">
        <f>IF(N(DJ39)&lt;=0.005,0,ROUND(N(DJ39)*N('Debt List'!E11)/12,2))</f>
        <v/>
      </c>
      <c r="DL39">
        <f>IF(N(DJ39)&lt;=0.005,0,MIN(N('Debt List'!F11),N(DJ39)+N(DK39)))+((DR39=7)*DT39+(DV39=7)*DX39+(DZ39=7)*EB39+(ED39=7)*EF39+(EH39=7)*EJ39+(EL39=7)*EN39+(EP39=7)*ER39+(ET39=7)*EV39)</f>
        <v/>
      </c>
      <c r="DM39">
        <f>MAX(0,ROUND(N(DJ39)+N(DK39)-N(DL39),2))</f>
        <v/>
      </c>
      <c r="DN39">
        <f>N(DQ38)</f>
        <v/>
      </c>
      <c r="DO39">
        <f>IF(N(DN39)&lt;=0.005,0,ROUND(N(DN39)*N('Debt List'!E12)/12,2))</f>
        <v/>
      </c>
      <c r="DP39">
        <f>IF(N(DN39)&lt;=0.005,0,MIN(N('Debt List'!F12),N(DN39)+N(DO39)))+((DR39=8)*DT39+(DV39=8)*DX39+(DZ39=8)*EB39+(ED39=8)*EF39+(EH39=8)*EJ39+(EL39=8)*EN39+(EP39=8)*ER39+(ET39=8)*EV39)</f>
        <v/>
      </c>
      <c r="DQ39">
        <f>MAX(0,ROUND(N(DN39)+N(DO39)-N(DP39),2))</f>
        <v/>
      </c>
      <c r="DR39">
        <f>IFERROR(MATCH(1,OrderSnow,0),"")</f>
        <v/>
      </c>
      <c r="DS39">
        <f>IF(DR39="",0,IFERROR(IF(N(CHOOSE(DR39,CL39,CP39,CT39,CX39,DB39,DF39,DJ39,DN39))&lt;=0.005,0,MAX(0,N(CHOOSE(DR39,CL39,CP39,CT39,CX39,DB39,DF39,DJ39,DN39))+N(CHOOSE(DR39,CM39,CQ39,CU39,CY39,DC39,DG39,DK39,DO39))-MIN(N(CHOOSE(DR39,'Debt List'!$F$5,'Debt List'!$F$6,'Debt List'!$F$7,'Debt List'!$F$8,'Debt List'!$F$9,'Debt List'!$F$10,'Debt List'!$F$11,'Debt List'!$F$12)),N(CHOOSE(DR39,CL39,CP39,CT39,CX39,DB39,DF39,DJ39,DN39))+N(CHOOSE(DR39,CM39,CQ39,CU39,CY39,DC39,DG39,DK39,DO39))))),0))</f>
        <v/>
      </c>
      <c r="DT39">
        <f>MIN(N(DS39),MAX(0,N(ExtraPayment)))</f>
        <v/>
      </c>
      <c r="DU39">
        <f>MAX(0,N(ExtraPayment)-N(DT39))</f>
        <v/>
      </c>
      <c r="DV39">
        <f>IFERROR(MATCH(2,OrderSnow,0),"")</f>
        <v/>
      </c>
      <c r="DW39">
        <f>IF(DV39="",0,IFERROR(IF(N(CHOOSE(DV39,CL39,CP39,CT39,CX39,DB39,DF39,DJ39,DN39))&lt;=0.005,0,MAX(0,N(CHOOSE(DV39,CL39,CP39,CT39,CX39,DB39,DF39,DJ39,DN39))+N(CHOOSE(DV39,CM39,CQ39,CU39,CY39,DC39,DG39,DK39,DO39))-MIN(N(CHOOSE(DV39,'Debt List'!$F$5,'Debt List'!$F$6,'Debt List'!$F$7,'Debt List'!$F$8,'Debt List'!$F$9,'Debt List'!$F$10,'Debt List'!$F$11,'Debt List'!$F$12)),N(CHOOSE(DV39,CL39,CP39,CT39,CX39,DB39,DF39,DJ39,DN39))+N(CHOOSE(DV39,CM39,CQ39,CU39,CY39,DC39,DG39,DK39,DO39))))),0))</f>
        <v/>
      </c>
      <c r="DX39">
        <f>MIN(N(DW39),MAX(0,N(DU39)))</f>
        <v/>
      </c>
      <c r="DY39">
        <f>MAX(0,N(DU39)-N(DX39))</f>
        <v/>
      </c>
      <c r="DZ39">
        <f>IFERROR(MATCH(3,OrderSnow,0),"")</f>
        <v/>
      </c>
      <c r="EA39">
        <f>IF(DZ39="",0,IFERROR(IF(N(CHOOSE(DZ39,CL39,CP39,CT39,CX39,DB39,DF39,DJ39,DN39))&lt;=0.005,0,MAX(0,N(CHOOSE(DZ39,CL39,CP39,CT39,CX39,DB39,DF39,DJ39,DN39))+N(CHOOSE(DZ39,CM39,CQ39,CU39,CY39,DC39,DG39,DK39,DO39))-MIN(N(CHOOSE(DZ39,'Debt List'!$F$5,'Debt List'!$F$6,'Debt List'!$F$7,'Debt List'!$F$8,'Debt List'!$F$9,'Debt List'!$F$10,'Debt List'!$F$11,'Debt List'!$F$12)),N(CHOOSE(DZ39,CL39,CP39,CT39,CX39,DB39,DF39,DJ39,DN39))+N(CHOOSE(DZ39,CM39,CQ39,CU39,CY39,DC39,DG39,DK39,DO39))))),0))</f>
        <v/>
      </c>
      <c r="EB39">
        <f>MIN(N(EA39),MAX(0,N(DY39)))</f>
        <v/>
      </c>
      <c r="EC39">
        <f>MAX(0,N(DY39)-N(EB39))</f>
        <v/>
      </c>
      <c r="ED39">
        <f>IFERROR(MATCH(4,OrderSnow,0),"")</f>
        <v/>
      </c>
      <c r="EE39">
        <f>IF(ED39="",0,IFERROR(IF(N(CHOOSE(ED39,CL39,CP39,CT39,CX39,DB39,DF39,DJ39,DN39))&lt;=0.005,0,MAX(0,N(CHOOSE(ED39,CL39,CP39,CT39,CX39,DB39,DF39,DJ39,DN39))+N(CHOOSE(ED39,CM39,CQ39,CU39,CY39,DC39,DG39,DK39,DO39))-MIN(N(CHOOSE(ED39,'Debt List'!$F$5,'Debt List'!$F$6,'Debt List'!$F$7,'Debt List'!$F$8,'Debt List'!$F$9,'Debt List'!$F$10,'Debt List'!$F$11,'Debt List'!$F$12)),N(CHOOSE(ED39,CL39,CP39,CT39,CX39,DB39,DF39,DJ39,DN39))+N(CHOOSE(ED39,CM39,CQ39,CU39,CY39,DC39,DG39,DK39,DO39))))),0))</f>
        <v/>
      </c>
      <c r="EF39">
        <f>MIN(N(EE39),MAX(0,N(EC39)))</f>
        <v/>
      </c>
      <c r="EG39">
        <f>MAX(0,N(EC39)-N(EF39))</f>
        <v/>
      </c>
      <c r="EH39">
        <f>IFERROR(MATCH(5,OrderSnow,0),"")</f>
        <v/>
      </c>
      <c r="EI39">
        <f>IF(EH39="",0,IFERROR(IF(N(CHOOSE(EH39,CL39,CP39,CT39,CX39,DB39,DF39,DJ39,DN39))&lt;=0.005,0,MAX(0,N(CHOOSE(EH39,CL39,CP39,CT39,CX39,DB39,DF39,DJ39,DN39))+N(CHOOSE(EH39,CM39,CQ39,CU39,CY39,DC39,DG39,DK39,DO39))-MIN(N(CHOOSE(EH39,'Debt List'!$F$5,'Debt List'!$F$6,'Debt List'!$F$7,'Debt List'!$F$8,'Debt List'!$F$9,'Debt List'!$F$10,'Debt List'!$F$11,'Debt List'!$F$12)),N(CHOOSE(EH39,CL39,CP39,CT39,CX39,DB39,DF39,DJ39,DN39))+N(CHOOSE(EH39,CM39,CQ39,CU39,CY39,DC39,DG39,DK39,DO39))))),0))</f>
        <v/>
      </c>
      <c r="EJ39">
        <f>MIN(N(EI39),MAX(0,N(EG39)))</f>
        <v/>
      </c>
      <c r="EK39">
        <f>MAX(0,N(EG39)-N(EJ39))</f>
        <v/>
      </c>
      <c r="EL39">
        <f>IFERROR(MATCH(6,OrderSnow,0),"")</f>
        <v/>
      </c>
      <c r="EM39">
        <f>IF(EL39="",0,IFERROR(IF(N(CHOOSE(EL39,CL39,CP39,CT39,CX39,DB39,DF39,DJ39,DN39))&lt;=0.005,0,MAX(0,N(CHOOSE(EL39,CL39,CP39,CT39,CX39,DB39,DF39,DJ39,DN39))+N(CHOOSE(EL39,CM39,CQ39,CU39,CY39,DC39,DG39,DK39,DO39))-MIN(N(CHOOSE(EL39,'Debt List'!$F$5,'Debt List'!$F$6,'Debt List'!$F$7,'Debt List'!$F$8,'Debt List'!$F$9,'Debt List'!$F$10,'Debt List'!$F$11,'Debt List'!$F$12)),N(CHOOSE(EL39,CL39,CP39,CT39,CX39,DB39,DF39,DJ39,DN39))+N(CHOOSE(EL39,CM39,CQ39,CU39,CY39,DC39,DG39,DK39,DO39))))),0))</f>
        <v/>
      </c>
      <c r="EN39">
        <f>MIN(N(EM39),MAX(0,N(EK39)))</f>
        <v/>
      </c>
      <c r="EO39">
        <f>MAX(0,N(EK39)-N(EN39))</f>
        <v/>
      </c>
      <c r="EP39">
        <f>IFERROR(MATCH(7,OrderSnow,0),"")</f>
        <v/>
      </c>
      <c r="EQ39">
        <f>IF(EP39="",0,IFERROR(IF(N(CHOOSE(EP39,CL39,CP39,CT39,CX39,DB39,DF39,DJ39,DN39))&lt;=0.005,0,MAX(0,N(CHOOSE(EP39,CL39,CP39,CT39,CX39,DB39,DF39,DJ39,DN39))+N(CHOOSE(EP39,CM39,CQ39,CU39,CY39,DC39,DG39,DK39,DO39))-MIN(N(CHOOSE(EP39,'Debt List'!$F$5,'Debt List'!$F$6,'Debt List'!$F$7,'Debt List'!$F$8,'Debt List'!$F$9,'Debt List'!$F$10,'Debt List'!$F$11,'Debt List'!$F$12)),N(CHOOSE(EP39,CL39,CP39,CT39,CX39,DB39,DF39,DJ39,DN39))+N(CHOOSE(EP39,CM39,CQ39,CU39,CY39,DC39,DG39,DK39,DO39))))),0))</f>
        <v/>
      </c>
      <c r="ER39">
        <f>MIN(N(EQ39),MAX(0,N(EO39)))</f>
        <v/>
      </c>
      <c r="ES39">
        <f>MAX(0,N(EO39)-N(ER39))</f>
        <v/>
      </c>
      <c r="ET39">
        <f>IFERROR(MATCH(8,OrderSnow,0),"")</f>
        <v/>
      </c>
      <c r="EU39">
        <f>IF(ET39="",0,IFERROR(IF(N(CHOOSE(ET39,CL39,CP39,CT39,CX39,DB39,DF39,DJ39,DN39))&lt;=0.005,0,MAX(0,N(CHOOSE(ET39,CL39,CP39,CT39,CX39,DB39,DF39,DJ39,DN39))+N(CHOOSE(ET39,CM39,CQ39,CU39,CY39,DC39,DG39,DK39,DO39))-MIN(N(CHOOSE(ET39,'Debt List'!$F$5,'Debt List'!$F$6,'Debt List'!$F$7,'Debt List'!$F$8,'Debt List'!$F$9,'Debt List'!$F$10,'Debt List'!$F$11,'Debt List'!$F$12)),N(CHOOSE(ET39,CL39,CP39,CT39,CX39,DB39,DF39,DJ39,DN39))+N(CHOOSE(ET39,CM39,CQ39,CU39,CY39,DC39,DG39,DK39,DO39))))),0))</f>
        <v/>
      </c>
      <c r="EV39">
        <f>MIN(N(EU39),MAX(0,N(ES39)))</f>
        <v/>
      </c>
      <c r="EW39">
        <f>MAX(0,N(ES39)-N(EV39))</f>
        <v/>
      </c>
      <c r="FE39" t="n">
        <v>35</v>
      </c>
      <c r="FF39" s="115">
        <f>DATE(YEAR(PlanStart),MONTH(PlanStart)+FE39-1,1)</f>
        <v/>
      </c>
      <c r="FG39">
        <f>IF(AND(GT39&lt;&gt;"",N(CHOOSE(GT39,FN39,FR39,FV39,FZ39,GD39,GH39,GL39,GP39))&gt;0.005),INDEX(DebtNames,GT39),IF(AND(GX39&lt;&gt;"",N(CHOOSE(GX39,FN39,FR39,FV39,FZ39,GD39,GH39,GL39,GP39))&gt;0.005),INDEX(DebtNames,GX39),IF(AND(HB39&lt;&gt;"",N(CHOOSE(HB39,FN39,FR39,FV39,FZ39,GD39,GH39,GL39,GP39))&gt;0.005),INDEX(DebtNames,HB39),IF(AND(HF39&lt;&gt;"",N(CHOOSE(HF39,FN39,FR39,FV39,FZ39,GD39,GH39,GL39,GP39))&gt;0.005),INDEX(DebtNames,HF39),IF(AND(HJ39&lt;&gt;"",N(CHOOSE(HJ39,FN39,FR39,FV39,FZ39,GD39,GH39,GL39,GP39))&gt;0.005),INDEX(DebtNames,HJ39),IF(AND(HN39&lt;&gt;"",N(CHOOSE(HN39,FN39,FR39,FV39,FZ39,GD39,GH39,GL39,GP39))&gt;0.005),INDEX(DebtNames,HN39),IF(AND(HR39&lt;&gt;"",N(CHOOSE(HR39,FN39,FR39,FV39,FZ39,GD39,GH39,GL39,GP39))&gt;0.005),INDEX(DebtNames,HR39),IF(AND(HV39&lt;&gt;"",N(CHOOSE(HV39,FN39,FR39,FV39,FZ39,GD39,GH39,GL39,GP39))&gt;0.005),INDEX(DebtNames,HV39),""))))))))</f>
        <v/>
      </c>
      <c r="FH39">
        <f>N(HY39)</f>
        <v/>
      </c>
      <c r="FI39">
        <f>N(FP39)+N(FT39)+N(FX39)+N(GB39)+N(GF39)+N(GJ39)+N(GN39)+N(GR39)</f>
        <v/>
      </c>
      <c r="FJ39">
        <f>N(FO39)+N(FS39)+N(FW39)+N(GA39)+N(GE39)+N(GI39)+N(GM39)+N(GQ39)</f>
        <v/>
      </c>
      <c r="FK39">
        <f>N(FK38)+N(FJ39)</f>
        <v/>
      </c>
      <c r="FL39">
        <f>N(FQ39)+N(FU39)+N(FY39)+N(GC39)+N(GG39)+N(GK39)+N(GO39)+N(GS39)</f>
        <v/>
      </c>
      <c r="FM39">
        <f>(FQ39&gt;0.005)*1+(FU39&gt;0.005)*1+(FY39&gt;0.005)*1+(GC39&gt;0.005)*1+(GG39&gt;0.005)*1+(GK39&gt;0.005)*1+(GO39&gt;0.005)*1+(GS39&gt;0.005)*1</f>
        <v/>
      </c>
      <c r="FN39">
        <f>N(FQ38)</f>
        <v/>
      </c>
      <c r="FO39">
        <f>IF(N(FN39)&lt;=0.005,0,ROUND(N(FN39)*N('Debt List'!E5)/12,2))</f>
        <v/>
      </c>
      <c r="FP39">
        <f>IF(N(FN39)&lt;=0.005,0,MIN(N('Debt List'!F5),N(FN39)+N(FO39)))+((GT39=1)*GV39+(GX39=1)*GZ39+(HB39=1)*HD39+(HF39=1)*HH39+(HJ39=1)*HL39+(HN39=1)*HP39+(HR39=1)*HT39+(HV39=1)*HX39)</f>
        <v/>
      </c>
      <c r="FQ39">
        <f>MAX(0,ROUND(N(FN39)+N(FO39)-N(FP39),2))</f>
        <v/>
      </c>
      <c r="FR39">
        <f>N(FU38)</f>
        <v/>
      </c>
      <c r="FS39">
        <f>IF(N(FR39)&lt;=0.005,0,ROUND(N(FR39)*N('Debt List'!E6)/12,2))</f>
        <v/>
      </c>
      <c r="FT39">
        <f>IF(N(FR39)&lt;=0.005,0,MIN(N('Debt List'!F6),N(FR39)+N(FS39)))+((GT39=2)*GV39+(GX39=2)*GZ39+(HB39=2)*HD39+(HF39=2)*HH39+(HJ39=2)*HL39+(HN39=2)*HP39+(HR39=2)*HT39+(HV39=2)*HX39)</f>
        <v/>
      </c>
      <c r="FU39">
        <f>MAX(0,ROUND(N(FR39)+N(FS39)-N(FT39),2))</f>
        <v/>
      </c>
      <c r="FV39">
        <f>N(FY38)</f>
        <v/>
      </c>
      <c r="FW39">
        <f>IF(N(FV39)&lt;=0.005,0,ROUND(N(FV39)*N('Debt List'!E7)/12,2))</f>
        <v/>
      </c>
      <c r="FX39">
        <f>IF(N(FV39)&lt;=0.005,0,MIN(N('Debt List'!F7),N(FV39)+N(FW39)))+((GT39=3)*GV39+(GX39=3)*GZ39+(HB39=3)*HD39+(HF39=3)*HH39+(HJ39=3)*HL39+(HN39=3)*HP39+(HR39=3)*HT39+(HV39=3)*HX39)</f>
        <v/>
      </c>
      <c r="FY39">
        <f>MAX(0,ROUND(N(FV39)+N(FW39)-N(FX39),2))</f>
        <v/>
      </c>
      <c r="FZ39">
        <f>N(GC38)</f>
        <v/>
      </c>
      <c r="GA39">
        <f>IF(N(FZ39)&lt;=0.005,0,ROUND(N(FZ39)*N('Debt List'!E8)/12,2))</f>
        <v/>
      </c>
      <c r="GB39">
        <f>IF(N(FZ39)&lt;=0.005,0,MIN(N('Debt List'!F8),N(FZ39)+N(GA39)))+((GT39=4)*GV39+(GX39=4)*GZ39+(HB39=4)*HD39+(HF39=4)*HH39+(HJ39=4)*HL39+(HN39=4)*HP39+(HR39=4)*HT39+(HV39=4)*HX39)</f>
        <v/>
      </c>
      <c r="GC39">
        <f>MAX(0,ROUND(N(FZ39)+N(GA39)-N(GB39),2))</f>
        <v/>
      </c>
      <c r="GD39">
        <f>N(GG38)</f>
        <v/>
      </c>
      <c r="GE39">
        <f>IF(N(GD39)&lt;=0.005,0,ROUND(N(GD39)*N('Debt List'!E9)/12,2))</f>
        <v/>
      </c>
      <c r="GF39">
        <f>IF(N(GD39)&lt;=0.005,0,MIN(N('Debt List'!F9),N(GD39)+N(GE39)))+((GT39=5)*GV39+(GX39=5)*GZ39+(HB39=5)*HD39+(HF39=5)*HH39+(HJ39=5)*HL39+(HN39=5)*HP39+(HR39=5)*HT39+(HV39=5)*HX39)</f>
        <v/>
      </c>
      <c r="GG39">
        <f>MAX(0,ROUND(N(GD39)+N(GE39)-N(GF39),2))</f>
        <v/>
      </c>
      <c r="GH39">
        <f>N(GK38)</f>
        <v/>
      </c>
      <c r="GI39">
        <f>IF(N(GH39)&lt;=0.005,0,ROUND(N(GH39)*N('Debt List'!E10)/12,2))</f>
        <v/>
      </c>
      <c r="GJ39">
        <f>IF(N(GH39)&lt;=0.005,0,MIN(N('Debt List'!F10),N(GH39)+N(GI39)))+((GT39=6)*GV39+(GX39=6)*GZ39+(HB39=6)*HD39+(HF39=6)*HH39+(HJ39=6)*HL39+(HN39=6)*HP39+(HR39=6)*HT39+(HV39=6)*HX39)</f>
        <v/>
      </c>
      <c r="GK39">
        <f>MAX(0,ROUND(N(GH39)+N(GI39)-N(GJ39),2))</f>
        <v/>
      </c>
      <c r="GL39">
        <f>N(GO38)</f>
        <v/>
      </c>
      <c r="GM39">
        <f>IF(N(GL39)&lt;=0.005,0,ROUND(N(GL39)*N('Debt List'!E11)/12,2))</f>
        <v/>
      </c>
      <c r="GN39">
        <f>IF(N(GL39)&lt;=0.005,0,MIN(N('Debt List'!F11),N(GL39)+N(GM39)))+((GT39=7)*GV39+(GX39=7)*GZ39+(HB39=7)*HD39+(HF39=7)*HH39+(HJ39=7)*HL39+(HN39=7)*HP39+(HR39=7)*HT39+(HV39=7)*HX39)</f>
        <v/>
      </c>
      <c r="GO39">
        <f>MAX(0,ROUND(N(GL39)+N(GM39)-N(GN39),2))</f>
        <v/>
      </c>
      <c r="GP39">
        <f>N(GS38)</f>
        <v/>
      </c>
      <c r="GQ39">
        <f>IF(N(GP39)&lt;=0.005,0,ROUND(N(GP39)*N('Debt List'!E12)/12,2))</f>
        <v/>
      </c>
      <c r="GR39">
        <f>IF(N(GP39)&lt;=0.005,0,MIN(N('Debt List'!F12),N(GP39)+N(GQ39)))+((GT39=8)*GV39+(GX39=8)*GZ39+(HB39=8)*HD39+(HF39=8)*HH39+(HJ39=8)*HL39+(HN39=8)*HP39+(HR39=8)*HT39+(HV39=8)*HX39)</f>
        <v/>
      </c>
      <c r="GS39">
        <f>MAX(0,ROUND(N(GP39)+N(GQ39)-N(GR39),2))</f>
        <v/>
      </c>
      <c r="GT39">
        <f>IFERROR(MATCH(1,OrderAval,0),"")</f>
        <v/>
      </c>
      <c r="GU39">
        <f>IF(GT39="",0,IFERROR(IF(N(CHOOSE(GT39,FN39,FR39,FV39,FZ39,GD39,GH39,GL39,GP39))&lt;=0.005,0,MAX(0,N(CHOOSE(GT39,FN39,FR39,FV39,FZ39,GD39,GH39,GL39,GP39))+N(CHOOSE(GT39,FO39,FS39,FW39,GA39,GE39,GI39,GM39,GQ39))-MIN(N(CHOOSE(GT39,'Debt List'!$F$5,'Debt List'!$F$6,'Debt List'!$F$7,'Debt List'!$F$8,'Debt List'!$F$9,'Debt List'!$F$10,'Debt List'!$F$11,'Debt List'!$F$12)),N(CHOOSE(GT39,FN39,FR39,FV39,FZ39,GD39,GH39,GL39,GP39))+N(CHOOSE(GT39,FO39,FS39,FW39,GA39,GE39,GI39,GM39,GQ39))))),0))</f>
        <v/>
      </c>
      <c r="GV39">
        <f>MIN(N(GU39),MAX(0,N(ExtraPayment)))</f>
        <v/>
      </c>
      <c r="GW39">
        <f>MAX(0,N(ExtraPayment)-N(GV39))</f>
        <v/>
      </c>
      <c r="GX39">
        <f>IFERROR(MATCH(2,OrderAval,0),"")</f>
        <v/>
      </c>
      <c r="GY39">
        <f>IF(GX39="",0,IFERROR(IF(N(CHOOSE(GX39,FN39,FR39,FV39,FZ39,GD39,GH39,GL39,GP39))&lt;=0.005,0,MAX(0,N(CHOOSE(GX39,FN39,FR39,FV39,FZ39,GD39,GH39,GL39,GP39))+N(CHOOSE(GX39,FO39,FS39,FW39,GA39,GE39,GI39,GM39,GQ39))-MIN(N(CHOOSE(GX39,'Debt List'!$F$5,'Debt List'!$F$6,'Debt List'!$F$7,'Debt List'!$F$8,'Debt List'!$F$9,'Debt List'!$F$10,'Debt List'!$F$11,'Debt List'!$F$12)),N(CHOOSE(GX39,FN39,FR39,FV39,FZ39,GD39,GH39,GL39,GP39))+N(CHOOSE(GX39,FO39,FS39,FW39,GA39,GE39,GI39,GM39,GQ39))))),0))</f>
        <v/>
      </c>
      <c r="GZ39">
        <f>MIN(N(GY39),MAX(0,N(GW39)))</f>
        <v/>
      </c>
      <c r="HA39">
        <f>MAX(0,N(GW39)-N(GZ39))</f>
        <v/>
      </c>
      <c r="HB39">
        <f>IFERROR(MATCH(3,OrderAval,0),"")</f>
        <v/>
      </c>
      <c r="HC39">
        <f>IF(HB39="",0,IFERROR(IF(N(CHOOSE(HB39,FN39,FR39,FV39,FZ39,GD39,GH39,GL39,GP39))&lt;=0.005,0,MAX(0,N(CHOOSE(HB39,FN39,FR39,FV39,FZ39,GD39,GH39,GL39,GP39))+N(CHOOSE(HB39,FO39,FS39,FW39,GA39,GE39,GI39,GM39,GQ39))-MIN(N(CHOOSE(HB39,'Debt List'!$F$5,'Debt List'!$F$6,'Debt List'!$F$7,'Debt List'!$F$8,'Debt List'!$F$9,'Debt List'!$F$10,'Debt List'!$F$11,'Debt List'!$F$12)),N(CHOOSE(HB39,FN39,FR39,FV39,FZ39,GD39,GH39,GL39,GP39))+N(CHOOSE(HB39,FO39,FS39,FW39,GA39,GE39,GI39,GM39,GQ39))))),0))</f>
        <v/>
      </c>
      <c r="HD39">
        <f>MIN(N(HC39),MAX(0,N(HA39)))</f>
        <v/>
      </c>
      <c r="HE39">
        <f>MAX(0,N(HA39)-N(HD39))</f>
        <v/>
      </c>
      <c r="HF39">
        <f>IFERROR(MATCH(4,OrderAval,0),"")</f>
        <v/>
      </c>
      <c r="HG39">
        <f>IF(HF39="",0,IFERROR(IF(N(CHOOSE(HF39,FN39,FR39,FV39,FZ39,GD39,GH39,GL39,GP39))&lt;=0.005,0,MAX(0,N(CHOOSE(HF39,FN39,FR39,FV39,FZ39,GD39,GH39,GL39,GP39))+N(CHOOSE(HF39,FO39,FS39,FW39,GA39,GE39,GI39,GM39,GQ39))-MIN(N(CHOOSE(HF39,'Debt List'!$F$5,'Debt List'!$F$6,'Debt List'!$F$7,'Debt List'!$F$8,'Debt List'!$F$9,'Debt List'!$F$10,'Debt List'!$F$11,'Debt List'!$F$12)),N(CHOOSE(HF39,FN39,FR39,FV39,FZ39,GD39,GH39,GL39,GP39))+N(CHOOSE(HF39,FO39,FS39,FW39,GA39,GE39,GI39,GM39,GQ39))))),0))</f>
        <v/>
      </c>
      <c r="HH39">
        <f>MIN(N(HG39),MAX(0,N(HE39)))</f>
        <v/>
      </c>
      <c r="HI39">
        <f>MAX(0,N(HE39)-N(HH39))</f>
        <v/>
      </c>
      <c r="HJ39">
        <f>IFERROR(MATCH(5,OrderAval,0),"")</f>
        <v/>
      </c>
      <c r="HK39">
        <f>IF(HJ39="",0,IFERROR(IF(N(CHOOSE(HJ39,FN39,FR39,FV39,FZ39,GD39,GH39,GL39,GP39))&lt;=0.005,0,MAX(0,N(CHOOSE(HJ39,FN39,FR39,FV39,FZ39,GD39,GH39,GL39,GP39))+N(CHOOSE(HJ39,FO39,FS39,FW39,GA39,GE39,GI39,GM39,GQ39))-MIN(N(CHOOSE(HJ39,'Debt List'!$F$5,'Debt List'!$F$6,'Debt List'!$F$7,'Debt List'!$F$8,'Debt List'!$F$9,'Debt List'!$F$10,'Debt List'!$F$11,'Debt List'!$F$12)),N(CHOOSE(HJ39,FN39,FR39,FV39,FZ39,GD39,GH39,GL39,GP39))+N(CHOOSE(HJ39,FO39,FS39,FW39,GA39,GE39,GI39,GM39,GQ39))))),0))</f>
        <v/>
      </c>
      <c r="HL39">
        <f>MIN(N(HK39),MAX(0,N(HI39)))</f>
        <v/>
      </c>
      <c r="HM39">
        <f>MAX(0,N(HI39)-N(HL39))</f>
        <v/>
      </c>
      <c r="HN39">
        <f>IFERROR(MATCH(6,OrderAval,0),"")</f>
        <v/>
      </c>
      <c r="HO39">
        <f>IF(HN39="",0,IFERROR(IF(N(CHOOSE(HN39,FN39,FR39,FV39,FZ39,GD39,GH39,GL39,GP39))&lt;=0.005,0,MAX(0,N(CHOOSE(HN39,FN39,FR39,FV39,FZ39,GD39,GH39,GL39,GP39))+N(CHOOSE(HN39,FO39,FS39,FW39,GA39,GE39,GI39,GM39,GQ39))-MIN(N(CHOOSE(HN39,'Debt List'!$F$5,'Debt List'!$F$6,'Debt List'!$F$7,'Debt List'!$F$8,'Debt List'!$F$9,'Debt List'!$F$10,'Debt List'!$F$11,'Debt List'!$F$12)),N(CHOOSE(HN39,FN39,FR39,FV39,FZ39,GD39,GH39,GL39,GP39))+N(CHOOSE(HN39,FO39,FS39,FW39,GA39,GE39,GI39,GM39,GQ39))))),0))</f>
        <v/>
      </c>
      <c r="HP39">
        <f>MIN(N(HO39),MAX(0,N(HM39)))</f>
        <v/>
      </c>
      <c r="HQ39">
        <f>MAX(0,N(HM39)-N(HP39))</f>
        <v/>
      </c>
      <c r="HR39">
        <f>IFERROR(MATCH(7,OrderAval,0),"")</f>
        <v/>
      </c>
      <c r="HS39">
        <f>IF(HR39="",0,IFERROR(IF(N(CHOOSE(HR39,FN39,FR39,FV39,FZ39,GD39,GH39,GL39,GP39))&lt;=0.005,0,MAX(0,N(CHOOSE(HR39,FN39,FR39,FV39,FZ39,GD39,GH39,GL39,GP39))+N(CHOOSE(HR39,FO39,FS39,FW39,GA39,GE39,GI39,GM39,GQ39))-MIN(N(CHOOSE(HR39,'Debt List'!$F$5,'Debt List'!$F$6,'Debt List'!$F$7,'Debt List'!$F$8,'Debt List'!$F$9,'Debt List'!$F$10,'Debt List'!$F$11,'Debt List'!$F$12)),N(CHOOSE(HR39,FN39,FR39,FV39,FZ39,GD39,GH39,GL39,GP39))+N(CHOOSE(HR39,FO39,FS39,FW39,GA39,GE39,GI39,GM39,GQ39))))),0))</f>
        <v/>
      </c>
      <c r="HT39">
        <f>MIN(N(HS39),MAX(0,N(HQ39)))</f>
        <v/>
      </c>
      <c r="HU39">
        <f>MAX(0,N(HQ39)-N(HT39))</f>
        <v/>
      </c>
      <c r="HV39">
        <f>IFERROR(MATCH(8,OrderAval,0),"")</f>
        <v/>
      </c>
      <c r="HW39">
        <f>IF(HV39="",0,IFERROR(IF(N(CHOOSE(HV39,FN39,FR39,FV39,FZ39,GD39,GH39,GL39,GP39))&lt;=0.005,0,MAX(0,N(CHOOSE(HV39,FN39,FR39,FV39,FZ39,GD39,GH39,GL39,GP39))+N(CHOOSE(HV39,FO39,FS39,FW39,GA39,GE39,GI39,GM39,GQ39))-MIN(N(CHOOSE(HV39,'Debt List'!$F$5,'Debt List'!$F$6,'Debt List'!$F$7,'Debt List'!$F$8,'Debt List'!$F$9,'Debt List'!$F$10,'Debt List'!$F$11,'Debt List'!$F$12)),N(CHOOSE(HV39,FN39,FR39,FV39,FZ39,GD39,GH39,GL39,GP39))+N(CHOOSE(HV39,FO39,FS39,FW39,GA39,GE39,GI39,GM39,GQ39))))),0))</f>
        <v/>
      </c>
      <c r="HX39">
        <f>MIN(N(HW39),MAX(0,N(HU39)))</f>
        <v/>
      </c>
      <c r="HY39">
        <f>MAX(0,N(HU39)-N(HX39))</f>
        <v/>
      </c>
    </row>
    <row r="40">
      <c r="A40" t="n">
        <v>36</v>
      </c>
      <c r="B40" s="115">
        <f>DATE(YEAR(PlanStart),MONTH(PlanStart)+A40-1,1)</f>
        <v/>
      </c>
      <c r="C40">
        <f>IF(AND(AP40&lt;&gt;"",N(CHOOSE(AP40,J40,N40,R40,V40,Z40,AD40,AH40,AL40))&gt;0.005),INDEX(DebtNames,AP40),IF(AND(AT40&lt;&gt;"",N(CHOOSE(AT40,J40,N40,R40,V40,Z40,AD40,AH40,AL40))&gt;0.005),INDEX(DebtNames,AT40),IF(AND(AX40&lt;&gt;"",N(CHOOSE(AX40,J40,N40,R40,V40,Z40,AD40,AH40,AL40))&gt;0.005),INDEX(DebtNames,AX40),IF(AND(BB40&lt;&gt;"",N(CHOOSE(BB40,J40,N40,R40,V40,Z40,AD40,AH40,AL40))&gt;0.005),INDEX(DebtNames,BB40),IF(AND(BF40&lt;&gt;"",N(CHOOSE(BF40,J40,N40,R40,V40,Z40,AD40,AH40,AL40))&gt;0.005),INDEX(DebtNames,BF40),IF(AND(BJ40&lt;&gt;"",N(CHOOSE(BJ40,J40,N40,R40,V40,Z40,AD40,AH40,AL40))&gt;0.005),INDEX(DebtNames,BJ40),IF(AND(BN40&lt;&gt;"",N(CHOOSE(BN40,J40,N40,R40,V40,Z40,AD40,AH40,AL40))&gt;0.005),INDEX(DebtNames,BN40),IF(AND(BR40&lt;&gt;"",N(CHOOSE(BR40,J40,N40,R40,V40,Z40,AD40,AH40,AL40))&gt;0.005),INDEX(DebtNames,BR40),""))))))))</f>
        <v/>
      </c>
      <c r="D40">
        <f>N(BU40)</f>
        <v/>
      </c>
      <c r="E40">
        <f>N(L40)+N(P40)+N(T40)+N(X40)+N(AB40)+N(AF40)+N(AJ40)+N(AN40)</f>
        <v/>
      </c>
      <c r="F40">
        <f>N(K40)+N(O40)+N(S40)+N(W40)+N(AA40)+N(AE40)+N(AI40)+N(AM40)</f>
        <v/>
      </c>
      <c r="G40">
        <f>N(G39)+N(F40)</f>
        <v/>
      </c>
      <c r="H40">
        <f>N(M40)+N(Q40)+N(U40)+N(Y40)+N(AC40)+N(AG40)+N(AK40)+N(AO40)</f>
        <v/>
      </c>
      <c r="I40">
        <f>(M40&gt;0.005)*1+(Q40&gt;0.005)*1+(U40&gt;0.005)*1+(Y40&gt;0.005)*1+(AC40&gt;0.005)*1+(AG40&gt;0.005)*1+(AK40&gt;0.005)*1+(AO40&gt;0.005)*1</f>
        <v/>
      </c>
      <c r="J40">
        <f>N(M39)</f>
        <v/>
      </c>
      <c r="K40">
        <f>IF(N(J40)&lt;=0.005,0,ROUND(N(J40)*N('Debt List'!E5)/12,2))</f>
        <v/>
      </c>
      <c r="L40">
        <f>IF(N(J40)&lt;=0.005,0,MIN(N('Debt List'!F5),N(J40)+N(K40)))+((AP40=1)*AR40+(AT40=1)*AV40+(AX40=1)*AZ40+(BB40=1)*BD40+(BF40=1)*BH40+(BJ40=1)*BL40+(BN40=1)*BP40+(BR40=1)*BT40)</f>
        <v/>
      </c>
      <c r="M40">
        <f>MAX(0,ROUND(N(J40)+N(K40)-N(L40),2))</f>
        <v/>
      </c>
      <c r="N40">
        <f>N(Q39)</f>
        <v/>
      </c>
      <c r="O40">
        <f>IF(N(N40)&lt;=0.005,0,ROUND(N(N40)*N('Debt List'!E6)/12,2))</f>
        <v/>
      </c>
      <c r="P40">
        <f>IF(N(N40)&lt;=0.005,0,MIN(N('Debt List'!F6),N(N40)+N(O40)))+((AP40=2)*AR40+(AT40=2)*AV40+(AX40=2)*AZ40+(BB40=2)*BD40+(BF40=2)*BH40+(BJ40=2)*BL40+(BN40=2)*BP40+(BR40=2)*BT40)</f>
        <v/>
      </c>
      <c r="Q40">
        <f>MAX(0,ROUND(N(N40)+N(O40)-N(P40),2))</f>
        <v/>
      </c>
      <c r="R40">
        <f>N(U39)</f>
        <v/>
      </c>
      <c r="S40">
        <f>IF(N(R40)&lt;=0.005,0,ROUND(N(R40)*N('Debt List'!E7)/12,2))</f>
        <v/>
      </c>
      <c r="T40">
        <f>IF(N(R40)&lt;=0.005,0,MIN(N('Debt List'!F7),N(R40)+N(S40)))+((AP40=3)*AR40+(AT40=3)*AV40+(AX40=3)*AZ40+(BB40=3)*BD40+(BF40=3)*BH40+(BJ40=3)*BL40+(BN40=3)*BP40+(BR40=3)*BT40)</f>
        <v/>
      </c>
      <c r="U40">
        <f>MAX(0,ROUND(N(R40)+N(S40)-N(T40),2))</f>
        <v/>
      </c>
      <c r="V40">
        <f>N(Y39)</f>
        <v/>
      </c>
      <c r="W40">
        <f>IF(N(V40)&lt;=0.005,0,ROUND(N(V40)*N('Debt List'!E8)/12,2))</f>
        <v/>
      </c>
      <c r="X40">
        <f>IF(N(V40)&lt;=0.005,0,MIN(N('Debt List'!F8),N(V40)+N(W40)))+((AP40=4)*AR40+(AT40=4)*AV40+(AX40=4)*AZ40+(BB40=4)*BD40+(BF40=4)*BH40+(BJ40=4)*BL40+(BN40=4)*BP40+(BR40=4)*BT40)</f>
        <v/>
      </c>
      <c r="Y40">
        <f>MAX(0,ROUND(N(V40)+N(W40)-N(X40),2))</f>
        <v/>
      </c>
      <c r="Z40">
        <f>N(AC39)</f>
        <v/>
      </c>
      <c r="AA40">
        <f>IF(N(Z40)&lt;=0.005,0,ROUND(N(Z40)*N('Debt List'!E9)/12,2))</f>
        <v/>
      </c>
      <c r="AB40">
        <f>IF(N(Z40)&lt;=0.005,0,MIN(N('Debt List'!F9),N(Z40)+N(AA40)))+((AP40=5)*AR40+(AT40=5)*AV40+(AX40=5)*AZ40+(BB40=5)*BD40+(BF40=5)*BH40+(BJ40=5)*BL40+(BN40=5)*BP40+(BR40=5)*BT40)</f>
        <v/>
      </c>
      <c r="AC40">
        <f>MAX(0,ROUND(N(Z40)+N(AA40)-N(AB40),2))</f>
        <v/>
      </c>
      <c r="AD40">
        <f>N(AG39)</f>
        <v/>
      </c>
      <c r="AE40">
        <f>IF(N(AD40)&lt;=0.005,0,ROUND(N(AD40)*N('Debt List'!E10)/12,2))</f>
        <v/>
      </c>
      <c r="AF40">
        <f>IF(N(AD40)&lt;=0.005,0,MIN(N('Debt List'!F10),N(AD40)+N(AE40)))+((AP40=6)*AR40+(AT40=6)*AV40+(AX40=6)*AZ40+(BB40=6)*BD40+(BF40=6)*BH40+(BJ40=6)*BL40+(BN40=6)*BP40+(BR40=6)*BT40)</f>
        <v/>
      </c>
      <c r="AG40">
        <f>MAX(0,ROUND(N(AD40)+N(AE40)-N(AF40),2))</f>
        <v/>
      </c>
      <c r="AH40">
        <f>N(AK39)</f>
        <v/>
      </c>
      <c r="AI40">
        <f>IF(N(AH40)&lt;=0.005,0,ROUND(N(AH40)*N('Debt List'!E11)/12,2))</f>
        <v/>
      </c>
      <c r="AJ40">
        <f>IF(N(AH40)&lt;=0.005,0,MIN(N('Debt List'!F11),N(AH40)+N(AI40)))+((AP40=7)*AR40+(AT40=7)*AV40+(AX40=7)*AZ40+(BB40=7)*BD40+(BF40=7)*BH40+(BJ40=7)*BL40+(BN40=7)*BP40+(BR40=7)*BT40)</f>
        <v/>
      </c>
      <c r="AK40">
        <f>MAX(0,ROUND(N(AH40)+N(AI40)-N(AJ40),2))</f>
        <v/>
      </c>
      <c r="AL40">
        <f>N(AO39)</f>
        <v/>
      </c>
      <c r="AM40">
        <f>IF(N(AL40)&lt;=0.005,0,ROUND(N(AL40)*N('Debt List'!E12)/12,2))</f>
        <v/>
      </c>
      <c r="AN40">
        <f>IF(N(AL40)&lt;=0.005,0,MIN(N('Debt List'!F12),N(AL40)+N(AM40)))+((AP40=8)*AR40+(AT40=8)*AV40+(AX40=8)*AZ40+(BB40=8)*BD40+(BF40=8)*BH40+(BJ40=8)*BL40+(BN40=8)*BP40+(BR40=8)*BT40)</f>
        <v/>
      </c>
      <c r="AO40">
        <f>MAX(0,ROUND(N(AL40)+N(AM40)-N(AN40),2))</f>
        <v/>
      </c>
      <c r="AP40">
        <f>IFERROR(MATCH(1,OrderPlan,0),"")</f>
        <v/>
      </c>
      <c r="AQ40">
        <f>IF(AP40="",0,IFERROR(IF(N(CHOOSE(AP40,J40,N40,R40,V40,Z40,AD40,AH40,AL40))&lt;=0.005,0,MAX(0,N(CHOOSE(AP40,J40,N40,R40,V40,Z40,AD40,AH40,AL40))+N(CHOOSE(AP40,K40,O40,S40,W40,AA40,AE40,AI40,AM40))-MIN(N(CHOOSE(AP40,'Debt List'!$F$5,'Debt List'!$F$6,'Debt List'!$F$7,'Debt List'!$F$8,'Debt List'!$F$9,'Debt List'!$F$10,'Debt List'!$F$11,'Debt List'!$F$12)),N(CHOOSE(AP40,J40,N40,R40,V40,Z40,AD40,AH40,AL40))+N(CHOOSE(AP40,K40,O40,S40,W40,AA40,AE40,AI40,AM40))))),0))</f>
        <v/>
      </c>
      <c r="AR40">
        <f>MIN(N(AQ40),MAX(0,N(ExtraPayment)))</f>
        <v/>
      </c>
      <c r="AS40">
        <f>MAX(0,N(ExtraPayment)-N(AR40))</f>
        <v/>
      </c>
      <c r="AT40">
        <f>IFERROR(MATCH(2,OrderPlan,0),"")</f>
        <v/>
      </c>
      <c r="AU40">
        <f>IF(AT40="",0,IFERROR(IF(N(CHOOSE(AT40,J40,N40,R40,V40,Z40,AD40,AH40,AL40))&lt;=0.005,0,MAX(0,N(CHOOSE(AT40,J40,N40,R40,V40,Z40,AD40,AH40,AL40))+N(CHOOSE(AT40,K40,O40,S40,W40,AA40,AE40,AI40,AM40))-MIN(N(CHOOSE(AT40,'Debt List'!$F$5,'Debt List'!$F$6,'Debt List'!$F$7,'Debt List'!$F$8,'Debt List'!$F$9,'Debt List'!$F$10,'Debt List'!$F$11,'Debt List'!$F$12)),N(CHOOSE(AT40,J40,N40,R40,V40,Z40,AD40,AH40,AL40))+N(CHOOSE(AT40,K40,O40,S40,W40,AA40,AE40,AI40,AM40))))),0))</f>
        <v/>
      </c>
      <c r="AV40">
        <f>MIN(N(AU40),MAX(0,N(AS40)))</f>
        <v/>
      </c>
      <c r="AW40">
        <f>MAX(0,N(AS40)-N(AV40))</f>
        <v/>
      </c>
      <c r="AX40">
        <f>IFERROR(MATCH(3,OrderPlan,0),"")</f>
        <v/>
      </c>
      <c r="AY40">
        <f>IF(AX40="",0,IFERROR(IF(N(CHOOSE(AX40,J40,N40,R40,V40,Z40,AD40,AH40,AL40))&lt;=0.005,0,MAX(0,N(CHOOSE(AX40,J40,N40,R40,V40,Z40,AD40,AH40,AL40))+N(CHOOSE(AX40,K40,O40,S40,W40,AA40,AE40,AI40,AM40))-MIN(N(CHOOSE(AX40,'Debt List'!$F$5,'Debt List'!$F$6,'Debt List'!$F$7,'Debt List'!$F$8,'Debt List'!$F$9,'Debt List'!$F$10,'Debt List'!$F$11,'Debt List'!$F$12)),N(CHOOSE(AX40,J40,N40,R40,V40,Z40,AD40,AH40,AL40))+N(CHOOSE(AX40,K40,O40,S40,W40,AA40,AE40,AI40,AM40))))),0))</f>
        <v/>
      </c>
      <c r="AZ40">
        <f>MIN(N(AY40),MAX(0,N(AW40)))</f>
        <v/>
      </c>
      <c r="BA40">
        <f>MAX(0,N(AW40)-N(AZ40))</f>
        <v/>
      </c>
      <c r="BB40">
        <f>IFERROR(MATCH(4,OrderPlan,0),"")</f>
        <v/>
      </c>
      <c r="BC40">
        <f>IF(BB40="",0,IFERROR(IF(N(CHOOSE(BB40,J40,N40,R40,V40,Z40,AD40,AH40,AL40))&lt;=0.005,0,MAX(0,N(CHOOSE(BB40,J40,N40,R40,V40,Z40,AD40,AH40,AL40))+N(CHOOSE(BB40,K40,O40,S40,W40,AA40,AE40,AI40,AM40))-MIN(N(CHOOSE(BB40,'Debt List'!$F$5,'Debt List'!$F$6,'Debt List'!$F$7,'Debt List'!$F$8,'Debt List'!$F$9,'Debt List'!$F$10,'Debt List'!$F$11,'Debt List'!$F$12)),N(CHOOSE(BB40,J40,N40,R40,V40,Z40,AD40,AH40,AL40))+N(CHOOSE(BB40,K40,O40,S40,W40,AA40,AE40,AI40,AM40))))),0))</f>
        <v/>
      </c>
      <c r="BD40">
        <f>MIN(N(BC40),MAX(0,N(BA40)))</f>
        <v/>
      </c>
      <c r="BE40">
        <f>MAX(0,N(BA40)-N(BD40))</f>
        <v/>
      </c>
      <c r="BF40">
        <f>IFERROR(MATCH(5,OrderPlan,0),"")</f>
        <v/>
      </c>
      <c r="BG40">
        <f>IF(BF40="",0,IFERROR(IF(N(CHOOSE(BF40,J40,N40,R40,V40,Z40,AD40,AH40,AL40))&lt;=0.005,0,MAX(0,N(CHOOSE(BF40,J40,N40,R40,V40,Z40,AD40,AH40,AL40))+N(CHOOSE(BF40,K40,O40,S40,W40,AA40,AE40,AI40,AM40))-MIN(N(CHOOSE(BF40,'Debt List'!$F$5,'Debt List'!$F$6,'Debt List'!$F$7,'Debt List'!$F$8,'Debt List'!$F$9,'Debt List'!$F$10,'Debt List'!$F$11,'Debt List'!$F$12)),N(CHOOSE(BF40,J40,N40,R40,V40,Z40,AD40,AH40,AL40))+N(CHOOSE(BF40,K40,O40,S40,W40,AA40,AE40,AI40,AM40))))),0))</f>
        <v/>
      </c>
      <c r="BH40">
        <f>MIN(N(BG40),MAX(0,N(BE40)))</f>
        <v/>
      </c>
      <c r="BI40">
        <f>MAX(0,N(BE40)-N(BH40))</f>
        <v/>
      </c>
      <c r="BJ40">
        <f>IFERROR(MATCH(6,OrderPlan,0),"")</f>
        <v/>
      </c>
      <c r="BK40">
        <f>IF(BJ40="",0,IFERROR(IF(N(CHOOSE(BJ40,J40,N40,R40,V40,Z40,AD40,AH40,AL40))&lt;=0.005,0,MAX(0,N(CHOOSE(BJ40,J40,N40,R40,V40,Z40,AD40,AH40,AL40))+N(CHOOSE(BJ40,K40,O40,S40,W40,AA40,AE40,AI40,AM40))-MIN(N(CHOOSE(BJ40,'Debt List'!$F$5,'Debt List'!$F$6,'Debt List'!$F$7,'Debt List'!$F$8,'Debt List'!$F$9,'Debt List'!$F$10,'Debt List'!$F$11,'Debt List'!$F$12)),N(CHOOSE(BJ40,J40,N40,R40,V40,Z40,AD40,AH40,AL40))+N(CHOOSE(BJ40,K40,O40,S40,W40,AA40,AE40,AI40,AM40))))),0))</f>
        <v/>
      </c>
      <c r="BL40">
        <f>MIN(N(BK40),MAX(0,N(BI40)))</f>
        <v/>
      </c>
      <c r="BM40">
        <f>MAX(0,N(BI40)-N(BL40))</f>
        <v/>
      </c>
      <c r="BN40">
        <f>IFERROR(MATCH(7,OrderPlan,0),"")</f>
        <v/>
      </c>
      <c r="BO40">
        <f>IF(BN40="",0,IFERROR(IF(N(CHOOSE(BN40,J40,N40,R40,V40,Z40,AD40,AH40,AL40))&lt;=0.005,0,MAX(0,N(CHOOSE(BN40,J40,N40,R40,V40,Z40,AD40,AH40,AL40))+N(CHOOSE(BN40,K40,O40,S40,W40,AA40,AE40,AI40,AM40))-MIN(N(CHOOSE(BN40,'Debt List'!$F$5,'Debt List'!$F$6,'Debt List'!$F$7,'Debt List'!$F$8,'Debt List'!$F$9,'Debt List'!$F$10,'Debt List'!$F$11,'Debt List'!$F$12)),N(CHOOSE(BN40,J40,N40,R40,V40,Z40,AD40,AH40,AL40))+N(CHOOSE(BN40,K40,O40,S40,W40,AA40,AE40,AI40,AM40))))),0))</f>
        <v/>
      </c>
      <c r="BP40">
        <f>MIN(N(BO40),MAX(0,N(BM40)))</f>
        <v/>
      </c>
      <c r="BQ40">
        <f>MAX(0,N(BM40)-N(BP40))</f>
        <v/>
      </c>
      <c r="BR40">
        <f>IFERROR(MATCH(8,OrderPlan,0),"")</f>
        <v/>
      </c>
      <c r="BS40">
        <f>IF(BR40="",0,IFERROR(IF(N(CHOOSE(BR40,J40,N40,R40,V40,Z40,AD40,AH40,AL40))&lt;=0.005,0,MAX(0,N(CHOOSE(BR40,J40,N40,R40,V40,Z40,AD40,AH40,AL40))+N(CHOOSE(BR40,K40,O40,S40,W40,AA40,AE40,AI40,AM40))-MIN(N(CHOOSE(BR40,'Debt List'!$F$5,'Debt List'!$F$6,'Debt List'!$F$7,'Debt List'!$F$8,'Debt List'!$F$9,'Debt List'!$F$10,'Debt List'!$F$11,'Debt List'!$F$12)),N(CHOOSE(BR40,J40,N40,R40,V40,Z40,AD40,AH40,AL40))+N(CHOOSE(BR40,K40,O40,S40,W40,AA40,AE40,AI40,AM40))))),0))</f>
        <v/>
      </c>
      <c r="BT40">
        <f>MIN(N(BS40),MAX(0,N(BQ40)))</f>
        <v/>
      </c>
      <c r="BU40">
        <f>MAX(0,N(BQ40)-N(BT40))</f>
        <v/>
      </c>
      <c r="CC40" t="n">
        <v>36</v>
      </c>
      <c r="CD40" s="115">
        <f>DATE(YEAR(PlanStart),MONTH(PlanStart)+CC40-1,1)</f>
        <v/>
      </c>
      <c r="CE40">
        <f>IF(AND(DR40&lt;&gt;"",N(CHOOSE(DR40,CL40,CP40,CT40,CX40,DB40,DF40,DJ40,DN40))&gt;0.005),INDEX(DebtNames,DR40),IF(AND(DV40&lt;&gt;"",N(CHOOSE(DV40,CL40,CP40,CT40,CX40,DB40,DF40,DJ40,DN40))&gt;0.005),INDEX(DebtNames,DV40),IF(AND(DZ40&lt;&gt;"",N(CHOOSE(DZ40,CL40,CP40,CT40,CX40,DB40,DF40,DJ40,DN40))&gt;0.005),INDEX(DebtNames,DZ40),IF(AND(ED40&lt;&gt;"",N(CHOOSE(ED40,CL40,CP40,CT40,CX40,DB40,DF40,DJ40,DN40))&gt;0.005),INDEX(DebtNames,ED40),IF(AND(EH40&lt;&gt;"",N(CHOOSE(EH40,CL40,CP40,CT40,CX40,DB40,DF40,DJ40,DN40))&gt;0.005),INDEX(DebtNames,EH40),IF(AND(EL40&lt;&gt;"",N(CHOOSE(EL40,CL40,CP40,CT40,CX40,DB40,DF40,DJ40,DN40))&gt;0.005),INDEX(DebtNames,EL40),IF(AND(EP40&lt;&gt;"",N(CHOOSE(EP40,CL40,CP40,CT40,CX40,DB40,DF40,DJ40,DN40))&gt;0.005),INDEX(DebtNames,EP40),IF(AND(ET40&lt;&gt;"",N(CHOOSE(ET40,CL40,CP40,CT40,CX40,DB40,DF40,DJ40,DN40))&gt;0.005),INDEX(DebtNames,ET40),""))))))))</f>
        <v/>
      </c>
      <c r="CF40">
        <f>N(EW40)</f>
        <v/>
      </c>
      <c r="CG40">
        <f>N(CN40)+N(CR40)+N(CV40)+N(CZ40)+N(DD40)+N(DH40)+N(DL40)+N(DP40)</f>
        <v/>
      </c>
      <c r="CH40">
        <f>N(CM40)+N(CQ40)+N(CU40)+N(CY40)+N(DC40)+N(DG40)+N(DK40)+N(DO40)</f>
        <v/>
      </c>
      <c r="CI40">
        <f>N(CI39)+N(CH40)</f>
        <v/>
      </c>
      <c r="CJ40">
        <f>N(CO40)+N(CS40)+N(CW40)+N(DA40)+N(DE40)+N(DI40)+N(DM40)+N(DQ40)</f>
        <v/>
      </c>
      <c r="CK40">
        <f>(CO40&gt;0.005)*1+(CS40&gt;0.005)*1+(CW40&gt;0.005)*1+(DA40&gt;0.005)*1+(DE40&gt;0.005)*1+(DI40&gt;0.005)*1+(DM40&gt;0.005)*1+(DQ40&gt;0.005)*1</f>
        <v/>
      </c>
      <c r="CL40">
        <f>N(CO39)</f>
        <v/>
      </c>
      <c r="CM40">
        <f>IF(N(CL40)&lt;=0.005,0,ROUND(N(CL40)*N('Debt List'!E5)/12,2))</f>
        <v/>
      </c>
      <c r="CN40">
        <f>IF(N(CL40)&lt;=0.005,0,MIN(N('Debt List'!F5),N(CL40)+N(CM40)))+((DR40=1)*DT40+(DV40=1)*DX40+(DZ40=1)*EB40+(ED40=1)*EF40+(EH40=1)*EJ40+(EL40=1)*EN40+(EP40=1)*ER40+(ET40=1)*EV40)</f>
        <v/>
      </c>
      <c r="CO40">
        <f>MAX(0,ROUND(N(CL40)+N(CM40)-N(CN40),2))</f>
        <v/>
      </c>
      <c r="CP40">
        <f>N(CS39)</f>
        <v/>
      </c>
      <c r="CQ40">
        <f>IF(N(CP40)&lt;=0.005,0,ROUND(N(CP40)*N('Debt List'!E6)/12,2))</f>
        <v/>
      </c>
      <c r="CR40">
        <f>IF(N(CP40)&lt;=0.005,0,MIN(N('Debt List'!F6),N(CP40)+N(CQ40)))+((DR40=2)*DT40+(DV40=2)*DX40+(DZ40=2)*EB40+(ED40=2)*EF40+(EH40=2)*EJ40+(EL40=2)*EN40+(EP40=2)*ER40+(ET40=2)*EV40)</f>
        <v/>
      </c>
      <c r="CS40">
        <f>MAX(0,ROUND(N(CP40)+N(CQ40)-N(CR40),2))</f>
        <v/>
      </c>
      <c r="CT40">
        <f>N(CW39)</f>
        <v/>
      </c>
      <c r="CU40">
        <f>IF(N(CT40)&lt;=0.005,0,ROUND(N(CT40)*N('Debt List'!E7)/12,2))</f>
        <v/>
      </c>
      <c r="CV40">
        <f>IF(N(CT40)&lt;=0.005,0,MIN(N('Debt List'!F7),N(CT40)+N(CU40)))+((DR40=3)*DT40+(DV40=3)*DX40+(DZ40=3)*EB40+(ED40=3)*EF40+(EH40=3)*EJ40+(EL40=3)*EN40+(EP40=3)*ER40+(ET40=3)*EV40)</f>
        <v/>
      </c>
      <c r="CW40">
        <f>MAX(0,ROUND(N(CT40)+N(CU40)-N(CV40),2))</f>
        <v/>
      </c>
      <c r="CX40">
        <f>N(DA39)</f>
        <v/>
      </c>
      <c r="CY40">
        <f>IF(N(CX40)&lt;=0.005,0,ROUND(N(CX40)*N('Debt List'!E8)/12,2))</f>
        <v/>
      </c>
      <c r="CZ40">
        <f>IF(N(CX40)&lt;=0.005,0,MIN(N('Debt List'!F8),N(CX40)+N(CY40)))+((DR40=4)*DT40+(DV40=4)*DX40+(DZ40=4)*EB40+(ED40=4)*EF40+(EH40=4)*EJ40+(EL40=4)*EN40+(EP40=4)*ER40+(ET40=4)*EV40)</f>
        <v/>
      </c>
      <c r="DA40">
        <f>MAX(0,ROUND(N(CX40)+N(CY40)-N(CZ40),2))</f>
        <v/>
      </c>
      <c r="DB40">
        <f>N(DE39)</f>
        <v/>
      </c>
      <c r="DC40">
        <f>IF(N(DB40)&lt;=0.005,0,ROUND(N(DB40)*N('Debt List'!E9)/12,2))</f>
        <v/>
      </c>
      <c r="DD40">
        <f>IF(N(DB40)&lt;=0.005,0,MIN(N('Debt List'!F9),N(DB40)+N(DC40)))+((DR40=5)*DT40+(DV40=5)*DX40+(DZ40=5)*EB40+(ED40=5)*EF40+(EH40=5)*EJ40+(EL40=5)*EN40+(EP40=5)*ER40+(ET40=5)*EV40)</f>
        <v/>
      </c>
      <c r="DE40">
        <f>MAX(0,ROUND(N(DB40)+N(DC40)-N(DD40),2))</f>
        <v/>
      </c>
      <c r="DF40">
        <f>N(DI39)</f>
        <v/>
      </c>
      <c r="DG40">
        <f>IF(N(DF40)&lt;=0.005,0,ROUND(N(DF40)*N('Debt List'!E10)/12,2))</f>
        <v/>
      </c>
      <c r="DH40">
        <f>IF(N(DF40)&lt;=0.005,0,MIN(N('Debt List'!F10),N(DF40)+N(DG40)))+((DR40=6)*DT40+(DV40=6)*DX40+(DZ40=6)*EB40+(ED40=6)*EF40+(EH40=6)*EJ40+(EL40=6)*EN40+(EP40=6)*ER40+(ET40=6)*EV40)</f>
        <v/>
      </c>
      <c r="DI40">
        <f>MAX(0,ROUND(N(DF40)+N(DG40)-N(DH40),2))</f>
        <v/>
      </c>
      <c r="DJ40">
        <f>N(DM39)</f>
        <v/>
      </c>
      <c r="DK40">
        <f>IF(N(DJ40)&lt;=0.005,0,ROUND(N(DJ40)*N('Debt List'!E11)/12,2))</f>
        <v/>
      </c>
      <c r="DL40">
        <f>IF(N(DJ40)&lt;=0.005,0,MIN(N('Debt List'!F11),N(DJ40)+N(DK40)))+((DR40=7)*DT40+(DV40=7)*DX40+(DZ40=7)*EB40+(ED40=7)*EF40+(EH40=7)*EJ40+(EL40=7)*EN40+(EP40=7)*ER40+(ET40=7)*EV40)</f>
        <v/>
      </c>
      <c r="DM40">
        <f>MAX(0,ROUND(N(DJ40)+N(DK40)-N(DL40),2))</f>
        <v/>
      </c>
      <c r="DN40">
        <f>N(DQ39)</f>
        <v/>
      </c>
      <c r="DO40">
        <f>IF(N(DN40)&lt;=0.005,0,ROUND(N(DN40)*N('Debt List'!E12)/12,2))</f>
        <v/>
      </c>
      <c r="DP40">
        <f>IF(N(DN40)&lt;=0.005,0,MIN(N('Debt List'!F12),N(DN40)+N(DO40)))+((DR40=8)*DT40+(DV40=8)*DX40+(DZ40=8)*EB40+(ED40=8)*EF40+(EH40=8)*EJ40+(EL40=8)*EN40+(EP40=8)*ER40+(ET40=8)*EV40)</f>
        <v/>
      </c>
      <c r="DQ40">
        <f>MAX(0,ROUND(N(DN40)+N(DO40)-N(DP40),2))</f>
        <v/>
      </c>
      <c r="DR40">
        <f>IFERROR(MATCH(1,OrderSnow,0),"")</f>
        <v/>
      </c>
      <c r="DS40">
        <f>IF(DR40="",0,IFERROR(IF(N(CHOOSE(DR40,CL40,CP40,CT40,CX40,DB40,DF40,DJ40,DN40))&lt;=0.005,0,MAX(0,N(CHOOSE(DR40,CL40,CP40,CT40,CX40,DB40,DF40,DJ40,DN40))+N(CHOOSE(DR40,CM40,CQ40,CU40,CY40,DC40,DG40,DK40,DO40))-MIN(N(CHOOSE(DR40,'Debt List'!$F$5,'Debt List'!$F$6,'Debt List'!$F$7,'Debt List'!$F$8,'Debt List'!$F$9,'Debt List'!$F$10,'Debt List'!$F$11,'Debt List'!$F$12)),N(CHOOSE(DR40,CL40,CP40,CT40,CX40,DB40,DF40,DJ40,DN40))+N(CHOOSE(DR40,CM40,CQ40,CU40,CY40,DC40,DG40,DK40,DO40))))),0))</f>
        <v/>
      </c>
      <c r="DT40">
        <f>MIN(N(DS40),MAX(0,N(ExtraPayment)))</f>
        <v/>
      </c>
      <c r="DU40">
        <f>MAX(0,N(ExtraPayment)-N(DT40))</f>
        <v/>
      </c>
      <c r="DV40">
        <f>IFERROR(MATCH(2,OrderSnow,0),"")</f>
        <v/>
      </c>
      <c r="DW40">
        <f>IF(DV40="",0,IFERROR(IF(N(CHOOSE(DV40,CL40,CP40,CT40,CX40,DB40,DF40,DJ40,DN40))&lt;=0.005,0,MAX(0,N(CHOOSE(DV40,CL40,CP40,CT40,CX40,DB40,DF40,DJ40,DN40))+N(CHOOSE(DV40,CM40,CQ40,CU40,CY40,DC40,DG40,DK40,DO40))-MIN(N(CHOOSE(DV40,'Debt List'!$F$5,'Debt List'!$F$6,'Debt List'!$F$7,'Debt List'!$F$8,'Debt List'!$F$9,'Debt List'!$F$10,'Debt List'!$F$11,'Debt List'!$F$12)),N(CHOOSE(DV40,CL40,CP40,CT40,CX40,DB40,DF40,DJ40,DN40))+N(CHOOSE(DV40,CM40,CQ40,CU40,CY40,DC40,DG40,DK40,DO40))))),0))</f>
        <v/>
      </c>
      <c r="DX40">
        <f>MIN(N(DW40),MAX(0,N(DU40)))</f>
        <v/>
      </c>
      <c r="DY40">
        <f>MAX(0,N(DU40)-N(DX40))</f>
        <v/>
      </c>
      <c r="DZ40">
        <f>IFERROR(MATCH(3,OrderSnow,0),"")</f>
        <v/>
      </c>
      <c r="EA40">
        <f>IF(DZ40="",0,IFERROR(IF(N(CHOOSE(DZ40,CL40,CP40,CT40,CX40,DB40,DF40,DJ40,DN40))&lt;=0.005,0,MAX(0,N(CHOOSE(DZ40,CL40,CP40,CT40,CX40,DB40,DF40,DJ40,DN40))+N(CHOOSE(DZ40,CM40,CQ40,CU40,CY40,DC40,DG40,DK40,DO40))-MIN(N(CHOOSE(DZ40,'Debt List'!$F$5,'Debt List'!$F$6,'Debt List'!$F$7,'Debt List'!$F$8,'Debt List'!$F$9,'Debt List'!$F$10,'Debt List'!$F$11,'Debt List'!$F$12)),N(CHOOSE(DZ40,CL40,CP40,CT40,CX40,DB40,DF40,DJ40,DN40))+N(CHOOSE(DZ40,CM40,CQ40,CU40,CY40,DC40,DG40,DK40,DO40))))),0))</f>
        <v/>
      </c>
      <c r="EB40">
        <f>MIN(N(EA40),MAX(0,N(DY40)))</f>
        <v/>
      </c>
      <c r="EC40">
        <f>MAX(0,N(DY40)-N(EB40))</f>
        <v/>
      </c>
      <c r="ED40">
        <f>IFERROR(MATCH(4,OrderSnow,0),"")</f>
        <v/>
      </c>
      <c r="EE40">
        <f>IF(ED40="",0,IFERROR(IF(N(CHOOSE(ED40,CL40,CP40,CT40,CX40,DB40,DF40,DJ40,DN40))&lt;=0.005,0,MAX(0,N(CHOOSE(ED40,CL40,CP40,CT40,CX40,DB40,DF40,DJ40,DN40))+N(CHOOSE(ED40,CM40,CQ40,CU40,CY40,DC40,DG40,DK40,DO40))-MIN(N(CHOOSE(ED40,'Debt List'!$F$5,'Debt List'!$F$6,'Debt List'!$F$7,'Debt List'!$F$8,'Debt List'!$F$9,'Debt List'!$F$10,'Debt List'!$F$11,'Debt List'!$F$12)),N(CHOOSE(ED40,CL40,CP40,CT40,CX40,DB40,DF40,DJ40,DN40))+N(CHOOSE(ED40,CM40,CQ40,CU40,CY40,DC40,DG40,DK40,DO40))))),0))</f>
        <v/>
      </c>
      <c r="EF40">
        <f>MIN(N(EE40),MAX(0,N(EC40)))</f>
        <v/>
      </c>
      <c r="EG40">
        <f>MAX(0,N(EC40)-N(EF40))</f>
        <v/>
      </c>
      <c r="EH40">
        <f>IFERROR(MATCH(5,OrderSnow,0),"")</f>
        <v/>
      </c>
      <c r="EI40">
        <f>IF(EH40="",0,IFERROR(IF(N(CHOOSE(EH40,CL40,CP40,CT40,CX40,DB40,DF40,DJ40,DN40))&lt;=0.005,0,MAX(0,N(CHOOSE(EH40,CL40,CP40,CT40,CX40,DB40,DF40,DJ40,DN40))+N(CHOOSE(EH40,CM40,CQ40,CU40,CY40,DC40,DG40,DK40,DO40))-MIN(N(CHOOSE(EH40,'Debt List'!$F$5,'Debt List'!$F$6,'Debt List'!$F$7,'Debt List'!$F$8,'Debt List'!$F$9,'Debt List'!$F$10,'Debt List'!$F$11,'Debt List'!$F$12)),N(CHOOSE(EH40,CL40,CP40,CT40,CX40,DB40,DF40,DJ40,DN40))+N(CHOOSE(EH40,CM40,CQ40,CU40,CY40,DC40,DG40,DK40,DO40))))),0))</f>
        <v/>
      </c>
      <c r="EJ40">
        <f>MIN(N(EI40),MAX(0,N(EG40)))</f>
        <v/>
      </c>
      <c r="EK40">
        <f>MAX(0,N(EG40)-N(EJ40))</f>
        <v/>
      </c>
      <c r="EL40">
        <f>IFERROR(MATCH(6,OrderSnow,0),"")</f>
        <v/>
      </c>
      <c r="EM40">
        <f>IF(EL40="",0,IFERROR(IF(N(CHOOSE(EL40,CL40,CP40,CT40,CX40,DB40,DF40,DJ40,DN40))&lt;=0.005,0,MAX(0,N(CHOOSE(EL40,CL40,CP40,CT40,CX40,DB40,DF40,DJ40,DN40))+N(CHOOSE(EL40,CM40,CQ40,CU40,CY40,DC40,DG40,DK40,DO40))-MIN(N(CHOOSE(EL40,'Debt List'!$F$5,'Debt List'!$F$6,'Debt List'!$F$7,'Debt List'!$F$8,'Debt List'!$F$9,'Debt List'!$F$10,'Debt List'!$F$11,'Debt List'!$F$12)),N(CHOOSE(EL40,CL40,CP40,CT40,CX40,DB40,DF40,DJ40,DN40))+N(CHOOSE(EL40,CM40,CQ40,CU40,CY40,DC40,DG40,DK40,DO40))))),0))</f>
        <v/>
      </c>
      <c r="EN40">
        <f>MIN(N(EM40),MAX(0,N(EK40)))</f>
        <v/>
      </c>
      <c r="EO40">
        <f>MAX(0,N(EK40)-N(EN40))</f>
        <v/>
      </c>
      <c r="EP40">
        <f>IFERROR(MATCH(7,OrderSnow,0),"")</f>
        <v/>
      </c>
      <c r="EQ40">
        <f>IF(EP40="",0,IFERROR(IF(N(CHOOSE(EP40,CL40,CP40,CT40,CX40,DB40,DF40,DJ40,DN40))&lt;=0.005,0,MAX(0,N(CHOOSE(EP40,CL40,CP40,CT40,CX40,DB40,DF40,DJ40,DN40))+N(CHOOSE(EP40,CM40,CQ40,CU40,CY40,DC40,DG40,DK40,DO40))-MIN(N(CHOOSE(EP40,'Debt List'!$F$5,'Debt List'!$F$6,'Debt List'!$F$7,'Debt List'!$F$8,'Debt List'!$F$9,'Debt List'!$F$10,'Debt List'!$F$11,'Debt List'!$F$12)),N(CHOOSE(EP40,CL40,CP40,CT40,CX40,DB40,DF40,DJ40,DN40))+N(CHOOSE(EP40,CM40,CQ40,CU40,CY40,DC40,DG40,DK40,DO40))))),0))</f>
        <v/>
      </c>
      <c r="ER40">
        <f>MIN(N(EQ40),MAX(0,N(EO40)))</f>
        <v/>
      </c>
      <c r="ES40">
        <f>MAX(0,N(EO40)-N(ER40))</f>
        <v/>
      </c>
      <c r="ET40">
        <f>IFERROR(MATCH(8,OrderSnow,0),"")</f>
        <v/>
      </c>
      <c r="EU40">
        <f>IF(ET40="",0,IFERROR(IF(N(CHOOSE(ET40,CL40,CP40,CT40,CX40,DB40,DF40,DJ40,DN40))&lt;=0.005,0,MAX(0,N(CHOOSE(ET40,CL40,CP40,CT40,CX40,DB40,DF40,DJ40,DN40))+N(CHOOSE(ET40,CM40,CQ40,CU40,CY40,DC40,DG40,DK40,DO40))-MIN(N(CHOOSE(ET40,'Debt List'!$F$5,'Debt List'!$F$6,'Debt List'!$F$7,'Debt List'!$F$8,'Debt List'!$F$9,'Debt List'!$F$10,'Debt List'!$F$11,'Debt List'!$F$12)),N(CHOOSE(ET40,CL40,CP40,CT40,CX40,DB40,DF40,DJ40,DN40))+N(CHOOSE(ET40,CM40,CQ40,CU40,CY40,DC40,DG40,DK40,DO40))))),0))</f>
        <v/>
      </c>
      <c r="EV40">
        <f>MIN(N(EU40),MAX(0,N(ES40)))</f>
        <v/>
      </c>
      <c r="EW40">
        <f>MAX(0,N(ES40)-N(EV40))</f>
        <v/>
      </c>
      <c r="FE40" t="n">
        <v>36</v>
      </c>
      <c r="FF40" s="115">
        <f>DATE(YEAR(PlanStart),MONTH(PlanStart)+FE40-1,1)</f>
        <v/>
      </c>
      <c r="FG40">
        <f>IF(AND(GT40&lt;&gt;"",N(CHOOSE(GT40,FN40,FR40,FV40,FZ40,GD40,GH40,GL40,GP40))&gt;0.005),INDEX(DebtNames,GT40),IF(AND(GX40&lt;&gt;"",N(CHOOSE(GX40,FN40,FR40,FV40,FZ40,GD40,GH40,GL40,GP40))&gt;0.005),INDEX(DebtNames,GX40),IF(AND(HB40&lt;&gt;"",N(CHOOSE(HB40,FN40,FR40,FV40,FZ40,GD40,GH40,GL40,GP40))&gt;0.005),INDEX(DebtNames,HB40),IF(AND(HF40&lt;&gt;"",N(CHOOSE(HF40,FN40,FR40,FV40,FZ40,GD40,GH40,GL40,GP40))&gt;0.005),INDEX(DebtNames,HF40),IF(AND(HJ40&lt;&gt;"",N(CHOOSE(HJ40,FN40,FR40,FV40,FZ40,GD40,GH40,GL40,GP40))&gt;0.005),INDEX(DebtNames,HJ40),IF(AND(HN40&lt;&gt;"",N(CHOOSE(HN40,FN40,FR40,FV40,FZ40,GD40,GH40,GL40,GP40))&gt;0.005),INDEX(DebtNames,HN40),IF(AND(HR40&lt;&gt;"",N(CHOOSE(HR40,FN40,FR40,FV40,FZ40,GD40,GH40,GL40,GP40))&gt;0.005),INDEX(DebtNames,HR40),IF(AND(HV40&lt;&gt;"",N(CHOOSE(HV40,FN40,FR40,FV40,FZ40,GD40,GH40,GL40,GP40))&gt;0.005),INDEX(DebtNames,HV40),""))))))))</f>
        <v/>
      </c>
      <c r="FH40">
        <f>N(HY40)</f>
        <v/>
      </c>
      <c r="FI40">
        <f>N(FP40)+N(FT40)+N(FX40)+N(GB40)+N(GF40)+N(GJ40)+N(GN40)+N(GR40)</f>
        <v/>
      </c>
      <c r="FJ40">
        <f>N(FO40)+N(FS40)+N(FW40)+N(GA40)+N(GE40)+N(GI40)+N(GM40)+N(GQ40)</f>
        <v/>
      </c>
      <c r="FK40">
        <f>N(FK39)+N(FJ40)</f>
        <v/>
      </c>
      <c r="FL40">
        <f>N(FQ40)+N(FU40)+N(FY40)+N(GC40)+N(GG40)+N(GK40)+N(GO40)+N(GS40)</f>
        <v/>
      </c>
      <c r="FM40">
        <f>(FQ40&gt;0.005)*1+(FU40&gt;0.005)*1+(FY40&gt;0.005)*1+(GC40&gt;0.005)*1+(GG40&gt;0.005)*1+(GK40&gt;0.005)*1+(GO40&gt;0.005)*1+(GS40&gt;0.005)*1</f>
        <v/>
      </c>
      <c r="FN40">
        <f>N(FQ39)</f>
        <v/>
      </c>
      <c r="FO40">
        <f>IF(N(FN40)&lt;=0.005,0,ROUND(N(FN40)*N('Debt List'!E5)/12,2))</f>
        <v/>
      </c>
      <c r="FP40">
        <f>IF(N(FN40)&lt;=0.005,0,MIN(N('Debt List'!F5),N(FN40)+N(FO40)))+((GT40=1)*GV40+(GX40=1)*GZ40+(HB40=1)*HD40+(HF40=1)*HH40+(HJ40=1)*HL40+(HN40=1)*HP40+(HR40=1)*HT40+(HV40=1)*HX40)</f>
        <v/>
      </c>
      <c r="FQ40">
        <f>MAX(0,ROUND(N(FN40)+N(FO40)-N(FP40),2))</f>
        <v/>
      </c>
      <c r="FR40">
        <f>N(FU39)</f>
        <v/>
      </c>
      <c r="FS40">
        <f>IF(N(FR40)&lt;=0.005,0,ROUND(N(FR40)*N('Debt List'!E6)/12,2))</f>
        <v/>
      </c>
      <c r="FT40">
        <f>IF(N(FR40)&lt;=0.005,0,MIN(N('Debt List'!F6),N(FR40)+N(FS40)))+((GT40=2)*GV40+(GX40=2)*GZ40+(HB40=2)*HD40+(HF40=2)*HH40+(HJ40=2)*HL40+(HN40=2)*HP40+(HR40=2)*HT40+(HV40=2)*HX40)</f>
        <v/>
      </c>
      <c r="FU40">
        <f>MAX(0,ROUND(N(FR40)+N(FS40)-N(FT40),2))</f>
        <v/>
      </c>
      <c r="FV40">
        <f>N(FY39)</f>
        <v/>
      </c>
      <c r="FW40">
        <f>IF(N(FV40)&lt;=0.005,0,ROUND(N(FV40)*N('Debt List'!E7)/12,2))</f>
        <v/>
      </c>
      <c r="FX40">
        <f>IF(N(FV40)&lt;=0.005,0,MIN(N('Debt List'!F7),N(FV40)+N(FW40)))+((GT40=3)*GV40+(GX40=3)*GZ40+(HB40=3)*HD40+(HF40=3)*HH40+(HJ40=3)*HL40+(HN40=3)*HP40+(HR40=3)*HT40+(HV40=3)*HX40)</f>
        <v/>
      </c>
      <c r="FY40">
        <f>MAX(0,ROUND(N(FV40)+N(FW40)-N(FX40),2))</f>
        <v/>
      </c>
      <c r="FZ40">
        <f>N(GC39)</f>
        <v/>
      </c>
      <c r="GA40">
        <f>IF(N(FZ40)&lt;=0.005,0,ROUND(N(FZ40)*N('Debt List'!E8)/12,2))</f>
        <v/>
      </c>
      <c r="GB40">
        <f>IF(N(FZ40)&lt;=0.005,0,MIN(N('Debt List'!F8),N(FZ40)+N(GA40)))+((GT40=4)*GV40+(GX40=4)*GZ40+(HB40=4)*HD40+(HF40=4)*HH40+(HJ40=4)*HL40+(HN40=4)*HP40+(HR40=4)*HT40+(HV40=4)*HX40)</f>
        <v/>
      </c>
      <c r="GC40">
        <f>MAX(0,ROUND(N(FZ40)+N(GA40)-N(GB40),2))</f>
        <v/>
      </c>
      <c r="GD40">
        <f>N(GG39)</f>
        <v/>
      </c>
      <c r="GE40">
        <f>IF(N(GD40)&lt;=0.005,0,ROUND(N(GD40)*N('Debt List'!E9)/12,2))</f>
        <v/>
      </c>
      <c r="GF40">
        <f>IF(N(GD40)&lt;=0.005,0,MIN(N('Debt List'!F9),N(GD40)+N(GE40)))+((GT40=5)*GV40+(GX40=5)*GZ40+(HB40=5)*HD40+(HF40=5)*HH40+(HJ40=5)*HL40+(HN40=5)*HP40+(HR40=5)*HT40+(HV40=5)*HX40)</f>
        <v/>
      </c>
      <c r="GG40">
        <f>MAX(0,ROUND(N(GD40)+N(GE40)-N(GF40),2))</f>
        <v/>
      </c>
      <c r="GH40">
        <f>N(GK39)</f>
        <v/>
      </c>
      <c r="GI40">
        <f>IF(N(GH40)&lt;=0.005,0,ROUND(N(GH40)*N('Debt List'!E10)/12,2))</f>
        <v/>
      </c>
      <c r="GJ40">
        <f>IF(N(GH40)&lt;=0.005,0,MIN(N('Debt List'!F10),N(GH40)+N(GI40)))+((GT40=6)*GV40+(GX40=6)*GZ40+(HB40=6)*HD40+(HF40=6)*HH40+(HJ40=6)*HL40+(HN40=6)*HP40+(HR40=6)*HT40+(HV40=6)*HX40)</f>
        <v/>
      </c>
      <c r="GK40">
        <f>MAX(0,ROUND(N(GH40)+N(GI40)-N(GJ40),2))</f>
        <v/>
      </c>
      <c r="GL40">
        <f>N(GO39)</f>
        <v/>
      </c>
      <c r="GM40">
        <f>IF(N(GL40)&lt;=0.005,0,ROUND(N(GL40)*N('Debt List'!E11)/12,2))</f>
        <v/>
      </c>
      <c r="GN40">
        <f>IF(N(GL40)&lt;=0.005,0,MIN(N('Debt List'!F11),N(GL40)+N(GM40)))+((GT40=7)*GV40+(GX40=7)*GZ40+(HB40=7)*HD40+(HF40=7)*HH40+(HJ40=7)*HL40+(HN40=7)*HP40+(HR40=7)*HT40+(HV40=7)*HX40)</f>
        <v/>
      </c>
      <c r="GO40">
        <f>MAX(0,ROUND(N(GL40)+N(GM40)-N(GN40),2))</f>
        <v/>
      </c>
      <c r="GP40">
        <f>N(GS39)</f>
        <v/>
      </c>
      <c r="GQ40">
        <f>IF(N(GP40)&lt;=0.005,0,ROUND(N(GP40)*N('Debt List'!E12)/12,2))</f>
        <v/>
      </c>
      <c r="GR40">
        <f>IF(N(GP40)&lt;=0.005,0,MIN(N('Debt List'!F12),N(GP40)+N(GQ40)))+((GT40=8)*GV40+(GX40=8)*GZ40+(HB40=8)*HD40+(HF40=8)*HH40+(HJ40=8)*HL40+(HN40=8)*HP40+(HR40=8)*HT40+(HV40=8)*HX40)</f>
        <v/>
      </c>
      <c r="GS40">
        <f>MAX(0,ROUND(N(GP40)+N(GQ40)-N(GR40),2))</f>
        <v/>
      </c>
      <c r="GT40">
        <f>IFERROR(MATCH(1,OrderAval,0),"")</f>
        <v/>
      </c>
      <c r="GU40">
        <f>IF(GT40="",0,IFERROR(IF(N(CHOOSE(GT40,FN40,FR40,FV40,FZ40,GD40,GH40,GL40,GP40))&lt;=0.005,0,MAX(0,N(CHOOSE(GT40,FN40,FR40,FV40,FZ40,GD40,GH40,GL40,GP40))+N(CHOOSE(GT40,FO40,FS40,FW40,GA40,GE40,GI40,GM40,GQ40))-MIN(N(CHOOSE(GT40,'Debt List'!$F$5,'Debt List'!$F$6,'Debt List'!$F$7,'Debt List'!$F$8,'Debt List'!$F$9,'Debt List'!$F$10,'Debt List'!$F$11,'Debt List'!$F$12)),N(CHOOSE(GT40,FN40,FR40,FV40,FZ40,GD40,GH40,GL40,GP40))+N(CHOOSE(GT40,FO40,FS40,FW40,GA40,GE40,GI40,GM40,GQ40))))),0))</f>
        <v/>
      </c>
      <c r="GV40">
        <f>MIN(N(GU40),MAX(0,N(ExtraPayment)))</f>
        <v/>
      </c>
      <c r="GW40">
        <f>MAX(0,N(ExtraPayment)-N(GV40))</f>
        <v/>
      </c>
      <c r="GX40">
        <f>IFERROR(MATCH(2,OrderAval,0),"")</f>
        <v/>
      </c>
      <c r="GY40">
        <f>IF(GX40="",0,IFERROR(IF(N(CHOOSE(GX40,FN40,FR40,FV40,FZ40,GD40,GH40,GL40,GP40))&lt;=0.005,0,MAX(0,N(CHOOSE(GX40,FN40,FR40,FV40,FZ40,GD40,GH40,GL40,GP40))+N(CHOOSE(GX40,FO40,FS40,FW40,GA40,GE40,GI40,GM40,GQ40))-MIN(N(CHOOSE(GX40,'Debt List'!$F$5,'Debt List'!$F$6,'Debt List'!$F$7,'Debt List'!$F$8,'Debt List'!$F$9,'Debt List'!$F$10,'Debt List'!$F$11,'Debt List'!$F$12)),N(CHOOSE(GX40,FN40,FR40,FV40,FZ40,GD40,GH40,GL40,GP40))+N(CHOOSE(GX40,FO40,FS40,FW40,GA40,GE40,GI40,GM40,GQ40))))),0))</f>
        <v/>
      </c>
      <c r="GZ40">
        <f>MIN(N(GY40),MAX(0,N(GW40)))</f>
        <v/>
      </c>
      <c r="HA40">
        <f>MAX(0,N(GW40)-N(GZ40))</f>
        <v/>
      </c>
      <c r="HB40">
        <f>IFERROR(MATCH(3,OrderAval,0),"")</f>
        <v/>
      </c>
      <c r="HC40">
        <f>IF(HB40="",0,IFERROR(IF(N(CHOOSE(HB40,FN40,FR40,FV40,FZ40,GD40,GH40,GL40,GP40))&lt;=0.005,0,MAX(0,N(CHOOSE(HB40,FN40,FR40,FV40,FZ40,GD40,GH40,GL40,GP40))+N(CHOOSE(HB40,FO40,FS40,FW40,GA40,GE40,GI40,GM40,GQ40))-MIN(N(CHOOSE(HB40,'Debt List'!$F$5,'Debt List'!$F$6,'Debt List'!$F$7,'Debt List'!$F$8,'Debt List'!$F$9,'Debt List'!$F$10,'Debt List'!$F$11,'Debt List'!$F$12)),N(CHOOSE(HB40,FN40,FR40,FV40,FZ40,GD40,GH40,GL40,GP40))+N(CHOOSE(HB40,FO40,FS40,FW40,GA40,GE40,GI40,GM40,GQ40))))),0))</f>
        <v/>
      </c>
      <c r="HD40">
        <f>MIN(N(HC40),MAX(0,N(HA40)))</f>
        <v/>
      </c>
      <c r="HE40">
        <f>MAX(0,N(HA40)-N(HD40))</f>
        <v/>
      </c>
      <c r="HF40">
        <f>IFERROR(MATCH(4,OrderAval,0),"")</f>
        <v/>
      </c>
      <c r="HG40">
        <f>IF(HF40="",0,IFERROR(IF(N(CHOOSE(HF40,FN40,FR40,FV40,FZ40,GD40,GH40,GL40,GP40))&lt;=0.005,0,MAX(0,N(CHOOSE(HF40,FN40,FR40,FV40,FZ40,GD40,GH40,GL40,GP40))+N(CHOOSE(HF40,FO40,FS40,FW40,GA40,GE40,GI40,GM40,GQ40))-MIN(N(CHOOSE(HF40,'Debt List'!$F$5,'Debt List'!$F$6,'Debt List'!$F$7,'Debt List'!$F$8,'Debt List'!$F$9,'Debt List'!$F$10,'Debt List'!$F$11,'Debt List'!$F$12)),N(CHOOSE(HF40,FN40,FR40,FV40,FZ40,GD40,GH40,GL40,GP40))+N(CHOOSE(HF40,FO40,FS40,FW40,GA40,GE40,GI40,GM40,GQ40))))),0))</f>
        <v/>
      </c>
      <c r="HH40">
        <f>MIN(N(HG40),MAX(0,N(HE40)))</f>
        <v/>
      </c>
      <c r="HI40">
        <f>MAX(0,N(HE40)-N(HH40))</f>
        <v/>
      </c>
      <c r="HJ40">
        <f>IFERROR(MATCH(5,OrderAval,0),"")</f>
        <v/>
      </c>
      <c r="HK40">
        <f>IF(HJ40="",0,IFERROR(IF(N(CHOOSE(HJ40,FN40,FR40,FV40,FZ40,GD40,GH40,GL40,GP40))&lt;=0.005,0,MAX(0,N(CHOOSE(HJ40,FN40,FR40,FV40,FZ40,GD40,GH40,GL40,GP40))+N(CHOOSE(HJ40,FO40,FS40,FW40,GA40,GE40,GI40,GM40,GQ40))-MIN(N(CHOOSE(HJ40,'Debt List'!$F$5,'Debt List'!$F$6,'Debt List'!$F$7,'Debt List'!$F$8,'Debt List'!$F$9,'Debt List'!$F$10,'Debt List'!$F$11,'Debt List'!$F$12)),N(CHOOSE(HJ40,FN40,FR40,FV40,FZ40,GD40,GH40,GL40,GP40))+N(CHOOSE(HJ40,FO40,FS40,FW40,GA40,GE40,GI40,GM40,GQ40))))),0))</f>
        <v/>
      </c>
      <c r="HL40">
        <f>MIN(N(HK40),MAX(0,N(HI40)))</f>
        <v/>
      </c>
      <c r="HM40">
        <f>MAX(0,N(HI40)-N(HL40))</f>
        <v/>
      </c>
      <c r="HN40">
        <f>IFERROR(MATCH(6,OrderAval,0),"")</f>
        <v/>
      </c>
      <c r="HO40">
        <f>IF(HN40="",0,IFERROR(IF(N(CHOOSE(HN40,FN40,FR40,FV40,FZ40,GD40,GH40,GL40,GP40))&lt;=0.005,0,MAX(0,N(CHOOSE(HN40,FN40,FR40,FV40,FZ40,GD40,GH40,GL40,GP40))+N(CHOOSE(HN40,FO40,FS40,FW40,GA40,GE40,GI40,GM40,GQ40))-MIN(N(CHOOSE(HN40,'Debt List'!$F$5,'Debt List'!$F$6,'Debt List'!$F$7,'Debt List'!$F$8,'Debt List'!$F$9,'Debt List'!$F$10,'Debt List'!$F$11,'Debt List'!$F$12)),N(CHOOSE(HN40,FN40,FR40,FV40,FZ40,GD40,GH40,GL40,GP40))+N(CHOOSE(HN40,FO40,FS40,FW40,GA40,GE40,GI40,GM40,GQ40))))),0))</f>
        <v/>
      </c>
      <c r="HP40">
        <f>MIN(N(HO40),MAX(0,N(HM40)))</f>
        <v/>
      </c>
      <c r="HQ40">
        <f>MAX(0,N(HM40)-N(HP40))</f>
        <v/>
      </c>
      <c r="HR40">
        <f>IFERROR(MATCH(7,OrderAval,0),"")</f>
        <v/>
      </c>
      <c r="HS40">
        <f>IF(HR40="",0,IFERROR(IF(N(CHOOSE(HR40,FN40,FR40,FV40,FZ40,GD40,GH40,GL40,GP40))&lt;=0.005,0,MAX(0,N(CHOOSE(HR40,FN40,FR40,FV40,FZ40,GD40,GH40,GL40,GP40))+N(CHOOSE(HR40,FO40,FS40,FW40,GA40,GE40,GI40,GM40,GQ40))-MIN(N(CHOOSE(HR40,'Debt List'!$F$5,'Debt List'!$F$6,'Debt List'!$F$7,'Debt List'!$F$8,'Debt List'!$F$9,'Debt List'!$F$10,'Debt List'!$F$11,'Debt List'!$F$12)),N(CHOOSE(HR40,FN40,FR40,FV40,FZ40,GD40,GH40,GL40,GP40))+N(CHOOSE(HR40,FO40,FS40,FW40,GA40,GE40,GI40,GM40,GQ40))))),0))</f>
        <v/>
      </c>
      <c r="HT40">
        <f>MIN(N(HS40),MAX(0,N(HQ40)))</f>
        <v/>
      </c>
      <c r="HU40">
        <f>MAX(0,N(HQ40)-N(HT40))</f>
        <v/>
      </c>
      <c r="HV40">
        <f>IFERROR(MATCH(8,OrderAval,0),"")</f>
        <v/>
      </c>
      <c r="HW40">
        <f>IF(HV40="",0,IFERROR(IF(N(CHOOSE(HV40,FN40,FR40,FV40,FZ40,GD40,GH40,GL40,GP40))&lt;=0.005,0,MAX(0,N(CHOOSE(HV40,FN40,FR40,FV40,FZ40,GD40,GH40,GL40,GP40))+N(CHOOSE(HV40,FO40,FS40,FW40,GA40,GE40,GI40,GM40,GQ40))-MIN(N(CHOOSE(HV40,'Debt List'!$F$5,'Debt List'!$F$6,'Debt List'!$F$7,'Debt List'!$F$8,'Debt List'!$F$9,'Debt List'!$F$10,'Debt List'!$F$11,'Debt List'!$F$12)),N(CHOOSE(HV40,FN40,FR40,FV40,FZ40,GD40,GH40,GL40,GP40))+N(CHOOSE(HV40,FO40,FS40,FW40,GA40,GE40,GI40,GM40,GQ40))))),0))</f>
        <v/>
      </c>
      <c r="HX40">
        <f>MIN(N(HW40),MAX(0,N(HU40)))</f>
        <v/>
      </c>
      <c r="HY40">
        <f>MAX(0,N(HU40)-N(HX40))</f>
        <v/>
      </c>
    </row>
    <row r="41">
      <c r="A41" t="n">
        <v>37</v>
      </c>
      <c r="B41" s="115">
        <f>DATE(YEAR(PlanStart),MONTH(PlanStart)+A41-1,1)</f>
        <v/>
      </c>
      <c r="C41">
        <f>IF(AND(AP41&lt;&gt;"",N(CHOOSE(AP41,J41,N41,R41,V41,Z41,AD41,AH41,AL41))&gt;0.005),INDEX(DebtNames,AP41),IF(AND(AT41&lt;&gt;"",N(CHOOSE(AT41,J41,N41,R41,V41,Z41,AD41,AH41,AL41))&gt;0.005),INDEX(DebtNames,AT41),IF(AND(AX41&lt;&gt;"",N(CHOOSE(AX41,J41,N41,R41,V41,Z41,AD41,AH41,AL41))&gt;0.005),INDEX(DebtNames,AX41),IF(AND(BB41&lt;&gt;"",N(CHOOSE(BB41,J41,N41,R41,V41,Z41,AD41,AH41,AL41))&gt;0.005),INDEX(DebtNames,BB41),IF(AND(BF41&lt;&gt;"",N(CHOOSE(BF41,J41,N41,R41,V41,Z41,AD41,AH41,AL41))&gt;0.005),INDEX(DebtNames,BF41),IF(AND(BJ41&lt;&gt;"",N(CHOOSE(BJ41,J41,N41,R41,V41,Z41,AD41,AH41,AL41))&gt;0.005),INDEX(DebtNames,BJ41),IF(AND(BN41&lt;&gt;"",N(CHOOSE(BN41,J41,N41,R41,V41,Z41,AD41,AH41,AL41))&gt;0.005),INDEX(DebtNames,BN41),IF(AND(BR41&lt;&gt;"",N(CHOOSE(BR41,J41,N41,R41,V41,Z41,AD41,AH41,AL41))&gt;0.005),INDEX(DebtNames,BR41),""))))))))</f>
        <v/>
      </c>
      <c r="D41">
        <f>N(BU41)</f>
        <v/>
      </c>
      <c r="E41">
        <f>N(L41)+N(P41)+N(T41)+N(X41)+N(AB41)+N(AF41)+N(AJ41)+N(AN41)</f>
        <v/>
      </c>
      <c r="F41">
        <f>N(K41)+N(O41)+N(S41)+N(W41)+N(AA41)+N(AE41)+N(AI41)+N(AM41)</f>
        <v/>
      </c>
      <c r="G41">
        <f>N(G40)+N(F41)</f>
        <v/>
      </c>
      <c r="H41">
        <f>N(M41)+N(Q41)+N(U41)+N(Y41)+N(AC41)+N(AG41)+N(AK41)+N(AO41)</f>
        <v/>
      </c>
      <c r="I41">
        <f>(M41&gt;0.005)*1+(Q41&gt;0.005)*1+(U41&gt;0.005)*1+(Y41&gt;0.005)*1+(AC41&gt;0.005)*1+(AG41&gt;0.005)*1+(AK41&gt;0.005)*1+(AO41&gt;0.005)*1</f>
        <v/>
      </c>
      <c r="J41">
        <f>N(M40)</f>
        <v/>
      </c>
      <c r="K41">
        <f>IF(N(J41)&lt;=0.005,0,ROUND(N(J41)*N('Debt List'!E5)/12,2))</f>
        <v/>
      </c>
      <c r="L41">
        <f>IF(N(J41)&lt;=0.005,0,MIN(N('Debt List'!F5),N(J41)+N(K41)))+((AP41=1)*AR41+(AT41=1)*AV41+(AX41=1)*AZ41+(BB41=1)*BD41+(BF41=1)*BH41+(BJ41=1)*BL41+(BN41=1)*BP41+(BR41=1)*BT41)</f>
        <v/>
      </c>
      <c r="M41">
        <f>MAX(0,ROUND(N(J41)+N(K41)-N(L41),2))</f>
        <v/>
      </c>
      <c r="N41">
        <f>N(Q40)</f>
        <v/>
      </c>
      <c r="O41">
        <f>IF(N(N41)&lt;=0.005,0,ROUND(N(N41)*N('Debt List'!E6)/12,2))</f>
        <v/>
      </c>
      <c r="P41">
        <f>IF(N(N41)&lt;=0.005,0,MIN(N('Debt List'!F6),N(N41)+N(O41)))+((AP41=2)*AR41+(AT41=2)*AV41+(AX41=2)*AZ41+(BB41=2)*BD41+(BF41=2)*BH41+(BJ41=2)*BL41+(BN41=2)*BP41+(BR41=2)*BT41)</f>
        <v/>
      </c>
      <c r="Q41">
        <f>MAX(0,ROUND(N(N41)+N(O41)-N(P41),2))</f>
        <v/>
      </c>
      <c r="R41">
        <f>N(U40)</f>
        <v/>
      </c>
      <c r="S41">
        <f>IF(N(R41)&lt;=0.005,0,ROUND(N(R41)*N('Debt List'!E7)/12,2))</f>
        <v/>
      </c>
      <c r="T41">
        <f>IF(N(R41)&lt;=0.005,0,MIN(N('Debt List'!F7),N(R41)+N(S41)))+((AP41=3)*AR41+(AT41=3)*AV41+(AX41=3)*AZ41+(BB41=3)*BD41+(BF41=3)*BH41+(BJ41=3)*BL41+(BN41=3)*BP41+(BR41=3)*BT41)</f>
        <v/>
      </c>
      <c r="U41">
        <f>MAX(0,ROUND(N(R41)+N(S41)-N(T41),2))</f>
        <v/>
      </c>
      <c r="V41">
        <f>N(Y40)</f>
        <v/>
      </c>
      <c r="W41">
        <f>IF(N(V41)&lt;=0.005,0,ROUND(N(V41)*N('Debt List'!E8)/12,2))</f>
        <v/>
      </c>
      <c r="X41">
        <f>IF(N(V41)&lt;=0.005,0,MIN(N('Debt List'!F8),N(V41)+N(W41)))+((AP41=4)*AR41+(AT41=4)*AV41+(AX41=4)*AZ41+(BB41=4)*BD41+(BF41=4)*BH41+(BJ41=4)*BL41+(BN41=4)*BP41+(BR41=4)*BT41)</f>
        <v/>
      </c>
      <c r="Y41">
        <f>MAX(0,ROUND(N(V41)+N(W41)-N(X41),2))</f>
        <v/>
      </c>
      <c r="Z41">
        <f>N(AC40)</f>
        <v/>
      </c>
      <c r="AA41">
        <f>IF(N(Z41)&lt;=0.005,0,ROUND(N(Z41)*N('Debt List'!E9)/12,2))</f>
        <v/>
      </c>
      <c r="AB41">
        <f>IF(N(Z41)&lt;=0.005,0,MIN(N('Debt List'!F9),N(Z41)+N(AA41)))+((AP41=5)*AR41+(AT41=5)*AV41+(AX41=5)*AZ41+(BB41=5)*BD41+(BF41=5)*BH41+(BJ41=5)*BL41+(BN41=5)*BP41+(BR41=5)*BT41)</f>
        <v/>
      </c>
      <c r="AC41">
        <f>MAX(0,ROUND(N(Z41)+N(AA41)-N(AB41),2))</f>
        <v/>
      </c>
      <c r="AD41">
        <f>N(AG40)</f>
        <v/>
      </c>
      <c r="AE41">
        <f>IF(N(AD41)&lt;=0.005,0,ROUND(N(AD41)*N('Debt List'!E10)/12,2))</f>
        <v/>
      </c>
      <c r="AF41">
        <f>IF(N(AD41)&lt;=0.005,0,MIN(N('Debt List'!F10),N(AD41)+N(AE41)))+((AP41=6)*AR41+(AT41=6)*AV41+(AX41=6)*AZ41+(BB41=6)*BD41+(BF41=6)*BH41+(BJ41=6)*BL41+(BN41=6)*BP41+(BR41=6)*BT41)</f>
        <v/>
      </c>
      <c r="AG41">
        <f>MAX(0,ROUND(N(AD41)+N(AE41)-N(AF41),2))</f>
        <v/>
      </c>
      <c r="AH41">
        <f>N(AK40)</f>
        <v/>
      </c>
      <c r="AI41">
        <f>IF(N(AH41)&lt;=0.005,0,ROUND(N(AH41)*N('Debt List'!E11)/12,2))</f>
        <v/>
      </c>
      <c r="AJ41">
        <f>IF(N(AH41)&lt;=0.005,0,MIN(N('Debt List'!F11),N(AH41)+N(AI41)))+((AP41=7)*AR41+(AT41=7)*AV41+(AX41=7)*AZ41+(BB41=7)*BD41+(BF41=7)*BH41+(BJ41=7)*BL41+(BN41=7)*BP41+(BR41=7)*BT41)</f>
        <v/>
      </c>
      <c r="AK41">
        <f>MAX(0,ROUND(N(AH41)+N(AI41)-N(AJ41),2))</f>
        <v/>
      </c>
      <c r="AL41">
        <f>N(AO40)</f>
        <v/>
      </c>
      <c r="AM41">
        <f>IF(N(AL41)&lt;=0.005,0,ROUND(N(AL41)*N('Debt List'!E12)/12,2))</f>
        <v/>
      </c>
      <c r="AN41">
        <f>IF(N(AL41)&lt;=0.005,0,MIN(N('Debt List'!F12),N(AL41)+N(AM41)))+((AP41=8)*AR41+(AT41=8)*AV41+(AX41=8)*AZ41+(BB41=8)*BD41+(BF41=8)*BH41+(BJ41=8)*BL41+(BN41=8)*BP41+(BR41=8)*BT41)</f>
        <v/>
      </c>
      <c r="AO41">
        <f>MAX(0,ROUND(N(AL41)+N(AM41)-N(AN41),2))</f>
        <v/>
      </c>
      <c r="AP41">
        <f>IFERROR(MATCH(1,OrderPlan,0),"")</f>
        <v/>
      </c>
      <c r="AQ41">
        <f>IF(AP41="",0,IFERROR(IF(N(CHOOSE(AP41,J41,N41,R41,V41,Z41,AD41,AH41,AL41))&lt;=0.005,0,MAX(0,N(CHOOSE(AP41,J41,N41,R41,V41,Z41,AD41,AH41,AL41))+N(CHOOSE(AP41,K41,O41,S41,W41,AA41,AE41,AI41,AM41))-MIN(N(CHOOSE(AP41,'Debt List'!$F$5,'Debt List'!$F$6,'Debt List'!$F$7,'Debt List'!$F$8,'Debt List'!$F$9,'Debt List'!$F$10,'Debt List'!$F$11,'Debt List'!$F$12)),N(CHOOSE(AP41,J41,N41,R41,V41,Z41,AD41,AH41,AL41))+N(CHOOSE(AP41,K41,O41,S41,W41,AA41,AE41,AI41,AM41))))),0))</f>
        <v/>
      </c>
      <c r="AR41">
        <f>MIN(N(AQ41),MAX(0,N(ExtraPayment)))</f>
        <v/>
      </c>
      <c r="AS41">
        <f>MAX(0,N(ExtraPayment)-N(AR41))</f>
        <v/>
      </c>
      <c r="AT41">
        <f>IFERROR(MATCH(2,OrderPlan,0),"")</f>
        <v/>
      </c>
      <c r="AU41">
        <f>IF(AT41="",0,IFERROR(IF(N(CHOOSE(AT41,J41,N41,R41,V41,Z41,AD41,AH41,AL41))&lt;=0.005,0,MAX(0,N(CHOOSE(AT41,J41,N41,R41,V41,Z41,AD41,AH41,AL41))+N(CHOOSE(AT41,K41,O41,S41,W41,AA41,AE41,AI41,AM41))-MIN(N(CHOOSE(AT41,'Debt List'!$F$5,'Debt List'!$F$6,'Debt List'!$F$7,'Debt List'!$F$8,'Debt List'!$F$9,'Debt List'!$F$10,'Debt List'!$F$11,'Debt List'!$F$12)),N(CHOOSE(AT41,J41,N41,R41,V41,Z41,AD41,AH41,AL41))+N(CHOOSE(AT41,K41,O41,S41,W41,AA41,AE41,AI41,AM41))))),0))</f>
        <v/>
      </c>
      <c r="AV41">
        <f>MIN(N(AU41),MAX(0,N(AS41)))</f>
        <v/>
      </c>
      <c r="AW41">
        <f>MAX(0,N(AS41)-N(AV41))</f>
        <v/>
      </c>
      <c r="AX41">
        <f>IFERROR(MATCH(3,OrderPlan,0),"")</f>
        <v/>
      </c>
      <c r="AY41">
        <f>IF(AX41="",0,IFERROR(IF(N(CHOOSE(AX41,J41,N41,R41,V41,Z41,AD41,AH41,AL41))&lt;=0.005,0,MAX(0,N(CHOOSE(AX41,J41,N41,R41,V41,Z41,AD41,AH41,AL41))+N(CHOOSE(AX41,K41,O41,S41,W41,AA41,AE41,AI41,AM41))-MIN(N(CHOOSE(AX41,'Debt List'!$F$5,'Debt List'!$F$6,'Debt List'!$F$7,'Debt List'!$F$8,'Debt List'!$F$9,'Debt List'!$F$10,'Debt List'!$F$11,'Debt List'!$F$12)),N(CHOOSE(AX41,J41,N41,R41,V41,Z41,AD41,AH41,AL41))+N(CHOOSE(AX41,K41,O41,S41,W41,AA41,AE41,AI41,AM41))))),0))</f>
        <v/>
      </c>
      <c r="AZ41">
        <f>MIN(N(AY41),MAX(0,N(AW41)))</f>
        <v/>
      </c>
      <c r="BA41">
        <f>MAX(0,N(AW41)-N(AZ41))</f>
        <v/>
      </c>
      <c r="BB41">
        <f>IFERROR(MATCH(4,OrderPlan,0),"")</f>
        <v/>
      </c>
      <c r="BC41">
        <f>IF(BB41="",0,IFERROR(IF(N(CHOOSE(BB41,J41,N41,R41,V41,Z41,AD41,AH41,AL41))&lt;=0.005,0,MAX(0,N(CHOOSE(BB41,J41,N41,R41,V41,Z41,AD41,AH41,AL41))+N(CHOOSE(BB41,K41,O41,S41,W41,AA41,AE41,AI41,AM41))-MIN(N(CHOOSE(BB41,'Debt List'!$F$5,'Debt List'!$F$6,'Debt List'!$F$7,'Debt List'!$F$8,'Debt List'!$F$9,'Debt List'!$F$10,'Debt List'!$F$11,'Debt List'!$F$12)),N(CHOOSE(BB41,J41,N41,R41,V41,Z41,AD41,AH41,AL41))+N(CHOOSE(BB41,K41,O41,S41,W41,AA41,AE41,AI41,AM41))))),0))</f>
        <v/>
      </c>
      <c r="BD41">
        <f>MIN(N(BC41),MAX(0,N(BA41)))</f>
        <v/>
      </c>
      <c r="BE41">
        <f>MAX(0,N(BA41)-N(BD41))</f>
        <v/>
      </c>
      <c r="BF41">
        <f>IFERROR(MATCH(5,OrderPlan,0),"")</f>
        <v/>
      </c>
      <c r="BG41">
        <f>IF(BF41="",0,IFERROR(IF(N(CHOOSE(BF41,J41,N41,R41,V41,Z41,AD41,AH41,AL41))&lt;=0.005,0,MAX(0,N(CHOOSE(BF41,J41,N41,R41,V41,Z41,AD41,AH41,AL41))+N(CHOOSE(BF41,K41,O41,S41,W41,AA41,AE41,AI41,AM41))-MIN(N(CHOOSE(BF41,'Debt List'!$F$5,'Debt List'!$F$6,'Debt List'!$F$7,'Debt List'!$F$8,'Debt List'!$F$9,'Debt List'!$F$10,'Debt List'!$F$11,'Debt List'!$F$12)),N(CHOOSE(BF41,J41,N41,R41,V41,Z41,AD41,AH41,AL41))+N(CHOOSE(BF41,K41,O41,S41,W41,AA41,AE41,AI41,AM41))))),0))</f>
        <v/>
      </c>
      <c r="BH41">
        <f>MIN(N(BG41),MAX(0,N(BE41)))</f>
        <v/>
      </c>
      <c r="BI41">
        <f>MAX(0,N(BE41)-N(BH41))</f>
        <v/>
      </c>
      <c r="BJ41">
        <f>IFERROR(MATCH(6,OrderPlan,0),"")</f>
        <v/>
      </c>
      <c r="BK41">
        <f>IF(BJ41="",0,IFERROR(IF(N(CHOOSE(BJ41,J41,N41,R41,V41,Z41,AD41,AH41,AL41))&lt;=0.005,0,MAX(0,N(CHOOSE(BJ41,J41,N41,R41,V41,Z41,AD41,AH41,AL41))+N(CHOOSE(BJ41,K41,O41,S41,W41,AA41,AE41,AI41,AM41))-MIN(N(CHOOSE(BJ41,'Debt List'!$F$5,'Debt List'!$F$6,'Debt List'!$F$7,'Debt List'!$F$8,'Debt List'!$F$9,'Debt List'!$F$10,'Debt List'!$F$11,'Debt List'!$F$12)),N(CHOOSE(BJ41,J41,N41,R41,V41,Z41,AD41,AH41,AL41))+N(CHOOSE(BJ41,K41,O41,S41,W41,AA41,AE41,AI41,AM41))))),0))</f>
        <v/>
      </c>
      <c r="BL41">
        <f>MIN(N(BK41),MAX(0,N(BI41)))</f>
        <v/>
      </c>
      <c r="BM41">
        <f>MAX(0,N(BI41)-N(BL41))</f>
        <v/>
      </c>
      <c r="BN41">
        <f>IFERROR(MATCH(7,OrderPlan,0),"")</f>
        <v/>
      </c>
      <c r="BO41">
        <f>IF(BN41="",0,IFERROR(IF(N(CHOOSE(BN41,J41,N41,R41,V41,Z41,AD41,AH41,AL41))&lt;=0.005,0,MAX(0,N(CHOOSE(BN41,J41,N41,R41,V41,Z41,AD41,AH41,AL41))+N(CHOOSE(BN41,K41,O41,S41,W41,AA41,AE41,AI41,AM41))-MIN(N(CHOOSE(BN41,'Debt List'!$F$5,'Debt List'!$F$6,'Debt List'!$F$7,'Debt List'!$F$8,'Debt List'!$F$9,'Debt List'!$F$10,'Debt List'!$F$11,'Debt List'!$F$12)),N(CHOOSE(BN41,J41,N41,R41,V41,Z41,AD41,AH41,AL41))+N(CHOOSE(BN41,K41,O41,S41,W41,AA41,AE41,AI41,AM41))))),0))</f>
        <v/>
      </c>
      <c r="BP41">
        <f>MIN(N(BO41),MAX(0,N(BM41)))</f>
        <v/>
      </c>
      <c r="BQ41">
        <f>MAX(0,N(BM41)-N(BP41))</f>
        <v/>
      </c>
      <c r="BR41">
        <f>IFERROR(MATCH(8,OrderPlan,0),"")</f>
        <v/>
      </c>
      <c r="BS41">
        <f>IF(BR41="",0,IFERROR(IF(N(CHOOSE(BR41,J41,N41,R41,V41,Z41,AD41,AH41,AL41))&lt;=0.005,0,MAX(0,N(CHOOSE(BR41,J41,N41,R41,V41,Z41,AD41,AH41,AL41))+N(CHOOSE(BR41,K41,O41,S41,W41,AA41,AE41,AI41,AM41))-MIN(N(CHOOSE(BR41,'Debt List'!$F$5,'Debt List'!$F$6,'Debt List'!$F$7,'Debt List'!$F$8,'Debt List'!$F$9,'Debt List'!$F$10,'Debt List'!$F$11,'Debt List'!$F$12)),N(CHOOSE(BR41,J41,N41,R41,V41,Z41,AD41,AH41,AL41))+N(CHOOSE(BR41,K41,O41,S41,W41,AA41,AE41,AI41,AM41))))),0))</f>
        <v/>
      </c>
      <c r="BT41">
        <f>MIN(N(BS41),MAX(0,N(BQ41)))</f>
        <v/>
      </c>
      <c r="BU41">
        <f>MAX(0,N(BQ41)-N(BT41))</f>
        <v/>
      </c>
      <c r="CC41" t="n">
        <v>37</v>
      </c>
      <c r="CD41" s="115">
        <f>DATE(YEAR(PlanStart),MONTH(PlanStart)+CC41-1,1)</f>
        <v/>
      </c>
      <c r="CE41">
        <f>IF(AND(DR41&lt;&gt;"",N(CHOOSE(DR41,CL41,CP41,CT41,CX41,DB41,DF41,DJ41,DN41))&gt;0.005),INDEX(DebtNames,DR41),IF(AND(DV41&lt;&gt;"",N(CHOOSE(DV41,CL41,CP41,CT41,CX41,DB41,DF41,DJ41,DN41))&gt;0.005),INDEX(DebtNames,DV41),IF(AND(DZ41&lt;&gt;"",N(CHOOSE(DZ41,CL41,CP41,CT41,CX41,DB41,DF41,DJ41,DN41))&gt;0.005),INDEX(DebtNames,DZ41),IF(AND(ED41&lt;&gt;"",N(CHOOSE(ED41,CL41,CP41,CT41,CX41,DB41,DF41,DJ41,DN41))&gt;0.005),INDEX(DebtNames,ED41),IF(AND(EH41&lt;&gt;"",N(CHOOSE(EH41,CL41,CP41,CT41,CX41,DB41,DF41,DJ41,DN41))&gt;0.005),INDEX(DebtNames,EH41),IF(AND(EL41&lt;&gt;"",N(CHOOSE(EL41,CL41,CP41,CT41,CX41,DB41,DF41,DJ41,DN41))&gt;0.005),INDEX(DebtNames,EL41),IF(AND(EP41&lt;&gt;"",N(CHOOSE(EP41,CL41,CP41,CT41,CX41,DB41,DF41,DJ41,DN41))&gt;0.005),INDEX(DebtNames,EP41),IF(AND(ET41&lt;&gt;"",N(CHOOSE(ET41,CL41,CP41,CT41,CX41,DB41,DF41,DJ41,DN41))&gt;0.005),INDEX(DebtNames,ET41),""))))))))</f>
        <v/>
      </c>
      <c r="CF41">
        <f>N(EW41)</f>
        <v/>
      </c>
      <c r="CG41">
        <f>N(CN41)+N(CR41)+N(CV41)+N(CZ41)+N(DD41)+N(DH41)+N(DL41)+N(DP41)</f>
        <v/>
      </c>
      <c r="CH41">
        <f>N(CM41)+N(CQ41)+N(CU41)+N(CY41)+N(DC41)+N(DG41)+N(DK41)+N(DO41)</f>
        <v/>
      </c>
      <c r="CI41">
        <f>N(CI40)+N(CH41)</f>
        <v/>
      </c>
      <c r="CJ41">
        <f>N(CO41)+N(CS41)+N(CW41)+N(DA41)+N(DE41)+N(DI41)+N(DM41)+N(DQ41)</f>
        <v/>
      </c>
      <c r="CK41">
        <f>(CO41&gt;0.005)*1+(CS41&gt;0.005)*1+(CW41&gt;0.005)*1+(DA41&gt;0.005)*1+(DE41&gt;0.005)*1+(DI41&gt;0.005)*1+(DM41&gt;0.005)*1+(DQ41&gt;0.005)*1</f>
        <v/>
      </c>
      <c r="CL41">
        <f>N(CO40)</f>
        <v/>
      </c>
      <c r="CM41">
        <f>IF(N(CL41)&lt;=0.005,0,ROUND(N(CL41)*N('Debt List'!E5)/12,2))</f>
        <v/>
      </c>
      <c r="CN41">
        <f>IF(N(CL41)&lt;=0.005,0,MIN(N('Debt List'!F5),N(CL41)+N(CM41)))+((DR41=1)*DT41+(DV41=1)*DX41+(DZ41=1)*EB41+(ED41=1)*EF41+(EH41=1)*EJ41+(EL41=1)*EN41+(EP41=1)*ER41+(ET41=1)*EV41)</f>
        <v/>
      </c>
      <c r="CO41">
        <f>MAX(0,ROUND(N(CL41)+N(CM41)-N(CN41),2))</f>
        <v/>
      </c>
      <c r="CP41">
        <f>N(CS40)</f>
        <v/>
      </c>
      <c r="CQ41">
        <f>IF(N(CP41)&lt;=0.005,0,ROUND(N(CP41)*N('Debt List'!E6)/12,2))</f>
        <v/>
      </c>
      <c r="CR41">
        <f>IF(N(CP41)&lt;=0.005,0,MIN(N('Debt List'!F6),N(CP41)+N(CQ41)))+((DR41=2)*DT41+(DV41=2)*DX41+(DZ41=2)*EB41+(ED41=2)*EF41+(EH41=2)*EJ41+(EL41=2)*EN41+(EP41=2)*ER41+(ET41=2)*EV41)</f>
        <v/>
      </c>
      <c r="CS41">
        <f>MAX(0,ROUND(N(CP41)+N(CQ41)-N(CR41),2))</f>
        <v/>
      </c>
      <c r="CT41">
        <f>N(CW40)</f>
        <v/>
      </c>
      <c r="CU41">
        <f>IF(N(CT41)&lt;=0.005,0,ROUND(N(CT41)*N('Debt List'!E7)/12,2))</f>
        <v/>
      </c>
      <c r="CV41">
        <f>IF(N(CT41)&lt;=0.005,0,MIN(N('Debt List'!F7),N(CT41)+N(CU41)))+((DR41=3)*DT41+(DV41=3)*DX41+(DZ41=3)*EB41+(ED41=3)*EF41+(EH41=3)*EJ41+(EL41=3)*EN41+(EP41=3)*ER41+(ET41=3)*EV41)</f>
        <v/>
      </c>
      <c r="CW41">
        <f>MAX(0,ROUND(N(CT41)+N(CU41)-N(CV41),2))</f>
        <v/>
      </c>
      <c r="CX41">
        <f>N(DA40)</f>
        <v/>
      </c>
      <c r="CY41">
        <f>IF(N(CX41)&lt;=0.005,0,ROUND(N(CX41)*N('Debt List'!E8)/12,2))</f>
        <v/>
      </c>
      <c r="CZ41">
        <f>IF(N(CX41)&lt;=0.005,0,MIN(N('Debt List'!F8),N(CX41)+N(CY41)))+((DR41=4)*DT41+(DV41=4)*DX41+(DZ41=4)*EB41+(ED41=4)*EF41+(EH41=4)*EJ41+(EL41=4)*EN41+(EP41=4)*ER41+(ET41=4)*EV41)</f>
        <v/>
      </c>
      <c r="DA41">
        <f>MAX(0,ROUND(N(CX41)+N(CY41)-N(CZ41),2))</f>
        <v/>
      </c>
      <c r="DB41">
        <f>N(DE40)</f>
        <v/>
      </c>
      <c r="DC41">
        <f>IF(N(DB41)&lt;=0.005,0,ROUND(N(DB41)*N('Debt List'!E9)/12,2))</f>
        <v/>
      </c>
      <c r="DD41">
        <f>IF(N(DB41)&lt;=0.005,0,MIN(N('Debt List'!F9),N(DB41)+N(DC41)))+((DR41=5)*DT41+(DV41=5)*DX41+(DZ41=5)*EB41+(ED41=5)*EF41+(EH41=5)*EJ41+(EL41=5)*EN41+(EP41=5)*ER41+(ET41=5)*EV41)</f>
        <v/>
      </c>
      <c r="DE41">
        <f>MAX(0,ROUND(N(DB41)+N(DC41)-N(DD41),2))</f>
        <v/>
      </c>
      <c r="DF41">
        <f>N(DI40)</f>
        <v/>
      </c>
      <c r="DG41">
        <f>IF(N(DF41)&lt;=0.005,0,ROUND(N(DF41)*N('Debt List'!E10)/12,2))</f>
        <v/>
      </c>
      <c r="DH41">
        <f>IF(N(DF41)&lt;=0.005,0,MIN(N('Debt List'!F10),N(DF41)+N(DG41)))+((DR41=6)*DT41+(DV41=6)*DX41+(DZ41=6)*EB41+(ED41=6)*EF41+(EH41=6)*EJ41+(EL41=6)*EN41+(EP41=6)*ER41+(ET41=6)*EV41)</f>
        <v/>
      </c>
      <c r="DI41">
        <f>MAX(0,ROUND(N(DF41)+N(DG41)-N(DH41),2))</f>
        <v/>
      </c>
      <c r="DJ41">
        <f>N(DM40)</f>
        <v/>
      </c>
      <c r="DK41">
        <f>IF(N(DJ41)&lt;=0.005,0,ROUND(N(DJ41)*N('Debt List'!E11)/12,2))</f>
        <v/>
      </c>
      <c r="DL41">
        <f>IF(N(DJ41)&lt;=0.005,0,MIN(N('Debt List'!F11),N(DJ41)+N(DK41)))+((DR41=7)*DT41+(DV41=7)*DX41+(DZ41=7)*EB41+(ED41=7)*EF41+(EH41=7)*EJ41+(EL41=7)*EN41+(EP41=7)*ER41+(ET41=7)*EV41)</f>
        <v/>
      </c>
      <c r="DM41">
        <f>MAX(0,ROUND(N(DJ41)+N(DK41)-N(DL41),2))</f>
        <v/>
      </c>
      <c r="DN41">
        <f>N(DQ40)</f>
        <v/>
      </c>
      <c r="DO41">
        <f>IF(N(DN41)&lt;=0.005,0,ROUND(N(DN41)*N('Debt List'!E12)/12,2))</f>
        <v/>
      </c>
      <c r="DP41">
        <f>IF(N(DN41)&lt;=0.005,0,MIN(N('Debt List'!F12),N(DN41)+N(DO41)))+((DR41=8)*DT41+(DV41=8)*DX41+(DZ41=8)*EB41+(ED41=8)*EF41+(EH41=8)*EJ41+(EL41=8)*EN41+(EP41=8)*ER41+(ET41=8)*EV41)</f>
        <v/>
      </c>
      <c r="DQ41">
        <f>MAX(0,ROUND(N(DN41)+N(DO41)-N(DP41),2))</f>
        <v/>
      </c>
      <c r="DR41">
        <f>IFERROR(MATCH(1,OrderSnow,0),"")</f>
        <v/>
      </c>
      <c r="DS41">
        <f>IF(DR41="",0,IFERROR(IF(N(CHOOSE(DR41,CL41,CP41,CT41,CX41,DB41,DF41,DJ41,DN41))&lt;=0.005,0,MAX(0,N(CHOOSE(DR41,CL41,CP41,CT41,CX41,DB41,DF41,DJ41,DN41))+N(CHOOSE(DR41,CM41,CQ41,CU41,CY41,DC41,DG41,DK41,DO41))-MIN(N(CHOOSE(DR41,'Debt List'!$F$5,'Debt List'!$F$6,'Debt List'!$F$7,'Debt List'!$F$8,'Debt List'!$F$9,'Debt List'!$F$10,'Debt List'!$F$11,'Debt List'!$F$12)),N(CHOOSE(DR41,CL41,CP41,CT41,CX41,DB41,DF41,DJ41,DN41))+N(CHOOSE(DR41,CM41,CQ41,CU41,CY41,DC41,DG41,DK41,DO41))))),0))</f>
        <v/>
      </c>
      <c r="DT41">
        <f>MIN(N(DS41),MAX(0,N(ExtraPayment)))</f>
        <v/>
      </c>
      <c r="DU41">
        <f>MAX(0,N(ExtraPayment)-N(DT41))</f>
        <v/>
      </c>
      <c r="DV41">
        <f>IFERROR(MATCH(2,OrderSnow,0),"")</f>
        <v/>
      </c>
      <c r="DW41">
        <f>IF(DV41="",0,IFERROR(IF(N(CHOOSE(DV41,CL41,CP41,CT41,CX41,DB41,DF41,DJ41,DN41))&lt;=0.005,0,MAX(0,N(CHOOSE(DV41,CL41,CP41,CT41,CX41,DB41,DF41,DJ41,DN41))+N(CHOOSE(DV41,CM41,CQ41,CU41,CY41,DC41,DG41,DK41,DO41))-MIN(N(CHOOSE(DV41,'Debt List'!$F$5,'Debt List'!$F$6,'Debt List'!$F$7,'Debt List'!$F$8,'Debt List'!$F$9,'Debt List'!$F$10,'Debt List'!$F$11,'Debt List'!$F$12)),N(CHOOSE(DV41,CL41,CP41,CT41,CX41,DB41,DF41,DJ41,DN41))+N(CHOOSE(DV41,CM41,CQ41,CU41,CY41,DC41,DG41,DK41,DO41))))),0))</f>
        <v/>
      </c>
      <c r="DX41">
        <f>MIN(N(DW41),MAX(0,N(DU41)))</f>
        <v/>
      </c>
      <c r="DY41">
        <f>MAX(0,N(DU41)-N(DX41))</f>
        <v/>
      </c>
      <c r="DZ41">
        <f>IFERROR(MATCH(3,OrderSnow,0),"")</f>
        <v/>
      </c>
      <c r="EA41">
        <f>IF(DZ41="",0,IFERROR(IF(N(CHOOSE(DZ41,CL41,CP41,CT41,CX41,DB41,DF41,DJ41,DN41))&lt;=0.005,0,MAX(0,N(CHOOSE(DZ41,CL41,CP41,CT41,CX41,DB41,DF41,DJ41,DN41))+N(CHOOSE(DZ41,CM41,CQ41,CU41,CY41,DC41,DG41,DK41,DO41))-MIN(N(CHOOSE(DZ41,'Debt List'!$F$5,'Debt List'!$F$6,'Debt List'!$F$7,'Debt List'!$F$8,'Debt List'!$F$9,'Debt List'!$F$10,'Debt List'!$F$11,'Debt List'!$F$12)),N(CHOOSE(DZ41,CL41,CP41,CT41,CX41,DB41,DF41,DJ41,DN41))+N(CHOOSE(DZ41,CM41,CQ41,CU41,CY41,DC41,DG41,DK41,DO41))))),0))</f>
        <v/>
      </c>
      <c r="EB41">
        <f>MIN(N(EA41),MAX(0,N(DY41)))</f>
        <v/>
      </c>
      <c r="EC41">
        <f>MAX(0,N(DY41)-N(EB41))</f>
        <v/>
      </c>
      <c r="ED41">
        <f>IFERROR(MATCH(4,OrderSnow,0),"")</f>
        <v/>
      </c>
      <c r="EE41">
        <f>IF(ED41="",0,IFERROR(IF(N(CHOOSE(ED41,CL41,CP41,CT41,CX41,DB41,DF41,DJ41,DN41))&lt;=0.005,0,MAX(0,N(CHOOSE(ED41,CL41,CP41,CT41,CX41,DB41,DF41,DJ41,DN41))+N(CHOOSE(ED41,CM41,CQ41,CU41,CY41,DC41,DG41,DK41,DO41))-MIN(N(CHOOSE(ED41,'Debt List'!$F$5,'Debt List'!$F$6,'Debt List'!$F$7,'Debt List'!$F$8,'Debt List'!$F$9,'Debt List'!$F$10,'Debt List'!$F$11,'Debt List'!$F$12)),N(CHOOSE(ED41,CL41,CP41,CT41,CX41,DB41,DF41,DJ41,DN41))+N(CHOOSE(ED41,CM41,CQ41,CU41,CY41,DC41,DG41,DK41,DO41))))),0))</f>
        <v/>
      </c>
      <c r="EF41">
        <f>MIN(N(EE41),MAX(0,N(EC41)))</f>
        <v/>
      </c>
      <c r="EG41">
        <f>MAX(0,N(EC41)-N(EF41))</f>
        <v/>
      </c>
      <c r="EH41">
        <f>IFERROR(MATCH(5,OrderSnow,0),"")</f>
        <v/>
      </c>
      <c r="EI41">
        <f>IF(EH41="",0,IFERROR(IF(N(CHOOSE(EH41,CL41,CP41,CT41,CX41,DB41,DF41,DJ41,DN41))&lt;=0.005,0,MAX(0,N(CHOOSE(EH41,CL41,CP41,CT41,CX41,DB41,DF41,DJ41,DN41))+N(CHOOSE(EH41,CM41,CQ41,CU41,CY41,DC41,DG41,DK41,DO41))-MIN(N(CHOOSE(EH41,'Debt List'!$F$5,'Debt List'!$F$6,'Debt List'!$F$7,'Debt List'!$F$8,'Debt List'!$F$9,'Debt List'!$F$10,'Debt List'!$F$11,'Debt List'!$F$12)),N(CHOOSE(EH41,CL41,CP41,CT41,CX41,DB41,DF41,DJ41,DN41))+N(CHOOSE(EH41,CM41,CQ41,CU41,CY41,DC41,DG41,DK41,DO41))))),0))</f>
        <v/>
      </c>
      <c r="EJ41">
        <f>MIN(N(EI41),MAX(0,N(EG41)))</f>
        <v/>
      </c>
      <c r="EK41">
        <f>MAX(0,N(EG41)-N(EJ41))</f>
        <v/>
      </c>
      <c r="EL41">
        <f>IFERROR(MATCH(6,OrderSnow,0),"")</f>
        <v/>
      </c>
      <c r="EM41">
        <f>IF(EL41="",0,IFERROR(IF(N(CHOOSE(EL41,CL41,CP41,CT41,CX41,DB41,DF41,DJ41,DN41))&lt;=0.005,0,MAX(0,N(CHOOSE(EL41,CL41,CP41,CT41,CX41,DB41,DF41,DJ41,DN41))+N(CHOOSE(EL41,CM41,CQ41,CU41,CY41,DC41,DG41,DK41,DO41))-MIN(N(CHOOSE(EL41,'Debt List'!$F$5,'Debt List'!$F$6,'Debt List'!$F$7,'Debt List'!$F$8,'Debt List'!$F$9,'Debt List'!$F$10,'Debt List'!$F$11,'Debt List'!$F$12)),N(CHOOSE(EL41,CL41,CP41,CT41,CX41,DB41,DF41,DJ41,DN41))+N(CHOOSE(EL41,CM41,CQ41,CU41,CY41,DC41,DG41,DK41,DO41))))),0))</f>
        <v/>
      </c>
      <c r="EN41">
        <f>MIN(N(EM41),MAX(0,N(EK41)))</f>
        <v/>
      </c>
      <c r="EO41">
        <f>MAX(0,N(EK41)-N(EN41))</f>
        <v/>
      </c>
      <c r="EP41">
        <f>IFERROR(MATCH(7,OrderSnow,0),"")</f>
        <v/>
      </c>
      <c r="EQ41">
        <f>IF(EP41="",0,IFERROR(IF(N(CHOOSE(EP41,CL41,CP41,CT41,CX41,DB41,DF41,DJ41,DN41))&lt;=0.005,0,MAX(0,N(CHOOSE(EP41,CL41,CP41,CT41,CX41,DB41,DF41,DJ41,DN41))+N(CHOOSE(EP41,CM41,CQ41,CU41,CY41,DC41,DG41,DK41,DO41))-MIN(N(CHOOSE(EP41,'Debt List'!$F$5,'Debt List'!$F$6,'Debt List'!$F$7,'Debt List'!$F$8,'Debt List'!$F$9,'Debt List'!$F$10,'Debt List'!$F$11,'Debt List'!$F$12)),N(CHOOSE(EP41,CL41,CP41,CT41,CX41,DB41,DF41,DJ41,DN41))+N(CHOOSE(EP41,CM41,CQ41,CU41,CY41,DC41,DG41,DK41,DO41))))),0))</f>
        <v/>
      </c>
      <c r="ER41">
        <f>MIN(N(EQ41),MAX(0,N(EO41)))</f>
        <v/>
      </c>
      <c r="ES41">
        <f>MAX(0,N(EO41)-N(ER41))</f>
        <v/>
      </c>
      <c r="ET41">
        <f>IFERROR(MATCH(8,OrderSnow,0),"")</f>
        <v/>
      </c>
      <c r="EU41">
        <f>IF(ET41="",0,IFERROR(IF(N(CHOOSE(ET41,CL41,CP41,CT41,CX41,DB41,DF41,DJ41,DN41))&lt;=0.005,0,MAX(0,N(CHOOSE(ET41,CL41,CP41,CT41,CX41,DB41,DF41,DJ41,DN41))+N(CHOOSE(ET41,CM41,CQ41,CU41,CY41,DC41,DG41,DK41,DO41))-MIN(N(CHOOSE(ET41,'Debt List'!$F$5,'Debt List'!$F$6,'Debt List'!$F$7,'Debt List'!$F$8,'Debt List'!$F$9,'Debt List'!$F$10,'Debt List'!$F$11,'Debt List'!$F$12)),N(CHOOSE(ET41,CL41,CP41,CT41,CX41,DB41,DF41,DJ41,DN41))+N(CHOOSE(ET41,CM41,CQ41,CU41,CY41,DC41,DG41,DK41,DO41))))),0))</f>
        <v/>
      </c>
      <c r="EV41">
        <f>MIN(N(EU41),MAX(0,N(ES41)))</f>
        <v/>
      </c>
      <c r="EW41">
        <f>MAX(0,N(ES41)-N(EV41))</f>
        <v/>
      </c>
      <c r="FE41" t="n">
        <v>37</v>
      </c>
      <c r="FF41" s="115">
        <f>DATE(YEAR(PlanStart),MONTH(PlanStart)+FE41-1,1)</f>
        <v/>
      </c>
      <c r="FG41">
        <f>IF(AND(GT41&lt;&gt;"",N(CHOOSE(GT41,FN41,FR41,FV41,FZ41,GD41,GH41,GL41,GP41))&gt;0.005),INDEX(DebtNames,GT41),IF(AND(GX41&lt;&gt;"",N(CHOOSE(GX41,FN41,FR41,FV41,FZ41,GD41,GH41,GL41,GP41))&gt;0.005),INDEX(DebtNames,GX41),IF(AND(HB41&lt;&gt;"",N(CHOOSE(HB41,FN41,FR41,FV41,FZ41,GD41,GH41,GL41,GP41))&gt;0.005),INDEX(DebtNames,HB41),IF(AND(HF41&lt;&gt;"",N(CHOOSE(HF41,FN41,FR41,FV41,FZ41,GD41,GH41,GL41,GP41))&gt;0.005),INDEX(DebtNames,HF41),IF(AND(HJ41&lt;&gt;"",N(CHOOSE(HJ41,FN41,FR41,FV41,FZ41,GD41,GH41,GL41,GP41))&gt;0.005),INDEX(DebtNames,HJ41),IF(AND(HN41&lt;&gt;"",N(CHOOSE(HN41,FN41,FR41,FV41,FZ41,GD41,GH41,GL41,GP41))&gt;0.005),INDEX(DebtNames,HN41),IF(AND(HR41&lt;&gt;"",N(CHOOSE(HR41,FN41,FR41,FV41,FZ41,GD41,GH41,GL41,GP41))&gt;0.005),INDEX(DebtNames,HR41),IF(AND(HV41&lt;&gt;"",N(CHOOSE(HV41,FN41,FR41,FV41,FZ41,GD41,GH41,GL41,GP41))&gt;0.005),INDEX(DebtNames,HV41),""))))))))</f>
        <v/>
      </c>
      <c r="FH41">
        <f>N(HY41)</f>
        <v/>
      </c>
      <c r="FI41">
        <f>N(FP41)+N(FT41)+N(FX41)+N(GB41)+N(GF41)+N(GJ41)+N(GN41)+N(GR41)</f>
        <v/>
      </c>
      <c r="FJ41">
        <f>N(FO41)+N(FS41)+N(FW41)+N(GA41)+N(GE41)+N(GI41)+N(GM41)+N(GQ41)</f>
        <v/>
      </c>
      <c r="FK41">
        <f>N(FK40)+N(FJ41)</f>
        <v/>
      </c>
      <c r="FL41">
        <f>N(FQ41)+N(FU41)+N(FY41)+N(GC41)+N(GG41)+N(GK41)+N(GO41)+N(GS41)</f>
        <v/>
      </c>
      <c r="FM41">
        <f>(FQ41&gt;0.005)*1+(FU41&gt;0.005)*1+(FY41&gt;0.005)*1+(GC41&gt;0.005)*1+(GG41&gt;0.005)*1+(GK41&gt;0.005)*1+(GO41&gt;0.005)*1+(GS41&gt;0.005)*1</f>
        <v/>
      </c>
      <c r="FN41">
        <f>N(FQ40)</f>
        <v/>
      </c>
      <c r="FO41">
        <f>IF(N(FN41)&lt;=0.005,0,ROUND(N(FN41)*N('Debt List'!E5)/12,2))</f>
        <v/>
      </c>
      <c r="FP41">
        <f>IF(N(FN41)&lt;=0.005,0,MIN(N('Debt List'!F5),N(FN41)+N(FO41)))+((GT41=1)*GV41+(GX41=1)*GZ41+(HB41=1)*HD41+(HF41=1)*HH41+(HJ41=1)*HL41+(HN41=1)*HP41+(HR41=1)*HT41+(HV41=1)*HX41)</f>
        <v/>
      </c>
      <c r="FQ41">
        <f>MAX(0,ROUND(N(FN41)+N(FO41)-N(FP41),2))</f>
        <v/>
      </c>
      <c r="FR41">
        <f>N(FU40)</f>
        <v/>
      </c>
      <c r="FS41">
        <f>IF(N(FR41)&lt;=0.005,0,ROUND(N(FR41)*N('Debt List'!E6)/12,2))</f>
        <v/>
      </c>
      <c r="FT41">
        <f>IF(N(FR41)&lt;=0.005,0,MIN(N('Debt List'!F6),N(FR41)+N(FS41)))+((GT41=2)*GV41+(GX41=2)*GZ41+(HB41=2)*HD41+(HF41=2)*HH41+(HJ41=2)*HL41+(HN41=2)*HP41+(HR41=2)*HT41+(HV41=2)*HX41)</f>
        <v/>
      </c>
      <c r="FU41">
        <f>MAX(0,ROUND(N(FR41)+N(FS41)-N(FT41),2))</f>
        <v/>
      </c>
      <c r="FV41">
        <f>N(FY40)</f>
        <v/>
      </c>
      <c r="FW41">
        <f>IF(N(FV41)&lt;=0.005,0,ROUND(N(FV41)*N('Debt List'!E7)/12,2))</f>
        <v/>
      </c>
      <c r="FX41">
        <f>IF(N(FV41)&lt;=0.005,0,MIN(N('Debt List'!F7),N(FV41)+N(FW41)))+((GT41=3)*GV41+(GX41=3)*GZ41+(HB41=3)*HD41+(HF41=3)*HH41+(HJ41=3)*HL41+(HN41=3)*HP41+(HR41=3)*HT41+(HV41=3)*HX41)</f>
        <v/>
      </c>
      <c r="FY41">
        <f>MAX(0,ROUND(N(FV41)+N(FW41)-N(FX41),2))</f>
        <v/>
      </c>
      <c r="FZ41">
        <f>N(GC40)</f>
        <v/>
      </c>
      <c r="GA41">
        <f>IF(N(FZ41)&lt;=0.005,0,ROUND(N(FZ41)*N('Debt List'!E8)/12,2))</f>
        <v/>
      </c>
      <c r="GB41">
        <f>IF(N(FZ41)&lt;=0.005,0,MIN(N('Debt List'!F8),N(FZ41)+N(GA41)))+((GT41=4)*GV41+(GX41=4)*GZ41+(HB41=4)*HD41+(HF41=4)*HH41+(HJ41=4)*HL41+(HN41=4)*HP41+(HR41=4)*HT41+(HV41=4)*HX41)</f>
        <v/>
      </c>
      <c r="GC41">
        <f>MAX(0,ROUND(N(FZ41)+N(GA41)-N(GB41),2))</f>
        <v/>
      </c>
      <c r="GD41">
        <f>N(GG40)</f>
        <v/>
      </c>
      <c r="GE41">
        <f>IF(N(GD41)&lt;=0.005,0,ROUND(N(GD41)*N('Debt List'!E9)/12,2))</f>
        <v/>
      </c>
      <c r="GF41">
        <f>IF(N(GD41)&lt;=0.005,0,MIN(N('Debt List'!F9),N(GD41)+N(GE41)))+((GT41=5)*GV41+(GX41=5)*GZ41+(HB41=5)*HD41+(HF41=5)*HH41+(HJ41=5)*HL41+(HN41=5)*HP41+(HR41=5)*HT41+(HV41=5)*HX41)</f>
        <v/>
      </c>
      <c r="GG41">
        <f>MAX(0,ROUND(N(GD41)+N(GE41)-N(GF41),2))</f>
        <v/>
      </c>
      <c r="GH41">
        <f>N(GK40)</f>
        <v/>
      </c>
      <c r="GI41">
        <f>IF(N(GH41)&lt;=0.005,0,ROUND(N(GH41)*N('Debt List'!E10)/12,2))</f>
        <v/>
      </c>
      <c r="GJ41">
        <f>IF(N(GH41)&lt;=0.005,0,MIN(N('Debt List'!F10),N(GH41)+N(GI41)))+((GT41=6)*GV41+(GX41=6)*GZ41+(HB41=6)*HD41+(HF41=6)*HH41+(HJ41=6)*HL41+(HN41=6)*HP41+(HR41=6)*HT41+(HV41=6)*HX41)</f>
        <v/>
      </c>
      <c r="GK41">
        <f>MAX(0,ROUND(N(GH41)+N(GI41)-N(GJ41),2))</f>
        <v/>
      </c>
      <c r="GL41">
        <f>N(GO40)</f>
        <v/>
      </c>
      <c r="GM41">
        <f>IF(N(GL41)&lt;=0.005,0,ROUND(N(GL41)*N('Debt List'!E11)/12,2))</f>
        <v/>
      </c>
      <c r="GN41">
        <f>IF(N(GL41)&lt;=0.005,0,MIN(N('Debt List'!F11),N(GL41)+N(GM41)))+((GT41=7)*GV41+(GX41=7)*GZ41+(HB41=7)*HD41+(HF41=7)*HH41+(HJ41=7)*HL41+(HN41=7)*HP41+(HR41=7)*HT41+(HV41=7)*HX41)</f>
        <v/>
      </c>
      <c r="GO41">
        <f>MAX(0,ROUND(N(GL41)+N(GM41)-N(GN41),2))</f>
        <v/>
      </c>
      <c r="GP41">
        <f>N(GS40)</f>
        <v/>
      </c>
      <c r="GQ41">
        <f>IF(N(GP41)&lt;=0.005,0,ROUND(N(GP41)*N('Debt List'!E12)/12,2))</f>
        <v/>
      </c>
      <c r="GR41">
        <f>IF(N(GP41)&lt;=0.005,0,MIN(N('Debt List'!F12),N(GP41)+N(GQ41)))+((GT41=8)*GV41+(GX41=8)*GZ41+(HB41=8)*HD41+(HF41=8)*HH41+(HJ41=8)*HL41+(HN41=8)*HP41+(HR41=8)*HT41+(HV41=8)*HX41)</f>
        <v/>
      </c>
      <c r="GS41">
        <f>MAX(0,ROUND(N(GP41)+N(GQ41)-N(GR41),2))</f>
        <v/>
      </c>
      <c r="GT41">
        <f>IFERROR(MATCH(1,OrderAval,0),"")</f>
        <v/>
      </c>
      <c r="GU41">
        <f>IF(GT41="",0,IFERROR(IF(N(CHOOSE(GT41,FN41,FR41,FV41,FZ41,GD41,GH41,GL41,GP41))&lt;=0.005,0,MAX(0,N(CHOOSE(GT41,FN41,FR41,FV41,FZ41,GD41,GH41,GL41,GP41))+N(CHOOSE(GT41,FO41,FS41,FW41,GA41,GE41,GI41,GM41,GQ41))-MIN(N(CHOOSE(GT41,'Debt List'!$F$5,'Debt List'!$F$6,'Debt List'!$F$7,'Debt List'!$F$8,'Debt List'!$F$9,'Debt List'!$F$10,'Debt List'!$F$11,'Debt List'!$F$12)),N(CHOOSE(GT41,FN41,FR41,FV41,FZ41,GD41,GH41,GL41,GP41))+N(CHOOSE(GT41,FO41,FS41,FW41,GA41,GE41,GI41,GM41,GQ41))))),0))</f>
        <v/>
      </c>
      <c r="GV41">
        <f>MIN(N(GU41),MAX(0,N(ExtraPayment)))</f>
        <v/>
      </c>
      <c r="GW41">
        <f>MAX(0,N(ExtraPayment)-N(GV41))</f>
        <v/>
      </c>
      <c r="GX41">
        <f>IFERROR(MATCH(2,OrderAval,0),"")</f>
        <v/>
      </c>
      <c r="GY41">
        <f>IF(GX41="",0,IFERROR(IF(N(CHOOSE(GX41,FN41,FR41,FV41,FZ41,GD41,GH41,GL41,GP41))&lt;=0.005,0,MAX(0,N(CHOOSE(GX41,FN41,FR41,FV41,FZ41,GD41,GH41,GL41,GP41))+N(CHOOSE(GX41,FO41,FS41,FW41,GA41,GE41,GI41,GM41,GQ41))-MIN(N(CHOOSE(GX41,'Debt List'!$F$5,'Debt List'!$F$6,'Debt List'!$F$7,'Debt List'!$F$8,'Debt List'!$F$9,'Debt List'!$F$10,'Debt List'!$F$11,'Debt List'!$F$12)),N(CHOOSE(GX41,FN41,FR41,FV41,FZ41,GD41,GH41,GL41,GP41))+N(CHOOSE(GX41,FO41,FS41,FW41,GA41,GE41,GI41,GM41,GQ41))))),0))</f>
        <v/>
      </c>
      <c r="GZ41">
        <f>MIN(N(GY41),MAX(0,N(GW41)))</f>
        <v/>
      </c>
      <c r="HA41">
        <f>MAX(0,N(GW41)-N(GZ41))</f>
        <v/>
      </c>
      <c r="HB41">
        <f>IFERROR(MATCH(3,OrderAval,0),"")</f>
        <v/>
      </c>
      <c r="HC41">
        <f>IF(HB41="",0,IFERROR(IF(N(CHOOSE(HB41,FN41,FR41,FV41,FZ41,GD41,GH41,GL41,GP41))&lt;=0.005,0,MAX(0,N(CHOOSE(HB41,FN41,FR41,FV41,FZ41,GD41,GH41,GL41,GP41))+N(CHOOSE(HB41,FO41,FS41,FW41,GA41,GE41,GI41,GM41,GQ41))-MIN(N(CHOOSE(HB41,'Debt List'!$F$5,'Debt List'!$F$6,'Debt List'!$F$7,'Debt List'!$F$8,'Debt List'!$F$9,'Debt List'!$F$10,'Debt List'!$F$11,'Debt List'!$F$12)),N(CHOOSE(HB41,FN41,FR41,FV41,FZ41,GD41,GH41,GL41,GP41))+N(CHOOSE(HB41,FO41,FS41,FW41,GA41,GE41,GI41,GM41,GQ41))))),0))</f>
        <v/>
      </c>
      <c r="HD41">
        <f>MIN(N(HC41),MAX(0,N(HA41)))</f>
        <v/>
      </c>
      <c r="HE41">
        <f>MAX(0,N(HA41)-N(HD41))</f>
        <v/>
      </c>
      <c r="HF41">
        <f>IFERROR(MATCH(4,OrderAval,0),"")</f>
        <v/>
      </c>
      <c r="HG41">
        <f>IF(HF41="",0,IFERROR(IF(N(CHOOSE(HF41,FN41,FR41,FV41,FZ41,GD41,GH41,GL41,GP41))&lt;=0.005,0,MAX(0,N(CHOOSE(HF41,FN41,FR41,FV41,FZ41,GD41,GH41,GL41,GP41))+N(CHOOSE(HF41,FO41,FS41,FW41,GA41,GE41,GI41,GM41,GQ41))-MIN(N(CHOOSE(HF41,'Debt List'!$F$5,'Debt List'!$F$6,'Debt List'!$F$7,'Debt List'!$F$8,'Debt List'!$F$9,'Debt List'!$F$10,'Debt List'!$F$11,'Debt List'!$F$12)),N(CHOOSE(HF41,FN41,FR41,FV41,FZ41,GD41,GH41,GL41,GP41))+N(CHOOSE(HF41,FO41,FS41,FW41,GA41,GE41,GI41,GM41,GQ41))))),0))</f>
        <v/>
      </c>
      <c r="HH41">
        <f>MIN(N(HG41),MAX(0,N(HE41)))</f>
        <v/>
      </c>
      <c r="HI41">
        <f>MAX(0,N(HE41)-N(HH41))</f>
        <v/>
      </c>
      <c r="HJ41">
        <f>IFERROR(MATCH(5,OrderAval,0),"")</f>
        <v/>
      </c>
      <c r="HK41">
        <f>IF(HJ41="",0,IFERROR(IF(N(CHOOSE(HJ41,FN41,FR41,FV41,FZ41,GD41,GH41,GL41,GP41))&lt;=0.005,0,MAX(0,N(CHOOSE(HJ41,FN41,FR41,FV41,FZ41,GD41,GH41,GL41,GP41))+N(CHOOSE(HJ41,FO41,FS41,FW41,GA41,GE41,GI41,GM41,GQ41))-MIN(N(CHOOSE(HJ41,'Debt List'!$F$5,'Debt List'!$F$6,'Debt List'!$F$7,'Debt List'!$F$8,'Debt List'!$F$9,'Debt List'!$F$10,'Debt List'!$F$11,'Debt List'!$F$12)),N(CHOOSE(HJ41,FN41,FR41,FV41,FZ41,GD41,GH41,GL41,GP41))+N(CHOOSE(HJ41,FO41,FS41,FW41,GA41,GE41,GI41,GM41,GQ41))))),0))</f>
        <v/>
      </c>
      <c r="HL41">
        <f>MIN(N(HK41),MAX(0,N(HI41)))</f>
        <v/>
      </c>
      <c r="HM41">
        <f>MAX(0,N(HI41)-N(HL41))</f>
        <v/>
      </c>
      <c r="HN41">
        <f>IFERROR(MATCH(6,OrderAval,0),"")</f>
        <v/>
      </c>
      <c r="HO41">
        <f>IF(HN41="",0,IFERROR(IF(N(CHOOSE(HN41,FN41,FR41,FV41,FZ41,GD41,GH41,GL41,GP41))&lt;=0.005,0,MAX(0,N(CHOOSE(HN41,FN41,FR41,FV41,FZ41,GD41,GH41,GL41,GP41))+N(CHOOSE(HN41,FO41,FS41,FW41,GA41,GE41,GI41,GM41,GQ41))-MIN(N(CHOOSE(HN41,'Debt List'!$F$5,'Debt List'!$F$6,'Debt List'!$F$7,'Debt List'!$F$8,'Debt List'!$F$9,'Debt List'!$F$10,'Debt List'!$F$11,'Debt List'!$F$12)),N(CHOOSE(HN41,FN41,FR41,FV41,FZ41,GD41,GH41,GL41,GP41))+N(CHOOSE(HN41,FO41,FS41,FW41,GA41,GE41,GI41,GM41,GQ41))))),0))</f>
        <v/>
      </c>
      <c r="HP41">
        <f>MIN(N(HO41),MAX(0,N(HM41)))</f>
        <v/>
      </c>
      <c r="HQ41">
        <f>MAX(0,N(HM41)-N(HP41))</f>
        <v/>
      </c>
      <c r="HR41">
        <f>IFERROR(MATCH(7,OrderAval,0),"")</f>
        <v/>
      </c>
      <c r="HS41">
        <f>IF(HR41="",0,IFERROR(IF(N(CHOOSE(HR41,FN41,FR41,FV41,FZ41,GD41,GH41,GL41,GP41))&lt;=0.005,0,MAX(0,N(CHOOSE(HR41,FN41,FR41,FV41,FZ41,GD41,GH41,GL41,GP41))+N(CHOOSE(HR41,FO41,FS41,FW41,GA41,GE41,GI41,GM41,GQ41))-MIN(N(CHOOSE(HR41,'Debt List'!$F$5,'Debt List'!$F$6,'Debt List'!$F$7,'Debt List'!$F$8,'Debt List'!$F$9,'Debt List'!$F$10,'Debt List'!$F$11,'Debt List'!$F$12)),N(CHOOSE(HR41,FN41,FR41,FV41,FZ41,GD41,GH41,GL41,GP41))+N(CHOOSE(HR41,FO41,FS41,FW41,GA41,GE41,GI41,GM41,GQ41))))),0))</f>
        <v/>
      </c>
      <c r="HT41">
        <f>MIN(N(HS41),MAX(0,N(HQ41)))</f>
        <v/>
      </c>
      <c r="HU41">
        <f>MAX(0,N(HQ41)-N(HT41))</f>
        <v/>
      </c>
      <c r="HV41">
        <f>IFERROR(MATCH(8,OrderAval,0),"")</f>
        <v/>
      </c>
      <c r="HW41">
        <f>IF(HV41="",0,IFERROR(IF(N(CHOOSE(HV41,FN41,FR41,FV41,FZ41,GD41,GH41,GL41,GP41))&lt;=0.005,0,MAX(0,N(CHOOSE(HV41,FN41,FR41,FV41,FZ41,GD41,GH41,GL41,GP41))+N(CHOOSE(HV41,FO41,FS41,FW41,GA41,GE41,GI41,GM41,GQ41))-MIN(N(CHOOSE(HV41,'Debt List'!$F$5,'Debt List'!$F$6,'Debt List'!$F$7,'Debt List'!$F$8,'Debt List'!$F$9,'Debt List'!$F$10,'Debt List'!$F$11,'Debt List'!$F$12)),N(CHOOSE(HV41,FN41,FR41,FV41,FZ41,GD41,GH41,GL41,GP41))+N(CHOOSE(HV41,FO41,FS41,FW41,GA41,GE41,GI41,GM41,GQ41))))),0))</f>
        <v/>
      </c>
      <c r="HX41">
        <f>MIN(N(HW41),MAX(0,N(HU41)))</f>
        <v/>
      </c>
      <c r="HY41">
        <f>MAX(0,N(HU41)-N(HX41))</f>
        <v/>
      </c>
    </row>
    <row r="42">
      <c r="A42" t="n">
        <v>38</v>
      </c>
      <c r="B42" s="115">
        <f>DATE(YEAR(PlanStart),MONTH(PlanStart)+A42-1,1)</f>
        <v/>
      </c>
      <c r="C42">
        <f>IF(AND(AP42&lt;&gt;"",N(CHOOSE(AP42,J42,N42,R42,V42,Z42,AD42,AH42,AL42))&gt;0.005),INDEX(DebtNames,AP42),IF(AND(AT42&lt;&gt;"",N(CHOOSE(AT42,J42,N42,R42,V42,Z42,AD42,AH42,AL42))&gt;0.005),INDEX(DebtNames,AT42),IF(AND(AX42&lt;&gt;"",N(CHOOSE(AX42,J42,N42,R42,V42,Z42,AD42,AH42,AL42))&gt;0.005),INDEX(DebtNames,AX42),IF(AND(BB42&lt;&gt;"",N(CHOOSE(BB42,J42,N42,R42,V42,Z42,AD42,AH42,AL42))&gt;0.005),INDEX(DebtNames,BB42),IF(AND(BF42&lt;&gt;"",N(CHOOSE(BF42,J42,N42,R42,V42,Z42,AD42,AH42,AL42))&gt;0.005),INDEX(DebtNames,BF42),IF(AND(BJ42&lt;&gt;"",N(CHOOSE(BJ42,J42,N42,R42,V42,Z42,AD42,AH42,AL42))&gt;0.005),INDEX(DebtNames,BJ42),IF(AND(BN42&lt;&gt;"",N(CHOOSE(BN42,J42,N42,R42,V42,Z42,AD42,AH42,AL42))&gt;0.005),INDEX(DebtNames,BN42),IF(AND(BR42&lt;&gt;"",N(CHOOSE(BR42,J42,N42,R42,V42,Z42,AD42,AH42,AL42))&gt;0.005),INDEX(DebtNames,BR42),""))))))))</f>
        <v/>
      </c>
      <c r="D42">
        <f>N(BU42)</f>
        <v/>
      </c>
      <c r="E42">
        <f>N(L42)+N(P42)+N(T42)+N(X42)+N(AB42)+N(AF42)+N(AJ42)+N(AN42)</f>
        <v/>
      </c>
      <c r="F42">
        <f>N(K42)+N(O42)+N(S42)+N(W42)+N(AA42)+N(AE42)+N(AI42)+N(AM42)</f>
        <v/>
      </c>
      <c r="G42">
        <f>N(G41)+N(F42)</f>
        <v/>
      </c>
      <c r="H42">
        <f>N(M42)+N(Q42)+N(U42)+N(Y42)+N(AC42)+N(AG42)+N(AK42)+N(AO42)</f>
        <v/>
      </c>
      <c r="I42">
        <f>(M42&gt;0.005)*1+(Q42&gt;0.005)*1+(U42&gt;0.005)*1+(Y42&gt;0.005)*1+(AC42&gt;0.005)*1+(AG42&gt;0.005)*1+(AK42&gt;0.005)*1+(AO42&gt;0.005)*1</f>
        <v/>
      </c>
      <c r="J42">
        <f>N(M41)</f>
        <v/>
      </c>
      <c r="K42">
        <f>IF(N(J42)&lt;=0.005,0,ROUND(N(J42)*N('Debt List'!E5)/12,2))</f>
        <v/>
      </c>
      <c r="L42">
        <f>IF(N(J42)&lt;=0.005,0,MIN(N('Debt List'!F5),N(J42)+N(K42)))+((AP42=1)*AR42+(AT42=1)*AV42+(AX42=1)*AZ42+(BB42=1)*BD42+(BF42=1)*BH42+(BJ42=1)*BL42+(BN42=1)*BP42+(BR42=1)*BT42)</f>
        <v/>
      </c>
      <c r="M42">
        <f>MAX(0,ROUND(N(J42)+N(K42)-N(L42),2))</f>
        <v/>
      </c>
      <c r="N42">
        <f>N(Q41)</f>
        <v/>
      </c>
      <c r="O42">
        <f>IF(N(N42)&lt;=0.005,0,ROUND(N(N42)*N('Debt List'!E6)/12,2))</f>
        <v/>
      </c>
      <c r="P42">
        <f>IF(N(N42)&lt;=0.005,0,MIN(N('Debt List'!F6),N(N42)+N(O42)))+((AP42=2)*AR42+(AT42=2)*AV42+(AX42=2)*AZ42+(BB42=2)*BD42+(BF42=2)*BH42+(BJ42=2)*BL42+(BN42=2)*BP42+(BR42=2)*BT42)</f>
        <v/>
      </c>
      <c r="Q42">
        <f>MAX(0,ROUND(N(N42)+N(O42)-N(P42),2))</f>
        <v/>
      </c>
      <c r="R42">
        <f>N(U41)</f>
        <v/>
      </c>
      <c r="S42">
        <f>IF(N(R42)&lt;=0.005,0,ROUND(N(R42)*N('Debt List'!E7)/12,2))</f>
        <v/>
      </c>
      <c r="T42">
        <f>IF(N(R42)&lt;=0.005,0,MIN(N('Debt List'!F7),N(R42)+N(S42)))+((AP42=3)*AR42+(AT42=3)*AV42+(AX42=3)*AZ42+(BB42=3)*BD42+(BF42=3)*BH42+(BJ42=3)*BL42+(BN42=3)*BP42+(BR42=3)*BT42)</f>
        <v/>
      </c>
      <c r="U42">
        <f>MAX(0,ROUND(N(R42)+N(S42)-N(T42),2))</f>
        <v/>
      </c>
      <c r="V42">
        <f>N(Y41)</f>
        <v/>
      </c>
      <c r="W42">
        <f>IF(N(V42)&lt;=0.005,0,ROUND(N(V42)*N('Debt List'!E8)/12,2))</f>
        <v/>
      </c>
      <c r="X42">
        <f>IF(N(V42)&lt;=0.005,0,MIN(N('Debt List'!F8),N(V42)+N(W42)))+((AP42=4)*AR42+(AT42=4)*AV42+(AX42=4)*AZ42+(BB42=4)*BD42+(BF42=4)*BH42+(BJ42=4)*BL42+(BN42=4)*BP42+(BR42=4)*BT42)</f>
        <v/>
      </c>
      <c r="Y42">
        <f>MAX(0,ROUND(N(V42)+N(W42)-N(X42),2))</f>
        <v/>
      </c>
      <c r="Z42">
        <f>N(AC41)</f>
        <v/>
      </c>
      <c r="AA42">
        <f>IF(N(Z42)&lt;=0.005,0,ROUND(N(Z42)*N('Debt List'!E9)/12,2))</f>
        <v/>
      </c>
      <c r="AB42">
        <f>IF(N(Z42)&lt;=0.005,0,MIN(N('Debt List'!F9),N(Z42)+N(AA42)))+((AP42=5)*AR42+(AT42=5)*AV42+(AX42=5)*AZ42+(BB42=5)*BD42+(BF42=5)*BH42+(BJ42=5)*BL42+(BN42=5)*BP42+(BR42=5)*BT42)</f>
        <v/>
      </c>
      <c r="AC42">
        <f>MAX(0,ROUND(N(Z42)+N(AA42)-N(AB42),2))</f>
        <v/>
      </c>
      <c r="AD42">
        <f>N(AG41)</f>
        <v/>
      </c>
      <c r="AE42">
        <f>IF(N(AD42)&lt;=0.005,0,ROUND(N(AD42)*N('Debt List'!E10)/12,2))</f>
        <v/>
      </c>
      <c r="AF42">
        <f>IF(N(AD42)&lt;=0.005,0,MIN(N('Debt List'!F10),N(AD42)+N(AE42)))+((AP42=6)*AR42+(AT42=6)*AV42+(AX42=6)*AZ42+(BB42=6)*BD42+(BF42=6)*BH42+(BJ42=6)*BL42+(BN42=6)*BP42+(BR42=6)*BT42)</f>
        <v/>
      </c>
      <c r="AG42">
        <f>MAX(0,ROUND(N(AD42)+N(AE42)-N(AF42),2))</f>
        <v/>
      </c>
      <c r="AH42">
        <f>N(AK41)</f>
        <v/>
      </c>
      <c r="AI42">
        <f>IF(N(AH42)&lt;=0.005,0,ROUND(N(AH42)*N('Debt List'!E11)/12,2))</f>
        <v/>
      </c>
      <c r="AJ42">
        <f>IF(N(AH42)&lt;=0.005,0,MIN(N('Debt List'!F11),N(AH42)+N(AI42)))+((AP42=7)*AR42+(AT42=7)*AV42+(AX42=7)*AZ42+(BB42=7)*BD42+(BF42=7)*BH42+(BJ42=7)*BL42+(BN42=7)*BP42+(BR42=7)*BT42)</f>
        <v/>
      </c>
      <c r="AK42">
        <f>MAX(0,ROUND(N(AH42)+N(AI42)-N(AJ42),2))</f>
        <v/>
      </c>
      <c r="AL42">
        <f>N(AO41)</f>
        <v/>
      </c>
      <c r="AM42">
        <f>IF(N(AL42)&lt;=0.005,0,ROUND(N(AL42)*N('Debt List'!E12)/12,2))</f>
        <v/>
      </c>
      <c r="AN42">
        <f>IF(N(AL42)&lt;=0.005,0,MIN(N('Debt List'!F12),N(AL42)+N(AM42)))+((AP42=8)*AR42+(AT42=8)*AV42+(AX42=8)*AZ42+(BB42=8)*BD42+(BF42=8)*BH42+(BJ42=8)*BL42+(BN42=8)*BP42+(BR42=8)*BT42)</f>
        <v/>
      </c>
      <c r="AO42">
        <f>MAX(0,ROUND(N(AL42)+N(AM42)-N(AN42),2))</f>
        <v/>
      </c>
      <c r="AP42">
        <f>IFERROR(MATCH(1,OrderPlan,0),"")</f>
        <v/>
      </c>
      <c r="AQ42">
        <f>IF(AP42="",0,IFERROR(IF(N(CHOOSE(AP42,J42,N42,R42,V42,Z42,AD42,AH42,AL42))&lt;=0.005,0,MAX(0,N(CHOOSE(AP42,J42,N42,R42,V42,Z42,AD42,AH42,AL42))+N(CHOOSE(AP42,K42,O42,S42,W42,AA42,AE42,AI42,AM42))-MIN(N(CHOOSE(AP42,'Debt List'!$F$5,'Debt List'!$F$6,'Debt List'!$F$7,'Debt List'!$F$8,'Debt List'!$F$9,'Debt List'!$F$10,'Debt List'!$F$11,'Debt List'!$F$12)),N(CHOOSE(AP42,J42,N42,R42,V42,Z42,AD42,AH42,AL42))+N(CHOOSE(AP42,K42,O42,S42,W42,AA42,AE42,AI42,AM42))))),0))</f>
        <v/>
      </c>
      <c r="AR42">
        <f>MIN(N(AQ42),MAX(0,N(ExtraPayment)))</f>
        <v/>
      </c>
      <c r="AS42">
        <f>MAX(0,N(ExtraPayment)-N(AR42))</f>
        <v/>
      </c>
      <c r="AT42">
        <f>IFERROR(MATCH(2,OrderPlan,0),"")</f>
        <v/>
      </c>
      <c r="AU42">
        <f>IF(AT42="",0,IFERROR(IF(N(CHOOSE(AT42,J42,N42,R42,V42,Z42,AD42,AH42,AL42))&lt;=0.005,0,MAX(0,N(CHOOSE(AT42,J42,N42,R42,V42,Z42,AD42,AH42,AL42))+N(CHOOSE(AT42,K42,O42,S42,W42,AA42,AE42,AI42,AM42))-MIN(N(CHOOSE(AT42,'Debt List'!$F$5,'Debt List'!$F$6,'Debt List'!$F$7,'Debt List'!$F$8,'Debt List'!$F$9,'Debt List'!$F$10,'Debt List'!$F$11,'Debt List'!$F$12)),N(CHOOSE(AT42,J42,N42,R42,V42,Z42,AD42,AH42,AL42))+N(CHOOSE(AT42,K42,O42,S42,W42,AA42,AE42,AI42,AM42))))),0))</f>
        <v/>
      </c>
      <c r="AV42">
        <f>MIN(N(AU42),MAX(0,N(AS42)))</f>
        <v/>
      </c>
      <c r="AW42">
        <f>MAX(0,N(AS42)-N(AV42))</f>
        <v/>
      </c>
      <c r="AX42">
        <f>IFERROR(MATCH(3,OrderPlan,0),"")</f>
        <v/>
      </c>
      <c r="AY42">
        <f>IF(AX42="",0,IFERROR(IF(N(CHOOSE(AX42,J42,N42,R42,V42,Z42,AD42,AH42,AL42))&lt;=0.005,0,MAX(0,N(CHOOSE(AX42,J42,N42,R42,V42,Z42,AD42,AH42,AL42))+N(CHOOSE(AX42,K42,O42,S42,W42,AA42,AE42,AI42,AM42))-MIN(N(CHOOSE(AX42,'Debt List'!$F$5,'Debt List'!$F$6,'Debt List'!$F$7,'Debt List'!$F$8,'Debt List'!$F$9,'Debt List'!$F$10,'Debt List'!$F$11,'Debt List'!$F$12)),N(CHOOSE(AX42,J42,N42,R42,V42,Z42,AD42,AH42,AL42))+N(CHOOSE(AX42,K42,O42,S42,W42,AA42,AE42,AI42,AM42))))),0))</f>
        <v/>
      </c>
      <c r="AZ42">
        <f>MIN(N(AY42),MAX(0,N(AW42)))</f>
        <v/>
      </c>
      <c r="BA42">
        <f>MAX(0,N(AW42)-N(AZ42))</f>
        <v/>
      </c>
      <c r="BB42">
        <f>IFERROR(MATCH(4,OrderPlan,0),"")</f>
        <v/>
      </c>
      <c r="BC42">
        <f>IF(BB42="",0,IFERROR(IF(N(CHOOSE(BB42,J42,N42,R42,V42,Z42,AD42,AH42,AL42))&lt;=0.005,0,MAX(0,N(CHOOSE(BB42,J42,N42,R42,V42,Z42,AD42,AH42,AL42))+N(CHOOSE(BB42,K42,O42,S42,W42,AA42,AE42,AI42,AM42))-MIN(N(CHOOSE(BB42,'Debt List'!$F$5,'Debt List'!$F$6,'Debt List'!$F$7,'Debt List'!$F$8,'Debt List'!$F$9,'Debt List'!$F$10,'Debt List'!$F$11,'Debt List'!$F$12)),N(CHOOSE(BB42,J42,N42,R42,V42,Z42,AD42,AH42,AL42))+N(CHOOSE(BB42,K42,O42,S42,W42,AA42,AE42,AI42,AM42))))),0))</f>
        <v/>
      </c>
      <c r="BD42">
        <f>MIN(N(BC42),MAX(0,N(BA42)))</f>
        <v/>
      </c>
      <c r="BE42">
        <f>MAX(0,N(BA42)-N(BD42))</f>
        <v/>
      </c>
      <c r="BF42">
        <f>IFERROR(MATCH(5,OrderPlan,0),"")</f>
        <v/>
      </c>
      <c r="BG42">
        <f>IF(BF42="",0,IFERROR(IF(N(CHOOSE(BF42,J42,N42,R42,V42,Z42,AD42,AH42,AL42))&lt;=0.005,0,MAX(0,N(CHOOSE(BF42,J42,N42,R42,V42,Z42,AD42,AH42,AL42))+N(CHOOSE(BF42,K42,O42,S42,W42,AA42,AE42,AI42,AM42))-MIN(N(CHOOSE(BF42,'Debt List'!$F$5,'Debt List'!$F$6,'Debt List'!$F$7,'Debt List'!$F$8,'Debt List'!$F$9,'Debt List'!$F$10,'Debt List'!$F$11,'Debt List'!$F$12)),N(CHOOSE(BF42,J42,N42,R42,V42,Z42,AD42,AH42,AL42))+N(CHOOSE(BF42,K42,O42,S42,W42,AA42,AE42,AI42,AM42))))),0))</f>
        <v/>
      </c>
      <c r="BH42">
        <f>MIN(N(BG42),MAX(0,N(BE42)))</f>
        <v/>
      </c>
      <c r="BI42">
        <f>MAX(0,N(BE42)-N(BH42))</f>
        <v/>
      </c>
      <c r="BJ42">
        <f>IFERROR(MATCH(6,OrderPlan,0),"")</f>
        <v/>
      </c>
      <c r="BK42">
        <f>IF(BJ42="",0,IFERROR(IF(N(CHOOSE(BJ42,J42,N42,R42,V42,Z42,AD42,AH42,AL42))&lt;=0.005,0,MAX(0,N(CHOOSE(BJ42,J42,N42,R42,V42,Z42,AD42,AH42,AL42))+N(CHOOSE(BJ42,K42,O42,S42,W42,AA42,AE42,AI42,AM42))-MIN(N(CHOOSE(BJ42,'Debt List'!$F$5,'Debt List'!$F$6,'Debt List'!$F$7,'Debt List'!$F$8,'Debt List'!$F$9,'Debt List'!$F$10,'Debt List'!$F$11,'Debt List'!$F$12)),N(CHOOSE(BJ42,J42,N42,R42,V42,Z42,AD42,AH42,AL42))+N(CHOOSE(BJ42,K42,O42,S42,W42,AA42,AE42,AI42,AM42))))),0))</f>
        <v/>
      </c>
      <c r="BL42">
        <f>MIN(N(BK42),MAX(0,N(BI42)))</f>
        <v/>
      </c>
      <c r="BM42">
        <f>MAX(0,N(BI42)-N(BL42))</f>
        <v/>
      </c>
      <c r="BN42">
        <f>IFERROR(MATCH(7,OrderPlan,0),"")</f>
        <v/>
      </c>
      <c r="BO42">
        <f>IF(BN42="",0,IFERROR(IF(N(CHOOSE(BN42,J42,N42,R42,V42,Z42,AD42,AH42,AL42))&lt;=0.005,0,MAX(0,N(CHOOSE(BN42,J42,N42,R42,V42,Z42,AD42,AH42,AL42))+N(CHOOSE(BN42,K42,O42,S42,W42,AA42,AE42,AI42,AM42))-MIN(N(CHOOSE(BN42,'Debt List'!$F$5,'Debt List'!$F$6,'Debt List'!$F$7,'Debt List'!$F$8,'Debt List'!$F$9,'Debt List'!$F$10,'Debt List'!$F$11,'Debt List'!$F$12)),N(CHOOSE(BN42,J42,N42,R42,V42,Z42,AD42,AH42,AL42))+N(CHOOSE(BN42,K42,O42,S42,W42,AA42,AE42,AI42,AM42))))),0))</f>
        <v/>
      </c>
      <c r="BP42">
        <f>MIN(N(BO42),MAX(0,N(BM42)))</f>
        <v/>
      </c>
      <c r="BQ42">
        <f>MAX(0,N(BM42)-N(BP42))</f>
        <v/>
      </c>
      <c r="BR42">
        <f>IFERROR(MATCH(8,OrderPlan,0),"")</f>
        <v/>
      </c>
      <c r="BS42">
        <f>IF(BR42="",0,IFERROR(IF(N(CHOOSE(BR42,J42,N42,R42,V42,Z42,AD42,AH42,AL42))&lt;=0.005,0,MAX(0,N(CHOOSE(BR42,J42,N42,R42,V42,Z42,AD42,AH42,AL42))+N(CHOOSE(BR42,K42,O42,S42,W42,AA42,AE42,AI42,AM42))-MIN(N(CHOOSE(BR42,'Debt List'!$F$5,'Debt List'!$F$6,'Debt List'!$F$7,'Debt List'!$F$8,'Debt List'!$F$9,'Debt List'!$F$10,'Debt List'!$F$11,'Debt List'!$F$12)),N(CHOOSE(BR42,J42,N42,R42,V42,Z42,AD42,AH42,AL42))+N(CHOOSE(BR42,K42,O42,S42,W42,AA42,AE42,AI42,AM42))))),0))</f>
        <v/>
      </c>
      <c r="BT42">
        <f>MIN(N(BS42),MAX(0,N(BQ42)))</f>
        <v/>
      </c>
      <c r="BU42">
        <f>MAX(0,N(BQ42)-N(BT42))</f>
        <v/>
      </c>
      <c r="CC42" t="n">
        <v>38</v>
      </c>
      <c r="CD42" s="115">
        <f>DATE(YEAR(PlanStart),MONTH(PlanStart)+CC42-1,1)</f>
        <v/>
      </c>
      <c r="CE42">
        <f>IF(AND(DR42&lt;&gt;"",N(CHOOSE(DR42,CL42,CP42,CT42,CX42,DB42,DF42,DJ42,DN42))&gt;0.005),INDEX(DebtNames,DR42),IF(AND(DV42&lt;&gt;"",N(CHOOSE(DV42,CL42,CP42,CT42,CX42,DB42,DF42,DJ42,DN42))&gt;0.005),INDEX(DebtNames,DV42),IF(AND(DZ42&lt;&gt;"",N(CHOOSE(DZ42,CL42,CP42,CT42,CX42,DB42,DF42,DJ42,DN42))&gt;0.005),INDEX(DebtNames,DZ42),IF(AND(ED42&lt;&gt;"",N(CHOOSE(ED42,CL42,CP42,CT42,CX42,DB42,DF42,DJ42,DN42))&gt;0.005),INDEX(DebtNames,ED42),IF(AND(EH42&lt;&gt;"",N(CHOOSE(EH42,CL42,CP42,CT42,CX42,DB42,DF42,DJ42,DN42))&gt;0.005),INDEX(DebtNames,EH42),IF(AND(EL42&lt;&gt;"",N(CHOOSE(EL42,CL42,CP42,CT42,CX42,DB42,DF42,DJ42,DN42))&gt;0.005),INDEX(DebtNames,EL42),IF(AND(EP42&lt;&gt;"",N(CHOOSE(EP42,CL42,CP42,CT42,CX42,DB42,DF42,DJ42,DN42))&gt;0.005),INDEX(DebtNames,EP42),IF(AND(ET42&lt;&gt;"",N(CHOOSE(ET42,CL42,CP42,CT42,CX42,DB42,DF42,DJ42,DN42))&gt;0.005),INDEX(DebtNames,ET42),""))))))))</f>
        <v/>
      </c>
      <c r="CF42">
        <f>N(EW42)</f>
        <v/>
      </c>
      <c r="CG42">
        <f>N(CN42)+N(CR42)+N(CV42)+N(CZ42)+N(DD42)+N(DH42)+N(DL42)+N(DP42)</f>
        <v/>
      </c>
      <c r="CH42">
        <f>N(CM42)+N(CQ42)+N(CU42)+N(CY42)+N(DC42)+N(DG42)+N(DK42)+N(DO42)</f>
        <v/>
      </c>
      <c r="CI42">
        <f>N(CI41)+N(CH42)</f>
        <v/>
      </c>
      <c r="CJ42">
        <f>N(CO42)+N(CS42)+N(CW42)+N(DA42)+N(DE42)+N(DI42)+N(DM42)+N(DQ42)</f>
        <v/>
      </c>
      <c r="CK42">
        <f>(CO42&gt;0.005)*1+(CS42&gt;0.005)*1+(CW42&gt;0.005)*1+(DA42&gt;0.005)*1+(DE42&gt;0.005)*1+(DI42&gt;0.005)*1+(DM42&gt;0.005)*1+(DQ42&gt;0.005)*1</f>
        <v/>
      </c>
      <c r="CL42">
        <f>N(CO41)</f>
        <v/>
      </c>
      <c r="CM42">
        <f>IF(N(CL42)&lt;=0.005,0,ROUND(N(CL42)*N('Debt List'!E5)/12,2))</f>
        <v/>
      </c>
      <c r="CN42">
        <f>IF(N(CL42)&lt;=0.005,0,MIN(N('Debt List'!F5),N(CL42)+N(CM42)))+((DR42=1)*DT42+(DV42=1)*DX42+(DZ42=1)*EB42+(ED42=1)*EF42+(EH42=1)*EJ42+(EL42=1)*EN42+(EP42=1)*ER42+(ET42=1)*EV42)</f>
        <v/>
      </c>
      <c r="CO42">
        <f>MAX(0,ROUND(N(CL42)+N(CM42)-N(CN42),2))</f>
        <v/>
      </c>
      <c r="CP42">
        <f>N(CS41)</f>
        <v/>
      </c>
      <c r="CQ42">
        <f>IF(N(CP42)&lt;=0.005,0,ROUND(N(CP42)*N('Debt List'!E6)/12,2))</f>
        <v/>
      </c>
      <c r="CR42">
        <f>IF(N(CP42)&lt;=0.005,0,MIN(N('Debt List'!F6),N(CP42)+N(CQ42)))+((DR42=2)*DT42+(DV42=2)*DX42+(DZ42=2)*EB42+(ED42=2)*EF42+(EH42=2)*EJ42+(EL42=2)*EN42+(EP42=2)*ER42+(ET42=2)*EV42)</f>
        <v/>
      </c>
      <c r="CS42">
        <f>MAX(0,ROUND(N(CP42)+N(CQ42)-N(CR42),2))</f>
        <v/>
      </c>
      <c r="CT42">
        <f>N(CW41)</f>
        <v/>
      </c>
      <c r="CU42">
        <f>IF(N(CT42)&lt;=0.005,0,ROUND(N(CT42)*N('Debt List'!E7)/12,2))</f>
        <v/>
      </c>
      <c r="CV42">
        <f>IF(N(CT42)&lt;=0.005,0,MIN(N('Debt List'!F7),N(CT42)+N(CU42)))+((DR42=3)*DT42+(DV42=3)*DX42+(DZ42=3)*EB42+(ED42=3)*EF42+(EH42=3)*EJ42+(EL42=3)*EN42+(EP42=3)*ER42+(ET42=3)*EV42)</f>
        <v/>
      </c>
      <c r="CW42">
        <f>MAX(0,ROUND(N(CT42)+N(CU42)-N(CV42),2))</f>
        <v/>
      </c>
      <c r="CX42">
        <f>N(DA41)</f>
        <v/>
      </c>
      <c r="CY42">
        <f>IF(N(CX42)&lt;=0.005,0,ROUND(N(CX42)*N('Debt List'!E8)/12,2))</f>
        <v/>
      </c>
      <c r="CZ42">
        <f>IF(N(CX42)&lt;=0.005,0,MIN(N('Debt List'!F8),N(CX42)+N(CY42)))+((DR42=4)*DT42+(DV42=4)*DX42+(DZ42=4)*EB42+(ED42=4)*EF42+(EH42=4)*EJ42+(EL42=4)*EN42+(EP42=4)*ER42+(ET42=4)*EV42)</f>
        <v/>
      </c>
      <c r="DA42">
        <f>MAX(0,ROUND(N(CX42)+N(CY42)-N(CZ42),2))</f>
        <v/>
      </c>
      <c r="DB42">
        <f>N(DE41)</f>
        <v/>
      </c>
      <c r="DC42">
        <f>IF(N(DB42)&lt;=0.005,0,ROUND(N(DB42)*N('Debt List'!E9)/12,2))</f>
        <v/>
      </c>
      <c r="DD42">
        <f>IF(N(DB42)&lt;=0.005,0,MIN(N('Debt List'!F9),N(DB42)+N(DC42)))+((DR42=5)*DT42+(DV42=5)*DX42+(DZ42=5)*EB42+(ED42=5)*EF42+(EH42=5)*EJ42+(EL42=5)*EN42+(EP42=5)*ER42+(ET42=5)*EV42)</f>
        <v/>
      </c>
      <c r="DE42">
        <f>MAX(0,ROUND(N(DB42)+N(DC42)-N(DD42),2))</f>
        <v/>
      </c>
      <c r="DF42">
        <f>N(DI41)</f>
        <v/>
      </c>
      <c r="DG42">
        <f>IF(N(DF42)&lt;=0.005,0,ROUND(N(DF42)*N('Debt List'!E10)/12,2))</f>
        <v/>
      </c>
      <c r="DH42">
        <f>IF(N(DF42)&lt;=0.005,0,MIN(N('Debt List'!F10),N(DF42)+N(DG42)))+((DR42=6)*DT42+(DV42=6)*DX42+(DZ42=6)*EB42+(ED42=6)*EF42+(EH42=6)*EJ42+(EL42=6)*EN42+(EP42=6)*ER42+(ET42=6)*EV42)</f>
        <v/>
      </c>
      <c r="DI42">
        <f>MAX(0,ROUND(N(DF42)+N(DG42)-N(DH42),2))</f>
        <v/>
      </c>
      <c r="DJ42">
        <f>N(DM41)</f>
        <v/>
      </c>
      <c r="DK42">
        <f>IF(N(DJ42)&lt;=0.005,0,ROUND(N(DJ42)*N('Debt List'!E11)/12,2))</f>
        <v/>
      </c>
      <c r="DL42">
        <f>IF(N(DJ42)&lt;=0.005,0,MIN(N('Debt List'!F11),N(DJ42)+N(DK42)))+((DR42=7)*DT42+(DV42=7)*DX42+(DZ42=7)*EB42+(ED42=7)*EF42+(EH42=7)*EJ42+(EL42=7)*EN42+(EP42=7)*ER42+(ET42=7)*EV42)</f>
        <v/>
      </c>
      <c r="DM42">
        <f>MAX(0,ROUND(N(DJ42)+N(DK42)-N(DL42),2))</f>
        <v/>
      </c>
      <c r="DN42">
        <f>N(DQ41)</f>
        <v/>
      </c>
      <c r="DO42">
        <f>IF(N(DN42)&lt;=0.005,0,ROUND(N(DN42)*N('Debt List'!E12)/12,2))</f>
        <v/>
      </c>
      <c r="DP42">
        <f>IF(N(DN42)&lt;=0.005,0,MIN(N('Debt List'!F12),N(DN42)+N(DO42)))+((DR42=8)*DT42+(DV42=8)*DX42+(DZ42=8)*EB42+(ED42=8)*EF42+(EH42=8)*EJ42+(EL42=8)*EN42+(EP42=8)*ER42+(ET42=8)*EV42)</f>
        <v/>
      </c>
      <c r="DQ42">
        <f>MAX(0,ROUND(N(DN42)+N(DO42)-N(DP42),2))</f>
        <v/>
      </c>
      <c r="DR42">
        <f>IFERROR(MATCH(1,OrderSnow,0),"")</f>
        <v/>
      </c>
      <c r="DS42">
        <f>IF(DR42="",0,IFERROR(IF(N(CHOOSE(DR42,CL42,CP42,CT42,CX42,DB42,DF42,DJ42,DN42))&lt;=0.005,0,MAX(0,N(CHOOSE(DR42,CL42,CP42,CT42,CX42,DB42,DF42,DJ42,DN42))+N(CHOOSE(DR42,CM42,CQ42,CU42,CY42,DC42,DG42,DK42,DO42))-MIN(N(CHOOSE(DR42,'Debt List'!$F$5,'Debt List'!$F$6,'Debt List'!$F$7,'Debt List'!$F$8,'Debt List'!$F$9,'Debt List'!$F$10,'Debt List'!$F$11,'Debt List'!$F$12)),N(CHOOSE(DR42,CL42,CP42,CT42,CX42,DB42,DF42,DJ42,DN42))+N(CHOOSE(DR42,CM42,CQ42,CU42,CY42,DC42,DG42,DK42,DO42))))),0))</f>
        <v/>
      </c>
      <c r="DT42">
        <f>MIN(N(DS42),MAX(0,N(ExtraPayment)))</f>
        <v/>
      </c>
      <c r="DU42">
        <f>MAX(0,N(ExtraPayment)-N(DT42))</f>
        <v/>
      </c>
      <c r="DV42">
        <f>IFERROR(MATCH(2,OrderSnow,0),"")</f>
        <v/>
      </c>
      <c r="DW42">
        <f>IF(DV42="",0,IFERROR(IF(N(CHOOSE(DV42,CL42,CP42,CT42,CX42,DB42,DF42,DJ42,DN42))&lt;=0.005,0,MAX(0,N(CHOOSE(DV42,CL42,CP42,CT42,CX42,DB42,DF42,DJ42,DN42))+N(CHOOSE(DV42,CM42,CQ42,CU42,CY42,DC42,DG42,DK42,DO42))-MIN(N(CHOOSE(DV42,'Debt List'!$F$5,'Debt List'!$F$6,'Debt List'!$F$7,'Debt List'!$F$8,'Debt List'!$F$9,'Debt List'!$F$10,'Debt List'!$F$11,'Debt List'!$F$12)),N(CHOOSE(DV42,CL42,CP42,CT42,CX42,DB42,DF42,DJ42,DN42))+N(CHOOSE(DV42,CM42,CQ42,CU42,CY42,DC42,DG42,DK42,DO42))))),0))</f>
        <v/>
      </c>
      <c r="DX42">
        <f>MIN(N(DW42),MAX(0,N(DU42)))</f>
        <v/>
      </c>
      <c r="DY42">
        <f>MAX(0,N(DU42)-N(DX42))</f>
        <v/>
      </c>
      <c r="DZ42">
        <f>IFERROR(MATCH(3,OrderSnow,0),"")</f>
        <v/>
      </c>
      <c r="EA42">
        <f>IF(DZ42="",0,IFERROR(IF(N(CHOOSE(DZ42,CL42,CP42,CT42,CX42,DB42,DF42,DJ42,DN42))&lt;=0.005,0,MAX(0,N(CHOOSE(DZ42,CL42,CP42,CT42,CX42,DB42,DF42,DJ42,DN42))+N(CHOOSE(DZ42,CM42,CQ42,CU42,CY42,DC42,DG42,DK42,DO42))-MIN(N(CHOOSE(DZ42,'Debt List'!$F$5,'Debt List'!$F$6,'Debt List'!$F$7,'Debt List'!$F$8,'Debt List'!$F$9,'Debt List'!$F$10,'Debt List'!$F$11,'Debt List'!$F$12)),N(CHOOSE(DZ42,CL42,CP42,CT42,CX42,DB42,DF42,DJ42,DN42))+N(CHOOSE(DZ42,CM42,CQ42,CU42,CY42,DC42,DG42,DK42,DO42))))),0))</f>
        <v/>
      </c>
      <c r="EB42">
        <f>MIN(N(EA42),MAX(0,N(DY42)))</f>
        <v/>
      </c>
      <c r="EC42">
        <f>MAX(0,N(DY42)-N(EB42))</f>
        <v/>
      </c>
      <c r="ED42">
        <f>IFERROR(MATCH(4,OrderSnow,0),"")</f>
        <v/>
      </c>
      <c r="EE42">
        <f>IF(ED42="",0,IFERROR(IF(N(CHOOSE(ED42,CL42,CP42,CT42,CX42,DB42,DF42,DJ42,DN42))&lt;=0.005,0,MAX(0,N(CHOOSE(ED42,CL42,CP42,CT42,CX42,DB42,DF42,DJ42,DN42))+N(CHOOSE(ED42,CM42,CQ42,CU42,CY42,DC42,DG42,DK42,DO42))-MIN(N(CHOOSE(ED42,'Debt List'!$F$5,'Debt List'!$F$6,'Debt List'!$F$7,'Debt List'!$F$8,'Debt List'!$F$9,'Debt List'!$F$10,'Debt List'!$F$11,'Debt List'!$F$12)),N(CHOOSE(ED42,CL42,CP42,CT42,CX42,DB42,DF42,DJ42,DN42))+N(CHOOSE(ED42,CM42,CQ42,CU42,CY42,DC42,DG42,DK42,DO42))))),0))</f>
        <v/>
      </c>
      <c r="EF42">
        <f>MIN(N(EE42),MAX(0,N(EC42)))</f>
        <v/>
      </c>
      <c r="EG42">
        <f>MAX(0,N(EC42)-N(EF42))</f>
        <v/>
      </c>
      <c r="EH42">
        <f>IFERROR(MATCH(5,OrderSnow,0),"")</f>
        <v/>
      </c>
      <c r="EI42">
        <f>IF(EH42="",0,IFERROR(IF(N(CHOOSE(EH42,CL42,CP42,CT42,CX42,DB42,DF42,DJ42,DN42))&lt;=0.005,0,MAX(0,N(CHOOSE(EH42,CL42,CP42,CT42,CX42,DB42,DF42,DJ42,DN42))+N(CHOOSE(EH42,CM42,CQ42,CU42,CY42,DC42,DG42,DK42,DO42))-MIN(N(CHOOSE(EH42,'Debt List'!$F$5,'Debt List'!$F$6,'Debt List'!$F$7,'Debt List'!$F$8,'Debt List'!$F$9,'Debt List'!$F$10,'Debt List'!$F$11,'Debt List'!$F$12)),N(CHOOSE(EH42,CL42,CP42,CT42,CX42,DB42,DF42,DJ42,DN42))+N(CHOOSE(EH42,CM42,CQ42,CU42,CY42,DC42,DG42,DK42,DO42))))),0))</f>
        <v/>
      </c>
      <c r="EJ42">
        <f>MIN(N(EI42),MAX(0,N(EG42)))</f>
        <v/>
      </c>
      <c r="EK42">
        <f>MAX(0,N(EG42)-N(EJ42))</f>
        <v/>
      </c>
      <c r="EL42">
        <f>IFERROR(MATCH(6,OrderSnow,0),"")</f>
        <v/>
      </c>
      <c r="EM42">
        <f>IF(EL42="",0,IFERROR(IF(N(CHOOSE(EL42,CL42,CP42,CT42,CX42,DB42,DF42,DJ42,DN42))&lt;=0.005,0,MAX(0,N(CHOOSE(EL42,CL42,CP42,CT42,CX42,DB42,DF42,DJ42,DN42))+N(CHOOSE(EL42,CM42,CQ42,CU42,CY42,DC42,DG42,DK42,DO42))-MIN(N(CHOOSE(EL42,'Debt List'!$F$5,'Debt List'!$F$6,'Debt List'!$F$7,'Debt List'!$F$8,'Debt List'!$F$9,'Debt List'!$F$10,'Debt List'!$F$11,'Debt List'!$F$12)),N(CHOOSE(EL42,CL42,CP42,CT42,CX42,DB42,DF42,DJ42,DN42))+N(CHOOSE(EL42,CM42,CQ42,CU42,CY42,DC42,DG42,DK42,DO42))))),0))</f>
        <v/>
      </c>
      <c r="EN42">
        <f>MIN(N(EM42),MAX(0,N(EK42)))</f>
        <v/>
      </c>
      <c r="EO42">
        <f>MAX(0,N(EK42)-N(EN42))</f>
        <v/>
      </c>
      <c r="EP42">
        <f>IFERROR(MATCH(7,OrderSnow,0),"")</f>
        <v/>
      </c>
      <c r="EQ42">
        <f>IF(EP42="",0,IFERROR(IF(N(CHOOSE(EP42,CL42,CP42,CT42,CX42,DB42,DF42,DJ42,DN42))&lt;=0.005,0,MAX(0,N(CHOOSE(EP42,CL42,CP42,CT42,CX42,DB42,DF42,DJ42,DN42))+N(CHOOSE(EP42,CM42,CQ42,CU42,CY42,DC42,DG42,DK42,DO42))-MIN(N(CHOOSE(EP42,'Debt List'!$F$5,'Debt List'!$F$6,'Debt List'!$F$7,'Debt List'!$F$8,'Debt List'!$F$9,'Debt List'!$F$10,'Debt List'!$F$11,'Debt List'!$F$12)),N(CHOOSE(EP42,CL42,CP42,CT42,CX42,DB42,DF42,DJ42,DN42))+N(CHOOSE(EP42,CM42,CQ42,CU42,CY42,DC42,DG42,DK42,DO42))))),0))</f>
        <v/>
      </c>
      <c r="ER42">
        <f>MIN(N(EQ42),MAX(0,N(EO42)))</f>
        <v/>
      </c>
      <c r="ES42">
        <f>MAX(0,N(EO42)-N(ER42))</f>
        <v/>
      </c>
      <c r="ET42">
        <f>IFERROR(MATCH(8,OrderSnow,0),"")</f>
        <v/>
      </c>
      <c r="EU42">
        <f>IF(ET42="",0,IFERROR(IF(N(CHOOSE(ET42,CL42,CP42,CT42,CX42,DB42,DF42,DJ42,DN42))&lt;=0.005,0,MAX(0,N(CHOOSE(ET42,CL42,CP42,CT42,CX42,DB42,DF42,DJ42,DN42))+N(CHOOSE(ET42,CM42,CQ42,CU42,CY42,DC42,DG42,DK42,DO42))-MIN(N(CHOOSE(ET42,'Debt List'!$F$5,'Debt List'!$F$6,'Debt List'!$F$7,'Debt List'!$F$8,'Debt List'!$F$9,'Debt List'!$F$10,'Debt List'!$F$11,'Debt List'!$F$12)),N(CHOOSE(ET42,CL42,CP42,CT42,CX42,DB42,DF42,DJ42,DN42))+N(CHOOSE(ET42,CM42,CQ42,CU42,CY42,DC42,DG42,DK42,DO42))))),0))</f>
        <v/>
      </c>
      <c r="EV42">
        <f>MIN(N(EU42),MAX(0,N(ES42)))</f>
        <v/>
      </c>
      <c r="EW42">
        <f>MAX(0,N(ES42)-N(EV42))</f>
        <v/>
      </c>
      <c r="FE42" t="n">
        <v>38</v>
      </c>
      <c r="FF42" s="115">
        <f>DATE(YEAR(PlanStart),MONTH(PlanStart)+FE42-1,1)</f>
        <v/>
      </c>
      <c r="FG42">
        <f>IF(AND(GT42&lt;&gt;"",N(CHOOSE(GT42,FN42,FR42,FV42,FZ42,GD42,GH42,GL42,GP42))&gt;0.005),INDEX(DebtNames,GT42),IF(AND(GX42&lt;&gt;"",N(CHOOSE(GX42,FN42,FR42,FV42,FZ42,GD42,GH42,GL42,GP42))&gt;0.005),INDEX(DebtNames,GX42),IF(AND(HB42&lt;&gt;"",N(CHOOSE(HB42,FN42,FR42,FV42,FZ42,GD42,GH42,GL42,GP42))&gt;0.005),INDEX(DebtNames,HB42),IF(AND(HF42&lt;&gt;"",N(CHOOSE(HF42,FN42,FR42,FV42,FZ42,GD42,GH42,GL42,GP42))&gt;0.005),INDEX(DebtNames,HF42),IF(AND(HJ42&lt;&gt;"",N(CHOOSE(HJ42,FN42,FR42,FV42,FZ42,GD42,GH42,GL42,GP42))&gt;0.005),INDEX(DebtNames,HJ42),IF(AND(HN42&lt;&gt;"",N(CHOOSE(HN42,FN42,FR42,FV42,FZ42,GD42,GH42,GL42,GP42))&gt;0.005),INDEX(DebtNames,HN42),IF(AND(HR42&lt;&gt;"",N(CHOOSE(HR42,FN42,FR42,FV42,FZ42,GD42,GH42,GL42,GP42))&gt;0.005),INDEX(DebtNames,HR42),IF(AND(HV42&lt;&gt;"",N(CHOOSE(HV42,FN42,FR42,FV42,FZ42,GD42,GH42,GL42,GP42))&gt;0.005),INDEX(DebtNames,HV42),""))))))))</f>
        <v/>
      </c>
      <c r="FH42">
        <f>N(HY42)</f>
        <v/>
      </c>
      <c r="FI42">
        <f>N(FP42)+N(FT42)+N(FX42)+N(GB42)+N(GF42)+N(GJ42)+N(GN42)+N(GR42)</f>
        <v/>
      </c>
      <c r="FJ42">
        <f>N(FO42)+N(FS42)+N(FW42)+N(GA42)+N(GE42)+N(GI42)+N(GM42)+N(GQ42)</f>
        <v/>
      </c>
      <c r="FK42">
        <f>N(FK41)+N(FJ42)</f>
        <v/>
      </c>
      <c r="FL42">
        <f>N(FQ42)+N(FU42)+N(FY42)+N(GC42)+N(GG42)+N(GK42)+N(GO42)+N(GS42)</f>
        <v/>
      </c>
      <c r="FM42">
        <f>(FQ42&gt;0.005)*1+(FU42&gt;0.005)*1+(FY42&gt;0.005)*1+(GC42&gt;0.005)*1+(GG42&gt;0.005)*1+(GK42&gt;0.005)*1+(GO42&gt;0.005)*1+(GS42&gt;0.005)*1</f>
        <v/>
      </c>
      <c r="FN42">
        <f>N(FQ41)</f>
        <v/>
      </c>
      <c r="FO42">
        <f>IF(N(FN42)&lt;=0.005,0,ROUND(N(FN42)*N('Debt List'!E5)/12,2))</f>
        <v/>
      </c>
      <c r="FP42">
        <f>IF(N(FN42)&lt;=0.005,0,MIN(N('Debt List'!F5),N(FN42)+N(FO42)))+((GT42=1)*GV42+(GX42=1)*GZ42+(HB42=1)*HD42+(HF42=1)*HH42+(HJ42=1)*HL42+(HN42=1)*HP42+(HR42=1)*HT42+(HV42=1)*HX42)</f>
        <v/>
      </c>
      <c r="FQ42">
        <f>MAX(0,ROUND(N(FN42)+N(FO42)-N(FP42),2))</f>
        <v/>
      </c>
      <c r="FR42">
        <f>N(FU41)</f>
        <v/>
      </c>
      <c r="FS42">
        <f>IF(N(FR42)&lt;=0.005,0,ROUND(N(FR42)*N('Debt List'!E6)/12,2))</f>
        <v/>
      </c>
      <c r="FT42">
        <f>IF(N(FR42)&lt;=0.005,0,MIN(N('Debt List'!F6),N(FR42)+N(FS42)))+((GT42=2)*GV42+(GX42=2)*GZ42+(HB42=2)*HD42+(HF42=2)*HH42+(HJ42=2)*HL42+(HN42=2)*HP42+(HR42=2)*HT42+(HV42=2)*HX42)</f>
        <v/>
      </c>
      <c r="FU42">
        <f>MAX(0,ROUND(N(FR42)+N(FS42)-N(FT42),2))</f>
        <v/>
      </c>
      <c r="FV42">
        <f>N(FY41)</f>
        <v/>
      </c>
      <c r="FW42">
        <f>IF(N(FV42)&lt;=0.005,0,ROUND(N(FV42)*N('Debt List'!E7)/12,2))</f>
        <v/>
      </c>
      <c r="FX42">
        <f>IF(N(FV42)&lt;=0.005,0,MIN(N('Debt List'!F7),N(FV42)+N(FW42)))+((GT42=3)*GV42+(GX42=3)*GZ42+(HB42=3)*HD42+(HF42=3)*HH42+(HJ42=3)*HL42+(HN42=3)*HP42+(HR42=3)*HT42+(HV42=3)*HX42)</f>
        <v/>
      </c>
      <c r="FY42">
        <f>MAX(0,ROUND(N(FV42)+N(FW42)-N(FX42),2))</f>
        <v/>
      </c>
      <c r="FZ42">
        <f>N(GC41)</f>
        <v/>
      </c>
      <c r="GA42">
        <f>IF(N(FZ42)&lt;=0.005,0,ROUND(N(FZ42)*N('Debt List'!E8)/12,2))</f>
        <v/>
      </c>
      <c r="GB42">
        <f>IF(N(FZ42)&lt;=0.005,0,MIN(N('Debt List'!F8),N(FZ42)+N(GA42)))+((GT42=4)*GV42+(GX42=4)*GZ42+(HB42=4)*HD42+(HF42=4)*HH42+(HJ42=4)*HL42+(HN42=4)*HP42+(HR42=4)*HT42+(HV42=4)*HX42)</f>
        <v/>
      </c>
      <c r="GC42">
        <f>MAX(0,ROUND(N(FZ42)+N(GA42)-N(GB42),2))</f>
        <v/>
      </c>
      <c r="GD42">
        <f>N(GG41)</f>
        <v/>
      </c>
      <c r="GE42">
        <f>IF(N(GD42)&lt;=0.005,0,ROUND(N(GD42)*N('Debt List'!E9)/12,2))</f>
        <v/>
      </c>
      <c r="GF42">
        <f>IF(N(GD42)&lt;=0.005,0,MIN(N('Debt List'!F9),N(GD42)+N(GE42)))+((GT42=5)*GV42+(GX42=5)*GZ42+(HB42=5)*HD42+(HF42=5)*HH42+(HJ42=5)*HL42+(HN42=5)*HP42+(HR42=5)*HT42+(HV42=5)*HX42)</f>
        <v/>
      </c>
      <c r="GG42">
        <f>MAX(0,ROUND(N(GD42)+N(GE42)-N(GF42),2))</f>
        <v/>
      </c>
      <c r="GH42">
        <f>N(GK41)</f>
        <v/>
      </c>
      <c r="GI42">
        <f>IF(N(GH42)&lt;=0.005,0,ROUND(N(GH42)*N('Debt List'!E10)/12,2))</f>
        <v/>
      </c>
      <c r="GJ42">
        <f>IF(N(GH42)&lt;=0.005,0,MIN(N('Debt List'!F10),N(GH42)+N(GI42)))+((GT42=6)*GV42+(GX42=6)*GZ42+(HB42=6)*HD42+(HF42=6)*HH42+(HJ42=6)*HL42+(HN42=6)*HP42+(HR42=6)*HT42+(HV42=6)*HX42)</f>
        <v/>
      </c>
      <c r="GK42">
        <f>MAX(0,ROUND(N(GH42)+N(GI42)-N(GJ42),2))</f>
        <v/>
      </c>
      <c r="GL42">
        <f>N(GO41)</f>
        <v/>
      </c>
      <c r="GM42">
        <f>IF(N(GL42)&lt;=0.005,0,ROUND(N(GL42)*N('Debt List'!E11)/12,2))</f>
        <v/>
      </c>
      <c r="GN42">
        <f>IF(N(GL42)&lt;=0.005,0,MIN(N('Debt List'!F11),N(GL42)+N(GM42)))+((GT42=7)*GV42+(GX42=7)*GZ42+(HB42=7)*HD42+(HF42=7)*HH42+(HJ42=7)*HL42+(HN42=7)*HP42+(HR42=7)*HT42+(HV42=7)*HX42)</f>
        <v/>
      </c>
      <c r="GO42">
        <f>MAX(0,ROUND(N(GL42)+N(GM42)-N(GN42),2))</f>
        <v/>
      </c>
      <c r="GP42">
        <f>N(GS41)</f>
        <v/>
      </c>
      <c r="GQ42">
        <f>IF(N(GP42)&lt;=0.005,0,ROUND(N(GP42)*N('Debt List'!E12)/12,2))</f>
        <v/>
      </c>
      <c r="GR42">
        <f>IF(N(GP42)&lt;=0.005,0,MIN(N('Debt List'!F12),N(GP42)+N(GQ42)))+((GT42=8)*GV42+(GX42=8)*GZ42+(HB42=8)*HD42+(HF42=8)*HH42+(HJ42=8)*HL42+(HN42=8)*HP42+(HR42=8)*HT42+(HV42=8)*HX42)</f>
        <v/>
      </c>
      <c r="GS42">
        <f>MAX(0,ROUND(N(GP42)+N(GQ42)-N(GR42),2))</f>
        <v/>
      </c>
      <c r="GT42">
        <f>IFERROR(MATCH(1,OrderAval,0),"")</f>
        <v/>
      </c>
      <c r="GU42">
        <f>IF(GT42="",0,IFERROR(IF(N(CHOOSE(GT42,FN42,FR42,FV42,FZ42,GD42,GH42,GL42,GP42))&lt;=0.005,0,MAX(0,N(CHOOSE(GT42,FN42,FR42,FV42,FZ42,GD42,GH42,GL42,GP42))+N(CHOOSE(GT42,FO42,FS42,FW42,GA42,GE42,GI42,GM42,GQ42))-MIN(N(CHOOSE(GT42,'Debt List'!$F$5,'Debt List'!$F$6,'Debt List'!$F$7,'Debt List'!$F$8,'Debt List'!$F$9,'Debt List'!$F$10,'Debt List'!$F$11,'Debt List'!$F$12)),N(CHOOSE(GT42,FN42,FR42,FV42,FZ42,GD42,GH42,GL42,GP42))+N(CHOOSE(GT42,FO42,FS42,FW42,GA42,GE42,GI42,GM42,GQ42))))),0))</f>
        <v/>
      </c>
      <c r="GV42">
        <f>MIN(N(GU42),MAX(0,N(ExtraPayment)))</f>
        <v/>
      </c>
      <c r="GW42">
        <f>MAX(0,N(ExtraPayment)-N(GV42))</f>
        <v/>
      </c>
      <c r="GX42">
        <f>IFERROR(MATCH(2,OrderAval,0),"")</f>
        <v/>
      </c>
      <c r="GY42">
        <f>IF(GX42="",0,IFERROR(IF(N(CHOOSE(GX42,FN42,FR42,FV42,FZ42,GD42,GH42,GL42,GP42))&lt;=0.005,0,MAX(0,N(CHOOSE(GX42,FN42,FR42,FV42,FZ42,GD42,GH42,GL42,GP42))+N(CHOOSE(GX42,FO42,FS42,FW42,GA42,GE42,GI42,GM42,GQ42))-MIN(N(CHOOSE(GX42,'Debt List'!$F$5,'Debt List'!$F$6,'Debt List'!$F$7,'Debt List'!$F$8,'Debt List'!$F$9,'Debt List'!$F$10,'Debt List'!$F$11,'Debt List'!$F$12)),N(CHOOSE(GX42,FN42,FR42,FV42,FZ42,GD42,GH42,GL42,GP42))+N(CHOOSE(GX42,FO42,FS42,FW42,GA42,GE42,GI42,GM42,GQ42))))),0))</f>
        <v/>
      </c>
      <c r="GZ42">
        <f>MIN(N(GY42),MAX(0,N(GW42)))</f>
        <v/>
      </c>
      <c r="HA42">
        <f>MAX(0,N(GW42)-N(GZ42))</f>
        <v/>
      </c>
      <c r="HB42">
        <f>IFERROR(MATCH(3,OrderAval,0),"")</f>
        <v/>
      </c>
      <c r="HC42">
        <f>IF(HB42="",0,IFERROR(IF(N(CHOOSE(HB42,FN42,FR42,FV42,FZ42,GD42,GH42,GL42,GP42))&lt;=0.005,0,MAX(0,N(CHOOSE(HB42,FN42,FR42,FV42,FZ42,GD42,GH42,GL42,GP42))+N(CHOOSE(HB42,FO42,FS42,FW42,GA42,GE42,GI42,GM42,GQ42))-MIN(N(CHOOSE(HB42,'Debt List'!$F$5,'Debt List'!$F$6,'Debt List'!$F$7,'Debt List'!$F$8,'Debt List'!$F$9,'Debt List'!$F$10,'Debt List'!$F$11,'Debt List'!$F$12)),N(CHOOSE(HB42,FN42,FR42,FV42,FZ42,GD42,GH42,GL42,GP42))+N(CHOOSE(HB42,FO42,FS42,FW42,GA42,GE42,GI42,GM42,GQ42))))),0))</f>
        <v/>
      </c>
      <c r="HD42">
        <f>MIN(N(HC42),MAX(0,N(HA42)))</f>
        <v/>
      </c>
      <c r="HE42">
        <f>MAX(0,N(HA42)-N(HD42))</f>
        <v/>
      </c>
      <c r="HF42">
        <f>IFERROR(MATCH(4,OrderAval,0),"")</f>
        <v/>
      </c>
      <c r="HG42">
        <f>IF(HF42="",0,IFERROR(IF(N(CHOOSE(HF42,FN42,FR42,FV42,FZ42,GD42,GH42,GL42,GP42))&lt;=0.005,0,MAX(0,N(CHOOSE(HF42,FN42,FR42,FV42,FZ42,GD42,GH42,GL42,GP42))+N(CHOOSE(HF42,FO42,FS42,FW42,GA42,GE42,GI42,GM42,GQ42))-MIN(N(CHOOSE(HF42,'Debt List'!$F$5,'Debt List'!$F$6,'Debt List'!$F$7,'Debt List'!$F$8,'Debt List'!$F$9,'Debt List'!$F$10,'Debt List'!$F$11,'Debt List'!$F$12)),N(CHOOSE(HF42,FN42,FR42,FV42,FZ42,GD42,GH42,GL42,GP42))+N(CHOOSE(HF42,FO42,FS42,FW42,GA42,GE42,GI42,GM42,GQ42))))),0))</f>
        <v/>
      </c>
      <c r="HH42">
        <f>MIN(N(HG42),MAX(0,N(HE42)))</f>
        <v/>
      </c>
      <c r="HI42">
        <f>MAX(0,N(HE42)-N(HH42))</f>
        <v/>
      </c>
      <c r="HJ42">
        <f>IFERROR(MATCH(5,OrderAval,0),"")</f>
        <v/>
      </c>
      <c r="HK42">
        <f>IF(HJ42="",0,IFERROR(IF(N(CHOOSE(HJ42,FN42,FR42,FV42,FZ42,GD42,GH42,GL42,GP42))&lt;=0.005,0,MAX(0,N(CHOOSE(HJ42,FN42,FR42,FV42,FZ42,GD42,GH42,GL42,GP42))+N(CHOOSE(HJ42,FO42,FS42,FW42,GA42,GE42,GI42,GM42,GQ42))-MIN(N(CHOOSE(HJ42,'Debt List'!$F$5,'Debt List'!$F$6,'Debt List'!$F$7,'Debt List'!$F$8,'Debt List'!$F$9,'Debt List'!$F$10,'Debt List'!$F$11,'Debt List'!$F$12)),N(CHOOSE(HJ42,FN42,FR42,FV42,FZ42,GD42,GH42,GL42,GP42))+N(CHOOSE(HJ42,FO42,FS42,FW42,GA42,GE42,GI42,GM42,GQ42))))),0))</f>
        <v/>
      </c>
      <c r="HL42">
        <f>MIN(N(HK42),MAX(0,N(HI42)))</f>
        <v/>
      </c>
      <c r="HM42">
        <f>MAX(0,N(HI42)-N(HL42))</f>
        <v/>
      </c>
      <c r="HN42">
        <f>IFERROR(MATCH(6,OrderAval,0),"")</f>
        <v/>
      </c>
      <c r="HO42">
        <f>IF(HN42="",0,IFERROR(IF(N(CHOOSE(HN42,FN42,FR42,FV42,FZ42,GD42,GH42,GL42,GP42))&lt;=0.005,0,MAX(0,N(CHOOSE(HN42,FN42,FR42,FV42,FZ42,GD42,GH42,GL42,GP42))+N(CHOOSE(HN42,FO42,FS42,FW42,GA42,GE42,GI42,GM42,GQ42))-MIN(N(CHOOSE(HN42,'Debt List'!$F$5,'Debt List'!$F$6,'Debt List'!$F$7,'Debt List'!$F$8,'Debt List'!$F$9,'Debt List'!$F$10,'Debt List'!$F$11,'Debt List'!$F$12)),N(CHOOSE(HN42,FN42,FR42,FV42,FZ42,GD42,GH42,GL42,GP42))+N(CHOOSE(HN42,FO42,FS42,FW42,GA42,GE42,GI42,GM42,GQ42))))),0))</f>
        <v/>
      </c>
      <c r="HP42">
        <f>MIN(N(HO42),MAX(0,N(HM42)))</f>
        <v/>
      </c>
      <c r="HQ42">
        <f>MAX(0,N(HM42)-N(HP42))</f>
        <v/>
      </c>
      <c r="HR42">
        <f>IFERROR(MATCH(7,OrderAval,0),"")</f>
        <v/>
      </c>
      <c r="HS42">
        <f>IF(HR42="",0,IFERROR(IF(N(CHOOSE(HR42,FN42,FR42,FV42,FZ42,GD42,GH42,GL42,GP42))&lt;=0.005,0,MAX(0,N(CHOOSE(HR42,FN42,FR42,FV42,FZ42,GD42,GH42,GL42,GP42))+N(CHOOSE(HR42,FO42,FS42,FW42,GA42,GE42,GI42,GM42,GQ42))-MIN(N(CHOOSE(HR42,'Debt List'!$F$5,'Debt List'!$F$6,'Debt List'!$F$7,'Debt List'!$F$8,'Debt List'!$F$9,'Debt List'!$F$10,'Debt List'!$F$11,'Debt List'!$F$12)),N(CHOOSE(HR42,FN42,FR42,FV42,FZ42,GD42,GH42,GL42,GP42))+N(CHOOSE(HR42,FO42,FS42,FW42,GA42,GE42,GI42,GM42,GQ42))))),0))</f>
        <v/>
      </c>
      <c r="HT42">
        <f>MIN(N(HS42),MAX(0,N(HQ42)))</f>
        <v/>
      </c>
      <c r="HU42">
        <f>MAX(0,N(HQ42)-N(HT42))</f>
        <v/>
      </c>
      <c r="HV42">
        <f>IFERROR(MATCH(8,OrderAval,0),"")</f>
        <v/>
      </c>
      <c r="HW42">
        <f>IF(HV42="",0,IFERROR(IF(N(CHOOSE(HV42,FN42,FR42,FV42,FZ42,GD42,GH42,GL42,GP42))&lt;=0.005,0,MAX(0,N(CHOOSE(HV42,FN42,FR42,FV42,FZ42,GD42,GH42,GL42,GP42))+N(CHOOSE(HV42,FO42,FS42,FW42,GA42,GE42,GI42,GM42,GQ42))-MIN(N(CHOOSE(HV42,'Debt List'!$F$5,'Debt List'!$F$6,'Debt List'!$F$7,'Debt List'!$F$8,'Debt List'!$F$9,'Debt List'!$F$10,'Debt List'!$F$11,'Debt List'!$F$12)),N(CHOOSE(HV42,FN42,FR42,FV42,FZ42,GD42,GH42,GL42,GP42))+N(CHOOSE(HV42,FO42,FS42,FW42,GA42,GE42,GI42,GM42,GQ42))))),0))</f>
        <v/>
      </c>
      <c r="HX42">
        <f>MIN(N(HW42),MAX(0,N(HU42)))</f>
        <v/>
      </c>
      <c r="HY42">
        <f>MAX(0,N(HU42)-N(HX42))</f>
        <v/>
      </c>
    </row>
    <row r="43">
      <c r="A43" t="n">
        <v>39</v>
      </c>
      <c r="B43" s="115">
        <f>DATE(YEAR(PlanStart),MONTH(PlanStart)+A43-1,1)</f>
        <v/>
      </c>
      <c r="C43">
        <f>IF(AND(AP43&lt;&gt;"",N(CHOOSE(AP43,J43,N43,R43,V43,Z43,AD43,AH43,AL43))&gt;0.005),INDEX(DebtNames,AP43),IF(AND(AT43&lt;&gt;"",N(CHOOSE(AT43,J43,N43,R43,V43,Z43,AD43,AH43,AL43))&gt;0.005),INDEX(DebtNames,AT43),IF(AND(AX43&lt;&gt;"",N(CHOOSE(AX43,J43,N43,R43,V43,Z43,AD43,AH43,AL43))&gt;0.005),INDEX(DebtNames,AX43),IF(AND(BB43&lt;&gt;"",N(CHOOSE(BB43,J43,N43,R43,V43,Z43,AD43,AH43,AL43))&gt;0.005),INDEX(DebtNames,BB43),IF(AND(BF43&lt;&gt;"",N(CHOOSE(BF43,J43,N43,R43,V43,Z43,AD43,AH43,AL43))&gt;0.005),INDEX(DebtNames,BF43),IF(AND(BJ43&lt;&gt;"",N(CHOOSE(BJ43,J43,N43,R43,V43,Z43,AD43,AH43,AL43))&gt;0.005),INDEX(DebtNames,BJ43),IF(AND(BN43&lt;&gt;"",N(CHOOSE(BN43,J43,N43,R43,V43,Z43,AD43,AH43,AL43))&gt;0.005),INDEX(DebtNames,BN43),IF(AND(BR43&lt;&gt;"",N(CHOOSE(BR43,J43,N43,R43,V43,Z43,AD43,AH43,AL43))&gt;0.005),INDEX(DebtNames,BR43),""))))))))</f>
        <v/>
      </c>
      <c r="D43">
        <f>N(BU43)</f>
        <v/>
      </c>
      <c r="E43">
        <f>N(L43)+N(P43)+N(T43)+N(X43)+N(AB43)+N(AF43)+N(AJ43)+N(AN43)</f>
        <v/>
      </c>
      <c r="F43">
        <f>N(K43)+N(O43)+N(S43)+N(W43)+N(AA43)+N(AE43)+N(AI43)+N(AM43)</f>
        <v/>
      </c>
      <c r="G43">
        <f>N(G42)+N(F43)</f>
        <v/>
      </c>
      <c r="H43">
        <f>N(M43)+N(Q43)+N(U43)+N(Y43)+N(AC43)+N(AG43)+N(AK43)+N(AO43)</f>
        <v/>
      </c>
      <c r="I43">
        <f>(M43&gt;0.005)*1+(Q43&gt;0.005)*1+(U43&gt;0.005)*1+(Y43&gt;0.005)*1+(AC43&gt;0.005)*1+(AG43&gt;0.005)*1+(AK43&gt;0.005)*1+(AO43&gt;0.005)*1</f>
        <v/>
      </c>
      <c r="J43">
        <f>N(M42)</f>
        <v/>
      </c>
      <c r="K43">
        <f>IF(N(J43)&lt;=0.005,0,ROUND(N(J43)*N('Debt List'!E5)/12,2))</f>
        <v/>
      </c>
      <c r="L43">
        <f>IF(N(J43)&lt;=0.005,0,MIN(N('Debt List'!F5),N(J43)+N(K43)))+((AP43=1)*AR43+(AT43=1)*AV43+(AX43=1)*AZ43+(BB43=1)*BD43+(BF43=1)*BH43+(BJ43=1)*BL43+(BN43=1)*BP43+(BR43=1)*BT43)</f>
        <v/>
      </c>
      <c r="M43">
        <f>MAX(0,ROUND(N(J43)+N(K43)-N(L43),2))</f>
        <v/>
      </c>
      <c r="N43">
        <f>N(Q42)</f>
        <v/>
      </c>
      <c r="O43">
        <f>IF(N(N43)&lt;=0.005,0,ROUND(N(N43)*N('Debt List'!E6)/12,2))</f>
        <v/>
      </c>
      <c r="P43">
        <f>IF(N(N43)&lt;=0.005,0,MIN(N('Debt List'!F6),N(N43)+N(O43)))+((AP43=2)*AR43+(AT43=2)*AV43+(AX43=2)*AZ43+(BB43=2)*BD43+(BF43=2)*BH43+(BJ43=2)*BL43+(BN43=2)*BP43+(BR43=2)*BT43)</f>
        <v/>
      </c>
      <c r="Q43">
        <f>MAX(0,ROUND(N(N43)+N(O43)-N(P43),2))</f>
        <v/>
      </c>
      <c r="R43">
        <f>N(U42)</f>
        <v/>
      </c>
      <c r="S43">
        <f>IF(N(R43)&lt;=0.005,0,ROUND(N(R43)*N('Debt List'!E7)/12,2))</f>
        <v/>
      </c>
      <c r="T43">
        <f>IF(N(R43)&lt;=0.005,0,MIN(N('Debt List'!F7),N(R43)+N(S43)))+((AP43=3)*AR43+(AT43=3)*AV43+(AX43=3)*AZ43+(BB43=3)*BD43+(BF43=3)*BH43+(BJ43=3)*BL43+(BN43=3)*BP43+(BR43=3)*BT43)</f>
        <v/>
      </c>
      <c r="U43">
        <f>MAX(0,ROUND(N(R43)+N(S43)-N(T43),2))</f>
        <v/>
      </c>
      <c r="V43">
        <f>N(Y42)</f>
        <v/>
      </c>
      <c r="W43">
        <f>IF(N(V43)&lt;=0.005,0,ROUND(N(V43)*N('Debt List'!E8)/12,2))</f>
        <v/>
      </c>
      <c r="X43">
        <f>IF(N(V43)&lt;=0.005,0,MIN(N('Debt List'!F8),N(V43)+N(W43)))+((AP43=4)*AR43+(AT43=4)*AV43+(AX43=4)*AZ43+(BB43=4)*BD43+(BF43=4)*BH43+(BJ43=4)*BL43+(BN43=4)*BP43+(BR43=4)*BT43)</f>
        <v/>
      </c>
      <c r="Y43">
        <f>MAX(0,ROUND(N(V43)+N(W43)-N(X43),2))</f>
        <v/>
      </c>
      <c r="Z43">
        <f>N(AC42)</f>
        <v/>
      </c>
      <c r="AA43">
        <f>IF(N(Z43)&lt;=0.005,0,ROUND(N(Z43)*N('Debt List'!E9)/12,2))</f>
        <v/>
      </c>
      <c r="AB43">
        <f>IF(N(Z43)&lt;=0.005,0,MIN(N('Debt List'!F9),N(Z43)+N(AA43)))+((AP43=5)*AR43+(AT43=5)*AV43+(AX43=5)*AZ43+(BB43=5)*BD43+(BF43=5)*BH43+(BJ43=5)*BL43+(BN43=5)*BP43+(BR43=5)*BT43)</f>
        <v/>
      </c>
      <c r="AC43">
        <f>MAX(0,ROUND(N(Z43)+N(AA43)-N(AB43),2))</f>
        <v/>
      </c>
      <c r="AD43">
        <f>N(AG42)</f>
        <v/>
      </c>
      <c r="AE43">
        <f>IF(N(AD43)&lt;=0.005,0,ROUND(N(AD43)*N('Debt List'!E10)/12,2))</f>
        <v/>
      </c>
      <c r="AF43">
        <f>IF(N(AD43)&lt;=0.005,0,MIN(N('Debt List'!F10),N(AD43)+N(AE43)))+((AP43=6)*AR43+(AT43=6)*AV43+(AX43=6)*AZ43+(BB43=6)*BD43+(BF43=6)*BH43+(BJ43=6)*BL43+(BN43=6)*BP43+(BR43=6)*BT43)</f>
        <v/>
      </c>
      <c r="AG43">
        <f>MAX(0,ROUND(N(AD43)+N(AE43)-N(AF43),2))</f>
        <v/>
      </c>
      <c r="AH43">
        <f>N(AK42)</f>
        <v/>
      </c>
      <c r="AI43">
        <f>IF(N(AH43)&lt;=0.005,0,ROUND(N(AH43)*N('Debt List'!E11)/12,2))</f>
        <v/>
      </c>
      <c r="AJ43">
        <f>IF(N(AH43)&lt;=0.005,0,MIN(N('Debt List'!F11),N(AH43)+N(AI43)))+((AP43=7)*AR43+(AT43=7)*AV43+(AX43=7)*AZ43+(BB43=7)*BD43+(BF43=7)*BH43+(BJ43=7)*BL43+(BN43=7)*BP43+(BR43=7)*BT43)</f>
        <v/>
      </c>
      <c r="AK43">
        <f>MAX(0,ROUND(N(AH43)+N(AI43)-N(AJ43),2))</f>
        <v/>
      </c>
      <c r="AL43">
        <f>N(AO42)</f>
        <v/>
      </c>
      <c r="AM43">
        <f>IF(N(AL43)&lt;=0.005,0,ROUND(N(AL43)*N('Debt List'!E12)/12,2))</f>
        <v/>
      </c>
      <c r="AN43">
        <f>IF(N(AL43)&lt;=0.005,0,MIN(N('Debt List'!F12),N(AL43)+N(AM43)))+((AP43=8)*AR43+(AT43=8)*AV43+(AX43=8)*AZ43+(BB43=8)*BD43+(BF43=8)*BH43+(BJ43=8)*BL43+(BN43=8)*BP43+(BR43=8)*BT43)</f>
        <v/>
      </c>
      <c r="AO43">
        <f>MAX(0,ROUND(N(AL43)+N(AM43)-N(AN43),2))</f>
        <v/>
      </c>
      <c r="AP43">
        <f>IFERROR(MATCH(1,OrderPlan,0),"")</f>
        <v/>
      </c>
      <c r="AQ43">
        <f>IF(AP43="",0,IFERROR(IF(N(CHOOSE(AP43,J43,N43,R43,V43,Z43,AD43,AH43,AL43))&lt;=0.005,0,MAX(0,N(CHOOSE(AP43,J43,N43,R43,V43,Z43,AD43,AH43,AL43))+N(CHOOSE(AP43,K43,O43,S43,W43,AA43,AE43,AI43,AM43))-MIN(N(CHOOSE(AP43,'Debt List'!$F$5,'Debt List'!$F$6,'Debt List'!$F$7,'Debt List'!$F$8,'Debt List'!$F$9,'Debt List'!$F$10,'Debt List'!$F$11,'Debt List'!$F$12)),N(CHOOSE(AP43,J43,N43,R43,V43,Z43,AD43,AH43,AL43))+N(CHOOSE(AP43,K43,O43,S43,W43,AA43,AE43,AI43,AM43))))),0))</f>
        <v/>
      </c>
      <c r="AR43">
        <f>MIN(N(AQ43),MAX(0,N(ExtraPayment)))</f>
        <v/>
      </c>
      <c r="AS43">
        <f>MAX(0,N(ExtraPayment)-N(AR43))</f>
        <v/>
      </c>
      <c r="AT43">
        <f>IFERROR(MATCH(2,OrderPlan,0),"")</f>
        <v/>
      </c>
      <c r="AU43">
        <f>IF(AT43="",0,IFERROR(IF(N(CHOOSE(AT43,J43,N43,R43,V43,Z43,AD43,AH43,AL43))&lt;=0.005,0,MAX(0,N(CHOOSE(AT43,J43,N43,R43,V43,Z43,AD43,AH43,AL43))+N(CHOOSE(AT43,K43,O43,S43,W43,AA43,AE43,AI43,AM43))-MIN(N(CHOOSE(AT43,'Debt List'!$F$5,'Debt List'!$F$6,'Debt List'!$F$7,'Debt List'!$F$8,'Debt List'!$F$9,'Debt List'!$F$10,'Debt List'!$F$11,'Debt List'!$F$12)),N(CHOOSE(AT43,J43,N43,R43,V43,Z43,AD43,AH43,AL43))+N(CHOOSE(AT43,K43,O43,S43,W43,AA43,AE43,AI43,AM43))))),0))</f>
        <v/>
      </c>
      <c r="AV43">
        <f>MIN(N(AU43),MAX(0,N(AS43)))</f>
        <v/>
      </c>
      <c r="AW43">
        <f>MAX(0,N(AS43)-N(AV43))</f>
        <v/>
      </c>
      <c r="AX43">
        <f>IFERROR(MATCH(3,OrderPlan,0),"")</f>
        <v/>
      </c>
      <c r="AY43">
        <f>IF(AX43="",0,IFERROR(IF(N(CHOOSE(AX43,J43,N43,R43,V43,Z43,AD43,AH43,AL43))&lt;=0.005,0,MAX(0,N(CHOOSE(AX43,J43,N43,R43,V43,Z43,AD43,AH43,AL43))+N(CHOOSE(AX43,K43,O43,S43,W43,AA43,AE43,AI43,AM43))-MIN(N(CHOOSE(AX43,'Debt List'!$F$5,'Debt List'!$F$6,'Debt List'!$F$7,'Debt List'!$F$8,'Debt List'!$F$9,'Debt List'!$F$10,'Debt List'!$F$11,'Debt List'!$F$12)),N(CHOOSE(AX43,J43,N43,R43,V43,Z43,AD43,AH43,AL43))+N(CHOOSE(AX43,K43,O43,S43,W43,AA43,AE43,AI43,AM43))))),0))</f>
        <v/>
      </c>
      <c r="AZ43">
        <f>MIN(N(AY43),MAX(0,N(AW43)))</f>
        <v/>
      </c>
      <c r="BA43">
        <f>MAX(0,N(AW43)-N(AZ43))</f>
        <v/>
      </c>
      <c r="BB43">
        <f>IFERROR(MATCH(4,OrderPlan,0),"")</f>
        <v/>
      </c>
      <c r="BC43">
        <f>IF(BB43="",0,IFERROR(IF(N(CHOOSE(BB43,J43,N43,R43,V43,Z43,AD43,AH43,AL43))&lt;=0.005,0,MAX(0,N(CHOOSE(BB43,J43,N43,R43,V43,Z43,AD43,AH43,AL43))+N(CHOOSE(BB43,K43,O43,S43,W43,AA43,AE43,AI43,AM43))-MIN(N(CHOOSE(BB43,'Debt List'!$F$5,'Debt List'!$F$6,'Debt List'!$F$7,'Debt List'!$F$8,'Debt List'!$F$9,'Debt List'!$F$10,'Debt List'!$F$11,'Debt List'!$F$12)),N(CHOOSE(BB43,J43,N43,R43,V43,Z43,AD43,AH43,AL43))+N(CHOOSE(BB43,K43,O43,S43,W43,AA43,AE43,AI43,AM43))))),0))</f>
        <v/>
      </c>
      <c r="BD43">
        <f>MIN(N(BC43),MAX(0,N(BA43)))</f>
        <v/>
      </c>
      <c r="BE43">
        <f>MAX(0,N(BA43)-N(BD43))</f>
        <v/>
      </c>
      <c r="BF43">
        <f>IFERROR(MATCH(5,OrderPlan,0),"")</f>
        <v/>
      </c>
      <c r="BG43">
        <f>IF(BF43="",0,IFERROR(IF(N(CHOOSE(BF43,J43,N43,R43,V43,Z43,AD43,AH43,AL43))&lt;=0.005,0,MAX(0,N(CHOOSE(BF43,J43,N43,R43,V43,Z43,AD43,AH43,AL43))+N(CHOOSE(BF43,K43,O43,S43,W43,AA43,AE43,AI43,AM43))-MIN(N(CHOOSE(BF43,'Debt List'!$F$5,'Debt List'!$F$6,'Debt List'!$F$7,'Debt List'!$F$8,'Debt List'!$F$9,'Debt List'!$F$10,'Debt List'!$F$11,'Debt List'!$F$12)),N(CHOOSE(BF43,J43,N43,R43,V43,Z43,AD43,AH43,AL43))+N(CHOOSE(BF43,K43,O43,S43,W43,AA43,AE43,AI43,AM43))))),0))</f>
        <v/>
      </c>
      <c r="BH43">
        <f>MIN(N(BG43),MAX(0,N(BE43)))</f>
        <v/>
      </c>
      <c r="BI43">
        <f>MAX(0,N(BE43)-N(BH43))</f>
        <v/>
      </c>
      <c r="BJ43">
        <f>IFERROR(MATCH(6,OrderPlan,0),"")</f>
        <v/>
      </c>
      <c r="BK43">
        <f>IF(BJ43="",0,IFERROR(IF(N(CHOOSE(BJ43,J43,N43,R43,V43,Z43,AD43,AH43,AL43))&lt;=0.005,0,MAX(0,N(CHOOSE(BJ43,J43,N43,R43,V43,Z43,AD43,AH43,AL43))+N(CHOOSE(BJ43,K43,O43,S43,W43,AA43,AE43,AI43,AM43))-MIN(N(CHOOSE(BJ43,'Debt List'!$F$5,'Debt List'!$F$6,'Debt List'!$F$7,'Debt List'!$F$8,'Debt List'!$F$9,'Debt List'!$F$10,'Debt List'!$F$11,'Debt List'!$F$12)),N(CHOOSE(BJ43,J43,N43,R43,V43,Z43,AD43,AH43,AL43))+N(CHOOSE(BJ43,K43,O43,S43,W43,AA43,AE43,AI43,AM43))))),0))</f>
        <v/>
      </c>
      <c r="BL43">
        <f>MIN(N(BK43),MAX(0,N(BI43)))</f>
        <v/>
      </c>
      <c r="BM43">
        <f>MAX(0,N(BI43)-N(BL43))</f>
        <v/>
      </c>
      <c r="BN43">
        <f>IFERROR(MATCH(7,OrderPlan,0),"")</f>
        <v/>
      </c>
      <c r="BO43">
        <f>IF(BN43="",0,IFERROR(IF(N(CHOOSE(BN43,J43,N43,R43,V43,Z43,AD43,AH43,AL43))&lt;=0.005,0,MAX(0,N(CHOOSE(BN43,J43,N43,R43,V43,Z43,AD43,AH43,AL43))+N(CHOOSE(BN43,K43,O43,S43,W43,AA43,AE43,AI43,AM43))-MIN(N(CHOOSE(BN43,'Debt List'!$F$5,'Debt List'!$F$6,'Debt List'!$F$7,'Debt List'!$F$8,'Debt List'!$F$9,'Debt List'!$F$10,'Debt List'!$F$11,'Debt List'!$F$12)),N(CHOOSE(BN43,J43,N43,R43,V43,Z43,AD43,AH43,AL43))+N(CHOOSE(BN43,K43,O43,S43,W43,AA43,AE43,AI43,AM43))))),0))</f>
        <v/>
      </c>
      <c r="BP43">
        <f>MIN(N(BO43),MAX(0,N(BM43)))</f>
        <v/>
      </c>
      <c r="BQ43">
        <f>MAX(0,N(BM43)-N(BP43))</f>
        <v/>
      </c>
      <c r="BR43">
        <f>IFERROR(MATCH(8,OrderPlan,0),"")</f>
        <v/>
      </c>
      <c r="BS43">
        <f>IF(BR43="",0,IFERROR(IF(N(CHOOSE(BR43,J43,N43,R43,V43,Z43,AD43,AH43,AL43))&lt;=0.005,0,MAX(0,N(CHOOSE(BR43,J43,N43,R43,V43,Z43,AD43,AH43,AL43))+N(CHOOSE(BR43,K43,O43,S43,W43,AA43,AE43,AI43,AM43))-MIN(N(CHOOSE(BR43,'Debt List'!$F$5,'Debt List'!$F$6,'Debt List'!$F$7,'Debt List'!$F$8,'Debt List'!$F$9,'Debt List'!$F$10,'Debt List'!$F$11,'Debt List'!$F$12)),N(CHOOSE(BR43,J43,N43,R43,V43,Z43,AD43,AH43,AL43))+N(CHOOSE(BR43,K43,O43,S43,W43,AA43,AE43,AI43,AM43))))),0))</f>
        <v/>
      </c>
      <c r="BT43">
        <f>MIN(N(BS43),MAX(0,N(BQ43)))</f>
        <v/>
      </c>
      <c r="BU43">
        <f>MAX(0,N(BQ43)-N(BT43))</f>
        <v/>
      </c>
      <c r="CC43" t="n">
        <v>39</v>
      </c>
      <c r="CD43" s="115">
        <f>DATE(YEAR(PlanStart),MONTH(PlanStart)+CC43-1,1)</f>
        <v/>
      </c>
      <c r="CE43">
        <f>IF(AND(DR43&lt;&gt;"",N(CHOOSE(DR43,CL43,CP43,CT43,CX43,DB43,DF43,DJ43,DN43))&gt;0.005),INDEX(DebtNames,DR43),IF(AND(DV43&lt;&gt;"",N(CHOOSE(DV43,CL43,CP43,CT43,CX43,DB43,DF43,DJ43,DN43))&gt;0.005),INDEX(DebtNames,DV43),IF(AND(DZ43&lt;&gt;"",N(CHOOSE(DZ43,CL43,CP43,CT43,CX43,DB43,DF43,DJ43,DN43))&gt;0.005),INDEX(DebtNames,DZ43),IF(AND(ED43&lt;&gt;"",N(CHOOSE(ED43,CL43,CP43,CT43,CX43,DB43,DF43,DJ43,DN43))&gt;0.005),INDEX(DebtNames,ED43),IF(AND(EH43&lt;&gt;"",N(CHOOSE(EH43,CL43,CP43,CT43,CX43,DB43,DF43,DJ43,DN43))&gt;0.005),INDEX(DebtNames,EH43),IF(AND(EL43&lt;&gt;"",N(CHOOSE(EL43,CL43,CP43,CT43,CX43,DB43,DF43,DJ43,DN43))&gt;0.005),INDEX(DebtNames,EL43),IF(AND(EP43&lt;&gt;"",N(CHOOSE(EP43,CL43,CP43,CT43,CX43,DB43,DF43,DJ43,DN43))&gt;0.005),INDEX(DebtNames,EP43),IF(AND(ET43&lt;&gt;"",N(CHOOSE(ET43,CL43,CP43,CT43,CX43,DB43,DF43,DJ43,DN43))&gt;0.005),INDEX(DebtNames,ET43),""))))))))</f>
        <v/>
      </c>
      <c r="CF43">
        <f>N(EW43)</f>
        <v/>
      </c>
      <c r="CG43">
        <f>N(CN43)+N(CR43)+N(CV43)+N(CZ43)+N(DD43)+N(DH43)+N(DL43)+N(DP43)</f>
        <v/>
      </c>
      <c r="CH43">
        <f>N(CM43)+N(CQ43)+N(CU43)+N(CY43)+N(DC43)+N(DG43)+N(DK43)+N(DO43)</f>
        <v/>
      </c>
      <c r="CI43">
        <f>N(CI42)+N(CH43)</f>
        <v/>
      </c>
      <c r="CJ43">
        <f>N(CO43)+N(CS43)+N(CW43)+N(DA43)+N(DE43)+N(DI43)+N(DM43)+N(DQ43)</f>
        <v/>
      </c>
      <c r="CK43">
        <f>(CO43&gt;0.005)*1+(CS43&gt;0.005)*1+(CW43&gt;0.005)*1+(DA43&gt;0.005)*1+(DE43&gt;0.005)*1+(DI43&gt;0.005)*1+(DM43&gt;0.005)*1+(DQ43&gt;0.005)*1</f>
        <v/>
      </c>
      <c r="CL43">
        <f>N(CO42)</f>
        <v/>
      </c>
      <c r="CM43">
        <f>IF(N(CL43)&lt;=0.005,0,ROUND(N(CL43)*N('Debt List'!E5)/12,2))</f>
        <v/>
      </c>
      <c r="CN43">
        <f>IF(N(CL43)&lt;=0.005,0,MIN(N('Debt List'!F5),N(CL43)+N(CM43)))+((DR43=1)*DT43+(DV43=1)*DX43+(DZ43=1)*EB43+(ED43=1)*EF43+(EH43=1)*EJ43+(EL43=1)*EN43+(EP43=1)*ER43+(ET43=1)*EV43)</f>
        <v/>
      </c>
      <c r="CO43">
        <f>MAX(0,ROUND(N(CL43)+N(CM43)-N(CN43),2))</f>
        <v/>
      </c>
      <c r="CP43">
        <f>N(CS42)</f>
        <v/>
      </c>
      <c r="CQ43">
        <f>IF(N(CP43)&lt;=0.005,0,ROUND(N(CP43)*N('Debt List'!E6)/12,2))</f>
        <v/>
      </c>
      <c r="CR43">
        <f>IF(N(CP43)&lt;=0.005,0,MIN(N('Debt List'!F6),N(CP43)+N(CQ43)))+((DR43=2)*DT43+(DV43=2)*DX43+(DZ43=2)*EB43+(ED43=2)*EF43+(EH43=2)*EJ43+(EL43=2)*EN43+(EP43=2)*ER43+(ET43=2)*EV43)</f>
        <v/>
      </c>
      <c r="CS43">
        <f>MAX(0,ROUND(N(CP43)+N(CQ43)-N(CR43),2))</f>
        <v/>
      </c>
      <c r="CT43">
        <f>N(CW42)</f>
        <v/>
      </c>
      <c r="CU43">
        <f>IF(N(CT43)&lt;=0.005,0,ROUND(N(CT43)*N('Debt List'!E7)/12,2))</f>
        <v/>
      </c>
      <c r="CV43">
        <f>IF(N(CT43)&lt;=0.005,0,MIN(N('Debt List'!F7),N(CT43)+N(CU43)))+((DR43=3)*DT43+(DV43=3)*DX43+(DZ43=3)*EB43+(ED43=3)*EF43+(EH43=3)*EJ43+(EL43=3)*EN43+(EP43=3)*ER43+(ET43=3)*EV43)</f>
        <v/>
      </c>
      <c r="CW43">
        <f>MAX(0,ROUND(N(CT43)+N(CU43)-N(CV43),2))</f>
        <v/>
      </c>
      <c r="CX43">
        <f>N(DA42)</f>
        <v/>
      </c>
      <c r="CY43">
        <f>IF(N(CX43)&lt;=0.005,0,ROUND(N(CX43)*N('Debt List'!E8)/12,2))</f>
        <v/>
      </c>
      <c r="CZ43">
        <f>IF(N(CX43)&lt;=0.005,0,MIN(N('Debt List'!F8),N(CX43)+N(CY43)))+((DR43=4)*DT43+(DV43=4)*DX43+(DZ43=4)*EB43+(ED43=4)*EF43+(EH43=4)*EJ43+(EL43=4)*EN43+(EP43=4)*ER43+(ET43=4)*EV43)</f>
        <v/>
      </c>
      <c r="DA43">
        <f>MAX(0,ROUND(N(CX43)+N(CY43)-N(CZ43),2))</f>
        <v/>
      </c>
      <c r="DB43">
        <f>N(DE42)</f>
        <v/>
      </c>
      <c r="DC43">
        <f>IF(N(DB43)&lt;=0.005,0,ROUND(N(DB43)*N('Debt List'!E9)/12,2))</f>
        <v/>
      </c>
      <c r="DD43">
        <f>IF(N(DB43)&lt;=0.005,0,MIN(N('Debt List'!F9),N(DB43)+N(DC43)))+((DR43=5)*DT43+(DV43=5)*DX43+(DZ43=5)*EB43+(ED43=5)*EF43+(EH43=5)*EJ43+(EL43=5)*EN43+(EP43=5)*ER43+(ET43=5)*EV43)</f>
        <v/>
      </c>
      <c r="DE43">
        <f>MAX(0,ROUND(N(DB43)+N(DC43)-N(DD43),2))</f>
        <v/>
      </c>
      <c r="DF43">
        <f>N(DI42)</f>
        <v/>
      </c>
      <c r="DG43">
        <f>IF(N(DF43)&lt;=0.005,0,ROUND(N(DF43)*N('Debt List'!E10)/12,2))</f>
        <v/>
      </c>
      <c r="DH43">
        <f>IF(N(DF43)&lt;=0.005,0,MIN(N('Debt List'!F10),N(DF43)+N(DG43)))+((DR43=6)*DT43+(DV43=6)*DX43+(DZ43=6)*EB43+(ED43=6)*EF43+(EH43=6)*EJ43+(EL43=6)*EN43+(EP43=6)*ER43+(ET43=6)*EV43)</f>
        <v/>
      </c>
      <c r="DI43">
        <f>MAX(0,ROUND(N(DF43)+N(DG43)-N(DH43),2))</f>
        <v/>
      </c>
      <c r="DJ43">
        <f>N(DM42)</f>
        <v/>
      </c>
      <c r="DK43">
        <f>IF(N(DJ43)&lt;=0.005,0,ROUND(N(DJ43)*N('Debt List'!E11)/12,2))</f>
        <v/>
      </c>
      <c r="DL43">
        <f>IF(N(DJ43)&lt;=0.005,0,MIN(N('Debt List'!F11),N(DJ43)+N(DK43)))+((DR43=7)*DT43+(DV43=7)*DX43+(DZ43=7)*EB43+(ED43=7)*EF43+(EH43=7)*EJ43+(EL43=7)*EN43+(EP43=7)*ER43+(ET43=7)*EV43)</f>
        <v/>
      </c>
      <c r="DM43">
        <f>MAX(0,ROUND(N(DJ43)+N(DK43)-N(DL43),2))</f>
        <v/>
      </c>
      <c r="DN43">
        <f>N(DQ42)</f>
        <v/>
      </c>
      <c r="DO43">
        <f>IF(N(DN43)&lt;=0.005,0,ROUND(N(DN43)*N('Debt List'!E12)/12,2))</f>
        <v/>
      </c>
      <c r="DP43">
        <f>IF(N(DN43)&lt;=0.005,0,MIN(N('Debt List'!F12),N(DN43)+N(DO43)))+((DR43=8)*DT43+(DV43=8)*DX43+(DZ43=8)*EB43+(ED43=8)*EF43+(EH43=8)*EJ43+(EL43=8)*EN43+(EP43=8)*ER43+(ET43=8)*EV43)</f>
        <v/>
      </c>
      <c r="DQ43">
        <f>MAX(0,ROUND(N(DN43)+N(DO43)-N(DP43),2))</f>
        <v/>
      </c>
      <c r="DR43">
        <f>IFERROR(MATCH(1,OrderSnow,0),"")</f>
        <v/>
      </c>
      <c r="DS43">
        <f>IF(DR43="",0,IFERROR(IF(N(CHOOSE(DR43,CL43,CP43,CT43,CX43,DB43,DF43,DJ43,DN43))&lt;=0.005,0,MAX(0,N(CHOOSE(DR43,CL43,CP43,CT43,CX43,DB43,DF43,DJ43,DN43))+N(CHOOSE(DR43,CM43,CQ43,CU43,CY43,DC43,DG43,DK43,DO43))-MIN(N(CHOOSE(DR43,'Debt List'!$F$5,'Debt List'!$F$6,'Debt List'!$F$7,'Debt List'!$F$8,'Debt List'!$F$9,'Debt List'!$F$10,'Debt List'!$F$11,'Debt List'!$F$12)),N(CHOOSE(DR43,CL43,CP43,CT43,CX43,DB43,DF43,DJ43,DN43))+N(CHOOSE(DR43,CM43,CQ43,CU43,CY43,DC43,DG43,DK43,DO43))))),0))</f>
        <v/>
      </c>
      <c r="DT43">
        <f>MIN(N(DS43),MAX(0,N(ExtraPayment)))</f>
        <v/>
      </c>
      <c r="DU43">
        <f>MAX(0,N(ExtraPayment)-N(DT43))</f>
        <v/>
      </c>
      <c r="DV43">
        <f>IFERROR(MATCH(2,OrderSnow,0),"")</f>
        <v/>
      </c>
      <c r="DW43">
        <f>IF(DV43="",0,IFERROR(IF(N(CHOOSE(DV43,CL43,CP43,CT43,CX43,DB43,DF43,DJ43,DN43))&lt;=0.005,0,MAX(0,N(CHOOSE(DV43,CL43,CP43,CT43,CX43,DB43,DF43,DJ43,DN43))+N(CHOOSE(DV43,CM43,CQ43,CU43,CY43,DC43,DG43,DK43,DO43))-MIN(N(CHOOSE(DV43,'Debt List'!$F$5,'Debt List'!$F$6,'Debt List'!$F$7,'Debt List'!$F$8,'Debt List'!$F$9,'Debt List'!$F$10,'Debt List'!$F$11,'Debt List'!$F$12)),N(CHOOSE(DV43,CL43,CP43,CT43,CX43,DB43,DF43,DJ43,DN43))+N(CHOOSE(DV43,CM43,CQ43,CU43,CY43,DC43,DG43,DK43,DO43))))),0))</f>
        <v/>
      </c>
      <c r="DX43">
        <f>MIN(N(DW43),MAX(0,N(DU43)))</f>
        <v/>
      </c>
      <c r="DY43">
        <f>MAX(0,N(DU43)-N(DX43))</f>
        <v/>
      </c>
      <c r="DZ43">
        <f>IFERROR(MATCH(3,OrderSnow,0),"")</f>
        <v/>
      </c>
      <c r="EA43">
        <f>IF(DZ43="",0,IFERROR(IF(N(CHOOSE(DZ43,CL43,CP43,CT43,CX43,DB43,DF43,DJ43,DN43))&lt;=0.005,0,MAX(0,N(CHOOSE(DZ43,CL43,CP43,CT43,CX43,DB43,DF43,DJ43,DN43))+N(CHOOSE(DZ43,CM43,CQ43,CU43,CY43,DC43,DG43,DK43,DO43))-MIN(N(CHOOSE(DZ43,'Debt List'!$F$5,'Debt List'!$F$6,'Debt List'!$F$7,'Debt List'!$F$8,'Debt List'!$F$9,'Debt List'!$F$10,'Debt List'!$F$11,'Debt List'!$F$12)),N(CHOOSE(DZ43,CL43,CP43,CT43,CX43,DB43,DF43,DJ43,DN43))+N(CHOOSE(DZ43,CM43,CQ43,CU43,CY43,DC43,DG43,DK43,DO43))))),0))</f>
        <v/>
      </c>
      <c r="EB43">
        <f>MIN(N(EA43),MAX(0,N(DY43)))</f>
        <v/>
      </c>
      <c r="EC43">
        <f>MAX(0,N(DY43)-N(EB43))</f>
        <v/>
      </c>
      <c r="ED43">
        <f>IFERROR(MATCH(4,OrderSnow,0),"")</f>
        <v/>
      </c>
      <c r="EE43">
        <f>IF(ED43="",0,IFERROR(IF(N(CHOOSE(ED43,CL43,CP43,CT43,CX43,DB43,DF43,DJ43,DN43))&lt;=0.005,0,MAX(0,N(CHOOSE(ED43,CL43,CP43,CT43,CX43,DB43,DF43,DJ43,DN43))+N(CHOOSE(ED43,CM43,CQ43,CU43,CY43,DC43,DG43,DK43,DO43))-MIN(N(CHOOSE(ED43,'Debt List'!$F$5,'Debt List'!$F$6,'Debt List'!$F$7,'Debt List'!$F$8,'Debt List'!$F$9,'Debt List'!$F$10,'Debt List'!$F$11,'Debt List'!$F$12)),N(CHOOSE(ED43,CL43,CP43,CT43,CX43,DB43,DF43,DJ43,DN43))+N(CHOOSE(ED43,CM43,CQ43,CU43,CY43,DC43,DG43,DK43,DO43))))),0))</f>
        <v/>
      </c>
      <c r="EF43">
        <f>MIN(N(EE43),MAX(0,N(EC43)))</f>
        <v/>
      </c>
      <c r="EG43">
        <f>MAX(0,N(EC43)-N(EF43))</f>
        <v/>
      </c>
      <c r="EH43">
        <f>IFERROR(MATCH(5,OrderSnow,0),"")</f>
        <v/>
      </c>
      <c r="EI43">
        <f>IF(EH43="",0,IFERROR(IF(N(CHOOSE(EH43,CL43,CP43,CT43,CX43,DB43,DF43,DJ43,DN43))&lt;=0.005,0,MAX(0,N(CHOOSE(EH43,CL43,CP43,CT43,CX43,DB43,DF43,DJ43,DN43))+N(CHOOSE(EH43,CM43,CQ43,CU43,CY43,DC43,DG43,DK43,DO43))-MIN(N(CHOOSE(EH43,'Debt List'!$F$5,'Debt List'!$F$6,'Debt List'!$F$7,'Debt List'!$F$8,'Debt List'!$F$9,'Debt List'!$F$10,'Debt List'!$F$11,'Debt List'!$F$12)),N(CHOOSE(EH43,CL43,CP43,CT43,CX43,DB43,DF43,DJ43,DN43))+N(CHOOSE(EH43,CM43,CQ43,CU43,CY43,DC43,DG43,DK43,DO43))))),0))</f>
        <v/>
      </c>
      <c r="EJ43">
        <f>MIN(N(EI43),MAX(0,N(EG43)))</f>
        <v/>
      </c>
      <c r="EK43">
        <f>MAX(0,N(EG43)-N(EJ43))</f>
        <v/>
      </c>
      <c r="EL43">
        <f>IFERROR(MATCH(6,OrderSnow,0),"")</f>
        <v/>
      </c>
      <c r="EM43">
        <f>IF(EL43="",0,IFERROR(IF(N(CHOOSE(EL43,CL43,CP43,CT43,CX43,DB43,DF43,DJ43,DN43))&lt;=0.005,0,MAX(0,N(CHOOSE(EL43,CL43,CP43,CT43,CX43,DB43,DF43,DJ43,DN43))+N(CHOOSE(EL43,CM43,CQ43,CU43,CY43,DC43,DG43,DK43,DO43))-MIN(N(CHOOSE(EL43,'Debt List'!$F$5,'Debt List'!$F$6,'Debt List'!$F$7,'Debt List'!$F$8,'Debt List'!$F$9,'Debt List'!$F$10,'Debt List'!$F$11,'Debt List'!$F$12)),N(CHOOSE(EL43,CL43,CP43,CT43,CX43,DB43,DF43,DJ43,DN43))+N(CHOOSE(EL43,CM43,CQ43,CU43,CY43,DC43,DG43,DK43,DO43))))),0))</f>
        <v/>
      </c>
      <c r="EN43">
        <f>MIN(N(EM43),MAX(0,N(EK43)))</f>
        <v/>
      </c>
      <c r="EO43">
        <f>MAX(0,N(EK43)-N(EN43))</f>
        <v/>
      </c>
      <c r="EP43">
        <f>IFERROR(MATCH(7,OrderSnow,0),"")</f>
        <v/>
      </c>
      <c r="EQ43">
        <f>IF(EP43="",0,IFERROR(IF(N(CHOOSE(EP43,CL43,CP43,CT43,CX43,DB43,DF43,DJ43,DN43))&lt;=0.005,0,MAX(0,N(CHOOSE(EP43,CL43,CP43,CT43,CX43,DB43,DF43,DJ43,DN43))+N(CHOOSE(EP43,CM43,CQ43,CU43,CY43,DC43,DG43,DK43,DO43))-MIN(N(CHOOSE(EP43,'Debt List'!$F$5,'Debt List'!$F$6,'Debt List'!$F$7,'Debt List'!$F$8,'Debt List'!$F$9,'Debt List'!$F$10,'Debt List'!$F$11,'Debt List'!$F$12)),N(CHOOSE(EP43,CL43,CP43,CT43,CX43,DB43,DF43,DJ43,DN43))+N(CHOOSE(EP43,CM43,CQ43,CU43,CY43,DC43,DG43,DK43,DO43))))),0))</f>
        <v/>
      </c>
      <c r="ER43">
        <f>MIN(N(EQ43),MAX(0,N(EO43)))</f>
        <v/>
      </c>
      <c r="ES43">
        <f>MAX(0,N(EO43)-N(ER43))</f>
        <v/>
      </c>
      <c r="ET43">
        <f>IFERROR(MATCH(8,OrderSnow,0),"")</f>
        <v/>
      </c>
      <c r="EU43">
        <f>IF(ET43="",0,IFERROR(IF(N(CHOOSE(ET43,CL43,CP43,CT43,CX43,DB43,DF43,DJ43,DN43))&lt;=0.005,0,MAX(0,N(CHOOSE(ET43,CL43,CP43,CT43,CX43,DB43,DF43,DJ43,DN43))+N(CHOOSE(ET43,CM43,CQ43,CU43,CY43,DC43,DG43,DK43,DO43))-MIN(N(CHOOSE(ET43,'Debt List'!$F$5,'Debt List'!$F$6,'Debt List'!$F$7,'Debt List'!$F$8,'Debt List'!$F$9,'Debt List'!$F$10,'Debt List'!$F$11,'Debt List'!$F$12)),N(CHOOSE(ET43,CL43,CP43,CT43,CX43,DB43,DF43,DJ43,DN43))+N(CHOOSE(ET43,CM43,CQ43,CU43,CY43,DC43,DG43,DK43,DO43))))),0))</f>
        <v/>
      </c>
      <c r="EV43">
        <f>MIN(N(EU43),MAX(0,N(ES43)))</f>
        <v/>
      </c>
      <c r="EW43">
        <f>MAX(0,N(ES43)-N(EV43))</f>
        <v/>
      </c>
      <c r="FE43" t="n">
        <v>39</v>
      </c>
      <c r="FF43" s="115">
        <f>DATE(YEAR(PlanStart),MONTH(PlanStart)+FE43-1,1)</f>
        <v/>
      </c>
      <c r="FG43">
        <f>IF(AND(GT43&lt;&gt;"",N(CHOOSE(GT43,FN43,FR43,FV43,FZ43,GD43,GH43,GL43,GP43))&gt;0.005),INDEX(DebtNames,GT43),IF(AND(GX43&lt;&gt;"",N(CHOOSE(GX43,FN43,FR43,FV43,FZ43,GD43,GH43,GL43,GP43))&gt;0.005),INDEX(DebtNames,GX43),IF(AND(HB43&lt;&gt;"",N(CHOOSE(HB43,FN43,FR43,FV43,FZ43,GD43,GH43,GL43,GP43))&gt;0.005),INDEX(DebtNames,HB43),IF(AND(HF43&lt;&gt;"",N(CHOOSE(HF43,FN43,FR43,FV43,FZ43,GD43,GH43,GL43,GP43))&gt;0.005),INDEX(DebtNames,HF43),IF(AND(HJ43&lt;&gt;"",N(CHOOSE(HJ43,FN43,FR43,FV43,FZ43,GD43,GH43,GL43,GP43))&gt;0.005),INDEX(DebtNames,HJ43),IF(AND(HN43&lt;&gt;"",N(CHOOSE(HN43,FN43,FR43,FV43,FZ43,GD43,GH43,GL43,GP43))&gt;0.005),INDEX(DebtNames,HN43),IF(AND(HR43&lt;&gt;"",N(CHOOSE(HR43,FN43,FR43,FV43,FZ43,GD43,GH43,GL43,GP43))&gt;0.005),INDEX(DebtNames,HR43),IF(AND(HV43&lt;&gt;"",N(CHOOSE(HV43,FN43,FR43,FV43,FZ43,GD43,GH43,GL43,GP43))&gt;0.005),INDEX(DebtNames,HV43),""))))))))</f>
        <v/>
      </c>
      <c r="FH43">
        <f>N(HY43)</f>
        <v/>
      </c>
      <c r="FI43">
        <f>N(FP43)+N(FT43)+N(FX43)+N(GB43)+N(GF43)+N(GJ43)+N(GN43)+N(GR43)</f>
        <v/>
      </c>
      <c r="FJ43">
        <f>N(FO43)+N(FS43)+N(FW43)+N(GA43)+N(GE43)+N(GI43)+N(GM43)+N(GQ43)</f>
        <v/>
      </c>
      <c r="FK43">
        <f>N(FK42)+N(FJ43)</f>
        <v/>
      </c>
      <c r="FL43">
        <f>N(FQ43)+N(FU43)+N(FY43)+N(GC43)+N(GG43)+N(GK43)+N(GO43)+N(GS43)</f>
        <v/>
      </c>
      <c r="FM43">
        <f>(FQ43&gt;0.005)*1+(FU43&gt;0.005)*1+(FY43&gt;0.005)*1+(GC43&gt;0.005)*1+(GG43&gt;0.005)*1+(GK43&gt;0.005)*1+(GO43&gt;0.005)*1+(GS43&gt;0.005)*1</f>
        <v/>
      </c>
      <c r="FN43">
        <f>N(FQ42)</f>
        <v/>
      </c>
      <c r="FO43">
        <f>IF(N(FN43)&lt;=0.005,0,ROUND(N(FN43)*N('Debt List'!E5)/12,2))</f>
        <v/>
      </c>
      <c r="FP43">
        <f>IF(N(FN43)&lt;=0.005,0,MIN(N('Debt List'!F5),N(FN43)+N(FO43)))+((GT43=1)*GV43+(GX43=1)*GZ43+(HB43=1)*HD43+(HF43=1)*HH43+(HJ43=1)*HL43+(HN43=1)*HP43+(HR43=1)*HT43+(HV43=1)*HX43)</f>
        <v/>
      </c>
      <c r="FQ43">
        <f>MAX(0,ROUND(N(FN43)+N(FO43)-N(FP43),2))</f>
        <v/>
      </c>
      <c r="FR43">
        <f>N(FU42)</f>
        <v/>
      </c>
      <c r="FS43">
        <f>IF(N(FR43)&lt;=0.005,0,ROUND(N(FR43)*N('Debt List'!E6)/12,2))</f>
        <v/>
      </c>
      <c r="FT43">
        <f>IF(N(FR43)&lt;=0.005,0,MIN(N('Debt List'!F6),N(FR43)+N(FS43)))+((GT43=2)*GV43+(GX43=2)*GZ43+(HB43=2)*HD43+(HF43=2)*HH43+(HJ43=2)*HL43+(HN43=2)*HP43+(HR43=2)*HT43+(HV43=2)*HX43)</f>
        <v/>
      </c>
      <c r="FU43">
        <f>MAX(0,ROUND(N(FR43)+N(FS43)-N(FT43),2))</f>
        <v/>
      </c>
      <c r="FV43">
        <f>N(FY42)</f>
        <v/>
      </c>
      <c r="FW43">
        <f>IF(N(FV43)&lt;=0.005,0,ROUND(N(FV43)*N('Debt List'!E7)/12,2))</f>
        <v/>
      </c>
      <c r="FX43">
        <f>IF(N(FV43)&lt;=0.005,0,MIN(N('Debt List'!F7),N(FV43)+N(FW43)))+((GT43=3)*GV43+(GX43=3)*GZ43+(HB43=3)*HD43+(HF43=3)*HH43+(HJ43=3)*HL43+(HN43=3)*HP43+(HR43=3)*HT43+(HV43=3)*HX43)</f>
        <v/>
      </c>
      <c r="FY43">
        <f>MAX(0,ROUND(N(FV43)+N(FW43)-N(FX43),2))</f>
        <v/>
      </c>
      <c r="FZ43">
        <f>N(GC42)</f>
        <v/>
      </c>
      <c r="GA43">
        <f>IF(N(FZ43)&lt;=0.005,0,ROUND(N(FZ43)*N('Debt List'!E8)/12,2))</f>
        <v/>
      </c>
      <c r="GB43">
        <f>IF(N(FZ43)&lt;=0.005,0,MIN(N('Debt List'!F8),N(FZ43)+N(GA43)))+((GT43=4)*GV43+(GX43=4)*GZ43+(HB43=4)*HD43+(HF43=4)*HH43+(HJ43=4)*HL43+(HN43=4)*HP43+(HR43=4)*HT43+(HV43=4)*HX43)</f>
        <v/>
      </c>
      <c r="GC43">
        <f>MAX(0,ROUND(N(FZ43)+N(GA43)-N(GB43),2))</f>
        <v/>
      </c>
      <c r="GD43">
        <f>N(GG42)</f>
        <v/>
      </c>
      <c r="GE43">
        <f>IF(N(GD43)&lt;=0.005,0,ROUND(N(GD43)*N('Debt List'!E9)/12,2))</f>
        <v/>
      </c>
      <c r="GF43">
        <f>IF(N(GD43)&lt;=0.005,0,MIN(N('Debt List'!F9),N(GD43)+N(GE43)))+((GT43=5)*GV43+(GX43=5)*GZ43+(HB43=5)*HD43+(HF43=5)*HH43+(HJ43=5)*HL43+(HN43=5)*HP43+(HR43=5)*HT43+(HV43=5)*HX43)</f>
        <v/>
      </c>
      <c r="GG43">
        <f>MAX(0,ROUND(N(GD43)+N(GE43)-N(GF43),2))</f>
        <v/>
      </c>
      <c r="GH43">
        <f>N(GK42)</f>
        <v/>
      </c>
      <c r="GI43">
        <f>IF(N(GH43)&lt;=0.005,0,ROUND(N(GH43)*N('Debt List'!E10)/12,2))</f>
        <v/>
      </c>
      <c r="GJ43">
        <f>IF(N(GH43)&lt;=0.005,0,MIN(N('Debt List'!F10),N(GH43)+N(GI43)))+((GT43=6)*GV43+(GX43=6)*GZ43+(HB43=6)*HD43+(HF43=6)*HH43+(HJ43=6)*HL43+(HN43=6)*HP43+(HR43=6)*HT43+(HV43=6)*HX43)</f>
        <v/>
      </c>
      <c r="GK43">
        <f>MAX(0,ROUND(N(GH43)+N(GI43)-N(GJ43),2))</f>
        <v/>
      </c>
      <c r="GL43">
        <f>N(GO42)</f>
        <v/>
      </c>
      <c r="GM43">
        <f>IF(N(GL43)&lt;=0.005,0,ROUND(N(GL43)*N('Debt List'!E11)/12,2))</f>
        <v/>
      </c>
      <c r="GN43">
        <f>IF(N(GL43)&lt;=0.005,0,MIN(N('Debt List'!F11),N(GL43)+N(GM43)))+((GT43=7)*GV43+(GX43=7)*GZ43+(HB43=7)*HD43+(HF43=7)*HH43+(HJ43=7)*HL43+(HN43=7)*HP43+(HR43=7)*HT43+(HV43=7)*HX43)</f>
        <v/>
      </c>
      <c r="GO43">
        <f>MAX(0,ROUND(N(GL43)+N(GM43)-N(GN43),2))</f>
        <v/>
      </c>
      <c r="GP43">
        <f>N(GS42)</f>
        <v/>
      </c>
      <c r="GQ43">
        <f>IF(N(GP43)&lt;=0.005,0,ROUND(N(GP43)*N('Debt List'!E12)/12,2))</f>
        <v/>
      </c>
      <c r="GR43">
        <f>IF(N(GP43)&lt;=0.005,0,MIN(N('Debt List'!F12),N(GP43)+N(GQ43)))+((GT43=8)*GV43+(GX43=8)*GZ43+(HB43=8)*HD43+(HF43=8)*HH43+(HJ43=8)*HL43+(HN43=8)*HP43+(HR43=8)*HT43+(HV43=8)*HX43)</f>
        <v/>
      </c>
      <c r="GS43">
        <f>MAX(0,ROUND(N(GP43)+N(GQ43)-N(GR43),2))</f>
        <v/>
      </c>
      <c r="GT43">
        <f>IFERROR(MATCH(1,OrderAval,0),"")</f>
        <v/>
      </c>
      <c r="GU43">
        <f>IF(GT43="",0,IFERROR(IF(N(CHOOSE(GT43,FN43,FR43,FV43,FZ43,GD43,GH43,GL43,GP43))&lt;=0.005,0,MAX(0,N(CHOOSE(GT43,FN43,FR43,FV43,FZ43,GD43,GH43,GL43,GP43))+N(CHOOSE(GT43,FO43,FS43,FW43,GA43,GE43,GI43,GM43,GQ43))-MIN(N(CHOOSE(GT43,'Debt List'!$F$5,'Debt List'!$F$6,'Debt List'!$F$7,'Debt List'!$F$8,'Debt List'!$F$9,'Debt List'!$F$10,'Debt List'!$F$11,'Debt List'!$F$12)),N(CHOOSE(GT43,FN43,FR43,FV43,FZ43,GD43,GH43,GL43,GP43))+N(CHOOSE(GT43,FO43,FS43,FW43,GA43,GE43,GI43,GM43,GQ43))))),0))</f>
        <v/>
      </c>
      <c r="GV43">
        <f>MIN(N(GU43),MAX(0,N(ExtraPayment)))</f>
        <v/>
      </c>
      <c r="GW43">
        <f>MAX(0,N(ExtraPayment)-N(GV43))</f>
        <v/>
      </c>
      <c r="GX43">
        <f>IFERROR(MATCH(2,OrderAval,0),"")</f>
        <v/>
      </c>
      <c r="GY43">
        <f>IF(GX43="",0,IFERROR(IF(N(CHOOSE(GX43,FN43,FR43,FV43,FZ43,GD43,GH43,GL43,GP43))&lt;=0.005,0,MAX(0,N(CHOOSE(GX43,FN43,FR43,FV43,FZ43,GD43,GH43,GL43,GP43))+N(CHOOSE(GX43,FO43,FS43,FW43,GA43,GE43,GI43,GM43,GQ43))-MIN(N(CHOOSE(GX43,'Debt List'!$F$5,'Debt List'!$F$6,'Debt List'!$F$7,'Debt List'!$F$8,'Debt List'!$F$9,'Debt List'!$F$10,'Debt List'!$F$11,'Debt List'!$F$12)),N(CHOOSE(GX43,FN43,FR43,FV43,FZ43,GD43,GH43,GL43,GP43))+N(CHOOSE(GX43,FO43,FS43,FW43,GA43,GE43,GI43,GM43,GQ43))))),0))</f>
        <v/>
      </c>
      <c r="GZ43">
        <f>MIN(N(GY43),MAX(0,N(GW43)))</f>
        <v/>
      </c>
      <c r="HA43">
        <f>MAX(0,N(GW43)-N(GZ43))</f>
        <v/>
      </c>
      <c r="HB43">
        <f>IFERROR(MATCH(3,OrderAval,0),"")</f>
        <v/>
      </c>
      <c r="HC43">
        <f>IF(HB43="",0,IFERROR(IF(N(CHOOSE(HB43,FN43,FR43,FV43,FZ43,GD43,GH43,GL43,GP43))&lt;=0.005,0,MAX(0,N(CHOOSE(HB43,FN43,FR43,FV43,FZ43,GD43,GH43,GL43,GP43))+N(CHOOSE(HB43,FO43,FS43,FW43,GA43,GE43,GI43,GM43,GQ43))-MIN(N(CHOOSE(HB43,'Debt List'!$F$5,'Debt List'!$F$6,'Debt List'!$F$7,'Debt List'!$F$8,'Debt List'!$F$9,'Debt List'!$F$10,'Debt List'!$F$11,'Debt List'!$F$12)),N(CHOOSE(HB43,FN43,FR43,FV43,FZ43,GD43,GH43,GL43,GP43))+N(CHOOSE(HB43,FO43,FS43,FW43,GA43,GE43,GI43,GM43,GQ43))))),0))</f>
        <v/>
      </c>
      <c r="HD43">
        <f>MIN(N(HC43),MAX(0,N(HA43)))</f>
        <v/>
      </c>
      <c r="HE43">
        <f>MAX(0,N(HA43)-N(HD43))</f>
        <v/>
      </c>
      <c r="HF43">
        <f>IFERROR(MATCH(4,OrderAval,0),"")</f>
        <v/>
      </c>
      <c r="HG43">
        <f>IF(HF43="",0,IFERROR(IF(N(CHOOSE(HF43,FN43,FR43,FV43,FZ43,GD43,GH43,GL43,GP43))&lt;=0.005,0,MAX(0,N(CHOOSE(HF43,FN43,FR43,FV43,FZ43,GD43,GH43,GL43,GP43))+N(CHOOSE(HF43,FO43,FS43,FW43,GA43,GE43,GI43,GM43,GQ43))-MIN(N(CHOOSE(HF43,'Debt List'!$F$5,'Debt List'!$F$6,'Debt List'!$F$7,'Debt List'!$F$8,'Debt List'!$F$9,'Debt List'!$F$10,'Debt List'!$F$11,'Debt List'!$F$12)),N(CHOOSE(HF43,FN43,FR43,FV43,FZ43,GD43,GH43,GL43,GP43))+N(CHOOSE(HF43,FO43,FS43,FW43,GA43,GE43,GI43,GM43,GQ43))))),0))</f>
        <v/>
      </c>
      <c r="HH43">
        <f>MIN(N(HG43),MAX(0,N(HE43)))</f>
        <v/>
      </c>
      <c r="HI43">
        <f>MAX(0,N(HE43)-N(HH43))</f>
        <v/>
      </c>
      <c r="HJ43">
        <f>IFERROR(MATCH(5,OrderAval,0),"")</f>
        <v/>
      </c>
      <c r="HK43">
        <f>IF(HJ43="",0,IFERROR(IF(N(CHOOSE(HJ43,FN43,FR43,FV43,FZ43,GD43,GH43,GL43,GP43))&lt;=0.005,0,MAX(0,N(CHOOSE(HJ43,FN43,FR43,FV43,FZ43,GD43,GH43,GL43,GP43))+N(CHOOSE(HJ43,FO43,FS43,FW43,GA43,GE43,GI43,GM43,GQ43))-MIN(N(CHOOSE(HJ43,'Debt List'!$F$5,'Debt List'!$F$6,'Debt List'!$F$7,'Debt List'!$F$8,'Debt List'!$F$9,'Debt List'!$F$10,'Debt List'!$F$11,'Debt List'!$F$12)),N(CHOOSE(HJ43,FN43,FR43,FV43,FZ43,GD43,GH43,GL43,GP43))+N(CHOOSE(HJ43,FO43,FS43,FW43,GA43,GE43,GI43,GM43,GQ43))))),0))</f>
        <v/>
      </c>
      <c r="HL43">
        <f>MIN(N(HK43),MAX(0,N(HI43)))</f>
        <v/>
      </c>
      <c r="HM43">
        <f>MAX(0,N(HI43)-N(HL43))</f>
        <v/>
      </c>
      <c r="HN43">
        <f>IFERROR(MATCH(6,OrderAval,0),"")</f>
        <v/>
      </c>
      <c r="HO43">
        <f>IF(HN43="",0,IFERROR(IF(N(CHOOSE(HN43,FN43,FR43,FV43,FZ43,GD43,GH43,GL43,GP43))&lt;=0.005,0,MAX(0,N(CHOOSE(HN43,FN43,FR43,FV43,FZ43,GD43,GH43,GL43,GP43))+N(CHOOSE(HN43,FO43,FS43,FW43,GA43,GE43,GI43,GM43,GQ43))-MIN(N(CHOOSE(HN43,'Debt List'!$F$5,'Debt List'!$F$6,'Debt List'!$F$7,'Debt List'!$F$8,'Debt List'!$F$9,'Debt List'!$F$10,'Debt List'!$F$11,'Debt List'!$F$12)),N(CHOOSE(HN43,FN43,FR43,FV43,FZ43,GD43,GH43,GL43,GP43))+N(CHOOSE(HN43,FO43,FS43,FW43,GA43,GE43,GI43,GM43,GQ43))))),0))</f>
        <v/>
      </c>
      <c r="HP43">
        <f>MIN(N(HO43),MAX(0,N(HM43)))</f>
        <v/>
      </c>
      <c r="HQ43">
        <f>MAX(0,N(HM43)-N(HP43))</f>
        <v/>
      </c>
      <c r="HR43">
        <f>IFERROR(MATCH(7,OrderAval,0),"")</f>
        <v/>
      </c>
      <c r="HS43">
        <f>IF(HR43="",0,IFERROR(IF(N(CHOOSE(HR43,FN43,FR43,FV43,FZ43,GD43,GH43,GL43,GP43))&lt;=0.005,0,MAX(0,N(CHOOSE(HR43,FN43,FR43,FV43,FZ43,GD43,GH43,GL43,GP43))+N(CHOOSE(HR43,FO43,FS43,FW43,GA43,GE43,GI43,GM43,GQ43))-MIN(N(CHOOSE(HR43,'Debt List'!$F$5,'Debt List'!$F$6,'Debt List'!$F$7,'Debt List'!$F$8,'Debt List'!$F$9,'Debt List'!$F$10,'Debt List'!$F$11,'Debt List'!$F$12)),N(CHOOSE(HR43,FN43,FR43,FV43,FZ43,GD43,GH43,GL43,GP43))+N(CHOOSE(HR43,FO43,FS43,FW43,GA43,GE43,GI43,GM43,GQ43))))),0))</f>
        <v/>
      </c>
      <c r="HT43">
        <f>MIN(N(HS43),MAX(0,N(HQ43)))</f>
        <v/>
      </c>
      <c r="HU43">
        <f>MAX(0,N(HQ43)-N(HT43))</f>
        <v/>
      </c>
      <c r="HV43">
        <f>IFERROR(MATCH(8,OrderAval,0),"")</f>
        <v/>
      </c>
      <c r="HW43">
        <f>IF(HV43="",0,IFERROR(IF(N(CHOOSE(HV43,FN43,FR43,FV43,FZ43,GD43,GH43,GL43,GP43))&lt;=0.005,0,MAX(0,N(CHOOSE(HV43,FN43,FR43,FV43,FZ43,GD43,GH43,GL43,GP43))+N(CHOOSE(HV43,FO43,FS43,FW43,GA43,GE43,GI43,GM43,GQ43))-MIN(N(CHOOSE(HV43,'Debt List'!$F$5,'Debt List'!$F$6,'Debt List'!$F$7,'Debt List'!$F$8,'Debt List'!$F$9,'Debt List'!$F$10,'Debt List'!$F$11,'Debt List'!$F$12)),N(CHOOSE(HV43,FN43,FR43,FV43,FZ43,GD43,GH43,GL43,GP43))+N(CHOOSE(HV43,FO43,FS43,FW43,GA43,GE43,GI43,GM43,GQ43))))),0))</f>
        <v/>
      </c>
      <c r="HX43">
        <f>MIN(N(HW43),MAX(0,N(HU43)))</f>
        <v/>
      </c>
      <c r="HY43">
        <f>MAX(0,N(HU43)-N(HX43))</f>
        <v/>
      </c>
    </row>
    <row r="44">
      <c r="A44" t="n">
        <v>40</v>
      </c>
      <c r="B44" s="115">
        <f>DATE(YEAR(PlanStart),MONTH(PlanStart)+A44-1,1)</f>
        <v/>
      </c>
      <c r="C44">
        <f>IF(AND(AP44&lt;&gt;"",N(CHOOSE(AP44,J44,N44,R44,V44,Z44,AD44,AH44,AL44))&gt;0.005),INDEX(DebtNames,AP44),IF(AND(AT44&lt;&gt;"",N(CHOOSE(AT44,J44,N44,R44,V44,Z44,AD44,AH44,AL44))&gt;0.005),INDEX(DebtNames,AT44),IF(AND(AX44&lt;&gt;"",N(CHOOSE(AX44,J44,N44,R44,V44,Z44,AD44,AH44,AL44))&gt;0.005),INDEX(DebtNames,AX44),IF(AND(BB44&lt;&gt;"",N(CHOOSE(BB44,J44,N44,R44,V44,Z44,AD44,AH44,AL44))&gt;0.005),INDEX(DebtNames,BB44),IF(AND(BF44&lt;&gt;"",N(CHOOSE(BF44,J44,N44,R44,V44,Z44,AD44,AH44,AL44))&gt;0.005),INDEX(DebtNames,BF44),IF(AND(BJ44&lt;&gt;"",N(CHOOSE(BJ44,J44,N44,R44,V44,Z44,AD44,AH44,AL44))&gt;0.005),INDEX(DebtNames,BJ44),IF(AND(BN44&lt;&gt;"",N(CHOOSE(BN44,J44,N44,R44,V44,Z44,AD44,AH44,AL44))&gt;0.005),INDEX(DebtNames,BN44),IF(AND(BR44&lt;&gt;"",N(CHOOSE(BR44,J44,N44,R44,V44,Z44,AD44,AH44,AL44))&gt;0.005),INDEX(DebtNames,BR44),""))))))))</f>
        <v/>
      </c>
      <c r="D44">
        <f>N(BU44)</f>
        <v/>
      </c>
      <c r="E44">
        <f>N(L44)+N(P44)+N(T44)+N(X44)+N(AB44)+N(AF44)+N(AJ44)+N(AN44)</f>
        <v/>
      </c>
      <c r="F44">
        <f>N(K44)+N(O44)+N(S44)+N(W44)+N(AA44)+N(AE44)+N(AI44)+N(AM44)</f>
        <v/>
      </c>
      <c r="G44">
        <f>N(G43)+N(F44)</f>
        <v/>
      </c>
      <c r="H44">
        <f>N(M44)+N(Q44)+N(U44)+N(Y44)+N(AC44)+N(AG44)+N(AK44)+N(AO44)</f>
        <v/>
      </c>
      <c r="I44">
        <f>(M44&gt;0.005)*1+(Q44&gt;0.005)*1+(U44&gt;0.005)*1+(Y44&gt;0.005)*1+(AC44&gt;0.005)*1+(AG44&gt;0.005)*1+(AK44&gt;0.005)*1+(AO44&gt;0.005)*1</f>
        <v/>
      </c>
      <c r="J44">
        <f>N(M43)</f>
        <v/>
      </c>
      <c r="K44">
        <f>IF(N(J44)&lt;=0.005,0,ROUND(N(J44)*N('Debt List'!E5)/12,2))</f>
        <v/>
      </c>
      <c r="L44">
        <f>IF(N(J44)&lt;=0.005,0,MIN(N('Debt List'!F5),N(J44)+N(K44)))+((AP44=1)*AR44+(AT44=1)*AV44+(AX44=1)*AZ44+(BB44=1)*BD44+(BF44=1)*BH44+(BJ44=1)*BL44+(BN44=1)*BP44+(BR44=1)*BT44)</f>
        <v/>
      </c>
      <c r="M44">
        <f>MAX(0,ROUND(N(J44)+N(K44)-N(L44),2))</f>
        <v/>
      </c>
      <c r="N44">
        <f>N(Q43)</f>
        <v/>
      </c>
      <c r="O44">
        <f>IF(N(N44)&lt;=0.005,0,ROUND(N(N44)*N('Debt List'!E6)/12,2))</f>
        <v/>
      </c>
      <c r="P44">
        <f>IF(N(N44)&lt;=0.005,0,MIN(N('Debt List'!F6),N(N44)+N(O44)))+((AP44=2)*AR44+(AT44=2)*AV44+(AX44=2)*AZ44+(BB44=2)*BD44+(BF44=2)*BH44+(BJ44=2)*BL44+(BN44=2)*BP44+(BR44=2)*BT44)</f>
        <v/>
      </c>
      <c r="Q44">
        <f>MAX(0,ROUND(N(N44)+N(O44)-N(P44),2))</f>
        <v/>
      </c>
      <c r="R44">
        <f>N(U43)</f>
        <v/>
      </c>
      <c r="S44">
        <f>IF(N(R44)&lt;=0.005,0,ROUND(N(R44)*N('Debt List'!E7)/12,2))</f>
        <v/>
      </c>
      <c r="T44">
        <f>IF(N(R44)&lt;=0.005,0,MIN(N('Debt List'!F7),N(R44)+N(S44)))+((AP44=3)*AR44+(AT44=3)*AV44+(AX44=3)*AZ44+(BB44=3)*BD44+(BF44=3)*BH44+(BJ44=3)*BL44+(BN44=3)*BP44+(BR44=3)*BT44)</f>
        <v/>
      </c>
      <c r="U44">
        <f>MAX(0,ROUND(N(R44)+N(S44)-N(T44),2))</f>
        <v/>
      </c>
      <c r="V44">
        <f>N(Y43)</f>
        <v/>
      </c>
      <c r="W44">
        <f>IF(N(V44)&lt;=0.005,0,ROUND(N(V44)*N('Debt List'!E8)/12,2))</f>
        <v/>
      </c>
      <c r="X44">
        <f>IF(N(V44)&lt;=0.005,0,MIN(N('Debt List'!F8),N(V44)+N(W44)))+((AP44=4)*AR44+(AT44=4)*AV44+(AX44=4)*AZ44+(BB44=4)*BD44+(BF44=4)*BH44+(BJ44=4)*BL44+(BN44=4)*BP44+(BR44=4)*BT44)</f>
        <v/>
      </c>
      <c r="Y44">
        <f>MAX(0,ROUND(N(V44)+N(W44)-N(X44),2))</f>
        <v/>
      </c>
      <c r="Z44">
        <f>N(AC43)</f>
        <v/>
      </c>
      <c r="AA44">
        <f>IF(N(Z44)&lt;=0.005,0,ROUND(N(Z44)*N('Debt List'!E9)/12,2))</f>
        <v/>
      </c>
      <c r="AB44">
        <f>IF(N(Z44)&lt;=0.005,0,MIN(N('Debt List'!F9),N(Z44)+N(AA44)))+((AP44=5)*AR44+(AT44=5)*AV44+(AX44=5)*AZ44+(BB44=5)*BD44+(BF44=5)*BH44+(BJ44=5)*BL44+(BN44=5)*BP44+(BR44=5)*BT44)</f>
        <v/>
      </c>
      <c r="AC44">
        <f>MAX(0,ROUND(N(Z44)+N(AA44)-N(AB44),2))</f>
        <v/>
      </c>
      <c r="AD44">
        <f>N(AG43)</f>
        <v/>
      </c>
      <c r="AE44">
        <f>IF(N(AD44)&lt;=0.005,0,ROUND(N(AD44)*N('Debt List'!E10)/12,2))</f>
        <v/>
      </c>
      <c r="AF44">
        <f>IF(N(AD44)&lt;=0.005,0,MIN(N('Debt List'!F10),N(AD44)+N(AE44)))+((AP44=6)*AR44+(AT44=6)*AV44+(AX44=6)*AZ44+(BB44=6)*BD44+(BF44=6)*BH44+(BJ44=6)*BL44+(BN44=6)*BP44+(BR44=6)*BT44)</f>
        <v/>
      </c>
      <c r="AG44">
        <f>MAX(0,ROUND(N(AD44)+N(AE44)-N(AF44),2))</f>
        <v/>
      </c>
      <c r="AH44">
        <f>N(AK43)</f>
        <v/>
      </c>
      <c r="AI44">
        <f>IF(N(AH44)&lt;=0.005,0,ROUND(N(AH44)*N('Debt List'!E11)/12,2))</f>
        <v/>
      </c>
      <c r="AJ44">
        <f>IF(N(AH44)&lt;=0.005,0,MIN(N('Debt List'!F11),N(AH44)+N(AI44)))+((AP44=7)*AR44+(AT44=7)*AV44+(AX44=7)*AZ44+(BB44=7)*BD44+(BF44=7)*BH44+(BJ44=7)*BL44+(BN44=7)*BP44+(BR44=7)*BT44)</f>
        <v/>
      </c>
      <c r="AK44">
        <f>MAX(0,ROUND(N(AH44)+N(AI44)-N(AJ44),2))</f>
        <v/>
      </c>
      <c r="AL44">
        <f>N(AO43)</f>
        <v/>
      </c>
      <c r="AM44">
        <f>IF(N(AL44)&lt;=0.005,0,ROUND(N(AL44)*N('Debt List'!E12)/12,2))</f>
        <v/>
      </c>
      <c r="AN44">
        <f>IF(N(AL44)&lt;=0.005,0,MIN(N('Debt List'!F12),N(AL44)+N(AM44)))+((AP44=8)*AR44+(AT44=8)*AV44+(AX44=8)*AZ44+(BB44=8)*BD44+(BF44=8)*BH44+(BJ44=8)*BL44+(BN44=8)*BP44+(BR44=8)*BT44)</f>
        <v/>
      </c>
      <c r="AO44">
        <f>MAX(0,ROUND(N(AL44)+N(AM44)-N(AN44),2))</f>
        <v/>
      </c>
      <c r="AP44">
        <f>IFERROR(MATCH(1,OrderPlan,0),"")</f>
        <v/>
      </c>
      <c r="AQ44">
        <f>IF(AP44="",0,IFERROR(IF(N(CHOOSE(AP44,J44,N44,R44,V44,Z44,AD44,AH44,AL44))&lt;=0.005,0,MAX(0,N(CHOOSE(AP44,J44,N44,R44,V44,Z44,AD44,AH44,AL44))+N(CHOOSE(AP44,K44,O44,S44,W44,AA44,AE44,AI44,AM44))-MIN(N(CHOOSE(AP44,'Debt List'!$F$5,'Debt List'!$F$6,'Debt List'!$F$7,'Debt List'!$F$8,'Debt List'!$F$9,'Debt List'!$F$10,'Debt List'!$F$11,'Debt List'!$F$12)),N(CHOOSE(AP44,J44,N44,R44,V44,Z44,AD44,AH44,AL44))+N(CHOOSE(AP44,K44,O44,S44,W44,AA44,AE44,AI44,AM44))))),0))</f>
        <v/>
      </c>
      <c r="AR44">
        <f>MIN(N(AQ44),MAX(0,N(ExtraPayment)))</f>
        <v/>
      </c>
      <c r="AS44">
        <f>MAX(0,N(ExtraPayment)-N(AR44))</f>
        <v/>
      </c>
      <c r="AT44">
        <f>IFERROR(MATCH(2,OrderPlan,0),"")</f>
        <v/>
      </c>
      <c r="AU44">
        <f>IF(AT44="",0,IFERROR(IF(N(CHOOSE(AT44,J44,N44,R44,V44,Z44,AD44,AH44,AL44))&lt;=0.005,0,MAX(0,N(CHOOSE(AT44,J44,N44,R44,V44,Z44,AD44,AH44,AL44))+N(CHOOSE(AT44,K44,O44,S44,W44,AA44,AE44,AI44,AM44))-MIN(N(CHOOSE(AT44,'Debt List'!$F$5,'Debt List'!$F$6,'Debt List'!$F$7,'Debt List'!$F$8,'Debt List'!$F$9,'Debt List'!$F$10,'Debt List'!$F$11,'Debt List'!$F$12)),N(CHOOSE(AT44,J44,N44,R44,V44,Z44,AD44,AH44,AL44))+N(CHOOSE(AT44,K44,O44,S44,W44,AA44,AE44,AI44,AM44))))),0))</f>
        <v/>
      </c>
      <c r="AV44">
        <f>MIN(N(AU44),MAX(0,N(AS44)))</f>
        <v/>
      </c>
      <c r="AW44">
        <f>MAX(0,N(AS44)-N(AV44))</f>
        <v/>
      </c>
      <c r="AX44">
        <f>IFERROR(MATCH(3,OrderPlan,0),"")</f>
        <v/>
      </c>
      <c r="AY44">
        <f>IF(AX44="",0,IFERROR(IF(N(CHOOSE(AX44,J44,N44,R44,V44,Z44,AD44,AH44,AL44))&lt;=0.005,0,MAX(0,N(CHOOSE(AX44,J44,N44,R44,V44,Z44,AD44,AH44,AL44))+N(CHOOSE(AX44,K44,O44,S44,W44,AA44,AE44,AI44,AM44))-MIN(N(CHOOSE(AX44,'Debt List'!$F$5,'Debt List'!$F$6,'Debt List'!$F$7,'Debt List'!$F$8,'Debt List'!$F$9,'Debt List'!$F$10,'Debt List'!$F$11,'Debt List'!$F$12)),N(CHOOSE(AX44,J44,N44,R44,V44,Z44,AD44,AH44,AL44))+N(CHOOSE(AX44,K44,O44,S44,W44,AA44,AE44,AI44,AM44))))),0))</f>
        <v/>
      </c>
      <c r="AZ44">
        <f>MIN(N(AY44),MAX(0,N(AW44)))</f>
        <v/>
      </c>
      <c r="BA44">
        <f>MAX(0,N(AW44)-N(AZ44))</f>
        <v/>
      </c>
      <c r="BB44">
        <f>IFERROR(MATCH(4,OrderPlan,0),"")</f>
        <v/>
      </c>
      <c r="BC44">
        <f>IF(BB44="",0,IFERROR(IF(N(CHOOSE(BB44,J44,N44,R44,V44,Z44,AD44,AH44,AL44))&lt;=0.005,0,MAX(0,N(CHOOSE(BB44,J44,N44,R44,V44,Z44,AD44,AH44,AL44))+N(CHOOSE(BB44,K44,O44,S44,W44,AA44,AE44,AI44,AM44))-MIN(N(CHOOSE(BB44,'Debt List'!$F$5,'Debt List'!$F$6,'Debt List'!$F$7,'Debt List'!$F$8,'Debt List'!$F$9,'Debt List'!$F$10,'Debt List'!$F$11,'Debt List'!$F$12)),N(CHOOSE(BB44,J44,N44,R44,V44,Z44,AD44,AH44,AL44))+N(CHOOSE(BB44,K44,O44,S44,W44,AA44,AE44,AI44,AM44))))),0))</f>
        <v/>
      </c>
      <c r="BD44">
        <f>MIN(N(BC44),MAX(0,N(BA44)))</f>
        <v/>
      </c>
      <c r="BE44">
        <f>MAX(0,N(BA44)-N(BD44))</f>
        <v/>
      </c>
      <c r="BF44">
        <f>IFERROR(MATCH(5,OrderPlan,0),"")</f>
        <v/>
      </c>
      <c r="BG44">
        <f>IF(BF44="",0,IFERROR(IF(N(CHOOSE(BF44,J44,N44,R44,V44,Z44,AD44,AH44,AL44))&lt;=0.005,0,MAX(0,N(CHOOSE(BF44,J44,N44,R44,V44,Z44,AD44,AH44,AL44))+N(CHOOSE(BF44,K44,O44,S44,W44,AA44,AE44,AI44,AM44))-MIN(N(CHOOSE(BF44,'Debt List'!$F$5,'Debt List'!$F$6,'Debt List'!$F$7,'Debt List'!$F$8,'Debt List'!$F$9,'Debt List'!$F$10,'Debt List'!$F$11,'Debt List'!$F$12)),N(CHOOSE(BF44,J44,N44,R44,V44,Z44,AD44,AH44,AL44))+N(CHOOSE(BF44,K44,O44,S44,W44,AA44,AE44,AI44,AM44))))),0))</f>
        <v/>
      </c>
      <c r="BH44">
        <f>MIN(N(BG44),MAX(0,N(BE44)))</f>
        <v/>
      </c>
      <c r="BI44">
        <f>MAX(0,N(BE44)-N(BH44))</f>
        <v/>
      </c>
      <c r="BJ44">
        <f>IFERROR(MATCH(6,OrderPlan,0),"")</f>
        <v/>
      </c>
      <c r="BK44">
        <f>IF(BJ44="",0,IFERROR(IF(N(CHOOSE(BJ44,J44,N44,R44,V44,Z44,AD44,AH44,AL44))&lt;=0.005,0,MAX(0,N(CHOOSE(BJ44,J44,N44,R44,V44,Z44,AD44,AH44,AL44))+N(CHOOSE(BJ44,K44,O44,S44,W44,AA44,AE44,AI44,AM44))-MIN(N(CHOOSE(BJ44,'Debt List'!$F$5,'Debt List'!$F$6,'Debt List'!$F$7,'Debt List'!$F$8,'Debt List'!$F$9,'Debt List'!$F$10,'Debt List'!$F$11,'Debt List'!$F$12)),N(CHOOSE(BJ44,J44,N44,R44,V44,Z44,AD44,AH44,AL44))+N(CHOOSE(BJ44,K44,O44,S44,W44,AA44,AE44,AI44,AM44))))),0))</f>
        <v/>
      </c>
      <c r="BL44">
        <f>MIN(N(BK44),MAX(0,N(BI44)))</f>
        <v/>
      </c>
      <c r="BM44">
        <f>MAX(0,N(BI44)-N(BL44))</f>
        <v/>
      </c>
      <c r="BN44">
        <f>IFERROR(MATCH(7,OrderPlan,0),"")</f>
        <v/>
      </c>
      <c r="BO44">
        <f>IF(BN44="",0,IFERROR(IF(N(CHOOSE(BN44,J44,N44,R44,V44,Z44,AD44,AH44,AL44))&lt;=0.005,0,MAX(0,N(CHOOSE(BN44,J44,N44,R44,V44,Z44,AD44,AH44,AL44))+N(CHOOSE(BN44,K44,O44,S44,W44,AA44,AE44,AI44,AM44))-MIN(N(CHOOSE(BN44,'Debt List'!$F$5,'Debt List'!$F$6,'Debt List'!$F$7,'Debt List'!$F$8,'Debt List'!$F$9,'Debt List'!$F$10,'Debt List'!$F$11,'Debt List'!$F$12)),N(CHOOSE(BN44,J44,N44,R44,V44,Z44,AD44,AH44,AL44))+N(CHOOSE(BN44,K44,O44,S44,W44,AA44,AE44,AI44,AM44))))),0))</f>
        <v/>
      </c>
      <c r="BP44">
        <f>MIN(N(BO44),MAX(0,N(BM44)))</f>
        <v/>
      </c>
      <c r="BQ44">
        <f>MAX(0,N(BM44)-N(BP44))</f>
        <v/>
      </c>
      <c r="BR44">
        <f>IFERROR(MATCH(8,OrderPlan,0),"")</f>
        <v/>
      </c>
      <c r="BS44">
        <f>IF(BR44="",0,IFERROR(IF(N(CHOOSE(BR44,J44,N44,R44,V44,Z44,AD44,AH44,AL44))&lt;=0.005,0,MAX(0,N(CHOOSE(BR44,J44,N44,R44,V44,Z44,AD44,AH44,AL44))+N(CHOOSE(BR44,K44,O44,S44,W44,AA44,AE44,AI44,AM44))-MIN(N(CHOOSE(BR44,'Debt List'!$F$5,'Debt List'!$F$6,'Debt List'!$F$7,'Debt List'!$F$8,'Debt List'!$F$9,'Debt List'!$F$10,'Debt List'!$F$11,'Debt List'!$F$12)),N(CHOOSE(BR44,J44,N44,R44,V44,Z44,AD44,AH44,AL44))+N(CHOOSE(BR44,K44,O44,S44,W44,AA44,AE44,AI44,AM44))))),0))</f>
        <v/>
      </c>
      <c r="BT44">
        <f>MIN(N(BS44),MAX(0,N(BQ44)))</f>
        <v/>
      </c>
      <c r="BU44">
        <f>MAX(0,N(BQ44)-N(BT44))</f>
        <v/>
      </c>
      <c r="CC44" t="n">
        <v>40</v>
      </c>
      <c r="CD44" s="115">
        <f>DATE(YEAR(PlanStart),MONTH(PlanStart)+CC44-1,1)</f>
        <v/>
      </c>
      <c r="CE44">
        <f>IF(AND(DR44&lt;&gt;"",N(CHOOSE(DR44,CL44,CP44,CT44,CX44,DB44,DF44,DJ44,DN44))&gt;0.005),INDEX(DebtNames,DR44),IF(AND(DV44&lt;&gt;"",N(CHOOSE(DV44,CL44,CP44,CT44,CX44,DB44,DF44,DJ44,DN44))&gt;0.005),INDEX(DebtNames,DV44),IF(AND(DZ44&lt;&gt;"",N(CHOOSE(DZ44,CL44,CP44,CT44,CX44,DB44,DF44,DJ44,DN44))&gt;0.005),INDEX(DebtNames,DZ44),IF(AND(ED44&lt;&gt;"",N(CHOOSE(ED44,CL44,CP44,CT44,CX44,DB44,DF44,DJ44,DN44))&gt;0.005),INDEX(DebtNames,ED44),IF(AND(EH44&lt;&gt;"",N(CHOOSE(EH44,CL44,CP44,CT44,CX44,DB44,DF44,DJ44,DN44))&gt;0.005),INDEX(DebtNames,EH44),IF(AND(EL44&lt;&gt;"",N(CHOOSE(EL44,CL44,CP44,CT44,CX44,DB44,DF44,DJ44,DN44))&gt;0.005),INDEX(DebtNames,EL44),IF(AND(EP44&lt;&gt;"",N(CHOOSE(EP44,CL44,CP44,CT44,CX44,DB44,DF44,DJ44,DN44))&gt;0.005),INDEX(DebtNames,EP44),IF(AND(ET44&lt;&gt;"",N(CHOOSE(ET44,CL44,CP44,CT44,CX44,DB44,DF44,DJ44,DN44))&gt;0.005),INDEX(DebtNames,ET44),""))))))))</f>
        <v/>
      </c>
      <c r="CF44">
        <f>N(EW44)</f>
        <v/>
      </c>
      <c r="CG44">
        <f>N(CN44)+N(CR44)+N(CV44)+N(CZ44)+N(DD44)+N(DH44)+N(DL44)+N(DP44)</f>
        <v/>
      </c>
      <c r="CH44">
        <f>N(CM44)+N(CQ44)+N(CU44)+N(CY44)+N(DC44)+N(DG44)+N(DK44)+N(DO44)</f>
        <v/>
      </c>
      <c r="CI44">
        <f>N(CI43)+N(CH44)</f>
        <v/>
      </c>
      <c r="CJ44">
        <f>N(CO44)+N(CS44)+N(CW44)+N(DA44)+N(DE44)+N(DI44)+N(DM44)+N(DQ44)</f>
        <v/>
      </c>
      <c r="CK44">
        <f>(CO44&gt;0.005)*1+(CS44&gt;0.005)*1+(CW44&gt;0.005)*1+(DA44&gt;0.005)*1+(DE44&gt;0.005)*1+(DI44&gt;0.005)*1+(DM44&gt;0.005)*1+(DQ44&gt;0.005)*1</f>
        <v/>
      </c>
      <c r="CL44">
        <f>N(CO43)</f>
        <v/>
      </c>
      <c r="CM44">
        <f>IF(N(CL44)&lt;=0.005,0,ROUND(N(CL44)*N('Debt List'!E5)/12,2))</f>
        <v/>
      </c>
      <c r="CN44">
        <f>IF(N(CL44)&lt;=0.005,0,MIN(N('Debt List'!F5),N(CL44)+N(CM44)))+((DR44=1)*DT44+(DV44=1)*DX44+(DZ44=1)*EB44+(ED44=1)*EF44+(EH44=1)*EJ44+(EL44=1)*EN44+(EP44=1)*ER44+(ET44=1)*EV44)</f>
        <v/>
      </c>
      <c r="CO44">
        <f>MAX(0,ROUND(N(CL44)+N(CM44)-N(CN44),2))</f>
        <v/>
      </c>
      <c r="CP44">
        <f>N(CS43)</f>
        <v/>
      </c>
      <c r="CQ44">
        <f>IF(N(CP44)&lt;=0.005,0,ROUND(N(CP44)*N('Debt List'!E6)/12,2))</f>
        <v/>
      </c>
      <c r="CR44">
        <f>IF(N(CP44)&lt;=0.005,0,MIN(N('Debt List'!F6),N(CP44)+N(CQ44)))+((DR44=2)*DT44+(DV44=2)*DX44+(DZ44=2)*EB44+(ED44=2)*EF44+(EH44=2)*EJ44+(EL44=2)*EN44+(EP44=2)*ER44+(ET44=2)*EV44)</f>
        <v/>
      </c>
      <c r="CS44">
        <f>MAX(0,ROUND(N(CP44)+N(CQ44)-N(CR44),2))</f>
        <v/>
      </c>
      <c r="CT44">
        <f>N(CW43)</f>
        <v/>
      </c>
      <c r="CU44">
        <f>IF(N(CT44)&lt;=0.005,0,ROUND(N(CT44)*N('Debt List'!E7)/12,2))</f>
        <v/>
      </c>
      <c r="CV44">
        <f>IF(N(CT44)&lt;=0.005,0,MIN(N('Debt List'!F7),N(CT44)+N(CU44)))+((DR44=3)*DT44+(DV44=3)*DX44+(DZ44=3)*EB44+(ED44=3)*EF44+(EH44=3)*EJ44+(EL44=3)*EN44+(EP44=3)*ER44+(ET44=3)*EV44)</f>
        <v/>
      </c>
      <c r="CW44">
        <f>MAX(0,ROUND(N(CT44)+N(CU44)-N(CV44),2))</f>
        <v/>
      </c>
      <c r="CX44">
        <f>N(DA43)</f>
        <v/>
      </c>
      <c r="CY44">
        <f>IF(N(CX44)&lt;=0.005,0,ROUND(N(CX44)*N('Debt List'!E8)/12,2))</f>
        <v/>
      </c>
      <c r="CZ44">
        <f>IF(N(CX44)&lt;=0.005,0,MIN(N('Debt List'!F8),N(CX44)+N(CY44)))+((DR44=4)*DT44+(DV44=4)*DX44+(DZ44=4)*EB44+(ED44=4)*EF44+(EH44=4)*EJ44+(EL44=4)*EN44+(EP44=4)*ER44+(ET44=4)*EV44)</f>
        <v/>
      </c>
      <c r="DA44">
        <f>MAX(0,ROUND(N(CX44)+N(CY44)-N(CZ44),2))</f>
        <v/>
      </c>
      <c r="DB44">
        <f>N(DE43)</f>
        <v/>
      </c>
      <c r="DC44">
        <f>IF(N(DB44)&lt;=0.005,0,ROUND(N(DB44)*N('Debt List'!E9)/12,2))</f>
        <v/>
      </c>
      <c r="DD44">
        <f>IF(N(DB44)&lt;=0.005,0,MIN(N('Debt List'!F9),N(DB44)+N(DC44)))+((DR44=5)*DT44+(DV44=5)*DX44+(DZ44=5)*EB44+(ED44=5)*EF44+(EH44=5)*EJ44+(EL44=5)*EN44+(EP44=5)*ER44+(ET44=5)*EV44)</f>
        <v/>
      </c>
      <c r="DE44">
        <f>MAX(0,ROUND(N(DB44)+N(DC44)-N(DD44),2))</f>
        <v/>
      </c>
      <c r="DF44">
        <f>N(DI43)</f>
        <v/>
      </c>
      <c r="DG44">
        <f>IF(N(DF44)&lt;=0.005,0,ROUND(N(DF44)*N('Debt List'!E10)/12,2))</f>
        <v/>
      </c>
      <c r="DH44">
        <f>IF(N(DF44)&lt;=0.005,0,MIN(N('Debt List'!F10),N(DF44)+N(DG44)))+((DR44=6)*DT44+(DV44=6)*DX44+(DZ44=6)*EB44+(ED44=6)*EF44+(EH44=6)*EJ44+(EL44=6)*EN44+(EP44=6)*ER44+(ET44=6)*EV44)</f>
        <v/>
      </c>
      <c r="DI44">
        <f>MAX(0,ROUND(N(DF44)+N(DG44)-N(DH44),2))</f>
        <v/>
      </c>
      <c r="DJ44">
        <f>N(DM43)</f>
        <v/>
      </c>
      <c r="DK44">
        <f>IF(N(DJ44)&lt;=0.005,0,ROUND(N(DJ44)*N('Debt List'!E11)/12,2))</f>
        <v/>
      </c>
      <c r="DL44">
        <f>IF(N(DJ44)&lt;=0.005,0,MIN(N('Debt List'!F11),N(DJ44)+N(DK44)))+((DR44=7)*DT44+(DV44=7)*DX44+(DZ44=7)*EB44+(ED44=7)*EF44+(EH44=7)*EJ44+(EL44=7)*EN44+(EP44=7)*ER44+(ET44=7)*EV44)</f>
        <v/>
      </c>
      <c r="DM44">
        <f>MAX(0,ROUND(N(DJ44)+N(DK44)-N(DL44),2))</f>
        <v/>
      </c>
      <c r="DN44">
        <f>N(DQ43)</f>
        <v/>
      </c>
      <c r="DO44">
        <f>IF(N(DN44)&lt;=0.005,0,ROUND(N(DN44)*N('Debt List'!E12)/12,2))</f>
        <v/>
      </c>
      <c r="DP44">
        <f>IF(N(DN44)&lt;=0.005,0,MIN(N('Debt List'!F12),N(DN44)+N(DO44)))+((DR44=8)*DT44+(DV44=8)*DX44+(DZ44=8)*EB44+(ED44=8)*EF44+(EH44=8)*EJ44+(EL44=8)*EN44+(EP44=8)*ER44+(ET44=8)*EV44)</f>
        <v/>
      </c>
      <c r="DQ44">
        <f>MAX(0,ROUND(N(DN44)+N(DO44)-N(DP44),2))</f>
        <v/>
      </c>
      <c r="DR44">
        <f>IFERROR(MATCH(1,OrderSnow,0),"")</f>
        <v/>
      </c>
      <c r="DS44">
        <f>IF(DR44="",0,IFERROR(IF(N(CHOOSE(DR44,CL44,CP44,CT44,CX44,DB44,DF44,DJ44,DN44))&lt;=0.005,0,MAX(0,N(CHOOSE(DR44,CL44,CP44,CT44,CX44,DB44,DF44,DJ44,DN44))+N(CHOOSE(DR44,CM44,CQ44,CU44,CY44,DC44,DG44,DK44,DO44))-MIN(N(CHOOSE(DR44,'Debt List'!$F$5,'Debt List'!$F$6,'Debt List'!$F$7,'Debt List'!$F$8,'Debt List'!$F$9,'Debt List'!$F$10,'Debt List'!$F$11,'Debt List'!$F$12)),N(CHOOSE(DR44,CL44,CP44,CT44,CX44,DB44,DF44,DJ44,DN44))+N(CHOOSE(DR44,CM44,CQ44,CU44,CY44,DC44,DG44,DK44,DO44))))),0))</f>
        <v/>
      </c>
      <c r="DT44">
        <f>MIN(N(DS44),MAX(0,N(ExtraPayment)))</f>
        <v/>
      </c>
      <c r="DU44">
        <f>MAX(0,N(ExtraPayment)-N(DT44))</f>
        <v/>
      </c>
      <c r="DV44">
        <f>IFERROR(MATCH(2,OrderSnow,0),"")</f>
        <v/>
      </c>
      <c r="DW44">
        <f>IF(DV44="",0,IFERROR(IF(N(CHOOSE(DV44,CL44,CP44,CT44,CX44,DB44,DF44,DJ44,DN44))&lt;=0.005,0,MAX(0,N(CHOOSE(DV44,CL44,CP44,CT44,CX44,DB44,DF44,DJ44,DN44))+N(CHOOSE(DV44,CM44,CQ44,CU44,CY44,DC44,DG44,DK44,DO44))-MIN(N(CHOOSE(DV44,'Debt List'!$F$5,'Debt List'!$F$6,'Debt List'!$F$7,'Debt List'!$F$8,'Debt List'!$F$9,'Debt List'!$F$10,'Debt List'!$F$11,'Debt List'!$F$12)),N(CHOOSE(DV44,CL44,CP44,CT44,CX44,DB44,DF44,DJ44,DN44))+N(CHOOSE(DV44,CM44,CQ44,CU44,CY44,DC44,DG44,DK44,DO44))))),0))</f>
        <v/>
      </c>
      <c r="DX44">
        <f>MIN(N(DW44),MAX(0,N(DU44)))</f>
        <v/>
      </c>
      <c r="DY44">
        <f>MAX(0,N(DU44)-N(DX44))</f>
        <v/>
      </c>
      <c r="DZ44">
        <f>IFERROR(MATCH(3,OrderSnow,0),"")</f>
        <v/>
      </c>
      <c r="EA44">
        <f>IF(DZ44="",0,IFERROR(IF(N(CHOOSE(DZ44,CL44,CP44,CT44,CX44,DB44,DF44,DJ44,DN44))&lt;=0.005,0,MAX(0,N(CHOOSE(DZ44,CL44,CP44,CT44,CX44,DB44,DF44,DJ44,DN44))+N(CHOOSE(DZ44,CM44,CQ44,CU44,CY44,DC44,DG44,DK44,DO44))-MIN(N(CHOOSE(DZ44,'Debt List'!$F$5,'Debt List'!$F$6,'Debt List'!$F$7,'Debt List'!$F$8,'Debt List'!$F$9,'Debt List'!$F$10,'Debt List'!$F$11,'Debt List'!$F$12)),N(CHOOSE(DZ44,CL44,CP44,CT44,CX44,DB44,DF44,DJ44,DN44))+N(CHOOSE(DZ44,CM44,CQ44,CU44,CY44,DC44,DG44,DK44,DO44))))),0))</f>
        <v/>
      </c>
      <c r="EB44">
        <f>MIN(N(EA44),MAX(0,N(DY44)))</f>
        <v/>
      </c>
      <c r="EC44">
        <f>MAX(0,N(DY44)-N(EB44))</f>
        <v/>
      </c>
      <c r="ED44">
        <f>IFERROR(MATCH(4,OrderSnow,0),"")</f>
        <v/>
      </c>
      <c r="EE44">
        <f>IF(ED44="",0,IFERROR(IF(N(CHOOSE(ED44,CL44,CP44,CT44,CX44,DB44,DF44,DJ44,DN44))&lt;=0.005,0,MAX(0,N(CHOOSE(ED44,CL44,CP44,CT44,CX44,DB44,DF44,DJ44,DN44))+N(CHOOSE(ED44,CM44,CQ44,CU44,CY44,DC44,DG44,DK44,DO44))-MIN(N(CHOOSE(ED44,'Debt List'!$F$5,'Debt List'!$F$6,'Debt List'!$F$7,'Debt List'!$F$8,'Debt List'!$F$9,'Debt List'!$F$10,'Debt List'!$F$11,'Debt List'!$F$12)),N(CHOOSE(ED44,CL44,CP44,CT44,CX44,DB44,DF44,DJ44,DN44))+N(CHOOSE(ED44,CM44,CQ44,CU44,CY44,DC44,DG44,DK44,DO44))))),0))</f>
        <v/>
      </c>
      <c r="EF44">
        <f>MIN(N(EE44),MAX(0,N(EC44)))</f>
        <v/>
      </c>
      <c r="EG44">
        <f>MAX(0,N(EC44)-N(EF44))</f>
        <v/>
      </c>
      <c r="EH44">
        <f>IFERROR(MATCH(5,OrderSnow,0),"")</f>
        <v/>
      </c>
      <c r="EI44">
        <f>IF(EH44="",0,IFERROR(IF(N(CHOOSE(EH44,CL44,CP44,CT44,CX44,DB44,DF44,DJ44,DN44))&lt;=0.005,0,MAX(0,N(CHOOSE(EH44,CL44,CP44,CT44,CX44,DB44,DF44,DJ44,DN44))+N(CHOOSE(EH44,CM44,CQ44,CU44,CY44,DC44,DG44,DK44,DO44))-MIN(N(CHOOSE(EH44,'Debt List'!$F$5,'Debt List'!$F$6,'Debt List'!$F$7,'Debt List'!$F$8,'Debt List'!$F$9,'Debt List'!$F$10,'Debt List'!$F$11,'Debt List'!$F$12)),N(CHOOSE(EH44,CL44,CP44,CT44,CX44,DB44,DF44,DJ44,DN44))+N(CHOOSE(EH44,CM44,CQ44,CU44,CY44,DC44,DG44,DK44,DO44))))),0))</f>
        <v/>
      </c>
      <c r="EJ44">
        <f>MIN(N(EI44),MAX(0,N(EG44)))</f>
        <v/>
      </c>
      <c r="EK44">
        <f>MAX(0,N(EG44)-N(EJ44))</f>
        <v/>
      </c>
      <c r="EL44">
        <f>IFERROR(MATCH(6,OrderSnow,0),"")</f>
        <v/>
      </c>
      <c r="EM44">
        <f>IF(EL44="",0,IFERROR(IF(N(CHOOSE(EL44,CL44,CP44,CT44,CX44,DB44,DF44,DJ44,DN44))&lt;=0.005,0,MAX(0,N(CHOOSE(EL44,CL44,CP44,CT44,CX44,DB44,DF44,DJ44,DN44))+N(CHOOSE(EL44,CM44,CQ44,CU44,CY44,DC44,DG44,DK44,DO44))-MIN(N(CHOOSE(EL44,'Debt List'!$F$5,'Debt List'!$F$6,'Debt List'!$F$7,'Debt List'!$F$8,'Debt List'!$F$9,'Debt List'!$F$10,'Debt List'!$F$11,'Debt List'!$F$12)),N(CHOOSE(EL44,CL44,CP44,CT44,CX44,DB44,DF44,DJ44,DN44))+N(CHOOSE(EL44,CM44,CQ44,CU44,CY44,DC44,DG44,DK44,DO44))))),0))</f>
        <v/>
      </c>
      <c r="EN44">
        <f>MIN(N(EM44),MAX(0,N(EK44)))</f>
        <v/>
      </c>
      <c r="EO44">
        <f>MAX(0,N(EK44)-N(EN44))</f>
        <v/>
      </c>
      <c r="EP44">
        <f>IFERROR(MATCH(7,OrderSnow,0),"")</f>
        <v/>
      </c>
      <c r="EQ44">
        <f>IF(EP44="",0,IFERROR(IF(N(CHOOSE(EP44,CL44,CP44,CT44,CX44,DB44,DF44,DJ44,DN44))&lt;=0.005,0,MAX(0,N(CHOOSE(EP44,CL44,CP44,CT44,CX44,DB44,DF44,DJ44,DN44))+N(CHOOSE(EP44,CM44,CQ44,CU44,CY44,DC44,DG44,DK44,DO44))-MIN(N(CHOOSE(EP44,'Debt List'!$F$5,'Debt List'!$F$6,'Debt List'!$F$7,'Debt List'!$F$8,'Debt List'!$F$9,'Debt List'!$F$10,'Debt List'!$F$11,'Debt List'!$F$12)),N(CHOOSE(EP44,CL44,CP44,CT44,CX44,DB44,DF44,DJ44,DN44))+N(CHOOSE(EP44,CM44,CQ44,CU44,CY44,DC44,DG44,DK44,DO44))))),0))</f>
        <v/>
      </c>
      <c r="ER44">
        <f>MIN(N(EQ44),MAX(0,N(EO44)))</f>
        <v/>
      </c>
      <c r="ES44">
        <f>MAX(0,N(EO44)-N(ER44))</f>
        <v/>
      </c>
      <c r="ET44">
        <f>IFERROR(MATCH(8,OrderSnow,0),"")</f>
        <v/>
      </c>
      <c r="EU44">
        <f>IF(ET44="",0,IFERROR(IF(N(CHOOSE(ET44,CL44,CP44,CT44,CX44,DB44,DF44,DJ44,DN44))&lt;=0.005,0,MAX(0,N(CHOOSE(ET44,CL44,CP44,CT44,CX44,DB44,DF44,DJ44,DN44))+N(CHOOSE(ET44,CM44,CQ44,CU44,CY44,DC44,DG44,DK44,DO44))-MIN(N(CHOOSE(ET44,'Debt List'!$F$5,'Debt List'!$F$6,'Debt List'!$F$7,'Debt List'!$F$8,'Debt List'!$F$9,'Debt List'!$F$10,'Debt List'!$F$11,'Debt List'!$F$12)),N(CHOOSE(ET44,CL44,CP44,CT44,CX44,DB44,DF44,DJ44,DN44))+N(CHOOSE(ET44,CM44,CQ44,CU44,CY44,DC44,DG44,DK44,DO44))))),0))</f>
        <v/>
      </c>
      <c r="EV44">
        <f>MIN(N(EU44),MAX(0,N(ES44)))</f>
        <v/>
      </c>
      <c r="EW44">
        <f>MAX(0,N(ES44)-N(EV44))</f>
        <v/>
      </c>
      <c r="FE44" t="n">
        <v>40</v>
      </c>
      <c r="FF44" s="115">
        <f>DATE(YEAR(PlanStart),MONTH(PlanStart)+FE44-1,1)</f>
        <v/>
      </c>
      <c r="FG44">
        <f>IF(AND(GT44&lt;&gt;"",N(CHOOSE(GT44,FN44,FR44,FV44,FZ44,GD44,GH44,GL44,GP44))&gt;0.005),INDEX(DebtNames,GT44),IF(AND(GX44&lt;&gt;"",N(CHOOSE(GX44,FN44,FR44,FV44,FZ44,GD44,GH44,GL44,GP44))&gt;0.005),INDEX(DebtNames,GX44),IF(AND(HB44&lt;&gt;"",N(CHOOSE(HB44,FN44,FR44,FV44,FZ44,GD44,GH44,GL44,GP44))&gt;0.005),INDEX(DebtNames,HB44),IF(AND(HF44&lt;&gt;"",N(CHOOSE(HF44,FN44,FR44,FV44,FZ44,GD44,GH44,GL44,GP44))&gt;0.005),INDEX(DebtNames,HF44),IF(AND(HJ44&lt;&gt;"",N(CHOOSE(HJ44,FN44,FR44,FV44,FZ44,GD44,GH44,GL44,GP44))&gt;0.005),INDEX(DebtNames,HJ44),IF(AND(HN44&lt;&gt;"",N(CHOOSE(HN44,FN44,FR44,FV44,FZ44,GD44,GH44,GL44,GP44))&gt;0.005),INDEX(DebtNames,HN44),IF(AND(HR44&lt;&gt;"",N(CHOOSE(HR44,FN44,FR44,FV44,FZ44,GD44,GH44,GL44,GP44))&gt;0.005),INDEX(DebtNames,HR44),IF(AND(HV44&lt;&gt;"",N(CHOOSE(HV44,FN44,FR44,FV44,FZ44,GD44,GH44,GL44,GP44))&gt;0.005),INDEX(DebtNames,HV44),""))))))))</f>
        <v/>
      </c>
      <c r="FH44">
        <f>N(HY44)</f>
        <v/>
      </c>
      <c r="FI44">
        <f>N(FP44)+N(FT44)+N(FX44)+N(GB44)+N(GF44)+N(GJ44)+N(GN44)+N(GR44)</f>
        <v/>
      </c>
      <c r="FJ44">
        <f>N(FO44)+N(FS44)+N(FW44)+N(GA44)+N(GE44)+N(GI44)+N(GM44)+N(GQ44)</f>
        <v/>
      </c>
      <c r="FK44">
        <f>N(FK43)+N(FJ44)</f>
        <v/>
      </c>
      <c r="FL44">
        <f>N(FQ44)+N(FU44)+N(FY44)+N(GC44)+N(GG44)+N(GK44)+N(GO44)+N(GS44)</f>
        <v/>
      </c>
      <c r="FM44">
        <f>(FQ44&gt;0.005)*1+(FU44&gt;0.005)*1+(FY44&gt;0.005)*1+(GC44&gt;0.005)*1+(GG44&gt;0.005)*1+(GK44&gt;0.005)*1+(GO44&gt;0.005)*1+(GS44&gt;0.005)*1</f>
        <v/>
      </c>
      <c r="FN44">
        <f>N(FQ43)</f>
        <v/>
      </c>
      <c r="FO44">
        <f>IF(N(FN44)&lt;=0.005,0,ROUND(N(FN44)*N('Debt List'!E5)/12,2))</f>
        <v/>
      </c>
      <c r="FP44">
        <f>IF(N(FN44)&lt;=0.005,0,MIN(N('Debt List'!F5),N(FN44)+N(FO44)))+((GT44=1)*GV44+(GX44=1)*GZ44+(HB44=1)*HD44+(HF44=1)*HH44+(HJ44=1)*HL44+(HN44=1)*HP44+(HR44=1)*HT44+(HV44=1)*HX44)</f>
        <v/>
      </c>
      <c r="FQ44">
        <f>MAX(0,ROUND(N(FN44)+N(FO44)-N(FP44),2))</f>
        <v/>
      </c>
      <c r="FR44">
        <f>N(FU43)</f>
        <v/>
      </c>
      <c r="FS44">
        <f>IF(N(FR44)&lt;=0.005,0,ROUND(N(FR44)*N('Debt List'!E6)/12,2))</f>
        <v/>
      </c>
      <c r="FT44">
        <f>IF(N(FR44)&lt;=0.005,0,MIN(N('Debt List'!F6),N(FR44)+N(FS44)))+((GT44=2)*GV44+(GX44=2)*GZ44+(HB44=2)*HD44+(HF44=2)*HH44+(HJ44=2)*HL44+(HN44=2)*HP44+(HR44=2)*HT44+(HV44=2)*HX44)</f>
        <v/>
      </c>
      <c r="FU44">
        <f>MAX(0,ROUND(N(FR44)+N(FS44)-N(FT44),2))</f>
        <v/>
      </c>
      <c r="FV44">
        <f>N(FY43)</f>
        <v/>
      </c>
      <c r="FW44">
        <f>IF(N(FV44)&lt;=0.005,0,ROUND(N(FV44)*N('Debt List'!E7)/12,2))</f>
        <v/>
      </c>
      <c r="FX44">
        <f>IF(N(FV44)&lt;=0.005,0,MIN(N('Debt List'!F7),N(FV44)+N(FW44)))+((GT44=3)*GV44+(GX44=3)*GZ44+(HB44=3)*HD44+(HF44=3)*HH44+(HJ44=3)*HL44+(HN44=3)*HP44+(HR44=3)*HT44+(HV44=3)*HX44)</f>
        <v/>
      </c>
      <c r="FY44">
        <f>MAX(0,ROUND(N(FV44)+N(FW44)-N(FX44),2))</f>
        <v/>
      </c>
      <c r="FZ44">
        <f>N(GC43)</f>
        <v/>
      </c>
      <c r="GA44">
        <f>IF(N(FZ44)&lt;=0.005,0,ROUND(N(FZ44)*N('Debt List'!E8)/12,2))</f>
        <v/>
      </c>
      <c r="GB44">
        <f>IF(N(FZ44)&lt;=0.005,0,MIN(N('Debt List'!F8),N(FZ44)+N(GA44)))+((GT44=4)*GV44+(GX44=4)*GZ44+(HB44=4)*HD44+(HF44=4)*HH44+(HJ44=4)*HL44+(HN44=4)*HP44+(HR44=4)*HT44+(HV44=4)*HX44)</f>
        <v/>
      </c>
      <c r="GC44">
        <f>MAX(0,ROUND(N(FZ44)+N(GA44)-N(GB44),2))</f>
        <v/>
      </c>
      <c r="GD44">
        <f>N(GG43)</f>
        <v/>
      </c>
      <c r="GE44">
        <f>IF(N(GD44)&lt;=0.005,0,ROUND(N(GD44)*N('Debt List'!E9)/12,2))</f>
        <v/>
      </c>
      <c r="GF44">
        <f>IF(N(GD44)&lt;=0.005,0,MIN(N('Debt List'!F9),N(GD44)+N(GE44)))+((GT44=5)*GV44+(GX44=5)*GZ44+(HB44=5)*HD44+(HF44=5)*HH44+(HJ44=5)*HL44+(HN44=5)*HP44+(HR44=5)*HT44+(HV44=5)*HX44)</f>
        <v/>
      </c>
      <c r="GG44">
        <f>MAX(0,ROUND(N(GD44)+N(GE44)-N(GF44),2))</f>
        <v/>
      </c>
      <c r="GH44">
        <f>N(GK43)</f>
        <v/>
      </c>
      <c r="GI44">
        <f>IF(N(GH44)&lt;=0.005,0,ROUND(N(GH44)*N('Debt List'!E10)/12,2))</f>
        <v/>
      </c>
      <c r="GJ44">
        <f>IF(N(GH44)&lt;=0.005,0,MIN(N('Debt List'!F10),N(GH44)+N(GI44)))+((GT44=6)*GV44+(GX44=6)*GZ44+(HB44=6)*HD44+(HF44=6)*HH44+(HJ44=6)*HL44+(HN44=6)*HP44+(HR44=6)*HT44+(HV44=6)*HX44)</f>
        <v/>
      </c>
      <c r="GK44">
        <f>MAX(0,ROUND(N(GH44)+N(GI44)-N(GJ44),2))</f>
        <v/>
      </c>
      <c r="GL44">
        <f>N(GO43)</f>
        <v/>
      </c>
      <c r="GM44">
        <f>IF(N(GL44)&lt;=0.005,0,ROUND(N(GL44)*N('Debt List'!E11)/12,2))</f>
        <v/>
      </c>
      <c r="GN44">
        <f>IF(N(GL44)&lt;=0.005,0,MIN(N('Debt List'!F11),N(GL44)+N(GM44)))+((GT44=7)*GV44+(GX44=7)*GZ44+(HB44=7)*HD44+(HF44=7)*HH44+(HJ44=7)*HL44+(HN44=7)*HP44+(HR44=7)*HT44+(HV44=7)*HX44)</f>
        <v/>
      </c>
      <c r="GO44">
        <f>MAX(0,ROUND(N(GL44)+N(GM44)-N(GN44),2))</f>
        <v/>
      </c>
      <c r="GP44">
        <f>N(GS43)</f>
        <v/>
      </c>
      <c r="GQ44">
        <f>IF(N(GP44)&lt;=0.005,0,ROUND(N(GP44)*N('Debt List'!E12)/12,2))</f>
        <v/>
      </c>
      <c r="GR44">
        <f>IF(N(GP44)&lt;=0.005,0,MIN(N('Debt List'!F12),N(GP44)+N(GQ44)))+((GT44=8)*GV44+(GX44=8)*GZ44+(HB44=8)*HD44+(HF44=8)*HH44+(HJ44=8)*HL44+(HN44=8)*HP44+(HR44=8)*HT44+(HV44=8)*HX44)</f>
        <v/>
      </c>
      <c r="GS44">
        <f>MAX(0,ROUND(N(GP44)+N(GQ44)-N(GR44),2))</f>
        <v/>
      </c>
      <c r="GT44">
        <f>IFERROR(MATCH(1,OrderAval,0),"")</f>
        <v/>
      </c>
      <c r="GU44">
        <f>IF(GT44="",0,IFERROR(IF(N(CHOOSE(GT44,FN44,FR44,FV44,FZ44,GD44,GH44,GL44,GP44))&lt;=0.005,0,MAX(0,N(CHOOSE(GT44,FN44,FR44,FV44,FZ44,GD44,GH44,GL44,GP44))+N(CHOOSE(GT44,FO44,FS44,FW44,GA44,GE44,GI44,GM44,GQ44))-MIN(N(CHOOSE(GT44,'Debt List'!$F$5,'Debt List'!$F$6,'Debt List'!$F$7,'Debt List'!$F$8,'Debt List'!$F$9,'Debt List'!$F$10,'Debt List'!$F$11,'Debt List'!$F$12)),N(CHOOSE(GT44,FN44,FR44,FV44,FZ44,GD44,GH44,GL44,GP44))+N(CHOOSE(GT44,FO44,FS44,FW44,GA44,GE44,GI44,GM44,GQ44))))),0))</f>
        <v/>
      </c>
      <c r="GV44">
        <f>MIN(N(GU44),MAX(0,N(ExtraPayment)))</f>
        <v/>
      </c>
      <c r="GW44">
        <f>MAX(0,N(ExtraPayment)-N(GV44))</f>
        <v/>
      </c>
      <c r="GX44">
        <f>IFERROR(MATCH(2,OrderAval,0),"")</f>
        <v/>
      </c>
      <c r="GY44">
        <f>IF(GX44="",0,IFERROR(IF(N(CHOOSE(GX44,FN44,FR44,FV44,FZ44,GD44,GH44,GL44,GP44))&lt;=0.005,0,MAX(0,N(CHOOSE(GX44,FN44,FR44,FV44,FZ44,GD44,GH44,GL44,GP44))+N(CHOOSE(GX44,FO44,FS44,FW44,GA44,GE44,GI44,GM44,GQ44))-MIN(N(CHOOSE(GX44,'Debt List'!$F$5,'Debt List'!$F$6,'Debt List'!$F$7,'Debt List'!$F$8,'Debt List'!$F$9,'Debt List'!$F$10,'Debt List'!$F$11,'Debt List'!$F$12)),N(CHOOSE(GX44,FN44,FR44,FV44,FZ44,GD44,GH44,GL44,GP44))+N(CHOOSE(GX44,FO44,FS44,FW44,GA44,GE44,GI44,GM44,GQ44))))),0))</f>
        <v/>
      </c>
      <c r="GZ44">
        <f>MIN(N(GY44),MAX(0,N(GW44)))</f>
        <v/>
      </c>
      <c r="HA44">
        <f>MAX(0,N(GW44)-N(GZ44))</f>
        <v/>
      </c>
      <c r="HB44">
        <f>IFERROR(MATCH(3,OrderAval,0),"")</f>
        <v/>
      </c>
      <c r="HC44">
        <f>IF(HB44="",0,IFERROR(IF(N(CHOOSE(HB44,FN44,FR44,FV44,FZ44,GD44,GH44,GL44,GP44))&lt;=0.005,0,MAX(0,N(CHOOSE(HB44,FN44,FR44,FV44,FZ44,GD44,GH44,GL44,GP44))+N(CHOOSE(HB44,FO44,FS44,FW44,GA44,GE44,GI44,GM44,GQ44))-MIN(N(CHOOSE(HB44,'Debt List'!$F$5,'Debt List'!$F$6,'Debt List'!$F$7,'Debt List'!$F$8,'Debt List'!$F$9,'Debt List'!$F$10,'Debt List'!$F$11,'Debt List'!$F$12)),N(CHOOSE(HB44,FN44,FR44,FV44,FZ44,GD44,GH44,GL44,GP44))+N(CHOOSE(HB44,FO44,FS44,FW44,GA44,GE44,GI44,GM44,GQ44))))),0))</f>
        <v/>
      </c>
      <c r="HD44">
        <f>MIN(N(HC44),MAX(0,N(HA44)))</f>
        <v/>
      </c>
      <c r="HE44">
        <f>MAX(0,N(HA44)-N(HD44))</f>
        <v/>
      </c>
      <c r="HF44">
        <f>IFERROR(MATCH(4,OrderAval,0),"")</f>
        <v/>
      </c>
      <c r="HG44">
        <f>IF(HF44="",0,IFERROR(IF(N(CHOOSE(HF44,FN44,FR44,FV44,FZ44,GD44,GH44,GL44,GP44))&lt;=0.005,0,MAX(0,N(CHOOSE(HF44,FN44,FR44,FV44,FZ44,GD44,GH44,GL44,GP44))+N(CHOOSE(HF44,FO44,FS44,FW44,GA44,GE44,GI44,GM44,GQ44))-MIN(N(CHOOSE(HF44,'Debt List'!$F$5,'Debt List'!$F$6,'Debt List'!$F$7,'Debt List'!$F$8,'Debt List'!$F$9,'Debt List'!$F$10,'Debt List'!$F$11,'Debt List'!$F$12)),N(CHOOSE(HF44,FN44,FR44,FV44,FZ44,GD44,GH44,GL44,GP44))+N(CHOOSE(HF44,FO44,FS44,FW44,GA44,GE44,GI44,GM44,GQ44))))),0))</f>
        <v/>
      </c>
      <c r="HH44">
        <f>MIN(N(HG44),MAX(0,N(HE44)))</f>
        <v/>
      </c>
      <c r="HI44">
        <f>MAX(0,N(HE44)-N(HH44))</f>
        <v/>
      </c>
      <c r="HJ44">
        <f>IFERROR(MATCH(5,OrderAval,0),"")</f>
        <v/>
      </c>
      <c r="HK44">
        <f>IF(HJ44="",0,IFERROR(IF(N(CHOOSE(HJ44,FN44,FR44,FV44,FZ44,GD44,GH44,GL44,GP44))&lt;=0.005,0,MAX(0,N(CHOOSE(HJ44,FN44,FR44,FV44,FZ44,GD44,GH44,GL44,GP44))+N(CHOOSE(HJ44,FO44,FS44,FW44,GA44,GE44,GI44,GM44,GQ44))-MIN(N(CHOOSE(HJ44,'Debt List'!$F$5,'Debt List'!$F$6,'Debt List'!$F$7,'Debt List'!$F$8,'Debt List'!$F$9,'Debt List'!$F$10,'Debt List'!$F$11,'Debt List'!$F$12)),N(CHOOSE(HJ44,FN44,FR44,FV44,FZ44,GD44,GH44,GL44,GP44))+N(CHOOSE(HJ44,FO44,FS44,FW44,GA44,GE44,GI44,GM44,GQ44))))),0))</f>
        <v/>
      </c>
      <c r="HL44">
        <f>MIN(N(HK44),MAX(0,N(HI44)))</f>
        <v/>
      </c>
      <c r="HM44">
        <f>MAX(0,N(HI44)-N(HL44))</f>
        <v/>
      </c>
      <c r="HN44">
        <f>IFERROR(MATCH(6,OrderAval,0),"")</f>
        <v/>
      </c>
      <c r="HO44">
        <f>IF(HN44="",0,IFERROR(IF(N(CHOOSE(HN44,FN44,FR44,FV44,FZ44,GD44,GH44,GL44,GP44))&lt;=0.005,0,MAX(0,N(CHOOSE(HN44,FN44,FR44,FV44,FZ44,GD44,GH44,GL44,GP44))+N(CHOOSE(HN44,FO44,FS44,FW44,GA44,GE44,GI44,GM44,GQ44))-MIN(N(CHOOSE(HN44,'Debt List'!$F$5,'Debt List'!$F$6,'Debt List'!$F$7,'Debt List'!$F$8,'Debt List'!$F$9,'Debt List'!$F$10,'Debt List'!$F$11,'Debt List'!$F$12)),N(CHOOSE(HN44,FN44,FR44,FV44,FZ44,GD44,GH44,GL44,GP44))+N(CHOOSE(HN44,FO44,FS44,FW44,GA44,GE44,GI44,GM44,GQ44))))),0))</f>
        <v/>
      </c>
      <c r="HP44">
        <f>MIN(N(HO44),MAX(0,N(HM44)))</f>
        <v/>
      </c>
      <c r="HQ44">
        <f>MAX(0,N(HM44)-N(HP44))</f>
        <v/>
      </c>
      <c r="HR44">
        <f>IFERROR(MATCH(7,OrderAval,0),"")</f>
        <v/>
      </c>
      <c r="HS44">
        <f>IF(HR44="",0,IFERROR(IF(N(CHOOSE(HR44,FN44,FR44,FV44,FZ44,GD44,GH44,GL44,GP44))&lt;=0.005,0,MAX(0,N(CHOOSE(HR44,FN44,FR44,FV44,FZ44,GD44,GH44,GL44,GP44))+N(CHOOSE(HR44,FO44,FS44,FW44,GA44,GE44,GI44,GM44,GQ44))-MIN(N(CHOOSE(HR44,'Debt List'!$F$5,'Debt List'!$F$6,'Debt List'!$F$7,'Debt List'!$F$8,'Debt List'!$F$9,'Debt List'!$F$10,'Debt List'!$F$11,'Debt List'!$F$12)),N(CHOOSE(HR44,FN44,FR44,FV44,FZ44,GD44,GH44,GL44,GP44))+N(CHOOSE(HR44,FO44,FS44,FW44,GA44,GE44,GI44,GM44,GQ44))))),0))</f>
        <v/>
      </c>
      <c r="HT44">
        <f>MIN(N(HS44),MAX(0,N(HQ44)))</f>
        <v/>
      </c>
      <c r="HU44">
        <f>MAX(0,N(HQ44)-N(HT44))</f>
        <v/>
      </c>
      <c r="HV44">
        <f>IFERROR(MATCH(8,OrderAval,0),"")</f>
        <v/>
      </c>
      <c r="HW44">
        <f>IF(HV44="",0,IFERROR(IF(N(CHOOSE(HV44,FN44,FR44,FV44,FZ44,GD44,GH44,GL44,GP44))&lt;=0.005,0,MAX(0,N(CHOOSE(HV44,FN44,FR44,FV44,FZ44,GD44,GH44,GL44,GP44))+N(CHOOSE(HV44,FO44,FS44,FW44,GA44,GE44,GI44,GM44,GQ44))-MIN(N(CHOOSE(HV44,'Debt List'!$F$5,'Debt List'!$F$6,'Debt List'!$F$7,'Debt List'!$F$8,'Debt List'!$F$9,'Debt List'!$F$10,'Debt List'!$F$11,'Debt List'!$F$12)),N(CHOOSE(HV44,FN44,FR44,FV44,FZ44,GD44,GH44,GL44,GP44))+N(CHOOSE(HV44,FO44,FS44,FW44,GA44,GE44,GI44,GM44,GQ44))))),0))</f>
        <v/>
      </c>
      <c r="HX44">
        <f>MIN(N(HW44),MAX(0,N(HU44)))</f>
        <v/>
      </c>
      <c r="HY44">
        <f>MAX(0,N(HU44)-N(HX44))</f>
        <v/>
      </c>
    </row>
    <row r="45">
      <c r="A45" t="n">
        <v>41</v>
      </c>
      <c r="B45" s="115">
        <f>DATE(YEAR(PlanStart),MONTH(PlanStart)+A45-1,1)</f>
        <v/>
      </c>
      <c r="C45">
        <f>IF(AND(AP45&lt;&gt;"",N(CHOOSE(AP45,J45,N45,R45,V45,Z45,AD45,AH45,AL45))&gt;0.005),INDEX(DebtNames,AP45),IF(AND(AT45&lt;&gt;"",N(CHOOSE(AT45,J45,N45,R45,V45,Z45,AD45,AH45,AL45))&gt;0.005),INDEX(DebtNames,AT45),IF(AND(AX45&lt;&gt;"",N(CHOOSE(AX45,J45,N45,R45,V45,Z45,AD45,AH45,AL45))&gt;0.005),INDEX(DebtNames,AX45),IF(AND(BB45&lt;&gt;"",N(CHOOSE(BB45,J45,N45,R45,V45,Z45,AD45,AH45,AL45))&gt;0.005),INDEX(DebtNames,BB45),IF(AND(BF45&lt;&gt;"",N(CHOOSE(BF45,J45,N45,R45,V45,Z45,AD45,AH45,AL45))&gt;0.005),INDEX(DebtNames,BF45),IF(AND(BJ45&lt;&gt;"",N(CHOOSE(BJ45,J45,N45,R45,V45,Z45,AD45,AH45,AL45))&gt;0.005),INDEX(DebtNames,BJ45),IF(AND(BN45&lt;&gt;"",N(CHOOSE(BN45,J45,N45,R45,V45,Z45,AD45,AH45,AL45))&gt;0.005),INDEX(DebtNames,BN45),IF(AND(BR45&lt;&gt;"",N(CHOOSE(BR45,J45,N45,R45,V45,Z45,AD45,AH45,AL45))&gt;0.005),INDEX(DebtNames,BR45),""))))))))</f>
        <v/>
      </c>
      <c r="D45">
        <f>N(BU45)</f>
        <v/>
      </c>
      <c r="E45">
        <f>N(L45)+N(P45)+N(T45)+N(X45)+N(AB45)+N(AF45)+N(AJ45)+N(AN45)</f>
        <v/>
      </c>
      <c r="F45">
        <f>N(K45)+N(O45)+N(S45)+N(W45)+N(AA45)+N(AE45)+N(AI45)+N(AM45)</f>
        <v/>
      </c>
      <c r="G45">
        <f>N(G44)+N(F45)</f>
        <v/>
      </c>
      <c r="H45">
        <f>N(M45)+N(Q45)+N(U45)+N(Y45)+N(AC45)+N(AG45)+N(AK45)+N(AO45)</f>
        <v/>
      </c>
      <c r="I45">
        <f>(M45&gt;0.005)*1+(Q45&gt;0.005)*1+(U45&gt;0.005)*1+(Y45&gt;0.005)*1+(AC45&gt;0.005)*1+(AG45&gt;0.005)*1+(AK45&gt;0.005)*1+(AO45&gt;0.005)*1</f>
        <v/>
      </c>
      <c r="J45">
        <f>N(M44)</f>
        <v/>
      </c>
      <c r="K45">
        <f>IF(N(J45)&lt;=0.005,0,ROUND(N(J45)*N('Debt List'!E5)/12,2))</f>
        <v/>
      </c>
      <c r="L45">
        <f>IF(N(J45)&lt;=0.005,0,MIN(N('Debt List'!F5),N(J45)+N(K45)))+((AP45=1)*AR45+(AT45=1)*AV45+(AX45=1)*AZ45+(BB45=1)*BD45+(BF45=1)*BH45+(BJ45=1)*BL45+(BN45=1)*BP45+(BR45=1)*BT45)</f>
        <v/>
      </c>
      <c r="M45">
        <f>MAX(0,ROUND(N(J45)+N(K45)-N(L45),2))</f>
        <v/>
      </c>
      <c r="N45">
        <f>N(Q44)</f>
        <v/>
      </c>
      <c r="O45">
        <f>IF(N(N45)&lt;=0.005,0,ROUND(N(N45)*N('Debt List'!E6)/12,2))</f>
        <v/>
      </c>
      <c r="P45">
        <f>IF(N(N45)&lt;=0.005,0,MIN(N('Debt List'!F6),N(N45)+N(O45)))+((AP45=2)*AR45+(AT45=2)*AV45+(AX45=2)*AZ45+(BB45=2)*BD45+(BF45=2)*BH45+(BJ45=2)*BL45+(BN45=2)*BP45+(BR45=2)*BT45)</f>
        <v/>
      </c>
      <c r="Q45">
        <f>MAX(0,ROUND(N(N45)+N(O45)-N(P45),2))</f>
        <v/>
      </c>
      <c r="R45">
        <f>N(U44)</f>
        <v/>
      </c>
      <c r="S45">
        <f>IF(N(R45)&lt;=0.005,0,ROUND(N(R45)*N('Debt List'!E7)/12,2))</f>
        <v/>
      </c>
      <c r="T45">
        <f>IF(N(R45)&lt;=0.005,0,MIN(N('Debt List'!F7),N(R45)+N(S45)))+((AP45=3)*AR45+(AT45=3)*AV45+(AX45=3)*AZ45+(BB45=3)*BD45+(BF45=3)*BH45+(BJ45=3)*BL45+(BN45=3)*BP45+(BR45=3)*BT45)</f>
        <v/>
      </c>
      <c r="U45">
        <f>MAX(0,ROUND(N(R45)+N(S45)-N(T45),2))</f>
        <v/>
      </c>
      <c r="V45">
        <f>N(Y44)</f>
        <v/>
      </c>
      <c r="W45">
        <f>IF(N(V45)&lt;=0.005,0,ROUND(N(V45)*N('Debt List'!E8)/12,2))</f>
        <v/>
      </c>
      <c r="X45">
        <f>IF(N(V45)&lt;=0.005,0,MIN(N('Debt List'!F8),N(V45)+N(W45)))+((AP45=4)*AR45+(AT45=4)*AV45+(AX45=4)*AZ45+(BB45=4)*BD45+(BF45=4)*BH45+(BJ45=4)*BL45+(BN45=4)*BP45+(BR45=4)*BT45)</f>
        <v/>
      </c>
      <c r="Y45">
        <f>MAX(0,ROUND(N(V45)+N(W45)-N(X45),2))</f>
        <v/>
      </c>
      <c r="Z45">
        <f>N(AC44)</f>
        <v/>
      </c>
      <c r="AA45">
        <f>IF(N(Z45)&lt;=0.005,0,ROUND(N(Z45)*N('Debt List'!E9)/12,2))</f>
        <v/>
      </c>
      <c r="AB45">
        <f>IF(N(Z45)&lt;=0.005,0,MIN(N('Debt List'!F9),N(Z45)+N(AA45)))+((AP45=5)*AR45+(AT45=5)*AV45+(AX45=5)*AZ45+(BB45=5)*BD45+(BF45=5)*BH45+(BJ45=5)*BL45+(BN45=5)*BP45+(BR45=5)*BT45)</f>
        <v/>
      </c>
      <c r="AC45">
        <f>MAX(0,ROUND(N(Z45)+N(AA45)-N(AB45),2))</f>
        <v/>
      </c>
      <c r="AD45">
        <f>N(AG44)</f>
        <v/>
      </c>
      <c r="AE45">
        <f>IF(N(AD45)&lt;=0.005,0,ROUND(N(AD45)*N('Debt List'!E10)/12,2))</f>
        <v/>
      </c>
      <c r="AF45">
        <f>IF(N(AD45)&lt;=0.005,0,MIN(N('Debt List'!F10),N(AD45)+N(AE45)))+((AP45=6)*AR45+(AT45=6)*AV45+(AX45=6)*AZ45+(BB45=6)*BD45+(BF45=6)*BH45+(BJ45=6)*BL45+(BN45=6)*BP45+(BR45=6)*BT45)</f>
        <v/>
      </c>
      <c r="AG45">
        <f>MAX(0,ROUND(N(AD45)+N(AE45)-N(AF45),2))</f>
        <v/>
      </c>
      <c r="AH45">
        <f>N(AK44)</f>
        <v/>
      </c>
      <c r="AI45">
        <f>IF(N(AH45)&lt;=0.005,0,ROUND(N(AH45)*N('Debt List'!E11)/12,2))</f>
        <v/>
      </c>
      <c r="AJ45">
        <f>IF(N(AH45)&lt;=0.005,0,MIN(N('Debt List'!F11),N(AH45)+N(AI45)))+((AP45=7)*AR45+(AT45=7)*AV45+(AX45=7)*AZ45+(BB45=7)*BD45+(BF45=7)*BH45+(BJ45=7)*BL45+(BN45=7)*BP45+(BR45=7)*BT45)</f>
        <v/>
      </c>
      <c r="AK45">
        <f>MAX(0,ROUND(N(AH45)+N(AI45)-N(AJ45),2))</f>
        <v/>
      </c>
      <c r="AL45">
        <f>N(AO44)</f>
        <v/>
      </c>
      <c r="AM45">
        <f>IF(N(AL45)&lt;=0.005,0,ROUND(N(AL45)*N('Debt List'!E12)/12,2))</f>
        <v/>
      </c>
      <c r="AN45">
        <f>IF(N(AL45)&lt;=0.005,0,MIN(N('Debt List'!F12),N(AL45)+N(AM45)))+((AP45=8)*AR45+(AT45=8)*AV45+(AX45=8)*AZ45+(BB45=8)*BD45+(BF45=8)*BH45+(BJ45=8)*BL45+(BN45=8)*BP45+(BR45=8)*BT45)</f>
        <v/>
      </c>
      <c r="AO45">
        <f>MAX(0,ROUND(N(AL45)+N(AM45)-N(AN45),2))</f>
        <v/>
      </c>
      <c r="AP45">
        <f>IFERROR(MATCH(1,OrderPlan,0),"")</f>
        <v/>
      </c>
      <c r="AQ45">
        <f>IF(AP45="",0,IFERROR(IF(N(CHOOSE(AP45,J45,N45,R45,V45,Z45,AD45,AH45,AL45))&lt;=0.005,0,MAX(0,N(CHOOSE(AP45,J45,N45,R45,V45,Z45,AD45,AH45,AL45))+N(CHOOSE(AP45,K45,O45,S45,W45,AA45,AE45,AI45,AM45))-MIN(N(CHOOSE(AP45,'Debt List'!$F$5,'Debt List'!$F$6,'Debt List'!$F$7,'Debt List'!$F$8,'Debt List'!$F$9,'Debt List'!$F$10,'Debt List'!$F$11,'Debt List'!$F$12)),N(CHOOSE(AP45,J45,N45,R45,V45,Z45,AD45,AH45,AL45))+N(CHOOSE(AP45,K45,O45,S45,W45,AA45,AE45,AI45,AM45))))),0))</f>
        <v/>
      </c>
      <c r="AR45">
        <f>MIN(N(AQ45),MAX(0,N(ExtraPayment)))</f>
        <v/>
      </c>
      <c r="AS45">
        <f>MAX(0,N(ExtraPayment)-N(AR45))</f>
        <v/>
      </c>
      <c r="AT45">
        <f>IFERROR(MATCH(2,OrderPlan,0),"")</f>
        <v/>
      </c>
      <c r="AU45">
        <f>IF(AT45="",0,IFERROR(IF(N(CHOOSE(AT45,J45,N45,R45,V45,Z45,AD45,AH45,AL45))&lt;=0.005,0,MAX(0,N(CHOOSE(AT45,J45,N45,R45,V45,Z45,AD45,AH45,AL45))+N(CHOOSE(AT45,K45,O45,S45,W45,AA45,AE45,AI45,AM45))-MIN(N(CHOOSE(AT45,'Debt List'!$F$5,'Debt List'!$F$6,'Debt List'!$F$7,'Debt List'!$F$8,'Debt List'!$F$9,'Debt List'!$F$10,'Debt List'!$F$11,'Debt List'!$F$12)),N(CHOOSE(AT45,J45,N45,R45,V45,Z45,AD45,AH45,AL45))+N(CHOOSE(AT45,K45,O45,S45,W45,AA45,AE45,AI45,AM45))))),0))</f>
        <v/>
      </c>
      <c r="AV45">
        <f>MIN(N(AU45),MAX(0,N(AS45)))</f>
        <v/>
      </c>
      <c r="AW45">
        <f>MAX(0,N(AS45)-N(AV45))</f>
        <v/>
      </c>
      <c r="AX45">
        <f>IFERROR(MATCH(3,OrderPlan,0),"")</f>
        <v/>
      </c>
      <c r="AY45">
        <f>IF(AX45="",0,IFERROR(IF(N(CHOOSE(AX45,J45,N45,R45,V45,Z45,AD45,AH45,AL45))&lt;=0.005,0,MAX(0,N(CHOOSE(AX45,J45,N45,R45,V45,Z45,AD45,AH45,AL45))+N(CHOOSE(AX45,K45,O45,S45,W45,AA45,AE45,AI45,AM45))-MIN(N(CHOOSE(AX45,'Debt List'!$F$5,'Debt List'!$F$6,'Debt List'!$F$7,'Debt List'!$F$8,'Debt List'!$F$9,'Debt List'!$F$10,'Debt List'!$F$11,'Debt List'!$F$12)),N(CHOOSE(AX45,J45,N45,R45,V45,Z45,AD45,AH45,AL45))+N(CHOOSE(AX45,K45,O45,S45,W45,AA45,AE45,AI45,AM45))))),0))</f>
        <v/>
      </c>
      <c r="AZ45">
        <f>MIN(N(AY45),MAX(0,N(AW45)))</f>
        <v/>
      </c>
      <c r="BA45">
        <f>MAX(0,N(AW45)-N(AZ45))</f>
        <v/>
      </c>
      <c r="BB45">
        <f>IFERROR(MATCH(4,OrderPlan,0),"")</f>
        <v/>
      </c>
      <c r="BC45">
        <f>IF(BB45="",0,IFERROR(IF(N(CHOOSE(BB45,J45,N45,R45,V45,Z45,AD45,AH45,AL45))&lt;=0.005,0,MAX(0,N(CHOOSE(BB45,J45,N45,R45,V45,Z45,AD45,AH45,AL45))+N(CHOOSE(BB45,K45,O45,S45,W45,AA45,AE45,AI45,AM45))-MIN(N(CHOOSE(BB45,'Debt List'!$F$5,'Debt List'!$F$6,'Debt List'!$F$7,'Debt List'!$F$8,'Debt List'!$F$9,'Debt List'!$F$10,'Debt List'!$F$11,'Debt List'!$F$12)),N(CHOOSE(BB45,J45,N45,R45,V45,Z45,AD45,AH45,AL45))+N(CHOOSE(BB45,K45,O45,S45,W45,AA45,AE45,AI45,AM45))))),0))</f>
        <v/>
      </c>
      <c r="BD45">
        <f>MIN(N(BC45),MAX(0,N(BA45)))</f>
        <v/>
      </c>
      <c r="BE45">
        <f>MAX(0,N(BA45)-N(BD45))</f>
        <v/>
      </c>
      <c r="BF45">
        <f>IFERROR(MATCH(5,OrderPlan,0),"")</f>
        <v/>
      </c>
      <c r="BG45">
        <f>IF(BF45="",0,IFERROR(IF(N(CHOOSE(BF45,J45,N45,R45,V45,Z45,AD45,AH45,AL45))&lt;=0.005,0,MAX(0,N(CHOOSE(BF45,J45,N45,R45,V45,Z45,AD45,AH45,AL45))+N(CHOOSE(BF45,K45,O45,S45,W45,AA45,AE45,AI45,AM45))-MIN(N(CHOOSE(BF45,'Debt List'!$F$5,'Debt List'!$F$6,'Debt List'!$F$7,'Debt List'!$F$8,'Debt List'!$F$9,'Debt List'!$F$10,'Debt List'!$F$11,'Debt List'!$F$12)),N(CHOOSE(BF45,J45,N45,R45,V45,Z45,AD45,AH45,AL45))+N(CHOOSE(BF45,K45,O45,S45,W45,AA45,AE45,AI45,AM45))))),0))</f>
        <v/>
      </c>
      <c r="BH45">
        <f>MIN(N(BG45),MAX(0,N(BE45)))</f>
        <v/>
      </c>
      <c r="BI45">
        <f>MAX(0,N(BE45)-N(BH45))</f>
        <v/>
      </c>
      <c r="BJ45">
        <f>IFERROR(MATCH(6,OrderPlan,0),"")</f>
        <v/>
      </c>
      <c r="BK45">
        <f>IF(BJ45="",0,IFERROR(IF(N(CHOOSE(BJ45,J45,N45,R45,V45,Z45,AD45,AH45,AL45))&lt;=0.005,0,MAX(0,N(CHOOSE(BJ45,J45,N45,R45,V45,Z45,AD45,AH45,AL45))+N(CHOOSE(BJ45,K45,O45,S45,W45,AA45,AE45,AI45,AM45))-MIN(N(CHOOSE(BJ45,'Debt List'!$F$5,'Debt List'!$F$6,'Debt List'!$F$7,'Debt List'!$F$8,'Debt List'!$F$9,'Debt List'!$F$10,'Debt List'!$F$11,'Debt List'!$F$12)),N(CHOOSE(BJ45,J45,N45,R45,V45,Z45,AD45,AH45,AL45))+N(CHOOSE(BJ45,K45,O45,S45,W45,AA45,AE45,AI45,AM45))))),0))</f>
        <v/>
      </c>
      <c r="BL45">
        <f>MIN(N(BK45),MAX(0,N(BI45)))</f>
        <v/>
      </c>
      <c r="BM45">
        <f>MAX(0,N(BI45)-N(BL45))</f>
        <v/>
      </c>
      <c r="BN45">
        <f>IFERROR(MATCH(7,OrderPlan,0),"")</f>
        <v/>
      </c>
      <c r="BO45">
        <f>IF(BN45="",0,IFERROR(IF(N(CHOOSE(BN45,J45,N45,R45,V45,Z45,AD45,AH45,AL45))&lt;=0.005,0,MAX(0,N(CHOOSE(BN45,J45,N45,R45,V45,Z45,AD45,AH45,AL45))+N(CHOOSE(BN45,K45,O45,S45,W45,AA45,AE45,AI45,AM45))-MIN(N(CHOOSE(BN45,'Debt List'!$F$5,'Debt List'!$F$6,'Debt List'!$F$7,'Debt List'!$F$8,'Debt List'!$F$9,'Debt List'!$F$10,'Debt List'!$F$11,'Debt List'!$F$12)),N(CHOOSE(BN45,J45,N45,R45,V45,Z45,AD45,AH45,AL45))+N(CHOOSE(BN45,K45,O45,S45,W45,AA45,AE45,AI45,AM45))))),0))</f>
        <v/>
      </c>
      <c r="BP45">
        <f>MIN(N(BO45),MAX(0,N(BM45)))</f>
        <v/>
      </c>
      <c r="BQ45">
        <f>MAX(0,N(BM45)-N(BP45))</f>
        <v/>
      </c>
      <c r="BR45">
        <f>IFERROR(MATCH(8,OrderPlan,0),"")</f>
        <v/>
      </c>
      <c r="BS45">
        <f>IF(BR45="",0,IFERROR(IF(N(CHOOSE(BR45,J45,N45,R45,V45,Z45,AD45,AH45,AL45))&lt;=0.005,0,MAX(0,N(CHOOSE(BR45,J45,N45,R45,V45,Z45,AD45,AH45,AL45))+N(CHOOSE(BR45,K45,O45,S45,W45,AA45,AE45,AI45,AM45))-MIN(N(CHOOSE(BR45,'Debt List'!$F$5,'Debt List'!$F$6,'Debt List'!$F$7,'Debt List'!$F$8,'Debt List'!$F$9,'Debt List'!$F$10,'Debt List'!$F$11,'Debt List'!$F$12)),N(CHOOSE(BR45,J45,N45,R45,V45,Z45,AD45,AH45,AL45))+N(CHOOSE(BR45,K45,O45,S45,W45,AA45,AE45,AI45,AM45))))),0))</f>
        <v/>
      </c>
      <c r="BT45">
        <f>MIN(N(BS45),MAX(0,N(BQ45)))</f>
        <v/>
      </c>
      <c r="BU45">
        <f>MAX(0,N(BQ45)-N(BT45))</f>
        <v/>
      </c>
      <c r="CC45" t="n">
        <v>41</v>
      </c>
      <c r="CD45" s="115">
        <f>DATE(YEAR(PlanStart),MONTH(PlanStart)+CC45-1,1)</f>
        <v/>
      </c>
      <c r="CE45">
        <f>IF(AND(DR45&lt;&gt;"",N(CHOOSE(DR45,CL45,CP45,CT45,CX45,DB45,DF45,DJ45,DN45))&gt;0.005),INDEX(DebtNames,DR45),IF(AND(DV45&lt;&gt;"",N(CHOOSE(DV45,CL45,CP45,CT45,CX45,DB45,DF45,DJ45,DN45))&gt;0.005),INDEX(DebtNames,DV45),IF(AND(DZ45&lt;&gt;"",N(CHOOSE(DZ45,CL45,CP45,CT45,CX45,DB45,DF45,DJ45,DN45))&gt;0.005),INDEX(DebtNames,DZ45),IF(AND(ED45&lt;&gt;"",N(CHOOSE(ED45,CL45,CP45,CT45,CX45,DB45,DF45,DJ45,DN45))&gt;0.005),INDEX(DebtNames,ED45),IF(AND(EH45&lt;&gt;"",N(CHOOSE(EH45,CL45,CP45,CT45,CX45,DB45,DF45,DJ45,DN45))&gt;0.005),INDEX(DebtNames,EH45),IF(AND(EL45&lt;&gt;"",N(CHOOSE(EL45,CL45,CP45,CT45,CX45,DB45,DF45,DJ45,DN45))&gt;0.005),INDEX(DebtNames,EL45),IF(AND(EP45&lt;&gt;"",N(CHOOSE(EP45,CL45,CP45,CT45,CX45,DB45,DF45,DJ45,DN45))&gt;0.005),INDEX(DebtNames,EP45),IF(AND(ET45&lt;&gt;"",N(CHOOSE(ET45,CL45,CP45,CT45,CX45,DB45,DF45,DJ45,DN45))&gt;0.005),INDEX(DebtNames,ET45),""))))))))</f>
        <v/>
      </c>
      <c r="CF45">
        <f>N(EW45)</f>
        <v/>
      </c>
      <c r="CG45">
        <f>N(CN45)+N(CR45)+N(CV45)+N(CZ45)+N(DD45)+N(DH45)+N(DL45)+N(DP45)</f>
        <v/>
      </c>
      <c r="CH45">
        <f>N(CM45)+N(CQ45)+N(CU45)+N(CY45)+N(DC45)+N(DG45)+N(DK45)+N(DO45)</f>
        <v/>
      </c>
      <c r="CI45">
        <f>N(CI44)+N(CH45)</f>
        <v/>
      </c>
      <c r="CJ45">
        <f>N(CO45)+N(CS45)+N(CW45)+N(DA45)+N(DE45)+N(DI45)+N(DM45)+N(DQ45)</f>
        <v/>
      </c>
      <c r="CK45">
        <f>(CO45&gt;0.005)*1+(CS45&gt;0.005)*1+(CW45&gt;0.005)*1+(DA45&gt;0.005)*1+(DE45&gt;0.005)*1+(DI45&gt;0.005)*1+(DM45&gt;0.005)*1+(DQ45&gt;0.005)*1</f>
        <v/>
      </c>
      <c r="CL45">
        <f>N(CO44)</f>
        <v/>
      </c>
      <c r="CM45">
        <f>IF(N(CL45)&lt;=0.005,0,ROUND(N(CL45)*N('Debt List'!E5)/12,2))</f>
        <v/>
      </c>
      <c r="CN45">
        <f>IF(N(CL45)&lt;=0.005,0,MIN(N('Debt List'!F5),N(CL45)+N(CM45)))+((DR45=1)*DT45+(DV45=1)*DX45+(DZ45=1)*EB45+(ED45=1)*EF45+(EH45=1)*EJ45+(EL45=1)*EN45+(EP45=1)*ER45+(ET45=1)*EV45)</f>
        <v/>
      </c>
      <c r="CO45">
        <f>MAX(0,ROUND(N(CL45)+N(CM45)-N(CN45),2))</f>
        <v/>
      </c>
      <c r="CP45">
        <f>N(CS44)</f>
        <v/>
      </c>
      <c r="CQ45">
        <f>IF(N(CP45)&lt;=0.005,0,ROUND(N(CP45)*N('Debt List'!E6)/12,2))</f>
        <v/>
      </c>
      <c r="CR45">
        <f>IF(N(CP45)&lt;=0.005,0,MIN(N('Debt List'!F6),N(CP45)+N(CQ45)))+((DR45=2)*DT45+(DV45=2)*DX45+(DZ45=2)*EB45+(ED45=2)*EF45+(EH45=2)*EJ45+(EL45=2)*EN45+(EP45=2)*ER45+(ET45=2)*EV45)</f>
        <v/>
      </c>
      <c r="CS45">
        <f>MAX(0,ROUND(N(CP45)+N(CQ45)-N(CR45),2))</f>
        <v/>
      </c>
      <c r="CT45">
        <f>N(CW44)</f>
        <v/>
      </c>
      <c r="CU45">
        <f>IF(N(CT45)&lt;=0.005,0,ROUND(N(CT45)*N('Debt List'!E7)/12,2))</f>
        <v/>
      </c>
      <c r="CV45">
        <f>IF(N(CT45)&lt;=0.005,0,MIN(N('Debt List'!F7),N(CT45)+N(CU45)))+((DR45=3)*DT45+(DV45=3)*DX45+(DZ45=3)*EB45+(ED45=3)*EF45+(EH45=3)*EJ45+(EL45=3)*EN45+(EP45=3)*ER45+(ET45=3)*EV45)</f>
        <v/>
      </c>
      <c r="CW45">
        <f>MAX(0,ROUND(N(CT45)+N(CU45)-N(CV45),2))</f>
        <v/>
      </c>
      <c r="CX45">
        <f>N(DA44)</f>
        <v/>
      </c>
      <c r="CY45">
        <f>IF(N(CX45)&lt;=0.005,0,ROUND(N(CX45)*N('Debt List'!E8)/12,2))</f>
        <v/>
      </c>
      <c r="CZ45">
        <f>IF(N(CX45)&lt;=0.005,0,MIN(N('Debt List'!F8),N(CX45)+N(CY45)))+((DR45=4)*DT45+(DV45=4)*DX45+(DZ45=4)*EB45+(ED45=4)*EF45+(EH45=4)*EJ45+(EL45=4)*EN45+(EP45=4)*ER45+(ET45=4)*EV45)</f>
        <v/>
      </c>
      <c r="DA45">
        <f>MAX(0,ROUND(N(CX45)+N(CY45)-N(CZ45),2))</f>
        <v/>
      </c>
      <c r="DB45">
        <f>N(DE44)</f>
        <v/>
      </c>
      <c r="DC45">
        <f>IF(N(DB45)&lt;=0.005,0,ROUND(N(DB45)*N('Debt List'!E9)/12,2))</f>
        <v/>
      </c>
      <c r="DD45">
        <f>IF(N(DB45)&lt;=0.005,0,MIN(N('Debt List'!F9),N(DB45)+N(DC45)))+((DR45=5)*DT45+(DV45=5)*DX45+(DZ45=5)*EB45+(ED45=5)*EF45+(EH45=5)*EJ45+(EL45=5)*EN45+(EP45=5)*ER45+(ET45=5)*EV45)</f>
        <v/>
      </c>
      <c r="DE45">
        <f>MAX(0,ROUND(N(DB45)+N(DC45)-N(DD45),2))</f>
        <v/>
      </c>
      <c r="DF45">
        <f>N(DI44)</f>
        <v/>
      </c>
      <c r="DG45">
        <f>IF(N(DF45)&lt;=0.005,0,ROUND(N(DF45)*N('Debt List'!E10)/12,2))</f>
        <v/>
      </c>
      <c r="DH45">
        <f>IF(N(DF45)&lt;=0.005,0,MIN(N('Debt List'!F10),N(DF45)+N(DG45)))+((DR45=6)*DT45+(DV45=6)*DX45+(DZ45=6)*EB45+(ED45=6)*EF45+(EH45=6)*EJ45+(EL45=6)*EN45+(EP45=6)*ER45+(ET45=6)*EV45)</f>
        <v/>
      </c>
      <c r="DI45">
        <f>MAX(0,ROUND(N(DF45)+N(DG45)-N(DH45),2))</f>
        <v/>
      </c>
      <c r="DJ45">
        <f>N(DM44)</f>
        <v/>
      </c>
      <c r="DK45">
        <f>IF(N(DJ45)&lt;=0.005,0,ROUND(N(DJ45)*N('Debt List'!E11)/12,2))</f>
        <v/>
      </c>
      <c r="DL45">
        <f>IF(N(DJ45)&lt;=0.005,0,MIN(N('Debt List'!F11),N(DJ45)+N(DK45)))+((DR45=7)*DT45+(DV45=7)*DX45+(DZ45=7)*EB45+(ED45=7)*EF45+(EH45=7)*EJ45+(EL45=7)*EN45+(EP45=7)*ER45+(ET45=7)*EV45)</f>
        <v/>
      </c>
      <c r="DM45">
        <f>MAX(0,ROUND(N(DJ45)+N(DK45)-N(DL45),2))</f>
        <v/>
      </c>
      <c r="DN45">
        <f>N(DQ44)</f>
        <v/>
      </c>
      <c r="DO45">
        <f>IF(N(DN45)&lt;=0.005,0,ROUND(N(DN45)*N('Debt List'!E12)/12,2))</f>
        <v/>
      </c>
      <c r="DP45">
        <f>IF(N(DN45)&lt;=0.005,0,MIN(N('Debt List'!F12),N(DN45)+N(DO45)))+((DR45=8)*DT45+(DV45=8)*DX45+(DZ45=8)*EB45+(ED45=8)*EF45+(EH45=8)*EJ45+(EL45=8)*EN45+(EP45=8)*ER45+(ET45=8)*EV45)</f>
        <v/>
      </c>
      <c r="DQ45">
        <f>MAX(0,ROUND(N(DN45)+N(DO45)-N(DP45),2))</f>
        <v/>
      </c>
      <c r="DR45">
        <f>IFERROR(MATCH(1,OrderSnow,0),"")</f>
        <v/>
      </c>
      <c r="DS45">
        <f>IF(DR45="",0,IFERROR(IF(N(CHOOSE(DR45,CL45,CP45,CT45,CX45,DB45,DF45,DJ45,DN45))&lt;=0.005,0,MAX(0,N(CHOOSE(DR45,CL45,CP45,CT45,CX45,DB45,DF45,DJ45,DN45))+N(CHOOSE(DR45,CM45,CQ45,CU45,CY45,DC45,DG45,DK45,DO45))-MIN(N(CHOOSE(DR45,'Debt List'!$F$5,'Debt List'!$F$6,'Debt List'!$F$7,'Debt List'!$F$8,'Debt List'!$F$9,'Debt List'!$F$10,'Debt List'!$F$11,'Debt List'!$F$12)),N(CHOOSE(DR45,CL45,CP45,CT45,CX45,DB45,DF45,DJ45,DN45))+N(CHOOSE(DR45,CM45,CQ45,CU45,CY45,DC45,DG45,DK45,DO45))))),0))</f>
        <v/>
      </c>
      <c r="DT45">
        <f>MIN(N(DS45),MAX(0,N(ExtraPayment)))</f>
        <v/>
      </c>
      <c r="DU45">
        <f>MAX(0,N(ExtraPayment)-N(DT45))</f>
        <v/>
      </c>
      <c r="DV45">
        <f>IFERROR(MATCH(2,OrderSnow,0),"")</f>
        <v/>
      </c>
      <c r="DW45">
        <f>IF(DV45="",0,IFERROR(IF(N(CHOOSE(DV45,CL45,CP45,CT45,CX45,DB45,DF45,DJ45,DN45))&lt;=0.005,0,MAX(0,N(CHOOSE(DV45,CL45,CP45,CT45,CX45,DB45,DF45,DJ45,DN45))+N(CHOOSE(DV45,CM45,CQ45,CU45,CY45,DC45,DG45,DK45,DO45))-MIN(N(CHOOSE(DV45,'Debt List'!$F$5,'Debt List'!$F$6,'Debt List'!$F$7,'Debt List'!$F$8,'Debt List'!$F$9,'Debt List'!$F$10,'Debt List'!$F$11,'Debt List'!$F$12)),N(CHOOSE(DV45,CL45,CP45,CT45,CX45,DB45,DF45,DJ45,DN45))+N(CHOOSE(DV45,CM45,CQ45,CU45,CY45,DC45,DG45,DK45,DO45))))),0))</f>
        <v/>
      </c>
      <c r="DX45">
        <f>MIN(N(DW45),MAX(0,N(DU45)))</f>
        <v/>
      </c>
      <c r="DY45">
        <f>MAX(0,N(DU45)-N(DX45))</f>
        <v/>
      </c>
      <c r="DZ45">
        <f>IFERROR(MATCH(3,OrderSnow,0),"")</f>
        <v/>
      </c>
      <c r="EA45">
        <f>IF(DZ45="",0,IFERROR(IF(N(CHOOSE(DZ45,CL45,CP45,CT45,CX45,DB45,DF45,DJ45,DN45))&lt;=0.005,0,MAX(0,N(CHOOSE(DZ45,CL45,CP45,CT45,CX45,DB45,DF45,DJ45,DN45))+N(CHOOSE(DZ45,CM45,CQ45,CU45,CY45,DC45,DG45,DK45,DO45))-MIN(N(CHOOSE(DZ45,'Debt List'!$F$5,'Debt List'!$F$6,'Debt List'!$F$7,'Debt List'!$F$8,'Debt List'!$F$9,'Debt List'!$F$10,'Debt List'!$F$11,'Debt List'!$F$12)),N(CHOOSE(DZ45,CL45,CP45,CT45,CX45,DB45,DF45,DJ45,DN45))+N(CHOOSE(DZ45,CM45,CQ45,CU45,CY45,DC45,DG45,DK45,DO45))))),0))</f>
        <v/>
      </c>
      <c r="EB45">
        <f>MIN(N(EA45),MAX(0,N(DY45)))</f>
        <v/>
      </c>
      <c r="EC45">
        <f>MAX(0,N(DY45)-N(EB45))</f>
        <v/>
      </c>
      <c r="ED45">
        <f>IFERROR(MATCH(4,OrderSnow,0),"")</f>
        <v/>
      </c>
      <c r="EE45">
        <f>IF(ED45="",0,IFERROR(IF(N(CHOOSE(ED45,CL45,CP45,CT45,CX45,DB45,DF45,DJ45,DN45))&lt;=0.005,0,MAX(0,N(CHOOSE(ED45,CL45,CP45,CT45,CX45,DB45,DF45,DJ45,DN45))+N(CHOOSE(ED45,CM45,CQ45,CU45,CY45,DC45,DG45,DK45,DO45))-MIN(N(CHOOSE(ED45,'Debt List'!$F$5,'Debt List'!$F$6,'Debt List'!$F$7,'Debt List'!$F$8,'Debt List'!$F$9,'Debt List'!$F$10,'Debt List'!$F$11,'Debt List'!$F$12)),N(CHOOSE(ED45,CL45,CP45,CT45,CX45,DB45,DF45,DJ45,DN45))+N(CHOOSE(ED45,CM45,CQ45,CU45,CY45,DC45,DG45,DK45,DO45))))),0))</f>
        <v/>
      </c>
      <c r="EF45">
        <f>MIN(N(EE45),MAX(0,N(EC45)))</f>
        <v/>
      </c>
      <c r="EG45">
        <f>MAX(0,N(EC45)-N(EF45))</f>
        <v/>
      </c>
      <c r="EH45">
        <f>IFERROR(MATCH(5,OrderSnow,0),"")</f>
        <v/>
      </c>
      <c r="EI45">
        <f>IF(EH45="",0,IFERROR(IF(N(CHOOSE(EH45,CL45,CP45,CT45,CX45,DB45,DF45,DJ45,DN45))&lt;=0.005,0,MAX(0,N(CHOOSE(EH45,CL45,CP45,CT45,CX45,DB45,DF45,DJ45,DN45))+N(CHOOSE(EH45,CM45,CQ45,CU45,CY45,DC45,DG45,DK45,DO45))-MIN(N(CHOOSE(EH45,'Debt List'!$F$5,'Debt List'!$F$6,'Debt List'!$F$7,'Debt List'!$F$8,'Debt List'!$F$9,'Debt List'!$F$10,'Debt List'!$F$11,'Debt List'!$F$12)),N(CHOOSE(EH45,CL45,CP45,CT45,CX45,DB45,DF45,DJ45,DN45))+N(CHOOSE(EH45,CM45,CQ45,CU45,CY45,DC45,DG45,DK45,DO45))))),0))</f>
        <v/>
      </c>
      <c r="EJ45">
        <f>MIN(N(EI45),MAX(0,N(EG45)))</f>
        <v/>
      </c>
      <c r="EK45">
        <f>MAX(0,N(EG45)-N(EJ45))</f>
        <v/>
      </c>
      <c r="EL45">
        <f>IFERROR(MATCH(6,OrderSnow,0),"")</f>
        <v/>
      </c>
      <c r="EM45">
        <f>IF(EL45="",0,IFERROR(IF(N(CHOOSE(EL45,CL45,CP45,CT45,CX45,DB45,DF45,DJ45,DN45))&lt;=0.005,0,MAX(0,N(CHOOSE(EL45,CL45,CP45,CT45,CX45,DB45,DF45,DJ45,DN45))+N(CHOOSE(EL45,CM45,CQ45,CU45,CY45,DC45,DG45,DK45,DO45))-MIN(N(CHOOSE(EL45,'Debt List'!$F$5,'Debt List'!$F$6,'Debt List'!$F$7,'Debt List'!$F$8,'Debt List'!$F$9,'Debt List'!$F$10,'Debt List'!$F$11,'Debt List'!$F$12)),N(CHOOSE(EL45,CL45,CP45,CT45,CX45,DB45,DF45,DJ45,DN45))+N(CHOOSE(EL45,CM45,CQ45,CU45,CY45,DC45,DG45,DK45,DO45))))),0))</f>
        <v/>
      </c>
      <c r="EN45">
        <f>MIN(N(EM45),MAX(0,N(EK45)))</f>
        <v/>
      </c>
      <c r="EO45">
        <f>MAX(0,N(EK45)-N(EN45))</f>
        <v/>
      </c>
      <c r="EP45">
        <f>IFERROR(MATCH(7,OrderSnow,0),"")</f>
        <v/>
      </c>
      <c r="EQ45">
        <f>IF(EP45="",0,IFERROR(IF(N(CHOOSE(EP45,CL45,CP45,CT45,CX45,DB45,DF45,DJ45,DN45))&lt;=0.005,0,MAX(0,N(CHOOSE(EP45,CL45,CP45,CT45,CX45,DB45,DF45,DJ45,DN45))+N(CHOOSE(EP45,CM45,CQ45,CU45,CY45,DC45,DG45,DK45,DO45))-MIN(N(CHOOSE(EP45,'Debt List'!$F$5,'Debt List'!$F$6,'Debt List'!$F$7,'Debt List'!$F$8,'Debt List'!$F$9,'Debt List'!$F$10,'Debt List'!$F$11,'Debt List'!$F$12)),N(CHOOSE(EP45,CL45,CP45,CT45,CX45,DB45,DF45,DJ45,DN45))+N(CHOOSE(EP45,CM45,CQ45,CU45,CY45,DC45,DG45,DK45,DO45))))),0))</f>
        <v/>
      </c>
      <c r="ER45">
        <f>MIN(N(EQ45),MAX(0,N(EO45)))</f>
        <v/>
      </c>
      <c r="ES45">
        <f>MAX(0,N(EO45)-N(ER45))</f>
        <v/>
      </c>
      <c r="ET45">
        <f>IFERROR(MATCH(8,OrderSnow,0),"")</f>
        <v/>
      </c>
      <c r="EU45">
        <f>IF(ET45="",0,IFERROR(IF(N(CHOOSE(ET45,CL45,CP45,CT45,CX45,DB45,DF45,DJ45,DN45))&lt;=0.005,0,MAX(0,N(CHOOSE(ET45,CL45,CP45,CT45,CX45,DB45,DF45,DJ45,DN45))+N(CHOOSE(ET45,CM45,CQ45,CU45,CY45,DC45,DG45,DK45,DO45))-MIN(N(CHOOSE(ET45,'Debt List'!$F$5,'Debt List'!$F$6,'Debt List'!$F$7,'Debt List'!$F$8,'Debt List'!$F$9,'Debt List'!$F$10,'Debt List'!$F$11,'Debt List'!$F$12)),N(CHOOSE(ET45,CL45,CP45,CT45,CX45,DB45,DF45,DJ45,DN45))+N(CHOOSE(ET45,CM45,CQ45,CU45,CY45,DC45,DG45,DK45,DO45))))),0))</f>
        <v/>
      </c>
      <c r="EV45">
        <f>MIN(N(EU45),MAX(0,N(ES45)))</f>
        <v/>
      </c>
      <c r="EW45">
        <f>MAX(0,N(ES45)-N(EV45))</f>
        <v/>
      </c>
      <c r="FE45" t="n">
        <v>41</v>
      </c>
      <c r="FF45" s="115">
        <f>DATE(YEAR(PlanStart),MONTH(PlanStart)+FE45-1,1)</f>
        <v/>
      </c>
      <c r="FG45">
        <f>IF(AND(GT45&lt;&gt;"",N(CHOOSE(GT45,FN45,FR45,FV45,FZ45,GD45,GH45,GL45,GP45))&gt;0.005),INDEX(DebtNames,GT45),IF(AND(GX45&lt;&gt;"",N(CHOOSE(GX45,FN45,FR45,FV45,FZ45,GD45,GH45,GL45,GP45))&gt;0.005),INDEX(DebtNames,GX45),IF(AND(HB45&lt;&gt;"",N(CHOOSE(HB45,FN45,FR45,FV45,FZ45,GD45,GH45,GL45,GP45))&gt;0.005),INDEX(DebtNames,HB45),IF(AND(HF45&lt;&gt;"",N(CHOOSE(HF45,FN45,FR45,FV45,FZ45,GD45,GH45,GL45,GP45))&gt;0.005),INDEX(DebtNames,HF45),IF(AND(HJ45&lt;&gt;"",N(CHOOSE(HJ45,FN45,FR45,FV45,FZ45,GD45,GH45,GL45,GP45))&gt;0.005),INDEX(DebtNames,HJ45),IF(AND(HN45&lt;&gt;"",N(CHOOSE(HN45,FN45,FR45,FV45,FZ45,GD45,GH45,GL45,GP45))&gt;0.005),INDEX(DebtNames,HN45),IF(AND(HR45&lt;&gt;"",N(CHOOSE(HR45,FN45,FR45,FV45,FZ45,GD45,GH45,GL45,GP45))&gt;0.005),INDEX(DebtNames,HR45),IF(AND(HV45&lt;&gt;"",N(CHOOSE(HV45,FN45,FR45,FV45,FZ45,GD45,GH45,GL45,GP45))&gt;0.005),INDEX(DebtNames,HV45),""))))))))</f>
        <v/>
      </c>
      <c r="FH45">
        <f>N(HY45)</f>
        <v/>
      </c>
      <c r="FI45">
        <f>N(FP45)+N(FT45)+N(FX45)+N(GB45)+N(GF45)+N(GJ45)+N(GN45)+N(GR45)</f>
        <v/>
      </c>
      <c r="FJ45">
        <f>N(FO45)+N(FS45)+N(FW45)+N(GA45)+N(GE45)+N(GI45)+N(GM45)+N(GQ45)</f>
        <v/>
      </c>
      <c r="FK45">
        <f>N(FK44)+N(FJ45)</f>
        <v/>
      </c>
      <c r="FL45">
        <f>N(FQ45)+N(FU45)+N(FY45)+N(GC45)+N(GG45)+N(GK45)+N(GO45)+N(GS45)</f>
        <v/>
      </c>
      <c r="FM45">
        <f>(FQ45&gt;0.005)*1+(FU45&gt;0.005)*1+(FY45&gt;0.005)*1+(GC45&gt;0.005)*1+(GG45&gt;0.005)*1+(GK45&gt;0.005)*1+(GO45&gt;0.005)*1+(GS45&gt;0.005)*1</f>
        <v/>
      </c>
      <c r="FN45">
        <f>N(FQ44)</f>
        <v/>
      </c>
      <c r="FO45">
        <f>IF(N(FN45)&lt;=0.005,0,ROUND(N(FN45)*N('Debt List'!E5)/12,2))</f>
        <v/>
      </c>
      <c r="FP45">
        <f>IF(N(FN45)&lt;=0.005,0,MIN(N('Debt List'!F5),N(FN45)+N(FO45)))+((GT45=1)*GV45+(GX45=1)*GZ45+(HB45=1)*HD45+(HF45=1)*HH45+(HJ45=1)*HL45+(HN45=1)*HP45+(HR45=1)*HT45+(HV45=1)*HX45)</f>
        <v/>
      </c>
      <c r="FQ45">
        <f>MAX(0,ROUND(N(FN45)+N(FO45)-N(FP45),2))</f>
        <v/>
      </c>
      <c r="FR45">
        <f>N(FU44)</f>
        <v/>
      </c>
      <c r="FS45">
        <f>IF(N(FR45)&lt;=0.005,0,ROUND(N(FR45)*N('Debt List'!E6)/12,2))</f>
        <v/>
      </c>
      <c r="FT45">
        <f>IF(N(FR45)&lt;=0.005,0,MIN(N('Debt List'!F6),N(FR45)+N(FS45)))+((GT45=2)*GV45+(GX45=2)*GZ45+(HB45=2)*HD45+(HF45=2)*HH45+(HJ45=2)*HL45+(HN45=2)*HP45+(HR45=2)*HT45+(HV45=2)*HX45)</f>
        <v/>
      </c>
      <c r="FU45">
        <f>MAX(0,ROUND(N(FR45)+N(FS45)-N(FT45),2))</f>
        <v/>
      </c>
      <c r="FV45">
        <f>N(FY44)</f>
        <v/>
      </c>
      <c r="FW45">
        <f>IF(N(FV45)&lt;=0.005,0,ROUND(N(FV45)*N('Debt List'!E7)/12,2))</f>
        <v/>
      </c>
      <c r="FX45">
        <f>IF(N(FV45)&lt;=0.005,0,MIN(N('Debt List'!F7),N(FV45)+N(FW45)))+((GT45=3)*GV45+(GX45=3)*GZ45+(HB45=3)*HD45+(HF45=3)*HH45+(HJ45=3)*HL45+(HN45=3)*HP45+(HR45=3)*HT45+(HV45=3)*HX45)</f>
        <v/>
      </c>
      <c r="FY45">
        <f>MAX(0,ROUND(N(FV45)+N(FW45)-N(FX45),2))</f>
        <v/>
      </c>
      <c r="FZ45">
        <f>N(GC44)</f>
        <v/>
      </c>
      <c r="GA45">
        <f>IF(N(FZ45)&lt;=0.005,0,ROUND(N(FZ45)*N('Debt List'!E8)/12,2))</f>
        <v/>
      </c>
      <c r="GB45">
        <f>IF(N(FZ45)&lt;=0.005,0,MIN(N('Debt List'!F8),N(FZ45)+N(GA45)))+((GT45=4)*GV45+(GX45=4)*GZ45+(HB45=4)*HD45+(HF45=4)*HH45+(HJ45=4)*HL45+(HN45=4)*HP45+(HR45=4)*HT45+(HV45=4)*HX45)</f>
        <v/>
      </c>
      <c r="GC45">
        <f>MAX(0,ROUND(N(FZ45)+N(GA45)-N(GB45),2))</f>
        <v/>
      </c>
      <c r="GD45">
        <f>N(GG44)</f>
        <v/>
      </c>
      <c r="GE45">
        <f>IF(N(GD45)&lt;=0.005,0,ROUND(N(GD45)*N('Debt List'!E9)/12,2))</f>
        <v/>
      </c>
      <c r="GF45">
        <f>IF(N(GD45)&lt;=0.005,0,MIN(N('Debt List'!F9),N(GD45)+N(GE45)))+((GT45=5)*GV45+(GX45=5)*GZ45+(HB45=5)*HD45+(HF45=5)*HH45+(HJ45=5)*HL45+(HN45=5)*HP45+(HR45=5)*HT45+(HV45=5)*HX45)</f>
        <v/>
      </c>
      <c r="GG45">
        <f>MAX(0,ROUND(N(GD45)+N(GE45)-N(GF45),2))</f>
        <v/>
      </c>
      <c r="GH45">
        <f>N(GK44)</f>
        <v/>
      </c>
      <c r="GI45">
        <f>IF(N(GH45)&lt;=0.005,0,ROUND(N(GH45)*N('Debt List'!E10)/12,2))</f>
        <v/>
      </c>
      <c r="GJ45">
        <f>IF(N(GH45)&lt;=0.005,0,MIN(N('Debt List'!F10),N(GH45)+N(GI45)))+((GT45=6)*GV45+(GX45=6)*GZ45+(HB45=6)*HD45+(HF45=6)*HH45+(HJ45=6)*HL45+(HN45=6)*HP45+(HR45=6)*HT45+(HV45=6)*HX45)</f>
        <v/>
      </c>
      <c r="GK45">
        <f>MAX(0,ROUND(N(GH45)+N(GI45)-N(GJ45),2))</f>
        <v/>
      </c>
      <c r="GL45">
        <f>N(GO44)</f>
        <v/>
      </c>
      <c r="GM45">
        <f>IF(N(GL45)&lt;=0.005,0,ROUND(N(GL45)*N('Debt List'!E11)/12,2))</f>
        <v/>
      </c>
      <c r="GN45">
        <f>IF(N(GL45)&lt;=0.005,0,MIN(N('Debt List'!F11),N(GL45)+N(GM45)))+((GT45=7)*GV45+(GX45=7)*GZ45+(HB45=7)*HD45+(HF45=7)*HH45+(HJ45=7)*HL45+(HN45=7)*HP45+(HR45=7)*HT45+(HV45=7)*HX45)</f>
        <v/>
      </c>
      <c r="GO45">
        <f>MAX(0,ROUND(N(GL45)+N(GM45)-N(GN45),2))</f>
        <v/>
      </c>
      <c r="GP45">
        <f>N(GS44)</f>
        <v/>
      </c>
      <c r="GQ45">
        <f>IF(N(GP45)&lt;=0.005,0,ROUND(N(GP45)*N('Debt List'!E12)/12,2))</f>
        <v/>
      </c>
      <c r="GR45">
        <f>IF(N(GP45)&lt;=0.005,0,MIN(N('Debt List'!F12),N(GP45)+N(GQ45)))+((GT45=8)*GV45+(GX45=8)*GZ45+(HB45=8)*HD45+(HF45=8)*HH45+(HJ45=8)*HL45+(HN45=8)*HP45+(HR45=8)*HT45+(HV45=8)*HX45)</f>
        <v/>
      </c>
      <c r="GS45">
        <f>MAX(0,ROUND(N(GP45)+N(GQ45)-N(GR45),2))</f>
        <v/>
      </c>
      <c r="GT45">
        <f>IFERROR(MATCH(1,OrderAval,0),"")</f>
        <v/>
      </c>
      <c r="GU45">
        <f>IF(GT45="",0,IFERROR(IF(N(CHOOSE(GT45,FN45,FR45,FV45,FZ45,GD45,GH45,GL45,GP45))&lt;=0.005,0,MAX(0,N(CHOOSE(GT45,FN45,FR45,FV45,FZ45,GD45,GH45,GL45,GP45))+N(CHOOSE(GT45,FO45,FS45,FW45,GA45,GE45,GI45,GM45,GQ45))-MIN(N(CHOOSE(GT45,'Debt List'!$F$5,'Debt List'!$F$6,'Debt List'!$F$7,'Debt List'!$F$8,'Debt List'!$F$9,'Debt List'!$F$10,'Debt List'!$F$11,'Debt List'!$F$12)),N(CHOOSE(GT45,FN45,FR45,FV45,FZ45,GD45,GH45,GL45,GP45))+N(CHOOSE(GT45,FO45,FS45,FW45,GA45,GE45,GI45,GM45,GQ45))))),0))</f>
        <v/>
      </c>
      <c r="GV45">
        <f>MIN(N(GU45),MAX(0,N(ExtraPayment)))</f>
        <v/>
      </c>
      <c r="GW45">
        <f>MAX(0,N(ExtraPayment)-N(GV45))</f>
        <v/>
      </c>
      <c r="GX45">
        <f>IFERROR(MATCH(2,OrderAval,0),"")</f>
        <v/>
      </c>
      <c r="GY45">
        <f>IF(GX45="",0,IFERROR(IF(N(CHOOSE(GX45,FN45,FR45,FV45,FZ45,GD45,GH45,GL45,GP45))&lt;=0.005,0,MAX(0,N(CHOOSE(GX45,FN45,FR45,FV45,FZ45,GD45,GH45,GL45,GP45))+N(CHOOSE(GX45,FO45,FS45,FW45,GA45,GE45,GI45,GM45,GQ45))-MIN(N(CHOOSE(GX45,'Debt List'!$F$5,'Debt List'!$F$6,'Debt List'!$F$7,'Debt List'!$F$8,'Debt List'!$F$9,'Debt List'!$F$10,'Debt List'!$F$11,'Debt List'!$F$12)),N(CHOOSE(GX45,FN45,FR45,FV45,FZ45,GD45,GH45,GL45,GP45))+N(CHOOSE(GX45,FO45,FS45,FW45,GA45,GE45,GI45,GM45,GQ45))))),0))</f>
        <v/>
      </c>
      <c r="GZ45">
        <f>MIN(N(GY45),MAX(0,N(GW45)))</f>
        <v/>
      </c>
      <c r="HA45">
        <f>MAX(0,N(GW45)-N(GZ45))</f>
        <v/>
      </c>
      <c r="HB45">
        <f>IFERROR(MATCH(3,OrderAval,0),"")</f>
        <v/>
      </c>
      <c r="HC45">
        <f>IF(HB45="",0,IFERROR(IF(N(CHOOSE(HB45,FN45,FR45,FV45,FZ45,GD45,GH45,GL45,GP45))&lt;=0.005,0,MAX(0,N(CHOOSE(HB45,FN45,FR45,FV45,FZ45,GD45,GH45,GL45,GP45))+N(CHOOSE(HB45,FO45,FS45,FW45,GA45,GE45,GI45,GM45,GQ45))-MIN(N(CHOOSE(HB45,'Debt List'!$F$5,'Debt List'!$F$6,'Debt List'!$F$7,'Debt List'!$F$8,'Debt List'!$F$9,'Debt List'!$F$10,'Debt List'!$F$11,'Debt List'!$F$12)),N(CHOOSE(HB45,FN45,FR45,FV45,FZ45,GD45,GH45,GL45,GP45))+N(CHOOSE(HB45,FO45,FS45,FW45,GA45,GE45,GI45,GM45,GQ45))))),0))</f>
        <v/>
      </c>
      <c r="HD45">
        <f>MIN(N(HC45),MAX(0,N(HA45)))</f>
        <v/>
      </c>
      <c r="HE45">
        <f>MAX(0,N(HA45)-N(HD45))</f>
        <v/>
      </c>
      <c r="HF45">
        <f>IFERROR(MATCH(4,OrderAval,0),"")</f>
        <v/>
      </c>
      <c r="HG45">
        <f>IF(HF45="",0,IFERROR(IF(N(CHOOSE(HF45,FN45,FR45,FV45,FZ45,GD45,GH45,GL45,GP45))&lt;=0.005,0,MAX(0,N(CHOOSE(HF45,FN45,FR45,FV45,FZ45,GD45,GH45,GL45,GP45))+N(CHOOSE(HF45,FO45,FS45,FW45,GA45,GE45,GI45,GM45,GQ45))-MIN(N(CHOOSE(HF45,'Debt List'!$F$5,'Debt List'!$F$6,'Debt List'!$F$7,'Debt List'!$F$8,'Debt List'!$F$9,'Debt List'!$F$10,'Debt List'!$F$11,'Debt List'!$F$12)),N(CHOOSE(HF45,FN45,FR45,FV45,FZ45,GD45,GH45,GL45,GP45))+N(CHOOSE(HF45,FO45,FS45,FW45,GA45,GE45,GI45,GM45,GQ45))))),0))</f>
        <v/>
      </c>
      <c r="HH45">
        <f>MIN(N(HG45),MAX(0,N(HE45)))</f>
        <v/>
      </c>
      <c r="HI45">
        <f>MAX(0,N(HE45)-N(HH45))</f>
        <v/>
      </c>
      <c r="HJ45">
        <f>IFERROR(MATCH(5,OrderAval,0),"")</f>
        <v/>
      </c>
      <c r="HK45">
        <f>IF(HJ45="",0,IFERROR(IF(N(CHOOSE(HJ45,FN45,FR45,FV45,FZ45,GD45,GH45,GL45,GP45))&lt;=0.005,0,MAX(0,N(CHOOSE(HJ45,FN45,FR45,FV45,FZ45,GD45,GH45,GL45,GP45))+N(CHOOSE(HJ45,FO45,FS45,FW45,GA45,GE45,GI45,GM45,GQ45))-MIN(N(CHOOSE(HJ45,'Debt List'!$F$5,'Debt List'!$F$6,'Debt List'!$F$7,'Debt List'!$F$8,'Debt List'!$F$9,'Debt List'!$F$10,'Debt List'!$F$11,'Debt List'!$F$12)),N(CHOOSE(HJ45,FN45,FR45,FV45,FZ45,GD45,GH45,GL45,GP45))+N(CHOOSE(HJ45,FO45,FS45,FW45,GA45,GE45,GI45,GM45,GQ45))))),0))</f>
        <v/>
      </c>
      <c r="HL45">
        <f>MIN(N(HK45),MAX(0,N(HI45)))</f>
        <v/>
      </c>
      <c r="HM45">
        <f>MAX(0,N(HI45)-N(HL45))</f>
        <v/>
      </c>
      <c r="HN45">
        <f>IFERROR(MATCH(6,OrderAval,0),"")</f>
        <v/>
      </c>
      <c r="HO45">
        <f>IF(HN45="",0,IFERROR(IF(N(CHOOSE(HN45,FN45,FR45,FV45,FZ45,GD45,GH45,GL45,GP45))&lt;=0.005,0,MAX(0,N(CHOOSE(HN45,FN45,FR45,FV45,FZ45,GD45,GH45,GL45,GP45))+N(CHOOSE(HN45,FO45,FS45,FW45,GA45,GE45,GI45,GM45,GQ45))-MIN(N(CHOOSE(HN45,'Debt List'!$F$5,'Debt List'!$F$6,'Debt List'!$F$7,'Debt List'!$F$8,'Debt List'!$F$9,'Debt List'!$F$10,'Debt List'!$F$11,'Debt List'!$F$12)),N(CHOOSE(HN45,FN45,FR45,FV45,FZ45,GD45,GH45,GL45,GP45))+N(CHOOSE(HN45,FO45,FS45,FW45,GA45,GE45,GI45,GM45,GQ45))))),0))</f>
        <v/>
      </c>
      <c r="HP45">
        <f>MIN(N(HO45),MAX(0,N(HM45)))</f>
        <v/>
      </c>
      <c r="HQ45">
        <f>MAX(0,N(HM45)-N(HP45))</f>
        <v/>
      </c>
      <c r="HR45">
        <f>IFERROR(MATCH(7,OrderAval,0),"")</f>
        <v/>
      </c>
      <c r="HS45">
        <f>IF(HR45="",0,IFERROR(IF(N(CHOOSE(HR45,FN45,FR45,FV45,FZ45,GD45,GH45,GL45,GP45))&lt;=0.005,0,MAX(0,N(CHOOSE(HR45,FN45,FR45,FV45,FZ45,GD45,GH45,GL45,GP45))+N(CHOOSE(HR45,FO45,FS45,FW45,GA45,GE45,GI45,GM45,GQ45))-MIN(N(CHOOSE(HR45,'Debt List'!$F$5,'Debt List'!$F$6,'Debt List'!$F$7,'Debt List'!$F$8,'Debt List'!$F$9,'Debt List'!$F$10,'Debt List'!$F$11,'Debt List'!$F$12)),N(CHOOSE(HR45,FN45,FR45,FV45,FZ45,GD45,GH45,GL45,GP45))+N(CHOOSE(HR45,FO45,FS45,FW45,GA45,GE45,GI45,GM45,GQ45))))),0))</f>
        <v/>
      </c>
      <c r="HT45">
        <f>MIN(N(HS45),MAX(0,N(HQ45)))</f>
        <v/>
      </c>
      <c r="HU45">
        <f>MAX(0,N(HQ45)-N(HT45))</f>
        <v/>
      </c>
      <c r="HV45">
        <f>IFERROR(MATCH(8,OrderAval,0),"")</f>
        <v/>
      </c>
      <c r="HW45">
        <f>IF(HV45="",0,IFERROR(IF(N(CHOOSE(HV45,FN45,FR45,FV45,FZ45,GD45,GH45,GL45,GP45))&lt;=0.005,0,MAX(0,N(CHOOSE(HV45,FN45,FR45,FV45,FZ45,GD45,GH45,GL45,GP45))+N(CHOOSE(HV45,FO45,FS45,FW45,GA45,GE45,GI45,GM45,GQ45))-MIN(N(CHOOSE(HV45,'Debt List'!$F$5,'Debt List'!$F$6,'Debt List'!$F$7,'Debt List'!$F$8,'Debt List'!$F$9,'Debt List'!$F$10,'Debt List'!$F$11,'Debt List'!$F$12)),N(CHOOSE(HV45,FN45,FR45,FV45,FZ45,GD45,GH45,GL45,GP45))+N(CHOOSE(HV45,FO45,FS45,FW45,GA45,GE45,GI45,GM45,GQ45))))),0))</f>
        <v/>
      </c>
      <c r="HX45">
        <f>MIN(N(HW45),MAX(0,N(HU45)))</f>
        <v/>
      </c>
      <c r="HY45">
        <f>MAX(0,N(HU45)-N(HX45))</f>
        <v/>
      </c>
    </row>
    <row r="46">
      <c r="A46" t="n">
        <v>42</v>
      </c>
      <c r="B46" s="115">
        <f>DATE(YEAR(PlanStart),MONTH(PlanStart)+A46-1,1)</f>
        <v/>
      </c>
      <c r="C46">
        <f>IF(AND(AP46&lt;&gt;"",N(CHOOSE(AP46,J46,N46,R46,V46,Z46,AD46,AH46,AL46))&gt;0.005),INDEX(DebtNames,AP46),IF(AND(AT46&lt;&gt;"",N(CHOOSE(AT46,J46,N46,R46,V46,Z46,AD46,AH46,AL46))&gt;0.005),INDEX(DebtNames,AT46),IF(AND(AX46&lt;&gt;"",N(CHOOSE(AX46,J46,N46,R46,V46,Z46,AD46,AH46,AL46))&gt;0.005),INDEX(DebtNames,AX46),IF(AND(BB46&lt;&gt;"",N(CHOOSE(BB46,J46,N46,R46,V46,Z46,AD46,AH46,AL46))&gt;0.005),INDEX(DebtNames,BB46),IF(AND(BF46&lt;&gt;"",N(CHOOSE(BF46,J46,N46,R46,V46,Z46,AD46,AH46,AL46))&gt;0.005),INDEX(DebtNames,BF46),IF(AND(BJ46&lt;&gt;"",N(CHOOSE(BJ46,J46,N46,R46,V46,Z46,AD46,AH46,AL46))&gt;0.005),INDEX(DebtNames,BJ46),IF(AND(BN46&lt;&gt;"",N(CHOOSE(BN46,J46,N46,R46,V46,Z46,AD46,AH46,AL46))&gt;0.005),INDEX(DebtNames,BN46),IF(AND(BR46&lt;&gt;"",N(CHOOSE(BR46,J46,N46,R46,V46,Z46,AD46,AH46,AL46))&gt;0.005),INDEX(DebtNames,BR46),""))))))))</f>
        <v/>
      </c>
      <c r="D46">
        <f>N(BU46)</f>
        <v/>
      </c>
      <c r="E46">
        <f>N(L46)+N(P46)+N(T46)+N(X46)+N(AB46)+N(AF46)+N(AJ46)+N(AN46)</f>
        <v/>
      </c>
      <c r="F46">
        <f>N(K46)+N(O46)+N(S46)+N(W46)+N(AA46)+N(AE46)+N(AI46)+N(AM46)</f>
        <v/>
      </c>
      <c r="G46">
        <f>N(G45)+N(F46)</f>
        <v/>
      </c>
      <c r="H46">
        <f>N(M46)+N(Q46)+N(U46)+N(Y46)+N(AC46)+N(AG46)+N(AK46)+N(AO46)</f>
        <v/>
      </c>
      <c r="I46">
        <f>(M46&gt;0.005)*1+(Q46&gt;0.005)*1+(U46&gt;0.005)*1+(Y46&gt;0.005)*1+(AC46&gt;0.005)*1+(AG46&gt;0.005)*1+(AK46&gt;0.005)*1+(AO46&gt;0.005)*1</f>
        <v/>
      </c>
      <c r="J46">
        <f>N(M45)</f>
        <v/>
      </c>
      <c r="K46">
        <f>IF(N(J46)&lt;=0.005,0,ROUND(N(J46)*N('Debt List'!E5)/12,2))</f>
        <v/>
      </c>
      <c r="L46">
        <f>IF(N(J46)&lt;=0.005,0,MIN(N('Debt List'!F5),N(J46)+N(K46)))+((AP46=1)*AR46+(AT46=1)*AV46+(AX46=1)*AZ46+(BB46=1)*BD46+(BF46=1)*BH46+(BJ46=1)*BL46+(BN46=1)*BP46+(BR46=1)*BT46)</f>
        <v/>
      </c>
      <c r="M46">
        <f>MAX(0,ROUND(N(J46)+N(K46)-N(L46),2))</f>
        <v/>
      </c>
      <c r="N46">
        <f>N(Q45)</f>
        <v/>
      </c>
      <c r="O46">
        <f>IF(N(N46)&lt;=0.005,0,ROUND(N(N46)*N('Debt List'!E6)/12,2))</f>
        <v/>
      </c>
      <c r="P46">
        <f>IF(N(N46)&lt;=0.005,0,MIN(N('Debt List'!F6),N(N46)+N(O46)))+((AP46=2)*AR46+(AT46=2)*AV46+(AX46=2)*AZ46+(BB46=2)*BD46+(BF46=2)*BH46+(BJ46=2)*BL46+(BN46=2)*BP46+(BR46=2)*BT46)</f>
        <v/>
      </c>
      <c r="Q46">
        <f>MAX(0,ROUND(N(N46)+N(O46)-N(P46),2))</f>
        <v/>
      </c>
      <c r="R46">
        <f>N(U45)</f>
        <v/>
      </c>
      <c r="S46">
        <f>IF(N(R46)&lt;=0.005,0,ROUND(N(R46)*N('Debt List'!E7)/12,2))</f>
        <v/>
      </c>
      <c r="T46">
        <f>IF(N(R46)&lt;=0.005,0,MIN(N('Debt List'!F7),N(R46)+N(S46)))+((AP46=3)*AR46+(AT46=3)*AV46+(AX46=3)*AZ46+(BB46=3)*BD46+(BF46=3)*BH46+(BJ46=3)*BL46+(BN46=3)*BP46+(BR46=3)*BT46)</f>
        <v/>
      </c>
      <c r="U46">
        <f>MAX(0,ROUND(N(R46)+N(S46)-N(T46),2))</f>
        <v/>
      </c>
      <c r="V46">
        <f>N(Y45)</f>
        <v/>
      </c>
      <c r="W46">
        <f>IF(N(V46)&lt;=0.005,0,ROUND(N(V46)*N('Debt List'!E8)/12,2))</f>
        <v/>
      </c>
      <c r="X46">
        <f>IF(N(V46)&lt;=0.005,0,MIN(N('Debt List'!F8),N(V46)+N(W46)))+((AP46=4)*AR46+(AT46=4)*AV46+(AX46=4)*AZ46+(BB46=4)*BD46+(BF46=4)*BH46+(BJ46=4)*BL46+(BN46=4)*BP46+(BR46=4)*BT46)</f>
        <v/>
      </c>
      <c r="Y46">
        <f>MAX(0,ROUND(N(V46)+N(W46)-N(X46),2))</f>
        <v/>
      </c>
      <c r="Z46">
        <f>N(AC45)</f>
        <v/>
      </c>
      <c r="AA46">
        <f>IF(N(Z46)&lt;=0.005,0,ROUND(N(Z46)*N('Debt List'!E9)/12,2))</f>
        <v/>
      </c>
      <c r="AB46">
        <f>IF(N(Z46)&lt;=0.005,0,MIN(N('Debt List'!F9),N(Z46)+N(AA46)))+((AP46=5)*AR46+(AT46=5)*AV46+(AX46=5)*AZ46+(BB46=5)*BD46+(BF46=5)*BH46+(BJ46=5)*BL46+(BN46=5)*BP46+(BR46=5)*BT46)</f>
        <v/>
      </c>
      <c r="AC46">
        <f>MAX(0,ROUND(N(Z46)+N(AA46)-N(AB46),2))</f>
        <v/>
      </c>
      <c r="AD46">
        <f>N(AG45)</f>
        <v/>
      </c>
      <c r="AE46">
        <f>IF(N(AD46)&lt;=0.005,0,ROUND(N(AD46)*N('Debt List'!E10)/12,2))</f>
        <v/>
      </c>
      <c r="AF46">
        <f>IF(N(AD46)&lt;=0.005,0,MIN(N('Debt List'!F10),N(AD46)+N(AE46)))+((AP46=6)*AR46+(AT46=6)*AV46+(AX46=6)*AZ46+(BB46=6)*BD46+(BF46=6)*BH46+(BJ46=6)*BL46+(BN46=6)*BP46+(BR46=6)*BT46)</f>
        <v/>
      </c>
      <c r="AG46">
        <f>MAX(0,ROUND(N(AD46)+N(AE46)-N(AF46),2))</f>
        <v/>
      </c>
      <c r="AH46">
        <f>N(AK45)</f>
        <v/>
      </c>
      <c r="AI46">
        <f>IF(N(AH46)&lt;=0.005,0,ROUND(N(AH46)*N('Debt List'!E11)/12,2))</f>
        <v/>
      </c>
      <c r="AJ46">
        <f>IF(N(AH46)&lt;=0.005,0,MIN(N('Debt List'!F11),N(AH46)+N(AI46)))+((AP46=7)*AR46+(AT46=7)*AV46+(AX46=7)*AZ46+(BB46=7)*BD46+(BF46=7)*BH46+(BJ46=7)*BL46+(BN46=7)*BP46+(BR46=7)*BT46)</f>
        <v/>
      </c>
      <c r="AK46">
        <f>MAX(0,ROUND(N(AH46)+N(AI46)-N(AJ46),2))</f>
        <v/>
      </c>
      <c r="AL46">
        <f>N(AO45)</f>
        <v/>
      </c>
      <c r="AM46">
        <f>IF(N(AL46)&lt;=0.005,0,ROUND(N(AL46)*N('Debt List'!E12)/12,2))</f>
        <v/>
      </c>
      <c r="AN46">
        <f>IF(N(AL46)&lt;=0.005,0,MIN(N('Debt List'!F12),N(AL46)+N(AM46)))+((AP46=8)*AR46+(AT46=8)*AV46+(AX46=8)*AZ46+(BB46=8)*BD46+(BF46=8)*BH46+(BJ46=8)*BL46+(BN46=8)*BP46+(BR46=8)*BT46)</f>
        <v/>
      </c>
      <c r="AO46">
        <f>MAX(0,ROUND(N(AL46)+N(AM46)-N(AN46),2))</f>
        <v/>
      </c>
      <c r="AP46">
        <f>IFERROR(MATCH(1,OrderPlan,0),"")</f>
        <v/>
      </c>
      <c r="AQ46">
        <f>IF(AP46="",0,IFERROR(IF(N(CHOOSE(AP46,J46,N46,R46,V46,Z46,AD46,AH46,AL46))&lt;=0.005,0,MAX(0,N(CHOOSE(AP46,J46,N46,R46,V46,Z46,AD46,AH46,AL46))+N(CHOOSE(AP46,K46,O46,S46,W46,AA46,AE46,AI46,AM46))-MIN(N(CHOOSE(AP46,'Debt List'!$F$5,'Debt List'!$F$6,'Debt List'!$F$7,'Debt List'!$F$8,'Debt List'!$F$9,'Debt List'!$F$10,'Debt List'!$F$11,'Debt List'!$F$12)),N(CHOOSE(AP46,J46,N46,R46,V46,Z46,AD46,AH46,AL46))+N(CHOOSE(AP46,K46,O46,S46,W46,AA46,AE46,AI46,AM46))))),0))</f>
        <v/>
      </c>
      <c r="AR46">
        <f>MIN(N(AQ46),MAX(0,N(ExtraPayment)))</f>
        <v/>
      </c>
      <c r="AS46">
        <f>MAX(0,N(ExtraPayment)-N(AR46))</f>
        <v/>
      </c>
      <c r="AT46">
        <f>IFERROR(MATCH(2,OrderPlan,0),"")</f>
        <v/>
      </c>
      <c r="AU46">
        <f>IF(AT46="",0,IFERROR(IF(N(CHOOSE(AT46,J46,N46,R46,V46,Z46,AD46,AH46,AL46))&lt;=0.005,0,MAX(0,N(CHOOSE(AT46,J46,N46,R46,V46,Z46,AD46,AH46,AL46))+N(CHOOSE(AT46,K46,O46,S46,W46,AA46,AE46,AI46,AM46))-MIN(N(CHOOSE(AT46,'Debt List'!$F$5,'Debt List'!$F$6,'Debt List'!$F$7,'Debt List'!$F$8,'Debt List'!$F$9,'Debt List'!$F$10,'Debt List'!$F$11,'Debt List'!$F$12)),N(CHOOSE(AT46,J46,N46,R46,V46,Z46,AD46,AH46,AL46))+N(CHOOSE(AT46,K46,O46,S46,W46,AA46,AE46,AI46,AM46))))),0))</f>
        <v/>
      </c>
      <c r="AV46">
        <f>MIN(N(AU46),MAX(0,N(AS46)))</f>
        <v/>
      </c>
      <c r="AW46">
        <f>MAX(0,N(AS46)-N(AV46))</f>
        <v/>
      </c>
      <c r="AX46">
        <f>IFERROR(MATCH(3,OrderPlan,0),"")</f>
        <v/>
      </c>
      <c r="AY46">
        <f>IF(AX46="",0,IFERROR(IF(N(CHOOSE(AX46,J46,N46,R46,V46,Z46,AD46,AH46,AL46))&lt;=0.005,0,MAX(0,N(CHOOSE(AX46,J46,N46,R46,V46,Z46,AD46,AH46,AL46))+N(CHOOSE(AX46,K46,O46,S46,W46,AA46,AE46,AI46,AM46))-MIN(N(CHOOSE(AX46,'Debt List'!$F$5,'Debt List'!$F$6,'Debt List'!$F$7,'Debt List'!$F$8,'Debt List'!$F$9,'Debt List'!$F$10,'Debt List'!$F$11,'Debt List'!$F$12)),N(CHOOSE(AX46,J46,N46,R46,V46,Z46,AD46,AH46,AL46))+N(CHOOSE(AX46,K46,O46,S46,W46,AA46,AE46,AI46,AM46))))),0))</f>
        <v/>
      </c>
      <c r="AZ46">
        <f>MIN(N(AY46),MAX(0,N(AW46)))</f>
        <v/>
      </c>
      <c r="BA46">
        <f>MAX(0,N(AW46)-N(AZ46))</f>
        <v/>
      </c>
      <c r="BB46">
        <f>IFERROR(MATCH(4,OrderPlan,0),"")</f>
        <v/>
      </c>
      <c r="BC46">
        <f>IF(BB46="",0,IFERROR(IF(N(CHOOSE(BB46,J46,N46,R46,V46,Z46,AD46,AH46,AL46))&lt;=0.005,0,MAX(0,N(CHOOSE(BB46,J46,N46,R46,V46,Z46,AD46,AH46,AL46))+N(CHOOSE(BB46,K46,O46,S46,W46,AA46,AE46,AI46,AM46))-MIN(N(CHOOSE(BB46,'Debt List'!$F$5,'Debt List'!$F$6,'Debt List'!$F$7,'Debt List'!$F$8,'Debt List'!$F$9,'Debt List'!$F$10,'Debt List'!$F$11,'Debt List'!$F$12)),N(CHOOSE(BB46,J46,N46,R46,V46,Z46,AD46,AH46,AL46))+N(CHOOSE(BB46,K46,O46,S46,W46,AA46,AE46,AI46,AM46))))),0))</f>
        <v/>
      </c>
      <c r="BD46">
        <f>MIN(N(BC46),MAX(0,N(BA46)))</f>
        <v/>
      </c>
      <c r="BE46">
        <f>MAX(0,N(BA46)-N(BD46))</f>
        <v/>
      </c>
      <c r="BF46">
        <f>IFERROR(MATCH(5,OrderPlan,0),"")</f>
        <v/>
      </c>
      <c r="BG46">
        <f>IF(BF46="",0,IFERROR(IF(N(CHOOSE(BF46,J46,N46,R46,V46,Z46,AD46,AH46,AL46))&lt;=0.005,0,MAX(0,N(CHOOSE(BF46,J46,N46,R46,V46,Z46,AD46,AH46,AL46))+N(CHOOSE(BF46,K46,O46,S46,W46,AA46,AE46,AI46,AM46))-MIN(N(CHOOSE(BF46,'Debt List'!$F$5,'Debt List'!$F$6,'Debt List'!$F$7,'Debt List'!$F$8,'Debt List'!$F$9,'Debt List'!$F$10,'Debt List'!$F$11,'Debt List'!$F$12)),N(CHOOSE(BF46,J46,N46,R46,V46,Z46,AD46,AH46,AL46))+N(CHOOSE(BF46,K46,O46,S46,W46,AA46,AE46,AI46,AM46))))),0))</f>
        <v/>
      </c>
      <c r="BH46">
        <f>MIN(N(BG46),MAX(0,N(BE46)))</f>
        <v/>
      </c>
      <c r="BI46">
        <f>MAX(0,N(BE46)-N(BH46))</f>
        <v/>
      </c>
      <c r="BJ46">
        <f>IFERROR(MATCH(6,OrderPlan,0),"")</f>
        <v/>
      </c>
      <c r="BK46">
        <f>IF(BJ46="",0,IFERROR(IF(N(CHOOSE(BJ46,J46,N46,R46,V46,Z46,AD46,AH46,AL46))&lt;=0.005,0,MAX(0,N(CHOOSE(BJ46,J46,N46,R46,V46,Z46,AD46,AH46,AL46))+N(CHOOSE(BJ46,K46,O46,S46,W46,AA46,AE46,AI46,AM46))-MIN(N(CHOOSE(BJ46,'Debt List'!$F$5,'Debt List'!$F$6,'Debt List'!$F$7,'Debt List'!$F$8,'Debt List'!$F$9,'Debt List'!$F$10,'Debt List'!$F$11,'Debt List'!$F$12)),N(CHOOSE(BJ46,J46,N46,R46,V46,Z46,AD46,AH46,AL46))+N(CHOOSE(BJ46,K46,O46,S46,W46,AA46,AE46,AI46,AM46))))),0))</f>
        <v/>
      </c>
      <c r="BL46">
        <f>MIN(N(BK46),MAX(0,N(BI46)))</f>
        <v/>
      </c>
      <c r="BM46">
        <f>MAX(0,N(BI46)-N(BL46))</f>
        <v/>
      </c>
      <c r="BN46">
        <f>IFERROR(MATCH(7,OrderPlan,0),"")</f>
        <v/>
      </c>
      <c r="BO46">
        <f>IF(BN46="",0,IFERROR(IF(N(CHOOSE(BN46,J46,N46,R46,V46,Z46,AD46,AH46,AL46))&lt;=0.005,0,MAX(0,N(CHOOSE(BN46,J46,N46,R46,V46,Z46,AD46,AH46,AL46))+N(CHOOSE(BN46,K46,O46,S46,W46,AA46,AE46,AI46,AM46))-MIN(N(CHOOSE(BN46,'Debt List'!$F$5,'Debt List'!$F$6,'Debt List'!$F$7,'Debt List'!$F$8,'Debt List'!$F$9,'Debt List'!$F$10,'Debt List'!$F$11,'Debt List'!$F$12)),N(CHOOSE(BN46,J46,N46,R46,V46,Z46,AD46,AH46,AL46))+N(CHOOSE(BN46,K46,O46,S46,W46,AA46,AE46,AI46,AM46))))),0))</f>
        <v/>
      </c>
      <c r="BP46">
        <f>MIN(N(BO46),MAX(0,N(BM46)))</f>
        <v/>
      </c>
      <c r="BQ46">
        <f>MAX(0,N(BM46)-N(BP46))</f>
        <v/>
      </c>
      <c r="BR46">
        <f>IFERROR(MATCH(8,OrderPlan,0),"")</f>
        <v/>
      </c>
      <c r="BS46">
        <f>IF(BR46="",0,IFERROR(IF(N(CHOOSE(BR46,J46,N46,R46,V46,Z46,AD46,AH46,AL46))&lt;=0.005,0,MAX(0,N(CHOOSE(BR46,J46,N46,R46,V46,Z46,AD46,AH46,AL46))+N(CHOOSE(BR46,K46,O46,S46,W46,AA46,AE46,AI46,AM46))-MIN(N(CHOOSE(BR46,'Debt List'!$F$5,'Debt List'!$F$6,'Debt List'!$F$7,'Debt List'!$F$8,'Debt List'!$F$9,'Debt List'!$F$10,'Debt List'!$F$11,'Debt List'!$F$12)),N(CHOOSE(BR46,J46,N46,R46,V46,Z46,AD46,AH46,AL46))+N(CHOOSE(BR46,K46,O46,S46,W46,AA46,AE46,AI46,AM46))))),0))</f>
        <v/>
      </c>
      <c r="BT46">
        <f>MIN(N(BS46),MAX(0,N(BQ46)))</f>
        <v/>
      </c>
      <c r="BU46">
        <f>MAX(0,N(BQ46)-N(BT46))</f>
        <v/>
      </c>
      <c r="CC46" t="n">
        <v>42</v>
      </c>
      <c r="CD46" s="115">
        <f>DATE(YEAR(PlanStart),MONTH(PlanStart)+CC46-1,1)</f>
        <v/>
      </c>
      <c r="CE46">
        <f>IF(AND(DR46&lt;&gt;"",N(CHOOSE(DR46,CL46,CP46,CT46,CX46,DB46,DF46,DJ46,DN46))&gt;0.005),INDEX(DebtNames,DR46),IF(AND(DV46&lt;&gt;"",N(CHOOSE(DV46,CL46,CP46,CT46,CX46,DB46,DF46,DJ46,DN46))&gt;0.005),INDEX(DebtNames,DV46),IF(AND(DZ46&lt;&gt;"",N(CHOOSE(DZ46,CL46,CP46,CT46,CX46,DB46,DF46,DJ46,DN46))&gt;0.005),INDEX(DebtNames,DZ46),IF(AND(ED46&lt;&gt;"",N(CHOOSE(ED46,CL46,CP46,CT46,CX46,DB46,DF46,DJ46,DN46))&gt;0.005),INDEX(DebtNames,ED46),IF(AND(EH46&lt;&gt;"",N(CHOOSE(EH46,CL46,CP46,CT46,CX46,DB46,DF46,DJ46,DN46))&gt;0.005),INDEX(DebtNames,EH46),IF(AND(EL46&lt;&gt;"",N(CHOOSE(EL46,CL46,CP46,CT46,CX46,DB46,DF46,DJ46,DN46))&gt;0.005),INDEX(DebtNames,EL46),IF(AND(EP46&lt;&gt;"",N(CHOOSE(EP46,CL46,CP46,CT46,CX46,DB46,DF46,DJ46,DN46))&gt;0.005),INDEX(DebtNames,EP46),IF(AND(ET46&lt;&gt;"",N(CHOOSE(ET46,CL46,CP46,CT46,CX46,DB46,DF46,DJ46,DN46))&gt;0.005),INDEX(DebtNames,ET46),""))))))))</f>
        <v/>
      </c>
      <c r="CF46">
        <f>N(EW46)</f>
        <v/>
      </c>
      <c r="CG46">
        <f>N(CN46)+N(CR46)+N(CV46)+N(CZ46)+N(DD46)+N(DH46)+N(DL46)+N(DP46)</f>
        <v/>
      </c>
      <c r="CH46">
        <f>N(CM46)+N(CQ46)+N(CU46)+N(CY46)+N(DC46)+N(DG46)+N(DK46)+N(DO46)</f>
        <v/>
      </c>
      <c r="CI46">
        <f>N(CI45)+N(CH46)</f>
        <v/>
      </c>
      <c r="CJ46">
        <f>N(CO46)+N(CS46)+N(CW46)+N(DA46)+N(DE46)+N(DI46)+N(DM46)+N(DQ46)</f>
        <v/>
      </c>
      <c r="CK46">
        <f>(CO46&gt;0.005)*1+(CS46&gt;0.005)*1+(CW46&gt;0.005)*1+(DA46&gt;0.005)*1+(DE46&gt;0.005)*1+(DI46&gt;0.005)*1+(DM46&gt;0.005)*1+(DQ46&gt;0.005)*1</f>
        <v/>
      </c>
      <c r="CL46">
        <f>N(CO45)</f>
        <v/>
      </c>
      <c r="CM46">
        <f>IF(N(CL46)&lt;=0.005,0,ROUND(N(CL46)*N('Debt List'!E5)/12,2))</f>
        <v/>
      </c>
      <c r="CN46">
        <f>IF(N(CL46)&lt;=0.005,0,MIN(N('Debt List'!F5),N(CL46)+N(CM46)))+((DR46=1)*DT46+(DV46=1)*DX46+(DZ46=1)*EB46+(ED46=1)*EF46+(EH46=1)*EJ46+(EL46=1)*EN46+(EP46=1)*ER46+(ET46=1)*EV46)</f>
        <v/>
      </c>
      <c r="CO46">
        <f>MAX(0,ROUND(N(CL46)+N(CM46)-N(CN46),2))</f>
        <v/>
      </c>
      <c r="CP46">
        <f>N(CS45)</f>
        <v/>
      </c>
      <c r="CQ46">
        <f>IF(N(CP46)&lt;=0.005,0,ROUND(N(CP46)*N('Debt List'!E6)/12,2))</f>
        <v/>
      </c>
      <c r="CR46">
        <f>IF(N(CP46)&lt;=0.005,0,MIN(N('Debt List'!F6),N(CP46)+N(CQ46)))+((DR46=2)*DT46+(DV46=2)*DX46+(DZ46=2)*EB46+(ED46=2)*EF46+(EH46=2)*EJ46+(EL46=2)*EN46+(EP46=2)*ER46+(ET46=2)*EV46)</f>
        <v/>
      </c>
      <c r="CS46">
        <f>MAX(0,ROUND(N(CP46)+N(CQ46)-N(CR46),2))</f>
        <v/>
      </c>
      <c r="CT46">
        <f>N(CW45)</f>
        <v/>
      </c>
      <c r="CU46">
        <f>IF(N(CT46)&lt;=0.005,0,ROUND(N(CT46)*N('Debt List'!E7)/12,2))</f>
        <v/>
      </c>
      <c r="CV46">
        <f>IF(N(CT46)&lt;=0.005,0,MIN(N('Debt List'!F7),N(CT46)+N(CU46)))+((DR46=3)*DT46+(DV46=3)*DX46+(DZ46=3)*EB46+(ED46=3)*EF46+(EH46=3)*EJ46+(EL46=3)*EN46+(EP46=3)*ER46+(ET46=3)*EV46)</f>
        <v/>
      </c>
      <c r="CW46">
        <f>MAX(0,ROUND(N(CT46)+N(CU46)-N(CV46),2))</f>
        <v/>
      </c>
      <c r="CX46">
        <f>N(DA45)</f>
        <v/>
      </c>
      <c r="CY46">
        <f>IF(N(CX46)&lt;=0.005,0,ROUND(N(CX46)*N('Debt List'!E8)/12,2))</f>
        <v/>
      </c>
      <c r="CZ46">
        <f>IF(N(CX46)&lt;=0.005,0,MIN(N('Debt List'!F8),N(CX46)+N(CY46)))+((DR46=4)*DT46+(DV46=4)*DX46+(DZ46=4)*EB46+(ED46=4)*EF46+(EH46=4)*EJ46+(EL46=4)*EN46+(EP46=4)*ER46+(ET46=4)*EV46)</f>
        <v/>
      </c>
      <c r="DA46">
        <f>MAX(0,ROUND(N(CX46)+N(CY46)-N(CZ46),2))</f>
        <v/>
      </c>
      <c r="DB46">
        <f>N(DE45)</f>
        <v/>
      </c>
      <c r="DC46">
        <f>IF(N(DB46)&lt;=0.005,0,ROUND(N(DB46)*N('Debt List'!E9)/12,2))</f>
        <v/>
      </c>
      <c r="DD46">
        <f>IF(N(DB46)&lt;=0.005,0,MIN(N('Debt List'!F9),N(DB46)+N(DC46)))+((DR46=5)*DT46+(DV46=5)*DX46+(DZ46=5)*EB46+(ED46=5)*EF46+(EH46=5)*EJ46+(EL46=5)*EN46+(EP46=5)*ER46+(ET46=5)*EV46)</f>
        <v/>
      </c>
      <c r="DE46">
        <f>MAX(0,ROUND(N(DB46)+N(DC46)-N(DD46),2))</f>
        <v/>
      </c>
      <c r="DF46">
        <f>N(DI45)</f>
        <v/>
      </c>
      <c r="DG46">
        <f>IF(N(DF46)&lt;=0.005,0,ROUND(N(DF46)*N('Debt List'!E10)/12,2))</f>
        <v/>
      </c>
      <c r="DH46">
        <f>IF(N(DF46)&lt;=0.005,0,MIN(N('Debt List'!F10),N(DF46)+N(DG46)))+((DR46=6)*DT46+(DV46=6)*DX46+(DZ46=6)*EB46+(ED46=6)*EF46+(EH46=6)*EJ46+(EL46=6)*EN46+(EP46=6)*ER46+(ET46=6)*EV46)</f>
        <v/>
      </c>
      <c r="DI46">
        <f>MAX(0,ROUND(N(DF46)+N(DG46)-N(DH46),2))</f>
        <v/>
      </c>
      <c r="DJ46">
        <f>N(DM45)</f>
        <v/>
      </c>
      <c r="DK46">
        <f>IF(N(DJ46)&lt;=0.005,0,ROUND(N(DJ46)*N('Debt List'!E11)/12,2))</f>
        <v/>
      </c>
      <c r="DL46">
        <f>IF(N(DJ46)&lt;=0.005,0,MIN(N('Debt List'!F11),N(DJ46)+N(DK46)))+((DR46=7)*DT46+(DV46=7)*DX46+(DZ46=7)*EB46+(ED46=7)*EF46+(EH46=7)*EJ46+(EL46=7)*EN46+(EP46=7)*ER46+(ET46=7)*EV46)</f>
        <v/>
      </c>
      <c r="DM46">
        <f>MAX(0,ROUND(N(DJ46)+N(DK46)-N(DL46),2))</f>
        <v/>
      </c>
      <c r="DN46">
        <f>N(DQ45)</f>
        <v/>
      </c>
      <c r="DO46">
        <f>IF(N(DN46)&lt;=0.005,0,ROUND(N(DN46)*N('Debt List'!E12)/12,2))</f>
        <v/>
      </c>
      <c r="DP46">
        <f>IF(N(DN46)&lt;=0.005,0,MIN(N('Debt List'!F12),N(DN46)+N(DO46)))+((DR46=8)*DT46+(DV46=8)*DX46+(DZ46=8)*EB46+(ED46=8)*EF46+(EH46=8)*EJ46+(EL46=8)*EN46+(EP46=8)*ER46+(ET46=8)*EV46)</f>
        <v/>
      </c>
      <c r="DQ46">
        <f>MAX(0,ROUND(N(DN46)+N(DO46)-N(DP46),2))</f>
        <v/>
      </c>
      <c r="DR46">
        <f>IFERROR(MATCH(1,OrderSnow,0),"")</f>
        <v/>
      </c>
      <c r="DS46">
        <f>IF(DR46="",0,IFERROR(IF(N(CHOOSE(DR46,CL46,CP46,CT46,CX46,DB46,DF46,DJ46,DN46))&lt;=0.005,0,MAX(0,N(CHOOSE(DR46,CL46,CP46,CT46,CX46,DB46,DF46,DJ46,DN46))+N(CHOOSE(DR46,CM46,CQ46,CU46,CY46,DC46,DG46,DK46,DO46))-MIN(N(CHOOSE(DR46,'Debt List'!$F$5,'Debt List'!$F$6,'Debt List'!$F$7,'Debt List'!$F$8,'Debt List'!$F$9,'Debt List'!$F$10,'Debt List'!$F$11,'Debt List'!$F$12)),N(CHOOSE(DR46,CL46,CP46,CT46,CX46,DB46,DF46,DJ46,DN46))+N(CHOOSE(DR46,CM46,CQ46,CU46,CY46,DC46,DG46,DK46,DO46))))),0))</f>
        <v/>
      </c>
      <c r="DT46">
        <f>MIN(N(DS46),MAX(0,N(ExtraPayment)))</f>
        <v/>
      </c>
      <c r="DU46">
        <f>MAX(0,N(ExtraPayment)-N(DT46))</f>
        <v/>
      </c>
      <c r="DV46">
        <f>IFERROR(MATCH(2,OrderSnow,0),"")</f>
        <v/>
      </c>
      <c r="DW46">
        <f>IF(DV46="",0,IFERROR(IF(N(CHOOSE(DV46,CL46,CP46,CT46,CX46,DB46,DF46,DJ46,DN46))&lt;=0.005,0,MAX(0,N(CHOOSE(DV46,CL46,CP46,CT46,CX46,DB46,DF46,DJ46,DN46))+N(CHOOSE(DV46,CM46,CQ46,CU46,CY46,DC46,DG46,DK46,DO46))-MIN(N(CHOOSE(DV46,'Debt List'!$F$5,'Debt List'!$F$6,'Debt List'!$F$7,'Debt List'!$F$8,'Debt List'!$F$9,'Debt List'!$F$10,'Debt List'!$F$11,'Debt List'!$F$12)),N(CHOOSE(DV46,CL46,CP46,CT46,CX46,DB46,DF46,DJ46,DN46))+N(CHOOSE(DV46,CM46,CQ46,CU46,CY46,DC46,DG46,DK46,DO46))))),0))</f>
        <v/>
      </c>
      <c r="DX46">
        <f>MIN(N(DW46),MAX(0,N(DU46)))</f>
        <v/>
      </c>
      <c r="DY46">
        <f>MAX(0,N(DU46)-N(DX46))</f>
        <v/>
      </c>
      <c r="DZ46">
        <f>IFERROR(MATCH(3,OrderSnow,0),"")</f>
        <v/>
      </c>
      <c r="EA46">
        <f>IF(DZ46="",0,IFERROR(IF(N(CHOOSE(DZ46,CL46,CP46,CT46,CX46,DB46,DF46,DJ46,DN46))&lt;=0.005,0,MAX(0,N(CHOOSE(DZ46,CL46,CP46,CT46,CX46,DB46,DF46,DJ46,DN46))+N(CHOOSE(DZ46,CM46,CQ46,CU46,CY46,DC46,DG46,DK46,DO46))-MIN(N(CHOOSE(DZ46,'Debt List'!$F$5,'Debt List'!$F$6,'Debt List'!$F$7,'Debt List'!$F$8,'Debt List'!$F$9,'Debt List'!$F$10,'Debt List'!$F$11,'Debt List'!$F$12)),N(CHOOSE(DZ46,CL46,CP46,CT46,CX46,DB46,DF46,DJ46,DN46))+N(CHOOSE(DZ46,CM46,CQ46,CU46,CY46,DC46,DG46,DK46,DO46))))),0))</f>
        <v/>
      </c>
      <c r="EB46">
        <f>MIN(N(EA46),MAX(0,N(DY46)))</f>
        <v/>
      </c>
      <c r="EC46">
        <f>MAX(0,N(DY46)-N(EB46))</f>
        <v/>
      </c>
      <c r="ED46">
        <f>IFERROR(MATCH(4,OrderSnow,0),"")</f>
        <v/>
      </c>
      <c r="EE46">
        <f>IF(ED46="",0,IFERROR(IF(N(CHOOSE(ED46,CL46,CP46,CT46,CX46,DB46,DF46,DJ46,DN46))&lt;=0.005,0,MAX(0,N(CHOOSE(ED46,CL46,CP46,CT46,CX46,DB46,DF46,DJ46,DN46))+N(CHOOSE(ED46,CM46,CQ46,CU46,CY46,DC46,DG46,DK46,DO46))-MIN(N(CHOOSE(ED46,'Debt List'!$F$5,'Debt List'!$F$6,'Debt List'!$F$7,'Debt List'!$F$8,'Debt List'!$F$9,'Debt List'!$F$10,'Debt List'!$F$11,'Debt List'!$F$12)),N(CHOOSE(ED46,CL46,CP46,CT46,CX46,DB46,DF46,DJ46,DN46))+N(CHOOSE(ED46,CM46,CQ46,CU46,CY46,DC46,DG46,DK46,DO46))))),0))</f>
        <v/>
      </c>
      <c r="EF46">
        <f>MIN(N(EE46),MAX(0,N(EC46)))</f>
        <v/>
      </c>
      <c r="EG46">
        <f>MAX(0,N(EC46)-N(EF46))</f>
        <v/>
      </c>
      <c r="EH46">
        <f>IFERROR(MATCH(5,OrderSnow,0),"")</f>
        <v/>
      </c>
      <c r="EI46">
        <f>IF(EH46="",0,IFERROR(IF(N(CHOOSE(EH46,CL46,CP46,CT46,CX46,DB46,DF46,DJ46,DN46))&lt;=0.005,0,MAX(0,N(CHOOSE(EH46,CL46,CP46,CT46,CX46,DB46,DF46,DJ46,DN46))+N(CHOOSE(EH46,CM46,CQ46,CU46,CY46,DC46,DG46,DK46,DO46))-MIN(N(CHOOSE(EH46,'Debt List'!$F$5,'Debt List'!$F$6,'Debt List'!$F$7,'Debt List'!$F$8,'Debt List'!$F$9,'Debt List'!$F$10,'Debt List'!$F$11,'Debt List'!$F$12)),N(CHOOSE(EH46,CL46,CP46,CT46,CX46,DB46,DF46,DJ46,DN46))+N(CHOOSE(EH46,CM46,CQ46,CU46,CY46,DC46,DG46,DK46,DO46))))),0))</f>
        <v/>
      </c>
      <c r="EJ46">
        <f>MIN(N(EI46),MAX(0,N(EG46)))</f>
        <v/>
      </c>
      <c r="EK46">
        <f>MAX(0,N(EG46)-N(EJ46))</f>
        <v/>
      </c>
      <c r="EL46">
        <f>IFERROR(MATCH(6,OrderSnow,0),"")</f>
        <v/>
      </c>
      <c r="EM46">
        <f>IF(EL46="",0,IFERROR(IF(N(CHOOSE(EL46,CL46,CP46,CT46,CX46,DB46,DF46,DJ46,DN46))&lt;=0.005,0,MAX(0,N(CHOOSE(EL46,CL46,CP46,CT46,CX46,DB46,DF46,DJ46,DN46))+N(CHOOSE(EL46,CM46,CQ46,CU46,CY46,DC46,DG46,DK46,DO46))-MIN(N(CHOOSE(EL46,'Debt List'!$F$5,'Debt List'!$F$6,'Debt List'!$F$7,'Debt List'!$F$8,'Debt List'!$F$9,'Debt List'!$F$10,'Debt List'!$F$11,'Debt List'!$F$12)),N(CHOOSE(EL46,CL46,CP46,CT46,CX46,DB46,DF46,DJ46,DN46))+N(CHOOSE(EL46,CM46,CQ46,CU46,CY46,DC46,DG46,DK46,DO46))))),0))</f>
        <v/>
      </c>
      <c r="EN46">
        <f>MIN(N(EM46),MAX(0,N(EK46)))</f>
        <v/>
      </c>
      <c r="EO46">
        <f>MAX(0,N(EK46)-N(EN46))</f>
        <v/>
      </c>
      <c r="EP46">
        <f>IFERROR(MATCH(7,OrderSnow,0),"")</f>
        <v/>
      </c>
      <c r="EQ46">
        <f>IF(EP46="",0,IFERROR(IF(N(CHOOSE(EP46,CL46,CP46,CT46,CX46,DB46,DF46,DJ46,DN46))&lt;=0.005,0,MAX(0,N(CHOOSE(EP46,CL46,CP46,CT46,CX46,DB46,DF46,DJ46,DN46))+N(CHOOSE(EP46,CM46,CQ46,CU46,CY46,DC46,DG46,DK46,DO46))-MIN(N(CHOOSE(EP46,'Debt List'!$F$5,'Debt List'!$F$6,'Debt List'!$F$7,'Debt List'!$F$8,'Debt List'!$F$9,'Debt List'!$F$10,'Debt List'!$F$11,'Debt List'!$F$12)),N(CHOOSE(EP46,CL46,CP46,CT46,CX46,DB46,DF46,DJ46,DN46))+N(CHOOSE(EP46,CM46,CQ46,CU46,CY46,DC46,DG46,DK46,DO46))))),0))</f>
        <v/>
      </c>
      <c r="ER46">
        <f>MIN(N(EQ46),MAX(0,N(EO46)))</f>
        <v/>
      </c>
      <c r="ES46">
        <f>MAX(0,N(EO46)-N(ER46))</f>
        <v/>
      </c>
      <c r="ET46">
        <f>IFERROR(MATCH(8,OrderSnow,0),"")</f>
        <v/>
      </c>
      <c r="EU46">
        <f>IF(ET46="",0,IFERROR(IF(N(CHOOSE(ET46,CL46,CP46,CT46,CX46,DB46,DF46,DJ46,DN46))&lt;=0.005,0,MAX(0,N(CHOOSE(ET46,CL46,CP46,CT46,CX46,DB46,DF46,DJ46,DN46))+N(CHOOSE(ET46,CM46,CQ46,CU46,CY46,DC46,DG46,DK46,DO46))-MIN(N(CHOOSE(ET46,'Debt List'!$F$5,'Debt List'!$F$6,'Debt List'!$F$7,'Debt List'!$F$8,'Debt List'!$F$9,'Debt List'!$F$10,'Debt List'!$F$11,'Debt List'!$F$12)),N(CHOOSE(ET46,CL46,CP46,CT46,CX46,DB46,DF46,DJ46,DN46))+N(CHOOSE(ET46,CM46,CQ46,CU46,CY46,DC46,DG46,DK46,DO46))))),0))</f>
        <v/>
      </c>
      <c r="EV46">
        <f>MIN(N(EU46),MAX(0,N(ES46)))</f>
        <v/>
      </c>
      <c r="EW46">
        <f>MAX(0,N(ES46)-N(EV46))</f>
        <v/>
      </c>
      <c r="FE46" t="n">
        <v>42</v>
      </c>
      <c r="FF46" s="115">
        <f>DATE(YEAR(PlanStart),MONTH(PlanStart)+FE46-1,1)</f>
        <v/>
      </c>
      <c r="FG46">
        <f>IF(AND(GT46&lt;&gt;"",N(CHOOSE(GT46,FN46,FR46,FV46,FZ46,GD46,GH46,GL46,GP46))&gt;0.005),INDEX(DebtNames,GT46),IF(AND(GX46&lt;&gt;"",N(CHOOSE(GX46,FN46,FR46,FV46,FZ46,GD46,GH46,GL46,GP46))&gt;0.005),INDEX(DebtNames,GX46),IF(AND(HB46&lt;&gt;"",N(CHOOSE(HB46,FN46,FR46,FV46,FZ46,GD46,GH46,GL46,GP46))&gt;0.005),INDEX(DebtNames,HB46),IF(AND(HF46&lt;&gt;"",N(CHOOSE(HF46,FN46,FR46,FV46,FZ46,GD46,GH46,GL46,GP46))&gt;0.005),INDEX(DebtNames,HF46),IF(AND(HJ46&lt;&gt;"",N(CHOOSE(HJ46,FN46,FR46,FV46,FZ46,GD46,GH46,GL46,GP46))&gt;0.005),INDEX(DebtNames,HJ46),IF(AND(HN46&lt;&gt;"",N(CHOOSE(HN46,FN46,FR46,FV46,FZ46,GD46,GH46,GL46,GP46))&gt;0.005),INDEX(DebtNames,HN46),IF(AND(HR46&lt;&gt;"",N(CHOOSE(HR46,FN46,FR46,FV46,FZ46,GD46,GH46,GL46,GP46))&gt;0.005),INDEX(DebtNames,HR46),IF(AND(HV46&lt;&gt;"",N(CHOOSE(HV46,FN46,FR46,FV46,FZ46,GD46,GH46,GL46,GP46))&gt;0.005),INDEX(DebtNames,HV46),""))))))))</f>
        <v/>
      </c>
      <c r="FH46">
        <f>N(HY46)</f>
        <v/>
      </c>
      <c r="FI46">
        <f>N(FP46)+N(FT46)+N(FX46)+N(GB46)+N(GF46)+N(GJ46)+N(GN46)+N(GR46)</f>
        <v/>
      </c>
      <c r="FJ46">
        <f>N(FO46)+N(FS46)+N(FW46)+N(GA46)+N(GE46)+N(GI46)+N(GM46)+N(GQ46)</f>
        <v/>
      </c>
      <c r="FK46">
        <f>N(FK45)+N(FJ46)</f>
        <v/>
      </c>
      <c r="FL46">
        <f>N(FQ46)+N(FU46)+N(FY46)+N(GC46)+N(GG46)+N(GK46)+N(GO46)+N(GS46)</f>
        <v/>
      </c>
      <c r="FM46">
        <f>(FQ46&gt;0.005)*1+(FU46&gt;0.005)*1+(FY46&gt;0.005)*1+(GC46&gt;0.005)*1+(GG46&gt;0.005)*1+(GK46&gt;0.005)*1+(GO46&gt;0.005)*1+(GS46&gt;0.005)*1</f>
        <v/>
      </c>
      <c r="FN46">
        <f>N(FQ45)</f>
        <v/>
      </c>
      <c r="FO46">
        <f>IF(N(FN46)&lt;=0.005,0,ROUND(N(FN46)*N('Debt List'!E5)/12,2))</f>
        <v/>
      </c>
      <c r="FP46">
        <f>IF(N(FN46)&lt;=0.005,0,MIN(N('Debt List'!F5),N(FN46)+N(FO46)))+((GT46=1)*GV46+(GX46=1)*GZ46+(HB46=1)*HD46+(HF46=1)*HH46+(HJ46=1)*HL46+(HN46=1)*HP46+(HR46=1)*HT46+(HV46=1)*HX46)</f>
        <v/>
      </c>
      <c r="FQ46">
        <f>MAX(0,ROUND(N(FN46)+N(FO46)-N(FP46),2))</f>
        <v/>
      </c>
      <c r="FR46">
        <f>N(FU45)</f>
        <v/>
      </c>
      <c r="FS46">
        <f>IF(N(FR46)&lt;=0.005,0,ROUND(N(FR46)*N('Debt List'!E6)/12,2))</f>
        <v/>
      </c>
      <c r="FT46">
        <f>IF(N(FR46)&lt;=0.005,0,MIN(N('Debt List'!F6),N(FR46)+N(FS46)))+((GT46=2)*GV46+(GX46=2)*GZ46+(HB46=2)*HD46+(HF46=2)*HH46+(HJ46=2)*HL46+(HN46=2)*HP46+(HR46=2)*HT46+(HV46=2)*HX46)</f>
        <v/>
      </c>
      <c r="FU46">
        <f>MAX(0,ROUND(N(FR46)+N(FS46)-N(FT46),2))</f>
        <v/>
      </c>
      <c r="FV46">
        <f>N(FY45)</f>
        <v/>
      </c>
      <c r="FW46">
        <f>IF(N(FV46)&lt;=0.005,0,ROUND(N(FV46)*N('Debt List'!E7)/12,2))</f>
        <v/>
      </c>
      <c r="FX46">
        <f>IF(N(FV46)&lt;=0.005,0,MIN(N('Debt List'!F7),N(FV46)+N(FW46)))+((GT46=3)*GV46+(GX46=3)*GZ46+(HB46=3)*HD46+(HF46=3)*HH46+(HJ46=3)*HL46+(HN46=3)*HP46+(HR46=3)*HT46+(HV46=3)*HX46)</f>
        <v/>
      </c>
      <c r="FY46">
        <f>MAX(0,ROUND(N(FV46)+N(FW46)-N(FX46),2))</f>
        <v/>
      </c>
      <c r="FZ46">
        <f>N(GC45)</f>
        <v/>
      </c>
      <c r="GA46">
        <f>IF(N(FZ46)&lt;=0.005,0,ROUND(N(FZ46)*N('Debt List'!E8)/12,2))</f>
        <v/>
      </c>
      <c r="GB46">
        <f>IF(N(FZ46)&lt;=0.005,0,MIN(N('Debt List'!F8),N(FZ46)+N(GA46)))+((GT46=4)*GV46+(GX46=4)*GZ46+(HB46=4)*HD46+(HF46=4)*HH46+(HJ46=4)*HL46+(HN46=4)*HP46+(HR46=4)*HT46+(HV46=4)*HX46)</f>
        <v/>
      </c>
      <c r="GC46">
        <f>MAX(0,ROUND(N(FZ46)+N(GA46)-N(GB46),2))</f>
        <v/>
      </c>
      <c r="GD46">
        <f>N(GG45)</f>
        <v/>
      </c>
      <c r="GE46">
        <f>IF(N(GD46)&lt;=0.005,0,ROUND(N(GD46)*N('Debt List'!E9)/12,2))</f>
        <v/>
      </c>
      <c r="GF46">
        <f>IF(N(GD46)&lt;=0.005,0,MIN(N('Debt List'!F9),N(GD46)+N(GE46)))+((GT46=5)*GV46+(GX46=5)*GZ46+(HB46=5)*HD46+(HF46=5)*HH46+(HJ46=5)*HL46+(HN46=5)*HP46+(HR46=5)*HT46+(HV46=5)*HX46)</f>
        <v/>
      </c>
      <c r="GG46">
        <f>MAX(0,ROUND(N(GD46)+N(GE46)-N(GF46),2))</f>
        <v/>
      </c>
      <c r="GH46">
        <f>N(GK45)</f>
        <v/>
      </c>
      <c r="GI46">
        <f>IF(N(GH46)&lt;=0.005,0,ROUND(N(GH46)*N('Debt List'!E10)/12,2))</f>
        <v/>
      </c>
      <c r="GJ46">
        <f>IF(N(GH46)&lt;=0.005,0,MIN(N('Debt List'!F10),N(GH46)+N(GI46)))+((GT46=6)*GV46+(GX46=6)*GZ46+(HB46=6)*HD46+(HF46=6)*HH46+(HJ46=6)*HL46+(HN46=6)*HP46+(HR46=6)*HT46+(HV46=6)*HX46)</f>
        <v/>
      </c>
      <c r="GK46">
        <f>MAX(0,ROUND(N(GH46)+N(GI46)-N(GJ46),2))</f>
        <v/>
      </c>
      <c r="GL46">
        <f>N(GO45)</f>
        <v/>
      </c>
      <c r="GM46">
        <f>IF(N(GL46)&lt;=0.005,0,ROUND(N(GL46)*N('Debt List'!E11)/12,2))</f>
        <v/>
      </c>
      <c r="GN46">
        <f>IF(N(GL46)&lt;=0.005,0,MIN(N('Debt List'!F11),N(GL46)+N(GM46)))+((GT46=7)*GV46+(GX46=7)*GZ46+(HB46=7)*HD46+(HF46=7)*HH46+(HJ46=7)*HL46+(HN46=7)*HP46+(HR46=7)*HT46+(HV46=7)*HX46)</f>
        <v/>
      </c>
      <c r="GO46">
        <f>MAX(0,ROUND(N(GL46)+N(GM46)-N(GN46),2))</f>
        <v/>
      </c>
      <c r="GP46">
        <f>N(GS45)</f>
        <v/>
      </c>
      <c r="GQ46">
        <f>IF(N(GP46)&lt;=0.005,0,ROUND(N(GP46)*N('Debt List'!E12)/12,2))</f>
        <v/>
      </c>
      <c r="GR46">
        <f>IF(N(GP46)&lt;=0.005,0,MIN(N('Debt List'!F12),N(GP46)+N(GQ46)))+((GT46=8)*GV46+(GX46=8)*GZ46+(HB46=8)*HD46+(HF46=8)*HH46+(HJ46=8)*HL46+(HN46=8)*HP46+(HR46=8)*HT46+(HV46=8)*HX46)</f>
        <v/>
      </c>
      <c r="GS46">
        <f>MAX(0,ROUND(N(GP46)+N(GQ46)-N(GR46),2))</f>
        <v/>
      </c>
      <c r="GT46">
        <f>IFERROR(MATCH(1,OrderAval,0),"")</f>
        <v/>
      </c>
      <c r="GU46">
        <f>IF(GT46="",0,IFERROR(IF(N(CHOOSE(GT46,FN46,FR46,FV46,FZ46,GD46,GH46,GL46,GP46))&lt;=0.005,0,MAX(0,N(CHOOSE(GT46,FN46,FR46,FV46,FZ46,GD46,GH46,GL46,GP46))+N(CHOOSE(GT46,FO46,FS46,FW46,GA46,GE46,GI46,GM46,GQ46))-MIN(N(CHOOSE(GT46,'Debt List'!$F$5,'Debt List'!$F$6,'Debt List'!$F$7,'Debt List'!$F$8,'Debt List'!$F$9,'Debt List'!$F$10,'Debt List'!$F$11,'Debt List'!$F$12)),N(CHOOSE(GT46,FN46,FR46,FV46,FZ46,GD46,GH46,GL46,GP46))+N(CHOOSE(GT46,FO46,FS46,FW46,GA46,GE46,GI46,GM46,GQ46))))),0))</f>
        <v/>
      </c>
      <c r="GV46">
        <f>MIN(N(GU46),MAX(0,N(ExtraPayment)))</f>
        <v/>
      </c>
      <c r="GW46">
        <f>MAX(0,N(ExtraPayment)-N(GV46))</f>
        <v/>
      </c>
      <c r="GX46">
        <f>IFERROR(MATCH(2,OrderAval,0),"")</f>
        <v/>
      </c>
      <c r="GY46">
        <f>IF(GX46="",0,IFERROR(IF(N(CHOOSE(GX46,FN46,FR46,FV46,FZ46,GD46,GH46,GL46,GP46))&lt;=0.005,0,MAX(0,N(CHOOSE(GX46,FN46,FR46,FV46,FZ46,GD46,GH46,GL46,GP46))+N(CHOOSE(GX46,FO46,FS46,FW46,GA46,GE46,GI46,GM46,GQ46))-MIN(N(CHOOSE(GX46,'Debt List'!$F$5,'Debt List'!$F$6,'Debt List'!$F$7,'Debt List'!$F$8,'Debt List'!$F$9,'Debt List'!$F$10,'Debt List'!$F$11,'Debt List'!$F$12)),N(CHOOSE(GX46,FN46,FR46,FV46,FZ46,GD46,GH46,GL46,GP46))+N(CHOOSE(GX46,FO46,FS46,FW46,GA46,GE46,GI46,GM46,GQ46))))),0))</f>
        <v/>
      </c>
      <c r="GZ46">
        <f>MIN(N(GY46),MAX(0,N(GW46)))</f>
        <v/>
      </c>
      <c r="HA46">
        <f>MAX(0,N(GW46)-N(GZ46))</f>
        <v/>
      </c>
      <c r="HB46">
        <f>IFERROR(MATCH(3,OrderAval,0),"")</f>
        <v/>
      </c>
      <c r="HC46">
        <f>IF(HB46="",0,IFERROR(IF(N(CHOOSE(HB46,FN46,FR46,FV46,FZ46,GD46,GH46,GL46,GP46))&lt;=0.005,0,MAX(0,N(CHOOSE(HB46,FN46,FR46,FV46,FZ46,GD46,GH46,GL46,GP46))+N(CHOOSE(HB46,FO46,FS46,FW46,GA46,GE46,GI46,GM46,GQ46))-MIN(N(CHOOSE(HB46,'Debt List'!$F$5,'Debt List'!$F$6,'Debt List'!$F$7,'Debt List'!$F$8,'Debt List'!$F$9,'Debt List'!$F$10,'Debt List'!$F$11,'Debt List'!$F$12)),N(CHOOSE(HB46,FN46,FR46,FV46,FZ46,GD46,GH46,GL46,GP46))+N(CHOOSE(HB46,FO46,FS46,FW46,GA46,GE46,GI46,GM46,GQ46))))),0))</f>
        <v/>
      </c>
      <c r="HD46">
        <f>MIN(N(HC46),MAX(0,N(HA46)))</f>
        <v/>
      </c>
      <c r="HE46">
        <f>MAX(0,N(HA46)-N(HD46))</f>
        <v/>
      </c>
      <c r="HF46">
        <f>IFERROR(MATCH(4,OrderAval,0),"")</f>
        <v/>
      </c>
      <c r="HG46">
        <f>IF(HF46="",0,IFERROR(IF(N(CHOOSE(HF46,FN46,FR46,FV46,FZ46,GD46,GH46,GL46,GP46))&lt;=0.005,0,MAX(0,N(CHOOSE(HF46,FN46,FR46,FV46,FZ46,GD46,GH46,GL46,GP46))+N(CHOOSE(HF46,FO46,FS46,FW46,GA46,GE46,GI46,GM46,GQ46))-MIN(N(CHOOSE(HF46,'Debt List'!$F$5,'Debt List'!$F$6,'Debt List'!$F$7,'Debt List'!$F$8,'Debt List'!$F$9,'Debt List'!$F$10,'Debt List'!$F$11,'Debt List'!$F$12)),N(CHOOSE(HF46,FN46,FR46,FV46,FZ46,GD46,GH46,GL46,GP46))+N(CHOOSE(HF46,FO46,FS46,FW46,GA46,GE46,GI46,GM46,GQ46))))),0))</f>
        <v/>
      </c>
      <c r="HH46">
        <f>MIN(N(HG46),MAX(0,N(HE46)))</f>
        <v/>
      </c>
      <c r="HI46">
        <f>MAX(0,N(HE46)-N(HH46))</f>
        <v/>
      </c>
      <c r="HJ46">
        <f>IFERROR(MATCH(5,OrderAval,0),"")</f>
        <v/>
      </c>
      <c r="HK46">
        <f>IF(HJ46="",0,IFERROR(IF(N(CHOOSE(HJ46,FN46,FR46,FV46,FZ46,GD46,GH46,GL46,GP46))&lt;=0.005,0,MAX(0,N(CHOOSE(HJ46,FN46,FR46,FV46,FZ46,GD46,GH46,GL46,GP46))+N(CHOOSE(HJ46,FO46,FS46,FW46,GA46,GE46,GI46,GM46,GQ46))-MIN(N(CHOOSE(HJ46,'Debt List'!$F$5,'Debt List'!$F$6,'Debt List'!$F$7,'Debt List'!$F$8,'Debt List'!$F$9,'Debt List'!$F$10,'Debt List'!$F$11,'Debt List'!$F$12)),N(CHOOSE(HJ46,FN46,FR46,FV46,FZ46,GD46,GH46,GL46,GP46))+N(CHOOSE(HJ46,FO46,FS46,FW46,GA46,GE46,GI46,GM46,GQ46))))),0))</f>
        <v/>
      </c>
      <c r="HL46">
        <f>MIN(N(HK46),MAX(0,N(HI46)))</f>
        <v/>
      </c>
      <c r="HM46">
        <f>MAX(0,N(HI46)-N(HL46))</f>
        <v/>
      </c>
      <c r="HN46">
        <f>IFERROR(MATCH(6,OrderAval,0),"")</f>
        <v/>
      </c>
      <c r="HO46">
        <f>IF(HN46="",0,IFERROR(IF(N(CHOOSE(HN46,FN46,FR46,FV46,FZ46,GD46,GH46,GL46,GP46))&lt;=0.005,0,MAX(0,N(CHOOSE(HN46,FN46,FR46,FV46,FZ46,GD46,GH46,GL46,GP46))+N(CHOOSE(HN46,FO46,FS46,FW46,GA46,GE46,GI46,GM46,GQ46))-MIN(N(CHOOSE(HN46,'Debt List'!$F$5,'Debt List'!$F$6,'Debt List'!$F$7,'Debt List'!$F$8,'Debt List'!$F$9,'Debt List'!$F$10,'Debt List'!$F$11,'Debt List'!$F$12)),N(CHOOSE(HN46,FN46,FR46,FV46,FZ46,GD46,GH46,GL46,GP46))+N(CHOOSE(HN46,FO46,FS46,FW46,GA46,GE46,GI46,GM46,GQ46))))),0))</f>
        <v/>
      </c>
      <c r="HP46">
        <f>MIN(N(HO46),MAX(0,N(HM46)))</f>
        <v/>
      </c>
      <c r="HQ46">
        <f>MAX(0,N(HM46)-N(HP46))</f>
        <v/>
      </c>
      <c r="HR46">
        <f>IFERROR(MATCH(7,OrderAval,0),"")</f>
        <v/>
      </c>
      <c r="HS46">
        <f>IF(HR46="",0,IFERROR(IF(N(CHOOSE(HR46,FN46,FR46,FV46,FZ46,GD46,GH46,GL46,GP46))&lt;=0.005,0,MAX(0,N(CHOOSE(HR46,FN46,FR46,FV46,FZ46,GD46,GH46,GL46,GP46))+N(CHOOSE(HR46,FO46,FS46,FW46,GA46,GE46,GI46,GM46,GQ46))-MIN(N(CHOOSE(HR46,'Debt List'!$F$5,'Debt List'!$F$6,'Debt List'!$F$7,'Debt List'!$F$8,'Debt List'!$F$9,'Debt List'!$F$10,'Debt List'!$F$11,'Debt List'!$F$12)),N(CHOOSE(HR46,FN46,FR46,FV46,FZ46,GD46,GH46,GL46,GP46))+N(CHOOSE(HR46,FO46,FS46,FW46,GA46,GE46,GI46,GM46,GQ46))))),0))</f>
        <v/>
      </c>
      <c r="HT46">
        <f>MIN(N(HS46),MAX(0,N(HQ46)))</f>
        <v/>
      </c>
      <c r="HU46">
        <f>MAX(0,N(HQ46)-N(HT46))</f>
        <v/>
      </c>
      <c r="HV46">
        <f>IFERROR(MATCH(8,OrderAval,0),"")</f>
        <v/>
      </c>
      <c r="HW46">
        <f>IF(HV46="",0,IFERROR(IF(N(CHOOSE(HV46,FN46,FR46,FV46,FZ46,GD46,GH46,GL46,GP46))&lt;=0.005,0,MAX(0,N(CHOOSE(HV46,FN46,FR46,FV46,FZ46,GD46,GH46,GL46,GP46))+N(CHOOSE(HV46,FO46,FS46,FW46,GA46,GE46,GI46,GM46,GQ46))-MIN(N(CHOOSE(HV46,'Debt List'!$F$5,'Debt List'!$F$6,'Debt List'!$F$7,'Debt List'!$F$8,'Debt List'!$F$9,'Debt List'!$F$10,'Debt List'!$F$11,'Debt List'!$F$12)),N(CHOOSE(HV46,FN46,FR46,FV46,FZ46,GD46,GH46,GL46,GP46))+N(CHOOSE(HV46,FO46,FS46,FW46,GA46,GE46,GI46,GM46,GQ46))))),0))</f>
        <v/>
      </c>
      <c r="HX46">
        <f>MIN(N(HW46),MAX(0,N(HU46)))</f>
        <v/>
      </c>
      <c r="HY46">
        <f>MAX(0,N(HU46)-N(HX46))</f>
        <v/>
      </c>
    </row>
    <row r="47">
      <c r="A47" t="n">
        <v>43</v>
      </c>
      <c r="B47" s="115">
        <f>DATE(YEAR(PlanStart),MONTH(PlanStart)+A47-1,1)</f>
        <v/>
      </c>
      <c r="C47">
        <f>IF(AND(AP47&lt;&gt;"",N(CHOOSE(AP47,J47,N47,R47,V47,Z47,AD47,AH47,AL47))&gt;0.005),INDEX(DebtNames,AP47),IF(AND(AT47&lt;&gt;"",N(CHOOSE(AT47,J47,N47,R47,V47,Z47,AD47,AH47,AL47))&gt;0.005),INDEX(DebtNames,AT47),IF(AND(AX47&lt;&gt;"",N(CHOOSE(AX47,J47,N47,R47,V47,Z47,AD47,AH47,AL47))&gt;0.005),INDEX(DebtNames,AX47),IF(AND(BB47&lt;&gt;"",N(CHOOSE(BB47,J47,N47,R47,V47,Z47,AD47,AH47,AL47))&gt;0.005),INDEX(DebtNames,BB47),IF(AND(BF47&lt;&gt;"",N(CHOOSE(BF47,J47,N47,R47,V47,Z47,AD47,AH47,AL47))&gt;0.005),INDEX(DebtNames,BF47),IF(AND(BJ47&lt;&gt;"",N(CHOOSE(BJ47,J47,N47,R47,V47,Z47,AD47,AH47,AL47))&gt;0.005),INDEX(DebtNames,BJ47),IF(AND(BN47&lt;&gt;"",N(CHOOSE(BN47,J47,N47,R47,V47,Z47,AD47,AH47,AL47))&gt;0.005),INDEX(DebtNames,BN47),IF(AND(BR47&lt;&gt;"",N(CHOOSE(BR47,J47,N47,R47,V47,Z47,AD47,AH47,AL47))&gt;0.005),INDEX(DebtNames,BR47),""))))))))</f>
        <v/>
      </c>
      <c r="D47">
        <f>N(BU47)</f>
        <v/>
      </c>
      <c r="E47">
        <f>N(L47)+N(P47)+N(T47)+N(X47)+N(AB47)+N(AF47)+N(AJ47)+N(AN47)</f>
        <v/>
      </c>
      <c r="F47">
        <f>N(K47)+N(O47)+N(S47)+N(W47)+N(AA47)+N(AE47)+N(AI47)+N(AM47)</f>
        <v/>
      </c>
      <c r="G47">
        <f>N(G46)+N(F47)</f>
        <v/>
      </c>
      <c r="H47">
        <f>N(M47)+N(Q47)+N(U47)+N(Y47)+N(AC47)+N(AG47)+N(AK47)+N(AO47)</f>
        <v/>
      </c>
      <c r="I47">
        <f>(M47&gt;0.005)*1+(Q47&gt;0.005)*1+(U47&gt;0.005)*1+(Y47&gt;0.005)*1+(AC47&gt;0.005)*1+(AG47&gt;0.005)*1+(AK47&gt;0.005)*1+(AO47&gt;0.005)*1</f>
        <v/>
      </c>
      <c r="J47">
        <f>N(M46)</f>
        <v/>
      </c>
      <c r="K47">
        <f>IF(N(J47)&lt;=0.005,0,ROUND(N(J47)*N('Debt List'!E5)/12,2))</f>
        <v/>
      </c>
      <c r="L47">
        <f>IF(N(J47)&lt;=0.005,0,MIN(N('Debt List'!F5),N(J47)+N(K47)))+((AP47=1)*AR47+(AT47=1)*AV47+(AX47=1)*AZ47+(BB47=1)*BD47+(BF47=1)*BH47+(BJ47=1)*BL47+(BN47=1)*BP47+(BR47=1)*BT47)</f>
        <v/>
      </c>
      <c r="M47">
        <f>MAX(0,ROUND(N(J47)+N(K47)-N(L47),2))</f>
        <v/>
      </c>
      <c r="N47">
        <f>N(Q46)</f>
        <v/>
      </c>
      <c r="O47">
        <f>IF(N(N47)&lt;=0.005,0,ROUND(N(N47)*N('Debt List'!E6)/12,2))</f>
        <v/>
      </c>
      <c r="P47">
        <f>IF(N(N47)&lt;=0.005,0,MIN(N('Debt List'!F6),N(N47)+N(O47)))+((AP47=2)*AR47+(AT47=2)*AV47+(AX47=2)*AZ47+(BB47=2)*BD47+(BF47=2)*BH47+(BJ47=2)*BL47+(BN47=2)*BP47+(BR47=2)*BT47)</f>
        <v/>
      </c>
      <c r="Q47">
        <f>MAX(0,ROUND(N(N47)+N(O47)-N(P47),2))</f>
        <v/>
      </c>
      <c r="R47">
        <f>N(U46)</f>
        <v/>
      </c>
      <c r="S47">
        <f>IF(N(R47)&lt;=0.005,0,ROUND(N(R47)*N('Debt List'!E7)/12,2))</f>
        <v/>
      </c>
      <c r="T47">
        <f>IF(N(R47)&lt;=0.005,0,MIN(N('Debt List'!F7),N(R47)+N(S47)))+((AP47=3)*AR47+(AT47=3)*AV47+(AX47=3)*AZ47+(BB47=3)*BD47+(BF47=3)*BH47+(BJ47=3)*BL47+(BN47=3)*BP47+(BR47=3)*BT47)</f>
        <v/>
      </c>
      <c r="U47">
        <f>MAX(0,ROUND(N(R47)+N(S47)-N(T47),2))</f>
        <v/>
      </c>
      <c r="V47">
        <f>N(Y46)</f>
        <v/>
      </c>
      <c r="W47">
        <f>IF(N(V47)&lt;=0.005,0,ROUND(N(V47)*N('Debt List'!E8)/12,2))</f>
        <v/>
      </c>
      <c r="X47">
        <f>IF(N(V47)&lt;=0.005,0,MIN(N('Debt List'!F8),N(V47)+N(W47)))+((AP47=4)*AR47+(AT47=4)*AV47+(AX47=4)*AZ47+(BB47=4)*BD47+(BF47=4)*BH47+(BJ47=4)*BL47+(BN47=4)*BP47+(BR47=4)*BT47)</f>
        <v/>
      </c>
      <c r="Y47">
        <f>MAX(0,ROUND(N(V47)+N(W47)-N(X47),2))</f>
        <v/>
      </c>
      <c r="Z47">
        <f>N(AC46)</f>
        <v/>
      </c>
      <c r="AA47">
        <f>IF(N(Z47)&lt;=0.005,0,ROUND(N(Z47)*N('Debt List'!E9)/12,2))</f>
        <v/>
      </c>
      <c r="AB47">
        <f>IF(N(Z47)&lt;=0.005,0,MIN(N('Debt List'!F9),N(Z47)+N(AA47)))+((AP47=5)*AR47+(AT47=5)*AV47+(AX47=5)*AZ47+(BB47=5)*BD47+(BF47=5)*BH47+(BJ47=5)*BL47+(BN47=5)*BP47+(BR47=5)*BT47)</f>
        <v/>
      </c>
      <c r="AC47">
        <f>MAX(0,ROUND(N(Z47)+N(AA47)-N(AB47),2))</f>
        <v/>
      </c>
      <c r="AD47">
        <f>N(AG46)</f>
        <v/>
      </c>
      <c r="AE47">
        <f>IF(N(AD47)&lt;=0.005,0,ROUND(N(AD47)*N('Debt List'!E10)/12,2))</f>
        <v/>
      </c>
      <c r="AF47">
        <f>IF(N(AD47)&lt;=0.005,0,MIN(N('Debt List'!F10),N(AD47)+N(AE47)))+((AP47=6)*AR47+(AT47=6)*AV47+(AX47=6)*AZ47+(BB47=6)*BD47+(BF47=6)*BH47+(BJ47=6)*BL47+(BN47=6)*BP47+(BR47=6)*BT47)</f>
        <v/>
      </c>
      <c r="AG47">
        <f>MAX(0,ROUND(N(AD47)+N(AE47)-N(AF47),2))</f>
        <v/>
      </c>
      <c r="AH47">
        <f>N(AK46)</f>
        <v/>
      </c>
      <c r="AI47">
        <f>IF(N(AH47)&lt;=0.005,0,ROUND(N(AH47)*N('Debt List'!E11)/12,2))</f>
        <v/>
      </c>
      <c r="AJ47">
        <f>IF(N(AH47)&lt;=0.005,0,MIN(N('Debt List'!F11),N(AH47)+N(AI47)))+((AP47=7)*AR47+(AT47=7)*AV47+(AX47=7)*AZ47+(BB47=7)*BD47+(BF47=7)*BH47+(BJ47=7)*BL47+(BN47=7)*BP47+(BR47=7)*BT47)</f>
        <v/>
      </c>
      <c r="AK47">
        <f>MAX(0,ROUND(N(AH47)+N(AI47)-N(AJ47),2))</f>
        <v/>
      </c>
      <c r="AL47">
        <f>N(AO46)</f>
        <v/>
      </c>
      <c r="AM47">
        <f>IF(N(AL47)&lt;=0.005,0,ROUND(N(AL47)*N('Debt List'!E12)/12,2))</f>
        <v/>
      </c>
      <c r="AN47">
        <f>IF(N(AL47)&lt;=0.005,0,MIN(N('Debt List'!F12),N(AL47)+N(AM47)))+((AP47=8)*AR47+(AT47=8)*AV47+(AX47=8)*AZ47+(BB47=8)*BD47+(BF47=8)*BH47+(BJ47=8)*BL47+(BN47=8)*BP47+(BR47=8)*BT47)</f>
        <v/>
      </c>
      <c r="AO47">
        <f>MAX(0,ROUND(N(AL47)+N(AM47)-N(AN47),2))</f>
        <v/>
      </c>
      <c r="AP47">
        <f>IFERROR(MATCH(1,OrderPlan,0),"")</f>
        <v/>
      </c>
      <c r="AQ47">
        <f>IF(AP47="",0,IFERROR(IF(N(CHOOSE(AP47,J47,N47,R47,V47,Z47,AD47,AH47,AL47))&lt;=0.005,0,MAX(0,N(CHOOSE(AP47,J47,N47,R47,V47,Z47,AD47,AH47,AL47))+N(CHOOSE(AP47,K47,O47,S47,W47,AA47,AE47,AI47,AM47))-MIN(N(CHOOSE(AP47,'Debt List'!$F$5,'Debt List'!$F$6,'Debt List'!$F$7,'Debt List'!$F$8,'Debt List'!$F$9,'Debt List'!$F$10,'Debt List'!$F$11,'Debt List'!$F$12)),N(CHOOSE(AP47,J47,N47,R47,V47,Z47,AD47,AH47,AL47))+N(CHOOSE(AP47,K47,O47,S47,W47,AA47,AE47,AI47,AM47))))),0))</f>
        <v/>
      </c>
      <c r="AR47">
        <f>MIN(N(AQ47),MAX(0,N(ExtraPayment)))</f>
        <v/>
      </c>
      <c r="AS47">
        <f>MAX(0,N(ExtraPayment)-N(AR47))</f>
        <v/>
      </c>
      <c r="AT47">
        <f>IFERROR(MATCH(2,OrderPlan,0),"")</f>
        <v/>
      </c>
      <c r="AU47">
        <f>IF(AT47="",0,IFERROR(IF(N(CHOOSE(AT47,J47,N47,R47,V47,Z47,AD47,AH47,AL47))&lt;=0.005,0,MAX(0,N(CHOOSE(AT47,J47,N47,R47,V47,Z47,AD47,AH47,AL47))+N(CHOOSE(AT47,K47,O47,S47,W47,AA47,AE47,AI47,AM47))-MIN(N(CHOOSE(AT47,'Debt List'!$F$5,'Debt List'!$F$6,'Debt List'!$F$7,'Debt List'!$F$8,'Debt List'!$F$9,'Debt List'!$F$10,'Debt List'!$F$11,'Debt List'!$F$12)),N(CHOOSE(AT47,J47,N47,R47,V47,Z47,AD47,AH47,AL47))+N(CHOOSE(AT47,K47,O47,S47,W47,AA47,AE47,AI47,AM47))))),0))</f>
        <v/>
      </c>
      <c r="AV47">
        <f>MIN(N(AU47),MAX(0,N(AS47)))</f>
        <v/>
      </c>
      <c r="AW47">
        <f>MAX(0,N(AS47)-N(AV47))</f>
        <v/>
      </c>
      <c r="AX47">
        <f>IFERROR(MATCH(3,OrderPlan,0),"")</f>
        <v/>
      </c>
      <c r="AY47">
        <f>IF(AX47="",0,IFERROR(IF(N(CHOOSE(AX47,J47,N47,R47,V47,Z47,AD47,AH47,AL47))&lt;=0.005,0,MAX(0,N(CHOOSE(AX47,J47,N47,R47,V47,Z47,AD47,AH47,AL47))+N(CHOOSE(AX47,K47,O47,S47,W47,AA47,AE47,AI47,AM47))-MIN(N(CHOOSE(AX47,'Debt List'!$F$5,'Debt List'!$F$6,'Debt List'!$F$7,'Debt List'!$F$8,'Debt List'!$F$9,'Debt List'!$F$10,'Debt List'!$F$11,'Debt List'!$F$12)),N(CHOOSE(AX47,J47,N47,R47,V47,Z47,AD47,AH47,AL47))+N(CHOOSE(AX47,K47,O47,S47,W47,AA47,AE47,AI47,AM47))))),0))</f>
        <v/>
      </c>
      <c r="AZ47">
        <f>MIN(N(AY47),MAX(0,N(AW47)))</f>
        <v/>
      </c>
      <c r="BA47">
        <f>MAX(0,N(AW47)-N(AZ47))</f>
        <v/>
      </c>
      <c r="BB47">
        <f>IFERROR(MATCH(4,OrderPlan,0),"")</f>
        <v/>
      </c>
      <c r="BC47">
        <f>IF(BB47="",0,IFERROR(IF(N(CHOOSE(BB47,J47,N47,R47,V47,Z47,AD47,AH47,AL47))&lt;=0.005,0,MAX(0,N(CHOOSE(BB47,J47,N47,R47,V47,Z47,AD47,AH47,AL47))+N(CHOOSE(BB47,K47,O47,S47,W47,AA47,AE47,AI47,AM47))-MIN(N(CHOOSE(BB47,'Debt List'!$F$5,'Debt List'!$F$6,'Debt List'!$F$7,'Debt List'!$F$8,'Debt List'!$F$9,'Debt List'!$F$10,'Debt List'!$F$11,'Debt List'!$F$12)),N(CHOOSE(BB47,J47,N47,R47,V47,Z47,AD47,AH47,AL47))+N(CHOOSE(BB47,K47,O47,S47,W47,AA47,AE47,AI47,AM47))))),0))</f>
        <v/>
      </c>
      <c r="BD47">
        <f>MIN(N(BC47),MAX(0,N(BA47)))</f>
        <v/>
      </c>
      <c r="BE47">
        <f>MAX(0,N(BA47)-N(BD47))</f>
        <v/>
      </c>
      <c r="BF47">
        <f>IFERROR(MATCH(5,OrderPlan,0),"")</f>
        <v/>
      </c>
      <c r="BG47">
        <f>IF(BF47="",0,IFERROR(IF(N(CHOOSE(BF47,J47,N47,R47,V47,Z47,AD47,AH47,AL47))&lt;=0.005,0,MAX(0,N(CHOOSE(BF47,J47,N47,R47,V47,Z47,AD47,AH47,AL47))+N(CHOOSE(BF47,K47,O47,S47,W47,AA47,AE47,AI47,AM47))-MIN(N(CHOOSE(BF47,'Debt List'!$F$5,'Debt List'!$F$6,'Debt List'!$F$7,'Debt List'!$F$8,'Debt List'!$F$9,'Debt List'!$F$10,'Debt List'!$F$11,'Debt List'!$F$12)),N(CHOOSE(BF47,J47,N47,R47,V47,Z47,AD47,AH47,AL47))+N(CHOOSE(BF47,K47,O47,S47,W47,AA47,AE47,AI47,AM47))))),0))</f>
        <v/>
      </c>
      <c r="BH47">
        <f>MIN(N(BG47),MAX(0,N(BE47)))</f>
        <v/>
      </c>
      <c r="BI47">
        <f>MAX(0,N(BE47)-N(BH47))</f>
        <v/>
      </c>
      <c r="BJ47">
        <f>IFERROR(MATCH(6,OrderPlan,0),"")</f>
        <v/>
      </c>
      <c r="BK47">
        <f>IF(BJ47="",0,IFERROR(IF(N(CHOOSE(BJ47,J47,N47,R47,V47,Z47,AD47,AH47,AL47))&lt;=0.005,0,MAX(0,N(CHOOSE(BJ47,J47,N47,R47,V47,Z47,AD47,AH47,AL47))+N(CHOOSE(BJ47,K47,O47,S47,W47,AA47,AE47,AI47,AM47))-MIN(N(CHOOSE(BJ47,'Debt List'!$F$5,'Debt List'!$F$6,'Debt List'!$F$7,'Debt List'!$F$8,'Debt List'!$F$9,'Debt List'!$F$10,'Debt List'!$F$11,'Debt List'!$F$12)),N(CHOOSE(BJ47,J47,N47,R47,V47,Z47,AD47,AH47,AL47))+N(CHOOSE(BJ47,K47,O47,S47,W47,AA47,AE47,AI47,AM47))))),0))</f>
        <v/>
      </c>
      <c r="BL47">
        <f>MIN(N(BK47),MAX(0,N(BI47)))</f>
        <v/>
      </c>
      <c r="BM47">
        <f>MAX(0,N(BI47)-N(BL47))</f>
        <v/>
      </c>
      <c r="BN47">
        <f>IFERROR(MATCH(7,OrderPlan,0),"")</f>
        <v/>
      </c>
      <c r="BO47">
        <f>IF(BN47="",0,IFERROR(IF(N(CHOOSE(BN47,J47,N47,R47,V47,Z47,AD47,AH47,AL47))&lt;=0.005,0,MAX(0,N(CHOOSE(BN47,J47,N47,R47,V47,Z47,AD47,AH47,AL47))+N(CHOOSE(BN47,K47,O47,S47,W47,AA47,AE47,AI47,AM47))-MIN(N(CHOOSE(BN47,'Debt List'!$F$5,'Debt List'!$F$6,'Debt List'!$F$7,'Debt List'!$F$8,'Debt List'!$F$9,'Debt List'!$F$10,'Debt List'!$F$11,'Debt List'!$F$12)),N(CHOOSE(BN47,J47,N47,R47,V47,Z47,AD47,AH47,AL47))+N(CHOOSE(BN47,K47,O47,S47,W47,AA47,AE47,AI47,AM47))))),0))</f>
        <v/>
      </c>
      <c r="BP47">
        <f>MIN(N(BO47),MAX(0,N(BM47)))</f>
        <v/>
      </c>
      <c r="BQ47">
        <f>MAX(0,N(BM47)-N(BP47))</f>
        <v/>
      </c>
      <c r="BR47">
        <f>IFERROR(MATCH(8,OrderPlan,0),"")</f>
        <v/>
      </c>
      <c r="BS47">
        <f>IF(BR47="",0,IFERROR(IF(N(CHOOSE(BR47,J47,N47,R47,V47,Z47,AD47,AH47,AL47))&lt;=0.005,0,MAX(0,N(CHOOSE(BR47,J47,N47,R47,V47,Z47,AD47,AH47,AL47))+N(CHOOSE(BR47,K47,O47,S47,W47,AA47,AE47,AI47,AM47))-MIN(N(CHOOSE(BR47,'Debt List'!$F$5,'Debt List'!$F$6,'Debt List'!$F$7,'Debt List'!$F$8,'Debt List'!$F$9,'Debt List'!$F$10,'Debt List'!$F$11,'Debt List'!$F$12)),N(CHOOSE(BR47,J47,N47,R47,V47,Z47,AD47,AH47,AL47))+N(CHOOSE(BR47,K47,O47,S47,W47,AA47,AE47,AI47,AM47))))),0))</f>
        <v/>
      </c>
      <c r="BT47">
        <f>MIN(N(BS47),MAX(0,N(BQ47)))</f>
        <v/>
      </c>
      <c r="BU47">
        <f>MAX(0,N(BQ47)-N(BT47))</f>
        <v/>
      </c>
      <c r="CC47" t="n">
        <v>43</v>
      </c>
      <c r="CD47" s="115">
        <f>DATE(YEAR(PlanStart),MONTH(PlanStart)+CC47-1,1)</f>
        <v/>
      </c>
      <c r="CE47">
        <f>IF(AND(DR47&lt;&gt;"",N(CHOOSE(DR47,CL47,CP47,CT47,CX47,DB47,DF47,DJ47,DN47))&gt;0.005),INDEX(DebtNames,DR47),IF(AND(DV47&lt;&gt;"",N(CHOOSE(DV47,CL47,CP47,CT47,CX47,DB47,DF47,DJ47,DN47))&gt;0.005),INDEX(DebtNames,DV47),IF(AND(DZ47&lt;&gt;"",N(CHOOSE(DZ47,CL47,CP47,CT47,CX47,DB47,DF47,DJ47,DN47))&gt;0.005),INDEX(DebtNames,DZ47),IF(AND(ED47&lt;&gt;"",N(CHOOSE(ED47,CL47,CP47,CT47,CX47,DB47,DF47,DJ47,DN47))&gt;0.005),INDEX(DebtNames,ED47),IF(AND(EH47&lt;&gt;"",N(CHOOSE(EH47,CL47,CP47,CT47,CX47,DB47,DF47,DJ47,DN47))&gt;0.005),INDEX(DebtNames,EH47),IF(AND(EL47&lt;&gt;"",N(CHOOSE(EL47,CL47,CP47,CT47,CX47,DB47,DF47,DJ47,DN47))&gt;0.005),INDEX(DebtNames,EL47),IF(AND(EP47&lt;&gt;"",N(CHOOSE(EP47,CL47,CP47,CT47,CX47,DB47,DF47,DJ47,DN47))&gt;0.005),INDEX(DebtNames,EP47),IF(AND(ET47&lt;&gt;"",N(CHOOSE(ET47,CL47,CP47,CT47,CX47,DB47,DF47,DJ47,DN47))&gt;0.005),INDEX(DebtNames,ET47),""))))))))</f>
        <v/>
      </c>
      <c r="CF47">
        <f>N(EW47)</f>
        <v/>
      </c>
      <c r="CG47">
        <f>N(CN47)+N(CR47)+N(CV47)+N(CZ47)+N(DD47)+N(DH47)+N(DL47)+N(DP47)</f>
        <v/>
      </c>
      <c r="CH47">
        <f>N(CM47)+N(CQ47)+N(CU47)+N(CY47)+N(DC47)+N(DG47)+N(DK47)+N(DO47)</f>
        <v/>
      </c>
      <c r="CI47">
        <f>N(CI46)+N(CH47)</f>
        <v/>
      </c>
      <c r="CJ47">
        <f>N(CO47)+N(CS47)+N(CW47)+N(DA47)+N(DE47)+N(DI47)+N(DM47)+N(DQ47)</f>
        <v/>
      </c>
      <c r="CK47">
        <f>(CO47&gt;0.005)*1+(CS47&gt;0.005)*1+(CW47&gt;0.005)*1+(DA47&gt;0.005)*1+(DE47&gt;0.005)*1+(DI47&gt;0.005)*1+(DM47&gt;0.005)*1+(DQ47&gt;0.005)*1</f>
        <v/>
      </c>
      <c r="CL47">
        <f>N(CO46)</f>
        <v/>
      </c>
      <c r="CM47">
        <f>IF(N(CL47)&lt;=0.005,0,ROUND(N(CL47)*N('Debt List'!E5)/12,2))</f>
        <v/>
      </c>
      <c r="CN47">
        <f>IF(N(CL47)&lt;=0.005,0,MIN(N('Debt List'!F5),N(CL47)+N(CM47)))+((DR47=1)*DT47+(DV47=1)*DX47+(DZ47=1)*EB47+(ED47=1)*EF47+(EH47=1)*EJ47+(EL47=1)*EN47+(EP47=1)*ER47+(ET47=1)*EV47)</f>
        <v/>
      </c>
      <c r="CO47">
        <f>MAX(0,ROUND(N(CL47)+N(CM47)-N(CN47),2))</f>
        <v/>
      </c>
      <c r="CP47">
        <f>N(CS46)</f>
        <v/>
      </c>
      <c r="CQ47">
        <f>IF(N(CP47)&lt;=0.005,0,ROUND(N(CP47)*N('Debt List'!E6)/12,2))</f>
        <v/>
      </c>
      <c r="CR47">
        <f>IF(N(CP47)&lt;=0.005,0,MIN(N('Debt List'!F6),N(CP47)+N(CQ47)))+((DR47=2)*DT47+(DV47=2)*DX47+(DZ47=2)*EB47+(ED47=2)*EF47+(EH47=2)*EJ47+(EL47=2)*EN47+(EP47=2)*ER47+(ET47=2)*EV47)</f>
        <v/>
      </c>
      <c r="CS47">
        <f>MAX(0,ROUND(N(CP47)+N(CQ47)-N(CR47),2))</f>
        <v/>
      </c>
      <c r="CT47">
        <f>N(CW46)</f>
        <v/>
      </c>
      <c r="CU47">
        <f>IF(N(CT47)&lt;=0.005,0,ROUND(N(CT47)*N('Debt List'!E7)/12,2))</f>
        <v/>
      </c>
      <c r="CV47">
        <f>IF(N(CT47)&lt;=0.005,0,MIN(N('Debt List'!F7),N(CT47)+N(CU47)))+((DR47=3)*DT47+(DV47=3)*DX47+(DZ47=3)*EB47+(ED47=3)*EF47+(EH47=3)*EJ47+(EL47=3)*EN47+(EP47=3)*ER47+(ET47=3)*EV47)</f>
        <v/>
      </c>
      <c r="CW47">
        <f>MAX(0,ROUND(N(CT47)+N(CU47)-N(CV47),2))</f>
        <v/>
      </c>
      <c r="CX47">
        <f>N(DA46)</f>
        <v/>
      </c>
      <c r="CY47">
        <f>IF(N(CX47)&lt;=0.005,0,ROUND(N(CX47)*N('Debt List'!E8)/12,2))</f>
        <v/>
      </c>
      <c r="CZ47">
        <f>IF(N(CX47)&lt;=0.005,0,MIN(N('Debt List'!F8),N(CX47)+N(CY47)))+((DR47=4)*DT47+(DV47=4)*DX47+(DZ47=4)*EB47+(ED47=4)*EF47+(EH47=4)*EJ47+(EL47=4)*EN47+(EP47=4)*ER47+(ET47=4)*EV47)</f>
        <v/>
      </c>
      <c r="DA47">
        <f>MAX(0,ROUND(N(CX47)+N(CY47)-N(CZ47),2))</f>
        <v/>
      </c>
      <c r="DB47">
        <f>N(DE46)</f>
        <v/>
      </c>
      <c r="DC47">
        <f>IF(N(DB47)&lt;=0.005,0,ROUND(N(DB47)*N('Debt List'!E9)/12,2))</f>
        <v/>
      </c>
      <c r="DD47">
        <f>IF(N(DB47)&lt;=0.005,0,MIN(N('Debt List'!F9),N(DB47)+N(DC47)))+((DR47=5)*DT47+(DV47=5)*DX47+(DZ47=5)*EB47+(ED47=5)*EF47+(EH47=5)*EJ47+(EL47=5)*EN47+(EP47=5)*ER47+(ET47=5)*EV47)</f>
        <v/>
      </c>
      <c r="DE47">
        <f>MAX(0,ROUND(N(DB47)+N(DC47)-N(DD47),2))</f>
        <v/>
      </c>
      <c r="DF47">
        <f>N(DI46)</f>
        <v/>
      </c>
      <c r="DG47">
        <f>IF(N(DF47)&lt;=0.005,0,ROUND(N(DF47)*N('Debt List'!E10)/12,2))</f>
        <v/>
      </c>
      <c r="DH47">
        <f>IF(N(DF47)&lt;=0.005,0,MIN(N('Debt List'!F10),N(DF47)+N(DG47)))+((DR47=6)*DT47+(DV47=6)*DX47+(DZ47=6)*EB47+(ED47=6)*EF47+(EH47=6)*EJ47+(EL47=6)*EN47+(EP47=6)*ER47+(ET47=6)*EV47)</f>
        <v/>
      </c>
      <c r="DI47">
        <f>MAX(0,ROUND(N(DF47)+N(DG47)-N(DH47),2))</f>
        <v/>
      </c>
      <c r="DJ47">
        <f>N(DM46)</f>
        <v/>
      </c>
      <c r="DK47">
        <f>IF(N(DJ47)&lt;=0.005,0,ROUND(N(DJ47)*N('Debt List'!E11)/12,2))</f>
        <v/>
      </c>
      <c r="DL47">
        <f>IF(N(DJ47)&lt;=0.005,0,MIN(N('Debt List'!F11),N(DJ47)+N(DK47)))+((DR47=7)*DT47+(DV47=7)*DX47+(DZ47=7)*EB47+(ED47=7)*EF47+(EH47=7)*EJ47+(EL47=7)*EN47+(EP47=7)*ER47+(ET47=7)*EV47)</f>
        <v/>
      </c>
      <c r="DM47">
        <f>MAX(0,ROUND(N(DJ47)+N(DK47)-N(DL47),2))</f>
        <v/>
      </c>
      <c r="DN47">
        <f>N(DQ46)</f>
        <v/>
      </c>
      <c r="DO47">
        <f>IF(N(DN47)&lt;=0.005,0,ROUND(N(DN47)*N('Debt List'!E12)/12,2))</f>
        <v/>
      </c>
      <c r="DP47">
        <f>IF(N(DN47)&lt;=0.005,0,MIN(N('Debt List'!F12),N(DN47)+N(DO47)))+((DR47=8)*DT47+(DV47=8)*DX47+(DZ47=8)*EB47+(ED47=8)*EF47+(EH47=8)*EJ47+(EL47=8)*EN47+(EP47=8)*ER47+(ET47=8)*EV47)</f>
        <v/>
      </c>
      <c r="DQ47">
        <f>MAX(0,ROUND(N(DN47)+N(DO47)-N(DP47),2))</f>
        <v/>
      </c>
      <c r="DR47">
        <f>IFERROR(MATCH(1,OrderSnow,0),"")</f>
        <v/>
      </c>
      <c r="DS47">
        <f>IF(DR47="",0,IFERROR(IF(N(CHOOSE(DR47,CL47,CP47,CT47,CX47,DB47,DF47,DJ47,DN47))&lt;=0.005,0,MAX(0,N(CHOOSE(DR47,CL47,CP47,CT47,CX47,DB47,DF47,DJ47,DN47))+N(CHOOSE(DR47,CM47,CQ47,CU47,CY47,DC47,DG47,DK47,DO47))-MIN(N(CHOOSE(DR47,'Debt List'!$F$5,'Debt List'!$F$6,'Debt List'!$F$7,'Debt List'!$F$8,'Debt List'!$F$9,'Debt List'!$F$10,'Debt List'!$F$11,'Debt List'!$F$12)),N(CHOOSE(DR47,CL47,CP47,CT47,CX47,DB47,DF47,DJ47,DN47))+N(CHOOSE(DR47,CM47,CQ47,CU47,CY47,DC47,DG47,DK47,DO47))))),0))</f>
        <v/>
      </c>
      <c r="DT47">
        <f>MIN(N(DS47),MAX(0,N(ExtraPayment)))</f>
        <v/>
      </c>
      <c r="DU47">
        <f>MAX(0,N(ExtraPayment)-N(DT47))</f>
        <v/>
      </c>
      <c r="DV47">
        <f>IFERROR(MATCH(2,OrderSnow,0),"")</f>
        <v/>
      </c>
      <c r="DW47">
        <f>IF(DV47="",0,IFERROR(IF(N(CHOOSE(DV47,CL47,CP47,CT47,CX47,DB47,DF47,DJ47,DN47))&lt;=0.005,0,MAX(0,N(CHOOSE(DV47,CL47,CP47,CT47,CX47,DB47,DF47,DJ47,DN47))+N(CHOOSE(DV47,CM47,CQ47,CU47,CY47,DC47,DG47,DK47,DO47))-MIN(N(CHOOSE(DV47,'Debt List'!$F$5,'Debt List'!$F$6,'Debt List'!$F$7,'Debt List'!$F$8,'Debt List'!$F$9,'Debt List'!$F$10,'Debt List'!$F$11,'Debt List'!$F$12)),N(CHOOSE(DV47,CL47,CP47,CT47,CX47,DB47,DF47,DJ47,DN47))+N(CHOOSE(DV47,CM47,CQ47,CU47,CY47,DC47,DG47,DK47,DO47))))),0))</f>
        <v/>
      </c>
      <c r="DX47">
        <f>MIN(N(DW47),MAX(0,N(DU47)))</f>
        <v/>
      </c>
      <c r="DY47">
        <f>MAX(0,N(DU47)-N(DX47))</f>
        <v/>
      </c>
      <c r="DZ47">
        <f>IFERROR(MATCH(3,OrderSnow,0),"")</f>
        <v/>
      </c>
      <c r="EA47">
        <f>IF(DZ47="",0,IFERROR(IF(N(CHOOSE(DZ47,CL47,CP47,CT47,CX47,DB47,DF47,DJ47,DN47))&lt;=0.005,0,MAX(0,N(CHOOSE(DZ47,CL47,CP47,CT47,CX47,DB47,DF47,DJ47,DN47))+N(CHOOSE(DZ47,CM47,CQ47,CU47,CY47,DC47,DG47,DK47,DO47))-MIN(N(CHOOSE(DZ47,'Debt List'!$F$5,'Debt List'!$F$6,'Debt List'!$F$7,'Debt List'!$F$8,'Debt List'!$F$9,'Debt List'!$F$10,'Debt List'!$F$11,'Debt List'!$F$12)),N(CHOOSE(DZ47,CL47,CP47,CT47,CX47,DB47,DF47,DJ47,DN47))+N(CHOOSE(DZ47,CM47,CQ47,CU47,CY47,DC47,DG47,DK47,DO47))))),0))</f>
        <v/>
      </c>
      <c r="EB47">
        <f>MIN(N(EA47),MAX(0,N(DY47)))</f>
        <v/>
      </c>
      <c r="EC47">
        <f>MAX(0,N(DY47)-N(EB47))</f>
        <v/>
      </c>
      <c r="ED47">
        <f>IFERROR(MATCH(4,OrderSnow,0),"")</f>
        <v/>
      </c>
      <c r="EE47">
        <f>IF(ED47="",0,IFERROR(IF(N(CHOOSE(ED47,CL47,CP47,CT47,CX47,DB47,DF47,DJ47,DN47))&lt;=0.005,0,MAX(0,N(CHOOSE(ED47,CL47,CP47,CT47,CX47,DB47,DF47,DJ47,DN47))+N(CHOOSE(ED47,CM47,CQ47,CU47,CY47,DC47,DG47,DK47,DO47))-MIN(N(CHOOSE(ED47,'Debt List'!$F$5,'Debt List'!$F$6,'Debt List'!$F$7,'Debt List'!$F$8,'Debt List'!$F$9,'Debt List'!$F$10,'Debt List'!$F$11,'Debt List'!$F$12)),N(CHOOSE(ED47,CL47,CP47,CT47,CX47,DB47,DF47,DJ47,DN47))+N(CHOOSE(ED47,CM47,CQ47,CU47,CY47,DC47,DG47,DK47,DO47))))),0))</f>
        <v/>
      </c>
      <c r="EF47">
        <f>MIN(N(EE47),MAX(0,N(EC47)))</f>
        <v/>
      </c>
      <c r="EG47">
        <f>MAX(0,N(EC47)-N(EF47))</f>
        <v/>
      </c>
      <c r="EH47">
        <f>IFERROR(MATCH(5,OrderSnow,0),"")</f>
        <v/>
      </c>
      <c r="EI47">
        <f>IF(EH47="",0,IFERROR(IF(N(CHOOSE(EH47,CL47,CP47,CT47,CX47,DB47,DF47,DJ47,DN47))&lt;=0.005,0,MAX(0,N(CHOOSE(EH47,CL47,CP47,CT47,CX47,DB47,DF47,DJ47,DN47))+N(CHOOSE(EH47,CM47,CQ47,CU47,CY47,DC47,DG47,DK47,DO47))-MIN(N(CHOOSE(EH47,'Debt List'!$F$5,'Debt List'!$F$6,'Debt List'!$F$7,'Debt List'!$F$8,'Debt List'!$F$9,'Debt List'!$F$10,'Debt List'!$F$11,'Debt List'!$F$12)),N(CHOOSE(EH47,CL47,CP47,CT47,CX47,DB47,DF47,DJ47,DN47))+N(CHOOSE(EH47,CM47,CQ47,CU47,CY47,DC47,DG47,DK47,DO47))))),0))</f>
        <v/>
      </c>
      <c r="EJ47">
        <f>MIN(N(EI47),MAX(0,N(EG47)))</f>
        <v/>
      </c>
      <c r="EK47">
        <f>MAX(0,N(EG47)-N(EJ47))</f>
        <v/>
      </c>
      <c r="EL47">
        <f>IFERROR(MATCH(6,OrderSnow,0),"")</f>
        <v/>
      </c>
      <c r="EM47">
        <f>IF(EL47="",0,IFERROR(IF(N(CHOOSE(EL47,CL47,CP47,CT47,CX47,DB47,DF47,DJ47,DN47))&lt;=0.005,0,MAX(0,N(CHOOSE(EL47,CL47,CP47,CT47,CX47,DB47,DF47,DJ47,DN47))+N(CHOOSE(EL47,CM47,CQ47,CU47,CY47,DC47,DG47,DK47,DO47))-MIN(N(CHOOSE(EL47,'Debt List'!$F$5,'Debt List'!$F$6,'Debt List'!$F$7,'Debt List'!$F$8,'Debt List'!$F$9,'Debt List'!$F$10,'Debt List'!$F$11,'Debt List'!$F$12)),N(CHOOSE(EL47,CL47,CP47,CT47,CX47,DB47,DF47,DJ47,DN47))+N(CHOOSE(EL47,CM47,CQ47,CU47,CY47,DC47,DG47,DK47,DO47))))),0))</f>
        <v/>
      </c>
      <c r="EN47">
        <f>MIN(N(EM47),MAX(0,N(EK47)))</f>
        <v/>
      </c>
      <c r="EO47">
        <f>MAX(0,N(EK47)-N(EN47))</f>
        <v/>
      </c>
      <c r="EP47">
        <f>IFERROR(MATCH(7,OrderSnow,0),"")</f>
        <v/>
      </c>
      <c r="EQ47">
        <f>IF(EP47="",0,IFERROR(IF(N(CHOOSE(EP47,CL47,CP47,CT47,CX47,DB47,DF47,DJ47,DN47))&lt;=0.005,0,MAX(0,N(CHOOSE(EP47,CL47,CP47,CT47,CX47,DB47,DF47,DJ47,DN47))+N(CHOOSE(EP47,CM47,CQ47,CU47,CY47,DC47,DG47,DK47,DO47))-MIN(N(CHOOSE(EP47,'Debt List'!$F$5,'Debt List'!$F$6,'Debt List'!$F$7,'Debt List'!$F$8,'Debt List'!$F$9,'Debt List'!$F$10,'Debt List'!$F$11,'Debt List'!$F$12)),N(CHOOSE(EP47,CL47,CP47,CT47,CX47,DB47,DF47,DJ47,DN47))+N(CHOOSE(EP47,CM47,CQ47,CU47,CY47,DC47,DG47,DK47,DO47))))),0))</f>
        <v/>
      </c>
      <c r="ER47">
        <f>MIN(N(EQ47),MAX(0,N(EO47)))</f>
        <v/>
      </c>
      <c r="ES47">
        <f>MAX(0,N(EO47)-N(ER47))</f>
        <v/>
      </c>
      <c r="ET47">
        <f>IFERROR(MATCH(8,OrderSnow,0),"")</f>
        <v/>
      </c>
      <c r="EU47">
        <f>IF(ET47="",0,IFERROR(IF(N(CHOOSE(ET47,CL47,CP47,CT47,CX47,DB47,DF47,DJ47,DN47))&lt;=0.005,0,MAX(0,N(CHOOSE(ET47,CL47,CP47,CT47,CX47,DB47,DF47,DJ47,DN47))+N(CHOOSE(ET47,CM47,CQ47,CU47,CY47,DC47,DG47,DK47,DO47))-MIN(N(CHOOSE(ET47,'Debt List'!$F$5,'Debt List'!$F$6,'Debt List'!$F$7,'Debt List'!$F$8,'Debt List'!$F$9,'Debt List'!$F$10,'Debt List'!$F$11,'Debt List'!$F$12)),N(CHOOSE(ET47,CL47,CP47,CT47,CX47,DB47,DF47,DJ47,DN47))+N(CHOOSE(ET47,CM47,CQ47,CU47,CY47,DC47,DG47,DK47,DO47))))),0))</f>
        <v/>
      </c>
      <c r="EV47">
        <f>MIN(N(EU47),MAX(0,N(ES47)))</f>
        <v/>
      </c>
      <c r="EW47">
        <f>MAX(0,N(ES47)-N(EV47))</f>
        <v/>
      </c>
      <c r="FE47" t="n">
        <v>43</v>
      </c>
      <c r="FF47" s="115">
        <f>DATE(YEAR(PlanStart),MONTH(PlanStart)+FE47-1,1)</f>
        <v/>
      </c>
      <c r="FG47">
        <f>IF(AND(GT47&lt;&gt;"",N(CHOOSE(GT47,FN47,FR47,FV47,FZ47,GD47,GH47,GL47,GP47))&gt;0.005),INDEX(DebtNames,GT47),IF(AND(GX47&lt;&gt;"",N(CHOOSE(GX47,FN47,FR47,FV47,FZ47,GD47,GH47,GL47,GP47))&gt;0.005),INDEX(DebtNames,GX47),IF(AND(HB47&lt;&gt;"",N(CHOOSE(HB47,FN47,FR47,FV47,FZ47,GD47,GH47,GL47,GP47))&gt;0.005),INDEX(DebtNames,HB47),IF(AND(HF47&lt;&gt;"",N(CHOOSE(HF47,FN47,FR47,FV47,FZ47,GD47,GH47,GL47,GP47))&gt;0.005),INDEX(DebtNames,HF47),IF(AND(HJ47&lt;&gt;"",N(CHOOSE(HJ47,FN47,FR47,FV47,FZ47,GD47,GH47,GL47,GP47))&gt;0.005),INDEX(DebtNames,HJ47),IF(AND(HN47&lt;&gt;"",N(CHOOSE(HN47,FN47,FR47,FV47,FZ47,GD47,GH47,GL47,GP47))&gt;0.005),INDEX(DebtNames,HN47),IF(AND(HR47&lt;&gt;"",N(CHOOSE(HR47,FN47,FR47,FV47,FZ47,GD47,GH47,GL47,GP47))&gt;0.005),INDEX(DebtNames,HR47),IF(AND(HV47&lt;&gt;"",N(CHOOSE(HV47,FN47,FR47,FV47,FZ47,GD47,GH47,GL47,GP47))&gt;0.005),INDEX(DebtNames,HV47),""))))))))</f>
        <v/>
      </c>
      <c r="FH47">
        <f>N(HY47)</f>
        <v/>
      </c>
      <c r="FI47">
        <f>N(FP47)+N(FT47)+N(FX47)+N(GB47)+N(GF47)+N(GJ47)+N(GN47)+N(GR47)</f>
        <v/>
      </c>
      <c r="FJ47">
        <f>N(FO47)+N(FS47)+N(FW47)+N(GA47)+N(GE47)+N(GI47)+N(GM47)+N(GQ47)</f>
        <v/>
      </c>
      <c r="FK47">
        <f>N(FK46)+N(FJ47)</f>
        <v/>
      </c>
      <c r="FL47">
        <f>N(FQ47)+N(FU47)+N(FY47)+N(GC47)+N(GG47)+N(GK47)+N(GO47)+N(GS47)</f>
        <v/>
      </c>
      <c r="FM47">
        <f>(FQ47&gt;0.005)*1+(FU47&gt;0.005)*1+(FY47&gt;0.005)*1+(GC47&gt;0.005)*1+(GG47&gt;0.005)*1+(GK47&gt;0.005)*1+(GO47&gt;0.005)*1+(GS47&gt;0.005)*1</f>
        <v/>
      </c>
      <c r="FN47">
        <f>N(FQ46)</f>
        <v/>
      </c>
      <c r="FO47">
        <f>IF(N(FN47)&lt;=0.005,0,ROUND(N(FN47)*N('Debt List'!E5)/12,2))</f>
        <v/>
      </c>
      <c r="FP47">
        <f>IF(N(FN47)&lt;=0.005,0,MIN(N('Debt List'!F5),N(FN47)+N(FO47)))+((GT47=1)*GV47+(GX47=1)*GZ47+(HB47=1)*HD47+(HF47=1)*HH47+(HJ47=1)*HL47+(HN47=1)*HP47+(HR47=1)*HT47+(HV47=1)*HX47)</f>
        <v/>
      </c>
      <c r="FQ47">
        <f>MAX(0,ROUND(N(FN47)+N(FO47)-N(FP47),2))</f>
        <v/>
      </c>
      <c r="FR47">
        <f>N(FU46)</f>
        <v/>
      </c>
      <c r="FS47">
        <f>IF(N(FR47)&lt;=0.005,0,ROUND(N(FR47)*N('Debt List'!E6)/12,2))</f>
        <v/>
      </c>
      <c r="FT47">
        <f>IF(N(FR47)&lt;=0.005,0,MIN(N('Debt List'!F6),N(FR47)+N(FS47)))+((GT47=2)*GV47+(GX47=2)*GZ47+(HB47=2)*HD47+(HF47=2)*HH47+(HJ47=2)*HL47+(HN47=2)*HP47+(HR47=2)*HT47+(HV47=2)*HX47)</f>
        <v/>
      </c>
      <c r="FU47">
        <f>MAX(0,ROUND(N(FR47)+N(FS47)-N(FT47),2))</f>
        <v/>
      </c>
      <c r="FV47">
        <f>N(FY46)</f>
        <v/>
      </c>
      <c r="FW47">
        <f>IF(N(FV47)&lt;=0.005,0,ROUND(N(FV47)*N('Debt List'!E7)/12,2))</f>
        <v/>
      </c>
      <c r="FX47">
        <f>IF(N(FV47)&lt;=0.005,0,MIN(N('Debt List'!F7),N(FV47)+N(FW47)))+((GT47=3)*GV47+(GX47=3)*GZ47+(HB47=3)*HD47+(HF47=3)*HH47+(HJ47=3)*HL47+(HN47=3)*HP47+(HR47=3)*HT47+(HV47=3)*HX47)</f>
        <v/>
      </c>
      <c r="FY47">
        <f>MAX(0,ROUND(N(FV47)+N(FW47)-N(FX47),2))</f>
        <v/>
      </c>
      <c r="FZ47">
        <f>N(GC46)</f>
        <v/>
      </c>
      <c r="GA47">
        <f>IF(N(FZ47)&lt;=0.005,0,ROUND(N(FZ47)*N('Debt List'!E8)/12,2))</f>
        <v/>
      </c>
      <c r="GB47">
        <f>IF(N(FZ47)&lt;=0.005,0,MIN(N('Debt List'!F8),N(FZ47)+N(GA47)))+((GT47=4)*GV47+(GX47=4)*GZ47+(HB47=4)*HD47+(HF47=4)*HH47+(HJ47=4)*HL47+(HN47=4)*HP47+(HR47=4)*HT47+(HV47=4)*HX47)</f>
        <v/>
      </c>
      <c r="GC47">
        <f>MAX(0,ROUND(N(FZ47)+N(GA47)-N(GB47),2))</f>
        <v/>
      </c>
      <c r="GD47">
        <f>N(GG46)</f>
        <v/>
      </c>
      <c r="GE47">
        <f>IF(N(GD47)&lt;=0.005,0,ROUND(N(GD47)*N('Debt List'!E9)/12,2))</f>
        <v/>
      </c>
      <c r="GF47">
        <f>IF(N(GD47)&lt;=0.005,0,MIN(N('Debt List'!F9),N(GD47)+N(GE47)))+((GT47=5)*GV47+(GX47=5)*GZ47+(HB47=5)*HD47+(HF47=5)*HH47+(HJ47=5)*HL47+(HN47=5)*HP47+(HR47=5)*HT47+(HV47=5)*HX47)</f>
        <v/>
      </c>
      <c r="GG47">
        <f>MAX(0,ROUND(N(GD47)+N(GE47)-N(GF47),2))</f>
        <v/>
      </c>
      <c r="GH47">
        <f>N(GK46)</f>
        <v/>
      </c>
      <c r="GI47">
        <f>IF(N(GH47)&lt;=0.005,0,ROUND(N(GH47)*N('Debt List'!E10)/12,2))</f>
        <v/>
      </c>
      <c r="GJ47">
        <f>IF(N(GH47)&lt;=0.005,0,MIN(N('Debt List'!F10),N(GH47)+N(GI47)))+((GT47=6)*GV47+(GX47=6)*GZ47+(HB47=6)*HD47+(HF47=6)*HH47+(HJ47=6)*HL47+(HN47=6)*HP47+(HR47=6)*HT47+(HV47=6)*HX47)</f>
        <v/>
      </c>
      <c r="GK47">
        <f>MAX(0,ROUND(N(GH47)+N(GI47)-N(GJ47),2))</f>
        <v/>
      </c>
      <c r="GL47">
        <f>N(GO46)</f>
        <v/>
      </c>
      <c r="GM47">
        <f>IF(N(GL47)&lt;=0.005,0,ROUND(N(GL47)*N('Debt List'!E11)/12,2))</f>
        <v/>
      </c>
      <c r="GN47">
        <f>IF(N(GL47)&lt;=0.005,0,MIN(N('Debt List'!F11),N(GL47)+N(GM47)))+((GT47=7)*GV47+(GX47=7)*GZ47+(HB47=7)*HD47+(HF47=7)*HH47+(HJ47=7)*HL47+(HN47=7)*HP47+(HR47=7)*HT47+(HV47=7)*HX47)</f>
        <v/>
      </c>
      <c r="GO47">
        <f>MAX(0,ROUND(N(GL47)+N(GM47)-N(GN47),2))</f>
        <v/>
      </c>
      <c r="GP47">
        <f>N(GS46)</f>
        <v/>
      </c>
      <c r="GQ47">
        <f>IF(N(GP47)&lt;=0.005,0,ROUND(N(GP47)*N('Debt List'!E12)/12,2))</f>
        <v/>
      </c>
      <c r="GR47">
        <f>IF(N(GP47)&lt;=0.005,0,MIN(N('Debt List'!F12),N(GP47)+N(GQ47)))+((GT47=8)*GV47+(GX47=8)*GZ47+(HB47=8)*HD47+(HF47=8)*HH47+(HJ47=8)*HL47+(HN47=8)*HP47+(HR47=8)*HT47+(HV47=8)*HX47)</f>
        <v/>
      </c>
      <c r="GS47">
        <f>MAX(0,ROUND(N(GP47)+N(GQ47)-N(GR47),2))</f>
        <v/>
      </c>
      <c r="GT47">
        <f>IFERROR(MATCH(1,OrderAval,0),"")</f>
        <v/>
      </c>
      <c r="GU47">
        <f>IF(GT47="",0,IFERROR(IF(N(CHOOSE(GT47,FN47,FR47,FV47,FZ47,GD47,GH47,GL47,GP47))&lt;=0.005,0,MAX(0,N(CHOOSE(GT47,FN47,FR47,FV47,FZ47,GD47,GH47,GL47,GP47))+N(CHOOSE(GT47,FO47,FS47,FW47,GA47,GE47,GI47,GM47,GQ47))-MIN(N(CHOOSE(GT47,'Debt List'!$F$5,'Debt List'!$F$6,'Debt List'!$F$7,'Debt List'!$F$8,'Debt List'!$F$9,'Debt List'!$F$10,'Debt List'!$F$11,'Debt List'!$F$12)),N(CHOOSE(GT47,FN47,FR47,FV47,FZ47,GD47,GH47,GL47,GP47))+N(CHOOSE(GT47,FO47,FS47,FW47,GA47,GE47,GI47,GM47,GQ47))))),0))</f>
        <v/>
      </c>
      <c r="GV47">
        <f>MIN(N(GU47),MAX(0,N(ExtraPayment)))</f>
        <v/>
      </c>
      <c r="GW47">
        <f>MAX(0,N(ExtraPayment)-N(GV47))</f>
        <v/>
      </c>
      <c r="GX47">
        <f>IFERROR(MATCH(2,OrderAval,0),"")</f>
        <v/>
      </c>
      <c r="GY47">
        <f>IF(GX47="",0,IFERROR(IF(N(CHOOSE(GX47,FN47,FR47,FV47,FZ47,GD47,GH47,GL47,GP47))&lt;=0.005,0,MAX(0,N(CHOOSE(GX47,FN47,FR47,FV47,FZ47,GD47,GH47,GL47,GP47))+N(CHOOSE(GX47,FO47,FS47,FW47,GA47,GE47,GI47,GM47,GQ47))-MIN(N(CHOOSE(GX47,'Debt List'!$F$5,'Debt List'!$F$6,'Debt List'!$F$7,'Debt List'!$F$8,'Debt List'!$F$9,'Debt List'!$F$10,'Debt List'!$F$11,'Debt List'!$F$12)),N(CHOOSE(GX47,FN47,FR47,FV47,FZ47,GD47,GH47,GL47,GP47))+N(CHOOSE(GX47,FO47,FS47,FW47,GA47,GE47,GI47,GM47,GQ47))))),0))</f>
        <v/>
      </c>
      <c r="GZ47">
        <f>MIN(N(GY47),MAX(0,N(GW47)))</f>
        <v/>
      </c>
      <c r="HA47">
        <f>MAX(0,N(GW47)-N(GZ47))</f>
        <v/>
      </c>
      <c r="HB47">
        <f>IFERROR(MATCH(3,OrderAval,0),"")</f>
        <v/>
      </c>
      <c r="HC47">
        <f>IF(HB47="",0,IFERROR(IF(N(CHOOSE(HB47,FN47,FR47,FV47,FZ47,GD47,GH47,GL47,GP47))&lt;=0.005,0,MAX(0,N(CHOOSE(HB47,FN47,FR47,FV47,FZ47,GD47,GH47,GL47,GP47))+N(CHOOSE(HB47,FO47,FS47,FW47,GA47,GE47,GI47,GM47,GQ47))-MIN(N(CHOOSE(HB47,'Debt List'!$F$5,'Debt List'!$F$6,'Debt List'!$F$7,'Debt List'!$F$8,'Debt List'!$F$9,'Debt List'!$F$10,'Debt List'!$F$11,'Debt List'!$F$12)),N(CHOOSE(HB47,FN47,FR47,FV47,FZ47,GD47,GH47,GL47,GP47))+N(CHOOSE(HB47,FO47,FS47,FW47,GA47,GE47,GI47,GM47,GQ47))))),0))</f>
        <v/>
      </c>
      <c r="HD47">
        <f>MIN(N(HC47),MAX(0,N(HA47)))</f>
        <v/>
      </c>
      <c r="HE47">
        <f>MAX(0,N(HA47)-N(HD47))</f>
        <v/>
      </c>
      <c r="HF47">
        <f>IFERROR(MATCH(4,OrderAval,0),"")</f>
        <v/>
      </c>
      <c r="HG47">
        <f>IF(HF47="",0,IFERROR(IF(N(CHOOSE(HF47,FN47,FR47,FV47,FZ47,GD47,GH47,GL47,GP47))&lt;=0.005,0,MAX(0,N(CHOOSE(HF47,FN47,FR47,FV47,FZ47,GD47,GH47,GL47,GP47))+N(CHOOSE(HF47,FO47,FS47,FW47,GA47,GE47,GI47,GM47,GQ47))-MIN(N(CHOOSE(HF47,'Debt List'!$F$5,'Debt List'!$F$6,'Debt List'!$F$7,'Debt List'!$F$8,'Debt List'!$F$9,'Debt List'!$F$10,'Debt List'!$F$11,'Debt List'!$F$12)),N(CHOOSE(HF47,FN47,FR47,FV47,FZ47,GD47,GH47,GL47,GP47))+N(CHOOSE(HF47,FO47,FS47,FW47,GA47,GE47,GI47,GM47,GQ47))))),0))</f>
        <v/>
      </c>
      <c r="HH47">
        <f>MIN(N(HG47),MAX(0,N(HE47)))</f>
        <v/>
      </c>
      <c r="HI47">
        <f>MAX(0,N(HE47)-N(HH47))</f>
        <v/>
      </c>
      <c r="HJ47">
        <f>IFERROR(MATCH(5,OrderAval,0),"")</f>
        <v/>
      </c>
      <c r="HK47">
        <f>IF(HJ47="",0,IFERROR(IF(N(CHOOSE(HJ47,FN47,FR47,FV47,FZ47,GD47,GH47,GL47,GP47))&lt;=0.005,0,MAX(0,N(CHOOSE(HJ47,FN47,FR47,FV47,FZ47,GD47,GH47,GL47,GP47))+N(CHOOSE(HJ47,FO47,FS47,FW47,GA47,GE47,GI47,GM47,GQ47))-MIN(N(CHOOSE(HJ47,'Debt List'!$F$5,'Debt List'!$F$6,'Debt List'!$F$7,'Debt List'!$F$8,'Debt List'!$F$9,'Debt List'!$F$10,'Debt List'!$F$11,'Debt List'!$F$12)),N(CHOOSE(HJ47,FN47,FR47,FV47,FZ47,GD47,GH47,GL47,GP47))+N(CHOOSE(HJ47,FO47,FS47,FW47,GA47,GE47,GI47,GM47,GQ47))))),0))</f>
        <v/>
      </c>
      <c r="HL47">
        <f>MIN(N(HK47),MAX(0,N(HI47)))</f>
        <v/>
      </c>
      <c r="HM47">
        <f>MAX(0,N(HI47)-N(HL47))</f>
        <v/>
      </c>
      <c r="HN47">
        <f>IFERROR(MATCH(6,OrderAval,0),"")</f>
        <v/>
      </c>
      <c r="HO47">
        <f>IF(HN47="",0,IFERROR(IF(N(CHOOSE(HN47,FN47,FR47,FV47,FZ47,GD47,GH47,GL47,GP47))&lt;=0.005,0,MAX(0,N(CHOOSE(HN47,FN47,FR47,FV47,FZ47,GD47,GH47,GL47,GP47))+N(CHOOSE(HN47,FO47,FS47,FW47,GA47,GE47,GI47,GM47,GQ47))-MIN(N(CHOOSE(HN47,'Debt List'!$F$5,'Debt List'!$F$6,'Debt List'!$F$7,'Debt List'!$F$8,'Debt List'!$F$9,'Debt List'!$F$10,'Debt List'!$F$11,'Debt List'!$F$12)),N(CHOOSE(HN47,FN47,FR47,FV47,FZ47,GD47,GH47,GL47,GP47))+N(CHOOSE(HN47,FO47,FS47,FW47,GA47,GE47,GI47,GM47,GQ47))))),0))</f>
        <v/>
      </c>
      <c r="HP47">
        <f>MIN(N(HO47),MAX(0,N(HM47)))</f>
        <v/>
      </c>
      <c r="HQ47">
        <f>MAX(0,N(HM47)-N(HP47))</f>
        <v/>
      </c>
      <c r="HR47">
        <f>IFERROR(MATCH(7,OrderAval,0),"")</f>
        <v/>
      </c>
      <c r="HS47">
        <f>IF(HR47="",0,IFERROR(IF(N(CHOOSE(HR47,FN47,FR47,FV47,FZ47,GD47,GH47,GL47,GP47))&lt;=0.005,0,MAX(0,N(CHOOSE(HR47,FN47,FR47,FV47,FZ47,GD47,GH47,GL47,GP47))+N(CHOOSE(HR47,FO47,FS47,FW47,GA47,GE47,GI47,GM47,GQ47))-MIN(N(CHOOSE(HR47,'Debt List'!$F$5,'Debt List'!$F$6,'Debt List'!$F$7,'Debt List'!$F$8,'Debt List'!$F$9,'Debt List'!$F$10,'Debt List'!$F$11,'Debt List'!$F$12)),N(CHOOSE(HR47,FN47,FR47,FV47,FZ47,GD47,GH47,GL47,GP47))+N(CHOOSE(HR47,FO47,FS47,FW47,GA47,GE47,GI47,GM47,GQ47))))),0))</f>
        <v/>
      </c>
      <c r="HT47">
        <f>MIN(N(HS47),MAX(0,N(HQ47)))</f>
        <v/>
      </c>
      <c r="HU47">
        <f>MAX(0,N(HQ47)-N(HT47))</f>
        <v/>
      </c>
      <c r="HV47">
        <f>IFERROR(MATCH(8,OrderAval,0),"")</f>
        <v/>
      </c>
      <c r="HW47">
        <f>IF(HV47="",0,IFERROR(IF(N(CHOOSE(HV47,FN47,FR47,FV47,FZ47,GD47,GH47,GL47,GP47))&lt;=0.005,0,MAX(0,N(CHOOSE(HV47,FN47,FR47,FV47,FZ47,GD47,GH47,GL47,GP47))+N(CHOOSE(HV47,FO47,FS47,FW47,GA47,GE47,GI47,GM47,GQ47))-MIN(N(CHOOSE(HV47,'Debt List'!$F$5,'Debt List'!$F$6,'Debt List'!$F$7,'Debt List'!$F$8,'Debt List'!$F$9,'Debt List'!$F$10,'Debt List'!$F$11,'Debt List'!$F$12)),N(CHOOSE(HV47,FN47,FR47,FV47,FZ47,GD47,GH47,GL47,GP47))+N(CHOOSE(HV47,FO47,FS47,FW47,GA47,GE47,GI47,GM47,GQ47))))),0))</f>
        <v/>
      </c>
      <c r="HX47">
        <f>MIN(N(HW47),MAX(0,N(HU47)))</f>
        <v/>
      </c>
      <c r="HY47">
        <f>MAX(0,N(HU47)-N(HX47))</f>
        <v/>
      </c>
    </row>
    <row r="48">
      <c r="A48" t="n">
        <v>44</v>
      </c>
      <c r="B48" s="115">
        <f>DATE(YEAR(PlanStart),MONTH(PlanStart)+A48-1,1)</f>
        <v/>
      </c>
      <c r="C48">
        <f>IF(AND(AP48&lt;&gt;"",N(CHOOSE(AP48,J48,N48,R48,V48,Z48,AD48,AH48,AL48))&gt;0.005),INDEX(DebtNames,AP48),IF(AND(AT48&lt;&gt;"",N(CHOOSE(AT48,J48,N48,R48,V48,Z48,AD48,AH48,AL48))&gt;0.005),INDEX(DebtNames,AT48),IF(AND(AX48&lt;&gt;"",N(CHOOSE(AX48,J48,N48,R48,V48,Z48,AD48,AH48,AL48))&gt;0.005),INDEX(DebtNames,AX48),IF(AND(BB48&lt;&gt;"",N(CHOOSE(BB48,J48,N48,R48,V48,Z48,AD48,AH48,AL48))&gt;0.005),INDEX(DebtNames,BB48),IF(AND(BF48&lt;&gt;"",N(CHOOSE(BF48,J48,N48,R48,V48,Z48,AD48,AH48,AL48))&gt;0.005),INDEX(DebtNames,BF48),IF(AND(BJ48&lt;&gt;"",N(CHOOSE(BJ48,J48,N48,R48,V48,Z48,AD48,AH48,AL48))&gt;0.005),INDEX(DebtNames,BJ48),IF(AND(BN48&lt;&gt;"",N(CHOOSE(BN48,J48,N48,R48,V48,Z48,AD48,AH48,AL48))&gt;0.005),INDEX(DebtNames,BN48),IF(AND(BR48&lt;&gt;"",N(CHOOSE(BR48,J48,N48,R48,V48,Z48,AD48,AH48,AL48))&gt;0.005),INDEX(DebtNames,BR48),""))))))))</f>
        <v/>
      </c>
      <c r="D48">
        <f>N(BU48)</f>
        <v/>
      </c>
      <c r="E48">
        <f>N(L48)+N(P48)+N(T48)+N(X48)+N(AB48)+N(AF48)+N(AJ48)+N(AN48)</f>
        <v/>
      </c>
      <c r="F48">
        <f>N(K48)+N(O48)+N(S48)+N(W48)+N(AA48)+N(AE48)+N(AI48)+N(AM48)</f>
        <v/>
      </c>
      <c r="G48">
        <f>N(G47)+N(F48)</f>
        <v/>
      </c>
      <c r="H48">
        <f>N(M48)+N(Q48)+N(U48)+N(Y48)+N(AC48)+N(AG48)+N(AK48)+N(AO48)</f>
        <v/>
      </c>
      <c r="I48">
        <f>(M48&gt;0.005)*1+(Q48&gt;0.005)*1+(U48&gt;0.005)*1+(Y48&gt;0.005)*1+(AC48&gt;0.005)*1+(AG48&gt;0.005)*1+(AK48&gt;0.005)*1+(AO48&gt;0.005)*1</f>
        <v/>
      </c>
      <c r="J48">
        <f>N(M47)</f>
        <v/>
      </c>
      <c r="K48">
        <f>IF(N(J48)&lt;=0.005,0,ROUND(N(J48)*N('Debt List'!E5)/12,2))</f>
        <v/>
      </c>
      <c r="L48">
        <f>IF(N(J48)&lt;=0.005,0,MIN(N('Debt List'!F5),N(J48)+N(K48)))+((AP48=1)*AR48+(AT48=1)*AV48+(AX48=1)*AZ48+(BB48=1)*BD48+(BF48=1)*BH48+(BJ48=1)*BL48+(BN48=1)*BP48+(BR48=1)*BT48)</f>
        <v/>
      </c>
      <c r="M48">
        <f>MAX(0,ROUND(N(J48)+N(K48)-N(L48),2))</f>
        <v/>
      </c>
      <c r="N48">
        <f>N(Q47)</f>
        <v/>
      </c>
      <c r="O48">
        <f>IF(N(N48)&lt;=0.005,0,ROUND(N(N48)*N('Debt List'!E6)/12,2))</f>
        <v/>
      </c>
      <c r="P48">
        <f>IF(N(N48)&lt;=0.005,0,MIN(N('Debt List'!F6),N(N48)+N(O48)))+((AP48=2)*AR48+(AT48=2)*AV48+(AX48=2)*AZ48+(BB48=2)*BD48+(BF48=2)*BH48+(BJ48=2)*BL48+(BN48=2)*BP48+(BR48=2)*BT48)</f>
        <v/>
      </c>
      <c r="Q48">
        <f>MAX(0,ROUND(N(N48)+N(O48)-N(P48),2))</f>
        <v/>
      </c>
      <c r="R48">
        <f>N(U47)</f>
        <v/>
      </c>
      <c r="S48">
        <f>IF(N(R48)&lt;=0.005,0,ROUND(N(R48)*N('Debt List'!E7)/12,2))</f>
        <v/>
      </c>
      <c r="T48">
        <f>IF(N(R48)&lt;=0.005,0,MIN(N('Debt List'!F7),N(R48)+N(S48)))+((AP48=3)*AR48+(AT48=3)*AV48+(AX48=3)*AZ48+(BB48=3)*BD48+(BF48=3)*BH48+(BJ48=3)*BL48+(BN48=3)*BP48+(BR48=3)*BT48)</f>
        <v/>
      </c>
      <c r="U48">
        <f>MAX(0,ROUND(N(R48)+N(S48)-N(T48),2))</f>
        <v/>
      </c>
      <c r="V48">
        <f>N(Y47)</f>
        <v/>
      </c>
      <c r="W48">
        <f>IF(N(V48)&lt;=0.005,0,ROUND(N(V48)*N('Debt List'!E8)/12,2))</f>
        <v/>
      </c>
      <c r="X48">
        <f>IF(N(V48)&lt;=0.005,0,MIN(N('Debt List'!F8),N(V48)+N(W48)))+((AP48=4)*AR48+(AT48=4)*AV48+(AX48=4)*AZ48+(BB48=4)*BD48+(BF48=4)*BH48+(BJ48=4)*BL48+(BN48=4)*BP48+(BR48=4)*BT48)</f>
        <v/>
      </c>
      <c r="Y48">
        <f>MAX(0,ROUND(N(V48)+N(W48)-N(X48),2))</f>
        <v/>
      </c>
      <c r="Z48">
        <f>N(AC47)</f>
        <v/>
      </c>
      <c r="AA48">
        <f>IF(N(Z48)&lt;=0.005,0,ROUND(N(Z48)*N('Debt List'!E9)/12,2))</f>
        <v/>
      </c>
      <c r="AB48">
        <f>IF(N(Z48)&lt;=0.005,0,MIN(N('Debt List'!F9),N(Z48)+N(AA48)))+((AP48=5)*AR48+(AT48=5)*AV48+(AX48=5)*AZ48+(BB48=5)*BD48+(BF48=5)*BH48+(BJ48=5)*BL48+(BN48=5)*BP48+(BR48=5)*BT48)</f>
        <v/>
      </c>
      <c r="AC48">
        <f>MAX(0,ROUND(N(Z48)+N(AA48)-N(AB48),2))</f>
        <v/>
      </c>
      <c r="AD48">
        <f>N(AG47)</f>
        <v/>
      </c>
      <c r="AE48">
        <f>IF(N(AD48)&lt;=0.005,0,ROUND(N(AD48)*N('Debt List'!E10)/12,2))</f>
        <v/>
      </c>
      <c r="AF48">
        <f>IF(N(AD48)&lt;=0.005,0,MIN(N('Debt List'!F10),N(AD48)+N(AE48)))+((AP48=6)*AR48+(AT48=6)*AV48+(AX48=6)*AZ48+(BB48=6)*BD48+(BF48=6)*BH48+(BJ48=6)*BL48+(BN48=6)*BP48+(BR48=6)*BT48)</f>
        <v/>
      </c>
      <c r="AG48">
        <f>MAX(0,ROUND(N(AD48)+N(AE48)-N(AF48),2))</f>
        <v/>
      </c>
      <c r="AH48">
        <f>N(AK47)</f>
        <v/>
      </c>
      <c r="AI48">
        <f>IF(N(AH48)&lt;=0.005,0,ROUND(N(AH48)*N('Debt List'!E11)/12,2))</f>
        <v/>
      </c>
      <c r="AJ48">
        <f>IF(N(AH48)&lt;=0.005,0,MIN(N('Debt List'!F11),N(AH48)+N(AI48)))+((AP48=7)*AR48+(AT48=7)*AV48+(AX48=7)*AZ48+(BB48=7)*BD48+(BF48=7)*BH48+(BJ48=7)*BL48+(BN48=7)*BP48+(BR48=7)*BT48)</f>
        <v/>
      </c>
      <c r="AK48">
        <f>MAX(0,ROUND(N(AH48)+N(AI48)-N(AJ48),2))</f>
        <v/>
      </c>
      <c r="AL48">
        <f>N(AO47)</f>
        <v/>
      </c>
      <c r="AM48">
        <f>IF(N(AL48)&lt;=0.005,0,ROUND(N(AL48)*N('Debt List'!E12)/12,2))</f>
        <v/>
      </c>
      <c r="AN48">
        <f>IF(N(AL48)&lt;=0.005,0,MIN(N('Debt List'!F12),N(AL48)+N(AM48)))+((AP48=8)*AR48+(AT48=8)*AV48+(AX48=8)*AZ48+(BB48=8)*BD48+(BF48=8)*BH48+(BJ48=8)*BL48+(BN48=8)*BP48+(BR48=8)*BT48)</f>
        <v/>
      </c>
      <c r="AO48">
        <f>MAX(0,ROUND(N(AL48)+N(AM48)-N(AN48),2))</f>
        <v/>
      </c>
      <c r="AP48">
        <f>IFERROR(MATCH(1,OrderPlan,0),"")</f>
        <v/>
      </c>
      <c r="AQ48">
        <f>IF(AP48="",0,IFERROR(IF(N(CHOOSE(AP48,J48,N48,R48,V48,Z48,AD48,AH48,AL48))&lt;=0.005,0,MAX(0,N(CHOOSE(AP48,J48,N48,R48,V48,Z48,AD48,AH48,AL48))+N(CHOOSE(AP48,K48,O48,S48,W48,AA48,AE48,AI48,AM48))-MIN(N(CHOOSE(AP48,'Debt List'!$F$5,'Debt List'!$F$6,'Debt List'!$F$7,'Debt List'!$F$8,'Debt List'!$F$9,'Debt List'!$F$10,'Debt List'!$F$11,'Debt List'!$F$12)),N(CHOOSE(AP48,J48,N48,R48,V48,Z48,AD48,AH48,AL48))+N(CHOOSE(AP48,K48,O48,S48,W48,AA48,AE48,AI48,AM48))))),0))</f>
        <v/>
      </c>
      <c r="AR48">
        <f>MIN(N(AQ48),MAX(0,N(ExtraPayment)))</f>
        <v/>
      </c>
      <c r="AS48">
        <f>MAX(0,N(ExtraPayment)-N(AR48))</f>
        <v/>
      </c>
      <c r="AT48">
        <f>IFERROR(MATCH(2,OrderPlan,0),"")</f>
        <v/>
      </c>
      <c r="AU48">
        <f>IF(AT48="",0,IFERROR(IF(N(CHOOSE(AT48,J48,N48,R48,V48,Z48,AD48,AH48,AL48))&lt;=0.005,0,MAX(0,N(CHOOSE(AT48,J48,N48,R48,V48,Z48,AD48,AH48,AL48))+N(CHOOSE(AT48,K48,O48,S48,W48,AA48,AE48,AI48,AM48))-MIN(N(CHOOSE(AT48,'Debt List'!$F$5,'Debt List'!$F$6,'Debt List'!$F$7,'Debt List'!$F$8,'Debt List'!$F$9,'Debt List'!$F$10,'Debt List'!$F$11,'Debt List'!$F$12)),N(CHOOSE(AT48,J48,N48,R48,V48,Z48,AD48,AH48,AL48))+N(CHOOSE(AT48,K48,O48,S48,W48,AA48,AE48,AI48,AM48))))),0))</f>
        <v/>
      </c>
      <c r="AV48">
        <f>MIN(N(AU48),MAX(0,N(AS48)))</f>
        <v/>
      </c>
      <c r="AW48">
        <f>MAX(0,N(AS48)-N(AV48))</f>
        <v/>
      </c>
      <c r="AX48">
        <f>IFERROR(MATCH(3,OrderPlan,0),"")</f>
        <v/>
      </c>
      <c r="AY48">
        <f>IF(AX48="",0,IFERROR(IF(N(CHOOSE(AX48,J48,N48,R48,V48,Z48,AD48,AH48,AL48))&lt;=0.005,0,MAX(0,N(CHOOSE(AX48,J48,N48,R48,V48,Z48,AD48,AH48,AL48))+N(CHOOSE(AX48,K48,O48,S48,W48,AA48,AE48,AI48,AM48))-MIN(N(CHOOSE(AX48,'Debt List'!$F$5,'Debt List'!$F$6,'Debt List'!$F$7,'Debt List'!$F$8,'Debt List'!$F$9,'Debt List'!$F$10,'Debt List'!$F$11,'Debt List'!$F$12)),N(CHOOSE(AX48,J48,N48,R48,V48,Z48,AD48,AH48,AL48))+N(CHOOSE(AX48,K48,O48,S48,W48,AA48,AE48,AI48,AM48))))),0))</f>
        <v/>
      </c>
      <c r="AZ48">
        <f>MIN(N(AY48),MAX(0,N(AW48)))</f>
        <v/>
      </c>
      <c r="BA48">
        <f>MAX(0,N(AW48)-N(AZ48))</f>
        <v/>
      </c>
      <c r="BB48">
        <f>IFERROR(MATCH(4,OrderPlan,0),"")</f>
        <v/>
      </c>
      <c r="BC48">
        <f>IF(BB48="",0,IFERROR(IF(N(CHOOSE(BB48,J48,N48,R48,V48,Z48,AD48,AH48,AL48))&lt;=0.005,0,MAX(0,N(CHOOSE(BB48,J48,N48,R48,V48,Z48,AD48,AH48,AL48))+N(CHOOSE(BB48,K48,O48,S48,W48,AA48,AE48,AI48,AM48))-MIN(N(CHOOSE(BB48,'Debt List'!$F$5,'Debt List'!$F$6,'Debt List'!$F$7,'Debt List'!$F$8,'Debt List'!$F$9,'Debt List'!$F$10,'Debt List'!$F$11,'Debt List'!$F$12)),N(CHOOSE(BB48,J48,N48,R48,V48,Z48,AD48,AH48,AL48))+N(CHOOSE(BB48,K48,O48,S48,W48,AA48,AE48,AI48,AM48))))),0))</f>
        <v/>
      </c>
      <c r="BD48">
        <f>MIN(N(BC48),MAX(0,N(BA48)))</f>
        <v/>
      </c>
      <c r="BE48">
        <f>MAX(0,N(BA48)-N(BD48))</f>
        <v/>
      </c>
      <c r="BF48">
        <f>IFERROR(MATCH(5,OrderPlan,0),"")</f>
        <v/>
      </c>
      <c r="BG48">
        <f>IF(BF48="",0,IFERROR(IF(N(CHOOSE(BF48,J48,N48,R48,V48,Z48,AD48,AH48,AL48))&lt;=0.005,0,MAX(0,N(CHOOSE(BF48,J48,N48,R48,V48,Z48,AD48,AH48,AL48))+N(CHOOSE(BF48,K48,O48,S48,W48,AA48,AE48,AI48,AM48))-MIN(N(CHOOSE(BF48,'Debt List'!$F$5,'Debt List'!$F$6,'Debt List'!$F$7,'Debt List'!$F$8,'Debt List'!$F$9,'Debt List'!$F$10,'Debt List'!$F$11,'Debt List'!$F$12)),N(CHOOSE(BF48,J48,N48,R48,V48,Z48,AD48,AH48,AL48))+N(CHOOSE(BF48,K48,O48,S48,W48,AA48,AE48,AI48,AM48))))),0))</f>
        <v/>
      </c>
      <c r="BH48">
        <f>MIN(N(BG48),MAX(0,N(BE48)))</f>
        <v/>
      </c>
      <c r="BI48">
        <f>MAX(0,N(BE48)-N(BH48))</f>
        <v/>
      </c>
      <c r="BJ48">
        <f>IFERROR(MATCH(6,OrderPlan,0),"")</f>
        <v/>
      </c>
      <c r="BK48">
        <f>IF(BJ48="",0,IFERROR(IF(N(CHOOSE(BJ48,J48,N48,R48,V48,Z48,AD48,AH48,AL48))&lt;=0.005,0,MAX(0,N(CHOOSE(BJ48,J48,N48,R48,V48,Z48,AD48,AH48,AL48))+N(CHOOSE(BJ48,K48,O48,S48,W48,AA48,AE48,AI48,AM48))-MIN(N(CHOOSE(BJ48,'Debt List'!$F$5,'Debt List'!$F$6,'Debt List'!$F$7,'Debt List'!$F$8,'Debt List'!$F$9,'Debt List'!$F$10,'Debt List'!$F$11,'Debt List'!$F$12)),N(CHOOSE(BJ48,J48,N48,R48,V48,Z48,AD48,AH48,AL48))+N(CHOOSE(BJ48,K48,O48,S48,W48,AA48,AE48,AI48,AM48))))),0))</f>
        <v/>
      </c>
      <c r="BL48">
        <f>MIN(N(BK48),MAX(0,N(BI48)))</f>
        <v/>
      </c>
      <c r="BM48">
        <f>MAX(0,N(BI48)-N(BL48))</f>
        <v/>
      </c>
      <c r="BN48">
        <f>IFERROR(MATCH(7,OrderPlan,0),"")</f>
        <v/>
      </c>
      <c r="BO48">
        <f>IF(BN48="",0,IFERROR(IF(N(CHOOSE(BN48,J48,N48,R48,V48,Z48,AD48,AH48,AL48))&lt;=0.005,0,MAX(0,N(CHOOSE(BN48,J48,N48,R48,V48,Z48,AD48,AH48,AL48))+N(CHOOSE(BN48,K48,O48,S48,W48,AA48,AE48,AI48,AM48))-MIN(N(CHOOSE(BN48,'Debt List'!$F$5,'Debt List'!$F$6,'Debt List'!$F$7,'Debt List'!$F$8,'Debt List'!$F$9,'Debt List'!$F$10,'Debt List'!$F$11,'Debt List'!$F$12)),N(CHOOSE(BN48,J48,N48,R48,V48,Z48,AD48,AH48,AL48))+N(CHOOSE(BN48,K48,O48,S48,W48,AA48,AE48,AI48,AM48))))),0))</f>
        <v/>
      </c>
      <c r="BP48">
        <f>MIN(N(BO48),MAX(0,N(BM48)))</f>
        <v/>
      </c>
      <c r="BQ48">
        <f>MAX(0,N(BM48)-N(BP48))</f>
        <v/>
      </c>
      <c r="BR48">
        <f>IFERROR(MATCH(8,OrderPlan,0),"")</f>
        <v/>
      </c>
      <c r="BS48">
        <f>IF(BR48="",0,IFERROR(IF(N(CHOOSE(BR48,J48,N48,R48,V48,Z48,AD48,AH48,AL48))&lt;=0.005,0,MAX(0,N(CHOOSE(BR48,J48,N48,R48,V48,Z48,AD48,AH48,AL48))+N(CHOOSE(BR48,K48,O48,S48,W48,AA48,AE48,AI48,AM48))-MIN(N(CHOOSE(BR48,'Debt List'!$F$5,'Debt List'!$F$6,'Debt List'!$F$7,'Debt List'!$F$8,'Debt List'!$F$9,'Debt List'!$F$10,'Debt List'!$F$11,'Debt List'!$F$12)),N(CHOOSE(BR48,J48,N48,R48,V48,Z48,AD48,AH48,AL48))+N(CHOOSE(BR48,K48,O48,S48,W48,AA48,AE48,AI48,AM48))))),0))</f>
        <v/>
      </c>
      <c r="BT48">
        <f>MIN(N(BS48),MAX(0,N(BQ48)))</f>
        <v/>
      </c>
      <c r="BU48">
        <f>MAX(0,N(BQ48)-N(BT48))</f>
        <v/>
      </c>
      <c r="CC48" t="n">
        <v>44</v>
      </c>
      <c r="CD48" s="115">
        <f>DATE(YEAR(PlanStart),MONTH(PlanStart)+CC48-1,1)</f>
        <v/>
      </c>
      <c r="CE48">
        <f>IF(AND(DR48&lt;&gt;"",N(CHOOSE(DR48,CL48,CP48,CT48,CX48,DB48,DF48,DJ48,DN48))&gt;0.005),INDEX(DebtNames,DR48),IF(AND(DV48&lt;&gt;"",N(CHOOSE(DV48,CL48,CP48,CT48,CX48,DB48,DF48,DJ48,DN48))&gt;0.005),INDEX(DebtNames,DV48),IF(AND(DZ48&lt;&gt;"",N(CHOOSE(DZ48,CL48,CP48,CT48,CX48,DB48,DF48,DJ48,DN48))&gt;0.005),INDEX(DebtNames,DZ48),IF(AND(ED48&lt;&gt;"",N(CHOOSE(ED48,CL48,CP48,CT48,CX48,DB48,DF48,DJ48,DN48))&gt;0.005),INDEX(DebtNames,ED48),IF(AND(EH48&lt;&gt;"",N(CHOOSE(EH48,CL48,CP48,CT48,CX48,DB48,DF48,DJ48,DN48))&gt;0.005),INDEX(DebtNames,EH48),IF(AND(EL48&lt;&gt;"",N(CHOOSE(EL48,CL48,CP48,CT48,CX48,DB48,DF48,DJ48,DN48))&gt;0.005),INDEX(DebtNames,EL48),IF(AND(EP48&lt;&gt;"",N(CHOOSE(EP48,CL48,CP48,CT48,CX48,DB48,DF48,DJ48,DN48))&gt;0.005),INDEX(DebtNames,EP48),IF(AND(ET48&lt;&gt;"",N(CHOOSE(ET48,CL48,CP48,CT48,CX48,DB48,DF48,DJ48,DN48))&gt;0.005),INDEX(DebtNames,ET48),""))))))))</f>
        <v/>
      </c>
      <c r="CF48">
        <f>N(EW48)</f>
        <v/>
      </c>
      <c r="CG48">
        <f>N(CN48)+N(CR48)+N(CV48)+N(CZ48)+N(DD48)+N(DH48)+N(DL48)+N(DP48)</f>
        <v/>
      </c>
      <c r="CH48">
        <f>N(CM48)+N(CQ48)+N(CU48)+N(CY48)+N(DC48)+N(DG48)+N(DK48)+N(DO48)</f>
        <v/>
      </c>
      <c r="CI48">
        <f>N(CI47)+N(CH48)</f>
        <v/>
      </c>
      <c r="CJ48">
        <f>N(CO48)+N(CS48)+N(CW48)+N(DA48)+N(DE48)+N(DI48)+N(DM48)+N(DQ48)</f>
        <v/>
      </c>
      <c r="CK48">
        <f>(CO48&gt;0.005)*1+(CS48&gt;0.005)*1+(CW48&gt;0.005)*1+(DA48&gt;0.005)*1+(DE48&gt;0.005)*1+(DI48&gt;0.005)*1+(DM48&gt;0.005)*1+(DQ48&gt;0.005)*1</f>
        <v/>
      </c>
      <c r="CL48">
        <f>N(CO47)</f>
        <v/>
      </c>
      <c r="CM48">
        <f>IF(N(CL48)&lt;=0.005,0,ROUND(N(CL48)*N('Debt List'!E5)/12,2))</f>
        <v/>
      </c>
      <c r="CN48">
        <f>IF(N(CL48)&lt;=0.005,0,MIN(N('Debt List'!F5),N(CL48)+N(CM48)))+((DR48=1)*DT48+(DV48=1)*DX48+(DZ48=1)*EB48+(ED48=1)*EF48+(EH48=1)*EJ48+(EL48=1)*EN48+(EP48=1)*ER48+(ET48=1)*EV48)</f>
        <v/>
      </c>
      <c r="CO48">
        <f>MAX(0,ROUND(N(CL48)+N(CM48)-N(CN48),2))</f>
        <v/>
      </c>
      <c r="CP48">
        <f>N(CS47)</f>
        <v/>
      </c>
      <c r="CQ48">
        <f>IF(N(CP48)&lt;=0.005,0,ROUND(N(CP48)*N('Debt List'!E6)/12,2))</f>
        <v/>
      </c>
      <c r="CR48">
        <f>IF(N(CP48)&lt;=0.005,0,MIN(N('Debt List'!F6),N(CP48)+N(CQ48)))+((DR48=2)*DT48+(DV48=2)*DX48+(DZ48=2)*EB48+(ED48=2)*EF48+(EH48=2)*EJ48+(EL48=2)*EN48+(EP48=2)*ER48+(ET48=2)*EV48)</f>
        <v/>
      </c>
      <c r="CS48">
        <f>MAX(0,ROUND(N(CP48)+N(CQ48)-N(CR48),2))</f>
        <v/>
      </c>
      <c r="CT48">
        <f>N(CW47)</f>
        <v/>
      </c>
      <c r="CU48">
        <f>IF(N(CT48)&lt;=0.005,0,ROUND(N(CT48)*N('Debt List'!E7)/12,2))</f>
        <v/>
      </c>
      <c r="CV48">
        <f>IF(N(CT48)&lt;=0.005,0,MIN(N('Debt List'!F7),N(CT48)+N(CU48)))+((DR48=3)*DT48+(DV48=3)*DX48+(DZ48=3)*EB48+(ED48=3)*EF48+(EH48=3)*EJ48+(EL48=3)*EN48+(EP48=3)*ER48+(ET48=3)*EV48)</f>
        <v/>
      </c>
      <c r="CW48">
        <f>MAX(0,ROUND(N(CT48)+N(CU48)-N(CV48),2))</f>
        <v/>
      </c>
      <c r="CX48">
        <f>N(DA47)</f>
        <v/>
      </c>
      <c r="CY48">
        <f>IF(N(CX48)&lt;=0.005,0,ROUND(N(CX48)*N('Debt List'!E8)/12,2))</f>
        <v/>
      </c>
      <c r="CZ48">
        <f>IF(N(CX48)&lt;=0.005,0,MIN(N('Debt List'!F8),N(CX48)+N(CY48)))+((DR48=4)*DT48+(DV48=4)*DX48+(DZ48=4)*EB48+(ED48=4)*EF48+(EH48=4)*EJ48+(EL48=4)*EN48+(EP48=4)*ER48+(ET48=4)*EV48)</f>
        <v/>
      </c>
      <c r="DA48">
        <f>MAX(0,ROUND(N(CX48)+N(CY48)-N(CZ48),2))</f>
        <v/>
      </c>
      <c r="DB48">
        <f>N(DE47)</f>
        <v/>
      </c>
      <c r="DC48">
        <f>IF(N(DB48)&lt;=0.005,0,ROUND(N(DB48)*N('Debt List'!E9)/12,2))</f>
        <v/>
      </c>
      <c r="DD48">
        <f>IF(N(DB48)&lt;=0.005,0,MIN(N('Debt List'!F9),N(DB48)+N(DC48)))+((DR48=5)*DT48+(DV48=5)*DX48+(DZ48=5)*EB48+(ED48=5)*EF48+(EH48=5)*EJ48+(EL48=5)*EN48+(EP48=5)*ER48+(ET48=5)*EV48)</f>
        <v/>
      </c>
      <c r="DE48">
        <f>MAX(0,ROUND(N(DB48)+N(DC48)-N(DD48),2))</f>
        <v/>
      </c>
      <c r="DF48">
        <f>N(DI47)</f>
        <v/>
      </c>
      <c r="DG48">
        <f>IF(N(DF48)&lt;=0.005,0,ROUND(N(DF48)*N('Debt List'!E10)/12,2))</f>
        <v/>
      </c>
      <c r="DH48">
        <f>IF(N(DF48)&lt;=0.005,0,MIN(N('Debt List'!F10),N(DF48)+N(DG48)))+((DR48=6)*DT48+(DV48=6)*DX48+(DZ48=6)*EB48+(ED48=6)*EF48+(EH48=6)*EJ48+(EL48=6)*EN48+(EP48=6)*ER48+(ET48=6)*EV48)</f>
        <v/>
      </c>
      <c r="DI48">
        <f>MAX(0,ROUND(N(DF48)+N(DG48)-N(DH48),2))</f>
        <v/>
      </c>
      <c r="DJ48">
        <f>N(DM47)</f>
        <v/>
      </c>
      <c r="DK48">
        <f>IF(N(DJ48)&lt;=0.005,0,ROUND(N(DJ48)*N('Debt List'!E11)/12,2))</f>
        <v/>
      </c>
      <c r="DL48">
        <f>IF(N(DJ48)&lt;=0.005,0,MIN(N('Debt List'!F11),N(DJ48)+N(DK48)))+((DR48=7)*DT48+(DV48=7)*DX48+(DZ48=7)*EB48+(ED48=7)*EF48+(EH48=7)*EJ48+(EL48=7)*EN48+(EP48=7)*ER48+(ET48=7)*EV48)</f>
        <v/>
      </c>
      <c r="DM48">
        <f>MAX(0,ROUND(N(DJ48)+N(DK48)-N(DL48),2))</f>
        <v/>
      </c>
      <c r="DN48">
        <f>N(DQ47)</f>
        <v/>
      </c>
      <c r="DO48">
        <f>IF(N(DN48)&lt;=0.005,0,ROUND(N(DN48)*N('Debt List'!E12)/12,2))</f>
        <v/>
      </c>
      <c r="DP48">
        <f>IF(N(DN48)&lt;=0.005,0,MIN(N('Debt List'!F12),N(DN48)+N(DO48)))+((DR48=8)*DT48+(DV48=8)*DX48+(DZ48=8)*EB48+(ED48=8)*EF48+(EH48=8)*EJ48+(EL48=8)*EN48+(EP48=8)*ER48+(ET48=8)*EV48)</f>
        <v/>
      </c>
      <c r="DQ48">
        <f>MAX(0,ROUND(N(DN48)+N(DO48)-N(DP48),2))</f>
        <v/>
      </c>
      <c r="DR48">
        <f>IFERROR(MATCH(1,OrderSnow,0),"")</f>
        <v/>
      </c>
      <c r="DS48">
        <f>IF(DR48="",0,IFERROR(IF(N(CHOOSE(DR48,CL48,CP48,CT48,CX48,DB48,DF48,DJ48,DN48))&lt;=0.005,0,MAX(0,N(CHOOSE(DR48,CL48,CP48,CT48,CX48,DB48,DF48,DJ48,DN48))+N(CHOOSE(DR48,CM48,CQ48,CU48,CY48,DC48,DG48,DK48,DO48))-MIN(N(CHOOSE(DR48,'Debt List'!$F$5,'Debt List'!$F$6,'Debt List'!$F$7,'Debt List'!$F$8,'Debt List'!$F$9,'Debt List'!$F$10,'Debt List'!$F$11,'Debt List'!$F$12)),N(CHOOSE(DR48,CL48,CP48,CT48,CX48,DB48,DF48,DJ48,DN48))+N(CHOOSE(DR48,CM48,CQ48,CU48,CY48,DC48,DG48,DK48,DO48))))),0))</f>
        <v/>
      </c>
      <c r="DT48">
        <f>MIN(N(DS48),MAX(0,N(ExtraPayment)))</f>
        <v/>
      </c>
      <c r="DU48">
        <f>MAX(0,N(ExtraPayment)-N(DT48))</f>
        <v/>
      </c>
      <c r="DV48">
        <f>IFERROR(MATCH(2,OrderSnow,0),"")</f>
        <v/>
      </c>
      <c r="DW48">
        <f>IF(DV48="",0,IFERROR(IF(N(CHOOSE(DV48,CL48,CP48,CT48,CX48,DB48,DF48,DJ48,DN48))&lt;=0.005,0,MAX(0,N(CHOOSE(DV48,CL48,CP48,CT48,CX48,DB48,DF48,DJ48,DN48))+N(CHOOSE(DV48,CM48,CQ48,CU48,CY48,DC48,DG48,DK48,DO48))-MIN(N(CHOOSE(DV48,'Debt List'!$F$5,'Debt List'!$F$6,'Debt List'!$F$7,'Debt List'!$F$8,'Debt List'!$F$9,'Debt List'!$F$10,'Debt List'!$F$11,'Debt List'!$F$12)),N(CHOOSE(DV48,CL48,CP48,CT48,CX48,DB48,DF48,DJ48,DN48))+N(CHOOSE(DV48,CM48,CQ48,CU48,CY48,DC48,DG48,DK48,DO48))))),0))</f>
        <v/>
      </c>
      <c r="DX48">
        <f>MIN(N(DW48),MAX(0,N(DU48)))</f>
        <v/>
      </c>
      <c r="DY48">
        <f>MAX(0,N(DU48)-N(DX48))</f>
        <v/>
      </c>
      <c r="DZ48">
        <f>IFERROR(MATCH(3,OrderSnow,0),"")</f>
        <v/>
      </c>
      <c r="EA48">
        <f>IF(DZ48="",0,IFERROR(IF(N(CHOOSE(DZ48,CL48,CP48,CT48,CX48,DB48,DF48,DJ48,DN48))&lt;=0.005,0,MAX(0,N(CHOOSE(DZ48,CL48,CP48,CT48,CX48,DB48,DF48,DJ48,DN48))+N(CHOOSE(DZ48,CM48,CQ48,CU48,CY48,DC48,DG48,DK48,DO48))-MIN(N(CHOOSE(DZ48,'Debt List'!$F$5,'Debt List'!$F$6,'Debt List'!$F$7,'Debt List'!$F$8,'Debt List'!$F$9,'Debt List'!$F$10,'Debt List'!$F$11,'Debt List'!$F$12)),N(CHOOSE(DZ48,CL48,CP48,CT48,CX48,DB48,DF48,DJ48,DN48))+N(CHOOSE(DZ48,CM48,CQ48,CU48,CY48,DC48,DG48,DK48,DO48))))),0))</f>
        <v/>
      </c>
      <c r="EB48">
        <f>MIN(N(EA48),MAX(0,N(DY48)))</f>
        <v/>
      </c>
      <c r="EC48">
        <f>MAX(0,N(DY48)-N(EB48))</f>
        <v/>
      </c>
      <c r="ED48">
        <f>IFERROR(MATCH(4,OrderSnow,0),"")</f>
        <v/>
      </c>
      <c r="EE48">
        <f>IF(ED48="",0,IFERROR(IF(N(CHOOSE(ED48,CL48,CP48,CT48,CX48,DB48,DF48,DJ48,DN48))&lt;=0.005,0,MAX(0,N(CHOOSE(ED48,CL48,CP48,CT48,CX48,DB48,DF48,DJ48,DN48))+N(CHOOSE(ED48,CM48,CQ48,CU48,CY48,DC48,DG48,DK48,DO48))-MIN(N(CHOOSE(ED48,'Debt List'!$F$5,'Debt List'!$F$6,'Debt List'!$F$7,'Debt List'!$F$8,'Debt List'!$F$9,'Debt List'!$F$10,'Debt List'!$F$11,'Debt List'!$F$12)),N(CHOOSE(ED48,CL48,CP48,CT48,CX48,DB48,DF48,DJ48,DN48))+N(CHOOSE(ED48,CM48,CQ48,CU48,CY48,DC48,DG48,DK48,DO48))))),0))</f>
        <v/>
      </c>
      <c r="EF48">
        <f>MIN(N(EE48),MAX(0,N(EC48)))</f>
        <v/>
      </c>
      <c r="EG48">
        <f>MAX(0,N(EC48)-N(EF48))</f>
        <v/>
      </c>
      <c r="EH48">
        <f>IFERROR(MATCH(5,OrderSnow,0),"")</f>
        <v/>
      </c>
      <c r="EI48">
        <f>IF(EH48="",0,IFERROR(IF(N(CHOOSE(EH48,CL48,CP48,CT48,CX48,DB48,DF48,DJ48,DN48))&lt;=0.005,0,MAX(0,N(CHOOSE(EH48,CL48,CP48,CT48,CX48,DB48,DF48,DJ48,DN48))+N(CHOOSE(EH48,CM48,CQ48,CU48,CY48,DC48,DG48,DK48,DO48))-MIN(N(CHOOSE(EH48,'Debt List'!$F$5,'Debt List'!$F$6,'Debt List'!$F$7,'Debt List'!$F$8,'Debt List'!$F$9,'Debt List'!$F$10,'Debt List'!$F$11,'Debt List'!$F$12)),N(CHOOSE(EH48,CL48,CP48,CT48,CX48,DB48,DF48,DJ48,DN48))+N(CHOOSE(EH48,CM48,CQ48,CU48,CY48,DC48,DG48,DK48,DO48))))),0))</f>
        <v/>
      </c>
      <c r="EJ48">
        <f>MIN(N(EI48),MAX(0,N(EG48)))</f>
        <v/>
      </c>
      <c r="EK48">
        <f>MAX(0,N(EG48)-N(EJ48))</f>
        <v/>
      </c>
      <c r="EL48">
        <f>IFERROR(MATCH(6,OrderSnow,0),"")</f>
        <v/>
      </c>
      <c r="EM48">
        <f>IF(EL48="",0,IFERROR(IF(N(CHOOSE(EL48,CL48,CP48,CT48,CX48,DB48,DF48,DJ48,DN48))&lt;=0.005,0,MAX(0,N(CHOOSE(EL48,CL48,CP48,CT48,CX48,DB48,DF48,DJ48,DN48))+N(CHOOSE(EL48,CM48,CQ48,CU48,CY48,DC48,DG48,DK48,DO48))-MIN(N(CHOOSE(EL48,'Debt List'!$F$5,'Debt List'!$F$6,'Debt List'!$F$7,'Debt List'!$F$8,'Debt List'!$F$9,'Debt List'!$F$10,'Debt List'!$F$11,'Debt List'!$F$12)),N(CHOOSE(EL48,CL48,CP48,CT48,CX48,DB48,DF48,DJ48,DN48))+N(CHOOSE(EL48,CM48,CQ48,CU48,CY48,DC48,DG48,DK48,DO48))))),0))</f>
        <v/>
      </c>
      <c r="EN48">
        <f>MIN(N(EM48),MAX(0,N(EK48)))</f>
        <v/>
      </c>
      <c r="EO48">
        <f>MAX(0,N(EK48)-N(EN48))</f>
        <v/>
      </c>
      <c r="EP48">
        <f>IFERROR(MATCH(7,OrderSnow,0),"")</f>
        <v/>
      </c>
      <c r="EQ48">
        <f>IF(EP48="",0,IFERROR(IF(N(CHOOSE(EP48,CL48,CP48,CT48,CX48,DB48,DF48,DJ48,DN48))&lt;=0.005,0,MAX(0,N(CHOOSE(EP48,CL48,CP48,CT48,CX48,DB48,DF48,DJ48,DN48))+N(CHOOSE(EP48,CM48,CQ48,CU48,CY48,DC48,DG48,DK48,DO48))-MIN(N(CHOOSE(EP48,'Debt List'!$F$5,'Debt List'!$F$6,'Debt List'!$F$7,'Debt List'!$F$8,'Debt List'!$F$9,'Debt List'!$F$10,'Debt List'!$F$11,'Debt List'!$F$12)),N(CHOOSE(EP48,CL48,CP48,CT48,CX48,DB48,DF48,DJ48,DN48))+N(CHOOSE(EP48,CM48,CQ48,CU48,CY48,DC48,DG48,DK48,DO48))))),0))</f>
        <v/>
      </c>
      <c r="ER48">
        <f>MIN(N(EQ48),MAX(0,N(EO48)))</f>
        <v/>
      </c>
      <c r="ES48">
        <f>MAX(0,N(EO48)-N(ER48))</f>
        <v/>
      </c>
      <c r="ET48">
        <f>IFERROR(MATCH(8,OrderSnow,0),"")</f>
        <v/>
      </c>
      <c r="EU48">
        <f>IF(ET48="",0,IFERROR(IF(N(CHOOSE(ET48,CL48,CP48,CT48,CX48,DB48,DF48,DJ48,DN48))&lt;=0.005,0,MAX(0,N(CHOOSE(ET48,CL48,CP48,CT48,CX48,DB48,DF48,DJ48,DN48))+N(CHOOSE(ET48,CM48,CQ48,CU48,CY48,DC48,DG48,DK48,DO48))-MIN(N(CHOOSE(ET48,'Debt List'!$F$5,'Debt List'!$F$6,'Debt List'!$F$7,'Debt List'!$F$8,'Debt List'!$F$9,'Debt List'!$F$10,'Debt List'!$F$11,'Debt List'!$F$12)),N(CHOOSE(ET48,CL48,CP48,CT48,CX48,DB48,DF48,DJ48,DN48))+N(CHOOSE(ET48,CM48,CQ48,CU48,CY48,DC48,DG48,DK48,DO48))))),0))</f>
        <v/>
      </c>
      <c r="EV48">
        <f>MIN(N(EU48),MAX(0,N(ES48)))</f>
        <v/>
      </c>
      <c r="EW48">
        <f>MAX(0,N(ES48)-N(EV48))</f>
        <v/>
      </c>
      <c r="FE48" t="n">
        <v>44</v>
      </c>
      <c r="FF48" s="115">
        <f>DATE(YEAR(PlanStart),MONTH(PlanStart)+FE48-1,1)</f>
        <v/>
      </c>
      <c r="FG48">
        <f>IF(AND(GT48&lt;&gt;"",N(CHOOSE(GT48,FN48,FR48,FV48,FZ48,GD48,GH48,GL48,GP48))&gt;0.005),INDEX(DebtNames,GT48),IF(AND(GX48&lt;&gt;"",N(CHOOSE(GX48,FN48,FR48,FV48,FZ48,GD48,GH48,GL48,GP48))&gt;0.005),INDEX(DebtNames,GX48),IF(AND(HB48&lt;&gt;"",N(CHOOSE(HB48,FN48,FR48,FV48,FZ48,GD48,GH48,GL48,GP48))&gt;0.005),INDEX(DebtNames,HB48),IF(AND(HF48&lt;&gt;"",N(CHOOSE(HF48,FN48,FR48,FV48,FZ48,GD48,GH48,GL48,GP48))&gt;0.005),INDEX(DebtNames,HF48),IF(AND(HJ48&lt;&gt;"",N(CHOOSE(HJ48,FN48,FR48,FV48,FZ48,GD48,GH48,GL48,GP48))&gt;0.005),INDEX(DebtNames,HJ48),IF(AND(HN48&lt;&gt;"",N(CHOOSE(HN48,FN48,FR48,FV48,FZ48,GD48,GH48,GL48,GP48))&gt;0.005),INDEX(DebtNames,HN48),IF(AND(HR48&lt;&gt;"",N(CHOOSE(HR48,FN48,FR48,FV48,FZ48,GD48,GH48,GL48,GP48))&gt;0.005),INDEX(DebtNames,HR48),IF(AND(HV48&lt;&gt;"",N(CHOOSE(HV48,FN48,FR48,FV48,FZ48,GD48,GH48,GL48,GP48))&gt;0.005),INDEX(DebtNames,HV48),""))))))))</f>
        <v/>
      </c>
      <c r="FH48">
        <f>N(HY48)</f>
        <v/>
      </c>
      <c r="FI48">
        <f>N(FP48)+N(FT48)+N(FX48)+N(GB48)+N(GF48)+N(GJ48)+N(GN48)+N(GR48)</f>
        <v/>
      </c>
      <c r="FJ48">
        <f>N(FO48)+N(FS48)+N(FW48)+N(GA48)+N(GE48)+N(GI48)+N(GM48)+N(GQ48)</f>
        <v/>
      </c>
      <c r="FK48">
        <f>N(FK47)+N(FJ48)</f>
        <v/>
      </c>
      <c r="FL48">
        <f>N(FQ48)+N(FU48)+N(FY48)+N(GC48)+N(GG48)+N(GK48)+N(GO48)+N(GS48)</f>
        <v/>
      </c>
      <c r="FM48">
        <f>(FQ48&gt;0.005)*1+(FU48&gt;0.005)*1+(FY48&gt;0.005)*1+(GC48&gt;0.005)*1+(GG48&gt;0.005)*1+(GK48&gt;0.005)*1+(GO48&gt;0.005)*1+(GS48&gt;0.005)*1</f>
        <v/>
      </c>
      <c r="FN48">
        <f>N(FQ47)</f>
        <v/>
      </c>
      <c r="FO48">
        <f>IF(N(FN48)&lt;=0.005,0,ROUND(N(FN48)*N('Debt List'!E5)/12,2))</f>
        <v/>
      </c>
      <c r="FP48">
        <f>IF(N(FN48)&lt;=0.005,0,MIN(N('Debt List'!F5),N(FN48)+N(FO48)))+((GT48=1)*GV48+(GX48=1)*GZ48+(HB48=1)*HD48+(HF48=1)*HH48+(HJ48=1)*HL48+(HN48=1)*HP48+(HR48=1)*HT48+(HV48=1)*HX48)</f>
        <v/>
      </c>
      <c r="FQ48">
        <f>MAX(0,ROUND(N(FN48)+N(FO48)-N(FP48),2))</f>
        <v/>
      </c>
      <c r="FR48">
        <f>N(FU47)</f>
        <v/>
      </c>
      <c r="FS48">
        <f>IF(N(FR48)&lt;=0.005,0,ROUND(N(FR48)*N('Debt List'!E6)/12,2))</f>
        <v/>
      </c>
      <c r="FT48">
        <f>IF(N(FR48)&lt;=0.005,0,MIN(N('Debt List'!F6),N(FR48)+N(FS48)))+((GT48=2)*GV48+(GX48=2)*GZ48+(HB48=2)*HD48+(HF48=2)*HH48+(HJ48=2)*HL48+(HN48=2)*HP48+(HR48=2)*HT48+(HV48=2)*HX48)</f>
        <v/>
      </c>
      <c r="FU48">
        <f>MAX(0,ROUND(N(FR48)+N(FS48)-N(FT48),2))</f>
        <v/>
      </c>
      <c r="FV48">
        <f>N(FY47)</f>
        <v/>
      </c>
      <c r="FW48">
        <f>IF(N(FV48)&lt;=0.005,0,ROUND(N(FV48)*N('Debt List'!E7)/12,2))</f>
        <v/>
      </c>
      <c r="FX48">
        <f>IF(N(FV48)&lt;=0.005,0,MIN(N('Debt List'!F7),N(FV48)+N(FW48)))+((GT48=3)*GV48+(GX48=3)*GZ48+(HB48=3)*HD48+(HF48=3)*HH48+(HJ48=3)*HL48+(HN48=3)*HP48+(HR48=3)*HT48+(HV48=3)*HX48)</f>
        <v/>
      </c>
      <c r="FY48">
        <f>MAX(0,ROUND(N(FV48)+N(FW48)-N(FX48),2))</f>
        <v/>
      </c>
      <c r="FZ48">
        <f>N(GC47)</f>
        <v/>
      </c>
      <c r="GA48">
        <f>IF(N(FZ48)&lt;=0.005,0,ROUND(N(FZ48)*N('Debt List'!E8)/12,2))</f>
        <v/>
      </c>
      <c r="GB48">
        <f>IF(N(FZ48)&lt;=0.005,0,MIN(N('Debt List'!F8),N(FZ48)+N(GA48)))+((GT48=4)*GV48+(GX48=4)*GZ48+(HB48=4)*HD48+(HF48=4)*HH48+(HJ48=4)*HL48+(HN48=4)*HP48+(HR48=4)*HT48+(HV48=4)*HX48)</f>
        <v/>
      </c>
      <c r="GC48">
        <f>MAX(0,ROUND(N(FZ48)+N(GA48)-N(GB48),2))</f>
        <v/>
      </c>
      <c r="GD48">
        <f>N(GG47)</f>
        <v/>
      </c>
      <c r="GE48">
        <f>IF(N(GD48)&lt;=0.005,0,ROUND(N(GD48)*N('Debt List'!E9)/12,2))</f>
        <v/>
      </c>
      <c r="GF48">
        <f>IF(N(GD48)&lt;=0.005,0,MIN(N('Debt List'!F9),N(GD48)+N(GE48)))+((GT48=5)*GV48+(GX48=5)*GZ48+(HB48=5)*HD48+(HF48=5)*HH48+(HJ48=5)*HL48+(HN48=5)*HP48+(HR48=5)*HT48+(HV48=5)*HX48)</f>
        <v/>
      </c>
      <c r="GG48">
        <f>MAX(0,ROUND(N(GD48)+N(GE48)-N(GF48),2))</f>
        <v/>
      </c>
      <c r="GH48">
        <f>N(GK47)</f>
        <v/>
      </c>
      <c r="GI48">
        <f>IF(N(GH48)&lt;=0.005,0,ROUND(N(GH48)*N('Debt List'!E10)/12,2))</f>
        <v/>
      </c>
      <c r="GJ48">
        <f>IF(N(GH48)&lt;=0.005,0,MIN(N('Debt List'!F10),N(GH48)+N(GI48)))+((GT48=6)*GV48+(GX48=6)*GZ48+(HB48=6)*HD48+(HF48=6)*HH48+(HJ48=6)*HL48+(HN48=6)*HP48+(HR48=6)*HT48+(HV48=6)*HX48)</f>
        <v/>
      </c>
      <c r="GK48">
        <f>MAX(0,ROUND(N(GH48)+N(GI48)-N(GJ48),2))</f>
        <v/>
      </c>
      <c r="GL48">
        <f>N(GO47)</f>
        <v/>
      </c>
      <c r="GM48">
        <f>IF(N(GL48)&lt;=0.005,0,ROUND(N(GL48)*N('Debt List'!E11)/12,2))</f>
        <v/>
      </c>
      <c r="GN48">
        <f>IF(N(GL48)&lt;=0.005,0,MIN(N('Debt List'!F11),N(GL48)+N(GM48)))+((GT48=7)*GV48+(GX48=7)*GZ48+(HB48=7)*HD48+(HF48=7)*HH48+(HJ48=7)*HL48+(HN48=7)*HP48+(HR48=7)*HT48+(HV48=7)*HX48)</f>
        <v/>
      </c>
      <c r="GO48">
        <f>MAX(0,ROUND(N(GL48)+N(GM48)-N(GN48),2))</f>
        <v/>
      </c>
      <c r="GP48">
        <f>N(GS47)</f>
        <v/>
      </c>
      <c r="GQ48">
        <f>IF(N(GP48)&lt;=0.005,0,ROUND(N(GP48)*N('Debt List'!E12)/12,2))</f>
        <v/>
      </c>
      <c r="GR48">
        <f>IF(N(GP48)&lt;=0.005,0,MIN(N('Debt List'!F12),N(GP48)+N(GQ48)))+((GT48=8)*GV48+(GX48=8)*GZ48+(HB48=8)*HD48+(HF48=8)*HH48+(HJ48=8)*HL48+(HN48=8)*HP48+(HR48=8)*HT48+(HV48=8)*HX48)</f>
        <v/>
      </c>
      <c r="GS48">
        <f>MAX(0,ROUND(N(GP48)+N(GQ48)-N(GR48),2))</f>
        <v/>
      </c>
      <c r="GT48">
        <f>IFERROR(MATCH(1,OrderAval,0),"")</f>
        <v/>
      </c>
      <c r="GU48">
        <f>IF(GT48="",0,IFERROR(IF(N(CHOOSE(GT48,FN48,FR48,FV48,FZ48,GD48,GH48,GL48,GP48))&lt;=0.005,0,MAX(0,N(CHOOSE(GT48,FN48,FR48,FV48,FZ48,GD48,GH48,GL48,GP48))+N(CHOOSE(GT48,FO48,FS48,FW48,GA48,GE48,GI48,GM48,GQ48))-MIN(N(CHOOSE(GT48,'Debt List'!$F$5,'Debt List'!$F$6,'Debt List'!$F$7,'Debt List'!$F$8,'Debt List'!$F$9,'Debt List'!$F$10,'Debt List'!$F$11,'Debt List'!$F$12)),N(CHOOSE(GT48,FN48,FR48,FV48,FZ48,GD48,GH48,GL48,GP48))+N(CHOOSE(GT48,FO48,FS48,FW48,GA48,GE48,GI48,GM48,GQ48))))),0))</f>
        <v/>
      </c>
      <c r="GV48">
        <f>MIN(N(GU48),MAX(0,N(ExtraPayment)))</f>
        <v/>
      </c>
      <c r="GW48">
        <f>MAX(0,N(ExtraPayment)-N(GV48))</f>
        <v/>
      </c>
      <c r="GX48">
        <f>IFERROR(MATCH(2,OrderAval,0),"")</f>
        <v/>
      </c>
      <c r="GY48">
        <f>IF(GX48="",0,IFERROR(IF(N(CHOOSE(GX48,FN48,FR48,FV48,FZ48,GD48,GH48,GL48,GP48))&lt;=0.005,0,MAX(0,N(CHOOSE(GX48,FN48,FR48,FV48,FZ48,GD48,GH48,GL48,GP48))+N(CHOOSE(GX48,FO48,FS48,FW48,GA48,GE48,GI48,GM48,GQ48))-MIN(N(CHOOSE(GX48,'Debt List'!$F$5,'Debt List'!$F$6,'Debt List'!$F$7,'Debt List'!$F$8,'Debt List'!$F$9,'Debt List'!$F$10,'Debt List'!$F$11,'Debt List'!$F$12)),N(CHOOSE(GX48,FN48,FR48,FV48,FZ48,GD48,GH48,GL48,GP48))+N(CHOOSE(GX48,FO48,FS48,FW48,GA48,GE48,GI48,GM48,GQ48))))),0))</f>
        <v/>
      </c>
      <c r="GZ48">
        <f>MIN(N(GY48),MAX(0,N(GW48)))</f>
        <v/>
      </c>
      <c r="HA48">
        <f>MAX(0,N(GW48)-N(GZ48))</f>
        <v/>
      </c>
      <c r="HB48">
        <f>IFERROR(MATCH(3,OrderAval,0),"")</f>
        <v/>
      </c>
      <c r="HC48">
        <f>IF(HB48="",0,IFERROR(IF(N(CHOOSE(HB48,FN48,FR48,FV48,FZ48,GD48,GH48,GL48,GP48))&lt;=0.005,0,MAX(0,N(CHOOSE(HB48,FN48,FR48,FV48,FZ48,GD48,GH48,GL48,GP48))+N(CHOOSE(HB48,FO48,FS48,FW48,GA48,GE48,GI48,GM48,GQ48))-MIN(N(CHOOSE(HB48,'Debt List'!$F$5,'Debt List'!$F$6,'Debt List'!$F$7,'Debt List'!$F$8,'Debt List'!$F$9,'Debt List'!$F$10,'Debt List'!$F$11,'Debt List'!$F$12)),N(CHOOSE(HB48,FN48,FR48,FV48,FZ48,GD48,GH48,GL48,GP48))+N(CHOOSE(HB48,FO48,FS48,FW48,GA48,GE48,GI48,GM48,GQ48))))),0))</f>
        <v/>
      </c>
      <c r="HD48">
        <f>MIN(N(HC48),MAX(0,N(HA48)))</f>
        <v/>
      </c>
      <c r="HE48">
        <f>MAX(0,N(HA48)-N(HD48))</f>
        <v/>
      </c>
      <c r="HF48">
        <f>IFERROR(MATCH(4,OrderAval,0),"")</f>
        <v/>
      </c>
      <c r="HG48">
        <f>IF(HF48="",0,IFERROR(IF(N(CHOOSE(HF48,FN48,FR48,FV48,FZ48,GD48,GH48,GL48,GP48))&lt;=0.005,0,MAX(0,N(CHOOSE(HF48,FN48,FR48,FV48,FZ48,GD48,GH48,GL48,GP48))+N(CHOOSE(HF48,FO48,FS48,FW48,GA48,GE48,GI48,GM48,GQ48))-MIN(N(CHOOSE(HF48,'Debt List'!$F$5,'Debt List'!$F$6,'Debt List'!$F$7,'Debt List'!$F$8,'Debt List'!$F$9,'Debt List'!$F$10,'Debt List'!$F$11,'Debt List'!$F$12)),N(CHOOSE(HF48,FN48,FR48,FV48,FZ48,GD48,GH48,GL48,GP48))+N(CHOOSE(HF48,FO48,FS48,FW48,GA48,GE48,GI48,GM48,GQ48))))),0))</f>
        <v/>
      </c>
      <c r="HH48">
        <f>MIN(N(HG48),MAX(0,N(HE48)))</f>
        <v/>
      </c>
      <c r="HI48">
        <f>MAX(0,N(HE48)-N(HH48))</f>
        <v/>
      </c>
      <c r="HJ48">
        <f>IFERROR(MATCH(5,OrderAval,0),"")</f>
        <v/>
      </c>
      <c r="HK48">
        <f>IF(HJ48="",0,IFERROR(IF(N(CHOOSE(HJ48,FN48,FR48,FV48,FZ48,GD48,GH48,GL48,GP48))&lt;=0.005,0,MAX(0,N(CHOOSE(HJ48,FN48,FR48,FV48,FZ48,GD48,GH48,GL48,GP48))+N(CHOOSE(HJ48,FO48,FS48,FW48,GA48,GE48,GI48,GM48,GQ48))-MIN(N(CHOOSE(HJ48,'Debt List'!$F$5,'Debt List'!$F$6,'Debt List'!$F$7,'Debt List'!$F$8,'Debt List'!$F$9,'Debt List'!$F$10,'Debt List'!$F$11,'Debt List'!$F$12)),N(CHOOSE(HJ48,FN48,FR48,FV48,FZ48,GD48,GH48,GL48,GP48))+N(CHOOSE(HJ48,FO48,FS48,FW48,GA48,GE48,GI48,GM48,GQ48))))),0))</f>
        <v/>
      </c>
      <c r="HL48">
        <f>MIN(N(HK48),MAX(0,N(HI48)))</f>
        <v/>
      </c>
      <c r="HM48">
        <f>MAX(0,N(HI48)-N(HL48))</f>
        <v/>
      </c>
      <c r="HN48">
        <f>IFERROR(MATCH(6,OrderAval,0),"")</f>
        <v/>
      </c>
      <c r="HO48">
        <f>IF(HN48="",0,IFERROR(IF(N(CHOOSE(HN48,FN48,FR48,FV48,FZ48,GD48,GH48,GL48,GP48))&lt;=0.005,0,MAX(0,N(CHOOSE(HN48,FN48,FR48,FV48,FZ48,GD48,GH48,GL48,GP48))+N(CHOOSE(HN48,FO48,FS48,FW48,GA48,GE48,GI48,GM48,GQ48))-MIN(N(CHOOSE(HN48,'Debt List'!$F$5,'Debt List'!$F$6,'Debt List'!$F$7,'Debt List'!$F$8,'Debt List'!$F$9,'Debt List'!$F$10,'Debt List'!$F$11,'Debt List'!$F$12)),N(CHOOSE(HN48,FN48,FR48,FV48,FZ48,GD48,GH48,GL48,GP48))+N(CHOOSE(HN48,FO48,FS48,FW48,GA48,GE48,GI48,GM48,GQ48))))),0))</f>
        <v/>
      </c>
      <c r="HP48">
        <f>MIN(N(HO48),MAX(0,N(HM48)))</f>
        <v/>
      </c>
      <c r="HQ48">
        <f>MAX(0,N(HM48)-N(HP48))</f>
        <v/>
      </c>
      <c r="HR48">
        <f>IFERROR(MATCH(7,OrderAval,0),"")</f>
        <v/>
      </c>
      <c r="HS48">
        <f>IF(HR48="",0,IFERROR(IF(N(CHOOSE(HR48,FN48,FR48,FV48,FZ48,GD48,GH48,GL48,GP48))&lt;=0.005,0,MAX(0,N(CHOOSE(HR48,FN48,FR48,FV48,FZ48,GD48,GH48,GL48,GP48))+N(CHOOSE(HR48,FO48,FS48,FW48,GA48,GE48,GI48,GM48,GQ48))-MIN(N(CHOOSE(HR48,'Debt List'!$F$5,'Debt List'!$F$6,'Debt List'!$F$7,'Debt List'!$F$8,'Debt List'!$F$9,'Debt List'!$F$10,'Debt List'!$F$11,'Debt List'!$F$12)),N(CHOOSE(HR48,FN48,FR48,FV48,FZ48,GD48,GH48,GL48,GP48))+N(CHOOSE(HR48,FO48,FS48,FW48,GA48,GE48,GI48,GM48,GQ48))))),0))</f>
        <v/>
      </c>
      <c r="HT48">
        <f>MIN(N(HS48),MAX(0,N(HQ48)))</f>
        <v/>
      </c>
      <c r="HU48">
        <f>MAX(0,N(HQ48)-N(HT48))</f>
        <v/>
      </c>
      <c r="HV48">
        <f>IFERROR(MATCH(8,OrderAval,0),"")</f>
        <v/>
      </c>
      <c r="HW48">
        <f>IF(HV48="",0,IFERROR(IF(N(CHOOSE(HV48,FN48,FR48,FV48,FZ48,GD48,GH48,GL48,GP48))&lt;=0.005,0,MAX(0,N(CHOOSE(HV48,FN48,FR48,FV48,FZ48,GD48,GH48,GL48,GP48))+N(CHOOSE(HV48,FO48,FS48,FW48,GA48,GE48,GI48,GM48,GQ48))-MIN(N(CHOOSE(HV48,'Debt List'!$F$5,'Debt List'!$F$6,'Debt List'!$F$7,'Debt List'!$F$8,'Debt List'!$F$9,'Debt List'!$F$10,'Debt List'!$F$11,'Debt List'!$F$12)),N(CHOOSE(HV48,FN48,FR48,FV48,FZ48,GD48,GH48,GL48,GP48))+N(CHOOSE(HV48,FO48,FS48,FW48,GA48,GE48,GI48,GM48,GQ48))))),0))</f>
        <v/>
      </c>
      <c r="HX48">
        <f>MIN(N(HW48),MAX(0,N(HU48)))</f>
        <v/>
      </c>
      <c r="HY48">
        <f>MAX(0,N(HU48)-N(HX48))</f>
        <v/>
      </c>
    </row>
    <row r="49">
      <c r="A49" t="n">
        <v>45</v>
      </c>
      <c r="B49" s="115">
        <f>DATE(YEAR(PlanStart),MONTH(PlanStart)+A49-1,1)</f>
        <v/>
      </c>
      <c r="C49">
        <f>IF(AND(AP49&lt;&gt;"",N(CHOOSE(AP49,J49,N49,R49,V49,Z49,AD49,AH49,AL49))&gt;0.005),INDEX(DebtNames,AP49),IF(AND(AT49&lt;&gt;"",N(CHOOSE(AT49,J49,N49,R49,V49,Z49,AD49,AH49,AL49))&gt;0.005),INDEX(DebtNames,AT49),IF(AND(AX49&lt;&gt;"",N(CHOOSE(AX49,J49,N49,R49,V49,Z49,AD49,AH49,AL49))&gt;0.005),INDEX(DebtNames,AX49),IF(AND(BB49&lt;&gt;"",N(CHOOSE(BB49,J49,N49,R49,V49,Z49,AD49,AH49,AL49))&gt;0.005),INDEX(DebtNames,BB49),IF(AND(BF49&lt;&gt;"",N(CHOOSE(BF49,J49,N49,R49,V49,Z49,AD49,AH49,AL49))&gt;0.005),INDEX(DebtNames,BF49),IF(AND(BJ49&lt;&gt;"",N(CHOOSE(BJ49,J49,N49,R49,V49,Z49,AD49,AH49,AL49))&gt;0.005),INDEX(DebtNames,BJ49),IF(AND(BN49&lt;&gt;"",N(CHOOSE(BN49,J49,N49,R49,V49,Z49,AD49,AH49,AL49))&gt;0.005),INDEX(DebtNames,BN49),IF(AND(BR49&lt;&gt;"",N(CHOOSE(BR49,J49,N49,R49,V49,Z49,AD49,AH49,AL49))&gt;0.005),INDEX(DebtNames,BR49),""))))))))</f>
        <v/>
      </c>
      <c r="D49">
        <f>N(BU49)</f>
        <v/>
      </c>
      <c r="E49">
        <f>N(L49)+N(P49)+N(T49)+N(X49)+N(AB49)+N(AF49)+N(AJ49)+N(AN49)</f>
        <v/>
      </c>
      <c r="F49">
        <f>N(K49)+N(O49)+N(S49)+N(W49)+N(AA49)+N(AE49)+N(AI49)+N(AM49)</f>
        <v/>
      </c>
      <c r="G49">
        <f>N(G48)+N(F49)</f>
        <v/>
      </c>
      <c r="H49">
        <f>N(M49)+N(Q49)+N(U49)+N(Y49)+N(AC49)+N(AG49)+N(AK49)+N(AO49)</f>
        <v/>
      </c>
      <c r="I49">
        <f>(M49&gt;0.005)*1+(Q49&gt;0.005)*1+(U49&gt;0.005)*1+(Y49&gt;0.005)*1+(AC49&gt;0.005)*1+(AG49&gt;0.005)*1+(AK49&gt;0.005)*1+(AO49&gt;0.005)*1</f>
        <v/>
      </c>
      <c r="J49">
        <f>N(M48)</f>
        <v/>
      </c>
      <c r="K49">
        <f>IF(N(J49)&lt;=0.005,0,ROUND(N(J49)*N('Debt List'!E5)/12,2))</f>
        <v/>
      </c>
      <c r="L49">
        <f>IF(N(J49)&lt;=0.005,0,MIN(N('Debt List'!F5),N(J49)+N(K49)))+((AP49=1)*AR49+(AT49=1)*AV49+(AX49=1)*AZ49+(BB49=1)*BD49+(BF49=1)*BH49+(BJ49=1)*BL49+(BN49=1)*BP49+(BR49=1)*BT49)</f>
        <v/>
      </c>
      <c r="M49">
        <f>MAX(0,ROUND(N(J49)+N(K49)-N(L49),2))</f>
        <v/>
      </c>
      <c r="N49">
        <f>N(Q48)</f>
        <v/>
      </c>
      <c r="O49">
        <f>IF(N(N49)&lt;=0.005,0,ROUND(N(N49)*N('Debt List'!E6)/12,2))</f>
        <v/>
      </c>
      <c r="P49">
        <f>IF(N(N49)&lt;=0.005,0,MIN(N('Debt List'!F6),N(N49)+N(O49)))+((AP49=2)*AR49+(AT49=2)*AV49+(AX49=2)*AZ49+(BB49=2)*BD49+(BF49=2)*BH49+(BJ49=2)*BL49+(BN49=2)*BP49+(BR49=2)*BT49)</f>
        <v/>
      </c>
      <c r="Q49">
        <f>MAX(0,ROUND(N(N49)+N(O49)-N(P49),2))</f>
        <v/>
      </c>
      <c r="R49">
        <f>N(U48)</f>
        <v/>
      </c>
      <c r="S49">
        <f>IF(N(R49)&lt;=0.005,0,ROUND(N(R49)*N('Debt List'!E7)/12,2))</f>
        <v/>
      </c>
      <c r="T49">
        <f>IF(N(R49)&lt;=0.005,0,MIN(N('Debt List'!F7),N(R49)+N(S49)))+((AP49=3)*AR49+(AT49=3)*AV49+(AX49=3)*AZ49+(BB49=3)*BD49+(BF49=3)*BH49+(BJ49=3)*BL49+(BN49=3)*BP49+(BR49=3)*BT49)</f>
        <v/>
      </c>
      <c r="U49">
        <f>MAX(0,ROUND(N(R49)+N(S49)-N(T49),2))</f>
        <v/>
      </c>
      <c r="V49">
        <f>N(Y48)</f>
        <v/>
      </c>
      <c r="W49">
        <f>IF(N(V49)&lt;=0.005,0,ROUND(N(V49)*N('Debt List'!E8)/12,2))</f>
        <v/>
      </c>
      <c r="X49">
        <f>IF(N(V49)&lt;=0.005,0,MIN(N('Debt List'!F8),N(V49)+N(W49)))+((AP49=4)*AR49+(AT49=4)*AV49+(AX49=4)*AZ49+(BB49=4)*BD49+(BF49=4)*BH49+(BJ49=4)*BL49+(BN49=4)*BP49+(BR49=4)*BT49)</f>
        <v/>
      </c>
      <c r="Y49">
        <f>MAX(0,ROUND(N(V49)+N(W49)-N(X49),2))</f>
        <v/>
      </c>
      <c r="Z49">
        <f>N(AC48)</f>
        <v/>
      </c>
      <c r="AA49">
        <f>IF(N(Z49)&lt;=0.005,0,ROUND(N(Z49)*N('Debt List'!E9)/12,2))</f>
        <v/>
      </c>
      <c r="AB49">
        <f>IF(N(Z49)&lt;=0.005,0,MIN(N('Debt List'!F9),N(Z49)+N(AA49)))+((AP49=5)*AR49+(AT49=5)*AV49+(AX49=5)*AZ49+(BB49=5)*BD49+(BF49=5)*BH49+(BJ49=5)*BL49+(BN49=5)*BP49+(BR49=5)*BT49)</f>
        <v/>
      </c>
      <c r="AC49">
        <f>MAX(0,ROUND(N(Z49)+N(AA49)-N(AB49),2))</f>
        <v/>
      </c>
      <c r="AD49">
        <f>N(AG48)</f>
        <v/>
      </c>
      <c r="AE49">
        <f>IF(N(AD49)&lt;=0.005,0,ROUND(N(AD49)*N('Debt List'!E10)/12,2))</f>
        <v/>
      </c>
      <c r="AF49">
        <f>IF(N(AD49)&lt;=0.005,0,MIN(N('Debt List'!F10),N(AD49)+N(AE49)))+((AP49=6)*AR49+(AT49=6)*AV49+(AX49=6)*AZ49+(BB49=6)*BD49+(BF49=6)*BH49+(BJ49=6)*BL49+(BN49=6)*BP49+(BR49=6)*BT49)</f>
        <v/>
      </c>
      <c r="AG49">
        <f>MAX(0,ROUND(N(AD49)+N(AE49)-N(AF49),2))</f>
        <v/>
      </c>
      <c r="AH49">
        <f>N(AK48)</f>
        <v/>
      </c>
      <c r="AI49">
        <f>IF(N(AH49)&lt;=0.005,0,ROUND(N(AH49)*N('Debt List'!E11)/12,2))</f>
        <v/>
      </c>
      <c r="AJ49">
        <f>IF(N(AH49)&lt;=0.005,0,MIN(N('Debt List'!F11),N(AH49)+N(AI49)))+((AP49=7)*AR49+(AT49=7)*AV49+(AX49=7)*AZ49+(BB49=7)*BD49+(BF49=7)*BH49+(BJ49=7)*BL49+(BN49=7)*BP49+(BR49=7)*BT49)</f>
        <v/>
      </c>
      <c r="AK49">
        <f>MAX(0,ROUND(N(AH49)+N(AI49)-N(AJ49),2))</f>
        <v/>
      </c>
      <c r="AL49">
        <f>N(AO48)</f>
        <v/>
      </c>
      <c r="AM49">
        <f>IF(N(AL49)&lt;=0.005,0,ROUND(N(AL49)*N('Debt List'!E12)/12,2))</f>
        <v/>
      </c>
      <c r="AN49">
        <f>IF(N(AL49)&lt;=0.005,0,MIN(N('Debt List'!F12),N(AL49)+N(AM49)))+((AP49=8)*AR49+(AT49=8)*AV49+(AX49=8)*AZ49+(BB49=8)*BD49+(BF49=8)*BH49+(BJ49=8)*BL49+(BN49=8)*BP49+(BR49=8)*BT49)</f>
        <v/>
      </c>
      <c r="AO49">
        <f>MAX(0,ROUND(N(AL49)+N(AM49)-N(AN49),2))</f>
        <v/>
      </c>
      <c r="AP49">
        <f>IFERROR(MATCH(1,OrderPlan,0),"")</f>
        <v/>
      </c>
      <c r="AQ49">
        <f>IF(AP49="",0,IFERROR(IF(N(CHOOSE(AP49,J49,N49,R49,V49,Z49,AD49,AH49,AL49))&lt;=0.005,0,MAX(0,N(CHOOSE(AP49,J49,N49,R49,V49,Z49,AD49,AH49,AL49))+N(CHOOSE(AP49,K49,O49,S49,W49,AA49,AE49,AI49,AM49))-MIN(N(CHOOSE(AP49,'Debt List'!$F$5,'Debt List'!$F$6,'Debt List'!$F$7,'Debt List'!$F$8,'Debt List'!$F$9,'Debt List'!$F$10,'Debt List'!$F$11,'Debt List'!$F$12)),N(CHOOSE(AP49,J49,N49,R49,V49,Z49,AD49,AH49,AL49))+N(CHOOSE(AP49,K49,O49,S49,W49,AA49,AE49,AI49,AM49))))),0))</f>
        <v/>
      </c>
      <c r="AR49">
        <f>MIN(N(AQ49),MAX(0,N(ExtraPayment)))</f>
        <v/>
      </c>
      <c r="AS49">
        <f>MAX(0,N(ExtraPayment)-N(AR49))</f>
        <v/>
      </c>
      <c r="AT49">
        <f>IFERROR(MATCH(2,OrderPlan,0),"")</f>
        <v/>
      </c>
      <c r="AU49">
        <f>IF(AT49="",0,IFERROR(IF(N(CHOOSE(AT49,J49,N49,R49,V49,Z49,AD49,AH49,AL49))&lt;=0.005,0,MAX(0,N(CHOOSE(AT49,J49,N49,R49,V49,Z49,AD49,AH49,AL49))+N(CHOOSE(AT49,K49,O49,S49,W49,AA49,AE49,AI49,AM49))-MIN(N(CHOOSE(AT49,'Debt List'!$F$5,'Debt List'!$F$6,'Debt List'!$F$7,'Debt List'!$F$8,'Debt List'!$F$9,'Debt List'!$F$10,'Debt List'!$F$11,'Debt List'!$F$12)),N(CHOOSE(AT49,J49,N49,R49,V49,Z49,AD49,AH49,AL49))+N(CHOOSE(AT49,K49,O49,S49,W49,AA49,AE49,AI49,AM49))))),0))</f>
        <v/>
      </c>
      <c r="AV49">
        <f>MIN(N(AU49),MAX(0,N(AS49)))</f>
        <v/>
      </c>
      <c r="AW49">
        <f>MAX(0,N(AS49)-N(AV49))</f>
        <v/>
      </c>
      <c r="AX49">
        <f>IFERROR(MATCH(3,OrderPlan,0),"")</f>
        <v/>
      </c>
      <c r="AY49">
        <f>IF(AX49="",0,IFERROR(IF(N(CHOOSE(AX49,J49,N49,R49,V49,Z49,AD49,AH49,AL49))&lt;=0.005,0,MAX(0,N(CHOOSE(AX49,J49,N49,R49,V49,Z49,AD49,AH49,AL49))+N(CHOOSE(AX49,K49,O49,S49,W49,AA49,AE49,AI49,AM49))-MIN(N(CHOOSE(AX49,'Debt List'!$F$5,'Debt List'!$F$6,'Debt List'!$F$7,'Debt List'!$F$8,'Debt List'!$F$9,'Debt List'!$F$10,'Debt List'!$F$11,'Debt List'!$F$12)),N(CHOOSE(AX49,J49,N49,R49,V49,Z49,AD49,AH49,AL49))+N(CHOOSE(AX49,K49,O49,S49,W49,AA49,AE49,AI49,AM49))))),0))</f>
        <v/>
      </c>
      <c r="AZ49">
        <f>MIN(N(AY49),MAX(0,N(AW49)))</f>
        <v/>
      </c>
      <c r="BA49">
        <f>MAX(0,N(AW49)-N(AZ49))</f>
        <v/>
      </c>
      <c r="BB49">
        <f>IFERROR(MATCH(4,OrderPlan,0),"")</f>
        <v/>
      </c>
      <c r="BC49">
        <f>IF(BB49="",0,IFERROR(IF(N(CHOOSE(BB49,J49,N49,R49,V49,Z49,AD49,AH49,AL49))&lt;=0.005,0,MAX(0,N(CHOOSE(BB49,J49,N49,R49,V49,Z49,AD49,AH49,AL49))+N(CHOOSE(BB49,K49,O49,S49,W49,AA49,AE49,AI49,AM49))-MIN(N(CHOOSE(BB49,'Debt List'!$F$5,'Debt List'!$F$6,'Debt List'!$F$7,'Debt List'!$F$8,'Debt List'!$F$9,'Debt List'!$F$10,'Debt List'!$F$11,'Debt List'!$F$12)),N(CHOOSE(BB49,J49,N49,R49,V49,Z49,AD49,AH49,AL49))+N(CHOOSE(BB49,K49,O49,S49,W49,AA49,AE49,AI49,AM49))))),0))</f>
        <v/>
      </c>
      <c r="BD49">
        <f>MIN(N(BC49),MAX(0,N(BA49)))</f>
        <v/>
      </c>
      <c r="BE49">
        <f>MAX(0,N(BA49)-N(BD49))</f>
        <v/>
      </c>
      <c r="BF49">
        <f>IFERROR(MATCH(5,OrderPlan,0),"")</f>
        <v/>
      </c>
      <c r="BG49">
        <f>IF(BF49="",0,IFERROR(IF(N(CHOOSE(BF49,J49,N49,R49,V49,Z49,AD49,AH49,AL49))&lt;=0.005,0,MAX(0,N(CHOOSE(BF49,J49,N49,R49,V49,Z49,AD49,AH49,AL49))+N(CHOOSE(BF49,K49,O49,S49,W49,AA49,AE49,AI49,AM49))-MIN(N(CHOOSE(BF49,'Debt List'!$F$5,'Debt List'!$F$6,'Debt List'!$F$7,'Debt List'!$F$8,'Debt List'!$F$9,'Debt List'!$F$10,'Debt List'!$F$11,'Debt List'!$F$12)),N(CHOOSE(BF49,J49,N49,R49,V49,Z49,AD49,AH49,AL49))+N(CHOOSE(BF49,K49,O49,S49,W49,AA49,AE49,AI49,AM49))))),0))</f>
        <v/>
      </c>
      <c r="BH49">
        <f>MIN(N(BG49),MAX(0,N(BE49)))</f>
        <v/>
      </c>
      <c r="BI49">
        <f>MAX(0,N(BE49)-N(BH49))</f>
        <v/>
      </c>
      <c r="BJ49">
        <f>IFERROR(MATCH(6,OrderPlan,0),"")</f>
        <v/>
      </c>
      <c r="BK49">
        <f>IF(BJ49="",0,IFERROR(IF(N(CHOOSE(BJ49,J49,N49,R49,V49,Z49,AD49,AH49,AL49))&lt;=0.005,0,MAX(0,N(CHOOSE(BJ49,J49,N49,R49,V49,Z49,AD49,AH49,AL49))+N(CHOOSE(BJ49,K49,O49,S49,W49,AA49,AE49,AI49,AM49))-MIN(N(CHOOSE(BJ49,'Debt List'!$F$5,'Debt List'!$F$6,'Debt List'!$F$7,'Debt List'!$F$8,'Debt List'!$F$9,'Debt List'!$F$10,'Debt List'!$F$11,'Debt List'!$F$12)),N(CHOOSE(BJ49,J49,N49,R49,V49,Z49,AD49,AH49,AL49))+N(CHOOSE(BJ49,K49,O49,S49,W49,AA49,AE49,AI49,AM49))))),0))</f>
        <v/>
      </c>
      <c r="BL49">
        <f>MIN(N(BK49),MAX(0,N(BI49)))</f>
        <v/>
      </c>
      <c r="BM49">
        <f>MAX(0,N(BI49)-N(BL49))</f>
        <v/>
      </c>
      <c r="BN49">
        <f>IFERROR(MATCH(7,OrderPlan,0),"")</f>
        <v/>
      </c>
      <c r="BO49">
        <f>IF(BN49="",0,IFERROR(IF(N(CHOOSE(BN49,J49,N49,R49,V49,Z49,AD49,AH49,AL49))&lt;=0.005,0,MAX(0,N(CHOOSE(BN49,J49,N49,R49,V49,Z49,AD49,AH49,AL49))+N(CHOOSE(BN49,K49,O49,S49,W49,AA49,AE49,AI49,AM49))-MIN(N(CHOOSE(BN49,'Debt List'!$F$5,'Debt List'!$F$6,'Debt List'!$F$7,'Debt List'!$F$8,'Debt List'!$F$9,'Debt List'!$F$10,'Debt List'!$F$11,'Debt List'!$F$12)),N(CHOOSE(BN49,J49,N49,R49,V49,Z49,AD49,AH49,AL49))+N(CHOOSE(BN49,K49,O49,S49,W49,AA49,AE49,AI49,AM49))))),0))</f>
        <v/>
      </c>
      <c r="BP49">
        <f>MIN(N(BO49),MAX(0,N(BM49)))</f>
        <v/>
      </c>
      <c r="BQ49">
        <f>MAX(0,N(BM49)-N(BP49))</f>
        <v/>
      </c>
      <c r="BR49">
        <f>IFERROR(MATCH(8,OrderPlan,0),"")</f>
        <v/>
      </c>
      <c r="BS49">
        <f>IF(BR49="",0,IFERROR(IF(N(CHOOSE(BR49,J49,N49,R49,V49,Z49,AD49,AH49,AL49))&lt;=0.005,0,MAX(0,N(CHOOSE(BR49,J49,N49,R49,V49,Z49,AD49,AH49,AL49))+N(CHOOSE(BR49,K49,O49,S49,W49,AA49,AE49,AI49,AM49))-MIN(N(CHOOSE(BR49,'Debt List'!$F$5,'Debt List'!$F$6,'Debt List'!$F$7,'Debt List'!$F$8,'Debt List'!$F$9,'Debt List'!$F$10,'Debt List'!$F$11,'Debt List'!$F$12)),N(CHOOSE(BR49,J49,N49,R49,V49,Z49,AD49,AH49,AL49))+N(CHOOSE(BR49,K49,O49,S49,W49,AA49,AE49,AI49,AM49))))),0))</f>
        <v/>
      </c>
      <c r="BT49">
        <f>MIN(N(BS49),MAX(0,N(BQ49)))</f>
        <v/>
      </c>
      <c r="BU49">
        <f>MAX(0,N(BQ49)-N(BT49))</f>
        <v/>
      </c>
      <c r="CC49" t="n">
        <v>45</v>
      </c>
      <c r="CD49" s="115">
        <f>DATE(YEAR(PlanStart),MONTH(PlanStart)+CC49-1,1)</f>
        <v/>
      </c>
      <c r="CE49">
        <f>IF(AND(DR49&lt;&gt;"",N(CHOOSE(DR49,CL49,CP49,CT49,CX49,DB49,DF49,DJ49,DN49))&gt;0.005),INDEX(DebtNames,DR49),IF(AND(DV49&lt;&gt;"",N(CHOOSE(DV49,CL49,CP49,CT49,CX49,DB49,DF49,DJ49,DN49))&gt;0.005),INDEX(DebtNames,DV49),IF(AND(DZ49&lt;&gt;"",N(CHOOSE(DZ49,CL49,CP49,CT49,CX49,DB49,DF49,DJ49,DN49))&gt;0.005),INDEX(DebtNames,DZ49),IF(AND(ED49&lt;&gt;"",N(CHOOSE(ED49,CL49,CP49,CT49,CX49,DB49,DF49,DJ49,DN49))&gt;0.005),INDEX(DebtNames,ED49),IF(AND(EH49&lt;&gt;"",N(CHOOSE(EH49,CL49,CP49,CT49,CX49,DB49,DF49,DJ49,DN49))&gt;0.005),INDEX(DebtNames,EH49),IF(AND(EL49&lt;&gt;"",N(CHOOSE(EL49,CL49,CP49,CT49,CX49,DB49,DF49,DJ49,DN49))&gt;0.005),INDEX(DebtNames,EL49),IF(AND(EP49&lt;&gt;"",N(CHOOSE(EP49,CL49,CP49,CT49,CX49,DB49,DF49,DJ49,DN49))&gt;0.005),INDEX(DebtNames,EP49),IF(AND(ET49&lt;&gt;"",N(CHOOSE(ET49,CL49,CP49,CT49,CX49,DB49,DF49,DJ49,DN49))&gt;0.005),INDEX(DebtNames,ET49),""))))))))</f>
        <v/>
      </c>
      <c r="CF49">
        <f>N(EW49)</f>
        <v/>
      </c>
      <c r="CG49">
        <f>N(CN49)+N(CR49)+N(CV49)+N(CZ49)+N(DD49)+N(DH49)+N(DL49)+N(DP49)</f>
        <v/>
      </c>
      <c r="CH49">
        <f>N(CM49)+N(CQ49)+N(CU49)+N(CY49)+N(DC49)+N(DG49)+N(DK49)+N(DO49)</f>
        <v/>
      </c>
      <c r="CI49">
        <f>N(CI48)+N(CH49)</f>
        <v/>
      </c>
      <c r="CJ49">
        <f>N(CO49)+N(CS49)+N(CW49)+N(DA49)+N(DE49)+N(DI49)+N(DM49)+N(DQ49)</f>
        <v/>
      </c>
      <c r="CK49">
        <f>(CO49&gt;0.005)*1+(CS49&gt;0.005)*1+(CW49&gt;0.005)*1+(DA49&gt;0.005)*1+(DE49&gt;0.005)*1+(DI49&gt;0.005)*1+(DM49&gt;0.005)*1+(DQ49&gt;0.005)*1</f>
        <v/>
      </c>
      <c r="CL49">
        <f>N(CO48)</f>
        <v/>
      </c>
      <c r="CM49">
        <f>IF(N(CL49)&lt;=0.005,0,ROUND(N(CL49)*N('Debt List'!E5)/12,2))</f>
        <v/>
      </c>
      <c r="CN49">
        <f>IF(N(CL49)&lt;=0.005,0,MIN(N('Debt List'!F5),N(CL49)+N(CM49)))+((DR49=1)*DT49+(DV49=1)*DX49+(DZ49=1)*EB49+(ED49=1)*EF49+(EH49=1)*EJ49+(EL49=1)*EN49+(EP49=1)*ER49+(ET49=1)*EV49)</f>
        <v/>
      </c>
      <c r="CO49">
        <f>MAX(0,ROUND(N(CL49)+N(CM49)-N(CN49),2))</f>
        <v/>
      </c>
      <c r="CP49">
        <f>N(CS48)</f>
        <v/>
      </c>
      <c r="CQ49">
        <f>IF(N(CP49)&lt;=0.005,0,ROUND(N(CP49)*N('Debt List'!E6)/12,2))</f>
        <v/>
      </c>
      <c r="CR49">
        <f>IF(N(CP49)&lt;=0.005,0,MIN(N('Debt List'!F6),N(CP49)+N(CQ49)))+((DR49=2)*DT49+(DV49=2)*DX49+(DZ49=2)*EB49+(ED49=2)*EF49+(EH49=2)*EJ49+(EL49=2)*EN49+(EP49=2)*ER49+(ET49=2)*EV49)</f>
        <v/>
      </c>
      <c r="CS49">
        <f>MAX(0,ROUND(N(CP49)+N(CQ49)-N(CR49),2))</f>
        <v/>
      </c>
      <c r="CT49">
        <f>N(CW48)</f>
        <v/>
      </c>
      <c r="CU49">
        <f>IF(N(CT49)&lt;=0.005,0,ROUND(N(CT49)*N('Debt List'!E7)/12,2))</f>
        <v/>
      </c>
      <c r="CV49">
        <f>IF(N(CT49)&lt;=0.005,0,MIN(N('Debt List'!F7),N(CT49)+N(CU49)))+((DR49=3)*DT49+(DV49=3)*DX49+(DZ49=3)*EB49+(ED49=3)*EF49+(EH49=3)*EJ49+(EL49=3)*EN49+(EP49=3)*ER49+(ET49=3)*EV49)</f>
        <v/>
      </c>
      <c r="CW49">
        <f>MAX(0,ROUND(N(CT49)+N(CU49)-N(CV49),2))</f>
        <v/>
      </c>
      <c r="CX49">
        <f>N(DA48)</f>
        <v/>
      </c>
      <c r="CY49">
        <f>IF(N(CX49)&lt;=0.005,0,ROUND(N(CX49)*N('Debt List'!E8)/12,2))</f>
        <v/>
      </c>
      <c r="CZ49">
        <f>IF(N(CX49)&lt;=0.005,0,MIN(N('Debt List'!F8),N(CX49)+N(CY49)))+((DR49=4)*DT49+(DV49=4)*DX49+(DZ49=4)*EB49+(ED49=4)*EF49+(EH49=4)*EJ49+(EL49=4)*EN49+(EP49=4)*ER49+(ET49=4)*EV49)</f>
        <v/>
      </c>
      <c r="DA49">
        <f>MAX(0,ROUND(N(CX49)+N(CY49)-N(CZ49),2))</f>
        <v/>
      </c>
      <c r="DB49">
        <f>N(DE48)</f>
        <v/>
      </c>
      <c r="DC49">
        <f>IF(N(DB49)&lt;=0.005,0,ROUND(N(DB49)*N('Debt List'!E9)/12,2))</f>
        <v/>
      </c>
      <c r="DD49">
        <f>IF(N(DB49)&lt;=0.005,0,MIN(N('Debt List'!F9),N(DB49)+N(DC49)))+((DR49=5)*DT49+(DV49=5)*DX49+(DZ49=5)*EB49+(ED49=5)*EF49+(EH49=5)*EJ49+(EL49=5)*EN49+(EP49=5)*ER49+(ET49=5)*EV49)</f>
        <v/>
      </c>
      <c r="DE49">
        <f>MAX(0,ROUND(N(DB49)+N(DC49)-N(DD49),2))</f>
        <v/>
      </c>
      <c r="DF49">
        <f>N(DI48)</f>
        <v/>
      </c>
      <c r="DG49">
        <f>IF(N(DF49)&lt;=0.005,0,ROUND(N(DF49)*N('Debt List'!E10)/12,2))</f>
        <v/>
      </c>
      <c r="DH49">
        <f>IF(N(DF49)&lt;=0.005,0,MIN(N('Debt List'!F10),N(DF49)+N(DG49)))+((DR49=6)*DT49+(DV49=6)*DX49+(DZ49=6)*EB49+(ED49=6)*EF49+(EH49=6)*EJ49+(EL49=6)*EN49+(EP49=6)*ER49+(ET49=6)*EV49)</f>
        <v/>
      </c>
      <c r="DI49">
        <f>MAX(0,ROUND(N(DF49)+N(DG49)-N(DH49),2))</f>
        <v/>
      </c>
      <c r="DJ49">
        <f>N(DM48)</f>
        <v/>
      </c>
      <c r="DK49">
        <f>IF(N(DJ49)&lt;=0.005,0,ROUND(N(DJ49)*N('Debt List'!E11)/12,2))</f>
        <v/>
      </c>
      <c r="DL49">
        <f>IF(N(DJ49)&lt;=0.005,0,MIN(N('Debt List'!F11),N(DJ49)+N(DK49)))+((DR49=7)*DT49+(DV49=7)*DX49+(DZ49=7)*EB49+(ED49=7)*EF49+(EH49=7)*EJ49+(EL49=7)*EN49+(EP49=7)*ER49+(ET49=7)*EV49)</f>
        <v/>
      </c>
      <c r="DM49">
        <f>MAX(0,ROUND(N(DJ49)+N(DK49)-N(DL49),2))</f>
        <v/>
      </c>
      <c r="DN49">
        <f>N(DQ48)</f>
        <v/>
      </c>
      <c r="DO49">
        <f>IF(N(DN49)&lt;=0.005,0,ROUND(N(DN49)*N('Debt List'!E12)/12,2))</f>
        <v/>
      </c>
      <c r="DP49">
        <f>IF(N(DN49)&lt;=0.005,0,MIN(N('Debt List'!F12),N(DN49)+N(DO49)))+((DR49=8)*DT49+(DV49=8)*DX49+(DZ49=8)*EB49+(ED49=8)*EF49+(EH49=8)*EJ49+(EL49=8)*EN49+(EP49=8)*ER49+(ET49=8)*EV49)</f>
        <v/>
      </c>
      <c r="DQ49">
        <f>MAX(0,ROUND(N(DN49)+N(DO49)-N(DP49),2))</f>
        <v/>
      </c>
      <c r="DR49">
        <f>IFERROR(MATCH(1,OrderSnow,0),"")</f>
        <v/>
      </c>
      <c r="DS49">
        <f>IF(DR49="",0,IFERROR(IF(N(CHOOSE(DR49,CL49,CP49,CT49,CX49,DB49,DF49,DJ49,DN49))&lt;=0.005,0,MAX(0,N(CHOOSE(DR49,CL49,CP49,CT49,CX49,DB49,DF49,DJ49,DN49))+N(CHOOSE(DR49,CM49,CQ49,CU49,CY49,DC49,DG49,DK49,DO49))-MIN(N(CHOOSE(DR49,'Debt List'!$F$5,'Debt List'!$F$6,'Debt List'!$F$7,'Debt List'!$F$8,'Debt List'!$F$9,'Debt List'!$F$10,'Debt List'!$F$11,'Debt List'!$F$12)),N(CHOOSE(DR49,CL49,CP49,CT49,CX49,DB49,DF49,DJ49,DN49))+N(CHOOSE(DR49,CM49,CQ49,CU49,CY49,DC49,DG49,DK49,DO49))))),0))</f>
        <v/>
      </c>
      <c r="DT49">
        <f>MIN(N(DS49),MAX(0,N(ExtraPayment)))</f>
        <v/>
      </c>
      <c r="DU49">
        <f>MAX(0,N(ExtraPayment)-N(DT49))</f>
        <v/>
      </c>
      <c r="DV49">
        <f>IFERROR(MATCH(2,OrderSnow,0),"")</f>
        <v/>
      </c>
      <c r="DW49">
        <f>IF(DV49="",0,IFERROR(IF(N(CHOOSE(DV49,CL49,CP49,CT49,CX49,DB49,DF49,DJ49,DN49))&lt;=0.005,0,MAX(0,N(CHOOSE(DV49,CL49,CP49,CT49,CX49,DB49,DF49,DJ49,DN49))+N(CHOOSE(DV49,CM49,CQ49,CU49,CY49,DC49,DG49,DK49,DO49))-MIN(N(CHOOSE(DV49,'Debt List'!$F$5,'Debt List'!$F$6,'Debt List'!$F$7,'Debt List'!$F$8,'Debt List'!$F$9,'Debt List'!$F$10,'Debt List'!$F$11,'Debt List'!$F$12)),N(CHOOSE(DV49,CL49,CP49,CT49,CX49,DB49,DF49,DJ49,DN49))+N(CHOOSE(DV49,CM49,CQ49,CU49,CY49,DC49,DG49,DK49,DO49))))),0))</f>
        <v/>
      </c>
      <c r="DX49">
        <f>MIN(N(DW49),MAX(0,N(DU49)))</f>
        <v/>
      </c>
      <c r="DY49">
        <f>MAX(0,N(DU49)-N(DX49))</f>
        <v/>
      </c>
      <c r="DZ49">
        <f>IFERROR(MATCH(3,OrderSnow,0),"")</f>
        <v/>
      </c>
      <c r="EA49">
        <f>IF(DZ49="",0,IFERROR(IF(N(CHOOSE(DZ49,CL49,CP49,CT49,CX49,DB49,DF49,DJ49,DN49))&lt;=0.005,0,MAX(0,N(CHOOSE(DZ49,CL49,CP49,CT49,CX49,DB49,DF49,DJ49,DN49))+N(CHOOSE(DZ49,CM49,CQ49,CU49,CY49,DC49,DG49,DK49,DO49))-MIN(N(CHOOSE(DZ49,'Debt List'!$F$5,'Debt List'!$F$6,'Debt List'!$F$7,'Debt List'!$F$8,'Debt List'!$F$9,'Debt List'!$F$10,'Debt List'!$F$11,'Debt List'!$F$12)),N(CHOOSE(DZ49,CL49,CP49,CT49,CX49,DB49,DF49,DJ49,DN49))+N(CHOOSE(DZ49,CM49,CQ49,CU49,CY49,DC49,DG49,DK49,DO49))))),0))</f>
        <v/>
      </c>
      <c r="EB49">
        <f>MIN(N(EA49),MAX(0,N(DY49)))</f>
        <v/>
      </c>
      <c r="EC49">
        <f>MAX(0,N(DY49)-N(EB49))</f>
        <v/>
      </c>
      <c r="ED49">
        <f>IFERROR(MATCH(4,OrderSnow,0),"")</f>
        <v/>
      </c>
      <c r="EE49">
        <f>IF(ED49="",0,IFERROR(IF(N(CHOOSE(ED49,CL49,CP49,CT49,CX49,DB49,DF49,DJ49,DN49))&lt;=0.005,0,MAX(0,N(CHOOSE(ED49,CL49,CP49,CT49,CX49,DB49,DF49,DJ49,DN49))+N(CHOOSE(ED49,CM49,CQ49,CU49,CY49,DC49,DG49,DK49,DO49))-MIN(N(CHOOSE(ED49,'Debt List'!$F$5,'Debt List'!$F$6,'Debt List'!$F$7,'Debt List'!$F$8,'Debt List'!$F$9,'Debt List'!$F$10,'Debt List'!$F$11,'Debt List'!$F$12)),N(CHOOSE(ED49,CL49,CP49,CT49,CX49,DB49,DF49,DJ49,DN49))+N(CHOOSE(ED49,CM49,CQ49,CU49,CY49,DC49,DG49,DK49,DO49))))),0))</f>
        <v/>
      </c>
      <c r="EF49">
        <f>MIN(N(EE49),MAX(0,N(EC49)))</f>
        <v/>
      </c>
      <c r="EG49">
        <f>MAX(0,N(EC49)-N(EF49))</f>
        <v/>
      </c>
      <c r="EH49">
        <f>IFERROR(MATCH(5,OrderSnow,0),"")</f>
        <v/>
      </c>
      <c r="EI49">
        <f>IF(EH49="",0,IFERROR(IF(N(CHOOSE(EH49,CL49,CP49,CT49,CX49,DB49,DF49,DJ49,DN49))&lt;=0.005,0,MAX(0,N(CHOOSE(EH49,CL49,CP49,CT49,CX49,DB49,DF49,DJ49,DN49))+N(CHOOSE(EH49,CM49,CQ49,CU49,CY49,DC49,DG49,DK49,DO49))-MIN(N(CHOOSE(EH49,'Debt List'!$F$5,'Debt List'!$F$6,'Debt List'!$F$7,'Debt List'!$F$8,'Debt List'!$F$9,'Debt List'!$F$10,'Debt List'!$F$11,'Debt List'!$F$12)),N(CHOOSE(EH49,CL49,CP49,CT49,CX49,DB49,DF49,DJ49,DN49))+N(CHOOSE(EH49,CM49,CQ49,CU49,CY49,DC49,DG49,DK49,DO49))))),0))</f>
        <v/>
      </c>
      <c r="EJ49">
        <f>MIN(N(EI49),MAX(0,N(EG49)))</f>
        <v/>
      </c>
      <c r="EK49">
        <f>MAX(0,N(EG49)-N(EJ49))</f>
        <v/>
      </c>
      <c r="EL49">
        <f>IFERROR(MATCH(6,OrderSnow,0),"")</f>
        <v/>
      </c>
      <c r="EM49">
        <f>IF(EL49="",0,IFERROR(IF(N(CHOOSE(EL49,CL49,CP49,CT49,CX49,DB49,DF49,DJ49,DN49))&lt;=0.005,0,MAX(0,N(CHOOSE(EL49,CL49,CP49,CT49,CX49,DB49,DF49,DJ49,DN49))+N(CHOOSE(EL49,CM49,CQ49,CU49,CY49,DC49,DG49,DK49,DO49))-MIN(N(CHOOSE(EL49,'Debt List'!$F$5,'Debt List'!$F$6,'Debt List'!$F$7,'Debt List'!$F$8,'Debt List'!$F$9,'Debt List'!$F$10,'Debt List'!$F$11,'Debt List'!$F$12)),N(CHOOSE(EL49,CL49,CP49,CT49,CX49,DB49,DF49,DJ49,DN49))+N(CHOOSE(EL49,CM49,CQ49,CU49,CY49,DC49,DG49,DK49,DO49))))),0))</f>
        <v/>
      </c>
      <c r="EN49">
        <f>MIN(N(EM49),MAX(0,N(EK49)))</f>
        <v/>
      </c>
      <c r="EO49">
        <f>MAX(0,N(EK49)-N(EN49))</f>
        <v/>
      </c>
      <c r="EP49">
        <f>IFERROR(MATCH(7,OrderSnow,0),"")</f>
        <v/>
      </c>
      <c r="EQ49">
        <f>IF(EP49="",0,IFERROR(IF(N(CHOOSE(EP49,CL49,CP49,CT49,CX49,DB49,DF49,DJ49,DN49))&lt;=0.005,0,MAX(0,N(CHOOSE(EP49,CL49,CP49,CT49,CX49,DB49,DF49,DJ49,DN49))+N(CHOOSE(EP49,CM49,CQ49,CU49,CY49,DC49,DG49,DK49,DO49))-MIN(N(CHOOSE(EP49,'Debt List'!$F$5,'Debt List'!$F$6,'Debt List'!$F$7,'Debt List'!$F$8,'Debt List'!$F$9,'Debt List'!$F$10,'Debt List'!$F$11,'Debt List'!$F$12)),N(CHOOSE(EP49,CL49,CP49,CT49,CX49,DB49,DF49,DJ49,DN49))+N(CHOOSE(EP49,CM49,CQ49,CU49,CY49,DC49,DG49,DK49,DO49))))),0))</f>
        <v/>
      </c>
      <c r="ER49">
        <f>MIN(N(EQ49),MAX(0,N(EO49)))</f>
        <v/>
      </c>
      <c r="ES49">
        <f>MAX(0,N(EO49)-N(ER49))</f>
        <v/>
      </c>
      <c r="ET49">
        <f>IFERROR(MATCH(8,OrderSnow,0),"")</f>
        <v/>
      </c>
      <c r="EU49">
        <f>IF(ET49="",0,IFERROR(IF(N(CHOOSE(ET49,CL49,CP49,CT49,CX49,DB49,DF49,DJ49,DN49))&lt;=0.005,0,MAX(0,N(CHOOSE(ET49,CL49,CP49,CT49,CX49,DB49,DF49,DJ49,DN49))+N(CHOOSE(ET49,CM49,CQ49,CU49,CY49,DC49,DG49,DK49,DO49))-MIN(N(CHOOSE(ET49,'Debt List'!$F$5,'Debt List'!$F$6,'Debt List'!$F$7,'Debt List'!$F$8,'Debt List'!$F$9,'Debt List'!$F$10,'Debt List'!$F$11,'Debt List'!$F$12)),N(CHOOSE(ET49,CL49,CP49,CT49,CX49,DB49,DF49,DJ49,DN49))+N(CHOOSE(ET49,CM49,CQ49,CU49,CY49,DC49,DG49,DK49,DO49))))),0))</f>
        <v/>
      </c>
      <c r="EV49">
        <f>MIN(N(EU49),MAX(0,N(ES49)))</f>
        <v/>
      </c>
      <c r="EW49">
        <f>MAX(0,N(ES49)-N(EV49))</f>
        <v/>
      </c>
      <c r="FE49" t="n">
        <v>45</v>
      </c>
      <c r="FF49" s="115">
        <f>DATE(YEAR(PlanStart),MONTH(PlanStart)+FE49-1,1)</f>
        <v/>
      </c>
      <c r="FG49">
        <f>IF(AND(GT49&lt;&gt;"",N(CHOOSE(GT49,FN49,FR49,FV49,FZ49,GD49,GH49,GL49,GP49))&gt;0.005),INDEX(DebtNames,GT49),IF(AND(GX49&lt;&gt;"",N(CHOOSE(GX49,FN49,FR49,FV49,FZ49,GD49,GH49,GL49,GP49))&gt;0.005),INDEX(DebtNames,GX49),IF(AND(HB49&lt;&gt;"",N(CHOOSE(HB49,FN49,FR49,FV49,FZ49,GD49,GH49,GL49,GP49))&gt;0.005),INDEX(DebtNames,HB49),IF(AND(HF49&lt;&gt;"",N(CHOOSE(HF49,FN49,FR49,FV49,FZ49,GD49,GH49,GL49,GP49))&gt;0.005),INDEX(DebtNames,HF49),IF(AND(HJ49&lt;&gt;"",N(CHOOSE(HJ49,FN49,FR49,FV49,FZ49,GD49,GH49,GL49,GP49))&gt;0.005),INDEX(DebtNames,HJ49),IF(AND(HN49&lt;&gt;"",N(CHOOSE(HN49,FN49,FR49,FV49,FZ49,GD49,GH49,GL49,GP49))&gt;0.005),INDEX(DebtNames,HN49),IF(AND(HR49&lt;&gt;"",N(CHOOSE(HR49,FN49,FR49,FV49,FZ49,GD49,GH49,GL49,GP49))&gt;0.005),INDEX(DebtNames,HR49),IF(AND(HV49&lt;&gt;"",N(CHOOSE(HV49,FN49,FR49,FV49,FZ49,GD49,GH49,GL49,GP49))&gt;0.005),INDEX(DebtNames,HV49),""))))))))</f>
        <v/>
      </c>
      <c r="FH49">
        <f>N(HY49)</f>
        <v/>
      </c>
      <c r="FI49">
        <f>N(FP49)+N(FT49)+N(FX49)+N(GB49)+N(GF49)+N(GJ49)+N(GN49)+N(GR49)</f>
        <v/>
      </c>
      <c r="FJ49">
        <f>N(FO49)+N(FS49)+N(FW49)+N(GA49)+N(GE49)+N(GI49)+N(GM49)+N(GQ49)</f>
        <v/>
      </c>
      <c r="FK49">
        <f>N(FK48)+N(FJ49)</f>
        <v/>
      </c>
      <c r="FL49">
        <f>N(FQ49)+N(FU49)+N(FY49)+N(GC49)+N(GG49)+N(GK49)+N(GO49)+N(GS49)</f>
        <v/>
      </c>
      <c r="FM49">
        <f>(FQ49&gt;0.005)*1+(FU49&gt;0.005)*1+(FY49&gt;0.005)*1+(GC49&gt;0.005)*1+(GG49&gt;0.005)*1+(GK49&gt;0.005)*1+(GO49&gt;0.005)*1+(GS49&gt;0.005)*1</f>
        <v/>
      </c>
      <c r="FN49">
        <f>N(FQ48)</f>
        <v/>
      </c>
      <c r="FO49">
        <f>IF(N(FN49)&lt;=0.005,0,ROUND(N(FN49)*N('Debt List'!E5)/12,2))</f>
        <v/>
      </c>
      <c r="FP49">
        <f>IF(N(FN49)&lt;=0.005,0,MIN(N('Debt List'!F5),N(FN49)+N(FO49)))+((GT49=1)*GV49+(GX49=1)*GZ49+(HB49=1)*HD49+(HF49=1)*HH49+(HJ49=1)*HL49+(HN49=1)*HP49+(HR49=1)*HT49+(HV49=1)*HX49)</f>
        <v/>
      </c>
      <c r="FQ49">
        <f>MAX(0,ROUND(N(FN49)+N(FO49)-N(FP49),2))</f>
        <v/>
      </c>
      <c r="FR49">
        <f>N(FU48)</f>
        <v/>
      </c>
      <c r="FS49">
        <f>IF(N(FR49)&lt;=0.005,0,ROUND(N(FR49)*N('Debt List'!E6)/12,2))</f>
        <v/>
      </c>
      <c r="FT49">
        <f>IF(N(FR49)&lt;=0.005,0,MIN(N('Debt List'!F6),N(FR49)+N(FS49)))+((GT49=2)*GV49+(GX49=2)*GZ49+(HB49=2)*HD49+(HF49=2)*HH49+(HJ49=2)*HL49+(HN49=2)*HP49+(HR49=2)*HT49+(HV49=2)*HX49)</f>
        <v/>
      </c>
      <c r="FU49">
        <f>MAX(0,ROUND(N(FR49)+N(FS49)-N(FT49),2))</f>
        <v/>
      </c>
      <c r="FV49">
        <f>N(FY48)</f>
        <v/>
      </c>
      <c r="FW49">
        <f>IF(N(FV49)&lt;=0.005,0,ROUND(N(FV49)*N('Debt List'!E7)/12,2))</f>
        <v/>
      </c>
      <c r="FX49">
        <f>IF(N(FV49)&lt;=0.005,0,MIN(N('Debt List'!F7),N(FV49)+N(FW49)))+((GT49=3)*GV49+(GX49=3)*GZ49+(HB49=3)*HD49+(HF49=3)*HH49+(HJ49=3)*HL49+(HN49=3)*HP49+(HR49=3)*HT49+(HV49=3)*HX49)</f>
        <v/>
      </c>
      <c r="FY49">
        <f>MAX(0,ROUND(N(FV49)+N(FW49)-N(FX49),2))</f>
        <v/>
      </c>
      <c r="FZ49">
        <f>N(GC48)</f>
        <v/>
      </c>
      <c r="GA49">
        <f>IF(N(FZ49)&lt;=0.005,0,ROUND(N(FZ49)*N('Debt List'!E8)/12,2))</f>
        <v/>
      </c>
      <c r="GB49">
        <f>IF(N(FZ49)&lt;=0.005,0,MIN(N('Debt List'!F8),N(FZ49)+N(GA49)))+((GT49=4)*GV49+(GX49=4)*GZ49+(HB49=4)*HD49+(HF49=4)*HH49+(HJ49=4)*HL49+(HN49=4)*HP49+(HR49=4)*HT49+(HV49=4)*HX49)</f>
        <v/>
      </c>
      <c r="GC49">
        <f>MAX(0,ROUND(N(FZ49)+N(GA49)-N(GB49),2))</f>
        <v/>
      </c>
      <c r="GD49">
        <f>N(GG48)</f>
        <v/>
      </c>
      <c r="GE49">
        <f>IF(N(GD49)&lt;=0.005,0,ROUND(N(GD49)*N('Debt List'!E9)/12,2))</f>
        <v/>
      </c>
      <c r="GF49">
        <f>IF(N(GD49)&lt;=0.005,0,MIN(N('Debt List'!F9),N(GD49)+N(GE49)))+((GT49=5)*GV49+(GX49=5)*GZ49+(HB49=5)*HD49+(HF49=5)*HH49+(HJ49=5)*HL49+(HN49=5)*HP49+(HR49=5)*HT49+(HV49=5)*HX49)</f>
        <v/>
      </c>
      <c r="GG49">
        <f>MAX(0,ROUND(N(GD49)+N(GE49)-N(GF49),2))</f>
        <v/>
      </c>
      <c r="GH49">
        <f>N(GK48)</f>
        <v/>
      </c>
      <c r="GI49">
        <f>IF(N(GH49)&lt;=0.005,0,ROUND(N(GH49)*N('Debt List'!E10)/12,2))</f>
        <v/>
      </c>
      <c r="GJ49">
        <f>IF(N(GH49)&lt;=0.005,0,MIN(N('Debt List'!F10),N(GH49)+N(GI49)))+((GT49=6)*GV49+(GX49=6)*GZ49+(HB49=6)*HD49+(HF49=6)*HH49+(HJ49=6)*HL49+(HN49=6)*HP49+(HR49=6)*HT49+(HV49=6)*HX49)</f>
        <v/>
      </c>
      <c r="GK49">
        <f>MAX(0,ROUND(N(GH49)+N(GI49)-N(GJ49),2))</f>
        <v/>
      </c>
      <c r="GL49">
        <f>N(GO48)</f>
        <v/>
      </c>
      <c r="GM49">
        <f>IF(N(GL49)&lt;=0.005,0,ROUND(N(GL49)*N('Debt List'!E11)/12,2))</f>
        <v/>
      </c>
      <c r="GN49">
        <f>IF(N(GL49)&lt;=0.005,0,MIN(N('Debt List'!F11),N(GL49)+N(GM49)))+((GT49=7)*GV49+(GX49=7)*GZ49+(HB49=7)*HD49+(HF49=7)*HH49+(HJ49=7)*HL49+(HN49=7)*HP49+(HR49=7)*HT49+(HV49=7)*HX49)</f>
        <v/>
      </c>
      <c r="GO49">
        <f>MAX(0,ROUND(N(GL49)+N(GM49)-N(GN49),2))</f>
        <v/>
      </c>
      <c r="GP49">
        <f>N(GS48)</f>
        <v/>
      </c>
      <c r="GQ49">
        <f>IF(N(GP49)&lt;=0.005,0,ROUND(N(GP49)*N('Debt List'!E12)/12,2))</f>
        <v/>
      </c>
      <c r="GR49">
        <f>IF(N(GP49)&lt;=0.005,0,MIN(N('Debt List'!F12),N(GP49)+N(GQ49)))+((GT49=8)*GV49+(GX49=8)*GZ49+(HB49=8)*HD49+(HF49=8)*HH49+(HJ49=8)*HL49+(HN49=8)*HP49+(HR49=8)*HT49+(HV49=8)*HX49)</f>
        <v/>
      </c>
      <c r="GS49">
        <f>MAX(0,ROUND(N(GP49)+N(GQ49)-N(GR49),2))</f>
        <v/>
      </c>
      <c r="GT49">
        <f>IFERROR(MATCH(1,OrderAval,0),"")</f>
        <v/>
      </c>
      <c r="GU49">
        <f>IF(GT49="",0,IFERROR(IF(N(CHOOSE(GT49,FN49,FR49,FV49,FZ49,GD49,GH49,GL49,GP49))&lt;=0.005,0,MAX(0,N(CHOOSE(GT49,FN49,FR49,FV49,FZ49,GD49,GH49,GL49,GP49))+N(CHOOSE(GT49,FO49,FS49,FW49,GA49,GE49,GI49,GM49,GQ49))-MIN(N(CHOOSE(GT49,'Debt List'!$F$5,'Debt List'!$F$6,'Debt List'!$F$7,'Debt List'!$F$8,'Debt List'!$F$9,'Debt List'!$F$10,'Debt List'!$F$11,'Debt List'!$F$12)),N(CHOOSE(GT49,FN49,FR49,FV49,FZ49,GD49,GH49,GL49,GP49))+N(CHOOSE(GT49,FO49,FS49,FW49,GA49,GE49,GI49,GM49,GQ49))))),0))</f>
        <v/>
      </c>
      <c r="GV49">
        <f>MIN(N(GU49),MAX(0,N(ExtraPayment)))</f>
        <v/>
      </c>
      <c r="GW49">
        <f>MAX(0,N(ExtraPayment)-N(GV49))</f>
        <v/>
      </c>
      <c r="GX49">
        <f>IFERROR(MATCH(2,OrderAval,0),"")</f>
        <v/>
      </c>
      <c r="GY49">
        <f>IF(GX49="",0,IFERROR(IF(N(CHOOSE(GX49,FN49,FR49,FV49,FZ49,GD49,GH49,GL49,GP49))&lt;=0.005,0,MAX(0,N(CHOOSE(GX49,FN49,FR49,FV49,FZ49,GD49,GH49,GL49,GP49))+N(CHOOSE(GX49,FO49,FS49,FW49,GA49,GE49,GI49,GM49,GQ49))-MIN(N(CHOOSE(GX49,'Debt List'!$F$5,'Debt List'!$F$6,'Debt List'!$F$7,'Debt List'!$F$8,'Debt List'!$F$9,'Debt List'!$F$10,'Debt List'!$F$11,'Debt List'!$F$12)),N(CHOOSE(GX49,FN49,FR49,FV49,FZ49,GD49,GH49,GL49,GP49))+N(CHOOSE(GX49,FO49,FS49,FW49,GA49,GE49,GI49,GM49,GQ49))))),0))</f>
        <v/>
      </c>
      <c r="GZ49">
        <f>MIN(N(GY49),MAX(0,N(GW49)))</f>
        <v/>
      </c>
      <c r="HA49">
        <f>MAX(0,N(GW49)-N(GZ49))</f>
        <v/>
      </c>
      <c r="HB49">
        <f>IFERROR(MATCH(3,OrderAval,0),"")</f>
        <v/>
      </c>
      <c r="HC49">
        <f>IF(HB49="",0,IFERROR(IF(N(CHOOSE(HB49,FN49,FR49,FV49,FZ49,GD49,GH49,GL49,GP49))&lt;=0.005,0,MAX(0,N(CHOOSE(HB49,FN49,FR49,FV49,FZ49,GD49,GH49,GL49,GP49))+N(CHOOSE(HB49,FO49,FS49,FW49,GA49,GE49,GI49,GM49,GQ49))-MIN(N(CHOOSE(HB49,'Debt List'!$F$5,'Debt List'!$F$6,'Debt List'!$F$7,'Debt List'!$F$8,'Debt List'!$F$9,'Debt List'!$F$10,'Debt List'!$F$11,'Debt List'!$F$12)),N(CHOOSE(HB49,FN49,FR49,FV49,FZ49,GD49,GH49,GL49,GP49))+N(CHOOSE(HB49,FO49,FS49,FW49,GA49,GE49,GI49,GM49,GQ49))))),0))</f>
        <v/>
      </c>
      <c r="HD49">
        <f>MIN(N(HC49),MAX(0,N(HA49)))</f>
        <v/>
      </c>
      <c r="HE49">
        <f>MAX(0,N(HA49)-N(HD49))</f>
        <v/>
      </c>
      <c r="HF49">
        <f>IFERROR(MATCH(4,OrderAval,0),"")</f>
        <v/>
      </c>
      <c r="HG49">
        <f>IF(HF49="",0,IFERROR(IF(N(CHOOSE(HF49,FN49,FR49,FV49,FZ49,GD49,GH49,GL49,GP49))&lt;=0.005,0,MAX(0,N(CHOOSE(HF49,FN49,FR49,FV49,FZ49,GD49,GH49,GL49,GP49))+N(CHOOSE(HF49,FO49,FS49,FW49,GA49,GE49,GI49,GM49,GQ49))-MIN(N(CHOOSE(HF49,'Debt List'!$F$5,'Debt List'!$F$6,'Debt List'!$F$7,'Debt List'!$F$8,'Debt List'!$F$9,'Debt List'!$F$10,'Debt List'!$F$11,'Debt List'!$F$12)),N(CHOOSE(HF49,FN49,FR49,FV49,FZ49,GD49,GH49,GL49,GP49))+N(CHOOSE(HF49,FO49,FS49,FW49,GA49,GE49,GI49,GM49,GQ49))))),0))</f>
        <v/>
      </c>
      <c r="HH49">
        <f>MIN(N(HG49),MAX(0,N(HE49)))</f>
        <v/>
      </c>
      <c r="HI49">
        <f>MAX(0,N(HE49)-N(HH49))</f>
        <v/>
      </c>
      <c r="HJ49">
        <f>IFERROR(MATCH(5,OrderAval,0),"")</f>
        <v/>
      </c>
      <c r="HK49">
        <f>IF(HJ49="",0,IFERROR(IF(N(CHOOSE(HJ49,FN49,FR49,FV49,FZ49,GD49,GH49,GL49,GP49))&lt;=0.005,0,MAX(0,N(CHOOSE(HJ49,FN49,FR49,FV49,FZ49,GD49,GH49,GL49,GP49))+N(CHOOSE(HJ49,FO49,FS49,FW49,GA49,GE49,GI49,GM49,GQ49))-MIN(N(CHOOSE(HJ49,'Debt List'!$F$5,'Debt List'!$F$6,'Debt List'!$F$7,'Debt List'!$F$8,'Debt List'!$F$9,'Debt List'!$F$10,'Debt List'!$F$11,'Debt List'!$F$12)),N(CHOOSE(HJ49,FN49,FR49,FV49,FZ49,GD49,GH49,GL49,GP49))+N(CHOOSE(HJ49,FO49,FS49,FW49,GA49,GE49,GI49,GM49,GQ49))))),0))</f>
        <v/>
      </c>
      <c r="HL49">
        <f>MIN(N(HK49),MAX(0,N(HI49)))</f>
        <v/>
      </c>
      <c r="HM49">
        <f>MAX(0,N(HI49)-N(HL49))</f>
        <v/>
      </c>
      <c r="HN49">
        <f>IFERROR(MATCH(6,OrderAval,0),"")</f>
        <v/>
      </c>
      <c r="HO49">
        <f>IF(HN49="",0,IFERROR(IF(N(CHOOSE(HN49,FN49,FR49,FV49,FZ49,GD49,GH49,GL49,GP49))&lt;=0.005,0,MAX(0,N(CHOOSE(HN49,FN49,FR49,FV49,FZ49,GD49,GH49,GL49,GP49))+N(CHOOSE(HN49,FO49,FS49,FW49,GA49,GE49,GI49,GM49,GQ49))-MIN(N(CHOOSE(HN49,'Debt List'!$F$5,'Debt List'!$F$6,'Debt List'!$F$7,'Debt List'!$F$8,'Debt List'!$F$9,'Debt List'!$F$10,'Debt List'!$F$11,'Debt List'!$F$12)),N(CHOOSE(HN49,FN49,FR49,FV49,FZ49,GD49,GH49,GL49,GP49))+N(CHOOSE(HN49,FO49,FS49,FW49,GA49,GE49,GI49,GM49,GQ49))))),0))</f>
        <v/>
      </c>
      <c r="HP49">
        <f>MIN(N(HO49),MAX(0,N(HM49)))</f>
        <v/>
      </c>
      <c r="HQ49">
        <f>MAX(0,N(HM49)-N(HP49))</f>
        <v/>
      </c>
      <c r="HR49">
        <f>IFERROR(MATCH(7,OrderAval,0),"")</f>
        <v/>
      </c>
      <c r="HS49">
        <f>IF(HR49="",0,IFERROR(IF(N(CHOOSE(HR49,FN49,FR49,FV49,FZ49,GD49,GH49,GL49,GP49))&lt;=0.005,0,MAX(0,N(CHOOSE(HR49,FN49,FR49,FV49,FZ49,GD49,GH49,GL49,GP49))+N(CHOOSE(HR49,FO49,FS49,FW49,GA49,GE49,GI49,GM49,GQ49))-MIN(N(CHOOSE(HR49,'Debt List'!$F$5,'Debt List'!$F$6,'Debt List'!$F$7,'Debt List'!$F$8,'Debt List'!$F$9,'Debt List'!$F$10,'Debt List'!$F$11,'Debt List'!$F$12)),N(CHOOSE(HR49,FN49,FR49,FV49,FZ49,GD49,GH49,GL49,GP49))+N(CHOOSE(HR49,FO49,FS49,FW49,GA49,GE49,GI49,GM49,GQ49))))),0))</f>
        <v/>
      </c>
      <c r="HT49">
        <f>MIN(N(HS49),MAX(0,N(HQ49)))</f>
        <v/>
      </c>
      <c r="HU49">
        <f>MAX(0,N(HQ49)-N(HT49))</f>
        <v/>
      </c>
      <c r="HV49">
        <f>IFERROR(MATCH(8,OrderAval,0),"")</f>
        <v/>
      </c>
      <c r="HW49">
        <f>IF(HV49="",0,IFERROR(IF(N(CHOOSE(HV49,FN49,FR49,FV49,FZ49,GD49,GH49,GL49,GP49))&lt;=0.005,0,MAX(0,N(CHOOSE(HV49,FN49,FR49,FV49,FZ49,GD49,GH49,GL49,GP49))+N(CHOOSE(HV49,FO49,FS49,FW49,GA49,GE49,GI49,GM49,GQ49))-MIN(N(CHOOSE(HV49,'Debt List'!$F$5,'Debt List'!$F$6,'Debt List'!$F$7,'Debt List'!$F$8,'Debt List'!$F$9,'Debt List'!$F$10,'Debt List'!$F$11,'Debt List'!$F$12)),N(CHOOSE(HV49,FN49,FR49,FV49,FZ49,GD49,GH49,GL49,GP49))+N(CHOOSE(HV49,FO49,FS49,FW49,GA49,GE49,GI49,GM49,GQ49))))),0))</f>
        <v/>
      </c>
      <c r="HX49">
        <f>MIN(N(HW49),MAX(0,N(HU49)))</f>
        <v/>
      </c>
      <c r="HY49">
        <f>MAX(0,N(HU49)-N(HX49))</f>
        <v/>
      </c>
    </row>
    <row r="50">
      <c r="A50" t="n">
        <v>46</v>
      </c>
      <c r="B50" s="115">
        <f>DATE(YEAR(PlanStart),MONTH(PlanStart)+A50-1,1)</f>
        <v/>
      </c>
      <c r="C50">
        <f>IF(AND(AP50&lt;&gt;"",N(CHOOSE(AP50,J50,N50,R50,V50,Z50,AD50,AH50,AL50))&gt;0.005),INDEX(DebtNames,AP50),IF(AND(AT50&lt;&gt;"",N(CHOOSE(AT50,J50,N50,R50,V50,Z50,AD50,AH50,AL50))&gt;0.005),INDEX(DebtNames,AT50),IF(AND(AX50&lt;&gt;"",N(CHOOSE(AX50,J50,N50,R50,V50,Z50,AD50,AH50,AL50))&gt;0.005),INDEX(DebtNames,AX50),IF(AND(BB50&lt;&gt;"",N(CHOOSE(BB50,J50,N50,R50,V50,Z50,AD50,AH50,AL50))&gt;0.005),INDEX(DebtNames,BB50),IF(AND(BF50&lt;&gt;"",N(CHOOSE(BF50,J50,N50,R50,V50,Z50,AD50,AH50,AL50))&gt;0.005),INDEX(DebtNames,BF50),IF(AND(BJ50&lt;&gt;"",N(CHOOSE(BJ50,J50,N50,R50,V50,Z50,AD50,AH50,AL50))&gt;0.005),INDEX(DebtNames,BJ50),IF(AND(BN50&lt;&gt;"",N(CHOOSE(BN50,J50,N50,R50,V50,Z50,AD50,AH50,AL50))&gt;0.005),INDEX(DebtNames,BN50),IF(AND(BR50&lt;&gt;"",N(CHOOSE(BR50,J50,N50,R50,V50,Z50,AD50,AH50,AL50))&gt;0.005),INDEX(DebtNames,BR50),""))))))))</f>
        <v/>
      </c>
      <c r="D50">
        <f>N(BU50)</f>
        <v/>
      </c>
      <c r="E50">
        <f>N(L50)+N(P50)+N(T50)+N(X50)+N(AB50)+N(AF50)+N(AJ50)+N(AN50)</f>
        <v/>
      </c>
      <c r="F50">
        <f>N(K50)+N(O50)+N(S50)+N(W50)+N(AA50)+N(AE50)+N(AI50)+N(AM50)</f>
        <v/>
      </c>
      <c r="G50">
        <f>N(G49)+N(F50)</f>
        <v/>
      </c>
      <c r="H50">
        <f>N(M50)+N(Q50)+N(U50)+N(Y50)+N(AC50)+N(AG50)+N(AK50)+N(AO50)</f>
        <v/>
      </c>
      <c r="I50">
        <f>(M50&gt;0.005)*1+(Q50&gt;0.005)*1+(U50&gt;0.005)*1+(Y50&gt;0.005)*1+(AC50&gt;0.005)*1+(AG50&gt;0.005)*1+(AK50&gt;0.005)*1+(AO50&gt;0.005)*1</f>
        <v/>
      </c>
      <c r="J50">
        <f>N(M49)</f>
        <v/>
      </c>
      <c r="K50">
        <f>IF(N(J50)&lt;=0.005,0,ROUND(N(J50)*N('Debt List'!E5)/12,2))</f>
        <v/>
      </c>
      <c r="L50">
        <f>IF(N(J50)&lt;=0.005,0,MIN(N('Debt List'!F5),N(J50)+N(K50)))+((AP50=1)*AR50+(AT50=1)*AV50+(AX50=1)*AZ50+(BB50=1)*BD50+(BF50=1)*BH50+(BJ50=1)*BL50+(BN50=1)*BP50+(BR50=1)*BT50)</f>
        <v/>
      </c>
      <c r="M50">
        <f>MAX(0,ROUND(N(J50)+N(K50)-N(L50),2))</f>
        <v/>
      </c>
      <c r="N50">
        <f>N(Q49)</f>
        <v/>
      </c>
      <c r="O50">
        <f>IF(N(N50)&lt;=0.005,0,ROUND(N(N50)*N('Debt List'!E6)/12,2))</f>
        <v/>
      </c>
      <c r="P50">
        <f>IF(N(N50)&lt;=0.005,0,MIN(N('Debt List'!F6),N(N50)+N(O50)))+((AP50=2)*AR50+(AT50=2)*AV50+(AX50=2)*AZ50+(BB50=2)*BD50+(BF50=2)*BH50+(BJ50=2)*BL50+(BN50=2)*BP50+(BR50=2)*BT50)</f>
        <v/>
      </c>
      <c r="Q50">
        <f>MAX(0,ROUND(N(N50)+N(O50)-N(P50),2))</f>
        <v/>
      </c>
      <c r="R50">
        <f>N(U49)</f>
        <v/>
      </c>
      <c r="S50">
        <f>IF(N(R50)&lt;=0.005,0,ROUND(N(R50)*N('Debt List'!E7)/12,2))</f>
        <v/>
      </c>
      <c r="T50">
        <f>IF(N(R50)&lt;=0.005,0,MIN(N('Debt List'!F7),N(R50)+N(S50)))+((AP50=3)*AR50+(AT50=3)*AV50+(AX50=3)*AZ50+(BB50=3)*BD50+(BF50=3)*BH50+(BJ50=3)*BL50+(BN50=3)*BP50+(BR50=3)*BT50)</f>
        <v/>
      </c>
      <c r="U50">
        <f>MAX(0,ROUND(N(R50)+N(S50)-N(T50),2))</f>
        <v/>
      </c>
      <c r="V50">
        <f>N(Y49)</f>
        <v/>
      </c>
      <c r="W50">
        <f>IF(N(V50)&lt;=0.005,0,ROUND(N(V50)*N('Debt List'!E8)/12,2))</f>
        <v/>
      </c>
      <c r="X50">
        <f>IF(N(V50)&lt;=0.005,0,MIN(N('Debt List'!F8),N(V50)+N(W50)))+((AP50=4)*AR50+(AT50=4)*AV50+(AX50=4)*AZ50+(BB50=4)*BD50+(BF50=4)*BH50+(BJ50=4)*BL50+(BN50=4)*BP50+(BR50=4)*BT50)</f>
        <v/>
      </c>
      <c r="Y50">
        <f>MAX(0,ROUND(N(V50)+N(W50)-N(X50),2))</f>
        <v/>
      </c>
      <c r="Z50">
        <f>N(AC49)</f>
        <v/>
      </c>
      <c r="AA50">
        <f>IF(N(Z50)&lt;=0.005,0,ROUND(N(Z50)*N('Debt List'!E9)/12,2))</f>
        <v/>
      </c>
      <c r="AB50">
        <f>IF(N(Z50)&lt;=0.005,0,MIN(N('Debt List'!F9),N(Z50)+N(AA50)))+((AP50=5)*AR50+(AT50=5)*AV50+(AX50=5)*AZ50+(BB50=5)*BD50+(BF50=5)*BH50+(BJ50=5)*BL50+(BN50=5)*BP50+(BR50=5)*BT50)</f>
        <v/>
      </c>
      <c r="AC50">
        <f>MAX(0,ROUND(N(Z50)+N(AA50)-N(AB50),2))</f>
        <v/>
      </c>
      <c r="AD50">
        <f>N(AG49)</f>
        <v/>
      </c>
      <c r="AE50">
        <f>IF(N(AD50)&lt;=0.005,0,ROUND(N(AD50)*N('Debt List'!E10)/12,2))</f>
        <v/>
      </c>
      <c r="AF50">
        <f>IF(N(AD50)&lt;=0.005,0,MIN(N('Debt List'!F10),N(AD50)+N(AE50)))+((AP50=6)*AR50+(AT50=6)*AV50+(AX50=6)*AZ50+(BB50=6)*BD50+(BF50=6)*BH50+(BJ50=6)*BL50+(BN50=6)*BP50+(BR50=6)*BT50)</f>
        <v/>
      </c>
      <c r="AG50">
        <f>MAX(0,ROUND(N(AD50)+N(AE50)-N(AF50),2))</f>
        <v/>
      </c>
      <c r="AH50">
        <f>N(AK49)</f>
        <v/>
      </c>
      <c r="AI50">
        <f>IF(N(AH50)&lt;=0.005,0,ROUND(N(AH50)*N('Debt List'!E11)/12,2))</f>
        <v/>
      </c>
      <c r="AJ50">
        <f>IF(N(AH50)&lt;=0.005,0,MIN(N('Debt List'!F11),N(AH50)+N(AI50)))+((AP50=7)*AR50+(AT50=7)*AV50+(AX50=7)*AZ50+(BB50=7)*BD50+(BF50=7)*BH50+(BJ50=7)*BL50+(BN50=7)*BP50+(BR50=7)*BT50)</f>
        <v/>
      </c>
      <c r="AK50">
        <f>MAX(0,ROUND(N(AH50)+N(AI50)-N(AJ50),2))</f>
        <v/>
      </c>
      <c r="AL50">
        <f>N(AO49)</f>
        <v/>
      </c>
      <c r="AM50">
        <f>IF(N(AL50)&lt;=0.005,0,ROUND(N(AL50)*N('Debt List'!E12)/12,2))</f>
        <v/>
      </c>
      <c r="AN50">
        <f>IF(N(AL50)&lt;=0.005,0,MIN(N('Debt List'!F12),N(AL50)+N(AM50)))+((AP50=8)*AR50+(AT50=8)*AV50+(AX50=8)*AZ50+(BB50=8)*BD50+(BF50=8)*BH50+(BJ50=8)*BL50+(BN50=8)*BP50+(BR50=8)*BT50)</f>
        <v/>
      </c>
      <c r="AO50">
        <f>MAX(0,ROUND(N(AL50)+N(AM50)-N(AN50),2))</f>
        <v/>
      </c>
      <c r="AP50">
        <f>IFERROR(MATCH(1,OrderPlan,0),"")</f>
        <v/>
      </c>
      <c r="AQ50">
        <f>IF(AP50="",0,IFERROR(IF(N(CHOOSE(AP50,J50,N50,R50,V50,Z50,AD50,AH50,AL50))&lt;=0.005,0,MAX(0,N(CHOOSE(AP50,J50,N50,R50,V50,Z50,AD50,AH50,AL50))+N(CHOOSE(AP50,K50,O50,S50,W50,AA50,AE50,AI50,AM50))-MIN(N(CHOOSE(AP50,'Debt List'!$F$5,'Debt List'!$F$6,'Debt List'!$F$7,'Debt List'!$F$8,'Debt List'!$F$9,'Debt List'!$F$10,'Debt List'!$F$11,'Debt List'!$F$12)),N(CHOOSE(AP50,J50,N50,R50,V50,Z50,AD50,AH50,AL50))+N(CHOOSE(AP50,K50,O50,S50,W50,AA50,AE50,AI50,AM50))))),0))</f>
        <v/>
      </c>
      <c r="AR50">
        <f>MIN(N(AQ50),MAX(0,N(ExtraPayment)))</f>
        <v/>
      </c>
      <c r="AS50">
        <f>MAX(0,N(ExtraPayment)-N(AR50))</f>
        <v/>
      </c>
      <c r="AT50">
        <f>IFERROR(MATCH(2,OrderPlan,0),"")</f>
        <v/>
      </c>
      <c r="AU50">
        <f>IF(AT50="",0,IFERROR(IF(N(CHOOSE(AT50,J50,N50,R50,V50,Z50,AD50,AH50,AL50))&lt;=0.005,0,MAX(0,N(CHOOSE(AT50,J50,N50,R50,V50,Z50,AD50,AH50,AL50))+N(CHOOSE(AT50,K50,O50,S50,W50,AA50,AE50,AI50,AM50))-MIN(N(CHOOSE(AT50,'Debt List'!$F$5,'Debt List'!$F$6,'Debt List'!$F$7,'Debt List'!$F$8,'Debt List'!$F$9,'Debt List'!$F$10,'Debt List'!$F$11,'Debt List'!$F$12)),N(CHOOSE(AT50,J50,N50,R50,V50,Z50,AD50,AH50,AL50))+N(CHOOSE(AT50,K50,O50,S50,W50,AA50,AE50,AI50,AM50))))),0))</f>
        <v/>
      </c>
      <c r="AV50">
        <f>MIN(N(AU50),MAX(0,N(AS50)))</f>
        <v/>
      </c>
      <c r="AW50">
        <f>MAX(0,N(AS50)-N(AV50))</f>
        <v/>
      </c>
      <c r="AX50">
        <f>IFERROR(MATCH(3,OrderPlan,0),"")</f>
        <v/>
      </c>
      <c r="AY50">
        <f>IF(AX50="",0,IFERROR(IF(N(CHOOSE(AX50,J50,N50,R50,V50,Z50,AD50,AH50,AL50))&lt;=0.005,0,MAX(0,N(CHOOSE(AX50,J50,N50,R50,V50,Z50,AD50,AH50,AL50))+N(CHOOSE(AX50,K50,O50,S50,W50,AA50,AE50,AI50,AM50))-MIN(N(CHOOSE(AX50,'Debt List'!$F$5,'Debt List'!$F$6,'Debt List'!$F$7,'Debt List'!$F$8,'Debt List'!$F$9,'Debt List'!$F$10,'Debt List'!$F$11,'Debt List'!$F$12)),N(CHOOSE(AX50,J50,N50,R50,V50,Z50,AD50,AH50,AL50))+N(CHOOSE(AX50,K50,O50,S50,W50,AA50,AE50,AI50,AM50))))),0))</f>
        <v/>
      </c>
      <c r="AZ50">
        <f>MIN(N(AY50),MAX(0,N(AW50)))</f>
        <v/>
      </c>
      <c r="BA50">
        <f>MAX(0,N(AW50)-N(AZ50))</f>
        <v/>
      </c>
      <c r="BB50">
        <f>IFERROR(MATCH(4,OrderPlan,0),"")</f>
        <v/>
      </c>
      <c r="BC50">
        <f>IF(BB50="",0,IFERROR(IF(N(CHOOSE(BB50,J50,N50,R50,V50,Z50,AD50,AH50,AL50))&lt;=0.005,0,MAX(0,N(CHOOSE(BB50,J50,N50,R50,V50,Z50,AD50,AH50,AL50))+N(CHOOSE(BB50,K50,O50,S50,W50,AA50,AE50,AI50,AM50))-MIN(N(CHOOSE(BB50,'Debt List'!$F$5,'Debt List'!$F$6,'Debt List'!$F$7,'Debt List'!$F$8,'Debt List'!$F$9,'Debt List'!$F$10,'Debt List'!$F$11,'Debt List'!$F$12)),N(CHOOSE(BB50,J50,N50,R50,V50,Z50,AD50,AH50,AL50))+N(CHOOSE(BB50,K50,O50,S50,W50,AA50,AE50,AI50,AM50))))),0))</f>
        <v/>
      </c>
      <c r="BD50">
        <f>MIN(N(BC50),MAX(0,N(BA50)))</f>
        <v/>
      </c>
      <c r="BE50">
        <f>MAX(0,N(BA50)-N(BD50))</f>
        <v/>
      </c>
      <c r="BF50">
        <f>IFERROR(MATCH(5,OrderPlan,0),"")</f>
        <v/>
      </c>
      <c r="BG50">
        <f>IF(BF50="",0,IFERROR(IF(N(CHOOSE(BF50,J50,N50,R50,V50,Z50,AD50,AH50,AL50))&lt;=0.005,0,MAX(0,N(CHOOSE(BF50,J50,N50,R50,V50,Z50,AD50,AH50,AL50))+N(CHOOSE(BF50,K50,O50,S50,W50,AA50,AE50,AI50,AM50))-MIN(N(CHOOSE(BF50,'Debt List'!$F$5,'Debt List'!$F$6,'Debt List'!$F$7,'Debt List'!$F$8,'Debt List'!$F$9,'Debt List'!$F$10,'Debt List'!$F$11,'Debt List'!$F$12)),N(CHOOSE(BF50,J50,N50,R50,V50,Z50,AD50,AH50,AL50))+N(CHOOSE(BF50,K50,O50,S50,W50,AA50,AE50,AI50,AM50))))),0))</f>
        <v/>
      </c>
      <c r="BH50">
        <f>MIN(N(BG50),MAX(0,N(BE50)))</f>
        <v/>
      </c>
      <c r="BI50">
        <f>MAX(0,N(BE50)-N(BH50))</f>
        <v/>
      </c>
      <c r="BJ50">
        <f>IFERROR(MATCH(6,OrderPlan,0),"")</f>
        <v/>
      </c>
      <c r="BK50">
        <f>IF(BJ50="",0,IFERROR(IF(N(CHOOSE(BJ50,J50,N50,R50,V50,Z50,AD50,AH50,AL50))&lt;=0.005,0,MAX(0,N(CHOOSE(BJ50,J50,N50,R50,V50,Z50,AD50,AH50,AL50))+N(CHOOSE(BJ50,K50,O50,S50,W50,AA50,AE50,AI50,AM50))-MIN(N(CHOOSE(BJ50,'Debt List'!$F$5,'Debt List'!$F$6,'Debt List'!$F$7,'Debt List'!$F$8,'Debt List'!$F$9,'Debt List'!$F$10,'Debt List'!$F$11,'Debt List'!$F$12)),N(CHOOSE(BJ50,J50,N50,R50,V50,Z50,AD50,AH50,AL50))+N(CHOOSE(BJ50,K50,O50,S50,W50,AA50,AE50,AI50,AM50))))),0))</f>
        <v/>
      </c>
      <c r="BL50">
        <f>MIN(N(BK50),MAX(0,N(BI50)))</f>
        <v/>
      </c>
      <c r="BM50">
        <f>MAX(0,N(BI50)-N(BL50))</f>
        <v/>
      </c>
      <c r="BN50">
        <f>IFERROR(MATCH(7,OrderPlan,0),"")</f>
        <v/>
      </c>
      <c r="BO50">
        <f>IF(BN50="",0,IFERROR(IF(N(CHOOSE(BN50,J50,N50,R50,V50,Z50,AD50,AH50,AL50))&lt;=0.005,0,MAX(0,N(CHOOSE(BN50,J50,N50,R50,V50,Z50,AD50,AH50,AL50))+N(CHOOSE(BN50,K50,O50,S50,W50,AA50,AE50,AI50,AM50))-MIN(N(CHOOSE(BN50,'Debt List'!$F$5,'Debt List'!$F$6,'Debt List'!$F$7,'Debt List'!$F$8,'Debt List'!$F$9,'Debt List'!$F$10,'Debt List'!$F$11,'Debt List'!$F$12)),N(CHOOSE(BN50,J50,N50,R50,V50,Z50,AD50,AH50,AL50))+N(CHOOSE(BN50,K50,O50,S50,W50,AA50,AE50,AI50,AM50))))),0))</f>
        <v/>
      </c>
      <c r="BP50">
        <f>MIN(N(BO50),MAX(0,N(BM50)))</f>
        <v/>
      </c>
      <c r="BQ50">
        <f>MAX(0,N(BM50)-N(BP50))</f>
        <v/>
      </c>
      <c r="BR50">
        <f>IFERROR(MATCH(8,OrderPlan,0),"")</f>
        <v/>
      </c>
      <c r="BS50">
        <f>IF(BR50="",0,IFERROR(IF(N(CHOOSE(BR50,J50,N50,R50,V50,Z50,AD50,AH50,AL50))&lt;=0.005,0,MAX(0,N(CHOOSE(BR50,J50,N50,R50,V50,Z50,AD50,AH50,AL50))+N(CHOOSE(BR50,K50,O50,S50,W50,AA50,AE50,AI50,AM50))-MIN(N(CHOOSE(BR50,'Debt List'!$F$5,'Debt List'!$F$6,'Debt List'!$F$7,'Debt List'!$F$8,'Debt List'!$F$9,'Debt List'!$F$10,'Debt List'!$F$11,'Debt List'!$F$12)),N(CHOOSE(BR50,J50,N50,R50,V50,Z50,AD50,AH50,AL50))+N(CHOOSE(BR50,K50,O50,S50,W50,AA50,AE50,AI50,AM50))))),0))</f>
        <v/>
      </c>
      <c r="BT50">
        <f>MIN(N(BS50),MAX(0,N(BQ50)))</f>
        <v/>
      </c>
      <c r="BU50">
        <f>MAX(0,N(BQ50)-N(BT50))</f>
        <v/>
      </c>
      <c r="CC50" t="n">
        <v>46</v>
      </c>
      <c r="CD50" s="115">
        <f>DATE(YEAR(PlanStart),MONTH(PlanStart)+CC50-1,1)</f>
        <v/>
      </c>
      <c r="CE50">
        <f>IF(AND(DR50&lt;&gt;"",N(CHOOSE(DR50,CL50,CP50,CT50,CX50,DB50,DF50,DJ50,DN50))&gt;0.005),INDEX(DebtNames,DR50),IF(AND(DV50&lt;&gt;"",N(CHOOSE(DV50,CL50,CP50,CT50,CX50,DB50,DF50,DJ50,DN50))&gt;0.005),INDEX(DebtNames,DV50),IF(AND(DZ50&lt;&gt;"",N(CHOOSE(DZ50,CL50,CP50,CT50,CX50,DB50,DF50,DJ50,DN50))&gt;0.005),INDEX(DebtNames,DZ50),IF(AND(ED50&lt;&gt;"",N(CHOOSE(ED50,CL50,CP50,CT50,CX50,DB50,DF50,DJ50,DN50))&gt;0.005),INDEX(DebtNames,ED50),IF(AND(EH50&lt;&gt;"",N(CHOOSE(EH50,CL50,CP50,CT50,CX50,DB50,DF50,DJ50,DN50))&gt;0.005),INDEX(DebtNames,EH50),IF(AND(EL50&lt;&gt;"",N(CHOOSE(EL50,CL50,CP50,CT50,CX50,DB50,DF50,DJ50,DN50))&gt;0.005),INDEX(DebtNames,EL50),IF(AND(EP50&lt;&gt;"",N(CHOOSE(EP50,CL50,CP50,CT50,CX50,DB50,DF50,DJ50,DN50))&gt;0.005),INDEX(DebtNames,EP50),IF(AND(ET50&lt;&gt;"",N(CHOOSE(ET50,CL50,CP50,CT50,CX50,DB50,DF50,DJ50,DN50))&gt;0.005),INDEX(DebtNames,ET50),""))))))))</f>
        <v/>
      </c>
      <c r="CF50">
        <f>N(EW50)</f>
        <v/>
      </c>
      <c r="CG50">
        <f>N(CN50)+N(CR50)+N(CV50)+N(CZ50)+N(DD50)+N(DH50)+N(DL50)+N(DP50)</f>
        <v/>
      </c>
      <c r="CH50">
        <f>N(CM50)+N(CQ50)+N(CU50)+N(CY50)+N(DC50)+N(DG50)+N(DK50)+N(DO50)</f>
        <v/>
      </c>
      <c r="CI50">
        <f>N(CI49)+N(CH50)</f>
        <v/>
      </c>
      <c r="CJ50">
        <f>N(CO50)+N(CS50)+N(CW50)+N(DA50)+N(DE50)+N(DI50)+N(DM50)+N(DQ50)</f>
        <v/>
      </c>
      <c r="CK50">
        <f>(CO50&gt;0.005)*1+(CS50&gt;0.005)*1+(CW50&gt;0.005)*1+(DA50&gt;0.005)*1+(DE50&gt;0.005)*1+(DI50&gt;0.005)*1+(DM50&gt;0.005)*1+(DQ50&gt;0.005)*1</f>
        <v/>
      </c>
      <c r="CL50">
        <f>N(CO49)</f>
        <v/>
      </c>
      <c r="CM50">
        <f>IF(N(CL50)&lt;=0.005,0,ROUND(N(CL50)*N('Debt List'!E5)/12,2))</f>
        <v/>
      </c>
      <c r="CN50">
        <f>IF(N(CL50)&lt;=0.005,0,MIN(N('Debt List'!F5),N(CL50)+N(CM50)))+((DR50=1)*DT50+(DV50=1)*DX50+(DZ50=1)*EB50+(ED50=1)*EF50+(EH50=1)*EJ50+(EL50=1)*EN50+(EP50=1)*ER50+(ET50=1)*EV50)</f>
        <v/>
      </c>
      <c r="CO50">
        <f>MAX(0,ROUND(N(CL50)+N(CM50)-N(CN50),2))</f>
        <v/>
      </c>
      <c r="CP50">
        <f>N(CS49)</f>
        <v/>
      </c>
      <c r="CQ50">
        <f>IF(N(CP50)&lt;=0.005,0,ROUND(N(CP50)*N('Debt List'!E6)/12,2))</f>
        <v/>
      </c>
      <c r="CR50">
        <f>IF(N(CP50)&lt;=0.005,0,MIN(N('Debt List'!F6),N(CP50)+N(CQ50)))+((DR50=2)*DT50+(DV50=2)*DX50+(DZ50=2)*EB50+(ED50=2)*EF50+(EH50=2)*EJ50+(EL50=2)*EN50+(EP50=2)*ER50+(ET50=2)*EV50)</f>
        <v/>
      </c>
      <c r="CS50">
        <f>MAX(0,ROUND(N(CP50)+N(CQ50)-N(CR50),2))</f>
        <v/>
      </c>
      <c r="CT50">
        <f>N(CW49)</f>
        <v/>
      </c>
      <c r="CU50">
        <f>IF(N(CT50)&lt;=0.005,0,ROUND(N(CT50)*N('Debt List'!E7)/12,2))</f>
        <v/>
      </c>
      <c r="CV50">
        <f>IF(N(CT50)&lt;=0.005,0,MIN(N('Debt List'!F7),N(CT50)+N(CU50)))+((DR50=3)*DT50+(DV50=3)*DX50+(DZ50=3)*EB50+(ED50=3)*EF50+(EH50=3)*EJ50+(EL50=3)*EN50+(EP50=3)*ER50+(ET50=3)*EV50)</f>
        <v/>
      </c>
      <c r="CW50">
        <f>MAX(0,ROUND(N(CT50)+N(CU50)-N(CV50),2))</f>
        <v/>
      </c>
      <c r="CX50">
        <f>N(DA49)</f>
        <v/>
      </c>
      <c r="CY50">
        <f>IF(N(CX50)&lt;=0.005,0,ROUND(N(CX50)*N('Debt List'!E8)/12,2))</f>
        <v/>
      </c>
      <c r="CZ50">
        <f>IF(N(CX50)&lt;=0.005,0,MIN(N('Debt List'!F8),N(CX50)+N(CY50)))+((DR50=4)*DT50+(DV50=4)*DX50+(DZ50=4)*EB50+(ED50=4)*EF50+(EH50=4)*EJ50+(EL50=4)*EN50+(EP50=4)*ER50+(ET50=4)*EV50)</f>
        <v/>
      </c>
      <c r="DA50">
        <f>MAX(0,ROUND(N(CX50)+N(CY50)-N(CZ50),2))</f>
        <v/>
      </c>
      <c r="DB50">
        <f>N(DE49)</f>
        <v/>
      </c>
      <c r="DC50">
        <f>IF(N(DB50)&lt;=0.005,0,ROUND(N(DB50)*N('Debt List'!E9)/12,2))</f>
        <v/>
      </c>
      <c r="DD50">
        <f>IF(N(DB50)&lt;=0.005,0,MIN(N('Debt List'!F9),N(DB50)+N(DC50)))+((DR50=5)*DT50+(DV50=5)*DX50+(DZ50=5)*EB50+(ED50=5)*EF50+(EH50=5)*EJ50+(EL50=5)*EN50+(EP50=5)*ER50+(ET50=5)*EV50)</f>
        <v/>
      </c>
      <c r="DE50">
        <f>MAX(0,ROUND(N(DB50)+N(DC50)-N(DD50),2))</f>
        <v/>
      </c>
      <c r="DF50">
        <f>N(DI49)</f>
        <v/>
      </c>
      <c r="DG50">
        <f>IF(N(DF50)&lt;=0.005,0,ROUND(N(DF50)*N('Debt List'!E10)/12,2))</f>
        <v/>
      </c>
      <c r="DH50">
        <f>IF(N(DF50)&lt;=0.005,0,MIN(N('Debt List'!F10),N(DF50)+N(DG50)))+((DR50=6)*DT50+(DV50=6)*DX50+(DZ50=6)*EB50+(ED50=6)*EF50+(EH50=6)*EJ50+(EL50=6)*EN50+(EP50=6)*ER50+(ET50=6)*EV50)</f>
        <v/>
      </c>
      <c r="DI50">
        <f>MAX(0,ROUND(N(DF50)+N(DG50)-N(DH50),2))</f>
        <v/>
      </c>
      <c r="DJ50">
        <f>N(DM49)</f>
        <v/>
      </c>
      <c r="DK50">
        <f>IF(N(DJ50)&lt;=0.005,0,ROUND(N(DJ50)*N('Debt List'!E11)/12,2))</f>
        <v/>
      </c>
      <c r="DL50">
        <f>IF(N(DJ50)&lt;=0.005,0,MIN(N('Debt List'!F11),N(DJ50)+N(DK50)))+((DR50=7)*DT50+(DV50=7)*DX50+(DZ50=7)*EB50+(ED50=7)*EF50+(EH50=7)*EJ50+(EL50=7)*EN50+(EP50=7)*ER50+(ET50=7)*EV50)</f>
        <v/>
      </c>
      <c r="DM50">
        <f>MAX(0,ROUND(N(DJ50)+N(DK50)-N(DL50),2))</f>
        <v/>
      </c>
      <c r="DN50">
        <f>N(DQ49)</f>
        <v/>
      </c>
      <c r="DO50">
        <f>IF(N(DN50)&lt;=0.005,0,ROUND(N(DN50)*N('Debt List'!E12)/12,2))</f>
        <v/>
      </c>
      <c r="DP50">
        <f>IF(N(DN50)&lt;=0.005,0,MIN(N('Debt List'!F12),N(DN50)+N(DO50)))+((DR50=8)*DT50+(DV50=8)*DX50+(DZ50=8)*EB50+(ED50=8)*EF50+(EH50=8)*EJ50+(EL50=8)*EN50+(EP50=8)*ER50+(ET50=8)*EV50)</f>
        <v/>
      </c>
      <c r="DQ50">
        <f>MAX(0,ROUND(N(DN50)+N(DO50)-N(DP50),2))</f>
        <v/>
      </c>
      <c r="DR50">
        <f>IFERROR(MATCH(1,OrderSnow,0),"")</f>
        <v/>
      </c>
      <c r="DS50">
        <f>IF(DR50="",0,IFERROR(IF(N(CHOOSE(DR50,CL50,CP50,CT50,CX50,DB50,DF50,DJ50,DN50))&lt;=0.005,0,MAX(0,N(CHOOSE(DR50,CL50,CP50,CT50,CX50,DB50,DF50,DJ50,DN50))+N(CHOOSE(DR50,CM50,CQ50,CU50,CY50,DC50,DG50,DK50,DO50))-MIN(N(CHOOSE(DR50,'Debt List'!$F$5,'Debt List'!$F$6,'Debt List'!$F$7,'Debt List'!$F$8,'Debt List'!$F$9,'Debt List'!$F$10,'Debt List'!$F$11,'Debt List'!$F$12)),N(CHOOSE(DR50,CL50,CP50,CT50,CX50,DB50,DF50,DJ50,DN50))+N(CHOOSE(DR50,CM50,CQ50,CU50,CY50,DC50,DG50,DK50,DO50))))),0))</f>
        <v/>
      </c>
      <c r="DT50">
        <f>MIN(N(DS50),MAX(0,N(ExtraPayment)))</f>
        <v/>
      </c>
      <c r="DU50">
        <f>MAX(0,N(ExtraPayment)-N(DT50))</f>
        <v/>
      </c>
      <c r="DV50">
        <f>IFERROR(MATCH(2,OrderSnow,0),"")</f>
        <v/>
      </c>
      <c r="DW50">
        <f>IF(DV50="",0,IFERROR(IF(N(CHOOSE(DV50,CL50,CP50,CT50,CX50,DB50,DF50,DJ50,DN50))&lt;=0.005,0,MAX(0,N(CHOOSE(DV50,CL50,CP50,CT50,CX50,DB50,DF50,DJ50,DN50))+N(CHOOSE(DV50,CM50,CQ50,CU50,CY50,DC50,DG50,DK50,DO50))-MIN(N(CHOOSE(DV50,'Debt List'!$F$5,'Debt List'!$F$6,'Debt List'!$F$7,'Debt List'!$F$8,'Debt List'!$F$9,'Debt List'!$F$10,'Debt List'!$F$11,'Debt List'!$F$12)),N(CHOOSE(DV50,CL50,CP50,CT50,CX50,DB50,DF50,DJ50,DN50))+N(CHOOSE(DV50,CM50,CQ50,CU50,CY50,DC50,DG50,DK50,DO50))))),0))</f>
        <v/>
      </c>
      <c r="DX50">
        <f>MIN(N(DW50),MAX(0,N(DU50)))</f>
        <v/>
      </c>
      <c r="DY50">
        <f>MAX(0,N(DU50)-N(DX50))</f>
        <v/>
      </c>
      <c r="DZ50">
        <f>IFERROR(MATCH(3,OrderSnow,0),"")</f>
        <v/>
      </c>
      <c r="EA50">
        <f>IF(DZ50="",0,IFERROR(IF(N(CHOOSE(DZ50,CL50,CP50,CT50,CX50,DB50,DF50,DJ50,DN50))&lt;=0.005,0,MAX(0,N(CHOOSE(DZ50,CL50,CP50,CT50,CX50,DB50,DF50,DJ50,DN50))+N(CHOOSE(DZ50,CM50,CQ50,CU50,CY50,DC50,DG50,DK50,DO50))-MIN(N(CHOOSE(DZ50,'Debt List'!$F$5,'Debt List'!$F$6,'Debt List'!$F$7,'Debt List'!$F$8,'Debt List'!$F$9,'Debt List'!$F$10,'Debt List'!$F$11,'Debt List'!$F$12)),N(CHOOSE(DZ50,CL50,CP50,CT50,CX50,DB50,DF50,DJ50,DN50))+N(CHOOSE(DZ50,CM50,CQ50,CU50,CY50,DC50,DG50,DK50,DO50))))),0))</f>
        <v/>
      </c>
      <c r="EB50">
        <f>MIN(N(EA50),MAX(0,N(DY50)))</f>
        <v/>
      </c>
      <c r="EC50">
        <f>MAX(0,N(DY50)-N(EB50))</f>
        <v/>
      </c>
      <c r="ED50">
        <f>IFERROR(MATCH(4,OrderSnow,0),"")</f>
        <v/>
      </c>
      <c r="EE50">
        <f>IF(ED50="",0,IFERROR(IF(N(CHOOSE(ED50,CL50,CP50,CT50,CX50,DB50,DF50,DJ50,DN50))&lt;=0.005,0,MAX(0,N(CHOOSE(ED50,CL50,CP50,CT50,CX50,DB50,DF50,DJ50,DN50))+N(CHOOSE(ED50,CM50,CQ50,CU50,CY50,DC50,DG50,DK50,DO50))-MIN(N(CHOOSE(ED50,'Debt List'!$F$5,'Debt List'!$F$6,'Debt List'!$F$7,'Debt List'!$F$8,'Debt List'!$F$9,'Debt List'!$F$10,'Debt List'!$F$11,'Debt List'!$F$12)),N(CHOOSE(ED50,CL50,CP50,CT50,CX50,DB50,DF50,DJ50,DN50))+N(CHOOSE(ED50,CM50,CQ50,CU50,CY50,DC50,DG50,DK50,DO50))))),0))</f>
        <v/>
      </c>
      <c r="EF50">
        <f>MIN(N(EE50),MAX(0,N(EC50)))</f>
        <v/>
      </c>
      <c r="EG50">
        <f>MAX(0,N(EC50)-N(EF50))</f>
        <v/>
      </c>
      <c r="EH50">
        <f>IFERROR(MATCH(5,OrderSnow,0),"")</f>
        <v/>
      </c>
      <c r="EI50">
        <f>IF(EH50="",0,IFERROR(IF(N(CHOOSE(EH50,CL50,CP50,CT50,CX50,DB50,DF50,DJ50,DN50))&lt;=0.005,0,MAX(0,N(CHOOSE(EH50,CL50,CP50,CT50,CX50,DB50,DF50,DJ50,DN50))+N(CHOOSE(EH50,CM50,CQ50,CU50,CY50,DC50,DG50,DK50,DO50))-MIN(N(CHOOSE(EH50,'Debt List'!$F$5,'Debt List'!$F$6,'Debt List'!$F$7,'Debt List'!$F$8,'Debt List'!$F$9,'Debt List'!$F$10,'Debt List'!$F$11,'Debt List'!$F$12)),N(CHOOSE(EH50,CL50,CP50,CT50,CX50,DB50,DF50,DJ50,DN50))+N(CHOOSE(EH50,CM50,CQ50,CU50,CY50,DC50,DG50,DK50,DO50))))),0))</f>
        <v/>
      </c>
      <c r="EJ50">
        <f>MIN(N(EI50),MAX(0,N(EG50)))</f>
        <v/>
      </c>
      <c r="EK50">
        <f>MAX(0,N(EG50)-N(EJ50))</f>
        <v/>
      </c>
      <c r="EL50">
        <f>IFERROR(MATCH(6,OrderSnow,0),"")</f>
        <v/>
      </c>
      <c r="EM50">
        <f>IF(EL50="",0,IFERROR(IF(N(CHOOSE(EL50,CL50,CP50,CT50,CX50,DB50,DF50,DJ50,DN50))&lt;=0.005,0,MAX(0,N(CHOOSE(EL50,CL50,CP50,CT50,CX50,DB50,DF50,DJ50,DN50))+N(CHOOSE(EL50,CM50,CQ50,CU50,CY50,DC50,DG50,DK50,DO50))-MIN(N(CHOOSE(EL50,'Debt List'!$F$5,'Debt List'!$F$6,'Debt List'!$F$7,'Debt List'!$F$8,'Debt List'!$F$9,'Debt List'!$F$10,'Debt List'!$F$11,'Debt List'!$F$12)),N(CHOOSE(EL50,CL50,CP50,CT50,CX50,DB50,DF50,DJ50,DN50))+N(CHOOSE(EL50,CM50,CQ50,CU50,CY50,DC50,DG50,DK50,DO50))))),0))</f>
        <v/>
      </c>
      <c r="EN50">
        <f>MIN(N(EM50),MAX(0,N(EK50)))</f>
        <v/>
      </c>
      <c r="EO50">
        <f>MAX(0,N(EK50)-N(EN50))</f>
        <v/>
      </c>
      <c r="EP50">
        <f>IFERROR(MATCH(7,OrderSnow,0),"")</f>
        <v/>
      </c>
      <c r="EQ50">
        <f>IF(EP50="",0,IFERROR(IF(N(CHOOSE(EP50,CL50,CP50,CT50,CX50,DB50,DF50,DJ50,DN50))&lt;=0.005,0,MAX(0,N(CHOOSE(EP50,CL50,CP50,CT50,CX50,DB50,DF50,DJ50,DN50))+N(CHOOSE(EP50,CM50,CQ50,CU50,CY50,DC50,DG50,DK50,DO50))-MIN(N(CHOOSE(EP50,'Debt List'!$F$5,'Debt List'!$F$6,'Debt List'!$F$7,'Debt List'!$F$8,'Debt List'!$F$9,'Debt List'!$F$10,'Debt List'!$F$11,'Debt List'!$F$12)),N(CHOOSE(EP50,CL50,CP50,CT50,CX50,DB50,DF50,DJ50,DN50))+N(CHOOSE(EP50,CM50,CQ50,CU50,CY50,DC50,DG50,DK50,DO50))))),0))</f>
        <v/>
      </c>
      <c r="ER50">
        <f>MIN(N(EQ50),MAX(0,N(EO50)))</f>
        <v/>
      </c>
      <c r="ES50">
        <f>MAX(0,N(EO50)-N(ER50))</f>
        <v/>
      </c>
      <c r="ET50">
        <f>IFERROR(MATCH(8,OrderSnow,0),"")</f>
        <v/>
      </c>
      <c r="EU50">
        <f>IF(ET50="",0,IFERROR(IF(N(CHOOSE(ET50,CL50,CP50,CT50,CX50,DB50,DF50,DJ50,DN50))&lt;=0.005,0,MAX(0,N(CHOOSE(ET50,CL50,CP50,CT50,CX50,DB50,DF50,DJ50,DN50))+N(CHOOSE(ET50,CM50,CQ50,CU50,CY50,DC50,DG50,DK50,DO50))-MIN(N(CHOOSE(ET50,'Debt List'!$F$5,'Debt List'!$F$6,'Debt List'!$F$7,'Debt List'!$F$8,'Debt List'!$F$9,'Debt List'!$F$10,'Debt List'!$F$11,'Debt List'!$F$12)),N(CHOOSE(ET50,CL50,CP50,CT50,CX50,DB50,DF50,DJ50,DN50))+N(CHOOSE(ET50,CM50,CQ50,CU50,CY50,DC50,DG50,DK50,DO50))))),0))</f>
        <v/>
      </c>
      <c r="EV50">
        <f>MIN(N(EU50),MAX(0,N(ES50)))</f>
        <v/>
      </c>
      <c r="EW50">
        <f>MAX(0,N(ES50)-N(EV50))</f>
        <v/>
      </c>
      <c r="FE50" t="n">
        <v>46</v>
      </c>
      <c r="FF50" s="115">
        <f>DATE(YEAR(PlanStart),MONTH(PlanStart)+FE50-1,1)</f>
        <v/>
      </c>
      <c r="FG50">
        <f>IF(AND(GT50&lt;&gt;"",N(CHOOSE(GT50,FN50,FR50,FV50,FZ50,GD50,GH50,GL50,GP50))&gt;0.005),INDEX(DebtNames,GT50),IF(AND(GX50&lt;&gt;"",N(CHOOSE(GX50,FN50,FR50,FV50,FZ50,GD50,GH50,GL50,GP50))&gt;0.005),INDEX(DebtNames,GX50),IF(AND(HB50&lt;&gt;"",N(CHOOSE(HB50,FN50,FR50,FV50,FZ50,GD50,GH50,GL50,GP50))&gt;0.005),INDEX(DebtNames,HB50),IF(AND(HF50&lt;&gt;"",N(CHOOSE(HF50,FN50,FR50,FV50,FZ50,GD50,GH50,GL50,GP50))&gt;0.005),INDEX(DebtNames,HF50),IF(AND(HJ50&lt;&gt;"",N(CHOOSE(HJ50,FN50,FR50,FV50,FZ50,GD50,GH50,GL50,GP50))&gt;0.005),INDEX(DebtNames,HJ50),IF(AND(HN50&lt;&gt;"",N(CHOOSE(HN50,FN50,FR50,FV50,FZ50,GD50,GH50,GL50,GP50))&gt;0.005),INDEX(DebtNames,HN50),IF(AND(HR50&lt;&gt;"",N(CHOOSE(HR50,FN50,FR50,FV50,FZ50,GD50,GH50,GL50,GP50))&gt;0.005),INDEX(DebtNames,HR50),IF(AND(HV50&lt;&gt;"",N(CHOOSE(HV50,FN50,FR50,FV50,FZ50,GD50,GH50,GL50,GP50))&gt;0.005),INDEX(DebtNames,HV50),""))))))))</f>
        <v/>
      </c>
      <c r="FH50">
        <f>N(HY50)</f>
        <v/>
      </c>
      <c r="FI50">
        <f>N(FP50)+N(FT50)+N(FX50)+N(GB50)+N(GF50)+N(GJ50)+N(GN50)+N(GR50)</f>
        <v/>
      </c>
      <c r="FJ50">
        <f>N(FO50)+N(FS50)+N(FW50)+N(GA50)+N(GE50)+N(GI50)+N(GM50)+N(GQ50)</f>
        <v/>
      </c>
      <c r="FK50">
        <f>N(FK49)+N(FJ50)</f>
        <v/>
      </c>
      <c r="FL50">
        <f>N(FQ50)+N(FU50)+N(FY50)+N(GC50)+N(GG50)+N(GK50)+N(GO50)+N(GS50)</f>
        <v/>
      </c>
      <c r="FM50">
        <f>(FQ50&gt;0.005)*1+(FU50&gt;0.005)*1+(FY50&gt;0.005)*1+(GC50&gt;0.005)*1+(GG50&gt;0.005)*1+(GK50&gt;0.005)*1+(GO50&gt;0.005)*1+(GS50&gt;0.005)*1</f>
        <v/>
      </c>
      <c r="FN50">
        <f>N(FQ49)</f>
        <v/>
      </c>
      <c r="FO50">
        <f>IF(N(FN50)&lt;=0.005,0,ROUND(N(FN50)*N('Debt List'!E5)/12,2))</f>
        <v/>
      </c>
      <c r="FP50">
        <f>IF(N(FN50)&lt;=0.005,0,MIN(N('Debt List'!F5),N(FN50)+N(FO50)))+((GT50=1)*GV50+(GX50=1)*GZ50+(HB50=1)*HD50+(HF50=1)*HH50+(HJ50=1)*HL50+(HN50=1)*HP50+(HR50=1)*HT50+(HV50=1)*HX50)</f>
        <v/>
      </c>
      <c r="FQ50">
        <f>MAX(0,ROUND(N(FN50)+N(FO50)-N(FP50),2))</f>
        <v/>
      </c>
      <c r="FR50">
        <f>N(FU49)</f>
        <v/>
      </c>
      <c r="FS50">
        <f>IF(N(FR50)&lt;=0.005,0,ROUND(N(FR50)*N('Debt List'!E6)/12,2))</f>
        <v/>
      </c>
      <c r="FT50">
        <f>IF(N(FR50)&lt;=0.005,0,MIN(N('Debt List'!F6),N(FR50)+N(FS50)))+((GT50=2)*GV50+(GX50=2)*GZ50+(HB50=2)*HD50+(HF50=2)*HH50+(HJ50=2)*HL50+(HN50=2)*HP50+(HR50=2)*HT50+(HV50=2)*HX50)</f>
        <v/>
      </c>
      <c r="FU50">
        <f>MAX(0,ROUND(N(FR50)+N(FS50)-N(FT50),2))</f>
        <v/>
      </c>
      <c r="FV50">
        <f>N(FY49)</f>
        <v/>
      </c>
      <c r="FW50">
        <f>IF(N(FV50)&lt;=0.005,0,ROUND(N(FV50)*N('Debt List'!E7)/12,2))</f>
        <v/>
      </c>
      <c r="FX50">
        <f>IF(N(FV50)&lt;=0.005,0,MIN(N('Debt List'!F7),N(FV50)+N(FW50)))+((GT50=3)*GV50+(GX50=3)*GZ50+(HB50=3)*HD50+(HF50=3)*HH50+(HJ50=3)*HL50+(HN50=3)*HP50+(HR50=3)*HT50+(HV50=3)*HX50)</f>
        <v/>
      </c>
      <c r="FY50">
        <f>MAX(0,ROUND(N(FV50)+N(FW50)-N(FX50),2))</f>
        <v/>
      </c>
      <c r="FZ50">
        <f>N(GC49)</f>
        <v/>
      </c>
      <c r="GA50">
        <f>IF(N(FZ50)&lt;=0.005,0,ROUND(N(FZ50)*N('Debt List'!E8)/12,2))</f>
        <v/>
      </c>
      <c r="GB50">
        <f>IF(N(FZ50)&lt;=0.005,0,MIN(N('Debt List'!F8),N(FZ50)+N(GA50)))+((GT50=4)*GV50+(GX50=4)*GZ50+(HB50=4)*HD50+(HF50=4)*HH50+(HJ50=4)*HL50+(HN50=4)*HP50+(HR50=4)*HT50+(HV50=4)*HX50)</f>
        <v/>
      </c>
      <c r="GC50">
        <f>MAX(0,ROUND(N(FZ50)+N(GA50)-N(GB50),2))</f>
        <v/>
      </c>
      <c r="GD50">
        <f>N(GG49)</f>
        <v/>
      </c>
      <c r="GE50">
        <f>IF(N(GD50)&lt;=0.005,0,ROUND(N(GD50)*N('Debt List'!E9)/12,2))</f>
        <v/>
      </c>
      <c r="GF50">
        <f>IF(N(GD50)&lt;=0.005,0,MIN(N('Debt List'!F9),N(GD50)+N(GE50)))+((GT50=5)*GV50+(GX50=5)*GZ50+(HB50=5)*HD50+(HF50=5)*HH50+(HJ50=5)*HL50+(HN50=5)*HP50+(HR50=5)*HT50+(HV50=5)*HX50)</f>
        <v/>
      </c>
      <c r="GG50">
        <f>MAX(0,ROUND(N(GD50)+N(GE50)-N(GF50),2))</f>
        <v/>
      </c>
      <c r="GH50">
        <f>N(GK49)</f>
        <v/>
      </c>
      <c r="GI50">
        <f>IF(N(GH50)&lt;=0.005,0,ROUND(N(GH50)*N('Debt List'!E10)/12,2))</f>
        <v/>
      </c>
      <c r="GJ50">
        <f>IF(N(GH50)&lt;=0.005,0,MIN(N('Debt List'!F10),N(GH50)+N(GI50)))+((GT50=6)*GV50+(GX50=6)*GZ50+(HB50=6)*HD50+(HF50=6)*HH50+(HJ50=6)*HL50+(HN50=6)*HP50+(HR50=6)*HT50+(HV50=6)*HX50)</f>
        <v/>
      </c>
      <c r="GK50">
        <f>MAX(0,ROUND(N(GH50)+N(GI50)-N(GJ50),2))</f>
        <v/>
      </c>
      <c r="GL50">
        <f>N(GO49)</f>
        <v/>
      </c>
      <c r="GM50">
        <f>IF(N(GL50)&lt;=0.005,0,ROUND(N(GL50)*N('Debt List'!E11)/12,2))</f>
        <v/>
      </c>
      <c r="GN50">
        <f>IF(N(GL50)&lt;=0.005,0,MIN(N('Debt List'!F11),N(GL50)+N(GM50)))+((GT50=7)*GV50+(GX50=7)*GZ50+(HB50=7)*HD50+(HF50=7)*HH50+(HJ50=7)*HL50+(HN50=7)*HP50+(HR50=7)*HT50+(HV50=7)*HX50)</f>
        <v/>
      </c>
      <c r="GO50">
        <f>MAX(0,ROUND(N(GL50)+N(GM50)-N(GN50),2))</f>
        <v/>
      </c>
      <c r="GP50">
        <f>N(GS49)</f>
        <v/>
      </c>
      <c r="GQ50">
        <f>IF(N(GP50)&lt;=0.005,0,ROUND(N(GP50)*N('Debt List'!E12)/12,2))</f>
        <v/>
      </c>
      <c r="GR50">
        <f>IF(N(GP50)&lt;=0.005,0,MIN(N('Debt List'!F12),N(GP50)+N(GQ50)))+((GT50=8)*GV50+(GX50=8)*GZ50+(HB50=8)*HD50+(HF50=8)*HH50+(HJ50=8)*HL50+(HN50=8)*HP50+(HR50=8)*HT50+(HV50=8)*HX50)</f>
        <v/>
      </c>
      <c r="GS50">
        <f>MAX(0,ROUND(N(GP50)+N(GQ50)-N(GR50),2))</f>
        <v/>
      </c>
      <c r="GT50">
        <f>IFERROR(MATCH(1,OrderAval,0),"")</f>
        <v/>
      </c>
      <c r="GU50">
        <f>IF(GT50="",0,IFERROR(IF(N(CHOOSE(GT50,FN50,FR50,FV50,FZ50,GD50,GH50,GL50,GP50))&lt;=0.005,0,MAX(0,N(CHOOSE(GT50,FN50,FR50,FV50,FZ50,GD50,GH50,GL50,GP50))+N(CHOOSE(GT50,FO50,FS50,FW50,GA50,GE50,GI50,GM50,GQ50))-MIN(N(CHOOSE(GT50,'Debt List'!$F$5,'Debt List'!$F$6,'Debt List'!$F$7,'Debt List'!$F$8,'Debt List'!$F$9,'Debt List'!$F$10,'Debt List'!$F$11,'Debt List'!$F$12)),N(CHOOSE(GT50,FN50,FR50,FV50,FZ50,GD50,GH50,GL50,GP50))+N(CHOOSE(GT50,FO50,FS50,FW50,GA50,GE50,GI50,GM50,GQ50))))),0))</f>
        <v/>
      </c>
      <c r="GV50">
        <f>MIN(N(GU50),MAX(0,N(ExtraPayment)))</f>
        <v/>
      </c>
      <c r="GW50">
        <f>MAX(0,N(ExtraPayment)-N(GV50))</f>
        <v/>
      </c>
      <c r="GX50">
        <f>IFERROR(MATCH(2,OrderAval,0),"")</f>
        <v/>
      </c>
      <c r="GY50">
        <f>IF(GX50="",0,IFERROR(IF(N(CHOOSE(GX50,FN50,FR50,FV50,FZ50,GD50,GH50,GL50,GP50))&lt;=0.005,0,MAX(0,N(CHOOSE(GX50,FN50,FR50,FV50,FZ50,GD50,GH50,GL50,GP50))+N(CHOOSE(GX50,FO50,FS50,FW50,GA50,GE50,GI50,GM50,GQ50))-MIN(N(CHOOSE(GX50,'Debt List'!$F$5,'Debt List'!$F$6,'Debt List'!$F$7,'Debt List'!$F$8,'Debt List'!$F$9,'Debt List'!$F$10,'Debt List'!$F$11,'Debt List'!$F$12)),N(CHOOSE(GX50,FN50,FR50,FV50,FZ50,GD50,GH50,GL50,GP50))+N(CHOOSE(GX50,FO50,FS50,FW50,GA50,GE50,GI50,GM50,GQ50))))),0))</f>
        <v/>
      </c>
      <c r="GZ50">
        <f>MIN(N(GY50),MAX(0,N(GW50)))</f>
        <v/>
      </c>
      <c r="HA50">
        <f>MAX(0,N(GW50)-N(GZ50))</f>
        <v/>
      </c>
      <c r="HB50">
        <f>IFERROR(MATCH(3,OrderAval,0),"")</f>
        <v/>
      </c>
      <c r="HC50">
        <f>IF(HB50="",0,IFERROR(IF(N(CHOOSE(HB50,FN50,FR50,FV50,FZ50,GD50,GH50,GL50,GP50))&lt;=0.005,0,MAX(0,N(CHOOSE(HB50,FN50,FR50,FV50,FZ50,GD50,GH50,GL50,GP50))+N(CHOOSE(HB50,FO50,FS50,FW50,GA50,GE50,GI50,GM50,GQ50))-MIN(N(CHOOSE(HB50,'Debt List'!$F$5,'Debt List'!$F$6,'Debt List'!$F$7,'Debt List'!$F$8,'Debt List'!$F$9,'Debt List'!$F$10,'Debt List'!$F$11,'Debt List'!$F$12)),N(CHOOSE(HB50,FN50,FR50,FV50,FZ50,GD50,GH50,GL50,GP50))+N(CHOOSE(HB50,FO50,FS50,FW50,GA50,GE50,GI50,GM50,GQ50))))),0))</f>
        <v/>
      </c>
      <c r="HD50">
        <f>MIN(N(HC50),MAX(0,N(HA50)))</f>
        <v/>
      </c>
      <c r="HE50">
        <f>MAX(0,N(HA50)-N(HD50))</f>
        <v/>
      </c>
      <c r="HF50">
        <f>IFERROR(MATCH(4,OrderAval,0),"")</f>
        <v/>
      </c>
      <c r="HG50">
        <f>IF(HF50="",0,IFERROR(IF(N(CHOOSE(HF50,FN50,FR50,FV50,FZ50,GD50,GH50,GL50,GP50))&lt;=0.005,0,MAX(0,N(CHOOSE(HF50,FN50,FR50,FV50,FZ50,GD50,GH50,GL50,GP50))+N(CHOOSE(HF50,FO50,FS50,FW50,GA50,GE50,GI50,GM50,GQ50))-MIN(N(CHOOSE(HF50,'Debt List'!$F$5,'Debt List'!$F$6,'Debt List'!$F$7,'Debt List'!$F$8,'Debt List'!$F$9,'Debt List'!$F$10,'Debt List'!$F$11,'Debt List'!$F$12)),N(CHOOSE(HF50,FN50,FR50,FV50,FZ50,GD50,GH50,GL50,GP50))+N(CHOOSE(HF50,FO50,FS50,FW50,GA50,GE50,GI50,GM50,GQ50))))),0))</f>
        <v/>
      </c>
      <c r="HH50">
        <f>MIN(N(HG50),MAX(0,N(HE50)))</f>
        <v/>
      </c>
      <c r="HI50">
        <f>MAX(0,N(HE50)-N(HH50))</f>
        <v/>
      </c>
      <c r="HJ50">
        <f>IFERROR(MATCH(5,OrderAval,0),"")</f>
        <v/>
      </c>
      <c r="HK50">
        <f>IF(HJ50="",0,IFERROR(IF(N(CHOOSE(HJ50,FN50,FR50,FV50,FZ50,GD50,GH50,GL50,GP50))&lt;=0.005,0,MAX(0,N(CHOOSE(HJ50,FN50,FR50,FV50,FZ50,GD50,GH50,GL50,GP50))+N(CHOOSE(HJ50,FO50,FS50,FW50,GA50,GE50,GI50,GM50,GQ50))-MIN(N(CHOOSE(HJ50,'Debt List'!$F$5,'Debt List'!$F$6,'Debt List'!$F$7,'Debt List'!$F$8,'Debt List'!$F$9,'Debt List'!$F$10,'Debt List'!$F$11,'Debt List'!$F$12)),N(CHOOSE(HJ50,FN50,FR50,FV50,FZ50,GD50,GH50,GL50,GP50))+N(CHOOSE(HJ50,FO50,FS50,FW50,GA50,GE50,GI50,GM50,GQ50))))),0))</f>
        <v/>
      </c>
      <c r="HL50">
        <f>MIN(N(HK50),MAX(0,N(HI50)))</f>
        <v/>
      </c>
      <c r="HM50">
        <f>MAX(0,N(HI50)-N(HL50))</f>
        <v/>
      </c>
      <c r="HN50">
        <f>IFERROR(MATCH(6,OrderAval,0),"")</f>
        <v/>
      </c>
      <c r="HO50">
        <f>IF(HN50="",0,IFERROR(IF(N(CHOOSE(HN50,FN50,FR50,FV50,FZ50,GD50,GH50,GL50,GP50))&lt;=0.005,0,MAX(0,N(CHOOSE(HN50,FN50,FR50,FV50,FZ50,GD50,GH50,GL50,GP50))+N(CHOOSE(HN50,FO50,FS50,FW50,GA50,GE50,GI50,GM50,GQ50))-MIN(N(CHOOSE(HN50,'Debt List'!$F$5,'Debt List'!$F$6,'Debt List'!$F$7,'Debt List'!$F$8,'Debt List'!$F$9,'Debt List'!$F$10,'Debt List'!$F$11,'Debt List'!$F$12)),N(CHOOSE(HN50,FN50,FR50,FV50,FZ50,GD50,GH50,GL50,GP50))+N(CHOOSE(HN50,FO50,FS50,FW50,GA50,GE50,GI50,GM50,GQ50))))),0))</f>
        <v/>
      </c>
      <c r="HP50">
        <f>MIN(N(HO50),MAX(0,N(HM50)))</f>
        <v/>
      </c>
      <c r="HQ50">
        <f>MAX(0,N(HM50)-N(HP50))</f>
        <v/>
      </c>
      <c r="HR50">
        <f>IFERROR(MATCH(7,OrderAval,0),"")</f>
        <v/>
      </c>
      <c r="HS50">
        <f>IF(HR50="",0,IFERROR(IF(N(CHOOSE(HR50,FN50,FR50,FV50,FZ50,GD50,GH50,GL50,GP50))&lt;=0.005,0,MAX(0,N(CHOOSE(HR50,FN50,FR50,FV50,FZ50,GD50,GH50,GL50,GP50))+N(CHOOSE(HR50,FO50,FS50,FW50,GA50,GE50,GI50,GM50,GQ50))-MIN(N(CHOOSE(HR50,'Debt List'!$F$5,'Debt List'!$F$6,'Debt List'!$F$7,'Debt List'!$F$8,'Debt List'!$F$9,'Debt List'!$F$10,'Debt List'!$F$11,'Debt List'!$F$12)),N(CHOOSE(HR50,FN50,FR50,FV50,FZ50,GD50,GH50,GL50,GP50))+N(CHOOSE(HR50,FO50,FS50,FW50,GA50,GE50,GI50,GM50,GQ50))))),0))</f>
        <v/>
      </c>
      <c r="HT50">
        <f>MIN(N(HS50),MAX(0,N(HQ50)))</f>
        <v/>
      </c>
      <c r="HU50">
        <f>MAX(0,N(HQ50)-N(HT50))</f>
        <v/>
      </c>
      <c r="HV50">
        <f>IFERROR(MATCH(8,OrderAval,0),"")</f>
        <v/>
      </c>
      <c r="HW50">
        <f>IF(HV50="",0,IFERROR(IF(N(CHOOSE(HV50,FN50,FR50,FV50,FZ50,GD50,GH50,GL50,GP50))&lt;=0.005,0,MAX(0,N(CHOOSE(HV50,FN50,FR50,FV50,FZ50,GD50,GH50,GL50,GP50))+N(CHOOSE(HV50,FO50,FS50,FW50,GA50,GE50,GI50,GM50,GQ50))-MIN(N(CHOOSE(HV50,'Debt List'!$F$5,'Debt List'!$F$6,'Debt List'!$F$7,'Debt List'!$F$8,'Debt List'!$F$9,'Debt List'!$F$10,'Debt List'!$F$11,'Debt List'!$F$12)),N(CHOOSE(HV50,FN50,FR50,FV50,FZ50,GD50,GH50,GL50,GP50))+N(CHOOSE(HV50,FO50,FS50,FW50,GA50,GE50,GI50,GM50,GQ50))))),0))</f>
        <v/>
      </c>
      <c r="HX50">
        <f>MIN(N(HW50),MAX(0,N(HU50)))</f>
        <v/>
      </c>
      <c r="HY50">
        <f>MAX(0,N(HU50)-N(HX50))</f>
        <v/>
      </c>
    </row>
    <row r="51">
      <c r="A51" t="n">
        <v>47</v>
      </c>
      <c r="B51" s="115">
        <f>DATE(YEAR(PlanStart),MONTH(PlanStart)+A51-1,1)</f>
        <v/>
      </c>
      <c r="C51">
        <f>IF(AND(AP51&lt;&gt;"",N(CHOOSE(AP51,J51,N51,R51,V51,Z51,AD51,AH51,AL51))&gt;0.005),INDEX(DebtNames,AP51),IF(AND(AT51&lt;&gt;"",N(CHOOSE(AT51,J51,N51,R51,V51,Z51,AD51,AH51,AL51))&gt;0.005),INDEX(DebtNames,AT51),IF(AND(AX51&lt;&gt;"",N(CHOOSE(AX51,J51,N51,R51,V51,Z51,AD51,AH51,AL51))&gt;0.005),INDEX(DebtNames,AX51),IF(AND(BB51&lt;&gt;"",N(CHOOSE(BB51,J51,N51,R51,V51,Z51,AD51,AH51,AL51))&gt;0.005),INDEX(DebtNames,BB51),IF(AND(BF51&lt;&gt;"",N(CHOOSE(BF51,J51,N51,R51,V51,Z51,AD51,AH51,AL51))&gt;0.005),INDEX(DebtNames,BF51),IF(AND(BJ51&lt;&gt;"",N(CHOOSE(BJ51,J51,N51,R51,V51,Z51,AD51,AH51,AL51))&gt;0.005),INDEX(DebtNames,BJ51),IF(AND(BN51&lt;&gt;"",N(CHOOSE(BN51,J51,N51,R51,V51,Z51,AD51,AH51,AL51))&gt;0.005),INDEX(DebtNames,BN51),IF(AND(BR51&lt;&gt;"",N(CHOOSE(BR51,J51,N51,R51,V51,Z51,AD51,AH51,AL51))&gt;0.005),INDEX(DebtNames,BR51),""))))))))</f>
        <v/>
      </c>
      <c r="D51">
        <f>N(BU51)</f>
        <v/>
      </c>
      <c r="E51">
        <f>N(L51)+N(P51)+N(T51)+N(X51)+N(AB51)+N(AF51)+N(AJ51)+N(AN51)</f>
        <v/>
      </c>
      <c r="F51">
        <f>N(K51)+N(O51)+N(S51)+N(W51)+N(AA51)+N(AE51)+N(AI51)+N(AM51)</f>
        <v/>
      </c>
      <c r="G51">
        <f>N(G50)+N(F51)</f>
        <v/>
      </c>
      <c r="H51">
        <f>N(M51)+N(Q51)+N(U51)+N(Y51)+N(AC51)+N(AG51)+N(AK51)+N(AO51)</f>
        <v/>
      </c>
      <c r="I51">
        <f>(M51&gt;0.005)*1+(Q51&gt;0.005)*1+(U51&gt;0.005)*1+(Y51&gt;0.005)*1+(AC51&gt;0.005)*1+(AG51&gt;0.005)*1+(AK51&gt;0.005)*1+(AO51&gt;0.005)*1</f>
        <v/>
      </c>
      <c r="J51">
        <f>N(M50)</f>
        <v/>
      </c>
      <c r="K51">
        <f>IF(N(J51)&lt;=0.005,0,ROUND(N(J51)*N('Debt List'!E5)/12,2))</f>
        <v/>
      </c>
      <c r="L51">
        <f>IF(N(J51)&lt;=0.005,0,MIN(N('Debt List'!F5),N(J51)+N(K51)))+((AP51=1)*AR51+(AT51=1)*AV51+(AX51=1)*AZ51+(BB51=1)*BD51+(BF51=1)*BH51+(BJ51=1)*BL51+(BN51=1)*BP51+(BR51=1)*BT51)</f>
        <v/>
      </c>
      <c r="M51">
        <f>MAX(0,ROUND(N(J51)+N(K51)-N(L51),2))</f>
        <v/>
      </c>
      <c r="N51">
        <f>N(Q50)</f>
        <v/>
      </c>
      <c r="O51">
        <f>IF(N(N51)&lt;=0.005,0,ROUND(N(N51)*N('Debt List'!E6)/12,2))</f>
        <v/>
      </c>
      <c r="P51">
        <f>IF(N(N51)&lt;=0.005,0,MIN(N('Debt List'!F6),N(N51)+N(O51)))+((AP51=2)*AR51+(AT51=2)*AV51+(AX51=2)*AZ51+(BB51=2)*BD51+(BF51=2)*BH51+(BJ51=2)*BL51+(BN51=2)*BP51+(BR51=2)*BT51)</f>
        <v/>
      </c>
      <c r="Q51">
        <f>MAX(0,ROUND(N(N51)+N(O51)-N(P51),2))</f>
        <v/>
      </c>
      <c r="R51">
        <f>N(U50)</f>
        <v/>
      </c>
      <c r="S51">
        <f>IF(N(R51)&lt;=0.005,0,ROUND(N(R51)*N('Debt List'!E7)/12,2))</f>
        <v/>
      </c>
      <c r="T51">
        <f>IF(N(R51)&lt;=0.005,0,MIN(N('Debt List'!F7),N(R51)+N(S51)))+((AP51=3)*AR51+(AT51=3)*AV51+(AX51=3)*AZ51+(BB51=3)*BD51+(BF51=3)*BH51+(BJ51=3)*BL51+(BN51=3)*BP51+(BR51=3)*BT51)</f>
        <v/>
      </c>
      <c r="U51">
        <f>MAX(0,ROUND(N(R51)+N(S51)-N(T51),2))</f>
        <v/>
      </c>
      <c r="V51">
        <f>N(Y50)</f>
        <v/>
      </c>
      <c r="W51">
        <f>IF(N(V51)&lt;=0.005,0,ROUND(N(V51)*N('Debt List'!E8)/12,2))</f>
        <v/>
      </c>
      <c r="X51">
        <f>IF(N(V51)&lt;=0.005,0,MIN(N('Debt List'!F8),N(V51)+N(W51)))+((AP51=4)*AR51+(AT51=4)*AV51+(AX51=4)*AZ51+(BB51=4)*BD51+(BF51=4)*BH51+(BJ51=4)*BL51+(BN51=4)*BP51+(BR51=4)*BT51)</f>
        <v/>
      </c>
      <c r="Y51">
        <f>MAX(0,ROUND(N(V51)+N(W51)-N(X51),2))</f>
        <v/>
      </c>
      <c r="Z51">
        <f>N(AC50)</f>
        <v/>
      </c>
      <c r="AA51">
        <f>IF(N(Z51)&lt;=0.005,0,ROUND(N(Z51)*N('Debt List'!E9)/12,2))</f>
        <v/>
      </c>
      <c r="AB51">
        <f>IF(N(Z51)&lt;=0.005,0,MIN(N('Debt List'!F9),N(Z51)+N(AA51)))+((AP51=5)*AR51+(AT51=5)*AV51+(AX51=5)*AZ51+(BB51=5)*BD51+(BF51=5)*BH51+(BJ51=5)*BL51+(BN51=5)*BP51+(BR51=5)*BT51)</f>
        <v/>
      </c>
      <c r="AC51">
        <f>MAX(0,ROUND(N(Z51)+N(AA51)-N(AB51),2))</f>
        <v/>
      </c>
      <c r="AD51">
        <f>N(AG50)</f>
        <v/>
      </c>
      <c r="AE51">
        <f>IF(N(AD51)&lt;=0.005,0,ROUND(N(AD51)*N('Debt List'!E10)/12,2))</f>
        <v/>
      </c>
      <c r="AF51">
        <f>IF(N(AD51)&lt;=0.005,0,MIN(N('Debt List'!F10),N(AD51)+N(AE51)))+((AP51=6)*AR51+(AT51=6)*AV51+(AX51=6)*AZ51+(BB51=6)*BD51+(BF51=6)*BH51+(BJ51=6)*BL51+(BN51=6)*BP51+(BR51=6)*BT51)</f>
        <v/>
      </c>
      <c r="AG51">
        <f>MAX(0,ROUND(N(AD51)+N(AE51)-N(AF51),2))</f>
        <v/>
      </c>
      <c r="AH51">
        <f>N(AK50)</f>
        <v/>
      </c>
      <c r="AI51">
        <f>IF(N(AH51)&lt;=0.005,0,ROUND(N(AH51)*N('Debt List'!E11)/12,2))</f>
        <v/>
      </c>
      <c r="AJ51">
        <f>IF(N(AH51)&lt;=0.005,0,MIN(N('Debt List'!F11),N(AH51)+N(AI51)))+((AP51=7)*AR51+(AT51=7)*AV51+(AX51=7)*AZ51+(BB51=7)*BD51+(BF51=7)*BH51+(BJ51=7)*BL51+(BN51=7)*BP51+(BR51=7)*BT51)</f>
        <v/>
      </c>
      <c r="AK51">
        <f>MAX(0,ROUND(N(AH51)+N(AI51)-N(AJ51),2))</f>
        <v/>
      </c>
      <c r="AL51">
        <f>N(AO50)</f>
        <v/>
      </c>
      <c r="AM51">
        <f>IF(N(AL51)&lt;=0.005,0,ROUND(N(AL51)*N('Debt List'!E12)/12,2))</f>
        <v/>
      </c>
      <c r="AN51">
        <f>IF(N(AL51)&lt;=0.005,0,MIN(N('Debt List'!F12),N(AL51)+N(AM51)))+((AP51=8)*AR51+(AT51=8)*AV51+(AX51=8)*AZ51+(BB51=8)*BD51+(BF51=8)*BH51+(BJ51=8)*BL51+(BN51=8)*BP51+(BR51=8)*BT51)</f>
        <v/>
      </c>
      <c r="AO51">
        <f>MAX(0,ROUND(N(AL51)+N(AM51)-N(AN51),2))</f>
        <v/>
      </c>
      <c r="AP51">
        <f>IFERROR(MATCH(1,OrderPlan,0),"")</f>
        <v/>
      </c>
      <c r="AQ51">
        <f>IF(AP51="",0,IFERROR(IF(N(CHOOSE(AP51,J51,N51,R51,V51,Z51,AD51,AH51,AL51))&lt;=0.005,0,MAX(0,N(CHOOSE(AP51,J51,N51,R51,V51,Z51,AD51,AH51,AL51))+N(CHOOSE(AP51,K51,O51,S51,W51,AA51,AE51,AI51,AM51))-MIN(N(CHOOSE(AP51,'Debt List'!$F$5,'Debt List'!$F$6,'Debt List'!$F$7,'Debt List'!$F$8,'Debt List'!$F$9,'Debt List'!$F$10,'Debt List'!$F$11,'Debt List'!$F$12)),N(CHOOSE(AP51,J51,N51,R51,V51,Z51,AD51,AH51,AL51))+N(CHOOSE(AP51,K51,O51,S51,W51,AA51,AE51,AI51,AM51))))),0))</f>
        <v/>
      </c>
      <c r="AR51">
        <f>MIN(N(AQ51),MAX(0,N(ExtraPayment)))</f>
        <v/>
      </c>
      <c r="AS51">
        <f>MAX(0,N(ExtraPayment)-N(AR51))</f>
        <v/>
      </c>
      <c r="AT51">
        <f>IFERROR(MATCH(2,OrderPlan,0),"")</f>
        <v/>
      </c>
      <c r="AU51">
        <f>IF(AT51="",0,IFERROR(IF(N(CHOOSE(AT51,J51,N51,R51,V51,Z51,AD51,AH51,AL51))&lt;=0.005,0,MAX(0,N(CHOOSE(AT51,J51,N51,R51,V51,Z51,AD51,AH51,AL51))+N(CHOOSE(AT51,K51,O51,S51,W51,AA51,AE51,AI51,AM51))-MIN(N(CHOOSE(AT51,'Debt List'!$F$5,'Debt List'!$F$6,'Debt List'!$F$7,'Debt List'!$F$8,'Debt List'!$F$9,'Debt List'!$F$10,'Debt List'!$F$11,'Debt List'!$F$12)),N(CHOOSE(AT51,J51,N51,R51,V51,Z51,AD51,AH51,AL51))+N(CHOOSE(AT51,K51,O51,S51,W51,AA51,AE51,AI51,AM51))))),0))</f>
        <v/>
      </c>
      <c r="AV51">
        <f>MIN(N(AU51),MAX(0,N(AS51)))</f>
        <v/>
      </c>
      <c r="AW51">
        <f>MAX(0,N(AS51)-N(AV51))</f>
        <v/>
      </c>
      <c r="AX51">
        <f>IFERROR(MATCH(3,OrderPlan,0),"")</f>
        <v/>
      </c>
      <c r="AY51">
        <f>IF(AX51="",0,IFERROR(IF(N(CHOOSE(AX51,J51,N51,R51,V51,Z51,AD51,AH51,AL51))&lt;=0.005,0,MAX(0,N(CHOOSE(AX51,J51,N51,R51,V51,Z51,AD51,AH51,AL51))+N(CHOOSE(AX51,K51,O51,S51,W51,AA51,AE51,AI51,AM51))-MIN(N(CHOOSE(AX51,'Debt List'!$F$5,'Debt List'!$F$6,'Debt List'!$F$7,'Debt List'!$F$8,'Debt List'!$F$9,'Debt List'!$F$10,'Debt List'!$F$11,'Debt List'!$F$12)),N(CHOOSE(AX51,J51,N51,R51,V51,Z51,AD51,AH51,AL51))+N(CHOOSE(AX51,K51,O51,S51,W51,AA51,AE51,AI51,AM51))))),0))</f>
        <v/>
      </c>
      <c r="AZ51">
        <f>MIN(N(AY51),MAX(0,N(AW51)))</f>
        <v/>
      </c>
      <c r="BA51">
        <f>MAX(0,N(AW51)-N(AZ51))</f>
        <v/>
      </c>
      <c r="BB51">
        <f>IFERROR(MATCH(4,OrderPlan,0),"")</f>
        <v/>
      </c>
      <c r="BC51">
        <f>IF(BB51="",0,IFERROR(IF(N(CHOOSE(BB51,J51,N51,R51,V51,Z51,AD51,AH51,AL51))&lt;=0.005,0,MAX(0,N(CHOOSE(BB51,J51,N51,R51,V51,Z51,AD51,AH51,AL51))+N(CHOOSE(BB51,K51,O51,S51,W51,AA51,AE51,AI51,AM51))-MIN(N(CHOOSE(BB51,'Debt List'!$F$5,'Debt List'!$F$6,'Debt List'!$F$7,'Debt List'!$F$8,'Debt List'!$F$9,'Debt List'!$F$10,'Debt List'!$F$11,'Debt List'!$F$12)),N(CHOOSE(BB51,J51,N51,R51,V51,Z51,AD51,AH51,AL51))+N(CHOOSE(BB51,K51,O51,S51,W51,AA51,AE51,AI51,AM51))))),0))</f>
        <v/>
      </c>
      <c r="BD51">
        <f>MIN(N(BC51),MAX(0,N(BA51)))</f>
        <v/>
      </c>
      <c r="BE51">
        <f>MAX(0,N(BA51)-N(BD51))</f>
        <v/>
      </c>
      <c r="BF51">
        <f>IFERROR(MATCH(5,OrderPlan,0),"")</f>
        <v/>
      </c>
      <c r="BG51">
        <f>IF(BF51="",0,IFERROR(IF(N(CHOOSE(BF51,J51,N51,R51,V51,Z51,AD51,AH51,AL51))&lt;=0.005,0,MAX(0,N(CHOOSE(BF51,J51,N51,R51,V51,Z51,AD51,AH51,AL51))+N(CHOOSE(BF51,K51,O51,S51,W51,AA51,AE51,AI51,AM51))-MIN(N(CHOOSE(BF51,'Debt List'!$F$5,'Debt List'!$F$6,'Debt List'!$F$7,'Debt List'!$F$8,'Debt List'!$F$9,'Debt List'!$F$10,'Debt List'!$F$11,'Debt List'!$F$12)),N(CHOOSE(BF51,J51,N51,R51,V51,Z51,AD51,AH51,AL51))+N(CHOOSE(BF51,K51,O51,S51,W51,AA51,AE51,AI51,AM51))))),0))</f>
        <v/>
      </c>
      <c r="BH51">
        <f>MIN(N(BG51),MAX(0,N(BE51)))</f>
        <v/>
      </c>
      <c r="BI51">
        <f>MAX(0,N(BE51)-N(BH51))</f>
        <v/>
      </c>
      <c r="BJ51">
        <f>IFERROR(MATCH(6,OrderPlan,0),"")</f>
        <v/>
      </c>
      <c r="BK51">
        <f>IF(BJ51="",0,IFERROR(IF(N(CHOOSE(BJ51,J51,N51,R51,V51,Z51,AD51,AH51,AL51))&lt;=0.005,0,MAX(0,N(CHOOSE(BJ51,J51,N51,R51,V51,Z51,AD51,AH51,AL51))+N(CHOOSE(BJ51,K51,O51,S51,W51,AA51,AE51,AI51,AM51))-MIN(N(CHOOSE(BJ51,'Debt List'!$F$5,'Debt List'!$F$6,'Debt List'!$F$7,'Debt List'!$F$8,'Debt List'!$F$9,'Debt List'!$F$10,'Debt List'!$F$11,'Debt List'!$F$12)),N(CHOOSE(BJ51,J51,N51,R51,V51,Z51,AD51,AH51,AL51))+N(CHOOSE(BJ51,K51,O51,S51,W51,AA51,AE51,AI51,AM51))))),0))</f>
        <v/>
      </c>
      <c r="BL51">
        <f>MIN(N(BK51),MAX(0,N(BI51)))</f>
        <v/>
      </c>
      <c r="BM51">
        <f>MAX(0,N(BI51)-N(BL51))</f>
        <v/>
      </c>
      <c r="BN51">
        <f>IFERROR(MATCH(7,OrderPlan,0),"")</f>
        <v/>
      </c>
      <c r="BO51">
        <f>IF(BN51="",0,IFERROR(IF(N(CHOOSE(BN51,J51,N51,R51,V51,Z51,AD51,AH51,AL51))&lt;=0.005,0,MAX(0,N(CHOOSE(BN51,J51,N51,R51,V51,Z51,AD51,AH51,AL51))+N(CHOOSE(BN51,K51,O51,S51,W51,AA51,AE51,AI51,AM51))-MIN(N(CHOOSE(BN51,'Debt List'!$F$5,'Debt List'!$F$6,'Debt List'!$F$7,'Debt List'!$F$8,'Debt List'!$F$9,'Debt List'!$F$10,'Debt List'!$F$11,'Debt List'!$F$12)),N(CHOOSE(BN51,J51,N51,R51,V51,Z51,AD51,AH51,AL51))+N(CHOOSE(BN51,K51,O51,S51,W51,AA51,AE51,AI51,AM51))))),0))</f>
        <v/>
      </c>
      <c r="BP51">
        <f>MIN(N(BO51),MAX(0,N(BM51)))</f>
        <v/>
      </c>
      <c r="BQ51">
        <f>MAX(0,N(BM51)-N(BP51))</f>
        <v/>
      </c>
      <c r="BR51">
        <f>IFERROR(MATCH(8,OrderPlan,0),"")</f>
        <v/>
      </c>
      <c r="BS51">
        <f>IF(BR51="",0,IFERROR(IF(N(CHOOSE(BR51,J51,N51,R51,V51,Z51,AD51,AH51,AL51))&lt;=0.005,0,MAX(0,N(CHOOSE(BR51,J51,N51,R51,V51,Z51,AD51,AH51,AL51))+N(CHOOSE(BR51,K51,O51,S51,W51,AA51,AE51,AI51,AM51))-MIN(N(CHOOSE(BR51,'Debt List'!$F$5,'Debt List'!$F$6,'Debt List'!$F$7,'Debt List'!$F$8,'Debt List'!$F$9,'Debt List'!$F$10,'Debt List'!$F$11,'Debt List'!$F$12)),N(CHOOSE(BR51,J51,N51,R51,V51,Z51,AD51,AH51,AL51))+N(CHOOSE(BR51,K51,O51,S51,W51,AA51,AE51,AI51,AM51))))),0))</f>
        <v/>
      </c>
      <c r="BT51">
        <f>MIN(N(BS51),MAX(0,N(BQ51)))</f>
        <v/>
      </c>
      <c r="BU51">
        <f>MAX(0,N(BQ51)-N(BT51))</f>
        <v/>
      </c>
      <c r="CC51" t="n">
        <v>47</v>
      </c>
      <c r="CD51" s="115">
        <f>DATE(YEAR(PlanStart),MONTH(PlanStart)+CC51-1,1)</f>
        <v/>
      </c>
      <c r="CE51">
        <f>IF(AND(DR51&lt;&gt;"",N(CHOOSE(DR51,CL51,CP51,CT51,CX51,DB51,DF51,DJ51,DN51))&gt;0.005),INDEX(DebtNames,DR51),IF(AND(DV51&lt;&gt;"",N(CHOOSE(DV51,CL51,CP51,CT51,CX51,DB51,DF51,DJ51,DN51))&gt;0.005),INDEX(DebtNames,DV51),IF(AND(DZ51&lt;&gt;"",N(CHOOSE(DZ51,CL51,CP51,CT51,CX51,DB51,DF51,DJ51,DN51))&gt;0.005),INDEX(DebtNames,DZ51),IF(AND(ED51&lt;&gt;"",N(CHOOSE(ED51,CL51,CP51,CT51,CX51,DB51,DF51,DJ51,DN51))&gt;0.005),INDEX(DebtNames,ED51),IF(AND(EH51&lt;&gt;"",N(CHOOSE(EH51,CL51,CP51,CT51,CX51,DB51,DF51,DJ51,DN51))&gt;0.005),INDEX(DebtNames,EH51),IF(AND(EL51&lt;&gt;"",N(CHOOSE(EL51,CL51,CP51,CT51,CX51,DB51,DF51,DJ51,DN51))&gt;0.005),INDEX(DebtNames,EL51),IF(AND(EP51&lt;&gt;"",N(CHOOSE(EP51,CL51,CP51,CT51,CX51,DB51,DF51,DJ51,DN51))&gt;0.005),INDEX(DebtNames,EP51),IF(AND(ET51&lt;&gt;"",N(CHOOSE(ET51,CL51,CP51,CT51,CX51,DB51,DF51,DJ51,DN51))&gt;0.005),INDEX(DebtNames,ET51),""))))))))</f>
        <v/>
      </c>
      <c r="CF51">
        <f>N(EW51)</f>
        <v/>
      </c>
      <c r="CG51">
        <f>N(CN51)+N(CR51)+N(CV51)+N(CZ51)+N(DD51)+N(DH51)+N(DL51)+N(DP51)</f>
        <v/>
      </c>
      <c r="CH51">
        <f>N(CM51)+N(CQ51)+N(CU51)+N(CY51)+N(DC51)+N(DG51)+N(DK51)+N(DO51)</f>
        <v/>
      </c>
      <c r="CI51">
        <f>N(CI50)+N(CH51)</f>
        <v/>
      </c>
      <c r="CJ51">
        <f>N(CO51)+N(CS51)+N(CW51)+N(DA51)+N(DE51)+N(DI51)+N(DM51)+N(DQ51)</f>
        <v/>
      </c>
      <c r="CK51">
        <f>(CO51&gt;0.005)*1+(CS51&gt;0.005)*1+(CW51&gt;0.005)*1+(DA51&gt;0.005)*1+(DE51&gt;0.005)*1+(DI51&gt;0.005)*1+(DM51&gt;0.005)*1+(DQ51&gt;0.005)*1</f>
        <v/>
      </c>
      <c r="CL51">
        <f>N(CO50)</f>
        <v/>
      </c>
      <c r="CM51">
        <f>IF(N(CL51)&lt;=0.005,0,ROUND(N(CL51)*N('Debt List'!E5)/12,2))</f>
        <v/>
      </c>
      <c r="CN51">
        <f>IF(N(CL51)&lt;=0.005,0,MIN(N('Debt List'!F5),N(CL51)+N(CM51)))+((DR51=1)*DT51+(DV51=1)*DX51+(DZ51=1)*EB51+(ED51=1)*EF51+(EH51=1)*EJ51+(EL51=1)*EN51+(EP51=1)*ER51+(ET51=1)*EV51)</f>
        <v/>
      </c>
      <c r="CO51">
        <f>MAX(0,ROUND(N(CL51)+N(CM51)-N(CN51),2))</f>
        <v/>
      </c>
      <c r="CP51">
        <f>N(CS50)</f>
        <v/>
      </c>
      <c r="CQ51">
        <f>IF(N(CP51)&lt;=0.005,0,ROUND(N(CP51)*N('Debt List'!E6)/12,2))</f>
        <v/>
      </c>
      <c r="CR51">
        <f>IF(N(CP51)&lt;=0.005,0,MIN(N('Debt List'!F6),N(CP51)+N(CQ51)))+((DR51=2)*DT51+(DV51=2)*DX51+(DZ51=2)*EB51+(ED51=2)*EF51+(EH51=2)*EJ51+(EL51=2)*EN51+(EP51=2)*ER51+(ET51=2)*EV51)</f>
        <v/>
      </c>
      <c r="CS51">
        <f>MAX(0,ROUND(N(CP51)+N(CQ51)-N(CR51),2))</f>
        <v/>
      </c>
      <c r="CT51">
        <f>N(CW50)</f>
        <v/>
      </c>
      <c r="CU51">
        <f>IF(N(CT51)&lt;=0.005,0,ROUND(N(CT51)*N('Debt List'!E7)/12,2))</f>
        <v/>
      </c>
      <c r="CV51">
        <f>IF(N(CT51)&lt;=0.005,0,MIN(N('Debt List'!F7),N(CT51)+N(CU51)))+((DR51=3)*DT51+(DV51=3)*DX51+(DZ51=3)*EB51+(ED51=3)*EF51+(EH51=3)*EJ51+(EL51=3)*EN51+(EP51=3)*ER51+(ET51=3)*EV51)</f>
        <v/>
      </c>
      <c r="CW51">
        <f>MAX(0,ROUND(N(CT51)+N(CU51)-N(CV51),2))</f>
        <v/>
      </c>
      <c r="CX51">
        <f>N(DA50)</f>
        <v/>
      </c>
      <c r="CY51">
        <f>IF(N(CX51)&lt;=0.005,0,ROUND(N(CX51)*N('Debt List'!E8)/12,2))</f>
        <v/>
      </c>
      <c r="CZ51">
        <f>IF(N(CX51)&lt;=0.005,0,MIN(N('Debt List'!F8),N(CX51)+N(CY51)))+((DR51=4)*DT51+(DV51=4)*DX51+(DZ51=4)*EB51+(ED51=4)*EF51+(EH51=4)*EJ51+(EL51=4)*EN51+(EP51=4)*ER51+(ET51=4)*EV51)</f>
        <v/>
      </c>
      <c r="DA51">
        <f>MAX(0,ROUND(N(CX51)+N(CY51)-N(CZ51),2))</f>
        <v/>
      </c>
      <c r="DB51">
        <f>N(DE50)</f>
        <v/>
      </c>
      <c r="DC51">
        <f>IF(N(DB51)&lt;=0.005,0,ROUND(N(DB51)*N('Debt List'!E9)/12,2))</f>
        <v/>
      </c>
      <c r="DD51">
        <f>IF(N(DB51)&lt;=0.005,0,MIN(N('Debt List'!F9),N(DB51)+N(DC51)))+((DR51=5)*DT51+(DV51=5)*DX51+(DZ51=5)*EB51+(ED51=5)*EF51+(EH51=5)*EJ51+(EL51=5)*EN51+(EP51=5)*ER51+(ET51=5)*EV51)</f>
        <v/>
      </c>
      <c r="DE51">
        <f>MAX(0,ROUND(N(DB51)+N(DC51)-N(DD51),2))</f>
        <v/>
      </c>
      <c r="DF51">
        <f>N(DI50)</f>
        <v/>
      </c>
      <c r="DG51">
        <f>IF(N(DF51)&lt;=0.005,0,ROUND(N(DF51)*N('Debt List'!E10)/12,2))</f>
        <v/>
      </c>
      <c r="DH51">
        <f>IF(N(DF51)&lt;=0.005,0,MIN(N('Debt List'!F10),N(DF51)+N(DG51)))+((DR51=6)*DT51+(DV51=6)*DX51+(DZ51=6)*EB51+(ED51=6)*EF51+(EH51=6)*EJ51+(EL51=6)*EN51+(EP51=6)*ER51+(ET51=6)*EV51)</f>
        <v/>
      </c>
      <c r="DI51">
        <f>MAX(0,ROUND(N(DF51)+N(DG51)-N(DH51),2))</f>
        <v/>
      </c>
      <c r="DJ51">
        <f>N(DM50)</f>
        <v/>
      </c>
      <c r="DK51">
        <f>IF(N(DJ51)&lt;=0.005,0,ROUND(N(DJ51)*N('Debt List'!E11)/12,2))</f>
        <v/>
      </c>
      <c r="DL51">
        <f>IF(N(DJ51)&lt;=0.005,0,MIN(N('Debt List'!F11),N(DJ51)+N(DK51)))+((DR51=7)*DT51+(DV51=7)*DX51+(DZ51=7)*EB51+(ED51=7)*EF51+(EH51=7)*EJ51+(EL51=7)*EN51+(EP51=7)*ER51+(ET51=7)*EV51)</f>
        <v/>
      </c>
      <c r="DM51">
        <f>MAX(0,ROUND(N(DJ51)+N(DK51)-N(DL51),2))</f>
        <v/>
      </c>
      <c r="DN51">
        <f>N(DQ50)</f>
        <v/>
      </c>
      <c r="DO51">
        <f>IF(N(DN51)&lt;=0.005,0,ROUND(N(DN51)*N('Debt List'!E12)/12,2))</f>
        <v/>
      </c>
      <c r="DP51">
        <f>IF(N(DN51)&lt;=0.005,0,MIN(N('Debt List'!F12),N(DN51)+N(DO51)))+((DR51=8)*DT51+(DV51=8)*DX51+(DZ51=8)*EB51+(ED51=8)*EF51+(EH51=8)*EJ51+(EL51=8)*EN51+(EP51=8)*ER51+(ET51=8)*EV51)</f>
        <v/>
      </c>
      <c r="DQ51">
        <f>MAX(0,ROUND(N(DN51)+N(DO51)-N(DP51),2))</f>
        <v/>
      </c>
      <c r="DR51">
        <f>IFERROR(MATCH(1,OrderSnow,0),"")</f>
        <v/>
      </c>
      <c r="DS51">
        <f>IF(DR51="",0,IFERROR(IF(N(CHOOSE(DR51,CL51,CP51,CT51,CX51,DB51,DF51,DJ51,DN51))&lt;=0.005,0,MAX(0,N(CHOOSE(DR51,CL51,CP51,CT51,CX51,DB51,DF51,DJ51,DN51))+N(CHOOSE(DR51,CM51,CQ51,CU51,CY51,DC51,DG51,DK51,DO51))-MIN(N(CHOOSE(DR51,'Debt List'!$F$5,'Debt List'!$F$6,'Debt List'!$F$7,'Debt List'!$F$8,'Debt List'!$F$9,'Debt List'!$F$10,'Debt List'!$F$11,'Debt List'!$F$12)),N(CHOOSE(DR51,CL51,CP51,CT51,CX51,DB51,DF51,DJ51,DN51))+N(CHOOSE(DR51,CM51,CQ51,CU51,CY51,DC51,DG51,DK51,DO51))))),0))</f>
        <v/>
      </c>
      <c r="DT51">
        <f>MIN(N(DS51),MAX(0,N(ExtraPayment)))</f>
        <v/>
      </c>
      <c r="DU51">
        <f>MAX(0,N(ExtraPayment)-N(DT51))</f>
        <v/>
      </c>
      <c r="DV51">
        <f>IFERROR(MATCH(2,OrderSnow,0),"")</f>
        <v/>
      </c>
      <c r="DW51">
        <f>IF(DV51="",0,IFERROR(IF(N(CHOOSE(DV51,CL51,CP51,CT51,CX51,DB51,DF51,DJ51,DN51))&lt;=0.005,0,MAX(0,N(CHOOSE(DV51,CL51,CP51,CT51,CX51,DB51,DF51,DJ51,DN51))+N(CHOOSE(DV51,CM51,CQ51,CU51,CY51,DC51,DG51,DK51,DO51))-MIN(N(CHOOSE(DV51,'Debt List'!$F$5,'Debt List'!$F$6,'Debt List'!$F$7,'Debt List'!$F$8,'Debt List'!$F$9,'Debt List'!$F$10,'Debt List'!$F$11,'Debt List'!$F$12)),N(CHOOSE(DV51,CL51,CP51,CT51,CX51,DB51,DF51,DJ51,DN51))+N(CHOOSE(DV51,CM51,CQ51,CU51,CY51,DC51,DG51,DK51,DO51))))),0))</f>
        <v/>
      </c>
      <c r="DX51">
        <f>MIN(N(DW51),MAX(0,N(DU51)))</f>
        <v/>
      </c>
      <c r="DY51">
        <f>MAX(0,N(DU51)-N(DX51))</f>
        <v/>
      </c>
      <c r="DZ51">
        <f>IFERROR(MATCH(3,OrderSnow,0),"")</f>
        <v/>
      </c>
      <c r="EA51">
        <f>IF(DZ51="",0,IFERROR(IF(N(CHOOSE(DZ51,CL51,CP51,CT51,CX51,DB51,DF51,DJ51,DN51))&lt;=0.005,0,MAX(0,N(CHOOSE(DZ51,CL51,CP51,CT51,CX51,DB51,DF51,DJ51,DN51))+N(CHOOSE(DZ51,CM51,CQ51,CU51,CY51,DC51,DG51,DK51,DO51))-MIN(N(CHOOSE(DZ51,'Debt List'!$F$5,'Debt List'!$F$6,'Debt List'!$F$7,'Debt List'!$F$8,'Debt List'!$F$9,'Debt List'!$F$10,'Debt List'!$F$11,'Debt List'!$F$12)),N(CHOOSE(DZ51,CL51,CP51,CT51,CX51,DB51,DF51,DJ51,DN51))+N(CHOOSE(DZ51,CM51,CQ51,CU51,CY51,DC51,DG51,DK51,DO51))))),0))</f>
        <v/>
      </c>
      <c r="EB51">
        <f>MIN(N(EA51),MAX(0,N(DY51)))</f>
        <v/>
      </c>
      <c r="EC51">
        <f>MAX(0,N(DY51)-N(EB51))</f>
        <v/>
      </c>
      <c r="ED51">
        <f>IFERROR(MATCH(4,OrderSnow,0),"")</f>
        <v/>
      </c>
      <c r="EE51">
        <f>IF(ED51="",0,IFERROR(IF(N(CHOOSE(ED51,CL51,CP51,CT51,CX51,DB51,DF51,DJ51,DN51))&lt;=0.005,0,MAX(0,N(CHOOSE(ED51,CL51,CP51,CT51,CX51,DB51,DF51,DJ51,DN51))+N(CHOOSE(ED51,CM51,CQ51,CU51,CY51,DC51,DG51,DK51,DO51))-MIN(N(CHOOSE(ED51,'Debt List'!$F$5,'Debt List'!$F$6,'Debt List'!$F$7,'Debt List'!$F$8,'Debt List'!$F$9,'Debt List'!$F$10,'Debt List'!$F$11,'Debt List'!$F$12)),N(CHOOSE(ED51,CL51,CP51,CT51,CX51,DB51,DF51,DJ51,DN51))+N(CHOOSE(ED51,CM51,CQ51,CU51,CY51,DC51,DG51,DK51,DO51))))),0))</f>
        <v/>
      </c>
      <c r="EF51">
        <f>MIN(N(EE51),MAX(0,N(EC51)))</f>
        <v/>
      </c>
      <c r="EG51">
        <f>MAX(0,N(EC51)-N(EF51))</f>
        <v/>
      </c>
      <c r="EH51">
        <f>IFERROR(MATCH(5,OrderSnow,0),"")</f>
        <v/>
      </c>
      <c r="EI51">
        <f>IF(EH51="",0,IFERROR(IF(N(CHOOSE(EH51,CL51,CP51,CT51,CX51,DB51,DF51,DJ51,DN51))&lt;=0.005,0,MAX(0,N(CHOOSE(EH51,CL51,CP51,CT51,CX51,DB51,DF51,DJ51,DN51))+N(CHOOSE(EH51,CM51,CQ51,CU51,CY51,DC51,DG51,DK51,DO51))-MIN(N(CHOOSE(EH51,'Debt List'!$F$5,'Debt List'!$F$6,'Debt List'!$F$7,'Debt List'!$F$8,'Debt List'!$F$9,'Debt List'!$F$10,'Debt List'!$F$11,'Debt List'!$F$12)),N(CHOOSE(EH51,CL51,CP51,CT51,CX51,DB51,DF51,DJ51,DN51))+N(CHOOSE(EH51,CM51,CQ51,CU51,CY51,DC51,DG51,DK51,DO51))))),0))</f>
        <v/>
      </c>
      <c r="EJ51">
        <f>MIN(N(EI51),MAX(0,N(EG51)))</f>
        <v/>
      </c>
      <c r="EK51">
        <f>MAX(0,N(EG51)-N(EJ51))</f>
        <v/>
      </c>
      <c r="EL51">
        <f>IFERROR(MATCH(6,OrderSnow,0),"")</f>
        <v/>
      </c>
      <c r="EM51">
        <f>IF(EL51="",0,IFERROR(IF(N(CHOOSE(EL51,CL51,CP51,CT51,CX51,DB51,DF51,DJ51,DN51))&lt;=0.005,0,MAX(0,N(CHOOSE(EL51,CL51,CP51,CT51,CX51,DB51,DF51,DJ51,DN51))+N(CHOOSE(EL51,CM51,CQ51,CU51,CY51,DC51,DG51,DK51,DO51))-MIN(N(CHOOSE(EL51,'Debt List'!$F$5,'Debt List'!$F$6,'Debt List'!$F$7,'Debt List'!$F$8,'Debt List'!$F$9,'Debt List'!$F$10,'Debt List'!$F$11,'Debt List'!$F$12)),N(CHOOSE(EL51,CL51,CP51,CT51,CX51,DB51,DF51,DJ51,DN51))+N(CHOOSE(EL51,CM51,CQ51,CU51,CY51,DC51,DG51,DK51,DO51))))),0))</f>
        <v/>
      </c>
      <c r="EN51">
        <f>MIN(N(EM51),MAX(0,N(EK51)))</f>
        <v/>
      </c>
      <c r="EO51">
        <f>MAX(0,N(EK51)-N(EN51))</f>
        <v/>
      </c>
      <c r="EP51">
        <f>IFERROR(MATCH(7,OrderSnow,0),"")</f>
        <v/>
      </c>
      <c r="EQ51">
        <f>IF(EP51="",0,IFERROR(IF(N(CHOOSE(EP51,CL51,CP51,CT51,CX51,DB51,DF51,DJ51,DN51))&lt;=0.005,0,MAX(0,N(CHOOSE(EP51,CL51,CP51,CT51,CX51,DB51,DF51,DJ51,DN51))+N(CHOOSE(EP51,CM51,CQ51,CU51,CY51,DC51,DG51,DK51,DO51))-MIN(N(CHOOSE(EP51,'Debt List'!$F$5,'Debt List'!$F$6,'Debt List'!$F$7,'Debt List'!$F$8,'Debt List'!$F$9,'Debt List'!$F$10,'Debt List'!$F$11,'Debt List'!$F$12)),N(CHOOSE(EP51,CL51,CP51,CT51,CX51,DB51,DF51,DJ51,DN51))+N(CHOOSE(EP51,CM51,CQ51,CU51,CY51,DC51,DG51,DK51,DO51))))),0))</f>
        <v/>
      </c>
      <c r="ER51">
        <f>MIN(N(EQ51),MAX(0,N(EO51)))</f>
        <v/>
      </c>
      <c r="ES51">
        <f>MAX(0,N(EO51)-N(ER51))</f>
        <v/>
      </c>
      <c r="ET51">
        <f>IFERROR(MATCH(8,OrderSnow,0),"")</f>
        <v/>
      </c>
      <c r="EU51">
        <f>IF(ET51="",0,IFERROR(IF(N(CHOOSE(ET51,CL51,CP51,CT51,CX51,DB51,DF51,DJ51,DN51))&lt;=0.005,0,MAX(0,N(CHOOSE(ET51,CL51,CP51,CT51,CX51,DB51,DF51,DJ51,DN51))+N(CHOOSE(ET51,CM51,CQ51,CU51,CY51,DC51,DG51,DK51,DO51))-MIN(N(CHOOSE(ET51,'Debt List'!$F$5,'Debt List'!$F$6,'Debt List'!$F$7,'Debt List'!$F$8,'Debt List'!$F$9,'Debt List'!$F$10,'Debt List'!$F$11,'Debt List'!$F$12)),N(CHOOSE(ET51,CL51,CP51,CT51,CX51,DB51,DF51,DJ51,DN51))+N(CHOOSE(ET51,CM51,CQ51,CU51,CY51,DC51,DG51,DK51,DO51))))),0))</f>
        <v/>
      </c>
      <c r="EV51">
        <f>MIN(N(EU51),MAX(0,N(ES51)))</f>
        <v/>
      </c>
      <c r="EW51">
        <f>MAX(0,N(ES51)-N(EV51))</f>
        <v/>
      </c>
      <c r="FE51" t="n">
        <v>47</v>
      </c>
      <c r="FF51" s="115">
        <f>DATE(YEAR(PlanStart),MONTH(PlanStart)+FE51-1,1)</f>
        <v/>
      </c>
      <c r="FG51">
        <f>IF(AND(GT51&lt;&gt;"",N(CHOOSE(GT51,FN51,FR51,FV51,FZ51,GD51,GH51,GL51,GP51))&gt;0.005),INDEX(DebtNames,GT51),IF(AND(GX51&lt;&gt;"",N(CHOOSE(GX51,FN51,FR51,FV51,FZ51,GD51,GH51,GL51,GP51))&gt;0.005),INDEX(DebtNames,GX51),IF(AND(HB51&lt;&gt;"",N(CHOOSE(HB51,FN51,FR51,FV51,FZ51,GD51,GH51,GL51,GP51))&gt;0.005),INDEX(DebtNames,HB51),IF(AND(HF51&lt;&gt;"",N(CHOOSE(HF51,FN51,FR51,FV51,FZ51,GD51,GH51,GL51,GP51))&gt;0.005),INDEX(DebtNames,HF51),IF(AND(HJ51&lt;&gt;"",N(CHOOSE(HJ51,FN51,FR51,FV51,FZ51,GD51,GH51,GL51,GP51))&gt;0.005),INDEX(DebtNames,HJ51),IF(AND(HN51&lt;&gt;"",N(CHOOSE(HN51,FN51,FR51,FV51,FZ51,GD51,GH51,GL51,GP51))&gt;0.005),INDEX(DebtNames,HN51),IF(AND(HR51&lt;&gt;"",N(CHOOSE(HR51,FN51,FR51,FV51,FZ51,GD51,GH51,GL51,GP51))&gt;0.005),INDEX(DebtNames,HR51),IF(AND(HV51&lt;&gt;"",N(CHOOSE(HV51,FN51,FR51,FV51,FZ51,GD51,GH51,GL51,GP51))&gt;0.005),INDEX(DebtNames,HV51),""))))))))</f>
        <v/>
      </c>
      <c r="FH51">
        <f>N(HY51)</f>
        <v/>
      </c>
      <c r="FI51">
        <f>N(FP51)+N(FT51)+N(FX51)+N(GB51)+N(GF51)+N(GJ51)+N(GN51)+N(GR51)</f>
        <v/>
      </c>
      <c r="FJ51">
        <f>N(FO51)+N(FS51)+N(FW51)+N(GA51)+N(GE51)+N(GI51)+N(GM51)+N(GQ51)</f>
        <v/>
      </c>
      <c r="FK51">
        <f>N(FK50)+N(FJ51)</f>
        <v/>
      </c>
      <c r="FL51">
        <f>N(FQ51)+N(FU51)+N(FY51)+N(GC51)+N(GG51)+N(GK51)+N(GO51)+N(GS51)</f>
        <v/>
      </c>
      <c r="FM51">
        <f>(FQ51&gt;0.005)*1+(FU51&gt;0.005)*1+(FY51&gt;0.005)*1+(GC51&gt;0.005)*1+(GG51&gt;0.005)*1+(GK51&gt;0.005)*1+(GO51&gt;0.005)*1+(GS51&gt;0.005)*1</f>
        <v/>
      </c>
      <c r="FN51">
        <f>N(FQ50)</f>
        <v/>
      </c>
      <c r="FO51">
        <f>IF(N(FN51)&lt;=0.005,0,ROUND(N(FN51)*N('Debt List'!E5)/12,2))</f>
        <v/>
      </c>
      <c r="FP51">
        <f>IF(N(FN51)&lt;=0.005,0,MIN(N('Debt List'!F5),N(FN51)+N(FO51)))+((GT51=1)*GV51+(GX51=1)*GZ51+(HB51=1)*HD51+(HF51=1)*HH51+(HJ51=1)*HL51+(HN51=1)*HP51+(HR51=1)*HT51+(HV51=1)*HX51)</f>
        <v/>
      </c>
      <c r="FQ51">
        <f>MAX(0,ROUND(N(FN51)+N(FO51)-N(FP51),2))</f>
        <v/>
      </c>
      <c r="FR51">
        <f>N(FU50)</f>
        <v/>
      </c>
      <c r="FS51">
        <f>IF(N(FR51)&lt;=0.005,0,ROUND(N(FR51)*N('Debt List'!E6)/12,2))</f>
        <v/>
      </c>
      <c r="FT51">
        <f>IF(N(FR51)&lt;=0.005,0,MIN(N('Debt List'!F6),N(FR51)+N(FS51)))+((GT51=2)*GV51+(GX51=2)*GZ51+(HB51=2)*HD51+(HF51=2)*HH51+(HJ51=2)*HL51+(HN51=2)*HP51+(HR51=2)*HT51+(HV51=2)*HX51)</f>
        <v/>
      </c>
      <c r="FU51">
        <f>MAX(0,ROUND(N(FR51)+N(FS51)-N(FT51),2))</f>
        <v/>
      </c>
      <c r="FV51">
        <f>N(FY50)</f>
        <v/>
      </c>
      <c r="FW51">
        <f>IF(N(FV51)&lt;=0.005,0,ROUND(N(FV51)*N('Debt List'!E7)/12,2))</f>
        <v/>
      </c>
      <c r="FX51">
        <f>IF(N(FV51)&lt;=0.005,0,MIN(N('Debt List'!F7),N(FV51)+N(FW51)))+((GT51=3)*GV51+(GX51=3)*GZ51+(HB51=3)*HD51+(HF51=3)*HH51+(HJ51=3)*HL51+(HN51=3)*HP51+(HR51=3)*HT51+(HV51=3)*HX51)</f>
        <v/>
      </c>
      <c r="FY51">
        <f>MAX(0,ROUND(N(FV51)+N(FW51)-N(FX51),2))</f>
        <v/>
      </c>
      <c r="FZ51">
        <f>N(GC50)</f>
        <v/>
      </c>
      <c r="GA51">
        <f>IF(N(FZ51)&lt;=0.005,0,ROUND(N(FZ51)*N('Debt List'!E8)/12,2))</f>
        <v/>
      </c>
      <c r="GB51">
        <f>IF(N(FZ51)&lt;=0.005,0,MIN(N('Debt List'!F8),N(FZ51)+N(GA51)))+((GT51=4)*GV51+(GX51=4)*GZ51+(HB51=4)*HD51+(HF51=4)*HH51+(HJ51=4)*HL51+(HN51=4)*HP51+(HR51=4)*HT51+(HV51=4)*HX51)</f>
        <v/>
      </c>
      <c r="GC51">
        <f>MAX(0,ROUND(N(FZ51)+N(GA51)-N(GB51),2))</f>
        <v/>
      </c>
      <c r="GD51">
        <f>N(GG50)</f>
        <v/>
      </c>
      <c r="GE51">
        <f>IF(N(GD51)&lt;=0.005,0,ROUND(N(GD51)*N('Debt List'!E9)/12,2))</f>
        <v/>
      </c>
      <c r="GF51">
        <f>IF(N(GD51)&lt;=0.005,0,MIN(N('Debt List'!F9),N(GD51)+N(GE51)))+((GT51=5)*GV51+(GX51=5)*GZ51+(HB51=5)*HD51+(HF51=5)*HH51+(HJ51=5)*HL51+(HN51=5)*HP51+(HR51=5)*HT51+(HV51=5)*HX51)</f>
        <v/>
      </c>
      <c r="GG51">
        <f>MAX(0,ROUND(N(GD51)+N(GE51)-N(GF51),2))</f>
        <v/>
      </c>
      <c r="GH51">
        <f>N(GK50)</f>
        <v/>
      </c>
      <c r="GI51">
        <f>IF(N(GH51)&lt;=0.005,0,ROUND(N(GH51)*N('Debt List'!E10)/12,2))</f>
        <v/>
      </c>
      <c r="GJ51">
        <f>IF(N(GH51)&lt;=0.005,0,MIN(N('Debt List'!F10),N(GH51)+N(GI51)))+((GT51=6)*GV51+(GX51=6)*GZ51+(HB51=6)*HD51+(HF51=6)*HH51+(HJ51=6)*HL51+(HN51=6)*HP51+(HR51=6)*HT51+(HV51=6)*HX51)</f>
        <v/>
      </c>
      <c r="GK51">
        <f>MAX(0,ROUND(N(GH51)+N(GI51)-N(GJ51),2))</f>
        <v/>
      </c>
      <c r="GL51">
        <f>N(GO50)</f>
        <v/>
      </c>
      <c r="GM51">
        <f>IF(N(GL51)&lt;=0.005,0,ROUND(N(GL51)*N('Debt List'!E11)/12,2))</f>
        <v/>
      </c>
      <c r="GN51">
        <f>IF(N(GL51)&lt;=0.005,0,MIN(N('Debt List'!F11),N(GL51)+N(GM51)))+((GT51=7)*GV51+(GX51=7)*GZ51+(HB51=7)*HD51+(HF51=7)*HH51+(HJ51=7)*HL51+(HN51=7)*HP51+(HR51=7)*HT51+(HV51=7)*HX51)</f>
        <v/>
      </c>
      <c r="GO51">
        <f>MAX(0,ROUND(N(GL51)+N(GM51)-N(GN51),2))</f>
        <v/>
      </c>
      <c r="GP51">
        <f>N(GS50)</f>
        <v/>
      </c>
      <c r="GQ51">
        <f>IF(N(GP51)&lt;=0.005,0,ROUND(N(GP51)*N('Debt List'!E12)/12,2))</f>
        <v/>
      </c>
      <c r="GR51">
        <f>IF(N(GP51)&lt;=0.005,0,MIN(N('Debt List'!F12),N(GP51)+N(GQ51)))+((GT51=8)*GV51+(GX51=8)*GZ51+(HB51=8)*HD51+(HF51=8)*HH51+(HJ51=8)*HL51+(HN51=8)*HP51+(HR51=8)*HT51+(HV51=8)*HX51)</f>
        <v/>
      </c>
      <c r="GS51">
        <f>MAX(0,ROUND(N(GP51)+N(GQ51)-N(GR51),2))</f>
        <v/>
      </c>
      <c r="GT51">
        <f>IFERROR(MATCH(1,OrderAval,0),"")</f>
        <v/>
      </c>
      <c r="GU51">
        <f>IF(GT51="",0,IFERROR(IF(N(CHOOSE(GT51,FN51,FR51,FV51,FZ51,GD51,GH51,GL51,GP51))&lt;=0.005,0,MAX(0,N(CHOOSE(GT51,FN51,FR51,FV51,FZ51,GD51,GH51,GL51,GP51))+N(CHOOSE(GT51,FO51,FS51,FW51,GA51,GE51,GI51,GM51,GQ51))-MIN(N(CHOOSE(GT51,'Debt List'!$F$5,'Debt List'!$F$6,'Debt List'!$F$7,'Debt List'!$F$8,'Debt List'!$F$9,'Debt List'!$F$10,'Debt List'!$F$11,'Debt List'!$F$12)),N(CHOOSE(GT51,FN51,FR51,FV51,FZ51,GD51,GH51,GL51,GP51))+N(CHOOSE(GT51,FO51,FS51,FW51,GA51,GE51,GI51,GM51,GQ51))))),0))</f>
        <v/>
      </c>
      <c r="GV51">
        <f>MIN(N(GU51),MAX(0,N(ExtraPayment)))</f>
        <v/>
      </c>
      <c r="GW51">
        <f>MAX(0,N(ExtraPayment)-N(GV51))</f>
        <v/>
      </c>
      <c r="GX51">
        <f>IFERROR(MATCH(2,OrderAval,0),"")</f>
        <v/>
      </c>
      <c r="GY51">
        <f>IF(GX51="",0,IFERROR(IF(N(CHOOSE(GX51,FN51,FR51,FV51,FZ51,GD51,GH51,GL51,GP51))&lt;=0.005,0,MAX(0,N(CHOOSE(GX51,FN51,FR51,FV51,FZ51,GD51,GH51,GL51,GP51))+N(CHOOSE(GX51,FO51,FS51,FW51,GA51,GE51,GI51,GM51,GQ51))-MIN(N(CHOOSE(GX51,'Debt List'!$F$5,'Debt List'!$F$6,'Debt List'!$F$7,'Debt List'!$F$8,'Debt List'!$F$9,'Debt List'!$F$10,'Debt List'!$F$11,'Debt List'!$F$12)),N(CHOOSE(GX51,FN51,FR51,FV51,FZ51,GD51,GH51,GL51,GP51))+N(CHOOSE(GX51,FO51,FS51,FW51,GA51,GE51,GI51,GM51,GQ51))))),0))</f>
        <v/>
      </c>
      <c r="GZ51">
        <f>MIN(N(GY51),MAX(0,N(GW51)))</f>
        <v/>
      </c>
      <c r="HA51">
        <f>MAX(0,N(GW51)-N(GZ51))</f>
        <v/>
      </c>
      <c r="HB51">
        <f>IFERROR(MATCH(3,OrderAval,0),"")</f>
        <v/>
      </c>
      <c r="HC51">
        <f>IF(HB51="",0,IFERROR(IF(N(CHOOSE(HB51,FN51,FR51,FV51,FZ51,GD51,GH51,GL51,GP51))&lt;=0.005,0,MAX(0,N(CHOOSE(HB51,FN51,FR51,FV51,FZ51,GD51,GH51,GL51,GP51))+N(CHOOSE(HB51,FO51,FS51,FW51,GA51,GE51,GI51,GM51,GQ51))-MIN(N(CHOOSE(HB51,'Debt List'!$F$5,'Debt List'!$F$6,'Debt List'!$F$7,'Debt List'!$F$8,'Debt List'!$F$9,'Debt List'!$F$10,'Debt List'!$F$11,'Debt List'!$F$12)),N(CHOOSE(HB51,FN51,FR51,FV51,FZ51,GD51,GH51,GL51,GP51))+N(CHOOSE(HB51,FO51,FS51,FW51,GA51,GE51,GI51,GM51,GQ51))))),0))</f>
        <v/>
      </c>
      <c r="HD51">
        <f>MIN(N(HC51),MAX(0,N(HA51)))</f>
        <v/>
      </c>
      <c r="HE51">
        <f>MAX(0,N(HA51)-N(HD51))</f>
        <v/>
      </c>
      <c r="HF51">
        <f>IFERROR(MATCH(4,OrderAval,0),"")</f>
        <v/>
      </c>
      <c r="HG51">
        <f>IF(HF51="",0,IFERROR(IF(N(CHOOSE(HF51,FN51,FR51,FV51,FZ51,GD51,GH51,GL51,GP51))&lt;=0.005,0,MAX(0,N(CHOOSE(HF51,FN51,FR51,FV51,FZ51,GD51,GH51,GL51,GP51))+N(CHOOSE(HF51,FO51,FS51,FW51,GA51,GE51,GI51,GM51,GQ51))-MIN(N(CHOOSE(HF51,'Debt List'!$F$5,'Debt List'!$F$6,'Debt List'!$F$7,'Debt List'!$F$8,'Debt List'!$F$9,'Debt List'!$F$10,'Debt List'!$F$11,'Debt List'!$F$12)),N(CHOOSE(HF51,FN51,FR51,FV51,FZ51,GD51,GH51,GL51,GP51))+N(CHOOSE(HF51,FO51,FS51,FW51,GA51,GE51,GI51,GM51,GQ51))))),0))</f>
        <v/>
      </c>
      <c r="HH51">
        <f>MIN(N(HG51),MAX(0,N(HE51)))</f>
        <v/>
      </c>
      <c r="HI51">
        <f>MAX(0,N(HE51)-N(HH51))</f>
        <v/>
      </c>
      <c r="HJ51">
        <f>IFERROR(MATCH(5,OrderAval,0),"")</f>
        <v/>
      </c>
      <c r="HK51">
        <f>IF(HJ51="",0,IFERROR(IF(N(CHOOSE(HJ51,FN51,FR51,FV51,FZ51,GD51,GH51,GL51,GP51))&lt;=0.005,0,MAX(0,N(CHOOSE(HJ51,FN51,FR51,FV51,FZ51,GD51,GH51,GL51,GP51))+N(CHOOSE(HJ51,FO51,FS51,FW51,GA51,GE51,GI51,GM51,GQ51))-MIN(N(CHOOSE(HJ51,'Debt List'!$F$5,'Debt List'!$F$6,'Debt List'!$F$7,'Debt List'!$F$8,'Debt List'!$F$9,'Debt List'!$F$10,'Debt List'!$F$11,'Debt List'!$F$12)),N(CHOOSE(HJ51,FN51,FR51,FV51,FZ51,GD51,GH51,GL51,GP51))+N(CHOOSE(HJ51,FO51,FS51,FW51,GA51,GE51,GI51,GM51,GQ51))))),0))</f>
        <v/>
      </c>
      <c r="HL51">
        <f>MIN(N(HK51),MAX(0,N(HI51)))</f>
        <v/>
      </c>
      <c r="HM51">
        <f>MAX(0,N(HI51)-N(HL51))</f>
        <v/>
      </c>
      <c r="HN51">
        <f>IFERROR(MATCH(6,OrderAval,0),"")</f>
        <v/>
      </c>
      <c r="HO51">
        <f>IF(HN51="",0,IFERROR(IF(N(CHOOSE(HN51,FN51,FR51,FV51,FZ51,GD51,GH51,GL51,GP51))&lt;=0.005,0,MAX(0,N(CHOOSE(HN51,FN51,FR51,FV51,FZ51,GD51,GH51,GL51,GP51))+N(CHOOSE(HN51,FO51,FS51,FW51,GA51,GE51,GI51,GM51,GQ51))-MIN(N(CHOOSE(HN51,'Debt List'!$F$5,'Debt List'!$F$6,'Debt List'!$F$7,'Debt List'!$F$8,'Debt List'!$F$9,'Debt List'!$F$10,'Debt List'!$F$11,'Debt List'!$F$12)),N(CHOOSE(HN51,FN51,FR51,FV51,FZ51,GD51,GH51,GL51,GP51))+N(CHOOSE(HN51,FO51,FS51,FW51,GA51,GE51,GI51,GM51,GQ51))))),0))</f>
        <v/>
      </c>
      <c r="HP51">
        <f>MIN(N(HO51),MAX(0,N(HM51)))</f>
        <v/>
      </c>
      <c r="HQ51">
        <f>MAX(0,N(HM51)-N(HP51))</f>
        <v/>
      </c>
      <c r="HR51">
        <f>IFERROR(MATCH(7,OrderAval,0),"")</f>
        <v/>
      </c>
      <c r="HS51">
        <f>IF(HR51="",0,IFERROR(IF(N(CHOOSE(HR51,FN51,FR51,FV51,FZ51,GD51,GH51,GL51,GP51))&lt;=0.005,0,MAX(0,N(CHOOSE(HR51,FN51,FR51,FV51,FZ51,GD51,GH51,GL51,GP51))+N(CHOOSE(HR51,FO51,FS51,FW51,GA51,GE51,GI51,GM51,GQ51))-MIN(N(CHOOSE(HR51,'Debt List'!$F$5,'Debt List'!$F$6,'Debt List'!$F$7,'Debt List'!$F$8,'Debt List'!$F$9,'Debt List'!$F$10,'Debt List'!$F$11,'Debt List'!$F$12)),N(CHOOSE(HR51,FN51,FR51,FV51,FZ51,GD51,GH51,GL51,GP51))+N(CHOOSE(HR51,FO51,FS51,FW51,GA51,GE51,GI51,GM51,GQ51))))),0))</f>
        <v/>
      </c>
      <c r="HT51">
        <f>MIN(N(HS51),MAX(0,N(HQ51)))</f>
        <v/>
      </c>
      <c r="HU51">
        <f>MAX(0,N(HQ51)-N(HT51))</f>
        <v/>
      </c>
      <c r="HV51">
        <f>IFERROR(MATCH(8,OrderAval,0),"")</f>
        <v/>
      </c>
      <c r="HW51">
        <f>IF(HV51="",0,IFERROR(IF(N(CHOOSE(HV51,FN51,FR51,FV51,FZ51,GD51,GH51,GL51,GP51))&lt;=0.005,0,MAX(0,N(CHOOSE(HV51,FN51,FR51,FV51,FZ51,GD51,GH51,GL51,GP51))+N(CHOOSE(HV51,FO51,FS51,FW51,GA51,GE51,GI51,GM51,GQ51))-MIN(N(CHOOSE(HV51,'Debt List'!$F$5,'Debt List'!$F$6,'Debt List'!$F$7,'Debt List'!$F$8,'Debt List'!$F$9,'Debt List'!$F$10,'Debt List'!$F$11,'Debt List'!$F$12)),N(CHOOSE(HV51,FN51,FR51,FV51,FZ51,GD51,GH51,GL51,GP51))+N(CHOOSE(HV51,FO51,FS51,FW51,GA51,GE51,GI51,GM51,GQ51))))),0))</f>
        <v/>
      </c>
      <c r="HX51">
        <f>MIN(N(HW51),MAX(0,N(HU51)))</f>
        <v/>
      </c>
      <c r="HY51">
        <f>MAX(0,N(HU51)-N(HX51))</f>
        <v/>
      </c>
    </row>
    <row r="52">
      <c r="A52" t="n">
        <v>48</v>
      </c>
      <c r="B52" s="115">
        <f>DATE(YEAR(PlanStart),MONTH(PlanStart)+A52-1,1)</f>
        <v/>
      </c>
      <c r="C52">
        <f>IF(AND(AP52&lt;&gt;"",N(CHOOSE(AP52,J52,N52,R52,V52,Z52,AD52,AH52,AL52))&gt;0.005),INDEX(DebtNames,AP52),IF(AND(AT52&lt;&gt;"",N(CHOOSE(AT52,J52,N52,R52,V52,Z52,AD52,AH52,AL52))&gt;0.005),INDEX(DebtNames,AT52),IF(AND(AX52&lt;&gt;"",N(CHOOSE(AX52,J52,N52,R52,V52,Z52,AD52,AH52,AL52))&gt;0.005),INDEX(DebtNames,AX52),IF(AND(BB52&lt;&gt;"",N(CHOOSE(BB52,J52,N52,R52,V52,Z52,AD52,AH52,AL52))&gt;0.005),INDEX(DebtNames,BB52),IF(AND(BF52&lt;&gt;"",N(CHOOSE(BF52,J52,N52,R52,V52,Z52,AD52,AH52,AL52))&gt;0.005),INDEX(DebtNames,BF52),IF(AND(BJ52&lt;&gt;"",N(CHOOSE(BJ52,J52,N52,R52,V52,Z52,AD52,AH52,AL52))&gt;0.005),INDEX(DebtNames,BJ52),IF(AND(BN52&lt;&gt;"",N(CHOOSE(BN52,J52,N52,R52,V52,Z52,AD52,AH52,AL52))&gt;0.005),INDEX(DebtNames,BN52),IF(AND(BR52&lt;&gt;"",N(CHOOSE(BR52,J52,N52,R52,V52,Z52,AD52,AH52,AL52))&gt;0.005),INDEX(DebtNames,BR52),""))))))))</f>
        <v/>
      </c>
      <c r="D52">
        <f>N(BU52)</f>
        <v/>
      </c>
      <c r="E52">
        <f>N(L52)+N(P52)+N(T52)+N(X52)+N(AB52)+N(AF52)+N(AJ52)+N(AN52)</f>
        <v/>
      </c>
      <c r="F52">
        <f>N(K52)+N(O52)+N(S52)+N(W52)+N(AA52)+N(AE52)+N(AI52)+N(AM52)</f>
        <v/>
      </c>
      <c r="G52">
        <f>N(G51)+N(F52)</f>
        <v/>
      </c>
      <c r="H52">
        <f>N(M52)+N(Q52)+N(U52)+N(Y52)+N(AC52)+N(AG52)+N(AK52)+N(AO52)</f>
        <v/>
      </c>
      <c r="I52">
        <f>(M52&gt;0.005)*1+(Q52&gt;0.005)*1+(U52&gt;0.005)*1+(Y52&gt;0.005)*1+(AC52&gt;0.005)*1+(AG52&gt;0.005)*1+(AK52&gt;0.005)*1+(AO52&gt;0.005)*1</f>
        <v/>
      </c>
      <c r="J52">
        <f>N(M51)</f>
        <v/>
      </c>
      <c r="K52">
        <f>IF(N(J52)&lt;=0.005,0,ROUND(N(J52)*N('Debt List'!E5)/12,2))</f>
        <v/>
      </c>
      <c r="L52">
        <f>IF(N(J52)&lt;=0.005,0,MIN(N('Debt List'!F5),N(J52)+N(K52)))+((AP52=1)*AR52+(AT52=1)*AV52+(AX52=1)*AZ52+(BB52=1)*BD52+(BF52=1)*BH52+(BJ52=1)*BL52+(BN52=1)*BP52+(BR52=1)*BT52)</f>
        <v/>
      </c>
      <c r="M52">
        <f>MAX(0,ROUND(N(J52)+N(K52)-N(L52),2))</f>
        <v/>
      </c>
      <c r="N52">
        <f>N(Q51)</f>
        <v/>
      </c>
      <c r="O52">
        <f>IF(N(N52)&lt;=0.005,0,ROUND(N(N52)*N('Debt List'!E6)/12,2))</f>
        <v/>
      </c>
      <c r="P52">
        <f>IF(N(N52)&lt;=0.005,0,MIN(N('Debt List'!F6),N(N52)+N(O52)))+((AP52=2)*AR52+(AT52=2)*AV52+(AX52=2)*AZ52+(BB52=2)*BD52+(BF52=2)*BH52+(BJ52=2)*BL52+(BN52=2)*BP52+(BR52=2)*BT52)</f>
        <v/>
      </c>
      <c r="Q52">
        <f>MAX(0,ROUND(N(N52)+N(O52)-N(P52),2))</f>
        <v/>
      </c>
      <c r="R52">
        <f>N(U51)</f>
        <v/>
      </c>
      <c r="S52">
        <f>IF(N(R52)&lt;=0.005,0,ROUND(N(R52)*N('Debt List'!E7)/12,2))</f>
        <v/>
      </c>
      <c r="T52">
        <f>IF(N(R52)&lt;=0.005,0,MIN(N('Debt List'!F7),N(R52)+N(S52)))+((AP52=3)*AR52+(AT52=3)*AV52+(AX52=3)*AZ52+(BB52=3)*BD52+(BF52=3)*BH52+(BJ52=3)*BL52+(BN52=3)*BP52+(BR52=3)*BT52)</f>
        <v/>
      </c>
      <c r="U52">
        <f>MAX(0,ROUND(N(R52)+N(S52)-N(T52),2))</f>
        <v/>
      </c>
      <c r="V52">
        <f>N(Y51)</f>
        <v/>
      </c>
      <c r="W52">
        <f>IF(N(V52)&lt;=0.005,0,ROUND(N(V52)*N('Debt List'!E8)/12,2))</f>
        <v/>
      </c>
      <c r="X52">
        <f>IF(N(V52)&lt;=0.005,0,MIN(N('Debt List'!F8),N(V52)+N(W52)))+((AP52=4)*AR52+(AT52=4)*AV52+(AX52=4)*AZ52+(BB52=4)*BD52+(BF52=4)*BH52+(BJ52=4)*BL52+(BN52=4)*BP52+(BR52=4)*BT52)</f>
        <v/>
      </c>
      <c r="Y52">
        <f>MAX(0,ROUND(N(V52)+N(W52)-N(X52),2))</f>
        <v/>
      </c>
      <c r="Z52">
        <f>N(AC51)</f>
        <v/>
      </c>
      <c r="AA52">
        <f>IF(N(Z52)&lt;=0.005,0,ROUND(N(Z52)*N('Debt List'!E9)/12,2))</f>
        <v/>
      </c>
      <c r="AB52">
        <f>IF(N(Z52)&lt;=0.005,0,MIN(N('Debt List'!F9),N(Z52)+N(AA52)))+((AP52=5)*AR52+(AT52=5)*AV52+(AX52=5)*AZ52+(BB52=5)*BD52+(BF52=5)*BH52+(BJ52=5)*BL52+(BN52=5)*BP52+(BR52=5)*BT52)</f>
        <v/>
      </c>
      <c r="AC52">
        <f>MAX(0,ROUND(N(Z52)+N(AA52)-N(AB52),2))</f>
        <v/>
      </c>
      <c r="AD52">
        <f>N(AG51)</f>
        <v/>
      </c>
      <c r="AE52">
        <f>IF(N(AD52)&lt;=0.005,0,ROUND(N(AD52)*N('Debt List'!E10)/12,2))</f>
        <v/>
      </c>
      <c r="AF52">
        <f>IF(N(AD52)&lt;=0.005,0,MIN(N('Debt List'!F10),N(AD52)+N(AE52)))+((AP52=6)*AR52+(AT52=6)*AV52+(AX52=6)*AZ52+(BB52=6)*BD52+(BF52=6)*BH52+(BJ52=6)*BL52+(BN52=6)*BP52+(BR52=6)*BT52)</f>
        <v/>
      </c>
      <c r="AG52">
        <f>MAX(0,ROUND(N(AD52)+N(AE52)-N(AF52),2))</f>
        <v/>
      </c>
      <c r="AH52">
        <f>N(AK51)</f>
        <v/>
      </c>
      <c r="AI52">
        <f>IF(N(AH52)&lt;=0.005,0,ROUND(N(AH52)*N('Debt List'!E11)/12,2))</f>
        <v/>
      </c>
      <c r="AJ52">
        <f>IF(N(AH52)&lt;=0.005,0,MIN(N('Debt List'!F11),N(AH52)+N(AI52)))+((AP52=7)*AR52+(AT52=7)*AV52+(AX52=7)*AZ52+(BB52=7)*BD52+(BF52=7)*BH52+(BJ52=7)*BL52+(BN52=7)*BP52+(BR52=7)*BT52)</f>
        <v/>
      </c>
      <c r="AK52">
        <f>MAX(0,ROUND(N(AH52)+N(AI52)-N(AJ52),2))</f>
        <v/>
      </c>
      <c r="AL52">
        <f>N(AO51)</f>
        <v/>
      </c>
      <c r="AM52">
        <f>IF(N(AL52)&lt;=0.005,0,ROUND(N(AL52)*N('Debt List'!E12)/12,2))</f>
        <v/>
      </c>
      <c r="AN52">
        <f>IF(N(AL52)&lt;=0.005,0,MIN(N('Debt List'!F12),N(AL52)+N(AM52)))+((AP52=8)*AR52+(AT52=8)*AV52+(AX52=8)*AZ52+(BB52=8)*BD52+(BF52=8)*BH52+(BJ52=8)*BL52+(BN52=8)*BP52+(BR52=8)*BT52)</f>
        <v/>
      </c>
      <c r="AO52">
        <f>MAX(0,ROUND(N(AL52)+N(AM52)-N(AN52),2))</f>
        <v/>
      </c>
      <c r="AP52">
        <f>IFERROR(MATCH(1,OrderPlan,0),"")</f>
        <v/>
      </c>
      <c r="AQ52">
        <f>IF(AP52="",0,IFERROR(IF(N(CHOOSE(AP52,J52,N52,R52,V52,Z52,AD52,AH52,AL52))&lt;=0.005,0,MAX(0,N(CHOOSE(AP52,J52,N52,R52,V52,Z52,AD52,AH52,AL52))+N(CHOOSE(AP52,K52,O52,S52,W52,AA52,AE52,AI52,AM52))-MIN(N(CHOOSE(AP52,'Debt List'!$F$5,'Debt List'!$F$6,'Debt List'!$F$7,'Debt List'!$F$8,'Debt List'!$F$9,'Debt List'!$F$10,'Debt List'!$F$11,'Debt List'!$F$12)),N(CHOOSE(AP52,J52,N52,R52,V52,Z52,AD52,AH52,AL52))+N(CHOOSE(AP52,K52,O52,S52,W52,AA52,AE52,AI52,AM52))))),0))</f>
        <v/>
      </c>
      <c r="AR52">
        <f>MIN(N(AQ52),MAX(0,N(ExtraPayment)))</f>
        <v/>
      </c>
      <c r="AS52">
        <f>MAX(0,N(ExtraPayment)-N(AR52))</f>
        <v/>
      </c>
      <c r="AT52">
        <f>IFERROR(MATCH(2,OrderPlan,0),"")</f>
        <v/>
      </c>
      <c r="AU52">
        <f>IF(AT52="",0,IFERROR(IF(N(CHOOSE(AT52,J52,N52,R52,V52,Z52,AD52,AH52,AL52))&lt;=0.005,0,MAX(0,N(CHOOSE(AT52,J52,N52,R52,V52,Z52,AD52,AH52,AL52))+N(CHOOSE(AT52,K52,O52,S52,W52,AA52,AE52,AI52,AM52))-MIN(N(CHOOSE(AT52,'Debt List'!$F$5,'Debt List'!$F$6,'Debt List'!$F$7,'Debt List'!$F$8,'Debt List'!$F$9,'Debt List'!$F$10,'Debt List'!$F$11,'Debt List'!$F$12)),N(CHOOSE(AT52,J52,N52,R52,V52,Z52,AD52,AH52,AL52))+N(CHOOSE(AT52,K52,O52,S52,W52,AA52,AE52,AI52,AM52))))),0))</f>
        <v/>
      </c>
      <c r="AV52">
        <f>MIN(N(AU52),MAX(0,N(AS52)))</f>
        <v/>
      </c>
      <c r="AW52">
        <f>MAX(0,N(AS52)-N(AV52))</f>
        <v/>
      </c>
      <c r="AX52">
        <f>IFERROR(MATCH(3,OrderPlan,0),"")</f>
        <v/>
      </c>
      <c r="AY52">
        <f>IF(AX52="",0,IFERROR(IF(N(CHOOSE(AX52,J52,N52,R52,V52,Z52,AD52,AH52,AL52))&lt;=0.005,0,MAX(0,N(CHOOSE(AX52,J52,N52,R52,V52,Z52,AD52,AH52,AL52))+N(CHOOSE(AX52,K52,O52,S52,W52,AA52,AE52,AI52,AM52))-MIN(N(CHOOSE(AX52,'Debt List'!$F$5,'Debt List'!$F$6,'Debt List'!$F$7,'Debt List'!$F$8,'Debt List'!$F$9,'Debt List'!$F$10,'Debt List'!$F$11,'Debt List'!$F$12)),N(CHOOSE(AX52,J52,N52,R52,V52,Z52,AD52,AH52,AL52))+N(CHOOSE(AX52,K52,O52,S52,W52,AA52,AE52,AI52,AM52))))),0))</f>
        <v/>
      </c>
      <c r="AZ52">
        <f>MIN(N(AY52),MAX(0,N(AW52)))</f>
        <v/>
      </c>
      <c r="BA52">
        <f>MAX(0,N(AW52)-N(AZ52))</f>
        <v/>
      </c>
      <c r="BB52">
        <f>IFERROR(MATCH(4,OrderPlan,0),"")</f>
        <v/>
      </c>
      <c r="BC52">
        <f>IF(BB52="",0,IFERROR(IF(N(CHOOSE(BB52,J52,N52,R52,V52,Z52,AD52,AH52,AL52))&lt;=0.005,0,MAX(0,N(CHOOSE(BB52,J52,N52,R52,V52,Z52,AD52,AH52,AL52))+N(CHOOSE(BB52,K52,O52,S52,W52,AA52,AE52,AI52,AM52))-MIN(N(CHOOSE(BB52,'Debt List'!$F$5,'Debt List'!$F$6,'Debt List'!$F$7,'Debt List'!$F$8,'Debt List'!$F$9,'Debt List'!$F$10,'Debt List'!$F$11,'Debt List'!$F$12)),N(CHOOSE(BB52,J52,N52,R52,V52,Z52,AD52,AH52,AL52))+N(CHOOSE(BB52,K52,O52,S52,W52,AA52,AE52,AI52,AM52))))),0))</f>
        <v/>
      </c>
      <c r="BD52">
        <f>MIN(N(BC52),MAX(0,N(BA52)))</f>
        <v/>
      </c>
      <c r="BE52">
        <f>MAX(0,N(BA52)-N(BD52))</f>
        <v/>
      </c>
      <c r="BF52">
        <f>IFERROR(MATCH(5,OrderPlan,0),"")</f>
        <v/>
      </c>
      <c r="BG52">
        <f>IF(BF52="",0,IFERROR(IF(N(CHOOSE(BF52,J52,N52,R52,V52,Z52,AD52,AH52,AL52))&lt;=0.005,0,MAX(0,N(CHOOSE(BF52,J52,N52,R52,V52,Z52,AD52,AH52,AL52))+N(CHOOSE(BF52,K52,O52,S52,W52,AA52,AE52,AI52,AM52))-MIN(N(CHOOSE(BF52,'Debt List'!$F$5,'Debt List'!$F$6,'Debt List'!$F$7,'Debt List'!$F$8,'Debt List'!$F$9,'Debt List'!$F$10,'Debt List'!$F$11,'Debt List'!$F$12)),N(CHOOSE(BF52,J52,N52,R52,V52,Z52,AD52,AH52,AL52))+N(CHOOSE(BF52,K52,O52,S52,W52,AA52,AE52,AI52,AM52))))),0))</f>
        <v/>
      </c>
      <c r="BH52">
        <f>MIN(N(BG52),MAX(0,N(BE52)))</f>
        <v/>
      </c>
      <c r="BI52">
        <f>MAX(0,N(BE52)-N(BH52))</f>
        <v/>
      </c>
      <c r="BJ52">
        <f>IFERROR(MATCH(6,OrderPlan,0),"")</f>
        <v/>
      </c>
      <c r="BK52">
        <f>IF(BJ52="",0,IFERROR(IF(N(CHOOSE(BJ52,J52,N52,R52,V52,Z52,AD52,AH52,AL52))&lt;=0.005,0,MAX(0,N(CHOOSE(BJ52,J52,N52,R52,V52,Z52,AD52,AH52,AL52))+N(CHOOSE(BJ52,K52,O52,S52,W52,AA52,AE52,AI52,AM52))-MIN(N(CHOOSE(BJ52,'Debt List'!$F$5,'Debt List'!$F$6,'Debt List'!$F$7,'Debt List'!$F$8,'Debt List'!$F$9,'Debt List'!$F$10,'Debt List'!$F$11,'Debt List'!$F$12)),N(CHOOSE(BJ52,J52,N52,R52,V52,Z52,AD52,AH52,AL52))+N(CHOOSE(BJ52,K52,O52,S52,W52,AA52,AE52,AI52,AM52))))),0))</f>
        <v/>
      </c>
      <c r="BL52">
        <f>MIN(N(BK52),MAX(0,N(BI52)))</f>
        <v/>
      </c>
      <c r="BM52">
        <f>MAX(0,N(BI52)-N(BL52))</f>
        <v/>
      </c>
      <c r="BN52">
        <f>IFERROR(MATCH(7,OrderPlan,0),"")</f>
        <v/>
      </c>
      <c r="BO52">
        <f>IF(BN52="",0,IFERROR(IF(N(CHOOSE(BN52,J52,N52,R52,V52,Z52,AD52,AH52,AL52))&lt;=0.005,0,MAX(0,N(CHOOSE(BN52,J52,N52,R52,V52,Z52,AD52,AH52,AL52))+N(CHOOSE(BN52,K52,O52,S52,W52,AA52,AE52,AI52,AM52))-MIN(N(CHOOSE(BN52,'Debt List'!$F$5,'Debt List'!$F$6,'Debt List'!$F$7,'Debt List'!$F$8,'Debt List'!$F$9,'Debt List'!$F$10,'Debt List'!$F$11,'Debt List'!$F$12)),N(CHOOSE(BN52,J52,N52,R52,V52,Z52,AD52,AH52,AL52))+N(CHOOSE(BN52,K52,O52,S52,W52,AA52,AE52,AI52,AM52))))),0))</f>
        <v/>
      </c>
      <c r="BP52">
        <f>MIN(N(BO52),MAX(0,N(BM52)))</f>
        <v/>
      </c>
      <c r="BQ52">
        <f>MAX(0,N(BM52)-N(BP52))</f>
        <v/>
      </c>
      <c r="BR52">
        <f>IFERROR(MATCH(8,OrderPlan,0),"")</f>
        <v/>
      </c>
      <c r="BS52">
        <f>IF(BR52="",0,IFERROR(IF(N(CHOOSE(BR52,J52,N52,R52,V52,Z52,AD52,AH52,AL52))&lt;=0.005,0,MAX(0,N(CHOOSE(BR52,J52,N52,R52,V52,Z52,AD52,AH52,AL52))+N(CHOOSE(BR52,K52,O52,S52,W52,AA52,AE52,AI52,AM52))-MIN(N(CHOOSE(BR52,'Debt List'!$F$5,'Debt List'!$F$6,'Debt List'!$F$7,'Debt List'!$F$8,'Debt List'!$F$9,'Debt List'!$F$10,'Debt List'!$F$11,'Debt List'!$F$12)),N(CHOOSE(BR52,J52,N52,R52,V52,Z52,AD52,AH52,AL52))+N(CHOOSE(BR52,K52,O52,S52,W52,AA52,AE52,AI52,AM52))))),0))</f>
        <v/>
      </c>
      <c r="BT52">
        <f>MIN(N(BS52),MAX(0,N(BQ52)))</f>
        <v/>
      </c>
      <c r="BU52">
        <f>MAX(0,N(BQ52)-N(BT52))</f>
        <v/>
      </c>
      <c r="CC52" t="n">
        <v>48</v>
      </c>
      <c r="CD52" s="115">
        <f>DATE(YEAR(PlanStart),MONTH(PlanStart)+CC52-1,1)</f>
        <v/>
      </c>
      <c r="CE52">
        <f>IF(AND(DR52&lt;&gt;"",N(CHOOSE(DR52,CL52,CP52,CT52,CX52,DB52,DF52,DJ52,DN52))&gt;0.005),INDEX(DebtNames,DR52),IF(AND(DV52&lt;&gt;"",N(CHOOSE(DV52,CL52,CP52,CT52,CX52,DB52,DF52,DJ52,DN52))&gt;0.005),INDEX(DebtNames,DV52),IF(AND(DZ52&lt;&gt;"",N(CHOOSE(DZ52,CL52,CP52,CT52,CX52,DB52,DF52,DJ52,DN52))&gt;0.005),INDEX(DebtNames,DZ52),IF(AND(ED52&lt;&gt;"",N(CHOOSE(ED52,CL52,CP52,CT52,CX52,DB52,DF52,DJ52,DN52))&gt;0.005),INDEX(DebtNames,ED52),IF(AND(EH52&lt;&gt;"",N(CHOOSE(EH52,CL52,CP52,CT52,CX52,DB52,DF52,DJ52,DN52))&gt;0.005),INDEX(DebtNames,EH52),IF(AND(EL52&lt;&gt;"",N(CHOOSE(EL52,CL52,CP52,CT52,CX52,DB52,DF52,DJ52,DN52))&gt;0.005),INDEX(DebtNames,EL52),IF(AND(EP52&lt;&gt;"",N(CHOOSE(EP52,CL52,CP52,CT52,CX52,DB52,DF52,DJ52,DN52))&gt;0.005),INDEX(DebtNames,EP52),IF(AND(ET52&lt;&gt;"",N(CHOOSE(ET52,CL52,CP52,CT52,CX52,DB52,DF52,DJ52,DN52))&gt;0.005),INDEX(DebtNames,ET52),""))))))))</f>
        <v/>
      </c>
      <c r="CF52">
        <f>N(EW52)</f>
        <v/>
      </c>
      <c r="CG52">
        <f>N(CN52)+N(CR52)+N(CV52)+N(CZ52)+N(DD52)+N(DH52)+N(DL52)+N(DP52)</f>
        <v/>
      </c>
      <c r="CH52">
        <f>N(CM52)+N(CQ52)+N(CU52)+N(CY52)+N(DC52)+N(DG52)+N(DK52)+N(DO52)</f>
        <v/>
      </c>
      <c r="CI52">
        <f>N(CI51)+N(CH52)</f>
        <v/>
      </c>
      <c r="CJ52">
        <f>N(CO52)+N(CS52)+N(CW52)+N(DA52)+N(DE52)+N(DI52)+N(DM52)+N(DQ52)</f>
        <v/>
      </c>
      <c r="CK52">
        <f>(CO52&gt;0.005)*1+(CS52&gt;0.005)*1+(CW52&gt;0.005)*1+(DA52&gt;0.005)*1+(DE52&gt;0.005)*1+(DI52&gt;0.005)*1+(DM52&gt;0.005)*1+(DQ52&gt;0.005)*1</f>
        <v/>
      </c>
      <c r="CL52">
        <f>N(CO51)</f>
        <v/>
      </c>
      <c r="CM52">
        <f>IF(N(CL52)&lt;=0.005,0,ROUND(N(CL52)*N('Debt List'!E5)/12,2))</f>
        <v/>
      </c>
      <c r="CN52">
        <f>IF(N(CL52)&lt;=0.005,0,MIN(N('Debt List'!F5),N(CL52)+N(CM52)))+((DR52=1)*DT52+(DV52=1)*DX52+(DZ52=1)*EB52+(ED52=1)*EF52+(EH52=1)*EJ52+(EL52=1)*EN52+(EP52=1)*ER52+(ET52=1)*EV52)</f>
        <v/>
      </c>
      <c r="CO52">
        <f>MAX(0,ROUND(N(CL52)+N(CM52)-N(CN52),2))</f>
        <v/>
      </c>
      <c r="CP52">
        <f>N(CS51)</f>
        <v/>
      </c>
      <c r="CQ52">
        <f>IF(N(CP52)&lt;=0.005,0,ROUND(N(CP52)*N('Debt List'!E6)/12,2))</f>
        <v/>
      </c>
      <c r="CR52">
        <f>IF(N(CP52)&lt;=0.005,0,MIN(N('Debt List'!F6),N(CP52)+N(CQ52)))+((DR52=2)*DT52+(DV52=2)*DX52+(DZ52=2)*EB52+(ED52=2)*EF52+(EH52=2)*EJ52+(EL52=2)*EN52+(EP52=2)*ER52+(ET52=2)*EV52)</f>
        <v/>
      </c>
      <c r="CS52">
        <f>MAX(0,ROUND(N(CP52)+N(CQ52)-N(CR52),2))</f>
        <v/>
      </c>
      <c r="CT52">
        <f>N(CW51)</f>
        <v/>
      </c>
      <c r="CU52">
        <f>IF(N(CT52)&lt;=0.005,0,ROUND(N(CT52)*N('Debt List'!E7)/12,2))</f>
        <v/>
      </c>
      <c r="CV52">
        <f>IF(N(CT52)&lt;=0.005,0,MIN(N('Debt List'!F7),N(CT52)+N(CU52)))+((DR52=3)*DT52+(DV52=3)*DX52+(DZ52=3)*EB52+(ED52=3)*EF52+(EH52=3)*EJ52+(EL52=3)*EN52+(EP52=3)*ER52+(ET52=3)*EV52)</f>
        <v/>
      </c>
      <c r="CW52">
        <f>MAX(0,ROUND(N(CT52)+N(CU52)-N(CV52),2))</f>
        <v/>
      </c>
      <c r="CX52">
        <f>N(DA51)</f>
        <v/>
      </c>
      <c r="CY52">
        <f>IF(N(CX52)&lt;=0.005,0,ROUND(N(CX52)*N('Debt List'!E8)/12,2))</f>
        <v/>
      </c>
      <c r="CZ52">
        <f>IF(N(CX52)&lt;=0.005,0,MIN(N('Debt List'!F8),N(CX52)+N(CY52)))+((DR52=4)*DT52+(DV52=4)*DX52+(DZ52=4)*EB52+(ED52=4)*EF52+(EH52=4)*EJ52+(EL52=4)*EN52+(EP52=4)*ER52+(ET52=4)*EV52)</f>
        <v/>
      </c>
      <c r="DA52">
        <f>MAX(0,ROUND(N(CX52)+N(CY52)-N(CZ52),2))</f>
        <v/>
      </c>
      <c r="DB52">
        <f>N(DE51)</f>
        <v/>
      </c>
      <c r="DC52">
        <f>IF(N(DB52)&lt;=0.005,0,ROUND(N(DB52)*N('Debt List'!E9)/12,2))</f>
        <v/>
      </c>
      <c r="DD52">
        <f>IF(N(DB52)&lt;=0.005,0,MIN(N('Debt List'!F9),N(DB52)+N(DC52)))+((DR52=5)*DT52+(DV52=5)*DX52+(DZ52=5)*EB52+(ED52=5)*EF52+(EH52=5)*EJ52+(EL52=5)*EN52+(EP52=5)*ER52+(ET52=5)*EV52)</f>
        <v/>
      </c>
      <c r="DE52">
        <f>MAX(0,ROUND(N(DB52)+N(DC52)-N(DD52),2))</f>
        <v/>
      </c>
      <c r="DF52">
        <f>N(DI51)</f>
        <v/>
      </c>
      <c r="DG52">
        <f>IF(N(DF52)&lt;=0.005,0,ROUND(N(DF52)*N('Debt List'!E10)/12,2))</f>
        <v/>
      </c>
      <c r="DH52">
        <f>IF(N(DF52)&lt;=0.005,0,MIN(N('Debt List'!F10),N(DF52)+N(DG52)))+((DR52=6)*DT52+(DV52=6)*DX52+(DZ52=6)*EB52+(ED52=6)*EF52+(EH52=6)*EJ52+(EL52=6)*EN52+(EP52=6)*ER52+(ET52=6)*EV52)</f>
        <v/>
      </c>
      <c r="DI52">
        <f>MAX(0,ROUND(N(DF52)+N(DG52)-N(DH52),2))</f>
        <v/>
      </c>
      <c r="DJ52">
        <f>N(DM51)</f>
        <v/>
      </c>
      <c r="DK52">
        <f>IF(N(DJ52)&lt;=0.005,0,ROUND(N(DJ52)*N('Debt List'!E11)/12,2))</f>
        <v/>
      </c>
      <c r="DL52">
        <f>IF(N(DJ52)&lt;=0.005,0,MIN(N('Debt List'!F11),N(DJ52)+N(DK52)))+((DR52=7)*DT52+(DV52=7)*DX52+(DZ52=7)*EB52+(ED52=7)*EF52+(EH52=7)*EJ52+(EL52=7)*EN52+(EP52=7)*ER52+(ET52=7)*EV52)</f>
        <v/>
      </c>
      <c r="DM52">
        <f>MAX(0,ROUND(N(DJ52)+N(DK52)-N(DL52),2))</f>
        <v/>
      </c>
      <c r="DN52">
        <f>N(DQ51)</f>
        <v/>
      </c>
      <c r="DO52">
        <f>IF(N(DN52)&lt;=0.005,0,ROUND(N(DN52)*N('Debt List'!E12)/12,2))</f>
        <v/>
      </c>
      <c r="DP52">
        <f>IF(N(DN52)&lt;=0.005,0,MIN(N('Debt List'!F12),N(DN52)+N(DO52)))+((DR52=8)*DT52+(DV52=8)*DX52+(DZ52=8)*EB52+(ED52=8)*EF52+(EH52=8)*EJ52+(EL52=8)*EN52+(EP52=8)*ER52+(ET52=8)*EV52)</f>
        <v/>
      </c>
      <c r="DQ52">
        <f>MAX(0,ROUND(N(DN52)+N(DO52)-N(DP52),2))</f>
        <v/>
      </c>
      <c r="DR52">
        <f>IFERROR(MATCH(1,OrderSnow,0),"")</f>
        <v/>
      </c>
      <c r="DS52">
        <f>IF(DR52="",0,IFERROR(IF(N(CHOOSE(DR52,CL52,CP52,CT52,CX52,DB52,DF52,DJ52,DN52))&lt;=0.005,0,MAX(0,N(CHOOSE(DR52,CL52,CP52,CT52,CX52,DB52,DF52,DJ52,DN52))+N(CHOOSE(DR52,CM52,CQ52,CU52,CY52,DC52,DG52,DK52,DO52))-MIN(N(CHOOSE(DR52,'Debt List'!$F$5,'Debt List'!$F$6,'Debt List'!$F$7,'Debt List'!$F$8,'Debt List'!$F$9,'Debt List'!$F$10,'Debt List'!$F$11,'Debt List'!$F$12)),N(CHOOSE(DR52,CL52,CP52,CT52,CX52,DB52,DF52,DJ52,DN52))+N(CHOOSE(DR52,CM52,CQ52,CU52,CY52,DC52,DG52,DK52,DO52))))),0))</f>
        <v/>
      </c>
      <c r="DT52">
        <f>MIN(N(DS52),MAX(0,N(ExtraPayment)))</f>
        <v/>
      </c>
      <c r="DU52">
        <f>MAX(0,N(ExtraPayment)-N(DT52))</f>
        <v/>
      </c>
      <c r="DV52">
        <f>IFERROR(MATCH(2,OrderSnow,0),"")</f>
        <v/>
      </c>
      <c r="DW52">
        <f>IF(DV52="",0,IFERROR(IF(N(CHOOSE(DV52,CL52,CP52,CT52,CX52,DB52,DF52,DJ52,DN52))&lt;=0.005,0,MAX(0,N(CHOOSE(DV52,CL52,CP52,CT52,CX52,DB52,DF52,DJ52,DN52))+N(CHOOSE(DV52,CM52,CQ52,CU52,CY52,DC52,DG52,DK52,DO52))-MIN(N(CHOOSE(DV52,'Debt List'!$F$5,'Debt List'!$F$6,'Debt List'!$F$7,'Debt List'!$F$8,'Debt List'!$F$9,'Debt List'!$F$10,'Debt List'!$F$11,'Debt List'!$F$12)),N(CHOOSE(DV52,CL52,CP52,CT52,CX52,DB52,DF52,DJ52,DN52))+N(CHOOSE(DV52,CM52,CQ52,CU52,CY52,DC52,DG52,DK52,DO52))))),0))</f>
        <v/>
      </c>
      <c r="DX52">
        <f>MIN(N(DW52),MAX(0,N(DU52)))</f>
        <v/>
      </c>
      <c r="DY52">
        <f>MAX(0,N(DU52)-N(DX52))</f>
        <v/>
      </c>
      <c r="DZ52">
        <f>IFERROR(MATCH(3,OrderSnow,0),"")</f>
        <v/>
      </c>
      <c r="EA52">
        <f>IF(DZ52="",0,IFERROR(IF(N(CHOOSE(DZ52,CL52,CP52,CT52,CX52,DB52,DF52,DJ52,DN52))&lt;=0.005,0,MAX(0,N(CHOOSE(DZ52,CL52,CP52,CT52,CX52,DB52,DF52,DJ52,DN52))+N(CHOOSE(DZ52,CM52,CQ52,CU52,CY52,DC52,DG52,DK52,DO52))-MIN(N(CHOOSE(DZ52,'Debt List'!$F$5,'Debt List'!$F$6,'Debt List'!$F$7,'Debt List'!$F$8,'Debt List'!$F$9,'Debt List'!$F$10,'Debt List'!$F$11,'Debt List'!$F$12)),N(CHOOSE(DZ52,CL52,CP52,CT52,CX52,DB52,DF52,DJ52,DN52))+N(CHOOSE(DZ52,CM52,CQ52,CU52,CY52,DC52,DG52,DK52,DO52))))),0))</f>
        <v/>
      </c>
      <c r="EB52">
        <f>MIN(N(EA52),MAX(0,N(DY52)))</f>
        <v/>
      </c>
      <c r="EC52">
        <f>MAX(0,N(DY52)-N(EB52))</f>
        <v/>
      </c>
      <c r="ED52">
        <f>IFERROR(MATCH(4,OrderSnow,0),"")</f>
        <v/>
      </c>
      <c r="EE52">
        <f>IF(ED52="",0,IFERROR(IF(N(CHOOSE(ED52,CL52,CP52,CT52,CX52,DB52,DF52,DJ52,DN52))&lt;=0.005,0,MAX(0,N(CHOOSE(ED52,CL52,CP52,CT52,CX52,DB52,DF52,DJ52,DN52))+N(CHOOSE(ED52,CM52,CQ52,CU52,CY52,DC52,DG52,DK52,DO52))-MIN(N(CHOOSE(ED52,'Debt List'!$F$5,'Debt List'!$F$6,'Debt List'!$F$7,'Debt List'!$F$8,'Debt List'!$F$9,'Debt List'!$F$10,'Debt List'!$F$11,'Debt List'!$F$12)),N(CHOOSE(ED52,CL52,CP52,CT52,CX52,DB52,DF52,DJ52,DN52))+N(CHOOSE(ED52,CM52,CQ52,CU52,CY52,DC52,DG52,DK52,DO52))))),0))</f>
        <v/>
      </c>
      <c r="EF52">
        <f>MIN(N(EE52),MAX(0,N(EC52)))</f>
        <v/>
      </c>
      <c r="EG52">
        <f>MAX(0,N(EC52)-N(EF52))</f>
        <v/>
      </c>
      <c r="EH52">
        <f>IFERROR(MATCH(5,OrderSnow,0),"")</f>
        <v/>
      </c>
      <c r="EI52">
        <f>IF(EH52="",0,IFERROR(IF(N(CHOOSE(EH52,CL52,CP52,CT52,CX52,DB52,DF52,DJ52,DN52))&lt;=0.005,0,MAX(0,N(CHOOSE(EH52,CL52,CP52,CT52,CX52,DB52,DF52,DJ52,DN52))+N(CHOOSE(EH52,CM52,CQ52,CU52,CY52,DC52,DG52,DK52,DO52))-MIN(N(CHOOSE(EH52,'Debt List'!$F$5,'Debt List'!$F$6,'Debt List'!$F$7,'Debt List'!$F$8,'Debt List'!$F$9,'Debt List'!$F$10,'Debt List'!$F$11,'Debt List'!$F$12)),N(CHOOSE(EH52,CL52,CP52,CT52,CX52,DB52,DF52,DJ52,DN52))+N(CHOOSE(EH52,CM52,CQ52,CU52,CY52,DC52,DG52,DK52,DO52))))),0))</f>
        <v/>
      </c>
      <c r="EJ52">
        <f>MIN(N(EI52),MAX(0,N(EG52)))</f>
        <v/>
      </c>
      <c r="EK52">
        <f>MAX(0,N(EG52)-N(EJ52))</f>
        <v/>
      </c>
      <c r="EL52">
        <f>IFERROR(MATCH(6,OrderSnow,0),"")</f>
        <v/>
      </c>
      <c r="EM52">
        <f>IF(EL52="",0,IFERROR(IF(N(CHOOSE(EL52,CL52,CP52,CT52,CX52,DB52,DF52,DJ52,DN52))&lt;=0.005,0,MAX(0,N(CHOOSE(EL52,CL52,CP52,CT52,CX52,DB52,DF52,DJ52,DN52))+N(CHOOSE(EL52,CM52,CQ52,CU52,CY52,DC52,DG52,DK52,DO52))-MIN(N(CHOOSE(EL52,'Debt List'!$F$5,'Debt List'!$F$6,'Debt List'!$F$7,'Debt List'!$F$8,'Debt List'!$F$9,'Debt List'!$F$10,'Debt List'!$F$11,'Debt List'!$F$12)),N(CHOOSE(EL52,CL52,CP52,CT52,CX52,DB52,DF52,DJ52,DN52))+N(CHOOSE(EL52,CM52,CQ52,CU52,CY52,DC52,DG52,DK52,DO52))))),0))</f>
        <v/>
      </c>
      <c r="EN52">
        <f>MIN(N(EM52),MAX(0,N(EK52)))</f>
        <v/>
      </c>
      <c r="EO52">
        <f>MAX(0,N(EK52)-N(EN52))</f>
        <v/>
      </c>
      <c r="EP52">
        <f>IFERROR(MATCH(7,OrderSnow,0),"")</f>
        <v/>
      </c>
      <c r="EQ52">
        <f>IF(EP52="",0,IFERROR(IF(N(CHOOSE(EP52,CL52,CP52,CT52,CX52,DB52,DF52,DJ52,DN52))&lt;=0.005,0,MAX(0,N(CHOOSE(EP52,CL52,CP52,CT52,CX52,DB52,DF52,DJ52,DN52))+N(CHOOSE(EP52,CM52,CQ52,CU52,CY52,DC52,DG52,DK52,DO52))-MIN(N(CHOOSE(EP52,'Debt List'!$F$5,'Debt List'!$F$6,'Debt List'!$F$7,'Debt List'!$F$8,'Debt List'!$F$9,'Debt List'!$F$10,'Debt List'!$F$11,'Debt List'!$F$12)),N(CHOOSE(EP52,CL52,CP52,CT52,CX52,DB52,DF52,DJ52,DN52))+N(CHOOSE(EP52,CM52,CQ52,CU52,CY52,DC52,DG52,DK52,DO52))))),0))</f>
        <v/>
      </c>
      <c r="ER52">
        <f>MIN(N(EQ52),MAX(0,N(EO52)))</f>
        <v/>
      </c>
      <c r="ES52">
        <f>MAX(0,N(EO52)-N(ER52))</f>
        <v/>
      </c>
      <c r="ET52">
        <f>IFERROR(MATCH(8,OrderSnow,0),"")</f>
        <v/>
      </c>
      <c r="EU52">
        <f>IF(ET52="",0,IFERROR(IF(N(CHOOSE(ET52,CL52,CP52,CT52,CX52,DB52,DF52,DJ52,DN52))&lt;=0.005,0,MAX(0,N(CHOOSE(ET52,CL52,CP52,CT52,CX52,DB52,DF52,DJ52,DN52))+N(CHOOSE(ET52,CM52,CQ52,CU52,CY52,DC52,DG52,DK52,DO52))-MIN(N(CHOOSE(ET52,'Debt List'!$F$5,'Debt List'!$F$6,'Debt List'!$F$7,'Debt List'!$F$8,'Debt List'!$F$9,'Debt List'!$F$10,'Debt List'!$F$11,'Debt List'!$F$12)),N(CHOOSE(ET52,CL52,CP52,CT52,CX52,DB52,DF52,DJ52,DN52))+N(CHOOSE(ET52,CM52,CQ52,CU52,CY52,DC52,DG52,DK52,DO52))))),0))</f>
        <v/>
      </c>
      <c r="EV52">
        <f>MIN(N(EU52),MAX(0,N(ES52)))</f>
        <v/>
      </c>
      <c r="EW52">
        <f>MAX(0,N(ES52)-N(EV52))</f>
        <v/>
      </c>
      <c r="FE52" t="n">
        <v>48</v>
      </c>
      <c r="FF52" s="115">
        <f>DATE(YEAR(PlanStart),MONTH(PlanStart)+FE52-1,1)</f>
        <v/>
      </c>
      <c r="FG52">
        <f>IF(AND(GT52&lt;&gt;"",N(CHOOSE(GT52,FN52,FR52,FV52,FZ52,GD52,GH52,GL52,GP52))&gt;0.005),INDEX(DebtNames,GT52),IF(AND(GX52&lt;&gt;"",N(CHOOSE(GX52,FN52,FR52,FV52,FZ52,GD52,GH52,GL52,GP52))&gt;0.005),INDEX(DebtNames,GX52),IF(AND(HB52&lt;&gt;"",N(CHOOSE(HB52,FN52,FR52,FV52,FZ52,GD52,GH52,GL52,GP52))&gt;0.005),INDEX(DebtNames,HB52),IF(AND(HF52&lt;&gt;"",N(CHOOSE(HF52,FN52,FR52,FV52,FZ52,GD52,GH52,GL52,GP52))&gt;0.005),INDEX(DebtNames,HF52),IF(AND(HJ52&lt;&gt;"",N(CHOOSE(HJ52,FN52,FR52,FV52,FZ52,GD52,GH52,GL52,GP52))&gt;0.005),INDEX(DebtNames,HJ52),IF(AND(HN52&lt;&gt;"",N(CHOOSE(HN52,FN52,FR52,FV52,FZ52,GD52,GH52,GL52,GP52))&gt;0.005),INDEX(DebtNames,HN52),IF(AND(HR52&lt;&gt;"",N(CHOOSE(HR52,FN52,FR52,FV52,FZ52,GD52,GH52,GL52,GP52))&gt;0.005),INDEX(DebtNames,HR52),IF(AND(HV52&lt;&gt;"",N(CHOOSE(HV52,FN52,FR52,FV52,FZ52,GD52,GH52,GL52,GP52))&gt;0.005),INDEX(DebtNames,HV52),""))))))))</f>
        <v/>
      </c>
      <c r="FH52">
        <f>N(HY52)</f>
        <v/>
      </c>
      <c r="FI52">
        <f>N(FP52)+N(FT52)+N(FX52)+N(GB52)+N(GF52)+N(GJ52)+N(GN52)+N(GR52)</f>
        <v/>
      </c>
      <c r="FJ52">
        <f>N(FO52)+N(FS52)+N(FW52)+N(GA52)+N(GE52)+N(GI52)+N(GM52)+N(GQ52)</f>
        <v/>
      </c>
      <c r="FK52">
        <f>N(FK51)+N(FJ52)</f>
        <v/>
      </c>
      <c r="FL52">
        <f>N(FQ52)+N(FU52)+N(FY52)+N(GC52)+N(GG52)+N(GK52)+N(GO52)+N(GS52)</f>
        <v/>
      </c>
      <c r="FM52">
        <f>(FQ52&gt;0.005)*1+(FU52&gt;0.005)*1+(FY52&gt;0.005)*1+(GC52&gt;0.005)*1+(GG52&gt;0.005)*1+(GK52&gt;0.005)*1+(GO52&gt;0.005)*1+(GS52&gt;0.005)*1</f>
        <v/>
      </c>
      <c r="FN52">
        <f>N(FQ51)</f>
        <v/>
      </c>
      <c r="FO52">
        <f>IF(N(FN52)&lt;=0.005,0,ROUND(N(FN52)*N('Debt List'!E5)/12,2))</f>
        <v/>
      </c>
      <c r="FP52">
        <f>IF(N(FN52)&lt;=0.005,0,MIN(N('Debt List'!F5),N(FN52)+N(FO52)))+((GT52=1)*GV52+(GX52=1)*GZ52+(HB52=1)*HD52+(HF52=1)*HH52+(HJ52=1)*HL52+(HN52=1)*HP52+(HR52=1)*HT52+(HV52=1)*HX52)</f>
        <v/>
      </c>
      <c r="FQ52">
        <f>MAX(0,ROUND(N(FN52)+N(FO52)-N(FP52),2))</f>
        <v/>
      </c>
      <c r="FR52">
        <f>N(FU51)</f>
        <v/>
      </c>
      <c r="FS52">
        <f>IF(N(FR52)&lt;=0.005,0,ROUND(N(FR52)*N('Debt List'!E6)/12,2))</f>
        <v/>
      </c>
      <c r="FT52">
        <f>IF(N(FR52)&lt;=0.005,0,MIN(N('Debt List'!F6),N(FR52)+N(FS52)))+((GT52=2)*GV52+(GX52=2)*GZ52+(HB52=2)*HD52+(HF52=2)*HH52+(HJ52=2)*HL52+(HN52=2)*HP52+(HR52=2)*HT52+(HV52=2)*HX52)</f>
        <v/>
      </c>
      <c r="FU52">
        <f>MAX(0,ROUND(N(FR52)+N(FS52)-N(FT52),2))</f>
        <v/>
      </c>
      <c r="FV52">
        <f>N(FY51)</f>
        <v/>
      </c>
      <c r="FW52">
        <f>IF(N(FV52)&lt;=0.005,0,ROUND(N(FV52)*N('Debt List'!E7)/12,2))</f>
        <v/>
      </c>
      <c r="FX52">
        <f>IF(N(FV52)&lt;=0.005,0,MIN(N('Debt List'!F7),N(FV52)+N(FW52)))+((GT52=3)*GV52+(GX52=3)*GZ52+(HB52=3)*HD52+(HF52=3)*HH52+(HJ52=3)*HL52+(HN52=3)*HP52+(HR52=3)*HT52+(HV52=3)*HX52)</f>
        <v/>
      </c>
      <c r="FY52">
        <f>MAX(0,ROUND(N(FV52)+N(FW52)-N(FX52),2))</f>
        <v/>
      </c>
      <c r="FZ52">
        <f>N(GC51)</f>
        <v/>
      </c>
      <c r="GA52">
        <f>IF(N(FZ52)&lt;=0.005,0,ROUND(N(FZ52)*N('Debt List'!E8)/12,2))</f>
        <v/>
      </c>
      <c r="GB52">
        <f>IF(N(FZ52)&lt;=0.005,0,MIN(N('Debt List'!F8),N(FZ52)+N(GA52)))+((GT52=4)*GV52+(GX52=4)*GZ52+(HB52=4)*HD52+(HF52=4)*HH52+(HJ52=4)*HL52+(HN52=4)*HP52+(HR52=4)*HT52+(HV52=4)*HX52)</f>
        <v/>
      </c>
      <c r="GC52">
        <f>MAX(0,ROUND(N(FZ52)+N(GA52)-N(GB52),2))</f>
        <v/>
      </c>
      <c r="GD52">
        <f>N(GG51)</f>
        <v/>
      </c>
      <c r="GE52">
        <f>IF(N(GD52)&lt;=0.005,0,ROUND(N(GD52)*N('Debt List'!E9)/12,2))</f>
        <v/>
      </c>
      <c r="GF52">
        <f>IF(N(GD52)&lt;=0.005,0,MIN(N('Debt List'!F9),N(GD52)+N(GE52)))+((GT52=5)*GV52+(GX52=5)*GZ52+(HB52=5)*HD52+(HF52=5)*HH52+(HJ52=5)*HL52+(HN52=5)*HP52+(HR52=5)*HT52+(HV52=5)*HX52)</f>
        <v/>
      </c>
      <c r="GG52">
        <f>MAX(0,ROUND(N(GD52)+N(GE52)-N(GF52),2))</f>
        <v/>
      </c>
      <c r="GH52">
        <f>N(GK51)</f>
        <v/>
      </c>
      <c r="GI52">
        <f>IF(N(GH52)&lt;=0.005,0,ROUND(N(GH52)*N('Debt List'!E10)/12,2))</f>
        <v/>
      </c>
      <c r="GJ52">
        <f>IF(N(GH52)&lt;=0.005,0,MIN(N('Debt List'!F10),N(GH52)+N(GI52)))+((GT52=6)*GV52+(GX52=6)*GZ52+(HB52=6)*HD52+(HF52=6)*HH52+(HJ52=6)*HL52+(HN52=6)*HP52+(HR52=6)*HT52+(HV52=6)*HX52)</f>
        <v/>
      </c>
      <c r="GK52">
        <f>MAX(0,ROUND(N(GH52)+N(GI52)-N(GJ52),2))</f>
        <v/>
      </c>
      <c r="GL52">
        <f>N(GO51)</f>
        <v/>
      </c>
      <c r="GM52">
        <f>IF(N(GL52)&lt;=0.005,0,ROUND(N(GL52)*N('Debt List'!E11)/12,2))</f>
        <v/>
      </c>
      <c r="GN52">
        <f>IF(N(GL52)&lt;=0.005,0,MIN(N('Debt List'!F11),N(GL52)+N(GM52)))+((GT52=7)*GV52+(GX52=7)*GZ52+(HB52=7)*HD52+(HF52=7)*HH52+(HJ52=7)*HL52+(HN52=7)*HP52+(HR52=7)*HT52+(HV52=7)*HX52)</f>
        <v/>
      </c>
      <c r="GO52">
        <f>MAX(0,ROUND(N(GL52)+N(GM52)-N(GN52),2))</f>
        <v/>
      </c>
      <c r="GP52">
        <f>N(GS51)</f>
        <v/>
      </c>
      <c r="GQ52">
        <f>IF(N(GP52)&lt;=0.005,0,ROUND(N(GP52)*N('Debt List'!E12)/12,2))</f>
        <v/>
      </c>
      <c r="GR52">
        <f>IF(N(GP52)&lt;=0.005,0,MIN(N('Debt List'!F12),N(GP52)+N(GQ52)))+((GT52=8)*GV52+(GX52=8)*GZ52+(HB52=8)*HD52+(HF52=8)*HH52+(HJ52=8)*HL52+(HN52=8)*HP52+(HR52=8)*HT52+(HV52=8)*HX52)</f>
        <v/>
      </c>
      <c r="GS52">
        <f>MAX(0,ROUND(N(GP52)+N(GQ52)-N(GR52),2))</f>
        <v/>
      </c>
      <c r="GT52">
        <f>IFERROR(MATCH(1,OrderAval,0),"")</f>
        <v/>
      </c>
      <c r="GU52">
        <f>IF(GT52="",0,IFERROR(IF(N(CHOOSE(GT52,FN52,FR52,FV52,FZ52,GD52,GH52,GL52,GP52))&lt;=0.005,0,MAX(0,N(CHOOSE(GT52,FN52,FR52,FV52,FZ52,GD52,GH52,GL52,GP52))+N(CHOOSE(GT52,FO52,FS52,FW52,GA52,GE52,GI52,GM52,GQ52))-MIN(N(CHOOSE(GT52,'Debt List'!$F$5,'Debt List'!$F$6,'Debt List'!$F$7,'Debt List'!$F$8,'Debt List'!$F$9,'Debt List'!$F$10,'Debt List'!$F$11,'Debt List'!$F$12)),N(CHOOSE(GT52,FN52,FR52,FV52,FZ52,GD52,GH52,GL52,GP52))+N(CHOOSE(GT52,FO52,FS52,FW52,GA52,GE52,GI52,GM52,GQ52))))),0))</f>
        <v/>
      </c>
      <c r="GV52">
        <f>MIN(N(GU52),MAX(0,N(ExtraPayment)))</f>
        <v/>
      </c>
      <c r="GW52">
        <f>MAX(0,N(ExtraPayment)-N(GV52))</f>
        <v/>
      </c>
      <c r="GX52">
        <f>IFERROR(MATCH(2,OrderAval,0),"")</f>
        <v/>
      </c>
      <c r="GY52">
        <f>IF(GX52="",0,IFERROR(IF(N(CHOOSE(GX52,FN52,FR52,FV52,FZ52,GD52,GH52,GL52,GP52))&lt;=0.005,0,MAX(0,N(CHOOSE(GX52,FN52,FR52,FV52,FZ52,GD52,GH52,GL52,GP52))+N(CHOOSE(GX52,FO52,FS52,FW52,GA52,GE52,GI52,GM52,GQ52))-MIN(N(CHOOSE(GX52,'Debt List'!$F$5,'Debt List'!$F$6,'Debt List'!$F$7,'Debt List'!$F$8,'Debt List'!$F$9,'Debt List'!$F$10,'Debt List'!$F$11,'Debt List'!$F$12)),N(CHOOSE(GX52,FN52,FR52,FV52,FZ52,GD52,GH52,GL52,GP52))+N(CHOOSE(GX52,FO52,FS52,FW52,GA52,GE52,GI52,GM52,GQ52))))),0))</f>
        <v/>
      </c>
      <c r="GZ52">
        <f>MIN(N(GY52),MAX(0,N(GW52)))</f>
        <v/>
      </c>
      <c r="HA52">
        <f>MAX(0,N(GW52)-N(GZ52))</f>
        <v/>
      </c>
      <c r="HB52">
        <f>IFERROR(MATCH(3,OrderAval,0),"")</f>
        <v/>
      </c>
      <c r="HC52">
        <f>IF(HB52="",0,IFERROR(IF(N(CHOOSE(HB52,FN52,FR52,FV52,FZ52,GD52,GH52,GL52,GP52))&lt;=0.005,0,MAX(0,N(CHOOSE(HB52,FN52,FR52,FV52,FZ52,GD52,GH52,GL52,GP52))+N(CHOOSE(HB52,FO52,FS52,FW52,GA52,GE52,GI52,GM52,GQ52))-MIN(N(CHOOSE(HB52,'Debt List'!$F$5,'Debt List'!$F$6,'Debt List'!$F$7,'Debt List'!$F$8,'Debt List'!$F$9,'Debt List'!$F$10,'Debt List'!$F$11,'Debt List'!$F$12)),N(CHOOSE(HB52,FN52,FR52,FV52,FZ52,GD52,GH52,GL52,GP52))+N(CHOOSE(HB52,FO52,FS52,FW52,GA52,GE52,GI52,GM52,GQ52))))),0))</f>
        <v/>
      </c>
      <c r="HD52">
        <f>MIN(N(HC52),MAX(0,N(HA52)))</f>
        <v/>
      </c>
      <c r="HE52">
        <f>MAX(0,N(HA52)-N(HD52))</f>
        <v/>
      </c>
      <c r="HF52">
        <f>IFERROR(MATCH(4,OrderAval,0),"")</f>
        <v/>
      </c>
      <c r="HG52">
        <f>IF(HF52="",0,IFERROR(IF(N(CHOOSE(HF52,FN52,FR52,FV52,FZ52,GD52,GH52,GL52,GP52))&lt;=0.005,0,MAX(0,N(CHOOSE(HF52,FN52,FR52,FV52,FZ52,GD52,GH52,GL52,GP52))+N(CHOOSE(HF52,FO52,FS52,FW52,GA52,GE52,GI52,GM52,GQ52))-MIN(N(CHOOSE(HF52,'Debt List'!$F$5,'Debt List'!$F$6,'Debt List'!$F$7,'Debt List'!$F$8,'Debt List'!$F$9,'Debt List'!$F$10,'Debt List'!$F$11,'Debt List'!$F$12)),N(CHOOSE(HF52,FN52,FR52,FV52,FZ52,GD52,GH52,GL52,GP52))+N(CHOOSE(HF52,FO52,FS52,FW52,GA52,GE52,GI52,GM52,GQ52))))),0))</f>
        <v/>
      </c>
      <c r="HH52">
        <f>MIN(N(HG52),MAX(0,N(HE52)))</f>
        <v/>
      </c>
      <c r="HI52">
        <f>MAX(0,N(HE52)-N(HH52))</f>
        <v/>
      </c>
      <c r="HJ52">
        <f>IFERROR(MATCH(5,OrderAval,0),"")</f>
        <v/>
      </c>
      <c r="HK52">
        <f>IF(HJ52="",0,IFERROR(IF(N(CHOOSE(HJ52,FN52,FR52,FV52,FZ52,GD52,GH52,GL52,GP52))&lt;=0.005,0,MAX(0,N(CHOOSE(HJ52,FN52,FR52,FV52,FZ52,GD52,GH52,GL52,GP52))+N(CHOOSE(HJ52,FO52,FS52,FW52,GA52,GE52,GI52,GM52,GQ52))-MIN(N(CHOOSE(HJ52,'Debt List'!$F$5,'Debt List'!$F$6,'Debt List'!$F$7,'Debt List'!$F$8,'Debt List'!$F$9,'Debt List'!$F$10,'Debt List'!$F$11,'Debt List'!$F$12)),N(CHOOSE(HJ52,FN52,FR52,FV52,FZ52,GD52,GH52,GL52,GP52))+N(CHOOSE(HJ52,FO52,FS52,FW52,GA52,GE52,GI52,GM52,GQ52))))),0))</f>
        <v/>
      </c>
      <c r="HL52">
        <f>MIN(N(HK52),MAX(0,N(HI52)))</f>
        <v/>
      </c>
      <c r="HM52">
        <f>MAX(0,N(HI52)-N(HL52))</f>
        <v/>
      </c>
      <c r="HN52">
        <f>IFERROR(MATCH(6,OrderAval,0),"")</f>
        <v/>
      </c>
      <c r="HO52">
        <f>IF(HN52="",0,IFERROR(IF(N(CHOOSE(HN52,FN52,FR52,FV52,FZ52,GD52,GH52,GL52,GP52))&lt;=0.005,0,MAX(0,N(CHOOSE(HN52,FN52,FR52,FV52,FZ52,GD52,GH52,GL52,GP52))+N(CHOOSE(HN52,FO52,FS52,FW52,GA52,GE52,GI52,GM52,GQ52))-MIN(N(CHOOSE(HN52,'Debt List'!$F$5,'Debt List'!$F$6,'Debt List'!$F$7,'Debt List'!$F$8,'Debt List'!$F$9,'Debt List'!$F$10,'Debt List'!$F$11,'Debt List'!$F$12)),N(CHOOSE(HN52,FN52,FR52,FV52,FZ52,GD52,GH52,GL52,GP52))+N(CHOOSE(HN52,FO52,FS52,FW52,GA52,GE52,GI52,GM52,GQ52))))),0))</f>
        <v/>
      </c>
      <c r="HP52">
        <f>MIN(N(HO52),MAX(0,N(HM52)))</f>
        <v/>
      </c>
      <c r="HQ52">
        <f>MAX(0,N(HM52)-N(HP52))</f>
        <v/>
      </c>
      <c r="HR52">
        <f>IFERROR(MATCH(7,OrderAval,0),"")</f>
        <v/>
      </c>
      <c r="HS52">
        <f>IF(HR52="",0,IFERROR(IF(N(CHOOSE(HR52,FN52,FR52,FV52,FZ52,GD52,GH52,GL52,GP52))&lt;=0.005,0,MAX(0,N(CHOOSE(HR52,FN52,FR52,FV52,FZ52,GD52,GH52,GL52,GP52))+N(CHOOSE(HR52,FO52,FS52,FW52,GA52,GE52,GI52,GM52,GQ52))-MIN(N(CHOOSE(HR52,'Debt List'!$F$5,'Debt List'!$F$6,'Debt List'!$F$7,'Debt List'!$F$8,'Debt List'!$F$9,'Debt List'!$F$10,'Debt List'!$F$11,'Debt List'!$F$12)),N(CHOOSE(HR52,FN52,FR52,FV52,FZ52,GD52,GH52,GL52,GP52))+N(CHOOSE(HR52,FO52,FS52,FW52,GA52,GE52,GI52,GM52,GQ52))))),0))</f>
        <v/>
      </c>
      <c r="HT52">
        <f>MIN(N(HS52),MAX(0,N(HQ52)))</f>
        <v/>
      </c>
      <c r="HU52">
        <f>MAX(0,N(HQ52)-N(HT52))</f>
        <v/>
      </c>
      <c r="HV52">
        <f>IFERROR(MATCH(8,OrderAval,0),"")</f>
        <v/>
      </c>
      <c r="HW52">
        <f>IF(HV52="",0,IFERROR(IF(N(CHOOSE(HV52,FN52,FR52,FV52,FZ52,GD52,GH52,GL52,GP52))&lt;=0.005,0,MAX(0,N(CHOOSE(HV52,FN52,FR52,FV52,FZ52,GD52,GH52,GL52,GP52))+N(CHOOSE(HV52,FO52,FS52,FW52,GA52,GE52,GI52,GM52,GQ52))-MIN(N(CHOOSE(HV52,'Debt List'!$F$5,'Debt List'!$F$6,'Debt List'!$F$7,'Debt List'!$F$8,'Debt List'!$F$9,'Debt List'!$F$10,'Debt List'!$F$11,'Debt List'!$F$12)),N(CHOOSE(HV52,FN52,FR52,FV52,FZ52,GD52,GH52,GL52,GP52))+N(CHOOSE(HV52,FO52,FS52,FW52,GA52,GE52,GI52,GM52,GQ52))))),0))</f>
        <v/>
      </c>
      <c r="HX52">
        <f>MIN(N(HW52),MAX(0,N(HU52)))</f>
        <v/>
      </c>
      <c r="HY52">
        <f>MAX(0,N(HU52)-N(HX52))</f>
        <v/>
      </c>
    </row>
    <row r="53">
      <c r="A53" t="n">
        <v>49</v>
      </c>
      <c r="B53" s="115">
        <f>DATE(YEAR(PlanStart),MONTH(PlanStart)+A53-1,1)</f>
        <v/>
      </c>
      <c r="C53">
        <f>IF(AND(AP53&lt;&gt;"",N(CHOOSE(AP53,J53,N53,R53,V53,Z53,AD53,AH53,AL53))&gt;0.005),INDEX(DebtNames,AP53),IF(AND(AT53&lt;&gt;"",N(CHOOSE(AT53,J53,N53,R53,V53,Z53,AD53,AH53,AL53))&gt;0.005),INDEX(DebtNames,AT53),IF(AND(AX53&lt;&gt;"",N(CHOOSE(AX53,J53,N53,R53,V53,Z53,AD53,AH53,AL53))&gt;0.005),INDEX(DebtNames,AX53),IF(AND(BB53&lt;&gt;"",N(CHOOSE(BB53,J53,N53,R53,V53,Z53,AD53,AH53,AL53))&gt;0.005),INDEX(DebtNames,BB53),IF(AND(BF53&lt;&gt;"",N(CHOOSE(BF53,J53,N53,R53,V53,Z53,AD53,AH53,AL53))&gt;0.005),INDEX(DebtNames,BF53),IF(AND(BJ53&lt;&gt;"",N(CHOOSE(BJ53,J53,N53,R53,V53,Z53,AD53,AH53,AL53))&gt;0.005),INDEX(DebtNames,BJ53),IF(AND(BN53&lt;&gt;"",N(CHOOSE(BN53,J53,N53,R53,V53,Z53,AD53,AH53,AL53))&gt;0.005),INDEX(DebtNames,BN53),IF(AND(BR53&lt;&gt;"",N(CHOOSE(BR53,J53,N53,R53,V53,Z53,AD53,AH53,AL53))&gt;0.005),INDEX(DebtNames,BR53),""))))))))</f>
        <v/>
      </c>
      <c r="D53">
        <f>N(BU53)</f>
        <v/>
      </c>
      <c r="E53">
        <f>N(L53)+N(P53)+N(T53)+N(X53)+N(AB53)+N(AF53)+N(AJ53)+N(AN53)</f>
        <v/>
      </c>
      <c r="F53">
        <f>N(K53)+N(O53)+N(S53)+N(W53)+N(AA53)+N(AE53)+N(AI53)+N(AM53)</f>
        <v/>
      </c>
      <c r="G53">
        <f>N(G52)+N(F53)</f>
        <v/>
      </c>
      <c r="H53">
        <f>N(M53)+N(Q53)+N(U53)+N(Y53)+N(AC53)+N(AG53)+N(AK53)+N(AO53)</f>
        <v/>
      </c>
      <c r="I53">
        <f>(M53&gt;0.005)*1+(Q53&gt;0.005)*1+(U53&gt;0.005)*1+(Y53&gt;0.005)*1+(AC53&gt;0.005)*1+(AG53&gt;0.005)*1+(AK53&gt;0.005)*1+(AO53&gt;0.005)*1</f>
        <v/>
      </c>
      <c r="J53">
        <f>N(M52)</f>
        <v/>
      </c>
      <c r="K53">
        <f>IF(N(J53)&lt;=0.005,0,ROUND(N(J53)*N('Debt List'!E5)/12,2))</f>
        <v/>
      </c>
      <c r="L53">
        <f>IF(N(J53)&lt;=0.005,0,MIN(N('Debt List'!F5),N(J53)+N(K53)))+((AP53=1)*AR53+(AT53=1)*AV53+(AX53=1)*AZ53+(BB53=1)*BD53+(BF53=1)*BH53+(BJ53=1)*BL53+(BN53=1)*BP53+(BR53=1)*BT53)</f>
        <v/>
      </c>
      <c r="M53">
        <f>MAX(0,ROUND(N(J53)+N(K53)-N(L53),2))</f>
        <v/>
      </c>
      <c r="N53">
        <f>N(Q52)</f>
        <v/>
      </c>
      <c r="O53">
        <f>IF(N(N53)&lt;=0.005,0,ROUND(N(N53)*N('Debt List'!E6)/12,2))</f>
        <v/>
      </c>
      <c r="P53">
        <f>IF(N(N53)&lt;=0.005,0,MIN(N('Debt List'!F6),N(N53)+N(O53)))+((AP53=2)*AR53+(AT53=2)*AV53+(AX53=2)*AZ53+(BB53=2)*BD53+(BF53=2)*BH53+(BJ53=2)*BL53+(BN53=2)*BP53+(BR53=2)*BT53)</f>
        <v/>
      </c>
      <c r="Q53">
        <f>MAX(0,ROUND(N(N53)+N(O53)-N(P53),2))</f>
        <v/>
      </c>
      <c r="R53">
        <f>N(U52)</f>
        <v/>
      </c>
      <c r="S53">
        <f>IF(N(R53)&lt;=0.005,0,ROUND(N(R53)*N('Debt List'!E7)/12,2))</f>
        <v/>
      </c>
      <c r="T53">
        <f>IF(N(R53)&lt;=0.005,0,MIN(N('Debt List'!F7),N(R53)+N(S53)))+((AP53=3)*AR53+(AT53=3)*AV53+(AX53=3)*AZ53+(BB53=3)*BD53+(BF53=3)*BH53+(BJ53=3)*BL53+(BN53=3)*BP53+(BR53=3)*BT53)</f>
        <v/>
      </c>
      <c r="U53">
        <f>MAX(0,ROUND(N(R53)+N(S53)-N(T53),2))</f>
        <v/>
      </c>
      <c r="V53">
        <f>N(Y52)</f>
        <v/>
      </c>
      <c r="W53">
        <f>IF(N(V53)&lt;=0.005,0,ROUND(N(V53)*N('Debt List'!E8)/12,2))</f>
        <v/>
      </c>
      <c r="X53">
        <f>IF(N(V53)&lt;=0.005,0,MIN(N('Debt List'!F8),N(V53)+N(W53)))+((AP53=4)*AR53+(AT53=4)*AV53+(AX53=4)*AZ53+(BB53=4)*BD53+(BF53=4)*BH53+(BJ53=4)*BL53+(BN53=4)*BP53+(BR53=4)*BT53)</f>
        <v/>
      </c>
      <c r="Y53">
        <f>MAX(0,ROUND(N(V53)+N(W53)-N(X53),2))</f>
        <v/>
      </c>
      <c r="Z53">
        <f>N(AC52)</f>
        <v/>
      </c>
      <c r="AA53">
        <f>IF(N(Z53)&lt;=0.005,0,ROUND(N(Z53)*N('Debt List'!E9)/12,2))</f>
        <v/>
      </c>
      <c r="AB53">
        <f>IF(N(Z53)&lt;=0.005,0,MIN(N('Debt List'!F9),N(Z53)+N(AA53)))+((AP53=5)*AR53+(AT53=5)*AV53+(AX53=5)*AZ53+(BB53=5)*BD53+(BF53=5)*BH53+(BJ53=5)*BL53+(BN53=5)*BP53+(BR53=5)*BT53)</f>
        <v/>
      </c>
      <c r="AC53">
        <f>MAX(0,ROUND(N(Z53)+N(AA53)-N(AB53),2))</f>
        <v/>
      </c>
      <c r="AD53">
        <f>N(AG52)</f>
        <v/>
      </c>
      <c r="AE53">
        <f>IF(N(AD53)&lt;=0.005,0,ROUND(N(AD53)*N('Debt List'!E10)/12,2))</f>
        <v/>
      </c>
      <c r="AF53">
        <f>IF(N(AD53)&lt;=0.005,0,MIN(N('Debt List'!F10),N(AD53)+N(AE53)))+((AP53=6)*AR53+(AT53=6)*AV53+(AX53=6)*AZ53+(BB53=6)*BD53+(BF53=6)*BH53+(BJ53=6)*BL53+(BN53=6)*BP53+(BR53=6)*BT53)</f>
        <v/>
      </c>
      <c r="AG53">
        <f>MAX(0,ROUND(N(AD53)+N(AE53)-N(AF53),2))</f>
        <v/>
      </c>
      <c r="AH53">
        <f>N(AK52)</f>
        <v/>
      </c>
      <c r="AI53">
        <f>IF(N(AH53)&lt;=0.005,0,ROUND(N(AH53)*N('Debt List'!E11)/12,2))</f>
        <v/>
      </c>
      <c r="AJ53">
        <f>IF(N(AH53)&lt;=0.005,0,MIN(N('Debt List'!F11),N(AH53)+N(AI53)))+((AP53=7)*AR53+(AT53=7)*AV53+(AX53=7)*AZ53+(BB53=7)*BD53+(BF53=7)*BH53+(BJ53=7)*BL53+(BN53=7)*BP53+(BR53=7)*BT53)</f>
        <v/>
      </c>
      <c r="AK53">
        <f>MAX(0,ROUND(N(AH53)+N(AI53)-N(AJ53),2))</f>
        <v/>
      </c>
      <c r="AL53">
        <f>N(AO52)</f>
        <v/>
      </c>
      <c r="AM53">
        <f>IF(N(AL53)&lt;=0.005,0,ROUND(N(AL53)*N('Debt List'!E12)/12,2))</f>
        <v/>
      </c>
      <c r="AN53">
        <f>IF(N(AL53)&lt;=0.005,0,MIN(N('Debt List'!F12),N(AL53)+N(AM53)))+((AP53=8)*AR53+(AT53=8)*AV53+(AX53=8)*AZ53+(BB53=8)*BD53+(BF53=8)*BH53+(BJ53=8)*BL53+(BN53=8)*BP53+(BR53=8)*BT53)</f>
        <v/>
      </c>
      <c r="AO53">
        <f>MAX(0,ROUND(N(AL53)+N(AM53)-N(AN53),2))</f>
        <v/>
      </c>
      <c r="AP53">
        <f>IFERROR(MATCH(1,OrderPlan,0),"")</f>
        <v/>
      </c>
      <c r="AQ53">
        <f>IF(AP53="",0,IFERROR(IF(N(CHOOSE(AP53,J53,N53,R53,V53,Z53,AD53,AH53,AL53))&lt;=0.005,0,MAX(0,N(CHOOSE(AP53,J53,N53,R53,V53,Z53,AD53,AH53,AL53))+N(CHOOSE(AP53,K53,O53,S53,W53,AA53,AE53,AI53,AM53))-MIN(N(CHOOSE(AP53,'Debt List'!$F$5,'Debt List'!$F$6,'Debt List'!$F$7,'Debt List'!$F$8,'Debt List'!$F$9,'Debt List'!$F$10,'Debt List'!$F$11,'Debt List'!$F$12)),N(CHOOSE(AP53,J53,N53,R53,V53,Z53,AD53,AH53,AL53))+N(CHOOSE(AP53,K53,O53,S53,W53,AA53,AE53,AI53,AM53))))),0))</f>
        <v/>
      </c>
      <c r="AR53">
        <f>MIN(N(AQ53),MAX(0,N(ExtraPayment)))</f>
        <v/>
      </c>
      <c r="AS53">
        <f>MAX(0,N(ExtraPayment)-N(AR53))</f>
        <v/>
      </c>
      <c r="AT53">
        <f>IFERROR(MATCH(2,OrderPlan,0),"")</f>
        <v/>
      </c>
      <c r="AU53">
        <f>IF(AT53="",0,IFERROR(IF(N(CHOOSE(AT53,J53,N53,R53,V53,Z53,AD53,AH53,AL53))&lt;=0.005,0,MAX(0,N(CHOOSE(AT53,J53,N53,R53,V53,Z53,AD53,AH53,AL53))+N(CHOOSE(AT53,K53,O53,S53,W53,AA53,AE53,AI53,AM53))-MIN(N(CHOOSE(AT53,'Debt List'!$F$5,'Debt List'!$F$6,'Debt List'!$F$7,'Debt List'!$F$8,'Debt List'!$F$9,'Debt List'!$F$10,'Debt List'!$F$11,'Debt List'!$F$12)),N(CHOOSE(AT53,J53,N53,R53,V53,Z53,AD53,AH53,AL53))+N(CHOOSE(AT53,K53,O53,S53,W53,AA53,AE53,AI53,AM53))))),0))</f>
        <v/>
      </c>
      <c r="AV53">
        <f>MIN(N(AU53),MAX(0,N(AS53)))</f>
        <v/>
      </c>
      <c r="AW53">
        <f>MAX(0,N(AS53)-N(AV53))</f>
        <v/>
      </c>
      <c r="AX53">
        <f>IFERROR(MATCH(3,OrderPlan,0),"")</f>
        <v/>
      </c>
      <c r="AY53">
        <f>IF(AX53="",0,IFERROR(IF(N(CHOOSE(AX53,J53,N53,R53,V53,Z53,AD53,AH53,AL53))&lt;=0.005,0,MAX(0,N(CHOOSE(AX53,J53,N53,R53,V53,Z53,AD53,AH53,AL53))+N(CHOOSE(AX53,K53,O53,S53,W53,AA53,AE53,AI53,AM53))-MIN(N(CHOOSE(AX53,'Debt List'!$F$5,'Debt List'!$F$6,'Debt List'!$F$7,'Debt List'!$F$8,'Debt List'!$F$9,'Debt List'!$F$10,'Debt List'!$F$11,'Debt List'!$F$12)),N(CHOOSE(AX53,J53,N53,R53,V53,Z53,AD53,AH53,AL53))+N(CHOOSE(AX53,K53,O53,S53,W53,AA53,AE53,AI53,AM53))))),0))</f>
        <v/>
      </c>
      <c r="AZ53">
        <f>MIN(N(AY53),MAX(0,N(AW53)))</f>
        <v/>
      </c>
      <c r="BA53">
        <f>MAX(0,N(AW53)-N(AZ53))</f>
        <v/>
      </c>
      <c r="BB53">
        <f>IFERROR(MATCH(4,OrderPlan,0),"")</f>
        <v/>
      </c>
      <c r="BC53">
        <f>IF(BB53="",0,IFERROR(IF(N(CHOOSE(BB53,J53,N53,R53,V53,Z53,AD53,AH53,AL53))&lt;=0.005,0,MAX(0,N(CHOOSE(BB53,J53,N53,R53,V53,Z53,AD53,AH53,AL53))+N(CHOOSE(BB53,K53,O53,S53,W53,AA53,AE53,AI53,AM53))-MIN(N(CHOOSE(BB53,'Debt List'!$F$5,'Debt List'!$F$6,'Debt List'!$F$7,'Debt List'!$F$8,'Debt List'!$F$9,'Debt List'!$F$10,'Debt List'!$F$11,'Debt List'!$F$12)),N(CHOOSE(BB53,J53,N53,R53,V53,Z53,AD53,AH53,AL53))+N(CHOOSE(BB53,K53,O53,S53,W53,AA53,AE53,AI53,AM53))))),0))</f>
        <v/>
      </c>
      <c r="BD53">
        <f>MIN(N(BC53),MAX(0,N(BA53)))</f>
        <v/>
      </c>
      <c r="BE53">
        <f>MAX(0,N(BA53)-N(BD53))</f>
        <v/>
      </c>
      <c r="BF53">
        <f>IFERROR(MATCH(5,OrderPlan,0),"")</f>
        <v/>
      </c>
      <c r="BG53">
        <f>IF(BF53="",0,IFERROR(IF(N(CHOOSE(BF53,J53,N53,R53,V53,Z53,AD53,AH53,AL53))&lt;=0.005,0,MAX(0,N(CHOOSE(BF53,J53,N53,R53,V53,Z53,AD53,AH53,AL53))+N(CHOOSE(BF53,K53,O53,S53,W53,AA53,AE53,AI53,AM53))-MIN(N(CHOOSE(BF53,'Debt List'!$F$5,'Debt List'!$F$6,'Debt List'!$F$7,'Debt List'!$F$8,'Debt List'!$F$9,'Debt List'!$F$10,'Debt List'!$F$11,'Debt List'!$F$12)),N(CHOOSE(BF53,J53,N53,R53,V53,Z53,AD53,AH53,AL53))+N(CHOOSE(BF53,K53,O53,S53,W53,AA53,AE53,AI53,AM53))))),0))</f>
        <v/>
      </c>
      <c r="BH53">
        <f>MIN(N(BG53),MAX(0,N(BE53)))</f>
        <v/>
      </c>
      <c r="BI53">
        <f>MAX(0,N(BE53)-N(BH53))</f>
        <v/>
      </c>
      <c r="BJ53">
        <f>IFERROR(MATCH(6,OrderPlan,0),"")</f>
        <v/>
      </c>
      <c r="BK53">
        <f>IF(BJ53="",0,IFERROR(IF(N(CHOOSE(BJ53,J53,N53,R53,V53,Z53,AD53,AH53,AL53))&lt;=0.005,0,MAX(0,N(CHOOSE(BJ53,J53,N53,R53,V53,Z53,AD53,AH53,AL53))+N(CHOOSE(BJ53,K53,O53,S53,W53,AA53,AE53,AI53,AM53))-MIN(N(CHOOSE(BJ53,'Debt List'!$F$5,'Debt List'!$F$6,'Debt List'!$F$7,'Debt List'!$F$8,'Debt List'!$F$9,'Debt List'!$F$10,'Debt List'!$F$11,'Debt List'!$F$12)),N(CHOOSE(BJ53,J53,N53,R53,V53,Z53,AD53,AH53,AL53))+N(CHOOSE(BJ53,K53,O53,S53,W53,AA53,AE53,AI53,AM53))))),0))</f>
        <v/>
      </c>
      <c r="BL53">
        <f>MIN(N(BK53),MAX(0,N(BI53)))</f>
        <v/>
      </c>
      <c r="BM53">
        <f>MAX(0,N(BI53)-N(BL53))</f>
        <v/>
      </c>
      <c r="BN53">
        <f>IFERROR(MATCH(7,OrderPlan,0),"")</f>
        <v/>
      </c>
      <c r="BO53">
        <f>IF(BN53="",0,IFERROR(IF(N(CHOOSE(BN53,J53,N53,R53,V53,Z53,AD53,AH53,AL53))&lt;=0.005,0,MAX(0,N(CHOOSE(BN53,J53,N53,R53,V53,Z53,AD53,AH53,AL53))+N(CHOOSE(BN53,K53,O53,S53,W53,AA53,AE53,AI53,AM53))-MIN(N(CHOOSE(BN53,'Debt List'!$F$5,'Debt List'!$F$6,'Debt List'!$F$7,'Debt List'!$F$8,'Debt List'!$F$9,'Debt List'!$F$10,'Debt List'!$F$11,'Debt List'!$F$12)),N(CHOOSE(BN53,J53,N53,R53,V53,Z53,AD53,AH53,AL53))+N(CHOOSE(BN53,K53,O53,S53,W53,AA53,AE53,AI53,AM53))))),0))</f>
        <v/>
      </c>
      <c r="BP53">
        <f>MIN(N(BO53),MAX(0,N(BM53)))</f>
        <v/>
      </c>
      <c r="BQ53">
        <f>MAX(0,N(BM53)-N(BP53))</f>
        <v/>
      </c>
      <c r="BR53">
        <f>IFERROR(MATCH(8,OrderPlan,0),"")</f>
        <v/>
      </c>
      <c r="BS53">
        <f>IF(BR53="",0,IFERROR(IF(N(CHOOSE(BR53,J53,N53,R53,V53,Z53,AD53,AH53,AL53))&lt;=0.005,0,MAX(0,N(CHOOSE(BR53,J53,N53,R53,V53,Z53,AD53,AH53,AL53))+N(CHOOSE(BR53,K53,O53,S53,W53,AA53,AE53,AI53,AM53))-MIN(N(CHOOSE(BR53,'Debt List'!$F$5,'Debt List'!$F$6,'Debt List'!$F$7,'Debt List'!$F$8,'Debt List'!$F$9,'Debt List'!$F$10,'Debt List'!$F$11,'Debt List'!$F$12)),N(CHOOSE(BR53,J53,N53,R53,V53,Z53,AD53,AH53,AL53))+N(CHOOSE(BR53,K53,O53,S53,W53,AA53,AE53,AI53,AM53))))),0))</f>
        <v/>
      </c>
      <c r="BT53">
        <f>MIN(N(BS53),MAX(0,N(BQ53)))</f>
        <v/>
      </c>
      <c r="BU53">
        <f>MAX(0,N(BQ53)-N(BT53))</f>
        <v/>
      </c>
      <c r="CC53" t="n">
        <v>49</v>
      </c>
      <c r="CD53" s="115">
        <f>DATE(YEAR(PlanStart),MONTH(PlanStart)+CC53-1,1)</f>
        <v/>
      </c>
      <c r="CE53">
        <f>IF(AND(DR53&lt;&gt;"",N(CHOOSE(DR53,CL53,CP53,CT53,CX53,DB53,DF53,DJ53,DN53))&gt;0.005),INDEX(DebtNames,DR53),IF(AND(DV53&lt;&gt;"",N(CHOOSE(DV53,CL53,CP53,CT53,CX53,DB53,DF53,DJ53,DN53))&gt;0.005),INDEX(DebtNames,DV53),IF(AND(DZ53&lt;&gt;"",N(CHOOSE(DZ53,CL53,CP53,CT53,CX53,DB53,DF53,DJ53,DN53))&gt;0.005),INDEX(DebtNames,DZ53),IF(AND(ED53&lt;&gt;"",N(CHOOSE(ED53,CL53,CP53,CT53,CX53,DB53,DF53,DJ53,DN53))&gt;0.005),INDEX(DebtNames,ED53),IF(AND(EH53&lt;&gt;"",N(CHOOSE(EH53,CL53,CP53,CT53,CX53,DB53,DF53,DJ53,DN53))&gt;0.005),INDEX(DebtNames,EH53),IF(AND(EL53&lt;&gt;"",N(CHOOSE(EL53,CL53,CP53,CT53,CX53,DB53,DF53,DJ53,DN53))&gt;0.005),INDEX(DebtNames,EL53),IF(AND(EP53&lt;&gt;"",N(CHOOSE(EP53,CL53,CP53,CT53,CX53,DB53,DF53,DJ53,DN53))&gt;0.005),INDEX(DebtNames,EP53),IF(AND(ET53&lt;&gt;"",N(CHOOSE(ET53,CL53,CP53,CT53,CX53,DB53,DF53,DJ53,DN53))&gt;0.005),INDEX(DebtNames,ET53),""))))))))</f>
        <v/>
      </c>
      <c r="CF53">
        <f>N(EW53)</f>
        <v/>
      </c>
      <c r="CG53">
        <f>N(CN53)+N(CR53)+N(CV53)+N(CZ53)+N(DD53)+N(DH53)+N(DL53)+N(DP53)</f>
        <v/>
      </c>
      <c r="CH53">
        <f>N(CM53)+N(CQ53)+N(CU53)+N(CY53)+N(DC53)+N(DG53)+N(DK53)+N(DO53)</f>
        <v/>
      </c>
      <c r="CI53">
        <f>N(CI52)+N(CH53)</f>
        <v/>
      </c>
      <c r="CJ53">
        <f>N(CO53)+N(CS53)+N(CW53)+N(DA53)+N(DE53)+N(DI53)+N(DM53)+N(DQ53)</f>
        <v/>
      </c>
      <c r="CK53">
        <f>(CO53&gt;0.005)*1+(CS53&gt;0.005)*1+(CW53&gt;0.005)*1+(DA53&gt;0.005)*1+(DE53&gt;0.005)*1+(DI53&gt;0.005)*1+(DM53&gt;0.005)*1+(DQ53&gt;0.005)*1</f>
        <v/>
      </c>
      <c r="CL53">
        <f>N(CO52)</f>
        <v/>
      </c>
      <c r="CM53">
        <f>IF(N(CL53)&lt;=0.005,0,ROUND(N(CL53)*N('Debt List'!E5)/12,2))</f>
        <v/>
      </c>
      <c r="CN53">
        <f>IF(N(CL53)&lt;=0.005,0,MIN(N('Debt List'!F5),N(CL53)+N(CM53)))+((DR53=1)*DT53+(DV53=1)*DX53+(DZ53=1)*EB53+(ED53=1)*EF53+(EH53=1)*EJ53+(EL53=1)*EN53+(EP53=1)*ER53+(ET53=1)*EV53)</f>
        <v/>
      </c>
      <c r="CO53">
        <f>MAX(0,ROUND(N(CL53)+N(CM53)-N(CN53),2))</f>
        <v/>
      </c>
      <c r="CP53">
        <f>N(CS52)</f>
        <v/>
      </c>
      <c r="CQ53">
        <f>IF(N(CP53)&lt;=0.005,0,ROUND(N(CP53)*N('Debt List'!E6)/12,2))</f>
        <v/>
      </c>
      <c r="CR53">
        <f>IF(N(CP53)&lt;=0.005,0,MIN(N('Debt List'!F6),N(CP53)+N(CQ53)))+((DR53=2)*DT53+(DV53=2)*DX53+(DZ53=2)*EB53+(ED53=2)*EF53+(EH53=2)*EJ53+(EL53=2)*EN53+(EP53=2)*ER53+(ET53=2)*EV53)</f>
        <v/>
      </c>
      <c r="CS53">
        <f>MAX(0,ROUND(N(CP53)+N(CQ53)-N(CR53),2))</f>
        <v/>
      </c>
      <c r="CT53">
        <f>N(CW52)</f>
        <v/>
      </c>
      <c r="CU53">
        <f>IF(N(CT53)&lt;=0.005,0,ROUND(N(CT53)*N('Debt List'!E7)/12,2))</f>
        <v/>
      </c>
      <c r="CV53">
        <f>IF(N(CT53)&lt;=0.005,0,MIN(N('Debt List'!F7),N(CT53)+N(CU53)))+((DR53=3)*DT53+(DV53=3)*DX53+(DZ53=3)*EB53+(ED53=3)*EF53+(EH53=3)*EJ53+(EL53=3)*EN53+(EP53=3)*ER53+(ET53=3)*EV53)</f>
        <v/>
      </c>
      <c r="CW53">
        <f>MAX(0,ROUND(N(CT53)+N(CU53)-N(CV53),2))</f>
        <v/>
      </c>
      <c r="CX53">
        <f>N(DA52)</f>
        <v/>
      </c>
      <c r="CY53">
        <f>IF(N(CX53)&lt;=0.005,0,ROUND(N(CX53)*N('Debt List'!E8)/12,2))</f>
        <v/>
      </c>
      <c r="CZ53">
        <f>IF(N(CX53)&lt;=0.005,0,MIN(N('Debt List'!F8),N(CX53)+N(CY53)))+((DR53=4)*DT53+(DV53=4)*DX53+(DZ53=4)*EB53+(ED53=4)*EF53+(EH53=4)*EJ53+(EL53=4)*EN53+(EP53=4)*ER53+(ET53=4)*EV53)</f>
        <v/>
      </c>
      <c r="DA53">
        <f>MAX(0,ROUND(N(CX53)+N(CY53)-N(CZ53),2))</f>
        <v/>
      </c>
      <c r="DB53">
        <f>N(DE52)</f>
        <v/>
      </c>
      <c r="DC53">
        <f>IF(N(DB53)&lt;=0.005,0,ROUND(N(DB53)*N('Debt List'!E9)/12,2))</f>
        <v/>
      </c>
      <c r="DD53">
        <f>IF(N(DB53)&lt;=0.005,0,MIN(N('Debt List'!F9),N(DB53)+N(DC53)))+((DR53=5)*DT53+(DV53=5)*DX53+(DZ53=5)*EB53+(ED53=5)*EF53+(EH53=5)*EJ53+(EL53=5)*EN53+(EP53=5)*ER53+(ET53=5)*EV53)</f>
        <v/>
      </c>
      <c r="DE53">
        <f>MAX(0,ROUND(N(DB53)+N(DC53)-N(DD53),2))</f>
        <v/>
      </c>
      <c r="DF53">
        <f>N(DI52)</f>
        <v/>
      </c>
      <c r="DG53">
        <f>IF(N(DF53)&lt;=0.005,0,ROUND(N(DF53)*N('Debt List'!E10)/12,2))</f>
        <v/>
      </c>
      <c r="DH53">
        <f>IF(N(DF53)&lt;=0.005,0,MIN(N('Debt List'!F10),N(DF53)+N(DG53)))+((DR53=6)*DT53+(DV53=6)*DX53+(DZ53=6)*EB53+(ED53=6)*EF53+(EH53=6)*EJ53+(EL53=6)*EN53+(EP53=6)*ER53+(ET53=6)*EV53)</f>
        <v/>
      </c>
      <c r="DI53">
        <f>MAX(0,ROUND(N(DF53)+N(DG53)-N(DH53),2))</f>
        <v/>
      </c>
      <c r="DJ53">
        <f>N(DM52)</f>
        <v/>
      </c>
      <c r="DK53">
        <f>IF(N(DJ53)&lt;=0.005,0,ROUND(N(DJ53)*N('Debt List'!E11)/12,2))</f>
        <v/>
      </c>
      <c r="DL53">
        <f>IF(N(DJ53)&lt;=0.005,0,MIN(N('Debt List'!F11),N(DJ53)+N(DK53)))+((DR53=7)*DT53+(DV53=7)*DX53+(DZ53=7)*EB53+(ED53=7)*EF53+(EH53=7)*EJ53+(EL53=7)*EN53+(EP53=7)*ER53+(ET53=7)*EV53)</f>
        <v/>
      </c>
      <c r="DM53">
        <f>MAX(0,ROUND(N(DJ53)+N(DK53)-N(DL53),2))</f>
        <v/>
      </c>
      <c r="DN53">
        <f>N(DQ52)</f>
        <v/>
      </c>
      <c r="DO53">
        <f>IF(N(DN53)&lt;=0.005,0,ROUND(N(DN53)*N('Debt List'!E12)/12,2))</f>
        <v/>
      </c>
      <c r="DP53">
        <f>IF(N(DN53)&lt;=0.005,0,MIN(N('Debt List'!F12),N(DN53)+N(DO53)))+((DR53=8)*DT53+(DV53=8)*DX53+(DZ53=8)*EB53+(ED53=8)*EF53+(EH53=8)*EJ53+(EL53=8)*EN53+(EP53=8)*ER53+(ET53=8)*EV53)</f>
        <v/>
      </c>
      <c r="DQ53">
        <f>MAX(0,ROUND(N(DN53)+N(DO53)-N(DP53),2))</f>
        <v/>
      </c>
      <c r="DR53">
        <f>IFERROR(MATCH(1,OrderSnow,0),"")</f>
        <v/>
      </c>
      <c r="DS53">
        <f>IF(DR53="",0,IFERROR(IF(N(CHOOSE(DR53,CL53,CP53,CT53,CX53,DB53,DF53,DJ53,DN53))&lt;=0.005,0,MAX(0,N(CHOOSE(DR53,CL53,CP53,CT53,CX53,DB53,DF53,DJ53,DN53))+N(CHOOSE(DR53,CM53,CQ53,CU53,CY53,DC53,DG53,DK53,DO53))-MIN(N(CHOOSE(DR53,'Debt List'!$F$5,'Debt List'!$F$6,'Debt List'!$F$7,'Debt List'!$F$8,'Debt List'!$F$9,'Debt List'!$F$10,'Debt List'!$F$11,'Debt List'!$F$12)),N(CHOOSE(DR53,CL53,CP53,CT53,CX53,DB53,DF53,DJ53,DN53))+N(CHOOSE(DR53,CM53,CQ53,CU53,CY53,DC53,DG53,DK53,DO53))))),0))</f>
        <v/>
      </c>
      <c r="DT53">
        <f>MIN(N(DS53),MAX(0,N(ExtraPayment)))</f>
        <v/>
      </c>
      <c r="DU53">
        <f>MAX(0,N(ExtraPayment)-N(DT53))</f>
        <v/>
      </c>
      <c r="DV53">
        <f>IFERROR(MATCH(2,OrderSnow,0),"")</f>
        <v/>
      </c>
      <c r="DW53">
        <f>IF(DV53="",0,IFERROR(IF(N(CHOOSE(DV53,CL53,CP53,CT53,CX53,DB53,DF53,DJ53,DN53))&lt;=0.005,0,MAX(0,N(CHOOSE(DV53,CL53,CP53,CT53,CX53,DB53,DF53,DJ53,DN53))+N(CHOOSE(DV53,CM53,CQ53,CU53,CY53,DC53,DG53,DK53,DO53))-MIN(N(CHOOSE(DV53,'Debt List'!$F$5,'Debt List'!$F$6,'Debt List'!$F$7,'Debt List'!$F$8,'Debt List'!$F$9,'Debt List'!$F$10,'Debt List'!$F$11,'Debt List'!$F$12)),N(CHOOSE(DV53,CL53,CP53,CT53,CX53,DB53,DF53,DJ53,DN53))+N(CHOOSE(DV53,CM53,CQ53,CU53,CY53,DC53,DG53,DK53,DO53))))),0))</f>
        <v/>
      </c>
      <c r="DX53">
        <f>MIN(N(DW53),MAX(0,N(DU53)))</f>
        <v/>
      </c>
      <c r="DY53">
        <f>MAX(0,N(DU53)-N(DX53))</f>
        <v/>
      </c>
      <c r="DZ53">
        <f>IFERROR(MATCH(3,OrderSnow,0),"")</f>
        <v/>
      </c>
      <c r="EA53">
        <f>IF(DZ53="",0,IFERROR(IF(N(CHOOSE(DZ53,CL53,CP53,CT53,CX53,DB53,DF53,DJ53,DN53))&lt;=0.005,0,MAX(0,N(CHOOSE(DZ53,CL53,CP53,CT53,CX53,DB53,DF53,DJ53,DN53))+N(CHOOSE(DZ53,CM53,CQ53,CU53,CY53,DC53,DG53,DK53,DO53))-MIN(N(CHOOSE(DZ53,'Debt List'!$F$5,'Debt List'!$F$6,'Debt List'!$F$7,'Debt List'!$F$8,'Debt List'!$F$9,'Debt List'!$F$10,'Debt List'!$F$11,'Debt List'!$F$12)),N(CHOOSE(DZ53,CL53,CP53,CT53,CX53,DB53,DF53,DJ53,DN53))+N(CHOOSE(DZ53,CM53,CQ53,CU53,CY53,DC53,DG53,DK53,DO53))))),0))</f>
        <v/>
      </c>
      <c r="EB53">
        <f>MIN(N(EA53),MAX(0,N(DY53)))</f>
        <v/>
      </c>
      <c r="EC53">
        <f>MAX(0,N(DY53)-N(EB53))</f>
        <v/>
      </c>
      <c r="ED53">
        <f>IFERROR(MATCH(4,OrderSnow,0),"")</f>
        <v/>
      </c>
      <c r="EE53">
        <f>IF(ED53="",0,IFERROR(IF(N(CHOOSE(ED53,CL53,CP53,CT53,CX53,DB53,DF53,DJ53,DN53))&lt;=0.005,0,MAX(0,N(CHOOSE(ED53,CL53,CP53,CT53,CX53,DB53,DF53,DJ53,DN53))+N(CHOOSE(ED53,CM53,CQ53,CU53,CY53,DC53,DG53,DK53,DO53))-MIN(N(CHOOSE(ED53,'Debt List'!$F$5,'Debt List'!$F$6,'Debt List'!$F$7,'Debt List'!$F$8,'Debt List'!$F$9,'Debt List'!$F$10,'Debt List'!$F$11,'Debt List'!$F$12)),N(CHOOSE(ED53,CL53,CP53,CT53,CX53,DB53,DF53,DJ53,DN53))+N(CHOOSE(ED53,CM53,CQ53,CU53,CY53,DC53,DG53,DK53,DO53))))),0))</f>
        <v/>
      </c>
      <c r="EF53">
        <f>MIN(N(EE53),MAX(0,N(EC53)))</f>
        <v/>
      </c>
      <c r="EG53">
        <f>MAX(0,N(EC53)-N(EF53))</f>
        <v/>
      </c>
      <c r="EH53">
        <f>IFERROR(MATCH(5,OrderSnow,0),"")</f>
        <v/>
      </c>
      <c r="EI53">
        <f>IF(EH53="",0,IFERROR(IF(N(CHOOSE(EH53,CL53,CP53,CT53,CX53,DB53,DF53,DJ53,DN53))&lt;=0.005,0,MAX(0,N(CHOOSE(EH53,CL53,CP53,CT53,CX53,DB53,DF53,DJ53,DN53))+N(CHOOSE(EH53,CM53,CQ53,CU53,CY53,DC53,DG53,DK53,DO53))-MIN(N(CHOOSE(EH53,'Debt List'!$F$5,'Debt List'!$F$6,'Debt List'!$F$7,'Debt List'!$F$8,'Debt List'!$F$9,'Debt List'!$F$10,'Debt List'!$F$11,'Debt List'!$F$12)),N(CHOOSE(EH53,CL53,CP53,CT53,CX53,DB53,DF53,DJ53,DN53))+N(CHOOSE(EH53,CM53,CQ53,CU53,CY53,DC53,DG53,DK53,DO53))))),0))</f>
        <v/>
      </c>
      <c r="EJ53">
        <f>MIN(N(EI53),MAX(0,N(EG53)))</f>
        <v/>
      </c>
      <c r="EK53">
        <f>MAX(0,N(EG53)-N(EJ53))</f>
        <v/>
      </c>
      <c r="EL53">
        <f>IFERROR(MATCH(6,OrderSnow,0),"")</f>
        <v/>
      </c>
      <c r="EM53">
        <f>IF(EL53="",0,IFERROR(IF(N(CHOOSE(EL53,CL53,CP53,CT53,CX53,DB53,DF53,DJ53,DN53))&lt;=0.005,0,MAX(0,N(CHOOSE(EL53,CL53,CP53,CT53,CX53,DB53,DF53,DJ53,DN53))+N(CHOOSE(EL53,CM53,CQ53,CU53,CY53,DC53,DG53,DK53,DO53))-MIN(N(CHOOSE(EL53,'Debt List'!$F$5,'Debt List'!$F$6,'Debt List'!$F$7,'Debt List'!$F$8,'Debt List'!$F$9,'Debt List'!$F$10,'Debt List'!$F$11,'Debt List'!$F$12)),N(CHOOSE(EL53,CL53,CP53,CT53,CX53,DB53,DF53,DJ53,DN53))+N(CHOOSE(EL53,CM53,CQ53,CU53,CY53,DC53,DG53,DK53,DO53))))),0))</f>
        <v/>
      </c>
      <c r="EN53">
        <f>MIN(N(EM53),MAX(0,N(EK53)))</f>
        <v/>
      </c>
      <c r="EO53">
        <f>MAX(0,N(EK53)-N(EN53))</f>
        <v/>
      </c>
      <c r="EP53">
        <f>IFERROR(MATCH(7,OrderSnow,0),"")</f>
        <v/>
      </c>
      <c r="EQ53">
        <f>IF(EP53="",0,IFERROR(IF(N(CHOOSE(EP53,CL53,CP53,CT53,CX53,DB53,DF53,DJ53,DN53))&lt;=0.005,0,MAX(0,N(CHOOSE(EP53,CL53,CP53,CT53,CX53,DB53,DF53,DJ53,DN53))+N(CHOOSE(EP53,CM53,CQ53,CU53,CY53,DC53,DG53,DK53,DO53))-MIN(N(CHOOSE(EP53,'Debt List'!$F$5,'Debt List'!$F$6,'Debt List'!$F$7,'Debt List'!$F$8,'Debt List'!$F$9,'Debt List'!$F$10,'Debt List'!$F$11,'Debt List'!$F$12)),N(CHOOSE(EP53,CL53,CP53,CT53,CX53,DB53,DF53,DJ53,DN53))+N(CHOOSE(EP53,CM53,CQ53,CU53,CY53,DC53,DG53,DK53,DO53))))),0))</f>
        <v/>
      </c>
      <c r="ER53">
        <f>MIN(N(EQ53),MAX(0,N(EO53)))</f>
        <v/>
      </c>
      <c r="ES53">
        <f>MAX(0,N(EO53)-N(ER53))</f>
        <v/>
      </c>
      <c r="ET53">
        <f>IFERROR(MATCH(8,OrderSnow,0),"")</f>
        <v/>
      </c>
      <c r="EU53">
        <f>IF(ET53="",0,IFERROR(IF(N(CHOOSE(ET53,CL53,CP53,CT53,CX53,DB53,DF53,DJ53,DN53))&lt;=0.005,0,MAX(0,N(CHOOSE(ET53,CL53,CP53,CT53,CX53,DB53,DF53,DJ53,DN53))+N(CHOOSE(ET53,CM53,CQ53,CU53,CY53,DC53,DG53,DK53,DO53))-MIN(N(CHOOSE(ET53,'Debt List'!$F$5,'Debt List'!$F$6,'Debt List'!$F$7,'Debt List'!$F$8,'Debt List'!$F$9,'Debt List'!$F$10,'Debt List'!$F$11,'Debt List'!$F$12)),N(CHOOSE(ET53,CL53,CP53,CT53,CX53,DB53,DF53,DJ53,DN53))+N(CHOOSE(ET53,CM53,CQ53,CU53,CY53,DC53,DG53,DK53,DO53))))),0))</f>
        <v/>
      </c>
      <c r="EV53">
        <f>MIN(N(EU53),MAX(0,N(ES53)))</f>
        <v/>
      </c>
      <c r="EW53">
        <f>MAX(0,N(ES53)-N(EV53))</f>
        <v/>
      </c>
      <c r="FE53" t="n">
        <v>49</v>
      </c>
      <c r="FF53" s="115">
        <f>DATE(YEAR(PlanStart),MONTH(PlanStart)+FE53-1,1)</f>
        <v/>
      </c>
      <c r="FG53">
        <f>IF(AND(GT53&lt;&gt;"",N(CHOOSE(GT53,FN53,FR53,FV53,FZ53,GD53,GH53,GL53,GP53))&gt;0.005),INDEX(DebtNames,GT53),IF(AND(GX53&lt;&gt;"",N(CHOOSE(GX53,FN53,FR53,FV53,FZ53,GD53,GH53,GL53,GP53))&gt;0.005),INDEX(DebtNames,GX53),IF(AND(HB53&lt;&gt;"",N(CHOOSE(HB53,FN53,FR53,FV53,FZ53,GD53,GH53,GL53,GP53))&gt;0.005),INDEX(DebtNames,HB53),IF(AND(HF53&lt;&gt;"",N(CHOOSE(HF53,FN53,FR53,FV53,FZ53,GD53,GH53,GL53,GP53))&gt;0.005),INDEX(DebtNames,HF53),IF(AND(HJ53&lt;&gt;"",N(CHOOSE(HJ53,FN53,FR53,FV53,FZ53,GD53,GH53,GL53,GP53))&gt;0.005),INDEX(DebtNames,HJ53),IF(AND(HN53&lt;&gt;"",N(CHOOSE(HN53,FN53,FR53,FV53,FZ53,GD53,GH53,GL53,GP53))&gt;0.005),INDEX(DebtNames,HN53),IF(AND(HR53&lt;&gt;"",N(CHOOSE(HR53,FN53,FR53,FV53,FZ53,GD53,GH53,GL53,GP53))&gt;0.005),INDEX(DebtNames,HR53),IF(AND(HV53&lt;&gt;"",N(CHOOSE(HV53,FN53,FR53,FV53,FZ53,GD53,GH53,GL53,GP53))&gt;0.005),INDEX(DebtNames,HV53),""))))))))</f>
        <v/>
      </c>
      <c r="FH53">
        <f>N(HY53)</f>
        <v/>
      </c>
      <c r="FI53">
        <f>N(FP53)+N(FT53)+N(FX53)+N(GB53)+N(GF53)+N(GJ53)+N(GN53)+N(GR53)</f>
        <v/>
      </c>
      <c r="FJ53">
        <f>N(FO53)+N(FS53)+N(FW53)+N(GA53)+N(GE53)+N(GI53)+N(GM53)+N(GQ53)</f>
        <v/>
      </c>
      <c r="FK53">
        <f>N(FK52)+N(FJ53)</f>
        <v/>
      </c>
      <c r="FL53">
        <f>N(FQ53)+N(FU53)+N(FY53)+N(GC53)+N(GG53)+N(GK53)+N(GO53)+N(GS53)</f>
        <v/>
      </c>
      <c r="FM53">
        <f>(FQ53&gt;0.005)*1+(FU53&gt;0.005)*1+(FY53&gt;0.005)*1+(GC53&gt;0.005)*1+(GG53&gt;0.005)*1+(GK53&gt;0.005)*1+(GO53&gt;0.005)*1+(GS53&gt;0.005)*1</f>
        <v/>
      </c>
      <c r="FN53">
        <f>N(FQ52)</f>
        <v/>
      </c>
      <c r="FO53">
        <f>IF(N(FN53)&lt;=0.005,0,ROUND(N(FN53)*N('Debt List'!E5)/12,2))</f>
        <v/>
      </c>
      <c r="FP53">
        <f>IF(N(FN53)&lt;=0.005,0,MIN(N('Debt List'!F5),N(FN53)+N(FO53)))+((GT53=1)*GV53+(GX53=1)*GZ53+(HB53=1)*HD53+(HF53=1)*HH53+(HJ53=1)*HL53+(HN53=1)*HP53+(HR53=1)*HT53+(HV53=1)*HX53)</f>
        <v/>
      </c>
      <c r="FQ53">
        <f>MAX(0,ROUND(N(FN53)+N(FO53)-N(FP53),2))</f>
        <v/>
      </c>
      <c r="FR53">
        <f>N(FU52)</f>
        <v/>
      </c>
      <c r="FS53">
        <f>IF(N(FR53)&lt;=0.005,0,ROUND(N(FR53)*N('Debt List'!E6)/12,2))</f>
        <v/>
      </c>
      <c r="FT53">
        <f>IF(N(FR53)&lt;=0.005,0,MIN(N('Debt List'!F6),N(FR53)+N(FS53)))+((GT53=2)*GV53+(GX53=2)*GZ53+(HB53=2)*HD53+(HF53=2)*HH53+(HJ53=2)*HL53+(HN53=2)*HP53+(HR53=2)*HT53+(HV53=2)*HX53)</f>
        <v/>
      </c>
      <c r="FU53">
        <f>MAX(0,ROUND(N(FR53)+N(FS53)-N(FT53),2))</f>
        <v/>
      </c>
      <c r="FV53">
        <f>N(FY52)</f>
        <v/>
      </c>
      <c r="FW53">
        <f>IF(N(FV53)&lt;=0.005,0,ROUND(N(FV53)*N('Debt List'!E7)/12,2))</f>
        <v/>
      </c>
      <c r="FX53">
        <f>IF(N(FV53)&lt;=0.005,0,MIN(N('Debt List'!F7),N(FV53)+N(FW53)))+((GT53=3)*GV53+(GX53=3)*GZ53+(HB53=3)*HD53+(HF53=3)*HH53+(HJ53=3)*HL53+(HN53=3)*HP53+(HR53=3)*HT53+(HV53=3)*HX53)</f>
        <v/>
      </c>
      <c r="FY53">
        <f>MAX(0,ROUND(N(FV53)+N(FW53)-N(FX53),2))</f>
        <v/>
      </c>
      <c r="FZ53">
        <f>N(GC52)</f>
        <v/>
      </c>
      <c r="GA53">
        <f>IF(N(FZ53)&lt;=0.005,0,ROUND(N(FZ53)*N('Debt List'!E8)/12,2))</f>
        <v/>
      </c>
      <c r="GB53">
        <f>IF(N(FZ53)&lt;=0.005,0,MIN(N('Debt List'!F8),N(FZ53)+N(GA53)))+((GT53=4)*GV53+(GX53=4)*GZ53+(HB53=4)*HD53+(HF53=4)*HH53+(HJ53=4)*HL53+(HN53=4)*HP53+(HR53=4)*HT53+(HV53=4)*HX53)</f>
        <v/>
      </c>
      <c r="GC53">
        <f>MAX(0,ROUND(N(FZ53)+N(GA53)-N(GB53),2))</f>
        <v/>
      </c>
      <c r="GD53">
        <f>N(GG52)</f>
        <v/>
      </c>
      <c r="GE53">
        <f>IF(N(GD53)&lt;=0.005,0,ROUND(N(GD53)*N('Debt List'!E9)/12,2))</f>
        <v/>
      </c>
      <c r="GF53">
        <f>IF(N(GD53)&lt;=0.005,0,MIN(N('Debt List'!F9),N(GD53)+N(GE53)))+((GT53=5)*GV53+(GX53=5)*GZ53+(HB53=5)*HD53+(HF53=5)*HH53+(HJ53=5)*HL53+(HN53=5)*HP53+(HR53=5)*HT53+(HV53=5)*HX53)</f>
        <v/>
      </c>
      <c r="GG53">
        <f>MAX(0,ROUND(N(GD53)+N(GE53)-N(GF53),2))</f>
        <v/>
      </c>
      <c r="GH53">
        <f>N(GK52)</f>
        <v/>
      </c>
      <c r="GI53">
        <f>IF(N(GH53)&lt;=0.005,0,ROUND(N(GH53)*N('Debt List'!E10)/12,2))</f>
        <v/>
      </c>
      <c r="GJ53">
        <f>IF(N(GH53)&lt;=0.005,0,MIN(N('Debt List'!F10),N(GH53)+N(GI53)))+((GT53=6)*GV53+(GX53=6)*GZ53+(HB53=6)*HD53+(HF53=6)*HH53+(HJ53=6)*HL53+(HN53=6)*HP53+(HR53=6)*HT53+(HV53=6)*HX53)</f>
        <v/>
      </c>
      <c r="GK53">
        <f>MAX(0,ROUND(N(GH53)+N(GI53)-N(GJ53),2))</f>
        <v/>
      </c>
      <c r="GL53">
        <f>N(GO52)</f>
        <v/>
      </c>
      <c r="GM53">
        <f>IF(N(GL53)&lt;=0.005,0,ROUND(N(GL53)*N('Debt List'!E11)/12,2))</f>
        <v/>
      </c>
      <c r="GN53">
        <f>IF(N(GL53)&lt;=0.005,0,MIN(N('Debt List'!F11),N(GL53)+N(GM53)))+((GT53=7)*GV53+(GX53=7)*GZ53+(HB53=7)*HD53+(HF53=7)*HH53+(HJ53=7)*HL53+(HN53=7)*HP53+(HR53=7)*HT53+(HV53=7)*HX53)</f>
        <v/>
      </c>
      <c r="GO53">
        <f>MAX(0,ROUND(N(GL53)+N(GM53)-N(GN53),2))</f>
        <v/>
      </c>
      <c r="GP53">
        <f>N(GS52)</f>
        <v/>
      </c>
      <c r="GQ53">
        <f>IF(N(GP53)&lt;=0.005,0,ROUND(N(GP53)*N('Debt List'!E12)/12,2))</f>
        <v/>
      </c>
      <c r="GR53">
        <f>IF(N(GP53)&lt;=0.005,0,MIN(N('Debt List'!F12),N(GP53)+N(GQ53)))+((GT53=8)*GV53+(GX53=8)*GZ53+(HB53=8)*HD53+(HF53=8)*HH53+(HJ53=8)*HL53+(HN53=8)*HP53+(HR53=8)*HT53+(HV53=8)*HX53)</f>
        <v/>
      </c>
      <c r="GS53">
        <f>MAX(0,ROUND(N(GP53)+N(GQ53)-N(GR53),2))</f>
        <v/>
      </c>
      <c r="GT53">
        <f>IFERROR(MATCH(1,OrderAval,0),"")</f>
        <v/>
      </c>
      <c r="GU53">
        <f>IF(GT53="",0,IFERROR(IF(N(CHOOSE(GT53,FN53,FR53,FV53,FZ53,GD53,GH53,GL53,GP53))&lt;=0.005,0,MAX(0,N(CHOOSE(GT53,FN53,FR53,FV53,FZ53,GD53,GH53,GL53,GP53))+N(CHOOSE(GT53,FO53,FS53,FW53,GA53,GE53,GI53,GM53,GQ53))-MIN(N(CHOOSE(GT53,'Debt List'!$F$5,'Debt List'!$F$6,'Debt List'!$F$7,'Debt List'!$F$8,'Debt List'!$F$9,'Debt List'!$F$10,'Debt List'!$F$11,'Debt List'!$F$12)),N(CHOOSE(GT53,FN53,FR53,FV53,FZ53,GD53,GH53,GL53,GP53))+N(CHOOSE(GT53,FO53,FS53,FW53,GA53,GE53,GI53,GM53,GQ53))))),0))</f>
        <v/>
      </c>
      <c r="GV53">
        <f>MIN(N(GU53),MAX(0,N(ExtraPayment)))</f>
        <v/>
      </c>
      <c r="GW53">
        <f>MAX(0,N(ExtraPayment)-N(GV53))</f>
        <v/>
      </c>
      <c r="GX53">
        <f>IFERROR(MATCH(2,OrderAval,0),"")</f>
        <v/>
      </c>
      <c r="GY53">
        <f>IF(GX53="",0,IFERROR(IF(N(CHOOSE(GX53,FN53,FR53,FV53,FZ53,GD53,GH53,GL53,GP53))&lt;=0.005,0,MAX(0,N(CHOOSE(GX53,FN53,FR53,FV53,FZ53,GD53,GH53,GL53,GP53))+N(CHOOSE(GX53,FO53,FS53,FW53,GA53,GE53,GI53,GM53,GQ53))-MIN(N(CHOOSE(GX53,'Debt List'!$F$5,'Debt List'!$F$6,'Debt List'!$F$7,'Debt List'!$F$8,'Debt List'!$F$9,'Debt List'!$F$10,'Debt List'!$F$11,'Debt List'!$F$12)),N(CHOOSE(GX53,FN53,FR53,FV53,FZ53,GD53,GH53,GL53,GP53))+N(CHOOSE(GX53,FO53,FS53,FW53,GA53,GE53,GI53,GM53,GQ53))))),0))</f>
        <v/>
      </c>
      <c r="GZ53">
        <f>MIN(N(GY53),MAX(0,N(GW53)))</f>
        <v/>
      </c>
      <c r="HA53">
        <f>MAX(0,N(GW53)-N(GZ53))</f>
        <v/>
      </c>
      <c r="HB53">
        <f>IFERROR(MATCH(3,OrderAval,0),"")</f>
        <v/>
      </c>
      <c r="HC53">
        <f>IF(HB53="",0,IFERROR(IF(N(CHOOSE(HB53,FN53,FR53,FV53,FZ53,GD53,GH53,GL53,GP53))&lt;=0.005,0,MAX(0,N(CHOOSE(HB53,FN53,FR53,FV53,FZ53,GD53,GH53,GL53,GP53))+N(CHOOSE(HB53,FO53,FS53,FW53,GA53,GE53,GI53,GM53,GQ53))-MIN(N(CHOOSE(HB53,'Debt List'!$F$5,'Debt List'!$F$6,'Debt List'!$F$7,'Debt List'!$F$8,'Debt List'!$F$9,'Debt List'!$F$10,'Debt List'!$F$11,'Debt List'!$F$12)),N(CHOOSE(HB53,FN53,FR53,FV53,FZ53,GD53,GH53,GL53,GP53))+N(CHOOSE(HB53,FO53,FS53,FW53,GA53,GE53,GI53,GM53,GQ53))))),0))</f>
        <v/>
      </c>
      <c r="HD53">
        <f>MIN(N(HC53),MAX(0,N(HA53)))</f>
        <v/>
      </c>
      <c r="HE53">
        <f>MAX(0,N(HA53)-N(HD53))</f>
        <v/>
      </c>
      <c r="HF53">
        <f>IFERROR(MATCH(4,OrderAval,0),"")</f>
        <v/>
      </c>
      <c r="HG53">
        <f>IF(HF53="",0,IFERROR(IF(N(CHOOSE(HF53,FN53,FR53,FV53,FZ53,GD53,GH53,GL53,GP53))&lt;=0.005,0,MAX(0,N(CHOOSE(HF53,FN53,FR53,FV53,FZ53,GD53,GH53,GL53,GP53))+N(CHOOSE(HF53,FO53,FS53,FW53,GA53,GE53,GI53,GM53,GQ53))-MIN(N(CHOOSE(HF53,'Debt List'!$F$5,'Debt List'!$F$6,'Debt List'!$F$7,'Debt List'!$F$8,'Debt List'!$F$9,'Debt List'!$F$10,'Debt List'!$F$11,'Debt List'!$F$12)),N(CHOOSE(HF53,FN53,FR53,FV53,FZ53,GD53,GH53,GL53,GP53))+N(CHOOSE(HF53,FO53,FS53,FW53,GA53,GE53,GI53,GM53,GQ53))))),0))</f>
        <v/>
      </c>
      <c r="HH53">
        <f>MIN(N(HG53),MAX(0,N(HE53)))</f>
        <v/>
      </c>
      <c r="HI53">
        <f>MAX(0,N(HE53)-N(HH53))</f>
        <v/>
      </c>
      <c r="HJ53">
        <f>IFERROR(MATCH(5,OrderAval,0),"")</f>
        <v/>
      </c>
      <c r="HK53">
        <f>IF(HJ53="",0,IFERROR(IF(N(CHOOSE(HJ53,FN53,FR53,FV53,FZ53,GD53,GH53,GL53,GP53))&lt;=0.005,0,MAX(0,N(CHOOSE(HJ53,FN53,FR53,FV53,FZ53,GD53,GH53,GL53,GP53))+N(CHOOSE(HJ53,FO53,FS53,FW53,GA53,GE53,GI53,GM53,GQ53))-MIN(N(CHOOSE(HJ53,'Debt List'!$F$5,'Debt List'!$F$6,'Debt List'!$F$7,'Debt List'!$F$8,'Debt List'!$F$9,'Debt List'!$F$10,'Debt List'!$F$11,'Debt List'!$F$12)),N(CHOOSE(HJ53,FN53,FR53,FV53,FZ53,GD53,GH53,GL53,GP53))+N(CHOOSE(HJ53,FO53,FS53,FW53,GA53,GE53,GI53,GM53,GQ53))))),0))</f>
        <v/>
      </c>
      <c r="HL53">
        <f>MIN(N(HK53),MAX(0,N(HI53)))</f>
        <v/>
      </c>
      <c r="HM53">
        <f>MAX(0,N(HI53)-N(HL53))</f>
        <v/>
      </c>
      <c r="HN53">
        <f>IFERROR(MATCH(6,OrderAval,0),"")</f>
        <v/>
      </c>
      <c r="HO53">
        <f>IF(HN53="",0,IFERROR(IF(N(CHOOSE(HN53,FN53,FR53,FV53,FZ53,GD53,GH53,GL53,GP53))&lt;=0.005,0,MAX(0,N(CHOOSE(HN53,FN53,FR53,FV53,FZ53,GD53,GH53,GL53,GP53))+N(CHOOSE(HN53,FO53,FS53,FW53,GA53,GE53,GI53,GM53,GQ53))-MIN(N(CHOOSE(HN53,'Debt List'!$F$5,'Debt List'!$F$6,'Debt List'!$F$7,'Debt List'!$F$8,'Debt List'!$F$9,'Debt List'!$F$10,'Debt List'!$F$11,'Debt List'!$F$12)),N(CHOOSE(HN53,FN53,FR53,FV53,FZ53,GD53,GH53,GL53,GP53))+N(CHOOSE(HN53,FO53,FS53,FW53,GA53,GE53,GI53,GM53,GQ53))))),0))</f>
        <v/>
      </c>
      <c r="HP53">
        <f>MIN(N(HO53),MAX(0,N(HM53)))</f>
        <v/>
      </c>
      <c r="HQ53">
        <f>MAX(0,N(HM53)-N(HP53))</f>
        <v/>
      </c>
      <c r="HR53">
        <f>IFERROR(MATCH(7,OrderAval,0),"")</f>
        <v/>
      </c>
      <c r="HS53">
        <f>IF(HR53="",0,IFERROR(IF(N(CHOOSE(HR53,FN53,FR53,FV53,FZ53,GD53,GH53,GL53,GP53))&lt;=0.005,0,MAX(0,N(CHOOSE(HR53,FN53,FR53,FV53,FZ53,GD53,GH53,GL53,GP53))+N(CHOOSE(HR53,FO53,FS53,FW53,GA53,GE53,GI53,GM53,GQ53))-MIN(N(CHOOSE(HR53,'Debt List'!$F$5,'Debt List'!$F$6,'Debt List'!$F$7,'Debt List'!$F$8,'Debt List'!$F$9,'Debt List'!$F$10,'Debt List'!$F$11,'Debt List'!$F$12)),N(CHOOSE(HR53,FN53,FR53,FV53,FZ53,GD53,GH53,GL53,GP53))+N(CHOOSE(HR53,FO53,FS53,FW53,GA53,GE53,GI53,GM53,GQ53))))),0))</f>
        <v/>
      </c>
      <c r="HT53">
        <f>MIN(N(HS53),MAX(0,N(HQ53)))</f>
        <v/>
      </c>
      <c r="HU53">
        <f>MAX(0,N(HQ53)-N(HT53))</f>
        <v/>
      </c>
      <c r="HV53">
        <f>IFERROR(MATCH(8,OrderAval,0),"")</f>
        <v/>
      </c>
      <c r="HW53">
        <f>IF(HV53="",0,IFERROR(IF(N(CHOOSE(HV53,FN53,FR53,FV53,FZ53,GD53,GH53,GL53,GP53))&lt;=0.005,0,MAX(0,N(CHOOSE(HV53,FN53,FR53,FV53,FZ53,GD53,GH53,GL53,GP53))+N(CHOOSE(HV53,FO53,FS53,FW53,GA53,GE53,GI53,GM53,GQ53))-MIN(N(CHOOSE(HV53,'Debt List'!$F$5,'Debt List'!$F$6,'Debt List'!$F$7,'Debt List'!$F$8,'Debt List'!$F$9,'Debt List'!$F$10,'Debt List'!$F$11,'Debt List'!$F$12)),N(CHOOSE(HV53,FN53,FR53,FV53,FZ53,GD53,GH53,GL53,GP53))+N(CHOOSE(HV53,FO53,FS53,FW53,GA53,GE53,GI53,GM53,GQ53))))),0))</f>
        <v/>
      </c>
      <c r="HX53">
        <f>MIN(N(HW53),MAX(0,N(HU53)))</f>
        <v/>
      </c>
      <c r="HY53">
        <f>MAX(0,N(HU53)-N(HX53))</f>
        <v/>
      </c>
    </row>
    <row r="54">
      <c r="A54" t="n">
        <v>50</v>
      </c>
      <c r="B54" s="115">
        <f>DATE(YEAR(PlanStart),MONTH(PlanStart)+A54-1,1)</f>
        <v/>
      </c>
      <c r="C54">
        <f>IF(AND(AP54&lt;&gt;"",N(CHOOSE(AP54,J54,N54,R54,V54,Z54,AD54,AH54,AL54))&gt;0.005),INDEX(DebtNames,AP54),IF(AND(AT54&lt;&gt;"",N(CHOOSE(AT54,J54,N54,R54,V54,Z54,AD54,AH54,AL54))&gt;0.005),INDEX(DebtNames,AT54),IF(AND(AX54&lt;&gt;"",N(CHOOSE(AX54,J54,N54,R54,V54,Z54,AD54,AH54,AL54))&gt;0.005),INDEX(DebtNames,AX54),IF(AND(BB54&lt;&gt;"",N(CHOOSE(BB54,J54,N54,R54,V54,Z54,AD54,AH54,AL54))&gt;0.005),INDEX(DebtNames,BB54),IF(AND(BF54&lt;&gt;"",N(CHOOSE(BF54,J54,N54,R54,V54,Z54,AD54,AH54,AL54))&gt;0.005),INDEX(DebtNames,BF54),IF(AND(BJ54&lt;&gt;"",N(CHOOSE(BJ54,J54,N54,R54,V54,Z54,AD54,AH54,AL54))&gt;0.005),INDEX(DebtNames,BJ54),IF(AND(BN54&lt;&gt;"",N(CHOOSE(BN54,J54,N54,R54,V54,Z54,AD54,AH54,AL54))&gt;0.005),INDEX(DebtNames,BN54),IF(AND(BR54&lt;&gt;"",N(CHOOSE(BR54,J54,N54,R54,V54,Z54,AD54,AH54,AL54))&gt;0.005),INDEX(DebtNames,BR54),""))))))))</f>
        <v/>
      </c>
      <c r="D54">
        <f>N(BU54)</f>
        <v/>
      </c>
      <c r="E54">
        <f>N(L54)+N(P54)+N(T54)+N(X54)+N(AB54)+N(AF54)+N(AJ54)+N(AN54)</f>
        <v/>
      </c>
      <c r="F54">
        <f>N(K54)+N(O54)+N(S54)+N(W54)+N(AA54)+N(AE54)+N(AI54)+N(AM54)</f>
        <v/>
      </c>
      <c r="G54">
        <f>N(G53)+N(F54)</f>
        <v/>
      </c>
      <c r="H54">
        <f>N(M54)+N(Q54)+N(U54)+N(Y54)+N(AC54)+N(AG54)+N(AK54)+N(AO54)</f>
        <v/>
      </c>
      <c r="I54">
        <f>(M54&gt;0.005)*1+(Q54&gt;0.005)*1+(U54&gt;0.005)*1+(Y54&gt;0.005)*1+(AC54&gt;0.005)*1+(AG54&gt;0.005)*1+(AK54&gt;0.005)*1+(AO54&gt;0.005)*1</f>
        <v/>
      </c>
      <c r="J54">
        <f>N(M53)</f>
        <v/>
      </c>
      <c r="K54">
        <f>IF(N(J54)&lt;=0.005,0,ROUND(N(J54)*N('Debt List'!E5)/12,2))</f>
        <v/>
      </c>
      <c r="L54">
        <f>IF(N(J54)&lt;=0.005,0,MIN(N('Debt List'!F5),N(J54)+N(K54)))+((AP54=1)*AR54+(AT54=1)*AV54+(AX54=1)*AZ54+(BB54=1)*BD54+(BF54=1)*BH54+(BJ54=1)*BL54+(BN54=1)*BP54+(BR54=1)*BT54)</f>
        <v/>
      </c>
      <c r="M54">
        <f>MAX(0,ROUND(N(J54)+N(K54)-N(L54),2))</f>
        <v/>
      </c>
      <c r="N54">
        <f>N(Q53)</f>
        <v/>
      </c>
      <c r="O54">
        <f>IF(N(N54)&lt;=0.005,0,ROUND(N(N54)*N('Debt List'!E6)/12,2))</f>
        <v/>
      </c>
      <c r="P54">
        <f>IF(N(N54)&lt;=0.005,0,MIN(N('Debt List'!F6),N(N54)+N(O54)))+((AP54=2)*AR54+(AT54=2)*AV54+(AX54=2)*AZ54+(BB54=2)*BD54+(BF54=2)*BH54+(BJ54=2)*BL54+(BN54=2)*BP54+(BR54=2)*BT54)</f>
        <v/>
      </c>
      <c r="Q54">
        <f>MAX(0,ROUND(N(N54)+N(O54)-N(P54),2))</f>
        <v/>
      </c>
      <c r="R54">
        <f>N(U53)</f>
        <v/>
      </c>
      <c r="S54">
        <f>IF(N(R54)&lt;=0.005,0,ROUND(N(R54)*N('Debt List'!E7)/12,2))</f>
        <v/>
      </c>
      <c r="T54">
        <f>IF(N(R54)&lt;=0.005,0,MIN(N('Debt List'!F7),N(R54)+N(S54)))+((AP54=3)*AR54+(AT54=3)*AV54+(AX54=3)*AZ54+(BB54=3)*BD54+(BF54=3)*BH54+(BJ54=3)*BL54+(BN54=3)*BP54+(BR54=3)*BT54)</f>
        <v/>
      </c>
      <c r="U54">
        <f>MAX(0,ROUND(N(R54)+N(S54)-N(T54),2))</f>
        <v/>
      </c>
      <c r="V54">
        <f>N(Y53)</f>
        <v/>
      </c>
      <c r="W54">
        <f>IF(N(V54)&lt;=0.005,0,ROUND(N(V54)*N('Debt List'!E8)/12,2))</f>
        <v/>
      </c>
      <c r="X54">
        <f>IF(N(V54)&lt;=0.005,0,MIN(N('Debt List'!F8),N(V54)+N(W54)))+((AP54=4)*AR54+(AT54=4)*AV54+(AX54=4)*AZ54+(BB54=4)*BD54+(BF54=4)*BH54+(BJ54=4)*BL54+(BN54=4)*BP54+(BR54=4)*BT54)</f>
        <v/>
      </c>
      <c r="Y54">
        <f>MAX(0,ROUND(N(V54)+N(W54)-N(X54),2))</f>
        <v/>
      </c>
      <c r="Z54">
        <f>N(AC53)</f>
        <v/>
      </c>
      <c r="AA54">
        <f>IF(N(Z54)&lt;=0.005,0,ROUND(N(Z54)*N('Debt List'!E9)/12,2))</f>
        <v/>
      </c>
      <c r="AB54">
        <f>IF(N(Z54)&lt;=0.005,0,MIN(N('Debt List'!F9),N(Z54)+N(AA54)))+((AP54=5)*AR54+(AT54=5)*AV54+(AX54=5)*AZ54+(BB54=5)*BD54+(BF54=5)*BH54+(BJ54=5)*BL54+(BN54=5)*BP54+(BR54=5)*BT54)</f>
        <v/>
      </c>
      <c r="AC54">
        <f>MAX(0,ROUND(N(Z54)+N(AA54)-N(AB54),2))</f>
        <v/>
      </c>
      <c r="AD54">
        <f>N(AG53)</f>
        <v/>
      </c>
      <c r="AE54">
        <f>IF(N(AD54)&lt;=0.005,0,ROUND(N(AD54)*N('Debt List'!E10)/12,2))</f>
        <v/>
      </c>
      <c r="AF54">
        <f>IF(N(AD54)&lt;=0.005,0,MIN(N('Debt List'!F10),N(AD54)+N(AE54)))+((AP54=6)*AR54+(AT54=6)*AV54+(AX54=6)*AZ54+(BB54=6)*BD54+(BF54=6)*BH54+(BJ54=6)*BL54+(BN54=6)*BP54+(BR54=6)*BT54)</f>
        <v/>
      </c>
      <c r="AG54">
        <f>MAX(0,ROUND(N(AD54)+N(AE54)-N(AF54),2))</f>
        <v/>
      </c>
      <c r="AH54">
        <f>N(AK53)</f>
        <v/>
      </c>
      <c r="AI54">
        <f>IF(N(AH54)&lt;=0.005,0,ROUND(N(AH54)*N('Debt List'!E11)/12,2))</f>
        <v/>
      </c>
      <c r="AJ54">
        <f>IF(N(AH54)&lt;=0.005,0,MIN(N('Debt List'!F11),N(AH54)+N(AI54)))+((AP54=7)*AR54+(AT54=7)*AV54+(AX54=7)*AZ54+(BB54=7)*BD54+(BF54=7)*BH54+(BJ54=7)*BL54+(BN54=7)*BP54+(BR54=7)*BT54)</f>
        <v/>
      </c>
      <c r="AK54">
        <f>MAX(0,ROUND(N(AH54)+N(AI54)-N(AJ54),2))</f>
        <v/>
      </c>
      <c r="AL54">
        <f>N(AO53)</f>
        <v/>
      </c>
      <c r="AM54">
        <f>IF(N(AL54)&lt;=0.005,0,ROUND(N(AL54)*N('Debt List'!E12)/12,2))</f>
        <v/>
      </c>
      <c r="AN54">
        <f>IF(N(AL54)&lt;=0.005,0,MIN(N('Debt List'!F12),N(AL54)+N(AM54)))+((AP54=8)*AR54+(AT54=8)*AV54+(AX54=8)*AZ54+(BB54=8)*BD54+(BF54=8)*BH54+(BJ54=8)*BL54+(BN54=8)*BP54+(BR54=8)*BT54)</f>
        <v/>
      </c>
      <c r="AO54">
        <f>MAX(0,ROUND(N(AL54)+N(AM54)-N(AN54),2))</f>
        <v/>
      </c>
      <c r="AP54">
        <f>IFERROR(MATCH(1,OrderPlan,0),"")</f>
        <v/>
      </c>
      <c r="AQ54">
        <f>IF(AP54="",0,IFERROR(IF(N(CHOOSE(AP54,J54,N54,R54,V54,Z54,AD54,AH54,AL54))&lt;=0.005,0,MAX(0,N(CHOOSE(AP54,J54,N54,R54,V54,Z54,AD54,AH54,AL54))+N(CHOOSE(AP54,K54,O54,S54,W54,AA54,AE54,AI54,AM54))-MIN(N(CHOOSE(AP54,'Debt List'!$F$5,'Debt List'!$F$6,'Debt List'!$F$7,'Debt List'!$F$8,'Debt List'!$F$9,'Debt List'!$F$10,'Debt List'!$F$11,'Debt List'!$F$12)),N(CHOOSE(AP54,J54,N54,R54,V54,Z54,AD54,AH54,AL54))+N(CHOOSE(AP54,K54,O54,S54,W54,AA54,AE54,AI54,AM54))))),0))</f>
        <v/>
      </c>
      <c r="AR54">
        <f>MIN(N(AQ54),MAX(0,N(ExtraPayment)))</f>
        <v/>
      </c>
      <c r="AS54">
        <f>MAX(0,N(ExtraPayment)-N(AR54))</f>
        <v/>
      </c>
      <c r="AT54">
        <f>IFERROR(MATCH(2,OrderPlan,0),"")</f>
        <v/>
      </c>
      <c r="AU54">
        <f>IF(AT54="",0,IFERROR(IF(N(CHOOSE(AT54,J54,N54,R54,V54,Z54,AD54,AH54,AL54))&lt;=0.005,0,MAX(0,N(CHOOSE(AT54,J54,N54,R54,V54,Z54,AD54,AH54,AL54))+N(CHOOSE(AT54,K54,O54,S54,W54,AA54,AE54,AI54,AM54))-MIN(N(CHOOSE(AT54,'Debt List'!$F$5,'Debt List'!$F$6,'Debt List'!$F$7,'Debt List'!$F$8,'Debt List'!$F$9,'Debt List'!$F$10,'Debt List'!$F$11,'Debt List'!$F$12)),N(CHOOSE(AT54,J54,N54,R54,V54,Z54,AD54,AH54,AL54))+N(CHOOSE(AT54,K54,O54,S54,W54,AA54,AE54,AI54,AM54))))),0))</f>
        <v/>
      </c>
      <c r="AV54">
        <f>MIN(N(AU54),MAX(0,N(AS54)))</f>
        <v/>
      </c>
      <c r="AW54">
        <f>MAX(0,N(AS54)-N(AV54))</f>
        <v/>
      </c>
      <c r="AX54">
        <f>IFERROR(MATCH(3,OrderPlan,0),"")</f>
        <v/>
      </c>
      <c r="AY54">
        <f>IF(AX54="",0,IFERROR(IF(N(CHOOSE(AX54,J54,N54,R54,V54,Z54,AD54,AH54,AL54))&lt;=0.005,0,MAX(0,N(CHOOSE(AX54,J54,N54,R54,V54,Z54,AD54,AH54,AL54))+N(CHOOSE(AX54,K54,O54,S54,W54,AA54,AE54,AI54,AM54))-MIN(N(CHOOSE(AX54,'Debt List'!$F$5,'Debt List'!$F$6,'Debt List'!$F$7,'Debt List'!$F$8,'Debt List'!$F$9,'Debt List'!$F$10,'Debt List'!$F$11,'Debt List'!$F$12)),N(CHOOSE(AX54,J54,N54,R54,V54,Z54,AD54,AH54,AL54))+N(CHOOSE(AX54,K54,O54,S54,W54,AA54,AE54,AI54,AM54))))),0))</f>
        <v/>
      </c>
      <c r="AZ54">
        <f>MIN(N(AY54),MAX(0,N(AW54)))</f>
        <v/>
      </c>
      <c r="BA54">
        <f>MAX(0,N(AW54)-N(AZ54))</f>
        <v/>
      </c>
      <c r="BB54">
        <f>IFERROR(MATCH(4,OrderPlan,0),"")</f>
        <v/>
      </c>
      <c r="BC54">
        <f>IF(BB54="",0,IFERROR(IF(N(CHOOSE(BB54,J54,N54,R54,V54,Z54,AD54,AH54,AL54))&lt;=0.005,0,MAX(0,N(CHOOSE(BB54,J54,N54,R54,V54,Z54,AD54,AH54,AL54))+N(CHOOSE(BB54,K54,O54,S54,W54,AA54,AE54,AI54,AM54))-MIN(N(CHOOSE(BB54,'Debt List'!$F$5,'Debt List'!$F$6,'Debt List'!$F$7,'Debt List'!$F$8,'Debt List'!$F$9,'Debt List'!$F$10,'Debt List'!$F$11,'Debt List'!$F$12)),N(CHOOSE(BB54,J54,N54,R54,V54,Z54,AD54,AH54,AL54))+N(CHOOSE(BB54,K54,O54,S54,W54,AA54,AE54,AI54,AM54))))),0))</f>
        <v/>
      </c>
      <c r="BD54">
        <f>MIN(N(BC54),MAX(0,N(BA54)))</f>
        <v/>
      </c>
      <c r="BE54">
        <f>MAX(0,N(BA54)-N(BD54))</f>
        <v/>
      </c>
      <c r="BF54">
        <f>IFERROR(MATCH(5,OrderPlan,0),"")</f>
        <v/>
      </c>
      <c r="BG54">
        <f>IF(BF54="",0,IFERROR(IF(N(CHOOSE(BF54,J54,N54,R54,V54,Z54,AD54,AH54,AL54))&lt;=0.005,0,MAX(0,N(CHOOSE(BF54,J54,N54,R54,V54,Z54,AD54,AH54,AL54))+N(CHOOSE(BF54,K54,O54,S54,W54,AA54,AE54,AI54,AM54))-MIN(N(CHOOSE(BF54,'Debt List'!$F$5,'Debt List'!$F$6,'Debt List'!$F$7,'Debt List'!$F$8,'Debt List'!$F$9,'Debt List'!$F$10,'Debt List'!$F$11,'Debt List'!$F$12)),N(CHOOSE(BF54,J54,N54,R54,V54,Z54,AD54,AH54,AL54))+N(CHOOSE(BF54,K54,O54,S54,W54,AA54,AE54,AI54,AM54))))),0))</f>
        <v/>
      </c>
      <c r="BH54">
        <f>MIN(N(BG54),MAX(0,N(BE54)))</f>
        <v/>
      </c>
      <c r="BI54">
        <f>MAX(0,N(BE54)-N(BH54))</f>
        <v/>
      </c>
      <c r="BJ54">
        <f>IFERROR(MATCH(6,OrderPlan,0),"")</f>
        <v/>
      </c>
      <c r="BK54">
        <f>IF(BJ54="",0,IFERROR(IF(N(CHOOSE(BJ54,J54,N54,R54,V54,Z54,AD54,AH54,AL54))&lt;=0.005,0,MAX(0,N(CHOOSE(BJ54,J54,N54,R54,V54,Z54,AD54,AH54,AL54))+N(CHOOSE(BJ54,K54,O54,S54,W54,AA54,AE54,AI54,AM54))-MIN(N(CHOOSE(BJ54,'Debt List'!$F$5,'Debt List'!$F$6,'Debt List'!$F$7,'Debt List'!$F$8,'Debt List'!$F$9,'Debt List'!$F$10,'Debt List'!$F$11,'Debt List'!$F$12)),N(CHOOSE(BJ54,J54,N54,R54,V54,Z54,AD54,AH54,AL54))+N(CHOOSE(BJ54,K54,O54,S54,W54,AA54,AE54,AI54,AM54))))),0))</f>
        <v/>
      </c>
      <c r="BL54">
        <f>MIN(N(BK54),MAX(0,N(BI54)))</f>
        <v/>
      </c>
      <c r="BM54">
        <f>MAX(0,N(BI54)-N(BL54))</f>
        <v/>
      </c>
      <c r="BN54">
        <f>IFERROR(MATCH(7,OrderPlan,0),"")</f>
        <v/>
      </c>
      <c r="BO54">
        <f>IF(BN54="",0,IFERROR(IF(N(CHOOSE(BN54,J54,N54,R54,V54,Z54,AD54,AH54,AL54))&lt;=0.005,0,MAX(0,N(CHOOSE(BN54,J54,N54,R54,V54,Z54,AD54,AH54,AL54))+N(CHOOSE(BN54,K54,O54,S54,W54,AA54,AE54,AI54,AM54))-MIN(N(CHOOSE(BN54,'Debt List'!$F$5,'Debt List'!$F$6,'Debt List'!$F$7,'Debt List'!$F$8,'Debt List'!$F$9,'Debt List'!$F$10,'Debt List'!$F$11,'Debt List'!$F$12)),N(CHOOSE(BN54,J54,N54,R54,V54,Z54,AD54,AH54,AL54))+N(CHOOSE(BN54,K54,O54,S54,W54,AA54,AE54,AI54,AM54))))),0))</f>
        <v/>
      </c>
      <c r="BP54">
        <f>MIN(N(BO54),MAX(0,N(BM54)))</f>
        <v/>
      </c>
      <c r="BQ54">
        <f>MAX(0,N(BM54)-N(BP54))</f>
        <v/>
      </c>
      <c r="BR54">
        <f>IFERROR(MATCH(8,OrderPlan,0),"")</f>
        <v/>
      </c>
      <c r="BS54">
        <f>IF(BR54="",0,IFERROR(IF(N(CHOOSE(BR54,J54,N54,R54,V54,Z54,AD54,AH54,AL54))&lt;=0.005,0,MAX(0,N(CHOOSE(BR54,J54,N54,R54,V54,Z54,AD54,AH54,AL54))+N(CHOOSE(BR54,K54,O54,S54,W54,AA54,AE54,AI54,AM54))-MIN(N(CHOOSE(BR54,'Debt List'!$F$5,'Debt List'!$F$6,'Debt List'!$F$7,'Debt List'!$F$8,'Debt List'!$F$9,'Debt List'!$F$10,'Debt List'!$F$11,'Debt List'!$F$12)),N(CHOOSE(BR54,J54,N54,R54,V54,Z54,AD54,AH54,AL54))+N(CHOOSE(BR54,K54,O54,S54,W54,AA54,AE54,AI54,AM54))))),0))</f>
        <v/>
      </c>
      <c r="BT54">
        <f>MIN(N(BS54),MAX(0,N(BQ54)))</f>
        <v/>
      </c>
      <c r="BU54">
        <f>MAX(0,N(BQ54)-N(BT54))</f>
        <v/>
      </c>
      <c r="CC54" t="n">
        <v>50</v>
      </c>
      <c r="CD54" s="115">
        <f>DATE(YEAR(PlanStart),MONTH(PlanStart)+CC54-1,1)</f>
        <v/>
      </c>
      <c r="CE54">
        <f>IF(AND(DR54&lt;&gt;"",N(CHOOSE(DR54,CL54,CP54,CT54,CX54,DB54,DF54,DJ54,DN54))&gt;0.005),INDEX(DebtNames,DR54),IF(AND(DV54&lt;&gt;"",N(CHOOSE(DV54,CL54,CP54,CT54,CX54,DB54,DF54,DJ54,DN54))&gt;0.005),INDEX(DebtNames,DV54),IF(AND(DZ54&lt;&gt;"",N(CHOOSE(DZ54,CL54,CP54,CT54,CX54,DB54,DF54,DJ54,DN54))&gt;0.005),INDEX(DebtNames,DZ54),IF(AND(ED54&lt;&gt;"",N(CHOOSE(ED54,CL54,CP54,CT54,CX54,DB54,DF54,DJ54,DN54))&gt;0.005),INDEX(DebtNames,ED54),IF(AND(EH54&lt;&gt;"",N(CHOOSE(EH54,CL54,CP54,CT54,CX54,DB54,DF54,DJ54,DN54))&gt;0.005),INDEX(DebtNames,EH54),IF(AND(EL54&lt;&gt;"",N(CHOOSE(EL54,CL54,CP54,CT54,CX54,DB54,DF54,DJ54,DN54))&gt;0.005),INDEX(DebtNames,EL54),IF(AND(EP54&lt;&gt;"",N(CHOOSE(EP54,CL54,CP54,CT54,CX54,DB54,DF54,DJ54,DN54))&gt;0.005),INDEX(DebtNames,EP54),IF(AND(ET54&lt;&gt;"",N(CHOOSE(ET54,CL54,CP54,CT54,CX54,DB54,DF54,DJ54,DN54))&gt;0.005),INDEX(DebtNames,ET54),""))))))))</f>
        <v/>
      </c>
      <c r="CF54">
        <f>N(EW54)</f>
        <v/>
      </c>
      <c r="CG54">
        <f>N(CN54)+N(CR54)+N(CV54)+N(CZ54)+N(DD54)+N(DH54)+N(DL54)+N(DP54)</f>
        <v/>
      </c>
      <c r="CH54">
        <f>N(CM54)+N(CQ54)+N(CU54)+N(CY54)+N(DC54)+N(DG54)+N(DK54)+N(DO54)</f>
        <v/>
      </c>
      <c r="CI54">
        <f>N(CI53)+N(CH54)</f>
        <v/>
      </c>
      <c r="CJ54">
        <f>N(CO54)+N(CS54)+N(CW54)+N(DA54)+N(DE54)+N(DI54)+N(DM54)+N(DQ54)</f>
        <v/>
      </c>
      <c r="CK54">
        <f>(CO54&gt;0.005)*1+(CS54&gt;0.005)*1+(CW54&gt;0.005)*1+(DA54&gt;0.005)*1+(DE54&gt;0.005)*1+(DI54&gt;0.005)*1+(DM54&gt;0.005)*1+(DQ54&gt;0.005)*1</f>
        <v/>
      </c>
      <c r="CL54">
        <f>N(CO53)</f>
        <v/>
      </c>
      <c r="CM54">
        <f>IF(N(CL54)&lt;=0.005,0,ROUND(N(CL54)*N('Debt List'!E5)/12,2))</f>
        <v/>
      </c>
      <c r="CN54">
        <f>IF(N(CL54)&lt;=0.005,0,MIN(N('Debt List'!F5),N(CL54)+N(CM54)))+((DR54=1)*DT54+(DV54=1)*DX54+(DZ54=1)*EB54+(ED54=1)*EF54+(EH54=1)*EJ54+(EL54=1)*EN54+(EP54=1)*ER54+(ET54=1)*EV54)</f>
        <v/>
      </c>
      <c r="CO54">
        <f>MAX(0,ROUND(N(CL54)+N(CM54)-N(CN54),2))</f>
        <v/>
      </c>
      <c r="CP54">
        <f>N(CS53)</f>
        <v/>
      </c>
      <c r="CQ54">
        <f>IF(N(CP54)&lt;=0.005,0,ROUND(N(CP54)*N('Debt List'!E6)/12,2))</f>
        <v/>
      </c>
      <c r="CR54">
        <f>IF(N(CP54)&lt;=0.005,0,MIN(N('Debt List'!F6),N(CP54)+N(CQ54)))+((DR54=2)*DT54+(DV54=2)*DX54+(DZ54=2)*EB54+(ED54=2)*EF54+(EH54=2)*EJ54+(EL54=2)*EN54+(EP54=2)*ER54+(ET54=2)*EV54)</f>
        <v/>
      </c>
      <c r="CS54">
        <f>MAX(0,ROUND(N(CP54)+N(CQ54)-N(CR54),2))</f>
        <v/>
      </c>
      <c r="CT54">
        <f>N(CW53)</f>
        <v/>
      </c>
      <c r="CU54">
        <f>IF(N(CT54)&lt;=0.005,0,ROUND(N(CT54)*N('Debt List'!E7)/12,2))</f>
        <v/>
      </c>
      <c r="CV54">
        <f>IF(N(CT54)&lt;=0.005,0,MIN(N('Debt List'!F7),N(CT54)+N(CU54)))+((DR54=3)*DT54+(DV54=3)*DX54+(DZ54=3)*EB54+(ED54=3)*EF54+(EH54=3)*EJ54+(EL54=3)*EN54+(EP54=3)*ER54+(ET54=3)*EV54)</f>
        <v/>
      </c>
      <c r="CW54">
        <f>MAX(0,ROUND(N(CT54)+N(CU54)-N(CV54),2))</f>
        <v/>
      </c>
      <c r="CX54">
        <f>N(DA53)</f>
        <v/>
      </c>
      <c r="CY54">
        <f>IF(N(CX54)&lt;=0.005,0,ROUND(N(CX54)*N('Debt List'!E8)/12,2))</f>
        <v/>
      </c>
      <c r="CZ54">
        <f>IF(N(CX54)&lt;=0.005,0,MIN(N('Debt List'!F8),N(CX54)+N(CY54)))+((DR54=4)*DT54+(DV54=4)*DX54+(DZ54=4)*EB54+(ED54=4)*EF54+(EH54=4)*EJ54+(EL54=4)*EN54+(EP54=4)*ER54+(ET54=4)*EV54)</f>
        <v/>
      </c>
      <c r="DA54">
        <f>MAX(0,ROUND(N(CX54)+N(CY54)-N(CZ54),2))</f>
        <v/>
      </c>
      <c r="DB54">
        <f>N(DE53)</f>
        <v/>
      </c>
      <c r="DC54">
        <f>IF(N(DB54)&lt;=0.005,0,ROUND(N(DB54)*N('Debt List'!E9)/12,2))</f>
        <v/>
      </c>
      <c r="DD54">
        <f>IF(N(DB54)&lt;=0.005,0,MIN(N('Debt List'!F9),N(DB54)+N(DC54)))+((DR54=5)*DT54+(DV54=5)*DX54+(DZ54=5)*EB54+(ED54=5)*EF54+(EH54=5)*EJ54+(EL54=5)*EN54+(EP54=5)*ER54+(ET54=5)*EV54)</f>
        <v/>
      </c>
      <c r="DE54">
        <f>MAX(0,ROUND(N(DB54)+N(DC54)-N(DD54),2))</f>
        <v/>
      </c>
      <c r="DF54">
        <f>N(DI53)</f>
        <v/>
      </c>
      <c r="DG54">
        <f>IF(N(DF54)&lt;=0.005,0,ROUND(N(DF54)*N('Debt List'!E10)/12,2))</f>
        <v/>
      </c>
      <c r="DH54">
        <f>IF(N(DF54)&lt;=0.005,0,MIN(N('Debt List'!F10),N(DF54)+N(DG54)))+((DR54=6)*DT54+(DV54=6)*DX54+(DZ54=6)*EB54+(ED54=6)*EF54+(EH54=6)*EJ54+(EL54=6)*EN54+(EP54=6)*ER54+(ET54=6)*EV54)</f>
        <v/>
      </c>
      <c r="DI54">
        <f>MAX(0,ROUND(N(DF54)+N(DG54)-N(DH54),2))</f>
        <v/>
      </c>
      <c r="DJ54">
        <f>N(DM53)</f>
        <v/>
      </c>
      <c r="DK54">
        <f>IF(N(DJ54)&lt;=0.005,0,ROUND(N(DJ54)*N('Debt List'!E11)/12,2))</f>
        <v/>
      </c>
      <c r="DL54">
        <f>IF(N(DJ54)&lt;=0.005,0,MIN(N('Debt List'!F11),N(DJ54)+N(DK54)))+((DR54=7)*DT54+(DV54=7)*DX54+(DZ54=7)*EB54+(ED54=7)*EF54+(EH54=7)*EJ54+(EL54=7)*EN54+(EP54=7)*ER54+(ET54=7)*EV54)</f>
        <v/>
      </c>
      <c r="DM54">
        <f>MAX(0,ROUND(N(DJ54)+N(DK54)-N(DL54),2))</f>
        <v/>
      </c>
      <c r="DN54">
        <f>N(DQ53)</f>
        <v/>
      </c>
      <c r="DO54">
        <f>IF(N(DN54)&lt;=0.005,0,ROUND(N(DN54)*N('Debt List'!E12)/12,2))</f>
        <v/>
      </c>
      <c r="DP54">
        <f>IF(N(DN54)&lt;=0.005,0,MIN(N('Debt List'!F12),N(DN54)+N(DO54)))+((DR54=8)*DT54+(DV54=8)*DX54+(DZ54=8)*EB54+(ED54=8)*EF54+(EH54=8)*EJ54+(EL54=8)*EN54+(EP54=8)*ER54+(ET54=8)*EV54)</f>
        <v/>
      </c>
      <c r="DQ54">
        <f>MAX(0,ROUND(N(DN54)+N(DO54)-N(DP54),2))</f>
        <v/>
      </c>
      <c r="DR54">
        <f>IFERROR(MATCH(1,OrderSnow,0),"")</f>
        <v/>
      </c>
      <c r="DS54">
        <f>IF(DR54="",0,IFERROR(IF(N(CHOOSE(DR54,CL54,CP54,CT54,CX54,DB54,DF54,DJ54,DN54))&lt;=0.005,0,MAX(0,N(CHOOSE(DR54,CL54,CP54,CT54,CX54,DB54,DF54,DJ54,DN54))+N(CHOOSE(DR54,CM54,CQ54,CU54,CY54,DC54,DG54,DK54,DO54))-MIN(N(CHOOSE(DR54,'Debt List'!$F$5,'Debt List'!$F$6,'Debt List'!$F$7,'Debt List'!$F$8,'Debt List'!$F$9,'Debt List'!$F$10,'Debt List'!$F$11,'Debt List'!$F$12)),N(CHOOSE(DR54,CL54,CP54,CT54,CX54,DB54,DF54,DJ54,DN54))+N(CHOOSE(DR54,CM54,CQ54,CU54,CY54,DC54,DG54,DK54,DO54))))),0))</f>
        <v/>
      </c>
      <c r="DT54">
        <f>MIN(N(DS54),MAX(0,N(ExtraPayment)))</f>
        <v/>
      </c>
      <c r="DU54">
        <f>MAX(0,N(ExtraPayment)-N(DT54))</f>
        <v/>
      </c>
      <c r="DV54">
        <f>IFERROR(MATCH(2,OrderSnow,0),"")</f>
        <v/>
      </c>
      <c r="DW54">
        <f>IF(DV54="",0,IFERROR(IF(N(CHOOSE(DV54,CL54,CP54,CT54,CX54,DB54,DF54,DJ54,DN54))&lt;=0.005,0,MAX(0,N(CHOOSE(DV54,CL54,CP54,CT54,CX54,DB54,DF54,DJ54,DN54))+N(CHOOSE(DV54,CM54,CQ54,CU54,CY54,DC54,DG54,DK54,DO54))-MIN(N(CHOOSE(DV54,'Debt List'!$F$5,'Debt List'!$F$6,'Debt List'!$F$7,'Debt List'!$F$8,'Debt List'!$F$9,'Debt List'!$F$10,'Debt List'!$F$11,'Debt List'!$F$12)),N(CHOOSE(DV54,CL54,CP54,CT54,CX54,DB54,DF54,DJ54,DN54))+N(CHOOSE(DV54,CM54,CQ54,CU54,CY54,DC54,DG54,DK54,DO54))))),0))</f>
        <v/>
      </c>
      <c r="DX54">
        <f>MIN(N(DW54),MAX(0,N(DU54)))</f>
        <v/>
      </c>
      <c r="DY54">
        <f>MAX(0,N(DU54)-N(DX54))</f>
        <v/>
      </c>
      <c r="DZ54">
        <f>IFERROR(MATCH(3,OrderSnow,0),"")</f>
        <v/>
      </c>
      <c r="EA54">
        <f>IF(DZ54="",0,IFERROR(IF(N(CHOOSE(DZ54,CL54,CP54,CT54,CX54,DB54,DF54,DJ54,DN54))&lt;=0.005,0,MAX(0,N(CHOOSE(DZ54,CL54,CP54,CT54,CX54,DB54,DF54,DJ54,DN54))+N(CHOOSE(DZ54,CM54,CQ54,CU54,CY54,DC54,DG54,DK54,DO54))-MIN(N(CHOOSE(DZ54,'Debt List'!$F$5,'Debt List'!$F$6,'Debt List'!$F$7,'Debt List'!$F$8,'Debt List'!$F$9,'Debt List'!$F$10,'Debt List'!$F$11,'Debt List'!$F$12)),N(CHOOSE(DZ54,CL54,CP54,CT54,CX54,DB54,DF54,DJ54,DN54))+N(CHOOSE(DZ54,CM54,CQ54,CU54,CY54,DC54,DG54,DK54,DO54))))),0))</f>
        <v/>
      </c>
      <c r="EB54">
        <f>MIN(N(EA54),MAX(0,N(DY54)))</f>
        <v/>
      </c>
      <c r="EC54">
        <f>MAX(0,N(DY54)-N(EB54))</f>
        <v/>
      </c>
      <c r="ED54">
        <f>IFERROR(MATCH(4,OrderSnow,0),"")</f>
        <v/>
      </c>
      <c r="EE54">
        <f>IF(ED54="",0,IFERROR(IF(N(CHOOSE(ED54,CL54,CP54,CT54,CX54,DB54,DF54,DJ54,DN54))&lt;=0.005,0,MAX(0,N(CHOOSE(ED54,CL54,CP54,CT54,CX54,DB54,DF54,DJ54,DN54))+N(CHOOSE(ED54,CM54,CQ54,CU54,CY54,DC54,DG54,DK54,DO54))-MIN(N(CHOOSE(ED54,'Debt List'!$F$5,'Debt List'!$F$6,'Debt List'!$F$7,'Debt List'!$F$8,'Debt List'!$F$9,'Debt List'!$F$10,'Debt List'!$F$11,'Debt List'!$F$12)),N(CHOOSE(ED54,CL54,CP54,CT54,CX54,DB54,DF54,DJ54,DN54))+N(CHOOSE(ED54,CM54,CQ54,CU54,CY54,DC54,DG54,DK54,DO54))))),0))</f>
        <v/>
      </c>
      <c r="EF54">
        <f>MIN(N(EE54),MAX(0,N(EC54)))</f>
        <v/>
      </c>
      <c r="EG54">
        <f>MAX(0,N(EC54)-N(EF54))</f>
        <v/>
      </c>
      <c r="EH54">
        <f>IFERROR(MATCH(5,OrderSnow,0),"")</f>
        <v/>
      </c>
      <c r="EI54">
        <f>IF(EH54="",0,IFERROR(IF(N(CHOOSE(EH54,CL54,CP54,CT54,CX54,DB54,DF54,DJ54,DN54))&lt;=0.005,0,MAX(0,N(CHOOSE(EH54,CL54,CP54,CT54,CX54,DB54,DF54,DJ54,DN54))+N(CHOOSE(EH54,CM54,CQ54,CU54,CY54,DC54,DG54,DK54,DO54))-MIN(N(CHOOSE(EH54,'Debt List'!$F$5,'Debt List'!$F$6,'Debt List'!$F$7,'Debt List'!$F$8,'Debt List'!$F$9,'Debt List'!$F$10,'Debt List'!$F$11,'Debt List'!$F$12)),N(CHOOSE(EH54,CL54,CP54,CT54,CX54,DB54,DF54,DJ54,DN54))+N(CHOOSE(EH54,CM54,CQ54,CU54,CY54,DC54,DG54,DK54,DO54))))),0))</f>
        <v/>
      </c>
      <c r="EJ54">
        <f>MIN(N(EI54),MAX(0,N(EG54)))</f>
        <v/>
      </c>
      <c r="EK54">
        <f>MAX(0,N(EG54)-N(EJ54))</f>
        <v/>
      </c>
      <c r="EL54">
        <f>IFERROR(MATCH(6,OrderSnow,0),"")</f>
        <v/>
      </c>
      <c r="EM54">
        <f>IF(EL54="",0,IFERROR(IF(N(CHOOSE(EL54,CL54,CP54,CT54,CX54,DB54,DF54,DJ54,DN54))&lt;=0.005,0,MAX(0,N(CHOOSE(EL54,CL54,CP54,CT54,CX54,DB54,DF54,DJ54,DN54))+N(CHOOSE(EL54,CM54,CQ54,CU54,CY54,DC54,DG54,DK54,DO54))-MIN(N(CHOOSE(EL54,'Debt List'!$F$5,'Debt List'!$F$6,'Debt List'!$F$7,'Debt List'!$F$8,'Debt List'!$F$9,'Debt List'!$F$10,'Debt List'!$F$11,'Debt List'!$F$12)),N(CHOOSE(EL54,CL54,CP54,CT54,CX54,DB54,DF54,DJ54,DN54))+N(CHOOSE(EL54,CM54,CQ54,CU54,CY54,DC54,DG54,DK54,DO54))))),0))</f>
        <v/>
      </c>
      <c r="EN54">
        <f>MIN(N(EM54),MAX(0,N(EK54)))</f>
        <v/>
      </c>
      <c r="EO54">
        <f>MAX(0,N(EK54)-N(EN54))</f>
        <v/>
      </c>
      <c r="EP54">
        <f>IFERROR(MATCH(7,OrderSnow,0),"")</f>
        <v/>
      </c>
      <c r="EQ54">
        <f>IF(EP54="",0,IFERROR(IF(N(CHOOSE(EP54,CL54,CP54,CT54,CX54,DB54,DF54,DJ54,DN54))&lt;=0.005,0,MAX(0,N(CHOOSE(EP54,CL54,CP54,CT54,CX54,DB54,DF54,DJ54,DN54))+N(CHOOSE(EP54,CM54,CQ54,CU54,CY54,DC54,DG54,DK54,DO54))-MIN(N(CHOOSE(EP54,'Debt List'!$F$5,'Debt List'!$F$6,'Debt List'!$F$7,'Debt List'!$F$8,'Debt List'!$F$9,'Debt List'!$F$10,'Debt List'!$F$11,'Debt List'!$F$12)),N(CHOOSE(EP54,CL54,CP54,CT54,CX54,DB54,DF54,DJ54,DN54))+N(CHOOSE(EP54,CM54,CQ54,CU54,CY54,DC54,DG54,DK54,DO54))))),0))</f>
        <v/>
      </c>
      <c r="ER54">
        <f>MIN(N(EQ54),MAX(0,N(EO54)))</f>
        <v/>
      </c>
      <c r="ES54">
        <f>MAX(0,N(EO54)-N(ER54))</f>
        <v/>
      </c>
      <c r="ET54">
        <f>IFERROR(MATCH(8,OrderSnow,0),"")</f>
        <v/>
      </c>
      <c r="EU54">
        <f>IF(ET54="",0,IFERROR(IF(N(CHOOSE(ET54,CL54,CP54,CT54,CX54,DB54,DF54,DJ54,DN54))&lt;=0.005,0,MAX(0,N(CHOOSE(ET54,CL54,CP54,CT54,CX54,DB54,DF54,DJ54,DN54))+N(CHOOSE(ET54,CM54,CQ54,CU54,CY54,DC54,DG54,DK54,DO54))-MIN(N(CHOOSE(ET54,'Debt List'!$F$5,'Debt List'!$F$6,'Debt List'!$F$7,'Debt List'!$F$8,'Debt List'!$F$9,'Debt List'!$F$10,'Debt List'!$F$11,'Debt List'!$F$12)),N(CHOOSE(ET54,CL54,CP54,CT54,CX54,DB54,DF54,DJ54,DN54))+N(CHOOSE(ET54,CM54,CQ54,CU54,CY54,DC54,DG54,DK54,DO54))))),0))</f>
        <v/>
      </c>
      <c r="EV54">
        <f>MIN(N(EU54),MAX(0,N(ES54)))</f>
        <v/>
      </c>
      <c r="EW54">
        <f>MAX(0,N(ES54)-N(EV54))</f>
        <v/>
      </c>
      <c r="FE54" t="n">
        <v>50</v>
      </c>
      <c r="FF54" s="115">
        <f>DATE(YEAR(PlanStart),MONTH(PlanStart)+FE54-1,1)</f>
        <v/>
      </c>
      <c r="FG54">
        <f>IF(AND(GT54&lt;&gt;"",N(CHOOSE(GT54,FN54,FR54,FV54,FZ54,GD54,GH54,GL54,GP54))&gt;0.005),INDEX(DebtNames,GT54),IF(AND(GX54&lt;&gt;"",N(CHOOSE(GX54,FN54,FR54,FV54,FZ54,GD54,GH54,GL54,GP54))&gt;0.005),INDEX(DebtNames,GX54),IF(AND(HB54&lt;&gt;"",N(CHOOSE(HB54,FN54,FR54,FV54,FZ54,GD54,GH54,GL54,GP54))&gt;0.005),INDEX(DebtNames,HB54),IF(AND(HF54&lt;&gt;"",N(CHOOSE(HF54,FN54,FR54,FV54,FZ54,GD54,GH54,GL54,GP54))&gt;0.005),INDEX(DebtNames,HF54),IF(AND(HJ54&lt;&gt;"",N(CHOOSE(HJ54,FN54,FR54,FV54,FZ54,GD54,GH54,GL54,GP54))&gt;0.005),INDEX(DebtNames,HJ54),IF(AND(HN54&lt;&gt;"",N(CHOOSE(HN54,FN54,FR54,FV54,FZ54,GD54,GH54,GL54,GP54))&gt;0.005),INDEX(DebtNames,HN54),IF(AND(HR54&lt;&gt;"",N(CHOOSE(HR54,FN54,FR54,FV54,FZ54,GD54,GH54,GL54,GP54))&gt;0.005),INDEX(DebtNames,HR54),IF(AND(HV54&lt;&gt;"",N(CHOOSE(HV54,FN54,FR54,FV54,FZ54,GD54,GH54,GL54,GP54))&gt;0.005),INDEX(DebtNames,HV54),""))))))))</f>
        <v/>
      </c>
      <c r="FH54">
        <f>N(HY54)</f>
        <v/>
      </c>
      <c r="FI54">
        <f>N(FP54)+N(FT54)+N(FX54)+N(GB54)+N(GF54)+N(GJ54)+N(GN54)+N(GR54)</f>
        <v/>
      </c>
      <c r="FJ54">
        <f>N(FO54)+N(FS54)+N(FW54)+N(GA54)+N(GE54)+N(GI54)+N(GM54)+N(GQ54)</f>
        <v/>
      </c>
      <c r="FK54">
        <f>N(FK53)+N(FJ54)</f>
        <v/>
      </c>
      <c r="FL54">
        <f>N(FQ54)+N(FU54)+N(FY54)+N(GC54)+N(GG54)+N(GK54)+N(GO54)+N(GS54)</f>
        <v/>
      </c>
      <c r="FM54">
        <f>(FQ54&gt;0.005)*1+(FU54&gt;0.005)*1+(FY54&gt;0.005)*1+(GC54&gt;0.005)*1+(GG54&gt;0.005)*1+(GK54&gt;0.005)*1+(GO54&gt;0.005)*1+(GS54&gt;0.005)*1</f>
        <v/>
      </c>
      <c r="FN54">
        <f>N(FQ53)</f>
        <v/>
      </c>
      <c r="FO54">
        <f>IF(N(FN54)&lt;=0.005,0,ROUND(N(FN54)*N('Debt List'!E5)/12,2))</f>
        <v/>
      </c>
      <c r="FP54">
        <f>IF(N(FN54)&lt;=0.005,0,MIN(N('Debt List'!F5),N(FN54)+N(FO54)))+((GT54=1)*GV54+(GX54=1)*GZ54+(HB54=1)*HD54+(HF54=1)*HH54+(HJ54=1)*HL54+(HN54=1)*HP54+(HR54=1)*HT54+(HV54=1)*HX54)</f>
        <v/>
      </c>
      <c r="FQ54">
        <f>MAX(0,ROUND(N(FN54)+N(FO54)-N(FP54),2))</f>
        <v/>
      </c>
      <c r="FR54">
        <f>N(FU53)</f>
        <v/>
      </c>
      <c r="FS54">
        <f>IF(N(FR54)&lt;=0.005,0,ROUND(N(FR54)*N('Debt List'!E6)/12,2))</f>
        <v/>
      </c>
      <c r="FT54">
        <f>IF(N(FR54)&lt;=0.005,0,MIN(N('Debt List'!F6),N(FR54)+N(FS54)))+((GT54=2)*GV54+(GX54=2)*GZ54+(HB54=2)*HD54+(HF54=2)*HH54+(HJ54=2)*HL54+(HN54=2)*HP54+(HR54=2)*HT54+(HV54=2)*HX54)</f>
        <v/>
      </c>
      <c r="FU54">
        <f>MAX(0,ROUND(N(FR54)+N(FS54)-N(FT54),2))</f>
        <v/>
      </c>
      <c r="FV54">
        <f>N(FY53)</f>
        <v/>
      </c>
      <c r="FW54">
        <f>IF(N(FV54)&lt;=0.005,0,ROUND(N(FV54)*N('Debt List'!E7)/12,2))</f>
        <v/>
      </c>
      <c r="FX54">
        <f>IF(N(FV54)&lt;=0.005,0,MIN(N('Debt List'!F7),N(FV54)+N(FW54)))+((GT54=3)*GV54+(GX54=3)*GZ54+(HB54=3)*HD54+(HF54=3)*HH54+(HJ54=3)*HL54+(HN54=3)*HP54+(HR54=3)*HT54+(HV54=3)*HX54)</f>
        <v/>
      </c>
      <c r="FY54">
        <f>MAX(0,ROUND(N(FV54)+N(FW54)-N(FX54),2))</f>
        <v/>
      </c>
      <c r="FZ54">
        <f>N(GC53)</f>
        <v/>
      </c>
      <c r="GA54">
        <f>IF(N(FZ54)&lt;=0.005,0,ROUND(N(FZ54)*N('Debt List'!E8)/12,2))</f>
        <v/>
      </c>
      <c r="GB54">
        <f>IF(N(FZ54)&lt;=0.005,0,MIN(N('Debt List'!F8),N(FZ54)+N(GA54)))+((GT54=4)*GV54+(GX54=4)*GZ54+(HB54=4)*HD54+(HF54=4)*HH54+(HJ54=4)*HL54+(HN54=4)*HP54+(HR54=4)*HT54+(HV54=4)*HX54)</f>
        <v/>
      </c>
      <c r="GC54">
        <f>MAX(0,ROUND(N(FZ54)+N(GA54)-N(GB54),2))</f>
        <v/>
      </c>
      <c r="GD54">
        <f>N(GG53)</f>
        <v/>
      </c>
      <c r="GE54">
        <f>IF(N(GD54)&lt;=0.005,0,ROUND(N(GD54)*N('Debt List'!E9)/12,2))</f>
        <v/>
      </c>
      <c r="GF54">
        <f>IF(N(GD54)&lt;=0.005,0,MIN(N('Debt List'!F9),N(GD54)+N(GE54)))+((GT54=5)*GV54+(GX54=5)*GZ54+(HB54=5)*HD54+(HF54=5)*HH54+(HJ54=5)*HL54+(HN54=5)*HP54+(HR54=5)*HT54+(HV54=5)*HX54)</f>
        <v/>
      </c>
      <c r="GG54">
        <f>MAX(0,ROUND(N(GD54)+N(GE54)-N(GF54),2))</f>
        <v/>
      </c>
      <c r="GH54">
        <f>N(GK53)</f>
        <v/>
      </c>
      <c r="GI54">
        <f>IF(N(GH54)&lt;=0.005,0,ROUND(N(GH54)*N('Debt List'!E10)/12,2))</f>
        <v/>
      </c>
      <c r="GJ54">
        <f>IF(N(GH54)&lt;=0.005,0,MIN(N('Debt List'!F10),N(GH54)+N(GI54)))+((GT54=6)*GV54+(GX54=6)*GZ54+(HB54=6)*HD54+(HF54=6)*HH54+(HJ54=6)*HL54+(HN54=6)*HP54+(HR54=6)*HT54+(HV54=6)*HX54)</f>
        <v/>
      </c>
      <c r="GK54">
        <f>MAX(0,ROUND(N(GH54)+N(GI54)-N(GJ54),2))</f>
        <v/>
      </c>
      <c r="GL54">
        <f>N(GO53)</f>
        <v/>
      </c>
      <c r="GM54">
        <f>IF(N(GL54)&lt;=0.005,0,ROUND(N(GL54)*N('Debt List'!E11)/12,2))</f>
        <v/>
      </c>
      <c r="GN54">
        <f>IF(N(GL54)&lt;=0.005,0,MIN(N('Debt List'!F11),N(GL54)+N(GM54)))+((GT54=7)*GV54+(GX54=7)*GZ54+(HB54=7)*HD54+(HF54=7)*HH54+(HJ54=7)*HL54+(HN54=7)*HP54+(HR54=7)*HT54+(HV54=7)*HX54)</f>
        <v/>
      </c>
      <c r="GO54">
        <f>MAX(0,ROUND(N(GL54)+N(GM54)-N(GN54),2))</f>
        <v/>
      </c>
      <c r="GP54">
        <f>N(GS53)</f>
        <v/>
      </c>
      <c r="GQ54">
        <f>IF(N(GP54)&lt;=0.005,0,ROUND(N(GP54)*N('Debt List'!E12)/12,2))</f>
        <v/>
      </c>
      <c r="GR54">
        <f>IF(N(GP54)&lt;=0.005,0,MIN(N('Debt List'!F12),N(GP54)+N(GQ54)))+((GT54=8)*GV54+(GX54=8)*GZ54+(HB54=8)*HD54+(HF54=8)*HH54+(HJ54=8)*HL54+(HN54=8)*HP54+(HR54=8)*HT54+(HV54=8)*HX54)</f>
        <v/>
      </c>
      <c r="GS54">
        <f>MAX(0,ROUND(N(GP54)+N(GQ54)-N(GR54),2))</f>
        <v/>
      </c>
      <c r="GT54">
        <f>IFERROR(MATCH(1,OrderAval,0),"")</f>
        <v/>
      </c>
      <c r="GU54">
        <f>IF(GT54="",0,IFERROR(IF(N(CHOOSE(GT54,FN54,FR54,FV54,FZ54,GD54,GH54,GL54,GP54))&lt;=0.005,0,MAX(0,N(CHOOSE(GT54,FN54,FR54,FV54,FZ54,GD54,GH54,GL54,GP54))+N(CHOOSE(GT54,FO54,FS54,FW54,GA54,GE54,GI54,GM54,GQ54))-MIN(N(CHOOSE(GT54,'Debt List'!$F$5,'Debt List'!$F$6,'Debt List'!$F$7,'Debt List'!$F$8,'Debt List'!$F$9,'Debt List'!$F$10,'Debt List'!$F$11,'Debt List'!$F$12)),N(CHOOSE(GT54,FN54,FR54,FV54,FZ54,GD54,GH54,GL54,GP54))+N(CHOOSE(GT54,FO54,FS54,FW54,GA54,GE54,GI54,GM54,GQ54))))),0))</f>
        <v/>
      </c>
      <c r="GV54">
        <f>MIN(N(GU54),MAX(0,N(ExtraPayment)))</f>
        <v/>
      </c>
      <c r="GW54">
        <f>MAX(0,N(ExtraPayment)-N(GV54))</f>
        <v/>
      </c>
      <c r="GX54">
        <f>IFERROR(MATCH(2,OrderAval,0),"")</f>
        <v/>
      </c>
      <c r="GY54">
        <f>IF(GX54="",0,IFERROR(IF(N(CHOOSE(GX54,FN54,FR54,FV54,FZ54,GD54,GH54,GL54,GP54))&lt;=0.005,0,MAX(0,N(CHOOSE(GX54,FN54,FR54,FV54,FZ54,GD54,GH54,GL54,GP54))+N(CHOOSE(GX54,FO54,FS54,FW54,GA54,GE54,GI54,GM54,GQ54))-MIN(N(CHOOSE(GX54,'Debt List'!$F$5,'Debt List'!$F$6,'Debt List'!$F$7,'Debt List'!$F$8,'Debt List'!$F$9,'Debt List'!$F$10,'Debt List'!$F$11,'Debt List'!$F$12)),N(CHOOSE(GX54,FN54,FR54,FV54,FZ54,GD54,GH54,GL54,GP54))+N(CHOOSE(GX54,FO54,FS54,FW54,GA54,GE54,GI54,GM54,GQ54))))),0))</f>
        <v/>
      </c>
      <c r="GZ54">
        <f>MIN(N(GY54),MAX(0,N(GW54)))</f>
        <v/>
      </c>
      <c r="HA54">
        <f>MAX(0,N(GW54)-N(GZ54))</f>
        <v/>
      </c>
      <c r="HB54">
        <f>IFERROR(MATCH(3,OrderAval,0),"")</f>
        <v/>
      </c>
      <c r="HC54">
        <f>IF(HB54="",0,IFERROR(IF(N(CHOOSE(HB54,FN54,FR54,FV54,FZ54,GD54,GH54,GL54,GP54))&lt;=0.005,0,MAX(0,N(CHOOSE(HB54,FN54,FR54,FV54,FZ54,GD54,GH54,GL54,GP54))+N(CHOOSE(HB54,FO54,FS54,FW54,GA54,GE54,GI54,GM54,GQ54))-MIN(N(CHOOSE(HB54,'Debt List'!$F$5,'Debt List'!$F$6,'Debt List'!$F$7,'Debt List'!$F$8,'Debt List'!$F$9,'Debt List'!$F$10,'Debt List'!$F$11,'Debt List'!$F$12)),N(CHOOSE(HB54,FN54,FR54,FV54,FZ54,GD54,GH54,GL54,GP54))+N(CHOOSE(HB54,FO54,FS54,FW54,GA54,GE54,GI54,GM54,GQ54))))),0))</f>
        <v/>
      </c>
      <c r="HD54">
        <f>MIN(N(HC54),MAX(0,N(HA54)))</f>
        <v/>
      </c>
      <c r="HE54">
        <f>MAX(0,N(HA54)-N(HD54))</f>
        <v/>
      </c>
      <c r="HF54">
        <f>IFERROR(MATCH(4,OrderAval,0),"")</f>
        <v/>
      </c>
      <c r="HG54">
        <f>IF(HF54="",0,IFERROR(IF(N(CHOOSE(HF54,FN54,FR54,FV54,FZ54,GD54,GH54,GL54,GP54))&lt;=0.005,0,MAX(0,N(CHOOSE(HF54,FN54,FR54,FV54,FZ54,GD54,GH54,GL54,GP54))+N(CHOOSE(HF54,FO54,FS54,FW54,GA54,GE54,GI54,GM54,GQ54))-MIN(N(CHOOSE(HF54,'Debt List'!$F$5,'Debt List'!$F$6,'Debt List'!$F$7,'Debt List'!$F$8,'Debt List'!$F$9,'Debt List'!$F$10,'Debt List'!$F$11,'Debt List'!$F$12)),N(CHOOSE(HF54,FN54,FR54,FV54,FZ54,GD54,GH54,GL54,GP54))+N(CHOOSE(HF54,FO54,FS54,FW54,GA54,GE54,GI54,GM54,GQ54))))),0))</f>
        <v/>
      </c>
      <c r="HH54">
        <f>MIN(N(HG54),MAX(0,N(HE54)))</f>
        <v/>
      </c>
      <c r="HI54">
        <f>MAX(0,N(HE54)-N(HH54))</f>
        <v/>
      </c>
      <c r="HJ54">
        <f>IFERROR(MATCH(5,OrderAval,0),"")</f>
        <v/>
      </c>
      <c r="HK54">
        <f>IF(HJ54="",0,IFERROR(IF(N(CHOOSE(HJ54,FN54,FR54,FV54,FZ54,GD54,GH54,GL54,GP54))&lt;=0.005,0,MAX(0,N(CHOOSE(HJ54,FN54,FR54,FV54,FZ54,GD54,GH54,GL54,GP54))+N(CHOOSE(HJ54,FO54,FS54,FW54,GA54,GE54,GI54,GM54,GQ54))-MIN(N(CHOOSE(HJ54,'Debt List'!$F$5,'Debt List'!$F$6,'Debt List'!$F$7,'Debt List'!$F$8,'Debt List'!$F$9,'Debt List'!$F$10,'Debt List'!$F$11,'Debt List'!$F$12)),N(CHOOSE(HJ54,FN54,FR54,FV54,FZ54,GD54,GH54,GL54,GP54))+N(CHOOSE(HJ54,FO54,FS54,FW54,GA54,GE54,GI54,GM54,GQ54))))),0))</f>
        <v/>
      </c>
      <c r="HL54">
        <f>MIN(N(HK54),MAX(0,N(HI54)))</f>
        <v/>
      </c>
      <c r="HM54">
        <f>MAX(0,N(HI54)-N(HL54))</f>
        <v/>
      </c>
      <c r="HN54">
        <f>IFERROR(MATCH(6,OrderAval,0),"")</f>
        <v/>
      </c>
      <c r="HO54">
        <f>IF(HN54="",0,IFERROR(IF(N(CHOOSE(HN54,FN54,FR54,FV54,FZ54,GD54,GH54,GL54,GP54))&lt;=0.005,0,MAX(0,N(CHOOSE(HN54,FN54,FR54,FV54,FZ54,GD54,GH54,GL54,GP54))+N(CHOOSE(HN54,FO54,FS54,FW54,GA54,GE54,GI54,GM54,GQ54))-MIN(N(CHOOSE(HN54,'Debt List'!$F$5,'Debt List'!$F$6,'Debt List'!$F$7,'Debt List'!$F$8,'Debt List'!$F$9,'Debt List'!$F$10,'Debt List'!$F$11,'Debt List'!$F$12)),N(CHOOSE(HN54,FN54,FR54,FV54,FZ54,GD54,GH54,GL54,GP54))+N(CHOOSE(HN54,FO54,FS54,FW54,GA54,GE54,GI54,GM54,GQ54))))),0))</f>
        <v/>
      </c>
      <c r="HP54">
        <f>MIN(N(HO54),MAX(0,N(HM54)))</f>
        <v/>
      </c>
      <c r="HQ54">
        <f>MAX(0,N(HM54)-N(HP54))</f>
        <v/>
      </c>
      <c r="HR54">
        <f>IFERROR(MATCH(7,OrderAval,0),"")</f>
        <v/>
      </c>
      <c r="HS54">
        <f>IF(HR54="",0,IFERROR(IF(N(CHOOSE(HR54,FN54,FR54,FV54,FZ54,GD54,GH54,GL54,GP54))&lt;=0.005,0,MAX(0,N(CHOOSE(HR54,FN54,FR54,FV54,FZ54,GD54,GH54,GL54,GP54))+N(CHOOSE(HR54,FO54,FS54,FW54,GA54,GE54,GI54,GM54,GQ54))-MIN(N(CHOOSE(HR54,'Debt List'!$F$5,'Debt List'!$F$6,'Debt List'!$F$7,'Debt List'!$F$8,'Debt List'!$F$9,'Debt List'!$F$10,'Debt List'!$F$11,'Debt List'!$F$12)),N(CHOOSE(HR54,FN54,FR54,FV54,FZ54,GD54,GH54,GL54,GP54))+N(CHOOSE(HR54,FO54,FS54,FW54,GA54,GE54,GI54,GM54,GQ54))))),0))</f>
        <v/>
      </c>
      <c r="HT54">
        <f>MIN(N(HS54),MAX(0,N(HQ54)))</f>
        <v/>
      </c>
      <c r="HU54">
        <f>MAX(0,N(HQ54)-N(HT54))</f>
        <v/>
      </c>
      <c r="HV54">
        <f>IFERROR(MATCH(8,OrderAval,0),"")</f>
        <v/>
      </c>
      <c r="HW54">
        <f>IF(HV54="",0,IFERROR(IF(N(CHOOSE(HV54,FN54,FR54,FV54,FZ54,GD54,GH54,GL54,GP54))&lt;=0.005,0,MAX(0,N(CHOOSE(HV54,FN54,FR54,FV54,FZ54,GD54,GH54,GL54,GP54))+N(CHOOSE(HV54,FO54,FS54,FW54,GA54,GE54,GI54,GM54,GQ54))-MIN(N(CHOOSE(HV54,'Debt List'!$F$5,'Debt List'!$F$6,'Debt List'!$F$7,'Debt List'!$F$8,'Debt List'!$F$9,'Debt List'!$F$10,'Debt List'!$F$11,'Debt List'!$F$12)),N(CHOOSE(HV54,FN54,FR54,FV54,FZ54,GD54,GH54,GL54,GP54))+N(CHOOSE(HV54,FO54,FS54,FW54,GA54,GE54,GI54,GM54,GQ54))))),0))</f>
        <v/>
      </c>
      <c r="HX54">
        <f>MIN(N(HW54),MAX(0,N(HU54)))</f>
        <v/>
      </c>
      <c r="HY54">
        <f>MAX(0,N(HU54)-N(HX54))</f>
        <v/>
      </c>
    </row>
    <row r="55">
      <c r="A55" t="n">
        <v>51</v>
      </c>
      <c r="B55" s="115">
        <f>DATE(YEAR(PlanStart),MONTH(PlanStart)+A55-1,1)</f>
        <v/>
      </c>
      <c r="C55">
        <f>IF(AND(AP55&lt;&gt;"",N(CHOOSE(AP55,J55,N55,R55,V55,Z55,AD55,AH55,AL55))&gt;0.005),INDEX(DebtNames,AP55),IF(AND(AT55&lt;&gt;"",N(CHOOSE(AT55,J55,N55,R55,V55,Z55,AD55,AH55,AL55))&gt;0.005),INDEX(DebtNames,AT55),IF(AND(AX55&lt;&gt;"",N(CHOOSE(AX55,J55,N55,R55,V55,Z55,AD55,AH55,AL55))&gt;0.005),INDEX(DebtNames,AX55),IF(AND(BB55&lt;&gt;"",N(CHOOSE(BB55,J55,N55,R55,V55,Z55,AD55,AH55,AL55))&gt;0.005),INDEX(DebtNames,BB55),IF(AND(BF55&lt;&gt;"",N(CHOOSE(BF55,J55,N55,R55,V55,Z55,AD55,AH55,AL55))&gt;0.005),INDEX(DebtNames,BF55),IF(AND(BJ55&lt;&gt;"",N(CHOOSE(BJ55,J55,N55,R55,V55,Z55,AD55,AH55,AL55))&gt;0.005),INDEX(DebtNames,BJ55),IF(AND(BN55&lt;&gt;"",N(CHOOSE(BN55,J55,N55,R55,V55,Z55,AD55,AH55,AL55))&gt;0.005),INDEX(DebtNames,BN55),IF(AND(BR55&lt;&gt;"",N(CHOOSE(BR55,J55,N55,R55,V55,Z55,AD55,AH55,AL55))&gt;0.005),INDEX(DebtNames,BR55),""))))))))</f>
        <v/>
      </c>
      <c r="D55">
        <f>N(BU55)</f>
        <v/>
      </c>
      <c r="E55">
        <f>N(L55)+N(P55)+N(T55)+N(X55)+N(AB55)+N(AF55)+N(AJ55)+N(AN55)</f>
        <v/>
      </c>
      <c r="F55">
        <f>N(K55)+N(O55)+N(S55)+N(W55)+N(AA55)+N(AE55)+N(AI55)+N(AM55)</f>
        <v/>
      </c>
      <c r="G55">
        <f>N(G54)+N(F55)</f>
        <v/>
      </c>
      <c r="H55">
        <f>N(M55)+N(Q55)+N(U55)+N(Y55)+N(AC55)+N(AG55)+N(AK55)+N(AO55)</f>
        <v/>
      </c>
      <c r="I55">
        <f>(M55&gt;0.005)*1+(Q55&gt;0.005)*1+(U55&gt;0.005)*1+(Y55&gt;0.005)*1+(AC55&gt;0.005)*1+(AG55&gt;0.005)*1+(AK55&gt;0.005)*1+(AO55&gt;0.005)*1</f>
        <v/>
      </c>
      <c r="J55">
        <f>N(M54)</f>
        <v/>
      </c>
      <c r="K55">
        <f>IF(N(J55)&lt;=0.005,0,ROUND(N(J55)*N('Debt List'!E5)/12,2))</f>
        <v/>
      </c>
      <c r="L55">
        <f>IF(N(J55)&lt;=0.005,0,MIN(N('Debt List'!F5),N(J55)+N(K55)))+((AP55=1)*AR55+(AT55=1)*AV55+(AX55=1)*AZ55+(BB55=1)*BD55+(BF55=1)*BH55+(BJ55=1)*BL55+(BN55=1)*BP55+(BR55=1)*BT55)</f>
        <v/>
      </c>
      <c r="M55">
        <f>MAX(0,ROUND(N(J55)+N(K55)-N(L55),2))</f>
        <v/>
      </c>
      <c r="N55">
        <f>N(Q54)</f>
        <v/>
      </c>
      <c r="O55">
        <f>IF(N(N55)&lt;=0.005,0,ROUND(N(N55)*N('Debt List'!E6)/12,2))</f>
        <v/>
      </c>
      <c r="P55">
        <f>IF(N(N55)&lt;=0.005,0,MIN(N('Debt List'!F6),N(N55)+N(O55)))+((AP55=2)*AR55+(AT55=2)*AV55+(AX55=2)*AZ55+(BB55=2)*BD55+(BF55=2)*BH55+(BJ55=2)*BL55+(BN55=2)*BP55+(BR55=2)*BT55)</f>
        <v/>
      </c>
      <c r="Q55">
        <f>MAX(0,ROUND(N(N55)+N(O55)-N(P55),2))</f>
        <v/>
      </c>
      <c r="R55">
        <f>N(U54)</f>
        <v/>
      </c>
      <c r="S55">
        <f>IF(N(R55)&lt;=0.005,0,ROUND(N(R55)*N('Debt List'!E7)/12,2))</f>
        <v/>
      </c>
      <c r="T55">
        <f>IF(N(R55)&lt;=0.005,0,MIN(N('Debt List'!F7),N(R55)+N(S55)))+((AP55=3)*AR55+(AT55=3)*AV55+(AX55=3)*AZ55+(BB55=3)*BD55+(BF55=3)*BH55+(BJ55=3)*BL55+(BN55=3)*BP55+(BR55=3)*BT55)</f>
        <v/>
      </c>
      <c r="U55">
        <f>MAX(0,ROUND(N(R55)+N(S55)-N(T55),2))</f>
        <v/>
      </c>
      <c r="V55">
        <f>N(Y54)</f>
        <v/>
      </c>
      <c r="W55">
        <f>IF(N(V55)&lt;=0.005,0,ROUND(N(V55)*N('Debt List'!E8)/12,2))</f>
        <v/>
      </c>
      <c r="X55">
        <f>IF(N(V55)&lt;=0.005,0,MIN(N('Debt List'!F8),N(V55)+N(W55)))+((AP55=4)*AR55+(AT55=4)*AV55+(AX55=4)*AZ55+(BB55=4)*BD55+(BF55=4)*BH55+(BJ55=4)*BL55+(BN55=4)*BP55+(BR55=4)*BT55)</f>
        <v/>
      </c>
      <c r="Y55">
        <f>MAX(0,ROUND(N(V55)+N(W55)-N(X55),2))</f>
        <v/>
      </c>
      <c r="Z55">
        <f>N(AC54)</f>
        <v/>
      </c>
      <c r="AA55">
        <f>IF(N(Z55)&lt;=0.005,0,ROUND(N(Z55)*N('Debt List'!E9)/12,2))</f>
        <v/>
      </c>
      <c r="AB55">
        <f>IF(N(Z55)&lt;=0.005,0,MIN(N('Debt List'!F9),N(Z55)+N(AA55)))+((AP55=5)*AR55+(AT55=5)*AV55+(AX55=5)*AZ55+(BB55=5)*BD55+(BF55=5)*BH55+(BJ55=5)*BL55+(BN55=5)*BP55+(BR55=5)*BT55)</f>
        <v/>
      </c>
      <c r="AC55">
        <f>MAX(0,ROUND(N(Z55)+N(AA55)-N(AB55),2))</f>
        <v/>
      </c>
      <c r="AD55">
        <f>N(AG54)</f>
        <v/>
      </c>
      <c r="AE55">
        <f>IF(N(AD55)&lt;=0.005,0,ROUND(N(AD55)*N('Debt List'!E10)/12,2))</f>
        <v/>
      </c>
      <c r="AF55">
        <f>IF(N(AD55)&lt;=0.005,0,MIN(N('Debt List'!F10),N(AD55)+N(AE55)))+((AP55=6)*AR55+(AT55=6)*AV55+(AX55=6)*AZ55+(BB55=6)*BD55+(BF55=6)*BH55+(BJ55=6)*BL55+(BN55=6)*BP55+(BR55=6)*BT55)</f>
        <v/>
      </c>
      <c r="AG55">
        <f>MAX(0,ROUND(N(AD55)+N(AE55)-N(AF55),2))</f>
        <v/>
      </c>
      <c r="AH55">
        <f>N(AK54)</f>
        <v/>
      </c>
      <c r="AI55">
        <f>IF(N(AH55)&lt;=0.005,0,ROUND(N(AH55)*N('Debt List'!E11)/12,2))</f>
        <v/>
      </c>
      <c r="AJ55">
        <f>IF(N(AH55)&lt;=0.005,0,MIN(N('Debt List'!F11),N(AH55)+N(AI55)))+((AP55=7)*AR55+(AT55=7)*AV55+(AX55=7)*AZ55+(BB55=7)*BD55+(BF55=7)*BH55+(BJ55=7)*BL55+(BN55=7)*BP55+(BR55=7)*BT55)</f>
        <v/>
      </c>
      <c r="AK55">
        <f>MAX(0,ROUND(N(AH55)+N(AI55)-N(AJ55),2))</f>
        <v/>
      </c>
      <c r="AL55">
        <f>N(AO54)</f>
        <v/>
      </c>
      <c r="AM55">
        <f>IF(N(AL55)&lt;=0.005,0,ROUND(N(AL55)*N('Debt List'!E12)/12,2))</f>
        <v/>
      </c>
      <c r="AN55">
        <f>IF(N(AL55)&lt;=0.005,0,MIN(N('Debt List'!F12),N(AL55)+N(AM55)))+((AP55=8)*AR55+(AT55=8)*AV55+(AX55=8)*AZ55+(BB55=8)*BD55+(BF55=8)*BH55+(BJ55=8)*BL55+(BN55=8)*BP55+(BR55=8)*BT55)</f>
        <v/>
      </c>
      <c r="AO55">
        <f>MAX(0,ROUND(N(AL55)+N(AM55)-N(AN55),2))</f>
        <v/>
      </c>
      <c r="AP55">
        <f>IFERROR(MATCH(1,OrderPlan,0),"")</f>
        <v/>
      </c>
      <c r="AQ55">
        <f>IF(AP55="",0,IFERROR(IF(N(CHOOSE(AP55,J55,N55,R55,V55,Z55,AD55,AH55,AL55))&lt;=0.005,0,MAX(0,N(CHOOSE(AP55,J55,N55,R55,V55,Z55,AD55,AH55,AL55))+N(CHOOSE(AP55,K55,O55,S55,W55,AA55,AE55,AI55,AM55))-MIN(N(CHOOSE(AP55,'Debt List'!$F$5,'Debt List'!$F$6,'Debt List'!$F$7,'Debt List'!$F$8,'Debt List'!$F$9,'Debt List'!$F$10,'Debt List'!$F$11,'Debt List'!$F$12)),N(CHOOSE(AP55,J55,N55,R55,V55,Z55,AD55,AH55,AL55))+N(CHOOSE(AP55,K55,O55,S55,W55,AA55,AE55,AI55,AM55))))),0))</f>
        <v/>
      </c>
      <c r="AR55">
        <f>MIN(N(AQ55),MAX(0,N(ExtraPayment)))</f>
        <v/>
      </c>
      <c r="AS55">
        <f>MAX(0,N(ExtraPayment)-N(AR55))</f>
        <v/>
      </c>
      <c r="AT55">
        <f>IFERROR(MATCH(2,OrderPlan,0),"")</f>
        <v/>
      </c>
      <c r="AU55">
        <f>IF(AT55="",0,IFERROR(IF(N(CHOOSE(AT55,J55,N55,R55,V55,Z55,AD55,AH55,AL55))&lt;=0.005,0,MAX(0,N(CHOOSE(AT55,J55,N55,R55,V55,Z55,AD55,AH55,AL55))+N(CHOOSE(AT55,K55,O55,S55,W55,AA55,AE55,AI55,AM55))-MIN(N(CHOOSE(AT55,'Debt List'!$F$5,'Debt List'!$F$6,'Debt List'!$F$7,'Debt List'!$F$8,'Debt List'!$F$9,'Debt List'!$F$10,'Debt List'!$F$11,'Debt List'!$F$12)),N(CHOOSE(AT55,J55,N55,R55,V55,Z55,AD55,AH55,AL55))+N(CHOOSE(AT55,K55,O55,S55,W55,AA55,AE55,AI55,AM55))))),0))</f>
        <v/>
      </c>
      <c r="AV55">
        <f>MIN(N(AU55),MAX(0,N(AS55)))</f>
        <v/>
      </c>
      <c r="AW55">
        <f>MAX(0,N(AS55)-N(AV55))</f>
        <v/>
      </c>
      <c r="AX55">
        <f>IFERROR(MATCH(3,OrderPlan,0),"")</f>
        <v/>
      </c>
      <c r="AY55">
        <f>IF(AX55="",0,IFERROR(IF(N(CHOOSE(AX55,J55,N55,R55,V55,Z55,AD55,AH55,AL55))&lt;=0.005,0,MAX(0,N(CHOOSE(AX55,J55,N55,R55,V55,Z55,AD55,AH55,AL55))+N(CHOOSE(AX55,K55,O55,S55,W55,AA55,AE55,AI55,AM55))-MIN(N(CHOOSE(AX55,'Debt List'!$F$5,'Debt List'!$F$6,'Debt List'!$F$7,'Debt List'!$F$8,'Debt List'!$F$9,'Debt List'!$F$10,'Debt List'!$F$11,'Debt List'!$F$12)),N(CHOOSE(AX55,J55,N55,R55,V55,Z55,AD55,AH55,AL55))+N(CHOOSE(AX55,K55,O55,S55,W55,AA55,AE55,AI55,AM55))))),0))</f>
        <v/>
      </c>
      <c r="AZ55">
        <f>MIN(N(AY55),MAX(0,N(AW55)))</f>
        <v/>
      </c>
      <c r="BA55">
        <f>MAX(0,N(AW55)-N(AZ55))</f>
        <v/>
      </c>
      <c r="BB55">
        <f>IFERROR(MATCH(4,OrderPlan,0),"")</f>
        <v/>
      </c>
      <c r="BC55">
        <f>IF(BB55="",0,IFERROR(IF(N(CHOOSE(BB55,J55,N55,R55,V55,Z55,AD55,AH55,AL55))&lt;=0.005,0,MAX(0,N(CHOOSE(BB55,J55,N55,R55,V55,Z55,AD55,AH55,AL55))+N(CHOOSE(BB55,K55,O55,S55,W55,AA55,AE55,AI55,AM55))-MIN(N(CHOOSE(BB55,'Debt List'!$F$5,'Debt List'!$F$6,'Debt List'!$F$7,'Debt List'!$F$8,'Debt List'!$F$9,'Debt List'!$F$10,'Debt List'!$F$11,'Debt List'!$F$12)),N(CHOOSE(BB55,J55,N55,R55,V55,Z55,AD55,AH55,AL55))+N(CHOOSE(BB55,K55,O55,S55,W55,AA55,AE55,AI55,AM55))))),0))</f>
        <v/>
      </c>
      <c r="BD55">
        <f>MIN(N(BC55),MAX(0,N(BA55)))</f>
        <v/>
      </c>
      <c r="BE55">
        <f>MAX(0,N(BA55)-N(BD55))</f>
        <v/>
      </c>
      <c r="BF55">
        <f>IFERROR(MATCH(5,OrderPlan,0),"")</f>
        <v/>
      </c>
      <c r="BG55">
        <f>IF(BF55="",0,IFERROR(IF(N(CHOOSE(BF55,J55,N55,R55,V55,Z55,AD55,AH55,AL55))&lt;=0.005,0,MAX(0,N(CHOOSE(BF55,J55,N55,R55,V55,Z55,AD55,AH55,AL55))+N(CHOOSE(BF55,K55,O55,S55,W55,AA55,AE55,AI55,AM55))-MIN(N(CHOOSE(BF55,'Debt List'!$F$5,'Debt List'!$F$6,'Debt List'!$F$7,'Debt List'!$F$8,'Debt List'!$F$9,'Debt List'!$F$10,'Debt List'!$F$11,'Debt List'!$F$12)),N(CHOOSE(BF55,J55,N55,R55,V55,Z55,AD55,AH55,AL55))+N(CHOOSE(BF55,K55,O55,S55,W55,AA55,AE55,AI55,AM55))))),0))</f>
        <v/>
      </c>
      <c r="BH55">
        <f>MIN(N(BG55),MAX(0,N(BE55)))</f>
        <v/>
      </c>
      <c r="BI55">
        <f>MAX(0,N(BE55)-N(BH55))</f>
        <v/>
      </c>
      <c r="BJ55">
        <f>IFERROR(MATCH(6,OrderPlan,0),"")</f>
        <v/>
      </c>
      <c r="BK55">
        <f>IF(BJ55="",0,IFERROR(IF(N(CHOOSE(BJ55,J55,N55,R55,V55,Z55,AD55,AH55,AL55))&lt;=0.005,0,MAX(0,N(CHOOSE(BJ55,J55,N55,R55,V55,Z55,AD55,AH55,AL55))+N(CHOOSE(BJ55,K55,O55,S55,W55,AA55,AE55,AI55,AM55))-MIN(N(CHOOSE(BJ55,'Debt List'!$F$5,'Debt List'!$F$6,'Debt List'!$F$7,'Debt List'!$F$8,'Debt List'!$F$9,'Debt List'!$F$10,'Debt List'!$F$11,'Debt List'!$F$12)),N(CHOOSE(BJ55,J55,N55,R55,V55,Z55,AD55,AH55,AL55))+N(CHOOSE(BJ55,K55,O55,S55,W55,AA55,AE55,AI55,AM55))))),0))</f>
        <v/>
      </c>
      <c r="BL55">
        <f>MIN(N(BK55),MAX(0,N(BI55)))</f>
        <v/>
      </c>
      <c r="BM55">
        <f>MAX(0,N(BI55)-N(BL55))</f>
        <v/>
      </c>
      <c r="BN55">
        <f>IFERROR(MATCH(7,OrderPlan,0),"")</f>
        <v/>
      </c>
      <c r="BO55">
        <f>IF(BN55="",0,IFERROR(IF(N(CHOOSE(BN55,J55,N55,R55,V55,Z55,AD55,AH55,AL55))&lt;=0.005,0,MAX(0,N(CHOOSE(BN55,J55,N55,R55,V55,Z55,AD55,AH55,AL55))+N(CHOOSE(BN55,K55,O55,S55,W55,AA55,AE55,AI55,AM55))-MIN(N(CHOOSE(BN55,'Debt List'!$F$5,'Debt List'!$F$6,'Debt List'!$F$7,'Debt List'!$F$8,'Debt List'!$F$9,'Debt List'!$F$10,'Debt List'!$F$11,'Debt List'!$F$12)),N(CHOOSE(BN55,J55,N55,R55,V55,Z55,AD55,AH55,AL55))+N(CHOOSE(BN55,K55,O55,S55,W55,AA55,AE55,AI55,AM55))))),0))</f>
        <v/>
      </c>
      <c r="BP55">
        <f>MIN(N(BO55),MAX(0,N(BM55)))</f>
        <v/>
      </c>
      <c r="BQ55">
        <f>MAX(0,N(BM55)-N(BP55))</f>
        <v/>
      </c>
      <c r="BR55">
        <f>IFERROR(MATCH(8,OrderPlan,0),"")</f>
        <v/>
      </c>
      <c r="BS55">
        <f>IF(BR55="",0,IFERROR(IF(N(CHOOSE(BR55,J55,N55,R55,V55,Z55,AD55,AH55,AL55))&lt;=0.005,0,MAX(0,N(CHOOSE(BR55,J55,N55,R55,V55,Z55,AD55,AH55,AL55))+N(CHOOSE(BR55,K55,O55,S55,W55,AA55,AE55,AI55,AM55))-MIN(N(CHOOSE(BR55,'Debt List'!$F$5,'Debt List'!$F$6,'Debt List'!$F$7,'Debt List'!$F$8,'Debt List'!$F$9,'Debt List'!$F$10,'Debt List'!$F$11,'Debt List'!$F$12)),N(CHOOSE(BR55,J55,N55,R55,V55,Z55,AD55,AH55,AL55))+N(CHOOSE(BR55,K55,O55,S55,W55,AA55,AE55,AI55,AM55))))),0))</f>
        <v/>
      </c>
      <c r="BT55">
        <f>MIN(N(BS55),MAX(0,N(BQ55)))</f>
        <v/>
      </c>
      <c r="BU55">
        <f>MAX(0,N(BQ55)-N(BT55))</f>
        <v/>
      </c>
      <c r="CC55" t="n">
        <v>51</v>
      </c>
      <c r="CD55" s="115">
        <f>DATE(YEAR(PlanStart),MONTH(PlanStart)+CC55-1,1)</f>
        <v/>
      </c>
      <c r="CE55">
        <f>IF(AND(DR55&lt;&gt;"",N(CHOOSE(DR55,CL55,CP55,CT55,CX55,DB55,DF55,DJ55,DN55))&gt;0.005),INDEX(DebtNames,DR55),IF(AND(DV55&lt;&gt;"",N(CHOOSE(DV55,CL55,CP55,CT55,CX55,DB55,DF55,DJ55,DN55))&gt;0.005),INDEX(DebtNames,DV55),IF(AND(DZ55&lt;&gt;"",N(CHOOSE(DZ55,CL55,CP55,CT55,CX55,DB55,DF55,DJ55,DN55))&gt;0.005),INDEX(DebtNames,DZ55),IF(AND(ED55&lt;&gt;"",N(CHOOSE(ED55,CL55,CP55,CT55,CX55,DB55,DF55,DJ55,DN55))&gt;0.005),INDEX(DebtNames,ED55),IF(AND(EH55&lt;&gt;"",N(CHOOSE(EH55,CL55,CP55,CT55,CX55,DB55,DF55,DJ55,DN55))&gt;0.005),INDEX(DebtNames,EH55),IF(AND(EL55&lt;&gt;"",N(CHOOSE(EL55,CL55,CP55,CT55,CX55,DB55,DF55,DJ55,DN55))&gt;0.005),INDEX(DebtNames,EL55),IF(AND(EP55&lt;&gt;"",N(CHOOSE(EP55,CL55,CP55,CT55,CX55,DB55,DF55,DJ55,DN55))&gt;0.005),INDEX(DebtNames,EP55),IF(AND(ET55&lt;&gt;"",N(CHOOSE(ET55,CL55,CP55,CT55,CX55,DB55,DF55,DJ55,DN55))&gt;0.005),INDEX(DebtNames,ET55),""))))))))</f>
        <v/>
      </c>
      <c r="CF55">
        <f>N(EW55)</f>
        <v/>
      </c>
      <c r="CG55">
        <f>N(CN55)+N(CR55)+N(CV55)+N(CZ55)+N(DD55)+N(DH55)+N(DL55)+N(DP55)</f>
        <v/>
      </c>
      <c r="CH55">
        <f>N(CM55)+N(CQ55)+N(CU55)+N(CY55)+N(DC55)+N(DG55)+N(DK55)+N(DO55)</f>
        <v/>
      </c>
      <c r="CI55">
        <f>N(CI54)+N(CH55)</f>
        <v/>
      </c>
      <c r="CJ55">
        <f>N(CO55)+N(CS55)+N(CW55)+N(DA55)+N(DE55)+N(DI55)+N(DM55)+N(DQ55)</f>
        <v/>
      </c>
      <c r="CK55">
        <f>(CO55&gt;0.005)*1+(CS55&gt;0.005)*1+(CW55&gt;0.005)*1+(DA55&gt;0.005)*1+(DE55&gt;0.005)*1+(DI55&gt;0.005)*1+(DM55&gt;0.005)*1+(DQ55&gt;0.005)*1</f>
        <v/>
      </c>
      <c r="CL55">
        <f>N(CO54)</f>
        <v/>
      </c>
      <c r="CM55">
        <f>IF(N(CL55)&lt;=0.005,0,ROUND(N(CL55)*N('Debt List'!E5)/12,2))</f>
        <v/>
      </c>
      <c r="CN55">
        <f>IF(N(CL55)&lt;=0.005,0,MIN(N('Debt List'!F5),N(CL55)+N(CM55)))+((DR55=1)*DT55+(DV55=1)*DX55+(DZ55=1)*EB55+(ED55=1)*EF55+(EH55=1)*EJ55+(EL55=1)*EN55+(EP55=1)*ER55+(ET55=1)*EV55)</f>
        <v/>
      </c>
      <c r="CO55">
        <f>MAX(0,ROUND(N(CL55)+N(CM55)-N(CN55),2))</f>
        <v/>
      </c>
      <c r="CP55">
        <f>N(CS54)</f>
        <v/>
      </c>
      <c r="CQ55">
        <f>IF(N(CP55)&lt;=0.005,0,ROUND(N(CP55)*N('Debt List'!E6)/12,2))</f>
        <v/>
      </c>
      <c r="CR55">
        <f>IF(N(CP55)&lt;=0.005,0,MIN(N('Debt List'!F6),N(CP55)+N(CQ55)))+((DR55=2)*DT55+(DV55=2)*DX55+(DZ55=2)*EB55+(ED55=2)*EF55+(EH55=2)*EJ55+(EL55=2)*EN55+(EP55=2)*ER55+(ET55=2)*EV55)</f>
        <v/>
      </c>
      <c r="CS55">
        <f>MAX(0,ROUND(N(CP55)+N(CQ55)-N(CR55),2))</f>
        <v/>
      </c>
      <c r="CT55">
        <f>N(CW54)</f>
        <v/>
      </c>
      <c r="CU55">
        <f>IF(N(CT55)&lt;=0.005,0,ROUND(N(CT55)*N('Debt List'!E7)/12,2))</f>
        <v/>
      </c>
      <c r="CV55">
        <f>IF(N(CT55)&lt;=0.005,0,MIN(N('Debt List'!F7),N(CT55)+N(CU55)))+((DR55=3)*DT55+(DV55=3)*DX55+(DZ55=3)*EB55+(ED55=3)*EF55+(EH55=3)*EJ55+(EL55=3)*EN55+(EP55=3)*ER55+(ET55=3)*EV55)</f>
        <v/>
      </c>
      <c r="CW55">
        <f>MAX(0,ROUND(N(CT55)+N(CU55)-N(CV55),2))</f>
        <v/>
      </c>
      <c r="CX55">
        <f>N(DA54)</f>
        <v/>
      </c>
      <c r="CY55">
        <f>IF(N(CX55)&lt;=0.005,0,ROUND(N(CX55)*N('Debt List'!E8)/12,2))</f>
        <v/>
      </c>
      <c r="CZ55">
        <f>IF(N(CX55)&lt;=0.005,0,MIN(N('Debt List'!F8),N(CX55)+N(CY55)))+((DR55=4)*DT55+(DV55=4)*DX55+(DZ55=4)*EB55+(ED55=4)*EF55+(EH55=4)*EJ55+(EL55=4)*EN55+(EP55=4)*ER55+(ET55=4)*EV55)</f>
        <v/>
      </c>
      <c r="DA55">
        <f>MAX(0,ROUND(N(CX55)+N(CY55)-N(CZ55),2))</f>
        <v/>
      </c>
      <c r="DB55">
        <f>N(DE54)</f>
        <v/>
      </c>
      <c r="DC55">
        <f>IF(N(DB55)&lt;=0.005,0,ROUND(N(DB55)*N('Debt List'!E9)/12,2))</f>
        <v/>
      </c>
      <c r="DD55">
        <f>IF(N(DB55)&lt;=0.005,0,MIN(N('Debt List'!F9),N(DB55)+N(DC55)))+((DR55=5)*DT55+(DV55=5)*DX55+(DZ55=5)*EB55+(ED55=5)*EF55+(EH55=5)*EJ55+(EL55=5)*EN55+(EP55=5)*ER55+(ET55=5)*EV55)</f>
        <v/>
      </c>
      <c r="DE55">
        <f>MAX(0,ROUND(N(DB55)+N(DC55)-N(DD55),2))</f>
        <v/>
      </c>
      <c r="DF55">
        <f>N(DI54)</f>
        <v/>
      </c>
      <c r="DG55">
        <f>IF(N(DF55)&lt;=0.005,0,ROUND(N(DF55)*N('Debt List'!E10)/12,2))</f>
        <v/>
      </c>
      <c r="DH55">
        <f>IF(N(DF55)&lt;=0.005,0,MIN(N('Debt List'!F10),N(DF55)+N(DG55)))+((DR55=6)*DT55+(DV55=6)*DX55+(DZ55=6)*EB55+(ED55=6)*EF55+(EH55=6)*EJ55+(EL55=6)*EN55+(EP55=6)*ER55+(ET55=6)*EV55)</f>
        <v/>
      </c>
      <c r="DI55">
        <f>MAX(0,ROUND(N(DF55)+N(DG55)-N(DH55),2))</f>
        <v/>
      </c>
      <c r="DJ55">
        <f>N(DM54)</f>
        <v/>
      </c>
      <c r="DK55">
        <f>IF(N(DJ55)&lt;=0.005,0,ROUND(N(DJ55)*N('Debt List'!E11)/12,2))</f>
        <v/>
      </c>
      <c r="DL55">
        <f>IF(N(DJ55)&lt;=0.005,0,MIN(N('Debt List'!F11),N(DJ55)+N(DK55)))+((DR55=7)*DT55+(DV55=7)*DX55+(DZ55=7)*EB55+(ED55=7)*EF55+(EH55=7)*EJ55+(EL55=7)*EN55+(EP55=7)*ER55+(ET55=7)*EV55)</f>
        <v/>
      </c>
      <c r="DM55">
        <f>MAX(0,ROUND(N(DJ55)+N(DK55)-N(DL55),2))</f>
        <v/>
      </c>
      <c r="DN55">
        <f>N(DQ54)</f>
        <v/>
      </c>
      <c r="DO55">
        <f>IF(N(DN55)&lt;=0.005,0,ROUND(N(DN55)*N('Debt List'!E12)/12,2))</f>
        <v/>
      </c>
      <c r="DP55">
        <f>IF(N(DN55)&lt;=0.005,0,MIN(N('Debt List'!F12),N(DN55)+N(DO55)))+((DR55=8)*DT55+(DV55=8)*DX55+(DZ55=8)*EB55+(ED55=8)*EF55+(EH55=8)*EJ55+(EL55=8)*EN55+(EP55=8)*ER55+(ET55=8)*EV55)</f>
        <v/>
      </c>
      <c r="DQ55">
        <f>MAX(0,ROUND(N(DN55)+N(DO55)-N(DP55),2))</f>
        <v/>
      </c>
      <c r="DR55">
        <f>IFERROR(MATCH(1,OrderSnow,0),"")</f>
        <v/>
      </c>
      <c r="DS55">
        <f>IF(DR55="",0,IFERROR(IF(N(CHOOSE(DR55,CL55,CP55,CT55,CX55,DB55,DF55,DJ55,DN55))&lt;=0.005,0,MAX(0,N(CHOOSE(DR55,CL55,CP55,CT55,CX55,DB55,DF55,DJ55,DN55))+N(CHOOSE(DR55,CM55,CQ55,CU55,CY55,DC55,DG55,DK55,DO55))-MIN(N(CHOOSE(DR55,'Debt List'!$F$5,'Debt List'!$F$6,'Debt List'!$F$7,'Debt List'!$F$8,'Debt List'!$F$9,'Debt List'!$F$10,'Debt List'!$F$11,'Debt List'!$F$12)),N(CHOOSE(DR55,CL55,CP55,CT55,CX55,DB55,DF55,DJ55,DN55))+N(CHOOSE(DR55,CM55,CQ55,CU55,CY55,DC55,DG55,DK55,DO55))))),0))</f>
        <v/>
      </c>
      <c r="DT55">
        <f>MIN(N(DS55),MAX(0,N(ExtraPayment)))</f>
        <v/>
      </c>
      <c r="DU55">
        <f>MAX(0,N(ExtraPayment)-N(DT55))</f>
        <v/>
      </c>
      <c r="DV55">
        <f>IFERROR(MATCH(2,OrderSnow,0),"")</f>
        <v/>
      </c>
      <c r="DW55">
        <f>IF(DV55="",0,IFERROR(IF(N(CHOOSE(DV55,CL55,CP55,CT55,CX55,DB55,DF55,DJ55,DN55))&lt;=0.005,0,MAX(0,N(CHOOSE(DV55,CL55,CP55,CT55,CX55,DB55,DF55,DJ55,DN55))+N(CHOOSE(DV55,CM55,CQ55,CU55,CY55,DC55,DG55,DK55,DO55))-MIN(N(CHOOSE(DV55,'Debt List'!$F$5,'Debt List'!$F$6,'Debt List'!$F$7,'Debt List'!$F$8,'Debt List'!$F$9,'Debt List'!$F$10,'Debt List'!$F$11,'Debt List'!$F$12)),N(CHOOSE(DV55,CL55,CP55,CT55,CX55,DB55,DF55,DJ55,DN55))+N(CHOOSE(DV55,CM55,CQ55,CU55,CY55,DC55,DG55,DK55,DO55))))),0))</f>
        <v/>
      </c>
      <c r="DX55">
        <f>MIN(N(DW55),MAX(0,N(DU55)))</f>
        <v/>
      </c>
      <c r="DY55">
        <f>MAX(0,N(DU55)-N(DX55))</f>
        <v/>
      </c>
      <c r="DZ55">
        <f>IFERROR(MATCH(3,OrderSnow,0),"")</f>
        <v/>
      </c>
      <c r="EA55">
        <f>IF(DZ55="",0,IFERROR(IF(N(CHOOSE(DZ55,CL55,CP55,CT55,CX55,DB55,DF55,DJ55,DN55))&lt;=0.005,0,MAX(0,N(CHOOSE(DZ55,CL55,CP55,CT55,CX55,DB55,DF55,DJ55,DN55))+N(CHOOSE(DZ55,CM55,CQ55,CU55,CY55,DC55,DG55,DK55,DO55))-MIN(N(CHOOSE(DZ55,'Debt List'!$F$5,'Debt List'!$F$6,'Debt List'!$F$7,'Debt List'!$F$8,'Debt List'!$F$9,'Debt List'!$F$10,'Debt List'!$F$11,'Debt List'!$F$12)),N(CHOOSE(DZ55,CL55,CP55,CT55,CX55,DB55,DF55,DJ55,DN55))+N(CHOOSE(DZ55,CM55,CQ55,CU55,CY55,DC55,DG55,DK55,DO55))))),0))</f>
        <v/>
      </c>
      <c r="EB55">
        <f>MIN(N(EA55),MAX(0,N(DY55)))</f>
        <v/>
      </c>
      <c r="EC55">
        <f>MAX(0,N(DY55)-N(EB55))</f>
        <v/>
      </c>
      <c r="ED55">
        <f>IFERROR(MATCH(4,OrderSnow,0),"")</f>
        <v/>
      </c>
      <c r="EE55">
        <f>IF(ED55="",0,IFERROR(IF(N(CHOOSE(ED55,CL55,CP55,CT55,CX55,DB55,DF55,DJ55,DN55))&lt;=0.005,0,MAX(0,N(CHOOSE(ED55,CL55,CP55,CT55,CX55,DB55,DF55,DJ55,DN55))+N(CHOOSE(ED55,CM55,CQ55,CU55,CY55,DC55,DG55,DK55,DO55))-MIN(N(CHOOSE(ED55,'Debt List'!$F$5,'Debt List'!$F$6,'Debt List'!$F$7,'Debt List'!$F$8,'Debt List'!$F$9,'Debt List'!$F$10,'Debt List'!$F$11,'Debt List'!$F$12)),N(CHOOSE(ED55,CL55,CP55,CT55,CX55,DB55,DF55,DJ55,DN55))+N(CHOOSE(ED55,CM55,CQ55,CU55,CY55,DC55,DG55,DK55,DO55))))),0))</f>
        <v/>
      </c>
      <c r="EF55">
        <f>MIN(N(EE55),MAX(0,N(EC55)))</f>
        <v/>
      </c>
      <c r="EG55">
        <f>MAX(0,N(EC55)-N(EF55))</f>
        <v/>
      </c>
      <c r="EH55">
        <f>IFERROR(MATCH(5,OrderSnow,0),"")</f>
        <v/>
      </c>
      <c r="EI55">
        <f>IF(EH55="",0,IFERROR(IF(N(CHOOSE(EH55,CL55,CP55,CT55,CX55,DB55,DF55,DJ55,DN55))&lt;=0.005,0,MAX(0,N(CHOOSE(EH55,CL55,CP55,CT55,CX55,DB55,DF55,DJ55,DN55))+N(CHOOSE(EH55,CM55,CQ55,CU55,CY55,DC55,DG55,DK55,DO55))-MIN(N(CHOOSE(EH55,'Debt List'!$F$5,'Debt List'!$F$6,'Debt List'!$F$7,'Debt List'!$F$8,'Debt List'!$F$9,'Debt List'!$F$10,'Debt List'!$F$11,'Debt List'!$F$12)),N(CHOOSE(EH55,CL55,CP55,CT55,CX55,DB55,DF55,DJ55,DN55))+N(CHOOSE(EH55,CM55,CQ55,CU55,CY55,DC55,DG55,DK55,DO55))))),0))</f>
        <v/>
      </c>
      <c r="EJ55">
        <f>MIN(N(EI55),MAX(0,N(EG55)))</f>
        <v/>
      </c>
      <c r="EK55">
        <f>MAX(0,N(EG55)-N(EJ55))</f>
        <v/>
      </c>
      <c r="EL55">
        <f>IFERROR(MATCH(6,OrderSnow,0),"")</f>
        <v/>
      </c>
      <c r="EM55">
        <f>IF(EL55="",0,IFERROR(IF(N(CHOOSE(EL55,CL55,CP55,CT55,CX55,DB55,DF55,DJ55,DN55))&lt;=0.005,0,MAX(0,N(CHOOSE(EL55,CL55,CP55,CT55,CX55,DB55,DF55,DJ55,DN55))+N(CHOOSE(EL55,CM55,CQ55,CU55,CY55,DC55,DG55,DK55,DO55))-MIN(N(CHOOSE(EL55,'Debt List'!$F$5,'Debt List'!$F$6,'Debt List'!$F$7,'Debt List'!$F$8,'Debt List'!$F$9,'Debt List'!$F$10,'Debt List'!$F$11,'Debt List'!$F$12)),N(CHOOSE(EL55,CL55,CP55,CT55,CX55,DB55,DF55,DJ55,DN55))+N(CHOOSE(EL55,CM55,CQ55,CU55,CY55,DC55,DG55,DK55,DO55))))),0))</f>
        <v/>
      </c>
      <c r="EN55">
        <f>MIN(N(EM55),MAX(0,N(EK55)))</f>
        <v/>
      </c>
      <c r="EO55">
        <f>MAX(0,N(EK55)-N(EN55))</f>
        <v/>
      </c>
      <c r="EP55">
        <f>IFERROR(MATCH(7,OrderSnow,0),"")</f>
        <v/>
      </c>
      <c r="EQ55">
        <f>IF(EP55="",0,IFERROR(IF(N(CHOOSE(EP55,CL55,CP55,CT55,CX55,DB55,DF55,DJ55,DN55))&lt;=0.005,0,MAX(0,N(CHOOSE(EP55,CL55,CP55,CT55,CX55,DB55,DF55,DJ55,DN55))+N(CHOOSE(EP55,CM55,CQ55,CU55,CY55,DC55,DG55,DK55,DO55))-MIN(N(CHOOSE(EP55,'Debt List'!$F$5,'Debt List'!$F$6,'Debt List'!$F$7,'Debt List'!$F$8,'Debt List'!$F$9,'Debt List'!$F$10,'Debt List'!$F$11,'Debt List'!$F$12)),N(CHOOSE(EP55,CL55,CP55,CT55,CX55,DB55,DF55,DJ55,DN55))+N(CHOOSE(EP55,CM55,CQ55,CU55,CY55,DC55,DG55,DK55,DO55))))),0))</f>
        <v/>
      </c>
      <c r="ER55">
        <f>MIN(N(EQ55),MAX(0,N(EO55)))</f>
        <v/>
      </c>
      <c r="ES55">
        <f>MAX(0,N(EO55)-N(ER55))</f>
        <v/>
      </c>
      <c r="ET55">
        <f>IFERROR(MATCH(8,OrderSnow,0),"")</f>
        <v/>
      </c>
      <c r="EU55">
        <f>IF(ET55="",0,IFERROR(IF(N(CHOOSE(ET55,CL55,CP55,CT55,CX55,DB55,DF55,DJ55,DN55))&lt;=0.005,0,MAX(0,N(CHOOSE(ET55,CL55,CP55,CT55,CX55,DB55,DF55,DJ55,DN55))+N(CHOOSE(ET55,CM55,CQ55,CU55,CY55,DC55,DG55,DK55,DO55))-MIN(N(CHOOSE(ET55,'Debt List'!$F$5,'Debt List'!$F$6,'Debt List'!$F$7,'Debt List'!$F$8,'Debt List'!$F$9,'Debt List'!$F$10,'Debt List'!$F$11,'Debt List'!$F$12)),N(CHOOSE(ET55,CL55,CP55,CT55,CX55,DB55,DF55,DJ55,DN55))+N(CHOOSE(ET55,CM55,CQ55,CU55,CY55,DC55,DG55,DK55,DO55))))),0))</f>
        <v/>
      </c>
      <c r="EV55">
        <f>MIN(N(EU55),MAX(0,N(ES55)))</f>
        <v/>
      </c>
      <c r="EW55">
        <f>MAX(0,N(ES55)-N(EV55))</f>
        <v/>
      </c>
      <c r="FE55" t="n">
        <v>51</v>
      </c>
      <c r="FF55" s="115">
        <f>DATE(YEAR(PlanStart),MONTH(PlanStart)+FE55-1,1)</f>
        <v/>
      </c>
      <c r="FG55">
        <f>IF(AND(GT55&lt;&gt;"",N(CHOOSE(GT55,FN55,FR55,FV55,FZ55,GD55,GH55,GL55,GP55))&gt;0.005),INDEX(DebtNames,GT55),IF(AND(GX55&lt;&gt;"",N(CHOOSE(GX55,FN55,FR55,FV55,FZ55,GD55,GH55,GL55,GP55))&gt;0.005),INDEX(DebtNames,GX55),IF(AND(HB55&lt;&gt;"",N(CHOOSE(HB55,FN55,FR55,FV55,FZ55,GD55,GH55,GL55,GP55))&gt;0.005),INDEX(DebtNames,HB55),IF(AND(HF55&lt;&gt;"",N(CHOOSE(HF55,FN55,FR55,FV55,FZ55,GD55,GH55,GL55,GP55))&gt;0.005),INDEX(DebtNames,HF55),IF(AND(HJ55&lt;&gt;"",N(CHOOSE(HJ55,FN55,FR55,FV55,FZ55,GD55,GH55,GL55,GP55))&gt;0.005),INDEX(DebtNames,HJ55),IF(AND(HN55&lt;&gt;"",N(CHOOSE(HN55,FN55,FR55,FV55,FZ55,GD55,GH55,GL55,GP55))&gt;0.005),INDEX(DebtNames,HN55),IF(AND(HR55&lt;&gt;"",N(CHOOSE(HR55,FN55,FR55,FV55,FZ55,GD55,GH55,GL55,GP55))&gt;0.005),INDEX(DebtNames,HR55),IF(AND(HV55&lt;&gt;"",N(CHOOSE(HV55,FN55,FR55,FV55,FZ55,GD55,GH55,GL55,GP55))&gt;0.005),INDEX(DebtNames,HV55),""))))))))</f>
        <v/>
      </c>
      <c r="FH55">
        <f>N(HY55)</f>
        <v/>
      </c>
      <c r="FI55">
        <f>N(FP55)+N(FT55)+N(FX55)+N(GB55)+N(GF55)+N(GJ55)+N(GN55)+N(GR55)</f>
        <v/>
      </c>
      <c r="FJ55">
        <f>N(FO55)+N(FS55)+N(FW55)+N(GA55)+N(GE55)+N(GI55)+N(GM55)+N(GQ55)</f>
        <v/>
      </c>
      <c r="FK55">
        <f>N(FK54)+N(FJ55)</f>
        <v/>
      </c>
      <c r="FL55">
        <f>N(FQ55)+N(FU55)+N(FY55)+N(GC55)+N(GG55)+N(GK55)+N(GO55)+N(GS55)</f>
        <v/>
      </c>
      <c r="FM55">
        <f>(FQ55&gt;0.005)*1+(FU55&gt;0.005)*1+(FY55&gt;0.005)*1+(GC55&gt;0.005)*1+(GG55&gt;0.005)*1+(GK55&gt;0.005)*1+(GO55&gt;0.005)*1+(GS55&gt;0.005)*1</f>
        <v/>
      </c>
      <c r="FN55">
        <f>N(FQ54)</f>
        <v/>
      </c>
      <c r="FO55">
        <f>IF(N(FN55)&lt;=0.005,0,ROUND(N(FN55)*N('Debt List'!E5)/12,2))</f>
        <v/>
      </c>
      <c r="FP55">
        <f>IF(N(FN55)&lt;=0.005,0,MIN(N('Debt List'!F5),N(FN55)+N(FO55)))+((GT55=1)*GV55+(GX55=1)*GZ55+(HB55=1)*HD55+(HF55=1)*HH55+(HJ55=1)*HL55+(HN55=1)*HP55+(HR55=1)*HT55+(HV55=1)*HX55)</f>
        <v/>
      </c>
      <c r="FQ55">
        <f>MAX(0,ROUND(N(FN55)+N(FO55)-N(FP55),2))</f>
        <v/>
      </c>
      <c r="FR55">
        <f>N(FU54)</f>
        <v/>
      </c>
      <c r="FS55">
        <f>IF(N(FR55)&lt;=0.005,0,ROUND(N(FR55)*N('Debt List'!E6)/12,2))</f>
        <v/>
      </c>
      <c r="FT55">
        <f>IF(N(FR55)&lt;=0.005,0,MIN(N('Debt List'!F6),N(FR55)+N(FS55)))+((GT55=2)*GV55+(GX55=2)*GZ55+(HB55=2)*HD55+(HF55=2)*HH55+(HJ55=2)*HL55+(HN55=2)*HP55+(HR55=2)*HT55+(HV55=2)*HX55)</f>
        <v/>
      </c>
      <c r="FU55">
        <f>MAX(0,ROUND(N(FR55)+N(FS55)-N(FT55),2))</f>
        <v/>
      </c>
      <c r="FV55">
        <f>N(FY54)</f>
        <v/>
      </c>
      <c r="FW55">
        <f>IF(N(FV55)&lt;=0.005,0,ROUND(N(FV55)*N('Debt List'!E7)/12,2))</f>
        <v/>
      </c>
      <c r="FX55">
        <f>IF(N(FV55)&lt;=0.005,0,MIN(N('Debt List'!F7),N(FV55)+N(FW55)))+((GT55=3)*GV55+(GX55=3)*GZ55+(HB55=3)*HD55+(HF55=3)*HH55+(HJ55=3)*HL55+(HN55=3)*HP55+(HR55=3)*HT55+(HV55=3)*HX55)</f>
        <v/>
      </c>
      <c r="FY55">
        <f>MAX(0,ROUND(N(FV55)+N(FW55)-N(FX55),2))</f>
        <v/>
      </c>
      <c r="FZ55">
        <f>N(GC54)</f>
        <v/>
      </c>
      <c r="GA55">
        <f>IF(N(FZ55)&lt;=0.005,0,ROUND(N(FZ55)*N('Debt List'!E8)/12,2))</f>
        <v/>
      </c>
      <c r="GB55">
        <f>IF(N(FZ55)&lt;=0.005,0,MIN(N('Debt List'!F8),N(FZ55)+N(GA55)))+((GT55=4)*GV55+(GX55=4)*GZ55+(HB55=4)*HD55+(HF55=4)*HH55+(HJ55=4)*HL55+(HN55=4)*HP55+(HR55=4)*HT55+(HV55=4)*HX55)</f>
        <v/>
      </c>
      <c r="GC55">
        <f>MAX(0,ROUND(N(FZ55)+N(GA55)-N(GB55),2))</f>
        <v/>
      </c>
      <c r="GD55">
        <f>N(GG54)</f>
        <v/>
      </c>
      <c r="GE55">
        <f>IF(N(GD55)&lt;=0.005,0,ROUND(N(GD55)*N('Debt List'!E9)/12,2))</f>
        <v/>
      </c>
      <c r="GF55">
        <f>IF(N(GD55)&lt;=0.005,0,MIN(N('Debt List'!F9),N(GD55)+N(GE55)))+((GT55=5)*GV55+(GX55=5)*GZ55+(HB55=5)*HD55+(HF55=5)*HH55+(HJ55=5)*HL55+(HN55=5)*HP55+(HR55=5)*HT55+(HV55=5)*HX55)</f>
        <v/>
      </c>
      <c r="GG55">
        <f>MAX(0,ROUND(N(GD55)+N(GE55)-N(GF55),2))</f>
        <v/>
      </c>
      <c r="GH55">
        <f>N(GK54)</f>
        <v/>
      </c>
      <c r="GI55">
        <f>IF(N(GH55)&lt;=0.005,0,ROUND(N(GH55)*N('Debt List'!E10)/12,2))</f>
        <v/>
      </c>
      <c r="GJ55">
        <f>IF(N(GH55)&lt;=0.005,0,MIN(N('Debt List'!F10),N(GH55)+N(GI55)))+((GT55=6)*GV55+(GX55=6)*GZ55+(HB55=6)*HD55+(HF55=6)*HH55+(HJ55=6)*HL55+(HN55=6)*HP55+(HR55=6)*HT55+(HV55=6)*HX55)</f>
        <v/>
      </c>
      <c r="GK55">
        <f>MAX(0,ROUND(N(GH55)+N(GI55)-N(GJ55),2))</f>
        <v/>
      </c>
      <c r="GL55">
        <f>N(GO54)</f>
        <v/>
      </c>
      <c r="GM55">
        <f>IF(N(GL55)&lt;=0.005,0,ROUND(N(GL55)*N('Debt List'!E11)/12,2))</f>
        <v/>
      </c>
      <c r="GN55">
        <f>IF(N(GL55)&lt;=0.005,0,MIN(N('Debt List'!F11),N(GL55)+N(GM55)))+((GT55=7)*GV55+(GX55=7)*GZ55+(HB55=7)*HD55+(HF55=7)*HH55+(HJ55=7)*HL55+(HN55=7)*HP55+(HR55=7)*HT55+(HV55=7)*HX55)</f>
        <v/>
      </c>
      <c r="GO55">
        <f>MAX(0,ROUND(N(GL55)+N(GM55)-N(GN55),2))</f>
        <v/>
      </c>
      <c r="GP55">
        <f>N(GS54)</f>
        <v/>
      </c>
      <c r="GQ55">
        <f>IF(N(GP55)&lt;=0.005,0,ROUND(N(GP55)*N('Debt List'!E12)/12,2))</f>
        <v/>
      </c>
      <c r="GR55">
        <f>IF(N(GP55)&lt;=0.005,0,MIN(N('Debt List'!F12),N(GP55)+N(GQ55)))+((GT55=8)*GV55+(GX55=8)*GZ55+(HB55=8)*HD55+(HF55=8)*HH55+(HJ55=8)*HL55+(HN55=8)*HP55+(HR55=8)*HT55+(HV55=8)*HX55)</f>
        <v/>
      </c>
      <c r="GS55">
        <f>MAX(0,ROUND(N(GP55)+N(GQ55)-N(GR55),2))</f>
        <v/>
      </c>
      <c r="GT55">
        <f>IFERROR(MATCH(1,OrderAval,0),"")</f>
        <v/>
      </c>
      <c r="GU55">
        <f>IF(GT55="",0,IFERROR(IF(N(CHOOSE(GT55,FN55,FR55,FV55,FZ55,GD55,GH55,GL55,GP55))&lt;=0.005,0,MAX(0,N(CHOOSE(GT55,FN55,FR55,FV55,FZ55,GD55,GH55,GL55,GP55))+N(CHOOSE(GT55,FO55,FS55,FW55,GA55,GE55,GI55,GM55,GQ55))-MIN(N(CHOOSE(GT55,'Debt List'!$F$5,'Debt List'!$F$6,'Debt List'!$F$7,'Debt List'!$F$8,'Debt List'!$F$9,'Debt List'!$F$10,'Debt List'!$F$11,'Debt List'!$F$12)),N(CHOOSE(GT55,FN55,FR55,FV55,FZ55,GD55,GH55,GL55,GP55))+N(CHOOSE(GT55,FO55,FS55,FW55,GA55,GE55,GI55,GM55,GQ55))))),0))</f>
        <v/>
      </c>
      <c r="GV55">
        <f>MIN(N(GU55),MAX(0,N(ExtraPayment)))</f>
        <v/>
      </c>
      <c r="GW55">
        <f>MAX(0,N(ExtraPayment)-N(GV55))</f>
        <v/>
      </c>
      <c r="GX55">
        <f>IFERROR(MATCH(2,OrderAval,0),"")</f>
        <v/>
      </c>
      <c r="GY55">
        <f>IF(GX55="",0,IFERROR(IF(N(CHOOSE(GX55,FN55,FR55,FV55,FZ55,GD55,GH55,GL55,GP55))&lt;=0.005,0,MAX(0,N(CHOOSE(GX55,FN55,FR55,FV55,FZ55,GD55,GH55,GL55,GP55))+N(CHOOSE(GX55,FO55,FS55,FW55,GA55,GE55,GI55,GM55,GQ55))-MIN(N(CHOOSE(GX55,'Debt List'!$F$5,'Debt List'!$F$6,'Debt List'!$F$7,'Debt List'!$F$8,'Debt List'!$F$9,'Debt List'!$F$10,'Debt List'!$F$11,'Debt List'!$F$12)),N(CHOOSE(GX55,FN55,FR55,FV55,FZ55,GD55,GH55,GL55,GP55))+N(CHOOSE(GX55,FO55,FS55,FW55,GA55,GE55,GI55,GM55,GQ55))))),0))</f>
        <v/>
      </c>
      <c r="GZ55">
        <f>MIN(N(GY55),MAX(0,N(GW55)))</f>
        <v/>
      </c>
      <c r="HA55">
        <f>MAX(0,N(GW55)-N(GZ55))</f>
        <v/>
      </c>
      <c r="HB55">
        <f>IFERROR(MATCH(3,OrderAval,0),"")</f>
        <v/>
      </c>
      <c r="HC55">
        <f>IF(HB55="",0,IFERROR(IF(N(CHOOSE(HB55,FN55,FR55,FV55,FZ55,GD55,GH55,GL55,GP55))&lt;=0.005,0,MAX(0,N(CHOOSE(HB55,FN55,FR55,FV55,FZ55,GD55,GH55,GL55,GP55))+N(CHOOSE(HB55,FO55,FS55,FW55,GA55,GE55,GI55,GM55,GQ55))-MIN(N(CHOOSE(HB55,'Debt List'!$F$5,'Debt List'!$F$6,'Debt List'!$F$7,'Debt List'!$F$8,'Debt List'!$F$9,'Debt List'!$F$10,'Debt List'!$F$11,'Debt List'!$F$12)),N(CHOOSE(HB55,FN55,FR55,FV55,FZ55,GD55,GH55,GL55,GP55))+N(CHOOSE(HB55,FO55,FS55,FW55,GA55,GE55,GI55,GM55,GQ55))))),0))</f>
        <v/>
      </c>
      <c r="HD55">
        <f>MIN(N(HC55),MAX(0,N(HA55)))</f>
        <v/>
      </c>
      <c r="HE55">
        <f>MAX(0,N(HA55)-N(HD55))</f>
        <v/>
      </c>
      <c r="HF55">
        <f>IFERROR(MATCH(4,OrderAval,0),"")</f>
        <v/>
      </c>
      <c r="HG55">
        <f>IF(HF55="",0,IFERROR(IF(N(CHOOSE(HF55,FN55,FR55,FV55,FZ55,GD55,GH55,GL55,GP55))&lt;=0.005,0,MAX(0,N(CHOOSE(HF55,FN55,FR55,FV55,FZ55,GD55,GH55,GL55,GP55))+N(CHOOSE(HF55,FO55,FS55,FW55,GA55,GE55,GI55,GM55,GQ55))-MIN(N(CHOOSE(HF55,'Debt List'!$F$5,'Debt List'!$F$6,'Debt List'!$F$7,'Debt List'!$F$8,'Debt List'!$F$9,'Debt List'!$F$10,'Debt List'!$F$11,'Debt List'!$F$12)),N(CHOOSE(HF55,FN55,FR55,FV55,FZ55,GD55,GH55,GL55,GP55))+N(CHOOSE(HF55,FO55,FS55,FW55,GA55,GE55,GI55,GM55,GQ55))))),0))</f>
        <v/>
      </c>
      <c r="HH55">
        <f>MIN(N(HG55),MAX(0,N(HE55)))</f>
        <v/>
      </c>
      <c r="HI55">
        <f>MAX(0,N(HE55)-N(HH55))</f>
        <v/>
      </c>
      <c r="HJ55">
        <f>IFERROR(MATCH(5,OrderAval,0),"")</f>
        <v/>
      </c>
      <c r="HK55">
        <f>IF(HJ55="",0,IFERROR(IF(N(CHOOSE(HJ55,FN55,FR55,FV55,FZ55,GD55,GH55,GL55,GP55))&lt;=0.005,0,MAX(0,N(CHOOSE(HJ55,FN55,FR55,FV55,FZ55,GD55,GH55,GL55,GP55))+N(CHOOSE(HJ55,FO55,FS55,FW55,GA55,GE55,GI55,GM55,GQ55))-MIN(N(CHOOSE(HJ55,'Debt List'!$F$5,'Debt List'!$F$6,'Debt List'!$F$7,'Debt List'!$F$8,'Debt List'!$F$9,'Debt List'!$F$10,'Debt List'!$F$11,'Debt List'!$F$12)),N(CHOOSE(HJ55,FN55,FR55,FV55,FZ55,GD55,GH55,GL55,GP55))+N(CHOOSE(HJ55,FO55,FS55,FW55,GA55,GE55,GI55,GM55,GQ55))))),0))</f>
        <v/>
      </c>
      <c r="HL55">
        <f>MIN(N(HK55),MAX(0,N(HI55)))</f>
        <v/>
      </c>
      <c r="HM55">
        <f>MAX(0,N(HI55)-N(HL55))</f>
        <v/>
      </c>
      <c r="HN55">
        <f>IFERROR(MATCH(6,OrderAval,0),"")</f>
        <v/>
      </c>
      <c r="HO55">
        <f>IF(HN55="",0,IFERROR(IF(N(CHOOSE(HN55,FN55,FR55,FV55,FZ55,GD55,GH55,GL55,GP55))&lt;=0.005,0,MAX(0,N(CHOOSE(HN55,FN55,FR55,FV55,FZ55,GD55,GH55,GL55,GP55))+N(CHOOSE(HN55,FO55,FS55,FW55,GA55,GE55,GI55,GM55,GQ55))-MIN(N(CHOOSE(HN55,'Debt List'!$F$5,'Debt List'!$F$6,'Debt List'!$F$7,'Debt List'!$F$8,'Debt List'!$F$9,'Debt List'!$F$10,'Debt List'!$F$11,'Debt List'!$F$12)),N(CHOOSE(HN55,FN55,FR55,FV55,FZ55,GD55,GH55,GL55,GP55))+N(CHOOSE(HN55,FO55,FS55,FW55,GA55,GE55,GI55,GM55,GQ55))))),0))</f>
        <v/>
      </c>
      <c r="HP55">
        <f>MIN(N(HO55),MAX(0,N(HM55)))</f>
        <v/>
      </c>
      <c r="HQ55">
        <f>MAX(0,N(HM55)-N(HP55))</f>
        <v/>
      </c>
      <c r="HR55">
        <f>IFERROR(MATCH(7,OrderAval,0),"")</f>
        <v/>
      </c>
      <c r="HS55">
        <f>IF(HR55="",0,IFERROR(IF(N(CHOOSE(HR55,FN55,FR55,FV55,FZ55,GD55,GH55,GL55,GP55))&lt;=0.005,0,MAX(0,N(CHOOSE(HR55,FN55,FR55,FV55,FZ55,GD55,GH55,GL55,GP55))+N(CHOOSE(HR55,FO55,FS55,FW55,GA55,GE55,GI55,GM55,GQ55))-MIN(N(CHOOSE(HR55,'Debt List'!$F$5,'Debt List'!$F$6,'Debt List'!$F$7,'Debt List'!$F$8,'Debt List'!$F$9,'Debt List'!$F$10,'Debt List'!$F$11,'Debt List'!$F$12)),N(CHOOSE(HR55,FN55,FR55,FV55,FZ55,GD55,GH55,GL55,GP55))+N(CHOOSE(HR55,FO55,FS55,FW55,GA55,GE55,GI55,GM55,GQ55))))),0))</f>
        <v/>
      </c>
      <c r="HT55">
        <f>MIN(N(HS55),MAX(0,N(HQ55)))</f>
        <v/>
      </c>
      <c r="HU55">
        <f>MAX(0,N(HQ55)-N(HT55))</f>
        <v/>
      </c>
      <c r="HV55">
        <f>IFERROR(MATCH(8,OrderAval,0),"")</f>
        <v/>
      </c>
      <c r="HW55">
        <f>IF(HV55="",0,IFERROR(IF(N(CHOOSE(HV55,FN55,FR55,FV55,FZ55,GD55,GH55,GL55,GP55))&lt;=0.005,0,MAX(0,N(CHOOSE(HV55,FN55,FR55,FV55,FZ55,GD55,GH55,GL55,GP55))+N(CHOOSE(HV55,FO55,FS55,FW55,GA55,GE55,GI55,GM55,GQ55))-MIN(N(CHOOSE(HV55,'Debt List'!$F$5,'Debt List'!$F$6,'Debt List'!$F$7,'Debt List'!$F$8,'Debt List'!$F$9,'Debt List'!$F$10,'Debt List'!$F$11,'Debt List'!$F$12)),N(CHOOSE(HV55,FN55,FR55,FV55,FZ55,GD55,GH55,GL55,GP55))+N(CHOOSE(HV55,FO55,FS55,FW55,GA55,GE55,GI55,GM55,GQ55))))),0))</f>
        <v/>
      </c>
      <c r="HX55">
        <f>MIN(N(HW55),MAX(0,N(HU55)))</f>
        <v/>
      </c>
      <c r="HY55">
        <f>MAX(0,N(HU55)-N(HX55))</f>
        <v/>
      </c>
    </row>
    <row r="56">
      <c r="A56" t="n">
        <v>52</v>
      </c>
      <c r="B56" s="115">
        <f>DATE(YEAR(PlanStart),MONTH(PlanStart)+A56-1,1)</f>
        <v/>
      </c>
      <c r="C56">
        <f>IF(AND(AP56&lt;&gt;"",N(CHOOSE(AP56,J56,N56,R56,V56,Z56,AD56,AH56,AL56))&gt;0.005),INDEX(DebtNames,AP56),IF(AND(AT56&lt;&gt;"",N(CHOOSE(AT56,J56,N56,R56,V56,Z56,AD56,AH56,AL56))&gt;0.005),INDEX(DebtNames,AT56),IF(AND(AX56&lt;&gt;"",N(CHOOSE(AX56,J56,N56,R56,V56,Z56,AD56,AH56,AL56))&gt;0.005),INDEX(DebtNames,AX56),IF(AND(BB56&lt;&gt;"",N(CHOOSE(BB56,J56,N56,R56,V56,Z56,AD56,AH56,AL56))&gt;0.005),INDEX(DebtNames,BB56),IF(AND(BF56&lt;&gt;"",N(CHOOSE(BF56,J56,N56,R56,V56,Z56,AD56,AH56,AL56))&gt;0.005),INDEX(DebtNames,BF56),IF(AND(BJ56&lt;&gt;"",N(CHOOSE(BJ56,J56,N56,R56,V56,Z56,AD56,AH56,AL56))&gt;0.005),INDEX(DebtNames,BJ56),IF(AND(BN56&lt;&gt;"",N(CHOOSE(BN56,J56,N56,R56,V56,Z56,AD56,AH56,AL56))&gt;0.005),INDEX(DebtNames,BN56),IF(AND(BR56&lt;&gt;"",N(CHOOSE(BR56,J56,N56,R56,V56,Z56,AD56,AH56,AL56))&gt;0.005),INDEX(DebtNames,BR56),""))))))))</f>
        <v/>
      </c>
      <c r="D56">
        <f>N(BU56)</f>
        <v/>
      </c>
      <c r="E56">
        <f>N(L56)+N(P56)+N(T56)+N(X56)+N(AB56)+N(AF56)+N(AJ56)+N(AN56)</f>
        <v/>
      </c>
      <c r="F56">
        <f>N(K56)+N(O56)+N(S56)+N(W56)+N(AA56)+N(AE56)+N(AI56)+N(AM56)</f>
        <v/>
      </c>
      <c r="G56">
        <f>N(G55)+N(F56)</f>
        <v/>
      </c>
      <c r="H56">
        <f>N(M56)+N(Q56)+N(U56)+N(Y56)+N(AC56)+N(AG56)+N(AK56)+N(AO56)</f>
        <v/>
      </c>
      <c r="I56">
        <f>(M56&gt;0.005)*1+(Q56&gt;0.005)*1+(U56&gt;0.005)*1+(Y56&gt;0.005)*1+(AC56&gt;0.005)*1+(AG56&gt;0.005)*1+(AK56&gt;0.005)*1+(AO56&gt;0.005)*1</f>
        <v/>
      </c>
      <c r="J56">
        <f>N(M55)</f>
        <v/>
      </c>
      <c r="K56">
        <f>IF(N(J56)&lt;=0.005,0,ROUND(N(J56)*N('Debt List'!E5)/12,2))</f>
        <v/>
      </c>
      <c r="L56">
        <f>IF(N(J56)&lt;=0.005,0,MIN(N('Debt List'!F5),N(J56)+N(K56)))+((AP56=1)*AR56+(AT56=1)*AV56+(AX56=1)*AZ56+(BB56=1)*BD56+(BF56=1)*BH56+(BJ56=1)*BL56+(BN56=1)*BP56+(BR56=1)*BT56)</f>
        <v/>
      </c>
      <c r="M56">
        <f>MAX(0,ROUND(N(J56)+N(K56)-N(L56),2))</f>
        <v/>
      </c>
      <c r="N56">
        <f>N(Q55)</f>
        <v/>
      </c>
      <c r="O56">
        <f>IF(N(N56)&lt;=0.005,0,ROUND(N(N56)*N('Debt List'!E6)/12,2))</f>
        <v/>
      </c>
      <c r="P56">
        <f>IF(N(N56)&lt;=0.005,0,MIN(N('Debt List'!F6),N(N56)+N(O56)))+((AP56=2)*AR56+(AT56=2)*AV56+(AX56=2)*AZ56+(BB56=2)*BD56+(BF56=2)*BH56+(BJ56=2)*BL56+(BN56=2)*BP56+(BR56=2)*BT56)</f>
        <v/>
      </c>
      <c r="Q56">
        <f>MAX(0,ROUND(N(N56)+N(O56)-N(P56),2))</f>
        <v/>
      </c>
      <c r="R56">
        <f>N(U55)</f>
        <v/>
      </c>
      <c r="S56">
        <f>IF(N(R56)&lt;=0.005,0,ROUND(N(R56)*N('Debt List'!E7)/12,2))</f>
        <v/>
      </c>
      <c r="T56">
        <f>IF(N(R56)&lt;=0.005,0,MIN(N('Debt List'!F7),N(R56)+N(S56)))+((AP56=3)*AR56+(AT56=3)*AV56+(AX56=3)*AZ56+(BB56=3)*BD56+(BF56=3)*BH56+(BJ56=3)*BL56+(BN56=3)*BP56+(BR56=3)*BT56)</f>
        <v/>
      </c>
      <c r="U56">
        <f>MAX(0,ROUND(N(R56)+N(S56)-N(T56),2))</f>
        <v/>
      </c>
      <c r="V56">
        <f>N(Y55)</f>
        <v/>
      </c>
      <c r="W56">
        <f>IF(N(V56)&lt;=0.005,0,ROUND(N(V56)*N('Debt List'!E8)/12,2))</f>
        <v/>
      </c>
      <c r="X56">
        <f>IF(N(V56)&lt;=0.005,0,MIN(N('Debt List'!F8),N(V56)+N(W56)))+((AP56=4)*AR56+(AT56=4)*AV56+(AX56=4)*AZ56+(BB56=4)*BD56+(BF56=4)*BH56+(BJ56=4)*BL56+(BN56=4)*BP56+(BR56=4)*BT56)</f>
        <v/>
      </c>
      <c r="Y56">
        <f>MAX(0,ROUND(N(V56)+N(W56)-N(X56),2))</f>
        <v/>
      </c>
      <c r="Z56">
        <f>N(AC55)</f>
        <v/>
      </c>
      <c r="AA56">
        <f>IF(N(Z56)&lt;=0.005,0,ROUND(N(Z56)*N('Debt List'!E9)/12,2))</f>
        <v/>
      </c>
      <c r="AB56">
        <f>IF(N(Z56)&lt;=0.005,0,MIN(N('Debt List'!F9),N(Z56)+N(AA56)))+((AP56=5)*AR56+(AT56=5)*AV56+(AX56=5)*AZ56+(BB56=5)*BD56+(BF56=5)*BH56+(BJ56=5)*BL56+(BN56=5)*BP56+(BR56=5)*BT56)</f>
        <v/>
      </c>
      <c r="AC56">
        <f>MAX(0,ROUND(N(Z56)+N(AA56)-N(AB56),2))</f>
        <v/>
      </c>
      <c r="AD56">
        <f>N(AG55)</f>
        <v/>
      </c>
      <c r="AE56">
        <f>IF(N(AD56)&lt;=0.005,0,ROUND(N(AD56)*N('Debt List'!E10)/12,2))</f>
        <v/>
      </c>
      <c r="AF56">
        <f>IF(N(AD56)&lt;=0.005,0,MIN(N('Debt List'!F10),N(AD56)+N(AE56)))+((AP56=6)*AR56+(AT56=6)*AV56+(AX56=6)*AZ56+(BB56=6)*BD56+(BF56=6)*BH56+(BJ56=6)*BL56+(BN56=6)*BP56+(BR56=6)*BT56)</f>
        <v/>
      </c>
      <c r="AG56">
        <f>MAX(0,ROUND(N(AD56)+N(AE56)-N(AF56),2))</f>
        <v/>
      </c>
      <c r="AH56">
        <f>N(AK55)</f>
        <v/>
      </c>
      <c r="AI56">
        <f>IF(N(AH56)&lt;=0.005,0,ROUND(N(AH56)*N('Debt List'!E11)/12,2))</f>
        <v/>
      </c>
      <c r="AJ56">
        <f>IF(N(AH56)&lt;=0.005,0,MIN(N('Debt List'!F11),N(AH56)+N(AI56)))+((AP56=7)*AR56+(AT56=7)*AV56+(AX56=7)*AZ56+(BB56=7)*BD56+(BF56=7)*BH56+(BJ56=7)*BL56+(BN56=7)*BP56+(BR56=7)*BT56)</f>
        <v/>
      </c>
      <c r="AK56">
        <f>MAX(0,ROUND(N(AH56)+N(AI56)-N(AJ56),2))</f>
        <v/>
      </c>
      <c r="AL56">
        <f>N(AO55)</f>
        <v/>
      </c>
      <c r="AM56">
        <f>IF(N(AL56)&lt;=0.005,0,ROUND(N(AL56)*N('Debt List'!E12)/12,2))</f>
        <v/>
      </c>
      <c r="AN56">
        <f>IF(N(AL56)&lt;=0.005,0,MIN(N('Debt List'!F12),N(AL56)+N(AM56)))+((AP56=8)*AR56+(AT56=8)*AV56+(AX56=8)*AZ56+(BB56=8)*BD56+(BF56=8)*BH56+(BJ56=8)*BL56+(BN56=8)*BP56+(BR56=8)*BT56)</f>
        <v/>
      </c>
      <c r="AO56">
        <f>MAX(0,ROUND(N(AL56)+N(AM56)-N(AN56),2))</f>
        <v/>
      </c>
      <c r="AP56">
        <f>IFERROR(MATCH(1,OrderPlan,0),"")</f>
        <v/>
      </c>
      <c r="AQ56">
        <f>IF(AP56="",0,IFERROR(IF(N(CHOOSE(AP56,J56,N56,R56,V56,Z56,AD56,AH56,AL56))&lt;=0.005,0,MAX(0,N(CHOOSE(AP56,J56,N56,R56,V56,Z56,AD56,AH56,AL56))+N(CHOOSE(AP56,K56,O56,S56,W56,AA56,AE56,AI56,AM56))-MIN(N(CHOOSE(AP56,'Debt List'!$F$5,'Debt List'!$F$6,'Debt List'!$F$7,'Debt List'!$F$8,'Debt List'!$F$9,'Debt List'!$F$10,'Debt List'!$F$11,'Debt List'!$F$12)),N(CHOOSE(AP56,J56,N56,R56,V56,Z56,AD56,AH56,AL56))+N(CHOOSE(AP56,K56,O56,S56,W56,AA56,AE56,AI56,AM56))))),0))</f>
        <v/>
      </c>
      <c r="AR56">
        <f>MIN(N(AQ56),MAX(0,N(ExtraPayment)))</f>
        <v/>
      </c>
      <c r="AS56">
        <f>MAX(0,N(ExtraPayment)-N(AR56))</f>
        <v/>
      </c>
      <c r="AT56">
        <f>IFERROR(MATCH(2,OrderPlan,0),"")</f>
        <v/>
      </c>
      <c r="AU56">
        <f>IF(AT56="",0,IFERROR(IF(N(CHOOSE(AT56,J56,N56,R56,V56,Z56,AD56,AH56,AL56))&lt;=0.005,0,MAX(0,N(CHOOSE(AT56,J56,N56,R56,V56,Z56,AD56,AH56,AL56))+N(CHOOSE(AT56,K56,O56,S56,W56,AA56,AE56,AI56,AM56))-MIN(N(CHOOSE(AT56,'Debt List'!$F$5,'Debt List'!$F$6,'Debt List'!$F$7,'Debt List'!$F$8,'Debt List'!$F$9,'Debt List'!$F$10,'Debt List'!$F$11,'Debt List'!$F$12)),N(CHOOSE(AT56,J56,N56,R56,V56,Z56,AD56,AH56,AL56))+N(CHOOSE(AT56,K56,O56,S56,W56,AA56,AE56,AI56,AM56))))),0))</f>
        <v/>
      </c>
      <c r="AV56">
        <f>MIN(N(AU56),MAX(0,N(AS56)))</f>
        <v/>
      </c>
      <c r="AW56">
        <f>MAX(0,N(AS56)-N(AV56))</f>
        <v/>
      </c>
      <c r="AX56">
        <f>IFERROR(MATCH(3,OrderPlan,0),"")</f>
        <v/>
      </c>
      <c r="AY56">
        <f>IF(AX56="",0,IFERROR(IF(N(CHOOSE(AX56,J56,N56,R56,V56,Z56,AD56,AH56,AL56))&lt;=0.005,0,MAX(0,N(CHOOSE(AX56,J56,N56,R56,V56,Z56,AD56,AH56,AL56))+N(CHOOSE(AX56,K56,O56,S56,W56,AA56,AE56,AI56,AM56))-MIN(N(CHOOSE(AX56,'Debt List'!$F$5,'Debt List'!$F$6,'Debt List'!$F$7,'Debt List'!$F$8,'Debt List'!$F$9,'Debt List'!$F$10,'Debt List'!$F$11,'Debt List'!$F$12)),N(CHOOSE(AX56,J56,N56,R56,V56,Z56,AD56,AH56,AL56))+N(CHOOSE(AX56,K56,O56,S56,W56,AA56,AE56,AI56,AM56))))),0))</f>
        <v/>
      </c>
      <c r="AZ56">
        <f>MIN(N(AY56),MAX(0,N(AW56)))</f>
        <v/>
      </c>
      <c r="BA56">
        <f>MAX(0,N(AW56)-N(AZ56))</f>
        <v/>
      </c>
      <c r="BB56">
        <f>IFERROR(MATCH(4,OrderPlan,0),"")</f>
        <v/>
      </c>
      <c r="BC56">
        <f>IF(BB56="",0,IFERROR(IF(N(CHOOSE(BB56,J56,N56,R56,V56,Z56,AD56,AH56,AL56))&lt;=0.005,0,MAX(0,N(CHOOSE(BB56,J56,N56,R56,V56,Z56,AD56,AH56,AL56))+N(CHOOSE(BB56,K56,O56,S56,W56,AA56,AE56,AI56,AM56))-MIN(N(CHOOSE(BB56,'Debt List'!$F$5,'Debt List'!$F$6,'Debt List'!$F$7,'Debt List'!$F$8,'Debt List'!$F$9,'Debt List'!$F$10,'Debt List'!$F$11,'Debt List'!$F$12)),N(CHOOSE(BB56,J56,N56,R56,V56,Z56,AD56,AH56,AL56))+N(CHOOSE(BB56,K56,O56,S56,W56,AA56,AE56,AI56,AM56))))),0))</f>
        <v/>
      </c>
      <c r="BD56">
        <f>MIN(N(BC56),MAX(0,N(BA56)))</f>
        <v/>
      </c>
      <c r="BE56">
        <f>MAX(0,N(BA56)-N(BD56))</f>
        <v/>
      </c>
      <c r="BF56">
        <f>IFERROR(MATCH(5,OrderPlan,0),"")</f>
        <v/>
      </c>
      <c r="BG56">
        <f>IF(BF56="",0,IFERROR(IF(N(CHOOSE(BF56,J56,N56,R56,V56,Z56,AD56,AH56,AL56))&lt;=0.005,0,MAX(0,N(CHOOSE(BF56,J56,N56,R56,V56,Z56,AD56,AH56,AL56))+N(CHOOSE(BF56,K56,O56,S56,W56,AA56,AE56,AI56,AM56))-MIN(N(CHOOSE(BF56,'Debt List'!$F$5,'Debt List'!$F$6,'Debt List'!$F$7,'Debt List'!$F$8,'Debt List'!$F$9,'Debt List'!$F$10,'Debt List'!$F$11,'Debt List'!$F$12)),N(CHOOSE(BF56,J56,N56,R56,V56,Z56,AD56,AH56,AL56))+N(CHOOSE(BF56,K56,O56,S56,W56,AA56,AE56,AI56,AM56))))),0))</f>
        <v/>
      </c>
      <c r="BH56">
        <f>MIN(N(BG56),MAX(0,N(BE56)))</f>
        <v/>
      </c>
      <c r="BI56">
        <f>MAX(0,N(BE56)-N(BH56))</f>
        <v/>
      </c>
      <c r="BJ56">
        <f>IFERROR(MATCH(6,OrderPlan,0),"")</f>
        <v/>
      </c>
      <c r="BK56">
        <f>IF(BJ56="",0,IFERROR(IF(N(CHOOSE(BJ56,J56,N56,R56,V56,Z56,AD56,AH56,AL56))&lt;=0.005,0,MAX(0,N(CHOOSE(BJ56,J56,N56,R56,V56,Z56,AD56,AH56,AL56))+N(CHOOSE(BJ56,K56,O56,S56,W56,AA56,AE56,AI56,AM56))-MIN(N(CHOOSE(BJ56,'Debt List'!$F$5,'Debt List'!$F$6,'Debt List'!$F$7,'Debt List'!$F$8,'Debt List'!$F$9,'Debt List'!$F$10,'Debt List'!$F$11,'Debt List'!$F$12)),N(CHOOSE(BJ56,J56,N56,R56,V56,Z56,AD56,AH56,AL56))+N(CHOOSE(BJ56,K56,O56,S56,W56,AA56,AE56,AI56,AM56))))),0))</f>
        <v/>
      </c>
      <c r="BL56">
        <f>MIN(N(BK56),MAX(0,N(BI56)))</f>
        <v/>
      </c>
      <c r="BM56">
        <f>MAX(0,N(BI56)-N(BL56))</f>
        <v/>
      </c>
      <c r="BN56">
        <f>IFERROR(MATCH(7,OrderPlan,0),"")</f>
        <v/>
      </c>
      <c r="BO56">
        <f>IF(BN56="",0,IFERROR(IF(N(CHOOSE(BN56,J56,N56,R56,V56,Z56,AD56,AH56,AL56))&lt;=0.005,0,MAX(0,N(CHOOSE(BN56,J56,N56,R56,V56,Z56,AD56,AH56,AL56))+N(CHOOSE(BN56,K56,O56,S56,W56,AA56,AE56,AI56,AM56))-MIN(N(CHOOSE(BN56,'Debt List'!$F$5,'Debt List'!$F$6,'Debt List'!$F$7,'Debt List'!$F$8,'Debt List'!$F$9,'Debt List'!$F$10,'Debt List'!$F$11,'Debt List'!$F$12)),N(CHOOSE(BN56,J56,N56,R56,V56,Z56,AD56,AH56,AL56))+N(CHOOSE(BN56,K56,O56,S56,W56,AA56,AE56,AI56,AM56))))),0))</f>
        <v/>
      </c>
      <c r="BP56">
        <f>MIN(N(BO56),MAX(0,N(BM56)))</f>
        <v/>
      </c>
      <c r="BQ56">
        <f>MAX(0,N(BM56)-N(BP56))</f>
        <v/>
      </c>
      <c r="BR56">
        <f>IFERROR(MATCH(8,OrderPlan,0),"")</f>
        <v/>
      </c>
      <c r="BS56">
        <f>IF(BR56="",0,IFERROR(IF(N(CHOOSE(BR56,J56,N56,R56,V56,Z56,AD56,AH56,AL56))&lt;=0.005,0,MAX(0,N(CHOOSE(BR56,J56,N56,R56,V56,Z56,AD56,AH56,AL56))+N(CHOOSE(BR56,K56,O56,S56,W56,AA56,AE56,AI56,AM56))-MIN(N(CHOOSE(BR56,'Debt List'!$F$5,'Debt List'!$F$6,'Debt List'!$F$7,'Debt List'!$F$8,'Debt List'!$F$9,'Debt List'!$F$10,'Debt List'!$F$11,'Debt List'!$F$12)),N(CHOOSE(BR56,J56,N56,R56,V56,Z56,AD56,AH56,AL56))+N(CHOOSE(BR56,K56,O56,S56,W56,AA56,AE56,AI56,AM56))))),0))</f>
        <v/>
      </c>
      <c r="BT56">
        <f>MIN(N(BS56),MAX(0,N(BQ56)))</f>
        <v/>
      </c>
      <c r="BU56">
        <f>MAX(0,N(BQ56)-N(BT56))</f>
        <v/>
      </c>
      <c r="CC56" t="n">
        <v>52</v>
      </c>
      <c r="CD56" s="115">
        <f>DATE(YEAR(PlanStart),MONTH(PlanStart)+CC56-1,1)</f>
        <v/>
      </c>
      <c r="CE56">
        <f>IF(AND(DR56&lt;&gt;"",N(CHOOSE(DR56,CL56,CP56,CT56,CX56,DB56,DF56,DJ56,DN56))&gt;0.005),INDEX(DebtNames,DR56),IF(AND(DV56&lt;&gt;"",N(CHOOSE(DV56,CL56,CP56,CT56,CX56,DB56,DF56,DJ56,DN56))&gt;0.005),INDEX(DebtNames,DV56),IF(AND(DZ56&lt;&gt;"",N(CHOOSE(DZ56,CL56,CP56,CT56,CX56,DB56,DF56,DJ56,DN56))&gt;0.005),INDEX(DebtNames,DZ56),IF(AND(ED56&lt;&gt;"",N(CHOOSE(ED56,CL56,CP56,CT56,CX56,DB56,DF56,DJ56,DN56))&gt;0.005),INDEX(DebtNames,ED56),IF(AND(EH56&lt;&gt;"",N(CHOOSE(EH56,CL56,CP56,CT56,CX56,DB56,DF56,DJ56,DN56))&gt;0.005),INDEX(DebtNames,EH56),IF(AND(EL56&lt;&gt;"",N(CHOOSE(EL56,CL56,CP56,CT56,CX56,DB56,DF56,DJ56,DN56))&gt;0.005),INDEX(DebtNames,EL56),IF(AND(EP56&lt;&gt;"",N(CHOOSE(EP56,CL56,CP56,CT56,CX56,DB56,DF56,DJ56,DN56))&gt;0.005),INDEX(DebtNames,EP56),IF(AND(ET56&lt;&gt;"",N(CHOOSE(ET56,CL56,CP56,CT56,CX56,DB56,DF56,DJ56,DN56))&gt;0.005),INDEX(DebtNames,ET56),""))))))))</f>
        <v/>
      </c>
      <c r="CF56">
        <f>N(EW56)</f>
        <v/>
      </c>
      <c r="CG56">
        <f>N(CN56)+N(CR56)+N(CV56)+N(CZ56)+N(DD56)+N(DH56)+N(DL56)+N(DP56)</f>
        <v/>
      </c>
      <c r="CH56">
        <f>N(CM56)+N(CQ56)+N(CU56)+N(CY56)+N(DC56)+N(DG56)+N(DK56)+N(DO56)</f>
        <v/>
      </c>
      <c r="CI56">
        <f>N(CI55)+N(CH56)</f>
        <v/>
      </c>
      <c r="CJ56">
        <f>N(CO56)+N(CS56)+N(CW56)+N(DA56)+N(DE56)+N(DI56)+N(DM56)+N(DQ56)</f>
        <v/>
      </c>
      <c r="CK56">
        <f>(CO56&gt;0.005)*1+(CS56&gt;0.005)*1+(CW56&gt;0.005)*1+(DA56&gt;0.005)*1+(DE56&gt;0.005)*1+(DI56&gt;0.005)*1+(DM56&gt;0.005)*1+(DQ56&gt;0.005)*1</f>
        <v/>
      </c>
      <c r="CL56">
        <f>N(CO55)</f>
        <v/>
      </c>
      <c r="CM56">
        <f>IF(N(CL56)&lt;=0.005,0,ROUND(N(CL56)*N('Debt List'!E5)/12,2))</f>
        <v/>
      </c>
      <c r="CN56">
        <f>IF(N(CL56)&lt;=0.005,0,MIN(N('Debt List'!F5),N(CL56)+N(CM56)))+((DR56=1)*DT56+(DV56=1)*DX56+(DZ56=1)*EB56+(ED56=1)*EF56+(EH56=1)*EJ56+(EL56=1)*EN56+(EP56=1)*ER56+(ET56=1)*EV56)</f>
        <v/>
      </c>
      <c r="CO56">
        <f>MAX(0,ROUND(N(CL56)+N(CM56)-N(CN56),2))</f>
        <v/>
      </c>
      <c r="CP56">
        <f>N(CS55)</f>
        <v/>
      </c>
      <c r="CQ56">
        <f>IF(N(CP56)&lt;=0.005,0,ROUND(N(CP56)*N('Debt List'!E6)/12,2))</f>
        <v/>
      </c>
      <c r="CR56">
        <f>IF(N(CP56)&lt;=0.005,0,MIN(N('Debt List'!F6),N(CP56)+N(CQ56)))+((DR56=2)*DT56+(DV56=2)*DX56+(DZ56=2)*EB56+(ED56=2)*EF56+(EH56=2)*EJ56+(EL56=2)*EN56+(EP56=2)*ER56+(ET56=2)*EV56)</f>
        <v/>
      </c>
      <c r="CS56">
        <f>MAX(0,ROUND(N(CP56)+N(CQ56)-N(CR56),2))</f>
        <v/>
      </c>
      <c r="CT56">
        <f>N(CW55)</f>
        <v/>
      </c>
      <c r="CU56">
        <f>IF(N(CT56)&lt;=0.005,0,ROUND(N(CT56)*N('Debt List'!E7)/12,2))</f>
        <v/>
      </c>
      <c r="CV56">
        <f>IF(N(CT56)&lt;=0.005,0,MIN(N('Debt List'!F7),N(CT56)+N(CU56)))+((DR56=3)*DT56+(DV56=3)*DX56+(DZ56=3)*EB56+(ED56=3)*EF56+(EH56=3)*EJ56+(EL56=3)*EN56+(EP56=3)*ER56+(ET56=3)*EV56)</f>
        <v/>
      </c>
      <c r="CW56">
        <f>MAX(0,ROUND(N(CT56)+N(CU56)-N(CV56),2))</f>
        <v/>
      </c>
      <c r="CX56">
        <f>N(DA55)</f>
        <v/>
      </c>
      <c r="CY56">
        <f>IF(N(CX56)&lt;=0.005,0,ROUND(N(CX56)*N('Debt List'!E8)/12,2))</f>
        <v/>
      </c>
      <c r="CZ56">
        <f>IF(N(CX56)&lt;=0.005,0,MIN(N('Debt List'!F8),N(CX56)+N(CY56)))+((DR56=4)*DT56+(DV56=4)*DX56+(DZ56=4)*EB56+(ED56=4)*EF56+(EH56=4)*EJ56+(EL56=4)*EN56+(EP56=4)*ER56+(ET56=4)*EV56)</f>
        <v/>
      </c>
      <c r="DA56">
        <f>MAX(0,ROUND(N(CX56)+N(CY56)-N(CZ56),2))</f>
        <v/>
      </c>
      <c r="DB56">
        <f>N(DE55)</f>
        <v/>
      </c>
      <c r="DC56">
        <f>IF(N(DB56)&lt;=0.005,0,ROUND(N(DB56)*N('Debt List'!E9)/12,2))</f>
        <v/>
      </c>
      <c r="DD56">
        <f>IF(N(DB56)&lt;=0.005,0,MIN(N('Debt List'!F9),N(DB56)+N(DC56)))+((DR56=5)*DT56+(DV56=5)*DX56+(DZ56=5)*EB56+(ED56=5)*EF56+(EH56=5)*EJ56+(EL56=5)*EN56+(EP56=5)*ER56+(ET56=5)*EV56)</f>
        <v/>
      </c>
      <c r="DE56">
        <f>MAX(0,ROUND(N(DB56)+N(DC56)-N(DD56),2))</f>
        <v/>
      </c>
      <c r="DF56">
        <f>N(DI55)</f>
        <v/>
      </c>
      <c r="DG56">
        <f>IF(N(DF56)&lt;=0.005,0,ROUND(N(DF56)*N('Debt List'!E10)/12,2))</f>
        <v/>
      </c>
      <c r="DH56">
        <f>IF(N(DF56)&lt;=0.005,0,MIN(N('Debt List'!F10),N(DF56)+N(DG56)))+((DR56=6)*DT56+(DV56=6)*DX56+(DZ56=6)*EB56+(ED56=6)*EF56+(EH56=6)*EJ56+(EL56=6)*EN56+(EP56=6)*ER56+(ET56=6)*EV56)</f>
        <v/>
      </c>
      <c r="DI56">
        <f>MAX(0,ROUND(N(DF56)+N(DG56)-N(DH56),2))</f>
        <v/>
      </c>
      <c r="DJ56">
        <f>N(DM55)</f>
        <v/>
      </c>
      <c r="DK56">
        <f>IF(N(DJ56)&lt;=0.005,0,ROUND(N(DJ56)*N('Debt List'!E11)/12,2))</f>
        <v/>
      </c>
      <c r="DL56">
        <f>IF(N(DJ56)&lt;=0.005,0,MIN(N('Debt List'!F11),N(DJ56)+N(DK56)))+((DR56=7)*DT56+(DV56=7)*DX56+(DZ56=7)*EB56+(ED56=7)*EF56+(EH56=7)*EJ56+(EL56=7)*EN56+(EP56=7)*ER56+(ET56=7)*EV56)</f>
        <v/>
      </c>
      <c r="DM56">
        <f>MAX(0,ROUND(N(DJ56)+N(DK56)-N(DL56),2))</f>
        <v/>
      </c>
      <c r="DN56">
        <f>N(DQ55)</f>
        <v/>
      </c>
      <c r="DO56">
        <f>IF(N(DN56)&lt;=0.005,0,ROUND(N(DN56)*N('Debt List'!E12)/12,2))</f>
        <v/>
      </c>
      <c r="DP56">
        <f>IF(N(DN56)&lt;=0.005,0,MIN(N('Debt List'!F12),N(DN56)+N(DO56)))+((DR56=8)*DT56+(DV56=8)*DX56+(DZ56=8)*EB56+(ED56=8)*EF56+(EH56=8)*EJ56+(EL56=8)*EN56+(EP56=8)*ER56+(ET56=8)*EV56)</f>
        <v/>
      </c>
      <c r="DQ56">
        <f>MAX(0,ROUND(N(DN56)+N(DO56)-N(DP56),2))</f>
        <v/>
      </c>
      <c r="DR56">
        <f>IFERROR(MATCH(1,OrderSnow,0),"")</f>
        <v/>
      </c>
      <c r="DS56">
        <f>IF(DR56="",0,IFERROR(IF(N(CHOOSE(DR56,CL56,CP56,CT56,CX56,DB56,DF56,DJ56,DN56))&lt;=0.005,0,MAX(0,N(CHOOSE(DR56,CL56,CP56,CT56,CX56,DB56,DF56,DJ56,DN56))+N(CHOOSE(DR56,CM56,CQ56,CU56,CY56,DC56,DG56,DK56,DO56))-MIN(N(CHOOSE(DR56,'Debt List'!$F$5,'Debt List'!$F$6,'Debt List'!$F$7,'Debt List'!$F$8,'Debt List'!$F$9,'Debt List'!$F$10,'Debt List'!$F$11,'Debt List'!$F$12)),N(CHOOSE(DR56,CL56,CP56,CT56,CX56,DB56,DF56,DJ56,DN56))+N(CHOOSE(DR56,CM56,CQ56,CU56,CY56,DC56,DG56,DK56,DO56))))),0))</f>
        <v/>
      </c>
      <c r="DT56">
        <f>MIN(N(DS56),MAX(0,N(ExtraPayment)))</f>
        <v/>
      </c>
      <c r="DU56">
        <f>MAX(0,N(ExtraPayment)-N(DT56))</f>
        <v/>
      </c>
      <c r="DV56">
        <f>IFERROR(MATCH(2,OrderSnow,0),"")</f>
        <v/>
      </c>
      <c r="DW56">
        <f>IF(DV56="",0,IFERROR(IF(N(CHOOSE(DV56,CL56,CP56,CT56,CX56,DB56,DF56,DJ56,DN56))&lt;=0.005,0,MAX(0,N(CHOOSE(DV56,CL56,CP56,CT56,CX56,DB56,DF56,DJ56,DN56))+N(CHOOSE(DV56,CM56,CQ56,CU56,CY56,DC56,DG56,DK56,DO56))-MIN(N(CHOOSE(DV56,'Debt List'!$F$5,'Debt List'!$F$6,'Debt List'!$F$7,'Debt List'!$F$8,'Debt List'!$F$9,'Debt List'!$F$10,'Debt List'!$F$11,'Debt List'!$F$12)),N(CHOOSE(DV56,CL56,CP56,CT56,CX56,DB56,DF56,DJ56,DN56))+N(CHOOSE(DV56,CM56,CQ56,CU56,CY56,DC56,DG56,DK56,DO56))))),0))</f>
        <v/>
      </c>
      <c r="DX56">
        <f>MIN(N(DW56),MAX(0,N(DU56)))</f>
        <v/>
      </c>
      <c r="DY56">
        <f>MAX(0,N(DU56)-N(DX56))</f>
        <v/>
      </c>
      <c r="DZ56">
        <f>IFERROR(MATCH(3,OrderSnow,0),"")</f>
        <v/>
      </c>
      <c r="EA56">
        <f>IF(DZ56="",0,IFERROR(IF(N(CHOOSE(DZ56,CL56,CP56,CT56,CX56,DB56,DF56,DJ56,DN56))&lt;=0.005,0,MAX(0,N(CHOOSE(DZ56,CL56,CP56,CT56,CX56,DB56,DF56,DJ56,DN56))+N(CHOOSE(DZ56,CM56,CQ56,CU56,CY56,DC56,DG56,DK56,DO56))-MIN(N(CHOOSE(DZ56,'Debt List'!$F$5,'Debt List'!$F$6,'Debt List'!$F$7,'Debt List'!$F$8,'Debt List'!$F$9,'Debt List'!$F$10,'Debt List'!$F$11,'Debt List'!$F$12)),N(CHOOSE(DZ56,CL56,CP56,CT56,CX56,DB56,DF56,DJ56,DN56))+N(CHOOSE(DZ56,CM56,CQ56,CU56,CY56,DC56,DG56,DK56,DO56))))),0))</f>
        <v/>
      </c>
      <c r="EB56">
        <f>MIN(N(EA56),MAX(0,N(DY56)))</f>
        <v/>
      </c>
      <c r="EC56">
        <f>MAX(0,N(DY56)-N(EB56))</f>
        <v/>
      </c>
      <c r="ED56">
        <f>IFERROR(MATCH(4,OrderSnow,0),"")</f>
        <v/>
      </c>
      <c r="EE56">
        <f>IF(ED56="",0,IFERROR(IF(N(CHOOSE(ED56,CL56,CP56,CT56,CX56,DB56,DF56,DJ56,DN56))&lt;=0.005,0,MAX(0,N(CHOOSE(ED56,CL56,CP56,CT56,CX56,DB56,DF56,DJ56,DN56))+N(CHOOSE(ED56,CM56,CQ56,CU56,CY56,DC56,DG56,DK56,DO56))-MIN(N(CHOOSE(ED56,'Debt List'!$F$5,'Debt List'!$F$6,'Debt List'!$F$7,'Debt List'!$F$8,'Debt List'!$F$9,'Debt List'!$F$10,'Debt List'!$F$11,'Debt List'!$F$12)),N(CHOOSE(ED56,CL56,CP56,CT56,CX56,DB56,DF56,DJ56,DN56))+N(CHOOSE(ED56,CM56,CQ56,CU56,CY56,DC56,DG56,DK56,DO56))))),0))</f>
        <v/>
      </c>
      <c r="EF56">
        <f>MIN(N(EE56),MAX(0,N(EC56)))</f>
        <v/>
      </c>
      <c r="EG56">
        <f>MAX(0,N(EC56)-N(EF56))</f>
        <v/>
      </c>
      <c r="EH56">
        <f>IFERROR(MATCH(5,OrderSnow,0),"")</f>
        <v/>
      </c>
      <c r="EI56">
        <f>IF(EH56="",0,IFERROR(IF(N(CHOOSE(EH56,CL56,CP56,CT56,CX56,DB56,DF56,DJ56,DN56))&lt;=0.005,0,MAX(0,N(CHOOSE(EH56,CL56,CP56,CT56,CX56,DB56,DF56,DJ56,DN56))+N(CHOOSE(EH56,CM56,CQ56,CU56,CY56,DC56,DG56,DK56,DO56))-MIN(N(CHOOSE(EH56,'Debt List'!$F$5,'Debt List'!$F$6,'Debt List'!$F$7,'Debt List'!$F$8,'Debt List'!$F$9,'Debt List'!$F$10,'Debt List'!$F$11,'Debt List'!$F$12)),N(CHOOSE(EH56,CL56,CP56,CT56,CX56,DB56,DF56,DJ56,DN56))+N(CHOOSE(EH56,CM56,CQ56,CU56,CY56,DC56,DG56,DK56,DO56))))),0))</f>
        <v/>
      </c>
      <c r="EJ56">
        <f>MIN(N(EI56),MAX(0,N(EG56)))</f>
        <v/>
      </c>
      <c r="EK56">
        <f>MAX(0,N(EG56)-N(EJ56))</f>
        <v/>
      </c>
      <c r="EL56">
        <f>IFERROR(MATCH(6,OrderSnow,0),"")</f>
        <v/>
      </c>
      <c r="EM56">
        <f>IF(EL56="",0,IFERROR(IF(N(CHOOSE(EL56,CL56,CP56,CT56,CX56,DB56,DF56,DJ56,DN56))&lt;=0.005,0,MAX(0,N(CHOOSE(EL56,CL56,CP56,CT56,CX56,DB56,DF56,DJ56,DN56))+N(CHOOSE(EL56,CM56,CQ56,CU56,CY56,DC56,DG56,DK56,DO56))-MIN(N(CHOOSE(EL56,'Debt List'!$F$5,'Debt List'!$F$6,'Debt List'!$F$7,'Debt List'!$F$8,'Debt List'!$F$9,'Debt List'!$F$10,'Debt List'!$F$11,'Debt List'!$F$12)),N(CHOOSE(EL56,CL56,CP56,CT56,CX56,DB56,DF56,DJ56,DN56))+N(CHOOSE(EL56,CM56,CQ56,CU56,CY56,DC56,DG56,DK56,DO56))))),0))</f>
        <v/>
      </c>
      <c r="EN56">
        <f>MIN(N(EM56),MAX(0,N(EK56)))</f>
        <v/>
      </c>
      <c r="EO56">
        <f>MAX(0,N(EK56)-N(EN56))</f>
        <v/>
      </c>
      <c r="EP56">
        <f>IFERROR(MATCH(7,OrderSnow,0),"")</f>
        <v/>
      </c>
      <c r="EQ56">
        <f>IF(EP56="",0,IFERROR(IF(N(CHOOSE(EP56,CL56,CP56,CT56,CX56,DB56,DF56,DJ56,DN56))&lt;=0.005,0,MAX(0,N(CHOOSE(EP56,CL56,CP56,CT56,CX56,DB56,DF56,DJ56,DN56))+N(CHOOSE(EP56,CM56,CQ56,CU56,CY56,DC56,DG56,DK56,DO56))-MIN(N(CHOOSE(EP56,'Debt List'!$F$5,'Debt List'!$F$6,'Debt List'!$F$7,'Debt List'!$F$8,'Debt List'!$F$9,'Debt List'!$F$10,'Debt List'!$F$11,'Debt List'!$F$12)),N(CHOOSE(EP56,CL56,CP56,CT56,CX56,DB56,DF56,DJ56,DN56))+N(CHOOSE(EP56,CM56,CQ56,CU56,CY56,DC56,DG56,DK56,DO56))))),0))</f>
        <v/>
      </c>
      <c r="ER56">
        <f>MIN(N(EQ56),MAX(0,N(EO56)))</f>
        <v/>
      </c>
      <c r="ES56">
        <f>MAX(0,N(EO56)-N(ER56))</f>
        <v/>
      </c>
      <c r="ET56">
        <f>IFERROR(MATCH(8,OrderSnow,0),"")</f>
        <v/>
      </c>
      <c r="EU56">
        <f>IF(ET56="",0,IFERROR(IF(N(CHOOSE(ET56,CL56,CP56,CT56,CX56,DB56,DF56,DJ56,DN56))&lt;=0.005,0,MAX(0,N(CHOOSE(ET56,CL56,CP56,CT56,CX56,DB56,DF56,DJ56,DN56))+N(CHOOSE(ET56,CM56,CQ56,CU56,CY56,DC56,DG56,DK56,DO56))-MIN(N(CHOOSE(ET56,'Debt List'!$F$5,'Debt List'!$F$6,'Debt List'!$F$7,'Debt List'!$F$8,'Debt List'!$F$9,'Debt List'!$F$10,'Debt List'!$F$11,'Debt List'!$F$12)),N(CHOOSE(ET56,CL56,CP56,CT56,CX56,DB56,DF56,DJ56,DN56))+N(CHOOSE(ET56,CM56,CQ56,CU56,CY56,DC56,DG56,DK56,DO56))))),0))</f>
        <v/>
      </c>
      <c r="EV56">
        <f>MIN(N(EU56),MAX(0,N(ES56)))</f>
        <v/>
      </c>
      <c r="EW56">
        <f>MAX(0,N(ES56)-N(EV56))</f>
        <v/>
      </c>
      <c r="FE56" t="n">
        <v>52</v>
      </c>
      <c r="FF56" s="115">
        <f>DATE(YEAR(PlanStart),MONTH(PlanStart)+FE56-1,1)</f>
        <v/>
      </c>
      <c r="FG56">
        <f>IF(AND(GT56&lt;&gt;"",N(CHOOSE(GT56,FN56,FR56,FV56,FZ56,GD56,GH56,GL56,GP56))&gt;0.005),INDEX(DebtNames,GT56),IF(AND(GX56&lt;&gt;"",N(CHOOSE(GX56,FN56,FR56,FV56,FZ56,GD56,GH56,GL56,GP56))&gt;0.005),INDEX(DebtNames,GX56),IF(AND(HB56&lt;&gt;"",N(CHOOSE(HB56,FN56,FR56,FV56,FZ56,GD56,GH56,GL56,GP56))&gt;0.005),INDEX(DebtNames,HB56),IF(AND(HF56&lt;&gt;"",N(CHOOSE(HF56,FN56,FR56,FV56,FZ56,GD56,GH56,GL56,GP56))&gt;0.005),INDEX(DebtNames,HF56),IF(AND(HJ56&lt;&gt;"",N(CHOOSE(HJ56,FN56,FR56,FV56,FZ56,GD56,GH56,GL56,GP56))&gt;0.005),INDEX(DebtNames,HJ56),IF(AND(HN56&lt;&gt;"",N(CHOOSE(HN56,FN56,FR56,FV56,FZ56,GD56,GH56,GL56,GP56))&gt;0.005),INDEX(DebtNames,HN56),IF(AND(HR56&lt;&gt;"",N(CHOOSE(HR56,FN56,FR56,FV56,FZ56,GD56,GH56,GL56,GP56))&gt;0.005),INDEX(DebtNames,HR56),IF(AND(HV56&lt;&gt;"",N(CHOOSE(HV56,FN56,FR56,FV56,FZ56,GD56,GH56,GL56,GP56))&gt;0.005),INDEX(DebtNames,HV56),""))))))))</f>
        <v/>
      </c>
      <c r="FH56">
        <f>N(HY56)</f>
        <v/>
      </c>
      <c r="FI56">
        <f>N(FP56)+N(FT56)+N(FX56)+N(GB56)+N(GF56)+N(GJ56)+N(GN56)+N(GR56)</f>
        <v/>
      </c>
      <c r="FJ56">
        <f>N(FO56)+N(FS56)+N(FW56)+N(GA56)+N(GE56)+N(GI56)+N(GM56)+N(GQ56)</f>
        <v/>
      </c>
      <c r="FK56">
        <f>N(FK55)+N(FJ56)</f>
        <v/>
      </c>
      <c r="FL56">
        <f>N(FQ56)+N(FU56)+N(FY56)+N(GC56)+N(GG56)+N(GK56)+N(GO56)+N(GS56)</f>
        <v/>
      </c>
      <c r="FM56">
        <f>(FQ56&gt;0.005)*1+(FU56&gt;0.005)*1+(FY56&gt;0.005)*1+(GC56&gt;0.005)*1+(GG56&gt;0.005)*1+(GK56&gt;0.005)*1+(GO56&gt;0.005)*1+(GS56&gt;0.005)*1</f>
        <v/>
      </c>
      <c r="FN56">
        <f>N(FQ55)</f>
        <v/>
      </c>
      <c r="FO56">
        <f>IF(N(FN56)&lt;=0.005,0,ROUND(N(FN56)*N('Debt List'!E5)/12,2))</f>
        <v/>
      </c>
      <c r="FP56">
        <f>IF(N(FN56)&lt;=0.005,0,MIN(N('Debt List'!F5),N(FN56)+N(FO56)))+((GT56=1)*GV56+(GX56=1)*GZ56+(HB56=1)*HD56+(HF56=1)*HH56+(HJ56=1)*HL56+(HN56=1)*HP56+(HR56=1)*HT56+(HV56=1)*HX56)</f>
        <v/>
      </c>
      <c r="FQ56">
        <f>MAX(0,ROUND(N(FN56)+N(FO56)-N(FP56),2))</f>
        <v/>
      </c>
      <c r="FR56">
        <f>N(FU55)</f>
        <v/>
      </c>
      <c r="FS56">
        <f>IF(N(FR56)&lt;=0.005,0,ROUND(N(FR56)*N('Debt List'!E6)/12,2))</f>
        <v/>
      </c>
      <c r="FT56">
        <f>IF(N(FR56)&lt;=0.005,0,MIN(N('Debt List'!F6),N(FR56)+N(FS56)))+((GT56=2)*GV56+(GX56=2)*GZ56+(HB56=2)*HD56+(HF56=2)*HH56+(HJ56=2)*HL56+(HN56=2)*HP56+(HR56=2)*HT56+(HV56=2)*HX56)</f>
        <v/>
      </c>
      <c r="FU56">
        <f>MAX(0,ROUND(N(FR56)+N(FS56)-N(FT56),2))</f>
        <v/>
      </c>
      <c r="FV56">
        <f>N(FY55)</f>
        <v/>
      </c>
      <c r="FW56">
        <f>IF(N(FV56)&lt;=0.005,0,ROUND(N(FV56)*N('Debt List'!E7)/12,2))</f>
        <v/>
      </c>
      <c r="FX56">
        <f>IF(N(FV56)&lt;=0.005,0,MIN(N('Debt List'!F7),N(FV56)+N(FW56)))+((GT56=3)*GV56+(GX56=3)*GZ56+(HB56=3)*HD56+(HF56=3)*HH56+(HJ56=3)*HL56+(HN56=3)*HP56+(HR56=3)*HT56+(HV56=3)*HX56)</f>
        <v/>
      </c>
      <c r="FY56">
        <f>MAX(0,ROUND(N(FV56)+N(FW56)-N(FX56),2))</f>
        <v/>
      </c>
      <c r="FZ56">
        <f>N(GC55)</f>
        <v/>
      </c>
      <c r="GA56">
        <f>IF(N(FZ56)&lt;=0.005,0,ROUND(N(FZ56)*N('Debt List'!E8)/12,2))</f>
        <v/>
      </c>
      <c r="GB56">
        <f>IF(N(FZ56)&lt;=0.005,0,MIN(N('Debt List'!F8),N(FZ56)+N(GA56)))+((GT56=4)*GV56+(GX56=4)*GZ56+(HB56=4)*HD56+(HF56=4)*HH56+(HJ56=4)*HL56+(HN56=4)*HP56+(HR56=4)*HT56+(HV56=4)*HX56)</f>
        <v/>
      </c>
      <c r="GC56">
        <f>MAX(0,ROUND(N(FZ56)+N(GA56)-N(GB56),2))</f>
        <v/>
      </c>
      <c r="GD56">
        <f>N(GG55)</f>
        <v/>
      </c>
      <c r="GE56">
        <f>IF(N(GD56)&lt;=0.005,0,ROUND(N(GD56)*N('Debt List'!E9)/12,2))</f>
        <v/>
      </c>
      <c r="GF56">
        <f>IF(N(GD56)&lt;=0.005,0,MIN(N('Debt List'!F9),N(GD56)+N(GE56)))+((GT56=5)*GV56+(GX56=5)*GZ56+(HB56=5)*HD56+(HF56=5)*HH56+(HJ56=5)*HL56+(HN56=5)*HP56+(HR56=5)*HT56+(HV56=5)*HX56)</f>
        <v/>
      </c>
      <c r="GG56">
        <f>MAX(0,ROUND(N(GD56)+N(GE56)-N(GF56),2))</f>
        <v/>
      </c>
      <c r="GH56">
        <f>N(GK55)</f>
        <v/>
      </c>
      <c r="GI56">
        <f>IF(N(GH56)&lt;=0.005,0,ROUND(N(GH56)*N('Debt List'!E10)/12,2))</f>
        <v/>
      </c>
      <c r="GJ56">
        <f>IF(N(GH56)&lt;=0.005,0,MIN(N('Debt List'!F10),N(GH56)+N(GI56)))+((GT56=6)*GV56+(GX56=6)*GZ56+(HB56=6)*HD56+(HF56=6)*HH56+(HJ56=6)*HL56+(HN56=6)*HP56+(HR56=6)*HT56+(HV56=6)*HX56)</f>
        <v/>
      </c>
      <c r="GK56">
        <f>MAX(0,ROUND(N(GH56)+N(GI56)-N(GJ56),2))</f>
        <v/>
      </c>
      <c r="GL56">
        <f>N(GO55)</f>
        <v/>
      </c>
      <c r="GM56">
        <f>IF(N(GL56)&lt;=0.005,0,ROUND(N(GL56)*N('Debt List'!E11)/12,2))</f>
        <v/>
      </c>
      <c r="GN56">
        <f>IF(N(GL56)&lt;=0.005,0,MIN(N('Debt List'!F11),N(GL56)+N(GM56)))+((GT56=7)*GV56+(GX56=7)*GZ56+(HB56=7)*HD56+(HF56=7)*HH56+(HJ56=7)*HL56+(HN56=7)*HP56+(HR56=7)*HT56+(HV56=7)*HX56)</f>
        <v/>
      </c>
      <c r="GO56">
        <f>MAX(0,ROUND(N(GL56)+N(GM56)-N(GN56),2))</f>
        <v/>
      </c>
      <c r="GP56">
        <f>N(GS55)</f>
        <v/>
      </c>
      <c r="GQ56">
        <f>IF(N(GP56)&lt;=0.005,0,ROUND(N(GP56)*N('Debt List'!E12)/12,2))</f>
        <v/>
      </c>
      <c r="GR56">
        <f>IF(N(GP56)&lt;=0.005,0,MIN(N('Debt List'!F12),N(GP56)+N(GQ56)))+((GT56=8)*GV56+(GX56=8)*GZ56+(HB56=8)*HD56+(HF56=8)*HH56+(HJ56=8)*HL56+(HN56=8)*HP56+(HR56=8)*HT56+(HV56=8)*HX56)</f>
        <v/>
      </c>
      <c r="GS56">
        <f>MAX(0,ROUND(N(GP56)+N(GQ56)-N(GR56),2))</f>
        <v/>
      </c>
      <c r="GT56">
        <f>IFERROR(MATCH(1,OrderAval,0),"")</f>
        <v/>
      </c>
      <c r="GU56">
        <f>IF(GT56="",0,IFERROR(IF(N(CHOOSE(GT56,FN56,FR56,FV56,FZ56,GD56,GH56,GL56,GP56))&lt;=0.005,0,MAX(0,N(CHOOSE(GT56,FN56,FR56,FV56,FZ56,GD56,GH56,GL56,GP56))+N(CHOOSE(GT56,FO56,FS56,FW56,GA56,GE56,GI56,GM56,GQ56))-MIN(N(CHOOSE(GT56,'Debt List'!$F$5,'Debt List'!$F$6,'Debt List'!$F$7,'Debt List'!$F$8,'Debt List'!$F$9,'Debt List'!$F$10,'Debt List'!$F$11,'Debt List'!$F$12)),N(CHOOSE(GT56,FN56,FR56,FV56,FZ56,GD56,GH56,GL56,GP56))+N(CHOOSE(GT56,FO56,FS56,FW56,GA56,GE56,GI56,GM56,GQ56))))),0))</f>
        <v/>
      </c>
      <c r="GV56">
        <f>MIN(N(GU56),MAX(0,N(ExtraPayment)))</f>
        <v/>
      </c>
      <c r="GW56">
        <f>MAX(0,N(ExtraPayment)-N(GV56))</f>
        <v/>
      </c>
      <c r="GX56">
        <f>IFERROR(MATCH(2,OrderAval,0),"")</f>
        <v/>
      </c>
      <c r="GY56">
        <f>IF(GX56="",0,IFERROR(IF(N(CHOOSE(GX56,FN56,FR56,FV56,FZ56,GD56,GH56,GL56,GP56))&lt;=0.005,0,MAX(0,N(CHOOSE(GX56,FN56,FR56,FV56,FZ56,GD56,GH56,GL56,GP56))+N(CHOOSE(GX56,FO56,FS56,FW56,GA56,GE56,GI56,GM56,GQ56))-MIN(N(CHOOSE(GX56,'Debt List'!$F$5,'Debt List'!$F$6,'Debt List'!$F$7,'Debt List'!$F$8,'Debt List'!$F$9,'Debt List'!$F$10,'Debt List'!$F$11,'Debt List'!$F$12)),N(CHOOSE(GX56,FN56,FR56,FV56,FZ56,GD56,GH56,GL56,GP56))+N(CHOOSE(GX56,FO56,FS56,FW56,GA56,GE56,GI56,GM56,GQ56))))),0))</f>
        <v/>
      </c>
      <c r="GZ56">
        <f>MIN(N(GY56),MAX(0,N(GW56)))</f>
        <v/>
      </c>
      <c r="HA56">
        <f>MAX(0,N(GW56)-N(GZ56))</f>
        <v/>
      </c>
      <c r="HB56">
        <f>IFERROR(MATCH(3,OrderAval,0),"")</f>
        <v/>
      </c>
      <c r="HC56">
        <f>IF(HB56="",0,IFERROR(IF(N(CHOOSE(HB56,FN56,FR56,FV56,FZ56,GD56,GH56,GL56,GP56))&lt;=0.005,0,MAX(0,N(CHOOSE(HB56,FN56,FR56,FV56,FZ56,GD56,GH56,GL56,GP56))+N(CHOOSE(HB56,FO56,FS56,FW56,GA56,GE56,GI56,GM56,GQ56))-MIN(N(CHOOSE(HB56,'Debt List'!$F$5,'Debt List'!$F$6,'Debt List'!$F$7,'Debt List'!$F$8,'Debt List'!$F$9,'Debt List'!$F$10,'Debt List'!$F$11,'Debt List'!$F$12)),N(CHOOSE(HB56,FN56,FR56,FV56,FZ56,GD56,GH56,GL56,GP56))+N(CHOOSE(HB56,FO56,FS56,FW56,GA56,GE56,GI56,GM56,GQ56))))),0))</f>
        <v/>
      </c>
      <c r="HD56">
        <f>MIN(N(HC56),MAX(0,N(HA56)))</f>
        <v/>
      </c>
      <c r="HE56">
        <f>MAX(0,N(HA56)-N(HD56))</f>
        <v/>
      </c>
      <c r="HF56">
        <f>IFERROR(MATCH(4,OrderAval,0),"")</f>
        <v/>
      </c>
      <c r="HG56">
        <f>IF(HF56="",0,IFERROR(IF(N(CHOOSE(HF56,FN56,FR56,FV56,FZ56,GD56,GH56,GL56,GP56))&lt;=0.005,0,MAX(0,N(CHOOSE(HF56,FN56,FR56,FV56,FZ56,GD56,GH56,GL56,GP56))+N(CHOOSE(HF56,FO56,FS56,FW56,GA56,GE56,GI56,GM56,GQ56))-MIN(N(CHOOSE(HF56,'Debt List'!$F$5,'Debt List'!$F$6,'Debt List'!$F$7,'Debt List'!$F$8,'Debt List'!$F$9,'Debt List'!$F$10,'Debt List'!$F$11,'Debt List'!$F$12)),N(CHOOSE(HF56,FN56,FR56,FV56,FZ56,GD56,GH56,GL56,GP56))+N(CHOOSE(HF56,FO56,FS56,FW56,GA56,GE56,GI56,GM56,GQ56))))),0))</f>
        <v/>
      </c>
      <c r="HH56">
        <f>MIN(N(HG56),MAX(0,N(HE56)))</f>
        <v/>
      </c>
      <c r="HI56">
        <f>MAX(0,N(HE56)-N(HH56))</f>
        <v/>
      </c>
      <c r="HJ56">
        <f>IFERROR(MATCH(5,OrderAval,0),"")</f>
        <v/>
      </c>
      <c r="HK56">
        <f>IF(HJ56="",0,IFERROR(IF(N(CHOOSE(HJ56,FN56,FR56,FV56,FZ56,GD56,GH56,GL56,GP56))&lt;=0.005,0,MAX(0,N(CHOOSE(HJ56,FN56,FR56,FV56,FZ56,GD56,GH56,GL56,GP56))+N(CHOOSE(HJ56,FO56,FS56,FW56,GA56,GE56,GI56,GM56,GQ56))-MIN(N(CHOOSE(HJ56,'Debt List'!$F$5,'Debt List'!$F$6,'Debt List'!$F$7,'Debt List'!$F$8,'Debt List'!$F$9,'Debt List'!$F$10,'Debt List'!$F$11,'Debt List'!$F$12)),N(CHOOSE(HJ56,FN56,FR56,FV56,FZ56,GD56,GH56,GL56,GP56))+N(CHOOSE(HJ56,FO56,FS56,FW56,GA56,GE56,GI56,GM56,GQ56))))),0))</f>
        <v/>
      </c>
      <c r="HL56">
        <f>MIN(N(HK56),MAX(0,N(HI56)))</f>
        <v/>
      </c>
      <c r="HM56">
        <f>MAX(0,N(HI56)-N(HL56))</f>
        <v/>
      </c>
      <c r="HN56">
        <f>IFERROR(MATCH(6,OrderAval,0),"")</f>
        <v/>
      </c>
      <c r="HO56">
        <f>IF(HN56="",0,IFERROR(IF(N(CHOOSE(HN56,FN56,FR56,FV56,FZ56,GD56,GH56,GL56,GP56))&lt;=0.005,0,MAX(0,N(CHOOSE(HN56,FN56,FR56,FV56,FZ56,GD56,GH56,GL56,GP56))+N(CHOOSE(HN56,FO56,FS56,FW56,GA56,GE56,GI56,GM56,GQ56))-MIN(N(CHOOSE(HN56,'Debt List'!$F$5,'Debt List'!$F$6,'Debt List'!$F$7,'Debt List'!$F$8,'Debt List'!$F$9,'Debt List'!$F$10,'Debt List'!$F$11,'Debt List'!$F$12)),N(CHOOSE(HN56,FN56,FR56,FV56,FZ56,GD56,GH56,GL56,GP56))+N(CHOOSE(HN56,FO56,FS56,FW56,GA56,GE56,GI56,GM56,GQ56))))),0))</f>
        <v/>
      </c>
      <c r="HP56">
        <f>MIN(N(HO56),MAX(0,N(HM56)))</f>
        <v/>
      </c>
      <c r="HQ56">
        <f>MAX(0,N(HM56)-N(HP56))</f>
        <v/>
      </c>
      <c r="HR56">
        <f>IFERROR(MATCH(7,OrderAval,0),"")</f>
        <v/>
      </c>
      <c r="HS56">
        <f>IF(HR56="",0,IFERROR(IF(N(CHOOSE(HR56,FN56,FR56,FV56,FZ56,GD56,GH56,GL56,GP56))&lt;=0.005,0,MAX(0,N(CHOOSE(HR56,FN56,FR56,FV56,FZ56,GD56,GH56,GL56,GP56))+N(CHOOSE(HR56,FO56,FS56,FW56,GA56,GE56,GI56,GM56,GQ56))-MIN(N(CHOOSE(HR56,'Debt List'!$F$5,'Debt List'!$F$6,'Debt List'!$F$7,'Debt List'!$F$8,'Debt List'!$F$9,'Debt List'!$F$10,'Debt List'!$F$11,'Debt List'!$F$12)),N(CHOOSE(HR56,FN56,FR56,FV56,FZ56,GD56,GH56,GL56,GP56))+N(CHOOSE(HR56,FO56,FS56,FW56,GA56,GE56,GI56,GM56,GQ56))))),0))</f>
        <v/>
      </c>
      <c r="HT56">
        <f>MIN(N(HS56),MAX(0,N(HQ56)))</f>
        <v/>
      </c>
      <c r="HU56">
        <f>MAX(0,N(HQ56)-N(HT56))</f>
        <v/>
      </c>
      <c r="HV56">
        <f>IFERROR(MATCH(8,OrderAval,0),"")</f>
        <v/>
      </c>
      <c r="HW56">
        <f>IF(HV56="",0,IFERROR(IF(N(CHOOSE(HV56,FN56,FR56,FV56,FZ56,GD56,GH56,GL56,GP56))&lt;=0.005,0,MAX(0,N(CHOOSE(HV56,FN56,FR56,FV56,FZ56,GD56,GH56,GL56,GP56))+N(CHOOSE(HV56,FO56,FS56,FW56,GA56,GE56,GI56,GM56,GQ56))-MIN(N(CHOOSE(HV56,'Debt List'!$F$5,'Debt List'!$F$6,'Debt List'!$F$7,'Debt List'!$F$8,'Debt List'!$F$9,'Debt List'!$F$10,'Debt List'!$F$11,'Debt List'!$F$12)),N(CHOOSE(HV56,FN56,FR56,FV56,FZ56,GD56,GH56,GL56,GP56))+N(CHOOSE(HV56,FO56,FS56,FW56,GA56,GE56,GI56,GM56,GQ56))))),0))</f>
        <v/>
      </c>
      <c r="HX56">
        <f>MIN(N(HW56),MAX(0,N(HU56)))</f>
        <v/>
      </c>
      <c r="HY56">
        <f>MAX(0,N(HU56)-N(HX56))</f>
        <v/>
      </c>
    </row>
    <row r="57">
      <c r="A57" t="n">
        <v>53</v>
      </c>
      <c r="B57" s="115">
        <f>DATE(YEAR(PlanStart),MONTH(PlanStart)+A57-1,1)</f>
        <v/>
      </c>
      <c r="C57">
        <f>IF(AND(AP57&lt;&gt;"",N(CHOOSE(AP57,J57,N57,R57,V57,Z57,AD57,AH57,AL57))&gt;0.005),INDEX(DebtNames,AP57),IF(AND(AT57&lt;&gt;"",N(CHOOSE(AT57,J57,N57,R57,V57,Z57,AD57,AH57,AL57))&gt;0.005),INDEX(DebtNames,AT57),IF(AND(AX57&lt;&gt;"",N(CHOOSE(AX57,J57,N57,R57,V57,Z57,AD57,AH57,AL57))&gt;0.005),INDEX(DebtNames,AX57),IF(AND(BB57&lt;&gt;"",N(CHOOSE(BB57,J57,N57,R57,V57,Z57,AD57,AH57,AL57))&gt;0.005),INDEX(DebtNames,BB57),IF(AND(BF57&lt;&gt;"",N(CHOOSE(BF57,J57,N57,R57,V57,Z57,AD57,AH57,AL57))&gt;0.005),INDEX(DebtNames,BF57),IF(AND(BJ57&lt;&gt;"",N(CHOOSE(BJ57,J57,N57,R57,V57,Z57,AD57,AH57,AL57))&gt;0.005),INDEX(DebtNames,BJ57),IF(AND(BN57&lt;&gt;"",N(CHOOSE(BN57,J57,N57,R57,V57,Z57,AD57,AH57,AL57))&gt;0.005),INDEX(DebtNames,BN57),IF(AND(BR57&lt;&gt;"",N(CHOOSE(BR57,J57,N57,R57,V57,Z57,AD57,AH57,AL57))&gt;0.005),INDEX(DebtNames,BR57),""))))))))</f>
        <v/>
      </c>
      <c r="D57">
        <f>N(BU57)</f>
        <v/>
      </c>
      <c r="E57">
        <f>N(L57)+N(P57)+N(T57)+N(X57)+N(AB57)+N(AF57)+N(AJ57)+N(AN57)</f>
        <v/>
      </c>
      <c r="F57">
        <f>N(K57)+N(O57)+N(S57)+N(W57)+N(AA57)+N(AE57)+N(AI57)+N(AM57)</f>
        <v/>
      </c>
      <c r="G57">
        <f>N(G56)+N(F57)</f>
        <v/>
      </c>
      <c r="H57">
        <f>N(M57)+N(Q57)+N(U57)+N(Y57)+N(AC57)+N(AG57)+N(AK57)+N(AO57)</f>
        <v/>
      </c>
      <c r="I57">
        <f>(M57&gt;0.005)*1+(Q57&gt;0.005)*1+(U57&gt;0.005)*1+(Y57&gt;0.005)*1+(AC57&gt;0.005)*1+(AG57&gt;0.005)*1+(AK57&gt;0.005)*1+(AO57&gt;0.005)*1</f>
        <v/>
      </c>
      <c r="J57">
        <f>N(M56)</f>
        <v/>
      </c>
      <c r="K57">
        <f>IF(N(J57)&lt;=0.005,0,ROUND(N(J57)*N('Debt List'!E5)/12,2))</f>
        <v/>
      </c>
      <c r="L57">
        <f>IF(N(J57)&lt;=0.005,0,MIN(N('Debt List'!F5),N(J57)+N(K57)))+((AP57=1)*AR57+(AT57=1)*AV57+(AX57=1)*AZ57+(BB57=1)*BD57+(BF57=1)*BH57+(BJ57=1)*BL57+(BN57=1)*BP57+(BR57=1)*BT57)</f>
        <v/>
      </c>
      <c r="M57">
        <f>MAX(0,ROUND(N(J57)+N(K57)-N(L57),2))</f>
        <v/>
      </c>
      <c r="N57">
        <f>N(Q56)</f>
        <v/>
      </c>
      <c r="O57">
        <f>IF(N(N57)&lt;=0.005,0,ROUND(N(N57)*N('Debt List'!E6)/12,2))</f>
        <v/>
      </c>
      <c r="P57">
        <f>IF(N(N57)&lt;=0.005,0,MIN(N('Debt List'!F6),N(N57)+N(O57)))+((AP57=2)*AR57+(AT57=2)*AV57+(AX57=2)*AZ57+(BB57=2)*BD57+(BF57=2)*BH57+(BJ57=2)*BL57+(BN57=2)*BP57+(BR57=2)*BT57)</f>
        <v/>
      </c>
      <c r="Q57">
        <f>MAX(0,ROUND(N(N57)+N(O57)-N(P57),2))</f>
        <v/>
      </c>
      <c r="R57">
        <f>N(U56)</f>
        <v/>
      </c>
      <c r="S57">
        <f>IF(N(R57)&lt;=0.005,0,ROUND(N(R57)*N('Debt List'!E7)/12,2))</f>
        <v/>
      </c>
      <c r="T57">
        <f>IF(N(R57)&lt;=0.005,0,MIN(N('Debt List'!F7),N(R57)+N(S57)))+((AP57=3)*AR57+(AT57=3)*AV57+(AX57=3)*AZ57+(BB57=3)*BD57+(BF57=3)*BH57+(BJ57=3)*BL57+(BN57=3)*BP57+(BR57=3)*BT57)</f>
        <v/>
      </c>
      <c r="U57">
        <f>MAX(0,ROUND(N(R57)+N(S57)-N(T57),2))</f>
        <v/>
      </c>
      <c r="V57">
        <f>N(Y56)</f>
        <v/>
      </c>
      <c r="W57">
        <f>IF(N(V57)&lt;=0.005,0,ROUND(N(V57)*N('Debt List'!E8)/12,2))</f>
        <v/>
      </c>
      <c r="X57">
        <f>IF(N(V57)&lt;=0.005,0,MIN(N('Debt List'!F8),N(V57)+N(W57)))+((AP57=4)*AR57+(AT57=4)*AV57+(AX57=4)*AZ57+(BB57=4)*BD57+(BF57=4)*BH57+(BJ57=4)*BL57+(BN57=4)*BP57+(BR57=4)*BT57)</f>
        <v/>
      </c>
      <c r="Y57">
        <f>MAX(0,ROUND(N(V57)+N(W57)-N(X57),2))</f>
        <v/>
      </c>
      <c r="Z57">
        <f>N(AC56)</f>
        <v/>
      </c>
      <c r="AA57">
        <f>IF(N(Z57)&lt;=0.005,0,ROUND(N(Z57)*N('Debt List'!E9)/12,2))</f>
        <v/>
      </c>
      <c r="AB57">
        <f>IF(N(Z57)&lt;=0.005,0,MIN(N('Debt List'!F9),N(Z57)+N(AA57)))+((AP57=5)*AR57+(AT57=5)*AV57+(AX57=5)*AZ57+(BB57=5)*BD57+(BF57=5)*BH57+(BJ57=5)*BL57+(BN57=5)*BP57+(BR57=5)*BT57)</f>
        <v/>
      </c>
      <c r="AC57">
        <f>MAX(0,ROUND(N(Z57)+N(AA57)-N(AB57),2))</f>
        <v/>
      </c>
      <c r="AD57">
        <f>N(AG56)</f>
        <v/>
      </c>
      <c r="AE57">
        <f>IF(N(AD57)&lt;=0.005,0,ROUND(N(AD57)*N('Debt List'!E10)/12,2))</f>
        <v/>
      </c>
      <c r="AF57">
        <f>IF(N(AD57)&lt;=0.005,0,MIN(N('Debt List'!F10),N(AD57)+N(AE57)))+((AP57=6)*AR57+(AT57=6)*AV57+(AX57=6)*AZ57+(BB57=6)*BD57+(BF57=6)*BH57+(BJ57=6)*BL57+(BN57=6)*BP57+(BR57=6)*BT57)</f>
        <v/>
      </c>
      <c r="AG57">
        <f>MAX(0,ROUND(N(AD57)+N(AE57)-N(AF57),2))</f>
        <v/>
      </c>
      <c r="AH57">
        <f>N(AK56)</f>
        <v/>
      </c>
      <c r="AI57">
        <f>IF(N(AH57)&lt;=0.005,0,ROUND(N(AH57)*N('Debt List'!E11)/12,2))</f>
        <v/>
      </c>
      <c r="AJ57">
        <f>IF(N(AH57)&lt;=0.005,0,MIN(N('Debt List'!F11),N(AH57)+N(AI57)))+((AP57=7)*AR57+(AT57=7)*AV57+(AX57=7)*AZ57+(BB57=7)*BD57+(BF57=7)*BH57+(BJ57=7)*BL57+(BN57=7)*BP57+(BR57=7)*BT57)</f>
        <v/>
      </c>
      <c r="AK57">
        <f>MAX(0,ROUND(N(AH57)+N(AI57)-N(AJ57),2))</f>
        <v/>
      </c>
      <c r="AL57">
        <f>N(AO56)</f>
        <v/>
      </c>
      <c r="AM57">
        <f>IF(N(AL57)&lt;=0.005,0,ROUND(N(AL57)*N('Debt List'!E12)/12,2))</f>
        <v/>
      </c>
      <c r="AN57">
        <f>IF(N(AL57)&lt;=0.005,0,MIN(N('Debt List'!F12),N(AL57)+N(AM57)))+((AP57=8)*AR57+(AT57=8)*AV57+(AX57=8)*AZ57+(BB57=8)*BD57+(BF57=8)*BH57+(BJ57=8)*BL57+(BN57=8)*BP57+(BR57=8)*BT57)</f>
        <v/>
      </c>
      <c r="AO57">
        <f>MAX(0,ROUND(N(AL57)+N(AM57)-N(AN57),2))</f>
        <v/>
      </c>
      <c r="AP57">
        <f>IFERROR(MATCH(1,OrderPlan,0),"")</f>
        <v/>
      </c>
      <c r="AQ57">
        <f>IF(AP57="",0,IFERROR(IF(N(CHOOSE(AP57,J57,N57,R57,V57,Z57,AD57,AH57,AL57))&lt;=0.005,0,MAX(0,N(CHOOSE(AP57,J57,N57,R57,V57,Z57,AD57,AH57,AL57))+N(CHOOSE(AP57,K57,O57,S57,W57,AA57,AE57,AI57,AM57))-MIN(N(CHOOSE(AP57,'Debt List'!$F$5,'Debt List'!$F$6,'Debt List'!$F$7,'Debt List'!$F$8,'Debt List'!$F$9,'Debt List'!$F$10,'Debt List'!$F$11,'Debt List'!$F$12)),N(CHOOSE(AP57,J57,N57,R57,V57,Z57,AD57,AH57,AL57))+N(CHOOSE(AP57,K57,O57,S57,W57,AA57,AE57,AI57,AM57))))),0))</f>
        <v/>
      </c>
      <c r="AR57">
        <f>MIN(N(AQ57),MAX(0,N(ExtraPayment)))</f>
        <v/>
      </c>
      <c r="AS57">
        <f>MAX(0,N(ExtraPayment)-N(AR57))</f>
        <v/>
      </c>
      <c r="AT57">
        <f>IFERROR(MATCH(2,OrderPlan,0),"")</f>
        <v/>
      </c>
      <c r="AU57">
        <f>IF(AT57="",0,IFERROR(IF(N(CHOOSE(AT57,J57,N57,R57,V57,Z57,AD57,AH57,AL57))&lt;=0.005,0,MAX(0,N(CHOOSE(AT57,J57,N57,R57,V57,Z57,AD57,AH57,AL57))+N(CHOOSE(AT57,K57,O57,S57,W57,AA57,AE57,AI57,AM57))-MIN(N(CHOOSE(AT57,'Debt List'!$F$5,'Debt List'!$F$6,'Debt List'!$F$7,'Debt List'!$F$8,'Debt List'!$F$9,'Debt List'!$F$10,'Debt List'!$F$11,'Debt List'!$F$12)),N(CHOOSE(AT57,J57,N57,R57,V57,Z57,AD57,AH57,AL57))+N(CHOOSE(AT57,K57,O57,S57,W57,AA57,AE57,AI57,AM57))))),0))</f>
        <v/>
      </c>
      <c r="AV57">
        <f>MIN(N(AU57),MAX(0,N(AS57)))</f>
        <v/>
      </c>
      <c r="AW57">
        <f>MAX(0,N(AS57)-N(AV57))</f>
        <v/>
      </c>
      <c r="AX57">
        <f>IFERROR(MATCH(3,OrderPlan,0),"")</f>
        <v/>
      </c>
      <c r="AY57">
        <f>IF(AX57="",0,IFERROR(IF(N(CHOOSE(AX57,J57,N57,R57,V57,Z57,AD57,AH57,AL57))&lt;=0.005,0,MAX(0,N(CHOOSE(AX57,J57,N57,R57,V57,Z57,AD57,AH57,AL57))+N(CHOOSE(AX57,K57,O57,S57,W57,AA57,AE57,AI57,AM57))-MIN(N(CHOOSE(AX57,'Debt List'!$F$5,'Debt List'!$F$6,'Debt List'!$F$7,'Debt List'!$F$8,'Debt List'!$F$9,'Debt List'!$F$10,'Debt List'!$F$11,'Debt List'!$F$12)),N(CHOOSE(AX57,J57,N57,R57,V57,Z57,AD57,AH57,AL57))+N(CHOOSE(AX57,K57,O57,S57,W57,AA57,AE57,AI57,AM57))))),0))</f>
        <v/>
      </c>
      <c r="AZ57">
        <f>MIN(N(AY57),MAX(0,N(AW57)))</f>
        <v/>
      </c>
      <c r="BA57">
        <f>MAX(0,N(AW57)-N(AZ57))</f>
        <v/>
      </c>
      <c r="BB57">
        <f>IFERROR(MATCH(4,OrderPlan,0),"")</f>
        <v/>
      </c>
      <c r="BC57">
        <f>IF(BB57="",0,IFERROR(IF(N(CHOOSE(BB57,J57,N57,R57,V57,Z57,AD57,AH57,AL57))&lt;=0.005,0,MAX(0,N(CHOOSE(BB57,J57,N57,R57,V57,Z57,AD57,AH57,AL57))+N(CHOOSE(BB57,K57,O57,S57,W57,AA57,AE57,AI57,AM57))-MIN(N(CHOOSE(BB57,'Debt List'!$F$5,'Debt List'!$F$6,'Debt List'!$F$7,'Debt List'!$F$8,'Debt List'!$F$9,'Debt List'!$F$10,'Debt List'!$F$11,'Debt List'!$F$12)),N(CHOOSE(BB57,J57,N57,R57,V57,Z57,AD57,AH57,AL57))+N(CHOOSE(BB57,K57,O57,S57,W57,AA57,AE57,AI57,AM57))))),0))</f>
        <v/>
      </c>
      <c r="BD57">
        <f>MIN(N(BC57),MAX(0,N(BA57)))</f>
        <v/>
      </c>
      <c r="BE57">
        <f>MAX(0,N(BA57)-N(BD57))</f>
        <v/>
      </c>
      <c r="BF57">
        <f>IFERROR(MATCH(5,OrderPlan,0),"")</f>
        <v/>
      </c>
      <c r="BG57">
        <f>IF(BF57="",0,IFERROR(IF(N(CHOOSE(BF57,J57,N57,R57,V57,Z57,AD57,AH57,AL57))&lt;=0.005,0,MAX(0,N(CHOOSE(BF57,J57,N57,R57,V57,Z57,AD57,AH57,AL57))+N(CHOOSE(BF57,K57,O57,S57,W57,AA57,AE57,AI57,AM57))-MIN(N(CHOOSE(BF57,'Debt List'!$F$5,'Debt List'!$F$6,'Debt List'!$F$7,'Debt List'!$F$8,'Debt List'!$F$9,'Debt List'!$F$10,'Debt List'!$F$11,'Debt List'!$F$12)),N(CHOOSE(BF57,J57,N57,R57,V57,Z57,AD57,AH57,AL57))+N(CHOOSE(BF57,K57,O57,S57,W57,AA57,AE57,AI57,AM57))))),0))</f>
        <v/>
      </c>
      <c r="BH57">
        <f>MIN(N(BG57),MAX(0,N(BE57)))</f>
        <v/>
      </c>
      <c r="BI57">
        <f>MAX(0,N(BE57)-N(BH57))</f>
        <v/>
      </c>
      <c r="BJ57">
        <f>IFERROR(MATCH(6,OrderPlan,0),"")</f>
        <v/>
      </c>
      <c r="BK57">
        <f>IF(BJ57="",0,IFERROR(IF(N(CHOOSE(BJ57,J57,N57,R57,V57,Z57,AD57,AH57,AL57))&lt;=0.005,0,MAX(0,N(CHOOSE(BJ57,J57,N57,R57,V57,Z57,AD57,AH57,AL57))+N(CHOOSE(BJ57,K57,O57,S57,W57,AA57,AE57,AI57,AM57))-MIN(N(CHOOSE(BJ57,'Debt List'!$F$5,'Debt List'!$F$6,'Debt List'!$F$7,'Debt List'!$F$8,'Debt List'!$F$9,'Debt List'!$F$10,'Debt List'!$F$11,'Debt List'!$F$12)),N(CHOOSE(BJ57,J57,N57,R57,V57,Z57,AD57,AH57,AL57))+N(CHOOSE(BJ57,K57,O57,S57,W57,AA57,AE57,AI57,AM57))))),0))</f>
        <v/>
      </c>
      <c r="BL57">
        <f>MIN(N(BK57),MAX(0,N(BI57)))</f>
        <v/>
      </c>
      <c r="BM57">
        <f>MAX(0,N(BI57)-N(BL57))</f>
        <v/>
      </c>
      <c r="BN57">
        <f>IFERROR(MATCH(7,OrderPlan,0),"")</f>
        <v/>
      </c>
      <c r="BO57">
        <f>IF(BN57="",0,IFERROR(IF(N(CHOOSE(BN57,J57,N57,R57,V57,Z57,AD57,AH57,AL57))&lt;=0.005,0,MAX(0,N(CHOOSE(BN57,J57,N57,R57,V57,Z57,AD57,AH57,AL57))+N(CHOOSE(BN57,K57,O57,S57,W57,AA57,AE57,AI57,AM57))-MIN(N(CHOOSE(BN57,'Debt List'!$F$5,'Debt List'!$F$6,'Debt List'!$F$7,'Debt List'!$F$8,'Debt List'!$F$9,'Debt List'!$F$10,'Debt List'!$F$11,'Debt List'!$F$12)),N(CHOOSE(BN57,J57,N57,R57,V57,Z57,AD57,AH57,AL57))+N(CHOOSE(BN57,K57,O57,S57,W57,AA57,AE57,AI57,AM57))))),0))</f>
        <v/>
      </c>
      <c r="BP57">
        <f>MIN(N(BO57),MAX(0,N(BM57)))</f>
        <v/>
      </c>
      <c r="BQ57">
        <f>MAX(0,N(BM57)-N(BP57))</f>
        <v/>
      </c>
      <c r="BR57">
        <f>IFERROR(MATCH(8,OrderPlan,0),"")</f>
        <v/>
      </c>
      <c r="BS57">
        <f>IF(BR57="",0,IFERROR(IF(N(CHOOSE(BR57,J57,N57,R57,V57,Z57,AD57,AH57,AL57))&lt;=0.005,0,MAX(0,N(CHOOSE(BR57,J57,N57,R57,V57,Z57,AD57,AH57,AL57))+N(CHOOSE(BR57,K57,O57,S57,W57,AA57,AE57,AI57,AM57))-MIN(N(CHOOSE(BR57,'Debt List'!$F$5,'Debt List'!$F$6,'Debt List'!$F$7,'Debt List'!$F$8,'Debt List'!$F$9,'Debt List'!$F$10,'Debt List'!$F$11,'Debt List'!$F$12)),N(CHOOSE(BR57,J57,N57,R57,V57,Z57,AD57,AH57,AL57))+N(CHOOSE(BR57,K57,O57,S57,W57,AA57,AE57,AI57,AM57))))),0))</f>
        <v/>
      </c>
      <c r="BT57">
        <f>MIN(N(BS57),MAX(0,N(BQ57)))</f>
        <v/>
      </c>
      <c r="BU57">
        <f>MAX(0,N(BQ57)-N(BT57))</f>
        <v/>
      </c>
      <c r="CC57" t="n">
        <v>53</v>
      </c>
      <c r="CD57" s="115">
        <f>DATE(YEAR(PlanStart),MONTH(PlanStart)+CC57-1,1)</f>
        <v/>
      </c>
      <c r="CE57">
        <f>IF(AND(DR57&lt;&gt;"",N(CHOOSE(DR57,CL57,CP57,CT57,CX57,DB57,DF57,DJ57,DN57))&gt;0.005),INDEX(DebtNames,DR57),IF(AND(DV57&lt;&gt;"",N(CHOOSE(DV57,CL57,CP57,CT57,CX57,DB57,DF57,DJ57,DN57))&gt;0.005),INDEX(DebtNames,DV57),IF(AND(DZ57&lt;&gt;"",N(CHOOSE(DZ57,CL57,CP57,CT57,CX57,DB57,DF57,DJ57,DN57))&gt;0.005),INDEX(DebtNames,DZ57),IF(AND(ED57&lt;&gt;"",N(CHOOSE(ED57,CL57,CP57,CT57,CX57,DB57,DF57,DJ57,DN57))&gt;0.005),INDEX(DebtNames,ED57),IF(AND(EH57&lt;&gt;"",N(CHOOSE(EH57,CL57,CP57,CT57,CX57,DB57,DF57,DJ57,DN57))&gt;0.005),INDEX(DebtNames,EH57),IF(AND(EL57&lt;&gt;"",N(CHOOSE(EL57,CL57,CP57,CT57,CX57,DB57,DF57,DJ57,DN57))&gt;0.005),INDEX(DebtNames,EL57),IF(AND(EP57&lt;&gt;"",N(CHOOSE(EP57,CL57,CP57,CT57,CX57,DB57,DF57,DJ57,DN57))&gt;0.005),INDEX(DebtNames,EP57),IF(AND(ET57&lt;&gt;"",N(CHOOSE(ET57,CL57,CP57,CT57,CX57,DB57,DF57,DJ57,DN57))&gt;0.005),INDEX(DebtNames,ET57),""))))))))</f>
        <v/>
      </c>
      <c r="CF57">
        <f>N(EW57)</f>
        <v/>
      </c>
      <c r="CG57">
        <f>N(CN57)+N(CR57)+N(CV57)+N(CZ57)+N(DD57)+N(DH57)+N(DL57)+N(DP57)</f>
        <v/>
      </c>
      <c r="CH57">
        <f>N(CM57)+N(CQ57)+N(CU57)+N(CY57)+N(DC57)+N(DG57)+N(DK57)+N(DO57)</f>
        <v/>
      </c>
      <c r="CI57">
        <f>N(CI56)+N(CH57)</f>
        <v/>
      </c>
      <c r="CJ57">
        <f>N(CO57)+N(CS57)+N(CW57)+N(DA57)+N(DE57)+N(DI57)+N(DM57)+N(DQ57)</f>
        <v/>
      </c>
      <c r="CK57">
        <f>(CO57&gt;0.005)*1+(CS57&gt;0.005)*1+(CW57&gt;0.005)*1+(DA57&gt;0.005)*1+(DE57&gt;0.005)*1+(DI57&gt;0.005)*1+(DM57&gt;0.005)*1+(DQ57&gt;0.005)*1</f>
        <v/>
      </c>
      <c r="CL57">
        <f>N(CO56)</f>
        <v/>
      </c>
      <c r="CM57">
        <f>IF(N(CL57)&lt;=0.005,0,ROUND(N(CL57)*N('Debt List'!E5)/12,2))</f>
        <v/>
      </c>
      <c r="CN57">
        <f>IF(N(CL57)&lt;=0.005,0,MIN(N('Debt List'!F5),N(CL57)+N(CM57)))+((DR57=1)*DT57+(DV57=1)*DX57+(DZ57=1)*EB57+(ED57=1)*EF57+(EH57=1)*EJ57+(EL57=1)*EN57+(EP57=1)*ER57+(ET57=1)*EV57)</f>
        <v/>
      </c>
      <c r="CO57">
        <f>MAX(0,ROUND(N(CL57)+N(CM57)-N(CN57),2))</f>
        <v/>
      </c>
      <c r="CP57">
        <f>N(CS56)</f>
        <v/>
      </c>
      <c r="CQ57">
        <f>IF(N(CP57)&lt;=0.005,0,ROUND(N(CP57)*N('Debt List'!E6)/12,2))</f>
        <v/>
      </c>
      <c r="CR57">
        <f>IF(N(CP57)&lt;=0.005,0,MIN(N('Debt List'!F6),N(CP57)+N(CQ57)))+((DR57=2)*DT57+(DV57=2)*DX57+(DZ57=2)*EB57+(ED57=2)*EF57+(EH57=2)*EJ57+(EL57=2)*EN57+(EP57=2)*ER57+(ET57=2)*EV57)</f>
        <v/>
      </c>
      <c r="CS57">
        <f>MAX(0,ROUND(N(CP57)+N(CQ57)-N(CR57),2))</f>
        <v/>
      </c>
      <c r="CT57">
        <f>N(CW56)</f>
        <v/>
      </c>
      <c r="CU57">
        <f>IF(N(CT57)&lt;=0.005,0,ROUND(N(CT57)*N('Debt List'!E7)/12,2))</f>
        <v/>
      </c>
      <c r="CV57">
        <f>IF(N(CT57)&lt;=0.005,0,MIN(N('Debt List'!F7),N(CT57)+N(CU57)))+((DR57=3)*DT57+(DV57=3)*DX57+(DZ57=3)*EB57+(ED57=3)*EF57+(EH57=3)*EJ57+(EL57=3)*EN57+(EP57=3)*ER57+(ET57=3)*EV57)</f>
        <v/>
      </c>
      <c r="CW57">
        <f>MAX(0,ROUND(N(CT57)+N(CU57)-N(CV57),2))</f>
        <v/>
      </c>
      <c r="CX57">
        <f>N(DA56)</f>
        <v/>
      </c>
      <c r="CY57">
        <f>IF(N(CX57)&lt;=0.005,0,ROUND(N(CX57)*N('Debt List'!E8)/12,2))</f>
        <v/>
      </c>
      <c r="CZ57">
        <f>IF(N(CX57)&lt;=0.005,0,MIN(N('Debt List'!F8),N(CX57)+N(CY57)))+((DR57=4)*DT57+(DV57=4)*DX57+(DZ57=4)*EB57+(ED57=4)*EF57+(EH57=4)*EJ57+(EL57=4)*EN57+(EP57=4)*ER57+(ET57=4)*EV57)</f>
        <v/>
      </c>
      <c r="DA57">
        <f>MAX(0,ROUND(N(CX57)+N(CY57)-N(CZ57),2))</f>
        <v/>
      </c>
      <c r="DB57">
        <f>N(DE56)</f>
        <v/>
      </c>
      <c r="DC57">
        <f>IF(N(DB57)&lt;=0.005,0,ROUND(N(DB57)*N('Debt List'!E9)/12,2))</f>
        <v/>
      </c>
      <c r="DD57">
        <f>IF(N(DB57)&lt;=0.005,0,MIN(N('Debt List'!F9),N(DB57)+N(DC57)))+((DR57=5)*DT57+(DV57=5)*DX57+(DZ57=5)*EB57+(ED57=5)*EF57+(EH57=5)*EJ57+(EL57=5)*EN57+(EP57=5)*ER57+(ET57=5)*EV57)</f>
        <v/>
      </c>
      <c r="DE57">
        <f>MAX(0,ROUND(N(DB57)+N(DC57)-N(DD57),2))</f>
        <v/>
      </c>
      <c r="DF57">
        <f>N(DI56)</f>
        <v/>
      </c>
      <c r="DG57">
        <f>IF(N(DF57)&lt;=0.005,0,ROUND(N(DF57)*N('Debt List'!E10)/12,2))</f>
        <v/>
      </c>
      <c r="DH57">
        <f>IF(N(DF57)&lt;=0.005,0,MIN(N('Debt List'!F10),N(DF57)+N(DG57)))+((DR57=6)*DT57+(DV57=6)*DX57+(DZ57=6)*EB57+(ED57=6)*EF57+(EH57=6)*EJ57+(EL57=6)*EN57+(EP57=6)*ER57+(ET57=6)*EV57)</f>
        <v/>
      </c>
      <c r="DI57">
        <f>MAX(0,ROUND(N(DF57)+N(DG57)-N(DH57),2))</f>
        <v/>
      </c>
      <c r="DJ57">
        <f>N(DM56)</f>
        <v/>
      </c>
      <c r="DK57">
        <f>IF(N(DJ57)&lt;=0.005,0,ROUND(N(DJ57)*N('Debt List'!E11)/12,2))</f>
        <v/>
      </c>
      <c r="DL57">
        <f>IF(N(DJ57)&lt;=0.005,0,MIN(N('Debt List'!F11),N(DJ57)+N(DK57)))+((DR57=7)*DT57+(DV57=7)*DX57+(DZ57=7)*EB57+(ED57=7)*EF57+(EH57=7)*EJ57+(EL57=7)*EN57+(EP57=7)*ER57+(ET57=7)*EV57)</f>
        <v/>
      </c>
      <c r="DM57">
        <f>MAX(0,ROUND(N(DJ57)+N(DK57)-N(DL57),2))</f>
        <v/>
      </c>
      <c r="DN57">
        <f>N(DQ56)</f>
        <v/>
      </c>
      <c r="DO57">
        <f>IF(N(DN57)&lt;=0.005,0,ROUND(N(DN57)*N('Debt List'!E12)/12,2))</f>
        <v/>
      </c>
      <c r="DP57">
        <f>IF(N(DN57)&lt;=0.005,0,MIN(N('Debt List'!F12),N(DN57)+N(DO57)))+((DR57=8)*DT57+(DV57=8)*DX57+(DZ57=8)*EB57+(ED57=8)*EF57+(EH57=8)*EJ57+(EL57=8)*EN57+(EP57=8)*ER57+(ET57=8)*EV57)</f>
        <v/>
      </c>
      <c r="DQ57">
        <f>MAX(0,ROUND(N(DN57)+N(DO57)-N(DP57),2))</f>
        <v/>
      </c>
      <c r="DR57">
        <f>IFERROR(MATCH(1,OrderSnow,0),"")</f>
        <v/>
      </c>
      <c r="DS57">
        <f>IF(DR57="",0,IFERROR(IF(N(CHOOSE(DR57,CL57,CP57,CT57,CX57,DB57,DF57,DJ57,DN57))&lt;=0.005,0,MAX(0,N(CHOOSE(DR57,CL57,CP57,CT57,CX57,DB57,DF57,DJ57,DN57))+N(CHOOSE(DR57,CM57,CQ57,CU57,CY57,DC57,DG57,DK57,DO57))-MIN(N(CHOOSE(DR57,'Debt List'!$F$5,'Debt List'!$F$6,'Debt List'!$F$7,'Debt List'!$F$8,'Debt List'!$F$9,'Debt List'!$F$10,'Debt List'!$F$11,'Debt List'!$F$12)),N(CHOOSE(DR57,CL57,CP57,CT57,CX57,DB57,DF57,DJ57,DN57))+N(CHOOSE(DR57,CM57,CQ57,CU57,CY57,DC57,DG57,DK57,DO57))))),0))</f>
        <v/>
      </c>
      <c r="DT57">
        <f>MIN(N(DS57),MAX(0,N(ExtraPayment)))</f>
        <v/>
      </c>
      <c r="DU57">
        <f>MAX(0,N(ExtraPayment)-N(DT57))</f>
        <v/>
      </c>
      <c r="DV57">
        <f>IFERROR(MATCH(2,OrderSnow,0),"")</f>
        <v/>
      </c>
      <c r="DW57">
        <f>IF(DV57="",0,IFERROR(IF(N(CHOOSE(DV57,CL57,CP57,CT57,CX57,DB57,DF57,DJ57,DN57))&lt;=0.005,0,MAX(0,N(CHOOSE(DV57,CL57,CP57,CT57,CX57,DB57,DF57,DJ57,DN57))+N(CHOOSE(DV57,CM57,CQ57,CU57,CY57,DC57,DG57,DK57,DO57))-MIN(N(CHOOSE(DV57,'Debt List'!$F$5,'Debt List'!$F$6,'Debt List'!$F$7,'Debt List'!$F$8,'Debt List'!$F$9,'Debt List'!$F$10,'Debt List'!$F$11,'Debt List'!$F$12)),N(CHOOSE(DV57,CL57,CP57,CT57,CX57,DB57,DF57,DJ57,DN57))+N(CHOOSE(DV57,CM57,CQ57,CU57,CY57,DC57,DG57,DK57,DO57))))),0))</f>
        <v/>
      </c>
      <c r="DX57">
        <f>MIN(N(DW57),MAX(0,N(DU57)))</f>
        <v/>
      </c>
      <c r="DY57">
        <f>MAX(0,N(DU57)-N(DX57))</f>
        <v/>
      </c>
      <c r="DZ57">
        <f>IFERROR(MATCH(3,OrderSnow,0),"")</f>
        <v/>
      </c>
      <c r="EA57">
        <f>IF(DZ57="",0,IFERROR(IF(N(CHOOSE(DZ57,CL57,CP57,CT57,CX57,DB57,DF57,DJ57,DN57))&lt;=0.005,0,MAX(0,N(CHOOSE(DZ57,CL57,CP57,CT57,CX57,DB57,DF57,DJ57,DN57))+N(CHOOSE(DZ57,CM57,CQ57,CU57,CY57,DC57,DG57,DK57,DO57))-MIN(N(CHOOSE(DZ57,'Debt List'!$F$5,'Debt List'!$F$6,'Debt List'!$F$7,'Debt List'!$F$8,'Debt List'!$F$9,'Debt List'!$F$10,'Debt List'!$F$11,'Debt List'!$F$12)),N(CHOOSE(DZ57,CL57,CP57,CT57,CX57,DB57,DF57,DJ57,DN57))+N(CHOOSE(DZ57,CM57,CQ57,CU57,CY57,DC57,DG57,DK57,DO57))))),0))</f>
        <v/>
      </c>
      <c r="EB57">
        <f>MIN(N(EA57),MAX(0,N(DY57)))</f>
        <v/>
      </c>
      <c r="EC57">
        <f>MAX(0,N(DY57)-N(EB57))</f>
        <v/>
      </c>
      <c r="ED57">
        <f>IFERROR(MATCH(4,OrderSnow,0),"")</f>
        <v/>
      </c>
      <c r="EE57">
        <f>IF(ED57="",0,IFERROR(IF(N(CHOOSE(ED57,CL57,CP57,CT57,CX57,DB57,DF57,DJ57,DN57))&lt;=0.005,0,MAX(0,N(CHOOSE(ED57,CL57,CP57,CT57,CX57,DB57,DF57,DJ57,DN57))+N(CHOOSE(ED57,CM57,CQ57,CU57,CY57,DC57,DG57,DK57,DO57))-MIN(N(CHOOSE(ED57,'Debt List'!$F$5,'Debt List'!$F$6,'Debt List'!$F$7,'Debt List'!$F$8,'Debt List'!$F$9,'Debt List'!$F$10,'Debt List'!$F$11,'Debt List'!$F$12)),N(CHOOSE(ED57,CL57,CP57,CT57,CX57,DB57,DF57,DJ57,DN57))+N(CHOOSE(ED57,CM57,CQ57,CU57,CY57,DC57,DG57,DK57,DO57))))),0))</f>
        <v/>
      </c>
      <c r="EF57">
        <f>MIN(N(EE57),MAX(0,N(EC57)))</f>
        <v/>
      </c>
      <c r="EG57">
        <f>MAX(0,N(EC57)-N(EF57))</f>
        <v/>
      </c>
      <c r="EH57">
        <f>IFERROR(MATCH(5,OrderSnow,0),"")</f>
        <v/>
      </c>
      <c r="EI57">
        <f>IF(EH57="",0,IFERROR(IF(N(CHOOSE(EH57,CL57,CP57,CT57,CX57,DB57,DF57,DJ57,DN57))&lt;=0.005,0,MAX(0,N(CHOOSE(EH57,CL57,CP57,CT57,CX57,DB57,DF57,DJ57,DN57))+N(CHOOSE(EH57,CM57,CQ57,CU57,CY57,DC57,DG57,DK57,DO57))-MIN(N(CHOOSE(EH57,'Debt List'!$F$5,'Debt List'!$F$6,'Debt List'!$F$7,'Debt List'!$F$8,'Debt List'!$F$9,'Debt List'!$F$10,'Debt List'!$F$11,'Debt List'!$F$12)),N(CHOOSE(EH57,CL57,CP57,CT57,CX57,DB57,DF57,DJ57,DN57))+N(CHOOSE(EH57,CM57,CQ57,CU57,CY57,DC57,DG57,DK57,DO57))))),0))</f>
        <v/>
      </c>
      <c r="EJ57">
        <f>MIN(N(EI57),MAX(0,N(EG57)))</f>
        <v/>
      </c>
      <c r="EK57">
        <f>MAX(0,N(EG57)-N(EJ57))</f>
        <v/>
      </c>
      <c r="EL57">
        <f>IFERROR(MATCH(6,OrderSnow,0),"")</f>
        <v/>
      </c>
      <c r="EM57">
        <f>IF(EL57="",0,IFERROR(IF(N(CHOOSE(EL57,CL57,CP57,CT57,CX57,DB57,DF57,DJ57,DN57))&lt;=0.005,0,MAX(0,N(CHOOSE(EL57,CL57,CP57,CT57,CX57,DB57,DF57,DJ57,DN57))+N(CHOOSE(EL57,CM57,CQ57,CU57,CY57,DC57,DG57,DK57,DO57))-MIN(N(CHOOSE(EL57,'Debt List'!$F$5,'Debt List'!$F$6,'Debt List'!$F$7,'Debt List'!$F$8,'Debt List'!$F$9,'Debt List'!$F$10,'Debt List'!$F$11,'Debt List'!$F$12)),N(CHOOSE(EL57,CL57,CP57,CT57,CX57,DB57,DF57,DJ57,DN57))+N(CHOOSE(EL57,CM57,CQ57,CU57,CY57,DC57,DG57,DK57,DO57))))),0))</f>
        <v/>
      </c>
      <c r="EN57">
        <f>MIN(N(EM57),MAX(0,N(EK57)))</f>
        <v/>
      </c>
      <c r="EO57">
        <f>MAX(0,N(EK57)-N(EN57))</f>
        <v/>
      </c>
      <c r="EP57">
        <f>IFERROR(MATCH(7,OrderSnow,0),"")</f>
        <v/>
      </c>
      <c r="EQ57">
        <f>IF(EP57="",0,IFERROR(IF(N(CHOOSE(EP57,CL57,CP57,CT57,CX57,DB57,DF57,DJ57,DN57))&lt;=0.005,0,MAX(0,N(CHOOSE(EP57,CL57,CP57,CT57,CX57,DB57,DF57,DJ57,DN57))+N(CHOOSE(EP57,CM57,CQ57,CU57,CY57,DC57,DG57,DK57,DO57))-MIN(N(CHOOSE(EP57,'Debt List'!$F$5,'Debt List'!$F$6,'Debt List'!$F$7,'Debt List'!$F$8,'Debt List'!$F$9,'Debt List'!$F$10,'Debt List'!$F$11,'Debt List'!$F$12)),N(CHOOSE(EP57,CL57,CP57,CT57,CX57,DB57,DF57,DJ57,DN57))+N(CHOOSE(EP57,CM57,CQ57,CU57,CY57,DC57,DG57,DK57,DO57))))),0))</f>
        <v/>
      </c>
      <c r="ER57">
        <f>MIN(N(EQ57),MAX(0,N(EO57)))</f>
        <v/>
      </c>
      <c r="ES57">
        <f>MAX(0,N(EO57)-N(ER57))</f>
        <v/>
      </c>
      <c r="ET57">
        <f>IFERROR(MATCH(8,OrderSnow,0),"")</f>
        <v/>
      </c>
      <c r="EU57">
        <f>IF(ET57="",0,IFERROR(IF(N(CHOOSE(ET57,CL57,CP57,CT57,CX57,DB57,DF57,DJ57,DN57))&lt;=0.005,0,MAX(0,N(CHOOSE(ET57,CL57,CP57,CT57,CX57,DB57,DF57,DJ57,DN57))+N(CHOOSE(ET57,CM57,CQ57,CU57,CY57,DC57,DG57,DK57,DO57))-MIN(N(CHOOSE(ET57,'Debt List'!$F$5,'Debt List'!$F$6,'Debt List'!$F$7,'Debt List'!$F$8,'Debt List'!$F$9,'Debt List'!$F$10,'Debt List'!$F$11,'Debt List'!$F$12)),N(CHOOSE(ET57,CL57,CP57,CT57,CX57,DB57,DF57,DJ57,DN57))+N(CHOOSE(ET57,CM57,CQ57,CU57,CY57,DC57,DG57,DK57,DO57))))),0))</f>
        <v/>
      </c>
      <c r="EV57">
        <f>MIN(N(EU57),MAX(0,N(ES57)))</f>
        <v/>
      </c>
      <c r="EW57">
        <f>MAX(0,N(ES57)-N(EV57))</f>
        <v/>
      </c>
      <c r="FE57" t="n">
        <v>53</v>
      </c>
      <c r="FF57" s="115">
        <f>DATE(YEAR(PlanStart),MONTH(PlanStart)+FE57-1,1)</f>
        <v/>
      </c>
      <c r="FG57">
        <f>IF(AND(GT57&lt;&gt;"",N(CHOOSE(GT57,FN57,FR57,FV57,FZ57,GD57,GH57,GL57,GP57))&gt;0.005),INDEX(DebtNames,GT57),IF(AND(GX57&lt;&gt;"",N(CHOOSE(GX57,FN57,FR57,FV57,FZ57,GD57,GH57,GL57,GP57))&gt;0.005),INDEX(DebtNames,GX57),IF(AND(HB57&lt;&gt;"",N(CHOOSE(HB57,FN57,FR57,FV57,FZ57,GD57,GH57,GL57,GP57))&gt;0.005),INDEX(DebtNames,HB57),IF(AND(HF57&lt;&gt;"",N(CHOOSE(HF57,FN57,FR57,FV57,FZ57,GD57,GH57,GL57,GP57))&gt;0.005),INDEX(DebtNames,HF57),IF(AND(HJ57&lt;&gt;"",N(CHOOSE(HJ57,FN57,FR57,FV57,FZ57,GD57,GH57,GL57,GP57))&gt;0.005),INDEX(DebtNames,HJ57),IF(AND(HN57&lt;&gt;"",N(CHOOSE(HN57,FN57,FR57,FV57,FZ57,GD57,GH57,GL57,GP57))&gt;0.005),INDEX(DebtNames,HN57),IF(AND(HR57&lt;&gt;"",N(CHOOSE(HR57,FN57,FR57,FV57,FZ57,GD57,GH57,GL57,GP57))&gt;0.005),INDEX(DebtNames,HR57),IF(AND(HV57&lt;&gt;"",N(CHOOSE(HV57,FN57,FR57,FV57,FZ57,GD57,GH57,GL57,GP57))&gt;0.005),INDEX(DebtNames,HV57),""))))))))</f>
        <v/>
      </c>
      <c r="FH57">
        <f>N(HY57)</f>
        <v/>
      </c>
      <c r="FI57">
        <f>N(FP57)+N(FT57)+N(FX57)+N(GB57)+N(GF57)+N(GJ57)+N(GN57)+N(GR57)</f>
        <v/>
      </c>
      <c r="FJ57">
        <f>N(FO57)+N(FS57)+N(FW57)+N(GA57)+N(GE57)+N(GI57)+N(GM57)+N(GQ57)</f>
        <v/>
      </c>
      <c r="FK57">
        <f>N(FK56)+N(FJ57)</f>
        <v/>
      </c>
      <c r="FL57">
        <f>N(FQ57)+N(FU57)+N(FY57)+N(GC57)+N(GG57)+N(GK57)+N(GO57)+N(GS57)</f>
        <v/>
      </c>
      <c r="FM57">
        <f>(FQ57&gt;0.005)*1+(FU57&gt;0.005)*1+(FY57&gt;0.005)*1+(GC57&gt;0.005)*1+(GG57&gt;0.005)*1+(GK57&gt;0.005)*1+(GO57&gt;0.005)*1+(GS57&gt;0.005)*1</f>
        <v/>
      </c>
      <c r="FN57">
        <f>N(FQ56)</f>
        <v/>
      </c>
      <c r="FO57">
        <f>IF(N(FN57)&lt;=0.005,0,ROUND(N(FN57)*N('Debt List'!E5)/12,2))</f>
        <v/>
      </c>
      <c r="FP57">
        <f>IF(N(FN57)&lt;=0.005,0,MIN(N('Debt List'!F5),N(FN57)+N(FO57)))+((GT57=1)*GV57+(GX57=1)*GZ57+(HB57=1)*HD57+(HF57=1)*HH57+(HJ57=1)*HL57+(HN57=1)*HP57+(HR57=1)*HT57+(HV57=1)*HX57)</f>
        <v/>
      </c>
      <c r="FQ57">
        <f>MAX(0,ROUND(N(FN57)+N(FO57)-N(FP57),2))</f>
        <v/>
      </c>
      <c r="FR57">
        <f>N(FU56)</f>
        <v/>
      </c>
      <c r="FS57">
        <f>IF(N(FR57)&lt;=0.005,0,ROUND(N(FR57)*N('Debt List'!E6)/12,2))</f>
        <v/>
      </c>
      <c r="FT57">
        <f>IF(N(FR57)&lt;=0.005,0,MIN(N('Debt List'!F6),N(FR57)+N(FS57)))+((GT57=2)*GV57+(GX57=2)*GZ57+(HB57=2)*HD57+(HF57=2)*HH57+(HJ57=2)*HL57+(HN57=2)*HP57+(HR57=2)*HT57+(HV57=2)*HX57)</f>
        <v/>
      </c>
      <c r="FU57">
        <f>MAX(0,ROUND(N(FR57)+N(FS57)-N(FT57),2))</f>
        <v/>
      </c>
      <c r="FV57">
        <f>N(FY56)</f>
        <v/>
      </c>
      <c r="FW57">
        <f>IF(N(FV57)&lt;=0.005,0,ROUND(N(FV57)*N('Debt List'!E7)/12,2))</f>
        <v/>
      </c>
      <c r="FX57">
        <f>IF(N(FV57)&lt;=0.005,0,MIN(N('Debt List'!F7),N(FV57)+N(FW57)))+((GT57=3)*GV57+(GX57=3)*GZ57+(HB57=3)*HD57+(HF57=3)*HH57+(HJ57=3)*HL57+(HN57=3)*HP57+(HR57=3)*HT57+(HV57=3)*HX57)</f>
        <v/>
      </c>
      <c r="FY57">
        <f>MAX(0,ROUND(N(FV57)+N(FW57)-N(FX57),2))</f>
        <v/>
      </c>
      <c r="FZ57">
        <f>N(GC56)</f>
        <v/>
      </c>
      <c r="GA57">
        <f>IF(N(FZ57)&lt;=0.005,0,ROUND(N(FZ57)*N('Debt List'!E8)/12,2))</f>
        <v/>
      </c>
      <c r="GB57">
        <f>IF(N(FZ57)&lt;=0.005,0,MIN(N('Debt List'!F8),N(FZ57)+N(GA57)))+((GT57=4)*GV57+(GX57=4)*GZ57+(HB57=4)*HD57+(HF57=4)*HH57+(HJ57=4)*HL57+(HN57=4)*HP57+(HR57=4)*HT57+(HV57=4)*HX57)</f>
        <v/>
      </c>
      <c r="GC57">
        <f>MAX(0,ROUND(N(FZ57)+N(GA57)-N(GB57),2))</f>
        <v/>
      </c>
      <c r="GD57">
        <f>N(GG56)</f>
        <v/>
      </c>
      <c r="GE57">
        <f>IF(N(GD57)&lt;=0.005,0,ROUND(N(GD57)*N('Debt List'!E9)/12,2))</f>
        <v/>
      </c>
      <c r="GF57">
        <f>IF(N(GD57)&lt;=0.005,0,MIN(N('Debt List'!F9),N(GD57)+N(GE57)))+((GT57=5)*GV57+(GX57=5)*GZ57+(HB57=5)*HD57+(HF57=5)*HH57+(HJ57=5)*HL57+(HN57=5)*HP57+(HR57=5)*HT57+(HV57=5)*HX57)</f>
        <v/>
      </c>
      <c r="GG57">
        <f>MAX(0,ROUND(N(GD57)+N(GE57)-N(GF57),2))</f>
        <v/>
      </c>
      <c r="GH57">
        <f>N(GK56)</f>
        <v/>
      </c>
      <c r="GI57">
        <f>IF(N(GH57)&lt;=0.005,0,ROUND(N(GH57)*N('Debt List'!E10)/12,2))</f>
        <v/>
      </c>
      <c r="GJ57">
        <f>IF(N(GH57)&lt;=0.005,0,MIN(N('Debt List'!F10),N(GH57)+N(GI57)))+((GT57=6)*GV57+(GX57=6)*GZ57+(HB57=6)*HD57+(HF57=6)*HH57+(HJ57=6)*HL57+(HN57=6)*HP57+(HR57=6)*HT57+(HV57=6)*HX57)</f>
        <v/>
      </c>
      <c r="GK57">
        <f>MAX(0,ROUND(N(GH57)+N(GI57)-N(GJ57),2))</f>
        <v/>
      </c>
      <c r="GL57">
        <f>N(GO56)</f>
        <v/>
      </c>
      <c r="GM57">
        <f>IF(N(GL57)&lt;=0.005,0,ROUND(N(GL57)*N('Debt List'!E11)/12,2))</f>
        <v/>
      </c>
      <c r="GN57">
        <f>IF(N(GL57)&lt;=0.005,0,MIN(N('Debt List'!F11),N(GL57)+N(GM57)))+((GT57=7)*GV57+(GX57=7)*GZ57+(HB57=7)*HD57+(HF57=7)*HH57+(HJ57=7)*HL57+(HN57=7)*HP57+(HR57=7)*HT57+(HV57=7)*HX57)</f>
        <v/>
      </c>
      <c r="GO57">
        <f>MAX(0,ROUND(N(GL57)+N(GM57)-N(GN57),2))</f>
        <v/>
      </c>
      <c r="GP57">
        <f>N(GS56)</f>
        <v/>
      </c>
      <c r="GQ57">
        <f>IF(N(GP57)&lt;=0.005,0,ROUND(N(GP57)*N('Debt List'!E12)/12,2))</f>
        <v/>
      </c>
      <c r="GR57">
        <f>IF(N(GP57)&lt;=0.005,0,MIN(N('Debt List'!F12),N(GP57)+N(GQ57)))+((GT57=8)*GV57+(GX57=8)*GZ57+(HB57=8)*HD57+(HF57=8)*HH57+(HJ57=8)*HL57+(HN57=8)*HP57+(HR57=8)*HT57+(HV57=8)*HX57)</f>
        <v/>
      </c>
      <c r="GS57">
        <f>MAX(0,ROUND(N(GP57)+N(GQ57)-N(GR57),2))</f>
        <v/>
      </c>
      <c r="GT57">
        <f>IFERROR(MATCH(1,OrderAval,0),"")</f>
        <v/>
      </c>
      <c r="GU57">
        <f>IF(GT57="",0,IFERROR(IF(N(CHOOSE(GT57,FN57,FR57,FV57,FZ57,GD57,GH57,GL57,GP57))&lt;=0.005,0,MAX(0,N(CHOOSE(GT57,FN57,FR57,FV57,FZ57,GD57,GH57,GL57,GP57))+N(CHOOSE(GT57,FO57,FS57,FW57,GA57,GE57,GI57,GM57,GQ57))-MIN(N(CHOOSE(GT57,'Debt List'!$F$5,'Debt List'!$F$6,'Debt List'!$F$7,'Debt List'!$F$8,'Debt List'!$F$9,'Debt List'!$F$10,'Debt List'!$F$11,'Debt List'!$F$12)),N(CHOOSE(GT57,FN57,FR57,FV57,FZ57,GD57,GH57,GL57,GP57))+N(CHOOSE(GT57,FO57,FS57,FW57,GA57,GE57,GI57,GM57,GQ57))))),0))</f>
        <v/>
      </c>
      <c r="GV57">
        <f>MIN(N(GU57),MAX(0,N(ExtraPayment)))</f>
        <v/>
      </c>
      <c r="GW57">
        <f>MAX(0,N(ExtraPayment)-N(GV57))</f>
        <v/>
      </c>
      <c r="GX57">
        <f>IFERROR(MATCH(2,OrderAval,0),"")</f>
        <v/>
      </c>
      <c r="GY57">
        <f>IF(GX57="",0,IFERROR(IF(N(CHOOSE(GX57,FN57,FR57,FV57,FZ57,GD57,GH57,GL57,GP57))&lt;=0.005,0,MAX(0,N(CHOOSE(GX57,FN57,FR57,FV57,FZ57,GD57,GH57,GL57,GP57))+N(CHOOSE(GX57,FO57,FS57,FW57,GA57,GE57,GI57,GM57,GQ57))-MIN(N(CHOOSE(GX57,'Debt List'!$F$5,'Debt List'!$F$6,'Debt List'!$F$7,'Debt List'!$F$8,'Debt List'!$F$9,'Debt List'!$F$10,'Debt List'!$F$11,'Debt List'!$F$12)),N(CHOOSE(GX57,FN57,FR57,FV57,FZ57,GD57,GH57,GL57,GP57))+N(CHOOSE(GX57,FO57,FS57,FW57,GA57,GE57,GI57,GM57,GQ57))))),0))</f>
        <v/>
      </c>
      <c r="GZ57">
        <f>MIN(N(GY57),MAX(0,N(GW57)))</f>
        <v/>
      </c>
      <c r="HA57">
        <f>MAX(0,N(GW57)-N(GZ57))</f>
        <v/>
      </c>
      <c r="HB57">
        <f>IFERROR(MATCH(3,OrderAval,0),"")</f>
        <v/>
      </c>
      <c r="HC57">
        <f>IF(HB57="",0,IFERROR(IF(N(CHOOSE(HB57,FN57,FR57,FV57,FZ57,GD57,GH57,GL57,GP57))&lt;=0.005,0,MAX(0,N(CHOOSE(HB57,FN57,FR57,FV57,FZ57,GD57,GH57,GL57,GP57))+N(CHOOSE(HB57,FO57,FS57,FW57,GA57,GE57,GI57,GM57,GQ57))-MIN(N(CHOOSE(HB57,'Debt List'!$F$5,'Debt List'!$F$6,'Debt List'!$F$7,'Debt List'!$F$8,'Debt List'!$F$9,'Debt List'!$F$10,'Debt List'!$F$11,'Debt List'!$F$12)),N(CHOOSE(HB57,FN57,FR57,FV57,FZ57,GD57,GH57,GL57,GP57))+N(CHOOSE(HB57,FO57,FS57,FW57,GA57,GE57,GI57,GM57,GQ57))))),0))</f>
        <v/>
      </c>
      <c r="HD57">
        <f>MIN(N(HC57),MAX(0,N(HA57)))</f>
        <v/>
      </c>
      <c r="HE57">
        <f>MAX(0,N(HA57)-N(HD57))</f>
        <v/>
      </c>
      <c r="HF57">
        <f>IFERROR(MATCH(4,OrderAval,0),"")</f>
        <v/>
      </c>
      <c r="HG57">
        <f>IF(HF57="",0,IFERROR(IF(N(CHOOSE(HF57,FN57,FR57,FV57,FZ57,GD57,GH57,GL57,GP57))&lt;=0.005,0,MAX(0,N(CHOOSE(HF57,FN57,FR57,FV57,FZ57,GD57,GH57,GL57,GP57))+N(CHOOSE(HF57,FO57,FS57,FW57,GA57,GE57,GI57,GM57,GQ57))-MIN(N(CHOOSE(HF57,'Debt List'!$F$5,'Debt List'!$F$6,'Debt List'!$F$7,'Debt List'!$F$8,'Debt List'!$F$9,'Debt List'!$F$10,'Debt List'!$F$11,'Debt List'!$F$12)),N(CHOOSE(HF57,FN57,FR57,FV57,FZ57,GD57,GH57,GL57,GP57))+N(CHOOSE(HF57,FO57,FS57,FW57,GA57,GE57,GI57,GM57,GQ57))))),0))</f>
        <v/>
      </c>
      <c r="HH57">
        <f>MIN(N(HG57),MAX(0,N(HE57)))</f>
        <v/>
      </c>
      <c r="HI57">
        <f>MAX(0,N(HE57)-N(HH57))</f>
        <v/>
      </c>
      <c r="HJ57">
        <f>IFERROR(MATCH(5,OrderAval,0),"")</f>
        <v/>
      </c>
      <c r="HK57">
        <f>IF(HJ57="",0,IFERROR(IF(N(CHOOSE(HJ57,FN57,FR57,FV57,FZ57,GD57,GH57,GL57,GP57))&lt;=0.005,0,MAX(0,N(CHOOSE(HJ57,FN57,FR57,FV57,FZ57,GD57,GH57,GL57,GP57))+N(CHOOSE(HJ57,FO57,FS57,FW57,GA57,GE57,GI57,GM57,GQ57))-MIN(N(CHOOSE(HJ57,'Debt List'!$F$5,'Debt List'!$F$6,'Debt List'!$F$7,'Debt List'!$F$8,'Debt List'!$F$9,'Debt List'!$F$10,'Debt List'!$F$11,'Debt List'!$F$12)),N(CHOOSE(HJ57,FN57,FR57,FV57,FZ57,GD57,GH57,GL57,GP57))+N(CHOOSE(HJ57,FO57,FS57,FW57,GA57,GE57,GI57,GM57,GQ57))))),0))</f>
        <v/>
      </c>
      <c r="HL57">
        <f>MIN(N(HK57),MAX(0,N(HI57)))</f>
        <v/>
      </c>
      <c r="HM57">
        <f>MAX(0,N(HI57)-N(HL57))</f>
        <v/>
      </c>
      <c r="HN57">
        <f>IFERROR(MATCH(6,OrderAval,0),"")</f>
        <v/>
      </c>
      <c r="HO57">
        <f>IF(HN57="",0,IFERROR(IF(N(CHOOSE(HN57,FN57,FR57,FV57,FZ57,GD57,GH57,GL57,GP57))&lt;=0.005,0,MAX(0,N(CHOOSE(HN57,FN57,FR57,FV57,FZ57,GD57,GH57,GL57,GP57))+N(CHOOSE(HN57,FO57,FS57,FW57,GA57,GE57,GI57,GM57,GQ57))-MIN(N(CHOOSE(HN57,'Debt List'!$F$5,'Debt List'!$F$6,'Debt List'!$F$7,'Debt List'!$F$8,'Debt List'!$F$9,'Debt List'!$F$10,'Debt List'!$F$11,'Debt List'!$F$12)),N(CHOOSE(HN57,FN57,FR57,FV57,FZ57,GD57,GH57,GL57,GP57))+N(CHOOSE(HN57,FO57,FS57,FW57,GA57,GE57,GI57,GM57,GQ57))))),0))</f>
        <v/>
      </c>
      <c r="HP57">
        <f>MIN(N(HO57),MAX(0,N(HM57)))</f>
        <v/>
      </c>
      <c r="HQ57">
        <f>MAX(0,N(HM57)-N(HP57))</f>
        <v/>
      </c>
      <c r="HR57">
        <f>IFERROR(MATCH(7,OrderAval,0),"")</f>
        <v/>
      </c>
      <c r="HS57">
        <f>IF(HR57="",0,IFERROR(IF(N(CHOOSE(HR57,FN57,FR57,FV57,FZ57,GD57,GH57,GL57,GP57))&lt;=0.005,0,MAX(0,N(CHOOSE(HR57,FN57,FR57,FV57,FZ57,GD57,GH57,GL57,GP57))+N(CHOOSE(HR57,FO57,FS57,FW57,GA57,GE57,GI57,GM57,GQ57))-MIN(N(CHOOSE(HR57,'Debt List'!$F$5,'Debt List'!$F$6,'Debt List'!$F$7,'Debt List'!$F$8,'Debt List'!$F$9,'Debt List'!$F$10,'Debt List'!$F$11,'Debt List'!$F$12)),N(CHOOSE(HR57,FN57,FR57,FV57,FZ57,GD57,GH57,GL57,GP57))+N(CHOOSE(HR57,FO57,FS57,FW57,GA57,GE57,GI57,GM57,GQ57))))),0))</f>
        <v/>
      </c>
      <c r="HT57">
        <f>MIN(N(HS57),MAX(0,N(HQ57)))</f>
        <v/>
      </c>
      <c r="HU57">
        <f>MAX(0,N(HQ57)-N(HT57))</f>
        <v/>
      </c>
      <c r="HV57">
        <f>IFERROR(MATCH(8,OrderAval,0),"")</f>
        <v/>
      </c>
      <c r="HW57">
        <f>IF(HV57="",0,IFERROR(IF(N(CHOOSE(HV57,FN57,FR57,FV57,FZ57,GD57,GH57,GL57,GP57))&lt;=0.005,0,MAX(0,N(CHOOSE(HV57,FN57,FR57,FV57,FZ57,GD57,GH57,GL57,GP57))+N(CHOOSE(HV57,FO57,FS57,FW57,GA57,GE57,GI57,GM57,GQ57))-MIN(N(CHOOSE(HV57,'Debt List'!$F$5,'Debt List'!$F$6,'Debt List'!$F$7,'Debt List'!$F$8,'Debt List'!$F$9,'Debt List'!$F$10,'Debt List'!$F$11,'Debt List'!$F$12)),N(CHOOSE(HV57,FN57,FR57,FV57,FZ57,GD57,GH57,GL57,GP57))+N(CHOOSE(HV57,FO57,FS57,FW57,GA57,GE57,GI57,GM57,GQ57))))),0))</f>
        <v/>
      </c>
      <c r="HX57">
        <f>MIN(N(HW57),MAX(0,N(HU57)))</f>
        <v/>
      </c>
      <c r="HY57">
        <f>MAX(0,N(HU57)-N(HX57))</f>
        <v/>
      </c>
    </row>
    <row r="58">
      <c r="A58" t="n">
        <v>54</v>
      </c>
      <c r="B58" s="115">
        <f>DATE(YEAR(PlanStart),MONTH(PlanStart)+A58-1,1)</f>
        <v/>
      </c>
      <c r="C58">
        <f>IF(AND(AP58&lt;&gt;"",N(CHOOSE(AP58,J58,N58,R58,V58,Z58,AD58,AH58,AL58))&gt;0.005),INDEX(DebtNames,AP58),IF(AND(AT58&lt;&gt;"",N(CHOOSE(AT58,J58,N58,R58,V58,Z58,AD58,AH58,AL58))&gt;0.005),INDEX(DebtNames,AT58),IF(AND(AX58&lt;&gt;"",N(CHOOSE(AX58,J58,N58,R58,V58,Z58,AD58,AH58,AL58))&gt;0.005),INDEX(DebtNames,AX58),IF(AND(BB58&lt;&gt;"",N(CHOOSE(BB58,J58,N58,R58,V58,Z58,AD58,AH58,AL58))&gt;0.005),INDEX(DebtNames,BB58),IF(AND(BF58&lt;&gt;"",N(CHOOSE(BF58,J58,N58,R58,V58,Z58,AD58,AH58,AL58))&gt;0.005),INDEX(DebtNames,BF58),IF(AND(BJ58&lt;&gt;"",N(CHOOSE(BJ58,J58,N58,R58,V58,Z58,AD58,AH58,AL58))&gt;0.005),INDEX(DebtNames,BJ58),IF(AND(BN58&lt;&gt;"",N(CHOOSE(BN58,J58,N58,R58,V58,Z58,AD58,AH58,AL58))&gt;0.005),INDEX(DebtNames,BN58),IF(AND(BR58&lt;&gt;"",N(CHOOSE(BR58,J58,N58,R58,V58,Z58,AD58,AH58,AL58))&gt;0.005),INDEX(DebtNames,BR58),""))))))))</f>
        <v/>
      </c>
      <c r="D58">
        <f>N(BU58)</f>
        <v/>
      </c>
      <c r="E58">
        <f>N(L58)+N(P58)+N(T58)+N(X58)+N(AB58)+N(AF58)+N(AJ58)+N(AN58)</f>
        <v/>
      </c>
      <c r="F58">
        <f>N(K58)+N(O58)+N(S58)+N(W58)+N(AA58)+N(AE58)+N(AI58)+N(AM58)</f>
        <v/>
      </c>
      <c r="G58">
        <f>N(G57)+N(F58)</f>
        <v/>
      </c>
      <c r="H58">
        <f>N(M58)+N(Q58)+N(U58)+N(Y58)+N(AC58)+N(AG58)+N(AK58)+N(AO58)</f>
        <v/>
      </c>
      <c r="I58">
        <f>(M58&gt;0.005)*1+(Q58&gt;0.005)*1+(U58&gt;0.005)*1+(Y58&gt;0.005)*1+(AC58&gt;0.005)*1+(AG58&gt;0.005)*1+(AK58&gt;0.005)*1+(AO58&gt;0.005)*1</f>
        <v/>
      </c>
      <c r="J58">
        <f>N(M57)</f>
        <v/>
      </c>
      <c r="K58">
        <f>IF(N(J58)&lt;=0.005,0,ROUND(N(J58)*N('Debt List'!E5)/12,2))</f>
        <v/>
      </c>
      <c r="L58">
        <f>IF(N(J58)&lt;=0.005,0,MIN(N('Debt List'!F5),N(J58)+N(K58)))+((AP58=1)*AR58+(AT58=1)*AV58+(AX58=1)*AZ58+(BB58=1)*BD58+(BF58=1)*BH58+(BJ58=1)*BL58+(BN58=1)*BP58+(BR58=1)*BT58)</f>
        <v/>
      </c>
      <c r="M58">
        <f>MAX(0,ROUND(N(J58)+N(K58)-N(L58),2))</f>
        <v/>
      </c>
      <c r="N58">
        <f>N(Q57)</f>
        <v/>
      </c>
      <c r="O58">
        <f>IF(N(N58)&lt;=0.005,0,ROUND(N(N58)*N('Debt List'!E6)/12,2))</f>
        <v/>
      </c>
      <c r="P58">
        <f>IF(N(N58)&lt;=0.005,0,MIN(N('Debt List'!F6),N(N58)+N(O58)))+((AP58=2)*AR58+(AT58=2)*AV58+(AX58=2)*AZ58+(BB58=2)*BD58+(BF58=2)*BH58+(BJ58=2)*BL58+(BN58=2)*BP58+(BR58=2)*BT58)</f>
        <v/>
      </c>
      <c r="Q58">
        <f>MAX(0,ROUND(N(N58)+N(O58)-N(P58),2))</f>
        <v/>
      </c>
      <c r="R58">
        <f>N(U57)</f>
        <v/>
      </c>
      <c r="S58">
        <f>IF(N(R58)&lt;=0.005,0,ROUND(N(R58)*N('Debt List'!E7)/12,2))</f>
        <v/>
      </c>
      <c r="T58">
        <f>IF(N(R58)&lt;=0.005,0,MIN(N('Debt List'!F7),N(R58)+N(S58)))+((AP58=3)*AR58+(AT58=3)*AV58+(AX58=3)*AZ58+(BB58=3)*BD58+(BF58=3)*BH58+(BJ58=3)*BL58+(BN58=3)*BP58+(BR58=3)*BT58)</f>
        <v/>
      </c>
      <c r="U58">
        <f>MAX(0,ROUND(N(R58)+N(S58)-N(T58),2))</f>
        <v/>
      </c>
      <c r="V58">
        <f>N(Y57)</f>
        <v/>
      </c>
      <c r="W58">
        <f>IF(N(V58)&lt;=0.005,0,ROUND(N(V58)*N('Debt List'!E8)/12,2))</f>
        <v/>
      </c>
      <c r="X58">
        <f>IF(N(V58)&lt;=0.005,0,MIN(N('Debt List'!F8),N(V58)+N(W58)))+((AP58=4)*AR58+(AT58=4)*AV58+(AX58=4)*AZ58+(BB58=4)*BD58+(BF58=4)*BH58+(BJ58=4)*BL58+(BN58=4)*BP58+(BR58=4)*BT58)</f>
        <v/>
      </c>
      <c r="Y58">
        <f>MAX(0,ROUND(N(V58)+N(W58)-N(X58),2))</f>
        <v/>
      </c>
      <c r="Z58">
        <f>N(AC57)</f>
        <v/>
      </c>
      <c r="AA58">
        <f>IF(N(Z58)&lt;=0.005,0,ROUND(N(Z58)*N('Debt List'!E9)/12,2))</f>
        <v/>
      </c>
      <c r="AB58">
        <f>IF(N(Z58)&lt;=0.005,0,MIN(N('Debt List'!F9),N(Z58)+N(AA58)))+((AP58=5)*AR58+(AT58=5)*AV58+(AX58=5)*AZ58+(BB58=5)*BD58+(BF58=5)*BH58+(BJ58=5)*BL58+(BN58=5)*BP58+(BR58=5)*BT58)</f>
        <v/>
      </c>
      <c r="AC58">
        <f>MAX(0,ROUND(N(Z58)+N(AA58)-N(AB58),2))</f>
        <v/>
      </c>
      <c r="AD58">
        <f>N(AG57)</f>
        <v/>
      </c>
      <c r="AE58">
        <f>IF(N(AD58)&lt;=0.005,0,ROUND(N(AD58)*N('Debt List'!E10)/12,2))</f>
        <v/>
      </c>
      <c r="AF58">
        <f>IF(N(AD58)&lt;=0.005,0,MIN(N('Debt List'!F10),N(AD58)+N(AE58)))+((AP58=6)*AR58+(AT58=6)*AV58+(AX58=6)*AZ58+(BB58=6)*BD58+(BF58=6)*BH58+(BJ58=6)*BL58+(BN58=6)*BP58+(BR58=6)*BT58)</f>
        <v/>
      </c>
      <c r="AG58">
        <f>MAX(0,ROUND(N(AD58)+N(AE58)-N(AF58),2))</f>
        <v/>
      </c>
      <c r="AH58">
        <f>N(AK57)</f>
        <v/>
      </c>
      <c r="AI58">
        <f>IF(N(AH58)&lt;=0.005,0,ROUND(N(AH58)*N('Debt List'!E11)/12,2))</f>
        <v/>
      </c>
      <c r="AJ58">
        <f>IF(N(AH58)&lt;=0.005,0,MIN(N('Debt List'!F11),N(AH58)+N(AI58)))+((AP58=7)*AR58+(AT58=7)*AV58+(AX58=7)*AZ58+(BB58=7)*BD58+(BF58=7)*BH58+(BJ58=7)*BL58+(BN58=7)*BP58+(BR58=7)*BT58)</f>
        <v/>
      </c>
      <c r="AK58">
        <f>MAX(0,ROUND(N(AH58)+N(AI58)-N(AJ58),2))</f>
        <v/>
      </c>
      <c r="AL58">
        <f>N(AO57)</f>
        <v/>
      </c>
      <c r="AM58">
        <f>IF(N(AL58)&lt;=0.005,0,ROUND(N(AL58)*N('Debt List'!E12)/12,2))</f>
        <v/>
      </c>
      <c r="AN58">
        <f>IF(N(AL58)&lt;=0.005,0,MIN(N('Debt List'!F12),N(AL58)+N(AM58)))+((AP58=8)*AR58+(AT58=8)*AV58+(AX58=8)*AZ58+(BB58=8)*BD58+(BF58=8)*BH58+(BJ58=8)*BL58+(BN58=8)*BP58+(BR58=8)*BT58)</f>
        <v/>
      </c>
      <c r="AO58">
        <f>MAX(0,ROUND(N(AL58)+N(AM58)-N(AN58),2))</f>
        <v/>
      </c>
      <c r="AP58">
        <f>IFERROR(MATCH(1,OrderPlan,0),"")</f>
        <v/>
      </c>
      <c r="AQ58">
        <f>IF(AP58="",0,IFERROR(IF(N(CHOOSE(AP58,J58,N58,R58,V58,Z58,AD58,AH58,AL58))&lt;=0.005,0,MAX(0,N(CHOOSE(AP58,J58,N58,R58,V58,Z58,AD58,AH58,AL58))+N(CHOOSE(AP58,K58,O58,S58,W58,AA58,AE58,AI58,AM58))-MIN(N(CHOOSE(AP58,'Debt List'!$F$5,'Debt List'!$F$6,'Debt List'!$F$7,'Debt List'!$F$8,'Debt List'!$F$9,'Debt List'!$F$10,'Debt List'!$F$11,'Debt List'!$F$12)),N(CHOOSE(AP58,J58,N58,R58,V58,Z58,AD58,AH58,AL58))+N(CHOOSE(AP58,K58,O58,S58,W58,AA58,AE58,AI58,AM58))))),0))</f>
        <v/>
      </c>
      <c r="AR58">
        <f>MIN(N(AQ58),MAX(0,N(ExtraPayment)))</f>
        <v/>
      </c>
      <c r="AS58">
        <f>MAX(0,N(ExtraPayment)-N(AR58))</f>
        <v/>
      </c>
      <c r="AT58">
        <f>IFERROR(MATCH(2,OrderPlan,0),"")</f>
        <v/>
      </c>
      <c r="AU58">
        <f>IF(AT58="",0,IFERROR(IF(N(CHOOSE(AT58,J58,N58,R58,V58,Z58,AD58,AH58,AL58))&lt;=0.005,0,MAX(0,N(CHOOSE(AT58,J58,N58,R58,V58,Z58,AD58,AH58,AL58))+N(CHOOSE(AT58,K58,O58,S58,W58,AA58,AE58,AI58,AM58))-MIN(N(CHOOSE(AT58,'Debt List'!$F$5,'Debt List'!$F$6,'Debt List'!$F$7,'Debt List'!$F$8,'Debt List'!$F$9,'Debt List'!$F$10,'Debt List'!$F$11,'Debt List'!$F$12)),N(CHOOSE(AT58,J58,N58,R58,V58,Z58,AD58,AH58,AL58))+N(CHOOSE(AT58,K58,O58,S58,W58,AA58,AE58,AI58,AM58))))),0))</f>
        <v/>
      </c>
      <c r="AV58">
        <f>MIN(N(AU58),MAX(0,N(AS58)))</f>
        <v/>
      </c>
      <c r="AW58">
        <f>MAX(0,N(AS58)-N(AV58))</f>
        <v/>
      </c>
      <c r="AX58">
        <f>IFERROR(MATCH(3,OrderPlan,0),"")</f>
        <v/>
      </c>
      <c r="AY58">
        <f>IF(AX58="",0,IFERROR(IF(N(CHOOSE(AX58,J58,N58,R58,V58,Z58,AD58,AH58,AL58))&lt;=0.005,0,MAX(0,N(CHOOSE(AX58,J58,N58,R58,V58,Z58,AD58,AH58,AL58))+N(CHOOSE(AX58,K58,O58,S58,W58,AA58,AE58,AI58,AM58))-MIN(N(CHOOSE(AX58,'Debt List'!$F$5,'Debt List'!$F$6,'Debt List'!$F$7,'Debt List'!$F$8,'Debt List'!$F$9,'Debt List'!$F$10,'Debt List'!$F$11,'Debt List'!$F$12)),N(CHOOSE(AX58,J58,N58,R58,V58,Z58,AD58,AH58,AL58))+N(CHOOSE(AX58,K58,O58,S58,W58,AA58,AE58,AI58,AM58))))),0))</f>
        <v/>
      </c>
      <c r="AZ58">
        <f>MIN(N(AY58),MAX(0,N(AW58)))</f>
        <v/>
      </c>
      <c r="BA58">
        <f>MAX(0,N(AW58)-N(AZ58))</f>
        <v/>
      </c>
      <c r="BB58">
        <f>IFERROR(MATCH(4,OrderPlan,0),"")</f>
        <v/>
      </c>
      <c r="BC58">
        <f>IF(BB58="",0,IFERROR(IF(N(CHOOSE(BB58,J58,N58,R58,V58,Z58,AD58,AH58,AL58))&lt;=0.005,0,MAX(0,N(CHOOSE(BB58,J58,N58,R58,V58,Z58,AD58,AH58,AL58))+N(CHOOSE(BB58,K58,O58,S58,W58,AA58,AE58,AI58,AM58))-MIN(N(CHOOSE(BB58,'Debt List'!$F$5,'Debt List'!$F$6,'Debt List'!$F$7,'Debt List'!$F$8,'Debt List'!$F$9,'Debt List'!$F$10,'Debt List'!$F$11,'Debt List'!$F$12)),N(CHOOSE(BB58,J58,N58,R58,V58,Z58,AD58,AH58,AL58))+N(CHOOSE(BB58,K58,O58,S58,W58,AA58,AE58,AI58,AM58))))),0))</f>
        <v/>
      </c>
      <c r="BD58">
        <f>MIN(N(BC58),MAX(0,N(BA58)))</f>
        <v/>
      </c>
      <c r="BE58">
        <f>MAX(0,N(BA58)-N(BD58))</f>
        <v/>
      </c>
      <c r="BF58">
        <f>IFERROR(MATCH(5,OrderPlan,0),"")</f>
        <v/>
      </c>
      <c r="BG58">
        <f>IF(BF58="",0,IFERROR(IF(N(CHOOSE(BF58,J58,N58,R58,V58,Z58,AD58,AH58,AL58))&lt;=0.005,0,MAX(0,N(CHOOSE(BF58,J58,N58,R58,V58,Z58,AD58,AH58,AL58))+N(CHOOSE(BF58,K58,O58,S58,W58,AA58,AE58,AI58,AM58))-MIN(N(CHOOSE(BF58,'Debt List'!$F$5,'Debt List'!$F$6,'Debt List'!$F$7,'Debt List'!$F$8,'Debt List'!$F$9,'Debt List'!$F$10,'Debt List'!$F$11,'Debt List'!$F$12)),N(CHOOSE(BF58,J58,N58,R58,V58,Z58,AD58,AH58,AL58))+N(CHOOSE(BF58,K58,O58,S58,W58,AA58,AE58,AI58,AM58))))),0))</f>
        <v/>
      </c>
      <c r="BH58">
        <f>MIN(N(BG58),MAX(0,N(BE58)))</f>
        <v/>
      </c>
      <c r="BI58">
        <f>MAX(0,N(BE58)-N(BH58))</f>
        <v/>
      </c>
      <c r="BJ58">
        <f>IFERROR(MATCH(6,OrderPlan,0),"")</f>
        <v/>
      </c>
      <c r="BK58">
        <f>IF(BJ58="",0,IFERROR(IF(N(CHOOSE(BJ58,J58,N58,R58,V58,Z58,AD58,AH58,AL58))&lt;=0.005,0,MAX(0,N(CHOOSE(BJ58,J58,N58,R58,V58,Z58,AD58,AH58,AL58))+N(CHOOSE(BJ58,K58,O58,S58,W58,AA58,AE58,AI58,AM58))-MIN(N(CHOOSE(BJ58,'Debt List'!$F$5,'Debt List'!$F$6,'Debt List'!$F$7,'Debt List'!$F$8,'Debt List'!$F$9,'Debt List'!$F$10,'Debt List'!$F$11,'Debt List'!$F$12)),N(CHOOSE(BJ58,J58,N58,R58,V58,Z58,AD58,AH58,AL58))+N(CHOOSE(BJ58,K58,O58,S58,W58,AA58,AE58,AI58,AM58))))),0))</f>
        <v/>
      </c>
      <c r="BL58">
        <f>MIN(N(BK58),MAX(0,N(BI58)))</f>
        <v/>
      </c>
      <c r="BM58">
        <f>MAX(0,N(BI58)-N(BL58))</f>
        <v/>
      </c>
      <c r="BN58">
        <f>IFERROR(MATCH(7,OrderPlan,0),"")</f>
        <v/>
      </c>
      <c r="BO58">
        <f>IF(BN58="",0,IFERROR(IF(N(CHOOSE(BN58,J58,N58,R58,V58,Z58,AD58,AH58,AL58))&lt;=0.005,0,MAX(0,N(CHOOSE(BN58,J58,N58,R58,V58,Z58,AD58,AH58,AL58))+N(CHOOSE(BN58,K58,O58,S58,W58,AA58,AE58,AI58,AM58))-MIN(N(CHOOSE(BN58,'Debt List'!$F$5,'Debt List'!$F$6,'Debt List'!$F$7,'Debt List'!$F$8,'Debt List'!$F$9,'Debt List'!$F$10,'Debt List'!$F$11,'Debt List'!$F$12)),N(CHOOSE(BN58,J58,N58,R58,V58,Z58,AD58,AH58,AL58))+N(CHOOSE(BN58,K58,O58,S58,W58,AA58,AE58,AI58,AM58))))),0))</f>
        <v/>
      </c>
      <c r="BP58">
        <f>MIN(N(BO58),MAX(0,N(BM58)))</f>
        <v/>
      </c>
      <c r="BQ58">
        <f>MAX(0,N(BM58)-N(BP58))</f>
        <v/>
      </c>
      <c r="BR58">
        <f>IFERROR(MATCH(8,OrderPlan,0),"")</f>
        <v/>
      </c>
      <c r="BS58">
        <f>IF(BR58="",0,IFERROR(IF(N(CHOOSE(BR58,J58,N58,R58,V58,Z58,AD58,AH58,AL58))&lt;=0.005,0,MAX(0,N(CHOOSE(BR58,J58,N58,R58,V58,Z58,AD58,AH58,AL58))+N(CHOOSE(BR58,K58,O58,S58,W58,AA58,AE58,AI58,AM58))-MIN(N(CHOOSE(BR58,'Debt List'!$F$5,'Debt List'!$F$6,'Debt List'!$F$7,'Debt List'!$F$8,'Debt List'!$F$9,'Debt List'!$F$10,'Debt List'!$F$11,'Debt List'!$F$12)),N(CHOOSE(BR58,J58,N58,R58,V58,Z58,AD58,AH58,AL58))+N(CHOOSE(BR58,K58,O58,S58,W58,AA58,AE58,AI58,AM58))))),0))</f>
        <v/>
      </c>
      <c r="BT58">
        <f>MIN(N(BS58),MAX(0,N(BQ58)))</f>
        <v/>
      </c>
      <c r="BU58">
        <f>MAX(0,N(BQ58)-N(BT58))</f>
        <v/>
      </c>
      <c r="CC58" t="n">
        <v>54</v>
      </c>
      <c r="CD58" s="115">
        <f>DATE(YEAR(PlanStart),MONTH(PlanStart)+CC58-1,1)</f>
        <v/>
      </c>
      <c r="CE58">
        <f>IF(AND(DR58&lt;&gt;"",N(CHOOSE(DR58,CL58,CP58,CT58,CX58,DB58,DF58,DJ58,DN58))&gt;0.005),INDEX(DebtNames,DR58),IF(AND(DV58&lt;&gt;"",N(CHOOSE(DV58,CL58,CP58,CT58,CX58,DB58,DF58,DJ58,DN58))&gt;0.005),INDEX(DebtNames,DV58),IF(AND(DZ58&lt;&gt;"",N(CHOOSE(DZ58,CL58,CP58,CT58,CX58,DB58,DF58,DJ58,DN58))&gt;0.005),INDEX(DebtNames,DZ58),IF(AND(ED58&lt;&gt;"",N(CHOOSE(ED58,CL58,CP58,CT58,CX58,DB58,DF58,DJ58,DN58))&gt;0.005),INDEX(DebtNames,ED58),IF(AND(EH58&lt;&gt;"",N(CHOOSE(EH58,CL58,CP58,CT58,CX58,DB58,DF58,DJ58,DN58))&gt;0.005),INDEX(DebtNames,EH58),IF(AND(EL58&lt;&gt;"",N(CHOOSE(EL58,CL58,CP58,CT58,CX58,DB58,DF58,DJ58,DN58))&gt;0.005),INDEX(DebtNames,EL58),IF(AND(EP58&lt;&gt;"",N(CHOOSE(EP58,CL58,CP58,CT58,CX58,DB58,DF58,DJ58,DN58))&gt;0.005),INDEX(DebtNames,EP58),IF(AND(ET58&lt;&gt;"",N(CHOOSE(ET58,CL58,CP58,CT58,CX58,DB58,DF58,DJ58,DN58))&gt;0.005),INDEX(DebtNames,ET58),""))))))))</f>
        <v/>
      </c>
      <c r="CF58">
        <f>N(EW58)</f>
        <v/>
      </c>
      <c r="CG58">
        <f>N(CN58)+N(CR58)+N(CV58)+N(CZ58)+N(DD58)+N(DH58)+N(DL58)+N(DP58)</f>
        <v/>
      </c>
      <c r="CH58">
        <f>N(CM58)+N(CQ58)+N(CU58)+N(CY58)+N(DC58)+N(DG58)+N(DK58)+N(DO58)</f>
        <v/>
      </c>
      <c r="CI58">
        <f>N(CI57)+N(CH58)</f>
        <v/>
      </c>
      <c r="CJ58">
        <f>N(CO58)+N(CS58)+N(CW58)+N(DA58)+N(DE58)+N(DI58)+N(DM58)+N(DQ58)</f>
        <v/>
      </c>
      <c r="CK58">
        <f>(CO58&gt;0.005)*1+(CS58&gt;0.005)*1+(CW58&gt;0.005)*1+(DA58&gt;0.005)*1+(DE58&gt;0.005)*1+(DI58&gt;0.005)*1+(DM58&gt;0.005)*1+(DQ58&gt;0.005)*1</f>
        <v/>
      </c>
      <c r="CL58">
        <f>N(CO57)</f>
        <v/>
      </c>
      <c r="CM58">
        <f>IF(N(CL58)&lt;=0.005,0,ROUND(N(CL58)*N('Debt List'!E5)/12,2))</f>
        <v/>
      </c>
      <c r="CN58">
        <f>IF(N(CL58)&lt;=0.005,0,MIN(N('Debt List'!F5),N(CL58)+N(CM58)))+((DR58=1)*DT58+(DV58=1)*DX58+(DZ58=1)*EB58+(ED58=1)*EF58+(EH58=1)*EJ58+(EL58=1)*EN58+(EP58=1)*ER58+(ET58=1)*EV58)</f>
        <v/>
      </c>
      <c r="CO58">
        <f>MAX(0,ROUND(N(CL58)+N(CM58)-N(CN58),2))</f>
        <v/>
      </c>
      <c r="CP58">
        <f>N(CS57)</f>
        <v/>
      </c>
      <c r="CQ58">
        <f>IF(N(CP58)&lt;=0.005,0,ROUND(N(CP58)*N('Debt List'!E6)/12,2))</f>
        <v/>
      </c>
      <c r="CR58">
        <f>IF(N(CP58)&lt;=0.005,0,MIN(N('Debt List'!F6),N(CP58)+N(CQ58)))+((DR58=2)*DT58+(DV58=2)*DX58+(DZ58=2)*EB58+(ED58=2)*EF58+(EH58=2)*EJ58+(EL58=2)*EN58+(EP58=2)*ER58+(ET58=2)*EV58)</f>
        <v/>
      </c>
      <c r="CS58">
        <f>MAX(0,ROUND(N(CP58)+N(CQ58)-N(CR58),2))</f>
        <v/>
      </c>
      <c r="CT58">
        <f>N(CW57)</f>
        <v/>
      </c>
      <c r="CU58">
        <f>IF(N(CT58)&lt;=0.005,0,ROUND(N(CT58)*N('Debt List'!E7)/12,2))</f>
        <v/>
      </c>
      <c r="CV58">
        <f>IF(N(CT58)&lt;=0.005,0,MIN(N('Debt List'!F7),N(CT58)+N(CU58)))+((DR58=3)*DT58+(DV58=3)*DX58+(DZ58=3)*EB58+(ED58=3)*EF58+(EH58=3)*EJ58+(EL58=3)*EN58+(EP58=3)*ER58+(ET58=3)*EV58)</f>
        <v/>
      </c>
      <c r="CW58">
        <f>MAX(0,ROUND(N(CT58)+N(CU58)-N(CV58),2))</f>
        <v/>
      </c>
      <c r="CX58">
        <f>N(DA57)</f>
        <v/>
      </c>
      <c r="CY58">
        <f>IF(N(CX58)&lt;=0.005,0,ROUND(N(CX58)*N('Debt List'!E8)/12,2))</f>
        <v/>
      </c>
      <c r="CZ58">
        <f>IF(N(CX58)&lt;=0.005,0,MIN(N('Debt List'!F8),N(CX58)+N(CY58)))+((DR58=4)*DT58+(DV58=4)*DX58+(DZ58=4)*EB58+(ED58=4)*EF58+(EH58=4)*EJ58+(EL58=4)*EN58+(EP58=4)*ER58+(ET58=4)*EV58)</f>
        <v/>
      </c>
      <c r="DA58">
        <f>MAX(0,ROUND(N(CX58)+N(CY58)-N(CZ58),2))</f>
        <v/>
      </c>
      <c r="DB58">
        <f>N(DE57)</f>
        <v/>
      </c>
      <c r="DC58">
        <f>IF(N(DB58)&lt;=0.005,0,ROUND(N(DB58)*N('Debt List'!E9)/12,2))</f>
        <v/>
      </c>
      <c r="DD58">
        <f>IF(N(DB58)&lt;=0.005,0,MIN(N('Debt List'!F9),N(DB58)+N(DC58)))+((DR58=5)*DT58+(DV58=5)*DX58+(DZ58=5)*EB58+(ED58=5)*EF58+(EH58=5)*EJ58+(EL58=5)*EN58+(EP58=5)*ER58+(ET58=5)*EV58)</f>
        <v/>
      </c>
      <c r="DE58">
        <f>MAX(0,ROUND(N(DB58)+N(DC58)-N(DD58),2))</f>
        <v/>
      </c>
      <c r="DF58">
        <f>N(DI57)</f>
        <v/>
      </c>
      <c r="DG58">
        <f>IF(N(DF58)&lt;=0.005,0,ROUND(N(DF58)*N('Debt List'!E10)/12,2))</f>
        <v/>
      </c>
      <c r="DH58">
        <f>IF(N(DF58)&lt;=0.005,0,MIN(N('Debt List'!F10),N(DF58)+N(DG58)))+((DR58=6)*DT58+(DV58=6)*DX58+(DZ58=6)*EB58+(ED58=6)*EF58+(EH58=6)*EJ58+(EL58=6)*EN58+(EP58=6)*ER58+(ET58=6)*EV58)</f>
        <v/>
      </c>
      <c r="DI58">
        <f>MAX(0,ROUND(N(DF58)+N(DG58)-N(DH58),2))</f>
        <v/>
      </c>
      <c r="DJ58">
        <f>N(DM57)</f>
        <v/>
      </c>
      <c r="DK58">
        <f>IF(N(DJ58)&lt;=0.005,0,ROUND(N(DJ58)*N('Debt List'!E11)/12,2))</f>
        <v/>
      </c>
      <c r="DL58">
        <f>IF(N(DJ58)&lt;=0.005,0,MIN(N('Debt List'!F11),N(DJ58)+N(DK58)))+((DR58=7)*DT58+(DV58=7)*DX58+(DZ58=7)*EB58+(ED58=7)*EF58+(EH58=7)*EJ58+(EL58=7)*EN58+(EP58=7)*ER58+(ET58=7)*EV58)</f>
        <v/>
      </c>
      <c r="DM58">
        <f>MAX(0,ROUND(N(DJ58)+N(DK58)-N(DL58),2))</f>
        <v/>
      </c>
      <c r="DN58">
        <f>N(DQ57)</f>
        <v/>
      </c>
      <c r="DO58">
        <f>IF(N(DN58)&lt;=0.005,0,ROUND(N(DN58)*N('Debt List'!E12)/12,2))</f>
        <v/>
      </c>
      <c r="DP58">
        <f>IF(N(DN58)&lt;=0.005,0,MIN(N('Debt List'!F12),N(DN58)+N(DO58)))+((DR58=8)*DT58+(DV58=8)*DX58+(DZ58=8)*EB58+(ED58=8)*EF58+(EH58=8)*EJ58+(EL58=8)*EN58+(EP58=8)*ER58+(ET58=8)*EV58)</f>
        <v/>
      </c>
      <c r="DQ58">
        <f>MAX(0,ROUND(N(DN58)+N(DO58)-N(DP58),2))</f>
        <v/>
      </c>
      <c r="DR58">
        <f>IFERROR(MATCH(1,OrderSnow,0),"")</f>
        <v/>
      </c>
      <c r="DS58">
        <f>IF(DR58="",0,IFERROR(IF(N(CHOOSE(DR58,CL58,CP58,CT58,CX58,DB58,DF58,DJ58,DN58))&lt;=0.005,0,MAX(0,N(CHOOSE(DR58,CL58,CP58,CT58,CX58,DB58,DF58,DJ58,DN58))+N(CHOOSE(DR58,CM58,CQ58,CU58,CY58,DC58,DG58,DK58,DO58))-MIN(N(CHOOSE(DR58,'Debt List'!$F$5,'Debt List'!$F$6,'Debt List'!$F$7,'Debt List'!$F$8,'Debt List'!$F$9,'Debt List'!$F$10,'Debt List'!$F$11,'Debt List'!$F$12)),N(CHOOSE(DR58,CL58,CP58,CT58,CX58,DB58,DF58,DJ58,DN58))+N(CHOOSE(DR58,CM58,CQ58,CU58,CY58,DC58,DG58,DK58,DO58))))),0))</f>
        <v/>
      </c>
      <c r="DT58">
        <f>MIN(N(DS58),MAX(0,N(ExtraPayment)))</f>
        <v/>
      </c>
      <c r="DU58">
        <f>MAX(0,N(ExtraPayment)-N(DT58))</f>
        <v/>
      </c>
      <c r="DV58">
        <f>IFERROR(MATCH(2,OrderSnow,0),"")</f>
        <v/>
      </c>
      <c r="DW58">
        <f>IF(DV58="",0,IFERROR(IF(N(CHOOSE(DV58,CL58,CP58,CT58,CX58,DB58,DF58,DJ58,DN58))&lt;=0.005,0,MAX(0,N(CHOOSE(DV58,CL58,CP58,CT58,CX58,DB58,DF58,DJ58,DN58))+N(CHOOSE(DV58,CM58,CQ58,CU58,CY58,DC58,DG58,DK58,DO58))-MIN(N(CHOOSE(DV58,'Debt List'!$F$5,'Debt List'!$F$6,'Debt List'!$F$7,'Debt List'!$F$8,'Debt List'!$F$9,'Debt List'!$F$10,'Debt List'!$F$11,'Debt List'!$F$12)),N(CHOOSE(DV58,CL58,CP58,CT58,CX58,DB58,DF58,DJ58,DN58))+N(CHOOSE(DV58,CM58,CQ58,CU58,CY58,DC58,DG58,DK58,DO58))))),0))</f>
        <v/>
      </c>
      <c r="DX58">
        <f>MIN(N(DW58),MAX(0,N(DU58)))</f>
        <v/>
      </c>
      <c r="DY58">
        <f>MAX(0,N(DU58)-N(DX58))</f>
        <v/>
      </c>
      <c r="DZ58">
        <f>IFERROR(MATCH(3,OrderSnow,0),"")</f>
        <v/>
      </c>
      <c r="EA58">
        <f>IF(DZ58="",0,IFERROR(IF(N(CHOOSE(DZ58,CL58,CP58,CT58,CX58,DB58,DF58,DJ58,DN58))&lt;=0.005,0,MAX(0,N(CHOOSE(DZ58,CL58,CP58,CT58,CX58,DB58,DF58,DJ58,DN58))+N(CHOOSE(DZ58,CM58,CQ58,CU58,CY58,DC58,DG58,DK58,DO58))-MIN(N(CHOOSE(DZ58,'Debt List'!$F$5,'Debt List'!$F$6,'Debt List'!$F$7,'Debt List'!$F$8,'Debt List'!$F$9,'Debt List'!$F$10,'Debt List'!$F$11,'Debt List'!$F$12)),N(CHOOSE(DZ58,CL58,CP58,CT58,CX58,DB58,DF58,DJ58,DN58))+N(CHOOSE(DZ58,CM58,CQ58,CU58,CY58,DC58,DG58,DK58,DO58))))),0))</f>
        <v/>
      </c>
      <c r="EB58">
        <f>MIN(N(EA58),MAX(0,N(DY58)))</f>
        <v/>
      </c>
      <c r="EC58">
        <f>MAX(0,N(DY58)-N(EB58))</f>
        <v/>
      </c>
      <c r="ED58">
        <f>IFERROR(MATCH(4,OrderSnow,0),"")</f>
        <v/>
      </c>
      <c r="EE58">
        <f>IF(ED58="",0,IFERROR(IF(N(CHOOSE(ED58,CL58,CP58,CT58,CX58,DB58,DF58,DJ58,DN58))&lt;=0.005,0,MAX(0,N(CHOOSE(ED58,CL58,CP58,CT58,CX58,DB58,DF58,DJ58,DN58))+N(CHOOSE(ED58,CM58,CQ58,CU58,CY58,DC58,DG58,DK58,DO58))-MIN(N(CHOOSE(ED58,'Debt List'!$F$5,'Debt List'!$F$6,'Debt List'!$F$7,'Debt List'!$F$8,'Debt List'!$F$9,'Debt List'!$F$10,'Debt List'!$F$11,'Debt List'!$F$12)),N(CHOOSE(ED58,CL58,CP58,CT58,CX58,DB58,DF58,DJ58,DN58))+N(CHOOSE(ED58,CM58,CQ58,CU58,CY58,DC58,DG58,DK58,DO58))))),0))</f>
        <v/>
      </c>
      <c r="EF58">
        <f>MIN(N(EE58),MAX(0,N(EC58)))</f>
        <v/>
      </c>
      <c r="EG58">
        <f>MAX(0,N(EC58)-N(EF58))</f>
        <v/>
      </c>
      <c r="EH58">
        <f>IFERROR(MATCH(5,OrderSnow,0),"")</f>
        <v/>
      </c>
      <c r="EI58">
        <f>IF(EH58="",0,IFERROR(IF(N(CHOOSE(EH58,CL58,CP58,CT58,CX58,DB58,DF58,DJ58,DN58))&lt;=0.005,0,MAX(0,N(CHOOSE(EH58,CL58,CP58,CT58,CX58,DB58,DF58,DJ58,DN58))+N(CHOOSE(EH58,CM58,CQ58,CU58,CY58,DC58,DG58,DK58,DO58))-MIN(N(CHOOSE(EH58,'Debt List'!$F$5,'Debt List'!$F$6,'Debt List'!$F$7,'Debt List'!$F$8,'Debt List'!$F$9,'Debt List'!$F$10,'Debt List'!$F$11,'Debt List'!$F$12)),N(CHOOSE(EH58,CL58,CP58,CT58,CX58,DB58,DF58,DJ58,DN58))+N(CHOOSE(EH58,CM58,CQ58,CU58,CY58,DC58,DG58,DK58,DO58))))),0))</f>
        <v/>
      </c>
      <c r="EJ58">
        <f>MIN(N(EI58),MAX(0,N(EG58)))</f>
        <v/>
      </c>
      <c r="EK58">
        <f>MAX(0,N(EG58)-N(EJ58))</f>
        <v/>
      </c>
      <c r="EL58">
        <f>IFERROR(MATCH(6,OrderSnow,0),"")</f>
        <v/>
      </c>
      <c r="EM58">
        <f>IF(EL58="",0,IFERROR(IF(N(CHOOSE(EL58,CL58,CP58,CT58,CX58,DB58,DF58,DJ58,DN58))&lt;=0.005,0,MAX(0,N(CHOOSE(EL58,CL58,CP58,CT58,CX58,DB58,DF58,DJ58,DN58))+N(CHOOSE(EL58,CM58,CQ58,CU58,CY58,DC58,DG58,DK58,DO58))-MIN(N(CHOOSE(EL58,'Debt List'!$F$5,'Debt List'!$F$6,'Debt List'!$F$7,'Debt List'!$F$8,'Debt List'!$F$9,'Debt List'!$F$10,'Debt List'!$F$11,'Debt List'!$F$12)),N(CHOOSE(EL58,CL58,CP58,CT58,CX58,DB58,DF58,DJ58,DN58))+N(CHOOSE(EL58,CM58,CQ58,CU58,CY58,DC58,DG58,DK58,DO58))))),0))</f>
        <v/>
      </c>
      <c r="EN58">
        <f>MIN(N(EM58),MAX(0,N(EK58)))</f>
        <v/>
      </c>
      <c r="EO58">
        <f>MAX(0,N(EK58)-N(EN58))</f>
        <v/>
      </c>
      <c r="EP58">
        <f>IFERROR(MATCH(7,OrderSnow,0),"")</f>
        <v/>
      </c>
      <c r="EQ58">
        <f>IF(EP58="",0,IFERROR(IF(N(CHOOSE(EP58,CL58,CP58,CT58,CX58,DB58,DF58,DJ58,DN58))&lt;=0.005,0,MAX(0,N(CHOOSE(EP58,CL58,CP58,CT58,CX58,DB58,DF58,DJ58,DN58))+N(CHOOSE(EP58,CM58,CQ58,CU58,CY58,DC58,DG58,DK58,DO58))-MIN(N(CHOOSE(EP58,'Debt List'!$F$5,'Debt List'!$F$6,'Debt List'!$F$7,'Debt List'!$F$8,'Debt List'!$F$9,'Debt List'!$F$10,'Debt List'!$F$11,'Debt List'!$F$12)),N(CHOOSE(EP58,CL58,CP58,CT58,CX58,DB58,DF58,DJ58,DN58))+N(CHOOSE(EP58,CM58,CQ58,CU58,CY58,DC58,DG58,DK58,DO58))))),0))</f>
        <v/>
      </c>
      <c r="ER58">
        <f>MIN(N(EQ58),MAX(0,N(EO58)))</f>
        <v/>
      </c>
      <c r="ES58">
        <f>MAX(0,N(EO58)-N(ER58))</f>
        <v/>
      </c>
      <c r="ET58">
        <f>IFERROR(MATCH(8,OrderSnow,0),"")</f>
        <v/>
      </c>
      <c r="EU58">
        <f>IF(ET58="",0,IFERROR(IF(N(CHOOSE(ET58,CL58,CP58,CT58,CX58,DB58,DF58,DJ58,DN58))&lt;=0.005,0,MAX(0,N(CHOOSE(ET58,CL58,CP58,CT58,CX58,DB58,DF58,DJ58,DN58))+N(CHOOSE(ET58,CM58,CQ58,CU58,CY58,DC58,DG58,DK58,DO58))-MIN(N(CHOOSE(ET58,'Debt List'!$F$5,'Debt List'!$F$6,'Debt List'!$F$7,'Debt List'!$F$8,'Debt List'!$F$9,'Debt List'!$F$10,'Debt List'!$F$11,'Debt List'!$F$12)),N(CHOOSE(ET58,CL58,CP58,CT58,CX58,DB58,DF58,DJ58,DN58))+N(CHOOSE(ET58,CM58,CQ58,CU58,CY58,DC58,DG58,DK58,DO58))))),0))</f>
        <v/>
      </c>
      <c r="EV58">
        <f>MIN(N(EU58),MAX(0,N(ES58)))</f>
        <v/>
      </c>
      <c r="EW58">
        <f>MAX(0,N(ES58)-N(EV58))</f>
        <v/>
      </c>
      <c r="FE58" t="n">
        <v>54</v>
      </c>
      <c r="FF58" s="115">
        <f>DATE(YEAR(PlanStart),MONTH(PlanStart)+FE58-1,1)</f>
        <v/>
      </c>
      <c r="FG58">
        <f>IF(AND(GT58&lt;&gt;"",N(CHOOSE(GT58,FN58,FR58,FV58,FZ58,GD58,GH58,GL58,GP58))&gt;0.005),INDEX(DebtNames,GT58),IF(AND(GX58&lt;&gt;"",N(CHOOSE(GX58,FN58,FR58,FV58,FZ58,GD58,GH58,GL58,GP58))&gt;0.005),INDEX(DebtNames,GX58),IF(AND(HB58&lt;&gt;"",N(CHOOSE(HB58,FN58,FR58,FV58,FZ58,GD58,GH58,GL58,GP58))&gt;0.005),INDEX(DebtNames,HB58),IF(AND(HF58&lt;&gt;"",N(CHOOSE(HF58,FN58,FR58,FV58,FZ58,GD58,GH58,GL58,GP58))&gt;0.005),INDEX(DebtNames,HF58),IF(AND(HJ58&lt;&gt;"",N(CHOOSE(HJ58,FN58,FR58,FV58,FZ58,GD58,GH58,GL58,GP58))&gt;0.005),INDEX(DebtNames,HJ58),IF(AND(HN58&lt;&gt;"",N(CHOOSE(HN58,FN58,FR58,FV58,FZ58,GD58,GH58,GL58,GP58))&gt;0.005),INDEX(DebtNames,HN58),IF(AND(HR58&lt;&gt;"",N(CHOOSE(HR58,FN58,FR58,FV58,FZ58,GD58,GH58,GL58,GP58))&gt;0.005),INDEX(DebtNames,HR58),IF(AND(HV58&lt;&gt;"",N(CHOOSE(HV58,FN58,FR58,FV58,FZ58,GD58,GH58,GL58,GP58))&gt;0.005),INDEX(DebtNames,HV58),""))))))))</f>
        <v/>
      </c>
      <c r="FH58">
        <f>N(HY58)</f>
        <v/>
      </c>
      <c r="FI58">
        <f>N(FP58)+N(FT58)+N(FX58)+N(GB58)+N(GF58)+N(GJ58)+N(GN58)+N(GR58)</f>
        <v/>
      </c>
      <c r="FJ58">
        <f>N(FO58)+N(FS58)+N(FW58)+N(GA58)+N(GE58)+N(GI58)+N(GM58)+N(GQ58)</f>
        <v/>
      </c>
      <c r="FK58">
        <f>N(FK57)+N(FJ58)</f>
        <v/>
      </c>
      <c r="FL58">
        <f>N(FQ58)+N(FU58)+N(FY58)+N(GC58)+N(GG58)+N(GK58)+N(GO58)+N(GS58)</f>
        <v/>
      </c>
      <c r="FM58">
        <f>(FQ58&gt;0.005)*1+(FU58&gt;0.005)*1+(FY58&gt;0.005)*1+(GC58&gt;0.005)*1+(GG58&gt;0.005)*1+(GK58&gt;0.005)*1+(GO58&gt;0.005)*1+(GS58&gt;0.005)*1</f>
        <v/>
      </c>
      <c r="FN58">
        <f>N(FQ57)</f>
        <v/>
      </c>
      <c r="FO58">
        <f>IF(N(FN58)&lt;=0.005,0,ROUND(N(FN58)*N('Debt List'!E5)/12,2))</f>
        <v/>
      </c>
      <c r="FP58">
        <f>IF(N(FN58)&lt;=0.005,0,MIN(N('Debt List'!F5),N(FN58)+N(FO58)))+((GT58=1)*GV58+(GX58=1)*GZ58+(HB58=1)*HD58+(HF58=1)*HH58+(HJ58=1)*HL58+(HN58=1)*HP58+(HR58=1)*HT58+(HV58=1)*HX58)</f>
        <v/>
      </c>
      <c r="FQ58">
        <f>MAX(0,ROUND(N(FN58)+N(FO58)-N(FP58),2))</f>
        <v/>
      </c>
      <c r="FR58">
        <f>N(FU57)</f>
        <v/>
      </c>
      <c r="FS58">
        <f>IF(N(FR58)&lt;=0.005,0,ROUND(N(FR58)*N('Debt List'!E6)/12,2))</f>
        <v/>
      </c>
      <c r="FT58">
        <f>IF(N(FR58)&lt;=0.005,0,MIN(N('Debt List'!F6),N(FR58)+N(FS58)))+((GT58=2)*GV58+(GX58=2)*GZ58+(HB58=2)*HD58+(HF58=2)*HH58+(HJ58=2)*HL58+(HN58=2)*HP58+(HR58=2)*HT58+(HV58=2)*HX58)</f>
        <v/>
      </c>
      <c r="FU58">
        <f>MAX(0,ROUND(N(FR58)+N(FS58)-N(FT58),2))</f>
        <v/>
      </c>
      <c r="FV58">
        <f>N(FY57)</f>
        <v/>
      </c>
      <c r="FW58">
        <f>IF(N(FV58)&lt;=0.005,0,ROUND(N(FV58)*N('Debt List'!E7)/12,2))</f>
        <v/>
      </c>
      <c r="FX58">
        <f>IF(N(FV58)&lt;=0.005,0,MIN(N('Debt List'!F7),N(FV58)+N(FW58)))+((GT58=3)*GV58+(GX58=3)*GZ58+(HB58=3)*HD58+(HF58=3)*HH58+(HJ58=3)*HL58+(HN58=3)*HP58+(HR58=3)*HT58+(HV58=3)*HX58)</f>
        <v/>
      </c>
      <c r="FY58">
        <f>MAX(0,ROUND(N(FV58)+N(FW58)-N(FX58),2))</f>
        <v/>
      </c>
      <c r="FZ58">
        <f>N(GC57)</f>
        <v/>
      </c>
      <c r="GA58">
        <f>IF(N(FZ58)&lt;=0.005,0,ROUND(N(FZ58)*N('Debt List'!E8)/12,2))</f>
        <v/>
      </c>
      <c r="GB58">
        <f>IF(N(FZ58)&lt;=0.005,0,MIN(N('Debt List'!F8),N(FZ58)+N(GA58)))+((GT58=4)*GV58+(GX58=4)*GZ58+(HB58=4)*HD58+(HF58=4)*HH58+(HJ58=4)*HL58+(HN58=4)*HP58+(HR58=4)*HT58+(HV58=4)*HX58)</f>
        <v/>
      </c>
      <c r="GC58">
        <f>MAX(0,ROUND(N(FZ58)+N(GA58)-N(GB58),2))</f>
        <v/>
      </c>
      <c r="GD58">
        <f>N(GG57)</f>
        <v/>
      </c>
      <c r="GE58">
        <f>IF(N(GD58)&lt;=0.005,0,ROUND(N(GD58)*N('Debt List'!E9)/12,2))</f>
        <v/>
      </c>
      <c r="GF58">
        <f>IF(N(GD58)&lt;=0.005,0,MIN(N('Debt List'!F9),N(GD58)+N(GE58)))+((GT58=5)*GV58+(GX58=5)*GZ58+(HB58=5)*HD58+(HF58=5)*HH58+(HJ58=5)*HL58+(HN58=5)*HP58+(HR58=5)*HT58+(HV58=5)*HX58)</f>
        <v/>
      </c>
      <c r="GG58">
        <f>MAX(0,ROUND(N(GD58)+N(GE58)-N(GF58),2))</f>
        <v/>
      </c>
      <c r="GH58">
        <f>N(GK57)</f>
        <v/>
      </c>
      <c r="GI58">
        <f>IF(N(GH58)&lt;=0.005,0,ROUND(N(GH58)*N('Debt List'!E10)/12,2))</f>
        <v/>
      </c>
      <c r="GJ58">
        <f>IF(N(GH58)&lt;=0.005,0,MIN(N('Debt List'!F10),N(GH58)+N(GI58)))+((GT58=6)*GV58+(GX58=6)*GZ58+(HB58=6)*HD58+(HF58=6)*HH58+(HJ58=6)*HL58+(HN58=6)*HP58+(HR58=6)*HT58+(HV58=6)*HX58)</f>
        <v/>
      </c>
      <c r="GK58">
        <f>MAX(0,ROUND(N(GH58)+N(GI58)-N(GJ58),2))</f>
        <v/>
      </c>
      <c r="GL58">
        <f>N(GO57)</f>
        <v/>
      </c>
      <c r="GM58">
        <f>IF(N(GL58)&lt;=0.005,0,ROUND(N(GL58)*N('Debt List'!E11)/12,2))</f>
        <v/>
      </c>
      <c r="GN58">
        <f>IF(N(GL58)&lt;=0.005,0,MIN(N('Debt List'!F11),N(GL58)+N(GM58)))+((GT58=7)*GV58+(GX58=7)*GZ58+(HB58=7)*HD58+(HF58=7)*HH58+(HJ58=7)*HL58+(HN58=7)*HP58+(HR58=7)*HT58+(HV58=7)*HX58)</f>
        <v/>
      </c>
      <c r="GO58">
        <f>MAX(0,ROUND(N(GL58)+N(GM58)-N(GN58),2))</f>
        <v/>
      </c>
      <c r="GP58">
        <f>N(GS57)</f>
        <v/>
      </c>
      <c r="GQ58">
        <f>IF(N(GP58)&lt;=0.005,0,ROUND(N(GP58)*N('Debt List'!E12)/12,2))</f>
        <v/>
      </c>
      <c r="GR58">
        <f>IF(N(GP58)&lt;=0.005,0,MIN(N('Debt List'!F12),N(GP58)+N(GQ58)))+((GT58=8)*GV58+(GX58=8)*GZ58+(HB58=8)*HD58+(HF58=8)*HH58+(HJ58=8)*HL58+(HN58=8)*HP58+(HR58=8)*HT58+(HV58=8)*HX58)</f>
        <v/>
      </c>
      <c r="GS58">
        <f>MAX(0,ROUND(N(GP58)+N(GQ58)-N(GR58),2))</f>
        <v/>
      </c>
      <c r="GT58">
        <f>IFERROR(MATCH(1,OrderAval,0),"")</f>
        <v/>
      </c>
      <c r="GU58">
        <f>IF(GT58="",0,IFERROR(IF(N(CHOOSE(GT58,FN58,FR58,FV58,FZ58,GD58,GH58,GL58,GP58))&lt;=0.005,0,MAX(0,N(CHOOSE(GT58,FN58,FR58,FV58,FZ58,GD58,GH58,GL58,GP58))+N(CHOOSE(GT58,FO58,FS58,FW58,GA58,GE58,GI58,GM58,GQ58))-MIN(N(CHOOSE(GT58,'Debt List'!$F$5,'Debt List'!$F$6,'Debt List'!$F$7,'Debt List'!$F$8,'Debt List'!$F$9,'Debt List'!$F$10,'Debt List'!$F$11,'Debt List'!$F$12)),N(CHOOSE(GT58,FN58,FR58,FV58,FZ58,GD58,GH58,GL58,GP58))+N(CHOOSE(GT58,FO58,FS58,FW58,GA58,GE58,GI58,GM58,GQ58))))),0))</f>
        <v/>
      </c>
      <c r="GV58">
        <f>MIN(N(GU58),MAX(0,N(ExtraPayment)))</f>
        <v/>
      </c>
      <c r="GW58">
        <f>MAX(0,N(ExtraPayment)-N(GV58))</f>
        <v/>
      </c>
      <c r="GX58">
        <f>IFERROR(MATCH(2,OrderAval,0),"")</f>
        <v/>
      </c>
      <c r="GY58">
        <f>IF(GX58="",0,IFERROR(IF(N(CHOOSE(GX58,FN58,FR58,FV58,FZ58,GD58,GH58,GL58,GP58))&lt;=0.005,0,MAX(0,N(CHOOSE(GX58,FN58,FR58,FV58,FZ58,GD58,GH58,GL58,GP58))+N(CHOOSE(GX58,FO58,FS58,FW58,GA58,GE58,GI58,GM58,GQ58))-MIN(N(CHOOSE(GX58,'Debt List'!$F$5,'Debt List'!$F$6,'Debt List'!$F$7,'Debt List'!$F$8,'Debt List'!$F$9,'Debt List'!$F$10,'Debt List'!$F$11,'Debt List'!$F$12)),N(CHOOSE(GX58,FN58,FR58,FV58,FZ58,GD58,GH58,GL58,GP58))+N(CHOOSE(GX58,FO58,FS58,FW58,GA58,GE58,GI58,GM58,GQ58))))),0))</f>
        <v/>
      </c>
      <c r="GZ58">
        <f>MIN(N(GY58),MAX(0,N(GW58)))</f>
        <v/>
      </c>
      <c r="HA58">
        <f>MAX(0,N(GW58)-N(GZ58))</f>
        <v/>
      </c>
      <c r="HB58">
        <f>IFERROR(MATCH(3,OrderAval,0),"")</f>
        <v/>
      </c>
      <c r="HC58">
        <f>IF(HB58="",0,IFERROR(IF(N(CHOOSE(HB58,FN58,FR58,FV58,FZ58,GD58,GH58,GL58,GP58))&lt;=0.005,0,MAX(0,N(CHOOSE(HB58,FN58,FR58,FV58,FZ58,GD58,GH58,GL58,GP58))+N(CHOOSE(HB58,FO58,FS58,FW58,GA58,GE58,GI58,GM58,GQ58))-MIN(N(CHOOSE(HB58,'Debt List'!$F$5,'Debt List'!$F$6,'Debt List'!$F$7,'Debt List'!$F$8,'Debt List'!$F$9,'Debt List'!$F$10,'Debt List'!$F$11,'Debt List'!$F$12)),N(CHOOSE(HB58,FN58,FR58,FV58,FZ58,GD58,GH58,GL58,GP58))+N(CHOOSE(HB58,FO58,FS58,FW58,GA58,GE58,GI58,GM58,GQ58))))),0))</f>
        <v/>
      </c>
      <c r="HD58">
        <f>MIN(N(HC58),MAX(0,N(HA58)))</f>
        <v/>
      </c>
      <c r="HE58">
        <f>MAX(0,N(HA58)-N(HD58))</f>
        <v/>
      </c>
      <c r="HF58">
        <f>IFERROR(MATCH(4,OrderAval,0),"")</f>
        <v/>
      </c>
      <c r="HG58">
        <f>IF(HF58="",0,IFERROR(IF(N(CHOOSE(HF58,FN58,FR58,FV58,FZ58,GD58,GH58,GL58,GP58))&lt;=0.005,0,MAX(0,N(CHOOSE(HF58,FN58,FR58,FV58,FZ58,GD58,GH58,GL58,GP58))+N(CHOOSE(HF58,FO58,FS58,FW58,GA58,GE58,GI58,GM58,GQ58))-MIN(N(CHOOSE(HF58,'Debt List'!$F$5,'Debt List'!$F$6,'Debt List'!$F$7,'Debt List'!$F$8,'Debt List'!$F$9,'Debt List'!$F$10,'Debt List'!$F$11,'Debt List'!$F$12)),N(CHOOSE(HF58,FN58,FR58,FV58,FZ58,GD58,GH58,GL58,GP58))+N(CHOOSE(HF58,FO58,FS58,FW58,GA58,GE58,GI58,GM58,GQ58))))),0))</f>
        <v/>
      </c>
      <c r="HH58">
        <f>MIN(N(HG58),MAX(0,N(HE58)))</f>
        <v/>
      </c>
      <c r="HI58">
        <f>MAX(0,N(HE58)-N(HH58))</f>
        <v/>
      </c>
      <c r="HJ58">
        <f>IFERROR(MATCH(5,OrderAval,0),"")</f>
        <v/>
      </c>
      <c r="HK58">
        <f>IF(HJ58="",0,IFERROR(IF(N(CHOOSE(HJ58,FN58,FR58,FV58,FZ58,GD58,GH58,GL58,GP58))&lt;=0.005,0,MAX(0,N(CHOOSE(HJ58,FN58,FR58,FV58,FZ58,GD58,GH58,GL58,GP58))+N(CHOOSE(HJ58,FO58,FS58,FW58,GA58,GE58,GI58,GM58,GQ58))-MIN(N(CHOOSE(HJ58,'Debt List'!$F$5,'Debt List'!$F$6,'Debt List'!$F$7,'Debt List'!$F$8,'Debt List'!$F$9,'Debt List'!$F$10,'Debt List'!$F$11,'Debt List'!$F$12)),N(CHOOSE(HJ58,FN58,FR58,FV58,FZ58,GD58,GH58,GL58,GP58))+N(CHOOSE(HJ58,FO58,FS58,FW58,GA58,GE58,GI58,GM58,GQ58))))),0))</f>
        <v/>
      </c>
      <c r="HL58">
        <f>MIN(N(HK58),MAX(0,N(HI58)))</f>
        <v/>
      </c>
      <c r="HM58">
        <f>MAX(0,N(HI58)-N(HL58))</f>
        <v/>
      </c>
      <c r="HN58">
        <f>IFERROR(MATCH(6,OrderAval,0),"")</f>
        <v/>
      </c>
      <c r="HO58">
        <f>IF(HN58="",0,IFERROR(IF(N(CHOOSE(HN58,FN58,FR58,FV58,FZ58,GD58,GH58,GL58,GP58))&lt;=0.005,0,MAX(0,N(CHOOSE(HN58,FN58,FR58,FV58,FZ58,GD58,GH58,GL58,GP58))+N(CHOOSE(HN58,FO58,FS58,FW58,GA58,GE58,GI58,GM58,GQ58))-MIN(N(CHOOSE(HN58,'Debt List'!$F$5,'Debt List'!$F$6,'Debt List'!$F$7,'Debt List'!$F$8,'Debt List'!$F$9,'Debt List'!$F$10,'Debt List'!$F$11,'Debt List'!$F$12)),N(CHOOSE(HN58,FN58,FR58,FV58,FZ58,GD58,GH58,GL58,GP58))+N(CHOOSE(HN58,FO58,FS58,FW58,GA58,GE58,GI58,GM58,GQ58))))),0))</f>
        <v/>
      </c>
      <c r="HP58">
        <f>MIN(N(HO58),MAX(0,N(HM58)))</f>
        <v/>
      </c>
      <c r="HQ58">
        <f>MAX(0,N(HM58)-N(HP58))</f>
        <v/>
      </c>
      <c r="HR58">
        <f>IFERROR(MATCH(7,OrderAval,0),"")</f>
        <v/>
      </c>
      <c r="HS58">
        <f>IF(HR58="",0,IFERROR(IF(N(CHOOSE(HR58,FN58,FR58,FV58,FZ58,GD58,GH58,GL58,GP58))&lt;=0.005,0,MAX(0,N(CHOOSE(HR58,FN58,FR58,FV58,FZ58,GD58,GH58,GL58,GP58))+N(CHOOSE(HR58,FO58,FS58,FW58,GA58,GE58,GI58,GM58,GQ58))-MIN(N(CHOOSE(HR58,'Debt List'!$F$5,'Debt List'!$F$6,'Debt List'!$F$7,'Debt List'!$F$8,'Debt List'!$F$9,'Debt List'!$F$10,'Debt List'!$F$11,'Debt List'!$F$12)),N(CHOOSE(HR58,FN58,FR58,FV58,FZ58,GD58,GH58,GL58,GP58))+N(CHOOSE(HR58,FO58,FS58,FW58,GA58,GE58,GI58,GM58,GQ58))))),0))</f>
        <v/>
      </c>
      <c r="HT58">
        <f>MIN(N(HS58),MAX(0,N(HQ58)))</f>
        <v/>
      </c>
      <c r="HU58">
        <f>MAX(0,N(HQ58)-N(HT58))</f>
        <v/>
      </c>
      <c r="HV58">
        <f>IFERROR(MATCH(8,OrderAval,0),"")</f>
        <v/>
      </c>
      <c r="HW58">
        <f>IF(HV58="",0,IFERROR(IF(N(CHOOSE(HV58,FN58,FR58,FV58,FZ58,GD58,GH58,GL58,GP58))&lt;=0.005,0,MAX(0,N(CHOOSE(HV58,FN58,FR58,FV58,FZ58,GD58,GH58,GL58,GP58))+N(CHOOSE(HV58,FO58,FS58,FW58,GA58,GE58,GI58,GM58,GQ58))-MIN(N(CHOOSE(HV58,'Debt List'!$F$5,'Debt List'!$F$6,'Debt List'!$F$7,'Debt List'!$F$8,'Debt List'!$F$9,'Debt List'!$F$10,'Debt List'!$F$11,'Debt List'!$F$12)),N(CHOOSE(HV58,FN58,FR58,FV58,FZ58,GD58,GH58,GL58,GP58))+N(CHOOSE(HV58,FO58,FS58,FW58,GA58,GE58,GI58,GM58,GQ58))))),0))</f>
        <v/>
      </c>
      <c r="HX58">
        <f>MIN(N(HW58),MAX(0,N(HU58)))</f>
        <v/>
      </c>
      <c r="HY58">
        <f>MAX(0,N(HU58)-N(HX58))</f>
        <v/>
      </c>
    </row>
    <row r="59">
      <c r="A59" t="n">
        <v>55</v>
      </c>
      <c r="B59" s="115">
        <f>DATE(YEAR(PlanStart),MONTH(PlanStart)+A59-1,1)</f>
        <v/>
      </c>
      <c r="C59">
        <f>IF(AND(AP59&lt;&gt;"",N(CHOOSE(AP59,J59,N59,R59,V59,Z59,AD59,AH59,AL59))&gt;0.005),INDEX(DebtNames,AP59),IF(AND(AT59&lt;&gt;"",N(CHOOSE(AT59,J59,N59,R59,V59,Z59,AD59,AH59,AL59))&gt;0.005),INDEX(DebtNames,AT59),IF(AND(AX59&lt;&gt;"",N(CHOOSE(AX59,J59,N59,R59,V59,Z59,AD59,AH59,AL59))&gt;0.005),INDEX(DebtNames,AX59),IF(AND(BB59&lt;&gt;"",N(CHOOSE(BB59,J59,N59,R59,V59,Z59,AD59,AH59,AL59))&gt;0.005),INDEX(DebtNames,BB59),IF(AND(BF59&lt;&gt;"",N(CHOOSE(BF59,J59,N59,R59,V59,Z59,AD59,AH59,AL59))&gt;0.005),INDEX(DebtNames,BF59),IF(AND(BJ59&lt;&gt;"",N(CHOOSE(BJ59,J59,N59,R59,V59,Z59,AD59,AH59,AL59))&gt;0.005),INDEX(DebtNames,BJ59),IF(AND(BN59&lt;&gt;"",N(CHOOSE(BN59,J59,N59,R59,V59,Z59,AD59,AH59,AL59))&gt;0.005),INDEX(DebtNames,BN59),IF(AND(BR59&lt;&gt;"",N(CHOOSE(BR59,J59,N59,R59,V59,Z59,AD59,AH59,AL59))&gt;0.005),INDEX(DebtNames,BR59),""))))))))</f>
        <v/>
      </c>
      <c r="D59">
        <f>N(BU59)</f>
        <v/>
      </c>
      <c r="E59">
        <f>N(L59)+N(P59)+N(T59)+N(X59)+N(AB59)+N(AF59)+N(AJ59)+N(AN59)</f>
        <v/>
      </c>
      <c r="F59">
        <f>N(K59)+N(O59)+N(S59)+N(W59)+N(AA59)+N(AE59)+N(AI59)+N(AM59)</f>
        <v/>
      </c>
      <c r="G59">
        <f>N(G58)+N(F59)</f>
        <v/>
      </c>
      <c r="H59">
        <f>N(M59)+N(Q59)+N(U59)+N(Y59)+N(AC59)+N(AG59)+N(AK59)+N(AO59)</f>
        <v/>
      </c>
      <c r="I59">
        <f>(M59&gt;0.005)*1+(Q59&gt;0.005)*1+(U59&gt;0.005)*1+(Y59&gt;0.005)*1+(AC59&gt;0.005)*1+(AG59&gt;0.005)*1+(AK59&gt;0.005)*1+(AO59&gt;0.005)*1</f>
        <v/>
      </c>
      <c r="J59">
        <f>N(M58)</f>
        <v/>
      </c>
      <c r="K59">
        <f>IF(N(J59)&lt;=0.005,0,ROUND(N(J59)*N('Debt List'!E5)/12,2))</f>
        <v/>
      </c>
      <c r="L59">
        <f>IF(N(J59)&lt;=0.005,0,MIN(N('Debt List'!F5),N(J59)+N(K59)))+((AP59=1)*AR59+(AT59=1)*AV59+(AX59=1)*AZ59+(BB59=1)*BD59+(BF59=1)*BH59+(BJ59=1)*BL59+(BN59=1)*BP59+(BR59=1)*BT59)</f>
        <v/>
      </c>
      <c r="M59">
        <f>MAX(0,ROUND(N(J59)+N(K59)-N(L59),2))</f>
        <v/>
      </c>
      <c r="N59">
        <f>N(Q58)</f>
        <v/>
      </c>
      <c r="O59">
        <f>IF(N(N59)&lt;=0.005,0,ROUND(N(N59)*N('Debt List'!E6)/12,2))</f>
        <v/>
      </c>
      <c r="P59">
        <f>IF(N(N59)&lt;=0.005,0,MIN(N('Debt List'!F6),N(N59)+N(O59)))+((AP59=2)*AR59+(AT59=2)*AV59+(AX59=2)*AZ59+(BB59=2)*BD59+(BF59=2)*BH59+(BJ59=2)*BL59+(BN59=2)*BP59+(BR59=2)*BT59)</f>
        <v/>
      </c>
      <c r="Q59">
        <f>MAX(0,ROUND(N(N59)+N(O59)-N(P59),2))</f>
        <v/>
      </c>
      <c r="R59">
        <f>N(U58)</f>
        <v/>
      </c>
      <c r="S59">
        <f>IF(N(R59)&lt;=0.005,0,ROUND(N(R59)*N('Debt List'!E7)/12,2))</f>
        <v/>
      </c>
      <c r="T59">
        <f>IF(N(R59)&lt;=0.005,0,MIN(N('Debt List'!F7),N(R59)+N(S59)))+((AP59=3)*AR59+(AT59=3)*AV59+(AX59=3)*AZ59+(BB59=3)*BD59+(BF59=3)*BH59+(BJ59=3)*BL59+(BN59=3)*BP59+(BR59=3)*BT59)</f>
        <v/>
      </c>
      <c r="U59">
        <f>MAX(0,ROUND(N(R59)+N(S59)-N(T59),2))</f>
        <v/>
      </c>
      <c r="V59">
        <f>N(Y58)</f>
        <v/>
      </c>
      <c r="W59">
        <f>IF(N(V59)&lt;=0.005,0,ROUND(N(V59)*N('Debt List'!E8)/12,2))</f>
        <v/>
      </c>
      <c r="X59">
        <f>IF(N(V59)&lt;=0.005,0,MIN(N('Debt List'!F8),N(V59)+N(W59)))+((AP59=4)*AR59+(AT59=4)*AV59+(AX59=4)*AZ59+(BB59=4)*BD59+(BF59=4)*BH59+(BJ59=4)*BL59+(BN59=4)*BP59+(BR59=4)*BT59)</f>
        <v/>
      </c>
      <c r="Y59">
        <f>MAX(0,ROUND(N(V59)+N(W59)-N(X59),2))</f>
        <v/>
      </c>
      <c r="Z59">
        <f>N(AC58)</f>
        <v/>
      </c>
      <c r="AA59">
        <f>IF(N(Z59)&lt;=0.005,0,ROUND(N(Z59)*N('Debt List'!E9)/12,2))</f>
        <v/>
      </c>
      <c r="AB59">
        <f>IF(N(Z59)&lt;=0.005,0,MIN(N('Debt List'!F9),N(Z59)+N(AA59)))+((AP59=5)*AR59+(AT59=5)*AV59+(AX59=5)*AZ59+(BB59=5)*BD59+(BF59=5)*BH59+(BJ59=5)*BL59+(BN59=5)*BP59+(BR59=5)*BT59)</f>
        <v/>
      </c>
      <c r="AC59">
        <f>MAX(0,ROUND(N(Z59)+N(AA59)-N(AB59),2))</f>
        <v/>
      </c>
      <c r="AD59">
        <f>N(AG58)</f>
        <v/>
      </c>
      <c r="AE59">
        <f>IF(N(AD59)&lt;=0.005,0,ROUND(N(AD59)*N('Debt List'!E10)/12,2))</f>
        <v/>
      </c>
      <c r="AF59">
        <f>IF(N(AD59)&lt;=0.005,0,MIN(N('Debt List'!F10),N(AD59)+N(AE59)))+((AP59=6)*AR59+(AT59=6)*AV59+(AX59=6)*AZ59+(BB59=6)*BD59+(BF59=6)*BH59+(BJ59=6)*BL59+(BN59=6)*BP59+(BR59=6)*BT59)</f>
        <v/>
      </c>
      <c r="AG59">
        <f>MAX(0,ROUND(N(AD59)+N(AE59)-N(AF59),2))</f>
        <v/>
      </c>
      <c r="AH59">
        <f>N(AK58)</f>
        <v/>
      </c>
      <c r="AI59">
        <f>IF(N(AH59)&lt;=0.005,0,ROUND(N(AH59)*N('Debt List'!E11)/12,2))</f>
        <v/>
      </c>
      <c r="AJ59">
        <f>IF(N(AH59)&lt;=0.005,0,MIN(N('Debt List'!F11),N(AH59)+N(AI59)))+((AP59=7)*AR59+(AT59=7)*AV59+(AX59=7)*AZ59+(BB59=7)*BD59+(BF59=7)*BH59+(BJ59=7)*BL59+(BN59=7)*BP59+(BR59=7)*BT59)</f>
        <v/>
      </c>
      <c r="AK59">
        <f>MAX(0,ROUND(N(AH59)+N(AI59)-N(AJ59),2))</f>
        <v/>
      </c>
      <c r="AL59">
        <f>N(AO58)</f>
        <v/>
      </c>
      <c r="AM59">
        <f>IF(N(AL59)&lt;=0.005,0,ROUND(N(AL59)*N('Debt List'!E12)/12,2))</f>
        <v/>
      </c>
      <c r="AN59">
        <f>IF(N(AL59)&lt;=0.005,0,MIN(N('Debt List'!F12),N(AL59)+N(AM59)))+((AP59=8)*AR59+(AT59=8)*AV59+(AX59=8)*AZ59+(BB59=8)*BD59+(BF59=8)*BH59+(BJ59=8)*BL59+(BN59=8)*BP59+(BR59=8)*BT59)</f>
        <v/>
      </c>
      <c r="AO59">
        <f>MAX(0,ROUND(N(AL59)+N(AM59)-N(AN59),2))</f>
        <v/>
      </c>
      <c r="AP59">
        <f>IFERROR(MATCH(1,OrderPlan,0),"")</f>
        <v/>
      </c>
      <c r="AQ59">
        <f>IF(AP59="",0,IFERROR(IF(N(CHOOSE(AP59,J59,N59,R59,V59,Z59,AD59,AH59,AL59))&lt;=0.005,0,MAX(0,N(CHOOSE(AP59,J59,N59,R59,V59,Z59,AD59,AH59,AL59))+N(CHOOSE(AP59,K59,O59,S59,W59,AA59,AE59,AI59,AM59))-MIN(N(CHOOSE(AP59,'Debt List'!$F$5,'Debt List'!$F$6,'Debt List'!$F$7,'Debt List'!$F$8,'Debt List'!$F$9,'Debt List'!$F$10,'Debt List'!$F$11,'Debt List'!$F$12)),N(CHOOSE(AP59,J59,N59,R59,V59,Z59,AD59,AH59,AL59))+N(CHOOSE(AP59,K59,O59,S59,W59,AA59,AE59,AI59,AM59))))),0))</f>
        <v/>
      </c>
      <c r="AR59">
        <f>MIN(N(AQ59),MAX(0,N(ExtraPayment)))</f>
        <v/>
      </c>
      <c r="AS59">
        <f>MAX(0,N(ExtraPayment)-N(AR59))</f>
        <v/>
      </c>
      <c r="AT59">
        <f>IFERROR(MATCH(2,OrderPlan,0),"")</f>
        <v/>
      </c>
      <c r="AU59">
        <f>IF(AT59="",0,IFERROR(IF(N(CHOOSE(AT59,J59,N59,R59,V59,Z59,AD59,AH59,AL59))&lt;=0.005,0,MAX(0,N(CHOOSE(AT59,J59,N59,R59,V59,Z59,AD59,AH59,AL59))+N(CHOOSE(AT59,K59,O59,S59,W59,AA59,AE59,AI59,AM59))-MIN(N(CHOOSE(AT59,'Debt List'!$F$5,'Debt List'!$F$6,'Debt List'!$F$7,'Debt List'!$F$8,'Debt List'!$F$9,'Debt List'!$F$10,'Debt List'!$F$11,'Debt List'!$F$12)),N(CHOOSE(AT59,J59,N59,R59,V59,Z59,AD59,AH59,AL59))+N(CHOOSE(AT59,K59,O59,S59,W59,AA59,AE59,AI59,AM59))))),0))</f>
        <v/>
      </c>
      <c r="AV59">
        <f>MIN(N(AU59),MAX(0,N(AS59)))</f>
        <v/>
      </c>
      <c r="AW59">
        <f>MAX(0,N(AS59)-N(AV59))</f>
        <v/>
      </c>
      <c r="AX59">
        <f>IFERROR(MATCH(3,OrderPlan,0),"")</f>
        <v/>
      </c>
      <c r="AY59">
        <f>IF(AX59="",0,IFERROR(IF(N(CHOOSE(AX59,J59,N59,R59,V59,Z59,AD59,AH59,AL59))&lt;=0.005,0,MAX(0,N(CHOOSE(AX59,J59,N59,R59,V59,Z59,AD59,AH59,AL59))+N(CHOOSE(AX59,K59,O59,S59,W59,AA59,AE59,AI59,AM59))-MIN(N(CHOOSE(AX59,'Debt List'!$F$5,'Debt List'!$F$6,'Debt List'!$F$7,'Debt List'!$F$8,'Debt List'!$F$9,'Debt List'!$F$10,'Debt List'!$F$11,'Debt List'!$F$12)),N(CHOOSE(AX59,J59,N59,R59,V59,Z59,AD59,AH59,AL59))+N(CHOOSE(AX59,K59,O59,S59,W59,AA59,AE59,AI59,AM59))))),0))</f>
        <v/>
      </c>
      <c r="AZ59">
        <f>MIN(N(AY59),MAX(0,N(AW59)))</f>
        <v/>
      </c>
      <c r="BA59">
        <f>MAX(0,N(AW59)-N(AZ59))</f>
        <v/>
      </c>
      <c r="BB59">
        <f>IFERROR(MATCH(4,OrderPlan,0),"")</f>
        <v/>
      </c>
      <c r="BC59">
        <f>IF(BB59="",0,IFERROR(IF(N(CHOOSE(BB59,J59,N59,R59,V59,Z59,AD59,AH59,AL59))&lt;=0.005,0,MAX(0,N(CHOOSE(BB59,J59,N59,R59,V59,Z59,AD59,AH59,AL59))+N(CHOOSE(BB59,K59,O59,S59,W59,AA59,AE59,AI59,AM59))-MIN(N(CHOOSE(BB59,'Debt List'!$F$5,'Debt List'!$F$6,'Debt List'!$F$7,'Debt List'!$F$8,'Debt List'!$F$9,'Debt List'!$F$10,'Debt List'!$F$11,'Debt List'!$F$12)),N(CHOOSE(BB59,J59,N59,R59,V59,Z59,AD59,AH59,AL59))+N(CHOOSE(BB59,K59,O59,S59,W59,AA59,AE59,AI59,AM59))))),0))</f>
        <v/>
      </c>
      <c r="BD59">
        <f>MIN(N(BC59),MAX(0,N(BA59)))</f>
        <v/>
      </c>
      <c r="BE59">
        <f>MAX(0,N(BA59)-N(BD59))</f>
        <v/>
      </c>
      <c r="BF59">
        <f>IFERROR(MATCH(5,OrderPlan,0),"")</f>
        <v/>
      </c>
      <c r="BG59">
        <f>IF(BF59="",0,IFERROR(IF(N(CHOOSE(BF59,J59,N59,R59,V59,Z59,AD59,AH59,AL59))&lt;=0.005,0,MAX(0,N(CHOOSE(BF59,J59,N59,R59,V59,Z59,AD59,AH59,AL59))+N(CHOOSE(BF59,K59,O59,S59,W59,AA59,AE59,AI59,AM59))-MIN(N(CHOOSE(BF59,'Debt List'!$F$5,'Debt List'!$F$6,'Debt List'!$F$7,'Debt List'!$F$8,'Debt List'!$F$9,'Debt List'!$F$10,'Debt List'!$F$11,'Debt List'!$F$12)),N(CHOOSE(BF59,J59,N59,R59,V59,Z59,AD59,AH59,AL59))+N(CHOOSE(BF59,K59,O59,S59,W59,AA59,AE59,AI59,AM59))))),0))</f>
        <v/>
      </c>
      <c r="BH59">
        <f>MIN(N(BG59),MAX(0,N(BE59)))</f>
        <v/>
      </c>
      <c r="BI59">
        <f>MAX(0,N(BE59)-N(BH59))</f>
        <v/>
      </c>
      <c r="BJ59">
        <f>IFERROR(MATCH(6,OrderPlan,0),"")</f>
        <v/>
      </c>
      <c r="BK59">
        <f>IF(BJ59="",0,IFERROR(IF(N(CHOOSE(BJ59,J59,N59,R59,V59,Z59,AD59,AH59,AL59))&lt;=0.005,0,MAX(0,N(CHOOSE(BJ59,J59,N59,R59,V59,Z59,AD59,AH59,AL59))+N(CHOOSE(BJ59,K59,O59,S59,W59,AA59,AE59,AI59,AM59))-MIN(N(CHOOSE(BJ59,'Debt List'!$F$5,'Debt List'!$F$6,'Debt List'!$F$7,'Debt List'!$F$8,'Debt List'!$F$9,'Debt List'!$F$10,'Debt List'!$F$11,'Debt List'!$F$12)),N(CHOOSE(BJ59,J59,N59,R59,V59,Z59,AD59,AH59,AL59))+N(CHOOSE(BJ59,K59,O59,S59,W59,AA59,AE59,AI59,AM59))))),0))</f>
        <v/>
      </c>
      <c r="BL59">
        <f>MIN(N(BK59),MAX(0,N(BI59)))</f>
        <v/>
      </c>
      <c r="BM59">
        <f>MAX(0,N(BI59)-N(BL59))</f>
        <v/>
      </c>
      <c r="BN59">
        <f>IFERROR(MATCH(7,OrderPlan,0),"")</f>
        <v/>
      </c>
      <c r="BO59">
        <f>IF(BN59="",0,IFERROR(IF(N(CHOOSE(BN59,J59,N59,R59,V59,Z59,AD59,AH59,AL59))&lt;=0.005,0,MAX(0,N(CHOOSE(BN59,J59,N59,R59,V59,Z59,AD59,AH59,AL59))+N(CHOOSE(BN59,K59,O59,S59,W59,AA59,AE59,AI59,AM59))-MIN(N(CHOOSE(BN59,'Debt List'!$F$5,'Debt List'!$F$6,'Debt List'!$F$7,'Debt List'!$F$8,'Debt List'!$F$9,'Debt List'!$F$10,'Debt List'!$F$11,'Debt List'!$F$12)),N(CHOOSE(BN59,J59,N59,R59,V59,Z59,AD59,AH59,AL59))+N(CHOOSE(BN59,K59,O59,S59,W59,AA59,AE59,AI59,AM59))))),0))</f>
        <v/>
      </c>
      <c r="BP59">
        <f>MIN(N(BO59),MAX(0,N(BM59)))</f>
        <v/>
      </c>
      <c r="BQ59">
        <f>MAX(0,N(BM59)-N(BP59))</f>
        <v/>
      </c>
      <c r="BR59">
        <f>IFERROR(MATCH(8,OrderPlan,0),"")</f>
        <v/>
      </c>
      <c r="BS59">
        <f>IF(BR59="",0,IFERROR(IF(N(CHOOSE(BR59,J59,N59,R59,V59,Z59,AD59,AH59,AL59))&lt;=0.005,0,MAX(0,N(CHOOSE(BR59,J59,N59,R59,V59,Z59,AD59,AH59,AL59))+N(CHOOSE(BR59,K59,O59,S59,W59,AA59,AE59,AI59,AM59))-MIN(N(CHOOSE(BR59,'Debt List'!$F$5,'Debt List'!$F$6,'Debt List'!$F$7,'Debt List'!$F$8,'Debt List'!$F$9,'Debt List'!$F$10,'Debt List'!$F$11,'Debt List'!$F$12)),N(CHOOSE(BR59,J59,N59,R59,V59,Z59,AD59,AH59,AL59))+N(CHOOSE(BR59,K59,O59,S59,W59,AA59,AE59,AI59,AM59))))),0))</f>
        <v/>
      </c>
      <c r="BT59">
        <f>MIN(N(BS59),MAX(0,N(BQ59)))</f>
        <v/>
      </c>
      <c r="BU59">
        <f>MAX(0,N(BQ59)-N(BT59))</f>
        <v/>
      </c>
      <c r="CC59" t="n">
        <v>55</v>
      </c>
      <c r="CD59" s="115">
        <f>DATE(YEAR(PlanStart),MONTH(PlanStart)+CC59-1,1)</f>
        <v/>
      </c>
      <c r="CE59">
        <f>IF(AND(DR59&lt;&gt;"",N(CHOOSE(DR59,CL59,CP59,CT59,CX59,DB59,DF59,DJ59,DN59))&gt;0.005),INDEX(DebtNames,DR59),IF(AND(DV59&lt;&gt;"",N(CHOOSE(DV59,CL59,CP59,CT59,CX59,DB59,DF59,DJ59,DN59))&gt;0.005),INDEX(DebtNames,DV59),IF(AND(DZ59&lt;&gt;"",N(CHOOSE(DZ59,CL59,CP59,CT59,CX59,DB59,DF59,DJ59,DN59))&gt;0.005),INDEX(DebtNames,DZ59),IF(AND(ED59&lt;&gt;"",N(CHOOSE(ED59,CL59,CP59,CT59,CX59,DB59,DF59,DJ59,DN59))&gt;0.005),INDEX(DebtNames,ED59),IF(AND(EH59&lt;&gt;"",N(CHOOSE(EH59,CL59,CP59,CT59,CX59,DB59,DF59,DJ59,DN59))&gt;0.005),INDEX(DebtNames,EH59),IF(AND(EL59&lt;&gt;"",N(CHOOSE(EL59,CL59,CP59,CT59,CX59,DB59,DF59,DJ59,DN59))&gt;0.005),INDEX(DebtNames,EL59),IF(AND(EP59&lt;&gt;"",N(CHOOSE(EP59,CL59,CP59,CT59,CX59,DB59,DF59,DJ59,DN59))&gt;0.005),INDEX(DebtNames,EP59),IF(AND(ET59&lt;&gt;"",N(CHOOSE(ET59,CL59,CP59,CT59,CX59,DB59,DF59,DJ59,DN59))&gt;0.005),INDEX(DebtNames,ET59),""))))))))</f>
        <v/>
      </c>
      <c r="CF59">
        <f>N(EW59)</f>
        <v/>
      </c>
      <c r="CG59">
        <f>N(CN59)+N(CR59)+N(CV59)+N(CZ59)+N(DD59)+N(DH59)+N(DL59)+N(DP59)</f>
        <v/>
      </c>
      <c r="CH59">
        <f>N(CM59)+N(CQ59)+N(CU59)+N(CY59)+N(DC59)+N(DG59)+N(DK59)+N(DO59)</f>
        <v/>
      </c>
      <c r="CI59">
        <f>N(CI58)+N(CH59)</f>
        <v/>
      </c>
      <c r="CJ59">
        <f>N(CO59)+N(CS59)+N(CW59)+N(DA59)+N(DE59)+N(DI59)+N(DM59)+N(DQ59)</f>
        <v/>
      </c>
      <c r="CK59">
        <f>(CO59&gt;0.005)*1+(CS59&gt;0.005)*1+(CW59&gt;0.005)*1+(DA59&gt;0.005)*1+(DE59&gt;0.005)*1+(DI59&gt;0.005)*1+(DM59&gt;0.005)*1+(DQ59&gt;0.005)*1</f>
        <v/>
      </c>
      <c r="CL59">
        <f>N(CO58)</f>
        <v/>
      </c>
      <c r="CM59">
        <f>IF(N(CL59)&lt;=0.005,0,ROUND(N(CL59)*N('Debt List'!E5)/12,2))</f>
        <v/>
      </c>
      <c r="CN59">
        <f>IF(N(CL59)&lt;=0.005,0,MIN(N('Debt List'!F5),N(CL59)+N(CM59)))+((DR59=1)*DT59+(DV59=1)*DX59+(DZ59=1)*EB59+(ED59=1)*EF59+(EH59=1)*EJ59+(EL59=1)*EN59+(EP59=1)*ER59+(ET59=1)*EV59)</f>
        <v/>
      </c>
      <c r="CO59">
        <f>MAX(0,ROUND(N(CL59)+N(CM59)-N(CN59),2))</f>
        <v/>
      </c>
      <c r="CP59">
        <f>N(CS58)</f>
        <v/>
      </c>
      <c r="CQ59">
        <f>IF(N(CP59)&lt;=0.005,0,ROUND(N(CP59)*N('Debt List'!E6)/12,2))</f>
        <v/>
      </c>
      <c r="CR59">
        <f>IF(N(CP59)&lt;=0.005,0,MIN(N('Debt List'!F6),N(CP59)+N(CQ59)))+((DR59=2)*DT59+(DV59=2)*DX59+(DZ59=2)*EB59+(ED59=2)*EF59+(EH59=2)*EJ59+(EL59=2)*EN59+(EP59=2)*ER59+(ET59=2)*EV59)</f>
        <v/>
      </c>
      <c r="CS59">
        <f>MAX(0,ROUND(N(CP59)+N(CQ59)-N(CR59),2))</f>
        <v/>
      </c>
      <c r="CT59">
        <f>N(CW58)</f>
        <v/>
      </c>
      <c r="CU59">
        <f>IF(N(CT59)&lt;=0.005,0,ROUND(N(CT59)*N('Debt List'!E7)/12,2))</f>
        <v/>
      </c>
      <c r="CV59">
        <f>IF(N(CT59)&lt;=0.005,0,MIN(N('Debt List'!F7),N(CT59)+N(CU59)))+((DR59=3)*DT59+(DV59=3)*DX59+(DZ59=3)*EB59+(ED59=3)*EF59+(EH59=3)*EJ59+(EL59=3)*EN59+(EP59=3)*ER59+(ET59=3)*EV59)</f>
        <v/>
      </c>
      <c r="CW59">
        <f>MAX(0,ROUND(N(CT59)+N(CU59)-N(CV59),2))</f>
        <v/>
      </c>
      <c r="CX59">
        <f>N(DA58)</f>
        <v/>
      </c>
      <c r="CY59">
        <f>IF(N(CX59)&lt;=0.005,0,ROUND(N(CX59)*N('Debt List'!E8)/12,2))</f>
        <v/>
      </c>
      <c r="CZ59">
        <f>IF(N(CX59)&lt;=0.005,0,MIN(N('Debt List'!F8),N(CX59)+N(CY59)))+((DR59=4)*DT59+(DV59=4)*DX59+(DZ59=4)*EB59+(ED59=4)*EF59+(EH59=4)*EJ59+(EL59=4)*EN59+(EP59=4)*ER59+(ET59=4)*EV59)</f>
        <v/>
      </c>
      <c r="DA59">
        <f>MAX(0,ROUND(N(CX59)+N(CY59)-N(CZ59),2))</f>
        <v/>
      </c>
      <c r="DB59">
        <f>N(DE58)</f>
        <v/>
      </c>
      <c r="DC59">
        <f>IF(N(DB59)&lt;=0.005,0,ROUND(N(DB59)*N('Debt List'!E9)/12,2))</f>
        <v/>
      </c>
      <c r="DD59">
        <f>IF(N(DB59)&lt;=0.005,0,MIN(N('Debt List'!F9),N(DB59)+N(DC59)))+((DR59=5)*DT59+(DV59=5)*DX59+(DZ59=5)*EB59+(ED59=5)*EF59+(EH59=5)*EJ59+(EL59=5)*EN59+(EP59=5)*ER59+(ET59=5)*EV59)</f>
        <v/>
      </c>
      <c r="DE59">
        <f>MAX(0,ROUND(N(DB59)+N(DC59)-N(DD59),2))</f>
        <v/>
      </c>
      <c r="DF59">
        <f>N(DI58)</f>
        <v/>
      </c>
      <c r="DG59">
        <f>IF(N(DF59)&lt;=0.005,0,ROUND(N(DF59)*N('Debt List'!E10)/12,2))</f>
        <v/>
      </c>
      <c r="DH59">
        <f>IF(N(DF59)&lt;=0.005,0,MIN(N('Debt List'!F10),N(DF59)+N(DG59)))+((DR59=6)*DT59+(DV59=6)*DX59+(DZ59=6)*EB59+(ED59=6)*EF59+(EH59=6)*EJ59+(EL59=6)*EN59+(EP59=6)*ER59+(ET59=6)*EV59)</f>
        <v/>
      </c>
      <c r="DI59">
        <f>MAX(0,ROUND(N(DF59)+N(DG59)-N(DH59),2))</f>
        <v/>
      </c>
      <c r="DJ59">
        <f>N(DM58)</f>
        <v/>
      </c>
      <c r="DK59">
        <f>IF(N(DJ59)&lt;=0.005,0,ROUND(N(DJ59)*N('Debt List'!E11)/12,2))</f>
        <v/>
      </c>
      <c r="DL59">
        <f>IF(N(DJ59)&lt;=0.005,0,MIN(N('Debt List'!F11),N(DJ59)+N(DK59)))+((DR59=7)*DT59+(DV59=7)*DX59+(DZ59=7)*EB59+(ED59=7)*EF59+(EH59=7)*EJ59+(EL59=7)*EN59+(EP59=7)*ER59+(ET59=7)*EV59)</f>
        <v/>
      </c>
      <c r="DM59">
        <f>MAX(0,ROUND(N(DJ59)+N(DK59)-N(DL59),2))</f>
        <v/>
      </c>
      <c r="DN59">
        <f>N(DQ58)</f>
        <v/>
      </c>
      <c r="DO59">
        <f>IF(N(DN59)&lt;=0.005,0,ROUND(N(DN59)*N('Debt List'!E12)/12,2))</f>
        <v/>
      </c>
      <c r="DP59">
        <f>IF(N(DN59)&lt;=0.005,0,MIN(N('Debt List'!F12),N(DN59)+N(DO59)))+((DR59=8)*DT59+(DV59=8)*DX59+(DZ59=8)*EB59+(ED59=8)*EF59+(EH59=8)*EJ59+(EL59=8)*EN59+(EP59=8)*ER59+(ET59=8)*EV59)</f>
        <v/>
      </c>
      <c r="DQ59">
        <f>MAX(0,ROUND(N(DN59)+N(DO59)-N(DP59),2))</f>
        <v/>
      </c>
      <c r="DR59">
        <f>IFERROR(MATCH(1,OrderSnow,0),"")</f>
        <v/>
      </c>
      <c r="DS59">
        <f>IF(DR59="",0,IFERROR(IF(N(CHOOSE(DR59,CL59,CP59,CT59,CX59,DB59,DF59,DJ59,DN59))&lt;=0.005,0,MAX(0,N(CHOOSE(DR59,CL59,CP59,CT59,CX59,DB59,DF59,DJ59,DN59))+N(CHOOSE(DR59,CM59,CQ59,CU59,CY59,DC59,DG59,DK59,DO59))-MIN(N(CHOOSE(DR59,'Debt List'!$F$5,'Debt List'!$F$6,'Debt List'!$F$7,'Debt List'!$F$8,'Debt List'!$F$9,'Debt List'!$F$10,'Debt List'!$F$11,'Debt List'!$F$12)),N(CHOOSE(DR59,CL59,CP59,CT59,CX59,DB59,DF59,DJ59,DN59))+N(CHOOSE(DR59,CM59,CQ59,CU59,CY59,DC59,DG59,DK59,DO59))))),0))</f>
        <v/>
      </c>
      <c r="DT59">
        <f>MIN(N(DS59),MAX(0,N(ExtraPayment)))</f>
        <v/>
      </c>
      <c r="DU59">
        <f>MAX(0,N(ExtraPayment)-N(DT59))</f>
        <v/>
      </c>
      <c r="DV59">
        <f>IFERROR(MATCH(2,OrderSnow,0),"")</f>
        <v/>
      </c>
      <c r="DW59">
        <f>IF(DV59="",0,IFERROR(IF(N(CHOOSE(DV59,CL59,CP59,CT59,CX59,DB59,DF59,DJ59,DN59))&lt;=0.005,0,MAX(0,N(CHOOSE(DV59,CL59,CP59,CT59,CX59,DB59,DF59,DJ59,DN59))+N(CHOOSE(DV59,CM59,CQ59,CU59,CY59,DC59,DG59,DK59,DO59))-MIN(N(CHOOSE(DV59,'Debt List'!$F$5,'Debt List'!$F$6,'Debt List'!$F$7,'Debt List'!$F$8,'Debt List'!$F$9,'Debt List'!$F$10,'Debt List'!$F$11,'Debt List'!$F$12)),N(CHOOSE(DV59,CL59,CP59,CT59,CX59,DB59,DF59,DJ59,DN59))+N(CHOOSE(DV59,CM59,CQ59,CU59,CY59,DC59,DG59,DK59,DO59))))),0))</f>
        <v/>
      </c>
      <c r="DX59">
        <f>MIN(N(DW59),MAX(0,N(DU59)))</f>
        <v/>
      </c>
      <c r="DY59">
        <f>MAX(0,N(DU59)-N(DX59))</f>
        <v/>
      </c>
      <c r="DZ59">
        <f>IFERROR(MATCH(3,OrderSnow,0),"")</f>
        <v/>
      </c>
      <c r="EA59">
        <f>IF(DZ59="",0,IFERROR(IF(N(CHOOSE(DZ59,CL59,CP59,CT59,CX59,DB59,DF59,DJ59,DN59))&lt;=0.005,0,MAX(0,N(CHOOSE(DZ59,CL59,CP59,CT59,CX59,DB59,DF59,DJ59,DN59))+N(CHOOSE(DZ59,CM59,CQ59,CU59,CY59,DC59,DG59,DK59,DO59))-MIN(N(CHOOSE(DZ59,'Debt List'!$F$5,'Debt List'!$F$6,'Debt List'!$F$7,'Debt List'!$F$8,'Debt List'!$F$9,'Debt List'!$F$10,'Debt List'!$F$11,'Debt List'!$F$12)),N(CHOOSE(DZ59,CL59,CP59,CT59,CX59,DB59,DF59,DJ59,DN59))+N(CHOOSE(DZ59,CM59,CQ59,CU59,CY59,DC59,DG59,DK59,DO59))))),0))</f>
        <v/>
      </c>
      <c r="EB59">
        <f>MIN(N(EA59),MAX(0,N(DY59)))</f>
        <v/>
      </c>
      <c r="EC59">
        <f>MAX(0,N(DY59)-N(EB59))</f>
        <v/>
      </c>
      <c r="ED59">
        <f>IFERROR(MATCH(4,OrderSnow,0),"")</f>
        <v/>
      </c>
      <c r="EE59">
        <f>IF(ED59="",0,IFERROR(IF(N(CHOOSE(ED59,CL59,CP59,CT59,CX59,DB59,DF59,DJ59,DN59))&lt;=0.005,0,MAX(0,N(CHOOSE(ED59,CL59,CP59,CT59,CX59,DB59,DF59,DJ59,DN59))+N(CHOOSE(ED59,CM59,CQ59,CU59,CY59,DC59,DG59,DK59,DO59))-MIN(N(CHOOSE(ED59,'Debt List'!$F$5,'Debt List'!$F$6,'Debt List'!$F$7,'Debt List'!$F$8,'Debt List'!$F$9,'Debt List'!$F$10,'Debt List'!$F$11,'Debt List'!$F$12)),N(CHOOSE(ED59,CL59,CP59,CT59,CX59,DB59,DF59,DJ59,DN59))+N(CHOOSE(ED59,CM59,CQ59,CU59,CY59,DC59,DG59,DK59,DO59))))),0))</f>
        <v/>
      </c>
      <c r="EF59">
        <f>MIN(N(EE59),MAX(0,N(EC59)))</f>
        <v/>
      </c>
      <c r="EG59">
        <f>MAX(0,N(EC59)-N(EF59))</f>
        <v/>
      </c>
      <c r="EH59">
        <f>IFERROR(MATCH(5,OrderSnow,0),"")</f>
        <v/>
      </c>
      <c r="EI59">
        <f>IF(EH59="",0,IFERROR(IF(N(CHOOSE(EH59,CL59,CP59,CT59,CX59,DB59,DF59,DJ59,DN59))&lt;=0.005,0,MAX(0,N(CHOOSE(EH59,CL59,CP59,CT59,CX59,DB59,DF59,DJ59,DN59))+N(CHOOSE(EH59,CM59,CQ59,CU59,CY59,DC59,DG59,DK59,DO59))-MIN(N(CHOOSE(EH59,'Debt List'!$F$5,'Debt List'!$F$6,'Debt List'!$F$7,'Debt List'!$F$8,'Debt List'!$F$9,'Debt List'!$F$10,'Debt List'!$F$11,'Debt List'!$F$12)),N(CHOOSE(EH59,CL59,CP59,CT59,CX59,DB59,DF59,DJ59,DN59))+N(CHOOSE(EH59,CM59,CQ59,CU59,CY59,DC59,DG59,DK59,DO59))))),0))</f>
        <v/>
      </c>
      <c r="EJ59">
        <f>MIN(N(EI59),MAX(0,N(EG59)))</f>
        <v/>
      </c>
      <c r="EK59">
        <f>MAX(0,N(EG59)-N(EJ59))</f>
        <v/>
      </c>
      <c r="EL59">
        <f>IFERROR(MATCH(6,OrderSnow,0),"")</f>
        <v/>
      </c>
      <c r="EM59">
        <f>IF(EL59="",0,IFERROR(IF(N(CHOOSE(EL59,CL59,CP59,CT59,CX59,DB59,DF59,DJ59,DN59))&lt;=0.005,0,MAX(0,N(CHOOSE(EL59,CL59,CP59,CT59,CX59,DB59,DF59,DJ59,DN59))+N(CHOOSE(EL59,CM59,CQ59,CU59,CY59,DC59,DG59,DK59,DO59))-MIN(N(CHOOSE(EL59,'Debt List'!$F$5,'Debt List'!$F$6,'Debt List'!$F$7,'Debt List'!$F$8,'Debt List'!$F$9,'Debt List'!$F$10,'Debt List'!$F$11,'Debt List'!$F$12)),N(CHOOSE(EL59,CL59,CP59,CT59,CX59,DB59,DF59,DJ59,DN59))+N(CHOOSE(EL59,CM59,CQ59,CU59,CY59,DC59,DG59,DK59,DO59))))),0))</f>
        <v/>
      </c>
      <c r="EN59">
        <f>MIN(N(EM59),MAX(0,N(EK59)))</f>
        <v/>
      </c>
      <c r="EO59">
        <f>MAX(0,N(EK59)-N(EN59))</f>
        <v/>
      </c>
      <c r="EP59">
        <f>IFERROR(MATCH(7,OrderSnow,0),"")</f>
        <v/>
      </c>
      <c r="EQ59">
        <f>IF(EP59="",0,IFERROR(IF(N(CHOOSE(EP59,CL59,CP59,CT59,CX59,DB59,DF59,DJ59,DN59))&lt;=0.005,0,MAX(0,N(CHOOSE(EP59,CL59,CP59,CT59,CX59,DB59,DF59,DJ59,DN59))+N(CHOOSE(EP59,CM59,CQ59,CU59,CY59,DC59,DG59,DK59,DO59))-MIN(N(CHOOSE(EP59,'Debt List'!$F$5,'Debt List'!$F$6,'Debt List'!$F$7,'Debt List'!$F$8,'Debt List'!$F$9,'Debt List'!$F$10,'Debt List'!$F$11,'Debt List'!$F$12)),N(CHOOSE(EP59,CL59,CP59,CT59,CX59,DB59,DF59,DJ59,DN59))+N(CHOOSE(EP59,CM59,CQ59,CU59,CY59,DC59,DG59,DK59,DO59))))),0))</f>
        <v/>
      </c>
      <c r="ER59">
        <f>MIN(N(EQ59),MAX(0,N(EO59)))</f>
        <v/>
      </c>
      <c r="ES59">
        <f>MAX(0,N(EO59)-N(ER59))</f>
        <v/>
      </c>
      <c r="ET59">
        <f>IFERROR(MATCH(8,OrderSnow,0),"")</f>
        <v/>
      </c>
      <c r="EU59">
        <f>IF(ET59="",0,IFERROR(IF(N(CHOOSE(ET59,CL59,CP59,CT59,CX59,DB59,DF59,DJ59,DN59))&lt;=0.005,0,MAX(0,N(CHOOSE(ET59,CL59,CP59,CT59,CX59,DB59,DF59,DJ59,DN59))+N(CHOOSE(ET59,CM59,CQ59,CU59,CY59,DC59,DG59,DK59,DO59))-MIN(N(CHOOSE(ET59,'Debt List'!$F$5,'Debt List'!$F$6,'Debt List'!$F$7,'Debt List'!$F$8,'Debt List'!$F$9,'Debt List'!$F$10,'Debt List'!$F$11,'Debt List'!$F$12)),N(CHOOSE(ET59,CL59,CP59,CT59,CX59,DB59,DF59,DJ59,DN59))+N(CHOOSE(ET59,CM59,CQ59,CU59,CY59,DC59,DG59,DK59,DO59))))),0))</f>
        <v/>
      </c>
      <c r="EV59">
        <f>MIN(N(EU59),MAX(0,N(ES59)))</f>
        <v/>
      </c>
      <c r="EW59">
        <f>MAX(0,N(ES59)-N(EV59))</f>
        <v/>
      </c>
      <c r="FE59" t="n">
        <v>55</v>
      </c>
      <c r="FF59" s="115">
        <f>DATE(YEAR(PlanStart),MONTH(PlanStart)+FE59-1,1)</f>
        <v/>
      </c>
      <c r="FG59">
        <f>IF(AND(GT59&lt;&gt;"",N(CHOOSE(GT59,FN59,FR59,FV59,FZ59,GD59,GH59,GL59,GP59))&gt;0.005),INDEX(DebtNames,GT59),IF(AND(GX59&lt;&gt;"",N(CHOOSE(GX59,FN59,FR59,FV59,FZ59,GD59,GH59,GL59,GP59))&gt;0.005),INDEX(DebtNames,GX59),IF(AND(HB59&lt;&gt;"",N(CHOOSE(HB59,FN59,FR59,FV59,FZ59,GD59,GH59,GL59,GP59))&gt;0.005),INDEX(DebtNames,HB59),IF(AND(HF59&lt;&gt;"",N(CHOOSE(HF59,FN59,FR59,FV59,FZ59,GD59,GH59,GL59,GP59))&gt;0.005),INDEX(DebtNames,HF59),IF(AND(HJ59&lt;&gt;"",N(CHOOSE(HJ59,FN59,FR59,FV59,FZ59,GD59,GH59,GL59,GP59))&gt;0.005),INDEX(DebtNames,HJ59),IF(AND(HN59&lt;&gt;"",N(CHOOSE(HN59,FN59,FR59,FV59,FZ59,GD59,GH59,GL59,GP59))&gt;0.005),INDEX(DebtNames,HN59),IF(AND(HR59&lt;&gt;"",N(CHOOSE(HR59,FN59,FR59,FV59,FZ59,GD59,GH59,GL59,GP59))&gt;0.005),INDEX(DebtNames,HR59),IF(AND(HV59&lt;&gt;"",N(CHOOSE(HV59,FN59,FR59,FV59,FZ59,GD59,GH59,GL59,GP59))&gt;0.005),INDEX(DebtNames,HV59),""))))))))</f>
        <v/>
      </c>
      <c r="FH59">
        <f>N(HY59)</f>
        <v/>
      </c>
      <c r="FI59">
        <f>N(FP59)+N(FT59)+N(FX59)+N(GB59)+N(GF59)+N(GJ59)+N(GN59)+N(GR59)</f>
        <v/>
      </c>
      <c r="FJ59">
        <f>N(FO59)+N(FS59)+N(FW59)+N(GA59)+N(GE59)+N(GI59)+N(GM59)+N(GQ59)</f>
        <v/>
      </c>
      <c r="FK59">
        <f>N(FK58)+N(FJ59)</f>
        <v/>
      </c>
      <c r="FL59">
        <f>N(FQ59)+N(FU59)+N(FY59)+N(GC59)+N(GG59)+N(GK59)+N(GO59)+N(GS59)</f>
        <v/>
      </c>
      <c r="FM59">
        <f>(FQ59&gt;0.005)*1+(FU59&gt;0.005)*1+(FY59&gt;0.005)*1+(GC59&gt;0.005)*1+(GG59&gt;0.005)*1+(GK59&gt;0.005)*1+(GO59&gt;0.005)*1+(GS59&gt;0.005)*1</f>
        <v/>
      </c>
      <c r="FN59">
        <f>N(FQ58)</f>
        <v/>
      </c>
      <c r="FO59">
        <f>IF(N(FN59)&lt;=0.005,0,ROUND(N(FN59)*N('Debt List'!E5)/12,2))</f>
        <v/>
      </c>
      <c r="FP59">
        <f>IF(N(FN59)&lt;=0.005,0,MIN(N('Debt List'!F5),N(FN59)+N(FO59)))+((GT59=1)*GV59+(GX59=1)*GZ59+(HB59=1)*HD59+(HF59=1)*HH59+(HJ59=1)*HL59+(HN59=1)*HP59+(HR59=1)*HT59+(HV59=1)*HX59)</f>
        <v/>
      </c>
      <c r="FQ59">
        <f>MAX(0,ROUND(N(FN59)+N(FO59)-N(FP59),2))</f>
        <v/>
      </c>
      <c r="FR59">
        <f>N(FU58)</f>
        <v/>
      </c>
      <c r="FS59">
        <f>IF(N(FR59)&lt;=0.005,0,ROUND(N(FR59)*N('Debt List'!E6)/12,2))</f>
        <v/>
      </c>
      <c r="FT59">
        <f>IF(N(FR59)&lt;=0.005,0,MIN(N('Debt List'!F6),N(FR59)+N(FS59)))+((GT59=2)*GV59+(GX59=2)*GZ59+(HB59=2)*HD59+(HF59=2)*HH59+(HJ59=2)*HL59+(HN59=2)*HP59+(HR59=2)*HT59+(HV59=2)*HX59)</f>
        <v/>
      </c>
      <c r="FU59">
        <f>MAX(0,ROUND(N(FR59)+N(FS59)-N(FT59),2))</f>
        <v/>
      </c>
      <c r="FV59">
        <f>N(FY58)</f>
        <v/>
      </c>
      <c r="FW59">
        <f>IF(N(FV59)&lt;=0.005,0,ROUND(N(FV59)*N('Debt List'!E7)/12,2))</f>
        <v/>
      </c>
      <c r="FX59">
        <f>IF(N(FV59)&lt;=0.005,0,MIN(N('Debt List'!F7),N(FV59)+N(FW59)))+((GT59=3)*GV59+(GX59=3)*GZ59+(HB59=3)*HD59+(HF59=3)*HH59+(HJ59=3)*HL59+(HN59=3)*HP59+(HR59=3)*HT59+(HV59=3)*HX59)</f>
        <v/>
      </c>
      <c r="FY59">
        <f>MAX(0,ROUND(N(FV59)+N(FW59)-N(FX59),2))</f>
        <v/>
      </c>
      <c r="FZ59">
        <f>N(GC58)</f>
        <v/>
      </c>
      <c r="GA59">
        <f>IF(N(FZ59)&lt;=0.005,0,ROUND(N(FZ59)*N('Debt List'!E8)/12,2))</f>
        <v/>
      </c>
      <c r="GB59">
        <f>IF(N(FZ59)&lt;=0.005,0,MIN(N('Debt List'!F8),N(FZ59)+N(GA59)))+((GT59=4)*GV59+(GX59=4)*GZ59+(HB59=4)*HD59+(HF59=4)*HH59+(HJ59=4)*HL59+(HN59=4)*HP59+(HR59=4)*HT59+(HV59=4)*HX59)</f>
        <v/>
      </c>
      <c r="GC59">
        <f>MAX(0,ROUND(N(FZ59)+N(GA59)-N(GB59),2))</f>
        <v/>
      </c>
      <c r="GD59">
        <f>N(GG58)</f>
        <v/>
      </c>
      <c r="GE59">
        <f>IF(N(GD59)&lt;=0.005,0,ROUND(N(GD59)*N('Debt List'!E9)/12,2))</f>
        <v/>
      </c>
      <c r="GF59">
        <f>IF(N(GD59)&lt;=0.005,0,MIN(N('Debt List'!F9),N(GD59)+N(GE59)))+((GT59=5)*GV59+(GX59=5)*GZ59+(HB59=5)*HD59+(HF59=5)*HH59+(HJ59=5)*HL59+(HN59=5)*HP59+(HR59=5)*HT59+(HV59=5)*HX59)</f>
        <v/>
      </c>
      <c r="GG59">
        <f>MAX(0,ROUND(N(GD59)+N(GE59)-N(GF59),2))</f>
        <v/>
      </c>
      <c r="GH59">
        <f>N(GK58)</f>
        <v/>
      </c>
      <c r="GI59">
        <f>IF(N(GH59)&lt;=0.005,0,ROUND(N(GH59)*N('Debt List'!E10)/12,2))</f>
        <v/>
      </c>
      <c r="GJ59">
        <f>IF(N(GH59)&lt;=0.005,0,MIN(N('Debt List'!F10),N(GH59)+N(GI59)))+((GT59=6)*GV59+(GX59=6)*GZ59+(HB59=6)*HD59+(HF59=6)*HH59+(HJ59=6)*HL59+(HN59=6)*HP59+(HR59=6)*HT59+(HV59=6)*HX59)</f>
        <v/>
      </c>
      <c r="GK59">
        <f>MAX(0,ROUND(N(GH59)+N(GI59)-N(GJ59),2))</f>
        <v/>
      </c>
      <c r="GL59">
        <f>N(GO58)</f>
        <v/>
      </c>
      <c r="GM59">
        <f>IF(N(GL59)&lt;=0.005,0,ROUND(N(GL59)*N('Debt List'!E11)/12,2))</f>
        <v/>
      </c>
      <c r="GN59">
        <f>IF(N(GL59)&lt;=0.005,0,MIN(N('Debt List'!F11),N(GL59)+N(GM59)))+((GT59=7)*GV59+(GX59=7)*GZ59+(HB59=7)*HD59+(HF59=7)*HH59+(HJ59=7)*HL59+(HN59=7)*HP59+(HR59=7)*HT59+(HV59=7)*HX59)</f>
        <v/>
      </c>
      <c r="GO59">
        <f>MAX(0,ROUND(N(GL59)+N(GM59)-N(GN59),2))</f>
        <v/>
      </c>
      <c r="GP59">
        <f>N(GS58)</f>
        <v/>
      </c>
      <c r="GQ59">
        <f>IF(N(GP59)&lt;=0.005,0,ROUND(N(GP59)*N('Debt List'!E12)/12,2))</f>
        <v/>
      </c>
      <c r="GR59">
        <f>IF(N(GP59)&lt;=0.005,0,MIN(N('Debt List'!F12),N(GP59)+N(GQ59)))+((GT59=8)*GV59+(GX59=8)*GZ59+(HB59=8)*HD59+(HF59=8)*HH59+(HJ59=8)*HL59+(HN59=8)*HP59+(HR59=8)*HT59+(HV59=8)*HX59)</f>
        <v/>
      </c>
      <c r="GS59">
        <f>MAX(0,ROUND(N(GP59)+N(GQ59)-N(GR59),2))</f>
        <v/>
      </c>
      <c r="GT59">
        <f>IFERROR(MATCH(1,OrderAval,0),"")</f>
        <v/>
      </c>
      <c r="GU59">
        <f>IF(GT59="",0,IFERROR(IF(N(CHOOSE(GT59,FN59,FR59,FV59,FZ59,GD59,GH59,GL59,GP59))&lt;=0.005,0,MAX(0,N(CHOOSE(GT59,FN59,FR59,FV59,FZ59,GD59,GH59,GL59,GP59))+N(CHOOSE(GT59,FO59,FS59,FW59,GA59,GE59,GI59,GM59,GQ59))-MIN(N(CHOOSE(GT59,'Debt List'!$F$5,'Debt List'!$F$6,'Debt List'!$F$7,'Debt List'!$F$8,'Debt List'!$F$9,'Debt List'!$F$10,'Debt List'!$F$11,'Debt List'!$F$12)),N(CHOOSE(GT59,FN59,FR59,FV59,FZ59,GD59,GH59,GL59,GP59))+N(CHOOSE(GT59,FO59,FS59,FW59,GA59,GE59,GI59,GM59,GQ59))))),0))</f>
        <v/>
      </c>
      <c r="GV59">
        <f>MIN(N(GU59),MAX(0,N(ExtraPayment)))</f>
        <v/>
      </c>
      <c r="GW59">
        <f>MAX(0,N(ExtraPayment)-N(GV59))</f>
        <v/>
      </c>
      <c r="GX59">
        <f>IFERROR(MATCH(2,OrderAval,0),"")</f>
        <v/>
      </c>
      <c r="GY59">
        <f>IF(GX59="",0,IFERROR(IF(N(CHOOSE(GX59,FN59,FR59,FV59,FZ59,GD59,GH59,GL59,GP59))&lt;=0.005,0,MAX(0,N(CHOOSE(GX59,FN59,FR59,FV59,FZ59,GD59,GH59,GL59,GP59))+N(CHOOSE(GX59,FO59,FS59,FW59,GA59,GE59,GI59,GM59,GQ59))-MIN(N(CHOOSE(GX59,'Debt List'!$F$5,'Debt List'!$F$6,'Debt List'!$F$7,'Debt List'!$F$8,'Debt List'!$F$9,'Debt List'!$F$10,'Debt List'!$F$11,'Debt List'!$F$12)),N(CHOOSE(GX59,FN59,FR59,FV59,FZ59,GD59,GH59,GL59,GP59))+N(CHOOSE(GX59,FO59,FS59,FW59,GA59,GE59,GI59,GM59,GQ59))))),0))</f>
        <v/>
      </c>
      <c r="GZ59">
        <f>MIN(N(GY59),MAX(0,N(GW59)))</f>
        <v/>
      </c>
      <c r="HA59">
        <f>MAX(0,N(GW59)-N(GZ59))</f>
        <v/>
      </c>
      <c r="HB59">
        <f>IFERROR(MATCH(3,OrderAval,0),"")</f>
        <v/>
      </c>
      <c r="HC59">
        <f>IF(HB59="",0,IFERROR(IF(N(CHOOSE(HB59,FN59,FR59,FV59,FZ59,GD59,GH59,GL59,GP59))&lt;=0.005,0,MAX(0,N(CHOOSE(HB59,FN59,FR59,FV59,FZ59,GD59,GH59,GL59,GP59))+N(CHOOSE(HB59,FO59,FS59,FW59,GA59,GE59,GI59,GM59,GQ59))-MIN(N(CHOOSE(HB59,'Debt List'!$F$5,'Debt List'!$F$6,'Debt List'!$F$7,'Debt List'!$F$8,'Debt List'!$F$9,'Debt List'!$F$10,'Debt List'!$F$11,'Debt List'!$F$12)),N(CHOOSE(HB59,FN59,FR59,FV59,FZ59,GD59,GH59,GL59,GP59))+N(CHOOSE(HB59,FO59,FS59,FW59,GA59,GE59,GI59,GM59,GQ59))))),0))</f>
        <v/>
      </c>
      <c r="HD59">
        <f>MIN(N(HC59),MAX(0,N(HA59)))</f>
        <v/>
      </c>
      <c r="HE59">
        <f>MAX(0,N(HA59)-N(HD59))</f>
        <v/>
      </c>
      <c r="HF59">
        <f>IFERROR(MATCH(4,OrderAval,0),"")</f>
        <v/>
      </c>
      <c r="HG59">
        <f>IF(HF59="",0,IFERROR(IF(N(CHOOSE(HF59,FN59,FR59,FV59,FZ59,GD59,GH59,GL59,GP59))&lt;=0.005,0,MAX(0,N(CHOOSE(HF59,FN59,FR59,FV59,FZ59,GD59,GH59,GL59,GP59))+N(CHOOSE(HF59,FO59,FS59,FW59,GA59,GE59,GI59,GM59,GQ59))-MIN(N(CHOOSE(HF59,'Debt List'!$F$5,'Debt List'!$F$6,'Debt List'!$F$7,'Debt List'!$F$8,'Debt List'!$F$9,'Debt List'!$F$10,'Debt List'!$F$11,'Debt List'!$F$12)),N(CHOOSE(HF59,FN59,FR59,FV59,FZ59,GD59,GH59,GL59,GP59))+N(CHOOSE(HF59,FO59,FS59,FW59,GA59,GE59,GI59,GM59,GQ59))))),0))</f>
        <v/>
      </c>
      <c r="HH59">
        <f>MIN(N(HG59),MAX(0,N(HE59)))</f>
        <v/>
      </c>
      <c r="HI59">
        <f>MAX(0,N(HE59)-N(HH59))</f>
        <v/>
      </c>
      <c r="HJ59">
        <f>IFERROR(MATCH(5,OrderAval,0),"")</f>
        <v/>
      </c>
      <c r="HK59">
        <f>IF(HJ59="",0,IFERROR(IF(N(CHOOSE(HJ59,FN59,FR59,FV59,FZ59,GD59,GH59,GL59,GP59))&lt;=0.005,0,MAX(0,N(CHOOSE(HJ59,FN59,FR59,FV59,FZ59,GD59,GH59,GL59,GP59))+N(CHOOSE(HJ59,FO59,FS59,FW59,GA59,GE59,GI59,GM59,GQ59))-MIN(N(CHOOSE(HJ59,'Debt List'!$F$5,'Debt List'!$F$6,'Debt List'!$F$7,'Debt List'!$F$8,'Debt List'!$F$9,'Debt List'!$F$10,'Debt List'!$F$11,'Debt List'!$F$12)),N(CHOOSE(HJ59,FN59,FR59,FV59,FZ59,GD59,GH59,GL59,GP59))+N(CHOOSE(HJ59,FO59,FS59,FW59,GA59,GE59,GI59,GM59,GQ59))))),0))</f>
        <v/>
      </c>
      <c r="HL59">
        <f>MIN(N(HK59),MAX(0,N(HI59)))</f>
        <v/>
      </c>
      <c r="HM59">
        <f>MAX(0,N(HI59)-N(HL59))</f>
        <v/>
      </c>
      <c r="HN59">
        <f>IFERROR(MATCH(6,OrderAval,0),"")</f>
        <v/>
      </c>
      <c r="HO59">
        <f>IF(HN59="",0,IFERROR(IF(N(CHOOSE(HN59,FN59,FR59,FV59,FZ59,GD59,GH59,GL59,GP59))&lt;=0.005,0,MAX(0,N(CHOOSE(HN59,FN59,FR59,FV59,FZ59,GD59,GH59,GL59,GP59))+N(CHOOSE(HN59,FO59,FS59,FW59,GA59,GE59,GI59,GM59,GQ59))-MIN(N(CHOOSE(HN59,'Debt List'!$F$5,'Debt List'!$F$6,'Debt List'!$F$7,'Debt List'!$F$8,'Debt List'!$F$9,'Debt List'!$F$10,'Debt List'!$F$11,'Debt List'!$F$12)),N(CHOOSE(HN59,FN59,FR59,FV59,FZ59,GD59,GH59,GL59,GP59))+N(CHOOSE(HN59,FO59,FS59,FW59,GA59,GE59,GI59,GM59,GQ59))))),0))</f>
        <v/>
      </c>
      <c r="HP59">
        <f>MIN(N(HO59),MAX(0,N(HM59)))</f>
        <v/>
      </c>
      <c r="HQ59">
        <f>MAX(0,N(HM59)-N(HP59))</f>
        <v/>
      </c>
      <c r="HR59">
        <f>IFERROR(MATCH(7,OrderAval,0),"")</f>
        <v/>
      </c>
      <c r="HS59">
        <f>IF(HR59="",0,IFERROR(IF(N(CHOOSE(HR59,FN59,FR59,FV59,FZ59,GD59,GH59,GL59,GP59))&lt;=0.005,0,MAX(0,N(CHOOSE(HR59,FN59,FR59,FV59,FZ59,GD59,GH59,GL59,GP59))+N(CHOOSE(HR59,FO59,FS59,FW59,GA59,GE59,GI59,GM59,GQ59))-MIN(N(CHOOSE(HR59,'Debt List'!$F$5,'Debt List'!$F$6,'Debt List'!$F$7,'Debt List'!$F$8,'Debt List'!$F$9,'Debt List'!$F$10,'Debt List'!$F$11,'Debt List'!$F$12)),N(CHOOSE(HR59,FN59,FR59,FV59,FZ59,GD59,GH59,GL59,GP59))+N(CHOOSE(HR59,FO59,FS59,FW59,GA59,GE59,GI59,GM59,GQ59))))),0))</f>
        <v/>
      </c>
      <c r="HT59">
        <f>MIN(N(HS59),MAX(0,N(HQ59)))</f>
        <v/>
      </c>
      <c r="HU59">
        <f>MAX(0,N(HQ59)-N(HT59))</f>
        <v/>
      </c>
      <c r="HV59">
        <f>IFERROR(MATCH(8,OrderAval,0),"")</f>
        <v/>
      </c>
      <c r="HW59">
        <f>IF(HV59="",0,IFERROR(IF(N(CHOOSE(HV59,FN59,FR59,FV59,FZ59,GD59,GH59,GL59,GP59))&lt;=0.005,0,MAX(0,N(CHOOSE(HV59,FN59,FR59,FV59,FZ59,GD59,GH59,GL59,GP59))+N(CHOOSE(HV59,FO59,FS59,FW59,GA59,GE59,GI59,GM59,GQ59))-MIN(N(CHOOSE(HV59,'Debt List'!$F$5,'Debt List'!$F$6,'Debt List'!$F$7,'Debt List'!$F$8,'Debt List'!$F$9,'Debt List'!$F$10,'Debt List'!$F$11,'Debt List'!$F$12)),N(CHOOSE(HV59,FN59,FR59,FV59,FZ59,GD59,GH59,GL59,GP59))+N(CHOOSE(HV59,FO59,FS59,FW59,GA59,GE59,GI59,GM59,GQ59))))),0))</f>
        <v/>
      </c>
      <c r="HX59">
        <f>MIN(N(HW59),MAX(0,N(HU59)))</f>
        <v/>
      </c>
      <c r="HY59">
        <f>MAX(0,N(HU59)-N(HX59))</f>
        <v/>
      </c>
    </row>
    <row r="60">
      <c r="A60" t="n">
        <v>56</v>
      </c>
      <c r="B60" s="115">
        <f>DATE(YEAR(PlanStart),MONTH(PlanStart)+A60-1,1)</f>
        <v/>
      </c>
      <c r="C60">
        <f>IF(AND(AP60&lt;&gt;"",N(CHOOSE(AP60,J60,N60,R60,V60,Z60,AD60,AH60,AL60))&gt;0.005),INDEX(DebtNames,AP60),IF(AND(AT60&lt;&gt;"",N(CHOOSE(AT60,J60,N60,R60,V60,Z60,AD60,AH60,AL60))&gt;0.005),INDEX(DebtNames,AT60),IF(AND(AX60&lt;&gt;"",N(CHOOSE(AX60,J60,N60,R60,V60,Z60,AD60,AH60,AL60))&gt;0.005),INDEX(DebtNames,AX60),IF(AND(BB60&lt;&gt;"",N(CHOOSE(BB60,J60,N60,R60,V60,Z60,AD60,AH60,AL60))&gt;0.005),INDEX(DebtNames,BB60),IF(AND(BF60&lt;&gt;"",N(CHOOSE(BF60,J60,N60,R60,V60,Z60,AD60,AH60,AL60))&gt;0.005),INDEX(DebtNames,BF60),IF(AND(BJ60&lt;&gt;"",N(CHOOSE(BJ60,J60,N60,R60,V60,Z60,AD60,AH60,AL60))&gt;0.005),INDEX(DebtNames,BJ60),IF(AND(BN60&lt;&gt;"",N(CHOOSE(BN60,J60,N60,R60,V60,Z60,AD60,AH60,AL60))&gt;0.005),INDEX(DebtNames,BN60),IF(AND(BR60&lt;&gt;"",N(CHOOSE(BR60,J60,N60,R60,V60,Z60,AD60,AH60,AL60))&gt;0.005),INDEX(DebtNames,BR60),""))))))))</f>
        <v/>
      </c>
      <c r="D60">
        <f>N(BU60)</f>
        <v/>
      </c>
      <c r="E60">
        <f>N(L60)+N(P60)+N(T60)+N(X60)+N(AB60)+N(AF60)+N(AJ60)+N(AN60)</f>
        <v/>
      </c>
      <c r="F60">
        <f>N(K60)+N(O60)+N(S60)+N(W60)+N(AA60)+N(AE60)+N(AI60)+N(AM60)</f>
        <v/>
      </c>
      <c r="G60">
        <f>N(G59)+N(F60)</f>
        <v/>
      </c>
      <c r="H60">
        <f>N(M60)+N(Q60)+N(U60)+N(Y60)+N(AC60)+N(AG60)+N(AK60)+N(AO60)</f>
        <v/>
      </c>
      <c r="I60">
        <f>(M60&gt;0.005)*1+(Q60&gt;0.005)*1+(U60&gt;0.005)*1+(Y60&gt;0.005)*1+(AC60&gt;0.005)*1+(AG60&gt;0.005)*1+(AK60&gt;0.005)*1+(AO60&gt;0.005)*1</f>
        <v/>
      </c>
      <c r="J60">
        <f>N(M59)</f>
        <v/>
      </c>
      <c r="K60">
        <f>IF(N(J60)&lt;=0.005,0,ROUND(N(J60)*N('Debt List'!E5)/12,2))</f>
        <v/>
      </c>
      <c r="L60">
        <f>IF(N(J60)&lt;=0.005,0,MIN(N('Debt List'!F5),N(J60)+N(K60)))+((AP60=1)*AR60+(AT60=1)*AV60+(AX60=1)*AZ60+(BB60=1)*BD60+(BF60=1)*BH60+(BJ60=1)*BL60+(BN60=1)*BP60+(BR60=1)*BT60)</f>
        <v/>
      </c>
      <c r="M60">
        <f>MAX(0,ROUND(N(J60)+N(K60)-N(L60),2))</f>
        <v/>
      </c>
      <c r="N60">
        <f>N(Q59)</f>
        <v/>
      </c>
      <c r="O60">
        <f>IF(N(N60)&lt;=0.005,0,ROUND(N(N60)*N('Debt List'!E6)/12,2))</f>
        <v/>
      </c>
      <c r="P60">
        <f>IF(N(N60)&lt;=0.005,0,MIN(N('Debt List'!F6),N(N60)+N(O60)))+((AP60=2)*AR60+(AT60=2)*AV60+(AX60=2)*AZ60+(BB60=2)*BD60+(BF60=2)*BH60+(BJ60=2)*BL60+(BN60=2)*BP60+(BR60=2)*BT60)</f>
        <v/>
      </c>
      <c r="Q60">
        <f>MAX(0,ROUND(N(N60)+N(O60)-N(P60),2))</f>
        <v/>
      </c>
      <c r="R60">
        <f>N(U59)</f>
        <v/>
      </c>
      <c r="S60">
        <f>IF(N(R60)&lt;=0.005,0,ROUND(N(R60)*N('Debt List'!E7)/12,2))</f>
        <v/>
      </c>
      <c r="T60">
        <f>IF(N(R60)&lt;=0.005,0,MIN(N('Debt List'!F7),N(R60)+N(S60)))+((AP60=3)*AR60+(AT60=3)*AV60+(AX60=3)*AZ60+(BB60=3)*BD60+(BF60=3)*BH60+(BJ60=3)*BL60+(BN60=3)*BP60+(BR60=3)*BT60)</f>
        <v/>
      </c>
      <c r="U60">
        <f>MAX(0,ROUND(N(R60)+N(S60)-N(T60),2))</f>
        <v/>
      </c>
      <c r="V60">
        <f>N(Y59)</f>
        <v/>
      </c>
      <c r="W60">
        <f>IF(N(V60)&lt;=0.005,0,ROUND(N(V60)*N('Debt List'!E8)/12,2))</f>
        <v/>
      </c>
      <c r="X60">
        <f>IF(N(V60)&lt;=0.005,0,MIN(N('Debt List'!F8),N(V60)+N(W60)))+((AP60=4)*AR60+(AT60=4)*AV60+(AX60=4)*AZ60+(BB60=4)*BD60+(BF60=4)*BH60+(BJ60=4)*BL60+(BN60=4)*BP60+(BR60=4)*BT60)</f>
        <v/>
      </c>
      <c r="Y60">
        <f>MAX(0,ROUND(N(V60)+N(W60)-N(X60),2))</f>
        <v/>
      </c>
      <c r="Z60">
        <f>N(AC59)</f>
        <v/>
      </c>
      <c r="AA60">
        <f>IF(N(Z60)&lt;=0.005,0,ROUND(N(Z60)*N('Debt List'!E9)/12,2))</f>
        <v/>
      </c>
      <c r="AB60">
        <f>IF(N(Z60)&lt;=0.005,0,MIN(N('Debt List'!F9),N(Z60)+N(AA60)))+((AP60=5)*AR60+(AT60=5)*AV60+(AX60=5)*AZ60+(BB60=5)*BD60+(BF60=5)*BH60+(BJ60=5)*BL60+(BN60=5)*BP60+(BR60=5)*BT60)</f>
        <v/>
      </c>
      <c r="AC60">
        <f>MAX(0,ROUND(N(Z60)+N(AA60)-N(AB60),2))</f>
        <v/>
      </c>
      <c r="AD60">
        <f>N(AG59)</f>
        <v/>
      </c>
      <c r="AE60">
        <f>IF(N(AD60)&lt;=0.005,0,ROUND(N(AD60)*N('Debt List'!E10)/12,2))</f>
        <v/>
      </c>
      <c r="AF60">
        <f>IF(N(AD60)&lt;=0.005,0,MIN(N('Debt List'!F10),N(AD60)+N(AE60)))+((AP60=6)*AR60+(AT60=6)*AV60+(AX60=6)*AZ60+(BB60=6)*BD60+(BF60=6)*BH60+(BJ60=6)*BL60+(BN60=6)*BP60+(BR60=6)*BT60)</f>
        <v/>
      </c>
      <c r="AG60">
        <f>MAX(0,ROUND(N(AD60)+N(AE60)-N(AF60),2))</f>
        <v/>
      </c>
      <c r="AH60">
        <f>N(AK59)</f>
        <v/>
      </c>
      <c r="AI60">
        <f>IF(N(AH60)&lt;=0.005,0,ROUND(N(AH60)*N('Debt List'!E11)/12,2))</f>
        <v/>
      </c>
      <c r="AJ60">
        <f>IF(N(AH60)&lt;=0.005,0,MIN(N('Debt List'!F11),N(AH60)+N(AI60)))+((AP60=7)*AR60+(AT60=7)*AV60+(AX60=7)*AZ60+(BB60=7)*BD60+(BF60=7)*BH60+(BJ60=7)*BL60+(BN60=7)*BP60+(BR60=7)*BT60)</f>
        <v/>
      </c>
      <c r="AK60">
        <f>MAX(0,ROUND(N(AH60)+N(AI60)-N(AJ60),2))</f>
        <v/>
      </c>
      <c r="AL60">
        <f>N(AO59)</f>
        <v/>
      </c>
      <c r="AM60">
        <f>IF(N(AL60)&lt;=0.005,0,ROUND(N(AL60)*N('Debt List'!E12)/12,2))</f>
        <v/>
      </c>
      <c r="AN60">
        <f>IF(N(AL60)&lt;=0.005,0,MIN(N('Debt List'!F12),N(AL60)+N(AM60)))+((AP60=8)*AR60+(AT60=8)*AV60+(AX60=8)*AZ60+(BB60=8)*BD60+(BF60=8)*BH60+(BJ60=8)*BL60+(BN60=8)*BP60+(BR60=8)*BT60)</f>
        <v/>
      </c>
      <c r="AO60">
        <f>MAX(0,ROUND(N(AL60)+N(AM60)-N(AN60),2))</f>
        <v/>
      </c>
      <c r="AP60">
        <f>IFERROR(MATCH(1,OrderPlan,0),"")</f>
        <v/>
      </c>
      <c r="AQ60">
        <f>IF(AP60="",0,IFERROR(IF(N(CHOOSE(AP60,J60,N60,R60,V60,Z60,AD60,AH60,AL60))&lt;=0.005,0,MAX(0,N(CHOOSE(AP60,J60,N60,R60,V60,Z60,AD60,AH60,AL60))+N(CHOOSE(AP60,K60,O60,S60,W60,AA60,AE60,AI60,AM60))-MIN(N(CHOOSE(AP60,'Debt List'!$F$5,'Debt List'!$F$6,'Debt List'!$F$7,'Debt List'!$F$8,'Debt List'!$F$9,'Debt List'!$F$10,'Debt List'!$F$11,'Debt List'!$F$12)),N(CHOOSE(AP60,J60,N60,R60,V60,Z60,AD60,AH60,AL60))+N(CHOOSE(AP60,K60,O60,S60,W60,AA60,AE60,AI60,AM60))))),0))</f>
        <v/>
      </c>
      <c r="AR60">
        <f>MIN(N(AQ60),MAX(0,N(ExtraPayment)))</f>
        <v/>
      </c>
      <c r="AS60">
        <f>MAX(0,N(ExtraPayment)-N(AR60))</f>
        <v/>
      </c>
      <c r="AT60">
        <f>IFERROR(MATCH(2,OrderPlan,0),"")</f>
        <v/>
      </c>
      <c r="AU60">
        <f>IF(AT60="",0,IFERROR(IF(N(CHOOSE(AT60,J60,N60,R60,V60,Z60,AD60,AH60,AL60))&lt;=0.005,0,MAX(0,N(CHOOSE(AT60,J60,N60,R60,V60,Z60,AD60,AH60,AL60))+N(CHOOSE(AT60,K60,O60,S60,W60,AA60,AE60,AI60,AM60))-MIN(N(CHOOSE(AT60,'Debt List'!$F$5,'Debt List'!$F$6,'Debt List'!$F$7,'Debt List'!$F$8,'Debt List'!$F$9,'Debt List'!$F$10,'Debt List'!$F$11,'Debt List'!$F$12)),N(CHOOSE(AT60,J60,N60,R60,V60,Z60,AD60,AH60,AL60))+N(CHOOSE(AT60,K60,O60,S60,W60,AA60,AE60,AI60,AM60))))),0))</f>
        <v/>
      </c>
      <c r="AV60">
        <f>MIN(N(AU60),MAX(0,N(AS60)))</f>
        <v/>
      </c>
      <c r="AW60">
        <f>MAX(0,N(AS60)-N(AV60))</f>
        <v/>
      </c>
      <c r="AX60">
        <f>IFERROR(MATCH(3,OrderPlan,0),"")</f>
        <v/>
      </c>
      <c r="AY60">
        <f>IF(AX60="",0,IFERROR(IF(N(CHOOSE(AX60,J60,N60,R60,V60,Z60,AD60,AH60,AL60))&lt;=0.005,0,MAX(0,N(CHOOSE(AX60,J60,N60,R60,V60,Z60,AD60,AH60,AL60))+N(CHOOSE(AX60,K60,O60,S60,W60,AA60,AE60,AI60,AM60))-MIN(N(CHOOSE(AX60,'Debt List'!$F$5,'Debt List'!$F$6,'Debt List'!$F$7,'Debt List'!$F$8,'Debt List'!$F$9,'Debt List'!$F$10,'Debt List'!$F$11,'Debt List'!$F$12)),N(CHOOSE(AX60,J60,N60,R60,V60,Z60,AD60,AH60,AL60))+N(CHOOSE(AX60,K60,O60,S60,W60,AA60,AE60,AI60,AM60))))),0))</f>
        <v/>
      </c>
      <c r="AZ60">
        <f>MIN(N(AY60),MAX(0,N(AW60)))</f>
        <v/>
      </c>
      <c r="BA60">
        <f>MAX(0,N(AW60)-N(AZ60))</f>
        <v/>
      </c>
      <c r="BB60">
        <f>IFERROR(MATCH(4,OrderPlan,0),"")</f>
        <v/>
      </c>
      <c r="BC60">
        <f>IF(BB60="",0,IFERROR(IF(N(CHOOSE(BB60,J60,N60,R60,V60,Z60,AD60,AH60,AL60))&lt;=0.005,0,MAX(0,N(CHOOSE(BB60,J60,N60,R60,V60,Z60,AD60,AH60,AL60))+N(CHOOSE(BB60,K60,O60,S60,W60,AA60,AE60,AI60,AM60))-MIN(N(CHOOSE(BB60,'Debt List'!$F$5,'Debt List'!$F$6,'Debt List'!$F$7,'Debt List'!$F$8,'Debt List'!$F$9,'Debt List'!$F$10,'Debt List'!$F$11,'Debt List'!$F$12)),N(CHOOSE(BB60,J60,N60,R60,V60,Z60,AD60,AH60,AL60))+N(CHOOSE(BB60,K60,O60,S60,W60,AA60,AE60,AI60,AM60))))),0))</f>
        <v/>
      </c>
      <c r="BD60">
        <f>MIN(N(BC60),MAX(0,N(BA60)))</f>
        <v/>
      </c>
      <c r="BE60">
        <f>MAX(0,N(BA60)-N(BD60))</f>
        <v/>
      </c>
      <c r="BF60">
        <f>IFERROR(MATCH(5,OrderPlan,0),"")</f>
        <v/>
      </c>
      <c r="BG60">
        <f>IF(BF60="",0,IFERROR(IF(N(CHOOSE(BF60,J60,N60,R60,V60,Z60,AD60,AH60,AL60))&lt;=0.005,0,MAX(0,N(CHOOSE(BF60,J60,N60,R60,V60,Z60,AD60,AH60,AL60))+N(CHOOSE(BF60,K60,O60,S60,W60,AA60,AE60,AI60,AM60))-MIN(N(CHOOSE(BF60,'Debt List'!$F$5,'Debt List'!$F$6,'Debt List'!$F$7,'Debt List'!$F$8,'Debt List'!$F$9,'Debt List'!$F$10,'Debt List'!$F$11,'Debt List'!$F$12)),N(CHOOSE(BF60,J60,N60,R60,V60,Z60,AD60,AH60,AL60))+N(CHOOSE(BF60,K60,O60,S60,W60,AA60,AE60,AI60,AM60))))),0))</f>
        <v/>
      </c>
      <c r="BH60">
        <f>MIN(N(BG60),MAX(0,N(BE60)))</f>
        <v/>
      </c>
      <c r="BI60">
        <f>MAX(0,N(BE60)-N(BH60))</f>
        <v/>
      </c>
      <c r="BJ60">
        <f>IFERROR(MATCH(6,OrderPlan,0),"")</f>
        <v/>
      </c>
      <c r="BK60">
        <f>IF(BJ60="",0,IFERROR(IF(N(CHOOSE(BJ60,J60,N60,R60,V60,Z60,AD60,AH60,AL60))&lt;=0.005,0,MAX(0,N(CHOOSE(BJ60,J60,N60,R60,V60,Z60,AD60,AH60,AL60))+N(CHOOSE(BJ60,K60,O60,S60,W60,AA60,AE60,AI60,AM60))-MIN(N(CHOOSE(BJ60,'Debt List'!$F$5,'Debt List'!$F$6,'Debt List'!$F$7,'Debt List'!$F$8,'Debt List'!$F$9,'Debt List'!$F$10,'Debt List'!$F$11,'Debt List'!$F$12)),N(CHOOSE(BJ60,J60,N60,R60,V60,Z60,AD60,AH60,AL60))+N(CHOOSE(BJ60,K60,O60,S60,W60,AA60,AE60,AI60,AM60))))),0))</f>
        <v/>
      </c>
      <c r="BL60">
        <f>MIN(N(BK60),MAX(0,N(BI60)))</f>
        <v/>
      </c>
      <c r="BM60">
        <f>MAX(0,N(BI60)-N(BL60))</f>
        <v/>
      </c>
      <c r="BN60">
        <f>IFERROR(MATCH(7,OrderPlan,0),"")</f>
        <v/>
      </c>
      <c r="BO60">
        <f>IF(BN60="",0,IFERROR(IF(N(CHOOSE(BN60,J60,N60,R60,V60,Z60,AD60,AH60,AL60))&lt;=0.005,0,MAX(0,N(CHOOSE(BN60,J60,N60,R60,V60,Z60,AD60,AH60,AL60))+N(CHOOSE(BN60,K60,O60,S60,W60,AA60,AE60,AI60,AM60))-MIN(N(CHOOSE(BN60,'Debt List'!$F$5,'Debt List'!$F$6,'Debt List'!$F$7,'Debt List'!$F$8,'Debt List'!$F$9,'Debt List'!$F$10,'Debt List'!$F$11,'Debt List'!$F$12)),N(CHOOSE(BN60,J60,N60,R60,V60,Z60,AD60,AH60,AL60))+N(CHOOSE(BN60,K60,O60,S60,W60,AA60,AE60,AI60,AM60))))),0))</f>
        <v/>
      </c>
      <c r="BP60">
        <f>MIN(N(BO60),MAX(0,N(BM60)))</f>
        <v/>
      </c>
      <c r="BQ60">
        <f>MAX(0,N(BM60)-N(BP60))</f>
        <v/>
      </c>
      <c r="BR60">
        <f>IFERROR(MATCH(8,OrderPlan,0),"")</f>
        <v/>
      </c>
      <c r="BS60">
        <f>IF(BR60="",0,IFERROR(IF(N(CHOOSE(BR60,J60,N60,R60,V60,Z60,AD60,AH60,AL60))&lt;=0.005,0,MAX(0,N(CHOOSE(BR60,J60,N60,R60,V60,Z60,AD60,AH60,AL60))+N(CHOOSE(BR60,K60,O60,S60,W60,AA60,AE60,AI60,AM60))-MIN(N(CHOOSE(BR60,'Debt List'!$F$5,'Debt List'!$F$6,'Debt List'!$F$7,'Debt List'!$F$8,'Debt List'!$F$9,'Debt List'!$F$10,'Debt List'!$F$11,'Debt List'!$F$12)),N(CHOOSE(BR60,J60,N60,R60,V60,Z60,AD60,AH60,AL60))+N(CHOOSE(BR60,K60,O60,S60,W60,AA60,AE60,AI60,AM60))))),0))</f>
        <v/>
      </c>
      <c r="BT60">
        <f>MIN(N(BS60),MAX(0,N(BQ60)))</f>
        <v/>
      </c>
      <c r="BU60">
        <f>MAX(0,N(BQ60)-N(BT60))</f>
        <v/>
      </c>
      <c r="CC60" t="n">
        <v>56</v>
      </c>
      <c r="CD60" s="115">
        <f>DATE(YEAR(PlanStart),MONTH(PlanStart)+CC60-1,1)</f>
        <v/>
      </c>
      <c r="CE60">
        <f>IF(AND(DR60&lt;&gt;"",N(CHOOSE(DR60,CL60,CP60,CT60,CX60,DB60,DF60,DJ60,DN60))&gt;0.005),INDEX(DebtNames,DR60),IF(AND(DV60&lt;&gt;"",N(CHOOSE(DV60,CL60,CP60,CT60,CX60,DB60,DF60,DJ60,DN60))&gt;0.005),INDEX(DebtNames,DV60),IF(AND(DZ60&lt;&gt;"",N(CHOOSE(DZ60,CL60,CP60,CT60,CX60,DB60,DF60,DJ60,DN60))&gt;0.005),INDEX(DebtNames,DZ60),IF(AND(ED60&lt;&gt;"",N(CHOOSE(ED60,CL60,CP60,CT60,CX60,DB60,DF60,DJ60,DN60))&gt;0.005),INDEX(DebtNames,ED60),IF(AND(EH60&lt;&gt;"",N(CHOOSE(EH60,CL60,CP60,CT60,CX60,DB60,DF60,DJ60,DN60))&gt;0.005),INDEX(DebtNames,EH60),IF(AND(EL60&lt;&gt;"",N(CHOOSE(EL60,CL60,CP60,CT60,CX60,DB60,DF60,DJ60,DN60))&gt;0.005),INDEX(DebtNames,EL60),IF(AND(EP60&lt;&gt;"",N(CHOOSE(EP60,CL60,CP60,CT60,CX60,DB60,DF60,DJ60,DN60))&gt;0.005),INDEX(DebtNames,EP60),IF(AND(ET60&lt;&gt;"",N(CHOOSE(ET60,CL60,CP60,CT60,CX60,DB60,DF60,DJ60,DN60))&gt;0.005),INDEX(DebtNames,ET60),""))))))))</f>
        <v/>
      </c>
      <c r="CF60">
        <f>N(EW60)</f>
        <v/>
      </c>
      <c r="CG60">
        <f>N(CN60)+N(CR60)+N(CV60)+N(CZ60)+N(DD60)+N(DH60)+N(DL60)+N(DP60)</f>
        <v/>
      </c>
      <c r="CH60">
        <f>N(CM60)+N(CQ60)+N(CU60)+N(CY60)+N(DC60)+N(DG60)+N(DK60)+N(DO60)</f>
        <v/>
      </c>
      <c r="CI60">
        <f>N(CI59)+N(CH60)</f>
        <v/>
      </c>
      <c r="CJ60">
        <f>N(CO60)+N(CS60)+N(CW60)+N(DA60)+N(DE60)+N(DI60)+N(DM60)+N(DQ60)</f>
        <v/>
      </c>
      <c r="CK60">
        <f>(CO60&gt;0.005)*1+(CS60&gt;0.005)*1+(CW60&gt;0.005)*1+(DA60&gt;0.005)*1+(DE60&gt;0.005)*1+(DI60&gt;0.005)*1+(DM60&gt;0.005)*1+(DQ60&gt;0.005)*1</f>
        <v/>
      </c>
      <c r="CL60">
        <f>N(CO59)</f>
        <v/>
      </c>
      <c r="CM60">
        <f>IF(N(CL60)&lt;=0.005,0,ROUND(N(CL60)*N('Debt List'!E5)/12,2))</f>
        <v/>
      </c>
      <c r="CN60">
        <f>IF(N(CL60)&lt;=0.005,0,MIN(N('Debt List'!F5),N(CL60)+N(CM60)))+((DR60=1)*DT60+(DV60=1)*DX60+(DZ60=1)*EB60+(ED60=1)*EF60+(EH60=1)*EJ60+(EL60=1)*EN60+(EP60=1)*ER60+(ET60=1)*EV60)</f>
        <v/>
      </c>
      <c r="CO60">
        <f>MAX(0,ROUND(N(CL60)+N(CM60)-N(CN60),2))</f>
        <v/>
      </c>
      <c r="CP60">
        <f>N(CS59)</f>
        <v/>
      </c>
      <c r="CQ60">
        <f>IF(N(CP60)&lt;=0.005,0,ROUND(N(CP60)*N('Debt List'!E6)/12,2))</f>
        <v/>
      </c>
      <c r="CR60">
        <f>IF(N(CP60)&lt;=0.005,0,MIN(N('Debt List'!F6),N(CP60)+N(CQ60)))+((DR60=2)*DT60+(DV60=2)*DX60+(DZ60=2)*EB60+(ED60=2)*EF60+(EH60=2)*EJ60+(EL60=2)*EN60+(EP60=2)*ER60+(ET60=2)*EV60)</f>
        <v/>
      </c>
      <c r="CS60">
        <f>MAX(0,ROUND(N(CP60)+N(CQ60)-N(CR60),2))</f>
        <v/>
      </c>
      <c r="CT60">
        <f>N(CW59)</f>
        <v/>
      </c>
      <c r="CU60">
        <f>IF(N(CT60)&lt;=0.005,0,ROUND(N(CT60)*N('Debt List'!E7)/12,2))</f>
        <v/>
      </c>
      <c r="CV60">
        <f>IF(N(CT60)&lt;=0.005,0,MIN(N('Debt List'!F7),N(CT60)+N(CU60)))+((DR60=3)*DT60+(DV60=3)*DX60+(DZ60=3)*EB60+(ED60=3)*EF60+(EH60=3)*EJ60+(EL60=3)*EN60+(EP60=3)*ER60+(ET60=3)*EV60)</f>
        <v/>
      </c>
      <c r="CW60">
        <f>MAX(0,ROUND(N(CT60)+N(CU60)-N(CV60),2))</f>
        <v/>
      </c>
      <c r="CX60">
        <f>N(DA59)</f>
        <v/>
      </c>
      <c r="CY60">
        <f>IF(N(CX60)&lt;=0.005,0,ROUND(N(CX60)*N('Debt List'!E8)/12,2))</f>
        <v/>
      </c>
      <c r="CZ60">
        <f>IF(N(CX60)&lt;=0.005,0,MIN(N('Debt List'!F8),N(CX60)+N(CY60)))+((DR60=4)*DT60+(DV60=4)*DX60+(DZ60=4)*EB60+(ED60=4)*EF60+(EH60=4)*EJ60+(EL60=4)*EN60+(EP60=4)*ER60+(ET60=4)*EV60)</f>
        <v/>
      </c>
      <c r="DA60">
        <f>MAX(0,ROUND(N(CX60)+N(CY60)-N(CZ60),2))</f>
        <v/>
      </c>
      <c r="DB60">
        <f>N(DE59)</f>
        <v/>
      </c>
      <c r="DC60">
        <f>IF(N(DB60)&lt;=0.005,0,ROUND(N(DB60)*N('Debt List'!E9)/12,2))</f>
        <v/>
      </c>
      <c r="DD60">
        <f>IF(N(DB60)&lt;=0.005,0,MIN(N('Debt List'!F9),N(DB60)+N(DC60)))+((DR60=5)*DT60+(DV60=5)*DX60+(DZ60=5)*EB60+(ED60=5)*EF60+(EH60=5)*EJ60+(EL60=5)*EN60+(EP60=5)*ER60+(ET60=5)*EV60)</f>
        <v/>
      </c>
      <c r="DE60">
        <f>MAX(0,ROUND(N(DB60)+N(DC60)-N(DD60),2))</f>
        <v/>
      </c>
      <c r="DF60">
        <f>N(DI59)</f>
        <v/>
      </c>
      <c r="DG60">
        <f>IF(N(DF60)&lt;=0.005,0,ROUND(N(DF60)*N('Debt List'!E10)/12,2))</f>
        <v/>
      </c>
      <c r="DH60">
        <f>IF(N(DF60)&lt;=0.005,0,MIN(N('Debt List'!F10),N(DF60)+N(DG60)))+((DR60=6)*DT60+(DV60=6)*DX60+(DZ60=6)*EB60+(ED60=6)*EF60+(EH60=6)*EJ60+(EL60=6)*EN60+(EP60=6)*ER60+(ET60=6)*EV60)</f>
        <v/>
      </c>
      <c r="DI60">
        <f>MAX(0,ROUND(N(DF60)+N(DG60)-N(DH60),2))</f>
        <v/>
      </c>
      <c r="DJ60">
        <f>N(DM59)</f>
        <v/>
      </c>
      <c r="DK60">
        <f>IF(N(DJ60)&lt;=0.005,0,ROUND(N(DJ60)*N('Debt List'!E11)/12,2))</f>
        <v/>
      </c>
      <c r="DL60">
        <f>IF(N(DJ60)&lt;=0.005,0,MIN(N('Debt List'!F11),N(DJ60)+N(DK60)))+((DR60=7)*DT60+(DV60=7)*DX60+(DZ60=7)*EB60+(ED60=7)*EF60+(EH60=7)*EJ60+(EL60=7)*EN60+(EP60=7)*ER60+(ET60=7)*EV60)</f>
        <v/>
      </c>
      <c r="DM60">
        <f>MAX(0,ROUND(N(DJ60)+N(DK60)-N(DL60),2))</f>
        <v/>
      </c>
      <c r="DN60">
        <f>N(DQ59)</f>
        <v/>
      </c>
      <c r="DO60">
        <f>IF(N(DN60)&lt;=0.005,0,ROUND(N(DN60)*N('Debt List'!E12)/12,2))</f>
        <v/>
      </c>
      <c r="DP60">
        <f>IF(N(DN60)&lt;=0.005,0,MIN(N('Debt List'!F12),N(DN60)+N(DO60)))+((DR60=8)*DT60+(DV60=8)*DX60+(DZ60=8)*EB60+(ED60=8)*EF60+(EH60=8)*EJ60+(EL60=8)*EN60+(EP60=8)*ER60+(ET60=8)*EV60)</f>
        <v/>
      </c>
      <c r="DQ60">
        <f>MAX(0,ROUND(N(DN60)+N(DO60)-N(DP60),2))</f>
        <v/>
      </c>
      <c r="DR60">
        <f>IFERROR(MATCH(1,OrderSnow,0),"")</f>
        <v/>
      </c>
      <c r="DS60">
        <f>IF(DR60="",0,IFERROR(IF(N(CHOOSE(DR60,CL60,CP60,CT60,CX60,DB60,DF60,DJ60,DN60))&lt;=0.005,0,MAX(0,N(CHOOSE(DR60,CL60,CP60,CT60,CX60,DB60,DF60,DJ60,DN60))+N(CHOOSE(DR60,CM60,CQ60,CU60,CY60,DC60,DG60,DK60,DO60))-MIN(N(CHOOSE(DR60,'Debt List'!$F$5,'Debt List'!$F$6,'Debt List'!$F$7,'Debt List'!$F$8,'Debt List'!$F$9,'Debt List'!$F$10,'Debt List'!$F$11,'Debt List'!$F$12)),N(CHOOSE(DR60,CL60,CP60,CT60,CX60,DB60,DF60,DJ60,DN60))+N(CHOOSE(DR60,CM60,CQ60,CU60,CY60,DC60,DG60,DK60,DO60))))),0))</f>
        <v/>
      </c>
      <c r="DT60">
        <f>MIN(N(DS60),MAX(0,N(ExtraPayment)))</f>
        <v/>
      </c>
      <c r="DU60">
        <f>MAX(0,N(ExtraPayment)-N(DT60))</f>
        <v/>
      </c>
      <c r="DV60">
        <f>IFERROR(MATCH(2,OrderSnow,0),"")</f>
        <v/>
      </c>
      <c r="DW60">
        <f>IF(DV60="",0,IFERROR(IF(N(CHOOSE(DV60,CL60,CP60,CT60,CX60,DB60,DF60,DJ60,DN60))&lt;=0.005,0,MAX(0,N(CHOOSE(DV60,CL60,CP60,CT60,CX60,DB60,DF60,DJ60,DN60))+N(CHOOSE(DV60,CM60,CQ60,CU60,CY60,DC60,DG60,DK60,DO60))-MIN(N(CHOOSE(DV60,'Debt List'!$F$5,'Debt List'!$F$6,'Debt List'!$F$7,'Debt List'!$F$8,'Debt List'!$F$9,'Debt List'!$F$10,'Debt List'!$F$11,'Debt List'!$F$12)),N(CHOOSE(DV60,CL60,CP60,CT60,CX60,DB60,DF60,DJ60,DN60))+N(CHOOSE(DV60,CM60,CQ60,CU60,CY60,DC60,DG60,DK60,DO60))))),0))</f>
        <v/>
      </c>
      <c r="DX60">
        <f>MIN(N(DW60),MAX(0,N(DU60)))</f>
        <v/>
      </c>
      <c r="DY60">
        <f>MAX(0,N(DU60)-N(DX60))</f>
        <v/>
      </c>
      <c r="DZ60">
        <f>IFERROR(MATCH(3,OrderSnow,0),"")</f>
        <v/>
      </c>
      <c r="EA60">
        <f>IF(DZ60="",0,IFERROR(IF(N(CHOOSE(DZ60,CL60,CP60,CT60,CX60,DB60,DF60,DJ60,DN60))&lt;=0.005,0,MAX(0,N(CHOOSE(DZ60,CL60,CP60,CT60,CX60,DB60,DF60,DJ60,DN60))+N(CHOOSE(DZ60,CM60,CQ60,CU60,CY60,DC60,DG60,DK60,DO60))-MIN(N(CHOOSE(DZ60,'Debt List'!$F$5,'Debt List'!$F$6,'Debt List'!$F$7,'Debt List'!$F$8,'Debt List'!$F$9,'Debt List'!$F$10,'Debt List'!$F$11,'Debt List'!$F$12)),N(CHOOSE(DZ60,CL60,CP60,CT60,CX60,DB60,DF60,DJ60,DN60))+N(CHOOSE(DZ60,CM60,CQ60,CU60,CY60,DC60,DG60,DK60,DO60))))),0))</f>
        <v/>
      </c>
      <c r="EB60">
        <f>MIN(N(EA60),MAX(0,N(DY60)))</f>
        <v/>
      </c>
      <c r="EC60">
        <f>MAX(0,N(DY60)-N(EB60))</f>
        <v/>
      </c>
      <c r="ED60">
        <f>IFERROR(MATCH(4,OrderSnow,0),"")</f>
        <v/>
      </c>
      <c r="EE60">
        <f>IF(ED60="",0,IFERROR(IF(N(CHOOSE(ED60,CL60,CP60,CT60,CX60,DB60,DF60,DJ60,DN60))&lt;=0.005,0,MAX(0,N(CHOOSE(ED60,CL60,CP60,CT60,CX60,DB60,DF60,DJ60,DN60))+N(CHOOSE(ED60,CM60,CQ60,CU60,CY60,DC60,DG60,DK60,DO60))-MIN(N(CHOOSE(ED60,'Debt List'!$F$5,'Debt List'!$F$6,'Debt List'!$F$7,'Debt List'!$F$8,'Debt List'!$F$9,'Debt List'!$F$10,'Debt List'!$F$11,'Debt List'!$F$12)),N(CHOOSE(ED60,CL60,CP60,CT60,CX60,DB60,DF60,DJ60,DN60))+N(CHOOSE(ED60,CM60,CQ60,CU60,CY60,DC60,DG60,DK60,DO60))))),0))</f>
        <v/>
      </c>
      <c r="EF60">
        <f>MIN(N(EE60),MAX(0,N(EC60)))</f>
        <v/>
      </c>
      <c r="EG60">
        <f>MAX(0,N(EC60)-N(EF60))</f>
        <v/>
      </c>
      <c r="EH60">
        <f>IFERROR(MATCH(5,OrderSnow,0),"")</f>
        <v/>
      </c>
      <c r="EI60">
        <f>IF(EH60="",0,IFERROR(IF(N(CHOOSE(EH60,CL60,CP60,CT60,CX60,DB60,DF60,DJ60,DN60))&lt;=0.005,0,MAX(0,N(CHOOSE(EH60,CL60,CP60,CT60,CX60,DB60,DF60,DJ60,DN60))+N(CHOOSE(EH60,CM60,CQ60,CU60,CY60,DC60,DG60,DK60,DO60))-MIN(N(CHOOSE(EH60,'Debt List'!$F$5,'Debt List'!$F$6,'Debt List'!$F$7,'Debt List'!$F$8,'Debt List'!$F$9,'Debt List'!$F$10,'Debt List'!$F$11,'Debt List'!$F$12)),N(CHOOSE(EH60,CL60,CP60,CT60,CX60,DB60,DF60,DJ60,DN60))+N(CHOOSE(EH60,CM60,CQ60,CU60,CY60,DC60,DG60,DK60,DO60))))),0))</f>
        <v/>
      </c>
      <c r="EJ60">
        <f>MIN(N(EI60),MAX(0,N(EG60)))</f>
        <v/>
      </c>
      <c r="EK60">
        <f>MAX(0,N(EG60)-N(EJ60))</f>
        <v/>
      </c>
      <c r="EL60">
        <f>IFERROR(MATCH(6,OrderSnow,0),"")</f>
        <v/>
      </c>
      <c r="EM60">
        <f>IF(EL60="",0,IFERROR(IF(N(CHOOSE(EL60,CL60,CP60,CT60,CX60,DB60,DF60,DJ60,DN60))&lt;=0.005,0,MAX(0,N(CHOOSE(EL60,CL60,CP60,CT60,CX60,DB60,DF60,DJ60,DN60))+N(CHOOSE(EL60,CM60,CQ60,CU60,CY60,DC60,DG60,DK60,DO60))-MIN(N(CHOOSE(EL60,'Debt List'!$F$5,'Debt List'!$F$6,'Debt List'!$F$7,'Debt List'!$F$8,'Debt List'!$F$9,'Debt List'!$F$10,'Debt List'!$F$11,'Debt List'!$F$12)),N(CHOOSE(EL60,CL60,CP60,CT60,CX60,DB60,DF60,DJ60,DN60))+N(CHOOSE(EL60,CM60,CQ60,CU60,CY60,DC60,DG60,DK60,DO60))))),0))</f>
        <v/>
      </c>
      <c r="EN60">
        <f>MIN(N(EM60),MAX(0,N(EK60)))</f>
        <v/>
      </c>
      <c r="EO60">
        <f>MAX(0,N(EK60)-N(EN60))</f>
        <v/>
      </c>
      <c r="EP60">
        <f>IFERROR(MATCH(7,OrderSnow,0),"")</f>
        <v/>
      </c>
      <c r="EQ60">
        <f>IF(EP60="",0,IFERROR(IF(N(CHOOSE(EP60,CL60,CP60,CT60,CX60,DB60,DF60,DJ60,DN60))&lt;=0.005,0,MAX(0,N(CHOOSE(EP60,CL60,CP60,CT60,CX60,DB60,DF60,DJ60,DN60))+N(CHOOSE(EP60,CM60,CQ60,CU60,CY60,DC60,DG60,DK60,DO60))-MIN(N(CHOOSE(EP60,'Debt List'!$F$5,'Debt List'!$F$6,'Debt List'!$F$7,'Debt List'!$F$8,'Debt List'!$F$9,'Debt List'!$F$10,'Debt List'!$F$11,'Debt List'!$F$12)),N(CHOOSE(EP60,CL60,CP60,CT60,CX60,DB60,DF60,DJ60,DN60))+N(CHOOSE(EP60,CM60,CQ60,CU60,CY60,DC60,DG60,DK60,DO60))))),0))</f>
        <v/>
      </c>
      <c r="ER60">
        <f>MIN(N(EQ60),MAX(0,N(EO60)))</f>
        <v/>
      </c>
      <c r="ES60">
        <f>MAX(0,N(EO60)-N(ER60))</f>
        <v/>
      </c>
      <c r="ET60">
        <f>IFERROR(MATCH(8,OrderSnow,0),"")</f>
        <v/>
      </c>
      <c r="EU60">
        <f>IF(ET60="",0,IFERROR(IF(N(CHOOSE(ET60,CL60,CP60,CT60,CX60,DB60,DF60,DJ60,DN60))&lt;=0.005,0,MAX(0,N(CHOOSE(ET60,CL60,CP60,CT60,CX60,DB60,DF60,DJ60,DN60))+N(CHOOSE(ET60,CM60,CQ60,CU60,CY60,DC60,DG60,DK60,DO60))-MIN(N(CHOOSE(ET60,'Debt List'!$F$5,'Debt List'!$F$6,'Debt List'!$F$7,'Debt List'!$F$8,'Debt List'!$F$9,'Debt List'!$F$10,'Debt List'!$F$11,'Debt List'!$F$12)),N(CHOOSE(ET60,CL60,CP60,CT60,CX60,DB60,DF60,DJ60,DN60))+N(CHOOSE(ET60,CM60,CQ60,CU60,CY60,DC60,DG60,DK60,DO60))))),0))</f>
        <v/>
      </c>
      <c r="EV60">
        <f>MIN(N(EU60),MAX(0,N(ES60)))</f>
        <v/>
      </c>
      <c r="EW60">
        <f>MAX(0,N(ES60)-N(EV60))</f>
        <v/>
      </c>
      <c r="FE60" t="n">
        <v>56</v>
      </c>
      <c r="FF60" s="115">
        <f>DATE(YEAR(PlanStart),MONTH(PlanStart)+FE60-1,1)</f>
        <v/>
      </c>
      <c r="FG60">
        <f>IF(AND(GT60&lt;&gt;"",N(CHOOSE(GT60,FN60,FR60,FV60,FZ60,GD60,GH60,GL60,GP60))&gt;0.005),INDEX(DebtNames,GT60),IF(AND(GX60&lt;&gt;"",N(CHOOSE(GX60,FN60,FR60,FV60,FZ60,GD60,GH60,GL60,GP60))&gt;0.005),INDEX(DebtNames,GX60),IF(AND(HB60&lt;&gt;"",N(CHOOSE(HB60,FN60,FR60,FV60,FZ60,GD60,GH60,GL60,GP60))&gt;0.005),INDEX(DebtNames,HB60),IF(AND(HF60&lt;&gt;"",N(CHOOSE(HF60,FN60,FR60,FV60,FZ60,GD60,GH60,GL60,GP60))&gt;0.005),INDEX(DebtNames,HF60),IF(AND(HJ60&lt;&gt;"",N(CHOOSE(HJ60,FN60,FR60,FV60,FZ60,GD60,GH60,GL60,GP60))&gt;0.005),INDEX(DebtNames,HJ60),IF(AND(HN60&lt;&gt;"",N(CHOOSE(HN60,FN60,FR60,FV60,FZ60,GD60,GH60,GL60,GP60))&gt;0.005),INDEX(DebtNames,HN60),IF(AND(HR60&lt;&gt;"",N(CHOOSE(HR60,FN60,FR60,FV60,FZ60,GD60,GH60,GL60,GP60))&gt;0.005),INDEX(DebtNames,HR60),IF(AND(HV60&lt;&gt;"",N(CHOOSE(HV60,FN60,FR60,FV60,FZ60,GD60,GH60,GL60,GP60))&gt;0.005),INDEX(DebtNames,HV60),""))))))))</f>
        <v/>
      </c>
      <c r="FH60">
        <f>N(HY60)</f>
        <v/>
      </c>
      <c r="FI60">
        <f>N(FP60)+N(FT60)+N(FX60)+N(GB60)+N(GF60)+N(GJ60)+N(GN60)+N(GR60)</f>
        <v/>
      </c>
      <c r="FJ60">
        <f>N(FO60)+N(FS60)+N(FW60)+N(GA60)+N(GE60)+N(GI60)+N(GM60)+N(GQ60)</f>
        <v/>
      </c>
      <c r="FK60">
        <f>N(FK59)+N(FJ60)</f>
        <v/>
      </c>
      <c r="FL60">
        <f>N(FQ60)+N(FU60)+N(FY60)+N(GC60)+N(GG60)+N(GK60)+N(GO60)+N(GS60)</f>
        <v/>
      </c>
      <c r="FM60">
        <f>(FQ60&gt;0.005)*1+(FU60&gt;0.005)*1+(FY60&gt;0.005)*1+(GC60&gt;0.005)*1+(GG60&gt;0.005)*1+(GK60&gt;0.005)*1+(GO60&gt;0.005)*1+(GS60&gt;0.005)*1</f>
        <v/>
      </c>
      <c r="FN60">
        <f>N(FQ59)</f>
        <v/>
      </c>
      <c r="FO60">
        <f>IF(N(FN60)&lt;=0.005,0,ROUND(N(FN60)*N('Debt List'!E5)/12,2))</f>
        <v/>
      </c>
      <c r="FP60">
        <f>IF(N(FN60)&lt;=0.005,0,MIN(N('Debt List'!F5),N(FN60)+N(FO60)))+((GT60=1)*GV60+(GX60=1)*GZ60+(HB60=1)*HD60+(HF60=1)*HH60+(HJ60=1)*HL60+(HN60=1)*HP60+(HR60=1)*HT60+(HV60=1)*HX60)</f>
        <v/>
      </c>
      <c r="FQ60">
        <f>MAX(0,ROUND(N(FN60)+N(FO60)-N(FP60),2))</f>
        <v/>
      </c>
      <c r="FR60">
        <f>N(FU59)</f>
        <v/>
      </c>
      <c r="FS60">
        <f>IF(N(FR60)&lt;=0.005,0,ROUND(N(FR60)*N('Debt List'!E6)/12,2))</f>
        <v/>
      </c>
      <c r="FT60">
        <f>IF(N(FR60)&lt;=0.005,0,MIN(N('Debt List'!F6),N(FR60)+N(FS60)))+((GT60=2)*GV60+(GX60=2)*GZ60+(HB60=2)*HD60+(HF60=2)*HH60+(HJ60=2)*HL60+(HN60=2)*HP60+(HR60=2)*HT60+(HV60=2)*HX60)</f>
        <v/>
      </c>
      <c r="FU60">
        <f>MAX(0,ROUND(N(FR60)+N(FS60)-N(FT60),2))</f>
        <v/>
      </c>
      <c r="FV60">
        <f>N(FY59)</f>
        <v/>
      </c>
      <c r="FW60">
        <f>IF(N(FV60)&lt;=0.005,0,ROUND(N(FV60)*N('Debt List'!E7)/12,2))</f>
        <v/>
      </c>
      <c r="FX60">
        <f>IF(N(FV60)&lt;=0.005,0,MIN(N('Debt List'!F7),N(FV60)+N(FW60)))+((GT60=3)*GV60+(GX60=3)*GZ60+(HB60=3)*HD60+(HF60=3)*HH60+(HJ60=3)*HL60+(HN60=3)*HP60+(HR60=3)*HT60+(HV60=3)*HX60)</f>
        <v/>
      </c>
      <c r="FY60">
        <f>MAX(0,ROUND(N(FV60)+N(FW60)-N(FX60),2))</f>
        <v/>
      </c>
      <c r="FZ60">
        <f>N(GC59)</f>
        <v/>
      </c>
      <c r="GA60">
        <f>IF(N(FZ60)&lt;=0.005,0,ROUND(N(FZ60)*N('Debt List'!E8)/12,2))</f>
        <v/>
      </c>
      <c r="GB60">
        <f>IF(N(FZ60)&lt;=0.005,0,MIN(N('Debt List'!F8),N(FZ60)+N(GA60)))+((GT60=4)*GV60+(GX60=4)*GZ60+(HB60=4)*HD60+(HF60=4)*HH60+(HJ60=4)*HL60+(HN60=4)*HP60+(HR60=4)*HT60+(HV60=4)*HX60)</f>
        <v/>
      </c>
      <c r="GC60">
        <f>MAX(0,ROUND(N(FZ60)+N(GA60)-N(GB60),2))</f>
        <v/>
      </c>
      <c r="GD60">
        <f>N(GG59)</f>
        <v/>
      </c>
      <c r="GE60">
        <f>IF(N(GD60)&lt;=0.005,0,ROUND(N(GD60)*N('Debt List'!E9)/12,2))</f>
        <v/>
      </c>
      <c r="GF60">
        <f>IF(N(GD60)&lt;=0.005,0,MIN(N('Debt List'!F9),N(GD60)+N(GE60)))+((GT60=5)*GV60+(GX60=5)*GZ60+(HB60=5)*HD60+(HF60=5)*HH60+(HJ60=5)*HL60+(HN60=5)*HP60+(HR60=5)*HT60+(HV60=5)*HX60)</f>
        <v/>
      </c>
      <c r="GG60">
        <f>MAX(0,ROUND(N(GD60)+N(GE60)-N(GF60),2))</f>
        <v/>
      </c>
      <c r="GH60">
        <f>N(GK59)</f>
        <v/>
      </c>
      <c r="GI60">
        <f>IF(N(GH60)&lt;=0.005,0,ROUND(N(GH60)*N('Debt List'!E10)/12,2))</f>
        <v/>
      </c>
      <c r="GJ60">
        <f>IF(N(GH60)&lt;=0.005,0,MIN(N('Debt List'!F10),N(GH60)+N(GI60)))+((GT60=6)*GV60+(GX60=6)*GZ60+(HB60=6)*HD60+(HF60=6)*HH60+(HJ60=6)*HL60+(HN60=6)*HP60+(HR60=6)*HT60+(HV60=6)*HX60)</f>
        <v/>
      </c>
      <c r="GK60">
        <f>MAX(0,ROUND(N(GH60)+N(GI60)-N(GJ60),2))</f>
        <v/>
      </c>
      <c r="GL60">
        <f>N(GO59)</f>
        <v/>
      </c>
      <c r="GM60">
        <f>IF(N(GL60)&lt;=0.005,0,ROUND(N(GL60)*N('Debt List'!E11)/12,2))</f>
        <v/>
      </c>
      <c r="GN60">
        <f>IF(N(GL60)&lt;=0.005,0,MIN(N('Debt List'!F11),N(GL60)+N(GM60)))+((GT60=7)*GV60+(GX60=7)*GZ60+(HB60=7)*HD60+(HF60=7)*HH60+(HJ60=7)*HL60+(HN60=7)*HP60+(HR60=7)*HT60+(HV60=7)*HX60)</f>
        <v/>
      </c>
      <c r="GO60">
        <f>MAX(0,ROUND(N(GL60)+N(GM60)-N(GN60),2))</f>
        <v/>
      </c>
      <c r="GP60">
        <f>N(GS59)</f>
        <v/>
      </c>
      <c r="GQ60">
        <f>IF(N(GP60)&lt;=0.005,0,ROUND(N(GP60)*N('Debt List'!E12)/12,2))</f>
        <v/>
      </c>
      <c r="GR60">
        <f>IF(N(GP60)&lt;=0.005,0,MIN(N('Debt List'!F12),N(GP60)+N(GQ60)))+((GT60=8)*GV60+(GX60=8)*GZ60+(HB60=8)*HD60+(HF60=8)*HH60+(HJ60=8)*HL60+(HN60=8)*HP60+(HR60=8)*HT60+(HV60=8)*HX60)</f>
        <v/>
      </c>
      <c r="GS60">
        <f>MAX(0,ROUND(N(GP60)+N(GQ60)-N(GR60),2))</f>
        <v/>
      </c>
      <c r="GT60">
        <f>IFERROR(MATCH(1,OrderAval,0),"")</f>
        <v/>
      </c>
      <c r="GU60">
        <f>IF(GT60="",0,IFERROR(IF(N(CHOOSE(GT60,FN60,FR60,FV60,FZ60,GD60,GH60,GL60,GP60))&lt;=0.005,0,MAX(0,N(CHOOSE(GT60,FN60,FR60,FV60,FZ60,GD60,GH60,GL60,GP60))+N(CHOOSE(GT60,FO60,FS60,FW60,GA60,GE60,GI60,GM60,GQ60))-MIN(N(CHOOSE(GT60,'Debt List'!$F$5,'Debt List'!$F$6,'Debt List'!$F$7,'Debt List'!$F$8,'Debt List'!$F$9,'Debt List'!$F$10,'Debt List'!$F$11,'Debt List'!$F$12)),N(CHOOSE(GT60,FN60,FR60,FV60,FZ60,GD60,GH60,GL60,GP60))+N(CHOOSE(GT60,FO60,FS60,FW60,GA60,GE60,GI60,GM60,GQ60))))),0))</f>
        <v/>
      </c>
      <c r="GV60">
        <f>MIN(N(GU60),MAX(0,N(ExtraPayment)))</f>
        <v/>
      </c>
      <c r="GW60">
        <f>MAX(0,N(ExtraPayment)-N(GV60))</f>
        <v/>
      </c>
      <c r="GX60">
        <f>IFERROR(MATCH(2,OrderAval,0),"")</f>
        <v/>
      </c>
      <c r="GY60">
        <f>IF(GX60="",0,IFERROR(IF(N(CHOOSE(GX60,FN60,FR60,FV60,FZ60,GD60,GH60,GL60,GP60))&lt;=0.005,0,MAX(0,N(CHOOSE(GX60,FN60,FR60,FV60,FZ60,GD60,GH60,GL60,GP60))+N(CHOOSE(GX60,FO60,FS60,FW60,GA60,GE60,GI60,GM60,GQ60))-MIN(N(CHOOSE(GX60,'Debt List'!$F$5,'Debt List'!$F$6,'Debt List'!$F$7,'Debt List'!$F$8,'Debt List'!$F$9,'Debt List'!$F$10,'Debt List'!$F$11,'Debt List'!$F$12)),N(CHOOSE(GX60,FN60,FR60,FV60,FZ60,GD60,GH60,GL60,GP60))+N(CHOOSE(GX60,FO60,FS60,FW60,GA60,GE60,GI60,GM60,GQ60))))),0))</f>
        <v/>
      </c>
      <c r="GZ60">
        <f>MIN(N(GY60),MAX(0,N(GW60)))</f>
        <v/>
      </c>
      <c r="HA60">
        <f>MAX(0,N(GW60)-N(GZ60))</f>
        <v/>
      </c>
      <c r="HB60">
        <f>IFERROR(MATCH(3,OrderAval,0),"")</f>
        <v/>
      </c>
      <c r="HC60">
        <f>IF(HB60="",0,IFERROR(IF(N(CHOOSE(HB60,FN60,FR60,FV60,FZ60,GD60,GH60,GL60,GP60))&lt;=0.005,0,MAX(0,N(CHOOSE(HB60,FN60,FR60,FV60,FZ60,GD60,GH60,GL60,GP60))+N(CHOOSE(HB60,FO60,FS60,FW60,GA60,GE60,GI60,GM60,GQ60))-MIN(N(CHOOSE(HB60,'Debt List'!$F$5,'Debt List'!$F$6,'Debt List'!$F$7,'Debt List'!$F$8,'Debt List'!$F$9,'Debt List'!$F$10,'Debt List'!$F$11,'Debt List'!$F$12)),N(CHOOSE(HB60,FN60,FR60,FV60,FZ60,GD60,GH60,GL60,GP60))+N(CHOOSE(HB60,FO60,FS60,FW60,GA60,GE60,GI60,GM60,GQ60))))),0))</f>
        <v/>
      </c>
      <c r="HD60">
        <f>MIN(N(HC60),MAX(0,N(HA60)))</f>
        <v/>
      </c>
      <c r="HE60">
        <f>MAX(0,N(HA60)-N(HD60))</f>
        <v/>
      </c>
      <c r="HF60">
        <f>IFERROR(MATCH(4,OrderAval,0),"")</f>
        <v/>
      </c>
      <c r="HG60">
        <f>IF(HF60="",0,IFERROR(IF(N(CHOOSE(HF60,FN60,FR60,FV60,FZ60,GD60,GH60,GL60,GP60))&lt;=0.005,0,MAX(0,N(CHOOSE(HF60,FN60,FR60,FV60,FZ60,GD60,GH60,GL60,GP60))+N(CHOOSE(HF60,FO60,FS60,FW60,GA60,GE60,GI60,GM60,GQ60))-MIN(N(CHOOSE(HF60,'Debt List'!$F$5,'Debt List'!$F$6,'Debt List'!$F$7,'Debt List'!$F$8,'Debt List'!$F$9,'Debt List'!$F$10,'Debt List'!$F$11,'Debt List'!$F$12)),N(CHOOSE(HF60,FN60,FR60,FV60,FZ60,GD60,GH60,GL60,GP60))+N(CHOOSE(HF60,FO60,FS60,FW60,GA60,GE60,GI60,GM60,GQ60))))),0))</f>
        <v/>
      </c>
      <c r="HH60">
        <f>MIN(N(HG60),MAX(0,N(HE60)))</f>
        <v/>
      </c>
      <c r="HI60">
        <f>MAX(0,N(HE60)-N(HH60))</f>
        <v/>
      </c>
      <c r="HJ60">
        <f>IFERROR(MATCH(5,OrderAval,0),"")</f>
        <v/>
      </c>
      <c r="HK60">
        <f>IF(HJ60="",0,IFERROR(IF(N(CHOOSE(HJ60,FN60,FR60,FV60,FZ60,GD60,GH60,GL60,GP60))&lt;=0.005,0,MAX(0,N(CHOOSE(HJ60,FN60,FR60,FV60,FZ60,GD60,GH60,GL60,GP60))+N(CHOOSE(HJ60,FO60,FS60,FW60,GA60,GE60,GI60,GM60,GQ60))-MIN(N(CHOOSE(HJ60,'Debt List'!$F$5,'Debt List'!$F$6,'Debt List'!$F$7,'Debt List'!$F$8,'Debt List'!$F$9,'Debt List'!$F$10,'Debt List'!$F$11,'Debt List'!$F$12)),N(CHOOSE(HJ60,FN60,FR60,FV60,FZ60,GD60,GH60,GL60,GP60))+N(CHOOSE(HJ60,FO60,FS60,FW60,GA60,GE60,GI60,GM60,GQ60))))),0))</f>
        <v/>
      </c>
      <c r="HL60">
        <f>MIN(N(HK60),MAX(0,N(HI60)))</f>
        <v/>
      </c>
      <c r="HM60">
        <f>MAX(0,N(HI60)-N(HL60))</f>
        <v/>
      </c>
      <c r="HN60">
        <f>IFERROR(MATCH(6,OrderAval,0),"")</f>
        <v/>
      </c>
      <c r="HO60">
        <f>IF(HN60="",0,IFERROR(IF(N(CHOOSE(HN60,FN60,FR60,FV60,FZ60,GD60,GH60,GL60,GP60))&lt;=0.005,0,MAX(0,N(CHOOSE(HN60,FN60,FR60,FV60,FZ60,GD60,GH60,GL60,GP60))+N(CHOOSE(HN60,FO60,FS60,FW60,GA60,GE60,GI60,GM60,GQ60))-MIN(N(CHOOSE(HN60,'Debt List'!$F$5,'Debt List'!$F$6,'Debt List'!$F$7,'Debt List'!$F$8,'Debt List'!$F$9,'Debt List'!$F$10,'Debt List'!$F$11,'Debt List'!$F$12)),N(CHOOSE(HN60,FN60,FR60,FV60,FZ60,GD60,GH60,GL60,GP60))+N(CHOOSE(HN60,FO60,FS60,FW60,GA60,GE60,GI60,GM60,GQ60))))),0))</f>
        <v/>
      </c>
      <c r="HP60">
        <f>MIN(N(HO60),MAX(0,N(HM60)))</f>
        <v/>
      </c>
      <c r="HQ60">
        <f>MAX(0,N(HM60)-N(HP60))</f>
        <v/>
      </c>
      <c r="HR60">
        <f>IFERROR(MATCH(7,OrderAval,0),"")</f>
        <v/>
      </c>
      <c r="HS60">
        <f>IF(HR60="",0,IFERROR(IF(N(CHOOSE(HR60,FN60,FR60,FV60,FZ60,GD60,GH60,GL60,GP60))&lt;=0.005,0,MAX(0,N(CHOOSE(HR60,FN60,FR60,FV60,FZ60,GD60,GH60,GL60,GP60))+N(CHOOSE(HR60,FO60,FS60,FW60,GA60,GE60,GI60,GM60,GQ60))-MIN(N(CHOOSE(HR60,'Debt List'!$F$5,'Debt List'!$F$6,'Debt List'!$F$7,'Debt List'!$F$8,'Debt List'!$F$9,'Debt List'!$F$10,'Debt List'!$F$11,'Debt List'!$F$12)),N(CHOOSE(HR60,FN60,FR60,FV60,FZ60,GD60,GH60,GL60,GP60))+N(CHOOSE(HR60,FO60,FS60,FW60,GA60,GE60,GI60,GM60,GQ60))))),0))</f>
        <v/>
      </c>
      <c r="HT60">
        <f>MIN(N(HS60),MAX(0,N(HQ60)))</f>
        <v/>
      </c>
      <c r="HU60">
        <f>MAX(0,N(HQ60)-N(HT60))</f>
        <v/>
      </c>
      <c r="HV60">
        <f>IFERROR(MATCH(8,OrderAval,0),"")</f>
        <v/>
      </c>
      <c r="HW60">
        <f>IF(HV60="",0,IFERROR(IF(N(CHOOSE(HV60,FN60,FR60,FV60,FZ60,GD60,GH60,GL60,GP60))&lt;=0.005,0,MAX(0,N(CHOOSE(HV60,FN60,FR60,FV60,FZ60,GD60,GH60,GL60,GP60))+N(CHOOSE(HV60,FO60,FS60,FW60,GA60,GE60,GI60,GM60,GQ60))-MIN(N(CHOOSE(HV60,'Debt List'!$F$5,'Debt List'!$F$6,'Debt List'!$F$7,'Debt List'!$F$8,'Debt List'!$F$9,'Debt List'!$F$10,'Debt List'!$F$11,'Debt List'!$F$12)),N(CHOOSE(HV60,FN60,FR60,FV60,FZ60,GD60,GH60,GL60,GP60))+N(CHOOSE(HV60,FO60,FS60,FW60,GA60,GE60,GI60,GM60,GQ60))))),0))</f>
        <v/>
      </c>
      <c r="HX60">
        <f>MIN(N(HW60),MAX(0,N(HU60)))</f>
        <v/>
      </c>
      <c r="HY60">
        <f>MAX(0,N(HU60)-N(HX60))</f>
        <v/>
      </c>
    </row>
    <row r="61">
      <c r="A61" t="n">
        <v>57</v>
      </c>
      <c r="B61" s="115">
        <f>DATE(YEAR(PlanStart),MONTH(PlanStart)+A61-1,1)</f>
        <v/>
      </c>
      <c r="C61">
        <f>IF(AND(AP61&lt;&gt;"",N(CHOOSE(AP61,J61,N61,R61,V61,Z61,AD61,AH61,AL61))&gt;0.005),INDEX(DebtNames,AP61),IF(AND(AT61&lt;&gt;"",N(CHOOSE(AT61,J61,N61,R61,V61,Z61,AD61,AH61,AL61))&gt;0.005),INDEX(DebtNames,AT61),IF(AND(AX61&lt;&gt;"",N(CHOOSE(AX61,J61,N61,R61,V61,Z61,AD61,AH61,AL61))&gt;0.005),INDEX(DebtNames,AX61),IF(AND(BB61&lt;&gt;"",N(CHOOSE(BB61,J61,N61,R61,V61,Z61,AD61,AH61,AL61))&gt;0.005),INDEX(DebtNames,BB61),IF(AND(BF61&lt;&gt;"",N(CHOOSE(BF61,J61,N61,R61,V61,Z61,AD61,AH61,AL61))&gt;0.005),INDEX(DebtNames,BF61),IF(AND(BJ61&lt;&gt;"",N(CHOOSE(BJ61,J61,N61,R61,V61,Z61,AD61,AH61,AL61))&gt;0.005),INDEX(DebtNames,BJ61),IF(AND(BN61&lt;&gt;"",N(CHOOSE(BN61,J61,N61,R61,V61,Z61,AD61,AH61,AL61))&gt;0.005),INDEX(DebtNames,BN61),IF(AND(BR61&lt;&gt;"",N(CHOOSE(BR61,J61,N61,R61,V61,Z61,AD61,AH61,AL61))&gt;0.005),INDEX(DebtNames,BR61),""))))))))</f>
        <v/>
      </c>
      <c r="D61">
        <f>N(BU61)</f>
        <v/>
      </c>
      <c r="E61">
        <f>N(L61)+N(P61)+N(T61)+N(X61)+N(AB61)+N(AF61)+N(AJ61)+N(AN61)</f>
        <v/>
      </c>
      <c r="F61">
        <f>N(K61)+N(O61)+N(S61)+N(W61)+N(AA61)+N(AE61)+N(AI61)+N(AM61)</f>
        <v/>
      </c>
      <c r="G61">
        <f>N(G60)+N(F61)</f>
        <v/>
      </c>
      <c r="H61">
        <f>N(M61)+N(Q61)+N(U61)+N(Y61)+N(AC61)+N(AG61)+N(AK61)+N(AO61)</f>
        <v/>
      </c>
      <c r="I61">
        <f>(M61&gt;0.005)*1+(Q61&gt;0.005)*1+(U61&gt;0.005)*1+(Y61&gt;0.005)*1+(AC61&gt;0.005)*1+(AG61&gt;0.005)*1+(AK61&gt;0.005)*1+(AO61&gt;0.005)*1</f>
        <v/>
      </c>
      <c r="J61">
        <f>N(M60)</f>
        <v/>
      </c>
      <c r="K61">
        <f>IF(N(J61)&lt;=0.005,0,ROUND(N(J61)*N('Debt List'!E5)/12,2))</f>
        <v/>
      </c>
      <c r="L61">
        <f>IF(N(J61)&lt;=0.005,0,MIN(N('Debt List'!F5),N(J61)+N(K61)))+((AP61=1)*AR61+(AT61=1)*AV61+(AX61=1)*AZ61+(BB61=1)*BD61+(BF61=1)*BH61+(BJ61=1)*BL61+(BN61=1)*BP61+(BR61=1)*BT61)</f>
        <v/>
      </c>
      <c r="M61">
        <f>MAX(0,ROUND(N(J61)+N(K61)-N(L61),2))</f>
        <v/>
      </c>
      <c r="N61">
        <f>N(Q60)</f>
        <v/>
      </c>
      <c r="O61">
        <f>IF(N(N61)&lt;=0.005,0,ROUND(N(N61)*N('Debt List'!E6)/12,2))</f>
        <v/>
      </c>
      <c r="P61">
        <f>IF(N(N61)&lt;=0.005,0,MIN(N('Debt List'!F6),N(N61)+N(O61)))+((AP61=2)*AR61+(AT61=2)*AV61+(AX61=2)*AZ61+(BB61=2)*BD61+(BF61=2)*BH61+(BJ61=2)*BL61+(BN61=2)*BP61+(BR61=2)*BT61)</f>
        <v/>
      </c>
      <c r="Q61">
        <f>MAX(0,ROUND(N(N61)+N(O61)-N(P61),2))</f>
        <v/>
      </c>
      <c r="R61">
        <f>N(U60)</f>
        <v/>
      </c>
      <c r="S61">
        <f>IF(N(R61)&lt;=0.005,0,ROUND(N(R61)*N('Debt List'!E7)/12,2))</f>
        <v/>
      </c>
      <c r="T61">
        <f>IF(N(R61)&lt;=0.005,0,MIN(N('Debt List'!F7),N(R61)+N(S61)))+((AP61=3)*AR61+(AT61=3)*AV61+(AX61=3)*AZ61+(BB61=3)*BD61+(BF61=3)*BH61+(BJ61=3)*BL61+(BN61=3)*BP61+(BR61=3)*BT61)</f>
        <v/>
      </c>
      <c r="U61">
        <f>MAX(0,ROUND(N(R61)+N(S61)-N(T61),2))</f>
        <v/>
      </c>
      <c r="V61">
        <f>N(Y60)</f>
        <v/>
      </c>
      <c r="W61">
        <f>IF(N(V61)&lt;=0.005,0,ROUND(N(V61)*N('Debt List'!E8)/12,2))</f>
        <v/>
      </c>
      <c r="X61">
        <f>IF(N(V61)&lt;=0.005,0,MIN(N('Debt List'!F8),N(V61)+N(W61)))+((AP61=4)*AR61+(AT61=4)*AV61+(AX61=4)*AZ61+(BB61=4)*BD61+(BF61=4)*BH61+(BJ61=4)*BL61+(BN61=4)*BP61+(BR61=4)*BT61)</f>
        <v/>
      </c>
      <c r="Y61">
        <f>MAX(0,ROUND(N(V61)+N(W61)-N(X61),2))</f>
        <v/>
      </c>
      <c r="Z61">
        <f>N(AC60)</f>
        <v/>
      </c>
      <c r="AA61">
        <f>IF(N(Z61)&lt;=0.005,0,ROUND(N(Z61)*N('Debt List'!E9)/12,2))</f>
        <v/>
      </c>
      <c r="AB61">
        <f>IF(N(Z61)&lt;=0.005,0,MIN(N('Debt List'!F9),N(Z61)+N(AA61)))+((AP61=5)*AR61+(AT61=5)*AV61+(AX61=5)*AZ61+(BB61=5)*BD61+(BF61=5)*BH61+(BJ61=5)*BL61+(BN61=5)*BP61+(BR61=5)*BT61)</f>
        <v/>
      </c>
      <c r="AC61">
        <f>MAX(0,ROUND(N(Z61)+N(AA61)-N(AB61),2))</f>
        <v/>
      </c>
      <c r="AD61">
        <f>N(AG60)</f>
        <v/>
      </c>
      <c r="AE61">
        <f>IF(N(AD61)&lt;=0.005,0,ROUND(N(AD61)*N('Debt List'!E10)/12,2))</f>
        <v/>
      </c>
      <c r="AF61">
        <f>IF(N(AD61)&lt;=0.005,0,MIN(N('Debt List'!F10),N(AD61)+N(AE61)))+((AP61=6)*AR61+(AT61=6)*AV61+(AX61=6)*AZ61+(BB61=6)*BD61+(BF61=6)*BH61+(BJ61=6)*BL61+(BN61=6)*BP61+(BR61=6)*BT61)</f>
        <v/>
      </c>
      <c r="AG61">
        <f>MAX(0,ROUND(N(AD61)+N(AE61)-N(AF61),2))</f>
        <v/>
      </c>
      <c r="AH61">
        <f>N(AK60)</f>
        <v/>
      </c>
      <c r="AI61">
        <f>IF(N(AH61)&lt;=0.005,0,ROUND(N(AH61)*N('Debt List'!E11)/12,2))</f>
        <v/>
      </c>
      <c r="AJ61">
        <f>IF(N(AH61)&lt;=0.005,0,MIN(N('Debt List'!F11),N(AH61)+N(AI61)))+((AP61=7)*AR61+(AT61=7)*AV61+(AX61=7)*AZ61+(BB61=7)*BD61+(BF61=7)*BH61+(BJ61=7)*BL61+(BN61=7)*BP61+(BR61=7)*BT61)</f>
        <v/>
      </c>
      <c r="AK61">
        <f>MAX(0,ROUND(N(AH61)+N(AI61)-N(AJ61),2))</f>
        <v/>
      </c>
      <c r="AL61">
        <f>N(AO60)</f>
        <v/>
      </c>
      <c r="AM61">
        <f>IF(N(AL61)&lt;=0.005,0,ROUND(N(AL61)*N('Debt List'!E12)/12,2))</f>
        <v/>
      </c>
      <c r="AN61">
        <f>IF(N(AL61)&lt;=0.005,0,MIN(N('Debt List'!F12),N(AL61)+N(AM61)))+((AP61=8)*AR61+(AT61=8)*AV61+(AX61=8)*AZ61+(BB61=8)*BD61+(BF61=8)*BH61+(BJ61=8)*BL61+(BN61=8)*BP61+(BR61=8)*BT61)</f>
        <v/>
      </c>
      <c r="AO61">
        <f>MAX(0,ROUND(N(AL61)+N(AM61)-N(AN61),2))</f>
        <v/>
      </c>
      <c r="AP61">
        <f>IFERROR(MATCH(1,OrderPlan,0),"")</f>
        <v/>
      </c>
      <c r="AQ61">
        <f>IF(AP61="",0,IFERROR(IF(N(CHOOSE(AP61,J61,N61,R61,V61,Z61,AD61,AH61,AL61))&lt;=0.005,0,MAX(0,N(CHOOSE(AP61,J61,N61,R61,V61,Z61,AD61,AH61,AL61))+N(CHOOSE(AP61,K61,O61,S61,W61,AA61,AE61,AI61,AM61))-MIN(N(CHOOSE(AP61,'Debt List'!$F$5,'Debt List'!$F$6,'Debt List'!$F$7,'Debt List'!$F$8,'Debt List'!$F$9,'Debt List'!$F$10,'Debt List'!$F$11,'Debt List'!$F$12)),N(CHOOSE(AP61,J61,N61,R61,V61,Z61,AD61,AH61,AL61))+N(CHOOSE(AP61,K61,O61,S61,W61,AA61,AE61,AI61,AM61))))),0))</f>
        <v/>
      </c>
      <c r="AR61">
        <f>MIN(N(AQ61),MAX(0,N(ExtraPayment)))</f>
        <v/>
      </c>
      <c r="AS61">
        <f>MAX(0,N(ExtraPayment)-N(AR61))</f>
        <v/>
      </c>
      <c r="AT61">
        <f>IFERROR(MATCH(2,OrderPlan,0),"")</f>
        <v/>
      </c>
      <c r="AU61">
        <f>IF(AT61="",0,IFERROR(IF(N(CHOOSE(AT61,J61,N61,R61,V61,Z61,AD61,AH61,AL61))&lt;=0.005,0,MAX(0,N(CHOOSE(AT61,J61,N61,R61,V61,Z61,AD61,AH61,AL61))+N(CHOOSE(AT61,K61,O61,S61,W61,AA61,AE61,AI61,AM61))-MIN(N(CHOOSE(AT61,'Debt List'!$F$5,'Debt List'!$F$6,'Debt List'!$F$7,'Debt List'!$F$8,'Debt List'!$F$9,'Debt List'!$F$10,'Debt List'!$F$11,'Debt List'!$F$12)),N(CHOOSE(AT61,J61,N61,R61,V61,Z61,AD61,AH61,AL61))+N(CHOOSE(AT61,K61,O61,S61,W61,AA61,AE61,AI61,AM61))))),0))</f>
        <v/>
      </c>
      <c r="AV61">
        <f>MIN(N(AU61),MAX(0,N(AS61)))</f>
        <v/>
      </c>
      <c r="AW61">
        <f>MAX(0,N(AS61)-N(AV61))</f>
        <v/>
      </c>
      <c r="AX61">
        <f>IFERROR(MATCH(3,OrderPlan,0),"")</f>
        <v/>
      </c>
      <c r="AY61">
        <f>IF(AX61="",0,IFERROR(IF(N(CHOOSE(AX61,J61,N61,R61,V61,Z61,AD61,AH61,AL61))&lt;=0.005,0,MAX(0,N(CHOOSE(AX61,J61,N61,R61,V61,Z61,AD61,AH61,AL61))+N(CHOOSE(AX61,K61,O61,S61,W61,AA61,AE61,AI61,AM61))-MIN(N(CHOOSE(AX61,'Debt List'!$F$5,'Debt List'!$F$6,'Debt List'!$F$7,'Debt List'!$F$8,'Debt List'!$F$9,'Debt List'!$F$10,'Debt List'!$F$11,'Debt List'!$F$12)),N(CHOOSE(AX61,J61,N61,R61,V61,Z61,AD61,AH61,AL61))+N(CHOOSE(AX61,K61,O61,S61,W61,AA61,AE61,AI61,AM61))))),0))</f>
        <v/>
      </c>
      <c r="AZ61">
        <f>MIN(N(AY61),MAX(0,N(AW61)))</f>
        <v/>
      </c>
      <c r="BA61">
        <f>MAX(0,N(AW61)-N(AZ61))</f>
        <v/>
      </c>
      <c r="BB61">
        <f>IFERROR(MATCH(4,OrderPlan,0),"")</f>
        <v/>
      </c>
      <c r="BC61">
        <f>IF(BB61="",0,IFERROR(IF(N(CHOOSE(BB61,J61,N61,R61,V61,Z61,AD61,AH61,AL61))&lt;=0.005,0,MAX(0,N(CHOOSE(BB61,J61,N61,R61,V61,Z61,AD61,AH61,AL61))+N(CHOOSE(BB61,K61,O61,S61,W61,AA61,AE61,AI61,AM61))-MIN(N(CHOOSE(BB61,'Debt List'!$F$5,'Debt List'!$F$6,'Debt List'!$F$7,'Debt List'!$F$8,'Debt List'!$F$9,'Debt List'!$F$10,'Debt List'!$F$11,'Debt List'!$F$12)),N(CHOOSE(BB61,J61,N61,R61,V61,Z61,AD61,AH61,AL61))+N(CHOOSE(BB61,K61,O61,S61,W61,AA61,AE61,AI61,AM61))))),0))</f>
        <v/>
      </c>
      <c r="BD61">
        <f>MIN(N(BC61),MAX(0,N(BA61)))</f>
        <v/>
      </c>
      <c r="BE61">
        <f>MAX(0,N(BA61)-N(BD61))</f>
        <v/>
      </c>
      <c r="BF61">
        <f>IFERROR(MATCH(5,OrderPlan,0),"")</f>
        <v/>
      </c>
      <c r="BG61">
        <f>IF(BF61="",0,IFERROR(IF(N(CHOOSE(BF61,J61,N61,R61,V61,Z61,AD61,AH61,AL61))&lt;=0.005,0,MAX(0,N(CHOOSE(BF61,J61,N61,R61,V61,Z61,AD61,AH61,AL61))+N(CHOOSE(BF61,K61,O61,S61,W61,AA61,AE61,AI61,AM61))-MIN(N(CHOOSE(BF61,'Debt List'!$F$5,'Debt List'!$F$6,'Debt List'!$F$7,'Debt List'!$F$8,'Debt List'!$F$9,'Debt List'!$F$10,'Debt List'!$F$11,'Debt List'!$F$12)),N(CHOOSE(BF61,J61,N61,R61,V61,Z61,AD61,AH61,AL61))+N(CHOOSE(BF61,K61,O61,S61,W61,AA61,AE61,AI61,AM61))))),0))</f>
        <v/>
      </c>
      <c r="BH61">
        <f>MIN(N(BG61),MAX(0,N(BE61)))</f>
        <v/>
      </c>
      <c r="BI61">
        <f>MAX(0,N(BE61)-N(BH61))</f>
        <v/>
      </c>
      <c r="BJ61">
        <f>IFERROR(MATCH(6,OrderPlan,0),"")</f>
        <v/>
      </c>
      <c r="BK61">
        <f>IF(BJ61="",0,IFERROR(IF(N(CHOOSE(BJ61,J61,N61,R61,V61,Z61,AD61,AH61,AL61))&lt;=0.005,0,MAX(0,N(CHOOSE(BJ61,J61,N61,R61,V61,Z61,AD61,AH61,AL61))+N(CHOOSE(BJ61,K61,O61,S61,W61,AA61,AE61,AI61,AM61))-MIN(N(CHOOSE(BJ61,'Debt List'!$F$5,'Debt List'!$F$6,'Debt List'!$F$7,'Debt List'!$F$8,'Debt List'!$F$9,'Debt List'!$F$10,'Debt List'!$F$11,'Debt List'!$F$12)),N(CHOOSE(BJ61,J61,N61,R61,V61,Z61,AD61,AH61,AL61))+N(CHOOSE(BJ61,K61,O61,S61,W61,AA61,AE61,AI61,AM61))))),0))</f>
        <v/>
      </c>
      <c r="BL61">
        <f>MIN(N(BK61),MAX(0,N(BI61)))</f>
        <v/>
      </c>
      <c r="BM61">
        <f>MAX(0,N(BI61)-N(BL61))</f>
        <v/>
      </c>
      <c r="BN61">
        <f>IFERROR(MATCH(7,OrderPlan,0),"")</f>
        <v/>
      </c>
      <c r="BO61">
        <f>IF(BN61="",0,IFERROR(IF(N(CHOOSE(BN61,J61,N61,R61,V61,Z61,AD61,AH61,AL61))&lt;=0.005,0,MAX(0,N(CHOOSE(BN61,J61,N61,R61,V61,Z61,AD61,AH61,AL61))+N(CHOOSE(BN61,K61,O61,S61,W61,AA61,AE61,AI61,AM61))-MIN(N(CHOOSE(BN61,'Debt List'!$F$5,'Debt List'!$F$6,'Debt List'!$F$7,'Debt List'!$F$8,'Debt List'!$F$9,'Debt List'!$F$10,'Debt List'!$F$11,'Debt List'!$F$12)),N(CHOOSE(BN61,J61,N61,R61,V61,Z61,AD61,AH61,AL61))+N(CHOOSE(BN61,K61,O61,S61,W61,AA61,AE61,AI61,AM61))))),0))</f>
        <v/>
      </c>
      <c r="BP61">
        <f>MIN(N(BO61),MAX(0,N(BM61)))</f>
        <v/>
      </c>
      <c r="BQ61">
        <f>MAX(0,N(BM61)-N(BP61))</f>
        <v/>
      </c>
      <c r="BR61">
        <f>IFERROR(MATCH(8,OrderPlan,0),"")</f>
        <v/>
      </c>
      <c r="BS61">
        <f>IF(BR61="",0,IFERROR(IF(N(CHOOSE(BR61,J61,N61,R61,V61,Z61,AD61,AH61,AL61))&lt;=0.005,0,MAX(0,N(CHOOSE(BR61,J61,N61,R61,V61,Z61,AD61,AH61,AL61))+N(CHOOSE(BR61,K61,O61,S61,W61,AA61,AE61,AI61,AM61))-MIN(N(CHOOSE(BR61,'Debt List'!$F$5,'Debt List'!$F$6,'Debt List'!$F$7,'Debt List'!$F$8,'Debt List'!$F$9,'Debt List'!$F$10,'Debt List'!$F$11,'Debt List'!$F$12)),N(CHOOSE(BR61,J61,N61,R61,V61,Z61,AD61,AH61,AL61))+N(CHOOSE(BR61,K61,O61,S61,W61,AA61,AE61,AI61,AM61))))),0))</f>
        <v/>
      </c>
      <c r="BT61">
        <f>MIN(N(BS61),MAX(0,N(BQ61)))</f>
        <v/>
      </c>
      <c r="BU61">
        <f>MAX(0,N(BQ61)-N(BT61))</f>
        <v/>
      </c>
      <c r="CC61" t="n">
        <v>57</v>
      </c>
      <c r="CD61" s="115">
        <f>DATE(YEAR(PlanStart),MONTH(PlanStart)+CC61-1,1)</f>
        <v/>
      </c>
      <c r="CE61">
        <f>IF(AND(DR61&lt;&gt;"",N(CHOOSE(DR61,CL61,CP61,CT61,CX61,DB61,DF61,DJ61,DN61))&gt;0.005),INDEX(DebtNames,DR61),IF(AND(DV61&lt;&gt;"",N(CHOOSE(DV61,CL61,CP61,CT61,CX61,DB61,DF61,DJ61,DN61))&gt;0.005),INDEX(DebtNames,DV61),IF(AND(DZ61&lt;&gt;"",N(CHOOSE(DZ61,CL61,CP61,CT61,CX61,DB61,DF61,DJ61,DN61))&gt;0.005),INDEX(DebtNames,DZ61),IF(AND(ED61&lt;&gt;"",N(CHOOSE(ED61,CL61,CP61,CT61,CX61,DB61,DF61,DJ61,DN61))&gt;0.005),INDEX(DebtNames,ED61),IF(AND(EH61&lt;&gt;"",N(CHOOSE(EH61,CL61,CP61,CT61,CX61,DB61,DF61,DJ61,DN61))&gt;0.005),INDEX(DebtNames,EH61),IF(AND(EL61&lt;&gt;"",N(CHOOSE(EL61,CL61,CP61,CT61,CX61,DB61,DF61,DJ61,DN61))&gt;0.005),INDEX(DebtNames,EL61),IF(AND(EP61&lt;&gt;"",N(CHOOSE(EP61,CL61,CP61,CT61,CX61,DB61,DF61,DJ61,DN61))&gt;0.005),INDEX(DebtNames,EP61),IF(AND(ET61&lt;&gt;"",N(CHOOSE(ET61,CL61,CP61,CT61,CX61,DB61,DF61,DJ61,DN61))&gt;0.005),INDEX(DebtNames,ET61),""))))))))</f>
        <v/>
      </c>
      <c r="CF61">
        <f>N(EW61)</f>
        <v/>
      </c>
      <c r="CG61">
        <f>N(CN61)+N(CR61)+N(CV61)+N(CZ61)+N(DD61)+N(DH61)+N(DL61)+N(DP61)</f>
        <v/>
      </c>
      <c r="CH61">
        <f>N(CM61)+N(CQ61)+N(CU61)+N(CY61)+N(DC61)+N(DG61)+N(DK61)+N(DO61)</f>
        <v/>
      </c>
      <c r="CI61">
        <f>N(CI60)+N(CH61)</f>
        <v/>
      </c>
      <c r="CJ61">
        <f>N(CO61)+N(CS61)+N(CW61)+N(DA61)+N(DE61)+N(DI61)+N(DM61)+N(DQ61)</f>
        <v/>
      </c>
      <c r="CK61">
        <f>(CO61&gt;0.005)*1+(CS61&gt;0.005)*1+(CW61&gt;0.005)*1+(DA61&gt;0.005)*1+(DE61&gt;0.005)*1+(DI61&gt;0.005)*1+(DM61&gt;0.005)*1+(DQ61&gt;0.005)*1</f>
        <v/>
      </c>
      <c r="CL61">
        <f>N(CO60)</f>
        <v/>
      </c>
      <c r="CM61">
        <f>IF(N(CL61)&lt;=0.005,0,ROUND(N(CL61)*N('Debt List'!E5)/12,2))</f>
        <v/>
      </c>
      <c r="CN61">
        <f>IF(N(CL61)&lt;=0.005,0,MIN(N('Debt List'!F5),N(CL61)+N(CM61)))+((DR61=1)*DT61+(DV61=1)*DX61+(DZ61=1)*EB61+(ED61=1)*EF61+(EH61=1)*EJ61+(EL61=1)*EN61+(EP61=1)*ER61+(ET61=1)*EV61)</f>
        <v/>
      </c>
      <c r="CO61">
        <f>MAX(0,ROUND(N(CL61)+N(CM61)-N(CN61),2))</f>
        <v/>
      </c>
      <c r="CP61">
        <f>N(CS60)</f>
        <v/>
      </c>
      <c r="CQ61">
        <f>IF(N(CP61)&lt;=0.005,0,ROUND(N(CP61)*N('Debt List'!E6)/12,2))</f>
        <v/>
      </c>
      <c r="CR61">
        <f>IF(N(CP61)&lt;=0.005,0,MIN(N('Debt List'!F6),N(CP61)+N(CQ61)))+((DR61=2)*DT61+(DV61=2)*DX61+(DZ61=2)*EB61+(ED61=2)*EF61+(EH61=2)*EJ61+(EL61=2)*EN61+(EP61=2)*ER61+(ET61=2)*EV61)</f>
        <v/>
      </c>
      <c r="CS61">
        <f>MAX(0,ROUND(N(CP61)+N(CQ61)-N(CR61),2))</f>
        <v/>
      </c>
      <c r="CT61">
        <f>N(CW60)</f>
        <v/>
      </c>
      <c r="CU61">
        <f>IF(N(CT61)&lt;=0.005,0,ROUND(N(CT61)*N('Debt List'!E7)/12,2))</f>
        <v/>
      </c>
      <c r="CV61">
        <f>IF(N(CT61)&lt;=0.005,0,MIN(N('Debt List'!F7),N(CT61)+N(CU61)))+((DR61=3)*DT61+(DV61=3)*DX61+(DZ61=3)*EB61+(ED61=3)*EF61+(EH61=3)*EJ61+(EL61=3)*EN61+(EP61=3)*ER61+(ET61=3)*EV61)</f>
        <v/>
      </c>
      <c r="CW61">
        <f>MAX(0,ROUND(N(CT61)+N(CU61)-N(CV61),2))</f>
        <v/>
      </c>
      <c r="CX61">
        <f>N(DA60)</f>
        <v/>
      </c>
      <c r="CY61">
        <f>IF(N(CX61)&lt;=0.005,0,ROUND(N(CX61)*N('Debt List'!E8)/12,2))</f>
        <v/>
      </c>
      <c r="CZ61">
        <f>IF(N(CX61)&lt;=0.005,0,MIN(N('Debt List'!F8),N(CX61)+N(CY61)))+((DR61=4)*DT61+(DV61=4)*DX61+(DZ61=4)*EB61+(ED61=4)*EF61+(EH61=4)*EJ61+(EL61=4)*EN61+(EP61=4)*ER61+(ET61=4)*EV61)</f>
        <v/>
      </c>
      <c r="DA61">
        <f>MAX(0,ROUND(N(CX61)+N(CY61)-N(CZ61),2))</f>
        <v/>
      </c>
      <c r="DB61">
        <f>N(DE60)</f>
        <v/>
      </c>
      <c r="DC61">
        <f>IF(N(DB61)&lt;=0.005,0,ROUND(N(DB61)*N('Debt List'!E9)/12,2))</f>
        <v/>
      </c>
      <c r="DD61">
        <f>IF(N(DB61)&lt;=0.005,0,MIN(N('Debt List'!F9),N(DB61)+N(DC61)))+((DR61=5)*DT61+(DV61=5)*DX61+(DZ61=5)*EB61+(ED61=5)*EF61+(EH61=5)*EJ61+(EL61=5)*EN61+(EP61=5)*ER61+(ET61=5)*EV61)</f>
        <v/>
      </c>
      <c r="DE61">
        <f>MAX(0,ROUND(N(DB61)+N(DC61)-N(DD61),2))</f>
        <v/>
      </c>
      <c r="DF61">
        <f>N(DI60)</f>
        <v/>
      </c>
      <c r="DG61">
        <f>IF(N(DF61)&lt;=0.005,0,ROUND(N(DF61)*N('Debt List'!E10)/12,2))</f>
        <v/>
      </c>
      <c r="DH61">
        <f>IF(N(DF61)&lt;=0.005,0,MIN(N('Debt List'!F10),N(DF61)+N(DG61)))+((DR61=6)*DT61+(DV61=6)*DX61+(DZ61=6)*EB61+(ED61=6)*EF61+(EH61=6)*EJ61+(EL61=6)*EN61+(EP61=6)*ER61+(ET61=6)*EV61)</f>
        <v/>
      </c>
      <c r="DI61">
        <f>MAX(0,ROUND(N(DF61)+N(DG61)-N(DH61),2))</f>
        <v/>
      </c>
      <c r="DJ61">
        <f>N(DM60)</f>
        <v/>
      </c>
      <c r="DK61">
        <f>IF(N(DJ61)&lt;=0.005,0,ROUND(N(DJ61)*N('Debt List'!E11)/12,2))</f>
        <v/>
      </c>
      <c r="DL61">
        <f>IF(N(DJ61)&lt;=0.005,0,MIN(N('Debt List'!F11),N(DJ61)+N(DK61)))+((DR61=7)*DT61+(DV61=7)*DX61+(DZ61=7)*EB61+(ED61=7)*EF61+(EH61=7)*EJ61+(EL61=7)*EN61+(EP61=7)*ER61+(ET61=7)*EV61)</f>
        <v/>
      </c>
      <c r="DM61">
        <f>MAX(0,ROUND(N(DJ61)+N(DK61)-N(DL61),2))</f>
        <v/>
      </c>
      <c r="DN61">
        <f>N(DQ60)</f>
        <v/>
      </c>
      <c r="DO61">
        <f>IF(N(DN61)&lt;=0.005,0,ROUND(N(DN61)*N('Debt List'!E12)/12,2))</f>
        <v/>
      </c>
      <c r="DP61">
        <f>IF(N(DN61)&lt;=0.005,0,MIN(N('Debt List'!F12),N(DN61)+N(DO61)))+((DR61=8)*DT61+(DV61=8)*DX61+(DZ61=8)*EB61+(ED61=8)*EF61+(EH61=8)*EJ61+(EL61=8)*EN61+(EP61=8)*ER61+(ET61=8)*EV61)</f>
        <v/>
      </c>
      <c r="DQ61">
        <f>MAX(0,ROUND(N(DN61)+N(DO61)-N(DP61),2))</f>
        <v/>
      </c>
      <c r="DR61">
        <f>IFERROR(MATCH(1,OrderSnow,0),"")</f>
        <v/>
      </c>
      <c r="DS61">
        <f>IF(DR61="",0,IFERROR(IF(N(CHOOSE(DR61,CL61,CP61,CT61,CX61,DB61,DF61,DJ61,DN61))&lt;=0.005,0,MAX(0,N(CHOOSE(DR61,CL61,CP61,CT61,CX61,DB61,DF61,DJ61,DN61))+N(CHOOSE(DR61,CM61,CQ61,CU61,CY61,DC61,DG61,DK61,DO61))-MIN(N(CHOOSE(DR61,'Debt List'!$F$5,'Debt List'!$F$6,'Debt List'!$F$7,'Debt List'!$F$8,'Debt List'!$F$9,'Debt List'!$F$10,'Debt List'!$F$11,'Debt List'!$F$12)),N(CHOOSE(DR61,CL61,CP61,CT61,CX61,DB61,DF61,DJ61,DN61))+N(CHOOSE(DR61,CM61,CQ61,CU61,CY61,DC61,DG61,DK61,DO61))))),0))</f>
        <v/>
      </c>
      <c r="DT61">
        <f>MIN(N(DS61),MAX(0,N(ExtraPayment)))</f>
        <v/>
      </c>
      <c r="DU61">
        <f>MAX(0,N(ExtraPayment)-N(DT61))</f>
        <v/>
      </c>
      <c r="DV61">
        <f>IFERROR(MATCH(2,OrderSnow,0),"")</f>
        <v/>
      </c>
      <c r="DW61">
        <f>IF(DV61="",0,IFERROR(IF(N(CHOOSE(DV61,CL61,CP61,CT61,CX61,DB61,DF61,DJ61,DN61))&lt;=0.005,0,MAX(0,N(CHOOSE(DV61,CL61,CP61,CT61,CX61,DB61,DF61,DJ61,DN61))+N(CHOOSE(DV61,CM61,CQ61,CU61,CY61,DC61,DG61,DK61,DO61))-MIN(N(CHOOSE(DV61,'Debt List'!$F$5,'Debt List'!$F$6,'Debt List'!$F$7,'Debt List'!$F$8,'Debt List'!$F$9,'Debt List'!$F$10,'Debt List'!$F$11,'Debt List'!$F$12)),N(CHOOSE(DV61,CL61,CP61,CT61,CX61,DB61,DF61,DJ61,DN61))+N(CHOOSE(DV61,CM61,CQ61,CU61,CY61,DC61,DG61,DK61,DO61))))),0))</f>
        <v/>
      </c>
      <c r="DX61">
        <f>MIN(N(DW61),MAX(0,N(DU61)))</f>
        <v/>
      </c>
      <c r="DY61">
        <f>MAX(0,N(DU61)-N(DX61))</f>
        <v/>
      </c>
      <c r="DZ61">
        <f>IFERROR(MATCH(3,OrderSnow,0),"")</f>
        <v/>
      </c>
      <c r="EA61">
        <f>IF(DZ61="",0,IFERROR(IF(N(CHOOSE(DZ61,CL61,CP61,CT61,CX61,DB61,DF61,DJ61,DN61))&lt;=0.005,0,MAX(0,N(CHOOSE(DZ61,CL61,CP61,CT61,CX61,DB61,DF61,DJ61,DN61))+N(CHOOSE(DZ61,CM61,CQ61,CU61,CY61,DC61,DG61,DK61,DO61))-MIN(N(CHOOSE(DZ61,'Debt List'!$F$5,'Debt List'!$F$6,'Debt List'!$F$7,'Debt List'!$F$8,'Debt List'!$F$9,'Debt List'!$F$10,'Debt List'!$F$11,'Debt List'!$F$12)),N(CHOOSE(DZ61,CL61,CP61,CT61,CX61,DB61,DF61,DJ61,DN61))+N(CHOOSE(DZ61,CM61,CQ61,CU61,CY61,DC61,DG61,DK61,DO61))))),0))</f>
        <v/>
      </c>
      <c r="EB61">
        <f>MIN(N(EA61),MAX(0,N(DY61)))</f>
        <v/>
      </c>
      <c r="EC61">
        <f>MAX(0,N(DY61)-N(EB61))</f>
        <v/>
      </c>
      <c r="ED61">
        <f>IFERROR(MATCH(4,OrderSnow,0),"")</f>
        <v/>
      </c>
      <c r="EE61">
        <f>IF(ED61="",0,IFERROR(IF(N(CHOOSE(ED61,CL61,CP61,CT61,CX61,DB61,DF61,DJ61,DN61))&lt;=0.005,0,MAX(0,N(CHOOSE(ED61,CL61,CP61,CT61,CX61,DB61,DF61,DJ61,DN61))+N(CHOOSE(ED61,CM61,CQ61,CU61,CY61,DC61,DG61,DK61,DO61))-MIN(N(CHOOSE(ED61,'Debt List'!$F$5,'Debt List'!$F$6,'Debt List'!$F$7,'Debt List'!$F$8,'Debt List'!$F$9,'Debt List'!$F$10,'Debt List'!$F$11,'Debt List'!$F$12)),N(CHOOSE(ED61,CL61,CP61,CT61,CX61,DB61,DF61,DJ61,DN61))+N(CHOOSE(ED61,CM61,CQ61,CU61,CY61,DC61,DG61,DK61,DO61))))),0))</f>
        <v/>
      </c>
      <c r="EF61">
        <f>MIN(N(EE61),MAX(0,N(EC61)))</f>
        <v/>
      </c>
      <c r="EG61">
        <f>MAX(0,N(EC61)-N(EF61))</f>
        <v/>
      </c>
      <c r="EH61">
        <f>IFERROR(MATCH(5,OrderSnow,0),"")</f>
        <v/>
      </c>
      <c r="EI61">
        <f>IF(EH61="",0,IFERROR(IF(N(CHOOSE(EH61,CL61,CP61,CT61,CX61,DB61,DF61,DJ61,DN61))&lt;=0.005,0,MAX(0,N(CHOOSE(EH61,CL61,CP61,CT61,CX61,DB61,DF61,DJ61,DN61))+N(CHOOSE(EH61,CM61,CQ61,CU61,CY61,DC61,DG61,DK61,DO61))-MIN(N(CHOOSE(EH61,'Debt List'!$F$5,'Debt List'!$F$6,'Debt List'!$F$7,'Debt List'!$F$8,'Debt List'!$F$9,'Debt List'!$F$10,'Debt List'!$F$11,'Debt List'!$F$12)),N(CHOOSE(EH61,CL61,CP61,CT61,CX61,DB61,DF61,DJ61,DN61))+N(CHOOSE(EH61,CM61,CQ61,CU61,CY61,DC61,DG61,DK61,DO61))))),0))</f>
        <v/>
      </c>
      <c r="EJ61">
        <f>MIN(N(EI61),MAX(0,N(EG61)))</f>
        <v/>
      </c>
      <c r="EK61">
        <f>MAX(0,N(EG61)-N(EJ61))</f>
        <v/>
      </c>
      <c r="EL61">
        <f>IFERROR(MATCH(6,OrderSnow,0),"")</f>
        <v/>
      </c>
      <c r="EM61">
        <f>IF(EL61="",0,IFERROR(IF(N(CHOOSE(EL61,CL61,CP61,CT61,CX61,DB61,DF61,DJ61,DN61))&lt;=0.005,0,MAX(0,N(CHOOSE(EL61,CL61,CP61,CT61,CX61,DB61,DF61,DJ61,DN61))+N(CHOOSE(EL61,CM61,CQ61,CU61,CY61,DC61,DG61,DK61,DO61))-MIN(N(CHOOSE(EL61,'Debt List'!$F$5,'Debt List'!$F$6,'Debt List'!$F$7,'Debt List'!$F$8,'Debt List'!$F$9,'Debt List'!$F$10,'Debt List'!$F$11,'Debt List'!$F$12)),N(CHOOSE(EL61,CL61,CP61,CT61,CX61,DB61,DF61,DJ61,DN61))+N(CHOOSE(EL61,CM61,CQ61,CU61,CY61,DC61,DG61,DK61,DO61))))),0))</f>
        <v/>
      </c>
      <c r="EN61">
        <f>MIN(N(EM61),MAX(0,N(EK61)))</f>
        <v/>
      </c>
      <c r="EO61">
        <f>MAX(0,N(EK61)-N(EN61))</f>
        <v/>
      </c>
      <c r="EP61">
        <f>IFERROR(MATCH(7,OrderSnow,0),"")</f>
        <v/>
      </c>
      <c r="EQ61">
        <f>IF(EP61="",0,IFERROR(IF(N(CHOOSE(EP61,CL61,CP61,CT61,CX61,DB61,DF61,DJ61,DN61))&lt;=0.005,0,MAX(0,N(CHOOSE(EP61,CL61,CP61,CT61,CX61,DB61,DF61,DJ61,DN61))+N(CHOOSE(EP61,CM61,CQ61,CU61,CY61,DC61,DG61,DK61,DO61))-MIN(N(CHOOSE(EP61,'Debt List'!$F$5,'Debt List'!$F$6,'Debt List'!$F$7,'Debt List'!$F$8,'Debt List'!$F$9,'Debt List'!$F$10,'Debt List'!$F$11,'Debt List'!$F$12)),N(CHOOSE(EP61,CL61,CP61,CT61,CX61,DB61,DF61,DJ61,DN61))+N(CHOOSE(EP61,CM61,CQ61,CU61,CY61,DC61,DG61,DK61,DO61))))),0))</f>
        <v/>
      </c>
      <c r="ER61">
        <f>MIN(N(EQ61),MAX(0,N(EO61)))</f>
        <v/>
      </c>
      <c r="ES61">
        <f>MAX(0,N(EO61)-N(ER61))</f>
        <v/>
      </c>
      <c r="ET61">
        <f>IFERROR(MATCH(8,OrderSnow,0),"")</f>
        <v/>
      </c>
      <c r="EU61">
        <f>IF(ET61="",0,IFERROR(IF(N(CHOOSE(ET61,CL61,CP61,CT61,CX61,DB61,DF61,DJ61,DN61))&lt;=0.005,0,MAX(0,N(CHOOSE(ET61,CL61,CP61,CT61,CX61,DB61,DF61,DJ61,DN61))+N(CHOOSE(ET61,CM61,CQ61,CU61,CY61,DC61,DG61,DK61,DO61))-MIN(N(CHOOSE(ET61,'Debt List'!$F$5,'Debt List'!$F$6,'Debt List'!$F$7,'Debt List'!$F$8,'Debt List'!$F$9,'Debt List'!$F$10,'Debt List'!$F$11,'Debt List'!$F$12)),N(CHOOSE(ET61,CL61,CP61,CT61,CX61,DB61,DF61,DJ61,DN61))+N(CHOOSE(ET61,CM61,CQ61,CU61,CY61,DC61,DG61,DK61,DO61))))),0))</f>
        <v/>
      </c>
      <c r="EV61">
        <f>MIN(N(EU61),MAX(0,N(ES61)))</f>
        <v/>
      </c>
      <c r="EW61">
        <f>MAX(0,N(ES61)-N(EV61))</f>
        <v/>
      </c>
      <c r="FE61" t="n">
        <v>57</v>
      </c>
      <c r="FF61" s="115">
        <f>DATE(YEAR(PlanStart),MONTH(PlanStart)+FE61-1,1)</f>
        <v/>
      </c>
      <c r="FG61">
        <f>IF(AND(GT61&lt;&gt;"",N(CHOOSE(GT61,FN61,FR61,FV61,FZ61,GD61,GH61,GL61,GP61))&gt;0.005),INDEX(DebtNames,GT61),IF(AND(GX61&lt;&gt;"",N(CHOOSE(GX61,FN61,FR61,FV61,FZ61,GD61,GH61,GL61,GP61))&gt;0.005),INDEX(DebtNames,GX61),IF(AND(HB61&lt;&gt;"",N(CHOOSE(HB61,FN61,FR61,FV61,FZ61,GD61,GH61,GL61,GP61))&gt;0.005),INDEX(DebtNames,HB61),IF(AND(HF61&lt;&gt;"",N(CHOOSE(HF61,FN61,FR61,FV61,FZ61,GD61,GH61,GL61,GP61))&gt;0.005),INDEX(DebtNames,HF61),IF(AND(HJ61&lt;&gt;"",N(CHOOSE(HJ61,FN61,FR61,FV61,FZ61,GD61,GH61,GL61,GP61))&gt;0.005),INDEX(DebtNames,HJ61),IF(AND(HN61&lt;&gt;"",N(CHOOSE(HN61,FN61,FR61,FV61,FZ61,GD61,GH61,GL61,GP61))&gt;0.005),INDEX(DebtNames,HN61),IF(AND(HR61&lt;&gt;"",N(CHOOSE(HR61,FN61,FR61,FV61,FZ61,GD61,GH61,GL61,GP61))&gt;0.005),INDEX(DebtNames,HR61),IF(AND(HV61&lt;&gt;"",N(CHOOSE(HV61,FN61,FR61,FV61,FZ61,GD61,GH61,GL61,GP61))&gt;0.005),INDEX(DebtNames,HV61),""))))))))</f>
        <v/>
      </c>
      <c r="FH61">
        <f>N(HY61)</f>
        <v/>
      </c>
      <c r="FI61">
        <f>N(FP61)+N(FT61)+N(FX61)+N(GB61)+N(GF61)+N(GJ61)+N(GN61)+N(GR61)</f>
        <v/>
      </c>
      <c r="FJ61">
        <f>N(FO61)+N(FS61)+N(FW61)+N(GA61)+N(GE61)+N(GI61)+N(GM61)+N(GQ61)</f>
        <v/>
      </c>
      <c r="FK61">
        <f>N(FK60)+N(FJ61)</f>
        <v/>
      </c>
      <c r="FL61">
        <f>N(FQ61)+N(FU61)+N(FY61)+N(GC61)+N(GG61)+N(GK61)+N(GO61)+N(GS61)</f>
        <v/>
      </c>
      <c r="FM61">
        <f>(FQ61&gt;0.005)*1+(FU61&gt;0.005)*1+(FY61&gt;0.005)*1+(GC61&gt;0.005)*1+(GG61&gt;0.005)*1+(GK61&gt;0.005)*1+(GO61&gt;0.005)*1+(GS61&gt;0.005)*1</f>
        <v/>
      </c>
      <c r="FN61">
        <f>N(FQ60)</f>
        <v/>
      </c>
      <c r="FO61">
        <f>IF(N(FN61)&lt;=0.005,0,ROUND(N(FN61)*N('Debt List'!E5)/12,2))</f>
        <v/>
      </c>
      <c r="FP61">
        <f>IF(N(FN61)&lt;=0.005,0,MIN(N('Debt List'!F5),N(FN61)+N(FO61)))+((GT61=1)*GV61+(GX61=1)*GZ61+(HB61=1)*HD61+(HF61=1)*HH61+(HJ61=1)*HL61+(HN61=1)*HP61+(HR61=1)*HT61+(HV61=1)*HX61)</f>
        <v/>
      </c>
      <c r="FQ61">
        <f>MAX(0,ROUND(N(FN61)+N(FO61)-N(FP61),2))</f>
        <v/>
      </c>
      <c r="FR61">
        <f>N(FU60)</f>
        <v/>
      </c>
      <c r="FS61">
        <f>IF(N(FR61)&lt;=0.005,0,ROUND(N(FR61)*N('Debt List'!E6)/12,2))</f>
        <v/>
      </c>
      <c r="FT61">
        <f>IF(N(FR61)&lt;=0.005,0,MIN(N('Debt List'!F6),N(FR61)+N(FS61)))+((GT61=2)*GV61+(GX61=2)*GZ61+(HB61=2)*HD61+(HF61=2)*HH61+(HJ61=2)*HL61+(HN61=2)*HP61+(HR61=2)*HT61+(HV61=2)*HX61)</f>
        <v/>
      </c>
      <c r="FU61">
        <f>MAX(0,ROUND(N(FR61)+N(FS61)-N(FT61),2))</f>
        <v/>
      </c>
      <c r="FV61">
        <f>N(FY60)</f>
        <v/>
      </c>
      <c r="FW61">
        <f>IF(N(FV61)&lt;=0.005,0,ROUND(N(FV61)*N('Debt List'!E7)/12,2))</f>
        <v/>
      </c>
      <c r="FX61">
        <f>IF(N(FV61)&lt;=0.005,0,MIN(N('Debt List'!F7),N(FV61)+N(FW61)))+((GT61=3)*GV61+(GX61=3)*GZ61+(HB61=3)*HD61+(HF61=3)*HH61+(HJ61=3)*HL61+(HN61=3)*HP61+(HR61=3)*HT61+(HV61=3)*HX61)</f>
        <v/>
      </c>
      <c r="FY61">
        <f>MAX(0,ROUND(N(FV61)+N(FW61)-N(FX61),2))</f>
        <v/>
      </c>
      <c r="FZ61">
        <f>N(GC60)</f>
        <v/>
      </c>
      <c r="GA61">
        <f>IF(N(FZ61)&lt;=0.005,0,ROUND(N(FZ61)*N('Debt List'!E8)/12,2))</f>
        <v/>
      </c>
      <c r="GB61">
        <f>IF(N(FZ61)&lt;=0.005,0,MIN(N('Debt List'!F8),N(FZ61)+N(GA61)))+((GT61=4)*GV61+(GX61=4)*GZ61+(HB61=4)*HD61+(HF61=4)*HH61+(HJ61=4)*HL61+(HN61=4)*HP61+(HR61=4)*HT61+(HV61=4)*HX61)</f>
        <v/>
      </c>
      <c r="GC61">
        <f>MAX(0,ROUND(N(FZ61)+N(GA61)-N(GB61),2))</f>
        <v/>
      </c>
      <c r="GD61">
        <f>N(GG60)</f>
        <v/>
      </c>
      <c r="GE61">
        <f>IF(N(GD61)&lt;=0.005,0,ROUND(N(GD61)*N('Debt List'!E9)/12,2))</f>
        <v/>
      </c>
      <c r="GF61">
        <f>IF(N(GD61)&lt;=0.005,0,MIN(N('Debt List'!F9),N(GD61)+N(GE61)))+((GT61=5)*GV61+(GX61=5)*GZ61+(HB61=5)*HD61+(HF61=5)*HH61+(HJ61=5)*HL61+(HN61=5)*HP61+(HR61=5)*HT61+(HV61=5)*HX61)</f>
        <v/>
      </c>
      <c r="GG61">
        <f>MAX(0,ROUND(N(GD61)+N(GE61)-N(GF61),2))</f>
        <v/>
      </c>
      <c r="GH61">
        <f>N(GK60)</f>
        <v/>
      </c>
      <c r="GI61">
        <f>IF(N(GH61)&lt;=0.005,0,ROUND(N(GH61)*N('Debt List'!E10)/12,2))</f>
        <v/>
      </c>
      <c r="GJ61">
        <f>IF(N(GH61)&lt;=0.005,0,MIN(N('Debt List'!F10),N(GH61)+N(GI61)))+((GT61=6)*GV61+(GX61=6)*GZ61+(HB61=6)*HD61+(HF61=6)*HH61+(HJ61=6)*HL61+(HN61=6)*HP61+(HR61=6)*HT61+(HV61=6)*HX61)</f>
        <v/>
      </c>
      <c r="GK61">
        <f>MAX(0,ROUND(N(GH61)+N(GI61)-N(GJ61),2))</f>
        <v/>
      </c>
      <c r="GL61">
        <f>N(GO60)</f>
        <v/>
      </c>
      <c r="GM61">
        <f>IF(N(GL61)&lt;=0.005,0,ROUND(N(GL61)*N('Debt List'!E11)/12,2))</f>
        <v/>
      </c>
      <c r="GN61">
        <f>IF(N(GL61)&lt;=0.005,0,MIN(N('Debt List'!F11),N(GL61)+N(GM61)))+((GT61=7)*GV61+(GX61=7)*GZ61+(HB61=7)*HD61+(HF61=7)*HH61+(HJ61=7)*HL61+(HN61=7)*HP61+(HR61=7)*HT61+(HV61=7)*HX61)</f>
        <v/>
      </c>
      <c r="GO61">
        <f>MAX(0,ROUND(N(GL61)+N(GM61)-N(GN61),2))</f>
        <v/>
      </c>
      <c r="GP61">
        <f>N(GS60)</f>
        <v/>
      </c>
      <c r="GQ61">
        <f>IF(N(GP61)&lt;=0.005,0,ROUND(N(GP61)*N('Debt List'!E12)/12,2))</f>
        <v/>
      </c>
      <c r="GR61">
        <f>IF(N(GP61)&lt;=0.005,0,MIN(N('Debt List'!F12),N(GP61)+N(GQ61)))+((GT61=8)*GV61+(GX61=8)*GZ61+(HB61=8)*HD61+(HF61=8)*HH61+(HJ61=8)*HL61+(HN61=8)*HP61+(HR61=8)*HT61+(HV61=8)*HX61)</f>
        <v/>
      </c>
      <c r="GS61">
        <f>MAX(0,ROUND(N(GP61)+N(GQ61)-N(GR61),2))</f>
        <v/>
      </c>
      <c r="GT61">
        <f>IFERROR(MATCH(1,OrderAval,0),"")</f>
        <v/>
      </c>
      <c r="GU61">
        <f>IF(GT61="",0,IFERROR(IF(N(CHOOSE(GT61,FN61,FR61,FV61,FZ61,GD61,GH61,GL61,GP61))&lt;=0.005,0,MAX(0,N(CHOOSE(GT61,FN61,FR61,FV61,FZ61,GD61,GH61,GL61,GP61))+N(CHOOSE(GT61,FO61,FS61,FW61,GA61,GE61,GI61,GM61,GQ61))-MIN(N(CHOOSE(GT61,'Debt List'!$F$5,'Debt List'!$F$6,'Debt List'!$F$7,'Debt List'!$F$8,'Debt List'!$F$9,'Debt List'!$F$10,'Debt List'!$F$11,'Debt List'!$F$12)),N(CHOOSE(GT61,FN61,FR61,FV61,FZ61,GD61,GH61,GL61,GP61))+N(CHOOSE(GT61,FO61,FS61,FW61,GA61,GE61,GI61,GM61,GQ61))))),0))</f>
        <v/>
      </c>
      <c r="GV61">
        <f>MIN(N(GU61),MAX(0,N(ExtraPayment)))</f>
        <v/>
      </c>
      <c r="GW61">
        <f>MAX(0,N(ExtraPayment)-N(GV61))</f>
        <v/>
      </c>
      <c r="GX61">
        <f>IFERROR(MATCH(2,OrderAval,0),"")</f>
        <v/>
      </c>
      <c r="GY61">
        <f>IF(GX61="",0,IFERROR(IF(N(CHOOSE(GX61,FN61,FR61,FV61,FZ61,GD61,GH61,GL61,GP61))&lt;=0.005,0,MAX(0,N(CHOOSE(GX61,FN61,FR61,FV61,FZ61,GD61,GH61,GL61,GP61))+N(CHOOSE(GX61,FO61,FS61,FW61,GA61,GE61,GI61,GM61,GQ61))-MIN(N(CHOOSE(GX61,'Debt List'!$F$5,'Debt List'!$F$6,'Debt List'!$F$7,'Debt List'!$F$8,'Debt List'!$F$9,'Debt List'!$F$10,'Debt List'!$F$11,'Debt List'!$F$12)),N(CHOOSE(GX61,FN61,FR61,FV61,FZ61,GD61,GH61,GL61,GP61))+N(CHOOSE(GX61,FO61,FS61,FW61,GA61,GE61,GI61,GM61,GQ61))))),0))</f>
        <v/>
      </c>
      <c r="GZ61">
        <f>MIN(N(GY61),MAX(0,N(GW61)))</f>
        <v/>
      </c>
      <c r="HA61">
        <f>MAX(0,N(GW61)-N(GZ61))</f>
        <v/>
      </c>
      <c r="HB61">
        <f>IFERROR(MATCH(3,OrderAval,0),"")</f>
        <v/>
      </c>
      <c r="HC61">
        <f>IF(HB61="",0,IFERROR(IF(N(CHOOSE(HB61,FN61,FR61,FV61,FZ61,GD61,GH61,GL61,GP61))&lt;=0.005,0,MAX(0,N(CHOOSE(HB61,FN61,FR61,FV61,FZ61,GD61,GH61,GL61,GP61))+N(CHOOSE(HB61,FO61,FS61,FW61,GA61,GE61,GI61,GM61,GQ61))-MIN(N(CHOOSE(HB61,'Debt List'!$F$5,'Debt List'!$F$6,'Debt List'!$F$7,'Debt List'!$F$8,'Debt List'!$F$9,'Debt List'!$F$10,'Debt List'!$F$11,'Debt List'!$F$12)),N(CHOOSE(HB61,FN61,FR61,FV61,FZ61,GD61,GH61,GL61,GP61))+N(CHOOSE(HB61,FO61,FS61,FW61,GA61,GE61,GI61,GM61,GQ61))))),0))</f>
        <v/>
      </c>
      <c r="HD61">
        <f>MIN(N(HC61),MAX(0,N(HA61)))</f>
        <v/>
      </c>
      <c r="HE61">
        <f>MAX(0,N(HA61)-N(HD61))</f>
        <v/>
      </c>
      <c r="HF61">
        <f>IFERROR(MATCH(4,OrderAval,0),"")</f>
        <v/>
      </c>
      <c r="HG61">
        <f>IF(HF61="",0,IFERROR(IF(N(CHOOSE(HF61,FN61,FR61,FV61,FZ61,GD61,GH61,GL61,GP61))&lt;=0.005,0,MAX(0,N(CHOOSE(HF61,FN61,FR61,FV61,FZ61,GD61,GH61,GL61,GP61))+N(CHOOSE(HF61,FO61,FS61,FW61,GA61,GE61,GI61,GM61,GQ61))-MIN(N(CHOOSE(HF61,'Debt List'!$F$5,'Debt List'!$F$6,'Debt List'!$F$7,'Debt List'!$F$8,'Debt List'!$F$9,'Debt List'!$F$10,'Debt List'!$F$11,'Debt List'!$F$12)),N(CHOOSE(HF61,FN61,FR61,FV61,FZ61,GD61,GH61,GL61,GP61))+N(CHOOSE(HF61,FO61,FS61,FW61,GA61,GE61,GI61,GM61,GQ61))))),0))</f>
        <v/>
      </c>
      <c r="HH61">
        <f>MIN(N(HG61),MAX(0,N(HE61)))</f>
        <v/>
      </c>
      <c r="HI61">
        <f>MAX(0,N(HE61)-N(HH61))</f>
        <v/>
      </c>
      <c r="HJ61">
        <f>IFERROR(MATCH(5,OrderAval,0),"")</f>
        <v/>
      </c>
      <c r="HK61">
        <f>IF(HJ61="",0,IFERROR(IF(N(CHOOSE(HJ61,FN61,FR61,FV61,FZ61,GD61,GH61,GL61,GP61))&lt;=0.005,0,MAX(0,N(CHOOSE(HJ61,FN61,FR61,FV61,FZ61,GD61,GH61,GL61,GP61))+N(CHOOSE(HJ61,FO61,FS61,FW61,GA61,GE61,GI61,GM61,GQ61))-MIN(N(CHOOSE(HJ61,'Debt List'!$F$5,'Debt List'!$F$6,'Debt List'!$F$7,'Debt List'!$F$8,'Debt List'!$F$9,'Debt List'!$F$10,'Debt List'!$F$11,'Debt List'!$F$12)),N(CHOOSE(HJ61,FN61,FR61,FV61,FZ61,GD61,GH61,GL61,GP61))+N(CHOOSE(HJ61,FO61,FS61,FW61,GA61,GE61,GI61,GM61,GQ61))))),0))</f>
        <v/>
      </c>
      <c r="HL61">
        <f>MIN(N(HK61),MAX(0,N(HI61)))</f>
        <v/>
      </c>
      <c r="HM61">
        <f>MAX(0,N(HI61)-N(HL61))</f>
        <v/>
      </c>
      <c r="HN61">
        <f>IFERROR(MATCH(6,OrderAval,0),"")</f>
        <v/>
      </c>
      <c r="HO61">
        <f>IF(HN61="",0,IFERROR(IF(N(CHOOSE(HN61,FN61,FR61,FV61,FZ61,GD61,GH61,GL61,GP61))&lt;=0.005,0,MAX(0,N(CHOOSE(HN61,FN61,FR61,FV61,FZ61,GD61,GH61,GL61,GP61))+N(CHOOSE(HN61,FO61,FS61,FW61,GA61,GE61,GI61,GM61,GQ61))-MIN(N(CHOOSE(HN61,'Debt List'!$F$5,'Debt List'!$F$6,'Debt List'!$F$7,'Debt List'!$F$8,'Debt List'!$F$9,'Debt List'!$F$10,'Debt List'!$F$11,'Debt List'!$F$12)),N(CHOOSE(HN61,FN61,FR61,FV61,FZ61,GD61,GH61,GL61,GP61))+N(CHOOSE(HN61,FO61,FS61,FW61,GA61,GE61,GI61,GM61,GQ61))))),0))</f>
        <v/>
      </c>
      <c r="HP61">
        <f>MIN(N(HO61),MAX(0,N(HM61)))</f>
        <v/>
      </c>
      <c r="HQ61">
        <f>MAX(0,N(HM61)-N(HP61))</f>
        <v/>
      </c>
      <c r="HR61">
        <f>IFERROR(MATCH(7,OrderAval,0),"")</f>
        <v/>
      </c>
      <c r="HS61">
        <f>IF(HR61="",0,IFERROR(IF(N(CHOOSE(HR61,FN61,FR61,FV61,FZ61,GD61,GH61,GL61,GP61))&lt;=0.005,0,MAX(0,N(CHOOSE(HR61,FN61,FR61,FV61,FZ61,GD61,GH61,GL61,GP61))+N(CHOOSE(HR61,FO61,FS61,FW61,GA61,GE61,GI61,GM61,GQ61))-MIN(N(CHOOSE(HR61,'Debt List'!$F$5,'Debt List'!$F$6,'Debt List'!$F$7,'Debt List'!$F$8,'Debt List'!$F$9,'Debt List'!$F$10,'Debt List'!$F$11,'Debt List'!$F$12)),N(CHOOSE(HR61,FN61,FR61,FV61,FZ61,GD61,GH61,GL61,GP61))+N(CHOOSE(HR61,FO61,FS61,FW61,GA61,GE61,GI61,GM61,GQ61))))),0))</f>
        <v/>
      </c>
      <c r="HT61">
        <f>MIN(N(HS61),MAX(0,N(HQ61)))</f>
        <v/>
      </c>
      <c r="HU61">
        <f>MAX(0,N(HQ61)-N(HT61))</f>
        <v/>
      </c>
      <c r="HV61">
        <f>IFERROR(MATCH(8,OrderAval,0),"")</f>
        <v/>
      </c>
      <c r="HW61">
        <f>IF(HV61="",0,IFERROR(IF(N(CHOOSE(HV61,FN61,FR61,FV61,FZ61,GD61,GH61,GL61,GP61))&lt;=0.005,0,MAX(0,N(CHOOSE(HV61,FN61,FR61,FV61,FZ61,GD61,GH61,GL61,GP61))+N(CHOOSE(HV61,FO61,FS61,FW61,GA61,GE61,GI61,GM61,GQ61))-MIN(N(CHOOSE(HV61,'Debt List'!$F$5,'Debt List'!$F$6,'Debt List'!$F$7,'Debt List'!$F$8,'Debt List'!$F$9,'Debt List'!$F$10,'Debt List'!$F$11,'Debt List'!$F$12)),N(CHOOSE(HV61,FN61,FR61,FV61,FZ61,GD61,GH61,GL61,GP61))+N(CHOOSE(HV61,FO61,FS61,FW61,GA61,GE61,GI61,GM61,GQ61))))),0))</f>
        <v/>
      </c>
      <c r="HX61">
        <f>MIN(N(HW61),MAX(0,N(HU61)))</f>
        <v/>
      </c>
      <c r="HY61">
        <f>MAX(0,N(HU61)-N(HX61))</f>
        <v/>
      </c>
    </row>
    <row r="62">
      <c r="A62" t="n">
        <v>58</v>
      </c>
      <c r="B62" s="115">
        <f>DATE(YEAR(PlanStart),MONTH(PlanStart)+A62-1,1)</f>
        <v/>
      </c>
      <c r="C62">
        <f>IF(AND(AP62&lt;&gt;"",N(CHOOSE(AP62,J62,N62,R62,V62,Z62,AD62,AH62,AL62))&gt;0.005),INDEX(DebtNames,AP62),IF(AND(AT62&lt;&gt;"",N(CHOOSE(AT62,J62,N62,R62,V62,Z62,AD62,AH62,AL62))&gt;0.005),INDEX(DebtNames,AT62),IF(AND(AX62&lt;&gt;"",N(CHOOSE(AX62,J62,N62,R62,V62,Z62,AD62,AH62,AL62))&gt;0.005),INDEX(DebtNames,AX62),IF(AND(BB62&lt;&gt;"",N(CHOOSE(BB62,J62,N62,R62,V62,Z62,AD62,AH62,AL62))&gt;0.005),INDEX(DebtNames,BB62),IF(AND(BF62&lt;&gt;"",N(CHOOSE(BF62,J62,N62,R62,V62,Z62,AD62,AH62,AL62))&gt;0.005),INDEX(DebtNames,BF62),IF(AND(BJ62&lt;&gt;"",N(CHOOSE(BJ62,J62,N62,R62,V62,Z62,AD62,AH62,AL62))&gt;0.005),INDEX(DebtNames,BJ62),IF(AND(BN62&lt;&gt;"",N(CHOOSE(BN62,J62,N62,R62,V62,Z62,AD62,AH62,AL62))&gt;0.005),INDEX(DebtNames,BN62),IF(AND(BR62&lt;&gt;"",N(CHOOSE(BR62,J62,N62,R62,V62,Z62,AD62,AH62,AL62))&gt;0.005),INDEX(DebtNames,BR62),""))))))))</f>
        <v/>
      </c>
      <c r="D62">
        <f>N(BU62)</f>
        <v/>
      </c>
      <c r="E62">
        <f>N(L62)+N(P62)+N(T62)+N(X62)+N(AB62)+N(AF62)+N(AJ62)+N(AN62)</f>
        <v/>
      </c>
      <c r="F62">
        <f>N(K62)+N(O62)+N(S62)+N(W62)+N(AA62)+N(AE62)+N(AI62)+N(AM62)</f>
        <v/>
      </c>
      <c r="G62">
        <f>N(G61)+N(F62)</f>
        <v/>
      </c>
      <c r="H62">
        <f>N(M62)+N(Q62)+N(U62)+N(Y62)+N(AC62)+N(AG62)+N(AK62)+N(AO62)</f>
        <v/>
      </c>
      <c r="I62">
        <f>(M62&gt;0.005)*1+(Q62&gt;0.005)*1+(U62&gt;0.005)*1+(Y62&gt;0.005)*1+(AC62&gt;0.005)*1+(AG62&gt;0.005)*1+(AK62&gt;0.005)*1+(AO62&gt;0.005)*1</f>
        <v/>
      </c>
      <c r="J62">
        <f>N(M61)</f>
        <v/>
      </c>
      <c r="K62">
        <f>IF(N(J62)&lt;=0.005,0,ROUND(N(J62)*N('Debt List'!E5)/12,2))</f>
        <v/>
      </c>
      <c r="L62">
        <f>IF(N(J62)&lt;=0.005,0,MIN(N('Debt List'!F5),N(J62)+N(K62)))+((AP62=1)*AR62+(AT62=1)*AV62+(AX62=1)*AZ62+(BB62=1)*BD62+(BF62=1)*BH62+(BJ62=1)*BL62+(BN62=1)*BP62+(BR62=1)*BT62)</f>
        <v/>
      </c>
      <c r="M62">
        <f>MAX(0,ROUND(N(J62)+N(K62)-N(L62),2))</f>
        <v/>
      </c>
      <c r="N62">
        <f>N(Q61)</f>
        <v/>
      </c>
      <c r="O62">
        <f>IF(N(N62)&lt;=0.005,0,ROUND(N(N62)*N('Debt List'!E6)/12,2))</f>
        <v/>
      </c>
      <c r="P62">
        <f>IF(N(N62)&lt;=0.005,0,MIN(N('Debt List'!F6),N(N62)+N(O62)))+((AP62=2)*AR62+(AT62=2)*AV62+(AX62=2)*AZ62+(BB62=2)*BD62+(BF62=2)*BH62+(BJ62=2)*BL62+(BN62=2)*BP62+(BR62=2)*BT62)</f>
        <v/>
      </c>
      <c r="Q62">
        <f>MAX(0,ROUND(N(N62)+N(O62)-N(P62),2))</f>
        <v/>
      </c>
      <c r="R62">
        <f>N(U61)</f>
        <v/>
      </c>
      <c r="S62">
        <f>IF(N(R62)&lt;=0.005,0,ROUND(N(R62)*N('Debt List'!E7)/12,2))</f>
        <v/>
      </c>
      <c r="T62">
        <f>IF(N(R62)&lt;=0.005,0,MIN(N('Debt List'!F7),N(R62)+N(S62)))+((AP62=3)*AR62+(AT62=3)*AV62+(AX62=3)*AZ62+(BB62=3)*BD62+(BF62=3)*BH62+(BJ62=3)*BL62+(BN62=3)*BP62+(BR62=3)*BT62)</f>
        <v/>
      </c>
      <c r="U62">
        <f>MAX(0,ROUND(N(R62)+N(S62)-N(T62),2))</f>
        <v/>
      </c>
      <c r="V62">
        <f>N(Y61)</f>
        <v/>
      </c>
      <c r="W62">
        <f>IF(N(V62)&lt;=0.005,0,ROUND(N(V62)*N('Debt List'!E8)/12,2))</f>
        <v/>
      </c>
      <c r="X62">
        <f>IF(N(V62)&lt;=0.005,0,MIN(N('Debt List'!F8),N(V62)+N(W62)))+((AP62=4)*AR62+(AT62=4)*AV62+(AX62=4)*AZ62+(BB62=4)*BD62+(BF62=4)*BH62+(BJ62=4)*BL62+(BN62=4)*BP62+(BR62=4)*BT62)</f>
        <v/>
      </c>
      <c r="Y62">
        <f>MAX(0,ROUND(N(V62)+N(W62)-N(X62),2))</f>
        <v/>
      </c>
      <c r="Z62">
        <f>N(AC61)</f>
        <v/>
      </c>
      <c r="AA62">
        <f>IF(N(Z62)&lt;=0.005,0,ROUND(N(Z62)*N('Debt List'!E9)/12,2))</f>
        <v/>
      </c>
      <c r="AB62">
        <f>IF(N(Z62)&lt;=0.005,0,MIN(N('Debt List'!F9),N(Z62)+N(AA62)))+((AP62=5)*AR62+(AT62=5)*AV62+(AX62=5)*AZ62+(BB62=5)*BD62+(BF62=5)*BH62+(BJ62=5)*BL62+(BN62=5)*BP62+(BR62=5)*BT62)</f>
        <v/>
      </c>
      <c r="AC62">
        <f>MAX(0,ROUND(N(Z62)+N(AA62)-N(AB62),2))</f>
        <v/>
      </c>
      <c r="AD62">
        <f>N(AG61)</f>
        <v/>
      </c>
      <c r="AE62">
        <f>IF(N(AD62)&lt;=0.005,0,ROUND(N(AD62)*N('Debt List'!E10)/12,2))</f>
        <v/>
      </c>
      <c r="AF62">
        <f>IF(N(AD62)&lt;=0.005,0,MIN(N('Debt List'!F10),N(AD62)+N(AE62)))+((AP62=6)*AR62+(AT62=6)*AV62+(AX62=6)*AZ62+(BB62=6)*BD62+(BF62=6)*BH62+(BJ62=6)*BL62+(BN62=6)*BP62+(BR62=6)*BT62)</f>
        <v/>
      </c>
      <c r="AG62">
        <f>MAX(0,ROUND(N(AD62)+N(AE62)-N(AF62),2))</f>
        <v/>
      </c>
      <c r="AH62">
        <f>N(AK61)</f>
        <v/>
      </c>
      <c r="AI62">
        <f>IF(N(AH62)&lt;=0.005,0,ROUND(N(AH62)*N('Debt List'!E11)/12,2))</f>
        <v/>
      </c>
      <c r="AJ62">
        <f>IF(N(AH62)&lt;=0.005,0,MIN(N('Debt List'!F11),N(AH62)+N(AI62)))+((AP62=7)*AR62+(AT62=7)*AV62+(AX62=7)*AZ62+(BB62=7)*BD62+(BF62=7)*BH62+(BJ62=7)*BL62+(BN62=7)*BP62+(BR62=7)*BT62)</f>
        <v/>
      </c>
      <c r="AK62">
        <f>MAX(0,ROUND(N(AH62)+N(AI62)-N(AJ62),2))</f>
        <v/>
      </c>
      <c r="AL62">
        <f>N(AO61)</f>
        <v/>
      </c>
      <c r="AM62">
        <f>IF(N(AL62)&lt;=0.005,0,ROUND(N(AL62)*N('Debt List'!E12)/12,2))</f>
        <v/>
      </c>
      <c r="AN62">
        <f>IF(N(AL62)&lt;=0.005,0,MIN(N('Debt List'!F12),N(AL62)+N(AM62)))+((AP62=8)*AR62+(AT62=8)*AV62+(AX62=8)*AZ62+(BB62=8)*BD62+(BF62=8)*BH62+(BJ62=8)*BL62+(BN62=8)*BP62+(BR62=8)*BT62)</f>
        <v/>
      </c>
      <c r="AO62">
        <f>MAX(0,ROUND(N(AL62)+N(AM62)-N(AN62),2))</f>
        <v/>
      </c>
      <c r="AP62">
        <f>IFERROR(MATCH(1,OrderPlan,0),"")</f>
        <v/>
      </c>
      <c r="AQ62">
        <f>IF(AP62="",0,IFERROR(IF(N(CHOOSE(AP62,J62,N62,R62,V62,Z62,AD62,AH62,AL62))&lt;=0.005,0,MAX(0,N(CHOOSE(AP62,J62,N62,R62,V62,Z62,AD62,AH62,AL62))+N(CHOOSE(AP62,K62,O62,S62,W62,AA62,AE62,AI62,AM62))-MIN(N(CHOOSE(AP62,'Debt List'!$F$5,'Debt List'!$F$6,'Debt List'!$F$7,'Debt List'!$F$8,'Debt List'!$F$9,'Debt List'!$F$10,'Debt List'!$F$11,'Debt List'!$F$12)),N(CHOOSE(AP62,J62,N62,R62,V62,Z62,AD62,AH62,AL62))+N(CHOOSE(AP62,K62,O62,S62,W62,AA62,AE62,AI62,AM62))))),0))</f>
        <v/>
      </c>
      <c r="AR62">
        <f>MIN(N(AQ62),MAX(0,N(ExtraPayment)))</f>
        <v/>
      </c>
      <c r="AS62">
        <f>MAX(0,N(ExtraPayment)-N(AR62))</f>
        <v/>
      </c>
      <c r="AT62">
        <f>IFERROR(MATCH(2,OrderPlan,0),"")</f>
        <v/>
      </c>
      <c r="AU62">
        <f>IF(AT62="",0,IFERROR(IF(N(CHOOSE(AT62,J62,N62,R62,V62,Z62,AD62,AH62,AL62))&lt;=0.005,0,MAX(0,N(CHOOSE(AT62,J62,N62,R62,V62,Z62,AD62,AH62,AL62))+N(CHOOSE(AT62,K62,O62,S62,W62,AA62,AE62,AI62,AM62))-MIN(N(CHOOSE(AT62,'Debt List'!$F$5,'Debt List'!$F$6,'Debt List'!$F$7,'Debt List'!$F$8,'Debt List'!$F$9,'Debt List'!$F$10,'Debt List'!$F$11,'Debt List'!$F$12)),N(CHOOSE(AT62,J62,N62,R62,V62,Z62,AD62,AH62,AL62))+N(CHOOSE(AT62,K62,O62,S62,W62,AA62,AE62,AI62,AM62))))),0))</f>
        <v/>
      </c>
      <c r="AV62">
        <f>MIN(N(AU62),MAX(0,N(AS62)))</f>
        <v/>
      </c>
      <c r="AW62">
        <f>MAX(0,N(AS62)-N(AV62))</f>
        <v/>
      </c>
      <c r="AX62">
        <f>IFERROR(MATCH(3,OrderPlan,0),"")</f>
        <v/>
      </c>
      <c r="AY62">
        <f>IF(AX62="",0,IFERROR(IF(N(CHOOSE(AX62,J62,N62,R62,V62,Z62,AD62,AH62,AL62))&lt;=0.005,0,MAX(0,N(CHOOSE(AX62,J62,N62,R62,V62,Z62,AD62,AH62,AL62))+N(CHOOSE(AX62,K62,O62,S62,W62,AA62,AE62,AI62,AM62))-MIN(N(CHOOSE(AX62,'Debt List'!$F$5,'Debt List'!$F$6,'Debt List'!$F$7,'Debt List'!$F$8,'Debt List'!$F$9,'Debt List'!$F$10,'Debt List'!$F$11,'Debt List'!$F$12)),N(CHOOSE(AX62,J62,N62,R62,V62,Z62,AD62,AH62,AL62))+N(CHOOSE(AX62,K62,O62,S62,W62,AA62,AE62,AI62,AM62))))),0))</f>
        <v/>
      </c>
      <c r="AZ62">
        <f>MIN(N(AY62),MAX(0,N(AW62)))</f>
        <v/>
      </c>
      <c r="BA62">
        <f>MAX(0,N(AW62)-N(AZ62))</f>
        <v/>
      </c>
      <c r="BB62">
        <f>IFERROR(MATCH(4,OrderPlan,0),"")</f>
        <v/>
      </c>
      <c r="BC62">
        <f>IF(BB62="",0,IFERROR(IF(N(CHOOSE(BB62,J62,N62,R62,V62,Z62,AD62,AH62,AL62))&lt;=0.005,0,MAX(0,N(CHOOSE(BB62,J62,N62,R62,V62,Z62,AD62,AH62,AL62))+N(CHOOSE(BB62,K62,O62,S62,W62,AA62,AE62,AI62,AM62))-MIN(N(CHOOSE(BB62,'Debt List'!$F$5,'Debt List'!$F$6,'Debt List'!$F$7,'Debt List'!$F$8,'Debt List'!$F$9,'Debt List'!$F$10,'Debt List'!$F$11,'Debt List'!$F$12)),N(CHOOSE(BB62,J62,N62,R62,V62,Z62,AD62,AH62,AL62))+N(CHOOSE(BB62,K62,O62,S62,W62,AA62,AE62,AI62,AM62))))),0))</f>
        <v/>
      </c>
      <c r="BD62">
        <f>MIN(N(BC62),MAX(0,N(BA62)))</f>
        <v/>
      </c>
      <c r="BE62">
        <f>MAX(0,N(BA62)-N(BD62))</f>
        <v/>
      </c>
      <c r="BF62">
        <f>IFERROR(MATCH(5,OrderPlan,0),"")</f>
        <v/>
      </c>
      <c r="BG62">
        <f>IF(BF62="",0,IFERROR(IF(N(CHOOSE(BF62,J62,N62,R62,V62,Z62,AD62,AH62,AL62))&lt;=0.005,0,MAX(0,N(CHOOSE(BF62,J62,N62,R62,V62,Z62,AD62,AH62,AL62))+N(CHOOSE(BF62,K62,O62,S62,W62,AA62,AE62,AI62,AM62))-MIN(N(CHOOSE(BF62,'Debt List'!$F$5,'Debt List'!$F$6,'Debt List'!$F$7,'Debt List'!$F$8,'Debt List'!$F$9,'Debt List'!$F$10,'Debt List'!$F$11,'Debt List'!$F$12)),N(CHOOSE(BF62,J62,N62,R62,V62,Z62,AD62,AH62,AL62))+N(CHOOSE(BF62,K62,O62,S62,W62,AA62,AE62,AI62,AM62))))),0))</f>
        <v/>
      </c>
      <c r="BH62">
        <f>MIN(N(BG62),MAX(0,N(BE62)))</f>
        <v/>
      </c>
      <c r="BI62">
        <f>MAX(0,N(BE62)-N(BH62))</f>
        <v/>
      </c>
      <c r="BJ62">
        <f>IFERROR(MATCH(6,OrderPlan,0),"")</f>
        <v/>
      </c>
      <c r="BK62">
        <f>IF(BJ62="",0,IFERROR(IF(N(CHOOSE(BJ62,J62,N62,R62,V62,Z62,AD62,AH62,AL62))&lt;=0.005,0,MAX(0,N(CHOOSE(BJ62,J62,N62,R62,V62,Z62,AD62,AH62,AL62))+N(CHOOSE(BJ62,K62,O62,S62,W62,AA62,AE62,AI62,AM62))-MIN(N(CHOOSE(BJ62,'Debt List'!$F$5,'Debt List'!$F$6,'Debt List'!$F$7,'Debt List'!$F$8,'Debt List'!$F$9,'Debt List'!$F$10,'Debt List'!$F$11,'Debt List'!$F$12)),N(CHOOSE(BJ62,J62,N62,R62,V62,Z62,AD62,AH62,AL62))+N(CHOOSE(BJ62,K62,O62,S62,W62,AA62,AE62,AI62,AM62))))),0))</f>
        <v/>
      </c>
      <c r="BL62">
        <f>MIN(N(BK62),MAX(0,N(BI62)))</f>
        <v/>
      </c>
      <c r="BM62">
        <f>MAX(0,N(BI62)-N(BL62))</f>
        <v/>
      </c>
      <c r="BN62">
        <f>IFERROR(MATCH(7,OrderPlan,0),"")</f>
        <v/>
      </c>
      <c r="BO62">
        <f>IF(BN62="",0,IFERROR(IF(N(CHOOSE(BN62,J62,N62,R62,V62,Z62,AD62,AH62,AL62))&lt;=0.005,0,MAX(0,N(CHOOSE(BN62,J62,N62,R62,V62,Z62,AD62,AH62,AL62))+N(CHOOSE(BN62,K62,O62,S62,W62,AA62,AE62,AI62,AM62))-MIN(N(CHOOSE(BN62,'Debt List'!$F$5,'Debt List'!$F$6,'Debt List'!$F$7,'Debt List'!$F$8,'Debt List'!$F$9,'Debt List'!$F$10,'Debt List'!$F$11,'Debt List'!$F$12)),N(CHOOSE(BN62,J62,N62,R62,V62,Z62,AD62,AH62,AL62))+N(CHOOSE(BN62,K62,O62,S62,W62,AA62,AE62,AI62,AM62))))),0))</f>
        <v/>
      </c>
      <c r="BP62">
        <f>MIN(N(BO62),MAX(0,N(BM62)))</f>
        <v/>
      </c>
      <c r="BQ62">
        <f>MAX(0,N(BM62)-N(BP62))</f>
        <v/>
      </c>
      <c r="BR62">
        <f>IFERROR(MATCH(8,OrderPlan,0),"")</f>
        <v/>
      </c>
      <c r="BS62">
        <f>IF(BR62="",0,IFERROR(IF(N(CHOOSE(BR62,J62,N62,R62,V62,Z62,AD62,AH62,AL62))&lt;=0.005,0,MAX(0,N(CHOOSE(BR62,J62,N62,R62,V62,Z62,AD62,AH62,AL62))+N(CHOOSE(BR62,K62,O62,S62,W62,AA62,AE62,AI62,AM62))-MIN(N(CHOOSE(BR62,'Debt List'!$F$5,'Debt List'!$F$6,'Debt List'!$F$7,'Debt List'!$F$8,'Debt List'!$F$9,'Debt List'!$F$10,'Debt List'!$F$11,'Debt List'!$F$12)),N(CHOOSE(BR62,J62,N62,R62,V62,Z62,AD62,AH62,AL62))+N(CHOOSE(BR62,K62,O62,S62,W62,AA62,AE62,AI62,AM62))))),0))</f>
        <v/>
      </c>
      <c r="BT62">
        <f>MIN(N(BS62),MAX(0,N(BQ62)))</f>
        <v/>
      </c>
      <c r="BU62">
        <f>MAX(0,N(BQ62)-N(BT62))</f>
        <v/>
      </c>
      <c r="CC62" t="n">
        <v>58</v>
      </c>
      <c r="CD62" s="115">
        <f>DATE(YEAR(PlanStart),MONTH(PlanStart)+CC62-1,1)</f>
        <v/>
      </c>
      <c r="CE62">
        <f>IF(AND(DR62&lt;&gt;"",N(CHOOSE(DR62,CL62,CP62,CT62,CX62,DB62,DF62,DJ62,DN62))&gt;0.005),INDEX(DebtNames,DR62),IF(AND(DV62&lt;&gt;"",N(CHOOSE(DV62,CL62,CP62,CT62,CX62,DB62,DF62,DJ62,DN62))&gt;0.005),INDEX(DebtNames,DV62),IF(AND(DZ62&lt;&gt;"",N(CHOOSE(DZ62,CL62,CP62,CT62,CX62,DB62,DF62,DJ62,DN62))&gt;0.005),INDEX(DebtNames,DZ62),IF(AND(ED62&lt;&gt;"",N(CHOOSE(ED62,CL62,CP62,CT62,CX62,DB62,DF62,DJ62,DN62))&gt;0.005),INDEX(DebtNames,ED62),IF(AND(EH62&lt;&gt;"",N(CHOOSE(EH62,CL62,CP62,CT62,CX62,DB62,DF62,DJ62,DN62))&gt;0.005),INDEX(DebtNames,EH62),IF(AND(EL62&lt;&gt;"",N(CHOOSE(EL62,CL62,CP62,CT62,CX62,DB62,DF62,DJ62,DN62))&gt;0.005),INDEX(DebtNames,EL62),IF(AND(EP62&lt;&gt;"",N(CHOOSE(EP62,CL62,CP62,CT62,CX62,DB62,DF62,DJ62,DN62))&gt;0.005),INDEX(DebtNames,EP62),IF(AND(ET62&lt;&gt;"",N(CHOOSE(ET62,CL62,CP62,CT62,CX62,DB62,DF62,DJ62,DN62))&gt;0.005),INDEX(DebtNames,ET62),""))))))))</f>
        <v/>
      </c>
      <c r="CF62">
        <f>N(EW62)</f>
        <v/>
      </c>
      <c r="CG62">
        <f>N(CN62)+N(CR62)+N(CV62)+N(CZ62)+N(DD62)+N(DH62)+N(DL62)+N(DP62)</f>
        <v/>
      </c>
      <c r="CH62">
        <f>N(CM62)+N(CQ62)+N(CU62)+N(CY62)+N(DC62)+N(DG62)+N(DK62)+N(DO62)</f>
        <v/>
      </c>
      <c r="CI62">
        <f>N(CI61)+N(CH62)</f>
        <v/>
      </c>
      <c r="CJ62">
        <f>N(CO62)+N(CS62)+N(CW62)+N(DA62)+N(DE62)+N(DI62)+N(DM62)+N(DQ62)</f>
        <v/>
      </c>
      <c r="CK62">
        <f>(CO62&gt;0.005)*1+(CS62&gt;0.005)*1+(CW62&gt;0.005)*1+(DA62&gt;0.005)*1+(DE62&gt;0.005)*1+(DI62&gt;0.005)*1+(DM62&gt;0.005)*1+(DQ62&gt;0.005)*1</f>
        <v/>
      </c>
      <c r="CL62">
        <f>N(CO61)</f>
        <v/>
      </c>
      <c r="CM62">
        <f>IF(N(CL62)&lt;=0.005,0,ROUND(N(CL62)*N('Debt List'!E5)/12,2))</f>
        <v/>
      </c>
      <c r="CN62">
        <f>IF(N(CL62)&lt;=0.005,0,MIN(N('Debt List'!F5),N(CL62)+N(CM62)))+((DR62=1)*DT62+(DV62=1)*DX62+(DZ62=1)*EB62+(ED62=1)*EF62+(EH62=1)*EJ62+(EL62=1)*EN62+(EP62=1)*ER62+(ET62=1)*EV62)</f>
        <v/>
      </c>
      <c r="CO62">
        <f>MAX(0,ROUND(N(CL62)+N(CM62)-N(CN62),2))</f>
        <v/>
      </c>
      <c r="CP62">
        <f>N(CS61)</f>
        <v/>
      </c>
      <c r="CQ62">
        <f>IF(N(CP62)&lt;=0.005,0,ROUND(N(CP62)*N('Debt List'!E6)/12,2))</f>
        <v/>
      </c>
      <c r="CR62">
        <f>IF(N(CP62)&lt;=0.005,0,MIN(N('Debt List'!F6),N(CP62)+N(CQ62)))+((DR62=2)*DT62+(DV62=2)*DX62+(DZ62=2)*EB62+(ED62=2)*EF62+(EH62=2)*EJ62+(EL62=2)*EN62+(EP62=2)*ER62+(ET62=2)*EV62)</f>
        <v/>
      </c>
      <c r="CS62">
        <f>MAX(0,ROUND(N(CP62)+N(CQ62)-N(CR62),2))</f>
        <v/>
      </c>
      <c r="CT62">
        <f>N(CW61)</f>
        <v/>
      </c>
      <c r="CU62">
        <f>IF(N(CT62)&lt;=0.005,0,ROUND(N(CT62)*N('Debt List'!E7)/12,2))</f>
        <v/>
      </c>
      <c r="CV62">
        <f>IF(N(CT62)&lt;=0.005,0,MIN(N('Debt List'!F7),N(CT62)+N(CU62)))+((DR62=3)*DT62+(DV62=3)*DX62+(DZ62=3)*EB62+(ED62=3)*EF62+(EH62=3)*EJ62+(EL62=3)*EN62+(EP62=3)*ER62+(ET62=3)*EV62)</f>
        <v/>
      </c>
      <c r="CW62">
        <f>MAX(0,ROUND(N(CT62)+N(CU62)-N(CV62),2))</f>
        <v/>
      </c>
      <c r="CX62">
        <f>N(DA61)</f>
        <v/>
      </c>
      <c r="CY62">
        <f>IF(N(CX62)&lt;=0.005,0,ROUND(N(CX62)*N('Debt List'!E8)/12,2))</f>
        <v/>
      </c>
      <c r="CZ62">
        <f>IF(N(CX62)&lt;=0.005,0,MIN(N('Debt List'!F8),N(CX62)+N(CY62)))+((DR62=4)*DT62+(DV62=4)*DX62+(DZ62=4)*EB62+(ED62=4)*EF62+(EH62=4)*EJ62+(EL62=4)*EN62+(EP62=4)*ER62+(ET62=4)*EV62)</f>
        <v/>
      </c>
      <c r="DA62">
        <f>MAX(0,ROUND(N(CX62)+N(CY62)-N(CZ62),2))</f>
        <v/>
      </c>
      <c r="DB62">
        <f>N(DE61)</f>
        <v/>
      </c>
      <c r="DC62">
        <f>IF(N(DB62)&lt;=0.005,0,ROUND(N(DB62)*N('Debt List'!E9)/12,2))</f>
        <v/>
      </c>
      <c r="DD62">
        <f>IF(N(DB62)&lt;=0.005,0,MIN(N('Debt List'!F9),N(DB62)+N(DC62)))+((DR62=5)*DT62+(DV62=5)*DX62+(DZ62=5)*EB62+(ED62=5)*EF62+(EH62=5)*EJ62+(EL62=5)*EN62+(EP62=5)*ER62+(ET62=5)*EV62)</f>
        <v/>
      </c>
      <c r="DE62">
        <f>MAX(0,ROUND(N(DB62)+N(DC62)-N(DD62),2))</f>
        <v/>
      </c>
      <c r="DF62">
        <f>N(DI61)</f>
        <v/>
      </c>
      <c r="DG62">
        <f>IF(N(DF62)&lt;=0.005,0,ROUND(N(DF62)*N('Debt List'!E10)/12,2))</f>
        <v/>
      </c>
      <c r="DH62">
        <f>IF(N(DF62)&lt;=0.005,0,MIN(N('Debt List'!F10),N(DF62)+N(DG62)))+((DR62=6)*DT62+(DV62=6)*DX62+(DZ62=6)*EB62+(ED62=6)*EF62+(EH62=6)*EJ62+(EL62=6)*EN62+(EP62=6)*ER62+(ET62=6)*EV62)</f>
        <v/>
      </c>
      <c r="DI62">
        <f>MAX(0,ROUND(N(DF62)+N(DG62)-N(DH62),2))</f>
        <v/>
      </c>
      <c r="DJ62">
        <f>N(DM61)</f>
        <v/>
      </c>
      <c r="DK62">
        <f>IF(N(DJ62)&lt;=0.005,0,ROUND(N(DJ62)*N('Debt List'!E11)/12,2))</f>
        <v/>
      </c>
      <c r="DL62">
        <f>IF(N(DJ62)&lt;=0.005,0,MIN(N('Debt List'!F11),N(DJ62)+N(DK62)))+((DR62=7)*DT62+(DV62=7)*DX62+(DZ62=7)*EB62+(ED62=7)*EF62+(EH62=7)*EJ62+(EL62=7)*EN62+(EP62=7)*ER62+(ET62=7)*EV62)</f>
        <v/>
      </c>
      <c r="DM62">
        <f>MAX(0,ROUND(N(DJ62)+N(DK62)-N(DL62),2))</f>
        <v/>
      </c>
      <c r="DN62">
        <f>N(DQ61)</f>
        <v/>
      </c>
      <c r="DO62">
        <f>IF(N(DN62)&lt;=0.005,0,ROUND(N(DN62)*N('Debt List'!E12)/12,2))</f>
        <v/>
      </c>
      <c r="DP62">
        <f>IF(N(DN62)&lt;=0.005,0,MIN(N('Debt List'!F12),N(DN62)+N(DO62)))+((DR62=8)*DT62+(DV62=8)*DX62+(DZ62=8)*EB62+(ED62=8)*EF62+(EH62=8)*EJ62+(EL62=8)*EN62+(EP62=8)*ER62+(ET62=8)*EV62)</f>
        <v/>
      </c>
      <c r="DQ62">
        <f>MAX(0,ROUND(N(DN62)+N(DO62)-N(DP62),2))</f>
        <v/>
      </c>
      <c r="DR62">
        <f>IFERROR(MATCH(1,OrderSnow,0),"")</f>
        <v/>
      </c>
      <c r="DS62">
        <f>IF(DR62="",0,IFERROR(IF(N(CHOOSE(DR62,CL62,CP62,CT62,CX62,DB62,DF62,DJ62,DN62))&lt;=0.005,0,MAX(0,N(CHOOSE(DR62,CL62,CP62,CT62,CX62,DB62,DF62,DJ62,DN62))+N(CHOOSE(DR62,CM62,CQ62,CU62,CY62,DC62,DG62,DK62,DO62))-MIN(N(CHOOSE(DR62,'Debt List'!$F$5,'Debt List'!$F$6,'Debt List'!$F$7,'Debt List'!$F$8,'Debt List'!$F$9,'Debt List'!$F$10,'Debt List'!$F$11,'Debt List'!$F$12)),N(CHOOSE(DR62,CL62,CP62,CT62,CX62,DB62,DF62,DJ62,DN62))+N(CHOOSE(DR62,CM62,CQ62,CU62,CY62,DC62,DG62,DK62,DO62))))),0))</f>
        <v/>
      </c>
      <c r="DT62">
        <f>MIN(N(DS62),MAX(0,N(ExtraPayment)))</f>
        <v/>
      </c>
      <c r="DU62">
        <f>MAX(0,N(ExtraPayment)-N(DT62))</f>
        <v/>
      </c>
      <c r="DV62">
        <f>IFERROR(MATCH(2,OrderSnow,0),"")</f>
        <v/>
      </c>
      <c r="DW62">
        <f>IF(DV62="",0,IFERROR(IF(N(CHOOSE(DV62,CL62,CP62,CT62,CX62,DB62,DF62,DJ62,DN62))&lt;=0.005,0,MAX(0,N(CHOOSE(DV62,CL62,CP62,CT62,CX62,DB62,DF62,DJ62,DN62))+N(CHOOSE(DV62,CM62,CQ62,CU62,CY62,DC62,DG62,DK62,DO62))-MIN(N(CHOOSE(DV62,'Debt List'!$F$5,'Debt List'!$F$6,'Debt List'!$F$7,'Debt List'!$F$8,'Debt List'!$F$9,'Debt List'!$F$10,'Debt List'!$F$11,'Debt List'!$F$12)),N(CHOOSE(DV62,CL62,CP62,CT62,CX62,DB62,DF62,DJ62,DN62))+N(CHOOSE(DV62,CM62,CQ62,CU62,CY62,DC62,DG62,DK62,DO62))))),0))</f>
        <v/>
      </c>
      <c r="DX62">
        <f>MIN(N(DW62),MAX(0,N(DU62)))</f>
        <v/>
      </c>
      <c r="DY62">
        <f>MAX(0,N(DU62)-N(DX62))</f>
        <v/>
      </c>
      <c r="DZ62">
        <f>IFERROR(MATCH(3,OrderSnow,0),"")</f>
        <v/>
      </c>
      <c r="EA62">
        <f>IF(DZ62="",0,IFERROR(IF(N(CHOOSE(DZ62,CL62,CP62,CT62,CX62,DB62,DF62,DJ62,DN62))&lt;=0.005,0,MAX(0,N(CHOOSE(DZ62,CL62,CP62,CT62,CX62,DB62,DF62,DJ62,DN62))+N(CHOOSE(DZ62,CM62,CQ62,CU62,CY62,DC62,DG62,DK62,DO62))-MIN(N(CHOOSE(DZ62,'Debt List'!$F$5,'Debt List'!$F$6,'Debt List'!$F$7,'Debt List'!$F$8,'Debt List'!$F$9,'Debt List'!$F$10,'Debt List'!$F$11,'Debt List'!$F$12)),N(CHOOSE(DZ62,CL62,CP62,CT62,CX62,DB62,DF62,DJ62,DN62))+N(CHOOSE(DZ62,CM62,CQ62,CU62,CY62,DC62,DG62,DK62,DO62))))),0))</f>
        <v/>
      </c>
      <c r="EB62">
        <f>MIN(N(EA62),MAX(0,N(DY62)))</f>
        <v/>
      </c>
      <c r="EC62">
        <f>MAX(0,N(DY62)-N(EB62))</f>
        <v/>
      </c>
      <c r="ED62">
        <f>IFERROR(MATCH(4,OrderSnow,0),"")</f>
        <v/>
      </c>
      <c r="EE62">
        <f>IF(ED62="",0,IFERROR(IF(N(CHOOSE(ED62,CL62,CP62,CT62,CX62,DB62,DF62,DJ62,DN62))&lt;=0.005,0,MAX(0,N(CHOOSE(ED62,CL62,CP62,CT62,CX62,DB62,DF62,DJ62,DN62))+N(CHOOSE(ED62,CM62,CQ62,CU62,CY62,DC62,DG62,DK62,DO62))-MIN(N(CHOOSE(ED62,'Debt List'!$F$5,'Debt List'!$F$6,'Debt List'!$F$7,'Debt List'!$F$8,'Debt List'!$F$9,'Debt List'!$F$10,'Debt List'!$F$11,'Debt List'!$F$12)),N(CHOOSE(ED62,CL62,CP62,CT62,CX62,DB62,DF62,DJ62,DN62))+N(CHOOSE(ED62,CM62,CQ62,CU62,CY62,DC62,DG62,DK62,DO62))))),0))</f>
        <v/>
      </c>
      <c r="EF62">
        <f>MIN(N(EE62),MAX(0,N(EC62)))</f>
        <v/>
      </c>
      <c r="EG62">
        <f>MAX(0,N(EC62)-N(EF62))</f>
        <v/>
      </c>
      <c r="EH62">
        <f>IFERROR(MATCH(5,OrderSnow,0),"")</f>
        <v/>
      </c>
      <c r="EI62">
        <f>IF(EH62="",0,IFERROR(IF(N(CHOOSE(EH62,CL62,CP62,CT62,CX62,DB62,DF62,DJ62,DN62))&lt;=0.005,0,MAX(0,N(CHOOSE(EH62,CL62,CP62,CT62,CX62,DB62,DF62,DJ62,DN62))+N(CHOOSE(EH62,CM62,CQ62,CU62,CY62,DC62,DG62,DK62,DO62))-MIN(N(CHOOSE(EH62,'Debt List'!$F$5,'Debt List'!$F$6,'Debt List'!$F$7,'Debt List'!$F$8,'Debt List'!$F$9,'Debt List'!$F$10,'Debt List'!$F$11,'Debt List'!$F$12)),N(CHOOSE(EH62,CL62,CP62,CT62,CX62,DB62,DF62,DJ62,DN62))+N(CHOOSE(EH62,CM62,CQ62,CU62,CY62,DC62,DG62,DK62,DO62))))),0))</f>
        <v/>
      </c>
      <c r="EJ62">
        <f>MIN(N(EI62),MAX(0,N(EG62)))</f>
        <v/>
      </c>
      <c r="EK62">
        <f>MAX(0,N(EG62)-N(EJ62))</f>
        <v/>
      </c>
      <c r="EL62">
        <f>IFERROR(MATCH(6,OrderSnow,0),"")</f>
        <v/>
      </c>
      <c r="EM62">
        <f>IF(EL62="",0,IFERROR(IF(N(CHOOSE(EL62,CL62,CP62,CT62,CX62,DB62,DF62,DJ62,DN62))&lt;=0.005,0,MAX(0,N(CHOOSE(EL62,CL62,CP62,CT62,CX62,DB62,DF62,DJ62,DN62))+N(CHOOSE(EL62,CM62,CQ62,CU62,CY62,DC62,DG62,DK62,DO62))-MIN(N(CHOOSE(EL62,'Debt List'!$F$5,'Debt List'!$F$6,'Debt List'!$F$7,'Debt List'!$F$8,'Debt List'!$F$9,'Debt List'!$F$10,'Debt List'!$F$11,'Debt List'!$F$12)),N(CHOOSE(EL62,CL62,CP62,CT62,CX62,DB62,DF62,DJ62,DN62))+N(CHOOSE(EL62,CM62,CQ62,CU62,CY62,DC62,DG62,DK62,DO62))))),0))</f>
        <v/>
      </c>
      <c r="EN62">
        <f>MIN(N(EM62),MAX(0,N(EK62)))</f>
        <v/>
      </c>
      <c r="EO62">
        <f>MAX(0,N(EK62)-N(EN62))</f>
        <v/>
      </c>
      <c r="EP62">
        <f>IFERROR(MATCH(7,OrderSnow,0),"")</f>
        <v/>
      </c>
      <c r="EQ62">
        <f>IF(EP62="",0,IFERROR(IF(N(CHOOSE(EP62,CL62,CP62,CT62,CX62,DB62,DF62,DJ62,DN62))&lt;=0.005,0,MAX(0,N(CHOOSE(EP62,CL62,CP62,CT62,CX62,DB62,DF62,DJ62,DN62))+N(CHOOSE(EP62,CM62,CQ62,CU62,CY62,DC62,DG62,DK62,DO62))-MIN(N(CHOOSE(EP62,'Debt List'!$F$5,'Debt List'!$F$6,'Debt List'!$F$7,'Debt List'!$F$8,'Debt List'!$F$9,'Debt List'!$F$10,'Debt List'!$F$11,'Debt List'!$F$12)),N(CHOOSE(EP62,CL62,CP62,CT62,CX62,DB62,DF62,DJ62,DN62))+N(CHOOSE(EP62,CM62,CQ62,CU62,CY62,DC62,DG62,DK62,DO62))))),0))</f>
        <v/>
      </c>
      <c r="ER62">
        <f>MIN(N(EQ62),MAX(0,N(EO62)))</f>
        <v/>
      </c>
      <c r="ES62">
        <f>MAX(0,N(EO62)-N(ER62))</f>
        <v/>
      </c>
      <c r="ET62">
        <f>IFERROR(MATCH(8,OrderSnow,0),"")</f>
        <v/>
      </c>
      <c r="EU62">
        <f>IF(ET62="",0,IFERROR(IF(N(CHOOSE(ET62,CL62,CP62,CT62,CX62,DB62,DF62,DJ62,DN62))&lt;=0.005,0,MAX(0,N(CHOOSE(ET62,CL62,CP62,CT62,CX62,DB62,DF62,DJ62,DN62))+N(CHOOSE(ET62,CM62,CQ62,CU62,CY62,DC62,DG62,DK62,DO62))-MIN(N(CHOOSE(ET62,'Debt List'!$F$5,'Debt List'!$F$6,'Debt List'!$F$7,'Debt List'!$F$8,'Debt List'!$F$9,'Debt List'!$F$10,'Debt List'!$F$11,'Debt List'!$F$12)),N(CHOOSE(ET62,CL62,CP62,CT62,CX62,DB62,DF62,DJ62,DN62))+N(CHOOSE(ET62,CM62,CQ62,CU62,CY62,DC62,DG62,DK62,DO62))))),0))</f>
        <v/>
      </c>
      <c r="EV62">
        <f>MIN(N(EU62),MAX(0,N(ES62)))</f>
        <v/>
      </c>
      <c r="EW62">
        <f>MAX(0,N(ES62)-N(EV62))</f>
        <v/>
      </c>
      <c r="FE62" t="n">
        <v>58</v>
      </c>
      <c r="FF62" s="115">
        <f>DATE(YEAR(PlanStart),MONTH(PlanStart)+FE62-1,1)</f>
        <v/>
      </c>
      <c r="FG62">
        <f>IF(AND(GT62&lt;&gt;"",N(CHOOSE(GT62,FN62,FR62,FV62,FZ62,GD62,GH62,GL62,GP62))&gt;0.005),INDEX(DebtNames,GT62),IF(AND(GX62&lt;&gt;"",N(CHOOSE(GX62,FN62,FR62,FV62,FZ62,GD62,GH62,GL62,GP62))&gt;0.005),INDEX(DebtNames,GX62),IF(AND(HB62&lt;&gt;"",N(CHOOSE(HB62,FN62,FR62,FV62,FZ62,GD62,GH62,GL62,GP62))&gt;0.005),INDEX(DebtNames,HB62),IF(AND(HF62&lt;&gt;"",N(CHOOSE(HF62,FN62,FR62,FV62,FZ62,GD62,GH62,GL62,GP62))&gt;0.005),INDEX(DebtNames,HF62),IF(AND(HJ62&lt;&gt;"",N(CHOOSE(HJ62,FN62,FR62,FV62,FZ62,GD62,GH62,GL62,GP62))&gt;0.005),INDEX(DebtNames,HJ62),IF(AND(HN62&lt;&gt;"",N(CHOOSE(HN62,FN62,FR62,FV62,FZ62,GD62,GH62,GL62,GP62))&gt;0.005),INDEX(DebtNames,HN62),IF(AND(HR62&lt;&gt;"",N(CHOOSE(HR62,FN62,FR62,FV62,FZ62,GD62,GH62,GL62,GP62))&gt;0.005),INDEX(DebtNames,HR62),IF(AND(HV62&lt;&gt;"",N(CHOOSE(HV62,FN62,FR62,FV62,FZ62,GD62,GH62,GL62,GP62))&gt;0.005),INDEX(DebtNames,HV62),""))))))))</f>
        <v/>
      </c>
      <c r="FH62">
        <f>N(HY62)</f>
        <v/>
      </c>
      <c r="FI62">
        <f>N(FP62)+N(FT62)+N(FX62)+N(GB62)+N(GF62)+N(GJ62)+N(GN62)+N(GR62)</f>
        <v/>
      </c>
      <c r="FJ62">
        <f>N(FO62)+N(FS62)+N(FW62)+N(GA62)+N(GE62)+N(GI62)+N(GM62)+N(GQ62)</f>
        <v/>
      </c>
      <c r="FK62">
        <f>N(FK61)+N(FJ62)</f>
        <v/>
      </c>
      <c r="FL62">
        <f>N(FQ62)+N(FU62)+N(FY62)+N(GC62)+N(GG62)+N(GK62)+N(GO62)+N(GS62)</f>
        <v/>
      </c>
      <c r="FM62">
        <f>(FQ62&gt;0.005)*1+(FU62&gt;0.005)*1+(FY62&gt;0.005)*1+(GC62&gt;0.005)*1+(GG62&gt;0.005)*1+(GK62&gt;0.005)*1+(GO62&gt;0.005)*1+(GS62&gt;0.005)*1</f>
        <v/>
      </c>
      <c r="FN62">
        <f>N(FQ61)</f>
        <v/>
      </c>
      <c r="FO62">
        <f>IF(N(FN62)&lt;=0.005,0,ROUND(N(FN62)*N('Debt List'!E5)/12,2))</f>
        <v/>
      </c>
      <c r="FP62">
        <f>IF(N(FN62)&lt;=0.005,0,MIN(N('Debt List'!F5),N(FN62)+N(FO62)))+((GT62=1)*GV62+(GX62=1)*GZ62+(HB62=1)*HD62+(HF62=1)*HH62+(HJ62=1)*HL62+(HN62=1)*HP62+(HR62=1)*HT62+(HV62=1)*HX62)</f>
        <v/>
      </c>
      <c r="FQ62">
        <f>MAX(0,ROUND(N(FN62)+N(FO62)-N(FP62),2))</f>
        <v/>
      </c>
      <c r="FR62">
        <f>N(FU61)</f>
        <v/>
      </c>
      <c r="FS62">
        <f>IF(N(FR62)&lt;=0.005,0,ROUND(N(FR62)*N('Debt List'!E6)/12,2))</f>
        <v/>
      </c>
      <c r="FT62">
        <f>IF(N(FR62)&lt;=0.005,0,MIN(N('Debt List'!F6),N(FR62)+N(FS62)))+((GT62=2)*GV62+(GX62=2)*GZ62+(HB62=2)*HD62+(HF62=2)*HH62+(HJ62=2)*HL62+(HN62=2)*HP62+(HR62=2)*HT62+(HV62=2)*HX62)</f>
        <v/>
      </c>
      <c r="FU62">
        <f>MAX(0,ROUND(N(FR62)+N(FS62)-N(FT62),2))</f>
        <v/>
      </c>
      <c r="FV62">
        <f>N(FY61)</f>
        <v/>
      </c>
      <c r="FW62">
        <f>IF(N(FV62)&lt;=0.005,0,ROUND(N(FV62)*N('Debt List'!E7)/12,2))</f>
        <v/>
      </c>
      <c r="FX62">
        <f>IF(N(FV62)&lt;=0.005,0,MIN(N('Debt List'!F7),N(FV62)+N(FW62)))+((GT62=3)*GV62+(GX62=3)*GZ62+(HB62=3)*HD62+(HF62=3)*HH62+(HJ62=3)*HL62+(HN62=3)*HP62+(HR62=3)*HT62+(HV62=3)*HX62)</f>
        <v/>
      </c>
      <c r="FY62">
        <f>MAX(0,ROUND(N(FV62)+N(FW62)-N(FX62),2))</f>
        <v/>
      </c>
      <c r="FZ62">
        <f>N(GC61)</f>
        <v/>
      </c>
      <c r="GA62">
        <f>IF(N(FZ62)&lt;=0.005,0,ROUND(N(FZ62)*N('Debt List'!E8)/12,2))</f>
        <v/>
      </c>
      <c r="GB62">
        <f>IF(N(FZ62)&lt;=0.005,0,MIN(N('Debt List'!F8),N(FZ62)+N(GA62)))+((GT62=4)*GV62+(GX62=4)*GZ62+(HB62=4)*HD62+(HF62=4)*HH62+(HJ62=4)*HL62+(HN62=4)*HP62+(HR62=4)*HT62+(HV62=4)*HX62)</f>
        <v/>
      </c>
      <c r="GC62">
        <f>MAX(0,ROUND(N(FZ62)+N(GA62)-N(GB62),2))</f>
        <v/>
      </c>
      <c r="GD62">
        <f>N(GG61)</f>
        <v/>
      </c>
      <c r="GE62">
        <f>IF(N(GD62)&lt;=0.005,0,ROUND(N(GD62)*N('Debt List'!E9)/12,2))</f>
        <v/>
      </c>
      <c r="GF62">
        <f>IF(N(GD62)&lt;=0.005,0,MIN(N('Debt List'!F9),N(GD62)+N(GE62)))+((GT62=5)*GV62+(GX62=5)*GZ62+(HB62=5)*HD62+(HF62=5)*HH62+(HJ62=5)*HL62+(HN62=5)*HP62+(HR62=5)*HT62+(HV62=5)*HX62)</f>
        <v/>
      </c>
      <c r="GG62">
        <f>MAX(0,ROUND(N(GD62)+N(GE62)-N(GF62),2))</f>
        <v/>
      </c>
      <c r="GH62">
        <f>N(GK61)</f>
        <v/>
      </c>
      <c r="GI62">
        <f>IF(N(GH62)&lt;=0.005,0,ROUND(N(GH62)*N('Debt List'!E10)/12,2))</f>
        <v/>
      </c>
      <c r="GJ62">
        <f>IF(N(GH62)&lt;=0.005,0,MIN(N('Debt List'!F10),N(GH62)+N(GI62)))+((GT62=6)*GV62+(GX62=6)*GZ62+(HB62=6)*HD62+(HF62=6)*HH62+(HJ62=6)*HL62+(HN62=6)*HP62+(HR62=6)*HT62+(HV62=6)*HX62)</f>
        <v/>
      </c>
      <c r="GK62">
        <f>MAX(0,ROUND(N(GH62)+N(GI62)-N(GJ62),2))</f>
        <v/>
      </c>
      <c r="GL62">
        <f>N(GO61)</f>
        <v/>
      </c>
      <c r="GM62">
        <f>IF(N(GL62)&lt;=0.005,0,ROUND(N(GL62)*N('Debt List'!E11)/12,2))</f>
        <v/>
      </c>
      <c r="GN62">
        <f>IF(N(GL62)&lt;=0.005,0,MIN(N('Debt List'!F11),N(GL62)+N(GM62)))+((GT62=7)*GV62+(GX62=7)*GZ62+(HB62=7)*HD62+(HF62=7)*HH62+(HJ62=7)*HL62+(HN62=7)*HP62+(HR62=7)*HT62+(HV62=7)*HX62)</f>
        <v/>
      </c>
      <c r="GO62">
        <f>MAX(0,ROUND(N(GL62)+N(GM62)-N(GN62),2))</f>
        <v/>
      </c>
      <c r="GP62">
        <f>N(GS61)</f>
        <v/>
      </c>
      <c r="GQ62">
        <f>IF(N(GP62)&lt;=0.005,0,ROUND(N(GP62)*N('Debt List'!E12)/12,2))</f>
        <v/>
      </c>
      <c r="GR62">
        <f>IF(N(GP62)&lt;=0.005,0,MIN(N('Debt List'!F12),N(GP62)+N(GQ62)))+((GT62=8)*GV62+(GX62=8)*GZ62+(HB62=8)*HD62+(HF62=8)*HH62+(HJ62=8)*HL62+(HN62=8)*HP62+(HR62=8)*HT62+(HV62=8)*HX62)</f>
        <v/>
      </c>
      <c r="GS62">
        <f>MAX(0,ROUND(N(GP62)+N(GQ62)-N(GR62),2))</f>
        <v/>
      </c>
      <c r="GT62">
        <f>IFERROR(MATCH(1,OrderAval,0),"")</f>
        <v/>
      </c>
      <c r="GU62">
        <f>IF(GT62="",0,IFERROR(IF(N(CHOOSE(GT62,FN62,FR62,FV62,FZ62,GD62,GH62,GL62,GP62))&lt;=0.005,0,MAX(0,N(CHOOSE(GT62,FN62,FR62,FV62,FZ62,GD62,GH62,GL62,GP62))+N(CHOOSE(GT62,FO62,FS62,FW62,GA62,GE62,GI62,GM62,GQ62))-MIN(N(CHOOSE(GT62,'Debt List'!$F$5,'Debt List'!$F$6,'Debt List'!$F$7,'Debt List'!$F$8,'Debt List'!$F$9,'Debt List'!$F$10,'Debt List'!$F$11,'Debt List'!$F$12)),N(CHOOSE(GT62,FN62,FR62,FV62,FZ62,GD62,GH62,GL62,GP62))+N(CHOOSE(GT62,FO62,FS62,FW62,GA62,GE62,GI62,GM62,GQ62))))),0))</f>
        <v/>
      </c>
      <c r="GV62">
        <f>MIN(N(GU62),MAX(0,N(ExtraPayment)))</f>
        <v/>
      </c>
      <c r="GW62">
        <f>MAX(0,N(ExtraPayment)-N(GV62))</f>
        <v/>
      </c>
      <c r="GX62">
        <f>IFERROR(MATCH(2,OrderAval,0),"")</f>
        <v/>
      </c>
      <c r="GY62">
        <f>IF(GX62="",0,IFERROR(IF(N(CHOOSE(GX62,FN62,FR62,FV62,FZ62,GD62,GH62,GL62,GP62))&lt;=0.005,0,MAX(0,N(CHOOSE(GX62,FN62,FR62,FV62,FZ62,GD62,GH62,GL62,GP62))+N(CHOOSE(GX62,FO62,FS62,FW62,GA62,GE62,GI62,GM62,GQ62))-MIN(N(CHOOSE(GX62,'Debt List'!$F$5,'Debt List'!$F$6,'Debt List'!$F$7,'Debt List'!$F$8,'Debt List'!$F$9,'Debt List'!$F$10,'Debt List'!$F$11,'Debt List'!$F$12)),N(CHOOSE(GX62,FN62,FR62,FV62,FZ62,GD62,GH62,GL62,GP62))+N(CHOOSE(GX62,FO62,FS62,FW62,GA62,GE62,GI62,GM62,GQ62))))),0))</f>
        <v/>
      </c>
      <c r="GZ62">
        <f>MIN(N(GY62),MAX(0,N(GW62)))</f>
        <v/>
      </c>
      <c r="HA62">
        <f>MAX(0,N(GW62)-N(GZ62))</f>
        <v/>
      </c>
      <c r="HB62">
        <f>IFERROR(MATCH(3,OrderAval,0),"")</f>
        <v/>
      </c>
      <c r="HC62">
        <f>IF(HB62="",0,IFERROR(IF(N(CHOOSE(HB62,FN62,FR62,FV62,FZ62,GD62,GH62,GL62,GP62))&lt;=0.005,0,MAX(0,N(CHOOSE(HB62,FN62,FR62,FV62,FZ62,GD62,GH62,GL62,GP62))+N(CHOOSE(HB62,FO62,FS62,FW62,GA62,GE62,GI62,GM62,GQ62))-MIN(N(CHOOSE(HB62,'Debt List'!$F$5,'Debt List'!$F$6,'Debt List'!$F$7,'Debt List'!$F$8,'Debt List'!$F$9,'Debt List'!$F$10,'Debt List'!$F$11,'Debt List'!$F$12)),N(CHOOSE(HB62,FN62,FR62,FV62,FZ62,GD62,GH62,GL62,GP62))+N(CHOOSE(HB62,FO62,FS62,FW62,GA62,GE62,GI62,GM62,GQ62))))),0))</f>
        <v/>
      </c>
      <c r="HD62">
        <f>MIN(N(HC62),MAX(0,N(HA62)))</f>
        <v/>
      </c>
      <c r="HE62">
        <f>MAX(0,N(HA62)-N(HD62))</f>
        <v/>
      </c>
      <c r="HF62">
        <f>IFERROR(MATCH(4,OrderAval,0),"")</f>
        <v/>
      </c>
      <c r="HG62">
        <f>IF(HF62="",0,IFERROR(IF(N(CHOOSE(HF62,FN62,FR62,FV62,FZ62,GD62,GH62,GL62,GP62))&lt;=0.005,0,MAX(0,N(CHOOSE(HF62,FN62,FR62,FV62,FZ62,GD62,GH62,GL62,GP62))+N(CHOOSE(HF62,FO62,FS62,FW62,GA62,GE62,GI62,GM62,GQ62))-MIN(N(CHOOSE(HF62,'Debt List'!$F$5,'Debt List'!$F$6,'Debt List'!$F$7,'Debt List'!$F$8,'Debt List'!$F$9,'Debt List'!$F$10,'Debt List'!$F$11,'Debt List'!$F$12)),N(CHOOSE(HF62,FN62,FR62,FV62,FZ62,GD62,GH62,GL62,GP62))+N(CHOOSE(HF62,FO62,FS62,FW62,GA62,GE62,GI62,GM62,GQ62))))),0))</f>
        <v/>
      </c>
      <c r="HH62">
        <f>MIN(N(HG62),MAX(0,N(HE62)))</f>
        <v/>
      </c>
      <c r="HI62">
        <f>MAX(0,N(HE62)-N(HH62))</f>
        <v/>
      </c>
      <c r="HJ62">
        <f>IFERROR(MATCH(5,OrderAval,0),"")</f>
        <v/>
      </c>
      <c r="HK62">
        <f>IF(HJ62="",0,IFERROR(IF(N(CHOOSE(HJ62,FN62,FR62,FV62,FZ62,GD62,GH62,GL62,GP62))&lt;=0.005,0,MAX(0,N(CHOOSE(HJ62,FN62,FR62,FV62,FZ62,GD62,GH62,GL62,GP62))+N(CHOOSE(HJ62,FO62,FS62,FW62,GA62,GE62,GI62,GM62,GQ62))-MIN(N(CHOOSE(HJ62,'Debt List'!$F$5,'Debt List'!$F$6,'Debt List'!$F$7,'Debt List'!$F$8,'Debt List'!$F$9,'Debt List'!$F$10,'Debt List'!$F$11,'Debt List'!$F$12)),N(CHOOSE(HJ62,FN62,FR62,FV62,FZ62,GD62,GH62,GL62,GP62))+N(CHOOSE(HJ62,FO62,FS62,FW62,GA62,GE62,GI62,GM62,GQ62))))),0))</f>
        <v/>
      </c>
      <c r="HL62">
        <f>MIN(N(HK62),MAX(0,N(HI62)))</f>
        <v/>
      </c>
      <c r="HM62">
        <f>MAX(0,N(HI62)-N(HL62))</f>
        <v/>
      </c>
      <c r="HN62">
        <f>IFERROR(MATCH(6,OrderAval,0),"")</f>
        <v/>
      </c>
      <c r="HO62">
        <f>IF(HN62="",0,IFERROR(IF(N(CHOOSE(HN62,FN62,FR62,FV62,FZ62,GD62,GH62,GL62,GP62))&lt;=0.005,0,MAX(0,N(CHOOSE(HN62,FN62,FR62,FV62,FZ62,GD62,GH62,GL62,GP62))+N(CHOOSE(HN62,FO62,FS62,FW62,GA62,GE62,GI62,GM62,GQ62))-MIN(N(CHOOSE(HN62,'Debt List'!$F$5,'Debt List'!$F$6,'Debt List'!$F$7,'Debt List'!$F$8,'Debt List'!$F$9,'Debt List'!$F$10,'Debt List'!$F$11,'Debt List'!$F$12)),N(CHOOSE(HN62,FN62,FR62,FV62,FZ62,GD62,GH62,GL62,GP62))+N(CHOOSE(HN62,FO62,FS62,FW62,GA62,GE62,GI62,GM62,GQ62))))),0))</f>
        <v/>
      </c>
      <c r="HP62">
        <f>MIN(N(HO62),MAX(0,N(HM62)))</f>
        <v/>
      </c>
      <c r="HQ62">
        <f>MAX(0,N(HM62)-N(HP62))</f>
        <v/>
      </c>
      <c r="HR62">
        <f>IFERROR(MATCH(7,OrderAval,0),"")</f>
        <v/>
      </c>
      <c r="HS62">
        <f>IF(HR62="",0,IFERROR(IF(N(CHOOSE(HR62,FN62,FR62,FV62,FZ62,GD62,GH62,GL62,GP62))&lt;=0.005,0,MAX(0,N(CHOOSE(HR62,FN62,FR62,FV62,FZ62,GD62,GH62,GL62,GP62))+N(CHOOSE(HR62,FO62,FS62,FW62,GA62,GE62,GI62,GM62,GQ62))-MIN(N(CHOOSE(HR62,'Debt List'!$F$5,'Debt List'!$F$6,'Debt List'!$F$7,'Debt List'!$F$8,'Debt List'!$F$9,'Debt List'!$F$10,'Debt List'!$F$11,'Debt List'!$F$12)),N(CHOOSE(HR62,FN62,FR62,FV62,FZ62,GD62,GH62,GL62,GP62))+N(CHOOSE(HR62,FO62,FS62,FW62,GA62,GE62,GI62,GM62,GQ62))))),0))</f>
        <v/>
      </c>
      <c r="HT62">
        <f>MIN(N(HS62),MAX(0,N(HQ62)))</f>
        <v/>
      </c>
      <c r="HU62">
        <f>MAX(0,N(HQ62)-N(HT62))</f>
        <v/>
      </c>
      <c r="HV62">
        <f>IFERROR(MATCH(8,OrderAval,0),"")</f>
        <v/>
      </c>
      <c r="HW62">
        <f>IF(HV62="",0,IFERROR(IF(N(CHOOSE(HV62,FN62,FR62,FV62,FZ62,GD62,GH62,GL62,GP62))&lt;=0.005,0,MAX(0,N(CHOOSE(HV62,FN62,FR62,FV62,FZ62,GD62,GH62,GL62,GP62))+N(CHOOSE(HV62,FO62,FS62,FW62,GA62,GE62,GI62,GM62,GQ62))-MIN(N(CHOOSE(HV62,'Debt List'!$F$5,'Debt List'!$F$6,'Debt List'!$F$7,'Debt List'!$F$8,'Debt List'!$F$9,'Debt List'!$F$10,'Debt List'!$F$11,'Debt List'!$F$12)),N(CHOOSE(HV62,FN62,FR62,FV62,FZ62,GD62,GH62,GL62,GP62))+N(CHOOSE(HV62,FO62,FS62,FW62,GA62,GE62,GI62,GM62,GQ62))))),0))</f>
        <v/>
      </c>
      <c r="HX62">
        <f>MIN(N(HW62),MAX(0,N(HU62)))</f>
        <v/>
      </c>
      <c r="HY62">
        <f>MAX(0,N(HU62)-N(HX62))</f>
        <v/>
      </c>
    </row>
    <row r="63">
      <c r="A63" t="n">
        <v>59</v>
      </c>
      <c r="B63" s="115">
        <f>DATE(YEAR(PlanStart),MONTH(PlanStart)+A63-1,1)</f>
        <v/>
      </c>
      <c r="C63">
        <f>IF(AND(AP63&lt;&gt;"",N(CHOOSE(AP63,J63,N63,R63,V63,Z63,AD63,AH63,AL63))&gt;0.005),INDEX(DebtNames,AP63),IF(AND(AT63&lt;&gt;"",N(CHOOSE(AT63,J63,N63,R63,V63,Z63,AD63,AH63,AL63))&gt;0.005),INDEX(DebtNames,AT63),IF(AND(AX63&lt;&gt;"",N(CHOOSE(AX63,J63,N63,R63,V63,Z63,AD63,AH63,AL63))&gt;0.005),INDEX(DebtNames,AX63),IF(AND(BB63&lt;&gt;"",N(CHOOSE(BB63,J63,N63,R63,V63,Z63,AD63,AH63,AL63))&gt;0.005),INDEX(DebtNames,BB63),IF(AND(BF63&lt;&gt;"",N(CHOOSE(BF63,J63,N63,R63,V63,Z63,AD63,AH63,AL63))&gt;0.005),INDEX(DebtNames,BF63),IF(AND(BJ63&lt;&gt;"",N(CHOOSE(BJ63,J63,N63,R63,V63,Z63,AD63,AH63,AL63))&gt;0.005),INDEX(DebtNames,BJ63),IF(AND(BN63&lt;&gt;"",N(CHOOSE(BN63,J63,N63,R63,V63,Z63,AD63,AH63,AL63))&gt;0.005),INDEX(DebtNames,BN63),IF(AND(BR63&lt;&gt;"",N(CHOOSE(BR63,J63,N63,R63,V63,Z63,AD63,AH63,AL63))&gt;0.005),INDEX(DebtNames,BR63),""))))))))</f>
        <v/>
      </c>
      <c r="D63">
        <f>N(BU63)</f>
        <v/>
      </c>
      <c r="E63">
        <f>N(L63)+N(P63)+N(T63)+N(X63)+N(AB63)+N(AF63)+N(AJ63)+N(AN63)</f>
        <v/>
      </c>
      <c r="F63">
        <f>N(K63)+N(O63)+N(S63)+N(W63)+N(AA63)+N(AE63)+N(AI63)+N(AM63)</f>
        <v/>
      </c>
      <c r="G63">
        <f>N(G62)+N(F63)</f>
        <v/>
      </c>
      <c r="H63">
        <f>N(M63)+N(Q63)+N(U63)+N(Y63)+N(AC63)+N(AG63)+N(AK63)+N(AO63)</f>
        <v/>
      </c>
      <c r="I63">
        <f>(M63&gt;0.005)*1+(Q63&gt;0.005)*1+(U63&gt;0.005)*1+(Y63&gt;0.005)*1+(AC63&gt;0.005)*1+(AG63&gt;0.005)*1+(AK63&gt;0.005)*1+(AO63&gt;0.005)*1</f>
        <v/>
      </c>
      <c r="J63">
        <f>N(M62)</f>
        <v/>
      </c>
      <c r="K63">
        <f>IF(N(J63)&lt;=0.005,0,ROUND(N(J63)*N('Debt List'!E5)/12,2))</f>
        <v/>
      </c>
      <c r="L63">
        <f>IF(N(J63)&lt;=0.005,0,MIN(N('Debt List'!F5),N(J63)+N(K63)))+((AP63=1)*AR63+(AT63=1)*AV63+(AX63=1)*AZ63+(BB63=1)*BD63+(BF63=1)*BH63+(BJ63=1)*BL63+(BN63=1)*BP63+(BR63=1)*BT63)</f>
        <v/>
      </c>
      <c r="M63">
        <f>MAX(0,ROUND(N(J63)+N(K63)-N(L63),2))</f>
        <v/>
      </c>
      <c r="N63">
        <f>N(Q62)</f>
        <v/>
      </c>
      <c r="O63">
        <f>IF(N(N63)&lt;=0.005,0,ROUND(N(N63)*N('Debt List'!E6)/12,2))</f>
        <v/>
      </c>
      <c r="P63">
        <f>IF(N(N63)&lt;=0.005,0,MIN(N('Debt List'!F6),N(N63)+N(O63)))+((AP63=2)*AR63+(AT63=2)*AV63+(AX63=2)*AZ63+(BB63=2)*BD63+(BF63=2)*BH63+(BJ63=2)*BL63+(BN63=2)*BP63+(BR63=2)*BT63)</f>
        <v/>
      </c>
      <c r="Q63">
        <f>MAX(0,ROUND(N(N63)+N(O63)-N(P63),2))</f>
        <v/>
      </c>
      <c r="R63">
        <f>N(U62)</f>
        <v/>
      </c>
      <c r="S63">
        <f>IF(N(R63)&lt;=0.005,0,ROUND(N(R63)*N('Debt List'!E7)/12,2))</f>
        <v/>
      </c>
      <c r="T63">
        <f>IF(N(R63)&lt;=0.005,0,MIN(N('Debt List'!F7),N(R63)+N(S63)))+((AP63=3)*AR63+(AT63=3)*AV63+(AX63=3)*AZ63+(BB63=3)*BD63+(BF63=3)*BH63+(BJ63=3)*BL63+(BN63=3)*BP63+(BR63=3)*BT63)</f>
        <v/>
      </c>
      <c r="U63">
        <f>MAX(0,ROUND(N(R63)+N(S63)-N(T63),2))</f>
        <v/>
      </c>
      <c r="V63">
        <f>N(Y62)</f>
        <v/>
      </c>
      <c r="W63">
        <f>IF(N(V63)&lt;=0.005,0,ROUND(N(V63)*N('Debt List'!E8)/12,2))</f>
        <v/>
      </c>
      <c r="X63">
        <f>IF(N(V63)&lt;=0.005,0,MIN(N('Debt List'!F8),N(V63)+N(W63)))+((AP63=4)*AR63+(AT63=4)*AV63+(AX63=4)*AZ63+(BB63=4)*BD63+(BF63=4)*BH63+(BJ63=4)*BL63+(BN63=4)*BP63+(BR63=4)*BT63)</f>
        <v/>
      </c>
      <c r="Y63">
        <f>MAX(0,ROUND(N(V63)+N(W63)-N(X63),2))</f>
        <v/>
      </c>
      <c r="Z63">
        <f>N(AC62)</f>
        <v/>
      </c>
      <c r="AA63">
        <f>IF(N(Z63)&lt;=0.005,0,ROUND(N(Z63)*N('Debt List'!E9)/12,2))</f>
        <v/>
      </c>
      <c r="AB63">
        <f>IF(N(Z63)&lt;=0.005,0,MIN(N('Debt List'!F9),N(Z63)+N(AA63)))+((AP63=5)*AR63+(AT63=5)*AV63+(AX63=5)*AZ63+(BB63=5)*BD63+(BF63=5)*BH63+(BJ63=5)*BL63+(BN63=5)*BP63+(BR63=5)*BT63)</f>
        <v/>
      </c>
      <c r="AC63">
        <f>MAX(0,ROUND(N(Z63)+N(AA63)-N(AB63),2))</f>
        <v/>
      </c>
      <c r="AD63">
        <f>N(AG62)</f>
        <v/>
      </c>
      <c r="AE63">
        <f>IF(N(AD63)&lt;=0.005,0,ROUND(N(AD63)*N('Debt List'!E10)/12,2))</f>
        <v/>
      </c>
      <c r="AF63">
        <f>IF(N(AD63)&lt;=0.005,0,MIN(N('Debt List'!F10),N(AD63)+N(AE63)))+((AP63=6)*AR63+(AT63=6)*AV63+(AX63=6)*AZ63+(BB63=6)*BD63+(BF63=6)*BH63+(BJ63=6)*BL63+(BN63=6)*BP63+(BR63=6)*BT63)</f>
        <v/>
      </c>
      <c r="AG63">
        <f>MAX(0,ROUND(N(AD63)+N(AE63)-N(AF63),2))</f>
        <v/>
      </c>
      <c r="AH63">
        <f>N(AK62)</f>
        <v/>
      </c>
      <c r="AI63">
        <f>IF(N(AH63)&lt;=0.005,0,ROUND(N(AH63)*N('Debt List'!E11)/12,2))</f>
        <v/>
      </c>
      <c r="AJ63">
        <f>IF(N(AH63)&lt;=0.005,0,MIN(N('Debt List'!F11),N(AH63)+N(AI63)))+((AP63=7)*AR63+(AT63=7)*AV63+(AX63=7)*AZ63+(BB63=7)*BD63+(BF63=7)*BH63+(BJ63=7)*BL63+(BN63=7)*BP63+(BR63=7)*BT63)</f>
        <v/>
      </c>
      <c r="AK63">
        <f>MAX(0,ROUND(N(AH63)+N(AI63)-N(AJ63),2))</f>
        <v/>
      </c>
      <c r="AL63">
        <f>N(AO62)</f>
        <v/>
      </c>
      <c r="AM63">
        <f>IF(N(AL63)&lt;=0.005,0,ROUND(N(AL63)*N('Debt List'!E12)/12,2))</f>
        <v/>
      </c>
      <c r="AN63">
        <f>IF(N(AL63)&lt;=0.005,0,MIN(N('Debt List'!F12),N(AL63)+N(AM63)))+((AP63=8)*AR63+(AT63=8)*AV63+(AX63=8)*AZ63+(BB63=8)*BD63+(BF63=8)*BH63+(BJ63=8)*BL63+(BN63=8)*BP63+(BR63=8)*BT63)</f>
        <v/>
      </c>
      <c r="AO63">
        <f>MAX(0,ROUND(N(AL63)+N(AM63)-N(AN63),2))</f>
        <v/>
      </c>
      <c r="AP63">
        <f>IFERROR(MATCH(1,OrderPlan,0),"")</f>
        <v/>
      </c>
      <c r="AQ63">
        <f>IF(AP63="",0,IFERROR(IF(N(CHOOSE(AP63,J63,N63,R63,V63,Z63,AD63,AH63,AL63))&lt;=0.005,0,MAX(0,N(CHOOSE(AP63,J63,N63,R63,V63,Z63,AD63,AH63,AL63))+N(CHOOSE(AP63,K63,O63,S63,W63,AA63,AE63,AI63,AM63))-MIN(N(CHOOSE(AP63,'Debt List'!$F$5,'Debt List'!$F$6,'Debt List'!$F$7,'Debt List'!$F$8,'Debt List'!$F$9,'Debt List'!$F$10,'Debt List'!$F$11,'Debt List'!$F$12)),N(CHOOSE(AP63,J63,N63,R63,V63,Z63,AD63,AH63,AL63))+N(CHOOSE(AP63,K63,O63,S63,W63,AA63,AE63,AI63,AM63))))),0))</f>
        <v/>
      </c>
      <c r="AR63">
        <f>MIN(N(AQ63),MAX(0,N(ExtraPayment)))</f>
        <v/>
      </c>
      <c r="AS63">
        <f>MAX(0,N(ExtraPayment)-N(AR63))</f>
        <v/>
      </c>
      <c r="AT63">
        <f>IFERROR(MATCH(2,OrderPlan,0),"")</f>
        <v/>
      </c>
      <c r="AU63">
        <f>IF(AT63="",0,IFERROR(IF(N(CHOOSE(AT63,J63,N63,R63,V63,Z63,AD63,AH63,AL63))&lt;=0.005,0,MAX(0,N(CHOOSE(AT63,J63,N63,R63,V63,Z63,AD63,AH63,AL63))+N(CHOOSE(AT63,K63,O63,S63,W63,AA63,AE63,AI63,AM63))-MIN(N(CHOOSE(AT63,'Debt List'!$F$5,'Debt List'!$F$6,'Debt List'!$F$7,'Debt List'!$F$8,'Debt List'!$F$9,'Debt List'!$F$10,'Debt List'!$F$11,'Debt List'!$F$12)),N(CHOOSE(AT63,J63,N63,R63,V63,Z63,AD63,AH63,AL63))+N(CHOOSE(AT63,K63,O63,S63,W63,AA63,AE63,AI63,AM63))))),0))</f>
        <v/>
      </c>
      <c r="AV63">
        <f>MIN(N(AU63),MAX(0,N(AS63)))</f>
        <v/>
      </c>
      <c r="AW63">
        <f>MAX(0,N(AS63)-N(AV63))</f>
        <v/>
      </c>
      <c r="AX63">
        <f>IFERROR(MATCH(3,OrderPlan,0),"")</f>
        <v/>
      </c>
      <c r="AY63">
        <f>IF(AX63="",0,IFERROR(IF(N(CHOOSE(AX63,J63,N63,R63,V63,Z63,AD63,AH63,AL63))&lt;=0.005,0,MAX(0,N(CHOOSE(AX63,J63,N63,R63,V63,Z63,AD63,AH63,AL63))+N(CHOOSE(AX63,K63,O63,S63,W63,AA63,AE63,AI63,AM63))-MIN(N(CHOOSE(AX63,'Debt List'!$F$5,'Debt List'!$F$6,'Debt List'!$F$7,'Debt List'!$F$8,'Debt List'!$F$9,'Debt List'!$F$10,'Debt List'!$F$11,'Debt List'!$F$12)),N(CHOOSE(AX63,J63,N63,R63,V63,Z63,AD63,AH63,AL63))+N(CHOOSE(AX63,K63,O63,S63,W63,AA63,AE63,AI63,AM63))))),0))</f>
        <v/>
      </c>
      <c r="AZ63">
        <f>MIN(N(AY63),MAX(0,N(AW63)))</f>
        <v/>
      </c>
      <c r="BA63">
        <f>MAX(0,N(AW63)-N(AZ63))</f>
        <v/>
      </c>
      <c r="BB63">
        <f>IFERROR(MATCH(4,OrderPlan,0),"")</f>
        <v/>
      </c>
      <c r="BC63">
        <f>IF(BB63="",0,IFERROR(IF(N(CHOOSE(BB63,J63,N63,R63,V63,Z63,AD63,AH63,AL63))&lt;=0.005,0,MAX(0,N(CHOOSE(BB63,J63,N63,R63,V63,Z63,AD63,AH63,AL63))+N(CHOOSE(BB63,K63,O63,S63,W63,AA63,AE63,AI63,AM63))-MIN(N(CHOOSE(BB63,'Debt List'!$F$5,'Debt List'!$F$6,'Debt List'!$F$7,'Debt List'!$F$8,'Debt List'!$F$9,'Debt List'!$F$10,'Debt List'!$F$11,'Debt List'!$F$12)),N(CHOOSE(BB63,J63,N63,R63,V63,Z63,AD63,AH63,AL63))+N(CHOOSE(BB63,K63,O63,S63,W63,AA63,AE63,AI63,AM63))))),0))</f>
        <v/>
      </c>
      <c r="BD63">
        <f>MIN(N(BC63),MAX(0,N(BA63)))</f>
        <v/>
      </c>
      <c r="BE63">
        <f>MAX(0,N(BA63)-N(BD63))</f>
        <v/>
      </c>
      <c r="BF63">
        <f>IFERROR(MATCH(5,OrderPlan,0),"")</f>
        <v/>
      </c>
      <c r="BG63">
        <f>IF(BF63="",0,IFERROR(IF(N(CHOOSE(BF63,J63,N63,R63,V63,Z63,AD63,AH63,AL63))&lt;=0.005,0,MAX(0,N(CHOOSE(BF63,J63,N63,R63,V63,Z63,AD63,AH63,AL63))+N(CHOOSE(BF63,K63,O63,S63,W63,AA63,AE63,AI63,AM63))-MIN(N(CHOOSE(BF63,'Debt List'!$F$5,'Debt List'!$F$6,'Debt List'!$F$7,'Debt List'!$F$8,'Debt List'!$F$9,'Debt List'!$F$10,'Debt List'!$F$11,'Debt List'!$F$12)),N(CHOOSE(BF63,J63,N63,R63,V63,Z63,AD63,AH63,AL63))+N(CHOOSE(BF63,K63,O63,S63,W63,AA63,AE63,AI63,AM63))))),0))</f>
        <v/>
      </c>
      <c r="BH63">
        <f>MIN(N(BG63),MAX(0,N(BE63)))</f>
        <v/>
      </c>
      <c r="BI63">
        <f>MAX(0,N(BE63)-N(BH63))</f>
        <v/>
      </c>
      <c r="BJ63">
        <f>IFERROR(MATCH(6,OrderPlan,0),"")</f>
        <v/>
      </c>
      <c r="BK63">
        <f>IF(BJ63="",0,IFERROR(IF(N(CHOOSE(BJ63,J63,N63,R63,V63,Z63,AD63,AH63,AL63))&lt;=0.005,0,MAX(0,N(CHOOSE(BJ63,J63,N63,R63,V63,Z63,AD63,AH63,AL63))+N(CHOOSE(BJ63,K63,O63,S63,W63,AA63,AE63,AI63,AM63))-MIN(N(CHOOSE(BJ63,'Debt List'!$F$5,'Debt List'!$F$6,'Debt List'!$F$7,'Debt List'!$F$8,'Debt List'!$F$9,'Debt List'!$F$10,'Debt List'!$F$11,'Debt List'!$F$12)),N(CHOOSE(BJ63,J63,N63,R63,V63,Z63,AD63,AH63,AL63))+N(CHOOSE(BJ63,K63,O63,S63,W63,AA63,AE63,AI63,AM63))))),0))</f>
        <v/>
      </c>
      <c r="BL63">
        <f>MIN(N(BK63),MAX(0,N(BI63)))</f>
        <v/>
      </c>
      <c r="BM63">
        <f>MAX(0,N(BI63)-N(BL63))</f>
        <v/>
      </c>
      <c r="BN63">
        <f>IFERROR(MATCH(7,OrderPlan,0),"")</f>
        <v/>
      </c>
      <c r="BO63">
        <f>IF(BN63="",0,IFERROR(IF(N(CHOOSE(BN63,J63,N63,R63,V63,Z63,AD63,AH63,AL63))&lt;=0.005,0,MAX(0,N(CHOOSE(BN63,J63,N63,R63,V63,Z63,AD63,AH63,AL63))+N(CHOOSE(BN63,K63,O63,S63,W63,AA63,AE63,AI63,AM63))-MIN(N(CHOOSE(BN63,'Debt List'!$F$5,'Debt List'!$F$6,'Debt List'!$F$7,'Debt List'!$F$8,'Debt List'!$F$9,'Debt List'!$F$10,'Debt List'!$F$11,'Debt List'!$F$12)),N(CHOOSE(BN63,J63,N63,R63,V63,Z63,AD63,AH63,AL63))+N(CHOOSE(BN63,K63,O63,S63,W63,AA63,AE63,AI63,AM63))))),0))</f>
        <v/>
      </c>
      <c r="BP63">
        <f>MIN(N(BO63),MAX(0,N(BM63)))</f>
        <v/>
      </c>
      <c r="BQ63">
        <f>MAX(0,N(BM63)-N(BP63))</f>
        <v/>
      </c>
      <c r="BR63">
        <f>IFERROR(MATCH(8,OrderPlan,0),"")</f>
        <v/>
      </c>
      <c r="BS63">
        <f>IF(BR63="",0,IFERROR(IF(N(CHOOSE(BR63,J63,N63,R63,V63,Z63,AD63,AH63,AL63))&lt;=0.005,0,MAX(0,N(CHOOSE(BR63,J63,N63,R63,V63,Z63,AD63,AH63,AL63))+N(CHOOSE(BR63,K63,O63,S63,W63,AA63,AE63,AI63,AM63))-MIN(N(CHOOSE(BR63,'Debt List'!$F$5,'Debt List'!$F$6,'Debt List'!$F$7,'Debt List'!$F$8,'Debt List'!$F$9,'Debt List'!$F$10,'Debt List'!$F$11,'Debt List'!$F$12)),N(CHOOSE(BR63,J63,N63,R63,V63,Z63,AD63,AH63,AL63))+N(CHOOSE(BR63,K63,O63,S63,W63,AA63,AE63,AI63,AM63))))),0))</f>
        <v/>
      </c>
      <c r="BT63">
        <f>MIN(N(BS63),MAX(0,N(BQ63)))</f>
        <v/>
      </c>
      <c r="BU63">
        <f>MAX(0,N(BQ63)-N(BT63))</f>
        <v/>
      </c>
      <c r="CC63" t="n">
        <v>59</v>
      </c>
      <c r="CD63" s="115">
        <f>DATE(YEAR(PlanStart),MONTH(PlanStart)+CC63-1,1)</f>
        <v/>
      </c>
      <c r="CE63">
        <f>IF(AND(DR63&lt;&gt;"",N(CHOOSE(DR63,CL63,CP63,CT63,CX63,DB63,DF63,DJ63,DN63))&gt;0.005),INDEX(DebtNames,DR63),IF(AND(DV63&lt;&gt;"",N(CHOOSE(DV63,CL63,CP63,CT63,CX63,DB63,DF63,DJ63,DN63))&gt;0.005),INDEX(DebtNames,DV63),IF(AND(DZ63&lt;&gt;"",N(CHOOSE(DZ63,CL63,CP63,CT63,CX63,DB63,DF63,DJ63,DN63))&gt;0.005),INDEX(DebtNames,DZ63),IF(AND(ED63&lt;&gt;"",N(CHOOSE(ED63,CL63,CP63,CT63,CX63,DB63,DF63,DJ63,DN63))&gt;0.005),INDEX(DebtNames,ED63),IF(AND(EH63&lt;&gt;"",N(CHOOSE(EH63,CL63,CP63,CT63,CX63,DB63,DF63,DJ63,DN63))&gt;0.005),INDEX(DebtNames,EH63),IF(AND(EL63&lt;&gt;"",N(CHOOSE(EL63,CL63,CP63,CT63,CX63,DB63,DF63,DJ63,DN63))&gt;0.005),INDEX(DebtNames,EL63),IF(AND(EP63&lt;&gt;"",N(CHOOSE(EP63,CL63,CP63,CT63,CX63,DB63,DF63,DJ63,DN63))&gt;0.005),INDEX(DebtNames,EP63),IF(AND(ET63&lt;&gt;"",N(CHOOSE(ET63,CL63,CP63,CT63,CX63,DB63,DF63,DJ63,DN63))&gt;0.005),INDEX(DebtNames,ET63),""))))))))</f>
        <v/>
      </c>
      <c r="CF63">
        <f>N(EW63)</f>
        <v/>
      </c>
      <c r="CG63">
        <f>N(CN63)+N(CR63)+N(CV63)+N(CZ63)+N(DD63)+N(DH63)+N(DL63)+N(DP63)</f>
        <v/>
      </c>
      <c r="CH63">
        <f>N(CM63)+N(CQ63)+N(CU63)+N(CY63)+N(DC63)+N(DG63)+N(DK63)+N(DO63)</f>
        <v/>
      </c>
      <c r="CI63">
        <f>N(CI62)+N(CH63)</f>
        <v/>
      </c>
      <c r="CJ63">
        <f>N(CO63)+N(CS63)+N(CW63)+N(DA63)+N(DE63)+N(DI63)+N(DM63)+N(DQ63)</f>
        <v/>
      </c>
      <c r="CK63">
        <f>(CO63&gt;0.005)*1+(CS63&gt;0.005)*1+(CW63&gt;0.005)*1+(DA63&gt;0.005)*1+(DE63&gt;0.005)*1+(DI63&gt;0.005)*1+(DM63&gt;0.005)*1+(DQ63&gt;0.005)*1</f>
        <v/>
      </c>
      <c r="CL63">
        <f>N(CO62)</f>
        <v/>
      </c>
      <c r="CM63">
        <f>IF(N(CL63)&lt;=0.005,0,ROUND(N(CL63)*N('Debt List'!E5)/12,2))</f>
        <v/>
      </c>
      <c r="CN63">
        <f>IF(N(CL63)&lt;=0.005,0,MIN(N('Debt List'!F5),N(CL63)+N(CM63)))+((DR63=1)*DT63+(DV63=1)*DX63+(DZ63=1)*EB63+(ED63=1)*EF63+(EH63=1)*EJ63+(EL63=1)*EN63+(EP63=1)*ER63+(ET63=1)*EV63)</f>
        <v/>
      </c>
      <c r="CO63">
        <f>MAX(0,ROUND(N(CL63)+N(CM63)-N(CN63),2))</f>
        <v/>
      </c>
      <c r="CP63">
        <f>N(CS62)</f>
        <v/>
      </c>
      <c r="CQ63">
        <f>IF(N(CP63)&lt;=0.005,0,ROUND(N(CP63)*N('Debt List'!E6)/12,2))</f>
        <v/>
      </c>
      <c r="CR63">
        <f>IF(N(CP63)&lt;=0.005,0,MIN(N('Debt List'!F6),N(CP63)+N(CQ63)))+((DR63=2)*DT63+(DV63=2)*DX63+(DZ63=2)*EB63+(ED63=2)*EF63+(EH63=2)*EJ63+(EL63=2)*EN63+(EP63=2)*ER63+(ET63=2)*EV63)</f>
        <v/>
      </c>
      <c r="CS63">
        <f>MAX(0,ROUND(N(CP63)+N(CQ63)-N(CR63),2))</f>
        <v/>
      </c>
      <c r="CT63">
        <f>N(CW62)</f>
        <v/>
      </c>
      <c r="CU63">
        <f>IF(N(CT63)&lt;=0.005,0,ROUND(N(CT63)*N('Debt List'!E7)/12,2))</f>
        <v/>
      </c>
      <c r="CV63">
        <f>IF(N(CT63)&lt;=0.005,0,MIN(N('Debt List'!F7),N(CT63)+N(CU63)))+((DR63=3)*DT63+(DV63=3)*DX63+(DZ63=3)*EB63+(ED63=3)*EF63+(EH63=3)*EJ63+(EL63=3)*EN63+(EP63=3)*ER63+(ET63=3)*EV63)</f>
        <v/>
      </c>
      <c r="CW63">
        <f>MAX(0,ROUND(N(CT63)+N(CU63)-N(CV63),2))</f>
        <v/>
      </c>
      <c r="CX63">
        <f>N(DA62)</f>
        <v/>
      </c>
      <c r="CY63">
        <f>IF(N(CX63)&lt;=0.005,0,ROUND(N(CX63)*N('Debt List'!E8)/12,2))</f>
        <v/>
      </c>
      <c r="CZ63">
        <f>IF(N(CX63)&lt;=0.005,0,MIN(N('Debt List'!F8),N(CX63)+N(CY63)))+((DR63=4)*DT63+(DV63=4)*DX63+(DZ63=4)*EB63+(ED63=4)*EF63+(EH63=4)*EJ63+(EL63=4)*EN63+(EP63=4)*ER63+(ET63=4)*EV63)</f>
        <v/>
      </c>
      <c r="DA63">
        <f>MAX(0,ROUND(N(CX63)+N(CY63)-N(CZ63),2))</f>
        <v/>
      </c>
      <c r="DB63">
        <f>N(DE62)</f>
        <v/>
      </c>
      <c r="DC63">
        <f>IF(N(DB63)&lt;=0.005,0,ROUND(N(DB63)*N('Debt List'!E9)/12,2))</f>
        <v/>
      </c>
      <c r="DD63">
        <f>IF(N(DB63)&lt;=0.005,0,MIN(N('Debt List'!F9),N(DB63)+N(DC63)))+((DR63=5)*DT63+(DV63=5)*DX63+(DZ63=5)*EB63+(ED63=5)*EF63+(EH63=5)*EJ63+(EL63=5)*EN63+(EP63=5)*ER63+(ET63=5)*EV63)</f>
        <v/>
      </c>
      <c r="DE63">
        <f>MAX(0,ROUND(N(DB63)+N(DC63)-N(DD63),2))</f>
        <v/>
      </c>
      <c r="DF63">
        <f>N(DI62)</f>
        <v/>
      </c>
      <c r="DG63">
        <f>IF(N(DF63)&lt;=0.005,0,ROUND(N(DF63)*N('Debt List'!E10)/12,2))</f>
        <v/>
      </c>
      <c r="DH63">
        <f>IF(N(DF63)&lt;=0.005,0,MIN(N('Debt List'!F10),N(DF63)+N(DG63)))+((DR63=6)*DT63+(DV63=6)*DX63+(DZ63=6)*EB63+(ED63=6)*EF63+(EH63=6)*EJ63+(EL63=6)*EN63+(EP63=6)*ER63+(ET63=6)*EV63)</f>
        <v/>
      </c>
      <c r="DI63">
        <f>MAX(0,ROUND(N(DF63)+N(DG63)-N(DH63),2))</f>
        <v/>
      </c>
      <c r="DJ63">
        <f>N(DM62)</f>
        <v/>
      </c>
      <c r="DK63">
        <f>IF(N(DJ63)&lt;=0.005,0,ROUND(N(DJ63)*N('Debt List'!E11)/12,2))</f>
        <v/>
      </c>
      <c r="DL63">
        <f>IF(N(DJ63)&lt;=0.005,0,MIN(N('Debt List'!F11),N(DJ63)+N(DK63)))+((DR63=7)*DT63+(DV63=7)*DX63+(DZ63=7)*EB63+(ED63=7)*EF63+(EH63=7)*EJ63+(EL63=7)*EN63+(EP63=7)*ER63+(ET63=7)*EV63)</f>
        <v/>
      </c>
      <c r="DM63">
        <f>MAX(0,ROUND(N(DJ63)+N(DK63)-N(DL63),2))</f>
        <v/>
      </c>
      <c r="DN63">
        <f>N(DQ62)</f>
        <v/>
      </c>
      <c r="DO63">
        <f>IF(N(DN63)&lt;=0.005,0,ROUND(N(DN63)*N('Debt List'!E12)/12,2))</f>
        <v/>
      </c>
      <c r="DP63">
        <f>IF(N(DN63)&lt;=0.005,0,MIN(N('Debt List'!F12),N(DN63)+N(DO63)))+((DR63=8)*DT63+(DV63=8)*DX63+(DZ63=8)*EB63+(ED63=8)*EF63+(EH63=8)*EJ63+(EL63=8)*EN63+(EP63=8)*ER63+(ET63=8)*EV63)</f>
        <v/>
      </c>
      <c r="DQ63">
        <f>MAX(0,ROUND(N(DN63)+N(DO63)-N(DP63),2))</f>
        <v/>
      </c>
      <c r="DR63">
        <f>IFERROR(MATCH(1,OrderSnow,0),"")</f>
        <v/>
      </c>
      <c r="DS63">
        <f>IF(DR63="",0,IFERROR(IF(N(CHOOSE(DR63,CL63,CP63,CT63,CX63,DB63,DF63,DJ63,DN63))&lt;=0.005,0,MAX(0,N(CHOOSE(DR63,CL63,CP63,CT63,CX63,DB63,DF63,DJ63,DN63))+N(CHOOSE(DR63,CM63,CQ63,CU63,CY63,DC63,DG63,DK63,DO63))-MIN(N(CHOOSE(DR63,'Debt List'!$F$5,'Debt List'!$F$6,'Debt List'!$F$7,'Debt List'!$F$8,'Debt List'!$F$9,'Debt List'!$F$10,'Debt List'!$F$11,'Debt List'!$F$12)),N(CHOOSE(DR63,CL63,CP63,CT63,CX63,DB63,DF63,DJ63,DN63))+N(CHOOSE(DR63,CM63,CQ63,CU63,CY63,DC63,DG63,DK63,DO63))))),0))</f>
        <v/>
      </c>
      <c r="DT63">
        <f>MIN(N(DS63),MAX(0,N(ExtraPayment)))</f>
        <v/>
      </c>
      <c r="DU63">
        <f>MAX(0,N(ExtraPayment)-N(DT63))</f>
        <v/>
      </c>
      <c r="DV63">
        <f>IFERROR(MATCH(2,OrderSnow,0),"")</f>
        <v/>
      </c>
      <c r="DW63">
        <f>IF(DV63="",0,IFERROR(IF(N(CHOOSE(DV63,CL63,CP63,CT63,CX63,DB63,DF63,DJ63,DN63))&lt;=0.005,0,MAX(0,N(CHOOSE(DV63,CL63,CP63,CT63,CX63,DB63,DF63,DJ63,DN63))+N(CHOOSE(DV63,CM63,CQ63,CU63,CY63,DC63,DG63,DK63,DO63))-MIN(N(CHOOSE(DV63,'Debt List'!$F$5,'Debt List'!$F$6,'Debt List'!$F$7,'Debt List'!$F$8,'Debt List'!$F$9,'Debt List'!$F$10,'Debt List'!$F$11,'Debt List'!$F$12)),N(CHOOSE(DV63,CL63,CP63,CT63,CX63,DB63,DF63,DJ63,DN63))+N(CHOOSE(DV63,CM63,CQ63,CU63,CY63,DC63,DG63,DK63,DO63))))),0))</f>
        <v/>
      </c>
      <c r="DX63">
        <f>MIN(N(DW63),MAX(0,N(DU63)))</f>
        <v/>
      </c>
      <c r="DY63">
        <f>MAX(0,N(DU63)-N(DX63))</f>
        <v/>
      </c>
      <c r="DZ63">
        <f>IFERROR(MATCH(3,OrderSnow,0),"")</f>
        <v/>
      </c>
      <c r="EA63">
        <f>IF(DZ63="",0,IFERROR(IF(N(CHOOSE(DZ63,CL63,CP63,CT63,CX63,DB63,DF63,DJ63,DN63))&lt;=0.005,0,MAX(0,N(CHOOSE(DZ63,CL63,CP63,CT63,CX63,DB63,DF63,DJ63,DN63))+N(CHOOSE(DZ63,CM63,CQ63,CU63,CY63,DC63,DG63,DK63,DO63))-MIN(N(CHOOSE(DZ63,'Debt List'!$F$5,'Debt List'!$F$6,'Debt List'!$F$7,'Debt List'!$F$8,'Debt List'!$F$9,'Debt List'!$F$10,'Debt List'!$F$11,'Debt List'!$F$12)),N(CHOOSE(DZ63,CL63,CP63,CT63,CX63,DB63,DF63,DJ63,DN63))+N(CHOOSE(DZ63,CM63,CQ63,CU63,CY63,DC63,DG63,DK63,DO63))))),0))</f>
        <v/>
      </c>
      <c r="EB63">
        <f>MIN(N(EA63),MAX(0,N(DY63)))</f>
        <v/>
      </c>
      <c r="EC63">
        <f>MAX(0,N(DY63)-N(EB63))</f>
        <v/>
      </c>
      <c r="ED63">
        <f>IFERROR(MATCH(4,OrderSnow,0),"")</f>
        <v/>
      </c>
      <c r="EE63">
        <f>IF(ED63="",0,IFERROR(IF(N(CHOOSE(ED63,CL63,CP63,CT63,CX63,DB63,DF63,DJ63,DN63))&lt;=0.005,0,MAX(0,N(CHOOSE(ED63,CL63,CP63,CT63,CX63,DB63,DF63,DJ63,DN63))+N(CHOOSE(ED63,CM63,CQ63,CU63,CY63,DC63,DG63,DK63,DO63))-MIN(N(CHOOSE(ED63,'Debt List'!$F$5,'Debt List'!$F$6,'Debt List'!$F$7,'Debt List'!$F$8,'Debt List'!$F$9,'Debt List'!$F$10,'Debt List'!$F$11,'Debt List'!$F$12)),N(CHOOSE(ED63,CL63,CP63,CT63,CX63,DB63,DF63,DJ63,DN63))+N(CHOOSE(ED63,CM63,CQ63,CU63,CY63,DC63,DG63,DK63,DO63))))),0))</f>
        <v/>
      </c>
      <c r="EF63">
        <f>MIN(N(EE63),MAX(0,N(EC63)))</f>
        <v/>
      </c>
      <c r="EG63">
        <f>MAX(0,N(EC63)-N(EF63))</f>
        <v/>
      </c>
      <c r="EH63">
        <f>IFERROR(MATCH(5,OrderSnow,0),"")</f>
        <v/>
      </c>
      <c r="EI63">
        <f>IF(EH63="",0,IFERROR(IF(N(CHOOSE(EH63,CL63,CP63,CT63,CX63,DB63,DF63,DJ63,DN63))&lt;=0.005,0,MAX(0,N(CHOOSE(EH63,CL63,CP63,CT63,CX63,DB63,DF63,DJ63,DN63))+N(CHOOSE(EH63,CM63,CQ63,CU63,CY63,DC63,DG63,DK63,DO63))-MIN(N(CHOOSE(EH63,'Debt List'!$F$5,'Debt List'!$F$6,'Debt List'!$F$7,'Debt List'!$F$8,'Debt List'!$F$9,'Debt List'!$F$10,'Debt List'!$F$11,'Debt List'!$F$12)),N(CHOOSE(EH63,CL63,CP63,CT63,CX63,DB63,DF63,DJ63,DN63))+N(CHOOSE(EH63,CM63,CQ63,CU63,CY63,DC63,DG63,DK63,DO63))))),0))</f>
        <v/>
      </c>
      <c r="EJ63">
        <f>MIN(N(EI63),MAX(0,N(EG63)))</f>
        <v/>
      </c>
      <c r="EK63">
        <f>MAX(0,N(EG63)-N(EJ63))</f>
        <v/>
      </c>
      <c r="EL63">
        <f>IFERROR(MATCH(6,OrderSnow,0),"")</f>
        <v/>
      </c>
      <c r="EM63">
        <f>IF(EL63="",0,IFERROR(IF(N(CHOOSE(EL63,CL63,CP63,CT63,CX63,DB63,DF63,DJ63,DN63))&lt;=0.005,0,MAX(0,N(CHOOSE(EL63,CL63,CP63,CT63,CX63,DB63,DF63,DJ63,DN63))+N(CHOOSE(EL63,CM63,CQ63,CU63,CY63,DC63,DG63,DK63,DO63))-MIN(N(CHOOSE(EL63,'Debt List'!$F$5,'Debt List'!$F$6,'Debt List'!$F$7,'Debt List'!$F$8,'Debt List'!$F$9,'Debt List'!$F$10,'Debt List'!$F$11,'Debt List'!$F$12)),N(CHOOSE(EL63,CL63,CP63,CT63,CX63,DB63,DF63,DJ63,DN63))+N(CHOOSE(EL63,CM63,CQ63,CU63,CY63,DC63,DG63,DK63,DO63))))),0))</f>
        <v/>
      </c>
      <c r="EN63">
        <f>MIN(N(EM63),MAX(0,N(EK63)))</f>
        <v/>
      </c>
      <c r="EO63">
        <f>MAX(0,N(EK63)-N(EN63))</f>
        <v/>
      </c>
      <c r="EP63">
        <f>IFERROR(MATCH(7,OrderSnow,0),"")</f>
        <v/>
      </c>
      <c r="EQ63">
        <f>IF(EP63="",0,IFERROR(IF(N(CHOOSE(EP63,CL63,CP63,CT63,CX63,DB63,DF63,DJ63,DN63))&lt;=0.005,0,MAX(0,N(CHOOSE(EP63,CL63,CP63,CT63,CX63,DB63,DF63,DJ63,DN63))+N(CHOOSE(EP63,CM63,CQ63,CU63,CY63,DC63,DG63,DK63,DO63))-MIN(N(CHOOSE(EP63,'Debt List'!$F$5,'Debt List'!$F$6,'Debt List'!$F$7,'Debt List'!$F$8,'Debt List'!$F$9,'Debt List'!$F$10,'Debt List'!$F$11,'Debt List'!$F$12)),N(CHOOSE(EP63,CL63,CP63,CT63,CX63,DB63,DF63,DJ63,DN63))+N(CHOOSE(EP63,CM63,CQ63,CU63,CY63,DC63,DG63,DK63,DO63))))),0))</f>
        <v/>
      </c>
      <c r="ER63">
        <f>MIN(N(EQ63),MAX(0,N(EO63)))</f>
        <v/>
      </c>
      <c r="ES63">
        <f>MAX(0,N(EO63)-N(ER63))</f>
        <v/>
      </c>
      <c r="ET63">
        <f>IFERROR(MATCH(8,OrderSnow,0),"")</f>
        <v/>
      </c>
      <c r="EU63">
        <f>IF(ET63="",0,IFERROR(IF(N(CHOOSE(ET63,CL63,CP63,CT63,CX63,DB63,DF63,DJ63,DN63))&lt;=0.005,0,MAX(0,N(CHOOSE(ET63,CL63,CP63,CT63,CX63,DB63,DF63,DJ63,DN63))+N(CHOOSE(ET63,CM63,CQ63,CU63,CY63,DC63,DG63,DK63,DO63))-MIN(N(CHOOSE(ET63,'Debt List'!$F$5,'Debt List'!$F$6,'Debt List'!$F$7,'Debt List'!$F$8,'Debt List'!$F$9,'Debt List'!$F$10,'Debt List'!$F$11,'Debt List'!$F$12)),N(CHOOSE(ET63,CL63,CP63,CT63,CX63,DB63,DF63,DJ63,DN63))+N(CHOOSE(ET63,CM63,CQ63,CU63,CY63,DC63,DG63,DK63,DO63))))),0))</f>
        <v/>
      </c>
      <c r="EV63">
        <f>MIN(N(EU63),MAX(0,N(ES63)))</f>
        <v/>
      </c>
      <c r="EW63">
        <f>MAX(0,N(ES63)-N(EV63))</f>
        <v/>
      </c>
      <c r="FE63" t="n">
        <v>59</v>
      </c>
      <c r="FF63" s="115">
        <f>DATE(YEAR(PlanStart),MONTH(PlanStart)+FE63-1,1)</f>
        <v/>
      </c>
      <c r="FG63">
        <f>IF(AND(GT63&lt;&gt;"",N(CHOOSE(GT63,FN63,FR63,FV63,FZ63,GD63,GH63,GL63,GP63))&gt;0.005),INDEX(DebtNames,GT63),IF(AND(GX63&lt;&gt;"",N(CHOOSE(GX63,FN63,FR63,FV63,FZ63,GD63,GH63,GL63,GP63))&gt;0.005),INDEX(DebtNames,GX63),IF(AND(HB63&lt;&gt;"",N(CHOOSE(HB63,FN63,FR63,FV63,FZ63,GD63,GH63,GL63,GP63))&gt;0.005),INDEX(DebtNames,HB63),IF(AND(HF63&lt;&gt;"",N(CHOOSE(HF63,FN63,FR63,FV63,FZ63,GD63,GH63,GL63,GP63))&gt;0.005),INDEX(DebtNames,HF63),IF(AND(HJ63&lt;&gt;"",N(CHOOSE(HJ63,FN63,FR63,FV63,FZ63,GD63,GH63,GL63,GP63))&gt;0.005),INDEX(DebtNames,HJ63),IF(AND(HN63&lt;&gt;"",N(CHOOSE(HN63,FN63,FR63,FV63,FZ63,GD63,GH63,GL63,GP63))&gt;0.005),INDEX(DebtNames,HN63),IF(AND(HR63&lt;&gt;"",N(CHOOSE(HR63,FN63,FR63,FV63,FZ63,GD63,GH63,GL63,GP63))&gt;0.005),INDEX(DebtNames,HR63),IF(AND(HV63&lt;&gt;"",N(CHOOSE(HV63,FN63,FR63,FV63,FZ63,GD63,GH63,GL63,GP63))&gt;0.005),INDEX(DebtNames,HV63),""))))))))</f>
        <v/>
      </c>
      <c r="FH63">
        <f>N(HY63)</f>
        <v/>
      </c>
      <c r="FI63">
        <f>N(FP63)+N(FT63)+N(FX63)+N(GB63)+N(GF63)+N(GJ63)+N(GN63)+N(GR63)</f>
        <v/>
      </c>
      <c r="FJ63">
        <f>N(FO63)+N(FS63)+N(FW63)+N(GA63)+N(GE63)+N(GI63)+N(GM63)+N(GQ63)</f>
        <v/>
      </c>
      <c r="FK63">
        <f>N(FK62)+N(FJ63)</f>
        <v/>
      </c>
      <c r="FL63">
        <f>N(FQ63)+N(FU63)+N(FY63)+N(GC63)+N(GG63)+N(GK63)+N(GO63)+N(GS63)</f>
        <v/>
      </c>
      <c r="FM63">
        <f>(FQ63&gt;0.005)*1+(FU63&gt;0.005)*1+(FY63&gt;0.005)*1+(GC63&gt;0.005)*1+(GG63&gt;0.005)*1+(GK63&gt;0.005)*1+(GO63&gt;0.005)*1+(GS63&gt;0.005)*1</f>
        <v/>
      </c>
      <c r="FN63">
        <f>N(FQ62)</f>
        <v/>
      </c>
      <c r="FO63">
        <f>IF(N(FN63)&lt;=0.005,0,ROUND(N(FN63)*N('Debt List'!E5)/12,2))</f>
        <v/>
      </c>
      <c r="FP63">
        <f>IF(N(FN63)&lt;=0.005,0,MIN(N('Debt List'!F5),N(FN63)+N(FO63)))+((GT63=1)*GV63+(GX63=1)*GZ63+(HB63=1)*HD63+(HF63=1)*HH63+(HJ63=1)*HL63+(HN63=1)*HP63+(HR63=1)*HT63+(HV63=1)*HX63)</f>
        <v/>
      </c>
      <c r="FQ63">
        <f>MAX(0,ROUND(N(FN63)+N(FO63)-N(FP63),2))</f>
        <v/>
      </c>
      <c r="FR63">
        <f>N(FU62)</f>
        <v/>
      </c>
      <c r="FS63">
        <f>IF(N(FR63)&lt;=0.005,0,ROUND(N(FR63)*N('Debt List'!E6)/12,2))</f>
        <v/>
      </c>
      <c r="FT63">
        <f>IF(N(FR63)&lt;=0.005,0,MIN(N('Debt List'!F6),N(FR63)+N(FS63)))+((GT63=2)*GV63+(GX63=2)*GZ63+(HB63=2)*HD63+(HF63=2)*HH63+(HJ63=2)*HL63+(HN63=2)*HP63+(HR63=2)*HT63+(HV63=2)*HX63)</f>
        <v/>
      </c>
      <c r="FU63">
        <f>MAX(0,ROUND(N(FR63)+N(FS63)-N(FT63),2))</f>
        <v/>
      </c>
      <c r="FV63">
        <f>N(FY62)</f>
        <v/>
      </c>
      <c r="FW63">
        <f>IF(N(FV63)&lt;=0.005,0,ROUND(N(FV63)*N('Debt List'!E7)/12,2))</f>
        <v/>
      </c>
      <c r="FX63">
        <f>IF(N(FV63)&lt;=0.005,0,MIN(N('Debt List'!F7),N(FV63)+N(FW63)))+((GT63=3)*GV63+(GX63=3)*GZ63+(HB63=3)*HD63+(HF63=3)*HH63+(HJ63=3)*HL63+(HN63=3)*HP63+(HR63=3)*HT63+(HV63=3)*HX63)</f>
        <v/>
      </c>
      <c r="FY63">
        <f>MAX(0,ROUND(N(FV63)+N(FW63)-N(FX63),2))</f>
        <v/>
      </c>
      <c r="FZ63">
        <f>N(GC62)</f>
        <v/>
      </c>
      <c r="GA63">
        <f>IF(N(FZ63)&lt;=0.005,0,ROUND(N(FZ63)*N('Debt List'!E8)/12,2))</f>
        <v/>
      </c>
      <c r="GB63">
        <f>IF(N(FZ63)&lt;=0.005,0,MIN(N('Debt List'!F8),N(FZ63)+N(GA63)))+((GT63=4)*GV63+(GX63=4)*GZ63+(HB63=4)*HD63+(HF63=4)*HH63+(HJ63=4)*HL63+(HN63=4)*HP63+(HR63=4)*HT63+(HV63=4)*HX63)</f>
        <v/>
      </c>
      <c r="GC63">
        <f>MAX(0,ROUND(N(FZ63)+N(GA63)-N(GB63),2))</f>
        <v/>
      </c>
      <c r="GD63">
        <f>N(GG62)</f>
        <v/>
      </c>
      <c r="GE63">
        <f>IF(N(GD63)&lt;=0.005,0,ROUND(N(GD63)*N('Debt List'!E9)/12,2))</f>
        <v/>
      </c>
      <c r="GF63">
        <f>IF(N(GD63)&lt;=0.005,0,MIN(N('Debt List'!F9),N(GD63)+N(GE63)))+((GT63=5)*GV63+(GX63=5)*GZ63+(HB63=5)*HD63+(HF63=5)*HH63+(HJ63=5)*HL63+(HN63=5)*HP63+(HR63=5)*HT63+(HV63=5)*HX63)</f>
        <v/>
      </c>
      <c r="GG63">
        <f>MAX(0,ROUND(N(GD63)+N(GE63)-N(GF63),2))</f>
        <v/>
      </c>
      <c r="GH63">
        <f>N(GK62)</f>
        <v/>
      </c>
      <c r="GI63">
        <f>IF(N(GH63)&lt;=0.005,0,ROUND(N(GH63)*N('Debt List'!E10)/12,2))</f>
        <v/>
      </c>
      <c r="GJ63">
        <f>IF(N(GH63)&lt;=0.005,0,MIN(N('Debt List'!F10),N(GH63)+N(GI63)))+((GT63=6)*GV63+(GX63=6)*GZ63+(HB63=6)*HD63+(HF63=6)*HH63+(HJ63=6)*HL63+(HN63=6)*HP63+(HR63=6)*HT63+(HV63=6)*HX63)</f>
        <v/>
      </c>
      <c r="GK63">
        <f>MAX(0,ROUND(N(GH63)+N(GI63)-N(GJ63),2))</f>
        <v/>
      </c>
      <c r="GL63">
        <f>N(GO62)</f>
        <v/>
      </c>
      <c r="GM63">
        <f>IF(N(GL63)&lt;=0.005,0,ROUND(N(GL63)*N('Debt List'!E11)/12,2))</f>
        <v/>
      </c>
      <c r="GN63">
        <f>IF(N(GL63)&lt;=0.005,0,MIN(N('Debt List'!F11),N(GL63)+N(GM63)))+((GT63=7)*GV63+(GX63=7)*GZ63+(HB63=7)*HD63+(HF63=7)*HH63+(HJ63=7)*HL63+(HN63=7)*HP63+(HR63=7)*HT63+(HV63=7)*HX63)</f>
        <v/>
      </c>
      <c r="GO63">
        <f>MAX(0,ROUND(N(GL63)+N(GM63)-N(GN63),2))</f>
        <v/>
      </c>
      <c r="GP63">
        <f>N(GS62)</f>
        <v/>
      </c>
      <c r="GQ63">
        <f>IF(N(GP63)&lt;=0.005,0,ROUND(N(GP63)*N('Debt List'!E12)/12,2))</f>
        <v/>
      </c>
      <c r="GR63">
        <f>IF(N(GP63)&lt;=0.005,0,MIN(N('Debt List'!F12),N(GP63)+N(GQ63)))+((GT63=8)*GV63+(GX63=8)*GZ63+(HB63=8)*HD63+(HF63=8)*HH63+(HJ63=8)*HL63+(HN63=8)*HP63+(HR63=8)*HT63+(HV63=8)*HX63)</f>
        <v/>
      </c>
      <c r="GS63">
        <f>MAX(0,ROUND(N(GP63)+N(GQ63)-N(GR63),2))</f>
        <v/>
      </c>
      <c r="GT63">
        <f>IFERROR(MATCH(1,OrderAval,0),"")</f>
        <v/>
      </c>
      <c r="GU63">
        <f>IF(GT63="",0,IFERROR(IF(N(CHOOSE(GT63,FN63,FR63,FV63,FZ63,GD63,GH63,GL63,GP63))&lt;=0.005,0,MAX(0,N(CHOOSE(GT63,FN63,FR63,FV63,FZ63,GD63,GH63,GL63,GP63))+N(CHOOSE(GT63,FO63,FS63,FW63,GA63,GE63,GI63,GM63,GQ63))-MIN(N(CHOOSE(GT63,'Debt List'!$F$5,'Debt List'!$F$6,'Debt List'!$F$7,'Debt List'!$F$8,'Debt List'!$F$9,'Debt List'!$F$10,'Debt List'!$F$11,'Debt List'!$F$12)),N(CHOOSE(GT63,FN63,FR63,FV63,FZ63,GD63,GH63,GL63,GP63))+N(CHOOSE(GT63,FO63,FS63,FW63,GA63,GE63,GI63,GM63,GQ63))))),0))</f>
        <v/>
      </c>
      <c r="GV63">
        <f>MIN(N(GU63),MAX(0,N(ExtraPayment)))</f>
        <v/>
      </c>
      <c r="GW63">
        <f>MAX(0,N(ExtraPayment)-N(GV63))</f>
        <v/>
      </c>
      <c r="GX63">
        <f>IFERROR(MATCH(2,OrderAval,0),"")</f>
        <v/>
      </c>
      <c r="GY63">
        <f>IF(GX63="",0,IFERROR(IF(N(CHOOSE(GX63,FN63,FR63,FV63,FZ63,GD63,GH63,GL63,GP63))&lt;=0.005,0,MAX(0,N(CHOOSE(GX63,FN63,FR63,FV63,FZ63,GD63,GH63,GL63,GP63))+N(CHOOSE(GX63,FO63,FS63,FW63,GA63,GE63,GI63,GM63,GQ63))-MIN(N(CHOOSE(GX63,'Debt List'!$F$5,'Debt List'!$F$6,'Debt List'!$F$7,'Debt List'!$F$8,'Debt List'!$F$9,'Debt List'!$F$10,'Debt List'!$F$11,'Debt List'!$F$12)),N(CHOOSE(GX63,FN63,FR63,FV63,FZ63,GD63,GH63,GL63,GP63))+N(CHOOSE(GX63,FO63,FS63,FW63,GA63,GE63,GI63,GM63,GQ63))))),0))</f>
        <v/>
      </c>
      <c r="GZ63">
        <f>MIN(N(GY63),MAX(0,N(GW63)))</f>
        <v/>
      </c>
      <c r="HA63">
        <f>MAX(0,N(GW63)-N(GZ63))</f>
        <v/>
      </c>
      <c r="HB63">
        <f>IFERROR(MATCH(3,OrderAval,0),"")</f>
        <v/>
      </c>
      <c r="HC63">
        <f>IF(HB63="",0,IFERROR(IF(N(CHOOSE(HB63,FN63,FR63,FV63,FZ63,GD63,GH63,GL63,GP63))&lt;=0.005,0,MAX(0,N(CHOOSE(HB63,FN63,FR63,FV63,FZ63,GD63,GH63,GL63,GP63))+N(CHOOSE(HB63,FO63,FS63,FW63,GA63,GE63,GI63,GM63,GQ63))-MIN(N(CHOOSE(HB63,'Debt List'!$F$5,'Debt List'!$F$6,'Debt List'!$F$7,'Debt List'!$F$8,'Debt List'!$F$9,'Debt List'!$F$10,'Debt List'!$F$11,'Debt List'!$F$12)),N(CHOOSE(HB63,FN63,FR63,FV63,FZ63,GD63,GH63,GL63,GP63))+N(CHOOSE(HB63,FO63,FS63,FW63,GA63,GE63,GI63,GM63,GQ63))))),0))</f>
        <v/>
      </c>
      <c r="HD63">
        <f>MIN(N(HC63),MAX(0,N(HA63)))</f>
        <v/>
      </c>
      <c r="HE63">
        <f>MAX(0,N(HA63)-N(HD63))</f>
        <v/>
      </c>
      <c r="HF63">
        <f>IFERROR(MATCH(4,OrderAval,0),"")</f>
        <v/>
      </c>
      <c r="HG63">
        <f>IF(HF63="",0,IFERROR(IF(N(CHOOSE(HF63,FN63,FR63,FV63,FZ63,GD63,GH63,GL63,GP63))&lt;=0.005,0,MAX(0,N(CHOOSE(HF63,FN63,FR63,FV63,FZ63,GD63,GH63,GL63,GP63))+N(CHOOSE(HF63,FO63,FS63,FW63,GA63,GE63,GI63,GM63,GQ63))-MIN(N(CHOOSE(HF63,'Debt List'!$F$5,'Debt List'!$F$6,'Debt List'!$F$7,'Debt List'!$F$8,'Debt List'!$F$9,'Debt List'!$F$10,'Debt List'!$F$11,'Debt List'!$F$12)),N(CHOOSE(HF63,FN63,FR63,FV63,FZ63,GD63,GH63,GL63,GP63))+N(CHOOSE(HF63,FO63,FS63,FW63,GA63,GE63,GI63,GM63,GQ63))))),0))</f>
        <v/>
      </c>
      <c r="HH63">
        <f>MIN(N(HG63),MAX(0,N(HE63)))</f>
        <v/>
      </c>
      <c r="HI63">
        <f>MAX(0,N(HE63)-N(HH63))</f>
        <v/>
      </c>
      <c r="HJ63">
        <f>IFERROR(MATCH(5,OrderAval,0),"")</f>
        <v/>
      </c>
      <c r="HK63">
        <f>IF(HJ63="",0,IFERROR(IF(N(CHOOSE(HJ63,FN63,FR63,FV63,FZ63,GD63,GH63,GL63,GP63))&lt;=0.005,0,MAX(0,N(CHOOSE(HJ63,FN63,FR63,FV63,FZ63,GD63,GH63,GL63,GP63))+N(CHOOSE(HJ63,FO63,FS63,FW63,GA63,GE63,GI63,GM63,GQ63))-MIN(N(CHOOSE(HJ63,'Debt List'!$F$5,'Debt List'!$F$6,'Debt List'!$F$7,'Debt List'!$F$8,'Debt List'!$F$9,'Debt List'!$F$10,'Debt List'!$F$11,'Debt List'!$F$12)),N(CHOOSE(HJ63,FN63,FR63,FV63,FZ63,GD63,GH63,GL63,GP63))+N(CHOOSE(HJ63,FO63,FS63,FW63,GA63,GE63,GI63,GM63,GQ63))))),0))</f>
        <v/>
      </c>
      <c r="HL63">
        <f>MIN(N(HK63),MAX(0,N(HI63)))</f>
        <v/>
      </c>
      <c r="HM63">
        <f>MAX(0,N(HI63)-N(HL63))</f>
        <v/>
      </c>
      <c r="HN63">
        <f>IFERROR(MATCH(6,OrderAval,0),"")</f>
        <v/>
      </c>
      <c r="HO63">
        <f>IF(HN63="",0,IFERROR(IF(N(CHOOSE(HN63,FN63,FR63,FV63,FZ63,GD63,GH63,GL63,GP63))&lt;=0.005,0,MAX(0,N(CHOOSE(HN63,FN63,FR63,FV63,FZ63,GD63,GH63,GL63,GP63))+N(CHOOSE(HN63,FO63,FS63,FW63,GA63,GE63,GI63,GM63,GQ63))-MIN(N(CHOOSE(HN63,'Debt List'!$F$5,'Debt List'!$F$6,'Debt List'!$F$7,'Debt List'!$F$8,'Debt List'!$F$9,'Debt List'!$F$10,'Debt List'!$F$11,'Debt List'!$F$12)),N(CHOOSE(HN63,FN63,FR63,FV63,FZ63,GD63,GH63,GL63,GP63))+N(CHOOSE(HN63,FO63,FS63,FW63,GA63,GE63,GI63,GM63,GQ63))))),0))</f>
        <v/>
      </c>
      <c r="HP63">
        <f>MIN(N(HO63),MAX(0,N(HM63)))</f>
        <v/>
      </c>
      <c r="HQ63">
        <f>MAX(0,N(HM63)-N(HP63))</f>
        <v/>
      </c>
      <c r="HR63">
        <f>IFERROR(MATCH(7,OrderAval,0),"")</f>
        <v/>
      </c>
      <c r="HS63">
        <f>IF(HR63="",0,IFERROR(IF(N(CHOOSE(HR63,FN63,FR63,FV63,FZ63,GD63,GH63,GL63,GP63))&lt;=0.005,0,MAX(0,N(CHOOSE(HR63,FN63,FR63,FV63,FZ63,GD63,GH63,GL63,GP63))+N(CHOOSE(HR63,FO63,FS63,FW63,GA63,GE63,GI63,GM63,GQ63))-MIN(N(CHOOSE(HR63,'Debt List'!$F$5,'Debt List'!$F$6,'Debt List'!$F$7,'Debt List'!$F$8,'Debt List'!$F$9,'Debt List'!$F$10,'Debt List'!$F$11,'Debt List'!$F$12)),N(CHOOSE(HR63,FN63,FR63,FV63,FZ63,GD63,GH63,GL63,GP63))+N(CHOOSE(HR63,FO63,FS63,FW63,GA63,GE63,GI63,GM63,GQ63))))),0))</f>
        <v/>
      </c>
      <c r="HT63">
        <f>MIN(N(HS63),MAX(0,N(HQ63)))</f>
        <v/>
      </c>
      <c r="HU63">
        <f>MAX(0,N(HQ63)-N(HT63))</f>
        <v/>
      </c>
      <c r="HV63">
        <f>IFERROR(MATCH(8,OrderAval,0),"")</f>
        <v/>
      </c>
      <c r="HW63">
        <f>IF(HV63="",0,IFERROR(IF(N(CHOOSE(HV63,FN63,FR63,FV63,FZ63,GD63,GH63,GL63,GP63))&lt;=0.005,0,MAX(0,N(CHOOSE(HV63,FN63,FR63,FV63,FZ63,GD63,GH63,GL63,GP63))+N(CHOOSE(HV63,FO63,FS63,FW63,GA63,GE63,GI63,GM63,GQ63))-MIN(N(CHOOSE(HV63,'Debt List'!$F$5,'Debt List'!$F$6,'Debt List'!$F$7,'Debt List'!$F$8,'Debt List'!$F$9,'Debt List'!$F$10,'Debt List'!$F$11,'Debt List'!$F$12)),N(CHOOSE(HV63,FN63,FR63,FV63,FZ63,GD63,GH63,GL63,GP63))+N(CHOOSE(HV63,FO63,FS63,FW63,GA63,GE63,GI63,GM63,GQ63))))),0))</f>
        <v/>
      </c>
      <c r="HX63">
        <f>MIN(N(HW63),MAX(0,N(HU63)))</f>
        <v/>
      </c>
      <c r="HY63">
        <f>MAX(0,N(HU63)-N(HX63))</f>
        <v/>
      </c>
    </row>
    <row r="64">
      <c r="A64" t="n">
        <v>60</v>
      </c>
      <c r="B64" s="115">
        <f>DATE(YEAR(PlanStart),MONTH(PlanStart)+A64-1,1)</f>
        <v/>
      </c>
      <c r="C64">
        <f>IF(AND(AP64&lt;&gt;"",N(CHOOSE(AP64,J64,N64,R64,V64,Z64,AD64,AH64,AL64))&gt;0.005),INDEX(DebtNames,AP64),IF(AND(AT64&lt;&gt;"",N(CHOOSE(AT64,J64,N64,R64,V64,Z64,AD64,AH64,AL64))&gt;0.005),INDEX(DebtNames,AT64),IF(AND(AX64&lt;&gt;"",N(CHOOSE(AX64,J64,N64,R64,V64,Z64,AD64,AH64,AL64))&gt;0.005),INDEX(DebtNames,AX64),IF(AND(BB64&lt;&gt;"",N(CHOOSE(BB64,J64,N64,R64,V64,Z64,AD64,AH64,AL64))&gt;0.005),INDEX(DebtNames,BB64),IF(AND(BF64&lt;&gt;"",N(CHOOSE(BF64,J64,N64,R64,V64,Z64,AD64,AH64,AL64))&gt;0.005),INDEX(DebtNames,BF64),IF(AND(BJ64&lt;&gt;"",N(CHOOSE(BJ64,J64,N64,R64,V64,Z64,AD64,AH64,AL64))&gt;0.005),INDEX(DebtNames,BJ64),IF(AND(BN64&lt;&gt;"",N(CHOOSE(BN64,J64,N64,R64,V64,Z64,AD64,AH64,AL64))&gt;0.005),INDEX(DebtNames,BN64),IF(AND(BR64&lt;&gt;"",N(CHOOSE(BR64,J64,N64,R64,V64,Z64,AD64,AH64,AL64))&gt;0.005),INDEX(DebtNames,BR64),""))))))))</f>
        <v/>
      </c>
      <c r="D64">
        <f>N(BU64)</f>
        <v/>
      </c>
      <c r="E64">
        <f>N(L64)+N(P64)+N(T64)+N(X64)+N(AB64)+N(AF64)+N(AJ64)+N(AN64)</f>
        <v/>
      </c>
      <c r="F64">
        <f>N(K64)+N(O64)+N(S64)+N(W64)+N(AA64)+N(AE64)+N(AI64)+N(AM64)</f>
        <v/>
      </c>
      <c r="G64">
        <f>N(G63)+N(F64)</f>
        <v/>
      </c>
      <c r="H64">
        <f>N(M64)+N(Q64)+N(U64)+N(Y64)+N(AC64)+N(AG64)+N(AK64)+N(AO64)</f>
        <v/>
      </c>
      <c r="I64">
        <f>(M64&gt;0.005)*1+(Q64&gt;0.005)*1+(U64&gt;0.005)*1+(Y64&gt;0.005)*1+(AC64&gt;0.005)*1+(AG64&gt;0.005)*1+(AK64&gt;0.005)*1+(AO64&gt;0.005)*1</f>
        <v/>
      </c>
      <c r="J64">
        <f>N(M63)</f>
        <v/>
      </c>
      <c r="K64">
        <f>IF(N(J64)&lt;=0.005,0,ROUND(N(J64)*N('Debt List'!E5)/12,2))</f>
        <v/>
      </c>
      <c r="L64">
        <f>IF(N(J64)&lt;=0.005,0,MIN(N('Debt List'!F5),N(J64)+N(K64)))+((AP64=1)*AR64+(AT64=1)*AV64+(AX64=1)*AZ64+(BB64=1)*BD64+(BF64=1)*BH64+(BJ64=1)*BL64+(BN64=1)*BP64+(BR64=1)*BT64)</f>
        <v/>
      </c>
      <c r="M64">
        <f>MAX(0,ROUND(N(J64)+N(K64)-N(L64),2))</f>
        <v/>
      </c>
      <c r="N64">
        <f>N(Q63)</f>
        <v/>
      </c>
      <c r="O64">
        <f>IF(N(N64)&lt;=0.005,0,ROUND(N(N64)*N('Debt List'!E6)/12,2))</f>
        <v/>
      </c>
      <c r="P64">
        <f>IF(N(N64)&lt;=0.005,0,MIN(N('Debt List'!F6),N(N64)+N(O64)))+((AP64=2)*AR64+(AT64=2)*AV64+(AX64=2)*AZ64+(BB64=2)*BD64+(BF64=2)*BH64+(BJ64=2)*BL64+(BN64=2)*BP64+(BR64=2)*BT64)</f>
        <v/>
      </c>
      <c r="Q64">
        <f>MAX(0,ROUND(N(N64)+N(O64)-N(P64),2))</f>
        <v/>
      </c>
      <c r="R64">
        <f>N(U63)</f>
        <v/>
      </c>
      <c r="S64">
        <f>IF(N(R64)&lt;=0.005,0,ROUND(N(R64)*N('Debt List'!E7)/12,2))</f>
        <v/>
      </c>
      <c r="T64">
        <f>IF(N(R64)&lt;=0.005,0,MIN(N('Debt List'!F7),N(R64)+N(S64)))+((AP64=3)*AR64+(AT64=3)*AV64+(AX64=3)*AZ64+(BB64=3)*BD64+(BF64=3)*BH64+(BJ64=3)*BL64+(BN64=3)*BP64+(BR64=3)*BT64)</f>
        <v/>
      </c>
      <c r="U64">
        <f>MAX(0,ROUND(N(R64)+N(S64)-N(T64),2))</f>
        <v/>
      </c>
      <c r="V64">
        <f>N(Y63)</f>
        <v/>
      </c>
      <c r="W64">
        <f>IF(N(V64)&lt;=0.005,0,ROUND(N(V64)*N('Debt List'!E8)/12,2))</f>
        <v/>
      </c>
      <c r="X64">
        <f>IF(N(V64)&lt;=0.005,0,MIN(N('Debt List'!F8),N(V64)+N(W64)))+((AP64=4)*AR64+(AT64=4)*AV64+(AX64=4)*AZ64+(BB64=4)*BD64+(BF64=4)*BH64+(BJ64=4)*BL64+(BN64=4)*BP64+(BR64=4)*BT64)</f>
        <v/>
      </c>
      <c r="Y64">
        <f>MAX(0,ROUND(N(V64)+N(W64)-N(X64),2))</f>
        <v/>
      </c>
      <c r="Z64">
        <f>N(AC63)</f>
        <v/>
      </c>
      <c r="AA64">
        <f>IF(N(Z64)&lt;=0.005,0,ROUND(N(Z64)*N('Debt List'!E9)/12,2))</f>
        <v/>
      </c>
      <c r="AB64">
        <f>IF(N(Z64)&lt;=0.005,0,MIN(N('Debt List'!F9),N(Z64)+N(AA64)))+((AP64=5)*AR64+(AT64=5)*AV64+(AX64=5)*AZ64+(BB64=5)*BD64+(BF64=5)*BH64+(BJ64=5)*BL64+(BN64=5)*BP64+(BR64=5)*BT64)</f>
        <v/>
      </c>
      <c r="AC64">
        <f>MAX(0,ROUND(N(Z64)+N(AA64)-N(AB64),2))</f>
        <v/>
      </c>
      <c r="AD64">
        <f>N(AG63)</f>
        <v/>
      </c>
      <c r="AE64">
        <f>IF(N(AD64)&lt;=0.005,0,ROUND(N(AD64)*N('Debt List'!E10)/12,2))</f>
        <v/>
      </c>
      <c r="AF64">
        <f>IF(N(AD64)&lt;=0.005,0,MIN(N('Debt List'!F10),N(AD64)+N(AE64)))+((AP64=6)*AR64+(AT64=6)*AV64+(AX64=6)*AZ64+(BB64=6)*BD64+(BF64=6)*BH64+(BJ64=6)*BL64+(BN64=6)*BP64+(BR64=6)*BT64)</f>
        <v/>
      </c>
      <c r="AG64">
        <f>MAX(0,ROUND(N(AD64)+N(AE64)-N(AF64),2))</f>
        <v/>
      </c>
      <c r="AH64">
        <f>N(AK63)</f>
        <v/>
      </c>
      <c r="AI64">
        <f>IF(N(AH64)&lt;=0.005,0,ROUND(N(AH64)*N('Debt List'!E11)/12,2))</f>
        <v/>
      </c>
      <c r="AJ64">
        <f>IF(N(AH64)&lt;=0.005,0,MIN(N('Debt List'!F11),N(AH64)+N(AI64)))+((AP64=7)*AR64+(AT64=7)*AV64+(AX64=7)*AZ64+(BB64=7)*BD64+(BF64=7)*BH64+(BJ64=7)*BL64+(BN64=7)*BP64+(BR64=7)*BT64)</f>
        <v/>
      </c>
      <c r="AK64">
        <f>MAX(0,ROUND(N(AH64)+N(AI64)-N(AJ64),2))</f>
        <v/>
      </c>
      <c r="AL64">
        <f>N(AO63)</f>
        <v/>
      </c>
      <c r="AM64">
        <f>IF(N(AL64)&lt;=0.005,0,ROUND(N(AL64)*N('Debt List'!E12)/12,2))</f>
        <v/>
      </c>
      <c r="AN64">
        <f>IF(N(AL64)&lt;=0.005,0,MIN(N('Debt List'!F12),N(AL64)+N(AM64)))+((AP64=8)*AR64+(AT64=8)*AV64+(AX64=8)*AZ64+(BB64=8)*BD64+(BF64=8)*BH64+(BJ64=8)*BL64+(BN64=8)*BP64+(BR64=8)*BT64)</f>
        <v/>
      </c>
      <c r="AO64">
        <f>MAX(0,ROUND(N(AL64)+N(AM64)-N(AN64),2))</f>
        <v/>
      </c>
      <c r="AP64">
        <f>IFERROR(MATCH(1,OrderPlan,0),"")</f>
        <v/>
      </c>
      <c r="AQ64">
        <f>IF(AP64="",0,IFERROR(IF(N(CHOOSE(AP64,J64,N64,R64,V64,Z64,AD64,AH64,AL64))&lt;=0.005,0,MAX(0,N(CHOOSE(AP64,J64,N64,R64,V64,Z64,AD64,AH64,AL64))+N(CHOOSE(AP64,K64,O64,S64,W64,AA64,AE64,AI64,AM64))-MIN(N(CHOOSE(AP64,'Debt List'!$F$5,'Debt List'!$F$6,'Debt List'!$F$7,'Debt List'!$F$8,'Debt List'!$F$9,'Debt List'!$F$10,'Debt List'!$F$11,'Debt List'!$F$12)),N(CHOOSE(AP64,J64,N64,R64,V64,Z64,AD64,AH64,AL64))+N(CHOOSE(AP64,K64,O64,S64,W64,AA64,AE64,AI64,AM64))))),0))</f>
        <v/>
      </c>
      <c r="AR64">
        <f>MIN(N(AQ64),MAX(0,N(ExtraPayment)))</f>
        <v/>
      </c>
      <c r="AS64">
        <f>MAX(0,N(ExtraPayment)-N(AR64))</f>
        <v/>
      </c>
      <c r="AT64">
        <f>IFERROR(MATCH(2,OrderPlan,0),"")</f>
        <v/>
      </c>
      <c r="AU64">
        <f>IF(AT64="",0,IFERROR(IF(N(CHOOSE(AT64,J64,N64,R64,V64,Z64,AD64,AH64,AL64))&lt;=0.005,0,MAX(0,N(CHOOSE(AT64,J64,N64,R64,V64,Z64,AD64,AH64,AL64))+N(CHOOSE(AT64,K64,O64,S64,W64,AA64,AE64,AI64,AM64))-MIN(N(CHOOSE(AT64,'Debt List'!$F$5,'Debt List'!$F$6,'Debt List'!$F$7,'Debt List'!$F$8,'Debt List'!$F$9,'Debt List'!$F$10,'Debt List'!$F$11,'Debt List'!$F$12)),N(CHOOSE(AT64,J64,N64,R64,V64,Z64,AD64,AH64,AL64))+N(CHOOSE(AT64,K64,O64,S64,W64,AA64,AE64,AI64,AM64))))),0))</f>
        <v/>
      </c>
      <c r="AV64">
        <f>MIN(N(AU64),MAX(0,N(AS64)))</f>
        <v/>
      </c>
      <c r="AW64">
        <f>MAX(0,N(AS64)-N(AV64))</f>
        <v/>
      </c>
      <c r="AX64">
        <f>IFERROR(MATCH(3,OrderPlan,0),"")</f>
        <v/>
      </c>
      <c r="AY64">
        <f>IF(AX64="",0,IFERROR(IF(N(CHOOSE(AX64,J64,N64,R64,V64,Z64,AD64,AH64,AL64))&lt;=0.005,0,MAX(0,N(CHOOSE(AX64,J64,N64,R64,V64,Z64,AD64,AH64,AL64))+N(CHOOSE(AX64,K64,O64,S64,W64,AA64,AE64,AI64,AM64))-MIN(N(CHOOSE(AX64,'Debt List'!$F$5,'Debt List'!$F$6,'Debt List'!$F$7,'Debt List'!$F$8,'Debt List'!$F$9,'Debt List'!$F$10,'Debt List'!$F$11,'Debt List'!$F$12)),N(CHOOSE(AX64,J64,N64,R64,V64,Z64,AD64,AH64,AL64))+N(CHOOSE(AX64,K64,O64,S64,W64,AA64,AE64,AI64,AM64))))),0))</f>
        <v/>
      </c>
      <c r="AZ64">
        <f>MIN(N(AY64),MAX(0,N(AW64)))</f>
        <v/>
      </c>
      <c r="BA64">
        <f>MAX(0,N(AW64)-N(AZ64))</f>
        <v/>
      </c>
      <c r="BB64">
        <f>IFERROR(MATCH(4,OrderPlan,0),"")</f>
        <v/>
      </c>
      <c r="BC64">
        <f>IF(BB64="",0,IFERROR(IF(N(CHOOSE(BB64,J64,N64,R64,V64,Z64,AD64,AH64,AL64))&lt;=0.005,0,MAX(0,N(CHOOSE(BB64,J64,N64,R64,V64,Z64,AD64,AH64,AL64))+N(CHOOSE(BB64,K64,O64,S64,W64,AA64,AE64,AI64,AM64))-MIN(N(CHOOSE(BB64,'Debt List'!$F$5,'Debt List'!$F$6,'Debt List'!$F$7,'Debt List'!$F$8,'Debt List'!$F$9,'Debt List'!$F$10,'Debt List'!$F$11,'Debt List'!$F$12)),N(CHOOSE(BB64,J64,N64,R64,V64,Z64,AD64,AH64,AL64))+N(CHOOSE(BB64,K64,O64,S64,W64,AA64,AE64,AI64,AM64))))),0))</f>
        <v/>
      </c>
      <c r="BD64">
        <f>MIN(N(BC64),MAX(0,N(BA64)))</f>
        <v/>
      </c>
      <c r="BE64">
        <f>MAX(0,N(BA64)-N(BD64))</f>
        <v/>
      </c>
      <c r="BF64">
        <f>IFERROR(MATCH(5,OrderPlan,0),"")</f>
        <v/>
      </c>
      <c r="BG64">
        <f>IF(BF64="",0,IFERROR(IF(N(CHOOSE(BF64,J64,N64,R64,V64,Z64,AD64,AH64,AL64))&lt;=0.005,0,MAX(0,N(CHOOSE(BF64,J64,N64,R64,V64,Z64,AD64,AH64,AL64))+N(CHOOSE(BF64,K64,O64,S64,W64,AA64,AE64,AI64,AM64))-MIN(N(CHOOSE(BF64,'Debt List'!$F$5,'Debt List'!$F$6,'Debt List'!$F$7,'Debt List'!$F$8,'Debt List'!$F$9,'Debt List'!$F$10,'Debt List'!$F$11,'Debt List'!$F$12)),N(CHOOSE(BF64,J64,N64,R64,V64,Z64,AD64,AH64,AL64))+N(CHOOSE(BF64,K64,O64,S64,W64,AA64,AE64,AI64,AM64))))),0))</f>
        <v/>
      </c>
      <c r="BH64">
        <f>MIN(N(BG64),MAX(0,N(BE64)))</f>
        <v/>
      </c>
      <c r="BI64">
        <f>MAX(0,N(BE64)-N(BH64))</f>
        <v/>
      </c>
      <c r="BJ64">
        <f>IFERROR(MATCH(6,OrderPlan,0),"")</f>
        <v/>
      </c>
      <c r="BK64">
        <f>IF(BJ64="",0,IFERROR(IF(N(CHOOSE(BJ64,J64,N64,R64,V64,Z64,AD64,AH64,AL64))&lt;=0.005,0,MAX(0,N(CHOOSE(BJ64,J64,N64,R64,V64,Z64,AD64,AH64,AL64))+N(CHOOSE(BJ64,K64,O64,S64,W64,AA64,AE64,AI64,AM64))-MIN(N(CHOOSE(BJ64,'Debt List'!$F$5,'Debt List'!$F$6,'Debt List'!$F$7,'Debt List'!$F$8,'Debt List'!$F$9,'Debt List'!$F$10,'Debt List'!$F$11,'Debt List'!$F$12)),N(CHOOSE(BJ64,J64,N64,R64,V64,Z64,AD64,AH64,AL64))+N(CHOOSE(BJ64,K64,O64,S64,W64,AA64,AE64,AI64,AM64))))),0))</f>
        <v/>
      </c>
      <c r="BL64">
        <f>MIN(N(BK64),MAX(0,N(BI64)))</f>
        <v/>
      </c>
      <c r="BM64">
        <f>MAX(0,N(BI64)-N(BL64))</f>
        <v/>
      </c>
      <c r="BN64">
        <f>IFERROR(MATCH(7,OrderPlan,0),"")</f>
        <v/>
      </c>
      <c r="BO64">
        <f>IF(BN64="",0,IFERROR(IF(N(CHOOSE(BN64,J64,N64,R64,V64,Z64,AD64,AH64,AL64))&lt;=0.005,0,MAX(0,N(CHOOSE(BN64,J64,N64,R64,V64,Z64,AD64,AH64,AL64))+N(CHOOSE(BN64,K64,O64,S64,W64,AA64,AE64,AI64,AM64))-MIN(N(CHOOSE(BN64,'Debt List'!$F$5,'Debt List'!$F$6,'Debt List'!$F$7,'Debt List'!$F$8,'Debt List'!$F$9,'Debt List'!$F$10,'Debt List'!$F$11,'Debt List'!$F$12)),N(CHOOSE(BN64,J64,N64,R64,V64,Z64,AD64,AH64,AL64))+N(CHOOSE(BN64,K64,O64,S64,W64,AA64,AE64,AI64,AM64))))),0))</f>
        <v/>
      </c>
      <c r="BP64">
        <f>MIN(N(BO64),MAX(0,N(BM64)))</f>
        <v/>
      </c>
      <c r="BQ64">
        <f>MAX(0,N(BM64)-N(BP64))</f>
        <v/>
      </c>
      <c r="BR64">
        <f>IFERROR(MATCH(8,OrderPlan,0),"")</f>
        <v/>
      </c>
      <c r="BS64">
        <f>IF(BR64="",0,IFERROR(IF(N(CHOOSE(BR64,J64,N64,R64,V64,Z64,AD64,AH64,AL64))&lt;=0.005,0,MAX(0,N(CHOOSE(BR64,J64,N64,R64,V64,Z64,AD64,AH64,AL64))+N(CHOOSE(BR64,K64,O64,S64,W64,AA64,AE64,AI64,AM64))-MIN(N(CHOOSE(BR64,'Debt List'!$F$5,'Debt List'!$F$6,'Debt List'!$F$7,'Debt List'!$F$8,'Debt List'!$F$9,'Debt List'!$F$10,'Debt List'!$F$11,'Debt List'!$F$12)),N(CHOOSE(BR64,J64,N64,R64,V64,Z64,AD64,AH64,AL64))+N(CHOOSE(BR64,K64,O64,S64,W64,AA64,AE64,AI64,AM64))))),0))</f>
        <v/>
      </c>
      <c r="BT64">
        <f>MIN(N(BS64),MAX(0,N(BQ64)))</f>
        <v/>
      </c>
      <c r="BU64">
        <f>MAX(0,N(BQ64)-N(BT64))</f>
        <v/>
      </c>
      <c r="CC64" t="n">
        <v>60</v>
      </c>
      <c r="CD64" s="115">
        <f>DATE(YEAR(PlanStart),MONTH(PlanStart)+CC64-1,1)</f>
        <v/>
      </c>
      <c r="CE64">
        <f>IF(AND(DR64&lt;&gt;"",N(CHOOSE(DR64,CL64,CP64,CT64,CX64,DB64,DF64,DJ64,DN64))&gt;0.005),INDEX(DebtNames,DR64),IF(AND(DV64&lt;&gt;"",N(CHOOSE(DV64,CL64,CP64,CT64,CX64,DB64,DF64,DJ64,DN64))&gt;0.005),INDEX(DebtNames,DV64),IF(AND(DZ64&lt;&gt;"",N(CHOOSE(DZ64,CL64,CP64,CT64,CX64,DB64,DF64,DJ64,DN64))&gt;0.005),INDEX(DebtNames,DZ64),IF(AND(ED64&lt;&gt;"",N(CHOOSE(ED64,CL64,CP64,CT64,CX64,DB64,DF64,DJ64,DN64))&gt;0.005),INDEX(DebtNames,ED64),IF(AND(EH64&lt;&gt;"",N(CHOOSE(EH64,CL64,CP64,CT64,CX64,DB64,DF64,DJ64,DN64))&gt;0.005),INDEX(DebtNames,EH64),IF(AND(EL64&lt;&gt;"",N(CHOOSE(EL64,CL64,CP64,CT64,CX64,DB64,DF64,DJ64,DN64))&gt;0.005),INDEX(DebtNames,EL64),IF(AND(EP64&lt;&gt;"",N(CHOOSE(EP64,CL64,CP64,CT64,CX64,DB64,DF64,DJ64,DN64))&gt;0.005),INDEX(DebtNames,EP64),IF(AND(ET64&lt;&gt;"",N(CHOOSE(ET64,CL64,CP64,CT64,CX64,DB64,DF64,DJ64,DN64))&gt;0.005),INDEX(DebtNames,ET64),""))))))))</f>
        <v/>
      </c>
      <c r="CF64">
        <f>N(EW64)</f>
        <v/>
      </c>
      <c r="CG64">
        <f>N(CN64)+N(CR64)+N(CV64)+N(CZ64)+N(DD64)+N(DH64)+N(DL64)+N(DP64)</f>
        <v/>
      </c>
      <c r="CH64">
        <f>N(CM64)+N(CQ64)+N(CU64)+N(CY64)+N(DC64)+N(DG64)+N(DK64)+N(DO64)</f>
        <v/>
      </c>
      <c r="CI64">
        <f>N(CI63)+N(CH64)</f>
        <v/>
      </c>
      <c r="CJ64">
        <f>N(CO64)+N(CS64)+N(CW64)+N(DA64)+N(DE64)+N(DI64)+N(DM64)+N(DQ64)</f>
        <v/>
      </c>
      <c r="CK64">
        <f>(CO64&gt;0.005)*1+(CS64&gt;0.005)*1+(CW64&gt;0.005)*1+(DA64&gt;0.005)*1+(DE64&gt;0.005)*1+(DI64&gt;0.005)*1+(DM64&gt;0.005)*1+(DQ64&gt;0.005)*1</f>
        <v/>
      </c>
      <c r="CL64">
        <f>N(CO63)</f>
        <v/>
      </c>
      <c r="CM64">
        <f>IF(N(CL64)&lt;=0.005,0,ROUND(N(CL64)*N('Debt List'!E5)/12,2))</f>
        <v/>
      </c>
      <c r="CN64">
        <f>IF(N(CL64)&lt;=0.005,0,MIN(N('Debt List'!F5),N(CL64)+N(CM64)))+((DR64=1)*DT64+(DV64=1)*DX64+(DZ64=1)*EB64+(ED64=1)*EF64+(EH64=1)*EJ64+(EL64=1)*EN64+(EP64=1)*ER64+(ET64=1)*EV64)</f>
        <v/>
      </c>
      <c r="CO64">
        <f>MAX(0,ROUND(N(CL64)+N(CM64)-N(CN64),2))</f>
        <v/>
      </c>
      <c r="CP64">
        <f>N(CS63)</f>
        <v/>
      </c>
      <c r="CQ64">
        <f>IF(N(CP64)&lt;=0.005,0,ROUND(N(CP64)*N('Debt List'!E6)/12,2))</f>
        <v/>
      </c>
      <c r="CR64">
        <f>IF(N(CP64)&lt;=0.005,0,MIN(N('Debt List'!F6),N(CP64)+N(CQ64)))+((DR64=2)*DT64+(DV64=2)*DX64+(DZ64=2)*EB64+(ED64=2)*EF64+(EH64=2)*EJ64+(EL64=2)*EN64+(EP64=2)*ER64+(ET64=2)*EV64)</f>
        <v/>
      </c>
      <c r="CS64">
        <f>MAX(0,ROUND(N(CP64)+N(CQ64)-N(CR64),2))</f>
        <v/>
      </c>
      <c r="CT64">
        <f>N(CW63)</f>
        <v/>
      </c>
      <c r="CU64">
        <f>IF(N(CT64)&lt;=0.005,0,ROUND(N(CT64)*N('Debt List'!E7)/12,2))</f>
        <v/>
      </c>
      <c r="CV64">
        <f>IF(N(CT64)&lt;=0.005,0,MIN(N('Debt List'!F7),N(CT64)+N(CU64)))+((DR64=3)*DT64+(DV64=3)*DX64+(DZ64=3)*EB64+(ED64=3)*EF64+(EH64=3)*EJ64+(EL64=3)*EN64+(EP64=3)*ER64+(ET64=3)*EV64)</f>
        <v/>
      </c>
      <c r="CW64">
        <f>MAX(0,ROUND(N(CT64)+N(CU64)-N(CV64),2))</f>
        <v/>
      </c>
      <c r="CX64">
        <f>N(DA63)</f>
        <v/>
      </c>
      <c r="CY64">
        <f>IF(N(CX64)&lt;=0.005,0,ROUND(N(CX64)*N('Debt List'!E8)/12,2))</f>
        <v/>
      </c>
      <c r="CZ64">
        <f>IF(N(CX64)&lt;=0.005,0,MIN(N('Debt List'!F8),N(CX64)+N(CY64)))+((DR64=4)*DT64+(DV64=4)*DX64+(DZ64=4)*EB64+(ED64=4)*EF64+(EH64=4)*EJ64+(EL64=4)*EN64+(EP64=4)*ER64+(ET64=4)*EV64)</f>
        <v/>
      </c>
      <c r="DA64">
        <f>MAX(0,ROUND(N(CX64)+N(CY64)-N(CZ64),2))</f>
        <v/>
      </c>
      <c r="DB64">
        <f>N(DE63)</f>
        <v/>
      </c>
      <c r="DC64">
        <f>IF(N(DB64)&lt;=0.005,0,ROUND(N(DB64)*N('Debt List'!E9)/12,2))</f>
        <v/>
      </c>
      <c r="DD64">
        <f>IF(N(DB64)&lt;=0.005,0,MIN(N('Debt List'!F9),N(DB64)+N(DC64)))+((DR64=5)*DT64+(DV64=5)*DX64+(DZ64=5)*EB64+(ED64=5)*EF64+(EH64=5)*EJ64+(EL64=5)*EN64+(EP64=5)*ER64+(ET64=5)*EV64)</f>
        <v/>
      </c>
      <c r="DE64">
        <f>MAX(0,ROUND(N(DB64)+N(DC64)-N(DD64),2))</f>
        <v/>
      </c>
      <c r="DF64">
        <f>N(DI63)</f>
        <v/>
      </c>
      <c r="DG64">
        <f>IF(N(DF64)&lt;=0.005,0,ROUND(N(DF64)*N('Debt List'!E10)/12,2))</f>
        <v/>
      </c>
      <c r="DH64">
        <f>IF(N(DF64)&lt;=0.005,0,MIN(N('Debt List'!F10),N(DF64)+N(DG64)))+((DR64=6)*DT64+(DV64=6)*DX64+(DZ64=6)*EB64+(ED64=6)*EF64+(EH64=6)*EJ64+(EL64=6)*EN64+(EP64=6)*ER64+(ET64=6)*EV64)</f>
        <v/>
      </c>
      <c r="DI64">
        <f>MAX(0,ROUND(N(DF64)+N(DG64)-N(DH64),2))</f>
        <v/>
      </c>
      <c r="DJ64">
        <f>N(DM63)</f>
        <v/>
      </c>
      <c r="DK64">
        <f>IF(N(DJ64)&lt;=0.005,0,ROUND(N(DJ64)*N('Debt List'!E11)/12,2))</f>
        <v/>
      </c>
      <c r="DL64">
        <f>IF(N(DJ64)&lt;=0.005,0,MIN(N('Debt List'!F11),N(DJ64)+N(DK64)))+((DR64=7)*DT64+(DV64=7)*DX64+(DZ64=7)*EB64+(ED64=7)*EF64+(EH64=7)*EJ64+(EL64=7)*EN64+(EP64=7)*ER64+(ET64=7)*EV64)</f>
        <v/>
      </c>
      <c r="DM64">
        <f>MAX(0,ROUND(N(DJ64)+N(DK64)-N(DL64),2))</f>
        <v/>
      </c>
      <c r="DN64">
        <f>N(DQ63)</f>
        <v/>
      </c>
      <c r="DO64">
        <f>IF(N(DN64)&lt;=0.005,0,ROUND(N(DN64)*N('Debt List'!E12)/12,2))</f>
        <v/>
      </c>
      <c r="DP64">
        <f>IF(N(DN64)&lt;=0.005,0,MIN(N('Debt List'!F12),N(DN64)+N(DO64)))+((DR64=8)*DT64+(DV64=8)*DX64+(DZ64=8)*EB64+(ED64=8)*EF64+(EH64=8)*EJ64+(EL64=8)*EN64+(EP64=8)*ER64+(ET64=8)*EV64)</f>
        <v/>
      </c>
      <c r="DQ64">
        <f>MAX(0,ROUND(N(DN64)+N(DO64)-N(DP64),2))</f>
        <v/>
      </c>
      <c r="DR64">
        <f>IFERROR(MATCH(1,OrderSnow,0),"")</f>
        <v/>
      </c>
      <c r="DS64">
        <f>IF(DR64="",0,IFERROR(IF(N(CHOOSE(DR64,CL64,CP64,CT64,CX64,DB64,DF64,DJ64,DN64))&lt;=0.005,0,MAX(0,N(CHOOSE(DR64,CL64,CP64,CT64,CX64,DB64,DF64,DJ64,DN64))+N(CHOOSE(DR64,CM64,CQ64,CU64,CY64,DC64,DG64,DK64,DO64))-MIN(N(CHOOSE(DR64,'Debt List'!$F$5,'Debt List'!$F$6,'Debt List'!$F$7,'Debt List'!$F$8,'Debt List'!$F$9,'Debt List'!$F$10,'Debt List'!$F$11,'Debt List'!$F$12)),N(CHOOSE(DR64,CL64,CP64,CT64,CX64,DB64,DF64,DJ64,DN64))+N(CHOOSE(DR64,CM64,CQ64,CU64,CY64,DC64,DG64,DK64,DO64))))),0))</f>
        <v/>
      </c>
      <c r="DT64">
        <f>MIN(N(DS64),MAX(0,N(ExtraPayment)))</f>
        <v/>
      </c>
      <c r="DU64">
        <f>MAX(0,N(ExtraPayment)-N(DT64))</f>
        <v/>
      </c>
      <c r="DV64">
        <f>IFERROR(MATCH(2,OrderSnow,0),"")</f>
        <v/>
      </c>
      <c r="DW64">
        <f>IF(DV64="",0,IFERROR(IF(N(CHOOSE(DV64,CL64,CP64,CT64,CX64,DB64,DF64,DJ64,DN64))&lt;=0.005,0,MAX(0,N(CHOOSE(DV64,CL64,CP64,CT64,CX64,DB64,DF64,DJ64,DN64))+N(CHOOSE(DV64,CM64,CQ64,CU64,CY64,DC64,DG64,DK64,DO64))-MIN(N(CHOOSE(DV64,'Debt List'!$F$5,'Debt List'!$F$6,'Debt List'!$F$7,'Debt List'!$F$8,'Debt List'!$F$9,'Debt List'!$F$10,'Debt List'!$F$11,'Debt List'!$F$12)),N(CHOOSE(DV64,CL64,CP64,CT64,CX64,DB64,DF64,DJ64,DN64))+N(CHOOSE(DV64,CM64,CQ64,CU64,CY64,DC64,DG64,DK64,DO64))))),0))</f>
        <v/>
      </c>
      <c r="DX64">
        <f>MIN(N(DW64),MAX(0,N(DU64)))</f>
        <v/>
      </c>
      <c r="DY64">
        <f>MAX(0,N(DU64)-N(DX64))</f>
        <v/>
      </c>
      <c r="DZ64">
        <f>IFERROR(MATCH(3,OrderSnow,0),"")</f>
        <v/>
      </c>
      <c r="EA64">
        <f>IF(DZ64="",0,IFERROR(IF(N(CHOOSE(DZ64,CL64,CP64,CT64,CX64,DB64,DF64,DJ64,DN64))&lt;=0.005,0,MAX(0,N(CHOOSE(DZ64,CL64,CP64,CT64,CX64,DB64,DF64,DJ64,DN64))+N(CHOOSE(DZ64,CM64,CQ64,CU64,CY64,DC64,DG64,DK64,DO64))-MIN(N(CHOOSE(DZ64,'Debt List'!$F$5,'Debt List'!$F$6,'Debt List'!$F$7,'Debt List'!$F$8,'Debt List'!$F$9,'Debt List'!$F$10,'Debt List'!$F$11,'Debt List'!$F$12)),N(CHOOSE(DZ64,CL64,CP64,CT64,CX64,DB64,DF64,DJ64,DN64))+N(CHOOSE(DZ64,CM64,CQ64,CU64,CY64,DC64,DG64,DK64,DO64))))),0))</f>
        <v/>
      </c>
      <c r="EB64">
        <f>MIN(N(EA64),MAX(0,N(DY64)))</f>
        <v/>
      </c>
      <c r="EC64">
        <f>MAX(0,N(DY64)-N(EB64))</f>
        <v/>
      </c>
      <c r="ED64">
        <f>IFERROR(MATCH(4,OrderSnow,0),"")</f>
        <v/>
      </c>
      <c r="EE64">
        <f>IF(ED64="",0,IFERROR(IF(N(CHOOSE(ED64,CL64,CP64,CT64,CX64,DB64,DF64,DJ64,DN64))&lt;=0.005,0,MAX(0,N(CHOOSE(ED64,CL64,CP64,CT64,CX64,DB64,DF64,DJ64,DN64))+N(CHOOSE(ED64,CM64,CQ64,CU64,CY64,DC64,DG64,DK64,DO64))-MIN(N(CHOOSE(ED64,'Debt List'!$F$5,'Debt List'!$F$6,'Debt List'!$F$7,'Debt List'!$F$8,'Debt List'!$F$9,'Debt List'!$F$10,'Debt List'!$F$11,'Debt List'!$F$12)),N(CHOOSE(ED64,CL64,CP64,CT64,CX64,DB64,DF64,DJ64,DN64))+N(CHOOSE(ED64,CM64,CQ64,CU64,CY64,DC64,DG64,DK64,DO64))))),0))</f>
        <v/>
      </c>
      <c r="EF64">
        <f>MIN(N(EE64),MAX(0,N(EC64)))</f>
        <v/>
      </c>
      <c r="EG64">
        <f>MAX(0,N(EC64)-N(EF64))</f>
        <v/>
      </c>
      <c r="EH64">
        <f>IFERROR(MATCH(5,OrderSnow,0),"")</f>
        <v/>
      </c>
      <c r="EI64">
        <f>IF(EH64="",0,IFERROR(IF(N(CHOOSE(EH64,CL64,CP64,CT64,CX64,DB64,DF64,DJ64,DN64))&lt;=0.005,0,MAX(0,N(CHOOSE(EH64,CL64,CP64,CT64,CX64,DB64,DF64,DJ64,DN64))+N(CHOOSE(EH64,CM64,CQ64,CU64,CY64,DC64,DG64,DK64,DO64))-MIN(N(CHOOSE(EH64,'Debt List'!$F$5,'Debt List'!$F$6,'Debt List'!$F$7,'Debt List'!$F$8,'Debt List'!$F$9,'Debt List'!$F$10,'Debt List'!$F$11,'Debt List'!$F$12)),N(CHOOSE(EH64,CL64,CP64,CT64,CX64,DB64,DF64,DJ64,DN64))+N(CHOOSE(EH64,CM64,CQ64,CU64,CY64,DC64,DG64,DK64,DO64))))),0))</f>
        <v/>
      </c>
      <c r="EJ64">
        <f>MIN(N(EI64),MAX(0,N(EG64)))</f>
        <v/>
      </c>
      <c r="EK64">
        <f>MAX(0,N(EG64)-N(EJ64))</f>
        <v/>
      </c>
      <c r="EL64">
        <f>IFERROR(MATCH(6,OrderSnow,0),"")</f>
        <v/>
      </c>
      <c r="EM64">
        <f>IF(EL64="",0,IFERROR(IF(N(CHOOSE(EL64,CL64,CP64,CT64,CX64,DB64,DF64,DJ64,DN64))&lt;=0.005,0,MAX(0,N(CHOOSE(EL64,CL64,CP64,CT64,CX64,DB64,DF64,DJ64,DN64))+N(CHOOSE(EL64,CM64,CQ64,CU64,CY64,DC64,DG64,DK64,DO64))-MIN(N(CHOOSE(EL64,'Debt List'!$F$5,'Debt List'!$F$6,'Debt List'!$F$7,'Debt List'!$F$8,'Debt List'!$F$9,'Debt List'!$F$10,'Debt List'!$F$11,'Debt List'!$F$12)),N(CHOOSE(EL64,CL64,CP64,CT64,CX64,DB64,DF64,DJ64,DN64))+N(CHOOSE(EL64,CM64,CQ64,CU64,CY64,DC64,DG64,DK64,DO64))))),0))</f>
        <v/>
      </c>
      <c r="EN64">
        <f>MIN(N(EM64),MAX(0,N(EK64)))</f>
        <v/>
      </c>
      <c r="EO64">
        <f>MAX(0,N(EK64)-N(EN64))</f>
        <v/>
      </c>
      <c r="EP64">
        <f>IFERROR(MATCH(7,OrderSnow,0),"")</f>
        <v/>
      </c>
      <c r="EQ64">
        <f>IF(EP64="",0,IFERROR(IF(N(CHOOSE(EP64,CL64,CP64,CT64,CX64,DB64,DF64,DJ64,DN64))&lt;=0.005,0,MAX(0,N(CHOOSE(EP64,CL64,CP64,CT64,CX64,DB64,DF64,DJ64,DN64))+N(CHOOSE(EP64,CM64,CQ64,CU64,CY64,DC64,DG64,DK64,DO64))-MIN(N(CHOOSE(EP64,'Debt List'!$F$5,'Debt List'!$F$6,'Debt List'!$F$7,'Debt List'!$F$8,'Debt List'!$F$9,'Debt List'!$F$10,'Debt List'!$F$11,'Debt List'!$F$12)),N(CHOOSE(EP64,CL64,CP64,CT64,CX64,DB64,DF64,DJ64,DN64))+N(CHOOSE(EP64,CM64,CQ64,CU64,CY64,DC64,DG64,DK64,DO64))))),0))</f>
        <v/>
      </c>
      <c r="ER64">
        <f>MIN(N(EQ64),MAX(0,N(EO64)))</f>
        <v/>
      </c>
      <c r="ES64">
        <f>MAX(0,N(EO64)-N(ER64))</f>
        <v/>
      </c>
      <c r="ET64">
        <f>IFERROR(MATCH(8,OrderSnow,0),"")</f>
        <v/>
      </c>
      <c r="EU64">
        <f>IF(ET64="",0,IFERROR(IF(N(CHOOSE(ET64,CL64,CP64,CT64,CX64,DB64,DF64,DJ64,DN64))&lt;=0.005,0,MAX(0,N(CHOOSE(ET64,CL64,CP64,CT64,CX64,DB64,DF64,DJ64,DN64))+N(CHOOSE(ET64,CM64,CQ64,CU64,CY64,DC64,DG64,DK64,DO64))-MIN(N(CHOOSE(ET64,'Debt List'!$F$5,'Debt List'!$F$6,'Debt List'!$F$7,'Debt List'!$F$8,'Debt List'!$F$9,'Debt List'!$F$10,'Debt List'!$F$11,'Debt List'!$F$12)),N(CHOOSE(ET64,CL64,CP64,CT64,CX64,DB64,DF64,DJ64,DN64))+N(CHOOSE(ET64,CM64,CQ64,CU64,CY64,DC64,DG64,DK64,DO64))))),0))</f>
        <v/>
      </c>
      <c r="EV64">
        <f>MIN(N(EU64),MAX(0,N(ES64)))</f>
        <v/>
      </c>
      <c r="EW64">
        <f>MAX(0,N(ES64)-N(EV64))</f>
        <v/>
      </c>
      <c r="FE64" t="n">
        <v>60</v>
      </c>
      <c r="FF64" s="115">
        <f>DATE(YEAR(PlanStart),MONTH(PlanStart)+FE64-1,1)</f>
        <v/>
      </c>
      <c r="FG64">
        <f>IF(AND(GT64&lt;&gt;"",N(CHOOSE(GT64,FN64,FR64,FV64,FZ64,GD64,GH64,GL64,GP64))&gt;0.005),INDEX(DebtNames,GT64),IF(AND(GX64&lt;&gt;"",N(CHOOSE(GX64,FN64,FR64,FV64,FZ64,GD64,GH64,GL64,GP64))&gt;0.005),INDEX(DebtNames,GX64),IF(AND(HB64&lt;&gt;"",N(CHOOSE(HB64,FN64,FR64,FV64,FZ64,GD64,GH64,GL64,GP64))&gt;0.005),INDEX(DebtNames,HB64),IF(AND(HF64&lt;&gt;"",N(CHOOSE(HF64,FN64,FR64,FV64,FZ64,GD64,GH64,GL64,GP64))&gt;0.005),INDEX(DebtNames,HF64),IF(AND(HJ64&lt;&gt;"",N(CHOOSE(HJ64,FN64,FR64,FV64,FZ64,GD64,GH64,GL64,GP64))&gt;0.005),INDEX(DebtNames,HJ64),IF(AND(HN64&lt;&gt;"",N(CHOOSE(HN64,FN64,FR64,FV64,FZ64,GD64,GH64,GL64,GP64))&gt;0.005),INDEX(DebtNames,HN64),IF(AND(HR64&lt;&gt;"",N(CHOOSE(HR64,FN64,FR64,FV64,FZ64,GD64,GH64,GL64,GP64))&gt;0.005),INDEX(DebtNames,HR64),IF(AND(HV64&lt;&gt;"",N(CHOOSE(HV64,FN64,FR64,FV64,FZ64,GD64,GH64,GL64,GP64))&gt;0.005),INDEX(DebtNames,HV64),""))))))))</f>
        <v/>
      </c>
      <c r="FH64">
        <f>N(HY64)</f>
        <v/>
      </c>
      <c r="FI64">
        <f>N(FP64)+N(FT64)+N(FX64)+N(GB64)+N(GF64)+N(GJ64)+N(GN64)+N(GR64)</f>
        <v/>
      </c>
      <c r="FJ64">
        <f>N(FO64)+N(FS64)+N(FW64)+N(GA64)+N(GE64)+N(GI64)+N(GM64)+N(GQ64)</f>
        <v/>
      </c>
      <c r="FK64">
        <f>N(FK63)+N(FJ64)</f>
        <v/>
      </c>
      <c r="FL64">
        <f>N(FQ64)+N(FU64)+N(FY64)+N(GC64)+N(GG64)+N(GK64)+N(GO64)+N(GS64)</f>
        <v/>
      </c>
      <c r="FM64">
        <f>(FQ64&gt;0.005)*1+(FU64&gt;0.005)*1+(FY64&gt;0.005)*1+(GC64&gt;0.005)*1+(GG64&gt;0.005)*1+(GK64&gt;0.005)*1+(GO64&gt;0.005)*1+(GS64&gt;0.005)*1</f>
        <v/>
      </c>
      <c r="FN64">
        <f>N(FQ63)</f>
        <v/>
      </c>
      <c r="FO64">
        <f>IF(N(FN64)&lt;=0.005,0,ROUND(N(FN64)*N('Debt List'!E5)/12,2))</f>
        <v/>
      </c>
      <c r="FP64">
        <f>IF(N(FN64)&lt;=0.005,0,MIN(N('Debt List'!F5),N(FN64)+N(FO64)))+((GT64=1)*GV64+(GX64=1)*GZ64+(HB64=1)*HD64+(HF64=1)*HH64+(HJ64=1)*HL64+(HN64=1)*HP64+(HR64=1)*HT64+(HV64=1)*HX64)</f>
        <v/>
      </c>
      <c r="FQ64">
        <f>MAX(0,ROUND(N(FN64)+N(FO64)-N(FP64),2))</f>
        <v/>
      </c>
      <c r="FR64">
        <f>N(FU63)</f>
        <v/>
      </c>
      <c r="FS64">
        <f>IF(N(FR64)&lt;=0.005,0,ROUND(N(FR64)*N('Debt List'!E6)/12,2))</f>
        <v/>
      </c>
      <c r="FT64">
        <f>IF(N(FR64)&lt;=0.005,0,MIN(N('Debt List'!F6),N(FR64)+N(FS64)))+((GT64=2)*GV64+(GX64=2)*GZ64+(HB64=2)*HD64+(HF64=2)*HH64+(HJ64=2)*HL64+(HN64=2)*HP64+(HR64=2)*HT64+(HV64=2)*HX64)</f>
        <v/>
      </c>
      <c r="FU64">
        <f>MAX(0,ROUND(N(FR64)+N(FS64)-N(FT64),2))</f>
        <v/>
      </c>
      <c r="FV64">
        <f>N(FY63)</f>
        <v/>
      </c>
      <c r="FW64">
        <f>IF(N(FV64)&lt;=0.005,0,ROUND(N(FV64)*N('Debt List'!E7)/12,2))</f>
        <v/>
      </c>
      <c r="FX64">
        <f>IF(N(FV64)&lt;=0.005,0,MIN(N('Debt List'!F7),N(FV64)+N(FW64)))+((GT64=3)*GV64+(GX64=3)*GZ64+(HB64=3)*HD64+(HF64=3)*HH64+(HJ64=3)*HL64+(HN64=3)*HP64+(HR64=3)*HT64+(HV64=3)*HX64)</f>
        <v/>
      </c>
      <c r="FY64">
        <f>MAX(0,ROUND(N(FV64)+N(FW64)-N(FX64),2))</f>
        <v/>
      </c>
      <c r="FZ64">
        <f>N(GC63)</f>
        <v/>
      </c>
      <c r="GA64">
        <f>IF(N(FZ64)&lt;=0.005,0,ROUND(N(FZ64)*N('Debt List'!E8)/12,2))</f>
        <v/>
      </c>
      <c r="GB64">
        <f>IF(N(FZ64)&lt;=0.005,0,MIN(N('Debt List'!F8),N(FZ64)+N(GA64)))+((GT64=4)*GV64+(GX64=4)*GZ64+(HB64=4)*HD64+(HF64=4)*HH64+(HJ64=4)*HL64+(HN64=4)*HP64+(HR64=4)*HT64+(HV64=4)*HX64)</f>
        <v/>
      </c>
      <c r="GC64">
        <f>MAX(0,ROUND(N(FZ64)+N(GA64)-N(GB64),2))</f>
        <v/>
      </c>
      <c r="GD64">
        <f>N(GG63)</f>
        <v/>
      </c>
      <c r="GE64">
        <f>IF(N(GD64)&lt;=0.005,0,ROUND(N(GD64)*N('Debt List'!E9)/12,2))</f>
        <v/>
      </c>
      <c r="GF64">
        <f>IF(N(GD64)&lt;=0.005,0,MIN(N('Debt List'!F9),N(GD64)+N(GE64)))+((GT64=5)*GV64+(GX64=5)*GZ64+(HB64=5)*HD64+(HF64=5)*HH64+(HJ64=5)*HL64+(HN64=5)*HP64+(HR64=5)*HT64+(HV64=5)*HX64)</f>
        <v/>
      </c>
      <c r="GG64">
        <f>MAX(0,ROUND(N(GD64)+N(GE64)-N(GF64),2))</f>
        <v/>
      </c>
      <c r="GH64">
        <f>N(GK63)</f>
        <v/>
      </c>
      <c r="GI64">
        <f>IF(N(GH64)&lt;=0.005,0,ROUND(N(GH64)*N('Debt List'!E10)/12,2))</f>
        <v/>
      </c>
      <c r="GJ64">
        <f>IF(N(GH64)&lt;=0.005,0,MIN(N('Debt List'!F10),N(GH64)+N(GI64)))+((GT64=6)*GV64+(GX64=6)*GZ64+(HB64=6)*HD64+(HF64=6)*HH64+(HJ64=6)*HL64+(HN64=6)*HP64+(HR64=6)*HT64+(HV64=6)*HX64)</f>
        <v/>
      </c>
      <c r="GK64">
        <f>MAX(0,ROUND(N(GH64)+N(GI64)-N(GJ64),2))</f>
        <v/>
      </c>
      <c r="GL64">
        <f>N(GO63)</f>
        <v/>
      </c>
      <c r="GM64">
        <f>IF(N(GL64)&lt;=0.005,0,ROUND(N(GL64)*N('Debt List'!E11)/12,2))</f>
        <v/>
      </c>
      <c r="GN64">
        <f>IF(N(GL64)&lt;=0.005,0,MIN(N('Debt List'!F11),N(GL64)+N(GM64)))+((GT64=7)*GV64+(GX64=7)*GZ64+(HB64=7)*HD64+(HF64=7)*HH64+(HJ64=7)*HL64+(HN64=7)*HP64+(HR64=7)*HT64+(HV64=7)*HX64)</f>
        <v/>
      </c>
      <c r="GO64">
        <f>MAX(0,ROUND(N(GL64)+N(GM64)-N(GN64),2))</f>
        <v/>
      </c>
      <c r="GP64">
        <f>N(GS63)</f>
        <v/>
      </c>
      <c r="GQ64">
        <f>IF(N(GP64)&lt;=0.005,0,ROUND(N(GP64)*N('Debt List'!E12)/12,2))</f>
        <v/>
      </c>
      <c r="GR64">
        <f>IF(N(GP64)&lt;=0.005,0,MIN(N('Debt List'!F12),N(GP64)+N(GQ64)))+((GT64=8)*GV64+(GX64=8)*GZ64+(HB64=8)*HD64+(HF64=8)*HH64+(HJ64=8)*HL64+(HN64=8)*HP64+(HR64=8)*HT64+(HV64=8)*HX64)</f>
        <v/>
      </c>
      <c r="GS64">
        <f>MAX(0,ROUND(N(GP64)+N(GQ64)-N(GR64),2))</f>
        <v/>
      </c>
      <c r="GT64">
        <f>IFERROR(MATCH(1,OrderAval,0),"")</f>
        <v/>
      </c>
      <c r="GU64">
        <f>IF(GT64="",0,IFERROR(IF(N(CHOOSE(GT64,FN64,FR64,FV64,FZ64,GD64,GH64,GL64,GP64))&lt;=0.005,0,MAX(0,N(CHOOSE(GT64,FN64,FR64,FV64,FZ64,GD64,GH64,GL64,GP64))+N(CHOOSE(GT64,FO64,FS64,FW64,GA64,GE64,GI64,GM64,GQ64))-MIN(N(CHOOSE(GT64,'Debt List'!$F$5,'Debt List'!$F$6,'Debt List'!$F$7,'Debt List'!$F$8,'Debt List'!$F$9,'Debt List'!$F$10,'Debt List'!$F$11,'Debt List'!$F$12)),N(CHOOSE(GT64,FN64,FR64,FV64,FZ64,GD64,GH64,GL64,GP64))+N(CHOOSE(GT64,FO64,FS64,FW64,GA64,GE64,GI64,GM64,GQ64))))),0))</f>
        <v/>
      </c>
      <c r="GV64">
        <f>MIN(N(GU64),MAX(0,N(ExtraPayment)))</f>
        <v/>
      </c>
      <c r="GW64">
        <f>MAX(0,N(ExtraPayment)-N(GV64))</f>
        <v/>
      </c>
      <c r="GX64">
        <f>IFERROR(MATCH(2,OrderAval,0),"")</f>
        <v/>
      </c>
      <c r="GY64">
        <f>IF(GX64="",0,IFERROR(IF(N(CHOOSE(GX64,FN64,FR64,FV64,FZ64,GD64,GH64,GL64,GP64))&lt;=0.005,0,MAX(0,N(CHOOSE(GX64,FN64,FR64,FV64,FZ64,GD64,GH64,GL64,GP64))+N(CHOOSE(GX64,FO64,FS64,FW64,GA64,GE64,GI64,GM64,GQ64))-MIN(N(CHOOSE(GX64,'Debt List'!$F$5,'Debt List'!$F$6,'Debt List'!$F$7,'Debt List'!$F$8,'Debt List'!$F$9,'Debt List'!$F$10,'Debt List'!$F$11,'Debt List'!$F$12)),N(CHOOSE(GX64,FN64,FR64,FV64,FZ64,GD64,GH64,GL64,GP64))+N(CHOOSE(GX64,FO64,FS64,FW64,GA64,GE64,GI64,GM64,GQ64))))),0))</f>
        <v/>
      </c>
      <c r="GZ64">
        <f>MIN(N(GY64),MAX(0,N(GW64)))</f>
        <v/>
      </c>
      <c r="HA64">
        <f>MAX(0,N(GW64)-N(GZ64))</f>
        <v/>
      </c>
      <c r="HB64">
        <f>IFERROR(MATCH(3,OrderAval,0),"")</f>
        <v/>
      </c>
      <c r="HC64">
        <f>IF(HB64="",0,IFERROR(IF(N(CHOOSE(HB64,FN64,FR64,FV64,FZ64,GD64,GH64,GL64,GP64))&lt;=0.005,0,MAX(0,N(CHOOSE(HB64,FN64,FR64,FV64,FZ64,GD64,GH64,GL64,GP64))+N(CHOOSE(HB64,FO64,FS64,FW64,GA64,GE64,GI64,GM64,GQ64))-MIN(N(CHOOSE(HB64,'Debt List'!$F$5,'Debt List'!$F$6,'Debt List'!$F$7,'Debt List'!$F$8,'Debt List'!$F$9,'Debt List'!$F$10,'Debt List'!$F$11,'Debt List'!$F$12)),N(CHOOSE(HB64,FN64,FR64,FV64,FZ64,GD64,GH64,GL64,GP64))+N(CHOOSE(HB64,FO64,FS64,FW64,GA64,GE64,GI64,GM64,GQ64))))),0))</f>
        <v/>
      </c>
      <c r="HD64">
        <f>MIN(N(HC64),MAX(0,N(HA64)))</f>
        <v/>
      </c>
      <c r="HE64">
        <f>MAX(0,N(HA64)-N(HD64))</f>
        <v/>
      </c>
      <c r="HF64">
        <f>IFERROR(MATCH(4,OrderAval,0),"")</f>
        <v/>
      </c>
      <c r="HG64">
        <f>IF(HF64="",0,IFERROR(IF(N(CHOOSE(HF64,FN64,FR64,FV64,FZ64,GD64,GH64,GL64,GP64))&lt;=0.005,0,MAX(0,N(CHOOSE(HF64,FN64,FR64,FV64,FZ64,GD64,GH64,GL64,GP64))+N(CHOOSE(HF64,FO64,FS64,FW64,GA64,GE64,GI64,GM64,GQ64))-MIN(N(CHOOSE(HF64,'Debt List'!$F$5,'Debt List'!$F$6,'Debt List'!$F$7,'Debt List'!$F$8,'Debt List'!$F$9,'Debt List'!$F$10,'Debt List'!$F$11,'Debt List'!$F$12)),N(CHOOSE(HF64,FN64,FR64,FV64,FZ64,GD64,GH64,GL64,GP64))+N(CHOOSE(HF64,FO64,FS64,FW64,GA64,GE64,GI64,GM64,GQ64))))),0))</f>
        <v/>
      </c>
      <c r="HH64">
        <f>MIN(N(HG64),MAX(0,N(HE64)))</f>
        <v/>
      </c>
      <c r="HI64">
        <f>MAX(0,N(HE64)-N(HH64))</f>
        <v/>
      </c>
      <c r="HJ64">
        <f>IFERROR(MATCH(5,OrderAval,0),"")</f>
        <v/>
      </c>
      <c r="HK64">
        <f>IF(HJ64="",0,IFERROR(IF(N(CHOOSE(HJ64,FN64,FR64,FV64,FZ64,GD64,GH64,GL64,GP64))&lt;=0.005,0,MAX(0,N(CHOOSE(HJ64,FN64,FR64,FV64,FZ64,GD64,GH64,GL64,GP64))+N(CHOOSE(HJ64,FO64,FS64,FW64,GA64,GE64,GI64,GM64,GQ64))-MIN(N(CHOOSE(HJ64,'Debt List'!$F$5,'Debt List'!$F$6,'Debt List'!$F$7,'Debt List'!$F$8,'Debt List'!$F$9,'Debt List'!$F$10,'Debt List'!$F$11,'Debt List'!$F$12)),N(CHOOSE(HJ64,FN64,FR64,FV64,FZ64,GD64,GH64,GL64,GP64))+N(CHOOSE(HJ64,FO64,FS64,FW64,GA64,GE64,GI64,GM64,GQ64))))),0))</f>
        <v/>
      </c>
      <c r="HL64">
        <f>MIN(N(HK64),MAX(0,N(HI64)))</f>
        <v/>
      </c>
      <c r="HM64">
        <f>MAX(0,N(HI64)-N(HL64))</f>
        <v/>
      </c>
      <c r="HN64">
        <f>IFERROR(MATCH(6,OrderAval,0),"")</f>
        <v/>
      </c>
      <c r="HO64">
        <f>IF(HN64="",0,IFERROR(IF(N(CHOOSE(HN64,FN64,FR64,FV64,FZ64,GD64,GH64,GL64,GP64))&lt;=0.005,0,MAX(0,N(CHOOSE(HN64,FN64,FR64,FV64,FZ64,GD64,GH64,GL64,GP64))+N(CHOOSE(HN64,FO64,FS64,FW64,GA64,GE64,GI64,GM64,GQ64))-MIN(N(CHOOSE(HN64,'Debt List'!$F$5,'Debt List'!$F$6,'Debt List'!$F$7,'Debt List'!$F$8,'Debt List'!$F$9,'Debt List'!$F$10,'Debt List'!$F$11,'Debt List'!$F$12)),N(CHOOSE(HN64,FN64,FR64,FV64,FZ64,GD64,GH64,GL64,GP64))+N(CHOOSE(HN64,FO64,FS64,FW64,GA64,GE64,GI64,GM64,GQ64))))),0))</f>
        <v/>
      </c>
      <c r="HP64">
        <f>MIN(N(HO64),MAX(0,N(HM64)))</f>
        <v/>
      </c>
      <c r="HQ64">
        <f>MAX(0,N(HM64)-N(HP64))</f>
        <v/>
      </c>
      <c r="HR64">
        <f>IFERROR(MATCH(7,OrderAval,0),"")</f>
        <v/>
      </c>
      <c r="HS64">
        <f>IF(HR64="",0,IFERROR(IF(N(CHOOSE(HR64,FN64,FR64,FV64,FZ64,GD64,GH64,GL64,GP64))&lt;=0.005,0,MAX(0,N(CHOOSE(HR64,FN64,FR64,FV64,FZ64,GD64,GH64,GL64,GP64))+N(CHOOSE(HR64,FO64,FS64,FW64,GA64,GE64,GI64,GM64,GQ64))-MIN(N(CHOOSE(HR64,'Debt List'!$F$5,'Debt List'!$F$6,'Debt List'!$F$7,'Debt List'!$F$8,'Debt List'!$F$9,'Debt List'!$F$10,'Debt List'!$F$11,'Debt List'!$F$12)),N(CHOOSE(HR64,FN64,FR64,FV64,FZ64,GD64,GH64,GL64,GP64))+N(CHOOSE(HR64,FO64,FS64,FW64,GA64,GE64,GI64,GM64,GQ64))))),0))</f>
        <v/>
      </c>
      <c r="HT64">
        <f>MIN(N(HS64),MAX(0,N(HQ64)))</f>
        <v/>
      </c>
      <c r="HU64">
        <f>MAX(0,N(HQ64)-N(HT64))</f>
        <v/>
      </c>
      <c r="HV64">
        <f>IFERROR(MATCH(8,OrderAval,0),"")</f>
        <v/>
      </c>
      <c r="HW64">
        <f>IF(HV64="",0,IFERROR(IF(N(CHOOSE(HV64,FN64,FR64,FV64,FZ64,GD64,GH64,GL64,GP64))&lt;=0.005,0,MAX(0,N(CHOOSE(HV64,FN64,FR64,FV64,FZ64,GD64,GH64,GL64,GP64))+N(CHOOSE(HV64,FO64,FS64,FW64,GA64,GE64,GI64,GM64,GQ64))-MIN(N(CHOOSE(HV64,'Debt List'!$F$5,'Debt List'!$F$6,'Debt List'!$F$7,'Debt List'!$F$8,'Debt List'!$F$9,'Debt List'!$F$10,'Debt List'!$F$11,'Debt List'!$F$12)),N(CHOOSE(HV64,FN64,FR64,FV64,FZ64,GD64,GH64,GL64,GP64))+N(CHOOSE(HV64,FO64,FS64,FW64,GA64,GE64,GI64,GM64,GQ64))))),0))</f>
        <v/>
      </c>
      <c r="HX64">
        <f>MIN(N(HW64),MAX(0,N(HU64)))</f>
        <v/>
      </c>
      <c r="HY64">
        <f>MAX(0,N(HU64)-N(HX64))</f>
        <v/>
      </c>
    </row>
    <row r="65">
      <c r="A65" t="n">
        <v>61</v>
      </c>
      <c r="B65" s="115">
        <f>DATE(YEAR(PlanStart),MONTH(PlanStart)+A65-1,1)</f>
        <v/>
      </c>
      <c r="C65">
        <f>IF(AND(AP65&lt;&gt;"",N(CHOOSE(AP65,J65,N65,R65,V65,Z65,AD65,AH65,AL65))&gt;0.005),INDEX(DebtNames,AP65),IF(AND(AT65&lt;&gt;"",N(CHOOSE(AT65,J65,N65,R65,V65,Z65,AD65,AH65,AL65))&gt;0.005),INDEX(DebtNames,AT65),IF(AND(AX65&lt;&gt;"",N(CHOOSE(AX65,J65,N65,R65,V65,Z65,AD65,AH65,AL65))&gt;0.005),INDEX(DebtNames,AX65),IF(AND(BB65&lt;&gt;"",N(CHOOSE(BB65,J65,N65,R65,V65,Z65,AD65,AH65,AL65))&gt;0.005),INDEX(DebtNames,BB65),IF(AND(BF65&lt;&gt;"",N(CHOOSE(BF65,J65,N65,R65,V65,Z65,AD65,AH65,AL65))&gt;0.005),INDEX(DebtNames,BF65),IF(AND(BJ65&lt;&gt;"",N(CHOOSE(BJ65,J65,N65,R65,V65,Z65,AD65,AH65,AL65))&gt;0.005),INDEX(DebtNames,BJ65),IF(AND(BN65&lt;&gt;"",N(CHOOSE(BN65,J65,N65,R65,V65,Z65,AD65,AH65,AL65))&gt;0.005),INDEX(DebtNames,BN65),IF(AND(BR65&lt;&gt;"",N(CHOOSE(BR65,J65,N65,R65,V65,Z65,AD65,AH65,AL65))&gt;0.005),INDEX(DebtNames,BR65),""))))))))</f>
        <v/>
      </c>
      <c r="D65">
        <f>N(BU65)</f>
        <v/>
      </c>
      <c r="E65">
        <f>N(L65)+N(P65)+N(T65)+N(X65)+N(AB65)+N(AF65)+N(AJ65)+N(AN65)</f>
        <v/>
      </c>
      <c r="F65">
        <f>N(K65)+N(O65)+N(S65)+N(W65)+N(AA65)+N(AE65)+N(AI65)+N(AM65)</f>
        <v/>
      </c>
      <c r="G65">
        <f>N(G64)+N(F65)</f>
        <v/>
      </c>
      <c r="H65">
        <f>N(M65)+N(Q65)+N(U65)+N(Y65)+N(AC65)+N(AG65)+N(AK65)+N(AO65)</f>
        <v/>
      </c>
      <c r="I65">
        <f>(M65&gt;0.005)*1+(Q65&gt;0.005)*1+(U65&gt;0.005)*1+(Y65&gt;0.005)*1+(AC65&gt;0.005)*1+(AG65&gt;0.005)*1+(AK65&gt;0.005)*1+(AO65&gt;0.005)*1</f>
        <v/>
      </c>
      <c r="J65">
        <f>N(M64)</f>
        <v/>
      </c>
      <c r="K65">
        <f>IF(N(J65)&lt;=0.005,0,ROUND(N(J65)*N('Debt List'!E5)/12,2))</f>
        <v/>
      </c>
      <c r="L65">
        <f>IF(N(J65)&lt;=0.005,0,MIN(N('Debt List'!F5),N(J65)+N(K65)))+((AP65=1)*AR65+(AT65=1)*AV65+(AX65=1)*AZ65+(BB65=1)*BD65+(BF65=1)*BH65+(BJ65=1)*BL65+(BN65=1)*BP65+(BR65=1)*BT65)</f>
        <v/>
      </c>
      <c r="M65">
        <f>MAX(0,ROUND(N(J65)+N(K65)-N(L65),2))</f>
        <v/>
      </c>
      <c r="N65">
        <f>N(Q64)</f>
        <v/>
      </c>
      <c r="O65">
        <f>IF(N(N65)&lt;=0.005,0,ROUND(N(N65)*N('Debt List'!E6)/12,2))</f>
        <v/>
      </c>
      <c r="P65">
        <f>IF(N(N65)&lt;=0.005,0,MIN(N('Debt List'!F6),N(N65)+N(O65)))+((AP65=2)*AR65+(AT65=2)*AV65+(AX65=2)*AZ65+(BB65=2)*BD65+(BF65=2)*BH65+(BJ65=2)*BL65+(BN65=2)*BP65+(BR65=2)*BT65)</f>
        <v/>
      </c>
      <c r="Q65">
        <f>MAX(0,ROUND(N(N65)+N(O65)-N(P65),2))</f>
        <v/>
      </c>
      <c r="R65">
        <f>N(U64)</f>
        <v/>
      </c>
      <c r="S65">
        <f>IF(N(R65)&lt;=0.005,0,ROUND(N(R65)*N('Debt List'!E7)/12,2))</f>
        <v/>
      </c>
      <c r="T65">
        <f>IF(N(R65)&lt;=0.005,0,MIN(N('Debt List'!F7),N(R65)+N(S65)))+((AP65=3)*AR65+(AT65=3)*AV65+(AX65=3)*AZ65+(BB65=3)*BD65+(BF65=3)*BH65+(BJ65=3)*BL65+(BN65=3)*BP65+(BR65=3)*BT65)</f>
        <v/>
      </c>
      <c r="U65">
        <f>MAX(0,ROUND(N(R65)+N(S65)-N(T65),2))</f>
        <v/>
      </c>
      <c r="V65">
        <f>N(Y64)</f>
        <v/>
      </c>
      <c r="W65">
        <f>IF(N(V65)&lt;=0.005,0,ROUND(N(V65)*N('Debt List'!E8)/12,2))</f>
        <v/>
      </c>
      <c r="X65">
        <f>IF(N(V65)&lt;=0.005,0,MIN(N('Debt List'!F8),N(V65)+N(W65)))+((AP65=4)*AR65+(AT65=4)*AV65+(AX65=4)*AZ65+(BB65=4)*BD65+(BF65=4)*BH65+(BJ65=4)*BL65+(BN65=4)*BP65+(BR65=4)*BT65)</f>
        <v/>
      </c>
      <c r="Y65">
        <f>MAX(0,ROUND(N(V65)+N(W65)-N(X65),2))</f>
        <v/>
      </c>
      <c r="Z65">
        <f>N(AC64)</f>
        <v/>
      </c>
      <c r="AA65">
        <f>IF(N(Z65)&lt;=0.005,0,ROUND(N(Z65)*N('Debt List'!E9)/12,2))</f>
        <v/>
      </c>
      <c r="AB65">
        <f>IF(N(Z65)&lt;=0.005,0,MIN(N('Debt List'!F9),N(Z65)+N(AA65)))+((AP65=5)*AR65+(AT65=5)*AV65+(AX65=5)*AZ65+(BB65=5)*BD65+(BF65=5)*BH65+(BJ65=5)*BL65+(BN65=5)*BP65+(BR65=5)*BT65)</f>
        <v/>
      </c>
      <c r="AC65">
        <f>MAX(0,ROUND(N(Z65)+N(AA65)-N(AB65),2))</f>
        <v/>
      </c>
      <c r="AD65">
        <f>N(AG64)</f>
        <v/>
      </c>
      <c r="AE65">
        <f>IF(N(AD65)&lt;=0.005,0,ROUND(N(AD65)*N('Debt List'!E10)/12,2))</f>
        <v/>
      </c>
      <c r="AF65">
        <f>IF(N(AD65)&lt;=0.005,0,MIN(N('Debt List'!F10),N(AD65)+N(AE65)))+((AP65=6)*AR65+(AT65=6)*AV65+(AX65=6)*AZ65+(BB65=6)*BD65+(BF65=6)*BH65+(BJ65=6)*BL65+(BN65=6)*BP65+(BR65=6)*BT65)</f>
        <v/>
      </c>
      <c r="AG65">
        <f>MAX(0,ROUND(N(AD65)+N(AE65)-N(AF65),2))</f>
        <v/>
      </c>
      <c r="AH65">
        <f>N(AK64)</f>
        <v/>
      </c>
      <c r="AI65">
        <f>IF(N(AH65)&lt;=0.005,0,ROUND(N(AH65)*N('Debt List'!E11)/12,2))</f>
        <v/>
      </c>
      <c r="AJ65">
        <f>IF(N(AH65)&lt;=0.005,0,MIN(N('Debt List'!F11),N(AH65)+N(AI65)))+((AP65=7)*AR65+(AT65=7)*AV65+(AX65=7)*AZ65+(BB65=7)*BD65+(BF65=7)*BH65+(BJ65=7)*BL65+(BN65=7)*BP65+(BR65=7)*BT65)</f>
        <v/>
      </c>
      <c r="AK65">
        <f>MAX(0,ROUND(N(AH65)+N(AI65)-N(AJ65),2))</f>
        <v/>
      </c>
      <c r="AL65">
        <f>N(AO64)</f>
        <v/>
      </c>
      <c r="AM65">
        <f>IF(N(AL65)&lt;=0.005,0,ROUND(N(AL65)*N('Debt List'!E12)/12,2))</f>
        <v/>
      </c>
      <c r="AN65">
        <f>IF(N(AL65)&lt;=0.005,0,MIN(N('Debt List'!F12),N(AL65)+N(AM65)))+((AP65=8)*AR65+(AT65=8)*AV65+(AX65=8)*AZ65+(BB65=8)*BD65+(BF65=8)*BH65+(BJ65=8)*BL65+(BN65=8)*BP65+(BR65=8)*BT65)</f>
        <v/>
      </c>
      <c r="AO65">
        <f>MAX(0,ROUND(N(AL65)+N(AM65)-N(AN65),2))</f>
        <v/>
      </c>
      <c r="AP65">
        <f>IFERROR(MATCH(1,OrderPlan,0),"")</f>
        <v/>
      </c>
      <c r="AQ65">
        <f>IF(AP65="",0,IFERROR(IF(N(CHOOSE(AP65,J65,N65,R65,V65,Z65,AD65,AH65,AL65))&lt;=0.005,0,MAX(0,N(CHOOSE(AP65,J65,N65,R65,V65,Z65,AD65,AH65,AL65))+N(CHOOSE(AP65,K65,O65,S65,W65,AA65,AE65,AI65,AM65))-MIN(N(CHOOSE(AP65,'Debt List'!$F$5,'Debt List'!$F$6,'Debt List'!$F$7,'Debt List'!$F$8,'Debt List'!$F$9,'Debt List'!$F$10,'Debt List'!$F$11,'Debt List'!$F$12)),N(CHOOSE(AP65,J65,N65,R65,V65,Z65,AD65,AH65,AL65))+N(CHOOSE(AP65,K65,O65,S65,W65,AA65,AE65,AI65,AM65))))),0))</f>
        <v/>
      </c>
      <c r="AR65">
        <f>MIN(N(AQ65),MAX(0,N(ExtraPayment)))</f>
        <v/>
      </c>
      <c r="AS65">
        <f>MAX(0,N(ExtraPayment)-N(AR65))</f>
        <v/>
      </c>
      <c r="AT65">
        <f>IFERROR(MATCH(2,OrderPlan,0),"")</f>
        <v/>
      </c>
      <c r="AU65">
        <f>IF(AT65="",0,IFERROR(IF(N(CHOOSE(AT65,J65,N65,R65,V65,Z65,AD65,AH65,AL65))&lt;=0.005,0,MAX(0,N(CHOOSE(AT65,J65,N65,R65,V65,Z65,AD65,AH65,AL65))+N(CHOOSE(AT65,K65,O65,S65,W65,AA65,AE65,AI65,AM65))-MIN(N(CHOOSE(AT65,'Debt List'!$F$5,'Debt List'!$F$6,'Debt List'!$F$7,'Debt List'!$F$8,'Debt List'!$F$9,'Debt List'!$F$10,'Debt List'!$F$11,'Debt List'!$F$12)),N(CHOOSE(AT65,J65,N65,R65,V65,Z65,AD65,AH65,AL65))+N(CHOOSE(AT65,K65,O65,S65,W65,AA65,AE65,AI65,AM65))))),0))</f>
        <v/>
      </c>
      <c r="AV65">
        <f>MIN(N(AU65),MAX(0,N(AS65)))</f>
        <v/>
      </c>
      <c r="AW65">
        <f>MAX(0,N(AS65)-N(AV65))</f>
        <v/>
      </c>
      <c r="AX65">
        <f>IFERROR(MATCH(3,OrderPlan,0),"")</f>
        <v/>
      </c>
      <c r="AY65">
        <f>IF(AX65="",0,IFERROR(IF(N(CHOOSE(AX65,J65,N65,R65,V65,Z65,AD65,AH65,AL65))&lt;=0.005,0,MAX(0,N(CHOOSE(AX65,J65,N65,R65,V65,Z65,AD65,AH65,AL65))+N(CHOOSE(AX65,K65,O65,S65,W65,AA65,AE65,AI65,AM65))-MIN(N(CHOOSE(AX65,'Debt List'!$F$5,'Debt List'!$F$6,'Debt List'!$F$7,'Debt List'!$F$8,'Debt List'!$F$9,'Debt List'!$F$10,'Debt List'!$F$11,'Debt List'!$F$12)),N(CHOOSE(AX65,J65,N65,R65,V65,Z65,AD65,AH65,AL65))+N(CHOOSE(AX65,K65,O65,S65,W65,AA65,AE65,AI65,AM65))))),0))</f>
        <v/>
      </c>
      <c r="AZ65">
        <f>MIN(N(AY65),MAX(0,N(AW65)))</f>
        <v/>
      </c>
      <c r="BA65">
        <f>MAX(0,N(AW65)-N(AZ65))</f>
        <v/>
      </c>
      <c r="BB65">
        <f>IFERROR(MATCH(4,OrderPlan,0),"")</f>
        <v/>
      </c>
      <c r="BC65">
        <f>IF(BB65="",0,IFERROR(IF(N(CHOOSE(BB65,J65,N65,R65,V65,Z65,AD65,AH65,AL65))&lt;=0.005,0,MAX(0,N(CHOOSE(BB65,J65,N65,R65,V65,Z65,AD65,AH65,AL65))+N(CHOOSE(BB65,K65,O65,S65,W65,AA65,AE65,AI65,AM65))-MIN(N(CHOOSE(BB65,'Debt List'!$F$5,'Debt List'!$F$6,'Debt List'!$F$7,'Debt List'!$F$8,'Debt List'!$F$9,'Debt List'!$F$10,'Debt List'!$F$11,'Debt List'!$F$12)),N(CHOOSE(BB65,J65,N65,R65,V65,Z65,AD65,AH65,AL65))+N(CHOOSE(BB65,K65,O65,S65,W65,AA65,AE65,AI65,AM65))))),0))</f>
        <v/>
      </c>
      <c r="BD65">
        <f>MIN(N(BC65),MAX(0,N(BA65)))</f>
        <v/>
      </c>
      <c r="BE65">
        <f>MAX(0,N(BA65)-N(BD65))</f>
        <v/>
      </c>
      <c r="BF65">
        <f>IFERROR(MATCH(5,OrderPlan,0),"")</f>
        <v/>
      </c>
      <c r="BG65">
        <f>IF(BF65="",0,IFERROR(IF(N(CHOOSE(BF65,J65,N65,R65,V65,Z65,AD65,AH65,AL65))&lt;=0.005,0,MAX(0,N(CHOOSE(BF65,J65,N65,R65,V65,Z65,AD65,AH65,AL65))+N(CHOOSE(BF65,K65,O65,S65,W65,AA65,AE65,AI65,AM65))-MIN(N(CHOOSE(BF65,'Debt List'!$F$5,'Debt List'!$F$6,'Debt List'!$F$7,'Debt List'!$F$8,'Debt List'!$F$9,'Debt List'!$F$10,'Debt List'!$F$11,'Debt List'!$F$12)),N(CHOOSE(BF65,J65,N65,R65,V65,Z65,AD65,AH65,AL65))+N(CHOOSE(BF65,K65,O65,S65,W65,AA65,AE65,AI65,AM65))))),0))</f>
        <v/>
      </c>
      <c r="BH65">
        <f>MIN(N(BG65),MAX(0,N(BE65)))</f>
        <v/>
      </c>
      <c r="BI65">
        <f>MAX(0,N(BE65)-N(BH65))</f>
        <v/>
      </c>
      <c r="BJ65">
        <f>IFERROR(MATCH(6,OrderPlan,0),"")</f>
        <v/>
      </c>
      <c r="BK65">
        <f>IF(BJ65="",0,IFERROR(IF(N(CHOOSE(BJ65,J65,N65,R65,V65,Z65,AD65,AH65,AL65))&lt;=0.005,0,MAX(0,N(CHOOSE(BJ65,J65,N65,R65,V65,Z65,AD65,AH65,AL65))+N(CHOOSE(BJ65,K65,O65,S65,W65,AA65,AE65,AI65,AM65))-MIN(N(CHOOSE(BJ65,'Debt List'!$F$5,'Debt List'!$F$6,'Debt List'!$F$7,'Debt List'!$F$8,'Debt List'!$F$9,'Debt List'!$F$10,'Debt List'!$F$11,'Debt List'!$F$12)),N(CHOOSE(BJ65,J65,N65,R65,V65,Z65,AD65,AH65,AL65))+N(CHOOSE(BJ65,K65,O65,S65,W65,AA65,AE65,AI65,AM65))))),0))</f>
        <v/>
      </c>
      <c r="BL65">
        <f>MIN(N(BK65),MAX(0,N(BI65)))</f>
        <v/>
      </c>
      <c r="BM65">
        <f>MAX(0,N(BI65)-N(BL65))</f>
        <v/>
      </c>
      <c r="BN65">
        <f>IFERROR(MATCH(7,OrderPlan,0),"")</f>
        <v/>
      </c>
      <c r="BO65">
        <f>IF(BN65="",0,IFERROR(IF(N(CHOOSE(BN65,J65,N65,R65,V65,Z65,AD65,AH65,AL65))&lt;=0.005,0,MAX(0,N(CHOOSE(BN65,J65,N65,R65,V65,Z65,AD65,AH65,AL65))+N(CHOOSE(BN65,K65,O65,S65,W65,AA65,AE65,AI65,AM65))-MIN(N(CHOOSE(BN65,'Debt List'!$F$5,'Debt List'!$F$6,'Debt List'!$F$7,'Debt List'!$F$8,'Debt List'!$F$9,'Debt List'!$F$10,'Debt List'!$F$11,'Debt List'!$F$12)),N(CHOOSE(BN65,J65,N65,R65,V65,Z65,AD65,AH65,AL65))+N(CHOOSE(BN65,K65,O65,S65,W65,AA65,AE65,AI65,AM65))))),0))</f>
        <v/>
      </c>
      <c r="BP65">
        <f>MIN(N(BO65),MAX(0,N(BM65)))</f>
        <v/>
      </c>
      <c r="BQ65">
        <f>MAX(0,N(BM65)-N(BP65))</f>
        <v/>
      </c>
      <c r="BR65">
        <f>IFERROR(MATCH(8,OrderPlan,0),"")</f>
        <v/>
      </c>
      <c r="BS65">
        <f>IF(BR65="",0,IFERROR(IF(N(CHOOSE(BR65,J65,N65,R65,V65,Z65,AD65,AH65,AL65))&lt;=0.005,0,MAX(0,N(CHOOSE(BR65,J65,N65,R65,V65,Z65,AD65,AH65,AL65))+N(CHOOSE(BR65,K65,O65,S65,W65,AA65,AE65,AI65,AM65))-MIN(N(CHOOSE(BR65,'Debt List'!$F$5,'Debt List'!$F$6,'Debt List'!$F$7,'Debt List'!$F$8,'Debt List'!$F$9,'Debt List'!$F$10,'Debt List'!$F$11,'Debt List'!$F$12)),N(CHOOSE(BR65,J65,N65,R65,V65,Z65,AD65,AH65,AL65))+N(CHOOSE(BR65,K65,O65,S65,W65,AA65,AE65,AI65,AM65))))),0))</f>
        <v/>
      </c>
      <c r="BT65">
        <f>MIN(N(BS65),MAX(0,N(BQ65)))</f>
        <v/>
      </c>
      <c r="BU65">
        <f>MAX(0,N(BQ65)-N(BT65))</f>
        <v/>
      </c>
      <c r="CC65" t="n">
        <v>61</v>
      </c>
      <c r="CD65" s="115">
        <f>DATE(YEAR(PlanStart),MONTH(PlanStart)+CC65-1,1)</f>
        <v/>
      </c>
      <c r="CE65">
        <f>IF(AND(DR65&lt;&gt;"",N(CHOOSE(DR65,CL65,CP65,CT65,CX65,DB65,DF65,DJ65,DN65))&gt;0.005),INDEX(DebtNames,DR65),IF(AND(DV65&lt;&gt;"",N(CHOOSE(DV65,CL65,CP65,CT65,CX65,DB65,DF65,DJ65,DN65))&gt;0.005),INDEX(DebtNames,DV65),IF(AND(DZ65&lt;&gt;"",N(CHOOSE(DZ65,CL65,CP65,CT65,CX65,DB65,DF65,DJ65,DN65))&gt;0.005),INDEX(DebtNames,DZ65),IF(AND(ED65&lt;&gt;"",N(CHOOSE(ED65,CL65,CP65,CT65,CX65,DB65,DF65,DJ65,DN65))&gt;0.005),INDEX(DebtNames,ED65),IF(AND(EH65&lt;&gt;"",N(CHOOSE(EH65,CL65,CP65,CT65,CX65,DB65,DF65,DJ65,DN65))&gt;0.005),INDEX(DebtNames,EH65),IF(AND(EL65&lt;&gt;"",N(CHOOSE(EL65,CL65,CP65,CT65,CX65,DB65,DF65,DJ65,DN65))&gt;0.005),INDEX(DebtNames,EL65),IF(AND(EP65&lt;&gt;"",N(CHOOSE(EP65,CL65,CP65,CT65,CX65,DB65,DF65,DJ65,DN65))&gt;0.005),INDEX(DebtNames,EP65),IF(AND(ET65&lt;&gt;"",N(CHOOSE(ET65,CL65,CP65,CT65,CX65,DB65,DF65,DJ65,DN65))&gt;0.005),INDEX(DebtNames,ET65),""))))))))</f>
        <v/>
      </c>
      <c r="CF65">
        <f>N(EW65)</f>
        <v/>
      </c>
      <c r="CG65">
        <f>N(CN65)+N(CR65)+N(CV65)+N(CZ65)+N(DD65)+N(DH65)+N(DL65)+N(DP65)</f>
        <v/>
      </c>
      <c r="CH65">
        <f>N(CM65)+N(CQ65)+N(CU65)+N(CY65)+N(DC65)+N(DG65)+N(DK65)+N(DO65)</f>
        <v/>
      </c>
      <c r="CI65">
        <f>N(CI64)+N(CH65)</f>
        <v/>
      </c>
      <c r="CJ65">
        <f>N(CO65)+N(CS65)+N(CW65)+N(DA65)+N(DE65)+N(DI65)+N(DM65)+N(DQ65)</f>
        <v/>
      </c>
      <c r="CK65">
        <f>(CO65&gt;0.005)*1+(CS65&gt;0.005)*1+(CW65&gt;0.005)*1+(DA65&gt;0.005)*1+(DE65&gt;0.005)*1+(DI65&gt;0.005)*1+(DM65&gt;0.005)*1+(DQ65&gt;0.005)*1</f>
        <v/>
      </c>
      <c r="CL65">
        <f>N(CO64)</f>
        <v/>
      </c>
      <c r="CM65">
        <f>IF(N(CL65)&lt;=0.005,0,ROUND(N(CL65)*N('Debt List'!E5)/12,2))</f>
        <v/>
      </c>
      <c r="CN65">
        <f>IF(N(CL65)&lt;=0.005,0,MIN(N('Debt List'!F5),N(CL65)+N(CM65)))+((DR65=1)*DT65+(DV65=1)*DX65+(DZ65=1)*EB65+(ED65=1)*EF65+(EH65=1)*EJ65+(EL65=1)*EN65+(EP65=1)*ER65+(ET65=1)*EV65)</f>
        <v/>
      </c>
      <c r="CO65">
        <f>MAX(0,ROUND(N(CL65)+N(CM65)-N(CN65),2))</f>
        <v/>
      </c>
      <c r="CP65">
        <f>N(CS64)</f>
        <v/>
      </c>
      <c r="CQ65">
        <f>IF(N(CP65)&lt;=0.005,0,ROUND(N(CP65)*N('Debt List'!E6)/12,2))</f>
        <v/>
      </c>
      <c r="CR65">
        <f>IF(N(CP65)&lt;=0.005,0,MIN(N('Debt List'!F6),N(CP65)+N(CQ65)))+((DR65=2)*DT65+(DV65=2)*DX65+(DZ65=2)*EB65+(ED65=2)*EF65+(EH65=2)*EJ65+(EL65=2)*EN65+(EP65=2)*ER65+(ET65=2)*EV65)</f>
        <v/>
      </c>
      <c r="CS65">
        <f>MAX(0,ROUND(N(CP65)+N(CQ65)-N(CR65),2))</f>
        <v/>
      </c>
      <c r="CT65">
        <f>N(CW64)</f>
        <v/>
      </c>
      <c r="CU65">
        <f>IF(N(CT65)&lt;=0.005,0,ROUND(N(CT65)*N('Debt List'!E7)/12,2))</f>
        <v/>
      </c>
      <c r="CV65">
        <f>IF(N(CT65)&lt;=0.005,0,MIN(N('Debt List'!F7),N(CT65)+N(CU65)))+((DR65=3)*DT65+(DV65=3)*DX65+(DZ65=3)*EB65+(ED65=3)*EF65+(EH65=3)*EJ65+(EL65=3)*EN65+(EP65=3)*ER65+(ET65=3)*EV65)</f>
        <v/>
      </c>
      <c r="CW65">
        <f>MAX(0,ROUND(N(CT65)+N(CU65)-N(CV65),2))</f>
        <v/>
      </c>
      <c r="CX65">
        <f>N(DA64)</f>
        <v/>
      </c>
      <c r="CY65">
        <f>IF(N(CX65)&lt;=0.005,0,ROUND(N(CX65)*N('Debt List'!E8)/12,2))</f>
        <v/>
      </c>
      <c r="CZ65">
        <f>IF(N(CX65)&lt;=0.005,0,MIN(N('Debt List'!F8),N(CX65)+N(CY65)))+((DR65=4)*DT65+(DV65=4)*DX65+(DZ65=4)*EB65+(ED65=4)*EF65+(EH65=4)*EJ65+(EL65=4)*EN65+(EP65=4)*ER65+(ET65=4)*EV65)</f>
        <v/>
      </c>
      <c r="DA65">
        <f>MAX(0,ROUND(N(CX65)+N(CY65)-N(CZ65),2))</f>
        <v/>
      </c>
      <c r="DB65">
        <f>N(DE64)</f>
        <v/>
      </c>
      <c r="DC65">
        <f>IF(N(DB65)&lt;=0.005,0,ROUND(N(DB65)*N('Debt List'!E9)/12,2))</f>
        <v/>
      </c>
      <c r="DD65">
        <f>IF(N(DB65)&lt;=0.005,0,MIN(N('Debt List'!F9),N(DB65)+N(DC65)))+((DR65=5)*DT65+(DV65=5)*DX65+(DZ65=5)*EB65+(ED65=5)*EF65+(EH65=5)*EJ65+(EL65=5)*EN65+(EP65=5)*ER65+(ET65=5)*EV65)</f>
        <v/>
      </c>
      <c r="DE65">
        <f>MAX(0,ROUND(N(DB65)+N(DC65)-N(DD65),2))</f>
        <v/>
      </c>
      <c r="DF65">
        <f>N(DI64)</f>
        <v/>
      </c>
      <c r="DG65">
        <f>IF(N(DF65)&lt;=0.005,0,ROUND(N(DF65)*N('Debt List'!E10)/12,2))</f>
        <v/>
      </c>
      <c r="DH65">
        <f>IF(N(DF65)&lt;=0.005,0,MIN(N('Debt List'!F10),N(DF65)+N(DG65)))+((DR65=6)*DT65+(DV65=6)*DX65+(DZ65=6)*EB65+(ED65=6)*EF65+(EH65=6)*EJ65+(EL65=6)*EN65+(EP65=6)*ER65+(ET65=6)*EV65)</f>
        <v/>
      </c>
      <c r="DI65">
        <f>MAX(0,ROUND(N(DF65)+N(DG65)-N(DH65),2))</f>
        <v/>
      </c>
      <c r="DJ65">
        <f>N(DM64)</f>
        <v/>
      </c>
      <c r="DK65">
        <f>IF(N(DJ65)&lt;=0.005,0,ROUND(N(DJ65)*N('Debt List'!E11)/12,2))</f>
        <v/>
      </c>
      <c r="DL65">
        <f>IF(N(DJ65)&lt;=0.005,0,MIN(N('Debt List'!F11),N(DJ65)+N(DK65)))+((DR65=7)*DT65+(DV65=7)*DX65+(DZ65=7)*EB65+(ED65=7)*EF65+(EH65=7)*EJ65+(EL65=7)*EN65+(EP65=7)*ER65+(ET65=7)*EV65)</f>
        <v/>
      </c>
      <c r="DM65">
        <f>MAX(0,ROUND(N(DJ65)+N(DK65)-N(DL65),2))</f>
        <v/>
      </c>
      <c r="DN65">
        <f>N(DQ64)</f>
        <v/>
      </c>
      <c r="DO65">
        <f>IF(N(DN65)&lt;=0.005,0,ROUND(N(DN65)*N('Debt List'!E12)/12,2))</f>
        <v/>
      </c>
      <c r="DP65">
        <f>IF(N(DN65)&lt;=0.005,0,MIN(N('Debt List'!F12),N(DN65)+N(DO65)))+((DR65=8)*DT65+(DV65=8)*DX65+(DZ65=8)*EB65+(ED65=8)*EF65+(EH65=8)*EJ65+(EL65=8)*EN65+(EP65=8)*ER65+(ET65=8)*EV65)</f>
        <v/>
      </c>
      <c r="DQ65">
        <f>MAX(0,ROUND(N(DN65)+N(DO65)-N(DP65),2))</f>
        <v/>
      </c>
      <c r="DR65">
        <f>IFERROR(MATCH(1,OrderSnow,0),"")</f>
        <v/>
      </c>
      <c r="DS65">
        <f>IF(DR65="",0,IFERROR(IF(N(CHOOSE(DR65,CL65,CP65,CT65,CX65,DB65,DF65,DJ65,DN65))&lt;=0.005,0,MAX(0,N(CHOOSE(DR65,CL65,CP65,CT65,CX65,DB65,DF65,DJ65,DN65))+N(CHOOSE(DR65,CM65,CQ65,CU65,CY65,DC65,DG65,DK65,DO65))-MIN(N(CHOOSE(DR65,'Debt List'!$F$5,'Debt List'!$F$6,'Debt List'!$F$7,'Debt List'!$F$8,'Debt List'!$F$9,'Debt List'!$F$10,'Debt List'!$F$11,'Debt List'!$F$12)),N(CHOOSE(DR65,CL65,CP65,CT65,CX65,DB65,DF65,DJ65,DN65))+N(CHOOSE(DR65,CM65,CQ65,CU65,CY65,DC65,DG65,DK65,DO65))))),0))</f>
        <v/>
      </c>
      <c r="DT65">
        <f>MIN(N(DS65),MAX(0,N(ExtraPayment)))</f>
        <v/>
      </c>
      <c r="DU65">
        <f>MAX(0,N(ExtraPayment)-N(DT65))</f>
        <v/>
      </c>
      <c r="DV65">
        <f>IFERROR(MATCH(2,OrderSnow,0),"")</f>
        <v/>
      </c>
      <c r="DW65">
        <f>IF(DV65="",0,IFERROR(IF(N(CHOOSE(DV65,CL65,CP65,CT65,CX65,DB65,DF65,DJ65,DN65))&lt;=0.005,0,MAX(0,N(CHOOSE(DV65,CL65,CP65,CT65,CX65,DB65,DF65,DJ65,DN65))+N(CHOOSE(DV65,CM65,CQ65,CU65,CY65,DC65,DG65,DK65,DO65))-MIN(N(CHOOSE(DV65,'Debt List'!$F$5,'Debt List'!$F$6,'Debt List'!$F$7,'Debt List'!$F$8,'Debt List'!$F$9,'Debt List'!$F$10,'Debt List'!$F$11,'Debt List'!$F$12)),N(CHOOSE(DV65,CL65,CP65,CT65,CX65,DB65,DF65,DJ65,DN65))+N(CHOOSE(DV65,CM65,CQ65,CU65,CY65,DC65,DG65,DK65,DO65))))),0))</f>
        <v/>
      </c>
      <c r="DX65">
        <f>MIN(N(DW65),MAX(0,N(DU65)))</f>
        <v/>
      </c>
      <c r="DY65">
        <f>MAX(0,N(DU65)-N(DX65))</f>
        <v/>
      </c>
      <c r="DZ65">
        <f>IFERROR(MATCH(3,OrderSnow,0),"")</f>
        <v/>
      </c>
      <c r="EA65">
        <f>IF(DZ65="",0,IFERROR(IF(N(CHOOSE(DZ65,CL65,CP65,CT65,CX65,DB65,DF65,DJ65,DN65))&lt;=0.005,0,MAX(0,N(CHOOSE(DZ65,CL65,CP65,CT65,CX65,DB65,DF65,DJ65,DN65))+N(CHOOSE(DZ65,CM65,CQ65,CU65,CY65,DC65,DG65,DK65,DO65))-MIN(N(CHOOSE(DZ65,'Debt List'!$F$5,'Debt List'!$F$6,'Debt List'!$F$7,'Debt List'!$F$8,'Debt List'!$F$9,'Debt List'!$F$10,'Debt List'!$F$11,'Debt List'!$F$12)),N(CHOOSE(DZ65,CL65,CP65,CT65,CX65,DB65,DF65,DJ65,DN65))+N(CHOOSE(DZ65,CM65,CQ65,CU65,CY65,DC65,DG65,DK65,DO65))))),0))</f>
        <v/>
      </c>
      <c r="EB65">
        <f>MIN(N(EA65),MAX(0,N(DY65)))</f>
        <v/>
      </c>
      <c r="EC65">
        <f>MAX(0,N(DY65)-N(EB65))</f>
        <v/>
      </c>
      <c r="ED65">
        <f>IFERROR(MATCH(4,OrderSnow,0),"")</f>
        <v/>
      </c>
      <c r="EE65">
        <f>IF(ED65="",0,IFERROR(IF(N(CHOOSE(ED65,CL65,CP65,CT65,CX65,DB65,DF65,DJ65,DN65))&lt;=0.005,0,MAX(0,N(CHOOSE(ED65,CL65,CP65,CT65,CX65,DB65,DF65,DJ65,DN65))+N(CHOOSE(ED65,CM65,CQ65,CU65,CY65,DC65,DG65,DK65,DO65))-MIN(N(CHOOSE(ED65,'Debt List'!$F$5,'Debt List'!$F$6,'Debt List'!$F$7,'Debt List'!$F$8,'Debt List'!$F$9,'Debt List'!$F$10,'Debt List'!$F$11,'Debt List'!$F$12)),N(CHOOSE(ED65,CL65,CP65,CT65,CX65,DB65,DF65,DJ65,DN65))+N(CHOOSE(ED65,CM65,CQ65,CU65,CY65,DC65,DG65,DK65,DO65))))),0))</f>
        <v/>
      </c>
      <c r="EF65">
        <f>MIN(N(EE65),MAX(0,N(EC65)))</f>
        <v/>
      </c>
      <c r="EG65">
        <f>MAX(0,N(EC65)-N(EF65))</f>
        <v/>
      </c>
      <c r="EH65">
        <f>IFERROR(MATCH(5,OrderSnow,0),"")</f>
        <v/>
      </c>
      <c r="EI65">
        <f>IF(EH65="",0,IFERROR(IF(N(CHOOSE(EH65,CL65,CP65,CT65,CX65,DB65,DF65,DJ65,DN65))&lt;=0.005,0,MAX(0,N(CHOOSE(EH65,CL65,CP65,CT65,CX65,DB65,DF65,DJ65,DN65))+N(CHOOSE(EH65,CM65,CQ65,CU65,CY65,DC65,DG65,DK65,DO65))-MIN(N(CHOOSE(EH65,'Debt List'!$F$5,'Debt List'!$F$6,'Debt List'!$F$7,'Debt List'!$F$8,'Debt List'!$F$9,'Debt List'!$F$10,'Debt List'!$F$11,'Debt List'!$F$12)),N(CHOOSE(EH65,CL65,CP65,CT65,CX65,DB65,DF65,DJ65,DN65))+N(CHOOSE(EH65,CM65,CQ65,CU65,CY65,DC65,DG65,DK65,DO65))))),0))</f>
        <v/>
      </c>
      <c r="EJ65">
        <f>MIN(N(EI65),MAX(0,N(EG65)))</f>
        <v/>
      </c>
      <c r="EK65">
        <f>MAX(0,N(EG65)-N(EJ65))</f>
        <v/>
      </c>
      <c r="EL65">
        <f>IFERROR(MATCH(6,OrderSnow,0),"")</f>
        <v/>
      </c>
      <c r="EM65">
        <f>IF(EL65="",0,IFERROR(IF(N(CHOOSE(EL65,CL65,CP65,CT65,CX65,DB65,DF65,DJ65,DN65))&lt;=0.005,0,MAX(0,N(CHOOSE(EL65,CL65,CP65,CT65,CX65,DB65,DF65,DJ65,DN65))+N(CHOOSE(EL65,CM65,CQ65,CU65,CY65,DC65,DG65,DK65,DO65))-MIN(N(CHOOSE(EL65,'Debt List'!$F$5,'Debt List'!$F$6,'Debt List'!$F$7,'Debt List'!$F$8,'Debt List'!$F$9,'Debt List'!$F$10,'Debt List'!$F$11,'Debt List'!$F$12)),N(CHOOSE(EL65,CL65,CP65,CT65,CX65,DB65,DF65,DJ65,DN65))+N(CHOOSE(EL65,CM65,CQ65,CU65,CY65,DC65,DG65,DK65,DO65))))),0))</f>
        <v/>
      </c>
      <c r="EN65">
        <f>MIN(N(EM65),MAX(0,N(EK65)))</f>
        <v/>
      </c>
      <c r="EO65">
        <f>MAX(0,N(EK65)-N(EN65))</f>
        <v/>
      </c>
      <c r="EP65">
        <f>IFERROR(MATCH(7,OrderSnow,0),"")</f>
        <v/>
      </c>
      <c r="EQ65">
        <f>IF(EP65="",0,IFERROR(IF(N(CHOOSE(EP65,CL65,CP65,CT65,CX65,DB65,DF65,DJ65,DN65))&lt;=0.005,0,MAX(0,N(CHOOSE(EP65,CL65,CP65,CT65,CX65,DB65,DF65,DJ65,DN65))+N(CHOOSE(EP65,CM65,CQ65,CU65,CY65,DC65,DG65,DK65,DO65))-MIN(N(CHOOSE(EP65,'Debt List'!$F$5,'Debt List'!$F$6,'Debt List'!$F$7,'Debt List'!$F$8,'Debt List'!$F$9,'Debt List'!$F$10,'Debt List'!$F$11,'Debt List'!$F$12)),N(CHOOSE(EP65,CL65,CP65,CT65,CX65,DB65,DF65,DJ65,DN65))+N(CHOOSE(EP65,CM65,CQ65,CU65,CY65,DC65,DG65,DK65,DO65))))),0))</f>
        <v/>
      </c>
      <c r="ER65">
        <f>MIN(N(EQ65),MAX(0,N(EO65)))</f>
        <v/>
      </c>
      <c r="ES65">
        <f>MAX(0,N(EO65)-N(ER65))</f>
        <v/>
      </c>
      <c r="ET65">
        <f>IFERROR(MATCH(8,OrderSnow,0),"")</f>
        <v/>
      </c>
      <c r="EU65">
        <f>IF(ET65="",0,IFERROR(IF(N(CHOOSE(ET65,CL65,CP65,CT65,CX65,DB65,DF65,DJ65,DN65))&lt;=0.005,0,MAX(0,N(CHOOSE(ET65,CL65,CP65,CT65,CX65,DB65,DF65,DJ65,DN65))+N(CHOOSE(ET65,CM65,CQ65,CU65,CY65,DC65,DG65,DK65,DO65))-MIN(N(CHOOSE(ET65,'Debt List'!$F$5,'Debt List'!$F$6,'Debt List'!$F$7,'Debt List'!$F$8,'Debt List'!$F$9,'Debt List'!$F$10,'Debt List'!$F$11,'Debt List'!$F$12)),N(CHOOSE(ET65,CL65,CP65,CT65,CX65,DB65,DF65,DJ65,DN65))+N(CHOOSE(ET65,CM65,CQ65,CU65,CY65,DC65,DG65,DK65,DO65))))),0))</f>
        <v/>
      </c>
      <c r="EV65">
        <f>MIN(N(EU65),MAX(0,N(ES65)))</f>
        <v/>
      </c>
      <c r="EW65">
        <f>MAX(0,N(ES65)-N(EV65))</f>
        <v/>
      </c>
      <c r="FE65" t="n">
        <v>61</v>
      </c>
      <c r="FF65" s="115">
        <f>DATE(YEAR(PlanStart),MONTH(PlanStart)+FE65-1,1)</f>
        <v/>
      </c>
      <c r="FG65">
        <f>IF(AND(GT65&lt;&gt;"",N(CHOOSE(GT65,FN65,FR65,FV65,FZ65,GD65,GH65,GL65,GP65))&gt;0.005),INDEX(DebtNames,GT65),IF(AND(GX65&lt;&gt;"",N(CHOOSE(GX65,FN65,FR65,FV65,FZ65,GD65,GH65,GL65,GP65))&gt;0.005),INDEX(DebtNames,GX65),IF(AND(HB65&lt;&gt;"",N(CHOOSE(HB65,FN65,FR65,FV65,FZ65,GD65,GH65,GL65,GP65))&gt;0.005),INDEX(DebtNames,HB65),IF(AND(HF65&lt;&gt;"",N(CHOOSE(HF65,FN65,FR65,FV65,FZ65,GD65,GH65,GL65,GP65))&gt;0.005),INDEX(DebtNames,HF65),IF(AND(HJ65&lt;&gt;"",N(CHOOSE(HJ65,FN65,FR65,FV65,FZ65,GD65,GH65,GL65,GP65))&gt;0.005),INDEX(DebtNames,HJ65),IF(AND(HN65&lt;&gt;"",N(CHOOSE(HN65,FN65,FR65,FV65,FZ65,GD65,GH65,GL65,GP65))&gt;0.005),INDEX(DebtNames,HN65),IF(AND(HR65&lt;&gt;"",N(CHOOSE(HR65,FN65,FR65,FV65,FZ65,GD65,GH65,GL65,GP65))&gt;0.005),INDEX(DebtNames,HR65),IF(AND(HV65&lt;&gt;"",N(CHOOSE(HV65,FN65,FR65,FV65,FZ65,GD65,GH65,GL65,GP65))&gt;0.005),INDEX(DebtNames,HV65),""))))))))</f>
        <v/>
      </c>
      <c r="FH65">
        <f>N(HY65)</f>
        <v/>
      </c>
      <c r="FI65">
        <f>N(FP65)+N(FT65)+N(FX65)+N(GB65)+N(GF65)+N(GJ65)+N(GN65)+N(GR65)</f>
        <v/>
      </c>
      <c r="FJ65">
        <f>N(FO65)+N(FS65)+N(FW65)+N(GA65)+N(GE65)+N(GI65)+N(GM65)+N(GQ65)</f>
        <v/>
      </c>
      <c r="FK65">
        <f>N(FK64)+N(FJ65)</f>
        <v/>
      </c>
      <c r="FL65">
        <f>N(FQ65)+N(FU65)+N(FY65)+N(GC65)+N(GG65)+N(GK65)+N(GO65)+N(GS65)</f>
        <v/>
      </c>
      <c r="FM65">
        <f>(FQ65&gt;0.005)*1+(FU65&gt;0.005)*1+(FY65&gt;0.005)*1+(GC65&gt;0.005)*1+(GG65&gt;0.005)*1+(GK65&gt;0.005)*1+(GO65&gt;0.005)*1+(GS65&gt;0.005)*1</f>
        <v/>
      </c>
      <c r="FN65">
        <f>N(FQ64)</f>
        <v/>
      </c>
      <c r="FO65">
        <f>IF(N(FN65)&lt;=0.005,0,ROUND(N(FN65)*N('Debt List'!E5)/12,2))</f>
        <v/>
      </c>
      <c r="FP65">
        <f>IF(N(FN65)&lt;=0.005,0,MIN(N('Debt List'!F5),N(FN65)+N(FO65)))+((GT65=1)*GV65+(GX65=1)*GZ65+(HB65=1)*HD65+(HF65=1)*HH65+(HJ65=1)*HL65+(HN65=1)*HP65+(HR65=1)*HT65+(HV65=1)*HX65)</f>
        <v/>
      </c>
      <c r="FQ65">
        <f>MAX(0,ROUND(N(FN65)+N(FO65)-N(FP65),2))</f>
        <v/>
      </c>
      <c r="FR65">
        <f>N(FU64)</f>
        <v/>
      </c>
      <c r="FS65">
        <f>IF(N(FR65)&lt;=0.005,0,ROUND(N(FR65)*N('Debt List'!E6)/12,2))</f>
        <v/>
      </c>
      <c r="FT65">
        <f>IF(N(FR65)&lt;=0.005,0,MIN(N('Debt List'!F6),N(FR65)+N(FS65)))+((GT65=2)*GV65+(GX65=2)*GZ65+(HB65=2)*HD65+(HF65=2)*HH65+(HJ65=2)*HL65+(HN65=2)*HP65+(HR65=2)*HT65+(HV65=2)*HX65)</f>
        <v/>
      </c>
      <c r="FU65">
        <f>MAX(0,ROUND(N(FR65)+N(FS65)-N(FT65),2))</f>
        <v/>
      </c>
      <c r="FV65">
        <f>N(FY64)</f>
        <v/>
      </c>
      <c r="FW65">
        <f>IF(N(FV65)&lt;=0.005,0,ROUND(N(FV65)*N('Debt List'!E7)/12,2))</f>
        <v/>
      </c>
      <c r="FX65">
        <f>IF(N(FV65)&lt;=0.005,0,MIN(N('Debt List'!F7),N(FV65)+N(FW65)))+((GT65=3)*GV65+(GX65=3)*GZ65+(HB65=3)*HD65+(HF65=3)*HH65+(HJ65=3)*HL65+(HN65=3)*HP65+(HR65=3)*HT65+(HV65=3)*HX65)</f>
        <v/>
      </c>
      <c r="FY65">
        <f>MAX(0,ROUND(N(FV65)+N(FW65)-N(FX65),2))</f>
        <v/>
      </c>
      <c r="FZ65">
        <f>N(GC64)</f>
        <v/>
      </c>
      <c r="GA65">
        <f>IF(N(FZ65)&lt;=0.005,0,ROUND(N(FZ65)*N('Debt List'!E8)/12,2))</f>
        <v/>
      </c>
      <c r="GB65">
        <f>IF(N(FZ65)&lt;=0.005,0,MIN(N('Debt List'!F8),N(FZ65)+N(GA65)))+((GT65=4)*GV65+(GX65=4)*GZ65+(HB65=4)*HD65+(HF65=4)*HH65+(HJ65=4)*HL65+(HN65=4)*HP65+(HR65=4)*HT65+(HV65=4)*HX65)</f>
        <v/>
      </c>
      <c r="GC65">
        <f>MAX(0,ROUND(N(FZ65)+N(GA65)-N(GB65),2))</f>
        <v/>
      </c>
      <c r="GD65">
        <f>N(GG64)</f>
        <v/>
      </c>
      <c r="GE65">
        <f>IF(N(GD65)&lt;=0.005,0,ROUND(N(GD65)*N('Debt List'!E9)/12,2))</f>
        <v/>
      </c>
      <c r="GF65">
        <f>IF(N(GD65)&lt;=0.005,0,MIN(N('Debt List'!F9),N(GD65)+N(GE65)))+((GT65=5)*GV65+(GX65=5)*GZ65+(HB65=5)*HD65+(HF65=5)*HH65+(HJ65=5)*HL65+(HN65=5)*HP65+(HR65=5)*HT65+(HV65=5)*HX65)</f>
        <v/>
      </c>
      <c r="GG65">
        <f>MAX(0,ROUND(N(GD65)+N(GE65)-N(GF65),2))</f>
        <v/>
      </c>
      <c r="GH65">
        <f>N(GK64)</f>
        <v/>
      </c>
      <c r="GI65">
        <f>IF(N(GH65)&lt;=0.005,0,ROUND(N(GH65)*N('Debt List'!E10)/12,2))</f>
        <v/>
      </c>
      <c r="GJ65">
        <f>IF(N(GH65)&lt;=0.005,0,MIN(N('Debt List'!F10),N(GH65)+N(GI65)))+((GT65=6)*GV65+(GX65=6)*GZ65+(HB65=6)*HD65+(HF65=6)*HH65+(HJ65=6)*HL65+(HN65=6)*HP65+(HR65=6)*HT65+(HV65=6)*HX65)</f>
        <v/>
      </c>
      <c r="GK65">
        <f>MAX(0,ROUND(N(GH65)+N(GI65)-N(GJ65),2))</f>
        <v/>
      </c>
      <c r="GL65">
        <f>N(GO64)</f>
        <v/>
      </c>
      <c r="GM65">
        <f>IF(N(GL65)&lt;=0.005,0,ROUND(N(GL65)*N('Debt List'!E11)/12,2))</f>
        <v/>
      </c>
      <c r="GN65">
        <f>IF(N(GL65)&lt;=0.005,0,MIN(N('Debt List'!F11),N(GL65)+N(GM65)))+((GT65=7)*GV65+(GX65=7)*GZ65+(HB65=7)*HD65+(HF65=7)*HH65+(HJ65=7)*HL65+(HN65=7)*HP65+(HR65=7)*HT65+(HV65=7)*HX65)</f>
        <v/>
      </c>
      <c r="GO65">
        <f>MAX(0,ROUND(N(GL65)+N(GM65)-N(GN65),2))</f>
        <v/>
      </c>
      <c r="GP65">
        <f>N(GS64)</f>
        <v/>
      </c>
      <c r="GQ65">
        <f>IF(N(GP65)&lt;=0.005,0,ROUND(N(GP65)*N('Debt List'!E12)/12,2))</f>
        <v/>
      </c>
      <c r="GR65">
        <f>IF(N(GP65)&lt;=0.005,0,MIN(N('Debt List'!F12),N(GP65)+N(GQ65)))+((GT65=8)*GV65+(GX65=8)*GZ65+(HB65=8)*HD65+(HF65=8)*HH65+(HJ65=8)*HL65+(HN65=8)*HP65+(HR65=8)*HT65+(HV65=8)*HX65)</f>
        <v/>
      </c>
      <c r="GS65">
        <f>MAX(0,ROUND(N(GP65)+N(GQ65)-N(GR65),2))</f>
        <v/>
      </c>
      <c r="GT65">
        <f>IFERROR(MATCH(1,OrderAval,0),"")</f>
        <v/>
      </c>
      <c r="GU65">
        <f>IF(GT65="",0,IFERROR(IF(N(CHOOSE(GT65,FN65,FR65,FV65,FZ65,GD65,GH65,GL65,GP65))&lt;=0.005,0,MAX(0,N(CHOOSE(GT65,FN65,FR65,FV65,FZ65,GD65,GH65,GL65,GP65))+N(CHOOSE(GT65,FO65,FS65,FW65,GA65,GE65,GI65,GM65,GQ65))-MIN(N(CHOOSE(GT65,'Debt List'!$F$5,'Debt List'!$F$6,'Debt List'!$F$7,'Debt List'!$F$8,'Debt List'!$F$9,'Debt List'!$F$10,'Debt List'!$F$11,'Debt List'!$F$12)),N(CHOOSE(GT65,FN65,FR65,FV65,FZ65,GD65,GH65,GL65,GP65))+N(CHOOSE(GT65,FO65,FS65,FW65,GA65,GE65,GI65,GM65,GQ65))))),0))</f>
        <v/>
      </c>
      <c r="GV65">
        <f>MIN(N(GU65),MAX(0,N(ExtraPayment)))</f>
        <v/>
      </c>
      <c r="GW65">
        <f>MAX(0,N(ExtraPayment)-N(GV65))</f>
        <v/>
      </c>
      <c r="GX65">
        <f>IFERROR(MATCH(2,OrderAval,0),"")</f>
        <v/>
      </c>
      <c r="GY65">
        <f>IF(GX65="",0,IFERROR(IF(N(CHOOSE(GX65,FN65,FR65,FV65,FZ65,GD65,GH65,GL65,GP65))&lt;=0.005,0,MAX(0,N(CHOOSE(GX65,FN65,FR65,FV65,FZ65,GD65,GH65,GL65,GP65))+N(CHOOSE(GX65,FO65,FS65,FW65,GA65,GE65,GI65,GM65,GQ65))-MIN(N(CHOOSE(GX65,'Debt List'!$F$5,'Debt List'!$F$6,'Debt List'!$F$7,'Debt List'!$F$8,'Debt List'!$F$9,'Debt List'!$F$10,'Debt List'!$F$11,'Debt List'!$F$12)),N(CHOOSE(GX65,FN65,FR65,FV65,FZ65,GD65,GH65,GL65,GP65))+N(CHOOSE(GX65,FO65,FS65,FW65,GA65,GE65,GI65,GM65,GQ65))))),0))</f>
        <v/>
      </c>
      <c r="GZ65">
        <f>MIN(N(GY65),MAX(0,N(GW65)))</f>
        <v/>
      </c>
      <c r="HA65">
        <f>MAX(0,N(GW65)-N(GZ65))</f>
        <v/>
      </c>
      <c r="HB65">
        <f>IFERROR(MATCH(3,OrderAval,0),"")</f>
        <v/>
      </c>
      <c r="HC65">
        <f>IF(HB65="",0,IFERROR(IF(N(CHOOSE(HB65,FN65,FR65,FV65,FZ65,GD65,GH65,GL65,GP65))&lt;=0.005,0,MAX(0,N(CHOOSE(HB65,FN65,FR65,FV65,FZ65,GD65,GH65,GL65,GP65))+N(CHOOSE(HB65,FO65,FS65,FW65,GA65,GE65,GI65,GM65,GQ65))-MIN(N(CHOOSE(HB65,'Debt List'!$F$5,'Debt List'!$F$6,'Debt List'!$F$7,'Debt List'!$F$8,'Debt List'!$F$9,'Debt List'!$F$10,'Debt List'!$F$11,'Debt List'!$F$12)),N(CHOOSE(HB65,FN65,FR65,FV65,FZ65,GD65,GH65,GL65,GP65))+N(CHOOSE(HB65,FO65,FS65,FW65,GA65,GE65,GI65,GM65,GQ65))))),0))</f>
        <v/>
      </c>
      <c r="HD65">
        <f>MIN(N(HC65),MAX(0,N(HA65)))</f>
        <v/>
      </c>
      <c r="HE65">
        <f>MAX(0,N(HA65)-N(HD65))</f>
        <v/>
      </c>
      <c r="HF65">
        <f>IFERROR(MATCH(4,OrderAval,0),"")</f>
        <v/>
      </c>
      <c r="HG65">
        <f>IF(HF65="",0,IFERROR(IF(N(CHOOSE(HF65,FN65,FR65,FV65,FZ65,GD65,GH65,GL65,GP65))&lt;=0.005,0,MAX(0,N(CHOOSE(HF65,FN65,FR65,FV65,FZ65,GD65,GH65,GL65,GP65))+N(CHOOSE(HF65,FO65,FS65,FW65,GA65,GE65,GI65,GM65,GQ65))-MIN(N(CHOOSE(HF65,'Debt List'!$F$5,'Debt List'!$F$6,'Debt List'!$F$7,'Debt List'!$F$8,'Debt List'!$F$9,'Debt List'!$F$10,'Debt List'!$F$11,'Debt List'!$F$12)),N(CHOOSE(HF65,FN65,FR65,FV65,FZ65,GD65,GH65,GL65,GP65))+N(CHOOSE(HF65,FO65,FS65,FW65,GA65,GE65,GI65,GM65,GQ65))))),0))</f>
        <v/>
      </c>
      <c r="HH65">
        <f>MIN(N(HG65),MAX(0,N(HE65)))</f>
        <v/>
      </c>
      <c r="HI65">
        <f>MAX(0,N(HE65)-N(HH65))</f>
        <v/>
      </c>
      <c r="HJ65">
        <f>IFERROR(MATCH(5,OrderAval,0),"")</f>
        <v/>
      </c>
      <c r="HK65">
        <f>IF(HJ65="",0,IFERROR(IF(N(CHOOSE(HJ65,FN65,FR65,FV65,FZ65,GD65,GH65,GL65,GP65))&lt;=0.005,0,MAX(0,N(CHOOSE(HJ65,FN65,FR65,FV65,FZ65,GD65,GH65,GL65,GP65))+N(CHOOSE(HJ65,FO65,FS65,FW65,GA65,GE65,GI65,GM65,GQ65))-MIN(N(CHOOSE(HJ65,'Debt List'!$F$5,'Debt List'!$F$6,'Debt List'!$F$7,'Debt List'!$F$8,'Debt List'!$F$9,'Debt List'!$F$10,'Debt List'!$F$11,'Debt List'!$F$12)),N(CHOOSE(HJ65,FN65,FR65,FV65,FZ65,GD65,GH65,GL65,GP65))+N(CHOOSE(HJ65,FO65,FS65,FW65,GA65,GE65,GI65,GM65,GQ65))))),0))</f>
        <v/>
      </c>
      <c r="HL65">
        <f>MIN(N(HK65),MAX(0,N(HI65)))</f>
        <v/>
      </c>
      <c r="HM65">
        <f>MAX(0,N(HI65)-N(HL65))</f>
        <v/>
      </c>
      <c r="HN65">
        <f>IFERROR(MATCH(6,OrderAval,0),"")</f>
        <v/>
      </c>
      <c r="HO65">
        <f>IF(HN65="",0,IFERROR(IF(N(CHOOSE(HN65,FN65,FR65,FV65,FZ65,GD65,GH65,GL65,GP65))&lt;=0.005,0,MAX(0,N(CHOOSE(HN65,FN65,FR65,FV65,FZ65,GD65,GH65,GL65,GP65))+N(CHOOSE(HN65,FO65,FS65,FW65,GA65,GE65,GI65,GM65,GQ65))-MIN(N(CHOOSE(HN65,'Debt List'!$F$5,'Debt List'!$F$6,'Debt List'!$F$7,'Debt List'!$F$8,'Debt List'!$F$9,'Debt List'!$F$10,'Debt List'!$F$11,'Debt List'!$F$12)),N(CHOOSE(HN65,FN65,FR65,FV65,FZ65,GD65,GH65,GL65,GP65))+N(CHOOSE(HN65,FO65,FS65,FW65,GA65,GE65,GI65,GM65,GQ65))))),0))</f>
        <v/>
      </c>
      <c r="HP65">
        <f>MIN(N(HO65),MAX(0,N(HM65)))</f>
        <v/>
      </c>
      <c r="HQ65">
        <f>MAX(0,N(HM65)-N(HP65))</f>
        <v/>
      </c>
      <c r="HR65">
        <f>IFERROR(MATCH(7,OrderAval,0),"")</f>
        <v/>
      </c>
      <c r="HS65">
        <f>IF(HR65="",0,IFERROR(IF(N(CHOOSE(HR65,FN65,FR65,FV65,FZ65,GD65,GH65,GL65,GP65))&lt;=0.005,0,MAX(0,N(CHOOSE(HR65,FN65,FR65,FV65,FZ65,GD65,GH65,GL65,GP65))+N(CHOOSE(HR65,FO65,FS65,FW65,GA65,GE65,GI65,GM65,GQ65))-MIN(N(CHOOSE(HR65,'Debt List'!$F$5,'Debt List'!$F$6,'Debt List'!$F$7,'Debt List'!$F$8,'Debt List'!$F$9,'Debt List'!$F$10,'Debt List'!$F$11,'Debt List'!$F$12)),N(CHOOSE(HR65,FN65,FR65,FV65,FZ65,GD65,GH65,GL65,GP65))+N(CHOOSE(HR65,FO65,FS65,FW65,GA65,GE65,GI65,GM65,GQ65))))),0))</f>
        <v/>
      </c>
      <c r="HT65">
        <f>MIN(N(HS65),MAX(0,N(HQ65)))</f>
        <v/>
      </c>
      <c r="HU65">
        <f>MAX(0,N(HQ65)-N(HT65))</f>
        <v/>
      </c>
      <c r="HV65">
        <f>IFERROR(MATCH(8,OrderAval,0),"")</f>
        <v/>
      </c>
      <c r="HW65">
        <f>IF(HV65="",0,IFERROR(IF(N(CHOOSE(HV65,FN65,FR65,FV65,FZ65,GD65,GH65,GL65,GP65))&lt;=0.005,0,MAX(0,N(CHOOSE(HV65,FN65,FR65,FV65,FZ65,GD65,GH65,GL65,GP65))+N(CHOOSE(HV65,FO65,FS65,FW65,GA65,GE65,GI65,GM65,GQ65))-MIN(N(CHOOSE(HV65,'Debt List'!$F$5,'Debt List'!$F$6,'Debt List'!$F$7,'Debt List'!$F$8,'Debt List'!$F$9,'Debt List'!$F$10,'Debt List'!$F$11,'Debt List'!$F$12)),N(CHOOSE(HV65,FN65,FR65,FV65,FZ65,GD65,GH65,GL65,GP65))+N(CHOOSE(HV65,FO65,FS65,FW65,GA65,GE65,GI65,GM65,GQ65))))),0))</f>
        <v/>
      </c>
      <c r="HX65">
        <f>MIN(N(HW65),MAX(0,N(HU65)))</f>
        <v/>
      </c>
      <c r="HY65">
        <f>MAX(0,N(HU65)-N(HX65))</f>
        <v/>
      </c>
    </row>
    <row r="66">
      <c r="A66" t="n">
        <v>62</v>
      </c>
      <c r="B66" s="115">
        <f>DATE(YEAR(PlanStart),MONTH(PlanStart)+A66-1,1)</f>
        <v/>
      </c>
      <c r="C66">
        <f>IF(AND(AP66&lt;&gt;"",N(CHOOSE(AP66,J66,N66,R66,V66,Z66,AD66,AH66,AL66))&gt;0.005),INDEX(DebtNames,AP66),IF(AND(AT66&lt;&gt;"",N(CHOOSE(AT66,J66,N66,R66,V66,Z66,AD66,AH66,AL66))&gt;0.005),INDEX(DebtNames,AT66),IF(AND(AX66&lt;&gt;"",N(CHOOSE(AX66,J66,N66,R66,V66,Z66,AD66,AH66,AL66))&gt;0.005),INDEX(DebtNames,AX66),IF(AND(BB66&lt;&gt;"",N(CHOOSE(BB66,J66,N66,R66,V66,Z66,AD66,AH66,AL66))&gt;0.005),INDEX(DebtNames,BB66),IF(AND(BF66&lt;&gt;"",N(CHOOSE(BF66,J66,N66,R66,V66,Z66,AD66,AH66,AL66))&gt;0.005),INDEX(DebtNames,BF66),IF(AND(BJ66&lt;&gt;"",N(CHOOSE(BJ66,J66,N66,R66,V66,Z66,AD66,AH66,AL66))&gt;0.005),INDEX(DebtNames,BJ66),IF(AND(BN66&lt;&gt;"",N(CHOOSE(BN66,J66,N66,R66,V66,Z66,AD66,AH66,AL66))&gt;0.005),INDEX(DebtNames,BN66),IF(AND(BR66&lt;&gt;"",N(CHOOSE(BR66,J66,N66,R66,V66,Z66,AD66,AH66,AL66))&gt;0.005),INDEX(DebtNames,BR66),""))))))))</f>
        <v/>
      </c>
      <c r="D66">
        <f>N(BU66)</f>
        <v/>
      </c>
      <c r="E66">
        <f>N(L66)+N(P66)+N(T66)+N(X66)+N(AB66)+N(AF66)+N(AJ66)+N(AN66)</f>
        <v/>
      </c>
      <c r="F66">
        <f>N(K66)+N(O66)+N(S66)+N(W66)+N(AA66)+N(AE66)+N(AI66)+N(AM66)</f>
        <v/>
      </c>
      <c r="G66">
        <f>N(G65)+N(F66)</f>
        <v/>
      </c>
      <c r="H66">
        <f>N(M66)+N(Q66)+N(U66)+N(Y66)+N(AC66)+N(AG66)+N(AK66)+N(AO66)</f>
        <v/>
      </c>
      <c r="I66">
        <f>(M66&gt;0.005)*1+(Q66&gt;0.005)*1+(U66&gt;0.005)*1+(Y66&gt;0.005)*1+(AC66&gt;0.005)*1+(AG66&gt;0.005)*1+(AK66&gt;0.005)*1+(AO66&gt;0.005)*1</f>
        <v/>
      </c>
      <c r="J66">
        <f>N(M65)</f>
        <v/>
      </c>
      <c r="K66">
        <f>IF(N(J66)&lt;=0.005,0,ROUND(N(J66)*N('Debt List'!E5)/12,2))</f>
        <v/>
      </c>
      <c r="L66">
        <f>IF(N(J66)&lt;=0.005,0,MIN(N('Debt List'!F5),N(J66)+N(K66)))+((AP66=1)*AR66+(AT66=1)*AV66+(AX66=1)*AZ66+(BB66=1)*BD66+(BF66=1)*BH66+(BJ66=1)*BL66+(BN66=1)*BP66+(BR66=1)*BT66)</f>
        <v/>
      </c>
      <c r="M66">
        <f>MAX(0,ROUND(N(J66)+N(K66)-N(L66),2))</f>
        <v/>
      </c>
      <c r="N66">
        <f>N(Q65)</f>
        <v/>
      </c>
      <c r="O66">
        <f>IF(N(N66)&lt;=0.005,0,ROUND(N(N66)*N('Debt List'!E6)/12,2))</f>
        <v/>
      </c>
      <c r="P66">
        <f>IF(N(N66)&lt;=0.005,0,MIN(N('Debt List'!F6),N(N66)+N(O66)))+((AP66=2)*AR66+(AT66=2)*AV66+(AX66=2)*AZ66+(BB66=2)*BD66+(BF66=2)*BH66+(BJ66=2)*BL66+(BN66=2)*BP66+(BR66=2)*BT66)</f>
        <v/>
      </c>
      <c r="Q66">
        <f>MAX(0,ROUND(N(N66)+N(O66)-N(P66),2))</f>
        <v/>
      </c>
      <c r="R66">
        <f>N(U65)</f>
        <v/>
      </c>
      <c r="S66">
        <f>IF(N(R66)&lt;=0.005,0,ROUND(N(R66)*N('Debt List'!E7)/12,2))</f>
        <v/>
      </c>
      <c r="T66">
        <f>IF(N(R66)&lt;=0.005,0,MIN(N('Debt List'!F7),N(R66)+N(S66)))+((AP66=3)*AR66+(AT66=3)*AV66+(AX66=3)*AZ66+(BB66=3)*BD66+(BF66=3)*BH66+(BJ66=3)*BL66+(BN66=3)*BP66+(BR66=3)*BT66)</f>
        <v/>
      </c>
      <c r="U66">
        <f>MAX(0,ROUND(N(R66)+N(S66)-N(T66),2))</f>
        <v/>
      </c>
      <c r="V66">
        <f>N(Y65)</f>
        <v/>
      </c>
      <c r="W66">
        <f>IF(N(V66)&lt;=0.005,0,ROUND(N(V66)*N('Debt List'!E8)/12,2))</f>
        <v/>
      </c>
      <c r="X66">
        <f>IF(N(V66)&lt;=0.005,0,MIN(N('Debt List'!F8),N(V66)+N(W66)))+((AP66=4)*AR66+(AT66=4)*AV66+(AX66=4)*AZ66+(BB66=4)*BD66+(BF66=4)*BH66+(BJ66=4)*BL66+(BN66=4)*BP66+(BR66=4)*BT66)</f>
        <v/>
      </c>
      <c r="Y66">
        <f>MAX(0,ROUND(N(V66)+N(W66)-N(X66),2))</f>
        <v/>
      </c>
      <c r="Z66">
        <f>N(AC65)</f>
        <v/>
      </c>
      <c r="AA66">
        <f>IF(N(Z66)&lt;=0.005,0,ROUND(N(Z66)*N('Debt List'!E9)/12,2))</f>
        <v/>
      </c>
      <c r="AB66">
        <f>IF(N(Z66)&lt;=0.005,0,MIN(N('Debt List'!F9),N(Z66)+N(AA66)))+((AP66=5)*AR66+(AT66=5)*AV66+(AX66=5)*AZ66+(BB66=5)*BD66+(BF66=5)*BH66+(BJ66=5)*BL66+(BN66=5)*BP66+(BR66=5)*BT66)</f>
        <v/>
      </c>
      <c r="AC66">
        <f>MAX(0,ROUND(N(Z66)+N(AA66)-N(AB66),2))</f>
        <v/>
      </c>
      <c r="AD66">
        <f>N(AG65)</f>
        <v/>
      </c>
      <c r="AE66">
        <f>IF(N(AD66)&lt;=0.005,0,ROUND(N(AD66)*N('Debt List'!E10)/12,2))</f>
        <v/>
      </c>
      <c r="AF66">
        <f>IF(N(AD66)&lt;=0.005,0,MIN(N('Debt List'!F10),N(AD66)+N(AE66)))+((AP66=6)*AR66+(AT66=6)*AV66+(AX66=6)*AZ66+(BB66=6)*BD66+(BF66=6)*BH66+(BJ66=6)*BL66+(BN66=6)*BP66+(BR66=6)*BT66)</f>
        <v/>
      </c>
      <c r="AG66">
        <f>MAX(0,ROUND(N(AD66)+N(AE66)-N(AF66),2))</f>
        <v/>
      </c>
      <c r="AH66">
        <f>N(AK65)</f>
        <v/>
      </c>
      <c r="AI66">
        <f>IF(N(AH66)&lt;=0.005,0,ROUND(N(AH66)*N('Debt List'!E11)/12,2))</f>
        <v/>
      </c>
      <c r="AJ66">
        <f>IF(N(AH66)&lt;=0.005,0,MIN(N('Debt List'!F11),N(AH66)+N(AI66)))+((AP66=7)*AR66+(AT66=7)*AV66+(AX66=7)*AZ66+(BB66=7)*BD66+(BF66=7)*BH66+(BJ66=7)*BL66+(BN66=7)*BP66+(BR66=7)*BT66)</f>
        <v/>
      </c>
      <c r="AK66">
        <f>MAX(0,ROUND(N(AH66)+N(AI66)-N(AJ66),2))</f>
        <v/>
      </c>
      <c r="AL66">
        <f>N(AO65)</f>
        <v/>
      </c>
      <c r="AM66">
        <f>IF(N(AL66)&lt;=0.005,0,ROUND(N(AL66)*N('Debt List'!E12)/12,2))</f>
        <v/>
      </c>
      <c r="AN66">
        <f>IF(N(AL66)&lt;=0.005,0,MIN(N('Debt List'!F12),N(AL66)+N(AM66)))+((AP66=8)*AR66+(AT66=8)*AV66+(AX66=8)*AZ66+(BB66=8)*BD66+(BF66=8)*BH66+(BJ66=8)*BL66+(BN66=8)*BP66+(BR66=8)*BT66)</f>
        <v/>
      </c>
      <c r="AO66">
        <f>MAX(0,ROUND(N(AL66)+N(AM66)-N(AN66),2))</f>
        <v/>
      </c>
      <c r="AP66">
        <f>IFERROR(MATCH(1,OrderPlan,0),"")</f>
        <v/>
      </c>
      <c r="AQ66">
        <f>IF(AP66="",0,IFERROR(IF(N(CHOOSE(AP66,J66,N66,R66,V66,Z66,AD66,AH66,AL66))&lt;=0.005,0,MAX(0,N(CHOOSE(AP66,J66,N66,R66,V66,Z66,AD66,AH66,AL66))+N(CHOOSE(AP66,K66,O66,S66,W66,AA66,AE66,AI66,AM66))-MIN(N(CHOOSE(AP66,'Debt List'!$F$5,'Debt List'!$F$6,'Debt List'!$F$7,'Debt List'!$F$8,'Debt List'!$F$9,'Debt List'!$F$10,'Debt List'!$F$11,'Debt List'!$F$12)),N(CHOOSE(AP66,J66,N66,R66,V66,Z66,AD66,AH66,AL66))+N(CHOOSE(AP66,K66,O66,S66,W66,AA66,AE66,AI66,AM66))))),0))</f>
        <v/>
      </c>
      <c r="AR66">
        <f>MIN(N(AQ66),MAX(0,N(ExtraPayment)))</f>
        <v/>
      </c>
      <c r="AS66">
        <f>MAX(0,N(ExtraPayment)-N(AR66))</f>
        <v/>
      </c>
      <c r="AT66">
        <f>IFERROR(MATCH(2,OrderPlan,0),"")</f>
        <v/>
      </c>
      <c r="AU66">
        <f>IF(AT66="",0,IFERROR(IF(N(CHOOSE(AT66,J66,N66,R66,V66,Z66,AD66,AH66,AL66))&lt;=0.005,0,MAX(0,N(CHOOSE(AT66,J66,N66,R66,V66,Z66,AD66,AH66,AL66))+N(CHOOSE(AT66,K66,O66,S66,W66,AA66,AE66,AI66,AM66))-MIN(N(CHOOSE(AT66,'Debt List'!$F$5,'Debt List'!$F$6,'Debt List'!$F$7,'Debt List'!$F$8,'Debt List'!$F$9,'Debt List'!$F$10,'Debt List'!$F$11,'Debt List'!$F$12)),N(CHOOSE(AT66,J66,N66,R66,V66,Z66,AD66,AH66,AL66))+N(CHOOSE(AT66,K66,O66,S66,W66,AA66,AE66,AI66,AM66))))),0))</f>
        <v/>
      </c>
      <c r="AV66">
        <f>MIN(N(AU66),MAX(0,N(AS66)))</f>
        <v/>
      </c>
      <c r="AW66">
        <f>MAX(0,N(AS66)-N(AV66))</f>
        <v/>
      </c>
      <c r="AX66">
        <f>IFERROR(MATCH(3,OrderPlan,0),"")</f>
        <v/>
      </c>
      <c r="AY66">
        <f>IF(AX66="",0,IFERROR(IF(N(CHOOSE(AX66,J66,N66,R66,V66,Z66,AD66,AH66,AL66))&lt;=0.005,0,MAX(0,N(CHOOSE(AX66,J66,N66,R66,V66,Z66,AD66,AH66,AL66))+N(CHOOSE(AX66,K66,O66,S66,W66,AA66,AE66,AI66,AM66))-MIN(N(CHOOSE(AX66,'Debt List'!$F$5,'Debt List'!$F$6,'Debt List'!$F$7,'Debt List'!$F$8,'Debt List'!$F$9,'Debt List'!$F$10,'Debt List'!$F$11,'Debt List'!$F$12)),N(CHOOSE(AX66,J66,N66,R66,V66,Z66,AD66,AH66,AL66))+N(CHOOSE(AX66,K66,O66,S66,W66,AA66,AE66,AI66,AM66))))),0))</f>
        <v/>
      </c>
      <c r="AZ66">
        <f>MIN(N(AY66),MAX(0,N(AW66)))</f>
        <v/>
      </c>
      <c r="BA66">
        <f>MAX(0,N(AW66)-N(AZ66))</f>
        <v/>
      </c>
      <c r="BB66">
        <f>IFERROR(MATCH(4,OrderPlan,0),"")</f>
        <v/>
      </c>
      <c r="BC66">
        <f>IF(BB66="",0,IFERROR(IF(N(CHOOSE(BB66,J66,N66,R66,V66,Z66,AD66,AH66,AL66))&lt;=0.005,0,MAX(0,N(CHOOSE(BB66,J66,N66,R66,V66,Z66,AD66,AH66,AL66))+N(CHOOSE(BB66,K66,O66,S66,W66,AA66,AE66,AI66,AM66))-MIN(N(CHOOSE(BB66,'Debt List'!$F$5,'Debt List'!$F$6,'Debt List'!$F$7,'Debt List'!$F$8,'Debt List'!$F$9,'Debt List'!$F$10,'Debt List'!$F$11,'Debt List'!$F$12)),N(CHOOSE(BB66,J66,N66,R66,V66,Z66,AD66,AH66,AL66))+N(CHOOSE(BB66,K66,O66,S66,W66,AA66,AE66,AI66,AM66))))),0))</f>
        <v/>
      </c>
      <c r="BD66">
        <f>MIN(N(BC66),MAX(0,N(BA66)))</f>
        <v/>
      </c>
      <c r="BE66">
        <f>MAX(0,N(BA66)-N(BD66))</f>
        <v/>
      </c>
      <c r="BF66">
        <f>IFERROR(MATCH(5,OrderPlan,0),"")</f>
        <v/>
      </c>
      <c r="BG66">
        <f>IF(BF66="",0,IFERROR(IF(N(CHOOSE(BF66,J66,N66,R66,V66,Z66,AD66,AH66,AL66))&lt;=0.005,0,MAX(0,N(CHOOSE(BF66,J66,N66,R66,V66,Z66,AD66,AH66,AL66))+N(CHOOSE(BF66,K66,O66,S66,W66,AA66,AE66,AI66,AM66))-MIN(N(CHOOSE(BF66,'Debt List'!$F$5,'Debt List'!$F$6,'Debt List'!$F$7,'Debt List'!$F$8,'Debt List'!$F$9,'Debt List'!$F$10,'Debt List'!$F$11,'Debt List'!$F$12)),N(CHOOSE(BF66,J66,N66,R66,V66,Z66,AD66,AH66,AL66))+N(CHOOSE(BF66,K66,O66,S66,W66,AA66,AE66,AI66,AM66))))),0))</f>
        <v/>
      </c>
      <c r="BH66">
        <f>MIN(N(BG66),MAX(0,N(BE66)))</f>
        <v/>
      </c>
      <c r="BI66">
        <f>MAX(0,N(BE66)-N(BH66))</f>
        <v/>
      </c>
      <c r="BJ66">
        <f>IFERROR(MATCH(6,OrderPlan,0),"")</f>
        <v/>
      </c>
      <c r="BK66">
        <f>IF(BJ66="",0,IFERROR(IF(N(CHOOSE(BJ66,J66,N66,R66,V66,Z66,AD66,AH66,AL66))&lt;=0.005,0,MAX(0,N(CHOOSE(BJ66,J66,N66,R66,V66,Z66,AD66,AH66,AL66))+N(CHOOSE(BJ66,K66,O66,S66,W66,AA66,AE66,AI66,AM66))-MIN(N(CHOOSE(BJ66,'Debt List'!$F$5,'Debt List'!$F$6,'Debt List'!$F$7,'Debt List'!$F$8,'Debt List'!$F$9,'Debt List'!$F$10,'Debt List'!$F$11,'Debt List'!$F$12)),N(CHOOSE(BJ66,J66,N66,R66,V66,Z66,AD66,AH66,AL66))+N(CHOOSE(BJ66,K66,O66,S66,W66,AA66,AE66,AI66,AM66))))),0))</f>
        <v/>
      </c>
      <c r="BL66">
        <f>MIN(N(BK66),MAX(0,N(BI66)))</f>
        <v/>
      </c>
      <c r="BM66">
        <f>MAX(0,N(BI66)-N(BL66))</f>
        <v/>
      </c>
      <c r="BN66">
        <f>IFERROR(MATCH(7,OrderPlan,0),"")</f>
        <v/>
      </c>
      <c r="BO66">
        <f>IF(BN66="",0,IFERROR(IF(N(CHOOSE(BN66,J66,N66,R66,V66,Z66,AD66,AH66,AL66))&lt;=0.005,0,MAX(0,N(CHOOSE(BN66,J66,N66,R66,V66,Z66,AD66,AH66,AL66))+N(CHOOSE(BN66,K66,O66,S66,W66,AA66,AE66,AI66,AM66))-MIN(N(CHOOSE(BN66,'Debt List'!$F$5,'Debt List'!$F$6,'Debt List'!$F$7,'Debt List'!$F$8,'Debt List'!$F$9,'Debt List'!$F$10,'Debt List'!$F$11,'Debt List'!$F$12)),N(CHOOSE(BN66,J66,N66,R66,V66,Z66,AD66,AH66,AL66))+N(CHOOSE(BN66,K66,O66,S66,W66,AA66,AE66,AI66,AM66))))),0))</f>
        <v/>
      </c>
      <c r="BP66">
        <f>MIN(N(BO66),MAX(0,N(BM66)))</f>
        <v/>
      </c>
      <c r="BQ66">
        <f>MAX(0,N(BM66)-N(BP66))</f>
        <v/>
      </c>
      <c r="BR66">
        <f>IFERROR(MATCH(8,OrderPlan,0),"")</f>
        <v/>
      </c>
      <c r="BS66">
        <f>IF(BR66="",0,IFERROR(IF(N(CHOOSE(BR66,J66,N66,R66,V66,Z66,AD66,AH66,AL66))&lt;=0.005,0,MAX(0,N(CHOOSE(BR66,J66,N66,R66,V66,Z66,AD66,AH66,AL66))+N(CHOOSE(BR66,K66,O66,S66,W66,AA66,AE66,AI66,AM66))-MIN(N(CHOOSE(BR66,'Debt List'!$F$5,'Debt List'!$F$6,'Debt List'!$F$7,'Debt List'!$F$8,'Debt List'!$F$9,'Debt List'!$F$10,'Debt List'!$F$11,'Debt List'!$F$12)),N(CHOOSE(BR66,J66,N66,R66,V66,Z66,AD66,AH66,AL66))+N(CHOOSE(BR66,K66,O66,S66,W66,AA66,AE66,AI66,AM66))))),0))</f>
        <v/>
      </c>
      <c r="BT66">
        <f>MIN(N(BS66),MAX(0,N(BQ66)))</f>
        <v/>
      </c>
      <c r="BU66">
        <f>MAX(0,N(BQ66)-N(BT66))</f>
        <v/>
      </c>
      <c r="CC66" t="n">
        <v>62</v>
      </c>
      <c r="CD66" s="115">
        <f>DATE(YEAR(PlanStart),MONTH(PlanStart)+CC66-1,1)</f>
        <v/>
      </c>
      <c r="CE66">
        <f>IF(AND(DR66&lt;&gt;"",N(CHOOSE(DR66,CL66,CP66,CT66,CX66,DB66,DF66,DJ66,DN66))&gt;0.005),INDEX(DebtNames,DR66),IF(AND(DV66&lt;&gt;"",N(CHOOSE(DV66,CL66,CP66,CT66,CX66,DB66,DF66,DJ66,DN66))&gt;0.005),INDEX(DebtNames,DV66),IF(AND(DZ66&lt;&gt;"",N(CHOOSE(DZ66,CL66,CP66,CT66,CX66,DB66,DF66,DJ66,DN66))&gt;0.005),INDEX(DebtNames,DZ66),IF(AND(ED66&lt;&gt;"",N(CHOOSE(ED66,CL66,CP66,CT66,CX66,DB66,DF66,DJ66,DN66))&gt;0.005),INDEX(DebtNames,ED66),IF(AND(EH66&lt;&gt;"",N(CHOOSE(EH66,CL66,CP66,CT66,CX66,DB66,DF66,DJ66,DN66))&gt;0.005),INDEX(DebtNames,EH66),IF(AND(EL66&lt;&gt;"",N(CHOOSE(EL66,CL66,CP66,CT66,CX66,DB66,DF66,DJ66,DN66))&gt;0.005),INDEX(DebtNames,EL66),IF(AND(EP66&lt;&gt;"",N(CHOOSE(EP66,CL66,CP66,CT66,CX66,DB66,DF66,DJ66,DN66))&gt;0.005),INDEX(DebtNames,EP66),IF(AND(ET66&lt;&gt;"",N(CHOOSE(ET66,CL66,CP66,CT66,CX66,DB66,DF66,DJ66,DN66))&gt;0.005),INDEX(DebtNames,ET66),""))))))))</f>
        <v/>
      </c>
      <c r="CF66">
        <f>N(EW66)</f>
        <v/>
      </c>
      <c r="CG66">
        <f>N(CN66)+N(CR66)+N(CV66)+N(CZ66)+N(DD66)+N(DH66)+N(DL66)+N(DP66)</f>
        <v/>
      </c>
      <c r="CH66">
        <f>N(CM66)+N(CQ66)+N(CU66)+N(CY66)+N(DC66)+N(DG66)+N(DK66)+N(DO66)</f>
        <v/>
      </c>
      <c r="CI66">
        <f>N(CI65)+N(CH66)</f>
        <v/>
      </c>
      <c r="CJ66">
        <f>N(CO66)+N(CS66)+N(CW66)+N(DA66)+N(DE66)+N(DI66)+N(DM66)+N(DQ66)</f>
        <v/>
      </c>
      <c r="CK66">
        <f>(CO66&gt;0.005)*1+(CS66&gt;0.005)*1+(CW66&gt;0.005)*1+(DA66&gt;0.005)*1+(DE66&gt;0.005)*1+(DI66&gt;0.005)*1+(DM66&gt;0.005)*1+(DQ66&gt;0.005)*1</f>
        <v/>
      </c>
      <c r="CL66">
        <f>N(CO65)</f>
        <v/>
      </c>
      <c r="CM66">
        <f>IF(N(CL66)&lt;=0.005,0,ROUND(N(CL66)*N('Debt List'!E5)/12,2))</f>
        <v/>
      </c>
      <c r="CN66">
        <f>IF(N(CL66)&lt;=0.005,0,MIN(N('Debt List'!F5),N(CL66)+N(CM66)))+((DR66=1)*DT66+(DV66=1)*DX66+(DZ66=1)*EB66+(ED66=1)*EF66+(EH66=1)*EJ66+(EL66=1)*EN66+(EP66=1)*ER66+(ET66=1)*EV66)</f>
        <v/>
      </c>
      <c r="CO66">
        <f>MAX(0,ROUND(N(CL66)+N(CM66)-N(CN66),2))</f>
        <v/>
      </c>
      <c r="CP66">
        <f>N(CS65)</f>
        <v/>
      </c>
      <c r="CQ66">
        <f>IF(N(CP66)&lt;=0.005,0,ROUND(N(CP66)*N('Debt List'!E6)/12,2))</f>
        <v/>
      </c>
      <c r="CR66">
        <f>IF(N(CP66)&lt;=0.005,0,MIN(N('Debt List'!F6),N(CP66)+N(CQ66)))+((DR66=2)*DT66+(DV66=2)*DX66+(DZ66=2)*EB66+(ED66=2)*EF66+(EH66=2)*EJ66+(EL66=2)*EN66+(EP66=2)*ER66+(ET66=2)*EV66)</f>
        <v/>
      </c>
      <c r="CS66">
        <f>MAX(0,ROUND(N(CP66)+N(CQ66)-N(CR66),2))</f>
        <v/>
      </c>
      <c r="CT66">
        <f>N(CW65)</f>
        <v/>
      </c>
      <c r="CU66">
        <f>IF(N(CT66)&lt;=0.005,0,ROUND(N(CT66)*N('Debt List'!E7)/12,2))</f>
        <v/>
      </c>
      <c r="CV66">
        <f>IF(N(CT66)&lt;=0.005,0,MIN(N('Debt List'!F7),N(CT66)+N(CU66)))+((DR66=3)*DT66+(DV66=3)*DX66+(DZ66=3)*EB66+(ED66=3)*EF66+(EH66=3)*EJ66+(EL66=3)*EN66+(EP66=3)*ER66+(ET66=3)*EV66)</f>
        <v/>
      </c>
      <c r="CW66">
        <f>MAX(0,ROUND(N(CT66)+N(CU66)-N(CV66),2))</f>
        <v/>
      </c>
      <c r="CX66">
        <f>N(DA65)</f>
        <v/>
      </c>
      <c r="CY66">
        <f>IF(N(CX66)&lt;=0.005,0,ROUND(N(CX66)*N('Debt List'!E8)/12,2))</f>
        <v/>
      </c>
      <c r="CZ66">
        <f>IF(N(CX66)&lt;=0.005,0,MIN(N('Debt List'!F8),N(CX66)+N(CY66)))+((DR66=4)*DT66+(DV66=4)*DX66+(DZ66=4)*EB66+(ED66=4)*EF66+(EH66=4)*EJ66+(EL66=4)*EN66+(EP66=4)*ER66+(ET66=4)*EV66)</f>
        <v/>
      </c>
      <c r="DA66">
        <f>MAX(0,ROUND(N(CX66)+N(CY66)-N(CZ66),2))</f>
        <v/>
      </c>
      <c r="DB66">
        <f>N(DE65)</f>
        <v/>
      </c>
      <c r="DC66">
        <f>IF(N(DB66)&lt;=0.005,0,ROUND(N(DB66)*N('Debt List'!E9)/12,2))</f>
        <v/>
      </c>
      <c r="DD66">
        <f>IF(N(DB66)&lt;=0.005,0,MIN(N('Debt List'!F9),N(DB66)+N(DC66)))+((DR66=5)*DT66+(DV66=5)*DX66+(DZ66=5)*EB66+(ED66=5)*EF66+(EH66=5)*EJ66+(EL66=5)*EN66+(EP66=5)*ER66+(ET66=5)*EV66)</f>
        <v/>
      </c>
      <c r="DE66">
        <f>MAX(0,ROUND(N(DB66)+N(DC66)-N(DD66),2))</f>
        <v/>
      </c>
      <c r="DF66">
        <f>N(DI65)</f>
        <v/>
      </c>
      <c r="DG66">
        <f>IF(N(DF66)&lt;=0.005,0,ROUND(N(DF66)*N('Debt List'!E10)/12,2))</f>
        <v/>
      </c>
      <c r="DH66">
        <f>IF(N(DF66)&lt;=0.005,0,MIN(N('Debt List'!F10),N(DF66)+N(DG66)))+((DR66=6)*DT66+(DV66=6)*DX66+(DZ66=6)*EB66+(ED66=6)*EF66+(EH66=6)*EJ66+(EL66=6)*EN66+(EP66=6)*ER66+(ET66=6)*EV66)</f>
        <v/>
      </c>
      <c r="DI66">
        <f>MAX(0,ROUND(N(DF66)+N(DG66)-N(DH66),2))</f>
        <v/>
      </c>
      <c r="DJ66">
        <f>N(DM65)</f>
        <v/>
      </c>
      <c r="DK66">
        <f>IF(N(DJ66)&lt;=0.005,0,ROUND(N(DJ66)*N('Debt List'!E11)/12,2))</f>
        <v/>
      </c>
      <c r="DL66">
        <f>IF(N(DJ66)&lt;=0.005,0,MIN(N('Debt List'!F11),N(DJ66)+N(DK66)))+((DR66=7)*DT66+(DV66=7)*DX66+(DZ66=7)*EB66+(ED66=7)*EF66+(EH66=7)*EJ66+(EL66=7)*EN66+(EP66=7)*ER66+(ET66=7)*EV66)</f>
        <v/>
      </c>
      <c r="DM66">
        <f>MAX(0,ROUND(N(DJ66)+N(DK66)-N(DL66),2))</f>
        <v/>
      </c>
      <c r="DN66">
        <f>N(DQ65)</f>
        <v/>
      </c>
      <c r="DO66">
        <f>IF(N(DN66)&lt;=0.005,0,ROUND(N(DN66)*N('Debt List'!E12)/12,2))</f>
        <v/>
      </c>
      <c r="DP66">
        <f>IF(N(DN66)&lt;=0.005,0,MIN(N('Debt List'!F12),N(DN66)+N(DO66)))+((DR66=8)*DT66+(DV66=8)*DX66+(DZ66=8)*EB66+(ED66=8)*EF66+(EH66=8)*EJ66+(EL66=8)*EN66+(EP66=8)*ER66+(ET66=8)*EV66)</f>
        <v/>
      </c>
      <c r="DQ66">
        <f>MAX(0,ROUND(N(DN66)+N(DO66)-N(DP66),2))</f>
        <v/>
      </c>
      <c r="DR66">
        <f>IFERROR(MATCH(1,OrderSnow,0),"")</f>
        <v/>
      </c>
      <c r="DS66">
        <f>IF(DR66="",0,IFERROR(IF(N(CHOOSE(DR66,CL66,CP66,CT66,CX66,DB66,DF66,DJ66,DN66))&lt;=0.005,0,MAX(0,N(CHOOSE(DR66,CL66,CP66,CT66,CX66,DB66,DF66,DJ66,DN66))+N(CHOOSE(DR66,CM66,CQ66,CU66,CY66,DC66,DG66,DK66,DO66))-MIN(N(CHOOSE(DR66,'Debt List'!$F$5,'Debt List'!$F$6,'Debt List'!$F$7,'Debt List'!$F$8,'Debt List'!$F$9,'Debt List'!$F$10,'Debt List'!$F$11,'Debt List'!$F$12)),N(CHOOSE(DR66,CL66,CP66,CT66,CX66,DB66,DF66,DJ66,DN66))+N(CHOOSE(DR66,CM66,CQ66,CU66,CY66,DC66,DG66,DK66,DO66))))),0))</f>
        <v/>
      </c>
      <c r="DT66">
        <f>MIN(N(DS66),MAX(0,N(ExtraPayment)))</f>
        <v/>
      </c>
      <c r="DU66">
        <f>MAX(0,N(ExtraPayment)-N(DT66))</f>
        <v/>
      </c>
      <c r="DV66">
        <f>IFERROR(MATCH(2,OrderSnow,0),"")</f>
        <v/>
      </c>
      <c r="DW66">
        <f>IF(DV66="",0,IFERROR(IF(N(CHOOSE(DV66,CL66,CP66,CT66,CX66,DB66,DF66,DJ66,DN66))&lt;=0.005,0,MAX(0,N(CHOOSE(DV66,CL66,CP66,CT66,CX66,DB66,DF66,DJ66,DN66))+N(CHOOSE(DV66,CM66,CQ66,CU66,CY66,DC66,DG66,DK66,DO66))-MIN(N(CHOOSE(DV66,'Debt List'!$F$5,'Debt List'!$F$6,'Debt List'!$F$7,'Debt List'!$F$8,'Debt List'!$F$9,'Debt List'!$F$10,'Debt List'!$F$11,'Debt List'!$F$12)),N(CHOOSE(DV66,CL66,CP66,CT66,CX66,DB66,DF66,DJ66,DN66))+N(CHOOSE(DV66,CM66,CQ66,CU66,CY66,DC66,DG66,DK66,DO66))))),0))</f>
        <v/>
      </c>
      <c r="DX66">
        <f>MIN(N(DW66),MAX(0,N(DU66)))</f>
        <v/>
      </c>
      <c r="DY66">
        <f>MAX(0,N(DU66)-N(DX66))</f>
        <v/>
      </c>
      <c r="DZ66">
        <f>IFERROR(MATCH(3,OrderSnow,0),"")</f>
        <v/>
      </c>
      <c r="EA66">
        <f>IF(DZ66="",0,IFERROR(IF(N(CHOOSE(DZ66,CL66,CP66,CT66,CX66,DB66,DF66,DJ66,DN66))&lt;=0.005,0,MAX(0,N(CHOOSE(DZ66,CL66,CP66,CT66,CX66,DB66,DF66,DJ66,DN66))+N(CHOOSE(DZ66,CM66,CQ66,CU66,CY66,DC66,DG66,DK66,DO66))-MIN(N(CHOOSE(DZ66,'Debt List'!$F$5,'Debt List'!$F$6,'Debt List'!$F$7,'Debt List'!$F$8,'Debt List'!$F$9,'Debt List'!$F$10,'Debt List'!$F$11,'Debt List'!$F$12)),N(CHOOSE(DZ66,CL66,CP66,CT66,CX66,DB66,DF66,DJ66,DN66))+N(CHOOSE(DZ66,CM66,CQ66,CU66,CY66,DC66,DG66,DK66,DO66))))),0))</f>
        <v/>
      </c>
      <c r="EB66">
        <f>MIN(N(EA66),MAX(0,N(DY66)))</f>
        <v/>
      </c>
      <c r="EC66">
        <f>MAX(0,N(DY66)-N(EB66))</f>
        <v/>
      </c>
      <c r="ED66">
        <f>IFERROR(MATCH(4,OrderSnow,0),"")</f>
        <v/>
      </c>
      <c r="EE66">
        <f>IF(ED66="",0,IFERROR(IF(N(CHOOSE(ED66,CL66,CP66,CT66,CX66,DB66,DF66,DJ66,DN66))&lt;=0.005,0,MAX(0,N(CHOOSE(ED66,CL66,CP66,CT66,CX66,DB66,DF66,DJ66,DN66))+N(CHOOSE(ED66,CM66,CQ66,CU66,CY66,DC66,DG66,DK66,DO66))-MIN(N(CHOOSE(ED66,'Debt List'!$F$5,'Debt List'!$F$6,'Debt List'!$F$7,'Debt List'!$F$8,'Debt List'!$F$9,'Debt List'!$F$10,'Debt List'!$F$11,'Debt List'!$F$12)),N(CHOOSE(ED66,CL66,CP66,CT66,CX66,DB66,DF66,DJ66,DN66))+N(CHOOSE(ED66,CM66,CQ66,CU66,CY66,DC66,DG66,DK66,DO66))))),0))</f>
        <v/>
      </c>
      <c r="EF66">
        <f>MIN(N(EE66),MAX(0,N(EC66)))</f>
        <v/>
      </c>
      <c r="EG66">
        <f>MAX(0,N(EC66)-N(EF66))</f>
        <v/>
      </c>
      <c r="EH66">
        <f>IFERROR(MATCH(5,OrderSnow,0),"")</f>
        <v/>
      </c>
      <c r="EI66">
        <f>IF(EH66="",0,IFERROR(IF(N(CHOOSE(EH66,CL66,CP66,CT66,CX66,DB66,DF66,DJ66,DN66))&lt;=0.005,0,MAX(0,N(CHOOSE(EH66,CL66,CP66,CT66,CX66,DB66,DF66,DJ66,DN66))+N(CHOOSE(EH66,CM66,CQ66,CU66,CY66,DC66,DG66,DK66,DO66))-MIN(N(CHOOSE(EH66,'Debt List'!$F$5,'Debt List'!$F$6,'Debt List'!$F$7,'Debt List'!$F$8,'Debt List'!$F$9,'Debt List'!$F$10,'Debt List'!$F$11,'Debt List'!$F$12)),N(CHOOSE(EH66,CL66,CP66,CT66,CX66,DB66,DF66,DJ66,DN66))+N(CHOOSE(EH66,CM66,CQ66,CU66,CY66,DC66,DG66,DK66,DO66))))),0))</f>
        <v/>
      </c>
      <c r="EJ66">
        <f>MIN(N(EI66),MAX(0,N(EG66)))</f>
        <v/>
      </c>
      <c r="EK66">
        <f>MAX(0,N(EG66)-N(EJ66))</f>
        <v/>
      </c>
      <c r="EL66">
        <f>IFERROR(MATCH(6,OrderSnow,0),"")</f>
        <v/>
      </c>
      <c r="EM66">
        <f>IF(EL66="",0,IFERROR(IF(N(CHOOSE(EL66,CL66,CP66,CT66,CX66,DB66,DF66,DJ66,DN66))&lt;=0.005,0,MAX(0,N(CHOOSE(EL66,CL66,CP66,CT66,CX66,DB66,DF66,DJ66,DN66))+N(CHOOSE(EL66,CM66,CQ66,CU66,CY66,DC66,DG66,DK66,DO66))-MIN(N(CHOOSE(EL66,'Debt List'!$F$5,'Debt List'!$F$6,'Debt List'!$F$7,'Debt List'!$F$8,'Debt List'!$F$9,'Debt List'!$F$10,'Debt List'!$F$11,'Debt List'!$F$12)),N(CHOOSE(EL66,CL66,CP66,CT66,CX66,DB66,DF66,DJ66,DN66))+N(CHOOSE(EL66,CM66,CQ66,CU66,CY66,DC66,DG66,DK66,DO66))))),0))</f>
        <v/>
      </c>
      <c r="EN66">
        <f>MIN(N(EM66),MAX(0,N(EK66)))</f>
        <v/>
      </c>
      <c r="EO66">
        <f>MAX(0,N(EK66)-N(EN66))</f>
        <v/>
      </c>
      <c r="EP66">
        <f>IFERROR(MATCH(7,OrderSnow,0),"")</f>
        <v/>
      </c>
      <c r="EQ66">
        <f>IF(EP66="",0,IFERROR(IF(N(CHOOSE(EP66,CL66,CP66,CT66,CX66,DB66,DF66,DJ66,DN66))&lt;=0.005,0,MAX(0,N(CHOOSE(EP66,CL66,CP66,CT66,CX66,DB66,DF66,DJ66,DN66))+N(CHOOSE(EP66,CM66,CQ66,CU66,CY66,DC66,DG66,DK66,DO66))-MIN(N(CHOOSE(EP66,'Debt List'!$F$5,'Debt List'!$F$6,'Debt List'!$F$7,'Debt List'!$F$8,'Debt List'!$F$9,'Debt List'!$F$10,'Debt List'!$F$11,'Debt List'!$F$12)),N(CHOOSE(EP66,CL66,CP66,CT66,CX66,DB66,DF66,DJ66,DN66))+N(CHOOSE(EP66,CM66,CQ66,CU66,CY66,DC66,DG66,DK66,DO66))))),0))</f>
        <v/>
      </c>
      <c r="ER66">
        <f>MIN(N(EQ66),MAX(0,N(EO66)))</f>
        <v/>
      </c>
      <c r="ES66">
        <f>MAX(0,N(EO66)-N(ER66))</f>
        <v/>
      </c>
      <c r="ET66">
        <f>IFERROR(MATCH(8,OrderSnow,0),"")</f>
        <v/>
      </c>
      <c r="EU66">
        <f>IF(ET66="",0,IFERROR(IF(N(CHOOSE(ET66,CL66,CP66,CT66,CX66,DB66,DF66,DJ66,DN66))&lt;=0.005,0,MAX(0,N(CHOOSE(ET66,CL66,CP66,CT66,CX66,DB66,DF66,DJ66,DN66))+N(CHOOSE(ET66,CM66,CQ66,CU66,CY66,DC66,DG66,DK66,DO66))-MIN(N(CHOOSE(ET66,'Debt List'!$F$5,'Debt List'!$F$6,'Debt List'!$F$7,'Debt List'!$F$8,'Debt List'!$F$9,'Debt List'!$F$10,'Debt List'!$F$11,'Debt List'!$F$12)),N(CHOOSE(ET66,CL66,CP66,CT66,CX66,DB66,DF66,DJ66,DN66))+N(CHOOSE(ET66,CM66,CQ66,CU66,CY66,DC66,DG66,DK66,DO66))))),0))</f>
        <v/>
      </c>
      <c r="EV66">
        <f>MIN(N(EU66),MAX(0,N(ES66)))</f>
        <v/>
      </c>
      <c r="EW66">
        <f>MAX(0,N(ES66)-N(EV66))</f>
        <v/>
      </c>
      <c r="FE66" t="n">
        <v>62</v>
      </c>
      <c r="FF66" s="115">
        <f>DATE(YEAR(PlanStart),MONTH(PlanStart)+FE66-1,1)</f>
        <v/>
      </c>
      <c r="FG66">
        <f>IF(AND(GT66&lt;&gt;"",N(CHOOSE(GT66,FN66,FR66,FV66,FZ66,GD66,GH66,GL66,GP66))&gt;0.005),INDEX(DebtNames,GT66),IF(AND(GX66&lt;&gt;"",N(CHOOSE(GX66,FN66,FR66,FV66,FZ66,GD66,GH66,GL66,GP66))&gt;0.005),INDEX(DebtNames,GX66),IF(AND(HB66&lt;&gt;"",N(CHOOSE(HB66,FN66,FR66,FV66,FZ66,GD66,GH66,GL66,GP66))&gt;0.005),INDEX(DebtNames,HB66),IF(AND(HF66&lt;&gt;"",N(CHOOSE(HF66,FN66,FR66,FV66,FZ66,GD66,GH66,GL66,GP66))&gt;0.005),INDEX(DebtNames,HF66),IF(AND(HJ66&lt;&gt;"",N(CHOOSE(HJ66,FN66,FR66,FV66,FZ66,GD66,GH66,GL66,GP66))&gt;0.005),INDEX(DebtNames,HJ66),IF(AND(HN66&lt;&gt;"",N(CHOOSE(HN66,FN66,FR66,FV66,FZ66,GD66,GH66,GL66,GP66))&gt;0.005),INDEX(DebtNames,HN66),IF(AND(HR66&lt;&gt;"",N(CHOOSE(HR66,FN66,FR66,FV66,FZ66,GD66,GH66,GL66,GP66))&gt;0.005),INDEX(DebtNames,HR66),IF(AND(HV66&lt;&gt;"",N(CHOOSE(HV66,FN66,FR66,FV66,FZ66,GD66,GH66,GL66,GP66))&gt;0.005),INDEX(DebtNames,HV66),""))))))))</f>
        <v/>
      </c>
      <c r="FH66">
        <f>N(HY66)</f>
        <v/>
      </c>
      <c r="FI66">
        <f>N(FP66)+N(FT66)+N(FX66)+N(GB66)+N(GF66)+N(GJ66)+N(GN66)+N(GR66)</f>
        <v/>
      </c>
      <c r="FJ66">
        <f>N(FO66)+N(FS66)+N(FW66)+N(GA66)+N(GE66)+N(GI66)+N(GM66)+N(GQ66)</f>
        <v/>
      </c>
      <c r="FK66">
        <f>N(FK65)+N(FJ66)</f>
        <v/>
      </c>
      <c r="FL66">
        <f>N(FQ66)+N(FU66)+N(FY66)+N(GC66)+N(GG66)+N(GK66)+N(GO66)+N(GS66)</f>
        <v/>
      </c>
      <c r="FM66">
        <f>(FQ66&gt;0.005)*1+(FU66&gt;0.005)*1+(FY66&gt;0.005)*1+(GC66&gt;0.005)*1+(GG66&gt;0.005)*1+(GK66&gt;0.005)*1+(GO66&gt;0.005)*1+(GS66&gt;0.005)*1</f>
        <v/>
      </c>
      <c r="FN66">
        <f>N(FQ65)</f>
        <v/>
      </c>
      <c r="FO66">
        <f>IF(N(FN66)&lt;=0.005,0,ROUND(N(FN66)*N('Debt List'!E5)/12,2))</f>
        <v/>
      </c>
      <c r="FP66">
        <f>IF(N(FN66)&lt;=0.005,0,MIN(N('Debt List'!F5),N(FN66)+N(FO66)))+((GT66=1)*GV66+(GX66=1)*GZ66+(HB66=1)*HD66+(HF66=1)*HH66+(HJ66=1)*HL66+(HN66=1)*HP66+(HR66=1)*HT66+(HV66=1)*HX66)</f>
        <v/>
      </c>
      <c r="FQ66">
        <f>MAX(0,ROUND(N(FN66)+N(FO66)-N(FP66),2))</f>
        <v/>
      </c>
      <c r="FR66">
        <f>N(FU65)</f>
        <v/>
      </c>
      <c r="FS66">
        <f>IF(N(FR66)&lt;=0.005,0,ROUND(N(FR66)*N('Debt List'!E6)/12,2))</f>
        <v/>
      </c>
      <c r="FT66">
        <f>IF(N(FR66)&lt;=0.005,0,MIN(N('Debt List'!F6),N(FR66)+N(FS66)))+((GT66=2)*GV66+(GX66=2)*GZ66+(HB66=2)*HD66+(HF66=2)*HH66+(HJ66=2)*HL66+(HN66=2)*HP66+(HR66=2)*HT66+(HV66=2)*HX66)</f>
        <v/>
      </c>
      <c r="FU66">
        <f>MAX(0,ROUND(N(FR66)+N(FS66)-N(FT66),2))</f>
        <v/>
      </c>
      <c r="FV66">
        <f>N(FY65)</f>
        <v/>
      </c>
      <c r="FW66">
        <f>IF(N(FV66)&lt;=0.005,0,ROUND(N(FV66)*N('Debt List'!E7)/12,2))</f>
        <v/>
      </c>
      <c r="FX66">
        <f>IF(N(FV66)&lt;=0.005,0,MIN(N('Debt List'!F7),N(FV66)+N(FW66)))+((GT66=3)*GV66+(GX66=3)*GZ66+(HB66=3)*HD66+(HF66=3)*HH66+(HJ66=3)*HL66+(HN66=3)*HP66+(HR66=3)*HT66+(HV66=3)*HX66)</f>
        <v/>
      </c>
      <c r="FY66">
        <f>MAX(0,ROUND(N(FV66)+N(FW66)-N(FX66),2))</f>
        <v/>
      </c>
      <c r="FZ66">
        <f>N(GC65)</f>
        <v/>
      </c>
      <c r="GA66">
        <f>IF(N(FZ66)&lt;=0.005,0,ROUND(N(FZ66)*N('Debt List'!E8)/12,2))</f>
        <v/>
      </c>
      <c r="GB66">
        <f>IF(N(FZ66)&lt;=0.005,0,MIN(N('Debt List'!F8),N(FZ66)+N(GA66)))+((GT66=4)*GV66+(GX66=4)*GZ66+(HB66=4)*HD66+(HF66=4)*HH66+(HJ66=4)*HL66+(HN66=4)*HP66+(HR66=4)*HT66+(HV66=4)*HX66)</f>
        <v/>
      </c>
      <c r="GC66">
        <f>MAX(0,ROUND(N(FZ66)+N(GA66)-N(GB66),2))</f>
        <v/>
      </c>
      <c r="GD66">
        <f>N(GG65)</f>
        <v/>
      </c>
      <c r="GE66">
        <f>IF(N(GD66)&lt;=0.005,0,ROUND(N(GD66)*N('Debt List'!E9)/12,2))</f>
        <v/>
      </c>
      <c r="GF66">
        <f>IF(N(GD66)&lt;=0.005,0,MIN(N('Debt List'!F9),N(GD66)+N(GE66)))+((GT66=5)*GV66+(GX66=5)*GZ66+(HB66=5)*HD66+(HF66=5)*HH66+(HJ66=5)*HL66+(HN66=5)*HP66+(HR66=5)*HT66+(HV66=5)*HX66)</f>
        <v/>
      </c>
      <c r="GG66">
        <f>MAX(0,ROUND(N(GD66)+N(GE66)-N(GF66),2))</f>
        <v/>
      </c>
      <c r="GH66">
        <f>N(GK65)</f>
        <v/>
      </c>
      <c r="GI66">
        <f>IF(N(GH66)&lt;=0.005,0,ROUND(N(GH66)*N('Debt List'!E10)/12,2))</f>
        <v/>
      </c>
      <c r="GJ66">
        <f>IF(N(GH66)&lt;=0.005,0,MIN(N('Debt List'!F10),N(GH66)+N(GI66)))+((GT66=6)*GV66+(GX66=6)*GZ66+(HB66=6)*HD66+(HF66=6)*HH66+(HJ66=6)*HL66+(HN66=6)*HP66+(HR66=6)*HT66+(HV66=6)*HX66)</f>
        <v/>
      </c>
      <c r="GK66">
        <f>MAX(0,ROUND(N(GH66)+N(GI66)-N(GJ66),2))</f>
        <v/>
      </c>
      <c r="GL66">
        <f>N(GO65)</f>
        <v/>
      </c>
      <c r="GM66">
        <f>IF(N(GL66)&lt;=0.005,0,ROUND(N(GL66)*N('Debt List'!E11)/12,2))</f>
        <v/>
      </c>
      <c r="GN66">
        <f>IF(N(GL66)&lt;=0.005,0,MIN(N('Debt List'!F11),N(GL66)+N(GM66)))+((GT66=7)*GV66+(GX66=7)*GZ66+(HB66=7)*HD66+(HF66=7)*HH66+(HJ66=7)*HL66+(HN66=7)*HP66+(HR66=7)*HT66+(HV66=7)*HX66)</f>
        <v/>
      </c>
      <c r="GO66">
        <f>MAX(0,ROUND(N(GL66)+N(GM66)-N(GN66),2))</f>
        <v/>
      </c>
      <c r="GP66">
        <f>N(GS65)</f>
        <v/>
      </c>
      <c r="GQ66">
        <f>IF(N(GP66)&lt;=0.005,0,ROUND(N(GP66)*N('Debt List'!E12)/12,2))</f>
        <v/>
      </c>
      <c r="GR66">
        <f>IF(N(GP66)&lt;=0.005,0,MIN(N('Debt List'!F12),N(GP66)+N(GQ66)))+((GT66=8)*GV66+(GX66=8)*GZ66+(HB66=8)*HD66+(HF66=8)*HH66+(HJ66=8)*HL66+(HN66=8)*HP66+(HR66=8)*HT66+(HV66=8)*HX66)</f>
        <v/>
      </c>
      <c r="GS66">
        <f>MAX(0,ROUND(N(GP66)+N(GQ66)-N(GR66),2))</f>
        <v/>
      </c>
      <c r="GT66">
        <f>IFERROR(MATCH(1,OrderAval,0),"")</f>
        <v/>
      </c>
      <c r="GU66">
        <f>IF(GT66="",0,IFERROR(IF(N(CHOOSE(GT66,FN66,FR66,FV66,FZ66,GD66,GH66,GL66,GP66))&lt;=0.005,0,MAX(0,N(CHOOSE(GT66,FN66,FR66,FV66,FZ66,GD66,GH66,GL66,GP66))+N(CHOOSE(GT66,FO66,FS66,FW66,GA66,GE66,GI66,GM66,GQ66))-MIN(N(CHOOSE(GT66,'Debt List'!$F$5,'Debt List'!$F$6,'Debt List'!$F$7,'Debt List'!$F$8,'Debt List'!$F$9,'Debt List'!$F$10,'Debt List'!$F$11,'Debt List'!$F$12)),N(CHOOSE(GT66,FN66,FR66,FV66,FZ66,GD66,GH66,GL66,GP66))+N(CHOOSE(GT66,FO66,FS66,FW66,GA66,GE66,GI66,GM66,GQ66))))),0))</f>
        <v/>
      </c>
      <c r="GV66">
        <f>MIN(N(GU66),MAX(0,N(ExtraPayment)))</f>
        <v/>
      </c>
      <c r="GW66">
        <f>MAX(0,N(ExtraPayment)-N(GV66))</f>
        <v/>
      </c>
      <c r="GX66">
        <f>IFERROR(MATCH(2,OrderAval,0),"")</f>
        <v/>
      </c>
      <c r="GY66">
        <f>IF(GX66="",0,IFERROR(IF(N(CHOOSE(GX66,FN66,FR66,FV66,FZ66,GD66,GH66,GL66,GP66))&lt;=0.005,0,MAX(0,N(CHOOSE(GX66,FN66,FR66,FV66,FZ66,GD66,GH66,GL66,GP66))+N(CHOOSE(GX66,FO66,FS66,FW66,GA66,GE66,GI66,GM66,GQ66))-MIN(N(CHOOSE(GX66,'Debt List'!$F$5,'Debt List'!$F$6,'Debt List'!$F$7,'Debt List'!$F$8,'Debt List'!$F$9,'Debt List'!$F$10,'Debt List'!$F$11,'Debt List'!$F$12)),N(CHOOSE(GX66,FN66,FR66,FV66,FZ66,GD66,GH66,GL66,GP66))+N(CHOOSE(GX66,FO66,FS66,FW66,GA66,GE66,GI66,GM66,GQ66))))),0))</f>
        <v/>
      </c>
      <c r="GZ66">
        <f>MIN(N(GY66),MAX(0,N(GW66)))</f>
        <v/>
      </c>
      <c r="HA66">
        <f>MAX(0,N(GW66)-N(GZ66))</f>
        <v/>
      </c>
      <c r="HB66">
        <f>IFERROR(MATCH(3,OrderAval,0),"")</f>
        <v/>
      </c>
      <c r="HC66">
        <f>IF(HB66="",0,IFERROR(IF(N(CHOOSE(HB66,FN66,FR66,FV66,FZ66,GD66,GH66,GL66,GP66))&lt;=0.005,0,MAX(0,N(CHOOSE(HB66,FN66,FR66,FV66,FZ66,GD66,GH66,GL66,GP66))+N(CHOOSE(HB66,FO66,FS66,FW66,GA66,GE66,GI66,GM66,GQ66))-MIN(N(CHOOSE(HB66,'Debt List'!$F$5,'Debt List'!$F$6,'Debt List'!$F$7,'Debt List'!$F$8,'Debt List'!$F$9,'Debt List'!$F$10,'Debt List'!$F$11,'Debt List'!$F$12)),N(CHOOSE(HB66,FN66,FR66,FV66,FZ66,GD66,GH66,GL66,GP66))+N(CHOOSE(HB66,FO66,FS66,FW66,GA66,GE66,GI66,GM66,GQ66))))),0))</f>
        <v/>
      </c>
      <c r="HD66">
        <f>MIN(N(HC66),MAX(0,N(HA66)))</f>
        <v/>
      </c>
      <c r="HE66">
        <f>MAX(0,N(HA66)-N(HD66))</f>
        <v/>
      </c>
      <c r="HF66">
        <f>IFERROR(MATCH(4,OrderAval,0),"")</f>
        <v/>
      </c>
      <c r="HG66">
        <f>IF(HF66="",0,IFERROR(IF(N(CHOOSE(HF66,FN66,FR66,FV66,FZ66,GD66,GH66,GL66,GP66))&lt;=0.005,0,MAX(0,N(CHOOSE(HF66,FN66,FR66,FV66,FZ66,GD66,GH66,GL66,GP66))+N(CHOOSE(HF66,FO66,FS66,FW66,GA66,GE66,GI66,GM66,GQ66))-MIN(N(CHOOSE(HF66,'Debt List'!$F$5,'Debt List'!$F$6,'Debt List'!$F$7,'Debt List'!$F$8,'Debt List'!$F$9,'Debt List'!$F$10,'Debt List'!$F$11,'Debt List'!$F$12)),N(CHOOSE(HF66,FN66,FR66,FV66,FZ66,GD66,GH66,GL66,GP66))+N(CHOOSE(HF66,FO66,FS66,FW66,GA66,GE66,GI66,GM66,GQ66))))),0))</f>
        <v/>
      </c>
      <c r="HH66">
        <f>MIN(N(HG66),MAX(0,N(HE66)))</f>
        <v/>
      </c>
      <c r="HI66">
        <f>MAX(0,N(HE66)-N(HH66))</f>
        <v/>
      </c>
      <c r="HJ66">
        <f>IFERROR(MATCH(5,OrderAval,0),"")</f>
        <v/>
      </c>
      <c r="HK66">
        <f>IF(HJ66="",0,IFERROR(IF(N(CHOOSE(HJ66,FN66,FR66,FV66,FZ66,GD66,GH66,GL66,GP66))&lt;=0.005,0,MAX(0,N(CHOOSE(HJ66,FN66,FR66,FV66,FZ66,GD66,GH66,GL66,GP66))+N(CHOOSE(HJ66,FO66,FS66,FW66,GA66,GE66,GI66,GM66,GQ66))-MIN(N(CHOOSE(HJ66,'Debt List'!$F$5,'Debt List'!$F$6,'Debt List'!$F$7,'Debt List'!$F$8,'Debt List'!$F$9,'Debt List'!$F$10,'Debt List'!$F$11,'Debt List'!$F$12)),N(CHOOSE(HJ66,FN66,FR66,FV66,FZ66,GD66,GH66,GL66,GP66))+N(CHOOSE(HJ66,FO66,FS66,FW66,GA66,GE66,GI66,GM66,GQ66))))),0))</f>
        <v/>
      </c>
      <c r="HL66">
        <f>MIN(N(HK66),MAX(0,N(HI66)))</f>
        <v/>
      </c>
      <c r="HM66">
        <f>MAX(0,N(HI66)-N(HL66))</f>
        <v/>
      </c>
      <c r="HN66">
        <f>IFERROR(MATCH(6,OrderAval,0),"")</f>
        <v/>
      </c>
      <c r="HO66">
        <f>IF(HN66="",0,IFERROR(IF(N(CHOOSE(HN66,FN66,FR66,FV66,FZ66,GD66,GH66,GL66,GP66))&lt;=0.005,0,MAX(0,N(CHOOSE(HN66,FN66,FR66,FV66,FZ66,GD66,GH66,GL66,GP66))+N(CHOOSE(HN66,FO66,FS66,FW66,GA66,GE66,GI66,GM66,GQ66))-MIN(N(CHOOSE(HN66,'Debt List'!$F$5,'Debt List'!$F$6,'Debt List'!$F$7,'Debt List'!$F$8,'Debt List'!$F$9,'Debt List'!$F$10,'Debt List'!$F$11,'Debt List'!$F$12)),N(CHOOSE(HN66,FN66,FR66,FV66,FZ66,GD66,GH66,GL66,GP66))+N(CHOOSE(HN66,FO66,FS66,FW66,GA66,GE66,GI66,GM66,GQ66))))),0))</f>
        <v/>
      </c>
      <c r="HP66">
        <f>MIN(N(HO66),MAX(0,N(HM66)))</f>
        <v/>
      </c>
      <c r="HQ66">
        <f>MAX(0,N(HM66)-N(HP66))</f>
        <v/>
      </c>
      <c r="HR66">
        <f>IFERROR(MATCH(7,OrderAval,0),"")</f>
        <v/>
      </c>
      <c r="HS66">
        <f>IF(HR66="",0,IFERROR(IF(N(CHOOSE(HR66,FN66,FR66,FV66,FZ66,GD66,GH66,GL66,GP66))&lt;=0.005,0,MAX(0,N(CHOOSE(HR66,FN66,FR66,FV66,FZ66,GD66,GH66,GL66,GP66))+N(CHOOSE(HR66,FO66,FS66,FW66,GA66,GE66,GI66,GM66,GQ66))-MIN(N(CHOOSE(HR66,'Debt List'!$F$5,'Debt List'!$F$6,'Debt List'!$F$7,'Debt List'!$F$8,'Debt List'!$F$9,'Debt List'!$F$10,'Debt List'!$F$11,'Debt List'!$F$12)),N(CHOOSE(HR66,FN66,FR66,FV66,FZ66,GD66,GH66,GL66,GP66))+N(CHOOSE(HR66,FO66,FS66,FW66,GA66,GE66,GI66,GM66,GQ66))))),0))</f>
        <v/>
      </c>
      <c r="HT66">
        <f>MIN(N(HS66),MAX(0,N(HQ66)))</f>
        <v/>
      </c>
      <c r="HU66">
        <f>MAX(0,N(HQ66)-N(HT66))</f>
        <v/>
      </c>
      <c r="HV66">
        <f>IFERROR(MATCH(8,OrderAval,0),"")</f>
        <v/>
      </c>
      <c r="HW66">
        <f>IF(HV66="",0,IFERROR(IF(N(CHOOSE(HV66,FN66,FR66,FV66,FZ66,GD66,GH66,GL66,GP66))&lt;=0.005,0,MAX(0,N(CHOOSE(HV66,FN66,FR66,FV66,FZ66,GD66,GH66,GL66,GP66))+N(CHOOSE(HV66,FO66,FS66,FW66,GA66,GE66,GI66,GM66,GQ66))-MIN(N(CHOOSE(HV66,'Debt List'!$F$5,'Debt List'!$F$6,'Debt List'!$F$7,'Debt List'!$F$8,'Debt List'!$F$9,'Debt List'!$F$10,'Debt List'!$F$11,'Debt List'!$F$12)),N(CHOOSE(HV66,FN66,FR66,FV66,FZ66,GD66,GH66,GL66,GP66))+N(CHOOSE(HV66,FO66,FS66,FW66,GA66,GE66,GI66,GM66,GQ66))))),0))</f>
        <v/>
      </c>
      <c r="HX66">
        <f>MIN(N(HW66),MAX(0,N(HU66)))</f>
        <v/>
      </c>
      <c r="HY66">
        <f>MAX(0,N(HU66)-N(HX66))</f>
        <v/>
      </c>
    </row>
    <row r="67">
      <c r="A67" t="n">
        <v>63</v>
      </c>
      <c r="B67" s="115">
        <f>DATE(YEAR(PlanStart),MONTH(PlanStart)+A67-1,1)</f>
        <v/>
      </c>
      <c r="C67">
        <f>IF(AND(AP67&lt;&gt;"",N(CHOOSE(AP67,J67,N67,R67,V67,Z67,AD67,AH67,AL67))&gt;0.005),INDEX(DebtNames,AP67),IF(AND(AT67&lt;&gt;"",N(CHOOSE(AT67,J67,N67,R67,V67,Z67,AD67,AH67,AL67))&gt;0.005),INDEX(DebtNames,AT67),IF(AND(AX67&lt;&gt;"",N(CHOOSE(AX67,J67,N67,R67,V67,Z67,AD67,AH67,AL67))&gt;0.005),INDEX(DebtNames,AX67),IF(AND(BB67&lt;&gt;"",N(CHOOSE(BB67,J67,N67,R67,V67,Z67,AD67,AH67,AL67))&gt;0.005),INDEX(DebtNames,BB67),IF(AND(BF67&lt;&gt;"",N(CHOOSE(BF67,J67,N67,R67,V67,Z67,AD67,AH67,AL67))&gt;0.005),INDEX(DebtNames,BF67),IF(AND(BJ67&lt;&gt;"",N(CHOOSE(BJ67,J67,N67,R67,V67,Z67,AD67,AH67,AL67))&gt;0.005),INDEX(DebtNames,BJ67),IF(AND(BN67&lt;&gt;"",N(CHOOSE(BN67,J67,N67,R67,V67,Z67,AD67,AH67,AL67))&gt;0.005),INDEX(DebtNames,BN67),IF(AND(BR67&lt;&gt;"",N(CHOOSE(BR67,J67,N67,R67,V67,Z67,AD67,AH67,AL67))&gt;0.005),INDEX(DebtNames,BR67),""))))))))</f>
        <v/>
      </c>
      <c r="D67">
        <f>N(BU67)</f>
        <v/>
      </c>
      <c r="E67">
        <f>N(L67)+N(P67)+N(T67)+N(X67)+N(AB67)+N(AF67)+N(AJ67)+N(AN67)</f>
        <v/>
      </c>
      <c r="F67">
        <f>N(K67)+N(O67)+N(S67)+N(W67)+N(AA67)+N(AE67)+N(AI67)+N(AM67)</f>
        <v/>
      </c>
      <c r="G67">
        <f>N(G66)+N(F67)</f>
        <v/>
      </c>
      <c r="H67">
        <f>N(M67)+N(Q67)+N(U67)+N(Y67)+N(AC67)+N(AG67)+N(AK67)+N(AO67)</f>
        <v/>
      </c>
      <c r="I67">
        <f>(M67&gt;0.005)*1+(Q67&gt;0.005)*1+(U67&gt;0.005)*1+(Y67&gt;0.005)*1+(AC67&gt;0.005)*1+(AG67&gt;0.005)*1+(AK67&gt;0.005)*1+(AO67&gt;0.005)*1</f>
        <v/>
      </c>
      <c r="J67">
        <f>N(M66)</f>
        <v/>
      </c>
      <c r="K67">
        <f>IF(N(J67)&lt;=0.005,0,ROUND(N(J67)*N('Debt List'!E5)/12,2))</f>
        <v/>
      </c>
      <c r="L67">
        <f>IF(N(J67)&lt;=0.005,0,MIN(N('Debt List'!F5),N(J67)+N(K67)))+((AP67=1)*AR67+(AT67=1)*AV67+(AX67=1)*AZ67+(BB67=1)*BD67+(BF67=1)*BH67+(BJ67=1)*BL67+(BN67=1)*BP67+(BR67=1)*BT67)</f>
        <v/>
      </c>
      <c r="M67">
        <f>MAX(0,ROUND(N(J67)+N(K67)-N(L67),2))</f>
        <v/>
      </c>
      <c r="N67">
        <f>N(Q66)</f>
        <v/>
      </c>
      <c r="O67">
        <f>IF(N(N67)&lt;=0.005,0,ROUND(N(N67)*N('Debt List'!E6)/12,2))</f>
        <v/>
      </c>
      <c r="P67">
        <f>IF(N(N67)&lt;=0.005,0,MIN(N('Debt List'!F6),N(N67)+N(O67)))+((AP67=2)*AR67+(AT67=2)*AV67+(AX67=2)*AZ67+(BB67=2)*BD67+(BF67=2)*BH67+(BJ67=2)*BL67+(BN67=2)*BP67+(BR67=2)*BT67)</f>
        <v/>
      </c>
      <c r="Q67">
        <f>MAX(0,ROUND(N(N67)+N(O67)-N(P67),2))</f>
        <v/>
      </c>
      <c r="R67">
        <f>N(U66)</f>
        <v/>
      </c>
      <c r="S67">
        <f>IF(N(R67)&lt;=0.005,0,ROUND(N(R67)*N('Debt List'!E7)/12,2))</f>
        <v/>
      </c>
      <c r="T67">
        <f>IF(N(R67)&lt;=0.005,0,MIN(N('Debt List'!F7),N(R67)+N(S67)))+((AP67=3)*AR67+(AT67=3)*AV67+(AX67=3)*AZ67+(BB67=3)*BD67+(BF67=3)*BH67+(BJ67=3)*BL67+(BN67=3)*BP67+(BR67=3)*BT67)</f>
        <v/>
      </c>
      <c r="U67">
        <f>MAX(0,ROUND(N(R67)+N(S67)-N(T67),2))</f>
        <v/>
      </c>
      <c r="V67">
        <f>N(Y66)</f>
        <v/>
      </c>
      <c r="W67">
        <f>IF(N(V67)&lt;=0.005,0,ROUND(N(V67)*N('Debt List'!E8)/12,2))</f>
        <v/>
      </c>
      <c r="X67">
        <f>IF(N(V67)&lt;=0.005,0,MIN(N('Debt List'!F8),N(V67)+N(W67)))+((AP67=4)*AR67+(AT67=4)*AV67+(AX67=4)*AZ67+(BB67=4)*BD67+(BF67=4)*BH67+(BJ67=4)*BL67+(BN67=4)*BP67+(BR67=4)*BT67)</f>
        <v/>
      </c>
      <c r="Y67">
        <f>MAX(0,ROUND(N(V67)+N(W67)-N(X67),2))</f>
        <v/>
      </c>
      <c r="Z67">
        <f>N(AC66)</f>
        <v/>
      </c>
      <c r="AA67">
        <f>IF(N(Z67)&lt;=0.005,0,ROUND(N(Z67)*N('Debt List'!E9)/12,2))</f>
        <v/>
      </c>
      <c r="AB67">
        <f>IF(N(Z67)&lt;=0.005,0,MIN(N('Debt List'!F9),N(Z67)+N(AA67)))+((AP67=5)*AR67+(AT67=5)*AV67+(AX67=5)*AZ67+(BB67=5)*BD67+(BF67=5)*BH67+(BJ67=5)*BL67+(BN67=5)*BP67+(BR67=5)*BT67)</f>
        <v/>
      </c>
      <c r="AC67">
        <f>MAX(0,ROUND(N(Z67)+N(AA67)-N(AB67),2))</f>
        <v/>
      </c>
      <c r="AD67">
        <f>N(AG66)</f>
        <v/>
      </c>
      <c r="AE67">
        <f>IF(N(AD67)&lt;=0.005,0,ROUND(N(AD67)*N('Debt List'!E10)/12,2))</f>
        <v/>
      </c>
      <c r="AF67">
        <f>IF(N(AD67)&lt;=0.005,0,MIN(N('Debt List'!F10),N(AD67)+N(AE67)))+((AP67=6)*AR67+(AT67=6)*AV67+(AX67=6)*AZ67+(BB67=6)*BD67+(BF67=6)*BH67+(BJ67=6)*BL67+(BN67=6)*BP67+(BR67=6)*BT67)</f>
        <v/>
      </c>
      <c r="AG67">
        <f>MAX(0,ROUND(N(AD67)+N(AE67)-N(AF67),2))</f>
        <v/>
      </c>
      <c r="AH67">
        <f>N(AK66)</f>
        <v/>
      </c>
      <c r="AI67">
        <f>IF(N(AH67)&lt;=0.005,0,ROUND(N(AH67)*N('Debt List'!E11)/12,2))</f>
        <v/>
      </c>
      <c r="AJ67">
        <f>IF(N(AH67)&lt;=0.005,0,MIN(N('Debt List'!F11),N(AH67)+N(AI67)))+((AP67=7)*AR67+(AT67=7)*AV67+(AX67=7)*AZ67+(BB67=7)*BD67+(BF67=7)*BH67+(BJ67=7)*BL67+(BN67=7)*BP67+(BR67=7)*BT67)</f>
        <v/>
      </c>
      <c r="AK67">
        <f>MAX(0,ROUND(N(AH67)+N(AI67)-N(AJ67),2))</f>
        <v/>
      </c>
      <c r="AL67">
        <f>N(AO66)</f>
        <v/>
      </c>
      <c r="AM67">
        <f>IF(N(AL67)&lt;=0.005,0,ROUND(N(AL67)*N('Debt List'!E12)/12,2))</f>
        <v/>
      </c>
      <c r="AN67">
        <f>IF(N(AL67)&lt;=0.005,0,MIN(N('Debt List'!F12),N(AL67)+N(AM67)))+((AP67=8)*AR67+(AT67=8)*AV67+(AX67=8)*AZ67+(BB67=8)*BD67+(BF67=8)*BH67+(BJ67=8)*BL67+(BN67=8)*BP67+(BR67=8)*BT67)</f>
        <v/>
      </c>
      <c r="AO67">
        <f>MAX(0,ROUND(N(AL67)+N(AM67)-N(AN67),2))</f>
        <v/>
      </c>
      <c r="AP67">
        <f>IFERROR(MATCH(1,OrderPlan,0),"")</f>
        <v/>
      </c>
      <c r="AQ67">
        <f>IF(AP67="",0,IFERROR(IF(N(CHOOSE(AP67,J67,N67,R67,V67,Z67,AD67,AH67,AL67))&lt;=0.005,0,MAX(0,N(CHOOSE(AP67,J67,N67,R67,V67,Z67,AD67,AH67,AL67))+N(CHOOSE(AP67,K67,O67,S67,W67,AA67,AE67,AI67,AM67))-MIN(N(CHOOSE(AP67,'Debt List'!$F$5,'Debt List'!$F$6,'Debt List'!$F$7,'Debt List'!$F$8,'Debt List'!$F$9,'Debt List'!$F$10,'Debt List'!$F$11,'Debt List'!$F$12)),N(CHOOSE(AP67,J67,N67,R67,V67,Z67,AD67,AH67,AL67))+N(CHOOSE(AP67,K67,O67,S67,W67,AA67,AE67,AI67,AM67))))),0))</f>
        <v/>
      </c>
      <c r="AR67">
        <f>MIN(N(AQ67),MAX(0,N(ExtraPayment)))</f>
        <v/>
      </c>
      <c r="AS67">
        <f>MAX(0,N(ExtraPayment)-N(AR67))</f>
        <v/>
      </c>
      <c r="AT67">
        <f>IFERROR(MATCH(2,OrderPlan,0),"")</f>
        <v/>
      </c>
      <c r="AU67">
        <f>IF(AT67="",0,IFERROR(IF(N(CHOOSE(AT67,J67,N67,R67,V67,Z67,AD67,AH67,AL67))&lt;=0.005,0,MAX(0,N(CHOOSE(AT67,J67,N67,R67,V67,Z67,AD67,AH67,AL67))+N(CHOOSE(AT67,K67,O67,S67,W67,AA67,AE67,AI67,AM67))-MIN(N(CHOOSE(AT67,'Debt List'!$F$5,'Debt List'!$F$6,'Debt List'!$F$7,'Debt List'!$F$8,'Debt List'!$F$9,'Debt List'!$F$10,'Debt List'!$F$11,'Debt List'!$F$12)),N(CHOOSE(AT67,J67,N67,R67,V67,Z67,AD67,AH67,AL67))+N(CHOOSE(AT67,K67,O67,S67,W67,AA67,AE67,AI67,AM67))))),0))</f>
        <v/>
      </c>
      <c r="AV67">
        <f>MIN(N(AU67),MAX(0,N(AS67)))</f>
        <v/>
      </c>
      <c r="AW67">
        <f>MAX(0,N(AS67)-N(AV67))</f>
        <v/>
      </c>
      <c r="AX67">
        <f>IFERROR(MATCH(3,OrderPlan,0),"")</f>
        <v/>
      </c>
      <c r="AY67">
        <f>IF(AX67="",0,IFERROR(IF(N(CHOOSE(AX67,J67,N67,R67,V67,Z67,AD67,AH67,AL67))&lt;=0.005,0,MAX(0,N(CHOOSE(AX67,J67,N67,R67,V67,Z67,AD67,AH67,AL67))+N(CHOOSE(AX67,K67,O67,S67,W67,AA67,AE67,AI67,AM67))-MIN(N(CHOOSE(AX67,'Debt List'!$F$5,'Debt List'!$F$6,'Debt List'!$F$7,'Debt List'!$F$8,'Debt List'!$F$9,'Debt List'!$F$10,'Debt List'!$F$11,'Debt List'!$F$12)),N(CHOOSE(AX67,J67,N67,R67,V67,Z67,AD67,AH67,AL67))+N(CHOOSE(AX67,K67,O67,S67,W67,AA67,AE67,AI67,AM67))))),0))</f>
        <v/>
      </c>
      <c r="AZ67">
        <f>MIN(N(AY67),MAX(0,N(AW67)))</f>
        <v/>
      </c>
      <c r="BA67">
        <f>MAX(0,N(AW67)-N(AZ67))</f>
        <v/>
      </c>
      <c r="BB67">
        <f>IFERROR(MATCH(4,OrderPlan,0),"")</f>
        <v/>
      </c>
      <c r="BC67">
        <f>IF(BB67="",0,IFERROR(IF(N(CHOOSE(BB67,J67,N67,R67,V67,Z67,AD67,AH67,AL67))&lt;=0.005,0,MAX(0,N(CHOOSE(BB67,J67,N67,R67,V67,Z67,AD67,AH67,AL67))+N(CHOOSE(BB67,K67,O67,S67,W67,AA67,AE67,AI67,AM67))-MIN(N(CHOOSE(BB67,'Debt List'!$F$5,'Debt List'!$F$6,'Debt List'!$F$7,'Debt List'!$F$8,'Debt List'!$F$9,'Debt List'!$F$10,'Debt List'!$F$11,'Debt List'!$F$12)),N(CHOOSE(BB67,J67,N67,R67,V67,Z67,AD67,AH67,AL67))+N(CHOOSE(BB67,K67,O67,S67,W67,AA67,AE67,AI67,AM67))))),0))</f>
        <v/>
      </c>
      <c r="BD67">
        <f>MIN(N(BC67),MAX(0,N(BA67)))</f>
        <v/>
      </c>
      <c r="BE67">
        <f>MAX(0,N(BA67)-N(BD67))</f>
        <v/>
      </c>
      <c r="BF67">
        <f>IFERROR(MATCH(5,OrderPlan,0),"")</f>
        <v/>
      </c>
      <c r="BG67">
        <f>IF(BF67="",0,IFERROR(IF(N(CHOOSE(BF67,J67,N67,R67,V67,Z67,AD67,AH67,AL67))&lt;=0.005,0,MAX(0,N(CHOOSE(BF67,J67,N67,R67,V67,Z67,AD67,AH67,AL67))+N(CHOOSE(BF67,K67,O67,S67,W67,AA67,AE67,AI67,AM67))-MIN(N(CHOOSE(BF67,'Debt List'!$F$5,'Debt List'!$F$6,'Debt List'!$F$7,'Debt List'!$F$8,'Debt List'!$F$9,'Debt List'!$F$10,'Debt List'!$F$11,'Debt List'!$F$12)),N(CHOOSE(BF67,J67,N67,R67,V67,Z67,AD67,AH67,AL67))+N(CHOOSE(BF67,K67,O67,S67,W67,AA67,AE67,AI67,AM67))))),0))</f>
        <v/>
      </c>
      <c r="BH67">
        <f>MIN(N(BG67),MAX(0,N(BE67)))</f>
        <v/>
      </c>
      <c r="BI67">
        <f>MAX(0,N(BE67)-N(BH67))</f>
        <v/>
      </c>
      <c r="BJ67">
        <f>IFERROR(MATCH(6,OrderPlan,0),"")</f>
        <v/>
      </c>
      <c r="BK67">
        <f>IF(BJ67="",0,IFERROR(IF(N(CHOOSE(BJ67,J67,N67,R67,V67,Z67,AD67,AH67,AL67))&lt;=0.005,0,MAX(0,N(CHOOSE(BJ67,J67,N67,R67,V67,Z67,AD67,AH67,AL67))+N(CHOOSE(BJ67,K67,O67,S67,W67,AA67,AE67,AI67,AM67))-MIN(N(CHOOSE(BJ67,'Debt List'!$F$5,'Debt List'!$F$6,'Debt List'!$F$7,'Debt List'!$F$8,'Debt List'!$F$9,'Debt List'!$F$10,'Debt List'!$F$11,'Debt List'!$F$12)),N(CHOOSE(BJ67,J67,N67,R67,V67,Z67,AD67,AH67,AL67))+N(CHOOSE(BJ67,K67,O67,S67,W67,AA67,AE67,AI67,AM67))))),0))</f>
        <v/>
      </c>
      <c r="BL67">
        <f>MIN(N(BK67),MAX(0,N(BI67)))</f>
        <v/>
      </c>
      <c r="BM67">
        <f>MAX(0,N(BI67)-N(BL67))</f>
        <v/>
      </c>
      <c r="BN67">
        <f>IFERROR(MATCH(7,OrderPlan,0),"")</f>
        <v/>
      </c>
      <c r="BO67">
        <f>IF(BN67="",0,IFERROR(IF(N(CHOOSE(BN67,J67,N67,R67,V67,Z67,AD67,AH67,AL67))&lt;=0.005,0,MAX(0,N(CHOOSE(BN67,J67,N67,R67,V67,Z67,AD67,AH67,AL67))+N(CHOOSE(BN67,K67,O67,S67,W67,AA67,AE67,AI67,AM67))-MIN(N(CHOOSE(BN67,'Debt List'!$F$5,'Debt List'!$F$6,'Debt List'!$F$7,'Debt List'!$F$8,'Debt List'!$F$9,'Debt List'!$F$10,'Debt List'!$F$11,'Debt List'!$F$12)),N(CHOOSE(BN67,J67,N67,R67,V67,Z67,AD67,AH67,AL67))+N(CHOOSE(BN67,K67,O67,S67,W67,AA67,AE67,AI67,AM67))))),0))</f>
        <v/>
      </c>
      <c r="BP67">
        <f>MIN(N(BO67),MAX(0,N(BM67)))</f>
        <v/>
      </c>
      <c r="BQ67">
        <f>MAX(0,N(BM67)-N(BP67))</f>
        <v/>
      </c>
      <c r="BR67">
        <f>IFERROR(MATCH(8,OrderPlan,0),"")</f>
        <v/>
      </c>
      <c r="BS67">
        <f>IF(BR67="",0,IFERROR(IF(N(CHOOSE(BR67,J67,N67,R67,V67,Z67,AD67,AH67,AL67))&lt;=0.005,0,MAX(0,N(CHOOSE(BR67,J67,N67,R67,V67,Z67,AD67,AH67,AL67))+N(CHOOSE(BR67,K67,O67,S67,W67,AA67,AE67,AI67,AM67))-MIN(N(CHOOSE(BR67,'Debt List'!$F$5,'Debt List'!$F$6,'Debt List'!$F$7,'Debt List'!$F$8,'Debt List'!$F$9,'Debt List'!$F$10,'Debt List'!$F$11,'Debt List'!$F$12)),N(CHOOSE(BR67,J67,N67,R67,V67,Z67,AD67,AH67,AL67))+N(CHOOSE(BR67,K67,O67,S67,W67,AA67,AE67,AI67,AM67))))),0))</f>
        <v/>
      </c>
      <c r="BT67">
        <f>MIN(N(BS67),MAX(0,N(BQ67)))</f>
        <v/>
      </c>
      <c r="BU67">
        <f>MAX(0,N(BQ67)-N(BT67))</f>
        <v/>
      </c>
      <c r="CC67" t="n">
        <v>63</v>
      </c>
      <c r="CD67" s="115">
        <f>DATE(YEAR(PlanStart),MONTH(PlanStart)+CC67-1,1)</f>
        <v/>
      </c>
      <c r="CE67">
        <f>IF(AND(DR67&lt;&gt;"",N(CHOOSE(DR67,CL67,CP67,CT67,CX67,DB67,DF67,DJ67,DN67))&gt;0.005),INDEX(DebtNames,DR67),IF(AND(DV67&lt;&gt;"",N(CHOOSE(DV67,CL67,CP67,CT67,CX67,DB67,DF67,DJ67,DN67))&gt;0.005),INDEX(DebtNames,DV67),IF(AND(DZ67&lt;&gt;"",N(CHOOSE(DZ67,CL67,CP67,CT67,CX67,DB67,DF67,DJ67,DN67))&gt;0.005),INDEX(DebtNames,DZ67),IF(AND(ED67&lt;&gt;"",N(CHOOSE(ED67,CL67,CP67,CT67,CX67,DB67,DF67,DJ67,DN67))&gt;0.005),INDEX(DebtNames,ED67),IF(AND(EH67&lt;&gt;"",N(CHOOSE(EH67,CL67,CP67,CT67,CX67,DB67,DF67,DJ67,DN67))&gt;0.005),INDEX(DebtNames,EH67),IF(AND(EL67&lt;&gt;"",N(CHOOSE(EL67,CL67,CP67,CT67,CX67,DB67,DF67,DJ67,DN67))&gt;0.005),INDEX(DebtNames,EL67),IF(AND(EP67&lt;&gt;"",N(CHOOSE(EP67,CL67,CP67,CT67,CX67,DB67,DF67,DJ67,DN67))&gt;0.005),INDEX(DebtNames,EP67),IF(AND(ET67&lt;&gt;"",N(CHOOSE(ET67,CL67,CP67,CT67,CX67,DB67,DF67,DJ67,DN67))&gt;0.005),INDEX(DebtNames,ET67),""))))))))</f>
        <v/>
      </c>
      <c r="CF67">
        <f>N(EW67)</f>
        <v/>
      </c>
      <c r="CG67">
        <f>N(CN67)+N(CR67)+N(CV67)+N(CZ67)+N(DD67)+N(DH67)+N(DL67)+N(DP67)</f>
        <v/>
      </c>
      <c r="CH67">
        <f>N(CM67)+N(CQ67)+N(CU67)+N(CY67)+N(DC67)+N(DG67)+N(DK67)+N(DO67)</f>
        <v/>
      </c>
      <c r="CI67">
        <f>N(CI66)+N(CH67)</f>
        <v/>
      </c>
      <c r="CJ67">
        <f>N(CO67)+N(CS67)+N(CW67)+N(DA67)+N(DE67)+N(DI67)+N(DM67)+N(DQ67)</f>
        <v/>
      </c>
      <c r="CK67">
        <f>(CO67&gt;0.005)*1+(CS67&gt;0.005)*1+(CW67&gt;0.005)*1+(DA67&gt;0.005)*1+(DE67&gt;0.005)*1+(DI67&gt;0.005)*1+(DM67&gt;0.005)*1+(DQ67&gt;0.005)*1</f>
        <v/>
      </c>
      <c r="CL67">
        <f>N(CO66)</f>
        <v/>
      </c>
      <c r="CM67">
        <f>IF(N(CL67)&lt;=0.005,0,ROUND(N(CL67)*N('Debt List'!E5)/12,2))</f>
        <v/>
      </c>
      <c r="CN67">
        <f>IF(N(CL67)&lt;=0.005,0,MIN(N('Debt List'!F5),N(CL67)+N(CM67)))+((DR67=1)*DT67+(DV67=1)*DX67+(DZ67=1)*EB67+(ED67=1)*EF67+(EH67=1)*EJ67+(EL67=1)*EN67+(EP67=1)*ER67+(ET67=1)*EV67)</f>
        <v/>
      </c>
      <c r="CO67">
        <f>MAX(0,ROUND(N(CL67)+N(CM67)-N(CN67),2))</f>
        <v/>
      </c>
      <c r="CP67">
        <f>N(CS66)</f>
        <v/>
      </c>
      <c r="CQ67">
        <f>IF(N(CP67)&lt;=0.005,0,ROUND(N(CP67)*N('Debt List'!E6)/12,2))</f>
        <v/>
      </c>
      <c r="CR67">
        <f>IF(N(CP67)&lt;=0.005,0,MIN(N('Debt List'!F6),N(CP67)+N(CQ67)))+((DR67=2)*DT67+(DV67=2)*DX67+(DZ67=2)*EB67+(ED67=2)*EF67+(EH67=2)*EJ67+(EL67=2)*EN67+(EP67=2)*ER67+(ET67=2)*EV67)</f>
        <v/>
      </c>
      <c r="CS67">
        <f>MAX(0,ROUND(N(CP67)+N(CQ67)-N(CR67),2))</f>
        <v/>
      </c>
      <c r="CT67">
        <f>N(CW66)</f>
        <v/>
      </c>
      <c r="CU67">
        <f>IF(N(CT67)&lt;=0.005,0,ROUND(N(CT67)*N('Debt List'!E7)/12,2))</f>
        <v/>
      </c>
      <c r="CV67">
        <f>IF(N(CT67)&lt;=0.005,0,MIN(N('Debt List'!F7),N(CT67)+N(CU67)))+((DR67=3)*DT67+(DV67=3)*DX67+(DZ67=3)*EB67+(ED67=3)*EF67+(EH67=3)*EJ67+(EL67=3)*EN67+(EP67=3)*ER67+(ET67=3)*EV67)</f>
        <v/>
      </c>
      <c r="CW67">
        <f>MAX(0,ROUND(N(CT67)+N(CU67)-N(CV67),2))</f>
        <v/>
      </c>
      <c r="CX67">
        <f>N(DA66)</f>
        <v/>
      </c>
      <c r="CY67">
        <f>IF(N(CX67)&lt;=0.005,0,ROUND(N(CX67)*N('Debt List'!E8)/12,2))</f>
        <v/>
      </c>
      <c r="CZ67">
        <f>IF(N(CX67)&lt;=0.005,0,MIN(N('Debt List'!F8),N(CX67)+N(CY67)))+((DR67=4)*DT67+(DV67=4)*DX67+(DZ67=4)*EB67+(ED67=4)*EF67+(EH67=4)*EJ67+(EL67=4)*EN67+(EP67=4)*ER67+(ET67=4)*EV67)</f>
        <v/>
      </c>
      <c r="DA67">
        <f>MAX(0,ROUND(N(CX67)+N(CY67)-N(CZ67),2))</f>
        <v/>
      </c>
      <c r="DB67">
        <f>N(DE66)</f>
        <v/>
      </c>
      <c r="DC67">
        <f>IF(N(DB67)&lt;=0.005,0,ROUND(N(DB67)*N('Debt List'!E9)/12,2))</f>
        <v/>
      </c>
      <c r="DD67">
        <f>IF(N(DB67)&lt;=0.005,0,MIN(N('Debt List'!F9),N(DB67)+N(DC67)))+((DR67=5)*DT67+(DV67=5)*DX67+(DZ67=5)*EB67+(ED67=5)*EF67+(EH67=5)*EJ67+(EL67=5)*EN67+(EP67=5)*ER67+(ET67=5)*EV67)</f>
        <v/>
      </c>
      <c r="DE67">
        <f>MAX(0,ROUND(N(DB67)+N(DC67)-N(DD67),2))</f>
        <v/>
      </c>
      <c r="DF67">
        <f>N(DI66)</f>
        <v/>
      </c>
      <c r="DG67">
        <f>IF(N(DF67)&lt;=0.005,0,ROUND(N(DF67)*N('Debt List'!E10)/12,2))</f>
        <v/>
      </c>
      <c r="DH67">
        <f>IF(N(DF67)&lt;=0.005,0,MIN(N('Debt List'!F10),N(DF67)+N(DG67)))+((DR67=6)*DT67+(DV67=6)*DX67+(DZ67=6)*EB67+(ED67=6)*EF67+(EH67=6)*EJ67+(EL67=6)*EN67+(EP67=6)*ER67+(ET67=6)*EV67)</f>
        <v/>
      </c>
      <c r="DI67">
        <f>MAX(0,ROUND(N(DF67)+N(DG67)-N(DH67),2))</f>
        <v/>
      </c>
      <c r="DJ67">
        <f>N(DM66)</f>
        <v/>
      </c>
      <c r="DK67">
        <f>IF(N(DJ67)&lt;=0.005,0,ROUND(N(DJ67)*N('Debt List'!E11)/12,2))</f>
        <v/>
      </c>
      <c r="DL67">
        <f>IF(N(DJ67)&lt;=0.005,0,MIN(N('Debt List'!F11),N(DJ67)+N(DK67)))+((DR67=7)*DT67+(DV67=7)*DX67+(DZ67=7)*EB67+(ED67=7)*EF67+(EH67=7)*EJ67+(EL67=7)*EN67+(EP67=7)*ER67+(ET67=7)*EV67)</f>
        <v/>
      </c>
      <c r="DM67">
        <f>MAX(0,ROUND(N(DJ67)+N(DK67)-N(DL67),2))</f>
        <v/>
      </c>
      <c r="DN67">
        <f>N(DQ66)</f>
        <v/>
      </c>
      <c r="DO67">
        <f>IF(N(DN67)&lt;=0.005,0,ROUND(N(DN67)*N('Debt List'!E12)/12,2))</f>
        <v/>
      </c>
      <c r="DP67">
        <f>IF(N(DN67)&lt;=0.005,0,MIN(N('Debt List'!F12),N(DN67)+N(DO67)))+((DR67=8)*DT67+(DV67=8)*DX67+(DZ67=8)*EB67+(ED67=8)*EF67+(EH67=8)*EJ67+(EL67=8)*EN67+(EP67=8)*ER67+(ET67=8)*EV67)</f>
        <v/>
      </c>
      <c r="DQ67">
        <f>MAX(0,ROUND(N(DN67)+N(DO67)-N(DP67),2))</f>
        <v/>
      </c>
      <c r="DR67">
        <f>IFERROR(MATCH(1,OrderSnow,0),"")</f>
        <v/>
      </c>
      <c r="DS67">
        <f>IF(DR67="",0,IFERROR(IF(N(CHOOSE(DR67,CL67,CP67,CT67,CX67,DB67,DF67,DJ67,DN67))&lt;=0.005,0,MAX(0,N(CHOOSE(DR67,CL67,CP67,CT67,CX67,DB67,DF67,DJ67,DN67))+N(CHOOSE(DR67,CM67,CQ67,CU67,CY67,DC67,DG67,DK67,DO67))-MIN(N(CHOOSE(DR67,'Debt List'!$F$5,'Debt List'!$F$6,'Debt List'!$F$7,'Debt List'!$F$8,'Debt List'!$F$9,'Debt List'!$F$10,'Debt List'!$F$11,'Debt List'!$F$12)),N(CHOOSE(DR67,CL67,CP67,CT67,CX67,DB67,DF67,DJ67,DN67))+N(CHOOSE(DR67,CM67,CQ67,CU67,CY67,DC67,DG67,DK67,DO67))))),0))</f>
        <v/>
      </c>
      <c r="DT67">
        <f>MIN(N(DS67),MAX(0,N(ExtraPayment)))</f>
        <v/>
      </c>
      <c r="DU67">
        <f>MAX(0,N(ExtraPayment)-N(DT67))</f>
        <v/>
      </c>
      <c r="DV67">
        <f>IFERROR(MATCH(2,OrderSnow,0),"")</f>
        <v/>
      </c>
      <c r="DW67">
        <f>IF(DV67="",0,IFERROR(IF(N(CHOOSE(DV67,CL67,CP67,CT67,CX67,DB67,DF67,DJ67,DN67))&lt;=0.005,0,MAX(0,N(CHOOSE(DV67,CL67,CP67,CT67,CX67,DB67,DF67,DJ67,DN67))+N(CHOOSE(DV67,CM67,CQ67,CU67,CY67,DC67,DG67,DK67,DO67))-MIN(N(CHOOSE(DV67,'Debt List'!$F$5,'Debt List'!$F$6,'Debt List'!$F$7,'Debt List'!$F$8,'Debt List'!$F$9,'Debt List'!$F$10,'Debt List'!$F$11,'Debt List'!$F$12)),N(CHOOSE(DV67,CL67,CP67,CT67,CX67,DB67,DF67,DJ67,DN67))+N(CHOOSE(DV67,CM67,CQ67,CU67,CY67,DC67,DG67,DK67,DO67))))),0))</f>
        <v/>
      </c>
      <c r="DX67">
        <f>MIN(N(DW67),MAX(0,N(DU67)))</f>
        <v/>
      </c>
      <c r="DY67">
        <f>MAX(0,N(DU67)-N(DX67))</f>
        <v/>
      </c>
      <c r="DZ67">
        <f>IFERROR(MATCH(3,OrderSnow,0),"")</f>
        <v/>
      </c>
      <c r="EA67">
        <f>IF(DZ67="",0,IFERROR(IF(N(CHOOSE(DZ67,CL67,CP67,CT67,CX67,DB67,DF67,DJ67,DN67))&lt;=0.005,0,MAX(0,N(CHOOSE(DZ67,CL67,CP67,CT67,CX67,DB67,DF67,DJ67,DN67))+N(CHOOSE(DZ67,CM67,CQ67,CU67,CY67,DC67,DG67,DK67,DO67))-MIN(N(CHOOSE(DZ67,'Debt List'!$F$5,'Debt List'!$F$6,'Debt List'!$F$7,'Debt List'!$F$8,'Debt List'!$F$9,'Debt List'!$F$10,'Debt List'!$F$11,'Debt List'!$F$12)),N(CHOOSE(DZ67,CL67,CP67,CT67,CX67,DB67,DF67,DJ67,DN67))+N(CHOOSE(DZ67,CM67,CQ67,CU67,CY67,DC67,DG67,DK67,DO67))))),0))</f>
        <v/>
      </c>
      <c r="EB67">
        <f>MIN(N(EA67),MAX(0,N(DY67)))</f>
        <v/>
      </c>
      <c r="EC67">
        <f>MAX(0,N(DY67)-N(EB67))</f>
        <v/>
      </c>
      <c r="ED67">
        <f>IFERROR(MATCH(4,OrderSnow,0),"")</f>
        <v/>
      </c>
      <c r="EE67">
        <f>IF(ED67="",0,IFERROR(IF(N(CHOOSE(ED67,CL67,CP67,CT67,CX67,DB67,DF67,DJ67,DN67))&lt;=0.005,0,MAX(0,N(CHOOSE(ED67,CL67,CP67,CT67,CX67,DB67,DF67,DJ67,DN67))+N(CHOOSE(ED67,CM67,CQ67,CU67,CY67,DC67,DG67,DK67,DO67))-MIN(N(CHOOSE(ED67,'Debt List'!$F$5,'Debt List'!$F$6,'Debt List'!$F$7,'Debt List'!$F$8,'Debt List'!$F$9,'Debt List'!$F$10,'Debt List'!$F$11,'Debt List'!$F$12)),N(CHOOSE(ED67,CL67,CP67,CT67,CX67,DB67,DF67,DJ67,DN67))+N(CHOOSE(ED67,CM67,CQ67,CU67,CY67,DC67,DG67,DK67,DO67))))),0))</f>
        <v/>
      </c>
      <c r="EF67">
        <f>MIN(N(EE67),MAX(0,N(EC67)))</f>
        <v/>
      </c>
      <c r="EG67">
        <f>MAX(0,N(EC67)-N(EF67))</f>
        <v/>
      </c>
      <c r="EH67">
        <f>IFERROR(MATCH(5,OrderSnow,0),"")</f>
        <v/>
      </c>
      <c r="EI67">
        <f>IF(EH67="",0,IFERROR(IF(N(CHOOSE(EH67,CL67,CP67,CT67,CX67,DB67,DF67,DJ67,DN67))&lt;=0.005,0,MAX(0,N(CHOOSE(EH67,CL67,CP67,CT67,CX67,DB67,DF67,DJ67,DN67))+N(CHOOSE(EH67,CM67,CQ67,CU67,CY67,DC67,DG67,DK67,DO67))-MIN(N(CHOOSE(EH67,'Debt List'!$F$5,'Debt List'!$F$6,'Debt List'!$F$7,'Debt List'!$F$8,'Debt List'!$F$9,'Debt List'!$F$10,'Debt List'!$F$11,'Debt List'!$F$12)),N(CHOOSE(EH67,CL67,CP67,CT67,CX67,DB67,DF67,DJ67,DN67))+N(CHOOSE(EH67,CM67,CQ67,CU67,CY67,DC67,DG67,DK67,DO67))))),0))</f>
        <v/>
      </c>
      <c r="EJ67">
        <f>MIN(N(EI67),MAX(0,N(EG67)))</f>
        <v/>
      </c>
      <c r="EK67">
        <f>MAX(0,N(EG67)-N(EJ67))</f>
        <v/>
      </c>
      <c r="EL67">
        <f>IFERROR(MATCH(6,OrderSnow,0),"")</f>
        <v/>
      </c>
      <c r="EM67">
        <f>IF(EL67="",0,IFERROR(IF(N(CHOOSE(EL67,CL67,CP67,CT67,CX67,DB67,DF67,DJ67,DN67))&lt;=0.005,0,MAX(0,N(CHOOSE(EL67,CL67,CP67,CT67,CX67,DB67,DF67,DJ67,DN67))+N(CHOOSE(EL67,CM67,CQ67,CU67,CY67,DC67,DG67,DK67,DO67))-MIN(N(CHOOSE(EL67,'Debt List'!$F$5,'Debt List'!$F$6,'Debt List'!$F$7,'Debt List'!$F$8,'Debt List'!$F$9,'Debt List'!$F$10,'Debt List'!$F$11,'Debt List'!$F$12)),N(CHOOSE(EL67,CL67,CP67,CT67,CX67,DB67,DF67,DJ67,DN67))+N(CHOOSE(EL67,CM67,CQ67,CU67,CY67,DC67,DG67,DK67,DO67))))),0))</f>
        <v/>
      </c>
      <c r="EN67">
        <f>MIN(N(EM67),MAX(0,N(EK67)))</f>
        <v/>
      </c>
      <c r="EO67">
        <f>MAX(0,N(EK67)-N(EN67))</f>
        <v/>
      </c>
      <c r="EP67">
        <f>IFERROR(MATCH(7,OrderSnow,0),"")</f>
        <v/>
      </c>
      <c r="EQ67">
        <f>IF(EP67="",0,IFERROR(IF(N(CHOOSE(EP67,CL67,CP67,CT67,CX67,DB67,DF67,DJ67,DN67))&lt;=0.005,0,MAX(0,N(CHOOSE(EP67,CL67,CP67,CT67,CX67,DB67,DF67,DJ67,DN67))+N(CHOOSE(EP67,CM67,CQ67,CU67,CY67,DC67,DG67,DK67,DO67))-MIN(N(CHOOSE(EP67,'Debt List'!$F$5,'Debt List'!$F$6,'Debt List'!$F$7,'Debt List'!$F$8,'Debt List'!$F$9,'Debt List'!$F$10,'Debt List'!$F$11,'Debt List'!$F$12)),N(CHOOSE(EP67,CL67,CP67,CT67,CX67,DB67,DF67,DJ67,DN67))+N(CHOOSE(EP67,CM67,CQ67,CU67,CY67,DC67,DG67,DK67,DO67))))),0))</f>
        <v/>
      </c>
      <c r="ER67">
        <f>MIN(N(EQ67),MAX(0,N(EO67)))</f>
        <v/>
      </c>
      <c r="ES67">
        <f>MAX(0,N(EO67)-N(ER67))</f>
        <v/>
      </c>
      <c r="ET67">
        <f>IFERROR(MATCH(8,OrderSnow,0),"")</f>
        <v/>
      </c>
      <c r="EU67">
        <f>IF(ET67="",0,IFERROR(IF(N(CHOOSE(ET67,CL67,CP67,CT67,CX67,DB67,DF67,DJ67,DN67))&lt;=0.005,0,MAX(0,N(CHOOSE(ET67,CL67,CP67,CT67,CX67,DB67,DF67,DJ67,DN67))+N(CHOOSE(ET67,CM67,CQ67,CU67,CY67,DC67,DG67,DK67,DO67))-MIN(N(CHOOSE(ET67,'Debt List'!$F$5,'Debt List'!$F$6,'Debt List'!$F$7,'Debt List'!$F$8,'Debt List'!$F$9,'Debt List'!$F$10,'Debt List'!$F$11,'Debt List'!$F$12)),N(CHOOSE(ET67,CL67,CP67,CT67,CX67,DB67,DF67,DJ67,DN67))+N(CHOOSE(ET67,CM67,CQ67,CU67,CY67,DC67,DG67,DK67,DO67))))),0))</f>
        <v/>
      </c>
      <c r="EV67">
        <f>MIN(N(EU67),MAX(0,N(ES67)))</f>
        <v/>
      </c>
      <c r="EW67">
        <f>MAX(0,N(ES67)-N(EV67))</f>
        <v/>
      </c>
      <c r="FE67" t="n">
        <v>63</v>
      </c>
      <c r="FF67" s="115">
        <f>DATE(YEAR(PlanStart),MONTH(PlanStart)+FE67-1,1)</f>
        <v/>
      </c>
      <c r="FG67">
        <f>IF(AND(GT67&lt;&gt;"",N(CHOOSE(GT67,FN67,FR67,FV67,FZ67,GD67,GH67,GL67,GP67))&gt;0.005),INDEX(DebtNames,GT67),IF(AND(GX67&lt;&gt;"",N(CHOOSE(GX67,FN67,FR67,FV67,FZ67,GD67,GH67,GL67,GP67))&gt;0.005),INDEX(DebtNames,GX67),IF(AND(HB67&lt;&gt;"",N(CHOOSE(HB67,FN67,FR67,FV67,FZ67,GD67,GH67,GL67,GP67))&gt;0.005),INDEX(DebtNames,HB67),IF(AND(HF67&lt;&gt;"",N(CHOOSE(HF67,FN67,FR67,FV67,FZ67,GD67,GH67,GL67,GP67))&gt;0.005),INDEX(DebtNames,HF67),IF(AND(HJ67&lt;&gt;"",N(CHOOSE(HJ67,FN67,FR67,FV67,FZ67,GD67,GH67,GL67,GP67))&gt;0.005),INDEX(DebtNames,HJ67),IF(AND(HN67&lt;&gt;"",N(CHOOSE(HN67,FN67,FR67,FV67,FZ67,GD67,GH67,GL67,GP67))&gt;0.005),INDEX(DebtNames,HN67),IF(AND(HR67&lt;&gt;"",N(CHOOSE(HR67,FN67,FR67,FV67,FZ67,GD67,GH67,GL67,GP67))&gt;0.005),INDEX(DebtNames,HR67),IF(AND(HV67&lt;&gt;"",N(CHOOSE(HV67,FN67,FR67,FV67,FZ67,GD67,GH67,GL67,GP67))&gt;0.005),INDEX(DebtNames,HV67),""))))))))</f>
        <v/>
      </c>
      <c r="FH67">
        <f>N(HY67)</f>
        <v/>
      </c>
      <c r="FI67">
        <f>N(FP67)+N(FT67)+N(FX67)+N(GB67)+N(GF67)+N(GJ67)+N(GN67)+N(GR67)</f>
        <v/>
      </c>
      <c r="FJ67">
        <f>N(FO67)+N(FS67)+N(FW67)+N(GA67)+N(GE67)+N(GI67)+N(GM67)+N(GQ67)</f>
        <v/>
      </c>
      <c r="FK67">
        <f>N(FK66)+N(FJ67)</f>
        <v/>
      </c>
      <c r="FL67">
        <f>N(FQ67)+N(FU67)+N(FY67)+N(GC67)+N(GG67)+N(GK67)+N(GO67)+N(GS67)</f>
        <v/>
      </c>
      <c r="FM67">
        <f>(FQ67&gt;0.005)*1+(FU67&gt;0.005)*1+(FY67&gt;0.005)*1+(GC67&gt;0.005)*1+(GG67&gt;0.005)*1+(GK67&gt;0.005)*1+(GO67&gt;0.005)*1+(GS67&gt;0.005)*1</f>
        <v/>
      </c>
      <c r="FN67">
        <f>N(FQ66)</f>
        <v/>
      </c>
      <c r="FO67">
        <f>IF(N(FN67)&lt;=0.005,0,ROUND(N(FN67)*N('Debt List'!E5)/12,2))</f>
        <v/>
      </c>
      <c r="FP67">
        <f>IF(N(FN67)&lt;=0.005,0,MIN(N('Debt List'!F5),N(FN67)+N(FO67)))+((GT67=1)*GV67+(GX67=1)*GZ67+(HB67=1)*HD67+(HF67=1)*HH67+(HJ67=1)*HL67+(HN67=1)*HP67+(HR67=1)*HT67+(HV67=1)*HX67)</f>
        <v/>
      </c>
      <c r="FQ67">
        <f>MAX(0,ROUND(N(FN67)+N(FO67)-N(FP67),2))</f>
        <v/>
      </c>
      <c r="FR67">
        <f>N(FU66)</f>
        <v/>
      </c>
      <c r="FS67">
        <f>IF(N(FR67)&lt;=0.005,0,ROUND(N(FR67)*N('Debt List'!E6)/12,2))</f>
        <v/>
      </c>
      <c r="FT67">
        <f>IF(N(FR67)&lt;=0.005,0,MIN(N('Debt List'!F6),N(FR67)+N(FS67)))+((GT67=2)*GV67+(GX67=2)*GZ67+(HB67=2)*HD67+(HF67=2)*HH67+(HJ67=2)*HL67+(HN67=2)*HP67+(HR67=2)*HT67+(HV67=2)*HX67)</f>
        <v/>
      </c>
      <c r="FU67">
        <f>MAX(0,ROUND(N(FR67)+N(FS67)-N(FT67),2))</f>
        <v/>
      </c>
      <c r="FV67">
        <f>N(FY66)</f>
        <v/>
      </c>
      <c r="FW67">
        <f>IF(N(FV67)&lt;=0.005,0,ROUND(N(FV67)*N('Debt List'!E7)/12,2))</f>
        <v/>
      </c>
      <c r="FX67">
        <f>IF(N(FV67)&lt;=0.005,0,MIN(N('Debt List'!F7),N(FV67)+N(FW67)))+((GT67=3)*GV67+(GX67=3)*GZ67+(HB67=3)*HD67+(HF67=3)*HH67+(HJ67=3)*HL67+(HN67=3)*HP67+(HR67=3)*HT67+(HV67=3)*HX67)</f>
        <v/>
      </c>
      <c r="FY67">
        <f>MAX(0,ROUND(N(FV67)+N(FW67)-N(FX67),2))</f>
        <v/>
      </c>
      <c r="FZ67">
        <f>N(GC66)</f>
        <v/>
      </c>
      <c r="GA67">
        <f>IF(N(FZ67)&lt;=0.005,0,ROUND(N(FZ67)*N('Debt List'!E8)/12,2))</f>
        <v/>
      </c>
      <c r="GB67">
        <f>IF(N(FZ67)&lt;=0.005,0,MIN(N('Debt List'!F8),N(FZ67)+N(GA67)))+((GT67=4)*GV67+(GX67=4)*GZ67+(HB67=4)*HD67+(HF67=4)*HH67+(HJ67=4)*HL67+(HN67=4)*HP67+(HR67=4)*HT67+(HV67=4)*HX67)</f>
        <v/>
      </c>
      <c r="GC67">
        <f>MAX(0,ROUND(N(FZ67)+N(GA67)-N(GB67),2))</f>
        <v/>
      </c>
      <c r="GD67">
        <f>N(GG66)</f>
        <v/>
      </c>
      <c r="GE67">
        <f>IF(N(GD67)&lt;=0.005,0,ROUND(N(GD67)*N('Debt List'!E9)/12,2))</f>
        <v/>
      </c>
      <c r="GF67">
        <f>IF(N(GD67)&lt;=0.005,0,MIN(N('Debt List'!F9),N(GD67)+N(GE67)))+((GT67=5)*GV67+(GX67=5)*GZ67+(HB67=5)*HD67+(HF67=5)*HH67+(HJ67=5)*HL67+(HN67=5)*HP67+(HR67=5)*HT67+(HV67=5)*HX67)</f>
        <v/>
      </c>
      <c r="GG67">
        <f>MAX(0,ROUND(N(GD67)+N(GE67)-N(GF67),2))</f>
        <v/>
      </c>
      <c r="GH67">
        <f>N(GK66)</f>
        <v/>
      </c>
      <c r="GI67">
        <f>IF(N(GH67)&lt;=0.005,0,ROUND(N(GH67)*N('Debt List'!E10)/12,2))</f>
        <v/>
      </c>
      <c r="GJ67">
        <f>IF(N(GH67)&lt;=0.005,0,MIN(N('Debt List'!F10),N(GH67)+N(GI67)))+((GT67=6)*GV67+(GX67=6)*GZ67+(HB67=6)*HD67+(HF67=6)*HH67+(HJ67=6)*HL67+(HN67=6)*HP67+(HR67=6)*HT67+(HV67=6)*HX67)</f>
        <v/>
      </c>
      <c r="GK67">
        <f>MAX(0,ROUND(N(GH67)+N(GI67)-N(GJ67),2))</f>
        <v/>
      </c>
      <c r="GL67">
        <f>N(GO66)</f>
        <v/>
      </c>
      <c r="GM67">
        <f>IF(N(GL67)&lt;=0.005,0,ROUND(N(GL67)*N('Debt List'!E11)/12,2))</f>
        <v/>
      </c>
      <c r="GN67">
        <f>IF(N(GL67)&lt;=0.005,0,MIN(N('Debt List'!F11),N(GL67)+N(GM67)))+((GT67=7)*GV67+(GX67=7)*GZ67+(HB67=7)*HD67+(HF67=7)*HH67+(HJ67=7)*HL67+(HN67=7)*HP67+(HR67=7)*HT67+(HV67=7)*HX67)</f>
        <v/>
      </c>
      <c r="GO67">
        <f>MAX(0,ROUND(N(GL67)+N(GM67)-N(GN67),2))</f>
        <v/>
      </c>
      <c r="GP67">
        <f>N(GS66)</f>
        <v/>
      </c>
      <c r="GQ67">
        <f>IF(N(GP67)&lt;=0.005,0,ROUND(N(GP67)*N('Debt List'!E12)/12,2))</f>
        <v/>
      </c>
      <c r="GR67">
        <f>IF(N(GP67)&lt;=0.005,0,MIN(N('Debt List'!F12),N(GP67)+N(GQ67)))+((GT67=8)*GV67+(GX67=8)*GZ67+(HB67=8)*HD67+(HF67=8)*HH67+(HJ67=8)*HL67+(HN67=8)*HP67+(HR67=8)*HT67+(HV67=8)*HX67)</f>
        <v/>
      </c>
      <c r="GS67">
        <f>MAX(0,ROUND(N(GP67)+N(GQ67)-N(GR67),2))</f>
        <v/>
      </c>
      <c r="GT67">
        <f>IFERROR(MATCH(1,OrderAval,0),"")</f>
        <v/>
      </c>
      <c r="GU67">
        <f>IF(GT67="",0,IFERROR(IF(N(CHOOSE(GT67,FN67,FR67,FV67,FZ67,GD67,GH67,GL67,GP67))&lt;=0.005,0,MAX(0,N(CHOOSE(GT67,FN67,FR67,FV67,FZ67,GD67,GH67,GL67,GP67))+N(CHOOSE(GT67,FO67,FS67,FW67,GA67,GE67,GI67,GM67,GQ67))-MIN(N(CHOOSE(GT67,'Debt List'!$F$5,'Debt List'!$F$6,'Debt List'!$F$7,'Debt List'!$F$8,'Debt List'!$F$9,'Debt List'!$F$10,'Debt List'!$F$11,'Debt List'!$F$12)),N(CHOOSE(GT67,FN67,FR67,FV67,FZ67,GD67,GH67,GL67,GP67))+N(CHOOSE(GT67,FO67,FS67,FW67,GA67,GE67,GI67,GM67,GQ67))))),0))</f>
        <v/>
      </c>
      <c r="GV67">
        <f>MIN(N(GU67),MAX(0,N(ExtraPayment)))</f>
        <v/>
      </c>
      <c r="GW67">
        <f>MAX(0,N(ExtraPayment)-N(GV67))</f>
        <v/>
      </c>
      <c r="GX67">
        <f>IFERROR(MATCH(2,OrderAval,0),"")</f>
        <v/>
      </c>
      <c r="GY67">
        <f>IF(GX67="",0,IFERROR(IF(N(CHOOSE(GX67,FN67,FR67,FV67,FZ67,GD67,GH67,GL67,GP67))&lt;=0.005,0,MAX(0,N(CHOOSE(GX67,FN67,FR67,FV67,FZ67,GD67,GH67,GL67,GP67))+N(CHOOSE(GX67,FO67,FS67,FW67,GA67,GE67,GI67,GM67,GQ67))-MIN(N(CHOOSE(GX67,'Debt List'!$F$5,'Debt List'!$F$6,'Debt List'!$F$7,'Debt List'!$F$8,'Debt List'!$F$9,'Debt List'!$F$10,'Debt List'!$F$11,'Debt List'!$F$12)),N(CHOOSE(GX67,FN67,FR67,FV67,FZ67,GD67,GH67,GL67,GP67))+N(CHOOSE(GX67,FO67,FS67,FW67,GA67,GE67,GI67,GM67,GQ67))))),0))</f>
        <v/>
      </c>
      <c r="GZ67">
        <f>MIN(N(GY67),MAX(0,N(GW67)))</f>
        <v/>
      </c>
      <c r="HA67">
        <f>MAX(0,N(GW67)-N(GZ67))</f>
        <v/>
      </c>
      <c r="HB67">
        <f>IFERROR(MATCH(3,OrderAval,0),"")</f>
        <v/>
      </c>
      <c r="HC67">
        <f>IF(HB67="",0,IFERROR(IF(N(CHOOSE(HB67,FN67,FR67,FV67,FZ67,GD67,GH67,GL67,GP67))&lt;=0.005,0,MAX(0,N(CHOOSE(HB67,FN67,FR67,FV67,FZ67,GD67,GH67,GL67,GP67))+N(CHOOSE(HB67,FO67,FS67,FW67,GA67,GE67,GI67,GM67,GQ67))-MIN(N(CHOOSE(HB67,'Debt List'!$F$5,'Debt List'!$F$6,'Debt List'!$F$7,'Debt List'!$F$8,'Debt List'!$F$9,'Debt List'!$F$10,'Debt List'!$F$11,'Debt List'!$F$12)),N(CHOOSE(HB67,FN67,FR67,FV67,FZ67,GD67,GH67,GL67,GP67))+N(CHOOSE(HB67,FO67,FS67,FW67,GA67,GE67,GI67,GM67,GQ67))))),0))</f>
        <v/>
      </c>
      <c r="HD67">
        <f>MIN(N(HC67),MAX(0,N(HA67)))</f>
        <v/>
      </c>
      <c r="HE67">
        <f>MAX(0,N(HA67)-N(HD67))</f>
        <v/>
      </c>
      <c r="HF67">
        <f>IFERROR(MATCH(4,OrderAval,0),"")</f>
        <v/>
      </c>
      <c r="HG67">
        <f>IF(HF67="",0,IFERROR(IF(N(CHOOSE(HF67,FN67,FR67,FV67,FZ67,GD67,GH67,GL67,GP67))&lt;=0.005,0,MAX(0,N(CHOOSE(HF67,FN67,FR67,FV67,FZ67,GD67,GH67,GL67,GP67))+N(CHOOSE(HF67,FO67,FS67,FW67,GA67,GE67,GI67,GM67,GQ67))-MIN(N(CHOOSE(HF67,'Debt List'!$F$5,'Debt List'!$F$6,'Debt List'!$F$7,'Debt List'!$F$8,'Debt List'!$F$9,'Debt List'!$F$10,'Debt List'!$F$11,'Debt List'!$F$12)),N(CHOOSE(HF67,FN67,FR67,FV67,FZ67,GD67,GH67,GL67,GP67))+N(CHOOSE(HF67,FO67,FS67,FW67,GA67,GE67,GI67,GM67,GQ67))))),0))</f>
        <v/>
      </c>
      <c r="HH67">
        <f>MIN(N(HG67),MAX(0,N(HE67)))</f>
        <v/>
      </c>
      <c r="HI67">
        <f>MAX(0,N(HE67)-N(HH67))</f>
        <v/>
      </c>
      <c r="HJ67">
        <f>IFERROR(MATCH(5,OrderAval,0),"")</f>
        <v/>
      </c>
      <c r="HK67">
        <f>IF(HJ67="",0,IFERROR(IF(N(CHOOSE(HJ67,FN67,FR67,FV67,FZ67,GD67,GH67,GL67,GP67))&lt;=0.005,0,MAX(0,N(CHOOSE(HJ67,FN67,FR67,FV67,FZ67,GD67,GH67,GL67,GP67))+N(CHOOSE(HJ67,FO67,FS67,FW67,GA67,GE67,GI67,GM67,GQ67))-MIN(N(CHOOSE(HJ67,'Debt List'!$F$5,'Debt List'!$F$6,'Debt List'!$F$7,'Debt List'!$F$8,'Debt List'!$F$9,'Debt List'!$F$10,'Debt List'!$F$11,'Debt List'!$F$12)),N(CHOOSE(HJ67,FN67,FR67,FV67,FZ67,GD67,GH67,GL67,GP67))+N(CHOOSE(HJ67,FO67,FS67,FW67,GA67,GE67,GI67,GM67,GQ67))))),0))</f>
        <v/>
      </c>
      <c r="HL67">
        <f>MIN(N(HK67),MAX(0,N(HI67)))</f>
        <v/>
      </c>
      <c r="HM67">
        <f>MAX(0,N(HI67)-N(HL67))</f>
        <v/>
      </c>
      <c r="HN67">
        <f>IFERROR(MATCH(6,OrderAval,0),"")</f>
        <v/>
      </c>
      <c r="HO67">
        <f>IF(HN67="",0,IFERROR(IF(N(CHOOSE(HN67,FN67,FR67,FV67,FZ67,GD67,GH67,GL67,GP67))&lt;=0.005,0,MAX(0,N(CHOOSE(HN67,FN67,FR67,FV67,FZ67,GD67,GH67,GL67,GP67))+N(CHOOSE(HN67,FO67,FS67,FW67,GA67,GE67,GI67,GM67,GQ67))-MIN(N(CHOOSE(HN67,'Debt List'!$F$5,'Debt List'!$F$6,'Debt List'!$F$7,'Debt List'!$F$8,'Debt List'!$F$9,'Debt List'!$F$10,'Debt List'!$F$11,'Debt List'!$F$12)),N(CHOOSE(HN67,FN67,FR67,FV67,FZ67,GD67,GH67,GL67,GP67))+N(CHOOSE(HN67,FO67,FS67,FW67,GA67,GE67,GI67,GM67,GQ67))))),0))</f>
        <v/>
      </c>
      <c r="HP67">
        <f>MIN(N(HO67),MAX(0,N(HM67)))</f>
        <v/>
      </c>
      <c r="HQ67">
        <f>MAX(0,N(HM67)-N(HP67))</f>
        <v/>
      </c>
      <c r="HR67">
        <f>IFERROR(MATCH(7,OrderAval,0),"")</f>
        <v/>
      </c>
      <c r="HS67">
        <f>IF(HR67="",0,IFERROR(IF(N(CHOOSE(HR67,FN67,FR67,FV67,FZ67,GD67,GH67,GL67,GP67))&lt;=0.005,0,MAX(0,N(CHOOSE(HR67,FN67,FR67,FV67,FZ67,GD67,GH67,GL67,GP67))+N(CHOOSE(HR67,FO67,FS67,FW67,GA67,GE67,GI67,GM67,GQ67))-MIN(N(CHOOSE(HR67,'Debt List'!$F$5,'Debt List'!$F$6,'Debt List'!$F$7,'Debt List'!$F$8,'Debt List'!$F$9,'Debt List'!$F$10,'Debt List'!$F$11,'Debt List'!$F$12)),N(CHOOSE(HR67,FN67,FR67,FV67,FZ67,GD67,GH67,GL67,GP67))+N(CHOOSE(HR67,FO67,FS67,FW67,GA67,GE67,GI67,GM67,GQ67))))),0))</f>
        <v/>
      </c>
      <c r="HT67">
        <f>MIN(N(HS67),MAX(0,N(HQ67)))</f>
        <v/>
      </c>
      <c r="HU67">
        <f>MAX(0,N(HQ67)-N(HT67))</f>
        <v/>
      </c>
      <c r="HV67">
        <f>IFERROR(MATCH(8,OrderAval,0),"")</f>
        <v/>
      </c>
      <c r="HW67">
        <f>IF(HV67="",0,IFERROR(IF(N(CHOOSE(HV67,FN67,FR67,FV67,FZ67,GD67,GH67,GL67,GP67))&lt;=0.005,0,MAX(0,N(CHOOSE(HV67,FN67,FR67,FV67,FZ67,GD67,GH67,GL67,GP67))+N(CHOOSE(HV67,FO67,FS67,FW67,GA67,GE67,GI67,GM67,GQ67))-MIN(N(CHOOSE(HV67,'Debt List'!$F$5,'Debt List'!$F$6,'Debt List'!$F$7,'Debt List'!$F$8,'Debt List'!$F$9,'Debt List'!$F$10,'Debt List'!$F$11,'Debt List'!$F$12)),N(CHOOSE(HV67,FN67,FR67,FV67,FZ67,GD67,GH67,GL67,GP67))+N(CHOOSE(HV67,FO67,FS67,FW67,GA67,GE67,GI67,GM67,GQ67))))),0))</f>
        <v/>
      </c>
      <c r="HX67">
        <f>MIN(N(HW67),MAX(0,N(HU67)))</f>
        <v/>
      </c>
      <c r="HY67">
        <f>MAX(0,N(HU67)-N(HX67))</f>
        <v/>
      </c>
    </row>
    <row r="68">
      <c r="A68" t="n">
        <v>64</v>
      </c>
      <c r="B68" s="115">
        <f>DATE(YEAR(PlanStart),MONTH(PlanStart)+A68-1,1)</f>
        <v/>
      </c>
      <c r="C68">
        <f>IF(AND(AP68&lt;&gt;"",N(CHOOSE(AP68,J68,N68,R68,V68,Z68,AD68,AH68,AL68))&gt;0.005),INDEX(DebtNames,AP68),IF(AND(AT68&lt;&gt;"",N(CHOOSE(AT68,J68,N68,R68,V68,Z68,AD68,AH68,AL68))&gt;0.005),INDEX(DebtNames,AT68),IF(AND(AX68&lt;&gt;"",N(CHOOSE(AX68,J68,N68,R68,V68,Z68,AD68,AH68,AL68))&gt;0.005),INDEX(DebtNames,AX68),IF(AND(BB68&lt;&gt;"",N(CHOOSE(BB68,J68,N68,R68,V68,Z68,AD68,AH68,AL68))&gt;0.005),INDEX(DebtNames,BB68),IF(AND(BF68&lt;&gt;"",N(CHOOSE(BF68,J68,N68,R68,V68,Z68,AD68,AH68,AL68))&gt;0.005),INDEX(DebtNames,BF68),IF(AND(BJ68&lt;&gt;"",N(CHOOSE(BJ68,J68,N68,R68,V68,Z68,AD68,AH68,AL68))&gt;0.005),INDEX(DebtNames,BJ68),IF(AND(BN68&lt;&gt;"",N(CHOOSE(BN68,J68,N68,R68,V68,Z68,AD68,AH68,AL68))&gt;0.005),INDEX(DebtNames,BN68),IF(AND(BR68&lt;&gt;"",N(CHOOSE(BR68,J68,N68,R68,V68,Z68,AD68,AH68,AL68))&gt;0.005),INDEX(DebtNames,BR68),""))))))))</f>
        <v/>
      </c>
      <c r="D68">
        <f>N(BU68)</f>
        <v/>
      </c>
      <c r="E68">
        <f>N(L68)+N(P68)+N(T68)+N(X68)+N(AB68)+N(AF68)+N(AJ68)+N(AN68)</f>
        <v/>
      </c>
      <c r="F68">
        <f>N(K68)+N(O68)+N(S68)+N(W68)+N(AA68)+N(AE68)+N(AI68)+N(AM68)</f>
        <v/>
      </c>
      <c r="G68">
        <f>N(G67)+N(F68)</f>
        <v/>
      </c>
      <c r="H68">
        <f>N(M68)+N(Q68)+N(U68)+N(Y68)+N(AC68)+N(AG68)+N(AK68)+N(AO68)</f>
        <v/>
      </c>
      <c r="I68">
        <f>(M68&gt;0.005)*1+(Q68&gt;0.005)*1+(U68&gt;0.005)*1+(Y68&gt;0.005)*1+(AC68&gt;0.005)*1+(AG68&gt;0.005)*1+(AK68&gt;0.005)*1+(AO68&gt;0.005)*1</f>
        <v/>
      </c>
      <c r="J68">
        <f>N(M67)</f>
        <v/>
      </c>
      <c r="K68">
        <f>IF(N(J68)&lt;=0.005,0,ROUND(N(J68)*N('Debt List'!E5)/12,2))</f>
        <v/>
      </c>
      <c r="L68">
        <f>IF(N(J68)&lt;=0.005,0,MIN(N('Debt List'!F5),N(J68)+N(K68)))+((AP68=1)*AR68+(AT68=1)*AV68+(AX68=1)*AZ68+(BB68=1)*BD68+(BF68=1)*BH68+(BJ68=1)*BL68+(BN68=1)*BP68+(BR68=1)*BT68)</f>
        <v/>
      </c>
      <c r="M68">
        <f>MAX(0,ROUND(N(J68)+N(K68)-N(L68),2))</f>
        <v/>
      </c>
      <c r="N68">
        <f>N(Q67)</f>
        <v/>
      </c>
      <c r="O68">
        <f>IF(N(N68)&lt;=0.005,0,ROUND(N(N68)*N('Debt List'!E6)/12,2))</f>
        <v/>
      </c>
      <c r="P68">
        <f>IF(N(N68)&lt;=0.005,0,MIN(N('Debt List'!F6),N(N68)+N(O68)))+((AP68=2)*AR68+(AT68=2)*AV68+(AX68=2)*AZ68+(BB68=2)*BD68+(BF68=2)*BH68+(BJ68=2)*BL68+(BN68=2)*BP68+(BR68=2)*BT68)</f>
        <v/>
      </c>
      <c r="Q68">
        <f>MAX(0,ROUND(N(N68)+N(O68)-N(P68),2))</f>
        <v/>
      </c>
      <c r="R68">
        <f>N(U67)</f>
        <v/>
      </c>
      <c r="S68">
        <f>IF(N(R68)&lt;=0.005,0,ROUND(N(R68)*N('Debt List'!E7)/12,2))</f>
        <v/>
      </c>
      <c r="T68">
        <f>IF(N(R68)&lt;=0.005,0,MIN(N('Debt List'!F7),N(R68)+N(S68)))+((AP68=3)*AR68+(AT68=3)*AV68+(AX68=3)*AZ68+(BB68=3)*BD68+(BF68=3)*BH68+(BJ68=3)*BL68+(BN68=3)*BP68+(BR68=3)*BT68)</f>
        <v/>
      </c>
      <c r="U68">
        <f>MAX(0,ROUND(N(R68)+N(S68)-N(T68),2))</f>
        <v/>
      </c>
      <c r="V68">
        <f>N(Y67)</f>
        <v/>
      </c>
      <c r="W68">
        <f>IF(N(V68)&lt;=0.005,0,ROUND(N(V68)*N('Debt List'!E8)/12,2))</f>
        <v/>
      </c>
      <c r="X68">
        <f>IF(N(V68)&lt;=0.005,0,MIN(N('Debt List'!F8),N(V68)+N(W68)))+((AP68=4)*AR68+(AT68=4)*AV68+(AX68=4)*AZ68+(BB68=4)*BD68+(BF68=4)*BH68+(BJ68=4)*BL68+(BN68=4)*BP68+(BR68=4)*BT68)</f>
        <v/>
      </c>
      <c r="Y68">
        <f>MAX(0,ROUND(N(V68)+N(W68)-N(X68),2))</f>
        <v/>
      </c>
      <c r="Z68">
        <f>N(AC67)</f>
        <v/>
      </c>
      <c r="AA68">
        <f>IF(N(Z68)&lt;=0.005,0,ROUND(N(Z68)*N('Debt List'!E9)/12,2))</f>
        <v/>
      </c>
      <c r="AB68">
        <f>IF(N(Z68)&lt;=0.005,0,MIN(N('Debt List'!F9),N(Z68)+N(AA68)))+((AP68=5)*AR68+(AT68=5)*AV68+(AX68=5)*AZ68+(BB68=5)*BD68+(BF68=5)*BH68+(BJ68=5)*BL68+(BN68=5)*BP68+(BR68=5)*BT68)</f>
        <v/>
      </c>
      <c r="AC68">
        <f>MAX(0,ROUND(N(Z68)+N(AA68)-N(AB68),2))</f>
        <v/>
      </c>
      <c r="AD68">
        <f>N(AG67)</f>
        <v/>
      </c>
      <c r="AE68">
        <f>IF(N(AD68)&lt;=0.005,0,ROUND(N(AD68)*N('Debt List'!E10)/12,2))</f>
        <v/>
      </c>
      <c r="AF68">
        <f>IF(N(AD68)&lt;=0.005,0,MIN(N('Debt List'!F10),N(AD68)+N(AE68)))+((AP68=6)*AR68+(AT68=6)*AV68+(AX68=6)*AZ68+(BB68=6)*BD68+(BF68=6)*BH68+(BJ68=6)*BL68+(BN68=6)*BP68+(BR68=6)*BT68)</f>
        <v/>
      </c>
      <c r="AG68">
        <f>MAX(0,ROUND(N(AD68)+N(AE68)-N(AF68),2))</f>
        <v/>
      </c>
      <c r="AH68">
        <f>N(AK67)</f>
        <v/>
      </c>
      <c r="AI68">
        <f>IF(N(AH68)&lt;=0.005,0,ROUND(N(AH68)*N('Debt List'!E11)/12,2))</f>
        <v/>
      </c>
      <c r="AJ68">
        <f>IF(N(AH68)&lt;=0.005,0,MIN(N('Debt List'!F11),N(AH68)+N(AI68)))+((AP68=7)*AR68+(AT68=7)*AV68+(AX68=7)*AZ68+(BB68=7)*BD68+(BF68=7)*BH68+(BJ68=7)*BL68+(BN68=7)*BP68+(BR68=7)*BT68)</f>
        <v/>
      </c>
      <c r="AK68">
        <f>MAX(0,ROUND(N(AH68)+N(AI68)-N(AJ68),2))</f>
        <v/>
      </c>
      <c r="AL68">
        <f>N(AO67)</f>
        <v/>
      </c>
      <c r="AM68">
        <f>IF(N(AL68)&lt;=0.005,0,ROUND(N(AL68)*N('Debt List'!E12)/12,2))</f>
        <v/>
      </c>
      <c r="AN68">
        <f>IF(N(AL68)&lt;=0.005,0,MIN(N('Debt List'!F12),N(AL68)+N(AM68)))+((AP68=8)*AR68+(AT68=8)*AV68+(AX68=8)*AZ68+(BB68=8)*BD68+(BF68=8)*BH68+(BJ68=8)*BL68+(BN68=8)*BP68+(BR68=8)*BT68)</f>
        <v/>
      </c>
      <c r="AO68">
        <f>MAX(0,ROUND(N(AL68)+N(AM68)-N(AN68),2))</f>
        <v/>
      </c>
      <c r="AP68">
        <f>IFERROR(MATCH(1,OrderPlan,0),"")</f>
        <v/>
      </c>
      <c r="AQ68">
        <f>IF(AP68="",0,IFERROR(IF(N(CHOOSE(AP68,J68,N68,R68,V68,Z68,AD68,AH68,AL68))&lt;=0.005,0,MAX(0,N(CHOOSE(AP68,J68,N68,R68,V68,Z68,AD68,AH68,AL68))+N(CHOOSE(AP68,K68,O68,S68,W68,AA68,AE68,AI68,AM68))-MIN(N(CHOOSE(AP68,'Debt List'!$F$5,'Debt List'!$F$6,'Debt List'!$F$7,'Debt List'!$F$8,'Debt List'!$F$9,'Debt List'!$F$10,'Debt List'!$F$11,'Debt List'!$F$12)),N(CHOOSE(AP68,J68,N68,R68,V68,Z68,AD68,AH68,AL68))+N(CHOOSE(AP68,K68,O68,S68,W68,AA68,AE68,AI68,AM68))))),0))</f>
        <v/>
      </c>
      <c r="AR68">
        <f>MIN(N(AQ68),MAX(0,N(ExtraPayment)))</f>
        <v/>
      </c>
      <c r="AS68">
        <f>MAX(0,N(ExtraPayment)-N(AR68))</f>
        <v/>
      </c>
      <c r="AT68">
        <f>IFERROR(MATCH(2,OrderPlan,0),"")</f>
        <v/>
      </c>
      <c r="AU68">
        <f>IF(AT68="",0,IFERROR(IF(N(CHOOSE(AT68,J68,N68,R68,V68,Z68,AD68,AH68,AL68))&lt;=0.005,0,MAX(0,N(CHOOSE(AT68,J68,N68,R68,V68,Z68,AD68,AH68,AL68))+N(CHOOSE(AT68,K68,O68,S68,W68,AA68,AE68,AI68,AM68))-MIN(N(CHOOSE(AT68,'Debt List'!$F$5,'Debt List'!$F$6,'Debt List'!$F$7,'Debt List'!$F$8,'Debt List'!$F$9,'Debt List'!$F$10,'Debt List'!$F$11,'Debt List'!$F$12)),N(CHOOSE(AT68,J68,N68,R68,V68,Z68,AD68,AH68,AL68))+N(CHOOSE(AT68,K68,O68,S68,W68,AA68,AE68,AI68,AM68))))),0))</f>
        <v/>
      </c>
      <c r="AV68">
        <f>MIN(N(AU68),MAX(0,N(AS68)))</f>
        <v/>
      </c>
      <c r="AW68">
        <f>MAX(0,N(AS68)-N(AV68))</f>
        <v/>
      </c>
      <c r="AX68">
        <f>IFERROR(MATCH(3,OrderPlan,0),"")</f>
        <v/>
      </c>
      <c r="AY68">
        <f>IF(AX68="",0,IFERROR(IF(N(CHOOSE(AX68,J68,N68,R68,V68,Z68,AD68,AH68,AL68))&lt;=0.005,0,MAX(0,N(CHOOSE(AX68,J68,N68,R68,V68,Z68,AD68,AH68,AL68))+N(CHOOSE(AX68,K68,O68,S68,W68,AA68,AE68,AI68,AM68))-MIN(N(CHOOSE(AX68,'Debt List'!$F$5,'Debt List'!$F$6,'Debt List'!$F$7,'Debt List'!$F$8,'Debt List'!$F$9,'Debt List'!$F$10,'Debt List'!$F$11,'Debt List'!$F$12)),N(CHOOSE(AX68,J68,N68,R68,V68,Z68,AD68,AH68,AL68))+N(CHOOSE(AX68,K68,O68,S68,W68,AA68,AE68,AI68,AM68))))),0))</f>
        <v/>
      </c>
      <c r="AZ68">
        <f>MIN(N(AY68),MAX(0,N(AW68)))</f>
        <v/>
      </c>
      <c r="BA68">
        <f>MAX(0,N(AW68)-N(AZ68))</f>
        <v/>
      </c>
      <c r="BB68">
        <f>IFERROR(MATCH(4,OrderPlan,0),"")</f>
        <v/>
      </c>
      <c r="BC68">
        <f>IF(BB68="",0,IFERROR(IF(N(CHOOSE(BB68,J68,N68,R68,V68,Z68,AD68,AH68,AL68))&lt;=0.005,0,MAX(0,N(CHOOSE(BB68,J68,N68,R68,V68,Z68,AD68,AH68,AL68))+N(CHOOSE(BB68,K68,O68,S68,W68,AA68,AE68,AI68,AM68))-MIN(N(CHOOSE(BB68,'Debt List'!$F$5,'Debt List'!$F$6,'Debt List'!$F$7,'Debt List'!$F$8,'Debt List'!$F$9,'Debt List'!$F$10,'Debt List'!$F$11,'Debt List'!$F$12)),N(CHOOSE(BB68,J68,N68,R68,V68,Z68,AD68,AH68,AL68))+N(CHOOSE(BB68,K68,O68,S68,W68,AA68,AE68,AI68,AM68))))),0))</f>
        <v/>
      </c>
      <c r="BD68">
        <f>MIN(N(BC68),MAX(0,N(BA68)))</f>
        <v/>
      </c>
      <c r="BE68">
        <f>MAX(0,N(BA68)-N(BD68))</f>
        <v/>
      </c>
      <c r="BF68">
        <f>IFERROR(MATCH(5,OrderPlan,0),"")</f>
        <v/>
      </c>
      <c r="BG68">
        <f>IF(BF68="",0,IFERROR(IF(N(CHOOSE(BF68,J68,N68,R68,V68,Z68,AD68,AH68,AL68))&lt;=0.005,0,MAX(0,N(CHOOSE(BF68,J68,N68,R68,V68,Z68,AD68,AH68,AL68))+N(CHOOSE(BF68,K68,O68,S68,W68,AA68,AE68,AI68,AM68))-MIN(N(CHOOSE(BF68,'Debt List'!$F$5,'Debt List'!$F$6,'Debt List'!$F$7,'Debt List'!$F$8,'Debt List'!$F$9,'Debt List'!$F$10,'Debt List'!$F$11,'Debt List'!$F$12)),N(CHOOSE(BF68,J68,N68,R68,V68,Z68,AD68,AH68,AL68))+N(CHOOSE(BF68,K68,O68,S68,W68,AA68,AE68,AI68,AM68))))),0))</f>
        <v/>
      </c>
      <c r="BH68">
        <f>MIN(N(BG68),MAX(0,N(BE68)))</f>
        <v/>
      </c>
      <c r="BI68">
        <f>MAX(0,N(BE68)-N(BH68))</f>
        <v/>
      </c>
      <c r="BJ68">
        <f>IFERROR(MATCH(6,OrderPlan,0),"")</f>
        <v/>
      </c>
      <c r="BK68">
        <f>IF(BJ68="",0,IFERROR(IF(N(CHOOSE(BJ68,J68,N68,R68,V68,Z68,AD68,AH68,AL68))&lt;=0.005,0,MAX(0,N(CHOOSE(BJ68,J68,N68,R68,V68,Z68,AD68,AH68,AL68))+N(CHOOSE(BJ68,K68,O68,S68,W68,AA68,AE68,AI68,AM68))-MIN(N(CHOOSE(BJ68,'Debt List'!$F$5,'Debt List'!$F$6,'Debt List'!$F$7,'Debt List'!$F$8,'Debt List'!$F$9,'Debt List'!$F$10,'Debt List'!$F$11,'Debt List'!$F$12)),N(CHOOSE(BJ68,J68,N68,R68,V68,Z68,AD68,AH68,AL68))+N(CHOOSE(BJ68,K68,O68,S68,W68,AA68,AE68,AI68,AM68))))),0))</f>
        <v/>
      </c>
      <c r="BL68">
        <f>MIN(N(BK68),MAX(0,N(BI68)))</f>
        <v/>
      </c>
      <c r="BM68">
        <f>MAX(0,N(BI68)-N(BL68))</f>
        <v/>
      </c>
      <c r="BN68">
        <f>IFERROR(MATCH(7,OrderPlan,0),"")</f>
        <v/>
      </c>
      <c r="BO68">
        <f>IF(BN68="",0,IFERROR(IF(N(CHOOSE(BN68,J68,N68,R68,V68,Z68,AD68,AH68,AL68))&lt;=0.005,0,MAX(0,N(CHOOSE(BN68,J68,N68,R68,V68,Z68,AD68,AH68,AL68))+N(CHOOSE(BN68,K68,O68,S68,W68,AA68,AE68,AI68,AM68))-MIN(N(CHOOSE(BN68,'Debt List'!$F$5,'Debt List'!$F$6,'Debt List'!$F$7,'Debt List'!$F$8,'Debt List'!$F$9,'Debt List'!$F$10,'Debt List'!$F$11,'Debt List'!$F$12)),N(CHOOSE(BN68,J68,N68,R68,V68,Z68,AD68,AH68,AL68))+N(CHOOSE(BN68,K68,O68,S68,W68,AA68,AE68,AI68,AM68))))),0))</f>
        <v/>
      </c>
      <c r="BP68">
        <f>MIN(N(BO68),MAX(0,N(BM68)))</f>
        <v/>
      </c>
      <c r="BQ68">
        <f>MAX(0,N(BM68)-N(BP68))</f>
        <v/>
      </c>
      <c r="BR68">
        <f>IFERROR(MATCH(8,OrderPlan,0),"")</f>
        <v/>
      </c>
      <c r="BS68">
        <f>IF(BR68="",0,IFERROR(IF(N(CHOOSE(BR68,J68,N68,R68,V68,Z68,AD68,AH68,AL68))&lt;=0.005,0,MAX(0,N(CHOOSE(BR68,J68,N68,R68,V68,Z68,AD68,AH68,AL68))+N(CHOOSE(BR68,K68,O68,S68,W68,AA68,AE68,AI68,AM68))-MIN(N(CHOOSE(BR68,'Debt List'!$F$5,'Debt List'!$F$6,'Debt List'!$F$7,'Debt List'!$F$8,'Debt List'!$F$9,'Debt List'!$F$10,'Debt List'!$F$11,'Debt List'!$F$12)),N(CHOOSE(BR68,J68,N68,R68,V68,Z68,AD68,AH68,AL68))+N(CHOOSE(BR68,K68,O68,S68,W68,AA68,AE68,AI68,AM68))))),0))</f>
        <v/>
      </c>
      <c r="BT68">
        <f>MIN(N(BS68),MAX(0,N(BQ68)))</f>
        <v/>
      </c>
      <c r="BU68">
        <f>MAX(0,N(BQ68)-N(BT68))</f>
        <v/>
      </c>
      <c r="CC68" t="n">
        <v>64</v>
      </c>
      <c r="CD68" s="115">
        <f>DATE(YEAR(PlanStart),MONTH(PlanStart)+CC68-1,1)</f>
        <v/>
      </c>
      <c r="CE68">
        <f>IF(AND(DR68&lt;&gt;"",N(CHOOSE(DR68,CL68,CP68,CT68,CX68,DB68,DF68,DJ68,DN68))&gt;0.005),INDEX(DebtNames,DR68),IF(AND(DV68&lt;&gt;"",N(CHOOSE(DV68,CL68,CP68,CT68,CX68,DB68,DF68,DJ68,DN68))&gt;0.005),INDEX(DebtNames,DV68),IF(AND(DZ68&lt;&gt;"",N(CHOOSE(DZ68,CL68,CP68,CT68,CX68,DB68,DF68,DJ68,DN68))&gt;0.005),INDEX(DebtNames,DZ68),IF(AND(ED68&lt;&gt;"",N(CHOOSE(ED68,CL68,CP68,CT68,CX68,DB68,DF68,DJ68,DN68))&gt;0.005),INDEX(DebtNames,ED68),IF(AND(EH68&lt;&gt;"",N(CHOOSE(EH68,CL68,CP68,CT68,CX68,DB68,DF68,DJ68,DN68))&gt;0.005),INDEX(DebtNames,EH68),IF(AND(EL68&lt;&gt;"",N(CHOOSE(EL68,CL68,CP68,CT68,CX68,DB68,DF68,DJ68,DN68))&gt;0.005),INDEX(DebtNames,EL68),IF(AND(EP68&lt;&gt;"",N(CHOOSE(EP68,CL68,CP68,CT68,CX68,DB68,DF68,DJ68,DN68))&gt;0.005),INDEX(DebtNames,EP68),IF(AND(ET68&lt;&gt;"",N(CHOOSE(ET68,CL68,CP68,CT68,CX68,DB68,DF68,DJ68,DN68))&gt;0.005),INDEX(DebtNames,ET68),""))))))))</f>
        <v/>
      </c>
      <c r="CF68">
        <f>N(EW68)</f>
        <v/>
      </c>
      <c r="CG68">
        <f>N(CN68)+N(CR68)+N(CV68)+N(CZ68)+N(DD68)+N(DH68)+N(DL68)+N(DP68)</f>
        <v/>
      </c>
      <c r="CH68">
        <f>N(CM68)+N(CQ68)+N(CU68)+N(CY68)+N(DC68)+N(DG68)+N(DK68)+N(DO68)</f>
        <v/>
      </c>
      <c r="CI68">
        <f>N(CI67)+N(CH68)</f>
        <v/>
      </c>
      <c r="CJ68">
        <f>N(CO68)+N(CS68)+N(CW68)+N(DA68)+N(DE68)+N(DI68)+N(DM68)+N(DQ68)</f>
        <v/>
      </c>
      <c r="CK68">
        <f>(CO68&gt;0.005)*1+(CS68&gt;0.005)*1+(CW68&gt;0.005)*1+(DA68&gt;0.005)*1+(DE68&gt;0.005)*1+(DI68&gt;0.005)*1+(DM68&gt;0.005)*1+(DQ68&gt;0.005)*1</f>
        <v/>
      </c>
      <c r="CL68">
        <f>N(CO67)</f>
        <v/>
      </c>
      <c r="CM68">
        <f>IF(N(CL68)&lt;=0.005,0,ROUND(N(CL68)*N('Debt List'!E5)/12,2))</f>
        <v/>
      </c>
      <c r="CN68">
        <f>IF(N(CL68)&lt;=0.005,0,MIN(N('Debt List'!F5),N(CL68)+N(CM68)))+((DR68=1)*DT68+(DV68=1)*DX68+(DZ68=1)*EB68+(ED68=1)*EF68+(EH68=1)*EJ68+(EL68=1)*EN68+(EP68=1)*ER68+(ET68=1)*EV68)</f>
        <v/>
      </c>
      <c r="CO68">
        <f>MAX(0,ROUND(N(CL68)+N(CM68)-N(CN68),2))</f>
        <v/>
      </c>
      <c r="CP68">
        <f>N(CS67)</f>
        <v/>
      </c>
      <c r="CQ68">
        <f>IF(N(CP68)&lt;=0.005,0,ROUND(N(CP68)*N('Debt List'!E6)/12,2))</f>
        <v/>
      </c>
      <c r="CR68">
        <f>IF(N(CP68)&lt;=0.005,0,MIN(N('Debt List'!F6),N(CP68)+N(CQ68)))+((DR68=2)*DT68+(DV68=2)*DX68+(DZ68=2)*EB68+(ED68=2)*EF68+(EH68=2)*EJ68+(EL68=2)*EN68+(EP68=2)*ER68+(ET68=2)*EV68)</f>
        <v/>
      </c>
      <c r="CS68">
        <f>MAX(0,ROUND(N(CP68)+N(CQ68)-N(CR68),2))</f>
        <v/>
      </c>
      <c r="CT68">
        <f>N(CW67)</f>
        <v/>
      </c>
      <c r="CU68">
        <f>IF(N(CT68)&lt;=0.005,0,ROUND(N(CT68)*N('Debt List'!E7)/12,2))</f>
        <v/>
      </c>
      <c r="CV68">
        <f>IF(N(CT68)&lt;=0.005,0,MIN(N('Debt List'!F7),N(CT68)+N(CU68)))+((DR68=3)*DT68+(DV68=3)*DX68+(DZ68=3)*EB68+(ED68=3)*EF68+(EH68=3)*EJ68+(EL68=3)*EN68+(EP68=3)*ER68+(ET68=3)*EV68)</f>
        <v/>
      </c>
      <c r="CW68">
        <f>MAX(0,ROUND(N(CT68)+N(CU68)-N(CV68),2))</f>
        <v/>
      </c>
      <c r="CX68">
        <f>N(DA67)</f>
        <v/>
      </c>
      <c r="CY68">
        <f>IF(N(CX68)&lt;=0.005,0,ROUND(N(CX68)*N('Debt List'!E8)/12,2))</f>
        <v/>
      </c>
      <c r="CZ68">
        <f>IF(N(CX68)&lt;=0.005,0,MIN(N('Debt List'!F8),N(CX68)+N(CY68)))+((DR68=4)*DT68+(DV68=4)*DX68+(DZ68=4)*EB68+(ED68=4)*EF68+(EH68=4)*EJ68+(EL68=4)*EN68+(EP68=4)*ER68+(ET68=4)*EV68)</f>
        <v/>
      </c>
      <c r="DA68">
        <f>MAX(0,ROUND(N(CX68)+N(CY68)-N(CZ68),2))</f>
        <v/>
      </c>
      <c r="DB68">
        <f>N(DE67)</f>
        <v/>
      </c>
      <c r="DC68">
        <f>IF(N(DB68)&lt;=0.005,0,ROUND(N(DB68)*N('Debt List'!E9)/12,2))</f>
        <v/>
      </c>
      <c r="DD68">
        <f>IF(N(DB68)&lt;=0.005,0,MIN(N('Debt List'!F9),N(DB68)+N(DC68)))+((DR68=5)*DT68+(DV68=5)*DX68+(DZ68=5)*EB68+(ED68=5)*EF68+(EH68=5)*EJ68+(EL68=5)*EN68+(EP68=5)*ER68+(ET68=5)*EV68)</f>
        <v/>
      </c>
      <c r="DE68">
        <f>MAX(0,ROUND(N(DB68)+N(DC68)-N(DD68),2))</f>
        <v/>
      </c>
      <c r="DF68">
        <f>N(DI67)</f>
        <v/>
      </c>
      <c r="DG68">
        <f>IF(N(DF68)&lt;=0.005,0,ROUND(N(DF68)*N('Debt List'!E10)/12,2))</f>
        <v/>
      </c>
      <c r="DH68">
        <f>IF(N(DF68)&lt;=0.005,0,MIN(N('Debt List'!F10),N(DF68)+N(DG68)))+((DR68=6)*DT68+(DV68=6)*DX68+(DZ68=6)*EB68+(ED68=6)*EF68+(EH68=6)*EJ68+(EL68=6)*EN68+(EP68=6)*ER68+(ET68=6)*EV68)</f>
        <v/>
      </c>
      <c r="DI68">
        <f>MAX(0,ROUND(N(DF68)+N(DG68)-N(DH68),2))</f>
        <v/>
      </c>
      <c r="DJ68">
        <f>N(DM67)</f>
        <v/>
      </c>
      <c r="DK68">
        <f>IF(N(DJ68)&lt;=0.005,0,ROUND(N(DJ68)*N('Debt List'!E11)/12,2))</f>
        <v/>
      </c>
      <c r="DL68">
        <f>IF(N(DJ68)&lt;=0.005,0,MIN(N('Debt List'!F11),N(DJ68)+N(DK68)))+((DR68=7)*DT68+(DV68=7)*DX68+(DZ68=7)*EB68+(ED68=7)*EF68+(EH68=7)*EJ68+(EL68=7)*EN68+(EP68=7)*ER68+(ET68=7)*EV68)</f>
        <v/>
      </c>
      <c r="DM68">
        <f>MAX(0,ROUND(N(DJ68)+N(DK68)-N(DL68),2))</f>
        <v/>
      </c>
      <c r="DN68">
        <f>N(DQ67)</f>
        <v/>
      </c>
      <c r="DO68">
        <f>IF(N(DN68)&lt;=0.005,0,ROUND(N(DN68)*N('Debt List'!E12)/12,2))</f>
        <v/>
      </c>
      <c r="DP68">
        <f>IF(N(DN68)&lt;=0.005,0,MIN(N('Debt List'!F12),N(DN68)+N(DO68)))+((DR68=8)*DT68+(DV68=8)*DX68+(DZ68=8)*EB68+(ED68=8)*EF68+(EH68=8)*EJ68+(EL68=8)*EN68+(EP68=8)*ER68+(ET68=8)*EV68)</f>
        <v/>
      </c>
      <c r="DQ68">
        <f>MAX(0,ROUND(N(DN68)+N(DO68)-N(DP68),2))</f>
        <v/>
      </c>
      <c r="DR68">
        <f>IFERROR(MATCH(1,OrderSnow,0),"")</f>
        <v/>
      </c>
      <c r="DS68">
        <f>IF(DR68="",0,IFERROR(IF(N(CHOOSE(DR68,CL68,CP68,CT68,CX68,DB68,DF68,DJ68,DN68))&lt;=0.005,0,MAX(0,N(CHOOSE(DR68,CL68,CP68,CT68,CX68,DB68,DF68,DJ68,DN68))+N(CHOOSE(DR68,CM68,CQ68,CU68,CY68,DC68,DG68,DK68,DO68))-MIN(N(CHOOSE(DR68,'Debt List'!$F$5,'Debt List'!$F$6,'Debt List'!$F$7,'Debt List'!$F$8,'Debt List'!$F$9,'Debt List'!$F$10,'Debt List'!$F$11,'Debt List'!$F$12)),N(CHOOSE(DR68,CL68,CP68,CT68,CX68,DB68,DF68,DJ68,DN68))+N(CHOOSE(DR68,CM68,CQ68,CU68,CY68,DC68,DG68,DK68,DO68))))),0))</f>
        <v/>
      </c>
      <c r="DT68">
        <f>MIN(N(DS68),MAX(0,N(ExtraPayment)))</f>
        <v/>
      </c>
      <c r="DU68">
        <f>MAX(0,N(ExtraPayment)-N(DT68))</f>
        <v/>
      </c>
      <c r="DV68">
        <f>IFERROR(MATCH(2,OrderSnow,0),"")</f>
        <v/>
      </c>
      <c r="DW68">
        <f>IF(DV68="",0,IFERROR(IF(N(CHOOSE(DV68,CL68,CP68,CT68,CX68,DB68,DF68,DJ68,DN68))&lt;=0.005,0,MAX(0,N(CHOOSE(DV68,CL68,CP68,CT68,CX68,DB68,DF68,DJ68,DN68))+N(CHOOSE(DV68,CM68,CQ68,CU68,CY68,DC68,DG68,DK68,DO68))-MIN(N(CHOOSE(DV68,'Debt List'!$F$5,'Debt List'!$F$6,'Debt List'!$F$7,'Debt List'!$F$8,'Debt List'!$F$9,'Debt List'!$F$10,'Debt List'!$F$11,'Debt List'!$F$12)),N(CHOOSE(DV68,CL68,CP68,CT68,CX68,DB68,DF68,DJ68,DN68))+N(CHOOSE(DV68,CM68,CQ68,CU68,CY68,DC68,DG68,DK68,DO68))))),0))</f>
        <v/>
      </c>
      <c r="DX68">
        <f>MIN(N(DW68),MAX(0,N(DU68)))</f>
        <v/>
      </c>
      <c r="DY68">
        <f>MAX(0,N(DU68)-N(DX68))</f>
        <v/>
      </c>
      <c r="DZ68">
        <f>IFERROR(MATCH(3,OrderSnow,0),"")</f>
        <v/>
      </c>
      <c r="EA68">
        <f>IF(DZ68="",0,IFERROR(IF(N(CHOOSE(DZ68,CL68,CP68,CT68,CX68,DB68,DF68,DJ68,DN68))&lt;=0.005,0,MAX(0,N(CHOOSE(DZ68,CL68,CP68,CT68,CX68,DB68,DF68,DJ68,DN68))+N(CHOOSE(DZ68,CM68,CQ68,CU68,CY68,DC68,DG68,DK68,DO68))-MIN(N(CHOOSE(DZ68,'Debt List'!$F$5,'Debt List'!$F$6,'Debt List'!$F$7,'Debt List'!$F$8,'Debt List'!$F$9,'Debt List'!$F$10,'Debt List'!$F$11,'Debt List'!$F$12)),N(CHOOSE(DZ68,CL68,CP68,CT68,CX68,DB68,DF68,DJ68,DN68))+N(CHOOSE(DZ68,CM68,CQ68,CU68,CY68,DC68,DG68,DK68,DO68))))),0))</f>
        <v/>
      </c>
      <c r="EB68">
        <f>MIN(N(EA68),MAX(0,N(DY68)))</f>
        <v/>
      </c>
      <c r="EC68">
        <f>MAX(0,N(DY68)-N(EB68))</f>
        <v/>
      </c>
      <c r="ED68">
        <f>IFERROR(MATCH(4,OrderSnow,0),"")</f>
        <v/>
      </c>
      <c r="EE68">
        <f>IF(ED68="",0,IFERROR(IF(N(CHOOSE(ED68,CL68,CP68,CT68,CX68,DB68,DF68,DJ68,DN68))&lt;=0.005,0,MAX(0,N(CHOOSE(ED68,CL68,CP68,CT68,CX68,DB68,DF68,DJ68,DN68))+N(CHOOSE(ED68,CM68,CQ68,CU68,CY68,DC68,DG68,DK68,DO68))-MIN(N(CHOOSE(ED68,'Debt List'!$F$5,'Debt List'!$F$6,'Debt List'!$F$7,'Debt List'!$F$8,'Debt List'!$F$9,'Debt List'!$F$10,'Debt List'!$F$11,'Debt List'!$F$12)),N(CHOOSE(ED68,CL68,CP68,CT68,CX68,DB68,DF68,DJ68,DN68))+N(CHOOSE(ED68,CM68,CQ68,CU68,CY68,DC68,DG68,DK68,DO68))))),0))</f>
        <v/>
      </c>
      <c r="EF68">
        <f>MIN(N(EE68),MAX(0,N(EC68)))</f>
        <v/>
      </c>
      <c r="EG68">
        <f>MAX(0,N(EC68)-N(EF68))</f>
        <v/>
      </c>
      <c r="EH68">
        <f>IFERROR(MATCH(5,OrderSnow,0),"")</f>
        <v/>
      </c>
      <c r="EI68">
        <f>IF(EH68="",0,IFERROR(IF(N(CHOOSE(EH68,CL68,CP68,CT68,CX68,DB68,DF68,DJ68,DN68))&lt;=0.005,0,MAX(0,N(CHOOSE(EH68,CL68,CP68,CT68,CX68,DB68,DF68,DJ68,DN68))+N(CHOOSE(EH68,CM68,CQ68,CU68,CY68,DC68,DG68,DK68,DO68))-MIN(N(CHOOSE(EH68,'Debt List'!$F$5,'Debt List'!$F$6,'Debt List'!$F$7,'Debt List'!$F$8,'Debt List'!$F$9,'Debt List'!$F$10,'Debt List'!$F$11,'Debt List'!$F$12)),N(CHOOSE(EH68,CL68,CP68,CT68,CX68,DB68,DF68,DJ68,DN68))+N(CHOOSE(EH68,CM68,CQ68,CU68,CY68,DC68,DG68,DK68,DO68))))),0))</f>
        <v/>
      </c>
      <c r="EJ68">
        <f>MIN(N(EI68),MAX(0,N(EG68)))</f>
        <v/>
      </c>
      <c r="EK68">
        <f>MAX(0,N(EG68)-N(EJ68))</f>
        <v/>
      </c>
      <c r="EL68">
        <f>IFERROR(MATCH(6,OrderSnow,0),"")</f>
        <v/>
      </c>
      <c r="EM68">
        <f>IF(EL68="",0,IFERROR(IF(N(CHOOSE(EL68,CL68,CP68,CT68,CX68,DB68,DF68,DJ68,DN68))&lt;=0.005,0,MAX(0,N(CHOOSE(EL68,CL68,CP68,CT68,CX68,DB68,DF68,DJ68,DN68))+N(CHOOSE(EL68,CM68,CQ68,CU68,CY68,DC68,DG68,DK68,DO68))-MIN(N(CHOOSE(EL68,'Debt List'!$F$5,'Debt List'!$F$6,'Debt List'!$F$7,'Debt List'!$F$8,'Debt List'!$F$9,'Debt List'!$F$10,'Debt List'!$F$11,'Debt List'!$F$12)),N(CHOOSE(EL68,CL68,CP68,CT68,CX68,DB68,DF68,DJ68,DN68))+N(CHOOSE(EL68,CM68,CQ68,CU68,CY68,DC68,DG68,DK68,DO68))))),0))</f>
        <v/>
      </c>
      <c r="EN68">
        <f>MIN(N(EM68),MAX(0,N(EK68)))</f>
        <v/>
      </c>
      <c r="EO68">
        <f>MAX(0,N(EK68)-N(EN68))</f>
        <v/>
      </c>
      <c r="EP68">
        <f>IFERROR(MATCH(7,OrderSnow,0),"")</f>
        <v/>
      </c>
      <c r="EQ68">
        <f>IF(EP68="",0,IFERROR(IF(N(CHOOSE(EP68,CL68,CP68,CT68,CX68,DB68,DF68,DJ68,DN68))&lt;=0.005,0,MAX(0,N(CHOOSE(EP68,CL68,CP68,CT68,CX68,DB68,DF68,DJ68,DN68))+N(CHOOSE(EP68,CM68,CQ68,CU68,CY68,DC68,DG68,DK68,DO68))-MIN(N(CHOOSE(EP68,'Debt List'!$F$5,'Debt List'!$F$6,'Debt List'!$F$7,'Debt List'!$F$8,'Debt List'!$F$9,'Debt List'!$F$10,'Debt List'!$F$11,'Debt List'!$F$12)),N(CHOOSE(EP68,CL68,CP68,CT68,CX68,DB68,DF68,DJ68,DN68))+N(CHOOSE(EP68,CM68,CQ68,CU68,CY68,DC68,DG68,DK68,DO68))))),0))</f>
        <v/>
      </c>
      <c r="ER68">
        <f>MIN(N(EQ68),MAX(0,N(EO68)))</f>
        <v/>
      </c>
      <c r="ES68">
        <f>MAX(0,N(EO68)-N(ER68))</f>
        <v/>
      </c>
      <c r="ET68">
        <f>IFERROR(MATCH(8,OrderSnow,0),"")</f>
        <v/>
      </c>
      <c r="EU68">
        <f>IF(ET68="",0,IFERROR(IF(N(CHOOSE(ET68,CL68,CP68,CT68,CX68,DB68,DF68,DJ68,DN68))&lt;=0.005,0,MAX(0,N(CHOOSE(ET68,CL68,CP68,CT68,CX68,DB68,DF68,DJ68,DN68))+N(CHOOSE(ET68,CM68,CQ68,CU68,CY68,DC68,DG68,DK68,DO68))-MIN(N(CHOOSE(ET68,'Debt List'!$F$5,'Debt List'!$F$6,'Debt List'!$F$7,'Debt List'!$F$8,'Debt List'!$F$9,'Debt List'!$F$10,'Debt List'!$F$11,'Debt List'!$F$12)),N(CHOOSE(ET68,CL68,CP68,CT68,CX68,DB68,DF68,DJ68,DN68))+N(CHOOSE(ET68,CM68,CQ68,CU68,CY68,DC68,DG68,DK68,DO68))))),0))</f>
        <v/>
      </c>
      <c r="EV68">
        <f>MIN(N(EU68),MAX(0,N(ES68)))</f>
        <v/>
      </c>
      <c r="EW68">
        <f>MAX(0,N(ES68)-N(EV68))</f>
        <v/>
      </c>
      <c r="FE68" t="n">
        <v>64</v>
      </c>
      <c r="FF68" s="115">
        <f>DATE(YEAR(PlanStart),MONTH(PlanStart)+FE68-1,1)</f>
        <v/>
      </c>
      <c r="FG68">
        <f>IF(AND(GT68&lt;&gt;"",N(CHOOSE(GT68,FN68,FR68,FV68,FZ68,GD68,GH68,GL68,GP68))&gt;0.005),INDEX(DebtNames,GT68),IF(AND(GX68&lt;&gt;"",N(CHOOSE(GX68,FN68,FR68,FV68,FZ68,GD68,GH68,GL68,GP68))&gt;0.005),INDEX(DebtNames,GX68),IF(AND(HB68&lt;&gt;"",N(CHOOSE(HB68,FN68,FR68,FV68,FZ68,GD68,GH68,GL68,GP68))&gt;0.005),INDEX(DebtNames,HB68),IF(AND(HF68&lt;&gt;"",N(CHOOSE(HF68,FN68,FR68,FV68,FZ68,GD68,GH68,GL68,GP68))&gt;0.005),INDEX(DebtNames,HF68),IF(AND(HJ68&lt;&gt;"",N(CHOOSE(HJ68,FN68,FR68,FV68,FZ68,GD68,GH68,GL68,GP68))&gt;0.005),INDEX(DebtNames,HJ68),IF(AND(HN68&lt;&gt;"",N(CHOOSE(HN68,FN68,FR68,FV68,FZ68,GD68,GH68,GL68,GP68))&gt;0.005),INDEX(DebtNames,HN68),IF(AND(HR68&lt;&gt;"",N(CHOOSE(HR68,FN68,FR68,FV68,FZ68,GD68,GH68,GL68,GP68))&gt;0.005),INDEX(DebtNames,HR68),IF(AND(HV68&lt;&gt;"",N(CHOOSE(HV68,FN68,FR68,FV68,FZ68,GD68,GH68,GL68,GP68))&gt;0.005),INDEX(DebtNames,HV68),""))))))))</f>
        <v/>
      </c>
      <c r="FH68">
        <f>N(HY68)</f>
        <v/>
      </c>
      <c r="FI68">
        <f>N(FP68)+N(FT68)+N(FX68)+N(GB68)+N(GF68)+N(GJ68)+N(GN68)+N(GR68)</f>
        <v/>
      </c>
      <c r="FJ68">
        <f>N(FO68)+N(FS68)+N(FW68)+N(GA68)+N(GE68)+N(GI68)+N(GM68)+N(GQ68)</f>
        <v/>
      </c>
      <c r="FK68">
        <f>N(FK67)+N(FJ68)</f>
        <v/>
      </c>
      <c r="FL68">
        <f>N(FQ68)+N(FU68)+N(FY68)+N(GC68)+N(GG68)+N(GK68)+N(GO68)+N(GS68)</f>
        <v/>
      </c>
      <c r="FM68">
        <f>(FQ68&gt;0.005)*1+(FU68&gt;0.005)*1+(FY68&gt;0.005)*1+(GC68&gt;0.005)*1+(GG68&gt;0.005)*1+(GK68&gt;0.005)*1+(GO68&gt;0.005)*1+(GS68&gt;0.005)*1</f>
        <v/>
      </c>
      <c r="FN68">
        <f>N(FQ67)</f>
        <v/>
      </c>
      <c r="FO68">
        <f>IF(N(FN68)&lt;=0.005,0,ROUND(N(FN68)*N('Debt List'!E5)/12,2))</f>
        <v/>
      </c>
      <c r="FP68">
        <f>IF(N(FN68)&lt;=0.005,0,MIN(N('Debt List'!F5),N(FN68)+N(FO68)))+((GT68=1)*GV68+(GX68=1)*GZ68+(HB68=1)*HD68+(HF68=1)*HH68+(HJ68=1)*HL68+(HN68=1)*HP68+(HR68=1)*HT68+(HV68=1)*HX68)</f>
        <v/>
      </c>
      <c r="FQ68">
        <f>MAX(0,ROUND(N(FN68)+N(FO68)-N(FP68),2))</f>
        <v/>
      </c>
      <c r="FR68">
        <f>N(FU67)</f>
        <v/>
      </c>
      <c r="FS68">
        <f>IF(N(FR68)&lt;=0.005,0,ROUND(N(FR68)*N('Debt List'!E6)/12,2))</f>
        <v/>
      </c>
      <c r="FT68">
        <f>IF(N(FR68)&lt;=0.005,0,MIN(N('Debt List'!F6),N(FR68)+N(FS68)))+((GT68=2)*GV68+(GX68=2)*GZ68+(HB68=2)*HD68+(HF68=2)*HH68+(HJ68=2)*HL68+(HN68=2)*HP68+(HR68=2)*HT68+(HV68=2)*HX68)</f>
        <v/>
      </c>
      <c r="FU68">
        <f>MAX(0,ROUND(N(FR68)+N(FS68)-N(FT68),2))</f>
        <v/>
      </c>
      <c r="FV68">
        <f>N(FY67)</f>
        <v/>
      </c>
      <c r="FW68">
        <f>IF(N(FV68)&lt;=0.005,0,ROUND(N(FV68)*N('Debt List'!E7)/12,2))</f>
        <v/>
      </c>
      <c r="FX68">
        <f>IF(N(FV68)&lt;=0.005,0,MIN(N('Debt List'!F7),N(FV68)+N(FW68)))+((GT68=3)*GV68+(GX68=3)*GZ68+(HB68=3)*HD68+(HF68=3)*HH68+(HJ68=3)*HL68+(HN68=3)*HP68+(HR68=3)*HT68+(HV68=3)*HX68)</f>
        <v/>
      </c>
      <c r="FY68">
        <f>MAX(0,ROUND(N(FV68)+N(FW68)-N(FX68),2))</f>
        <v/>
      </c>
      <c r="FZ68">
        <f>N(GC67)</f>
        <v/>
      </c>
      <c r="GA68">
        <f>IF(N(FZ68)&lt;=0.005,0,ROUND(N(FZ68)*N('Debt List'!E8)/12,2))</f>
        <v/>
      </c>
      <c r="GB68">
        <f>IF(N(FZ68)&lt;=0.005,0,MIN(N('Debt List'!F8),N(FZ68)+N(GA68)))+((GT68=4)*GV68+(GX68=4)*GZ68+(HB68=4)*HD68+(HF68=4)*HH68+(HJ68=4)*HL68+(HN68=4)*HP68+(HR68=4)*HT68+(HV68=4)*HX68)</f>
        <v/>
      </c>
      <c r="GC68">
        <f>MAX(0,ROUND(N(FZ68)+N(GA68)-N(GB68),2))</f>
        <v/>
      </c>
      <c r="GD68">
        <f>N(GG67)</f>
        <v/>
      </c>
      <c r="GE68">
        <f>IF(N(GD68)&lt;=0.005,0,ROUND(N(GD68)*N('Debt List'!E9)/12,2))</f>
        <v/>
      </c>
      <c r="GF68">
        <f>IF(N(GD68)&lt;=0.005,0,MIN(N('Debt List'!F9),N(GD68)+N(GE68)))+((GT68=5)*GV68+(GX68=5)*GZ68+(HB68=5)*HD68+(HF68=5)*HH68+(HJ68=5)*HL68+(HN68=5)*HP68+(HR68=5)*HT68+(HV68=5)*HX68)</f>
        <v/>
      </c>
      <c r="GG68">
        <f>MAX(0,ROUND(N(GD68)+N(GE68)-N(GF68),2))</f>
        <v/>
      </c>
      <c r="GH68">
        <f>N(GK67)</f>
        <v/>
      </c>
      <c r="GI68">
        <f>IF(N(GH68)&lt;=0.005,0,ROUND(N(GH68)*N('Debt List'!E10)/12,2))</f>
        <v/>
      </c>
      <c r="GJ68">
        <f>IF(N(GH68)&lt;=0.005,0,MIN(N('Debt List'!F10),N(GH68)+N(GI68)))+((GT68=6)*GV68+(GX68=6)*GZ68+(HB68=6)*HD68+(HF68=6)*HH68+(HJ68=6)*HL68+(HN68=6)*HP68+(HR68=6)*HT68+(HV68=6)*HX68)</f>
        <v/>
      </c>
      <c r="GK68">
        <f>MAX(0,ROUND(N(GH68)+N(GI68)-N(GJ68),2))</f>
        <v/>
      </c>
      <c r="GL68">
        <f>N(GO67)</f>
        <v/>
      </c>
      <c r="GM68">
        <f>IF(N(GL68)&lt;=0.005,0,ROUND(N(GL68)*N('Debt List'!E11)/12,2))</f>
        <v/>
      </c>
      <c r="GN68">
        <f>IF(N(GL68)&lt;=0.005,0,MIN(N('Debt List'!F11),N(GL68)+N(GM68)))+((GT68=7)*GV68+(GX68=7)*GZ68+(HB68=7)*HD68+(HF68=7)*HH68+(HJ68=7)*HL68+(HN68=7)*HP68+(HR68=7)*HT68+(HV68=7)*HX68)</f>
        <v/>
      </c>
      <c r="GO68">
        <f>MAX(0,ROUND(N(GL68)+N(GM68)-N(GN68),2))</f>
        <v/>
      </c>
      <c r="GP68">
        <f>N(GS67)</f>
        <v/>
      </c>
      <c r="GQ68">
        <f>IF(N(GP68)&lt;=0.005,0,ROUND(N(GP68)*N('Debt List'!E12)/12,2))</f>
        <v/>
      </c>
      <c r="GR68">
        <f>IF(N(GP68)&lt;=0.005,0,MIN(N('Debt List'!F12),N(GP68)+N(GQ68)))+((GT68=8)*GV68+(GX68=8)*GZ68+(HB68=8)*HD68+(HF68=8)*HH68+(HJ68=8)*HL68+(HN68=8)*HP68+(HR68=8)*HT68+(HV68=8)*HX68)</f>
        <v/>
      </c>
      <c r="GS68">
        <f>MAX(0,ROUND(N(GP68)+N(GQ68)-N(GR68),2))</f>
        <v/>
      </c>
      <c r="GT68">
        <f>IFERROR(MATCH(1,OrderAval,0),"")</f>
        <v/>
      </c>
      <c r="GU68">
        <f>IF(GT68="",0,IFERROR(IF(N(CHOOSE(GT68,FN68,FR68,FV68,FZ68,GD68,GH68,GL68,GP68))&lt;=0.005,0,MAX(0,N(CHOOSE(GT68,FN68,FR68,FV68,FZ68,GD68,GH68,GL68,GP68))+N(CHOOSE(GT68,FO68,FS68,FW68,GA68,GE68,GI68,GM68,GQ68))-MIN(N(CHOOSE(GT68,'Debt List'!$F$5,'Debt List'!$F$6,'Debt List'!$F$7,'Debt List'!$F$8,'Debt List'!$F$9,'Debt List'!$F$10,'Debt List'!$F$11,'Debt List'!$F$12)),N(CHOOSE(GT68,FN68,FR68,FV68,FZ68,GD68,GH68,GL68,GP68))+N(CHOOSE(GT68,FO68,FS68,FW68,GA68,GE68,GI68,GM68,GQ68))))),0))</f>
        <v/>
      </c>
      <c r="GV68">
        <f>MIN(N(GU68),MAX(0,N(ExtraPayment)))</f>
        <v/>
      </c>
      <c r="GW68">
        <f>MAX(0,N(ExtraPayment)-N(GV68))</f>
        <v/>
      </c>
      <c r="GX68">
        <f>IFERROR(MATCH(2,OrderAval,0),"")</f>
        <v/>
      </c>
      <c r="GY68">
        <f>IF(GX68="",0,IFERROR(IF(N(CHOOSE(GX68,FN68,FR68,FV68,FZ68,GD68,GH68,GL68,GP68))&lt;=0.005,0,MAX(0,N(CHOOSE(GX68,FN68,FR68,FV68,FZ68,GD68,GH68,GL68,GP68))+N(CHOOSE(GX68,FO68,FS68,FW68,GA68,GE68,GI68,GM68,GQ68))-MIN(N(CHOOSE(GX68,'Debt List'!$F$5,'Debt List'!$F$6,'Debt List'!$F$7,'Debt List'!$F$8,'Debt List'!$F$9,'Debt List'!$F$10,'Debt List'!$F$11,'Debt List'!$F$12)),N(CHOOSE(GX68,FN68,FR68,FV68,FZ68,GD68,GH68,GL68,GP68))+N(CHOOSE(GX68,FO68,FS68,FW68,GA68,GE68,GI68,GM68,GQ68))))),0))</f>
        <v/>
      </c>
      <c r="GZ68">
        <f>MIN(N(GY68),MAX(0,N(GW68)))</f>
        <v/>
      </c>
      <c r="HA68">
        <f>MAX(0,N(GW68)-N(GZ68))</f>
        <v/>
      </c>
      <c r="HB68">
        <f>IFERROR(MATCH(3,OrderAval,0),"")</f>
        <v/>
      </c>
      <c r="HC68">
        <f>IF(HB68="",0,IFERROR(IF(N(CHOOSE(HB68,FN68,FR68,FV68,FZ68,GD68,GH68,GL68,GP68))&lt;=0.005,0,MAX(0,N(CHOOSE(HB68,FN68,FR68,FV68,FZ68,GD68,GH68,GL68,GP68))+N(CHOOSE(HB68,FO68,FS68,FW68,GA68,GE68,GI68,GM68,GQ68))-MIN(N(CHOOSE(HB68,'Debt List'!$F$5,'Debt List'!$F$6,'Debt List'!$F$7,'Debt List'!$F$8,'Debt List'!$F$9,'Debt List'!$F$10,'Debt List'!$F$11,'Debt List'!$F$12)),N(CHOOSE(HB68,FN68,FR68,FV68,FZ68,GD68,GH68,GL68,GP68))+N(CHOOSE(HB68,FO68,FS68,FW68,GA68,GE68,GI68,GM68,GQ68))))),0))</f>
        <v/>
      </c>
      <c r="HD68">
        <f>MIN(N(HC68),MAX(0,N(HA68)))</f>
        <v/>
      </c>
      <c r="HE68">
        <f>MAX(0,N(HA68)-N(HD68))</f>
        <v/>
      </c>
      <c r="HF68">
        <f>IFERROR(MATCH(4,OrderAval,0),"")</f>
        <v/>
      </c>
      <c r="HG68">
        <f>IF(HF68="",0,IFERROR(IF(N(CHOOSE(HF68,FN68,FR68,FV68,FZ68,GD68,GH68,GL68,GP68))&lt;=0.005,0,MAX(0,N(CHOOSE(HF68,FN68,FR68,FV68,FZ68,GD68,GH68,GL68,GP68))+N(CHOOSE(HF68,FO68,FS68,FW68,GA68,GE68,GI68,GM68,GQ68))-MIN(N(CHOOSE(HF68,'Debt List'!$F$5,'Debt List'!$F$6,'Debt List'!$F$7,'Debt List'!$F$8,'Debt List'!$F$9,'Debt List'!$F$10,'Debt List'!$F$11,'Debt List'!$F$12)),N(CHOOSE(HF68,FN68,FR68,FV68,FZ68,GD68,GH68,GL68,GP68))+N(CHOOSE(HF68,FO68,FS68,FW68,GA68,GE68,GI68,GM68,GQ68))))),0))</f>
        <v/>
      </c>
      <c r="HH68">
        <f>MIN(N(HG68),MAX(0,N(HE68)))</f>
        <v/>
      </c>
      <c r="HI68">
        <f>MAX(0,N(HE68)-N(HH68))</f>
        <v/>
      </c>
      <c r="HJ68">
        <f>IFERROR(MATCH(5,OrderAval,0),"")</f>
        <v/>
      </c>
      <c r="HK68">
        <f>IF(HJ68="",0,IFERROR(IF(N(CHOOSE(HJ68,FN68,FR68,FV68,FZ68,GD68,GH68,GL68,GP68))&lt;=0.005,0,MAX(0,N(CHOOSE(HJ68,FN68,FR68,FV68,FZ68,GD68,GH68,GL68,GP68))+N(CHOOSE(HJ68,FO68,FS68,FW68,GA68,GE68,GI68,GM68,GQ68))-MIN(N(CHOOSE(HJ68,'Debt List'!$F$5,'Debt List'!$F$6,'Debt List'!$F$7,'Debt List'!$F$8,'Debt List'!$F$9,'Debt List'!$F$10,'Debt List'!$F$11,'Debt List'!$F$12)),N(CHOOSE(HJ68,FN68,FR68,FV68,FZ68,GD68,GH68,GL68,GP68))+N(CHOOSE(HJ68,FO68,FS68,FW68,GA68,GE68,GI68,GM68,GQ68))))),0))</f>
        <v/>
      </c>
      <c r="HL68">
        <f>MIN(N(HK68),MAX(0,N(HI68)))</f>
        <v/>
      </c>
      <c r="HM68">
        <f>MAX(0,N(HI68)-N(HL68))</f>
        <v/>
      </c>
      <c r="HN68">
        <f>IFERROR(MATCH(6,OrderAval,0),"")</f>
        <v/>
      </c>
      <c r="HO68">
        <f>IF(HN68="",0,IFERROR(IF(N(CHOOSE(HN68,FN68,FR68,FV68,FZ68,GD68,GH68,GL68,GP68))&lt;=0.005,0,MAX(0,N(CHOOSE(HN68,FN68,FR68,FV68,FZ68,GD68,GH68,GL68,GP68))+N(CHOOSE(HN68,FO68,FS68,FW68,GA68,GE68,GI68,GM68,GQ68))-MIN(N(CHOOSE(HN68,'Debt List'!$F$5,'Debt List'!$F$6,'Debt List'!$F$7,'Debt List'!$F$8,'Debt List'!$F$9,'Debt List'!$F$10,'Debt List'!$F$11,'Debt List'!$F$12)),N(CHOOSE(HN68,FN68,FR68,FV68,FZ68,GD68,GH68,GL68,GP68))+N(CHOOSE(HN68,FO68,FS68,FW68,GA68,GE68,GI68,GM68,GQ68))))),0))</f>
        <v/>
      </c>
      <c r="HP68">
        <f>MIN(N(HO68),MAX(0,N(HM68)))</f>
        <v/>
      </c>
      <c r="HQ68">
        <f>MAX(0,N(HM68)-N(HP68))</f>
        <v/>
      </c>
      <c r="HR68">
        <f>IFERROR(MATCH(7,OrderAval,0),"")</f>
        <v/>
      </c>
      <c r="HS68">
        <f>IF(HR68="",0,IFERROR(IF(N(CHOOSE(HR68,FN68,FR68,FV68,FZ68,GD68,GH68,GL68,GP68))&lt;=0.005,0,MAX(0,N(CHOOSE(HR68,FN68,FR68,FV68,FZ68,GD68,GH68,GL68,GP68))+N(CHOOSE(HR68,FO68,FS68,FW68,GA68,GE68,GI68,GM68,GQ68))-MIN(N(CHOOSE(HR68,'Debt List'!$F$5,'Debt List'!$F$6,'Debt List'!$F$7,'Debt List'!$F$8,'Debt List'!$F$9,'Debt List'!$F$10,'Debt List'!$F$11,'Debt List'!$F$12)),N(CHOOSE(HR68,FN68,FR68,FV68,FZ68,GD68,GH68,GL68,GP68))+N(CHOOSE(HR68,FO68,FS68,FW68,GA68,GE68,GI68,GM68,GQ68))))),0))</f>
        <v/>
      </c>
      <c r="HT68">
        <f>MIN(N(HS68),MAX(0,N(HQ68)))</f>
        <v/>
      </c>
      <c r="HU68">
        <f>MAX(0,N(HQ68)-N(HT68))</f>
        <v/>
      </c>
      <c r="HV68">
        <f>IFERROR(MATCH(8,OrderAval,0),"")</f>
        <v/>
      </c>
      <c r="HW68">
        <f>IF(HV68="",0,IFERROR(IF(N(CHOOSE(HV68,FN68,FR68,FV68,FZ68,GD68,GH68,GL68,GP68))&lt;=0.005,0,MAX(0,N(CHOOSE(HV68,FN68,FR68,FV68,FZ68,GD68,GH68,GL68,GP68))+N(CHOOSE(HV68,FO68,FS68,FW68,GA68,GE68,GI68,GM68,GQ68))-MIN(N(CHOOSE(HV68,'Debt List'!$F$5,'Debt List'!$F$6,'Debt List'!$F$7,'Debt List'!$F$8,'Debt List'!$F$9,'Debt List'!$F$10,'Debt List'!$F$11,'Debt List'!$F$12)),N(CHOOSE(HV68,FN68,FR68,FV68,FZ68,GD68,GH68,GL68,GP68))+N(CHOOSE(HV68,FO68,FS68,FW68,GA68,GE68,GI68,GM68,GQ68))))),0))</f>
        <v/>
      </c>
      <c r="HX68">
        <f>MIN(N(HW68),MAX(0,N(HU68)))</f>
        <v/>
      </c>
      <c r="HY68">
        <f>MAX(0,N(HU68)-N(HX68))</f>
        <v/>
      </c>
    </row>
    <row r="69">
      <c r="A69" t="n">
        <v>65</v>
      </c>
      <c r="B69" s="115">
        <f>DATE(YEAR(PlanStart),MONTH(PlanStart)+A69-1,1)</f>
        <v/>
      </c>
      <c r="C69">
        <f>IF(AND(AP69&lt;&gt;"",N(CHOOSE(AP69,J69,N69,R69,V69,Z69,AD69,AH69,AL69))&gt;0.005),INDEX(DebtNames,AP69),IF(AND(AT69&lt;&gt;"",N(CHOOSE(AT69,J69,N69,R69,V69,Z69,AD69,AH69,AL69))&gt;0.005),INDEX(DebtNames,AT69),IF(AND(AX69&lt;&gt;"",N(CHOOSE(AX69,J69,N69,R69,V69,Z69,AD69,AH69,AL69))&gt;0.005),INDEX(DebtNames,AX69),IF(AND(BB69&lt;&gt;"",N(CHOOSE(BB69,J69,N69,R69,V69,Z69,AD69,AH69,AL69))&gt;0.005),INDEX(DebtNames,BB69),IF(AND(BF69&lt;&gt;"",N(CHOOSE(BF69,J69,N69,R69,V69,Z69,AD69,AH69,AL69))&gt;0.005),INDEX(DebtNames,BF69),IF(AND(BJ69&lt;&gt;"",N(CHOOSE(BJ69,J69,N69,R69,V69,Z69,AD69,AH69,AL69))&gt;0.005),INDEX(DebtNames,BJ69),IF(AND(BN69&lt;&gt;"",N(CHOOSE(BN69,J69,N69,R69,V69,Z69,AD69,AH69,AL69))&gt;0.005),INDEX(DebtNames,BN69),IF(AND(BR69&lt;&gt;"",N(CHOOSE(BR69,J69,N69,R69,V69,Z69,AD69,AH69,AL69))&gt;0.005),INDEX(DebtNames,BR69),""))))))))</f>
        <v/>
      </c>
      <c r="D69">
        <f>N(BU69)</f>
        <v/>
      </c>
      <c r="E69">
        <f>N(L69)+N(P69)+N(T69)+N(X69)+N(AB69)+N(AF69)+N(AJ69)+N(AN69)</f>
        <v/>
      </c>
      <c r="F69">
        <f>N(K69)+N(O69)+N(S69)+N(W69)+N(AA69)+N(AE69)+N(AI69)+N(AM69)</f>
        <v/>
      </c>
      <c r="G69">
        <f>N(G68)+N(F69)</f>
        <v/>
      </c>
      <c r="H69">
        <f>N(M69)+N(Q69)+N(U69)+N(Y69)+N(AC69)+N(AG69)+N(AK69)+N(AO69)</f>
        <v/>
      </c>
      <c r="I69">
        <f>(M69&gt;0.005)*1+(Q69&gt;0.005)*1+(U69&gt;0.005)*1+(Y69&gt;0.005)*1+(AC69&gt;0.005)*1+(AG69&gt;0.005)*1+(AK69&gt;0.005)*1+(AO69&gt;0.005)*1</f>
        <v/>
      </c>
      <c r="J69">
        <f>N(M68)</f>
        <v/>
      </c>
      <c r="K69">
        <f>IF(N(J69)&lt;=0.005,0,ROUND(N(J69)*N('Debt List'!E5)/12,2))</f>
        <v/>
      </c>
      <c r="L69">
        <f>IF(N(J69)&lt;=0.005,0,MIN(N('Debt List'!F5),N(J69)+N(K69)))+((AP69=1)*AR69+(AT69=1)*AV69+(AX69=1)*AZ69+(BB69=1)*BD69+(BF69=1)*BH69+(BJ69=1)*BL69+(BN69=1)*BP69+(BR69=1)*BT69)</f>
        <v/>
      </c>
      <c r="M69">
        <f>MAX(0,ROUND(N(J69)+N(K69)-N(L69),2))</f>
        <v/>
      </c>
      <c r="N69">
        <f>N(Q68)</f>
        <v/>
      </c>
      <c r="O69">
        <f>IF(N(N69)&lt;=0.005,0,ROUND(N(N69)*N('Debt List'!E6)/12,2))</f>
        <v/>
      </c>
      <c r="P69">
        <f>IF(N(N69)&lt;=0.005,0,MIN(N('Debt List'!F6),N(N69)+N(O69)))+((AP69=2)*AR69+(AT69=2)*AV69+(AX69=2)*AZ69+(BB69=2)*BD69+(BF69=2)*BH69+(BJ69=2)*BL69+(BN69=2)*BP69+(BR69=2)*BT69)</f>
        <v/>
      </c>
      <c r="Q69">
        <f>MAX(0,ROUND(N(N69)+N(O69)-N(P69),2))</f>
        <v/>
      </c>
      <c r="R69">
        <f>N(U68)</f>
        <v/>
      </c>
      <c r="S69">
        <f>IF(N(R69)&lt;=0.005,0,ROUND(N(R69)*N('Debt List'!E7)/12,2))</f>
        <v/>
      </c>
      <c r="T69">
        <f>IF(N(R69)&lt;=0.005,0,MIN(N('Debt List'!F7),N(R69)+N(S69)))+((AP69=3)*AR69+(AT69=3)*AV69+(AX69=3)*AZ69+(BB69=3)*BD69+(BF69=3)*BH69+(BJ69=3)*BL69+(BN69=3)*BP69+(BR69=3)*BT69)</f>
        <v/>
      </c>
      <c r="U69">
        <f>MAX(0,ROUND(N(R69)+N(S69)-N(T69),2))</f>
        <v/>
      </c>
      <c r="V69">
        <f>N(Y68)</f>
        <v/>
      </c>
      <c r="W69">
        <f>IF(N(V69)&lt;=0.005,0,ROUND(N(V69)*N('Debt List'!E8)/12,2))</f>
        <v/>
      </c>
      <c r="X69">
        <f>IF(N(V69)&lt;=0.005,0,MIN(N('Debt List'!F8),N(V69)+N(W69)))+((AP69=4)*AR69+(AT69=4)*AV69+(AX69=4)*AZ69+(BB69=4)*BD69+(BF69=4)*BH69+(BJ69=4)*BL69+(BN69=4)*BP69+(BR69=4)*BT69)</f>
        <v/>
      </c>
      <c r="Y69">
        <f>MAX(0,ROUND(N(V69)+N(W69)-N(X69),2))</f>
        <v/>
      </c>
      <c r="Z69">
        <f>N(AC68)</f>
        <v/>
      </c>
      <c r="AA69">
        <f>IF(N(Z69)&lt;=0.005,0,ROUND(N(Z69)*N('Debt List'!E9)/12,2))</f>
        <v/>
      </c>
      <c r="AB69">
        <f>IF(N(Z69)&lt;=0.005,0,MIN(N('Debt List'!F9),N(Z69)+N(AA69)))+((AP69=5)*AR69+(AT69=5)*AV69+(AX69=5)*AZ69+(BB69=5)*BD69+(BF69=5)*BH69+(BJ69=5)*BL69+(BN69=5)*BP69+(BR69=5)*BT69)</f>
        <v/>
      </c>
      <c r="AC69">
        <f>MAX(0,ROUND(N(Z69)+N(AA69)-N(AB69),2))</f>
        <v/>
      </c>
      <c r="AD69">
        <f>N(AG68)</f>
        <v/>
      </c>
      <c r="AE69">
        <f>IF(N(AD69)&lt;=0.005,0,ROUND(N(AD69)*N('Debt List'!E10)/12,2))</f>
        <v/>
      </c>
      <c r="AF69">
        <f>IF(N(AD69)&lt;=0.005,0,MIN(N('Debt List'!F10),N(AD69)+N(AE69)))+((AP69=6)*AR69+(AT69=6)*AV69+(AX69=6)*AZ69+(BB69=6)*BD69+(BF69=6)*BH69+(BJ69=6)*BL69+(BN69=6)*BP69+(BR69=6)*BT69)</f>
        <v/>
      </c>
      <c r="AG69">
        <f>MAX(0,ROUND(N(AD69)+N(AE69)-N(AF69),2))</f>
        <v/>
      </c>
      <c r="AH69">
        <f>N(AK68)</f>
        <v/>
      </c>
      <c r="AI69">
        <f>IF(N(AH69)&lt;=0.005,0,ROUND(N(AH69)*N('Debt List'!E11)/12,2))</f>
        <v/>
      </c>
      <c r="AJ69">
        <f>IF(N(AH69)&lt;=0.005,0,MIN(N('Debt List'!F11),N(AH69)+N(AI69)))+((AP69=7)*AR69+(AT69=7)*AV69+(AX69=7)*AZ69+(BB69=7)*BD69+(BF69=7)*BH69+(BJ69=7)*BL69+(BN69=7)*BP69+(BR69=7)*BT69)</f>
        <v/>
      </c>
      <c r="AK69">
        <f>MAX(0,ROUND(N(AH69)+N(AI69)-N(AJ69),2))</f>
        <v/>
      </c>
      <c r="AL69">
        <f>N(AO68)</f>
        <v/>
      </c>
      <c r="AM69">
        <f>IF(N(AL69)&lt;=0.005,0,ROUND(N(AL69)*N('Debt List'!E12)/12,2))</f>
        <v/>
      </c>
      <c r="AN69">
        <f>IF(N(AL69)&lt;=0.005,0,MIN(N('Debt List'!F12),N(AL69)+N(AM69)))+((AP69=8)*AR69+(AT69=8)*AV69+(AX69=8)*AZ69+(BB69=8)*BD69+(BF69=8)*BH69+(BJ69=8)*BL69+(BN69=8)*BP69+(BR69=8)*BT69)</f>
        <v/>
      </c>
      <c r="AO69">
        <f>MAX(0,ROUND(N(AL69)+N(AM69)-N(AN69),2))</f>
        <v/>
      </c>
      <c r="AP69">
        <f>IFERROR(MATCH(1,OrderPlan,0),"")</f>
        <v/>
      </c>
      <c r="AQ69">
        <f>IF(AP69="",0,IFERROR(IF(N(CHOOSE(AP69,J69,N69,R69,V69,Z69,AD69,AH69,AL69))&lt;=0.005,0,MAX(0,N(CHOOSE(AP69,J69,N69,R69,V69,Z69,AD69,AH69,AL69))+N(CHOOSE(AP69,K69,O69,S69,W69,AA69,AE69,AI69,AM69))-MIN(N(CHOOSE(AP69,'Debt List'!$F$5,'Debt List'!$F$6,'Debt List'!$F$7,'Debt List'!$F$8,'Debt List'!$F$9,'Debt List'!$F$10,'Debt List'!$F$11,'Debt List'!$F$12)),N(CHOOSE(AP69,J69,N69,R69,V69,Z69,AD69,AH69,AL69))+N(CHOOSE(AP69,K69,O69,S69,W69,AA69,AE69,AI69,AM69))))),0))</f>
        <v/>
      </c>
      <c r="AR69">
        <f>MIN(N(AQ69),MAX(0,N(ExtraPayment)))</f>
        <v/>
      </c>
      <c r="AS69">
        <f>MAX(0,N(ExtraPayment)-N(AR69))</f>
        <v/>
      </c>
      <c r="AT69">
        <f>IFERROR(MATCH(2,OrderPlan,0),"")</f>
        <v/>
      </c>
      <c r="AU69">
        <f>IF(AT69="",0,IFERROR(IF(N(CHOOSE(AT69,J69,N69,R69,V69,Z69,AD69,AH69,AL69))&lt;=0.005,0,MAX(0,N(CHOOSE(AT69,J69,N69,R69,V69,Z69,AD69,AH69,AL69))+N(CHOOSE(AT69,K69,O69,S69,W69,AA69,AE69,AI69,AM69))-MIN(N(CHOOSE(AT69,'Debt List'!$F$5,'Debt List'!$F$6,'Debt List'!$F$7,'Debt List'!$F$8,'Debt List'!$F$9,'Debt List'!$F$10,'Debt List'!$F$11,'Debt List'!$F$12)),N(CHOOSE(AT69,J69,N69,R69,V69,Z69,AD69,AH69,AL69))+N(CHOOSE(AT69,K69,O69,S69,W69,AA69,AE69,AI69,AM69))))),0))</f>
        <v/>
      </c>
      <c r="AV69">
        <f>MIN(N(AU69),MAX(0,N(AS69)))</f>
        <v/>
      </c>
      <c r="AW69">
        <f>MAX(0,N(AS69)-N(AV69))</f>
        <v/>
      </c>
      <c r="AX69">
        <f>IFERROR(MATCH(3,OrderPlan,0),"")</f>
        <v/>
      </c>
      <c r="AY69">
        <f>IF(AX69="",0,IFERROR(IF(N(CHOOSE(AX69,J69,N69,R69,V69,Z69,AD69,AH69,AL69))&lt;=0.005,0,MAX(0,N(CHOOSE(AX69,J69,N69,R69,V69,Z69,AD69,AH69,AL69))+N(CHOOSE(AX69,K69,O69,S69,W69,AA69,AE69,AI69,AM69))-MIN(N(CHOOSE(AX69,'Debt List'!$F$5,'Debt List'!$F$6,'Debt List'!$F$7,'Debt List'!$F$8,'Debt List'!$F$9,'Debt List'!$F$10,'Debt List'!$F$11,'Debt List'!$F$12)),N(CHOOSE(AX69,J69,N69,R69,V69,Z69,AD69,AH69,AL69))+N(CHOOSE(AX69,K69,O69,S69,W69,AA69,AE69,AI69,AM69))))),0))</f>
        <v/>
      </c>
      <c r="AZ69">
        <f>MIN(N(AY69),MAX(0,N(AW69)))</f>
        <v/>
      </c>
      <c r="BA69">
        <f>MAX(0,N(AW69)-N(AZ69))</f>
        <v/>
      </c>
      <c r="BB69">
        <f>IFERROR(MATCH(4,OrderPlan,0),"")</f>
        <v/>
      </c>
      <c r="BC69">
        <f>IF(BB69="",0,IFERROR(IF(N(CHOOSE(BB69,J69,N69,R69,V69,Z69,AD69,AH69,AL69))&lt;=0.005,0,MAX(0,N(CHOOSE(BB69,J69,N69,R69,V69,Z69,AD69,AH69,AL69))+N(CHOOSE(BB69,K69,O69,S69,W69,AA69,AE69,AI69,AM69))-MIN(N(CHOOSE(BB69,'Debt List'!$F$5,'Debt List'!$F$6,'Debt List'!$F$7,'Debt List'!$F$8,'Debt List'!$F$9,'Debt List'!$F$10,'Debt List'!$F$11,'Debt List'!$F$12)),N(CHOOSE(BB69,J69,N69,R69,V69,Z69,AD69,AH69,AL69))+N(CHOOSE(BB69,K69,O69,S69,W69,AA69,AE69,AI69,AM69))))),0))</f>
        <v/>
      </c>
      <c r="BD69">
        <f>MIN(N(BC69),MAX(0,N(BA69)))</f>
        <v/>
      </c>
      <c r="BE69">
        <f>MAX(0,N(BA69)-N(BD69))</f>
        <v/>
      </c>
      <c r="BF69">
        <f>IFERROR(MATCH(5,OrderPlan,0),"")</f>
        <v/>
      </c>
      <c r="BG69">
        <f>IF(BF69="",0,IFERROR(IF(N(CHOOSE(BF69,J69,N69,R69,V69,Z69,AD69,AH69,AL69))&lt;=0.005,0,MAX(0,N(CHOOSE(BF69,J69,N69,R69,V69,Z69,AD69,AH69,AL69))+N(CHOOSE(BF69,K69,O69,S69,W69,AA69,AE69,AI69,AM69))-MIN(N(CHOOSE(BF69,'Debt List'!$F$5,'Debt List'!$F$6,'Debt List'!$F$7,'Debt List'!$F$8,'Debt List'!$F$9,'Debt List'!$F$10,'Debt List'!$F$11,'Debt List'!$F$12)),N(CHOOSE(BF69,J69,N69,R69,V69,Z69,AD69,AH69,AL69))+N(CHOOSE(BF69,K69,O69,S69,W69,AA69,AE69,AI69,AM69))))),0))</f>
        <v/>
      </c>
      <c r="BH69">
        <f>MIN(N(BG69),MAX(0,N(BE69)))</f>
        <v/>
      </c>
      <c r="BI69">
        <f>MAX(0,N(BE69)-N(BH69))</f>
        <v/>
      </c>
      <c r="BJ69">
        <f>IFERROR(MATCH(6,OrderPlan,0),"")</f>
        <v/>
      </c>
      <c r="BK69">
        <f>IF(BJ69="",0,IFERROR(IF(N(CHOOSE(BJ69,J69,N69,R69,V69,Z69,AD69,AH69,AL69))&lt;=0.005,0,MAX(0,N(CHOOSE(BJ69,J69,N69,R69,V69,Z69,AD69,AH69,AL69))+N(CHOOSE(BJ69,K69,O69,S69,W69,AA69,AE69,AI69,AM69))-MIN(N(CHOOSE(BJ69,'Debt List'!$F$5,'Debt List'!$F$6,'Debt List'!$F$7,'Debt List'!$F$8,'Debt List'!$F$9,'Debt List'!$F$10,'Debt List'!$F$11,'Debt List'!$F$12)),N(CHOOSE(BJ69,J69,N69,R69,V69,Z69,AD69,AH69,AL69))+N(CHOOSE(BJ69,K69,O69,S69,W69,AA69,AE69,AI69,AM69))))),0))</f>
        <v/>
      </c>
      <c r="BL69">
        <f>MIN(N(BK69),MAX(0,N(BI69)))</f>
        <v/>
      </c>
      <c r="BM69">
        <f>MAX(0,N(BI69)-N(BL69))</f>
        <v/>
      </c>
      <c r="BN69">
        <f>IFERROR(MATCH(7,OrderPlan,0),"")</f>
        <v/>
      </c>
      <c r="BO69">
        <f>IF(BN69="",0,IFERROR(IF(N(CHOOSE(BN69,J69,N69,R69,V69,Z69,AD69,AH69,AL69))&lt;=0.005,0,MAX(0,N(CHOOSE(BN69,J69,N69,R69,V69,Z69,AD69,AH69,AL69))+N(CHOOSE(BN69,K69,O69,S69,W69,AA69,AE69,AI69,AM69))-MIN(N(CHOOSE(BN69,'Debt List'!$F$5,'Debt List'!$F$6,'Debt List'!$F$7,'Debt List'!$F$8,'Debt List'!$F$9,'Debt List'!$F$10,'Debt List'!$F$11,'Debt List'!$F$12)),N(CHOOSE(BN69,J69,N69,R69,V69,Z69,AD69,AH69,AL69))+N(CHOOSE(BN69,K69,O69,S69,W69,AA69,AE69,AI69,AM69))))),0))</f>
        <v/>
      </c>
      <c r="BP69">
        <f>MIN(N(BO69),MAX(0,N(BM69)))</f>
        <v/>
      </c>
      <c r="BQ69">
        <f>MAX(0,N(BM69)-N(BP69))</f>
        <v/>
      </c>
      <c r="BR69">
        <f>IFERROR(MATCH(8,OrderPlan,0),"")</f>
        <v/>
      </c>
      <c r="BS69">
        <f>IF(BR69="",0,IFERROR(IF(N(CHOOSE(BR69,J69,N69,R69,V69,Z69,AD69,AH69,AL69))&lt;=0.005,0,MAX(0,N(CHOOSE(BR69,J69,N69,R69,V69,Z69,AD69,AH69,AL69))+N(CHOOSE(BR69,K69,O69,S69,W69,AA69,AE69,AI69,AM69))-MIN(N(CHOOSE(BR69,'Debt List'!$F$5,'Debt List'!$F$6,'Debt List'!$F$7,'Debt List'!$F$8,'Debt List'!$F$9,'Debt List'!$F$10,'Debt List'!$F$11,'Debt List'!$F$12)),N(CHOOSE(BR69,J69,N69,R69,V69,Z69,AD69,AH69,AL69))+N(CHOOSE(BR69,K69,O69,S69,W69,AA69,AE69,AI69,AM69))))),0))</f>
        <v/>
      </c>
      <c r="BT69">
        <f>MIN(N(BS69),MAX(0,N(BQ69)))</f>
        <v/>
      </c>
      <c r="BU69">
        <f>MAX(0,N(BQ69)-N(BT69))</f>
        <v/>
      </c>
      <c r="CC69" t="n">
        <v>65</v>
      </c>
      <c r="CD69" s="115">
        <f>DATE(YEAR(PlanStart),MONTH(PlanStart)+CC69-1,1)</f>
        <v/>
      </c>
      <c r="CE69">
        <f>IF(AND(DR69&lt;&gt;"",N(CHOOSE(DR69,CL69,CP69,CT69,CX69,DB69,DF69,DJ69,DN69))&gt;0.005),INDEX(DebtNames,DR69),IF(AND(DV69&lt;&gt;"",N(CHOOSE(DV69,CL69,CP69,CT69,CX69,DB69,DF69,DJ69,DN69))&gt;0.005),INDEX(DebtNames,DV69),IF(AND(DZ69&lt;&gt;"",N(CHOOSE(DZ69,CL69,CP69,CT69,CX69,DB69,DF69,DJ69,DN69))&gt;0.005),INDEX(DebtNames,DZ69),IF(AND(ED69&lt;&gt;"",N(CHOOSE(ED69,CL69,CP69,CT69,CX69,DB69,DF69,DJ69,DN69))&gt;0.005),INDEX(DebtNames,ED69),IF(AND(EH69&lt;&gt;"",N(CHOOSE(EH69,CL69,CP69,CT69,CX69,DB69,DF69,DJ69,DN69))&gt;0.005),INDEX(DebtNames,EH69),IF(AND(EL69&lt;&gt;"",N(CHOOSE(EL69,CL69,CP69,CT69,CX69,DB69,DF69,DJ69,DN69))&gt;0.005),INDEX(DebtNames,EL69),IF(AND(EP69&lt;&gt;"",N(CHOOSE(EP69,CL69,CP69,CT69,CX69,DB69,DF69,DJ69,DN69))&gt;0.005),INDEX(DebtNames,EP69),IF(AND(ET69&lt;&gt;"",N(CHOOSE(ET69,CL69,CP69,CT69,CX69,DB69,DF69,DJ69,DN69))&gt;0.005),INDEX(DebtNames,ET69),""))))))))</f>
        <v/>
      </c>
      <c r="CF69">
        <f>N(EW69)</f>
        <v/>
      </c>
      <c r="CG69">
        <f>N(CN69)+N(CR69)+N(CV69)+N(CZ69)+N(DD69)+N(DH69)+N(DL69)+N(DP69)</f>
        <v/>
      </c>
      <c r="CH69">
        <f>N(CM69)+N(CQ69)+N(CU69)+N(CY69)+N(DC69)+N(DG69)+N(DK69)+N(DO69)</f>
        <v/>
      </c>
      <c r="CI69">
        <f>N(CI68)+N(CH69)</f>
        <v/>
      </c>
      <c r="CJ69">
        <f>N(CO69)+N(CS69)+N(CW69)+N(DA69)+N(DE69)+N(DI69)+N(DM69)+N(DQ69)</f>
        <v/>
      </c>
      <c r="CK69">
        <f>(CO69&gt;0.005)*1+(CS69&gt;0.005)*1+(CW69&gt;0.005)*1+(DA69&gt;0.005)*1+(DE69&gt;0.005)*1+(DI69&gt;0.005)*1+(DM69&gt;0.005)*1+(DQ69&gt;0.005)*1</f>
        <v/>
      </c>
      <c r="CL69">
        <f>N(CO68)</f>
        <v/>
      </c>
      <c r="CM69">
        <f>IF(N(CL69)&lt;=0.005,0,ROUND(N(CL69)*N('Debt List'!E5)/12,2))</f>
        <v/>
      </c>
      <c r="CN69">
        <f>IF(N(CL69)&lt;=0.005,0,MIN(N('Debt List'!F5),N(CL69)+N(CM69)))+((DR69=1)*DT69+(DV69=1)*DX69+(DZ69=1)*EB69+(ED69=1)*EF69+(EH69=1)*EJ69+(EL69=1)*EN69+(EP69=1)*ER69+(ET69=1)*EV69)</f>
        <v/>
      </c>
      <c r="CO69">
        <f>MAX(0,ROUND(N(CL69)+N(CM69)-N(CN69),2))</f>
        <v/>
      </c>
      <c r="CP69">
        <f>N(CS68)</f>
        <v/>
      </c>
      <c r="CQ69">
        <f>IF(N(CP69)&lt;=0.005,0,ROUND(N(CP69)*N('Debt List'!E6)/12,2))</f>
        <v/>
      </c>
      <c r="CR69">
        <f>IF(N(CP69)&lt;=0.005,0,MIN(N('Debt List'!F6),N(CP69)+N(CQ69)))+((DR69=2)*DT69+(DV69=2)*DX69+(DZ69=2)*EB69+(ED69=2)*EF69+(EH69=2)*EJ69+(EL69=2)*EN69+(EP69=2)*ER69+(ET69=2)*EV69)</f>
        <v/>
      </c>
      <c r="CS69">
        <f>MAX(0,ROUND(N(CP69)+N(CQ69)-N(CR69),2))</f>
        <v/>
      </c>
      <c r="CT69">
        <f>N(CW68)</f>
        <v/>
      </c>
      <c r="CU69">
        <f>IF(N(CT69)&lt;=0.005,0,ROUND(N(CT69)*N('Debt List'!E7)/12,2))</f>
        <v/>
      </c>
      <c r="CV69">
        <f>IF(N(CT69)&lt;=0.005,0,MIN(N('Debt List'!F7),N(CT69)+N(CU69)))+((DR69=3)*DT69+(DV69=3)*DX69+(DZ69=3)*EB69+(ED69=3)*EF69+(EH69=3)*EJ69+(EL69=3)*EN69+(EP69=3)*ER69+(ET69=3)*EV69)</f>
        <v/>
      </c>
      <c r="CW69">
        <f>MAX(0,ROUND(N(CT69)+N(CU69)-N(CV69),2))</f>
        <v/>
      </c>
      <c r="CX69">
        <f>N(DA68)</f>
        <v/>
      </c>
      <c r="CY69">
        <f>IF(N(CX69)&lt;=0.005,0,ROUND(N(CX69)*N('Debt List'!E8)/12,2))</f>
        <v/>
      </c>
      <c r="CZ69">
        <f>IF(N(CX69)&lt;=0.005,0,MIN(N('Debt List'!F8),N(CX69)+N(CY69)))+((DR69=4)*DT69+(DV69=4)*DX69+(DZ69=4)*EB69+(ED69=4)*EF69+(EH69=4)*EJ69+(EL69=4)*EN69+(EP69=4)*ER69+(ET69=4)*EV69)</f>
        <v/>
      </c>
      <c r="DA69">
        <f>MAX(0,ROUND(N(CX69)+N(CY69)-N(CZ69),2))</f>
        <v/>
      </c>
      <c r="DB69">
        <f>N(DE68)</f>
        <v/>
      </c>
      <c r="DC69">
        <f>IF(N(DB69)&lt;=0.005,0,ROUND(N(DB69)*N('Debt List'!E9)/12,2))</f>
        <v/>
      </c>
      <c r="DD69">
        <f>IF(N(DB69)&lt;=0.005,0,MIN(N('Debt List'!F9),N(DB69)+N(DC69)))+((DR69=5)*DT69+(DV69=5)*DX69+(DZ69=5)*EB69+(ED69=5)*EF69+(EH69=5)*EJ69+(EL69=5)*EN69+(EP69=5)*ER69+(ET69=5)*EV69)</f>
        <v/>
      </c>
      <c r="DE69">
        <f>MAX(0,ROUND(N(DB69)+N(DC69)-N(DD69),2))</f>
        <v/>
      </c>
      <c r="DF69">
        <f>N(DI68)</f>
        <v/>
      </c>
      <c r="DG69">
        <f>IF(N(DF69)&lt;=0.005,0,ROUND(N(DF69)*N('Debt List'!E10)/12,2))</f>
        <v/>
      </c>
      <c r="DH69">
        <f>IF(N(DF69)&lt;=0.005,0,MIN(N('Debt List'!F10),N(DF69)+N(DG69)))+((DR69=6)*DT69+(DV69=6)*DX69+(DZ69=6)*EB69+(ED69=6)*EF69+(EH69=6)*EJ69+(EL69=6)*EN69+(EP69=6)*ER69+(ET69=6)*EV69)</f>
        <v/>
      </c>
      <c r="DI69">
        <f>MAX(0,ROUND(N(DF69)+N(DG69)-N(DH69),2))</f>
        <v/>
      </c>
      <c r="DJ69">
        <f>N(DM68)</f>
        <v/>
      </c>
      <c r="DK69">
        <f>IF(N(DJ69)&lt;=0.005,0,ROUND(N(DJ69)*N('Debt List'!E11)/12,2))</f>
        <v/>
      </c>
      <c r="DL69">
        <f>IF(N(DJ69)&lt;=0.005,0,MIN(N('Debt List'!F11),N(DJ69)+N(DK69)))+((DR69=7)*DT69+(DV69=7)*DX69+(DZ69=7)*EB69+(ED69=7)*EF69+(EH69=7)*EJ69+(EL69=7)*EN69+(EP69=7)*ER69+(ET69=7)*EV69)</f>
        <v/>
      </c>
      <c r="DM69">
        <f>MAX(0,ROUND(N(DJ69)+N(DK69)-N(DL69),2))</f>
        <v/>
      </c>
      <c r="DN69">
        <f>N(DQ68)</f>
        <v/>
      </c>
      <c r="DO69">
        <f>IF(N(DN69)&lt;=0.005,0,ROUND(N(DN69)*N('Debt List'!E12)/12,2))</f>
        <v/>
      </c>
      <c r="DP69">
        <f>IF(N(DN69)&lt;=0.005,0,MIN(N('Debt List'!F12),N(DN69)+N(DO69)))+((DR69=8)*DT69+(DV69=8)*DX69+(DZ69=8)*EB69+(ED69=8)*EF69+(EH69=8)*EJ69+(EL69=8)*EN69+(EP69=8)*ER69+(ET69=8)*EV69)</f>
        <v/>
      </c>
      <c r="DQ69">
        <f>MAX(0,ROUND(N(DN69)+N(DO69)-N(DP69),2))</f>
        <v/>
      </c>
      <c r="DR69">
        <f>IFERROR(MATCH(1,OrderSnow,0),"")</f>
        <v/>
      </c>
      <c r="DS69">
        <f>IF(DR69="",0,IFERROR(IF(N(CHOOSE(DR69,CL69,CP69,CT69,CX69,DB69,DF69,DJ69,DN69))&lt;=0.005,0,MAX(0,N(CHOOSE(DR69,CL69,CP69,CT69,CX69,DB69,DF69,DJ69,DN69))+N(CHOOSE(DR69,CM69,CQ69,CU69,CY69,DC69,DG69,DK69,DO69))-MIN(N(CHOOSE(DR69,'Debt List'!$F$5,'Debt List'!$F$6,'Debt List'!$F$7,'Debt List'!$F$8,'Debt List'!$F$9,'Debt List'!$F$10,'Debt List'!$F$11,'Debt List'!$F$12)),N(CHOOSE(DR69,CL69,CP69,CT69,CX69,DB69,DF69,DJ69,DN69))+N(CHOOSE(DR69,CM69,CQ69,CU69,CY69,DC69,DG69,DK69,DO69))))),0))</f>
        <v/>
      </c>
      <c r="DT69">
        <f>MIN(N(DS69),MAX(0,N(ExtraPayment)))</f>
        <v/>
      </c>
      <c r="DU69">
        <f>MAX(0,N(ExtraPayment)-N(DT69))</f>
        <v/>
      </c>
      <c r="DV69">
        <f>IFERROR(MATCH(2,OrderSnow,0),"")</f>
        <v/>
      </c>
      <c r="DW69">
        <f>IF(DV69="",0,IFERROR(IF(N(CHOOSE(DV69,CL69,CP69,CT69,CX69,DB69,DF69,DJ69,DN69))&lt;=0.005,0,MAX(0,N(CHOOSE(DV69,CL69,CP69,CT69,CX69,DB69,DF69,DJ69,DN69))+N(CHOOSE(DV69,CM69,CQ69,CU69,CY69,DC69,DG69,DK69,DO69))-MIN(N(CHOOSE(DV69,'Debt List'!$F$5,'Debt List'!$F$6,'Debt List'!$F$7,'Debt List'!$F$8,'Debt List'!$F$9,'Debt List'!$F$10,'Debt List'!$F$11,'Debt List'!$F$12)),N(CHOOSE(DV69,CL69,CP69,CT69,CX69,DB69,DF69,DJ69,DN69))+N(CHOOSE(DV69,CM69,CQ69,CU69,CY69,DC69,DG69,DK69,DO69))))),0))</f>
        <v/>
      </c>
      <c r="DX69">
        <f>MIN(N(DW69),MAX(0,N(DU69)))</f>
        <v/>
      </c>
      <c r="DY69">
        <f>MAX(0,N(DU69)-N(DX69))</f>
        <v/>
      </c>
      <c r="DZ69">
        <f>IFERROR(MATCH(3,OrderSnow,0),"")</f>
        <v/>
      </c>
      <c r="EA69">
        <f>IF(DZ69="",0,IFERROR(IF(N(CHOOSE(DZ69,CL69,CP69,CT69,CX69,DB69,DF69,DJ69,DN69))&lt;=0.005,0,MAX(0,N(CHOOSE(DZ69,CL69,CP69,CT69,CX69,DB69,DF69,DJ69,DN69))+N(CHOOSE(DZ69,CM69,CQ69,CU69,CY69,DC69,DG69,DK69,DO69))-MIN(N(CHOOSE(DZ69,'Debt List'!$F$5,'Debt List'!$F$6,'Debt List'!$F$7,'Debt List'!$F$8,'Debt List'!$F$9,'Debt List'!$F$10,'Debt List'!$F$11,'Debt List'!$F$12)),N(CHOOSE(DZ69,CL69,CP69,CT69,CX69,DB69,DF69,DJ69,DN69))+N(CHOOSE(DZ69,CM69,CQ69,CU69,CY69,DC69,DG69,DK69,DO69))))),0))</f>
        <v/>
      </c>
      <c r="EB69">
        <f>MIN(N(EA69),MAX(0,N(DY69)))</f>
        <v/>
      </c>
      <c r="EC69">
        <f>MAX(0,N(DY69)-N(EB69))</f>
        <v/>
      </c>
      <c r="ED69">
        <f>IFERROR(MATCH(4,OrderSnow,0),"")</f>
        <v/>
      </c>
      <c r="EE69">
        <f>IF(ED69="",0,IFERROR(IF(N(CHOOSE(ED69,CL69,CP69,CT69,CX69,DB69,DF69,DJ69,DN69))&lt;=0.005,0,MAX(0,N(CHOOSE(ED69,CL69,CP69,CT69,CX69,DB69,DF69,DJ69,DN69))+N(CHOOSE(ED69,CM69,CQ69,CU69,CY69,DC69,DG69,DK69,DO69))-MIN(N(CHOOSE(ED69,'Debt List'!$F$5,'Debt List'!$F$6,'Debt List'!$F$7,'Debt List'!$F$8,'Debt List'!$F$9,'Debt List'!$F$10,'Debt List'!$F$11,'Debt List'!$F$12)),N(CHOOSE(ED69,CL69,CP69,CT69,CX69,DB69,DF69,DJ69,DN69))+N(CHOOSE(ED69,CM69,CQ69,CU69,CY69,DC69,DG69,DK69,DO69))))),0))</f>
        <v/>
      </c>
      <c r="EF69">
        <f>MIN(N(EE69),MAX(0,N(EC69)))</f>
        <v/>
      </c>
      <c r="EG69">
        <f>MAX(0,N(EC69)-N(EF69))</f>
        <v/>
      </c>
      <c r="EH69">
        <f>IFERROR(MATCH(5,OrderSnow,0),"")</f>
        <v/>
      </c>
      <c r="EI69">
        <f>IF(EH69="",0,IFERROR(IF(N(CHOOSE(EH69,CL69,CP69,CT69,CX69,DB69,DF69,DJ69,DN69))&lt;=0.005,0,MAX(0,N(CHOOSE(EH69,CL69,CP69,CT69,CX69,DB69,DF69,DJ69,DN69))+N(CHOOSE(EH69,CM69,CQ69,CU69,CY69,DC69,DG69,DK69,DO69))-MIN(N(CHOOSE(EH69,'Debt List'!$F$5,'Debt List'!$F$6,'Debt List'!$F$7,'Debt List'!$F$8,'Debt List'!$F$9,'Debt List'!$F$10,'Debt List'!$F$11,'Debt List'!$F$12)),N(CHOOSE(EH69,CL69,CP69,CT69,CX69,DB69,DF69,DJ69,DN69))+N(CHOOSE(EH69,CM69,CQ69,CU69,CY69,DC69,DG69,DK69,DO69))))),0))</f>
        <v/>
      </c>
      <c r="EJ69">
        <f>MIN(N(EI69),MAX(0,N(EG69)))</f>
        <v/>
      </c>
      <c r="EK69">
        <f>MAX(0,N(EG69)-N(EJ69))</f>
        <v/>
      </c>
      <c r="EL69">
        <f>IFERROR(MATCH(6,OrderSnow,0),"")</f>
        <v/>
      </c>
      <c r="EM69">
        <f>IF(EL69="",0,IFERROR(IF(N(CHOOSE(EL69,CL69,CP69,CT69,CX69,DB69,DF69,DJ69,DN69))&lt;=0.005,0,MAX(0,N(CHOOSE(EL69,CL69,CP69,CT69,CX69,DB69,DF69,DJ69,DN69))+N(CHOOSE(EL69,CM69,CQ69,CU69,CY69,DC69,DG69,DK69,DO69))-MIN(N(CHOOSE(EL69,'Debt List'!$F$5,'Debt List'!$F$6,'Debt List'!$F$7,'Debt List'!$F$8,'Debt List'!$F$9,'Debt List'!$F$10,'Debt List'!$F$11,'Debt List'!$F$12)),N(CHOOSE(EL69,CL69,CP69,CT69,CX69,DB69,DF69,DJ69,DN69))+N(CHOOSE(EL69,CM69,CQ69,CU69,CY69,DC69,DG69,DK69,DO69))))),0))</f>
        <v/>
      </c>
      <c r="EN69">
        <f>MIN(N(EM69),MAX(0,N(EK69)))</f>
        <v/>
      </c>
      <c r="EO69">
        <f>MAX(0,N(EK69)-N(EN69))</f>
        <v/>
      </c>
      <c r="EP69">
        <f>IFERROR(MATCH(7,OrderSnow,0),"")</f>
        <v/>
      </c>
      <c r="EQ69">
        <f>IF(EP69="",0,IFERROR(IF(N(CHOOSE(EP69,CL69,CP69,CT69,CX69,DB69,DF69,DJ69,DN69))&lt;=0.005,0,MAX(0,N(CHOOSE(EP69,CL69,CP69,CT69,CX69,DB69,DF69,DJ69,DN69))+N(CHOOSE(EP69,CM69,CQ69,CU69,CY69,DC69,DG69,DK69,DO69))-MIN(N(CHOOSE(EP69,'Debt List'!$F$5,'Debt List'!$F$6,'Debt List'!$F$7,'Debt List'!$F$8,'Debt List'!$F$9,'Debt List'!$F$10,'Debt List'!$F$11,'Debt List'!$F$12)),N(CHOOSE(EP69,CL69,CP69,CT69,CX69,DB69,DF69,DJ69,DN69))+N(CHOOSE(EP69,CM69,CQ69,CU69,CY69,DC69,DG69,DK69,DO69))))),0))</f>
        <v/>
      </c>
      <c r="ER69">
        <f>MIN(N(EQ69),MAX(0,N(EO69)))</f>
        <v/>
      </c>
      <c r="ES69">
        <f>MAX(0,N(EO69)-N(ER69))</f>
        <v/>
      </c>
      <c r="ET69">
        <f>IFERROR(MATCH(8,OrderSnow,0),"")</f>
        <v/>
      </c>
      <c r="EU69">
        <f>IF(ET69="",0,IFERROR(IF(N(CHOOSE(ET69,CL69,CP69,CT69,CX69,DB69,DF69,DJ69,DN69))&lt;=0.005,0,MAX(0,N(CHOOSE(ET69,CL69,CP69,CT69,CX69,DB69,DF69,DJ69,DN69))+N(CHOOSE(ET69,CM69,CQ69,CU69,CY69,DC69,DG69,DK69,DO69))-MIN(N(CHOOSE(ET69,'Debt List'!$F$5,'Debt List'!$F$6,'Debt List'!$F$7,'Debt List'!$F$8,'Debt List'!$F$9,'Debt List'!$F$10,'Debt List'!$F$11,'Debt List'!$F$12)),N(CHOOSE(ET69,CL69,CP69,CT69,CX69,DB69,DF69,DJ69,DN69))+N(CHOOSE(ET69,CM69,CQ69,CU69,CY69,DC69,DG69,DK69,DO69))))),0))</f>
        <v/>
      </c>
      <c r="EV69">
        <f>MIN(N(EU69),MAX(0,N(ES69)))</f>
        <v/>
      </c>
      <c r="EW69">
        <f>MAX(0,N(ES69)-N(EV69))</f>
        <v/>
      </c>
      <c r="FE69" t="n">
        <v>65</v>
      </c>
      <c r="FF69" s="115">
        <f>DATE(YEAR(PlanStart),MONTH(PlanStart)+FE69-1,1)</f>
        <v/>
      </c>
      <c r="FG69">
        <f>IF(AND(GT69&lt;&gt;"",N(CHOOSE(GT69,FN69,FR69,FV69,FZ69,GD69,GH69,GL69,GP69))&gt;0.005),INDEX(DebtNames,GT69),IF(AND(GX69&lt;&gt;"",N(CHOOSE(GX69,FN69,FR69,FV69,FZ69,GD69,GH69,GL69,GP69))&gt;0.005),INDEX(DebtNames,GX69),IF(AND(HB69&lt;&gt;"",N(CHOOSE(HB69,FN69,FR69,FV69,FZ69,GD69,GH69,GL69,GP69))&gt;0.005),INDEX(DebtNames,HB69),IF(AND(HF69&lt;&gt;"",N(CHOOSE(HF69,FN69,FR69,FV69,FZ69,GD69,GH69,GL69,GP69))&gt;0.005),INDEX(DebtNames,HF69),IF(AND(HJ69&lt;&gt;"",N(CHOOSE(HJ69,FN69,FR69,FV69,FZ69,GD69,GH69,GL69,GP69))&gt;0.005),INDEX(DebtNames,HJ69),IF(AND(HN69&lt;&gt;"",N(CHOOSE(HN69,FN69,FR69,FV69,FZ69,GD69,GH69,GL69,GP69))&gt;0.005),INDEX(DebtNames,HN69),IF(AND(HR69&lt;&gt;"",N(CHOOSE(HR69,FN69,FR69,FV69,FZ69,GD69,GH69,GL69,GP69))&gt;0.005),INDEX(DebtNames,HR69),IF(AND(HV69&lt;&gt;"",N(CHOOSE(HV69,FN69,FR69,FV69,FZ69,GD69,GH69,GL69,GP69))&gt;0.005),INDEX(DebtNames,HV69),""))))))))</f>
        <v/>
      </c>
      <c r="FH69">
        <f>N(HY69)</f>
        <v/>
      </c>
      <c r="FI69">
        <f>N(FP69)+N(FT69)+N(FX69)+N(GB69)+N(GF69)+N(GJ69)+N(GN69)+N(GR69)</f>
        <v/>
      </c>
      <c r="FJ69">
        <f>N(FO69)+N(FS69)+N(FW69)+N(GA69)+N(GE69)+N(GI69)+N(GM69)+N(GQ69)</f>
        <v/>
      </c>
      <c r="FK69">
        <f>N(FK68)+N(FJ69)</f>
        <v/>
      </c>
      <c r="FL69">
        <f>N(FQ69)+N(FU69)+N(FY69)+N(GC69)+N(GG69)+N(GK69)+N(GO69)+N(GS69)</f>
        <v/>
      </c>
      <c r="FM69">
        <f>(FQ69&gt;0.005)*1+(FU69&gt;0.005)*1+(FY69&gt;0.005)*1+(GC69&gt;0.005)*1+(GG69&gt;0.005)*1+(GK69&gt;0.005)*1+(GO69&gt;0.005)*1+(GS69&gt;0.005)*1</f>
        <v/>
      </c>
      <c r="FN69">
        <f>N(FQ68)</f>
        <v/>
      </c>
      <c r="FO69">
        <f>IF(N(FN69)&lt;=0.005,0,ROUND(N(FN69)*N('Debt List'!E5)/12,2))</f>
        <v/>
      </c>
      <c r="FP69">
        <f>IF(N(FN69)&lt;=0.005,0,MIN(N('Debt List'!F5),N(FN69)+N(FO69)))+((GT69=1)*GV69+(GX69=1)*GZ69+(HB69=1)*HD69+(HF69=1)*HH69+(HJ69=1)*HL69+(HN69=1)*HP69+(HR69=1)*HT69+(HV69=1)*HX69)</f>
        <v/>
      </c>
      <c r="FQ69">
        <f>MAX(0,ROUND(N(FN69)+N(FO69)-N(FP69),2))</f>
        <v/>
      </c>
      <c r="FR69">
        <f>N(FU68)</f>
        <v/>
      </c>
      <c r="FS69">
        <f>IF(N(FR69)&lt;=0.005,0,ROUND(N(FR69)*N('Debt List'!E6)/12,2))</f>
        <v/>
      </c>
      <c r="FT69">
        <f>IF(N(FR69)&lt;=0.005,0,MIN(N('Debt List'!F6),N(FR69)+N(FS69)))+((GT69=2)*GV69+(GX69=2)*GZ69+(HB69=2)*HD69+(HF69=2)*HH69+(HJ69=2)*HL69+(HN69=2)*HP69+(HR69=2)*HT69+(HV69=2)*HX69)</f>
        <v/>
      </c>
      <c r="FU69">
        <f>MAX(0,ROUND(N(FR69)+N(FS69)-N(FT69),2))</f>
        <v/>
      </c>
      <c r="FV69">
        <f>N(FY68)</f>
        <v/>
      </c>
      <c r="FW69">
        <f>IF(N(FV69)&lt;=0.005,0,ROUND(N(FV69)*N('Debt List'!E7)/12,2))</f>
        <v/>
      </c>
      <c r="FX69">
        <f>IF(N(FV69)&lt;=0.005,0,MIN(N('Debt List'!F7),N(FV69)+N(FW69)))+((GT69=3)*GV69+(GX69=3)*GZ69+(HB69=3)*HD69+(HF69=3)*HH69+(HJ69=3)*HL69+(HN69=3)*HP69+(HR69=3)*HT69+(HV69=3)*HX69)</f>
        <v/>
      </c>
      <c r="FY69">
        <f>MAX(0,ROUND(N(FV69)+N(FW69)-N(FX69),2))</f>
        <v/>
      </c>
      <c r="FZ69">
        <f>N(GC68)</f>
        <v/>
      </c>
      <c r="GA69">
        <f>IF(N(FZ69)&lt;=0.005,0,ROUND(N(FZ69)*N('Debt List'!E8)/12,2))</f>
        <v/>
      </c>
      <c r="GB69">
        <f>IF(N(FZ69)&lt;=0.005,0,MIN(N('Debt List'!F8),N(FZ69)+N(GA69)))+((GT69=4)*GV69+(GX69=4)*GZ69+(HB69=4)*HD69+(HF69=4)*HH69+(HJ69=4)*HL69+(HN69=4)*HP69+(HR69=4)*HT69+(HV69=4)*HX69)</f>
        <v/>
      </c>
      <c r="GC69">
        <f>MAX(0,ROUND(N(FZ69)+N(GA69)-N(GB69),2))</f>
        <v/>
      </c>
      <c r="GD69">
        <f>N(GG68)</f>
        <v/>
      </c>
      <c r="GE69">
        <f>IF(N(GD69)&lt;=0.005,0,ROUND(N(GD69)*N('Debt List'!E9)/12,2))</f>
        <v/>
      </c>
      <c r="GF69">
        <f>IF(N(GD69)&lt;=0.005,0,MIN(N('Debt List'!F9),N(GD69)+N(GE69)))+((GT69=5)*GV69+(GX69=5)*GZ69+(HB69=5)*HD69+(HF69=5)*HH69+(HJ69=5)*HL69+(HN69=5)*HP69+(HR69=5)*HT69+(HV69=5)*HX69)</f>
        <v/>
      </c>
      <c r="GG69">
        <f>MAX(0,ROUND(N(GD69)+N(GE69)-N(GF69),2))</f>
        <v/>
      </c>
      <c r="GH69">
        <f>N(GK68)</f>
        <v/>
      </c>
      <c r="GI69">
        <f>IF(N(GH69)&lt;=0.005,0,ROUND(N(GH69)*N('Debt List'!E10)/12,2))</f>
        <v/>
      </c>
      <c r="GJ69">
        <f>IF(N(GH69)&lt;=0.005,0,MIN(N('Debt List'!F10),N(GH69)+N(GI69)))+((GT69=6)*GV69+(GX69=6)*GZ69+(HB69=6)*HD69+(HF69=6)*HH69+(HJ69=6)*HL69+(HN69=6)*HP69+(HR69=6)*HT69+(HV69=6)*HX69)</f>
        <v/>
      </c>
      <c r="GK69">
        <f>MAX(0,ROUND(N(GH69)+N(GI69)-N(GJ69),2))</f>
        <v/>
      </c>
      <c r="GL69">
        <f>N(GO68)</f>
        <v/>
      </c>
      <c r="GM69">
        <f>IF(N(GL69)&lt;=0.005,0,ROUND(N(GL69)*N('Debt List'!E11)/12,2))</f>
        <v/>
      </c>
      <c r="GN69">
        <f>IF(N(GL69)&lt;=0.005,0,MIN(N('Debt List'!F11),N(GL69)+N(GM69)))+((GT69=7)*GV69+(GX69=7)*GZ69+(HB69=7)*HD69+(HF69=7)*HH69+(HJ69=7)*HL69+(HN69=7)*HP69+(HR69=7)*HT69+(HV69=7)*HX69)</f>
        <v/>
      </c>
      <c r="GO69">
        <f>MAX(0,ROUND(N(GL69)+N(GM69)-N(GN69),2))</f>
        <v/>
      </c>
      <c r="GP69">
        <f>N(GS68)</f>
        <v/>
      </c>
      <c r="GQ69">
        <f>IF(N(GP69)&lt;=0.005,0,ROUND(N(GP69)*N('Debt List'!E12)/12,2))</f>
        <v/>
      </c>
      <c r="GR69">
        <f>IF(N(GP69)&lt;=0.005,0,MIN(N('Debt List'!F12),N(GP69)+N(GQ69)))+((GT69=8)*GV69+(GX69=8)*GZ69+(HB69=8)*HD69+(HF69=8)*HH69+(HJ69=8)*HL69+(HN69=8)*HP69+(HR69=8)*HT69+(HV69=8)*HX69)</f>
        <v/>
      </c>
      <c r="GS69">
        <f>MAX(0,ROUND(N(GP69)+N(GQ69)-N(GR69),2))</f>
        <v/>
      </c>
      <c r="GT69">
        <f>IFERROR(MATCH(1,OrderAval,0),"")</f>
        <v/>
      </c>
      <c r="GU69">
        <f>IF(GT69="",0,IFERROR(IF(N(CHOOSE(GT69,FN69,FR69,FV69,FZ69,GD69,GH69,GL69,GP69))&lt;=0.005,0,MAX(0,N(CHOOSE(GT69,FN69,FR69,FV69,FZ69,GD69,GH69,GL69,GP69))+N(CHOOSE(GT69,FO69,FS69,FW69,GA69,GE69,GI69,GM69,GQ69))-MIN(N(CHOOSE(GT69,'Debt List'!$F$5,'Debt List'!$F$6,'Debt List'!$F$7,'Debt List'!$F$8,'Debt List'!$F$9,'Debt List'!$F$10,'Debt List'!$F$11,'Debt List'!$F$12)),N(CHOOSE(GT69,FN69,FR69,FV69,FZ69,GD69,GH69,GL69,GP69))+N(CHOOSE(GT69,FO69,FS69,FW69,GA69,GE69,GI69,GM69,GQ69))))),0))</f>
        <v/>
      </c>
      <c r="GV69">
        <f>MIN(N(GU69),MAX(0,N(ExtraPayment)))</f>
        <v/>
      </c>
      <c r="GW69">
        <f>MAX(0,N(ExtraPayment)-N(GV69))</f>
        <v/>
      </c>
      <c r="GX69">
        <f>IFERROR(MATCH(2,OrderAval,0),"")</f>
        <v/>
      </c>
      <c r="GY69">
        <f>IF(GX69="",0,IFERROR(IF(N(CHOOSE(GX69,FN69,FR69,FV69,FZ69,GD69,GH69,GL69,GP69))&lt;=0.005,0,MAX(0,N(CHOOSE(GX69,FN69,FR69,FV69,FZ69,GD69,GH69,GL69,GP69))+N(CHOOSE(GX69,FO69,FS69,FW69,GA69,GE69,GI69,GM69,GQ69))-MIN(N(CHOOSE(GX69,'Debt List'!$F$5,'Debt List'!$F$6,'Debt List'!$F$7,'Debt List'!$F$8,'Debt List'!$F$9,'Debt List'!$F$10,'Debt List'!$F$11,'Debt List'!$F$12)),N(CHOOSE(GX69,FN69,FR69,FV69,FZ69,GD69,GH69,GL69,GP69))+N(CHOOSE(GX69,FO69,FS69,FW69,GA69,GE69,GI69,GM69,GQ69))))),0))</f>
        <v/>
      </c>
      <c r="GZ69">
        <f>MIN(N(GY69),MAX(0,N(GW69)))</f>
        <v/>
      </c>
      <c r="HA69">
        <f>MAX(0,N(GW69)-N(GZ69))</f>
        <v/>
      </c>
      <c r="HB69">
        <f>IFERROR(MATCH(3,OrderAval,0),"")</f>
        <v/>
      </c>
      <c r="HC69">
        <f>IF(HB69="",0,IFERROR(IF(N(CHOOSE(HB69,FN69,FR69,FV69,FZ69,GD69,GH69,GL69,GP69))&lt;=0.005,0,MAX(0,N(CHOOSE(HB69,FN69,FR69,FV69,FZ69,GD69,GH69,GL69,GP69))+N(CHOOSE(HB69,FO69,FS69,FW69,GA69,GE69,GI69,GM69,GQ69))-MIN(N(CHOOSE(HB69,'Debt List'!$F$5,'Debt List'!$F$6,'Debt List'!$F$7,'Debt List'!$F$8,'Debt List'!$F$9,'Debt List'!$F$10,'Debt List'!$F$11,'Debt List'!$F$12)),N(CHOOSE(HB69,FN69,FR69,FV69,FZ69,GD69,GH69,GL69,GP69))+N(CHOOSE(HB69,FO69,FS69,FW69,GA69,GE69,GI69,GM69,GQ69))))),0))</f>
        <v/>
      </c>
      <c r="HD69">
        <f>MIN(N(HC69),MAX(0,N(HA69)))</f>
        <v/>
      </c>
      <c r="HE69">
        <f>MAX(0,N(HA69)-N(HD69))</f>
        <v/>
      </c>
      <c r="HF69">
        <f>IFERROR(MATCH(4,OrderAval,0),"")</f>
        <v/>
      </c>
      <c r="HG69">
        <f>IF(HF69="",0,IFERROR(IF(N(CHOOSE(HF69,FN69,FR69,FV69,FZ69,GD69,GH69,GL69,GP69))&lt;=0.005,0,MAX(0,N(CHOOSE(HF69,FN69,FR69,FV69,FZ69,GD69,GH69,GL69,GP69))+N(CHOOSE(HF69,FO69,FS69,FW69,GA69,GE69,GI69,GM69,GQ69))-MIN(N(CHOOSE(HF69,'Debt List'!$F$5,'Debt List'!$F$6,'Debt List'!$F$7,'Debt List'!$F$8,'Debt List'!$F$9,'Debt List'!$F$10,'Debt List'!$F$11,'Debt List'!$F$12)),N(CHOOSE(HF69,FN69,FR69,FV69,FZ69,GD69,GH69,GL69,GP69))+N(CHOOSE(HF69,FO69,FS69,FW69,GA69,GE69,GI69,GM69,GQ69))))),0))</f>
        <v/>
      </c>
      <c r="HH69">
        <f>MIN(N(HG69),MAX(0,N(HE69)))</f>
        <v/>
      </c>
      <c r="HI69">
        <f>MAX(0,N(HE69)-N(HH69))</f>
        <v/>
      </c>
      <c r="HJ69">
        <f>IFERROR(MATCH(5,OrderAval,0),"")</f>
        <v/>
      </c>
      <c r="HK69">
        <f>IF(HJ69="",0,IFERROR(IF(N(CHOOSE(HJ69,FN69,FR69,FV69,FZ69,GD69,GH69,GL69,GP69))&lt;=0.005,0,MAX(0,N(CHOOSE(HJ69,FN69,FR69,FV69,FZ69,GD69,GH69,GL69,GP69))+N(CHOOSE(HJ69,FO69,FS69,FW69,GA69,GE69,GI69,GM69,GQ69))-MIN(N(CHOOSE(HJ69,'Debt List'!$F$5,'Debt List'!$F$6,'Debt List'!$F$7,'Debt List'!$F$8,'Debt List'!$F$9,'Debt List'!$F$10,'Debt List'!$F$11,'Debt List'!$F$12)),N(CHOOSE(HJ69,FN69,FR69,FV69,FZ69,GD69,GH69,GL69,GP69))+N(CHOOSE(HJ69,FO69,FS69,FW69,GA69,GE69,GI69,GM69,GQ69))))),0))</f>
        <v/>
      </c>
      <c r="HL69">
        <f>MIN(N(HK69),MAX(0,N(HI69)))</f>
        <v/>
      </c>
      <c r="HM69">
        <f>MAX(0,N(HI69)-N(HL69))</f>
        <v/>
      </c>
      <c r="HN69">
        <f>IFERROR(MATCH(6,OrderAval,0),"")</f>
        <v/>
      </c>
      <c r="HO69">
        <f>IF(HN69="",0,IFERROR(IF(N(CHOOSE(HN69,FN69,FR69,FV69,FZ69,GD69,GH69,GL69,GP69))&lt;=0.005,0,MAX(0,N(CHOOSE(HN69,FN69,FR69,FV69,FZ69,GD69,GH69,GL69,GP69))+N(CHOOSE(HN69,FO69,FS69,FW69,GA69,GE69,GI69,GM69,GQ69))-MIN(N(CHOOSE(HN69,'Debt List'!$F$5,'Debt List'!$F$6,'Debt List'!$F$7,'Debt List'!$F$8,'Debt List'!$F$9,'Debt List'!$F$10,'Debt List'!$F$11,'Debt List'!$F$12)),N(CHOOSE(HN69,FN69,FR69,FV69,FZ69,GD69,GH69,GL69,GP69))+N(CHOOSE(HN69,FO69,FS69,FW69,GA69,GE69,GI69,GM69,GQ69))))),0))</f>
        <v/>
      </c>
      <c r="HP69">
        <f>MIN(N(HO69),MAX(0,N(HM69)))</f>
        <v/>
      </c>
      <c r="HQ69">
        <f>MAX(0,N(HM69)-N(HP69))</f>
        <v/>
      </c>
      <c r="HR69">
        <f>IFERROR(MATCH(7,OrderAval,0),"")</f>
        <v/>
      </c>
      <c r="HS69">
        <f>IF(HR69="",0,IFERROR(IF(N(CHOOSE(HR69,FN69,FR69,FV69,FZ69,GD69,GH69,GL69,GP69))&lt;=0.005,0,MAX(0,N(CHOOSE(HR69,FN69,FR69,FV69,FZ69,GD69,GH69,GL69,GP69))+N(CHOOSE(HR69,FO69,FS69,FW69,GA69,GE69,GI69,GM69,GQ69))-MIN(N(CHOOSE(HR69,'Debt List'!$F$5,'Debt List'!$F$6,'Debt List'!$F$7,'Debt List'!$F$8,'Debt List'!$F$9,'Debt List'!$F$10,'Debt List'!$F$11,'Debt List'!$F$12)),N(CHOOSE(HR69,FN69,FR69,FV69,FZ69,GD69,GH69,GL69,GP69))+N(CHOOSE(HR69,FO69,FS69,FW69,GA69,GE69,GI69,GM69,GQ69))))),0))</f>
        <v/>
      </c>
      <c r="HT69">
        <f>MIN(N(HS69),MAX(0,N(HQ69)))</f>
        <v/>
      </c>
      <c r="HU69">
        <f>MAX(0,N(HQ69)-N(HT69))</f>
        <v/>
      </c>
      <c r="HV69">
        <f>IFERROR(MATCH(8,OrderAval,0),"")</f>
        <v/>
      </c>
      <c r="HW69">
        <f>IF(HV69="",0,IFERROR(IF(N(CHOOSE(HV69,FN69,FR69,FV69,FZ69,GD69,GH69,GL69,GP69))&lt;=0.005,0,MAX(0,N(CHOOSE(HV69,FN69,FR69,FV69,FZ69,GD69,GH69,GL69,GP69))+N(CHOOSE(HV69,FO69,FS69,FW69,GA69,GE69,GI69,GM69,GQ69))-MIN(N(CHOOSE(HV69,'Debt List'!$F$5,'Debt List'!$F$6,'Debt List'!$F$7,'Debt List'!$F$8,'Debt List'!$F$9,'Debt List'!$F$10,'Debt List'!$F$11,'Debt List'!$F$12)),N(CHOOSE(HV69,FN69,FR69,FV69,FZ69,GD69,GH69,GL69,GP69))+N(CHOOSE(HV69,FO69,FS69,FW69,GA69,GE69,GI69,GM69,GQ69))))),0))</f>
        <v/>
      </c>
      <c r="HX69">
        <f>MIN(N(HW69),MAX(0,N(HU69)))</f>
        <v/>
      </c>
      <c r="HY69">
        <f>MAX(0,N(HU69)-N(HX69))</f>
        <v/>
      </c>
    </row>
    <row r="70">
      <c r="A70" t="n">
        <v>66</v>
      </c>
      <c r="B70" s="115">
        <f>DATE(YEAR(PlanStart),MONTH(PlanStart)+A70-1,1)</f>
        <v/>
      </c>
      <c r="C70">
        <f>IF(AND(AP70&lt;&gt;"",N(CHOOSE(AP70,J70,N70,R70,V70,Z70,AD70,AH70,AL70))&gt;0.005),INDEX(DebtNames,AP70),IF(AND(AT70&lt;&gt;"",N(CHOOSE(AT70,J70,N70,R70,V70,Z70,AD70,AH70,AL70))&gt;0.005),INDEX(DebtNames,AT70),IF(AND(AX70&lt;&gt;"",N(CHOOSE(AX70,J70,N70,R70,V70,Z70,AD70,AH70,AL70))&gt;0.005),INDEX(DebtNames,AX70),IF(AND(BB70&lt;&gt;"",N(CHOOSE(BB70,J70,N70,R70,V70,Z70,AD70,AH70,AL70))&gt;0.005),INDEX(DebtNames,BB70),IF(AND(BF70&lt;&gt;"",N(CHOOSE(BF70,J70,N70,R70,V70,Z70,AD70,AH70,AL70))&gt;0.005),INDEX(DebtNames,BF70),IF(AND(BJ70&lt;&gt;"",N(CHOOSE(BJ70,J70,N70,R70,V70,Z70,AD70,AH70,AL70))&gt;0.005),INDEX(DebtNames,BJ70),IF(AND(BN70&lt;&gt;"",N(CHOOSE(BN70,J70,N70,R70,V70,Z70,AD70,AH70,AL70))&gt;0.005),INDEX(DebtNames,BN70),IF(AND(BR70&lt;&gt;"",N(CHOOSE(BR70,J70,N70,R70,V70,Z70,AD70,AH70,AL70))&gt;0.005),INDEX(DebtNames,BR70),""))))))))</f>
        <v/>
      </c>
      <c r="D70">
        <f>N(BU70)</f>
        <v/>
      </c>
      <c r="E70">
        <f>N(L70)+N(P70)+N(T70)+N(X70)+N(AB70)+N(AF70)+N(AJ70)+N(AN70)</f>
        <v/>
      </c>
      <c r="F70">
        <f>N(K70)+N(O70)+N(S70)+N(W70)+N(AA70)+N(AE70)+N(AI70)+N(AM70)</f>
        <v/>
      </c>
      <c r="G70">
        <f>N(G69)+N(F70)</f>
        <v/>
      </c>
      <c r="H70">
        <f>N(M70)+N(Q70)+N(U70)+N(Y70)+N(AC70)+N(AG70)+N(AK70)+N(AO70)</f>
        <v/>
      </c>
      <c r="I70">
        <f>(M70&gt;0.005)*1+(Q70&gt;0.005)*1+(U70&gt;0.005)*1+(Y70&gt;0.005)*1+(AC70&gt;0.005)*1+(AG70&gt;0.005)*1+(AK70&gt;0.005)*1+(AO70&gt;0.005)*1</f>
        <v/>
      </c>
      <c r="J70">
        <f>N(M69)</f>
        <v/>
      </c>
      <c r="K70">
        <f>IF(N(J70)&lt;=0.005,0,ROUND(N(J70)*N('Debt List'!E5)/12,2))</f>
        <v/>
      </c>
      <c r="L70">
        <f>IF(N(J70)&lt;=0.005,0,MIN(N('Debt List'!F5),N(J70)+N(K70)))+((AP70=1)*AR70+(AT70=1)*AV70+(AX70=1)*AZ70+(BB70=1)*BD70+(BF70=1)*BH70+(BJ70=1)*BL70+(BN70=1)*BP70+(BR70=1)*BT70)</f>
        <v/>
      </c>
      <c r="M70">
        <f>MAX(0,ROUND(N(J70)+N(K70)-N(L70),2))</f>
        <v/>
      </c>
      <c r="N70">
        <f>N(Q69)</f>
        <v/>
      </c>
      <c r="O70">
        <f>IF(N(N70)&lt;=0.005,0,ROUND(N(N70)*N('Debt List'!E6)/12,2))</f>
        <v/>
      </c>
      <c r="P70">
        <f>IF(N(N70)&lt;=0.005,0,MIN(N('Debt List'!F6),N(N70)+N(O70)))+((AP70=2)*AR70+(AT70=2)*AV70+(AX70=2)*AZ70+(BB70=2)*BD70+(BF70=2)*BH70+(BJ70=2)*BL70+(BN70=2)*BP70+(BR70=2)*BT70)</f>
        <v/>
      </c>
      <c r="Q70">
        <f>MAX(0,ROUND(N(N70)+N(O70)-N(P70),2))</f>
        <v/>
      </c>
      <c r="R70">
        <f>N(U69)</f>
        <v/>
      </c>
      <c r="S70">
        <f>IF(N(R70)&lt;=0.005,0,ROUND(N(R70)*N('Debt List'!E7)/12,2))</f>
        <v/>
      </c>
      <c r="T70">
        <f>IF(N(R70)&lt;=0.005,0,MIN(N('Debt List'!F7),N(R70)+N(S70)))+((AP70=3)*AR70+(AT70=3)*AV70+(AX70=3)*AZ70+(BB70=3)*BD70+(BF70=3)*BH70+(BJ70=3)*BL70+(BN70=3)*BP70+(BR70=3)*BT70)</f>
        <v/>
      </c>
      <c r="U70">
        <f>MAX(0,ROUND(N(R70)+N(S70)-N(T70),2))</f>
        <v/>
      </c>
      <c r="V70">
        <f>N(Y69)</f>
        <v/>
      </c>
      <c r="W70">
        <f>IF(N(V70)&lt;=0.005,0,ROUND(N(V70)*N('Debt List'!E8)/12,2))</f>
        <v/>
      </c>
      <c r="X70">
        <f>IF(N(V70)&lt;=0.005,0,MIN(N('Debt List'!F8),N(V70)+N(W70)))+((AP70=4)*AR70+(AT70=4)*AV70+(AX70=4)*AZ70+(BB70=4)*BD70+(BF70=4)*BH70+(BJ70=4)*BL70+(BN70=4)*BP70+(BR70=4)*BT70)</f>
        <v/>
      </c>
      <c r="Y70">
        <f>MAX(0,ROUND(N(V70)+N(W70)-N(X70),2))</f>
        <v/>
      </c>
      <c r="Z70">
        <f>N(AC69)</f>
        <v/>
      </c>
      <c r="AA70">
        <f>IF(N(Z70)&lt;=0.005,0,ROUND(N(Z70)*N('Debt List'!E9)/12,2))</f>
        <v/>
      </c>
      <c r="AB70">
        <f>IF(N(Z70)&lt;=0.005,0,MIN(N('Debt List'!F9),N(Z70)+N(AA70)))+((AP70=5)*AR70+(AT70=5)*AV70+(AX70=5)*AZ70+(BB70=5)*BD70+(BF70=5)*BH70+(BJ70=5)*BL70+(BN70=5)*BP70+(BR70=5)*BT70)</f>
        <v/>
      </c>
      <c r="AC70">
        <f>MAX(0,ROUND(N(Z70)+N(AA70)-N(AB70),2))</f>
        <v/>
      </c>
      <c r="AD70">
        <f>N(AG69)</f>
        <v/>
      </c>
      <c r="AE70">
        <f>IF(N(AD70)&lt;=0.005,0,ROUND(N(AD70)*N('Debt List'!E10)/12,2))</f>
        <v/>
      </c>
      <c r="AF70">
        <f>IF(N(AD70)&lt;=0.005,0,MIN(N('Debt List'!F10),N(AD70)+N(AE70)))+((AP70=6)*AR70+(AT70=6)*AV70+(AX70=6)*AZ70+(BB70=6)*BD70+(BF70=6)*BH70+(BJ70=6)*BL70+(BN70=6)*BP70+(BR70=6)*BT70)</f>
        <v/>
      </c>
      <c r="AG70">
        <f>MAX(0,ROUND(N(AD70)+N(AE70)-N(AF70),2))</f>
        <v/>
      </c>
      <c r="AH70">
        <f>N(AK69)</f>
        <v/>
      </c>
      <c r="AI70">
        <f>IF(N(AH70)&lt;=0.005,0,ROUND(N(AH70)*N('Debt List'!E11)/12,2))</f>
        <v/>
      </c>
      <c r="AJ70">
        <f>IF(N(AH70)&lt;=0.005,0,MIN(N('Debt List'!F11),N(AH70)+N(AI70)))+((AP70=7)*AR70+(AT70=7)*AV70+(AX70=7)*AZ70+(BB70=7)*BD70+(BF70=7)*BH70+(BJ70=7)*BL70+(BN70=7)*BP70+(BR70=7)*BT70)</f>
        <v/>
      </c>
      <c r="AK70">
        <f>MAX(0,ROUND(N(AH70)+N(AI70)-N(AJ70),2))</f>
        <v/>
      </c>
      <c r="AL70">
        <f>N(AO69)</f>
        <v/>
      </c>
      <c r="AM70">
        <f>IF(N(AL70)&lt;=0.005,0,ROUND(N(AL70)*N('Debt List'!E12)/12,2))</f>
        <v/>
      </c>
      <c r="AN70">
        <f>IF(N(AL70)&lt;=0.005,0,MIN(N('Debt List'!F12),N(AL70)+N(AM70)))+((AP70=8)*AR70+(AT70=8)*AV70+(AX70=8)*AZ70+(BB70=8)*BD70+(BF70=8)*BH70+(BJ70=8)*BL70+(BN70=8)*BP70+(BR70=8)*BT70)</f>
        <v/>
      </c>
      <c r="AO70">
        <f>MAX(0,ROUND(N(AL70)+N(AM70)-N(AN70),2))</f>
        <v/>
      </c>
      <c r="AP70">
        <f>IFERROR(MATCH(1,OrderPlan,0),"")</f>
        <v/>
      </c>
      <c r="AQ70">
        <f>IF(AP70="",0,IFERROR(IF(N(CHOOSE(AP70,J70,N70,R70,V70,Z70,AD70,AH70,AL70))&lt;=0.005,0,MAX(0,N(CHOOSE(AP70,J70,N70,R70,V70,Z70,AD70,AH70,AL70))+N(CHOOSE(AP70,K70,O70,S70,W70,AA70,AE70,AI70,AM70))-MIN(N(CHOOSE(AP70,'Debt List'!$F$5,'Debt List'!$F$6,'Debt List'!$F$7,'Debt List'!$F$8,'Debt List'!$F$9,'Debt List'!$F$10,'Debt List'!$F$11,'Debt List'!$F$12)),N(CHOOSE(AP70,J70,N70,R70,V70,Z70,AD70,AH70,AL70))+N(CHOOSE(AP70,K70,O70,S70,W70,AA70,AE70,AI70,AM70))))),0))</f>
        <v/>
      </c>
      <c r="AR70">
        <f>MIN(N(AQ70),MAX(0,N(ExtraPayment)))</f>
        <v/>
      </c>
      <c r="AS70">
        <f>MAX(0,N(ExtraPayment)-N(AR70))</f>
        <v/>
      </c>
      <c r="AT70">
        <f>IFERROR(MATCH(2,OrderPlan,0),"")</f>
        <v/>
      </c>
      <c r="AU70">
        <f>IF(AT70="",0,IFERROR(IF(N(CHOOSE(AT70,J70,N70,R70,V70,Z70,AD70,AH70,AL70))&lt;=0.005,0,MAX(0,N(CHOOSE(AT70,J70,N70,R70,V70,Z70,AD70,AH70,AL70))+N(CHOOSE(AT70,K70,O70,S70,W70,AA70,AE70,AI70,AM70))-MIN(N(CHOOSE(AT70,'Debt List'!$F$5,'Debt List'!$F$6,'Debt List'!$F$7,'Debt List'!$F$8,'Debt List'!$F$9,'Debt List'!$F$10,'Debt List'!$F$11,'Debt List'!$F$12)),N(CHOOSE(AT70,J70,N70,R70,V70,Z70,AD70,AH70,AL70))+N(CHOOSE(AT70,K70,O70,S70,W70,AA70,AE70,AI70,AM70))))),0))</f>
        <v/>
      </c>
      <c r="AV70">
        <f>MIN(N(AU70),MAX(0,N(AS70)))</f>
        <v/>
      </c>
      <c r="AW70">
        <f>MAX(0,N(AS70)-N(AV70))</f>
        <v/>
      </c>
      <c r="AX70">
        <f>IFERROR(MATCH(3,OrderPlan,0),"")</f>
        <v/>
      </c>
      <c r="AY70">
        <f>IF(AX70="",0,IFERROR(IF(N(CHOOSE(AX70,J70,N70,R70,V70,Z70,AD70,AH70,AL70))&lt;=0.005,0,MAX(0,N(CHOOSE(AX70,J70,N70,R70,V70,Z70,AD70,AH70,AL70))+N(CHOOSE(AX70,K70,O70,S70,W70,AA70,AE70,AI70,AM70))-MIN(N(CHOOSE(AX70,'Debt List'!$F$5,'Debt List'!$F$6,'Debt List'!$F$7,'Debt List'!$F$8,'Debt List'!$F$9,'Debt List'!$F$10,'Debt List'!$F$11,'Debt List'!$F$12)),N(CHOOSE(AX70,J70,N70,R70,V70,Z70,AD70,AH70,AL70))+N(CHOOSE(AX70,K70,O70,S70,W70,AA70,AE70,AI70,AM70))))),0))</f>
        <v/>
      </c>
      <c r="AZ70">
        <f>MIN(N(AY70),MAX(0,N(AW70)))</f>
        <v/>
      </c>
      <c r="BA70">
        <f>MAX(0,N(AW70)-N(AZ70))</f>
        <v/>
      </c>
      <c r="BB70">
        <f>IFERROR(MATCH(4,OrderPlan,0),"")</f>
        <v/>
      </c>
      <c r="BC70">
        <f>IF(BB70="",0,IFERROR(IF(N(CHOOSE(BB70,J70,N70,R70,V70,Z70,AD70,AH70,AL70))&lt;=0.005,0,MAX(0,N(CHOOSE(BB70,J70,N70,R70,V70,Z70,AD70,AH70,AL70))+N(CHOOSE(BB70,K70,O70,S70,W70,AA70,AE70,AI70,AM70))-MIN(N(CHOOSE(BB70,'Debt List'!$F$5,'Debt List'!$F$6,'Debt List'!$F$7,'Debt List'!$F$8,'Debt List'!$F$9,'Debt List'!$F$10,'Debt List'!$F$11,'Debt List'!$F$12)),N(CHOOSE(BB70,J70,N70,R70,V70,Z70,AD70,AH70,AL70))+N(CHOOSE(BB70,K70,O70,S70,W70,AA70,AE70,AI70,AM70))))),0))</f>
        <v/>
      </c>
      <c r="BD70">
        <f>MIN(N(BC70),MAX(0,N(BA70)))</f>
        <v/>
      </c>
      <c r="BE70">
        <f>MAX(0,N(BA70)-N(BD70))</f>
        <v/>
      </c>
      <c r="BF70">
        <f>IFERROR(MATCH(5,OrderPlan,0),"")</f>
        <v/>
      </c>
      <c r="BG70">
        <f>IF(BF70="",0,IFERROR(IF(N(CHOOSE(BF70,J70,N70,R70,V70,Z70,AD70,AH70,AL70))&lt;=0.005,0,MAX(0,N(CHOOSE(BF70,J70,N70,R70,V70,Z70,AD70,AH70,AL70))+N(CHOOSE(BF70,K70,O70,S70,W70,AA70,AE70,AI70,AM70))-MIN(N(CHOOSE(BF70,'Debt List'!$F$5,'Debt List'!$F$6,'Debt List'!$F$7,'Debt List'!$F$8,'Debt List'!$F$9,'Debt List'!$F$10,'Debt List'!$F$11,'Debt List'!$F$12)),N(CHOOSE(BF70,J70,N70,R70,V70,Z70,AD70,AH70,AL70))+N(CHOOSE(BF70,K70,O70,S70,W70,AA70,AE70,AI70,AM70))))),0))</f>
        <v/>
      </c>
      <c r="BH70">
        <f>MIN(N(BG70),MAX(0,N(BE70)))</f>
        <v/>
      </c>
      <c r="BI70">
        <f>MAX(0,N(BE70)-N(BH70))</f>
        <v/>
      </c>
      <c r="BJ70">
        <f>IFERROR(MATCH(6,OrderPlan,0),"")</f>
        <v/>
      </c>
      <c r="BK70">
        <f>IF(BJ70="",0,IFERROR(IF(N(CHOOSE(BJ70,J70,N70,R70,V70,Z70,AD70,AH70,AL70))&lt;=0.005,0,MAX(0,N(CHOOSE(BJ70,J70,N70,R70,V70,Z70,AD70,AH70,AL70))+N(CHOOSE(BJ70,K70,O70,S70,W70,AA70,AE70,AI70,AM70))-MIN(N(CHOOSE(BJ70,'Debt List'!$F$5,'Debt List'!$F$6,'Debt List'!$F$7,'Debt List'!$F$8,'Debt List'!$F$9,'Debt List'!$F$10,'Debt List'!$F$11,'Debt List'!$F$12)),N(CHOOSE(BJ70,J70,N70,R70,V70,Z70,AD70,AH70,AL70))+N(CHOOSE(BJ70,K70,O70,S70,W70,AA70,AE70,AI70,AM70))))),0))</f>
        <v/>
      </c>
      <c r="BL70">
        <f>MIN(N(BK70),MAX(0,N(BI70)))</f>
        <v/>
      </c>
      <c r="BM70">
        <f>MAX(0,N(BI70)-N(BL70))</f>
        <v/>
      </c>
      <c r="BN70">
        <f>IFERROR(MATCH(7,OrderPlan,0),"")</f>
        <v/>
      </c>
      <c r="BO70">
        <f>IF(BN70="",0,IFERROR(IF(N(CHOOSE(BN70,J70,N70,R70,V70,Z70,AD70,AH70,AL70))&lt;=0.005,0,MAX(0,N(CHOOSE(BN70,J70,N70,R70,V70,Z70,AD70,AH70,AL70))+N(CHOOSE(BN70,K70,O70,S70,W70,AA70,AE70,AI70,AM70))-MIN(N(CHOOSE(BN70,'Debt List'!$F$5,'Debt List'!$F$6,'Debt List'!$F$7,'Debt List'!$F$8,'Debt List'!$F$9,'Debt List'!$F$10,'Debt List'!$F$11,'Debt List'!$F$12)),N(CHOOSE(BN70,J70,N70,R70,V70,Z70,AD70,AH70,AL70))+N(CHOOSE(BN70,K70,O70,S70,W70,AA70,AE70,AI70,AM70))))),0))</f>
        <v/>
      </c>
      <c r="BP70">
        <f>MIN(N(BO70),MAX(0,N(BM70)))</f>
        <v/>
      </c>
      <c r="BQ70">
        <f>MAX(0,N(BM70)-N(BP70))</f>
        <v/>
      </c>
      <c r="BR70">
        <f>IFERROR(MATCH(8,OrderPlan,0),"")</f>
        <v/>
      </c>
      <c r="BS70">
        <f>IF(BR70="",0,IFERROR(IF(N(CHOOSE(BR70,J70,N70,R70,V70,Z70,AD70,AH70,AL70))&lt;=0.005,0,MAX(0,N(CHOOSE(BR70,J70,N70,R70,V70,Z70,AD70,AH70,AL70))+N(CHOOSE(BR70,K70,O70,S70,W70,AA70,AE70,AI70,AM70))-MIN(N(CHOOSE(BR70,'Debt List'!$F$5,'Debt List'!$F$6,'Debt List'!$F$7,'Debt List'!$F$8,'Debt List'!$F$9,'Debt List'!$F$10,'Debt List'!$F$11,'Debt List'!$F$12)),N(CHOOSE(BR70,J70,N70,R70,V70,Z70,AD70,AH70,AL70))+N(CHOOSE(BR70,K70,O70,S70,W70,AA70,AE70,AI70,AM70))))),0))</f>
        <v/>
      </c>
      <c r="BT70">
        <f>MIN(N(BS70),MAX(0,N(BQ70)))</f>
        <v/>
      </c>
      <c r="BU70">
        <f>MAX(0,N(BQ70)-N(BT70))</f>
        <v/>
      </c>
      <c r="CC70" t="n">
        <v>66</v>
      </c>
      <c r="CD70" s="115">
        <f>DATE(YEAR(PlanStart),MONTH(PlanStart)+CC70-1,1)</f>
        <v/>
      </c>
      <c r="CE70">
        <f>IF(AND(DR70&lt;&gt;"",N(CHOOSE(DR70,CL70,CP70,CT70,CX70,DB70,DF70,DJ70,DN70))&gt;0.005),INDEX(DebtNames,DR70),IF(AND(DV70&lt;&gt;"",N(CHOOSE(DV70,CL70,CP70,CT70,CX70,DB70,DF70,DJ70,DN70))&gt;0.005),INDEX(DebtNames,DV70),IF(AND(DZ70&lt;&gt;"",N(CHOOSE(DZ70,CL70,CP70,CT70,CX70,DB70,DF70,DJ70,DN70))&gt;0.005),INDEX(DebtNames,DZ70),IF(AND(ED70&lt;&gt;"",N(CHOOSE(ED70,CL70,CP70,CT70,CX70,DB70,DF70,DJ70,DN70))&gt;0.005),INDEX(DebtNames,ED70),IF(AND(EH70&lt;&gt;"",N(CHOOSE(EH70,CL70,CP70,CT70,CX70,DB70,DF70,DJ70,DN70))&gt;0.005),INDEX(DebtNames,EH70),IF(AND(EL70&lt;&gt;"",N(CHOOSE(EL70,CL70,CP70,CT70,CX70,DB70,DF70,DJ70,DN70))&gt;0.005),INDEX(DebtNames,EL70),IF(AND(EP70&lt;&gt;"",N(CHOOSE(EP70,CL70,CP70,CT70,CX70,DB70,DF70,DJ70,DN70))&gt;0.005),INDEX(DebtNames,EP70),IF(AND(ET70&lt;&gt;"",N(CHOOSE(ET70,CL70,CP70,CT70,CX70,DB70,DF70,DJ70,DN70))&gt;0.005),INDEX(DebtNames,ET70),""))))))))</f>
        <v/>
      </c>
      <c r="CF70">
        <f>N(EW70)</f>
        <v/>
      </c>
      <c r="CG70">
        <f>N(CN70)+N(CR70)+N(CV70)+N(CZ70)+N(DD70)+N(DH70)+N(DL70)+N(DP70)</f>
        <v/>
      </c>
      <c r="CH70">
        <f>N(CM70)+N(CQ70)+N(CU70)+N(CY70)+N(DC70)+N(DG70)+N(DK70)+N(DO70)</f>
        <v/>
      </c>
      <c r="CI70">
        <f>N(CI69)+N(CH70)</f>
        <v/>
      </c>
      <c r="CJ70">
        <f>N(CO70)+N(CS70)+N(CW70)+N(DA70)+N(DE70)+N(DI70)+N(DM70)+N(DQ70)</f>
        <v/>
      </c>
      <c r="CK70">
        <f>(CO70&gt;0.005)*1+(CS70&gt;0.005)*1+(CW70&gt;0.005)*1+(DA70&gt;0.005)*1+(DE70&gt;0.005)*1+(DI70&gt;0.005)*1+(DM70&gt;0.005)*1+(DQ70&gt;0.005)*1</f>
        <v/>
      </c>
      <c r="CL70">
        <f>N(CO69)</f>
        <v/>
      </c>
      <c r="CM70">
        <f>IF(N(CL70)&lt;=0.005,0,ROUND(N(CL70)*N('Debt List'!E5)/12,2))</f>
        <v/>
      </c>
      <c r="CN70">
        <f>IF(N(CL70)&lt;=0.005,0,MIN(N('Debt List'!F5),N(CL70)+N(CM70)))+((DR70=1)*DT70+(DV70=1)*DX70+(DZ70=1)*EB70+(ED70=1)*EF70+(EH70=1)*EJ70+(EL70=1)*EN70+(EP70=1)*ER70+(ET70=1)*EV70)</f>
        <v/>
      </c>
      <c r="CO70">
        <f>MAX(0,ROUND(N(CL70)+N(CM70)-N(CN70),2))</f>
        <v/>
      </c>
      <c r="CP70">
        <f>N(CS69)</f>
        <v/>
      </c>
      <c r="CQ70">
        <f>IF(N(CP70)&lt;=0.005,0,ROUND(N(CP70)*N('Debt List'!E6)/12,2))</f>
        <v/>
      </c>
      <c r="CR70">
        <f>IF(N(CP70)&lt;=0.005,0,MIN(N('Debt List'!F6),N(CP70)+N(CQ70)))+((DR70=2)*DT70+(DV70=2)*DX70+(DZ70=2)*EB70+(ED70=2)*EF70+(EH70=2)*EJ70+(EL70=2)*EN70+(EP70=2)*ER70+(ET70=2)*EV70)</f>
        <v/>
      </c>
      <c r="CS70">
        <f>MAX(0,ROUND(N(CP70)+N(CQ70)-N(CR70),2))</f>
        <v/>
      </c>
      <c r="CT70">
        <f>N(CW69)</f>
        <v/>
      </c>
      <c r="CU70">
        <f>IF(N(CT70)&lt;=0.005,0,ROUND(N(CT70)*N('Debt List'!E7)/12,2))</f>
        <v/>
      </c>
      <c r="CV70">
        <f>IF(N(CT70)&lt;=0.005,0,MIN(N('Debt List'!F7),N(CT70)+N(CU70)))+((DR70=3)*DT70+(DV70=3)*DX70+(DZ70=3)*EB70+(ED70=3)*EF70+(EH70=3)*EJ70+(EL70=3)*EN70+(EP70=3)*ER70+(ET70=3)*EV70)</f>
        <v/>
      </c>
      <c r="CW70">
        <f>MAX(0,ROUND(N(CT70)+N(CU70)-N(CV70),2))</f>
        <v/>
      </c>
      <c r="CX70">
        <f>N(DA69)</f>
        <v/>
      </c>
      <c r="CY70">
        <f>IF(N(CX70)&lt;=0.005,0,ROUND(N(CX70)*N('Debt List'!E8)/12,2))</f>
        <v/>
      </c>
      <c r="CZ70">
        <f>IF(N(CX70)&lt;=0.005,0,MIN(N('Debt List'!F8),N(CX70)+N(CY70)))+((DR70=4)*DT70+(DV70=4)*DX70+(DZ70=4)*EB70+(ED70=4)*EF70+(EH70=4)*EJ70+(EL70=4)*EN70+(EP70=4)*ER70+(ET70=4)*EV70)</f>
        <v/>
      </c>
      <c r="DA70">
        <f>MAX(0,ROUND(N(CX70)+N(CY70)-N(CZ70),2))</f>
        <v/>
      </c>
      <c r="DB70">
        <f>N(DE69)</f>
        <v/>
      </c>
      <c r="DC70">
        <f>IF(N(DB70)&lt;=0.005,0,ROUND(N(DB70)*N('Debt List'!E9)/12,2))</f>
        <v/>
      </c>
      <c r="DD70">
        <f>IF(N(DB70)&lt;=0.005,0,MIN(N('Debt List'!F9),N(DB70)+N(DC70)))+((DR70=5)*DT70+(DV70=5)*DX70+(DZ70=5)*EB70+(ED70=5)*EF70+(EH70=5)*EJ70+(EL70=5)*EN70+(EP70=5)*ER70+(ET70=5)*EV70)</f>
        <v/>
      </c>
      <c r="DE70">
        <f>MAX(0,ROUND(N(DB70)+N(DC70)-N(DD70),2))</f>
        <v/>
      </c>
      <c r="DF70">
        <f>N(DI69)</f>
        <v/>
      </c>
      <c r="DG70">
        <f>IF(N(DF70)&lt;=0.005,0,ROUND(N(DF70)*N('Debt List'!E10)/12,2))</f>
        <v/>
      </c>
      <c r="DH70">
        <f>IF(N(DF70)&lt;=0.005,0,MIN(N('Debt List'!F10),N(DF70)+N(DG70)))+((DR70=6)*DT70+(DV70=6)*DX70+(DZ70=6)*EB70+(ED70=6)*EF70+(EH70=6)*EJ70+(EL70=6)*EN70+(EP70=6)*ER70+(ET70=6)*EV70)</f>
        <v/>
      </c>
      <c r="DI70">
        <f>MAX(0,ROUND(N(DF70)+N(DG70)-N(DH70),2))</f>
        <v/>
      </c>
      <c r="DJ70">
        <f>N(DM69)</f>
        <v/>
      </c>
      <c r="DK70">
        <f>IF(N(DJ70)&lt;=0.005,0,ROUND(N(DJ70)*N('Debt List'!E11)/12,2))</f>
        <v/>
      </c>
      <c r="DL70">
        <f>IF(N(DJ70)&lt;=0.005,0,MIN(N('Debt List'!F11),N(DJ70)+N(DK70)))+((DR70=7)*DT70+(DV70=7)*DX70+(DZ70=7)*EB70+(ED70=7)*EF70+(EH70=7)*EJ70+(EL70=7)*EN70+(EP70=7)*ER70+(ET70=7)*EV70)</f>
        <v/>
      </c>
      <c r="DM70">
        <f>MAX(0,ROUND(N(DJ70)+N(DK70)-N(DL70),2))</f>
        <v/>
      </c>
      <c r="DN70">
        <f>N(DQ69)</f>
        <v/>
      </c>
      <c r="DO70">
        <f>IF(N(DN70)&lt;=0.005,0,ROUND(N(DN70)*N('Debt List'!E12)/12,2))</f>
        <v/>
      </c>
      <c r="DP70">
        <f>IF(N(DN70)&lt;=0.005,0,MIN(N('Debt List'!F12),N(DN70)+N(DO70)))+((DR70=8)*DT70+(DV70=8)*DX70+(DZ70=8)*EB70+(ED70=8)*EF70+(EH70=8)*EJ70+(EL70=8)*EN70+(EP70=8)*ER70+(ET70=8)*EV70)</f>
        <v/>
      </c>
      <c r="DQ70">
        <f>MAX(0,ROUND(N(DN70)+N(DO70)-N(DP70),2))</f>
        <v/>
      </c>
      <c r="DR70">
        <f>IFERROR(MATCH(1,OrderSnow,0),"")</f>
        <v/>
      </c>
      <c r="DS70">
        <f>IF(DR70="",0,IFERROR(IF(N(CHOOSE(DR70,CL70,CP70,CT70,CX70,DB70,DF70,DJ70,DN70))&lt;=0.005,0,MAX(0,N(CHOOSE(DR70,CL70,CP70,CT70,CX70,DB70,DF70,DJ70,DN70))+N(CHOOSE(DR70,CM70,CQ70,CU70,CY70,DC70,DG70,DK70,DO70))-MIN(N(CHOOSE(DR70,'Debt List'!$F$5,'Debt List'!$F$6,'Debt List'!$F$7,'Debt List'!$F$8,'Debt List'!$F$9,'Debt List'!$F$10,'Debt List'!$F$11,'Debt List'!$F$12)),N(CHOOSE(DR70,CL70,CP70,CT70,CX70,DB70,DF70,DJ70,DN70))+N(CHOOSE(DR70,CM70,CQ70,CU70,CY70,DC70,DG70,DK70,DO70))))),0))</f>
        <v/>
      </c>
      <c r="DT70">
        <f>MIN(N(DS70),MAX(0,N(ExtraPayment)))</f>
        <v/>
      </c>
      <c r="DU70">
        <f>MAX(0,N(ExtraPayment)-N(DT70))</f>
        <v/>
      </c>
      <c r="DV70">
        <f>IFERROR(MATCH(2,OrderSnow,0),"")</f>
        <v/>
      </c>
      <c r="DW70">
        <f>IF(DV70="",0,IFERROR(IF(N(CHOOSE(DV70,CL70,CP70,CT70,CX70,DB70,DF70,DJ70,DN70))&lt;=0.005,0,MAX(0,N(CHOOSE(DV70,CL70,CP70,CT70,CX70,DB70,DF70,DJ70,DN70))+N(CHOOSE(DV70,CM70,CQ70,CU70,CY70,DC70,DG70,DK70,DO70))-MIN(N(CHOOSE(DV70,'Debt List'!$F$5,'Debt List'!$F$6,'Debt List'!$F$7,'Debt List'!$F$8,'Debt List'!$F$9,'Debt List'!$F$10,'Debt List'!$F$11,'Debt List'!$F$12)),N(CHOOSE(DV70,CL70,CP70,CT70,CX70,DB70,DF70,DJ70,DN70))+N(CHOOSE(DV70,CM70,CQ70,CU70,CY70,DC70,DG70,DK70,DO70))))),0))</f>
        <v/>
      </c>
      <c r="DX70">
        <f>MIN(N(DW70),MAX(0,N(DU70)))</f>
        <v/>
      </c>
      <c r="DY70">
        <f>MAX(0,N(DU70)-N(DX70))</f>
        <v/>
      </c>
      <c r="DZ70">
        <f>IFERROR(MATCH(3,OrderSnow,0),"")</f>
        <v/>
      </c>
      <c r="EA70">
        <f>IF(DZ70="",0,IFERROR(IF(N(CHOOSE(DZ70,CL70,CP70,CT70,CX70,DB70,DF70,DJ70,DN70))&lt;=0.005,0,MAX(0,N(CHOOSE(DZ70,CL70,CP70,CT70,CX70,DB70,DF70,DJ70,DN70))+N(CHOOSE(DZ70,CM70,CQ70,CU70,CY70,DC70,DG70,DK70,DO70))-MIN(N(CHOOSE(DZ70,'Debt List'!$F$5,'Debt List'!$F$6,'Debt List'!$F$7,'Debt List'!$F$8,'Debt List'!$F$9,'Debt List'!$F$10,'Debt List'!$F$11,'Debt List'!$F$12)),N(CHOOSE(DZ70,CL70,CP70,CT70,CX70,DB70,DF70,DJ70,DN70))+N(CHOOSE(DZ70,CM70,CQ70,CU70,CY70,DC70,DG70,DK70,DO70))))),0))</f>
        <v/>
      </c>
      <c r="EB70">
        <f>MIN(N(EA70),MAX(0,N(DY70)))</f>
        <v/>
      </c>
      <c r="EC70">
        <f>MAX(0,N(DY70)-N(EB70))</f>
        <v/>
      </c>
      <c r="ED70">
        <f>IFERROR(MATCH(4,OrderSnow,0),"")</f>
        <v/>
      </c>
      <c r="EE70">
        <f>IF(ED70="",0,IFERROR(IF(N(CHOOSE(ED70,CL70,CP70,CT70,CX70,DB70,DF70,DJ70,DN70))&lt;=0.005,0,MAX(0,N(CHOOSE(ED70,CL70,CP70,CT70,CX70,DB70,DF70,DJ70,DN70))+N(CHOOSE(ED70,CM70,CQ70,CU70,CY70,DC70,DG70,DK70,DO70))-MIN(N(CHOOSE(ED70,'Debt List'!$F$5,'Debt List'!$F$6,'Debt List'!$F$7,'Debt List'!$F$8,'Debt List'!$F$9,'Debt List'!$F$10,'Debt List'!$F$11,'Debt List'!$F$12)),N(CHOOSE(ED70,CL70,CP70,CT70,CX70,DB70,DF70,DJ70,DN70))+N(CHOOSE(ED70,CM70,CQ70,CU70,CY70,DC70,DG70,DK70,DO70))))),0))</f>
        <v/>
      </c>
      <c r="EF70">
        <f>MIN(N(EE70),MAX(0,N(EC70)))</f>
        <v/>
      </c>
      <c r="EG70">
        <f>MAX(0,N(EC70)-N(EF70))</f>
        <v/>
      </c>
      <c r="EH70">
        <f>IFERROR(MATCH(5,OrderSnow,0),"")</f>
        <v/>
      </c>
      <c r="EI70">
        <f>IF(EH70="",0,IFERROR(IF(N(CHOOSE(EH70,CL70,CP70,CT70,CX70,DB70,DF70,DJ70,DN70))&lt;=0.005,0,MAX(0,N(CHOOSE(EH70,CL70,CP70,CT70,CX70,DB70,DF70,DJ70,DN70))+N(CHOOSE(EH70,CM70,CQ70,CU70,CY70,DC70,DG70,DK70,DO70))-MIN(N(CHOOSE(EH70,'Debt List'!$F$5,'Debt List'!$F$6,'Debt List'!$F$7,'Debt List'!$F$8,'Debt List'!$F$9,'Debt List'!$F$10,'Debt List'!$F$11,'Debt List'!$F$12)),N(CHOOSE(EH70,CL70,CP70,CT70,CX70,DB70,DF70,DJ70,DN70))+N(CHOOSE(EH70,CM70,CQ70,CU70,CY70,DC70,DG70,DK70,DO70))))),0))</f>
        <v/>
      </c>
      <c r="EJ70">
        <f>MIN(N(EI70),MAX(0,N(EG70)))</f>
        <v/>
      </c>
      <c r="EK70">
        <f>MAX(0,N(EG70)-N(EJ70))</f>
        <v/>
      </c>
      <c r="EL70">
        <f>IFERROR(MATCH(6,OrderSnow,0),"")</f>
        <v/>
      </c>
      <c r="EM70">
        <f>IF(EL70="",0,IFERROR(IF(N(CHOOSE(EL70,CL70,CP70,CT70,CX70,DB70,DF70,DJ70,DN70))&lt;=0.005,0,MAX(0,N(CHOOSE(EL70,CL70,CP70,CT70,CX70,DB70,DF70,DJ70,DN70))+N(CHOOSE(EL70,CM70,CQ70,CU70,CY70,DC70,DG70,DK70,DO70))-MIN(N(CHOOSE(EL70,'Debt List'!$F$5,'Debt List'!$F$6,'Debt List'!$F$7,'Debt List'!$F$8,'Debt List'!$F$9,'Debt List'!$F$10,'Debt List'!$F$11,'Debt List'!$F$12)),N(CHOOSE(EL70,CL70,CP70,CT70,CX70,DB70,DF70,DJ70,DN70))+N(CHOOSE(EL70,CM70,CQ70,CU70,CY70,DC70,DG70,DK70,DO70))))),0))</f>
        <v/>
      </c>
      <c r="EN70">
        <f>MIN(N(EM70),MAX(0,N(EK70)))</f>
        <v/>
      </c>
      <c r="EO70">
        <f>MAX(0,N(EK70)-N(EN70))</f>
        <v/>
      </c>
      <c r="EP70">
        <f>IFERROR(MATCH(7,OrderSnow,0),"")</f>
        <v/>
      </c>
      <c r="EQ70">
        <f>IF(EP70="",0,IFERROR(IF(N(CHOOSE(EP70,CL70,CP70,CT70,CX70,DB70,DF70,DJ70,DN70))&lt;=0.005,0,MAX(0,N(CHOOSE(EP70,CL70,CP70,CT70,CX70,DB70,DF70,DJ70,DN70))+N(CHOOSE(EP70,CM70,CQ70,CU70,CY70,DC70,DG70,DK70,DO70))-MIN(N(CHOOSE(EP70,'Debt List'!$F$5,'Debt List'!$F$6,'Debt List'!$F$7,'Debt List'!$F$8,'Debt List'!$F$9,'Debt List'!$F$10,'Debt List'!$F$11,'Debt List'!$F$12)),N(CHOOSE(EP70,CL70,CP70,CT70,CX70,DB70,DF70,DJ70,DN70))+N(CHOOSE(EP70,CM70,CQ70,CU70,CY70,DC70,DG70,DK70,DO70))))),0))</f>
        <v/>
      </c>
      <c r="ER70">
        <f>MIN(N(EQ70),MAX(0,N(EO70)))</f>
        <v/>
      </c>
      <c r="ES70">
        <f>MAX(0,N(EO70)-N(ER70))</f>
        <v/>
      </c>
      <c r="ET70">
        <f>IFERROR(MATCH(8,OrderSnow,0),"")</f>
        <v/>
      </c>
      <c r="EU70">
        <f>IF(ET70="",0,IFERROR(IF(N(CHOOSE(ET70,CL70,CP70,CT70,CX70,DB70,DF70,DJ70,DN70))&lt;=0.005,0,MAX(0,N(CHOOSE(ET70,CL70,CP70,CT70,CX70,DB70,DF70,DJ70,DN70))+N(CHOOSE(ET70,CM70,CQ70,CU70,CY70,DC70,DG70,DK70,DO70))-MIN(N(CHOOSE(ET70,'Debt List'!$F$5,'Debt List'!$F$6,'Debt List'!$F$7,'Debt List'!$F$8,'Debt List'!$F$9,'Debt List'!$F$10,'Debt List'!$F$11,'Debt List'!$F$12)),N(CHOOSE(ET70,CL70,CP70,CT70,CX70,DB70,DF70,DJ70,DN70))+N(CHOOSE(ET70,CM70,CQ70,CU70,CY70,DC70,DG70,DK70,DO70))))),0))</f>
        <v/>
      </c>
      <c r="EV70">
        <f>MIN(N(EU70),MAX(0,N(ES70)))</f>
        <v/>
      </c>
      <c r="EW70">
        <f>MAX(0,N(ES70)-N(EV70))</f>
        <v/>
      </c>
      <c r="FE70" t="n">
        <v>66</v>
      </c>
      <c r="FF70" s="115">
        <f>DATE(YEAR(PlanStart),MONTH(PlanStart)+FE70-1,1)</f>
        <v/>
      </c>
      <c r="FG70">
        <f>IF(AND(GT70&lt;&gt;"",N(CHOOSE(GT70,FN70,FR70,FV70,FZ70,GD70,GH70,GL70,GP70))&gt;0.005),INDEX(DebtNames,GT70),IF(AND(GX70&lt;&gt;"",N(CHOOSE(GX70,FN70,FR70,FV70,FZ70,GD70,GH70,GL70,GP70))&gt;0.005),INDEX(DebtNames,GX70),IF(AND(HB70&lt;&gt;"",N(CHOOSE(HB70,FN70,FR70,FV70,FZ70,GD70,GH70,GL70,GP70))&gt;0.005),INDEX(DebtNames,HB70),IF(AND(HF70&lt;&gt;"",N(CHOOSE(HF70,FN70,FR70,FV70,FZ70,GD70,GH70,GL70,GP70))&gt;0.005),INDEX(DebtNames,HF70),IF(AND(HJ70&lt;&gt;"",N(CHOOSE(HJ70,FN70,FR70,FV70,FZ70,GD70,GH70,GL70,GP70))&gt;0.005),INDEX(DebtNames,HJ70),IF(AND(HN70&lt;&gt;"",N(CHOOSE(HN70,FN70,FR70,FV70,FZ70,GD70,GH70,GL70,GP70))&gt;0.005),INDEX(DebtNames,HN70),IF(AND(HR70&lt;&gt;"",N(CHOOSE(HR70,FN70,FR70,FV70,FZ70,GD70,GH70,GL70,GP70))&gt;0.005),INDEX(DebtNames,HR70),IF(AND(HV70&lt;&gt;"",N(CHOOSE(HV70,FN70,FR70,FV70,FZ70,GD70,GH70,GL70,GP70))&gt;0.005),INDEX(DebtNames,HV70),""))))))))</f>
        <v/>
      </c>
      <c r="FH70">
        <f>N(HY70)</f>
        <v/>
      </c>
      <c r="FI70">
        <f>N(FP70)+N(FT70)+N(FX70)+N(GB70)+N(GF70)+N(GJ70)+N(GN70)+N(GR70)</f>
        <v/>
      </c>
      <c r="FJ70">
        <f>N(FO70)+N(FS70)+N(FW70)+N(GA70)+N(GE70)+N(GI70)+N(GM70)+N(GQ70)</f>
        <v/>
      </c>
      <c r="FK70">
        <f>N(FK69)+N(FJ70)</f>
        <v/>
      </c>
      <c r="FL70">
        <f>N(FQ70)+N(FU70)+N(FY70)+N(GC70)+N(GG70)+N(GK70)+N(GO70)+N(GS70)</f>
        <v/>
      </c>
      <c r="FM70">
        <f>(FQ70&gt;0.005)*1+(FU70&gt;0.005)*1+(FY70&gt;0.005)*1+(GC70&gt;0.005)*1+(GG70&gt;0.005)*1+(GK70&gt;0.005)*1+(GO70&gt;0.005)*1+(GS70&gt;0.005)*1</f>
        <v/>
      </c>
      <c r="FN70">
        <f>N(FQ69)</f>
        <v/>
      </c>
      <c r="FO70">
        <f>IF(N(FN70)&lt;=0.005,0,ROUND(N(FN70)*N('Debt List'!E5)/12,2))</f>
        <v/>
      </c>
      <c r="FP70">
        <f>IF(N(FN70)&lt;=0.005,0,MIN(N('Debt List'!F5),N(FN70)+N(FO70)))+((GT70=1)*GV70+(GX70=1)*GZ70+(HB70=1)*HD70+(HF70=1)*HH70+(HJ70=1)*HL70+(HN70=1)*HP70+(HR70=1)*HT70+(HV70=1)*HX70)</f>
        <v/>
      </c>
      <c r="FQ70">
        <f>MAX(0,ROUND(N(FN70)+N(FO70)-N(FP70),2))</f>
        <v/>
      </c>
      <c r="FR70">
        <f>N(FU69)</f>
        <v/>
      </c>
      <c r="FS70">
        <f>IF(N(FR70)&lt;=0.005,0,ROUND(N(FR70)*N('Debt List'!E6)/12,2))</f>
        <v/>
      </c>
      <c r="FT70">
        <f>IF(N(FR70)&lt;=0.005,0,MIN(N('Debt List'!F6),N(FR70)+N(FS70)))+((GT70=2)*GV70+(GX70=2)*GZ70+(HB70=2)*HD70+(HF70=2)*HH70+(HJ70=2)*HL70+(HN70=2)*HP70+(HR70=2)*HT70+(HV70=2)*HX70)</f>
        <v/>
      </c>
      <c r="FU70">
        <f>MAX(0,ROUND(N(FR70)+N(FS70)-N(FT70),2))</f>
        <v/>
      </c>
      <c r="FV70">
        <f>N(FY69)</f>
        <v/>
      </c>
      <c r="FW70">
        <f>IF(N(FV70)&lt;=0.005,0,ROUND(N(FV70)*N('Debt List'!E7)/12,2))</f>
        <v/>
      </c>
      <c r="FX70">
        <f>IF(N(FV70)&lt;=0.005,0,MIN(N('Debt List'!F7),N(FV70)+N(FW70)))+((GT70=3)*GV70+(GX70=3)*GZ70+(HB70=3)*HD70+(HF70=3)*HH70+(HJ70=3)*HL70+(HN70=3)*HP70+(HR70=3)*HT70+(HV70=3)*HX70)</f>
        <v/>
      </c>
      <c r="FY70">
        <f>MAX(0,ROUND(N(FV70)+N(FW70)-N(FX70),2))</f>
        <v/>
      </c>
      <c r="FZ70">
        <f>N(GC69)</f>
        <v/>
      </c>
      <c r="GA70">
        <f>IF(N(FZ70)&lt;=0.005,0,ROUND(N(FZ70)*N('Debt List'!E8)/12,2))</f>
        <v/>
      </c>
      <c r="GB70">
        <f>IF(N(FZ70)&lt;=0.005,0,MIN(N('Debt List'!F8),N(FZ70)+N(GA70)))+((GT70=4)*GV70+(GX70=4)*GZ70+(HB70=4)*HD70+(HF70=4)*HH70+(HJ70=4)*HL70+(HN70=4)*HP70+(HR70=4)*HT70+(HV70=4)*HX70)</f>
        <v/>
      </c>
      <c r="GC70">
        <f>MAX(0,ROUND(N(FZ70)+N(GA70)-N(GB70),2))</f>
        <v/>
      </c>
      <c r="GD70">
        <f>N(GG69)</f>
        <v/>
      </c>
      <c r="GE70">
        <f>IF(N(GD70)&lt;=0.005,0,ROUND(N(GD70)*N('Debt List'!E9)/12,2))</f>
        <v/>
      </c>
      <c r="GF70">
        <f>IF(N(GD70)&lt;=0.005,0,MIN(N('Debt List'!F9),N(GD70)+N(GE70)))+((GT70=5)*GV70+(GX70=5)*GZ70+(HB70=5)*HD70+(HF70=5)*HH70+(HJ70=5)*HL70+(HN70=5)*HP70+(HR70=5)*HT70+(HV70=5)*HX70)</f>
        <v/>
      </c>
      <c r="GG70">
        <f>MAX(0,ROUND(N(GD70)+N(GE70)-N(GF70),2))</f>
        <v/>
      </c>
      <c r="GH70">
        <f>N(GK69)</f>
        <v/>
      </c>
      <c r="GI70">
        <f>IF(N(GH70)&lt;=0.005,0,ROUND(N(GH70)*N('Debt List'!E10)/12,2))</f>
        <v/>
      </c>
      <c r="GJ70">
        <f>IF(N(GH70)&lt;=0.005,0,MIN(N('Debt List'!F10),N(GH70)+N(GI70)))+((GT70=6)*GV70+(GX70=6)*GZ70+(HB70=6)*HD70+(HF70=6)*HH70+(HJ70=6)*HL70+(HN70=6)*HP70+(HR70=6)*HT70+(HV70=6)*HX70)</f>
        <v/>
      </c>
      <c r="GK70">
        <f>MAX(0,ROUND(N(GH70)+N(GI70)-N(GJ70),2))</f>
        <v/>
      </c>
      <c r="GL70">
        <f>N(GO69)</f>
        <v/>
      </c>
      <c r="GM70">
        <f>IF(N(GL70)&lt;=0.005,0,ROUND(N(GL70)*N('Debt List'!E11)/12,2))</f>
        <v/>
      </c>
      <c r="GN70">
        <f>IF(N(GL70)&lt;=0.005,0,MIN(N('Debt List'!F11),N(GL70)+N(GM70)))+((GT70=7)*GV70+(GX70=7)*GZ70+(HB70=7)*HD70+(HF70=7)*HH70+(HJ70=7)*HL70+(HN70=7)*HP70+(HR70=7)*HT70+(HV70=7)*HX70)</f>
        <v/>
      </c>
      <c r="GO70">
        <f>MAX(0,ROUND(N(GL70)+N(GM70)-N(GN70),2))</f>
        <v/>
      </c>
      <c r="GP70">
        <f>N(GS69)</f>
        <v/>
      </c>
      <c r="GQ70">
        <f>IF(N(GP70)&lt;=0.005,0,ROUND(N(GP70)*N('Debt List'!E12)/12,2))</f>
        <v/>
      </c>
      <c r="GR70">
        <f>IF(N(GP70)&lt;=0.005,0,MIN(N('Debt List'!F12),N(GP70)+N(GQ70)))+((GT70=8)*GV70+(GX70=8)*GZ70+(HB70=8)*HD70+(HF70=8)*HH70+(HJ70=8)*HL70+(HN70=8)*HP70+(HR70=8)*HT70+(HV70=8)*HX70)</f>
        <v/>
      </c>
      <c r="GS70">
        <f>MAX(0,ROUND(N(GP70)+N(GQ70)-N(GR70),2))</f>
        <v/>
      </c>
      <c r="GT70">
        <f>IFERROR(MATCH(1,OrderAval,0),"")</f>
        <v/>
      </c>
      <c r="GU70">
        <f>IF(GT70="",0,IFERROR(IF(N(CHOOSE(GT70,FN70,FR70,FV70,FZ70,GD70,GH70,GL70,GP70))&lt;=0.005,0,MAX(0,N(CHOOSE(GT70,FN70,FR70,FV70,FZ70,GD70,GH70,GL70,GP70))+N(CHOOSE(GT70,FO70,FS70,FW70,GA70,GE70,GI70,GM70,GQ70))-MIN(N(CHOOSE(GT70,'Debt List'!$F$5,'Debt List'!$F$6,'Debt List'!$F$7,'Debt List'!$F$8,'Debt List'!$F$9,'Debt List'!$F$10,'Debt List'!$F$11,'Debt List'!$F$12)),N(CHOOSE(GT70,FN70,FR70,FV70,FZ70,GD70,GH70,GL70,GP70))+N(CHOOSE(GT70,FO70,FS70,FW70,GA70,GE70,GI70,GM70,GQ70))))),0))</f>
        <v/>
      </c>
      <c r="GV70">
        <f>MIN(N(GU70),MAX(0,N(ExtraPayment)))</f>
        <v/>
      </c>
      <c r="GW70">
        <f>MAX(0,N(ExtraPayment)-N(GV70))</f>
        <v/>
      </c>
      <c r="GX70">
        <f>IFERROR(MATCH(2,OrderAval,0),"")</f>
        <v/>
      </c>
      <c r="GY70">
        <f>IF(GX70="",0,IFERROR(IF(N(CHOOSE(GX70,FN70,FR70,FV70,FZ70,GD70,GH70,GL70,GP70))&lt;=0.005,0,MAX(0,N(CHOOSE(GX70,FN70,FR70,FV70,FZ70,GD70,GH70,GL70,GP70))+N(CHOOSE(GX70,FO70,FS70,FW70,GA70,GE70,GI70,GM70,GQ70))-MIN(N(CHOOSE(GX70,'Debt List'!$F$5,'Debt List'!$F$6,'Debt List'!$F$7,'Debt List'!$F$8,'Debt List'!$F$9,'Debt List'!$F$10,'Debt List'!$F$11,'Debt List'!$F$12)),N(CHOOSE(GX70,FN70,FR70,FV70,FZ70,GD70,GH70,GL70,GP70))+N(CHOOSE(GX70,FO70,FS70,FW70,GA70,GE70,GI70,GM70,GQ70))))),0))</f>
        <v/>
      </c>
      <c r="GZ70">
        <f>MIN(N(GY70),MAX(0,N(GW70)))</f>
        <v/>
      </c>
      <c r="HA70">
        <f>MAX(0,N(GW70)-N(GZ70))</f>
        <v/>
      </c>
      <c r="HB70">
        <f>IFERROR(MATCH(3,OrderAval,0),"")</f>
        <v/>
      </c>
      <c r="HC70">
        <f>IF(HB70="",0,IFERROR(IF(N(CHOOSE(HB70,FN70,FR70,FV70,FZ70,GD70,GH70,GL70,GP70))&lt;=0.005,0,MAX(0,N(CHOOSE(HB70,FN70,FR70,FV70,FZ70,GD70,GH70,GL70,GP70))+N(CHOOSE(HB70,FO70,FS70,FW70,GA70,GE70,GI70,GM70,GQ70))-MIN(N(CHOOSE(HB70,'Debt List'!$F$5,'Debt List'!$F$6,'Debt List'!$F$7,'Debt List'!$F$8,'Debt List'!$F$9,'Debt List'!$F$10,'Debt List'!$F$11,'Debt List'!$F$12)),N(CHOOSE(HB70,FN70,FR70,FV70,FZ70,GD70,GH70,GL70,GP70))+N(CHOOSE(HB70,FO70,FS70,FW70,GA70,GE70,GI70,GM70,GQ70))))),0))</f>
        <v/>
      </c>
      <c r="HD70">
        <f>MIN(N(HC70),MAX(0,N(HA70)))</f>
        <v/>
      </c>
      <c r="HE70">
        <f>MAX(0,N(HA70)-N(HD70))</f>
        <v/>
      </c>
      <c r="HF70">
        <f>IFERROR(MATCH(4,OrderAval,0),"")</f>
        <v/>
      </c>
      <c r="HG70">
        <f>IF(HF70="",0,IFERROR(IF(N(CHOOSE(HF70,FN70,FR70,FV70,FZ70,GD70,GH70,GL70,GP70))&lt;=0.005,0,MAX(0,N(CHOOSE(HF70,FN70,FR70,FV70,FZ70,GD70,GH70,GL70,GP70))+N(CHOOSE(HF70,FO70,FS70,FW70,GA70,GE70,GI70,GM70,GQ70))-MIN(N(CHOOSE(HF70,'Debt List'!$F$5,'Debt List'!$F$6,'Debt List'!$F$7,'Debt List'!$F$8,'Debt List'!$F$9,'Debt List'!$F$10,'Debt List'!$F$11,'Debt List'!$F$12)),N(CHOOSE(HF70,FN70,FR70,FV70,FZ70,GD70,GH70,GL70,GP70))+N(CHOOSE(HF70,FO70,FS70,FW70,GA70,GE70,GI70,GM70,GQ70))))),0))</f>
        <v/>
      </c>
      <c r="HH70">
        <f>MIN(N(HG70),MAX(0,N(HE70)))</f>
        <v/>
      </c>
      <c r="HI70">
        <f>MAX(0,N(HE70)-N(HH70))</f>
        <v/>
      </c>
      <c r="HJ70">
        <f>IFERROR(MATCH(5,OrderAval,0),"")</f>
        <v/>
      </c>
      <c r="HK70">
        <f>IF(HJ70="",0,IFERROR(IF(N(CHOOSE(HJ70,FN70,FR70,FV70,FZ70,GD70,GH70,GL70,GP70))&lt;=0.005,0,MAX(0,N(CHOOSE(HJ70,FN70,FR70,FV70,FZ70,GD70,GH70,GL70,GP70))+N(CHOOSE(HJ70,FO70,FS70,FW70,GA70,GE70,GI70,GM70,GQ70))-MIN(N(CHOOSE(HJ70,'Debt List'!$F$5,'Debt List'!$F$6,'Debt List'!$F$7,'Debt List'!$F$8,'Debt List'!$F$9,'Debt List'!$F$10,'Debt List'!$F$11,'Debt List'!$F$12)),N(CHOOSE(HJ70,FN70,FR70,FV70,FZ70,GD70,GH70,GL70,GP70))+N(CHOOSE(HJ70,FO70,FS70,FW70,GA70,GE70,GI70,GM70,GQ70))))),0))</f>
        <v/>
      </c>
      <c r="HL70">
        <f>MIN(N(HK70),MAX(0,N(HI70)))</f>
        <v/>
      </c>
      <c r="HM70">
        <f>MAX(0,N(HI70)-N(HL70))</f>
        <v/>
      </c>
      <c r="HN70">
        <f>IFERROR(MATCH(6,OrderAval,0),"")</f>
        <v/>
      </c>
      <c r="HO70">
        <f>IF(HN70="",0,IFERROR(IF(N(CHOOSE(HN70,FN70,FR70,FV70,FZ70,GD70,GH70,GL70,GP70))&lt;=0.005,0,MAX(0,N(CHOOSE(HN70,FN70,FR70,FV70,FZ70,GD70,GH70,GL70,GP70))+N(CHOOSE(HN70,FO70,FS70,FW70,GA70,GE70,GI70,GM70,GQ70))-MIN(N(CHOOSE(HN70,'Debt List'!$F$5,'Debt List'!$F$6,'Debt List'!$F$7,'Debt List'!$F$8,'Debt List'!$F$9,'Debt List'!$F$10,'Debt List'!$F$11,'Debt List'!$F$12)),N(CHOOSE(HN70,FN70,FR70,FV70,FZ70,GD70,GH70,GL70,GP70))+N(CHOOSE(HN70,FO70,FS70,FW70,GA70,GE70,GI70,GM70,GQ70))))),0))</f>
        <v/>
      </c>
      <c r="HP70">
        <f>MIN(N(HO70),MAX(0,N(HM70)))</f>
        <v/>
      </c>
      <c r="HQ70">
        <f>MAX(0,N(HM70)-N(HP70))</f>
        <v/>
      </c>
      <c r="HR70">
        <f>IFERROR(MATCH(7,OrderAval,0),"")</f>
        <v/>
      </c>
      <c r="HS70">
        <f>IF(HR70="",0,IFERROR(IF(N(CHOOSE(HR70,FN70,FR70,FV70,FZ70,GD70,GH70,GL70,GP70))&lt;=0.005,0,MAX(0,N(CHOOSE(HR70,FN70,FR70,FV70,FZ70,GD70,GH70,GL70,GP70))+N(CHOOSE(HR70,FO70,FS70,FW70,GA70,GE70,GI70,GM70,GQ70))-MIN(N(CHOOSE(HR70,'Debt List'!$F$5,'Debt List'!$F$6,'Debt List'!$F$7,'Debt List'!$F$8,'Debt List'!$F$9,'Debt List'!$F$10,'Debt List'!$F$11,'Debt List'!$F$12)),N(CHOOSE(HR70,FN70,FR70,FV70,FZ70,GD70,GH70,GL70,GP70))+N(CHOOSE(HR70,FO70,FS70,FW70,GA70,GE70,GI70,GM70,GQ70))))),0))</f>
        <v/>
      </c>
      <c r="HT70">
        <f>MIN(N(HS70),MAX(0,N(HQ70)))</f>
        <v/>
      </c>
      <c r="HU70">
        <f>MAX(0,N(HQ70)-N(HT70))</f>
        <v/>
      </c>
      <c r="HV70">
        <f>IFERROR(MATCH(8,OrderAval,0),"")</f>
        <v/>
      </c>
      <c r="HW70">
        <f>IF(HV70="",0,IFERROR(IF(N(CHOOSE(HV70,FN70,FR70,FV70,FZ70,GD70,GH70,GL70,GP70))&lt;=0.005,0,MAX(0,N(CHOOSE(HV70,FN70,FR70,FV70,FZ70,GD70,GH70,GL70,GP70))+N(CHOOSE(HV70,FO70,FS70,FW70,GA70,GE70,GI70,GM70,GQ70))-MIN(N(CHOOSE(HV70,'Debt List'!$F$5,'Debt List'!$F$6,'Debt List'!$F$7,'Debt List'!$F$8,'Debt List'!$F$9,'Debt List'!$F$10,'Debt List'!$F$11,'Debt List'!$F$12)),N(CHOOSE(HV70,FN70,FR70,FV70,FZ70,GD70,GH70,GL70,GP70))+N(CHOOSE(HV70,FO70,FS70,FW70,GA70,GE70,GI70,GM70,GQ70))))),0))</f>
        <v/>
      </c>
      <c r="HX70">
        <f>MIN(N(HW70),MAX(0,N(HU70)))</f>
        <v/>
      </c>
      <c r="HY70">
        <f>MAX(0,N(HU70)-N(HX70))</f>
        <v/>
      </c>
    </row>
    <row r="71">
      <c r="A71" t="n">
        <v>67</v>
      </c>
      <c r="B71" s="115">
        <f>DATE(YEAR(PlanStart),MONTH(PlanStart)+A71-1,1)</f>
        <v/>
      </c>
      <c r="C71">
        <f>IF(AND(AP71&lt;&gt;"",N(CHOOSE(AP71,J71,N71,R71,V71,Z71,AD71,AH71,AL71))&gt;0.005),INDEX(DebtNames,AP71),IF(AND(AT71&lt;&gt;"",N(CHOOSE(AT71,J71,N71,R71,V71,Z71,AD71,AH71,AL71))&gt;0.005),INDEX(DebtNames,AT71),IF(AND(AX71&lt;&gt;"",N(CHOOSE(AX71,J71,N71,R71,V71,Z71,AD71,AH71,AL71))&gt;0.005),INDEX(DebtNames,AX71),IF(AND(BB71&lt;&gt;"",N(CHOOSE(BB71,J71,N71,R71,V71,Z71,AD71,AH71,AL71))&gt;0.005),INDEX(DebtNames,BB71),IF(AND(BF71&lt;&gt;"",N(CHOOSE(BF71,J71,N71,R71,V71,Z71,AD71,AH71,AL71))&gt;0.005),INDEX(DebtNames,BF71),IF(AND(BJ71&lt;&gt;"",N(CHOOSE(BJ71,J71,N71,R71,V71,Z71,AD71,AH71,AL71))&gt;0.005),INDEX(DebtNames,BJ71),IF(AND(BN71&lt;&gt;"",N(CHOOSE(BN71,J71,N71,R71,V71,Z71,AD71,AH71,AL71))&gt;0.005),INDEX(DebtNames,BN71),IF(AND(BR71&lt;&gt;"",N(CHOOSE(BR71,J71,N71,R71,V71,Z71,AD71,AH71,AL71))&gt;0.005),INDEX(DebtNames,BR71),""))))))))</f>
        <v/>
      </c>
      <c r="D71">
        <f>N(BU71)</f>
        <v/>
      </c>
      <c r="E71">
        <f>N(L71)+N(P71)+N(T71)+N(X71)+N(AB71)+N(AF71)+N(AJ71)+N(AN71)</f>
        <v/>
      </c>
      <c r="F71">
        <f>N(K71)+N(O71)+N(S71)+N(W71)+N(AA71)+N(AE71)+N(AI71)+N(AM71)</f>
        <v/>
      </c>
      <c r="G71">
        <f>N(G70)+N(F71)</f>
        <v/>
      </c>
      <c r="H71">
        <f>N(M71)+N(Q71)+N(U71)+N(Y71)+N(AC71)+N(AG71)+N(AK71)+N(AO71)</f>
        <v/>
      </c>
      <c r="I71">
        <f>(M71&gt;0.005)*1+(Q71&gt;0.005)*1+(U71&gt;0.005)*1+(Y71&gt;0.005)*1+(AC71&gt;0.005)*1+(AG71&gt;0.005)*1+(AK71&gt;0.005)*1+(AO71&gt;0.005)*1</f>
        <v/>
      </c>
      <c r="J71">
        <f>N(M70)</f>
        <v/>
      </c>
      <c r="K71">
        <f>IF(N(J71)&lt;=0.005,0,ROUND(N(J71)*N('Debt List'!E5)/12,2))</f>
        <v/>
      </c>
      <c r="L71">
        <f>IF(N(J71)&lt;=0.005,0,MIN(N('Debt List'!F5),N(J71)+N(K71)))+((AP71=1)*AR71+(AT71=1)*AV71+(AX71=1)*AZ71+(BB71=1)*BD71+(BF71=1)*BH71+(BJ71=1)*BL71+(BN71=1)*BP71+(BR71=1)*BT71)</f>
        <v/>
      </c>
      <c r="M71">
        <f>MAX(0,ROUND(N(J71)+N(K71)-N(L71),2))</f>
        <v/>
      </c>
      <c r="N71">
        <f>N(Q70)</f>
        <v/>
      </c>
      <c r="O71">
        <f>IF(N(N71)&lt;=0.005,0,ROUND(N(N71)*N('Debt List'!E6)/12,2))</f>
        <v/>
      </c>
      <c r="P71">
        <f>IF(N(N71)&lt;=0.005,0,MIN(N('Debt List'!F6),N(N71)+N(O71)))+((AP71=2)*AR71+(AT71=2)*AV71+(AX71=2)*AZ71+(BB71=2)*BD71+(BF71=2)*BH71+(BJ71=2)*BL71+(BN71=2)*BP71+(BR71=2)*BT71)</f>
        <v/>
      </c>
      <c r="Q71">
        <f>MAX(0,ROUND(N(N71)+N(O71)-N(P71),2))</f>
        <v/>
      </c>
      <c r="R71">
        <f>N(U70)</f>
        <v/>
      </c>
      <c r="S71">
        <f>IF(N(R71)&lt;=0.005,0,ROUND(N(R71)*N('Debt List'!E7)/12,2))</f>
        <v/>
      </c>
      <c r="T71">
        <f>IF(N(R71)&lt;=0.005,0,MIN(N('Debt List'!F7),N(R71)+N(S71)))+((AP71=3)*AR71+(AT71=3)*AV71+(AX71=3)*AZ71+(BB71=3)*BD71+(BF71=3)*BH71+(BJ71=3)*BL71+(BN71=3)*BP71+(BR71=3)*BT71)</f>
        <v/>
      </c>
      <c r="U71">
        <f>MAX(0,ROUND(N(R71)+N(S71)-N(T71),2))</f>
        <v/>
      </c>
      <c r="V71">
        <f>N(Y70)</f>
        <v/>
      </c>
      <c r="W71">
        <f>IF(N(V71)&lt;=0.005,0,ROUND(N(V71)*N('Debt List'!E8)/12,2))</f>
        <v/>
      </c>
      <c r="X71">
        <f>IF(N(V71)&lt;=0.005,0,MIN(N('Debt List'!F8),N(V71)+N(W71)))+((AP71=4)*AR71+(AT71=4)*AV71+(AX71=4)*AZ71+(BB71=4)*BD71+(BF71=4)*BH71+(BJ71=4)*BL71+(BN71=4)*BP71+(BR71=4)*BT71)</f>
        <v/>
      </c>
      <c r="Y71">
        <f>MAX(0,ROUND(N(V71)+N(W71)-N(X71),2))</f>
        <v/>
      </c>
      <c r="Z71">
        <f>N(AC70)</f>
        <v/>
      </c>
      <c r="AA71">
        <f>IF(N(Z71)&lt;=0.005,0,ROUND(N(Z71)*N('Debt List'!E9)/12,2))</f>
        <v/>
      </c>
      <c r="AB71">
        <f>IF(N(Z71)&lt;=0.005,0,MIN(N('Debt List'!F9),N(Z71)+N(AA71)))+((AP71=5)*AR71+(AT71=5)*AV71+(AX71=5)*AZ71+(BB71=5)*BD71+(BF71=5)*BH71+(BJ71=5)*BL71+(BN71=5)*BP71+(BR71=5)*BT71)</f>
        <v/>
      </c>
      <c r="AC71">
        <f>MAX(0,ROUND(N(Z71)+N(AA71)-N(AB71),2))</f>
        <v/>
      </c>
      <c r="AD71">
        <f>N(AG70)</f>
        <v/>
      </c>
      <c r="AE71">
        <f>IF(N(AD71)&lt;=0.005,0,ROUND(N(AD71)*N('Debt List'!E10)/12,2))</f>
        <v/>
      </c>
      <c r="AF71">
        <f>IF(N(AD71)&lt;=0.005,0,MIN(N('Debt List'!F10),N(AD71)+N(AE71)))+((AP71=6)*AR71+(AT71=6)*AV71+(AX71=6)*AZ71+(BB71=6)*BD71+(BF71=6)*BH71+(BJ71=6)*BL71+(BN71=6)*BP71+(BR71=6)*BT71)</f>
        <v/>
      </c>
      <c r="AG71">
        <f>MAX(0,ROUND(N(AD71)+N(AE71)-N(AF71),2))</f>
        <v/>
      </c>
      <c r="AH71">
        <f>N(AK70)</f>
        <v/>
      </c>
      <c r="AI71">
        <f>IF(N(AH71)&lt;=0.005,0,ROUND(N(AH71)*N('Debt List'!E11)/12,2))</f>
        <v/>
      </c>
      <c r="AJ71">
        <f>IF(N(AH71)&lt;=0.005,0,MIN(N('Debt List'!F11),N(AH71)+N(AI71)))+((AP71=7)*AR71+(AT71=7)*AV71+(AX71=7)*AZ71+(BB71=7)*BD71+(BF71=7)*BH71+(BJ71=7)*BL71+(BN71=7)*BP71+(BR71=7)*BT71)</f>
        <v/>
      </c>
      <c r="AK71">
        <f>MAX(0,ROUND(N(AH71)+N(AI71)-N(AJ71),2))</f>
        <v/>
      </c>
      <c r="AL71">
        <f>N(AO70)</f>
        <v/>
      </c>
      <c r="AM71">
        <f>IF(N(AL71)&lt;=0.005,0,ROUND(N(AL71)*N('Debt List'!E12)/12,2))</f>
        <v/>
      </c>
      <c r="AN71">
        <f>IF(N(AL71)&lt;=0.005,0,MIN(N('Debt List'!F12),N(AL71)+N(AM71)))+((AP71=8)*AR71+(AT71=8)*AV71+(AX71=8)*AZ71+(BB71=8)*BD71+(BF71=8)*BH71+(BJ71=8)*BL71+(BN71=8)*BP71+(BR71=8)*BT71)</f>
        <v/>
      </c>
      <c r="AO71">
        <f>MAX(0,ROUND(N(AL71)+N(AM71)-N(AN71),2))</f>
        <v/>
      </c>
      <c r="AP71">
        <f>IFERROR(MATCH(1,OrderPlan,0),"")</f>
        <v/>
      </c>
      <c r="AQ71">
        <f>IF(AP71="",0,IFERROR(IF(N(CHOOSE(AP71,J71,N71,R71,V71,Z71,AD71,AH71,AL71))&lt;=0.005,0,MAX(0,N(CHOOSE(AP71,J71,N71,R71,V71,Z71,AD71,AH71,AL71))+N(CHOOSE(AP71,K71,O71,S71,W71,AA71,AE71,AI71,AM71))-MIN(N(CHOOSE(AP71,'Debt List'!$F$5,'Debt List'!$F$6,'Debt List'!$F$7,'Debt List'!$F$8,'Debt List'!$F$9,'Debt List'!$F$10,'Debt List'!$F$11,'Debt List'!$F$12)),N(CHOOSE(AP71,J71,N71,R71,V71,Z71,AD71,AH71,AL71))+N(CHOOSE(AP71,K71,O71,S71,W71,AA71,AE71,AI71,AM71))))),0))</f>
        <v/>
      </c>
      <c r="AR71">
        <f>MIN(N(AQ71),MAX(0,N(ExtraPayment)))</f>
        <v/>
      </c>
      <c r="AS71">
        <f>MAX(0,N(ExtraPayment)-N(AR71))</f>
        <v/>
      </c>
      <c r="AT71">
        <f>IFERROR(MATCH(2,OrderPlan,0),"")</f>
        <v/>
      </c>
      <c r="AU71">
        <f>IF(AT71="",0,IFERROR(IF(N(CHOOSE(AT71,J71,N71,R71,V71,Z71,AD71,AH71,AL71))&lt;=0.005,0,MAX(0,N(CHOOSE(AT71,J71,N71,R71,V71,Z71,AD71,AH71,AL71))+N(CHOOSE(AT71,K71,O71,S71,W71,AA71,AE71,AI71,AM71))-MIN(N(CHOOSE(AT71,'Debt List'!$F$5,'Debt List'!$F$6,'Debt List'!$F$7,'Debt List'!$F$8,'Debt List'!$F$9,'Debt List'!$F$10,'Debt List'!$F$11,'Debt List'!$F$12)),N(CHOOSE(AT71,J71,N71,R71,V71,Z71,AD71,AH71,AL71))+N(CHOOSE(AT71,K71,O71,S71,W71,AA71,AE71,AI71,AM71))))),0))</f>
        <v/>
      </c>
      <c r="AV71">
        <f>MIN(N(AU71),MAX(0,N(AS71)))</f>
        <v/>
      </c>
      <c r="AW71">
        <f>MAX(0,N(AS71)-N(AV71))</f>
        <v/>
      </c>
      <c r="AX71">
        <f>IFERROR(MATCH(3,OrderPlan,0),"")</f>
        <v/>
      </c>
      <c r="AY71">
        <f>IF(AX71="",0,IFERROR(IF(N(CHOOSE(AX71,J71,N71,R71,V71,Z71,AD71,AH71,AL71))&lt;=0.005,0,MAX(0,N(CHOOSE(AX71,J71,N71,R71,V71,Z71,AD71,AH71,AL71))+N(CHOOSE(AX71,K71,O71,S71,W71,AA71,AE71,AI71,AM71))-MIN(N(CHOOSE(AX71,'Debt List'!$F$5,'Debt List'!$F$6,'Debt List'!$F$7,'Debt List'!$F$8,'Debt List'!$F$9,'Debt List'!$F$10,'Debt List'!$F$11,'Debt List'!$F$12)),N(CHOOSE(AX71,J71,N71,R71,V71,Z71,AD71,AH71,AL71))+N(CHOOSE(AX71,K71,O71,S71,W71,AA71,AE71,AI71,AM71))))),0))</f>
        <v/>
      </c>
      <c r="AZ71">
        <f>MIN(N(AY71),MAX(0,N(AW71)))</f>
        <v/>
      </c>
      <c r="BA71">
        <f>MAX(0,N(AW71)-N(AZ71))</f>
        <v/>
      </c>
      <c r="BB71">
        <f>IFERROR(MATCH(4,OrderPlan,0),"")</f>
        <v/>
      </c>
      <c r="BC71">
        <f>IF(BB71="",0,IFERROR(IF(N(CHOOSE(BB71,J71,N71,R71,V71,Z71,AD71,AH71,AL71))&lt;=0.005,0,MAX(0,N(CHOOSE(BB71,J71,N71,R71,V71,Z71,AD71,AH71,AL71))+N(CHOOSE(BB71,K71,O71,S71,W71,AA71,AE71,AI71,AM71))-MIN(N(CHOOSE(BB71,'Debt List'!$F$5,'Debt List'!$F$6,'Debt List'!$F$7,'Debt List'!$F$8,'Debt List'!$F$9,'Debt List'!$F$10,'Debt List'!$F$11,'Debt List'!$F$12)),N(CHOOSE(BB71,J71,N71,R71,V71,Z71,AD71,AH71,AL71))+N(CHOOSE(BB71,K71,O71,S71,W71,AA71,AE71,AI71,AM71))))),0))</f>
        <v/>
      </c>
      <c r="BD71">
        <f>MIN(N(BC71),MAX(0,N(BA71)))</f>
        <v/>
      </c>
      <c r="BE71">
        <f>MAX(0,N(BA71)-N(BD71))</f>
        <v/>
      </c>
      <c r="BF71">
        <f>IFERROR(MATCH(5,OrderPlan,0),"")</f>
        <v/>
      </c>
      <c r="BG71">
        <f>IF(BF71="",0,IFERROR(IF(N(CHOOSE(BF71,J71,N71,R71,V71,Z71,AD71,AH71,AL71))&lt;=0.005,0,MAX(0,N(CHOOSE(BF71,J71,N71,R71,V71,Z71,AD71,AH71,AL71))+N(CHOOSE(BF71,K71,O71,S71,W71,AA71,AE71,AI71,AM71))-MIN(N(CHOOSE(BF71,'Debt List'!$F$5,'Debt List'!$F$6,'Debt List'!$F$7,'Debt List'!$F$8,'Debt List'!$F$9,'Debt List'!$F$10,'Debt List'!$F$11,'Debt List'!$F$12)),N(CHOOSE(BF71,J71,N71,R71,V71,Z71,AD71,AH71,AL71))+N(CHOOSE(BF71,K71,O71,S71,W71,AA71,AE71,AI71,AM71))))),0))</f>
        <v/>
      </c>
      <c r="BH71">
        <f>MIN(N(BG71),MAX(0,N(BE71)))</f>
        <v/>
      </c>
      <c r="BI71">
        <f>MAX(0,N(BE71)-N(BH71))</f>
        <v/>
      </c>
      <c r="BJ71">
        <f>IFERROR(MATCH(6,OrderPlan,0),"")</f>
        <v/>
      </c>
      <c r="BK71">
        <f>IF(BJ71="",0,IFERROR(IF(N(CHOOSE(BJ71,J71,N71,R71,V71,Z71,AD71,AH71,AL71))&lt;=0.005,0,MAX(0,N(CHOOSE(BJ71,J71,N71,R71,V71,Z71,AD71,AH71,AL71))+N(CHOOSE(BJ71,K71,O71,S71,W71,AA71,AE71,AI71,AM71))-MIN(N(CHOOSE(BJ71,'Debt List'!$F$5,'Debt List'!$F$6,'Debt List'!$F$7,'Debt List'!$F$8,'Debt List'!$F$9,'Debt List'!$F$10,'Debt List'!$F$11,'Debt List'!$F$12)),N(CHOOSE(BJ71,J71,N71,R71,V71,Z71,AD71,AH71,AL71))+N(CHOOSE(BJ71,K71,O71,S71,W71,AA71,AE71,AI71,AM71))))),0))</f>
        <v/>
      </c>
      <c r="BL71">
        <f>MIN(N(BK71),MAX(0,N(BI71)))</f>
        <v/>
      </c>
      <c r="BM71">
        <f>MAX(0,N(BI71)-N(BL71))</f>
        <v/>
      </c>
      <c r="BN71">
        <f>IFERROR(MATCH(7,OrderPlan,0),"")</f>
        <v/>
      </c>
      <c r="BO71">
        <f>IF(BN71="",0,IFERROR(IF(N(CHOOSE(BN71,J71,N71,R71,V71,Z71,AD71,AH71,AL71))&lt;=0.005,0,MAX(0,N(CHOOSE(BN71,J71,N71,R71,V71,Z71,AD71,AH71,AL71))+N(CHOOSE(BN71,K71,O71,S71,W71,AA71,AE71,AI71,AM71))-MIN(N(CHOOSE(BN71,'Debt List'!$F$5,'Debt List'!$F$6,'Debt List'!$F$7,'Debt List'!$F$8,'Debt List'!$F$9,'Debt List'!$F$10,'Debt List'!$F$11,'Debt List'!$F$12)),N(CHOOSE(BN71,J71,N71,R71,V71,Z71,AD71,AH71,AL71))+N(CHOOSE(BN71,K71,O71,S71,W71,AA71,AE71,AI71,AM71))))),0))</f>
        <v/>
      </c>
      <c r="BP71">
        <f>MIN(N(BO71),MAX(0,N(BM71)))</f>
        <v/>
      </c>
      <c r="BQ71">
        <f>MAX(0,N(BM71)-N(BP71))</f>
        <v/>
      </c>
      <c r="BR71">
        <f>IFERROR(MATCH(8,OrderPlan,0),"")</f>
        <v/>
      </c>
      <c r="BS71">
        <f>IF(BR71="",0,IFERROR(IF(N(CHOOSE(BR71,J71,N71,R71,V71,Z71,AD71,AH71,AL71))&lt;=0.005,0,MAX(0,N(CHOOSE(BR71,J71,N71,R71,V71,Z71,AD71,AH71,AL71))+N(CHOOSE(BR71,K71,O71,S71,W71,AA71,AE71,AI71,AM71))-MIN(N(CHOOSE(BR71,'Debt List'!$F$5,'Debt List'!$F$6,'Debt List'!$F$7,'Debt List'!$F$8,'Debt List'!$F$9,'Debt List'!$F$10,'Debt List'!$F$11,'Debt List'!$F$12)),N(CHOOSE(BR71,J71,N71,R71,V71,Z71,AD71,AH71,AL71))+N(CHOOSE(BR71,K71,O71,S71,W71,AA71,AE71,AI71,AM71))))),0))</f>
        <v/>
      </c>
      <c r="BT71">
        <f>MIN(N(BS71),MAX(0,N(BQ71)))</f>
        <v/>
      </c>
      <c r="BU71">
        <f>MAX(0,N(BQ71)-N(BT71))</f>
        <v/>
      </c>
      <c r="CC71" t="n">
        <v>67</v>
      </c>
      <c r="CD71" s="115">
        <f>DATE(YEAR(PlanStart),MONTH(PlanStart)+CC71-1,1)</f>
        <v/>
      </c>
      <c r="CE71">
        <f>IF(AND(DR71&lt;&gt;"",N(CHOOSE(DR71,CL71,CP71,CT71,CX71,DB71,DF71,DJ71,DN71))&gt;0.005),INDEX(DebtNames,DR71),IF(AND(DV71&lt;&gt;"",N(CHOOSE(DV71,CL71,CP71,CT71,CX71,DB71,DF71,DJ71,DN71))&gt;0.005),INDEX(DebtNames,DV71),IF(AND(DZ71&lt;&gt;"",N(CHOOSE(DZ71,CL71,CP71,CT71,CX71,DB71,DF71,DJ71,DN71))&gt;0.005),INDEX(DebtNames,DZ71),IF(AND(ED71&lt;&gt;"",N(CHOOSE(ED71,CL71,CP71,CT71,CX71,DB71,DF71,DJ71,DN71))&gt;0.005),INDEX(DebtNames,ED71),IF(AND(EH71&lt;&gt;"",N(CHOOSE(EH71,CL71,CP71,CT71,CX71,DB71,DF71,DJ71,DN71))&gt;0.005),INDEX(DebtNames,EH71),IF(AND(EL71&lt;&gt;"",N(CHOOSE(EL71,CL71,CP71,CT71,CX71,DB71,DF71,DJ71,DN71))&gt;0.005),INDEX(DebtNames,EL71),IF(AND(EP71&lt;&gt;"",N(CHOOSE(EP71,CL71,CP71,CT71,CX71,DB71,DF71,DJ71,DN71))&gt;0.005),INDEX(DebtNames,EP71),IF(AND(ET71&lt;&gt;"",N(CHOOSE(ET71,CL71,CP71,CT71,CX71,DB71,DF71,DJ71,DN71))&gt;0.005),INDEX(DebtNames,ET71),""))))))))</f>
        <v/>
      </c>
      <c r="CF71">
        <f>N(EW71)</f>
        <v/>
      </c>
      <c r="CG71">
        <f>N(CN71)+N(CR71)+N(CV71)+N(CZ71)+N(DD71)+N(DH71)+N(DL71)+N(DP71)</f>
        <v/>
      </c>
      <c r="CH71">
        <f>N(CM71)+N(CQ71)+N(CU71)+N(CY71)+N(DC71)+N(DG71)+N(DK71)+N(DO71)</f>
        <v/>
      </c>
      <c r="CI71">
        <f>N(CI70)+N(CH71)</f>
        <v/>
      </c>
      <c r="CJ71">
        <f>N(CO71)+N(CS71)+N(CW71)+N(DA71)+N(DE71)+N(DI71)+N(DM71)+N(DQ71)</f>
        <v/>
      </c>
      <c r="CK71">
        <f>(CO71&gt;0.005)*1+(CS71&gt;0.005)*1+(CW71&gt;0.005)*1+(DA71&gt;0.005)*1+(DE71&gt;0.005)*1+(DI71&gt;0.005)*1+(DM71&gt;0.005)*1+(DQ71&gt;0.005)*1</f>
        <v/>
      </c>
      <c r="CL71">
        <f>N(CO70)</f>
        <v/>
      </c>
      <c r="CM71">
        <f>IF(N(CL71)&lt;=0.005,0,ROUND(N(CL71)*N('Debt List'!E5)/12,2))</f>
        <v/>
      </c>
      <c r="CN71">
        <f>IF(N(CL71)&lt;=0.005,0,MIN(N('Debt List'!F5),N(CL71)+N(CM71)))+((DR71=1)*DT71+(DV71=1)*DX71+(DZ71=1)*EB71+(ED71=1)*EF71+(EH71=1)*EJ71+(EL71=1)*EN71+(EP71=1)*ER71+(ET71=1)*EV71)</f>
        <v/>
      </c>
      <c r="CO71">
        <f>MAX(0,ROUND(N(CL71)+N(CM71)-N(CN71),2))</f>
        <v/>
      </c>
      <c r="CP71">
        <f>N(CS70)</f>
        <v/>
      </c>
      <c r="CQ71">
        <f>IF(N(CP71)&lt;=0.005,0,ROUND(N(CP71)*N('Debt List'!E6)/12,2))</f>
        <v/>
      </c>
      <c r="CR71">
        <f>IF(N(CP71)&lt;=0.005,0,MIN(N('Debt List'!F6),N(CP71)+N(CQ71)))+((DR71=2)*DT71+(DV71=2)*DX71+(DZ71=2)*EB71+(ED71=2)*EF71+(EH71=2)*EJ71+(EL71=2)*EN71+(EP71=2)*ER71+(ET71=2)*EV71)</f>
        <v/>
      </c>
      <c r="CS71">
        <f>MAX(0,ROUND(N(CP71)+N(CQ71)-N(CR71),2))</f>
        <v/>
      </c>
      <c r="CT71">
        <f>N(CW70)</f>
        <v/>
      </c>
      <c r="CU71">
        <f>IF(N(CT71)&lt;=0.005,0,ROUND(N(CT71)*N('Debt List'!E7)/12,2))</f>
        <v/>
      </c>
      <c r="CV71">
        <f>IF(N(CT71)&lt;=0.005,0,MIN(N('Debt List'!F7),N(CT71)+N(CU71)))+((DR71=3)*DT71+(DV71=3)*DX71+(DZ71=3)*EB71+(ED71=3)*EF71+(EH71=3)*EJ71+(EL71=3)*EN71+(EP71=3)*ER71+(ET71=3)*EV71)</f>
        <v/>
      </c>
      <c r="CW71">
        <f>MAX(0,ROUND(N(CT71)+N(CU71)-N(CV71),2))</f>
        <v/>
      </c>
      <c r="CX71">
        <f>N(DA70)</f>
        <v/>
      </c>
      <c r="CY71">
        <f>IF(N(CX71)&lt;=0.005,0,ROUND(N(CX71)*N('Debt List'!E8)/12,2))</f>
        <v/>
      </c>
      <c r="CZ71">
        <f>IF(N(CX71)&lt;=0.005,0,MIN(N('Debt List'!F8),N(CX71)+N(CY71)))+((DR71=4)*DT71+(DV71=4)*DX71+(DZ71=4)*EB71+(ED71=4)*EF71+(EH71=4)*EJ71+(EL71=4)*EN71+(EP71=4)*ER71+(ET71=4)*EV71)</f>
        <v/>
      </c>
      <c r="DA71">
        <f>MAX(0,ROUND(N(CX71)+N(CY71)-N(CZ71),2))</f>
        <v/>
      </c>
      <c r="DB71">
        <f>N(DE70)</f>
        <v/>
      </c>
      <c r="DC71">
        <f>IF(N(DB71)&lt;=0.005,0,ROUND(N(DB71)*N('Debt List'!E9)/12,2))</f>
        <v/>
      </c>
      <c r="DD71">
        <f>IF(N(DB71)&lt;=0.005,0,MIN(N('Debt List'!F9),N(DB71)+N(DC71)))+((DR71=5)*DT71+(DV71=5)*DX71+(DZ71=5)*EB71+(ED71=5)*EF71+(EH71=5)*EJ71+(EL71=5)*EN71+(EP71=5)*ER71+(ET71=5)*EV71)</f>
        <v/>
      </c>
      <c r="DE71">
        <f>MAX(0,ROUND(N(DB71)+N(DC71)-N(DD71),2))</f>
        <v/>
      </c>
      <c r="DF71">
        <f>N(DI70)</f>
        <v/>
      </c>
      <c r="DG71">
        <f>IF(N(DF71)&lt;=0.005,0,ROUND(N(DF71)*N('Debt List'!E10)/12,2))</f>
        <v/>
      </c>
      <c r="DH71">
        <f>IF(N(DF71)&lt;=0.005,0,MIN(N('Debt List'!F10),N(DF71)+N(DG71)))+((DR71=6)*DT71+(DV71=6)*DX71+(DZ71=6)*EB71+(ED71=6)*EF71+(EH71=6)*EJ71+(EL71=6)*EN71+(EP71=6)*ER71+(ET71=6)*EV71)</f>
        <v/>
      </c>
      <c r="DI71">
        <f>MAX(0,ROUND(N(DF71)+N(DG71)-N(DH71),2))</f>
        <v/>
      </c>
      <c r="DJ71">
        <f>N(DM70)</f>
        <v/>
      </c>
      <c r="DK71">
        <f>IF(N(DJ71)&lt;=0.005,0,ROUND(N(DJ71)*N('Debt List'!E11)/12,2))</f>
        <v/>
      </c>
      <c r="DL71">
        <f>IF(N(DJ71)&lt;=0.005,0,MIN(N('Debt List'!F11),N(DJ71)+N(DK71)))+((DR71=7)*DT71+(DV71=7)*DX71+(DZ71=7)*EB71+(ED71=7)*EF71+(EH71=7)*EJ71+(EL71=7)*EN71+(EP71=7)*ER71+(ET71=7)*EV71)</f>
        <v/>
      </c>
      <c r="DM71">
        <f>MAX(0,ROUND(N(DJ71)+N(DK71)-N(DL71),2))</f>
        <v/>
      </c>
      <c r="DN71">
        <f>N(DQ70)</f>
        <v/>
      </c>
      <c r="DO71">
        <f>IF(N(DN71)&lt;=0.005,0,ROUND(N(DN71)*N('Debt List'!E12)/12,2))</f>
        <v/>
      </c>
      <c r="DP71">
        <f>IF(N(DN71)&lt;=0.005,0,MIN(N('Debt List'!F12),N(DN71)+N(DO71)))+((DR71=8)*DT71+(DV71=8)*DX71+(DZ71=8)*EB71+(ED71=8)*EF71+(EH71=8)*EJ71+(EL71=8)*EN71+(EP71=8)*ER71+(ET71=8)*EV71)</f>
        <v/>
      </c>
      <c r="DQ71">
        <f>MAX(0,ROUND(N(DN71)+N(DO71)-N(DP71),2))</f>
        <v/>
      </c>
      <c r="DR71">
        <f>IFERROR(MATCH(1,OrderSnow,0),"")</f>
        <v/>
      </c>
      <c r="DS71">
        <f>IF(DR71="",0,IFERROR(IF(N(CHOOSE(DR71,CL71,CP71,CT71,CX71,DB71,DF71,DJ71,DN71))&lt;=0.005,0,MAX(0,N(CHOOSE(DR71,CL71,CP71,CT71,CX71,DB71,DF71,DJ71,DN71))+N(CHOOSE(DR71,CM71,CQ71,CU71,CY71,DC71,DG71,DK71,DO71))-MIN(N(CHOOSE(DR71,'Debt List'!$F$5,'Debt List'!$F$6,'Debt List'!$F$7,'Debt List'!$F$8,'Debt List'!$F$9,'Debt List'!$F$10,'Debt List'!$F$11,'Debt List'!$F$12)),N(CHOOSE(DR71,CL71,CP71,CT71,CX71,DB71,DF71,DJ71,DN71))+N(CHOOSE(DR71,CM71,CQ71,CU71,CY71,DC71,DG71,DK71,DO71))))),0))</f>
        <v/>
      </c>
      <c r="DT71">
        <f>MIN(N(DS71),MAX(0,N(ExtraPayment)))</f>
        <v/>
      </c>
      <c r="DU71">
        <f>MAX(0,N(ExtraPayment)-N(DT71))</f>
        <v/>
      </c>
      <c r="DV71">
        <f>IFERROR(MATCH(2,OrderSnow,0),"")</f>
        <v/>
      </c>
      <c r="DW71">
        <f>IF(DV71="",0,IFERROR(IF(N(CHOOSE(DV71,CL71,CP71,CT71,CX71,DB71,DF71,DJ71,DN71))&lt;=0.005,0,MAX(0,N(CHOOSE(DV71,CL71,CP71,CT71,CX71,DB71,DF71,DJ71,DN71))+N(CHOOSE(DV71,CM71,CQ71,CU71,CY71,DC71,DG71,DK71,DO71))-MIN(N(CHOOSE(DV71,'Debt List'!$F$5,'Debt List'!$F$6,'Debt List'!$F$7,'Debt List'!$F$8,'Debt List'!$F$9,'Debt List'!$F$10,'Debt List'!$F$11,'Debt List'!$F$12)),N(CHOOSE(DV71,CL71,CP71,CT71,CX71,DB71,DF71,DJ71,DN71))+N(CHOOSE(DV71,CM71,CQ71,CU71,CY71,DC71,DG71,DK71,DO71))))),0))</f>
        <v/>
      </c>
      <c r="DX71">
        <f>MIN(N(DW71),MAX(0,N(DU71)))</f>
        <v/>
      </c>
      <c r="DY71">
        <f>MAX(0,N(DU71)-N(DX71))</f>
        <v/>
      </c>
      <c r="DZ71">
        <f>IFERROR(MATCH(3,OrderSnow,0),"")</f>
        <v/>
      </c>
      <c r="EA71">
        <f>IF(DZ71="",0,IFERROR(IF(N(CHOOSE(DZ71,CL71,CP71,CT71,CX71,DB71,DF71,DJ71,DN71))&lt;=0.005,0,MAX(0,N(CHOOSE(DZ71,CL71,CP71,CT71,CX71,DB71,DF71,DJ71,DN71))+N(CHOOSE(DZ71,CM71,CQ71,CU71,CY71,DC71,DG71,DK71,DO71))-MIN(N(CHOOSE(DZ71,'Debt List'!$F$5,'Debt List'!$F$6,'Debt List'!$F$7,'Debt List'!$F$8,'Debt List'!$F$9,'Debt List'!$F$10,'Debt List'!$F$11,'Debt List'!$F$12)),N(CHOOSE(DZ71,CL71,CP71,CT71,CX71,DB71,DF71,DJ71,DN71))+N(CHOOSE(DZ71,CM71,CQ71,CU71,CY71,DC71,DG71,DK71,DO71))))),0))</f>
        <v/>
      </c>
      <c r="EB71">
        <f>MIN(N(EA71),MAX(0,N(DY71)))</f>
        <v/>
      </c>
      <c r="EC71">
        <f>MAX(0,N(DY71)-N(EB71))</f>
        <v/>
      </c>
      <c r="ED71">
        <f>IFERROR(MATCH(4,OrderSnow,0),"")</f>
        <v/>
      </c>
      <c r="EE71">
        <f>IF(ED71="",0,IFERROR(IF(N(CHOOSE(ED71,CL71,CP71,CT71,CX71,DB71,DF71,DJ71,DN71))&lt;=0.005,0,MAX(0,N(CHOOSE(ED71,CL71,CP71,CT71,CX71,DB71,DF71,DJ71,DN71))+N(CHOOSE(ED71,CM71,CQ71,CU71,CY71,DC71,DG71,DK71,DO71))-MIN(N(CHOOSE(ED71,'Debt List'!$F$5,'Debt List'!$F$6,'Debt List'!$F$7,'Debt List'!$F$8,'Debt List'!$F$9,'Debt List'!$F$10,'Debt List'!$F$11,'Debt List'!$F$12)),N(CHOOSE(ED71,CL71,CP71,CT71,CX71,DB71,DF71,DJ71,DN71))+N(CHOOSE(ED71,CM71,CQ71,CU71,CY71,DC71,DG71,DK71,DO71))))),0))</f>
        <v/>
      </c>
      <c r="EF71">
        <f>MIN(N(EE71),MAX(0,N(EC71)))</f>
        <v/>
      </c>
      <c r="EG71">
        <f>MAX(0,N(EC71)-N(EF71))</f>
        <v/>
      </c>
      <c r="EH71">
        <f>IFERROR(MATCH(5,OrderSnow,0),"")</f>
        <v/>
      </c>
      <c r="EI71">
        <f>IF(EH71="",0,IFERROR(IF(N(CHOOSE(EH71,CL71,CP71,CT71,CX71,DB71,DF71,DJ71,DN71))&lt;=0.005,0,MAX(0,N(CHOOSE(EH71,CL71,CP71,CT71,CX71,DB71,DF71,DJ71,DN71))+N(CHOOSE(EH71,CM71,CQ71,CU71,CY71,DC71,DG71,DK71,DO71))-MIN(N(CHOOSE(EH71,'Debt List'!$F$5,'Debt List'!$F$6,'Debt List'!$F$7,'Debt List'!$F$8,'Debt List'!$F$9,'Debt List'!$F$10,'Debt List'!$F$11,'Debt List'!$F$12)),N(CHOOSE(EH71,CL71,CP71,CT71,CX71,DB71,DF71,DJ71,DN71))+N(CHOOSE(EH71,CM71,CQ71,CU71,CY71,DC71,DG71,DK71,DO71))))),0))</f>
        <v/>
      </c>
      <c r="EJ71">
        <f>MIN(N(EI71),MAX(0,N(EG71)))</f>
        <v/>
      </c>
      <c r="EK71">
        <f>MAX(0,N(EG71)-N(EJ71))</f>
        <v/>
      </c>
      <c r="EL71">
        <f>IFERROR(MATCH(6,OrderSnow,0),"")</f>
        <v/>
      </c>
      <c r="EM71">
        <f>IF(EL71="",0,IFERROR(IF(N(CHOOSE(EL71,CL71,CP71,CT71,CX71,DB71,DF71,DJ71,DN71))&lt;=0.005,0,MAX(0,N(CHOOSE(EL71,CL71,CP71,CT71,CX71,DB71,DF71,DJ71,DN71))+N(CHOOSE(EL71,CM71,CQ71,CU71,CY71,DC71,DG71,DK71,DO71))-MIN(N(CHOOSE(EL71,'Debt List'!$F$5,'Debt List'!$F$6,'Debt List'!$F$7,'Debt List'!$F$8,'Debt List'!$F$9,'Debt List'!$F$10,'Debt List'!$F$11,'Debt List'!$F$12)),N(CHOOSE(EL71,CL71,CP71,CT71,CX71,DB71,DF71,DJ71,DN71))+N(CHOOSE(EL71,CM71,CQ71,CU71,CY71,DC71,DG71,DK71,DO71))))),0))</f>
        <v/>
      </c>
      <c r="EN71">
        <f>MIN(N(EM71),MAX(0,N(EK71)))</f>
        <v/>
      </c>
      <c r="EO71">
        <f>MAX(0,N(EK71)-N(EN71))</f>
        <v/>
      </c>
      <c r="EP71">
        <f>IFERROR(MATCH(7,OrderSnow,0),"")</f>
        <v/>
      </c>
      <c r="EQ71">
        <f>IF(EP71="",0,IFERROR(IF(N(CHOOSE(EP71,CL71,CP71,CT71,CX71,DB71,DF71,DJ71,DN71))&lt;=0.005,0,MAX(0,N(CHOOSE(EP71,CL71,CP71,CT71,CX71,DB71,DF71,DJ71,DN71))+N(CHOOSE(EP71,CM71,CQ71,CU71,CY71,DC71,DG71,DK71,DO71))-MIN(N(CHOOSE(EP71,'Debt List'!$F$5,'Debt List'!$F$6,'Debt List'!$F$7,'Debt List'!$F$8,'Debt List'!$F$9,'Debt List'!$F$10,'Debt List'!$F$11,'Debt List'!$F$12)),N(CHOOSE(EP71,CL71,CP71,CT71,CX71,DB71,DF71,DJ71,DN71))+N(CHOOSE(EP71,CM71,CQ71,CU71,CY71,DC71,DG71,DK71,DO71))))),0))</f>
        <v/>
      </c>
      <c r="ER71">
        <f>MIN(N(EQ71),MAX(0,N(EO71)))</f>
        <v/>
      </c>
      <c r="ES71">
        <f>MAX(0,N(EO71)-N(ER71))</f>
        <v/>
      </c>
      <c r="ET71">
        <f>IFERROR(MATCH(8,OrderSnow,0),"")</f>
        <v/>
      </c>
      <c r="EU71">
        <f>IF(ET71="",0,IFERROR(IF(N(CHOOSE(ET71,CL71,CP71,CT71,CX71,DB71,DF71,DJ71,DN71))&lt;=0.005,0,MAX(0,N(CHOOSE(ET71,CL71,CP71,CT71,CX71,DB71,DF71,DJ71,DN71))+N(CHOOSE(ET71,CM71,CQ71,CU71,CY71,DC71,DG71,DK71,DO71))-MIN(N(CHOOSE(ET71,'Debt List'!$F$5,'Debt List'!$F$6,'Debt List'!$F$7,'Debt List'!$F$8,'Debt List'!$F$9,'Debt List'!$F$10,'Debt List'!$F$11,'Debt List'!$F$12)),N(CHOOSE(ET71,CL71,CP71,CT71,CX71,DB71,DF71,DJ71,DN71))+N(CHOOSE(ET71,CM71,CQ71,CU71,CY71,DC71,DG71,DK71,DO71))))),0))</f>
        <v/>
      </c>
      <c r="EV71">
        <f>MIN(N(EU71),MAX(0,N(ES71)))</f>
        <v/>
      </c>
      <c r="EW71">
        <f>MAX(0,N(ES71)-N(EV71))</f>
        <v/>
      </c>
      <c r="FE71" t="n">
        <v>67</v>
      </c>
      <c r="FF71" s="115">
        <f>DATE(YEAR(PlanStart),MONTH(PlanStart)+FE71-1,1)</f>
        <v/>
      </c>
      <c r="FG71">
        <f>IF(AND(GT71&lt;&gt;"",N(CHOOSE(GT71,FN71,FR71,FV71,FZ71,GD71,GH71,GL71,GP71))&gt;0.005),INDEX(DebtNames,GT71),IF(AND(GX71&lt;&gt;"",N(CHOOSE(GX71,FN71,FR71,FV71,FZ71,GD71,GH71,GL71,GP71))&gt;0.005),INDEX(DebtNames,GX71),IF(AND(HB71&lt;&gt;"",N(CHOOSE(HB71,FN71,FR71,FV71,FZ71,GD71,GH71,GL71,GP71))&gt;0.005),INDEX(DebtNames,HB71),IF(AND(HF71&lt;&gt;"",N(CHOOSE(HF71,FN71,FR71,FV71,FZ71,GD71,GH71,GL71,GP71))&gt;0.005),INDEX(DebtNames,HF71),IF(AND(HJ71&lt;&gt;"",N(CHOOSE(HJ71,FN71,FR71,FV71,FZ71,GD71,GH71,GL71,GP71))&gt;0.005),INDEX(DebtNames,HJ71),IF(AND(HN71&lt;&gt;"",N(CHOOSE(HN71,FN71,FR71,FV71,FZ71,GD71,GH71,GL71,GP71))&gt;0.005),INDEX(DebtNames,HN71),IF(AND(HR71&lt;&gt;"",N(CHOOSE(HR71,FN71,FR71,FV71,FZ71,GD71,GH71,GL71,GP71))&gt;0.005),INDEX(DebtNames,HR71),IF(AND(HV71&lt;&gt;"",N(CHOOSE(HV71,FN71,FR71,FV71,FZ71,GD71,GH71,GL71,GP71))&gt;0.005),INDEX(DebtNames,HV71),""))))))))</f>
        <v/>
      </c>
      <c r="FH71">
        <f>N(HY71)</f>
        <v/>
      </c>
      <c r="FI71">
        <f>N(FP71)+N(FT71)+N(FX71)+N(GB71)+N(GF71)+N(GJ71)+N(GN71)+N(GR71)</f>
        <v/>
      </c>
      <c r="FJ71">
        <f>N(FO71)+N(FS71)+N(FW71)+N(GA71)+N(GE71)+N(GI71)+N(GM71)+N(GQ71)</f>
        <v/>
      </c>
      <c r="FK71">
        <f>N(FK70)+N(FJ71)</f>
        <v/>
      </c>
      <c r="FL71">
        <f>N(FQ71)+N(FU71)+N(FY71)+N(GC71)+N(GG71)+N(GK71)+N(GO71)+N(GS71)</f>
        <v/>
      </c>
      <c r="FM71">
        <f>(FQ71&gt;0.005)*1+(FU71&gt;0.005)*1+(FY71&gt;0.005)*1+(GC71&gt;0.005)*1+(GG71&gt;0.005)*1+(GK71&gt;0.005)*1+(GO71&gt;0.005)*1+(GS71&gt;0.005)*1</f>
        <v/>
      </c>
      <c r="FN71">
        <f>N(FQ70)</f>
        <v/>
      </c>
      <c r="FO71">
        <f>IF(N(FN71)&lt;=0.005,0,ROUND(N(FN71)*N('Debt List'!E5)/12,2))</f>
        <v/>
      </c>
      <c r="FP71">
        <f>IF(N(FN71)&lt;=0.005,0,MIN(N('Debt List'!F5),N(FN71)+N(FO71)))+((GT71=1)*GV71+(GX71=1)*GZ71+(HB71=1)*HD71+(HF71=1)*HH71+(HJ71=1)*HL71+(HN71=1)*HP71+(HR71=1)*HT71+(HV71=1)*HX71)</f>
        <v/>
      </c>
      <c r="FQ71">
        <f>MAX(0,ROUND(N(FN71)+N(FO71)-N(FP71),2))</f>
        <v/>
      </c>
      <c r="FR71">
        <f>N(FU70)</f>
        <v/>
      </c>
      <c r="FS71">
        <f>IF(N(FR71)&lt;=0.005,0,ROUND(N(FR71)*N('Debt List'!E6)/12,2))</f>
        <v/>
      </c>
      <c r="FT71">
        <f>IF(N(FR71)&lt;=0.005,0,MIN(N('Debt List'!F6),N(FR71)+N(FS71)))+((GT71=2)*GV71+(GX71=2)*GZ71+(HB71=2)*HD71+(HF71=2)*HH71+(HJ71=2)*HL71+(HN71=2)*HP71+(HR71=2)*HT71+(HV71=2)*HX71)</f>
        <v/>
      </c>
      <c r="FU71">
        <f>MAX(0,ROUND(N(FR71)+N(FS71)-N(FT71),2))</f>
        <v/>
      </c>
      <c r="FV71">
        <f>N(FY70)</f>
        <v/>
      </c>
      <c r="FW71">
        <f>IF(N(FV71)&lt;=0.005,0,ROUND(N(FV71)*N('Debt List'!E7)/12,2))</f>
        <v/>
      </c>
      <c r="FX71">
        <f>IF(N(FV71)&lt;=0.005,0,MIN(N('Debt List'!F7),N(FV71)+N(FW71)))+((GT71=3)*GV71+(GX71=3)*GZ71+(HB71=3)*HD71+(HF71=3)*HH71+(HJ71=3)*HL71+(HN71=3)*HP71+(HR71=3)*HT71+(HV71=3)*HX71)</f>
        <v/>
      </c>
      <c r="FY71">
        <f>MAX(0,ROUND(N(FV71)+N(FW71)-N(FX71),2))</f>
        <v/>
      </c>
      <c r="FZ71">
        <f>N(GC70)</f>
        <v/>
      </c>
      <c r="GA71">
        <f>IF(N(FZ71)&lt;=0.005,0,ROUND(N(FZ71)*N('Debt List'!E8)/12,2))</f>
        <v/>
      </c>
      <c r="GB71">
        <f>IF(N(FZ71)&lt;=0.005,0,MIN(N('Debt List'!F8),N(FZ71)+N(GA71)))+((GT71=4)*GV71+(GX71=4)*GZ71+(HB71=4)*HD71+(HF71=4)*HH71+(HJ71=4)*HL71+(HN71=4)*HP71+(HR71=4)*HT71+(HV71=4)*HX71)</f>
        <v/>
      </c>
      <c r="GC71">
        <f>MAX(0,ROUND(N(FZ71)+N(GA71)-N(GB71),2))</f>
        <v/>
      </c>
      <c r="GD71">
        <f>N(GG70)</f>
        <v/>
      </c>
      <c r="GE71">
        <f>IF(N(GD71)&lt;=0.005,0,ROUND(N(GD71)*N('Debt List'!E9)/12,2))</f>
        <v/>
      </c>
      <c r="GF71">
        <f>IF(N(GD71)&lt;=0.005,0,MIN(N('Debt List'!F9),N(GD71)+N(GE71)))+((GT71=5)*GV71+(GX71=5)*GZ71+(HB71=5)*HD71+(HF71=5)*HH71+(HJ71=5)*HL71+(HN71=5)*HP71+(HR71=5)*HT71+(HV71=5)*HX71)</f>
        <v/>
      </c>
      <c r="GG71">
        <f>MAX(0,ROUND(N(GD71)+N(GE71)-N(GF71),2))</f>
        <v/>
      </c>
      <c r="GH71">
        <f>N(GK70)</f>
        <v/>
      </c>
      <c r="GI71">
        <f>IF(N(GH71)&lt;=0.005,0,ROUND(N(GH71)*N('Debt List'!E10)/12,2))</f>
        <v/>
      </c>
      <c r="GJ71">
        <f>IF(N(GH71)&lt;=0.005,0,MIN(N('Debt List'!F10),N(GH71)+N(GI71)))+((GT71=6)*GV71+(GX71=6)*GZ71+(HB71=6)*HD71+(HF71=6)*HH71+(HJ71=6)*HL71+(HN71=6)*HP71+(HR71=6)*HT71+(HV71=6)*HX71)</f>
        <v/>
      </c>
      <c r="GK71">
        <f>MAX(0,ROUND(N(GH71)+N(GI71)-N(GJ71),2))</f>
        <v/>
      </c>
      <c r="GL71">
        <f>N(GO70)</f>
        <v/>
      </c>
      <c r="GM71">
        <f>IF(N(GL71)&lt;=0.005,0,ROUND(N(GL71)*N('Debt List'!E11)/12,2))</f>
        <v/>
      </c>
      <c r="GN71">
        <f>IF(N(GL71)&lt;=0.005,0,MIN(N('Debt List'!F11),N(GL71)+N(GM71)))+((GT71=7)*GV71+(GX71=7)*GZ71+(HB71=7)*HD71+(HF71=7)*HH71+(HJ71=7)*HL71+(HN71=7)*HP71+(HR71=7)*HT71+(HV71=7)*HX71)</f>
        <v/>
      </c>
      <c r="GO71">
        <f>MAX(0,ROUND(N(GL71)+N(GM71)-N(GN71),2))</f>
        <v/>
      </c>
      <c r="GP71">
        <f>N(GS70)</f>
        <v/>
      </c>
      <c r="GQ71">
        <f>IF(N(GP71)&lt;=0.005,0,ROUND(N(GP71)*N('Debt List'!E12)/12,2))</f>
        <v/>
      </c>
      <c r="GR71">
        <f>IF(N(GP71)&lt;=0.005,0,MIN(N('Debt List'!F12),N(GP71)+N(GQ71)))+((GT71=8)*GV71+(GX71=8)*GZ71+(HB71=8)*HD71+(HF71=8)*HH71+(HJ71=8)*HL71+(HN71=8)*HP71+(HR71=8)*HT71+(HV71=8)*HX71)</f>
        <v/>
      </c>
      <c r="GS71">
        <f>MAX(0,ROUND(N(GP71)+N(GQ71)-N(GR71),2))</f>
        <v/>
      </c>
      <c r="GT71">
        <f>IFERROR(MATCH(1,OrderAval,0),"")</f>
        <v/>
      </c>
      <c r="GU71">
        <f>IF(GT71="",0,IFERROR(IF(N(CHOOSE(GT71,FN71,FR71,FV71,FZ71,GD71,GH71,GL71,GP71))&lt;=0.005,0,MAX(0,N(CHOOSE(GT71,FN71,FR71,FV71,FZ71,GD71,GH71,GL71,GP71))+N(CHOOSE(GT71,FO71,FS71,FW71,GA71,GE71,GI71,GM71,GQ71))-MIN(N(CHOOSE(GT71,'Debt List'!$F$5,'Debt List'!$F$6,'Debt List'!$F$7,'Debt List'!$F$8,'Debt List'!$F$9,'Debt List'!$F$10,'Debt List'!$F$11,'Debt List'!$F$12)),N(CHOOSE(GT71,FN71,FR71,FV71,FZ71,GD71,GH71,GL71,GP71))+N(CHOOSE(GT71,FO71,FS71,FW71,GA71,GE71,GI71,GM71,GQ71))))),0))</f>
        <v/>
      </c>
      <c r="GV71">
        <f>MIN(N(GU71),MAX(0,N(ExtraPayment)))</f>
        <v/>
      </c>
      <c r="GW71">
        <f>MAX(0,N(ExtraPayment)-N(GV71))</f>
        <v/>
      </c>
      <c r="GX71">
        <f>IFERROR(MATCH(2,OrderAval,0),"")</f>
        <v/>
      </c>
      <c r="GY71">
        <f>IF(GX71="",0,IFERROR(IF(N(CHOOSE(GX71,FN71,FR71,FV71,FZ71,GD71,GH71,GL71,GP71))&lt;=0.005,0,MAX(0,N(CHOOSE(GX71,FN71,FR71,FV71,FZ71,GD71,GH71,GL71,GP71))+N(CHOOSE(GX71,FO71,FS71,FW71,GA71,GE71,GI71,GM71,GQ71))-MIN(N(CHOOSE(GX71,'Debt List'!$F$5,'Debt List'!$F$6,'Debt List'!$F$7,'Debt List'!$F$8,'Debt List'!$F$9,'Debt List'!$F$10,'Debt List'!$F$11,'Debt List'!$F$12)),N(CHOOSE(GX71,FN71,FR71,FV71,FZ71,GD71,GH71,GL71,GP71))+N(CHOOSE(GX71,FO71,FS71,FW71,GA71,GE71,GI71,GM71,GQ71))))),0))</f>
        <v/>
      </c>
      <c r="GZ71">
        <f>MIN(N(GY71),MAX(0,N(GW71)))</f>
        <v/>
      </c>
      <c r="HA71">
        <f>MAX(0,N(GW71)-N(GZ71))</f>
        <v/>
      </c>
      <c r="HB71">
        <f>IFERROR(MATCH(3,OrderAval,0),"")</f>
        <v/>
      </c>
      <c r="HC71">
        <f>IF(HB71="",0,IFERROR(IF(N(CHOOSE(HB71,FN71,FR71,FV71,FZ71,GD71,GH71,GL71,GP71))&lt;=0.005,0,MAX(0,N(CHOOSE(HB71,FN71,FR71,FV71,FZ71,GD71,GH71,GL71,GP71))+N(CHOOSE(HB71,FO71,FS71,FW71,GA71,GE71,GI71,GM71,GQ71))-MIN(N(CHOOSE(HB71,'Debt List'!$F$5,'Debt List'!$F$6,'Debt List'!$F$7,'Debt List'!$F$8,'Debt List'!$F$9,'Debt List'!$F$10,'Debt List'!$F$11,'Debt List'!$F$12)),N(CHOOSE(HB71,FN71,FR71,FV71,FZ71,GD71,GH71,GL71,GP71))+N(CHOOSE(HB71,FO71,FS71,FW71,GA71,GE71,GI71,GM71,GQ71))))),0))</f>
        <v/>
      </c>
      <c r="HD71">
        <f>MIN(N(HC71),MAX(0,N(HA71)))</f>
        <v/>
      </c>
      <c r="HE71">
        <f>MAX(0,N(HA71)-N(HD71))</f>
        <v/>
      </c>
      <c r="HF71">
        <f>IFERROR(MATCH(4,OrderAval,0),"")</f>
        <v/>
      </c>
      <c r="HG71">
        <f>IF(HF71="",0,IFERROR(IF(N(CHOOSE(HF71,FN71,FR71,FV71,FZ71,GD71,GH71,GL71,GP71))&lt;=0.005,0,MAX(0,N(CHOOSE(HF71,FN71,FR71,FV71,FZ71,GD71,GH71,GL71,GP71))+N(CHOOSE(HF71,FO71,FS71,FW71,GA71,GE71,GI71,GM71,GQ71))-MIN(N(CHOOSE(HF71,'Debt List'!$F$5,'Debt List'!$F$6,'Debt List'!$F$7,'Debt List'!$F$8,'Debt List'!$F$9,'Debt List'!$F$10,'Debt List'!$F$11,'Debt List'!$F$12)),N(CHOOSE(HF71,FN71,FR71,FV71,FZ71,GD71,GH71,GL71,GP71))+N(CHOOSE(HF71,FO71,FS71,FW71,GA71,GE71,GI71,GM71,GQ71))))),0))</f>
        <v/>
      </c>
      <c r="HH71">
        <f>MIN(N(HG71),MAX(0,N(HE71)))</f>
        <v/>
      </c>
      <c r="HI71">
        <f>MAX(0,N(HE71)-N(HH71))</f>
        <v/>
      </c>
      <c r="HJ71">
        <f>IFERROR(MATCH(5,OrderAval,0),"")</f>
        <v/>
      </c>
      <c r="HK71">
        <f>IF(HJ71="",0,IFERROR(IF(N(CHOOSE(HJ71,FN71,FR71,FV71,FZ71,GD71,GH71,GL71,GP71))&lt;=0.005,0,MAX(0,N(CHOOSE(HJ71,FN71,FR71,FV71,FZ71,GD71,GH71,GL71,GP71))+N(CHOOSE(HJ71,FO71,FS71,FW71,GA71,GE71,GI71,GM71,GQ71))-MIN(N(CHOOSE(HJ71,'Debt List'!$F$5,'Debt List'!$F$6,'Debt List'!$F$7,'Debt List'!$F$8,'Debt List'!$F$9,'Debt List'!$F$10,'Debt List'!$F$11,'Debt List'!$F$12)),N(CHOOSE(HJ71,FN71,FR71,FV71,FZ71,GD71,GH71,GL71,GP71))+N(CHOOSE(HJ71,FO71,FS71,FW71,GA71,GE71,GI71,GM71,GQ71))))),0))</f>
        <v/>
      </c>
      <c r="HL71">
        <f>MIN(N(HK71),MAX(0,N(HI71)))</f>
        <v/>
      </c>
      <c r="HM71">
        <f>MAX(0,N(HI71)-N(HL71))</f>
        <v/>
      </c>
      <c r="HN71">
        <f>IFERROR(MATCH(6,OrderAval,0),"")</f>
        <v/>
      </c>
      <c r="HO71">
        <f>IF(HN71="",0,IFERROR(IF(N(CHOOSE(HN71,FN71,FR71,FV71,FZ71,GD71,GH71,GL71,GP71))&lt;=0.005,0,MAX(0,N(CHOOSE(HN71,FN71,FR71,FV71,FZ71,GD71,GH71,GL71,GP71))+N(CHOOSE(HN71,FO71,FS71,FW71,GA71,GE71,GI71,GM71,GQ71))-MIN(N(CHOOSE(HN71,'Debt List'!$F$5,'Debt List'!$F$6,'Debt List'!$F$7,'Debt List'!$F$8,'Debt List'!$F$9,'Debt List'!$F$10,'Debt List'!$F$11,'Debt List'!$F$12)),N(CHOOSE(HN71,FN71,FR71,FV71,FZ71,GD71,GH71,GL71,GP71))+N(CHOOSE(HN71,FO71,FS71,FW71,GA71,GE71,GI71,GM71,GQ71))))),0))</f>
        <v/>
      </c>
      <c r="HP71">
        <f>MIN(N(HO71),MAX(0,N(HM71)))</f>
        <v/>
      </c>
      <c r="HQ71">
        <f>MAX(0,N(HM71)-N(HP71))</f>
        <v/>
      </c>
      <c r="HR71">
        <f>IFERROR(MATCH(7,OrderAval,0),"")</f>
        <v/>
      </c>
      <c r="HS71">
        <f>IF(HR71="",0,IFERROR(IF(N(CHOOSE(HR71,FN71,FR71,FV71,FZ71,GD71,GH71,GL71,GP71))&lt;=0.005,0,MAX(0,N(CHOOSE(HR71,FN71,FR71,FV71,FZ71,GD71,GH71,GL71,GP71))+N(CHOOSE(HR71,FO71,FS71,FW71,GA71,GE71,GI71,GM71,GQ71))-MIN(N(CHOOSE(HR71,'Debt List'!$F$5,'Debt List'!$F$6,'Debt List'!$F$7,'Debt List'!$F$8,'Debt List'!$F$9,'Debt List'!$F$10,'Debt List'!$F$11,'Debt List'!$F$12)),N(CHOOSE(HR71,FN71,FR71,FV71,FZ71,GD71,GH71,GL71,GP71))+N(CHOOSE(HR71,FO71,FS71,FW71,GA71,GE71,GI71,GM71,GQ71))))),0))</f>
        <v/>
      </c>
      <c r="HT71">
        <f>MIN(N(HS71),MAX(0,N(HQ71)))</f>
        <v/>
      </c>
      <c r="HU71">
        <f>MAX(0,N(HQ71)-N(HT71))</f>
        <v/>
      </c>
      <c r="HV71">
        <f>IFERROR(MATCH(8,OrderAval,0),"")</f>
        <v/>
      </c>
      <c r="HW71">
        <f>IF(HV71="",0,IFERROR(IF(N(CHOOSE(HV71,FN71,FR71,FV71,FZ71,GD71,GH71,GL71,GP71))&lt;=0.005,0,MAX(0,N(CHOOSE(HV71,FN71,FR71,FV71,FZ71,GD71,GH71,GL71,GP71))+N(CHOOSE(HV71,FO71,FS71,FW71,GA71,GE71,GI71,GM71,GQ71))-MIN(N(CHOOSE(HV71,'Debt List'!$F$5,'Debt List'!$F$6,'Debt List'!$F$7,'Debt List'!$F$8,'Debt List'!$F$9,'Debt List'!$F$10,'Debt List'!$F$11,'Debt List'!$F$12)),N(CHOOSE(HV71,FN71,FR71,FV71,FZ71,GD71,GH71,GL71,GP71))+N(CHOOSE(HV71,FO71,FS71,FW71,GA71,GE71,GI71,GM71,GQ71))))),0))</f>
        <v/>
      </c>
      <c r="HX71">
        <f>MIN(N(HW71),MAX(0,N(HU71)))</f>
        <v/>
      </c>
      <c r="HY71">
        <f>MAX(0,N(HU71)-N(HX71))</f>
        <v/>
      </c>
    </row>
    <row r="72">
      <c r="A72" t="n">
        <v>68</v>
      </c>
      <c r="B72" s="115">
        <f>DATE(YEAR(PlanStart),MONTH(PlanStart)+A72-1,1)</f>
        <v/>
      </c>
      <c r="C72">
        <f>IF(AND(AP72&lt;&gt;"",N(CHOOSE(AP72,J72,N72,R72,V72,Z72,AD72,AH72,AL72))&gt;0.005),INDEX(DebtNames,AP72),IF(AND(AT72&lt;&gt;"",N(CHOOSE(AT72,J72,N72,R72,V72,Z72,AD72,AH72,AL72))&gt;0.005),INDEX(DebtNames,AT72),IF(AND(AX72&lt;&gt;"",N(CHOOSE(AX72,J72,N72,R72,V72,Z72,AD72,AH72,AL72))&gt;0.005),INDEX(DebtNames,AX72),IF(AND(BB72&lt;&gt;"",N(CHOOSE(BB72,J72,N72,R72,V72,Z72,AD72,AH72,AL72))&gt;0.005),INDEX(DebtNames,BB72),IF(AND(BF72&lt;&gt;"",N(CHOOSE(BF72,J72,N72,R72,V72,Z72,AD72,AH72,AL72))&gt;0.005),INDEX(DebtNames,BF72),IF(AND(BJ72&lt;&gt;"",N(CHOOSE(BJ72,J72,N72,R72,V72,Z72,AD72,AH72,AL72))&gt;0.005),INDEX(DebtNames,BJ72),IF(AND(BN72&lt;&gt;"",N(CHOOSE(BN72,J72,N72,R72,V72,Z72,AD72,AH72,AL72))&gt;0.005),INDEX(DebtNames,BN72),IF(AND(BR72&lt;&gt;"",N(CHOOSE(BR72,J72,N72,R72,V72,Z72,AD72,AH72,AL72))&gt;0.005),INDEX(DebtNames,BR72),""))))))))</f>
        <v/>
      </c>
      <c r="D72">
        <f>N(BU72)</f>
        <v/>
      </c>
      <c r="E72">
        <f>N(L72)+N(P72)+N(T72)+N(X72)+N(AB72)+N(AF72)+N(AJ72)+N(AN72)</f>
        <v/>
      </c>
      <c r="F72">
        <f>N(K72)+N(O72)+N(S72)+N(W72)+N(AA72)+N(AE72)+N(AI72)+N(AM72)</f>
        <v/>
      </c>
      <c r="G72">
        <f>N(G71)+N(F72)</f>
        <v/>
      </c>
      <c r="H72">
        <f>N(M72)+N(Q72)+N(U72)+N(Y72)+N(AC72)+N(AG72)+N(AK72)+N(AO72)</f>
        <v/>
      </c>
      <c r="I72">
        <f>(M72&gt;0.005)*1+(Q72&gt;0.005)*1+(U72&gt;0.005)*1+(Y72&gt;0.005)*1+(AC72&gt;0.005)*1+(AG72&gt;0.005)*1+(AK72&gt;0.005)*1+(AO72&gt;0.005)*1</f>
        <v/>
      </c>
      <c r="J72">
        <f>N(M71)</f>
        <v/>
      </c>
      <c r="K72">
        <f>IF(N(J72)&lt;=0.005,0,ROUND(N(J72)*N('Debt List'!E5)/12,2))</f>
        <v/>
      </c>
      <c r="L72">
        <f>IF(N(J72)&lt;=0.005,0,MIN(N('Debt List'!F5),N(J72)+N(K72)))+((AP72=1)*AR72+(AT72=1)*AV72+(AX72=1)*AZ72+(BB72=1)*BD72+(BF72=1)*BH72+(BJ72=1)*BL72+(BN72=1)*BP72+(BR72=1)*BT72)</f>
        <v/>
      </c>
      <c r="M72">
        <f>MAX(0,ROUND(N(J72)+N(K72)-N(L72),2))</f>
        <v/>
      </c>
      <c r="N72">
        <f>N(Q71)</f>
        <v/>
      </c>
      <c r="O72">
        <f>IF(N(N72)&lt;=0.005,0,ROUND(N(N72)*N('Debt List'!E6)/12,2))</f>
        <v/>
      </c>
      <c r="P72">
        <f>IF(N(N72)&lt;=0.005,0,MIN(N('Debt List'!F6),N(N72)+N(O72)))+((AP72=2)*AR72+(AT72=2)*AV72+(AX72=2)*AZ72+(BB72=2)*BD72+(BF72=2)*BH72+(BJ72=2)*BL72+(BN72=2)*BP72+(BR72=2)*BT72)</f>
        <v/>
      </c>
      <c r="Q72">
        <f>MAX(0,ROUND(N(N72)+N(O72)-N(P72),2))</f>
        <v/>
      </c>
      <c r="R72">
        <f>N(U71)</f>
        <v/>
      </c>
      <c r="S72">
        <f>IF(N(R72)&lt;=0.005,0,ROUND(N(R72)*N('Debt List'!E7)/12,2))</f>
        <v/>
      </c>
      <c r="T72">
        <f>IF(N(R72)&lt;=0.005,0,MIN(N('Debt List'!F7),N(R72)+N(S72)))+((AP72=3)*AR72+(AT72=3)*AV72+(AX72=3)*AZ72+(BB72=3)*BD72+(BF72=3)*BH72+(BJ72=3)*BL72+(BN72=3)*BP72+(BR72=3)*BT72)</f>
        <v/>
      </c>
      <c r="U72">
        <f>MAX(0,ROUND(N(R72)+N(S72)-N(T72),2))</f>
        <v/>
      </c>
      <c r="V72">
        <f>N(Y71)</f>
        <v/>
      </c>
      <c r="W72">
        <f>IF(N(V72)&lt;=0.005,0,ROUND(N(V72)*N('Debt List'!E8)/12,2))</f>
        <v/>
      </c>
      <c r="X72">
        <f>IF(N(V72)&lt;=0.005,0,MIN(N('Debt List'!F8),N(V72)+N(W72)))+((AP72=4)*AR72+(AT72=4)*AV72+(AX72=4)*AZ72+(BB72=4)*BD72+(BF72=4)*BH72+(BJ72=4)*BL72+(BN72=4)*BP72+(BR72=4)*BT72)</f>
        <v/>
      </c>
      <c r="Y72">
        <f>MAX(0,ROUND(N(V72)+N(W72)-N(X72),2))</f>
        <v/>
      </c>
      <c r="Z72">
        <f>N(AC71)</f>
        <v/>
      </c>
      <c r="AA72">
        <f>IF(N(Z72)&lt;=0.005,0,ROUND(N(Z72)*N('Debt List'!E9)/12,2))</f>
        <v/>
      </c>
      <c r="AB72">
        <f>IF(N(Z72)&lt;=0.005,0,MIN(N('Debt List'!F9),N(Z72)+N(AA72)))+((AP72=5)*AR72+(AT72=5)*AV72+(AX72=5)*AZ72+(BB72=5)*BD72+(BF72=5)*BH72+(BJ72=5)*BL72+(BN72=5)*BP72+(BR72=5)*BT72)</f>
        <v/>
      </c>
      <c r="AC72">
        <f>MAX(0,ROUND(N(Z72)+N(AA72)-N(AB72),2))</f>
        <v/>
      </c>
      <c r="AD72">
        <f>N(AG71)</f>
        <v/>
      </c>
      <c r="AE72">
        <f>IF(N(AD72)&lt;=0.005,0,ROUND(N(AD72)*N('Debt List'!E10)/12,2))</f>
        <v/>
      </c>
      <c r="AF72">
        <f>IF(N(AD72)&lt;=0.005,0,MIN(N('Debt List'!F10),N(AD72)+N(AE72)))+((AP72=6)*AR72+(AT72=6)*AV72+(AX72=6)*AZ72+(BB72=6)*BD72+(BF72=6)*BH72+(BJ72=6)*BL72+(BN72=6)*BP72+(BR72=6)*BT72)</f>
        <v/>
      </c>
      <c r="AG72">
        <f>MAX(0,ROUND(N(AD72)+N(AE72)-N(AF72),2))</f>
        <v/>
      </c>
      <c r="AH72">
        <f>N(AK71)</f>
        <v/>
      </c>
      <c r="AI72">
        <f>IF(N(AH72)&lt;=0.005,0,ROUND(N(AH72)*N('Debt List'!E11)/12,2))</f>
        <v/>
      </c>
      <c r="AJ72">
        <f>IF(N(AH72)&lt;=0.005,0,MIN(N('Debt List'!F11),N(AH72)+N(AI72)))+((AP72=7)*AR72+(AT72=7)*AV72+(AX72=7)*AZ72+(BB72=7)*BD72+(BF72=7)*BH72+(BJ72=7)*BL72+(BN72=7)*BP72+(BR72=7)*BT72)</f>
        <v/>
      </c>
      <c r="AK72">
        <f>MAX(0,ROUND(N(AH72)+N(AI72)-N(AJ72),2))</f>
        <v/>
      </c>
      <c r="AL72">
        <f>N(AO71)</f>
        <v/>
      </c>
      <c r="AM72">
        <f>IF(N(AL72)&lt;=0.005,0,ROUND(N(AL72)*N('Debt List'!E12)/12,2))</f>
        <v/>
      </c>
      <c r="AN72">
        <f>IF(N(AL72)&lt;=0.005,0,MIN(N('Debt List'!F12),N(AL72)+N(AM72)))+((AP72=8)*AR72+(AT72=8)*AV72+(AX72=8)*AZ72+(BB72=8)*BD72+(BF72=8)*BH72+(BJ72=8)*BL72+(BN72=8)*BP72+(BR72=8)*BT72)</f>
        <v/>
      </c>
      <c r="AO72">
        <f>MAX(0,ROUND(N(AL72)+N(AM72)-N(AN72),2))</f>
        <v/>
      </c>
      <c r="AP72">
        <f>IFERROR(MATCH(1,OrderPlan,0),"")</f>
        <v/>
      </c>
      <c r="AQ72">
        <f>IF(AP72="",0,IFERROR(IF(N(CHOOSE(AP72,J72,N72,R72,V72,Z72,AD72,AH72,AL72))&lt;=0.005,0,MAX(0,N(CHOOSE(AP72,J72,N72,R72,V72,Z72,AD72,AH72,AL72))+N(CHOOSE(AP72,K72,O72,S72,W72,AA72,AE72,AI72,AM72))-MIN(N(CHOOSE(AP72,'Debt List'!$F$5,'Debt List'!$F$6,'Debt List'!$F$7,'Debt List'!$F$8,'Debt List'!$F$9,'Debt List'!$F$10,'Debt List'!$F$11,'Debt List'!$F$12)),N(CHOOSE(AP72,J72,N72,R72,V72,Z72,AD72,AH72,AL72))+N(CHOOSE(AP72,K72,O72,S72,W72,AA72,AE72,AI72,AM72))))),0))</f>
        <v/>
      </c>
      <c r="AR72">
        <f>MIN(N(AQ72),MAX(0,N(ExtraPayment)))</f>
        <v/>
      </c>
      <c r="AS72">
        <f>MAX(0,N(ExtraPayment)-N(AR72))</f>
        <v/>
      </c>
      <c r="AT72">
        <f>IFERROR(MATCH(2,OrderPlan,0),"")</f>
        <v/>
      </c>
      <c r="AU72">
        <f>IF(AT72="",0,IFERROR(IF(N(CHOOSE(AT72,J72,N72,R72,V72,Z72,AD72,AH72,AL72))&lt;=0.005,0,MAX(0,N(CHOOSE(AT72,J72,N72,R72,V72,Z72,AD72,AH72,AL72))+N(CHOOSE(AT72,K72,O72,S72,W72,AA72,AE72,AI72,AM72))-MIN(N(CHOOSE(AT72,'Debt List'!$F$5,'Debt List'!$F$6,'Debt List'!$F$7,'Debt List'!$F$8,'Debt List'!$F$9,'Debt List'!$F$10,'Debt List'!$F$11,'Debt List'!$F$12)),N(CHOOSE(AT72,J72,N72,R72,V72,Z72,AD72,AH72,AL72))+N(CHOOSE(AT72,K72,O72,S72,W72,AA72,AE72,AI72,AM72))))),0))</f>
        <v/>
      </c>
      <c r="AV72">
        <f>MIN(N(AU72),MAX(0,N(AS72)))</f>
        <v/>
      </c>
      <c r="AW72">
        <f>MAX(0,N(AS72)-N(AV72))</f>
        <v/>
      </c>
      <c r="AX72">
        <f>IFERROR(MATCH(3,OrderPlan,0),"")</f>
        <v/>
      </c>
      <c r="AY72">
        <f>IF(AX72="",0,IFERROR(IF(N(CHOOSE(AX72,J72,N72,R72,V72,Z72,AD72,AH72,AL72))&lt;=0.005,0,MAX(0,N(CHOOSE(AX72,J72,N72,R72,V72,Z72,AD72,AH72,AL72))+N(CHOOSE(AX72,K72,O72,S72,W72,AA72,AE72,AI72,AM72))-MIN(N(CHOOSE(AX72,'Debt List'!$F$5,'Debt List'!$F$6,'Debt List'!$F$7,'Debt List'!$F$8,'Debt List'!$F$9,'Debt List'!$F$10,'Debt List'!$F$11,'Debt List'!$F$12)),N(CHOOSE(AX72,J72,N72,R72,V72,Z72,AD72,AH72,AL72))+N(CHOOSE(AX72,K72,O72,S72,W72,AA72,AE72,AI72,AM72))))),0))</f>
        <v/>
      </c>
      <c r="AZ72">
        <f>MIN(N(AY72),MAX(0,N(AW72)))</f>
        <v/>
      </c>
      <c r="BA72">
        <f>MAX(0,N(AW72)-N(AZ72))</f>
        <v/>
      </c>
      <c r="BB72">
        <f>IFERROR(MATCH(4,OrderPlan,0),"")</f>
        <v/>
      </c>
      <c r="BC72">
        <f>IF(BB72="",0,IFERROR(IF(N(CHOOSE(BB72,J72,N72,R72,V72,Z72,AD72,AH72,AL72))&lt;=0.005,0,MAX(0,N(CHOOSE(BB72,J72,N72,R72,V72,Z72,AD72,AH72,AL72))+N(CHOOSE(BB72,K72,O72,S72,W72,AA72,AE72,AI72,AM72))-MIN(N(CHOOSE(BB72,'Debt List'!$F$5,'Debt List'!$F$6,'Debt List'!$F$7,'Debt List'!$F$8,'Debt List'!$F$9,'Debt List'!$F$10,'Debt List'!$F$11,'Debt List'!$F$12)),N(CHOOSE(BB72,J72,N72,R72,V72,Z72,AD72,AH72,AL72))+N(CHOOSE(BB72,K72,O72,S72,W72,AA72,AE72,AI72,AM72))))),0))</f>
        <v/>
      </c>
      <c r="BD72">
        <f>MIN(N(BC72),MAX(0,N(BA72)))</f>
        <v/>
      </c>
      <c r="BE72">
        <f>MAX(0,N(BA72)-N(BD72))</f>
        <v/>
      </c>
      <c r="BF72">
        <f>IFERROR(MATCH(5,OrderPlan,0),"")</f>
        <v/>
      </c>
      <c r="BG72">
        <f>IF(BF72="",0,IFERROR(IF(N(CHOOSE(BF72,J72,N72,R72,V72,Z72,AD72,AH72,AL72))&lt;=0.005,0,MAX(0,N(CHOOSE(BF72,J72,N72,R72,V72,Z72,AD72,AH72,AL72))+N(CHOOSE(BF72,K72,O72,S72,W72,AA72,AE72,AI72,AM72))-MIN(N(CHOOSE(BF72,'Debt List'!$F$5,'Debt List'!$F$6,'Debt List'!$F$7,'Debt List'!$F$8,'Debt List'!$F$9,'Debt List'!$F$10,'Debt List'!$F$11,'Debt List'!$F$12)),N(CHOOSE(BF72,J72,N72,R72,V72,Z72,AD72,AH72,AL72))+N(CHOOSE(BF72,K72,O72,S72,W72,AA72,AE72,AI72,AM72))))),0))</f>
        <v/>
      </c>
      <c r="BH72">
        <f>MIN(N(BG72),MAX(0,N(BE72)))</f>
        <v/>
      </c>
      <c r="BI72">
        <f>MAX(0,N(BE72)-N(BH72))</f>
        <v/>
      </c>
      <c r="BJ72">
        <f>IFERROR(MATCH(6,OrderPlan,0),"")</f>
        <v/>
      </c>
      <c r="BK72">
        <f>IF(BJ72="",0,IFERROR(IF(N(CHOOSE(BJ72,J72,N72,R72,V72,Z72,AD72,AH72,AL72))&lt;=0.005,0,MAX(0,N(CHOOSE(BJ72,J72,N72,R72,V72,Z72,AD72,AH72,AL72))+N(CHOOSE(BJ72,K72,O72,S72,W72,AA72,AE72,AI72,AM72))-MIN(N(CHOOSE(BJ72,'Debt List'!$F$5,'Debt List'!$F$6,'Debt List'!$F$7,'Debt List'!$F$8,'Debt List'!$F$9,'Debt List'!$F$10,'Debt List'!$F$11,'Debt List'!$F$12)),N(CHOOSE(BJ72,J72,N72,R72,V72,Z72,AD72,AH72,AL72))+N(CHOOSE(BJ72,K72,O72,S72,W72,AA72,AE72,AI72,AM72))))),0))</f>
        <v/>
      </c>
      <c r="BL72">
        <f>MIN(N(BK72),MAX(0,N(BI72)))</f>
        <v/>
      </c>
      <c r="BM72">
        <f>MAX(0,N(BI72)-N(BL72))</f>
        <v/>
      </c>
      <c r="BN72">
        <f>IFERROR(MATCH(7,OrderPlan,0),"")</f>
        <v/>
      </c>
      <c r="BO72">
        <f>IF(BN72="",0,IFERROR(IF(N(CHOOSE(BN72,J72,N72,R72,V72,Z72,AD72,AH72,AL72))&lt;=0.005,0,MAX(0,N(CHOOSE(BN72,J72,N72,R72,V72,Z72,AD72,AH72,AL72))+N(CHOOSE(BN72,K72,O72,S72,W72,AA72,AE72,AI72,AM72))-MIN(N(CHOOSE(BN72,'Debt List'!$F$5,'Debt List'!$F$6,'Debt List'!$F$7,'Debt List'!$F$8,'Debt List'!$F$9,'Debt List'!$F$10,'Debt List'!$F$11,'Debt List'!$F$12)),N(CHOOSE(BN72,J72,N72,R72,V72,Z72,AD72,AH72,AL72))+N(CHOOSE(BN72,K72,O72,S72,W72,AA72,AE72,AI72,AM72))))),0))</f>
        <v/>
      </c>
      <c r="BP72">
        <f>MIN(N(BO72),MAX(0,N(BM72)))</f>
        <v/>
      </c>
      <c r="BQ72">
        <f>MAX(0,N(BM72)-N(BP72))</f>
        <v/>
      </c>
      <c r="BR72">
        <f>IFERROR(MATCH(8,OrderPlan,0),"")</f>
        <v/>
      </c>
      <c r="BS72">
        <f>IF(BR72="",0,IFERROR(IF(N(CHOOSE(BR72,J72,N72,R72,V72,Z72,AD72,AH72,AL72))&lt;=0.005,0,MAX(0,N(CHOOSE(BR72,J72,N72,R72,V72,Z72,AD72,AH72,AL72))+N(CHOOSE(BR72,K72,O72,S72,W72,AA72,AE72,AI72,AM72))-MIN(N(CHOOSE(BR72,'Debt List'!$F$5,'Debt List'!$F$6,'Debt List'!$F$7,'Debt List'!$F$8,'Debt List'!$F$9,'Debt List'!$F$10,'Debt List'!$F$11,'Debt List'!$F$12)),N(CHOOSE(BR72,J72,N72,R72,V72,Z72,AD72,AH72,AL72))+N(CHOOSE(BR72,K72,O72,S72,W72,AA72,AE72,AI72,AM72))))),0))</f>
        <v/>
      </c>
      <c r="BT72">
        <f>MIN(N(BS72),MAX(0,N(BQ72)))</f>
        <v/>
      </c>
      <c r="BU72">
        <f>MAX(0,N(BQ72)-N(BT72))</f>
        <v/>
      </c>
      <c r="CC72" t="n">
        <v>68</v>
      </c>
      <c r="CD72" s="115">
        <f>DATE(YEAR(PlanStart),MONTH(PlanStart)+CC72-1,1)</f>
        <v/>
      </c>
      <c r="CE72">
        <f>IF(AND(DR72&lt;&gt;"",N(CHOOSE(DR72,CL72,CP72,CT72,CX72,DB72,DF72,DJ72,DN72))&gt;0.005),INDEX(DebtNames,DR72),IF(AND(DV72&lt;&gt;"",N(CHOOSE(DV72,CL72,CP72,CT72,CX72,DB72,DF72,DJ72,DN72))&gt;0.005),INDEX(DebtNames,DV72),IF(AND(DZ72&lt;&gt;"",N(CHOOSE(DZ72,CL72,CP72,CT72,CX72,DB72,DF72,DJ72,DN72))&gt;0.005),INDEX(DebtNames,DZ72),IF(AND(ED72&lt;&gt;"",N(CHOOSE(ED72,CL72,CP72,CT72,CX72,DB72,DF72,DJ72,DN72))&gt;0.005),INDEX(DebtNames,ED72),IF(AND(EH72&lt;&gt;"",N(CHOOSE(EH72,CL72,CP72,CT72,CX72,DB72,DF72,DJ72,DN72))&gt;0.005),INDEX(DebtNames,EH72),IF(AND(EL72&lt;&gt;"",N(CHOOSE(EL72,CL72,CP72,CT72,CX72,DB72,DF72,DJ72,DN72))&gt;0.005),INDEX(DebtNames,EL72),IF(AND(EP72&lt;&gt;"",N(CHOOSE(EP72,CL72,CP72,CT72,CX72,DB72,DF72,DJ72,DN72))&gt;0.005),INDEX(DebtNames,EP72),IF(AND(ET72&lt;&gt;"",N(CHOOSE(ET72,CL72,CP72,CT72,CX72,DB72,DF72,DJ72,DN72))&gt;0.005),INDEX(DebtNames,ET72),""))))))))</f>
        <v/>
      </c>
      <c r="CF72">
        <f>N(EW72)</f>
        <v/>
      </c>
      <c r="CG72">
        <f>N(CN72)+N(CR72)+N(CV72)+N(CZ72)+N(DD72)+N(DH72)+N(DL72)+N(DP72)</f>
        <v/>
      </c>
      <c r="CH72">
        <f>N(CM72)+N(CQ72)+N(CU72)+N(CY72)+N(DC72)+N(DG72)+N(DK72)+N(DO72)</f>
        <v/>
      </c>
      <c r="CI72">
        <f>N(CI71)+N(CH72)</f>
        <v/>
      </c>
      <c r="CJ72">
        <f>N(CO72)+N(CS72)+N(CW72)+N(DA72)+N(DE72)+N(DI72)+N(DM72)+N(DQ72)</f>
        <v/>
      </c>
      <c r="CK72">
        <f>(CO72&gt;0.005)*1+(CS72&gt;0.005)*1+(CW72&gt;0.005)*1+(DA72&gt;0.005)*1+(DE72&gt;0.005)*1+(DI72&gt;0.005)*1+(DM72&gt;0.005)*1+(DQ72&gt;0.005)*1</f>
        <v/>
      </c>
      <c r="CL72">
        <f>N(CO71)</f>
        <v/>
      </c>
      <c r="CM72">
        <f>IF(N(CL72)&lt;=0.005,0,ROUND(N(CL72)*N('Debt List'!E5)/12,2))</f>
        <v/>
      </c>
      <c r="CN72">
        <f>IF(N(CL72)&lt;=0.005,0,MIN(N('Debt List'!F5),N(CL72)+N(CM72)))+((DR72=1)*DT72+(DV72=1)*DX72+(DZ72=1)*EB72+(ED72=1)*EF72+(EH72=1)*EJ72+(EL72=1)*EN72+(EP72=1)*ER72+(ET72=1)*EV72)</f>
        <v/>
      </c>
      <c r="CO72">
        <f>MAX(0,ROUND(N(CL72)+N(CM72)-N(CN72),2))</f>
        <v/>
      </c>
      <c r="CP72">
        <f>N(CS71)</f>
        <v/>
      </c>
      <c r="CQ72">
        <f>IF(N(CP72)&lt;=0.005,0,ROUND(N(CP72)*N('Debt List'!E6)/12,2))</f>
        <v/>
      </c>
      <c r="CR72">
        <f>IF(N(CP72)&lt;=0.005,0,MIN(N('Debt List'!F6),N(CP72)+N(CQ72)))+((DR72=2)*DT72+(DV72=2)*DX72+(DZ72=2)*EB72+(ED72=2)*EF72+(EH72=2)*EJ72+(EL72=2)*EN72+(EP72=2)*ER72+(ET72=2)*EV72)</f>
        <v/>
      </c>
      <c r="CS72">
        <f>MAX(0,ROUND(N(CP72)+N(CQ72)-N(CR72),2))</f>
        <v/>
      </c>
      <c r="CT72">
        <f>N(CW71)</f>
        <v/>
      </c>
      <c r="CU72">
        <f>IF(N(CT72)&lt;=0.005,0,ROUND(N(CT72)*N('Debt List'!E7)/12,2))</f>
        <v/>
      </c>
      <c r="CV72">
        <f>IF(N(CT72)&lt;=0.005,0,MIN(N('Debt List'!F7),N(CT72)+N(CU72)))+((DR72=3)*DT72+(DV72=3)*DX72+(DZ72=3)*EB72+(ED72=3)*EF72+(EH72=3)*EJ72+(EL72=3)*EN72+(EP72=3)*ER72+(ET72=3)*EV72)</f>
        <v/>
      </c>
      <c r="CW72">
        <f>MAX(0,ROUND(N(CT72)+N(CU72)-N(CV72),2))</f>
        <v/>
      </c>
      <c r="CX72">
        <f>N(DA71)</f>
        <v/>
      </c>
      <c r="CY72">
        <f>IF(N(CX72)&lt;=0.005,0,ROUND(N(CX72)*N('Debt List'!E8)/12,2))</f>
        <v/>
      </c>
      <c r="CZ72">
        <f>IF(N(CX72)&lt;=0.005,0,MIN(N('Debt List'!F8),N(CX72)+N(CY72)))+((DR72=4)*DT72+(DV72=4)*DX72+(DZ72=4)*EB72+(ED72=4)*EF72+(EH72=4)*EJ72+(EL72=4)*EN72+(EP72=4)*ER72+(ET72=4)*EV72)</f>
        <v/>
      </c>
      <c r="DA72">
        <f>MAX(0,ROUND(N(CX72)+N(CY72)-N(CZ72),2))</f>
        <v/>
      </c>
      <c r="DB72">
        <f>N(DE71)</f>
        <v/>
      </c>
      <c r="DC72">
        <f>IF(N(DB72)&lt;=0.005,0,ROUND(N(DB72)*N('Debt List'!E9)/12,2))</f>
        <v/>
      </c>
      <c r="DD72">
        <f>IF(N(DB72)&lt;=0.005,0,MIN(N('Debt List'!F9),N(DB72)+N(DC72)))+((DR72=5)*DT72+(DV72=5)*DX72+(DZ72=5)*EB72+(ED72=5)*EF72+(EH72=5)*EJ72+(EL72=5)*EN72+(EP72=5)*ER72+(ET72=5)*EV72)</f>
        <v/>
      </c>
      <c r="DE72">
        <f>MAX(0,ROUND(N(DB72)+N(DC72)-N(DD72),2))</f>
        <v/>
      </c>
      <c r="DF72">
        <f>N(DI71)</f>
        <v/>
      </c>
      <c r="DG72">
        <f>IF(N(DF72)&lt;=0.005,0,ROUND(N(DF72)*N('Debt List'!E10)/12,2))</f>
        <v/>
      </c>
      <c r="DH72">
        <f>IF(N(DF72)&lt;=0.005,0,MIN(N('Debt List'!F10),N(DF72)+N(DG72)))+((DR72=6)*DT72+(DV72=6)*DX72+(DZ72=6)*EB72+(ED72=6)*EF72+(EH72=6)*EJ72+(EL72=6)*EN72+(EP72=6)*ER72+(ET72=6)*EV72)</f>
        <v/>
      </c>
      <c r="DI72">
        <f>MAX(0,ROUND(N(DF72)+N(DG72)-N(DH72),2))</f>
        <v/>
      </c>
      <c r="DJ72">
        <f>N(DM71)</f>
        <v/>
      </c>
      <c r="DK72">
        <f>IF(N(DJ72)&lt;=0.005,0,ROUND(N(DJ72)*N('Debt List'!E11)/12,2))</f>
        <v/>
      </c>
      <c r="DL72">
        <f>IF(N(DJ72)&lt;=0.005,0,MIN(N('Debt List'!F11),N(DJ72)+N(DK72)))+((DR72=7)*DT72+(DV72=7)*DX72+(DZ72=7)*EB72+(ED72=7)*EF72+(EH72=7)*EJ72+(EL72=7)*EN72+(EP72=7)*ER72+(ET72=7)*EV72)</f>
        <v/>
      </c>
      <c r="DM72">
        <f>MAX(0,ROUND(N(DJ72)+N(DK72)-N(DL72),2))</f>
        <v/>
      </c>
      <c r="DN72">
        <f>N(DQ71)</f>
        <v/>
      </c>
      <c r="DO72">
        <f>IF(N(DN72)&lt;=0.005,0,ROUND(N(DN72)*N('Debt List'!E12)/12,2))</f>
        <v/>
      </c>
      <c r="DP72">
        <f>IF(N(DN72)&lt;=0.005,0,MIN(N('Debt List'!F12),N(DN72)+N(DO72)))+((DR72=8)*DT72+(DV72=8)*DX72+(DZ72=8)*EB72+(ED72=8)*EF72+(EH72=8)*EJ72+(EL72=8)*EN72+(EP72=8)*ER72+(ET72=8)*EV72)</f>
        <v/>
      </c>
      <c r="DQ72">
        <f>MAX(0,ROUND(N(DN72)+N(DO72)-N(DP72),2))</f>
        <v/>
      </c>
      <c r="DR72">
        <f>IFERROR(MATCH(1,OrderSnow,0),"")</f>
        <v/>
      </c>
      <c r="DS72">
        <f>IF(DR72="",0,IFERROR(IF(N(CHOOSE(DR72,CL72,CP72,CT72,CX72,DB72,DF72,DJ72,DN72))&lt;=0.005,0,MAX(0,N(CHOOSE(DR72,CL72,CP72,CT72,CX72,DB72,DF72,DJ72,DN72))+N(CHOOSE(DR72,CM72,CQ72,CU72,CY72,DC72,DG72,DK72,DO72))-MIN(N(CHOOSE(DR72,'Debt List'!$F$5,'Debt List'!$F$6,'Debt List'!$F$7,'Debt List'!$F$8,'Debt List'!$F$9,'Debt List'!$F$10,'Debt List'!$F$11,'Debt List'!$F$12)),N(CHOOSE(DR72,CL72,CP72,CT72,CX72,DB72,DF72,DJ72,DN72))+N(CHOOSE(DR72,CM72,CQ72,CU72,CY72,DC72,DG72,DK72,DO72))))),0))</f>
        <v/>
      </c>
      <c r="DT72">
        <f>MIN(N(DS72),MAX(0,N(ExtraPayment)))</f>
        <v/>
      </c>
      <c r="DU72">
        <f>MAX(0,N(ExtraPayment)-N(DT72))</f>
        <v/>
      </c>
      <c r="DV72">
        <f>IFERROR(MATCH(2,OrderSnow,0),"")</f>
        <v/>
      </c>
      <c r="DW72">
        <f>IF(DV72="",0,IFERROR(IF(N(CHOOSE(DV72,CL72,CP72,CT72,CX72,DB72,DF72,DJ72,DN72))&lt;=0.005,0,MAX(0,N(CHOOSE(DV72,CL72,CP72,CT72,CX72,DB72,DF72,DJ72,DN72))+N(CHOOSE(DV72,CM72,CQ72,CU72,CY72,DC72,DG72,DK72,DO72))-MIN(N(CHOOSE(DV72,'Debt List'!$F$5,'Debt List'!$F$6,'Debt List'!$F$7,'Debt List'!$F$8,'Debt List'!$F$9,'Debt List'!$F$10,'Debt List'!$F$11,'Debt List'!$F$12)),N(CHOOSE(DV72,CL72,CP72,CT72,CX72,DB72,DF72,DJ72,DN72))+N(CHOOSE(DV72,CM72,CQ72,CU72,CY72,DC72,DG72,DK72,DO72))))),0))</f>
        <v/>
      </c>
      <c r="DX72">
        <f>MIN(N(DW72),MAX(0,N(DU72)))</f>
        <v/>
      </c>
      <c r="DY72">
        <f>MAX(0,N(DU72)-N(DX72))</f>
        <v/>
      </c>
      <c r="DZ72">
        <f>IFERROR(MATCH(3,OrderSnow,0),"")</f>
        <v/>
      </c>
      <c r="EA72">
        <f>IF(DZ72="",0,IFERROR(IF(N(CHOOSE(DZ72,CL72,CP72,CT72,CX72,DB72,DF72,DJ72,DN72))&lt;=0.005,0,MAX(0,N(CHOOSE(DZ72,CL72,CP72,CT72,CX72,DB72,DF72,DJ72,DN72))+N(CHOOSE(DZ72,CM72,CQ72,CU72,CY72,DC72,DG72,DK72,DO72))-MIN(N(CHOOSE(DZ72,'Debt List'!$F$5,'Debt List'!$F$6,'Debt List'!$F$7,'Debt List'!$F$8,'Debt List'!$F$9,'Debt List'!$F$10,'Debt List'!$F$11,'Debt List'!$F$12)),N(CHOOSE(DZ72,CL72,CP72,CT72,CX72,DB72,DF72,DJ72,DN72))+N(CHOOSE(DZ72,CM72,CQ72,CU72,CY72,DC72,DG72,DK72,DO72))))),0))</f>
        <v/>
      </c>
      <c r="EB72">
        <f>MIN(N(EA72),MAX(0,N(DY72)))</f>
        <v/>
      </c>
      <c r="EC72">
        <f>MAX(0,N(DY72)-N(EB72))</f>
        <v/>
      </c>
      <c r="ED72">
        <f>IFERROR(MATCH(4,OrderSnow,0),"")</f>
        <v/>
      </c>
      <c r="EE72">
        <f>IF(ED72="",0,IFERROR(IF(N(CHOOSE(ED72,CL72,CP72,CT72,CX72,DB72,DF72,DJ72,DN72))&lt;=0.005,0,MAX(0,N(CHOOSE(ED72,CL72,CP72,CT72,CX72,DB72,DF72,DJ72,DN72))+N(CHOOSE(ED72,CM72,CQ72,CU72,CY72,DC72,DG72,DK72,DO72))-MIN(N(CHOOSE(ED72,'Debt List'!$F$5,'Debt List'!$F$6,'Debt List'!$F$7,'Debt List'!$F$8,'Debt List'!$F$9,'Debt List'!$F$10,'Debt List'!$F$11,'Debt List'!$F$12)),N(CHOOSE(ED72,CL72,CP72,CT72,CX72,DB72,DF72,DJ72,DN72))+N(CHOOSE(ED72,CM72,CQ72,CU72,CY72,DC72,DG72,DK72,DO72))))),0))</f>
        <v/>
      </c>
      <c r="EF72">
        <f>MIN(N(EE72),MAX(0,N(EC72)))</f>
        <v/>
      </c>
      <c r="EG72">
        <f>MAX(0,N(EC72)-N(EF72))</f>
        <v/>
      </c>
      <c r="EH72">
        <f>IFERROR(MATCH(5,OrderSnow,0),"")</f>
        <v/>
      </c>
      <c r="EI72">
        <f>IF(EH72="",0,IFERROR(IF(N(CHOOSE(EH72,CL72,CP72,CT72,CX72,DB72,DF72,DJ72,DN72))&lt;=0.005,0,MAX(0,N(CHOOSE(EH72,CL72,CP72,CT72,CX72,DB72,DF72,DJ72,DN72))+N(CHOOSE(EH72,CM72,CQ72,CU72,CY72,DC72,DG72,DK72,DO72))-MIN(N(CHOOSE(EH72,'Debt List'!$F$5,'Debt List'!$F$6,'Debt List'!$F$7,'Debt List'!$F$8,'Debt List'!$F$9,'Debt List'!$F$10,'Debt List'!$F$11,'Debt List'!$F$12)),N(CHOOSE(EH72,CL72,CP72,CT72,CX72,DB72,DF72,DJ72,DN72))+N(CHOOSE(EH72,CM72,CQ72,CU72,CY72,DC72,DG72,DK72,DO72))))),0))</f>
        <v/>
      </c>
      <c r="EJ72">
        <f>MIN(N(EI72),MAX(0,N(EG72)))</f>
        <v/>
      </c>
      <c r="EK72">
        <f>MAX(0,N(EG72)-N(EJ72))</f>
        <v/>
      </c>
      <c r="EL72">
        <f>IFERROR(MATCH(6,OrderSnow,0),"")</f>
        <v/>
      </c>
      <c r="EM72">
        <f>IF(EL72="",0,IFERROR(IF(N(CHOOSE(EL72,CL72,CP72,CT72,CX72,DB72,DF72,DJ72,DN72))&lt;=0.005,0,MAX(0,N(CHOOSE(EL72,CL72,CP72,CT72,CX72,DB72,DF72,DJ72,DN72))+N(CHOOSE(EL72,CM72,CQ72,CU72,CY72,DC72,DG72,DK72,DO72))-MIN(N(CHOOSE(EL72,'Debt List'!$F$5,'Debt List'!$F$6,'Debt List'!$F$7,'Debt List'!$F$8,'Debt List'!$F$9,'Debt List'!$F$10,'Debt List'!$F$11,'Debt List'!$F$12)),N(CHOOSE(EL72,CL72,CP72,CT72,CX72,DB72,DF72,DJ72,DN72))+N(CHOOSE(EL72,CM72,CQ72,CU72,CY72,DC72,DG72,DK72,DO72))))),0))</f>
        <v/>
      </c>
      <c r="EN72">
        <f>MIN(N(EM72),MAX(0,N(EK72)))</f>
        <v/>
      </c>
      <c r="EO72">
        <f>MAX(0,N(EK72)-N(EN72))</f>
        <v/>
      </c>
      <c r="EP72">
        <f>IFERROR(MATCH(7,OrderSnow,0),"")</f>
        <v/>
      </c>
      <c r="EQ72">
        <f>IF(EP72="",0,IFERROR(IF(N(CHOOSE(EP72,CL72,CP72,CT72,CX72,DB72,DF72,DJ72,DN72))&lt;=0.005,0,MAX(0,N(CHOOSE(EP72,CL72,CP72,CT72,CX72,DB72,DF72,DJ72,DN72))+N(CHOOSE(EP72,CM72,CQ72,CU72,CY72,DC72,DG72,DK72,DO72))-MIN(N(CHOOSE(EP72,'Debt List'!$F$5,'Debt List'!$F$6,'Debt List'!$F$7,'Debt List'!$F$8,'Debt List'!$F$9,'Debt List'!$F$10,'Debt List'!$F$11,'Debt List'!$F$12)),N(CHOOSE(EP72,CL72,CP72,CT72,CX72,DB72,DF72,DJ72,DN72))+N(CHOOSE(EP72,CM72,CQ72,CU72,CY72,DC72,DG72,DK72,DO72))))),0))</f>
        <v/>
      </c>
      <c r="ER72">
        <f>MIN(N(EQ72),MAX(0,N(EO72)))</f>
        <v/>
      </c>
      <c r="ES72">
        <f>MAX(0,N(EO72)-N(ER72))</f>
        <v/>
      </c>
      <c r="ET72">
        <f>IFERROR(MATCH(8,OrderSnow,0),"")</f>
        <v/>
      </c>
      <c r="EU72">
        <f>IF(ET72="",0,IFERROR(IF(N(CHOOSE(ET72,CL72,CP72,CT72,CX72,DB72,DF72,DJ72,DN72))&lt;=0.005,0,MAX(0,N(CHOOSE(ET72,CL72,CP72,CT72,CX72,DB72,DF72,DJ72,DN72))+N(CHOOSE(ET72,CM72,CQ72,CU72,CY72,DC72,DG72,DK72,DO72))-MIN(N(CHOOSE(ET72,'Debt List'!$F$5,'Debt List'!$F$6,'Debt List'!$F$7,'Debt List'!$F$8,'Debt List'!$F$9,'Debt List'!$F$10,'Debt List'!$F$11,'Debt List'!$F$12)),N(CHOOSE(ET72,CL72,CP72,CT72,CX72,DB72,DF72,DJ72,DN72))+N(CHOOSE(ET72,CM72,CQ72,CU72,CY72,DC72,DG72,DK72,DO72))))),0))</f>
        <v/>
      </c>
      <c r="EV72">
        <f>MIN(N(EU72),MAX(0,N(ES72)))</f>
        <v/>
      </c>
      <c r="EW72">
        <f>MAX(0,N(ES72)-N(EV72))</f>
        <v/>
      </c>
      <c r="FE72" t="n">
        <v>68</v>
      </c>
      <c r="FF72" s="115">
        <f>DATE(YEAR(PlanStart),MONTH(PlanStart)+FE72-1,1)</f>
        <v/>
      </c>
      <c r="FG72">
        <f>IF(AND(GT72&lt;&gt;"",N(CHOOSE(GT72,FN72,FR72,FV72,FZ72,GD72,GH72,GL72,GP72))&gt;0.005),INDEX(DebtNames,GT72),IF(AND(GX72&lt;&gt;"",N(CHOOSE(GX72,FN72,FR72,FV72,FZ72,GD72,GH72,GL72,GP72))&gt;0.005),INDEX(DebtNames,GX72),IF(AND(HB72&lt;&gt;"",N(CHOOSE(HB72,FN72,FR72,FV72,FZ72,GD72,GH72,GL72,GP72))&gt;0.005),INDEX(DebtNames,HB72),IF(AND(HF72&lt;&gt;"",N(CHOOSE(HF72,FN72,FR72,FV72,FZ72,GD72,GH72,GL72,GP72))&gt;0.005),INDEX(DebtNames,HF72),IF(AND(HJ72&lt;&gt;"",N(CHOOSE(HJ72,FN72,FR72,FV72,FZ72,GD72,GH72,GL72,GP72))&gt;0.005),INDEX(DebtNames,HJ72),IF(AND(HN72&lt;&gt;"",N(CHOOSE(HN72,FN72,FR72,FV72,FZ72,GD72,GH72,GL72,GP72))&gt;0.005),INDEX(DebtNames,HN72),IF(AND(HR72&lt;&gt;"",N(CHOOSE(HR72,FN72,FR72,FV72,FZ72,GD72,GH72,GL72,GP72))&gt;0.005),INDEX(DebtNames,HR72),IF(AND(HV72&lt;&gt;"",N(CHOOSE(HV72,FN72,FR72,FV72,FZ72,GD72,GH72,GL72,GP72))&gt;0.005),INDEX(DebtNames,HV72),""))))))))</f>
        <v/>
      </c>
      <c r="FH72">
        <f>N(HY72)</f>
        <v/>
      </c>
      <c r="FI72">
        <f>N(FP72)+N(FT72)+N(FX72)+N(GB72)+N(GF72)+N(GJ72)+N(GN72)+N(GR72)</f>
        <v/>
      </c>
      <c r="FJ72">
        <f>N(FO72)+N(FS72)+N(FW72)+N(GA72)+N(GE72)+N(GI72)+N(GM72)+N(GQ72)</f>
        <v/>
      </c>
      <c r="FK72">
        <f>N(FK71)+N(FJ72)</f>
        <v/>
      </c>
      <c r="FL72">
        <f>N(FQ72)+N(FU72)+N(FY72)+N(GC72)+N(GG72)+N(GK72)+N(GO72)+N(GS72)</f>
        <v/>
      </c>
      <c r="FM72">
        <f>(FQ72&gt;0.005)*1+(FU72&gt;0.005)*1+(FY72&gt;0.005)*1+(GC72&gt;0.005)*1+(GG72&gt;0.005)*1+(GK72&gt;0.005)*1+(GO72&gt;0.005)*1+(GS72&gt;0.005)*1</f>
        <v/>
      </c>
      <c r="FN72">
        <f>N(FQ71)</f>
        <v/>
      </c>
      <c r="FO72">
        <f>IF(N(FN72)&lt;=0.005,0,ROUND(N(FN72)*N('Debt List'!E5)/12,2))</f>
        <v/>
      </c>
      <c r="FP72">
        <f>IF(N(FN72)&lt;=0.005,0,MIN(N('Debt List'!F5),N(FN72)+N(FO72)))+((GT72=1)*GV72+(GX72=1)*GZ72+(HB72=1)*HD72+(HF72=1)*HH72+(HJ72=1)*HL72+(HN72=1)*HP72+(HR72=1)*HT72+(HV72=1)*HX72)</f>
        <v/>
      </c>
      <c r="FQ72">
        <f>MAX(0,ROUND(N(FN72)+N(FO72)-N(FP72),2))</f>
        <v/>
      </c>
      <c r="FR72">
        <f>N(FU71)</f>
        <v/>
      </c>
      <c r="FS72">
        <f>IF(N(FR72)&lt;=0.005,0,ROUND(N(FR72)*N('Debt List'!E6)/12,2))</f>
        <v/>
      </c>
      <c r="FT72">
        <f>IF(N(FR72)&lt;=0.005,0,MIN(N('Debt List'!F6),N(FR72)+N(FS72)))+((GT72=2)*GV72+(GX72=2)*GZ72+(HB72=2)*HD72+(HF72=2)*HH72+(HJ72=2)*HL72+(HN72=2)*HP72+(HR72=2)*HT72+(HV72=2)*HX72)</f>
        <v/>
      </c>
      <c r="FU72">
        <f>MAX(0,ROUND(N(FR72)+N(FS72)-N(FT72),2))</f>
        <v/>
      </c>
      <c r="FV72">
        <f>N(FY71)</f>
        <v/>
      </c>
      <c r="FW72">
        <f>IF(N(FV72)&lt;=0.005,0,ROUND(N(FV72)*N('Debt List'!E7)/12,2))</f>
        <v/>
      </c>
      <c r="FX72">
        <f>IF(N(FV72)&lt;=0.005,0,MIN(N('Debt List'!F7),N(FV72)+N(FW72)))+((GT72=3)*GV72+(GX72=3)*GZ72+(HB72=3)*HD72+(HF72=3)*HH72+(HJ72=3)*HL72+(HN72=3)*HP72+(HR72=3)*HT72+(HV72=3)*HX72)</f>
        <v/>
      </c>
      <c r="FY72">
        <f>MAX(0,ROUND(N(FV72)+N(FW72)-N(FX72),2))</f>
        <v/>
      </c>
      <c r="FZ72">
        <f>N(GC71)</f>
        <v/>
      </c>
      <c r="GA72">
        <f>IF(N(FZ72)&lt;=0.005,0,ROUND(N(FZ72)*N('Debt List'!E8)/12,2))</f>
        <v/>
      </c>
      <c r="GB72">
        <f>IF(N(FZ72)&lt;=0.005,0,MIN(N('Debt List'!F8),N(FZ72)+N(GA72)))+((GT72=4)*GV72+(GX72=4)*GZ72+(HB72=4)*HD72+(HF72=4)*HH72+(HJ72=4)*HL72+(HN72=4)*HP72+(HR72=4)*HT72+(HV72=4)*HX72)</f>
        <v/>
      </c>
      <c r="GC72">
        <f>MAX(0,ROUND(N(FZ72)+N(GA72)-N(GB72),2))</f>
        <v/>
      </c>
      <c r="GD72">
        <f>N(GG71)</f>
        <v/>
      </c>
      <c r="GE72">
        <f>IF(N(GD72)&lt;=0.005,0,ROUND(N(GD72)*N('Debt List'!E9)/12,2))</f>
        <v/>
      </c>
      <c r="GF72">
        <f>IF(N(GD72)&lt;=0.005,0,MIN(N('Debt List'!F9),N(GD72)+N(GE72)))+((GT72=5)*GV72+(GX72=5)*GZ72+(HB72=5)*HD72+(HF72=5)*HH72+(HJ72=5)*HL72+(HN72=5)*HP72+(HR72=5)*HT72+(HV72=5)*HX72)</f>
        <v/>
      </c>
      <c r="GG72">
        <f>MAX(0,ROUND(N(GD72)+N(GE72)-N(GF72),2))</f>
        <v/>
      </c>
      <c r="GH72">
        <f>N(GK71)</f>
        <v/>
      </c>
      <c r="GI72">
        <f>IF(N(GH72)&lt;=0.005,0,ROUND(N(GH72)*N('Debt List'!E10)/12,2))</f>
        <v/>
      </c>
      <c r="GJ72">
        <f>IF(N(GH72)&lt;=0.005,0,MIN(N('Debt List'!F10),N(GH72)+N(GI72)))+((GT72=6)*GV72+(GX72=6)*GZ72+(HB72=6)*HD72+(HF72=6)*HH72+(HJ72=6)*HL72+(HN72=6)*HP72+(HR72=6)*HT72+(HV72=6)*HX72)</f>
        <v/>
      </c>
      <c r="GK72">
        <f>MAX(0,ROUND(N(GH72)+N(GI72)-N(GJ72),2))</f>
        <v/>
      </c>
      <c r="GL72">
        <f>N(GO71)</f>
        <v/>
      </c>
      <c r="GM72">
        <f>IF(N(GL72)&lt;=0.005,0,ROUND(N(GL72)*N('Debt List'!E11)/12,2))</f>
        <v/>
      </c>
      <c r="GN72">
        <f>IF(N(GL72)&lt;=0.005,0,MIN(N('Debt List'!F11),N(GL72)+N(GM72)))+((GT72=7)*GV72+(GX72=7)*GZ72+(HB72=7)*HD72+(HF72=7)*HH72+(HJ72=7)*HL72+(HN72=7)*HP72+(HR72=7)*HT72+(HV72=7)*HX72)</f>
        <v/>
      </c>
      <c r="GO72">
        <f>MAX(0,ROUND(N(GL72)+N(GM72)-N(GN72),2))</f>
        <v/>
      </c>
      <c r="GP72">
        <f>N(GS71)</f>
        <v/>
      </c>
      <c r="GQ72">
        <f>IF(N(GP72)&lt;=0.005,0,ROUND(N(GP72)*N('Debt List'!E12)/12,2))</f>
        <v/>
      </c>
      <c r="GR72">
        <f>IF(N(GP72)&lt;=0.005,0,MIN(N('Debt List'!F12),N(GP72)+N(GQ72)))+((GT72=8)*GV72+(GX72=8)*GZ72+(HB72=8)*HD72+(HF72=8)*HH72+(HJ72=8)*HL72+(HN72=8)*HP72+(HR72=8)*HT72+(HV72=8)*HX72)</f>
        <v/>
      </c>
      <c r="GS72">
        <f>MAX(0,ROUND(N(GP72)+N(GQ72)-N(GR72),2))</f>
        <v/>
      </c>
      <c r="GT72">
        <f>IFERROR(MATCH(1,OrderAval,0),"")</f>
        <v/>
      </c>
      <c r="GU72">
        <f>IF(GT72="",0,IFERROR(IF(N(CHOOSE(GT72,FN72,FR72,FV72,FZ72,GD72,GH72,GL72,GP72))&lt;=0.005,0,MAX(0,N(CHOOSE(GT72,FN72,FR72,FV72,FZ72,GD72,GH72,GL72,GP72))+N(CHOOSE(GT72,FO72,FS72,FW72,GA72,GE72,GI72,GM72,GQ72))-MIN(N(CHOOSE(GT72,'Debt List'!$F$5,'Debt List'!$F$6,'Debt List'!$F$7,'Debt List'!$F$8,'Debt List'!$F$9,'Debt List'!$F$10,'Debt List'!$F$11,'Debt List'!$F$12)),N(CHOOSE(GT72,FN72,FR72,FV72,FZ72,GD72,GH72,GL72,GP72))+N(CHOOSE(GT72,FO72,FS72,FW72,GA72,GE72,GI72,GM72,GQ72))))),0))</f>
        <v/>
      </c>
      <c r="GV72">
        <f>MIN(N(GU72),MAX(0,N(ExtraPayment)))</f>
        <v/>
      </c>
      <c r="GW72">
        <f>MAX(0,N(ExtraPayment)-N(GV72))</f>
        <v/>
      </c>
      <c r="GX72">
        <f>IFERROR(MATCH(2,OrderAval,0),"")</f>
        <v/>
      </c>
      <c r="GY72">
        <f>IF(GX72="",0,IFERROR(IF(N(CHOOSE(GX72,FN72,FR72,FV72,FZ72,GD72,GH72,GL72,GP72))&lt;=0.005,0,MAX(0,N(CHOOSE(GX72,FN72,FR72,FV72,FZ72,GD72,GH72,GL72,GP72))+N(CHOOSE(GX72,FO72,FS72,FW72,GA72,GE72,GI72,GM72,GQ72))-MIN(N(CHOOSE(GX72,'Debt List'!$F$5,'Debt List'!$F$6,'Debt List'!$F$7,'Debt List'!$F$8,'Debt List'!$F$9,'Debt List'!$F$10,'Debt List'!$F$11,'Debt List'!$F$12)),N(CHOOSE(GX72,FN72,FR72,FV72,FZ72,GD72,GH72,GL72,GP72))+N(CHOOSE(GX72,FO72,FS72,FW72,GA72,GE72,GI72,GM72,GQ72))))),0))</f>
        <v/>
      </c>
      <c r="GZ72">
        <f>MIN(N(GY72),MAX(0,N(GW72)))</f>
        <v/>
      </c>
      <c r="HA72">
        <f>MAX(0,N(GW72)-N(GZ72))</f>
        <v/>
      </c>
      <c r="HB72">
        <f>IFERROR(MATCH(3,OrderAval,0),"")</f>
        <v/>
      </c>
      <c r="HC72">
        <f>IF(HB72="",0,IFERROR(IF(N(CHOOSE(HB72,FN72,FR72,FV72,FZ72,GD72,GH72,GL72,GP72))&lt;=0.005,0,MAX(0,N(CHOOSE(HB72,FN72,FR72,FV72,FZ72,GD72,GH72,GL72,GP72))+N(CHOOSE(HB72,FO72,FS72,FW72,GA72,GE72,GI72,GM72,GQ72))-MIN(N(CHOOSE(HB72,'Debt List'!$F$5,'Debt List'!$F$6,'Debt List'!$F$7,'Debt List'!$F$8,'Debt List'!$F$9,'Debt List'!$F$10,'Debt List'!$F$11,'Debt List'!$F$12)),N(CHOOSE(HB72,FN72,FR72,FV72,FZ72,GD72,GH72,GL72,GP72))+N(CHOOSE(HB72,FO72,FS72,FW72,GA72,GE72,GI72,GM72,GQ72))))),0))</f>
        <v/>
      </c>
      <c r="HD72">
        <f>MIN(N(HC72),MAX(0,N(HA72)))</f>
        <v/>
      </c>
      <c r="HE72">
        <f>MAX(0,N(HA72)-N(HD72))</f>
        <v/>
      </c>
      <c r="HF72">
        <f>IFERROR(MATCH(4,OrderAval,0),"")</f>
        <v/>
      </c>
      <c r="HG72">
        <f>IF(HF72="",0,IFERROR(IF(N(CHOOSE(HF72,FN72,FR72,FV72,FZ72,GD72,GH72,GL72,GP72))&lt;=0.005,0,MAX(0,N(CHOOSE(HF72,FN72,FR72,FV72,FZ72,GD72,GH72,GL72,GP72))+N(CHOOSE(HF72,FO72,FS72,FW72,GA72,GE72,GI72,GM72,GQ72))-MIN(N(CHOOSE(HF72,'Debt List'!$F$5,'Debt List'!$F$6,'Debt List'!$F$7,'Debt List'!$F$8,'Debt List'!$F$9,'Debt List'!$F$10,'Debt List'!$F$11,'Debt List'!$F$12)),N(CHOOSE(HF72,FN72,FR72,FV72,FZ72,GD72,GH72,GL72,GP72))+N(CHOOSE(HF72,FO72,FS72,FW72,GA72,GE72,GI72,GM72,GQ72))))),0))</f>
        <v/>
      </c>
      <c r="HH72">
        <f>MIN(N(HG72),MAX(0,N(HE72)))</f>
        <v/>
      </c>
      <c r="HI72">
        <f>MAX(0,N(HE72)-N(HH72))</f>
        <v/>
      </c>
      <c r="HJ72">
        <f>IFERROR(MATCH(5,OrderAval,0),"")</f>
        <v/>
      </c>
      <c r="HK72">
        <f>IF(HJ72="",0,IFERROR(IF(N(CHOOSE(HJ72,FN72,FR72,FV72,FZ72,GD72,GH72,GL72,GP72))&lt;=0.005,0,MAX(0,N(CHOOSE(HJ72,FN72,FR72,FV72,FZ72,GD72,GH72,GL72,GP72))+N(CHOOSE(HJ72,FO72,FS72,FW72,GA72,GE72,GI72,GM72,GQ72))-MIN(N(CHOOSE(HJ72,'Debt List'!$F$5,'Debt List'!$F$6,'Debt List'!$F$7,'Debt List'!$F$8,'Debt List'!$F$9,'Debt List'!$F$10,'Debt List'!$F$11,'Debt List'!$F$12)),N(CHOOSE(HJ72,FN72,FR72,FV72,FZ72,GD72,GH72,GL72,GP72))+N(CHOOSE(HJ72,FO72,FS72,FW72,GA72,GE72,GI72,GM72,GQ72))))),0))</f>
        <v/>
      </c>
      <c r="HL72">
        <f>MIN(N(HK72),MAX(0,N(HI72)))</f>
        <v/>
      </c>
      <c r="HM72">
        <f>MAX(0,N(HI72)-N(HL72))</f>
        <v/>
      </c>
      <c r="HN72">
        <f>IFERROR(MATCH(6,OrderAval,0),"")</f>
        <v/>
      </c>
      <c r="HO72">
        <f>IF(HN72="",0,IFERROR(IF(N(CHOOSE(HN72,FN72,FR72,FV72,FZ72,GD72,GH72,GL72,GP72))&lt;=0.005,0,MAX(0,N(CHOOSE(HN72,FN72,FR72,FV72,FZ72,GD72,GH72,GL72,GP72))+N(CHOOSE(HN72,FO72,FS72,FW72,GA72,GE72,GI72,GM72,GQ72))-MIN(N(CHOOSE(HN72,'Debt List'!$F$5,'Debt List'!$F$6,'Debt List'!$F$7,'Debt List'!$F$8,'Debt List'!$F$9,'Debt List'!$F$10,'Debt List'!$F$11,'Debt List'!$F$12)),N(CHOOSE(HN72,FN72,FR72,FV72,FZ72,GD72,GH72,GL72,GP72))+N(CHOOSE(HN72,FO72,FS72,FW72,GA72,GE72,GI72,GM72,GQ72))))),0))</f>
        <v/>
      </c>
      <c r="HP72">
        <f>MIN(N(HO72),MAX(0,N(HM72)))</f>
        <v/>
      </c>
      <c r="HQ72">
        <f>MAX(0,N(HM72)-N(HP72))</f>
        <v/>
      </c>
      <c r="HR72">
        <f>IFERROR(MATCH(7,OrderAval,0),"")</f>
        <v/>
      </c>
      <c r="HS72">
        <f>IF(HR72="",0,IFERROR(IF(N(CHOOSE(HR72,FN72,FR72,FV72,FZ72,GD72,GH72,GL72,GP72))&lt;=0.005,0,MAX(0,N(CHOOSE(HR72,FN72,FR72,FV72,FZ72,GD72,GH72,GL72,GP72))+N(CHOOSE(HR72,FO72,FS72,FW72,GA72,GE72,GI72,GM72,GQ72))-MIN(N(CHOOSE(HR72,'Debt List'!$F$5,'Debt List'!$F$6,'Debt List'!$F$7,'Debt List'!$F$8,'Debt List'!$F$9,'Debt List'!$F$10,'Debt List'!$F$11,'Debt List'!$F$12)),N(CHOOSE(HR72,FN72,FR72,FV72,FZ72,GD72,GH72,GL72,GP72))+N(CHOOSE(HR72,FO72,FS72,FW72,GA72,GE72,GI72,GM72,GQ72))))),0))</f>
        <v/>
      </c>
      <c r="HT72">
        <f>MIN(N(HS72),MAX(0,N(HQ72)))</f>
        <v/>
      </c>
      <c r="HU72">
        <f>MAX(0,N(HQ72)-N(HT72))</f>
        <v/>
      </c>
      <c r="HV72">
        <f>IFERROR(MATCH(8,OrderAval,0),"")</f>
        <v/>
      </c>
      <c r="HW72">
        <f>IF(HV72="",0,IFERROR(IF(N(CHOOSE(HV72,FN72,FR72,FV72,FZ72,GD72,GH72,GL72,GP72))&lt;=0.005,0,MAX(0,N(CHOOSE(HV72,FN72,FR72,FV72,FZ72,GD72,GH72,GL72,GP72))+N(CHOOSE(HV72,FO72,FS72,FW72,GA72,GE72,GI72,GM72,GQ72))-MIN(N(CHOOSE(HV72,'Debt List'!$F$5,'Debt List'!$F$6,'Debt List'!$F$7,'Debt List'!$F$8,'Debt List'!$F$9,'Debt List'!$F$10,'Debt List'!$F$11,'Debt List'!$F$12)),N(CHOOSE(HV72,FN72,FR72,FV72,FZ72,GD72,GH72,GL72,GP72))+N(CHOOSE(HV72,FO72,FS72,FW72,GA72,GE72,GI72,GM72,GQ72))))),0))</f>
        <v/>
      </c>
      <c r="HX72">
        <f>MIN(N(HW72),MAX(0,N(HU72)))</f>
        <v/>
      </c>
      <c r="HY72">
        <f>MAX(0,N(HU72)-N(HX72))</f>
        <v/>
      </c>
    </row>
    <row r="73">
      <c r="A73" t="n">
        <v>69</v>
      </c>
      <c r="B73" s="115">
        <f>DATE(YEAR(PlanStart),MONTH(PlanStart)+A73-1,1)</f>
        <v/>
      </c>
      <c r="C73">
        <f>IF(AND(AP73&lt;&gt;"",N(CHOOSE(AP73,J73,N73,R73,V73,Z73,AD73,AH73,AL73))&gt;0.005),INDEX(DebtNames,AP73),IF(AND(AT73&lt;&gt;"",N(CHOOSE(AT73,J73,N73,R73,V73,Z73,AD73,AH73,AL73))&gt;0.005),INDEX(DebtNames,AT73),IF(AND(AX73&lt;&gt;"",N(CHOOSE(AX73,J73,N73,R73,V73,Z73,AD73,AH73,AL73))&gt;0.005),INDEX(DebtNames,AX73),IF(AND(BB73&lt;&gt;"",N(CHOOSE(BB73,J73,N73,R73,V73,Z73,AD73,AH73,AL73))&gt;0.005),INDEX(DebtNames,BB73),IF(AND(BF73&lt;&gt;"",N(CHOOSE(BF73,J73,N73,R73,V73,Z73,AD73,AH73,AL73))&gt;0.005),INDEX(DebtNames,BF73),IF(AND(BJ73&lt;&gt;"",N(CHOOSE(BJ73,J73,N73,R73,V73,Z73,AD73,AH73,AL73))&gt;0.005),INDEX(DebtNames,BJ73),IF(AND(BN73&lt;&gt;"",N(CHOOSE(BN73,J73,N73,R73,V73,Z73,AD73,AH73,AL73))&gt;0.005),INDEX(DebtNames,BN73),IF(AND(BR73&lt;&gt;"",N(CHOOSE(BR73,J73,N73,R73,V73,Z73,AD73,AH73,AL73))&gt;0.005),INDEX(DebtNames,BR73),""))))))))</f>
        <v/>
      </c>
      <c r="D73">
        <f>N(BU73)</f>
        <v/>
      </c>
      <c r="E73">
        <f>N(L73)+N(P73)+N(T73)+N(X73)+N(AB73)+N(AF73)+N(AJ73)+N(AN73)</f>
        <v/>
      </c>
      <c r="F73">
        <f>N(K73)+N(O73)+N(S73)+N(W73)+N(AA73)+N(AE73)+N(AI73)+N(AM73)</f>
        <v/>
      </c>
      <c r="G73">
        <f>N(G72)+N(F73)</f>
        <v/>
      </c>
      <c r="H73">
        <f>N(M73)+N(Q73)+N(U73)+N(Y73)+N(AC73)+N(AG73)+N(AK73)+N(AO73)</f>
        <v/>
      </c>
      <c r="I73">
        <f>(M73&gt;0.005)*1+(Q73&gt;0.005)*1+(U73&gt;0.005)*1+(Y73&gt;0.005)*1+(AC73&gt;0.005)*1+(AG73&gt;0.005)*1+(AK73&gt;0.005)*1+(AO73&gt;0.005)*1</f>
        <v/>
      </c>
      <c r="J73">
        <f>N(M72)</f>
        <v/>
      </c>
      <c r="K73">
        <f>IF(N(J73)&lt;=0.005,0,ROUND(N(J73)*N('Debt List'!E5)/12,2))</f>
        <v/>
      </c>
      <c r="L73">
        <f>IF(N(J73)&lt;=0.005,0,MIN(N('Debt List'!F5),N(J73)+N(K73)))+((AP73=1)*AR73+(AT73=1)*AV73+(AX73=1)*AZ73+(BB73=1)*BD73+(BF73=1)*BH73+(BJ73=1)*BL73+(BN73=1)*BP73+(BR73=1)*BT73)</f>
        <v/>
      </c>
      <c r="M73">
        <f>MAX(0,ROUND(N(J73)+N(K73)-N(L73),2))</f>
        <v/>
      </c>
      <c r="N73">
        <f>N(Q72)</f>
        <v/>
      </c>
      <c r="O73">
        <f>IF(N(N73)&lt;=0.005,0,ROUND(N(N73)*N('Debt List'!E6)/12,2))</f>
        <v/>
      </c>
      <c r="P73">
        <f>IF(N(N73)&lt;=0.005,0,MIN(N('Debt List'!F6),N(N73)+N(O73)))+((AP73=2)*AR73+(AT73=2)*AV73+(AX73=2)*AZ73+(BB73=2)*BD73+(BF73=2)*BH73+(BJ73=2)*BL73+(BN73=2)*BP73+(BR73=2)*BT73)</f>
        <v/>
      </c>
      <c r="Q73">
        <f>MAX(0,ROUND(N(N73)+N(O73)-N(P73),2))</f>
        <v/>
      </c>
      <c r="R73">
        <f>N(U72)</f>
        <v/>
      </c>
      <c r="S73">
        <f>IF(N(R73)&lt;=0.005,0,ROUND(N(R73)*N('Debt List'!E7)/12,2))</f>
        <v/>
      </c>
      <c r="T73">
        <f>IF(N(R73)&lt;=0.005,0,MIN(N('Debt List'!F7),N(R73)+N(S73)))+((AP73=3)*AR73+(AT73=3)*AV73+(AX73=3)*AZ73+(BB73=3)*BD73+(BF73=3)*BH73+(BJ73=3)*BL73+(BN73=3)*BP73+(BR73=3)*BT73)</f>
        <v/>
      </c>
      <c r="U73">
        <f>MAX(0,ROUND(N(R73)+N(S73)-N(T73),2))</f>
        <v/>
      </c>
      <c r="V73">
        <f>N(Y72)</f>
        <v/>
      </c>
      <c r="W73">
        <f>IF(N(V73)&lt;=0.005,0,ROUND(N(V73)*N('Debt List'!E8)/12,2))</f>
        <v/>
      </c>
      <c r="X73">
        <f>IF(N(V73)&lt;=0.005,0,MIN(N('Debt List'!F8),N(V73)+N(W73)))+((AP73=4)*AR73+(AT73=4)*AV73+(AX73=4)*AZ73+(BB73=4)*BD73+(BF73=4)*BH73+(BJ73=4)*BL73+(BN73=4)*BP73+(BR73=4)*BT73)</f>
        <v/>
      </c>
      <c r="Y73">
        <f>MAX(0,ROUND(N(V73)+N(W73)-N(X73),2))</f>
        <v/>
      </c>
      <c r="Z73">
        <f>N(AC72)</f>
        <v/>
      </c>
      <c r="AA73">
        <f>IF(N(Z73)&lt;=0.005,0,ROUND(N(Z73)*N('Debt List'!E9)/12,2))</f>
        <v/>
      </c>
      <c r="AB73">
        <f>IF(N(Z73)&lt;=0.005,0,MIN(N('Debt List'!F9),N(Z73)+N(AA73)))+((AP73=5)*AR73+(AT73=5)*AV73+(AX73=5)*AZ73+(BB73=5)*BD73+(BF73=5)*BH73+(BJ73=5)*BL73+(BN73=5)*BP73+(BR73=5)*BT73)</f>
        <v/>
      </c>
      <c r="AC73">
        <f>MAX(0,ROUND(N(Z73)+N(AA73)-N(AB73),2))</f>
        <v/>
      </c>
      <c r="AD73">
        <f>N(AG72)</f>
        <v/>
      </c>
      <c r="AE73">
        <f>IF(N(AD73)&lt;=0.005,0,ROUND(N(AD73)*N('Debt List'!E10)/12,2))</f>
        <v/>
      </c>
      <c r="AF73">
        <f>IF(N(AD73)&lt;=0.005,0,MIN(N('Debt List'!F10),N(AD73)+N(AE73)))+((AP73=6)*AR73+(AT73=6)*AV73+(AX73=6)*AZ73+(BB73=6)*BD73+(BF73=6)*BH73+(BJ73=6)*BL73+(BN73=6)*BP73+(BR73=6)*BT73)</f>
        <v/>
      </c>
      <c r="AG73">
        <f>MAX(0,ROUND(N(AD73)+N(AE73)-N(AF73),2))</f>
        <v/>
      </c>
      <c r="AH73">
        <f>N(AK72)</f>
        <v/>
      </c>
      <c r="AI73">
        <f>IF(N(AH73)&lt;=0.005,0,ROUND(N(AH73)*N('Debt List'!E11)/12,2))</f>
        <v/>
      </c>
      <c r="AJ73">
        <f>IF(N(AH73)&lt;=0.005,0,MIN(N('Debt List'!F11),N(AH73)+N(AI73)))+((AP73=7)*AR73+(AT73=7)*AV73+(AX73=7)*AZ73+(BB73=7)*BD73+(BF73=7)*BH73+(BJ73=7)*BL73+(BN73=7)*BP73+(BR73=7)*BT73)</f>
        <v/>
      </c>
      <c r="AK73">
        <f>MAX(0,ROUND(N(AH73)+N(AI73)-N(AJ73),2))</f>
        <v/>
      </c>
      <c r="AL73">
        <f>N(AO72)</f>
        <v/>
      </c>
      <c r="AM73">
        <f>IF(N(AL73)&lt;=0.005,0,ROUND(N(AL73)*N('Debt List'!E12)/12,2))</f>
        <v/>
      </c>
      <c r="AN73">
        <f>IF(N(AL73)&lt;=0.005,0,MIN(N('Debt List'!F12),N(AL73)+N(AM73)))+((AP73=8)*AR73+(AT73=8)*AV73+(AX73=8)*AZ73+(BB73=8)*BD73+(BF73=8)*BH73+(BJ73=8)*BL73+(BN73=8)*BP73+(BR73=8)*BT73)</f>
        <v/>
      </c>
      <c r="AO73">
        <f>MAX(0,ROUND(N(AL73)+N(AM73)-N(AN73),2))</f>
        <v/>
      </c>
      <c r="AP73">
        <f>IFERROR(MATCH(1,OrderPlan,0),"")</f>
        <v/>
      </c>
      <c r="AQ73">
        <f>IF(AP73="",0,IFERROR(IF(N(CHOOSE(AP73,J73,N73,R73,V73,Z73,AD73,AH73,AL73))&lt;=0.005,0,MAX(0,N(CHOOSE(AP73,J73,N73,R73,V73,Z73,AD73,AH73,AL73))+N(CHOOSE(AP73,K73,O73,S73,W73,AA73,AE73,AI73,AM73))-MIN(N(CHOOSE(AP73,'Debt List'!$F$5,'Debt List'!$F$6,'Debt List'!$F$7,'Debt List'!$F$8,'Debt List'!$F$9,'Debt List'!$F$10,'Debt List'!$F$11,'Debt List'!$F$12)),N(CHOOSE(AP73,J73,N73,R73,V73,Z73,AD73,AH73,AL73))+N(CHOOSE(AP73,K73,O73,S73,W73,AA73,AE73,AI73,AM73))))),0))</f>
        <v/>
      </c>
      <c r="AR73">
        <f>MIN(N(AQ73),MAX(0,N(ExtraPayment)))</f>
        <v/>
      </c>
      <c r="AS73">
        <f>MAX(0,N(ExtraPayment)-N(AR73))</f>
        <v/>
      </c>
      <c r="AT73">
        <f>IFERROR(MATCH(2,OrderPlan,0),"")</f>
        <v/>
      </c>
      <c r="AU73">
        <f>IF(AT73="",0,IFERROR(IF(N(CHOOSE(AT73,J73,N73,R73,V73,Z73,AD73,AH73,AL73))&lt;=0.005,0,MAX(0,N(CHOOSE(AT73,J73,N73,R73,V73,Z73,AD73,AH73,AL73))+N(CHOOSE(AT73,K73,O73,S73,W73,AA73,AE73,AI73,AM73))-MIN(N(CHOOSE(AT73,'Debt List'!$F$5,'Debt List'!$F$6,'Debt List'!$F$7,'Debt List'!$F$8,'Debt List'!$F$9,'Debt List'!$F$10,'Debt List'!$F$11,'Debt List'!$F$12)),N(CHOOSE(AT73,J73,N73,R73,V73,Z73,AD73,AH73,AL73))+N(CHOOSE(AT73,K73,O73,S73,W73,AA73,AE73,AI73,AM73))))),0))</f>
        <v/>
      </c>
      <c r="AV73">
        <f>MIN(N(AU73),MAX(0,N(AS73)))</f>
        <v/>
      </c>
      <c r="AW73">
        <f>MAX(0,N(AS73)-N(AV73))</f>
        <v/>
      </c>
      <c r="AX73">
        <f>IFERROR(MATCH(3,OrderPlan,0),"")</f>
        <v/>
      </c>
      <c r="AY73">
        <f>IF(AX73="",0,IFERROR(IF(N(CHOOSE(AX73,J73,N73,R73,V73,Z73,AD73,AH73,AL73))&lt;=0.005,0,MAX(0,N(CHOOSE(AX73,J73,N73,R73,V73,Z73,AD73,AH73,AL73))+N(CHOOSE(AX73,K73,O73,S73,W73,AA73,AE73,AI73,AM73))-MIN(N(CHOOSE(AX73,'Debt List'!$F$5,'Debt List'!$F$6,'Debt List'!$F$7,'Debt List'!$F$8,'Debt List'!$F$9,'Debt List'!$F$10,'Debt List'!$F$11,'Debt List'!$F$12)),N(CHOOSE(AX73,J73,N73,R73,V73,Z73,AD73,AH73,AL73))+N(CHOOSE(AX73,K73,O73,S73,W73,AA73,AE73,AI73,AM73))))),0))</f>
        <v/>
      </c>
      <c r="AZ73">
        <f>MIN(N(AY73),MAX(0,N(AW73)))</f>
        <v/>
      </c>
      <c r="BA73">
        <f>MAX(0,N(AW73)-N(AZ73))</f>
        <v/>
      </c>
      <c r="BB73">
        <f>IFERROR(MATCH(4,OrderPlan,0),"")</f>
        <v/>
      </c>
      <c r="BC73">
        <f>IF(BB73="",0,IFERROR(IF(N(CHOOSE(BB73,J73,N73,R73,V73,Z73,AD73,AH73,AL73))&lt;=0.005,0,MAX(0,N(CHOOSE(BB73,J73,N73,R73,V73,Z73,AD73,AH73,AL73))+N(CHOOSE(BB73,K73,O73,S73,W73,AA73,AE73,AI73,AM73))-MIN(N(CHOOSE(BB73,'Debt List'!$F$5,'Debt List'!$F$6,'Debt List'!$F$7,'Debt List'!$F$8,'Debt List'!$F$9,'Debt List'!$F$10,'Debt List'!$F$11,'Debt List'!$F$12)),N(CHOOSE(BB73,J73,N73,R73,V73,Z73,AD73,AH73,AL73))+N(CHOOSE(BB73,K73,O73,S73,W73,AA73,AE73,AI73,AM73))))),0))</f>
        <v/>
      </c>
      <c r="BD73">
        <f>MIN(N(BC73),MAX(0,N(BA73)))</f>
        <v/>
      </c>
      <c r="BE73">
        <f>MAX(0,N(BA73)-N(BD73))</f>
        <v/>
      </c>
      <c r="BF73">
        <f>IFERROR(MATCH(5,OrderPlan,0),"")</f>
        <v/>
      </c>
      <c r="BG73">
        <f>IF(BF73="",0,IFERROR(IF(N(CHOOSE(BF73,J73,N73,R73,V73,Z73,AD73,AH73,AL73))&lt;=0.005,0,MAX(0,N(CHOOSE(BF73,J73,N73,R73,V73,Z73,AD73,AH73,AL73))+N(CHOOSE(BF73,K73,O73,S73,W73,AA73,AE73,AI73,AM73))-MIN(N(CHOOSE(BF73,'Debt List'!$F$5,'Debt List'!$F$6,'Debt List'!$F$7,'Debt List'!$F$8,'Debt List'!$F$9,'Debt List'!$F$10,'Debt List'!$F$11,'Debt List'!$F$12)),N(CHOOSE(BF73,J73,N73,R73,V73,Z73,AD73,AH73,AL73))+N(CHOOSE(BF73,K73,O73,S73,W73,AA73,AE73,AI73,AM73))))),0))</f>
        <v/>
      </c>
      <c r="BH73">
        <f>MIN(N(BG73),MAX(0,N(BE73)))</f>
        <v/>
      </c>
      <c r="BI73">
        <f>MAX(0,N(BE73)-N(BH73))</f>
        <v/>
      </c>
      <c r="BJ73">
        <f>IFERROR(MATCH(6,OrderPlan,0),"")</f>
        <v/>
      </c>
      <c r="BK73">
        <f>IF(BJ73="",0,IFERROR(IF(N(CHOOSE(BJ73,J73,N73,R73,V73,Z73,AD73,AH73,AL73))&lt;=0.005,0,MAX(0,N(CHOOSE(BJ73,J73,N73,R73,V73,Z73,AD73,AH73,AL73))+N(CHOOSE(BJ73,K73,O73,S73,W73,AA73,AE73,AI73,AM73))-MIN(N(CHOOSE(BJ73,'Debt List'!$F$5,'Debt List'!$F$6,'Debt List'!$F$7,'Debt List'!$F$8,'Debt List'!$F$9,'Debt List'!$F$10,'Debt List'!$F$11,'Debt List'!$F$12)),N(CHOOSE(BJ73,J73,N73,R73,V73,Z73,AD73,AH73,AL73))+N(CHOOSE(BJ73,K73,O73,S73,W73,AA73,AE73,AI73,AM73))))),0))</f>
        <v/>
      </c>
      <c r="BL73">
        <f>MIN(N(BK73),MAX(0,N(BI73)))</f>
        <v/>
      </c>
      <c r="BM73">
        <f>MAX(0,N(BI73)-N(BL73))</f>
        <v/>
      </c>
      <c r="BN73">
        <f>IFERROR(MATCH(7,OrderPlan,0),"")</f>
        <v/>
      </c>
      <c r="BO73">
        <f>IF(BN73="",0,IFERROR(IF(N(CHOOSE(BN73,J73,N73,R73,V73,Z73,AD73,AH73,AL73))&lt;=0.005,0,MAX(0,N(CHOOSE(BN73,J73,N73,R73,V73,Z73,AD73,AH73,AL73))+N(CHOOSE(BN73,K73,O73,S73,W73,AA73,AE73,AI73,AM73))-MIN(N(CHOOSE(BN73,'Debt List'!$F$5,'Debt List'!$F$6,'Debt List'!$F$7,'Debt List'!$F$8,'Debt List'!$F$9,'Debt List'!$F$10,'Debt List'!$F$11,'Debt List'!$F$12)),N(CHOOSE(BN73,J73,N73,R73,V73,Z73,AD73,AH73,AL73))+N(CHOOSE(BN73,K73,O73,S73,W73,AA73,AE73,AI73,AM73))))),0))</f>
        <v/>
      </c>
      <c r="BP73">
        <f>MIN(N(BO73),MAX(0,N(BM73)))</f>
        <v/>
      </c>
      <c r="BQ73">
        <f>MAX(0,N(BM73)-N(BP73))</f>
        <v/>
      </c>
      <c r="BR73">
        <f>IFERROR(MATCH(8,OrderPlan,0),"")</f>
        <v/>
      </c>
      <c r="BS73">
        <f>IF(BR73="",0,IFERROR(IF(N(CHOOSE(BR73,J73,N73,R73,V73,Z73,AD73,AH73,AL73))&lt;=0.005,0,MAX(0,N(CHOOSE(BR73,J73,N73,R73,V73,Z73,AD73,AH73,AL73))+N(CHOOSE(BR73,K73,O73,S73,W73,AA73,AE73,AI73,AM73))-MIN(N(CHOOSE(BR73,'Debt List'!$F$5,'Debt List'!$F$6,'Debt List'!$F$7,'Debt List'!$F$8,'Debt List'!$F$9,'Debt List'!$F$10,'Debt List'!$F$11,'Debt List'!$F$12)),N(CHOOSE(BR73,J73,N73,R73,V73,Z73,AD73,AH73,AL73))+N(CHOOSE(BR73,K73,O73,S73,W73,AA73,AE73,AI73,AM73))))),0))</f>
        <v/>
      </c>
      <c r="BT73">
        <f>MIN(N(BS73),MAX(0,N(BQ73)))</f>
        <v/>
      </c>
      <c r="BU73">
        <f>MAX(0,N(BQ73)-N(BT73))</f>
        <v/>
      </c>
      <c r="CC73" t="n">
        <v>69</v>
      </c>
      <c r="CD73" s="115">
        <f>DATE(YEAR(PlanStart),MONTH(PlanStart)+CC73-1,1)</f>
        <v/>
      </c>
      <c r="CE73">
        <f>IF(AND(DR73&lt;&gt;"",N(CHOOSE(DR73,CL73,CP73,CT73,CX73,DB73,DF73,DJ73,DN73))&gt;0.005),INDEX(DebtNames,DR73),IF(AND(DV73&lt;&gt;"",N(CHOOSE(DV73,CL73,CP73,CT73,CX73,DB73,DF73,DJ73,DN73))&gt;0.005),INDEX(DebtNames,DV73),IF(AND(DZ73&lt;&gt;"",N(CHOOSE(DZ73,CL73,CP73,CT73,CX73,DB73,DF73,DJ73,DN73))&gt;0.005),INDEX(DebtNames,DZ73),IF(AND(ED73&lt;&gt;"",N(CHOOSE(ED73,CL73,CP73,CT73,CX73,DB73,DF73,DJ73,DN73))&gt;0.005),INDEX(DebtNames,ED73),IF(AND(EH73&lt;&gt;"",N(CHOOSE(EH73,CL73,CP73,CT73,CX73,DB73,DF73,DJ73,DN73))&gt;0.005),INDEX(DebtNames,EH73),IF(AND(EL73&lt;&gt;"",N(CHOOSE(EL73,CL73,CP73,CT73,CX73,DB73,DF73,DJ73,DN73))&gt;0.005),INDEX(DebtNames,EL73),IF(AND(EP73&lt;&gt;"",N(CHOOSE(EP73,CL73,CP73,CT73,CX73,DB73,DF73,DJ73,DN73))&gt;0.005),INDEX(DebtNames,EP73),IF(AND(ET73&lt;&gt;"",N(CHOOSE(ET73,CL73,CP73,CT73,CX73,DB73,DF73,DJ73,DN73))&gt;0.005),INDEX(DebtNames,ET73),""))))))))</f>
        <v/>
      </c>
      <c r="CF73">
        <f>N(EW73)</f>
        <v/>
      </c>
      <c r="CG73">
        <f>N(CN73)+N(CR73)+N(CV73)+N(CZ73)+N(DD73)+N(DH73)+N(DL73)+N(DP73)</f>
        <v/>
      </c>
      <c r="CH73">
        <f>N(CM73)+N(CQ73)+N(CU73)+N(CY73)+N(DC73)+N(DG73)+N(DK73)+N(DO73)</f>
        <v/>
      </c>
      <c r="CI73">
        <f>N(CI72)+N(CH73)</f>
        <v/>
      </c>
      <c r="CJ73">
        <f>N(CO73)+N(CS73)+N(CW73)+N(DA73)+N(DE73)+N(DI73)+N(DM73)+N(DQ73)</f>
        <v/>
      </c>
      <c r="CK73">
        <f>(CO73&gt;0.005)*1+(CS73&gt;0.005)*1+(CW73&gt;0.005)*1+(DA73&gt;0.005)*1+(DE73&gt;0.005)*1+(DI73&gt;0.005)*1+(DM73&gt;0.005)*1+(DQ73&gt;0.005)*1</f>
        <v/>
      </c>
      <c r="CL73">
        <f>N(CO72)</f>
        <v/>
      </c>
      <c r="CM73">
        <f>IF(N(CL73)&lt;=0.005,0,ROUND(N(CL73)*N('Debt List'!E5)/12,2))</f>
        <v/>
      </c>
      <c r="CN73">
        <f>IF(N(CL73)&lt;=0.005,0,MIN(N('Debt List'!F5),N(CL73)+N(CM73)))+((DR73=1)*DT73+(DV73=1)*DX73+(DZ73=1)*EB73+(ED73=1)*EF73+(EH73=1)*EJ73+(EL73=1)*EN73+(EP73=1)*ER73+(ET73=1)*EV73)</f>
        <v/>
      </c>
      <c r="CO73">
        <f>MAX(0,ROUND(N(CL73)+N(CM73)-N(CN73),2))</f>
        <v/>
      </c>
      <c r="CP73">
        <f>N(CS72)</f>
        <v/>
      </c>
      <c r="CQ73">
        <f>IF(N(CP73)&lt;=0.005,0,ROUND(N(CP73)*N('Debt List'!E6)/12,2))</f>
        <v/>
      </c>
      <c r="CR73">
        <f>IF(N(CP73)&lt;=0.005,0,MIN(N('Debt List'!F6),N(CP73)+N(CQ73)))+((DR73=2)*DT73+(DV73=2)*DX73+(DZ73=2)*EB73+(ED73=2)*EF73+(EH73=2)*EJ73+(EL73=2)*EN73+(EP73=2)*ER73+(ET73=2)*EV73)</f>
        <v/>
      </c>
      <c r="CS73">
        <f>MAX(0,ROUND(N(CP73)+N(CQ73)-N(CR73),2))</f>
        <v/>
      </c>
      <c r="CT73">
        <f>N(CW72)</f>
        <v/>
      </c>
      <c r="CU73">
        <f>IF(N(CT73)&lt;=0.005,0,ROUND(N(CT73)*N('Debt List'!E7)/12,2))</f>
        <v/>
      </c>
      <c r="CV73">
        <f>IF(N(CT73)&lt;=0.005,0,MIN(N('Debt List'!F7),N(CT73)+N(CU73)))+((DR73=3)*DT73+(DV73=3)*DX73+(DZ73=3)*EB73+(ED73=3)*EF73+(EH73=3)*EJ73+(EL73=3)*EN73+(EP73=3)*ER73+(ET73=3)*EV73)</f>
        <v/>
      </c>
      <c r="CW73">
        <f>MAX(0,ROUND(N(CT73)+N(CU73)-N(CV73),2))</f>
        <v/>
      </c>
      <c r="CX73">
        <f>N(DA72)</f>
        <v/>
      </c>
      <c r="CY73">
        <f>IF(N(CX73)&lt;=0.005,0,ROUND(N(CX73)*N('Debt List'!E8)/12,2))</f>
        <v/>
      </c>
      <c r="CZ73">
        <f>IF(N(CX73)&lt;=0.005,0,MIN(N('Debt List'!F8),N(CX73)+N(CY73)))+((DR73=4)*DT73+(DV73=4)*DX73+(DZ73=4)*EB73+(ED73=4)*EF73+(EH73=4)*EJ73+(EL73=4)*EN73+(EP73=4)*ER73+(ET73=4)*EV73)</f>
        <v/>
      </c>
      <c r="DA73">
        <f>MAX(0,ROUND(N(CX73)+N(CY73)-N(CZ73),2))</f>
        <v/>
      </c>
      <c r="DB73">
        <f>N(DE72)</f>
        <v/>
      </c>
      <c r="DC73">
        <f>IF(N(DB73)&lt;=0.005,0,ROUND(N(DB73)*N('Debt List'!E9)/12,2))</f>
        <v/>
      </c>
      <c r="DD73">
        <f>IF(N(DB73)&lt;=0.005,0,MIN(N('Debt List'!F9),N(DB73)+N(DC73)))+((DR73=5)*DT73+(DV73=5)*DX73+(DZ73=5)*EB73+(ED73=5)*EF73+(EH73=5)*EJ73+(EL73=5)*EN73+(EP73=5)*ER73+(ET73=5)*EV73)</f>
        <v/>
      </c>
      <c r="DE73">
        <f>MAX(0,ROUND(N(DB73)+N(DC73)-N(DD73),2))</f>
        <v/>
      </c>
      <c r="DF73">
        <f>N(DI72)</f>
        <v/>
      </c>
      <c r="DG73">
        <f>IF(N(DF73)&lt;=0.005,0,ROUND(N(DF73)*N('Debt List'!E10)/12,2))</f>
        <v/>
      </c>
      <c r="DH73">
        <f>IF(N(DF73)&lt;=0.005,0,MIN(N('Debt List'!F10),N(DF73)+N(DG73)))+((DR73=6)*DT73+(DV73=6)*DX73+(DZ73=6)*EB73+(ED73=6)*EF73+(EH73=6)*EJ73+(EL73=6)*EN73+(EP73=6)*ER73+(ET73=6)*EV73)</f>
        <v/>
      </c>
      <c r="DI73">
        <f>MAX(0,ROUND(N(DF73)+N(DG73)-N(DH73),2))</f>
        <v/>
      </c>
      <c r="DJ73">
        <f>N(DM72)</f>
        <v/>
      </c>
      <c r="DK73">
        <f>IF(N(DJ73)&lt;=0.005,0,ROUND(N(DJ73)*N('Debt List'!E11)/12,2))</f>
        <v/>
      </c>
      <c r="DL73">
        <f>IF(N(DJ73)&lt;=0.005,0,MIN(N('Debt List'!F11),N(DJ73)+N(DK73)))+((DR73=7)*DT73+(DV73=7)*DX73+(DZ73=7)*EB73+(ED73=7)*EF73+(EH73=7)*EJ73+(EL73=7)*EN73+(EP73=7)*ER73+(ET73=7)*EV73)</f>
        <v/>
      </c>
      <c r="DM73">
        <f>MAX(0,ROUND(N(DJ73)+N(DK73)-N(DL73),2))</f>
        <v/>
      </c>
      <c r="DN73">
        <f>N(DQ72)</f>
        <v/>
      </c>
      <c r="DO73">
        <f>IF(N(DN73)&lt;=0.005,0,ROUND(N(DN73)*N('Debt List'!E12)/12,2))</f>
        <v/>
      </c>
      <c r="DP73">
        <f>IF(N(DN73)&lt;=0.005,0,MIN(N('Debt List'!F12),N(DN73)+N(DO73)))+((DR73=8)*DT73+(DV73=8)*DX73+(DZ73=8)*EB73+(ED73=8)*EF73+(EH73=8)*EJ73+(EL73=8)*EN73+(EP73=8)*ER73+(ET73=8)*EV73)</f>
        <v/>
      </c>
      <c r="DQ73">
        <f>MAX(0,ROUND(N(DN73)+N(DO73)-N(DP73),2))</f>
        <v/>
      </c>
      <c r="DR73">
        <f>IFERROR(MATCH(1,OrderSnow,0),"")</f>
        <v/>
      </c>
      <c r="DS73">
        <f>IF(DR73="",0,IFERROR(IF(N(CHOOSE(DR73,CL73,CP73,CT73,CX73,DB73,DF73,DJ73,DN73))&lt;=0.005,0,MAX(0,N(CHOOSE(DR73,CL73,CP73,CT73,CX73,DB73,DF73,DJ73,DN73))+N(CHOOSE(DR73,CM73,CQ73,CU73,CY73,DC73,DG73,DK73,DO73))-MIN(N(CHOOSE(DR73,'Debt List'!$F$5,'Debt List'!$F$6,'Debt List'!$F$7,'Debt List'!$F$8,'Debt List'!$F$9,'Debt List'!$F$10,'Debt List'!$F$11,'Debt List'!$F$12)),N(CHOOSE(DR73,CL73,CP73,CT73,CX73,DB73,DF73,DJ73,DN73))+N(CHOOSE(DR73,CM73,CQ73,CU73,CY73,DC73,DG73,DK73,DO73))))),0))</f>
        <v/>
      </c>
      <c r="DT73">
        <f>MIN(N(DS73),MAX(0,N(ExtraPayment)))</f>
        <v/>
      </c>
      <c r="DU73">
        <f>MAX(0,N(ExtraPayment)-N(DT73))</f>
        <v/>
      </c>
      <c r="DV73">
        <f>IFERROR(MATCH(2,OrderSnow,0),"")</f>
        <v/>
      </c>
      <c r="DW73">
        <f>IF(DV73="",0,IFERROR(IF(N(CHOOSE(DV73,CL73,CP73,CT73,CX73,DB73,DF73,DJ73,DN73))&lt;=0.005,0,MAX(0,N(CHOOSE(DV73,CL73,CP73,CT73,CX73,DB73,DF73,DJ73,DN73))+N(CHOOSE(DV73,CM73,CQ73,CU73,CY73,DC73,DG73,DK73,DO73))-MIN(N(CHOOSE(DV73,'Debt List'!$F$5,'Debt List'!$F$6,'Debt List'!$F$7,'Debt List'!$F$8,'Debt List'!$F$9,'Debt List'!$F$10,'Debt List'!$F$11,'Debt List'!$F$12)),N(CHOOSE(DV73,CL73,CP73,CT73,CX73,DB73,DF73,DJ73,DN73))+N(CHOOSE(DV73,CM73,CQ73,CU73,CY73,DC73,DG73,DK73,DO73))))),0))</f>
        <v/>
      </c>
      <c r="DX73">
        <f>MIN(N(DW73),MAX(0,N(DU73)))</f>
        <v/>
      </c>
      <c r="DY73">
        <f>MAX(0,N(DU73)-N(DX73))</f>
        <v/>
      </c>
      <c r="DZ73">
        <f>IFERROR(MATCH(3,OrderSnow,0),"")</f>
        <v/>
      </c>
      <c r="EA73">
        <f>IF(DZ73="",0,IFERROR(IF(N(CHOOSE(DZ73,CL73,CP73,CT73,CX73,DB73,DF73,DJ73,DN73))&lt;=0.005,0,MAX(0,N(CHOOSE(DZ73,CL73,CP73,CT73,CX73,DB73,DF73,DJ73,DN73))+N(CHOOSE(DZ73,CM73,CQ73,CU73,CY73,DC73,DG73,DK73,DO73))-MIN(N(CHOOSE(DZ73,'Debt List'!$F$5,'Debt List'!$F$6,'Debt List'!$F$7,'Debt List'!$F$8,'Debt List'!$F$9,'Debt List'!$F$10,'Debt List'!$F$11,'Debt List'!$F$12)),N(CHOOSE(DZ73,CL73,CP73,CT73,CX73,DB73,DF73,DJ73,DN73))+N(CHOOSE(DZ73,CM73,CQ73,CU73,CY73,DC73,DG73,DK73,DO73))))),0))</f>
        <v/>
      </c>
      <c r="EB73">
        <f>MIN(N(EA73),MAX(0,N(DY73)))</f>
        <v/>
      </c>
      <c r="EC73">
        <f>MAX(0,N(DY73)-N(EB73))</f>
        <v/>
      </c>
      <c r="ED73">
        <f>IFERROR(MATCH(4,OrderSnow,0),"")</f>
        <v/>
      </c>
      <c r="EE73">
        <f>IF(ED73="",0,IFERROR(IF(N(CHOOSE(ED73,CL73,CP73,CT73,CX73,DB73,DF73,DJ73,DN73))&lt;=0.005,0,MAX(0,N(CHOOSE(ED73,CL73,CP73,CT73,CX73,DB73,DF73,DJ73,DN73))+N(CHOOSE(ED73,CM73,CQ73,CU73,CY73,DC73,DG73,DK73,DO73))-MIN(N(CHOOSE(ED73,'Debt List'!$F$5,'Debt List'!$F$6,'Debt List'!$F$7,'Debt List'!$F$8,'Debt List'!$F$9,'Debt List'!$F$10,'Debt List'!$F$11,'Debt List'!$F$12)),N(CHOOSE(ED73,CL73,CP73,CT73,CX73,DB73,DF73,DJ73,DN73))+N(CHOOSE(ED73,CM73,CQ73,CU73,CY73,DC73,DG73,DK73,DO73))))),0))</f>
        <v/>
      </c>
      <c r="EF73">
        <f>MIN(N(EE73),MAX(0,N(EC73)))</f>
        <v/>
      </c>
      <c r="EG73">
        <f>MAX(0,N(EC73)-N(EF73))</f>
        <v/>
      </c>
      <c r="EH73">
        <f>IFERROR(MATCH(5,OrderSnow,0),"")</f>
        <v/>
      </c>
      <c r="EI73">
        <f>IF(EH73="",0,IFERROR(IF(N(CHOOSE(EH73,CL73,CP73,CT73,CX73,DB73,DF73,DJ73,DN73))&lt;=0.005,0,MAX(0,N(CHOOSE(EH73,CL73,CP73,CT73,CX73,DB73,DF73,DJ73,DN73))+N(CHOOSE(EH73,CM73,CQ73,CU73,CY73,DC73,DG73,DK73,DO73))-MIN(N(CHOOSE(EH73,'Debt List'!$F$5,'Debt List'!$F$6,'Debt List'!$F$7,'Debt List'!$F$8,'Debt List'!$F$9,'Debt List'!$F$10,'Debt List'!$F$11,'Debt List'!$F$12)),N(CHOOSE(EH73,CL73,CP73,CT73,CX73,DB73,DF73,DJ73,DN73))+N(CHOOSE(EH73,CM73,CQ73,CU73,CY73,DC73,DG73,DK73,DO73))))),0))</f>
        <v/>
      </c>
      <c r="EJ73">
        <f>MIN(N(EI73),MAX(0,N(EG73)))</f>
        <v/>
      </c>
      <c r="EK73">
        <f>MAX(0,N(EG73)-N(EJ73))</f>
        <v/>
      </c>
      <c r="EL73">
        <f>IFERROR(MATCH(6,OrderSnow,0),"")</f>
        <v/>
      </c>
      <c r="EM73">
        <f>IF(EL73="",0,IFERROR(IF(N(CHOOSE(EL73,CL73,CP73,CT73,CX73,DB73,DF73,DJ73,DN73))&lt;=0.005,0,MAX(0,N(CHOOSE(EL73,CL73,CP73,CT73,CX73,DB73,DF73,DJ73,DN73))+N(CHOOSE(EL73,CM73,CQ73,CU73,CY73,DC73,DG73,DK73,DO73))-MIN(N(CHOOSE(EL73,'Debt List'!$F$5,'Debt List'!$F$6,'Debt List'!$F$7,'Debt List'!$F$8,'Debt List'!$F$9,'Debt List'!$F$10,'Debt List'!$F$11,'Debt List'!$F$12)),N(CHOOSE(EL73,CL73,CP73,CT73,CX73,DB73,DF73,DJ73,DN73))+N(CHOOSE(EL73,CM73,CQ73,CU73,CY73,DC73,DG73,DK73,DO73))))),0))</f>
        <v/>
      </c>
      <c r="EN73">
        <f>MIN(N(EM73),MAX(0,N(EK73)))</f>
        <v/>
      </c>
      <c r="EO73">
        <f>MAX(0,N(EK73)-N(EN73))</f>
        <v/>
      </c>
      <c r="EP73">
        <f>IFERROR(MATCH(7,OrderSnow,0),"")</f>
        <v/>
      </c>
      <c r="EQ73">
        <f>IF(EP73="",0,IFERROR(IF(N(CHOOSE(EP73,CL73,CP73,CT73,CX73,DB73,DF73,DJ73,DN73))&lt;=0.005,0,MAX(0,N(CHOOSE(EP73,CL73,CP73,CT73,CX73,DB73,DF73,DJ73,DN73))+N(CHOOSE(EP73,CM73,CQ73,CU73,CY73,DC73,DG73,DK73,DO73))-MIN(N(CHOOSE(EP73,'Debt List'!$F$5,'Debt List'!$F$6,'Debt List'!$F$7,'Debt List'!$F$8,'Debt List'!$F$9,'Debt List'!$F$10,'Debt List'!$F$11,'Debt List'!$F$12)),N(CHOOSE(EP73,CL73,CP73,CT73,CX73,DB73,DF73,DJ73,DN73))+N(CHOOSE(EP73,CM73,CQ73,CU73,CY73,DC73,DG73,DK73,DO73))))),0))</f>
        <v/>
      </c>
      <c r="ER73">
        <f>MIN(N(EQ73),MAX(0,N(EO73)))</f>
        <v/>
      </c>
      <c r="ES73">
        <f>MAX(0,N(EO73)-N(ER73))</f>
        <v/>
      </c>
      <c r="ET73">
        <f>IFERROR(MATCH(8,OrderSnow,0),"")</f>
        <v/>
      </c>
      <c r="EU73">
        <f>IF(ET73="",0,IFERROR(IF(N(CHOOSE(ET73,CL73,CP73,CT73,CX73,DB73,DF73,DJ73,DN73))&lt;=0.005,0,MAX(0,N(CHOOSE(ET73,CL73,CP73,CT73,CX73,DB73,DF73,DJ73,DN73))+N(CHOOSE(ET73,CM73,CQ73,CU73,CY73,DC73,DG73,DK73,DO73))-MIN(N(CHOOSE(ET73,'Debt List'!$F$5,'Debt List'!$F$6,'Debt List'!$F$7,'Debt List'!$F$8,'Debt List'!$F$9,'Debt List'!$F$10,'Debt List'!$F$11,'Debt List'!$F$12)),N(CHOOSE(ET73,CL73,CP73,CT73,CX73,DB73,DF73,DJ73,DN73))+N(CHOOSE(ET73,CM73,CQ73,CU73,CY73,DC73,DG73,DK73,DO73))))),0))</f>
        <v/>
      </c>
      <c r="EV73">
        <f>MIN(N(EU73),MAX(0,N(ES73)))</f>
        <v/>
      </c>
      <c r="EW73">
        <f>MAX(0,N(ES73)-N(EV73))</f>
        <v/>
      </c>
      <c r="FE73" t="n">
        <v>69</v>
      </c>
      <c r="FF73" s="115">
        <f>DATE(YEAR(PlanStart),MONTH(PlanStart)+FE73-1,1)</f>
        <v/>
      </c>
      <c r="FG73">
        <f>IF(AND(GT73&lt;&gt;"",N(CHOOSE(GT73,FN73,FR73,FV73,FZ73,GD73,GH73,GL73,GP73))&gt;0.005),INDEX(DebtNames,GT73),IF(AND(GX73&lt;&gt;"",N(CHOOSE(GX73,FN73,FR73,FV73,FZ73,GD73,GH73,GL73,GP73))&gt;0.005),INDEX(DebtNames,GX73),IF(AND(HB73&lt;&gt;"",N(CHOOSE(HB73,FN73,FR73,FV73,FZ73,GD73,GH73,GL73,GP73))&gt;0.005),INDEX(DebtNames,HB73),IF(AND(HF73&lt;&gt;"",N(CHOOSE(HF73,FN73,FR73,FV73,FZ73,GD73,GH73,GL73,GP73))&gt;0.005),INDEX(DebtNames,HF73),IF(AND(HJ73&lt;&gt;"",N(CHOOSE(HJ73,FN73,FR73,FV73,FZ73,GD73,GH73,GL73,GP73))&gt;0.005),INDEX(DebtNames,HJ73),IF(AND(HN73&lt;&gt;"",N(CHOOSE(HN73,FN73,FR73,FV73,FZ73,GD73,GH73,GL73,GP73))&gt;0.005),INDEX(DebtNames,HN73),IF(AND(HR73&lt;&gt;"",N(CHOOSE(HR73,FN73,FR73,FV73,FZ73,GD73,GH73,GL73,GP73))&gt;0.005),INDEX(DebtNames,HR73),IF(AND(HV73&lt;&gt;"",N(CHOOSE(HV73,FN73,FR73,FV73,FZ73,GD73,GH73,GL73,GP73))&gt;0.005),INDEX(DebtNames,HV73),""))))))))</f>
        <v/>
      </c>
      <c r="FH73">
        <f>N(HY73)</f>
        <v/>
      </c>
      <c r="FI73">
        <f>N(FP73)+N(FT73)+N(FX73)+N(GB73)+N(GF73)+N(GJ73)+N(GN73)+N(GR73)</f>
        <v/>
      </c>
      <c r="FJ73">
        <f>N(FO73)+N(FS73)+N(FW73)+N(GA73)+N(GE73)+N(GI73)+N(GM73)+N(GQ73)</f>
        <v/>
      </c>
      <c r="FK73">
        <f>N(FK72)+N(FJ73)</f>
        <v/>
      </c>
      <c r="FL73">
        <f>N(FQ73)+N(FU73)+N(FY73)+N(GC73)+N(GG73)+N(GK73)+N(GO73)+N(GS73)</f>
        <v/>
      </c>
      <c r="FM73">
        <f>(FQ73&gt;0.005)*1+(FU73&gt;0.005)*1+(FY73&gt;0.005)*1+(GC73&gt;0.005)*1+(GG73&gt;0.005)*1+(GK73&gt;0.005)*1+(GO73&gt;0.005)*1+(GS73&gt;0.005)*1</f>
        <v/>
      </c>
      <c r="FN73">
        <f>N(FQ72)</f>
        <v/>
      </c>
      <c r="FO73">
        <f>IF(N(FN73)&lt;=0.005,0,ROUND(N(FN73)*N('Debt List'!E5)/12,2))</f>
        <v/>
      </c>
      <c r="FP73">
        <f>IF(N(FN73)&lt;=0.005,0,MIN(N('Debt List'!F5),N(FN73)+N(FO73)))+((GT73=1)*GV73+(GX73=1)*GZ73+(HB73=1)*HD73+(HF73=1)*HH73+(HJ73=1)*HL73+(HN73=1)*HP73+(HR73=1)*HT73+(HV73=1)*HX73)</f>
        <v/>
      </c>
      <c r="FQ73">
        <f>MAX(0,ROUND(N(FN73)+N(FO73)-N(FP73),2))</f>
        <v/>
      </c>
      <c r="FR73">
        <f>N(FU72)</f>
        <v/>
      </c>
      <c r="FS73">
        <f>IF(N(FR73)&lt;=0.005,0,ROUND(N(FR73)*N('Debt List'!E6)/12,2))</f>
        <v/>
      </c>
      <c r="FT73">
        <f>IF(N(FR73)&lt;=0.005,0,MIN(N('Debt List'!F6),N(FR73)+N(FS73)))+((GT73=2)*GV73+(GX73=2)*GZ73+(HB73=2)*HD73+(HF73=2)*HH73+(HJ73=2)*HL73+(HN73=2)*HP73+(HR73=2)*HT73+(HV73=2)*HX73)</f>
        <v/>
      </c>
      <c r="FU73">
        <f>MAX(0,ROUND(N(FR73)+N(FS73)-N(FT73),2))</f>
        <v/>
      </c>
      <c r="FV73">
        <f>N(FY72)</f>
        <v/>
      </c>
      <c r="FW73">
        <f>IF(N(FV73)&lt;=0.005,0,ROUND(N(FV73)*N('Debt List'!E7)/12,2))</f>
        <v/>
      </c>
      <c r="FX73">
        <f>IF(N(FV73)&lt;=0.005,0,MIN(N('Debt List'!F7),N(FV73)+N(FW73)))+((GT73=3)*GV73+(GX73=3)*GZ73+(HB73=3)*HD73+(HF73=3)*HH73+(HJ73=3)*HL73+(HN73=3)*HP73+(HR73=3)*HT73+(HV73=3)*HX73)</f>
        <v/>
      </c>
      <c r="FY73">
        <f>MAX(0,ROUND(N(FV73)+N(FW73)-N(FX73),2))</f>
        <v/>
      </c>
      <c r="FZ73">
        <f>N(GC72)</f>
        <v/>
      </c>
      <c r="GA73">
        <f>IF(N(FZ73)&lt;=0.005,0,ROUND(N(FZ73)*N('Debt List'!E8)/12,2))</f>
        <v/>
      </c>
      <c r="GB73">
        <f>IF(N(FZ73)&lt;=0.005,0,MIN(N('Debt List'!F8),N(FZ73)+N(GA73)))+((GT73=4)*GV73+(GX73=4)*GZ73+(HB73=4)*HD73+(HF73=4)*HH73+(HJ73=4)*HL73+(HN73=4)*HP73+(HR73=4)*HT73+(HV73=4)*HX73)</f>
        <v/>
      </c>
      <c r="GC73">
        <f>MAX(0,ROUND(N(FZ73)+N(GA73)-N(GB73),2))</f>
        <v/>
      </c>
      <c r="GD73">
        <f>N(GG72)</f>
        <v/>
      </c>
      <c r="GE73">
        <f>IF(N(GD73)&lt;=0.005,0,ROUND(N(GD73)*N('Debt List'!E9)/12,2))</f>
        <v/>
      </c>
      <c r="GF73">
        <f>IF(N(GD73)&lt;=0.005,0,MIN(N('Debt List'!F9),N(GD73)+N(GE73)))+((GT73=5)*GV73+(GX73=5)*GZ73+(HB73=5)*HD73+(HF73=5)*HH73+(HJ73=5)*HL73+(HN73=5)*HP73+(HR73=5)*HT73+(HV73=5)*HX73)</f>
        <v/>
      </c>
      <c r="GG73">
        <f>MAX(0,ROUND(N(GD73)+N(GE73)-N(GF73),2))</f>
        <v/>
      </c>
      <c r="GH73">
        <f>N(GK72)</f>
        <v/>
      </c>
      <c r="GI73">
        <f>IF(N(GH73)&lt;=0.005,0,ROUND(N(GH73)*N('Debt List'!E10)/12,2))</f>
        <v/>
      </c>
      <c r="GJ73">
        <f>IF(N(GH73)&lt;=0.005,0,MIN(N('Debt List'!F10),N(GH73)+N(GI73)))+((GT73=6)*GV73+(GX73=6)*GZ73+(HB73=6)*HD73+(HF73=6)*HH73+(HJ73=6)*HL73+(HN73=6)*HP73+(HR73=6)*HT73+(HV73=6)*HX73)</f>
        <v/>
      </c>
      <c r="GK73">
        <f>MAX(0,ROUND(N(GH73)+N(GI73)-N(GJ73),2))</f>
        <v/>
      </c>
      <c r="GL73">
        <f>N(GO72)</f>
        <v/>
      </c>
      <c r="GM73">
        <f>IF(N(GL73)&lt;=0.005,0,ROUND(N(GL73)*N('Debt List'!E11)/12,2))</f>
        <v/>
      </c>
      <c r="GN73">
        <f>IF(N(GL73)&lt;=0.005,0,MIN(N('Debt List'!F11),N(GL73)+N(GM73)))+((GT73=7)*GV73+(GX73=7)*GZ73+(HB73=7)*HD73+(HF73=7)*HH73+(HJ73=7)*HL73+(HN73=7)*HP73+(HR73=7)*HT73+(HV73=7)*HX73)</f>
        <v/>
      </c>
      <c r="GO73">
        <f>MAX(0,ROUND(N(GL73)+N(GM73)-N(GN73),2))</f>
        <v/>
      </c>
      <c r="GP73">
        <f>N(GS72)</f>
        <v/>
      </c>
      <c r="GQ73">
        <f>IF(N(GP73)&lt;=0.005,0,ROUND(N(GP73)*N('Debt List'!E12)/12,2))</f>
        <v/>
      </c>
      <c r="GR73">
        <f>IF(N(GP73)&lt;=0.005,0,MIN(N('Debt List'!F12),N(GP73)+N(GQ73)))+((GT73=8)*GV73+(GX73=8)*GZ73+(HB73=8)*HD73+(HF73=8)*HH73+(HJ73=8)*HL73+(HN73=8)*HP73+(HR73=8)*HT73+(HV73=8)*HX73)</f>
        <v/>
      </c>
      <c r="GS73">
        <f>MAX(0,ROUND(N(GP73)+N(GQ73)-N(GR73),2))</f>
        <v/>
      </c>
      <c r="GT73">
        <f>IFERROR(MATCH(1,OrderAval,0),"")</f>
        <v/>
      </c>
      <c r="GU73">
        <f>IF(GT73="",0,IFERROR(IF(N(CHOOSE(GT73,FN73,FR73,FV73,FZ73,GD73,GH73,GL73,GP73))&lt;=0.005,0,MAX(0,N(CHOOSE(GT73,FN73,FR73,FV73,FZ73,GD73,GH73,GL73,GP73))+N(CHOOSE(GT73,FO73,FS73,FW73,GA73,GE73,GI73,GM73,GQ73))-MIN(N(CHOOSE(GT73,'Debt List'!$F$5,'Debt List'!$F$6,'Debt List'!$F$7,'Debt List'!$F$8,'Debt List'!$F$9,'Debt List'!$F$10,'Debt List'!$F$11,'Debt List'!$F$12)),N(CHOOSE(GT73,FN73,FR73,FV73,FZ73,GD73,GH73,GL73,GP73))+N(CHOOSE(GT73,FO73,FS73,FW73,GA73,GE73,GI73,GM73,GQ73))))),0))</f>
        <v/>
      </c>
      <c r="GV73">
        <f>MIN(N(GU73),MAX(0,N(ExtraPayment)))</f>
        <v/>
      </c>
      <c r="GW73">
        <f>MAX(0,N(ExtraPayment)-N(GV73))</f>
        <v/>
      </c>
      <c r="GX73">
        <f>IFERROR(MATCH(2,OrderAval,0),"")</f>
        <v/>
      </c>
      <c r="GY73">
        <f>IF(GX73="",0,IFERROR(IF(N(CHOOSE(GX73,FN73,FR73,FV73,FZ73,GD73,GH73,GL73,GP73))&lt;=0.005,0,MAX(0,N(CHOOSE(GX73,FN73,FR73,FV73,FZ73,GD73,GH73,GL73,GP73))+N(CHOOSE(GX73,FO73,FS73,FW73,GA73,GE73,GI73,GM73,GQ73))-MIN(N(CHOOSE(GX73,'Debt List'!$F$5,'Debt List'!$F$6,'Debt List'!$F$7,'Debt List'!$F$8,'Debt List'!$F$9,'Debt List'!$F$10,'Debt List'!$F$11,'Debt List'!$F$12)),N(CHOOSE(GX73,FN73,FR73,FV73,FZ73,GD73,GH73,GL73,GP73))+N(CHOOSE(GX73,FO73,FS73,FW73,GA73,GE73,GI73,GM73,GQ73))))),0))</f>
        <v/>
      </c>
      <c r="GZ73">
        <f>MIN(N(GY73),MAX(0,N(GW73)))</f>
        <v/>
      </c>
      <c r="HA73">
        <f>MAX(0,N(GW73)-N(GZ73))</f>
        <v/>
      </c>
      <c r="HB73">
        <f>IFERROR(MATCH(3,OrderAval,0),"")</f>
        <v/>
      </c>
      <c r="HC73">
        <f>IF(HB73="",0,IFERROR(IF(N(CHOOSE(HB73,FN73,FR73,FV73,FZ73,GD73,GH73,GL73,GP73))&lt;=0.005,0,MAX(0,N(CHOOSE(HB73,FN73,FR73,FV73,FZ73,GD73,GH73,GL73,GP73))+N(CHOOSE(HB73,FO73,FS73,FW73,GA73,GE73,GI73,GM73,GQ73))-MIN(N(CHOOSE(HB73,'Debt List'!$F$5,'Debt List'!$F$6,'Debt List'!$F$7,'Debt List'!$F$8,'Debt List'!$F$9,'Debt List'!$F$10,'Debt List'!$F$11,'Debt List'!$F$12)),N(CHOOSE(HB73,FN73,FR73,FV73,FZ73,GD73,GH73,GL73,GP73))+N(CHOOSE(HB73,FO73,FS73,FW73,GA73,GE73,GI73,GM73,GQ73))))),0))</f>
        <v/>
      </c>
      <c r="HD73">
        <f>MIN(N(HC73),MAX(0,N(HA73)))</f>
        <v/>
      </c>
      <c r="HE73">
        <f>MAX(0,N(HA73)-N(HD73))</f>
        <v/>
      </c>
      <c r="HF73">
        <f>IFERROR(MATCH(4,OrderAval,0),"")</f>
        <v/>
      </c>
      <c r="HG73">
        <f>IF(HF73="",0,IFERROR(IF(N(CHOOSE(HF73,FN73,FR73,FV73,FZ73,GD73,GH73,GL73,GP73))&lt;=0.005,0,MAX(0,N(CHOOSE(HF73,FN73,FR73,FV73,FZ73,GD73,GH73,GL73,GP73))+N(CHOOSE(HF73,FO73,FS73,FW73,GA73,GE73,GI73,GM73,GQ73))-MIN(N(CHOOSE(HF73,'Debt List'!$F$5,'Debt List'!$F$6,'Debt List'!$F$7,'Debt List'!$F$8,'Debt List'!$F$9,'Debt List'!$F$10,'Debt List'!$F$11,'Debt List'!$F$12)),N(CHOOSE(HF73,FN73,FR73,FV73,FZ73,GD73,GH73,GL73,GP73))+N(CHOOSE(HF73,FO73,FS73,FW73,GA73,GE73,GI73,GM73,GQ73))))),0))</f>
        <v/>
      </c>
      <c r="HH73">
        <f>MIN(N(HG73),MAX(0,N(HE73)))</f>
        <v/>
      </c>
      <c r="HI73">
        <f>MAX(0,N(HE73)-N(HH73))</f>
        <v/>
      </c>
      <c r="HJ73">
        <f>IFERROR(MATCH(5,OrderAval,0),"")</f>
        <v/>
      </c>
      <c r="HK73">
        <f>IF(HJ73="",0,IFERROR(IF(N(CHOOSE(HJ73,FN73,FR73,FV73,FZ73,GD73,GH73,GL73,GP73))&lt;=0.005,0,MAX(0,N(CHOOSE(HJ73,FN73,FR73,FV73,FZ73,GD73,GH73,GL73,GP73))+N(CHOOSE(HJ73,FO73,FS73,FW73,GA73,GE73,GI73,GM73,GQ73))-MIN(N(CHOOSE(HJ73,'Debt List'!$F$5,'Debt List'!$F$6,'Debt List'!$F$7,'Debt List'!$F$8,'Debt List'!$F$9,'Debt List'!$F$10,'Debt List'!$F$11,'Debt List'!$F$12)),N(CHOOSE(HJ73,FN73,FR73,FV73,FZ73,GD73,GH73,GL73,GP73))+N(CHOOSE(HJ73,FO73,FS73,FW73,GA73,GE73,GI73,GM73,GQ73))))),0))</f>
        <v/>
      </c>
      <c r="HL73">
        <f>MIN(N(HK73),MAX(0,N(HI73)))</f>
        <v/>
      </c>
      <c r="HM73">
        <f>MAX(0,N(HI73)-N(HL73))</f>
        <v/>
      </c>
      <c r="HN73">
        <f>IFERROR(MATCH(6,OrderAval,0),"")</f>
        <v/>
      </c>
      <c r="HO73">
        <f>IF(HN73="",0,IFERROR(IF(N(CHOOSE(HN73,FN73,FR73,FV73,FZ73,GD73,GH73,GL73,GP73))&lt;=0.005,0,MAX(0,N(CHOOSE(HN73,FN73,FR73,FV73,FZ73,GD73,GH73,GL73,GP73))+N(CHOOSE(HN73,FO73,FS73,FW73,GA73,GE73,GI73,GM73,GQ73))-MIN(N(CHOOSE(HN73,'Debt List'!$F$5,'Debt List'!$F$6,'Debt List'!$F$7,'Debt List'!$F$8,'Debt List'!$F$9,'Debt List'!$F$10,'Debt List'!$F$11,'Debt List'!$F$12)),N(CHOOSE(HN73,FN73,FR73,FV73,FZ73,GD73,GH73,GL73,GP73))+N(CHOOSE(HN73,FO73,FS73,FW73,GA73,GE73,GI73,GM73,GQ73))))),0))</f>
        <v/>
      </c>
      <c r="HP73">
        <f>MIN(N(HO73),MAX(0,N(HM73)))</f>
        <v/>
      </c>
      <c r="HQ73">
        <f>MAX(0,N(HM73)-N(HP73))</f>
        <v/>
      </c>
      <c r="HR73">
        <f>IFERROR(MATCH(7,OrderAval,0),"")</f>
        <v/>
      </c>
      <c r="HS73">
        <f>IF(HR73="",0,IFERROR(IF(N(CHOOSE(HR73,FN73,FR73,FV73,FZ73,GD73,GH73,GL73,GP73))&lt;=0.005,0,MAX(0,N(CHOOSE(HR73,FN73,FR73,FV73,FZ73,GD73,GH73,GL73,GP73))+N(CHOOSE(HR73,FO73,FS73,FW73,GA73,GE73,GI73,GM73,GQ73))-MIN(N(CHOOSE(HR73,'Debt List'!$F$5,'Debt List'!$F$6,'Debt List'!$F$7,'Debt List'!$F$8,'Debt List'!$F$9,'Debt List'!$F$10,'Debt List'!$F$11,'Debt List'!$F$12)),N(CHOOSE(HR73,FN73,FR73,FV73,FZ73,GD73,GH73,GL73,GP73))+N(CHOOSE(HR73,FO73,FS73,FW73,GA73,GE73,GI73,GM73,GQ73))))),0))</f>
        <v/>
      </c>
      <c r="HT73">
        <f>MIN(N(HS73),MAX(0,N(HQ73)))</f>
        <v/>
      </c>
      <c r="HU73">
        <f>MAX(0,N(HQ73)-N(HT73))</f>
        <v/>
      </c>
      <c r="HV73">
        <f>IFERROR(MATCH(8,OrderAval,0),"")</f>
        <v/>
      </c>
      <c r="HW73">
        <f>IF(HV73="",0,IFERROR(IF(N(CHOOSE(HV73,FN73,FR73,FV73,FZ73,GD73,GH73,GL73,GP73))&lt;=0.005,0,MAX(0,N(CHOOSE(HV73,FN73,FR73,FV73,FZ73,GD73,GH73,GL73,GP73))+N(CHOOSE(HV73,FO73,FS73,FW73,GA73,GE73,GI73,GM73,GQ73))-MIN(N(CHOOSE(HV73,'Debt List'!$F$5,'Debt List'!$F$6,'Debt List'!$F$7,'Debt List'!$F$8,'Debt List'!$F$9,'Debt List'!$F$10,'Debt List'!$F$11,'Debt List'!$F$12)),N(CHOOSE(HV73,FN73,FR73,FV73,FZ73,GD73,GH73,GL73,GP73))+N(CHOOSE(HV73,FO73,FS73,FW73,GA73,GE73,GI73,GM73,GQ73))))),0))</f>
        <v/>
      </c>
      <c r="HX73">
        <f>MIN(N(HW73),MAX(0,N(HU73)))</f>
        <v/>
      </c>
      <c r="HY73">
        <f>MAX(0,N(HU73)-N(HX73))</f>
        <v/>
      </c>
    </row>
    <row r="74">
      <c r="A74" t="n">
        <v>70</v>
      </c>
      <c r="B74" s="115">
        <f>DATE(YEAR(PlanStart),MONTH(PlanStart)+A74-1,1)</f>
        <v/>
      </c>
      <c r="C74">
        <f>IF(AND(AP74&lt;&gt;"",N(CHOOSE(AP74,J74,N74,R74,V74,Z74,AD74,AH74,AL74))&gt;0.005),INDEX(DebtNames,AP74),IF(AND(AT74&lt;&gt;"",N(CHOOSE(AT74,J74,N74,R74,V74,Z74,AD74,AH74,AL74))&gt;0.005),INDEX(DebtNames,AT74),IF(AND(AX74&lt;&gt;"",N(CHOOSE(AX74,J74,N74,R74,V74,Z74,AD74,AH74,AL74))&gt;0.005),INDEX(DebtNames,AX74),IF(AND(BB74&lt;&gt;"",N(CHOOSE(BB74,J74,N74,R74,V74,Z74,AD74,AH74,AL74))&gt;0.005),INDEX(DebtNames,BB74),IF(AND(BF74&lt;&gt;"",N(CHOOSE(BF74,J74,N74,R74,V74,Z74,AD74,AH74,AL74))&gt;0.005),INDEX(DebtNames,BF74),IF(AND(BJ74&lt;&gt;"",N(CHOOSE(BJ74,J74,N74,R74,V74,Z74,AD74,AH74,AL74))&gt;0.005),INDEX(DebtNames,BJ74),IF(AND(BN74&lt;&gt;"",N(CHOOSE(BN74,J74,N74,R74,V74,Z74,AD74,AH74,AL74))&gt;0.005),INDEX(DebtNames,BN74),IF(AND(BR74&lt;&gt;"",N(CHOOSE(BR74,J74,N74,R74,V74,Z74,AD74,AH74,AL74))&gt;0.005),INDEX(DebtNames,BR74),""))))))))</f>
        <v/>
      </c>
      <c r="D74">
        <f>N(BU74)</f>
        <v/>
      </c>
      <c r="E74">
        <f>N(L74)+N(P74)+N(T74)+N(X74)+N(AB74)+N(AF74)+N(AJ74)+N(AN74)</f>
        <v/>
      </c>
      <c r="F74">
        <f>N(K74)+N(O74)+N(S74)+N(W74)+N(AA74)+N(AE74)+N(AI74)+N(AM74)</f>
        <v/>
      </c>
      <c r="G74">
        <f>N(G73)+N(F74)</f>
        <v/>
      </c>
      <c r="H74">
        <f>N(M74)+N(Q74)+N(U74)+N(Y74)+N(AC74)+N(AG74)+N(AK74)+N(AO74)</f>
        <v/>
      </c>
      <c r="I74">
        <f>(M74&gt;0.005)*1+(Q74&gt;0.005)*1+(U74&gt;0.005)*1+(Y74&gt;0.005)*1+(AC74&gt;0.005)*1+(AG74&gt;0.005)*1+(AK74&gt;0.005)*1+(AO74&gt;0.005)*1</f>
        <v/>
      </c>
      <c r="J74">
        <f>N(M73)</f>
        <v/>
      </c>
      <c r="K74">
        <f>IF(N(J74)&lt;=0.005,0,ROUND(N(J74)*N('Debt List'!E5)/12,2))</f>
        <v/>
      </c>
      <c r="L74">
        <f>IF(N(J74)&lt;=0.005,0,MIN(N('Debt List'!F5),N(J74)+N(K74)))+((AP74=1)*AR74+(AT74=1)*AV74+(AX74=1)*AZ74+(BB74=1)*BD74+(BF74=1)*BH74+(BJ74=1)*BL74+(BN74=1)*BP74+(BR74=1)*BT74)</f>
        <v/>
      </c>
      <c r="M74">
        <f>MAX(0,ROUND(N(J74)+N(K74)-N(L74),2))</f>
        <v/>
      </c>
      <c r="N74">
        <f>N(Q73)</f>
        <v/>
      </c>
      <c r="O74">
        <f>IF(N(N74)&lt;=0.005,0,ROUND(N(N74)*N('Debt List'!E6)/12,2))</f>
        <v/>
      </c>
      <c r="P74">
        <f>IF(N(N74)&lt;=0.005,0,MIN(N('Debt List'!F6),N(N74)+N(O74)))+((AP74=2)*AR74+(AT74=2)*AV74+(AX74=2)*AZ74+(BB74=2)*BD74+(BF74=2)*BH74+(BJ74=2)*BL74+(BN74=2)*BP74+(BR74=2)*BT74)</f>
        <v/>
      </c>
      <c r="Q74">
        <f>MAX(0,ROUND(N(N74)+N(O74)-N(P74),2))</f>
        <v/>
      </c>
      <c r="R74">
        <f>N(U73)</f>
        <v/>
      </c>
      <c r="S74">
        <f>IF(N(R74)&lt;=0.005,0,ROUND(N(R74)*N('Debt List'!E7)/12,2))</f>
        <v/>
      </c>
      <c r="T74">
        <f>IF(N(R74)&lt;=0.005,0,MIN(N('Debt List'!F7),N(R74)+N(S74)))+((AP74=3)*AR74+(AT74=3)*AV74+(AX74=3)*AZ74+(BB74=3)*BD74+(BF74=3)*BH74+(BJ74=3)*BL74+(BN74=3)*BP74+(BR74=3)*BT74)</f>
        <v/>
      </c>
      <c r="U74">
        <f>MAX(0,ROUND(N(R74)+N(S74)-N(T74),2))</f>
        <v/>
      </c>
      <c r="V74">
        <f>N(Y73)</f>
        <v/>
      </c>
      <c r="W74">
        <f>IF(N(V74)&lt;=0.005,0,ROUND(N(V74)*N('Debt List'!E8)/12,2))</f>
        <v/>
      </c>
      <c r="X74">
        <f>IF(N(V74)&lt;=0.005,0,MIN(N('Debt List'!F8),N(V74)+N(W74)))+((AP74=4)*AR74+(AT74=4)*AV74+(AX74=4)*AZ74+(BB74=4)*BD74+(BF74=4)*BH74+(BJ74=4)*BL74+(BN74=4)*BP74+(BR74=4)*BT74)</f>
        <v/>
      </c>
      <c r="Y74">
        <f>MAX(0,ROUND(N(V74)+N(W74)-N(X74),2))</f>
        <v/>
      </c>
      <c r="Z74">
        <f>N(AC73)</f>
        <v/>
      </c>
      <c r="AA74">
        <f>IF(N(Z74)&lt;=0.005,0,ROUND(N(Z74)*N('Debt List'!E9)/12,2))</f>
        <v/>
      </c>
      <c r="AB74">
        <f>IF(N(Z74)&lt;=0.005,0,MIN(N('Debt List'!F9),N(Z74)+N(AA74)))+((AP74=5)*AR74+(AT74=5)*AV74+(AX74=5)*AZ74+(BB74=5)*BD74+(BF74=5)*BH74+(BJ74=5)*BL74+(BN74=5)*BP74+(BR74=5)*BT74)</f>
        <v/>
      </c>
      <c r="AC74">
        <f>MAX(0,ROUND(N(Z74)+N(AA74)-N(AB74),2))</f>
        <v/>
      </c>
      <c r="AD74">
        <f>N(AG73)</f>
        <v/>
      </c>
      <c r="AE74">
        <f>IF(N(AD74)&lt;=0.005,0,ROUND(N(AD74)*N('Debt List'!E10)/12,2))</f>
        <v/>
      </c>
      <c r="AF74">
        <f>IF(N(AD74)&lt;=0.005,0,MIN(N('Debt List'!F10),N(AD74)+N(AE74)))+((AP74=6)*AR74+(AT74=6)*AV74+(AX74=6)*AZ74+(BB74=6)*BD74+(BF74=6)*BH74+(BJ74=6)*BL74+(BN74=6)*BP74+(BR74=6)*BT74)</f>
        <v/>
      </c>
      <c r="AG74">
        <f>MAX(0,ROUND(N(AD74)+N(AE74)-N(AF74),2))</f>
        <v/>
      </c>
      <c r="AH74">
        <f>N(AK73)</f>
        <v/>
      </c>
      <c r="AI74">
        <f>IF(N(AH74)&lt;=0.005,0,ROUND(N(AH74)*N('Debt List'!E11)/12,2))</f>
        <v/>
      </c>
      <c r="AJ74">
        <f>IF(N(AH74)&lt;=0.005,0,MIN(N('Debt List'!F11),N(AH74)+N(AI74)))+((AP74=7)*AR74+(AT74=7)*AV74+(AX74=7)*AZ74+(BB74=7)*BD74+(BF74=7)*BH74+(BJ74=7)*BL74+(BN74=7)*BP74+(BR74=7)*BT74)</f>
        <v/>
      </c>
      <c r="AK74">
        <f>MAX(0,ROUND(N(AH74)+N(AI74)-N(AJ74),2))</f>
        <v/>
      </c>
      <c r="AL74">
        <f>N(AO73)</f>
        <v/>
      </c>
      <c r="AM74">
        <f>IF(N(AL74)&lt;=0.005,0,ROUND(N(AL74)*N('Debt List'!E12)/12,2))</f>
        <v/>
      </c>
      <c r="AN74">
        <f>IF(N(AL74)&lt;=0.005,0,MIN(N('Debt List'!F12),N(AL74)+N(AM74)))+((AP74=8)*AR74+(AT74=8)*AV74+(AX74=8)*AZ74+(BB74=8)*BD74+(BF74=8)*BH74+(BJ74=8)*BL74+(BN74=8)*BP74+(BR74=8)*BT74)</f>
        <v/>
      </c>
      <c r="AO74">
        <f>MAX(0,ROUND(N(AL74)+N(AM74)-N(AN74),2))</f>
        <v/>
      </c>
      <c r="AP74">
        <f>IFERROR(MATCH(1,OrderPlan,0),"")</f>
        <v/>
      </c>
      <c r="AQ74">
        <f>IF(AP74="",0,IFERROR(IF(N(CHOOSE(AP74,J74,N74,R74,V74,Z74,AD74,AH74,AL74))&lt;=0.005,0,MAX(0,N(CHOOSE(AP74,J74,N74,R74,V74,Z74,AD74,AH74,AL74))+N(CHOOSE(AP74,K74,O74,S74,W74,AA74,AE74,AI74,AM74))-MIN(N(CHOOSE(AP74,'Debt List'!$F$5,'Debt List'!$F$6,'Debt List'!$F$7,'Debt List'!$F$8,'Debt List'!$F$9,'Debt List'!$F$10,'Debt List'!$F$11,'Debt List'!$F$12)),N(CHOOSE(AP74,J74,N74,R74,V74,Z74,AD74,AH74,AL74))+N(CHOOSE(AP74,K74,O74,S74,W74,AA74,AE74,AI74,AM74))))),0))</f>
        <v/>
      </c>
      <c r="AR74">
        <f>MIN(N(AQ74),MAX(0,N(ExtraPayment)))</f>
        <v/>
      </c>
      <c r="AS74">
        <f>MAX(0,N(ExtraPayment)-N(AR74))</f>
        <v/>
      </c>
      <c r="AT74">
        <f>IFERROR(MATCH(2,OrderPlan,0),"")</f>
        <v/>
      </c>
      <c r="AU74">
        <f>IF(AT74="",0,IFERROR(IF(N(CHOOSE(AT74,J74,N74,R74,V74,Z74,AD74,AH74,AL74))&lt;=0.005,0,MAX(0,N(CHOOSE(AT74,J74,N74,R74,V74,Z74,AD74,AH74,AL74))+N(CHOOSE(AT74,K74,O74,S74,W74,AA74,AE74,AI74,AM74))-MIN(N(CHOOSE(AT74,'Debt List'!$F$5,'Debt List'!$F$6,'Debt List'!$F$7,'Debt List'!$F$8,'Debt List'!$F$9,'Debt List'!$F$10,'Debt List'!$F$11,'Debt List'!$F$12)),N(CHOOSE(AT74,J74,N74,R74,V74,Z74,AD74,AH74,AL74))+N(CHOOSE(AT74,K74,O74,S74,W74,AA74,AE74,AI74,AM74))))),0))</f>
        <v/>
      </c>
      <c r="AV74">
        <f>MIN(N(AU74),MAX(0,N(AS74)))</f>
        <v/>
      </c>
      <c r="AW74">
        <f>MAX(0,N(AS74)-N(AV74))</f>
        <v/>
      </c>
      <c r="AX74">
        <f>IFERROR(MATCH(3,OrderPlan,0),"")</f>
        <v/>
      </c>
      <c r="AY74">
        <f>IF(AX74="",0,IFERROR(IF(N(CHOOSE(AX74,J74,N74,R74,V74,Z74,AD74,AH74,AL74))&lt;=0.005,0,MAX(0,N(CHOOSE(AX74,J74,N74,R74,V74,Z74,AD74,AH74,AL74))+N(CHOOSE(AX74,K74,O74,S74,W74,AA74,AE74,AI74,AM74))-MIN(N(CHOOSE(AX74,'Debt List'!$F$5,'Debt List'!$F$6,'Debt List'!$F$7,'Debt List'!$F$8,'Debt List'!$F$9,'Debt List'!$F$10,'Debt List'!$F$11,'Debt List'!$F$12)),N(CHOOSE(AX74,J74,N74,R74,V74,Z74,AD74,AH74,AL74))+N(CHOOSE(AX74,K74,O74,S74,W74,AA74,AE74,AI74,AM74))))),0))</f>
        <v/>
      </c>
      <c r="AZ74">
        <f>MIN(N(AY74),MAX(0,N(AW74)))</f>
        <v/>
      </c>
      <c r="BA74">
        <f>MAX(0,N(AW74)-N(AZ74))</f>
        <v/>
      </c>
      <c r="BB74">
        <f>IFERROR(MATCH(4,OrderPlan,0),"")</f>
        <v/>
      </c>
      <c r="BC74">
        <f>IF(BB74="",0,IFERROR(IF(N(CHOOSE(BB74,J74,N74,R74,V74,Z74,AD74,AH74,AL74))&lt;=0.005,0,MAX(0,N(CHOOSE(BB74,J74,N74,R74,V74,Z74,AD74,AH74,AL74))+N(CHOOSE(BB74,K74,O74,S74,W74,AA74,AE74,AI74,AM74))-MIN(N(CHOOSE(BB74,'Debt List'!$F$5,'Debt List'!$F$6,'Debt List'!$F$7,'Debt List'!$F$8,'Debt List'!$F$9,'Debt List'!$F$10,'Debt List'!$F$11,'Debt List'!$F$12)),N(CHOOSE(BB74,J74,N74,R74,V74,Z74,AD74,AH74,AL74))+N(CHOOSE(BB74,K74,O74,S74,W74,AA74,AE74,AI74,AM74))))),0))</f>
        <v/>
      </c>
      <c r="BD74">
        <f>MIN(N(BC74),MAX(0,N(BA74)))</f>
        <v/>
      </c>
      <c r="BE74">
        <f>MAX(0,N(BA74)-N(BD74))</f>
        <v/>
      </c>
      <c r="BF74">
        <f>IFERROR(MATCH(5,OrderPlan,0),"")</f>
        <v/>
      </c>
      <c r="BG74">
        <f>IF(BF74="",0,IFERROR(IF(N(CHOOSE(BF74,J74,N74,R74,V74,Z74,AD74,AH74,AL74))&lt;=0.005,0,MAX(0,N(CHOOSE(BF74,J74,N74,R74,V74,Z74,AD74,AH74,AL74))+N(CHOOSE(BF74,K74,O74,S74,W74,AA74,AE74,AI74,AM74))-MIN(N(CHOOSE(BF74,'Debt List'!$F$5,'Debt List'!$F$6,'Debt List'!$F$7,'Debt List'!$F$8,'Debt List'!$F$9,'Debt List'!$F$10,'Debt List'!$F$11,'Debt List'!$F$12)),N(CHOOSE(BF74,J74,N74,R74,V74,Z74,AD74,AH74,AL74))+N(CHOOSE(BF74,K74,O74,S74,W74,AA74,AE74,AI74,AM74))))),0))</f>
        <v/>
      </c>
      <c r="BH74">
        <f>MIN(N(BG74),MAX(0,N(BE74)))</f>
        <v/>
      </c>
      <c r="BI74">
        <f>MAX(0,N(BE74)-N(BH74))</f>
        <v/>
      </c>
      <c r="BJ74">
        <f>IFERROR(MATCH(6,OrderPlan,0),"")</f>
        <v/>
      </c>
      <c r="BK74">
        <f>IF(BJ74="",0,IFERROR(IF(N(CHOOSE(BJ74,J74,N74,R74,V74,Z74,AD74,AH74,AL74))&lt;=0.005,0,MAX(0,N(CHOOSE(BJ74,J74,N74,R74,V74,Z74,AD74,AH74,AL74))+N(CHOOSE(BJ74,K74,O74,S74,W74,AA74,AE74,AI74,AM74))-MIN(N(CHOOSE(BJ74,'Debt List'!$F$5,'Debt List'!$F$6,'Debt List'!$F$7,'Debt List'!$F$8,'Debt List'!$F$9,'Debt List'!$F$10,'Debt List'!$F$11,'Debt List'!$F$12)),N(CHOOSE(BJ74,J74,N74,R74,V74,Z74,AD74,AH74,AL74))+N(CHOOSE(BJ74,K74,O74,S74,W74,AA74,AE74,AI74,AM74))))),0))</f>
        <v/>
      </c>
      <c r="BL74">
        <f>MIN(N(BK74),MAX(0,N(BI74)))</f>
        <v/>
      </c>
      <c r="BM74">
        <f>MAX(0,N(BI74)-N(BL74))</f>
        <v/>
      </c>
      <c r="BN74">
        <f>IFERROR(MATCH(7,OrderPlan,0),"")</f>
        <v/>
      </c>
      <c r="BO74">
        <f>IF(BN74="",0,IFERROR(IF(N(CHOOSE(BN74,J74,N74,R74,V74,Z74,AD74,AH74,AL74))&lt;=0.005,0,MAX(0,N(CHOOSE(BN74,J74,N74,R74,V74,Z74,AD74,AH74,AL74))+N(CHOOSE(BN74,K74,O74,S74,W74,AA74,AE74,AI74,AM74))-MIN(N(CHOOSE(BN74,'Debt List'!$F$5,'Debt List'!$F$6,'Debt List'!$F$7,'Debt List'!$F$8,'Debt List'!$F$9,'Debt List'!$F$10,'Debt List'!$F$11,'Debt List'!$F$12)),N(CHOOSE(BN74,J74,N74,R74,V74,Z74,AD74,AH74,AL74))+N(CHOOSE(BN74,K74,O74,S74,W74,AA74,AE74,AI74,AM74))))),0))</f>
        <v/>
      </c>
      <c r="BP74">
        <f>MIN(N(BO74),MAX(0,N(BM74)))</f>
        <v/>
      </c>
      <c r="BQ74">
        <f>MAX(0,N(BM74)-N(BP74))</f>
        <v/>
      </c>
      <c r="BR74">
        <f>IFERROR(MATCH(8,OrderPlan,0),"")</f>
        <v/>
      </c>
      <c r="BS74">
        <f>IF(BR74="",0,IFERROR(IF(N(CHOOSE(BR74,J74,N74,R74,V74,Z74,AD74,AH74,AL74))&lt;=0.005,0,MAX(0,N(CHOOSE(BR74,J74,N74,R74,V74,Z74,AD74,AH74,AL74))+N(CHOOSE(BR74,K74,O74,S74,W74,AA74,AE74,AI74,AM74))-MIN(N(CHOOSE(BR74,'Debt List'!$F$5,'Debt List'!$F$6,'Debt List'!$F$7,'Debt List'!$F$8,'Debt List'!$F$9,'Debt List'!$F$10,'Debt List'!$F$11,'Debt List'!$F$12)),N(CHOOSE(BR74,J74,N74,R74,V74,Z74,AD74,AH74,AL74))+N(CHOOSE(BR74,K74,O74,S74,W74,AA74,AE74,AI74,AM74))))),0))</f>
        <v/>
      </c>
      <c r="BT74">
        <f>MIN(N(BS74),MAX(0,N(BQ74)))</f>
        <v/>
      </c>
      <c r="BU74">
        <f>MAX(0,N(BQ74)-N(BT74))</f>
        <v/>
      </c>
      <c r="CC74" t="n">
        <v>70</v>
      </c>
      <c r="CD74" s="115">
        <f>DATE(YEAR(PlanStart),MONTH(PlanStart)+CC74-1,1)</f>
        <v/>
      </c>
      <c r="CE74">
        <f>IF(AND(DR74&lt;&gt;"",N(CHOOSE(DR74,CL74,CP74,CT74,CX74,DB74,DF74,DJ74,DN74))&gt;0.005),INDEX(DebtNames,DR74),IF(AND(DV74&lt;&gt;"",N(CHOOSE(DV74,CL74,CP74,CT74,CX74,DB74,DF74,DJ74,DN74))&gt;0.005),INDEX(DebtNames,DV74),IF(AND(DZ74&lt;&gt;"",N(CHOOSE(DZ74,CL74,CP74,CT74,CX74,DB74,DF74,DJ74,DN74))&gt;0.005),INDEX(DebtNames,DZ74),IF(AND(ED74&lt;&gt;"",N(CHOOSE(ED74,CL74,CP74,CT74,CX74,DB74,DF74,DJ74,DN74))&gt;0.005),INDEX(DebtNames,ED74),IF(AND(EH74&lt;&gt;"",N(CHOOSE(EH74,CL74,CP74,CT74,CX74,DB74,DF74,DJ74,DN74))&gt;0.005),INDEX(DebtNames,EH74),IF(AND(EL74&lt;&gt;"",N(CHOOSE(EL74,CL74,CP74,CT74,CX74,DB74,DF74,DJ74,DN74))&gt;0.005),INDEX(DebtNames,EL74),IF(AND(EP74&lt;&gt;"",N(CHOOSE(EP74,CL74,CP74,CT74,CX74,DB74,DF74,DJ74,DN74))&gt;0.005),INDEX(DebtNames,EP74),IF(AND(ET74&lt;&gt;"",N(CHOOSE(ET74,CL74,CP74,CT74,CX74,DB74,DF74,DJ74,DN74))&gt;0.005),INDEX(DebtNames,ET74),""))))))))</f>
        <v/>
      </c>
      <c r="CF74">
        <f>N(EW74)</f>
        <v/>
      </c>
      <c r="CG74">
        <f>N(CN74)+N(CR74)+N(CV74)+N(CZ74)+N(DD74)+N(DH74)+N(DL74)+N(DP74)</f>
        <v/>
      </c>
      <c r="CH74">
        <f>N(CM74)+N(CQ74)+N(CU74)+N(CY74)+N(DC74)+N(DG74)+N(DK74)+N(DO74)</f>
        <v/>
      </c>
      <c r="CI74">
        <f>N(CI73)+N(CH74)</f>
        <v/>
      </c>
      <c r="CJ74">
        <f>N(CO74)+N(CS74)+N(CW74)+N(DA74)+N(DE74)+N(DI74)+N(DM74)+N(DQ74)</f>
        <v/>
      </c>
      <c r="CK74">
        <f>(CO74&gt;0.005)*1+(CS74&gt;0.005)*1+(CW74&gt;0.005)*1+(DA74&gt;0.005)*1+(DE74&gt;0.005)*1+(DI74&gt;0.005)*1+(DM74&gt;0.005)*1+(DQ74&gt;0.005)*1</f>
        <v/>
      </c>
      <c r="CL74">
        <f>N(CO73)</f>
        <v/>
      </c>
      <c r="CM74">
        <f>IF(N(CL74)&lt;=0.005,0,ROUND(N(CL74)*N('Debt List'!E5)/12,2))</f>
        <v/>
      </c>
      <c r="CN74">
        <f>IF(N(CL74)&lt;=0.005,0,MIN(N('Debt List'!F5),N(CL74)+N(CM74)))+((DR74=1)*DT74+(DV74=1)*DX74+(DZ74=1)*EB74+(ED74=1)*EF74+(EH74=1)*EJ74+(EL74=1)*EN74+(EP74=1)*ER74+(ET74=1)*EV74)</f>
        <v/>
      </c>
      <c r="CO74">
        <f>MAX(0,ROUND(N(CL74)+N(CM74)-N(CN74),2))</f>
        <v/>
      </c>
      <c r="CP74">
        <f>N(CS73)</f>
        <v/>
      </c>
      <c r="CQ74">
        <f>IF(N(CP74)&lt;=0.005,0,ROUND(N(CP74)*N('Debt List'!E6)/12,2))</f>
        <v/>
      </c>
      <c r="CR74">
        <f>IF(N(CP74)&lt;=0.005,0,MIN(N('Debt List'!F6),N(CP74)+N(CQ74)))+((DR74=2)*DT74+(DV74=2)*DX74+(DZ74=2)*EB74+(ED74=2)*EF74+(EH74=2)*EJ74+(EL74=2)*EN74+(EP74=2)*ER74+(ET74=2)*EV74)</f>
        <v/>
      </c>
      <c r="CS74">
        <f>MAX(0,ROUND(N(CP74)+N(CQ74)-N(CR74),2))</f>
        <v/>
      </c>
      <c r="CT74">
        <f>N(CW73)</f>
        <v/>
      </c>
      <c r="CU74">
        <f>IF(N(CT74)&lt;=0.005,0,ROUND(N(CT74)*N('Debt List'!E7)/12,2))</f>
        <v/>
      </c>
      <c r="CV74">
        <f>IF(N(CT74)&lt;=0.005,0,MIN(N('Debt List'!F7),N(CT74)+N(CU74)))+((DR74=3)*DT74+(DV74=3)*DX74+(DZ74=3)*EB74+(ED74=3)*EF74+(EH74=3)*EJ74+(EL74=3)*EN74+(EP74=3)*ER74+(ET74=3)*EV74)</f>
        <v/>
      </c>
      <c r="CW74">
        <f>MAX(0,ROUND(N(CT74)+N(CU74)-N(CV74),2))</f>
        <v/>
      </c>
      <c r="CX74">
        <f>N(DA73)</f>
        <v/>
      </c>
      <c r="CY74">
        <f>IF(N(CX74)&lt;=0.005,0,ROUND(N(CX74)*N('Debt List'!E8)/12,2))</f>
        <v/>
      </c>
      <c r="CZ74">
        <f>IF(N(CX74)&lt;=0.005,0,MIN(N('Debt List'!F8),N(CX74)+N(CY74)))+((DR74=4)*DT74+(DV74=4)*DX74+(DZ74=4)*EB74+(ED74=4)*EF74+(EH74=4)*EJ74+(EL74=4)*EN74+(EP74=4)*ER74+(ET74=4)*EV74)</f>
        <v/>
      </c>
      <c r="DA74">
        <f>MAX(0,ROUND(N(CX74)+N(CY74)-N(CZ74),2))</f>
        <v/>
      </c>
      <c r="DB74">
        <f>N(DE73)</f>
        <v/>
      </c>
      <c r="DC74">
        <f>IF(N(DB74)&lt;=0.005,0,ROUND(N(DB74)*N('Debt List'!E9)/12,2))</f>
        <v/>
      </c>
      <c r="DD74">
        <f>IF(N(DB74)&lt;=0.005,0,MIN(N('Debt List'!F9),N(DB74)+N(DC74)))+((DR74=5)*DT74+(DV74=5)*DX74+(DZ74=5)*EB74+(ED74=5)*EF74+(EH74=5)*EJ74+(EL74=5)*EN74+(EP74=5)*ER74+(ET74=5)*EV74)</f>
        <v/>
      </c>
      <c r="DE74">
        <f>MAX(0,ROUND(N(DB74)+N(DC74)-N(DD74),2))</f>
        <v/>
      </c>
      <c r="DF74">
        <f>N(DI73)</f>
        <v/>
      </c>
      <c r="DG74">
        <f>IF(N(DF74)&lt;=0.005,0,ROUND(N(DF74)*N('Debt List'!E10)/12,2))</f>
        <v/>
      </c>
      <c r="DH74">
        <f>IF(N(DF74)&lt;=0.005,0,MIN(N('Debt List'!F10),N(DF74)+N(DG74)))+((DR74=6)*DT74+(DV74=6)*DX74+(DZ74=6)*EB74+(ED74=6)*EF74+(EH74=6)*EJ74+(EL74=6)*EN74+(EP74=6)*ER74+(ET74=6)*EV74)</f>
        <v/>
      </c>
      <c r="DI74">
        <f>MAX(0,ROUND(N(DF74)+N(DG74)-N(DH74),2))</f>
        <v/>
      </c>
      <c r="DJ74">
        <f>N(DM73)</f>
        <v/>
      </c>
      <c r="DK74">
        <f>IF(N(DJ74)&lt;=0.005,0,ROUND(N(DJ74)*N('Debt List'!E11)/12,2))</f>
        <v/>
      </c>
      <c r="DL74">
        <f>IF(N(DJ74)&lt;=0.005,0,MIN(N('Debt List'!F11),N(DJ74)+N(DK74)))+((DR74=7)*DT74+(DV74=7)*DX74+(DZ74=7)*EB74+(ED74=7)*EF74+(EH74=7)*EJ74+(EL74=7)*EN74+(EP74=7)*ER74+(ET74=7)*EV74)</f>
        <v/>
      </c>
      <c r="DM74">
        <f>MAX(0,ROUND(N(DJ74)+N(DK74)-N(DL74),2))</f>
        <v/>
      </c>
      <c r="DN74">
        <f>N(DQ73)</f>
        <v/>
      </c>
      <c r="DO74">
        <f>IF(N(DN74)&lt;=0.005,0,ROUND(N(DN74)*N('Debt List'!E12)/12,2))</f>
        <v/>
      </c>
      <c r="DP74">
        <f>IF(N(DN74)&lt;=0.005,0,MIN(N('Debt List'!F12),N(DN74)+N(DO74)))+((DR74=8)*DT74+(DV74=8)*DX74+(DZ74=8)*EB74+(ED74=8)*EF74+(EH74=8)*EJ74+(EL74=8)*EN74+(EP74=8)*ER74+(ET74=8)*EV74)</f>
        <v/>
      </c>
      <c r="DQ74">
        <f>MAX(0,ROUND(N(DN74)+N(DO74)-N(DP74),2))</f>
        <v/>
      </c>
      <c r="DR74">
        <f>IFERROR(MATCH(1,OrderSnow,0),"")</f>
        <v/>
      </c>
      <c r="DS74">
        <f>IF(DR74="",0,IFERROR(IF(N(CHOOSE(DR74,CL74,CP74,CT74,CX74,DB74,DF74,DJ74,DN74))&lt;=0.005,0,MAX(0,N(CHOOSE(DR74,CL74,CP74,CT74,CX74,DB74,DF74,DJ74,DN74))+N(CHOOSE(DR74,CM74,CQ74,CU74,CY74,DC74,DG74,DK74,DO74))-MIN(N(CHOOSE(DR74,'Debt List'!$F$5,'Debt List'!$F$6,'Debt List'!$F$7,'Debt List'!$F$8,'Debt List'!$F$9,'Debt List'!$F$10,'Debt List'!$F$11,'Debt List'!$F$12)),N(CHOOSE(DR74,CL74,CP74,CT74,CX74,DB74,DF74,DJ74,DN74))+N(CHOOSE(DR74,CM74,CQ74,CU74,CY74,DC74,DG74,DK74,DO74))))),0))</f>
        <v/>
      </c>
      <c r="DT74">
        <f>MIN(N(DS74),MAX(0,N(ExtraPayment)))</f>
        <v/>
      </c>
      <c r="DU74">
        <f>MAX(0,N(ExtraPayment)-N(DT74))</f>
        <v/>
      </c>
      <c r="DV74">
        <f>IFERROR(MATCH(2,OrderSnow,0),"")</f>
        <v/>
      </c>
      <c r="DW74">
        <f>IF(DV74="",0,IFERROR(IF(N(CHOOSE(DV74,CL74,CP74,CT74,CX74,DB74,DF74,DJ74,DN74))&lt;=0.005,0,MAX(0,N(CHOOSE(DV74,CL74,CP74,CT74,CX74,DB74,DF74,DJ74,DN74))+N(CHOOSE(DV74,CM74,CQ74,CU74,CY74,DC74,DG74,DK74,DO74))-MIN(N(CHOOSE(DV74,'Debt List'!$F$5,'Debt List'!$F$6,'Debt List'!$F$7,'Debt List'!$F$8,'Debt List'!$F$9,'Debt List'!$F$10,'Debt List'!$F$11,'Debt List'!$F$12)),N(CHOOSE(DV74,CL74,CP74,CT74,CX74,DB74,DF74,DJ74,DN74))+N(CHOOSE(DV74,CM74,CQ74,CU74,CY74,DC74,DG74,DK74,DO74))))),0))</f>
        <v/>
      </c>
      <c r="DX74">
        <f>MIN(N(DW74),MAX(0,N(DU74)))</f>
        <v/>
      </c>
      <c r="DY74">
        <f>MAX(0,N(DU74)-N(DX74))</f>
        <v/>
      </c>
      <c r="DZ74">
        <f>IFERROR(MATCH(3,OrderSnow,0),"")</f>
        <v/>
      </c>
      <c r="EA74">
        <f>IF(DZ74="",0,IFERROR(IF(N(CHOOSE(DZ74,CL74,CP74,CT74,CX74,DB74,DF74,DJ74,DN74))&lt;=0.005,0,MAX(0,N(CHOOSE(DZ74,CL74,CP74,CT74,CX74,DB74,DF74,DJ74,DN74))+N(CHOOSE(DZ74,CM74,CQ74,CU74,CY74,DC74,DG74,DK74,DO74))-MIN(N(CHOOSE(DZ74,'Debt List'!$F$5,'Debt List'!$F$6,'Debt List'!$F$7,'Debt List'!$F$8,'Debt List'!$F$9,'Debt List'!$F$10,'Debt List'!$F$11,'Debt List'!$F$12)),N(CHOOSE(DZ74,CL74,CP74,CT74,CX74,DB74,DF74,DJ74,DN74))+N(CHOOSE(DZ74,CM74,CQ74,CU74,CY74,DC74,DG74,DK74,DO74))))),0))</f>
        <v/>
      </c>
      <c r="EB74">
        <f>MIN(N(EA74),MAX(0,N(DY74)))</f>
        <v/>
      </c>
      <c r="EC74">
        <f>MAX(0,N(DY74)-N(EB74))</f>
        <v/>
      </c>
      <c r="ED74">
        <f>IFERROR(MATCH(4,OrderSnow,0),"")</f>
        <v/>
      </c>
      <c r="EE74">
        <f>IF(ED74="",0,IFERROR(IF(N(CHOOSE(ED74,CL74,CP74,CT74,CX74,DB74,DF74,DJ74,DN74))&lt;=0.005,0,MAX(0,N(CHOOSE(ED74,CL74,CP74,CT74,CX74,DB74,DF74,DJ74,DN74))+N(CHOOSE(ED74,CM74,CQ74,CU74,CY74,DC74,DG74,DK74,DO74))-MIN(N(CHOOSE(ED74,'Debt List'!$F$5,'Debt List'!$F$6,'Debt List'!$F$7,'Debt List'!$F$8,'Debt List'!$F$9,'Debt List'!$F$10,'Debt List'!$F$11,'Debt List'!$F$12)),N(CHOOSE(ED74,CL74,CP74,CT74,CX74,DB74,DF74,DJ74,DN74))+N(CHOOSE(ED74,CM74,CQ74,CU74,CY74,DC74,DG74,DK74,DO74))))),0))</f>
        <v/>
      </c>
      <c r="EF74">
        <f>MIN(N(EE74),MAX(0,N(EC74)))</f>
        <v/>
      </c>
      <c r="EG74">
        <f>MAX(0,N(EC74)-N(EF74))</f>
        <v/>
      </c>
      <c r="EH74">
        <f>IFERROR(MATCH(5,OrderSnow,0),"")</f>
        <v/>
      </c>
      <c r="EI74">
        <f>IF(EH74="",0,IFERROR(IF(N(CHOOSE(EH74,CL74,CP74,CT74,CX74,DB74,DF74,DJ74,DN74))&lt;=0.005,0,MAX(0,N(CHOOSE(EH74,CL74,CP74,CT74,CX74,DB74,DF74,DJ74,DN74))+N(CHOOSE(EH74,CM74,CQ74,CU74,CY74,DC74,DG74,DK74,DO74))-MIN(N(CHOOSE(EH74,'Debt List'!$F$5,'Debt List'!$F$6,'Debt List'!$F$7,'Debt List'!$F$8,'Debt List'!$F$9,'Debt List'!$F$10,'Debt List'!$F$11,'Debt List'!$F$12)),N(CHOOSE(EH74,CL74,CP74,CT74,CX74,DB74,DF74,DJ74,DN74))+N(CHOOSE(EH74,CM74,CQ74,CU74,CY74,DC74,DG74,DK74,DO74))))),0))</f>
        <v/>
      </c>
      <c r="EJ74">
        <f>MIN(N(EI74),MAX(0,N(EG74)))</f>
        <v/>
      </c>
      <c r="EK74">
        <f>MAX(0,N(EG74)-N(EJ74))</f>
        <v/>
      </c>
      <c r="EL74">
        <f>IFERROR(MATCH(6,OrderSnow,0),"")</f>
        <v/>
      </c>
      <c r="EM74">
        <f>IF(EL74="",0,IFERROR(IF(N(CHOOSE(EL74,CL74,CP74,CT74,CX74,DB74,DF74,DJ74,DN74))&lt;=0.005,0,MAX(0,N(CHOOSE(EL74,CL74,CP74,CT74,CX74,DB74,DF74,DJ74,DN74))+N(CHOOSE(EL74,CM74,CQ74,CU74,CY74,DC74,DG74,DK74,DO74))-MIN(N(CHOOSE(EL74,'Debt List'!$F$5,'Debt List'!$F$6,'Debt List'!$F$7,'Debt List'!$F$8,'Debt List'!$F$9,'Debt List'!$F$10,'Debt List'!$F$11,'Debt List'!$F$12)),N(CHOOSE(EL74,CL74,CP74,CT74,CX74,DB74,DF74,DJ74,DN74))+N(CHOOSE(EL74,CM74,CQ74,CU74,CY74,DC74,DG74,DK74,DO74))))),0))</f>
        <v/>
      </c>
      <c r="EN74">
        <f>MIN(N(EM74),MAX(0,N(EK74)))</f>
        <v/>
      </c>
      <c r="EO74">
        <f>MAX(0,N(EK74)-N(EN74))</f>
        <v/>
      </c>
      <c r="EP74">
        <f>IFERROR(MATCH(7,OrderSnow,0),"")</f>
        <v/>
      </c>
      <c r="EQ74">
        <f>IF(EP74="",0,IFERROR(IF(N(CHOOSE(EP74,CL74,CP74,CT74,CX74,DB74,DF74,DJ74,DN74))&lt;=0.005,0,MAX(0,N(CHOOSE(EP74,CL74,CP74,CT74,CX74,DB74,DF74,DJ74,DN74))+N(CHOOSE(EP74,CM74,CQ74,CU74,CY74,DC74,DG74,DK74,DO74))-MIN(N(CHOOSE(EP74,'Debt List'!$F$5,'Debt List'!$F$6,'Debt List'!$F$7,'Debt List'!$F$8,'Debt List'!$F$9,'Debt List'!$F$10,'Debt List'!$F$11,'Debt List'!$F$12)),N(CHOOSE(EP74,CL74,CP74,CT74,CX74,DB74,DF74,DJ74,DN74))+N(CHOOSE(EP74,CM74,CQ74,CU74,CY74,DC74,DG74,DK74,DO74))))),0))</f>
        <v/>
      </c>
      <c r="ER74">
        <f>MIN(N(EQ74),MAX(0,N(EO74)))</f>
        <v/>
      </c>
      <c r="ES74">
        <f>MAX(0,N(EO74)-N(ER74))</f>
        <v/>
      </c>
      <c r="ET74">
        <f>IFERROR(MATCH(8,OrderSnow,0),"")</f>
        <v/>
      </c>
      <c r="EU74">
        <f>IF(ET74="",0,IFERROR(IF(N(CHOOSE(ET74,CL74,CP74,CT74,CX74,DB74,DF74,DJ74,DN74))&lt;=0.005,0,MAX(0,N(CHOOSE(ET74,CL74,CP74,CT74,CX74,DB74,DF74,DJ74,DN74))+N(CHOOSE(ET74,CM74,CQ74,CU74,CY74,DC74,DG74,DK74,DO74))-MIN(N(CHOOSE(ET74,'Debt List'!$F$5,'Debt List'!$F$6,'Debt List'!$F$7,'Debt List'!$F$8,'Debt List'!$F$9,'Debt List'!$F$10,'Debt List'!$F$11,'Debt List'!$F$12)),N(CHOOSE(ET74,CL74,CP74,CT74,CX74,DB74,DF74,DJ74,DN74))+N(CHOOSE(ET74,CM74,CQ74,CU74,CY74,DC74,DG74,DK74,DO74))))),0))</f>
        <v/>
      </c>
      <c r="EV74">
        <f>MIN(N(EU74),MAX(0,N(ES74)))</f>
        <v/>
      </c>
      <c r="EW74">
        <f>MAX(0,N(ES74)-N(EV74))</f>
        <v/>
      </c>
      <c r="FE74" t="n">
        <v>70</v>
      </c>
      <c r="FF74" s="115">
        <f>DATE(YEAR(PlanStart),MONTH(PlanStart)+FE74-1,1)</f>
        <v/>
      </c>
      <c r="FG74">
        <f>IF(AND(GT74&lt;&gt;"",N(CHOOSE(GT74,FN74,FR74,FV74,FZ74,GD74,GH74,GL74,GP74))&gt;0.005),INDEX(DebtNames,GT74),IF(AND(GX74&lt;&gt;"",N(CHOOSE(GX74,FN74,FR74,FV74,FZ74,GD74,GH74,GL74,GP74))&gt;0.005),INDEX(DebtNames,GX74),IF(AND(HB74&lt;&gt;"",N(CHOOSE(HB74,FN74,FR74,FV74,FZ74,GD74,GH74,GL74,GP74))&gt;0.005),INDEX(DebtNames,HB74),IF(AND(HF74&lt;&gt;"",N(CHOOSE(HF74,FN74,FR74,FV74,FZ74,GD74,GH74,GL74,GP74))&gt;0.005),INDEX(DebtNames,HF74),IF(AND(HJ74&lt;&gt;"",N(CHOOSE(HJ74,FN74,FR74,FV74,FZ74,GD74,GH74,GL74,GP74))&gt;0.005),INDEX(DebtNames,HJ74),IF(AND(HN74&lt;&gt;"",N(CHOOSE(HN74,FN74,FR74,FV74,FZ74,GD74,GH74,GL74,GP74))&gt;0.005),INDEX(DebtNames,HN74),IF(AND(HR74&lt;&gt;"",N(CHOOSE(HR74,FN74,FR74,FV74,FZ74,GD74,GH74,GL74,GP74))&gt;0.005),INDEX(DebtNames,HR74),IF(AND(HV74&lt;&gt;"",N(CHOOSE(HV74,FN74,FR74,FV74,FZ74,GD74,GH74,GL74,GP74))&gt;0.005),INDEX(DebtNames,HV74),""))))))))</f>
        <v/>
      </c>
      <c r="FH74">
        <f>N(HY74)</f>
        <v/>
      </c>
      <c r="FI74">
        <f>N(FP74)+N(FT74)+N(FX74)+N(GB74)+N(GF74)+N(GJ74)+N(GN74)+N(GR74)</f>
        <v/>
      </c>
      <c r="FJ74">
        <f>N(FO74)+N(FS74)+N(FW74)+N(GA74)+N(GE74)+N(GI74)+N(GM74)+N(GQ74)</f>
        <v/>
      </c>
      <c r="FK74">
        <f>N(FK73)+N(FJ74)</f>
        <v/>
      </c>
      <c r="FL74">
        <f>N(FQ74)+N(FU74)+N(FY74)+N(GC74)+N(GG74)+N(GK74)+N(GO74)+N(GS74)</f>
        <v/>
      </c>
      <c r="FM74">
        <f>(FQ74&gt;0.005)*1+(FU74&gt;0.005)*1+(FY74&gt;0.005)*1+(GC74&gt;0.005)*1+(GG74&gt;0.005)*1+(GK74&gt;0.005)*1+(GO74&gt;0.005)*1+(GS74&gt;0.005)*1</f>
        <v/>
      </c>
      <c r="FN74">
        <f>N(FQ73)</f>
        <v/>
      </c>
      <c r="FO74">
        <f>IF(N(FN74)&lt;=0.005,0,ROUND(N(FN74)*N('Debt List'!E5)/12,2))</f>
        <v/>
      </c>
      <c r="FP74">
        <f>IF(N(FN74)&lt;=0.005,0,MIN(N('Debt List'!F5),N(FN74)+N(FO74)))+((GT74=1)*GV74+(GX74=1)*GZ74+(HB74=1)*HD74+(HF74=1)*HH74+(HJ74=1)*HL74+(HN74=1)*HP74+(HR74=1)*HT74+(HV74=1)*HX74)</f>
        <v/>
      </c>
      <c r="FQ74">
        <f>MAX(0,ROUND(N(FN74)+N(FO74)-N(FP74),2))</f>
        <v/>
      </c>
      <c r="FR74">
        <f>N(FU73)</f>
        <v/>
      </c>
      <c r="FS74">
        <f>IF(N(FR74)&lt;=0.005,0,ROUND(N(FR74)*N('Debt List'!E6)/12,2))</f>
        <v/>
      </c>
      <c r="FT74">
        <f>IF(N(FR74)&lt;=0.005,0,MIN(N('Debt List'!F6),N(FR74)+N(FS74)))+((GT74=2)*GV74+(GX74=2)*GZ74+(HB74=2)*HD74+(HF74=2)*HH74+(HJ74=2)*HL74+(HN74=2)*HP74+(HR74=2)*HT74+(HV74=2)*HX74)</f>
        <v/>
      </c>
      <c r="FU74">
        <f>MAX(0,ROUND(N(FR74)+N(FS74)-N(FT74),2))</f>
        <v/>
      </c>
      <c r="FV74">
        <f>N(FY73)</f>
        <v/>
      </c>
      <c r="FW74">
        <f>IF(N(FV74)&lt;=0.005,0,ROUND(N(FV74)*N('Debt List'!E7)/12,2))</f>
        <v/>
      </c>
      <c r="FX74">
        <f>IF(N(FV74)&lt;=0.005,0,MIN(N('Debt List'!F7),N(FV74)+N(FW74)))+((GT74=3)*GV74+(GX74=3)*GZ74+(HB74=3)*HD74+(HF74=3)*HH74+(HJ74=3)*HL74+(HN74=3)*HP74+(HR74=3)*HT74+(HV74=3)*HX74)</f>
        <v/>
      </c>
      <c r="FY74">
        <f>MAX(0,ROUND(N(FV74)+N(FW74)-N(FX74),2))</f>
        <v/>
      </c>
      <c r="FZ74">
        <f>N(GC73)</f>
        <v/>
      </c>
      <c r="GA74">
        <f>IF(N(FZ74)&lt;=0.005,0,ROUND(N(FZ74)*N('Debt List'!E8)/12,2))</f>
        <v/>
      </c>
      <c r="GB74">
        <f>IF(N(FZ74)&lt;=0.005,0,MIN(N('Debt List'!F8),N(FZ74)+N(GA74)))+((GT74=4)*GV74+(GX74=4)*GZ74+(HB74=4)*HD74+(HF74=4)*HH74+(HJ74=4)*HL74+(HN74=4)*HP74+(HR74=4)*HT74+(HV74=4)*HX74)</f>
        <v/>
      </c>
      <c r="GC74">
        <f>MAX(0,ROUND(N(FZ74)+N(GA74)-N(GB74),2))</f>
        <v/>
      </c>
      <c r="GD74">
        <f>N(GG73)</f>
        <v/>
      </c>
      <c r="GE74">
        <f>IF(N(GD74)&lt;=0.005,0,ROUND(N(GD74)*N('Debt List'!E9)/12,2))</f>
        <v/>
      </c>
      <c r="GF74">
        <f>IF(N(GD74)&lt;=0.005,0,MIN(N('Debt List'!F9),N(GD74)+N(GE74)))+((GT74=5)*GV74+(GX74=5)*GZ74+(HB74=5)*HD74+(HF74=5)*HH74+(HJ74=5)*HL74+(HN74=5)*HP74+(HR74=5)*HT74+(HV74=5)*HX74)</f>
        <v/>
      </c>
      <c r="GG74">
        <f>MAX(0,ROUND(N(GD74)+N(GE74)-N(GF74),2))</f>
        <v/>
      </c>
      <c r="GH74">
        <f>N(GK73)</f>
        <v/>
      </c>
      <c r="GI74">
        <f>IF(N(GH74)&lt;=0.005,0,ROUND(N(GH74)*N('Debt List'!E10)/12,2))</f>
        <v/>
      </c>
      <c r="GJ74">
        <f>IF(N(GH74)&lt;=0.005,0,MIN(N('Debt List'!F10),N(GH74)+N(GI74)))+((GT74=6)*GV74+(GX74=6)*GZ74+(HB74=6)*HD74+(HF74=6)*HH74+(HJ74=6)*HL74+(HN74=6)*HP74+(HR74=6)*HT74+(HV74=6)*HX74)</f>
        <v/>
      </c>
      <c r="GK74">
        <f>MAX(0,ROUND(N(GH74)+N(GI74)-N(GJ74),2))</f>
        <v/>
      </c>
      <c r="GL74">
        <f>N(GO73)</f>
        <v/>
      </c>
      <c r="GM74">
        <f>IF(N(GL74)&lt;=0.005,0,ROUND(N(GL74)*N('Debt List'!E11)/12,2))</f>
        <v/>
      </c>
      <c r="GN74">
        <f>IF(N(GL74)&lt;=0.005,0,MIN(N('Debt List'!F11),N(GL74)+N(GM74)))+((GT74=7)*GV74+(GX74=7)*GZ74+(HB74=7)*HD74+(HF74=7)*HH74+(HJ74=7)*HL74+(HN74=7)*HP74+(HR74=7)*HT74+(HV74=7)*HX74)</f>
        <v/>
      </c>
      <c r="GO74">
        <f>MAX(0,ROUND(N(GL74)+N(GM74)-N(GN74),2))</f>
        <v/>
      </c>
      <c r="GP74">
        <f>N(GS73)</f>
        <v/>
      </c>
      <c r="GQ74">
        <f>IF(N(GP74)&lt;=0.005,0,ROUND(N(GP74)*N('Debt List'!E12)/12,2))</f>
        <v/>
      </c>
      <c r="GR74">
        <f>IF(N(GP74)&lt;=0.005,0,MIN(N('Debt List'!F12),N(GP74)+N(GQ74)))+((GT74=8)*GV74+(GX74=8)*GZ74+(HB74=8)*HD74+(HF74=8)*HH74+(HJ74=8)*HL74+(HN74=8)*HP74+(HR74=8)*HT74+(HV74=8)*HX74)</f>
        <v/>
      </c>
      <c r="GS74">
        <f>MAX(0,ROUND(N(GP74)+N(GQ74)-N(GR74),2))</f>
        <v/>
      </c>
      <c r="GT74">
        <f>IFERROR(MATCH(1,OrderAval,0),"")</f>
        <v/>
      </c>
      <c r="GU74">
        <f>IF(GT74="",0,IFERROR(IF(N(CHOOSE(GT74,FN74,FR74,FV74,FZ74,GD74,GH74,GL74,GP74))&lt;=0.005,0,MAX(0,N(CHOOSE(GT74,FN74,FR74,FV74,FZ74,GD74,GH74,GL74,GP74))+N(CHOOSE(GT74,FO74,FS74,FW74,GA74,GE74,GI74,GM74,GQ74))-MIN(N(CHOOSE(GT74,'Debt List'!$F$5,'Debt List'!$F$6,'Debt List'!$F$7,'Debt List'!$F$8,'Debt List'!$F$9,'Debt List'!$F$10,'Debt List'!$F$11,'Debt List'!$F$12)),N(CHOOSE(GT74,FN74,FR74,FV74,FZ74,GD74,GH74,GL74,GP74))+N(CHOOSE(GT74,FO74,FS74,FW74,GA74,GE74,GI74,GM74,GQ74))))),0))</f>
        <v/>
      </c>
      <c r="GV74">
        <f>MIN(N(GU74),MAX(0,N(ExtraPayment)))</f>
        <v/>
      </c>
      <c r="GW74">
        <f>MAX(0,N(ExtraPayment)-N(GV74))</f>
        <v/>
      </c>
      <c r="GX74">
        <f>IFERROR(MATCH(2,OrderAval,0),"")</f>
        <v/>
      </c>
      <c r="GY74">
        <f>IF(GX74="",0,IFERROR(IF(N(CHOOSE(GX74,FN74,FR74,FV74,FZ74,GD74,GH74,GL74,GP74))&lt;=0.005,0,MAX(0,N(CHOOSE(GX74,FN74,FR74,FV74,FZ74,GD74,GH74,GL74,GP74))+N(CHOOSE(GX74,FO74,FS74,FW74,GA74,GE74,GI74,GM74,GQ74))-MIN(N(CHOOSE(GX74,'Debt List'!$F$5,'Debt List'!$F$6,'Debt List'!$F$7,'Debt List'!$F$8,'Debt List'!$F$9,'Debt List'!$F$10,'Debt List'!$F$11,'Debt List'!$F$12)),N(CHOOSE(GX74,FN74,FR74,FV74,FZ74,GD74,GH74,GL74,GP74))+N(CHOOSE(GX74,FO74,FS74,FW74,GA74,GE74,GI74,GM74,GQ74))))),0))</f>
        <v/>
      </c>
      <c r="GZ74">
        <f>MIN(N(GY74),MAX(0,N(GW74)))</f>
        <v/>
      </c>
      <c r="HA74">
        <f>MAX(0,N(GW74)-N(GZ74))</f>
        <v/>
      </c>
      <c r="HB74">
        <f>IFERROR(MATCH(3,OrderAval,0),"")</f>
        <v/>
      </c>
      <c r="HC74">
        <f>IF(HB74="",0,IFERROR(IF(N(CHOOSE(HB74,FN74,FR74,FV74,FZ74,GD74,GH74,GL74,GP74))&lt;=0.005,0,MAX(0,N(CHOOSE(HB74,FN74,FR74,FV74,FZ74,GD74,GH74,GL74,GP74))+N(CHOOSE(HB74,FO74,FS74,FW74,GA74,GE74,GI74,GM74,GQ74))-MIN(N(CHOOSE(HB74,'Debt List'!$F$5,'Debt List'!$F$6,'Debt List'!$F$7,'Debt List'!$F$8,'Debt List'!$F$9,'Debt List'!$F$10,'Debt List'!$F$11,'Debt List'!$F$12)),N(CHOOSE(HB74,FN74,FR74,FV74,FZ74,GD74,GH74,GL74,GP74))+N(CHOOSE(HB74,FO74,FS74,FW74,GA74,GE74,GI74,GM74,GQ74))))),0))</f>
        <v/>
      </c>
      <c r="HD74">
        <f>MIN(N(HC74),MAX(0,N(HA74)))</f>
        <v/>
      </c>
      <c r="HE74">
        <f>MAX(0,N(HA74)-N(HD74))</f>
        <v/>
      </c>
      <c r="HF74">
        <f>IFERROR(MATCH(4,OrderAval,0),"")</f>
        <v/>
      </c>
      <c r="HG74">
        <f>IF(HF74="",0,IFERROR(IF(N(CHOOSE(HF74,FN74,FR74,FV74,FZ74,GD74,GH74,GL74,GP74))&lt;=0.005,0,MAX(0,N(CHOOSE(HF74,FN74,FR74,FV74,FZ74,GD74,GH74,GL74,GP74))+N(CHOOSE(HF74,FO74,FS74,FW74,GA74,GE74,GI74,GM74,GQ74))-MIN(N(CHOOSE(HF74,'Debt List'!$F$5,'Debt List'!$F$6,'Debt List'!$F$7,'Debt List'!$F$8,'Debt List'!$F$9,'Debt List'!$F$10,'Debt List'!$F$11,'Debt List'!$F$12)),N(CHOOSE(HF74,FN74,FR74,FV74,FZ74,GD74,GH74,GL74,GP74))+N(CHOOSE(HF74,FO74,FS74,FW74,GA74,GE74,GI74,GM74,GQ74))))),0))</f>
        <v/>
      </c>
      <c r="HH74">
        <f>MIN(N(HG74),MAX(0,N(HE74)))</f>
        <v/>
      </c>
      <c r="HI74">
        <f>MAX(0,N(HE74)-N(HH74))</f>
        <v/>
      </c>
      <c r="HJ74">
        <f>IFERROR(MATCH(5,OrderAval,0),"")</f>
        <v/>
      </c>
      <c r="HK74">
        <f>IF(HJ74="",0,IFERROR(IF(N(CHOOSE(HJ74,FN74,FR74,FV74,FZ74,GD74,GH74,GL74,GP74))&lt;=0.005,0,MAX(0,N(CHOOSE(HJ74,FN74,FR74,FV74,FZ74,GD74,GH74,GL74,GP74))+N(CHOOSE(HJ74,FO74,FS74,FW74,GA74,GE74,GI74,GM74,GQ74))-MIN(N(CHOOSE(HJ74,'Debt List'!$F$5,'Debt List'!$F$6,'Debt List'!$F$7,'Debt List'!$F$8,'Debt List'!$F$9,'Debt List'!$F$10,'Debt List'!$F$11,'Debt List'!$F$12)),N(CHOOSE(HJ74,FN74,FR74,FV74,FZ74,GD74,GH74,GL74,GP74))+N(CHOOSE(HJ74,FO74,FS74,FW74,GA74,GE74,GI74,GM74,GQ74))))),0))</f>
        <v/>
      </c>
      <c r="HL74">
        <f>MIN(N(HK74),MAX(0,N(HI74)))</f>
        <v/>
      </c>
      <c r="HM74">
        <f>MAX(0,N(HI74)-N(HL74))</f>
        <v/>
      </c>
      <c r="HN74">
        <f>IFERROR(MATCH(6,OrderAval,0),"")</f>
        <v/>
      </c>
      <c r="HO74">
        <f>IF(HN74="",0,IFERROR(IF(N(CHOOSE(HN74,FN74,FR74,FV74,FZ74,GD74,GH74,GL74,GP74))&lt;=0.005,0,MAX(0,N(CHOOSE(HN74,FN74,FR74,FV74,FZ74,GD74,GH74,GL74,GP74))+N(CHOOSE(HN74,FO74,FS74,FW74,GA74,GE74,GI74,GM74,GQ74))-MIN(N(CHOOSE(HN74,'Debt List'!$F$5,'Debt List'!$F$6,'Debt List'!$F$7,'Debt List'!$F$8,'Debt List'!$F$9,'Debt List'!$F$10,'Debt List'!$F$11,'Debt List'!$F$12)),N(CHOOSE(HN74,FN74,FR74,FV74,FZ74,GD74,GH74,GL74,GP74))+N(CHOOSE(HN74,FO74,FS74,FW74,GA74,GE74,GI74,GM74,GQ74))))),0))</f>
        <v/>
      </c>
      <c r="HP74">
        <f>MIN(N(HO74),MAX(0,N(HM74)))</f>
        <v/>
      </c>
      <c r="HQ74">
        <f>MAX(0,N(HM74)-N(HP74))</f>
        <v/>
      </c>
      <c r="HR74">
        <f>IFERROR(MATCH(7,OrderAval,0),"")</f>
        <v/>
      </c>
      <c r="HS74">
        <f>IF(HR74="",0,IFERROR(IF(N(CHOOSE(HR74,FN74,FR74,FV74,FZ74,GD74,GH74,GL74,GP74))&lt;=0.005,0,MAX(0,N(CHOOSE(HR74,FN74,FR74,FV74,FZ74,GD74,GH74,GL74,GP74))+N(CHOOSE(HR74,FO74,FS74,FW74,GA74,GE74,GI74,GM74,GQ74))-MIN(N(CHOOSE(HR74,'Debt List'!$F$5,'Debt List'!$F$6,'Debt List'!$F$7,'Debt List'!$F$8,'Debt List'!$F$9,'Debt List'!$F$10,'Debt List'!$F$11,'Debt List'!$F$12)),N(CHOOSE(HR74,FN74,FR74,FV74,FZ74,GD74,GH74,GL74,GP74))+N(CHOOSE(HR74,FO74,FS74,FW74,GA74,GE74,GI74,GM74,GQ74))))),0))</f>
        <v/>
      </c>
      <c r="HT74">
        <f>MIN(N(HS74),MAX(0,N(HQ74)))</f>
        <v/>
      </c>
      <c r="HU74">
        <f>MAX(0,N(HQ74)-N(HT74))</f>
        <v/>
      </c>
      <c r="HV74">
        <f>IFERROR(MATCH(8,OrderAval,0),"")</f>
        <v/>
      </c>
      <c r="HW74">
        <f>IF(HV74="",0,IFERROR(IF(N(CHOOSE(HV74,FN74,FR74,FV74,FZ74,GD74,GH74,GL74,GP74))&lt;=0.005,0,MAX(0,N(CHOOSE(HV74,FN74,FR74,FV74,FZ74,GD74,GH74,GL74,GP74))+N(CHOOSE(HV74,FO74,FS74,FW74,GA74,GE74,GI74,GM74,GQ74))-MIN(N(CHOOSE(HV74,'Debt List'!$F$5,'Debt List'!$F$6,'Debt List'!$F$7,'Debt List'!$F$8,'Debt List'!$F$9,'Debt List'!$F$10,'Debt List'!$F$11,'Debt List'!$F$12)),N(CHOOSE(HV74,FN74,FR74,FV74,FZ74,GD74,GH74,GL74,GP74))+N(CHOOSE(HV74,FO74,FS74,FW74,GA74,GE74,GI74,GM74,GQ74))))),0))</f>
        <v/>
      </c>
      <c r="HX74">
        <f>MIN(N(HW74),MAX(0,N(HU74)))</f>
        <v/>
      </c>
      <c r="HY74">
        <f>MAX(0,N(HU74)-N(HX74))</f>
        <v/>
      </c>
    </row>
    <row r="75">
      <c r="A75" t="n">
        <v>71</v>
      </c>
      <c r="B75" s="115">
        <f>DATE(YEAR(PlanStart),MONTH(PlanStart)+A75-1,1)</f>
        <v/>
      </c>
      <c r="C75">
        <f>IF(AND(AP75&lt;&gt;"",N(CHOOSE(AP75,J75,N75,R75,V75,Z75,AD75,AH75,AL75))&gt;0.005),INDEX(DebtNames,AP75),IF(AND(AT75&lt;&gt;"",N(CHOOSE(AT75,J75,N75,R75,V75,Z75,AD75,AH75,AL75))&gt;0.005),INDEX(DebtNames,AT75),IF(AND(AX75&lt;&gt;"",N(CHOOSE(AX75,J75,N75,R75,V75,Z75,AD75,AH75,AL75))&gt;0.005),INDEX(DebtNames,AX75),IF(AND(BB75&lt;&gt;"",N(CHOOSE(BB75,J75,N75,R75,V75,Z75,AD75,AH75,AL75))&gt;0.005),INDEX(DebtNames,BB75),IF(AND(BF75&lt;&gt;"",N(CHOOSE(BF75,J75,N75,R75,V75,Z75,AD75,AH75,AL75))&gt;0.005),INDEX(DebtNames,BF75),IF(AND(BJ75&lt;&gt;"",N(CHOOSE(BJ75,J75,N75,R75,V75,Z75,AD75,AH75,AL75))&gt;0.005),INDEX(DebtNames,BJ75),IF(AND(BN75&lt;&gt;"",N(CHOOSE(BN75,J75,N75,R75,V75,Z75,AD75,AH75,AL75))&gt;0.005),INDEX(DebtNames,BN75),IF(AND(BR75&lt;&gt;"",N(CHOOSE(BR75,J75,N75,R75,V75,Z75,AD75,AH75,AL75))&gt;0.005),INDEX(DebtNames,BR75),""))))))))</f>
        <v/>
      </c>
      <c r="D75">
        <f>N(BU75)</f>
        <v/>
      </c>
      <c r="E75">
        <f>N(L75)+N(P75)+N(T75)+N(X75)+N(AB75)+N(AF75)+N(AJ75)+N(AN75)</f>
        <v/>
      </c>
      <c r="F75">
        <f>N(K75)+N(O75)+N(S75)+N(W75)+N(AA75)+N(AE75)+N(AI75)+N(AM75)</f>
        <v/>
      </c>
      <c r="G75">
        <f>N(G74)+N(F75)</f>
        <v/>
      </c>
      <c r="H75">
        <f>N(M75)+N(Q75)+N(U75)+N(Y75)+N(AC75)+N(AG75)+N(AK75)+N(AO75)</f>
        <v/>
      </c>
      <c r="I75">
        <f>(M75&gt;0.005)*1+(Q75&gt;0.005)*1+(U75&gt;0.005)*1+(Y75&gt;0.005)*1+(AC75&gt;0.005)*1+(AG75&gt;0.005)*1+(AK75&gt;0.005)*1+(AO75&gt;0.005)*1</f>
        <v/>
      </c>
      <c r="J75">
        <f>N(M74)</f>
        <v/>
      </c>
      <c r="K75">
        <f>IF(N(J75)&lt;=0.005,0,ROUND(N(J75)*N('Debt List'!E5)/12,2))</f>
        <v/>
      </c>
      <c r="L75">
        <f>IF(N(J75)&lt;=0.005,0,MIN(N('Debt List'!F5),N(J75)+N(K75)))+((AP75=1)*AR75+(AT75=1)*AV75+(AX75=1)*AZ75+(BB75=1)*BD75+(BF75=1)*BH75+(BJ75=1)*BL75+(BN75=1)*BP75+(BR75=1)*BT75)</f>
        <v/>
      </c>
      <c r="M75">
        <f>MAX(0,ROUND(N(J75)+N(K75)-N(L75),2))</f>
        <v/>
      </c>
      <c r="N75">
        <f>N(Q74)</f>
        <v/>
      </c>
      <c r="O75">
        <f>IF(N(N75)&lt;=0.005,0,ROUND(N(N75)*N('Debt List'!E6)/12,2))</f>
        <v/>
      </c>
      <c r="P75">
        <f>IF(N(N75)&lt;=0.005,0,MIN(N('Debt List'!F6),N(N75)+N(O75)))+((AP75=2)*AR75+(AT75=2)*AV75+(AX75=2)*AZ75+(BB75=2)*BD75+(BF75=2)*BH75+(BJ75=2)*BL75+(BN75=2)*BP75+(BR75=2)*BT75)</f>
        <v/>
      </c>
      <c r="Q75">
        <f>MAX(0,ROUND(N(N75)+N(O75)-N(P75),2))</f>
        <v/>
      </c>
      <c r="R75">
        <f>N(U74)</f>
        <v/>
      </c>
      <c r="S75">
        <f>IF(N(R75)&lt;=0.005,0,ROUND(N(R75)*N('Debt List'!E7)/12,2))</f>
        <v/>
      </c>
      <c r="T75">
        <f>IF(N(R75)&lt;=0.005,0,MIN(N('Debt List'!F7),N(R75)+N(S75)))+((AP75=3)*AR75+(AT75=3)*AV75+(AX75=3)*AZ75+(BB75=3)*BD75+(BF75=3)*BH75+(BJ75=3)*BL75+(BN75=3)*BP75+(BR75=3)*BT75)</f>
        <v/>
      </c>
      <c r="U75">
        <f>MAX(0,ROUND(N(R75)+N(S75)-N(T75),2))</f>
        <v/>
      </c>
      <c r="V75">
        <f>N(Y74)</f>
        <v/>
      </c>
      <c r="W75">
        <f>IF(N(V75)&lt;=0.005,0,ROUND(N(V75)*N('Debt List'!E8)/12,2))</f>
        <v/>
      </c>
      <c r="X75">
        <f>IF(N(V75)&lt;=0.005,0,MIN(N('Debt List'!F8),N(V75)+N(W75)))+((AP75=4)*AR75+(AT75=4)*AV75+(AX75=4)*AZ75+(BB75=4)*BD75+(BF75=4)*BH75+(BJ75=4)*BL75+(BN75=4)*BP75+(BR75=4)*BT75)</f>
        <v/>
      </c>
      <c r="Y75">
        <f>MAX(0,ROUND(N(V75)+N(W75)-N(X75),2))</f>
        <v/>
      </c>
      <c r="Z75">
        <f>N(AC74)</f>
        <v/>
      </c>
      <c r="AA75">
        <f>IF(N(Z75)&lt;=0.005,0,ROUND(N(Z75)*N('Debt List'!E9)/12,2))</f>
        <v/>
      </c>
      <c r="AB75">
        <f>IF(N(Z75)&lt;=0.005,0,MIN(N('Debt List'!F9),N(Z75)+N(AA75)))+((AP75=5)*AR75+(AT75=5)*AV75+(AX75=5)*AZ75+(BB75=5)*BD75+(BF75=5)*BH75+(BJ75=5)*BL75+(BN75=5)*BP75+(BR75=5)*BT75)</f>
        <v/>
      </c>
      <c r="AC75">
        <f>MAX(0,ROUND(N(Z75)+N(AA75)-N(AB75),2))</f>
        <v/>
      </c>
      <c r="AD75">
        <f>N(AG74)</f>
        <v/>
      </c>
      <c r="AE75">
        <f>IF(N(AD75)&lt;=0.005,0,ROUND(N(AD75)*N('Debt List'!E10)/12,2))</f>
        <v/>
      </c>
      <c r="AF75">
        <f>IF(N(AD75)&lt;=0.005,0,MIN(N('Debt List'!F10),N(AD75)+N(AE75)))+((AP75=6)*AR75+(AT75=6)*AV75+(AX75=6)*AZ75+(BB75=6)*BD75+(BF75=6)*BH75+(BJ75=6)*BL75+(BN75=6)*BP75+(BR75=6)*BT75)</f>
        <v/>
      </c>
      <c r="AG75">
        <f>MAX(0,ROUND(N(AD75)+N(AE75)-N(AF75),2))</f>
        <v/>
      </c>
      <c r="AH75">
        <f>N(AK74)</f>
        <v/>
      </c>
      <c r="AI75">
        <f>IF(N(AH75)&lt;=0.005,0,ROUND(N(AH75)*N('Debt List'!E11)/12,2))</f>
        <v/>
      </c>
      <c r="AJ75">
        <f>IF(N(AH75)&lt;=0.005,0,MIN(N('Debt List'!F11),N(AH75)+N(AI75)))+((AP75=7)*AR75+(AT75=7)*AV75+(AX75=7)*AZ75+(BB75=7)*BD75+(BF75=7)*BH75+(BJ75=7)*BL75+(BN75=7)*BP75+(BR75=7)*BT75)</f>
        <v/>
      </c>
      <c r="AK75">
        <f>MAX(0,ROUND(N(AH75)+N(AI75)-N(AJ75),2))</f>
        <v/>
      </c>
      <c r="AL75">
        <f>N(AO74)</f>
        <v/>
      </c>
      <c r="AM75">
        <f>IF(N(AL75)&lt;=0.005,0,ROUND(N(AL75)*N('Debt List'!E12)/12,2))</f>
        <v/>
      </c>
      <c r="AN75">
        <f>IF(N(AL75)&lt;=0.005,0,MIN(N('Debt List'!F12),N(AL75)+N(AM75)))+((AP75=8)*AR75+(AT75=8)*AV75+(AX75=8)*AZ75+(BB75=8)*BD75+(BF75=8)*BH75+(BJ75=8)*BL75+(BN75=8)*BP75+(BR75=8)*BT75)</f>
        <v/>
      </c>
      <c r="AO75">
        <f>MAX(0,ROUND(N(AL75)+N(AM75)-N(AN75),2))</f>
        <v/>
      </c>
      <c r="AP75">
        <f>IFERROR(MATCH(1,OrderPlan,0),"")</f>
        <v/>
      </c>
      <c r="AQ75">
        <f>IF(AP75="",0,IFERROR(IF(N(CHOOSE(AP75,J75,N75,R75,V75,Z75,AD75,AH75,AL75))&lt;=0.005,0,MAX(0,N(CHOOSE(AP75,J75,N75,R75,V75,Z75,AD75,AH75,AL75))+N(CHOOSE(AP75,K75,O75,S75,W75,AA75,AE75,AI75,AM75))-MIN(N(CHOOSE(AP75,'Debt List'!$F$5,'Debt List'!$F$6,'Debt List'!$F$7,'Debt List'!$F$8,'Debt List'!$F$9,'Debt List'!$F$10,'Debt List'!$F$11,'Debt List'!$F$12)),N(CHOOSE(AP75,J75,N75,R75,V75,Z75,AD75,AH75,AL75))+N(CHOOSE(AP75,K75,O75,S75,W75,AA75,AE75,AI75,AM75))))),0))</f>
        <v/>
      </c>
      <c r="AR75">
        <f>MIN(N(AQ75),MAX(0,N(ExtraPayment)))</f>
        <v/>
      </c>
      <c r="AS75">
        <f>MAX(0,N(ExtraPayment)-N(AR75))</f>
        <v/>
      </c>
      <c r="AT75">
        <f>IFERROR(MATCH(2,OrderPlan,0),"")</f>
        <v/>
      </c>
      <c r="AU75">
        <f>IF(AT75="",0,IFERROR(IF(N(CHOOSE(AT75,J75,N75,R75,V75,Z75,AD75,AH75,AL75))&lt;=0.005,0,MAX(0,N(CHOOSE(AT75,J75,N75,R75,V75,Z75,AD75,AH75,AL75))+N(CHOOSE(AT75,K75,O75,S75,W75,AA75,AE75,AI75,AM75))-MIN(N(CHOOSE(AT75,'Debt List'!$F$5,'Debt List'!$F$6,'Debt List'!$F$7,'Debt List'!$F$8,'Debt List'!$F$9,'Debt List'!$F$10,'Debt List'!$F$11,'Debt List'!$F$12)),N(CHOOSE(AT75,J75,N75,R75,V75,Z75,AD75,AH75,AL75))+N(CHOOSE(AT75,K75,O75,S75,W75,AA75,AE75,AI75,AM75))))),0))</f>
        <v/>
      </c>
      <c r="AV75">
        <f>MIN(N(AU75),MAX(0,N(AS75)))</f>
        <v/>
      </c>
      <c r="AW75">
        <f>MAX(0,N(AS75)-N(AV75))</f>
        <v/>
      </c>
      <c r="AX75">
        <f>IFERROR(MATCH(3,OrderPlan,0),"")</f>
        <v/>
      </c>
      <c r="AY75">
        <f>IF(AX75="",0,IFERROR(IF(N(CHOOSE(AX75,J75,N75,R75,V75,Z75,AD75,AH75,AL75))&lt;=0.005,0,MAX(0,N(CHOOSE(AX75,J75,N75,R75,V75,Z75,AD75,AH75,AL75))+N(CHOOSE(AX75,K75,O75,S75,W75,AA75,AE75,AI75,AM75))-MIN(N(CHOOSE(AX75,'Debt List'!$F$5,'Debt List'!$F$6,'Debt List'!$F$7,'Debt List'!$F$8,'Debt List'!$F$9,'Debt List'!$F$10,'Debt List'!$F$11,'Debt List'!$F$12)),N(CHOOSE(AX75,J75,N75,R75,V75,Z75,AD75,AH75,AL75))+N(CHOOSE(AX75,K75,O75,S75,W75,AA75,AE75,AI75,AM75))))),0))</f>
        <v/>
      </c>
      <c r="AZ75">
        <f>MIN(N(AY75),MAX(0,N(AW75)))</f>
        <v/>
      </c>
      <c r="BA75">
        <f>MAX(0,N(AW75)-N(AZ75))</f>
        <v/>
      </c>
      <c r="BB75">
        <f>IFERROR(MATCH(4,OrderPlan,0),"")</f>
        <v/>
      </c>
      <c r="BC75">
        <f>IF(BB75="",0,IFERROR(IF(N(CHOOSE(BB75,J75,N75,R75,V75,Z75,AD75,AH75,AL75))&lt;=0.005,0,MAX(0,N(CHOOSE(BB75,J75,N75,R75,V75,Z75,AD75,AH75,AL75))+N(CHOOSE(BB75,K75,O75,S75,W75,AA75,AE75,AI75,AM75))-MIN(N(CHOOSE(BB75,'Debt List'!$F$5,'Debt List'!$F$6,'Debt List'!$F$7,'Debt List'!$F$8,'Debt List'!$F$9,'Debt List'!$F$10,'Debt List'!$F$11,'Debt List'!$F$12)),N(CHOOSE(BB75,J75,N75,R75,V75,Z75,AD75,AH75,AL75))+N(CHOOSE(BB75,K75,O75,S75,W75,AA75,AE75,AI75,AM75))))),0))</f>
        <v/>
      </c>
      <c r="BD75">
        <f>MIN(N(BC75),MAX(0,N(BA75)))</f>
        <v/>
      </c>
      <c r="BE75">
        <f>MAX(0,N(BA75)-N(BD75))</f>
        <v/>
      </c>
      <c r="BF75">
        <f>IFERROR(MATCH(5,OrderPlan,0),"")</f>
        <v/>
      </c>
      <c r="BG75">
        <f>IF(BF75="",0,IFERROR(IF(N(CHOOSE(BF75,J75,N75,R75,V75,Z75,AD75,AH75,AL75))&lt;=0.005,0,MAX(0,N(CHOOSE(BF75,J75,N75,R75,V75,Z75,AD75,AH75,AL75))+N(CHOOSE(BF75,K75,O75,S75,W75,AA75,AE75,AI75,AM75))-MIN(N(CHOOSE(BF75,'Debt List'!$F$5,'Debt List'!$F$6,'Debt List'!$F$7,'Debt List'!$F$8,'Debt List'!$F$9,'Debt List'!$F$10,'Debt List'!$F$11,'Debt List'!$F$12)),N(CHOOSE(BF75,J75,N75,R75,V75,Z75,AD75,AH75,AL75))+N(CHOOSE(BF75,K75,O75,S75,W75,AA75,AE75,AI75,AM75))))),0))</f>
        <v/>
      </c>
      <c r="BH75">
        <f>MIN(N(BG75),MAX(0,N(BE75)))</f>
        <v/>
      </c>
      <c r="BI75">
        <f>MAX(0,N(BE75)-N(BH75))</f>
        <v/>
      </c>
      <c r="BJ75">
        <f>IFERROR(MATCH(6,OrderPlan,0),"")</f>
        <v/>
      </c>
      <c r="BK75">
        <f>IF(BJ75="",0,IFERROR(IF(N(CHOOSE(BJ75,J75,N75,R75,V75,Z75,AD75,AH75,AL75))&lt;=0.005,0,MAX(0,N(CHOOSE(BJ75,J75,N75,R75,V75,Z75,AD75,AH75,AL75))+N(CHOOSE(BJ75,K75,O75,S75,W75,AA75,AE75,AI75,AM75))-MIN(N(CHOOSE(BJ75,'Debt List'!$F$5,'Debt List'!$F$6,'Debt List'!$F$7,'Debt List'!$F$8,'Debt List'!$F$9,'Debt List'!$F$10,'Debt List'!$F$11,'Debt List'!$F$12)),N(CHOOSE(BJ75,J75,N75,R75,V75,Z75,AD75,AH75,AL75))+N(CHOOSE(BJ75,K75,O75,S75,W75,AA75,AE75,AI75,AM75))))),0))</f>
        <v/>
      </c>
      <c r="BL75">
        <f>MIN(N(BK75),MAX(0,N(BI75)))</f>
        <v/>
      </c>
      <c r="BM75">
        <f>MAX(0,N(BI75)-N(BL75))</f>
        <v/>
      </c>
      <c r="BN75">
        <f>IFERROR(MATCH(7,OrderPlan,0),"")</f>
        <v/>
      </c>
      <c r="BO75">
        <f>IF(BN75="",0,IFERROR(IF(N(CHOOSE(BN75,J75,N75,R75,V75,Z75,AD75,AH75,AL75))&lt;=0.005,0,MAX(0,N(CHOOSE(BN75,J75,N75,R75,V75,Z75,AD75,AH75,AL75))+N(CHOOSE(BN75,K75,O75,S75,W75,AA75,AE75,AI75,AM75))-MIN(N(CHOOSE(BN75,'Debt List'!$F$5,'Debt List'!$F$6,'Debt List'!$F$7,'Debt List'!$F$8,'Debt List'!$F$9,'Debt List'!$F$10,'Debt List'!$F$11,'Debt List'!$F$12)),N(CHOOSE(BN75,J75,N75,R75,V75,Z75,AD75,AH75,AL75))+N(CHOOSE(BN75,K75,O75,S75,W75,AA75,AE75,AI75,AM75))))),0))</f>
        <v/>
      </c>
      <c r="BP75">
        <f>MIN(N(BO75),MAX(0,N(BM75)))</f>
        <v/>
      </c>
      <c r="BQ75">
        <f>MAX(0,N(BM75)-N(BP75))</f>
        <v/>
      </c>
      <c r="BR75">
        <f>IFERROR(MATCH(8,OrderPlan,0),"")</f>
        <v/>
      </c>
      <c r="BS75">
        <f>IF(BR75="",0,IFERROR(IF(N(CHOOSE(BR75,J75,N75,R75,V75,Z75,AD75,AH75,AL75))&lt;=0.005,0,MAX(0,N(CHOOSE(BR75,J75,N75,R75,V75,Z75,AD75,AH75,AL75))+N(CHOOSE(BR75,K75,O75,S75,W75,AA75,AE75,AI75,AM75))-MIN(N(CHOOSE(BR75,'Debt List'!$F$5,'Debt List'!$F$6,'Debt List'!$F$7,'Debt List'!$F$8,'Debt List'!$F$9,'Debt List'!$F$10,'Debt List'!$F$11,'Debt List'!$F$12)),N(CHOOSE(BR75,J75,N75,R75,V75,Z75,AD75,AH75,AL75))+N(CHOOSE(BR75,K75,O75,S75,W75,AA75,AE75,AI75,AM75))))),0))</f>
        <v/>
      </c>
      <c r="BT75">
        <f>MIN(N(BS75),MAX(0,N(BQ75)))</f>
        <v/>
      </c>
      <c r="BU75">
        <f>MAX(0,N(BQ75)-N(BT75))</f>
        <v/>
      </c>
      <c r="CC75" t="n">
        <v>71</v>
      </c>
      <c r="CD75" s="115">
        <f>DATE(YEAR(PlanStart),MONTH(PlanStart)+CC75-1,1)</f>
        <v/>
      </c>
      <c r="CE75">
        <f>IF(AND(DR75&lt;&gt;"",N(CHOOSE(DR75,CL75,CP75,CT75,CX75,DB75,DF75,DJ75,DN75))&gt;0.005),INDEX(DebtNames,DR75),IF(AND(DV75&lt;&gt;"",N(CHOOSE(DV75,CL75,CP75,CT75,CX75,DB75,DF75,DJ75,DN75))&gt;0.005),INDEX(DebtNames,DV75),IF(AND(DZ75&lt;&gt;"",N(CHOOSE(DZ75,CL75,CP75,CT75,CX75,DB75,DF75,DJ75,DN75))&gt;0.005),INDEX(DebtNames,DZ75),IF(AND(ED75&lt;&gt;"",N(CHOOSE(ED75,CL75,CP75,CT75,CX75,DB75,DF75,DJ75,DN75))&gt;0.005),INDEX(DebtNames,ED75),IF(AND(EH75&lt;&gt;"",N(CHOOSE(EH75,CL75,CP75,CT75,CX75,DB75,DF75,DJ75,DN75))&gt;0.005),INDEX(DebtNames,EH75),IF(AND(EL75&lt;&gt;"",N(CHOOSE(EL75,CL75,CP75,CT75,CX75,DB75,DF75,DJ75,DN75))&gt;0.005),INDEX(DebtNames,EL75),IF(AND(EP75&lt;&gt;"",N(CHOOSE(EP75,CL75,CP75,CT75,CX75,DB75,DF75,DJ75,DN75))&gt;0.005),INDEX(DebtNames,EP75),IF(AND(ET75&lt;&gt;"",N(CHOOSE(ET75,CL75,CP75,CT75,CX75,DB75,DF75,DJ75,DN75))&gt;0.005),INDEX(DebtNames,ET75),""))))))))</f>
        <v/>
      </c>
      <c r="CF75">
        <f>N(EW75)</f>
        <v/>
      </c>
      <c r="CG75">
        <f>N(CN75)+N(CR75)+N(CV75)+N(CZ75)+N(DD75)+N(DH75)+N(DL75)+N(DP75)</f>
        <v/>
      </c>
      <c r="CH75">
        <f>N(CM75)+N(CQ75)+N(CU75)+N(CY75)+N(DC75)+N(DG75)+N(DK75)+N(DO75)</f>
        <v/>
      </c>
      <c r="CI75">
        <f>N(CI74)+N(CH75)</f>
        <v/>
      </c>
      <c r="CJ75">
        <f>N(CO75)+N(CS75)+N(CW75)+N(DA75)+N(DE75)+N(DI75)+N(DM75)+N(DQ75)</f>
        <v/>
      </c>
      <c r="CK75">
        <f>(CO75&gt;0.005)*1+(CS75&gt;0.005)*1+(CW75&gt;0.005)*1+(DA75&gt;0.005)*1+(DE75&gt;0.005)*1+(DI75&gt;0.005)*1+(DM75&gt;0.005)*1+(DQ75&gt;0.005)*1</f>
        <v/>
      </c>
      <c r="CL75">
        <f>N(CO74)</f>
        <v/>
      </c>
      <c r="CM75">
        <f>IF(N(CL75)&lt;=0.005,0,ROUND(N(CL75)*N('Debt List'!E5)/12,2))</f>
        <v/>
      </c>
      <c r="CN75">
        <f>IF(N(CL75)&lt;=0.005,0,MIN(N('Debt List'!F5),N(CL75)+N(CM75)))+((DR75=1)*DT75+(DV75=1)*DX75+(DZ75=1)*EB75+(ED75=1)*EF75+(EH75=1)*EJ75+(EL75=1)*EN75+(EP75=1)*ER75+(ET75=1)*EV75)</f>
        <v/>
      </c>
      <c r="CO75">
        <f>MAX(0,ROUND(N(CL75)+N(CM75)-N(CN75),2))</f>
        <v/>
      </c>
      <c r="CP75">
        <f>N(CS74)</f>
        <v/>
      </c>
      <c r="CQ75">
        <f>IF(N(CP75)&lt;=0.005,0,ROUND(N(CP75)*N('Debt List'!E6)/12,2))</f>
        <v/>
      </c>
      <c r="CR75">
        <f>IF(N(CP75)&lt;=0.005,0,MIN(N('Debt List'!F6),N(CP75)+N(CQ75)))+((DR75=2)*DT75+(DV75=2)*DX75+(DZ75=2)*EB75+(ED75=2)*EF75+(EH75=2)*EJ75+(EL75=2)*EN75+(EP75=2)*ER75+(ET75=2)*EV75)</f>
        <v/>
      </c>
      <c r="CS75">
        <f>MAX(0,ROUND(N(CP75)+N(CQ75)-N(CR75),2))</f>
        <v/>
      </c>
      <c r="CT75">
        <f>N(CW74)</f>
        <v/>
      </c>
      <c r="CU75">
        <f>IF(N(CT75)&lt;=0.005,0,ROUND(N(CT75)*N('Debt List'!E7)/12,2))</f>
        <v/>
      </c>
      <c r="CV75">
        <f>IF(N(CT75)&lt;=0.005,0,MIN(N('Debt List'!F7),N(CT75)+N(CU75)))+((DR75=3)*DT75+(DV75=3)*DX75+(DZ75=3)*EB75+(ED75=3)*EF75+(EH75=3)*EJ75+(EL75=3)*EN75+(EP75=3)*ER75+(ET75=3)*EV75)</f>
        <v/>
      </c>
      <c r="CW75">
        <f>MAX(0,ROUND(N(CT75)+N(CU75)-N(CV75),2))</f>
        <v/>
      </c>
      <c r="CX75">
        <f>N(DA74)</f>
        <v/>
      </c>
      <c r="CY75">
        <f>IF(N(CX75)&lt;=0.005,0,ROUND(N(CX75)*N('Debt List'!E8)/12,2))</f>
        <v/>
      </c>
      <c r="CZ75">
        <f>IF(N(CX75)&lt;=0.005,0,MIN(N('Debt List'!F8),N(CX75)+N(CY75)))+((DR75=4)*DT75+(DV75=4)*DX75+(DZ75=4)*EB75+(ED75=4)*EF75+(EH75=4)*EJ75+(EL75=4)*EN75+(EP75=4)*ER75+(ET75=4)*EV75)</f>
        <v/>
      </c>
      <c r="DA75">
        <f>MAX(0,ROUND(N(CX75)+N(CY75)-N(CZ75),2))</f>
        <v/>
      </c>
      <c r="DB75">
        <f>N(DE74)</f>
        <v/>
      </c>
      <c r="DC75">
        <f>IF(N(DB75)&lt;=0.005,0,ROUND(N(DB75)*N('Debt List'!E9)/12,2))</f>
        <v/>
      </c>
      <c r="DD75">
        <f>IF(N(DB75)&lt;=0.005,0,MIN(N('Debt List'!F9),N(DB75)+N(DC75)))+((DR75=5)*DT75+(DV75=5)*DX75+(DZ75=5)*EB75+(ED75=5)*EF75+(EH75=5)*EJ75+(EL75=5)*EN75+(EP75=5)*ER75+(ET75=5)*EV75)</f>
        <v/>
      </c>
      <c r="DE75">
        <f>MAX(0,ROUND(N(DB75)+N(DC75)-N(DD75),2))</f>
        <v/>
      </c>
      <c r="DF75">
        <f>N(DI74)</f>
        <v/>
      </c>
      <c r="DG75">
        <f>IF(N(DF75)&lt;=0.005,0,ROUND(N(DF75)*N('Debt List'!E10)/12,2))</f>
        <v/>
      </c>
      <c r="DH75">
        <f>IF(N(DF75)&lt;=0.005,0,MIN(N('Debt List'!F10),N(DF75)+N(DG75)))+((DR75=6)*DT75+(DV75=6)*DX75+(DZ75=6)*EB75+(ED75=6)*EF75+(EH75=6)*EJ75+(EL75=6)*EN75+(EP75=6)*ER75+(ET75=6)*EV75)</f>
        <v/>
      </c>
      <c r="DI75">
        <f>MAX(0,ROUND(N(DF75)+N(DG75)-N(DH75),2))</f>
        <v/>
      </c>
      <c r="DJ75">
        <f>N(DM74)</f>
        <v/>
      </c>
      <c r="DK75">
        <f>IF(N(DJ75)&lt;=0.005,0,ROUND(N(DJ75)*N('Debt List'!E11)/12,2))</f>
        <v/>
      </c>
      <c r="DL75">
        <f>IF(N(DJ75)&lt;=0.005,0,MIN(N('Debt List'!F11),N(DJ75)+N(DK75)))+((DR75=7)*DT75+(DV75=7)*DX75+(DZ75=7)*EB75+(ED75=7)*EF75+(EH75=7)*EJ75+(EL75=7)*EN75+(EP75=7)*ER75+(ET75=7)*EV75)</f>
        <v/>
      </c>
      <c r="DM75">
        <f>MAX(0,ROUND(N(DJ75)+N(DK75)-N(DL75),2))</f>
        <v/>
      </c>
      <c r="DN75">
        <f>N(DQ74)</f>
        <v/>
      </c>
      <c r="DO75">
        <f>IF(N(DN75)&lt;=0.005,0,ROUND(N(DN75)*N('Debt List'!E12)/12,2))</f>
        <v/>
      </c>
      <c r="DP75">
        <f>IF(N(DN75)&lt;=0.005,0,MIN(N('Debt List'!F12),N(DN75)+N(DO75)))+((DR75=8)*DT75+(DV75=8)*DX75+(DZ75=8)*EB75+(ED75=8)*EF75+(EH75=8)*EJ75+(EL75=8)*EN75+(EP75=8)*ER75+(ET75=8)*EV75)</f>
        <v/>
      </c>
      <c r="DQ75">
        <f>MAX(0,ROUND(N(DN75)+N(DO75)-N(DP75),2))</f>
        <v/>
      </c>
      <c r="DR75">
        <f>IFERROR(MATCH(1,OrderSnow,0),"")</f>
        <v/>
      </c>
      <c r="DS75">
        <f>IF(DR75="",0,IFERROR(IF(N(CHOOSE(DR75,CL75,CP75,CT75,CX75,DB75,DF75,DJ75,DN75))&lt;=0.005,0,MAX(0,N(CHOOSE(DR75,CL75,CP75,CT75,CX75,DB75,DF75,DJ75,DN75))+N(CHOOSE(DR75,CM75,CQ75,CU75,CY75,DC75,DG75,DK75,DO75))-MIN(N(CHOOSE(DR75,'Debt List'!$F$5,'Debt List'!$F$6,'Debt List'!$F$7,'Debt List'!$F$8,'Debt List'!$F$9,'Debt List'!$F$10,'Debt List'!$F$11,'Debt List'!$F$12)),N(CHOOSE(DR75,CL75,CP75,CT75,CX75,DB75,DF75,DJ75,DN75))+N(CHOOSE(DR75,CM75,CQ75,CU75,CY75,DC75,DG75,DK75,DO75))))),0))</f>
        <v/>
      </c>
      <c r="DT75">
        <f>MIN(N(DS75),MAX(0,N(ExtraPayment)))</f>
        <v/>
      </c>
      <c r="DU75">
        <f>MAX(0,N(ExtraPayment)-N(DT75))</f>
        <v/>
      </c>
      <c r="DV75">
        <f>IFERROR(MATCH(2,OrderSnow,0),"")</f>
        <v/>
      </c>
      <c r="DW75">
        <f>IF(DV75="",0,IFERROR(IF(N(CHOOSE(DV75,CL75,CP75,CT75,CX75,DB75,DF75,DJ75,DN75))&lt;=0.005,0,MAX(0,N(CHOOSE(DV75,CL75,CP75,CT75,CX75,DB75,DF75,DJ75,DN75))+N(CHOOSE(DV75,CM75,CQ75,CU75,CY75,DC75,DG75,DK75,DO75))-MIN(N(CHOOSE(DV75,'Debt List'!$F$5,'Debt List'!$F$6,'Debt List'!$F$7,'Debt List'!$F$8,'Debt List'!$F$9,'Debt List'!$F$10,'Debt List'!$F$11,'Debt List'!$F$12)),N(CHOOSE(DV75,CL75,CP75,CT75,CX75,DB75,DF75,DJ75,DN75))+N(CHOOSE(DV75,CM75,CQ75,CU75,CY75,DC75,DG75,DK75,DO75))))),0))</f>
        <v/>
      </c>
      <c r="DX75">
        <f>MIN(N(DW75),MAX(0,N(DU75)))</f>
        <v/>
      </c>
      <c r="DY75">
        <f>MAX(0,N(DU75)-N(DX75))</f>
        <v/>
      </c>
      <c r="DZ75">
        <f>IFERROR(MATCH(3,OrderSnow,0),"")</f>
        <v/>
      </c>
      <c r="EA75">
        <f>IF(DZ75="",0,IFERROR(IF(N(CHOOSE(DZ75,CL75,CP75,CT75,CX75,DB75,DF75,DJ75,DN75))&lt;=0.005,0,MAX(0,N(CHOOSE(DZ75,CL75,CP75,CT75,CX75,DB75,DF75,DJ75,DN75))+N(CHOOSE(DZ75,CM75,CQ75,CU75,CY75,DC75,DG75,DK75,DO75))-MIN(N(CHOOSE(DZ75,'Debt List'!$F$5,'Debt List'!$F$6,'Debt List'!$F$7,'Debt List'!$F$8,'Debt List'!$F$9,'Debt List'!$F$10,'Debt List'!$F$11,'Debt List'!$F$12)),N(CHOOSE(DZ75,CL75,CP75,CT75,CX75,DB75,DF75,DJ75,DN75))+N(CHOOSE(DZ75,CM75,CQ75,CU75,CY75,DC75,DG75,DK75,DO75))))),0))</f>
        <v/>
      </c>
      <c r="EB75">
        <f>MIN(N(EA75),MAX(0,N(DY75)))</f>
        <v/>
      </c>
      <c r="EC75">
        <f>MAX(0,N(DY75)-N(EB75))</f>
        <v/>
      </c>
      <c r="ED75">
        <f>IFERROR(MATCH(4,OrderSnow,0),"")</f>
        <v/>
      </c>
      <c r="EE75">
        <f>IF(ED75="",0,IFERROR(IF(N(CHOOSE(ED75,CL75,CP75,CT75,CX75,DB75,DF75,DJ75,DN75))&lt;=0.005,0,MAX(0,N(CHOOSE(ED75,CL75,CP75,CT75,CX75,DB75,DF75,DJ75,DN75))+N(CHOOSE(ED75,CM75,CQ75,CU75,CY75,DC75,DG75,DK75,DO75))-MIN(N(CHOOSE(ED75,'Debt List'!$F$5,'Debt List'!$F$6,'Debt List'!$F$7,'Debt List'!$F$8,'Debt List'!$F$9,'Debt List'!$F$10,'Debt List'!$F$11,'Debt List'!$F$12)),N(CHOOSE(ED75,CL75,CP75,CT75,CX75,DB75,DF75,DJ75,DN75))+N(CHOOSE(ED75,CM75,CQ75,CU75,CY75,DC75,DG75,DK75,DO75))))),0))</f>
        <v/>
      </c>
      <c r="EF75">
        <f>MIN(N(EE75),MAX(0,N(EC75)))</f>
        <v/>
      </c>
      <c r="EG75">
        <f>MAX(0,N(EC75)-N(EF75))</f>
        <v/>
      </c>
      <c r="EH75">
        <f>IFERROR(MATCH(5,OrderSnow,0),"")</f>
        <v/>
      </c>
      <c r="EI75">
        <f>IF(EH75="",0,IFERROR(IF(N(CHOOSE(EH75,CL75,CP75,CT75,CX75,DB75,DF75,DJ75,DN75))&lt;=0.005,0,MAX(0,N(CHOOSE(EH75,CL75,CP75,CT75,CX75,DB75,DF75,DJ75,DN75))+N(CHOOSE(EH75,CM75,CQ75,CU75,CY75,DC75,DG75,DK75,DO75))-MIN(N(CHOOSE(EH75,'Debt List'!$F$5,'Debt List'!$F$6,'Debt List'!$F$7,'Debt List'!$F$8,'Debt List'!$F$9,'Debt List'!$F$10,'Debt List'!$F$11,'Debt List'!$F$12)),N(CHOOSE(EH75,CL75,CP75,CT75,CX75,DB75,DF75,DJ75,DN75))+N(CHOOSE(EH75,CM75,CQ75,CU75,CY75,DC75,DG75,DK75,DO75))))),0))</f>
        <v/>
      </c>
      <c r="EJ75">
        <f>MIN(N(EI75),MAX(0,N(EG75)))</f>
        <v/>
      </c>
      <c r="EK75">
        <f>MAX(0,N(EG75)-N(EJ75))</f>
        <v/>
      </c>
      <c r="EL75">
        <f>IFERROR(MATCH(6,OrderSnow,0),"")</f>
        <v/>
      </c>
      <c r="EM75">
        <f>IF(EL75="",0,IFERROR(IF(N(CHOOSE(EL75,CL75,CP75,CT75,CX75,DB75,DF75,DJ75,DN75))&lt;=0.005,0,MAX(0,N(CHOOSE(EL75,CL75,CP75,CT75,CX75,DB75,DF75,DJ75,DN75))+N(CHOOSE(EL75,CM75,CQ75,CU75,CY75,DC75,DG75,DK75,DO75))-MIN(N(CHOOSE(EL75,'Debt List'!$F$5,'Debt List'!$F$6,'Debt List'!$F$7,'Debt List'!$F$8,'Debt List'!$F$9,'Debt List'!$F$10,'Debt List'!$F$11,'Debt List'!$F$12)),N(CHOOSE(EL75,CL75,CP75,CT75,CX75,DB75,DF75,DJ75,DN75))+N(CHOOSE(EL75,CM75,CQ75,CU75,CY75,DC75,DG75,DK75,DO75))))),0))</f>
        <v/>
      </c>
      <c r="EN75">
        <f>MIN(N(EM75),MAX(0,N(EK75)))</f>
        <v/>
      </c>
      <c r="EO75">
        <f>MAX(0,N(EK75)-N(EN75))</f>
        <v/>
      </c>
      <c r="EP75">
        <f>IFERROR(MATCH(7,OrderSnow,0),"")</f>
        <v/>
      </c>
      <c r="EQ75">
        <f>IF(EP75="",0,IFERROR(IF(N(CHOOSE(EP75,CL75,CP75,CT75,CX75,DB75,DF75,DJ75,DN75))&lt;=0.005,0,MAX(0,N(CHOOSE(EP75,CL75,CP75,CT75,CX75,DB75,DF75,DJ75,DN75))+N(CHOOSE(EP75,CM75,CQ75,CU75,CY75,DC75,DG75,DK75,DO75))-MIN(N(CHOOSE(EP75,'Debt List'!$F$5,'Debt List'!$F$6,'Debt List'!$F$7,'Debt List'!$F$8,'Debt List'!$F$9,'Debt List'!$F$10,'Debt List'!$F$11,'Debt List'!$F$12)),N(CHOOSE(EP75,CL75,CP75,CT75,CX75,DB75,DF75,DJ75,DN75))+N(CHOOSE(EP75,CM75,CQ75,CU75,CY75,DC75,DG75,DK75,DO75))))),0))</f>
        <v/>
      </c>
      <c r="ER75">
        <f>MIN(N(EQ75),MAX(0,N(EO75)))</f>
        <v/>
      </c>
      <c r="ES75">
        <f>MAX(0,N(EO75)-N(ER75))</f>
        <v/>
      </c>
      <c r="ET75">
        <f>IFERROR(MATCH(8,OrderSnow,0),"")</f>
        <v/>
      </c>
      <c r="EU75">
        <f>IF(ET75="",0,IFERROR(IF(N(CHOOSE(ET75,CL75,CP75,CT75,CX75,DB75,DF75,DJ75,DN75))&lt;=0.005,0,MAX(0,N(CHOOSE(ET75,CL75,CP75,CT75,CX75,DB75,DF75,DJ75,DN75))+N(CHOOSE(ET75,CM75,CQ75,CU75,CY75,DC75,DG75,DK75,DO75))-MIN(N(CHOOSE(ET75,'Debt List'!$F$5,'Debt List'!$F$6,'Debt List'!$F$7,'Debt List'!$F$8,'Debt List'!$F$9,'Debt List'!$F$10,'Debt List'!$F$11,'Debt List'!$F$12)),N(CHOOSE(ET75,CL75,CP75,CT75,CX75,DB75,DF75,DJ75,DN75))+N(CHOOSE(ET75,CM75,CQ75,CU75,CY75,DC75,DG75,DK75,DO75))))),0))</f>
        <v/>
      </c>
      <c r="EV75">
        <f>MIN(N(EU75),MAX(0,N(ES75)))</f>
        <v/>
      </c>
      <c r="EW75">
        <f>MAX(0,N(ES75)-N(EV75))</f>
        <v/>
      </c>
      <c r="FE75" t="n">
        <v>71</v>
      </c>
      <c r="FF75" s="115">
        <f>DATE(YEAR(PlanStart),MONTH(PlanStart)+FE75-1,1)</f>
        <v/>
      </c>
      <c r="FG75">
        <f>IF(AND(GT75&lt;&gt;"",N(CHOOSE(GT75,FN75,FR75,FV75,FZ75,GD75,GH75,GL75,GP75))&gt;0.005),INDEX(DebtNames,GT75),IF(AND(GX75&lt;&gt;"",N(CHOOSE(GX75,FN75,FR75,FV75,FZ75,GD75,GH75,GL75,GP75))&gt;0.005),INDEX(DebtNames,GX75),IF(AND(HB75&lt;&gt;"",N(CHOOSE(HB75,FN75,FR75,FV75,FZ75,GD75,GH75,GL75,GP75))&gt;0.005),INDEX(DebtNames,HB75),IF(AND(HF75&lt;&gt;"",N(CHOOSE(HF75,FN75,FR75,FV75,FZ75,GD75,GH75,GL75,GP75))&gt;0.005),INDEX(DebtNames,HF75),IF(AND(HJ75&lt;&gt;"",N(CHOOSE(HJ75,FN75,FR75,FV75,FZ75,GD75,GH75,GL75,GP75))&gt;0.005),INDEX(DebtNames,HJ75),IF(AND(HN75&lt;&gt;"",N(CHOOSE(HN75,FN75,FR75,FV75,FZ75,GD75,GH75,GL75,GP75))&gt;0.005),INDEX(DebtNames,HN75),IF(AND(HR75&lt;&gt;"",N(CHOOSE(HR75,FN75,FR75,FV75,FZ75,GD75,GH75,GL75,GP75))&gt;0.005),INDEX(DebtNames,HR75),IF(AND(HV75&lt;&gt;"",N(CHOOSE(HV75,FN75,FR75,FV75,FZ75,GD75,GH75,GL75,GP75))&gt;0.005),INDEX(DebtNames,HV75),""))))))))</f>
        <v/>
      </c>
      <c r="FH75">
        <f>N(HY75)</f>
        <v/>
      </c>
      <c r="FI75">
        <f>N(FP75)+N(FT75)+N(FX75)+N(GB75)+N(GF75)+N(GJ75)+N(GN75)+N(GR75)</f>
        <v/>
      </c>
      <c r="FJ75">
        <f>N(FO75)+N(FS75)+N(FW75)+N(GA75)+N(GE75)+N(GI75)+N(GM75)+N(GQ75)</f>
        <v/>
      </c>
      <c r="FK75">
        <f>N(FK74)+N(FJ75)</f>
        <v/>
      </c>
      <c r="FL75">
        <f>N(FQ75)+N(FU75)+N(FY75)+N(GC75)+N(GG75)+N(GK75)+N(GO75)+N(GS75)</f>
        <v/>
      </c>
      <c r="FM75">
        <f>(FQ75&gt;0.005)*1+(FU75&gt;0.005)*1+(FY75&gt;0.005)*1+(GC75&gt;0.005)*1+(GG75&gt;0.005)*1+(GK75&gt;0.005)*1+(GO75&gt;0.005)*1+(GS75&gt;0.005)*1</f>
        <v/>
      </c>
      <c r="FN75">
        <f>N(FQ74)</f>
        <v/>
      </c>
      <c r="FO75">
        <f>IF(N(FN75)&lt;=0.005,0,ROUND(N(FN75)*N('Debt List'!E5)/12,2))</f>
        <v/>
      </c>
      <c r="FP75">
        <f>IF(N(FN75)&lt;=0.005,0,MIN(N('Debt List'!F5),N(FN75)+N(FO75)))+((GT75=1)*GV75+(GX75=1)*GZ75+(HB75=1)*HD75+(HF75=1)*HH75+(HJ75=1)*HL75+(HN75=1)*HP75+(HR75=1)*HT75+(HV75=1)*HX75)</f>
        <v/>
      </c>
      <c r="FQ75">
        <f>MAX(0,ROUND(N(FN75)+N(FO75)-N(FP75),2))</f>
        <v/>
      </c>
      <c r="FR75">
        <f>N(FU74)</f>
        <v/>
      </c>
      <c r="FS75">
        <f>IF(N(FR75)&lt;=0.005,0,ROUND(N(FR75)*N('Debt List'!E6)/12,2))</f>
        <v/>
      </c>
      <c r="FT75">
        <f>IF(N(FR75)&lt;=0.005,0,MIN(N('Debt List'!F6),N(FR75)+N(FS75)))+((GT75=2)*GV75+(GX75=2)*GZ75+(HB75=2)*HD75+(HF75=2)*HH75+(HJ75=2)*HL75+(HN75=2)*HP75+(HR75=2)*HT75+(HV75=2)*HX75)</f>
        <v/>
      </c>
      <c r="FU75">
        <f>MAX(0,ROUND(N(FR75)+N(FS75)-N(FT75),2))</f>
        <v/>
      </c>
      <c r="FV75">
        <f>N(FY74)</f>
        <v/>
      </c>
      <c r="FW75">
        <f>IF(N(FV75)&lt;=0.005,0,ROUND(N(FV75)*N('Debt List'!E7)/12,2))</f>
        <v/>
      </c>
      <c r="FX75">
        <f>IF(N(FV75)&lt;=0.005,0,MIN(N('Debt List'!F7),N(FV75)+N(FW75)))+((GT75=3)*GV75+(GX75=3)*GZ75+(HB75=3)*HD75+(HF75=3)*HH75+(HJ75=3)*HL75+(HN75=3)*HP75+(HR75=3)*HT75+(HV75=3)*HX75)</f>
        <v/>
      </c>
      <c r="FY75">
        <f>MAX(0,ROUND(N(FV75)+N(FW75)-N(FX75),2))</f>
        <v/>
      </c>
      <c r="FZ75">
        <f>N(GC74)</f>
        <v/>
      </c>
      <c r="GA75">
        <f>IF(N(FZ75)&lt;=0.005,0,ROUND(N(FZ75)*N('Debt List'!E8)/12,2))</f>
        <v/>
      </c>
      <c r="GB75">
        <f>IF(N(FZ75)&lt;=0.005,0,MIN(N('Debt List'!F8),N(FZ75)+N(GA75)))+((GT75=4)*GV75+(GX75=4)*GZ75+(HB75=4)*HD75+(HF75=4)*HH75+(HJ75=4)*HL75+(HN75=4)*HP75+(HR75=4)*HT75+(HV75=4)*HX75)</f>
        <v/>
      </c>
      <c r="GC75">
        <f>MAX(0,ROUND(N(FZ75)+N(GA75)-N(GB75),2))</f>
        <v/>
      </c>
      <c r="GD75">
        <f>N(GG74)</f>
        <v/>
      </c>
      <c r="GE75">
        <f>IF(N(GD75)&lt;=0.005,0,ROUND(N(GD75)*N('Debt List'!E9)/12,2))</f>
        <v/>
      </c>
      <c r="GF75">
        <f>IF(N(GD75)&lt;=0.005,0,MIN(N('Debt List'!F9),N(GD75)+N(GE75)))+((GT75=5)*GV75+(GX75=5)*GZ75+(HB75=5)*HD75+(HF75=5)*HH75+(HJ75=5)*HL75+(HN75=5)*HP75+(HR75=5)*HT75+(HV75=5)*HX75)</f>
        <v/>
      </c>
      <c r="GG75">
        <f>MAX(0,ROUND(N(GD75)+N(GE75)-N(GF75),2))</f>
        <v/>
      </c>
      <c r="GH75">
        <f>N(GK74)</f>
        <v/>
      </c>
      <c r="GI75">
        <f>IF(N(GH75)&lt;=0.005,0,ROUND(N(GH75)*N('Debt List'!E10)/12,2))</f>
        <v/>
      </c>
      <c r="GJ75">
        <f>IF(N(GH75)&lt;=0.005,0,MIN(N('Debt List'!F10),N(GH75)+N(GI75)))+((GT75=6)*GV75+(GX75=6)*GZ75+(HB75=6)*HD75+(HF75=6)*HH75+(HJ75=6)*HL75+(HN75=6)*HP75+(HR75=6)*HT75+(HV75=6)*HX75)</f>
        <v/>
      </c>
      <c r="GK75">
        <f>MAX(0,ROUND(N(GH75)+N(GI75)-N(GJ75),2))</f>
        <v/>
      </c>
      <c r="GL75">
        <f>N(GO74)</f>
        <v/>
      </c>
      <c r="GM75">
        <f>IF(N(GL75)&lt;=0.005,0,ROUND(N(GL75)*N('Debt List'!E11)/12,2))</f>
        <v/>
      </c>
      <c r="GN75">
        <f>IF(N(GL75)&lt;=0.005,0,MIN(N('Debt List'!F11),N(GL75)+N(GM75)))+((GT75=7)*GV75+(GX75=7)*GZ75+(HB75=7)*HD75+(HF75=7)*HH75+(HJ75=7)*HL75+(HN75=7)*HP75+(HR75=7)*HT75+(HV75=7)*HX75)</f>
        <v/>
      </c>
      <c r="GO75">
        <f>MAX(0,ROUND(N(GL75)+N(GM75)-N(GN75),2))</f>
        <v/>
      </c>
      <c r="GP75">
        <f>N(GS74)</f>
        <v/>
      </c>
      <c r="GQ75">
        <f>IF(N(GP75)&lt;=0.005,0,ROUND(N(GP75)*N('Debt List'!E12)/12,2))</f>
        <v/>
      </c>
      <c r="GR75">
        <f>IF(N(GP75)&lt;=0.005,0,MIN(N('Debt List'!F12),N(GP75)+N(GQ75)))+((GT75=8)*GV75+(GX75=8)*GZ75+(HB75=8)*HD75+(HF75=8)*HH75+(HJ75=8)*HL75+(HN75=8)*HP75+(HR75=8)*HT75+(HV75=8)*HX75)</f>
        <v/>
      </c>
      <c r="GS75">
        <f>MAX(0,ROUND(N(GP75)+N(GQ75)-N(GR75),2))</f>
        <v/>
      </c>
      <c r="GT75">
        <f>IFERROR(MATCH(1,OrderAval,0),"")</f>
        <v/>
      </c>
      <c r="GU75">
        <f>IF(GT75="",0,IFERROR(IF(N(CHOOSE(GT75,FN75,FR75,FV75,FZ75,GD75,GH75,GL75,GP75))&lt;=0.005,0,MAX(0,N(CHOOSE(GT75,FN75,FR75,FV75,FZ75,GD75,GH75,GL75,GP75))+N(CHOOSE(GT75,FO75,FS75,FW75,GA75,GE75,GI75,GM75,GQ75))-MIN(N(CHOOSE(GT75,'Debt List'!$F$5,'Debt List'!$F$6,'Debt List'!$F$7,'Debt List'!$F$8,'Debt List'!$F$9,'Debt List'!$F$10,'Debt List'!$F$11,'Debt List'!$F$12)),N(CHOOSE(GT75,FN75,FR75,FV75,FZ75,GD75,GH75,GL75,GP75))+N(CHOOSE(GT75,FO75,FS75,FW75,GA75,GE75,GI75,GM75,GQ75))))),0))</f>
        <v/>
      </c>
      <c r="GV75">
        <f>MIN(N(GU75),MAX(0,N(ExtraPayment)))</f>
        <v/>
      </c>
      <c r="GW75">
        <f>MAX(0,N(ExtraPayment)-N(GV75))</f>
        <v/>
      </c>
      <c r="GX75">
        <f>IFERROR(MATCH(2,OrderAval,0),"")</f>
        <v/>
      </c>
      <c r="GY75">
        <f>IF(GX75="",0,IFERROR(IF(N(CHOOSE(GX75,FN75,FR75,FV75,FZ75,GD75,GH75,GL75,GP75))&lt;=0.005,0,MAX(0,N(CHOOSE(GX75,FN75,FR75,FV75,FZ75,GD75,GH75,GL75,GP75))+N(CHOOSE(GX75,FO75,FS75,FW75,GA75,GE75,GI75,GM75,GQ75))-MIN(N(CHOOSE(GX75,'Debt List'!$F$5,'Debt List'!$F$6,'Debt List'!$F$7,'Debt List'!$F$8,'Debt List'!$F$9,'Debt List'!$F$10,'Debt List'!$F$11,'Debt List'!$F$12)),N(CHOOSE(GX75,FN75,FR75,FV75,FZ75,GD75,GH75,GL75,GP75))+N(CHOOSE(GX75,FO75,FS75,FW75,GA75,GE75,GI75,GM75,GQ75))))),0))</f>
        <v/>
      </c>
      <c r="GZ75">
        <f>MIN(N(GY75),MAX(0,N(GW75)))</f>
        <v/>
      </c>
      <c r="HA75">
        <f>MAX(0,N(GW75)-N(GZ75))</f>
        <v/>
      </c>
      <c r="HB75">
        <f>IFERROR(MATCH(3,OrderAval,0),"")</f>
        <v/>
      </c>
      <c r="HC75">
        <f>IF(HB75="",0,IFERROR(IF(N(CHOOSE(HB75,FN75,FR75,FV75,FZ75,GD75,GH75,GL75,GP75))&lt;=0.005,0,MAX(0,N(CHOOSE(HB75,FN75,FR75,FV75,FZ75,GD75,GH75,GL75,GP75))+N(CHOOSE(HB75,FO75,FS75,FW75,GA75,GE75,GI75,GM75,GQ75))-MIN(N(CHOOSE(HB75,'Debt List'!$F$5,'Debt List'!$F$6,'Debt List'!$F$7,'Debt List'!$F$8,'Debt List'!$F$9,'Debt List'!$F$10,'Debt List'!$F$11,'Debt List'!$F$12)),N(CHOOSE(HB75,FN75,FR75,FV75,FZ75,GD75,GH75,GL75,GP75))+N(CHOOSE(HB75,FO75,FS75,FW75,GA75,GE75,GI75,GM75,GQ75))))),0))</f>
        <v/>
      </c>
      <c r="HD75">
        <f>MIN(N(HC75),MAX(0,N(HA75)))</f>
        <v/>
      </c>
      <c r="HE75">
        <f>MAX(0,N(HA75)-N(HD75))</f>
        <v/>
      </c>
      <c r="HF75">
        <f>IFERROR(MATCH(4,OrderAval,0),"")</f>
        <v/>
      </c>
      <c r="HG75">
        <f>IF(HF75="",0,IFERROR(IF(N(CHOOSE(HF75,FN75,FR75,FV75,FZ75,GD75,GH75,GL75,GP75))&lt;=0.005,0,MAX(0,N(CHOOSE(HF75,FN75,FR75,FV75,FZ75,GD75,GH75,GL75,GP75))+N(CHOOSE(HF75,FO75,FS75,FW75,GA75,GE75,GI75,GM75,GQ75))-MIN(N(CHOOSE(HF75,'Debt List'!$F$5,'Debt List'!$F$6,'Debt List'!$F$7,'Debt List'!$F$8,'Debt List'!$F$9,'Debt List'!$F$10,'Debt List'!$F$11,'Debt List'!$F$12)),N(CHOOSE(HF75,FN75,FR75,FV75,FZ75,GD75,GH75,GL75,GP75))+N(CHOOSE(HF75,FO75,FS75,FW75,GA75,GE75,GI75,GM75,GQ75))))),0))</f>
        <v/>
      </c>
      <c r="HH75">
        <f>MIN(N(HG75),MAX(0,N(HE75)))</f>
        <v/>
      </c>
      <c r="HI75">
        <f>MAX(0,N(HE75)-N(HH75))</f>
        <v/>
      </c>
      <c r="HJ75">
        <f>IFERROR(MATCH(5,OrderAval,0),"")</f>
        <v/>
      </c>
      <c r="HK75">
        <f>IF(HJ75="",0,IFERROR(IF(N(CHOOSE(HJ75,FN75,FR75,FV75,FZ75,GD75,GH75,GL75,GP75))&lt;=0.005,0,MAX(0,N(CHOOSE(HJ75,FN75,FR75,FV75,FZ75,GD75,GH75,GL75,GP75))+N(CHOOSE(HJ75,FO75,FS75,FW75,GA75,GE75,GI75,GM75,GQ75))-MIN(N(CHOOSE(HJ75,'Debt List'!$F$5,'Debt List'!$F$6,'Debt List'!$F$7,'Debt List'!$F$8,'Debt List'!$F$9,'Debt List'!$F$10,'Debt List'!$F$11,'Debt List'!$F$12)),N(CHOOSE(HJ75,FN75,FR75,FV75,FZ75,GD75,GH75,GL75,GP75))+N(CHOOSE(HJ75,FO75,FS75,FW75,GA75,GE75,GI75,GM75,GQ75))))),0))</f>
        <v/>
      </c>
      <c r="HL75">
        <f>MIN(N(HK75),MAX(0,N(HI75)))</f>
        <v/>
      </c>
      <c r="HM75">
        <f>MAX(0,N(HI75)-N(HL75))</f>
        <v/>
      </c>
      <c r="HN75">
        <f>IFERROR(MATCH(6,OrderAval,0),"")</f>
        <v/>
      </c>
      <c r="HO75">
        <f>IF(HN75="",0,IFERROR(IF(N(CHOOSE(HN75,FN75,FR75,FV75,FZ75,GD75,GH75,GL75,GP75))&lt;=0.005,0,MAX(0,N(CHOOSE(HN75,FN75,FR75,FV75,FZ75,GD75,GH75,GL75,GP75))+N(CHOOSE(HN75,FO75,FS75,FW75,GA75,GE75,GI75,GM75,GQ75))-MIN(N(CHOOSE(HN75,'Debt List'!$F$5,'Debt List'!$F$6,'Debt List'!$F$7,'Debt List'!$F$8,'Debt List'!$F$9,'Debt List'!$F$10,'Debt List'!$F$11,'Debt List'!$F$12)),N(CHOOSE(HN75,FN75,FR75,FV75,FZ75,GD75,GH75,GL75,GP75))+N(CHOOSE(HN75,FO75,FS75,FW75,GA75,GE75,GI75,GM75,GQ75))))),0))</f>
        <v/>
      </c>
      <c r="HP75">
        <f>MIN(N(HO75),MAX(0,N(HM75)))</f>
        <v/>
      </c>
      <c r="HQ75">
        <f>MAX(0,N(HM75)-N(HP75))</f>
        <v/>
      </c>
      <c r="HR75">
        <f>IFERROR(MATCH(7,OrderAval,0),"")</f>
        <v/>
      </c>
      <c r="HS75">
        <f>IF(HR75="",0,IFERROR(IF(N(CHOOSE(HR75,FN75,FR75,FV75,FZ75,GD75,GH75,GL75,GP75))&lt;=0.005,0,MAX(0,N(CHOOSE(HR75,FN75,FR75,FV75,FZ75,GD75,GH75,GL75,GP75))+N(CHOOSE(HR75,FO75,FS75,FW75,GA75,GE75,GI75,GM75,GQ75))-MIN(N(CHOOSE(HR75,'Debt List'!$F$5,'Debt List'!$F$6,'Debt List'!$F$7,'Debt List'!$F$8,'Debt List'!$F$9,'Debt List'!$F$10,'Debt List'!$F$11,'Debt List'!$F$12)),N(CHOOSE(HR75,FN75,FR75,FV75,FZ75,GD75,GH75,GL75,GP75))+N(CHOOSE(HR75,FO75,FS75,FW75,GA75,GE75,GI75,GM75,GQ75))))),0))</f>
        <v/>
      </c>
      <c r="HT75">
        <f>MIN(N(HS75),MAX(0,N(HQ75)))</f>
        <v/>
      </c>
      <c r="HU75">
        <f>MAX(0,N(HQ75)-N(HT75))</f>
        <v/>
      </c>
      <c r="HV75">
        <f>IFERROR(MATCH(8,OrderAval,0),"")</f>
        <v/>
      </c>
      <c r="HW75">
        <f>IF(HV75="",0,IFERROR(IF(N(CHOOSE(HV75,FN75,FR75,FV75,FZ75,GD75,GH75,GL75,GP75))&lt;=0.005,0,MAX(0,N(CHOOSE(HV75,FN75,FR75,FV75,FZ75,GD75,GH75,GL75,GP75))+N(CHOOSE(HV75,FO75,FS75,FW75,GA75,GE75,GI75,GM75,GQ75))-MIN(N(CHOOSE(HV75,'Debt List'!$F$5,'Debt List'!$F$6,'Debt List'!$F$7,'Debt List'!$F$8,'Debt List'!$F$9,'Debt List'!$F$10,'Debt List'!$F$11,'Debt List'!$F$12)),N(CHOOSE(HV75,FN75,FR75,FV75,FZ75,GD75,GH75,GL75,GP75))+N(CHOOSE(HV75,FO75,FS75,FW75,GA75,GE75,GI75,GM75,GQ75))))),0))</f>
        <v/>
      </c>
      <c r="HX75">
        <f>MIN(N(HW75),MAX(0,N(HU75)))</f>
        <v/>
      </c>
      <c r="HY75">
        <f>MAX(0,N(HU75)-N(HX75))</f>
        <v/>
      </c>
    </row>
    <row r="76">
      <c r="A76" t="n">
        <v>72</v>
      </c>
      <c r="B76" s="115">
        <f>DATE(YEAR(PlanStart),MONTH(PlanStart)+A76-1,1)</f>
        <v/>
      </c>
      <c r="C76">
        <f>IF(AND(AP76&lt;&gt;"",N(CHOOSE(AP76,J76,N76,R76,V76,Z76,AD76,AH76,AL76))&gt;0.005),INDEX(DebtNames,AP76),IF(AND(AT76&lt;&gt;"",N(CHOOSE(AT76,J76,N76,R76,V76,Z76,AD76,AH76,AL76))&gt;0.005),INDEX(DebtNames,AT76),IF(AND(AX76&lt;&gt;"",N(CHOOSE(AX76,J76,N76,R76,V76,Z76,AD76,AH76,AL76))&gt;0.005),INDEX(DebtNames,AX76),IF(AND(BB76&lt;&gt;"",N(CHOOSE(BB76,J76,N76,R76,V76,Z76,AD76,AH76,AL76))&gt;0.005),INDEX(DebtNames,BB76),IF(AND(BF76&lt;&gt;"",N(CHOOSE(BF76,J76,N76,R76,V76,Z76,AD76,AH76,AL76))&gt;0.005),INDEX(DebtNames,BF76),IF(AND(BJ76&lt;&gt;"",N(CHOOSE(BJ76,J76,N76,R76,V76,Z76,AD76,AH76,AL76))&gt;0.005),INDEX(DebtNames,BJ76),IF(AND(BN76&lt;&gt;"",N(CHOOSE(BN76,J76,N76,R76,V76,Z76,AD76,AH76,AL76))&gt;0.005),INDEX(DebtNames,BN76),IF(AND(BR76&lt;&gt;"",N(CHOOSE(BR76,J76,N76,R76,V76,Z76,AD76,AH76,AL76))&gt;0.005),INDEX(DebtNames,BR76),""))))))))</f>
        <v/>
      </c>
      <c r="D76">
        <f>N(BU76)</f>
        <v/>
      </c>
      <c r="E76">
        <f>N(L76)+N(P76)+N(T76)+N(X76)+N(AB76)+N(AF76)+N(AJ76)+N(AN76)</f>
        <v/>
      </c>
      <c r="F76">
        <f>N(K76)+N(O76)+N(S76)+N(W76)+N(AA76)+N(AE76)+N(AI76)+N(AM76)</f>
        <v/>
      </c>
      <c r="G76">
        <f>N(G75)+N(F76)</f>
        <v/>
      </c>
      <c r="H76">
        <f>N(M76)+N(Q76)+N(U76)+N(Y76)+N(AC76)+N(AG76)+N(AK76)+N(AO76)</f>
        <v/>
      </c>
      <c r="I76">
        <f>(M76&gt;0.005)*1+(Q76&gt;0.005)*1+(U76&gt;0.005)*1+(Y76&gt;0.005)*1+(AC76&gt;0.005)*1+(AG76&gt;0.005)*1+(AK76&gt;0.005)*1+(AO76&gt;0.005)*1</f>
        <v/>
      </c>
      <c r="J76">
        <f>N(M75)</f>
        <v/>
      </c>
      <c r="K76">
        <f>IF(N(J76)&lt;=0.005,0,ROUND(N(J76)*N('Debt List'!E5)/12,2))</f>
        <v/>
      </c>
      <c r="L76">
        <f>IF(N(J76)&lt;=0.005,0,MIN(N('Debt List'!F5),N(J76)+N(K76)))+((AP76=1)*AR76+(AT76=1)*AV76+(AX76=1)*AZ76+(BB76=1)*BD76+(BF76=1)*BH76+(BJ76=1)*BL76+(BN76=1)*BP76+(BR76=1)*BT76)</f>
        <v/>
      </c>
      <c r="M76">
        <f>MAX(0,ROUND(N(J76)+N(K76)-N(L76),2))</f>
        <v/>
      </c>
      <c r="N76">
        <f>N(Q75)</f>
        <v/>
      </c>
      <c r="O76">
        <f>IF(N(N76)&lt;=0.005,0,ROUND(N(N76)*N('Debt List'!E6)/12,2))</f>
        <v/>
      </c>
      <c r="P76">
        <f>IF(N(N76)&lt;=0.005,0,MIN(N('Debt List'!F6),N(N76)+N(O76)))+((AP76=2)*AR76+(AT76=2)*AV76+(AX76=2)*AZ76+(BB76=2)*BD76+(BF76=2)*BH76+(BJ76=2)*BL76+(BN76=2)*BP76+(BR76=2)*BT76)</f>
        <v/>
      </c>
      <c r="Q76">
        <f>MAX(0,ROUND(N(N76)+N(O76)-N(P76),2))</f>
        <v/>
      </c>
      <c r="R76">
        <f>N(U75)</f>
        <v/>
      </c>
      <c r="S76">
        <f>IF(N(R76)&lt;=0.005,0,ROUND(N(R76)*N('Debt List'!E7)/12,2))</f>
        <v/>
      </c>
      <c r="T76">
        <f>IF(N(R76)&lt;=0.005,0,MIN(N('Debt List'!F7),N(R76)+N(S76)))+((AP76=3)*AR76+(AT76=3)*AV76+(AX76=3)*AZ76+(BB76=3)*BD76+(BF76=3)*BH76+(BJ76=3)*BL76+(BN76=3)*BP76+(BR76=3)*BT76)</f>
        <v/>
      </c>
      <c r="U76">
        <f>MAX(0,ROUND(N(R76)+N(S76)-N(T76),2))</f>
        <v/>
      </c>
      <c r="V76">
        <f>N(Y75)</f>
        <v/>
      </c>
      <c r="W76">
        <f>IF(N(V76)&lt;=0.005,0,ROUND(N(V76)*N('Debt List'!E8)/12,2))</f>
        <v/>
      </c>
      <c r="X76">
        <f>IF(N(V76)&lt;=0.005,0,MIN(N('Debt List'!F8),N(V76)+N(W76)))+((AP76=4)*AR76+(AT76=4)*AV76+(AX76=4)*AZ76+(BB76=4)*BD76+(BF76=4)*BH76+(BJ76=4)*BL76+(BN76=4)*BP76+(BR76=4)*BT76)</f>
        <v/>
      </c>
      <c r="Y76">
        <f>MAX(0,ROUND(N(V76)+N(W76)-N(X76),2))</f>
        <v/>
      </c>
      <c r="Z76">
        <f>N(AC75)</f>
        <v/>
      </c>
      <c r="AA76">
        <f>IF(N(Z76)&lt;=0.005,0,ROUND(N(Z76)*N('Debt List'!E9)/12,2))</f>
        <v/>
      </c>
      <c r="AB76">
        <f>IF(N(Z76)&lt;=0.005,0,MIN(N('Debt List'!F9),N(Z76)+N(AA76)))+((AP76=5)*AR76+(AT76=5)*AV76+(AX76=5)*AZ76+(BB76=5)*BD76+(BF76=5)*BH76+(BJ76=5)*BL76+(BN76=5)*BP76+(BR76=5)*BT76)</f>
        <v/>
      </c>
      <c r="AC76">
        <f>MAX(0,ROUND(N(Z76)+N(AA76)-N(AB76),2))</f>
        <v/>
      </c>
      <c r="AD76">
        <f>N(AG75)</f>
        <v/>
      </c>
      <c r="AE76">
        <f>IF(N(AD76)&lt;=0.005,0,ROUND(N(AD76)*N('Debt List'!E10)/12,2))</f>
        <v/>
      </c>
      <c r="AF76">
        <f>IF(N(AD76)&lt;=0.005,0,MIN(N('Debt List'!F10),N(AD76)+N(AE76)))+((AP76=6)*AR76+(AT76=6)*AV76+(AX76=6)*AZ76+(BB76=6)*BD76+(BF76=6)*BH76+(BJ76=6)*BL76+(BN76=6)*BP76+(BR76=6)*BT76)</f>
        <v/>
      </c>
      <c r="AG76">
        <f>MAX(0,ROUND(N(AD76)+N(AE76)-N(AF76),2))</f>
        <v/>
      </c>
      <c r="AH76">
        <f>N(AK75)</f>
        <v/>
      </c>
      <c r="AI76">
        <f>IF(N(AH76)&lt;=0.005,0,ROUND(N(AH76)*N('Debt List'!E11)/12,2))</f>
        <v/>
      </c>
      <c r="AJ76">
        <f>IF(N(AH76)&lt;=0.005,0,MIN(N('Debt List'!F11),N(AH76)+N(AI76)))+((AP76=7)*AR76+(AT76=7)*AV76+(AX76=7)*AZ76+(BB76=7)*BD76+(BF76=7)*BH76+(BJ76=7)*BL76+(BN76=7)*BP76+(BR76=7)*BT76)</f>
        <v/>
      </c>
      <c r="AK76">
        <f>MAX(0,ROUND(N(AH76)+N(AI76)-N(AJ76),2))</f>
        <v/>
      </c>
      <c r="AL76">
        <f>N(AO75)</f>
        <v/>
      </c>
      <c r="AM76">
        <f>IF(N(AL76)&lt;=0.005,0,ROUND(N(AL76)*N('Debt List'!E12)/12,2))</f>
        <v/>
      </c>
      <c r="AN76">
        <f>IF(N(AL76)&lt;=0.005,0,MIN(N('Debt List'!F12),N(AL76)+N(AM76)))+((AP76=8)*AR76+(AT76=8)*AV76+(AX76=8)*AZ76+(BB76=8)*BD76+(BF76=8)*BH76+(BJ76=8)*BL76+(BN76=8)*BP76+(BR76=8)*BT76)</f>
        <v/>
      </c>
      <c r="AO76">
        <f>MAX(0,ROUND(N(AL76)+N(AM76)-N(AN76),2))</f>
        <v/>
      </c>
      <c r="AP76">
        <f>IFERROR(MATCH(1,OrderPlan,0),"")</f>
        <v/>
      </c>
      <c r="AQ76">
        <f>IF(AP76="",0,IFERROR(IF(N(CHOOSE(AP76,J76,N76,R76,V76,Z76,AD76,AH76,AL76))&lt;=0.005,0,MAX(0,N(CHOOSE(AP76,J76,N76,R76,V76,Z76,AD76,AH76,AL76))+N(CHOOSE(AP76,K76,O76,S76,W76,AA76,AE76,AI76,AM76))-MIN(N(CHOOSE(AP76,'Debt List'!$F$5,'Debt List'!$F$6,'Debt List'!$F$7,'Debt List'!$F$8,'Debt List'!$F$9,'Debt List'!$F$10,'Debt List'!$F$11,'Debt List'!$F$12)),N(CHOOSE(AP76,J76,N76,R76,V76,Z76,AD76,AH76,AL76))+N(CHOOSE(AP76,K76,O76,S76,W76,AA76,AE76,AI76,AM76))))),0))</f>
        <v/>
      </c>
      <c r="AR76">
        <f>MIN(N(AQ76),MAX(0,N(ExtraPayment)))</f>
        <v/>
      </c>
      <c r="AS76">
        <f>MAX(0,N(ExtraPayment)-N(AR76))</f>
        <v/>
      </c>
      <c r="AT76">
        <f>IFERROR(MATCH(2,OrderPlan,0),"")</f>
        <v/>
      </c>
      <c r="AU76">
        <f>IF(AT76="",0,IFERROR(IF(N(CHOOSE(AT76,J76,N76,R76,V76,Z76,AD76,AH76,AL76))&lt;=0.005,0,MAX(0,N(CHOOSE(AT76,J76,N76,R76,V76,Z76,AD76,AH76,AL76))+N(CHOOSE(AT76,K76,O76,S76,W76,AA76,AE76,AI76,AM76))-MIN(N(CHOOSE(AT76,'Debt List'!$F$5,'Debt List'!$F$6,'Debt List'!$F$7,'Debt List'!$F$8,'Debt List'!$F$9,'Debt List'!$F$10,'Debt List'!$F$11,'Debt List'!$F$12)),N(CHOOSE(AT76,J76,N76,R76,V76,Z76,AD76,AH76,AL76))+N(CHOOSE(AT76,K76,O76,S76,W76,AA76,AE76,AI76,AM76))))),0))</f>
        <v/>
      </c>
      <c r="AV76">
        <f>MIN(N(AU76),MAX(0,N(AS76)))</f>
        <v/>
      </c>
      <c r="AW76">
        <f>MAX(0,N(AS76)-N(AV76))</f>
        <v/>
      </c>
      <c r="AX76">
        <f>IFERROR(MATCH(3,OrderPlan,0),"")</f>
        <v/>
      </c>
      <c r="AY76">
        <f>IF(AX76="",0,IFERROR(IF(N(CHOOSE(AX76,J76,N76,R76,V76,Z76,AD76,AH76,AL76))&lt;=0.005,0,MAX(0,N(CHOOSE(AX76,J76,N76,R76,V76,Z76,AD76,AH76,AL76))+N(CHOOSE(AX76,K76,O76,S76,W76,AA76,AE76,AI76,AM76))-MIN(N(CHOOSE(AX76,'Debt List'!$F$5,'Debt List'!$F$6,'Debt List'!$F$7,'Debt List'!$F$8,'Debt List'!$F$9,'Debt List'!$F$10,'Debt List'!$F$11,'Debt List'!$F$12)),N(CHOOSE(AX76,J76,N76,R76,V76,Z76,AD76,AH76,AL76))+N(CHOOSE(AX76,K76,O76,S76,W76,AA76,AE76,AI76,AM76))))),0))</f>
        <v/>
      </c>
      <c r="AZ76">
        <f>MIN(N(AY76),MAX(0,N(AW76)))</f>
        <v/>
      </c>
      <c r="BA76">
        <f>MAX(0,N(AW76)-N(AZ76))</f>
        <v/>
      </c>
      <c r="BB76">
        <f>IFERROR(MATCH(4,OrderPlan,0),"")</f>
        <v/>
      </c>
      <c r="BC76">
        <f>IF(BB76="",0,IFERROR(IF(N(CHOOSE(BB76,J76,N76,R76,V76,Z76,AD76,AH76,AL76))&lt;=0.005,0,MAX(0,N(CHOOSE(BB76,J76,N76,R76,V76,Z76,AD76,AH76,AL76))+N(CHOOSE(BB76,K76,O76,S76,W76,AA76,AE76,AI76,AM76))-MIN(N(CHOOSE(BB76,'Debt List'!$F$5,'Debt List'!$F$6,'Debt List'!$F$7,'Debt List'!$F$8,'Debt List'!$F$9,'Debt List'!$F$10,'Debt List'!$F$11,'Debt List'!$F$12)),N(CHOOSE(BB76,J76,N76,R76,V76,Z76,AD76,AH76,AL76))+N(CHOOSE(BB76,K76,O76,S76,W76,AA76,AE76,AI76,AM76))))),0))</f>
        <v/>
      </c>
      <c r="BD76">
        <f>MIN(N(BC76),MAX(0,N(BA76)))</f>
        <v/>
      </c>
      <c r="BE76">
        <f>MAX(0,N(BA76)-N(BD76))</f>
        <v/>
      </c>
      <c r="BF76">
        <f>IFERROR(MATCH(5,OrderPlan,0),"")</f>
        <v/>
      </c>
      <c r="BG76">
        <f>IF(BF76="",0,IFERROR(IF(N(CHOOSE(BF76,J76,N76,R76,V76,Z76,AD76,AH76,AL76))&lt;=0.005,0,MAX(0,N(CHOOSE(BF76,J76,N76,R76,V76,Z76,AD76,AH76,AL76))+N(CHOOSE(BF76,K76,O76,S76,W76,AA76,AE76,AI76,AM76))-MIN(N(CHOOSE(BF76,'Debt List'!$F$5,'Debt List'!$F$6,'Debt List'!$F$7,'Debt List'!$F$8,'Debt List'!$F$9,'Debt List'!$F$10,'Debt List'!$F$11,'Debt List'!$F$12)),N(CHOOSE(BF76,J76,N76,R76,V76,Z76,AD76,AH76,AL76))+N(CHOOSE(BF76,K76,O76,S76,W76,AA76,AE76,AI76,AM76))))),0))</f>
        <v/>
      </c>
      <c r="BH76">
        <f>MIN(N(BG76),MAX(0,N(BE76)))</f>
        <v/>
      </c>
      <c r="BI76">
        <f>MAX(0,N(BE76)-N(BH76))</f>
        <v/>
      </c>
      <c r="BJ76">
        <f>IFERROR(MATCH(6,OrderPlan,0),"")</f>
        <v/>
      </c>
      <c r="BK76">
        <f>IF(BJ76="",0,IFERROR(IF(N(CHOOSE(BJ76,J76,N76,R76,V76,Z76,AD76,AH76,AL76))&lt;=0.005,0,MAX(0,N(CHOOSE(BJ76,J76,N76,R76,V76,Z76,AD76,AH76,AL76))+N(CHOOSE(BJ76,K76,O76,S76,W76,AA76,AE76,AI76,AM76))-MIN(N(CHOOSE(BJ76,'Debt List'!$F$5,'Debt List'!$F$6,'Debt List'!$F$7,'Debt List'!$F$8,'Debt List'!$F$9,'Debt List'!$F$10,'Debt List'!$F$11,'Debt List'!$F$12)),N(CHOOSE(BJ76,J76,N76,R76,V76,Z76,AD76,AH76,AL76))+N(CHOOSE(BJ76,K76,O76,S76,W76,AA76,AE76,AI76,AM76))))),0))</f>
        <v/>
      </c>
      <c r="BL76">
        <f>MIN(N(BK76),MAX(0,N(BI76)))</f>
        <v/>
      </c>
      <c r="BM76">
        <f>MAX(0,N(BI76)-N(BL76))</f>
        <v/>
      </c>
      <c r="BN76">
        <f>IFERROR(MATCH(7,OrderPlan,0),"")</f>
        <v/>
      </c>
      <c r="BO76">
        <f>IF(BN76="",0,IFERROR(IF(N(CHOOSE(BN76,J76,N76,R76,V76,Z76,AD76,AH76,AL76))&lt;=0.005,0,MAX(0,N(CHOOSE(BN76,J76,N76,R76,V76,Z76,AD76,AH76,AL76))+N(CHOOSE(BN76,K76,O76,S76,W76,AA76,AE76,AI76,AM76))-MIN(N(CHOOSE(BN76,'Debt List'!$F$5,'Debt List'!$F$6,'Debt List'!$F$7,'Debt List'!$F$8,'Debt List'!$F$9,'Debt List'!$F$10,'Debt List'!$F$11,'Debt List'!$F$12)),N(CHOOSE(BN76,J76,N76,R76,V76,Z76,AD76,AH76,AL76))+N(CHOOSE(BN76,K76,O76,S76,W76,AA76,AE76,AI76,AM76))))),0))</f>
        <v/>
      </c>
      <c r="BP76">
        <f>MIN(N(BO76),MAX(0,N(BM76)))</f>
        <v/>
      </c>
      <c r="BQ76">
        <f>MAX(0,N(BM76)-N(BP76))</f>
        <v/>
      </c>
      <c r="BR76">
        <f>IFERROR(MATCH(8,OrderPlan,0),"")</f>
        <v/>
      </c>
      <c r="BS76">
        <f>IF(BR76="",0,IFERROR(IF(N(CHOOSE(BR76,J76,N76,R76,V76,Z76,AD76,AH76,AL76))&lt;=0.005,0,MAX(0,N(CHOOSE(BR76,J76,N76,R76,V76,Z76,AD76,AH76,AL76))+N(CHOOSE(BR76,K76,O76,S76,W76,AA76,AE76,AI76,AM76))-MIN(N(CHOOSE(BR76,'Debt List'!$F$5,'Debt List'!$F$6,'Debt List'!$F$7,'Debt List'!$F$8,'Debt List'!$F$9,'Debt List'!$F$10,'Debt List'!$F$11,'Debt List'!$F$12)),N(CHOOSE(BR76,J76,N76,R76,V76,Z76,AD76,AH76,AL76))+N(CHOOSE(BR76,K76,O76,S76,W76,AA76,AE76,AI76,AM76))))),0))</f>
        <v/>
      </c>
      <c r="BT76">
        <f>MIN(N(BS76),MAX(0,N(BQ76)))</f>
        <v/>
      </c>
      <c r="BU76">
        <f>MAX(0,N(BQ76)-N(BT76))</f>
        <v/>
      </c>
      <c r="CC76" t="n">
        <v>72</v>
      </c>
      <c r="CD76" s="115">
        <f>DATE(YEAR(PlanStart),MONTH(PlanStart)+CC76-1,1)</f>
        <v/>
      </c>
      <c r="CE76">
        <f>IF(AND(DR76&lt;&gt;"",N(CHOOSE(DR76,CL76,CP76,CT76,CX76,DB76,DF76,DJ76,DN76))&gt;0.005),INDEX(DebtNames,DR76),IF(AND(DV76&lt;&gt;"",N(CHOOSE(DV76,CL76,CP76,CT76,CX76,DB76,DF76,DJ76,DN76))&gt;0.005),INDEX(DebtNames,DV76),IF(AND(DZ76&lt;&gt;"",N(CHOOSE(DZ76,CL76,CP76,CT76,CX76,DB76,DF76,DJ76,DN76))&gt;0.005),INDEX(DebtNames,DZ76),IF(AND(ED76&lt;&gt;"",N(CHOOSE(ED76,CL76,CP76,CT76,CX76,DB76,DF76,DJ76,DN76))&gt;0.005),INDEX(DebtNames,ED76),IF(AND(EH76&lt;&gt;"",N(CHOOSE(EH76,CL76,CP76,CT76,CX76,DB76,DF76,DJ76,DN76))&gt;0.005),INDEX(DebtNames,EH76),IF(AND(EL76&lt;&gt;"",N(CHOOSE(EL76,CL76,CP76,CT76,CX76,DB76,DF76,DJ76,DN76))&gt;0.005),INDEX(DebtNames,EL76),IF(AND(EP76&lt;&gt;"",N(CHOOSE(EP76,CL76,CP76,CT76,CX76,DB76,DF76,DJ76,DN76))&gt;0.005),INDEX(DebtNames,EP76),IF(AND(ET76&lt;&gt;"",N(CHOOSE(ET76,CL76,CP76,CT76,CX76,DB76,DF76,DJ76,DN76))&gt;0.005),INDEX(DebtNames,ET76),""))))))))</f>
        <v/>
      </c>
      <c r="CF76">
        <f>N(EW76)</f>
        <v/>
      </c>
      <c r="CG76">
        <f>N(CN76)+N(CR76)+N(CV76)+N(CZ76)+N(DD76)+N(DH76)+N(DL76)+N(DP76)</f>
        <v/>
      </c>
      <c r="CH76">
        <f>N(CM76)+N(CQ76)+N(CU76)+N(CY76)+N(DC76)+N(DG76)+N(DK76)+N(DO76)</f>
        <v/>
      </c>
      <c r="CI76">
        <f>N(CI75)+N(CH76)</f>
        <v/>
      </c>
      <c r="CJ76">
        <f>N(CO76)+N(CS76)+N(CW76)+N(DA76)+N(DE76)+N(DI76)+N(DM76)+N(DQ76)</f>
        <v/>
      </c>
      <c r="CK76">
        <f>(CO76&gt;0.005)*1+(CS76&gt;0.005)*1+(CW76&gt;0.005)*1+(DA76&gt;0.005)*1+(DE76&gt;0.005)*1+(DI76&gt;0.005)*1+(DM76&gt;0.005)*1+(DQ76&gt;0.005)*1</f>
        <v/>
      </c>
      <c r="CL76">
        <f>N(CO75)</f>
        <v/>
      </c>
      <c r="CM76">
        <f>IF(N(CL76)&lt;=0.005,0,ROUND(N(CL76)*N('Debt List'!E5)/12,2))</f>
        <v/>
      </c>
      <c r="CN76">
        <f>IF(N(CL76)&lt;=0.005,0,MIN(N('Debt List'!F5),N(CL76)+N(CM76)))+((DR76=1)*DT76+(DV76=1)*DX76+(DZ76=1)*EB76+(ED76=1)*EF76+(EH76=1)*EJ76+(EL76=1)*EN76+(EP76=1)*ER76+(ET76=1)*EV76)</f>
        <v/>
      </c>
      <c r="CO76">
        <f>MAX(0,ROUND(N(CL76)+N(CM76)-N(CN76),2))</f>
        <v/>
      </c>
      <c r="CP76">
        <f>N(CS75)</f>
        <v/>
      </c>
      <c r="CQ76">
        <f>IF(N(CP76)&lt;=0.005,0,ROUND(N(CP76)*N('Debt List'!E6)/12,2))</f>
        <v/>
      </c>
      <c r="CR76">
        <f>IF(N(CP76)&lt;=0.005,0,MIN(N('Debt List'!F6),N(CP76)+N(CQ76)))+((DR76=2)*DT76+(DV76=2)*DX76+(DZ76=2)*EB76+(ED76=2)*EF76+(EH76=2)*EJ76+(EL76=2)*EN76+(EP76=2)*ER76+(ET76=2)*EV76)</f>
        <v/>
      </c>
      <c r="CS76">
        <f>MAX(0,ROUND(N(CP76)+N(CQ76)-N(CR76),2))</f>
        <v/>
      </c>
      <c r="CT76">
        <f>N(CW75)</f>
        <v/>
      </c>
      <c r="CU76">
        <f>IF(N(CT76)&lt;=0.005,0,ROUND(N(CT76)*N('Debt List'!E7)/12,2))</f>
        <v/>
      </c>
      <c r="CV76">
        <f>IF(N(CT76)&lt;=0.005,0,MIN(N('Debt List'!F7),N(CT76)+N(CU76)))+((DR76=3)*DT76+(DV76=3)*DX76+(DZ76=3)*EB76+(ED76=3)*EF76+(EH76=3)*EJ76+(EL76=3)*EN76+(EP76=3)*ER76+(ET76=3)*EV76)</f>
        <v/>
      </c>
      <c r="CW76">
        <f>MAX(0,ROUND(N(CT76)+N(CU76)-N(CV76),2))</f>
        <v/>
      </c>
      <c r="CX76">
        <f>N(DA75)</f>
        <v/>
      </c>
      <c r="CY76">
        <f>IF(N(CX76)&lt;=0.005,0,ROUND(N(CX76)*N('Debt List'!E8)/12,2))</f>
        <v/>
      </c>
      <c r="CZ76">
        <f>IF(N(CX76)&lt;=0.005,0,MIN(N('Debt List'!F8),N(CX76)+N(CY76)))+((DR76=4)*DT76+(DV76=4)*DX76+(DZ76=4)*EB76+(ED76=4)*EF76+(EH76=4)*EJ76+(EL76=4)*EN76+(EP76=4)*ER76+(ET76=4)*EV76)</f>
        <v/>
      </c>
      <c r="DA76">
        <f>MAX(0,ROUND(N(CX76)+N(CY76)-N(CZ76),2))</f>
        <v/>
      </c>
      <c r="DB76">
        <f>N(DE75)</f>
        <v/>
      </c>
      <c r="DC76">
        <f>IF(N(DB76)&lt;=0.005,0,ROUND(N(DB76)*N('Debt List'!E9)/12,2))</f>
        <v/>
      </c>
      <c r="DD76">
        <f>IF(N(DB76)&lt;=0.005,0,MIN(N('Debt List'!F9),N(DB76)+N(DC76)))+((DR76=5)*DT76+(DV76=5)*DX76+(DZ76=5)*EB76+(ED76=5)*EF76+(EH76=5)*EJ76+(EL76=5)*EN76+(EP76=5)*ER76+(ET76=5)*EV76)</f>
        <v/>
      </c>
      <c r="DE76">
        <f>MAX(0,ROUND(N(DB76)+N(DC76)-N(DD76),2))</f>
        <v/>
      </c>
      <c r="DF76">
        <f>N(DI75)</f>
        <v/>
      </c>
      <c r="DG76">
        <f>IF(N(DF76)&lt;=0.005,0,ROUND(N(DF76)*N('Debt List'!E10)/12,2))</f>
        <v/>
      </c>
      <c r="DH76">
        <f>IF(N(DF76)&lt;=0.005,0,MIN(N('Debt List'!F10),N(DF76)+N(DG76)))+((DR76=6)*DT76+(DV76=6)*DX76+(DZ76=6)*EB76+(ED76=6)*EF76+(EH76=6)*EJ76+(EL76=6)*EN76+(EP76=6)*ER76+(ET76=6)*EV76)</f>
        <v/>
      </c>
      <c r="DI76">
        <f>MAX(0,ROUND(N(DF76)+N(DG76)-N(DH76),2))</f>
        <v/>
      </c>
      <c r="DJ76">
        <f>N(DM75)</f>
        <v/>
      </c>
      <c r="DK76">
        <f>IF(N(DJ76)&lt;=0.005,0,ROUND(N(DJ76)*N('Debt List'!E11)/12,2))</f>
        <v/>
      </c>
      <c r="DL76">
        <f>IF(N(DJ76)&lt;=0.005,0,MIN(N('Debt List'!F11),N(DJ76)+N(DK76)))+((DR76=7)*DT76+(DV76=7)*DX76+(DZ76=7)*EB76+(ED76=7)*EF76+(EH76=7)*EJ76+(EL76=7)*EN76+(EP76=7)*ER76+(ET76=7)*EV76)</f>
        <v/>
      </c>
      <c r="DM76">
        <f>MAX(0,ROUND(N(DJ76)+N(DK76)-N(DL76),2))</f>
        <v/>
      </c>
      <c r="DN76">
        <f>N(DQ75)</f>
        <v/>
      </c>
      <c r="DO76">
        <f>IF(N(DN76)&lt;=0.005,0,ROUND(N(DN76)*N('Debt List'!E12)/12,2))</f>
        <v/>
      </c>
      <c r="DP76">
        <f>IF(N(DN76)&lt;=0.005,0,MIN(N('Debt List'!F12),N(DN76)+N(DO76)))+((DR76=8)*DT76+(DV76=8)*DX76+(DZ76=8)*EB76+(ED76=8)*EF76+(EH76=8)*EJ76+(EL76=8)*EN76+(EP76=8)*ER76+(ET76=8)*EV76)</f>
        <v/>
      </c>
      <c r="DQ76">
        <f>MAX(0,ROUND(N(DN76)+N(DO76)-N(DP76),2))</f>
        <v/>
      </c>
      <c r="DR76">
        <f>IFERROR(MATCH(1,OrderSnow,0),"")</f>
        <v/>
      </c>
      <c r="DS76">
        <f>IF(DR76="",0,IFERROR(IF(N(CHOOSE(DR76,CL76,CP76,CT76,CX76,DB76,DF76,DJ76,DN76))&lt;=0.005,0,MAX(0,N(CHOOSE(DR76,CL76,CP76,CT76,CX76,DB76,DF76,DJ76,DN76))+N(CHOOSE(DR76,CM76,CQ76,CU76,CY76,DC76,DG76,DK76,DO76))-MIN(N(CHOOSE(DR76,'Debt List'!$F$5,'Debt List'!$F$6,'Debt List'!$F$7,'Debt List'!$F$8,'Debt List'!$F$9,'Debt List'!$F$10,'Debt List'!$F$11,'Debt List'!$F$12)),N(CHOOSE(DR76,CL76,CP76,CT76,CX76,DB76,DF76,DJ76,DN76))+N(CHOOSE(DR76,CM76,CQ76,CU76,CY76,DC76,DG76,DK76,DO76))))),0))</f>
        <v/>
      </c>
      <c r="DT76">
        <f>MIN(N(DS76),MAX(0,N(ExtraPayment)))</f>
        <v/>
      </c>
      <c r="DU76">
        <f>MAX(0,N(ExtraPayment)-N(DT76))</f>
        <v/>
      </c>
      <c r="DV76">
        <f>IFERROR(MATCH(2,OrderSnow,0),"")</f>
        <v/>
      </c>
      <c r="DW76">
        <f>IF(DV76="",0,IFERROR(IF(N(CHOOSE(DV76,CL76,CP76,CT76,CX76,DB76,DF76,DJ76,DN76))&lt;=0.005,0,MAX(0,N(CHOOSE(DV76,CL76,CP76,CT76,CX76,DB76,DF76,DJ76,DN76))+N(CHOOSE(DV76,CM76,CQ76,CU76,CY76,DC76,DG76,DK76,DO76))-MIN(N(CHOOSE(DV76,'Debt List'!$F$5,'Debt List'!$F$6,'Debt List'!$F$7,'Debt List'!$F$8,'Debt List'!$F$9,'Debt List'!$F$10,'Debt List'!$F$11,'Debt List'!$F$12)),N(CHOOSE(DV76,CL76,CP76,CT76,CX76,DB76,DF76,DJ76,DN76))+N(CHOOSE(DV76,CM76,CQ76,CU76,CY76,DC76,DG76,DK76,DO76))))),0))</f>
        <v/>
      </c>
      <c r="DX76">
        <f>MIN(N(DW76),MAX(0,N(DU76)))</f>
        <v/>
      </c>
      <c r="DY76">
        <f>MAX(0,N(DU76)-N(DX76))</f>
        <v/>
      </c>
      <c r="DZ76">
        <f>IFERROR(MATCH(3,OrderSnow,0),"")</f>
        <v/>
      </c>
      <c r="EA76">
        <f>IF(DZ76="",0,IFERROR(IF(N(CHOOSE(DZ76,CL76,CP76,CT76,CX76,DB76,DF76,DJ76,DN76))&lt;=0.005,0,MAX(0,N(CHOOSE(DZ76,CL76,CP76,CT76,CX76,DB76,DF76,DJ76,DN76))+N(CHOOSE(DZ76,CM76,CQ76,CU76,CY76,DC76,DG76,DK76,DO76))-MIN(N(CHOOSE(DZ76,'Debt List'!$F$5,'Debt List'!$F$6,'Debt List'!$F$7,'Debt List'!$F$8,'Debt List'!$F$9,'Debt List'!$F$10,'Debt List'!$F$11,'Debt List'!$F$12)),N(CHOOSE(DZ76,CL76,CP76,CT76,CX76,DB76,DF76,DJ76,DN76))+N(CHOOSE(DZ76,CM76,CQ76,CU76,CY76,DC76,DG76,DK76,DO76))))),0))</f>
        <v/>
      </c>
      <c r="EB76">
        <f>MIN(N(EA76),MAX(0,N(DY76)))</f>
        <v/>
      </c>
      <c r="EC76">
        <f>MAX(0,N(DY76)-N(EB76))</f>
        <v/>
      </c>
      <c r="ED76">
        <f>IFERROR(MATCH(4,OrderSnow,0),"")</f>
        <v/>
      </c>
      <c r="EE76">
        <f>IF(ED76="",0,IFERROR(IF(N(CHOOSE(ED76,CL76,CP76,CT76,CX76,DB76,DF76,DJ76,DN76))&lt;=0.005,0,MAX(0,N(CHOOSE(ED76,CL76,CP76,CT76,CX76,DB76,DF76,DJ76,DN76))+N(CHOOSE(ED76,CM76,CQ76,CU76,CY76,DC76,DG76,DK76,DO76))-MIN(N(CHOOSE(ED76,'Debt List'!$F$5,'Debt List'!$F$6,'Debt List'!$F$7,'Debt List'!$F$8,'Debt List'!$F$9,'Debt List'!$F$10,'Debt List'!$F$11,'Debt List'!$F$12)),N(CHOOSE(ED76,CL76,CP76,CT76,CX76,DB76,DF76,DJ76,DN76))+N(CHOOSE(ED76,CM76,CQ76,CU76,CY76,DC76,DG76,DK76,DO76))))),0))</f>
        <v/>
      </c>
      <c r="EF76">
        <f>MIN(N(EE76),MAX(0,N(EC76)))</f>
        <v/>
      </c>
      <c r="EG76">
        <f>MAX(0,N(EC76)-N(EF76))</f>
        <v/>
      </c>
      <c r="EH76">
        <f>IFERROR(MATCH(5,OrderSnow,0),"")</f>
        <v/>
      </c>
      <c r="EI76">
        <f>IF(EH76="",0,IFERROR(IF(N(CHOOSE(EH76,CL76,CP76,CT76,CX76,DB76,DF76,DJ76,DN76))&lt;=0.005,0,MAX(0,N(CHOOSE(EH76,CL76,CP76,CT76,CX76,DB76,DF76,DJ76,DN76))+N(CHOOSE(EH76,CM76,CQ76,CU76,CY76,DC76,DG76,DK76,DO76))-MIN(N(CHOOSE(EH76,'Debt List'!$F$5,'Debt List'!$F$6,'Debt List'!$F$7,'Debt List'!$F$8,'Debt List'!$F$9,'Debt List'!$F$10,'Debt List'!$F$11,'Debt List'!$F$12)),N(CHOOSE(EH76,CL76,CP76,CT76,CX76,DB76,DF76,DJ76,DN76))+N(CHOOSE(EH76,CM76,CQ76,CU76,CY76,DC76,DG76,DK76,DO76))))),0))</f>
        <v/>
      </c>
      <c r="EJ76">
        <f>MIN(N(EI76),MAX(0,N(EG76)))</f>
        <v/>
      </c>
      <c r="EK76">
        <f>MAX(0,N(EG76)-N(EJ76))</f>
        <v/>
      </c>
      <c r="EL76">
        <f>IFERROR(MATCH(6,OrderSnow,0),"")</f>
        <v/>
      </c>
      <c r="EM76">
        <f>IF(EL76="",0,IFERROR(IF(N(CHOOSE(EL76,CL76,CP76,CT76,CX76,DB76,DF76,DJ76,DN76))&lt;=0.005,0,MAX(0,N(CHOOSE(EL76,CL76,CP76,CT76,CX76,DB76,DF76,DJ76,DN76))+N(CHOOSE(EL76,CM76,CQ76,CU76,CY76,DC76,DG76,DK76,DO76))-MIN(N(CHOOSE(EL76,'Debt List'!$F$5,'Debt List'!$F$6,'Debt List'!$F$7,'Debt List'!$F$8,'Debt List'!$F$9,'Debt List'!$F$10,'Debt List'!$F$11,'Debt List'!$F$12)),N(CHOOSE(EL76,CL76,CP76,CT76,CX76,DB76,DF76,DJ76,DN76))+N(CHOOSE(EL76,CM76,CQ76,CU76,CY76,DC76,DG76,DK76,DO76))))),0))</f>
        <v/>
      </c>
      <c r="EN76">
        <f>MIN(N(EM76),MAX(0,N(EK76)))</f>
        <v/>
      </c>
      <c r="EO76">
        <f>MAX(0,N(EK76)-N(EN76))</f>
        <v/>
      </c>
      <c r="EP76">
        <f>IFERROR(MATCH(7,OrderSnow,0),"")</f>
        <v/>
      </c>
      <c r="EQ76">
        <f>IF(EP76="",0,IFERROR(IF(N(CHOOSE(EP76,CL76,CP76,CT76,CX76,DB76,DF76,DJ76,DN76))&lt;=0.005,0,MAX(0,N(CHOOSE(EP76,CL76,CP76,CT76,CX76,DB76,DF76,DJ76,DN76))+N(CHOOSE(EP76,CM76,CQ76,CU76,CY76,DC76,DG76,DK76,DO76))-MIN(N(CHOOSE(EP76,'Debt List'!$F$5,'Debt List'!$F$6,'Debt List'!$F$7,'Debt List'!$F$8,'Debt List'!$F$9,'Debt List'!$F$10,'Debt List'!$F$11,'Debt List'!$F$12)),N(CHOOSE(EP76,CL76,CP76,CT76,CX76,DB76,DF76,DJ76,DN76))+N(CHOOSE(EP76,CM76,CQ76,CU76,CY76,DC76,DG76,DK76,DO76))))),0))</f>
        <v/>
      </c>
      <c r="ER76">
        <f>MIN(N(EQ76),MAX(0,N(EO76)))</f>
        <v/>
      </c>
      <c r="ES76">
        <f>MAX(0,N(EO76)-N(ER76))</f>
        <v/>
      </c>
      <c r="ET76">
        <f>IFERROR(MATCH(8,OrderSnow,0),"")</f>
        <v/>
      </c>
      <c r="EU76">
        <f>IF(ET76="",0,IFERROR(IF(N(CHOOSE(ET76,CL76,CP76,CT76,CX76,DB76,DF76,DJ76,DN76))&lt;=0.005,0,MAX(0,N(CHOOSE(ET76,CL76,CP76,CT76,CX76,DB76,DF76,DJ76,DN76))+N(CHOOSE(ET76,CM76,CQ76,CU76,CY76,DC76,DG76,DK76,DO76))-MIN(N(CHOOSE(ET76,'Debt List'!$F$5,'Debt List'!$F$6,'Debt List'!$F$7,'Debt List'!$F$8,'Debt List'!$F$9,'Debt List'!$F$10,'Debt List'!$F$11,'Debt List'!$F$12)),N(CHOOSE(ET76,CL76,CP76,CT76,CX76,DB76,DF76,DJ76,DN76))+N(CHOOSE(ET76,CM76,CQ76,CU76,CY76,DC76,DG76,DK76,DO76))))),0))</f>
        <v/>
      </c>
      <c r="EV76">
        <f>MIN(N(EU76),MAX(0,N(ES76)))</f>
        <v/>
      </c>
      <c r="EW76">
        <f>MAX(0,N(ES76)-N(EV76))</f>
        <v/>
      </c>
      <c r="FE76" t="n">
        <v>72</v>
      </c>
      <c r="FF76" s="115">
        <f>DATE(YEAR(PlanStart),MONTH(PlanStart)+FE76-1,1)</f>
        <v/>
      </c>
      <c r="FG76">
        <f>IF(AND(GT76&lt;&gt;"",N(CHOOSE(GT76,FN76,FR76,FV76,FZ76,GD76,GH76,GL76,GP76))&gt;0.005),INDEX(DebtNames,GT76),IF(AND(GX76&lt;&gt;"",N(CHOOSE(GX76,FN76,FR76,FV76,FZ76,GD76,GH76,GL76,GP76))&gt;0.005),INDEX(DebtNames,GX76),IF(AND(HB76&lt;&gt;"",N(CHOOSE(HB76,FN76,FR76,FV76,FZ76,GD76,GH76,GL76,GP76))&gt;0.005),INDEX(DebtNames,HB76),IF(AND(HF76&lt;&gt;"",N(CHOOSE(HF76,FN76,FR76,FV76,FZ76,GD76,GH76,GL76,GP76))&gt;0.005),INDEX(DebtNames,HF76),IF(AND(HJ76&lt;&gt;"",N(CHOOSE(HJ76,FN76,FR76,FV76,FZ76,GD76,GH76,GL76,GP76))&gt;0.005),INDEX(DebtNames,HJ76),IF(AND(HN76&lt;&gt;"",N(CHOOSE(HN76,FN76,FR76,FV76,FZ76,GD76,GH76,GL76,GP76))&gt;0.005),INDEX(DebtNames,HN76),IF(AND(HR76&lt;&gt;"",N(CHOOSE(HR76,FN76,FR76,FV76,FZ76,GD76,GH76,GL76,GP76))&gt;0.005),INDEX(DebtNames,HR76),IF(AND(HV76&lt;&gt;"",N(CHOOSE(HV76,FN76,FR76,FV76,FZ76,GD76,GH76,GL76,GP76))&gt;0.005),INDEX(DebtNames,HV76),""))))))))</f>
        <v/>
      </c>
      <c r="FH76">
        <f>N(HY76)</f>
        <v/>
      </c>
      <c r="FI76">
        <f>N(FP76)+N(FT76)+N(FX76)+N(GB76)+N(GF76)+N(GJ76)+N(GN76)+N(GR76)</f>
        <v/>
      </c>
      <c r="FJ76">
        <f>N(FO76)+N(FS76)+N(FW76)+N(GA76)+N(GE76)+N(GI76)+N(GM76)+N(GQ76)</f>
        <v/>
      </c>
      <c r="FK76">
        <f>N(FK75)+N(FJ76)</f>
        <v/>
      </c>
      <c r="FL76">
        <f>N(FQ76)+N(FU76)+N(FY76)+N(GC76)+N(GG76)+N(GK76)+N(GO76)+N(GS76)</f>
        <v/>
      </c>
      <c r="FM76">
        <f>(FQ76&gt;0.005)*1+(FU76&gt;0.005)*1+(FY76&gt;0.005)*1+(GC76&gt;0.005)*1+(GG76&gt;0.005)*1+(GK76&gt;0.005)*1+(GO76&gt;0.005)*1+(GS76&gt;0.005)*1</f>
        <v/>
      </c>
      <c r="FN76">
        <f>N(FQ75)</f>
        <v/>
      </c>
      <c r="FO76">
        <f>IF(N(FN76)&lt;=0.005,0,ROUND(N(FN76)*N('Debt List'!E5)/12,2))</f>
        <v/>
      </c>
      <c r="FP76">
        <f>IF(N(FN76)&lt;=0.005,0,MIN(N('Debt List'!F5),N(FN76)+N(FO76)))+((GT76=1)*GV76+(GX76=1)*GZ76+(HB76=1)*HD76+(HF76=1)*HH76+(HJ76=1)*HL76+(HN76=1)*HP76+(HR76=1)*HT76+(HV76=1)*HX76)</f>
        <v/>
      </c>
      <c r="FQ76">
        <f>MAX(0,ROUND(N(FN76)+N(FO76)-N(FP76),2))</f>
        <v/>
      </c>
      <c r="FR76">
        <f>N(FU75)</f>
        <v/>
      </c>
      <c r="FS76">
        <f>IF(N(FR76)&lt;=0.005,0,ROUND(N(FR76)*N('Debt List'!E6)/12,2))</f>
        <v/>
      </c>
      <c r="FT76">
        <f>IF(N(FR76)&lt;=0.005,0,MIN(N('Debt List'!F6),N(FR76)+N(FS76)))+((GT76=2)*GV76+(GX76=2)*GZ76+(HB76=2)*HD76+(HF76=2)*HH76+(HJ76=2)*HL76+(HN76=2)*HP76+(HR76=2)*HT76+(HV76=2)*HX76)</f>
        <v/>
      </c>
      <c r="FU76">
        <f>MAX(0,ROUND(N(FR76)+N(FS76)-N(FT76),2))</f>
        <v/>
      </c>
      <c r="FV76">
        <f>N(FY75)</f>
        <v/>
      </c>
      <c r="FW76">
        <f>IF(N(FV76)&lt;=0.005,0,ROUND(N(FV76)*N('Debt List'!E7)/12,2))</f>
        <v/>
      </c>
      <c r="FX76">
        <f>IF(N(FV76)&lt;=0.005,0,MIN(N('Debt List'!F7),N(FV76)+N(FW76)))+((GT76=3)*GV76+(GX76=3)*GZ76+(HB76=3)*HD76+(HF76=3)*HH76+(HJ76=3)*HL76+(HN76=3)*HP76+(HR76=3)*HT76+(HV76=3)*HX76)</f>
        <v/>
      </c>
      <c r="FY76">
        <f>MAX(0,ROUND(N(FV76)+N(FW76)-N(FX76),2))</f>
        <v/>
      </c>
      <c r="FZ76">
        <f>N(GC75)</f>
        <v/>
      </c>
      <c r="GA76">
        <f>IF(N(FZ76)&lt;=0.005,0,ROUND(N(FZ76)*N('Debt List'!E8)/12,2))</f>
        <v/>
      </c>
      <c r="GB76">
        <f>IF(N(FZ76)&lt;=0.005,0,MIN(N('Debt List'!F8),N(FZ76)+N(GA76)))+((GT76=4)*GV76+(GX76=4)*GZ76+(HB76=4)*HD76+(HF76=4)*HH76+(HJ76=4)*HL76+(HN76=4)*HP76+(HR76=4)*HT76+(HV76=4)*HX76)</f>
        <v/>
      </c>
      <c r="GC76">
        <f>MAX(0,ROUND(N(FZ76)+N(GA76)-N(GB76),2))</f>
        <v/>
      </c>
      <c r="GD76">
        <f>N(GG75)</f>
        <v/>
      </c>
      <c r="GE76">
        <f>IF(N(GD76)&lt;=0.005,0,ROUND(N(GD76)*N('Debt List'!E9)/12,2))</f>
        <v/>
      </c>
      <c r="GF76">
        <f>IF(N(GD76)&lt;=0.005,0,MIN(N('Debt List'!F9),N(GD76)+N(GE76)))+((GT76=5)*GV76+(GX76=5)*GZ76+(HB76=5)*HD76+(HF76=5)*HH76+(HJ76=5)*HL76+(HN76=5)*HP76+(HR76=5)*HT76+(HV76=5)*HX76)</f>
        <v/>
      </c>
      <c r="GG76">
        <f>MAX(0,ROUND(N(GD76)+N(GE76)-N(GF76),2))</f>
        <v/>
      </c>
      <c r="GH76">
        <f>N(GK75)</f>
        <v/>
      </c>
      <c r="GI76">
        <f>IF(N(GH76)&lt;=0.005,0,ROUND(N(GH76)*N('Debt List'!E10)/12,2))</f>
        <v/>
      </c>
      <c r="GJ76">
        <f>IF(N(GH76)&lt;=0.005,0,MIN(N('Debt List'!F10),N(GH76)+N(GI76)))+((GT76=6)*GV76+(GX76=6)*GZ76+(HB76=6)*HD76+(HF76=6)*HH76+(HJ76=6)*HL76+(HN76=6)*HP76+(HR76=6)*HT76+(HV76=6)*HX76)</f>
        <v/>
      </c>
      <c r="GK76">
        <f>MAX(0,ROUND(N(GH76)+N(GI76)-N(GJ76),2))</f>
        <v/>
      </c>
      <c r="GL76">
        <f>N(GO75)</f>
        <v/>
      </c>
      <c r="GM76">
        <f>IF(N(GL76)&lt;=0.005,0,ROUND(N(GL76)*N('Debt List'!E11)/12,2))</f>
        <v/>
      </c>
      <c r="GN76">
        <f>IF(N(GL76)&lt;=0.005,0,MIN(N('Debt List'!F11),N(GL76)+N(GM76)))+((GT76=7)*GV76+(GX76=7)*GZ76+(HB76=7)*HD76+(HF76=7)*HH76+(HJ76=7)*HL76+(HN76=7)*HP76+(HR76=7)*HT76+(HV76=7)*HX76)</f>
        <v/>
      </c>
      <c r="GO76">
        <f>MAX(0,ROUND(N(GL76)+N(GM76)-N(GN76),2))</f>
        <v/>
      </c>
      <c r="GP76">
        <f>N(GS75)</f>
        <v/>
      </c>
      <c r="GQ76">
        <f>IF(N(GP76)&lt;=0.005,0,ROUND(N(GP76)*N('Debt List'!E12)/12,2))</f>
        <v/>
      </c>
      <c r="GR76">
        <f>IF(N(GP76)&lt;=0.005,0,MIN(N('Debt List'!F12),N(GP76)+N(GQ76)))+((GT76=8)*GV76+(GX76=8)*GZ76+(HB76=8)*HD76+(HF76=8)*HH76+(HJ76=8)*HL76+(HN76=8)*HP76+(HR76=8)*HT76+(HV76=8)*HX76)</f>
        <v/>
      </c>
      <c r="GS76">
        <f>MAX(0,ROUND(N(GP76)+N(GQ76)-N(GR76),2))</f>
        <v/>
      </c>
      <c r="GT76">
        <f>IFERROR(MATCH(1,OrderAval,0),"")</f>
        <v/>
      </c>
      <c r="GU76">
        <f>IF(GT76="",0,IFERROR(IF(N(CHOOSE(GT76,FN76,FR76,FV76,FZ76,GD76,GH76,GL76,GP76))&lt;=0.005,0,MAX(0,N(CHOOSE(GT76,FN76,FR76,FV76,FZ76,GD76,GH76,GL76,GP76))+N(CHOOSE(GT76,FO76,FS76,FW76,GA76,GE76,GI76,GM76,GQ76))-MIN(N(CHOOSE(GT76,'Debt List'!$F$5,'Debt List'!$F$6,'Debt List'!$F$7,'Debt List'!$F$8,'Debt List'!$F$9,'Debt List'!$F$10,'Debt List'!$F$11,'Debt List'!$F$12)),N(CHOOSE(GT76,FN76,FR76,FV76,FZ76,GD76,GH76,GL76,GP76))+N(CHOOSE(GT76,FO76,FS76,FW76,GA76,GE76,GI76,GM76,GQ76))))),0))</f>
        <v/>
      </c>
      <c r="GV76">
        <f>MIN(N(GU76),MAX(0,N(ExtraPayment)))</f>
        <v/>
      </c>
      <c r="GW76">
        <f>MAX(0,N(ExtraPayment)-N(GV76))</f>
        <v/>
      </c>
      <c r="GX76">
        <f>IFERROR(MATCH(2,OrderAval,0),"")</f>
        <v/>
      </c>
      <c r="GY76">
        <f>IF(GX76="",0,IFERROR(IF(N(CHOOSE(GX76,FN76,FR76,FV76,FZ76,GD76,GH76,GL76,GP76))&lt;=0.005,0,MAX(0,N(CHOOSE(GX76,FN76,FR76,FV76,FZ76,GD76,GH76,GL76,GP76))+N(CHOOSE(GX76,FO76,FS76,FW76,GA76,GE76,GI76,GM76,GQ76))-MIN(N(CHOOSE(GX76,'Debt List'!$F$5,'Debt List'!$F$6,'Debt List'!$F$7,'Debt List'!$F$8,'Debt List'!$F$9,'Debt List'!$F$10,'Debt List'!$F$11,'Debt List'!$F$12)),N(CHOOSE(GX76,FN76,FR76,FV76,FZ76,GD76,GH76,GL76,GP76))+N(CHOOSE(GX76,FO76,FS76,FW76,GA76,GE76,GI76,GM76,GQ76))))),0))</f>
        <v/>
      </c>
      <c r="GZ76">
        <f>MIN(N(GY76),MAX(0,N(GW76)))</f>
        <v/>
      </c>
      <c r="HA76">
        <f>MAX(0,N(GW76)-N(GZ76))</f>
        <v/>
      </c>
      <c r="HB76">
        <f>IFERROR(MATCH(3,OrderAval,0),"")</f>
        <v/>
      </c>
      <c r="HC76">
        <f>IF(HB76="",0,IFERROR(IF(N(CHOOSE(HB76,FN76,FR76,FV76,FZ76,GD76,GH76,GL76,GP76))&lt;=0.005,0,MAX(0,N(CHOOSE(HB76,FN76,FR76,FV76,FZ76,GD76,GH76,GL76,GP76))+N(CHOOSE(HB76,FO76,FS76,FW76,GA76,GE76,GI76,GM76,GQ76))-MIN(N(CHOOSE(HB76,'Debt List'!$F$5,'Debt List'!$F$6,'Debt List'!$F$7,'Debt List'!$F$8,'Debt List'!$F$9,'Debt List'!$F$10,'Debt List'!$F$11,'Debt List'!$F$12)),N(CHOOSE(HB76,FN76,FR76,FV76,FZ76,GD76,GH76,GL76,GP76))+N(CHOOSE(HB76,FO76,FS76,FW76,GA76,GE76,GI76,GM76,GQ76))))),0))</f>
        <v/>
      </c>
      <c r="HD76">
        <f>MIN(N(HC76),MAX(0,N(HA76)))</f>
        <v/>
      </c>
      <c r="HE76">
        <f>MAX(0,N(HA76)-N(HD76))</f>
        <v/>
      </c>
      <c r="HF76">
        <f>IFERROR(MATCH(4,OrderAval,0),"")</f>
        <v/>
      </c>
      <c r="HG76">
        <f>IF(HF76="",0,IFERROR(IF(N(CHOOSE(HF76,FN76,FR76,FV76,FZ76,GD76,GH76,GL76,GP76))&lt;=0.005,0,MAX(0,N(CHOOSE(HF76,FN76,FR76,FV76,FZ76,GD76,GH76,GL76,GP76))+N(CHOOSE(HF76,FO76,FS76,FW76,GA76,GE76,GI76,GM76,GQ76))-MIN(N(CHOOSE(HF76,'Debt List'!$F$5,'Debt List'!$F$6,'Debt List'!$F$7,'Debt List'!$F$8,'Debt List'!$F$9,'Debt List'!$F$10,'Debt List'!$F$11,'Debt List'!$F$12)),N(CHOOSE(HF76,FN76,FR76,FV76,FZ76,GD76,GH76,GL76,GP76))+N(CHOOSE(HF76,FO76,FS76,FW76,GA76,GE76,GI76,GM76,GQ76))))),0))</f>
        <v/>
      </c>
      <c r="HH76">
        <f>MIN(N(HG76),MAX(0,N(HE76)))</f>
        <v/>
      </c>
      <c r="HI76">
        <f>MAX(0,N(HE76)-N(HH76))</f>
        <v/>
      </c>
      <c r="HJ76">
        <f>IFERROR(MATCH(5,OrderAval,0),"")</f>
        <v/>
      </c>
      <c r="HK76">
        <f>IF(HJ76="",0,IFERROR(IF(N(CHOOSE(HJ76,FN76,FR76,FV76,FZ76,GD76,GH76,GL76,GP76))&lt;=0.005,0,MAX(0,N(CHOOSE(HJ76,FN76,FR76,FV76,FZ76,GD76,GH76,GL76,GP76))+N(CHOOSE(HJ76,FO76,FS76,FW76,GA76,GE76,GI76,GM76,GQ76))-MIN(N(CHOOSE(HJ76,'Debt List'!$F$5,'Debt List'!$F$6,'Debt List'!$F$7,'Debt List'!$F$8,'Debt List'!$F$9,'Debt List'!$F$10,'Debt List'!$F$11,'Debt List'!$F$12)),N(CHOOSE(HJ76,FN76,FR76,FV76,FZ76,GD76,GH76,GL76,GP76))+N(CHOOSE(HJ76,FO76,FS76,FW76,GA76,GE76,GI76,GM76,GQ76))))),0))</f>
        <v/>
      </c>
      <c r="HL76">
        <f>MIN(N(HK76),MAX(0,N(HI76)))</f>
        <v/>
      </c>
      <c r="HM76">
        <f>MAX(0,N(HI76)-N(HL76))</f>
        <v/>
      </c>
      <c r="HN76">
        <f>IFERROR(MATCH(6,OrderAval,0),"")</f>
        <v/>
      </c>
      <c r="HO76">
        <f>IF(HN76="",0,IFERROR(IF(N(CHOOSE(HN76,FN76,FR76,FV76,FZ76,GD76,GH76,GL76,GP76))&lt;=0.005,0,MAX(0,N(CHOOSE(HN76,FN76,FR76,FV76,FZ76,GD76,GH76,GL76,GP76))+N(CHOOSE(HN76,FO76,FS76,FW76,GA76,GE76,GI76,GM76,GQ76))-MIN(N(CHOOSE(HN76,'Debt List'!$F$5,'Debt List'!$F$6,'Debt List'!$F$7,'Debt List'!$F$8,'Debt List'!$F$9,'Debt List'!$F$10,'Debt List'!$F$11,'Debt List'!$F$12)),N(CHOOSE(HN76,FN76,FR76,FV76,FZ76,GD76,GH76,GL76,GP76))+N(CHOOSE(HN76,FO76,FS76,FW76,GA76,GE76,GI76,GM76,GQ76))))),0))</f>
        <v/>
      </c>
      <c r="HP76">
        <f>MIN(N(HO76),MAX(0,N(HM76)))</f>
        <v/>
      </c>
      <c r="HQ76">
        <f>MAX(0,N(HM76)-N(HP76))</f>
        <v/>
      </c>
      <c r="HR76">
        <f>IFERROR(MATCH(7,OrderAval,0),"")</f>
        <v/>
      </c>
      <c r="HS76">
        <f>IF(HR76="",0,IFERROR(IF(N(CHOOSE(HR76,FN76,FR76,FV76,FZ76,GD76,GH76,GL76,GP76))&lt;=0.005,0,MAX(0,N(CHOOSE(HR76,FN76,FR76,FV76,FZ76,GD76,GH76,GL76,GP76))+N(CHOOSE(HR76,FO76,FS76,FW76,GA76,GE76,GI76,GM76,GQ76))-MIN(N(CHOOSE(HR76,'Debt List'!$F$5,'Debt List'!$F$6,'Debt List'!$F$7,'Debt List'!$F$8,'Debt List'!$F$9,'Debt List'!$F$10,'Debt List'!$F$11,'Debt List'!$F$12)),N(CHOOSE(HR76,FN76,FR76,FV76,FZ76,GD76,GH76,GL76,GP76))+N(CHOOSE(HR76,FO76,FS76,FW76,GA76,GE76,GI76,GM76,GQ76))))),0))</f>
        <v/>
      </c>
      <c r="HT76">
        <f>MIN(N(HS76),MAX(0,N(HQ76)))</f>
        <v/>
      </c>
      <c r="HU76">
        <f>MAX(0,N(HQ76)-N(HT76))</f>
        <v/>
      </c>
      <c r="HV76">
        <f>IFERROR(MATCH(8,OrderAval,0),"")</f>
        <v/>
      </c>
      <c r="HW76">
        <f>IF(HV76="",0,IFERROR(IF(N(CHOOSE(HV76,FN76,FR76,FV76,FZ76,GD76,GH76,GL76,GP76))&lt;=0.005,0,MAX(0,N(CHOOSE(HV76,FN76,FR76,FV76,FZ76,GD76,GH76,GL76,GP76))+N(CHOOSE(HV76,FO76,FS76,FW76,GA76,GE76,GI76,GM76,GQ76))-MIN(N(CHOOSE(HV76,'Debt List'!$F$5,'Debt List'!$F$6,'Debt List'!$F$7,'Debt List'!$F$8,'Debt List'!$F$9,'Debt List'!$F$10,'Debt List'!$F$11,'Debt List'!$F$12)),N(CHOOSE(HV76,FN76,FR76,FV76,FZ76,GD76,GH76,GL76,GP76))+N(CHOOSE(HV76,FO76,FS76,FW76,GA76,GE76,GI76,GM76,GQ76))))),0))</f>
        <v/>
      </c>
      <c r="HX76">
        <f>MIN(N(HW76),MAX(0,N(HU76)))</f>
        <v/>
      </c>
      <c r="HY76">
        <f>MAX(0,N(HU76)-N(HX76))</f>
        <v/>
      </c>
    </row>
    <row r="77">
      <c r="A77" t="n">
        <v>73</v>
      </c>
      <c r="B77" s="115">
        <f>DATE(YEAR(PlanStart),MONTH(PlanStart)+A77-1,1)</f>
        <v/>
      </c>
      <c r="C77">
        <f>IF(AND(AP77&lt;&gt;"",N(CHOOSE(AP77,J77,N77,R77,V77,Z77,AD77,AH77,AL77))&gt;0.005),INDEX(DebtNames,AP77),IF(AND(AT77&lt;&gt;"",N(CHOOSE(AT77,J77,N77,R77,V77,Z77,AD77,AH77,AL77))&gt;0.005),INDEX(DebtNames,AT77),IF(AND(AX77&lt;&gt;"",N(CHOOSE(AX77,J77,N77,R77,V77,Z77,AD77,AH77,AL77))&gt;0.005),INDEX(DebtNames,AX77),IF(AND(BB77&lt;&gt;"",N(CHOOSE(BB77,J77,N77,R77,V77,Z77,AD77,AH77,AL77))&gt;0.005),INDEX(DebtNames,BB77),IF(AND(BF77&lt;&gt;"",N(CHOOSE(BF77,J77,N77,R77,V77,Z77,AD77,AH77,AL77))&gt;0.005),INDEX(DebtNames,BF77),IF(AND(BJ77&lt;&gt;"",N(CHOOSE(BJ77,J77,N77,R77,V77,Z77,AD77,AH77,AL77))&gt;0.005),INDEX(DebtNames,BJ77),IF(AND(BN77&lt;&gt;"",N(CHOOSE(BN77,J77,N77,R77,V77,Z77,AD77,AH77,AL77))&gt;0.005),INDEX(DebtNames,BN77),IF(AND(BR77&lt;&gt;"",N(CHOOSE(BR77,J77,N77,R77,V77,Z77,AD77,AH77,AL77))&gt;0.005),INDEX(DebtNames,BR77),""))))))))</f>
        <v/>
      </c>
      <c r="D77">
        <f>N(BU77)</f>
        <v/>
      </c>
      <c r="E77">
        <f>N(L77)+N(P77)+N(T77)+N(X77)+N(AB77)+N(AF77)+N(AJ77)+N(AN77)</f>
        <v/>
      </c>
      <c r="F77">
        <f>N(K77)+N(O77)+N(S77)+N(W77)+N(AA77)+N(AE77)+N(AI77)+N(AM77)</f>
        <v/>
      </c>
      <c r="G77">
        <f>N(G76)+N(F77)</f>
        <v/>
      </c>
      <c r="H77">
        <f>N(M77)+N(Q77)+N(U77)+N(Y77)+N(AC77)+N(AG77)+N(AK77)+N(AO77)</f>
        <v/>
      </c>
      <c r="I77">
        <f>(M77&gt;0.005)*1+(Q77&gt;0.005)*1+(U77&gt;0.005)*1+(Y77&gt;0.005)*1+(AC77&gt;0.005)*1+(AG77&gt;0.005)*1+(AK77&gt;0.005)*1+(AO77&gt;0.005)*1</f>
        <v/>
      </c>
      <c r="J77">
        <f>N(M76)</f>
        <v/>
      </c>
      <c r="K77">
        <f>IF(N(J77)&lt;=0.005,0,ROUND(N(J77)*N('Debt List'!E5)/12,2))</f>
        <v/>
      </c>
      <c r="L77">
        <f>IF(N(J77)&lt;=0.005,0,MIN(N('Debt List'!F5),N(J77)+N(K77)))+((AP77=1)*AR77+(AT77=1)*AV77+(AX77=1)*AZ77+(BB77=1)*BD77+(BF77=1)*BH77+(BJ77=1)*BL77+(BN77=1)*BP77+(BR77=1)*BT77)</f>
        <v/>
      </c>
      <c r="M77">
        <f>MAX(0,ROUND(N(J77)+N(K77)-N(L77),2))</f>
        <v/>
      </c>
      <c r="N77">
        <f>N(Q76)</f>
        <v/>
      </c>
      <c r="O77">
        <f>IF(N(N77)&lt;=0.005,0,ROUND(N(N77)*N('Debt List'!E6)/12,2))</f>
        <v/>
      </c>
      <c r="P77">
        <f>IF(N(N77)&lt;=0.005,0,MIN(N('Debt List'!F6),N(N77)+N(O77)))+((AP77=2)*AR77+(AT77=2)*AV77+(AX77=2)*AZ77+(BB77=2)*BD77+(BF77=2)*BH77+(BJ77=2)*BL77+(BN77=2)*BP77+(BR77=2)*BT77)</f>
        <v/>
      </c>
      <c r="Q77">
        <f>MAX(0,ROUND(N(N77)+N(O77)-N(P77),2))</f>
        <v/>
      </c>
      <c r="R77">
        <f>N(U76)</f>
        <v/>
      </c>
      <c r="S77">
        <f>IF(N(R77)&lt;=0.005,0,ROUND(N(R77)*N('Debt List'!E7)/12,2))</f>
        <v/>
      </c>
      <c r="T77">
        <f>IF(N(R77)&lt;=0.005,0,MIN(N('Debt List'!F7),N(R77)+N(S77)))+((AP77=3)*AR77+(AT77=3)*AV77+(AX77=3)*AZ77+(BB77=3)*BD77+(BF77=3)*BH77+(BJ77=3)*BL77+(BN77=3)*BP77+(BR77=3)*BT77)</f>
        <v/>
      </c>
      <c r="U77">
        <f>MAX(0,ROUND(N(R77)+N(S77)-N(T77),2))</f>
        <v/>
      </c>
      <c r="V77">
        <f>N(Y76)</f>
        <v/>
      </c>
      <c r="W77">
        <f>IF(N(V77)&lt;=0.005,0,ROUND(N(V77)*N('Debt List'!E8)/12,2))</f>
        <v/>
      </c>
      <c r="X77">
        <f>IF(N(V77)&lt;=0.005,0,MIN(N('Debt List'!F8),N(V77)+N(W77)))+((AP77=4)*AR77+(AT77=4)*AV77+(AX77=4)*AZ77+(BB77=4)*BD77+(BF77=4)*BH77+(BJ77=4)*BL77+(BN77=4)*BP77+(BR77=4)*BT77)</f>
        <v/>
      </c>
      <c r="Y77">
        <f>MAX(0,ROUND(N(V77)+N(W77)-N(X77),2))</f>
        <v/>
      </c>
      <c r="Z77">
        <f>N(AC76)</f>
        <v/>
      </c>
      <c r="AA77">
        <f>IF(N(Z77)&lt;=0.005,0,ROUND(N(Z77)*N('Debt List'!E9)/12,2))</f>
        <v/>
      </c>
      <c r="AB77">
        <f>IF(N(Z77)&lt;=0.005,0,MIN(N('Debt List'!F9),N(Z77)+N(AA77)))+((AP77=5)*AR77+(AT77=5)*AV77+(AX77=5)*AZ77+(BB77=5)*BD77+(BF77=5)*BH77+(BJ77=5)*BL77+(BN77=5)*BP77+(BR77=5)*BT77)</f>
        <v/>
      </c>
      <c r="AC77">
        <f>MAX(0,ROUND(N(Z77)+N(AA77)-N(AB77),2))</f>
        <v/>
      </c>
      <c r="AD77">
        <f>N(AG76)</f>
        <v/>
      </c>
      <c r="AE77">
        <f>IF(N(AD77)&lt;=0.005,0,ROUND(N(AD77)*N('Debt List'!E10)/12,2))</f>
        <v/>
      </c>
      <c r="AF77">
        <f>IF(N(AD77)&lt;=0.005,0,MIN(N('Debt List'!F10),N(AD77)+N(AE77)))+((AP77=6)*AR77+(AT77=6)*AV77+(AX77=6)*AZ77+(BB77=6)*BD77+(BF77=6)*BH77+(BJ77=6)*BL77+(BN77=6)*BP77+(BR77=6)*BT77)</f>
        <v/>
      </c>
      <c r="AG77">
        <f>MAX(0,ROUND(N(AD77)+N(AE77)-N(AF77),2))</f>
        <v/>
      </c>
      <c r="AH77">
        <f>N(AK76)</f>
        <v/>
      </c>
      <c r="AI77">
        <f>IF(N(AH77)&lt;=0.005,0,ROUND(N(AH77)*N('Debt List'!E11)/12,2))</f>
        <v/>
      </c>
      <c r="AJ77">
        <f>IF(N(AH77)&lt;=0.005,0,MIN(N('Debt List'!F11),N(AH77)+N(AI77)))+((AP77=7)*AR77+(AT77=7)*AV77+(AX77=7)*AZ77+(BB77=7)*BD77+(BF77=7)*BH77+(BJ77=7)*BL77+(BN77=7)*BP77+(BR77=7)*BT77)</f>
        <v/>
      </c>
      <c r="AK77">
        <f>MAX(0,ROUND(N(AH77)+N(AI77)-N(AJ77),2))</f>
        <v/>
      </c>
      <c r="AL77">
        <f>N(AO76)</f>
        <v/>
      </c>
      <c r="AM77">
        <f>IF(N(AL77)&lt;=0.005,0,ROUND(N(AL77)*N('Debt List'!E12)/12,2))</f>
        <v/>
      </c>
      <c r="AN77">
        <f>IF(N(AL77)&lt;=0.005,0,MIN(N('Debt List'!F12),N(AL77)+N(AM77)))+((AP77=8)*AR77+(AT77=8)*AV77+(AX77=8)*AZ77+(BB77=8)*BD77+(BF77=8)*BH77+(BJ77=8)*BL77+(BN77=8)*BP77+(BR77=8)*BT77)</f>
        <v/>
      </c>
      <c r="AO77">
        <f>MAX(0,ROUND(N(AL77)+N(AM77)-N(AN77),2))</f>
        <v/>
      </c>
      <c r="AP77">
        <f>IFERROR(MATCH(1,OrderPlan,0),"")</f>
        <v/>
      </c>
      <c r="AQ77">
        <f>IF(AP77="",0,IFERROR(IF(N(CHOOSE(AP77,J77,N77,R77,V77,Z77,AD77,AH77,AL77))&lt;=0.005,0,MAX(0,N(CHOOSE(AP77,J77,N77,R77,V77,Z77,AD77,AH77,AL77))+N(CHOOSE(AP77,K77,O77,S77,W77,AA77,AE77,AI77,AM77))-MIN(N(CHOOSE(AP77,'Debt List'!$F$5,'Debt List'!$F$6,'Debt List'!$F$7,'Debt List'!$F$8,'Debt List'!$F$9,'Debt List'!$F$10,'Debt List'!$F$11,'Debt List'!$F$12)),N(CHOOSE(AP77,J77,N77,R77,V77,Z77,AD77,AH77,AL77))+N(CHOOSE(AP77,K77,O77,S77,W77,AA77,AE77,AI77,AM77))))),0))</f>
        <v/>
      </c>
      <c r="AR77">
        <f>MIN(N(AQ77),MAX(0,N(ExtraPayment)))</f>
        <v/>
      </c>
      <c r="AS77">
        <f>MAX(0,N(ExtraPayment)-N(AR77))</f>
        <v/>
      </c>
      <c r="AT77">
        <f>IFERROR(MATCH(2,OrderPlan,0),"")</f>
        <v/>
      </c>
      <c r="AU77">
        <f>IF(AT77="",0,IFERROR(IF(N(CHOOSE(AT77,J77,N77,R77,V77,Z77,AD77,AH77,AL77))&lt;=0.005,0,MAX(0,N(CHOOSE(AT77,J77,N77,R77,V77,Z77,AD77,AH77,AL77))+N(CHOOSE(AT77,K77,O77,S77,W77,AA77,AE77,AI77,AM77))-MIN(N(CHOOSE(AT77,'Debt List'!$F$5,'Debt List'!$F$6,'Debt List'!$F$7,'Debt List'!$F$8,'Debt List'!$F$9,'Debt List'!$F$10,'Debt List'!$F$11,'Debt List'!$F$12)),N(CHOOSE(AT77,J77,N77,R77,V77,Z77,AD77,AH77,AL77))+N(CHOOSE(AT77,K77,O77,S77,W77,AA77,AE77,AI77,AM77))))),0))</f>
        <v/>
      </c>
      <c r="AV77">
        <f>MIN(N(AU77),MAX(0,N(AS77)))</f>
        <v/>
      </c>
      <c r="AW77">
        <f>MAX(0,N(AS77)-N(AV77))</f>
        <v/>
      </c>
      <c r="AX77">
        <f>IFERROR(MATCH(3,OrderPlan,0),"")</f>
        <v/>
      </c>
      <c r="AY77">
        <f>IF(AX77="",0,IFERROR(IF(N(CHOOSE(AX77,J77,N77,R77,V77,Z77,AD77,AH77,AL77))&lt;=0.005,0,MAX(0,N(CHOOSE(AX77,J77,N77,R77,V77,Z77,AD77,AH77,AL77))+N(CHOOSE(AX77,K77,O77,S77,W77,AA77,AE77,AI77,AM77))-MIN(N(CHOOSE(AX77,'Debt List'!$F$5,'Debt List'!$F$6,'Debt List'!$F$7,'Debt List'!$F$8,'Debt List'!$F$9,'Debt List'!$F$10,'Debt List'!$F$11,'Debt List'!$F$12)),N(CHOOSE(AX77,J77,N77,R77,V77,Z77,AD77,AH77,AL77))+N(CHOOSE(AX77,K77,O77,S77,W77,AA77,AE77,AI77,AM77))))),0))</f>
        <v/>
      </c>
      <c r="AZ77">
        <f>MIN(N(AY77),MAX(0,N(AW77)))</f>
        <v/>
      </c>
      <c r="BA77">
        <f>MAX(0,N(AW77)-N(AZ77))</f>
        <v/>
      </c>
      <c r="BB77">
        <f>IFERROR(MATCH(4,OrderPlan,0),"")</f>
        <v/>
      </c>
      <c r="BC77">
        <f>IF(BB77="",0,IFERROR(IF(N(CHOOSE(BB77,J77,N77,R77,V77,Z77,AD77,AH77,AL77))&lt;=0.005,0,MAX(0,N(CHOOSE(BB77,J77,N77,R77,V77,Z77,AD77,AH77,AL77))+N(CHOOSE(BB77,K77,O77,S77,W77,AA77,AE77,AI77,AM77))-MIN(N(CHOOSE(BB77,'Debt List'!$F$5,'Debt List'!$F$6,'Debt List'!$F$7,'Debt List'!$F$8,'Debt List'!$F$9,'Debt List'!$F$10,'Debt List'!$F$11,'Debt List'!$F$12)),N(CHOOSE(BB77,J77,N77,R77,V77,Z77,AD77,AH77,AL77))+N(CHOOSE(BB77,K77,O77,S77,W77,AA77,AE77,AI77,AM77))))),0))</f>
        <v/>
      </c>
      <c r="BD77">
        <f>MIN(N(BC77),MAX(0,N(BA77)))</f>
        <v/>
      </c>
      <c r="BE77">
        <f>MAX(0,N(BA77)-N(BD77))</f>
        <v/>
      </c>
      <c r="BF77">
        <f>IFERROR(MATCH(5,OrderPlan,0),"")</f>
        <v/>
      </c>
      <c r="BG77">
        <f>IF(BF77="",0,IFERROR(IF(N(CHOOSE(BF77,J77,N77,R77,V77,Z77,AD77,AH77,AL77))&lt;=0.005,0,MAX(0,N(CHOOSE(BF77,J77,N77,R77,V77,Z77,AD77,AH77,AL77))+N(CHOOSE(BF77,K77,O77,S77,W77,AA77,AE77,AI77,AM77))-MIN(N(CHOOSE(BF77,'Debt List'!$F$5,'Debt List'!$F$6,'Debt List'!$F$7,'Debt List'!$F$8,'Debt List'!$F$9,'Debt List'!$F$10,'Debt List'!$F$11,'Debt List'!$F$12)),N(CHOOSE(BF77,J77,N77,R77,V77,Z77,AD77,AH77,AL77))+N(CHOOSE(BF77,K77,O77,S77,W77,AA77,AE77,AI77,AM77))))),0))</f>
        <v/>
      </c>
      <c r="BH77">
        <f>MIN(N(BG77),MAX(0,N(BE77)))</f>
        <v/>
      </c>
      <c r="BI77">
        <f>MAX(0,N(BE77)-N(BH77))</f>
        <v/>
      </c>
      <c r="BJ77">
        <f>IFERROR(MATCH(6,OrderPlan,0),"")</f>
        <v/>
      </c>
      <c r="BK77">
        <f>IF(BJ77="",0,IFERROR(IF(N(CHOOSE(BJ77,J77,N77,R77,V77,Z77,AD77,AH77,AL77))&lt;=0.005,0,MAX(0,N(CHOOSE(BJ77,J77,N77,R77,V77,Z77,AD77,AH77,AL77))+N(CHOOSE(BJ77,K77,O77,S77,W77,AA77,AE77,AI77,AM77))-MIN(N(CHOOSE(BJ77,'Debt List'!$F$5,'Debt List'!$F$6,'Debt List'!$F$7,'Debt List'!$F$8,'Debt List'!$F$9,'Debt List'!$F$10,'Debt List'!$F$11,'Debt List'!$F$12)),N(CHOOSE(BJ77,J77,N77,R77,V77,Z77,AD77,AH77,AL77))+N(CHOOSE(BJ77,K77,O77,S77,W77,AA77,AE77,AI77,AM77))))),0))</f>
        <v/>
      </c>
      <c r="BL77">
        <f>MIN(N(BK77),MAX(0,N(BI77)))</f>
        <v/>
      </c>
      <c r="BM77">
        <f>MAX(0,N(BI77)-N(BL77))</f>
        <v/>
      </c>
      <c r="BN77">
        <f>IFERROR(MATCH(7,OrderPlan,0),"")</f>
        <v/>
      </c>
      <c r="BO77">
        <f>IF(BN77="",0,IFERROR(IF(N(CHOOSE(BN77,J77,N77,R77,V77,Z77,AD77,AH77,AL77))&lt;=0.005,0,MAX(0,N(CHOOSE(BN77,J77,N77,R77,V77,Z77,AD77,AH77,AL77))+N(CHOOSE(BN77,K77,O77,S77,W77,AA77,AE77,AI77,AM77))-MIN(N(CHOOSE(BN77,'Debt List'!$F$5,'Debt List'!$F$6,'Debt List'!$F$7,'Debt List'!$F$8,'Debt List'!$F$9,'Debt List'!$F$10,'Debt List'!$F$11,'Debt List'!$F$12)),N(CHOOSE(BN77,J77,N77,R77,V77,Z77,AD77,AH77,AL77))+N(CHOOSE(BN77,K77,O77,S77,W77,AA77,AE77,AI77,AM77))))),0))</f>
        <v/>
      </c>
      <c r="BP77">
        <f>MIN(N(BO77),MAX(0,N(BM77)))</f>
        <v/>
      </c>
      <c r="BQ77">
        <f>MAX(0,N(BM77)-N(BP77))</f>
        <v/>
      </c>
      <c r="BR77">
        <f>IFERROR(MATCH(8,OrderPlan,0),"")</f>
        <v/>
      </c>
      <c r="BS77">
        <f>IF(BR77="",0,IFERROR(IF(N(CHOOSE(BR77,J77,N77,R77,V77,Z77,AD77,AH77,AL77))&lt;=0.005,0,MAX(0,N(CHOOSE(BR77,J77,N77,R77,V77,Z77,AD77,AH77,AL77))+N(CHOOSE(BR77,K77,O77,S77,W77,AA77,AE77,AI77,AM77))-MIN(N(CHOOSE(BR77,'Debt List'!$F$5,'Debt List'!$F$6,'Debt List'!$F$7,'Debt List'!$F$8,'Debt List'!$F$9,'Debt List'!$F$10,'Debt List'!$F$11,'Debt List'!$F$12)),N(CHOOSE(BR77,J77,N77,R77,V77,Z77,AD77,AH77,AL77))+N(CHOOSE(BR77,K77,O77,S77,W77,AA77,AE77,AI77,AM77))))),0))</f>
        <v/>
      </c>
      <c r="BT77">
        <f>MIN(N(BS77),MAX(0,N(BQ77)))</f>
        <v/>
      </c>
      <c r="BU77">
        <f>MAX(0,N(BQ77)-N(BT77))</f>
        <v/>
      </c>
      <c r="CC77" t="n">
        <v>73</v>
      </c>
      <c r="CD77" s="115">
        <f>DATE(YEAR(PlanStart),MONTH(PlanStart)+CC77-1,1)</f>
        <v/>
      </c>
      <c r="CE77">
        <f>IF(AND(DR77&lt;&gt;"",N(CHOOSE(DR77,CL77,CP77,CT77,CX77,DB77,DF77,DJ77,DN77))&gt;0.005),INDEX(DebtNames,DR77),IF(AND(DV77&lt;&gt;"",N(CHOOSE(DV77,CL77,CP77,CT77,CX77,DB77,DF77,DJ77,DN77))&gt;0.005),INDEX(DebtNames,DV77),IF(AND(DZ77&lt;&gt;"",N(CHOOSE(DZ77,CL77,CP77,CT77,CX77,DB77,DF77,DJ77,DN77))&gt;0.005),INDEX(DebtNames,DZ77),IF(AND(ED77&lt;&gt;"",N(CHOOSE(ED77,CL77,CP77,CT77,CX77,DB77,DF77,DJ77,DN77))&gt;0.005),INDEX(DebtNames,ED77),IF(AND(EH77&lt;&gt;"",N(CHOOSE(EH77,CL77,CP77,CT77,CX77,DB77,DF77,DJ77,DN77))&gt;0.005),INDEX(DebtNames,EH77),IF(AND(EL77&lt;&gt;"",N(CHOOSE(EL77,CL77,CP77,CT77,CX77,DB77,DF77,DJ77,DN77))&gt;0.005),INDEX(DebtNames,EL77),IF(AND(EP77&lt;&gt;"",N(CHOOSE(EP77,CL77,CP77,CT77,CX77,DB77,DF77,DJ77,DN77))&gt;0.005),INDEX(DebtNames,EP77),IF(AND(ET77&lt;&gt;"",N(CHOOSE(ET77,CL77,CP77,CT77,CX77,DB77,DF77,DJ77,DN77))&gt;0.005),INDEX(DebtNames,ET77),""))))))))</f>
        <v/>
      </c>
      <c r="CF77">
        <f>N(EW77)</f>
        <v/>
      </c>
      <c r="CG77">
        <f>N(CN77)+N(CR77)+N(CV77)+N(CZ77)+N(DD77)+N(DH77)+N(DL77)+N(DP77)</f>
        <v/>
      </c>
      <c r="CH77">
        <f>N(CM77)+N(CQ77)+N(CU77)+N(CY77)+N(DC77)+N(DG77)+N(DK77)+N(DO77)</f>
        <v/>
      </c>
      <c r="CI77">
        <f>N(CI76)+N(CH77)</f>
        <v/>
      </c>
      <c r="CJ77">
        <f>N(CO77)+N(CS77)+N(CW77)+N(DA77)+N(DE77)+N(DI77)+N(DM77)+N(DQ77)</f>
        <v/>
      </c>
      <c r="CK77">
        <f>(CO77&gt;0.005)*1+(CS77&gt;0.005)*1+(CW77&gt;0.005)*1+(DA77&gt;0.005)*1+(DE77&gt;0.005)*1+(DI77&gt;0.005)*1+(DM77&gt;0.005)*1+(DQ77&gt;0.005)*1</f>
        <v/>
      </c>
      <c r="CL77">
        <f>N(CO76)</f>
        <v/>
      </c>
      <c r="CM77">
        <f>IF(N(CL77)&lt;=0.005,0,ROUND(N(CL77)*N('Debt List'!E5)/12,2))</f>
        <v/>
      </c>
      <c r="CN77">
        <f>IF(N(CL77)&lt;=0.005,0,MIN(N('Debt List'!F5),N(CL77)+N(CM77)))+((DR77=1)*DT77+(DV77=1)*DX77+(DZ77=1)*EB77+(ED77=1)*EF77+(EH77=1)*EJ77+(EL77=1)*EN77+(EP77=1)*ER77+(ET77=1)*EV77)</f>
        <v/>
      </c>
      <c r="CO77">
        <f>MAX(0,ROUND(N(CL77)+N(CM77)-N(CN77),2))</f>
        <v/>
      </c>
      <c r="CP77">
        <f>N(CS76)</f>
        <v/>
      </c>
      <c r="CQ77">
        <f>IF(N(CP77)&lt;=0.005,0,ROUND(N(CP77)*N('Debt List'!E6)/12,2))</f>
        <v/>
      </c>
      <c r="CR77">
        <f>IF(N(CP77)&lt;=0.005,0,MIN(N('Debt List'!F6),N(CP77)+N(CQ77)))+((DR77=2)*DT77+(DV77=2)*DX77+(DZ77=2)*EB77+(ED77=2)*EF77+(EH77=2)*EJ77+(EL77=2)*EN77+(EP77=2)*ER77+(ET77=2)*EV77)</f>
        <v/>
      </c>
      <c r="CS77">
        <f>MAX(0,ROUND(N(CP77)+N(CQ77)-N(CR77),2))</f>
        <v/>
      </c>
      <c r="CT77">
        <f>N(CW76)</f>
        <v/>
      </c>
      <c r="CU77">
        <f>IF(N(CT77)&lt;=0.005,0,ROUND(N(CT77)*N('Debt List'!E7)/12,2))</f>
        <v/>
      </c>
      <c r="CV77">
        <f>IF(N(CT77)&lt;=0.005,0,MIN(N('Debt List'!F7),N(CT77)+N(CU77)))+((DR77=3)*DT77+(DV77=3)*DX77+(DZ77=3)*EB77+(ED77=3)*EF77+(EH77=3)*EJ77+(EL77=3)*EN77+(EP77=3)*ER77+(ET77=3)*EV77)</f>
        <v/>
      </c>
      <c r="CW77">
        <f>MAX(0,ROUND(N(CT77)+N(CU77)-N(CV77),2))</f>
        <v/>
      </c>
      <c r="CX77">
        <f>N(DA76)</f>
        <v/>
      </c>
      <c r="CY77">
        <f>IF(N(CX77)&lt;=0.005,0,ROUND(N(CX77)*N('Debt List'!E8)/12,2))</f>
        <v/>
      </c>
      <c r="CZ77">
        <f>IF(N(CX77)&lt;=0.005,0,MIN(N('Debt List'!F8),N(CX77)+N(CY77)))+((DR77=4)*DT77+(DV77=4)*DX77+(DZ77=4)*EB77+(ED77=4)*EF77+(EH77=4)*EJ77+(EL77=4)*EN77+(EP77=4)*ER77+(ET77=4)*EV77)</f>
        <v/>
      </c>
      <c r="DA77">
        <f>MAX(0,ROUND(N(CX77)+N(CY77)-N(CZ77),2))</f>
        <v/>
      </c>
      <c r="DB77">
        <f>N(DE76)</f>
        <v/>
      </c>
      <c r="DC77">
        <f>IF(N(DB77)&lt;=0.005,0,ROUND(N(DB77)*N('Debt List'!E9)/12,2))</f>
        <v/>
      </c>
      <c r="DD77">
        <f>IF(N(DB77)&lt;=0.005,0,MIN(N('Debt List'!F9),N(DB77)+N(DC77)))+((DR77=5)*DT77+(DV77=5)*DX77+(DZ77=5)*EB77+(ED77=5)*EF77+(EH77=5)*EJ77+(EL77=5)*EN77+(EP77=5)*ER77+(ET77=5)*EV77)</f>
        <v/>
      </c>
      <c r="DE77">
        <f>MAX(0,ROUND(N(DB77)+N(DC77)-N(DD77),2))</f>
        <v/>
      </c>
      <c r="DF77">
        <f>N(DI76)</f>
        <v/>
      </c>
      <c r="DG77">
        <f>IF(N(DF77)&lt;=0.005,0,ROUND(N(DF77)*N('Debt List'!E10)/12,2))</f>
        <v/>
      </c>
      <c r="DH77">
        <f>IF(N(DF77)&lt;=0.005,0,MIN(N('Debt List'!F10),N(DF77)+N(DG77)))+((DR77=6)*DT77+(DV77=6)*DX77+(DZ77=6)*EB77+(ED77=6)*EF77+(EH77=6)*EJ77+(EL77=6)*EN77+(EP77=6)*ER77+(ET77=6)*EV77)</f>
        <v/>
      </c>
      <c r="DI77">
        <f>MAX(0,ROUND(N(DF77)+N(DG77)-N(DH77),2))</f>
        <v/>
      </c>
      <c r="DJ77">
        <f>N(DM76)</f>
        <v/>
      </c>
      <c r="DK77">
        <f>IF(N(DJ77)&lt;=0.005,0,ROUND(N(DJ77)*N('Debt List'!E11)/12,2))</f>
        <v/>
      </c>
      <c r="DL77">
        <f>IF(N(DJ77)&lt;=0.005,0,MIN(N('Debt List'!F11),N(DJ77)+N(DK77)))+((DR77=7)*DT77+(DV77=7)*DX77+(DZ77=7)*EB77+(ED77=7)*EF77+(EH77=7)*EJ77+(EL77=7)*EN77+(EP77=7)*ER77+(ET77=7)*EV77)</f>
        <v/>
      </c>
      <c r="DM77">
        <f>MAX(0,ROUND(N(DJ77)+N(DK77)-N(DL77),2))</f>
        <v/>
      </c>
      <c r="DN77">
        <f>N(DQ76)</f>
        <v/>
      </c>
      <c r="DO77">
        <f>IF(N(DN77)&lt;=0.005,0,ROUND(N(DN77)*N('Debt List'!E12)/12,2))</f>
        <v/>
      </c>
      <c r="DP77">
        <f>IF(N(DN77)&lt;=0.005,0,MIN(N('Debt List'!F12),N(DN77)+N(DO77)))+((DR77=8)*DT77+(DV77=8)*DX77+(DZ77=8)*EB77+(ED77=8)*EF77+(EH77=8)*EJ77+(EL77=8)*EN77+(EP77=8)*ER77+(ET77=8)*EV77)</f>
        <v/>
      </c>
      <c r="DQ77">
        <f>MAX(0,ROUND(N(DN77)+N(DO77)-N(DP77),2))</f>
        <v/>
      </c>
      <c r="DR77">
        <f>IFERROR(MATCH(1,OrderSnow,0),"")</f>
        <v/>
      </c>
      <c r="DS77">
        <f>IF(DR77="",0,IFERROR(IF(N(CHOOSE(DR77,CL77,CP77,CT77,CX77,DB77,DF77,DJ77,DN77))&lt;=0.005,0,MAX(0,N(CHOOSE(DR77,CL77,CP77,CT77,CX77,DB77,DF77,DJ77,DN77))+N(CHOOSE(DR77,CM77,CQ77,CU77,CY77,DC77,DG77,DK77,DO77))-MIN(N(CHOOSE(DR77,'Debt List'!$F$5,'Debt List'!$F$6,'Debt List'!$F$7,'Debt List'!$F$8,'Debt List'!$F$9,'Debt List'!$F$10,'Debt List'!$F$11,'Debt List'!$F$12)),N(CHOOSE(DR77,CL77,CP77,CT77,CX77,DB77,DF77,DJ77,DN77))+N(CHOOSE(DR77,CM77,CQ77,CU77,CY77,DC77,DG77,DK77,DO77))))),0))</f>
        <v/>
      </c>
      <c r="DT77">
        <f>MIN(N(DS77),MAX(0,N(ExtraPayment)))</f>
        <v/>
      </c>
      <c r="DU77">
        <f>MAX(0,N(ExtraPayment)-N(DT77))</f>
        <v/>
      </c>
      <c r="DV77">
        <f>IFERROR(MATCH(2,OrderSnow,0),"")</f>
        <v/>
      </c>
      <c r="DW77">
        <f>IF(DV77="",0,IFERROR(IF(N(CHOOSE(DV77,CL77,CP77,CT77,CX77,DB77,DF77,DJ77,DN77))&lt;=0.005,0,MAX(0,N(CHOOSE(DV77,CL77,CP77,CT77,CX77,DB77,DF77,DJ77,DN77))+N(CHOOSE(DV77,CM77,CQ77,CU77,CY77,DC77,DG77,DK77,DO77))-MIN(N(CHOOSE(DV77,'Debt List'!$F$5,'Debt List'!$F$6,'Debt List'!$F$7,'Debt List'!$F$8,'Debt List'!$F$9,'Debt List'!$F$10,'Debt List'!$F$11,'Debt List'!$F$12)),N(CHOOSE(DV77,CL77,CP77,CT77,CX77,DB77,DF77,DJ77,DN77))+N(CHOOSE(DV77,CM77,CQ77,CU77,CY77,DC77,DG77,DK77,DO77))))),0))</f>
        <v/>
      </c>
      <c r="DX77">
        <f>MIN(N(DW77),MAX(0,N(DU77)))</f>
        <v/>
      </c>
      <c r="DY77">
        <f>MAX(0,N(DU77)-N(DX77))</f>
        <v/>
      </c>
      <c r="DZ77">
        <f>IFERROR(MATCH(3,OrderSnow,0),"")</f>
        <v/>
      </c>
      <c r="EA77">
        <f>IF(DZ77="",0,IFERROR(IF(N(CHOOSE(DZ77,CL77,CP77,CT77,CX77,DB77,DF77,DJ77,DN77))&lt;=0.005,0,MAX(0,N(CHOOSE(DZ77,CL77,CP77,CT77,CX77,DB77,DF77,DJ77,DN77))+N(CHOOSE(DZ77,CM77,CQ77,CU77,CY77,DC77,DG77,DK77,DO77))-MIN(N(CHOOSE(DZ77,'Debt List'!$F$5,'Debt List'!$F$6,'Debt List'!$F$7,'Debt List'!$F$8,'Debt List'!$F$9,'Debt List'!$F$10,'Debt List'!$F$11,'Debt List'!$F$12)),N(CHOOSE(DZ77,CL77,CP77,CT77,CX77,DB77,DF77,DJ77,DN77))+N(CHOOSE(DZ77,CM77,CQ77,CU77,CY77,DC77,DG77,DK77,DO77))))),0))</f>
        <v/>
      </c>
      <c r="EB77">
        <f>MIN(N(EA77),MAX(0,N(DY77)))</f>
        <v/>
      </c>
      <c r="EC77">
        <f>MAX(0,N(DY77)-N(EB77))</f>
        <v/>
      </c>
      <c r="ED77">
        <f>IFERROR(MATCH(4,OrderSnow,0),"")</f>
        <v/>
      </c>
      <c r="EE77">
        <f>IF(ED77="",0,IFERROR(IF(N(CHOOSE(ED77,CL77,CP77,CT77,CX77,DB77,DF77,DJ77,DN77))&lt;=0.005,0,MAX(0,N(CHOOSE(ED77,CL77,CP77,CT77,CX77,DB77,DF77,DJ77,DN77))+N(CHOOSE(ED77,CM77,CQ77,CU77,CY77,DC77,DG77,DK77,DO77))-MIN(N(CHOOSE(ED77,'Debt List'!$F$5,'Debt List'!$F$6,'Debt List'!$F$7,'Debt List'!$F$8,'Debt List'!$F$9,'Debt List'!$F$10,'Debt List'!$F$11,'Debt List'!$F$12)),N(CHOOSE(ED77,CL77,CP77,CT77,CX77,DB77,DF77,DJ77,DN77))+N(CHOOSE(ED77,CM77,CQ77,CU77,CY77,DC77,DG77,DK77,DO77))))),0))</f>
        <v/>
      </c>
      <c r="EF77">
        <f>MIN(N(EE77),MAX(0,N(EC77)))</f>
        <v/>
      </c>
      <c r="EG77">
        <f>MAX(0,N(EC77)-N(EF77))</f>
        <v/>
      </c>
      <c r="EH77">
        <f>IFERROR(MATCH(5,OrderSnow,0),"")</f>
        <v/>
      </c>
      <c r="EI77">
        <f>IF(EH77="",0,IFERROR(IF(N(CHOOSE(EH77,CL77,CP77,CT77,CX77,DB77,DF77,DJ77,DN77))&lt;=0.005,0,MAX(0,N(CHOOSE(EH77,CL77,CP77,CT77,CX77,DB77,DF77,DJ77,DN77))+N(CHOOSE(EH77,CM77,CQ77,CU77,CY77,DC77,DG77,DK77,DO77))-MIN(N(CHOOSE(EH77,'Debt List'!$F$5,'Debt List'!$F$6,'Debt List'!$F$7,'Debt List'!$F$8,'Debt List'!$F$9,'Debt List'!$F$10,'Debt List'!$F$11,'Debt List'!$F$12)),N(CHOOSE(EH77,CL77,CP77,CT77,CX77,DB77,DF77,DJ77,DN77))+N(CHOOSE(EH77,CM77,CQ77,CU77,CY77,DC77,DG77,DK77,DO77))))),0))</f>
        <v/>
      </c>
      <c r="EJ77">
        <f>MIN(N(EI77),MAX(0,N(EG77)))</f>
        <v/>
      </c>
      <c r="EK77">
        <f>MAX(0,N(EG77)-N(EJ77))</f>
        <v/>
      </c>
      <c r="EL77">
        <f>IFERROR(MATCH(6,OrderSnow,0),"")</f>
        <v/>
      </c>
      <c r="EM77">
        <f>IF(EL77="",0,IFERROR(IF(N(CHOOSE(EL77,CL77,CP77,CT77,CX77,DB77,DF77,DJ77,DN77))&lt;=0.005,0,MAX(0,N(CHOOSE(EL77,CL77,CP77,CT77,CX77,DB77,DF77,DJ77,DN77))+N(CHOOSE(EL77,CM77,CQ77,CU77,CY77,DC77,DG77,DK77,DO77))-MIN(N(CHOOSE(EL77,'Debt List'!$F$5,'Debt List'!$F$6,'Debt List'!$F$7,'Debt List'!$F$8,'Debt List'!$F$9,'Debt List'!$F$10,'Debt List'!$F$11,'Debt List'!$F$12)),N(CHOOSE(EL77,CL77,CP77,CT77,CX77,DB77,DF77,DJ77,DN77))+N(CHOOSE(EL77,CM77,CQ77,CU77,CY77,DC77,DG77,DK77,DO77))))),0))</f>
        <v/>
      </c>
      <c r="EN77">
        <f>MIN(N(EM77),MAX(0,N(EK77)))</f>
        <v/>
      </c>
      <c r="EO77">
        <f>MAX(0,N(EK77)-N(EN77))</f>
        <v/>
      </c>
      <c r="EP77">
        <f>IFERROR(MATCH(7,OrderSnow,0),"")</f>
        <v/>
      </c>
      <c r="EQ77">
        <f>IF(EP77="",0,IFERROR(IF(N(CHOOSE(EP77,CL77,CP77,CT77,CX77,DB77,DF77,DJ77,DN77))&lt;=0.005,0,MAX(0,N(CHOOSE(EP77,CL77,CP77,CT77,CX77,DB77,DF77,DJ77,DN77))+N(CHOOSE(EP77,CM77,CQ77,CU77,CY77,DC77,DG77,DK77,DO77))-MIN(N(CHOOSE(EP77,'Debt List'!$F$5,'Debt List'!$F$6,'Debt List'!$F$7,'Debt List'!$F$8,'Debt List'!$F$9,'Debt List'!$F$10,'Debt List'!$F$11,'Debt List'!$F$12)),N(CHOOSE(EP77,CL77,CP77,CT77,CX77,DB77,DF77,DJ77,DN77))+N(CHOOSE(EP77,CM77,CQ77,CU77,CY77,DC77,DG77,DK77,DO77))))),0))</f>
        <v/>
      </c>
      <c r="ER77">
        <f>MIN(N(EQ77),MAX(0,N(EO77)))</f>
        <v/>
      </c>
      <c r="ES77">
        <f>MAX(0,N(EO77)-N(ER77))</f>
        <v/>
      </c>
      <c r="ET77">
        <f>IFERROR(MATCH(8,OrderSnow,0),"")</f>
        <v/>
      </c>
      <c r="EU77">
        <f>IF(ET77="",0,IFERROR(IF(N(CHOOSE(ET77,CL77,CP77,CT77,CX77,DB77,DF77,DJ77,DN77))&lt;=0.005,0,MAX(0,N(CHOOSE(ET77,CL77,CP77,CT77,CX77,DB77,DF77,DJ77,DN77))+N(CHOOSE(ET77,CM77,CQ77,CU77,CY77,DC77,DG77,DK77,DO77))-MIN(N(CHOOSE(ET77,'Debt List'!$F$5,'Debt List'!$F$6,'Debt List'!$F$7,'Debt List'!$F$8,'Debt List'!$F$9,'Debt List'!$F$10,'Debt List'!$F$11,'Debt List'!$F$12)),N(CHOOSE(ET77,CL77,CP77,CT77,CX77,DB77,DF77,DJ77,DN77))+N(CHOOSE(ET77,CM77,CQ77,CU77,CY77,DC77,DG77,DK77,DO77))))),0))</f>
        <v/>
      </c>
      <c r="EV77">
        <f>MIN(N(EU77),MAX(0,N(ES77)))</f>
        <v/>
      </c>
      <c r="EW77">
        <f>MAX(0,N(ES77)-N(EV77))</f>
        <v/>
      </c>
      <c r="FE77" t="n">
        <v>73</v>
      </c>
      <c r="FF77" s="115">
        <f>DATE(YEAR(PlanStart),MONTH(PlanStart)+FE77-1,1)</f>
        <v/>
      </c>
      <c r="FG77">
        <f>IF(AND(GT77&lt;&gt;"",N(CHOOSE(GT77,FN77,FR77,FV77,FZ77,GD77,GH77,GL77,GP77))&gt;0.005),INDEX(DebtNames,GT77),IF(AND(GX77&lt;&gt;"",N(CHOOSE(GX77,FN77,FR77,FV77,FZ77,GD77,GH77,GL77,GP77))&gt;0.005),INDEX(DebtNames,GX77),IF(AND(HB77&lt;&gt;"",N(CHOOSE(HB77,FN77,FR77,FV77,FZ77,GD77,GH77,GL77,GP77))&gt;0.005),INDEX(DebtNames,HB77),IF(AND(HF77&lt;&gt;"",N(CHOOSE(HF77,FN77,FR77,FV77,FZ77,GD77,GH77,GL77,GP77))&gt;0.005),INDEX(DebtNames,HF77),IF(AND(HJ77&lt;&gt;"",N(CHOOSE(HJ77,FN77,FR77,FV77,FZ77,GD77,GH77,GL77,GP77))&gt;0.005),INDEX(DebtNames,HJ77),IF(AND(HN77&lt;&gt;"",N(CHOOSE(HN77,FN77,FR77,FV77,FZ77,GD77,GH77,GL77,GP77))&gt;0.005),INDEX(DebtNames,HN77),IF(AND(HR77&lt;&gt;"",N(CHOOSE(HR77,FN77,FR77,FV77,FZ77,GD77,GH77,GL77,GP77))&gt;0.005),INDEX(DebtNames,HR77),IF(AND(HV77&lt;&gt;"",N(CHOOSE(HV77,FN77,FR77,FV77,FZ77,GD77,GH77,GL77,GP77))&gt;0.005),INDEX(DebtNames,HV77),""))))))))</f>
        <v/>
      </c>
      <c r="FH77">
        <f>N(HY77)</f>
        <v/>
      </c>
      <c r="FI77">
        <f>N(FP77)+N(FT77)+N(FX77)+N(GB77)+N(GF77)+N(GJ77)+N(GN77)+N(GR77)</f>
        <v/>
      </c>
      <c r="FJ77">
        <f>N(FO77)+N(FS77)+N(FW77)+N(GA77)+N(GE77)+N(GI77)+N(GM77)+N(GQ77)</f>
        <v/>
      </c>
      <c r="FK77">
        <f>N(FK76)+N(FJ77)</f>
        <v/>
      </c>
      <c r="FL77">
        <f>N(FQ77)+N(FU77)+N(FY77)+N(GC77)+N(GG77)+N(GK77)+N(GO77)+N(GS77)</f>
        <v/>
      </c>
      <c r="FM77">
        <f>(FQ77&gt;0.005)*1+(FU77&gt;0.005)*1+(FY77&gt;0.005)*1+(GC77&gt;0.005)*1+(GG77&gt;0.005)*1+(GK77&gt;0.005)*1+(GO77&gt;0.005)*1+(GS77&gt;0.005)*1</f>
        <v/>
      </c>
      <c r="FN77">
        <f>N(FQ76)</f>
        <v/>
      </c>
      <c r="FO77">
        <f>IF(N(FN77)&lt;=0.005,0,ROUND(N(FN77)*N('Debt List'!E5)/12,2))</f>
        <v/>
      </c>
      <c r="FP77">
        <f>IF(N(FN77)&lt;=0.005,0,MIN(N('Debt List'!F5),N(FN77)+N(FO77)))+((GT77=1)*GV77+(GX77=1)*GZ77+(HB77=1)*HD77+(HF77=1)*HH77+(HJ77=1)*HL77+(HN77=1)*HP77+(HR77=1)*HT77+(HV77=1)*HX77)</f>
        <v/>
      </c>
      <c r="FQ77">
        <f>MAX(0,ROUND(N(FN77)+N(FO77)-N(FP77),2))</f>
        <v/>
      </c>
      <c r="FR77">
        <f>N(FU76)</f>
        <v/>
      </c>
      <c r="FS77">
        <f>IF(N(FR77)&lt;=0.005,0,ROUND(N(FR77)*N('Debt List'!E6)/12,2))</f>
        <v/>
      </c>
      <c r="FT77">
        <f>IF(N(FR77)&lt;=0.005,0,MIN(N('Debt List'!F6),N(FR77)+N(FS77)))+((GT77=2)*GV77+(GX77=2)*GZ77+(HB77=2)*HD77+(HF77=2)*HH77+(HJ77=2)*HL77+(HN77=2)*HP77+(HR77=2)*HT77+(HV77=2)*HX77)</f>
        <v/>
      </c>
      <c r="FU77">
        <f>MAX(0,ROUND(N(FR77)+N(FS77)-N(FT77),2))</f>
        <v/>
      </c>
      <c r="FV77">
        <f>N(FY76)</f>
        <v/>
      </c>
      <c r="FW77">
        <f>IF(N(FV77)&lt;=0.005,0,ROUND(N(FV77)*N('Debt List'!E7)/12,2))</f>
        <v/>
      </c>
      <c r="FX77">
        <f>IF(N(FV77)&lt;=0.005,0,MIN(N('Debt List'!F7),N(FV77)+N(FW77)))+((GT77=3)*GV77+(GX77=3)*GZ77+(HB77=3)*HD77+(HF77=3)*HH77+(HJ77=3)*HL77+(HN77=3)*HP77+(HR77=3)*HT77+(HV77=3)*HX77)</f>
        <v/>
      </c>
      <c r="FY77">
        <f>MAX(0,ROUND(N(FV77)+N(FW77)-N(FX77),2))</f>
        <v/>
      </c>
      <c r="FZ77">
        <f>N(GC76)</f>
        <v/>
      </c>
      <c r="GA77">
        <f>IF(N(FZ77)&lt;=0.005,0,ROUND(N(FZ77)*N('Debt List'!E8)/12,2))</f>
        <v/>
      </c>
      <c r="GB77">
        <f>IF(N(FZ77)&lt;=0.005,0,MIN(N('Debt List'!F8),N(FZ77)+N(GA77)))+((GT77=4)*GV77+(GX77=4)*GZ77+(HB77=4)*HD77+(HF77=4)*HH77+(HJ77=4)*HL77+(HN77=4)*HP77+(HR77=4)*HT77+(HV77=4)*HX77)</f>
        <v/>
      </c>
      <c r="GC77">
        <f>MAX(0,ROUND(N(FZ77)+N(GA77)-N(GB77),2))</f>
        <v/>
      </c>
      <c r="GD77">
        <f>N(GG76)</f>
        <v/>
      </c>
      <c r="GE77">
        <f>IF(N(GD77)&lt;=0.005,0,ROUND(N(GD77)*N('Debt List'!E9)/12,2))</f>
        <v/>
      </c>
      <c r="GF77">
        <f>IF(N(GD77)&lt;=0.005,0,MIN(N('Debt List'!F9),N(GD77)+N(GE77)))+((GT77=5)*GV77+(GX77=5)*GZ77+(HB77=5)*HD77+(HF77=5)*HH77+(HJ77=5)*HL77+(HN77=5)*HP77+(HR77=5)*HT77+(HV77=5)*HX77)</f>
        <v/>
      </c>
      <c r="GG77">
        <f>MAX(0,ROUND(N(GD77)+N(GE77)-N(GF77),2))</f>
        <v/>
      </c>
      <c r="GH77">
        <f>N(GK76)</f>
        <v/>
      </c>
      <c r="GI77">
        <f>IF(N(GH77)&lt;=0.005,0,ROUND(N(GH77)*N('Debt List'!E10)/12,2))</f>
        <v/>
      </c>
      <c r="GJ77">
        <f>IF(N(GH77)&lt;=0.005,0,MIN(N('Debt List'!F10),N(GH77)+N(GI77)))+((GT77=6)*GV77+(GX77=6)*GZ77+(HB77=6)*HD77+(HF77=6)*HH77+(HJ77=6)*HL77+(HN77=6)*HP77+(HR77=6)*HT77+(HV77=6)*HX77)</f>
        <v/>
      </c>
      <c r="GK77">
        <f>MAX(0,ROUND(N(GH77)+N(GI77)-N(GJ77),2))</f>
        <v/>
      </c>
      <c r="GL77">
        <f>N(GO76)</f>
        <v/>
      </c>
      <c r="GM77">
        <f>IF(N(GL77)&lt;=0.005,0,ROUND(N(GL77)*N('Debt List'!E11)/12,2))</f>
        <v/>
      </c>
      <c r="GN77">
        <f>IF(N(GL77)&lt;=0.005,0,MIN(N('Debt List'!F11),N(GL77)+N(GM77)))+((GT77=7)*GV77+(GX77=7)*GZ77+(HB77=7)*HD77+(HF77=7)*HH77+(HJ77=7)*HL77+(HN77=7)*HP77+(HR77=7)*HT77+(HV77=7)*HX77)</f>
        <v/>
      </c>
      <c r="GO77">
        <f>MAX(0,ROUND(N(GL77)+N(GM77)-N(GN77),2))</f>
        <v/>
      </c>
      <c r="GP77">
        <f>N(GS76)</f>
        <v/>
      </c>
      <c r="GQ77">
        <f>IF(N(GP77)&lt;=0.005,0,ROUND(N(GP77)*N('Debt List'!E12)/12,2))</f>
        <v/>
      </c>
      <c r="GR77">
        <f>IF(N(GP77)&lt;=0.005,0,MIN(N('Debt List'!F12),N(GP77)+N(GQ77)))+((GT77=8)*GV77+(GX77=8)*GZ77+(HB77=8)*HD77+(HF77=8)*HH77+(HJ77=8)*HL77+(HN77=8)*HP77+(HR77=8)*HT77+(HV77=8)*HX77)</f>
        <v/>
      </c>
      <c r="GS77">
        <f>MAX(0,ROUND(N(GP77)+N(GQ77)-N(GR77),2))</f>
        <v/>
      </c>
      <c r="GT77">
        <f>IFERROR(MATCH(1,OrderAval,0),"")</f>
        <v/>
      </c>
      <c r="GU77">
        <f>IF(GT77="",0,IFERROR(IF(N(CHOOSE(GT77,FN77,FR77,FV77,FZ77,GD77,GH77,GL77,GP77))&lt;=0.005,0,MAX(0,N(CHOOSE(GT77,FN77,FR77,FV77,FZ77,GD77,GH77,GL77,GP77))+N(CHOOSE(GT77,FO77,FS77,FW77,GA77,GE77,GI77,GM77,GQ77))-MIN(N(CHOOSE(GT77,'Debt List'!$F$5,'Debt List'!$F$6,'Debt List'!$F$7,'Debt List'!$F$8,'Debt List'!$F$9,'Debt List'!$F$10,'Debt List'!$F$11,'Debt List'!$F$12)),N(CHOOSE(GT77,FN77,FR77,FV77,FZ77,GD77,GH77,GL77,GP77))+N(CHOOSE(GT77,FO77,FS77,FW77,GA77,GE77,GI77,GM77,GQ77))))),0))</f>
        <v/>
      </c>
      <c r="GV77">
        <f>MIN(N(GU77),MAX(0,N(ExtraPayment)))</f>
        <v/>
      </c>
      <c r="GW77">
        <f>MAX(0,N(ExtraPayment)-N(GV77))</f>
        <v/>
      </c>
      <c r="GX77">
        <f>IFERROR(MATCH(2,OrderAval,0),"")</f>
        <v/>
      </c>
      <c r="GY77">
        <f>IF(GX77="",0,IFERROR(IF(N(CHOOSE(GX77,FN77,FR77,FV77,FZ77,GD77,GH77,GL77,GP77))&lt;=0.005,0,MAX(0,N(CHOOSE(GX77,FN77,FR77,FV77,FZ77,GD77,GH77,GL77,GP77))+N(CHOOSE(GX77,FO77,FS77,FW77,GA77,GE77,GI77,GM77,GQ77))-MIN(N(CHOOSE(GX77,'Debt List'!$F$5,'Debt List'!$F$6,'Debt List'!$F$7,'Debt List'!$F$8,'Debt List'!$F$9,'Debt List'!$F$10,'Debt List'!$F$11,'Debt List'!$F$12)),N(CHOOSE(GX77,FN77,FR77,FV77,FZ77,GD77,GH77,GL77,GP77))+N(CHOOSE(GX77,FO77,FS77,FW77,GA77,GE77,GI77,GM77,GQ77))))),0))</f>
        <v/>
      </c>
      <c r="GZ77">
        <f>MIN(N(GY77),MAX(0,N(GW77)))</f>
        <v/>
      </c>
      <c r="HA77">
        <f>MAX(0,N(GW77)-N(GZ77))</f>
        <v/>
      </c>
      <c r="HB77">
        <f>IFERROR(MATCH(3,OrderAval,0),"")</f>
        <v/>
      </c>
      <c r="HC77">
        <f>IF(HB77="",0,IFERROR(IF(N(CHOOSE(HB77,FN77,FR77,FV77,FZ77,GD77,GH77,GL77,GP77))&lt;=0.005,0,MAX(0,N(CHOOSE(HB77,FN77,FR77,FV77,FZ77,GD77,GH77,GL77,GP77))+N(CHOOSE(HB77,FO77,FS77,FW77,GA77,GE77,GI77,GM77,GQ77))-MIN(N(CHOOSE(HB77,'Debt List'!$F$5,'Debt List'!$F$6,'Debt List'!$F$7,'Debt List'!$F$8,'Debt List'!$F$9,'Debt List'!$F$10,'Debt List'!$F$11,'Debt List'!$F$12)),N(CHOOSE(HB77,FN77,FR77,FV77,FZ77,GD77,GH77,GL77,GP77))+N(CHOOSE(HB77,FO77,FS77,FW77,GA77,GE77,GI77,GM77,GQ77))))),0))</f>
        <v/>
      </c>
      <c r="HD77">
        <f>MIN(N(HC77),MAX(0,N(HA77)))</f>
        <v/>
      </c>
      <c r="HE77">
        <f>MAX(0,N(HA77)-N(HD77))</f>
        <v/>
      </c>
      <c r="HF77">
        <f>IFERROR(MATCH(4,OrderAval,0),"")</f>
        <v/>
      </c>
      <c r="HG77">
        <f>IF(HF77="",0,IFERROR(IF(N(CHOOSE(HF77,FN77,FR77,FV77,FZ77,GD77,GH77,GL77,GP77))&lt;=0.005,0,MAX(0,N(CHOOSE(HF77,FN77,FR77,FV77,FZ77,GD77,GH77,GL77,GP77))+N(CHOOSE(HF77,FO77,FS77,FW77,GA77,GE77,GI77,GM77,GQ77))-MIN(N(CHOOSE(HF77,'Debt List'!$F$5,'Debt List'!$F$6,'Debt List'!$F$7,'Debt List'!$F$8,'Debt List'!$F$9,'Debt List'!$F$10,'Debt List'!$F$11,'Debt List'!$F$12)),N(CHOOSE(HF77,FN77,FR77,FV77,FZ77,GD77,GH77,GL77,GP77))+N(CHOOSE(HF77,FO77,FS77,FW77,GA77,GE77,GI77,GM77,GQ77))))),0))</f>
        <v/>
      </c>
      <c r="HH77">
        <f>MIN(N(HG77),MAX(0,N(HE77)))</f>
        <v/>
      </c>
      <c r="HI77">
        <f>MAX(0,N(HE77)-N(HH77))</f>
        <v/>
      </c>
      <c r="HJ77">
        <f>IFERROR(MATCH(5,OrderAval,0),"")</f>
        <v/>
      </c>
      <c r="HK77">
        <f>IF(HJ77="",0,IFERROR(IF(N(CHOOSE(HJ77,FN77,FR77,FV77,FZ77,GD77,GH77,GL77,GP77))&lt;=0.005,0,MAX(0,N(CHOOSE(HJ77,FN77,FR77,FV77,FZ77,GD77,GH77,GL77,GP77))+N(CHOOSE(HJ77,FO77,FS77,FW77,GA77,GE77,GI77,GM77,GQ77))-MIN(N(CHOOSE(HJ77,'Debt List'!$F$5,'Debt List'!$F$6,'Debt List'!$F$7,'Debt List'!$F$8,'Debt List'!$F$9,'Debt List'!$F$10,'Debt List'!$F$11,'Debt List'!$F$12)),N(CHOOSE(HJ77,FN77,FR77,FV77,FZ77,GD77,GH77,GL77,GP77))+N(CHOOSE(HJ77,FO77,FS77,FW77,GA77,GE77,GI77,GM77,GQ77))))),0))</f>
        <v/>
      </c>
      <c r="HL77">
        <f>MIN(N(HK77),MAX(0,N(HI77)))</f>
        <v/>
      </c>
      <c r="HM77">
        <f>MAX(0,N(HI77)-N(HL77))</f>
        <v/>
      </c>
      <c r="HN77">
        <f>IFERROR(MATCH(6,OrderAval,0),"")</f>
        <v/>
      </c>
      <c r="HO77">
        <f>IF(HN77="",0,IFERROR(IF(N(CHOOSE(HN77,FN77,FR77,FV77,FZ77,GD77,GH77,GL77,GP77))&lt;=0.005,0,MAX(0,N(CHOOSE(HN77,FN77,FR77,FV77,FZ77,GD77,GH77,GL77,GP77))+N(CHOOSE(HN77,FO77,FS77,FW77,GA77,GE77,GI77,GM77,GQ77))-MIN(N(CHOOSE(HN77,'Debt List'!$F$5,'Debt List'!$F$6,'Debt List'!$F$7,'Debt List'!$F$8,'Debt List'!$F$9,'Debt List'!$F$10,'Debt List'!$F$11,'Debt List'!$F$12)),N(CHOOSE(HN77,FN77,FR77,FV77,FZ77,GD77,GH77,GL77,GP77))+N(CHOOSE(HN77,FO77,FS77,FW77,GA77,GE77,GI77,GM77,GQ77))))),0))</f>
        <v/>
      </c>
      <c r="HP77">
        <f>MIN(N(HO77),MAX(0,N(HM77)))</f>
        <v/>
      </c>
      <c r="HQ77">
        <f>MAX(0,N(HM77)-N(HP77))</f>
        <v/>
      </c>
      <c r="HR77">
        <f>IFERROR(MATCH(7,OrderAval,0),"")</f>
        <v/>
      </c>
      <c r="HS77">
        <f>IF(HR77="",0,IFERROR(IF(N(CHOOSE(HR77,FN77,FR77,FV77,FZ77,GD77,GH77,GL77,GP77))&lt;=0.005,0,MAX(0,N(CHOOSE(HR77,FN77,FR77,FV77,FZ77,GD77,GH77,GL77,GP77))+N(CHOOSE(HR77,FO77,FS77,FW77,GA77,GE77,GI77,GM77,GQ77))-MIN(N(CHOOSE(HR77,'Debt List'!$F$5,'Debt List'!$F$6,'Debt List'!$F$7,'Debt List'!$F$8,'Debt List'!$F$9,'Debt List'!$F$10,'Debt List'!$F$11,'Debt List'!$F$12)),N(CHOOSE(HR77,FN77,FR77,FV77,FZ77,GD77,GH77,GL77,GP77))+N(CHOOSE(HR77,FO77,FS77,FW77,GA77,GE77,GI77,GM77,GQ77))))),0))</f>
        <v/>
      </c>
      <c r="HT77">
        <f>MIN(N(HS77),MAX(0,N(HQ77)))</f>
        <v/>
      </c>
      <c r="HU77">
        <f>MAX(0,N(HQ77)-N(HT77))</f>
        <v/>
      </c>
      <c r="HV77">
        <f>IFERROR(MATCH(8,OrderAval,0),"")</f>
        <v/>
      </c>
      <c r="HW77">
        <f>IF(HV77="",0,IFERROR(IF(N(CHOOSE(HV77,FN77,FR77,FV77,FZ77,GD77,GH77,GL77,GP77))&lt;=0.005,0,MAX(0,N(CHOOSE(HV77,FN77,FR77,FV77,FZ77,GD77,GH77,GL77,GP77))+N(CHOOSE(HV77,FO77,FS77,FW77,GA77,GE77,GI77,GM77,GQ77))-MIN(N(CHOOSE(HV77,'Debt List'!$F$5,'Debt List'!$F$6,'Debt List'!$F$7,'Debt List'!$F$8,'Debt List'!$F$9,'Debt List'!$F$10,'Debt List'!$F$11,'Debt List'!$F$12)),N(CHOOSE(HV77,FN77,FR77,FV77,FZ77,GD77,GH77,GL77,GP77))+N(CHOOSE(HV77,FO77,FS77,FW77,GA77,GE77,GI77,GM77,GQ77))))),0))</f>
        <v/>
      </c>
      <c r="HX77">
        <f>MIN(N(HW77),MAX(0,N(HU77)))</f>
        <v/>
      </c>
      <c r="HY77">
        <f>MAX(0,N(HU77)-N(HX77))</f>
        <v/>
      </c>
    </row>
    <row r="78">
      <c r="A78" t="n">
        <v>74</v>
      </c>
      <c r="B78" s="115">
        <f>DATE(YEAR(PlanStart),MONTH(PlanStart)+A78-1,1)</f>
        <v/>
      </c>
      <c r="C78">
        <f>IF(AND(AP78&lt;&gt;"",N(CHOOSE(AP78,J78,N78,R78,V78,Z78,AD78,AH78,AL78))&gt;0.005),INDEX(DebtNames,AP78),IF(AND(AT78&lt;&gt;"",N(CHOOSE(AT78,J78,N78,R78,V78,Z78,AD78,AH78,AL78))&gt;0.005),INDEX(DebtNames,AT78),IF(AND(AX78&lt;&gt;"",N(CHOOSE(AX78,J78,N78,R78,V78,Z78,AD78,AH78,AL78))&gt;0.005),INDEX(DebtNames,AX78),IF(AND(BB78&lt;&gt;"",N(CHOOSE(BB78,J78,N78,R78,V78,Z78,AD78,AH78,AL78))&gt;0.005),INDEX(DebtNames,BB78),IF(AND(BF78&lt;&gt;"",N(CHOOSE(BF78,J78,N78,R78,V78,Z78,AD78,AH78,AL78))&gt;0.005),INDEX(DebtNames,BF78),IF(AND(BJ78&lt;&gt;"",N(CHOOSE(BJ78,J78,N78,R78,V78,Z78,AD78,AH78,AL78))&gt;0.005),INDEX(DebtNames,BJ78),IF(AND(BN78&lt;&gt;"",N(CHOOSE(BN78,J78,N78,R78,V78,Z78,AD78,AH78,AL78))&gt;0.005),INDEX(DebtNames,BN78),IF(AND(BR78&lt;&gt;"",N(CHOOSE(BR78,J78,N78,R78,V78,Z78,AD78,AH78,AL78))&gt;0.005),INDEX(DebtNames,BR78),""))))))))</f>
        <v/>
      </c>
      <c r="D78">
        <f>N(BU78)</f>
        <v/>
      </c>
      <c r="E78">
        <f>N(L78)+N(P78)+N(T78)+N(X78)+N(AB78)+N(AF78)+N(AJ78)+N(AN78)</f>
        <v/>
      </c>
      <c r="F78">
        <f>N(K78)+N(O78)+N(S78)+N(W78)+N(AA78)+N(AE78)+N(AI78)+N(AM78)</f>
        <v/>
      </c>
      <c r="G78">
        <f>N(G77)+N(F78)</f>
        <v/>
      </c>
      <c r="H78">
        <f>N(M78)+N(Q78)+N(U78)+N(Y78)+N(AC78)+N(AG78)+N(AK78)+N(AO78)</f>
        <v/>
      </c>
      <c r="I78">
        <f>(M78&gt;0.005)*1+(Q78&gt;0.005)*1+(U78&gt;0.005)*1+(Y78&gt;0.005)*1+(AC78&gt;0.005)*1+(AG78&gt;0.005)*1+(AK78&gt;0.005)*1+(AO78&gt;0.005)*1</f>
        <v/>
      </c>
      <c r="J78">
        <f>N(M77)</f>
        <v/>
      </c>
      <c r="K78">
        <f>IF(N(J78)&lt;=0.005,0,ROUND(N(J78)*N('Debt List'!E5)/12,2))</f>
        <v/>
      </c>
      <c r="L78">
        <f>IF(N(J78)&lt;=0.005,0,MIN(N('Debt List'!F5),N(J78)+N(K78)))+((AP78=1)*AR78+(AT78=1)*AV78+(AX78=1)*AZ78+(BB78=1)*BD78+(BF78=1)*BH78+(BJ78=1)*BL78+(BN78=1)*BP78+(BR78=1)*BT78)</f>
        <v/>
      </c>
      <c r="M78">
        <f>MAX(0,ROUND(N(J78)+N(K78)-N(L78),2))</f>
        <v/>
      </c>
      <c r="N78">
        <f>N(Q77)</f>
        <v/>
      </c>
      <c r="O78">
        <f>IF(N(N78)&lt;=0.005,0,ROUND(N(N78)*N('Debt List'!E6)/12,2))</f>
        <v/>
      </c>
      <c r="P78">
        <f>IF(N(N78)&lt;=0.005,0,MIN(N('Debt List'!F6),N(N78)+N(O78)))+((AP78=2)*AR78+(AT78=2)*AV78+(AX78=2)*AZ78+(BB78=2)*BD78+(BF78=2)*BH78+(BJ78=2)*BL78+(BN78=2)*BP78+(BR78=2)*BT78)</f>
        <v/>
      </c>
      <c r="Q78">
        <f>MAX(0,ROUND(N(N78)+N(O78)-N(P78),2))</f>
        <v/>
      </c>
      <c r="R78">
        <f>N(U77)</f>
        <v/>
      </c>
      <c r="S78">
        <f>IF(N(R78)&lt;=0.005,0,ROUND(N(R78)*N('Debt List'!E7)/12,2))</f>
        <v/>
      </c>
      <c r="T78">
        <f>IF(N(R78)&lt;=0.005,0,MIN(N('Debt List'!F7),N(R78)+N(S78)))+((AP78=3)*AR78+(AT78=3)*AV78+(AX78=3)*AZ78+(BB78=3)*BD78+(BF78=3)*BH78+(BJ78=3)*BL78+(BN78=3)*BP78+(BR78=3)*BT78)</f>
        <v/>
      </c>
      <c r="U78">
        <f>MAX(0,ROUND(N(R78)+N(S78)-N(T78),2))</f>
        <v/>
      </c>
      <c r="V78">
        <f>N(Y77)</f>
        <v/>
      </c>
      <c r="W78">
        <f>IF(N(V78)&lt;=0.005,0,ROUND(N(V78)*N('Debt List'!E8)/12,2))</f>
        <v/>
      </c>
      <c r="X78">
        <f>IF(N(V78)&lt;=0.005,0,MIN(N('Debt List'!F8),N(V78)+N(W78)))+((AP78=4)*AR78+(AT78=4)*AV78+(AX78=4)*AZ78+(BB78=4)*BD78+(BF78=4)*BH78+(BJ78=4)*BL78+(BN78=4)*BP78+(BR78=4)*BT78)</f>
        <v/>
      </c>
      <c r="Y78">
        <f>MAX(0,ROUND(N(V78)+N(W78)-N(X78),2))</f>
        <v/>
      </c>
      <c r="Z78">
        <f>N(AC77)</f>
        <v/>
      </c>
      <c r="AA78">
        <f>IF(N(Z78)&lt;=0.005,0,ROUND(N(Z78)*N('Debt List'!E9)/12,2))</f>
        <v/>
      </c>
      <c r="AB78">
        <f>IF(N(Z78)&lt;=0.005,0,MIN(N('Debt List'!F9),N(Z78)+N(AA78)))+((AP78=5)*AR78+(AT78=5)*AV78+(AX78=5)*AZ78+(BB78=5)*BD78+(BF78=5)*BH78+(BJ78=5)*BL78+(BN78=5)*BP78+(BR78=5)*BT78)</f>
        <v/>
      </c>
      <c r="AC78">
        <f>MAX(0,ROUND(N(Z78)+N(AA78)-N(AB78),2))</f>
        <v/>
      </c>
      <c r="AD78">
        <f>N(AG77)</f>
        <v/>
      </c>
      <c r="AE78">
        <f>IF(N(AD78)&lt;=0.005,0,ROUND(N(AD78)*N('Debt List'!E10)/12,2))</f>
        <v/>
      </c>
      <c r="AF78">
        <f>IF(N(AD78)&lt;=0.005,0,MIN(N('Debt List'!F10),N(AD78)+N(AE78)))+((AP78=6)*AR78+(AT78=6)*AV78+(AX78=6)*AZ78+(BB78=6)*BD78+(BF78=6)*BH78+(BJ78=6)*BL78+(BN78=6)*BP78+(BR78=6)*BT78)</f>
        <v/>
      </c>
      <c r="AG78">
        <f>MAX(0,ROUND(N(AD78)+N(AE78)-N(AF78),2))</f>
        <v/>
      </c>
      <c r="AH78">
        <f>N(AK77)</f>
        <v/>
      </c>
      <c r="AI78">
        <f>IF(N(AH78)&lt;=0.005,0,ROUND(N(AH78)*N('Debt List'!E11)/12,2))</f>
        <v/>
      </c>
      <c r="AJ78">
        <f>IF(N(AH78)&lt;=0.005,0,MIN(N('Debt List'!F11),N(AH78)+N(AI78)))+((AP78=7)*AR78+(AT78=7)*AV78+(AX78=7)*AZ78+(BB78=7)*BD78+(BF78=7)*BH78+(BJ78=7)*BL78+(BN78=7)*BP78+(BR78=7)*BT78)</f>
        <v/>
      </c>
      <c r="AK78">
        <f>MAX(0,ROUND(N(AH78)+N(AI78)-N(AJ78),2))</f>
        <v/>
      </c>
      <c r="AL78">
        <f>N(AO77)</f>
        <v/>
      </c>
      <c r="AM78">
        <f>IF(N(AL78)&lt;=0.005,0,ROUND(N(AL78)*N('Debt List'!E12)/12,2))</f>
        <v/>
      </c>
      <c r="AN78">
        <f>IF(N(AL78)&lt;=0.005,0,MIN(N('Debt List'!F12),N(AL78)+N(AM78)))+((AP78=8)*AR78+(AT78=8)*AV78+(AX78=8)*AZ78+(BB78=8)*BD78+(BF78=8)*BH78+(BJ78=8)*BL78+(BN78=8)*BP78+(BR78=8)*BT78)</f>
        <v/>
      </c>
      <c r="AO78">
        <f>MAX(0,ROUND(N(AL78)+N(AM78)-N(AN78),2))</f>
        <v/>
      </c>
      <c r="AP78">
        <f>IFERROR(MATCH(1,OrderPlan,0),"")</f>
        <v/>
      </c>
      <c r="AQ78">
        <f>IF(AP78="",0,IFERROR(IF(N(CHOOSE(AP78,J78,N78,R78,V78,Z78,AD78,AH78,AL78))&lt;=0.005,0,MAX(0,N(CHOOSE(AP78,J78,N78,R78,V78,Z78,AD78,AH78,AL78))+N(CHOOSE(AP78,K78,O78,S78,W78,AA78,AE78,AI78,AM78))-MIN(N(CHOOSE(AP78,'Debt List'!$F$5,'Debt List'!$F$6,'Debt List'!$F$7,'Debt List'!$F$8,'Debt List'!$F$9,'Debt List'!$F$10,'Debt List'!$F$11,'Debt List'!$F$12)),N(CHOOSE(AP78,J78,N78,R78,V78,Z78,AD78,AH78,AL78))+N(CHOOSE(AP78,K78,O78,S78,W78,AA78,AE78,AI78,AM78))))),0))</f>
        <v/>
      </c>
      <c r="AR78">
        <f>MIN(N(AQ78),MAX(0,N(ExtraPayment)))</f>
        <v/>
      </c>
      <c r="AS78">
        <f>MAX(0,N(ExtraPayment)-N(AR78))</f>
        <v/>
      </c>
      <c r="AT78">
        <f>IFERROR(MATCH(2,OrderPlan,0),"")</f>
        <v/>
      </c>
      <c r="AU78">
        <f>IF(AT78="",0,IFERROR(IF(N(CHOOSE(AT78,J78,N78,R78,V78,Z78,AD78,AH78,AL78))&lt;=0.005,0,MAX(0,N(CHOOSE(AT78,J78,N78,R78,V78,Z78,AD78,AH78,AL78))+N(CHOOSE(AT78,K78,O78,S78,W78,AA78,AE78,AI78,AM78))-MIN(N(CHOOSE(AT78,'Debt List'!$F$5,'Debt List'!$F$6,'Debt List'!$F$7,'Debt List'!$F$8,'Debt List'!$F$9,'Debt List'!$F$10,'Debt List'!$F$11,'Debt List'!$F$12)),N(CHOOSE(AT78,J78,N78,R78,V78,Z78,AD78,AH78,AL78))+N(CHOOSE(AT78,K78,O78,S78,W78,AA78,AE78,AI78,AM78))))),0))</f>
        <v/>
      </c>
      <c r="AV78">
        <f>MIN(N(AU78),MAX(0,N(AS78)))</f>
        <v/>
      </c>
      <c r="AW78">
        <f>MAX(0,N(AS78)-N(AV78))</f>
        <v/>
      </c>
      <c r="AX78">
        <f>IFERROR(MATCH(3,OrderPlan,0),"")</f>
        <v/>
      </c>
      <c r="AY78">
        <f>IF(AX78="",0,IFERROR(IF(N(CHOOSE(AX78,J78,N78,R78,V78,Z78,AD78,AH78,AL78))&lt;=0.005,0,MAX(0,N(CHOOSE(AX78,J78,N78,R78,V78,Z78,AD78,AH78,AL78))+N(CHOOSE(AX78,K78,O78,S78,W78,AA78,AE78,AI78,AM78))-MIN(N(CHOOSE(AX78,'Debt List'!$F$5,'Debt List'!$F$6,'Debt List'!$F$7,'Debt List'!$F$8,'Debt List'!$F$9,'Debt List'!$F$10,'Debt List'!$F$11,'Debt List'!$F$12)),N(CHOOSE(AX78,J78,N78,R78,V78,Z78,AD78,AH78,AL78))+N(CHOOSE(AX78,K78,O78,S78,W78,AA78,AE78,AI78,AM78))))),0))</f>
        <v/>
      </c>
      <c r="AZ78">
        <f>MIN(N(AY78),MAX(0,N(AW78)))</f>
        <v/>
      </c>
      <c r="BA78">
        <f>MAX(0,N(AW78)-N(AZ78))</f>
        <v/>
      </c>
      <c r="BB78">
        <f>IFERROR(MATCH(4,OrderPlan,0),"")</f>
        <v/>
      </c>
      <c r="BC78">
        <f>IF(BB78="",0,IFERROR(IF(N(CHOOSE(BB78,J78,N78,R78,V78,Z78,AD78,AH78,AL78))&lt;=0.005,0,MAX(0,N(CHOOSE(BB78,J78,N78,R78,V78,Z78,AD78,AH78,AL78))+N(CHOOSE(BB78,K78,O78,S78,W78,AA78,AE78,AI78,AM78))-MIN(N(CHOOSE(BB78,'Debt List'!$F$5,'Debt List'!$F$6,'Debt List'!$F$7,'Debt List'!$F$8,'Debt List'!$F$9,'Debt List'!$F$10,'Debt List'!$F$11,'Debt List'!$F$12)),N(CHOOSE(BB78,J78,N78,R78,V78,Z78,AD78,AH78,AL78))+N(CHOOSE(BB78,K78,O78,S78,W78,AA78,AE78,AI78,AM78))))),0))</f>
        <v/>
      </c>
      <c r="BD78">
        <f>MIN(N(BC78),MAX(0,N(BA78)))</f>
        <v/>
      </c>
      <c r="BE78">
        <f>MAX(0,N(BA78)-N(BD78))</f>
        <v/>
      </c>
      <c r="BF78">
        <f>IFERROR(MATCH(5,OrderPlan,0),"")</f>
        <v/>
      </c>
      <c r="BG78">
        <f>IF(BF78="",0,IFERROR(IF(N(CHOOSE(BF78,J78,N78,R78,V78,Z78,AD78,AH78,AL78))&lt;=0.005,0,MAX(0,N(CHOOSE(BF78,J78,N78,R78,V78,Z78,AD78,AH78,AL78))+N(CHOOSE(BF78,K78,O78,S78,W78,AA78,AE78,AI78,AM78))-MIN(N(CHOOSE(BF78,'Debt List'!$F$5,'Debt List'!$F$6,'Debt List'!$F$7,'Debt List'!$F$8,'Debt List'!$F$9,'Debt List'!$F$10,'Debt List'!$F$11,'Debt List'!$F$12)),N(CHOOSE(BF78,J78,N78,R78,V78,Z78,AD78,AH78,AL78))+N(CHOOSE(BF78,K78,O78,S78,W78,AA78,AE78,AI78,AM78))))),0))</f>
        <v/>
      </c>
      <c r="BH78">
        <f>MIN(N(BG78),MAX(0,N(BE78)))</f>
        <v/>
      </c>
      <c r="BI78">
        <f>MAX(0,N(BE78)-N(BH78))</f>
        <v/>
      </c>
      <c r="BJ78">
        <f>IFERROR(MATCH(6,OrderPlan,0),"")</f>
        <v/>
      </c>
      <c r="BK78">
        <f>IF(BJ78="",0,IFERROR(IF(N(CHOOSE(BJ78,J78,N78,R78,V78,Z78,AD78,AH78,AL78))&lt;=0.005,0,MAX(0,N(CHOOSE(BJ78,J78,N78,R78,V78,Z78,AD78,AH78,AL78))+N(CHOOSE(BJ78,K78,O78,S78,W78,AA78,AE78,AI78,AM78))-MIN(N(CHOOSE(BJ78,'Debt List'!$F$5,'Debt List'!$F$6,'Debt List'!$F$7,'Debt List'!$F$8,'Debt List'!$F$9,'Debt List'!$F$10,'Debt List'!$F$11,'Debt List'!$F$12)),N(CHOOSE(BJ78,J78,N78,R78,V78,Z78,AD78,AH78,AL78))+N(CHOOSE(BJ78,K78,O78,S78,W78,AA78,AE78,AI78,AM78))))),0))</f>
        <v/>
      </c>
      <c r="BL78">
        <f>MIN(N(BK78),MAX(0,N(BI78)))</f>
        <v/>
      </c>
      <c r="BM78">
        <f>MAX(0,N(BI78)-N(BL78))</f>
        <v/>
      </c>
      <c r="BN78">
        <f>IFERROR(MATCH(7,OrderPlan,0),"")</f>
        <v/>
      </c>
      <c r="BO78">
        <f>IF(BN78="",0,IFERROR(IF(N(CHOOSE(BN78,J78,N78,R78,V78,Z78,AD78,AH78,AL78))&lt;=0.005,0,MAX(0,N(CHOOSE(BN78,J78,N78,R78,V78,Z78,AD78,AH78,AL78))+N(CHOOSE(BN78,K78,O78,S78,W78,AA78,AE78,AI78,AM78))-MIN(N(CHOOSE(BN78,'Debt List'!$F$5,'Debt List'!$F$6,'Debt List'!$F$7,'Debt List'!$F$8,'Debt List'!$F$9,'Debt List'!$F$10,'Debt List'!$F$11,'Debt List'!$F$12)),N(CHOOSE(BN78,J78,N78,R78,V78,Z78,AD78,AH78,AL78))+N(CHOOSE(BN78,K78,O78,S78,W78,AA78,AE78,AI78,AM78))))),0))</f>
        <v/>
      </c>
      <c r="BP78">
        <f>MIN(N(BO78),MAX(0,N(BM78)))</f>
        <v/>
      </c>
      <c r="BQ78">
        <f>MAX(0,N(BM78)-N(BP78))</f>
        <v/>
      </c>
      <c r="BR78">
        <f>IFERROR(MATCH(8,OrderPlan,0),"")</f>
        <v/>
      </c>
      <c r="BS78">
        <f>IF(BR78="",0,IFERROR(IF(N(CHOOSE(BR78,J78,N78,R78,V78,Z78,AD78,AH78,AL78))&lt;=0.005,0,MAX(0,N(CHOOSE(BR78,J78,N78,R78,V78,Z78,AD78,AH78,AL78))+N(CHOOSE(BR78,K78,O78,S78,W78,AA78,AE78,AI78,AM78))-MIN(N(CHOOSE(BR78,'Debt List'!$F$5,'Debt List'!$F$6,'Debt List'!$F$7,'Debt List'!$F$8,'Debt List'!$F$9,'Debt List'!$F$10,'Debt List'!$F$11,'Debt List'!$F$12)),N(CHOOSE(BR78,J78,N78,R78,V78,Z78,AD78,AH78,AL78))+N(CHOOSE(BR78,K78,O78,S78,W78,AA78,AE78,AI78,AM78))))),0))</f>
        <v/>
      </c>
      <c r="BT78">
        <f>MIN(N(BS78),MAX(0,N(BQ78)))</f>
        <v/>
      </c>
      <c r="BU78">
        <f>MAX(0,N(BQ78)-N(BT78))</f>
        <v/>
      </c>
      <c r="CC78" t="n">
        <v>74</v>
      </c>
      <c r="CD78" s="115">
        <f>DATE(YEAR(PlanStart),MONTH(PlanStart)+CC78-1,1)</f>
        <v/>
      </c>
      <c r="CE78">
        <f>IF(AND(DR78&lt;&gt;"",N(CHOOSE(DR78,CL78,CP78,CT78,CX78,DB78,DF78,DJ78,DN78))&gt;0.005),INDEX(DebtNames,DR78),IF(AND(DV78&lt;&gt;"",N(CHOOSE(DV78,CL78,CP78,CT78,CX78,DB78,DF78,DJ78,DN78))&gt;0.005),INDEX(DebtNames,DV78),IF(AND(DZ78&lt;&gt;"",N(CHOOSE(DZ78,CL78,CP78,CT78,CX78,DB78,DF78,DJ78,DN78))&gt;0.005),INDEX(DebtNames,DZ78),IF(AND(ED78&lt;&gt;"",N(CHOOSE(ED78,CL78,CP78,CT78,CX78,DB78,DF78,DJ78,DN78))&gt;0.005),INDEX(DebtNames,ED78),IF(AND(EH78&lt;&gt;"",N(CHOOSE(EH78,CL78,CP78,CT78,CX78,DB78,DF78,DJ78,DN78))&gt;0.005),INDEX(DebtNames,EH78),IF(AND(EL78&lt;&gt;"",N(CHOOSE(EL78,CL78,CP78,CT78,CX78,DB78,DF78,DJ78,DN78))&gt;0.005),INDEX(DebtNames,EL78),IF(AND(EP78&lt;&gt;"",N(CHOOSE(EP78,CL78,CP78,CT78,CX78,DB78,DF78,DJ78,DN78))&gt;0.005),INDEX(DebtNames,EP78),IF(AND(ET78&lt;&gt;"",N(CHOOSE(ET78,CL78,CP78,CT78,CX78,DB78,DF78,DJ78,DN78))&gt;0.005),INDEX(DebtNames,ET78),""))))))))</f>
        <v/>
      </c>
      <c r="CF78">
        <f>N(EW78)</f>
        <v/>
      </c>
      <c r="CG78">
        <f>N(CN78)+N(CR78)+N(CV78)+N(CZ78)+N(DD78)+N(DH78)+N(DL78)+N(DP78)</f>
        <v/>
      </c>
      <c r="CH78">
        <f>N(CM78)+N(CQ78)+N(CU78)+N(CY78)+N(DC78)+N(DG78)+N(DK78)+N(DO78)</f>
        <v/>
      </c>
      <c r="CI78">
        <f>N(CI77)+N(CH78)</f>
        <v/>
      </c>
      <c r="CJ78">
        <f>N(CO78)+N(CS78)+N(CW78)+N(DA78)+N(DE78)+N(DI78)+N(DM78)+N(DQ78)</f>
        <v/>
      </c>
      <c r="CK78">
        <f>(CO78&gt;0.005)*1+(CS78&gt;0.005)*1+(CW78&gt;0.005)*1+(DA78&gt;0.005)*1+(DE78&gt;0.005)*1+(DI78&gt;0.005)*1+(DM78&gt;0.005)*1+(DQ78&gt;0.005)*1</f>
        <v/>
      </c>
      <c r="CL78">
        <f>N(CO77)</f>
        <v/>
      </c>
      <c r="CM78">
        <f>IF(N(CL78)&lt;=0.005,0,ROUND(N(CL78)*N('Debt List'!E5)/12,2))</f>
        <v/>
      </c>
      <c r="CN78">
        <f>IF(N(CL78)&lt;=0.005,0,MIN(N('Debt List'!F5),N(CL78)+N(CM78)))+((DR78=1)*DT78+(DV78=1)*DX78+(DZ78=1)*EB78+(ED78=1)*EF78+(EH78=1)*EJ78+(EL78=1)*EN78+(EP78=1)*ER78+(ET78=1)*EV78)</f>
        <v/>
      </c>
      <c r="CO78">
        <f>MAX(0,ROUND(N(CL78)+N(CM78)-N(CN78),2))</f>
        <v/>
      </c>
      <c r="CP78">
        <f>N(CS77)</f>
        <v/>
      </c>
      <c r="CQ78">
        <f>IF(N(CP78)&lt;=0.005,0,ROUND(N(CP78)*N('Debt List'!E6)/12,2))</f>
        <v/>
      </c>
      <c r="CR78">
        <f>IF(N(CP78)&lt;=0.005,0,MIN(N('Debt List'!F6),N(CP78)+N(CQ78)))+((DR78=2)*DT78+(DV78=2)*DX78+(DZ78=2)*EB78+(ED78=2)*EF78+(EH78=2)*EJ78+(EL78=2)*EN78+(EP78=2)*ER78+(ET78=2)*EV78)</f>
        <v/>
      </c>
      <c r="CS78">
        <f>MAX(0,ROUND(N(CP78)+N(CQ78)-N(CR78),2))</f>
        <v/>
      </c>
      <c r="CT78">
        <f>N(CW77)</f>
        <v/>
      </c>
      <c r="CU78">
        <f>IF(N(CT78)&lt;=0.005,0,ROUND(N(CT78)*N('Debt List'!E7)/12,2))</f>
        <v/>
      </c>
      <c r="CV78">
        <f>IF(N(CT78)&lt;=0.005,0,MIN(N('Debt List'!F7),N(CT78)+N(CU78)))+((DR78=3)*DT78+(DV78=3)*DX78+(DZ78=3)*EB78+(ED78=3)*EF78+(EH78=3)*EJ78+(EL78=3)*EN78+(EP78=3)*ER78+(ET78=3)*EV78)</f>
        <v/>
      </c>
      <c r="CW78">
        <f>MAX(0,ROUND(N(CT78)+N(CU78)-N(CV78),2))</f>
        <v/>
      </c>
      <c r="CX78">
        <f>N(DA77)</f>
        <v/>
      </c>
      <c r="CY78">
        <f>IF(N(CX78)&lt;=0.005,0,ROUND(N(CX78)*N('Debt List'!E8)/12,2))</f>
        <v/>
      </c>
      <c r="CZ78">
        <f>IF(N(CX78)&lt;=0.005,0,MIN(N('Debt List'!F8),N(CX78)+N(CY78)))+((DR78=4)*DT78+(DV78=4)*DX78+(DZ78=4)*EB78+(ED78=4)*EF78+(EH78=4)*EJ78+(EL78=4)*EN78+(EP78=4)*ER78+(ET78=4)*EV78)</f>
        <v/>
      </c>
      <c r="DA78">
        <f>MAX(0,ROUND(N(CX78)+N(CY78)-N(CZ78),2))</f>
        <v/>
      </c>
      <c r="DB78">
        <f>N(DE77)</f>
        <v/>
      </c>
      <c r="DC78">
        <f>IF(N(DB78)&lt;=0.005,0,ROUND(N(DB78)*N('Debt List'!E9)/12,2))</f>
        <v/>
      </c>
      <c r="DD78">
        <f>IF(N(DB78)&lt;=0.005,0,MIN(N('Debt List'!F9),N(DB78)+N(DC78)))+((DR78=5)*DT78+(DV78=5)*DX78+(DZ78=5)*EB78+(ED78=5)*EF78+(EH78=5)*EJ78+(EL78=5)*EN78+(EP78=5)*ER78+(ET78=5)*EV78)</f>
        <v/>
      </c>
      <c r="DE78">
        <f>MAX(0,ROUND(N(DB78)+N(DC78)-N(DD78),2))</f>
        <v/>
      </c>
      <c r="DF78">
        <f>N(DI77)</f>
        <v/>
      </c>
      <c r="DG78">
        <f>IF(N(DF78)&lt;=0.005,0,ROUND(N(DF78)*N('Debt List'!E10)/12,2))</f>
        <v/>
      </c>
      <c r="DH78">
        <f>IF(N(DF78)&lt;=0.005,0,MIN(N('Debt List'!F10),N(DF78)+N(DG78)))+((DR78=6)*DT78+(DV78=6)*DX78+(DZ78=6)*EB78+(ED78=6)*EF78+(EH78=6)*EJ78+(EL78=6)*EN78+(EP78=6)*ER78+(ET78=6)*EV78)</f>
        <v/>
      </c>
      <c r="DI78">
        <f>MAX(0,ROUND(N(DF78)+N(DG78)-N(DH78),2))</f>
        <v/>
      </c>
      <c r="DJ78">
        <f>N(DM77)</f>
        <v/>
      </c>
      <c r="DK78">
        <f>IF(N(DJ78)&lt;=0.005,0,ROUND(N(DJ78)*N('Debt List'!E11)/12,2))</f>
        <v/>
      </c>
      <c r="DL78">
        <f>IF(N(DJ78)&lt;=0.005,0,MIN(N('Debt List'!F11),N(DJ78)+N(DK78)))+((DR78=7)*DT78+(DV78=7)*DX78+(DZ78=7)*EB78+(ED78=7)*EF78+(EH78=7)*EJ78+(EL78=7)*EN78+(EP78=7)*ER78+(ET78=7)*EV78)</f>
        <v/>
      </c>
      <c r="DM78">
        <f>MAX(0,ROUND(N(DJ78)+N(DK78)-N(DL78),2))</f>
        <v/>
      </c>
      <c r="DN78">
        <f>N(DQ77)</f>
        <v/>
      </c>
      <c r="DO78">
        <f>IF(N(DN78)&lt;=0.005,0,ROUND(N(DN78)*N('Debt List'!E12)/12,2))</f>
        <v/>
      </c>
      <c r="DP78">
        <f>IF(N(DN78)&lt;=0.005,0,MIN(N('Debt List'!F12),N(DN78)+N(DO78)))+((DR78=8)*DT78+(DV78=8)*DX78+(DZ78=8)*EB78+(ED78=8)*EF78+(EH78=8)*EJ78+(EL78=8)*EN78+(EP78=8)*ER78+(ET78=8)*EV78)</f>
        <v/>
      </c>
      <c r="DQ78">
        <f>MAX(0,ROUND(N(DN78)+N(DO78)-N(DP78),2))</f>
        <v/>
      </c>
      <c r="DR78">
        <f>IFERROR(MATCH(1,OrderSnow,0),"")</f>
        <v/>
      </c>
      <c r="DS78">
        <f>IF(DR78="",0,IFERROR(IF(N(CHOOSE(DR78,CL78,CP78,CT78,CX78,DB78,DF78,DJ78,DN78))&lt;=0.005,0,MAX(0,N(CHOOSE(DR78,CL78,CP78,CT78,CX78,DB78,DF78,DJ78,DN78))+N(CHOOSE(DR78,CM78,CQ78,CU78,CY78,DC78,DG78,DK78,DO78))-MIN(N(CHOOSE(DR78,'Debt List'!$F$5,'Debt List'!$F$6,'Debt List'!$F$7,'Debt List'!$F$8,'Debt List'!$F$9,'Debt List'!$F$10,'Debt List'!$F$11,'Debt List'!$F$12)),N(CHOOSE(DR78,CL78,CP78,CT78,CX78,DB78,DF78,DJ78,DN78))+N(CHOOSE(DR78,CM78,CQ78,CU78,CY78,DC78,DG78,DK78,DO78))))),0))</f>
        <v/>
      </c>
      <c r="DT78">
        <f>MIN(N(DS78),MAX(0,N(ExtraPayment)))</f>
        <v/>
      </c>
      <c r="DU78">
        <f>MAX(0,N(ExtraPayment)-N(DT78))</f>
        <v/>
      </c>
      <c r="DV78">
        <f>IFERROR(MATCH(2,OrderSnow,0),"")</f>
        <v/>
      </c>
      <c r="DW78">
        <f>IF(DV78="",0,IFERROR(IF(N(CHOOSE(DV78,CL78,CP78,CT78,CX78,DB78,DF78,DJ78,DN78))&lt;=0.005,0,MAX(0,N(CHOOSE(DV78,CL78,CP78,CT78,CX78,DB78,DF78,DJ78,DN78))+N(CHOOSE(DV78,CM78,CQ78,CU78,CY78,DC78,DG78,DK78,DO78))-MIN(N(CHOOSE(DV78,'Debt List'!$F$5,'Debt List'!$F$6,'Debt List'!$F$7,'Debt List'!$F$8,'Debt List'!$F$9,'Debt List'!$F$10,'Debt List'!$F$11,'Debt List'!$F$12)),N(CHOOSE(DV78,CL78,CP78,CT78,CX78,DB78,DF78,DJ78,DN78))+N(CHOOSE(DV78,CM78,CQ78,CU78,CY78,DC78,DG78,DK78,DO78))))),0))</f>
        <v/>
      </c>
      <c r="DX78">
        <f>MIN(N(DW78),MAX(0,N(DU78)))</f>
        <v/>
      </c>
      <c r="DY78">
        <f>MAX(0,N(DU78)-N(DX78))</f>
        <v/>
      </c>
      <c r="DZ78">
        <f>IFERROR(MATCH(3,OrderSnow,0),"")</f>
        <v/>
      </c>
      <c r="EA78">
        <f>IF(DZ78="",0,IFERROR(IF(N(CHOOSE(DZ78,CL78,CP78,CT78,CX78,DB78,DF78,DJ78,DN78))&lt;=0.005,0,MAX(0,N(CHOOSE(DZ78,CL78,CP78,CT78,CX78,DB78,DF78,DJ78,DN78))+N(CHOOSE(DZ78,CM78,CQ78,CU78,CY78,DC78,DG78,DK78,DO78))-MIN(N(CHOOSE(DZ78,'Debt List'!$F$5,'Debt List'!$F$6,'Debt List'!$F$7,'Debt List'!$F$8,'Debt List'!$F$9,'Debt List'!$F$10,'Debt List'!$F$11,'Debt List'!$F$12)),N(CHOOSE(DZ78,CL78,CP78,CT78,CX78,DB78,DF78,DJ78,DN78))+N(CHOOSE(DZ78,CM78,CQ78,CU78,CY78,DC78,DG78,DK78,DO78))))),0))</f>
        <v/>
      </c>
      <c r="EB78">
        <f>MIN(N(EA78),MAX(0,N(DY78)))</f>
        <v/>
      </c>
      <c r="EC78">
        <f>MAX(0,N(DY78)-N(EB78))</f>
        <v/>
      </c>
      <c r="ED78">
        <f>IFERROR(MATCH(4,OrderSnow,0),"")</f>
        <v/>
      </c>
      <c r="EE78">
        <f>IF(ED78="",0,IFERROR(IF(N(CHOOSE(ED78,CL78,CP78,CT78,CX78,DB78,DF78,DJ78,DN78))&lt;=0.005,0,MAX(0,N(CHOOSE(ED78,CL78,CP78,CT78,CX78,DB78,DF78,DJ78,DN78))+N(CHOOSE(ED78,CM78,CQ78,CU78,CY78,DC78,DG78,DK78,DO78))-MIN(N(CHOOSE(ED78,'Debt List'!$F$5,'Debt List'!$F$6,'Debt List'!$F$7,'Debt List'!$F$8,'Debt List'!$F$9,'Debt List'!$F$10,'Debt List'!$F$11,'Debt List'!$F$12)),N(CHOOSE(ED78,CL78,CP78,CT78,CX78,DB78,DF78,DJ78,DN78))+N(CHOOSE(ED78,CM78,CQ78,CU78,CY78,DC78,DG78,DK78,DO78))))),0))</f>
        <v/>
      </c>
      <c r="EF78">
        <f>MIN(N(EE78),MAX(0,N(EC78)))</f>
        <v/>
      </c>
      <c r="EG78">
        <f>MAX(0,N(EC78)-N(EF78))</f>
        <v/>
      </c>
      <c r="EH78">
        <f>IFERROR(MATCH(5,OrderSnow,0),"")</f>
        <v/>
      </c>
      <c r="EI78">
        <f>IF(EH78="",0,IFERROR(IF(N(CHOOSE(EH78,CL78,CP78,CT78,CX78,DB78,DF78,DJ78,DN78))&lt;=0.005,0,MAX(0,N(CHOOSE(EH78,CL78,CP78,CT78,CX78,DB78,DF78,DJ78,DN78))+N(CHOOSE(EH78,CM78,CQ78,CU78,CY78,DC78,DG78,DK78,DO78))-MIN(N(CHOOSE(EH78,'Debt List'!$F$5,'Debt List'!$F$6,'Debt List'!$F$7,'Debt List'!$F$8,'Debt List'!$F$9,'Debt List'!$F$10,'Debt List'!$F$11,'Debt List'!$F$12)),N(CHOOSE(EH78,CL78,CP78,CT78,CX78,DB78,DF78,DJ78,DN78))+N(CHOOSE(EH78,CM78,CQ78,CU78,CY78,DC78,DG78,DK78,DO78))))),0))</f>
        <v/>
      </c>
      <c r="EJ78">
        <f>MIN(N(EI78),MAX(0,N(EG78)))</f>
        <v/>
      </c>
      <c r="EK78">
        <f>MAX(0,N(EG78)-N(EJ78))</f>
        <v/>
      </c>
      <c r="EL78">
        <f>IFERROR(MATCH(6,OrderSnow,0),"")</f>
        <v/>
      </c>
      <c r="EM78">
        <f>IF(EL78="",0,IFERROR(IF(N(CHOOSE(EL78,CL78,CP78,CT78,CX78,DB78,DF78,DJ78,DN78))&lt;=0.005,0,MAX(0,N(CHOOSE(EL78,CL78,CP78,CT78,CX78,DB78,DF78,DJ78,DN78))+N(CHOOSE(EL78,CM78,CQ78,CU78,CY78,DC78,DG78,DK78,DO78))-MIN(N(CHOOSE(EL78,'Debt List'!$F$5,'Debt List'!$F$6,'Debt List'!$F$7,'Debt List'!$F$8,'Debt List'!$F$9,'Debt List'!$F$10,'Debt List'!$F$11,'Debt List'!$F$12)),N(CHOOSE(EL78,CL78,CP78,CT78,CX78,DB78,DF78,DJ78,DN78))+N(CHOOSE(EL78,CM78,CQ78,CU78,CY78,DC78,DG78,DK78,DO78))))),0))</f>
        <v/>
      </c>
      <c r="EN78">
        <f>MIN(N(EM78),MAX(0,N(EK78)))</f>
        <v/>
      </c>
      <c r="EO78">
        <f>MAX(0,N(EK78)-N(EN78))</f>
        <v/>
      </c>
      <c r="EP78">
        <f>IFERROR(MATCH(7,OrderSnow,0),"")</f>
        <v/>
      </c>
      <c r="EQ78">
        <f>IF(EP78="",0,IFERROR(IF(N(CHOOSE(EP78,CL78,CP78,CT78,CX78,DB78,DF78,DJ78,DN78))&lt;=0.005,0,MAX(0,N(CHOOSE(EP78,CL78,CP78,CT78,CX78,DB78,DF78,DJ78,DN78))+N(CHOOSE(EP78,CM78,CQ78,CU78,CY78,DC78,DG78,DK78,DO78))-MIN(N(CHOOSE(EP78,'Debt List'!$F$5,'Debt List'!$F$6,'Debt List'!$F$7,'Debt List'!$F$8,'Debt List'!$F$9,'Debt List'!$F$10,'Debt List'!$F$11,'Debt List'!$F$12)),N(CHOOSE(EP78,CL78,CP78,CT78,CX78,DB78,DF78,DJ78,DN78))+N(CHOOSE(EP78,CM78,CQ78,CU78,CY78,DC78,DG78,DK78,DO78))))),0))</f>
        <v/>
      </c>
      <c r="ER78">
        <f>MIN(N(EQ78),MAX(0,N(EO78)))</f>
        <v/>
      </c>
      <c r="ES78">
        <f>MAX(0,N(EO78)-N(ER78))</f>
        <v/>
      </c>
      <c r="ET78">
        <f>IFERROR(MATCH(8,OrderSnow,0),"")</f>
        <v/>
      </c>
      <c r="EU78">
        <f>IF(ET78="",0,IFERROR(IF(N(CHOOSE(ET78,CL78,CP78,CT78,CX78,DB78,DF78,DJ78,DN78))&lt;=0.005,0,MAX(0,N(CHOOSE(ET78,CL78,CP78,CT78,CX78,DB78,DF78,DJ78,DN78))+N(CHOOSE(ET78,CM78,CQ78,CU78,CY78,DC78,DG78,DK78,DO78))-MIN(N(CHOOSE(ET78,'Debt List'!$F$5,'Debt List'!$F$6,'Debt List'!$F$7,'Debt List'!$F$8,'Debt List'!$F$9,'Debt List'!$F$10,'Debt List'!$F$11,'Debt List'!$F$12)),N(CHOOSE(ET78,CL78,CP78,CT78,CX78,DB78,DF78,DJ78,DN78))+N(CHOOSE(ET78,CM78,CQ78,CU78,CY78,DC78,DG78,DK78,DO78))))),0))</f>
        <v/>
      </c>
      <c r="EV78">
        <f>MIN(N(EU78),MAX(0,N(ES78)))</f>
        <v/>
      </c>
      <c r="EW78">
        <f>MAX(0,N(ES78)-N(EV78))</f>
        <v/>
      </c>
      <c r="FE78" t="n">
        <v>74</v>
      </c>
      <c r="FF78" s="115">
        <f>DATE(YEAR(PlanStart),MONTH(PlanStart)+FE78-1,1)</f>
        <v/>
      </c>
      <c r="FG78">
        <f>IF(AND(GT78&lt;&gt;"",N(CHOOSE(GT78,FN78,FR78,FV78,FZ78,GD78,GH78,GL78,GP78))&gt;0.005),INDEX(DebtNames,GT78),IF(AND(GX78&lt;&gt;"",N(CHOOSE(GX78,FN78,FR78,FV78,FZ78,GD78,GH78,GL78,GP78))&gt;0.005),INDEX(DebtNames,GX78),IF(AND(HB78&lt;&gt;"",N(CHOOSE(HB78,FN78,FR78,FV78,FZ78,GD78,GH78,GL78,GP78))&gt;0.005),INDEX(DebtNames,HB78),IF(AND(HF78&lt;&gt;"",N(CHOOSE(HF78,FN78,FR78,FV78,FZ78,GD78,GH78,GL78,GP78))&gt;0.005),INDEX(DebtNames,HF78),IF(AND(HJ78&lt;&gt;"",N(CHOOSE(HJ78,FN78,FR78,FV78,FZ78,GD78,GH78,GL78,GP78))&gt;0.005),INDEX(DebtNames,HJ78),IF(AND(HN78&lt;&gt;"",N(CHOOSE(HN78,FN78,FR78,FV78,FZ78,GD78,GH78,GL78,GP78))&gt;0.005),INDEX(DebtNames,HN78),IF(AND(HR78&lt;&gt;"",N(CHOOSE(HR78,FN78,FR78,FV78,FZ78,GD78,GH78,GL78,GP78))&gt;0.005),INDEX(DebtNames,HR78),IF(AND(HV78&lt;&gt;"",N(CHOOSE(HV78,FN78,FR78,FV78,FZ78,GD78,GH78,GL78,GP78))&gt;0.005),INDEX(DebtNames,HV78),""))))))))</f>
        <v/>
      </c>
      <c r="FH78">
        <f>N(HY78)</f>
        <v/>
      </c>
      <c r="FI78">
        <f>N(FP78)+N(FT78)+N(FX78)+N(GB78)+N(GF78)+N(GJ78)+N(GN78)+N(GR78)</f>
        <v/>
      </c>
      <c r="FJ78">
        <f>N(FO78)+N(FS78)+N(FW78)+N(GA78)+N(GE78)+N(GI78)+N(GM78)+N(GQ78)</f>
        <v/>
      </c>
      <c r="FK78">
        <f>N(FK77)+N(FJ78)</f>
        <v/>
      </c>
      <c r="FL78">
        <f>N(FQ78)+N(FU78)+N(FY78)+N(GC78)+N(GG78)+N(GK78)+N(GO78)+N(GS78)</f>
        <v/>
      </c>
      <c r="FM78">
        <f>(FQ78&gt;0.005)*1+(FU78&gt;0.005)*1+(FY78&gt;0.005)*1+(GC78&gt;0.005)*1+(GG78&gt;0.005)*1+(GK78&gt;0.005)*1+(GO78&gt;0.005)*1+(GS78&gt;0.005)*1</f>
        <v/>
      </c>
      <c r="FN78">
        <f>N(FQ77)</f>
        <v/>
      </c>
      <c r="FO78">
        <f>IF(N(FN78)&lt;=0.005,0,ROUND(N(FN78)*N('Debt List'!E5)/12,2))</f>
        <v/>
      </c>
      <c r="FP78">
        <f>IF(N(FN78)&lt;=0.005,0,MIN(N('Debt List'!F5),N(FN78)+N(FO78)))+((GT78=1)*GV78+(GX78=1)*GZ78+(HB78=1)*HD78+(HF78=1)*HH78+(HJ78=1)*HL78+(HN78=1)*HP78+(HR78=1)*HT78+(HV78=1)*HX78)</f>
        <v/>
      </c>
      <c r="FQ78">
        <f>MAX(0,ROUND(N(FN78)+N(FO78)-N(FP78),2))</f>
        <v/>
      </c>
      <c r="FR78">
        <f>N(FU77)</f>
        <v/>
      </c>
      <c r="FS78">
        <f>IF(N(FR78)&lt;=0.005,0,ROUND(N(FR78)*N('Debt List'!E6)/12,2))</f>
        <v/>
      </c>
      <c r="FT78">
        <f>IF(N(FR78)&lt;=0.005,0,MIN(N('Debt List'!F6),N(FR78)+N(FS78)))+((GT78=2)*GV78+(GX78=2)*GZ78+(HB78=2)*HD78+(HF78=2)*HH78+(HJ78=2)*HL78+(HN78=2)*HP78+(HR78=2)*HT78+(HV78=2)*HX78)</f>
        <v/>
      </c>
      <c r="FU78">
        <f>MAX(0,ROUND(N(FR78)+N(FS78)-N(FT78),2))</f>
        <v/>
      </c>
      <c r="FV78">
        <f>N(FY77)</f>
        <v/>
      </c>
      <c r="FW78">
        <f>IF(N(FV78)&lt;=0.005,0,ROUND(N(FV78)*N('Debt List'!E7)/12,2))</f>
        <v/>
      </c>
      <c r="FX78">
        <f>IF(N(FV78)&lt;=0.005,0,MIN(N('Debt List'!F7),N(FV78)+N(FW78)))+((GT78=3)*GV78+(GX78=3)*GZ78+(HB78=3)*HD78+(HF78=3)*HH78+(HJ78=3)*HL78+(HN78=3)*HP78+(HR78=3)*HT78+(HV78=3)*HX78)</f>
        <v/>
      </c>
      <c r="FY78">
        <f>MAX(0,ROUND(N(FV78)+N(FW78)-N(FX78),2))</f>
        <v/>
      </c>
      <c r="FZ78">
        <f>N(GC77)</f>
        <v/>
      </c>
      <c r="GA78">
        <f>IF(N(FZ78)&lt;=0.005,0,ROUND(N(FZ78)*N('Debt List'!E8)/12,2))</f>
        <v/>
      </c>
      <c r="GB78">
        <f>IF(N(FZ78)&lt;=0.005,0,MIN(N('Debt List'!F8),N(FZ78)+N(GA78)))+((GT78=4)*GV78+(GX78=4)*GZ78+(HB78=4)*HD78+(HF78=4)*HH78+(HJ78=4)*HL78+(HN78=4)*HP78+(HR78=4)*HT78+(HV78=4)*HX78)</f>
        <v/>
      </c>
      <c r="GC78">
        <f>MAX(0,ROUND(N(FZ78)+N(GA78)-N(GB78),2))</f>
        <v/>
      </c>
      <c r="GD78">
        <f>N(GG77)</f>
        <v/>
      </c>
      <c r="GE78">
        <f>IF(N(GD78)&lt;=0.005,0,ROUND(N(GD78)*N('Debt List'!E9)/12,2))</f>
        <v/>
      </c>
      <c r="GF78">
        <f>IF(N(GD78)&lt;=0.005,0,MIN(N('Debt List'!F9),N(GD78)+N(GE78)))+((GT78=5)*GV78+(GX78=5)*GZ78+(HB78=5)*HD78+(HF78=5)*HH78+(HJ78=5)*HL78+(HN78=5)*HP78+(HR78=5)*HT78+(HV78=5)*HX78)</f>
        <v/>
      </c>
      <c r="GG78">
        <f>MAX(0,ROUND(N(GD78)+N(GE78)-N(GF78),2))</f>
        <v/>
      </c>
      <c r="GH78">
        <f>N(GK77)</f>
        <v/>
      </c>
      <c r="GI78">
        <f>IF(N(GH78)&lt;=0.005,0,ROUND(N(GH78)*N('Debt List'!E10)/12,2))</f>
        <v/>
      </c>
      <c r="GJ78">
        <f>IF(N(GH78)&lt;=0.005,0,MIN(N('Debt List'!F10),N(GH78)+N(GI78)))+((GT78=6)*GV78+(GX78=6)*GZ78+(HB78=6)*HD78+(HF78=6)*HH78+(HJ78=6)*HL78+(HN78=6)*HP78+(HR78=6)*HT78+(HV78=6)*HX78)</f>
        <v/>
      </c>
      <c r="GK78">
        <f>MAX(0,ROUND(N(GH78)+N(GI78)-N(GJ78),2))</f>
        <v/>
      </c>
      <c r="GL78">
        <f>N(GO77)</f>
        <v/>
      </c>
      <c r="GM78">
        <f>IF(N(GL78)&lt;=0.005,0,ROUND(N(GL78)*N('Debt List'!E11)/12,2))</f>
        <v/>
      </c>
      <c r="GN78">
        <f>IF(N(GL78)&lt;=0.005,0,MIN(N('Debt List'!F11),N(GL78)+N(GM78)))+((GT78=7)*GV78+(GX78=7)*GZ78+(HB78=7)*HD78+(HF78=7)*HH78+(HJ78=7)*HL78+(HN78=7)*HP78+(HR78=7)*HT78+(HV78=7)*HX78)</f>
        <v/>
      </c>
      <c r="GO78">
        <f>MAX(0,ROUND(N(GL78)+N(GM78)-N(GN78),2))</f>
        <v/>
      </c>
      <c r="GP78">
        <f>N(GS77)</f>
        <v/>
      </c>
      <c r="GQ78">
        <f>IF(N(GP78)&lt;=0.005,0,ROUND(N(GP78)*N('Debt List'!E12)/12,2))</f>
        <v/>
      </c>
      <c r="GR78">
        <f>IF(N(GP78)&lt;=0.005,0,MIN(N('Debt List'!F12),N(GP78)+N(GQ78)))+((GT78=8)*GV78+(GX78=8)*GZ78+(HB78=8)*HD78+(HF78=8)*HH78+(HJ78=8)*HL78+(HN78=8)*HP78+(HR78=8)*HT78+(HV78=8)*HX78)</f>
        <v/>
      </c>
      <c r="GS78">
        <f>MAX(0,ROUND(N(GP78)+N(GQ78)-N(GR78),2))</f>
        <v/>
      </c>
      <c r="GT78">
        <f>IFERROR(MATCH(1,OrderAval,0),"")</f>
        <v/>
      </c>
      <c r="GU78">
        <f>IF(GT78="",0,IFERROR(IF(N(CHOOSE(GT78,FN78,FR78,FV78,FZ78,GD78,GH78,GL78,GP78))&lt;=0.005,0,MAX(0,N(CHOOSE(GT78,FN78,FR78,FV78,FZ78,GD78,GH78,GL78,GP78))+N(CHOOSE(GT78,FO78,FS78,FW78,GA78,GE78,GI78,GM78,GQ78))-MIN(N(CHOOSE(GT78,'Debt List'!$F$5,'Debt List'!$F$6,'Debt List'!$F$7,'Debt List'!$F$8,'Debt List'!$F$9,'Debt List'!$F$10,'Debt List'!$F$11,'Debt List'!$F$12)),N(CHOOSE(GT78,FN78,FR78,FV78,FZ78,GD78,GH78,GL78,GP78))+N(CHOOSE(GT78,FO78,FS78,FW78,GA78,GE78,GI78,GM78,GQ78))))),0))</f>
        <v/>
      </c>
      <c r="GV78">
        <f>MIN(N(GU78),MAX(0,N(ExtraPayment)))</f>
        <v/>
      </c>
      <c r="GW78">
        <f>MAX(0,N(ExtraPayment)-N(GV78))</f>
        <v/>
      </c>
      <c r="GX78">
        <f>IFERROR(MATCH(2,OrderAval,0),"")</f>
        <v/>
      </c>
      <c r="GY78">
        <f>IF(GX78="",0,IFERROR(IF(N(CHOOSE(GX78,FN78,FR78,FV78,FZ78,GD78,GH78,GL78,GP78))&lt;=0.005,0,MAX(0,N(CHOOSE(GX78,FN78,FR78,FV78,FZ78,GD78,GH78,GL78,GP78))+N(CHOOSE(GX78,FO78,FS78,FW78,GA78,GE78,GI78,GM78,GQ78))-MIN(N(CHOOSE(GX78,'Debt List'!$F$5,'Debt List'!$F$6,'Debt List'!$F$7,'Debt List'!$F$8,'Debt List'!$F$9,'Debt List'!$F$10,'Debt List'!$F$11,'Debt List'!$F$12)),N(CHOOSE(GX78,FN78,FR78,FV78,FZ78,GD78,GH78,GL78,GP78))+N(CHOOSE(GX78,FO78,FS78,FW78,GA78,GE78,GI78,GM78,GQ78))))),0))</f>
        <v/>
      </c>
      <c r="GZ78">
        <f>MIN(N(GY78),MAX(0,N(GW78)))</f>
        <v/>
      </c>
      <c r="HA78">
        <f>MAX(0,N(GW78)-N(GZ78))</f>
        <v/>
      </c>
      <c r="HB78">
        <f>IFERROR(MATCH(3,OrderAval,0),"")</f>
        <v/>
      </c>
      <c r="HC78">
        <f>IF(HB78="",0,IFERROR(IF(N(CHOOSE(HB78,FN78,FR78,FV78,FZ78,GD78,GH78,GL78,GP78))&lt;=0.005,0,MAX(0,N(CHOOSE(HB78,FN78,FR78,FV78,FZ78,GD78,GH78,GL78,GP78))+N(CHOOSE(HB78,FO78,FS78,FW78,GA78,GE78,GI78,GM78,GQ78))-MIN(N(CHOOSE(HB78,'Debt List'!$F$5,'Debt List'!$F$6,'Debt List'!$F$7,'Debt List'!$F$8,'Debt List'!$F$9,'Debt List'!$F$10,'Debt List'!$F$11,'Debt List'!$F$12)),N(CHOOSE(HB78,FN78,FR78,FV78,FZ78,GD78,GH78,GL78,GP78))+N(CHOOSE(HB78,FO78,FS78,FW78,GA78,GE78,GI78,GM78,GQ78))))),0))</f>
        <v/>
      </c>
      <c r="HD78">
        <f>MIN(N(HC78),MAX(0,N(HA78)))</f>
        <v/>
      </c>
      <c r="HE78">
        <f>MAX(0,N(HA78)-N(HD78))</f>
        <v/>
      </c>
      <c r="HF78">
        <f>IFERROR(MATCH(4,OrderAval,0),"")</f>
        <v/>
      </c>
      <c r="HG78">
        <f>IF(HF78="",0,IFERROR(IF(N(CHOOSE(HF78,FN78,FR78,FV78,FZ78,GD78,GH78,GL78,GP78))&lt;=0.005,0,MAX(0,N(CHOOSE(HF78,FN78,FR78,FV78,FZ78,GD78,GH78,GL78,GP78))+N(CHOOSE(HF78,FO78,FS78,FW78,GA78,GE78,GI78,GM78,GQ78))-MIN(N(CHOOSE(HF78,'Debt List'!$F$5,'Debt List'!$F$6,'Debt List'!$F$7,'Debt List'!$F$8,'Debt List'!$F$9,'Debt List'!$F$10,'Debt List'!$F$11,'Debt List'!$F$12)),N(CHOOSE(HF78,FN78,FR78,FV78,FZ78,GD78,GH78,GL78,GP78))+N(CHOOSE(HF78,FO78,FS78,FW78,GA78,GE78,GI78,GM78,GQ78))))),0))</f>
        <v/>
      </c>
      <c r="HH78">
        <f>MIN(N(HG78),MAX(0,N(HE78)))</f>
        <v/>
      </c>
      <c r="HI78">
        <f>MAX(0,N(HE78)-N(HH78))</f>
        <v/>
      </c>
      <c r="HJ78">
        <f>IFERROR(MATCH(5,OrderAval,0),"")</f>
        <v/>
      </c>
      <c r="HK78">
        <f>IF(HJ78="",0,IFERROR(IF(N(CHOOSE(HJ78,FN78,FR78,FV78,FZ78,GD78,GH78,GL78,GP78))&lt;=0.005,0,MAX(0,N(CHOOSE(HJ78,FN78,FR78,FV78,FZ78,GD78,GH78,GL78,GP78))+N(CHOOSE(HJ78,FO78,FS78,FW78,GA78,GE78,GI78,GM78,GQ78))-MIN(N(CHOOSE(HJ78,'Debt List'!$F$5,'Debt List'!$F$6,'Debt List'!$F$7,'Debt List'!$F$8,'Debt List'!$F$9,'Debt List'!$F$10,'Debt List'!$F$11,'Debt List'!$F$12)),N(CHOOSE(HJ78,FN78,FR78,FV78,FZ78,GD78,GH78,GL78,GP78))+N(CHOOSE(HJ78,FO78,FS78,FW78,GA78,GE78,GI78,GM78,GQ78))))),0))</f>
        <v/>
      </c>
      <c r="HL78">
        <f>MIN(N(HK78),MAX(0,N(HI78)))</f>
        <v/>
      </c>
      <c r="HM78">
        <f>MAX(0,N(HI78)-N(HL78))</f>
        <v/>
      </c>
      <c r="HN78">
        <f>IFERROR(MATCH(6,OrderAval,0),"")</f>
        <v/>
      </c>
      <c r="HO78">
        <f>IF(HN78="",0,IFERROR(IF(N(CHOOSE(HN78,FN78,FR78,FV78,FZ78,GD78,GH78,GL78,GP78))&lt;=0.005,0,MAX(0,N(CHOOSE(HN78,FN78,FR78,FV78,FZ78,GD78,GH78,GL78,GP78))+N(CHOOSE(HN78,FO78,FS78,FW78,GA78,GE78,GI78,GM78,GQ78))-MIN(N(CHOOSE(HN78,'Debt List'!$F$5,'Debt List'!$F$6,'Debt List'!$F$7,'Debt List'!$F$8,'Debt List'!$F$9,'Debt List'!$F$10,'Debt List'!$F$11,'Debt List'!$F$12)),N(CHOOSE(HN78,FN78,FR78,FV78,FZ78,GD78,GH78,GL78,GP78))+N(CHOOSE(HN78,FO78,FS78,FW78,GA78,GE78,GI78,GM78,GQ78))))),0))</f>
        <v/>
      </c>
      <c r="HP78">
        <f>MIN(N(HO78),MAX(0,N(HM78)))</f>
        <v/>
      </c>
      <c r="HQ78">
        <f>MAX(0,N(HM78)-N(HP78))</f>
        <v/>
      </c>
      <c r="HR78">
        <f>IFERROR(MATCH(7,OrderAval,0),"")</f>
        <v/>
      </c>
      <c r="HS78">
        <f>IF(HR78="",0,IFERROR(IF(N(CHOOSE(HR78,FN78,FR78,FV78,FZ78,GD78,GH78,GL78,GP78))&lt;=0.005,0,MAX(0,N(CHOOSE(HR78,FN78,FR78,FV78,FZ78,GD78,GH78,GL78,GP78))+N(CHOOSE(HR78,FO78,FS78,FW78,GA78,GE78,GI78,GM78,GQ78))-MIN(N(CHOOSE(HR78,'Debt List'!$F$5,'Debt List'!$F$6,'Debt List'!$F$7,'Debt List'!$F$8,'Debt List'!$F$9,'Debt List'!$F$10,'Debt List'!$F$11,'Debt List'!$F$12)),N(CHOOSE(HR78,FN78,FR78,FV78,FZ78,GD78,GH78,GL78,GP78))+N(CHOOSE(HR78,FO78,FS78,FW78,GA78,GE78,GI78,GM78,GQ78))))),0))</f>
        <v/>
      </c>
      <c r="HT78">
        <f>MIN(N(HS78),MAX(0,N(HQ78)))</f>
        <v/>
      </c>
      <c r="HU78">
        <f>MAX(0,N(HQ78)-N(HT78))</f>
        <v/>
      </c>
      <c r="HV78">
        <f>IFERROR(MATCH(8,OrderAval,0),"")</f>
        <v/>
      </c>
      <c r="HW78">
        <f>IF(HV78="",0,IFERROR(IF(N(CHOOSE(HV78,FN78,FR78,FV78,FZ78,GD78,GH78,GL78,GP78))&lt;=0.005,0,MAX(0,N(CHOOSE(HV78,FN78,FR78,FV78,FZ78,GD78,GH78,GL78,GP78))+N(CHOOSE(HV78,FO78,FS78,FW78,GA78,GE78,GI78,GM78,GQ78))-MIN(N(CHOOSE(HV78,'Debt List'!$F$5,'Debt List'!$F$6,'Debt List'!$F$7,'Debt List'!$F$8,'Debt List'!$F$9,'Debt List'!$F$10,'Debt List'!$F$11,'Debt List'!$F$12)),N(CHOOSE(HV78,FN78,FR78,FV78,FZ78,GD78,GH78,GL78,GP78))+N(CHOOSE(HV78,FO78,FS78,FW78,GA78,GE78,GI78,GM78,GQ78))))),0))</f>
        <v/>
      </c>
      <c r="HX78">
        <f>MIN(N(HW78),MAX(0,N(HU78)))</f>
        <v/>
      </c>
      <c r="HY78">
        <f>MAX(0,N(HU78)-N(HX78))</f>
        <v/>
      </c>
    </row>
    <row r="79">
      <c r="A79" t="n">
        <v>75</v>
      </c>
      <c r="B79" s="115">
        <f>DATE(YEAR(PlanStart),MONTH(PlanStart)+A79-1,1)</f>
        <v/>
      </c>
      <c r="C79">
        <f>IF(AND(AP79&lt;&gt;"",N(CHOOSE(AP79,J79,N79,R79,V79,Z79,AD79,AH79,AL79))&gt;0.005),INDEX(DebtNames,AP79),IF(AND(AT79&lt;&gt;"",N(CHOOSE(AT79,J79,N79,R79,V79,Z79,AD79,AH79,AL79))&gt;0.005),INDEX(DebtNames,AT79),IF(AND(AX79&lt;&gt;"",N(CHOOSE(AX79,J79,N79,R79,V79,Z79,AD79,AH79,AL79))&gt;0.005),INDEX(DebtNames,AX79),IF(AND(BB79&lt;&gt;"",N(CHOOSE(BB79,J79,N79,R79,V79,Z79,AD79,AH79,AL79))&gt;0.005),INDEX(DebtNames,BB79),IF(AND(BF79&lt;&gt;"",N(CHOOSE(BF79,J79,N79,R79,V79,Z79,AD79,AH79,AL79))&gt;0.005),INDEX(DebtNames,BF79),IF(AND(BJ79&lt;&gt;"",N(CHOOSE(BJ79,J79,N79,R79,V79,Z79,AD79,AH79,AL79))&gt;0.005),INDEX(DebtNames,BJ79),IF(AND(BN79&lt;&gt;"",N(CHOOSE(BN79,J79,N79,R79,V79,Z79,AD79,AH79,AL79))&gt;0.005),INDEX(DebtNames,BN79),IF(AND(BR79&lt;&gt;"",N(CHOOSE(BR79,J79,N79,R79,V79,Z79,AD79,AH79,AL79))&gt;0.005),INDEX(DebtNames,BR79),""))))))))</f>
        <v/>
      </c>
      <c r="D79">
        <f>N(BU79)</f>
        <v/>
      </c>
      <c r="E79">
        <f>N(L79)+N(P79)+N(T79)+N(X79)+N(AB79)+N(AF79)+N(AJ79)+N(AN79)</f>
        <v/>
      </c>
      <c r="F79">
        <f>N(K79)+N(O79)+N(S79)+N(W79)+N(AA79)+N(AE79)+N(AI79)+N(AM79)</f>
        <v/>
      </c>
      <c r="G79">
        <f>N(G78)+N(F79)</f>
        <v/>
      </c>
      <c r="H79">
        <f>N(M79)+N(Q79)+N(U79)+N(Y79)+N(AC79)+N(AG79)+N(AK79)+N(AO79)</f>
        <v/>
      </c>
      <c r="I79">
        <f>(M79&gt;0.005)*1+(Q79&gt;0.005)*1+(U79&gt;0.005)*1+(Y79&gt;0.005)*1+(AC79&gt;0.005)*1+(AG79&gt;0.005)*1+(AK79&gt;0.005)*1+(AO79&gt;0.005)*1</f>
        <v/>
      </c>
      <c r="J79">
        <f>N(M78)</f>
        <v/>
      </c>
      <c r="K79">
        <f>IF(N(J79)&lt;=0.005,0,ROUND(N(J79)*N('Debt List'!E5)/12,2))</f>
        <v/>
      </c>
      <c r="L79">
        <f>IF(N(J79)&lt;=0.005,0,MIN(N('Debt List'!F5),N(J79)+N(K79)))+((AP79=1)*AR79+(AT79=1)*AV79+(AX79=1)*AZ79+(BB79=1)*BD79+(BF79=1)*BH79+(BJ79=1)*BL79+(BN79=1)*BP79+(BR79=1)*BT79)</f>
        <v/>
      </c>
      <c r="M79">
        <f>MAX(0,ROUND(N(J79)+N(K79)-N(L79),2))</f>
        <v/>
      </c>
      <c r="N79">
        <f>N(Q78)</f>
        <v/>
      </c>
      <c r="O79">
        <f>IF(N(N79)&lt;=0.005,0,ROUND(N(N79)*N('Debt List'!E6)/12,2))</f>
        <v/>
      </c>
      <c r="P79">
        <f>IF(N(N79)&lt;=0.005,0,MIN(N('Debt List'!F6),N(N79)+N(O79)))+((AP79=2)*AR79+(AT79=2)*AV79+(AX79=2)*AZ79+(BB79=2)*BD79+(BF79=2)*BH79+(BJ79=2)*BL79+(BN79=2)*BP79+(BR79=2)*BT79)</f>
        <v/>
      </c>
      <c r="Q79">
        <f>MAX(0,ROUND(N(N79)+N(O79)-N(P79),2))</f>
        <v/>
      </c>
      <c r="R79">
        <f>N(U78)</f>
        <v/>
      </c>
      <c r="S79">
        <f>IF(N(R79)&lt;=0.005,0,ROUND(N(R79)*N('Debt List'!E7)/12,2))</f>
        <v/>
      </c>
      <c r="T79">
        <f>IF(N(R79)&lt;=0.005,0,MIN(N('Debt List'!F7),N(R79)+N(S79)))+((AP79=3)*AR79+(AT79=3)*AV79+(AX79=3)*AZ79+(BB79=3)*BD79+(BF79=3)*BH79+(BJ79=3)*BL79+(BN79=3)*BP79+(BR79=3)*BT79)</f>
        <v/>
      </c>
      <c r="U79">
        <f>MAX(0,ROUND(N(R79)+N(S79)-N(T79),2))</f>
        <v/>
      </c>
      <c r="V79">
        <f>N(Y78)</f>
        <v/>
      </c>
      <c r="W79">
        <f>IF(N(V79)&lt;=0.005,0,ROUND(N(V79)*N('Debt List'!E8)/12,2))</f>
        <v/>
      </c>
      <c r="X79">
        <f>IF(N(V79)&lt;=0.005,0,MIN(N('Debt List'!F8),N(V79)+N(W79)))+((AP79=4)*AR79+(AT79=4)*AV79+(AX79=4)*AZ79+(BB79=4)*BD79+(BF79=4)*BH79+(BJ79=4)*BL79+(BN79=4)*BP79+(BR79=4)*BT79)</f>
        <v/>
      </c>
      <c r="Y79">
        <f>MAX(0,ROUND(N(V79)+N(W79)-N(X79),2))</f>
        <v/>
      </c>
      <c r="Z79">
        <f>N(AC78)</f>
        <v/>
      </c>
      <c r="AA79">
        <f>IF(N(Z79)&lt;=0.005,0,ROUND(N(Z79)*N('Debt List'!E9)/12,2))</f>
        <v/>
      </c>
      <c r="AB79">
        <f>IF(N(Z79)&lt;=0.005,0,MIN(N('Debt List'!F9),N(Z79)+N(AA79)))+((AP79=5)*AR79+(AT79=5)*AV79+(AX79=5)*AZ79+(BB79=5)*BD79+(BF79=5)*BH79+(BJ79=5)*BL79+(BN79=5)*BP79+(BR79=5)*BT79)</f>
        <v/>
      </c>
      <c r="AC79">
        <f>MAX(0,ROUND(N(Z79)+N(AA79)-N(AB79),2))</f>
        <v/>
      </c>
      <c r="AD79">
        <f>N(AG78)</f>
        <v/>
      </c>
      <c r="AE79">
        <f>IF(N(AD79)&lt;=0.005,0,ROUND(N(AD79)*N('Debt List'!E10)/12,2))</f>
        <v/>
      </c>
      <c r="AF79">
        <f>IF(N(AD79)&lt;=0.005,0,MIN(N('Debt List'!F10),N(AD79)+N(AE79)))+((AP79=6)*AR79+(AT79=6)*AV79+(AX79=6)*AZ79+(BB79=6)*BD79+(BF79=6)*BH79+(BJ79=6)*BL79+(BN79=6)*BP79+(BR79=6)*BT79)</f>
        <v/>
      </c>
      <c r="AG79">
        <f>MAX(0,ROUND(N(AD79)+N(AE79)-N(AF79),2))</f>
        <v/>
      </c>
      <c r="AH79">
        <f>N(AK78)</f>
        <v/>
      </c>
      <c r="AI79">
        <f>IF(N(AH79)&lt;=0.005,0,ROUND(N(AH79)*N('Debt List'!E11)/12,2))</f>
        <v/>
      </c>
      <c r="AJ79">
        <f>IF(N(AH79)&lt;=0.005,0,MIN(N('Debt List'!F11),N(AH79)+N(AI79)))+((AP79=7)*AR79+(AT79=7)*AV79+(AX79=7)*AZ79+(BB79=7)*BD79+(BF79=7)*BH79+(BJ79=7)*BL79+(BN79=7)*BP79+(BR79=7)*BT79)</f>
        <v/>
      </c>
      <c r="AK79">
        <f>MAX(0,ROUND(N(AH79)+N(AI79)-N(AJ79),2))</f>
        <v/>
      </c>
      <c r="AL79">
        <f>N(AO78)</f>
        <v/>
      </c>
      <c r="AM79">
        <f>IF(N(AL79)&lt;=0.005,0,ROUND(N(AL79)*N('Debt List'!E12)/12,2))</f>
        <v/>
      </c>
      <c r="AN79">
        <f>IF(N(AL79)&lt;=0.005,0,MIN(N('Debt List'!F12),N(AL79)+N(AM79)))+((AP79=8)*AR79+(AT79=8)*AV79+(AX79=8)*AZ79+(BB79=8)*BD79+(BF79=8)*BH79+(BJ79=8)*BL79+(BN79=8)*BP79+(BR79=8)*BT79)</f>
        <v/>
      </c>
      <c r="AO79">
        <f>MAX(0,ROUND(N(AL79)+N(AM79)-N(AN79),2))</f>
        <v/>
      </c>
      <c r="AP79">
        <f>IFERROR(MATCH(1,OrderPlan,0),"")</f>
        <v/>
      </c>
      <c r="AQ79">
        <f>IF(AP79="",0,IFERROR(IF(N(CHOOSE(AP79,J79,N79,R79,V79,Z79,AD79,AH79,AL79))&lt;=0.005,0,MAX(0,N(CHOOSE(AP79,J79,N79,R79,V79,Z79,AD79,AH79,AL79))+N(CHOOSE(AP79,K79,O79,S79,W79,AA79,AE79,AI79,AM79))-MIN(N(CHOOSE(AP79,'Debt List'!$F$5,'Debt List'!$F$6,'Debt List'!$F$7,'Debt List'!$F$8,'Debt List'!$F$9,'Debt List'!$F$10,'Debt List'!$F$11,'Debt List'!$F$12)),N(CHOOSE(AP79,J79,N79,R79,V79,Z79,AD79,AH79,AL79))+N(CHOOSE(AP79,K79,O79,S79,W79,AA79,AE79,AI79,AM79))))),0))</f>
        <v/>
      </c>
      <c r="AR79">
        <f>MIN(N(AQ79),MAX(0,N(ExtraPayment)))</f>
        <v/>
      </c>
      <c r="AS79">
        <f>MAX(0,N(ExtraPayment)-N(AR79))</f>
        <v/>
      </c>
      <c r="AT79">
        <f>IFERROR(MATCH(2,OrderPlan,0),"")</f>
        <v/>
      </c>
      <c r="AU79">
        <f>IF(AT79="",0,IFERROR(IF(N(CHOOSE(AT79,J79,N79,R79,V79,Z79,AD79,AH79,AL79))&lt;=0.005,0,MAX(0,N(CHOOSE(AT79,J79,N79,R79,V79,Z79,AD79,AH79,AL79))+N(CHOOSE(AT79,K79,O79,S79,W79,AA79,AE79,AI79,AM79))-MIN(N(CHOOSE(AT79,'Debt List'!$F$5,'Debt List'!$F$6,'Debt List'!$F$7,'Debt List'!$F$8,'Debt List'!$F$9,'Debt List'!$F$10,'Debt List'!$F$11,'Debt List'!$F$12)),N(CHOOSE(AT79,J79,N79,R79,V79,Z79,AD79,AH79,AL79))+N(CHOOSE(AT79,K79,O79,S79,W79,AA79,AE79,AI79,AM79))))),0))</f>
        <v/>
      </c>
      <c r="AV79">
        <f>MIN(N(AU79),MAX(0,N(AS79)))</f>
        <v/>
      </c>
      <c r="AW79">
        <f>MAX(0,N(AS79)-N(AV79))</f>
        <v/>
      </c>
      <c r="AX79">
        <f>IFERROR(MATCH(3,OrderPlan,0),"")</f>
        <v/>
      </c>
      <c r="AY79">
        <f>IF(AX79="",0,IFERROR(IF(N(CHOOSE(AX79,J79,N79,R79,V79,Z79,AD79,AH79,AL79))&lt;=0.005,0,MAX(0,N(CHOOSE(AX79,J79,N79,R79,V79,Z79,AD79,AH79,AL79))+N(CHOOSE(AX79,K79,O79,S79,W79,AA79,AE79,AI79,AM79))-MIN(N(CHOOSE(AX79,'Debt List'!$F$5,'Debt List'!$F$6,'Debt List'!$F$7,'Debt List'!$F$8,'Debt List'!$F$9,'Debt List'!$F$10,'Debt List'!$F$11,'Debt List'!$F$12)),N(CHOOSE(AX79,J79,N79,R79,V79,Z79,AD79,AH79,AL79))+N(CHOOSE(AX79,K79,O79,S79,W79,AA79,AE79,AI79,AM79))))),0))</f>
        <v/>
      </c>
      <c r="AZ79">
        <f>MIN(N(AY79),MAX(0,N(AW79)))</f>
        <v/>
      </c>
      <c r="BA79">
        <f>MAX(0,N(AW79)-N(AZ79))</f>
        <v/>
      </c>
      <c r="BB79">
        <f>IFERROR(MATCH(4,OrderPlan,0),"")</f>
        <v/>
      </c>
      <c r="BC79">
        <f>IF(BB79="",0,IFERROR(IF(N(CHOOSE(BB79,J79,N79,R79,V79,Z79,AD79,AH79,AL79))&lt;=0.005,0,MAX(0,N(CHOOSE(BB79,J79,N79,R79,V79,Z79,AD79,AH79,AL79))+N(CHOOSE(BB79,K79,O79,S79,W79,AA79,AE79,AI79,AM79))-MIN(N(CHOOSE(BB79,'Debt List'!$F$5,'Debt List'!$F$6,'Debt List'!$F$7,'Debt List'!$F$8,'Debt List'!$F$9,'Debt List'!$F$10,'Debt List'!$F$11,'Debt List'!$F$12)),N(CHOOSE(BB79,J79,N79,R79,V79,Z79,AD79,AH79,AL79))+N(CHOOSE(BB79,K79,O79,S79,W79,AA79,AE79,AI79,AM79))))),0))</f>
        <v/>
      </c>
      <c r="BD79">
        <f>MIN(N(BC79),MAX(0,N(BA79)))</f>
        <v/>
      </c>
      <c r="BE79">
        <f>MAX(0,N(BA79)-N(BD79))</f>
        <v/>
      </c>
      <c r="BF79">
        <f>IFERROR(MATCH(5,OrderPlan,0),"")</f>
        <v/>
      </c>
      <c r="BG79">
        <f>IF(BF79="",0,IFERROR(IF(N(CHOOSE(BF79,J79,N79,R79,V79,Z79,AD79,AH79,AL79))&lt;=0.005,0,MAX(0,N(CHOOSE(BF79,J79,N79,R79,V79,Z79,AD79,AH79,AL79))+N(CHOOSE(BF79,K79,O79,S79,W79,AA79,AE79,AI79,AM79))-MIN(N(CHOOSE(BF79,'Debt List'!$F$5,'Debt List'!$F$6,'Debt List'!$F$7,'Debt List'!$F$8,'Debt List'!$F$9,'Debt List'!$F$10,'Debt List'!$F$11,'Debt List'!$F$12)),N(CHOOSE(BF79,J79,N79,R79,V79,Z79,AD79,AH79,AL79))+N(CHOOSE(BF79,K79,O79,S79,W79,AA79,AE79,AI79,AM79))))),0))</f>
        <v/>
      </c>
      <c r="BH79">
        <f>MIN(N(BG79),MAX(0,N(BE79)))</f>
        <v/>
      </c>
      <c r="BI79">
        <f>MAX(0,N(BE79)-N(BH79))</f>
        <v/>
      </c>
      <c r="BJ79">
        <f>IFERROR(MATCH(6,OrderPlan,0),"")</f>
        <v/>
      </c>
      <c r="BK79">
        <f>IF(BJ79="",0,IFERROR(IF(N(CHOOSE(BJ79,J79,N79,R79,V79,Z79,AD79,AH79,AL79))&lt;=0.005,0,MAX(0,N(CHOOSE(BJ79,J79,N79,R79,V79,Z79,AD79,AH79,AL79))+N(CHOOSE(BJ79,K79,O79,S79,W79,AA79,AE79,AI79,AM79))-MIN(N(CHOOSE(BJ79,'Debt List'!$F$5,'Debt List'!$F$6,'Debt List'!$F$7,'Debt List'!$F$8,'Debt List'!$F$9,'Debt List'!$F$10,'Debt List'!$F$11,'Debt List'!$F$12)),N(CHOOSE(BJ79,J79,N79,R79,V79,Z79,AD79,AH79,AL79))+N(CHOOSE(BJ79,K79,O79,S79,W79,AA79,AE79,AI79,AM79))))),0))</f>
        <v/>
      </c>
      <c r="BL79">
        <f>MIN(N(BK79),MAX(0,N(BI79)))</f>
        <v/>
      </c>
      <c r="BM79">
        <f>MAX(0,N(BI79)-N(BL79))</f>
        <v/>
      </c>
      <c r="BN79">
        <f>IFERROR(MATCH(7,OrderPlan,0),"")</f>
        <v/>
      </c>
      <c r="BO79">
        <f>IF(BN79="",0,IFERROR(IF(N(CHOOSE(BN79,J79,N79,R79,V79,Z79,AD79,AH79,AL79))&lt;=0.005,0,MAX(0,N(CHOOSE(BN79,J79,N79,R79,V79,Z79,AD79,AH79,AL79))+N(CHOOSE(BN79,K79,O79,S79,W79,AA79,AE79,AI79,AM79))-MIN(N(CHOOSE(BN79,'Debt List'!$F$5,'Debt List'!$F$6,'Debt List'!$F$7,'Debt List'!$F$8,'Debt List'!$F$9,'Debt List'!$F$10,'Debt List'!$F$11,'Debt List'!$F$12)),N(CHOOSE(BN79,J79,N79,R79,V79,Z79,AD79,AH79,AL79))+N(CHOOSE(BN79,K79,O79,S79,W79,AA79,AE79,AI79,AM79))))),0))</f>
        <v/>
      </c>
      <c r="BP79">
        <f>MIN(N(BO79),MAX(0,N(BM79)))</f>
        <v/>
      </c>
      <c r="BQ79">
        <f>MAX(0,N(BM79)-N(BP79))</f>
        <v/>
      </c>
      <c r="BR79">
        <f>IFERROR(MATCH(8,OrderPlan,0),"")</f>
        <v/>
      </c>
      <c r="BS79">
        <f>IF(BR79="",0,IFERROR(IF(N(CHOOSE(BR79,J79,N79,R79,V79,Z79,AD79,AH79,AL79))&lt;=0.005,0,MAX(0,N(CHOOSE(BR79,J79,N79,R79,V79,Z79,AD79,AH79,AL79))+N(CHOOSE(BR79,K79,O79,S79,W79,AA79,AE79,AI79,AM79))-MIN(N(CHOOSE(BR79,'Debt List'!$F$5,'Debt List'!$F$6,'Debt List'!$F$7,'Debt List'!$F$8,'Debt List'!$F$9,'Debt List'!$F$10,'Debt List'!$F$11,'Debt List'!$F$12)),N(CHOOSE(BR79,J79,N79,R79,V79,Z79,AD79,AH79,AL79))+N(CHOOSE(BR79,K79,O79,S79,W79,AA79,AE79,AI79,AM79))))),0))</f>
        <v/>
      </c>
      <c r="BT79">
        <f>MIN(N(BS79),MAX(0,N(BQ79)))</f>
        <v/>
      </c>
      <c r="BU79">
        <f>MAX(0,N(BQ79)-N(BT79))</f>
        <v/>
      </c>
      <c r="CC79" t="n">
        <v>75</v>
      </c>
      <c r="CD79" s="115">
        <f>DATE(YEAR(PlanStart),MONTH(PlanStart)+CC79-1,1)</f>
        <v/>
      </c>
      <c r="CE79">
        <f>IF(AND(DR79&lt;&gt;"",N(CHOOSE(DR79,CL79,CP79,CT79,CX79,DB79,DF79,DJ79,DN79))&gt;0.005),INDEX(DebtNames,DR79),IF(AND(DV79&lt;&gt;"",N(CHOOSE(DV79,CL79,CP79,CT79,CX79,DB79,DF79,DJ79,DN79))&gt;0.005),INDEX(DebtNames,DV79),IF(AND(DZ79&lt;&gt;"",N(CHOOSE(DZ79,CL79,CP79,CT79,CX79,DB79,DF79,DJ79,DN79))&gt;0.005),INDEX(DebtNames,DZ79),IF(AND(ED79&lt;&gt;"",N(CHOOSE(ED79,CL79,CP79,CT79,CX79,DB79,DF79,DJ79,DN79))&gt;0.005),INDEX(DebtNames,ED79),IF(AND(EH79&lt;&gt;"",N(CHOOSE(EH79,CL79,CP79,CT79,CX79,DB79,DF79,DJ79,DN79))&gt;0.005),INDEX(DebtNames,EH79),IF(AND(EL79&lt;&gt;"",N(CHOOSE(EL79,CL79,CP79,CT79,CX79,DB79,DF79,DJ79,DN79))&gt;0.005),INDEX(DebtNames,EL79),IF(AND(EP79&lt;&gt;"",N(CHOOSE(EP79,CL79,CP79,CT79,CX79,DB79,DF79,DJ79,DN79))&gt;0.005),INDEX(DebtNames,EP79),IF(AND(ET79&lt;&gt;"",N(CHOOSE(ET79,CL79,CP79,CT79,CX79,DB79,DF79,DJ79,DN79))&gt;0.005),INDEX(DebtNames,ET79),""))))))))</f>
        <v/>
      </c>
      <c r="CF79">
        <f>N(EW79)</f>
        <v/>
      </c>
      <c r="CG79">
        <f>N(CN79)+N(CR79)+N(CV79)+N(CZ79)+N(DD79)+N(DH79)+N(DL79)+N(DP79)</f>
        <v/>
      </c>
      <c r="CH79">
        <f>N(CM79)+N(CQ79)+N(CU79)+N(CY79)+N(DC79)+N(DG79)+N(DK79)+N(DO79)</f>
        <v/>
      </c>
      <c r="CI79">
        <f>N(CI78)+N(CH79)</f>
        <v/>
      </c>
      <c r="CJ79">
        <f>N(CO79)+N(CS79)+N(CW79)+N(DA79)+N(DE79)+N(DI79)+N(DM79)+N(DQ79)</f>
        <v/>
      </c>
      <c r="CK79">
        <f>(CO79&gt;0.005)*1+(CS79&gt;0.005)*1+(CW79&gt;0.005)*1+(DA79&gt;0.005)*1+(DE79&gt;0.005)*1+(DI79&gt;0.005)*1+(DM79&gt;0.005)*1+(DQ79&gt;0.005)*1</f>
        <v/>
      </c>
      <c r="CL79">
        <f>N(CO78)</f>
        <v/>
      </c>
      <c r="CM79">
        <f>IF(N(CL79)&lt;=0.005,0,ROUND(N(CL79)*N('Debt List'!E5)/12,2))</f>
        <v/>
      </c>
      <c r="CN79">
        <f>IF(N(CL79)&lt;=0.005,0,MIN(N('Debt List'!F5),N(CL79)+N(CM79)))+((DR79=1)*DT79+(DV79=1)*DX79+(DZ79=1)*EB79+(ED79=1)*EF79+(EH79=1)*EJ79+(EL79=1)*EN79+(EP79=1)*ER79+(ET79=1)*EV79)</f>
        <v/>
      </c>
      <c r="CO79">
        <f>MAX(0,ROUND(N(CL79)+N(CM79)-N(CN79),2))</f>
        <v/>
      </c>
      <c r="CP79">
        <f>N(CS78)</f>
        <v/>
      </c>
      <c r="CQ79">
        <f>IF(N(CP79)&lt;=0.005,0,ROUND(N(CP79)*N('Debt List'!E6)/12,2))</f>
        <v/>
      </c>
      <c r="CR79">
        <f>IF(N(CP79)&lt;=0.005,0,MIN(N('Debt List'!F6),N(CP79)+N(CQ79)))+((DR79=2)*DT79+(DV79=2)*DX79+(DZ79=2)*EB79+(ED79=2)*EF79+(EH79=2)*EJ79+(EL79=2)*EN79+(EP79=2)*ER79+(ET79=2)*EV79)</f>
        <v/>
      </c>
      <c r="CS79">
        <f>MAX(0,ROUND(N(CP79)+N(CQ79)-N(CR79),2))</f>
        <v/>
      </c>
      <c r="CT79">
        <f>N(CW78)</f>
        <v/>
      </c>
      <c r="CU79">
        <f>IF(N(CT79)&lt;=0.005,0,ROUND(N(CT79)*N('Debt List'!E7)/12,2))</f>
        <v/>
      </c>
      <c r="CV79">
        <f>IF(N(CT79)&lt;=0.005,0,MIN(N('Debt List'!F7),N(CT79)+N(CU79)))+((DR79=3)*DT79+(DV79=3)*DX79+(DZ79=3)*EB79+(ED79=3)*EF79+(EH79=3)*EJ79+(EL79=3)*EN79+(EP79=3)*ER79+(ET79=3)*EV79)</f>
        <v/>
      </c>
      <c r="CW79">
        <f>MAX(0,ROUND(N(CT79)+N(CU79)-N(CV79),2))</f>
        <v/>
      </c>
      <c r="CX79">
        <f>N(DA78)</f>
        <v/>
      </c>
      <c r="CY79">
        <f>IF(N(CX79)&lt;=0.005,0,ROUND(N(CX79)*N('Debt List'!E8)/12,2))</f>
        <v/>
      </c>
      <c r="CZ79">
        <f>IF(N(CX79)&lt;=0.005,0,MIN(N('Debt List'!F8),N(CX79)+N(CY79)))+((DR79=4)*DT79+(DV79=4)*DX79+(DZ79=4)*EB79+(ED79=4)*EF79+(EH79=4)*EJ79+(EL79=4)*EN79+(EP79=4)*ER79+(ET79=4)*EV79)</f>
        <v/>
      </c>
      <c r="DA79">
        <f>MAX(0,ROUND(N(CX79)+N(CY79)-N(CZ79),2))</f>
        <v/>
      </c>
      <c r="DB79">
        <f>N(DE78)</f>
        <v/>
      </c>
      <c r="DC79">
        <f>IF(N(DB79)&lt;=0.005,0,ROUND(N(DB79)*N('Debt List'!E9)/12,2))</f>
        <v/>
      </c>
      <c r="DD79">
        <f>IF(N(DB79)&lt;=0.005,0,MIN(N('Debt List'!F9),N(DB79)+N(DC79)))+((DR79=5)*DT79+(DV79=5)*DX79+(DZ79=5)*EB79+(ED79=5)*EF79+(EH79=5)*EJ79+(EL79=5)*EN79+(EP79=5)*ER79+(ET79=5)*EV79)</f>
        <v/>
      </c>
      <c r="DE79">
        <f>MAX(0,ROUND(N(DB79)+N(DC79)-N(DD79),2))</f>
        <v/>
      </c>
      <c r="DF79">
        <f>N(DI78)</f>
        <v/>
      </c>
      <c r="DG79">
        <f>IF(N(DF79)&lt;=0.005,0,ROUND(N(DF79)*N('Debt List'!E10)/12,2))</f>
        <v/>
      </c>
      <c r="DH79">
        <f>IF(N(DF79)&lt;=0.005,0,MIN(N('Debt List'!F10),N(DF79)+N(DG79)))+((DR79=6)*DT79+(DV79=6)*DX79+(DZ79=6)*EB79+(ED79=6)*EF79+(EH79=6)*EJ79+(EL79=6)*EN79+(EP79=6)*ER79+(ET79=6)*EV79)</f>
        <v/>
      </c>
      <c r="DI79">
        <f>MAX(0,ROUND(N(DF79)+N(DG79)-N(DH79),2))</f>
        <v/>
      </c>
      <c r="DJ79">
        <f>N(DM78)</f>
        <v/>
      </c>
      <c r="DK79">
        <f>IF(N(DJ79)&lt;=0.005,0,ROUND(N(DJ79)*N('Debt List'!E11)/12,2))</f>
        <v/>
      </c>
      <c r="DL79">
        <f>IF(N(DJ79)&lt;=0.005,0,MIN(N('Debt List'!F11),N(DJ79)+N(DK79)))+((DR79=7)*DT79+(DV79=7)*DX79+(DZ79=7)*EB79+(ED79=7)*EF79+(EH79=7)*EJ79+(EL79=7)*EN79+(EP79=7)*ER79+(ET79=7)*EV79)</f>
        <v/>
      </c>
      <c r="DM79">
        <f>MAX(0,ROUND(N(DJ79)+N(DK79)-N(DL79),2))</f>
        <v/>
      </c>
      <c r="DN79">
        <f>N(DQ78)</f>
        <v/>
      </c>
      <c r="DO79">
        <f>IF(N(DN79)&lt;=0.005,0,ROUND(N(DN79)*N('Debt List'!E12)/12,2))</f>
        <v/>
      </c>
      <c r="DP79">
        <f>IF(N(DN79)&lt;=0.005,0,MIN(N('Debt List'!F12),N(DN79)+N(DO79)))+((DR79=8)*DT79+(DV79=8)*DX79+(DZ79=8)*EB79+(ED79=8)*EF79+(EH79=8)*EJ79+(EL79=8)*EN79+(EP79=8)*ER79+(ET79=8)*EV79)</f>
        <v/>
      </c>
      <c r="DQ79">
        <f>MAX(0,ROUND(N(DN79)+N(DO79)-N(DP79),2))</f>
        <v/>
      </c>
      <c r="DR79">
        <f>IFERROR(MATCH(1,OrderSnow,0),"")</f>
        <v/>
      </c>
      <c r="DS79">
        <f>IF(DR79="",0,IFERROR(IF(N(CHOOSE(DR79,CL79,CP79,CT79,CX79,DB79,DF79,DJ79,DN79))&lt;=0.005,0,MAX(0,N(CHOOSE(DR79,CL79,CP79,CT79,CX79,DB79,DF79,DJ79,DN79))+N(CHOOSE(DR79,CM79,CQ79,CU79,CY79,DC79,DG79,DK79,DO79))-MIN(N(CHOOSE(DR79,'Debt List'!$F$5,'Debt List'!$F$6,'Debt List'!$F$7,'Debt List'!$F$8,'Debt List'!$F$9,'Debt List'!$F$10,'Debt List'!$F$11,'Debt List'!$F$12)),N(CHOOSE(DR79,CL79,CP79,CT79,CX79,DB79,DF79,DJ79,DN79))+N(CHOOSE(DR79,CM79,CQ79,CU79,CY79,DC79,DG79,DK79,DO79))))),0))</f>
        <v/>
      </c>
      <c r="DT79">
        <f>MIN(N(DS79),MAX(0,N(ExtraPayment)))</f>
        <v/>
      </c>
      <c r="DU79">
        <f>MAX(0,N(ExtraPayment)-N(DT79))</f>
        <v/>
      </c>
      <c r="DV79">
        <f>IFERROR(MATCH(2,OrderSnow,0),"")</f>
        <v/>
      </c>
      <c r="DW79">
        <f>IF(DV79="",0,IFERROR(IF(N(CHOOSE(DV79,CL79,CP79,CT79,CX79,DB79,DF79,DJ79,DN79))&lt;=0.005,0,MAX(0,N(CHOOSE(DV79,CL79,CP79,CT79,CX79,DB79,DF79,DJ79,DN79))+N(CHOOSE(DV79,CM79,CQ79,CU79,CY79,DC79,DG79,DK79,DO79))-MIN(N(CHOOSE(DV79,'Debt List'!$F$5,'Debt List'!$F$6,'Debt List'!$F$7,'Debt List'!$F$8,'Debt List'!$F$9,'Debt List'!$F$10,'Debt List'!$F$11,'Debt List'!$F$12)),N(CHOOSE(DV79,CL79,CP79,CT79,CX79,DB79,DF79,DJ79,DN79))+N(CHOOSE(DV79,CM79,CQ79,CU79,CY79,DC79,DG79,DK79,DO79))))),0))</f>
        <v/>
      </c>
      <c r="DX79">
        <f>MIN(N(DW79),MAX(0,N(DU79)))</f>
        <v/>
      </c>
      <c r="DY79">
        <f>MAX(0,N(DU79)-N(DX79))</f>
        <v/>
      </c>
      <c r="DZ79">
        <f>IFERROR(MATCH(3,OrderSnow,0),"")</f>
        <v/>
      </c>
      <c r="EA79">
        <f>IF(DZ79="",0,IFERROR(IF(N(CHOOSE(DZ79,CL79,CP79,CT79,CX79,DB79,DF79,DJ79,DN79))&lt;=0.005,0,MAX(0,N(CHOOSE(DZ79,CL79,CP79,CT79,CX79,DB79,DF79,DJ79,DN79))+N(CHOOSE(DZ79,CM79,CQ79,CU79,CY79,DC79,DG79,DK79,DO79))-MIN(N(CHOOSE(DZ79,'Debt List'!$F$5,'Debt List'!$F$6,'Debt List'!$F$7,'Debt List'!$F$8,'Debt List'!$F$9,'Debt List'!$F$10,'Debt List'!$F$11,'Debt List'!$F$12)),N(CHOOSE(DZ79,CL79,CP79,CT79,CX79,DB79,DF79,DJ79,DN79))+N(CHOOSE(DZ79,CM79,CQ79,CU79,CY79,DC79,DG79,DK79,DO79))))),0))</f>
        <v/>
      </c>
      <c r="EB79">
        <f>MIN(N(EA79),MAX(0,N(DY79)))</f>
        <v/>
      </c>
      <c r="EC79">
        <f>MAX(0,N(DY79)-N(EB79))</f>
        <v/>
      </c>
      <c r="ED79">
        <f>IFERROR(MATCH(4,OrderSnow,0),"")</f>
        <v/>
      </c>
      <c r="EE79">
        <f>IF(ED79="",0,IFERROR(IF(N(CHOOSE(ED79,CL79,CP79,CT79,CX79,DB79,DF79,DJ79,DN79))&lt;=0.005,0,MAX(0,N(CHOOSE(ED79,CL79,CP79,CT79,CX79,DB79,DF79,DJ79,DN79))+N(CHOOSE(ED79,CM79,CQ79,CU79,CY79,DC79,DG79,DK79,DO79))-MIN(N(CHOOSE(ED79,'Debt List'!$F$5,'Debt List'!$F$6,'Debt List'!$F$7,'Debt List'!$F$8,'Debt List'!$F$9,'Debt List'!$F$10,'Debt List'!$F$11,'Debt List'!$F$12)),N(CHOOSE(ED79,CL79,CP79,CT79,CX79,DB79,DF79,DJ79,DN79))+N(CHOOSE(ED79,CM79,CQ79,CU79,CY79,DC79,DG79,DK79,DO79))))),0))</f>
        <v/>
      </c>
      <c r="EF79">
        <f>MIN(N(EE79),MAX(0,N(EC79)))</f>
        <v/>
      </c>
      <c r="EG79">
        <f>MAX(0,N(EC79)-N(EF79))</f>
        <v/>
      </c>
      <c r="EH79">
        <f>IFERROR(MATCH(5,OrderSnow,0),"")</f>
        <v/>
      </c>
      <c r="EI79">
        <f>IF(EH79="",0,IFERROR(IF(N(CHOOSE(EH79,CL79,CP79,CT79,CX79,DB79,DF79,DJ79,DN79))&lt;=0.005,0,MAX(0,N(CHOOSE(EH79,CL79,CP79,CT79,CX79,DB79,DF79,DJ79,DN79))+N(CHOOSE(EH79,CM79,CQ79,CU79,CY79,DC79,DG79,DK79,DO79))-MIN(N(CHOOSE(EH79,'Debt List'!$F$5,'Debt List'!$F$6,'Debt List'!$F$7,'Debt List'!$F$8,'Debt List'!$F$9,'Debt List'!$F$10,'Debt List'!$F$11,'Debt List'!$F$12)),N(CHOOSE(EH79,CL79,CP79,CT79,CX79,DB79,DF79,DJ79,DN79))+N(CHOOSE(EH79,CM79,CQ79,CU79,CY79,DC79,DG79,DK79,DO79))))),0))</f>
        <v/>
      </c>
      <c r="EJ79">
        <f>MIN(N(EI79),MAX(0,N(EG79)))</f>
        <v/>
      </c>
      <c r="EK79">
        <f>MAX(0,N(EG79)-N(EJ79))</f>
        <v/>
      </c>
      <c r="EL79">
        <f>IFERROR(MATCH(6,OrderSnow,0),"")</f>
        <v/>
      </c>
      <c r="EM79">
        <f>IF(EL79="",0,IFERROR(IF(N(CHOOSE(EL79,CL79,CP79,CT79,CX79,DB79,DF79,DJ79,DN79))&lt;=0.005,0,MAX(0,N(CHOOSE(EL79,CL79,CP79,CT79,CX79,DB79,DF79,DJ79,DN79))+N(CHOOSE(EL79,CM79,CQ79,CU79,CY79,DC79,DG79,DK79,DO79))-MIN(N(CHOOSE(EL79,'Debt List'!$F$5,'Debt List'!$F$6,'Debt List'!$F$7,'Debt List'!$F$8,'Debt List'!$F$9,'Debt List'!$F$10,'Debt List'!$F$11,'Debt List'!$F$12)),N(CHOOSE(EL79,CL79,CP79,CT79,CX79,DB79,DF79,DJ79,DN79))+N(CHOOSE(EL79,CM79,CQ79,CU79,CY79,DC79,DG79,DK79,DO79))))),0))</f>
        <v/>
      </c>
      <c r="EN79">
        <f>MIN(N(EM79),MAX(0,N(EK79)))</f>
        <v/>
      </c>
      <c r="EO79">
        <f>MAX(0,N(EK79)-N(EN79))</f>
        <v/>
      </c>
      <c r="EP79">
        <f>IFERROR(MATCH(7,OrderSnow,0),"")</f>
        <v/>
      </c>
      <c r="EQ79">
        <f>IF(EP79="",0,IFERROR(IF(N(CHOOSE(EP79,CL79,CP79,CT79,CX79,DB79,DF79,DJ79,DN79))&lt;=0.005,0,MAX(0,N(CHOOSE(EP79,CL79,CP79,CT79,CX79,DB79,DF79,DJ79,DN79))+N(CHOOSE(EP79,CM79,CQ79,CU79,CY79,DC79,DG79,DK79,DO79))-MIN(N(CHOOSE(EP79,'Debt List'!$F$5,'Debt List'!$F$6,'Debt List'!$F$7,'Debt List'!$F$8,'Debt List'!$F$9,'Debt List'!$F$10,'Debt List'!$F$11,'Debt List'!$F$12)),N(CHOOSE(EP79,CL79,CP79,CT79,CX79,DB79,DF79,DJ79,DN79))+N(CHOOSE(EP79,CM79,CQ79,CU79,CY79,DC79,DG79,DK79,DO79))))),0))</f>
        <v/>
      </c>
      <c r="ER79">
        <f>MIN(N(EQ79),MAX(0,N(EO79)))</f>
        <v/>
      </c>
      <c r="ES79">
        <f>MAX(0,N(EO79)-N(ER79))</f>
        <v/>
      </c>
      <c r="ET79">
        <f>IFERROR(MATCH(8,OrderSnow,0),"")</f>
        <v/>
      </c>
      <c r="EU79">
        <f>IF(ET79="",0,IFERROR(IF(N(CHOOSE(ET79,CL79,CP79,CT79,CX79,DB79,DF79,DJ79,DN79))&lt;=0.005,0,MAX(0,N(CHOOSE(ET79,CL79,CP79,CT79,CX79,DB79,DF79,DJ79,DN79))+N(CHOOSE(ET79,CM79,CQ79,CU79,CY79,DC79,DG79,DK79,DO79))-MIN(N(CHOOSE(ET79,'Debt List'!$F$5,'Debt List'!$F$6,'Debt List'!$F$7,'Debt List'!$F$8,'Debt List'!$F$9,'Debt List'!$F$10,'Debt List'!$F$11,'Debt List'!$F$12)),N(CHOOSE(ET79,CL79,CP79,CT79,CX79,DB79,DF79,DJ79,DN79))+N(CHOOSE(ET79,CM79,CQ79,CU79,CY79,DC79,DG79,DK79,DO79))))),0))</f>
        <v/>
      </c>
      <c r="EV79">
        <f>MIN(N(EU79),MAX(0,N(ES79)))</f>
        <v/>
      </c>
      <c r="EW79">
        <f>MAX(0,N(ES79)-N(EV79))</f>
        <v/>
      </c>
      <c r="FE79" t="n">
        <v>75</v>
      </c>
      <c r="FF79" s="115">
        <f>DATE(YEAR(PlanStart),MONTH(PlanStart)+FE79-1,1)</f>
        <v/>
      </c>
      <c r="FG79">
        <f>IF(AND(GT79&lt;&gt;"",N(CHOOSE(GT79,FN79,FR79,FV79,FZ79,GD79,GH79,GL79,GP79))&gt;0.005),INDEX(DebtNames,GT79),IF(AND(GX79&lt;&gt;"",N(CHOOSE(GX79,FN79,FR79,FV79,FZ79,GD79,GH79,GL79,GP79))&gt;0.005),INDEX(DebtNames,GX79),IF(AND(HB79&lt;&gt;"",N(CHOOSE(HB79,FN79,FR79,FV79,FZ79,GD79,GH79,GL79,GP79))&gt;0.005),INDEX(DebtNames,HB79),IF(AND(HF79&lt;&gt;"",N(CHOOSE(HF79,FN79,FR79,FV79,FZ79,GD79,GH79,GL79,GP79))&gt;0.005),INDEX(DebtNames,HF79),IF(AND(HJ79&lt;&gt;"",N(CHOOSE(HJ79,FN79,FR79,FV79,FZ79,GD79,GH79,GL79,GP79))&gt;0.005),INDEX(DebtNames,HJ79),IF(AND(HN79&lt;&gt;"",N(CHOOSE(HN79,FN79,FR79,FV79,FZ79,GD79,GH79,GL79,GP79))&gt;0.005),INDEX(DebtNames,HN79),IF(AND(HR79&lt;&gt;"",N(CHOOSE(HR79,FN79,FR79,FV79,FZ79,GD79,GH79,GL79,GP79))&gt;0.005),INDEX(DebtNames,HR79),IF(AND(HV79&lt;&gt;"",N(CHOOSE(HV79,FN79,FR79,FV79,FZ79,GD79,GH79,GL79,GP79))&gt;0.005),INDEX(DebtNames,HV79),""))))))))</f>
        <v/>
      </c>
      <c r="FH79">
        <f>N(HY79)</f>
        <v/>
      </c>
      <c r="FI79">
        <f>N(FP79)+N(FT79)+N(FX79)+N(GB79)+N(GF79)+N(GJ79)+N(GN79)+N(GR79)</f>
        <v/>
      </c>
      <c r="FJ79">
        <f>N(FO79)+N(FS79)+N(FW79)+N(GA79)+N(GE79)+N(GI79)+N(GM79)+N(GQ79)</f>
        <v/>
      </c>
      <c r="FK79">
        <f>N(FK78)+N(FJ79)</f>
        <v/>
      </c>
      <c r="FL79">
        <f>N(FQ79)+N(FU79)+N(FY79)+N(GC79)+N(GG79)+N(GK79)+N(GO79)+N(GS79)</f>
        <v/>
      </c>
      <c r="FM79">
        <f>(FQ79&gt;0.005)*1+(FU79&gt;0.005)*1+(FY79&gt;0.005)*1+(GC79&gt;0.005)*1+(GG79&gt;0.005)*1+(GK79&gt;0.005)*1+(GO79&gt;0.005)*1+(GS79&gt;0.005)*1</f>
        <v/>
      </c>
      <c r="FN79">
        <f>N(FQ78)</f>
        <v/>
      </c>
      <c r="FO79">
        <f>IF(N(FN79)&lt;=0.005,0,ROUND(N(FN79)*N('Debt List'!E5)/12,2))</f>
        <v/>
      </c>
      <c r="FP79">
        <f>IF(N(FN79)&lt;=0.005,0,MIN(N('Debt List'!F5),N(FN79)+N(FO79)))+((GT79=1)*GV79+(GX79=1)*GZ79+(HB79=1)*HD79+(HF79=1)*HH79+(HJ79=1)*HL79+(HN79=1)*HP79+(HR79=1)*HT79+(HV79=1)*HX79)</f>
        <v/>
      </c>
      <c r="FQ79">
        <f>MAX(0,ROUND(N(FN79)+N(FO79)-N(FP79),2))</f>
        <v/>
      </c>
      <c r="FR79">
        <f>N(FU78)</f>
        <v/>
      </c>
      <c r="FS79">
        <f>IF(N(FR79)&lt;=0.005,0,ROUND(N(FR79)*N('Debt List'!E6)/12,2))</f>
        <v/>
      </c>
      <c r="FT79">
        <f>IF(N(FR79)&lt;=0.005,0,MIN(N('Debt List'!F6),N(FR79)+N(FS79)))+((GT79=2)*GV79+(GX79=2)*GZ79+(HB79=2)*HD79+(HF79=2)*HH79+(HJ79=2)*HL79+(HN79=2)*HP79+(HR79=2)*HT79+(HV79=2)*HX79)</f>
        <v/>
      </c>
      <c r="FU79">
        <f>MAX(0,ROUND(N(FR79)+N(FS79)-N(FT79),2))</f>
        <v/>
      </c>
      <c r="FV79">
        <f>N(FY78)</f>
        <v/>
      </c>
      <c r="FW79">
        <f>IF(N(FV79)&lt;=0.005,0,ROUND(N(FV79)*N('Debt List'!E7)/12,2))</f>
        <v/>
      </c>
      <c r="FX79">
        <f>IF(N(FV79)&lt;=0.005,0,MIN(N('Debt List'!F7),N(FV79)+N(FW79)))+((GT79=3)*GV79+(GX79=3)*GZ79+(HB79=3)*HD79+(HF79=3)*HH79+(HJ79=3)*HL79+(HN79=3)*HP79+(HR79=3)*HT79+(HV79=3)*HX79)</f>
        <v/>
      </c>
      <c r="FY79">
        <f>MAX(0,ROUND(N(FV79)+N(FW79)-N(FX79),2))</f>
        <v/>
      </c>
      <c r="FZ79">
        <f>N(GC78)</f>
        <v/>
      </c>
      <c r="GA79">
        <f>IF(N(FZ79)&lt;=0.005,0,ROUND(N(FZ79)*N('Debt List'!E8)/12,2))</f>
        <v/>
      </c>
      <c r="GB79">
        <f>IF(N(FZ79)&lt;=0.005,0,MIN(N('Debt List'!F8),N(FZ79)+N(GA79)))+((GT79=4)*GV79+(GX79=4)*GZ79+(HB79=4)*HD79+(HF79=4)*HH79+(HJ79=4)*HL79+(HN79=4)*HP79+(HR79=4)*HT79+(HV79=4)*HX79)</f>
        <v/>
      </c>
      <c r="GC79">
        <f>MAX(0,ROUND(N(FZ79)+N(GA79)-N(GB79),2))</f>
        <v/>
      </c>
      <c r="GD79">
        <f>N(GG78)</f>
        <v/>
      </c>
      <c r="GE79">
        <f>IF(N(GD79)&lt;=0.005,0,ROUND(N(GD79)*N('Debt List'!E9)/12,2))</f>
        <v/>
      </c>
      <c r="GF79">
        <f>IF(N(GD79)&lt;=0.005,0,MIN(N('Debt List'!F9),N(GD79)+N(GE79)))+((GT79=5)*GV79+(GX79=5)*GZ79+(HB79=5)*HD79+(HF79=5)*HH79+(HJ79=5)*HL79+(HN79=5)*HP79+(HR79=5)*HT79+(HV79=5)*HX79)</f>
        <v/>
      </c>
      <c r="GG79">
        <f>MAX(0,ROUND(N(GD79)+N(GE79)-N(GF79),2))</f>
        <v/>
      </c>
      <c r="GH79">
        <f>N(GK78)</f>
        <v/>
      </c>
      <c r="GI79">
        <f>IF(N(GH79)&lt;=0.005,0,ROUND(N(GH79)*N('Debt List'!E10)/12,2))</f>
        <v/>
      </c>
      <c r="GJ79">
        <f>IF(N(GH79)&lt;=0.005,0,MIN(N('Debt List'!F10),N(GH79)+N(GI79)))+((GT79=6)*GV79+(GX79=6)*GZ79+(HB79=6)*HD79+(HF79=6)*HH79+(HJ79=6)*HL79+(HN79=6)*HP79+(HR79=6)*HT79+(HV79=6)*HX79)</f>
        <v/>
      </c>
      <c r="GK79">
        <f>MAX(0,ROUND(N(GH79)+N(GI79)-N(GJ79),2))</f>
        <v/>
      </c>
      <c r="GL79">
        <f>N(GO78)</f>
        <v/>
      </c>
      <c r="GM79">
        <f>IF(N(GL79)&lt;=0.005,0,ROUND(N(GL79)*N('Debt List'!E11)/12,2))</f>
        <v/>
      </c>
      <c r="GN79">
        <f>IF(N(GL79)&lt;=0.005,0,MIN(N('Debt List'!F11),N(GL79)+N(GM79)))+((GT79=7)*GV79+(GX79=7)*GZ79+(HB79=7)*HD79+(HF79=7)*HH79+(HJ79=7)*HL79+(HN79=7)*HP79+(HR79=7)*HT79+(HV79=7)*HX79)</f>
        <v/>
      </c>
      <c r="GO79">
        <f>MAX(0,ROUND(N(GL79)+N(GM79)-N(GN79),2))</f>
        <v/>
      </c>
      <c r="GP79">
        <f>N(GS78)</f>
        <v/>
      </c>
      <c r="GQ79">
        <f>IF(N(GP79)&lt;=0.005,0,ROUND(N(GP79)*N('Debt List'!E12)/12,2))</f>
        <v/>
      </c>
      <c r="GR79">
        <f>IF(N(GP79)&lt;=0.005,0,MIN(N('Debt List'!F12),N(GP79)+N(GQ79)))+((GT79=8)*GV79+(GX79=8)*GZ79+(HB79=8)*HD79+(HF79=8)*HH79+(HJ79=8)*HL79+(HN79=8)*HP79+(HR79=8)*HT79+(HV79=8)*HX79)</f>
        <v/>
      </c>
      <c r="GS79">
        <f>MAX(0,ROUND(N(GP79)+N(GQ79)-N(GR79),2))</f>
        <v/>
      </c>
      <c r="GT79">
        <f>IFERROR(MATCH(1,OrderAval,0),"")</f>
        <v/>
      </c>
      <c r="GU79">
        <f>IF(GT79="",0,IFERROR(IF(N(CHOOSE(GT79,FN79,FR79,FV79,FZ79,GD79,GH79,GL79,GP79))&lt;=0.005,0,MAX(0,N(CHOOSE(GT79,FN79,FR79,FV79,FZ79,GD79,GH79,GL79,GP79))+N(CHOOSE(GT79,FO79,FS79,FW79,GA79,GE79,GI79,GM79,GQ79))-MIN(N(CHOOSE(GT79,'Debt List'!$F$5,'Debt List'!$F$6,'Debt List'!$F$7,'Debt List'!$F$8,'Debt List'!$F$9,'Debt List'!$F$10,'Debt List'!$F$11,'Debt List'!$F$12)),N(CHOOSE(GT79,FN79,FR79,FV79,FZ79,GD79,GH79,GL79,GP79))+N(CHOOSE(GT79,FO79,FS79,FW79,GA79,GE79,GI79,GM79,GQ79))))),0))</f>
        <v/>
      </c>
      <c r="GV79">
        <f>MIN(N(GU79),MAX(0,N(ExtraPayment)))</f>
        <v/>
      </c>
      <c r="GW79">
        <f>MAX(0,N(ExtraPayment)-N(GV79))</f>
        <v/>
      </c>
      <c r="GX79">
        <f>IFERROR(MATCH(2,OrderAval,0),"")</f>
        <v/>
      </c>
      <c r="GY79">
        <f>IF(GX79="",0,IFERROR(IF(N(CHOOSE(GX79,FN79,FR79,FV79,FZ79,GD79,GH79,GL79,GP79))&lt;=0.005,0,MAX(0,N(CHOOSE(GX79,FN79,FR79,FV79,FZ79,GD79,GH79,GL79,GP79))+N(CHOOSE(GX79,FO79,FS79,FW79,GA79,GE79,GI79,GM79,GQ79))-MIN(N(CHOOSE(GX79,'Debt List'!$F$5,'Debt List'!$F$6,'Debt List'!$F$7,'Debt List'!$F$8,'Debt List'!$F$9,'Debt List'!$F$10,'Debt List'!$F$11,'Debt List'!$F$12)),N(CHOOSE(GX79,FN79,FR79,FV79,FZ79,GD79,GH79,GL79,GP79))+N(CHOOSE(GX79,FO79,FS79,FW79,GA79,GE79,GI79,GM79,GQ79))))),0))</f>
        <v/>
      </c>
      <c r="GZ79">
        <f>MIN(N(GY79),MAX(0,N(GW79)))</f>
        <v/>
      </c>
      <c r="HA79">
        <f>MAX(0,N(GW79)-N(GZ79))</f>
        <v/>
      </c>
      <c r="HB79">
        <f>IFERROR(MATCH(3,OrderAval,0),"")</f>
        <v/>
      </c>
      <c r="HC79">
        <f>IF(HB79="",0,IFERROR(IF(N(CHOOSE(HB79,FN79,FR79,FV79,FZ79,GD79,GH79,GL79,GP79))&lt;=0.005,0,MAX(0,N(CHOOSE(HB79,FN79,FR79,FV79,FZ79,GD79,GH79,GL79,GP79))+N(CHOOSE(HB79,FO79,FS79,FW79,GA79,GE79,GI79,GM79,GQ79))-MIN(N(CHOOSE(HB79,'Debt List'!$F$5,'Debt List'!$F$6,'Debt List'!$F$7,'Debt List'!$F$8,'Debt List'!$F$9,'Debt List'!$F$10,'Debt List'!$F$11,'Debt List'!$F$12)),N(CHOOSE(HB79,FN79,FR79,FV79,FZ79,GD79,GH79,GL79,GP79))+N(CHOOSE(HB79,FO79,FS79,FW79,GA79,GE79,GI79,GM79,GQ79))))),0))</f>
        <v/>
      </c>
      <c r="HD79">
        <f>MIN(N(HC79),MAX(0,N(HA79)))</f>
        <v/>
      </c>
      <c r="HE79">
        <f>MAX(0,N(HA79)-N(HD79))</f>
        <v/>
      </c>
      <c r="HF79">
        <f>IFERROR(MATCH(4,OrderAval,0),"")</f>
        <v/>
      </c>
      <c r="HG79">
        <f>IF(HF79="",0,IFERROR(IF(N(CHOOSE(HF79,FN79,FR79,FV79,FZ79,GD79,GH79,GL79,GP79))&lt;=0.005,0,MAX(0,N(CHOOSE(HF79,FN79,FR79,FV79,FZ79,GD79,GH79,GL79,GP79))+N(CHOOSE(HF79,FO79,FS79,FW79,GA79,GE79,GI79,GM79,GQ79))-MIN(N(CHOOSE(HF79,'Debt List'!$F$5,'Debt List'!$F$6,'Debt List'!$F$7,'Debt List'!$F$8,'Debt List'!$F$9,'Debt List'!$F$10,'Debt List'!$F$11,'Debt List'!$F$12)),N(CHOOSE(HF79,FN79,FR79,FV79,FZ79,GD79,GH79,GL79,GP79))+N(CHOOSE(HF79,FO79,FS79,FW79,GA79,GE79,GI79,GM79,GQ79))))),0))</f>
        <v/>
      </c>
      <c r="HH79">
        <f>MIN(N(HG79),MAX(0,N(HE79)))</f>
        <v/>
      </c>
      <c r="HI79">
        <f>MAX(0,N(HE79)-N(HH79))</f>
        <v/>
      </c>
      <c r="HJ79">
        <f>IFERROR(MATCH(5,OrderAval,0),"")</f>
        <v/>
      </c>
      <c r="HK79">
        <f>IF(HJ79="",0,IFERROR(IF(N(CHOOSE(HJ79,FN79,FR79,FV79,FZ79,GD79,GH79,GL79,GP79))&lt;=0.005,0,MAX(0,N(CHOOSE(HJ79,FN79,FR79,FV79,FZ79,GD79,GH79,GL79,GP79))+N(CHOOSE(HJ79,FO79,FS79,FW79,GA79,GE79,GI79,GM79,GQ79))-MIN(N(CHOOSE(HJ79,'Debt List'!$F$5,'Debt List'!$F$6,'Debt List'!$F$7,'Debt List'!$F$8,'Debt List'!$F$9,'Debt List'!$F$10,'Debt List'!$F$11,'Debt List'!$F$12)),N(CHOOSE(HJ79,FN79,FR79,FV79,FZ79,GD79,GH79,GL79,GP79))+N(CHOOSE(HJ79,FO79,FS79,FW79,GA79,GE79,GI79,GM79,GQ79))))),0))</f>
        <v/>
      </c>
      <c r="HL79">
        <f>MIN(N(HK79),MAX(0,N(HI79)))</f>
        <v/>
      </c>
      <c r="HM79">
        <f>MAX(0,N(HI79)-N(HL79))</f>
        <v/>
      </c>
      <c r="HN79">
        <f>IFERROR(MATCH(6,OrderAval,0),"")</f>
        <v/>
      </c>
      <c r="HO79">
        <f>IF(HN79="",0,IFERROR(IF(N(CHOOSE(HN79,FN79,FR79,FV79,FZ79,GD79,GH79,GL79,GP79))&lt;=0.005,0,MAX(0,N(CHOOSE(HN79,FN79,FR79,FV79,FZ79,GD79,GH79,GL79,GP79))+N(CHOOSE(HN79,FO79,FS79,FW79,GA79,GE79,GI79,GM79,GQ79))-MIN(N(CHOOSE(HN79,'Debt List'!$F$5,'Debt List'!$F$6,'Debt List'!$F$7,'Debt List'!$F$8,'Debt List'!$F$9,'Debt List'!$F$10,'Debt List'!$F$11,'Debt List'!$F$12)),N(CHOOSE(HN79,FN79,FR79,FV79,FZ79,GD79,GH79,GL79,GP79))+N(CHOOSE(HN79,FO79,FS79,FW79,GA79,GE79,GI79,GM79,GQ79))))),0))</f>
        <v/>
      </c>
      <c r="HP79">
        <f>MIN(N(HO79),MAX(0,N(HM79)))</f>
        <v/>
      </c>
      <c r="HQ79">
        <f>MAX(0,N(HM79)-N(HP79))</f>
        <v/>
      </c>
      <c r="HR79">
        <f>IFERROR(MATCH(7,OrderAval,0),"")</f>
        <v/>
      </c>
      <c r="HS79">
        <f>IF(HR79="",0,IFERROR(IF(N(CHOOSE(HR79,FN79,FR79,FV79,FZ79,GD79,GH79,GL79,GP79))&lt;=0.005,0,MAX(0,N(CHOOSE(HR79,FN79,FR79,FV79,FZ79,GD79,GH79,GL79,GP79))+N(CHOOSE(HR79,FO79,FS79,FW79,GA79,GE79,GI79,GM79,GQ79))-MIN(N(CHOOSE(HR79,'Debt List'!$F$5,'Debt List'!$F$6,'Debt List'!$F$7,'Debt List'!$F$8,'Debt List'!$F$9,'Debt List'!$F$10,'Debt List'!$F$11,'Debt List'!$F$12)),N(CHOOSE(HR79,FN79,FR79,FV79,FZ79,GD79,GH79,GL79,GP79))+N(CHOOSE(HR79,FO79,FS79,FW79,GA79,GE79,GI79,GM79,GQ79))))),0))</f>
        <v/>
      </c>
      <c r="HT79">
        <f>MIN(N(HS79),MAX(0,N(HQ79)))</f>
        <v/>
      </c>
      <c r="HU79">
        <f>MAX(0,N(HQ79)-N(HT79))</f>
        <v/>
      </c>
      <c r="HV79">
        <f>IFERROR(MATCH(8,OrderAval,0),"")</f>
        <v/>
      </c>
      <c r="HW79">
        <f>IF(HV79="",0,IFERROR(IF(N(CHOOSE(HV79,FN79,FR79,FV79,FZ79,GD79,GH79,GL79,GP79))&lt;=0.005,0,MAX(0,N(CHOOSE(HV79,FN79,FR79,FV79,FZ79,GD79,GH79,GL79,GP79))+N(CHOOSE(HV79,FO79,FS79,FW79,GA79,GE79,GI79,GM79,GQ79))-MIN(N(CHOOSE(HV79,'Debt List'!$F$5,'Debt List'!$F$6,'Debt List'!$F$7,'Debt List'!$F$8,'Debt List'!$F$9,'Debt List'!$F$10,'Debt List'!$F$11,'Debt List'!$F$12)),N(CHOOSE(HV79,FN79,FR79,FV79,FZ79,GD79,GH79,GL79,GP79))+N(CHOOSE(HV79,FO79,FS79,FW79,GA79,GE79,GI79,GM79,GQ79))))),0))</f>
        <v/>
      </c>
      <c r="HX79">
        <f>MIN(N(HW79),MAX(0,N(HU79)))</f>
        <v/>
      </c>
      <c r="HY79">
        <f>MAX(0,N(HU79)-N(HX79))</f>
        <v/>
      </c>
    </row>
    <row r="80">
      <c r="A80" t="n">
        <v>76</v>
      </c>
      <c r="B80" s="115">
        <f>DATE(YEAR(PlanStart),MONTH(PlanStart)+A80-1,1)</f>
        <v/>
      </c>
      <c r="C80">
        <f>IF(AND(AP80&lt;&gt;"",N(CHOOSE(AP80,J80,N80,R80,V80,Z80,AD80,AH80,AL80))&gt;0.005),INDEX(DebtNames,AP80),IF(AND(AT80&lt;&gt;"",N(CHOOSE(AT80,J80,N80,R80,V80,Z80,AD80,AH80,AL80))&gt;0.005),INDEX(DebtNames,AT80),IF(AND(AX80&lt;&gt;"",N(CHOOSE(AX80,J80,N80,R80,V80,Z80,AD80,AH80,AL80))&gt;0.005),INDEX(DebtNames,AX80),IF(AND(BB80&lt;&gt;"",N(CHOOSE(BB80,J80,N80,R80,V80,Z80,AD80,AH80,AL80))&gt;0.005),INDEX(DebtNames,BB80),IF(AND(BF80&lt;&gt;"",N(CHOOSE(BF80,J80,N80,R80,V80,Z80,AD80,AH80,AL80))&gt;0.005),INDEX(DebtNames,BF80),IF(AND(BJ80&lt;&gt;"",N(CHOOSE(BJ80,J80,N80,R80,V80,Z80,AD80,AH80,AL80))&gt;0.005),INDEX(DebtNames,BJ80),IF(AND(BN80&lt;&gt;"",N(CHOOSE(BN80,J80,N80,R80,V80,Z80,AD80,AH80,AL80))&gt;0.005),INDEX(DebtNames,BN80),IF(AND(BR80&lt;&gt;"",N(CHOOSE(BR80,J80,N80,R80,V80,Z80,AD80,AH80,AL80))&gt;0.005),INDEX(DebtNames,BR80),""))))))))</f>
        <v/>
      </c>
      <c r="D80">
        <f>N(BU80)</f>
        <v/>
      </c>
      <c r="E80">
        <f>N(L80)+N(P80)+N(T80)+N(X80)+N(AB80)+N(AF80)+N(AJ80)+N(AN80)</f>
        <v/>
      </c>
      <c r="F80">
        <f>N(K80)+N(O80)+N(S80)+N(W80)+N(AA80)+N(AE80)+N(AI80)+N(AM80)</f>
        <v/>
      </c>
      <c r="G80">
        <f>N(G79)+N(F80)</f>
        <v/>
      </c>
      <c r="H80">
        <f>N(M80)+N(Q80)+N(U80)+N(Y80)+N(AC80)+N(AG80)+N(AK80)+N(AO80)</f>
        <v/>
      </c>
      <c r="I80">
        <f>(M80&gt;0.005)*1+(Q80&gt;0.005)*1+(U80&gt;0.005)*1+(Y80&gt;0.005)*1+(AC80&gt;0.005)*1+(AG80&gt;0.005)*1+(AK80&gt;0.005)*1+(AO80&gt;0.005)*1</f>
        <v/>
      </c>
      <c r="J80">
        <f>N(M79)</f>
        <v/>
      </c>
      <c r="K80">
        <f>IF(N(J80)&lt;=0.005,0,ROUND(N(J80)*N('Debt List'!E5)/12,2))</f>
        <v/>
      </c>
      <c r="L80">
        <f>IF(N(J80)&lt;=0.005,0,MIN(N('Debt List'!F5),N(J80)+N(K80)))+((AP80=1)*AR80+(AT80=1)*AV80+(AX80=1)*AZ80+(BB80=1)*BD80+(BF80=1)*BH80+(BJ80=1)*BL80+(BN80=1)*BP80+(BR80=1)*BT80)</f>
        <v/>
      </c>
      <c r="M80">
        <f>MAX(0,ROUND(N(J80)+N(K80)-N(L80),2))</f>
        <v/>
      </c>
      <c r="N80">
        <f>N(Q79)</f>
        <v/>
      </c>
      <c r="O80">
        <f>IF(N(N80)&lt;=0.005,0,ROUND(N(N80)*N('Debt List'!E6)/12,2))</f>
        <v/>
      </c>
      <c r="P80">
        <f>IF(N(N80)&lt;=0.005,0,MIN(N('Debt List'!F6),N(N80)+N(O80)))+((AP80=2)*AR80+(AT80=2)*AV80+(AX80=2)*AZ80+(BB80=2)*BD80+(BF80=2)*BH80+(BJ80=2)*BL80+(BN80=2)*BP80+(BR80=2)*BT80)</f>
        <v/>
      </c>
      <c r="Q80">
        <f>MAX(0,ROUND(N(N80)+N(O80)-N(P80),2))</f>
        <v/>
      </c>
      <c r="R80">
        <f>N(U79)</f>
        <v/>
      </c>
      <c r="S80">
        <f>IF(N(R80)&lt;=0.005,0,ROUND(N(R80)*N('Debt List'!E7)/12,2))</f>
        <v/>
      </c>
      <c r="T80">
        <f>IF(N(R80)&lt;=0.005,0,MIN(N('Debt List'!F7),N(R80)+N(S80)))+((AP80=3)*AR80+(AT80=3)*AV80+(AX80=3)*AZ80+(BB80=3)*BD80+(BF80=3)*BH80+(BJ80=3)*BL80+(BN80=3)*BP80+(BR80=3)*BT80)</f>
        <v/>
      </c>
      <c r="U80">
        <f>MAX(0,ROUND(N(R80)+N(S80)-N(T80),2))</f>
        <v/>
      </c>
      <c r="V80">
        <f>N(Y79)</f>
        <v/>
      </c>
      <c r="W80">
        <f>IF(N(V80)&lt;=0.005,0,ROUND(N(V80)*N('Debt List'!E8)/12,2))</f>
        <v/>
      </c>
      <c r="X80">
        <f>IF(N(V80)&lt;=0.005,0,MIN(N('Debt List'!F8),N(V80)+N(W80)))+((AP80=4)*AR80+(AT80=4)*AV80+(AX80=4)*AZ80+(BB80=4)*BD80+(BF80=4)*BH80+(BJ80=4)*BL80+(BN80=4)*BP80+(BR80=4)*BT80)</f>
        <v/>
      </c>
      <c r="Y80">
        <f>MAX(0,ROUND(N(V80)+N(W80)-N(X80),2))</f>
        <v/>
      </c>
      <c r="Z80">
        <f>N(AC79)</f>
        <v/>
      </c>
      <c r="AA80">
        <f>IF(N(Z80)&lt;=0.005,0,ROUND(N(Z80)*N('Debt List'!E9)/12,2))</f>
        <v/>
      </c>
      <c r="AB80">
        <f>IF(N(Z80)&lt;=0.005,0,MIN(N('Debt List'!F9),N(Z80)+N(AA80)))+((AP80=5)*AR80+(AT80=5)*AV80+(AX80=5)*AZ80+(BB80=5)*BD80+(BF80=5)*BH80+(BJ80=5)*BL80+(BN80=5)*BP80+(BR80=5)*BT80)</f>
        <v/>
      </c>
      <c r="AC80">
        <f>MAX(0,ROUND(N(Z80)+N(AA80)-N(AB80),2))</f>
        <v/>
      </c>
      <c r="AD80">
        <f>N(AG79)</f>
        <v/>
      </c>
      <c r="AE80">
        <f>IF(N(AD80)&lt;=0.005,0,ROUND(N(AD80)*N('Debt List'!E10)/12,2))</f>
        <v/>
      </c>
      <c r="AF80">
        <f>IF(N(AD80)&lt;=0.005,0,MIN(N('Debt List'!F10),N(AD80)+N(AE80)))+((AP80=6)*AR80+(AT80=6)*AV80+(AX80=6)*AZ80+(BB80=6)*BD80+(BF80=6)*BH80+(BJ80=6)*BL80+(BN80=6)*BP80+(BR80=6)*BT80)</f>
        <v/>
      </c>
      <c r="AG80">
        <f>MAX(0,ROUND(N(AD80)+N(AE80)-N(AF80),2))</f>
        <v/>
      </c>
      <c r="AH80">
        <f>N(AK79)</f>
        <v/>
      </c>
      <c r="AI80">
        <f>IF(N(AH80)&lt;=0.005,0,ROUND(N(AH80)*N('Debt List'!E11)/12,2))</f>
        <v/>
      </c>
      <c r="AJ80">
        <f>IF(N(AH80)&lt;=0.005,0,MIN(N('Debt List'!F11),N(AH80)+N(AI80)))+((AP80=7)*AR80+(AT80=7)*AV80+(AX80=7)*AZ80+(BB80=7)*BD80+(BF80=7)*BH80+(BJ80=7)*BL80+(BN80=7)*BP80+(BR80=7)*BT80)</f>
        <v/>
      </c>
      <c r="AK80">
        <f>MAX(0,ROUND(N(AH80)+N(AI80)-N(AJ80),2))</f>
        <v/>
      </c>
      <c r="AL80">
        <f>N(AO79)</f>
        <v/>
      </c>
      <c r="AM80">
        <f>IF(N(AL80)&lt;=0.005,0,ROUND(N(AL80)*N('Debt List'!E12)/12,2))</f>
        <v/>
      </c>
      <c r="AN80">
        <f>IF(N(AL80)&lt;=0.005,0,MIN(N('Debt List'!F12),N(AL80)+N(AM80)))+((AP80=8)*AR80+(AT80=8)*AV80+(AX80=8)*AZ80+(BB80=8)*BD80+(BF80=8)*BH80+(BJ80=8)*BL80+(BN80=8)*BP80+(BR80=8)*BT80)</f>
        <v/>
      </c>
      <c r="AO80">
        <f>MAX(0,ROUND(N(AL80)+N(AM80)-N(AN80),2))</f>
        <v/>
      </c>
      <c r="AP80">
        <f>IFERROR(MATCH(1,OrderPlan,0),"")</f>
        <v/>
      </c>
      <c r="AQ80">
        <f>IF(AP80="",0,IFERROR(IF(N(CHOOSE(AP80,J80,N80,R80,V80,Z80,AD80,AH80,AL80))&lt;=0.005,0,MAX(0,N(CHOOSE(AP80,J80,N80,R80,V80,Z80,AD80,AH80,AL80))+N(CHOOSE(AP80,K80,O80,S80,W80,AA80,AE80,AI80,AM80))-MIN(N(CHOOSE(AP80,'Debt List'!$F$5,'Debt List'!$F$6,'Debt List'!$F$7,'Debt List'!$F$8,'Debt List'!$F$9,'Debt List'!$F$10,'Debt List'!$F$11,'Debt List'!$F$12)),N(CHOOSE(AP80,J80,N80,R80,V80,Z80,AD80,AH80,AL80))+N(CHOOSE(AP80,K80,O80,S80,W80,AA80,AE80,AI80,AM80))))),0))</f>
        <v/>
      </c>
      <c r="AR80">
        <f>MIN(N(AQ80),MAX(0,N(ExtraPayment)))</f>
        <v/>
      </c>
      <c r="AS80">
        <f>MAX(0,N(ExtraPayment)-N(AR80))</f>
        <v/>
      </c>
      <c r="AT80">
        <f>IFERROR(MATCH(2,OrderPlan,0),"")</f>
        <v/>
      </c>
      <c r="AU80">
        <f>IF(AT80="",0,IFERROR(IF(N(CHOOSE(AT80,J80,N80,R80,V80,Z80,AD80,AH80,AL80))&lt;=0.005,0,MAX(0,N(CHOOSE(AT80,J80,N80,R80,V80,Z80,AD80,AH80,AL80))+N(CHOOSE(AT80,K80,O80,S80,W80,AA80,AE80,AI80,AM80))-MIN(N(CHOOSE(AT80,'Debt List'!$F$5,'Debt List'!$F$6,'Debt List'!$F$7,'Debt List'!$F$8,'Debt List'!$F$9,'Debt List'!$F$10,'Debt List'!$F$11,'Debt List'!$F$12)),N(CHOOSE(AT80,J80,N80,R80,V80,Z80,AD80,AH80,AL80))+N(CHOOSE(AT80,K80,O80,S80,W80,AA80,AE80,AI80,AM80))))),0))</f>
        <v/>
      </c>
      <c r="AV80">
        <f>MIN(N(AU80),MAX(0,N(AS80)))</f>
        <v/>
      </c>
      <c r="AW80">
        <f>MAX(0,N(AS80)-N(AV80))</f>
        <v/>
      </c>
      <c r="AX80">
        <f>IFERROR(MATCH(3,OrderPlan,0),"")</f>
        <v/>
      </c>
      <c r="AY80">
        <f>IF(AX80="",0,IFERROR(IF(N(CHOOSE(AX80,J80,N80,R80,V80,Z80,AD80,AH80,AL80))&lt;=0.005,0,MAX(0,N(CHOOSE(AX80,J80,N80,R80,V80,Z80,AD80,AH80,AL80))+N(CHOOSE(AX80,K80,O80,S80,W80,AA80,AE80,AI80,AM80))-MIN(N(CHOOSE(AX80,'Debt List'!$F$5,'Debt List'!$F$6,'Debt List'!$F$7,'Debt List'!$F$8,'Debt List'!$F$9,'Debt List'!$F$10,'Debt List'!$F$11,'Debt List'!$F$12)),N(CHOOSE(AX80,J80,N80,R80,V80,Z80,AD80,AH80,AL80))+N(CHOOSE(AX80,K80,O80,S80,W80,AA80,AE80,AI80,AM80))))),0))</f>
        <v/>
      </c>
      <c r="AZ80">
        <f>MIN(N(AY80),MAX(0,N(AW80)))</f>
        <v/>
      </c>
      <c r="BA80">
        <f>MAX(0,N(AW80)-N(AZ80))</f>
        <v/>
      </c>
      <c r="BB80">
        <f>IFERROR(MATCH(4,OrderPlan,0),"")</f>
        <v/>
      </c>
      <c r="BC80">
        <f>IF(BB80="",0,IFERROR(IF(N(CHOOSE(BB80,J80,N80,R80,V80,Z80,AD80,AH80,AL80))&lt;=0.005,0,MAX(0,N(CHOOSE(BB80,J80,N80,R80,V80,Z80,AD80,AH80,AL80))+N(CHOOSE(BB80,K80,O80,S80,W80,AA80,AE80,AI80,AM80))-MIN(N(CHOOSE(BB80,'Debt List'!$F$5,'Debt List'!$F$6,'Debt List'!$F$7,'Debt List'!$F$8,'Debt List'!$F$9,'Debt List'!$F$10,'Debt List'!$F$11,'Debt List'!$F$12)),N(CHOOSE(BB80,J80,N80,R80,V80,Z80,AD80,AH80,AL80))+N(CHOOSE(BB80,K80,O80,S80,W80,AA80,AE80,AI80,AM80))))),0))</f>
        <v/>
      </c>
      <c r="BD80">
        <f>MIN(N(BC80),MAX(0,N(BA80)))</f>
        <v/>
      </c>
      <c r="BE80">
        <f>MAX(0,N(BA80)-N(BD80))</f>
        <v/>
      </c>
      <c r="BF80">
        <f>IFERROR(MATCH(5,OrderPlan,0),"")</f>
        <v/>
      </c>
      <c r="BG80">
        <f>IF(BF80="",0,IFERROR(IF(N(CHOOSE(BF80,J80,N80,R80,V80,Z80,AD80,AH80,AL80))&lt;=0.005,0,MAX(0,N(CHOOSE(BF80,J80,N80,R80,V80,Z80,AD80,AH80,AL80))+N(CHOOSE(BF80,K80,O80,S80,W80,AA80,AE80,AI80,AM80))-MIN(N(CHOOSE(BF80,'Debt List'!$F$5,'Debt List'!$F$6,'Debt List'!$F$7,'Debt List'!$F$8,'Debt List'!$F$9,'Debt List'!$F$10,'Debt List'!$F$11,'Debt List'!$F$12)),N(CHOOSE(BF80,J80,N80,R80,V80,Z80,AD80,AH80,AL80))+N(CHOOSE(BF80,K80,O80,S80,W80,AA80,AE80,AI80,AM80))))),0))</f>
        <v/>
      </c>
      <c r="BH80">
        <f>MIN(N(BG80),MAX(0,N(BE80)))</f>
        <v/>
      </c>
      <c r="BI80">
        <f>MAX(0,N(BE80)-N(BH80))</f>
        <v/>
      </c>
      <c r="BJ80">
        <f>IFERROR(MATCH(6,OrderPlan,0),"")</f>
        <v/>
      </c>
      <c r="BK80">
        <f>IF(BJ80="",0,IFERROR(IF(N(CHOOSE(BJ80,J80,N80,R80,V80,Z80,AD80,AH80,AL80))&lt;=0.005,0,MAX(0,N(CHOOSE(BJ80,J80,N80,R80,V80,Z80,AD80,AH80,AL80))+N(CHOOSE(BJ80,K80,O80,S80,W80,AA80,AE80,AI80,AM80))-MIN(N(CHOOSE(BJ80,'Debt List'!$F$5,'Debt List'!$F$6,'Debt List'!$F$7,'Debt List'!$F$8,'Debt List'!$F$9,'Debt List'!$F$10,'Debt List'!$F$11,'Debt List'!$F$12)),N(CHOOSE(BJ80,J80,N80,R80,V80,Z80,AD80,AH80,AL80))+N(CHOOSE(BJ80,K80,O80,S80,W80,AA80,AE80,AI80,AM80))))),0))</f>
        <v/>
      </c>
      <c r="BL80">
        <f>MIN(N(BK80),MAX(0,N(BI80)))</f>
        <v/>
      </c>
      <c r="BM80">
        <f>MAX(0,N(BI80)-N(BL80))</f>
        <v/>
      </c>
      <c r="BN80">
        <f>IFERROR(MATCH(7,OrderPlan,0),"")</f>
        <v/>
      </c>
      <c r="BO80">
        <f>IF(BN80="",0,IFERROR(IF(N(CHOOSE(BN80,J80,N80,R80,V80,Z80,AD80,AH80,AL80))&lt;=0.005,0,MAX(0,N(CHOOSE(BN80,J80,N80,R80,V80,Z80,AD80,AH80,AL80))+N(CHOOSE(BN80,K80,O80,S80,W80,AA80,AE80,AI80,AM80))-MIN(N(CHOOSE(BN80,'Debt List'!$F$5,'Debt List'!$F$6,'Debt List'!$F$7,'Debt List'!$F$8,'Debt List'!$F$9,'Debt List'!$F$10,'Debt List'!$F$11,'Debt List'!$F$12)),N(CHOOSE(BN80,J80,N80,R80,V80,Z80,AD80,AH80,AL80))+N(CHOOSE(BN80,K80,O80,S80,W80,AA80,AE80,AI80,AM80))))),0))</f>
        <v/>
      </c>
      <c r="BP80">
        <f>MIN(N(BO80),MAX(0,N(BM80)))</f>
        <v/>
      </c>
      <c r="BQ80">
        <f>MAX(0,N(BM80)-N(BP80))</f>
        <v/>
      </c>
      <c r="BR80">
        <f>IFERROR(MATCH(8,OrderPlan,0),"")</f>
        <v/>
      </c>
      <c r="BS80">
        <f>IF(BR80="",0,IFERROR(IF(N(CHOOSE(BR80,J80,N80,R80,V80,Z80,AD80,AH80,AL80))&lt;=0.005,0,MAX(0,N(CHOOSE(BR80,J80,N80,R80,V80,Z80,AD80,AH80,AL80))+N(CHOOSE(BR80,K80,O80,S80,W80,AA80,AE80,AI80,AM80))-MIN(N(CHOOSE(BR80,'Debt List'!$F$5,'Debt List'!$F$6,'Debt List'!$F$7,'Debt List'!$F$8,'Debt List'!$F$9,'Debt List'!$F$10,'Debt List'!$F$11,'Debt List'!$F$12)),N(CHOOSE(BR80,J80,N80,R80,V80,Z80,AD80,AH80,AL80))+N(CHOOSE(BR80,K80,O80,S80,W80,AA80,AE80,AI80,AM80))))),0))</f>
        <v/>
      </c>
      <c r="BT80">
        <f>MIN(N(BS80),MAX(0,N(BQ80)))</f>
        <v/>
      </c>
      <c r="BU80">
        <f>MAX(0,N(BQ80)-N(BT80))</f>
        <v/>
      </c>
      <c r="CC80" t="n">
        <v>76</v>
      </c>
      <c r="CD80" s="115">
        <f>DATE(YEAR(PlanStart),MONTH(PlanStart)+CC80-1,1)</f>
        <v/>
      </c>
      <c r="CE80">
        <f>IF(AND(DR80&lt;&gt;"",N(CHOOSE(DR80,CL80,CP80,CT80,CX80,DB80,DF80,DJ80,DN80))&gt;0.005),INDEX(DebtNames,DR80),IF(AND(DV80&lt;&gt;"",N(CHOOSE(DV80,CL80,CP80,CT80,CX80,DB80,DF80,DJ80,DN80))&gt;0.005),INDEX(DebtNames,DV80),IF(AND(DZ80&lt;&gt;"",N(CHOOSE(DZ80,CL80,CP80,CT80,CX80,DB80,DF80,DJ80,DN80))&gt;0.005),INDEX(DebtNames,DZ80),IF(AND(ED80&lt;&gt;"",N(CHOOSE(ED80,CL80,CP80,CT80,CX80,DB80,DF80,DJ80,DN80))&gt;0.005),INDEX(DebtNames,ED80),IF(AND(EH80&lt;&gt;"",N(CHOOSE(EH80,CL80,CP80,CT80,CX80,DB80,DF80,DJ80,DN80))&gt;0.005),INDEX(DebtNames,EH80),IF(AND(EL80&lt;&gt;"",N(CHOOSE(EL80,CL80,CP80,CT80,CX80,DB80,DF80,DJ80,DN80))&gt;0.005),INDEX(DebtNames,EL80),IF(AND(EP80&lt;&gt;"",N(CHOOSE(EP80,CL80,CP80,CT80,CX80,DB80,DF80,DJ80,DN80))&gt;0.005),INDEX(DebtNames,EP80),IF(AND(ET80&lt;&gt;"",N(CHOOSE(ET80,CL80,CP80,CT80,CX80,DB80,DF80,DJ80,DN80))&gt;0.005),INDEX(DebtNames,ET80),""))))))))</f>
        <v/>
      </c>
      <c r="CF80">
        <f>N(EW80)</f>
        <v/>
      </c>
      <c r="CG80">
        <f>N(CN80)+N(CR80)+N(CV80)+N(CZ80)+N(DD80)+N(DH80)+N(DL80)+N(DP80)</f>
        <v/>
      </c>
      <c r="CH80">
        <f>N(CM80)+N(CQ80)+N(CU80)+N(CY80)+N(DC80)+N(DG80)+N(DK80)+N(DO80)</f>
        <v/>
      </c>
      <c r="CI80">
        <f>N(CI79)+N(CH80)</f>
        <v/>
      </c>
      <c r="CJ80">
        <f>N(CO80)+N(CS80)+N(CW80)+N(DA80)+N(DE80)+N(DI80)+N(DM80)+N(DQ80)</f>
        <v/>
      </c>
      <c r="CK80">
        <f>(CO80&gt;0.005)*1+(CS80&gt;0.005)*1+(CW80&gt;0.005)*1+(DA80&gt;0.005)*1+(DE80&gt;0.005)*1+(DI80&gt;0.005)*1+(DM80&gt;0.005)*1+(DQ80&gt;0.005)*1</f>
        <v/>
      </c>
      <c r="CL80">
        <f>N(CO79)</f>
        <v/>
      </c>
      <c r="CM80">
        <f>IF(N(CL80)&lt;=0.005,0,ROUND(N(CL80)*N('Debt List'!E5)/12,2))</f>
        <v/>
      </c>
      <c r="CN80">
        <f>IF(N(CL80)&lt;=0.005,0,MIN(N('Debt List'!F5),N(CL80)+N(CM80)))+((DR80=1)*DT80+(DV80=1)*DX80+(DZ80=1)*EB80+(ED80=1)*EF80+(EH80=1)*EJ80+(EL80=1)*EN80+(EP80=1)*ER80+(ET80=1)*EV80)</f>
        <v/>
      </c>
      <c r="CO80">
        <f>MAX(0,ROUND(N(CL80)+N(CM80)-N(CN80),2))</f>
        <v/>
      </c>
      <c r="CP80">
        <f>N(CS79)</f>
        <v/>
      </c>
      <c r="CQ80">
        <f>IF(N(CP80)&lt;=0.005,0,ROUND(N(CP80)*N('Debt List'!E6)/12,2))</f>
        <v/>
      </c>
      <c r="CR80">
        <f>IF(N(CP80)&lt;=0.005,0,MIN(N('Debt List'!F6),N(CP80)+N(CQ80)))+((DR80=2)*DT80+(DV80=2)*DX80+(DZ80=2)*EB80+(ED80=2)*EF80+(EH80=2)*EJ80+(EL80=2)*EN80+(EP80=2)*ER80+(ET80=2)*EV80)</f>
        <v/>
      </c>
      <c r="CS80">
        <f>MAX(0,ROUND(N(CP80)+N(CQ80)-N(CR80),2))</f>
        <v/>
      </c>
      <c r="CT80">
        <f>N(CW79)</f>
        <v/>
      </c>
      <c r="CU80">
        <f>IF(N(CT80)&lt;=0.005,0,ROUND(N(CT80)*N('Debt List'!E7)/12,2))</f>
        <v/>
      </c>
      <c r="CV80">
        <f>IF(N(CT80)&lt;=0.005,0,MIN(N('Debt List'!F7),N(CT80)+N(CU80)))+((DR80=3)*DT80+(DV80=3)*DX80+(DZ80=3)*EB80+(ED80=3)*EF80+(EH80=3)*EJ80+(EL80=3)*EN80+(EP80=3)*ER80+(ET80=3)*EV80)</f>
        <v/>
      </c>
      <c r="CW80">
        <f>MAX(0,ROUND(N(CT80)+N(CU80)-N(CV80),2))</f>
        <v/>
      </c>
      <c r="CX80">
        <f>N(DA79)</f>
        <v/>
      </c>
      <c r="CY80">
        <f>IF(N(CX80)&lt;=0.005,0,ROUND(N(CX80)*N('Debt List'!E8)/12,2))</f>
        <v/>
      </c>
      <c r="CZ80">
        <f>IF(N(CX80)&lt;=0.005,0,MIN(N('Debt List'!F8),N(CX80)+N(CY80)))+((DR80=4)*DT80+(DV80=4)*DX80+(DZ80=4)*EB80+(ED80=4)*EF80+(EH80=4)*EJ80+(EL80=4)*EN80+(EP80=4)*ER80+(ET80=4)*EV80)</f>
        <v/>
      </c>
      <c r="DA80">
        <f>MAX(0,ROUND(N(CX80)+N(CY80)-N(CZ80),2))</f>
        <v/>
      </c>
      <c r="DB80">
        <f>N(DE79)</f>
        <v/>
      </c>
      <c r="DC80">
        <f>IF(N(DB80)&lt;=0.005,0,ROUND(N(DB80)*N('Debt List'!E9)/12,2))</f>
        <v/>
      </c>
      <c r="DD80">
        <f>IF(N(DB80)&lt;=0.005,0,MIN(N('Debt List'!F9),N(DB80)+N(DC80)))+((DR80=5)*DT80+(DV80=5)*DX80+(DZ80=5)*EB80+(ED80=5)*EF80+(EH80=5)*EJ80+(EL80=5)*EN80+(EP80=5)*ER80+(ET80=5)*EV80)</f>
        <v/>
      </c>
      <c r="DE80">
        <f>MAX(0,ROUND(N(DB80)+N(DC80)-N(DD80),2))</f>
        <v/>
      </c>
      <c r="DF80">
        <f>N(DI79)</f>
        <v/>
      </c>
      <c r="DG80">
        <f>IF(N(DF80)&lt;=0.005,0,ROUND(N(DF80)*N('Debt List'!E10)/12,2))</f>
        <v/>
      </c>
      <c r="DH80">
        <f>IF(N(DF80)&lt;=0.005,0,MIN(N('Debt List'!F10),N(DF80)+N(DG80)))+((DR80=6)*DT80+(DV80=6)*DX80+(DZ80=6)*EB80+(ED80=6)*EF80+(EH80=6)*EJ80+(EL80=6)*EN80+(EP80=6)*ER80+(ET80=6)*EV80)</f>
        <v/>
      </c>
      <c r="DI80">
        <f>MAX(0,ROUND(N(DF80)+N(DG80)-N(DH80),2))</f>
        <v/>
      </c>
      <c r="DJ80">
        <f>N(DM79)</f>
        <v/>
      </c>
      <c r="DK80">
        <f>IF(N(DJ80)&lt;=0.005,0,ROUND(N(DJ80)*N('Debt List'!E11)/12,2))</f>
        <v/>
      </c>
      <c r="DL80">
        <f>IF(N(DJ80)&lt;=0.005,0,MIN(N('Debt List'!F11),N(DJ80)+N(DK80)))+((DR80=7)*DT80+(DV80=7)*DX80+(DZ80=7)*EB80+(ED80=7)*EF80+(EH80=7)*EJ80+(EL80=7)*EN80+(EP80=7)*ER80+(ET80=7)*EV80)</f>
        <v/>
      </c>
      <c r="DM80">
        <f>MAX(0,ROUND(N(DJ80)+N(DK80)-N(DL80),2))</f>
        <v/>
      </c>
      <c r="DN80">
        <f>N(DQ79)</f>
        <v/>
      </c>
      <c r="DO80">
        <f>IF(N(DN80)&lt;=0.005,0,ROUND(N(DN80)*N('Debt List'!E12)/12,2))</f>
        <v/>
      </c>
      <c r="DP80">
        <f>IF(N(DN80)&lt;=0.005,0,MIN(N('Debt List'!F12),N(DN80)+N(DO80)))+((DR80=8)*DT80+(DV80=8)*DX80+(DZ80=8)*EB80+(ED80=8)*EF80+(EH80=8)*EJ80+(EL80=8)*EN80+(EP80=8)*ER80+(ET80=8)*EV80)</f>
        <v/>
      </c>
      <c r="DQ80">
        <f>MAX(0,ROUND(N(DN80)+N(DO80)-N(DP80),2))</f>
        <v/>
      </c>
      <c r="DR80">
        <f>IFERROR(MATCH(1,OrderSnow,0),"")</f>
        <v/>
      </c>
      <c r="DS80">
        <f>IF(DR80="",0,IFERROR(IF(N(CHOOSE(DR80,CL80,CP80,CT80,CX80,DB80,DF80,DJ80,DN80))&lt;=0.005,0,MAX(0,N(CHOOSE(DR80,CL80,CP80,CT80,CX80,DB80,DF80,DJ80,DN80))+N(CHOOSE(DR80,CM80,CQ80,CU80,CY80,DC80,DG80,DK80,DO80))-MIN(N(CHOOSE(DR80,'Debt List'!$F$5,'Debt List'!$F$6,'Debt List'!$F$7,'Debt List'!$F$8,'Debt List'!$F$9,'Debt List'!$F$10,'Debt List'!$F$11,'Debt List'!$F$12)),N(CHOOSE(DR80,CL80,CP80,CT80,CX80,DB80,DF80,DJ80,DN80))+N(CHOOSE(DR80,CM80,CQ80,CU80,CY80,DC80,DG80,DK80,DO80))))),0))</f>
        <v/>
      </c>
      <c r="DT80">
        <f>MIN(N(DS80),MAX(0,N(ExtraPayment)))</f>
        <v/>
      </c>
      <c r="DU80">
        <f>MAX(0,N(ExtraPayment)-N(DT80))</f>
        <v/>
      </c>
      <c r="DV80">
        <f>IFERROR(MATCH(2,OrderSnow,0),"")</f>
        <v/>
      </c>
      <c r="DW80">
        <f>IF(DV80="",0,IFERROR(IF(N(CHOOSE(DV80,CL80,CP80,CT80,CX80,DB80,DF80,DJ80,DN80))&lt;=0.005,0,MAX(0,N(CHOOSE(DV80,CL80,CP80,CT80,CX80,DB80,DF80,DJ80,DN80))+N(CHOOSE(DV80,CM80,CQ80,CU80,CY80,DC80,DG80,DK80,DO80))-MIN(N(CHOOSE(DV80,'Debt List'!$F$5,'Debt List'!$F$6,'Debt List'!$F$7,'Debt List'!$F$8,'Debt List'!$F$9,'Debt List'!$F$10,'Debt List'!$F$11,'Debt List'!$F$12)),N(CHOOSE(DV80,CL80,CP80,CT80,CX80,DB80,DF80,DJ80,DN80))+N(CHOOSE(DV80,CM80,CQ80,CU80,CY80,DC80,DG80,DK80,DO80))))),0))</f>
        <v/>
      </c>
      <c r="DX80">
        <f>MIN(N(DW80),MAX(0,N(DU80)))</f>
        <v/>
      </c>
      <c r="DY80">
        <f>MAX(0,N(DU80)-N(DX80))</f>
        <v/>
      </c>
      <c r="DZ80">
        <f>IFERROR(MATCH(3,OrderSnow,0),"")</f>
        <v/>
      </c>
      <c r="EA80">
        <f>IF(DZ80="",0,IFERROR(IF(N(CHOOSE(DZ80,CL80,CP80,CT80,CX80,DB80,DF80,DJ80,DN80))&lt;=0.005,0,MAX(0,N(CHOOSE(DZ80,CL80,CP80,CT80,CX80,DB80,DF80,DJ80,DN80))+N(CHOOSE(DZ80,CM80,CQ80,CU80,CY80,DC80,DG80,DK80,DO80))-MIN(N(CHOOSE(DZ80,'Debt List'!$F$5,'Debt List'!$F$6,'Debt List'!$F$7,'Debt List'!$F$8,'Debt List'!$F$9,'Debt List'!$F$10,'Debt List'!$F$11,'Debt List'!$F$12)),N(CHOOSE(DZ80,CL80,CP80,CT80,CX80,DB80,DF80,DJ80,DN80))+N(CHOOSE(DZ80,CM80,CQ80,CU80,CY80,DC80,DG80,DK80,DO80))))),0))</f>
        <v/>
      </c>
      <c r="EB80">
        <f>MIN(N(EA80),MAX(0,N(DY80)))</f>
        <v/>
      </c>
      <c r="EC80">
        <f>MAX(0,N(DY80)-N(EB80))</f>
        <v/>
      </c>
      <c r="ED80">
        <f>IFERROR(MATCH(4,OrderSnow,0),"")</f>
        <v/>
      </c>
      <c r="EE80">
        <f>IF(ED80="",0,IFERROR(IF(N(CHOOSE(ED80,CL80,CP80,CT80,CX80,DB80,DF80,DJ80,DN80))&lt;=0.005,0,MAX(0,N(CHOOSE(ED80,CL80,CP80,CT80,CX80,DB80,DF80,DJ80,DN80))+N(CHOOSE(ED80,CM80,CQ80,CU80,CY80,DC80,DG80,DK80,DO80))-MIN(N(CHOOSE(ED80,'Debt List'!$F$5,'Debt List'!$F$6,'Debt List'!$F$7,'Debt List'!$F$8,'Debt List'!$F$9,'Debt List'!$F$10,'Debt List'!$F$11,'Debt List'!$F$12)),N(CHOOSE(ED80,CL80,CP80,CT80,CX80,DB80,DF80,DJ80,DN80))+N(CHOOSE(ED80,CM80,CQ80,CU80,CY80,DC80,DG80,DK80,DO80))))),0))</f>
        <v/>
      </c>
      <c r="EF80">
        <f>MIN(N(EE80),MAX(0,N(EC80)))</f>
        <v/>
      </c>
      <c r="EG80">
        <f>MAX(0,N(EC80)-N(EF80))</f>
        <v/>
      </c>
      <c r="EH80">
        <f>IFERROR(MATCH(5,OrderSnow,0),"")</f>
        <v/>
      </c>
      <c r="EI80">
        <f>IF(EH80="",0,IFERROR(IF(N(CHOOSE(EH80,CL80,CP80,CT80,CX80,DB80,DF80,DJ80,DN80))&lt;=0.005,0,MAX(0,N(CHOOSE(EH80,CL80,CP80,CT80,CX80,DB80,DF80,DJ80,DN80))+N(CHOOSE(EH80,CM80,CQ80,CU80,CY80,DC80,DG80,DK80,DO80))-MIN(N(CHOOSE(EH80,'Debt List'!$F$5,'Debt List'!$F$6,'Debt List'!$F$7,'Debt List'!$F$8,'Debt List'!$F$9,'Debt List'!$F$10,'Debt List'!$F$11,'Debt List'!$F$12)),N(CHOOSE(EH80,CL80,CP80,CT80,CX80,DB80,DF80,DJ80,DN80))+N(CHOOSE(EH80,CM80,CQ80,CU80,CY80,DC80,DG80,DK80,DO80))))),0))</f>
        <v/>
      </c>
      <c r="EJ80">
        <f>MIN(N(EI80),MAX(0,N(EG80)))</f>
        <v/>
      </c>
      <c r="EK80">
        <f>MAX(0,N(EG80)-N(EJ80))</f>
        <v/>
      </c>
      <c r="EL80">
        <f>IFERROR(MATCH(6,OrderSnow,0),"")</f>
        <v/>
      </c>
      <c r="EM80">
        <f>IF(EL80="",0,IFERROR(IF(N(CHOOSE(EL80,CL80,CP80,CT80,CX80,DB80,DF80,DJ80,DN80))&lt;=0.005,0,MAX(0,N(CHOOSE(EL80,CL80,CP80,CT80,CX80,DB80,DF80,DJ80,DN80))+N(CHOOSE(EL80,CM80,CQ80,CU80,CY80,DC80,DG80,DK80,DO80))-MIN(N(CHOOSE(EL80,'Debt List'!$F$5,'Debt List'!$F$6,'Debt List'!$F$7,'Debt List'!$F$8,'Debt List'!$F$9,'Debt List'!$F$10,'Debt List'!$F$11,'Debt List'!$F$12)),N(CHOOSE(EL80,CL80,CP80,CT80,CX80,DB80,DF80,DJ80,DN80))+N(CHOOSE(EL80,CM80,CQ80,CU80,CY80,DC80,DG80,DK80,DO80))))),0))</f>
        <v/>
      </c>
      <c r="EN80">
        <f>MIN(N(EM80),MAX(0,N(EK80)))</f>
        <v/>
      </c>
      <c r="EO80">
        <f>MAX(0,N(EK80)-N(EN80))</f>
        <v/>
      </c>
      <c r="EP80">
        <f>IFERROR(MATCH(7,OrderSnow,0),"")</f>
        <v/>
      </c>
      <c r="EQ80">
        <f>IF(EP80="",0,IFERROR(IF(N(CHOOSE(EP80,CL80,CP80,CT80,CX80,DB80,DF80,DJ80,DN80))&lt;=0.005,0,MAX(0,N(CHOOSE(EP80,CL80,CP80,CT80,CX80,DB80,DF80,DJ80,DN80))+N(CHOOSE(EP80,CM80,CQ80,CU80,CY80,DC80,DG80,DK80,DO80))-MIN(N(CHOOSE(EP80,'Debt List'!$F$5,'Debt List'!$F$6,'Debt List'!$F$7,'Debt List'!$F$8,'Debt List'!$F$9,'Debt List'!$F$10,'Debt List'!$F$11,'Debt List'!$F$12)),N(CHOOSE(EP80,CL80,CP80,CT80,CX80,DB80,DF80,DJ80,DN80))+N(CHOOSE(EP80,CM80,CQ80,CU80,CY80,DC80,DG80,DK80,DO80))))),0))</f>
        <v/>
      </c>
      <c r="ER80">
        <f>MIN(N(EQ80),MAX(0,N(EO80)))</f>
        <v/>
      </c>
      <c r="ES80">
        <f>MAX(0,N(EO80)-N(ER80))</f>
        <v/>
      </c>
      <c r="ET80">
        <f>IFERROR(MATCH(8,OrderSnow,0),"")</f>
        <v/>
      </c>
      <c r="EU80">
        <f>IF(ET80="",0,IFERROR(IF(N(CHOOSE(ET80,CL80,CP80,CT80,CX80,DB80,DF80,DJ80,DN80))&lt;=0.005,0,MAX(0,N(CHOOSE(ET80,CL80,CP80,CT80,CX80,DB80,DF80,DJ80,DN80))+N(CHOOSE(ET80,CM80,CQ80,CU80,CY80,DC80,DG80,DK80,DO80))-MIN(N(CHOOSE(ET80,'Debt List'!$F$5,'Debt List'!$F$6,'Debt List'!$F$7,'Debt List'!$F$8,'Debt List'!$F$9,'Debt List'!$F$10,'Debt List'!$F$11,'Debt List'!$F$12)),N(CHOOSE(ET80,CL80,CP80,CT80,CX80,DB80,DF80,DJ80,DN80))+N(CHOOSE(ET80,CM80,CQ80,CU80,CY80,DC80,DG80,DK80,DO80))))),0))</f>
        <v/>
      </c>
      <c r="EV80">
        <f>MIN(N(EU80),MAX(0,N(ES80)))</f>
        <v/>
      </c>
      <c r="EW80">
        <f>MAX(0,N(ES80)-N(EV80))</f>
        <v/>
      </c>
      <c r="FE80" t="n">
        <v>76</v>
      </c>
      <c r="FF80" s="115">
        <f>DATE(YEAR(PlanStart),MONTH(PlanStart)+FE80-1,1)</f>
        <v/>
      </c>
      <c r="FG80">
        <f>IF(AND(GT80&lt;&gt;"",N(CHOOSE(GT80,FN80,FR80,FV80,FZ80,GD80,GH80,GL80,GP80))&gt;0.005),INDEX(DebtNames,GT80),IF(AND(GX80&lt;&gt;"",N(CHOOSE(GX80,FN80,FR80,FV80,FZ80,GD80,GH80,GL80,GP80))&gt;0.005),INDEX(DebtNames,GX80),IF(AND(HB80&lt;&gt;"",N(CHOOSE(HB80,FN80,FR80,FV80,FZ80,GD80,GH80,GL80,GP80))&gt;0.005),INDEX(DebtNames,HB80),IF(AND(HF80&lt;&gt;"",N(CHOOSE(HF80,FN80,FR80,FV80,FZ80,GD80,GH80,GL80,GP80))&gt;0.005),INDEX(DebtNames,HF80),IF(AND(HJ80&lt;&gt;"",N(CHOOSE(HJ80,FN80,FR80,FV80,FZ80,GD80,GH80,GL80,GP80))&gt;0.005),INDEX(DebtNames,HJ80),IF(AND(HN80&lt;&gt;"",N(CHOOSE(HN80,FN80,FR80,FV80,FZ80,GD80,GH80,GL80,GP80))&gt;0.005),INDEX(DebtNames,HN80),IF(AND(HR80&lt;&gt;"",N(CHOOSE(HR80,FN80,FR80,FV80,FZ80,GD80,GH80,GL80,GP80))&gt;0.005),INDEX(DebtNames,HR80),IF(AND(HV80&lt;&gt;"",N(CHOOSE(HV80,FN80,FR80,FV80,FZ80,GD80,GH80,GL80,GP80))&gt;0.005),INDEX(DebtNames,HV80),""))))))))</f>
        <v/>
      </c>
      <c r="FH80">
        <f>N(HY80)</f>
        <v/>
      </c>
      <c r="FI80">
        <f>N(FP80)+N(FT80)+N(FX80)+N(GB80)+N(GF80)+N(GJ80)+N(GN80)+N(GR80)</f>
        <v/>
      </c>
      <c r="FJ80">
        <f>N(FO80)+N(FS80)+N(FW80)+N(GA80)+N(GE80)+N(GI80)+N(GM80)+N(GQ80)</f>
        <v/>
      </c>
      <c r="FK80">
        <f>N(FK79)+N(FJ80)</f>
        <v/>
      </c>
      <c r="FL80">
        <f>N(FQ80)+N(FU80)+N(FY80)+N(GC80)+N(GG80)+N(GK80)+N(GO80)+N(GS80)</f>
        <v/>
      </c>
      <c r="FM80">
        <f>(FQ80&gt;0.005)*1+(FU80&gt;0.005)*1+(FY80&gt;0.005)*1+(GC80&gt;0.005)*1+(GG80&gt;0.005)*1+(GK80&gt;0.005)*1+(GO80&gt;0.005)*1+(GS80&gt;0.005)*1</f>
        <v/>
      </c>
      <c r="FN80">
        <f>N(FQ79)</f>
        <v/>
      </c>
      <c r="FO80">
        <f>IF(N(FN80)&lt;=0.005,0,ROUND(N(FN80)*N('Debt List'!E5)/12,2))</f>
        <v/>
      </c>
      <c r="FP80">
        <f>IF(N(FN80)&lt;=0.005,0,MIN(N('Debt List'!F5),N(FN80)+N(FO80)))+((GT80=1)*GV80+(GX80=1)*GZ80+(HB80=1)*HD80+(HF80=1)*HH80+(HJ80=1)*HL80+(HN80=1)*HP80+(HR80=1)*HT80+(HV80=1)*HX80)</f>
        <v/>
      </c>
      <c r="FQ80">
        <f>MAX(0,ROUND(N(FN80)+N(FO80)-N(FP80),2))</f>
        <v/>
      </c>
      <c r="FR80">
        <f>N(FU79)</f>
        <v/>
      </c>
      <c r="FS80">
        <f>IF(N(FR80)&lt;=0.005,0,ROUND(N(FR80)*N('Debt List'!E6)/12,2))</f>
        <v/>
      </c>
      <c r="FT80">
        <f>IF(N(FR80)&lt;=0.005,0,MIN(N('Debt List'!F6),N(FR80)+N(FS80)))+((GT80=2)*GV80+(GX80=2)*GZ80+(HB80=2)*HD80+(HF80=2)*HH80+(HJ80=2)*HL80+(HN80=2)*HP80+(HR80=2)*HT80+(HV80=2)*HX80)</f>
        <v/>
      </c>
      <c r="FU80">
        <f>MAX(0,ROUND(N(FR80)+N(FS80)-N(FT80),2))</f>
        <v/>
      </c>
      <c r="FV80">
        <f>N(FY79)</f>
        <v/>
      </c>
      <c r="FW80">
        <f>IF(N(FV80)&lt;=0.005,0,ROUND(N(FV80)*N('Debt List'!E7)/12,2))</f>
        <v/>
      </c>
      <c r="FX80">
        <f>IF(N(FV80)&lt;=0.005,0,MIN(N('Debt List'!F7),N(FV80)+N(FW80)))+((GT80=3)*GV80+(GX80=3)*GZ80+(HB80=3)*HD80+(HF80=3)*HH80+(HJ80=3)*HL80+(HN80=3)*HP80+(HR80=3)*HT80+(HV80=3)*HX80)</f>
        <v/>
      </c>
      <c r="FY80">
        <f>MAX(0,ROUND(N(FV80)+N(FW80)-N(FX80),2))</f>
        <v/>
      </c>
      <c r="FZ80">
        <f>N(GC79)</f>
        <v/>
      </c>
      <c r="GA80">
        <f>IF(N(FZ80)&lt;=0.005,0,ROUND(N(FZ80)*N('Debt List'!E8)/12,2))</f>
        <v/>
      </c>
      <c r="GB80">
        <f>IF(N(FZ80)&lt;=0.005,0,MIN(N('Debt List'!F8),N(FZ80)+N(GA80)))+((GT80=4)*GV80+(GX80=4)*GZ80+(HB80=4)*HD80+(HF80=4)*HH80+(HJ80=4)*HL80+(HN80=4)*HP80+(HR80=4)*HT80+(HV80=4)*HX80)</f>
        <v/>
      </c>
      <c r="GC80">
        <f>MAX(0,ROUND(N(FZ80)+N(GA80)-N(GB80),2))</f>
        <v/>
      </c>
      <c r="GD80">
        <f>N(GG79)</f>
        <v/>
      </c>
      <c r="GE80">
        <f>IF(N(GD80)&lt;=0.005,0,ROUND(N(GD80)*N('Debt List'!E9)/12,2))</f>
        <v/>
      </c>
      <c r="GF80">
        <f>IF(N(GD80)&lt;=0.005,0,MIN(N('Debt List'!F9),N(GD80)+N(GE80)))+((GT80=5)*GV80+(GX80=5)*GZ80+(HB80=5)*HD80+(HF80=5)*HH80+(HJ80=5)*HL80+(HN80=5)*HP80+(HR80=5)*HT80+(HV80=5)*HX80)</f>
        <v/>
      </c>
      <c r="GG80">
        <f>MAX(0,ROUND(N(GD80)+N(GE80)-N(GF80),2))</f>
        <v/>
      </c>
      <c r="GH80">
        <f>N(GK79)</f>
        <v/>
      </c>
      <c r="GI80">
        <f>IF(N(GH80)&lt;=0.005,0,ROUND(N(GH80)*N('Debt List'!E10)/12,2))</f>
        <v/>
      </c>
      <c r="GJ80">
        <f>IF(N(GH80)&lt;=0.005,0,MIN(N('Debt List'!F10),N(GH80)+N(GI80)))+((GT80=6)*GV80+(GX80=6)*GZ80+(HB80=6)*HD80+(HF80=6)*HH80+(HJ80=6)*HL80+(HN80=6)*HP80+(HR80=6)*HT80+(HV80=6)*HX80)</f>
        <v/>
      </c>
      <c r="GK80">
        <f>MAX(0,ROUND(N(GH80)+N(GI80)-N(GJ80),2))</f>
        <v/>
      </c>
      <c r="GL80">
        <f>N(GO79)</f>
        <v/>
      </c>
      <c r="GM80">
        <f>IF(N(GL80)&lt;=0.005,0,ROUND(N(GL80)*N('Debt List'!E11)/12,2))</f>
        <v/>
      </c>
      <c r="GN80">
        <f>IF(N(GL80)&lt;=0.005,0,MIN(N('Debt List'!F11),N(GL80)+N(GM80)))+((GT80=7)*GV80+(GX80=7)*GZ80+(HB80=7)*HD80+(HF80=7)*HH80+(HJ80=7)*HL80+(HN80=7)*HP80+(HR80=7)*HT80+(HV80=7)*HX80)</f>
        <v/>
      </c>
      <c r="GO80">
        <f>MAX(0,ROUND(N(GL80)+N(GM80)-N(GN80),2))</f>
        <v/>
      </c>
      <c r="GP80">
        <f>N(GS79)</f>
        <v/>
      </c>
      <c r="GQ80">
        <f>IF(N(GP80)&lt;=0.005,0,ROUND(N(GP80)*N('Debt List'!E12)/12,2))</f>
        <v/>
      </c>
      <c r="GR80">
        <f>IF(N(GP80)&lt;=0.005,0,MIN(N('Debt List'!F12),N(GP80)+N(GQ80)))+((GT80=8)*GV80+(GX80=8)*GZ80+(HB80=8)*HD80+(HF80=8)*HH80+(HJ80=8)*HL80+(HN80=8)*HP80+(HR80=8)*HT80+(HV80=8)*HX80)</f>
        <v/>
      </c>
      <c r="GS80">
        <f>MAX(0,ROUND(N(GP80)+N(GQ80)-N(GR80),2))</f>
        <v/>
      </c>
      <c r="GT80">
        <f>IFERROR(MATCH(1,OrderAval,0),"")</f>
        <v/>
      </c>
      <c r="GU80">
        <f>IF(GT80="",0,IFERROR(IF(N(CHOOSE(GT80,FN80,FR80,FV80,FZ80,GD80,GH80,GL80,GP80))&lt;=0.005,0,MAX(0,N(CHOOSE(GT80,FN80,FR80,FV80,FZ80,GD80,GH80,GL80,GP80))+N(CHOOSE(GT80,FO80,FS80,FW80,GA80,GE80,GI80,GM80,GQ80))-MIN(N(CHOOSE(GT80,'Debt List'!$F$5,'Debt List'!$F$6,'Debt List'!$F$7,'Debt List'!$F$8,'Debt List'!$F$9,'Debt List'!$F$10,'Debt List'!$F$11,'Debt List'!$F$12)),N(CHOOSE(GT80,FN80,FR80,FV80,FZ80,GD80,GH80,GL80,GP80))+N(CHOOSE(GT80,FO80,FS80,FW80,GA80,GE80,GI80,GM80,GQ80))))),0))</f>
        <v/>
      </c>
      <c r="GV80">
        <f>MIN(N(GU80),MAX(0,N(ExtraPayment)))</f>
        <v/>
      </c>
      <c r="GW80">
        <f>MAX(0,N(ExtraPayment)-N(GV80))</f>
        <v/>
      </c>
      <c r="GX80">
        <f>IFERROR(MATCH(2,OrderAval,0),"")</f>
        <v/>
      </c>
      <c r="GY80">
        <f>IF(GX80="",0,IFERROR(IF(N(CHOOSE(GX80,FN80,FR80,FV80,FZ80,GD80,GH80,GL80,GP80))&lt;=0.005,0,MAX(0,N(CHOOSE(GX80,FN80,FR80,FV80,FZ80,GD80,GH80,GL80,GP80))+N(CHOOSE(GX80,FO80,FS80,FW80,GA80,GE80,GI80,GM80,GQ80))-MIN(N(CHOOSE(GX80,'Debt List'!$F$5,'Debt List'!$F$6,'Debt List'!$F$7,'Debt List'!$F$8,'Debt List'!$F$9,'Debt List'!$F$10,'Debt List'!$F$11,'Debt List'!$F$12)),N(CHOOSE(GX80,FN80,FR80,FV80,FZ80,GD80,GH80,GL80,GP80))+N(CHOOSE(GX80,FO80,FS80,FW80,GA80,GE80,GI80,GM80,GQ80))))),0))</f>
        <v/>
      </c>
      <c r="GZ80">
        <f>MIN(N(GY80),MAX(0,N(GW80)))</f>
        <v/>
      </c>
      <c r="HA80">
        <f>MAX(0,N(GW80)-N(GZ80))</f>
        <v/>
      </c>
      <c r="HB80">
        <f>IFERROR(MATCH(3,OrderAval,0),"")</f>
        <v/>
      </c>
      <c r="HC80">
        <f>IF(HB80="",0,IFERROR(IF(N(CHOOSE(HB80,FN80,FR80,FV80,FZ80,GD80,GH80,GL80,GP80))&lt;=0.005,0,MAX(0,N(CHOOSE(HB80,FN80,FR80,FV80,FZ80,GD80,GH80,GL80,GP80))+N(CHOOSE(HB80,FO80,FS80,FW80,GA80,GE80,GI80,GM80,GQ80))-MIN(N(CHOOSE(HB80,'Debt List'!$F$5,'Debt List'!$F$6,'Debt List'!$F$7,'Debt List'!$F$8,'Debt List'!$F$9,'Debt List'!$F$10,'Debt List'!$F$11,'Debt List'!$F$12)),N(CHOOSE(HB80,FN80,FR80,FV80,FZ80,GD80,GH80,GL80,GP80))+N(CHOOSE(HB80,FO80,FS80,FW80,GA80,GE80,GI80,GM80,GQ80))))),0))</f>
        <v/>
      </c>
      <c r="HD80">
        <f>MIN(N(HC80),MAX(0,N(HA80)))</f>
        <v/>
      </c>
      <c r="HE80">
        <f>MAX(0,N(HA80)-N(HD80))</f>
        <v/>
      </c>
      <c r="HF80">
        <f>IFERROR(MATCH(4,OrderAval,0),"")</f>
        <v/>
      </c>
      <c r="HG80">
        <f>IF(HF80="",0,IFERROR(IF(N(CHOOSE(HF80,FN80,FR80,FV80,FZ80,GD80,GH80,GL80,GP80))&lt;=0.005,0,MAX(0,N(CHOOSE(HF80,FN80,FR80,FV80,FZ80,GD80,GH80,GL80,GP80))+N(CHOOSE(HF80,FO80,FS80,FW80,GA80,GE80,GI80,GM80,GQ80))-MIN(N(CHOOSE(HF80,'Debt List'!$F$5,'Debt List'!$F$6,'Debt List'!$F$7,'Debt List'!$F$8,'Debt List'!$F$9,'Debt List'!$F$10,'Debt List'!$F$11,'Debt List'!$F$12)),N(CHOOSE(HF80,FN80,FR80,FV80,FZ80,GD80,GH80,GL80,GP80))+N(CHOOSE(HF80,FO80,FS80,FW80,GA80,GE80,GI80,GM80,GQ80))))),0))</f>
        <v/>
      </c>
      <c r="HH80">
        <f>MIN(N(HG80),MAX(0,N(HE80)))</f>
        <v/>
      </c>
      <c r="HI80">
        <f>MAX(0,N(HE80)-N(HH80))</f>
        <v/>
      </c>
      <c r="HJ80">
        <f>IFERROR(MATCH(5,OrderAval,0),"")</f>
        <v/>
      </c>
      <c r="HK80">
        <f>IF(HJ80="",0,IFERROR(IF(N(CHOOSE(HJ80,FN80,FR80,FV80,FZ80,GD80,GH80,GL80,GP80))&lt;=0.005,0,MAX(0,N(CHOOSE(HJ80,FN80,FR80,FV80,FZ80,GD80,GH80,GL80,GP80))+N(CHOOSE(HJ80,FO80,FS80,FW80,GA80,GE80,GI80,GM80,GQ80))-MIN(N(CHOOSE(HJ80,'Debt List'!$F$5,'Debt List'!$F$6,'Debt List'!$F$7,'Debt List'!$F$8,'Debt List'!$F$9,'Debt List'!$F$10,'Debt List'!$F$11,'Debt List'!$F$12)),N(CHOOSE(HJ80,FN80,FR80,FV80,FZ80,GD80,GH80,GL80,GP80))+N(CHOOSE(HJ80,FO80,FS80,FW80,GA80,GE80,GI80,GM80,GQ80))))),0))</f>
        <v/>
      </c>
      <c r="HL80">
        <f>MIN(N(HK80),MAX(0,N(HI80)))</f>
        <v/>
      </c>
      <c r="HM80">
        <f>MAX(0,N(HI80)-N(HL80))</f>
        <v/>
      </c>
      <c r="HN80">
        <f>IFERROR(MATCH(6,OrderAval,0),"")</f>
        <v/>
      </c>
      <c r="HO80">
        <f>IF(HN80="",0,IFERROR(IF(N(CHOOSE(HN80,FN80,FR80,FV80,FZ80,GD80,GH80,GL80,GP80))&lt;=0.005,0,MAX(0,N(CHOOSE(HN80,FN80,FR80,FV80,FZ80,GD80,GH80,GL80,GP80))+N(CHOOSE(HN80,FO80,FS80,FW80,GA80,GE80,GI80,GM80,GQ80))-MIN(N(CHOOSE(HN80,'Debt List'!$F$5,'Debt List'!$F$6,'Debt List'!$F$7,'Debt List'!$F$8,'Debt List'!$F$9,'Debt List'!$F$10,'Debt List'!$F$11,'Debt List'!$F$12)),N(CHOOSE(HN80,FN80,FR80,FV80,FZ80,GD80,GH80,GL80,GP80))+N(CHOOSE(HN80,FO80,FS80,FW80,GA80,GE80,GI80,GM80,GQ80))))),0))</f>
        <v/>
      </c>
      <c r="HP80">
        <f>MIN(N(HO80),MAX(0,N(HM80)))</f>
        <v/>
      </c>
      <c r="HQ80">
        <f>MAX(0,N(HM80)-N(HP80))</f>
        <v/>
      </c>
      <c r="HR80">
        <f>IFERROR(MATCH(7,OrderAval,0),"")</f>
        <v/>
      </c>
      <c r="HS80">
        <f>IF(HR80="",0,IFERROR(IF(N(CHOOSE(HR80,FN80,FR80,FV80,FZ80,GD80,GH80,GL80,GP80))&lt;=0.005,0,MAX(0,N(CHOOSE(HR80,FN80,FR80,FV80,FZ80,GD80,GH80,GL80,GP80))+N(CHOOSE(HR80,FO80,FS80,FW80,GA80,GE80,GI80,GM80,GQ80))-MIN(N(CHOOSE(HR80,'Debt List'!$F$5,'Debt List'!$F$6,'Debt List'!$F$7,'Debt List'!$F$8,'Debt List'!$F$9,'Debt List'!$F$10,'Debt List'!$F$11,'Debt List'!$F$12)),N(CHOOSE(HR80,FN80,FR80,FV80,FZ80,GD80,GH80,GL80,GP80))+N(CHOOSE(HR80,FO80,FS80,FW80,GA80,GE80,GI80,GM80,GQ80))))),0))</f>
        <v/>
      </c>
      <c r="HT80">
        <f>MIN(N(HS80),MAX(0,N(HQ80)))</f>
        <v/>
      </c>
      <c r="HU80">
        <f>MAX(0,N(HQ80)-N(HT80))</f>
        <v/>
      </c>
      <c r="HV80">
        <f>IFERROR(MATCH(8,OrderAval,0),"")</f>
        <v/>
      </c>
      <c r="HW80">
        <f>IF(HV80="",0,IFERROR(IF(N(CHOOSE(HV80,FN80,FR80,FV80,FZ80,GD80,GH80,GL80,GP80))&lt;=0.005,0,MAX(0,N(CHOOSE(HV80,FN80,FR80,FV80,FZ80,GD80,GH80,GL80,GP80))+N(CHOOSE(HV80,FO80,FS80,FW80,GA80,GE80,GI80,GM80,GQ80))-MIN(N(CHOOSE(HV80,'Debt List'!$F$5,'Debt List'!$F$6,'Debt List'!$F$7,'Debt List'!$F$8,'Debt List'!$F$9,'Debt List'!$F$10,'Debt List'!$F$11,'Debt List'!$F$12)),N(CHOOSE(HV80,FN80,FR80,FV80,FZ80,GD80,GH80,GL80,GP80))+N(CHOOSE(HV80,FO80,FS80,FW80,GA80,GE80,GI80,GM80,GQ80))))),0))</f>
        <v/>
      </c>
      <c r="HX80">
        <f>MIN(N(HW80),MAX(0,N(HU80)))</f>
        <v/>
      </c>
      <c r="HY80">
        <f>MAX(0,N(HU80)-N(HX80))</f>
        <v/>
      </c>
    </row>
    <row r="81">
      <c r="A81" t="n">
        <v>77</v>
      </c>
      <c r="B81" s="115">
        <f>DATE(YEAR(PlanStart),MONTH(PlanStart)+A81-1,1)</f>
        <v/>
      </c>
      <c r="C81">
        <f>IF(AND(AP81&lt;&gt;"",N(CHOOSE(AP81,J81,N81,R81,V81,Z81,AD81,AH81,AL81))&gt;0.005),INDEX(DebtNames,AP81),IF(AND(AT81&lt;&gt;"",N(CHOOSE(AT81,J81,N81,R81,V81,Z81,AD81,AH81,AL81))&gt;0.005),INDEX(DebtNames,AT81),IF(AND(AX81&lt;&gt;"",N(CHOOSE(AX81,J81,N81,R81,V81,Z81,AD81,AH81,AL81))&gt;0.005),INDEX(DebtNames,AX81),IF(AND(BB81&lt;&gt;"",N(CHOOSE(BB81,J81,N81,R81,V81,Z81,AD81,AH81,AL81))&gt;0.005),INDEX(DebtNames,BB81),IF(AND(BF81&lt;&gt;"",N(CHOOSE(BF81,J81,N81,R81,V81,Z81,AD81,AH81,AL81))&gt;0.005),INDEX(DebtNames,BF81),IF(AND(BJ81&lt;&gt;"",N(CHOOSE(BJ81,J81,N81,R81,V81,Z81,AD81,AH81,AL81))&gt;0.005),INDEX(DebtNames,BJ81),IF(AND(BN81&lt;&gt;"",N(CHOOSE(BN81,J81,N81,R81,V81,Z81,AD81,AH81,AL81))&gt;0.005),INDEX(DebtNames,BN81),IF(AND(BR81&lt;&gt;"",N(CHOOSE(BR81,J81,N81,R81,V81,Z81,AD81,AH81,AL81))&gt;0.005),INDEX(DebtNames,BR81),""))))))))</f>
        <v/>
      </c>
      <c r="D81">
        <f>N(BU81)</f>
        <v/>
      </c>
      <c r="E81">
        <f>N(L81)+N(P81)+N(T81)+N(X81)+N(AB81)+N(AF81)+N(AJ81)+N(AN81)</f>
        <v/>
      </c>
      <c r="F81">
        <f>N(K81)+N(O81)+N(S81)+N(W81)+N(AA81)+N(AE81)+N(AI81)+N(AM81)</f>
        <v/>
      </c>
      <c r="G81">
        <f>N(G80)+N(F81)</f>
        <v/>
      </c>
      <c r="H81">
        <f>N(M81)+N(Q81)+N(U81)+N(Y81)+N(AC81)+N(AG81)+N(AK81)+N(AO81)</f>
        <v/>
      </c>
      <c r="I81">
        <f>(M81&gt;0.005)*1+(Q81&gt;0.005)*1+(U81&gt;0.005)*1+(Y81&gt;0.005)*1+(AC81&gt;0.005)*1+(AG81&gt;0.005)*1+(AK81&gt;0.005)*1+(AO81&gt;0.005)*1</f>
        <v/>
      </c>
      <c r="J81">
        <f>N(M80)</f>
        <v/>
      </c>
      <c r="K81">
        <f>IF(N(J81)&lt;=0.005,0,ROUND(N(J81)*N('Debt List'!E5)/12,2))</f>
        <v/>
      </c>
      <c r="L81">
        <f>IF(N(J81)&lt;=0.005,0,MIN(N('Debt List'!F5),N(J81)+N(K81)))+((AP81=1)*AR81+(AT81=1)*AV81+(AX81=1)*AZ81+(BB81=1)*BD81+(BF81=1)*BH81+(BJ81=1)*BL81+(BN81=1)*BP81+(BR81=1)*BT81)</f>
        <v/>
      </c>
      <c r="M81">
        <f>MAX(0,ROUND(N(J81)+N(K81)-N(L81),2))</f>
        <v/>
      </c>
      <c r="N81">
        <f>N(Q80)</f>
        <v/>
      </c>
      <c r="O81">
        <f>IF(N(N81)&lt;=0.005,0,ROUND(N(N81)*N('Debt List'!E6)/12,2))</f>
        <v/>
      </c>
      <c r="P81">
        <f>IF(N(N81)&lt;=0.005,0,MIN(N('Debt List'!F6),N(N81)+N(O81)))+((AP81=2)*AR81+(AT81=2)*AV81+(AX81=2)*AZ81+(BB81=2)*BD81+(BF81=2)*BH81+(BJ81=2)*BL81+(BN81=2)*BP81+(BR81=2)*BT81)</f>
        <v/>
      </c>
      <c r="Q81">
        <f>MAX(0,ROUND(N(N81)+N(O81)-N(P81),2))</f>
        <v/>
      </c>
      <c r="R81">
        <f>N(U80)</f>
        <v/>
      </c>
      <c r="S81">
        <f>IF(N(R81)&lt;=0.005,0,ROUND(N(R81)*N('Debt List'!E7)/12,2))</f>
        <v/>
      </c>
      <c r="T81">
        <f>IF(N(R81)&lt;=0.005,0,MIN(N('Debt List'!F7),N(R81)+N(S81)))+((AP81=3)*AR81+(AT81=3)*AV81+(AX81=3)*AZ81+(BB81=3)*BD81+(BF81=3)*BH81+(BJ81=3)*BL81+(BN81=3)*BP81+(BR81=3)*BT81)</f>
        <v/>
      </c>
      <c r="U81">
        <f>MAX(0,ROUND(N(R81)+N(S81)-N(T81),2))</f>
        <v/>
      </c>
      <c r="V81">
        <f>N(Y80)</f>
        <v/>
      </c>
      <c r="W81">
        <f>IF(N(V81)&lt;=0.005,0,ROUND(N(V81)*N('Debt List'!E8)/12,2))</f>
        <v/>
      </c>
      <c r="X81">
        <f>IF(N(V81)&lt;=0.005,0,MIN(N('Debt List'!F8),N(V81)+N(W81)))+((AP81=4)*AR81+(AT81=4)*AV81+(AX81=4)*AZ81+(BB81=4)*BD81+(BF81=4)*BH81+(BJ81=4)*BL81+(BN81=4)*BP81+(BR81=4)*BT81)</f>
        <v/>
      </c>
      <c r="Y81">
        <f>MAX(0,ROUND(N(V81)+N(W81)-N(X81),2))</f>
        <v/>
      </c>
      <c r="Z81">
        <f>N(AC80)</f>
        <v/>
      </c>
      <c r="AA81">
        <f>IF(N(Z81)&lt;=0.005,0,ROUND(N(Z81)*N('Debt List'!E9)/12,2))</f>
        <v/>
      </c>
      <c r="AB81">
        <f>IF(N(Z81)&lt;=0.005,0,MIN(N('Debt List'!F9),N(Z81)+N(AA81)))+((AP81=5)*AR81+(AT81=5)*AV81+(AX81=5)*AZ81+(BB81=5)*BD81+(BF81=5)*BH81+(BJ81=5)*BL81+(BN81=5)*BP81+(BR81=5)*BT81)</f>
        <v/>
      </c>
      <c r="AC81">
        <f>MAX(0,ROUND(N(Z81)+N(AA81)-N(AB81),2))</f>
        <v/>
      </c>
      <c r="AD81">
        <f>N(AG80)</f>
        <v/>
      </c>
      <c r="AE81">
        <f>IF(N(AD81)&lt;=0.005,0,ROUND(N(AD81)*N('Debt List'!E10)/12,2))</f>
        <v/>
      </c>
      <c r="AF81">
        <f>IF(N(AD81)&lt;=0.005,0,MIN(N('Debt List'!F10),N(AD81)+N(AE81)))+((AP81=6)*AR81+(AT81=6)*AV81+(AX81=6)*AZ81+(BB81=6)*BD81+(BF81=6)*BH81+(BJ81=6)*BL81+(BN81=6)*BP81+(BR81=6)*BT81)</f>
        <v/>
      </c>
      <c r="AG81">
        <f>MAX(0,ROUND(N(AD81)+N(AE81)-N(AF81),2))</f>
        <v/>
      </c>
      <c r="AH81">
        <f>N(AK80)</f>
        <v/>
      </c>
      <c r="AI81">
        <f>IF(N(AH81)&lt;=0.005,0,ROUND(N(AH81)*N('Debt List'!E11)/12,2))</f>
        <v/>
      </c>
      <c r="AJ81">
        <f>IF(N(AH81)&lt;=0.005,0,MIN(N('Debt List'!F11),N(AH81)+N(AI81)))+((AP81=7)*AR81+(AT81=7)*AV81+(AX81=7)*AZ81+(BB81=7)*BD81+(BF81=7)*BH81+(BJ81=7)*BL81+(BN81=7)*BP81+(BR81=7)*BT81)</f>
        <v/>
      </c>
      <c r="AK81">
        <f>MAX(0,ROUND(N(AH81)+N(AI81)-N(AJ81),2))</f>
        <v/>
      </c>
      <c r="AL81">
        <f>N(AO80)</f>
        <v/>
      </c>
      <c r="AM81">
        <f>IF(N(AL81)&lt;=0.005,0,ROUND(N(AL81)*N('Debt List'!E12)/12,2))</f>
        <v/>
      </c>
      <c r="AN81">
        <f>IF(N(AL81)&lt;=0.005,0,MIN(N('Debt List'!F12),N(AL81)+N(AM81)))+((AP81=8)*AR81+(AT81=8)*AV81+(AX81=8)*AZ81+(BB81=8)*BD81+(BF81=8)*BH81+(BJ81=8)*BL81+(BN81=8)*BP81+(BR81=8)*BT81)</f>
        <v/>
      </c>
      <c r="AO81">
        <f>MAX(0,ROUND(N(AL81)+N(AM81)-N(AN81),2))</f>
        <v/>
      </c>
      <c r="AP81">
        <f>IFERROR(MATCH(1,OrderPlan,0),"")</f>
        <v/>
      </c>
      <c r="AQ81">
        <f>IF(AP81="",0,IFERROR(IF(N(CHOOSE(AP81,J81,N81,R81,V81,Z81,AD81,AH81,AL81))&lt;=0.005,0,MAX(0,N(CHOOSE(AP81,J81,N81,R81,V81,Z81,AD81,AH81,AL81))+N(CHOOSE(AP81,K81,O81,S81,W81,AA81,AE81,AI81,AM81))-MIN(N(CHOOSE(AP81,'Debt List'!$F$5,'Debt List'!$F$6,'Debt List'!$F$7,'Debt List'!$F$8,'Debt List'!$F$9,'Debt List'!$F$10,'Debt List'!$F$11,'Debt List'!$F$12)),N(CHOOSE(AP81,J81,N81,R81,V81,Z81,AD81,AH81,AL81))+N(CHOOSE(AP81,K81,O81,S81,W81,AA81,AE81,AI81,AM81))))),0))</f>
        <v/>
      </c>
      <c r="AR81">
        <f>MIN(N(AQ81),MAX(0,N(ExtraPayment)))</f>
        <v/>
      </c>
      <c r="AS81">
        <f>MAX(0,N(ExtraPayment)-N(AR81))</f>
        <v/>
      </c>
      <c r="AT81">
        <f>IFERROR(MATCH(2,OrderPlan,0),"")</f>
        <v/>
      </c>
      <c r="AU81">
        <f>IF(AT81="",0,IFERROR(IF(N(CHOOSE(AT81,J81,N81,R81,V81,Z81,AD81,AH81,AL81))&lt;=0.005,0,MAX(0,N(CHOOSE(AT81,J81,N81,R81,V81,Z81,AD81,AH81,AL81))+N(CHOOSE(AT81,K81,O81,S81,W81,AA81,AE81,AI81,AM81))-MIN(N(CHOOSE(AT81,'Debt List'!$F$5,'Debt List'!$F$6,'Debt List'!$F$7,'Debt List'!$F$8,'Debt List'!$F$9,'Debt List'!$F$10,'Debt List'!$F$11,'Debt List'!$F$12)),N(CHOOSE(AT81,J81,N81,R81,V81,Z81,AD81,AH81,AL81))+N(CHOOSE(AT81,K81,O81,S81,W81,AA81,AE81,AI81,AM81))))),0))</f>
        <v/>
      </c>
      <c r="AV81">
        <f>MIN(N(AU81),MAX(0,N(AS81)))</f>
        <v/>
      </c>
      <c r="AW81">
        <f>MAX(0,N(AS81)-N(AV81))</f>
        <v/>
      </c>
      <c r="AX81">
        <f>IFERROR(MATCH(3,OrderPlan,0),"")</f>
        <v/>
      </c>
      <c r="AY81">
        <f>IF(AX81="",0,IFERROR(IF(N(CHOOSE(AX81,J81,N81,R81,V81,Z81,AD81,AH81,AL81))&lt;=0.005,0,MAX(0,N(CHOOSE(AX81,J81,N81,R81,V81,Z81,AD81,AH81,AL81))+N(CHOOSE(AX81,K81,O81,S81,W81,AA81,AE81,AI81,AM81))-MIN(N(CHOOSE(AX81,'Debt List'!$F$5,'Debt List'!$F$6,'Debt List'!$F$7,'Debt List'!$F$8,'Debt List'!$F$9,'Debt List'!$F$10,'Debt List'!$F$11,'Debt List'!$F$12)),N(CHOOSE(AX81,J81,N81,R81,V81,Z81,AD81,AH81,AL81))+N(CHOOSE(AX81,K81,O81,S81,W81,AA81,AE81,AI81,AM81))))),0))</f>
        <v/>
      </c>
      <c r="AZ81">
        <f>MIN(N(AY81),MAX(0,N(AW81)))</f>
        <v/>
      </c>
      <c r="BA81">
        <f>MAX(0,N(AW81)-N(AZ81))</f>
        <v/>
      </c>
      <c r="BB81">
        <f>IFERROR(MATCH(4,OrderPlan,0),"")</f>
        <v/>
      </c>
      <c r="BC81">
        <f>IF(BB81="",0,IFERROR(IF(N(CHOOSE(BB81,J81,N81,R81,V81,Z81,AD81,AH81,AL81))&lt;=0.005,0,MAX(0,N(CHOOSE(BB81,J81,N81,R81,V81,Z81,AD81,AH81,AL81))+N(CHOOSE(BB81,K81,O81,S81,W81,AA81,AE81,AI81,AM81))-MIN(N(CHOOSE(BB81,'Debt List'!$F$5,'Debt List'!$F$6,'Debt List'!$F$7,'Debt List'!$F$8,'Debt List'!$F$9,'Debt List'!$F$10,'Debt List'!$F$11,'Debt List'!$F$12)),N(CHOOSE(BB81,J81,N81,R81,V81,Z81,AD81,AH81,AL81))+N(CHOOSE(BB81,K81,O81,S81,W81,AA81,AE81,AI81,AM81))))),0))</f>
        <v/>
      </c>
      <c r="BD81">
        <f>MIN(N(BC81),MAX(0,N(BA81)))</f>
        <v/>
      </c>
      <c r="BE81">
        <f>MAX(0,N(BA81)-N(BD81))</f>
        <v/>
      </c>
      <c r="BF81">
        <f>IFERROR(MATCH(5,OrderPlan,0),"")</f>
        <v/>
      </c>
      <c r="BG81">
        <f>IF(BF81="",0,IFERROR(IF(N(CHOOSE(BF81,J81,N81,R81,V81,Z81,AD81,AH81,AL81))&lt;=0.005,0,MAX(0,N(CHOOSE(BF81,J81,N81,R81,V81,Z81,AD81,AH81,AL81))+N(CHOOSE(BF81,K81,O81,S81,W81,AA81,AE81,AI81,AM81))-MIN(N(CHOOSE(BF81,'Debt List'!$F$5,'Debt List'!$F$6,'Debt List'!$F$7,'Debt List'!$F$8,'Debt List'!$F$9,'Debt List'!$F$10,'Debt List'!$F$11,'Debt List'!$F$12)),N(CHOOSE(BF81,J81,N81,R81,V81,Z81,AD81,AH81,AL81))+N(CHOOSE(BF81,K81,O81,S81,W81,AA81,AE81,AI81,AM81))))),0))</f>
        <v/>
      </c>
      <c r="BH81">
        <f>MIN(N(BG81),MAX(0,N(BE81)))</f>
        <v/>
      </c>
      <c r="BI81">
        <f>MAX(0,N(BE81)-N(BH81))</f>
        <v/>
      </c>
      <c r="BJ81">
        <f>IFERROR(MATCH(6,OrderPlan,0),"")</f>
        <v/>
      </c>
      <c r="BK81">
        <f>IF(BJ81="",0,IFERROR(IF(N(CHOOSE(BJ81,J81,N81,R81,V81,Z81,AD81,AH81,AL81))&lt;=0.005,0,MAX(0,N(CHOOSE(BJ81,J81,N81,R81,V81,Z81,AD81,AH81,AL81))+N(CHOOSE(BJ81,K81,O81,S81,W81,AA81,AE81,AI81,AM81))-MIN(N(CHOOSE(BJ81,'Debt List'!$F$5,'Debt List'!$F$6,'Debt List'!$F$7,'Debt List'!$F$8,'Debt List'!$F$9,'Debt List'!$F$10,'Debt List'!$F$11,'Debt List'!$F$12)),N(CHOOSE(BJ81,J81,N81,R81,V81,Z81,AD81,AH81,AL81))+N(CHOOSE(BJ81,K81,O81,S81,W81,AA81,AE81,AI81,AM81))))),0))</f>
        <v/>
      </c>
      <c r="BL81">
        <f>MIN(N(BK81),MAX(0,N(BI81)))</f>
        <v/>
      </c>
      <c r="BM81">
        <f>MAX(0,N(BI81)-N(BL81))</f>
        <v/>
      </c>
      <c r="BN81">
        <f>IFERROR(MATCH(7,OrderPlan,0),"")</f>
        <v/>
      </c>
      <c r="BO81">
        <f>IF(BN81="",0,IFERROR(IF(N(CHOOSE(BN81,J81,N81,R81,V81,Z81,AD81,AH81,AL81))&lt;=0.005,0,MAX(0,N(CHOOSE(BN81,J81,N81,R81,V81,Z81,AD81,AH81,AL81))+N(CHOOSE(BN81,K81,O81,S81,W81,AA81,AE81,AI81,AM81))-MIN(N(CHOOSE(BN81,'Debt List'!$F$5,'Debt List'!$F$6,'Debt List'!$F$7,'Debt List'!$F$8,'Debt List'!$F$9,'Debt List'!$F$10,'Debt List'!$F$11,'Debt List'!$F$12)),N(CHOOSE(BN81,J81,N81,R81,V81,Z81,AD81,AH81,AL81))+N(CHOOSE(BN81,K81,O81,S81,W81,AA81,AE81,AI81,AM81))))),0))</f>
        <v/>
      </c>
      <c r="BP81">
        <f>MIN(N(BO81),MAX(0,N(BM81)))</f>
        <v/>
      </c>
      <c r="BQ81">
        <f>MAX(0,N(BM81)-N(BP81))</f>
        <v/>
      </c>
      <c r="BR81">
        <f>IFERROR(MATCH(8,OrderPlan,0),"")</f>
        <v/>
      </c>
      <c r="BS81">
        <f>IF(BR81="",0,IFERROR(IF(N(CHOOSE(BR81,J81,N81,R81,V81,Z81,AD81,AH81,AL81))&lt;=0.005,0,MAX(0,N(CHOOSE(BR81,J81,N81,R81,V81,Z81,AD81,AH81,AL81))+N(CHOOSE(BR81,K81,O81,S81,W81,AA81,AE81,AI81,AM81))-MIN(N(CHOOSE(BR81,'Debt List'!$F$5,'Debt List'!$F$6,'Debt List'!$F$7,'Debt List'!$F$8,'Debt List'!$F$9,'Debt List'!$F$10,'Debt List'!$F$11,'Debt List'!$F$12)),N(CHOOSE(BR81,J81,N81,R81,V81,Z81,AD81,AH81,AL81))+N(CHOOSE(BR81,K81,O81,S81,W81,AA81,AE81,AI81,AM81))))),0))</f>
        <v/>
      </c>
      <c r="BT81">
        <f>MIN(N(BS81),MAX(0,N(BQ81)))</f>
        <v/>
      </c>
      <c r="BU81">
        <f>MAX(0,N(BQ81)-N(BT81))</f>
        <v/>
      </c>
      <c r="CC81" t="n">
        <v>77</v>
      </c>
      <c r="CD81" s="115">
        <f>DATE(YEAR(PlanStart),MONTH(PlanStart)+CC81-1,1)</f>
        <v/>
      </c>
      <c r="CE81">
        <f>IF(AND(DR81&lt;&gt;"",N(CHOOSE(DR81,CL81,CP81,CT81,CX81,DB81,DF81,DJ81,DN81))&gt;0.005),INDEX(DebtNames,DR81),IF(AND(DV81&lt;&gt;"",N(CHOOSE(DV81,CL81,CP81,CT81,CX81,DB81,DF81,DJ81,DN81))&gt;0.005),INDEX(DebtNames,DV81),IF(AND(DZ81&lt;&gt;"",N(CHOOSE(DZ81,CL81,CP81,CT81,CX81,DB81,DF81,DJ81,DN81))&gt;0.005),INDEX(DebtNames,DZ81),IF(AND(ED81&lt;&gt;"",N(CHOOSE(ED81,CL81,CP81,CT81,CX81,DB81,DF81,DJ81,DN81))&gt;0.005),INDEX(DebtNames,ED81),IF(AND(EH81&lt;&gt;"",N(CHOOSE(EH81,CL81,CP81,CT81,CX81,DB81,DF81,DJ81,DN81))&gt;0.005),INDEX(DebtNames,EH81),IF(AND(EL81&lt;&gt;"",N(CHOOSE(EL81,CL81,CP81,CT81,CX81,DB81,DF81,DJ81,DN81))&gt;0.005),INDEX(DebtNames,EL81),IF(AND(EP81&lt;&gt;"",N(CHOOSE(EP81,CL81,CP81,CT81,CX81,DB81,DF81,DJ81,DN81))&gt;0.005),INDEX(DebtNames,EP81),IF(AND(ET81&lt;&gt;"",N(CHOOSE(ET81,CL81,CP81,CT81,CX81,DB81,DF81,DJ81,DN81))&gt;0.005),INDEX(DebtNames,ET81),""))))))))</f>
        <v/>
      </c>
      <c r="CF81">
        <f>N(EW81)</f>
        <v/>
      </c>
      <c r="CG81">
        <f>N(CN81)+N(CR81)+N(CV81)+N(CZ81)+N(DD81)+N(DH81)+N(DL81)+N(DP81)</f>
        <v/>
      </c>
      <c r="CH81">
        <f>N(CM81)+N(CQ81)+N(CU81)+N(CY81)+N(DC81)+N(DG81)+N(DK81)+N(DO81)</f>
        <v/>
      </c>
      <c r="CI81">
        <f>N(CI80)+N(CH81)</f>
        <v/>
      </c>
      <c r="CJ81">
        <f>N(CO81)+N(CS81)+N(CW81)+N(DA81)+N(DE81)+N(DI81)+N(DM81)+N(DQ81)</f>
        <v/>
      </c>
      <c r="CK81">
        <f>(CO81&gt;0.005)*1+(CS81&gt;0.005)*1+(CW81&gt;0.005)*1+(DA81&gt;0.005)*1+(DE81&gt;0.005)*1+(DI81&gt;0.005)*1+(DM81&gt;0.005)*1+(DQ81&gt;0.005)*1</f>
        <v/>
      </c>
      <c r="CL81">
        <f>N(CO80)</f>
        <v/>
      </c>
      <c r="CM81">
        <f>IF(N(CL81)&lt;=0.005,0,ROUND(N(CL81)*N('Debt List'!E5)/12,2))</f>
        <v/>
      </c>
      <c r="CN81">
        <f>IF(N(CL81)&lt;=0.005,0,MIN(N('Debt List'!F5),N(CL81)+N(CM81)))+((DR81=1)*DT81+(DV81=1)*DX81+(DZ81=1)*EB81+(ED81=1)*EF81+(EH81=1)*EJ81+(EL81=1)*EN81+(EP81=1)*ER81+(ET81=1)*EV81)</f>
        <v/>
      </c>
      <c r="CO81">
        <f>MAX(0,ROUND(N(CL81)+N(CM81)-N(CN81),2))</f>
        <v/>
      </c>
      <c r="CP81">
        <f>N(CS80)</f>
        <v/>
      </c>
      <c r="CQ81">
        <f>IF(N(CP81)&lt;=0.005,0,ROUND(N(CP81)*N('Debt List'!E6)/12,2))</f>
        <v/>
      </c>
      <c r="CR81">
        <f>IF(N(CP81)&lt;=0.005,0,MIN(N('Debt List'!F6),N(CP81)+N(CQ81)))+((DR81=2)*DT81+(DV81=2)*DX81+(DZ81=2)*EB81+(ED81=2)*EF81+(EH81=2)*EJ81+(EL81=2)*EN81+(EP81=2)*ER81+(ET81=2)*EV81)</f>
        <v/>
      </c>
      <c r="CS81">
        <f>MAX(0,ROUND(N(CP81)+N(CQ81)-N(CR81),2))</f>
        <v/>
      </c>
      <c r="CT81">
        <f>N(CW80)</f>
        <v/>
      </c>
      <c r="CU81">
        <f>IF(N(CT81)&lt;=0.005,0,ROUND(N(CT81)*N('Debt List'!E7)/12,2))</f>
        <v/>
      </c>
      <c r="CV81">
        <f>IF(N(CT81)&lt;=0.005,0,MIN(N('Debt List'!F7),N(CT81)+N(CU81)))+((DR81=3)*DT81+(DV81=3)*DX81+(DZ81=3)*EB81+(ED81=3)*EF81+(EH81=3)*EJ81+(EL81=3)*EN81+(EP81=3)*ER81+(ET81=3)*EV81)</f>
        <v/>
      </c>
      <c r="CW81">
        <f>MAX(0,ROUND(N(CT81)+N(CU81)-N(CV81),2))</f>
        <v/>
      </c>
      <c r="CX81">
        <f>N(DA80)</f>
        <v/>
      </c>
      <c r="CY81">
        <f>IF(N(CX81)&lt;=0.005,0,ROUND(N(CX81)*N('Debt List'!E8)/12,2))</f>
        <v/>
      </c>
      <c r="CZ81">
        <f>IF(N(CX81)&lt;=0.005,0,MIN(N('Debt List'!F8),N(CX81)+N(CY81)))+((DR81=4)*DT81+(DV81=4)*DX81+(DZ81=4)*EB81+(ED81=4)*EF81+(EH81=4)*EJ81+(EL81=4)*EN81+(EP81=4)*ER81+(ET81=4)*EV81)</f>
        <v/>
      </c>
      <c r="DA81">
        <f>MAX(0,ROUND(N(CX81)+N(CY81)-N(CZ81),2))</f>
        <v/>
      </c>
      <c r="DB81">
        <f>N(DE80)</f>
        <v/>
      </c>
      <c r="DC81">
        <f>IF(N(DB81)&lt;=0.005,0,ROUND(N(DB81)*N('Debt List'!E9)/12,2))</f>
        <v/>
      </c>
      <c r="DD81">
        <f>IF(N(DB81)&lt;=0.005,0,MIN(N('Debt List'!F9),N(DB81)+N(DC81)))+((DR81=5)*DT81+(DV81=5)*DX81+(DZ81=5)*EB81+(ED81=5)*EF81+(EH81=5)*EJ81+(EL81=5)*EN81+(EP81=5)*ER81+(ET81=5)*EV81)</f>
        <v/>
      </c>
      <c r="DE81">
        <f>MAX(0,ROUND(N(DB81)+N(DC81)-N(DD81),2))</f>
        <v/>
      </c>
      <c r="DF81">
        <f>N(DI80)</f>
        <v/>
      </c>
      <c r="DG81">
        <f>IF(N(DF81)&lt;=0.005,0,ROUND(N(DF81)*N('Debt List'!E10)/12,2))</f>
        <v/>
      </c>
      <c r="DH81">
        <f>IF(N(DF81)&lt;=0.005,0,MIN(N('Debt List'!F10),N(DF81)+N(DG81)))+((DR81=6)*DT81+(DV81=6)*DX81+(DZ81=6)*EB81+(ED81=6)*EF81+(EH81=6)*EJ81+(EL81=6)*EN81+(EP81=6)*ER81+(ET81=6)*EV81)</f>
        <v/>
      </c>
      <c r="DI81">
        <f>MAX(0,ROUND(N(DF81)+N(DG81)-N(DH81),2))</f>
        <v/>
      </c>
      <c r="DJ81">
        <f>N(DM80)</f>
        <v/>
      </c>
      <c r="DK81">
        <f>IF(N(DJ81)&lt;=0.005,0,ROUND(N(DJ81)*N('Debt List'!E11)/12,2))</f>
        <v/>
      </c>
      <c r="DL81">
        <f>IF(N(DJ81)&lt;=0.005,0,MIN(N('Debt List'!F11),N(DJ81)+N(DK81)))+((DR81=7)*DT81+(DV81=7)*DX81+(DZ81=7)*EB81+(ED81=7)*EF81+(EH81=7)*EJ81+(EL81=7)*EN81+(EP81=7)*ER81+(ET81=7)*EV81)</f>
        <v/>
      </c>
      <c r="DM81">
        <f>MAX(0,ROUND(N(DJ81)+N(DK81)-N(DL81),2))</f>
        <v/>
      </c>
      <c r="DN81">
        <f>N(DQ80)</f>
        <v/>
      </c>
      <c r="DO81">
        <f>IF(N(DN81)&lt;=0.005,0,ROUND(N(DN81)*N('Debt List'!E12)/12,2))</f>
        <v/>
      </c>
      <c r="DP81">
        <f>IF(N(DN81)&lt;=0.005,0,MIN(N('Debt List'!F12),N(DN81)+N(DO81)))+((DR81=8)*DT81+(DV81=8)*DX81+(DZ81=8)*EB81+(ED81=8)*EF81+(EH81=8)*EJ81+(EL81=8)*EN81+(EP81=8)*ER81+(ET81=8)*EV81)</f>
        <v/>
      </c>
      <c r="DQ81">
        <f>MAX(0,ROUND(N(DN81)+N(DO81)-N(DP81),2))</f>
        <v/>
      </c>
      <c r="DR81">
        <f>IFERROR(MATCH(1,OrderSnow,0),"")</f>
        <v/>
      </c>
      <c r="DS81">
        <f>IF(DR81="",0,IFERROR(IF(N(CHOOSE(DR81,CL81,CP81,CT81,CX81,DB81,DF81,DJ81,DN81))&lt;=0.005,0,MAX(0,N(CHOOSE(DR81,CL81,CP81,CT81,CX81,DB81,DF81,DJ81,DN81))+N(CHOOSE(DR81,CM81,CQ81,CU81,CY81,DC81,DG81,DK81,DO81))-MIN(N(CHOOSE(DR81,'Debt List'!$F$5,'Debt List'!$F$6,'Debt List'!$F$7,'Debt List'!$F$8,'Debt List'!$F$9,'Debt List'!$F$10,'Debt List'!$F$11,'Debt List'!$F$12)),N(CHOOSE(DR81,CL81,CP81,CT81,CX81,DB81,DF81,DJ81,DN81))+N(CHOOSE(DR81,CM81,CQ81,CU81,CY81,DC81,DG81,DK81,DO81))))),0))</f>
        <v/>
      </c>
      <c r="DT81">
        <f>MIN(N(DS81),MAX(0,N(ExtraPayment)))</f>
        <v/>
      </c>
      <c r="DU81">
        <f>MAX(0,N(ExtraPayment)-N(DT81))</f>
        <v/>
      </c>
      <c r="DV81">
        <f>IFERROR(MATCH(2,OrderSnow,0),"")</f>
        <v/>
      </c>
      <c r="DW81">
        <f>IF(DV81="",0,IFERROR(IF(N(CHOOSE(DV81,CL81,CP81,CT81,CX81,DB81,DF81,DJ81,DN81))&lt;=0.005,0,MAX(0,N(CHOOSE(DV81,CL81,CP81,CT81,CX81,DB81,DF81,DJ81,DN81))+N(CHOOSE(DV81,CM81,CQ81,CU81,CY81,DC81,DG81,DK81,DO81))-MIN(N(CHOOSE(DV81,'Debt List'!$F$5,'Debt List'!$F$6,'Debt List'!$F$7,'Debt List'!$F$8,'Debt List'!$F$9,'Debt List'!$F$10,'Debt List'!$F$11,'Debt List'!$F$12)),N(CHOOSE(DV81,CL81,CP81,CT81,CX81,DB81,DF81,DJ81,DN81))+N(CHOOSE(DV81,CM81,CQ81,CU81,CY81,DC81,DG81,DK81,DO81))))),0))</f>
        <v/>
      </c>
      <c r="DX81">
        <f>MIN(N(DW81),MAX(0,N(DU81)))</f>
        <v/>
      </c>
      <c r="DY81">
        <f>MAX(0,N(DU81)-N(DX81))</f>
        <v/>
      </c>
      <c r="DZ81">
        <f>IFERROR(MATCH(3,OrderSnow,0),"")</f>
        <v/>
      </c>
      <c r="EA81">
        <f>IF(DZ81="",0,IFERROR(IF(N(CHOOSE(DZ81,CL81,CP81,CT81,CX81,DB81,DF81,DJ81,DN81))&lt;=0.005,0,MAX(0,N(CHOOSE(DZ81,CL81,CP81,CT81,CX81,DB81,DF81,DJ81,DN81))+N(CHOOSE(DZ81,CM81,CQ81,CU81,CY81,DC81,DG81,DK81,DO81))-MIN(N(CHOOSE(DZ81,'Debt List'!$F$5,'Debt List'!$F$6,'Debt List'!$F$7,'Debt List'!$F$8,'Debt List'!$F$9,'Debt List'!$F$10,'Debt List'!$F$11,'Debt List'!$F$12)),N(CHOOSE(DZ81,CL81,CP81,CT81,CX81,DB81,DF81,DJ81,DN81))+N(CHOOSE(DZ81,CM81,CQ81,CU81,CY81,DC81,DG81,DK81,DO81))))),0))</f>
        <v/>
      </c>
      <c r="EB81">
        <f>MIN(N(EA81),MAX(0,N(DY81)))</f>
        <v/>
      </c>
      <c r="EC81">
        <f>MAX(0,N(DY81)-N(EB81))</f>
        <v/>
      </c>
      <c r="ED81">
        <f>IFERROR(MATCH(4,OrderSnow,0),"")</f>
        <v/>
      </c>
      <c r="EE81">
        <f>IF(ED81="",0,IFERROR(IF(N(CHOOSE(ED81,CL81,CP81,CT81,CX81,DB81,DF81,DJ81,DN81))&lt;=0.005,0,MAX(0,N(CHOOSE(ED81,CL81,CP81,CT81,CX81,DB81,DF81,DJ81,DN81))+N(CHOOSE(ED81,CM81,CQ81,CU81,CY81,DC81,DG81,DK81,DO81))-MIN(N(CHOOSE(ED81,'Debt List'!$F$5,'Debt List'!$F$6,'Debt List'!$F$7,'Debt List'!$F$8,'Debt List'!$F$9,'Debt List'!$F$10,'Debt List'!$F$11,'Debt List'!$F$12)),N(CHOOSE(ED81,CL81,CP81,CT81,CX81,DB81,DF81,DJ81,DN81))+N(CHOOSE(ED81,CM81,CQ81,CU81,CY81,DC81,DG81,DK81,DO81))))),0))</f>
        <v/>
      </c>
      <c r="EF81">
        <f>MIN(N(EE81),MAX(0,N(EC81)))</f>
        <v/>
      </c>
      <c r="EG81">
        <f>MAX(0,N(EC81)-N(EF81))</f>
        <v/>
      </c>
      <c r="EH81">
        <f>IFERROR(MATCH(5,OrderSnow,0),"")</f>
        <v/>
      </c>
      <c r="EI81">
        <f>IF(EH81="",0,IFERROR(IF(N(CHOOSE(EH81,CL81,CP81,CT81,CX81,DB81,DF81,DJ81,DN81))&lt;=0.005,0,MAX(0,N(CHOOSE(EH81,CL81,CP81,CT81,CX81,DB81,DF81,DJ81,DN81))+N(CHOOSE(EH81,CM81,CQ81,CU81,CY81,DC81,DG81,DK81,DO81))-MIN(N(CHOOSE(EH81,'Debt List'!$F$5,'Debt List'!$F$6,'Debt List'!$F$7,'Debt List'!$F$8,'Debt List'!$F$9,'Debt List'!$F$10,'Debt List'!$F$11,'Debt List'!$F$12)),N(CHOOSE(EH81,CL81,CP81,CT81,CX81,DB81,DF81,DJ81,DN81))+N(CHOOSE(EH81,CM81,CQ81,CU81,CY81,DC81,DG81,DK81,DO81))))),0))</f>
        <v/>
      </c>
      <c r="EJ81">
        <f>MIN(N(EI81),MAX(0,N(EG81)))</f>
        <v/>
      </c>
      <c r="EK81">
        <f>MAX(0,N(EG81)-N(EJ81))</f>
        <v/>
      </c>
      <c r="EL81">
        <f>IFERROR(MATCH(6,OrderSnow,0),"")</f>
        <v/>
      </c>
      <c r="EM81">
        <f>IF(EL81="",0,IFERROR(IF(N(CHOOSE(EL81,CL81,CP81,CT81,CX81,DB81,DF81,DJ81,DN81))&lt;=0.005,0,MAX(0,N(CHOOSE(EL81,CL81,CP81,CT81,CX81,DB81,DF81,DJ81,DN81))+N(CHOOSE(EL81,CM81,CQ81,CU81,CY81,DC81,DG81,DK81,DO81))-MIN(N(CHOOSE(EL81,'Debt List'!$F$5,'Debt List'!$F$6,'Debt List'!$F$7,'Debt List'!$F$8,'Debt List'!$F$9,'Debt List'!$F$10,'Debt List'!$F$11,'Debt List'!$F$12)),N(CHOOSE(EL81,CL81,CP81,CT81,CX81,DB81,DF81,DJ81,DN81))+N(CHOOSE(EL81,CM81,CQ81,CU81,CY81,DC81,DG81,DK81,DO81))))),0))</f>
        <v/>
      </c>
      <c r="EN81">
        <f>MIN(N(EM81),MAX(0,N(EK81)))</f>
        <v/>
      </c>
      <c r="EO81">
        <f>MAX(0,N(EK81)-N(EN81))</f>
        <v/>
      </c>
      <c r="EP81">
        <f>IFERROR(MATCH(7,OrderSnow,0),"")</f>
        <v/>
      </c>
      <c r="EQ81">
        <f>IF(EP81="",0,IFERROR(IF(N(CHOOSE(EP81,CL81,CP81,CT81,CX81,DB81,DF81,DJ81,DN81))&lt;=0.005,0,MAX(0,N(CHOOSE(EP81,CL81,CP81,CT81,CX81,DB81,DF81,DJ81,DN81))+N(CHOOSE(EP81,CM81,CQ81,CU81,CY81,DC81,DG81,DK81,DO81))-MIN(N(CHOOSE(EP81,'Debt List'!$F$5,'Debt List'!$F$6,'Debt List'!$F$7,'Debt List'!$F$8,'Debt List'!$F$9,'Debt List'!$F$10,'Debt List'!$F$11,'Debt List'!$F$12)),N(CHOOSE(EP81,CL81,CP81,CT81,CX81,DB81,DF81,DJ81,DN81))+N(CHOOSE(EP81,CM81,CQ81,CU81,CY81,DC81,DG81,DK81,DO81))))),0))</f>
        <v/>
      </c>
      <c r="ER81">
        <f>MIN(N(EQ81),MAX(0,N(EO81)))</f>
        <v/>
      </c>
      <c r="ES81">
        <f>MAX(0,N(EO81)-N(ER81))</f>
        <v/>
      </c>
      <c r="ET81">
        <f>IFERROR(MATCH(8,OrderSnow,0),"")</f>
        <v/>
      </c>
      <c r="EU81">
        <f>IF(ET81="",0,IFERROR(IF(N(CHOOSE(ET81,CL81,CP81,CT81,CX81,DB81,DF81,DJ81,DN81))&lt;=0.005,0,MAX(0,N(CHOOSE(ET81,CL81,CP81,CT81,CX81,DB81,DF81,DJ81,DN81))+N(CHOOSE(ET81,CM81,CQ81,CU81,CY81,DC81,DG81,DK81,DO81))-MIN(N(CHOOSE(ET81,'Debt List'!$F$5,'Debt List'!$F$6,'Debt List'!$F$7,'Debt List'!$F$8,'Debt List'!$F$9,'Debt List'!$F$10,'Debt List'!$F$11,'Debt List'!$F$12)),N(CHOOSE(ET81,CL81,CP81,CT81,CX81,DB81,DF81,DJ81,DN81))+N(CHOOSE(ET81,CM81,CQ81,CU81,CY81,DC81,DG81,DK81,DO81))))),0))</f>
        <v/>
      </c>
      <c r="EV81">
        <f>MIN(N(EU81),MAX(0,N(ES81)))</f>
        <v/>
      </c>
      <c r="EW81">
        <f>MAX(0,N(ES81)-N(EV81))</f>
        <v/>
      </c>
      <c r="FE81" t="n">
        <v>77</v>
      </c>
      <c r="FF81" s="115">
        <f>DATE(YEAR(PlanStart),MONTH(PlanStart)+FE81-1,1)</f>
        <v/>
      </c>
      <c r="FG81">
        <f>IF(AND(GT81&lt;&gt;"",N(CHOOSE(GT81,FN81,FR81,FV81,FZ81,GD81,GH81,GL81,GP81))&gt;0.005),INDEX(DebtNames,GT81),IF(AND(GX81&lt;&gt;"",N(CHOOSE(GX81,FN81,FR81,FV81,FZ81,GD81,GH81,GL81,GP81))&gt;0.005),INDEX(DebtNames,GX81),IF(AND(HB81&lt;&gt;"",N(CHOOSE(HB81,FN81,FR81,FV81,FZ81,GD81,GH81,GL81,GP81))&gt;0.005),INDEX(DebtNames,HB81),IF(AND(HF81&lt;&gt;"",N(CHOOSE(HF81,FN81,FR81,FV81,FZ81,GD81,GH81,GL81,GP81))&gt;0.005),INDEX(DebtNames,HF81),IF(AND(HJ81&lt;&gt;"",N(CHOOSE(HJ81,FN81,FR81,FV81,FZ81,GD81,GH81,GL81,GP81))&gt;0.005),INDEX(DebtNames,HJ81),IF(AND(HN81&lt;&gt;"",N(CHOOSE(HN81,FN81,FR81,FV81,FZ81,GD81,GH81,GL81,GP81))&gt;0.005),INDEX(DebtNames,HN81),IF(AND(HR81&lt;&gt;"",N(CHOOSE(HR81,FN81,FR81,FV81,FZ81,GD81,GH81,GL81,GP81))&gt;0.005),INDEX(DebtNames,HR81),IF(AND(HV81&lt;&gt;"",N(CHOOSE(HV81,FN81,FR81,FV81,FZ81,GD81,GH81,GL81,GP81))&gt;0.005),INDEX(DebtNames,HV81),""))))))))</f>
        <v/>
      </c>
      <c r="FH81">
        <f>N(HY81)</f>
        <v/>
      </c>
      <c r="FI81">
        <f>N(FP81)+N(FT81)+N(FX81)+N(GB81)+N(GF81)+N(GJ81)+N(GN81)+N(GR81)</f>
        <v/>
      </c>
      <c r="FJ81">
        <f>N(FO81)+N(FS81)+N(FW81)+N(GA81)+N(GE81)+N(GI81)+N(GM81)+N(GQ81)</f>
        <v/>
      </c>
      <c r="FK81">
        <f>N(FK80)+N(FJ81)</f>
        <v/>
      </c>
      <c r="FL81">
        <f>N(FQ81)+N(FU81)+N(FY81)+N(GC81)+N(GG81)+N(GK81)+N(GO81)+N(GS81)</f>
        <v/>
      </c>
      <c r="FM81">
        <f>(FQ81&gt;0.005)*1+(FU81&gt;0.005)*1+(FY81&gt;0.005)*1+(GC81&gt;0.005)*1+(GG81&gt;0.005)*1+(GK81&gt;0.005)*1+(GO81&gt;0.005)*1+(GS81&gt;0.005)*1</f>
        <v/>
      </c>
      <c r="FN81">
        <f>N(FQ80)</f>
        <v/>
      </c>
      <c r="FO81">
        <f>IF(N(FN81)&lt;=0.005,0,ROUND(N(FN81)*N('Debt List'!E5)/12,2))</f>
        <v/>
      </c>
      <c r="FP81">
        <f>IF(N(FN81)&lt;=0.005,0,MIN(N('Debt List'!F5),N(FN81)+N(FO81)))+((GT81=1)*GV81+(GX81=1)*GZ81+(HB81=1)*HD81+(HF81=1)*HH81+(HJ81=1)*HL81+(HN81=1)*HP81+(HR81=1)*HT81+(HV81=1)*HX81)</f>
        <v/>
      </c>
      <c r="FQ81">
        <f>MAX(0,ROUND(N(FN81)+N(FO81)-N(FP81),2))</f>
        <v/>
      </c>
      <c r="FR81">
        <f>N(FU80)</f>
        <v/>
      </c>
      <c r="FS81">
        <f>IF(N(FR81)&lt;=0.005,0,ROUND(N(FR81)*N('Debt List'!E6)/12,2))</f>
        <v/>
      </c>
      <c r="FT81">
        <f>IF(N(FR81)&lt;=0.005,0,MIN(N('Debt List'!F6),N(FR81)+N(FS81)))+((GT81=2)*GV81+(GX81=2)*GZ81+(HB81=2)*HD81+(HF81=2)*HH81+(HJ81=2)*HL81+(HN81=2)*HP81+(HR81=2)*HT81+(HV81=2)*HX81)</f>
        <v/>
      </c>
      <c r="FU81">
        <f>MAX(0,ROUND(N(FR81)+N(FS81)-N(FT81),2))</f>
        <v/>
      </c>
      <c r="FV81">
        <f>N(FY80)</f>
        <v/>
      </c>
      <c r="FW81">
        <f>IF(N(FV81)&lt;=0.005,0,ROUND(N(FV81)*N('Debt List'!E7)/12,2))</f>
        <v/>
      </c>
      <c r="FX81">
        <f>IF(N(FV81)&lt;=0.005,0,MIN(N('Debt List'!F7),N(FV81)+N(FW81)))+((GT81=3)*GV81+(GX81=3)*GZ81+(HB81=3)*HD81+(HF81=3)*HH81+(HJ81=3)*HL81+(HN81=3)*HP81+(HR81=3)*HT81+(HV81=3)*HX81)</f>
        <v/>
      </c>
      <c r="FY81">
        <f>MAX(0,ROUND(N(FV81)+N(FW81)-N(FX81),2))</f>
        <v/>
      </c>
      <c r="FZ81">
        <f>N(GC80)</f>
        <v/>
      </c>
      <c r="GA81">
        <f>IF(N(FZ81)&lt;=0.005,0,ROUND(N(FZ81)*N('Debt List'!E8)/12,2))</f>
        <v/>
      </c>
      <c r="GB81">
        <f>IF(N(FZ81)&lt;=0.005,0,MIN(N('Debt List'!F8),N(FZ81)+N(GA81)))+((GT81=4)*GV81+(GX81=4)*GZ81+(HB81=4)*HD81+(HF81=4)*HH81+(HJ81=4)*HL81+(HN81=4)*HP81+(HR81=4)*HT81+(HV81=4)*HX81)</f>
        <v/>
      </c>
      <c r="GC81">
        <f>MAX(0,ROUND(N(FZ81)+N(GA81)-N(GB81),2))</f>
        <v/>
      </c>
      <c r="GD81">
        <f>N(GG80)</f>
        <v/>
      </c>
      <c r="GE81">
        <f>IF(N(GD81)&lt;=0.005,0,ROUND(N(GD81)*N('Debt List'!E9)/12,2))</f>
        <v/>
      </c>
      <c r="GF81">
        <f>IF(N(GD81)&lt;=0.005,0,MIN(N('Debt List'!F9),N(GD81)+N(GE81)))+((GT81=5)*GV81+(GX81=5)*GZ81+(HB81=5)*HD81+(HF81=5)*HH81+(HJ81=5)*HL81+(HN81=5)*HP81+(HR81=5)*HT81+(HV81=5)*HX81)</f>
        <v/>
      </c>
      <c r="GG81">
        <f>MAX(0,ROUND(N(GD81)+N(GE81)-N(GF81),2))</f>
        <v/>
      </c>
      <c r="GH81">
        <f>N(GK80)</f>
        <v/>
      </c>
      <c r="GI81">
        <f>IF(N(GH81)&lt;=0.005,0,ROUND(N(GH81)*N('Debt List'!E10)/12,2))</f>
        <v/>
      </c>
      <c r="GJ81">
        <f>IF(N(GH81)&lt;=0.005,0,MIN(N('Debt List'!F10),N(GH81)+N(GI81)))+((GT81=6)*GV81+(GX81=6)*GZ81+(HB81=6)*HD81+(HF81=6)*HH81+(HJ81=6)*HL81+(HN81=6)*HP81+(HR81=6)*HT81+(HV81=6)*HX81)</f>
        <v/>
      </c>
      <c r="GK81">
        <f>MAX(0,ROUND(N(GH81)+N(GI81)-N(GJ81),2))</f>
        <v/>
      </c>
      <c r="GL81">
        <f>N(GO80)</f>
        <v/>
      </c>
      <c r="GM81">
        <f>IF(N(GL81)&lt;=0.005,0,ROUND(N(GL81)*N('Debt List'!E11)/12,2))</f>
        <v/>
      </c>
      <c r="GN81">
        <f>IF(N(GL81)&lt;=0.005,0,MIN(N('Debt List'!F11),N(GL81)+N(GM81)))+((GT81=7)*GV81+(GX81=7)*GZ81+(HB81=7)*HD81+(HF81=7)*HH81+(HJ81=7)*HL81+(HN81=7)*HP81+(HR81=7)*HT81+(HV81=7)*HX81)</f>
        <v/>
      </c>
      <c r="GO81">
        <f>MAX(0,ROUND(N(GL81)+N(GM81)-N(GN81),2))</f>
        <v/>
      </c>
      <c r="GP81">
        <f>N(GS80)</f>
        <v/>
      </c>
      <c r="GQ81">
        <f>IF(N(GP81)&lt;=0.005,0,ROUND(N(GP81)*N('Debt List'!E12)/12,2))</f>
        <v/>
      </c>
      <c r="GR81">
        <f>IF(N(GP81)&lt;=0.005,0,MIN(N('Debt List'!F12),N(GP81)+N(GQ81)))+((GT81=8)*GV81+(GX81=8)*GZ81+(HB81=8)*HD81+(HF81=8)*HH81+(HJ81=8)*HL81+(HN81=8)*HP81+(HR81=8)*HT81+(HV81=8)*HX81)</f>
        <v/>
      </c>
      <c r="GS81">
        <f>MAX(0,ROUND(N(GP81)+N(GQ81)-N(GR81),2))</f>
        <v/>
      </c>
      <c r="GT81">
        <f>IFERROR(MATCH(1,OrderAval,0),"")</f>
        <v/>
      </c>
      <c r="GU81">
        <f>IF(GT81="",0,IFERROR(IF(N(CHOOSE(GT81,FN81,FR81,FV81,FZ81,GD81,GH81,GL81,GP81))&lt;=0.005,0,MAX(0,N(CHOOSE(GT81,FN81,FR81,FV81,FZ81,GD81,GH81,GL81,GP81))+N(CHOOSE(GT81,FO81,FS81,FW81,GA81,GE81,GI81,GM81,GQ81))-MIN(N(CHOOSE(GT81,'Debt List'!$F$5,'Debt List'!$F$6,'Debt List'!$F$7,'Debt List'!$F$8,'Debt List'!$F$9,'Debt List'!$F$10,'Debt List'!$F$11,'Debt List'!$F$12)),N(CHOOSE(GT81,FN81,FR81,FV81,FZ81,GD81,GH81,GL81,GP81))+N(CHOOSE(GT81,FO81,FS81,FW81,GA81,GE81,GI81,GM81,GQ81))))),0))</f>
        <v/>
      </c>
      <c r="GV81">
        <f>MIN(N(GU81),MAX(0,N(ExtraPayment)))</f>
        <v/>
      </c>
      <c r="GW81">
        <f>MAX(0,N(ExtraPayment)-N(GV81))</f>
        <v/>
      </c>
      <c r="GX81">
        <f>IFERROR(MATCH(2,OrderAval,0),"")</f>
        <v/>
      </c>
      <c r="GY81">
        <f>IF(GX81="",0,IFERROR(IF(N(CHOOSE(GX81,FN81,FR81,FV81,FZ81,GD81,GH81,GL81,GP81))&lt;=0.005,0,MAX(0,N(CHOOSE(GX81,FN81,FR81,FV81,FZ81,GD81,GH81,GL81,GP81))+N(CHOOSE(GX81,FO81,FS81,FW81,GA81,GE81,GI81,GM81,GQ81))-MIN(N(CHOOSE(GX81,'Debt List'!$F$5,'Debt List'!$F$6,'Debt List'!$F$7,'Debt List'!$F$8,'Debt List'!$F$9,'Debt List'!$F$10,'Debt List'!$F$11,'Debt List'!$F$12)),N(CHOOSE(GX81,FN81,FR81,FV81,FZ81,GD81,GH81,GL81,GP81))+N(CHOOSE(GX81,FO81,FS81,FW81,GA81,GE81,GI81,GM81,GQ81))))),0))</f>
        <v/>
      </c>
      <c r="GZ81">
        <f>MIN(N(GY81),MAX(0,N(GW81)))</f>
        <v/>
      </c>
      <c r="HA81">
        <f>MAX(0,N(GW81)-N(GZ81))</f>
        <v/>
      </c>
      <c r="HB81">
        <f>IFERROR(MATCH(3,OrderAval,0),"")</f>
        <v/>
      </c>
      <c r="HC81">
        <f>IF(HB81="",0,IFERROR(IF(N(CHOOSE(HB81,FN81,FR81,FV81,FZ81,GD81,GH81,GL81,GP81))&lt;=0.005,0,MAX(0,N(CHOOSE(HB81,FN81,FR81,FV81,FZ81,GD81,GH81,GL81,GP81))+N(CHOOSE(HB81,FO81,FS81,FW81,GA81,GE81,GI81,GM81,GQ81))-MIN(N(CHOOSE(HB81,'Debt List'!$F$5,'Debt List'!$F$6,'Debt List'!$F$7,'Debt List'!$F$8,'Debt List'!$F$9,'Debt List'!$F$10,'Debt List'!$F$11,'Debt List'!$F$12)),N(CHOOSE(HB81,FN81,FR81,FV81,FZ81,GD81,GH81,GL81,GP81))+N(CHOOSE(HB81,FO81,FS81,FW81,GA81,GE81,GI81,GM81,GQ81))))),0))</f>
        <v/>
      </c>
      <c r="HD81">
        <f>MIN(N(HC81),MAX(0,N(HA81)))</f>
        <v/>
      </c>
      <c r="HE81">
        <f>MAX(0,N(HA81)-N(HD81))</f>
        <v/>
      </c>
      <c r="HF81">
        <f>IFERROR(MATCH(4,OrderAval,0),"")</f>
        <v/>
      </c>
      <c r="HG81">
        <f>IF(HF81="",0,IFERROR(IF(N(CHOOSE(HF81,FN81,FR81,FV81,FZ81,GD81,GH81,GL81,GP81))&lt;=0.005,0,MAX(0,N(CHOOSE(HF81,FN81,FR81,FV81,FZ81,GD81,GH81,GL81,GP81))+N(CHOOSE(HF81,FO81,FS81,FW81,GA81,GE81,GI81,GM81,GQ81))-MIN(N(CHOOSE(HF81,'Debt List'!$F$5,'Debt List'!$F$6,'Debt List'!$F$7,'Debt List'!$F$8,'Debt List'!$F$9,'Debt List'!$F$10,'Debt List'!$F$11,'Debt List'!$F$12)),N(CHOOSE(HF81,FN81,FR81,FV81,FZ81,GD81,GH81,GL81,GP81))+N(CHOOSE(HF81,FO81,FS81,FW81,GA81,GE81,GI81,GM81,GQ81))))),0))</f>
        <v/>
      </c>
      <c r="HH81">
        <f>MIN(N(HG81),MAX(0,N(HE81)))</f>
        <v/>
      </c>
      <c r="HI81">
        <f>MAX(0,N(HE81)-N(HH81))</f>
        <v/>
      </c>
      <c r="HJ81">
        <f>IFERROR(MATCH(5,OrderAval,0),"")</f>
        <v/>
      </c>
      <c r="HK81">
        <f>IF(HJ81="",0,IFERROR(IF(N(CHOOSE(HJ81,FN81,FR81,FV81,FZ81,GD81,GH81,GL81,GP81))&lt;=0.005,0,MAX(0,N(CHOOSE(HJ81,FN81,FR81,FV81,FZ81,GD81,GH81,GL81,GP81))+N(CHOOSE(HJ81,FO81,FS81,FW81,GA81,GE81,GI81,GM81,GQ81))-MIN(N(CHOOSE(HJ81,'Debt List'!$F$5,'Debt List'!$F$6,'Debt List'!$F$7,'Debt List'!$F$8,'Debt List'!$F$9,'Debt List'!$F$10,'Debt List'!$F$11,'Debt List'!$F$12)),N(CHOOSE(HJ81,FN81,FR81,FV81,FZ81,GD81,GH81,GL81,GP81))+N(CHOOSE(HJ81,FO81,FS81,FW81,GA81,GE81,GI81,GM81,GQ81))))),0))</f>
        <v/>
      </c>
      <c r="HL81">
        <f>MIN(N(HK81),MAX(0,N(HI81)))</f>
        <v/>
      </c>
      <c r="HM81">
        <f>MAX(0,N(HI81)-N(HL81))</f>
        <v/>
      </c>
      <c r="HN81">
        <f>IFERROR(MATCH(6,OrderAval,0),"")</f>
        <v/>
      </c>
      <c r="HO81">
        <f>IF(HN81="",0,IFERROR(IF(N(CHOOSE(HN81,FN81,FR81,FV81,FZ81,GD81,GH81,GL81,GP81))&lt;=0.005,0,MAX(0,N(CHOOSE(HN81,FN81,FR81,FV81,FZ81,GD81,GH81,GL81,GP81))+N(CHOOSE(HN81,FO81,FS81,FW81,GA81,GE81,GI81,GM81,GQ81))-MIN(N(CHOOSE(HN81,'Debt List'!$F$5,'Debt List'!$F$6,'Debt List'!$F$7,'Debt List'!$F$8,'Debt List'!$F$9,'Debt List'!$F$10,'Debt List'!$F$11,'Debt List'!$F$12)),N(CHOOSE(HN81,FN81,FR81,FV81,FZ81,GD81,GH81,GL81,GP81))+N(CHOOSE(HN81,FO81,FS81,FW81,GA81,GE81,GI81,GM81,GQ81))))),0))</f>
        <v/>
      </c>
      <c r="HP81">
        <f>MIN(N(HO81),MAX(0,N(HM81)))</f>
        <v/>
      </c>
      <c r="HQ81">
        <f>MAX(0,N(HM81)-N(HP81))</f>
        <v/>
      </c>
      <c r="HR81">
        <f>IFERROR(MATCH(7,OrderAval,0),"")</f>
        <v/>
      </c>
      <c r="HS81">
        <f>IF(HR81="",0,IFERROR(IF(N(CHOOSE(HR81,FN81,FR81,FV81,FZ81,GD81,GH81,GL81,GP81))&lt;=0.005,0,MAX(0,N(CHOOSE(HR81,FN81,FR81,FV81,FZ81,GD81,GH81,GL81,GP81))+N(CHOOSE(HR81,FO81,FS81,FW81,GA81,GE81,GI81,GM81,GQ81))-MIN(N(CHOOSE(HR81,'Debt List'!$F$5,'Debt List'!$F$6,'Debt List'!$F$7,'Debt List'!$F$8,'Debt List'!$F$9,'Debt List'!$F$10,'Debt List'!$F$11,'Debt List'!$F$12)),N(CHOOSE(HR81,FN81,FR81,FV81,FZ81,GD81,GH81,GL81,GP81))+N(CHOOSE(HR81,FO81,FS81,FW81,GA81,GE81,GI81,GM81,GQ81))))),0))</f>
        <v/>
      </c>
      <c r="HT81">
        <f>MIN(N(HS81),MAX(0,N(HQ81)))</f>
        <v/>
      </c>
      <c r="HU81">
        <f>MAX(0,N(HQ81)-N(HT81))</f>
        <v/>
      </c>
      <c r="HV81">
        <f>IFERROR(MATCH(8,OrderAval,0),"")</f>
        <v/>
      </c>
      <c r="HW81">
        <f>IF(HV81="",0,IFERROR(IF(N(CHOOSE(HV81,FN81,FR81,FV81,FZ81,GD81,GH81,GL81,GP81))&lt;=0.005,0,MAX(0,N(CHOOSE(HV81,FN81,FR81,FV81,FZ81,GD81,GH81,GL81,GP81))+N(CHOOSE(HV81,FO81,FS81,FW81,GA81,GE81,GI81,GM81,GQ81))-MIN(N(CHOOSE(HV81,'Debt List'!$F$5,'Debt List'!$F$6,'Debt List'!$F$7,'Debt List'!$F$8,'Debt List'!$F$9,'Debt List'!$F$10,'Debt List'!$F$11,'Debt List'!$F$12)),N(CHOOSE(HV81,FN81,FR81,FV81,FZ81,GD81,GH81,GL81,GP81))+N(CHOOSE(HV81,FO81,FS81,FW81,GA81,GE81,GI81,GM81,GQ81))))),0))</f>
        <v/>
      </c>
      <c r="HX81">
        <f>MIN(N(HW81),MAX(0,N(HU81)))</f>
        <v/>
      </c>
      <c r="HY81">
        <f>MAX(0,N(HU81)-N(HX81))</f>
        <v/>
      </c>
    </row>
    <row r="82">
      <c r="A82" t="n">
        <v>78</v>
      </c>
      <c r="B82" s="115">
        <f>DATE(YEAR(PlanStart),MONTH(PlanStart)+A82-1,1)</f>
        <v/>
      </c>
      <c r="C82">
        <f>IF(AND(AP82&lt;&gt;"",N(CHOOSE(AP82,J82,N82,R82,V82,Z82,AD82,AH82,AL82))&gt;0.005),INDEX(DebtNames,AP82),IF(AND(AT82&lt;&gt;"",N(CHOOSE(AT82,J82,N82,R82,V82,Z82,AD82,AH82,AL82))&gt;0.005),INDEX(DebtNames,AT82),IF(AND(AX82&lt;&gt;"",N(CHOOSE(AX82,J82,N82,R82,V82,Z82,AD82,AH82,AL82))&gt;0.005),INDEX(DebtNames,AX82),IF(AND(BB82&lt;&gt;"",N(CHOOSE(BB82,J82,N82,R82,V82,Z82,AD82,AH82,AL82))&gt;0.005),INDEX(DebtNames,BB82),IF(AND(BF82&lt;&gt;"",N(CHOOSE(BF82,J82,N82,R82,V82,Z82,AD82,AH82,AL82))&gt;0.005),INDEX(DebtNames,BF82),IF(AND(BJ82&lt;&gt;"",N(CHOOSE(BJ82,J82,N82,R82,V82,Z82,AD82,AH82,AL82))&gt;0.005),INDEX(DebtNames,BJ82),IF(AND(BN82&lt;&gt;"",N(CHOOSE(BN82,J82,N82,R82,V82,Z82,AD82,AH82,AL82))&gt;0.005),INDEX(DebtNames,BN82),IF(AND(BR82&lt;&gt;"",N(CHOOSE(BR82,J82,N82,R82,V82,Z82,AD82,AH82,AL82))&gt;0.005),INDEX(DebtNames,BR82),""))))))))</f>
        <v/>
      </c>
      <c r="D82">
        <f>N(BU82)</f>
        <v/>
      </c>
      <c r="E82">
        <f>N(L82)+N(P82)+N(T82)+N(X82)+N(AB82)+N(AF82)+N(AJ82)+N(AN82)</f>
        <v/>
      </c>
      <c r="F82">
        <f>N(K82)+N(O82)+N(S82)+N(W82)+N(AA82)+N(AE82)+N(AI82)+N(AM82)</f>
        <v/>
      </c>
      <c r="G82">
        <f>N(G81)+N(F82)</f>
        <v/>
      </c>
      <c r="H82">
        <f>N(M82)+N(Q82)+N(U82)+N(Y82)+N(AC82)+N(AG82)+N(AK82)+N(AO82)</f>
        <v/>
      </c>
      <c r="I82">
        <f>(M82&gt;0.005)*1+(Q82&gt;0.005)*1+(U82&gt;0.005)*1+(Y82&gt;0.005)*1+(AC82&gt;0.005)*1+(AG82&gt;0.005)*1+(AK82&gt;0.005)*1+(AO82&gt;0.005)*1</f>
        <v/>
      </c>
      <c r="J82">
        <f>N(M81)</f>
        <v/>
      </c>
      <c r="K82">
        <f>IF(N(J82)&lt;=0.005,0,ROUND(N(J82)*N('Debt List'!E5)/12,2))</f>
        <v/>
      </c>
      <c r="L82">
        <f>IF(N(J82)&lt;=0.005,0,MIN(N('Debt List'!F5),N(J82)+N(K82)))+((AP82=1)*AR82+(AT82=1)*AV82+(AX82=1)*AZ82+(BB82=1)*BD82+(BF82=1)*BH82+(BJ82=1)*BL82+(BN82=1)*BP82+(BR82=1)*BT82)</f>
        <v/>
      </c>
      <c r="M82">
        <f>MAX(0,ROUND(N(J82)+N(K82)-N(L82),2))</f>
        <v/>
      </c>
      <c r="N82">
        <f>N(Q81)</f>
        <v/>
      </c>
      <c r="O82">
        <f>IF(N(N82)&lt;=0.005,0,ROUND(N(N82)*N('Debt List'!E6)/12,2))</f>
        <v/>
      </c>
      <c r="P82">
        <f>IF(N(N82)&lt;=0.005,0,MIN(N('Debt List'!F6),N(N82)+N(O82)))+((AP82=2)*AR82+(AT82=2)*AV82+(AX82=2)*AZ82+(BB82=2)*BD82+(BF82=2)*BH82+(BJ82=2)*BL82+(BN82=2)*BP82+(BR82=2)*BT82)</f>
        <v/>
      </c>
      <c r="Q82">
        <f>MAX(0,ROUND(N(N82)+N(O82)-N(P82),2))</f>
        <v/>
      </c>
      <c r="R82">
        <f>N(U81)</f>
        <v/>
      </c>
      <c r="S82">
        <f>IF(N(R82)&lt;=0.005,0,ROUND(N(R82)*N('Debt List'!E7)/12,2))</f>
        <v/>
      </c>
      <c r="T82">
        <f>IF(N(R82)&lt;=0.005,0,MIN(N('Debt List'!F7),N(R82)+N(S82)))+((AP82=3)*AR82+(AT82=3)*AV82+(AX82=3)*AZ82+(BB82=3)*BD82+(BF82=3)*BH82+(BJ82=3)*BL82+(BN82=3)*BP82+(BR82=3)*BT82)</f>
        <v/>
      </c>
      <c r="U82">
        <f>MAX(0,ROUND(N(R82)+N(S82)-N(T82),2))</f>
        <v/>
      </c>
      <c r="V82">
        <f>N(Y81)</f>
        <v/>
      </c>
      <c r="W82">
        <f>IF(N(V82)&lt;=0.005,0,ROUND(N(V82)*N('Debt List'!E8)/12,2))</f>
        <v/>
      </c>
      <c r="X82">
        <f>IF(N(V82)&lt;=0.005,0,MIN(N('Debt List'!F8),N(V82)+N(W82)))+((AP82=4)*AR82+(AT82=4)*AV82+(AX82=4)*AZ82+(BB82=4)*BD82+(BF82=4)*BH82+(BJ82=4)*BL82+(BN82=4)*BP82+(BR82=4)*BT82)</f>
        <v/>
      </c>
      <c r="Y82">
        <f>MAX(0,ROUND(N(V82)+N(W82)-N(X82),2))</f>
        <v/>
      </c>
      <c r="Z82">
        <f>N(AC81)</f>
        <v/>
      </c>
      <c r="AA82">
        <f>IF(N(Z82)&lt;=0.005,0,ROUND(N(Z82)*N('Debt List'!E9)/12,2))</f>
        <v/>
      </c>
      <c r="AB82">
        <f>IF(N(Z82)&lt;=0.005,0,MIN(N('Debt List'!F9),N(Z82)+N(AA82)))+((AP82=5)*AR82+(AT82=5)*AV82+(AX82=5)*AZ82+(BB82=5)*BD82+(BF82=5)*BH82+(BJ82=5)*BL82+(BN82=5)*BP82+(BR82=5)*BT82)</f>
        <v/>
      </c>
      <c r="AC82">
        <f>MAX(0,ROUND(N(Z82)+N(AA82)-N(AB82),2))</f>
        <v/>
      </c>
      <c r="AD82">
        <f>N(AG81)</f>
        <v/>
      </c>
      <c r="AE82">
        <f>IF(N(AD82)&lt;=0.005,0,ROUND(N(AD82)*N('Debt List'!E10)/12,2))</f>
        <v/>
      </c>
      <c r="AF82">
        <f>IF(N(AD82)&lt;=0.005,0,MIN(N('Debt List'!F10),N(AD82)+N(AE82)))+((AP82=6)*AR82+(AT82=6)*AV82+(AX82=6)*AZ82+(BB82=6)*BD82+(BF82=6)*BH82+(BJ82=6)*BL82+(BN82=6)*BP82+(BR82=6)*BT82)</f>
        <v/>
      </c>
      <c r="AG82">
        <f>MAX(0,ROUND(N(AD82)+N(AE82)-N(AF82),2))</f>
        <v/>
      </c>
      <c r="AH82">
        <f>N(AK81)</f>
        <v/>
      </c>
      <c r="AI82">
        <f>IF(N(AH82)&lt;=0.005,0,ROUND(N(AH82)*N('Debt List'!E11)/12,2))</f>
        <v/>
      </c>
      <c r="AJ82">
        <f>IF(N(AH82)&lt;=0.005,0,MIN(N('Debt List'!F11),N(AH82)+N(AI82)))+((AP82=7)*AR82+(AT82=7)*AV82+(AX82=7)*AZ82+(BB82=7)*BD82+(BF82=7)*BH82+(BJ82=7)*BL82+(BN82=7)*BP82+(BR82=7)*BT82)</f>
        <v/>
      </c>
      <c r="AK82">
        <f>MAX(0,ROUND(N(AH82)+N(AI82)-N(AJ82),2))</f>
        <v/>
      </c>
      <c r="AL82">
        <f>N(AO81)</f>
        <v/>
      </c>
      <c r="AM82">
        <f>IF(N(AL82)&lt;=0.005,0,ROUND(N(AL82)*N('Debt List'!E12)/12,2))</f>
        <v/>
      </c>
      <c r="AN82">
        <f>IF(N(AL82)&lt;=0.005,0,MIN(N('Debt List'!F12),N(AL82)+N(AM82)))+((AP82=8)*AR82+(AT82=8)*AV82+(AX82=8)*AZ82+(BB82=8)*BD82+(BF82=8)*BH82+(BJ82=8)*BL82+(BN82=8)*BP82+(BR82=8)*BT82)</f>
        <v/>
      </c>
      <c r="AO82">
        <f>MAX(0,ROUND(N(AL82)+N(AM82)-N(AN82),2))</f>
        <v/>
      </c>
      <c r="AP82">
        <f>IFERROR(MATCH(1,OrderPlan,0),"")</f>
        <v/>
      </c>
      <c r="AQ82">
        <f>IF(AP82="",0,IFERROR(IF(N(CHOOSE(AP82,J82,N82,R82,V82,Z82,AD82,AH82,AL82))&lt;=0.005,0,MAX(0,N(CHOOSE(AP82,J82,N82,R82,V82,Z82,AD82,AH82,AL82))+N(CHOOSE(AP82,K82,O82,S82,W82,AA82,AE82,AI82,AM82))-MIN(N(CHOOSE(AP82,'Debt List'!$F$5,'Debt List'!$F$6,'Debt List'!$F$7,'Debt List'!$F$8,'Debt List'!$F$9,'Debt List'!$F$10,'Debt List'!$F$11,'Debt List'!$F$12)),N(CHOOSE(AP82,J82,N82,R82,V82,Z82,AD82,AH82,AL82))+N(CHOOSE(AP82,K82,O82,S82,W82,AA82,AE82,AI82,AM82))))),0))</f>
        <v/>
      </c>
      <c r="AR82">
        <f>MIN(N(AQ82),MAX(0,N(ExtraPayment)))</f>
        <v/>
      </c>
      <c r="AS82">
        <f>MAX(0,N(ExtraPayment)-N(AR82))</f>
        <v/>
      </c>
      <c r="AT82">
        <f>IFERROR(MATCH(2,OrderPlan,0),"")</f>
        <v/>
      </c>
      <c r="AU82">
        <f>IF(AT82="",0,IFERROR(IF(N(CHOOSE(AT82,J82,N82,R82,V82,Z82,AD82,AH82,AL82))&lt;=0.005,0,MAX(0,N(CHOOSE(AT82,J82,N82,R82,V82,Z82,AD82,AH82,AL82))+N(CHOOSE(AT82,K82,O82,S82,W82,AA82,AE82,AI82,AM82))-MIN(N(CHOOSE(AT82,'Debt List'!$F$5,'Debt List'!$F$6,'Debt List'!$F$7,'Debt List'!$F$8,'Debt List'!$F$9,'Debt List'!$F$10,'Debt List'!$F$11,'Debt List'!$F$12)),N(CHOOSE(AT82,J82,N82,R82,V82,Z82,AD82,AH82,AL82))+N(CHOOSE(AT82,K82,O82,S82,W82,AA82,AE82,AI82,AM82))))),0))</f>
        <v/>
      </c>
      <c r="AV82">
        <f>MIN(N(AU82),MAX(0,N(AS82)))</f>
        <v/>
      </c>
      <c r="AW82">
        <f>MAX(0,N(AS82)-N(AV82))</f>
        <v/>
      </c>
      <c r="AX82">
        <f>IFERROR(MATCH(3,OrderPlan,0),"")</f>
        <v/>
      </c>
      <c r="AY82">
        <f>IF(AX82="",0,IFERROR(IF(N(CHOOSE(AX82,J82,N82,R82,V82,Z82,AD82,AH82,AL82))&lt;=0.005,0,MAX(0,N(CHOOSE(AX82,J82,N82,R82,V82,Z82,AD82,AH82,AL82))+N(CHOOSE(AX82,K82,O82,S82,W82,AA82,AE82,AI82,AM82))-MIN(N(CHOOSE(AX82,'Debt List'!$F$5,'Debt List'!$F$6,'Debt List'!$F$7,'Debt List'!$F$8,'Debt List'!$F$9,'Debt List'!$F$10,'Debt List'!$F$11,'Debt List'!$F$12)),N(CHOOSE(AX82,J82,N82,R82,V82,Z82,AD82,AH82,AL82))+N(CHOOSE(AX82,K82,O82,S82,W82,AA82,AE82,AI82,AM82))))),0))</f>
        <v/>
      </c>
      <c r="AZ82">
        <f>MIN(N(AY82),MAX(0,N(AW82)))</f>
        <v/>
      </c>
      <c r="BA82">
        <f>MAX(0,N(AW82)-N(AZ82))</f>
        <v/>
      </c>
      <c r="BB82">
        <f>IFERROR(MATCH(4,OrderPlan,0),"")</f>
        <v/>
      </c>
      <c r="BC82">
        <f>IF(BB82="",0,IFERROR(IF(N(CHOOSE(BB82,J82,N82,R82,V82,Z82,AD82,AH82,AL82))&lt;=0.005,0,MAX(0,N(CHOOSE(BB82,J82,N82,R82,V82,Z82,AD82,AH82,AL82))+N(CHOOSE(BB82,K82,O82,S82,W82,AA82,AE82,AI82,AM82))-MIN(N(CHOOSE(BB82,'Debt List'!$F$5,'Debt List'!$F$6,'Debt List'!$F$7,'Debt List'!$F$8,'Debt List'!$F$9,'Debt List'!$F$10,'Debt List'!$F$11,'Debt List'!$F$12)),N(CHOOSE(BB82,J82,N82,R82,V82,Z82,AD82,AH82,AL82))+N(CHOOSE(BB82,K82,O82,S82,W82,AA82,AE82,AI82,AM82))))),0))</f>
        <v/>
      </c>
      <c r="BD82">
        <f>MIN(N(BC82),MAX(0,N(BA82)))</f>
        <v/>
      </c>
      <c r="BE82">
        <f>MAX(0,N(BA82)-N(BD82))</f>
        <v/>
      </c>
      <c r="BF82">
        <f>IFERROR(MATCH(5,OrderPlan,0),"")</f>
        <v/>
      </c>
      <c r="BG82">
        <f>IF(BF82="",0,IFERROR(IF(N(CHOOSE(BF82,J82,N82,R82,V82,Z82,AD82,AH82,AL82))&lt;=0.005,0,MAX(0,N(CHOOSE(BF82,J82,N82,R82,V82,Z82,AD82,AH82,AL82))+N(CHOOSE(BF82,K82,O82,S82,W82,AA82,AE82,AI82,AM82))-MIN(N(CHOOSE(BF82,'Debt List'!$F$5,'Debt List'!$F$6,'Debt List'!$F$7,'Debt List'!$F$8,'Debt List'!$F$9,'Debt List'!$F$10,'Debt List'!$F$11,'Debt List'!$F$12)),N(CHOOSE(BF82,J82,N82,R82,V82,Z82,AD82,AH82,AL82))+N(CHOOSE(BF82,K82,O82,S82,W82,AA82,AE82,AI82,AM82))))),0))</f>
        <v/>
      </c>
      <c r="BH82">
        <f>MIN(N(BG82),MAX(0,N(BE82)))</f>
        <v/>
      </c>
      <c r="BI82">
        <f>MAX(0,N(BE82)-N(BH82))</f>
        <v/>
      </c>
      <c r="BJ82">
        <f>IFERROR(MATCH(6,OrderPlan,0),"")</f>
        <v/>
      </c>
      <c r="BK82">
        <f>IF(BJ82="",0,IFERROR(IF(N(CHOOSE(BJ82,J82,N82,R82,V82,Z82,AD82,AH82,AL82))&lt;=0.005,0,MAX(0,N(CHOOSE(BJ82,J82,N82,R82,V82,Z82,AD82,AH82,AL82))+N(CHOOSE(BJ82,K82,O82,S82,W82,AA82,AE82,AI82,AM82))-MIN(N(CHOOSE(BJ82,'Debt List'!$F$5,'Debt List'!$F$6,'Debt List'!$F$7,'Debt List'!$F$8,'Debt List'!$F$9,'Debt List'!$F$10,'Debt List'!$F$11,'Debt List'!$F$12)),N(CHOOSE(BJ82,J82,N82,R82,V82,Z82,AD82,AH82,AL82))+N(CHOOSE(BJ82,K82,O82,S82,W82,AA82,AE82,AI82,AM82))))),0))</f>
        <v/>
      </c>
      <c r="BL82">
        <f>MIN(N(BK82),MAX(0,N(BI82)))</f>
        <v/>
      </c>
      <c r="BM82">
        <f>MAX(0,N(BI82)-N(BL82))</f>
        <v/>
      </c>
      <c r="BN82">
        <f>IFERROR(MATCH(7,OrderPlan,0),"")</f>
        <v/>
      </c>
      <c r="BO82">
        <f>IF(BN82="",0,IFERROR(IF(N(CHOOSE(BN82,J82,N82,R82,V82,Z82,AD82,AH82,AL82))&lt;=0.005,0,MAX(0,N(CHOOSE(BN82,J82,N82,R82,V82,Z82,AD82,AH82,AL82))+N(CHOOSE(BN82,K82,O82,S82,W82,AA82,AE82,AI82,AM82))-MIN(N(CHOOSE(BN82,'Debt List'!$F$5,'Debt List'!$F$6,'Debt List'!$F$7,'Debt List'!$F$8,'Debt List'!$F$9,'Debt List'!$F$10,'Debt List'!$F$11,'Debt List'!$F$12)),N(CHOOSE(BN82,J82,N82,R82,V82,Z82,AD82,AH82,AL82))+N(CHOOSE(BN82,K82,O82,S82,W82,AA82,AE82,AI82,AM82))))),0))</f>
        <v/>
      </c>
      <c r="BP82">
        <f>MIN(N(BO82),MAX(0,N(BM82)))</f>
        <v/>
      </c>
      <c r="BQ82">
        <f>MAX(0,N(BM82)-N(BP82))</f>
        <v/>
      </c>
      <c r="BR82">
        <f>IFERROR(MATCH(8,OrderPlan,0),"")</f>
        <v/>
      </c>
      <c r="BS82">
        <f>IF(BR82="",0,IFERROR(IF(N(CHOOSE(BR82,J82,N82,R82,V82,Z82,AD82,AH82,AL82))&lt;=0.005,0,MAX(0,N(CHOOSE(BR82,J82,N82,R82,V82,Z82,AD82,AH82,AL82))+N(CHOOSE(BR82,K82,O82,S82,W82,AA82,AE82,AI82,AM82))-MIN(N(CHOOSE(BR82,'Debt List'!$F$5,'Debt List'!$F$6,'Debt List'!$F$7,'Debt List'!$F$8,'Debt List'!$F$9,'Debt List'!$F$10,'Debt List'!$F$11,'Debt List'!$F$12)),N(CHOOSE(BR82,J82,N82,R82,V82,Z82,AD82,AH82,AL82))+N(CHOOSE(BR82,K82,O82,S82,W82,AA82,AE82,AI82,AM82))))),0))</f>
        <v/>
      </c>
      <c r="BT82">
        <f>MIN(N(BS82),MAX(0,N(BQ82)))</f>
        <v/>
      </c>
      <c r="BU82">
        <f>MAX(0,N(BQ82)-N(BT82))</f>
        <v/>
      </c>
      <c r="CC82" t="n">
        <v>78</v>
      </c>
      <c r="CD82" s="115">
        <f>DATE(YEAR(PlanStart),MONTH(PlanStart)+CC82-1,1)</f>
        <v/>
      </c>
      <c r="CE82">
        <f>IF(AND(DR82&lt;&gt;"",N(CHOOSE(DR82,CL82,CP82,CT82,CX82,DB82,DF82,DJ82,DN82))&gt;0.005),INDEX(DebtNames,DR82),IF(AND(DV82&lt;&gt;"",N(CHOOSE(DV82,CL82,CP82,CT82,CX82,DB82,DF82,DJ82,DN82))&gt;0.005),INDEX(DebtNames,DV82),IF(AND(DZ82&lt;&gt;"",N(CHOOSE(DZ82,CL82,CP82,CT82,CX82,DB82,DF82,DJ82,DN82))&gt;0.005),INDEX(DebtNames,DZ82),IF(AND(ED82&lt;&gt;"",N(CHOOSE(ED82,CL82,CP82,CT82,CX82,DB82,DF82,DJ82,DN82))&gt;0.005),INDEX(DebtNames,ED82),IF(AND(EH82&lt;&gt;"",N(CHOOSE(EH82,CL82,CP82,CT82,CX82,DB82,DF82,DJ82,DN82))&gt;0.005),INDEX(DebtNames,EH82),IF(AND(EL82&lt;&gt;"",N(CHOOSE(EL82,CL82,CP82,CT82,CX82,DB82,DF82,DJ82,DN82))&gt;0.005),INDEX(DebtNames,EL82),IF(AND(EP82&lt;&gt;"",N(CHOOSE(EP82,CL82,CP82,CT82,CX82,DB82,DF82,DJ82,DN82))&gt;0.005),INDEX(DebtNames,EP82),IF(AND(ET82&lt;&gt;"",N(CHOOSE(ET82,CL82,CP82,CT82,CX82,DB82,DF82,DJ82,DN82))&gt;0.005),INDEX(DebtNames,ET82),""))))))))</f>
        <v/>
      </c>
      <c r="CF82">
        <f>N(EW82)</f>
        <v/>
      </c>
      <c r="CG82">
        <f>N(CN82)+N(CR82)+N(CV82)+N(CZ82)+N(DD82)+N(DH82)+N(DL82)+N(DP82)</f>
        <v/>
      </c>
      <c r="CH82">
        <f>N(CM82)+N(CQ82)+N(CU82)+N(CY82)+N(DC82)+N(DG82)+N(DK82)+N(DO82)</f>
        <v/>
      </c>
      <c r="CI82">
        <f>N(CI81)+N(CH82)</f>
        <v/>
      </c>
      <c r="CJ82">
        <f>N(CO82)+N(CS82)+N(CW82)+N(DA82)+N(DE82)+N(DI82)+N(DM82)+N(DQ82)</f>
        <v/>
      </c>
      <c r="CK82">
        <f>(CO82&gt;0.005)*1+(CS82&gt;0.005)*1+(CW82&gt;0.005)*1+(DA82&gt;0.005)*1+(DE82&gt;0.005)*1+(DI82&gt;0.005)*1+(DM82&gt;0.005)*1+(DQ82&gt;0.005)*1</f>
        <v/>
      </c>
      <c r="CL82">
        <f>N(CO81)</f>
        <v/>
      </c>
      <c r="CM82">
        <f>IF(N(CL82)&lt;=0.005,0,ROUND(N(CL82)*N('Debt List'!E5)/12,2))</f>
        <v/>
      </c>
      <c r="CN82">
        <f>IF(N(CL82)&lt;=0.005,0,MIN(N('Debt List'!F5),N(CL82)+N(CM82)))+((DR82=1)*DT82+(DV82=1)*DX82+(DZ82=1)*EB82+(ED82=1)*EF82+(EH82=1)*EJ82+(EL82=1)*EN82+(EP82=1)*ER82+(ET82=1)*EV82)</f>
        <v/>
      </c>
      <c r="CO82">
        <f>MAX(0,ROUND(N(CL82)+N(CM82)-N(CN82),2))</f>
        <v/>
      </c>
      <c r="CP82">
        <f>N(CS81)</f>
        <v/>
      </c>
      <c r="CQ82">
        <f>IF(N(CP82)&lt;=0.005,0,ROUND(N(CP82)*N('Debt List'!E6)/12,2))</f>
        <v/>
      </c>
      <c r="CR82">
        <f>IF(N(CP82)&lt;=0.005,0,MIN(N('Debt List'!F6),N(CP82)+N(CQ82)))+((DR82=2)*DT82+(DV82=2)*DX82+(DZ82=2)*EB82+(ED82=2)*EF82+(EH82=2)*EJ82+(EL82=2)*EN82+(EP82=2)*ER82+(ET82=2)*EV82)</f>
        <v/>
      </c>
      <c r="CS82">
        <f>MAX(0,ROUND(N(CP82)+N(CQ82)-N(CR82),2))</f>
        <v/>
      </c>
      <c r="CT82">
        <f>N(CW81)</f>
        <v/>
      </c>
      <c r="CU82">
        <f>IF(N(CT82)&lt;=0.005,0,ROUND(N(CT82)*N('Debt List'!E7)/12,2))</f>
        <v/>
      </c>
      <c r="CV82">
        <f>IF(N(CT82)&lt;=0.005,0,MIN(N('Debt List'!F7),N(CT82)+N(CU82)))+((DR82=3)*DT82+(DV82=3)*DX82+(DZ82=3)*EB82+(ED82=3)*EF82+(EH82=3)*EJ82+(EL82=3)*EN82+(EP82=3)*ER82+(ET82=3)*EV82)</f>
        <v/>
      </c>
      <c r="CW82">
        <f>MAX(0,ROUND(N(CT82)+N(CU82)-N(CV82),2))</f>
        <v/>
      </c>
      <c r="CX82">
        <f>N(DA81)</f>
        <v/>
      </c>
      <c r="CY82">
        <f>IF(N(CX82)&lt;=0.005,0,ROUND(N(CX82)*N('Debt List'!E8)/12,2))</f>
        <v/>
      </c>
      <c r="CZ82">
        <f>IF(N(CX82)&lt;=0.005,0,MIN(N('Debt List'!F8),N(CX82)+N(CY82)))+((DR82=4)*DT82+(DV82=4)*DX82+(DZ82=4)*EB82+(ED82=4)*EF82+(EH82=4)*EJ82+(EL82=4)*EN82+(EP82=4)*ER82+(ET82=4)*EV82)</f>
        <v/>
      </c>
      <c r="DA82">
        <f>MAX(0,ROUND(N(CX82)+N(CY82)-N(CZ82),2))</f>
        <v/>
      </c>
      <c r="DB82">
        <f>N(DE81)</f>
        <v/>
      </c>
      <c r="DC82">
        <f>IF(N(DB82)&lt;=0.005,0,ROUND(N(DB82)*N('Debt List'!E9)/12,2))</f>
        <v/>
      </c>
      <c r="DD82">
        <f>IF(N(DB82)&lt;=0.005,0,MIN(N('Debt List'!F9),N(DB82)+N(DC82)))+((DR82=5)*DT82+(DV82=5)*DX82+(DZ82=5)*EB82+(ED82=5)*EF82+(EH82=5)*EJ82+(EL82=5)*EN82+(EP82=5)*ER82+(ET82=5)*EV82)</f>
        <v/>
      </c>
      <c r="DE82">
        <f>MAX(0,ROUND(N(DB82)+N(DC82)-N(DD82),2))</f>
        <v/>
      </c>
      <c r="DF82">
        <f>N(DI81)</f>
        <v/>
      </c>
      <c r="DG82">
        <f>IF(N(DF82)&lt;=0.005,0,ROUND(N(DF82)*N('Debt List'!E10)/12,2))</f>
        <v/>
      </c>
      <c r="DH82">
        <f>IF(N(DF82)&lt;=0.005,0,MIN(N('Debt List'!F10),N(DF82)+N(DG82)))+((DR82=6)*DT82+(DV82=6)*DX82+(DZ82=6)*EB82+(ED82=6)*EF82+(EH82=6)*EJ82+(EL82=6)*EN82+(EP82=6)*ER82+(ET82=6)*EV82)</f>
        <v/>
      </c>
      <c r="DI82">
        <f>MAX(0,ROUND(N(DF82)+N(DG82)-N(DH82),2))</f>
        <v/>
      </c>
      <c r="DJ82">
        <f>N(DM81)</f>
        <v/>
      </c>
      <c r="DK82">
        <f>IF(N(DJ82)&lt;=0.005,0,ROUND(N(DJ82)*N('Debt List'!E11)/12,2))</f>
        <v/>
      </c>
      <c r="DL82">
        <f>IF(N(DJ82)&lt;=0.005,0,MIN(N('Debt List'!F11),N(DJ82)+N(DK82)))+((DR82=7)*DT82+(DV82=7)*DX82+(DZ82=7)*EB82+(ED82=7)*EF82+(EH82=7)*EJ82+(EL82=7)*EN82+(EP82=7)*ER82+(ET82=7)*EV82)</f>
        <v/>
      </c>
      <c r="DM82">
        <f>MAX(0,ROUND(N(DJ82)+N(DK82)-N(DL82),2))</f>
        <v/>
      </c>
      <c r="DN82">
        <f>N(DQ81)</f>
        <v/>
      </c>
      <c r="DO82">
        <f>IF(N(DN82)&lt;=0.005,0,ROUND(N(DN82)*N('Debt List'!E12)/12,2))</f>
        <v/>
      </c>
      <c r="DP82">
        <f>IF(N(DN82)&lt;=0.005,0,MIN(N('Debt List'!F12),N(DN82)+N(DO82)))+((DR82=8)*DT82+(DV82=8)*DX82+(DZ82=8)*EB82+(ED82=8)*EF82+(EH82=8)*EJ82+(EL82=8)*EN82+(EP82=8)*ER82+(ET82=8)*EV82)</f>
        <v/>
      </c>
      <c r="DQ82">
        <f>MAX(0,ROUND(N(DN82)+N(DO82)-N(DP82),2))</f>
        <v/>
      </c>
      <c r="DR82">
        <f>IFERROR(MATCH(1,OrderSnow,0),"")</f>
        <v/>
      </c>
      <c r="DS82">
        <f>IF(DR82="",0,IFERROR(IF(N(CHOOSE(DR82,CL82,CP82,CT82,CX82,DB82,DF82,DJ82,DN82))&lt;=0.005,0,MAX(0,N(CHOOSE(DR82,CL82,CP82,CT82,CX82,DB82,DF82,DJ82,DN82))+N(CHOOSE(DR82,CM82,CQ82,CU82,CY82,DC82,DG82,DK82,DO82))-MIN(N(CHOOSE(DR82,'Debt List'!$F$5,'Debt List'!$F$6,'Debt List'!$F$7,'Debt List'!$F$8,'Debt List'!$F$9,'Debt List'!$F$10,'Debt List'!$F$11,'Debt List'!$F$12)),N(CHOOSE(DR82,CL82,CP82,CT82,CX82,DB82,DF82,DJ82,DN82))+N(CHOOSE(DR82,CM82,CQ82,CU82,CY82,DC82,DG82,DK82,DO82))))),0))</f>
        <v/>
      </c>
      <c r="DT82">
        <f>MIN(N(DS82),MAX(0,N(ExtraPayment)))</f>
        <v/>
      </c>
      <c r="DU82">
        <f>MAX(0,N(ExtraPayment)-N(DT82))</f>
        <v/>
      </c>
      <c r="DV82">
        <f>IFERROR(MATCH(2,OrderSnow,0),"")</f>
        <v/>
      </c>
      <c r="DW82">
        <f>IF(DV82="",0,IFERROR(IF(N(CHOOSE(DV82,CL82,CP82,CT82,CX82,DB82,DF82,DJ82,DN82))&lt;=0.005,0,MAX(0,N(CHOOSE(DV82,CL82,CP82,CT82,CX82,DB82,DF82,DJ82,DN82))+N(CHOOSE(DV82,CM82,CQ82,CU82,CY82,DC82,DG82,DK82,DO82))-MIN(N(CHOOSE(DV82,'Debt List'!$F$5,'Debt List'!$F$6,'Debt List'!$F$7,'Debt List'!$F$8,'Debt List'!$F$9,'Debt List'!$F$10,'Debt List'!$F$11,'Debt List'!$F$12)),N(CHOOSE(DV82,CL82,CP82,CT82,CX82,DB82,DF82,DJ82,DN82))+N(CHOOSE(DV82,CM82,CQ82,CU82,CY82,DC82,DG82,DK82,DO82))))),0))</f>
        <v/>
      </c>
      <c r="DX82">
        <f>MIN(N(DW82),MAX(0,N(DU82)))</f>
        <v/>
      </c>
      <c r="DY82">
        <f>MAX(0,N(DU82)-N(DX82))</f>
        <v/>
      </c>
      <c r="DZ82">
        <f>IFERROR(MATCH(3,OrderSnow,0),"")</f>
        <v/>
      </c>
      <c r="EA82">
        <f>IF(DZ82="",0,IFERROR(IF(N(CHOOSE(DZ82,CL82,CP82,CT82,CX82,DB82,DF82,DJ82,DN82))&lt;=0.005,0,MAX(0,N(CHOOSE(DZ82,CL82,CP82,CT82,CX82,DB82,DF82,DJ82,DN82))+N(CHOOSE(DZ82,CM82,CQ82,CU82,CY82,DC82,DG82,DK82,DO82))-MIN(N(CHOOSE(DZ82,'Debt List'!$F$5,'Debt List'!$F$6,'Debt List'!$F$7,'Debt List'!$F$8,'Debt List'!$F$9,'Debt List'!$F$10,'Debt List'!$F$11,'Debt List'!$F$12)),N(CHOOSE(DZ82,CL82,CP82,CT82,CX82,DB82,DF82,DJ82,DN82))+N(CHOOSE(DZ82,CM82,CQ82,CU82,CY82,DC82,DG82,DK82,DO82))))),0))</f>
        <v/>
      </c>
      <c r="EB82">
        <f>MIN(N(EA82),MAX(0,N(DY82)))</f>
        <v/>
      </c>
      <c r="EC82">
        <f>MAX(0,N(DY82)-N(EB82))</f>
        <v/>
      </c>
      <c r="ED82">
        <f>IFERROR(MATCH(4,OrderSnow,0),"")</f>
        <v/>
      </c>
      <c r="EE82">
        <f>IF(ED82="",0,IFERROR(IF(N(CHOOSE(ED82,CL82,CP82,CT82,CX82,DB82,DF82,DJ82,DN82))&lt;=0.005,0,MAX(0,N(CHOOSE(ED82,CL82,CP82,CT82,CX82,DB82,DF82,DJ82,DN82))+N(CHOOSE(ED82,CM82,CQ82,CU82,CY82,DC82,DG82,DK82,DO82))-MIN(N(CHOOSE(ED82,'Debt List'!$F$5,'Debt List'!$F$6,'Debt List'!$F$7,'Debt List'!$F$8,'Debt List'!$F$9,'Debt List'!$F$10,'Debt List'!$F$11,'Debt List'!$F$12)),N(CHOOSE(ED82,CL82,CP82,CT82,CX82,DB82,DF82,DJ82,DN82))+N(CHOOSE(ED82,CM82,CQ82,CU82,CY82,DC82,DG82,DK82,DO82))))),0))</f>
        <v/>
      </c>
      <c r="EF82">
        <f>MIN(N(EE82),MAX(0,N(EC82)))</f>
        <v/>
      </c>
      <c r="EG82">
        <f>MAX(0,N(EC82)-N(EF82))</f>
        <v/>
      </c>
      <c r="EH82">
        <f>IFERROR(MATCH(5,OrderSnow,0),"")</f>
        <v/>
      </c>
      <c r="EI82">
        <f>IF(EH82="",0,IFERROR(IF(N(CHOOSE(EH82,CL82,CP82,CT82,CX82,DB82,DF82,DJ82,DN82))&lt;=0.005,0,MAX(0,N(CHOOSE(EH82,CL82,CP82,CT82,CX82,DB82,DF82,DJ82,DN82))+N(CHOOSE(EH82,CM82,CQ82,CU82,CY82,DC82,DG82,DK82,DO82))-MIN(N(CHOOSE(EH82,'Debt List'!$F$5,'Debt List'!$F$6,'Debt List'!$F$7,'Debt List'!$F$8,'Debt List'!$F$9,'Debt List'!$F$10,'Debt List'!$F$11,'Debt List'!$F$12)),N(CHOOSE(EH82,CL82,CP82,CT82,CX82,DB82,DF82,DJ82,DN82))+N(CHOOSE(EH82,CM82,CQ82,CU82,CY82,DC82,DG82,DK82,DO82))))),0))</f>
        <v/>
      </c>
      <c r="EJ82">
        <f>MIN(N(EI82),MAX(0,N(EG82)))</f>
        <v/>
      </c>
      <c r="EK82">
        <f>MAX(0,N(EG82)-N(EJ82))</f>
        <v/>
      </c>
      <c r="EL82">
        <f>IFERROR(MATCH(6,OrderSnow,0),"")</f>
        <v/>
      </c>
      <c r="EM82">
        <f>IF(EL82="",0,IFERROR(IF(N(CHOOSE(EL82,CL82,CP82,CT82,CX82,DB82,DF82,DJ82,DN82))&lt;=0.005,0,MAX(0,N(CHOOSE(EL82,CL82,CP82,CT82,CX82,DB82,DF82,DJ82,DN82))+N(CHOOSE(EL82,CM82,CQ82,CU82,CY82,DC82,DG82,DK82,DO82))-MIN(N(CHOOSE(EL82,'Debt List'!$F$5,'Debt List'!$F$6,'Debt List'!$F$7,'Debt List'!$F$8,'Debt List'!$F$9,'Debt List'!$F$10,'Debt List'!$F$11,'Debt List'!$F$12)),N(CHOOSE(EL82,CL82,CP82,CT82,CX82,DB82,DF82,DJ82,DN82))+N(CHOOSE(EL82,CM82,CQ82,CU82,CY82,DC82,DG82,DK82,DO82))))),0))</f>
        <v/>
      </c>
      <c r="EN82">
        <f>MIN(N(EM82),MAX(0,N(EK82)))</f>
        <v/>
      </c>
      <c r="EO82">
        <f>MAX(0,N(EK82)-N(EN82))</f>
        <v/>
      </c>
      <c r="EP82">
        <f>IFERROR(MATCH(7,OrderSnow,0),"")</f>
        <v/>
      </c>
      <c r="EQ82">
        <f>IF(EP82="",0,IFERROR(IF(N(CHOOSE(EP82,CL82,CP82,CT82,CX82,DB82,DF82,DJ82,DN82))&lt;=0.005,0,MAX(0,N(CHOOSE(EP82,CL82,CP82,CT82,CX82,DB82,DF82,DJ82,DN82))+N(CHOOSE(EP82,CM82,CQ82,CU82,CY82,DC82,DG82,DK82,DO82))-MIN(N(CHOOSE(EP82,'Debt List'!$F$5,'Debt List'!$F$6,'Debt List'!$F$7,'Debt List'!$F$8,'Debt List'!$F$9,'Debt List'!$F$10,'Debt List'!$F$11,'Debt List'!$F$12)),N(CHOOSE(EP82,CL82,CP82,CT82,CX82,DB82,DF82,DJ82,DN82))+N(CHOOSE(EP82,CM82,CQ82,CU82,CY82,DC82,DG82,DK82,DO82))))),0))</f>
        <v/>
      </c>
      <c r="ER82">
        <f>MIN(N(EQ82),MAX(0,N(EO82)))</f>
        <v/>
      </c>
      <c r="ES82">
        <f>MAX(0,N(EO82)-N(ER82))</f>
        <v/>
      </c>
      <c r="ET82">
        <f>IFERROR(MATCH(8,OrderSnow,0),"")</f>
        <v/>
      </c>
      <c r="EU82">
        <f>IF(ET82="",0,IFERROR(IF(N(CHOOSE(ET82,CL82,CP82,CT82,CX82,DB82,DF82,DJ82,DN82))&lt;=0.005,0,MAX(0,N(CHOOSE(ET82,CL82,CP82,CT82,CX82,DB82,DF82,DJ82,DN82))+N(CHOOSE(ET82,CM82,CQ82,CU82,CY82,DC82,DG82,DK82,DO82))-MIN(N(CHOOSE(ET82,'Debt List'!$F$5,'Debt List'!$F$6,'Debt List'!$F$7,'Debt List'!$F$8,'Debt List'!$F$9,'Debt List'!$F$10,'Debt List'!$F$11,'Debt List'!$F$12)),N(CHOOSE(ET82,CL82,CP82,CT82,CX82,DB82,DF82,DJ82,DN82))+N(CHOOSE(ET82,CM82,CQ82,CU82,CY82,DC82,DG82,DK82,DO82))))),0))</f>
        <v/>
      </c>
      <c r="EV82">
        <f>MIN(N(EU82),MAX(0,N(ES82)))</f>
        <v/>
      </c>
      <c r="EW82">
        <f>MAX(0,N(ES82)-N(EV82))</f>
        <v/>
      </c>
      <c r="FE82" t="n">
        <v>78</v>
      </c>
      <c r="FF82" s="115">
        <f>DATE(YEAR(PlanStart),MONTH(PlanStart)+FE82-1,1)</f>
        <v/>
      </c>
      <c r="FG82">
        <f>IF(AND(GT82&lt;&gt;"",N(CHOOSE(GT82,FN82,FR82,FV82,FZ82,GD82,GH82,GL82,GP82))&gt;0.005),INDEX(DebtNames,GT82),IF(AND(GX82&lt;&gt;"",N(CHOOSE(GX82,FN82,FR82,FV82,FZ82,GD82,GH82,GL82,GP82))&gt;0.005),INDEX(DebtNames,GX82),IF(AND(HB82&lt;&gt;"",N(CHOOSE(HB82,FN82,FR82,FV82,FZ82,GD82,GH82,GL82,GP82))&gt;0.005),INDEX(DebtNames,HB82),IF(AND(HF82&lt;&gt;"",N(CHOOSE(HF82,FN82,FR82,FV82,FZ82,GD82,GH82,GL82,GP82))&gt;0.005),INDEX(DebtNames,HF82),IF(AND(HJ82&lt;&gt;"",N(CHOOSE(HJ82,FN82,FR82,FV82,FZ82,GD82,GH82,GL82,GP82))&gt;0.005),INDEX(DebtNames,HJ82),IF(AND(HN82&lt;&gt;"",N(CHOOSE(HN82,FN82,FR82,FV82,FZ82,GD82,GH82,GL82,GP82))&gt;0.005),INDEX(DebtNames,HN82),IF(AND(HR82&lt;&gt;"",N(CHOOSE(HR82,FN82,FR82,FV82,FZ82,GD82,GH82,GL82,GP82))&gt;0.005),INDEX(DebtNames,HR82),IF(AND(HV82&lt;&gt;"",N(CHOOSE(HV82,FN82,FR82,FV82,FZ82,GD82,GH82,GL82,GP82))&gt;0.005),INDEX(DebtNames,HV82),""))))))))</f>
        <v/>
      </c>
      <c r="FH82">
        <f>N(HY82)</f>
        <v/>
      </c>
      <c r="FI82">
        <f>N(FP82)+N(FT82)+N(FX82)+N(GB82)+N(GF82)+N(GJ82)+N(GN82)+N(GR82)</f>
        <v/>
      </c>
      <c r="FJ82">
        <f>N(FO82)+N(FS82)+N(FW82)+N(GA82)+N(GE82)+N(GI82)+N(GM82)+N(GQ82)</f>
        <v/>
      </c>
      <c r="FK82">
        <f>N(FK81)+N(FJ82)</f>
        <v/>
      </c>
      <c r="FL82">
        <f>N(FQ82)+N(FU82)+N(FY82)+N(GC82)+N(GG82)+N(GK82)+N(GO82)+N(GS82)</f>
        <v/>
      </c>
      <c r="FM82">
        <f>(FQ82&gt;0.005)*1+(FU82&gt;0.005)*1+(FY82&gt;0.005)*1+(GC82&gt;0.005)*1+(GG82&gt;0.005)*1+(GK82&gt;0.005)*1+(GO82&gt;0.005)*1+(GS82&gt;0.005)*1</f>
        <v/>
      </c>
      <c r="FN82">
        <f>N(FQ81)</f>
        <v/>
      </c>
      <c r="FO82">
        <f>IF(N(FN82)&lt;=0.005,0,ROUND(N(FN82)*N('Debt List'!E5)/12,2))</f>
        <v/>
      </c>
      <c r="FP82">
        <f>IF(N(FN82)&lt;=0.005,0,MIN(N('Debt List'!F5),N(FN82)+N(FO82)))+((GT82=1)*GV82+(GX82=1)*GZ82+(HB82=1)*HD82+(HF82=1)*HH82+(HJ82=1)*HL82+(HN82=1)*HP82+(HR82=1)*HT82+(HV82=1)*HX82)</f>
        <v/>
      </c>
      <c r="FQ82">
        <f>MAX(0,ROUND(N(FN82)+N(FO82)-N(FP82),2))</f>
        <v/>
      </c>
      <c r="FR82">
        <f>N(FU81)</f>
        <v/>
      </c>
      <c r="FS82">
        <f>IF(N(FR82)&lt;=0.005,0,ROUND(N(FR82)*N('Debt List'!E6)/12,2))</f>
        <v/>
      </c>
      <c r="FT82">
        <f>IF(N(FR82)&lt;=0.005,0,MIN(N('Debt List'!F6),N(FR82)+N(FS82)))+((GT82=2)*GV82+(GX82=2)*GZ82+(HB82=2)*HD82+(HF82=2)*HH82+(HJ82=2)*HL82+(HN82=2)*HP82+(HR82=2)*HT82+(HV82=2)*HX82)</f>
        <v/>
      </c>
      <c r="FU82">
        <f>MAX(0,ROUND(N(FR82)+N(FS82)-N(FT82),2))</f>
        <v/>
      </c>
      <c r="FV82">
        <f>N(FY81)</f>
        <v/>
      </c>
      <c r="FW82">
        <f>IF(N(FV82)&lt;=0.005,0,ROUND(N(FV82)*N('Debt List'!E7)/12,2))</f>
        <v/>
      </c>
      <c r="FX82">
        <f>IF(N(FV82)&lt;=0.005,0,MIN(N('Debt List'!F7),N(FV82)+N(FW82)))+((GT82=3)*GV82+(GX82=3)*GZ82+(HB82=3)*HD82+(HF82=3)*HH82+(HJ82=3)*HL82+(HN82=3)*HP82+(HR82=3)*HT82+(HV82=3)*HX82)</f>
        <v/>
      </c>
      <c r="FY82">
        <f>MAX(0,ROUND(N(FV82)+N(FW82)-N(FX82),2))</f>
        <v/>
      </c>
      <c r="FZ82">
        <f>N(GC81)</f>
        <v/>
      </c>
      <c r="GA82">
        <f>IF(N(FZ82)&lt;=0.005,0,ROUND(N(FZ82)*N('Debt List'!E8)/12,2))</f>
        <v/>
      </c>
      <c r="GB82">
        <f>IF(N(FZ82)&lt;=0.005,0,MIN(N('Debt List'!F8),N(FZ82)+N(GA82)))+((GT82=4)*GV82+(GX82=4)*GZ82+(HB82=4)*HD82+(HF82=4)*HH82+(HJ82=4)*HL82+(HN82=4)*HP82+(HR82=4)*HT82+(HV82=4)*HX82)</f>
        <v/>
      </c>
      <c r="GC82">
        <f>MAX(0,ROUND(N(FZ82)+N(GA82)-N(GB82),2))</f>
        <v/>
      </c>
      <c r="GD82">
        <f>N(GG81)</f>
        <v/>
      </c>
      <c r="GE82">
        <f>IF(N(GD82)&lt;=0.005,0,ROUND(N(GD82)*N('Debt List'!E9)/12,2))</f>
        <v/>
      </c>
      <c r="GF82">
        <f>IF(N(GD82)&lt;=0.005,0,MIN(N('Debt List'!F9),N(GD82)+N(GE82)))+((GT82=5)*GV82+(GX82=5)*GZ82+(HB82=5)*HD82+(HF82=5)*HH82+(HJ82=5)*HL82+(HN82=5)*HP82+(HR82=5)*HT82+(HV82=5)*HX82)</f>
        <v/>
      </c>
      <c r="GG82">
        <f>MAX(0,ROUND(N(GD82)+N(GE82)-N(GF82),2))</f>
        <v/>
      </c>
      <c r="GH82">
        <f>N(GK81)</f>
        <v/>
      </c>
      <c r="GI82">
        <f>IF(N(GH82)&lt;=0.005,0,ROUND(N(GH82)*N('Debt List'!E10)/12,2))</f>
        <v/>
      </c>
      <c r="GJ82">
        <f>IF(N(GH82)&lt;=0.005,0,MIN(N('Debt List'!F10),N(GH82)+N(GI82)))+((GT82=6)*GV82+(GX82=6)*GZ82+(HB82=6)*HD82+(HF82=6)*HH82+(HJ82=6)*HL82+(HN82=6)*HP82+(HR82=6)*HT82+(HV82=6)*HX82)</f>
        <v/>
      </c>
      <c r="GK82">
        <f>MAX(0,ROUND(N(GH82)+N(GI82)-N(GJ82),2))</f>
        <v/>
      </c>
      <c r="GL82">
        <f>N(GO81)</f>
        <v/>
      </c>
      <c r="GM82">
        <f>IF(N(GL82)&lt;=0.005,0,ROUND(N(GL82)*N('Debt List'!E11)/12,2))</f>
        <v/>
      </c>
      <c r="GN82">
        <f>IF(N(GL82)&lt;=0.005,0,MIN(N('Debt List'!F11),N(GL82)+N(GM82)))+((GT82=7)*GV82+(GX82=7)*GZ82+(HB82=7)*HD82+(HF82=7)*HH82+(HJ82=7)*HL82+(HN82=7)*HP82+(HR82=7)*HT82+(HV82=7)*HX82)</f>
        <v/>
      </c>
      <c r="GO82">
        <f>MAX(0,ROUND(N(GL82)+N(GM82)-N(GN82),2))</f>
        <v/>
      </c>
      <c r="GP82">
        <f>N(GS81)</f>
        <v/>
      </c>
      <c r="GQ82">
        <f>IF(N(GP82)&lt;=0.005,0,ROUND(N(GP82)*N('Debt List'!E12)/12,2))</f>
        <v/>
      </c>
      <c r="GR82">
        <f>IF(N(GP82)&lt;=0.005,0,MIN(N('Debt List'!F12),N(GP82)+N(GQ82)))+((GT82=8)*GV82+(GX82=8)*GZ82+(HB82=8)*HD82+(HF82=8)*HH82+(HJ82=8)*HL82+(HN82=8)*HP82+(HR82=8)*HT82+(HV82=8)*HX82)</f>
        <v/>
      </c>
      <c r="GS82">
        <f>MAX(0,ROUND(N(GP82)+N(GQ82)-N(GR82),2))</f>
        <v/>
      </c>
      <c r="GT82">
        <f>IFERROR(MATCH(1,OrderAval,0),"")</f>
        <v/>
      </c>
      <c r="GU82">
        <f>IF(GT82="",0,IFERROR(IF(N(CHOOSE(GT82,FN82,FR82,FV82,FZ82,GD82,GH82,GL82,GP82))&lt;=0.005,0,MAX(0,N(CHOOSE(GT82,FN82,FR82,FV82,FZ82,GD82,GH82,GL82,GP82))+N(CHOOSE(GT82,FO82,FS82,FW82,GA82,GE82,GI82,GM82,GQ82))-MIN(N(CHOOSE(GT82,'Debt List'!$F$5,'Debt List'!$F$6,'Debt List'!$F$7,'Debt List'!$F$8,'Debt List'!$F$9,'Debt List'!$F$10,'Debt List'!$F$11,'Debt List'!$F$12)),N(CHOOSE(GT82,FN82,FR82,FV82,FZ82,GD82,GH82,GL82,GP82))+N(CHOOSE(GT82,FO82,FS82,FW82,GA82,GE82,GI82,GM82,GQ82))))),0))</f>
        <v/>
      </c>
      <c r="GV82">
        <f>MIN(N(GU82),MAX(0,N(ExtraPayment)))</f>
        <v/>
      </c>
      <c r="GW82">
        <f>MAX(0,N(ExtraPayment)-N(GV82))</f>
        <v/>
      </c>
      <c r="GX82">
        <f>IFERROR(MATCH(2,OrderAval,0),"")</f>
        <v/>
      </c>
      <c r="GY82">
        <f>IF(GX82="",0,IFERROR(IF(N(CHOOSE(GX82,FN82,FR82,FV82,FZ82,GD82,GH82,GL82,GP82))&lt;=0.005,0,MAX(0,N(CHOOSE(GX82,FN82,FR82,FV82,FZ82,GD82,GH82,GL82,GP82))+N(CHOOSE(GX82,FO82,FS82,FW82,GA82,GE82,GI82,GM82,GQ82))-MIN(N(CHOOSE(GX82,'Debt List'!$F$5,'Debt List'!$F$6,'Debt List'!$F$7,'Debt List'!$F$8,'Debt List'!$F$9,'Debt List'!$F$10,'Debt List'!$F$11,'Debt List'!$F$12)),N(CHOOSE(GX82,FN82,FR82,FV82,FZ82,GD82,GH82,GL82,GP82))+N(CHOOSE(GX82,FO82,FS82,FW82,GA82,GE82,GI82,GM82,GQ82))))),0))</f>
        <v/>
      </c>
      <c r="GZ82">
        <f>MIN(N(GY82),MAX(0,N(GW82)))</f>
        <v/>
      </c>
      <c r="HA82">
        <f>MAX(0,N(GW82)-N(GZ82))</f>
        <v/>
      </c>
      <c r="HB82">
        <f>IFERROR(MATCH(3,OrderAval,0),"")</f>
        <v/>
      </c>
      <c r="HC82">
        <f>IF(HB82="",0,IFERROR(IF(N(CHOOSE(HB82,FN82,FR82,FV82,FZ82,GD82,GH82,GL82,GP82))&lt;=0.005,0,MAX(0,N(CHOOSE(HB82,FN82,FR82,FV82,FZ82,GD82,GH82,GL82,GP82))+N(CHOOSE(HB82,FO82,FS82,FW82,GA82,GE82,GI82,GM82,GQ82))-MIN(N(CHOOSE(HB82,'Debt List'!$F$5,'Debt List'!$F$6,'Debt List'!$F$7,'Debt List'!$F$8,'Debt List'!$F$9,'Debt List'!$F$10,'Debt List'!$F$11,'Debt List'!$F$12)),N(CHOOSE(HB82,FN82,FR82,FV82,FZ82,GD82,GH82,GL82,GP82))+N(CHOOSE(HB82,FO82,FS82,FW82,GA82,GE82,GI82,GM82,GQ82))))),0))</f>
        <v/>
      </c>
      <c r="HD82">
        <f>MIN(N(HC82),MAX(0,N(HA82)))</f>
        <v/>
      </c>
      <c r="HE82">
        <f>MAX(0,N(HA82)-N(HD82))</f>
        <v/>
      </c>
      <c r="HF82">
        <f>IFERROR(MATCH(4,OrderAval,0),"")</f>
        <v/>
      </c>
      <c r="HG82">
        <f>IF(HF82="",0,IFERROR(IF(N(CHOOSE(HF82,FN82,FR82,FV82,FZ82,GD82,GH82,GL82,GP82))&lt;=0.005,0,MAX(0,N(CHOOSE(HF82,FN82,FR82,FV82,FZ82,GD82,GH82,GL82,GP82))+N(CHOOSE(HF82,FO82,FS82,FW82,GA82,GE82,GI82,GM82,GQ82))-MIN(N(CHOOSE(HF82,'Debt List'!$F$5,'Debt List'!$F$6,'Debt List'!$F$7,'Debt List'!$F$8,'Debt List'!$F$9,'Debt List'!$F$10,'Debt List'!$F$11,'Debt List'!$F$12)),N(CHOOSE(HF82,FN82,FR82,FV82,FZ82,GD82,GH82,GL82,GP82))+N(CHOOSE(HF82,FO82,FS82,FW82,GA82,GE82,GI82,GM82,GQ82))))),0))</f>
        <v/>
      </c>
      <c r="HH82">
        <f>MIN(N(HG82),MAX(0,N(HE82)))</f>
        <v/>
      </c>
      <c r="HI82">
        <f>MAX(0,N(HE82)-N(HH82))</f>
        <v/>
      </c>
      <c r="HJ82">
        <f>IFERROR(MATCH(5,OrderAval,0),"")</f>
        <v/>
      </c>
      <c r="HK82">
        <f>IF(HJ82="",0,IFERROR(IF(N(CHOOSE(HJ82,FN82,FR82,FV82,FZ82,GD82,GH82,GL82,GP82))&lt;=0.005,0,MAX(0,N(CHOOSE(HJ82,FN82,FR82,FV82,FZ82,GD82,GH82,GL82,GP82))+N(CHOOSE(HJ82,FO82,FS82,FW82,GA82,GE82,GI82,GM82,GQ82))-MIN(N(CHOOSE(HJ82,'Debt List'!$F$5,'Debt List'!$F$6,'Debt List'!$F$7,'Debt List'!$F$8,'Debt List'!$F$9,'Debt List'!$F$10,'Debt List'!$F$11,'Debt List'!$F$12)),N(CHOOSE(HJ82,FN82,FR82,FV82,FZ82,GD82,GH82,GL82,GP82))+N(CHOOSE(HJ82,FO82,FS82,FW82,GA82,GE82,GI82,GM82,GQ82))))),0))</f>
        <v/>
      </c>
      <c r="HL82">
        <f>MIN(N(HK82),MAX(0,N(HI82)))</f>
        <v/>
      </c>
      <c r="HM82">
        <f>MAX(0,N(HI82)-N(HL82))</f>
        <v/>
      </c>
      <c r="HN82">
        <f>IFERROR(MATCH(6,OrderAval,0),"")</f>
        <v/>
      </c>
      <c r="HO82">
        <f>IF(HN82="",0,IFERROR(IF(N(CHOOSE(HN82,FN82,FR82,FV82,FZ82,GD82,GH82,GL82,GP82))&lt;=0.005,0,MAX(0,N(CHOOSE(HN82,FN82,FR82,FV82,FZ82,GD82,GH82,GL82,GP82))+N(CHOOSE(HN82,FO82,FS82,FW82,GA82,GE82,GI82,GM82,GQ82))-MIN(N(CHOOSE(HN82,'Debt List'!$F$5,'Debt List'!$F$6,'Debt List'!$F$7,'Debt List'!$F$8,'Debt List'!$F$9,'Debt List'!$F$10,'Debt List'!$F$11,'Debt List'!$F$12)),N(CHOOSE(HN82,FN82,FR82,FV82,FZ82,GD82,GH82,GL82,GP82))+N(CHOOSE(HN82,FO82,FS82,FW82,GA82,GE82,GI82,GM82,GQ82))))),0))</f>
        <v/>
      </c>
      <c r="HP82">
        <f>MIN(N(HO82),MAX(0,N(HM82)))</f>
        <v/>
      </c>
      <c r="HQ82">
        <f>MAX(0,N(HM82)-N(HP82))</f>
        <v/>
      </c>
      <c r="HR82">
        <f>IFERROR(MATCH(7,OrderAval,0),"")</f>
        <v/>
      </c>
      <c r="HS82">
        <f>IF(HR82="",0,IFERROR(IF(N(CHOOSE(HR82,FN82,FR82,FV82,FZ82,GD82,GH82,GL82,GP82))&lt;=0.005,0,MAX(0,N(CHOOSE(HR82,FN82,FR82,FV82,FZ82,GD82,GH82,GL82,GP82))+N(CHOOSE(HR82,FO82,FS82,FW82,GA82,GE82,GI82,GM82,GQ82))-MIN(N(CHOOSE(HR82,'Debt List'!$F$5,'Debt List'!$F$6,'Debt List'!$F$7,'Debt List'!$F$8,'Debt List'!$F$9,'Debt List'!$F$10,'Debt List'!$F$11,'Debt List'!$F$12)),N(CHOOSE(HR82,FN82,FR82,FV82,FZ82,GD82,GH82,GL82,GP82))+N(CHOOSE(HR82,FO82,FS82,FW82,GA82,GE82,GI82,GM82,GQ82))))),0))</f>
        <v/>
      </c>
      <c r="HT82">
        <f>MIN(N(HS82),MAX(0,N(HQ82)))</f>
        <v/>
      </c>
      <c r="HU82">
        <f>MAX(0,N(HQ82)-N(HT82))</f>
        <v/>
      </c>
      <c r="HV82">
        <f>IFERROR(MATCH(8,OrderAval,0),"")</f>
        <v/>
      </c>
      <c r="HW82">
        <f>IF(HV82="",0,IFERROR(IF(N(CHOOSE(HV82,FN82,FR82,FV82,FZ82,GD82,GH82,GL82,GP82))&lt;=0.005,0,MAX(0,N(CHOOSE(HV82,FN82,FR82,FV82,FZ82,GD82,GH82,GL82,GP82))+N(CHOOSE(HV82,FO82,FS82,FW82,GA82,GE82,GI82,GM82,GQ82))-MIN(N(CHOOSE(HV82,'Debt List'!$F$5,'Debt List'!$F$6,'Debt List'!$F$7,'Debt List'!$F$8,'Debt List'!$F$9,'Debt List'!$F$10,'Debt List'!$F$11,'Debt List'!$F$12)),N(CHOOSE(HV82,FN82,FR82,FV82,FZ82,GD82,GH82,GL82,GP82))+N(CHOOSE(HV82,FO82,FS82,FW82,GA82,GE82,GI82,GM82,GQ82))))),0))</f>
        <v/>
      </c>
      <c r="HX82">
        <f>MIN(N(HW82),MAX(0,N(HU82)))</f>
        <v/>
      </c>
      <c r="HY82">
        <f>MAX(0,N(HU82)-N(HX82))</f>
        <v/>
      </c>
    </row>
    <row r="83">
      <c r="A83" t="n">
        <v>79</v>
      </c>
      <c r="B83" s="115">
        <f>DATE(YEAR(PlanStart),MONTH(PlanStart)+A83-1,1)</f>
        <v/>
      </c>
      <c r="C83">
        <f>IF(AND(AP83&lt;&gt;"",N(CHOOSE(AP83,J83,N83,R83,V83,Z83,AD83,AH83,AL83))&gt;0.005),INDEX(DebtNames,AP83),IF(AND(AT83&lt;&gt;"",N(CHOOSE(AT83,J83,N83,R83,V83,Z83,AD83,AH83,AL83))&gt;0.005),INDEX(DebtNames,AT83),IF(AND(AX83&lt;&gt;"",N(CHOOSE(AX83,J83,N83,R83,V83,Z83,AD83,AH83,AL83))&gt;0.005),INDEX(DebtNames,AX83),IF(AND(BB83&lt;&gt;"",N(CHOOSE(BB83,J83,N83,R83,V83,Z83,AD83,AH83,AL83))&gt;0.005),INDEX(DebtNames,BB83),IF(AND(BF83&lt;&gt;"",N(CHOOSE(BF83,J83,N83,R83,V83,Z83,AD83,AH83,AL83))&gt;0.005),INDEX(DebtNames,BF83),IF(AND(BJ83&lt;&gt;"",N(CHOOSE(BJ83,J83,N83,R83,V83,Z83,AD83,AH83,AL83))&gt;0.005),INDEX(DebtNames,BJ83),IF(AND(BN83&lt;&gt;"",N(CHOOSE(BN83,J83,N83,R83,V83,Z83,AD83,AH83,AL83))&gt;0.005),INDEX(DebtNames,BN83),IF(AND(BR83&lt;&gt;"",N(CHOOSE(BR83,J83,N83,R83,V83,Z83,AD83,AH83,AL83))&gt;0.005),INDEX(DebtNames,BR83),""))))))))</f>
        <v/>
      </c>
      <c r="D83">
        <f>N(BU83)</f>
        <v/>
      </c>
      <c r="E83">
        <f>N(L83)+N(P83)+N(T83)+N(X83)+N(AB83)+N(AF83)+N(AJ83)+N(AN83)</f>
        <v/>
      </c>
      <c r="F83">
        <f>N(K83)+N(O83)+N(S83)+N(W83)+N(AA83)+N(AE83)+N(AI83)+N(AM83)</f>
        <v/>
      </c>
      <c r="G83">
        <f>N(G82)+N(F83)</f>
        <v/>
      </c>
      <c r="H83">
        <f>N(M83)+N(Q83)+N(U83)+N(Y83)+N(AC83)+N(AG83)+N(AK83)+N(AO83)</f>
        <v/>
      </c>
      <c r="I83">
        <f>(M83&gt;0.005)*1+(Q83&gt;0.005)*1+(U83&gt;0.005)*1+(Y83&gt;0.005)*1+(AC83&gt;0.005)*1+(AG83&gt;0.005)*1+(AK83&gt;0.005)*1+(AO83&gt;0.005)*1</f>
        <v/>
      </c>
      <c r="J83">
        <f>N(M82)</f>
        <v/>
      </c>
      <c r="K83">
        <f>IF(N(J83)&lt;=0.005,0,ROUND(N(J83)*N('Debt List'!E5)/12,2))</f>
        <v/>
      </c>
      <c r="L83">
        <f>IF(N(J83)&lt;=0.005,0,MIN(N('Debt List'!F5),N(J83)+N(K83)))+((AP83=1)*AR83+(AT83=1)*AV83+(AX83=1)*AZ83+(BB83=1)*BD83+(BF83=1)*BH83+(BJ83=1)*BL83+(BN83=1)*BP83+(BR83=1)*BT83)</f>
        <v/>
      </c>
      <c r="M83">
        <f>MAX(0,ROUND(N(J83)+N(K83)-N(L83),2))</f>
        <v/>
      </c>
      <c r="N83">
        <f>N(Q82)</f>
        <v/>
      </c>
      <c r="O83">
        <f>IF(N(N83)&lt;=0.005,0,ROUND(N(N83)*N('Debt List'!E6)/12,2))</f>
        <v/>
      </c>
      <c r="P83">
        <f>IF(N(N83)&lt;=0.005,0,MIN(N('Debt List'!F6),N(N83)+N(O83)))+((AP83=2)*AR83+(AT83=2)*AV83+(AX83=2)*AZ83+(BB83=2)*BD83+(BF83=2)*BH83+(BJ83=2)*BL83+(BN83=2)*BP83+(BR83=2)*BT83)</f>
        <v/>
      </c>
      <c r="Q83">
        <f>MAX(0,ROUND(N(N83)+N(O83)-N(P83),2))</f>
        <v/>
      </c>
      <c r="R83">
        <f>N(U82)</f>
        <v/>
      </c>
      <c r="S83">
        <f>IF(N(R83)&lt;=0.005,0,ROUND(N(R83)*N('Debt List'!E7)/12,2))</f>
        <v/>
      </c>
      <c r="T83">
        <f>IF(N(R83)&lt;=0.005,0,MIN(N('Debt List'!F7),N(R83)+N(S83)))+((AP83=3)*AR83+(AT83=3)*AV83+(AX83=3)*AZ83+(BB83=3)*BD83+(BF83=3)*BH83+(BJ83=3)*BL83+(BN83=3)*BP83+(BR83=3)*BT83)</f>
        <v/>
      </c>
      <c r="U83">
        <f>MAX(0,ROUND(N(R83)+N(S83)-N(T83),2))</f>
        <v/>
      </c>
      <c r="V83">
        <f>N(Y82)</f>
        <v/>
      </c>
      <c r="W83">
        <f>IF(N(V83)&lt;=0.005,0,ROUND(N(V83)*N('Debt List'!E8)/12,2))</f>
        <v/>
      </c>
      <c r="X83">
        <f>IF(N(V83)&lt;=0.005,0,MIN(N('Debt List'!F8),N(V83)+N(W83)))+((AP83=4)*AR83+(AT83=4)*AV83+(AX83=4)*AZ83+(BB83=4)*BD83+(BF83=4)*BH83+(BJ83=4)*BL83+(BN83=4)*BP83+(BR83=4)*BT83)</f>
        <v/>
      </c>
      <c r="Y83">
        <f>MAX(0,ROUND(N(V83)+N(W83)-N(X83),2))</f>
        <v/>
      </c>
      <c r="Z83">
        <f>N(AC82)</f>
        <v/>
      </c>
      <c r="AA83">
        <f>IF(N(Z83)&lt;=0.005,0,ROUND(N(Z83)*N('Debt List'!E9)/12,2))</f>
        <v/>
      </c>
      <c r="AB83">
        <f>IF(N(Z83)&lt;=0.005,0,MIN(N('Debt List'!F9),N(Z83)+N(AA83)))+((AP83=5)*AR83+(AT83=5)*AV83+(AX83=5)*AZ83+(BB83=5)*BD83+(BF83=5)*BH83+(BJ83=5)*BL83+(BN83=5)*BP83+(BR83=5)*BT83)</f>
        <v/>
      </c>
      <c r="AC83">
        <f>MAX(0,ROUND(N(Z83)+N(AA83)-N(AB83),2))</f>
        <v/>
      </c>
      <c r="AD83">
        <f>N(AG82)</f>
        <v/>
      </c>
      <c r="AE83">
        <f>IF(N(AD83)&lt;=0.005,0,ROUND(N(AD83)*N('Debt List'!E10)/12,2))</f>
        <v/>
      </c>
      <c r="AF83">
        <f>IF(N(AD83)&lt;=0.005,0,MIN(N('Debt List'!F10),N(AD83)+N(AE83)))+((AP83=6)*AR83+(AT83=6)*AV83+(AX83=6)*AZ83+(BB83=6)*BD83+(BF83=6)*BH83+(BJ83=6)*BL83+(BN83=6)*BP83+(BR83=6)*BT83)</f>
        <v/>
      </c>
      <c r="AG83">
        <f>MAX(0,ROUND(N(AD83)+N(AE83)-N(AF83),2))</f>
        <v/>
      </c>
      <c r="AH83">
        <f>N(AK82)</f>
        <v/>
      </c>
      <c r="AI83">
        <f>IF(N(AH83)&lt;=0.005,0,ROUND(N(AH83)*N('Debt List'!E11)/12,2))</f>
        <v/>
      </c>
      <c r="AJ83">
        <f>IF(N(AH83)&lt;=0.005,0,MIN(N('Debt List'!F11),N(AH83)+N(AI83)))+((AP83=7)*AR83+(AT83=7)*AV83+(AX83=7)*AZ83+(BB83=7)*BD83+(BF83=7)*BH83+(BJ83=7)*BL83+(BN83=7)*BP83+(BR83=7)*BT83)</f>
        <v/>
      </c>
      <c r="AK83">
        <f>MAX(0,ROUND(N(AH83)+N(AI83)-N(AJ83),2))</f>
        <v/>
      </c>
      <c r="AL83">
        <f>N(AO82)</f>
        <v/>
      </c>
      <c r="AM83">
        <f>IF(N(AL83)&lt;=0.005,0,ROUND(N(AL83)*N('Debt List'!E12)/12,2))</f>
        <v/>
      </c>
      <c r="AN83">
        <f>IF(N(AL83)&lt;=0.005,0,MIN(N('Debt List'!F12),N(AL83)+N(AM83)))+((AP83=8)*AR83+(AT83=8)*AV83+(AX83=8)*AZ83+(BB83=8)*BD83+(BF83=8)*BH83+(BJ83=8)*BL83+(BN83=8)*BP83+(BR83=8)*BT83)</f>
        <v/>
      </c>
      <c r="AO83">
        <f>MAX(0,ROUND(N(AL83)+N(AM83)-N(AN83),2))</f>
        <v/>
      </c>
      <c r="AP83">
        <f>IFERROR(MATCH(1,OrderPlan,0),"")</f>
        <v/>
      </c>
      <c r="AQ83">
        <f>IF(AP83="",0,IFERROR(IF(N(CHOOSE(AP83,J83,N83,R83,V83,Z83,AD83,AH83,AL83))&lt;=0.005,0,MAX(0,N(CHOOSE(AP83,J83,N83,R83,V83,Z83,AD83,AH83,AL83))+N(CHOOSE(AP83,K83,O83,S83,W83,AA83,AE83,AI83,AM83))-MIN(N(CHOOSE(AP83,'Debt List'!$F$5,'Debt List'!$F$6,'Debt List'!$F$7,'Debt List'!$F$8,'Debt List'!$F$9,'Debt List'!$F$10,'Debt List'!$F$11,'Debt List'!$F$12)),N(CHOOSE(AP83,J83,N83,R83,V83,Z83,AD83,AH83,AL83))+N(CHOOSE(AP83,K83,O83,S83,W83,AA83,AE83,AI83,AM83))))),0))</f>
        <v/>
      </c>
      <c r="AR83">
        <f>MIN(N(AQ83),MAX(0,N(ExtraPayment)))</f>
        <v/>
      </c>
      <c r="AS83">
        <f>MAX(0,N(ExtraPayment)-N(AR83))</f>
        <v/>
      </c>
      <c r="AT83">
        <f>IFERROR(MATCH(2,OrderPlan,0),"")</f>
        <v/>
      </c>
      <c r="AU83">
        <f>IF(AT83="",0,IFERROR(IF(N(CHOOSE(AT83,J83,N83,R83,V83,Z83,AD83,AH83,AL83))&lt;=0.005,0,MAX(0,N(CHOOSE(AT83,J83,N83,R83,V83,Z83,AD83,AH83,AL83))+N(CHOOSE(AT83,K83,O83,S83,W83,AA83,AE83,AI83,AM83))-MIN(N(CHOOSE(AT83,'Debt List'!$F$5,'Debt List'!$F$6,'Debt List'!$F$7,'Debt List'!$F$8,'Debt List'!$F$9,'Debt List'!$F$10,'Debt List'!$F$11,'Debt List'!$F$12)),N(CHOOSE(AT83,J83,N83,R83,V83,Z83,AD83,AH83,AL83))+N(CHOOSE(AT83,K83,O83,S83,W83,AA83,AE83,AI83,AM83))))),0))</f>
        <v/>
      </c>
      <c r="AV83">
        <f>MIN(N(AU83),MAX(0,N(AS83)))</f>
        <v/>
      </c>
      <c r="AW83">
        <f>MAX(0,N(AS83)-N(AV83))</f>
        <v/>
      </c>
      <c r="AX83">
        <f>IFERROR(MATCH(3,OrderPlan,0),"")</f>
        <v/>
      </c>
      <c r="AY83">
        <f>IF(AX83="",0,IFERROR(IF(N(CHOOSE(AX83,J83,N83,R83,V83,Z83,AD83,AH83,AL83))&lt;=0.005,0,MAX(0,N(CHOOSE(AX83,J83,N83,R83,V83,Z83,AD83,AH83,AL83))+N(CHOOSE(AX83,K83,O83,S83,W83,AA83,AE83,AI83,AM83))-MIN(N(CHOOSE(AX83,'Debt List'!$F$5,'Debt List'!$F$6,'Debt List'!$F$7,'Debt List'!$F$8,'Debt List'!$F$9,'Debt List'!$F$10,'Debt List'!$F$11,'Debt List'!$F$12)),N(CHOOSE(AX83,J83,N83,R83,V83,Z83,AD83,AH83,AL83))+N(CHOOSE(AX83,K83,O83,S83,W83,AA83,AE83,AI83,AM83))))),0))</f>
        <v/>
      </c>
      <c r="AZ83">
        <f>MIN(N(AY83),MAX(0,N(AW83)))</f>
        <v/>
      </c>
      <c r="BA83">
        <f>MAX(0,N(AW83)-N(AZ83))</f>
        <v/>
      </c>
      <c r="BB83">
        <f>IFERROR(MATCH(4,OrderPlan,0),"")</f>
        <v/>
      </c>
      <c r="BC83">
        <f>IF(BB83="",0,IFERROR(IF(N(CHOOSE(BB83,J83,N83,R83,V83,Z83,AD83,AH83,AL83))&lt;=0.005,0,MAX(0,N(CHOOSE(BB83,J83,N83,R83,V83,Z83,AD83,AH83,AL83))+N(CHOOSE(BB83,K83,O83,S83,W83,AA83,AE83,AI83,AM83))-MIN(N(CHOOSE(BB83,'Debt List'!$F$5,'Debt List'!$F$6,'Debt List'!$F$7,'Debt List'!$F$8,'Debt List'!$F$9,'Debt List'!$F$10,'Debt List'!$F$11,'Debt List'!$F$12)),N(CHOOSE(BB83,J83,N83,R83,V83,Z83,AD83,AH83,AL83))+N(CHOOSE(BB83,K83,O83,S83,W83,AA83,AE83,AI83,AM83))))),0))</f>
        <v/>
      </c>
      <c r="BD83">
        <f>MIN(N(BC83),MAX(0,N(BA83)))</f>
        <v/>
      </c>
      <c r="BE83">
        <f>MAX(0,N(BA83)-N(BD83))</f>
        <v/>
      </c>
      <c r="BF83">
        <f>IFERROR(MATCH(5,OrderPlan,0),"")</f>
        <v/>
      </c>
      <c r="BG83">
        <f>IF(BF83="",0,IFERROR(IF(N(CHOOSE(BF83,J83,N83,R83,V83,Z83,AD83,AH83,AL83))&lt;=0.005,0,MAX(0,N(CHOOSE(BF83,J83,N83,R83,V83,Z83,AD83,AH83,AL83))+N(CHOOSE(BF83,K83,O83,S83,W83,AA83,AE83,AI83,AM83))-MIN(N(CHOOSE(BF83,'Debt List'!$F$5,'Debt List'!$F$6,'Debt List'!$F$7,'Debt List'!$F$8,'Debt List'!$F$9,'Debt List'!$F$10,'Debt List'!$F$11,'Debt List'!$F$12)),N(CHOOSE(BF83,J83,N83,R83,V83,Z83,AD83,AH83,AL83))+N(CHOOSE(BF83,K83,O83,S83,W83,AA83,AE83,AI83,AM83))))),0))</f>
        <v/>
      </c>
      <c r="BH83">
        <f>MIN(N(BG83),MAX(0,N(BE83)))</f>
        <v/>
      </c>
      <c r="BI83">
        <f>MAX(0,N(BE83)-N(BH83))</f>
        <v/>
      </c>
      <c r="BJ83">
        <f>IFERROR(MATCH(6,OrderPlan,0),"")</f>
        <v/>
      </c>
      <c r="BK83">
        <f>IF(BJ83="",0,IFERROR(IF(N(CHOOSE(BJ83,J83,N83,R83,V83,Z83,AD83,AH83,AL83))&lt;=0.005,0,MAX(0,N(CHOOSE(BJ83,J83,N83,R83,V83,Z83,AD83,AH83,AL83))+N(CHOOSE(BJ83,K83,O83,S83,W83,AA83,AE83,AI83,AM83))-MIN(N(CHOOSE(BJ83,'Debt List'!$F$5,'Debt List'!$F$6,'Debt List'!$F$7,'Debt List'!$F$8,'Debt List'!$F$9,'Debt List'!$F$10,'Debt List'!$F$11,'Debt List'!$F$12)),N(CHOOSE(BJ83,J83,N83,R83,V83,Z83,AD83,AH83,AL83))+N(CHOOSE(BJ83,K83,O83,S83,W83,AA83,AE83,AI83,AM83))))),0))</f>
        <v/>
      </c>
      <c r="BL83">
        <f>MIN(N(BK83),MAX(0,N(BI83)))</f>
        <v/>
      </c>
      <c r="BM83">
        <f>MAX(0,N(BI83)-N(BL83))</f>
        <v/>
      </c>
      <c r="BN83">
        <f>IFERROR(MATCH(7,OrderPlan,0),"")</f>
        <v/>
      </c>
      <c r="BO83">
        <f>IF(BN83="",0,IFERROR(IF(N(CHOOSE(BN83,J83,N83,R83,V83,Z83,AD83,AH83,AL83))&lt;=0.005,0,MAX(0,N(CHOOSE(BN83,J83,N83,R83,V83,Z83,AD83,AH83,AL83))+N(CHOOSE(BN83,K83,O83,S83,W83,AA83,AE83,AI83,AM83))-MIN(N(CHOOSE(BN83,'Debt List'!$F$5,'Debt List'!$F$6,'Debt List'!$F$7,'Debt List'!$F$8,'Debt List'!$F$9,'Debt List'!$F$10,'Debt List'!$F$11,'Debt List'!$F$12)),N(CHOOSE(BN83,J83,N83,R83,V83,Z83,AD83,AH83,AL83))+N(CHOOSE(BN83,K83,O83,S83,W83,AA83,AE83,AI83,AM83))))),0))</f>
        <v/>
      </c>
      <c r="BP83">
        <f>MIN(N(BO83),MAX(0,N(BM83)))</f>
        <v/>
      </c>
      <c r="BQ83">
        <f>MAX(0,N(BM83)-N(BP83))</f>
        <v/>
      </c>
      <c r="BR83">
        <f>IFERROR(MATCH(8,OrderPlan,0),"")</f>
        <v/>
      </c>
      <c r="BS83">
        <f>IF(BR83="",0,IFERROR(IF(N(CHOOSE(BR83,J83,N83,R83,V83,Z83,AD83,AH83,AL83))&lt;=0.005,0,MAX(0,N(CHOOSE(BR83,J83,N83,R83,V83,Z83,AD83,AH83,AL83))+N(CHOOSE(BR83,K83,O83,S83,W83,AA83,AE83,AI83,AM83))-MIN(N(CHOOSE(BR83,'Debt List'!$F$5,'Debt List'!$F$6,'Debt List'!$F$7,'Debt List'!$F$8,'Debt List'!$F$9,'Debt List'!$F$10,'Debt List'!$F$11,'Debt List'!$F$12)),N(CHOOSE(BR83,J83,N83,R83,V83,Z83,AD83,AH83,AL83))+N(CHOOSE(BR83,K83,O83,S83,W83,AA83,AE83,AI83,AM83))))),0))</f>
        <v/>
      </c>
      <c r="BT83">
        <f>MIN(N(BS83),MAX(0,N(BQ83)))</f>
        <v/>
      </c>
      <c r="BU83">
        <f>MAX(0,N(BQ83)-N(BT83))</f>
        <v/>
      </c>
      <c r="CC83" t="n">
        <v>79</v>
      </c>
      <c r="CD83" s="115">
        <f>DATE(YEAR(PlanStart),MONTH(PlanStart)+CC83-1,1)</f>
        <v/>
      </c>
      <c r="CE83">
        <f>IF(AND(DR83&lt;&gt;"",N(CHOOSE(DR83,CL83,CP83,CT83,CX83,DB83,DF83,DJ83,DN83))&gt;0.005),INDEX(DebtNames,DR83),IF(AND(DV83&lt;&gt;"",N(CHOOSE(DV83,CL83,CP83,CT83,CX83,DB83,DF83,DJ83,DN83))&gt;0.005),INDEX(DebtNames,DV83),IF(AND(DZ83&lt;&gt;"",N(CHOOSE(DZ83,CL83,CP83,CT83,CX83,DB83,DF83,DJ83,DN83))&gt;0.005),INDEX(DebtNames,DZ83),IF(AND(ED83&lt;&gt;"",N(CHOOSE(ED83,CL83,CP83,CT83,CX83,DB83,DF83,DJ83,DN83))&gt;0.005),INDEX(DebtNames,ED83),IF(AND(EH83&lt;&gt;"",N(CHOOSE(EH83,CL83,CP83,CT83,CX83,DB83,DF83,DJ83,DN83))&gt;0.005),INDEX(DebtNames,EH83),IF(AND(EL83&lt;&gt;"",N(CHOOSE(EL83,CL83,CP83,CT83,CX83,DB83,DF83,DJ83,DN83))&gt;0.005),INDEX(DebtNames,EL83),IF(AND(EP83&lt;&gt;"",N(CHOOSE(EP83,CL83,CP83,CT83,CX83,DB83,DF83,DJ83,DN83))&gt;0.005),INDEX(DebtNames,EP83),IF(AND(ET83&lt;&gt;"",N(CHOOSE(ET83,CL83,CP83,CT83,CX83,DB83,DF83,DJ83,DN83))&gt;0.005),INDEX(DebtNames,ET83),""))))))))</f>
        <v/>
      </c>
      <c r="CF83">
        <f>N(EW83)</f>
        <v/>
      </c>
      <c r="CG83">
        <f>N(CN83)+N(CR83)+N(CV83)+N(CZ83)+N(DD83)+N(DH83)+N(DL83)+N(DP83)</f>
        <v/>
      </c>
      <c r="CH83">
        <f>N(CM83)+N(CQ83)+N(CU83)+N(CY83)+N(DC83)+N(DG83)+N(DK83)+N(DO83)</f>
        <v/>
      </c>
      <c r="CI83">
        <f>N(CI82)+N(CH83)</f>
        <v/>
      </c>
      <c r="CJ83">
        <f>N(CO83)+N(CS83)+N(CW83)+N(DA83)+N(DE83)+N(DI83)+N(DM83)+N(DQ83)</f>
        <v/>
      </c>
      <c r="CK83">
        <f>(CO83&gt;0.005)*1+(CS83&gt;0.005)*1+(CW83&gt;0.005)*1+(DA83&gt;0.005)*1+(DE83&gt;0.005)*1+(DI83&gt;0.005)*1+(DM83&gt;0.005)*1+(DQ83&gt;0.005)*1</f>
        <v/>
      </c>
      <c r="CL83">
        <f>N(CO82)</f>
        <v/>
      </c>
      <c r="CM83">
        <f>IF(N(CL83)&lt;=0.005,0,ROUND(N(CL83)*N('Debt List'!E5)/12,2))</f>
        <v/>
      </c>
      <c r="CN83">
        <f>IF(N(CL83)&lt;=0.005,0,MIN(N('Debt List'!F5),N(CL83)+N(CM83)))+((DR83=1)*DT83+(DV83=1)*DX83+(DZ83=1)*EB83+(ED83=1)*EF83+(EH83=1)*EJ83+(EL83=1)*EN83+(EP83=1)*ER83+(ET83=1)*EV83)</f>
        <v/>
      </c>
      <c r="CO83">
        <f>MAX(0,ROUND(N(CL83)+N(CM83)-N(CN83),2))</f>
        <v/>
      </c>
      <c r="CP83">
        <f>N(CS82)</f>
        <v/>
      </c>
      <c r="CQ83">
        <f>IF(N(CP83)&lt;=0.005,0,ROUND(N(CP83)*N('Debt List'!E6)/12,2))</f>
        <v/>
      </c>
      <c r="CR83">
        <f>IF(N(CP83)&lt;=0.005,0,MIN(N('Debt List'!F6),N(CP83)+N(CQ83)))+((DR83=2)*DT83+(DV83=2)*DX83+(DZ83=2)*EB83+(ED83=2)*EF83+(EH83=2)*EJ83+(EL83=2)*EN83+(EP83=2)*ER83+(ET83=2)*EV83)</f>
        <v/>
      </c>
      <c r="CS83">
        <f>MAX(0,ROUND(N(CP83)+N(CQ83)-N(CR83),2))</f>
        <v/>
      </c>
      <c r="CT83">
        <f>N(CW82)</f>
        <v/>
      </c>
      <c r="CU83">
        <f>IF(N(CT83)&lt;=0.005,0,ROUND(N(CT83)*N('Debt List'!E7)/12,2))</f>
        <v/>
      </c>
      <c r="CV83">
        <f>IF(N(CT83)&lt;=0.005,0,MIN(N('Debt List'!F7),N(CT83)+N(CU83)))+((DR83=3)*DT83+(DV83=3)*DX83+(DZ83=3)*EB83+(ED83=3)*EF83+(EH83=3)*EJ83+(EL83=3)*EN83+(EP83=3)*ER83+(ET83=3)*EV83)</f>
        <v/>
      </c>
      <c r="CW83">
        <f>MAX(0,ROUND(N(CT83)+N(CU83)-N(CV83),2))</f>
        <v/>
      </c>
      <c r="CX83">
        <f>N(DA82)</f>
        <v/>
      </c>
      <c r="CY83">
        <f>IF(N(CX83)&lt;=0.005,0,ROUND(N(CX83)*N('Debt List'!E8)/12,2))</f>
        <v/>
      </c>
      <c r="CZ83">
        <f>IF(N(CX83)&lt;=0.005,0,MIN(N('Debt List'!F8),N(CX83)+N(CY83)))+((DR83=4)*DT83+(DV83=4)*DX83+(DZ83=4)*EB83+(ED83=4)*EF83+(EH83=4)*EJ83+(EL83=4)*EN83+(EP83=4)*ER83+(ET83=4)*EV83)</f>
        <v/>
      </c>
      <c r="DA83">
        <f>MAX(0,ROUND(N(CX83)+N(CY83)-N(CZ83),2))</f>
        <v/>
      </c>
      <c r="DB83">
        <f>N(DE82)</f>
        <v/>
      </c>
      <c r="DC83">
        <f>IF(N(DB83)&lt;=0.005,0,ROUND(N(DB83)*N('Debt List'!E9)/12,2))</f>
        <v/>
      </c>
      <c r="DD83">
        <f>IF(N(DB83)&lt;=0.005,0,MIN(N('Debt List'!F9),N(DB83)+N(DC83)))+((DR83=5)*DT83+(DV83=5)*DX83+(DZ83=5)*EB83+(ED83=5)*EF83+(EH83=5)*EJ83+(EL83=5)*EN83+(EP83=5)*ER83+(ET83=5)*EV83)</f>
        <v/>
      </c>
      <c r="DE83">
        <f>MAX(0,ROUND(N(DB83)+N(DC83)-N(DD83),2))</f>
        <v/>
      </c>
      <c r="DF83">
        <f>N(DI82)</f>
        <v/>
      </c>
      <c r="DG83">
        <f>IF(N(DF83)&lt;=0.005,0,ROUND(N(DF83)*N('Debt List'!E10)/12,2))</f>
        <v/>
      </c>
      <c r="DH83">
        <f>IF(N(DF83)&lt;=0.005,0,MIN(N('Debt List'!F10),N(DF83)+N(DG83)))+((DR83=6)*DT83+(DV83=6)*DX83+(DZ83=6)*EB83+(ED83=6)*EF83+(EH83=6)*EJ83+(EL83=6)*EN83+(EP83=6)*ER83+(ET83=6)*EV83)</f>
        <v/>
      </c>
      <c r="DI83">
        <f>MAX(0,ROUND(N(DF83)+N(DG83)-N(DH83),2))</f>
        <v/>
      </c>
      <c r="DJ83">
        <f>N(DM82)</f>
        <v/>
      </c>
      <c r="DK83">
        <f>IF(N(DJ83)&lt;=0.005,0,ROUND(N(DJ83)*N('Debt List'!E11)/12,2))</f>
        <v/>
      </c>
      <c r="DL83">
        <f>IF(N(DJ83)&lt;=0.005,0,MIN(N('Debt List'!F11),N(DJ83)+N(DK83)))+((DR83=7)*DT83+(DV83=7)*DX83+(DZ83=7)*EB83+(ED83=7)*EF83+(EH83=7)*EJ83+(EL83=7)*EN83+(EP83=7)*ER83+(ET83=7)*EV83)</f>
        <v/>
      </c>
      <c r="DM83">
        <f>MAX(0,ROUND(N(DJ83)+N(DK83)-N(DL83),2))</f>
        <v/>
      </c>
      <c r="DN83">
        <f>N(DQ82)</f>
        <v/>
      </c>
      <c r="DO83">
        <f>IF(N(DN83)&lt;=0.005,0,ROUND(N(DN83)*N('Debt List'!E12)/12,2))</f>
        <v/>
      </c>
      <c r="DP83">
        <f>IF(N(DN83)&lt;=0.005,0,MIN(N('Debt List'!F12),N(DN83)+N(DO83)))+((DR83=8)*DT83+(DV83=8)*DX83+(DZ83=8)*EB83+(ED83=8)*EF83+(EH83=8)*EJ83+(EL83=8)*EN83+(EP83=8)*ER83+(ET83=8)*EV83)</f>
        <v/>
      </c>
      <c r="DQ83">
        <f>MAX(0,ROUND(N(DN83)+N(DO83)-N(DP83),2))</f>
        <v/>
      </c>
      <c r="DR83">
        <f>IFERROR(MATCH(1,OrderSnow,0),"")</f>
        <v/>
      </c>
      <c r="DS83">
        <f>IF(DR83="",0,IFERROR(IF(N(CHOOSE(DR83,CL83,CP83,CT83,CX83,DB83,DF83,DJ83,DN83))&lt;=0.005,0,MAX(0,N(CHOOSE(DR83,CL83,CP83,CT83,CX83,DB83,DF83,DJ83,DN83))+N(CHOOSE(DR83,CM83,CQ83,CU83,CY83,DC83,DG83,DK83,DO83))-MIN(N(CHOOSE(DR83,'Debt List'!$F$5,'Debt List'!$F$6,'Debt List'!$F$7,'Debt List'!$F$8,'Debt List'!$F$9,'Debt List'!$F$10,'Debt List'!$F$11,'Debt List'!$F$12)),N(CHOOSE(DR83,CL83,CP83,CT83,CX83,DB83,DF83,DJ83,DN83))+N(CHOOSE(DR83,CM83,CQ83,CU83,CY83,DC83,DG83,DK83,DO83))))),0))</f>
        <v/>
      </c>
      <c r="DT83">
        <f>MIN(N(DS83),MAX(0,N(ExtraPayment)))</f>
        <v/>
      </c>
      <c r="DU83">
        <f>MAX(0,N(ExtraPayment)-N(DT83))</f>
        <v/>
      </c>
      <c r="DV83">
        <f>IFERROR(MATCH(2,OrderSnow,0),"")</f>
        <v/>
      </c>
      <c r="DW83">
        <f>IF(DV83="",0,IFERROR(IF(N(CHOOSE(DV83,CL83,CP83,CT83,CX83,DB83,DF83,DJ83,DN83))&lt;=0.005,0,MAX(0,N(CHOOSE(DV83,CL83,CP83,CT83,CX83,DB83,DF83,DJ83,DN83))+N(CHOOSE(DV83,CM83,CQ83,CU83,CY83,DC83,DG83,DK83,DO83))-MIN(N(CHOOSE(DV83,'Debt List'!$F$5,'Debt List'!$F$6,'Debt List'!$F$7,'Debt List'!$F$8,'Debt List'!$F$9,'Debt List'!$F$10,'Debt List'!$F$11,'Debt List'!$F$12)),N(CHOOSE(DV83,CL83,CP83,CT83,CX83,DB83,DF83,DJ83,DN83))+N(CHOOSE(DV83,CM83,CQ83,CU83,CY83,DC83,DG83,DK83,DO83))))),0))</f>
        <v/>
      </c>
      <c r="DX83">
        <f>MIN(N(DW83),MAX(0,N(DU83)))</f>
        <v/>
      </c>
      <c r="DY83">
        <f>MAX(0,N(DU83)-N(DX83))</f>
        <v/>
      </c>
      <c r="DZ83">
        <f>IFERROR(MATCH(3,OrderSnow,0),"")</f>
        <v/>
      </c>
      <c r="EA83">
        <f>IF(DZ83="",0,IFERROR(IF(N(CHOOSE(DZ83,CL83,CP83,CT83,CX83,DB83,DF83,DJ83,DN83))&lt;=0.005,0,MAX(0,N(CHOOSE(DZ83,CL83,CP83,CT83,CX83,DB83,DF83,DJ83,DN83))+N(CHOOSE(DZ83,CM83,CQ83,CU83,CY83,DC83,DG83,DK83,DO83))-MIN(N(CHOOSE(DZ83,'Debt List'!$F$5,'Debt List'!$F$6,'Debt List'!$F$7,'Debt List'!$F$8,'Debt List'!$F$9,'Debt List'!$F$10,'Debt List'!$F$11,'Debt List'!$F$12)),N(CHOOSE(DZ83,CL83,CP83,CT83,CX83,DB83,DF83,DJ83,DN83))+N(CHOOSE(DZ83,CM83,CQ83,CU83,CY83,DC83,DG83,DK83,DO83))))),0))</f>
        <v/>
      </c>
      <c r="EB83">
        <f>MIN(N(EA83),MAX(0,N(DY83)))</f>
        <v/>
      </c>
      <c r="EC83">
        <f>MAX(0,N(DY83)-N(EB83))</f>
        <v/>
      </c>
      <c r="ED83">
        <f>IFERROR(MATCH(4,OrderSnow,0),"")</f>
        <v/>
      </c>
      <c r="EE83">
        <f>IF(ED83="",0,IFERROR(IF(N(CHOOSE(ED83,CL83,CP83,CT83,CX83,DB83,DF83,DJ83,DN83))&lt;=0.005,0,MAX(0,N(CHOOSE(ED83,CL83,CP83,CT83,CX83,DB83,DF83,DJ83,DN83))+N(CHOOSE(ED83,CM83,CQ83,CU83,CY83,DC83,DG83,DK83,DO83))-MIN(N(CHOOSE(ED83,'Debt List'!$F$5,'Debt List'!$F$6,'Debt List'!$F$7,'Debt List'!$F$8,'Debt List'!$F$9,'Debt List'!$F$10,'Debt List'!$F$11,'Debt List'!$F$12)),N(CHOOSE(ED83,CL83,CP83,CT83,CX83,DB83,DF83,DJ83,DN83))+N(CHOOSE(ED83,CM83,CQ83,CU83,CY83,DC83,DG83,DK83,DO83))))),0))</f>
        <v/>
      </c>
      <c r="EF83">
        <f>MIN(N(EE83),MAX(0,N(EC83)))</f>
        <v/>
      </c>
      <c r="EG83">
        <f>MAX(0,N(EC83)-N(EF83))</f>
        <v/>
      </c>
      <c r="EH83">
        <f>IFERROR(MATCH(5,OrderSnow,0),"")</f>
        <v/>
      </c>
      <c r="EI83">
        <f>IF(EH83="",0,IFERROR(IF(N(CHOOSE(EH83,CL83,CP83,CT83,CX83,DB83,DF83,DJ83,DN83))&lt;=0.005,0,MAX(0,N(CHOOSE(EH83,CL83,CP83,CT83,CX83,DB83,DF83,DJ83,DN83))+N(CHOOSE(EH83,CM83,CQ83,CU83,CY83,DC83,DG83,DK83,DO83))-MIN(N(CHOOSE(EH83,'Debt List'!$F$5,'Debt List'!$F$6,'Debt List'!$F$7,'Debt List'!$F$8,'Debt List'!$F$9,'Debt List'!$F$10,'Debt List'!$F$11,'Debt List'!$F$12)),N(CHOOSE(EH83,CL83,CP83,CT83,CX83,DB83,DF83,DJ83,DN83))+N(CHOOSE(EH83,CM83,CQ83,CU83,CY83,DC83,DG83,DK83,DO83))))),0))</f>
        <v/>
      </c>
      <c r="EJ83">
        <f>MIN(N(EI83),MAX(0,N(EG83)))</f>
        <v/>
      </c>
      <c r="EK83">
        <f>MAX(0,N(EG83)-N(EJ83))</f>
        <v/>
      </c>
      <c r="EL83">
        <f>IFERROR(MATCH(6,OrderSnow,0),"")</f>
        <v/>
      </c>
      <c r="EM83">
        <f>IF(EL83="",0,IFERROR(IF(N(CHOOSE(EL83,CL83,CP83,CT83,CX83,DB83,DF83,DJ83,DN83))&lt;=0.005,0,MAX(0,N(CHOOSE(EL83,CL83,CP83,CT83,CX83,DB83,DF83,DJ83,DN83))+N(CHOOSE(EL83,CM83,CQ83,CU83,CY83,DC83,DG83,DK83,DO83))-MIN(N(CHOOSE(EL83,'Debt List'!$F$5,'Debt List'!$F$6,'Debt List'!$F$7,'Debt List'!$F$8,'Debt List'!$F$9,'Debt List'!$F$10,'Debt List'!$F$11,'Debt List'!$F$12)),N(CHOOSE(EL83,CL83,CP83,CT83,CX83,DB83,DF83,DJ83,DN83))+N(CHOOSE(EL83,CM83,CQ83,CU83,CY83,DC83,DG83,DK83,DO83))))),0))</f>
        <v/>
      </c>
      <c r="EN83">
        <f>MIN(N(EM83),MAX(0,N(EK83)))</f>
        <v/>
      </c>
      <c r="EO83">
        <f>MAX(0,N(EK83)-N(EN83))</f>
        <v/>
      </c>
      <c r="EP83">
        <f>IFERROR(MATCH(7,OrderSnow,0),"")</f>
        <v/>
      </c>
      <c r="EQ83">
        <f>IF(EP83="",0,IFERROR(IF(N(CHOOSE(EP83,CL83,CP83,CT83,CX83,DB83,DF83,DJ83,DN83))&lt;=0.005,0,MAX(0,N(CHOOSE(EP83,CL83,CP83,CT83,CX83,DB83,DF83,DJ83,DN83))+N(CHOOSE(EP83,CM83,CQ83,CU83,CY83,DC83,DG83,DK83,DO83))-MIN(N(CHOOSE(EP83,'Debt List'!$F$5,'Debt List'!$F$6,'Debt List'!$F$7,'Debt List'!$F$8,'Debt List'!$F$9,'Debt List'!$F$10,'Debt List'!$F$11,'Debt List'!$F$12)),N(CHOOSE(EP83,CL83,CP83,CT83,CX83,DB83,DF83,DJ83,DN83))+N(CHOOSE(EP83,CM83,CQ83,CU83,CY83,DC83,DG83,DK83,DO83))))),0))</f>
        <v/>
      </c>
      <c r="ER83">
        <f>MIN(N(EQ83),MAX(0,N(EO83)))</f>
        <v/>
      </c>
      <c r="ES83">
        <f>MAX(0,N(EO83)-N(ER83))</f>
        <v/>
      </c>
      <c r="ET83">
        <f>IFERROR(MATCH(8,OrderSnow,0),"")</f>
        <v/>
      </c>
      <c r="EU83">
        <f>IF(ET83="",0,IFERROR(IF(N(CHOOSE(ET83,CL83,CP83,CT83,CX83,DB83,DF83,DJ83,DN83))&lt;=0.005,0,MAX(0,N(CHOOSE(ET83,CL83,CP83,CT83,CX83,DB83,DF83,DJ83,DN83))+N(CHOOSE(ET83,CM83,CQ83,CU83,CY83,DC83,DG83,DK83,DO83))-MIN(N(CHOOSE(ET83,'Debt List'!$F$5,'Debt List'!$F$6,'Debt List'!$F$7,'Debt List'!$F$8,'Debt List'!$F$9,'Debt List'!$F$10,'Debt List'!$F$11,'Debt List'!$F$12)),N(CHOOSE(ET83,CL83,CP83,CT83,CX83,DB83,DF83,DJ83,DN83))+N(CHOOSE(ET83,CM83,CQ83,CU83,CY83,DC83,DG83,DK83,DO83))))),0))</f>
        <v/>
      </c>
      <c r="EV83">
        <f>MIN(N(EU83),MAX(0,N(ES83)))</f>
        <v/>
      </c>
      <c r="EW83">
        <f>MAX(0,N(ES83)-N(EV83))</f>
        <v/>
      </c>
      <c r="FE83" t="n">
        <v>79</v>
      </c>
      <c r="FF83" s="115">
        <f>DATE(YEAR(PlanStart),MONTH(PlanStart)+FE83-1,1)</f>
        <v/>
      </c>
      <c r="FG83">
        <f>IF(AND(GT83&lt;&gt;"",N(CHOOSE(GT83,FN83,FR83,FV83,FZ83,GD83,GH83,GL83,GP83))&gt;0.005),INDEX(DebtNames,GT83),IF(AND(GX83&lt;&gt;"",N(CHOOSE(GX83,FN83,FR83,FV83,FZ83,GD83,GH83,GL83,GP83))&gt;0.005),INDEX(DebtNames,GX83),IF(AND(HB83&lt;&gt;"",N(CHOOSE(HB83,FN83,FR83,FV83,FZ83,GD83,GH83,GL83,GP83))&gt;0.005),INDEX(DebtNames,HB83),IF(AND(HF83&lt;&gt;"",N(CHOOSE(HF83,FN83,FR83,FV83,FZ83,GD83,GH83,GL83,GP83))&gt;0.005),INDEX(DebtNames,HF83),IF(AND(HJ83&lt;&gt;"",N(CHOOSE(HJ83,FN83,FR83,FV83,FZ83,GD83,GH83,GL83,GP83))&gt;0.005),INDEX(DebtNames,HJ83),IF(AND(HN83&lt;&gt;"",N(CHOOSE(HN83,FN83,FR83,FV83,FZ83,GD83,GH83,GL83,GP83))&gt;0.005),INDEX(DebtNames,HN83),IF(AND(HR83&lt;&gt;"",N(CHOOSE(HR83,FN83,FR83,FV83,FZ83,GD83,GH83,GL83,GP83))&gt;0.005),INDEX(DebtNames,HR83),IF(AND(HV83&lt;&gt;"",N(CHOOSE(HV83,FN83,FR83,FV83,FZ83,GD83,GH83,GL83,GP83))&gt;0.005),INDEX(DebtNames,HV83),""))))))))</f>
        <v/>
      </c>
      <c r="FH83">
        <f>N(HY83)</f>
        <v/>
      </c>
      <c r="FI83">
        <f>N(FP83)+N(FT83)+N(FX83)+N(GB83)+N(GF83)+N(GJ83)+N(GN83)+N(GR83)</f>
        <v/>
      </c>
      <c r="FJ83">
        <f>N(FO83)+N(FS83)+N(FW83)+N(GA83)+N(GE83)+N(GI83)+N(GM83)+N(GQ83)</f>
        <v/>
      </c>
      <c r="FK83">
        <f>N(FK82)+N(FJ83)</f>
        <v/>
      </c>
      <c r="FL83">
        <f>N(FQ83)+N(FU83)+N(FY83)+N(GC83)+N(GG83)+N(GK83)+N(GO83)+N(GS83)</f>
        <v/>
      </c>
      <c r="FM83">
        <f>(FQ83&gt;0.005)*1+(FU83&gt;0.005)*1+(FY83&gt;0.005)*1+(GC83&gt;0.005)*1+(GG83&gt;0.005)*1+(GK83&gt;0.005)*1+(GO83&gt;0.005)*1+(GS83&gt;0.005)*1</f>
        <v/>
      </c>
      <c r="FN83">
        <f>N(FQ82)</f>
        <v/>
      </c>
      <c r="FO83">
        <f>IF(N(FN83)&lt;=0.005,0,ROUND(N(FN83)*N('Debt List'!E5)/12,2))</f>
        <v/>
      </c>
      <c r="FP83">
        <f>IF(N(FN83)&lt;=0.005,0,MIN(N('Debt List'!F5),N(FN83)+N(FO83)))+((GT83=1)*GV83+(GX83=1)*GZ83+(HB83=1)*HD83+(HF83=1)*HH83+(HJ83=1)*HL83+(HN83=1)*HP83+(HR83=1)*HT83+(HV83=1)*HX83)</f>
        <v/>
      </c>
      <c r="FQ83">
        <f>MAX(0,ROUND(N(FN83)+N(FO83)-N(FP83),2))</f>
        <v/>
      </c>
      <c r="FR83">
        <f>N(FU82)</f>
        <v/>
      </c>
      <c r="FS83">
        <f>IF(N(FR83)&lt;=0.005,0,ROUND(N(FR83)*N('Debt List'!E6)/12,2))</f>
        <v/>
      </c>
      <c r="FT83">
        <f>IF(N(FR83)&lt;=0.005,0,MIN(N('Debt List'!F6),N(FR83)+N(FS83)))+((GT83=2)*GV83+(GX83=2)*GZ83+(HB83=2)*HD83+(HF83=2)*HH83+(HJ83=2)*HL83+(HN83=2)*HP83+(HR83=2)*HT83+(HV83=2)*HX83)</f>
        <v/>
      </c>
      <c r="FU83">
        <f>MAX(0,ROUND(N(FR83)+N(FS83)-N(FT83),2))</f>
        <v/>
      </c>
      <c r="FV83">
        <f>N(FY82)</f>
        <v/>
      </c>
      <c r="FW83">
        <f>IF(N(FV83)&lt;=0.005,0,ROUND(N(FV83)*N('Debt List'!E7)/12,2))</f>
        <v/>
      </c>
      <c r="FX83">
        <f>IF(N(FV83)&lt;=0.005,0,MIN(N('Debt List'!F7),N(FV83)+N(FW83)))+((GT83=3)*GV83+(GX83=3)*GZ83+(HB83=3)*HD83+(HF83=3)*HH83+(HJ83=3)*HL83+(HN83=3)*HP83+(HR83=3)*HT83+(HV83=3)*HX83)</f>
        <v/>
      </c>
      <c r="FY83">
        <f>MAX(0,ROUND(N(FV83)+N(FW83)-N(FX83),2))</f>
        <v/>
      </c>
      <c r="FZ83">
        <f>N(GC82)</f>
        <v/>
      </c>
      <c r="GA83">
        <f>IF(N(FZ83)&lt;=0.005,0,ROUND(N(FZ83)*N('Debt List'!E8)/12,2))</f>
        <v/>
      </c>
      <c r="GB83">
        <f>IF(N(FZ83)&lt;=0.005,0,MIN(N('Debt List'!F8),N(FZ83)+N(GA83)))+((GT83=4)*GV83+(GX83=4)*GZ83+(HB83=4)*HD83+(HF83=4)*HH83+(HJ83=4)*HL83+(HN83=4)*HP83+(HR83=4)*HT83+(HV83=4)*HX83)</f>
        <v/>
      </c>
      <c r="GC83">
        <f>MAX(0,ROUND(N(FZ83)+N(GA83)-N(GB83),2))</f>
        <v/>
      </c>
      <c r="GD83">
        <f>N(GG82)</f>
        <v/>
      </c>
      <c r="GE83">
        <f>IF(N(GD83)&lt;=0.005,0,ROUND(N(GD83)*N('Debt List'!E9)/12,2))</f>
        <v/>
      </c>
      <c r="GF83">
        <f>IF(N(GD83)&lt;=0.005,0,MIN(N('Debt List'!F9),N(GD83)+N(GE83)))+((GT83=5)*GV83+(GX83=5)*GZ83+(HB83=5)*HD83+(HF83=5)*HH83+(HJ83=5)*HL83+(HN83=5)*HP83+(HR83=5)*HT83+(HV83=5)*HX83)</f>
        <v/>
      </c>
      <c r="GG83">
        <f>MAX(0,ROUND(N(GD83)+N(GE83)-N(GF83),2))</f>
        <v/>
      </c>
      <c r="GH83">
        <f>N(GK82)</f>
        <v/>
      </c>
      <c r="GI83">
        <f>IF(N(GH83)&lt;=0.005,0,ROUND(N(GH83)*N('Debt List'!E10)/12,2))</f>
        <v/>
      </c>
      <c r="GJ83">
        <f>IF(N(GH83)&lt;=0.005,0,MIN(N('Debt List'!F10),N(GH83)+N(GI83)))+((GT83=6)*GV83+(GX83=6)*GZ83+(HB83=6)*HD83+(HF83=6)*HH83+(HJ83=6)*HL83+(HN83=6)*HP83+(HR83=6)*HT83+(HV83=6)*HX83)</f>
        <v/>
      </c>
      <c r="GK83">
        <f>MAX(0,ROUND(N(GH83)+N(GI83)-N(GJ83),2))</f>
        <v/>
      </c>
      <c r="GL83">
        <f>N(GO82)</f>
        <v/>
      </c>
      <c r="GM83">
        <f>IF(N(GL83)&lt;=0.005,0,ROUND(N(GL83)*N('Debt List'!E11)/12,2))</f>
        <v/>
      </c>
      <c r="GN83">
        <f>IF(N(GL83)&lt;=0.005,0,MIN(N('Debt List'!F11),N(GL83)+N(GM83)))+((GT83=7)*GV83+(GX83=7)*GZ83+(HB83=7)*HD83+(HF83=7)*HH83+(HJ83=7)*HL83+(HN83=7)*HP83+(HR83=7)*HT83+(HV83=7)*HX83)</f>
        <v/>
      </c>
      <c r="GO83">
        <f>MAX(0,ROUND(N(GL83)+N(GM83)-N(GN83),2))</f>
        <v/>
      </c>
      <c r="GP83">
        <f>N(GS82)</f>
        <v/>
      </c>
      <c r="GQ83">
        <f>IF(N(GP83)&lt;=0.005,0,ROUND(N(GP83)*N('Debt List'!E12)/12,2))</f>
        <v/>
      </c>
      <c r="GR83">
        <f>IF(N(GP83)&lt;=0.005,0,MIN(N('Debt List'!F12),N(GP83)+N(GQ83)))+((GT83=8)*GV83+(GX83=8)*GZ83+(HB83=8)*HD83+(HF83=8)*HH83+(HJ83=8)*HL83+(HN83=8)*HP83+(HR83=8)*HT83+(HV83=8)*HX83)</f>
        <v/>
      </c>
      <c r="GS83">
        <f>MAX(0,ROUND(N(GP83)+N(GQ83)-N(GR83),2))</f>
        <v/>
      </c>
      <c r="GT83">
        <f>IFERROR(MATCH(1,OrderAval,0),"")</f>
        <v/>
      </c>
      <c r="GU83">
        <f>IF(GT83="",0,IFERROR(IF(N(CHOOSE(GT83,FN83,FR83,FV83,FZ83,GD83,GH83,GL83,GP83))&lt;=0.005,0,MAX(0,N(CHOOSE(GT83,FN83,FR83,FV83,FZ83,GD83,GH83,GL83,GP83))+N(CHOOSE(GT83,FO83,FS83,FW83,GA83,GE83,GI83,GM83,GQ83))-MIN(N(CHOOSE(GT83,'Debt List'!$F$5,'Debt List'!$F$6,'Debt List'!$F$7,'Debt List'!$F$8,'Debt List'!$F$9,'Debt List'!$F$10,'Debt List'!$F$11,'Debt List'!$F$12)),N(CHOOSE(GT83,FN83,FR83,FV83,FZ83,GD83,GH83,GL83,GP83))+N(CHOOSE(GT83,FO83,FS83,FW83,GA83,GE83,GI83,GM83,GQ83))))),0))</f>
        <v/>
      </c>
      <c r="GV83">
        <f>MIN(N(GU83),MAX(0,N(ExtraPayment)))</f>
        <v/>
      </c>
      <c r="GW83">
        <f>MAX(0,N(ExtraPayment)-N(GV83))</f>
        <v/>
      </c>
      <c r="GX83">
        <f>IFERROR(MATCH(2,OrderAval,0),"")</f>
        <v/>
      </c>
      <c r="GY83">
        <f>IF(GX83="",0,IFERROR(IF(N(CHOOSE(GX83,FN83,FR83,FV83,FZ83,GD83,GH83,GL83,GP83))&lt;=0.005,0,MAX(0,N(CHOOSE(GX83,FN83,FR83,FV83,FZ83,GD83,GH83,GL83,GP83))+N(CHOOSE(GX83,FO83,FS83,FW83,GA83,GE83,GI83,GM83,GQ83))-MIN(N(CHOOSE(GX83,'Debt List'!$F$5,'Debt List'!$F$6,'Debt List'!$F$7,'Debt List'!$F$8,'Debt List'!$F$9,'Debt List'!$F$10,'Debt List'!$F$11,'Debt List'!$F$12)),N(CHOOSE(GX83,FN83,FR83,FV83,FZ83,GD83,GH83,GL83,GP83))+N(CHOOSE(GX83,FO83,FS83,FW83,GA83,GE83,GI83,GM83,GQ83))))),0))</f>
        <v/>
      </c>
      <c r="GZ83">
        <f>MIN(N(GY83),MAX(0,N(GW83)))</f>
        <v/>
      </c>
      <c r="HA83">
        <f>MAX(0,N(GW83)-N(GZ83))</f>
        <v/>
      </c>
      <c r="HB83">
        <f>IFERROR(MATCH(3,OrderAval,0),"")</f>
        <v/>
      </c>
      <c r="HC83">
        <f>IF(HB83="",0,IFERROR(IF(N(CHOOSE(HB83,FN83,FR83,FV83,FZ83,GD83,GH83,GL83,GP83))&lt;=0.005,0,MAX(0,N(CHOOSE(HB83,FN83,FR83,FV83,FZ83,GD83,GH83,GL83,GP83))+N(CHOOSE(HB83,FO83,FS83,FW83,GA83,GE83,GI83,GM83,GQ83))-MIN(N(CHOOSE(HB83,'Debt List'!$F$5,'Debt List'!$F$6,'Debt List'!$F$7,'Debt List'!$F$8,'Debt List'!$F$9,'Debt List'!$F$10,'Debt List'!$F$11,'Debt List'!$F$12)),N(CHOOSE(HB83,FN83,FR83,FV83,FZ83,GD83,GH83,GL83,GP83))+N(CHOOSE(HB83,FO83,FS83,FW83,GA83,GE83,GI83,GM83,GQ83))))),0))</f>
        <v/>
      </c>
      <c r="HD83">
        <f>MIN(N(HC83),MAX(0,N(HA83)))</f>
        <v/>
      </c>
      <c r="HE83">
        <f>MAX(0,N(HA83)-N(HD83))</f>
        <v/>
      </c>
      <c r="HF83">
        <f>IFERROR(MATCH(4,OrderAval,0),"")</f>
        <v/>
      </c>
      <c r="HG83">
        <f>IF(HF83="",0,IFERROR(IF(N(CHOOSE(HF83,FN83,FR83,FV83,FZ83,GD83,GH83,GL83,GP83))&lt;=0.005,0,MAX(0,N(CHOOSE(HF83,FN83,FR83,FV83,FZ83,GD83,GH83,GL83,GP83))+N(CHOOSE(HF83,FO83,FS83,FW83,GA83,GE83,GI83,GM83,GQ83))-MIN(N(CHOOSE(HF83,'Debt List'!$F$5,'Debt List'!$F$6,'Debt List'!$F$7,'Debt List'!$F$8,'Debt List'!$F$9,'Debt List'!$F$10,'Debt List'!$F$11,'Debt List'!$F$12)),N(CHOOSE(HF83,FN83,FR83,FV83,FZ83,GD83,GH83,GL83,GP83))+N(CHOOSE(HF83,FO83,FS83,FW83,GA83,GE83,GI83,GM83,GQ83))))),0))</f>
        <v/>
      </c>
      <c r="HH83">
        <f>MIN(N(HG83),MAX(0,N(HE83)))</f>
        <v/>
      </c>
      <c r="HI83">
        <f>MAX(0,N(HE83)-N(HH83))</f>
        <v/>
      </c>
      <c r="HJ83">
        <f>IFERROR(MATCH(5,OrderAval,0),"")</f>
        <v/>
      </c>
      <c r="HK83">
        <f>IF(HJ83="",0,IFERROR(IF(N(CHOOSE(HJ83,FN83,FR83,FV83,FZ83,GD83,GH83,GL83,GP83))&lt;=0.005,0,MAX(0,N(CHOOSE(HJ83,FN83,FR83,FV83,FZ83,GD83,GH83,GL83,GP83))+N(CHOOSE(HJ83,FO83,FS83,FW83,GA83,GE83,GI83,GM83,GQ83))-MIN(N(CHOOSE(HJ83,'Debt List'!$F$5,'Debt List'!$F$6,'Debt List'!$F$7,'Debt List'!$F$8,'Debt List'!$F$9,'Debt List'!$F$10,'Debt List'!$F$11,'Debt List'!$F$12)),N(CHOOSE(HJ83,FN83,FR83,FV83,FZ83,GD83,GH83,GL83,GP83))+N(CHOOSE(HJ83,FO83,FS83,FW83,GA83,GE83,GI83,GM83,GQ83))))),0))</f>
        <v/>
      </c>
      <c r="HL83">
        <f>MIN(N(HK83),MAX(0,N(HI83)))</f>
        <v/>
      </c>
      <c r="HM83">
        <f>MAX(0,N(HI83)-N(HL83))</f>
        <v/>
      </c>
      <c r="HN83">
        <f>IFERROR(MATCH(6,OrderAval,0),"")</f>
        <v/>
      </c>
      <c r="HO83">
        <f>IF(HN83="",0,IFERROR(IF(N(CHOOSE(HN83,FN83,FR83,FV83,FZ83,GD83,GH83,GL83,GP83))&lt;=0.005,0,MAX(0,N(CHOOSE(HN83,FN83,FR83,FV83,FZ83,GD83,GH83,GL83,GP83))+N(CHOOSE(HN83,FO83,FS83,FW83,GA83,GE83,GI83,GM83,GQ83))-MIN(N(CHOOSE(HN83,'Debt List'!$F$5,'Debt List'!$F$6,'Debt List'!$F$7,'Debt List'!$F$8,'Debt List'!$F$9,'Debt List'!$F$10,'Debt List'!$F$11,'Debt List'!$F$12)),N(CHOOSE(HN83,FN83,FR83,FV83,FZ83,GD83,GH83,GL83,GP83))+N(CHOOSE(HN83,FO83,FS83,FW83,GA83,GE83,GI83,GM83,GQ83))))),0))</f>
        <v/>
      </c>
      <c r="HP83">
        <f>MIN(N(HO83),MAX(0,N(HM83)))</f>
        <v/>
      </c>
      <c r="HQ83">
        <f>MAX(0,N(HM83)-N(HP83))</f>
        <v/>
      </c>
      <c r="HR83">
        <f>IFERROR(MATCH(7,OrderAval,0),"")</f>
        <v/>
      </c>
      <c r="HS83">
        <f>IF(HR83="",0,IFERROR(IF(N(CHOOSE(HR83,FN83,FR83,FV83,FZ83,GD83,GH83,GL83,GP83))&lt;=0.005,0,MAX(0,N(CHOOSE(HR83,FN83,FR83,FV83,FZ83,GD83,GH83,GL83,GP83))+N(CHOOSE(HR83,FO83,FS83,FW83,GA83,GE83,GI83,GM83,GQ83))-MIN(N(CHOOSE(HR83,'Debt List'!$F$5,'Debt List'!$F$6,'Debt List'!$F$7,'Debt List'!$F$8,'Debt List'!$F$9,'Debt List'!$F$10,'Debt List'!$F$11,'Debt List'!$F$12)),N(CHOOSE(HR83,FN83,FR83,FV83,FZ83,GD83,GH83,GL83,GP83))+N(CHOOSE(HR83,FO83,FS83,FW83,GA83,GE83,GI83,GM83,GQ83))))),0))</f>
        <v/>
      </c>
      <c r="HT83">
        <f>MIN(N(HS83),MAX(0,N(HQ83)))</f>
        <v/>
      </c>
      <c r="HU83">
        <f>MAX(0,N(HQ83)-N(HT83))</f>
        <v/>
      </c>
      <c r="HV83">
        <f>IFERROR(MATCH(8,OrderAval,0),"")</f>
        <v/>
      </c>
      <c r="HW83">
        <f>IF(HV83="",0,IFERROR(IF(N(CHOOSE(HV83,FN83,FR83,FV83,FZ83,GD83,GH83,GL83,GP83))&lt;=0.005,0,MAX(0,N(CHOOSE(HV83,FN83,FR83,FV83,FZ83,GD83,GH83,GL83,GP83))+N(CHOOSE(HV83,FO83,FS83,FW83,GA83,GE83,GI83,GM83,GQ83))-MIN(N(CHOOSE(HV83,'Debt List'!$F$5,'Debt List'!$F$6,'Debt List'!$F$7,'Debt List'!$F$8,'Debt List'!$F$9,'Debt List'!$F$10,'Debt List'!$F$11,'Debt List'!$F$12)),N(CHOOSE(HV83,FN83,FR83,FV83,FZ83,GD83,GH83,GL83,GP83))+N(CHOOSE(HV83,FO83,FS83,FW83,GA83,GE83,GI83,GM83,GQ83))))),0))</f>
        <v/>
      </c>
      <c r="HX83">
        <f>MIN(N(HW83),MAX(0,N(HU83)))</f>
        <v/>
      </c>
      <c r="HY83">
        <f>MAX(0,N(HU83)-N(HX83))</f>
        <v/>
      </c>
    </row>
    <row r="84">
      <c r="A84" t="n">
        <v>80</v>
      </c>
      <c r="B84" s="115">
        <f>DATE(YEAR(PlanStart),MONTH(PlanStart)+A84-1,1)</f>
        <v/>
      </c>
      <c r="C84">
        <f>IF(AND(AP84&lt;&gt;"",N(CHOOSE(AP84,J84,N84,R84,V84,Z84,AD84,AH84,AL84))&gt;0.005),INDEX(DebtNames,AP84),IF(AND(AT84&lt;&gt;"",N(CHOOSE(AT84,J84,N84,R84,V84,Z84,AD84,AH84,AL84))&gt;0.005),INDEX(DebtNames,AT84),IF(AND(AX84&lt;&gt;"",N(CHOOSE(AX84,J84,N84,R84,V84,Z84,AD84,AH84,AL84))&gt;0.005),INDEX(DebtNames,AX84),IF(AND(BB84&lt;&gt;"",N(CHOOSE(BB84,J84,N84,R84,V84,Z84,AD84,AH84,AL84))&gt;0.005),INDEX(DebtNames,BB84),IF(AND(BF84&lt;&gt;"",N(CHOOSE(BF84,J84,N84,R84,V84,Z84,AD84,AH84,AL84))&gt;0.005),INDEX(DebtNames,BF84),IF(AND(BJ84&lt;&gt;"",N(CHOOSE(BJ84,J84,N84,R84,V84,Z84,AD84,AH84,AL84))&gt;0.005),INDEX(DebtNames,BJ84),IF(AND(BN84&lt;&gt;"",N(CHOOSE(BN84,J84,N84,R84,V84,Z84,AD84,AH84,AL84))&gt;0.005),INDEX(DebtNames,BN84),IF(AND(BR84&lt;&gt;"",N(CHOOSE(BR84,J84,N84,R84,V84,Z84,AD84,AH84,AL84))&gt;0.005),INDEX(DebtNames,BR84),""))))))))</f>
        <v/>
      </c>
      <c r="D84">
        <f>N(BU84)</f>
        <v/>
      </c>
      <c r="E84">
        <f>N(L84)+N(P84)+N(T84)+N(X84)+N(AB84)+N(AF84)+N(AJ84)+N(AN84)</f>
        <v/>
      </c>
      <c r="F84">
        <f>N(K84)+N(O84)+N(S84)+N(W84)+N(AA84)+N(AE84)+N(AI84)+N(AM84)</f>
        <v/>
      </c>
      <c r="G84">
        <f>N(G83)+N(F84)</f>
        <v/>
      </c>
      <c r="H84">
        <f>N(M84)+N(Q84)+N(U84)+N(Y84)+N(AC84)+N(AG84)+N(AK84)+N(AO84)</f>
        <v/>
      </c>
      <c r="I84">
        <f>(M84&gt;0.005)*1+(Q84&gt;0.005)*1+(U84&gt;0.005)*1+(Y84&gt;0.005)*1+(AC84&gt;0.005)*1+(AG84&gt;0.005)*1+(AK84&gt;0.005)*1+(AO84&gt;0.005)*1</f>
        <v/>
      </c>
      <c r="J84">
        <f>N(M83)</f>
        <v/>
      </c>
      <c r="K84">
        <f>IF(N(J84)&lt;=0.005,0,ROUND(N(J84)*N('Debt List'!E5)/12,2))</f>
        <v/>
      </c>
      <c r="L84">
        <f>IF(N(J84)&lt;=0.005,0,MIN(N('Debt List'!F5),N(J84)+N(K84)))+((AP84=1)*AR84+(AT84=1)*AV84+(AX84=1)*AZ84+(BB84=1)*BD84+(BF84=1)*BH84+(BJ84=1)*BL84+(BN84=1)*BP84+(BR84=1)*BT84)</f>
        <v/>
      </c>
      <c r="M84">
        <f>MAX(0,ROUND(N(J84)+N(K84)-N(L84),2))</f>
        <v/>
      </c>
      <c r="N84">
        <f>N(Q83)</f>
        <v/>
      </c>
      <c r="O84">
        <f>IF(N(N84)&lt;=0.005,0,ROUND(N(N84)*N('Debt List'!E6)/12,2))</f>
        <v/>
      </c>
      <c r="P84">
        <f>IF(N(N84)&lt;=0.005,0,MIN(N('Debt List'!F6),N(N84)+N(O84)))+((AP84=2)*AR84+(AT84=2)*AV84+(AX84=2)*AZ84+(BB84=2)*BD84+(BF84=2)*BH84+(BJ84=2)*BL84+(BN84=2)*BP84+(BR84=2)*BT84)</f>
        <v/>
      </c>
      <c r="Q84">
        <f>MAX(0,ROUND(N(N84)+N(O84)-N(P84),2))</f>
        <v/>
      </c>
      <c r="R84">
        <f>N(U83)</f>
        <v/>
      </c>
      <c r="S84">
        <f>IF(N(R84)&lt;=0.005,0,ROUND(N(R84)*N('Debt List'!E7)/12,2))</f>
        <v/>
      </c>
      <c r="T84">
        <f>IF(N(R84)&lt;=0.005,0,MIN(N('Debt List'!F7),N(R84)+N(S84)))+((AP84=3)*AR84+(AT84=3)*AV84+(AX84=3)*AZ84+(BB84=3)*BD84+(BF84=3)*BH84+(BJ84=3)*BL84+(BN84=3)*BP84+(BR84=3)*BT84)</f>
        <v/>
      </c>
      <c r="U84">
        <f>MAX(0,ROUND(N(R84)+N(S84)-N(T84),2))</f>
        <v/>
      </c>
      <c r="V84">
        <f>N(Y83)</f>
        <v/>
      </c>
      <c r="W84">
        <f>IF(N(V84)&lt;=0.005,0,ROUND(N(V84)*N('Debt List'!E8)/12,2))</f>
        <v/>
      </c>
      <c r="X84">
        <f>IF(N(V84)&lt;=0.005,0,MIN(N('Debt List'!F8),N(V84)+N(W84)))+((AP84=4)*AR84+(AT84=4)*AV84+(AX84=4)*AZ84+(BB84=4)*BD84+(BF84=4)*BH84+(BJ84=4)*BL84+(BN84=4)*BP84+(BR84=4)*BT84)</f>
        <v/>
      </c>
      <c r="Y84">
        <f>MAX(0,ROUND(N(V84)+N(W84)-N(X84),2))</f>
        <v/>
      </c>
      <c r="Z84">
        <f>N(AC83)</f>
        <v/>
      </c>
      <c r="AA84">
        <f>IF(N(Z84)&lt;=0.005,0,ROUND(N(Z84)*N('Debt List'!E9)/12,2))</f>
        <v/>
      </c>
      <c r="AB84">
        <f>IF(N(Z84)&lt;=0.005,0,MIN(N('Debt List'!F9),N(Z84)+N(AA84)))+((AP84=5)*AR84+(AT84=5)*AV84+(AX84=5)*AZ84+(BB84=5)*BD84+(BF84=5)*BH84+(BJ84=5)*BL84+(BN84=5)*BP84+(BR84=5)*BT84)</f>
        <v/>
      </c>
      <c r="AC84">
        <f>MAX(0,ROUND(N(Z84)+N(AA84)-N(AB84),2))</f>
        <v/>
      </c>
      <c r="AD84">
        <f>N(AG83)</f>
        <v/>
      </c>
      <c r="AE84">
        <f>IF(N(AD84)&lt;=0.005,0,ROUND(N(AD84)*N('Debt List'!E10)/12,2))</f>
        <v/>
      </c>
      <c r="AF84">
        <f>IF(N(AD84)&lt;=0.005,0,MIN(N('Debt List'!F10),N(AD84)+N(AE84)))+((AP84=6)*AR84+(AT84=6)*AV84+(AX84=6)*AZ84+(BB84=6)*BD84+(BF84=6)*BH84+(BJ84=6)*BL84+(BN84=6)*BP84+(BR84=6)*BT84)</f>
        <v/>
      </c>
      <c r="AG84">
        <f>MAX(0,ROUND(N(AD84)+N(AE84)-N(AF84),2))</f>
        <v/>
      </c>
      <c r="AH84">
        <f>N(AK83)</f>
        <v/>
      </c>
      <c r="AI84">
        <f>IF(N(AH84)&lt;=0.005,0,ROUND(N(AH84)*N('Debt List'!E11)/12,2))</f>
        <v/>
      </c>
      <c r="AJ84">
        <f>IF(N(AH84)&lt;=0.005,0,MIN(N('Debt List'!F11),N(AH84)+N(AI84)))+((AP84=7)*AR84+(AT84=7)*AV84+(AX84=7)*AZ84+(BB84=7)*BD84+(BF84=7)*BH84+(BJ84=7)*BL84+(BN84=7)*BP84+(BR84=7)*BT84)</f>
        <v/>
      </c>
      <c r="AK84">
        <f>MAX(0,ROUND(N(AH84)+N(AI84)-N(AJ84),2))</f>
        <v/>
      </c>
      <c r="AL84">
        <f>N(AO83)</f>
        <v/>
      </c>
      <c r="AM84">
        <f>IF(N(AL84)&lt;=0.005,0,ROUND(N(AL84)*N('Debt List'!E12)/12,2))</f>
        <v/>
      </c>
      <c r="AN84">
        <f>IF(N(AL84)&lt;=0.005,0,MIN(N('Debt List'!F12),N(AL84)+N(AM84)))+((AP84=8)*AR84+(AT84=8)*AV84+(AX84=8)*AZ84+(BB84=8)*BD84+(BF84=8)*BH84+(BJ84=8)*BL84+(BN84=8)*BP84+(BR84=8)*BT84)</f>
        <v/>
      </c>
      <c r="AO84">
        <f>MAX(0,ROUND(N(AL84)+N(AM84)-N(AN84),2))</f>
        <v/>
      </c>
      <c r="AP84">
        <f>IFERROR(MATCH(1,OrderPlan,0),"")</f>
        <v/>
      </c>
      <c r="AQ84">
        <f>IF(AP84="",0,IFERROR(IF(N(CHOOSE(AP84,J84,N84,R84,V84,Z84,AD84,AH84,AL84))&lt;=0.005,0,MAX(0,N(CHOOSE(AP84,J84,N84,R84,V84,Z84,AD84,AH84,AL84))+N(CHOOSE(AP84,K84,O84,S84,W84,AA84,AE84,AI84,AM84))-MIN(N(CHOOSE(AP84,'Debt List'!$F$5,'Debt List'!$F$6,'Debt List'!$F$7,'Debt List'!$F$8,'Debt List'!$F$9,'Debt List'!$F$10,'Debt List'!$F$11,'Debt List'!$F$12)),N(CHOOSE(AP84,J84,N84,R84,V84,Z84,AD84,AH84,AL84))+N(CHOOSE(AP84,K84,O84,S84,W84,AA84,AE84,AI84,AM84))))),0))</f>
        <v/>
      </c>
      <c r="AR84">
        <f>MIN(N(AQ84),MAX(0,N(ExtraPayment)))</f>
        <v/>
      </c>
      <c r="AS84">
        <f>MAX(0,N(ExtraPayment)-N(AR84))</f>
        <v/>
      </c>
      <c r="AT84">
        <f>IFERROR(MATCH(2,OrderPlan,0),"")</f>
        <v/>
      </c>
      <c r="AU84">
        <f>IF(AT84="",0,IFERROR(IF(N(CHOOSE(AT84,J84,N84,R84,V84,Z84,AD84,AH84,AL84))&lt;=0.005,0,MAX(0,N(CHOOSE(AT84,J84,N84,R84,V84,Z84,AD84,AH84,AL84))+N(CHOOSE(AT84,K84,O84,S84,W84,AA84,AE84,AI84,AM84))-MIN(N(CHOOSE(AT84,'Debt List'!$F$5,'Debt List'!$F$6,'Debt List'!$F$7,'Debt List'!$F$8,'Debt List'!$F$9,'Debt List'!$F$10,'Debt List'!$F$11,'Debt List'!$F$12)),N(CHOOSE(AT84,J84,N84,R84,V84,Z84,AD84,AH84,AL84))+N(CHOOSE(AT84,K84,O84,S84,W84,AA84,AE84,AI84,AM84))))),0))</f>
        <v/>
      </c>
      <c r="AV84">
        <f>MIN(N(AU84),MAX(0,N(AS84)))</f>
        <v/>
      </c>
      <c r="AW84">
        <f>MAX(0,N(AS84)-N(AV84))</f>
        <v/>
      </c>
      <c r="AX84">
        <f>IFERROR(MATCH(3,OrderPlan,0),"")</f>
        <v/>
      </c>
      <c r="AY84">
        <f>IF(AX84="",0,IFERROR(IF(N(CHOOSE(AX84,J84,N84,R84,V84,Z84,AD84,AH84,AL84))&lt;=0.005,0,MAX(0,N(CHOOSE(AX84,J84,N84,R84,V84,Z84,AD84,AH84,AL84))+N(CHOOSE(AX84,K84,O84,S84,W84,AA84,AE84,AI84,AM84))-MIN(N(CHOOSE(AX84,'Debt List'!$F$5,'Debt List'!$F$6,'Debt List'!$F$7,'Debt List'!$F$8,'Debt List'!$F$9,'Debt List'!$F$10,'Debt List'!$F$11,'Debt List'!$F$12)),N(CHOOSE(AX84,J84,N84,R84,V84,Z84,AD84,AH84,AL84))+N(CHOOSE(AX84,K84,O84,S84,W84,AA84,AE84,AI84,AM84))))),0))</f>
        <v/>
      </c>
      <c r="AZ84">
        <f>MIN(N(AY84),MAX(0,N(AW84)))</f>
        <v/>
      </c>
      <c r="BA84">
        <f>MAX(0,N(AW84)-N(AZ84))</f>
        <v/>
      </c>
      <c r="BB84">
        <f>IFERROR(MATCH(4,OrderPlan,0),"")</f>
        <v/>
      </c>
      <c r="BC84">
        <f>IF(BB84="",0,IFERROR(IF(N(CHOOSE(BB84,J84,N84,R84,V84,Z84,AD84,AH84,AL84))&lt;=0.005,0,MAX(0,N(CHOOSE(BB84,J84,N84,R84,V84,Z84,AD84,AH84,AL84))+N(CHOOSE(BB84,K84,O84,S84,W84,AA84,AE84,AI84,AM84))-MIN(N(CHOOSE(BB84,'Debt List'!$F$5,'Debt List'!$F$6,'Debt List'!$F$7,'Debt List'!$F$8,'Debt List'!$F$9,'Debt List'!$F$10,'Debt List'!$F$11,'Debt List'!$F$12)),N(CHOOSE(BB84,J84,N84,R84,V84,Z84,AD84,AH84,AL84))+N(CHOOSE(BB84,K84,O84,S84,W84,AA84,AE84,AI84,AM84))))),0))</f>
        <v/>
      </c>
      <c r="BD84">
        <f>MIN(N(BC84),MAX(0,N(BA84)))</f>
        <v/>
      </c>
      <c r="BE84">
        <f>MAX(0,N(BA84)-N(BD84))</f>
        <v/>
      </c>
      <c r="BF84">
        <f>IFERROR(MATCH(5,OrderPlan,0),"")</f>
        <v/>
      </c>
      <c r="BG84">
        <f>IF(BF84="",0,IFERROR(IF(N(CHOOSE(BF84,J84,N84,R84,V84,Z84,AD84,AH84,AL84))&lt;=0.005,0,MAX(0,N(CHOOSE(BF84,J84,N84,R84,V84,Z84,AD84,AH84,AL84))+N(CHOOSE(BF84,K84,O84,S84,W84,AA84,AE84,AI84,AM84))-MIN(N(CHOOSE(BF84,'Debt List'!$F$5,'Debt List'!$F$6,'Debt List'!$F$7,'Debt List'!$F$8,'Debt List'!$F$9,'Debt List'!$F$10,'Debt List'!$F$11,'Debt List'!$F$12)),N(CHOOSE(BF84,J84,N84,R84,V84,Z84,AD84,AH84,AL84))+N(CHOOSE(BF84,K84,O84,S84,W84,AA84,AE84,AI84,AM84))))),0))</f>
        <v/>
      </c>
      <c r="BH84">
        <f>MIN(N(BG84),MAX(0,N(BE84)))</f>
        <v/>
      </c>
      <c r="BI84">
        <f>MAX(0,N(BE84)-N(BH84))</f>
        <v/>
      </c>
      <c r="BJ84">
        <f>IFERROR(MATCH(6,OrderPlan,0),"")</f>
        <v/>
      </c>
      <c r="BK84">
        <f>IF(BJ84="",0,IFERROR(IF(N(CHOOSE(BJ84,J84,N84,R84,V84,Z84,AD84,AH84,AL84))&lt;=0.005,0,MAX(0,N(CHOOSE(BJ84,J84,N84,R84,V84,Z84,AD84,AH84,AL84))+N(CHOOSE(BJ84,K84,O84,S84,W84,AA84,AE84,AI84,AM84))-MIN(N(CHOOSE(BJ84,'Debt List'!$F$5,'Debt List'!$F$6,'Debt List'!$F$7,'Debt List'!$F$8,'Debt List'!$F$9,'Debt List'!$F$10,'Debt List'!$F$11,'Debt List'!$F$12)),N(CHOOSE(BJ84,J84,N84,R84,V84,Z84,AD84,AH84,AL84))+N(CHOOSE(BJ84,K84,O84,S84,W84,AA84,AE84,AI84,AM84))))),0))</f>
        <v/>
      </c>
      <c r="BL84">
        <f>MIN(N(BK84),MAX(0,N(BI84)))</f>
        <v/>
      </c>
      <c r="BM84">
        <f>MAX(0,N(BI84)-N(BL84))</f>
        <v/>
      </c>
      <c r="BN84">
        <f>IFERROR(MATCH(7,OrderPlan,0),"")</f>
        <v/>
      </c>
      <c r="BO84">
        <f>IF(BN84="",0,IFERROR(IF(N(CHOOSE(BN84,J84,N84,R84,V84,Z84,AD84,AH84,AL84))&lt;=0.005,0,MAX(0,N(CHOOSE(BN84,J84,N84,R84,V84,Z84,AD84,AH84,AL84))+N(CHOOSE(BN84,K84,O84,S84,W84,AA84,AE84,AI84,AM84))-MIN(N(CHOOSE(BN84,'Debt List'!$F$5,'Debt List'!$F$6,'Debt List'!$F$7,'Debt List'!$F$8,'Debt List'!$F$9,'Debt List'!$F$10,'Debt List'!$F$11,'Debt List'!$F$12)),N(CHOOSE(BN84,J84,N84,R84,V84,Z84,AD84,AH84,AL84))+N(CHOOSE(BN84,K84,O84,S84,W84,AA84,AE84,AI84,AM84))))),0))</f>
        <v/>
      </c>
      <c r="BP84">
        <f>MIN(N(BO84),MAX(0,N(BM84)))</f>
        <v/>
      </c>
      <c r="BQ84">
        <f>MAX(0,N(BM84)-N(BP84))</f>
        <v/>
      </c>
      <c r="BR84">
        <f>IFERROR(MATCH(8,OrderPlan,0),"")</f>
        <v/>
      </c>
      <c r="BS84">
        <f>IF(BR84="",0,IFERROR(IF(N(CHOOSE(BR84,J84,N84,R84,V84,Z84,AD84,AH84,AL84))&lt;=0.005,0,MAX(0,N(CHOOSE(BR84,J84,N84,R84,V84,Z84,AD84,AH84,AL84))+N(CHOOSE(BR84,K84,O84,S84,W84,AA84,AE84,AI84,AM84))-MIN(N(CHOOSE(BR84,'Debt List'!$F$5,'Debt List'!$F$6,'Debt List'!$F$7,'Debt List'!$F$8,'Debt List'!$F$9,'Debt List'!$F$10,'Debt List'!$F$11,'Debt List'!$F$12)),N(CHOOSE(BR84,J84,N84,R84,V84,Z84,AD84,AH84,AL84))+N(CHOOSE(BR84,K84,O84,S84,W84,AA84,AE84,AI84,AM84))))),0))</f>
        <v/>
      </c>
      <c r="BT84">
        <f>MIN(N(BS84),MAX(0,N(BQ84)))</f>
        <v/>
      </c>
      <c r="BU84">
        <f>MAX(0,N(BQ84)-N(BT84))</f>
        <v/>
      </c>
      <c r="CC84" t="n">
        <v>80</v>
      </c>
      <c r="CD84" s="115">
        <f>DATE(YEAR(PlanStart),MONTH(PlanStart)+CC84-1,1)</f>
        <v/>
      </c>
      <c r="CE84">
        <f>IF(AND(DR84&lt;&gt;"",N(CHOOSE(DR84,CL84,CP84,CT84,CX84,DB84,DF84,DJ84,DN84))&gt;0.005),INDEX(DebtNames,DR84),IF(AND(DV84&lt;&gt;"",N(CHOOSE(DV84,CL84,CP84,CT84,CX84,DB84,DF84,DJ84,DN84))&gt;0.005),INDEX(DebtNames,DV84),IF(AND(DZ84&lt;&gt;"",N(CHOOSE(DZ84,CL84,CP84,CT84,CX84,DB84,DF84,DJ84,DN84))&gt;0.005),INDEX(DebtNames,DZ84),IF(AND(ED84&lt;&gt;"",N(CHOOSE(ED84,CL84,CP84,CT84,CX84,DB84,DF84,DJ84,DN84))&gt;0.005),INDEX(DebtNames,ED84),IF(AND(EH84&lt;&gt;"",N(CHOOSE(EH84,CL84,CP84,CT84,CX84,DB84,DF84,DJ84,DN84))&gt;0.005),INDEX(DebtNames,EH84),IF(AND(EL84&lt;&gt;"",N(CHOOSE(EL84,CL84,CP84,CT84,CX84,DB84,DF84,DJ84,DN84))&gt;0.005),INDEX(DebtNames,EL84),IF(AND(EP84&lt;&gt;"",N(CHOOSE(EP84,CL84,CP84,CT84,CX84,DB84,DF84,DJ84,DN84))&gt;0.005),INDEX(DebtNames,EP84),IF(AND(ET84&lt;&gt;"",N(CHOOSE(ET84,CL84,CP84,CT84,CX84,DB84,DF84,DJ84,DN84))&gt;0.005),INDEX(DebtNames,ET84),""))))))))</f>
        <v/>
      </c>
      <c r="CF84">
        <f>N(EW84)</f>
        <v/>
      </c>
      <c r="CG84">
        <f>N(CN84)+N(CR84)+N(CV84)+N(CZ84)+N(DD84)+N(DH84)+N(DL84)+N(DP84)</f>
        <v/>
      </c>
      <c r="CH84">
        <f>N(CM84)+N(CQ84)+N(CU84)+N(CY84)+N(DC84)+N(DG84)+N(DK84)+N(DO84)</f>
        <v/>
      </c>
      <c r="CI84">
        <f>N(CI83)+N(CH84)</f>
        <v/>
      </c>
      <c r="CJ84">
        <f>N(CO84)+N(CS84)+N(CW84)+N(DA84)+N(DE84)+N(DI84)+N(DM84)+N(DQ84)</f>
        <v/>
      </c>
      <c r="CK84">
        <f>(CO84&gt;0.005)*1+(CS84&gt;0.005)*1+(CW84&gt;0.005)*1+(DA84&gt;0.005)*1+(DE84&gt;0.005)*1+(DI84&gt;0.005)*1+(DM84&gt;0.005)*1+(DQ84&gt;0.005)*1</f>
        <v/>
      </c>
      <c r="CL84">
        <f>N(CO83)</f>
        <v/>
      </c>
      <c r="CM84">
        <f>IF(N(CL84)&lt;=0.005,0,ROUND(N(CL84)*N('Debt List'!E5)/12,2))</f>
        <v/>
      </c>
      <c r="CN84">
        <f>IF(N(CL84)&lt;=0.005,0,MIN(N('Debt List'!F5),N(CL84)+N(CM84)))+((DR84=1)*DT84+(DV84=1)*DX84+(DZ84=1)*EB84+(ED84=1)*EF84+(EH84=1)*EJ84+(EL84=1)*EN84+(EP84=1)*ER84+(ET84=1)*EV84)</f>
        <v/>
      </c>
      <c r="CO84">
        <f>MAX(0,ROUND(N(CL84)+N(CM84)-N(CN84),2))</f>
        <v/>
      </c>
      <c r="CP84">
        <f>N(CS83)</f>
        <v/>
      </c>
      <c r="CQ84">
        <f>IF(N(CP84)&lt;=0.005,0,ROUND(N(CP84)*N('Debt List'!E6)/12,2))</f>
        <v/>
      </c>
      <c r="CR84">
        <f>IF(N(CP84)&lt;=0.005,0,MIN(N('Debt List'!F6),N(CP84)+N(CQ84)))+((DR84=2)*DT84+(DV84=2)*DX84+(DZ84=2)*EB84+(ED84=2)*EF84+(EH84=2)*EJ84+(EL84=2)*EN84+(EP84=2)*ER84+(ET84=2)*EV84)</f>
        <v/>
      </c>
      <c r="CS84">
        <f>MAX(0,ROUND(N(CP84)+N(CQ84)-N(CR84),2))</f>
        <v/>
      </c>
      <c r="CT84">
        <f>N(CW83)</f>
        <v/>
      </c>
      <c r="CU84">
        <f>IF(N(CT84)&lt;=0.005,0,ROUND(N(CT84)*N('Debt List'!E7)/12,2))</f>
        <v/>
      </c>
      <c r="CV84">
        <f>IF(N(CT84)&lt;=0.005,0,MIN(N('Debt List'!F7),N(CT84)+N(CU84)))+((DR84=3)*DT84+(DV84=3)*DX84+(DZ84=3)*EB84+(ED84=3)*EF84+(EH84=3)*EJ84+(EL84=3)*EN84+(EP84=3)*ER84+(ET84=3)*EV84)</f>
        <v/>
      </c>
      <c r="CW84">
        <f>MAX(0,ROUND(N(CT84)+N(CU84)-N(CV84),2))</f>
        <v/>
      </c>
      <c r="CX84">
        <f>N(DA83)</f>
        <v/>
      </c>
      <c r="CY84">
        <f>IF(N(CX84)&lt;=0.005,0,ROUND(N(CX84)*N('Debt List'!E8)/12,2))</f>
        <v/>
      </c>
      <c r="CZ84">
        <f>IF(N(CX84)&lt;=0.005,0,MIN(N('Debt List'!F8),N(CX84)+N(CY84)))+((DR84=4)*DT84+(DV84=4)*DX84+(DZ84=4)*EB84+(ED84=4)*EF84+(EH84=4)*EJ84+(EL84=4)*EN84+(EP84=4)*ER84+(ET84=4)*EV84)</f>
        <v/>
      </c>
      <c r="DA84">
        <f>MAX(0,ROUND(N(CX84)+N(CY84)-N(CZ84),2))</f>
        <v/>
      </c>
      <c r="DB84">
        <f>N(DE83)</f>
        <v/>
      </c>
      <c r="DC84">
        <f>IF(N(DB84)&lt;=0.005,0,ROUND(N(DB84)*N('Debt List'!E9)/12,2))</f>
        <v/>
      </c>
      <c r="DD84">
        <f>IF(N(DB84)&lt;=0.005,0,MIN(N('Debt List'!F9),N(DB84)+N(DC84)))+((DR84=5)*DT84+(DV84=5)*DX84+(DZ84=5)*EB84+(ED84=5)*EF84+(EH84=5)*EJ84+(EL84=5)*EN84+(EP84=5)*ER84+(ET84=5)*EV84)</f>
        <v/>
      </c>
      <c r="DE84">
        <f>MAX(0,ROUND(N(DB84)+N(DC84)-N(DD84),2))</f>
        <v/>
      </c>
      <c r="DF84">
        <f>N(DI83)</f>
        <v/>
      </c>
      <c r="DG84">
        <f>IF(N(DF84)&lt;=0.005,0,ROUND(N(DF84)*N('Debt List'!E10)/12,2))</f>
        <v/>
      </c>
      <c r="DH84">
        <f>IF(N(DF84)&lt;=0.005,0,MIN(N('Debt List'!F10),N(DF84)+N(DG84)))+((DR84=6)*DT84+(DV84=6)*DX84+(DZ84=6)*EB84+(ED84=6)*EF84+(EH84=6)*EJ84+(EL84=6)*EN84+(EP84=6)*ER84+(ET84=6)*EV84)</f>
        <v/>
      </c>
      <c r="DI84">
        <f>MAX(0,ROUND(N(DF84)+N(DG84)-N(DH84),2))</f>
        <v/>
      </c>
      <c r="DJ84">
        <f>N(DM83)</f>
        <v/>
      </c>
      <c r="DK84">
        <f>IF(N(DJ84)&lt;=0.005,0,ROUND(N(DJ84)*N('Debt List'!E11)/12,2))</f>
        <v/>
      </c>
      <c r="DL84">
        <f>IF(N(DJ84)&lt;=0.005,0,MIN(N('Debt List'!F11),N(DJ84)+N(DK84)))+((DR84=7)*DT84+(DV84=7)*DX84+(DZ84=7)*EB84+(ED84=7)*EF84+(EH84=7)*EJ84+(EL84=7)*EN84+(EP84=7)*ER84+(ET84=7)*EV84)</f>
        <v/>
      </c>
      <c r="DM84">
        <f>MAX(0,ROUND(N(DJ84)+N(DK84)-N(DL84),2))</f>
        <v/>
      </c>
      <c r="DN84">
        <f>N(DQ83)</f>
        <v/>
      </c>
      <c r="DO84">
        <f>IF(N(DN84)&lt;=0.005,0,ROUND(N(DN84)*N('Debt List'!E12)/12,2))</f>
        <v/>
      </c>
      <c r="DP84">
        <f>IF(N(DN84)&lt;=0.005,0,MIN(N('Debt List'!F12),N(DN84)+N(DO84)))+((DR84=8)*DT84+(DV84=8)*DX84+(DZ84=8)*EB84+(ED84=8)*EF84+(EH84=8)*EJ84+(EL84=8)*EN84+(EP84=8)*ER84+(ET84=8)*EV84)</f>
        <v/>
      </c>
      <c r="DQ84">
        <f>MAX(0,ROUND(N(DN84)+N(DO84)-N(DP84),2))</f>
        <v/>
      </c>
      <c r="DR84">
        <f>IFERROR(MATCH(1,OrderSnow,0),"")</f>
        <v/>
      </c>
      <c r="DS84">
        <f>IF(DR84="",0,IFERROR(IF(N(CHOOSE(DR84,CL84,CP84,CT84,CX84,DB84,DF84,DJ84,DN84))&lt;=0.005,0,MAX(0,N(CHOOSE(DR84,CL84,CP84,CT84,CX84,DB84,DF84,DJ84,DN84))+N(CHOOSE(DR84,CM84,CQ84,CU84,CY84,DC84,DG84,DK84,DO84))-MIN(N(CHOOSE(DR84,'Debt List'!$F$5,'Debt List'!$F$6,'Debt List'!$F$7,'Debt List'!$F$8,'Debt List'!$F$9,'Debt List'!$F$10,'Debt List'!$F$11,'Debt List'!$F$12)),N(CHOOSE(DR84,CL84,CP84,CT84,CX84,DB84,DF84,DJ84,DN84))+N(CHOOSE(DR84,CM84,CQ84,CU84,CY84,DC84,DG84,DK84,DO84))))),0))</f>
        <v/>
      </c>
      <c r="DT84">
        <f>MIN(N(DS84),MAX(0,N(ExtraPayment)))</f>
        <v/>
      </c>
      <c r="DU84">
        <f>MAX(0,N(ExtraPayment)-N(DT84))</f>
        <v/>
      </c>
      <c r="DV84">
        <f>IFERROR(MATCH(2,OrderSnow,0),"")</f>
        <v/>
      </c>
      <c r="DW84">
        <f>IF(DV84="",0,IFERROR(IF(N(CHOOSE(DV84,CL84,CP84,CT84,CX84,DB84,DF84,DJ84,DN84))&lt;=0.005,0,MAX(0,N(CHOOSE(DV84,CL84,CP84,CT84,CX84,DB84,DF84,DJ84,DN84))+N(CHOOSE(DV84,CM84,CQ84,CU84,CY84,DC84,DG84,DK84,DO84))-MIN(N(CHOOSE(DV84,'Debt List'!$F$5,'Debt List'!$F$6,'Debt List'!$F$7,'Debt List'!$F$8,'Debt List'!$F$9,'Debt List'!$F$10,'Debt List'!$F$11,'Debt List'!$F$12)),N(CHOOSE(DV84,CL84,CP84,CT84,CX84,DB84,DF84,DJ84,DN84))+N(CHOOSE(DV84,CM84,CQ84,CU84,CY84,DC84,DG84,DK84,DO84))))),0))</f>
        <v/>
      </c>
      <c r="DX84">
        <f>MIN(N(DW84),MAX(0,N(DU84)))</f>
        <v/>
      </c>
      <c r="DY84">
        <f>MAX(0,N(DU84)-N(DX84))</f>
        <v/>
      </c>
      <c r="DZ84">
        <f>IFERROR(MATCH(3,OrderSnow,0),"")</f>
        <v/>
      </c>
      <c r="EA84">
        <f>IF(DZ84="",0,IFERROR(IF(N(CHOOSE(DZ84,CL84,CP84,CT84,CX84,DB84,DF84,DJ84,DN84))&lt;=0.005,0,MAX(0,N(CHOOSE(DZ84,CL84,CP84,CT84,CX84,DB84,DF84,DJ84,DN84))+N(CHOOSE(DZ84,CM84,CQ84,CU84,CY84,DC84,DG84,DK84,DO84))-MIN(N(CHOOSE(DZ84,'Debt List'!$F$5,'Debt List'!$F$6,'Debt List'!$F$7,'Debt List'!$F$8,'Debt List'!$F$9,'Debt List'!$F$10,'Debt List'!$F$11,'Debt List'!$F$12)),N(CHOOSE(DZ84,CL84,CP84,CT84,CX84,DB84,DF84,DJ84,DN84))+N(CHOOSE(DZ84,CM84,CQ84,CU84,CY84,DC84,DG84,DK84,DO84))))),0))</f>
        <v/>
      </c>
      <c r="EB84">
        <f>MIN(N(EA84),MAX(0,N(DY84)))</f>
        <v/>
      </c>
      <c r="EC84">
        <f>MAX(0,N(DY84)-N(EB84))</f>
        <v/>
      </c>
      <c r="ED84">
        <f>IFERROR(MATCH(4,OrderSnow,0),"")</f>
        <v/>
      </c>
      <c r="EE84">
        <f>IF(ED84="",0,IFERROR(IF(N(CHOOSE(ED84,CL84,CP84,CT84,CX84,DB84,DF84,DJ84,DN84))&lt;=0.005,0,MAX(0,N(CHOOSE(ED84,CL84,CP84,CT84,CX84,DB84,DF84,DJ84,DN84))+N(CHOOSE(ED84,CM84,CQ84,CU84,CY84,DC84,DG84,DK84,DO84))-MIN(N(CHOOSE(ED84,'Debt List'!$F$5,'Debt List'!$F$6,'Debt List'!$F$7,'Debt List'!$F$8,'Debt List'!$F$9,'Debt List'!$F$10,'Debt List'!$F$11,'Debt List'!$F$12)),N(CHOOSE(ED84,CL84,CP84,CT84,CX84,DB84,DF84,DJ84,DN84))+N(CHOOSE(ED84,CM84,CQ84,CU84,CY84,DC84,DG84,DK84,DO84))))),0))</f>
        <v/>
      </c>
      <c r="EF84">
        <f>MIN(N(EE84),MAX(0,N(EC84)))</f>
        <v/>
      </c>
      <c r="EG84">
        <f>MAX(0,N(EC84)-N(EF84))</f>
        <v/>
      </c>
      <c r="EH84">
        <f>IFERROR(MATCH(5,OrderSnow,0),"")</f>
        <v/>
      </c>
      <c r="EI84">
        <f>IF(EH84="",0,IFERROR(IF(N(CHOOSE(EH84,CL84,CP84,CT84,CX84,DB84,DF84,DJ84,DN84))&lt;=0.005,0,MAX(0,N(CHOOSE(EH84,CL84,CP84,CT84,CX84,DB84,DF84,DJ84,DN84))+N(CHOOSE(EH84,CM84,CQ84,CU84,CY84,DC84,DG84,DK84,DO84))-MIN(N(CHOOSE(EH84,'Debt List'!$F$5,'Debt List'!$F$6,'Debt List'!$F$7,'Debt List'!$F$8,'Debt List'!$F$9,'Debt List'!$F$10,'Debt List'!$F$11,'Debt List'!$F$12)),N(CHOOSE(EH84,CL84,CP84,CT84,CX84,DB84,DF84,DJ84,DN84))+N(CHOOSE(EH84,CM84,CQ84,CU84,CY84,DC84,DG84,DK84,DO84))))),0))</f>
        <v/>
      </c>
      <c r="EJ84">
        <f>MIN(N(EI84),MAX(0,N(EG84)))</f>
        <v/>
      </c>
      <c r="EK84">
        <f>MAX(0,N(EG84)-N(EJ84))</f>
        <v/>
      </c>
      <c r="EL84">
        <f>IFERROR(MATCH(6,OrderSnow,0),"")</f>
        <v/>
      </c>
      <c r="EM84">
        <f>IF(EL84="",0,IFERROR(IF(N(CHOOSE(EL84,CL84,CP84,CT84,CX84,DB84,DF84,DJ84,DN84))&lt;=0.005,0,MAX(0,N(CHOOSE(EL84,CL84,CP84,CT84,CX84,DB84,DF84,DJ84,DN84))+N(CHOOSE(EL84,CM84,CQ84,CU84,CY84,DC84,DG84,DK84,DO84))-MIN(N(CHOOSE(EL84,'Debt List'!$F$5,'Debt List'!$F$6,'Debt List'!$F$7,'Debt List'!$F$8,'Debt List'!$F$9,'Debt List'!$F$10,'Debt List'!$F$11,'Debt List'!$F$12)),N(CHOOSE(EL84,CL84,CP84,CT84,CX84,DB84,DF84,DJ84,DN84))+N(CHOOSE(EL84,CM84,CQ84,CU84,CY84,DC84,DG84,DK84,DO84))))),0))</f>
        <v/>
      </c>
      <c r="EN84">
        <f>MIN(N(EM84),MAX(0,N(EK84)))</f>
        <v/>
      </c>
      <c r="EO84">
        <f>MAX(0,N(EK84)-N(EN84))</f>
        <v/>
      </c>
      <c r="EP84">
        <f>IFERROR(MATCH(7,OrderSnow,0),"")</f>
        <v/>
      </c>
      <c r="EQ84">
        <f>IF(EP84="",0,IFERROR(IF(N(CHOOSE(EP84,CL84,CP84,CT84,CX84,DB84,DF84,DJ84,DN84))&lt;=0.005,0,MAX(0,N(CHOOSE(EP84,CL84,CP84,CT84,CX84,DB84,DF84,DJ84,DN84))+N(CHOOSE(EP84,CM84,CQ84,CU84,CY84,DC84,DG84,DK84,DO84))-MIN(N(CHOOSE(EP84,'Debt List'!$F$5,'Debt List'!$F$6,'Debt List'!$F$7,'Debt List'!$F$8,'Debt List'!$F$9,'Debt List'!$F$10,'Debt List'!$F$11,'Debt List'!$F$12)),N(CHOOSE(EP84,CL84,CP84,CT84,CX84,DB84,DF84,DJ84,DN84))+N(CHOOSE(EP84,CM84,CQ84,CU84,CY84,DC84,DG84,DK84,DO84))))),0))</f>
        <v/>
      </c>
      <c r="ER84">
        <f>MIN(N(EQ84),MAX(0,N(EO84)))</f>
        <v/>
      </c>
      <c r="ES84">
        <f>MAX(0,N(EO84)-N(ER84))</f>
        <v/>
      </c>
      <c r="ET84">
        <f>IFERROR(MATCH(8,OrderSnow,0),"")</f>
        <v/>
      </c>
      <c r="EU84">
        <f>IF(ET84="",0,IFERROR(IF(N(CHOOSE(ET84,CL84,CP84,CT84,CX84,DB84,DF84,DJ84,DN84))&lt;=0.005,0,MAX(0,N(CHOOSE(ET84,CL84,CP84,CT84,CX84,DB84,DF84,DJ84,DN84))+N(CHOOSE(ET84,CM84,CQ84,CU84,CY84,DC84,DG84,DK84,DO84))-MIN(N(CHOOSE(ET84,'Debt List'!$F$5,'Debt List'!$F$6,'Debt List'!$F$7,'Debt List'!$F$8,'Debt List'!$F$9,'Debt List'!$F$10,'Debt List'!$F$11,'Debt List'!$F$12)),N(CHOOSE(ET84,CL84,CP84,CT84,CX84,DB84,DF84,DJ84,DN84))+N(CHOOSE(ET84,CM84,CQ84,CU84,CY84,DC84,DG84,DK84,DO84))))),0))</f>
        <v/>
      </c>
      <c r="EV84">
        <f>MIN(N(EU84),MAX(0,N(ES84)))</f>
        <v/>
      </c>
      <c r="EW84">
        <f>MAX(0,N(ES84)-N(EV84))</f>
        <v/>
      </c>
      <c r="FE84" t="n">
        <v>80</v>
      </c>
      <c r="FF84" s="115">
        <f>DATE(YEAR(PlanStart),MONTH(PlanStart)+FE84-1,1)</f>
        <v/>
      </c>
      <c r="FG84">
        <f>IF(AND(GT84&lt;&gt;"",N(CHOOSE(GT84,FN84,FR84,FV84,FZ84,GD84,GH84,GL84,GP84))&gt;0.005),INDEX(DebtNames,GT84),IF(AND(GX84&lt;&gt;"",N(CHOOSE(GX84,FN84,FR84,FV84,FZ84,GD84,GH84,GL84,GP84))&gt;0.005),INDEX(DebtNames,GX84),IF(AND(HB84&lt;&gt;"",N(CHOOSE(HB84,FN84,FR84,FV84,FZ84,GD84,GH84,GL84,GP84))&gt;0.005),INDEX(DebtNames,HB84),IF(AND(HF84&lt;&gt;"",N(CHOOSE(HF84,FN84,FR84,FV84,FZ84,GD84,GH84,GL84,GP84))&gt;0.005),INDEX(DebtNames,HF84),IF(AND(HJ84&lt;&gt;"",N(CHOOSE(HJ84,FN84,FR84,FV84,FZ84,GD84,GH84,GL84,GP84))&gt;0.005),INDEX(DebtNames,HJ84),IF(AND(HN84&lt;&gt;"",N(CHOOSE(HN84,FN84,FR84,FV84,FZ84,GD84,GH84,GL84,GP84))&gt;0.005),INDEX(DebtNames,HN84),IF(AND(HR84&lt;&gt;"",N(CHOOSE(HR84,FN84,FR84,FV84,FZ84,GD84,GH84,GL84,GP84))&gt;0.005),INDEX(DebtNames,HR84),IF(AND(HV84&lt;&gt;"",N(CHOOSE(HV84,FN84,FR84,FV84,FZ84,GD84,GH84,GL84,GP84))&gt;0.005),INDEX(DebtNames,HV84),""))))))))</f>
        <v/>
      </c>
      <c r="FH84">
        <f>N(HY84)</f>
        <v/>
      </c>
      <c r="FI84">
        <f>N(FP84)+N(FT84)+N(FX84)+N(GB84)+N(GF84)+N(GJ84)+N(GN84)+N(GR84)</f>
        <v/>
      </c>
      <c r="FJ84">
        <f>N(FO84)+N(FS84)+N(FW84)+N(GA84)+N(GE84)+N(GI84)+N(GM84)+N(GQ84)</f>
        <v/>
      </c>
      <c r="FK84">
        <f>N(FK83)+N(FJ84)</f>
        <v/>
      </c>
      <c r="FL84">
        <f>N(FQ84)+N(FU84)+N(FY84)+N(GC84)+N(GG84)+N(GK84)+N(GO84)+N(GS84)</f>
        <v/>
      </c>
      <c r="FM84">
        <f>(FQ84&gt;0.005)*1+(FU84&gt;0.005)*1+(FY84&gt;0.005)*1+(GC84&gt;0.005)*1+(GG84&gt;0.005)*1+(GK84&gt;0.005)*1+(GO84&gt;0.005)*1+(GS84&gt;0.005)*1</f>
        <v/>
      </c>
      <c r="FN84">
        <f>N(FQ83)</f>
        <v/>
      </c>
      <c r="FO84">
        <f>IF(N(FN84)&lt;=0.005,0,ROUND(N(FN84)*N('Debt List'!E5)/12,2))</f>
        <v/>
      </c>
      <c r="FP84">
        <f>IF(N(FN84)&lt;=0.005,0,MIN(N('Debt List'!F5),N(FN84)+N(FO84)))+((GT84=1)*GV84+(GX84=1)*GZ84+(HB84=1)*HD84+(HF84=1)*HH84+(HJ84=1)*HL84+(HN84=1)*HP84+(HR84=1)*HT84+(HV84=1)*HX84)</f>
        <v/>
      </c>
      <c r="FQ84">
        <f>MAX(0,ROUND(N(FN84)+N(FO84)-N(FP84),2))</f>
        <v/>
      </c>
      <c r="FR84">
        <f>N(FU83)</f>
        <v/>
      </c>
      <c r="FS84">
        <f>IF(N(FR84)&lt;=0.005,0,ROUND(N(FR84)*N('Debt List'!E6)/12,2))</f>
        <v/>
      </c>
      <c r="FT84">
        <f>IF(N(FR84)&lt;=0.005,0,MIN(N('Debt List'!F6),N(FR84)+N(FS84)))+((GT84=2)*GV84+(GX84=2)*GZ84+(HB84=2)*HD84+(HF84=2)*HH84+(HJ84=2)*HL84+(HN84=2)*HP84+(HR84=2)*HT84+(HV84=2)*HX84)</f>
        <v/>
      </c>
      <c r="FU84">
        <f>MAX(0,ROUND(N(FR84)+N(FS84)-N(FT84),2))</f>
        <v/>
      </c>
      <c r="FV84">
        <f>N(FY83)</f>
        <v/>
      </c>
      <c r="FW84">
        <f>IF(N(FV84)&lt;=0.005,0,ROUND(N(FV84)*N('Debt List'!E7)/12,2))</f>
        <v/>
      </c>
      <c r="FX84">
        <f>IF(N(FV84)&lt;=0.005,0,MIN(N('Debt List'!F7),N(FV84)+N(FW84)))+((GT84=3)*GV84+(GX84=3)*GZ84+(HB84=3)*HD84+(HF84=3)*HH84+(HJ84=3)*HL84+(HN84=3)*HP84+(HR84=3)*HT84+(HV84=3)*HX84)</f>
        <v/>
      </c>
      <c r="FY84">
        <f>MAX(0,ROUND(N(FV84)+N(FW84)-N(FX84),2))</f>
        <v/>
      </c>
      <c r="FZ84">
        <f>N(GC83)</f>
        <v/>
      </c>
      <c r="GA84">
        <f>IF(N(FZ84)&lt;=0.005,0,ROUND(N(FZ84)*N('Debt List'!E8)/12,2))</f>
        <v/>
      </c>
      <c r="GB84">
        <f>IF(N(FZ84)&lt;=0.005,0,MIN(N('Debt List'!F8),N(FZ84)+N(GA84)))+((GT84=4)*GV84+(GX84=4)*GZ84+(HB84=4)*HD84+(HF84=4)*HH84+(HJ84=4)*HL84+(HN84=4)*HP84+(HR84=4)*HT84+(HV84=4)*HX84)</f>
        <v/>
      </c>
      <c r="GC84">
        <f>MAX(0,ROUND(N(FZ84)+N(GA84)-N(GB84),2))</f>
        <v/>
      </c>
      <c r="GD84">
        <f>N(GG83)</f>
        <v/>
      </c>
      <c r="GE84">
        <f>IF(N(GD84)&lt;=0.005,0,ROUND(N(GD84)*N('Debt List'!E9)/12,2))</f>
        <v/>
      </c>
      <c r="GF84">
        <f>IF(N(GD84)&lt;=0.005,0,MIN(N('Debt List'!F9),N(GD84)+N(GE84)))+((GT84=5)*GV84+(GX84=5)*GZ84+(HB84=5)*HD84+(HF84=5)*HH84+(HJ84=5)*HL84+(HN84=5)*HP84+(HR84=5)*HT84+(HV84=5)*HX84)</f>
        <v/>
      </c>
      <c r="GG84">
        <f>MAX(0,ROUND(N(GD84)+N(GE84)-N(GF84),2))</f>
        <v/>
      </c>
      <c r="GH84">
        <f>N(GK83)</f>
        <v/>
      </c>
      <c r="GI84">
        <f>IF(N(GH84)&lt;=0.005,0,ROUND(N(GH84)*N('Debt List'!E10)/12,2))</f>
        <v/>
      </c>
      <c r="GJ84">
        <f>IF(N(GH84)&lt;=0.005,0,MIN(N('Debt List'!F10),N(GH84)+N(GI84)))+((GT84=6)*GV84+(GX84=6)*GZ84+(HB84=6)*HD84+(HF84=6)*HH84+(HJ84=6)*HL84+(HN84=6)*HP84+(HR84=6)*HT84+(HV84=6)*HX84)</f>
        <v/>
      </c>
      <c r="GK84">
        <f>MAX(0,ROUND(N(GH84)+N(GI84)-N(GJ84),2))</f>
        <v/>
      </c>
      <c r="GL84">
        <f>N(GO83)</f>
        <v/>
      </c>
      <c r="GM84">
        <f>IF(N(GL84)&lt;=0.005,0,ROUND(N(GL84)*N('Debt List'!E11)/12,2))</f>
        <v/>
      </c>
      <c r="GN84">
        <f>IF(N(GL84)&lt;=0.005,0,MIN(N('Debt List'!F11),N(GL84)+N(GM84)))+((GT84=7)*GV84+(GX84=7)*GZ84+(HB84=7)*HD84+(HF84=7)*HH84+(HJ84=7)*HL84+(HN84=7)*HP84+(HR84=7)*HT84+(HV84=7)*HX84)</f>
        <v/>
      </c>
      <c r="GO84">
        <f>MAX(0,ROUND(N(GL84)+N(GM84)-N(GN84),2))</f>
        <v/>
      </c>
      <c r="GP84">
        <f>N(GS83)</f>
        <v/>
      </c>
      <c r="GQ84">
        <f>IF(N(GP84)&lt;=0.005,0,ROUND(N(GP84)*N('Debt List'!E12)/12,2))</f>
        <v/>
      </c>
      <c r="GR84">
        <f>IF(N(GP84)&lt;=0.005,0,MIN(N('Debt List'!F12),N(GP84)+N(GQ84)))+((GT84=8)*GV84+(GX84=8)*GZ84+(HB84=8)*HD84+(HF84=8)*HH84+(HJ84=8)*HL84+(HN84=8)*HP84+(HR84=8)*HT84+(HV84=8)*HX84)</f>
        <v/>
      </c>
      <c r="GS84">
        <f>MAX(0,ROUND(N(GP84)+N(GQ84)-N(GR84),2))</f>
        <v/>
      </c>
      <c r="GT84">
        <f>IFERROR(MATCH(1,OrderAval,0),"")</f>
        <v/>
      </c>
      <c r="GU84">
        <f>IF(GT84="",0,IFERROR(IF(N(CHOOSE(GT84,FN84,FR84,FV84,FZ84,GD84,GH84,GL84,GP84))&lt;=0.005,0,MAX(0,N(CHOOSE(GT84,FN84,FR84,FV84,FZ84,GD84,GH84,GL84,GP84))+N(CHOOSE(GT84,FO84,FS84,FW84,GA84,GE84,GI84,GM84,GQ84))-MIN(N(CHOOSE(GT84,'Debt List'!$F$5,'Debt List'!$F$6,'Debt List'!$F$7,'Debt List'!$F$8,'Debt List'!$F$9,'Debt List'!$F$10,'Debt List'!$F$11,'Debt List'!$F$12)),N(CHOOSE(GT84,FN84,FR84,FV84,FZ84,GD84,GH84,GL84,GP84))+N(CHOOSE(GT84,FO84,FS84,FW84,GA84,GE84,GI84,GM84,GQ84))))),0))</f>
        <v/>
      </c>
      <c r="GV84">
        <f>MIN(N(GU84),MAX(0,N(ExtraPayment)))</f>
        <v/>
      </c>
      <c r="GW84">
        <f>MAX(0,N(ExtraPayment)-N(GV84))</f>
        <v/>
      </c>
      <c r="GX84">
        <f>IFERROR(MATCH(2,OrderAval,0),"")</f>
        <v/>
      </c>
      <c r="GY84">
        <f>IF(GX84="",0,IFERROR(IF(N(CHOOSE(GX84,FN84,FR84,FV84,FZ84,GD84,GH84,GL84,GP84))&lt;=0.005,0,MAX(0,N(CHOOSE(GX84,FN84,FR84,FV84,FZ84,GD84,GH84,GL84,GP84))+N(CHOOSE(GX84,FO84,FS84,FW84,GA84,GE84,GI84,GM84,GQ84))-MIN(N(CHOOSE(GX84,'Debt List'!$F$5,'Debt List'!$F$6,'Debt List'!$F$7,'Debt List'!$F$8,'Debt List'!$F$9,'Debt List'!$F$10,'Debt List'!$F$11,'Debt List'!$F$12)),N(CHOOSE(GX84,FN84,FR84,FV84,FZ84,GD84,GH84,GL84,GP84))+N(CHOOSE(GX84,FO84,FS84,FW84,GA84,GE84,GI84,GM84,GQ84))))),0))</f>
        <v/>
      </c>
      <c r="GZ84">
        <f>MIN(N(GY84),MAX(0,N(GW84)))</f>
        <v/>
      </c>
      <c r="HA84">
        <f>MAX(0,N(GW84)-N(GZ84))</f>
        <v/>
      </c>
      <c r="HB84">
        <f>IFERROR(MATCH(3,OrderAval,0),"")</f>
        <v/>
      </c>
      <c r="HC84">
        <f>IF(HB84="",0,IFERROR(IF(N(CHOOSE(HB84,FN84,FR84,FV84,FZ84,GD84,GH84,GL84,GP84))&lt;=0.005,0,MAX(0,N(CHOOSE(HB84,FN84,FR84,FV84,FZ84,GD84,GH84,GL84,GP84))+N(CHOOSE(HB84,FO84,FS84,FW84,GA84,GE84,GI84,GM84,GQ84))-MIN(N(CHOOSE(HB84,'Debt List'!$F$5,'Debt List'!$F$6,'Debt List'!$F$7,'Debt List'!$F$8,'Debt List'!$F$9,'Debt List'!$F$10,'Debt List'!$F$11,'Debt List'!$F$12)),N(CHOOSE(HB84,FN84,FR84,FV84,FZ84,GD84,GH84,GL84,GP84))+N(CHOOSE(HB84,FO84,FS84,FW84,GA84,GE84,GI84,GM84,GQ84))))),0))</f>
        <v/>
      </c>
      <c r="HD84">
        <f>MIN(N(HC84),MAX(0,N(HA84)))</f>
        <v/>
      </c>
      <c r="HE84">
        <f>MAX(0,N(HA84)-N(HD84))</f>
        <v/>
      </c>
      <c r="HF84">
        <f>IFERROR(MATCH(4,OrderAval,0),"")</f>
        <v/>
      </c>
      <c r="HG84">
        <f>IF(HF84="",0,IFERROR(IF(N(CHOOSE(HF84,FN84,FR84,FV84,FZ84,GD84,GH84,GL84,GP84))&lt;=0.005,0,MAX(0,N(CHOOSE(HF84,FN84,FR84,FV84,FZ84,GD84,GH84,GL84,GP84))+N(CHOOSE(HF84,FO84,FS84,FW84,GA84,GE84,GI84,GM84,GQ84))-MIN(N(CHOOSE(HF84,'Debt List'!$F$5,'Debt List'!$F$6,'Debt List'!$F$7,'Debt List'!$F$8,'Debt List'!$F$9,'Debt List'!$F$10,'Debt List'!$F$11,'Debt List'!$F$12)),N(CHOOSE(HF84,FN84,FR84,FV84,FZ84,GD84,GH84,GL84,GP84))+N(CHOOSE(HF84,FO84,FS84,FW84,GA84,GE84,GI84,GM84,GQ84))))),0))</f>
        <v/>
      </c>
      <c r="HH84">
        <f>MIN(N(HG84),MAX(0,N(HE84)))</f>
        <v/>
      </c>
      <c r="HI84">
        <f>MAX(0,N(HE84)-N(HH84))</f>
        <v/>
      </c>
      <c r="HJ84">
        <f>IFERROR(MATCH(5,OrderAval,0),"")</f>
        <v/>
      </c>
      <c r="HK84">
        <f>IF(HJ84="",0,IFERROR(IF(N(CHOOSE(HJ84,FN84,FR84,FV84,FZ84,GD84,GH84,GL84,GP84))&lt;=0.005,0,MAX(0,N(CHOOSE(HJ84,FN84,FR84,FV84,FZ84,GD84,GH84,GL84,GP84))+N(CHOOSE(HJ84,FO84,FS84,FW84,GA84,GE84,GI84,GM84,GQ84))-MIN(N(CHOOSE(HJ84,'Debt List'!$F$5,'Debt List'!$F$6,'Debt List'!$F$7,'Debt List'!$F$8,'Debt List'!$F$9,'Debt List'!$F$10,'Debt List'!$F$11,'Debt List'!$F$12)),N(CHOOSE(HJ84,FN84,FR84,FV84,FZ84,GD84,GH84,GL84,GP84))+N(CHOOSE(HJ84,FO84,FS84,FW84,GA84,GE84,GI84,GM84,GQ84))))),0))</f>
        <v/>
      </c>
      <c r="HL84">
        <f>MIN(N(HK84),MAX(0,N(HI84)))</f>
        <v/>
      </c>
      <c r="HM84">
        <f>MAX(0,N(HI84)-N(HL84))</f>
        <v/>
      </c>
      <c r="HN84">
        <f>IFERROR(MATCH(6,OrderAval,0),"")</f>
        <v/>
      </c>
      <c r="HO84">
        <f>IF(HN84="",0,IFERROR(IF(N(CHOOSE(HN84,FN84,FR84,FV84,FZ84,GD84,GH84,GL84,GP84))&lt;=0.005,0,MAX(0,N(CHOOSE(HN84,FN84,FR84,FV84,FZ84,GD84,GH84,GL84,GP84))+N(CHOOSE(HN84,FO84,FS84,FW84,GA84,GE84,GI84,GM84,GQ84))-MIN(N(CHOOSE(HN84,'Debt List'!$F$5,'Debt List'!$F$6,'Debt List'!$F$7,'Debt List'!$F$8,'Debt List'!$F$9,'Debt List'!$F$10,'Debt List'!$F$11,'Debt List'!$F$12)),N(CHOOSE(HN84,FN84,FR84,FV84,FZ84,GD84,GH84,GL84,GP84))+N(CHOOSE(HN84,FO84,FS84,FW84,GA84,GE84,GI84,GM84,GQ84))))),0))</f>
        <v/>
      </c>
      <c r="HP84">
        <f>MIN(N(HO84),MAX(0,N(HM84)))</f>
        <v/>
      </c>
      <c r="HQ84">
        <f>MAX(0,N(HM84)-N(HP84))</f>
        <v/>
      </c>
      <c r="HR84">
        <f>IFERROR(MATCH(7,OrderAval,0),"")</f>
        <v/>
      </c>
      <c r="HS84">
        <f>IF(HR84="",0,IFERROR(IF(N(CHOOSE(HR84,FN84,FR84,FV84,FZ84,GD84,GH84,GL84,GP84))&lt;=0.005,0,MAX(0,N(CHOOSE(HR84,FN84,FR84,FV84,FZ84,GD84,GH84,GL84,GP84))+N(CHOOSE(HR84,FO84,FS84,FW84,GA84,GE84,GI84,GM84,GQ84))-MIN(N(CHOOSE(HR84,'Debt List'!$F$5,'Debt List'!$F$6,'Debt List'!$F$7,'Debt List'!$F$8,'Debt List'!$F$9,'Debt List'!$F$10,'Debt List'!$F$11,'Debt List'!$F$12)),N(CHOOSE(HR84,FN84,FR84,FV84,FZ84,GD84,GH84,GL84,GP84))+N(CHOOSE(HR84,FO84,FS84,FW84,GA84,GE84,GI84,GM84,GQ84))))),0))</f>
        <v/>
      </c>
      <c r="HT84">
        <f>MIN(N(HS84),MAX(0,N(HQ84)))</f>
        <v/>
      </c>
      <c r="HU84">
        <f>MAX(0,N(HQ84)-N(HT84))</f>
        <v/>
      </c>
      <c r="HV84">
        <f>IFERROR(MATCH(8,OrderAval,0),"")</f>
        <v/>
      </c>
      <c r="HW84">
        <f>IF(HV84="",0,IFERROR(IF(N(CHOOSE(HV84,FN84,FR84,FV84,FZ84,GD84,GH84,GL84,GP84))&lt;=0.005,0,MAX(0,N(CHOOSE(HV84,FN84,FR84,FV84,FZ84,GD84,GH84,GL84,GP84))+N(CHOOSE(HV84,FO84,FS84,FW84,GA84,GE84,GI84,GM84,GQ84))-MIN(N(CHOOSE(HV84,'Debt List'!$F$5,'Debt List'!$F$6,'Debt List'!$F$7,'Debt List'!$F$8,'Debt List'!$F$9,'Debt List'!$F$10,'Debt List'!$F$11,'Debt List'!$F$12)),N(CHOOSE(HV84,FN84,FR84,FV84,FZ84,GD84,GH84,GL84,GP84))+N(CHOOSE(HV84,FO84,FS84,FW84,GA84,GE84,GI84,GM84,GQ84))))),0))</f>
        <v/>
      </c>
      <c r="HX84">
        <f>MIN(N(HW84),MAX(0,N(HU84)))</f>
        <v/>
      </c>
      <c r="HY84">
        <f>MAX(0,N(HU84)-N(HX84))</f>
        <v/>
      </c>
    </row>
    <row r="85">
      <c r="A85" t="n">
        <v>81</v>
      </c>
      <c r="B85" s="115">
        <f>DATE(YEAR(PlanStart),MONTH(PlanStart)+A85-1,1)</f>
        <v/>
      </c>
      <c r="C85">
        <f>IF(AND(AP85&lt;&gt;"",N(CHOOSE(AP85,J85,N85,R85,V85,Z85,AD85,AH85,AL85))&gt;0.005),INDEX(DebtNames,AP85),IF(AND(AT85&lt;&gt;"",N(CHOOSE(AT85,J85,N85,R85,V85,Z85,AD85,AH85,AL85))&gt;0.005),INDEX(DebtNames,AT85),IF(AND(AX85&lt;&gt;"",N(CHOOSE(AX85,J85,N85,R85,V85,Z85,AD85,AH85,AL85))&gt;0.005),INDEX(DebtNames,AX85),IF(AND(BB85&lt;&gt;"",N(CHOOSE(BB85,J85,N85,R85,V85,Z85,AD85,AH85,AL85))&gt;0.005),INDEX(DebtNames,BB85),IF(AND(BF85&lt;&gt;"",N(CHOOSE(BF85,J85,N85,R85,V85,Z85,AD85,AH85,AL85))&gt;0.005),INDEX(DebtNames,BF85),IF(AND(BJ85&lt;&gt;"",N(CHOOSE(BJ85,J85,N85,R85,V85,Z85,AD85,AH85,AL85))&gt;0.005),INDEX(DebtNames,BJ85),IF(AND(BN85&lt;&gt;"",N(CHOOSE(BN85,J85,N85,R85,V85,Z85,AD85,AH85,AL85))&gt;0.005),INDEX(DebtNames,BN85),IF(AND(BR85&lt;&gt;"",N(CHOOSE(BR85,J85,N85,R85,V85,Z85,AD85,AH85,AL85))&gt;0.005),INDEX(DebtNames,BR85),""))))))))</f>
        <v/>
      </c>
      <c r="D85">
        <f>N(BU85)</f>
        <v/>
      </c>
      <c r="E85">
        <f>N(L85)+N(P85)+N(T85)+N(X85)+N(AB85)+N(AF85)+N(AJ85)+N(AN85)</f>
        <v/>
      </c>
      <c r="F85">
        <f>N(K85)+N(O85)+N(S85)+N(W85)+N(AA85)+N(AE85)+N(AI85)+N(AM85)</f>
        <v/>
      </c>
      <c r="G85">
        <f>N(G84)+N(F85)</f>
        <v/>
      </c>
      <c r="H85">
        <f>N(M85)+N(Q85)+N(U85)+N(Y85)+N(AC85)+N(AG85)+N(AK85)+N(AO85)</f>
        <v/>
      </c>
      <c r="I85">
        <f>(M85&gt;0.005)*1+(Q85&gt;0.005)*1+(U85&gt;0.005)*1+(Y85&gt;0.005)*1+(AC85&gt;0.005)*1+(AG85&gt;0.005)*1+(AK85&gt;0.005)*1+(AO85&gt;0.005)*1</f>
        <v/>
      </c>
      <c r="J85">
        <f>N(M84)</f>
        <v/>
      </c>
      <c r="K85">
        <f>IF(N(J85)&lt;=0.005,0,ROUND(N(J85)*N('Debt List'!E5)/12,2))</f>
        <v/>
      </c>
      <c r="L85">
        <f>IF(N(J85)&lt;=0.005,0,MIN(N('Debt List'!F5),N(J85)+N(K85)))+((AP85=1)*AR85+(AT85=1)*AV85+(AX85=1)*AZ85+(BB85=1)*BD85+(BF85=1)*BH85+(BJ85=1)*BL85+(BN85=1)*BP85+(BR85=1)*BT85)</f>
        <v/>
      </c>
      <c r="M85">
        <f>MAX(0,ROUND(N(J85)+N(K85)-N(L85),2))</f>
        <v/>
      </c>
      <c r="N85">
        <f>N(Q84)</f>
        <v/>
      </c>
      <c r="O85">
        <f>IF(N(N85)&lt;=0.005,0,ROUND(N(N85)*N('Debt List'!E6)/12,2))</f>
        <v/>
      </c>
      <c r="P85">
        <f>IF(N(N85)&lt;=0.005,0,MIN(N('Debt List'!F6),N(N85)+N(O85)))+((AP85=2)*AR85+(AT85=2)*AV85+(AX85=2)*AZ85+(BB85=2)*BD85+(BF85=2)*BH85+(BJ85=2)*BL85+(BN85=2)*BP85+(BR85=2)*BT85)</f>
        <v/>
      </c>
      <c r="Q85">
        <f>MAX(0,ROUND(N(N85)+N(O85)-N(P85),2))</f>
        <v/>
      </c>
      <c r="R85">
        <f>N(U84)</f>
        <v/>
      </c>
      <c r="S85">
        <f>IF(N(R85)&lt;=0.005,0,ROUND(N(R85)*N('Debt List'!E7)/12,2))</f>
        <v/>
      </c>
      <c r="T85">
        <f>IF(N(R85)&lt;=0.005,0,MIN(N('Debt List'!F7),N(R85)+N(S85)))+((AP85=3)*AR85+(AT85=3)*AV85+(AX85=3)*AZ85+(BB85=3)*BD85+(BF85=3)*BH85+(BJ85=3)*BL85+(BN85=3)*BP85+(BR85=3)*BT85)</f>
        <v/>
      </c>
      <c r="U85">
        <f>MAX(0,ROUND(N(R85)+N(S85)-N(T85),2))</f>
        <v/>
      </c>
      <c r="V85">
        <f>N(Y84)</f>
        <v/>
      </c>
      <c r="W85">
        <f>IF(N(V85)&lt;=0.005,0,ROUND(N(V85)*N('Debt List'!E8)/12,2))</f>
        <v/>
      </c>
      <c r="X85">
        <f>IF(N(V85)&lt;=0.005,0,MIN(N('Debt List'!F8),N(V85)+N(W85)))+((AP85=4)*AR85+(AT85=4)*AV85+(AX85=4)*AZ85+(BB85=4)*BD85+(BF85=4)*BH85+(BJ85=4)*BL85+(BN85=4)*BP85+(BR85=4)*BT85)</f>
        <v/>
      </c>
      <c r="Y85">
        <f>MAX(0,ROUND(N(V85)+N(W85)-N(X85),2))</f>
        <v/>
      </c>
      <c r="Z85">
        <f>N(AC84)</f>
        <v/>
      </c>
      <c r="AA85">
        <f>IF(N(Z85)&lt;=0.005,0,ROUND(N(Z85)*N('Debt List'!E9)/12,2))</f>
        <v/>
      </c>
      <c r="AB85">
        <f>IF(N(Z85)&lt;=0.005,0,MIN(N('Debt List'!F9),N(Z85)+N(AA85)))+((AP85=5)*AR85+(AT85=5)*AV85+(AX85=5)*AZ85+(BB85=5)*BD85+(BF85=5)*BH85+(BJ85=5)*BL85+(BN85=5)*BP85+(BR85=5)*BT85)</f>
        <v/>
      </c>
      <c r="AC85">
        <f>MAX(0,ROUND(N(Z85)+N(AA85)-N(AB85),2))</f>
        <v/>
      </c>
      <c r="AD85">
        <f>N(AG84)</f>
        <v/>
      </c>
      <c r="AE85">
        <f>IF(N(AD85)&lt;=0.005,0,ROUND(N(AD85)*N('Debt List'!E10)/12,2))</f>
        <v/>
      </c>
      <c r="AF85">
        <f>IF(N(AD85)&lt;=0.005,0,MIN(N('Debt List'!F10),N(AD85)+N(AE85)))+((AP85=6)*AR85+(AT85=6)*AV85+(AX85=6)*AZ85+(BB85=6)*BD85+(BF85=6)*BH85+(BJ85=6)*BL85+(BN85=6)*BP85+(BR85=6)*BT85)</f>
        <v/>
      </c>
      <c r="AG85">
        <f>MAX(0,ROUND(N(AD85)+N(AE85)-N(AF85),2))</f>
        <v/>
      </c>
      <c r="AH85">
        <f>N(AK84)</f>
        <v/>
      </c>
      <c r="AI85">
        <f>IF(N(AH85)&lt;=0.005,0,ROUND(N(AH85)*N('Debt List'!E11)/12,2))</f>
        <v/>
      </c>
      <c r="AJ85">
        <f>IF(N(AH85)&lt;=0.005,0,MIN(N('Debt List'!F11),N(AH85)+N(AI85)))+((AP85=7)*AR85+(AT85=7)*AV85+(AX85=7)*AZ85+(BB85=7)*BD85+(BF85=7)*BH85+(BJ85=7)*BL85+(BN85=7)*BP85+(BR85=7)*BT85)</f>
        <v/>
      </c>
      <c r="AK85">
        <f>MAX(0,ROUND(N(AH85)+N(AI85)-N(AJ85),2))</f>
        <v/>
      </c>
      <c r="AL85">
        <f>N(AO84)</f>
        <v/>
      </c>
      <c r="AM85">
        <f>IF(N(AL85)&lt;=0.005,0,ROUND(N(AL85)*N('Debt List'!E12)/12,2))</f>
        <v/>
      </c>
      <c r="AN85">
        <f>IF(N(AL85)&lt;=0.005,0,MIN(N('Debt List'!F12),N(AL85)+N(AM85)))+((AP85=8)*AR85+(AT85=8)*AV85+(AX85=8)*AZ85+(BB85=8)*BD85+(BF85=8)*BH85+(BJ85=8)*BL85+(BN85=8)*BP85+(BR85=8)*BT85)</f>
        <v/>
      </c>
      <c r="AO85">
        <f>MAX(0,ROUND(N(AL85)+N(AM85)-N(AN85),2))</f>
        <v/>
      </c>
      <c r="AP85">
        <f>IFERROR(MATCH(1,OrderPlan,0),"")</f>
        <v/>
      </c>
      <c r="AQ85">
        <f>IF(AP85="",0,IFERROR(IF(N(CHOOSE(AP85,J85,N85,R85,V85,Z85,AD85,AH85,AL85))&lt;=0.005,0,MAX(0,N(CHOOSE(AP85,J85,N85,R85,V85,Z85,AD85,AH85,AL85))+N(CHOOSE(AP85,K85,O85,S85,W85,AA85,AE85,AI85,AM85))-MIN(N(CHOOSE(AP85,'Debt List'!$F$5,'Debt List'!$F$6,'Debt List'!$F$7,'Debt List'!$F$8,'Debt List'!$F$9,'Debt List'!$F$10,'Debt List'!$F$11,'Debt List'!$F$12)),N(CHOOSE(AP85,J85,N85,R85,V85,Z85,AD85,AH85,AL85))+N(CHOOSE(AP85,K85,O85,S85,W85,AA85,AE85,AI85,AM85))))),0))</f>
        <v/>
      </c>
      <c r="AR85">
        <f>MIN(N(AQ85),MAX(0,N(ExtraPayment)))</f>
        <v/>
      </c>
      <c r="AS85">
        <f>MAX(0,N(ExtraPayment)-N(AR85))</f>
        <v/>
      </c>
      <c r="AT85">
        <f>IFERROR(MATCH(2,OrderPlan,0),"")</f>
        <v/>
      </c>
      <c r="AU85">
        <f>IF(AT85="",0,IFERROR(IF(N(CHOOSE(AT85,J85,N85,R85,V85,Z85,AD85,AH85,AL85))&lt;=0.005,0,MAX(0,N(CHOOSE(AT85,J85,N85,R85,V85,Z85,AD85,AH85,AL85))+N(CHOOSE(AT85,K85,O85,S85,W85,AA85,AE85,AI85,AM85))-MIN(N(CHOOSE(AT85,'Debt List'!$F$5,'Debt List'!$F$6,'Debt List'!$F$7,'Debt List'!$F$8,'Debt List'!$F$9,'Debt List'!$F$10,'Debt List'!$F$11,'Debt List'!$F$12)),N(CHOOSE(AT85,J85,N85,R85,V85,Z85,AD85,AH85,AL85))+N(CHOOSE(AT85,K85,O85,S85,W85,AA85,AE85,AI85,AM85))))),0))</f>
        <v/>
      </c>
      <c r="AV85">
        <f>MIN(N(AU85),MAX(0,N(AS85)))</f>
        <v/>
      </c>
      <c r="AW85">
        <f>MAX(0,N(AS85)-N(AV85))</f>
        <v/>
      </c>
      <c r="AX85">
        <f>IFERROR(MATCH(3,OrderPlan,0),"")</f>
        <v/>
      </c>
      <c r="AY85">
        <f>IF(AX85="",0,IFERROR(IF(N(CHOOSE(AX85,J85,N85,R85,V85,Z85,AD85,AH85,AL85))&lt;=0.005,0,MAX(0,N(CHOOSE(AX85,J85,N85,R85,V85,Z85,AD85,AH85,AL85))+N(CHOOSE(AX85,K85,O85,S85,W85,AA85,AE85,AI85,AM85))-MIN(N(CHOOSE(AX85,'Debt List'!$F$5,'Debt List'!$F$6,'Debt List'!$F$7,'Debt List'!$F$8,'Debt List'!$F$9,'Debt List'!$F$10,'Debt List'!$F$11,'Debt List'!$F$12)),N(CHOOSE(AX85,J85,N85,R85,V85,Z85,AD85,AH85,AL85))+N(CHOOSE(AX85,K85,O85,S85,W85,AA85,AE85,AI85,AM85))))),0))</f>
        <v/>
      </c>
      <c r="AZ85">
        <f>MIN(N(AY85),MAX(0,N(AW85)))</f>
        <v/>
      </c>
      <c r="BA85">
        <f>MAX(0,N(AW85)-N(AZ85))</f>
        <v/>
      </c>
      <c r="BB85">
        <f>IFERROR(MATCH(4,OrderPlan,0),"")</f>
        <v/>
      </c>
      <c r="BC85">
        <f>IF(BB85="",0,IFERROR(IF(N(CHOOSE(BB85,J85,N85,R85,V85,Z85,AD85,AH85,AL85))&lt;=0.005,0,MAX(0,N(CHOOSE(BB85,J85,N85,R85,V85,Z85,AD85,AH85,AL85))+N(CHOOSE(BB85,K85,O85,S85,W85,AA85,AE85,AI85,AM85))-MIN(N(CHOOSE(BB85,'Debt List'!$F$5,'Debt List'!$F$6,'Debt List'!$F$7,'Debt List'!$F$8,'Debt List'!$F$9,'Debt List'!$F$10,'Debt List'!$F$11,'Debt List'!$F$12)),N(CHOOSE(BB85,J85,N85,R85,V85,Z85,AD85,AH85,AL85))+N(CHOOSE(BB85,K85,O85,S85,W85,AA85,AE85,AI85,AM85))))),0))</f>
        <v/>
      </c>
      <c r="BD85">
        <f>MIN(N(BC85),MAX(0,N(BA85)))</f>
        <v/>
      </c>
      <c r="BE85">
        <f>MAX(0,N(BA85)-N(BD85))</f>
        <v/>
      </c>
      <c r="BF85">
        <f>IFERROR(MATCH(5,OrderPlan,0),"")</f>
        <v/>
      </c>
      <c r="BG85">
        <f>IF(BF85="",0,IFERROR(IF(N(CHOOSE(BF85,J85,N85,R85,V85,Z85,AD85,AH85,AL85))&lt;=0.005,0,MAX(0,N(CHOOSE(BF85,J85,N85,R85,V85,Z85,AD85,AH85,AL85))+N(CHOOSE(BF85,K85,O85,S85,W85,AA85,AE85,AI85,AM85))-MIN(N(CHOOSE(BF85,'Debt List'!$F$5,'Debt List'!$F$6,'Debt List'!$F$7,'Debt List'!$F$8,'Debt List'!$F$9,'Debt List'!$F$10,'Debt List'!$F$11,'Debt List'!$F$12)),N(CHOOSE(BF85,J85,N85,R85,V85,Z85,AD85,AH85,AL85))+N(CHOOSE(BF85,K85,O85,S85,W85,AA85,AE85,AI85,AM85))))),0))</f>
        <v/>
      </c>
      <c r="BH85">
        <f>MIN(N(BG85),MAX(0,N(BE85)))</f>
        <v/>
      </c>
      <c r="BI85">
        <f>MAX(0,N(BE85)-N(BH85))</f>
        <v/>
      </c>
      <c r="BJ85">
        <f>IFERROR(MATCH(6,OrderPlan,0),"")</f>
        <v/>
      </c>
      <c r="BK85">
        <f>IF(BJ85="",0,IFERROR(IF(N(CHOOSE(BJ85,J85,N85,R85,V85,Z85,AD85,AH85,AL85))&lt;=0.005,0,MAX(0,N(CHOOSE(BJ85,J85,N85,R85,V85,Z85,AD85,AH85,AL85))+N(CHOOSE(BJ85,K85,O85,S85,W85,AA85,AE85,AI85,AM85))-MIN(N(CHOOSE(BJ85,'Debt List'!$F$5,'Debt List'!$F$6,'Debt List'!$F$7,'Debt List'!$F$8,'Debt List'!$F$9,'Debt List'!$F$10,'Debt List'!$F$11,'Debt List'!$F$12)),N(CHOOSE(BJ85,J85,N85,R85,V85,Z85,AD85,AH85,AL85))+N(CHOOSE(BJ85,K85,O85,S85,W85,AA85,AE85,AI85,AM85))))),0))</f>
        <v/>
      </c>
      <c r="BL85">
        <f>MIN(N(BK85),MAX(0,N(BI85)))</f>
        <v/>
      </c>
      <c r="BM85">
        <f>MAX(0,N(BI85)-N(BL85))</f>
        <v/>
      </c>
      <c r="BN85">
        <f>IFERROR(MATCH(7,OrderPlan,0),"")</f>
        <v/>
      </c>
      <c r="BO85">
        <f>IF(BN85="",0,IFERROR(IF(N(CHOOSE(BN85,J85,N85,R85,V85,Z85,AD85,AH85,AL85))&lt;=0.005,0,MAX(0,N(CHOOSE(BN85,J85,N85,R85,V85,Z85,AD85,AH85,AL85))+N(CHOOSE(BN85,K85,O85,S85,W85,AA85,AE85,AI85,AM85))-MIN(N(CHOOSE(BN85,'Debt List'!$F$5,'Debt List'!$F$6,'Debt List'!$F$7,'Debt List'!$F$8,'Debt List'!$F$9,'Debt List'!$F$10,'Debt List'!$F$11,'Debt List'!$F$12)),N(CHOOSE(BN85,J85,N85,R85,V85,Z85,AD85,AH85,AL85))+N(CHOOSE(BN85,K85,O85,S85,W85,AA85,AE85,AI85,AM85))))),0))</f>
        <v/>
      </c>
      <c r="BP85">
        <f>MIN(N(BO85),MAX(0,N(BM85)))</f>
        <v/>
      </c>
      <c r="BQ85">
        <f>MAX(0,N(BM85)-N(BP85))</f>
        <v/>
      </c>
      <c r="BR85">
        <f>IFERROR(MATCH(8,OrderPlan,0),"")</f>
        <v/>
      </c>
      <c r="BS85">
        <f>IF(BR85="",0,IFERROR(IF(N(CHOOSE(BR85,J85,N85,R85,V85,Z85,AD85,AH85,AL85))&lt;=0.005,0,MAX(0,N(CHOOSE(BR85,J85,N85,R85,V85,Z85,AD85,AH85,AL85))+N(CHOOSE(BR85,K85,O85,S85,W85,AA85,AE85,AI85,AM85))-MIN(N(CHOOSE(BR85,'Debt List'!$F$5,'Debt List'!$F$6,'Debt List'!$F$7,'Debt List'!$F$8,'Debt List'!$F$9,'Debt List'!$F$10,'Debt List'!$F$11,'Debt List'!$F$12)),N(CHOOSE(BR85,J85,N85,R85,V85,Z85,AD85,AH85,AL85))+N(CHOOSE(BR85,K85,O85,S85,W85,AA85,AE85,AI85,AM85))))),0))</f>
        <v/>
      </c>
      <c r="BT85">
        <f>MIN(N(BS85),MAX(0,N(BQ85)))</f>
        <v/>
      </c>
      <c r="BU85">
        <f>MAX(0,N(BQ85)-N(BT85))</f>
        <v/>
      </c>
      <c r="CC85" t="n">
        <v>81</v>
      </c>
      <c r="CD85" s="115">
        <f>DATE(YEAR(PlanStart),MONTH(PlanStart)+CC85-1,1)</f>
        <v/>
      </c>
      <c r="CE85">
        <f>IF(AND(DR85&lt;&gt;"",N(CHOOSE(DR85,CL85,CP85,CT85,CX85,DB85,DF85,DJ85,DN85))&gt;0.005),INDEX(DebtNames,DR85),IF(AND(DV85&lt;&gt;"",N(CHOOSE(DV85,CL85,CP85,CT85,CX85,DB85,DF85,DJ85,DN85))&gt;0.005),INDEX(DebtNames,DV85),IF(AND(DZ85&lt;&gt;"",N(CHOOSE(DZ85,CL85,CP85,CT85,CX85,DB85,DF85,DJ85,DN85))&gt;0.005),INDEX(DebtNames,DZ85),IF(AND(ED85&lt;&gt;"",N(CHOOSE(ED85,CL85,CP85,CT85,CX85,DB85,DF85,DJ85,DN85))&gt;0.005),INDEX(DebtNames,ED85),IF(AND(EH85&lt;&gt;"",N(CHOOSE(EH85,CL85,CP85,CT85,CX85,DB85,DF85,DJ85,DN85))&gt;0.005),INDEX(DebtNames,EH85),IF(AND(EL85&lt;&gt;"",N(CHOOSE(EL85,CL85,CP85,CT85,CX85,DB85,DF85,DJ85,DN85))&gt;0.005),INDEX(DebtNames,EL85),IF(AND(EP85&lt;&gt;"",N(CHOOSE(EP85,CL85,CP85,CT85,CX85,DB85,DF85,DJ85,DN85))&gt;0.005),INDEX(DebtNames,EP85),IF(AND(ET85&lt;&gt;"",N(CHOOSE(ET85,CL85,CP85,CT85,CX85,DB85,DF85,DJ85,DN85))&gt;0.005),INDEX(DebtNames,ET85),""))))))))</f>
        <v/>
      </c>
      <c r="CF85">
        <f>N(EW85)</f>
        <v/>
      </c>
      <c r="CG85">
        <f>N(CN85)+N(CR85)+N(CV85)+N(CZ85)+N(DD85)+N(DH85)+N(DL85)+N(DP85)</f>
        <v/>
      </c>
      <c r="CH85">
        <f>N(CM85)+N(CQ85)+N(CU85)+N(CY85)+N(DC85)+N(DG85)+N(DK85)+N(DO85)</f>
        <v/>
      </c>
      <c r="CI85">
        <f>N(CI84)+N(CH85)</f>
        <v/>
      </c>
      <c r="CJ85">
        <f>N(CO85)+N(CS85)+N(CW85)+N(DA85)+N(DE85)+N(DI85)+N(DM85)+N(DQ85)</f>
        <v/>
      </c>
      <c r="CK85">
        <f>(CO85&gt;0.005)*1+(CS85&gt;0.005)*1+(CW85&gt;0.005)*1+(DA85&gt;0.005)*1+(DE85&gt;0.005)*1+(DI85&gt;0.005)*1+(DM85&gt;0.005)*1+(DQ85&gt;0.005)*1</f>
        <v/>
      </c>
      <c r="CL85">
        <f>N(CO84)</f>
        <v/>
      </c>
      <c r="CM85">
        <f>IF(N(CL85)&lt;=0.005,0,ROUND(N(CL85)*N('Debt List'!E5)/12,2))</f>
        <v/>
      </c>
      <c r="CN85">
        <f>IF(N(CL85)&lt;=0.005,0,MIN(N('Debt List'!F5),N(CL85)+N(CM85)))+((DR85=1)*DT85+(DV85=1)*DX85+(DZ85=1)*EB85+(ED85=1)*EF85+(EH85=1)*EJ85+(EL85=1)*EN85+(EP85=1)*ER85+(ET85=1)*EV85)</f>
        <v/>
      </c>
      <c r="CO85">
        <f>MAX(0,ROUND(N(CL85)+N(CM85)-N(CN85),2))</f>
        <v/>
      </c>
      <c r="CP85">
        <f>N(CS84)</f>
        <v/>
      </c>
      <c r="CQ85">
        <f>IF(N(CP85)&lt;=0.005,0,ROUND(N(CP85)*N('Debt List'!E6)/12,2))</f>
        <v/>
      </c>
      <c r="CR85">
        <f>IF(N(CP85)&lt;=0.005,0,MIN(N('Debt List'!F6),N(CP85)+N(CQ85)))+((DR85=2)*DT85+(DV85=2)*DX85+(DZ85=2)*EB85+(ED85=2)*EF85+(EH85=2)*EJ85+(EL85=2)*EN85+(EP85=2)*ER85+(ET85=2)*EV85)</f>
        <v/>
      </c>
      <c r="CS85">
        <f>MAX(0,ROUND(N(CP85)+N(CQ85)-N(CR85),2))</f>
        <v/>
      </c>
      <c r="CT85">
        <f>N(CW84)</f>
        <v/>
      </c>
      <c r="CU85">
        <f>IF(N(CT85)&lt;=0.005,0,ROUND(N(CT85)*N('Debt List'!E7)/12,2))</f>
        <v/>
      </c>
      <c r="CV85">
        <f>IF(N(CT85)&lt;=0.005,0,MIN(N('Debt List'!F7),N(CT85)+N(CU85)))+((DR85=3)*DT85+(DV85=3)*DX85+(DZ85=3)*EB85+(ED85=3)*EF85+(EH85=3)*EJ85+(EL85=3)*EN85+(EP85=3)*ER85+(ET85=3)*EV85)</f>
        <v/>
      </c>
      <c r="CW85">
        <f>MAX(0,ROUND(N(CT85)+N(CU85)-N(CV85),2))</f>
        <v/>
      </c>
      <c r="CX85">
        <f>N(DA84)</f>
        <v/>
      </c>
      <c r="CY85">
        <f>IF(N(CX85)&lt;=0.005,0,ROUND(N(CX85)*N('Debt List'!E8)/12,2))</f>
        <v/>
      </c>
      <c r="CZ85">
        <f>IF(N(CX85)&lt;=0.005,0,MIN(N('Debt List'!F8),N(CX85)+N(CY85)))+((DR85=4)*DT85+(DV85=4)*DX85+(DZ85=4)*EB85+(ED85=4)*EF85+(EH85=4)*EJ85+(EL85=4)*EN85+(EP85=4)*ER85+(ET85=4)*EV85)</f>
        <v/>
      </c>
      <c r="DA85">
        <f>MAX(0,ROUND(N(CX85)+N(CY85)-N(CZ85),2))</f>
        <v/>
      </c>
      <c r="DB85">
        <f>N(DE84)</f>
        <v/>
      </c>
      <c r="DC85">
        <f>IF(N(DB85)&lt;=0.005,0,ROUND(N(DB85)*N('Debt List'!E9)/12,2))</f>
        <v/>
      </c>
      <c r="DD85">
        <f>IF(N(DB85)&lt;=0.005,0,MIN(N('Debt List'!F9),N(DB85)+N(DC85)))+((DR85=5)*DT85+(DV85=5)*DX85+(DZ85=5)*EB85+(ED85=5)*EF85+(EH85=5)*EJ85+(EL85=5)*EN85+(EP85=5)*ER85+(ET85=5)*EV85)</f>
        <v/>
      </c>
      <c r="DE85">
        <f>MAX(0,ROUND(N(DB85)+N(DC85)-N(DD85),2))</f>
        <v/>
      </c>
      <c r="DF85">
        <f>N(DI84)</f>
        <v/>
      </c>
      <c r="DG85">
        <f>IF(N(DF85)&lt;=0.005,0,ROUND(N(DF85)*N('Debt List'!E10)/12,2))</f>
        <v/>
      </c>
      <c r="DH85">
        <f>IF(N(DF85)&lt;=0.005,0,MIN(N('Debt List'!F10),N(DF85)+N(DG85)))+((DR85=6)*DT85+(DV85=6)*DX85+(DZ85=6)*EB85+(ED85=6)*EF85+(EH85=6)*EJ85+(EL85=6)*EN85+(EP85=6)*ER85+(ET85=6)*EV85)</f>
        <v/>
      </c>
      <c r="DI85">
        <f>MAX(0,ROUND(N(DF85)+N(DG85)-N(DH85),2))</f>
        <v/>
      </c>
      <c r="DJ85">
        <f>N(DM84)</f>
        <v/>
      </c>
      <c r="DK85">
        <f>IF(N(DJ85)&lt;=0.005,0,ROUND(N(DJ85)*N('Debt List'!E11)/12,2))</f>
        <v/>
      </c>
      <c r="DL85">
        <f>IF(N(DJ85)&lt;=0.005,0,MIN(N('Debt List'!F11),N(DJ85)+N(DK85)))+((DR85=7)*DT85+(DV85=7)*DX85+(DZ85=7)*EB85+(ED85=7)*EF85+(EH85=7)*EJ85+(EL85=7)*EN85+(EP85=7)*ER85+(ET85=7)*EV85)</f>
        <v/>
      </c>
      <c r="DM85">
        <f>MAX(0,ROUND(N(DJ85)+N(DK85)-N(DL85),2))</f>
        <v/>
      </c>
      <c r="DN85">
        <f>N(DQ84)</f>
        <v/>
      </c>
      <c r="DO85">
        <f>IF(N(DN85)&lt;=0.005,0,ROUND(N(DN85)*N('Debt List'!E12)/12,2))</f>
        <v/>
      </c>
      <c r="DP85">
        <f>IF(N(DN85)&lt;=0.005,0,MIN(N('Debt List'!F12),N(DN85)+N(DO85)))+((DR85=8)*DT85+(DV85=8)*DX85+(DZ85=8)*EB85+(ED85=8)*EF85+(EH85=8)*EJ85+(EL85=8)*EN85+(EP85=8)*ER85+(ET85=8)*EV85)</f>
        <v/>
      </c>
      <c r="DQ85">
        <f>MAX(0,ROUND(N(DN85)+N(DO85)-N(DP85),2))</f>
        <v/>
      </c>
      <c r="DR85">
        <f>IFERROR(MATCH(1,OrderSnow,0),"")</f>
        <v/>
      </c>
      <c r="DS85">
        <f>IF(DR85="",0,IFERROR(IF(N(CHOOSE(DR85,CL85,CP85,CT85,CX85,DB85,DF85,DJ85,DN85))&lt;=0.005,0,MAX(0,N(CHOOSE(DR85,CL85,CP85,CT85,CX85,DB85,DF85,DJ85,DN85))+N(CHOOSE(DR85,CM85,CQ85,CU85,CY85,DC85,DG85,DK85,DO85))-MIN(N(CHOOSE(DR85,'Debt List'!$F$5,'Debt List'!$F$6,'Debt List'!$F$7,'Debt List'!$F$8,'Debt List'!$F$9,'Debt List'!$F$10,'Debt List'!$F$11,'Debt List'!$F$12)),N(CHOOSE(DR85,CL85,CP85,CT85,CX85,DB85,DF85,DJ85,DN85))+N(CHOOSE(DR85,CM85,CQ85,CU85,CY85,DC85,DG85,DK85,DO85))))),0))</f>
        <v/>
      </c>
      <c r="DT85">
        <f>MIN(N(DS85),MAX(0,N(ExtraPayment)))</f>
        <v/>
      </c>
      <c r="DU85">
        <f>MAX(0,N(ExtraPayment)-N(DT85))</f>
        <v/>
      </c>
      <c r="DV85">
        <f>IFERROR(MATCH(2,OrderSnow,0),"")</f>
        <v/>
      </c>
      <c r="DW85">
        <f>IF(DV85="",0,IFERROR(IF(N(CHOOSE(DV85,CL85,CP85,CT85,CX85,DB85,DF85,DJ85,DN85))&lt;=0.005,0,MAX(0,N(CHOOSE(DV85,CL85,CP85,CT85,CX85,DB85,DF85,DJ85,DN85))+N(CHOOSE(DV85,CM85,CQ85,CU85,CY85,DC85,DG85,DK85,DO85))-MIN(N(CHOOSE(DV85,'Debt List'!$F$5,'Debt List'!$F$6,'Debt List'!$F$7,'Debt List'!$F$8,'Debt List'!$F$9,'Debt List'!$F$10,'Debt List'!$F$11,'Debt List'!$F$12)),N(CHOOSE(DV85,CL85,CP85,CT85,CX85,DB85,DF85,DJ85,DN85))+N(CHOOSE(DV85,CM85,CQ85,CU85,CY85,DC85,DG85,DK85,DO85))))),0))</f>
        <v/>
      </c>
      <c r="DX85">
        <f>MIN(N(DW85),MAX(0,N(DU85)))</f>
        <v/>
      </c>
      <c r="DY85">
        <f>MAX(0,N(DU85)-N(DX85))</f>
        <v/>
      </c>
      <c r="DZ85">
        <f>IFERROR(MATCH(3,OrderSnow,0),"")</f>
        <v/>
      </c>
      <c r="EA85">
        <f>IF(DZ85="",0,IFERROR(IF(N(CHOOSE(DZ85,CL85,CP85,CT85,CX85,DB85,DF85,DJ85,DN85))&lt;=0.005,0,MAX(0,N(CHOOSE(DZ85,CL85,CP85,CT85,CX85,DB85,DF85,DJ85,DN85))+N(CHOOSE(DZ85,CM85,CQ85,CU85,CY85,DC85,DG85,DK85,DO85))-MIN(N(CHOOSE(DZ85,'Debt List'!$F$5,'Debt List'!$F$6,'Debt List'!$F$7,'Debt List'!$F$8,'Debt List'!$F$9,'Debt List'!$F$10,'Debt List'!$F$11,'Debt List'!$F$12)),N(CHOOSE(DZ85,CL85,CP85,CT85,CX85,DB85,DF85,DJ85,DN85))+N(CHOOSE(DZ85,CM85,CQ85,CU85,CY85,DC85,DG85,DK85,DO85))))),0))</f>
        <v/>
      </c>
      <c r="EB85">
        <f>MIN(N(EA85),MAX(0,N(DY85)))</f>
        <v/>
      </c>
      <c r="EC85">
        <f>MAX(0,N(DY85)-N(EB85))</f>
        <v/>
      </c>
      <c r="ED85">
        <f>IFERROR(MATCH(4,OrderSnow,0),"")</f>
        <v/>
      </c>
      <c r="EE85">
        <f>IF(ED85="",0,IFERROR(IF(N(CHOOSE(ED85,CL85,CP85,CT85,CX85,DB85,DF85,DJ85,DN85))&lt;=0.005,0,MAX(0,N(CHOOSE(ED85,CL85,CP85,CT85,CX85,DB85,DF85,DJ85,DN85))+N(CHOOSE(ED85,CM85,CQ85,CU85,CY85,DC85,DG85,DK85,DO85))-MIN(N(CHOOSE(ED85,'Debt List'!$F$5,'Debt List'!$F$6,'Debt List'!$F$7,'Debt List'!$F$8,'Debt List'!$F$9,'Debt List'!$F$10,'Debt List'!$F$11,'Debt List'!$F$12)),N(CHOOSE(ED85,CL85,CP85,CT85,CX85,DB85,DF85,DJ85,DN85))+N(CHOOSE(ED85,CM85,CQ85,CU85,CY85,DC85,DG85,DK85,DO85))))),0))</f>
        <v/>
      </c>
      <c r="EF85">
        <f>MIN(N(EE85),MAX(0,N(EC85)))</f>
        <v/>
      </c>
      <c r="EG85">
        <f>MAX(0,N(EC85)-N(EF85))</f>
        <v/>
      </c>
      <c r="EH85">
        <f>IFERROR(MATCH(5,OrderSnow,0),"")</f>
        <v/>
      </c>
      <c r="EI85">
        <f>IF(EH85="",0,IFERROR(IF(N(CHOOSE(EH85,CL85,CP85,CT85,CX85,DB85,DF85,DJ85,DN85))&lt;=0.005,0,MAX(0,N(CHOOSE(EH85,CL85,CP85,CT85,CX85,DB85,DF85,DJ85,DN85))+N(CHOOSE(EH85,CM85,CQ85,CU85,CY85,DC85,DG85,DK85,DO85))-MIN(N(CHOOSE(EH85,'Debt List'!$F$5,'Debt List'!$F$6,'Debt List'!$F$7,'Debt List'!$F$8,'Debt List'!$F$9,'Debt List'!$F$10,'Debt List'!$F$11,'Debt List'!$F$12)),N(CHOOSE(EH85,CL85,CP85,CT85,CX85,DB85,DF85,DJ85,DN85))+N(CHOOSE(EH85,CM85,CQ85,CU85,CY85,DC85,DG85,DK85,DO85))))),0))</f>
        <v/>
      </c>
      <c r="EJ85">
        <f>MIN(N(EI85),MAX(0,N(EG85)))</f>
        <v/>
      </c>
      <c r="EK85">
        <f>MAX(0,N(EG85)-N(EJ85))</f>
        <v/>
      </c>
      <c r="EL85">
        <f>IFERROR(MATCH(6,OrderSnow,0),"")</f>
        <v/>
      </c>
      <c r="EM85">
        <f>IF(EL85="",0,IFERROR(IF(N(CHOOSE(EL85,CL85,CP85,CT85,CX85,DB85,DF85,DJ85,DN85))&lt;=0.005,0,MAX(0,N(CHOOSE(EL85,CL85,CP85,CT85,CX85,DB85,DF85,DJ85,DN85))+N(CHOOSE(EL85,CM85,CQ85,CU85,CY85,DC85,DG85,DK85,DO85))-MIN(N(CHOOSE(EL85,'Debt List'!$F$5,'Debt List'!$F$6,'Debt List'!$F$7,'Debt List'!$F$8,'Debt List'!$F$9,'Debt List'!$F$10,'Debt List'!$F$11,'Debt List'!$F$12)),N(CHOOSE(EL85,CL85,CP85,CT85,CX85,DB85,DF85,DJ85,DN85))+N(CHOOSE(EL85,CM85,CQ85,CU85,CY85,DC85,DG85,DK85,DO85))))),0))</f>
        <v/>
      </c>
      <c r="EN85">
        <f>MIN(N(EM85),MAX(0,N(EK85)))</f>
        <v/>
      </c>
      <c r="EO85">
        <f>MAX(0,N(EK85)-N(EN85))</f>
        <v/>
      </c>
      <c r="EP85">
        <f>IFERROR(MATCH(7,OrderSnow,0),"")</f>
        <v/>
      </c>
      <c r="EQ85">
        <f>IF(EP85="",0,IFERROR(IF(N(CHOOSE(EP85,CL85,CP85,CT85,CX85,DB85,DF85,DJ85,DN85))&lt;=0.005,0,MAX(0,N(CHOOSE(EP85,CL85,CP85,CT85,CX85,DB85,DF85,DJ85,DN85))+N(CHOOSE(EP85,CM85,CQ85,CU85,CY85,DC85,DG85,DK85,DO85))-MIN(N(CHOOSE(EP85,'Debt List'!$F$5,'Debt List'!$F$6,'Debt List'!$F$7,'Debt List'!$F$8,'Debt List'!$F$9,'Debt List'!$F$10,'Debt List'!$F$11,'Debt List'!$F$12)),N(CHOOSE(EP85,CL85,CP85,CT85,CX85,DB85,DF85,DJ85,DN85))+N(CHOOSE(EP85,CM85,CQ85,CU85,CY85,DC85,DG85,DK85,DO85))))),0))</f>
        <v/>
      </c>
      <c r="ER85">
        <f>MIN(N(EQ85),MAX(0,N(EO85)))</f>
        <v/>
      </c>
      <c r="ES85">
        <f>MAX(0,N(EO85)-N(ER85))</f>
        <v/>
      </c>
      <c r="ET85">
        <f>IFERROR(MATCH(8,OrderSnow,0),"")</f>
        <v/>
      </c>
      <c r="EU85">
        <f>IF(ET85="",0,IFERROR(IF(N(CHOOSE(ET85,CL85,CP85,CT85,CX85,DB85,DF85,DJ85,DN85))&lt;=0.005,0,MAX(0,N(CHOOSE(ET85,CL85,CP85,CT85,CX85,DB85,DF85,DJ85,DN85))+N(CHOOSE(ET85,CM85,CQ85,CU85,CY85,DC85,DG85,DK85,DO85))-MIN(N(CHOOSE(ET85,'Debt List'!$F$5,'Debt List'!$F$6,'Debt List'!$F$7,'Debt List'!$F$8,'Debt List'!$F$9,'Debt List'!$F$10,'Debt List'!$F$11,'Debt List'!$F$12)),N(CHOOSE(ET85,CL85,CP85,CT85,CX85,DB85,DF85,DJ85,DN85))+N(CHOOSE(ET85,CM85,CQ85,CU85,CY85,DC85,DG85,DK85,DO85))))),0))</f>
        <v/>
      </c>
      <c r="EV85">
        <f>MIN(N(EU85),MAX(0,N(ES85)))</f>
        <v/>
      </c>
      <c r="EW85">
        <f>MAX(0,N(ES85)-N(EV85))</f>
        <v/>
      </c>
      <c r="FE85" t="n">
        <v>81</v>
      </c>
      <c r="FF85" s="115">
        <f>DATE(YEAR(PlanStart),MONTH(PlanStart)+FE85-1,1)</f>
        <v/>
      </c>
      <c r="FG85">
        <f>IF(AND(GT85&lt;&gt;"",N(CHOOSE(GT85,FN85,FR85,FV85,FZ85,GD85,GH85,GL85,GP85))&gt;0.005),INDEX(DebtNames,GT85),IF(AND(GX85&lt;&gt;"",N(CHOOSE(GX85,FN85,FR85,FV85,FZ85,GD85,GH85,GL85,GP85))&gt;0.005),INDEX(DebtNames,GX85),IF(AND(HB85&lt;&gt;"",N(CHOOSE(HB85,FN85,FR85,FV85,FZ85,GD85,GH85,GL85,GP85))&gt;0.005),INDEX(DebtNames,HB85),IF(AND(HF85&lt;&gt;"",N(CHOOSE(HF85,FN85,FR85,FV85,FZ85,GD85,GH85,GL85,GP85))&gt;0.005),INDEX(DebtNames,HF85),IF(AND(HJ85&lt;&gt;"",N(CHOOSE(HJ85,FN85,FR85,FV85,FZ85,GD85,GH85,GL85,GP85))&gt;0.005),INDEX(DebtNames,HJ85),IF(AND(HN85&lt;&gt;"",N(CHOOSE(HN85,FN85,FR85,FV85,FZ85,GD85,GH85,GL85,GP85))&gt;0.005),INDEX(DebtNames,HN85),IF(AND(HR85&lt;&gt;"",N(CHOOSE(HR85,FN85,FR85,FV85,FZ85,GD85,GH85,GL85,GP85))&gt;0.005),INDEX(DebtNames,HR85),IF(AND(HV85&lt;&gt;"",N(CHOOSE(HV85,FN85,FR85,FV85,FZ85,GD85,GH85,GL85,GP85))&gt;0.005),INDEX(DebtNames,HV85),""))))))))</f>
        <v/>
      </c>
      <c r="FH85">
        <f>N(HY85)</f>
        <v/>
      </c>
      <c r="FI85">
        <f>N(FP85)+N(FT85)+N(FX85)+N(GB85)+N(GF85)+N(GJ85)+N(GN85)+N(GR85)</f>
        <v/>
      </c>
      <c r="FJ85">
        <f>N(FO85)+N(FS85)+N(FW85)+N(GA85)+N(GE85)+N(GI85)+N(GM85)+N(GQ85)</f>
        <v/>
      </c>
      <c r="FK85">
        <f>N(FK84)+N(FJ85)</f>
        <v/>
      </c>
      <c r="FL85">
        <f>N(FQ85)+N(FU85)+N(FY85)+N(GC85)+N(GG85)+N(GK85)+N(GO85)+N(GS85)</f>
        <v/>
      </c>
      <c r="FM85">
        <f>(FQ85&gt;0.005)*1+(FU85&gt;0.005)*1+(FY85&gt;0.005)*1+(GC85&gt;0.005)*1+(GG85&gt;0.005)*1+(GK85&gt;0.005)*1+(GO85&gt;0.005)*1+(GS85&gt;0.005)*1</f>
        <v/>
      </c>
      <c r="FN85">
        <f>N(FQ84)</f>
        <v/>
      </c>
      <c r="FO85">
        <f>IF(N(FN85)&lt;=0.005,0,ROUND(N(FN85)*N('Debt List'!E5)/12,2))</f>
        <v/>
      </c>
      <c r="FP85">
        <f>IF(N(FN85)&lt;=0.005,0,MIN(N('Debt List'!F5),N(FN85)+N(FO85)))+((GT85=1)*GV85+(GX85=1)*GZ85+(HB85=1)*HD85+(HF85=1)*HH85+(HJ85=1)*HL85+(HN85=1)*HP85+(HR85=1)*HT85+(HV85=1)*HX85)</f>
        <v/>
      </c>
      <c r="FQ85">
        <f>MAX(0,ROUND(N(FN85)+N(FO85)-N(FP85),2))</f>
        <v/>
      </c>
      <c r="FR85">
        <f>N(FU84)</f>
        <v/>
      </c>
      <c r="FS85">
        <f>IF(N(FR85)&lt;=0.005,0,ROUND(N(FR85)*N('Debt List'!E6)/12,2))</f>
        <v/>
      </c>
      <c r="FT85">
        <f>IF(N(FR85)&lt;=0.005,0,MIN(N('Debt List'!F6),N(FR85)+N(FS85)))+((GT85=2)*GV85+(GX85=2)*GZ85+(HB85=2)*HD85+(HF85=2)*HH85+(HJ85=2)*HL85+(HN85=2)*HP85+(HR85=2)*HT85+(HV85=2)*HX85)</f>
        <v/>
      </c>
      <c r="FU85">
        <f>MAX(0,ROUND(N(FR85)+N(FS85)-N(FT85),2))</f>
        <v/>
      </c>
      <c r="FV85">
        <f>N(FY84)</f>
        <v/>
      </c>
      <c r="FW85">
        <f>IF(N(FV85)&lt;=0.005,0,ROUND(N(FV85)*N('Debt List'!E7)/12,2))</f>
        <v/>
      </c>
      <c r="FX85">
        <f>IF(N(FV85)&lt;=0.005,0,MIN(N('Debt List'!F7),N(FV85)+N(FW85)))+((GT85=3)*GV85+(GX85=3)*GZ85+(HB85=3)*HD85+(HF85=3)*HH85+(HJ85=3)*HL85+(HN85=3)*HP85+(HR85=3)*HT85+(HV85=3)*HX85)</f>
        <v/>
      </c>
      <c r="FY85">
        <f>MAX(0,ROUND(N(FV85)+N(FW85)-N(FX85),2))</f>
        <v/>
      </c>
      <c r="FZ85">
        <f>N(GC84)</f>
        <v/>
      </c>
      <c r="GA85">
        <f>IF(N(FZ85)&lt;=0.005,0,ROUND(N(FZ85)*N('Debt List'!E8)/12,2))</f>
        <v/>
      </c>
      <c r="GB85">
        <f>IF(N(FZ85)&lt;=0.005,0,MIN(N('Debt List'!F8),N(FZ85)+N(GA85)))+((GT85=4)*GV85+(GX85=4)*GZ85+(HB85=4)*HD85+(HF85=4)*HH85+(HJ85=4)*HL85+(HN85=4)*HP85+(HR85=4)*HT85+(HV85=4)*HX85)</f>
        <v/>
      </c>
      <c r="GC85">
        <f>MAX(0,ROUND(N(FZ85)+N(GA85)-N(GB85),2))</f>
        <v/>
      </c>
      <c r="GD85">
        <f>N(GG84)</f>
        <v/>
      </c>
      <c r="GE85">
        <f>IF(N(GD85)&lt;=0.005,0,ROUND(N(GD85)*N('Debt List'!E9)/12,2))</f>
        <v/>
      </c>
      <c r="GF85">
        <f>IF(N(GD85)&lt;=0.005,0,MIN(N('Debt List'!F9),N(GD85)+N(GE85)))+((GT85=5)*GV85+(GX85=5)*GZ85+(HB85=5)*HD85+(HF85=5)*HH85+(HJ85=5)*HL85+(HN85=5)*HP85+(HR85=5)*HT85+(HV85=5)*HX85)</f>
        <v/>
      </c>
      <c r="GG85">
        <f>MAX(0,ROUND(N(GD85)+N(GE85)-N(GF85),2))</f>
        <v/>
      </c>
      <c r="GH85">
        <f>N(GK84)</f>
        <v/>
      </c>
      <c r="GI85">
        <f>IF(N(GH85)&lt;=0.005,0,ROUND(N(GH85)*N('Debt List'!E10)/12,2))</f>
        <v/>
      </c>
      <c r="GJ85">
        <f>IF(N(GH85)&lt;=0.005,0,MIN(N('Debt List'!F10),N(GH85)+N(GI85)))+((GT85=6)*GV85+(GX85=6)*GZ85+(HB85=6)*HD85+(HF85=6)*HH85+(HJ85=6)*HL85+(HN85=6)*HP85+(HR85=6)*HT85+(HV85=6)*HX85)</f>
        <v/>
      </c>
      <c r="GK85">
        <f>MAX(0,ROUND(N(GH85)+N(GI85)-N(GJ85),2))</f>
        <v/>
      </c>
      <c r="GL85">
        <f>N(GO84)</f>
        <v/>
      </c>
      <c r="GM85">
        <f>IF(N(GL85)&lt;=0.005,0,ROUND(N(GL85)*N('Debt List'!E11)/12,2))</f>
        <v/>
      </c>
      <c r="GN85">
        <f>IF(N(GL85)&lt;=0.005,0,MIN(N('Debt List'!F11),N(GL85)+N(GM85)))+((GT85=7)*GV85+(GX85=7)*GZ85+(HB85=7)*HD85+(HF85=7)*HH85+(HJ85=7)*HL85+(HN85=7)*HP85+(HR85=7)*HT85+(HV85=7)*HX85)</f>
        <v/>
      </c>
      <c r="GO85">
        <f>MAX(0,ROUND(N(GL85)+N(GM85)-N(GN85),2))</f>
        <v/>
      </c>
      <c r="GP85">
        <f>N(GS84)</f>
        <v/>
      </c>
      <c r="GQ85">
        <f>IF(N(GP85)&lt;=0.005,0,ROUND(N(GP85)*N('Debt List'!E12)/12,2))</f>
        <v/>
      </c>
      <c r="GR85">
        <f>IF(N(GP85)&lt;=0.005,0,MIN(N('Debt List'!F12),N(GP85)+N(GQ85)))+((GT85=8)*GV85+(GX85=8)*GZ85+(HB85=8)*HD85+(HF85=8)*HH85+(HJ85=8)*HL85+(HN85=8)*HP85+(HR85=8)*HT85+(HV85=8)*HX85)</f>
        <v/>
      </c>
      <c r="GS85">
        <f>MAX(0,ROUND(N(GP85)+N(GQ85)-N(GR85),2))</f>
        <v/>
      </c>
      <c r="GT85">
        <f>IFERROR(MATCH(1,OrderAval,0),"")</f>
        <v/>
      </c>
      <c r="GU85">
        <f>IF(GT85="",0,IFERROR(IF(N(CHOOSE(GT85,FN85,FR85,FV85,FZ85,GD85,GH85,GL85,GP85))&lt;=0.005,0,MAX(0,N(CHOOSE(GT85,FN85,FR85,FV85,FZ85,GD85,GH85,GL85,GP85))+N(CHOOSE(GT85,FO85,FS85,FW85,GA85,GE85,GI85,GM85,GQ85))-MIN(N(CHOOSE(GT85,'Debt List'!$F$5,'Debt List'!$F$6,'Debt List'!$F$7,'Debt List'!$F$8,'Debt List'!$F$9,'Debt List'!$F$10,'Debt List'!$F$11,'Debt List'!$F$12)),N(CHOOSE(GT85,FN85,FR85,FV85,FZ85,GD85,GH85,GL85,GP85))+N(CHOOSE(GT85,FO85,FS85,FW85,GA85,GE85,GI85,GM85,GQ85))))),0))</f>
        <v/>
      </c>
      <c r="GV85">
        <f>MIN(N(GU85),MAX(0,N(ExtraPayment)))</f>
        <v/>
      </c>
      <c r="GW85">
        <f>MAX(0,N(ExtraPayment)-N(GV85))</f>
        <v/>
      </c>
      <c r="GX85">
        <f>IFERROR(MATCH(2,OrderAval,0),"")</f>
        <v/>
      </c>
      <c r="GY85">
        <f>IF(GX85="",0,IFERROR(IF(N(CHOOSE(GX85,FN85,FR85,FV85,FZ85,GD85,GH85,GL85,GP85))&lt;=0.005,0,MAX(0,N(CHOOSE(GX85,FN85,FR85,FV85,FZ85,GD85,GH85,GL85,GP85))+N(CHOOSE(GX85,FO85,FS85,FW85,GA85,GE85,GI85,GM85,GQ85))-MIN(N(CHOOSE(GX85,'Debt List'!$F$5,'Debt List'!$F$6,'Debt List'!$F$7,'Debt List'!$F$8,'Debt List'!$F$9,'Debt List'!$F$10,'Debt List'!$F$11,'Debt List'!$F$12)),N(CHOOSE(GX85,FN85,FR85,FV85,FZ85,GD85,GH85,GL85,GP85))+N(CHOOSE(GX85,FO85,FS85,FW85,GA85,GE85,GI85,GM85,GQ85))))),0))</f>
        <v/>
      </c>
      <c r="GZ85">
        <f>MIN(N(GY85),MAX(0,N(GW85)))</f>
        <v/>
      </c>
      <c r="HA85">
        <f>MAX(0,N(GW85)-N(GZ85))</f>
        <v/>
      </c>
      <c r="HB85">
        <f>IFERROR(MATCH(3,OrderAval,0),"")</f>
        <v/>
      </c>
      <c r="HC85">
        <f>IF(HB85="",0,IFERROR(IF(N(CHOOSE(HB85,FN85,FR85,FV85,FZ85,GD85,GH85,GL85,GP85))&lt;=0.005,0,MAX(0,N(CHOOSE(HB85,FN85,FR85,FV85,FZ85,GD85,GH85,GL85,GP85))+N(CHOOSE(HB85,FO85,FS85,FW85,GA85,GE85,GI85,GM85,GQ85))-MIN(N(CHOOSE(HB85,'Debt List'!$F$5,'Debt List'!$F$6,'Debt List'!$F$7,'Debt List'!$F$8,'Debt List'!$F$9,'Debt List'!$F$10,'Debt List'!$F$11,'Debt List'!$F$12)),N(CHOOSE(HB85,FN85,FR85,FV85,FZ85,GD85,GH85,GL85,GP85))+N(CHOOSE(HB85,FO85,FS85,FW85,GA85,GE85,GI85,GM85,GQ85))))),0))</f>
        <v/>
      </c>
      <c r="HD85">
        <f>MIN(N(HC85),MAX(0,N(HA85)))</f>
        <v/>
      </c>
      <c r="HE85">
        <f>MAX(0,N(HA85)-N(HD85))</f>
        <v/>
      </c>
      <c r="HF85">
        <f>IFERROR(MATCH(4,OrderAval,0),"")</f>
        <v/>
      </c>
      <c r="HG85">
        <f>IF(HF85="",0,IFERROR(IF(N(CHOOSE(HF85,FN85,FR85,FV85,FZ85,GD85,GH85,GL85,GP85))&lt;=0.005,0,MAX(0,N(CHOOSE(HF85,FN85,FR85,FV85,FZ85,GD85,GH85,GL85,GP85))+N(CHOOSE(HF85,FO85,FS85,FW85,GA85,GE85,GI85,GM85,GQ85))-MIN(N(CHOOSE(HF85,'Debt List'!$F$5,'Debt List'!$F$6,'Debt List'!$F$7,'Debt List'!$F$8,'Debt List'!$F$9,'Debt List'!$F$10,'Debt List'!$F$11,'Debt List'!$F$12)),N(CHOOSE(HF85,FN85,FR85,FV85,FZ85,GD85,GH85,GL85,GP85))+N(CHOOSE(HF85,FO85,FS85,FW85,GA85,GE85,GI85,GM85,GQ85))))),0))</f>
        <v/>
      </c>
      <c r="HH85">
        <f>MIN(N(HG85),MAX(0,N(HE85)))</f>
        <v/>
      </c>
      <c r="HI85">
        <f>MAX(0,N(HE85)-N(HH85))</f>
        <v/>
      </c>
      <c r="HJ85">
        <f>IFERROR(MATCH(5,OrderAval,0),"")</f>
        <v/>
      </c>
      <c r="HK85">
        <f>IF(HJ85="",0,IFERROR(IF(N(CHOOSE(HJ85,FN85,FR85,FV85,FZ85,GD85,GH85,GL85,GP85))&lt;=0.005,0,MAX(0,N(CHOOSE(HJ85,FN85,FR85,FV85,FZ85,GD85,GH85,GL85,GP85))+N(CHOOSE(HJ85,FO85,FS85,FW85,GA85,GE85,GI85,GM85,GQ85))-MIN(N(CHOOSE(HJ85,'Debt List'!$F$5,'Debt List'!$F$6,'Debt List'!$F$7,'Debt List'!$F$8,'Debt List'!$F$9,'Debt List'!$F$10,'Debt List'!$F$11,'Debt List'!$F$12)),N(CHOOSE(HJ85,FN85,FR85,FV85,FZ85,GD85,GH85,GL85,GP85))+N(CHOOSE(HJ85,FO85,FS85,FW85,GA85,GE85,GI85,GM85,GQ85))))),0))</f>
        <v/>
      </c>
      <c r="HL85">
        <f>MIN(N(HK85),MAX(0,N(HI85)))</f>
        <v/>
      </c>
      <c r="HM85">
        <f>MAX(0,N(HI85)-N(HL85))</f>
        <v/>
      </c>
      <c r="HN85">
        <f>IFERROR(MATCH(6,OrderAval,0),"")</f>
        <v/>
      </c>
      <c r="HO85">
        <f>IF(HN85="",0,IFERROR(IF(N(CHOOSE(HN85,FN85,FR85,FV85,FZ85,GD85,GH85,GL85,GP85))&lt;=0.005,0,MAX(0,N(CHOOSE(HN85,FN85,FR85,FV85,FZ85,GD85,GH85,GL85,GP85))+N(CHOOSE(HN85,FO85,FS85,FW85,GA85,GE85,GI85,GM85,GQ85))-MIN(N(CHOOSE(HN85,'Debt List'!$F$5,'Debt List'!$F$6,'Debt List'!$F$7,'Debt List'!$F$8,'Debt List'!$F$9,'Debt List'!$F$10,'Debt List'!$F$11,'Debt List'!$F$12)),N(CHOOSE(HN85,FN85,FR85,FV85,FZ85,GD85,GH85,GL85,GP85))+N(CHOOSE(HN85,FO85,FS85,FW85,GA85,GE85,GI85,GM85,GQ85))))),0))</f>
        <v/>
      </c>
      <c r="HP85">
        <f>MIN(N(HO85),MAX(0,N(HM85)))</f>
        <v/>
      </c>
      <c r="HQ85">
        <f>MAX(0,N(HM85)-N(HP85))</f>
        <v/>
      </c>
      <c r="HR85">
        <f>IFERROR(MATCH(7,OrderAval,0),"")</f>
        <v/>
      </c>
      <c r="HS85">
        <f>IF(HR85="",0,IFERROR(IF(N(CHOOSE(HR85,FN85,FR85,FV85,FZ85,GD85,GH85,GL85,GP85))&lt;=0.005,0,MAX(0,N(CHOOSE(HR85,FN85,FR85,FV85,FZ85,GD85,GH85,GL85,GP85))+N(CHOOSE(HR85,FO85,FS85,FW85,GA85,GE85,GI85,GM85,GQ85))-MIN(N(CHOOSE(HR85,'Debt List'!$F$5,'Debt List'!$F$6,'Debt List'!$F$7,'Debt List'!$F$8,'Debt List'!$F$9,'Debt List'!$F$10,'Debt List'!$F$11,'Debt List'!$F$12)),N(CHOOSE(HR85,FN85,FR85,FV85,FZ85,GD85,GH85,GL85,GP85))+N(CHOOSE(HR85,FO85,FS85,FW85,GA85,GE85,GI85,GM85,GQ85))))),0))</f>
        <v/>
      </c>
      <c r="HT85">
        <f>MIN(N(HS85),MAX(0,N(HQ85)))</f>
        <v/>
      </c>
      <c r="HU85">
        <f>MAX(0,N(HQ85)-N(HT85))</f>
        <v/>
      </c>
      <c r="HV85">
        <f>IFERROR(MATCH(8,OrderAval,0),"")</f>
        <v/>
      </c>
      <c r="HW85">
        <f>IF(HV85="",0,IFERROR(IF(N(CHOOSE(HV85,FN85,FR85,FV85,FZ85,GD85,GH85,GL85,GP85))&lt;=0.005,0,MAX(0,N(CHOOSE(HV85,FN85,FR85,FV85,FZ85,GD85,GH85,GL85,GP85))+N(CHOOSE(HV85,FO85,FS85,FW85,GA85,GE85,GI85,GM85,GQ85))-MIN(N(CHOOSE(HV85,'Debt List'!$F$5,'Debt List'!$F$6,'Debt List'!$F$7,'Debt List'!$F$8,'Debt List'!$F$9,'Debt List'!$F$10,'Debt List'!$F$11,'Debt List'!$F$12)),N(CHOOSE(HV85,FN85,FR85,FV85,FZ85,GD85,GH85,GL85,GP85))+N(CHOOSE(HV85,FO85,FS85,FW85,GA85,GE85,GI85,GM85,GQ85))))),0))</f>
        <v/>
      </c>
      <c r="HX85">
        <f>MIN(N(HW85),MAX(0,N(HU85)))</f>
        <v/>
      </c>
      <c r="HY85">
        <f>MAX(0,N(HU85)-N(HX85))</f>
        <v/>
      </c>
    </row>
    <row r="86">
      <c r="A86" t="n">
        <v>82</v>
      </c>
      <c r="B86" s="115">
        <f>DATE(YEAR(PlanStart),MONTH(PlanStart)+A86-1,1)</f>
        <v/>
      </c>
      <c r="C86">
        <f>IF(AND(AP86&lt;&gt;"",N(CHOOSE(AP86,J86,N86,R86,V86,Z86,AD86,AH86,AL86))&gt;0.005),INDEX(DebtNames,AP86),IF(AND(AT86&lt;&gt;"",N(CHOOSE(AT86,J86,N86,R86,V86,Z86,AD86,AH86,AL86))&gt;0.005),INDEX(DebtNames,AT86),IF(AND(AX86&lt;&gt;"",N(CHOOSE(AX86,J86,N86,R86,V86,Z86,AD86,AH86,AL86))&gt;0.005),INDEX(DebtNames,AX86),IF(AND(BB86&lt;&gt;"",N(CHOOSE(BB86,J86,N86,R86,V86,Z86,AD86,AH86,AL86))&gt;0.005),INDEX(DebtNames,BB86),IF(AND(BF86&lt;&gt;"",N(CHOOSE(BF86,J86,N86,R86,V86,Z86,AD86,AH86,AL86))&gt;0.005),INDEX(DebtNames,BF86),IF(AND(BJ86&lt;&gt;"",N(CHOOSE(BJ86,J86,N86,R86,V86,Z86,AD86,AH86,AL86))&gt;0.005),INDEX(DebtNames,BJ86),IF(AND(BN86&lt;&gt;"",N(CHOOSE(BN86,J86,N86,R86,V86,Z86,AD86,AH86,AL86))&gt;0.005),INDEX(DebtNames,BN86),IF(AND(BR86&lt;&gt;"",N(CHOOSE(BR86,J86,N86,R86,V86,Z86,AD86,AH86,AL86))&gt;0.005),INDEX(DebtNames,BR86),""))))))))</f>
        <v/>
      </c>
      <c r="D86">
        <f>N(BU86)</f>
        <v/>
      </c>
      <c r="E86">
        <f>N(L86)+N(P86)+N(T86)+N(X86)+N(AB86)+N(AF86)+N(AJ86)+N(AN86)</f>
        <v/>
      </c>
      <c r="F86">
        <f>N(K86)+N(O86)+N(S86)+N(W86)+N(AA86)+N(AE86)+N(AI86)+N(AM86)</f>
        <v/>
      </c>
      <c r="G86">
        <f>N(G85)+N(F86)</f>
        <v/>
      </c>
      <c r="H86">
        <f>N(M86)+N(Q86)+N(U86)+N(Y86)+N(AC86)+N(AG86)+N(AK86)+N(AO86)</f>
        <v/>
      </c>
      <c r="I86">
        <f>(M86&gt;0.005)*1+(Q86&gt;0.005)*1+(U86&gt;0.005)*1+(Y86&gt;0.005)*1+(AC86&gt;0.005)*1+(AG86&gt;0.005)*1+(AK86&gt;0.005)*1+(AO86&gt;0.005)*1</f>
        <v/>
      </c>
      <c r="J86">
        <f>N(M85)</f>
        <v/>
      </c>
      <c r="K86">
        <f>IF(N(J86)&lt;=0.005,0,ROUND(N(J86)*N('Debt List'!E5)/12,2))</f>
        <v/>
      </c>
      <c r="L86">
        <f>IF(N(J86)&lt;=0.005,0,MIN(N('Debt List'!F5),N(J86)+N(K86)))+((AP86=1)*AR86+(AT86=1)*AV86+(AX86=1)*AZ86+(BB86=1)*BD86+(BF86=1)*BH86+(BJ86=1)*BL86+(BN86=1)*BP86+(BR86=1)*BT86)</f>
        <v/>
      </c>
      <c r="M86">
        <f>MAX(0,ROUND(N(J86)+N(K86)-N(L86),2))</f>
        <v/>
      </c>
      <c r="N86">
        <f>N(Q85)</f>
        <v/>
      </c>
      <c r="O86">
        <f>IF(N(N86)&lt;=0.005,0,ROUND(N(N86)*N('Debt List'!E6)/12,2))</f>
        <v/>
      </c>
      <c r="P86">
        <f>IF(N(N86)&lt;=0.005,0,MIN(N('Debt List'!F6),N(N86)+N(O86)))+((AP86=2)*AR86+(AT86=2)*AV86+(AX86=2)*AZ86+(BB86=2)*BD86+(BF86=2)*BH86+(BJ86=2)*BL86+(BN86=2)*BP86+(BR86=2)*BT86)</f>
        <v/>
      </c>
      <c r="Q86">
        <f>MAX(0,ROUND(N(N86)+N(O86)-N(P86),2))</f>
        <v/>
      </c>
      <c r="R86">
        <f>N(U85)</f>
        <v/>
      </c>
      <c r="S86">
        <f>IF(N(R86)&lt;=0.005,0,ROUND(N(R86)*N('Debt List'!E7)/12,2))</f>
        <v/>
      </c>
      <c r="T86">
        <f>IF(N(R86)&lt;=0.005,0,MIN(N('Debt List'!F7),N(R86)+N(S86)))+((AP86=3)*AR86+(AT86=3)*AV86+(AX86=3)*AZ86+(BB86=3)*BD86+(BF86=3)*BH86+(BJ86=3)*BL86+(BN86=3)*BP86+(BR86=3)*BT86)</f>
        <v/>
      </c>
      <c r="U86">
        <f>MAX(0,ROUND(N(R86)+N(S86)-N(T86),2))</f>
        <v/>
      </c>
      <c r="V86">
        <f>N(Y85)</f>
        <v/>
      </c>
      <c r="W86">
        <f>IF(N(V86)&lt;=0.005,0,ROUND(N(V86)*N('Debt List'!E8)/12,2))</f>
        <v/>
      </c>
      <c r="X86">
        <f>IF(N(V86)&lt;=0.005,0,MIN(N('Debt List'!F8),N(V86)+N(W86)))+((AP86=4)*AR86+(AT86=4)*AV86+(AX86=4)*AZ86+(BB86=4)*BD86+(BF86=4)*BH86+(BJ86=4)*BL86+(BN86=4)*BP86+(BR86=4)*BT86)</f>
        <v/>
      </c>
      <c r="Y86">
        <f>MAX(0,ROUND(N(V86)+N(W86)-N(X86),2))</f>
        <v/>
      </c>
      <c r="Z86">
        <f>N(AC85)</f>
        <v/>
      </c>
      <c r="AA86">
        <f>IF(N(Z86)&lt;=0.005,0,ROUND(N(Z86)*N('Debt List'!E9)/12,2))</f>
        <v/>
      </c>
      <c r="AB86">
        <f>IF(N(Z86)&lt;=0.005,0,MIN(N('Debt List'!F9),N(Z86)+N(AA86)))+((AP86=5)*AR86+(AT86=5)*AV86+(AX86=5)*AZ86+(BB86=5)*BD86+(BF86=5)*BH86+(BJ86=5)*BL86+(BN86=5)*BP86+(BR86=5)*BT86)</f>
        <v/>
      </c>
      <c r="AC86">
        <f>MAX(0,ROUND(N(Z86)+N(AA86)-N(AB86),2))</f>
        <v/>
      </c>
      <c r="AD86">
        <f>N(AG85)</f>
        <v/>
      </c>
      <c r="AE86">
        <f>IF(N(AD86)&lt;=0.005,0,ROUND(N(AD86)*N('Debt List'!E10)/12,2))</f>
        <v/>
      </c>
      <c r="AF86">
        <f>IF(N(AD86)&lt;=0.005,0,MIN(N('Debt List'!F10),N(AD86)+N(AE86)))+((AP86=6)*AR86+(AT86=6)*AV86+(AX86=6)*AZ86+(BB86=6)*BD86+(BF86=6)*BH86+(BJ86=6)*BL86+(BN86=6)*BP86+(BR86=6)*BT86)</f>
        <v/>
      </c>
      <c r="AG86">
        <f>MAX(0,ROUND(N(AD86)+N(AE86)-N(AF86),2))</f>
        <v/>
      </c>
      <c r="AH86">
        <f>N(AK85)</f>
        <v/>
      </c>
      <c r="AI86">
        <f>IF(N(AH86)&lt;=0.005,0,ROUND(N(AH86)*N('Debt List'!E11)/12,2))</f>
        <v/>
      </c>
      <c r="AJ86">
        <f>IF(N(AH86)&lt;=0.005,0,MIN(N('Debt List'!F11),N(AH86)+N(AI86)))+((AP86=7)*AR86+(AT86=7)*AV86+(AX86=7)*AZ86+(BB86=7)*BD86+(BF86=7)*BH86+(BJ86=7)*BL86+(BN86=7)*BP86+(BR86=7)*BT86)</f>
        <v/>
      </c>
      <c r="AK86">
        <f>MAX(0,ROUND(N(AH86)+N(AI86)-N(AJ86),2))</f>
        <v/>
      </c>
      <c r="AL86">
        <f>N(AO85)</f>
        <v/>
      </c>
      <c r="AM86">
        <f>IF(N(AL86)&lt;=0.005,0,ROUND(N(AL86)*N('Debt List'!E12)/12,2))</f>
        <v/>
      </c>
      <c r="AN86">
        <f>IF(N(AL86)&lt;=0.005,0,MIN(N('Debt List'!F12),N(AL86)+N(AM86)))+((AP86=8)*AR86+(AT86=8)*AV86+(AX86=8)*AZ86+(BB86=8)*BD86+(BF86=8)*BH86+(BJ86=8)*BL86+(BN86=8)*BP86+(BR86=8)*BT86)</f>
        <v/>
      </c>
      <c r="AO86">
        <f>MAX(0,ROUND(N(AL86)+N(AM86)-N(AN86),2))</f>
        <v/>
      </c>
      <c r="AP86">
        <f>IFERROR(MATCH(1,OrderPlan,0),"")</f>
        <v/>
      </c>
      <c r="AQ86">
        <f>IF(AP86="",0,IFERROR(IF(N(CHOOSE(AP86,J86,N86,R86,V86,Z86,AD86,AH86,AL86))&lt;=0.005,0,MAX(0,N(CHOOSE(AP86,J86,N86,R86,V86,Z86,AD86,AH86,AL86))+N(CHOOSE(AP86,K86,O86,S86,W86,AA86,AE86,AI86,AM86))-MIN(N(CHOOSE(AP86,'Debt List'!$F$5,'Debt List'!$F$6,'Debt List'!$F$7,'Debt List'!$F$8,'Debt List'!$F$9,'Debt List'!$F$10,'Debt List'!$F$11,'Debt List'!$F$12)),N(CHOOSE(AP86,J86,N86,R86,V86,Z86,AD86,AH86,AL86))+N(CHOOSE(AP86,K86,O86,S86,W86,AA86,AE86,AI86,AM86))))),0))</f>
        <v/>
      </c>
      <c r="AR86">
        <f>MIN(N(AQ86),MAX(0,N(ExtraPayment)))</f>
        <v/>
      </c>
      <c r="AS86">
        <f>MAX(0,N(ExtraPayment)-N(AR86))</f>
        <v/>
      </c>
      <c r="AT86">
        <f>IFERROR(MATCH(2,OrderPlan,0),"")</f>
        <v/>
      </c>
      <c r="AU86">
        <f>IF(AT86="",0,IFERROR(IF(N(CHOOSE(AT86,J86,N86,R86,V86,Z86,AD86,AH86,AL86))&lt;=0.005,0,MAX(0,N(CHOOSE(AT86,J86,N86,R86,V86,Z86,AD86,AH86,AL86))+N(CHOOSE(AT86,K86,O86,S86,W86,AA86,AE86,AI86,AM86))-MIN(N(CHOOSE(AT86,'Debt List'!$F$5,'Debt List'!$F$6,'Debt List'!$F$7,'Debt List'!$F$8,'Debt List'!$F$9,'Debt List'!$F$10,'Debt List'!$F$11,'Debt List'!$F$12)),N(CHOOSE(AT86,J86,N86,R86,V86,Z86,AD86,AH86,AL86))+N(CHOOSE(AT86,K86,O86,S86,W86,AA86,AE86,AI86,AM86))))),0))</f>
        <v/>
      </c>
      <c r="AV86">
        <f>MIN(N(AU86),MAX(0,N(AS86)))</f>
        <v/>
      </c>
      <c r="AW86">
        <f>MAX(0,N(AS86)-N(AV86))</f>
        <v/>
      </c>
      <c r="AX86">
        <f>IFERROR(MATCH(3,OrderPlan,0),"")</f>
        <v/>
      </c>
      <c r="AY86">
        <f>IF(AX86="",0,IFERROR(IF(N(CHOOSE(AX86,J86,N86,R86,V86,Z86,AD86,AH86,AL86))&lt;=0.005,0,MAX(0,N(CHOOSE(AX86,J86,N86,R86,V86,Z86,AD86,AH86,AL86))+N(CHOOSE(AX86,K86,O86,S86,W86,AA86,AE86,AI86,AM86))-MIN(N(CHOOSE(AX86,'Debt List'!$F$5,'Debt List'!$F$6,'Debt List'!$F$7,'Debt List'!$F$8,'Debt List'!$F$9,'Debt List'!$F$10,'Debt List'!$F$11,'Debt List'!$F$12)),N(CHOOSE(AX86,J86,N86,R86,V86,Z86,AD86,AH86,AL86))+N(CHOOSE(AX86,K86,O86,S86,W86,AA86,AE86,AI86,AM86))))),0))</f>
        <v/>
      </c>
      <c r="AZ86">
        <f>MIN(N(AY86),MAX(0,N(AW86)))</f>
        <v/>
      </c>
      <c r="BA86">
        <f>MAX(0,N(AW86)-N(AZ86))</f>
        <v/>
      </c>
      <c r="BB86">
        <f>IFERROR(MATCH(4,OrderPlan,0),"")</f>
        <v/>
      </c>
      <c r="BC86">
        <f>IF(BB86="",0,IFERROR(IF(N(CHOOSE(BB86,J86,N86,R86,V86,Z86,AD86,AH86,AL86))&lt;=0.005,0,MAX(0,N(CHOOSE(BB86,J86,N86,R86,V86,Z86,AD86,AH86,AL86))+N(CHOOSE(BB86,K86,O86,S86,W86,AA86,AE86,AI86,AM86))-MIN(N(CHOOSE(BB86,'Debt List'!$F$5,'Debt List'!$F$6,'Debt List'!$F$7,'Debt List'!$F$8,'Debt List'!$F$9,'Debt List'!$F$10,'Debt List'!$F$11,'Debt List'!$F$12)),N(CHOOSE(BB86,J86,N86,R86,V86,Z86,AD86,AH86,AL86))+N(CHOOSE(BB86,K86,O86,S86,W86,AA86,AE86,AI86,AM86))))),0))</f>
        <v/>
      </c>
      <c r="BD86">
        <f>MIN(N(BC86),MAX(0,N(BA86)))</f>
        <v/>
      </c>
      <c r="BE86">
        <f>MAX(0,N(BA86)-N(BD86))</f>
        <v/>
      </c>
      <c r="BF86">
        <f>IFERROR(MATCH(5,OrderPlan,0),"")</f>
        <v/>
      </c>
      <c r="BG86">
        <f>IF(BF86="",0,IFERROR(IF(N(CHOOSE(BF86,J86,N86,R86,V86,Z86,AD86,AH86,AL86))&lt;=0.005,0,MAX(0,N(CHOOSE(BF86,J86,N86,R86,V86,Z86,AD86,AH86,AL86))+N(CHOOSE(BF86,K86,O86,S86,W86,AA86,AE86,AI86,AM86))-MIN(N(CHOOSE(BF86,'Debt List'!$F$5,'Debt List'!$F$6,'Debt List'!$F$7,'Debt List'!$F$8,'Debt List'!$F$9,'Debt List'!$F$10,'Debt List'!$F$11,'Debt List'!$F$12)),N(CHOOSE(BF86,J86,N86,R86,V86,Z86,AD86,AH86,AL86))+N(CHOOSE(BF86,K86,O86,S86,W86,AA86,AE86,AI86,AM86))))),0))</f>
        <v/>
      </c>
      <c r="BH86">
        <f>MIN(N(BG86),MAX(0,N(BE86)))</f>
        <v/>
      </c>
      <c r="BI86">
        <f>MAX(0,N(BE86)-N(BH86))</f>
        <v/>
      </c>
      <c r="BJ86">
        <f>IFERROR(MATCH(6,OrderPlan,0),"")</f>
        <v/>
      </c>
      <c r="BK86">
        <f>IF(BJ86="",0,IFERROR(IF(N(CHOOSE(BJ86,J86,N86,R86,V86,Z86,AD86,AH86,AL86))&lt;=0.005,0,MAX(0,N(CHOOSE(BJ86,J86,N86,R86,V86,Z86,AD86,AH86,AL86))+N(CHOOSE(BJ86,K86,O86,S86,W86,AA86,AE86,AI86,AM86))-MIN(N(CHOOSE(BJ86,'Debt List'!$F$5,'Debt List'!$F$6,'Debt List'!$F$7,'Debt List'!$F$8,'Debt List'!$F$9,'Debt List'!$F$10,'Debt List'!$F$11,'Debt List'!$F$12)),N(CHOOSE(BJ86,J86,N86,R86,V86,Z86,AD86,AH86,AL86))+N(CHOOSE(BJ86,K86,O86,S86,W86,AA86,AE86,AI86,AM86))))),0))</f>
        <v/>
      </c>
      <c r="BL86">
        <f>MIN(N(BK86),MAX(0,N(BI86)))</f>
        <v/>
      </c>
      <c r="BM86">
        <f>MAX(0,N(BI86)-N(BL86))</f>
        <v/>
      </c>
      <c r="BN86">
        <f>IFERROR(MATCH(7,OrderPlan,0),"")</f>
        <v/>
      </c>
      <c r="BO86">
        <f>IF(BN86="",0,IFERROR(IF(N(CHOOSE(BN86,J86,N86,R86,V86,Z86,AD86,AH86,AL86))&lt;=0.005,0,MAX(0,N(CHOOSE(BN86,J86,N86,R86,V86,Z86,AD86,AH86,AL86))+N(CHOOSE(BN86,K86,O86,S86,W86,AA86,AE86,AI86,AM86))-MIN(N(CHOOSE(BN86,'Debt List'!$F$5,'Debt List'!$F$6,'Debt List'!$F$7,'Debt List'!$F$8,'Debt List'!$F$9,'Debt List'!$F$10,'Debt List'!$F$11,'Debt List'!$F$12)),N(CHOOSE(BN86,J86,N86,R86,V86,Z86,AD86,AH86,AL86))+N(CHOOSE(BN86,K86,O86,S86,W86,AA86,AE86,AI86,AM86))))),0))</f>
        <v/>
      </c>
      <c r="BP86">
        <f>MIN(N(BO86),MAX(0,N(BM86)))</f>
        <v/>
      </c>
      <c r="BQ86">
        <f>MAX(0,N(BM86)-N(BP86))</f>
        <v/>
      </c>
      <c r="BR86">
        <f>IFERROR(MATCH(8,OrderPlan,0),"")</f>
        <v/>
      </c>
      <c r="BS86">
        <f>IF(BR86="",0,IFERROR(IF(N(CHOOSE(BR86,J86,N86,R86,V86,Z86,AD86,AH86,AL86))&lt;=0.005,0,MAX(0,N(CHOOSE(BR86,J86,N86,R86,V86,Z86,AD86,AH86,AL86))+N(CHOOSE(BR86,K86,O86,S86,W86,AA86,AE86,AI86,AM86))-MIN(N(CHOOSE(BR86,'Debt List'!$F$5,'Debt List'!$F$6,'Debt List'!$F$7,'Debt List'!$F$8,'Debt List'!$F$9,'Debt List'!$F$10,'Debt List'!$F$11,'Debt List'!$F$12)),N(CHOOSE(BR86,J86,N86,R86,V86,Z86,AD86,AH86,AL86))+N(CHOOSE(BR86,K86,O86,S86,W86,AA86,AE86,AI86,AM86))))),0))</f>
        <v/>
      </c>
      <c r="BT86">
        <f>MIN(N(BS86),MAX(0,N(BQ86)))</f>
        <v/>
      </c>
      <c r="BU86">
        <f>MAX(0,N(BQ86)-N(BT86))</f>
        <v/>
      </c>
      <c r="CC86" t="n">
        <v>82</v>
      </c>
      <c r="CD86" s="115">
        <f>DATE(YEAR(PlanStart),MONTH(PlanStart)+CC86-1,1)</f>
        <v/>
      </c>
      <c r="CE86">
        <f>IF(AND(DR86&lt;&gt;"",N(CHOOSE(DR86,CL86,CP86,CT86,CX86,DB86,DF86,DJ86,DN86))&gt;0.005),INDEX(DebtNames,DR86),IF(AND(DV86&lt;&gt;"",N(CHOOSE(DV86,CL86,CP86,CT86,CX86,DB86,DF86,DJ86,DN86))&gt;0.005),INDEX(DebtNames,DV86),IF(AND(DZ86&lt;&gt;"",N(CHOOSE(DZ86,CL86,CP86,CT86,CX86,DB86,DF86,DJ86,DN86))&gt;0.005),INDEX(DebtNames,DZ86),IF(AND(ED86&lt;&gt;"",N(CHOOSE(ED86,CL86,CP86,CT86,CX86,DB86,DF86,DJ86,DN86))&gt;0.005),INDEX(DebtNames,ED86),IF(AND(EH86&lt;&gt;"",N(CHOOSE(EH86,CL86,CP86,CT86,CX86,DB86,DF86,DJ86,DN86))&gt;0.005),INDEX(DebtNames,EH86),IF(AND(EL86&lt;&gt;"",N(CHOOSE(EL86,CL86,CP86,CT86,CX86,DB86,DF86,DJ86,DN86))&gt;0.005),INDEX(DebtNames,EL86),IF(AND(EP86&lt;&gt;"",N(CHOOSE(EP86,CL86,CP86,CT86,CX86,DB86,DF86,DJ86,DN86))&gt;0.005),INDEX(DebtNames,EP86),IF(AND(ET86&lt;&gt;"",N(CHOOSE(ET86,CL86,CP86,CT86,CX86,DB86,DF86,DJ86,DN86))&gt;0.005),INDEX(DebtNames,ET86),""))))))))</f>
        <v/>
      </c>
      <c r="CF86">
        <f>N(EW86)</f>
        <v/>
      </c>
      <c r="CG86">
        <f>N(CN86)+N(CR86)+N(CV86)+N(CZ86)+N(DD86)+N(DH86)+N(DL86)+N(DP86)</f>
        <v/>
      </c>
      <c r="CH86">
        <f>N(CM86)+N(CQ86)+N(CU86)+N(CY86)+N(DC86)+N(DG86)+N(DK86)+N(DO86)</f>
        <v/>
      </c>
      <c r="CI86">
        <f>N(CI85)+N(CH86)</f>
        <v/>
      </c>
      <c r="CJ86">
        <f>N(CO86)+N(CS86)+N(CW86)+N(DA86)+N(DE86)+N(DI86)+N(DM86)+N(DQ86)</f>
        <v/>
      </c>
      <c r="CK86">
        <f>(CO86&gt;0.005)*1+(CS86&gt;0.005)*1+(CW86&gt;0.005)*1+(DA86&gt;0.005)*1+(DE86&gt;0.005)*1+(DI86&gt;0.005)*1+(DM86&gt;0.005)*1+(DQ86&gt;0.005)*1</f>
        <v/>
      </c>
      <c r="CL86">
        <f>N(CO85)</f>
        <v/>
      </c>
      <c r="CM86">
        <f>IF(N(CL86)&lt;=0.005,0,ROUND(N(CL86)*N('Debt List'!E5)/12,2))</f>
        <v/>
      </c>
      <c r="CN86">
        <f>IF(N(CL86)&lt;=0.005,0,MIN(N('Debt List'!F5),N(CL86)+N(CM86)))+((DR86=1)*DT86+(DV86=1)*DX86+(DZ86=1)*EB86+(ED86=1)*EF86+(EH86=1)*EJ86+(EL86=1)*EN86+(EP86=1)*ER86+(ET86=1)*EV86)</f>
        <v/>
      </c>
      <c r="CO86">
        <f>MAX(0,ROUND(N(CL86)+N(CM86)-N(CN86),2))</f>
        <v/>
      </c>
      <c r="CP86">
        <f>N(CS85)</f>
        <v/>
      </c>
      <c r="CQ86">
        <f>IF(N(CP86)&lt;=0.005,0,ROUND(N(CP86)*N('Debt List'!E6)/12,2))</f>
        <v/>
      </c>
      <c r="CR86">
        <f>IF(N(CP86)&lt;=0.005,0,MIN(N('Debt List'!F6),N(CP86)+N(CQ86)))+((DR86=2)*DT86+(DV86=2)*DX86+(DZ86=2)*EB86+(ED86=2)*EF86+(EH86=2)*EJ86+(EL86=2)*EN86+(EP86=2)*ER86+(ET86=2)*EV86)</f>
        <v/>
      </c>
      <c r="CS86">
        <f>MAX(0,ROUND(N(CP86)+N(CQ86)-N(CR86),2))</f>
        <v/>
      </c>
      <c r="CT86">
        <f>N(CW85)</f>
        <v/>
      </c>
      <c r="CU86">
        <f>IF(N(CT86)&lt;=0.005,0,ROUND(N(CT86)*N('Debt List'!E7)/12,2))</f>
        <v/>
      </c>
      <c r="CV86">
        <f>IF(N(CT86)&lt;=0.005,0,MIN(N('Debt List'!F7),N(CT86)+N(CU86)))+((DR86=3)*DT86+(DV86=3)*DX86+(DZ86=3)*EB86+(ED86=3)*EF86+(EH86=3)*EJ86+(EL86=3)*EN86+(EP86=3)*ER86+(ET86=3)*EV86)</f>
        <v/>
      </c>
      <c r="CW86">
        <f>MAX(0,ROUND(N(CT86)+N(CU86)-N(CV86),2))</f>
        <v/>
      </c>
      <c r="CX86">
        <f>N(DA85)</f>
        <v/>
      </c>
      <c r="CY86">
        <f>IF(N(CX86)&lt;=0.005,0,ROUND(N(CX86)*N('Debt List'!E8)/12,2))</f>
        <v/>
      </c>
      <c r="CZ86">
        <f>IF(N(CX86)&lt;=0.005,0,MIN(N('Debt List'!F8),N(CX86)+N(CY86)))+((DR86=4)*DT86+(DV86=4)*DX86+(DZ86=4)*EB86+(ED86=4)*EF86+(EH86=4)*EJ86+(EL86=4)*EN86+(EP86=4)*ER86+(ET86=4)*EV86)</f>
        <v/>
      </c>
      <c r="DA86">
        <f>MAX(0,ROUND(N(CX86)+N(CY86)-N(CZ86),2))</f>
        <v/>
      </c>
      <c r="DB86">
        <f>N(DE85)</f>
        <v/>
      </c>
      <c r="DC86">
        <f>IF(N(DB86)&lt;=0.005,0,ROUND(N(DB86)*N('Debt List'!E9)/12,2))</f>
        <v/>
      </c>
      <c r="DD86">
        <f>IF(N(DB86)&lt;=0.005,0,MIN(N('Debt List'!F9),N(DB86)+N(DC86)))+((DR86=5)*DT86+(DV86=5)*DX86+(DZ86=5)*EB86+(ED86=5)*EF86+(EH86=5)*EJ86+(EL86=5)*EN86+(EP86=5)*ER86+(ET86=5)*EV86)</f>
        <v/>
      </c>
      <c r="DE86">
        <f>MAX(0,ROUND(N(DB86)+N(DC86)-N(DD86),2))</f>
        <v/>
      </c>
      <c r="DF86">
        <f>N(DI85)</f>
        <v/>
      </c>
      <c r="DG86">
        <f>IF(N(DF86)&lt;=0.005,0,ROUND(N(DF86)*N('Debt List'!E10)/12,2))</f>
        <v/>
      </c>
      <c r="DH86">
        <f>IF(N(DF86)&lt;=0.005,0,MIN(N('Debt List'!F10),N(DF86)+N(DG86)))+((DR86=6)*DT86+(DV86=6)*DX86+(DZ86=6)*EB86+(ED86=6)*EF86+(EH86=6)*EJ86+(EL86=6)*EN86+(EP86=6)*ER86+(ET86=6)*EV86)</f>
        <v/>
      </c>
      <c r="DI86">
        <f>MAX(0,ROUND(N(DF86)+N(DG86)-N(DH86),2))</f>
        <v/>
      </c>
      <c r="DJ86">
        <f>N(DM85)</f>
        <v/>
      </c>
      <c r="DK86">
        <f>IF(N(DJ86)&lt;=0.005,0,ROUND(N(DJ86)*N('Debt List'!E11)/12,2))</f>
        <v/>
      </c>
      <c r="DL86">
        <f>IF(N(DJ86)&lt;=0.005,0,MIN(N('Debt List'!F11),N(DJ86)+N(DK86)))+((DR86=7)*DT86+(DV86=7)*DX86+(DZ86=7)*EB86+(ED86=7)*EF86+(EH86=7)*EJ86+(EL86=7)*EN86+(EP86=7)*ER86+(ET86=7)*EV86)</f>
        <v/>
      </c>
      <c r="DM86">
        <f>MAX(0,ROUND(N(DJ86)+N(DK86)-N(DL86),2))</f>
        <v/>
      </c>
      <c r="DN86">
        <f>N(DQ85)</f>
        <v/>
      </c>
      <c r="DO86">
        <f>IF(N(DN86)&lt;=0.005,0,ROUND(N(DN86)*N('Debt List'!E12)/12,2))</f>
        <v/>
      </c>
      <c r="DP86">
        <f>IF(N(DN86)&lt;=0.005,0,MIN(N('Debt List'!F12),N(DN86)+N(DO86)))+((DR86=8)*DT86+(DV86=8)*DX86+(DZ86=8)*EB86+(ED86=8)*EF86+(EH86=8)*EJ86+(EL86=8)*EN86+(EP86=8)*ER86+(ET86=8)*EV86)</f>
        <v/>
      </c>
      <c r="DQ86">
        <f>MAX(0,ROUND(N(DN86)+N(DO86)-N(DP86),2))</f>
        <v/>
      </c>
      <c r="DR86">
        <f>IFERROR(MATCH(1,OrderSnow,0),"")</f>
        <v/>
      </c>
      <c r="DS86">
        <f>IF(DR86="",0,IFERROR(IF(N(CHOOSE(DR86,CL86,CP86,CT86,CX86,DB86,DF86,DJ86,DN86))&lt;=0.005,0,MAX(0,N(CHOOSE(DR86,CL86,CP86,CT86,CX86,DB86,DF86,DJ86,DN86))+N(CHOOSE(DR86,CM86,CQ86,CU86,CY86,DC86,DG86,DK86,DO86))-MIN(N(CHOOSE(DR86,'Debt List'!$F$5,'Debt List'!$F$6,'Debt List'!$F$7,'Debt List'!$F$8,'Debt List'!$F$9,'Debt List'!$F$10,'Debt List'!$F$11,'Debt List'!$F$12)),N(CHOOSE(DR86,CL86,CP86,CT86,CX86,DB86,DF86,DJ86,DN86))+N(CHOOSE(DR86,CM86,CQ86,CU86,CY86,DC86,DG86,DK86,DO86))))),0))</f>
        <v/>
      </c>
      <c r="DT86">
        <f>MIN(N(DS86),MAX(0,N(ExtraPayment)))</f>
        <v/>
      </c>
      <c r="DU86">
        <f>MAX(0,N(ExtraPayment)-N(DT86))</f>
        <v/>
      </c>
      <c r="DV86">
        <f>IFERROR(MATCH(2,OrderSnow,0),"")</f>
        <v/>
      </c>
      <c r="DW86">
        <f>IF(DV86="",0,IFERROR(IF(N(CHOOSE(DV86,CL86,CP86,CT86,CX86,DB86,DF86,DJ86,DN86))&lt;=0.005,0,MAX(0,N(CHOOSE(DV86,CL86,CP86,CT86,CX86,DB86,DF86,DJ86,DN86))+N(CHOOSE(DV86,CM86,CQ86,CU86,CY86,DC86,DG86,DK86,DO86))-MIN(N(CHOOSE(DV86,'Debt List'!$F$5,'Debt List'!$F$6,'Debt List'!$F$7,'Debt List'!$F$8,'Debt List'!$F$9,'Debt List'!$F$10,'Debt List'!$F$11,'Debt List'!$F$12)),N(CHOOSE(DV86,CL86,CP86,CT86,CX86,DB86,DF86,DJ86,DN86))+N(CHOOSE(DV86,CM86,CQ86,CU86,CY86,DC86,DG86,DK86,DO86))))),0))</f>
        <v/>
      </c>
      <c r="DX86">
        <f>MIN(N(DW86),MAX(0,N(DU86)))</f>
        <v/>
      </c>
      <c r="DY86">
        <f>MAX(0,N(DU86)-N(DX86))</f>
        <v/>
      </c>
      <c r="DZ86">
        <f>IFERROR(MATCH(3,OrderSnow,0),"")</f>
        <v/>
      </c>
      <c r="EA86">
        <f>IF(DZ86="",0,IFERROR(IF(N(CHOOSE(DZ86,CL86,CP86,CT86,CX86,DB86,DF86,DJ86,DN86))&lt;=0.005,0,MAX(0,N(CHOOSE(DZ86,CL86,CP86,CT86,CX86,DB86,DF86,DJ86,DN86))+N(CHOOSE(DZ86,CM86,CQ86,CU86,CY86,DC86,DG86,DK86,DO86))-MIN(N(CHOOSE(DZ86,'Debt List'!$F$5,'Debt List'!$F$6,'Debt List'!$F$7,'Debt List'!$F$8,'Debt List'!$F$9,'Debt List'!$F$10,'Debt List'!$F$11,'Debt List'!$F$12)),N(CHOOSE(DZ86,CL86,CP86,CT86,CX86,DB86,DF86,DJ86,DN86))+N(CHOOSE(DZ86,CM86,CQ86,CU86,CY86,DC86,DG86,DK86,DO86))))),0))</f>
        <v/>
      </c>
      <c r="EB86">
        <f>MIN(N(EA86),MAX(0,N(DY86)))</f>
        <v/>
      </c>
      <c r="EC86">
        <f>MAX(0,N(DY86)-N(EB86))</f>
        <v/>
      </c>
      <c r="ED86">
        <f>IFERROR(MATCH(4,OrderSnow,0),"")</f>
        <v/>
      </c>
      <c r="EE86">
        <f>IF(ED86="",0,IFERROR(IF(N(CHOOSE(ED86,CL86,CP86,CT86,CX86,DB86,DF86,DJ86,DN86))&lt;=0.005,0,MAX(0,N(CHOOSE(ED86,CL86,CP86,CT86,CX86,DB86,DF86,DJ86,DN86))+N(CHOOSE(ED86,CM86,CQ86,CU86,CY86,DC86,DG86,DK86,DO86))-MIN(N(CHOOSE(ED86,'Debt List'!$F$5,'Debt List'!$F$6,'Debt List'!$F$7,'Debt List'!$F$8,'Debt List'!$F$9,'Debt List'!$F$10,'Debt List'!$F$11,'Debt List'!$F$12)),N(CHOOSE(ED86,CL86,CP86,CT86,CX86,DB86,DF86,DJ86,DN86))+N(CHOOSE(ED86,CM86,CQ86,CU86,CY86,DC86,DG86,DK86,DO86))))),0))</f>
        <v/>
      </c>
      <c r="EF86">
        <f>MIN(N(EE86),MAX(0,N(EC86)))</f>
        <v/>
      </c>
      <c r="EG86">
        <f>MAX(0,N(EC86)-N(EF86))</f>
        <v/>
      </c>
      <c r="EH86">
        <f>IFERROR(MATCH(5,OrderSnow,0),"")</f>
        <v/>
      </c>
      <c r="EI86">
        <f>IF(EH86="",0,IFERROR(IF(N(CHOOSE(EH86,CL86,CP86,CT86,CX86,DB86,DF86,DJ86,DN86))&lt;=0.005,0,MAX(0,N(CHOOSE(EH86,CL86,CP86,CT86,CX86,DB86,DF86,DJ86,DN86))+N(CHOOSE(EH86,CM86,CQ86,CU86,CY86,DC86,DG86,DK86,DO86))-MIN(N(CHOOSE(EH86,'Debt List'!$F$5,'Debt List'!$F$6,'Debt List'!$F$7,'Debt List'!$F$8,'Debt List'!$F$9,'Debt List'!$F$10,'Debt List'!$F$11,'Debt List'!$F$12)),N(CHOOSE(EH86,CL86,CP86,CT86,CX86,DB86,DF86,DJ86,DN86))+N(CHOOSE(EH86,CM86,CQ86,CU86,CY86,DC86,DG86,DK86,DO86))))),0))</f>
        <v/>
      </c>
      <c r="EJ86">
        <f>MIN(N(EI86),MAX(0,N(EG86)))</f>
        <v/>
      </c>
      <c r="EK86">
        <f>MAX(0,N(EG86)-N(EJ86))</f>
        <v/>
      </c>
      <c r="EL86">
        <f>IFERROR(MATCH(6,OrderSnow,0),"")</f>
        <v/>
      </c>
      <c r="EM86">
        <f>IF(EL86="",0,IFERROR(IF(N(CHOOSE(EL86,CL86,CP86,CT86,CX86,DB86,DF86,DJ86,DN86))&lt;=0.005,0,MAX(0,N(CHOOSE(EL86,CL86,CP86,CT86,CX86,DB86,DF86,DJ86,DN86))+N(CHOOSE(EL86,CM86,CQ86,CU86,CY86,DC86,DG86,DK86,DO86))-MIN(N(CHOOSE(EL86,'Debt List'!$F$5,'Debt List'!$F$6,'Debt List'!$F$7,'Debt List'!$F$8,'Debt List'!$F$9,'Debt List'!$F$10,'Debt List'!$F$11,'Debt List'!$F$12)),N(CHOOSE(EL86,CL86,CP86,CT86,CX86,DB86,DF86,DJ86,DN86))+N(CHOOSE(EL86,CM86,CQ86,CU86,CY86,DC86,DG86,DK86,DO86))))),0))</f>
        <v/>
      </c>
      <c r="EN86">
        <f>MIN(N(EM86),MAX(0,N(EK86)))</f>
        <v/>
      </c>
      <c r="EO86">
        <f>MAX(0,N(EK86)-N(EN86))</f>
        <v/>
      </c>
      <c r="EP86">
        <f>IFERROR(MATCH(7,OrderSnow,0),"")</f>
        <v/>
      </c>
      <c r="EQ86">
        <f>IF(EP86="",0,IFERROR(IF(N(CHOOSE(EP86,CL86,CP86,CT86,CX86,DB86,DF86,DJ86,DN86))&lt;=0.005,0,MAX(0,N(CHOOSE(EP86,CL86,CP86,CT86,CX86,DB86,DF86,DJ86,DN86))+N(CHOOSE(EP86,CM86,CQ86,CU86,CY86,DC86,DG86,DK86,DO86))-MIN(N(CHOOSE(EP86,'Debt List'!$F$5,'Debt List'!$F$6,'Debt List'!$F$7,'Debt List'!$F$8,'Debt List'!$F$9,'Debt List'!$F$10,'Debt List'!$F$11,'Debt List'!$F$12)),N(CHOOSE(EP86,CL86,CP86,CT86,CX86,DB86,DF86,DJ86,DN86))+N(CHOOSE(EP86,CM86,CQ86,CU86,CY86,DC86,DG86,DK86,DO86))))),0))</f>
        <v/>
      </c>
      <c r="ER86">
        <f>MIN(N(EQ86),MAX(0,N(EO86)))</f>
        <v/>
      </c>
      <c r="ES86">
        <f>MAX(0,N(EO86)-N(ER86))</f>
        <v/>
      </c>
      <c r="ET86">
        <f>IFERROR(MATCH(8,OrderSnow,0),"")</f>
        <v/>
      </c>
      <c r="EU86">
        <f>IF(ET86="",0,IFERROR(IF(N(CHOOSE(ET86,CL86,CP86,CT86,CX86,DB86,DF86,DJ86,DN86))&lt;=0.005,0,MAX(0,N(CHOOSE(ET86,CL86,CP86,CT86,CX86,DB86,DF86,DJ86,DN86))+N(CHOOSE(ET86,CM86,CQ86,CU86,CY86,DC86,DG86,DK86,DO86))-MIN(N(CHOOSE(ET86,'Debt List'!$F$5,'Debt List'!$F$6,'Debt List'!$F$7,'Debt List'!$F$8,'Debt List'!$F$9,'Debt List'!$F$10,'Debt List'!$F$11,'Debt List'!$F$12)),N(CHOOSE(ET86,CL86,CP86,CT86,CX86,DB86,DF86,DJ86,DN86))+N(CHOOSE(ET86,CM86,CQ86,CU86,CY86,DC86,DG86,DK86,DO86))))),0))</f>
        <v/>
      </c>
      <c r="EV86">
        <f>MIN(N(EU86),MAX(0,N(ES86)))</f>
        <v/>
      </c>
      <c r="EW86">
        <f>MAX(0,N(ES86)-N(EV86))</f>
        <v/>
      </c>
      <c r="FE86" t="n">
        <v>82</v>
      </c>
      <c r="FF86" s="115">
        <f>DATE(YEAR(PlanStart),MONTH(PlanStart)+FE86-1,1)</f>
        <v/>
      </c>
      <c r="FG86">
        <f>IF(AND(GT86&lt;&gt;"",N(CHOOSE(GT86,FN86,FR86,FV86,FZ86,GD86,GH86,GL86,GP86))&gt;0.005),INDEX(DebtNames,GT86),IF(AND(GX86&lt;&gt;"",N(CHOOSE(GX86,FN86,FR86,FV86,FZ86,GD86,GH86,GL86,GP86))&gt;0.005),INDEX(DebtNames,GX86),IF(AND(HB86&lt;&gt;"",N(CHOOSE(HB86,FN86,FR86,FV86,FZ86,GD86,GH86,GL86,GP86))&gt;0.005),INDEX(DebtNames,HB86),IF(AND(HF86&lt;&gt;"",N(CHOOSE(HF86,FN86,FR86,FV86,FZ86,GD86,GH86,GL86,GP86))&gt;0.005),INDEX(DebtNames,HF86),IF(AND(HJ86&lt;&gt;"",N(CHOOSE(HJ86,FN86,FR86,FV86,FZ86,GD86,GH86,GL86,GP86))&gt;0.005),INDEX(DebtNames,HJ86),IF(AND(HN86&lt;&gt;"",N(CHOOSE(HN86,FN86,FR86,FV86,FZ86,GD86,GH86,GL86,GP86))&gt;0.005),INDEX(DebtNames,HN86),IF(AND(HR86&lt;&gt;"",N(CHOOSE(HR86,FN86,FR86,FV86,FZ86,GD86,GH86,GL86,GP86))&gt;0.005),INDEX(DebtNames,HR86),IF(AND(HV86&lt;&gt;"",N(CHOOSE(HV86,FN86,FR86,FV86,FZ86,GD86,GH86,GL86,GP86))&gt;0.005),INDEX(DebtNames,HV86),""))))))))</f>
        <v/>
      </c>
      <c r="FH86">
        <f>N(HY86)</f>
        <v/>
      </c>
      <c r="FI86">
        <f>N(FP86)+N(FT86)+N(FX86)+N(GB86)+N(GF86)+N(GJ86)+N(GN86)+N(GR86)</f>
        <v/>
      </c>
      <c r="FJ86">
        <f>N(FO86)+N(FS86)+N(FW86)+N(GA86)+N(GE86)+N(GI86)+N(GM86)+N(GQ86)</f>
        <v/>
      </c>
      <c r="FK86">
        <f>N(FK85)+N(FJ86)</f>
        <v/>
      </c>
      <c r="FL86">
        <f>N(FQ86)+N(FU86)+N(FY86)+N(GC86)+N(GG86)+N(GK86)+N(GO86)+N(GS86)</f>
        <v/>
      </c>
      <c r="FM86">
        <f>(FQ86&gt;0.005)*1+(FU86&gt;0.005)*1+(FY86&gt;0.005)*1+(GC86&gt;0.005)*1+(GG86&gt;0.005)*1+(GK86&gt;0.005)*1+(GO86&gt;0.005)*1+(GS86&gt;0.005)*1</f>
        <v/>
      </c>
      <c r="FN86">
        <f>N(FQ85)</f>
        <v/>
      </c>
      <c r="FO86">
        <f>IF(N(FN86)&lt;=0.005,0,ROUND(N(FN86)*N('Debt List'!E5)/12,2))</f>
        <v/>
      </c>
      <c r="FP86">
        <f>IF(N(FN86)&lt;=0.005,0,MIN(N('Debt List'!F5),N(FN86)+N(FO86)))+((GT86=1)*GV86+(GX86=1)*GZ86+(HB86=1)*HD86+(HF86=1)*HH86+(HJ86=1)*HL86+(HN86=1)*HP86+(HR86=1)*HT86+(HV86=1)*HX86)</f>
        <v/>
      </c>
      <c r="FQ86">
        <f>MAX(0,ROUND(N(FN86)+N(FO86)-N(FP86),2))</f>
        <v/>
      </c>
      <c r="FR86">
        <f>N(FU85)</f>
        <v/>
      </c>
      <c r="FS86">
        <f>IF(N(FR86)&lt;=0.005,0,ROUND(N(FR86)*N('Debt List'!E6)/12,2))</f>
        <v/>
      </c>
      <c r="FT86">
        <f>IF(N(FR86)&lt;=0.005,0,MIN(N('Debt List'!F6),N(FR86)+N(FS86)))+((GT86=2)*GV86+(GX86=2)*GZ86+(HB86=2)*HD86+(HF86=2)*HH86+(HJ86=2)*HL86+(HN86=2)*HP86+(HR86=2)*HT86+(HV86=2)*HX86)</f>
        <v/>
      </c>
      <c r="FU86">
        <f>MAX(0,ROUND(N(FR86)+N(FS86)-N(FT86),2))</f>
        <v/>
      </c>
      <c r="FV86">
        <f>N(FY85)</f>
        <v/>
      </c>
      <c r="FW86">
        <f>IF(N(FV86)&lt;=0.005,0,ROUND(N(FV86)*N('Debt List'!E7)/12,2))</f>
        <v/>
      </c>
      <c r="FX86">
        <f>IF(N(FV86)&lt;=0.005,0,MIN(N('Debt List'!F7),N(FV86)+N(FW86)))+((GT86=3)*GV86+(GX86=3)*GZ86+(HB86=3)*HD86+(HF86=3)*HH86+(HJ86=3)*HL86+(HN86=3)*HP86+(HR86=3)*HT86+(HV86=3)*HX86)</f>
        <v/>
      </c>
      <c r="FY86">
        <f>MAX(0,ROUND(N(FV86)+N(FW86)-N(FX86),2))</f>
        <v/>
      </c>
      <c r="FZ86">
        <f>N(GC85)</f>
        <v/>
      </c>
      <c r="GA86">
        <f>IF(N(FZ86)&lt;=0.005,0,ROUND(N(FZ86)*N('Debt List'!E8)/12,2))</f>
        <v/>
      </c>
      <c r="GB86">
        <f>IF(N(FZ86)&lt;=0.005,0,MIN(N('Debt List'!F8),N(FZ86)+N(GA86)))+((GT86=4)*GV86+(GX86=4)*GZ86+(HB86=4)*HD86+(HF86=4)*HH86+(HJ86=4)*HL86+(HN86=4)*HP86+(HR86=4)*HT86+(HV86=4)*HX86)</f>
        <v/>
      </c>
      <c r="GC86">
        <f>MAX(0,ROUND(N(FZ86)+N(GA86)-N(GB86),2))</f>
        <v/>
      </c>
      <c r="GD86">
        <f>N(GG85)</f>
        <v/>
      </c>
      <c r="GE86">
        <f>IF(N(GD86)&lt;=0.005,0,ROUND(N(GD86)*N('Debt List'!E9)/12,2))</f>
        <v/>
      </c>
      <c r="GF86">
        <f>IF(N(GD86)&lt;=0.005,0,MIN(N('Debt List'!F9),N(GD86)+N(GE86)))+((GT86=5)*GV86+(GX86=5)*GZ86+(HB86=5)*HD86+(HF86=5)*HH86+(HJ86=5)*HL86+(HN86=5)*HP86+(HR86=5)*HT86+(HV86=5)*HX86)</f>
        <v/>
      </c>
      <c r="GG86">
        <f>MAX(0,ROUND(N(GD86)+N(GE86)-N(GF86),2))</f>
        <v/>
      </c>
      <c r="GH86">
        <f>N(GK85)</f>
        <v/>
      </c>
      <c r="GI86">
        <f>IF(N(GH86)&lt;=0.005,0,ROUND(N(GH86)*N('Debt List'!E10)/12,2))</f>
        <v/>
      </c>
      <c r="GJ86">
        <f>IF(N(GH86)&lt;=0.005,0,MIN(N('Debt List'!F10),N(GH86)+N(GI86)))+((GT86=6)*GV86+(GX86=6)*GZ86+(HB86=6)*HD86+(HF86=6)*HH86+(HJ86=6)*HL86+(HN86=6)*HP86+(HR86=6)*HT86+(HV86=6)*HX86)</f>
        <v/>
      </c>
      <c r="GK86">
        <f>MAX(0,ROUND(N(GH86)+N(GI86)-N(GJ86),2))</f>
        <v/>
      </c>
      <c r="GL86">
        <f>N(GO85)</f>
        <v/>
      </c>
      <c r="GM86">
        <f>IF(N(GL86)&lt;=0.005,0,ROUND(N(GL86)*N('Debt List'!E11)/12,2))</f>
        <v/>
      </c>
      <c r="GN86">
        <f>IF(N(GL86)&lt;=0.005,0,MIN(N('Debt List'!F11),N(GL86)+N(GM86)))+((GT86=7)*GV86+(GX86=7)*GZ86+(HB86=7)*HD86+(HF86=7)*HH86+(HJ86=7)*HL86+(HN86=7)*HP86+(HR86=7)*HT86+(HV86=7)*HX86)</f>
        <v/>
      </c>
      <c r="GO86">
        <f>MAX(0,ROUND(N(GL86)+N(GM86)-N(GN86),2))</f>
        <v/>
      </c>
      <c r="GP86">
        <f>N(GS85)</f>
        <v/>
      </c>
      <c r="GQ86">
        <f>IF(N(GP86)&lt;=0.005,0,ROUND(N(GP86)*N('Debt List'!E12)/12,2))</f>
        <v/>
      </c>
      <c r="GR86">
        <f>IF(N(GP86)&lt;=0.005,0,MIN(N('Debt List'!F12),N(GP86)+N(GQ86)))+((GT86=8)*GV86+(GX86=8)*GZ86+(HB86=8)*HD86+(HF86=8)*HH86+(HJ86=8)*HL86+(HN86=8)*HP86+(HR86=8)*HT86+(HV86=8)*HX86)</f>
        <v/>
      </c>
      <c r="GS86">
        <f>MAX(0,ROUND(N(GP86)+N(GQ86)-N(GR86),2))</f>
        <v/>
      </c>
      <c r="GT86">
        <f>IFERROR(MATCH(1,OrderAval,0),"")</f>
        <v/>
      </c>
      <c r="GU86">
        <f>IF(GT86="",0,IFERROR(IF(N(CHOOSE(GT86,FN86,FR86,FV86,FZ86,GD86,GH86,GL86,GP86))&lt;=0.005,0,MAX(0,N(CHOOSE(GT86,FN86,FR86,FV86,FZ86,GD86,GH86,GL86,GP86))+N(CHOOSE(GT86,FO86,FS86,FW86,GA86,GE86,GI86,GM86,GQ86))-MIN(N(CHOOSE(GT86,'Debt List'!$F$5,'Debt List'!$F$6,'Debt List'!$F$7,'Debt List'!$F$8,'Debt List'!$F$9,'Debt List'!$F$10,'Debt List'!$F$11,'Debt List'!$F$12)),N(CHOOSE(GT86,FN86,FR86,FV86,FZ86,GD86,GH86,GL86,GP86))+N(CHOOSE(GT86,FO86,FS86,FW86,GA86,GE86,GI86,GM86,GQ86))))),0))</f>
        <v/>
      </c>
      <c r="GV86">
        <f>MIN(N(GU86),MAX(0,N(ExtraPayment)))</f>
        <v/>
      </c>
      <c r="GW86">
        <f>MAX(0,N(ExtraPayment)-N(GV86))</f>
        <v/>
      </c>
      <c r="GX86">
        <f>IFERROR(MATCH(2,OrderAval,0),"")</f>
        <v/>
      </c>
      <c r="GY86">
        <f>IF(GX86="",0,IFERROR(IF(N(CHOOSE(GX86,FN86,FR86,FV86,FZ86,GD86,GH86,GL86,GP86))&lt;=0.005,0,MAX(0,N(CHOOSE(GX86,FN86,FR86,FV86,FZ86,GD86,GH86,GL86,GP86))+N(CHOOSE(GX86,FO86,FS86,FW86,GA86,GE86,GI86,GM86,GQ86))-MIN(N(CHOOSE(GX86,'Debt List'!$F$5,'Debt List'!$F$6,'Debt List'!$F$7,'Debt List'!$F$8,'Debt List'!$F$9,'Debt List'!$F$10,'Debt List'!$F$11,'Debt List'!$F$12)),N(CHOOSE(GX86,FN86,FR86,FV86,FZ86,GD86,GH86,GL86,GP86))+N(CHOOSE(GX86,FO86,FS86,FW86,GA86,GE86,GI86,GM86,GQ86))))),0))</f>
        <v/>
      </c>
      <c r="GZ86">
        <f>MIN(N(GY86),MAX(0,N(GW86)))</f>
        <v/>
      </c>
      <c r="HA86">
        <f>MAX(0,N(GW86)-N(GZ86))</f>
        <v/>
      </c>
      <c r="HB86">
        <f>IFERROR(MATCH(3,OrderAval,0),"")</f>
        <v/>
      </c>
      <c r="HC86">
        <f>IF(HB86="",0,IFERROR(IF(N(CHOOSE(HB86,FN86,FR86,FV86,FZ86,GD86,GH86,GL86,GP86))&lt;=0.005,0,MAX(0,N(CHOOSE(HB86,FN86,FR86,FV86,FZ86,GD86,GH86,GL86,GP86))+N(CHOOSE(HB86,FO86,FS86,FW86,GA86,GE86,GI86,GM86,GQ86))-MIN(N(CHOOSE(HB86,'Debt List'!$F$5,'Debt List'!$F$6,'Debt List'!$F$7,'Debt List'!$F$8,'Debt List'!$F$9,'Debt List'!$F$10,'Debt List'!$F$11,'Debt List'!$F$12)),N(CHOOSE(HB86,FN86,FR86,FV86,FZ86,GD86,GH86,GL86,GP86))+N(CHOOSE(HB86,FO86,FS86,FW86,GA86,GE86,GI86,GM86,GQ86))))),0))</f>
        <v/>
      </c>
      <c r="HD86">
        <f>MIN(N(HC86),MAX(0,N(HA86)))</f>
        <v/>
      </c>
      <c r="HE86">
        <f>MAX(0,N(HA86)-N(HD86))</f>
        <v/>
      </c>
      <c r="HF86">
        <f>IFERROR(MATCH(4,OrderAval,0),"")</f>
        <v/>
      </c>
      <c r="HG86">
        <f>IF(HF86="",0,IFERROR(IF(N(CHOOSE(HF86,FN86,FR86,FV86,FZ86,GD86,GH86,GL86,GP86))&lt;=0.005,0,MAX(0,N(CHOOSE(HF86,FN86,FR86,FV86,FZ86,GD86,GH86,GL86,GP86))+N(CHOOSE(HF86,FO86,FS86,FW86,GA86,GE86,GI86,GM86,GQ86))-MIN(N(CHOOSE(HF86,'Debt List'!$F$5,'Debt List'!$F$6,'Debt List'!$F$7,'Debt List'!$F$8,'Debt List'!$F$9,'Debt List'!$F$10,'Debt List'!$F$11,'Debt List'!$F$12)),N(CHOOSE(HF86,FN86,FR86,FV86,FZ86,GD86,GH86,GL86,GP86))+N(CHOOSE(HF86,FO86,FS86,FW86,GA86,GE86,GI86,GM86,GQ86))))),0))</f>
        <v/>
      </c>
      <c r="HH86">
        <f>MIN(N(HG86),MAX(0,N(HE86)))</f>
        <v/>
      </c>
      <c r="HI86">
        <f>MAX(0,N(HE86)-N(HH86))</f>
        <v/>
      </c>
      <c r="HJ86">
        <f>IFERROR(MATCH(5,OrderAval,0),"")</f>
        <v/>
      </c>
      <c r="HK86">
        <f>IF(HJ86="",0,IFERROR(IF(N(CHOOSE(HJ86,FN86,FR86,FV86,FZ86,GD86,GH86,GL86,GP86))&lt;=0.005,0,MAX(0,N(CHOOSE(HJ86,FN86,FR86,FV86,FZ86,GD86,GH86,GL86,GP86))+N(CHOOSE(HJ86,FO86,FS86,FW86,GA86,GE86,GI86,GM86,GQ86))-MIN(N(CHOOSE(HJ86,'Debt List'!$F$5,'Debt List'!$F$6,'Debt List'!$F$7,'Debt List'!$F$8,'Debt List'!$F$9,'Debt List'!$F$10,'Debt List'!$F$11,'Debt List'!$F$12)),N(CHOOSE(HJ86,FN86,FR86,FV86,FZ86,GD86,GH86,GL86,GP86))+N(CHOOSE(HJ86,FO86,FS86,FW86,GA86,GE86,GI86,GM86,GQ86))))),0))</f>
        <v/>
      </c>
      <c r="HL86">
        <f>MIN(N(HK86),MAX(0,N(HI86)))</f>
        <v/>
      </c>
      <c r="HM86">
        <f>MAX(0,N(HI86)-N(HL86))</f>
        <v/>
      </c>
      <c r="HN86">
        <f>IFERROR(MATCH(6,OrderAval,0),"")</f>
        <v/>
      </c>
      <c r="HO86">
        <f>IF(HN86="",0,IFERROR(IF(N(CHOOSE(HN86,FN86,FR86,FV86,FZ86,GD86,GH86,GL86,GP86))&lt;=0.005,0,MAX(0,N(CHOOSE(HN86,FN86,FR86,FV86,FZ86,GD86,GH86,GL86,GP86))+N(CHOOSE(HN86,FO86,FS86,FW86,GA86,GE86,GI86,GM86,GQ86))-MIN(N(CHOOSE(HN86,'Debt List'!$F$5,'Debt List'!$F$6,'Debt List'!$F$7,'Debt List'!$F$8,'Debt List'!$F$9,'Debt List'!$F$10,'Debt List'!$F$11,'Debt List'!$F$12)),N(CHOOSE(HN86,FN86,FR86,FV86,FZ86,GD86,GH86,GL86,GP86))+N(CHOOSE(HN86,FO86,FS86,FW86,GA86,GE86,GI86,GM86,GQ86))))),0))</f>
        <v/>
      </c>
      <c r="HP86">
        <f>MIN(N(HO86),MAX(0,N(HM86)))</f>
        <v/>
      </c>
      <c r="HQ86">
        <f>MAX(0,N(HM86)-N(HP86))</f>
        <v/>
      </c>
      <c r="HR86">
        <f>IFERROR(MATCH(7,OrderAval,0),"")</f>
        <v/>
      </c>
      <c r="HS86">
        <f>IF(HR86="",0,IFERROR(IF(N(CHOOSE(HR86,FN86,FR86,FV86,FZ86,GD86,GH86,GL86,GP86))&lt;=0.005,0,MAX(0,N(CHOOSE(HR86,FN86,FR86,FV86,FZ86,GD86,GH86,GL86,GP86))+N(CHOOSE(HR86,FO86,FS86,FW86,GA86,GE86,GI86,GM86,GQ86))-MIN(N(CHOOSE(HR86,'Debt List'!$F$5,'Debt List'!$F$6,'Debt List'!$F$7,'Debt List'!$F$8,'Debt List'!$F$9,'Debt List'!$F$10,'Debt List'!$F$11,'Debt List'!$F$12)),N(CHOOSE(HR86,FN86,FR86,FV86,FZ86,GD86,GH86,GL86,GP86))+N(CHOOSE(HR86,FO86,FS86,FW86,GA86,GE86,GI86,GM86,GQ86))))),0))</f>
        <v/>
      </c>
      <c r="HT86">
        <f>MIN(N(HS86),MAX(0,N(HQ86)))</f>
        <v/>
      </c>
      <c r="HU86">
        <f>MAX(0,N(HQ86)-N(HT86))</f>
        <v/>
      </c>
      <c r="HV86">
        <f>IFERROR(MATCH(8,OrderAval,0),"")</f>
        <v/>
      </c>
      <c r="HW86">
        <f>IF(HV86="",0,IFERROR(IF(N(CHOOSE(HV86,FN86,FR86,FV86,FZ86,GD86,GH86,GL86,GP86))&lt;=0.005,0,MAX(0,N(CHOOSE(HV86,FN86,FR86,FV86,FZ86,GD86,GH86,GL86,GP86))+N(CHOOSE(HV86,FO86,FS86,FW86,GA86,GE86,GI86,GM86,GQ86))-MIN(N(CHOOSE(HV86,'Debt List'!$F$5,'Debt List'!$F$6,'Debt List'!$F$7,'Debt List'!$F$8,'Debt List'!$F$9,'Debt List'!$F$10,'Debt List'!$F$11,'Debt List'!$F$12)),N(CHOOSE(HV86,FN86,FR86,FV86,FZ86,GD86,GH86,GL86,GP86))+N(CHOOSE(HV86,FO86,FS86,FW86,GA86,GE86,GI86,GM86,GQ86))))),0))</f>
        <v/>
      </c>
      <c r="HX86">
        <f>MIN(N(HW86),MAX(0,N(HU86)))</f>
        <v/>
      </c>
      <c r="HY86">
        <f>MAX(0,N(HU86)-N(HX86))</f>
        <v/>
      </c>
    </row>
    <row r="87">
      <c r="A87" t="n">
        <v>83</v>
      </c>
      <c r="B87" s="115">
        <f>DATE(YEAR(PlanStart),MONTH(PlanStart)+A87-1,1)</f>
        <v/>
      </c>
      <c r="C87">
        <f>IF(AND(AP87&lt;&gt;"",N(CHOOSE(AP87,J87,N87,R87,V87,Z87,AD87,AH87,AL87))&gt;0.005),INDEX(DebtNames,AP87),IF(AND(AT87&lt;&gt;"",N(CHOOSE(AT87,J87,N87,R87,V87,Z87,AD87,AH87,AL87))&gt;0.005),INDEX(DebtNames,AT87),IF(AND(AX87&lt;&gt;"",N(CHOOSE(AX87,J87,N87,R87,V87,Z87,AD87,AH87,AL87))&gt;0.005),INDEX(DebtNames,AX87),IF(AND(BB87&lt;&gt;"",N(CHOOSE(BB87,J87,N87,R87,V87,Z87,AD87,AH87,AL87))&gt;0.005),INDEX(DebtNames,BB87),IF(AND(BF87&lt;&gt;"",N(CHOOSE(BF87,J87,N87,R87,V87,Z87,AD87,AH87,AL87))&gt;0.005),INDEX(DebtNames,BF87),IF(AND(BJ87&lt;&gt;"",N(CHOOSE(BJ87,J87,N87,R87,V87,Z87,AD87,AH87,AL87))&gt;0.005),INDEX(DebtNames,BJ87),IF(AND(BN87&lt;&gt;"",N(CHOOSE(BN87,J87,N87,R87,V87,Z87,AD87,AH87,AL87))&gt;0.005),INDEX(DebtNames,BN87),IF(AND(BR87&lt;&gt;"",N(CHOOSE(BR87,J87,N87,R87,V87,Z87,AD87,AH87,AL87))&gt;0.005),INDEX(DebtNames,BR87),""))))))))</f>
        <v/>
      </c>
      <c r="D87">
        <f>N(BU87)</f>
        <v/>
      </c>
      <c r="E87">
        <f>N(L87)+N(P87)+N(T87)+N(X87)+N(AB87)+N(AF87)+N(AJ87)+N(AN87)</f>
        <v/>
      </c>
      <c r="F87">
        <f>N(K87)+N(O87)+N(S87)+N(W87)+N(AA87)+N(AE87)+N(AI87)+N(AM87)</f>
        <v/>
      </c>
      <c r="G87">
        <f>N(G86)+N(F87)</f>
        <v/>
      </c>
      <c r="H87">
        <f>N(M87)+N(Q87)+N(U87)+N(Y87)+N(AC87)+N(AG87)+N(AK87)+N(AO87)</f>
        <v/>
      </c>
      <c r="I87">
        <f>(M87&gt;0.005)*1+(Q87&gt;0.005)*1+(U87&gt;0.005)*1+(Y87&gt;0.005)*1+(AC87&gt;0.005)*1+(AG87&gt;0.005)*1+(AK87&gt;0.005)*1+(AO87&gt;0.005)*1</f>
        <v/>
      </c>
      <c r="J87">
        <f>N(M86)</f>
        <v/>
      </c>
      <c r="K87">
        <f>IF(N(J87)&lt;=0.005,0,ROUND(N(J87)*N('Debt List'!E5)/12,2))</f>
        <v/>
      </c>
      <c r="L87">
        <f>IF(N(J87)&lt;=0.005,0,MIN(N('Debt List'!F5),N(J87)+N(K87)))+((AP87=1)*AR87+(AT87=1)*AV87+(AX87=1)*AZ87+(BB87=1)*BD87+(BF87=1)*BH87+(BJ87=1)*BL87+(BN87=1)*BP87+(BR87=1)*BT87)</f>
        <v/>
      </c>
      <c r="M87">
        <f>MAX(0,ROUND(N(J87)+N(K87)-N(L87),2))</f>
        <v/>
      </c>
      <c r="N87">
        <f>N(Q86)</f>
        <v/>
      </c>
      <c r="O87">
        <f>IF(N(N87)&lt;=0.005,0,ROUND(N(N87)*N('Debt List'!E6)/12,2))</f>
        <v/>
      </c>
      <c r="P87">
        <f>IF(N(N87)&lt;=0.005,0,MIN(N('Debt List'!F6),N(N87)+N(O87)))+((AP87=2)*AR87+(AT87=2)*AV87+(AX87=2)*AZ87+(BB87=2)*BD87+(BF87=2)*BH87+(BJ87=2)*BL87+(BN87=2)*BP87+(BR87=2)*BT87)</f>
        <v/>
      </c>
      <c r="Q87">
        <f>MAX(0,ROUND(N(N87)+N(O87)-N(P87),2))</f>
        <v/>
      </c>
      <c r="R87">
        <f>N(U86)</f>
        <v/>
      </c>
      <c r="S87">
        <f>IF(N(R87)&lt;=0.005,0,ROUND(N(R87)*N('Debt List'!E7)/12,2))</f>
        <v/>
      </c>
      <c r="T87">
        <f>IF(N(R87)&lt;=0.005,0,MIN(N('Debt List'!F7),N(R87)+N(S87)))+((AP87=3)*AR87+(AT87=3)*AV87+(AX87=3)*AZ87+(BB87=3)*BD87+(BF87=3)*BH87+(BJ87=3)*BL87+(BN87=3)*BP87+(BR87=3)*BT87)</f>
        <v/>
      </c>
      <c r="U87">
        <f>MAX(0,ROUND(N(R87)+N(S87)-N(T87),2))</f>
        <v/>
      </c>
      <c r="V87">
        <f>N(Y86)</f>
        <v/>
      </c>
      <c r="W87">
        <f>IF(N(V87)&lt;=0.005,0,ROUND(N(V87)*N('Debt List'!E8)/12,2))</f>
        <v/>
      </c>
      <c r="X87">
        <f>IF(N(V87)&lt;=0.005,0,MIN(N('Debt List'!F8),N(V87)+N(W87)))+((AP87=4)*AR87+(AT87=4)*AV87+(AX87=4)*AZ87+(BB87=4)*BD87+(BF87=4)*BH87+(BJ87=4)*BL87+(BN87=4)*BP87+(BR87=4)*BT87)</f>
        <v/>
      </c>
      <c r="Y87">
        <f>MAX(0,ROUND(N(V87)+N(W87)-N(X87),2))</f>
        <v/>
      </c>
      <c r="Z87">
        <f>N(AC86)</f>
        <v/>
      </c>
      <c r="AA87">
        <f>IF(N(Z87)&lt;=0.005,0,ROUND(N(Z87)*N('Debt List'!E9)/12,2))</f>
        <v/>
      </c>
      <c r="AB87">
        <f>IF(N(Z87)&lt;=0.005,0,MIN(N('Debt List'!F9),N(Z87)+N(AA87)))+((AP87=5)*AR87+(AT87=5)*AV87+(AX87=5)*AZ87+(BB87=5)*BD87+(BF87=5)*BH87+(BJ87=5)*BL87+(BN87=5)*BP87+(BR87=5)*BT87)</f>
        <v/>
      </c>
      <c r="AC87">
        <f>MAX(0,ROUND(N(Z87)+N(AA87)-N(AB87),2))</f>
        <v/>
      </c>
      <c r="AD87">
        <f>N(AG86)</f>
        <v/>
      </c>
      <c r="AE87">
        <f>IF(N(AD87)&lt;=0.005,0,ROUND(N(AD87)*N('Debt List'!E10)/12,2))</f>
        <v/>
      </c>
      <c r="AF87">
        <f>IF(N(AD87)&lt;=0.005,0,MIN(N('Debt List'!F10),N(AD87)+N(AE87)))+((AP87=6)*AR87+(AT87=6)*AV87+(AX87=6)*AZ87+(BB87=6)*BD87+(BF87=6)*BH87+(BJ87=6)*BL87+(BN87=6)*BP87+(BR87=6)*BT87)</f>
        <v/>
      </c>
      <c r="AG87">
        <f>MAX(0,ROUND(N(AD87)+N(AE87)-N(AF87),2))</f>
        <v/>
      </c>
      <c r="AH87">
        <f>N(AK86)</f>
        <v/>
      </c>
      <c r="AI87">
        <f>IF(N(AH87)&lt;=0.005,0,ROUND(N(AH87)*N('Debt List'!E11)/12,2))</f>
        <v/>
      </c>
      <c r="AJ87">
        <f>IF(N(AH87)&lt;=0.005,0,MIN(N('Debt List'!F11),N(AH87)+N(AI87)))+((AP87=7)*AR87+(AT87=7)*AV87+(AX87=7)*AZ87+(BB87=7)*BD87+(BF87=7)*BH87+(BJ87=7)*BL87+(BN87=7)*BP87+(BR87=7)*BT87)</f>
        <v/>
      </c>
      <c r="AK87">
        <f>MAX(0,ROUND(N(AH87)+N(AI87)-N(AJ87),2))</f>
        <v/>
      </c>
      <c r="AL87">
        <f>N(AO86)</f>
        <v/>
      </c>
      <c r="AM87">
        <f>IF(N(AL87)&lt;=0.005,0,ROUND(N(AL87)*N('Debt List'!E12)/12,2))</f>
        <v/>
      </c>
      <c r="AN87">
        <f>IF(N(AL87)&lt;=0.005,0,MIN(N('Debt List'!F12),N(AL87)+N(AM87)))+((AP87=8)*AR87+(AT87=8)*AV87+(AX87=8)*AZ87+(BB87=8)*BD87+(BF87=8)*BH87+(BJ87=8)*BL87+(BN87=8)*BP87+(BR87=8)*BT87)</f>
        <v/>
      </c>
      <c r="AO87">
        <f>MAX(0,ROUND(N(AL87)+N(AM87)-N(AN87),2))</f>
        <v/>
      </c>
      <c r="AP87">
        <f>IFERROR(MATCH(1,OrderPlan,0),"")</f>
        <v/>
      </c>
      <c r="AQ87">
        <f>IF(AP87="",0,IFERROR(IF(N(CHOOSE(AP87,J87,N87,R87,V87,Z87,AD87,AH87,AL87))&lt;=0.005,0,MAX(0,N(CHOOSE(AP87,J87,N87,R87,V87,Z87,AD87,AH87,AL87))+N(CHOOSE(AP87,K87,O87,S87,W87,AA87,AE87,AI87,AM87))-MIN(N(CHOOSE(AP87,'Debt List'!$F$5,'Debt List'!$F$6,'Debt List'!$F$7,'Debt List'!$F$8,'Debt List'!$F$9,'Debt List'!$F$10,'Debt List'!$F$11,'Debt List'!$F$12)),N(CHOOSE(AP87,J87,N87,R87,V87,Z87,AD87,AH87,AL87))+N(CHOOSE(AP87,K87,O87,S87,W87,AA87,AE87,AI87,AM87))))),0))</f>
        <v/>
      </c>
      <c r="AR87">
        <f>MIN(N(AQ87),MAX(0,N(ExtraPayment)))</f>
        <v/>
      </c>
      <c r="AS87">
        <f>MAX(0,N(ExtraPayment)-N(AR87))</f>
        <v/>
      </c>
      <c r="AT87">
        <f>IFERROR(MATCH(2,OrderPlan,0),"")</f>
        <v/>
      </c>
      <c r="AU87">
        <f>IF(AT87="",0,IFERROR(IF(N(CHOOSE(AT87,J87,N87,R87,V87,Z87,AD87,AH87,AL87))&lt;=0.005,0,MAX(0,N(CHOOSE(AT87,J87,N87,R87,V87,Z87,AD87,AH87,AL87))+N(CHOOSE(AT87,K87,O87,S87,W87,AA87,AE87,AI87,AM87))-MIN(N(CHOOSE(AT87,'Debt List'!$F$5,'Debt List'!$F$6,'Debt List'!$F$7,'Debt List'!$F$8,'Debt List'!$F$9,'Debt List'!$F$10,'Debt List'!$F$11,'Debt List'!$F$12)),N(CHOOSE(AT87,J87,N87,R87,V87,Z87,AD87,AH87,AL87))+N(CHOOSE(AT87,K87,O87,S87,W87,AA87,AE87,AI87,AM87))))),0))</f>
        <v/>
      </c>
      <c r="AV87">
        <f>MIN(N(AU87),MAX(0,N(AS87)))</f>
        <v/>
      </c>
      <c r="AW87">
        <f>MAX(0,N(AS87)-N(AV87))</f>
        <v/>
      </c>
      <c r="AX87">
        <f>IFERROR(MATCH(3,OrderPlan,0),"")</f>
        <v/>
      </c>
      <c r="AY87">
        <f>IF(AX87="",0,IFERROR(IF(N(CHOOSE(AX87,J87,N87,R87,V87,Z87,AD87,AH87,AL87))&lt;=0.005,0,MAX(0,N(CHOOSE(AX87,J87,N87,R87,V87,Z87,AD87,AH87,AL87))+N(CHOOSE(AX87,K87,O87,S87,W87,AA87,AE87,AI87,AM87))-MIN(N(CHOOSE(AX87,'Debt List'!$F$5,'Debt List'!$F$6,'Debt List'!$F$7,'Debt List'!$F$8,'Debt List'!$F$9,'Debt List'!$F$10,'Debt List'!$F$11,'Debt List'!$F$12)),N(CHOOSE(AX87,J87,N87,R87,V87,Z87,AD87,AH87,AL87))+N(CHOOSE(AX87,K87,O87,S87,W87,AA87,AE87,AI87,AM87))))),0))</f>
        <v/>
      </c>
      <c r="AZ87">
        <f>MIN(N(AY87),MAX(0,N(AW87)))</f>
        <v/>
      </c>
      <c r="BA87">
        <f>MAX(0,N(AW87)-N(AZ87))</f>
        <v/>
      </c>
      <c r="BB87">
        <f>IFERROR(MATCH(4,OrderPlan,0),"")</f>
        <v/>
      </c>
      <c r="BC87">
        <f>IF(BB87="",0,IFERROR(IF(N(CHOOSE(BB87,J87,N87,R87,V87,Z87,AD87,AH87,AL87))&lt;=0.005,0,MAX(0,N(CHOOSE(BB87,J87,N87,R87,V87,Z87,AD87,AH87,AL87))+N(CHOOSE(BB87,K87,O87,S87,W87,AA87,AE87,AI87,AM87))-MIN(N(CHOOSE(BB87,'Debt List'!$F$5,'Debt List'!$F$6,'Debt List'!$F$7,'Debt List'!$F$8,'Debt List'!$F$9,'Debt List'!$F$10,'Debt List'!$F$11,'Debt List'!$F$12)),N(CHOOSE(BB87,J87,N87,R87,V87,Z87,AD87,AH87,AL87))+N(CHOOSE(BB87,K87,O87,S87,W87,AA87,AE87,AI87,AM87))))),0))</f>
        <v/>
      </c>
      <c r="BD87">
        <f>MIN(N(BC87),MAX(0,N(BA87)))</f>
        <v/>
      </c>
      <c r="BE87">
        <f>MAX(0,N(BA87)-N(BD87))</f>
        <v/>
      </c>
      <c r="BF87">
        <f>IFERROR(MATCH(5,OrderPlan,0),"")</f>
        <v/>
      </c>
      <c r="BG87">
        <f>IF(BF87="",0,IFERROR(IF(N(CHOOSE(BF87,J87,N87,R87,V87,Z87,AD87,AH87,AL87))&lt;=0.005,0,MAX(0,N(CHOOSE(BF87,J87,N87,R87,V87,Z87,AD87,AH87,AL87))+N(CHOOSE(BF87,K87,O87,S87,W87,AA87,AE87,AI87,AM87))-MIN(N(CHOOSE(BF87,'Debt List'!$F$5,'Debt List'!$F$6,'Debt List'!$F$7,'Debt List'!$F$8,'Debt List'!$F$9,'Debt List'!$F$10,'Debt List'!$F$11,'Debt List'!$F$12)),N(CHOOSE(BF87,J87,N87,R87,V87,Z87,AD87,AH87,AL87))+N(CHOOSE(BF87,K87,O87,S87,W87,AA87,AE87,AI87,AM87))))),0))</f>
        <v/>
      </c>
      <c r="BH87">
        <f>MIN(N(BG87),MAX(0,N(BE87)))</f>
        <v/>
      </c>
      <c r="BI87">
        <f>MAX(0,N(BE87)-N(BH87))</f>
        <v/>
      </c>
      <c r="BJ87">
        <f>IFERROR(MATCH(6,OrderPlan,0),"")</f>
        <v/>
      </c>
      <c r="BK87">
        <f>IF(BJ87="",0,IFERROR(IF(N(CHOOSE(BJ87,J87,N87,R87,V87,Z87,AD87,AH87,AL87))&lt;=0.005,0,MAX(0,N(CHOOSE(BJ87,J87,N87,R87,V87,Z87,AD87,AH87,AL87))+N(CHOOSE(BJ87,K87,O87,S87,W87,AA87,AE87,AI87,AM87))-MIN(N(CHOOSE(BJ87,'Debt List'!$F$5,'Debt List'!$F$6,'Debt List'!$F$7,'Debt List'!$F$8,'Debt List'!$F$9,'Debt List'!$F$10,'Debt List'!$F$11,'Debt List'!$F$12)),N(CHOOSE(BJ87,J87,N87,R87,V87,Z87,AD87,AH87,AL87))+N(CHOOSE(BJ87,K87,O87,S87,W87,AA87,AE87,AI87,AM87))))),0))</f>
        <v/>
      </c>
      <c r="BL87">
        <f>MIN(N(BK87),MAX(0,N(BI87)))</f>
        <v/>
      </c>
      <c r="BM87">
        <f>MAX(0,N(BI87)-N(BL87))</f>
        <v/>
      </c>
      <c r="BN87">
        <f>IFERROR(MATCH(7,OrderPlan,0),"")</f>
        <v/>
      </c>
      <c r="BO87">
        <f>IF(BN87="",0,IFERROR(IF(N(CHOOSE(BN87,J87,N87,R87,V87,Z87,AD87,AH87,AL87))&lt;=0.005,0,MAX(0,N(CHOOSE(BN87,J87,N87,R87,V87,Z87,AD87,AH87,AL87))+N(CHOOSE(BN87,K87,O87,S87,W87,AA87,AE87,AI87,AM87))-MIN(N(CHOOSE(BN87,'Debt List'!$F$5,'Debt List'!$F$6,'Debt List'!$F$7,'Debt List'!$F$8,'Debt List'!$F$9,'Debt List'!$F$10,'Debt List'!$F$11,'Debt List'!$F$12)),N(CHOOSE(BN87,J87,N87,R87,V87,Z87,AD87,AH87,AL87))+N(CHOOSE(BN87,K87,O87,S87,W87,AA87,AE87,AI87,AM87))))),0))</f>
        <v/>
      </c>
      <c r="BP87">
        <f>MIN(N(BO87),MAX(0,N(BM87)))</f>
        <v/>
      </c>
      <c r="BQ87">
        <f>MAX(0,N(BM87)-N(BP87))</f>
        <v/>
      </c>
      <c r="BR87">
        <f>IFERROR(MATCH(8,OrderPlan,0),"")</f>
        <v/>
      </c>
      <c r="BS87">
        <f>IF(BR87="",0,IFERROR(IF(N(CHOOSE(BR87,J87,N87,R87,V87,Z87,AD87,AH87,AL87))&lt;=0.005,0,MAX(0,N(CHOOSE(BR87,J87,N87,R87,V87,Z87,AD87,AH87,AL87))+N(CHOOSE(BR87,K87,O87,S87,W87,AA87,AE87,AI87,AM87))-MIN(N(CHOOSE(BR87,'Debt List'!$F$5,'Debt List'!$F$6,'Debt List'!$F$7,'Debt List'!$F$8,'Debt List'!$F$9,'Debt List'!$F$10,'Debt List'!$F$11,'Debt List'!$F$12)),N(CHOOSE(BR87,J87,N87,R87,V87,Z87,AD87,AH87,AL87))+N(CHOOSE(BR87,K87,O87,S87,W87,AA87,AE87,AI87,AM87))))),0))</f>
        <v/>
      </c>
      <c r="BT87">
        <f>MIN(N(BS87),MAX(0,N(BQ87)))</f>
        <v/>
      </c>
      <c r="BU87">
        <f>MAX(0,N(BQ87)-N(BT87))</f>
        <v/>
      </c>
      <c r="CC87" t="n">
        <v>83</v>
      </c>
      <c r="CD87" s="115">
        <f>DATE(YEAR(PlanStart),MONTH(PlanStart)+CC87-1,1)</f>
        <v/>
      </c>
      <c r="CE87">
        <f>IF(AND(DR87&lt;&gt;"",N(CHOOSE(DR87,CL87,CP87,CT87,CX87,DB87,DF87,DJ87,DN87))&gt;0.005),INDEX(DebtNames,DR87),IF(AND(DV87&lt;&gt;"",N(CHOOSE(DV87,CL87,CP87,CT87,CX87,DB87,DF87,DJ87,DN87))&gt;0.005),INDEX(DebtNames,DV87),IF(AND(DZ87&lt;&gt;"",N(CHOOSE(DZ87,CL87,CP87,CT87,CX87,DB87,DF87,DJ87,DN87))&gt;0.005),INDEX(DebtNames,DZ87),IF(AND(ED87&lt;&gt;"",N(CHOOSE(ED87,CL87,CP87,CT87,CX87,DB87,DF87,DJ87,DN87))&gt;0.005),INDEX(DebtNames,ED87),IF(AND(EH87&lt;&gt;"",N(CHOOSE(EH87,CL87,CP87,CT87,CX87,DB87,DF87,DJ87,DN87))&gt;0.005),INDEX(DebtNames,EH87),IF(AND(EL87&lt;&gt;"",N(CHOOSE(EL87,CL87,CP87,CT87,CX87,DB87,DF87,DJ87,DN87))&gt;0.005),INDEX(DebtNames,EL87),IF(AND(EP87&lt;&gt;"",N(CHOOSE(EP87,CL87,CP87,CT87,CX87,DB87,DF87,DJ87,DN87))&gt;0.005),INDEX(DebtNames,EP87),IF(AND(ET87&lt;&gt;"",N(CHOOSE(ET87,CL87,CP87,CT87,CX87,DB87,DF87,DJ87,DN87))&gt;0.005),INDEX(DebtNames,ET87),""))))))))</f>
        <v/>
      </c>
      <c r="CF87">
        <f>N(EW87)</f>
        <v/>
      </c>
      <c r="CG87">
        <f>N(CN87)+N(CR87)+N(CV87)+N(CZ87)+N(DD87)+N(DH87)+N(DL87)+N(DP87)</f>
        <v/>
      </c>
      <c r="CH87">
        <f>N(CM87)+N(CQ87)+N(CU87)+N(CY87)+N(DC87)+N(DG87)+N(DK87)+N(DO87)</f>
        <v/>
      </c>
      <c r="CI87">
        <f>N(CI86)+N(CH87)</f>
        <v/>
      </c>
      <c r="CJ87">
        <f>N(CO87)+N(CS87)+N(CW87)+N(DA87)+N(DE87)+N(DI87)+N(DM87)+N(DQ87)</f>
        <v/>
      </c>
      <c r="CK87">
        <f>(CO87&gt;0.005)*1+(CS87&gt;0.005)*1+(CW87&gt;0.005)*1+(DA87&gt;0.005)*1+(DE87&gt;0.005)*1+(DI87&gt;0.005)*1+(DM87&gt;0.005)*1+(DQ87&gt;0.005)*1</f>
        <v/>
      </c>
      <c r="CL87">
        <f>N(CO86)</f>
        <v/>
      </c>
      <c r="CM87">
        <f>IF(N(CL87)&lt;=0.005,0,ROUND(N(CL87)*N('Debt List'!E5)/12,2))</f>
        <v/>
      </c>
      <c r="CN87">
        <f>IF(N(CL87)&lt;=0.005,0,MIN(N('Debt List'!F5),N(CL87)+N(CM87)))+((DR87=1)*DT87+(DV87=1)*DX87+(DZ87=1)*EB87+(ED87=1)*EF87+(EH87=1)*EJ87+(EL87=1)*EN87+(EP87=1)*ER87+(ET87=1)*EV87)</f>
        <v/>
      </c>
      <c r="CO87">
        <f>MAX(0,ROUND(N(CL87)+N(CM87)-N(CN87),2))</f>
        <v/>
      </c>
      <c r="CP87">
        <f>N(CS86)</f>
        <v/>
      </c>
      <c r="CQ87">
        <f>IF(N(CP87)&lt;=0.005,0,ROUND(N(CP87)*N('Debt List'!E6)/12,2))</f>
        <v/>
      </c>
      <c r="CR87">
        <f>IF(N(CP87)&lt;=0.005,0,MIN(N('Debt List'!F6),N(CP87)+N(CQ87)))+((DR87=2)*DT87+(DV87=2)*DX87+(DZ87=2)*EB87+(ED87=2)*EF87+(EH87=2)*EJ87+(EL87=2)*EN87+(EP87=2)*ER87+(ET87=2)*EV87)</f>
        <v/>
      </c>
      <c r="CS87">
        <f>MAX(0,ROUND(N(CP87)+N(CQ87)-N(CR87),2))</f>
        <v/>
      </c>
      <c r="CT87">
        <f>N(CW86)</f>
        <v/>
      </c>
      <c r="CU87">
        <f>IF(N(CT87)&lt;=0.005,0,ROUND(N(CT87)*N('Debt List'!E7)/12,2))</f>
        <v/>
      </c>
      <c r="CV87">
        <f>IF(N(CT87)&lt;=0.005,0,MIN(N('Debt List'!F7),N(CT87)+N(CU87)))+((DR87=3)*DT87+(DV87=3)*DX87+(DZ87=3)*EB87+(ED87=3)*EF87+(EH87=3)*EJ87+(EL87=3)*EN87+(EP87=3)*ER87+(ET87=3)*EV87)</f>
        <v/>
      </c>
      <c r="CW87">
        <f>MAX(0,ROUND(N(CT87)+N(CU87)-N(CV87),2))</f>
        <v/>
      </c>
      <c r="CX87">
        <f>N(DA86)</f>
        <v/>
      </c>
      <c r="CY87">
        <f>IF(N(CX87)&lt;=0.005,0,ROUND(N(CX87)*N('Debt List'!E8)/12,2))</f>
        <v/>
      </c>
      <c r="CZ87">
        <f>IF(N(CX87)&lt;=0.005,0,MIN(N('Debt List'!F8),N(CX87)+N(CY87)))+((DR87=4)*DT87+(DV87=4)*DX87+(DZ87=4)*EB87+(ED87=4)*EF87+(EH87=4)*EJ87+(EL87=4)*EN87+(EP87=4)*ER87+(ET87=4)*EV87)</f>
        <v/>
      </c>
      <c r="DA87">
        <f>MAX(0,ROUND(N(CX87)+N(CY87)-N(CZ87),2))</f>
        <v/>
      </c>
      <c r="DB87">
        <f>N(DE86)</f>
        <v/>
      </c>
      <c r="DC87">
        <f>IF(N(DB87)&lt;=0.005,0,ROUND(N(DB87)*N('Debt List'!E9)/12,2))</f>
        <v/>
      </c>
      <c r="DD87">
        <f>IF(N(DB87)&lt;=0.005,0,MIN(N('Debt List'!F9),N(DB87)+N(DC87)))+((DR87=5)*DT87+(DV87=5)*DX87+(DZ87=5)*EB87+(ED87=5)*EF87+(EH87=5)*EJ87+(EL87=5)*EN87+(EP87=5)*ER87+(ET87=5)*EV87)</f>
        <v/>
      </c>
      <c r="DE87">
        <f>MAX(0,ROUND(N(DB87)+N(DC87)-N(DD87),2))</f>
        <v/>
      </c>
      <c r="DF87">
        <f>N(DI86)</f>
        <v/>
      </c>
      <c r="DG87">
        <f>IF(N(DF87)&lt;=0.005,0,ROUND(N(DF87)*N('Debt List'!E10)/12,2))</f>
        <v/>
      </c>
      <c r="DH87">
        <f>IF(N(DF87)&lt;=0.005,0,MIN(N('Debt List'!F10),N(DF87)+N(DG87)))+((DR87=6)*DT87+(DV87=6)*DX87+(DZ87=6)*EB87+(ED87=6)*EF87+(EH87=6)*EJ87+(EL87=6)*EN87+(EP87=6)*ER87+(ET87=6)*EV87)</f>
        <v/>
      </c>
      <c r="DI87">
        <f>MAX(0,ROUND(N(DF87)+N(DG87)-N(DH87),2))</f>
        <v/>
      </c>
      <c r="DJ87">
        <f>N(DM86)</f>
        <v/>
      </c>
      <c r="DK87">
        <f>IF(N(DJ87)&lt;=0.005,0,ROUND(N(DJ87)*N('Debt List'!E11)/12,2))</f>
        <v/>
      </c>
      <c r="DL87">
        <f>IF(N(DJ87)&lt;=0.005,0,MIN(N('Debt List'!F11),N(DJ87)+N(DK87)))+((DR87=7)*DT87+(DV87=7)*DX87+(DZ87=7)*EB87+(ED87=7)*EF87+(EH87=7)*EJ87+(EL87=7)*EN87+(EP87=7)*ER87+(ET87=7)*EV87)</f>
        <v/>
      </c>
      <c r="DM87">
        <f>MAX(0,ROUND(N(DJ87)+N(DK87)-N(DL87),2))</f>
        <v/>
      </c>
      <c r="DN87">
        <f>N(DQ86)</f>
        <v/>
      </c>
      <c r="DO87">
        <f>IF(N(DN87)&lt;=0.005,0,ROUND(N(DN87)*N('Debt List'!E12)/12,2))</f>
        <v/>
      </c>
      <c r="DP87">
        <f>IF(N(DN87)&lt;=0.005,0,MIN(N('Debt List'!F12),N(DN87)+N(DO87)))+((DR87=8)*DT87+(DV87=8)*DX87+(DZ87=8)*EB87+(ED87=8)*EF87+(EH87=8)*EJ87+(EL87=8)*EN87+(EP87=8)*ER87+(ET87=8)*EV87)</f>
        <v/>
      </c>
      <c r="DQ87">
        <f>MAX(0,ROUND(N(DN87)+N(DO87)-N(DP87),2))</f>
        <v/>
      </c>
      <c r="DR87">
        <f>IFERROR(MATCH(1,OrderSnow,0),"")</f>
        <v/>
      </c>
      <c r="DS87">
        <f>IF(DR87="",0,IFERROR(IF(N(CHOOSE(DR87,CL87,CP87,CT87,CX87,DB87,DF87,DJ87,DN87))&lt;=0.005,0,MAX(0,N(CHOOSE(DR87,CL87,CP87,CT87,CX87,DB87,DF87,DJ87,DN87))+N(CHOOSE(DR87,CM87,CQ87,CU87,CY87,DC87,DG87,DK87,DO87))-MIN(N(CHOOSE(DR87,'Debt List'!$F$5,'Debt List'!$F$6,'Debt List'!$F$7,'Debt List'!$F$8,'Debt List'!$F$9,'Debt List'!$F$10,'Debt List'!$F$11,'Debt List'!$F$12)),N(CHOOSE(DR87,CL87,CP87,CT87,CX87,DB87,DF87,DJ87,DN87))+N(CHOOSE(DR87,CM87,CQ87,CU87,CY87,DC87,DG87,DK87,DO87))))),0))</f>
        <v/>
      </c>
      <c r="DT87">
        <f>MIN(N(DS87),MAX(0,N(ExtraPayment)))</f>
        <v/>
      </c>
      <c r="DU87">
        <f>MAX(0,N(ExtraPayment)-N(DT87))</f>
        <v/>
      </c>
      <c r="DV87">
        <f>IFERROR(MATCH(2,OrderSnow,0),"")</f>
        <v/>
      </c>
      <c r="DW87">
        <f>IF(DV87="",0,IFERROR(IF(N(CHOOSE(DV87,CL87,CP87,CT87,CX87,DB87,DF87,DJ87,DN87))&lt;=0.005,0,MAX(0,N(CHOOSE(DV87,CL87,CP87,CT87,CX87,DB87,DF87,DJ87,DN87))+N(CHOOSE(DV87,CM87,CQ87,CU87,CY87,DC87,DG87,DK87,DO87))-MIN(N(CHOOSE(DV87,'Debt List'!$F$5,'Debt List'!$F$6,'Debt List'!$F$7,'Debt List'!$F$8,'Debt List'!$F$9,'Debt List'!$F$10,'Debt List'!$F$11,'Debt List'!$F$12)),N(CHOOSE(DV87,CL87,CP87,CT87,CX87,DB87,DF87,DJ87,DN87))+N(CHOOSE(DV87,CM87,CQ87,CU87,CY87,DC87,DG87,DK87,DO87))))),0))</f>
        <v/>
      </c>
      <c r="DX87">
        <f>MIN(N(DW87),MAX(0,N(DU87)))</f>
        <v/>
      </c>
      <c r="DY87">
        <f>MAX(0,N(DU87)-N(DX87))</f>
        <v/>
      </c>
      <c r="DZ87">
        <f>IFERROR(MATCH(3,OrderSnow,0),"")</f>
        <v/>
      </c>
      <c r="EA87">
        <f>IF(DZ87="",0,IFERROR(IF(N(CHOOSE(DZ87,CL87,CP87,CT87,CX87,DB87,DF87,DJ87,DN87))&lt;=0.005,0,MAX(0,N(CHOOSE(DZ87,CL87,CP87,CT87,CX87,DB87,DF87,DJ87,DN87))+N(CHOOSE(DZ87,CM87,CQ87,CU87,CY87,DC87,DG87,DK87,DO87))-MIN(N(CHOOSE(DZ87,'Debt List'!$F$5,'Debt List'!$F$6,'Debt List'!$F$7,'Debt List'!$F$8,'Debt List'!$F$9,'Debt List'!$F$10,'Debt List'!$F$11,'Debt List'!$F$12)),N(CHOOSE(DZ87,CL87,CP87,CT87,CX87,DB87,DF87,DJ87,DN87))+N(CHOOSE(DZ87,CM87,CQ87,CU87,CY87,DC87,DG87,DK87,DO87))))),0))</f>
        <v/>
      </c>
      <c r="EB87">
        <f>MIN(N(EA87),MAX(0,N(DY87)))</f>
        <v/>
      </c>
      <c r="EC87">
        <f>MAX(0,N(DY87)-N(EB87))</f>
        <v/>
      </c>
      <c r="ED87">
        <f>IFERROR(MATCH(4,OrderSnow,0),"")</f>
        <v/>
      </c>
      <c r="EE87">
        <f>IF(ED87="",0,IFERROR(IF(N(CHOOSE(ED87,CL87,CP87,CT87,CX87,DB87,DF87,DJ87,DN87))&lt;=0.005,0,MAX(0,N(CHOOSE(ED87,CL87,CP87,CT87,CX87,DB87,DF87,DJ87,DN87))+N(CHOOSE(ED87,CM87,CQ87,CU87,CY87,DC87,DG87,DK87,DO87))-MIN(N(CHOOSE(ED87,'Debt List'!$F$5,'Debt List'!$F$6,'Debt List'!$F$7,'Debt List'!$F$8,'Debt List'!$F$9,'Debt List'!$F$10,'Debt List'!$F$11,'Debt List'!$F$12)),N(CHOOSE(ED87,CL87,CP87,CT87,CX87,DB87,DF87,DJ87,DN87))+N(CHOOSE(ED87,CM87,CQ87,CU87,CY87,DC87,DG87,DK87,DO87))))),0))</f>
        <v/>
      </c>
      <c r="EF87">
        <f>MIN(N(EE87),MAX(0,N(EC87)))</f>
        <v/>
      </c>
      <c r="EG87">
        <f>MAX(0,N(EC87)-N(EF87))</f>
        <v/>
      </c>
      <c r="EH87">
        <f>IFERROR(MATCH(5,OrderSnow,0),"")</f>
        <v/>
      </c>
      <c r="EI87">
        <f>IF(EH87="",0,IFERROR(IF(N(CHOOSE(EH87,CL87,CP87,CT87,CX87,DB87,DF87,DJ87,DN87))&lt;=0.005,0,MAX(0,N(CHOOSE(EH87,CL87,CP87,CT87,CX87,DB87,DF87,DJ87,DN87))+N(CHOOSE(EH87,CM87,CQ87,CU87,CY87,DC87,DG87,DK87,DO87))-MIN(N(CHOOSE(EH87,'Debt List'!$F$5,'Debt List'!$F$6,'Debt List'!$F$7,'Debt List'!$F$8,'Debt List'!$F$9,'Debt List'!$F$10,'Debt List'!$F$11,'Debt List'!$F$12)),N(CHOOSE(EH87,CL87,CP87,CT87,CX87,DB87,DF87,DJ87,DN87))+N(CHOOSE(EH87,CM87,CQ87,CU87,CY87,DC87,DG87,DK87,DO87))))),0))</f>
        <v/>
      </c>
      <c r="EJ87">
        <f>MIN(N(EI87),MAX(0,N(EG87)))</f>
        <v/>
      </c>
      <c r="EK87">
        <f>MAX(0,N(EG87)-N(EJ87))</f>
        <v/>
      </c>
      <c r="EL87">
        <f>IFERROR(MATCH(6,OrderSnow,0),"")</f>
        <v/>
      </c>
      <c r="EM87">
        <f>IF(EL87="",0,IFERROR(IF(N(CHOOSE(EL87,CL87,CP87,CT87,CX87,DB87,DF87,DJ87,DN87))&lt;=0.005,0,MAX(0,N(CHOOSE(EL87,CL87,CP87,CT87,CX87,DB87,DF87,DJ87,DN87))+N(CHOOSE(EL87,CM87,CQ87,CU87,CY87,DC87,DG87,DK87,DO87))-MIN(N(CHOOSE(EL87,'Debt List'!$F$5,'Debt List'!$F$6,'Debt List'!$F$7,'Debt List'!$F$8,'Debt List'!$F$9,'Debt List'!$F$10,'Debt List'!$F$11,'Debt List'!$F$12)),N(CHOOSE(EL87,CL87,CP87,CT87,CX87,DB87,DF87,DJ87,DN87))+N(CHOOSE(EL87,CM87,CQ87,CU87,CY87,DC87,DG87,DK87,DO87))))),0))</f>
        <v/>
      </c>
      <c r="EN87">
        <f>MIN(N(EM87),MAX(0,N(EK87)))</f>
        <v/>
      </c>
      <c r="EO87">
        <f>MAX(0,N(EK87)-N(EN87))</f>
        <v/>
      </c>
      <c r="EP87">
        <f>IFERROR(MATCH(7,OrderSnow,0),"")</f>
        <v/>
      </c>
      <c r="EQ87">
        <f>IF(EP87="",0,IFERROR(IF(N(CHOOSE(EP87,CL87,CP87,CT87,CX87,DB87,DF87,DJ87,DN87))&lt;=0.005,0,MAX(0,N(CHOOSE(EP87,CL87,CP87,CT87,CX87,DB87,DF87,DJ87,DN87))+N(CHOOSE(EP87,CM87,CQ87,CU87,CY87,DC87,DG87,DK87,DO87))-MIN(N(CHOOSE(EP87,'Debt List'!$F$5,'Debt List'!$F$6,'Debt List'!$F$7,'Debt List'!$F$8,'Debt List'!$F$9,'Debt List'!$F$10,'Debt List'!$F$11,'Debt List'!$F$12)),N(CHOOSE(EP87,CL87,CP87,CT87,CX87,DB87,DF87,DJ87,DN87))+N(CHOOSE(EP87,CM87,CQ87,CU87,CY87,DC87,DG87,DK87,DO87))))),0))</f>
        <v/>
      </c>
      <c r="ER87">
        <f>MIN(N(EQ87),MAX(0,N(EO87)))</f>
        <v/>
      </c>
      <c r="ES87">
        <f>MAX(0,N(EO87)-N(ER87))</f>
        <v/>
      </c>
      <c r="ET87">
        <f>IFERROR(MATCH(8,OrderSnow,0),"")</f>
        <v/>
      </c>
      <c r="EU87">
        <f>IF(ET87="",0,IFERROR(IF(N(CHOOSE(ET87,CL87,CP87,CT87,CX87,DB87,DF87,DJ87,DN87))&lt;=0.005,0,MAX(0,N(CHOOSE(ET87,CL87,CP87,CT87,CX87,DB87,DF87,DJ87,DN87))+N(CHOOSE(ET87,CM87,CQ87,CU87,CY87,DC87,DG87,DK87,DO87))-MIN(N(CHOOSE(ET87,'Debt List'!$F$5,'Debt List'!$F$6,'Debt List'!$F$7,'Debt List'!$F$8,'Debt List'!$F$9,'Debt List'!$F$10,'Debt List'!$F$11,'Debt List'!$F$12)),N(CHOOSE(ET87,CL87,CP87,CT87,CX87,DB87,DF87,DJ87,DN87))+N(CHOOSE(ET87,CM87,CQ87,CU87,CY87,DC87,DG87,DK87,DO87))))),0))</f>
        <v/>
      </c>
      <c r="EV87">
        <f>MIN(N(EU87),MAX(0,N(ES87)))</f>
        <v/>
      </c>
      <c r="EW87">
        <f>MAX(0,N(ES87)-N(EV87))</f>
        <v/>
      </c>
      <c r="FE87" t="n">
        <v>83</v>
      </c>
      <c r="FF87" s="115">
        <f>DATE(YEAR(PlanStart),MONTH(PlanStart)+FE87-1,1)</f>
        <v/>
      </c>
      <c r="FG87">
        <f>IF(AND(GT87&lt;&gt;"",N(CHOOSE(GT87,FN87,FR87,FV87,FZ87,GD87,GH87,GL87,GP87))&gt;0.005),INDEX(DebtNames,GT87),IF(AND(GX87&lt;&gt;"",N(CHOOSE(GX87,FN87,FR87,FV87,FZ87,GD87,GH87,GL87,GP87))&gt;0.005),INDEX(DebtNames,GX87),IF(AND(HB87&lt;&gt;"",N(CHOOSE(HB87,FN87,FR87,FV87,FZ87,GD87,GH87,GL87,GP87))&gt;0.005),INDEX(DebtNames,HB87),IF(AND(HF87&lt;&gt;"",N(CHOOSE(HF87,FN87,FR87,FV87,FZ87,GD87,GH87,GL87,GP87))&gt;0.005),INDEX(DebtNames,HF87),IF(AND(HJ87&lt;&gt;"",N(CHOOSE(HJ87,FN87,FR87,FV87,FZ87,GD87,GH87,GL87,GP87))&gt;0.005),INDEX(DebtNames,HJ87),IF(AND(HN87&lt;&gt;"",N(CHOOSE(HN87,FN87,FR87,FV87,FZ87,GD87,GH87,GL87,GP87))&gt;0.005),INDEX(DebtNames,HN87),IF(AND(HR87&lt;&gt;"",N(CHOOSE(HR87,FN87,FR87,FV87,FZ87,GD87,GH87,GL87,GP87))&gt;0.005),INDEX(DebtNames,HR87),IF(AND(HV87&lt;&gt;"",N(CHOOSE(HV87,FN87,FR87,FV87,FZ87,GD87,GH87,GL87,GP87))&gt;0.005),INDEX(DebtNames,HV87),""))))))))</f>
        <v/>
      </c>
      <c r="FH87">
        <f>N(HY87)</f>
        <v/>
      </c>
      <c r="FI87">
        <f>N(FP87)+N(FT87)+N(FX87)+N(GB87)+N(GF87)+N(GJ87)+N(GN87)+N(GR87)</f>
        <v/>
      </c>
      <c r="FJ87">
        <f>N(FO87)+N(FS87)+N(FW87)+N(GA87)+N(GE87)+N(GI87)+N(GM87)+N(GQ87)</f>
        <v/>
      </c>
      <c r="FK87">
        <f>N(FK86)+N(FJ87)</f>
        <v/>
      </c>
      <c r="FL87">
        <f>N(FQ87)+N(FU87)+N(FY87)+N(GC87)+N(GG87)+N(GK87)+N(GO87)+N(GS87)</f>
        <v/>
      </c>
      <c r="FM87">
        <f>(FQ87&gt;0.005)*1+(FU87&gt;0.005)*1+(FY87&gt;0.005)*1+(GC87&gt;0.005)*1+(GG87&gt;0.005)*1+(GK87&gt;0.005)*1+(GO87&gt;0.005)*1+(GS87&gt;0.005)*1</f>
        <v/>
      </c>
      <c r="FN87">
        <f>N(FQ86)</f>
        <v/>
      </c>
      <c r="FO87">
        <f>IF(N(FN87)&lt;=0.005,0,ROUND(N(FN87)*N('Debt List'!E5)/12,2))</f>
        <v/>
      </c>
      <c r="FP87">
        <f>IF(N(FN87)&lt;=0.005,0,MIN(N('Debt List'!F5),N(FN87)+N(FO87)))+((GT87=1)*GV87+(GX87=1)*GZ87+(HB87=1)*HD87+(HF87=1)*HH87+(HJ87=1)*HL87+(HN87=1)*HP87+(HR87=1)*HT87+(HV87=1)*HX87)</f>
        <v/>
      </c>
      <c r="FQ87">
        <f>MAX(0,ROUND(N(FN87)+N(FO87)-N(FP87),2))</f>
        <v/>
      </c>
      <c r="FR87">
        <f>N(FU86)</f>
        <v/>
      </c>
      <c r="FS87">
        <f>IF(N(FR87)&lt;=0.005,0,ROUND(N(FR87)*N('Debt List'!E6)/12,2))</f>
        <v/>
      </c>
      <c r="FT87">
        <f>IF(N(FR87)&lt;=0.005,0,MIN(N('Debt List'!F6),N(FR87)+N(FS87)))+((GT87=2)*GV87+(GX87=2)*GZ87+(HB87=2)*HD87+(HF87=2)*HH87+(HJ87=2)*HL87+(HN87=2)*HP87+(HR87=2)*HT87+(HV87=2)*HX87)</f>
        <v/>
      </c>
      <c r="FU87">
        <f>MAX(0,ROUND(N(FR87)+N(FS87)-N(FT87),2))</f>
        <v/>
      </c>
      <c r="FV87">
        <f>N(FY86)</f>
        <v/>
      </c>
      <c r="FW87">
        <f>IF(N(FV87)&lt;=0.005,0,ROUND(N(FV87)*N('Debt List'!E7)/12,2))</f>
        <v/>
      </c>
      <c r="FX87">
        <f>IF(N(FV87)&lt;=0.005,0,MIN(N('Debt List'!F7),N(FV87)+N(FW87)))+((GT87=3)*GV87+(GX87=3)*GZ87+(HB87=3)*HD87+(HF87=3)*HH87+(HJ87=3)*HL87+(HN87=3)*HP87+(HR87=3)*HT87+(HV87=3)*HX87)</f>
        <v/>
      </c>
      <c r="FY87">
        <f>MAX(0,ROUND(N(FV87)+N(FW87)-N(FX87),2))</f>
        <v/>
      </c>
      <c r="FZ87">
        <f>N(GC86)</f>
        <v/>
      </c>
      <c r="GA87">
        <f>IF(N(FZ87)&lt;=0.005,0,ROUND(N(FZ87)*N('Debt List'!E8)/12,2))</f>
        <v/>
      </c>
      <c r="GB87">
        <f>IF(N(FZ87)&lt;=0.005,0,MIN(N('Debt List'!F8),N(FZ87)+N(GA87)))+((GT87=4)*GV87+(GX87=4)*GZ87+(HB87=4)*HD87+(HF87=4)*HH87+(HJ87=4)*HL87+(HN87=4)*HP87+(HR87=4)*HT87+(HV87=4)*HX87)</f>
        <v/>
      </c>
      <c r="GC87">
        <f>MAX(0,ROUND(N(FZ87)+N(GA87)-N(GB87),2))</f>
        <v/>
      </c>
      <c r="GD87">
        <f>N(GG86)</f>
        <v/>
      </c>
      <c r="GE87">
        <f>IF(N(GD87)&lt;=0.005,0,ROUND(N(GD87)*N('Debt List'!E9)/12,2))</f>
        <v/>
      </c>
      <c r="GF87">
        <f>IF(N(GD87)&lt;=0.005,0,MIN(N('Debt List'!F9),N(GD87)+N(GE87)))+((GT87=5)*GV87+(GX87=5)*GZ87+(HB87=5)*HD87+(HF87=5)*HH87+(HJ87=5)*HL87+(HN87=5)*HP87+(HR87=5)*HT87+(HV87=5)*HX87)</f>
        <v/>
      </c>
      <c r="GG87">
        <f>MAX(0,ROUND(N(GD87)+N(GE87)-N(GF87),2))</f>
        <v/>
      </c>
      <c r="GH87">
        <f>N(GK86)</f>
        <v/>
      </c>
      <c r="GI87">
        <f>IF(N(GH87)&lt;=0.005,0,ROUND(N(GH87)*N('Debt List'!E10)/12,2))</f>
        <v/>
      </c>
      <c r="GJ87">
        <f>IF(N(GH87)&lt;=0.005,0,MIN(N('Debt List'!F10),N(GH87)+N(GI87)))+((GT87=6)*GV87+(GX87=6)*GZ87+(HB87=6)*HD87+(HF87=6)*HH87+(HJ87=6)*HL87+(HN87=6)*HP87+(HR87=6)*HT87+(HV87=6)*HX87)</f>
        <v/>
      </c>
      <c r="GK87">
        <f>MAX(0,ROUND(N(GH87)+N(GI87)-N(GJ87),2))</f>
        <v/>
      </c>
      <c r="GL87">
        <f>N(GO86)</f>
        <v/>
      </c>
      <c r="GM87">
        <f>IF(N(GL87)&lt;=0.005,0,ROUND(N(GL87)*N('Debt List'!E11)/12,2))</f>
        <v/>
      </c>
      <c r="GN87">
        <f>IF(N(GL87)&lt;=0.005,0,MIN(N('Debt List'!F11),N(GL87)+N(GM87)))+((GT87=7)*GV87+(GX87=7)*GZ87+(HB87=7)*HD87+(HF87=7)*HH87+(HJ87=7)*HL87+(HN87=7)*HP87+(HR87=7)*HT87+(HV87=7)*HX87)</f>
        <v/>
      </c>
      <c r="GO87">
        <f>MAX(0,ROUND(N(GL87)+N(GM87)-N(GN87),2))</f>
        <v/>
      </c>
      <c r="GP87">
        <f>N(GS86)</f>
        <v/>
      </c>
      <c r="GQ87">
        <f>IF(N(GP87)&lt;=0.005,0,ROUND(N(GP87)*N('Debt List'!E12)/12,2))</f>
        <v/>
      </c>
      <c r="GR87">
        <f>IF(N(GP87)&lt;=0.005,0,MIN(N('Debt List'!F12),N(GP87)+N(GQ87)))+((GT87=8)*GV87+(GX87=8)*GZ87+(HB87=8)*HD87+(HF87=8)*HH87+(HJ87=8)*HL87+(HN87=8)*HP87+(HR87=8)*HT87+(HV87=8)*HX87)</f>
        <v/>
      </c>
      <c r="GS87">
        <f>MAX(0,ROUND(N(GP87)+N(GQ87)-N(GR87),2))</f>
        <v/>
      </c>
      <c r="GT87">
        <f>IFERROR(MATCH(1,OrderAval,0),"")</f>
        <v/>
      </c>
      <c r="GU87">
        <f>IF(GT87="",0,IFERROR(IF(N(CHOOSE(GT87,FN87,FR87,FV87,FZ87,GD87,GH87,GL87,GP87))&lt;=0.005,0,MAX(0,N(CHOOSE(GT87,FN87,FR87,FV87,FZ87,GD87,GH87,GL87,GP87))+N(CHOOSE(GT87,FO87,FS87,FW87,GA87,GE87,GI87,GM87,GQ87))-MIN(N(CHOOSE(GT87,'Debt List'!$F$5,'Debt List'!$F$6,'Debt List'!$F$7,'Debt List'!$F$8,'Debt List'!$F$9,'Debt List'!$F$10,'Debt List'!$F$11,'Debt List'!$F$12)),N(CHOOSE(GT87,FN87,FR87,FV87,FZ87,GD87,GH87,GL87,GP87))+N(CHOOSE(GT87,FO87,FS87,FW87,GA87,GE87,GI87,GM87,GQ87))))),0))</f>
        <v/>
      </c>
      <c r="GV87">
        <f>MIN(N(GU87),MAX(0,N(ExtraPayment)))</f>
        <v/>
      </c>
      <c r="GW87">
        <f>MAX(0,N(ExtraPayment)-N(GV87))</f>
        <v/>
      </c>
      <c r="GX87">
        <f>IFERROR(MATCH(2,OrderAval,0),"")</f>
        <v/>
      </c>
      <c r="GY87">
        <f>IF(GX87="",0,IFERROR(IF(N(CHOOSE(GX87,FN87,FR87,FV87,FZ87,GD87,GH87,GL87,GP87))&lt;=0.005,0,MAX(0,N(CHOOSE(GX87,FN87,FR87,FV87,FZ87,GD87,GH87,GL87,GP87))+N(CHOOSE(GX87,FO87,FS87,FW87,GA87,GE87,GI87,GM87,GQ87))-MIN(N(CHOOSE(GX87,'Debt List'!$F$5,'Debt List'!$F$6,'Debt List'!$F$7,'Debt List'!$F$8,'Debt List'!$F$9,'Debt List'!$F$10,'Debt List'!$F$11,'Debt List'!$F$12)),N(CHOOSE(GX87,FN87,FR87,FV87,FZ87,GD87,GH87,GL87,GP87))+N(CHOOSE(GX87,FO87,FS87,FW87,GA87,GE87,GI87,GM87,GQ87))))),0))</f>
        <v/>
      </c>
      <c r="GZ87">
        <f>MIN(N(GY87),MAX(0,N(GW87)))</f>
        <v/>
      </c>
      <c r="HA87">
        <f>MAX(0,N(GW87)-N(GZ87))</f>
        <v/>
      </c>
      <c r="HB87">
        <f>IFERROR(MATCH(3,OrderAval,0),"")</f>
        <v/>
      </c>
      <c r="HC87">
        <f>IF(HB87="",0,IFERROR(IF(N(CHOOSE(HB87,FN87,FR87,FV87,FZ87,GD87,GH87,GL87,GP87))&lt;=0.005,0,MAX(0,N(CHOOSE(HB87,FN87,FR87,FV87,FZ87,GD87,GH87,GL87,GP87))+N(CHOOSE(HB87,FO87,FS87,FW87,GA87,GE87,GI87,GM87,GQ87))-MIN(N(CHOOSE(HB87,'Debt List'!$F$5,'Debt List'!$F$6,'Debt List'!$F$7,'Debt List'!$F$8,'Debt List'!$F$9,'Debt List'!$F$10,'Debt List'!$F$11,'Debt List'!$F$12)),N(CHOOSE(HB87,FN87,FR87,FV87,FZ87,GD87,GH87,GL87,GP87))+N(CHOOSE(HB87,FO87,FS87,FW87,GA87,GE87,GI87,GM87,GQ87))))),0))</f>
        <v/>
      </c>
      <c r="HD87">
        <f>MIN(N(HC87),MAX(0,N(HA87)))</f>
        <v/>
      </c>
      <c r="HE87">
        <f>MAX(0,N(HA87)-N(HD87))</f>
        <v/>
      </c>
      <c r="HF87">
        <f>IFERROR(MATCH(4,OrderAval,0),"")</f>
        <v/>
      </c>
      <c r="HG87">
        <f>IF(HF87="",0,IFERROR(IF(N(CHOOSE(HF87,FN87,FR87,FV87,FZ87,GD87,GH87,GL87,GP87))&lt;=0.005,0,MAX(0,N(CHOOSE(HF87,FN87,FR87,FV87,FZ87,GD87,GH87,GL87,GP87))+N(CHOOSE(HF87,FO87,FS87,FW87,GA87,GE87,GI87,GM87,GQ87))-MIN(N(CHOOSE(HF87,'Debt List'!$F$5,'Debt List'!$F$6,'Debt List'!$F$7,'Debt List'!$F$8,'Debt List'!$F$9,'Debt List'!$F$10,'Debt List'!$F$11,'Debt List'!$F$12)),N(CHOOSE(HF87,FN87,FR87,FV87,FZ87,GD87,GH87,GL87,GP87))+N(CHOOSE(HF87,FO87,FS87,FW87,GA87,GE87,GI87,GM87,GQ87))))),0))</f>
        <v/>
      </c>
      <c r="HH87">
        <f>MIN(N(HG87),MAX(0,N(HE87)))</f>
        <v/>
      </c>
      <c r="HI87">
        <f>MAX(0,N(HE87)-N(HH87))</f>
        <v/>
      </c>
      <c r="HJ87">
        <f>IFERROR(MATCH(5,OrderAval,0),"")</f>
        <v/>
      </c>
      <c r="HK87">
        <f>IF(HJ87="",0,IFERROR(IF(N(CHOOSE(HJ87,FN87,FR87,FV87,FZ87,GD87,GH87,GL87,GP87))&lt;=0.005,0,MAX(0,N(CHOOSE(HJ87,FN87,FR87,FV87,FZ87,GD87,GH87,GL87,GP87))+N(CHOOSE(HJ87,FO87,FS87,FW87,GA87,GE87,GI87,GM87,GQ87))-MIN(N(CHOOSE(HJ87,'Debt List'!$F$5,'Debt List'!$F$6,'Debt List'!$F$7,'Debt List'!$F$8,'Debt List'!$F$9,'Debt List'!$F$10,'Debt List'!$F$11,'Debt List'!$F$12)),N(CHOOSE(HJ87,FN87,FR87,FV87,FZ87,GD87,GH87,GL87,GP87))+N(CHOOSE(HJ87,FO87,FS87,FW87,GA87,GE87,GI87,GM87,GQ87))))),0))</f>
        <v/>
      </c>
      <c r="HL87">
        <f>MIN(N(HK87),MAX(0,N(HI87)))</f>
        <v/>
      </c>
      <c r="HM87">
        <f>MAX(0,N(HI87)-N(HL87))</f>
        <v/>
      </c>
      <c r="HN87">
        <f>IFERROR(MATCH(6,OrderAval,0),"")</f>
        <v/>
      </c>
      <c r="HO87">
        <f>IF(HN87="",0,IFERROR(IF(N(CHOOSE(HN87,FN87,FR87,FV87,FZ87,GD87,GH87,GL87,GP87))&lt;=0.005,0,MAX(0,N(CHOOSE(HN87,FN87,FR87,FV87,FZ87,GD87,GH87,GL87,GP87))+N(CHOOSE(HN87,FO87,FS87,FW87,GA87,GE87,GI87,GM87,GQ87))-MIN(N(CHOOSE(HN87,'Debt List'!$F$5,'Debt List'!$F$6,'Debt List'!$F$7,'Debt List'!$F$8,'Debt List'!$F$9,'Debt List'!$F$10,'Debt List'!$F$11,'Debt List'!$F$12)),N(CHOOSE(HN87,FN87,FR87,FV87,FZ87,GD87,GH87,GL87,GP87))+N(CHOOSE(HN87,FO87,FS87,FW87,GA87,GE87,GI87,GM87,GQ87))))),0))</f>
        <v/>
      </c>
      <c r="HP87">
        <f>MIN(N(HO87),MAX(0,N(HM87)))</f>
        <v/>
      </c>
      <c r="HQ87">
        <f>MAX(0,N(HM87)-N(HP87))</f>
        <v/>
      </c>
      <c r="HR87">
        <f>IFERROR(MATCH(7,OrderAval,0),"")</f>
        <v/>
      </c>
      <c r="HS87">
        <f>IF(HR87="",0,IFERROR(IF(N(CHOOSE(HR87,FN87,FR87,FV87,FZ87,GD87,GH87,GL87,GP87))&lt;=0.005,0,MAX(0,N(CHOOSE(HR87,FN87,FR87,FV87,FZ87,GD87,GH87,GL87,GP87))+N(CHOOSE(HR87,FO87,FS87,FW87,GA87,GE87,GI87,GM87,GQ87))-MIN(N(CHOOSE(HR87,'Debt List'!$F$5,'Debt List'!$F$6,'Debt List'!$F$7,'Debt List'!$F$8,'Debt List'!$F$9,'Debt List'!$F$10,'Debt List'!$F$11,'Debt List'!$F$12)),N(CHOOSE(HR87,FN87,FR87,FV87,FZ87,GD87,GH87,GL87,GP87))+N(CHOOSE(HR87,FO87,FS87,FW87,GA87,GE87,GI87,GM87,GQ87))))),0))</f>
        <v/>
      </c>
      <c r="HT87">
        <f>MIN(N(HS87),MAX(0,N(HQ87)))</f>
        <v/>
      </c>
      <c r="HU87">
        <f>MAX(0,N(HQ87)-N(HT87))</f>
        <v/>
      </c>
      <c r="HV87">
        <f>IFERROR(MATCH(8,OrderAval,0),"")</f>
        <v/>
      </c>
      <c r="HW87">
        <f>IF(HV87="",0,IFERROR(IF(N(CHOOSE(HV87,FN87,FR87,FV87,FZ87,GD87,GH87,GL87,GP87))&lt;=0.005,0,MAX(0,N(CHOOSE(HV87,FN87,FR87,FV87,FZ87,GD87,GH87,GL87,GP87))+N(CHOOSE(HV87,FO87,FS87,FW87,GA87,GE87,GI87,GM87,GQ87))-MIN(N(CHOOSE(HV87,'Debt List'!$F$5,'Debt List'!$F$6,'Debt List'!$F$7,'Debt List'!$F$8,'Debt List'!$F$9,'Debt List'!$F$10,'Debt List'!$F$11,'Debt List'!$F$12)),N(CHOOSE(HV87,FN87,FR87,FV87,FZ87,GD87,GH87,GL87,GP87))+N(CHOOSE(HV87,FO87,FS87,FW87,GA87,GE87,GI87,GM87,GQ87))))),0))</f>
        <v/>
      </c>
      <c r="HX87">
        <f>MIN(N(HW87),MAX(0,N(HU87)))</f>
        <v/>
      </c>
      <c r="HY87">
        <f>MAX(0,N(HU87)-N(HX87))</f>
        <v/>
      </c>
    </row>
    <row r="88">
      <c r="A88" t="n">
        <v>84</v>
      </c>
      <c r="B88" s="115">
        <f>DATE(YEAR(PlanStart),MONTH(PlanStart)+A88-1,1)</f>
        <v/>
      </c>
      <c r="C88">
        <f>IF(AND(AP88&lt;&gt;"",N(CHOOSE(AP88,J88,N88,R88,V88,Z88,AD88,AH88,AL88))&gt;0.005),INDEX(DebtNames,AP88),IF(AND(AT88&lt;&gt;"",N(CHOOSE(AT88,J88,N88,R88,V88,Z88,AD88,AH88,AL88))&gt;0.005),INDEX(DebtNames,AT88),IF(AND(AX88&lt;&gt;"",N(CHOOSE(AX88,J88,N88,R88,V88,Z88,AD88,AH88,AL88))&gt;0.005),INDEX(DebtNames,AX88),IF(AND(BB88&lt;&gt;"",N(CHOOSE(BB88,J88,N88,R88,V88,Z88,AD88,AH88,AL88))&gt;0.005),INDEX(DebtNames,BB88),IF(AND(BF88&lt;&gt;"",N(CHOOSE(BF88,J88,N88,R88,V88,Z88,AD88,AH88,AL88))&gt;0.005),INDEX(DebtNames,BF88),IF(AND(BJ88&lt;&gt;"",N(CHOOSE(BJ88,J88,N88,R88,V88,Z88,AD88,AH88,AL88))&gt;0.005),INDEX(DebtNames,BJ88),IF(AND(BN88&lt;&gt;"",N(CHOOSE(BN88,J88,N88,R88,V88,Z88,AD88,AH88,AL88))&gt;0.005),INDEX(DebtNames,BN88),IF(AND(BR88&lt;&gt;"",N(CHOOSE(BR88,J88,N88,R88,V88,Z88,AD88,AH88,AL88))&gt;0.005),INDEX(DebtNames,BR88),""))))))))</f>
        <v/>
      </c>
      <c r="D88">
        <f>N(BU88)</f>
        <v/>
      </c>
      <c r="E88">
        <f>N(L88)+N(P88)+N(T88)+N(X88)+N(AB88)+N(AF88)+N(AJ88)+N(AN88)</f>
        <v/>
      </c>
      <c r="F88">
        <f>N(K88)+N(O88)+N(S88)+N(W88)+N(AA88)+N(AE88)+N(AI88)+N(AM88)</f>
        <v/>
      </c>
      <c r="G88">
        <f>N(G87)+N(F88)</f>
        <v/>
      </c>
      <c r="H88">
        <f>N(M88)+N(Q88)+N(U88)+N(Y88)+N(AC88)+N(AG88)+N(AK88)+N(AO88)</f>
        <v/>
      </c>
      <c r="I88">
        <f>(M88&gt;0.005)*1+(Q88&gt;0.005)*1+(U88&gt;0.005)*1+(Y88&gt;0.005)*1+(AC88&gt;0.005)*1+(AG88&gt;0.005)*1+(AK88&gt;0.005)*1+(AO88&gt;0.005)*1</f>
        <v/>
      </c>
      <c r="J88">
        <f>N(M87)</f>
        <v/>
      </c>
      <c r="K88">
        <f>IF(N(J88)&lt;=0.005,0,ROUND(N(J88)*N('Debt List'!E5)/12,2))</f>
        <v/>
      </c>
      <c r="L88">
        <f>IF(N(J88)&lt;=0.005,0,MIN(N('Debt List'!F5),N(J88)+N(K88)))+((AP88=1)*AR88+(AT88=1)*AV88+(AX88=1)*AZ88+(BB88=1)*BD88+(BF88=1)*BH88+(BJ88=1)*BL88+(BN88=1)*BP88+(BR88=1)*BT88)</f>
        <v/>
      </c>
      <c r="M88">
        <f>MAX(0,ROUND(N(J88)+N(K88)-N(L88),2))</f>
        <v/>
      </c>
      <c r="N88">
        <f>N(Q87)</f>
        <v/>
      </c>
      <c r="O88">
        <f>IF(N(N88)&lt;=0.005,0,ROUND(N(N88)*N('Debt List'!E6)/12,2))</f>
        <v/>
      </c>
      <c r="P88">
        <f>IF(N(N88)&lt;=0.005,0,MIN(N('Debt List'!F6),N(N88)+N(O88)))+((AP88=2)*AR88+(AT88=2)*AV88+(AX88=2)*AZ88+(BB88=2)*BD88+(BF88=2)*BH88+(BJ88=2)*BL88+(BN88=2)*BP88+(BR88=2)*BT88)</f>
        <v/>
      </c>
      <c r="Q88">
        <f>MAX(0,ROUND(N(N88)+N(O88)-N(P88),2))</f>
        <v/>
      </c>
      <c r="R88">
        <f>N(U87)</f>
        <v/>
      </c>
      <c r="S88">
        <f>IF(N(R88)&lt;=0.005,0,ROUND(N(R88)*N('Debt List'!E7)/12,2))</f>
        <v/>
      </c>
      <c r="T88">
        <f>IF(N(R88)&lt;=0.005,0,MIN(N('Debt List'!F7),N(R88)+N(S88)))+((AP88=3)*AR88+(AT88=3)*AV88+(AX88=3)*AZ88+(BB88=3)*BD88+(BF88=3)*BH88+(BJ88=3)*BL88+(BN88=3)*BP88+(BR88=3)*BT88)</f>
        <v/>
      </c>
      <c r="U88">
        <f>MAX(0,ROUND(N(R88)+N(S88)-N(T88),2))</f>
        <v/>
      </c>
      <c r="V88">
        <f>N(Y87)</f>
        <v/>
      </c>
      <c r="W88">
        <f>IF(N(V88)&lt;=0.005,0,ROUND(N(V88)*N('Debt List'!E8)/12,2))</f>
        <v/>
      </c>
      <c r="X88">
        <f>IF(N(V88)&lt;=0.005,0,MIN(N('Debt List'!F8),N(V88)+N(W88)))+((AP88=4)*AR88+(AT88=4)*AV88+(AX88=4)*AZ88+(BB88=4)*BD88+(BF88=4)*BH88+(BJ88=4)*BL88+(BN88=4)*BP88+(BR88=4)*BT88)</f>
        <v/>
      </c>
      <c r="Y88">
        <f>MAX(0,ROUND(N(V88)+N(W88)-N(X88),2))</f>
        <v/>
      </c>
      <c r="Z88">
        <f>N(AC87)</f>
        <v/>
      </c>
      <c r="AA88">
        <f>IF(N(Z88)&lt;=0.005,0,ROUND(N(Z88)*N('Debt List'!E9)/12,2))</f>
        <v/>
      </c>
      <c r="AB88">
        <f>IF(N(Z88)&lt;=0.005,0,MIN(N('Debt List'!F9),N(Z88)+N(AA88)))+((AP88=5)*AR88+(AT88=5)*AV88+(AX88=5)*AZ88+(BB88=5)*BD88+(BF88=5)*BH88+(BJ88=5)*BL88+(BN88=5)*BP88+(BR88=5)*BT88)</f>
        <v/>
      </c>
      <c r="AC88">
        <f>MAX(0,ROUND(N(Z88)+N(AA88)-N(AB88),2))</f>
        <v/>
      </c>
      <c r="AD88">
        <f>N(AG87)</f>
        <v/>
      </c>
      <c r="AE88">
        <f>IF(N(AD88)&lt;=0.005,0,ROUND(N(AD88)*N('Debt List'!E10)/12,2))</f>
        <v/>
      </c>
      <c r="AF88">
        <f>IF(N(AD88)&lt;=0.005,0,MIN(N('Debt List'!F10),N(AD88)+N(AE88)))+((AP88=6)*AR88+(AT88=6)*AV88+(AX88=6)*AZ88+(BB88=6)*BD88+(BF88=6)*BH88+(BJ88=6)*BL88+(BN88=6)*BP88+(BR88=6)*BT88)</f>
        <v/>
      </c>
      <c r="AG88">
        <f>MAX(0,ROUND(N(AD88)+N(AE88)-N(AF88),2))</f>
        <v/>
      </c>
      <c r="AH88">
        <f>N(AK87)</f>
        <v/>
      </c>
      <c r="AI88">
        <f>IF(N(AH88)&lt;=0.005,0,ROUND(N(AH88)*N('Debt List'!E11)/12,2))</f>
        <v/>
      </c>
      <c r="AJ88">
        <f>IF(N(AH88)&lt;=0.005,0,MIN(N('Debt List'!F11),N(AH88)+N(AI88)))+((AP88=7)*AR88+(AT88=7)*AV88+(AX88=7)*AZ88+(BB88=7)*BD88+(BF88=7)*BH88+(BJ88=7)*BL88+(BN88=7)*BP88+(BR88=7)*BT88)</f>
        <v/>
      </c>
      <c r="AK88">
        <f>MAX(0,ROUND(N(AH88)+N(AI88)-N(AJ88),2))</f>
        <v/>
      </c>
      <c r="AL88">
        <f>N(AO87)</f>
        <v/>
      </c>
      <c r="AM88">
        <f>IF(N(AL88)&lt;=0.005,0,ROUND(N(AL88)*N('Debt List'!E12)/12,2))</f>
        <v/>
      </c>
      <c r="AN88">
        <f>IF(N(AL88)&lt;=0.005,0,MIN(N('Debt List'!F12),N(AL88)+N(AM88)))+((AP88=8)*AR88+(AT88=8)*AV88+(AX88=8)*AZ88+(BB88=8)*BD88+(BF88=8)*BH88+(BJ88=8)*BL88+(BN88=8)*BP88+(BR88=8)*BT88)</f>
        <v/>
      </c>
      <c r="AO88">
        <f>MAX(0,ROUND(N(AL88)+N(AM88)-N(AN88),2))</f>
        <v/>
      </c>
      <c r="AP88">
        <f>IFERROR(MATCH(1,OrderPlan,0),"")</f>
        <v/>
      </c>
      <c r="AQ88">
        <f>IF(AP88="",0,IFERROR(IF(N(CHOOSE(AP88,J88,N88,R88,V88,Z88,AD88,AH88,AL88))&lt;=0.005,0,MAX(0,N(CHOOSE(AP88,J88,N88,R88,V88,Z88,AD88,AH88,AL88))+N(CHOOSE(AP88,K88,O88,S88,W88,AA88,AE88,AI88,AM88))-MIN(N(CHOOSE(AP88,'Debt List'!$F$5,'Debt List'!$F$6,'Debt List'!$F$7,'Debt List'!$F$8,'Debt List'!$F$9,'Debt List'!$F$10,'Debt List'!$F$11,'Debt List'!$F$12)),N(CHOOSE(AP88,J88,N88,R88,V88,Z88,AD88,AH88,AL88))+N(CHOOSE(AP88,K88,O88,S88,W88,AA88,AE88,AI88,AM88))))),0))</f>
        <v/>
      </c>
      <c r="AR88">
        <f>MIN(N(AQ88),MAX(0,N(ExtraPayment)))</f>
        <v/>
      </c>
      <c r="AS88">
        <f>MAX(0,N(ExtraPayment)-N(AR88))</f>
        <v/>
      </c>
      <c r="AT88">
        <f>IFERROR(MATCH(2,OrderPlan,0),"")</f>
        <v/>
      </c>
      <c r="AU88">
        <f>IF(AT88="",0,IFERROR(IF(N(CHOOSE(AT88,J88,N88,R88,V88,Z88,AD88,AH88,AL88))&lt;=0.005,0,MAX(0,N(CHOOSE(AT88,J88,N88,R88,V88,Z88,AD88,AH88,AL88))+N(CHOOSE(AT88,K88,O88,S88,W88,AA88,AE88,AI88,AM88))-MIN(N(CHOOSE(AT88,'Debt List'!$F$5,'Debt List'!$F$6,'Debt List'!$F$7,'Debt List'!$F$8,'Debt List'!$F$9,'Debt List'!$F$10,'Debt List'!$F$11,'Debt List'!$F$12)),N(CHOOSE(AT88,J88,N88,R88,V88,Z88,AD88,AH88,AL88))+N(CHOOSE(AT88,K88,O88,S88,W88,AA88,AE88,AI88,AM88))))),0))</f>
        <v/>
      </c>
      <c r="AV88">
        <f>MIN(N(AU88),MAX(0,N(AS88)))</f>
        <v/>
      </c>
      <c r="AW88">
        <f>MAX(0,N(AS88)-N(AV88))</f>
        <v/>
      </c>
      <c r="AX88">
        <f>IFERROR(MATCH(3,OrderPlan,0),"")</f>
        <v/>
      </c>
      <c r="AY88">
        <f>IF(AX88="",0,IFERROR(IF(N(CHOOSE(AX88,J88,N88,R88,V88,Z88,AD88,AH88,AL88))&lt;=0.005,0,MAX(0,N(CHOOSE(AX88,J88,N88,R88,V88,Z88,AD88,AH88,AL88))+N(CHOOSE(AX88,K88,O88,S88,W88,AA88,AE88,AI88,AM88))-MIN(N(CHOOSE(AX88,'Debt List'!$F$5,'Debt List'!$F$6,'Debt List'!$F$7,'Debt List'!$F$8,'Debt List'!$F$9,'Debt List'!$F$10,'Debt List'!$F$11,'Debt List'!$F$12)),N(CHOOSE(AX88,J88,N88,R88,V88,Z88,AD88,AH88,AL88))+N(CHOOSE(AX88,K88,O88,S88,W88,AA88,AE88,AI88,AM88))))),0))</f>
        <v/>
      </c>
      <c r="AZ88">
        <f>MIN(N(AY88),MAX(0,N(AW88)))</f>
        <v/>
      </c>
      <c r="BA88">
        <f>MAX(0,N(AW88)-N(AZ88))</f>
        <v/>
      </c>
      <c r="BB88">
        <f>IFERROR(MATCH(4,OrderPlan,0),"")</f>
        <v/>
      </c>
      <c r="BC88">
        <f>IF(BB88="",0,IFERROR(IF(N(CHOOSE(BB88,J88,N88,R88,V88,Z88,AD88,AH88,AL88))&lt;=0.005,0,MAX(0,N(CHOOSE(BB88,J88,N88,R88,V88,Z88,AD88,AH88,AL88))+N(CHOOSE(BB88,K88,O88,S88,W88,AA88,AE88,AI88,AM88))-MIN(N(CHOOSE(BB88,'Debt List'!$F$5,'Debt List'!$F$6,'Debt List'!$F$7,'Debt List'!$F$8,'Debt List'!$F$9,'Debt List'!$F$10,'Debt List'!$F$11,'Debt List'!$F$12)),N(CHOOSE(BB88,J88,N88,R88,V88,Z88,AD88,AH88,AL88))+N(CHOOSE(BB88,K88,O88,S88,W88,AA88,AE88,AI88,AM88))))),0))</f>
        <v/>
      </c>
      <c r="BD88">
        <f>MIN(N(BC88),MAX(0,N(BA88)))</f>
        <v/>
      </c>
      <c r="BE88">
        <f>MAX(0,N(BA88)-N(BD88))</f>
        <v/>
      </c>
      <c r="BF88">
        <f>IFERROR(MATCH(5,OrderPlan,0),"")</f>
        <v/>
      </c>
      <c r="BG88">
        <f>IF(BF88="",0,IFERROR(IF(N(CHOOSE(BF88,J88,N88,R88,V88,Z88,AD88,AH88,AL88))&lt;=0.005,0,MAX(0,N(CHOOSE(BF88,J88,N88,R88,V88,Z88,AD88,AH88,AL88))+N(CHOOSE(BF88,K88,O88,S88,W88,AA88,AE88,AI88,AM88))-MIN(N(CHOOSE(BF88,'Debt List'!$F$5,'Debt List'!$F$6,'Debt List'!$F$7,'Debt List'!$F$8,'Debt List'!$F$9,'Debt List'!$F$10,'Debt List'!$F$11,'Debt List'!$F$12)),N(CHOOSE(BF88,J88,N88,R88,V88,Z88,AD88,AH88,AL88))+N(CHOOSE(BF88,K88,O88,S88,W88,AA88,AE88,AI88,AM88))))),0))</f>
        <v/>
      </c>
      <c r="BH88">
        <f>MIN(N(BG88),MAX(0,N(BE88)))</f>
        <v/>
      </c>
      <c r="BI88">
        <f>MAX(0,N(BE88)-N(BH88))</f>
        <v/>
      </c>
      <c r="BJ88">
        <f>IFERROR(MATCH(6,OrderPlan,0),"")</f>
        <v/>
      </c>
      <c r="BK88">
        <f>IF(BJ88="",0,IFERROR(IF(N(CHOOSE(BJ88,J88,N88,R88,V88,Z88,AD88,AH88,AL88))&lt;=0.005,0,MAX(0,N(CHOOSE(BJ88,J88,N88,R88,V88,Z88,AD88,AH88,AL88))+N(CHOOSE(BJ88,K88,O88,S88,W88,AA88,AE88,AI88,AM88))-MIN(N(CHOOSE(BJ88,'Debt List'!$F$5,'Debt List'!$F$6,'Debt List'!$F$7,'Debt List'!$F$8,'Debt List'!$F$9,'Debt List'!$F$10,'Debt List'!$F$11,'Debt List'!$F$12)),N(CHOOSE(BJ88,J88,N88,R88,V88,Z88,AD88,AH88,AL88))+N(CHOOSE(BJ88,K88,O88,S88,W88,AA88,AE88,AI88,AM88))))),0))</f>
        <v/>
      </c>
      <c r="BL88">
        <f>MIN(N(BK88),MAX(0,N(BI88)))</f>
        <v/>
      </c>
      <c r="BM88">
        <f>MAX(0,N(BI88)-N(BL88))</f>
        <v/>
      </c>
      <c r="BN88">
        <f>IFERROR(MATCH(7,OrderPlan,0),"")</f>
        <v/>
      </c>
      <c r="BO88">
        <f>IF(BN88="",0,IFERROR(IF(N(CHOOSE(BN88,J88,N88,R88,V88,Z88,AD88,AH88,AL88))&lt;=0.005,0,MAX(0,N(CHOOSE(BN88,J88,N88,R88,V88,Z88,AD88,AH88,AL88))+N(CHOOSE(BN88,K88,O88,S88,W88,AA88,AE88,AI88,AM88))-MIN(N(CHOOSE(BN88,'Debt List'!$F$5,'Debt List'!$F$6,'Debt List'!$F$7,'Debt List'!$F$8,'Debt List'!$F$9,'Debt List'!$F$10,'Debt List'!$F$11,'Debt List'!$F$12)),N(CHOOSE(BN88,J88,N88,R88,V88,Z88,AD88,AH88,AL88))+N(CHOOSE(BN88,K88,O88,S88,W88,AA88,AE88,AI88,AM88))))),0))</f>
        <v/>
      </c>
      <c r="BP88">
        <f>MIN(N(BO88),MAX(0,N(BM88)))</f>
        <v/>
      </c>
      <c r="BQ88">
        <f>MAX(0,N(BM88)-N(BP88))</f>
        <v/>
      </c>
      <c r="BR88">
        <f>IFERROR(MATCH(8,OrderPlan,0),"")</f>
        <v/>
      </c>
      <c r="BS88">
        <f>IF(BR88="",0,IFERROR(IF(N(CHOOSE(BR88,J88,N88,R88,V88,Z88,AD88,AH88,AL88))&lt;=0.005,0,MAX(0,N(CHOOSE(BR88,J88,N88,R88,V88,Z88,AD88,AH88,AL88))+N(CHOOSE(BR88,K88,O88,S88,W88,AA88,AE88,AI88,AM88))-MIN(N(CHOOSE(BR88,'Debt List'!$F$5,'Debt List'!$F$6,'Debt List'!$F$7,'Debt List'!$F$8,'Debt List'!$F$9,'Debt List'!$F$10,'Debt List'!$F$11,'Debt List'!$F$12)),N(CHOOSE(BR88,J88,N88,R88,V88,Z88,AD88,AH88,AL88))+N(CHOOSE(BR88,K88,O88,S88,W88,AA88,AE88,AI88,AM88))))),0))</f>
        <v/>
      </c>
      <c r="BT88">
        <f>MIN(N(BS88),MAX(0,N(BQ88)))</f>
        <v/>
      </c>
      <c r="BU88">
        <f>MAX(0,N(BQ88)-N(BT88))</f>
        <v/>
      </c>
      <c r="CC88" t="n">
        <v>84</v>
      </c>
      <c r="CD88" s="115">
        <f>DATE(YEAR(PlanStart),MONTH(PlanStart)+CC88-1,1)</f>
        <v/>
      </c>
      <c r="CE88">
        <f>IF(AND(DR88&lt;&gt;"",N(CHOOSE(DR88,CL88,CP88,CT88,CX88,DB88,DF88,DJ88,DN88))&gt;0.005),INDEX(DebtNames,DR88),IF(AND(DV88&lt;&gt;"",N(CHOOSE(DV88,CL88,CP88,CT88,CX88,DB88,DF88,DJ88,DN88))&gt;0.005),INDEX(DebtNames,DV88),IF(AND(DZ88&lt;&gt;"",N(CHOOSE(DZ88,CL88,CP88,CT88,CX88,DB88,DF88,DJ88,DN88))&gt;0.005),INDEX(DebtNames,DZ88),IF(AND(ED88&lt;&gt;"",N(CHOOSE(ED88,CL88,CP88,CT88,CX88,DB88,DF88,DJ88,DN88))&gt;0.005),INDEX(DebtNames,ED88),IF(AND(EH88&lt;&gt;"",N(CHOOSE(EH88,CL88,CP88,CT88,CX88,DB88,DF88,DJ88,DN88))&gt;0.005),INDEX(DebtNames,EH88),IF(AND(EL88&lt;&gt;"",N(CHOOSE(EL88,CL88,CP88,CT88,CX88,DB88,DF88,DJ88,DN88))&gt;0.005),INDEX(DebtNames,EL88),IF(AND(EP88&lt;&gt;"",N(CHOOSE(EP88,CL88,CP88,CT88,CX88,DB88,DF88,DJ88,DN88))&gt;0.005),INDEX(DebtNames,EP88),IF(AND(ET88&lt;&gt;"",N(CHOOSE(ET88,CL88,CP88,CT88,CX88,DB88,DF88,DJ88,DN88))&gt;0.005),INDEX(DebtNames,ET88),""))))))))</f>
        <v/>
      </c>
      <c r="CF88">
        <f>N(EW88)</f>
        <v/>
      </c>
      <c r="CG88">
        <f>N(CN88)+N(CR88)+N(CV88)+N(CZ88)+N(DD88)+N(DH88)+N(DL88)+N(DP88)</f>
        <v/>
      </c>
      <c r="CH88">
        <f>N(CM88)+N(CQ88)+N(CU88)+N(CY88)+N(DC88)+N(DG88)+N(DK88)+N(DO88)</f>
        <v/>
      </c>
      <c r="CI88">
        <f>N(CI87)+N(CH88)</f>
        <v/>
      </c>
      <c r="CJ88">
        <f>N(CO88)+N(CS88)+N(CW88)+N(DA88)+N(DE88)+N(DI88)+N(DM88)+N(DQ88)</f>
        <v/>
      </c>
      <c r="CK88">
        <f>(CO88&gt;0.005)*1+(CS88&gt;0.005)*1+(CW88&gt;0.005)*1+(DA88&gt;0.005)*1+(DE88&gt;0.005)*1+(DI88&gt;0.005)*1+(DM88&gt;0.005)*1+(DQ88&gt;0.005)*1</f>
        <v/>
      </c>
      <c r="CL88">
        <f>N(CO87)</f>
        <v/>
      </c>
      <c r="CM88">
        <f>IF(N(CL88)&lt;=0.005,0,ROUND(N(CL88)*N('Debt List'!E5)/12,2))</f>
        <v/>
      </c>
      <c r="CN88">
        <f>IF(N(CL88)&lt;=0.005,0,MIN(N('Debt List'!F5),N(CL88)+N(CM88)))+((DR88=1)*DT88+(DV88=1)*DX88+(DZ88=1)*EB88+(ED88=1)*EF88+(EH88=1)*EJ88+(EL88=1)*EN88+(EP88=1)*ER88+(ET88=1)*EV88)</f>
        <v/>
      </c>
      <c r="CO88">
        <f>MAX(0,ROUND(N(CL88)+N(CM88)-N(CN88),2))</f>
        <v/>
      </c>
      <c r="CP88">
        <f>N(CS87)</f>
        <v/>
      </c>
      <c r="CQ88">
        <f>IF(N(CP88)&lt;=0.005,0,ROUND(N(CP88)*N('Debt List'!E6)/12,2))</f>
        <v/>
      </c>
      <c r="CR88">
        <f>IF(N(CP88)&lt;=0.005,0,MIN(N('Debt List'!F6),N(CP88)+N(CQ88)))+((DR88=2)*DT88+(DV88=2)*DX88+(DZ88=2)*EB88+(ED88=2)*EF88+(EH88=2)*EJ88+(EL88=2)*EN88+(EP88=2)*ER88+(ET88=2)*EV88)</f>
        <v/>
      </c>
      <c r="CS88">
        <f>MAX(0,ROUND(N(CP88)+N(CQ88)-N(CR88),2))</f>
        <v/>
      </c>
      <c r="CT88">
        <f>N(CW87)</f>
        <v/>
      </c>
      <c r="CU88">
        <f>IF(N(CT88)&lt;=0.005,0,ROUND(N(CT88)*N('Debt List'!E7)/12,2))</f>
        <v/>
      </c>
      <c r="CV88">
        <f>IF(N(CT88)&lt;=0.005,0,MIN(N('Debt List'!F7),N(CT88)+N(CU88)))+((DR88=3)*DT88+(DV88=3)*DX88+(DZ88=3)*EB88+(ED88=3)*EF88+(EH88=3)*EJ88+(EL88=3)*EN88+(EP88=3)*ER88+(ET88=3)*EV88)</f>
        <v/>
      </c>
      <c r="CW88">
        <f>MAX(0,ROUND(N(CT88)+N(CU88)-N(CV88),2))</f>
        <v/>
      </c>
      <c r="CX88">
        <f>N(DA87)</f>
        <v/>
      </c>
      <c r="CY88">
        <f>IF(N(CX88)&lt;=0.005,0,ROUND(N(CX88)*N('Debt List'!E8)/12,2))</f>
        <v/>
      </c>
      <c r="CZ88">
        <f>IF(N(CX88)&lt;=0.005,0,MIN(N('Debt List'!F8),N(CX88)+N(CY88)))+((DR88=4)*DT88+(DV88=4)*DX88+(DZ88=4)*EB88+(ED88=4)*EF88+(EH88=4)*EJ88+(EL88=4)*EN88+(EP88=4)*ER88+(ET88=4)*EV88)</f>
        <v/>
      </c>
      <c r="DA88">
        <f>MAX(0,ROUND(N(CX88)+N(CY88)-N(CZ88),2))</f>
        <v/>
      </c>
      <c r="DB88">
        <f>N(DE87)</f>
        <v/>
      </c>
      <c r="DC88">
        <f>IF(N(DB88)&lt;=0.005,0,ROUND(N(DB88)*N('Debt List'!E9)/12,2))</f>
        <v/>
      </c>
      <c r="DD88">
        <f>IF(N(DB88)&lt;=0.005,0,MIN(N('Debt List'!F9),N(DB88)+N(DC88)))+((DR88=5)*DT88+(DV88=5)*DX88+(DZ88=5)*EB88+(ED88=5)*EF88+(EH88=5)*EJ88+(EL88=5)*EN88+(EP88=5)*ER88+(ET88=5)*EV88)</f>
        <v/>
      </c>
      <c r="DE88">
        <f>MAX(0,ROUND(N(DB88)+N(DC88)-N(DD88),2))</f>
        <v/>
      </c>
      <c r="DF88">
        <f>N(DI87)</f>
        <v/>
      </c>
      <c r="DG88">
        <f>IF(N(DF88)&lt;=0.005,0,ROUND(N(DF88)*N('Debt List'!E10)/12,2))</f>
        <v/>
      </c>
      <c r="DH88">
        <f>IF(N(DF88)&lt;=0.005,0,MIN(N('Debt List'!F10),N(DF88)+N(DG88)))+((DR88=6)*DT88+(DV88=6)*DX88+(DZ88=6)*EB88+(ED88=6)*EF88+(EH88=6)*EJ88+(EL88=6)*EN88+(EP88=6)*ER88+(ET88=6)*EV88)</f>
        <v/>
      </c>
      <c r="DI88">
        <f>MAX(0,ROUND(N(DF88)+N(DG88)-N(DH88),2))</f>
        <v/>
      </c>
      <c r="DJ88">
        <f>N(DM87)</f>
        <v/>
      </c>
      <c r="DK88">
        <f>IF(N(DJ88)&lt;=0.005,0,ROUND(N(DJ88)*N('Debt List'!E11)/12,2))</f>
        <v/>
      </c>
      <c r="DL88">
        <f>IF(N(DJ88)&lt;=0.005,0,MIN(N('Debt List'!F11),N(DJ88)+N(DK88)))+((DR88=7)*DT88+(DV88=7)*DX88+(DZ88=7)*EB88+(ED88=7)*EF88+(EH88=7)*EJ88+(EL88=7)*EN88+(EP88=7)*ER88+(ET88=7)*EV88)</f>
        <v/>
      </c>
      <c r="DM88">
        <f>MAX(0,ROUND(N(DJ88)+N(DK88)-N(DL88),2))</f>
        <v/>
      </c>
      <c r="DN88">
        <f>N(DQ87)</f>
        <v/>
      </c>
      <c r="DO88">
        <f>IF(N(DN88)&lt;=0.005,0,ROUND(N(DN88)*N('Debt List'!E12)/12,2))</f>
        <v/>
      </c>
      <c r="DP88">
        <f>IF(N(DN88)&lt;=0.005,0,MIN(N('Debt List'!F12),N(DN88)+N(DO88)))+((DR88=8)*DT88+(DV88=8)*DX88+(DZ88=8)*EB88+(ED88=8)*EF88+(EH88=8)*EJ88+(EL88=8)*EN88+(EP88=8)*ER88+(ET88=8)*EV88)</f>
        <v/>
      </c>
      <c r="DQ88">
        <f>MAX(0,ROUND(N(DN88)+N(DO88)-N(DP88),2))</f>
        <v/>
      </c>
      <c r="DR88">
        <f>IFERROR(MATCH(1,OrderSnow,0),"")</f>
        <v/>
      </c>
      <c r="DS88">
        <f>IF(DR88="",0,IFERROR(IF(N(CHOOSE(DR88,CL88,CP88,CT88,CX88,DB88,DF88,DJ88,DN88))&lt;=0.005,0,MAX(0,N(CHOOSE(DR88,CL88,CP88,CT88,CX88,DB88,DF88,DJ88,DN88))+N(CHOOSE(DR88,CM88,CQ88,CU88,CY88,DC88,DG88,DK88,DO88))-MIN(N(CHOOSE(DR88,'Debt List'!$F$5,'Debt List'!$F$6,'Debt List'!$F$7,'Debt List'!$F$8,'Debt List'!$F$9,'Debt List'!$F$10,'Debt List'!$F$11,'Debt List'!$F$12)),N(CHOOSE(DR88,CL88,CP88,CT88,CX88,DB88,DF88,DJ88,DN88))+N(CHOOSE(DR88,CM88,CQ88,CU88,CY88,DC88,DG88,DK88,DO88))))),0))</f>
        <v/>
      </c>
      <c r="DT88">
        <f>MIN(N(DS88),MAX(0,N(ExtraPayment)))</f>
        <v/>
      </c>
      <c r="DU88">
        <f>MAX(0,N(ExtraPayment)-N(DT88))</f>
        <v/>
      </c>
      <c r="DV88">
        <f>IFERROR(MATCH(2,OrderSnow,0),"")</f>
        <v/>
      </c>
      <c r="DW88">
        <f>IF(DV88="",0,IFERROR(IF(N(CHOOSE(DV88,CL88,CP88,CT88,CX88,DB88,DF88,DJ88,DN88))&lt;=0.005,0,MAX(0,N(CHOOSE(DV88,CL88,CP88,CT88,CX88,DB88,DF88,DJ88,DN88))+N(CHOOSE(DV88,CM88,CQ88,CU88,CY88,DC88,DG88,DK88,DO88))-MIN(N(CHOOSE(DV88,'Debt List'!$F$5,'Debt List'!$F$6,'Debt List'!$F$7,'Debt List'!$F$8,'Debt List'!$F$9,'Debt List'!$F$10,'Debt List'!$F$11,'Debt List'!$F$12)),N(CHOOSE(DV88,CL88,CP88,CT88,CX88,DB88,DF88,DJ88,DN88))+N(CHOOSE(DV88,CM88,CQ88,CU88,CY88,DC88,DG88,DK88,DO88))))),0))</f>
        <v/>
      </c>
      <c r="DX88">
        <f>MIN(N(DW88),MAX(0,N(DU88)))</f>
        <v/>
      </c>
      <c r="DY88">
        <f>MAX(0,N(DU88)-N(DX88))</f>
        <v/>
      </c>
      <c r="DZ88">
        <f>IFERROR(MATCH(3,OrderSnow,0),"")</f>
        <v/>
      </c>
      <c r="EA88">
        <f>IF(DZ88="",0,IFERROR(IF(N(CHOOSE(DZ88,CL88,CP88,CT88,CX88,DB88,DF88,DJ88,DN88))&lt;=0.005,0,MAX(0,N(CHOOSE(DZ88,CL88,CP88,CT88,CX88,DB88,DF88,DJ88,DN88))+N(CHOOSE(DZ88,CM88,CQ88,CU88,CY88,DC88,DG88,DK88,DO88))-MIN(N(CHOOSE(DZ88,'Debt List'!$F$5,'Debt List'!$F$6,'Debt List'!$F$7,'Debt List'!$F$8,'Debt List'!$F$9,'Debt List'!$F$10,'Debt List'!$F$11,'Debt List'!$F$12)),N(CHOOSE(DZ88,CL88,CP88,CT88,CX88,DB88,DF88,DJ88,DN88))+N(CHOOSE(DZ88,CM88,CQ88,CU88,CY88,DC88,DG88,DK88,DO88))))),0))</f>
        <v/>
      </c>
      <c r="EB88">
        <f>MIN(N(EA88),MAX(0,N(DY88)))</f>
        <v/>
      </c>
      <c r="EC88">
        <f>MAX(0,N(DY88)-N(EB88))</f>
        <v/>
      </c>
      <c r="ED88">
        <f>IFERROR(MATCH(4,OrderSnow,0),"")</f>
        <v/>
      </c>
      <c r="EE88">
        <f>IF(ED88="",0,IFERROR(IF(N(CHOOSE(ED88,CL88,CP88,CT88,CX88,DB88,DF88,DJ88,DN88))&lt;=0.005,0,MAX(0,N(CHOOSE(ED88,CL88,CP88,CT88,CX88,DB88,DF88,DJ88,DN88))+N(CHOOSE(ED88,CM88,CQ88,CU88,CY88,DC88,DG88,DK88,DO88))-MIN(N(CHOOSE(ED88,'Debt List'!$F$5,'Debt List'!$F$6,'Debt List'!$F$7,'Debt List'!$F$8,'Debt List'!$F$9,'Debt List'!$F$10,'Debt List'!$F$11,'Debt List'!$F$12)),N(CHOOSE(ED88,CL88,CP88,CT88,CX88,DB88,DF88,DJ88,DN88))+N(CHOOSE(ED88,CM88,CQ88,CU88,CY88,DC88,DG88,DK88,DO88))))),0))</f>
        <v/>
      </c>
      <c r="EF88">
        <f>MIN(N(EE88),MAX(0,N(EC88)))</f>
        <v/>
      </c>
      <c r="EG88">
        <f>MAX(0,N(EC88)-N(EF88))</f>
        <v/>
      </c>
      <c r="EH88">
        <f>IFERROR(MATCH(5,OrderSnow,0),"")</f>
        <v/>
      </c>
      <c r="EI88">
        <f>IF(EH88="",0,IFERROR(IF(N(CHOOSE(EH88,CL88,CP88,CT88,CX88,DB88,DF88,DJ88,DN88))&lt;=0.005,0,MAX(0,N(CHOOSE(EH88,CL88,CP88,CT88,CX88,DB88,DF88,DJ88,DN88))+N(CHOOSE(EH88,CM88,CQ88,CU88,CY88,DC88,DG88,DK88,DO88))-MIN(N(CHOOSE(EH88,'Debt List'!$F$5,'Debt List'!$F$6,'Debt List'!$F$7,'Debt List'!$F$8,'Debt List'!$F$9,'Debt List'!$F$10,'Debt List'!$F$11,'Debt List'!$F$12)),N(CHOOSE(EH88,CL88,CP88,CT88,CX88,DB88,DF88,DJ88,DN88))+N(CHOOSE(EH88,CM88,CQ88,CU88,CY88,DC88,DG88,DK88,DO88))))),0))</f>
        <v/>
      </c>
      <c r="EJ88">
        <f>MIN(N(EI88),MAX(0,N(EG88)))</f>
        <v/>
      </c>
      <c r="EK88">
        <f>MAX(0,N(EG88)-N(EJ88))</f>
        <v/>
      </c>
      <c r="EL88">
        <f>IFERROR(MATCH(6,OrderSnow,0),"")</f>
        <v/>
      </c>
      <c r="EM88">
        <f>IF(EL88="",0,IFERROR(IF(N(CHOOSE(EL88,CL88,CP88,CT88,CX88,DB88,DF88,DJ88,DN88))&lt;=0.005,0,MAX(0,N(CHOOSE(EL88,CL88,CP88,CT88,CX88,DB88,DF88,DJ88,DN88))+N(CHOOSE(EL88,CM88,CQ88,CU88,CY88,DC88,DG88,DK88,DO88))-MIN(N(CHOOSE(EL88,'Debt List'!$F$5,'Debt List'!$F$6,'Debt List'!$F$7,'Debt List'!$F$8,'Debt List'!$F$9,'Debt List'!$F$10,'Debt List'!$F$11,'Debt List'!$F$12)),N(CHOOSE(EL88,CL88,CP88,CT88,CX88,DB88,DF88,DJ88,DN88))+N(CHOOSE(EL88,CM88,CQ88,CU88,CY88,DC88,DG88,DK88,DO88))))),0))</f>
        <v/>
      </c>
      <c r="EN88">
        <f>MIN(N(EM88),MAX(0,N(EK88)))</f>
        <v/>
      </c>
      <c r="EO88">
        <f>MAX(0,N(EK88)-N(EN88))</f>
        <v/>
      </c>
      <c r="EP88">
        <f>IFERROR(MATCH(7,OrderSnow,0),"")</f>
        <v/>
      </c>
      <c r="EQ88">
        <f>IF(EP88="",0,IFERROR(IF(N(CHOOSE(EP88,CL88,CP88,CT88,CX88,DB88,DF88,DJ88,DN88))&lt;=0.005,0,MAX(0,N(CHOOSE(EP88,CL88,CP88,CT88,CX88,DB88,DF88,DJ88,DN88))+N(CHOOSE(EP88,CM88,CQ88,CU88,CY88,DC88,DG88,DK88,DO88))-MIN(N(CHOOSE(EP88,'Debt List'!$F$5,'Debt List'!$F$6,'Debt List'!$F$7,'Debt List'!$F$8,'Debt List'!$F$9,'Debt List'!$F$10,'Debt List'!$F$11,'Debt List'!$F$12)),N(CHOOSE(EP88,CL88,CP88,CT88,CX88,DB88,DF88,DJ88,DN88))+N(CHOOSE(EP88,CM88,CQ88,CU88,CY88,DC88,DG88,DK88,DO88))))),0))</f>
        <v/>
      </c>
      <c r="ER88">
        <f>MIN(N(EQ88),MAX(0,N(EO88)))</f>
        <v/>
      </c>
      <c r="ES88">
        <f>MAX(0,N(EO88)-N(ER88))</f>
        <v/>
      </c>
      <c r="ET88">
        <f>IFERROR(MATCH(8,OrderSnow,0),"")</f>
        <v/>
      </c>
      <c r="EU88">
        <f>IF(ET88="",0,IFERROR(IF(N(CHOOSE(ET88,CL88,CP88,CT88,CX88,DB88,DF88,DJ88,DN88))&lt;=0.005,0,MAX(0,N(CHOOSE(ET88,CL88,CP88,CT88,CX88,DB88,DF88,DJ88,DN88))+N(CHOOSE(ET88,CM88,CQ88,CU88,CY88,DC88,DG88,DK88,DO88))-MIN(N(CHOOSE(ET88,'Debt List'!$F$5,'Debt List'!$F$6,'Debt List'!$F$7,'Debt List'!$F$8,'Debt List'!$F$9,'Debt List'!$F$10,'Debt List'!$F$11,'Debt List'!$F$12)),N(CHOOSE(ET88,CL88,CP88,CT88,CX88,DB88,DF88,DJ88,DN88))+N(CHOOSE(ET88,CM88,CQ88,CU88,CY88,DC88,DG88,DK88,DO88))))),0))</f>
        <v/>
      </c>
      <c r="EV88">
        <f>MIN(N(EU88),MAX(0,N(ES88)))</f>
        <v/>
      </c>
      <c r="EW88">
        <f>MAX(0,N(ES88)-N(EV88))</f>
        <v/>
      </c>
      <c r="FE88" t="n">
        <v>84</v>
      </c>
      <c r="FF88" s="115">
        <f>DATE(YEAR(PlanStart),MONTH(PlanStart)+FE88-1,1)</f>
        <v/>
      </c>
      <c r="FG88">
        <f>IF(AND(GT88&lt;&gt;"",N(CHOOSE(GT88,FN88,FR88,FV88,FZ88,GD88,GH88,GL88,GP88))&gt;0.005),INDEX(DebtNames,GT88),IF(AND(GX88&lt;&gt;"",N(CHOOSE(GX88,FN88,FR88,FV88,FZ88,GD88,GH88,GL88,GP88))&gt;0.005),INDEX(DebtNames,GX88),IF(AND(HB88&lt;&gt;"",N(CHOOSE(HB88,FN88,FR88,FV88,FZ88,GD88,GH88,GL88,GP88))&gt;0.005),INDEX(DebtNames,HB88),IF(AND(HF88&lt;&gt;"",N(CHOOSE(HF88,FN88,FR88,FV88,FZ88,GD88,GH88,GL88,GP88))&gt;0.005),INDEX(DebtNames,HF88),IF(AND(HJ88&lt;&gt;"",N(CHOOSE(HJ88,FN88,FR88,FV88,FZ88,GD88,GH88,GL88,GP88))&gt;0.005),INDEX(DebtNames,HJ88),IF(AND(HN88&lt;&gt;"",N(CHOOSE(HN88,FN88,FR88,FV88,FZ88,GD88,GH88,GL88,GP88))&gt;0.005),INDEX(DebtNames,HN88),IF(AND(HR88&lt;&gt;"",N(CHOOSE(HR88,FN88,FR88,FV88,FZ88,GD88,GH88,GL88,GP88))&gt;0.005),INDEX(DebtNames,HR88),IF(AND(HV88&lt;&gt;"",N(CHOOSE(HV88,FN88,FR88,FV88,FZ88,GD88,GH88,GL88,GP88))&gt;0.005),INDEX(DebtNames,HV88),""))))))))</f>
        <v/>
      </c>
      <c r="FH88">
        <f>N(HY88)</f>
        <v/>
      </c>
      <c r="FI88">
        <f>N(FP88)+N(FT88)+N(FX88)+N(GB88)+N(GF88)+N(GJ88)+N(GN88)+N(GR88)</f>
        <v/>
      </c>
      <c r="FJ88">
        <f>N(FO88)+N(FS88)+N(FW88)+N(GA88)+N(GE88)+N(GI88)+N(GM88)+N(GQ88)</f>
        <v/>
      </c>
      <c r="FK88">
        <f>N(FK87)+N(FJ88)</f>
        <v/>
      </c>
      <c r="FL88">
        <f>N(FQ88)+N(FU88)+N(FY88)+N(GC88)+N(GG88)+N(GK88)+N(GO88)+N(GS88)</f>
        <v/>
      </c>
      <c r="FM88">
        <f>(FQ88&gt;0.005)*1+(FU88&gt;0.005)*1+(FY88&gt;0.005)*1+(GC88&gt;0.005)*1+(GG88&gt;0.005)*1+(GK88&gt;0.005)*1+(GO88&gt;0.005)*1+(GS88&gt;0.005)*1</f>
        <v/>
      </c>
      <c r="FN88">
        <f>N(FQ87)</f>
        <v/>
      </c>
      <c r="FO88">
        <f>IF(N(FN88)&lt;=0.005,0,ROUND(N(FN88)*N('Debt List'!E5)/12,2))</f>
        <v/>
      </c>
      <c r="FP88">
        <f>IF(N(FN88)&lt;=0.005,0,MIN(N('Debt List'!F5),N(FN88)+N(FO88)))+((GT88=1)*GV88+(GX88=1)*GZ88+(HB88=1)*HD88+(HF88=1)*HH88+(HJ88=1)*HL88+(HN88=1)*HP88+(HR88=1)*HT88+(HV88=1)*HX88)</f>
        <v/>
      </c>
      <c r="FQ88">
        <f>MAX(0,ROUND(N(FN88)+N(FO88)-N(FP88),2))</f>
        <v/>
      </c>
      <c r="FR88">
        <f>N(FU87)</f>
        <v/>
      </c>
      <c r="FS88">
        <f>IF(N(FR88)&lt;=0.005,0,ROUND(N(FR88)*N('Debt List'!E6)/12,2))</f>
        <v/>
      </c>
      <c r="FT88">
        <f>IF(N(FR88)&lt;=0.005,0,MIN(N('Debt List'!F6),N(FR88)+N(FS88)))+((GT88=2)*GV88+(GX88=2)*GZ88+(HB88=2)*HD88+(HF88=2)*HH88+(HJ88=2)*HL88+(HN88=2)*HP88+(HR88=2)*HT88+(HV88=2)*HX88)</f>
        <v/>
      </c>
      <c r="FU88">
        <f>MAX(0,ROUND(N(FR88)+N(FS88)-N(FT88),2))</f>
        <v/>
      </c>
      <c r="FV88">
        <f>N(FY87)</f>
        <v/>
      </c>
      <c r="FW88">
        <f>IF(N(FV88)&lt;=0.005,0,ROUND(N(FV88)*N('Debt List'!E7)/12,2))</f>
        <v/>
      </c>
      <c r="FX88">
        <f>IF(N(FV88)&lt;=0.005,0,MIN(N('Debt List'!F7),N(FV88)+N(FW88)))+((GT88=3)*GV88+(GX88=3)*GZ88+(HB88=3)*HD88+(HF88=3)*HH88+(HJ88=3)*HL88+(HN88=3)*HP88+(HR88=3)*HT88+(HV88=3)*HX88)</f>
        <v/>
      </c>
      <c r="FY88">
        <f>MAX(0,ROUND(N(FV88)+N(FW88)-N(FX88),2))</f>
        <v/>
      </c>
      <c r="FZ88">
        <f>N(GC87)</f>
        <v/>
      </c>
      <c r="GA88">
        <f>IF(N(FZ88)&lt;=0.005,0,ROUND(N(FZ88)*N('Debt List'!E8)/12,2))</f>
        <v/>
      </c>
      <c r="GB88">
        <f>IF(N(FZ88)&lt;=0.005,0,MIN(N('Debt List'!F8),N(FZ88)+N(GA88)))+((GT88=4)*GV88+(GX88=4)*GZ88+(HB88=4)*HD88+(HF88=4)*HH88+(HJ88=4)*HL88+(HN88=4)*HP88+(HR88=4)*HT88+(HV88=4)*HX88)</f>
        <v/>
      </c>
      <c r="GC88">
        <f>MAX(0,ROUND(N(FZ88)+N(GA88)-N(GB88),2))</f>
        <v/>
      </c>
      <c r="GD88">
        <f>N(GG87)</f>
        <v/>
      </c>
      <c r="GE88">
        <f>IF(N(GD88)&lt;=0.005,0,ROUND(N(GD88)*N('Debt List'!E9)/12,2))</f>
        <v/>
      </c>
      <c r="GF88">
        <f>IF(N(GD88)&lt;=0.005,0,MIN(N('Debt List'!F9),N(GD88)+N(GE88)))+((GT88=5)*GV88+(GX88=5)*GZ88+(HB88=5)*HD88+(HF88=5)*HH88+(HJ88=5)*HL88+(HN88=5)*HP88+(HR88=5)*HT88+(HV88=5)*HX88)</f>
        <v/>
      </c>
      <c r="GG88">
        <f>MAX(0,ROUND(N(GD88)+N(GE88)-N(GF88),2))</f>
        <v/>
      </c>
      <c r="GH88">
        <f>N(GK87)</f>
        <v/>
      </c>
      <c r="GI88">
        <f>IF(N(GH88)&lt;=0.005,0,ROUND(N(GH88)*N('Debt List'!E10)/12,2))</f>
        <v/>
      </c>
      <c r="GJ88">
        <f>IF(N(GH88)&lt;=0.005,0,MIN(N('Debt List'!F10),N(GH88)+N(GI88)))+((GT88=6)*GV88+(GX88=6)*GZ88+(HB88=6)*HD88+(HF88=6)*HH88+(HJ88=6)*HL88+(HN88=6)*HP88+(HR88=6)*HT88+(HV88=6)*HX88)</f>
        <v/>
      </c>
      <c r="GK88">
        <f>MAX(0,ROUND(N(GH88)+N(GI88)-N(GJ88),2))</f>
        <v/>
      </c>
      <c r="GL88">
        <f>N(GO87)</f>
        <v/>
      </c>
      <c r="GM88">
        <f>IF(N(GL88)&lt;=0.005,0,ROUND(N(GL88)*N('Debt List'!E11)/12,2))</f>
        <v/>
      </c>
      <c r="GN88">
        <f>IF(N(GL88)&lt;=0.005,0,MIN(N('Debt List'!F11),N(GL88)+N(GM88)))+((GT88=7)*GV88+(GX88=7)*GZ88+(HB88=7)*HD88+(HF88=7)*HH88+(HJ88=7)*HL88+(HN88=7)*HP88+(HR88=7)*HT88+(HV88=7)*HX88)</f>
        <v/>
      </c>
      <c r="GO88">
        <f>MAX(0,ROUND(N(GL88)+N(GM88)-N(GN88),2))</f>
        <v/>
      </c>
      <c r="GP88">
        <f>N(GS87)</f>
        <v/>
      </c>
      <c r="GQ88">
        <f>IF(N(GP88)&lt;=0.005,0,ROUND(N(GP88)*N('Debt List'!E12)/12,2))</f>
        <v/>
      </c>
      <c r="GR88">
        <f>IF(N(GP88)&lt;=0.005,0,MIN(N('Debt List'!F12),N(GP88)+N(GQ88)))+((GT88=8)*GV88+(GX88=8)*GZ88+(HB88=8)*HD88+(HF88=8)*HH88+(HJ88=8)*HL88+(HN88=8)*HP88+(HR88=8)*HT88+(HV88=8)*HX88)</f>
        <v/>
      </c>
      <c r="GS88">
        <f>MAX(0,ROUND(N(GP88)+N(GQ88)-N(GR88),2))</f>
        <v/>
      </c>
      <c r="GT88">
        <f>IFERROR(MATCH(1,OrderAval,0),"")</f>
        <v/>
      </c>
      <c r="GU88">
        <f>IF(GT88="",0,IFERROR(IF(N(CHOOSE(GT88,FN88,FR88,FV88,FZ88,GD88,GH88,GL88,GP88))&lt;=0.005,0,MAX(0,N(CHOOSE(GT88,FN88,FR88,FV88,FZ88,GD88,GH88,GL88,GP88))+N(CHOOSE(GT88,FO88,FS88,FW88,GA88,GE88,GI88,GM88,GQ88))-MIN(N(CHOOSE(GT88,'Debt List'!$F$5,'Debt List'!$F$6,'Debt List'!$F$7,'Debt List'!$F$8,'Debt List'!$F$9,'Debt List'!$F$10,'Debt List'!$F$11,'Debt List'!$F$12)),N(CHOOSE(GT88,FN88,FR88,FV88,FZ88,GD88,GH88,GL88,GP88))+N(CHOOSE(GT88,FO88,FS88,FW88,GA88,GE88,GI88,GM88,GQ88))))),0))</f>
        <v/>
      </c>
      <c r="GV88">
        <f>MIN(N(GU88),MAX(0,N(ExtraPayment)))</f>
        <v/>
      </c>
      <c r="GW88">
        <f>MAX(0,N(ExtraPayment)-N(GV88))</f>
        <v/>
      </c>
      <c r="GX88">
        <f>IFERROR(MATCH(2,OrderAval,0),"")</f>
        <v/>
      </c>
      <c r="GY88">
        <f>IF(GX88="",0,IFERROR(IF(N(CHOOSE(GX88,FN88,FR88,FV88,FZ88,GD88,GH88,GL88,GP88))&lt;=0.005,0,MAX(0,N(CHOOSE(GX88,FN88,FR88,FV88,FZ88,GD88,GH88,GL88,GP88))+N(CHOOSE(GX88,FO88,FS88,FW88,GA88,GE88,GI88,GM88,GQ88))-MIN(N(CHOOSE(GX88,'Debt List'!$F$5,'Debt List'!$F$6,'Debt List'!$F$7,'Debt List'!$F$8,'Debt List'!$F$9,'Debt List'!$F$10,'Debt List'!$F$11,'Debt List'!$F$12)),N(CHOOSE(GX88,FN88,FR88,FV88,FZ88,GD88,GH88,GL88,GP88))+N(CHOOSE(GX88,FO88,FS88,FW88,GA88,GE88,GI88,GM88,GQ88))))),0))</f>
        <v/>
      </c>
      <c r="GZ88">
        <f>MIN(N(GY88),MAX(0,N(GW88)))</f>
        <v/>
      </c>
      <c r="HA88">
        <f>MAX(0,N(GW88)-N(GZ88))</f>
        <v/>
      </c>
      <c r="HB88">
        <f>IFERROR(MATCH(3,OrderAval,0),"")</f>
        <v/>
      </c>
      <c r="HC88">
        <f>IF(HB88="",0,IFERROR(IF(N(CHOOSE(HB88,FN88,FR88,FV88,FZ88,GD88,GH88,GL88,GP88))&lt;=0.005,0,MAX(0,N(CHOOSE(HB88,FN88,FR88,FV88,FZ88,GD88,GH88,GL88,GP88))+N(CHOOSE(HB88,FO88,FS88,FW88,GA88,GE88,GI88,GM88,GQ88))-MIN(N(CHOOSE(HB88,'Debt List'!$F$5,'Debt List'!$F$6,'Debt List'!$F$7,'Debt List'!$F$8,'Debt List'!$F$9,'Debt List'!$F$10,'Debt List'!$F$11,'Debt List'!$F$12)),N(CHOOSE(HB88,FN88,FR88,FV88,FZ88,GD88,GH88,GL88,GP88))+N(CHOOSE(HB88,FO88,FS88,FW88,GA88,GE88,GI88,GM88,GQ88))))),0))</f>
        <v/>
      </c>
      <c r="HD88">
        <f>MIN(N(HC88),MAX(0,N(HA88)))</f>
        <v/>
      </c>
      <c r="HE88">
        <f>MAX(0,N(HA88)-N(HD88))</f>
        <v/>
      </c>
      <c r="HF88">
        <f>IFERROR(MATCH(4,OrderAval,0),"")</f>
        <v/>
      </c>
      <c r="HG88">
        <f>IF(HF88="",0,IFERROR(IF(N(CHOOSE(HF88,FN88,FR88,FV88,FZ88,GD88,GH88,GL88,GP88))&lt;=0.005,0,MAX(0,N(CHOOSE(HF88,FN88,FR88,FV88,FZ88,GD88,GH88,GL88,GP88))+N(CHOOSE(HF88,FO88,FS88,FW88,GA88,GE88,GI88,GM88,GQ88))-MIN(N(CHOOSE(HF88,'Debt List'!$F$5,'Debt List'!$F$6,'Debt List'!$F$7,'Debt List'!$F$8,'Debt List'!$F$9,'Debt List'!$F$10,'Debt List'!$F$11,'Debt List'!$F$12)),N(CHOOSE(HF88,FN88,FR88,FV88,FZ88,GD88,GH88,GL88,GP88))+N(CHOOSE(HF88,FO88,FS88,FW88,GA88,GE88,GI88,GM88,GQ88))))),0))</f>
        <v/>
      </c>
      <c r="HH88">
        <f>MIN(N(HG88),MAX(0,N(HE88)))</f>
        <v/>
      </c>
      <c r="HI88">
        <f>MAX(0,N(HE88)-N(HH88))</f>
        <v/>
      </c>
      <c r="HJ88">
        <f>IFERROR(MATCH(5,OrderAval,0),"")</f>
        <v/>
      </c>
      <c r="HK88">
        <f>IF(HJ88="",0,IFERROR(IF(N(CHOOSE(HJ88,FN88,FR88,FV88,FZ88,GD88,GH88,GL88,GP88))&lt;=0.005,0,MAX(0,N(CHOOSE(HJ88,FN88,FR88,FV88,FZ88,GD88,GH88,GL88,GP88))+N(CHOOSE(HJ88,FO88,FS88,FW88,GA88,GE88,GI88,GM88,GQ88))-MIN(N(CHOOSE(HJ88,'Debt List'!$F$5,'Debt List'!$F$6,'Debt List'!$F$7,'Debt List'!$F$8,'Debt List'!$F$9,'Debt List'!$F$10,'Debt List'!$F$11,'Debt List'!$F$12)),N(CHOOSE(HJ88,FN88,FR88,FV88,FZ88,GD88,GH88,GL88,GP88))+N(CHOOSE(HJ88,FO88,FS88,FW88,GA88,GE88,GI88,GM88,GQ88))))),0))</f>
        <v/>
      </c>
      <c r="HL88">
        <f>MIN(N(HK88),MAX(0,N(HI88)))</f>
        <v/>
      </c>
      <c r="HM88">
        <f>MAX(0,N(HI88)-N(HL88))</f>
        <v/>
      </c>
      <c r="HN88">
        <f>IFERROR(MATCH(6,OrderAval,0),"")</f>
        <v/>
      </c>
      <c r="HO88">
        <f>IF(HN88="",0,IFERROR(IF(N(CHOOSE(HN88,FN88,FR88,FV88,FZ88,GD88,GH88,GL88,GP88))&lt;=0.005,0,MAX(0,N(CHOOSE(HN88,FN88,FR88,FV88,FZ88,GD88,GH88,GL88,GP88))+N(CHOOSE(HN88,FO88,FS88,FW88,GA88,GE88,GI88,GM88,GQ88))-MIN(N(CHOOSE(HN88,'Debt List'!$F$5,'Debt List'!$F$6,'Debt List'!$F$7,'Debt List'!$F$8,'Debt List'!$F$9,'Debt List'!$F$10,'Debt List'!$F$11,'Debt List'!$F$12)),N(CHOOSE(HN88,FN88,FR88,FV88,FZ88,GD88,GH88,GL88,GP88))+N(CHOOSE(HN88,FO88,FS88,FW88,GA88,GE88,GI88,GM88,GQ88))))),0))</f>
        <v/>
      </c>
      <c r="HP88">
        <f>MIN(N(HO88),MAX(0,N(HM88)))</f>
        <v/>
      </c>
      <c r="HQ88">
        <f>MAX(0,N(HM88)-N(HP88))</f>
        <v/>
      </c>
      <c r="HR88">
        <f>IFERROR(MATCH(7,OrderAval,0),"")</f>
        <v/>
      </c>
      <c r="HS88">
        <f>IF(HR88="",0,IFERROR(IF(N(CHOOSE(HR88,FN88,FR88,FV88,FZ88,GD88,GH88,GL88,GP88))&lt;=0.005,0,MAX(0,N(CHOOSE(HR88,FN88,FR88,FV88,FZ88,GD88,GH88,GL88,GP88))+N(CHOOSE(HR88,FO88,FS88,FW88,GA88,GE88,GI88,GM88,GQ88))-MIN(N(CHOOSE(HR88,'Debt List'!$F$5,'Debt List'!$F$6,'Debt List'!$F$7,'Debt List'!$F$8,'Debt List'!$F$9,'Debt List'!$F$10,'Debt List'!$F$11,'Debt List'!$F$12)),N(CHOOSE(HR88,FN88,FR88,FV88,FZ88,GD88,GH88,GL88,GP88))+N(CHOOSE(HR88,FO88,FS88,FW88,GA88,GE88,GI88,GM88,GQ88))))),0))</f>
        <v/>
      </c>
      <c r="HT88">
        <f>MIN(N(HS88),MAX(0,N(HQ88)))</f>
        <v/>
      </c>
      <c r="HU88">
        <f>MAX(0,N(HQ88)-N(HT88))</f>
        <v/>
      </c>
      <c r="HV88">
        <f>IFERROR(MATCH(8,OrderAval,0),"")</f>
        <v/>
      </c>
      <c r="HW88">
        <f>IF(HV88="",0,IFERROR(IF(N(CHOOSE(HV88,FN88,FR88,FV88,FZ88,GD88,GH88,GL88,GP88))&lt;=0.005,0,MAX(0,N(CHOOSE(HV88,FN88,FR88,FV88,FZ88,GD88,GH88,GL88,GP88))+N(CHOOSE(HV88,FO88,FS88,FW88,GA88,GE88,GI88,GM88,GQ88))-MIN(N(CHOOSE(HV88,'Debt List'!$F$5,'Debt List'!$F$6,'Debt List'!$F$7,'Debt List'!$F$8,'Debt List'!$F$9,'Debt List'!$F$10,'Debt List'!$F$11,'Debt List'!$F$12)),N(CHOOSE(HV88,FN88,FR88,FV88,FZ88,GD88,GH88,GL88,GP88))+N(CHOOSE(HV88,FO88,FS88,FW88,GA88,GE88,GI88,GM88,GQ88))))),0))</f>
        <v/>
      </c>
      <c r="HX88">
        <f>MIN(N(HW88),MAX(0,N(HU88)))</f>
        <v/>
      </c>
      <c r="HY88">
        <f>MAX(0,N(HU88)-N(HX88))</f>
        <v/>
      </c>
    </row>
    <row r="89">
      <c r="A89" t="n">
        <v>85</v>
      </c>
      <c r="B89" s="115">
        <f>DATE(YEAR(PlanStart),MONTH(PlanStart)+A89-1,1)</f>
        <v/>
      </c>
      <c r="C89">
        <f>IF(AND(AP89&lt;&gt;"",N(CHOOSE(AP89,J89,N89,R89,V89,Z89,AD89,AH89,AL89))&gt;0.005),INDEX(DebtNames,AP89),IF(AND(AT89&lt;&gt;"",N(CHOOSE(AT89,J89,N89,R89,V89,Z89,AD89,AH89,AL89))&gt;0.005),INDEX(DebtNames,AT89),IF(AND(AX89&lt;&gt;"",N(CHOOSE(AX89,J89,N89,R89,V89,Z89,AD89,AH89,AL89))&gt;0.005),INDEX(DebtNames,AX89),IF(AND(BB89&lt;&gt;"",N(CHOOSE(BB89,J89,N89,R89,V89,Z89,AD89,AH89,AL89))&gt;0.005),INDEX(DebtNames,BB89),IF(AND(BF89&lt;&gt;"",N(CHOOSE(BF89,J89,N89,R89,V89,Z89,AD89,AH89,AL89))&gt;0.005),INDEX(DebtNames,BF89),IF(AND(BJ89&lt;&gt;"",N(CHOOSE(BJ89,J89,N89,R89,V89,Z89,AD89,AH89,AL89))&gt;0.005),INDEX(DebtNames,BJ89),IF(AND(BN89&lt;&gt;"",N(CHOOSE(BN89,J89,N89,R89,V89,Z89,AD89,AH89,AL89))&gt;0.005),INDEX(DebtNames,BN89),IF(AND(BR89&lt;&gt;"",N(CHOOSE(BR89,J89,N89,R89,V89,Z89,AD89,AH89,AL89))&gt;0.005),INDEX(DebtNames,BR89),""))))))))</f>
        <v/>
      </c>
      <c r="D89">
        <f>N(BU89)</f>
        <v/>
      </c>
      <c r="E89">
        <f>N(L89)+N(P89)+N(T89)+N(X89)+N(AB89)+N(AF89)+N(AJ89)+N(AN89)</f>
        <v/>
      </c>
      <c r="F89">
        <f>N(K89)+N(O89)+N(S89)+N(W89)+N(AA89)+N(AE89)+N(AI89)+N(AM89)</f>
        <v/>
      </c>
      <c r="G89">
        <f>N(G88)+N(F89)</f>
        <v/>
      </c>
      <c r="H89">
        <f>N(M89)+N(Q89)+N(U89)+N(Y89)+N(AC89)+N(AG89)+N(AK89)+N(AO89)</f>
        <v/>
      </c>
      <c r="I89">
        <f>(M89&gt;0.005)*1+(Q89&gt;0.005)*1+(U89&gt;0.005)*1+(Y89&gt;0.005)*1+(AC89&gt;0.005)*1+(AG89&gt;0.005)*1+(AK89&gt;0.005)*1+(AO89&gt;0.005)*1</f>
        <v/>
      </c>
      <c r="J89">
        <f>N(M88)</f>
        <v/>
      </c>
      <c r="K89">
        <f>IF(N(J89)&lt;=0.005,0,ROUND(N(J89)*N('Debt List'!E5)/12,2))</f>
        <v/>
      </c>
      <c r="L89">
        <f>IF(N(J89)&lt;=0.005,0,MIN(N('Debt List'!F5),N(J89)+N(K89)))+((AP89=1)*AR89+(AT89=1)*AV89+(AX89=1)*AZ89+(BB89=1)*BD89+(BF89=1)*BH89+(BJ89=1)*BL89+(BN89=1)*BP89+(BR89=1)*BT89)</f>
        <v/>
      </c>
      <c r="M89">
        <f>MAX(0,ROUND(N(J89)+N(K89)-N(L89),2))</f>
        <v/>
      </c>
      <c r="N89">
        <f>N(Q88)</f>
        <v/>
      </c>
      <c r="O89">
        <f>IF(N(N89)&lt;=0.005,0,ROUND(N(N89)*N('Debt List'!E6)/12,2))</f>
        <v/>
      </c>
      <c r="P89">
        <f>IF(N(N89)&lt;=0.005,0,MIN(N('Debt List'!F6),N(N89)+N(O89)))+((AP89=2)*AR89+(AT89=2)*AV89+(AX89=2)*AZ89+(BB89=2)*BD89+(BF89=2)*BH89+(BJ89=2)*BL89+(BN89=2)*BP89+(BR89=2)*BT89)</f>
        <v/>
      </c>
      <c r="Q89">
        <f>MAX(0,ROUND(N(N89)+N(O89)-N(P89),2))</f>
        <v/>
      </c>
      <c r="R89">
        <f>N(U88)</f>
        <v/>
      </c>
      <c r="S89">
        <f>IF(N(R89)&lt;=0.005,0,ROUND(N(R89)*N('Debt List'!E7)/12,2))</f>
        <v/>
      </c>
      <c r="T89">
        <f>IF(N(R89)&lt;=0.005,0,MIN(N('Debt List'!F7),N(R89)+N(S89)))+((AP89=3)*AR89+(AT89=3)*AV89+(AX89=3)*AZ89+(BB89=3)*BD89+(BF89=3)*BH89+(BJ89=3)*BL89+(BN89=3)*BP89+(BR89=3)*BT89)</f>
        <v/>
      </c>
      <c r="U89">
        <f>MAX(0,ROUND(N(R89)+N(S89)-N(T89),2))</f>
        <v/>
      </c>
      <c r="V89">
        <f>N(Y88)</f>
        <v/>
      </c>
      <c r="W89">
        <f>IF(N(V89)&lt;=0.005,0,ROUND(N(V89)*N('Debt List'!E8)/12,2))</f>
        <v/>
      </c>
      <c r="X89">
        <f>IF(N(V89)&lt;=0.005,0,MIN(N('Debt List'!F8),N(V89)+N(W89)))+((AP89=4)*AR89+(AT89=4)*AV89+(AX89=4)*AZ89+(BB89=4)*BD89+(BF89=4)*BH89+(BJ89=4)*BL89+(BN89=4)*BP89+(BR89=4)*BT89)</f>
        <v/>
      </c>
      <c r="Y89">
        <f>MAX(0,ROUND(N(V89)+N(W89)-N(X89),2))</f>
        <v/>
      </c>
      <c r="Z89">
        <f>N(AC88)</f>
        <v/>
      </c>
      <c r="AA89">
        <f>IF(N(Z89)&lt;=0.005,0,ROUND(N(Z89)*N('Debt List'!E9)/12,2))</f>
        <v/>
      </c>
      <c r="AB89">
        <f>IF(N(Z89)&lt;=0.005,0,MIN(N('Debt List'!F9),N(Z89)+N(AA89)))+((AP89=5)*AR89+(AT89=5)*AV89+(AX89=5)*AZ89+(BB89=5)*BD89+(BF89=5)*BH89+(BJ89=5)*BL89+(BN89=5)*BP89+(BR89=5)*BT89)</f>
        <v/>
      </c>
      <c r="AC89">
        <f>MAX(0,ROUND(N(Z89)+N(AA89)-N(AB89),2))</f>
        <v/>
      </c>
      <c r="AD89">
        <f>N(AG88)</f>
        <v/>
      </c>
      <c r="AE89">
        <f>IF(N(AD89)&lt;=0.005,0,ROUND(N(AD89)*N('Debt List'!E10)/12,2))</f>
        <v/>
      </c>
      <c r="AF89">
        <f>IF(N(AD89)&lt;=0.005,0,MIN(N('Debt List'!F10),N(AD89)+N(AE89)))+((AP89=6)*AR89+(AT89=6)*AV89+(AX89=6)*AZ89+(BB89=6)*BD89+(BF89=6)*BH89+(BJ89=6)*BL89+(BN89=6)*BP89+(BR89=6)*BT89)</f>
        <v/>
      </c>
      <c r="AG89">
        <f>MAX(0,ROUND(N(AD89)+N(AE89)-N(AF89),2))</f>
        <v/>
      </c>
      <c r="AH89">
        <f>N(AK88)</f>
        <v/>
      </c>
      <c r="AI89">
        <f>IF(N(AH89)&lt;=0.005,0,ROUND(N(AH89)*N('Debt List'!E11)/12,2))</f>
        <v/>
      </c>
      <c r="AJ89">
        <f>IF(N(AH89)&lt;=0.005,0,MIN(N('Debt List'!F11),N(AH89)+N(AI89)))+((AP89=7)*AR89+(AT89=7)*AV89+(AX89=7)*AZ89+(BB89=7)*BD89+(BF89=7)*BH89+(BJ89=7)*BL89+(BN89=7)*BP89+(BR89=7)*BT89)</f>
        <v/>
      </c>
      <c r="AK89">
        <f>MAX(0,ROUND(N(AH89)+N(AI89)-N(AJ89),2))</f>
        <v/>
      </c>
      <c r="AL89">
        <f>N(AO88)</f>
        <v/>
      </c>
      <c r="AM89">
        <f>IF(N(AL89)&lt;=0.005,0,ROUND(N(AL89)*N('Debt List'!E12)/12,2))</f>
        <v/>
      </c>
      <c r="AN89">
        <f>IF(N(AL89)&lt;=0.005,0,MIN(N('Debt List'!F12),N(AL89)+N(AM89)))+((AP89=8)*AR89+(AT89=8)*AV89+(AX89=8)*AZ89+(BB89=8)*BD89+(BF89=8)*BH89+(BJ89=8)*BL89+(BN89=8)*BP89+(BR89=8)*BT89)</f>
        <v/>
      </c>
      <c r="AO89">
        <f>MAX(0,ROUND(N(AL89)+N(AM89)-N(AN89),2))</f>
        <v/>
      </c>
      <c r="AP89">
        <f>IFERROR(MATCH(1,OrderPlan,0),"")</f>
        <v/>
      </c>
      <c r="AQ89">
        <f>IF(AP89="",0,IFERROR(IF(N(CHOOSE(AP89,J89,N89,R89,V89,Z89,AD89,AH89,AL89))&lt;=0.005,0,MAX(0,N(CHOOSE(AP89,J89,N89,R89,V89,Z89,AD89,AH89,AL89))+N(CHOOSE(AP89,K89,O89,S89,W89,AA89,AE89,AI89,AM89))-MIN(N(CHOOSE(AP89,'Debt List'!$F$5,'Debt List'!$F$6,'Debt List'!$F$7,'Debt List'!$F$8,'Debt List'!$F$9,'Debt List'!$F$10,'Debt List'!$F$11,'Debt List'!$F$12)),N(CHOOSE(AP89,J89,N89,R89,V89,Z89,AD89,AH89,AL89))+N(CHOOSE(AP89,K89,O89,S89,W89,AA89,AE89,AI89,AM89))))),0))</f>
        <v/>
      </c>
      <c r="AR89">
        <f>MIN(N(AQ89),MAX(0,N(ExtraPayment)))</f>
        <v/>
      </c>
      <c r="AS89">
        <f>MAX(0,N(ExtraPayment)-N(AR89))</f>
        <v/>
      </c>
      <c r="AT89">
        <f>IFERROR(MATCH(2,OrderPlan,0),"")</f>
        <v/>
      </c>
      <c r="AU89">
        <f>IF(AT89="",0,IFERROR(IF(N(CHOOSE(AT89,J89,N89,R89,V89,Z89,AD89,AH89,AL89))&lt;=0.005,0,MAX(0,N(CHOOSE(AT89,J89,N89,R89,V89,Z89,AD89,AH89,AL89))+N(CHOOSE(AT89,K89,O89,S89,W89,AA89,AE89,AI89,AM89))-MIN(N(CHOOSE(AT89,'Debt List'!$F$5,'Debt List'!$F$6,'Debt List'!$F$7,'Debt List'!$F$8,'Debt List'!$F$9,'Debt List'!$F$10,'Debt List'!$F$11,'Debt List'!$F$12)),N(CHOOSE(AT89,J89,N89,R89,V89,Z89,AD89,AH89,AL89))+N(CHOOSE(AT89,K89,O89,S89,W89,AA89,AE89,AI89,AM89))))),0))</f>
        <v/>
      </c>
      <c r="AV89">
        <f>MIN(N(AU89),MAX(0,N(AS89)))</f>
        <v/>
      </c>
      <c r="AW89">
        <f>MAX(0,N(AS89)-N(AV89))</f>
        <v/>
      </c>
      <c r="AX89">
        <f>IFERROR(MATCH(3,OrderPlan,0),"")</f>
        <v/>
      </c>
      <c r="AY89">
        <f>IF(AX89="",0,IFERROR(IF(N(CHOOSE(AX89,J89,N89,R89,V89,Z89,AD89,AH89,AL89))&lt;=0.005,0,MAX(0,N(CHOOSE(AX89,J89,N89,R89,V89,Z89,AD89,AH89,AL89))+N(CHOOSE(AX89,K89,O89,S89,W89,AA89,AE89,AI89,AM89))-MIN(N(CHOOSE(AX89,'Debt List'!$F$5,'Debt List'!$F$6,'Debt List'!$F$7,'Debt List'!$F$8,'Debt List'!$F$9,'Debt List'!$F$10,'Debt List'!$F$11,'Debt List'!$F$12)),N(CHOOSE(AX89,J89,N89,R89,V89,Z89,AD89,AH89,AL89))+N(CHOOSE(AX89,K89,O89,S89,W89,AA89,AE89,AI89,AM89))))),0))</f>
        <v/>
      </c>
      <c r="AZ89">
        <f>MIN(N(AY89),MAX(0,N(AW89)))</f>
        <v/>
      </c>
      <c r="BA89">
        <f>MAX(0,N(AW89)-N(AZ89))</f>
        <v/>
      </c>
      <c r="BB89">
        <f>IFERROR(MATCH(4,OrderPlan,0),"")</f>
        <v/>
      </c>
      <c r="BC89">
        <f>IF(BB89="",0,IFERROR(IF(N(CHOOSE(BB89,J89,N89,R89,V89,Z89,AD89,AH89,AL89))&lt;=0.005,0,MAX(0,N(CHOOSE(BB89,J89,N89,R89,V89,Z89,AD89,AH89,AL89))+N(CHOOSE(BB89,K89,O89,S89,W89,AA89,AE89,AI89,AM89))-MIN(N(CHOOSE(BB89,'Debt List'!$F$5,'Debt List'!$F$6,'Debt List'!$F$7,'Debt List'!$F$8,'Debt List'!$F$9,'Debt List'!$F$10,'Debt List'!$F$11,'Debt List'!$F$12)),N(CHOOSE(BB89,J89,N89,R89,V89,Z89,AD89,AH89,AL89))+N(CHOOSE(BB89,K89,O89,S89,W89,AA89,AE89,AI89,AM89))))),0))</f>
        <v/>
      </c>
      <c r="BD89">
        <f>MIN(N(BC89),MAX(0,N(BA89)))</f>
        <v/>
      </c>
      <c r="BE89">
        <f>MAX(0,N(BA89)-N(BD89))</f>
        <v/>
      </c>
      <c r="BF89">
        <f>IFERROR(MATCH(5,OrderPlan,0),"")</f>
        <v/>
      </c>
      <c r="BG89">
        <f>IF(BF89="",0,IFERROR(IF(N(CHOOSE(BF89,J89,N89,R89,V89,Z89,AD89,AH89,AL89))&lt;=0.005,0,MAX(0,N(CHOOSE(BF89,J89,N89,R89,V89,Z89,AD89,AH89,AL89))+N(CHOOSE(BF89,K89,O89,S89,W89,AA89,AE89,AI89,AM89))-MIN(N(CHOOSE(BF89,'Debt List'!$F$5,'Debt List'!$F$6,'Debt List'!$F$7,'Debt List'!$F$8,'Debt List'!$F$9,'Debt List'!$F$10,'Debt List'!$F$11,'Debt List'!$F$12)),N(CHOOSE(BF89,J89,N89,R89,V89,Z89,AD89,AH89,AL89))+N(CHOOSE(BF89,K89,O89,S89,W89,AA89,AE89,AI89,AM89))))),0))</f>
        <v/>
      </c>
      <c r="BH89">
        <f>MIN(N(BG89),MAX(0,N(BE89)))</f>
        <v/>
      </c>
      <c r="BI89">
        <f>MAX(0,N(BE89)-N(BH89))</f>
        <v/>
      </c>
      <c r="BJ89">
        <f>IFERROR(MATCH(6,OrderPlan,0),"")</f>
        <v/>
      </c>
      <c r="BK89">
        <f>IF(BJ89="",0,IFERROR(IF(N(CHOOSE(BJ89,J89,N89,R89,V89,Z89,AD89,AH89,AL89))&lt;=0.005,0,MAX(0,N(CHOOSE(BJ89,J89,N89,R89,V89,Z89,AD89,AH89,AL89))+N(CHOOSE(BJ89,K89,O89,S89,W89,AA89,AE89,AI89,AM89))-MIN(N(CHOOSE(BJ89,'Debt List'!$F$5,'Debt List'!$F$6,'Debt List'!$F$7,'Debt List'!$F$8,'Debt List'!$F$9,'Debt List'!$F$10,'Debt List'!$F$11,'Debt List'!$F$12)),N(CHOOSE(BJ89,J89,N89,R89,V89,Z89,AD89,AH89,AL89))+N(CHOOSE(BJ89,K89,O89,S89,W89,AA89,AE89,AI89,AM89))))),0))</f>
        <v/>
      </c>
      <c r="BL89">
        <f>MIN(N(BK89),MAX(0,N(BI89)))</f>
        <v/>
      </c>
      <c r="BM89">
        <f>MAX(0,N(BI89)-N(BL89))</f>
        <v/>
      </c>
      <c r="BN89">
        <f>IFERROR(MATCH(7,OrderPlan,0),"")</f>
        <v/>
      </c>
      <c r="BO89">
        <f>IF(BN89="",0,IFERROR(IF(N(CHOOSE(BN89,J89,N89,R89,V89,Z89,AD89,AH89,AL89))&lt;=0.005,0,MAX(0,N(CHOOSE(BN89,J89,N89,R89,V89,Z89,AD89,AH89,AL89))+N(CHOOSE(BN89,K89,O89,S89,W89,AA89,AE89,AI89,AM89))-MIN(N(CHOOSE(BN89,'Debt List'!$F$5,'Debt List'!$F$6,'Debt List'!$F$7,'Debt List'!$F$8,'Debt List'!$F$9,'Debt List'!$F$10,'Debt List'!$F$11,'Debt List'!$F$12)),N(CHOOSE(BN89,J89,N89,R89,V89,Z89,AD89,AH89,AL89))+N(CHOOSE(BN89,K89,O89,S89,W89,AA89,AE89,AI89,AM89))))),0))</f>
        <v/>
      </c>
      <c r="BP89">
        <f>MIN(N(BO89),MAX(0,N(BM89)))</f>
        <v/>
      </c>
      <c r="BQ89">
        <f>MAX(0,N(BM89)-N(BP89))</f>
        <v/>
      </c>
      <c r="BR89">
        <f>IFERROR(MATCH(8,OrderPlan,0),"")</f>
        <v/>
      </c>
      <c r="BS89">
        <f>IF(BR89="",0,IFERROR(IF(N(CHOOSE(BR89,J89,N89,R89,V89,Z89,AD89,AH89,AL89))&lt;=0.005,0,MAX(0,N(CHOOSE(BR89,J89,N89,R89,V89,Z89,AD89,AH89,AL89))+N(CHOOSE(BR89,K89,O89,S89,W89,AA89,AE89,AI89,AM89))-MIN(N(CHOOSE(BR89,'Debt List'!$F$5,'Debt List'!$F$6,'Debt List'!$F$7,'Debt List'!$F$8,'Debt List'!$F$9,'Debt List'!$F$10,'Debt List'!$F$11,'Debt List'!$F$12)),N(CHOOSE(BR89,J89,N89,R89,V89,Z89,AD89,AH89,AL89))+N(CHOOSE(BR89,K89,O89,S89,W89,AA89,AE89,AI89,AM89))))),0))</f>
        <v/>
      </c>
      <c r="BT89">
        <f>MIN(N(BS89),MAX(0,N(BQ89)))</f>
        <v/>
      </c>
      <c r="BU89">
        <f>MAX(0,N(BQ89)-N(BT89))</f>
        <v/>
      </c>
      <c r="CC89" t="n">
        <v>85</v>
      </c>
      <c r="CD89" s="115">
        <f>DATE(YEAR(PlanStart),MONTH(PlanStart)+CC89-1,1)</f>
        <v/>
      </c>
      <c r="CE89">
        <f>IF(AND(DR89&lt;&gt;"",N(CHOOSE(DR89,CL89,CP89,CT89,CX89,DB89,DF89,DJ89,DN89))&gt;0.005),INDEX(DebtNames,DR89),IF(AND(DV89&lt;&gt;"",N(CHOOSE(DV89,CL89,CP89,CT89,CX89,DB89,DF89,DJ89,DN89))&gt;0.005),INDEX(DebtNames,DV89),IF(AND(DZ89&lt;&gt;"",N(CHOOSE(DZ89,CL89,CP89,CT89,CX89,DB89,DF89,DJ89,DN89))&gt;0.005),INDEX(DebtNames,DZ89),IF(AND(ED89&lt;&gt;"",N(CHOOSE(ED89,CL89,CP89,CT89,CX89,DB89,DF89,DJ89,DN89))&gt;0.005),INDEX(DebtNames,ED89),IF(AND(EH89&lt;&gt;"",N(CHOOSE(EH89,CL89,CP89,CT89,CX89,DB89,DF89,DJ89,DN89))&gt;0.005),INDEX(DebtNames,EH89),IF(AND(EL89&lt;&gt;"",N(CHOOSE(EL89,CL89,CP89,CT89,CX89,DB89,DF89,DJ89,DN89))&gt;0.005),INDEX(DebtNames,EL89),IF(AND(EP89&lt;&gt;"",N(CHOOSE(EP89,CL89,CP89,CT89,CX89,DB89,DF89,DJ89,DN89))&gt;0.005),INDEX(DebtNames,EP89),IF(AND(ET89&lt;&gt;"",N(CHOOSE(ET89,CL89,CP89,CT89,CX89,DB89,DF89,DJ89,DN89))&gt;0.005),INDEX(DebtNames,ET89),""))))))))</f>
        <v/>
      </c>
      <c r="CF89">
        <f>N(EW89)</f>
        <v/>
      </c>
      <c r="CG89">
        <f>N(CN89)+N(CR89)+N(CV89)+N(CZ89)+N(DD89)+N(DH89)+N(DL89)+N(DP89)</f>
        <v/>
      </c>
      <c r="CH89">
        <f>N(CM89)+N(CQ89)+N(CU89)+N(CY89)+N(DC89)+N(DG89)+N(DK89)+N(DO89)</f>
        <v/>
      </c>
      <c r="CI89">
        <f>N(CI88)+N(CH89)</f>
        <v/>
      </c>
      <c r="CJ89">
        <f>N(CO89)+N(CS89)+N(CW89)+N(DA89)+N(DE89)+N(DI89)+N(DM89)+N(DQ89)</f>
        <v/>
      </c>
      <c r="CK89">
        <f>(CO89&gt;0.005)*1+(CS89&gt;0.005)*1+(CW89&gt;0.005)*1+(DA89&gt;0.005)*1+(DE89&gt;0.005)*1+(DI89&gt;0.005)*1+(DM89&gt;0.005)*1+(DQ89&gt;0.005)*1</f>
        <v/>
      </c>
      <c r="CL89">
        <f>N(CO88)</f>
        <v/>
      </c>
      <c r="CM89">
        <f>IF(N(CL89)&lt;=0.005,0,ROUND(N(CL89)*N('Debt List'!E5)/12,2))</f>
        <v/>
      </c>
      <c r="CN89">
        <f>IF(N(CL89)&lt;=0.005,0,MIN(N('Debt List'!F5),N(CL89)+N(CM89)))+((DR89=1)*DT89+(DV89=1)*DX89+(DZ89=1)*EB89+(ED89=1)*EF89+(EH89=1)*EJ89+(EL89=1)*EN89+(EP89=1)*ER89+(ET89=1)*EV89)</f>
        <v/>
      </c>
      <c r="CO89">
        <f>MAX(0,ROUND(N(CL89)+N(CM89)-N(CN89),2))</f>
        <v/>
      </c>
      <c r="CP89">
        <f>N(CS88)</f>
        <v/>
      </c>
      <c r="CQ89">
        <f>IF(N(CP89)&lt;=0.005,0,ROUND(N(CP89)*N('Debt List'!E6)/12,2))</f>
        <v/>
      </c>
      <c r="CR89">
        <f>IF(N(CP89)&lt;=0.005,0,MIN(N('Debt List'!F6),N(CP89)+N(CQ89)))+((DR89=2)*DT89+(DV89=2)*DX89+(DZ89=2)*EB89+(ED89=2)*EF89+(EH89=2)*EJ89+(EL89=2)*EN89+(EP89=2)*ER89+(ET89=2)*EV89)</f>
        <v/>
      </c>
      <c r="CS89">
        <f>MAX(0,ROUND(N(CP89)+N(CQ89)-N(CR89),2))</f>
        <v/>
      </c>
      <c r="CT89">
        <f>N(CW88)</f>
        <v/>
      </c>
      <c r="CU89">
        <f>IF(N(CT89)&lt;=0.005,0,ROUND(N(CT89)*N('Debt List'!E7)/12,2))</f>
        <v/>
      </c>
      <c r="CV89">
        <f>IF(N(CT89)&lt;=0.005,0,MIN(N('Debt List'!F7),N(CT89)+N(CU89)))+((DR89=3)*DT89+(DV89=3)*DX89+(DZ89=3)*EB89+(ED89=3)*EF89+(EH89=3)*EJ89+(EL89=3)*EN89+(EP89=3)*ER89+(ET89=3)*EV89)</f>
        <v/>
      </c>
      <c r="CW89">
        <f>MAX(0,ROUND(N(CT89)+N(CU89)-N(CV89),2))</f>
        <v/>
      </c>
      <c r="CX89">
        <f>N(DA88)</f>
        <v/>
      </c>
      <c r="CY89">
        <f>IF(N(CX89)&lt;=0.005,0,ROUND(N(CX89)*N('Debt List'!E8)/12,2))</f>
        <v/>
      </c>
      <c r="CZ89">
        <f>IF(N(CX89)&lt;=0.005,0,MIN(N('Debt List'!F8),N(CX89)+N(CY89)))+((DR89=4)*DT89+(DV89=4)*DX89+(DZ89=4)*EB89+(ED89=4)*EF89+(EH89=4)*EJ89+(EL89=4)*EN89+(EP89=4)*ER89+(ET89=4)*EV89)</f>
        <v/>
      </c>
      <c r="DA89">
        <f>MAX(0,ROUND(N(CX89)+N(CY89)-N(CZ89),2))</f>
        <v/>
      </c>
      <c r="DB89">
        <f>N(DE88)</f>
        <v/>
      </c>
      <c r="DC89">
        <f>IF(N(DB89)&lt;=0.005,0,ROUND(N(DB89)*N('Debt List'!E9)/12,2))</f>
        <v/>
      </c>
      <c r="DD89">
        <f>IF(N(DB89)&lt;=0.005,0,MIN(N('Debt List'!F9),N(DB89)+N(DC89)))+((DR89=5)*DT89+(DV89=5)*DX89+(DZ89=5)*EB89+(ED89=5)*EF89+(EH89=5)*EJ89+(EL89=5)*EN89+(EP89=5)*ER89+(ET89=5)*EV89)</f>
        <v/>
      </c>
      <c r="DE89">
        <f>MAX(0,ROUND(N(DB89)+N(DC89)-N(DD89),2))</f>
        <v/>
      </c>
      <c r="DF89">
        <f>N(DI88)</f>
        <v/>
      </c>
      <c r="DG89">
        <f>IF(N(DF89)&lt;=0.005,0,ROUND(N(DF89)*N('Debt List'!E10)/12,2))</f>
        <v/>
      </c>
      <c r="DH89">
        <f>IF(N(DF89)&lt;=0.005,0,MIN(N('Debt List'!F10),N(DF89)+N(DG89)))+((DR89=6)*DT89+(DV89=6)*DX89+(DZ89=6)*EB89+(ED89=6)*EF89+(EH89=6)*EJ89+(EL89=6)*EN89+(EP89=6)*ER89+(ET89=6)*EV89)</f>
        <v/>
      </c>
      <c r="DI89">
        <f>MAX(0,ROUND(N(DF89)+N(DG89)-N(DH89),2))</f>
        <v/>
      </c>
      <c r="DJ89">
        <f>N(DM88)</f>
        <v/>
      </c>
      <c r="DK89">
        <f>IF(N(DJ89)&lt;=0.005,0,ROUND(N(DJ89)*N('Debt List'!E11)/12,2))</f>
        <v/>
      </c>
      <c r="DL89">
        <f>IF(N(DJ89)&lt;=0.005,0,MIN(N('Debt List'!F11),N(DJ89)+N(DK89)))+((DR89=7)*DT89+(DV89=7)*DX89+(DZ89=7)*EB89+(ED89=7)*EF89+(EH89=7)*EJ89+(EL89=7)*EN89+(EP89=7)*ER89+(ET89=7)*EV89)</f>
        <v/>
      </c>
      <c r="DM89">
        <f>MAX(0,ROUND(N(DJ89)+N(DK89)-N(DL89),2))</f>
        <v/>
      </c>
      <c r="DN89">
        <f>N(DQ88)</f>
        <v/>
      </c>
      <c r="DO89">
        <f>IF(N(DN89)&lt;=0.005,0,ROUND(N(DN89)*N('Debt List'!E12)/12,2))</f>
        <v/>
      </c>
      <c r="DP89">
        <f>IF(N(DN89)&lt;=0.005,0,MIN(N('Debt List'!F12),N(DN89)+N(DO89)))+((DR89=8)*DT89+(DV89=8)*DX89+(DZ89=8)*EB89+(ED89=8)*EF89+(EH89=8)*EJ89+(EL89=8)*EN89+(EP89=8)*ER89+(ET89=8)*EV89)</f>
        <v/>
      </c>
      <c r="DQ89">
        <f>MAX(0,ROUND(N(DN89)+N(DO89)-N(DP89),2))</f>
        <v/>
      </c>
      <c r="DR89">
        <f>IFERROR(MATCH(1,OrderSnow,0),"")</f>
        <v/>
      </c>
      <c r="DS89">
        <f>IF(DR89="",0,IFERROR(IF(N(CHOOSE(DR89,CL89,CP89,CT89,CX89,DB89,DF89,DJ89,DN89))&lt;=0.005,0,MAX(0,N(CHOOSE(DR89,CL89,CP89,CT89,CX89,DB89,DF89,DJ89,DN89))+N(CHOOSE(DR89,CM89,CQ89,CU89,CY89,DC89,DG89,DK89,DO89))-MIN(N(CHOOSE(DR89,'Debt List'!$F$5,'Debt List'!$F$6,'Debt List'!$F$7,'Debt List'!$F$8,'Debt List'!$F$9,'Debt List'!$F$10,'Debt List'!$F$11,'Debt List'!$F$12)),N(CHOOSE(DR89,CL89,CP89,CT89,CX89,DB89,DF89,DJ89,DN89))+N(CHOOSE(DR89,CM89,CQ89,CU89,CY89,DC89,DG89,DK89,DO89))))),0))</f>
        <v/>
      </c>
      <c r="DT89">
        <f>MIN(N(DS89),MAX(0,N(ExtraPayment)))</f>
        <v/>
      </c>
      <c r="DU89">
        <f>MAX(0,N(ExtraPayment)-N(DT89))</f>
        <v/>
      </c>
      <c r="DV89">
        <f>IFERROR(MATCH(2,OrderSnow,0),"")</f>
        <v/>
      </c>
      <c r="DW89">
        <f>IF(DV89="",0,IFERROR(IF(N(CHOOSE(DV89,CL89,CP89,CT89,CX89,DB89,DF89,DJ89,DN89))&lt;=0.005,0,MAX(0,N(CHOOSE(DV89,CL89,CP89,CT89,CX89,DB89,DF89,DJ89,DN89))+N(CHOOSE(DV89,CM89,CQ89,CU89,CY89,DC89,DG89,DK89,DO89))-MIN(N(CHOOSE(DV89,'Debt List'!$F$5,'Debt List'!$F$6,'Debt List'!$F$7,'Debt List'!$F$8,'Debt List'!$F$9,'Debt List'!$F$10,'Debt List'!$F$11,'Debt List'!$F$12)),N(CHOOSE(DV89,CL89,CP89,CT89,CX89,DB89,DF89,DJ89,DN89))+N(CHOOSE(DV89,CM89,CQ89,CU89,CY89,DC89,DG89,DK89,DO89))))),0))</f>
        <v/>
      </c>
      <c r="DX89">
        <f>MIN(N(DW89),MAX(0,N(DU89)))</f>
        <v/>
      </c>
      <c r="DY89">
        <f>MAX(0,N(DU89)-N(DX89))</f>
        <v/>
      </c>
      <c r="DZ89">
        <f>IFERROR(MATCH(3,OrderSnow,0),"")</f>
        <v/>
      </c>
      <c r="EA89">
        <f>IF(DZ89="",0,IFERROR(IF(N(CHOOSE(DZ89,CL89,CP89,CT89,CX89,DB89,DF89,DJ89,DN89))&lt;=0.005,0,MAX(0,N(CHOOSE(DZ89,CL89,CP89,CT89,CX89,DB89,DF89,DJ89,DN89))+N(CHOOSE(DZ89,CM89,CQ89,CU89,CY89,DC89,DG89,DK89,DO89))-MIN(N(CHOOSE(DZ89,'Debt List'!$F$5,'Debt List'!$F$6,'Debt List'!$F$7,'Debt List'!$F$8,'Debt List'!$F$9,'Debt List'!$F$10,'Debt List'!$F$11,'Debt List'!$F$12)),N(CHOOSE(DZ89,CL89,CP89,CT89,CX89,DB89,DF89,DJ89,DN89))+N(CHOOSE(DZ89,CM89,CQ89,CU89,CY89,DC89,DG89,DK89,DO89))))),0))</f>
        <v/>
      </c>
      <c r="EB89">
        <f>MIN(N(EA89),MAX(0,N(DY89)))</f>
        <v/>
      </c>
      <c r="EC89">
        <f>MAX(0,N(DY89)-N(EB89))</f>
        <v/>
      </c>
      <c r="ED89">
        <f>IFERROR(MATCH(4,OrderSnow,0),"")</f>
        <v/>
      </c>
      <c r="EE89">
        <f>IF(ED89="",0,IFERROR(IF(N(CHOOSE(ED89,CL89,CP89,CT89,CX89,DB89,DF89,DJ89,DN89))&lt;=0.005,0,MAX(0,N(CHOOSE(ED89,CL89,CP89,CT89,CX89,DB89,DF89,DJ89,DN89))+N(CHOOSE(ED89,CM89,CQ89,CU89,CY89,DC89,DG89,DK89,DO89))-MIN(N(CHOOSE(ED89,'Debt List'!$F$5,'Debt List'!$F$6,'Debt List'!$F$7,'Debt List'!$F$8,'Debt List'!$F$9,'Debt List'!$F$10,'Debt List'!$F$11,'Debt List'!$F$12)),N(CHOOSE(ED89,CL89,CP89,CT89,CX89,DB89,DF89,DJ89,DN89))+N(CHOOSE(ED89,CM89,CQ89,CU89,CY89,DC89,DG89,DK89,DO89))))),0))</f>
        <v/>
      </c>
      <c r="EF89">
        <f>MIN(N(EE89),MAX(0,N(EC89)))</f>
        <v/>
      </c>
      <c r="EG89">
        <f>MAX(0,N(EC89)-N(EF89))</f>
        <v/>
      </c>
      <c r="EH89">
        <f>IFERROR(MATCH(5,OrderSnow,0),"")</f>
        <v/>
      </c>
      <c r="EI89">
        <f>IF(EH89="",0,IFERROR(IF(N(CHOOSE(EH89,CL89,CP89,CT89,CX89,DB89,DF89,DJ89,DN89))&lt;=0.005,0,MAX(0,N(CHOOSE(EH89,CL89,CP89,CT89,CX89,DB89,DF89,DJ89,DN89))+N(CHOOSE(EH89,CM89,CQ89,CU89,CY89,DC89,DG89,DK89,DO89))-MIN(N(CHOOSE(EH89,'Debt List'!$F$5,'Debt List'!$F$6,'Debt List'!$F$7,'Debt List'!$F$8,'Debt List'!$F$9,'Debt List'!$F$10,'Debt List'!$F$11,'Debt List'!$F$12)),N(CHOOSE(EH89,CL89,CP89,CT89,CX89,DB89,DF89,DJ89,DN89))+N(CHOOSE(EH89,CM89,CQ89,CU89,CY89,DC89,DG89,DK89,DO89))))),0))</f>
        <v/>
      </c>
      <c r="EJ89">
        <f>MIN(N(EI89),MAX(0,N(EG89)))</f>
        <v/>
      </c>
      <c r="EK89">
        <f>MAX(0,N(EG89)-N(EJ89))</f>
        <v/>
      </c>
      <c r="EL89">
        <f>IFERROR(MATCH(6,OrderSnow,0),"")</f>
        <v/>
      </c>
      <c r="EM89">
        <f>IF(EL89="",0,IFERROR(IF(N(CHOOSE(EL89,CL89,CP89,CT89,CX89,DB89,DF89,DJ89,DN89))&lt;=0.005,0,MAX(0,N(CHOOSE(EL89,CL89,CP89,CT89,CX89,DB89,DF89,DJ89,DN89))+N(CHOOSE(EL89,CM89,CQ89,CU89,CY89,DC89,DG89,DK89,DO89))-MIN(N(CHOOSE(EL89,'Debt List'!$F$5,'Debt List'!$F$6,'Debt List'!$F$7,'Debt List'!$F$8,'Debt List'!$F$9,'Debt List'!$F$10,'Debt List'!$F$11,'Debt List'!$F$12)),N(CHOOSE(EL89,CL89,CP89,CT89,CX89,DB89,DF89,DJ89,DN89))+N(CHOOSE(EL89,CM89,CQ89,CU89,CY89,DC89,DG89,DK89,DO89))))),0))</f>
        <v/>
      </c>
      <c r="EN89">
        <f>MIN(N(EM89),MAX(0,N(EK89)))</f>
        <v/>
      </c>
      <c r="EO89">
        <f>MAX(0,N(EK89)-N(EN89))</f>
        <v/>
      </c>
      <c r="EP89">
        <f>IFERROR(MATCH(7,OrderSnow,0),"")</f>
        <v/>
      </c>
      <c r="EQ89">
        <f>IF(EP89="",0,IFERROR(IF(N(CHOOSE(EP89,CL89,CP89,CT89,CX89,DB89,DF89,DJ89,DN89))&lt;=0.005,0,MAX(0,N(CHOOSE(EP89,CL89,CP89,CT89,CX89,DB89,DF89,DJ89,DN89))+N(CHOOSE(EP89,CM89,CQ89,CU89,CY89,DC89,DG89,DK89,DO89))-MIN(N(CHOOSE(EP89,'Debt List'!$F$5,'Debt List'!$F$6,'Debt List'!$F$7,'Debt List'!$F$8,'Debt List'!$F$9,'Debt List'!$F$10,'Debt List'!$F$11,'Debt List'!$F$12)),N(CHOOSE(EP89,CL89,CP89,CT89,CX89,DB89,DF89,DJ89,DN89))+N(CHOOSE(EP89,CM89,CQ89,CU89,CY89,DC89,DG89,DK89,DO89))))),0))</f>
        <v/>
      </c>
      <c r="ER89">
        <f>MIN(N(EQ89),MAX(0,N(EO89)))</f>
        <v/>
      </c>
      <c r="ES89">
        <f>MAX(0,N(EO89)-N(ER89))</f>
        <v/>
      </c>
      <c r="ET89">
        <f>IFERROR(MATCH(8,OrderSnow,0),"")</f>
        <v/>
      </c>
      <c r="EU89">
        <f>IF(ET89="",0,IFERROR(IF(N(CHOOSE(ET89,CL89,CP89,CT89,CX89,DB89,DF89,DJ89,DN89))&lt;=0.005,0,MAX(0,N(CHOOSE(ET89,CL89,CP89,CT89,CX89,DB89,DF89,DJ89,DN89))+N(CHOOSE(ET89,CM89,CQ89,CU89,CY89,DC89,DG89,DK89,DO89))-MIN(N(CHOOSE(ET89,'Debt List'!$F$5,'Debt List'!$F$6,'Debt List'!$F$7,'Debt List'!$F$8,'Debt List'!$F$9,'Debt List'!$F$10,'Debt List'!$F$11,'Debt List'!$F$12)),N(CHOOSE(ET89,CL89,CP89,CT89,CX89,DB89,DF89,DJ89,DN89))+N(CHOOSE(ET89,CM89,CQ89,CU89,CY89,DC89,DG89,DK89,DO89))))),0))</f>
        <v/>
      </c>
      <c r="EV89">
        <f>MIN(N(EU89),MAX(0,N(ES89)))</f>
        <v/>
      </c>
      <c r="EW89">
        <f>MAX(0,N(ES89)-N(EV89))</f>
        <v/>
      </c>
      <c r="FE89" t="n">
        <v>85</v>
      </c>
      <c r="FF89" s="115">
        <f>DATE(YEAR(PlanStart),MONTH(PlanStart)+FE89-1,1)</f>
        <v/>
      </c>
      <c r="FG89">
        <f>IF(AND(GT89&lt;&gt;"",N(CHOOSE(GT89,FN89,FR89,FV89,FZ89,GD89,GH89,GL89,GP89))&gt;0.005),INDEX(DebtNames,GT89),IF(AND(GX89&lt;&gt;"",N(CHOOSE(GX89,FN89,FR89,FV89,FZ89,GD89,GH89,GL89,GP89))&gt;0.005),INDEX(DebtNames,GX89),IF(AND(HB89&lt;&gt;"",N(CHOOSE(HB89,FN89,FR89,FV89,FZ89,GD89,GH89,GL89,GP89))&gt;0.005),INDEX(DebtNames,HB89),IF(AND(HF89&lt;&gt;"",N(CHOOSE(HF89,FN89,FR89,FV89,FZ89,GD89,GH89,GL89,GP89))&gt;0.005),INDEX(DebtNames,HF89),IF(AND(HJ89&lt;&gt;"",N(CHOOSE(HJ89,FN89,FR89,FV89,FZ89,GD89,GH89,GL89,GP89))&gt;0.005),INDEX(DebtNames,HJ89),IF(AND(HN89&lt;&gt;"",N(CHOOSE(HN89,FN89,FR89,FV89,FZ89,GD89,GH89,GL89,GP89))&gt;0.005),INDEX(DebtNames,HN89),IF(AND(HR89&lt;&gt;"",N(CHOOSE(HR89,FN89,FR89,FV89,FZ89,GD89,GH89,GL89,GP89))&gt;0.005),INDEX(DebtNames,HR89),IF(AND(HV89&lt;&gt;"",N(CHOOSE(HV89,FN89,FR89,FV89,FZ89,GD89,GH89,GL89,GP89))&gt;0.005),INDEX(DebtNames,HV89),""))))))))</f>
        <v/>
      </c>
      <c r="FH89">
        <f>N(HY89)</f>
        <v/>
      </c>
      <c r="FI89">
        <f>N(FP89)+N(FT89)+N(FX89)+N(GB89)+N(GF89)+N(GJ89)+N(GN89)+N(GR89)</f>
        <v/>
      </c>
      <c r="FJ89">
        <f>N(FO89)+N(FS89)+N(FW89)+N(GA89)+N(GE89)+N(GI89)+N(GM89)+N(GQ89)</f>
        <v/>
      </c>
      <c r="FK89">
        <f>N(FK88)+N(FJ89)</f>
        <v/>
      </c>
      <c r="FL89">
        <f>N(FQ89)+N(FU89)+N(FY89)+N(GC89)+N(GG89)+N(GK89)+N(GO89)+N(GS89)</f>
        <v/>
      </c>
      <c r="FM89">
        <f>(FQ89&gt;0.005)*1+(FU89&gt;0.005)*1+(FY89&gt;0.005)*1+(GC89&gt;0.005)*1+(GG89&gt;0.005)*1+(GK89&gt;0.005)*1+(GO89&gt;0.005)*1+(GS89&gt;0.005)*1</f>
        <v/>
      </c>
      <c r="FN89">
        <f>N(FQ88)</f>
        <v/>
      </c>
      <c r="FO89">
        <f>IF(N(FN89)&lt;=0.005,0,ROUND(N(FN89)*N('Debt List'!E5)/12,2))</f>
        <v/>
      </c>
      <c r="FP89">
        <f>IF(N(FN89)&lt;=0.005,0,MIN(N('Debt List'!F5),N(FN89)+N(FO89)))+((GT89=1)*GV89+(GX89=1)*GZ89+(HB89=1)*HD89+(HF89=1)*HH89+(HJ89=1)*HL89+(HN89=1)*HP89+(HR89=1)*HT89+(HV89=1)*HX89)</f>
        <v/>
      </c>
      <c r="FQ89">
        <f>MAX(0,ROUND(N(FN89)+N(FO89)-N(FP89),2))</f>
        <v/>
      </c>
      <c r="FR89">
        <f>N(FU88)</f>
        <v/>
      </c>
      <c r="FS89">
        <f>IF(N(FR89)&lt;=0.005,0,ROUND(N(FR89)*N('Debt List'!E6)/12,2))</f>
        <v/>
      </c>
      <c r="FT89">
        <f>IF(N(FR89)&lt;=0.005,0,MIN(N('Debt List'!F6),N(FR89)+N(FS89)))+((GT89=2)*GV89+(GX89=2)*GZ89+(HB89=2)*HD89+(HF89=2)*HH89+(HJ89=2)*HL89+(HN89=2)*HP89+(HR89=2)*HT89+(HV89=2)*HX89)</f>
        <v/>
      </c>
      <c r="FU89">
        <f>MAX(0,ROUND(N(FR89)+N(FS89)-N(FT89),2))</f>
        <v/>
      </c>
      <c r="FV89">
        <f>N(FY88)</f>
        <v/>
      </c>
      <c r="FW89">
        <f>IF(N(FV89)&lt;=0.005,0,ROUND(N(FV89)*N('Debt List'!E7)/12,2))</f>
        <v/>
      </c>
      <c r="FX89">
        <f>IF(N(FV89)&lt;=0.005,0,MIN(N('Debt List'!F7),N(FV89)+N(FW89)))+((GT89=3)*GV89+(GX89=3)*GZ89+(HB89=3)*HD89+(HF89=3)*HH89+(HJ89=3)*HL89+(HN89=3)*HP89+(HR89=3)*HT89+(HV89=3)*HX89)</f>
        <v/>
      </c>
      <c r="FY89">
        <f>MAX(0,ROUND(N(FV89)+N(FW89)-N(FX89),2))</f>
        <v/>
      </c>
      <c r="FZ89">
        <f>N(GC88)</f>
        <v/>
      </c>
      <c r="GA89">
        <f>IF(N(FZ89)&lt;=0.005,0,ROUND(N(FZ89)*N('Debt List'!E8)/12,2))</f>
        <v/>
      </c>
      <c r="GB89">
        <f>IF(N(FZ89)&lt;=0.005,0,MIN(N('Debt List'!F8),N(FZ89)+N(GA89)))+((GT89=4)*GV89+(GX89=4)*GZ89+(HB89=4)*HD89+(HF89=4)*HH89+(HJ89=4)*HL89+(HN89=4)*HP89+(HR89=4)*HT89+(HV89=4)*HX89)</f>
        <v/>
      </c>
      <c r="GC89">
        <f>MAX(0,ROUND(N(FZ89)+N(GA89)-N(GB89),2))</f>
        <v/>
      </c>
      <c r="GD89">
        <f>N(GG88)</f>
        <v/>
      </c>
      <c r="GE89">
        <f>IF(N(GD89)&lt;=0.005,0,ROUND(N(GD89)*N('Debt List'!E9)/12,2))</f>
        <v/>
      </c>
      <c r="GF89">
        <f>IF(N(GD89)&lt;=0.005,0,MIN(N('Debt List'!F9),N(GD89)+N(GE89)))+((GT89=5)*GV89+(GX89=5)*GZ89+(HB89=5)*HD89+(HF89=5)*HH89+(HJ89=5)*HL89+(HN89=5)*HP89+(HR89=5)*HT89+(HV89=5)*HX89)</f>
        <v/>
      </c>
      <c r="GG89">
        <f>MAX(0,ROUND(N(GD89)+N(GE89)-N(GF89),2))</f>
        <v/>
      </c>
      <c r="GH89">
        <f>N(GK88)</f>
        <v/>
      </c>
      <c r="GI89">
        <f>IF(N(GH89)&lt;=0.005,0,ROUND(N(GH89)*N('Debt List'!E10)/12,2))</f>
        <v/>
      </c>
      <c r="GJ89">
        <f>IF(N(GH89)&lt;=0.005,0,MIN(N('Debt List'!F10),N(GH89)+N(GI89)))+((GT89=6)*GV89+(GX89=6)*GZ89+(HB89=6)*HD89+(HF89=6)*HH89+(HJ89=6)*HL89+(HN89=6)*HP89+(HR89=6)*HT89+(HV89=6)*HX89)</f>
        <v/>
      </c>
      <c r="GK89">
        <f>MAX(0,ROUND(N(GH89)+N(GI89)-N(GJ89),2))</f>
        <v/>
      </c>
      <c r="GL89">
        <f>N(GO88)</f>
        <v/>
      </c>
      <c r="GM89">
        <f>IF(N(GL89)&lt;=0.005,0,ROUND(N(GL89)*N('Debt List'!E11)/12,2))</f>
        <v/>
      </c>
      <c r="GN89">
        <f>IF(N(GL89)&lt;=0.005,0,MIN(N('Debt List'!F11),N(GL89)+N(GM89)))+((GT89=7)*GV89+(GX89=7)*GZ89+(HB89=7)*HD89+(HF89=7)*HH89+(HJ89=7)*HL89+(HN89=7)*HP89+(HR89=7)*HT89+(HV89=7)*HX89)</f>
        <v/>
      </c>
      <c r="GO89">
        <f>MAX(0,ROUND(N(GL89)+N(GM89)-N(GN89),2))</f>
        <v/>
      </c>
      <c r="GP89">
        <f>N(GS88)</f>
        <v/>
      </c>
      <c r="GQ89">
        <f>IF(N(GP89)&lt;=0.005,0,ROUND(N(GP89)*N('Debt List'!E12)/12,2))</f>
        <v/>
      </c>
      <c r="GR89">
        <f>IF(N(GP89)&lt;=0.005,0,MIN(N('Debt List'!F12),N(GP89)+N(GQ89)))+((GT89=8)*GV89+(GX89=8)*GZ89+(HB89=8)*HD89+(HF89=8)*HH89+(HJ89=8)*HL89+(HN89=8)*HP89+(HR89=8)*HT89+(HV89=8)*HX89)</f>
        <v/>
      </c>
      <c r="GS89">
        <f>MAX(0,ROUND(N(GP89)+N(GQ89)-N(GR89),2))</f>
        <v/>
      </c>
      <c r="GT89">
        <f>IFERROR(MATCH(1,OrderAval,0),"")</f>
        <v/>
      </c>
      <c r="GU89">
        <f>IF(GT89="",0,IFERROR(IF(N(CHOOSE(GT89,FN89,FR89,FV89,FZ89,GD89,GH89,GL89,GP89))&lt;=0.005,0,MAX(0,N(CHOOSE(GT89,FN89,FR89,FV89,FZ89,GD89,GH89,GL89,GP89))+N(CHOOSE(GT89,FO89,FS89,FW89,GA89,GE89,GI89,GM89,GQ89))-MIN(N(CHOOSE(GT89,'Debt List'!$F$5,'Debt List'!$F$6,'Debt List'!$F$7,'Debt List'!$F$8,'Debt List'!$F$9,'Debt List'!$F$10,'Debt List'!$F$11,'Debt List'!$F$12)),N(CHOOSE(GT89,FN89,FR89,FV89,FZ89,GD89,GH89,GL89,GP89))+N(CHOOSE(GT89,FO89,FS89,FW89,GA89,GE89,GI89,GM89,GQ89))))),0))</f>
        <v/>
      </c>
      <c r="GV89">
        <f>MIN(N(GU89),MAX(0,N(ExtraPayment)))</f>
        <v/>
      </c>
      <c r="GW89">
        <f>MAX(0,N(ExtraPayment)-N(GV89))</f>
        <v/>
      </c>
      <c r="GX89">
        <f>IFERROR(MATCH(2,OrderAval,0),"")</f>
        <v/>
      </c>
      <c r="GY89">
        <f>IF(GX89="",0,IFERROR(IF(N(CHOOSE(GX89,FN89,FR89,FV89,FZ89,GD89,GH89,GL89,GP89))&lt;=0.005,0,MAX(0,N(CHOOSE(GX89,FN89,FR89,FV89,FZ89,GD89,GH89,GL89,GP89))+N(CHOOSE(GX89,FO89,FS89,FW89,GA89,GE89,GI89,GM89,GQ89))-MIN(N(CHOOSE(GX89,'Debt List'!$F$5,'Debt List'!$F$6,'Debt List'!$F$7,'Debt List'!$F$8,'Debt List'!$F$9,'Debt List'!$F$10,'Debt List'!$F$11,'Debt List'!$F$12)),N(CHOOSE(GX89,FN89,FR89,FV89,FZ89,GD89,GH89,GL89,GP89))+N(CHOOSE(GX89,FO89,FS89,FW89,GA89,GE89,GI89,GM89,GQ89))))),0))</f>
        <v/>
      </c>
      <c r="GZ89">
        <f>MIN(N(GY89),MAX(0,N(GW89)))</f>
        <v/>
      </c>
      <c r="HA89">
        <f>MAX(0,N(GW89)-N(GZ89))</f>
        <v/>
      </c>
      <c r="HB89">
        <f>IFERROR(MATCH(3,OrderAval,0),"")</f>
        <v/>
      </c>
      <c r="HC89">
        <f>IF(HB89="",0,IFERROR(IF(N(CHOOSE(HB89,FN89,FR89,FV89,FZ89,GD89,GH89,GL89,GP89))&lt;=0.005,0,MAX(0,N(CHOOSE(HB89,FN89,FR89,FV89,FZ89,GD89,GH89,GL89,GP89))+N(CHOOSE(HB89,FO89,FS89,FW89,GA89,GE89,GI89,GM89,GQ89))-MIN(N(CHOOSE(HB89,'Debt List'!$F$5,'Debt List'!$F$6,'Debt List'!$F$7,'Debt List'!$F$8,'Debt List'!$F$9,'Debt List'!$F$10,'Debt List'!$F$11,'Debt List'!$F$12)),N(CHOOSE(HB89,FN89,FR89,FV89,FZ89,GD89,GH89,GL89,GP89))+N(CHOOSE(HB89,FO89,FS89,FW89,GA89,GE89,GI89,GM89,GQ89))))),0))</f>
        <v/>
      </c>
      <c r="HD89">
        <f>MIN(N(HC89),MAX(0,N(HA89)))</f>
        <v/>
      </c>
      <c r="HE89">
        <f>MAX(0,N(HA89)-N(HD89))</f>
        <v/>
      </c>
      <c r="HF89">
        <f>IFERROR(MATCH(4,OrderAval,0),"")</f>
        <v/>
      </c>
      <c r="HG89">
        <f>IF(HF89="",0,IFERROR(IF(N(CHOOSE(HF89,FN89,FR89,FV89,FZ89,GD89,GH89,GL89,GP89))&lt;=0.005,0,MAX(0,N(CHOOSE(HF89,FN89,FR89,FV89,FZ89,GD89,GH89,GL89,GP89))+N(CHOOSE(HF89,FO89,FS89,FW89,GA89,GE89,GI89,GM89,GQ89))-MIN(N(CHOOSE(HF89,'Debt List'!$F$5,'Debt List'!$F$6,'Debt List'!$F$7,'Debt List'!$F$8,'Debt List'!$F$9,'Debt List'!$F$10,'Debt List'!$F$11,'Debt List'!$F$12)),N(CHOOSE(HF89,FN89,FR89,FV89,FZ89,GD89,GH89,GL89,GP89))+N(CHOOSE(HF89,FO89,FS89,FW89,GA89,GE89,GI89,GM89,GQ89))))),0))</f>
        <v/>
      </c>
      <c r="HH89">
        <f>MIN(N(HG89),MAX(0,N(HE89)))</f>
        <v/>
      </c>
      <c r="HI89">
        <f>MAX(0,N(HE89)-N(HH89))</f>
        <v/>
      </c>
      <c r="HJ89">
        <f>IFERROR(MATCH(5,OrderAval,0),"")</f>
        <v/>
      </c>
      <c r="HK89">
        <f>IF(HJ89="",0,IFERROR(IF(N(CHOOSE(HJ89,FN89,FR89,FV89,FZ89,GD89,GH89,GL89,GP89))&lt;=0.005,0,MAX(0,N(CHOOSE(HJ89,FN89,FR89,FV89,FZ89,GD89,GH89,GL89,GP89))+N(CHOOSE(HJ89,FO89,FS89,FW89,GA89,GE89,GI89,GM89,GQ89))-MIN(N(CHOOSE(HJ89,'Debt List'!$F$5,'Debt List'!$F$6,'Debt List'!$F$7,'Debt List'!$F$8,'Debt List'!$F$9,'Debt List'!$F$10,'Debt List'!$F$11,'Debt List'!$F$12)),N(CHOOSE(HJ89,FN89,FR89,FV89,FZ89,GD89,GH89,GL89,GP89))+N(CHOOSE(HJ89,FO89,FS89,FW89,GA89,GE89,GI89,GM89,GQ89))))),0))</f>
        <v/>
      </c>
      <c r="HL89">
        <f>MIN(N(HK89),MAX(0,N(HI89)))</f>
        <v/>
      </c>
      <c r="HM89">
        <f>MAX(0,N(HI89)-N(HL89))</f>
        <v/>
      </c>
      <c r="HN89">
        <f>IFERROR(MATCH(6,OrderAval,0),"")</f>
        <v/>
      </c>
      <c r="HO89">
        <f>IF(HN89="",0,IFERROR(IF(N(CHOOSE(HN89,FN89,FR89,FV89,FZ89,GD89,GH89,GL89,GP89))&lt;=0.005,0,MAX(0,N(CHOOSE(HN89,FN89,FR89,FV89,FZ89,GD89,GH89,GL89,GP89))+N(CHOOSE(HN89,FO89,FS89,FW89,GA89,GE89,GI89,GM89,GQ89))-MIN(N(CHOOSE(HN89,'Debt List'!$F$5,'Debt List'!$F$6,'Debt List'!$F$7,'Debt List'!$F$8,'Debt List'!$F$9,'Debt List'!$F$10,'Debt List'!$F$11,'Debt List'!$F$12)),N(CHOOSE(HN89,FN89,FR89,FV89,FZ89,GD89,GH89,GL89,GP89))+N(CHOOSE(HN89,FO89,FS89,FW89,GA89,GE89,GI89,GM89,GQ89))))),0))</f>
        <v/>
      </c>
      <c r="HP89">
        <f>MIN(N(HO89),MAX(0,N(HM89)))</f>
        <v/>
      </c>
      <c r="HQ89">
        <f>MAX(0,N(HM89)-N(HP89))</f>
        <v/>
      </c>
      <c r="HR89">
        <f>IFERROR(MATCH(7,OrderAval,0),"")</f>
        <v/>
      </c>
      <c r="HS89">
        <f>IF(HR89="",0,IFERROR(IF(N(CHOOSE(HR89,FN89,FR89,FV89,FZ89,GD89,GH89,GL89,GP89))&lt;=0.005,0,MAX(0,N(CHOOSE(HR89,FN89,FR89,FV89,FZ89,GD89,GH89,GL89,GP89))+N(CHOOSE(HR89,FO89,FS89,FW89,GA89,GE89,GI89,GM89,GQ89))-MIN(N(CHOOSE(HR89,'Debt List'!$F$5,'Debt List'!$F$6,'Debt List'!$F$7,'Debt List'!$F$8,'Debt List'!$F$9,'Debt List'!$F$10,'Debt List'!$F$11,'Debt List'!$F$12)),N(CHOOSE(HR89,FN89,FR89,FV89,FZ89,GD89,GH89,GL89,GP89))+N(CHOOSE(HR89,FO89,FS89,FW89,GA89,GE89,GI89,GM89,GQ89))))),0))</f>
        <v/>
      </c>
      <c r="HT89">
        <f>MIN(N(HS89),MAX(0,N(HQ89)))</f>
        <v/>
      </c>
      <c r="HU89">
        <f>MAX(0,N(HQ89)-N(HT89))</f>
        <v/>
      </c>
      <c r="HV89">
        <f>IFERROR(MATCH(8,OrderAval,0),"")</f>
        <v/>
      </c>
      <c r="HW89">
        <f>IF(HV89="",0,IFERROR(IF(N(CHOOSE(HV89,FN89,FR89,FV89,FZ89,GD89,GH89,GL89,GP89))&lt;=0.005,0,MAX(0,N(CHOOSE(HV89,FN89,FR89,FV89,FZ89,GD89,GH89,GL89,GP89))+N(CHOOSE(HV89,FO89,FS89,FW89,GA89,GE89,GI89,GM89,GQ89))-MIN(N(CHOOSE(HV89,'Debt List'!$F$5,'Debt List'!$F$6,'Debt List'!$F$7,'Debt List'!$F$8,'Debt List'!$F$9,'Debt List'!$F$10,'Debt List'!$F$11,'Debt List'!$F$12)),N(CHOOSE(HV89,FN89,FR89,FV89,FZ89,GD89,GH89,GL89,GP89))+N(CHOOSE(HV89,FO89,FS89,FW89,GA89,GE89,GI89,GM89,GQ89))))),0))</f>
        <v/>
      </c>
      <c r="HX89">
        <f>MIN(N(HW89),MAX(0,N(HU89)))</f>
        <v/>
      </c>
      <c r="HY89">
        <f>MAX(0,N(HU89)-N(HX89))</f>
        <v/>
      </c>
    </row>
    <row r="90">
      <c r="A90" t="n">
        <v>86</v>
      </c>
      <c r="B90" s="115">
        <f>DATE(YEAR(PlanStart),MONTH(PlanStart)+A90-1,1)</f>
        <v/>
      </c>
      <c r="C90">
        <f>IF(AND(AP90&lt;&gt;"",N(CHOOSE(AP90,J90,N90,R90,V90,Z90,AD90,AH90,AL90))&gt;0.005),INDEX(DebtNames,AP90),IF(AND(AT90&lt;&gt;"",N(CHOOSE(AT90,J90,N90,R90,V90,Z90,AD90,AH90,AL90))&gt;0.005),INDEX(DebtNames,AT90),IF(AND(AX90&lt;&gt;"",N(CHOOSE(AX90,J90,N90,R90,V90,Z90,AD90,AH90,AL90))&gt;0.005),INDEX(DebtNames,AX90),IF(AND(BB90&lt;&gt;"",N(CHOOSE(BB90,J90,N90,R90,V90,Z90,AD90,AH90,AL90))&gt;0.005),INDEX(DebtNames,BB90),IF(AND(BF90&lt;&gt;"",N(CHOOSE(BF90,J90,N90,R90,V90,Z90,AD90,AH90,AL90))&gt;0.005),INDEX(DebtNames,BF90),IF(AND(BJ90&lt;&gt;"",N(CHOOSE(BJ90,J90,N90,R90,V90,Z90,AD90,AH90,AL90))&gt;0.005),INDEX(DebtNames,BJ90),IF(AND(BN90&lt;&gt;"",N(CHOOSE(BN90,J90,N90,R90,V90,Z90,AD90,AH90,AL90))&gt;0.005),INDEX(DebtNames,BN90),IF(AND(BR90&lt;&gt;"",N(CHOOSE(BR90,J90,N90,R90,V90,Z90,AD90,AH90,AL90))&gt;0.005),INDEX(DebtNames,BR90),""))))))))</f>
        <v/>
      </c>
      <c r="D90">
        <f>N(BU90)</f>
        <v/>
      </c>
      <c r="E90">
        <f>N(L90)+N(P90)+N(T90)+N(X90)+N(AB90)+N(AF90)+N(AJ90)+N(AN90)</f>
        <v/>
      </c>
      <c r="F90">
        <f>N(K90)+N(O90)+N(S90)+N(W90)+N(AA90)+N(AE90)+N(AI90)+N(AM90)</f>
        <v/>
      </c>
      <c r="G90">
        <f>N(G89)+N(F90)</f>
        <v/>
      </c>
      <c r="H90">
        <f>N(M90)+N(Q90)+N(U90)+N(Y90)+N(AC90)+N(AG90)+N(AK90)+N(AO90)</f>
        <v/>
      </c>
      <c r="I90">
        <f>(M90&gt;0.005)*1+(Q90&gt;0.005)*1+(U90&gt;0.005)*1+(Y90&gt;0.005)*1+(AC90&gt;0.005)*1+(AG90&gt;0.005)*1+(AK90&gt;0.005)*1+(AO90&gt;0.005)*1</f>
        <v/>
      </c>
      <c r="J90">
        <f>N(M89)</f>
        <v/>
      </c>
      <c r="K90">
        <f>IF(N(J90)&lt;=0.005,0,ROUND(N(J90)*N('Debt List'!E5)/12,2))</f>
        <v/>
      </c>
      <c r="L90">
        <f>IF(N(J90)&lt;=0.005,0,MIN(N('Debt List'!F5),N(J90)+N(K90)))+((AP90=1)*AR90+(AT90=1)*AV90+(AX90=1)*AZ90+(BB90=1)*BD90+(BF90=1)*BH90+(BJ90=1)*BL90+(BN90=1)*BP90+(BR90=1)*BT90)</f>
        <v/>
      </c>
      <c r="M90">
        <f>MAX(0,ROUND(N(J90)+N(K90)-N(L90),2))</f>
        <v/>
      </c>
      <c r="N90">
        <f>N(Q89)</f>
        <v/>
      </c>
      <c r="O90">
        <f>IF(N(N90)&lt;=0.005,0,ROUND(N(N90)*N('Debt List'!E6)/12,2))</f>
        <v/>
      </c>
      <c r="P90">
        <f>IF(N(N90)&lt;=0.005,0,MIN(N('Debt List'!F6),N(N90)+N(O90)))+((AP90=2)*AR90+(AT90=2)*AV90+(AX90=2)*AZ90+(BB90=2)*BD90+(BF90=2)*BH90+(BJ90=2)*BL90+(BN90=2)*BP90+(BR90=2)*BT90)</f>
        <v/>
      </c>
      <c r="Q90">
        <f>MAX(0,ROUND(N(N90)+N(O90)-N(P90),2))</f>
        <v/>
      </c>
      <c r="R90">
        <f>N(U89)</f>
        <v/>
      </c>
      <c r="S90">
        <f>IF(N(R90)&lt;=0.005,0,ROUND(N(R90)*N('Debt List'!E7)/12,2))</f>
        <v/>
      </c>
      <c r="T90">
        <f>IF(N(R90)&lt;=0.005,0,MIN(N('Debt List'!F7),N(R90)+N(S90)))+((AP90=3)*AR90+(AT90=3)*AV90+(AX90=3)*AZ90+(BB90=3)*BD90+(BF90=3)*BH90+(BJ90=3)*BL90+(BN90=3)*BP90+(BR90=3)*BT90)</f>
        <v/>
      </c>
      <c r="U90">
        <f>MAX(0,ROUND(N(R90)+N(S90)-N(T90),2))</f>
        <v/>
      </c>
      <c r="V90">
        <f>N(Y89)</f>
        <v/>
      </c>
      <c r="W90">
        <f>IF(N(V90)&lt;=0.005,0,ROUND(N(V90)*N('Debt List'!E8)/12,2))</f>
        <v/>
      </c>
      <c r="X90">
        <f>IF(N(V90)&lt;=0.005,0,MIN(N('Debt List'!F8),N(V90)+N(W90)))+((AP90=4)*AR90+(AT90=4)*AV90+(AX90=4)*AZ90+(BB90=4)*BD90+(BF90=4)*BH90+(BJ90=4)*BL90+(BN90=4)*BP90+(BR90=4)*BT90)</f>
        <v/>
      </c>
      <c r="Y90">
        <f>MAX(0,ROUND(N(V90)+N(W90)-N(X90),2))</f>
        <v/>
      </c>
      <c r="Z90">
        <f>N(AC89)</f>
        <v/>
      </c>
      <c r="AA90">
        <f>IF(N(Z90)&lt;=0.005,0,ROUND(N(Z90)*N('Debt List'!E9)/12,2))</f>
        <v/>
      </c>
      <c r="AB90">
        <f>IF(N(Z90)&lt;=0.005,0,MIN(N('Debt List'!F9),N(Z90)+N(AA90)))+((AP90=5)*AR90+(AT90=5)*AV90+(AX90=5)*AZ90+(BB90=5)*BD90+(BF90=5)*BH90+(BJ90=5)*BL90+(BN90=5)*BP90+(BR90=5)*BT90)</f>
        <v/>
      </c>
      <c r="AC90">
        <f>MAX(0,ROUND(N(Z90)+N(AA90)-N(AB90),2))</f>
        <v/>
      </c>
      <c r="AD90">
        <f>N(AG89)</f>
        <v/>
      </c>
      <c r="AE90">
        <f>IF(N(AD90)&lt;=0.005,0,ROUND(N(AD90)*N('Debt List'!E10)/12,2))</f>
        <v/>
      </c>
      <c r="AF90">
        <f>IF(N(AD90)&lt;=0.005,0,MIN(N('Debt List'!F10),N(AD90)+N(AE90)))+((AP90=6)*AR90+(AT90=6)*AV90+(AX90=6)*AZ90+(BB90=6)*BD90+(BF90=6)*BH90+(BJ90=6)*BL90+(BN90=6)*BP90+(BR90=6)*BT90)</f>
        <v/>
      </c>
      <c r="AG90">
        <f>MAX(0,ROUND(N(AD90)+N(AE90)-N(AF90),2))</f>
        <v/>
      </c>
      <c r="AH90">
        <f>N(AK89)</f>
        <v/>
      </c>
      <c r="AI90">
        <f>IF(N(AH90)&lt;=0.005,0,ROUND(N(AH90)*N('Debt List'!E11)/12,2))</f>
        <v/>
      </c>
      <c r="AJ90">
        <f>IF(N(AH90)&lt;=0.005,0,MIN(N('Debt List'!F11),N(AH90)+N(AI90)))+((AP90=7)*AR90+(AT90=7)*AV90+(AX90=7)*AZ90+(BB90=7)*BD90+(BF90=7)*BH90+(BJ90=7)*BL90+(BN90=7)*BP90+(BR90=7)*BT90)</f>
        <v/>
      </c>
      <c r="AK90">
        <f>MAX(0,ROUND(N(AH90)+N(AI90)-N(AJ90),2))</f>
        <v/>
      </c>
      <c r="AL90">
        <f>N(AO89)</f>
        <v/>
      </c>
      <c r="AM90">
        <f>IF(N(AL90)&lt;=0.005,0,ROUND(N(AL90)*N('Debt List'!E12)/12,2))</f>
        <v/>
      </c>
      <c r="AN90">
        <f>IF(N(AL90)&lt;=0.005,0,MIN(N('Debt List'!F12),N(AL90)+N(AM90)))+((AP90=8)*AR90+(AT90=8)*AV90+(AX90=8)*AZ90+(BB90=8)*BD90+(BF90=8)*BH90+(BJ90=8)*BL90+(BN90=8)*BP90+(BR90=8)*BT90)</f>
        <v/>
      </c>
      <c r="AO90">
        <f>MAX(0,ROUND(N(AL90)+N(AM90)-N(AN90),2))</f>
        <v/>
      </c>
      <c r="AP90">
        <f>IFERROR(MATCH(1,OrderPlan,0),"")</f>
        <v/>
      </c>
      <c r="AQ90">
        <f>IF(AP90="",0,IFERROR(IF(N(CHOOSE(AP90,J90,N90,R90,V90,Z90,AD90,AH90,AL90))&lt;=0.005,0,MAX(0,N(CHOOSE(AP90,J90,N90,R90,V90,Z90,AD90,AH90,AL90))+N(CHOOSE(AP90,K90,O90,S90,W90,AA90,AE90,AI90,AM90))-MIN(N(CHOOSE(AP90,'Debt List'!$F$5,'Debt List'!$F$6,'Debt List'!$F$7,'Debt List'!$F$8,'Debt List'!$F$9,'Debt List'!$F$10,'Debt List'!$F$11,'Debt List'!$F$12)),N(CHOOSE(AP90,J90,N90,R90,V90,Z90,AD90,AH90,AL90))+N(CHOOSE(AP90,K90,O90,S90,W90,AA90,AE90,AI90,AM90))))),0))</f>
        <v/>
      </c>
      <c r="AR90">
        <f>MIN(N(AQ90),MAX(0,N(ExtraPayment)))</f>
        <v/>
      </c>
      <c r="AS90">
        <f>MAX(0,N(ExtraPayment)-N(AR90))</f>
        <v/>
      </c>
      <c r="AT90">
        <f>IFERROR(MATCH(2,OrderPlan,0),"")</f>
        <v/>
      </c>
      <c r="AU90">
        <f>IF(AT90="",0,IFERROR(IF(N(CHOOSE(AT90,J90,N90,R90,V90,Z90,AD90,AH90,AL90))&lt;=0.005,0,MAX(0,N(CHOOSE(AT90,J90,N90,R90,V90,Z90,AD90,AH90,AL90))+N(CHOOSE(AT90,K90,O90,S90,W90,AA90,AE90,AI90,AM90))-MIN(N(CHOOSE(AT90,'Debt List'!$F$5,'Debt List'!$F$6,'Debt List'!$F$7,'Debt List'!$F$8,'Debt List'!$F$9,'Debt List'!$F$10,'Debt List'!$F$11,'Debt List'!$F$12)),N(CHOOSE(AT90,J90,N90,R90,V90,Z90,AD90,AH90,AL90))+N(CHOOSE(AT90,K90,O90,S90,W90,AA90,AE90,AI90,AM90))))),0))</f>
        <v/>
      </c>
      <c r="AV90">
        <f>MIN(N(AU90),MAX(0,N(AS90)))</f>
        <v/>
      </c>
      <c r="AW90">
        <f>MAX(0,N(AS90)-N(AV90))</f>
        <v/>
      </c>
      <c r="AX90">
        <f>IFERROR(MATCH(3,OrderPlan,0),"")</f>
        <v/>
      </c>
      <c r="AY90">
        <f>IF(AX90="",0,IFERROR(IF(N(CHOOSE(AX90,J90,N90,R90,V90,Z90,AD90,AH90,AL90))&lt;=0.005,0,MAX(0,N(CHOOSE(AX90,J90,N90,R90,V90,Z90,AD90,AH90,AL90))+N(CHOOSE(AX90,K90,O90,S90,W90,AA90,AE90,AI90,AM90))-MIN(N(CHOOSE(AX90,'Debt List'!$F$5,'Debt List'!$F$6,'Debt List'!$F$7,'Debt List'!$F$8,'Debt List'!$F$9,'Debt List'!$F$10,'Debt List'!$F$11,'Debt List'!$F$12)),N(CHOOSE(AX90,J90,N90,R90,V90,Z90,AD90,AH90,AL90))+N(CHOOSE(AX90,K90,O90,S90,W90,AA90,AE90,AI90,AM90))))),0))</f>
        <v/>
      </c>
      <c r="AZ90">
        <f>MIN(N(AY90),MAX(0,N(AW90)))</f>
        <v/>
      </c>
      <c r="BA90">
        <f>MAX(0,N(AW90)-N(AZ90))</f>
        <v/>
      </c>
      <c r="BB90">
        <f>IFERROR(MATCH(4,OrderPlan,0),"")</f>
        <v/>
      </c>
      <c r="BC90">
        <f>IF(BB90="",0,IFERROR(IF(N(CHOOSE(BB90,J90,N90,R90,V90,Z90,AD90,AH90,AL90))&lt;=0.005,0,MAX(0,N(CHOOSE(BB90,J90,N90,R90,V90,Z90,AD90,AH90,AL90))+N(CHOOSE(BB90,K90,O90,S90,W90,AA90,AE90,AI90,AM90))-MIN(N(CHOOSE(BB90,'Debt List'!$F$5,'Debt List'!$F$6,'Debt List'!$F$7,'Debt List'!$F$8,'Debt List'!$F$9,'Debt List'!$F$10,'Debt List'!$F$11,'Debt List'!$F$12)),N(CHOOSE(BB90,J90,N90,R90,V90,Z90,AD90,AH90,AL90))+N(CHOOSE(BB90,K90,O90,S90,W90,AA90,AE90,AI90,AM90))))),0))</f>
        <v/>
      </c>
      <c r="BD90">
        <f>MIN(N(BC90),MAX(0,N(BA90)))</f>
        <v/>
      </c>
      <c r="BE90">
        <f>MAX(0,N(BA90)-N(BD90))</f>
        <v/>
      </c>
      <c r="BF90">
        <f>IFERROR(MATCH(5,OrderPlan,0),"")</f>
        <v/>
      </c>
      <c r="BG90">
        <f>IF(BF90="",0,IFERROR(IF(N(CHOOSE(BF90,J90,N90,R90,V90,Z90,AD90,AH90,AL90))&lt;=0.005,0,MAX(0,N(CHOOSE(BF90,J90,N90,R90,V90,Z90,AD90,AH90,AL90))+N(CHOOSE(BF90,K90,O90,S90,W90,AA90,AE90,AI90,AM90))-MIN(N(CHOOSE(BF90,'Debt List'!$F$5,'Debt List'!$F$6,'Debt List'!$F$7,'Debt List'!$F$8,'Debt List'!$F$9,'Debt List'!$F$10,'Debt List'!$F$11,'Debt List'!$F$12)),N(CHOOSE(BF90,J90,N90,R90,V90,Z90,AD90,AH90,AL90))+N(CHOOSE(BF90,K90,O90,S90,W90,AA90,AE90,AI90,AM90))))),0))</f>
        <v/>
      </c>
      <c r="BH90">
        <f>MIN(N(BG90),MAX(0,N(BE90)))</f>
        <v/>
      </c>
      <c r="BI90">
        <f>MAX(0,N(BE90)-N(BH90))</f>
        <v/>
      </c>
      <c r="BJ90">
        <f>IFERROR(MATCH(6,OrderPlan,0),"")</f>
        <v/>
      </c>
      <c r="BK90">
        <f>IF(BJ90="",0,IFERROR(IF(N(CHOOSE(BJ90,J90,N90,R90,V90,Z90,AD90,AH90,AL90))&lt;=0.005,0,MAX(0,N(CHOOSE(BJ90,J90,N90,R90,V90,Z90,AD90,AH90,AL90))+N(CHOOSE(BJ90,K90,O90,S90,W90,AA90,AE90,AI90,AM90))-MIN(N(CHOOSE(BJ90,'Debt List'!$F$5,'Debt List'!$F$6,'Debt List'!$F$7,'Debt List'!$F$8,'Debt List'!$F$9,'Debt List'!$F$10,'Debt List'!$F$11,'Debt List'!$F$12)),N(CHOOSE(BJ90,J90,N90,R90,V90,Z90,AD90,AH90,AL90))+N(CHOOSE(BJ90,K90,O90,S90,W90,AA90,AE90,AI90,AM90))))),0))</f>
        <v/>
      </c>
      <c r="BL90">
        <f>MIN(N(BK90),MAX(0,N(BI90)))</f>
        <v/>
      </c>
      <c r="BM90">
        <f>MAX(0,N(BI90)-N(BL90))</f>
        <v/>
      </c>
      <c r="BN90">
        <f>IFERROR(MATCH(7,OrderPlan,0),"")</f>
        <v/>
      </c>
      <c r="BO90">
        <f>IF(BN90="",0,IFERROR(IF(N(CHOOSE(BN90,J90,N90,R90,V90,Z90,AD90,AH90,AL90))&lt;=0.005,0,MAX(0,N(CHOOSE(BN90,J90,N90,R90,V90,Z90,AD90,AH90,AL90))+N(CHOOSE(BN90,K90,O90,S90,W90,AA90,AE90,AI90,AM90))-MIN(N(CHOOSE(BN90,'Debt List'!$F$5,'Debt List'!$F$6,'Debt List'!$F$7,'Debt List'!$F$8,'Debt List'!$F$9,'Debt List'!$F$10,'Debt List'!$F$11,'Debt List'!$F$12)),N(CHOOSE(BN90,J90,N90,R90,V90,Z90,AD90,AH90,AL90))+N(CHOOSE(BN90,K90,O90,S90,W90,AA90,AE90,AI90,AM90))))),0))</f>
        <v/>
      </c>
      <c r="BP90">
        <f>MIN(N(BO90),MAX(0,N(BM90)))</f>
        <v/>
      </c>
      <c r="BQ90">
        <f>MAX(0,N(BM90)-N(BP90))</f>
        <v/>
      </c>
      <c r="BR90">
        <f>IFERROR(MATCH(8,OrderPlan,0),"")</f>
        <v/>
      </c>
      <c r="BS90">
        <f>IF(BR90="",0,IFERROR(IF(N(CHOOSE(BR90,J90,N90,R90,V90,Z90,AD90,AH90,AL90))&lt;=0.005,0,MAX(0,N(CHOOSE(BR90,J90,N90,R90,V90,Z90,AD90,AH90,AL90))+N(CHOOSE(BR90,K90,O90,S90,W90,AA90,AE90,AI90,AM90))-MIN(N(CHOOSE(BR90,'Debt List'!$F$5,'Debt List'!$F$6,'Debt List'!$F$7,'Debt List'!$F$8,'Debt List'!$F$9,'Debt List'!$F$10,'Debt List'!$F$11,'Debt List'!$F$12)),N(CHOOSE(BR90,J90,N90,R90,V90,Z90,AD90,AH90,AL90))+N(CHOOSE(BR90,K90,O90,S90,W90,AA90,AE90,AI90,AM90))))),0))</f>
        <v/>
      </c>
      <c r="BT90">
        <f>MIN(N(BS90),MAX(0,N(BQ90)))</f>
        <v/>
      </c>
      <c r="BU90">
        <f>MAX(0,N(BQ90)-N(BT90))</f>
        <v/>
      </c>
      <c r="CC90" t="n">
        <v>86</v>
      </c>
      <c r="CD90" s="115">
        <f>DATE(YEAR(PlanStart),MONTH(PlanStart)+CC90-1,1)</f>
        <v/>
      </c>
      <c r="CE90">
        <f>IF(AND(DR90&lt;&gt;"",N(CHOOSE(DR90,CL90,CP90,CT90,CX90,DB90,DF90,DJ90,DN90))&gt;0.005),INDEX(DebtNames,DR90),IF(AND(DV90&lt;&gt;"",N(CHOOSE(DV90,CL90,CP90,CT90,CX90,DB90,DF90,DJ90,DN90))&gt;0.005),INDEX(DebtNames,DV90),IF(AND(DZ90&lt;&gt;"",N(CHOOSE(DZ90,CL90,CP90,CT90,CX90,DB90,DF90,DJ90,DN90))&gt;0.005),INDEX(DebtNames,DZ90),IF(AND(ED90&lt;&gt;"",N(CHOOSE(ED90,CL90,CP90,CT90,CX90,DB90,DF90,DJ90,DN90))&gt;0.005),INDEX(DebtNames,ED90),IF(AND(EH90&lt;&gt;"",N(CHOOSE(EH90,CL90,CP90,CT90,CX90,DB90,DF90,DJ90,DN90))&gt;0.005),INDEX(DebtNames,EH90),IF(AND(EL90&lt;&gt;"",N(CHOOSE(EL90,CL90,CP90,CT90,CX90,DB90,DF90,DJ90,DN90))&gt;0.005),INDEX(DebtNames,EL90),IF(AND(EP90&lt;&gt;"",N(CHOOSE(EP90,CL90,CP90,CT90,CX90,DB90,DF90,DJ90,DN90))&gt;0.005),INDEX(DebtNames,EP90),IF(AND(ET90&lt;&gt;"",N(CHOOSE(ET90,CL90,CP90,CT90,CX90,DB90,DF90,DJ90,DN90))&gt;0.005),INDEX(DebtNames,ET90),""))))))))</f>
        <v/>
      </c>
      <c r="CF90">
        <f>N(EW90)</f>
        <v/>
      </c>
      <c r="CG90">
        <f>N(CN90)+N(CR90)+N(CV90)+N(CZ90)+N(DD90)+N(DH90)+N(DL90)+N(DP90)</f>
        <v/>
      </c>
      <c r="CH90">
        <f>N(CM90)+N(CQ90)+N(CU90)+N(CY90)+N(DC90)+N(DG90)+N(DK90)+N(DO90)</f>
        <v/>
      </c>
      <c r="CI90">
        <f>N(CI89)+N(CH90)</f>
        <v/>
      </c>
      <c r="CJ90">
        <f>N(CO90)+N(CS90)+N(CW90)+N(DA90)+N(DE90)+N(DI90)+N(DM90)+N(DQ90)</f>
        <v/>
      </c>
      <c r="CK90">
        <f>(CO90&gt;0.005)*1+(CS90&gt;0.005)*1+(CW90&gt;0.005)*1+(DA90&gt;0.005)*1+(DE90&gt;0.005)*1+(DI90&gt;0.005)*1+(DM90&gt;0.005)*1+(DQ90&gt;0.005)*1</f>
        <v/>
      </c>
      <c r="CL90">
        <f>N(CO89)</f>
        <v/>
      </c>
      <c r="CM90">
        <f>IF(N(CL90)&lt;=0.005,0,ROUND(N(CL90)*N('Debt List'!E5)/12,2))</f>
        <v/>
      </c>
      <c r="CN90">
        <f>IF(N(CL90)&lt;=0.005,0,MIN(N('Debt List'!F5),N(CL90)+N(CM90)))+((DR90=1)*DT90+(DV90=1)*DX90+(DZ90=1)*EB90+(ED90=1)*EF90+(EH90=1)*EJ90+(EL90=1)*EN90+(EP90=1)*ER90+(ET90=1)*EV90)</f>
        <v/>
      </c>
      <c r="CO90">
        <f>MAX(0,ROUND(N(CL90)+N(CM90)-N(CN90),2))</f>
        <v/>
      </c>
      <c r="CP90">
        <f>N(CS89)</f>
        <v/>
      </c>
      <c r="CQ90">
        <f>IF(N(CP90)&lt;=0.005,0,ROUND(N(CP90)*N('Debt List'!E6)/12,2))</f>
        <v/>
      </c>
      <c r="CR90">
        <f>IF(N(CP90)&lt;=0.005,0,MIN(N('Debt List'!F6),N(CP90)+N(CQ90)))+((DR90=2)*DT90+(DV90=2)*DX90+(DZ90=2)*EB90+(ED90=2)*EF90+(EH90=2)*EJ90+(EL90=2)*EN90+(EP90=2)*ER90+(ET90=2)*EV90)</f>
        <v/>
      </c>
      <c r="CS90">
        <f>MAX(0,ROUND(N(CP90)+N(CQ90)-N(CR90),2))</f>
        <v/>
      </c>
      <c r="CT90">
        <f>N(CW89)</f>
        <v/>
      </c>
      <c r="CU90">
        <f>IF(N(CT90)&lt;=0.005,0,ROUND(N(CT90)*N('Debt List'!E7)/12,2))</f>
        <v/>
      </c>
      <c r="CV90">
        <f>IF(N(CT90)&lt;=0.005,0,MIN(N('Debt List'!F7),N(CT90)+N(CU90)))+((DR90=3)*DT90+(DV90=3)*DX90+(DZ90=3)*EB90+(ED90=3)*EF90+(EH90=3)*EJ90+(EL90=3)*EN90+(EP90=3)*ER90+(ET90=3)*EV90)</f>
        <v/>
      </c>
      <c r="CW90">
        <f>MAX(0,ROUND(N(CT90)+N(CU90)-N(CV90),2))</f>
        <v/>
      </c>
      <c r="CX90">
        <f>N(DA89)</f>
        <v/>
      </c>
      <c r="CY90">
        <f>IF(N(CX90)&lt;=0.005,0,ROUND(N(CX90)*N('Debt List'!E8)/12,2))</f>
        <v/>
      </c>
      <c r="CZ90">
        <f>IF(N(CX90)&lt;=0.005,0,MIN(N('Debt List'!F8),N(CX90)+N(CY90)))+((DR90=4)*DT90+(DV90=4)*DX90+(DZ90=4)*EB90+(ED90=4)*EF90+(EH90=4)*EJ90+(EL90=4)*EN90+(EP90=4)*ER90+(ET90=4)*EV90)</f>
        <v/>
      </c>
      <c r="DA90">
        <f>MAX(0,ROUND(N(CX90)+N(CY90)-N(CZ90),2))</f>
        <v/>
      </c>
      <c r="DB90">
        <f>N(DE89)</f>
        <v/>
      </c>
      <c r="DC90">
        <f>IF(N(DB90)&lt;=0.005,0,ROUND(N(DB90)*N('Debt List'!E9)/12,2))</f>
        <v/>
      </c>
      <c r="DD90">
        <f>IF(N(DB90)&lt;=0.005,0,MIN(N('Debt List'!F9),N(DB90)+N(DC90)))+((DR90=5)*DT90+(DV90=5)*DX90+(DZ90=5)*EB90+(ED90=5)*EF90+(EH90=5)*EJ90+(EL90=5)*EN90+(EP90=5)*ER90+(ET90=5)*EV90)</f>
        <v/>
      </c>
      <c r="DE90">
        <f>MAX(0,ROUND(N(DB90)+N(DC90)-N(DD90),2))</f>
        <v/>
      </c>
      <c r="DF90">
        <f>N(DI89)</f>
        <v/>
      </c>
      <c r="DG90">
        <f>IF(N(DF90)&lt;=0.005,0,ROUND(N(DF90)*N('Debt List'!E10)/12,2))</f>
        <v/>
      </c>
      <c r="DH90">
        <f>IF(N(DF90)&lt;=0.005,0,MIN(N('Debt List'!F10),N(DF90)+N(DG90)))+((DR90=6)*DT90+(DV90=6)*DX90+(DZ90=6)*EB90+(ED90=6)*EF90+(EH90=6)*EJ90+(EL90=6)*EN90+(EP90=6)*ER90+(ET90=6)*EV90)</f>
        <v/>
      </c>
      <c r="DI90">
        <f>MAX(0,ROUND(N(DF90)+N(DG90)-N(DH90),2))</f>
        <v/>
      </c>
      <c r="DJ90">
        <f>N(DM89)</f>
        <v/>
      </c>
      <c r="DK90">
        <f>IF(N(DJ90)&lt;=0.005,0,ROUND(N(DJ90)*N('Debt List'!E11)/12,2))</f>
        <v/>
      </c>
      <c r="DL90">
        <f>IF(N(DJ90)&lt;=0.005,0,MIN(N('Debt List'!F11),N(DJ90)+N(DK90)))+((DR90=7)*DT90+(DV90=7)*DX90+(DZ90=7)*EB90+(ED90=7)*EF90+(EH90=7)*EJ90+(EL90=7)*EN90+(EP90=7)*ER90+(ET90=7)*EV90)</f>
        <v/>
      </c>
      <c r="DM90">
        <f>MAX(0,ROUND(N(DJ90)+N(DK90)-N(DL90),2))</f>
        <v/>
      </c>
      <c r="DN90">
        <f>N(DQ89)</f>
        <v/>
      </c>
      <c r="DO90">
        <f>IF(N(DN90)&lt;=0.005,0,ROUND(N(DN90)*N('Debt List'!E12)/12,2))</f>
        <v/>
      </c>
      <c r="DP90">
        <f>IF(N(DN90)&lt;=0.005,0,MIN(N('Debt List'!F12),N(DN90)+N(DO90)))+((DR90=8)*DT90+(DV90=8)*DX90+(DZ90=8)*EB90+(ED90=8)*EF90+(EH90=8)*EJ90+(EL90=8)*EN90+(EP90=8)*ER90+(ET90=8)*EV90)</f>
        <v/>
      </c>
      <c r="DQ90">
        <f>MAX(0,ROUND(N(DN90)+N(DO90)-N(DP90),2))</f>
        <v/>
      </c>
      <c r="DR90">
        <f>IFERROR(MATCH(1,OrderSnow,0),"")</f>
        <v/>
      </c>
      <c r="DS90">
        <f>IF(DR90="",0,IFERROR(IF(N(CHOOSE(DR90,CL90,CP90,CT90,CX90,DB90,DF90,DJ90,DN90))&lt;=0.005,0,MAX(0,N(CHOOSE(DR90,CL90,CP90,CT90,CX90,DB90,DF90,DJ90,DN90))+N(CHOOSE(DR90,CM90,CQ90,CU90,CY90,DC90,DG90,DK90,DO90))-MIN(N(CHOOSE(DR90,'Debt List'!$F$5,'Debt List'!$F$6,'Debt List'!$F$7,'Debt List'!$F$8,'Debt List'!$F$9,'Debt List'!$F$10,'Debt List'!$F$11,'Debt List'!$F$12)),N(CHOOSE(DR90,CL90,CP90,CT90,CX90,DB90,DF90,DJ90,DN90))+N(CHOOSE(DR90,CM90,CQ90,CU90,CY90,DC90,DG90,DK90,DO90))))),0))</f>
        <v/>
      </c>
      <c r="DT90">
        <f>MIN(N(DS90),MAX(0,N(ExtraPayment)))</f>
        <v/>
      </c>
      <c r="DU90">
        <f>MAX(0,N(ExtraPayment)-N(DT90))</f>
        <v/>
      </c>
      <c r="DV90">
        <f>IFERROR(MATCH(2,OrderSnow,0),"")</f>
        <v/>
      </c>
      <c r="DW90">
        <f>IF(DV90="",0,IFERROR(IF(N(CHOOSE(DV90,CL90,CP90,CT90,CX90,DB90,DF90,DJ90,DN90))&lt;=0.005,0,MAX(0,N(CHOOSE(DV90,CL90,CP90,CT90,CX90,DB90,DF90,DJ90,DN90))+N(CHOOSE(DV90,CM90,CQ90,CU90,CY90,DC90,DG90,DK90,DO90))-MIN(N(CHOOSE(DV90,'Debt List'!$F$5,'Debt List'!$F$6,'Debt List'!$F$7,'Debt List'!$F$8,'Debt List'!$F$9,'Debt List'!$F$10,'Debt List'!$F$11,'Debt List'!$F$12)),N(CHOOSE(DV90,CL90,CP90,CT90,CX90,DB90,DF90,DJ90,DN90))+N(CHOOSE(DV90,CM90,CQ90,CU90,CY90,DC90,DG90,DK90,DO90))))),0))</f>
        <v/>
      </c>
      <c r="DX90">
        <f>MIN(N(DW90),MAX(0,N(DU90)))</f>
        <v/>
      </c>
      <c r="DY90">
        <f>MAX(0,N(DU90)-N(DX90))</f>
        <v/>
      </c>
      <c r="DZ90">
        <f>IFERROR(MATCH(3,OrderSnow,0),"")</f>
        <v/>
      </c>
      <c r="EA90">
        <f>IF(DZ90="",0,IFERROR(IF(N(CHOOSE(DZ90,CL90,CP90,CT90,CX90,DB90,DF90,DJ90,DN90))&lt;=0.005,0,MAX(0,N(CHOOSE(DZ90,CL90,CP90,CT90,CX90,DB90,DF90,DJ90,DN90))+N(CHOOSE(DZ90,CM90,CQ90,CU90,CY90,DC90,DG90,DK90,DO90))-MIN(N(CHOOSE(DZ90,'Debt List'!$F$5,'Debt List'!$F$6,'Debt List'!$F$7,'Debt List'!$F$8,'Debt List'!$F$9,'Debt List'!$F$10,'Debt List'!$F$11,'Debt List'!$F$12)),N(CHOOSE(DZ90,CL90,CP90,CT90,CX90,DB90,DF90,DJ90,DN90))+N(CHOOSE(DZ90,CM90,CQ90,CU90,CY90,DC90,DG90,DK90,DO90))))),0))</f>
        <v/>
      </c>
      <c r="EB90">
        <f>MIN(N(EA90),MAX(0,N(DY90)))</f>
        <v/>
      </c>
      <c r="EC90">
        <f>MAX(0,N(DY90)-N(EB90))</f>
        <v/>
      </c>
      <c r="ED90">
        <f>IFERROR(MATCH(4,OrderSnow,0),"")</f>
        <v/>
      </c>
      <c r="EE90">
        <f>IF(ED90="",0,IFERROR(IF(N(CHOOSE(ED90,CL90,CP90,CT90,CX90,DB90,DF90,DJ90,DN90))&lt;=0.005,0,MAX(0,N(CHOOSE(ED90,CL90,CP90,CT90,CX90,DB90,DF90,DJ90,DN90))+N(CHOOSE(ED90,CM90,CQ90,CU90,CY90,DC90,DG90,DK90,DO90))-MIN(N(CHOOSE(ED90,'Debt List'!$F$5,'Debt List'!$F$6,'Debt List'!$F$7,'Debt List'!$F$8,'Debt List'!$F$9,'Debt List'!$F$10,'Debt List'!$F$11,'Debt List'!$F$12)),N(CHOOSE(ED90,CL90,CP90,CT90,CX90,DB90,DF90,DJ90,DN90))+N(CHOOSE(ED90,CM90,CQ90,CU90,CY90,DC90,DG90,DK90,DO90))))),0))</f>
        <v/>
      </c>
      <c r="EF90">
        <f>MIN(N(EE90),MAX(0,N(EC90)))</f>
        <v/>
      </c>
      <c r="EG90">
        <f>MAX(0,N(EC90)-N(EF90))</f>
        <v/>
      </c>
      <c r="EH90">
        <f>IFERROR(MATCH(5,OrderSnow,0),"")</f>
        <v/>
      </c>
      <c r="EI90">
        <f>IF(EH90="",0,IFERROR(IF(N(CHOOSE(EH90,CL90,CP90,CT90,CX90,DB90,DF90,DJ90,DN90))&lt;=0.005,0,MAX(0,N(CHOOSE(EH90,CL90,CP90,CT90,CX90,DB90,DF90,DJ90,DN90))+N(CHOOSE(EH90,CM90,CQ90,CU90,CY90,DC90,DG90,DK90,DO90))-MIN(N(CHOOSE(EH90,'Debt List'!$F$5,'Debt List'!$F$6,'Debt List'!$F$7,'Debt List'!$F$8,'Debt List'!$F$9,'Debt List'!$F$10,'Debt List'!$F$11,'Debt List'!$F$12)),N(CHOOSE(EH90,CL90,CP90,CT90,CX90,DB90,DF90,DJ90,DN90))+N(CHOOSE(EH90,CM90,CQ90,CU90,CY90,DC90,DG90,DK90,DO90))))),0))</f>
        <v/>
      </c>
      <c r="EJ90">
        <f>MIN(N(EI90),MAX(0,N(EG90)))</f>
        <v/>
      </c>
      <c r="EK90">
        <f>MAX(0,N(EG90)-N(EJ90))</f>
        <v/>
      </c>
      <c r="EL90">
        <f>IFERROR(MATCH(6,OrderSnow,0),"")</f>
        <v/>
      </c>
      <c r="EM90">
        <f>IF(EL90="",0,IFERROR(IF(N(CHOOSE(EL90,CL90,CP90,CT90,CX90,DB90,DF90,DJ90,DN90))&lt;=0.005,0,MAX(0,N(CHOOSE(EL90,CL90,CP90,CT90,CX90,DB90,DF90,DJ90,DN90))+N(CHOOSE(EL90,CM90,CQ90,CU90,CY90,DC90,DG90,DK90,DO90))-MIN(N(CHOOSE(EL90,'Debt List'!$F$5,'Debt List'!$F$6,'Debt List'!$F$7,'Debt List'!$F$8,'Debt List'!$F$9,'Debt List'!$F$10,'Debt List'!$F$11,'Debt List'!$F$12)),N(CHOOSE(EL90,CL90,CP90,CT90,CX90,DB90,DF90,DJ90,DN90))+N(CHOOSE(EL90,CM90,CQ90,CU90,CY90,DC90,DG90,DK90,DO90))))),0))</f>
        <v/>
      </c>
      <c r="EN90">
        <f>MIN(N(EM90),MAX(0,N(EK90)))</f>
        <v/>
      </c>
      <c r="EO90">
        <f>MAX(0,N(EK90)-N(EN90))</f>
        <v/>
      </c>
      <c r="EP90">
        <f>IFERROR(MATCH(7,OrderSnow,0),"")</f>
        <v/>
      </c>
      <c r="EQ90">
        <f>IF(EP90="",0,IFERROR(IF(N(CHOOSE(EP90,CL90,CP90,CT90,CX90,DB90,DF90,DJ90,DN90))&lt;=0.005,0,MAX(0,N(CHOOSE(EP90,CL90,CP90,CT90,CX90,DB90,DF90,DJ90,DN90))+N(CHOOSE(EP90,CM90,CQ90,CU90,CY90,DC90,DG90,DK90,DO90))-MIN(N(CHOOSE(EP90,'Debt List'!$F$5,'Debt List'!$F$6,'Debt List'!$F$7,'Debt List'!$F$8,'Debt List'!$F$9,'Debt List'!$F$10,'Debt List'!$F$11,'Debt List'!$F$12)),N(CHOOSE(EP90,CL90,CP90,CT90,CX90,DB90,DF90,DJ90,DN90))+N(CHOOSE(EP90,CM90,CQ90,CU90,CY90,DC90,DG90,DK90,DO90))))),0))</f>
        <v/>
      </c>
      <c r="ER90">
        <f>MIN(N(EQ90),MAX(0,N(EO90)))</f>
        <v/>
      </c>
      <c r="ES90">
        <f>MAX(0,N(EO90)-N(ER90))</f>
        <v/>
      </c>
      <c r="ET90">
        <f>IFERROR(MATCH(8,OrderSnow,0),"")</f>
        <v/>
      </c>
      <c r="EU90">
        <f>IF(ET90="",0,IFERROR(IF(N(CHOOSE(ET90,CL90,CP90,CT90,CX90,DB90,DF90,DJ90,DN90))&lt;=0.005,0,MAX(0,N(CHOOSE(ET90,CL90,CP90,CT90,CX90,DB90,DF90,DJ90,DN90))+N(CHOOSE(ET90,CM90,CQ90,CU90,CY90,DC90,DG90,DK90,DO90))-MIN(N(CHOOSE(ET90,'Debt List'!$F$5,'Debt List'!$F$6,'Debt List'!$F$7,'Debt List'!$F$8,'Debt List'!$F$9,'Debt List'!$F$10,'Debt List'!$F$11,'Debt List'!$F$12)),N(CHOOSE(ET90,CL90,CP90,CT90,CX90,DB90,DF90,DJ90,DN90))+N(CHOOSE(ET90,CM90,CQ90,CU90,CY90,DC90,DG90,DK90,DO90))))),0))</f>
        <v/>
      </c>
      <c r="EV90">
        <f>MIN(N(EU90),MAX(0,N(ES90)))</f>
        <v/>
      </c>
      <c r="EW90">
        <f>MAX(0,N(ES90)-N(EV90))</f>
        <v/>
      </c>
      <c r="FE90" t="n">
        <v>86</v>
      </c>
      <c r="FF90" s="115">
        <f>DATE(YEAR(PlanStart),MONTH(PlanStart)+FE90-1,1)</f>
        <v/>
      </c>
      <c r="FG90">
        <f>IF(AND(GT90&lt;&gt;"",N(CHOOSE(GT90,FN90,FR90,FV90,FZ90,GD90,GH90,GL90,GP90))&gt;0.005),INDEX(DebtNames,GT90),IF(AND(GX90&lt;&gt;"",N(CHOOSE(GX90,FN90,FR90,FV90,FZ90,GD90,GH90,GL90,GP90))&gt;0.005),INDEX(DebtNames,GX90),IF(AND(HB90&lt;&gt;"",N(CHOOSE(HB90,FN90,FR90,FV90,FZ90,GD90,GH90,GL90,GP90))&gt;0.005),INDEX(DebtNames,HB90),IF(AND(HF90&lt;&gt;"",N(CHOOSE(HF90,FN90,FR90,FV90,FZ90,GD90,GH90,GL90,GP90))&gt;0.005),INDEX(DebtNames,HF90),IF(AND(HJ90&lt;&gt;"",N(CHOOSE(HJ90,FN90,FR90,FV90,FZ90,GD90,GH90,GL90,GP90))&gt;0.005),INDEX(DebtNames,HJ90),IF(AND(HN90&lt;&gt;"",N(CHOOSE(HN90,FN90,FR90,FV90,FZ90,GD90,GH90,GL90,GP90))&gt;0.005),INDEX(DebtNames,HN90),IF(AND(HR90&lt;&gt;"",N(CHOOSE(HR90,FN90,FR90,FV90,FZ90,GD90,GH90,GL90,GP90))&gt;0.005),INDEX(DebtNames,HR90),IF(AND(HV90&lt;&gt;"",N(CHOOSE(HV90,FN90,FR90,FV90,FZ90,GD90,GH90,GL90,GP90))&gt;0.005),INDEX(DebtNames,HV90),""))))))))</f>
        <v/>
      </c>
      <c r="FH90">
        <f>N(HY90)</f>
        <v/>
      </c>
      <c r="FI90">
        <f>N(FP90)+N(FT90)+N(FX90)+N(GB90)+N(GF90)+N(GJ90)+N(GN90)+N(GR90)</f>
        <v/>
      </c>
      <c r="FJ90">
        <f>N(FO90)+N(FS90)+N(FW90)+N(GA90)+N(GE90)+N(GI90)+N(GM90)+N(GQ90)</f>
        <v/>
      </c>
      <c r="FK90">
        <f>N(FK89)+N(FJ90)</f>
        <v/>
      </c>
      <c r="FL90">
        <f>N(FQ90)+N(FU90)+N(FY90)+N(GC90)+N(GG90)+N(GK90)+N(GO90)+N(GS90)</f>
        <v/>
      </c>
      <c r="FM90">
        <f>(FQ90&gt;0.005)*1+(FU90&gt;0.005)*1+(FY90&gt;0.005)*1+(GC90&gt;0.005)*1+(GG90&gt;0.005)*1+(GK90&gt;0.005)*1+(GO90&gt;0.005)*1+(GS90&gt;0.005)*1</f>
        <v/>
      </c>
      <c r="FN90">
        <f>N(FQ89)</f>
        <v/>
      </c>
      <c r="FO90">
        <f>IF(N(FN90)&lt;=0.005,0,ROUND(N(FN90)*N('Debt List'!E5)/12,2))</f>
        <v/>
      </c>
      <c r="FP90">
        <f>IF(N(FN90)&lt;=0.005,0,MIN(N('Debt List'!F5),N(FN90)+N(FO90)))+((GT90=1)*GV90+(GX90=1)*GZ90+(HB90=1)*HD90+(HF90=1)*HH90+(HJ90=1)*HL90+(HN90=1)*HP90+(HR90=1)*HT90+(HV90=1)*HX90)</f>
        <v/>
      </c>
      <c r="FQ90">
        <f>MAX(0,ROUND(N(FN90)+N(FO90)-N(FP90),2))</f>
        <v/>
      </c>
      <c r="FR90">
        <f>N(FU89)</f>
        <v/>
      </c>
      <c r="FS90">
        <f>IF(N(FR90)&lt;=0.005,0,ROUND(N(FR90)*N('Debt List'!E6)/12,2))</f>
        <v/>
      </c>
      <c r="FT90">
        <f>IF(N(FR90)&lt;=0.005,0,MIN(N('Debt List'!F6),N(FR90)+N(FS90)))+((GT90=2)*GV90+(GX90=2)*GZ90+(HB90=2)*HD90+(HF90=2)*HH90+(HJ90=2)*HL90+(HN90=2)*HP90+(HR90=2)*HT90+(HV90=2)*HX90)</f>
        <v/>
      </c>
      <c r="FU90">
        <f>MAX(0,ROUND(N(FR90)+N(FS90)-N(FT90),2))</f>
        <v/>
      </c>
      <c r="FV90">
        <f>N(FY89)</f>
        <v/>
      </c>
      <c r="FW90">
        <f>IF(N(FV90)&lt;=0.005,0,ROUND(N(FV90)*N('Debt List'!E7)/12,2))</f>
        <v/>
      </c>
      <c r="FX90">
        <f>IF(N(FV90)&lt;=0.005,0,MIN(N('Debt List'!F7),N(FV90)+N(FW90)))+((GT90=3)*GV90+(GX90=3)*GZ90+(HB90=3)*HD90+(HF90=3)*HH90+(HJ90=3)*HL90+(HN90=3)*HP90+(HR90=3)*HT90+(HV90=3)*HX90)</f>
        <v/>
      </c>
      <c r="FY90">
        <f>MAX(0,ROUND(N(FV90)+N(FW90)-N(FX90),2))</f>
        <v/>
      </c>
      <c r="FZ90">
        <f>N(GC89)</f>
        <v/>
      </c>
      <c r="GA90">
        <f>IF(N(FZ90)&lt;=0.005,0,ROUND(N(FZ90)*N('Debt List'!E8)/12,2))</f>
        <v/>
      </c>
      <c r="GB90">
        <f>IF(N(FZ90)&lt;=0.005,0,MIN(N('Debt List'!F8),N(FZ90)+N(GA90)))+((GT90=4)*GV90+(GX90=4)*GZ90+(HB90=4)*HD90+(HF90=4)*HH90+(HJ90=4)*HL90+(HN90=4)*HP90+(HR90=4)*HT90+(HV90=4)*HX90)</f>
        <v/>
      </c>
      <c r="GC90">
        <f>MAX(0,ROUND(N(FZ90)+N(GA90)-N(GB90),2))</f>
        <v/>
      </c>
      <c r="GD90">
        <f>N(GG89)</f>
        <v/>
      </c>
      <c r="GE90">
        <f>IF(N(GD90)&lt;=0.005,0,ROUND(N(GD90)*N('Debt List'!E9)/12,2))</f>
        <v/>
      </c>
      <c r="GF90">
        <f>IF(N(GD90)&lt;=0.005,0,MIN(N('Debt List'!F9),N(GD90)+N(GE90)))+((GT90=5)*GV90+(GX90=5)*GZ90+(HB90=5)*HD90+(HF90=5)*HH90+(HJ90=5)*HL90+(HN90=5)*HP90+(HR90=5)*HT90+(HV90=5)*HX90)</f>
        <v/>
      </c>
      <c r="GG90">
        <f>MAX(0,ROUND(N(GD90)+N(GE90)-N(GF90),2))</f>
        <v/>
      </c>
      <c r="GH90">
        <f>N(GK89)</f>
        <v/>
      </c>
      <c r="GI90">
        <f>IF(N(GH90)&lt;=0.005,0,ROUND(N(GH90)*N('Debt List'!E10)/12,2))</f>
        <v/>
      </c>
      <c r="GJ90">
        <f>IF(N(GH90)&lt;=0.005,0,MIN(N('Debt List'!F10),N(GH90)+N(GI90)))+((GT90=6)*GV90+(GX90=6)*GZ90+(HB90=6)*HD90+(HF90=6)*HH90+(HJ90=6)*HL90+(HN90=6)*HP90+(HR90=6)*HT90+(HV90=6)*HX90)</f>
        <v/>
      </c>
      <c r="GK90">
        <f>MAX(0,ROUND(N(GH90)+N(GI90)-N(GJ90),2))</f>
        <v/>
      </c>
      <c r="GL90">
        <f>N(GO89)</f>
        <v/>
      </c>
      <c r="GM90">
        <f>IF(N(GL90)&lt;=0.005,0,ROUND(N(GL90)*N('Debt List'!E11)/12,2))</f>
        <v/>
      </c>
      <c r="GN90">
        <f>IF(N(GL90)&lt;=0.005,0,MIN(N('Debt List'!F11),N(GL90)+N(GM90)))+((GT90=7)*GV90+(GX90=7)*GZ90+(HB90=7)*HD90+(HF90=7)*HH90+(HJ90=7)*HL90+(HN90=7)*HP90+(HR90=7)*HT90+(HV90=7)*HX90)</f>
        <v/>
      </c>
      <c r="GO90">
        <f>MAX(0,ROUND(N(GL90)+N(GM90)-N(GN90),2))</f>
        <v/>
      </c>
      <c r="GP90">
        <f>N(GS89)</f>
        <v/>
      </c>
      <c r="GQ90">
        <f>IF(N(GP90)&lt;=0.005,0,ROUND(N(GP90)*N('Debt List'!E12)/12,2))</f>
        <v/>
      </c>
      <c r="GR90">
        <f>IF(N(GP90)&lt;=0.005,0,MIN(N('Debt List'!F12),N(GP90)+N(GQ90)))+((GT90=8)*GV90+(GX90=8)*GZ90+(HB90=8)*HD90+(HF90=8)*HH90+(HJ90=8)*HL90+(HN90=8)*HP90+(HR90=8)*HT90+(HV90=8)*HX90)</f>
        <v/>
      </c>
      <c r="GS90">
        <f>MAX(0,ROUND(N(GP90)+N(GQ90)-N(GR90),2))</f>
        <v/>
      </c>
      <c r="GT90">
        <f>IFERROR(MATCH(1,OrderAval,0),"")</f>
        <v/>
      </c>
      <c r="GU90">
        <f>IF(GT90="",0,IFERROR(IF(N(CHOOSE(GT90,FN90,FR90,FV90,FZ90,GD90,GH90,GL90,GP90))&lt;=0.005,0,MAX(0,N(CHOOSE(GT90,FN90,FR90,FV90,FZ90,GD90,GH90,GL90,GP90))+N(CHOOSE(GT90,FO90,FS90,FW90,GA90,GE90,GI90,GM90,GQ90))-MIN(N(CHOOSE(GT90,'Debt List'!$F$5,'Debt List'!$F$6,'Debt List'!$F$7,'Debt List'!$F$8,'Debt List'!$F$9,'Debt List'!$F$10,'Debt List'!$F$11,'Debt List'!$F$12)),N(CHOOSE(GT90,FN90,FR90,FV90,FZ90,GD90,GH90,GL90,GP90))+N(CHOOSE(GT90,FO90,FS90,FW90,GA90,GE90,GI90,GM90,GQ90))))),0))</f>
        <v/>
      </c>
      <c r="GV90">
        <f>MIN(N(GU90),MAX(0,N(ExtraPayment)))</f>
        <v/>
      </c>
      <c r="GW90">
        <f>MAX(0,N(ExtraPayment)-N(GV90))</f>
        <v/>
      </c>
      <c r="GX90">
        <f>IFERROR(MATCH(2,OrderAval,0),"")</f>
        <v/>
      </c>
      <c r="GY90">
        <f>IF(GX90="",0,IFERROR(IF(N(CHOOSE(GX90,FN90,FR90,FV90,FZ90,GD90,GH90,GL90,GP90))&lt;=0.005,0,MAX(0,N(CHOOSE(GX90,FN90,FR90,FV90,FZ90,GD90,GH90,GL90,GP90))+N(CHOOSE(GX90,FO90,FS90,FW90,GA90,GE90,GI90,GM90,GQ90))-MIN(N(CHOOSE(GX90,'Debt List'!$F$5,'Debt List'!$F$6,'Debt List'!$F$7,'Debt List'!$F$8,'Debt List'!$F$9,'Debt List'!$F$10,'Debt List'!$F$11,'Debt List'!$F$12)),N(CHOOSE(GX90,FN90,FR90,FV90,FZ90,GD90,GH90,GL90,GP90))+N(CHOOSE(GX90,FO90,FS90,FW90,GA90,GE90,GI90,GM90,GQ90))))),0))</f>
        <v/>
      </c>
      <c r="GZ90">
        <f>MIN(N(GY90),MAX(0,N(GW90)))</f>
        <v/>
      </c>
      <c r="HA90">
        <f>MAX(0,N(GW90)-N(GZ90))</f>
        <v/>
      </c>
      <c r="HB90">
        <f>IFERROR(MATCH(3,OrderAval,0),"")</f>
        <v/>
      </c>
      <c r="HC90">
        <f>IF(HB90="",0,IFERROR(IF(N(CHOOSE(HB90,FN90,FR90,FV90,FZ90,GD90,GH90,GL90,GP90))&lt;=0.005,0,MAX(0,N(CHOOSE(HB90,FN90,FR90,FV90,FZ90,GD90,GH90,GL90,GP90))+N(CHOOSE(HB90,FO90,FS90,FW90,GA90,GE90,GI90,GM90,GQ90))-MIN(N(CHOOSE(HB90,'Debt List'!$F$5,'Debt List'!$F$6,'Debt List'!$F$7,'Debt List'!$F$8,'Debt List'!$F$9,'Debt List'!$F$10,'Debt List'!$F$11,'Debt List'!$F$12)),N(CHOOSE(HB90,FN90,FR90,FV90,FZ90,GD90,GH90,GL90,GP90))+N(CHOOSE(HB90,FO90,FS90,FW90,GA90,GE90,GI90,GM90,GQ90))))),0))</f>
        <v/>
      </c>
      <c r="HD90">
        <f>MIN(N(HC90),MAX(0,N(HA90)))</f>
        <v/>
      </c>
      <c r="HE90">
        <f>MAX(0,N(HA90)-N(HD90))</f>
        <v/>
      </c>
      <c r="HF90">
        <f>IFERROR(MATCH(4,OrderAval,0),"")</f>
        <v/>
      </c>
      <c r="HG90">
        <f>IF(HF90="",0,IFERROR(IF(N(CHOOSE(HF90,FN90,FR90,FV90,FZ90,GD90,GH90,GL90,GP90))&lt;=0.005,0,MAX(0,N(CHOOSE(HF90,FN90,FR90,FV90,FZ90,GD90,GH90,GL90,GP90))+N(CHOOSE(HF90,FO90,FS90,FW90,GA90,GE90,GI90,GM90,GQ90))-MIN(N(CHOOSE(HF90,'Debt List'!$F$5,'Debt List'!$F$6,'Debt List'!$F$7,'Debt List'!$F$8,'Debt List'!$F$9,'Debt List'!$F$10,'Debt List'!$F$11,'Debt List'!$F$12)),N(CHOOSE(HF90,FN90,FR90,FV90,FZ90,GD90,GH90,GL90,GP90))+N(CHOOSE(HF90,FO90,FS90,FW90,GA90,GE90,GI90,GM90,GQ90))))),0))</f>
        <v/>
      </c>
      <c r="HH90">
        <f>MIN(N(HG90),MAX(0,N(HE90)))</f>
        <v/>
      </c>
      <c r="HI90">
        <f>MAX(0,N(HE90)-N(HH90))</f>
        <v/>
      </c>
      <c r="HJ90">
        <f>IFERROR(MATCH(5,OrderAval,0),"")</f>
        <v/>
      </c>
      <c r="HK90">
        <f>IF(HJ90="",0,IFERROR(IF(N(CHOOSE(HJ90,FN90,FR90,FV90,FZ90,GD90,GH90,GL90,GP90))&lt;=0.005,0,MAX(0,N(CHOOSE(HJ90,FN90,FR90,FV90,FZ90,GD90,GH90,GL90,GP90))+N(CHOOSE(HJ90,FO90,FS90,FW90,GA90,GE90,GI90,GM90,GQ90))-MIN(N(CHOOSE(HJ90,'Debt List'!$F$5,'Debt List'!$F$6,'Debt List'!$F$7,'Debt List'!$F$8,'Debt List'!$F$9,'Debt List'!$F$10,'Debt List'!$F$11,'Debt List'!$F$12)),N(CHOOSE(HJ90,FN90,FR90,FV90,FZ90,GD90,GH90,GL90,GP90))+N(CHOOSE(HJ90,FO90,FS90,FW90,GA90,GE90,GI90,GM90,GQ90))))),0))</f>
        <v/>
      </c>
      <c r="HL90">
        <f>MIN(N(HK90),MAX(0,N(HI90)))</f>
        <v/>
      </c>
      <c r="HM90">
        <f>MAX(0,N(HI90)-N(HL90))</f>
        <v/>
      </c>
      <c r="HN90">
        <f>IFERROR(MATCH(6,OrderAval,0),"")</f>
        <v/>
      </c>
      <c r="HO90">
        <f>IF(HN90="",0,IFERROR(IF(N(CHOOSE(HN90,FN90,FR90,FV90,FZ90,GD90,GH90,GL90,GP90))&lt;=0.005,0,MAX(0,N(CHOOSE(HN90,FN90,FR90,FV90,FZ90,GD90,GH90,GL90,GP90))+N(CHOOSE(HN90,FO90,FS90,FW90,GA90,GE90,GI90,GM90,GQ90))-MIN(N(CHOOSE(HN90,'Debt List'!$F$5,'Debt List'!$F$6,'Debt List'!$F$7,'Debt List'!$F$8,'Debt List'!$F$9,'Debt List'!$F$10,'Debt List'!$F$11,'Debt List'!$F$12)),N(CHOOSE(HN90,FN90,FR90,FV90,FZ90,GD90,GH90,GL90,GP90))+N(CHOOSE(HN90,FO90,FS90,FW90,GA90,GE90,GI90,GM90,GQ90))))),0))</f>
        <v/>
      </c>
      <c r="HP90">
        <f>MIN(N(HO90),MAX(0,N(HM90)))</f>
        <v/>
      </c>
      <c r="HQ90">
        <f>MAX(0,N(HM90)-N(HP90))</f>
        <v/>
      </c>
      <c r="HR90">
        <f>IFERROR(MATCH(7,OrderAval,0),"")</f>
        <v/>
      </c>
      <c r="HS90">
        <f>IF(HR90="",0,IFERROR(IF(N(CHOOSE(HR90,FN90,FR90,FV90,FZ90,GD90,GH90,GL90,GP90))&lt;=0.005,0,MAX(0,N(CHOOSE(HR90,FN90,FR90,FV90,FZ90,GD90,GH90,GL90,GP90))+N(CHOOSE(HR90,FO90,FS90,FW90,GA90,GE90,GI90,GM90,GQ90))-MIN(N(CHOOSE(HR90,'Debt List'!$F$5,'Debt List'!$F$6,'Debt List'!$F$7,'Debt List'!$F$8,'Debt List'!$F$9,'Debt List'!$F$10,'Debt List'!$F$11,'Debt List'!$F$12)),N(CHOOSE(HR90,FN90,FR90,FV90,FZ90,GD90,GH90,GL90,GP90))+N(CHOOSE(HR90,FO90,FS90,FW90,GA90,GE90,GI90,GM90,GQ90))))),0))</f>
        <v/>
      </c>
      <c r="HT90">
        <f>MIN(N(HS90),MAX(0,N(HQ90)))</f>
        <v/>
      </c>
      <c r="HU90">
        <f>MAX(0,N(HQ90)-N(HT90))</f>
        <v/>
      </c>
      <c r="HV90">
        <f>IFERROR(MATCH(8,OrderAval,0),"")</f>
        <v/>
      </c>
      <c r="HW90">
        <f>IF(HV90="",0,IFERROR(IF(N(CHOOSE(HV90,FN90,FR90,FV90,FZ90,GD90,GH90,GL90,GP90))&lt;=0.005,0,MAX(0,N(CHOOSE(HV90,FN90,FR90,FV90,FZ90,GD90,GH90,GL90,GP90))+N(CHOOSE(HV90,FO90,FS90,FW90,GA90,GE90,GI90,GM90,GQ90))-MIN(N(CHOOSE(HV90,'Debt List'!$F$5,'Debt List'!$F$6,'Debt List'!$F$7,'Debt List'!$F$8,'Debt List'!$F$9,'Debt List'!$F$10,'Debt List'!$F$11,'Debt List'!$F$12)),N(CHOOSE(HV90,FN90,FR90,FV90,FZ90,GD90,GH90,GL90,GP90))+N(CHOOSE(HV90,FO90,FS90,FW90,GA90,GE90,GI90,GM90,GQ90))))),0))</f>
        <v/>
      </c>
      <c r="HX90">
        <f>MIN(N(HW90),MAX(0,N(HU90)))</f>
        <v/>
      </c>
      <c r="HY90">
        <f>MAX(0,N(HU90)-N(HX90))</f>
        <v/>
      </c>
    </row>
    <row r="91">
      <c r="A91" t="n">
        <v>87</v>
      </c>
      <c r="B91" s="115">
        <f>DATE(YEAR(PlanStart),MONTH(PlanStart)+A91-1,1)</f>
        <v/>
      </c>
      <c r="C91">
        <f>IF(AND(AP91&lt;&gt;"",N(CHOOSE(AP91,J91,N91,R91,V91,Z91,AD91,AH91,AL91))&gt;0.005),INDEX(DebtNames,AP91),IF(AND(AT91&lt;&gt;"",N(CHOOSE(AT91,J91,N91,R91,V91,Z91,AD91,AH91,AL91))&gt;0.005),INDEX(DebtNames,AT91),IF(AND(AX91&lt;&gt;"",N(CHOOSE(AX91,J91,N91,R91,V91,Z91,AD91,AH91,AL91))&gt;0.005),INDEX(DebtNames,AX91),IF(AND(BB91&lt;&gt;"",N(CHOOSE(BB91,J91,N91,R91,V91,Z91,AD91,AH91,AL91))&gt;0.005),INDEX(DebtNames,BB91),IF(AND(BF91&lt;&gt;"",N(CHOOSE(BF91,J91,N91,R91,V91,Z91,AD91,AH91,AL91))&gt;0.005),INDEX(DebtNames,BF91),IF(AND(BJ91&lt;&gt;"",N(CHOOSE(BJ91,J91,N91,R91,V91,Z91,AD91,AH91,AL91))&gt;0.005),INDEX(DebtNames,BJ91),IF(AND(BN91&lt;&gt;"",N(CHOOSE(BN91,J91,N91,R91,V91,Z91,AD91,AH91,AL91))&gt;0.005),INDEX(DebtNames,BN91),IF(AND(BR91&lt;&gt;"",N(CHOOSE(BR91,J91,N91,R91,V91,Z91,AD91,AH91,AL91))&gt;0.005),INDEX(DebtNames,BR91),""))))))))</f>
        <v/>
      </c>
      <c r="D91">
        <f>N(BU91)</f>
        <v/>
      </c>
      <c r="E91">
        <f>N(L91)+N(P91)+N(T91)+N(X91)+N(AB91)+N(AF91)+N(AJ91)+N(AN91)</f>
        <v/>
      </c>
      <c r="F91">
        <f>N(K91)+N(O91)+N(S91)+N(W91)+N(AA91)+N(AE91)+N(AI91)+N(AM91)</f>
        <v/>
      </c>
      <c r="G91">
        <f>N(G90)+N(F91)</f>
        <v/>
      </c>
      <c r="H91">
        <f>N(M91)+N(Q91)+N(U91)+N(Y91)+N(AC91)+N(AG91)+N(AK91)+N(AO91)</f>
        <v/>
      </c>
      <c r="I91">
        <f>(M91&gt;0.005)*1+(Q91&gt;0.005)*1+(U91&gt;0.005)*1+(Y91&gt;0.005)*1+(AC91&gt;0.005)*1+(AG91&gt;0.005)*1+(AK91&gt;0.005)*1+(AO91&gt;0.005)*1</f>
        <v/>
      </c>
      <c r="J91">
        <f>N(M90)</f>
        <v/>
      </c>
      <c r="K91">
        <f>IF(N(J91)&lt;=0.005,0,ROUND(N(J91)*N('Debt List'!E5)/12,2))</f>
        <v/>
      </c>
      <c r="L91">
        <f>IF(N(J91)&lt;=0.005,0,MIN(N('Debt List'!F5),N(J91)+N(K91)))+((AP91=1)*AR91+(AT91=1)*AV91+(AX91=1)*AZ91+(BB91=1)*BD91+(BF91=1)*BH91+(BJ91=1)*BL91+(BN91=1)*BP91+(BR91=1)*BT91)</f>
        <v/>
      </c>
      <c r="M91">
        <f>MAX(0,ROUND(N(J91)+N(K91)-N(L91),2))</f>
        <v/>
      </c>
      <c r="N91">
        <f>N(Q90)</f>
        <v/>
      </c>
      <c r="O91">
        <f>IF(N(N91)&lt;=0.005,0,ROUND(N(N91)*N('Debt List'!E6)/12,2))</f>
        <v/>
      </c>
      <c r="P91">
        <f>IF(N(N91)&lt;=0.005,0,MIN(N('Debt List'!F6),N(N91)+N(O91)))+((AP91=2)*AR91+(AT91=2)*AV91+(AX91=2)*AZ91+(BB91=2)*BD91+(BF91=2)*BH91+(BJ91=2)*BL91+(BN91=2)*BP91+(BR91=2)*BT91)</f>
        <v/>
      </c>
      <c r="Q91">
        <f>MAX(0,ROUND(N(N91)+N(O91)-N(P91),2))</f>
        <v/>
      </c>
      <c r="R91">
        <f>N(U90)</f>
        <v/>
      </c>
      <c r="S91">
        <f>IF(N(R91)&lt;=0.005,0,ROUND(N(R91)*N('Debt List'!E7)/12,2))</f>
        <v/>
      </c>
      <c r="T91">
        <f>IF(N(R91)&lt;=0.005,0,MIN(N('Debt List'!F7),N(R91)+N(S91)))+((AP91=3)*AR91+(AT91=3)*AV91+(AX91=3)*AZ91+(BB91=3)*BD91+(BF91=3)*BH91+(BJ91=3)*BL91+(BN91=3)*BP91+(BR91=3)*BT91)</f>
        <v/>
      </c>
      <c r="U91">
        <f>MAX(0,ROUND(N(R91)+N(S91)-N(T91),2))</f>
        <v/>
      </c>
      <c r="V91">
        <f>N(Y90)</f>
        <v/>
      </c>
      <c r="W91">
        <f>IF(N(V91)&lt;=0.005,0,ROUND(N(V91)*N('Debt List'!E8)/12,2))</f>
        <v/>
      </c>
      <c r="X91">
        <f>IF(N(V91)&lt;=0.005,0,MIN(N('Debt List'!F8),N(V91)+N(W91)))+((AP91=4)*AR91+(AT91=4)*AV91+(AX91=4)*AZ91+(BB91=4)*BD91+(BF91=4)*BH91+(BJ91=4)*BL91+(BN91=4)*BP91+(BR91=4)*BT91)</f>
        <v/>
      </c>
      <c r="Y91">
        <f>MAX(0,ROUND(N(V91)+N(W91)-N(X91),2))</f>
        <v/>
      </c>
      <c r="Z91">
        <f>N(AC90)</f>
        <v/>
      </c>
      <c r="AA91">
        <f>IF(N(Z91)&lt;=0.005,0,ROUND(N(Z91)*N('Debt List'!E9)/12,2))</f>
        <v/>
      </c>
      <c r="AB91">
        <f>IF(N(Z91)&lt;=0.005,0,MIN(N('Debt List'!F9),N(Z91)+N(AA91)))+((AP91=5)*AR91+(AT91=5)*AV91+(AX91=5)*AZ91+(BB91=5)*BD91+(BF91=5)*BH91+(BJ91=5)*BL91+(BN91=5)*BP91+(BR91=5)*BT91)</f>
        <v/>
      </c>
      <c r="AC91">
        <f>MAX(0,ROUND(N(Z91)+N(AA91)-N(AB91),2))</f>
        <v/>
      </c>
      <c r="AD91">
        <f>N(AG90)</f>
        <v/>
      </c>
      <c r="AE91">
        <f>IF(N(AD91)&lt;=0.005,0,ROUND(N(AD91)*N('Debt List'!E10)/12,2))</f>
        <v/>
      </c>
      <c r="AF91">
        <f>IF(N(AD91)&lt;=0.005,0,MIN(N('Debt List'!F10),N(AD91)+N(AE91)))+((AP91=6)*AR91+(AT91=6)*AV91+(AX91=6)*AZ91+(BB91=6)*BD91+(BF91=6)*BH91+(BJ91=6)*BL91+(BN91=6)*BP91+(BR91=6)*BT91)</f>
        <v/>
      </c>
      <c r="AG91">
        <f>MAX(0,ROUND(N(AD91)+N(AE91)-N(AF91),2))</f>
        <v/>
      </c>
      <c r="AH91">
        <f>N(AK90)</f>
        <v/>
      </c>
      <c r="AI91">
        <f>IF(N(AH91)&lt;=0.005,0,ROUND(N(AH91)*N('Debt List'!E11)/12,2))</f>
        <v/>
      </c>
      <c r="AJ91">
        <f>IF(N(AH91)&lt;=0.005,0,MIN(N('Debt List'!F11),N(AH91)+N(AI91)))+((AP91=7)*AR91+(AT91=7)*AV91+(AX91=7)*AZ91+(BB91=7)*BD91+(BF91=7)*BH91+(BJ91=7)*BL91+(BN91=7)*BP91+(BR91=7)*BT91)</f>
        <v/>
      </c>
      <c r="AK91">
        <f>MAX(0,ROUND(N(AH91)+N(AI91)-N(AJ91),2))</f>
        <v/>
      </c>
      <c r="AL91">
        <f>N(AO90)</f>
        <v/>
      </c>
      <c r="AM91">
        <f>IF(N(AL91)&lt;=0.005,0,ROUND(N(AL91)*N('Debt List'!E12)/12,2))</f>
        <v/>
      </c>
      <c r="AN91">
        <f>IF(N(AL91)&lt;=0.005,0,MIN(N('Debt List'!F12),N(AL91)+N(AM91)))+((AP91=8)*AR91+(AT91=8)*AV91+(AX91=8)*AZ91+(BB91=8)*BD91+(BF91=8)*BH91+(BJ91=8)*BL91+(BN91=8)*BP91+(BR91=8)*BT91)</f>
        <v/>
      </c>
      <c r="AO91">
        <f>MAX(0,ROUND(N(AL91)+N(AM91)-N(AN91),2))</f>
        <v/>
      </c>
      <c r="AP91">
        <f>IFERROR(MATCH(1,OrderPlan,0),"")</f>
        <v/>
      </c>
      <c r="AQ91">
        <f>IF(AP91="",0,IFERROR(IF(N(CHOOSE(AP91,J91,N91,R91,V91,Z91,AD91,AH91,AL91))&lt;=0.005,0,MAX(0,N(CHOOSE(AP91,J91,N91,R91,V91,Z91,AD91,AH91,AL91))+N(CHOOSE(AP91,K91,O91,S91,W91,AA91,AE91,AI91,AM91))-MIN(N(CHOOSE(AP91,'Debt List'!$F$5,'Debt List'!$F$6,'Debt List'!$F$7,'Debt List'!$F$8,'Debt List'!$F$9,'Debt List'!$F$10,'Debt List'!$F$11,'Debt List'!$F$12)),N(CHOOSE(AP91,J91,N91,R91,V91,Z91,AD91,AH91,AL91))+N(CHOOSE(AP91,K91,O91,S91,W91,AA91,AE91,AI91,AM91))))),0))</f>
        <v/>
      </c>
      <c r="AR91">
        <f>MIN(N(AQ91),MAX(0,N(ExtraPayment)))</f>
        <v/>
      </c>
      <c r="AS91">
        <f>MAX(0,N(ExtraPayment)-N(AR91))</f>
        <v/>
      </c>
      <c r="AT91">
        <f>IFERROR(MATCH(2,OrderPlan,0),"")</f>
        <v/>
      </c>
      <c r="AU91">
        <f>IF(AT91="",0,IFERROR(IF(N(CHOOSE(AT91,J91,N91,R91,V91,Z91,AD91,AH91,AL91))&lt;=0.005,0,MAX(0,N(CHOOSE(AT91,J91,N91,R91,V91,Z91,AD91,AH91,AL91))+N(CHOOSE(AT91,K91,O91,S91,W91,AA91,AE91,AI91,AM91))-MIN(N(CHOOSE(AT91,'Debt List'!$F$5,'Debt List'!$F$6,'Debt List'!$F$7,'Debt List'!$F$8,'Debt List'!$F$9,'Debt List'!$F$10,'Debt List'!$F$11,'Debt List'!$F$12)),N(CHOOSE(AT91,J91,N91,R91,V91,Z91,AD91,AH91,AL91))+N(CHOOSE(AT91,K91,O91,S91,W91,AA91,AE91,AI91,AM91))))),0))</f>
        <v/>
      </c>
      <c r="AV91">
        <f>MIN(N(AU91),MAX(0,N(AS91)))</f>
        <v/>
      </c>
      <c r="AW91">
        <f>MAX(0,N(AS91)-N(AV91))</f>
        <v/>
      </c>
      <c r="AX91">
        <f>IFERROR(MATCH(3,OrderPlan,0),"")</f>
        <v/>
      </c>
      <c r="AY91">
        <f>IF(AX91="",0,IFERROR(IF(N(CHOOSE(AX91,J91,N91,R91,V91,Z91,AD91,AH91,AL91))&lt;=0.005,0,MAX(0,N(CHOOSE(AX91,J91,N91,R91,V91,Z91,AD91,AH91,AL91))+N(CHOOSE(AX91,K91,O91,S91,W91,AA91,AE91,AI91,AM91))-MIN(N(CHOOSE(AX91,'Debt List'!$F$5,'Debt List'!$F$6,'Debt List'!$F$7,'Debt List'!$F$8,'Debt List'!$F$9,'Debt List'!$F$10,'Debt List'!$F$11,'Debt List'!$F$12)),N(CHOOSE(AX91,J91,N91,R91,V91,Z91,AD91,AH91,AL91))+N(CHOOSE(AX91,K91,O91,S91,W91,AA91,AE91,AI91,AM91))))),0))</f>
        <v/>
      </c>
      <c r="AZ91">
        <f>MIN(N(AY91),MAX(0,N(AW91)))</f>
        <v/>
      </c>
      <c r="BA91">
        <f>MAX(0,N(AW91)-N(AZ91))</f>
        <v/>
      </c>
      <c r="BB91">
        <f>IFERROR(MATCH(4,OrderPlan,0),"")</f>
        <v/>
      </c>
      <c r="BC91">
        <f>IF(BB91="",0,IFERROR(IF(N(CHOOSE(BB91,J91,N91,R91,V91,Z91,AD91,AH91,AL91))&lt;=0.005,0,MAX(0,N(CHOOSE(BB91,J91,N91,R91,V91,Z91,AD91,AH91,AL91))+N(CHOOSE(BB91,K91,O91,S91,W91,AA91,AE91,AI91,AM91))-MIN(N(CHOOSE(BB91,'Debt List'!$F$5,'Debt List'!$F$6,'Debt List'!$F$7,'Debt List'!$F$8,'Debt List'!$F$9,'Debt List'!$F$10,'Debt List'!$F$11,'Debt List'!$F$12)),N(CHOOSE(BB91,J91,N91,R91,V91,Z91,AD91,AH91,AL91))+N(CHOOSE(BB91,K91,O91,S91,W91,AA91,AE91,AI91,AM91))))),0))</f>
        <v/>
      </c>
      <c r="BD91">
        <f>MIN(N(BC91),MAX(0,N(BA91)))</f>
        <v/>
      </c>
      <c r="BE91">
        <f>MAX(0,N(BA91)-N(BD91))</f>
        <v/>
      </c>
      <c r="BF91">
        <f>IFERROR(MATCH(5,OrderPlan,0),"")</f>
        <v/>
      </c>
      <c r="BG91">
        <f>IF(BF91="",0,IFERROR(IF(N(CHOOSE(BF91,J91,N91,R91,V91,Z91,AD91,AH91,AL91))&lt;=0.005,0,MAX(0,N(CHOOSE(BF91,J91,N91,R91,V91,Z91,AD91,AH91,AL91))+N(CHOOSE(BF91,K91,O91,S91,W91,AA91,AE91,AI91,AM91))-MIN(N(CHOOSE(BF91,'Debt List'!$F$5,'Debt List'!$F$6,'Debt List'!$F$7,'Debt List'!$F$8,'Debt List'!$F$9,'Debt List'!$F$10,'Debt List'!$F$11,'Debt List'!$F$12)),N(CHOOSE(BF91,J91,N91,R91,V91,Z91,AD91,AH91,AL91))+N(CHOOSE(BF91,K91,O91,S91,W91,AA91,AE91,AI91,AM91))))),0))</f>
        <v/>
      </c>
      <c r="BH91">
        <f>MIN(N(BG91),MAX(0,N(BE91)))</f>
        <v/>
      </c>
      <c r="BI91">
        <f>MAX(0,N(BE91)-N(BH91))</f>
        <v/>
      </c>
      <c r="BJ91">
        <f>IFERROR(MATCH(6,OrderPlan,0),"")</f>
        <v/>
      </c>
      <c r="BK91">
        <f>IF(BJ91="",0,IFERROR(IF(N(CHOOSE(BJ91,J91,N91,R91,V91,Z91,AD91,AH91,AL91))&lt;=0.005,0,MAX(0,N(CHOOSE(BJ91,J91,N91,R91,V91,Z91,AD91,AH91,AL91))+N(CHOOSE(BJ91,K91,O91,S91,W91,AA91,AE91,AI91,AM91))-MIN(N(CHOOSE(BJ91,'Debt List'!$F$5,'Debt List'!$F$6,'Debt List'!$F$7,'Debt List'!$F$8,'Debt List'!$F$9,'Debt List'!$F$10,'Debt List'!$F$11,'Debt List'!$F$12)),N(CHOOSE(BJ91,J91,N91,R91,V91,Z91,AD91,AH91,AL91))+N(CHOOSE(BJ91,K91,O91,S91,W91,AA91,AE91,AI91,AM91))))),0))</f>
        <v/>
      </c>
      <c r="BL91">
        <f>MIN(N(BK91),MAX(0,N(BI91)))</f>
        <v/>
      </c>
      <c r="BM91">
        <f>MAX(0,N(BI91)-N(BL91))</f>
        <v/>
      </c>
      <c r="BN91">
        <f>IFERROR(MATCH(7,OrderPlan,0),"")</f>
        <v/>
      </c>
      <c r="BO91">
        <f>IF(BN91="",0,IFERROR(IF(N(CHOOSE(BN91,J91,N91,R91,V91,Z91,AD91,AH91,AL91))&lt;=0.005,0,MAX(0,N(CHOOSE(BN91,J91,N91,R91,V91,Z91,AD91,AH91,AL91))+N(CHOOSE(BN91,K91,O91,S91,W91,AA91,AE91,AI91,AM91))-MIN(N(CHOOSE(BN91,'Debt List'!$F$5,'Debt List'!$F$6,'Debt List'!$F$7,'Debt List'!$F$8,'Debt List'!$F$9,'Debt List'!$F$10,'Debt List'!$F$11,'Debt List'!$F$12)),N(CHOOSE(BN91,J91,N91,R91,V91,Z91,AD91,AH91,AL91))+N(CHOOSE(BN91,K91,O91,S91,W91,AA91,AE91,AI91,AM91))))),0))</f>
        <v/>
      </c>
      <c r="BP91">
        <f>MIN(N(BO91),MAX(0,N(BM91)))</f>
        <v/>
      </c>
      <c r="BQ91">
        <f>MAX(0,N(BM91)-N(BP91))</f>
        <v/>
      </c>
      <c r="BR91">
        <f>IFERROR(MATCH(8,OrderPlan,0),"")</f>
        <v/>
      </c>
      <c r="BS91">
        <f>IF(BR91="",0,IFERROR(IF(N(CHOOSE(BR91,J91,N91,R91,V91,Z91,AD91,AH91,AL91))&lt;=0.005,0,MAX(0,N(CHOOSE(BR91,J91,N91,R91,V91,Z91,AD91,AH91,AL91))+N(CHOOSE(BR91,K91,O91,S91,W91,AA91,AE91,AI91,AM91))-MIN(N(CHOOSE(BR91,'Debt List'!$F$5,'Debt List'!$F$6,'Debt List'!$F$7,'Debt List'!$F$8,'Debt List'!$F$9,'Debt List'!$F$10,'Debt List'!$F$11,'Debt List'!$F$12)),N(CHOOSE(BR91,J91,N91,R91,V91,Z91,AD91,AH91,AL91))+N(CHOOSE(BR91,K91,O91,S91,W91,AA91,AE91,AI91,AM91))))),0))</f>
        <v/>
      </c>
      <c r="BT91">
        <f>MIN(N(BS91),MAX(0,N(BQ91)))</f>
        <v/>
      </c>
      <c r="BU91">
        <f>MAX(0,N(BQ91)-N(BT91))</f>
        <v/>
      </c>
      <c r="CC91" t="n">
        <v>87</v>
      </c>
      <c r="CD91" s="115">
        <f>DATE(YEAR(PlanStart),MONTH(PlanStart)+CC91-1,1)</f>
        <v/>
      </c>
      <c r="CE91">
        <f>IF(AND(DR91&lt;&gt;"",N(CHOOSE(DR91,CL91,CP91,CT91,CX91,DB91,DF91,DJ91,DN91))&gt;0.005),INDEX(DebtNames,DR91),IF(AND(DV91&lt;&gt;"",N(CHOOSE(DV91,CL91,CP91,CT91,CX91,DB91,DF91,DJ91,DN91))&gt;0.005),INDEX(DebtNames,DV91),IF(AND(DZ91&lt;&gt;"",N(CHOOSE(DZ91,CL91,CP91,CT91,CX91,DB91,DF91,DJ91,DN91))&gt;0.005),INDEX(DebtNames,DZ91),IF(AND(ED91&lt;&gt;"",N(CHOOSE(ED91,CL91,CP91,CT91,CX91,DB91,DF91,DJ91,DN91))&gt;0.005),INDEX(DebtNames,ED91),IF(AND(EH91&lt;&gt;"",N(CHOOSE(EH91,CL91,CP91,CT91,CX91,DB91,DF91,DJ91,DN91))&gt;0.005),INDEX(DebtNames,EH91),IF(AND(EL91&lt;&gt;"",N(CHOOSE(EL91,CL91,CP91,CT91,CX91,DB91,DF91,DJ91,DN91))&gt;0.005),INDEX(DebtNames,EL91),IF(AND(EP91&lt;&gt;"",N(CHOOSE(EP91,CL91,CP91,CT91,CX91,DB91,DF91,DJ91,DN91))&gt;0.005),INDEX(DebtNames,EP91),IF(AND(ET91&lt;&gt;"",N(CHOOSE(ET91,CL91,CP91,CT91,CX91,DB91,DF91,DJ91,DN91))&gt;0.005),INDEX(DebtNames,ET91),""))))))))</f>
        <v/>
      </c>
      <c r="CF91">
        <f>N(EW91)</f>
        <v/>
      </c>
      <c r="CG91">
        <f>N(CN91)+N(CR91)+N(CV91)+N(CZ91)+N(DD91)+N(DH91)+N(DL91)+N(DP91)</f>
        <v/>
      </c>
      <c r="CH91">
        <f>N(CM91)+N(CQ91)+N(CU91)+N(CY91)+N(DC91)+N(DG91)+N(DK91)+N(DO91)</f>
        <v/>
      </c>
      <c r="CI91">
        <f>N(CI90)+N(CH91)</f>
        <v/>
      </c>
      <c r="CJ91">
        <f>N(CO91)+N(CS91)+N(CW91)+N(DA91)+N(DE91)+N(DI91)+N(DM91)+N(DQ91)</f>
        <v/>
      </c>
      <c r="CK91">
        <f>(CO91&gt;0.005)*1+(CS91&gt;0.005)*1+(CW91&gt;0.005)*1+(DA91&gt;0.005)*1+(DE91&gt;0.005)*1+(DI91&gt;0.005)*1+(DM91&gt;0.005)*1+(DQ91&gt;0.005)*1</f>
        <v/>
      </c>
      <c r="CL91">
        <f>N(CO90)</f>
        <v/>
      </c>
      <c r="CM91">
        <f>IF(N(CL91)&lt;=0.005,0,ROUND(N(CL91)*N('Debt List'!E5)/12,2))</f>
        <v/>
      </c>
      <c r="CN91">
        <f>IF(N(CL91)&lt;=0.005,0,MIN(N('Debt List'!F5),N(CL91)+N(CM91)))+((DR91=1)*DT91+(DV91=1)*DX91+(DZ91=1)*EB91+(ED91=1)*EF91+(EH91=1)*EJ91+(EL91=1)*EN91+(EP91=1)*ER91+(ET91=1)*EV91)</f>
        <v/>
      </c>
      <c r="CO91">
        <f>MAX(0,ROUND(N(CL91)+N(CM91)-N(CN91),2))</f>
        <v/>
      </c>
      <c r="CP91">
        <f>N(CS90)</f>
        <v/>
      </c>
      <c r="CQ91">
        <f>IF(N(CP91)&lt;=0.005,0,ROUND(N(CP91)*N('Debt List'!E6)/12,2))</f>
        <v/>
      </c>
      <c r="CR91">
        <f>IF(N(CP91)&lt;=0.005,0,MIN(N('Debt List'!F6),N(CP91)+N(CQ91)))+((DR91=2)*DT91+(DV91=2)*DX91+(DZ91=2)*EB91+(ED91=2)*EF91+(EH91=2)*EJ91+(EL91=2)*EN91+(EP91=2)*ER91+(ET91=2)*EV91)</f>
        <v/>
      </c>
      <c r="CS91">
        <f>MAX(0,ROUND(N(CP91)+N(CQ91)-N(CR91),2))</f>
        <v/>
      </c>
      <c r="CT91">
        <f>N(CW90)</f>
        <v/>
      </c>
      <c r="CU91">
        <f>IF(N(CT91)&lt;=0.005,0,ROUND(N(CT91)*N('Debt List'!E7)/12,2))</f>
        <v/>
      </c>
      <c r="CV91">
        <f>IF(N(CT91)&lt;=0.005,0,MIN(N('Debt List'!F7),N(CT91)+N(CU91)))+((DR91=3)*DT91+(DV91=3)*DX91+(DZ91=3)*EB91+(ED91=3)*EF91+(EH91=3)*EJ91+(EL91=3)*EN91+(EP91=3)*ER91+(ET91=3)*EV91)</f>
        <v/>
      </c>
      <c r="CW91">
        <f>MAX(0,ROUND(N(CT91)+N(CU91)-N(CV91),2))</f>
        <v/>
      </c>
      <c r="CX91">
        <f>N(DA90)</f>
        <v/>
      </c>
      <c r="CY91">
        <f>IF(N(CX91)&lt;=0.005,0,ROUND(N(CX91)*N('Debt List'!E8)/12,2))</f>
        <v/>
      </c>
      <c r="CZ91">
        <f>IF(N(CX91)&lt;=0.005,0,MIN(N('Debt List'!F8),N(CX91)+N(CY91)))+((DR91=4)*DT91+(DV91=4)*DX91+(DZ91=4)*EB91+(ED91=4)*EF91+(EH91=4)*EJ91+(EL91=4)*EN91+(EP91=4)*ER91+(ET91=4)*EV91)</f>
        <v/>
      </c>
      <c r="DA91">
        <f>MAX(0,ROUND(N(CX91)+N(CY91)-N(CZ91),2))</f>
        <v/>
      </c>
      <c r="DB91">
        <f>N(DE90)</f>
        <v/>
      </c>
      <c r="DC91">
        <f>IF(N(DB91)&lt;=0.005,0,ROUND(N(DB91)*N('Debt List'!E9)/12,2))</f>
        <v/>
      </c>
      <c r="DD91">
        <f>IF(N(DB91)&lt;=0.005,0,MIN(N('Debt List'!F9),N(DB91)+N(DC91)))+((DR91=5)*DT91+(DV91=5)*DX91+(DZ91=5)*EB91+(ED91=5)*EF91+(EH91=5)*EJ91+(EL91=5)*EN91+(EP91=5)*ER91+(ET91=5)*EV91)</f>
        <v/>
      </c>
      <c r="DE91">
        <f>MAX(0,ROUND(N(DB91)+N(DC91)-N(DD91),2))</f>
        <v/>
      </c>
      <c r="DF91">
        <f>N(DI90)</f>
        <v/>
      </c>
      <c r="DG91">
        <f>IF(N(DF91)&lt;=0.005,0,ROUND(N(DF91)*N('Debt List'!E10)/12,2))</f>
        <v/>
      </c>
      <c r="DH91">
        <f>IF(N(DF91)&lt;=0.005,0,MIN(N('Debt List'!F10),N(DF91)+N(DG91)))+((DR91=6)*DT91+(DV91=6)*DX91+(DZ91=6)*EB91+(ED91=6)*EF91+(EH91=6)*EJ91+(EL91=6)*EN91+(EP91=6)*ER91+(ET91=6)*EV91)</f>
        <v/>
      </c>
      <c r="DI91">
        <f>MAX(0,ROUND(N(DF91)+N(DG91)-N(DH91),2))</f>
        <v/>
      </c>
      <c r="DJ91">
        <f>N(DM90)</f>
        <v/>
      </c>
      <c r="DK91">
        <f>IF(N(DJ91)&lt;=0.005,0,ROUND(N(DJ91)*N('Debt List'!E11)/12,2))</f>
        <v/>
      </c>
      <c r="DL91">
        <f>IF(N(DJ91)&lt;=0.005,0,MIN(N('Debt List'!F11),N(DJ91)+N(DK91)))+((DR91=7)*DT91+(DV91=7)*DX91+(DZ91=7)*EB91+(ED91=7)*EF91+(EH91=7)*EJ91+(EL91=7)*EN91+(EP91=7)*ER91+(ET91=7)*EV91)</f>
        <v/>
      </c>
      <c r="DM91">
        <f>MAX(0,ROUND(N(DJ91)+N(DK91)-N(DL91),2))</f>
        <v/>
      </c>
      <c r="DN91">
        <f>N(DQ90)</f>
        <v/>
      </c>
      <c r="DO91">
        <f>IF(N(DN91)&lt;=0.005,0,ROUND(N(DN91)*N('Debt List'!E12)/12,2))</f>
        <v/>
      </c>
      <c r="DP91">
        <f>IF(N(DN91)&lt;=0.005,0,MIN(N('Debt List'!F12),N(DN91)+N(DO91)))+((DR91=8)*DT91+(DV91=8)*DX91+(DZ91=8)*EB91+(ED91=8)*EF91+(EH91=8)*EJ91+(EL91=8)*EN91+(EP91=8)*ER91+(ET91=8)*EV91)</f>
        <v/>
      </c>
      <c r="DQ91">
        <f>MAX(0,ROUND(N(DN91)+N(DO91)-N(DP91),2))</f>
        <v/>
      </c>
      <c r="DR91">
        <f>IFERROR(MATCH(1,OrderSnow,0),"")</f>
        <v/>
      </c>
      <c r="DS91">
        <f>IF(DR91="",0,IFERROR(IF(N(CHOOSE(DR91,CL91,CP91,CT91,CX91,DB91,DF91,DJ91,DN91))&lt;=0.005,0,MAX(0,N(CHOOSE(DR91,CL91,CP91,CT91,CX91,DB91,DF91,DJ91,DN91))+N(CHOOSE(DR91,CM91,CQ91,CU91,CY91,DC91,DG91,DK91,DO91))-MIN(N(CHOOSE(DR91,'Debt List'!$F$5,'Debt List'!$F$6,'Debt List'!$F$7,'Debt List'!$F$8,'Debt List'!$F$9,'Debt List'!$F$10,'Debt List'!$F$11,'Debt List'!$F$12)),N(CHOOSE(DR91,CL91,CP91,CT91,CX91,DB91,DF91,DJ91,DN91))+N(CHOOSE(DR91,CM91,CQ91,CU91,CY91,DC91,DG91,DK91,DO91))))),0))</f>
        <v/>
      </c>
      <c r="DT91">
        <f>MIN(N(DS91),MAX(0,N(ExtraPayment)))</f>
        <v/>
      </c>
      <c r="DU91">
        <f>MAX(0,N(ExtraPayment)-N(DT91))</f>
        <v/>
      </c>
      <c r="DV91">
        <f>IFERROR(MATCH(2,OrderSnow,0),"")</f>
        <v/>
      </c>
      <c r="DW91">
        <f>IF(DV91="",0,IFERROR(IF(N(CHOOSE(DV91,CL91,CP91,CT91,CX91,DB91,DF91,DJ91,DN91))&lt;=0.005,0,MAX(0,N(CHOOSE(DV91,CL91,CP91,CT91,CX91,DB91,DF91,DJ91,DN91))+N(CHOOSE(DV91,CM91,CQ91,CU91,CY91,DC91,DG91,DK91,DO91))-MIN(N(CHOOSE(DV91,'Debt List'!$F$5,'Debt List'!$F$6,'Debt List'!$F$7,'Debt List'!$F$8,'Debt List'!$F$9,'Debt List'!$F$10,'Debt List'!$F$11,'Debt List'!$F$12)),N(CHOOSE(DV91,CL91,CP91,CT91,CX91,DB91,DF91,DJ91,DN91))+N(CHOOSE(DV91,CM91,CQ91,CU91,CY91,DC91,DG91,DK91,DO91))))),0))</f>
        <v/>
      </c>
      <c r="DX91">
        <f>MIN(N(DW91),MAX(0,N(DU91)))</f>
        <v/>
      </c>
      <c r="DY91">
        <f>MAX(0,N(DU91)-N(DX91))</f>
        <v/>
      </c>
      <c r="DZ91">
        <f>IFERROR(MATCH(3,OrderSnow,0),"")</f>
        <v/>
      </c>
      <c r="EA91">
        <f>IF(DZ91="",0,IFERROR(IF(N(CHOOSE(DZ91,CL91,CP91,CT91,CX91,DB91,DF91,DJ91,DN91))&lt;=0.005,0,MAX(0,N(CHOOSE(DZ91,CL91,CP91,CT91,CX91,DB91,DF91,DJ91,DN91))+N(CHOOSE(DZ91,CM91,CQ91,CU91,CY91,DC91,DG91,DK91,DO91))-MIN(N(CHOOSE(DZ91,'Debt List'!$F$5,'Debt List'!$F$6,'Debt List'!$F$7,'Debt List'!$F$8,'Debt List'!$F$9,'Debt List'!$F$10,'Debt List'!$F$11,'Debt List'!$F$12)),N(CHOOSE(DZ91,CL91,CP91,CT91,CX91,DB91,DF91,DJ91,DN91))+N(CHOOSE(DZ91,CM91,CQ91,CU91,CY91,DC91,DG91,DK91,DO91))))),0))</f>
        <v/>
      </c>
      <c r="EB91">
        <f>MIN(N(EA91),MAX(0,N(DY91)))</f>
        <v/>
      </c>
      <c r="EC91">
        <f>MAX(0,N(DY91)-N(EB91))</f>
        <v/>
      </c>
      <c r="ED91">
        <f>IFERROR(MATCH(4,OrderSnow,0),"")</f>
        <v/>
      </c>
      <c r="EE91">
        <f>IF(ED91="",0,IFERROR(IF(N(CHOOSE(ED91,CL91,CP91,CT91,CX91,DB91,DF91,DJ91,DN91))&lt;=0.005,0,MAX(0,N(CHOOSE(ED91,CL91,CP91,CT91,CX91,DB91,DF91,DJ91,DN91))+N(CHOOSE(ED91,CM91,CQ91,CU91,CY91,DC91,DG91,DK91,DO91))-MIN(N(CHOOSE(ED91,'Debt List'!$F$5,'Debt List'!$F$6,'Debt List'!$F$7,'Debt List'!$F$8,'Debt List'!$F$9,'Debt List'!$F$10,'Debt List'!$F$11,'Debt List'!$F$12)),N(CHOOSE(ED91,CL91,CP91,CT91,CX91,DB91,DF91,DJ91,DN91))+N(CHOOSE(ED91,CM91,CQ91,CU91,CY91,DC91,DG91,DK91,DO91))))),0))</f>
        <v/>
      </c>
      <c r="EF91">
        <f>MIN(N(EE91),MAX(0,N(EC91)))</f>
        <v/>
      </c>
      <c r="EG91">
        <f>MAX(0,N(EC91)-N(EF91))</f>
        <v/>
      </c>
      <c r="EH91">
        <f>IFERROR(MATCH(5,OrderSnow,0),"")</f>
        <v/>
      </c>
      <c r="EI91">
        <f>IF(EH91="",0,IFERROR(IF(N(CHOOSE(EH91,CL91,CP91,CT91,CX91,DB91,DF91,DJ91,DN91))&lt;=0.005,0,MAX(0,N(CHOOSE(EH91,CL91,CP91,CT91,CX91,DB91,DF91,DJ91,DN91))+N(CHOOSE(EH91,CM91,CQ91,CU91,CY91,DC91,DG91,DK91,DO91))-MIN(N(CHOOSE(EH91,'Debt List'!$F$5,'Debt List'!$F$6,'Debt List'!$F$7,'Debt List'!$F$8,'Debt List'!$F$9,'Debt List'!$F$10,'Debt List'!$F$11,'Debt List'!$F$12)),N(CHOOSE(EH91,CL91,CP91,CT91,CX91,DB91,DF91,DJ91,DN91))+N(CHOOSE(EH91,CM91,CQ91,CU91,CY91,DC91,DG91,DK91,DO91))))),0))</f>
        <v/>
      </c>
      <c r="EJ91">
        <f>MIN(N(EI91),MAX(0,N(EG91)))</f>
        <v/>
      </c>
      <c r="EK91">
        <f>MAX(0,N(EG91)-N(EJ91))</f>
        <v/>
      </c>
      <c r="EL91">
        <f>IFERROR(MATCH(6,OrderSnow,0),"")</f>
        <v/>
      </c>
      <c r="EM91">
        <f>IF(EL91="",0,IFERROR(IF(N(CHOOSE(EL91,CL91,CP91,CT91,CX91,DB91,DF91,DJ91,DN91))&lt;=0.005,0,MAX(0,N(CHOOSE(EL91,CL91,CP91,CT91,CX91,DB91,DF91,DJ91,DN91))+N(CHOOSE(EL91,CM91,CQ91,CU91,CY91,DC91,DG91,DK91,DO91))-MIN(N(CHOOSE(EL91,'Debt List'!$F$5,'Debt List'!$F$6,'Debt List'!$F$7,'Debt List'!$F$8,'Debt List'!$F$9,'Debt List'!$F$10,'Debt List'!$F$11,'Debt List'!$F$12)),N(CHOOSE(EL91,CL91,CP91,CT91,CX91,DB91,DF91,DJ91,DN91))+N(CHOOSE(EL91,CM91,CQ91,CU91,CY91,DC91,DG91,DK91,DO91))))),0))</f>
        <v/>
      </c>
      <c r="EN91">
        <f>MIN(N(EM91),MAX(0,N(EK91)))</f>
        <v/>
      </c>
      <c r="EO91">
        <f>MAX(0,N(EK91)-N(EN91))</f>
        <v/>
      </c>
      <c r="EP91">
        <f>IFERROR(MATCH(7,OrderSnow,0),"")</f>
        <v/>
      </c>
      <c r="EQ91">
        <f>IF(EP91="",0,IFERROR(IF(N(CHOOSE(EP91,CL91,CP91,CT91,CX91,DB91,DF91,DJ91,DN91))&lt;=0.005,0,MAX(0,N(CHOOSE(EP91,CL91,CP91,CT91,CX91,DB91,DF91,DJ91,DN91))+N(CHOOSE(EP91,CM91,CQ91,CU91,CY91,DC91,DG91,DK91,DO91))-MIN(N(CHOOSE(EP91,'Debt List'!$F$5,'Debt List'!$F$6,'Debt List'!$F$7,'Debt List'!$F$8,'Debt List'!$F$9,'Debt List'!$F$10,'Debt List'!$F$11,'Debt List'!$F$12)),N(CHOOSE(EP91,CL91,CP91,CT91,CX91,DB91,DF91,DJ91,DN91))+N(CHOOSE(EP91,CM91,CQ91,CU91,CY91,DC91,DG91,DK91,DO91))))),0))</f>
        <v/>
      </c>
      <c r="ER91">
        <f>MIN(N(EQ91),MAX(0,N(EO91)))</f>
        <v/>
      </c>
      <c r="ES91">
        <f>MAX(0,N(EO91)-N(ER91))</f>
        <v/>
      </c>
      <c r="ET91">
        <f>IFERROR(MATCH(8,OrderSnow,0),"")</f>
        <v/>
      </c>
      <c r="EU91">
        <f>IF(ET91="",0,IFERROR(IF(N(CHOOSE(ET91,CL91,CP91,CT91,CX91,DB91,DF91,DJ91,DN91))&lt;=0.005,0,MAX(0,N(CHOOSE(ET91,CL91,CP91,CT91,CX91,DB91,DF91,DJ91,DN91))+N(CHOOSE(ET91,CM91,CQ91,CU91,CY91,DC91,DG91,DK91,DO91))-MIN(N(CHOOSE(ET91,'Debt List'!$F$5,'Debt List'!$F$6,'Debt List'!$F$7,'Debt List'!$F$8,'Debt List'!$F$9,'Debt List'!$F$10,'Debt List'!$F$11,'Debt List'!$F$12)),N(CHOOSE(ET91,CL91,CP91,CT91,CX91,DB91,DF91,DJ91,DN91))+N(CHOOSE(ET91,CM91,CQ91,CU91,CY91,DC91,DG91,DK91,DO91))))),0))</f>
        <v/>
      </c>
      <c r="EV91">
        <f>MIN(N(EU91),MAX(0,N(ES91)))</f>
        <v/>
      </c>
      <c r="EW91">
        <f>MAX(0,N(ES91)-N(EV91))</f>
        <v/>
      </c>
      <c r="FE91" t="n">
        <v>87</v>
      </c>
      <c r="FF91" s="115">
        <f>DATE(YEAR(PlanStart),MONTH(PlanStart)+FE91-1,1)</f>
        <v/>
      </c>
      <c r="FG91">
        <f>IF(AND(GT91&lt;&gt;"",N(CHOOSE(GT91,FN91,FR91,FV91,FZ91,GD91,GH91,GL91,GP91))&gt;0.005),INDEX(DebtNames,GT91),IF(AND(GX91&lt;&gt;"",N(CHOOSE(GX91,FN91,FR91,FV91,FZ91,GD91,GH91,GL91,GP91))&gt;0.005),INDEX(DebtNames,GX91),IF(AND(HB91&lt;&gt;"",N(CHOOSE(HB91,FN91,FR91,FV91,FZ91,GD91,GH91,GL91,GP91))&gt;0.005),INDEX(DebtNames,HB91),IF(AND(HF91&lt;&gt;"",N(CHOOSE(HF91,FN91,FR91,FV91,FZ91,GD91,GH91,GL91,GP91))&gt;0.005),INDEX(DebtNames,HF91),IF(AND(HJ91&lt;&gt;"",N(CHOOSE(HJ91,FN91,FR91,FV91,FZ91,GD91,GH91,GL91,GP91))&gt;0.005),INDEX(DebtNames,HJ91),IF(AND(HN91&lt;&gt;"",N(CHOOSE(HN91,FN91,FR91,FV91,FZ91,GD91,GH91,GL91,GP91))&gt;0.005),INDEX(DebtNames,HN91),IF(AND(HR91&lt;&gt;"",N(CHOOSE(HR91,FN91,FR91,FV91,FZ91,GD91,GH91,GL91,GP91))&gt;0.005),INDEX(DebtNames,HR91),IF(AND(HV91&lt;&gt;"",N(CHOOSE(HV91,FN91,FR91,FV91,FZ91,GD91,GH91,GL91,GP91))&gt;0.005),INDEX(DebtNames,HV91),""))))))))</f>
        <v/>
      </c>
      <c r="FH91">
        <f>N(HY91)</f>
        <v/>
      </c>
      <c r="FI91">
        <f>N(FP91)+N(FT91)+N(FX91)+N(GB91)+N(GF91)+N(GJ91)+N(GN91)+N(GR91)</f>
        <v/>
      </c>
      <c r="FJ91">
        <f>N(FO91)+N(FS91)+N(FW91)+N(GA91)+N(GE91)+N(GI91)+N(GM91)+N(GQ91)</f>
        <v/>
      </c>
      <c r="FK91">
        <f>N(FK90)+N(FJ91)</f>
        <v/>
      </c>
      <c r="FL91">
        <f>N(FQ91)+N(FU91)+N(FY91)+N(GC91)+N(GG91)+N(GK91)+N(GO91)+N(GS91)</f>
        <v/>
      </c>
      <c r="FM91">
        <f>(FQ91&gt;0.005)*1+(FU91&gt;0.005)*1+(FY91&gt;0.005)*1+(GC91&gt;0.005)*1+(GG91&gt;0.005)*1+(GK91&gt;0.005)*1+(GO91&gt;0.005)*1+(GS91&gt;0.005)*1</f>
        <v/>
      </c>
      <c r="FN91">
        <f>N(FQ90)</f>
        <v/>
      </c>
      <c r="FO91">
        <f>IF(N(FN91)&lt;=0.005,0,ROUND(N(FN91)*N('Debt List'!E5)/12,2))</f>
        <v/>
      </c>
      <c r="FP91">
        <f>IF(N(FN91)&lt;=0.005,0,MIN(N('Debt List'!F5),N(FN91)+N(FO91)))+((GT91=1)*GV91+(GX91=1)*GZ91+(HB91=1)*HD91+(HF91=1)*HH91+(HJ91=1)*HL91+(HN91=1)*HP91+(HR91=1)*HT91+(HV91=1)*HX91)</f>
        <v/>
      </c>
      <c r="FQ91">
        <f>MAX(0,ROUND(N(FN91)+N(FO91)-N(FP91),2))</f>
        <v/>
      </c>
      <c r="FR91">
        <f>N(FU90)</f>
        <v/>
      </c>
      <c r="FS91">
        <f>IF(N(FR91)&lt;=0.005,0,ROUND(N(FR91)*N('Debt List'!E6)/12,2))</f>
        <v/>
      </c>
      <c r="FT91">
        <f>IF(N(FR91)&lt;=0.005,0,MIN(N('Debt List'!F6),N(FR91)+N(FS91)))+((GT91=2)*GV91+(GX91=2)*GZ91+(HB91=2)*HD91+(HF91=2)*HH91+(HJ91=2)*HL91+(HN91=2)*HP91+(HR91=2)*HT91+(HV91=2)*HX91)</f>
        <v/>
      </c>
      <c r="FU91">
        <f>MAX(0,ROUND(N(FR91)+N(FS91)-N(FT91),2))</f>
        <v/>
      </c>
      <c r="FV91">
        <f>N(FY90)</f>
        <v/>
      </c>
      <c r="FW91">
        <f>IF(N(FV91)&lt;=0.005,0,ROUND(N(FV91)*N('Debt List'!E7)/12,2))</f>
        <v/>
      </c>
      <c r="FX91">
        <f>IF(N(FV91)&lt;=0.005,0,MIN(N('Debt List'!F7),N(FV91)+N(FW91)))+((GT91=3)*GV91+(GX91=3)*GZ91+(HB91=3)*HD91+(HF91=3)*HH91+(HJ91=3)*HL91+(HN91=3)*HP91+(HR91=3)*HT91+(HV91=3)*HX91)</f>
        <v/>
      </c>
      <c r="FY91">
        <f>MAX(0,ROUND(N(FV91)+N(FW91)-N(FX91),2))</f>
        <v/>
      </c>
      <c r="FZ91">
        <f>N(GC90)</f>
        <v/>
      </c>
      <c r="GA91">
        <f>IF(N(FZ91)&lt;=0.005,0,ROUND(N(FZ91)*N('Debt List'!E8)/12,2))</f>
        <v/>
      </c>
      <c r="GB91">
        <f>IF(N(FZ91)&lt;=0.005,0,MIN(N('Debt List'!F8),N(FZ91)+N(GA91)))+((GT91=4)*GV91+(GX91=4)*GZ91+(HB91=4)*HD91+(HF91=4)*HH91+(HJ91=4)*HL91+(HN91=4)*HP91+(HR91=4)*HT91+(HV91=4)*HX91)</f>
        <v/>
      </c>
      <c r="GC91">
        <f>MAX(0,ROUND(N(FZ91)+N(GA91)-N(GB91),2))</f>
        <v/>
      </c>
      <c r="GD91">
        <f>N(GG90)</f>
        <v/>
      </c>
      <c r="GE91">
        <f>IF(N(GD91)&lt;=0.005,0,ROUND(N(GD91)*N('Debt List'!E9)/12,2))</f>
        <v/>
      </c>
      <c r="GF91">
        <f>IF(N(GD91)&lt;=0.005,0,MIN(N('Debt List'!F9),N(GD91)+N(GE91)))+((GT91=5)*GV91+(GX91=5)*GZ91+(HB91=5)*HD91+(HF91=5)*HH91+(HJ91=5)*HL91+(HN91=5)*HP91+(HR91=5)*HT91+(HV91=5)*HX91)</f>
        <v/>
      </c>
      <c r="GG91">
        <f>MAX(0,ROUND(N(GD91)+N(GE91)-N(GF91),2))</f>
        <v/>
      </c>
      <c r="GH91">
        <f>N(GK90)</f>
        <v/>
      </c>
      <c r="GI91">
        <f>IF(N(GH91)&lt;=0.005,0,ROUND(N(GH91)*N('Debt List'!E10)/12,2))</f>
        <v/>
      </c>
      <c r="GJ91">
        <f>IF(N(GH91)&lt;=0.005,0,MIN(N('Debt List'!F10),N(GH91)+N(GI91)))+((GT91=6)*GV91+(GX91=6)*GZ91+(HB91=6)*HD91+(HF91=6)*HH91+(HJ91=6)*HL91+(HN91=6)*HP91+(HR91=6)*HT91+(HV91=6)*HX91)</f>
        <v/>
      </c>
      <c r="GK91">
        <f>MAX(0,ROUND(N(GH91)+N(GI91)-N(GJ91),2))</f>
        <v/>
      </c>
      <c r="GL91">
        <f>N(GO90)</f>
        <v/>
      </c>
      <c r="GM91">
        <f>IF(N(GL91)&lt;=0.005,0,ROUND(N(GL91)*N('Debt List'!E11)/12,2))</f>
        <v/>
      </c>
      <c r="GN91">
        <f>IF(N(GL91)&lt;=0.005,0,MIN(N('Debt List'!F11),N(GL91)+N(GM91)))+((GT91=7)*GV91+(GX91=7)*GZ91+(HB91=7)*HD91+(HF91=7)*HH91+(HJ91=7)*HL91+(HN91=7)*HP91+(HR91=7)*HT91+(HV91=7)*HX91)</f>
        <v/>
      </c>
      <c r="GO91">
        <f>MAX(0,ROUND(N(GL91)+N(GM91)-N(GN91),2))</f>
        <v/>
      </c>
      <c r="GP91">
        <f>N(GS90)</f>
        <v/>
      </c>
      <c r="GQ91">
        <f>IF(N(GP91)&lt;=0.005,0,ROUND(N(GP91)*N('Debt List'!E12)/12,2))</f>
        <v/>
      </c>
      <c r="GR91">
        <f>IF(N(GP91)&lt;=0.005,0,MIN(N('Debt List'!F12),N(GP91)+N(GQ91)))+((GT91=8)*GV91+(GX91=8)*GZ91+(HB91=8)*HD91+(HF91=8)*HH91+(HJ91=8)*HL91+(HN91=8)*HP91+(HR91=8)*HT91+(HV91=8)*HX91)</f>
        <v/>
      </c>
      <c r="GS91">
        <f>MAX(0,ROUND(N(GP91)+N(GQ91)-N(GR91),2))</f>
        <v/>
      </c>
      <c r="GT91">
        <f>IFERROR(MATCH(1,OrderAval,0),"")</f>
        <v/>
      </c>
      <c r="GU91">
        <f>IF(GT91="",0,IFERROR(IF(N(CHOOSE(GT91,FN91,FR91,FV91,FZ91,GD91,GH91,GL91,GP91))&lt;=0.005,0,MAX(0,N(CHOOSE(GT91,FN91,FR91,FV91,FZ91,GD91,GH91,GL91,GP91))+N(CHOOSE(GT91,FO91,FS91,FW91,GA91,GE91,GI91,GM91,GQ91))-MIN(N(CHOOSE(GT91,'Debt List'!$F$5,'Debt List'!$F$6,'Debt List'!$F$7,'Debt List'!$F$8,'Debt List'!$F$9,'Debt List'!$F$10,'Debt List'!$F$11,'Debt List'!$F$12)),N(CHOOSE(GT91,FN91,FR91,FV91,FZ91,GD91,GH91,GL91,GP91))+N(CHOOSE(GT91,FO91,FS91,FW91,GA91,GE91,GI91,GM91,GQ91))))),0))</f>
        <v/>
      </c>
      <c r="GV91">
        <f>MIN(N(GU91),MAX(0,N(ExtraPayment)))</f>
        <v/>
      </c>
      <c r="GW91">
        <f>MAX(0,N(ExtraPayment)-N(GV91))</f>
        <v/>
      </c>
      <c r="GX91">
        <f>IFERROR(MATCH(2,OrderAval,0),"")</f>
        <v/>
      </c>
      <c r="GY91">
        <f>IF(GX91="",0,IFERROR(IF(N(CHOOSE(GX91,FN91,FR91,FV91,FZ91,GD91,GH91,GL91,GP91))&lt;=0.005,0,MAX(0,N(CHOOSE(GX91,FN91,FR91,FV91,FZ91,GD91,GH91,GL91,GP91))+N(CHOOSE(GX91,FO91,FS91,FW91,GA91,GE91,GI91,GM91,GQ91))-MIN(N(CHOOSE(GX91,'Debt List'!$F$5,'Debt List'!$F$6,'Debt List'!$F$7,'Debt List'!$F$8,'Debt List'!$F$9,'Debt List'!$F$10,'Debt List'!$F$11,'Debt List'!$F$12)),N(CHOOSE(GX91,FN91,FR91,FV91,FZ91,GD91,GH91,GL91,GP91))+N(CHOOSE(GX91,FO91,FS91,FW91,GA91,GE91,GI91,GM91,GQ91))))),0))</f>
        <v/>
      </c>
      <c r="GZ91">
        <f>MIN(N(GY91),MAX(0,N(GW91)))</f>
        <v/>
      </c>
      <c r="HA91">
        <f>MAX(0,N(GW91)-N(GZ91))</f>
        <v/>
      </c>
      <c r="HB91">
        <f>IFERROR(MATCH(3,OrderAval,0),"")</f>
        <v/>
      </c>
      <c r="HC91">
        <f>IF(HB91="",0,IFERROR(IF(N(CHOOSE(HB91,FN91,FR91,FV91,FZ91,GD91,GH91,GL91,GP91))&lt;=0.005,0,MAX(0,N(CHOOSE(HB91,FN91,FR91,FV91,FZ91,GD91,GH91,GL91,GP91))+N(CHOOSE(HB91,FO91,FS91,FW91,GA91,GE91,GI91,GM91,GQ91))-MIN(N(CHOOSE(HB91,'Debt List'!$F$5,'Debt List'!$F$6,'Debt List'!$F$7,'Debt List'!$F$8,'Debt List'!$F$9,'Debt List'!$F$10,'Debt List'!$F$11,'Debt List'!$F$12)),N(CHOOSE(HB91,FN91,FR91,FV91,FZ91,GD91,GH91,GL91,GP91))+N(CHOOSE(HB91,FO91,FS91,FW91,GA91,GE91,GI91,GM91,GQ91))))),0))</f>
        <v/>
      </c>
      <c r="HD91">
        <f>MIN(N(HC91),MAX(0,N(HA91)))</f>
        <v/>
      </c>
      <c r="HE91">
        <f>MAX(0,N(HA91)-N(HD91))</f>
        <v/>
      </c>
      <c r="HF91">
        <f>IFERROR(MATCH(4,OrderAval,0),"")</f>
        <v/>
      </c>
      <c r="HG91">
        <f>IF(HF91="",0,IFERROR(IF(N(CHOOSE(HF91,FN91,FR91,FV91,FZ91,GD91,GH91,GL91,GP91))&lt;=0.005,0,MAX(0,N(CHOOSE(HF91,FN91,FR91,FV91,FZ91,GD91,GH91,GL91,GP91))+N(CHOOSE(HF91,FO91,FS91,FW91,GA91,GE91,GI91,GM91,GQ91))-MIN(N(CHOOSE(HF91,'Debt List'!$F$5,'Debt List'!$F$6,'Debt List'!$F$7,'Debt List'!$F$8,'Debt List'!$F$9,'Debt List'!$F$10,'Debt List'!$F$11,'Debt List'!$F$12)),N(CHOOSE(HF91,FN91,FR91,FV91,FZ91,GD91,GH91,GL91,GP91))+N(CHOOSE(HF91,FO91,FS91,FW91,GA91,GE91,GI91,GM91,GQ91))))),0))</f>
        <v/>
      </c>
      <c r="HH91">
        <f>MIN(N(HG91),MAX(0,N(HE91)))</f>
        <v/>
      </c>
      <c r="HI91">
        <f>MAX(0,N(HE91)-N(HH91))</f>
        <v/>
      </c>
      <c r="HJ91">
        <f>IFERROR(MATCH(5,OrderAval,0),"")</f>
        <v/>
      </c>
      <c r="HK91">
        <f>IF(HJ91="",0,IFERROR(IF(N(CHOOSE(HJ91,FN91,FR91,FV91,FZ91,GD91,GH91,GL91,GP91))&lt;=0.005,0,MAX(0,N(CHOOSE(HJ91,FN91,FR91,FV91,FZ91,GD91,GH91,GL91,GP91))+N(CHOOSE(HJ91,FO91,FS91,FW91,GA91,GE91,GI91,GM91,GQ91))-MIN(N(CHOOSE(HJ91,'Debt List'!$F$5,'Debt List'!$F$6,'Debt List'!$F$7,'Debt List'!$F$8,'Debt List'!$F$9,'Debt List'!$F$10,'Debt List'!$F$11,'Debt List'!$F$12)),N(CHOOSE(HJ91,FN91,FR91,FV91,FZ91,GD91,GH91,GL91,GP91))+N(CHOOSE(HJ91,FO91,FS91,FW91,GA91,GE91,GI91,GM91,GQ91))))),0))</f>
        <v/>
      </c>
      <c r="HL91">
        <f>MIN(N(HK91),MAX(0,N(HI91)))</f>
        <v/>
      </c>
      <c r="HM91">
        <f>MAX(0,N(HI91)-N(HL91))</f>
        <v/>
      </c>
      <c r="HN91">
        <f>IFERROR(MATCH(6,OrderAval,0),"")</f>
        <v/>
      </c>
      <c r="HO91">
        <f>IF(HN91="",0,IFERROR(IF(N(CHOOSE(HN91,FN91,FR91,FV91,FZ91,GD91,GH91,GL91,GP91))&lt;=0.005,0,MAX(0,N(CHOOSE(HN91,FN91,FR91,FV91,FZ91,GD91,GH91,GL91,GP91))+N(CHOOSE(HN91,FO91,FS91,FW91,GA91,GE91,GI91,GM91,GQ91))-MIN(N(CHOOSE(HN91,'Debt List'!$F$5,'Debt List'!$F$6,'Debt List'!$F$7,'Debt List'!$F$8,'Debt List'!$F$9,'Debt List'!$F$10,'Debt List'!$F$11,'Debt List'!$F$12)),N(CHOOSE(HN91,FN91,FR91,FV91,FZ91,GD91,GH91,GL91,GP91))+N(CHOOSE(HN91,FO91,FS91,FW91,GA91,GE91,GI91,GM91,GQ91))))),0))</f>
        <v/>
      </c>
      <c r="HP91">
        <f>MIN(N(HO91),MAX(0,N(HM91)))</f>
        <v/>
      </c>
      <c r="HQ91">
        <f>MAX(0,N(HM91)-N(HP91))</f>
        <v/>
      </c>
      <c r="HR91">
        <f>IFERROR(MATCH(7,OrderAval,0),"")</f>
        <v/>
      </c>
      <c r="HS91">
        <f>IF(HR91="",0,IFERROR(IF(N(CHOOSE(HR91,FN91,FR91,FV91,FZ91,GD91,GH91,GL91,GP91))&lt;=0.005,0,MAX(0,N(CHOOSE(HR91,FN91,FR91,FV91,FZ91,GD91,GH91,GL91,GP91))+N(CHOOSE(HR91,FO91,FS91,FW91,GA91,GE91,GI91,GM91,GQ91))-MIN(N(CHOOSE(HR91,'Debt List'!$F$5,'Debt List'!$F$6,'Debt List'!$F$7,'Debt List'!$F$8,'Debt List'!$F$9,'Debt List'!$F$10,'Debt List'!$F$11,'Debt List'!$F$12)),N(CHOOSE(HR91,FN91,FR91,FV91,FZ91,GD91,GH91,GL91,GP91))+N(CHOOSE(HR91,FO91,FS91,FW91,GA91,GE91,GI91,GM91,GQ91))))),0))</f>
        <v/>
      </c>
      <c r="HT91">
        <f>MIN(N(HS91),MAX(0,N(HQ91)))</f>
        <v/>
      </c>
      <c r="HU91">
        <f>MAX(0,N(HQ91)-N(HT91))</f>
        <v/>
      </c>
      <c r="HV91">
        <f>IFERROR(MATCH(8,OrderAval,0),"")</f>
        <v/>
      </c>
      <c r="HW91">
        <f>IF(HV91="",0,IFERROR(IF(N(CHOOSE(HV91,FN91,FR91,FV91,FZ91,GD91,GH91,GL91,GP91))&lt;=0.005,0,MAX(0,N(CHOOSE(HV91,FN91,FR91,FV91,FZ91,GD91,GH91,GL91,GP91))+N(CHOOSE(HV91,FO91,FS91,FW91,GA91,GE91,GI91,GM91,GQ91))-MIN(N(CHOOSE(HV91,'Debt List'!$F$5,'Debt List'!$F$6,'Debt List'!$F$7,'Debt List'!$F$8,'Debt List'!$F$9,'Debt List'!$F$10,'Debt List'!$F$11,'Debt List'!$F$12)),N(CHOOSE(HV91,FN91,FR91,FV91,FZ91,GD91,GH91,GL91,GP91))+N(CHOOSE(HV91,FO91,FS91,FW91,GA91,GE91,GI91,GM91,GQ91))))),0))</f>
        <v/>
      </c>
      <c r="HX91">
        <f>MIN(N(HW91),MAX(0,N(HU91)))</f>
        <v/>
      </c>
      <c r="HY91">
        <f>MAX(0,N(HU91)-N(HX91))</f>
        <v/>
      </c>
    </row>
    <row r="92">
      <c r="A92" t="n">
        <v>88</v>
      </c>
      <c r="B92" s="115">
        <f>DATE(YEAR(PlanStart),MONTH(PlanStart)+A92-1,1)</f>
        <v/>
      </c>
      <c r="C92">
        <f>IF(AND(AP92&lt;&gt;"",N(CHOOSE(AP92,J92,N92,R92,V92,Z92,AD92,AH92,AL92))&gt;0.005),INDEX(DebtNames,AP92),IF(AND(AT92&lt;&gt;"",N(CHOOSE(AT92,J92,N92,R92,V92,Z92,AD92,AH92,AL92))&gt;0.005),INDEX(DebtNames,AT92),IF(AND(AX92&lt;&gt;"",N(CHOOSE(AX92,J92,N92,R92,V92,Z92,AD92,AH92,AL92))&gt;0.005),INDEX(DebtNames,AX92),IF(AND(BB92&lt;&gt;"",N(CHOOSE(BB92,J92,N92,R92,V92,Z92,AD92,AH92,AL92))&gt;0.005),INDEX(DebtNames,BB92),IF(AND(BF92&lt;&gt;"",N(CHOOSE(BF92,J92,N92,R92,V92,Z92,AD92,AH92,AL92))&gt;0.005),INDEX(DebtNames,BF92),IF(AND(BJ92&lt;&gt;"",N(CHOOSE(BJ92,J92,N92,R92,V92,Z92,AD92,AH92,AL92))&gt;0.005),INDEX(DebtNames,BJ92),IF(AND(BN92&lt;&gt;"",N(CHOOSE(BN92,J92,N92,R92,V92,Z92,AD92,AH92,AL92))&gt;0.005),INDEX(DebtNames,BN92),IF(AND(BR92&lt;&gt;"",N(CHOOSE(BR92,J92,N92,R92,V92,Z92,AD92,AH92,AL92))&gt;0.005),INDEX(DebtNames,BR92),""))))))))</f>
        <v/>
      </c>
      <c r="D92">
        <f>N(BU92)</f>
        <v/>
      </c>
      <c r="E92">
        <f>N(L92)+N(P92)+N(T92)+N(X92)+N(AB92)+N(AF92)+N(AJ92)+N(AN92)</f>
        <v/>
      </c>
      <c r="F92">
        <f>N(K92)+N(O92)+N(S92)+N(W92)+N(AA92)+N(AE92)+N(AI92)+N(AM92)</f>
        <v/>
      </c>
      <c r="G92">
        <f>N(G91)+N(F92)</f>
        <v/>
      </c>
      <c r="H92">
        <f>N(M92)+N(Q92)+N(U92)+N(Y92)+N(AC92)+N(AG92)+N(AK92)+N(AO92)</f>
        <v/>
      </c>
      <c r="I92">
        <f>(M92&gt;0.005)*1+(Q92&gt;0.005)*1+(U92&gt;0.005)*1+(Y92&gt;0.005)*1+(AC92&gt;0.005)*1+(AG92&gt;0.005)*1+(AK92&gt;0.005)*1+(AO92&gt;0.005)*1</f>
        <v/>
      </c>
      <c r="J92">
        <f>N(M91)</f>
        <v/>
      </c>
      <c r="K92">
        <f>IF(N(J92)&lt;=0.005,0,ROUND(N(J92)*N('Debt List'!E5)/12,2))</f>
        <v/>
      </c>
      <c r="L92">
        <f>IF(N(J92)&lt;=0.005,0,MIN(N('Debt List'!F5),N(J92)+N(K92)))+((AP92=1)*AR92+(AT92=1)*AV92+(AX92=1)*AZ92+(BB92=1)*BD92+(BF92=1)*BH92+(BJ92=1)*BL92+(BN92=1)*BP92+(BR92=1)*BT92)</f>
        <v/>
      </c>
      <c r="M92">
        <f>MAX(0,ROUND(N(J92)+N(K92)-N(L92),2))</f>
        <v/>
      </c>
      <c r="N92">
        <f>N(Q91)</f>
        <v/>
      </c>
      <c r="O92">
        <f>IF(N(N92)&lt;=0.005,0,ROUND(N(N92)*N('Debt List'!E6)/12,2))</f>
        <v/>
      </c>
      <c r="P92">
        <f>IF(N(N92)&lt;=0.005,0,MIN(N('Debt List'!F6),N(N92)+N(O92)))+((AP92=2)*AR92+(AT92=2)*AV92+(AX92=2)*AZ92+(BB92=2)*BD92+(BF92=2)*BH92+(BJ92=2)*BL92+(BN92=2)*BP92+(BR92=2)*BT92)</f>
        <v/>
      </c>
      <c r="Q92">
        <f>MAX(0,ROUND(N(N92)+N(O92)-N(P92),2))</f>
        <v/>
      </c>
      <c r="R92">
        <f>N(U91)</f>
        <v/>
      </c>
      <c r="S92">
        <f>IF(N(R92)&lt;=0.005,0,ROUND(N(R92)*N('Debt List'!E7)/12,2))</f>
        <v/>
      </c>
      <c r="T92">
        <f>IF(N(R92)&lt;=0.005,0,MIN(N('Debt List'!F7),N(R92)+N(S92)))+((AP92=3)*AR92+(AT92=3)*AV92+(AX92=3)*AZ92+(BB92=3)*BD92+(BF92=3)*BH92+(BJ92=3)*BL92+(BN92=3)*BP92+(BR92=3)*BT92)</f>
        <v/>
      </c>
      <c r="U92">
        <f>MAX(0,ROUND(N(R92)+N(S92)-N(T92),2))</f>
        <v/>
      </c>
      <c r="V92">
        <f>N(Y91)</f>
        <v/>
      </c>
      <c r="W92">
        <f>IF(N(V92)&lt;=0.005,0,ROUND(N(V92)*N('Debt List'!E8)/12,2))</f>
        <v/>
      </c>
      <c r="X92">
        <f>IF(N(V92)&lt;=0.005,0,MIN(N('Debt List'!F8),N(V92)+N(W92)))+((AP92=4)*AR92+(AT92=4)*AV92+(AX92=4)*AZ92+(BB92=4)*BD92+(BF92=4)*BH92+(BJ92=4)*BL92+(BN92=4)*BP92+(BR92=4)*BT92)</f>
        <v/>
      </c>
      <c r="Y92">
        <f>MAX(0,ROUND(N(V92)+N(W92)-N(X92),2))</f>
        <v/>
      </c>
      <c r="Z92">
        <f>N(AC91)</f>
        <v/>
      </c>
      <c r="AA92">
        <f>IF(N(Z92)&lt;=0.005,0,ROUND(N(Z92)*N('Debt List'!E9)/12,2))</f>
        <v/>
      </c>
      <c r="AB92">
        <f>IF(N(Z92)&lt;=0.005,0,MIN(N('Debt List'!F9),N(Z92)+N(AA92)))+((AP92=5)*AR92+(AT92=5)*AV92+(AX92=5)*AZ92+(BB92=5)*BD92+(BF92=5)*BH92+(BJ92=5)*BL92+(BN92=5)*BP92+(BR92=5)*BT92)</f>
        <v/>
      </c>
      <c r="AC92">
        <f>MAX(0,ROUND(N(Z92)+N(AA92)-N(AB92),2))</f>
        <v/>
      </c>
      <c r="AD92">
        <f>N(AG91)</f>
        <v/>
      </c>
      <c r="AE92">
        <f>IF(N(AD92)&lt;=0.005,0,ROUND(N(AD92)*N('Debt List'!E10)/12,2))</f>
        <v/>
      </c>
      <c r="AF92">
        <f>IF(N(AD92)&lt;=0.005,0,MIN(N('Debt List'!F10),N(AD92)+N(AE92)))+((AP92=6)*AR92+(AT92=6)*AV92+(AX92=6)*AZ92+(BB92=6)*BD92+(BF92=6)*BH92+(BJ92=6)*BL92+(BN92=6)*BP92+(BR92=6)*BT92)</f>
        <v/>
      </c>
      <c r="AG92">
        <f>MAX(0,ROUND(N(AD92)+N(AE92)-N(AF92),2))</f>
        <v/>
      </c>
      <c r="AH92">
        <f>N(AK91)</f>
        <v/>
      </c>
      <c r="AI92">
        <f>IF(N(AH92)&lt;=0.005,0,ROUND(N(AH92)*N('Debt List'!E11)/12,2))</f>
        <v/>
      </c>
      <c r="AJ92">
        <f>IF(N(AH92)&lt;=0.005,0,MIN(N('Debt List'!F11),N(AH92)+N(AI92)))+((AP92=7)*AR92+(AT92=7)*AV92+(AX92=7)*AZ92+(BB92=7)*BD92+(BF92=7)*BH92+(BJ92=7)*BL92+(BN92=7)*BP92+(BR92=7)*BT92)</f>
        <v/>
      </c>
      <c r="AK92">
        <f>MAX(0,ROUND(N(AH92)+N(AI92)-N(AJ92),2))</f>
        <v/>
      </c>
      <c r="AL92">
        <f>N(AO91)</f>
        <v/>
      </c>
      <c r="AM92">
        <f>IF(N(AL92)&lt;=0.005,0,ROUND(N(AL92)*N('Debt List'!E12)/12,2))</f>
        <v/>
      </c>
      <c r="AN92">
        <f>IF(N(AL92)&lt;=0.005,0,MIN(N('Debt List'!F12),N(AL92)+N(AM92)))+((AP92=8)*AR92+(AT92=8)*AV92+(AX92=8)*AZ92+(BB92=8)*BD92+(BF92=8)*BH92+(BJ92=8)*BL92+(BN92=8)*BP92+(BR92=8)*BT92)</f>
        <v/>
      </c>
      <c r="AO92">
        <f>MAX(0,ROUND(N(AL92)+N(AM92)-N(AN92),2))</f>
        <v/>
      </c>
      <c r="AP92">
        <f>IFERROR(MATCH(1,OrderPlan,0),"")</f>
        <v/>
      </c>
      <c r="AQ92">
        <f>IF(AP92="",0,IFERROR(IF(N(CHOOSE(AP92,J92,N92,R92,V92,Z92,AD92,AH92,AL92))&lt;=0.005,0,MAX(0,N(CHOOSE(AP92,J92,N92,R92,V92,Z92,AD92,AH92,AL92))+N(CHOOSE(AP92,K92,O92,S92,W92,AA92,AE92,AI92,AM92))-MIN(N(CHOOSE(AP92,'Debt List'!$F$5,'Debt List'!$F$6,'Debt List'!$F$7,'Debt List'!$F$8,'Debt List'!$F$9,'Debt List'!$F$10,'Debt List'!$F$11,'Debt List'!$F$12)),N(CHOOSE(AP92,J92,N92,R92,V92,Z92,AD92,AH92,AL92))+N(CHOOSE(AP92,K92,O92,S92,W92,AA92,AE92,AI92,AM92))))),0))</f>
        <v/>
      </c>
      <c r="AR92">
        <f>MIN(N(AQ92),MAX(0,N(ExtraPayment)))</f>
        <v/>
      </c>
      <c r="AS92">
        <f>MAX(0,N(ExtraPayment)-N(AR92))</f>
        <v/>
      </c>
      <c r="AT92">
        <f>IFERROR(MATCH(2,OrderPlan,0),"")</f>
        <v/>
      </c>
      <c r="AU92">
        <f>IF(AT92="",0,IFERROR(IF(N(CHOOSE(AT92,J92,N92,R92,V92,Z92,AD92,AH92,AL92))&lt;=0.005,0,MAX(0,N(CHOOSE(AT92,J92,N92,R92,V92,Z92,AD92,AH92,AL92))+N(CHOOSE(AT92,K92,O92,S92,W92,AA92,AE92,AI92,AM92))-MIN(N(CHOOSE(AT92,'Debt List'!$F$5,'Debt List'!$F$6,'Debt List'!$F$7,'Debt List'!$F$8,'Debt List'!$F$9,'Debt List'!$F$10,'Debt List'!$F$11,'Debt List'!$F$12)),N(CHOOSE(AT92,J92,N92,R92,V92,Z92,AD92,AH92,AL92))+N(CHOOSE(AT92,K92,O92,S92,W92,AA92,AE92,AI92,AM92))))),0))</f>
        <v/>
      </c>
      <c r="AV92">
        <f>MIN(N(AU92),MAX(0,N(AS92)))</f>
        <v/>
      </c>
      <c r="AW92">
        <f>MAX(0,N(AS92)-N(AV92))</f>
        <v/>
      </c>
      <c r="AX92">
        <f>IFERROR(MATCH(3,OrderPlan,0),"")</f>
        <v/>
      </c>
      <c r="AY92">
        <f>IF(AX92="",0,IFERROR(IF(N(CHOOSE(AX92,J92,N92,R92,V92,Z92,AD92,AH92,AL92))&lt;=0.005,0,MAX(0,N(CHOOSE(AX92,J92,N92,R92,V92,Z92,AD92,AH92,AL92))+N(CHOOSE(AX92,K92,O92,S92,W92,AA92,AE92,AI92,AM92))-MIN(N(CHOOSE(AX92,'Debt List'!$F$5,'Debt List'!$F$6,'Debt List'!$F$7,'Debt List'!$F$8,'Debt List'!$F$9,'Debt List'!$F$10,'Debt List'!$F$11,'Debt List'!$F$12)),N(CHOOSE(AX92,J92,N92,R92,V92,Z92,AD92,AH92,AL92))+N(CHOOSE(AX92,K92,O92,S92,W92,AA92,AE92,AI92,AM92))))),0))</f>
        <v/>
      </c>
      <c r="AZ92">
        <f>MIN(N(AY92),MAX(0,N(AW92)))</f>
        <v/>
      </c>
      <c r="BA92">
        <f>MAX(0,N(AW92)-N(AZ92))</f>
        <v/>
      </c>
      <c r="BB92">
        <f>IFERROR(MATCH(4,OrderPlan,0),"")</f>
        <v/>
      </c>
      <c r="BC92">
        <f>IF(BB92="",0,IFERROR(IF(N(CHOOSE(BB92,J92,N92,R92,V92,Z92,AD92,AH92,AL92))&lt;=0.005,0,MAX(0,N(CHOOSE(BB92,J92,N92,R92,V92,Z92,AD92,AH92,AL92))+N(CHOOSE(BB92,K92,O92,S92,W92,AA92,AE92,AI92,AM92))-MIN(N(CHOOSE(BB92,'Debt List'!$F$5,'Debt List'!$F$6,'Debt List'!$F$7,'Debt List'!$F$8,'Debt List'!$F$9,'Debt List'!$F$10,'Debt List'!$F$11,'Debt List'!$F$12)),N(CHOOSE(BB92,J92,N92,R92,V92,Z92,AD92,AH92,AL92))+N(CHOOSE(BB92,K92,O92,S92,W92,AA92,AE92,AI92,AM92))))),0))</f>
        <v/>
      </c>
      <c r="BD92">
        <f>MIN(N(BC92),MAX(0,N(BA92)))</f>
        <v/>
      </c>
      <c r="BE92">
        <f>MAX(0,N(BA92)-N(BD92))</f>
        <v/>
      </c>
      <c r="BF92">
        <f>IFERROR(MATCH(5,OrderPlan,0),"")</f>
        <v/>
      </c>
      <c r="BG92">
        <f>IF(BF92="",0,IFERROR(IF(N(CHOOSE(BF92,J92,N92,R92,V92,Z92,AD92,AH92,AL92))&lt;=0.005,0,MAX(0,N(CHOOSE(BF92,J92,N92,R92,V92,Z92,AD92,AH92,AL92))+N(CHOOSE(BF92,K92,O92,S92,W92,AA92,AE92,AI92,AM92))-MIN(N(CHOOSE(BF92,'Debt List'!$F$5,'Debt List'!$F$6,'Debt List'!$F$7,'Debt List'!$F$8,'Debt List'!$F$9,'Debt List'!$F$10,'Debt List'!$F$11,'Debt List'!$F$12)),N(CHOOSE(BF92,J92,N92,R92,V92,Z92,AD92,AH92,AL92))+N(CHOOSE(BF92,K92,O92,S92,W92,AA92,AE92,AI92,AM92))))),0))</f>
        <v/>
      </c>
      <c r="BH92">
        <f>MIN(N(BG92),MAX(0,N(BE92)))</f>
        <v/>
      </c>
      <c r="BI92">
        <f>MAX(0,N(BE92)-N(BH92))</f>
        <v/>
      </c>
      <c r="BJ92">
        <f>IFERROR(MATCH(6,OrderPlan,0),"")</f>
        <v/>
      </c>
      <c r="BK92">
        <f>IF(BJ92="",0,IFERROR(IF(N(CHOOSE(BJ92,J92,N92,R92,V92,Z92,AD92,AH92,AL92))&lt;=0.005,0,MAX(0,N(CHOOSE(BJ92,J92,N92,R92,V92,Z92,AD92,AH92,AL92))+N(CHOOSE(BJ92,K92,O92,S92,W92,AA92,AE92,AI92,AM92))-MIN(N(CHOOSE(BJ92,'Debt List'!$F$5,'Debt List'!$F$6,'Debt List'!$F$7,'Debt List'!$F$8,'Debt List'!$F$9,'Debt List'!$F$10,'Debt List'!$F$11,'Debt List'!$F$12)),N(CHOOSE(BJ92,J92,N92,R92,V92,Z92,AD92,AH92,AL92))+N(CHOOSE(BJ92,K92,O92,S92,W92,AA92,AE92,AI92,AM92))))),0))</f>
        <v/>
      </c>
      <c r="BL92">
        <f>MIN(N(BK92),MAX(0,N(BI92)))</f>
        <v/>
      </c>
      <c r="BM92">
        <f>MAX(0,N(BI92)-N(BL92))</f>
        <v/>
      </c>
      <c r="BN92">
        <f>IFERROR(MATCH(7,OrderPlan,0),"")</f>
        <v/>
      </c>
      <c r="BO92">
        <f>IF(BN92="",0,IFERROR(IF(N(CHOOSE(BN92,J92,N92,R92,V92,Z92,AD92,AH92,AL92))&lt;=0.005,0,MAX(0,N(CHOOSE(BN92,J92,N92,R92,V92,Z92,AD92,AH92,AL92))+N(CHOOSE(BN92,K92,O92,S92,W92,AA92,AE92,AI92,AM92))-MIN(N(CHOOSE(BN92,'Debt List'!$F$5,'Debt List'!$F$6,'Debt List'!$F$7,'Debt List'!$F$8,'Debt List'!$F$9,'Debt List'!$F$10,'Debt List'!$F$11,'Debt List'!$F$12)),N(CHOOSE(BN92,J92,N92,R92,V92,Z92,AD92,AH92,AL92))+N(CHOOSE(BN92,K92,O92,S92,W92,AA92,AE92,AI92,AM92))))),0))</f>
        <v/>
      </c>
      <c r="BP92">
        <f>MIN(N(BO92),MAX(0,N(BM92)))</f>
        <v/>
      </c>
      <c r="BQ92">
        <f>MAX(0,N(BM92)-N(BP92))</f>
        <v/>
      </c>
      <c r="BR92">
        <f>IFERROR(MATCH(8,OrderPlan,0),"")</f>
        <v/>
      </c>
      <c r="BS92">
        <f>IF(BR92="",0,IFERROR(IF(N(CHOOSE(BR92,J92,N92,R92,V92,Z92,AD92,AH92,AL92))&lt;=0.005,0,MAX(0,N(CHOOSE(BR92,J92,N92,R92,V92,Z92,AD92,AH92,AL92))+N(CHOOSE(BR92,K92,O92,S92,W92,AA92,AE92,AI92,AM92))-MIN(N(CHOOSE(BR92,'Debt List'!$F$5,'Debt List'!$F$6,'Debt List'!$F$7,'Debt List'!$F$8,'Debt List'!$F$9,'Debt List'!$F$10,'Debt List'!$F$11,'Debt List'!$F$12)),N(CHOOSE(BR92,J92,N92,R92,V92,Z92,AD92,AH92,AL92))+N(CHOOSE(BR92,K92,O92,S92,W92,AA92,AE92,AI92,AM92))))),0))</f>
        <v/>
      </c>
      <c r="BT92">
        <f>MIN(N(BS92),MAX(0,N(BQ92)))</f>
        <v/>
      </c>
      <c r="BU92">
        <f>MAX(0,N(BQ92)-N(BT92))</f>
        <v/>
      </c>
      <c r="CC92" t="n">
        <v>88</v>
      </c>
      <c r="CD92" s="115">
        <f>DATE(YEAR(PlanStart),MONTH(PlanStart)+CC92-1,1)</f>
        <v/>
      </c>
      <c r="CE92">
        <f>IF(AND(DR92&lt;&gt;"",N(CHOOSE(DR92,CL92,CP92,CT92,CX92,DB92,DF92,DJ92,DN92))&gt;0.005),INDEX(DebtNames,DR92),IF(AND(DV92&lt;&gt;"",N(CHOOSE(DV92,CL92,CP92,CT92,CX92,DB92,DF92,DJ92,DN92))&gt;0.005),INDEX(DebtNames,DV92),IF(AND(DZ92&lt;&gt;"",N(CHOOSE(DZ92,CL92,CP92,CT92,CX92,DB92,DF92,DJ92,DN92))&gt;0.005),INDEX(DebtNames,DZ92),IF(AND(ED92&lt;&gt;"",N(CHOOSE(ED92,CL92,CP92,CT92,CX92,DB92,DF92,DJ92,DN92))&gt;0.005),INDEX(DebtNames,ED92),IF(AND(EH92&lt;&gt;"",N(CHOOSE(EH92,CL92,CP92,CT92,CX92,DB92,DF92,DJ92,DN92))&gt;0.005),INDEX(DebtNames,EH92),IF(AND(EL92&lt;&gt;"",N(CHOOSE(EL92,CL92,CP92,CT92,CX92,DB92,DF92,DJ92,DN92))&gt;0.005),INDEX(DebtNames,EL92),IF(AND(EP92&lt;&gt;"",N(CHOOSE(EP92,CL92,CP92,CT92,CX92,DB92,DF92,DJ92,DN92))&gt;0.005),INDEX(DebtNames,EP92),IF(AND(ET92&lt;&gt;"",N(CHOOSE(ET92,CL92,CP92,CT92,CX92,DB92,DF92,DJ92,DN92))&gt;0.005),INDEX(DebtNames,ET92),""))))))))</f>
        <v/>
      </c>
      <c r="CF92">
        <f>N(EW92)</f>
        <v/>
      </c>
      <c r="CG92">
        <f>N(CN92)+N(CR92)+N(CV92)+N(CZ92)+N(DD92)+N(DH92)+N(DL92)+N(DP92)</f>
        <v/>
      </c>
      <c r="CH92">
        <f>N(CM92)+N(CQ92)+N(CU92)+N(CY92)+N(DC92)+N(DG92)+N(DK92)+N(DO92)</f>
        <v/>
      </c>
      <c r="CI92">
        <f>N(CI91)+N(CH92)</f>
        <v/>
      </c>
      <c r="CJ92">
        <f>N(CO92)+N(CS92)+N(CW92)+N(DA92)+N(DE92)+N(DI92)+N(DM92)+N(DQ92)</f>
        <v/>
      </c>
      <c r="CK92">
        <f>(CO92&gt;0.005)*1+(CS92&gt;0.005)*1+(CW92&gt;0.005)*1+(DA92&gt;0.005)*1+(DE92&gt;0.005)*1+(DI92&gt;0.005)*1+(DM92&gt;0.005)*1+(DQ92&gt;0.005)*1</f>
        <v/>
      </c>
      <c r="CL92">
        <f>N(CO91)</f>
        <v/>
      </c>
      <c r="CM92">
        <f>IF(N(CL92)&lt;=0.005,0,ROUND(N(CL92)*N('Debt List'!E5)/12,2))</f>
        <v/>
      </c>
      <c r="CN92">
        <f>IF(N(CL92)&lt;=0.005,0,MIN(N('Debt List'!F5),N(CL92)+N(CM92)))+((DR92=1)*DT92+(DV92=1)*DX92+(DZ92=1)*EB92+(ED92=1)*EF92+(EH92=1)*EJ92+(EL92=1)*EN92+(EP92=1)*ER92+(ET92=1)*EV92)</f>
        <v/>
      </c>
      <c r="CO92">
        <f>MAX(0,ROUND(N(CL92)+N(CM92)-N(CN92),2))</f>
        <v/>
      </c>
      <c r="CP92">
        <f>N(CS91)</f>
        <v/>
      </c>
      <c r="CQ92">
        <f>IF(N(CP92)&lt;=0.005,0,ROUND(N(CP92)*N('Debt List'!E6)/12,2))</f>
        <v/>
      </c>
      <c r="CR92">
        <f>IF(N(CP92)&lt;=0.005,0,MIN(N('Debt List'!F6),N(CP92)+N(CQ92)))+((DR92=2)*DT92+(DV92=2)*DX92+(DZ92=2)*EB92+(ED92=2)*EF92+(EH92=2)*EJ92+(EL92=2)*EN92+(EP92=2)*ER92+(ET92=2)*EV92)</f>
        <v/>
      </c>
      <c r="CS92">
        <f>MAX(0,ROUND(N(CP92)+N(CQ92)-N(CR92),2))</f>
        <v/>
      </c>
      <c r="CT92">
        <f>N(CW91)</f>
        <v/>
      </c>
      <c r="CU92">
        <f>IF(N(CT92)&lt;=0.005,0,ROUND(N(CT92)*N('Debt List'!E7)/12,2))</f>
        <v/>
      </c>
      <c r="CV92">
        <f>IF(N(CT92)&lt;=0.005,0,MIN(N('Debt List'!F7),N(CT92)+N(CU92)))+((DR92=3)*DT92+(DV92=3)*DX92+(DZ92=3)*EB92+(ED92=3)*EF92+(EH92=3)*EJ92+(EL92=3)*EN92+(EP92=3)*ER92+(ET92=3)*EV92)</f>
        <v/>
      </c>
      <c r="CW92">
        <f>MAX(0,ROUND(N(CT92)+N(CU92)-N(CV92),2))</f>
        <v/>
      </c>
      <c r="CX92">
        <f>N(DA91)</f>
        <v/>
      </c>
      <c r="CY92">
        <f>IF(N(CX92)&lt;=0.005,0,ROUND(N(CX92)*N('Debt List'!E8)/12,2))</f>
        <v/>
      </c>
      <c r="CZ92">
        <f>IF(N(CX92)&lt;=0.005,0,MIN(N('Debt List'!F8),N(CX92)+N(CY92)))+((DR92=4)*DT92+(DV92=4)*DX92+(DZ92=4)*EB92+(ED92=4)*EF92+(EH92=4)*EJ92+(EL92=4)*EN92+(EP92=4)*ER92+(ET92=4)*EV92)</f>
        <v/>
      </c>
      <c r="DA92">
        <f>MAX(0,ROUND(N(CX92)+N(CY92)-N(CZ92),2))</f>
        <v/>
      </c>
      <c r="DB92">
        <f>N(DE91)</f>
        <v/>
      </c>
      <c r="DC92">
        <f>IF(N(DB92)&lt;=0.005,0,ROUND(N(DB92)*N('Debt List'!E9)/12,2))</f>
        <v/>
      </c>
      <c r="DD92">
        <f>IF(N(DB92)&lt;=0.005,0,MIN(N('Debt List'!F9),N(DB92)+N(DC92)))+((DR92=5)*DT92+(DV92=5)*DX92+(DZ92=5)*EB92+(ED92=5)*EF92+(EH92=5)*EJ92+(EL92=5)*EN92+(EP92=5)*ER92+(ET92=5)*EV92)</f>
        <v/>
      </c>
      <c r="DE92">
        <f>MAX(0,ROUND(N(DB92)+N(DC92)-N(DD92),2))</f>
        <v/>
      </c>
      <c r="DF92">
        <f>N(DI91)</f>
        <v/>
      </c>
      <c r="DG92">
        <f>IF(N(DF92)&lt;=0.005,0,ROUND(N(DF92)*N('Debt List'!E10)/12,2))</f>
        <v/>
      </c>
      <c r="DH92">
        <f>IF(N(DF92)&lt;=0.005,0,MIN(N('Debt List'!F10),N(DF92)+N(DG92)))+((DR92=6)*DT92+(DV92=6)*DX92+(DZ92=6)*EB92+(ED92=6)*EF92+(EH92=6)*EJ92+(EL92=6)*EN92+(EP92=6)*ER92+(ET92=6)*EV92)</f>
        <v/>
      </c>
      <c r="DI92">
        <f>MAX(0,ROUND(N(DF92)+N(DG92)-N(DH92),2))</f>
        <v/>
      </c>
      <c r="DJ92">
        <f>N(DM91)</f>
        <v/>
      </c>
      <c r="DK92">
        <f>IF(N(DJ92)&lt;=0.005,0,ROUND(N(DJ92)*N('Debt List'!E11)/12,2))</f>
        <v/>
      </c>
      <c r="DL92">
        <f>IF(N(DJ92)&lt;=0.005,0,MIN(N('Debt List'!F11),N(DJ92)+N(DK92)))+((DR92=7)*DT92+(DV92=7)*DX92+(DZ92=7)*EB92+(ED92=7)*EF92+(EH92=7)*EJ92+(EL92=7)*EN92+(EP92=7)*ER92+(ET92=7)*EV92)</f>
        <v/>
      </c>
      <c r="DM92">
        <f>MAX(0,ROUND(N(DJ92)+N(DK92)-N(DL92),2))</f>
        <v/>
      </c>
      <c r="DN92">
        <f>N(DQ91)</f>
        <v/>
      </c>
      <c r="DO92">
        <f>IF(N(DN92)&lt;=0.005,0,ROUND(N(DN92)*N('Debt List'!E12)/12,2))</f>
        <v/>
      </c>
      <c r="DP92">
        <f>IF(N(DN92)&lt;=0.005,0,MIN(N('Debt List'!F12),N(DN92)+N(DO92)))+((DR92=8)*DT92+(DV92=8)*DX92+(DZ92=8)*EB92+(ED92=8)*EF92+(EH92=8)*EJ92+(EL92=8)*EN92+(EP92=8)*ER92+(ET92=8)*EV92)</f>
        <v/>
      </c>
      <c r="DQ92">
        <f>MAX(0,ROUND(N(DN92)+N(DO92)-N(DP92),2))</f>
        <v/>
      </c>
      <c r="DR92">
        <f>IFERROR(MATCH(1,OrderSnow,0),"")</f>
        <v/>
      </c>
      <c r="DS92">
        <f>IF(DR92="",0,IFERROR(IF(N(CHOOSE(DR92,CL92,CP92,CT92,CX92,DB92,DF92,DJ92,DN92))&lt;=0.005,0,MAX(0,N(CHOOSE(DR92,CL92,CP92,CT92,CX92,DB92,DF92,DJ92,DN92))+N(CHOOSE(DR92,CM92,CQ92,CU92,CY92,DC92,DG92,DK92,DO92))-MIN(N(CHOOSE(DR92,'Debt List'!$F$5,'Debt List'!$F$6,'Debt List'!$F$7,'Debt List'!$F$8,'Debt List'!$F$9,'Debt List'!$F$10,'Debt List'!$F$11,'Debt List'!$F$12)),N(CHOOSE(DR92,CL92,CP92,CT92,CX92,DB92,DF92,DJ92,DN92))+N(CHOOSE(DR92,CM92,CQ92,CU92,CY92,DC92,DG92,DK92,DO92))))),0))</f>
        <v/>
      </c>
      <c r="DT92">
        <f>MIN(N(DS92),MAX(0,N(ExtraPayment)))</f>
        <v/>
      </c>
      <c r="DU92">
        <f>MAX(0,N(ExtraPayment)-N(DT92))</f>
        <v/>
      </c>
      <c r="DV92">
        <f>IFERROR(MATCH(2,OrderSnow,0),"")</f>
        <v/>
      </c>
      <c r="DW92">
        <f>IF(DV92="",0,IFERROR(IF(N(CHOOSE(DV92,CL92,CP92,CT92,CX92,DB92,DF92,DJ92,DN92))&lt;=0.005,0,MAX(0,N(CHOOSE(DV92,CL92,CP92,CT92,CX92,DB92,DF92,DJ92,DN92))+N(CHOOSE(DV92,CM92,CQ92,CU92,CY92,DC92,DG92,DK92,DO92))-MIN(N(CHOOSE(DV92,'Debt List'!$F$5,'Debt List'!$F$6,'Debt List'!$F$7,'Debt List'!$F$8,'Debt List'!$F$9,'Debt List'!$F$10,'Debt List'!$F$11,'Debt List'!$F$12)),N(CHOOSE(DV92,CL92,CP92,CT92,CX92,DB92,DF92,DJ92,DN92))+N(CHOOSE(DV92,CM92,CQ92,CU92,CY92,DC92,DG92,DK92,DO92))))),0))</f>
        <v/>
      </c>
      <c r="DX92">
        <f>MIN(N(DW92),MAX(0,N(DU92)))</f>
        <v/>
      </c>
      <c r="DY92">
        <f>MAX(0,N(DU92)-N(DX92))</f>
        <v/>
      </c>
      <c r="DZ92">
        <f>IFERROR(MATCH(3,OrderSnow,0),"")</f>
        <v/>
      </c>
      <c r="EA92">
        <f>IF(DZ92="",0,IFERROR(IF(N(CHOOSE(DZ92,CL92,CP92,CT92,CX92,DB92,DF92,DJ92,DN92))&lt;=0.005,0,MAX(0,N(CHOOSE(DZ92,CL92,CP92,CT92,CX92,DB92,DF92,DJ92,DN92))+N(CHOOSE(DZ92,CM92,CQ92,CU92,CY92,DC92,DG92,DK92,DO92))-MIN(N(CHOOSE(DZ92,'Debt List'!$F$5,'Debt List'!$F$6,'Debt List'!$F$7,'Debt List'!$F$8,'Debt List'!$F$9,'Debt List'!$F$10,'Debt List'!$F$11,'Debt List'!$F$12)),N(CHOOSE(DZ92,CL92,CP92,CT92,CX92,DB92,DF92,DJ92,DN92))+N(CHOOSE(DZ92,CM92,CQ92,CU92,CY92,DC92,DG92,DK92,DO92))))),0))</f>
        <v/>
      </c>
      <c r="EB92">
        <f>MIN(N(EA92),MAX(0,N(DY92)))</f>
        <v/>
      </c>
      <c r="EC92">
        <f>MAX(0,N(DY92)-N(EB92))</f>
        <v/>
      </c>
      <c r="ED92">
        <f>IFERROR(MATCH(4,OrderSnow,0),"")</f>
        <v/>
      </c>
      <c r="EE92">
        <f>IF(ED92="",0,IFERROR(IF(N(CHOOSE(ED92,CL92,CP92,CT92,CX92,DB92,DF92,DJ92,DN92))&lt;=0.005,0,MAX(0,N(CHOOSE(ED92,CL92,CP92,CT92,CX92,DB92,DF92,DJ92,DN92))+N(CHOOSE(ED92,CM92,CQ92,CU92,CY92,DC92,DG92,DK92,DO92))-MIN(N(CHOOSE(ED92,'Debt List'!$F$5,'Debt List'!$F$6,'Debt List'!$F$7,'Debt List'!$F$8,'Debt List'!$F$9,'Debt List'!$F$10,'Debt List'!$F$11,'Debt List'!$F$12)),N(CHOOSE(ED92,CL92,CP92,CT92,CX92,DB92,DF92,DJ92,DN92))+N(CHOOSE(ED92,CM92,CQ92,CU92,CY92,DC92,DG92,DK92,DO92))))),0))</f>
        <v/>
      </c>
      <c r="EF92">
        <f>MIN(N(EE92),MAX(0,N(EC92)))</f>
        <v/>
      </c>
      <c r="EG92">
        <f>MAX(0,N(EC92)-N(EF92))</f>
        <v/>
      </c>
      <c r="EH92">
        <f>IFERROR(MATCH(5,OrderSnow,0),"")</f>
        <v/>
      </c>
      <c r="EI92">
        <f>IF(EH92="",0,IFERROR(IF(N(CHOOSE(EH92,CL92,CP92,CT92,CX92,DB92,DF92,DJ92,DN92))&lt;=0.005,0,MAX(0,N(CHOOSE(EH92,CL92,CP92,CT92,CX92,DB92,DF92,DJ92,DN92))+N(CHOOSE(EH92,CM92,CQ92,CU92,CY92,DC92,DG92,DK92,DO92))-MIN(N(CHOOSE(EH92,'Debt List'!$F$5,'Debt List'!$F$6,'Debt List'!$F$7,'Debt List'!$F$8,'Debt List'!$F$9,'Debt List'!$F$10,'Debt List'!$F$11,'Debt List'!$F$12)),N(CHOOSE(EH92,CL92,CP92,CT92,CX92,DB92,DF92,DJ92,DN92))+N(CHOOSE(EH92,CM92,CQ92,CU92,CY92,DC92,DG92,DK92,DO92))))),0))</f>
        <v/>
      </c>
      <c r="EJ92">
        <f>MIN(N(EI92),MAX(0,N(EG92)))</f>
        <v/>
      </c>
      <c r="EK92">
        <f>MAX(0,N(EG92)-N(EJ92))</f>
        <v/>
      </c>
      <c r="EL92">
        <f>IFERROR(MATCH(6,OrderSnow,0),"")</f>
        <v/>
      </c>
      <c r="EM92">
        <f>IF(EL92="",0,IFERROR(IF(N(CHOOSE(EL92,CL92,CP92,CT92,CX92,DB92,DF92,DJ92,DN92))&lt;=0.005,0,MAX(0,N(CHOOSE(EL92,CL92,CP92,CT92,CX92,DB92,DF92,DJ92,DN92))+N(CHOOSE(EL92,CM92,CQ92,CU92,CY92,DC92,DG92,DK92,DO92))-MIN(N(CHOOSE(EL92,'Debt List'!$F$5,'Debt List'!$F$6,'Debt List'!$F$7,'Debt List'!$F$8,'Debt List'!$F$9,'Debt List'!$F$10,'Debt List'!$F$11,'Debt List'!$F$12)),N(CHOOSE(EL92,CL92,CP92,CT92,CX92,DB92,DF92,DJ92,DN92))+N(CHOOSE(EL92,CM92,CQ92,CU92,CY92,DC92,DG92,DK92,DO92))))),0))</f>
        <v/>
      </c>
      <c r="EN92">
        <f>MIN(N(EM92),MAX(0,N(EK92)))</f>
        <v/>
      </c>
      <c r="EO92">
        <f>MAX(0,N(EK92)-N(EN92))</f>
        <v/>
      </c>
      <c r="EP92">
        <f>IFERROR(MATCH(7,OrderSnow,0),"")</f>
        <v/>
      </c>
      <c r="EQ92">
        <f>IF(EP92="",0,IFERROR(IF(N(CHOOSE(EP92,CL92,CP92,CT92,CX92,DB92,DF92,DJ92,DN92))&lt;=0.005,0,MAX(0,N(CHOOSE(EP92,CL92,CP92,CT92,CX92,DB92,DF92,DJ92,DN92))+N(CHOOSE(EP92,CM92,CQ92,CU92,CY92,DC92,DG92,DK92,DO92))-MIN(N(CHOOSE(EP92,'Debt List'!$F$5,'Debt List'!$F$6,'Debt List'!$F$7,'Debt List'!$F$8,'Debt List'!$F$9,'Debt List'!$F$10,'Debt List'!$F$11,'Debt List'!$F$12)),N(CHOOSE(EP92,CL92,CP92,CT92,CX92,DB92,DF92,DJ92,DN92))+N(CHOOSE(EP92,CM92,CQ92,CU92,CY92,DC92,DG92,DK92,DO92))))),0))</f>
        <v/>
      </c>
      <c r="ER92">
        <f>MIN(N(EQ92),MAX(0,N(EO92)))</f>
        <v/>
      </c>
      <c r="ES92">
        <f>MAX(0,N(EO92)-N(ER92))</f>
        <v/>
      </c>
      <c r="ET92">
        <f>IFERROR(MATCH(8,OrderSnow,0),"")</f>
        <v/>
      </c>
      <c r="EU92">
        <f>IF(ET92="",0,IFERROR(IF(N(CHOOSE(ET92,CL92,CP92,CT92,CX92,DB92,DF92,DJ92,DN92))&lt;=0.005,0,MAX(0,N(CHOOSE(ET92,CL92,CP92,CT92,CX92,DB92,DF92,DJ92,DN92))+N(CHOOSE(ET92,CM92,CQ92,CU92,CY92,DC92,DG92,DK92,DO92))-MIN(N(CHOOSE(ET92,'Debt List'!$F$5,'Debt List'!$F$6,'Debt List'!$F$7,'Debt List'!$F$8,'Debt List'!$F$9,'Debt List'!$F$10,'Debt List'!$F$11,'Debt List'!$F$12)),N(CHOOSE(ET92,CL92,CP92,CT92,CX92,DB92,DF92,DJ92,DN92))+N(CHOOSE(ET92,CM92,CQ92,CU92,CY92,DC92,DG92,DK92,DO92))))),0))</f>
        <v/>
      </c>
      <c r="EV92">
        <f>MIN(N(EU92),MAX(0,N(ES92)))</f>
        <v/>
      </c>
      <c r="EW92">
        <f>MAX(0,N(ES92)-N(EV92))</f>
        <v/>
      </c>
      <c r="FE92" t="n">
        <v>88</v>
      </c>
      <c r="FF92" s="115">
        <f>DATE(YEAR(PlanStart),MONTH(PlanStart)+FE92-1,1)</f>
        <v/>
      </c>
      <c r="FG92">
        <f>IF(AND(GT92&lt;&gt;"",N(CHOOSE(GT92,FN92,FR92,FV92,FZ92,GD92,GH92,GL92,GP92))&gt;0.005),INDEX(DebtNames,GT92),IF(AND(GX92&lt;&gt;"",N(CHOOSE(GX92,FN92,FR92,FV92,FZ92,GD92,GH92,GL92,GP92))&gt;0.005),INDEX(DebtNames,GX92),IF(AND(HB92&lt;&gt;"",N(CHOOSE(HB92,FN92,FR92,FV92,FZ92,GD92,GH92,GL92,GP92))&gt;0.005),INDEX(DebtNames,HB92),IF(AND(HF92&lt;&gt;"",N(CHOOSE(HF92,FN92,FR92,FV92,FZ92,GD92,GH92,GL92,GP92))&gt;0.005),INDEX(DebtNames,HF92),IF(AND(HJ92&lt;&gt;"",N(CHOOSE(HJ92,FN92,FR92,FV92,FZ92,GD92,GH92,GL92,GP92))&gt;0.005),INDEX(DebtNames,HJ92),IF(AND(HN92&lt;&gt;"",N(CHOOSE(HN92,FN92,FR92,FV92,FZ92,GD92,GH92,GL92,GP92))&gt;0.005),INDEX(DebtNames,HN92),IF(AND(HR92&lt;&gt;"",N(CHOOSE(HR92,FN92,FR92,FV92,FZ92,GD92,GH92,GL92,GP92))&gt;0.005),INDEX(DebtNames,HR92),IF(AND(HV92&lt;&gt;"",N(CHOOSE(HV92,FN92,FR92,FV92,FZ92,GD92,GH92,GL92,GP92))&gt;0.005),INDEX(DebtNames,HV92),""))))))))</f>
        <v/>
      </c>
      <c r="FH92">
        <f>N(HY92)</f>
        <v/>
      </c>
      <c r="FI92">
        <f>N(FP92)+N(FT92)+N(FX92)+N(GB92)+N(GF92)+N(GJ92)+N(GN92)+N(GR92)</f>
        <v/>
      </c>
      <c r="FJ92">
        <f>N(FO92)+N(FS92)+N(FW92)+N(GA92)+N(GE92)+N(GI92)+N(GM92)+N(GQ92)</f>
        <v/>
      </c>
      <c r="FK92">
        <f>N(FK91)+N(FJ92)</f>
        <v/>
      </c>
      <c r="FL92">
        <f>N(FQ92)+N(FU92)+N(FY92)+N(GC92)+N(GG92)+N(GK92)+N(GO92)+N(GS92)</f>
        <v/>
      </c>
      <c r="FM92">
        <f>(FQ92&gt;0.005)*1+(FU92&gt;0.005)*1+(FY92&gt;0.005)*1+(GC92&gt;0.005)*1+(GG92&gt;0.005)*1+(GK92&gt;0.005)*1+(GO92&gt;0.005)*1+(GS92&gt;0.005)*1</f>
        <v/>
      </c>
      <c r="FN92">
        <f>N(FQ91)</f>
        <v/>
      </c>
      <c r="FO92">
        <f>IF(N(FN92)&lt;=0.005,0,ROUND(N(FN92)*N('Debt List'!E5)/12,2))</f>
        <v/>
      </c>
      <c r="FP92">
        <f>IF(N(FN92)&lt;=0.005,0,MIN(N('Debt List'!F5),N(FN92)+N(FO92)))+((GT92=1)*GV92+(GX92=1)*GZ92+(HB92=1)*HD92+(HF92=1)*HH92+(HJ92=1)*HL92+(HN92=1)*HP92+(HR92=1)*HT92+(HV92=1)*HX92)</f>
        <v/>
      </c>
      <c r="FQ92">
        <f>MAX(0,ROUND(N(FN92)+N(FO92)-N(FP92),2))</f>
        <v/>
      </c>
      <c r="FR92">
        <f>N(FU91)</f>
        <v/>
      </c>
      <c r="FS92">
        <f>IF(N(FR92)&lt;=0.005,0,ROUND(N(FR92)*N('Debt List'!E6)/12,2))</f>
        <v/>
      </c>
      <c r="FT92">
        <f>IF(N(FR92)&lt;=0.005,0,MIN(N('Debt List'!F6),N(FR92)+N(FS92)))+((GT92=2)*GV92+(GX92=2)*GZ92+(HB92=2)*HD92+(HF92=2)*HH92+(HJ92=2)*HL92+(HN92=2)*HP92+(HR92=2)*HT92+(HV92=2)*HX92)</f>
        <v/>
      </c>
      <c r="FU92">
        <f>MAX(0,ROUND(N(FR92)+N(FS92)-N(FT92),2))</f>
        <v/>
      </c>
      <c r="FV92">
        <f>N(FY91)</f>
        <v/>
      </c>
      <c r="FW92">
        <f>IF(N(FV92)&lt;=0.005,0,ROUND(N(FV92)*N('Debt List'!E7)/12,2))</f>
        <v/>
      </c>
      <c r="FX92">
        <f>IF(N(FV92)&lt;=0.005,0,MIN(N('Debt List'!F7),N(FV92)+N(FW92)))+((GT92=3)*GV92+(GX92=3)*GZ92+(HB92=3)*HD92+(HF92=3)*HH92+(HJ92=3)*HL92+(HN92=3)*HP92+(HR92=3)*HT92+(HV92=3)*HX92)</f>
        <v/>
      </c>
      <c r="FY92">
        <f>MAX(0,ROUND(N(FV92)+N(FW92)-N(FX92),2))</f>
        <v/>
      </c>
      <c r="FZ92">
        <f>N(GC91)</f>
        <v/>
      </c>
      <c r="GA92">
        <f>IF(N(FZ92)&lt;=0.005,0,ROUND(N(FZ92)*N('Debt List'!E8)/12,2))</f>
        <v/>
      </c>
      <c r="GB92">
        <f>IF(N(FZ92)&lt;=0.005,0,MIN(N('Debt List'!F8),N(FZ92)+N(GA92)))+((GT92=4)*GV92+(GX92=4)*GZ92+(HB92=4)*HD92+(HF92=4)*HH92+(HJ92=4)*HL92+(HN92=4)*HP92+(HR92=4)*HT92+(HV92=4)*HX92)</f>
        <v/>
      </c>
      <c r="GC92">
        <f>MAX(0,ROUND(N(FZ92)+N(GA92)-N(GB92),2))</f>
        <v/>
      </c>
      <c r="GD92">
        <f>N(GG91)</f>
        <v/>
      </c>
      <c r="GE92">
        <f>IF(N(GD92)&lt;=0.005,0,ROUND(N(GD92)*N('Debt List'!E9)/12,2))</f>
        <v/>
      </c>
      <c r="GF92">
        <f>IF(N(GD92)&lt;=0.005,0,MIN(N('Debt List'!F9),N(GD92)+N(GE92)))+((GT92=5)*GV92+(GX92=5)*GZ92+(HB92=5)*HD92+(HF92=5)*HH92+(HJ92=5)*HL92+(HN92=5)*HP92+(HR92=5)*HT92+(HV92=5)*HX92)</f>
        <v/>
      </c>
      <c r="GG92">
        <f>MAX(0,ROUND(N(GD92)+N(GE92)-N(GF92),2))</f>
        <v/>
      </c>
      <c r="GH92">
        <f>N(GK91)</f>
        <v/>
      </c>
      <c r="GI92">
        <f>IF(N(GH92)&lt;=0.005,0,ROUND(N(GH92)*N('Debt List'!E10)/12,2))</f>
        <v/>
      </c>
      <c r="GJ92">
        <f>IF(N(GH92)&lt;=0.005,0,MIN(N('Debt List'!F10),N(GH92)+N(GI92)))+((GT92=6)*GV92+(GX92=6)*GZ92+(HB92=6)*HD92+(HF92=6)*HH92+(HJ92=6)*HL92+(HN92=6)*HP92+(HR92=6)*HT92+(HV92=6)*HX92)</f>
        <v/>
      </c>
      <c r="GK92">
        <f>MAX(0,ROUND(N(GH92)+N(GI92)-N(GJ92),2))</f>
        <v/>
      </c>
      <c r="GL92">
        <f>N(GO91)</f>
        <v/>
      </c>
      <c r="GM92">
        <f>IF(N(GL92)&lt;=0.005,0,ROUND(N(GL92)*N('Debt List'!E11)/12,2))</f>
        <v/>
      </c>
      <c r="GN92">
        <f>IF(N(GL92)&lt;=0.005,0,MIN(N('Debt List'!F11),N(GL92)+N(GM92)))+((GT92=7)*GV92+(GX92=7)*GZ92+(HB92=7)*HD92+(HF92=7)*HH92+(HJ92=7)*HL92+(HN92=7)*HP92+(HR92=7)*HT92+(HV92=7)*HX92)</f>
        <v/>
      </c>
      <c r="GO92">
        <f>MAX(0,ROUND(N(GL92)+N(GM92)-N(GN92),2))</f>
        <v/>
      </c>
      <c r="GP92">
        <f>N(GS91)</f>
        <v/>
      </c>
      <c r="GQ92">
        <f>IF(N(GP92)&lt;=0.005,0,ROUND(N(GP92)*N('Debt List'!E12)/12,2))</f>
        <v/>
      </c>
      <c r="GR92">
        <f>IF(N(GP92)&lt;=0.005,0,MIN(N('Debt List'!F12),N(GP92)+N(GQ92)))+((GT92=8)*GV92+(GX92=8)*GZ92+(HB92=8)*HD92+(HF92=8)*HH92+(HJ92=8)*HL92+(HN92=8)*HP92+(HR92=8)*HT92+(HV92=8)*HX92)</f>
        <v/>
      </c>
      <c r="GS92">
        <f>MAX(0,ROUND(N(GP92)+N(GQ92)-N(GR92),2))</f>
        <v/>
      </c>
      <c r="GT92">
        <f>IFERROR(MATCH(1,OrderAval,0),"")</f>
        <v/>
      </c>
      <c r="GU92">
        <f>IF(GT92="",0,IFERROR(IF(N(CHOOSE(GT92,FN92,FR92,FV92,FZ92,GD92,GH92,GL92,GP92))&lt;=0.005,0,MAX(0,N(CHOOSE(GT92,FN92,FR92,FV92,FZ92,GD92,GH92,GL92,GP92))+N(CHOOSE(GT92,FO92,FS92,FW92,GA92,GE92,GI92,GM92,GQ92))-MIN(N(CHOOSE(GT92,'Debt List'!$F$5,'Debt List'!$F$6,'Debt List'!$F$7,'Debt List'!$F$8,'Debt List'!$F$9,'Debt List'!$F$10,'Debt List'!$F$11,'Debt List'!$F$12)),N(CHOOSE(GT92,FN92,FR92,FV92,FZ92,GD92,GH92,GL92,GP92))+N(CHOOSE(GT92,FO92,FS92,FW92,GA92,GE92,GI92,GM92,GQ92))))),0))</f>
        <v/>
      </c>
      <c r="GV92">
        <f>MIN(N(GU92),MAX(0,N(ExtraPayment)))</f>
        <v/>
      </c>
      <c r="GW92">
        <f>MAX(0,N(ExtraPayment)-N(GV92))</f>
        <v/>
      </c>
      <c r="GX92">
        <f>IFERROR(MATCH(2,OrderAval,0),"")</f>
        <v/>
      </c>
      <c r="GY92">
        <f>IF(GX92="",0,IFERROR(IF(N(CHOOSE(GX92,FN92,FR92,FV92,FZ92,GD92,GH92,GL92,GP92))&lt;=0.005,0,MAX(0,N(CHOOSE(GX92,FN92,FR92,FV92,FZ92,GD92,GH92,GL92,GP92))+N(CHOOSE(GX92,FO92,FS92,FW92,GA92,GE92,GI92,GM92,GQ92))-MIN(N(CHOOSE(GX92,'Debt List'!$F$5,'Debt List'!$F$6,'Debt List'!$F$7,'Debt List'!$F$8,'Debt List'!$F$9,'Debt List'!$F$10,'Debt List'!$F$11,'Debt List'!$F$12)),N(CHOOSE(GX92,FN92,FR92,FV92,FZ92,GD92,GH92,GL92,GP92))+N(CHOOSE(GX92,FO92,FS92,FW92,GA92,GE92,GI92,GM92,GQ92))))),0))</f>
        <v/>
      </c>
      <c r="GZ92">
        <f>MIN(N(GY92),MAX(0,N(GW92)))</f>
        <v/>
      </c>
      <c r="HA92">
        <f>MAX(0,N(GW92)-N(GZ92))</f>
        <v/>
      </c>
      <c r="HB92">
        <f>IFERROR(MATCH(3,OrderAval,0),"")</f>
        <v/>
      </c>
      <c r="HC92">
        <f>IF(HB92="",0,IFERROR(IF(N(CHOOSE(HB92,FN92,FR92,FV92,FZ92,GD92,GH92,GL92,GP92))&lt;=0.005,0,MAX(0,N(CHOOSE(HB92,FN92,FR92,FV92,FZ92,GD92,GH92,GL92,GP92))+N(CHOOSE(HB92,FO92,FS92,FW92,GA92,GE92,GI92,GM92,GQ92))-MIN(N(CHOOSE(HB92,'Debt List'!$F$5,'Debt List'!$F$6,'Debt List'!$F$7,'Debt List'!$F$8,'Debt List'!$F$9,'Debt List'!$F$10,'Debt List'!$F$11,'Debt List'!$F$12)),N(CHOOSE(HB92,FN92,FR92,FV92,FZ92,GD92,GH92,GL92,GP92))+N(CHOOSE(HB92,FO92,FS92,FW92,GA92,GE92,GI92,GM92,GQ92))))),0))</f>
        <v/>
      </c>
      <c r="HD92">
        <f>MIN(N(HC92),MAX(0,N(HA92)))</f>
        <v/>
      </c>
      <c r="HE92">
        <f>MAX(0,N(HA92)-N(HD92))</f>
        <v/>
      </c>
      <c r="HF92">
        <f>IFERROR(MATCH(4,OrderAval,0),"")</f>
        <v/>
      </c>
      <c r="HG92">
        <f>IF(HF92="",0,IFERROR(IF(N(CHOOSE(HF92,FN92,FR92,FV92,FZ92,GD92,GH92,GL92,GP92))&lt;=0.005,0,MAX(0,N(CHOOSE(HF92,FN92,FR92,FV92,FZ92,GD92,GH92,GL92,GP92))+N(CHOOSE(HF92,FO92,FS92,FW92,GA92,GE92,GI92,GM92,GQ92))-MIN(N(CHOOSE(HF92,'Debt List'!$F$5,'Debt List'!$F$6,'Debt List'!$F$7,'Debt List'!$F$8,'Debt List'!$F$9,'Debt List'!$F$10,'Debt List'!$F$11,'Debt List'!$F$12)),N(CHOOSE(HF92,FN92,FR92,FV92,FZ92,GD92,GH92,GL92,GP92))+N(CHOOSE(HF92,FO92,FS92,FW92,GA92,GE92,GI92,GM92,GQ92))))),0))</f>
        <v/>
      </c>
      <c r="HH92">
        <f>MIN(N(HG92),MAX(0,N(HE92)))</f>
        <v/>
      </c>
      <c r="HI92">
        <f>MAX(0,N(HE92)-N(HH92))</f>
        <v/>
      </c>
      <c r="HJ92">
        <f>IFERROR(MATCH(5,OrderAval,0),"")</f>
        <v/>
      </c>
      <c r="HK92">
        <f>IF(HJ92="",0,IFERROR(IF(N(CHOOSE(HJ92,FN92,FR92,FV92,FZ92,GD92,GH92,GL92,GP92))&lt;=0.005,0,MAX(0,N(CHOOSE(HJ92,FN92,FR92,FV92,FZ92,GD92,GH92,GL92,GP92))+N(CHOOSE(HJ92,FO92,FS92,FW92,GA92,GE92,GI92,GM92,GQ92))-MIN(N(CHOOSE(HJ92,'Debt List'!$F$5,'Debt List'!$F$6,'Debt List'!$F$7,'Debt List'!$F$8,'Debt List'!$F$9,'Debt List'!$F$10,'Debt List'!$F$11,'Debt List'!$F$12)),N(CHOOSE(HJ92,FN92,FR92,FV92,FZ92,GD92,GH92,GL92,GP92))+N(CHOOSE(HJ92,FO92,FS92,FW92,GA92,GE92,GI92,GM92,GQ92))))),0))</f>
        <v/>
      </c>
      <c r="HL92">
        <f>MIN(N(HK92),MAX(0,N(HI92)))</f>
        <v/>
      </c>
      <c r="HM92">
        <f>MAX(0,N(HI92)-N(HL92))</f>
        <v/>
      </c>
      <c r="HN92">
        <f>IFERROR(MATCH(6,OrderAval,0),"")</f>
        <v/>
      </c>
      <c r="HO92">
        <f>IF(HN92="",0,IFERROR(IF(N(CHOOSE(HN92,FN92,FR92,FV92,FZ92,GD92,GH92,GL92,GP92))&lt;=0.005,0,MAX(0,N(CHOOSE(HN92,FN92,FR92,FV92,FZ92,GD92,GH92,GL92,GP92))+N(CHOOSE(HN92,FO92,FS92,FW92,GA92,GE92,GI92,GM92,GQ92))-MIN(N(CHOOSE(HN92,'Debt List'!$F$5,'Debt List'!$F$6,'Debt List'!$F$7,'Debt List'!$F$8,'Debt List'!$F$9,'Debt List'!$F$10,'Debt List'!$F$11,'Debt List'!$F$12)),N(CHOOSE(HN92,FN92,FR92,FV92,FZ92,GD92,GH92,GL92,GP92))+N(CHOOSE(HN92,FO92,FS92,FW92,GA92,GE92,GI92,GM92,GQ92))))),0))</f>
        <v/>
      </c>
      <c r="HP92">
        <f>MIN(N(HO92),MAX(0,N(HM92)))</f>
        <v/>
      </c>
      <c r="HQ92">
        <f>MAX(0,N(HM92)-N(HP92))</f>
        <v/>
      </c>
      <c r="HR92">
        <f>IFERROR(MATCH(7,OrderAval,0),"")</f>
        <v/>
      </c>
      <c r="HS92">
        <f>IF(HR92="",0,IFERROR(IF(N(CHOOSE(HR92,FN92,FR92,FV92,FZ92,GD92,GH92,GL92,GP92))&lt;=0.005,0,MAX(0,N(CHOOSE(HR92,FN92,FR92,FV92,FZ92,GD92,GH92,GL92,GP92))+N(CHOOSE(HR92,FO92,FS92,FW92,GA92,GE92,GI92,GM92,GQ92))-MIN(N(CHOOSE(HR92,'Debt List'!$F$5,'Debt List'!$F$6,'Debt List'!$F$7,'Debt List'!$F$8,'Debt List'!$F$9,'Debt List'!$F$10,'Debt List'!$F$11,'Debt List'!$F$12)),N(CHOOSE(HR92,FN92,FR92,FV92,FZ92,GD92,GH92,GL92,GP92))+N(CHOOSE(HR92,FO92,FS92,FW92,GA92,GE92,GI92,GM92,GQ92))))),0))</f>
        <v/>
      </c>
      <c r="HT92">
        <f>MIN(N(HS92),MAX(0,N(HQ92)))</f>
        <v/>
      </c>
      <c r="HU92">
        <f>MAX(0,N(HQ92)-N(HT92))</f>
        <v/>
      </c>
      <c r="HV92">
        <f>IFERROR(MATCH(8,OrderAval,0),"")</f>
        <v/>
      </c>
      <c r="HW92">
        <f>IF(HV92="",0,IFERROR(IF(N(CHOOSE(HV92,FN92,FR92,FV92,FZ92,GD92,GH92,GL92,GP92))&lt;=0.005,0,MAX(0,N(CHOOSE(HV92,FN92,FR92,FV92,FZ92,GD92,GH92,GL92,GP92))+N(CHOOSE(HV92,FO92,FS92,FW92,GA92,GE92,GI92,GM92,GQ92))-MIN(N(CHOOSE(HV92,'Debt List'!$F$5,'Debt List'!$F$6,'Debt List'!$F$7,'Debt List'!$F$8,'Debt List'!$F$9,'Debt List'!$F$10,'Debt List'!$F$11,'Debt List'!$F$12)),N(CHOOSE(HV92,FN92,FR92,FV92,FZ92,GD92,GH92,GL92,GP92))+N(CHOOSE(HV92,FO92,FS92,FW92,GA92,GE92,GI92,GM92,GQ92))))),0))</f>
        <v/>
      </c>
      <c r="HX92">
        <f>MIN(N(HW92),MAX(0,N(HU92)))</f>
        <v/>
      </c>
      <c r="HY92">
        <f>MAX(0,N(HU92)-N(HX92))</f>
        <v/>
      </c>
    </row>
    <row r="93">
      <c r="A93" t="n">
        <v>89</v>
      </c>
      <c r="B93" s="115">
        <f>DATE(YEAR(PlanStart),MONTH(PlanStart)+A93-1,1)</f>
        <v/>
      </c>
      <c r="C93">
        <f>IF(AND(AP93&lt;&gt;"",N(CHOOSE(AP93,J93,N93,R93,V93,Z93,AD93,AH93,AL93))&gt;0.005),INDEX(DebtNames,AP93),IF(AND(AT93&lt;&gt;"",N(CHOOSE(AT93,J93,N93,R93,V93,Z93,AD93,AH93,AL93))&gt;0.005),INDEX(DebtNames,AT93),IF(AND(AX93&lt;&gt;"",N(CHOOSE(AX93,J93,N93,R93,V93,Z93,AD93,AH93,AL93))&gt;0.005),INDEX(DebtNames,AX93),IF(AND(BB93&lt;&gt;"",N(CHOOSE(BB93,J93,N93,R93,V93,Z93,AD93,AH93,AL93))&gt;0.005),INDEX(DebtNames,BB93),IF(AND(BF93&lt;&gt;"",N(CHOOSE(BF93,J93,N93,R93,V93,Z93,AD93,AH93,AL93))&gt;0.005),INDEX(DebtNames,BF93),IF(AND(BJ93&lt;&gt;"",N(CHOOSE(BJ93,J93,N93,R93,V93,Z93,AD93,AH93,AL93))&gt;0.005),INDEX(DebtNames,BJ93),IF(AND(BN93&lt;&gt;"",N(CHOOSE(BN93,J93,N93,R93,V93,Z93,AD93,AH93,AL93))&gt;0.005),INDEX(DebtNames,BN93),IF(AND(BR93&lt;&gt;"",N(CHOOSE(BR93,J93,N93,R93,V93,Z93,AD93,AH93,AL93))&gt;0.005),INDEX(DebtNames,BR93),""))))))))</f>
        <v/>
      </c>
      <c r="D93">
        <f>N(BU93)</f>
        <v/>
      </c>
      <c r="E93">
        <f>N(L93)+N(P93)+N(T93)+N(X93)+N(AB93)+N(AF93)+N(AJ93)+N(AN93)</f>
        <v/>
      </c>
      <c r="F93">
        <f>N(K93)+N(O93)+N(S93)+N(W93)+N(AA93)+N(AE93)+N(AI93)+N(AM93)</f>
        <v/>
      </c>
      <c r="G93">
        <f>N(G92)+N(F93)</f>
        <v/>
      </c>
      <c r="H93">
        <f>N(M93)+N(Q93)+N(U93)+N(Y93)+N(AC93)+N(AG93)+N(AK93)+N(AO93)</f>
        <v/>
      </c>
      <c r="I93">
        <f>(M93&gt;0.005)*1+(Q93&gt;0.005)*1+(U93&gt;0.005)*1+(Y93&gt;0.005)*1+(AC93&gt;0.005)*1+(AG93&gt;0.005)*1+(AK93&gt;0.005)*1+(AO93&gt;0.005)*1</f>
        <v/>
      </c>
      <c r="J93">
        <f>N(M92)</f>
        <v/>
      </c>
      <c r="K93">
        <f>IF(N(J93)&lt;=0.005,0,ROUND(N(J93)*N('Debt List'!E5)/12,2))</f>
        <v/>
      </c>
      <c r="L93">
        <f>IF(N(J93)&lt;=0.005,0,MIN(N('Debt List'!F5),N(J93)+N(K93)))+((AP93=1)*AR93+(AT93=1)*AV93+(AX93=1)*AZ93+(BB93=1)*BD93+(BF93=1)*BH93+(BJ93=1)*BL93+(BN93=1)*BP93+(BR93=1)*BT93)</f>
        <v/>
      </c>
      <c r="M93">
        <f>MAX(0,ROUND(N(J93)+N(K93)-N(L93),2))</f>
        <v/>
      </c>
      <c r="N93">
        <f>N(Q92)</f>
        <v/>
      </c>
      <c r="O93">
        <f>IF(N(N93)&lt;=0.005,0,ROUND(N(N93)*N('Debt List'!E6)/12,2))</f>
        <v/>
      </c>
      <c r="P93">
        <f>IF(N(N93)&lt;=0.005,0,MIN(N('Debt List'!F6),N(N93)+N(O93)))+((AP93=2)*AR93+(AT93=2)*AV93+(AX93=2)*AZ93+(BB93=2)*BD93+(BF93=2)*BH93+(BJ93=2)*BL93+(BN93=2)*BP93+(BR93=2)*BT93)</f>
        <v/>
      </c>
      <c r="Q93">
        <f>MAX(0,ROUND(N(N93)+N(O93)-N(P93),2))</f>
        <v/>
      </c>
      <c r="R93">
        <f>N(U92)</f>
        <v/>
      </c>
      <c r="S93">
        <f>IF(N(R93)&lt;=0.005,0,ROUND(N(R93)*N('Debt List'!E7)/12,2))</f>
        <v/>
      </c>
      <c r="T93">
        <f>IF(N(R93)&lt;=0.005,0,MIN(N('Debt List'!F7),N(R93)+N(S93)))+((AP93=3)*AR93+(AT93=3)*AV93+(AX93=3)*AZ93+(BB93=3)*BD93+(BF93=3)*BH93+(BJ93=3)*BL93+(BN93=3)*BP93+(BR93=3)*BT93)</f>
        <v/>
      </c>
      <c r="U93">
        <f>MAX(0,ROUND(N(R93)+N(S93)-N(T93),2))</f>
        <v/>
      </c>
      <c r="V93">
        <f>N(Y92)</f>
        <v/>
      </c>
      <c r="W93">
        <f>IF(N(V93)&lt;=0.005,0,ROUND(N(V93)*N('Debt List'!E8)/12,2))</f>
        <v/>
      </c>
      <c r="X93">
        <f>IF(N(V93)&lt;=0.005,0,MIN(N('Debt List'!F8),N(V93)+N(W93)))+((AP93=4)*AR93+(AT93=4)*AV93+(AX93=4)*AZ93+(BB93=4)*BD93+(BF93=4)*BH93+(BJ93=4)*BL93+(BN93=4)*BP93+(BR93=4)*BT93)</f>
        <v/>
      </c>
      <c r="Y93">
        <f>MAX(0,ROUND(N(V93)+N(W93)-N(X93),2))</f>
        <v/>
      </c>
      <c r="Z93">
        <f>N(AC92)</f>
        <v/>
      </c>
      <c r="AA93">
        <f>IF(N(Z93)&lt;=0.005,0,ROUND(N(Z93)*N('Debt List'!E9)/12,2))</f>
        <v/>
      </c>
      <c r="AB93">
        <f>IF(N(Z93)&lt;=0.005,0,MIN(N('Debt List'!F9),N(Z93)+N(AA93)))+((AP93=5)*AR93+(AT93=5)*AV93+(AX93=5)*AZ93+(BB93=5)*BD93+(BF93=5)*BH93+(BJ93=5)*BL93+(BN93=5)*BP93+(BR93=5)*BT93)</f>
        <v/>
      </c>
      <c r="AC93">
        <f>MAX(0,ROUND(N(Z93)+N(AA93)-N(AB93),2))</f>
        <v/>
      </c>
      <c r="AD93">
        <f>N(AG92)</f>
        <v/>
      </c>
      <c r="AE93">
        <f>IF(N(AD93)&lt;=0.005,0,ROUND(N(AD93)*N('Debt List'!E10)/12,2))</f>
        <v/>
      </c>
      <c r="AF93">
        <f>IF(N(AD93)&lt;=0.005,0,MIN(N('Debt List'!F10),N(AD93)+N(AE93)))+((AP93=6)*AR93+(AT93=6)*AV93+(AX93=6)*AZ93+(BB93=6)*BD93+(BF93=6)*BH93+(BJ93=6)*BL93+(BN93=6)*BP93+(BR93=6)*BT93)</f>
        <v/>
      </c>
      <c r="AG93">
        <f>MAX(0,ROUND(N(AD93)+N(AE93)-N(AF93),2))</f>
        <v/>
      </c>
      <c r="AH93">
        <f>N(AK92)</f>
        <v/>
      </c>
      <c r="AI93">
        <f>IF(N(AH93)&lt;=0.005,0,ROUND(N(AH93)*N('Debt List'!E11)/12,2))</f>
        <v/>
      </c>
      <c r="AJ93">
        <f>IF(N(AH93)&lt;=0.005,0,MIN(N('Debt List'!F11),N(AH93)+N(AI93)))+((AP93=7)*AR93+(AT93=7)*AV93+(AX93=7)*AZ93+(BB93=7)*BD93+(BF93=7)*BH93+(BJ93=7)*BL93+(BN93=7)*BP93+(BR93=7)*BT93)</f>
        <v/>
      </c>
      <c r="AK93">
        <f>MAX(0,ROUND(N(AH93)+N(AI93)-N(AJ93),2))</f>
        <v/>
      </c>
      <c r="AL93">
        <f>N(AO92)</f>
        <v/>
      </c>
      <c r="AM93">
        <f>IF(N(AL93)&lt;=0.005,0,ROUND(N(AL93)*N('Debt List'!E12)/12,2))</f>
        <v/>
      </c>
      <c r="AN93">
        <f>IF(N(AL93)&lt;=0.005,0,MIN(N('Debt List'!F12),N(AL93)+N(AM93)))+((AP93=8)*AR93+(AT93=8)*AV93+(AX93=8)*AZ93+(BB93=8)*BD93+(BF93=8)*BH93+(BJ93=8)*BL93+(BN93=8)*BP93+(BR93=8)*BT93)</f>
        <v/>
      </c>
      <c r="AO93">
        <f>MAX(0,ROUND(N(AL93)+N(AM93)-N(AN93),2))</f>
        <v/>
      </c>
      <c r="AP93">
        <f>IFERROR(MATCH(1,OrderPlan,0),"")</f>
        <v/>
      </c>
      <c r="AQ93">
        <f>IF(AP93="",0,IFERROR(IF(N(CHOOSE(AP93,J93,N93,R93,V93,Z93,AD93,AH93,AL93))&lt;=0.005,0,MAX(0,N(CHOOSE(AP93,J93,N93,R93,V93,Z93,AD93,AH93,AL93))+N(CHOOSE(AP93,K93,O93,S93,W93,AA93,AE93,AI93,AM93))-MIN(N(CHOOSE(AP93,'Debt List'!$F$5,'Debt List'!$F$6,'Debt List'!$F$7,'Debt List'!$F$8,'Debt List'!$F$9,'Debt List'!$F$10,'Debt List'!$F$11,'Debt List'!$F$12)),N(CHOOSE(AP93,J93,N93,R93,V93,Z93,AD93,AH93,AL93))+N(CHOOSE(AP93,K93,O93,S93,W93,AA93,AE93,AI93,AM93))))),0))</f>
        <v/>
      </c>
      <c r="AR93">
        <f>MIN(N(AQ93),MAX(0,N(ExtraPayment)))</f>
        <v/>
      </c>
      <c r="AS93">
        <f>MAX(0,N(ExtraPayment)-N(AR93))</f>
        <v/>
      </c>
      <c r="AT93">
        <f>IFERROR(MATCH(2,OrderPlan,0),"")</f>
        <v/>
      </c>
      <c r="AU93">
        <f>IF(AT93="",0,IFERROR(IF(N(CHOOSE(AT93,J93,N93,R93,V93,Z93,AD93,AH93,AL93))&lt;=0.005,0,MAX(0,N(CHOOSE(AT93,J93,N93,R93,V93,Z93,AD93,AH93,AL93))+N(CHOOSE(AT93,K93,O93,S93,W93,AA93,AE93,AI93,AM93))-MIN(N(CHOOSE(AT93,'Debt List'!$F$5,'Debt List'!$F$6,'Debt List'!$F$7,'Debt List'!$F$8,'Debt List'!$F$9,'Debt List'!$F$10,'Debt List'!$F$11,'Debt List'!$F$12)),N(CHOOSE(AT93,J93,N93,R93,V93,Z93,AD93,AH93,AL93))+N(CHOOSE(AT93,K93,O93,S93,W93,AA93,AE93,AI93,AM93))))),0))</f>
        <v/>
      </c>
      <c r="AV93">
        <f>MIN(N(AU93),MAX(0,N(AS93)))</f>
        <v/>
      </c>
      <c r="AW93">
        <f>MAX(0,N(AS93)-N(AV93))</f>
        <v/>
      </c>
      <c r="AX93">
        <f>IFERROR(MATCH(3,OrderPlan,0),"")</f>
        <v/>
      </c>
      <c r="AY93">
        <f>IF(AX93="",0,IFERROR(IF(N(CHOOSE(AX93,J93,N93,R93,V93,Z93,AD93,AH93,AL93))&lt;=0.005,0,MAX(0,N(CHOOSE(AX93,J93,N93,R93,V93,Z93,AD93,AH93,AL93))+N(CHOOSE(AX93,K93,O93,S93,W93,AA93,AE93,AI93,AM93))-MIN(N(CHOOSE(AX93,'Debt List'!$F$5,'Debt List'!$F$6,'Debt List'!$F$7,'Debt List'!$F$8,'Debt List'!$F$9,'Debt List'!$F$10,'Debt List'!$F$11,'Debt List'!$F$12)),N(CHOOSE(AX93,J93,N93,R93,V93,Z93,AD93,AH93,AL93))+N(CHOOSE(AX93,K93,O93,S93,W93,AA93,AE93,AI93,AM93))))),0))</f>
        <v/>
      </c>
      <c r="AZ93">
        <f>MIN(N(AY93),MAX(0,N(AW93)))</f>
        <v/>
      </c>
      <c r="BA93">
        <f>MAX(0,N(AW93)-N(AZ93))</f>
        <v/>
      </c>
      <c r="BB93">
        <f>IFERROR(MATCH(4,OrderPlan,0),"")</f>
        <v/>
      </c>
      <c r="BC93">
        <f>IF(BB93="",0,IFERROR(IF(N(CHOOSE(BB93,J93,N93,R93,V93,Z93,AD93,AH93,AL93))&lt;=0.005,0,MAX(0,N(CHOOSE(BB93,J93,N93,R93,V93,Z93,AD93,AH93,AL93))+N(CHOOSE(BB93,K93,O93,S93,W93,AA93,AE93,AI93,AM93))-MIN(N(CHOOSE(BB93,'Debt List'!$F$5,'Debt List'!$F$6,'Debt List'!$F$7,'Debt List'!$F$8,'Debt List'!$F$9,'Debt List'!$F$10,'Debt List'!$F$11,'Debt List'!$F$12)),N(CHOOSE(BB93,J93,N93,R93,V93,Z93,AD93,AH93,AL93))+N(CHOOSE(BB93,K93,O93,S93,W93,AA93,AE93,AI93,AM93))))),0))</f>
        <v/>
      </c>
      <c r="BD93">
        <f>MIN(N(BC93),MAX(0,N(BA93)))</f>
        <v/>
      </c>
      <c r="BE93">
        <f>MAX(0,N(BA93)-N(BD93))</f>
        <v/>
      </c>
      <c r="BF93">
        <f>IFERROR(MATCH(5,OrderPlan,0),"")</f>
        <v/>
      </c>
      <c r="BG93">
        <f>IF(BF93="",0,IFERROR(IF(N(CHOOSE(BF93,J93,N93,R93,V93,Z93,AD93,AH93,AL93))&lt;=0.005,0,MAX(0,N(CHOOSE(BF93,J93,N93,R93,V93,Z93,AD93,AH93,AL93))+N(CHOOSE(BF93,K93,O93,S93,W93,AA93,AE93,AI93,AM93))-MIN(N(CHOOSE(BF93,'Debt List'!$F$5,'Debt List'!$F$6,'Debt List'!$F$7,'Debt List'!$F$8,'Debt List'!$F$9,'Debt List'!$F$10,'Debt List'!$F$11,'Debt List'!$F$12)),N(CHOOSE(BF93,J93,N93,R93,V93,Z93,AD93,AH93,AL93))+N(CHOOSE(BF93,K93,O93,S93,W93,AA93,AE93,AI93,AM93))))),0))</f>
        <v/>
      </c>
      <c r="BH93">
        <f>MIN(N(BG93),MAX(0,N(BE93)))</f>
        <v/>
      </c>
      <c r="BI93">
        <f>MAX(0,N(BE93)-N(BH93))</f>
        <v/>
      </c>
      <c r="BJ93">
        <f>IFERROR(MATCH(6,OrderPlan,0),"")</f>
        <v/>
      </c>
      <c r="BK93">
        <f>IF(BJ93="",0,IFERROR(IF(N(CHOOSE(BJ93,J93,N93,R93,V93,Z93,AD93,AH93,AL93))&lt;=0.005,0,MAX(0,N(CHOOSE(BJ93,J93,N93,R93,V93,Z93,AD93,AH93,AL93))+N(CHOOSE(BJ93,K93,O93,S93,W93,AA93,AE93,AI93,AM93))-MIN(N(CHOOSE(BJ93,'Debt List'!$F$5,'Debt List'!$F$6,'Debt List'!$F$7,'Debt List'!$F$8,'Debt List'!$F$9,'Debt List'!$F$10,'Debt List'!$F$11,'Debt List'!$F$12)),N(CHOOSE(BJ93,J93,N93,R93,V93,Z93,AD93,AH93,AL93))+N(CHOOSE(BJ93,K93,O93,S93,W93,AA93,AE93,AI93,AM93))))),0))</f>
        <v/>
      </c>
      <c r="BL93">
        <f>MIN(N(BK93),MAX(0,N(BI93)))</f>
        <v/>
      </c>
      <c r="BM93">
        <f>MAX(0,N(BI93)-N(BL93))</f>
        <v/>
      </c>
      <c r="BN93">
        <f>IFERROR(MATCH(7,OrderPlan,0),"")</f>
        <v/>
      </c>
      <c r="BO93">
        <f>IF(BN93="",0,IFERROR(IF(N(CHOOSE(BN93,J93,N93,R93,V93,Z93,AD93,AH93,AL93))&lt;=0.005,0,MAX(0,N(CHOOSE(BN93,J93,N93,R93,V93,Z93,AD93,AH93,AL93))+N(CHOOSE(BN93,K93,O93,S93,W93,AA93,AE93,AI93,AM93))-MIN(N(CHOOSE(BN93,'Debt List'!$F$5,'Debt List'!$F$6,'Debt List'!$F$7,'Debt List'!$F$8,'Debt List'!$F$9,'Debt List'!$F$10,'Debt List'!$F$11,'Debt List'!$F$12)),N(CHOOSE(BN93,J93,N93,R93,V93,Z93,AD93,AH93,AL93))+N(CHOOSE(BN93,K93,O93,S93,W93,AA93,AE93,AI93,AM93))))),0))</f>
        <v/>
      </c>
      <c r="BP93">
        <f>MIN(N(BO93),MAX(0,N(BM93)))</f>
        <v/>
      </c>
      <c r="BQ93">
        <f>MAX(0,N(BM93)-N(BP93))</f>
        <v/>
      </c>
      <c r="BR93">
        <f>IFERROR(MATCH(8,OrderPlan,0),"")</f>
        <v/>
      </c>
      <c r="BS93">
        <f>IF(BR93="",0,IFERROR(IF(N(CHOOSE(BR93,J93,N93,R93,V93,Z93,AD93,AH93,AL93))&lt;=0.005,0,MAX(0,N(CHOOSE(BR93,J93,N93,R93,V93,Z93,AD93,AH93,AL93))+N(CHOOSE(BR93,K93,O93,S93,W93,AA93,AE93,AI93,AM93))-MIN(N(CHOOSE(BR93,'Debt List'!$F$5,'Debt List'!$F$6,'Debt List'!$F$7,'Debt List'!$F$8,'Debt List'!$F$9,'Debt List'!$F$10,'Debt List'!$F$11,'Debt List'!$F$12)),N(CHOOSE(BR93,J93,N93,R93,V93,Z93,AD93,AH93,AL93))+N(CHOOSE(BR93,K93,O93,S93,W93,AA93,AE93,AI93,AM93))))),0))</f>
        <v/>
      </c>
      <c r="BT93">
        <f>MIN(N(BS93),MAX(0,N(BQ93)))</f>
        <v/>
      </c>
      <c r="BU93">
        <f>MAX(0,N(BQ93)-N(BT93))</f>
        <v/>
      </c>
      <c r="CC93" t="n">
        <v>89</v>
      </c>
      <c r="CD93" s="115">
        <f>DATE(YEAR(PlanStart),MONTH(PlanStart)+CC93-1,1)</f>
        <v/>
      </c>
      <c r="CE93">
        <f>IF(AND(DR93&lt;&gt;"",N(CHOOSE(DR93,CL93,CP93,CT93,CX93,DB93,DF93,DJ93,DN93))&gt;0.005),INDEX(DebtNames,DR93),IF(AND(DV93&lt;&gt;"",N(CHOOSE(DV93,CL93,CP93,CT93,CX93,DB93,DF93,DJ93,DN93))&gt;0.005),INDEX(DebtNames,DV93),IF(AND(DZ93&lt;&gt;"",N(CHOOSE(DZ93,CL93,CP93,CT93,CX93,DB93,DF93,DJ93,DN93))&gt;0.005),INDEX(DebtNames,DZ93),IF(AND(ED93&lt;&gt;"",N(CHOOSE(ED93,CL93,CP93,CT93,CX93,DB93,DF93,DJ93,DN93))&gt;0.005),INDEX(DebtNames,ED93),IF(AND(EH93&lt;&gt;"",N(CHOOSE(EH93,CL93,CP93,CT93,CX93,DB93,DF93,DJ93,DN93))&gt;0.005),INDEX(DebtNames,EH93),IF(AND(EL93&lt;&gt;"",N(CHOOSE(EL93,CL93,CP93,CT93,CX93,DB93,DF93,DJ93,DN93))&gt;0.005),INDEX(DebtNames,EL93),IF(AND(EP93&lt;&gt;"",N(CHOOSE(EP93,CL93,CP93,CT93,CX93,DB93,DF93,DJ93,DN93))&gt;0.005),INDEX(DebtNames,EP93),IF(AND(ET93&lt;&gt;"",N(CHOOSE(ET93,CL93,CP93,CT93,CX93,DB93,DF93,DJ93,DN93))&gt;0.005),INDEX(DebtNames,ET93),""))))))))</f>
        <v/>
      </c>
      <c r="CF93">
        <f>N(EW93)</f>
        <v/>
      </c>
      <c r="CG93">
        <f>N(CN93)+N(CR93)+N(CV93)+N(CZ93)+N(DD93)+N(DH93)+N(DL93)+N(DP93)</f>
        <v/>
      </c>
      <c r="CH93">
        <f>N(CM93)+N(CQ93)+N(CU93)+N(CY93)+N(DC93)+N(DG93)+N(DK93)+N(DO93)</f>
        <v/>
      </c>
      <c r="CI93">
        <f>N(CI92)+N(CH93)</f>
        <v/>
      </c>
      <c r="CJ93">
        <f>N(CO93)+N(CS93)+N(CW93)+N(DA93)+N(DE93)+N(DI93)+N(DM93)+N(DQ93)</f>
        <v/>
      </c>
      <c r="CK93">
        <f>(CO93&gt;0.005)*1+(CS93&gt;0.005)*1+(CW93&gt;0.005)*1+(DA93&gt;0.005)*1+(DE93&gt;0.005)*1+(DI93&gt;0.005)*1+(DM93&gt;0.005)*1+(DQ93&gt;0.005)*1</f>
        <v/>
      </c>
      <c r="CL93">
        <f>N(CO92)</f>
        <v/>
      </c>
      <c r="CM93">
        <f>IF(N(CL93)&lt;=0.005,0,ROUND(N(CL93)*N('Debt List'!E5)/12,2))</f>
        <v/>
      </c>
      <c r="CN93">
        <f>IF(N(CL93)&lt;=0.005,0,MIN(N('Debt List'!F5),N(CL93)+N(CM93)))+((DR93=1)*DT93+(DV93=1)*DX93+(DZ93=1)*EB93+(ED93=1)*EF93+(EH93=1)*EJ93+(EL93=1)*EN93+(EP93=1)*ER93+(ET93=1)*EV93)</f>
        <v/>
      </c>
      <c r="CO93">
        <f>MAX(0,ROUND(N(CL93)+N(CM93)-N(CN93),2))</f>
        <v/>
      </c>
      <c r="CP93">
        <f>N(CS92)</f>
        <v/>
      </c>
      <c r="CQ93">
        <f>IF(N(CP93)&lt;=0.005,0,ROUND(N(CP93)*N('Debt List'!E6)/12,2))</f>
        <v/>
      </c>
      <c r="CR93">
        <f>IF(N(CP93)&lt;=0.005,0,MIN(N('Debt List'!F6),N(CP93)+N(CQ93)))+((DR93=2)*DT93+(DV93=2)*DX93+(DZ93=2)*EB93+(ED93=2)*EF93+(EH93=2)*EJ93+(EL93=2)*EN93+(EP93=2)*ER93+(ET93=2)*EV93)</f>
        <v/>
      </c>
      <c r="CS93">
        <f>MAX(0,ROUND(N(CP93)+N(CQ93)-N(CR93),2))</f>
        <v/>
      </c>
      <c r="CT93">
        <f>N(CW92)</f>
        <v/>
      </c>
      <c r="CU93">
        <f>IF(N(CT93)&lt;=0.005,0,ROUND(N(CT93)*N('Debt List'!E7)/12,2))</f>
        <v/>
      </c>
      <c r="CV93">
        <f>IF(N(CT93)&lt;=0.005,0,MIN(N('Debt List'!F7),N(CT93)+N(CU93)))+((DR93=3)*DT93+(DV93=3)*DX93+(DZ93=3)*EB93+(ED93=3)*EF93+(EH93=3)*EJ93+(EL93=3)*EN93+(EP93=3)*ER93+(ET93=3)*EV93)</f>
        <v/>
      </c>
      <c r="CW93">
        <f>MAX(0,ROUND(N(CT93)+N(CU93)-N(CV93),2))</f>
        <v/>
      </c>
      <c r="CX93">
        <f>N(DA92)</f>
        <v/>
      </c>
      <c r="CY93">
        <f>IF(N(CX93)&lt;=0.005,0,ROUND(N(CX93)*N('Debt List'!E8)/12,2))</f>
        <v/>
      </c>
      <c r="CZ93">
        <f>IF(N(CX93)&lt;=0.005,0,MIN(N('Debt List'!F8),N(CX93)+N(CY93)))+((DR93=4)*DT93+(DV93=4)*DX93+(DZ93=4)*EB93+(ED93=4)*EF93+(EH93=4)*EJ93+(EL93=4)*EN93+(EP93=4)*ER93+(ET93=4)*EV93)</f>
        <v/>
      </c>
      <c r="DA93">
        <f>MAX(0,ROUND(N(CX93)+N(CY93)-N(CZ93),2))</f>
        <v/>
      </c>
      <c r="DB93">
        <f>N(DE92)</f>
        <v/>
      </c>
      <c r="DC93">
        <f>IF(N(DB93)&lt;=0.005,0,ROUND(N(DB93)*N('Debt List'!E9)/12,2))</f>
        <v/>
      </c>
      <c r="DD93">
        <f>IF(N(DB93)&lt;=0.005,0,MIN(N('Debt List'!F9),N(DB93)+N(DC93)))+((DR93=5)*DT93+(DV93=5)*DX93+(DZ93=5)*EB93+(ED93=5)*EF93+(EH93=5)*EJ93+(EL93=5)*EN93+(EP93=5)*ER93+(ET93=5)*EV93)</f>
        <v/>
      </c>
      <c r="DE93">
        <f>MAX(0,ROUND(N(DB93)+N(DC93)-N(DD93),2))</f>
        <v/>
      </c>
      <c r="DF93">
        <f>N(DI92)</f>
        <v/>
      </c>
      <c r="DG93">
        <f>IF(N(DF93)&lt;=0.005,0,ROUND(N(DF93)*N('Debt List'!E10)/12,2))</f>
        <v/>
      </c>
      <c r="DH93">
        <f>IF(N(DF93)&lt;=0.005,0,MIN(N('Debt List'!F10),N(DF93)+N(DG93)))+((DR93=6)*DT93+(DV93=6)*DX93+(DZ93=6)*EB93+(ED93=6)*EF93+(EH93=6)*EJ93+(EL93=6)*EN93+(EP93=6)*ER93+(ET93=6)*EV93)</f>
        <v/>
      </c>
      <c r="DI93">
        <f>MAX(0,ROUND(N(DF93)+N(DG93)-N(DH93),2))</f>
        <v/>
      </c>
      <c r="DJ93">
        <f>N(DM92)</f>
        <v/>
      </c>
      <c r="DK93">
        <f>IF(N(DJ93)&lt;=0.005,0,ROUND(N(DJ93)*N('Debt List'!E11)/12,2))</f>
        <v/>
      </c>
      <c r="DL93">
        <f>IF(N(DJ93)&lt;=0.005,0,MIN(N('Debt List'!F11),N(DJ93)+N(DK93)))+((DR93=7)*DT93+(DV93=7)*DX93+(DZ93=7)*EB93+(ED93=7)*EF93+(EH93=7)*EJ93+(EL93=7)*EN93+(EP93=7)*ER93+(ET93=7)*EV93)</f>
        <v/>
      </c>
      <c r="DM93">
        <f>MAX(0,ROUND(N(DJ93)+N(DK93)-N(DL93),2))</f>
        <v/>
      </c>
      <c r="DN93">
        <f>N(DQ92)</f>
        <v/>
      </c>
      <c r="DO93">
        <f>IF(N(DN93)&lt;=0.005,0,ROUND(N(DN93)*N('Debt List'!E12)/12,2))</f>
        <v/>
      </c>
      <c r="DP93">
        <f>IF(N(DN93)&lt;=0.005,0,MIN(N('Debt List'!F12),N(DN93)+N(DO93)))+((DR93=8)*DT93+(DV93=8)*DX93+(DZ93=8)*EB93+(ED93=8)*EF93+(EH93=8)*EJ93+(EL93=8)*EN93+(EP93=8)*ER93+(ET93=8)*EV93)</f>
        <v/>
      </c>
      <c r="DQ93">
        <f>MAX(0,ROUND(N(DN93)+N(DO93)-N(DP93),2))</f>
        <v/>
      </c>
      <c r="DR93">
        <f>IFERROR(MATCH(1,OrderSnow,0),"")</f>
        <v/>
      </c>
      <c r="DS93">
        <f>IF(DR93="",0,IFERROR(IF(N(CHOOSE(DR93,CL93,CP93,CT93,CX93,DB93,DF93,DJ93,DN93))&lt;=0.005,0,MAX(0,N(CHOOSE(DR93,CL93,CP93,CT93,CX93,DB93,DF93,DJ93,DN93))+N(CHOOSE(DR93,CM93,CQ93,CU93,CY93,DC93,DG93,DK93,DO93))-MIN(N(CHOOSE(DR93,'Debt List'!$F$5,'Debt List'!$F$6,'Debt List'!$F$7,'Debt List'!$F$8,'Debt List'!$F$9,'Debt List'!$F$10,'Debt List'!$F$11,'Debt List'!$F$12)),N(CHOOSE(DR93,CL93,CP93,CT93,CX93,DB93,DF93,DJ93,DN93))+N(CHOOSE(DR93,CM93,CQ93,CU93,CY93,DC93,DG93,DK93,DO93))))),0))</f>
        <v/>
      </c>
      <c r="DT93">
        <f>MIN(N(DS93),MAX(0,N(ExtraPayment)))</f>
        <v/>
      </c>
      <c r="DU93">
        <f>MAX(0,N(ExtraPayment)-N(DT93))</f>
        <v/>
      </c>
      <c r="DV93">
        <f>IFERROR(MATCH(2,OrderSnow,0),"")</f>
        <v/>
      </c>
      <c r="DW93">
        <f>IF(DV93="",0,IFERROR(IF(N(CHOOSE(DV93,CL93,CP93,CT93,CX93,DB93,DF93,DJ93,DN93))&lt;=0.005,0,MAX(0,N(CHOOSE(DV93,CL93,CP93,CT93,CX93,DB93,DF93,DJ93,DN93))+N(CHOOSE(DV93,CM93,CQ93,CU93,CY93,DC93,DG93,DK93,DO93))-MIN(N(CHOOSE(DV93,'Debt List'!$F$5,'Debt List'!$F$6,'Debt List'!$F$7,'Debt List'!$F$8,'Debt List'!$F$9,'Debt List'!$F$10,'Debt List'!$F$11,'Debt List'!$F$12)),N(CHOOSE(DV93,CL93,CP93,CT93,CX93,DB93,DF93,DJ93,DN93))+N(CHOOSE(DV93,CM93,CQ93,CU93,CY93,DC93,DG93,DK93,DO93))))),0))</f>
        <v/>
      </c>
      <c r="DX93">
        <f>MIN(N(DW93),MAX(0,N(DU93)))</f>
        <v/>
      </c>
      <c r="DY93">
        <f>MAX(0,N(DU93)-N(DX93))</f>
        <v/>
      </c>
      <c r="DZ93">
        <f>IFERROR(MATCH(3,OrderSnow,0),"")</f>
        <v/>
      </c>
      <c r="EA93">
        <f>IF(DZ93="",0,IFERROR(IF(N(CHOOSE(DZ93,CL93,CP93,CT93,CX93,DB93,DF93,DJ93,DN93))&lt;=0.005,0,MAX(0,N(CHOOSE(DZ93,CL93,CP93,CT93,CX93,DB93,DF93,DJ93,DN93))+N(CHOOSE(DZ93,CM93,CQ93,CU93,CY93,DC93,DG93,DK93,DO93))-MIN(N(CHOOSE(DZ93,'Debt List'!$F$5,'Debt List'!$F$6,'Debt List'!$F$7,'Debt List'!$F$8,'Debt List'!$F$9,'Debt List'!$F$10,'Debt List'!$F$11,'Debt List'!$F$12)),N(CHOOSE(DZ93,CL93,CP93,CT93,CX93,DB93,DF93,DJ93,DN93))+N(CHOOSE(DZ93,CM93,CQ93,CU93,CY93,DC93,DG93,DK93,DO93))))),0))</f>
        <v/>
      </c>
      <c r="EB93">
        <f>MIN(N(EA93),MAX(0,N(DY93)))</f>
        <v/>
      </c>
      <c r="EC93">
        <f>MAX(0,N(DY93)-N(EB93))</f>
        <v/>
      </c>
      <c r="ED93">
        <f>IFERROR(MATCH(4,OrderSnow,0),"")</f>
        <v/>
      </c>
      <c r="EE93">
        <f>IF(ED93="",0,IFERROR(IF(N(CHOOSE(ED93,CL93,CP93,CT93,CX93,DB93,DF93,DJ93,DN93))&lt;=0.005,0,MAX(0,N(CHOOSE(ED93,CL93,CP93,CT93,CX93,DB93,DF93,DJ93,DN93))+N(CHOOSE(ED93,CM93,CQ93,CU93,CY93,DC93,DG93,DK93,DO93))-MIN(N(CHOOSE(ED93,'Debt List'!$F$5,'Debt List'!$F$6,'Debt List'!$F$7,'Debt List'!$F$8,'Debt List'!$F$9,'Debt List'!$F$10,'Debt List'!$F$11,'Debt List'!$F$12)),N(CHOOSE(ED93,CL93,CP93,CT93,CX93,DB93,DF93,DJ93,DN93))+N(CHOOSE(ED93,CM93,CQ93,CU93,CY93,DC93,DG93,DK93,DO93))))),0))</f>
        <v/>
      </c>
      <c r="EF93">
        <f>MIN(N(EE93),MAX(0,N(EC93)))</f>
        <v/>
      </c>
      <c r="EG93">
        <f>MAX(0,N(EC93)-N(EF93))</f>
        <v/>
      </c>
      <c r="EH93">
        <f>IFERROR(MATCH(5,OrderSnow,0),"")</f>
        <v/>
      </c>
      <c r="EI93">
        <f>IF(EH93="",0,IFERROR(IF(N(CHOOSE(EH93,CL93,CP93,CT93,CX93,DB93,DF93,DJ93,DN93))&lt;=0.005,0,MAX(0,N(CHOOSE(EH93,CL93,CP93,CT93,CX93,DB93,DF93,DJ93,DN93))+N(CHOOSE(EH93,CM93,CQ93,CU93,CY93,DC93,DG93,DK93,DO93))-MIN(N(CHOOSE(EH93,'Debt List'!$F$5,'Debt List'!$F$6,'Debt List'!$F$7,'Debt List'!$F$8,'Debt List'!$F$9,'Debt List'!$F$10,'Debt List'!$F$11,'Debt List'!$F$12)),N(CHOOSE(EH93,CL93,CP93,CT93,CX93,DB93,DF93,DJ93,DN93))+N(CHOOSE(EH93,CM93,CQ93,CU93,CY93,DC93,DG93,DK93,DO93))))),0))</f>
        <v/>
      </c>
      <c r="EJ93">
        <f>MIN(N(EI93),MAX(0,N(EG93)))</f>
        <v/>
      </c>
      <c r="EK93">
        <f>MAX(0,N(EG93)-N(EJ93))</f>
        <v/>
      </c>
      <c r="EL93">
        <f>IFERROR(MATCH(6,OrderSnow,0),"")</f>
        <v/>
      </c>
      <c r="EM93">
        <f>IF(EL93="",0,IFERROR(IF(N(CHOOSE(EL93,CL93,CP93,CT93,CX93,DB93,DF93,DJ93,DN93))&lt;=0.005,0,MAX(0,N(CHOOSE(EL93,CL93,CP93,CT93,CX93,DB93,DF93,DJ93,DN93))+N(CHOOSE(EL93,CM93,CQ93,CU93,CY93,DC93,DG93,DK93,DO93))-MIN(N(CHOOSE(EL93,'Debt List'!$F$5,'Debt List'!$F$6,'Debt List'!$F$7,'Debt List'!$F$8,'Debt List'!$F$9,'Debt List'!$F$10,'Debt List'!$F$11,'Debt List'!$F$12)),N(CHOOSE(EL93,CL93,CP93,CT93,CX93,DB93,DF93,DJ93,DN93))+N(CHOOSE(EL93,CM93,CQ93,CU93,CY93,DC93,DG93,DK93,DO93))))),0))</f>
        <v/>
      </c>
      <c r="EN93">
        <f>MIN(N(EM93),MAX(0,N(EK93)))</f>
        <v/>
      </c>
      <c r="EO93">
        <f>MAX(0,N(EK93)-N(EN93))</f>
        <v/>
      </c>
      <c r="EP93">
        <f>IFERROR(MATCH(7,OrderSnow,0),"")</f>
        <v/>
      </c>
      <c r="EQ93">
        <f>IF(EP93="",0,IFERROR(IF(N(CHOOSE(EP93,CL93,CP93,CT93,CX93,DB93,DF93,DJ93,DN93))&lt;=0.005,0,MAX(0,N(CHOOSE(EP93,CL93,CP93,CT93,CX93,DB93,DF93,DJ93,DN93))+N(CHOOSE(EP93,CM93,CQ93,CU93,CY93,DC93,DG93,DK93,DO93))-MIN(N(CHOOSE(EP93,'Debt List'!$F$5,'Debt List'!$F$6,'Debt List'!$F$7,'Debt List'!$F$8,'Debt List'!$F$9,'Debt List'!$F$10,'Debt List'!$F$11,'Debt List'!$F$12)),N(CHOOSE(EP93,CL93,CP93,CT93,CX93,DB93,DF93,DJ93,DN93))+N(CHOOSE(EP93,CM93,CQ93,CU93,CY93,DC93,DG93,DK93,DO93))))),0))</f>
        <v/>
      </c>
      <c r="ER93">
        <f>MIN(N(EQ93),MAX(0,N(EO93)))</f>
        <v/>
      </c>
      <c r="ES93">
        <f>MAX(0,N(EO93)-N(ER93))</f>
        <v/>
      </c>
      <c r="ET93">
        <f>IFERROR(MATCH(8,OrderSnow,0),"")</f>
        <v/>
      </c>
      <c r="EU93">
        <f>IF(ET93="",0,IFERROR(IF(N(CHOOSE(ET93,CL93,CP93,CT93,CX93,DB93,DF93,DJ93,DN93))&lt;=0.005,0,MAX(0,N(CHOOSE(ET93,CL93,CP93,CT93,CX93,DB93,DF93,DJ93,DN93))+N(CHOOSE(ET93,CM93,CQ93,CU93,CY93,DC93,DG93,DK93,DO93))-MIN(N(CHOOSE(ET93,'Debt List'!$F$5,'Debt List'!$F$6,'Debt List'!$F$7,'Debt List'!$F$8,'Debt List'!$F$9,'Debt List'!$F$10,'Debt List'!$F$11,'Debt List'!$F$12)),N(CHOOSE(ET93,CL93,CP93,CT93,CX93,DB93,DF93,DJ93,DN93))+N(CHOOSE(ET93,CM93,CQ93,CU93,CY93,DC93,DG93,DK93,DO93))))),0))</f>
        <v/>
      </c>
      <c r="EV93">
        <f>MIN(N(EU93),MAX(0,N(ES93)))</f>
        <v/>
      </c>
      <c r="EW93">
        <f>MAX(0,N(ES93)-N(EV93))</f>
        <v/>
      </c>
      <c r="FE93" t="n">
        <v>89</v>
      </c>
      <c r="FF93" s="115">
        <f>DATE(YEAR(PlanStart),MONTH(PlanStart)+FE93-1,1)</f>
        <v/>
      </c>
      <c r="FG93">
        <f>IF(AND(GT93&lt;&gt;"",N(CHOOSE(GT93,FN93,FR93,FV93,FZ93,GD93,GH93,GL93,GP93))&gt;0.005),INDEX(DebtNames,GT93),IF(AND(GX93&lt;&gt;"",N(CHOOSE(GX93,FN93,FR93,FV93,FZ93,GD93,GH93,GL93,GP93))&gt;0.005),INDEX(DebtNames,GX93),IF(AND(HB93&lt;&gt;"",N(CHOOSE(HB93,FN93,FR93,FV93,FZ93,GD93,GH93,GL93,GP93))&gt;0.005),INDEX(DebtNames,HB93),IF(AND(HF93&lt;&gt;"",N(CHOOSE(HF93,FN93,FR93,FV93,FZ93,GD93,GH93,GL93,GP93))&gt;0.005),INDEX(DebtNames,HF93),IF(AND(HJ93&lt;&gt;"",N(CHOOSE(HJ93,FN93,FR93,FV93,FZ93,GD93,GH93,GL93,GP93))&gt;0.005),INDEX(DebtNames,HJ93),IF(AND(HN93&lt;&gt;"",N(CHOOSE(HN93,FN93,FR93,FV93,FZ93,GD93,GH93,GL93,GP93))&gt;0.005),INDEX(DebtNames,HN93),IF(AND(HR93&lt;&gt;"",N(CHOOSE(HR93,FN93,FR93,FV93,FZ93,GD93,GH93,GL93,GP93))&gt;0.005),INDEX(DebtNames,HR93),IF(AND(HV93&lt;&gt;"",N(CHOOSE(HV93,FN93,FR93,FV93,FZ93,GD93,GH93,GL93,GP93))&gt;0.005),INDEX(DebtNames,HV93),""))))))))</f>
        <v/>
      </c>
      <c r="FH93">
        <f>N(HY93)</f>
        <v/>
      </c>
      <c r="FI93">
        <f>N(FP93)+N(FT93)+N(FX93)+N(GB93)+N(GF93)+N(GJ93)+N(GN93)+N(GR93)</f>
        <v/>
      </c>
      <c r="FJ93">
        <f>N(FO93)+N(FS93)+N(FW93)+N(GA93)+N(GE93)+N(GI93)+N(GM93)+N(GQ93)</f>
        <v/>
      </c>
      <c r="FK93">
        <f>N(FK92)+N(FJ93)</f>
        <v/>
      </c>
      <c r="FL93">
        <f>N(FQ93)+N(FU93)+N(FY93)+N(GC93)+N(GG93)+N(GK93)+N(GO93)+N(GS93)</f>
        <v/>
      </c>
      <c r="FM93">
        <f>(FQ93&gt;0.005)*1+(FU93&gt;0.005)*1+(FY93&gt;0.005)*1+(GC93&gt;0.005)*1+(GG93&gt;0.005)*1+(GK93&gt;0.005)*1+(GO93&gt;0.005)*1+(GS93&gt;0.005)*1</f>
        <v/>
      </c>
      <c r="FN93">
        <f>N(FQ92)</f>
        <v/>
      </c>
      <c r="FO93">
        <f>IF(N(FN93)&lt;=0.005,0,ROUND(N(FN93)*N('Debt List'!E5)/12,2))</f>
        <v/>
      </c>
      <c r="FP93">
        <f>IF(N(FN93)&lt;=0.005,0,MIN(N('Debt List'!F5),N(FN93)+N(FO93)))+((GT93=1)*GV93+(GX93=1)*GZ93+(HB93=1)*HD93+(HF93=1)*HH93+(HJ93=1)*HL93+(HN93=1)*HP93+(HR93=1)*HT93+(HV93=1)*HX93)</f>
        <v/>
      </c>
      <c r="FQ93">
        <f>MAX(0,ROUND(N(FN93)+N(FO93)-N(FP93),2))</f>
        <v/>
      </c>
      <c r="FR93">
        <f>N(FU92)</f>
        <v/>
      </c>
      <c r="FS93">
        <f>IF(N(FR93)&lt;=0.005,0,ROUND(N(FR93)*N('Debt List'!E6)/12,2))</f>
        <v/>
      </c>
      <c r="FT93">
        <f>IF(N(FR93)&lt;=0.005,0,MIN(N('Debt List'!F6),N(FR93)+N(FS93)))+((GT93=2)*GV93+(GX93=2)*GZ93+(HB93=2)*HD93+(HF93=2)*HH93+(HJ93=2)*HL93+(HN93=2)*HP93+(HR93=2)*HT93+(HV93=2)*HX93)</f>
        <v/>
      </c>
      <c r="FU93">
        <f>MAX(0,ROUND(N(FR93)+N(FS93)-N(FT93),2))</f>
        <v/>
      </c>
      <c r="FV93">
        <f>N(FY92)</f>
        <v/>
      </c>
      <c r="FW93">
        <f>IF(N(FV93)&lt;=0.005,0,ROUND(N(FV93)*N('Debt List'!E7)/12,2))</f>
        <v/>
      </c>
      <c r="FX93">
        <f>IF(N(FV93)&lt;=0.005,0,MIN(N('Debt List'!F7),N(FV93)+N(FW93)))+((GT93=3)*GV93+(GX93=3)*GZ93+(HB93=3)*HD93+(HF93=3)*HH93+(HJ93=3)*HL93+(HN93=3)*HP93+(HR93=3)*HT93+(HV93=3)*HX93)</f>
        <v/>
      </c>
      <c r="FY93">
        <f>MAX(0,ROUND(N(FV93)+N(FW93)-N(FX93),2))</f>
        <v/>
      </c>
      <c r="FZ93">
        <f>N(GC92)</f>
        <v/>
      </c>
      <c r="GA93">
        <f>IF(N(FZ93)&lt;=0.005,0,ROUND(N(FZ93)*N('Debt List'!E8)/12,2))</f>
        <v/>
      </c>
      <c r="GB93">
        <f>IF(N(FZ93)&lt;=0.005,0,MIN(N('Debt List'!F8),N(FZ93)+N(GA93)))+((GT93=4)*GV93+(GX93=4)*GZ93+(HB93=4)*HD93+(HF93=4)*HH93+(HJ93=4)*HL93+(HN93=4)*HP93+(HR93=4)*HT93+(HV93=4)*HX93)</f>
        <v/>
      </c>
      <c r="GC93">
        <f>MAX(0,ROUND(N(FZ93)+N(GA93)-N(GB93),2))</f>
        <v/>
      </c>
      <c r="GD93">
        <f>N(GG92)</f>
        <v/>
      </c>
      <c r="GE93">
        <f>IF(N(GD93)&lt;=0.005,0,ROUND(N(GD93)*N('Debt List'!E9)/12,2))</f>
        <v/>
      </c>
      <c r="GF93">
        <f>IF(N(GD93)&lt;=0.005,0,MIN(N('Debt List'!F9),N(GD93)+N(GE93)))+((GT93=5)*GV93+(GX93=5)*GZ93+(HB93=5)*HD93+(HF93=5)*HH93+(HJ93=5)*HL93+(HN93=5)*HP93+(HR93=5)*HT93+(HV93=5)*HX93)</f>
        <v/>
      </c>
      <c r="GG93">
        <f>MAX(0,ROUND(N(GD93)+N(GE93)-N(GF93),2))</f>
        <v/>
      </c>
      <c r="GH93">
        <f>N(GK92)</f>
        <v/>
      </c>
      <c r="GI93">
        <f>IF(N(GH93)&lt;=0.005,0,ROUND(N(GH93)*N('Debt List'!E10)/12,2))</f>
        <v/>
      </c>
      <c r="GJ93">
        <f>IF(N(GH93)&lt;=0.005,0,MIN(N('Debt List'!F10),N(GH93)+N(GI93)))+((GT93=6)*GV93+(GX93=6)*GZ93+(HB93=6)*HD93+(HF93=6)*HH93+(HJ93=6)*HL93+(HN93=6)*HP93+(HR93=6)*HT93+(HV93=6)*HX93)</f>
        <v/>
      </c>
      <c r="GK93">
        <f>MAX(0,ROUND(N(GH93)+N(GI93)-N(GJ93),2))</f>
        <v/>
      </c>
      <c r="GL93">
        <f>N(GO92)</f>
        <v/>
      </c>
      <c r="GM93">
        <f>IF(N(GL93)&lt;=0.005,0,ROUND(N(GL93)*N('Debt List'!E11)/12,2))</f>
        <v/>
      </c>
      <c r="GN93">
        <f>IF(N(GL93)&lt;=0.005,0,MIN(N('Debt List'!F11),N(GL93)+N(GM93)))+((GT93=7)*GV93+(GX93=7)*GZ93+(HB93=7)*HD93+(HF93=7)*HH93+(HJ93=7)*HL93+(HN93=7)*HP93+(HR93=7)*HT93+(HV93=7)*HX93)</f>
        <v/>
      </c>
      <c r="GO93">
        <f>MAX(0,ROUND(N(GL93)+N(GM93)-N(GN93),2))</f>
        <v/>
      </c>
      <c r="GP93">
        <f>N(GS92)</f>
        <v/>
      </c>
      <c r="GQ93">
        <f>IF(N(GP93)&lt;=0.005,0,ROUND(N(GP93)*N('Debt List'!E12)/12,2))</f>
        <v/>
      </c>
      <c r="GR93">
        <f>IF(N(GP93)&lt;=0.005,0,MIN(N('Debt List'!F12),N(GP93)+N(GQ93)))+((GT93=8)*GV93+(GX93=8)*GZ93+(HB93=8)*HD93+(HF93=8)*HH93+(HJ93=8)*HL93+(HN93=8)*HP93+(HR93=8)*HT93+(HV93=8)*HX93)</f>
        <v/>
      </c>
      <c r="GS93">
        <f>MAX(0,ROUND(N(GP93)+N(GQ93)-N(GR93),2))</f>
        <v/>
      </c>
      <c r="GT93">
        <f>IFERROR(MATCH(1,OrderAval,0),"")</f>
        <v/>
      </c>
      <c r="GU93">
        <f>IF(GT93="",0,IFERROR(IF(N(CHOOSE(GT93,FN93,FR93,FV93,FZ93,GD93,GH93,GL93,GP93))&lt;=0.005,0,MAX(0,N(CHOOSE(GT93,FN93,FR93,FV93,FZ93,GD93,GH93,GL93,GP93))+N(CHOOSE(GT93,FO93,FS93,FW93,GA93,GE93,GI93,GM93,GQ93))-MIN(N(CHOOSE(GT93,'Debt List'!$F$5,'Debt List'!$F$6,'Debt List'!$F$7,'Debt List'!$F$8,'Debt List'!$F$9,'Debt List'!$F$10,'Debt List'!$F$11,'Debt List'!$F$12)),N(CHOOSE(GT93,FN93,FR93,FV93,FZ93,GD93,GH93,GL93,GP93))+N(CHOOSE(GT93,FO93,FS93,FW93,GA93,GE93,GI93,GM93,GQ93))))),0))</f>
        <v/>
      </c>
      <c r="GV93">
        <f>MIN(N(GU93),MAX(0,N(ExtraPayment)))</f>
        <v/>
      </c>
      <c r="GW93">
        <f>MAX(0,N(ExtraPayment)-N(GV93))</f>
        <v/>
      </c>
      <c r="GX93">
        <f>IFERROR(MATCH(2,OrderAval,0),"")</f>
        <v/>
      </c>
      <c r="GY93">
        <f>IF(GX93="",0,IFERROR(IF(N(CHOOSE(GX93,FN93,FR93,FV93,FZ93,GD93,GH93,GL93,GP93))&lt;=0.005,0,MAX(0,N(CHOOSE(GX93,FN93,FR93,FV93,FZ93,GD93,GH93,GL93,GP93))+N(CHOOSE(GX93,FO93,FS93,FW93,GA93,GE93,GI93,GM93,GQ93))-MIN(N(CHOOSE(GX93,'Debt List'!$F$5,'Debt List'!$F$6,'Debt List'!$F$7,'Debt List'!$F$8,'Debt List'!$F$9,'Debt List'!$F$10,'Debt List'!$F$11,'Debt List'!$F$12)),N(CHOOSE(GX93,FN93,FR93,FV93,FZ93,GD93,GH93,GL93,GP93))+N(CHOOSE(GX93,FO93,FS93,FW93,GA93,GE93,GI93,GM93,GQ93))))),0))</f>
        <v/>
      </c>
      <c r="GZ93">
        <f>MIN(N(GY93),MAX(0,N(GW93)))</f>
        <v/>
      </c>
      <c r="HA93">
        <f>MAX(0,N(GW93)-N(GZ93))</f>
        <v/>
      </c>
      <c r="HB93">
        <f>IFERROR(MATCH(3,OrderAval,0),"")</f>
        <v/>
      </c>
      <c r="HC93">
        <f>IF(HB93="",0,IFERROR(IF(N(CHOOSE(HB93,FN93,FR93,FV93,FZ93,GD93,GH93,GL93,GP93))&lt;=0.005,0,MAX(0,N(CHOOSE(HB93,FN93,FR93,FV93,FZ93,GD93,GH93,GL93,GP93))+N(CHOOSE(HB93,FO93,FS93,FW93,GA93,GE93,GI93,GM93,GQ93))-MIN(N(CHOOSE(HB93,'Debt List'!$F$5,'Debt List'!$F$6,'Debt List'!$F$7,'Debt List'!$F$8,'Debt List'!$F$9,'Debt List'!$F$10,'Debt List'!$F$11,'Debt List'!$F$12)),N(CHOOSE(HB93,FN93,FR93,FV93,FZ93,GD93,GH93,GL93,GP93))+N(CHOOSE(HB93,FO93,FS93,FW93,GA93,GE93,GI93,GM93,GQ93))))),0))</f>
        <v/>
      </c>
      <c r="HD93">
        <f>MIN(N(HC93),MAX(0,N(HA93)))</f>
        <v/>
      </c>
      <c r="HE93">
        <f>MAX(0,N(HA93)-N(HD93))</f>
        <v/>
      </c>
      <c r="HF93">
        <f>IFERROR(MATCH(4,OrderAval,0),"")</f>
        <v/>
      </c>
      <c r="HG93">
        <f>IF(HF93="",0,IFERROR(IF(N(CHOOSE(HF93,FN93,FR93,FV93,FZ93,GD93,GH93,GL93,GP93))&lt;=0.005,0,MAX(0,N(CHOOSE(HF93,FN93,FR93,FV93,FZ93,GD93,GH93,GL93,GP93))+N(CHOOSE(HF93,FO93,FS93,FW93,GA93,GE93,GI93,GM93,GQ93))-MIN(N(CHOOSE(HF93,'Debt List'!$F$5,'Debt List'!$F$6,'Debt List'!$F$7,'Debt List'!$F$8,'Debt List'!$F$9,'Debt List'!$F$10,'Debt List'!$F$11,'Debt List'!$F$12)),N(CHOOSE(HF93,FN93,FR93,FV93,FZ93,GD93,GH93,GL93,GP93))+N(CHOOSE(HF93,FO93,FS93,FW93,GA93,GE93,GI93,GM93,GQ93))))),0))</f>
        <v/>
      </c>
      <c r="HH93">
        <f>MIN(N(HG93),MAX(0,N(HE93)))</f>
        <v/>
      </c>
      <c r="HI93">
        <f>MAX(0,N(HE93)-N(HH93))</f>
        <v/>
      </c>
      <c r="HJ93">
        <f>IFERROR(MATCH(5,OrderAval,0),"")</f>
        <v/>
      </c>
      <c r="HK93">
        <f>IF(HJ93="",0,IFERROR(IF(N(CHOOSE(HJ93,FN93,FR93,FV93,FZ93,GD93,GH93,GL93,GP93))&lt;=0.005,0,MAX(0,N(CHOOSE(HJ93,FN93,FR93,FV93,FZ93,GD93,GH93,GL93,GP93))+N(CHOOSE(HJ93,FO93,FS93,FW93,GA93,GE93,GI93,GM93,GQ93))-MIN(N(CHOOSE(HJ93,'Debt List'!$F$5,'Debt List'!$F$6,'Debt List'!$F$7,'Debt List'!$F$8,'Debt List'!$F$9,'Debt List'!$F$10,'Debt List'!$F$11,'Debt List'!$F$12)),N(CHOOSE(HJ93,FN93,FR93,FV93,FZ93,GD93,GH93,GL93,GP93))+N(CHOOSE(HJ93,FO93,FS93,FW93,GA93,GE93,GI93,GM93,GQ93))))),0))</f>
        <v/>
      </c>
      <c r="HL93">
        <f>MIN(N(HK93),MAX(0,N(HI93)))</f>
        <v/>
      </c>
      <c r="HM93">
        <f>MAX(0,N(HI93)-N(HL93))</f>
        <v/>
      </c>
      <c r="HN93">
        <f>IFERROR(MATCH(6,OrderAval,0),"")</f>
        <v/>
      </c>
      <c r="HO93">
        <f>IF(HN93="",0,IFERROR(IF(N(CHOOSE(HN93,FN93,FR93,FV93,FZ93,GD93,GH93,GL93,GP93))&lt;=0.005,0,MAX(0,N(CHOOSE(HN93,FN93,FR93,FV93,FZ93,GD93,GH93,GL93,GP93))+N(CHOOSE(HN93,FO93,FS93,FW93,GA93,GE93,GI93,GM93,GQ93))-MIN(N(CHOOSE(HN93,'Debt List'!$F$5,'Debt List'!$F$6,'Debt List'!$F$7,'Debt List'!$F$8,'Debt List'!$F$9,'Debt List'!$F$10,'Debt List'!$F$11,'Debt List'!$F$12)),N(CHOOSE(HN93,FN93,FR93,FV93,FZ93,GD93,GH93,GL93,GP93))+N(CHOOSE(HN93,FO93,FS93,FW93,GA93,GE93,GI93,GM93,GQ93))))),0))</f>
        <v/>
      </c>
      <c r="HP93">
        <f>MIN(N(HO93),MAX(0,N(HM93)))</f>
        <v/>
      </c>
      <c r="HQ93">
        <f>MAX(0,N(HM93)-N(HP93))</f>
        <v/>
      </c>
      <c r="HR93">
        <f>IFERROR(MATCH(7,OrderAval,0),"")</f>
        <v/>
      </c>
      <c r="HS93">
        <f>IF(HR93="",0,IFERROR(IF(N(CHOOSE(HR93,FN93,FR93,FV93,FZ93,GD93,GH93,GL93,GP93))&lt;=0.005,0,MAX(0,N(CHOOSE(HR93,FN93,FR93,FV93,FZ93,GD93,GH93,GL93,GP93))+N(CHOOSE(HR93,FO93,FS93,FW93,GA93,GE93,GI93,GM93,GQ93))-MIN(N(CHOOSE(HR93,'Debt List'!$F$5,'Debt List'!$F$6,'Debt List'!$F$7,'Debt List'!$F$8,'Debt List'!$F$9,'Debt List'!$F$10,'Debt List'!$F$11,'Debt List'!$F$12)),N(CHOOSE(HR93,FN93,FR93,FV93,FZ93,GD93,GH93,GL93,GP93))+N(CHOOSE(HR93,FO93,FS93,FW93,GA93,GE93,GI93,GM93,GQ93))))),0))</f>
        <v/>
      </c>
      <c r="HT93">
        <f>MIN(N(HS93),MAX(0,N(HQ93)))</f>
        <v/>
      </c>
      <c r="HU93">
        <f>MAX(0,N(HQ93)-N(HT93))</f>
        <v/>
      </c>
      <c r="HV93">
        <f>IFERROR(MATCH(8,OrderAval,0),"")</f>
        <v/>
      </c>
      <c r="HW93">
        <f>IF(HV93="",0,IFERROR(IF(N(CHOOSE(HV93,FN93,FR93,FV93,FZ93,GD93,GH93,GL93,GP93))&lt;=0.005,0,MAX(0,N(CHOOSE(HV93,FN93,FR93,FV93,FZ93,GD93,GH93,GL93,GP93))+N(CHOOSE(HV93,FO93,FS93,FW93,GA93,GE93,GI93,GM93,GQ93))-MIN(N(CHOOSE(HV93,'Debt List'!$F$5,'Debt List'!$F$6,'Debt List'!$F$7,'Debt List'!$F$8,'Debt List'!$F$9,'Debt List'!$F$10,'Debt List'!$F$11,'Debt List'!$F$12)),N(CHOOSE(HV93,FN93,FR93,FV93,FZ93,GD93,GH93,GL93,GP93))+N(CHOOSE(HV93,FO93,FS93,FW93,GA93,GE93,GI93,GM93,GQ93))))),0))</f>
        <v/>
      </c>
      <c r="HX93">
        <f>MIN(N(HW93),MAX(0,N(HU93)))</f>
        <v/>
      </c>
      <c r="HY93">
        <f>MAX(0,N(HU93)-N(HX93))</f>
        <v/>
      </c>
    </row>
    <row r="94">
      <c r="A94" t="n">
        <v>90</v>
      </c>
      <c r="B94" s="115">
        <f>DATE(YEAR(PlanStart),MONTH(PlanStart)+A94-1,1)</f>
        <v/>
      </c>
      <c r="C94">
        <f>IF(AND(AP94&lt;&gt;"",N(CHOOSE(AP94,J94,N94,R94,V94,Z94,AD94,AH94,AL94))&gt;0.005),INDEX(DebtNames,AP94),IF(AND(AT94&lt;&gt;"",N(CHOOSE(AT94,J94,N94,R94,V94,Z94,AD94,AH94,AL94))&gt;0.005),INDEX(DebtNames,AT94),IF(AND(AX94&lt;&gt;"",N(CHOOSE(AX94,J94,N94,R94,V94,Z94,AD94,AH94,AL94))&gt;0.005),INDEX(DebtNames,AX94),IF(AND(BB94&lt;&gt;"",N(CHOOSE(BB94,J94,N94,R94,V94,Z94,AD94,AH94,AL94))&gt;0.005),INDEX(DebtNames,BB94),IF(AND(BF94&lt;&gt;"",N(CHOOSE(BF94,J94,N94,R94,V94,Z94,AD94,AH94,AL94))&gt;0.005),INDEX(DebtNames,BF94),IF(AND(BJ94&lt;&gt;"",N(CHOOSE(BJ94,J94,N94,R94,V94,Z94,AD94,AH94,AL94))&gt;0.005),INDEX(DebtNames,BJ94),IF(AND(BN94&lt;&gt;"",N(CHOOSE(BN94,J94,N94,R94,V94,Z94,AD94,AH94,AL94))&gt;0.005),INDEX(DebtNames,BN94),IF(AND(BR94&lt;&gt;"",N(CHOOSE(BR94,J94,N94,R94,V94,Z94,AD94,AH94,AL94))&gt;0.005),INDEX(DebtNames,BR94),""))))))))</f>
        <v/>
      </c>
      <c r="D94">
        <f>N(BU94)</f>
        <v/>
      </c>
      <c r="E94">
        <f>N(L94)+N(P94)+N(T94)+N(X94)+N(AB94)+N(AF94)+N(AJ94)+N(AN94)</f>
        <v/>
      </c>
      <c r="F94">
        <f>N(K94)+N(O94)+N(S94)+N(W94)+N(AA94)+N(AE94)+N(AI94)+N(AM94)</f>
        <v/>
      </c>
      <c r="G94">
        <f>N(G93)+N(F94)</f>
        <v/>
      </c>
      <c r="H94">
        <f>N(M94)+N(Q94)+N(U94)+N(Y94)+N(AC94)+N(AG94)+N(AK94)+N(AO94)</f>
        <v/>
      </c>
      <c r="I94">
        <f>(M94&gt;0.005)*1+(Q94&gt;0.005)*1+(U94&gt;0.005)*1+(Y94&gt;0.005)*1+(AC94&gt;0.005)*1+(AG94&gt;0.005)*1+(AK94&gt;0.005)*1+(AO94&gt;0.005)*1</f>
        <v/>
      </c>
      <c r="J94">
        <f>N(M93)</f>
        <v/>
      </c>
      <c r="K94">
        <f>IF(N(J94)&lt;=0.005,0,ROUND(N(J94)*N('Debt List'!E5)/12,2))</f>
        <v/>
      </c>
      <c r="L94">
        <f>IF(N(J94)&lt;=0.005,0,MIN(N('Debt List'!F5),N(J94)+N(K94)))+((AP94=1)*AR94+(AT94=1)*AV94+(AX94=1)*AZ94+(BB94=1)*BD94+(BF94=1)*BH94+(BJ94=1)*BL94+(BN94=1)*BP94+(BR94=1)*BT94)</f>
        <v/>
      </c>
      <c r="M94">
        <f>MAX(0,ROUND(N(J94)+N(K94)-N(L94),2))</f>
        <v/>
      </c>
      <c r="N94">
        <f>N(Q93)</f>
        <v/>
      </c>
      <c r="O94">
        <f>IF(N(N94)&lt;=0.005,0,ROUND(N(N94)*N('Debt List'!E6)/12,2))</f>
        <v/>
      </c>
      <c r="P94">
        <f>IF(N(N94)&lt;=0.005,0,MIN(N('Debt List'!F6),N(N94)+N(O94)))+((AP94=2)*AR94+(AT94=2)*AV94+(AX94=2)*AZ94+(BB94=2)*BD94+(BF94=2)*BH94+(BJ94=2)*BL94+(BN94=2)*BP94+(BR94=2)*BT94)</f>
        <v/>
      </c>
      <c r="Q94">
        <f>MAX(0,ROUND(N(N94)+N(O94)-N(P94),2))</f>
        <v/>
      </c>
      <c r="R94">
        <f>N(U93)</f>
        <v/>
      </c>
      <c r="S94">
        <f>IF(N(R94)&lt;=0.005,0,ROUND(N(R94)*N('Debt List'!E7)/12,2))</f>
        <v/>
      </c>
      <c r="T94">
        <f>IF(N(R94)&lt;=0.005,0,MIN(N('Debt List'!F7),N(R94)+N(S94)))+((AP94=3)*AR94+(AT94=3)*AV94+(AX94=3)*AZ94+(BB94=3)*BD94+(BF94=3)*BH94+(BJ94=3)*BL94+(BN94=3)*BP94+(BR94=3)*BT94)</f>
        <v/>
      </c>
      <c r="U94">
        <f>MAX(0,ROUND(N(R94)+N(S94)-N(T94),2))</f>
        <v/>
      </c>
      <c r="V94">
        <f>N(Y93)</f>
        <v/>
      </c>
      <c r="W94">
        <f>IF(N(V94)&lt;=0.005,0,ROUND(N(V94)*N('Debt List'!E8)/12,2))</f>
        <v/>
      </c>
      <c r="X94">
        <f>IF(N(V94)&lt;=0.005,0,MIN(N('Debt List'!F8),N(V94)+N(W94)))+((AP94=4)*AR94+(AT94=4)*AV94+(AX94=4)*AZ94+(BB94=4)*BD94+(BF94=4)*BH94+(BJ94=4)*BL94+(BN94=4)*BP94+(BR94=4)*BT94)</f>
        <v/>
      </c>
      <c r="Y94">
        <f>MAX(0,ROUND(N(V94)+N(W94)-N(X94),2))</f>
        <v/>
      </c>
      <c r="Z94">
        <f>N(AC93)</f>
        <v/>
      </c>
      <c r="AA94">
        <f>IF(N(Z94)&lt;=0.005,0,ROUND(N(Z94)*N('Debt List'!E9)/12,2))</f>
        <v/>
      </c>
      <c r="AB94">
        <f>IF(N(Z94)&lt;=0.005,0,MIN(N('Debt List'!F9),N(Z94)+N(AA94)))+((AP94=5)*AR94+(AT94=5)*AV94+(AX94=5)*AZ94+(BB94=5)*BD94+(BF94=5)*BH94+(BJ94=5)*BL94+(BN94=5)*BP94+(BR94=5)*BT94)</f>
        <v/>
      </c>
      <c r="AC94">
        <f>MAX(0,ROUND(N(Z94)+N(AA94)-N(AB94),2))</f>
        <v/>
      </c>
      <c r="AD94">
        <f>N(AG93)</f>
        <v/>
      </c>
      <c r="AE94">
        <f>IF(N(AD94)&lt;=0.005,0,ROUND(N(AD94)*N('Debt List'!E10)/12,2))</f>
        <v/>
      </c>
      <c r="AF94">
        <f>IF(N(AD94)&lt;=0.005,0,MIN(N('Debt List'!F10),N(AD94)+N(AE94)))+((AP94=6)*AR94+(AT94=6)*AV94+(AX94=6)*AZ94+(BB94=6)*BD94+(BF94=6)*BH94+(BJ94=6)*BL94+(BN94=6)*BP94+(BR94=6)*BT94)</f>
        <v/>
      </c>
      <c r="AG94">
        <f>MAX(0,ROUND(N(AD94)+N(AE94)-N(AF94),2))</f>
        <v/>
      </c>
      <c r="AH94">
        <f>N(AK93)</f>
        <v/>
      </c>
      <c r="AI94">
        <f>IF(N(AH94)&lt;=0.005,0,ROUND(N(AH94)*N('Debt List'!E11)/12,2))</f>
        <v/>
      </c>
      <c r="AJ94">
        <f>IF(N(AH94)&lt;=0.005,0,MIN(N('Debt List'!F11),N(AH94)+N(AI94)))+((AP94=7)*AR94+(AT94=7)*AV94+(AX94=7)*AZ94+(BB94=7)*BD94+(BF94=7)*BH94+(BJ94=7)*BL94+(BN94=7)*BP94+(BR94=7)*BT94)</f>
        <v/>
      </c>
      <c r="AK94">
        <f>MAX(0,ROUND(N(AH94)+N(AI94)-N(AJ94),2))</f>
        <v/>
      </c>
      <c r="AL94">
        <f>N(AO93)</f>
        <v/>
      </c>
      <c r="AM94">
        <f>IF(N(AL94)&lt;=0.005,0,ROUND(N(AL94)*N('Debt List'!E12)/12,2))</f>
        <v/>
      </c>
      <c r="AN94">
        <f>IF(N(AL94)&lt;=0.005,0,MIN(N('Debt List'!F12),N(AL94)+N(AM94)))+((AP94=8)*AR94+(AT94=8)*AV94+(AX94=8)*AZ94+(BB94=8)*BD94+(BF94=8)*BH94+(BJ94=8)*BL94+(BN94=8)*BP94+(BR94=8)*BT94)</f>
        <v/>
      </c>
      <c r="AO94">
        <f>MAX(0,ROUND(N(AL94)+N(AM94)-N(AN94),2))</f>
        <v/>
      </c>
      <c r="AP94">
        <f>IFERROR(MATCH(1,OrderPlan,0),"")</f>
        <v/>
      </c>
      <c r="AQ94">
        <f>IF(AP94="",0,IFERROR(IF(N(CHOOSE(AP94,J94,N94,R94,V94,Z94,AD94,AH94,AL94))&lt;=0.005,0,MAX(0,N(CHOOSE(AP94,J94,N94,R94,V94,Z94,AD94,AH94,AL94))+N(CHOOSE(AP94,K94,O94,S94,W94,AA94,AE94,AI94,AM94))-MIN(N(CHOOSE(AP94,'Debt List'!$F$5,'Debt List'!$F$6,'Debt List'!$F$7,'Debt List'!$F$8,'Debt List'!$F$9,'Debt List'!$F$10,'Debt List'!$F$11,'Debt List'!$F$12)),N(CHOOSE(AP94,J94,N94,R94,V94,Z94,AD94,AH94,AL94))+N(CHOOSE(AP94,K94,O94,S94,W94,AA94,AE94,AI94,AM94))))),0))</f>
        <v/>
      </c>
      <c r="AR94">
        <f>MIN(N(AQ94),MAX(0,N(ExtraPayment)))</f>
        <v/>
      </c>
      <c r="AS94">
        <f>MAX(0,N(ExtraPayment)-N(AR94))</f>
        <v/>
      </c>
      <c r="AT94">
        <f>IFERROR(MATCH(2,OrderPlan,0),"")</f>
        <v/>
      </c>
      <c r="AU94">
        <f>IF(AT94="",0,IFERROR(IF(N(CHOOSE(AT94,J94,N94,R94,V94,Z94,AD94,AH94,AL94))&lt;=0.005,0,MAX(0,N(CHOOSE(AT94,J94,N94,R94,V94,Z94,AD94,AH94,AL94))+N(CHOOSE(AT94,K94,O94,S94,W94,AA94,AE94,AI94,AM94))-MIN(N(CHOOSE(AT94,'Debt List'!$F$5,'Debt List'!$F$6,'Debt List'!$F$7,'Debt List'!$F$8,'Debt List'!$F$9,'Debt List'!$F$10,'Debt List'!$F$11,'Debt List'!$F$12)),N(CHOOSE(AT94,J94,N94,R94,V94,Z94,AD94,AH94,AL94))+N(CHOOSE(AT94,K94,O94,S94,W94,AA94,AE94,AI94,AM94))))),0))</f>
        <v/>
      </c>
      <c r="AV94">
        <f>MIN(N(AU94),MAX(0,N(AS94)))</f>
        <v/>
      </c>
      <c r="AW94">
        <f>MAX(0,N(AS94)-N(AV94))</f>
        <v/>
      </c>
      <c r="AX94">
        <f>IFERROR(MATCH(3,OrderPlan,0),"")</f>
        <v/>
      </c>
      <c r="AY94">
        <f>IF(AX94="",0,IFERROR(IF(N(CHOOSE(AX94,J94,N94,R94,V94,Z94,AD94,AH94,AL94))&lt;=0.005,0,MAX(0,N(CHOOSE(AX94,J94,N94,R94,V94,Z94,AD94,AH94,AL94))+N(CHOOSE(AX94,K94,O94,S94,W94,AA94,AE94,AI94,AM94))-MIN(N(CHOOSE(AX94,'Debt List'!$F$5,'Debt List'!$F$6,'Debt List'!$F$7,'Debt List'!$F$8,'Debt List'!$F$9,'Debt List'!$F$10,'Debt List'!$F$11,'Debt List'!$F$12)),N(CHOOSE(AX94,J94,N94,R94,V94,Z94,AD94,AH94,AL94))+N(CHOOSE(AX94,K94,O94,S94,W94,AA94,AE94,AI94,AM94))))),0))</f>
        <v/>
      </c>
      <c r="AZ94">
        <f>MIN(N(AY94),MAX(0,N(AW94)))</f>
        <v/>
      </c>
      <c r="BA94">
        <f>MAX(0,N(AW94)-N(AZ94))</f>
        <v/>
      </c>
      <c r="BB94">
        <f>IFERROR(MATCH(4,OrderPlan,0),"")</f>
        <v/>
      </c>
      <c r="BC94">
        <f>IF(BB94="",0,IFERROR(IF(N(CHOOSE(BB94,J94,N94,R94,V94,Z94,AD94,AH94,AL94))&lt;=0.005,0,MAX(0,N(CHOOSE(BB94,J94,N94,R94,V94,Z94,AD94,AH94,AL94))+N(CHOOSE(BB94,K94,O94,S94,W94,AA94,AE94,AI94,AM94))-MIN(N(CHOOSE(BB94,'Debt List'!$F$5,'Debt List'!$F$6,'Debt List'!$F$7,'Debt List'!$F$8,'Debt List'!$F$9,'Debt List'!$F$10,'Debt List'!$F$11,'Debt List'!$F$12)),N(CHOOSE(BB94,J94,N94,R94,V94,Z94,AD94,AH94,AL94))+N(CHOOSE(BB94,K94,O94,S94,W94,AA94,AE94,AI94,AM94))))),0))</f>
        <v/>
      </c>
      <c r="BD94">
        <f>MIN(N(BC94),MAX(0,N(BA94)))</f>
        <v/>
      </c>
      <c r="BE94">
        <f>MAX(0,N(BA94)-N(BD94))</f>
        <v/>
      </c>
      <c r="BF94">
        <f>IFERROR(MATCH(5,OrderPlan,0),"")</f>
        <v/>
      </c>
      <c r="BG94">
        <f>IF(BF94="",0,IFERROR(IF(N(CHOOSE(BF94,J94,N94,R94,V94,Z94,AD94,AH94,AL94))&lt;=0.005,0,MAX(0,N(CHOOSE(BF94,J94,N94,R94,V94,Z94,AD94,AH94,AL94))+N(CHOOSE(BF94,K94,O94,S94,W94,AA94,AE94,AI94,AM94))-MIN(N(CHOOSE(BF94,'Debt List'!$F$5,'Debt List'!$F$6,'Debt List'!$F$7,'Debt List'!$F$8,'Debt List'!$F$9,'Debt List'!$F$10,'Debt List'!$F$11,'Debt List'!$F$12)),N(CHOOSE(BF94,J94,N94,R94,V94,Z94,AD94,AH94,AL94))+N(CHOOSE(BF94,K94,O94,S94,W94,AA94,AE94,AI94,AM94))))),0))</f>
        <v/>
      </c>
      <c r="BH94">
        <f>MIN(N(BG94),MAX(0,N(BE94)))</f>
        <v/>
      </c>
      <c r="BI94">
        <f>MAX(0,N(BE94)-N(BH94))</f>
        <v/>
      </c>
      <c r="BJ94">
        <f>IFERROR(MATCH(6,OrderPlan,0),"")</f>
        <v/>
      </c>
      <c r="BK94">
        <f>IF(BJ94="",0,IFERROR(IF(N(CHOOSE(BJ94,J94,N94,R94,V94,Z94,AD94,AH94,AL94))&lt;=0.005,0,MAX(0,N(CHOOSE(BJ94,J94,N94,R94,V94,Z94,AD94,AH94,AL94))+N(CHOOSE(BJ94,K94,O94,S94,W94,AA94,AE94,AI94,AM94))-MIN(N(CHOOSE(BJ94,'Debt List'!$F$5,'Debt List'!$F$6,'Debt List'!$F$7,'Debt List'!$F$8,'Debt List'!$F$9,'Debt List'!$F$10,'Debt List'!$F$11,'Debt List'!$F$12)),N(CHOOSE(BJ94,J94,N94,R94,V94,Z94,AD94,AH94,AL94))+N(CHOOSE(BJ94,K94,O94,S94,W94,AA94,AE94,AI94,AM94))))),0))</f>
        <v/>
      </c>
      <c r="BL94">
        <f>MIN(N(BK94),MAX(0,N(BI94)))</f>
        <v/>
      </c>
      <c r="BM94">
        <f>MAX(0,N(BI94)-N(BL94))</f>
        <v/>
      </c>
      <c r="BN94">
        <f>IFERROR(MATCH(7,OrderPlan,0),"")</f>
        <v/>
      </c>
      <c r="BO94">
        <f>IF(BN94="",0,IFERROR(IF(N(CHOOSE(BN94,J94,N94,R94,V94,Z94,AD94,AH94,AL94))&lt;=0.005,0,MAX(0,N(CHOOSE(BN94,J94,N94,R94,V94,Z94,AD94,AH94,AL94))+N(CHOOSE(BN94,K94,O94,S94,W94,AA94,AE94,AI94,AM94))-MIN(N(CHOOSE(BN94,'Debt List'!$F$5,'Debt List'!$F$6,'Debt List'!$F$7,'Debt List'!$F$8,'Debt List'!$F$9,'Debt List'!$F$10,'Debt List'!$F$11,'Debt List'!$F$12)),N(CHOOSE(BN94,J94,N94,R94,V94,Z94,AD94,AH94,AL94))+N(CHOOSE(BN94,K94,O94,S94,W94,AA94,AE94,AI94,AM94))))),0))</f>
        <v/>
      </c>
      <c r="BP94">
        <f>MIN(N(BO94),MAX(0,N(BM94)))</f>
        <v/>
      </c>
      <c r="BQ94">
        <f>MAX(0,N(BM94)-N(BP94))</f>
        <v/>
      </c>
      <c r="BR94">
        <f>IFERROR(MATCH(8,OrderPlan,0),"")</f>
        <v/>
      </c>
      <c r="BS94">
        <f>IF(BR94="",0,IFERROR(IF(N(CHOOSE(BR94,J94,N94,R94,V94,Z94,AD94,AH94,AL94))&lt;=0.005,0,MAX(0,N(CHOOSE(BR94,J94,N94,R94,V94,Z94,AD94,AH94,AL94))+N(CHOOSE(BR94,K94,O94,S94,W94,AA94,AE94,AI94,AM94))-MIN(N(CHOOSE(BR94,'Debt List'!$F$5,'Debt List'!$F$6,'Debt List'!$F$7,'Debt List'!$F$8,'Debt List'!$F$9,'Debt List'!$F$10,'Debt List'!$F$11,'Debt List'!$F$12)),N(CHOOSE(BR94,J94,N94,R94,V94,Z94,AD94,AH94,AL94))+N(CHOOSE(BR94,K94,O94,S94,W94,AA94,AE94,AI94,AM94))))),0))</f>
        <v/>
      </c>
      <c r="BT94">
        <f>MIN(N(BS94),MAX(0,N(BQ94)))</f>
        <v/>
      </c>
      <c r="BU94">
        <f>MAX(0,N(BQ94)-N(BT94))</f>
        <v/>
      </c>
      <c r="CC94" t="n">
        <v>90</v>
      </c>
      <c r="CD94" s="115">
        <f>DATE(YEAR(PlanStart),MONTH(PlanStart)+CC94-1,1)</f>
        <v/>
      </c>
      <c r="CE94">
        <f>IF(AND(DR94&lt;&gt;"",N(CHOOSE(DR94,CL94,CP94,CT94,CX94,DB94,DF94,DJ94,DN94))&gt;0.005),INDEX(DebtNames,DR94),IF(AND(DV94&lt;&gt;"",N(CHOOSE(DV94,CL94,CP94,CT94,CX94,DB94,DF94,DJ94,DN94))&gt;0.005),INDEX(DebtNames,DV94),IF(AND(DZ94&lt;&gt;"",N(CHOOSE(DZ94,CL94,CP94,CT94,CX94,DB94,DF94,DJ94,DN94))&gt;0.005),INDEX(DebtNames,DZ94),IF(AND(ED94&lt;&gt;"",N(CHOOSE(ED94,CL94,CP94,CT94,CX94,DB94,DF94,DJ94,DN94))&gt;0.005),INDEX(DebtNames,ED94),IF(AND(EH94&lt;&gt;"",N(CHOOSE(EH94,CL94,CP94,CT94,CX94,DB94,DF94,DJ94,DN94))&gt;0.005),INDEX(DebtNames,EH94),IF(AND(EL94&lt;&gt;"",N(CHOOSE(EL94,CL94,CP94,CT94,CX94,DB94,DF94,DJ94,DN94))&gt;0.005),INDEX(DebtNames,EL94),IF(AND(EP94&lt;&gt;"",N(CHOOSE(EP94,CL94,CP94,CT94,CX94,DB94,DF94,DJ94,DN94))&gt;0.005),INDEX(DebtNames,EP94),IF(AND(ET94&lt;&gt;"",N(CHOOSE(ET94,CL94,CP94,CT94,CX94,DB94,DF94,DJ94,DN94))&gt;0.005),INDEX(DebtNames,ET94),""))))))))</f>
        <v/>
      </c>
      <c r="CF94">
        <f>N(EW94)</f>
        <v/>
      </c>
      <c r="CG94">
        <f>N(CN94)+N(CR94)+N(CV94)+N(CZ94)+N(DD94)+N(DH94)+N(DL94)+N(DP94)</f>
        <v/>
      </c>
      <c r="CH94">
        <f>N(CM94)+N(CQ94)+N(CU94)+N(CY94)+N(DC94)+N(DG94)+N(DK94)+N(DO94)</f>
        <v/>
      </c>
      <c r="CI94">
        <f>N(CI93)+N(CH94)</f>
        <v/>
      </c>
      <c r="CJ94">
        <f>N(CO94)+N(CS94)+N(CW94)+N(DA94)+N(DE94)+N(DI94)+N(DM94)+N(DQ94)</f>
        <v/>
      </c>
      <c r="CK94">
        <f>(CO94&gt;0.005)*1+(CS94&gt;0.005)*1+(CW94&gt;0.005)*1+(DA94&gt;0.005)*1+(DE94&gt;0.005)*1+(DI94&gt;0.005)*1+(DM94&gt;0.005)*1+(DQ94&gt;0.005)*1</f>
        <v/>
      </c>
      <c r="CL94">
        <f>N(CO93)</f>
        <v/>
      </c>
      <c r="CM94">
        <f>IF(N(CL94)&lt;=0.005,0,ROUND(N(CL94)*N('Debt List'!E5)/12,2))</f>
        <v/>
      </c>
      <c r="CN94">
        <f>IF(N(CL94)&lt;=0.005,0,MIN(N('Debt List'!F5),N(CL94)+N(CM94)))+((DR94=1)*DT94+(DV94=1)*DX94+(DZ94=1)*EB94+(ED94=1)*EF94+(EH94=1)*EJ94+(EL94=1)*EN94+(EP94=1)*ER94+(ET94=1)*EV94)</f>
        <v/>
      </c>
      <c r="CO94">
        <f>MAX(0,ROUND(N(CL94)+N(CM94)-N(CN94),2))</f>
        <v/>
      </c>
      <c r="CP94">
        <f>N(CS93)</f>
        <v/>
      </c>
      <c r="CQ94">
        <f>IF(N(CP94)&lt;=0.005,0,ROUND(N(CP94)*N('Debt List'!E6)/12,2))</f>
        <v/>
      </c>
      <c r="CR94">
        <f>IF(N(CP94)&lt;=0.005,0,MIN(N('Debt List'!F6),N(CP94)+N(CQ94)))+((DR94=2)*DT94+(DV94=2)*DX94+(DZ94=2)*EB94+(ED94=2)*EF94+(EH94=2)*EJ94+(EL94=2)*EN94+(EP94=2)*ER94+(ET94=2)*EV94)</f>
        <v/>
      </c>
      <c r="CS94">
        <f>MAX(0,ROUND(N(CP94)+N(CQ94)-N(CR94),2))</f>
        <v/>
      </c>
      <c r="CT94">
        <f>N(CW93)</f>
        <v/>
      </c>
      <c r="CU94">
        <f>IF(N(CT94)&lt;=0.005,0,ROUND(N(CT94)*N('Debt List'!E7)/12,2))</f>
        <v/>
      </c>
      <c r="CV94">
        <f>IF(N(CT94)&lt;=0.005,0,MIN(N('Debt List'!F7),N(CT94)+N(CU94)))+((DR94=3)*DT94+(DV94=3)*DX94+(DZ94=3)*EB94+(ED94=3)*EF94+(EH94=3)*EJ94+(EL94=3)*EN94+(EP94=3)*ER94+(ET94=3)*EV94)</f>
        <v/>
      </c>
      <c r="CW94">
        <f>MAX(0,ROUND(N(CT94)+N(CU94)-N(CV94),2))</f>
        <v/>
      </c>
      <c r="CX94">
        <f>N(DA93)</f>
        <v/>
      </c>
      <c r="CY94">
        <f>IF(N(CX94)&lt;=0.005,0,ROUND(N(CX94)*N('Debt List'!E8)/12,2))</f>
        <v/>
      </c>
      <c r="CZ94">
        <f>IF(N(CX94)&lt;=0.005,0,MIN(N('Debt List'!F8),N(CX94)+N(CY94)))+((DR94=4)*DT94+(DV94=4)*DX94+(DZ94=4)*EB94+(ED94=4)*EF94+(EH94=4)*EJ94+(EL94=4)*EN94+(EP94=4)*ER94+(ET94=4)*EV94)</f>
        <v/>
      </c>
      <c r="DA94">
        <f>MAX(0,ROUND(N(CX94)+N(CY94)-N(CZ94),2))</f>
        <v/>
      </c>
      <c r="DB94">
        <f>N(DE93)</f>
        <v/>
      </c>
      <c r="DC94">
        <f>IF(N(DB94)&lt;=0.005,0,ROUND(N(DB94)*N('Debt List'!E9)/12,2))</f>
        <v/>
      </c>
      <c r="DD94">
        <f>IF(N(DB94)&lt;=0.005,0,MIN(N('Debt List'!F9),N(DB94)+N(DC94)))+((DR94=5)*DT94+(DV94=5)*DX94+(DZ94=5)*EB94+(ED94=5)*EF94+(EH94=5)*EJ94+(EL94=5)*EN94+(EP94=5)*ER94+(ET94=5)*EV94)</f>
        <v/>
      </c>
      <c r="DE94">
        <f>MAX(0,ROUND(N(DB94)+N(DC94)-N(DD94),2))</f>
        <v/>
      </c>
      <c r="DF94">
        <f>N(DI93)</f>
        <v/>
      </c>
      <c r="DG94">
        <f>IF(N(DF94)&lt;=0.005,0,ROUND(N(DF94)*N('Debt List'!E10)/12,2))</f>
        <v/>
      </c>
      <c r="DH94">
        <f>IF(N(DF94)&lt;=0.005,0,MIN(N('Debt List'!F10),N(DF94)+N(DG94)))+((DR94=6)*DT94+(DV94=6)*DX94+(DZ94=6)*EB94+(ED94=6)*EF94+(EH94=6)*EJ94+(EL94=6)*EN94+(EP94=6)*ER94+(ET94=6)*EV94)</f>
        <v/>
      </c>
      <c r="DI94">
        <f>MAX(0,ROUND(N(DF94)+N(DG94)-N(DH94),2))</f>
        <v/>
      </c>
      <c r="DJ94">
        <f>N(DM93)</f>
        <v/>
      </c>
      <c r="DK94">
        <f>IF(N(DJ94)&lt;=0.005,0,ROUND(N(DJ94)*N('Debt List'!E11)/12,2))</f>
        <v/>
      </c>
      <c r="DL94">
        <f>IF(N(DJ94)&lt;=0.005,0,MIN(N('Debt List'!F11),N(DJ94)+N(DK94)))+((DR94=7)*DT94+(DV94=7)*DX94+(DZ94=7)*EB94+(ED94=7)*EF94+(EH94=7)*EJ94+(EL94=7)*EN94+(EP94=7)*ER94+(ET94=7)*EV94)</f>
        <v/>
      </c>
      <c r="DM94">
        <f>MAX(0,ROUND(N(DJ94)+N(DK94)-N(DL94),2))</f>
        <v/>
      </c>
      <c r="DN94">
        <f>N(DQ93)</f>
        <v/>
      </c>
      <c r="DO94">
        <f>IF(N(DN94)&lt;=0.005,0,ROUND(N(DN94)*N('Debt List'!E12)/12,2))</f>
        <v/>
      </c>
      <c r="DP94">
        <f>IF(N(DN94)&lt;=0.005,0,MIN(N('Debt List'!F12),N(DN94)+N(DO94)))+((DR94=8)*DT94+(DV94=8)*DX94+(DZ94=8)*EB94+(ED94=8)*EF94+(EH94=8)*EJ94+(EL94=8)*EN94+(EP94=8)*ER94+(ET94=8)*EV94)</f>
        <v/>
      </c>
      <c r="DQ94">
        <f>MAX(0,ROUND(N(DN94)+N(DO94)-N(DP94),2))</f>
        <v/>
      </c>
      <c r="DR94">
        <f>IFERROR(MATCH(1,OrderSnow,0),"")</f>
        <v/>
      </c>
      <c r="DS94">
        <f>IF(DR94="",0,IFERROR(IF(N(CHOOSE(DR94,CL94,CP94,CT94,CX94,DB94,DF94,DJ94,DN94))&lt;=0.005,0,MAX(0,N(CHOOSE(DR94,CL94,CP94,CT94,CX94,DB94,DF94,DJ94,DN94))+N(CHOOSE(DR94,CM94,CQ94,CU94,CY94,DC94,DG94,DK94,DO94))-MIN(N(CHOOSE(DR94,'Debt List'!$F$5,'Debt List'!$F$6,'Debt List'!$F$7,'Debt List'!$F$8,'Debt List'!$F$9,'Debt List'!$F$10,'Debt List'!$F$11,'Debt List'!$F$12)),N(CHOOSE(DR94,CL94,CP94,CT94,CX94,DB94,DF94,DJ94,DN94))+N(CHOOSE(DR94,CM94,CQ94,CU94,CY94,DC94,DG94,DK94,DO94))))),0))</f>
        <v/>
      </c>
      <c r="DT94">
        <f>MIN(N(DS94),MAX(0,N(ExtraPayment)))</f>
        <v/>
      </c>
      <c r="DU94">
        <f>MAX(0,N(ExtraPayment)-N(DT94))</f>
        <v/>
      </c>
      <c r="DV94">
        <f>IFERROR(MATCH(2,OrderSnow,0),"")</f>
        <v/>
      </c>
      <c r="DW94">
        <f>IF(DV94="",0,IFERROR(IF(N(CHOOSE(DV94,CL94,CP94,CT94,CX94,DB94,DF94,DJ94,DN94))&lt;=0.005,0,MAX(0,N(CHOOSE(DV94,CL94,CP94,CT94,CX94,DB94,DF94,DJ94,DN94))+N(CHOOSE(DV94,CM94,CQ94,CU94,CY94,DC94,DG94,DK94,DO94))-MIN(N(CHOOSE(DV94,'Debt List'!$F$5,'Debt List'!$F$6,'Debt List'!$F$7,'Debt List'!$F$8,'Debt List'!$F$9,'Debt List'!$F$10,'Debt List'!$F$11,'Debt List'!$F$12)),N(CHOOSE(DV94,CL94,CP94,CT94,CX94,DB94,DF94,DJ94,DN94))+N(CHOOSE(DV94,CM94,CQ94,CU94,CY94,DC94,DG94,DK94,DO94))))),0))</f>
        <v/>
      </c>
      <c r="DX94">
        <f>MIN(N(DW94),MAX(0,N(DU94)))</f>
        <v/>
      </c>
      <c r="DY94">
        <f>MAX(0,N(DU94)-N(DX94))</f>
        <v/>
      </c>
      <c r="DZ94">
        <f>IFERROR(MATCH(3,OrderSnow,0),"")</f>
        <v/>
      </c>
      <c r="EA94">
        <f>IF(DZ94="",0,IFERROR(IF(N(CHOOSE(DZ94,CL94,CP94,CT94,CX94,DB94,DF94,DJ94,DN94))&lt;=0.005,0,MAX(0,N(CHOOSE(DZ94,CL94,CP94,CT94,CX94,DB94,DF94,DJ94,DN94))+N(CHOOSE(DZ94,CM94,CQ94,CU94,CY94,DC94,DG94,DK94,DO94))-MIN(N(CHOOSE(DZ94,'Debt List'!$F$5,'Debt List'!$F$6,'Debt List'!$F$7,'Debt List'!$F$8,'Debt List'!$F$9,'Debt List'!$F$10,'Debt List'!$F$11,'Debt List'!$F$12)),N(CHOOSE(DZ94,CL94,CP94,CT94,CX94,DB94,DF94,DJ94,DN94))+N(CHOOSE(DZ94,CM94,CQ94,CU94,CY94,DC94,DG94,DK94,DO94))))),0))</f>
        <v/>
      </c>
      <c r="EB94">
        <f>MIN(N(EA94),MAX(0,N(DY94)))</f>
        <v/>
      </c>
      <c r="EC94">
        <f>MAX(0,N(DY94)-N(EB94))</f>
        <v/>
      </c>
      <c r="ED94">
        <f>IFERROR(MATCH(4,OrderSnow,0),"")</f>
        <v/>
      </c>
      <c r="EE94">
        <f>IF(ED94="",0,IFERROR(IF(N(CHOOSE(ED94,CL94,CP94,CT94,CX94,DB94,DF94,DJ94,DN94))&lt;=0.005,0,MAX(0,N(CHOOSE(ED94,CL94,CP94,CT94,CX94,DB94,DF94,DJ94,DN94))+N(CHOOSE(ED94,CM94,CQ94,CU94,CY94,DC94,DG94,DK94,DO94))-MIN(N(CHOOSE(ED94,'Debt List'!$F$5,'Debt List'!$F$6,'Debt List'!$F$7,'Debt List'!$F$8,'Debt List'!$F$9,'Debt List'!$F$10,'Debt List'!$F$11,'Debt List'!$F$12)),N(CHOOSE(ED94,CL94,CP94,CT94,CX94,DB94,DF94,DJ94,DN94))+N(CHOOSE(ED94,CM94,CQ94,CU94,CY94,DC94,DG94,DK94,DO94))))),0))</f>
        <v/>
      </c>
      <c r="EF94">
        <f>MIN(N(EE94),MAX(0,N(EC94)))</f>
        <v/>
      </c>
      <c r="EG94">
        <f>MAX(0,N(EC94)-N(EF94))</f>
        <v/>
      </c>
      <c r="EH94">
        <f>IFERROR(MATCH(5,OrderSnow,0),"")</f>
        <v/>
      </c>
      <c r="EI94">
        <f>IF(EH94="",0,IFERROR(IF(N(CHOOSE(EH94,CL94,CP94,CT94,CX94,DB94,DF94,DJ94,DN94))&lt;=0.005,0,MAX(0,N(CHOOSE(EH94,CL94,CP94,CT94,CX94,DB94,DF94,DJ94,DN94))+N(CHOOSE(EH94,CM94,CQ94,CU94,CY94,DC94,DG94,DK94,DO94))-MIN(N(CHOOSE(EH94,'Debt List'!$F$5,'Debt List'!$F$6,'Debt List'!$F$7,'Debt List'!$F$8,'Debt List'!$F$9,'Debt List'!$F$10,'Debt List'!$F$11,'Debt List'!$F$12)),N(CHOOSE(EH94,CL94,CP94,CT94,CX94,DB94,DF94,DJ94,DN94))+N(CHOOSE(EH94,CM94,CQ94,CU94,CY94,DC94,DG94,DK94,DO94))))),0))</f>
        <v/>
      </c>
      <c r="EJ94">
        <f>MIN(N(EI94),MAX(0,N(EG94)))</f>
        <v/>
      </c>
      <c r="EK94">
        <f>MAX(0,N(EG94)-N(EJ94))</f>
        <v/>
      </c>
      <c r="EL94">
        <f>IFERROR(MATCH(6,OrderSnow,0),"")</f>
        <v/>
      </c>
      <c r="EM94">
        <f>IF(EL94="",0,IFERROR(IF(N(CHOOSE(EL94,CL94,CP94,CT94,CX94,DB94,DF94,DJ94,DN94))&lt;=0.005,0,MAX(0,N(CHOOSE(EL94,CL94,CP94,CT94,CX94,DB94,DF94,DJ94,DN94))+N(CHOOSE(EL94,CM94,CQ94,CU94,CY94,DC94,DG94,DK94,DO94))-MIN(N(CHOOSE(EL94,'Debt List'!$F$5,'Debt List'!$F$6,'Debt List'!$F$7,'Debt List'!$F$8,'Debt List'!$F$9,'Debt List'!$F$10,'Debt List'!$F$11,'Debt List'!$F$12)),N(CHOOSE(EL94,CL94,CP94,CT94,CX94,DB94,DF94,DJ94,DN94))+N(CHOOSE(EL94,CM94,CQ94,CU94,CY94,DC94,DG94,DK94,DO94))))),0))</f>
        <v/>
      </c>
      <c r="EN94">
        <f>MIN(N(EM94),MAX(0,N(EK94)))</f>
        <v/>
      </c>
      <c r="EO94">
        <f>MAX(0,N(EK94)-N(EN94))</f>
        <v/>
      </c>
      <c r="EP94">
        <f>IFERROR(MATCH(7,OrderSnow,0),"")</f>
        <v/>
      </c>
      <c r="EQ94">
        <f>IF(EP94="",0,IFERROR(IF(N(CHOOSE(EP94,CL94,CP94,CT94,CX94,DB94,DF94,DJ94,DN94))&lt;=0.005,0,MAX(0,N(CHOOSE(EP94,CL94,CP94,CT94,CX94,DB94,DF94,DJ94,DN94))+N(CHOOSE(EP94,CM94,CQ94,CU94,CY94,DC94,DG94,DK94,DO94))-MIN(N(CHOOSE(EP94,'Debt List'!$F$5,'Debt List'!$F$6,'Debt List'!$F$7,'Debt List'!$F$8,'Debt List'!$F$9,'Debt List'!$F$10,'Debt List'!$F$11,'Debt List'!$F$12)),N(CHOOSE(EP94,CL94,CP94,CT94,CX94,DB94,DF94,DJ94,DN94))+N(CHOOSE(EP94,CM94,CQ94,CU94,CY94,DC94,DG94,DK94,DO94))))),0))</f>
        <v/>
      </c>
      <c r="ER94">
        <f>MIN(N(EQ94),MAX(0,N(EO94)))</f>
        <v/>
      </c>
      <c r="ES94">
        <f>MAX(0,N(EO94)-N(ER94))</f>
        <v/>
      </c>
      <c r="ET94">
        <f>IFERROR(MATCH(8,OrderSnow,0),"")</f>
        <v/>
      </c>
      <c r="EU94">
        <f>IF(ET94="",0,IFERROR(IF(N(CHOOSE(ET94,CL94,CP94,CT94,CX94,DB94,DF94,DJ94,DN94))&lt;=0.005,0,MAX(0,N(CHOOSE(ET94,CL94,CP94,CT94,CX94,DB94,DF94,DJ94,DN94))+N(CHOOSE(ET94,CM94,CQ94,CU94,CY94,DC94,DG94,DK94,DO94))-MIN(N(CHOOSE(ET94,'Debt List'!$F$5,'Debt List'!$F$6,'Debt List'!$F$7,'Debt List'!$F$8,'Debt List'!$F$9,'Debt List'!$F$10,'Debt List'!$F$11,'Debt List'!$F$12)),N(CHOOSE(ET94,CL94,CP94,CT94,CX94,DB94,DF94,DJ94,DN94))+N(CHOOSE(ET94,CM94,CQ94,CU94,CY94,DC94,DG94,DK94,DO94))))),0))</f>
        <v/>
      </c>
      <c r="EV94">
        <f>MIN(N(EU94),MAX(0,N(ES94)))</f>
        <v/>
      </c>
      <c r="EW94">
        <f>MAX(0,N(ES94)-N(EV94))</f>
        <v/>
      </c>
      <c r="FE94" t="n">
        <v>90</v>
      </c>
      <c r="FF94" s="115">
        <f>DATE(YEAR(PlanStart),MONTH(PlanStart)+FE94-1,1)</f>
        <v/>
      </c>
      <c r="FG94">
        <f>IF(AND(GT94&lt;&gt;"",N(CHOOSE(GT94,FN94,FR94,FV94,FZ94,GD94,GH94,GL94,GP94))&gt;0.005),INDEX(DebtNames,GT94),IF(AND(GX94&lt;&gt;"",N(CHOOSE(GX94,FN94,FR94,FV94,FZ94,GD94,GH94,GL94,GP94))&gt;0.005),INDEX(DebtNames,GX94),IF(AND(HB94&lt;&gt;"",N(CHOOSE(HB94,FN94,FR94,FV94,FZ94,GD94,GH94,GL94,GP94))&gt;0.005),INDEX(DebtNames,HB94),IF(AND(HF94&lt;&gt;"",N(CHOOSE(HF94,FN94,FR94,FV94,FZ94,GD94,GH94,GL94,GP94))&gt;0.005),INDEX(DebtNames,HF94),IF(AND(HJ94&lt;&gt;"",N(CHOOSE(HJ94,FN94,FR94,FV94,FZ94,GD94,GH94,GL94,GP94))&gt;0.005),INDEX(DebtNames,HJ94),IF(AND(HN94&lt;&gt;"",N(CHOOSE(HN94,FN94,FR94,FV94,FZ94,GD94,GH94,GL94,GP94))&gt;0.005),INDEX(DebtNames,HN94),IF(AND(HR94&lt;&gt;"",N(CHOOSE(HR94,FN94,FR94,FV94,FZ94,GD94,GH94,GL94,GP94))&gt;0.005),INDEX(DebtNames,HR94),IF(AND(HV94&lt;&gt;"",N(CHOOSE(HV94,FN94,FR94,FV94,FZ94,GD94,GH94,GL94,GP94))&gt;0.005),INDEX(DebtNames,HV94),""))))))))</f>
        <v/>
      </c>
      <c r="FH94">
        <f>N(HY94)</f>
        <v/>
      </c>
      <c r="FI94">
        <f>N(FP94)+N(FT94)+N(FX94)+N(GB94)+N(GF94)+N(GJ94)+N(GN94)+N(GR94)</f>
        <v/>
      </c>
      <c r="FJ94">
        <f>N(FO94)+N(FS94)+N(FW94)+N(GA94)+N(GE94)+N(GI94)+N(GM94)+N(GQ94)</f>
        <v/>
      </c>
      <c r="FK94">
        <f>N(FK93)+N(FJ94)</f>
        <v/>
      </c>
      <c r="FL94">
        <f>N(FQ94)+N(FU94)+N(FY94)+N(GC94)+N(GG94)+N(GK94)+N(GO94)+N(GS94)</f>
        <v/>
      </c>
      <c r="FM94">
        <f>(FQ94&gt;0.005)*1+(FU94&gt;0.005)*1+(FY94&gt;0.005)*1+(GC94&gt;0.005)*1+(GG94&gt;0.005)*1+(GK94&gt;0.005)*1+(GO94&gt;0.005)*1+(GS94&gt;0.005)*1</f>
        <v/>
      </c>
      <c r="FN94">
        <f>N(FQ93)</f>
        <v/>
      </c>
      <c r="FO94">
        <f>IF(N(FN94)&lt;=0.005,0,ROUND(N(FN94)*N('Debt List'!E5)/12,2))</f>
        <v/>
      </c>
      <c r="FP94">
        <f>IF(N(FN94)&lt;=0.005,0,MIN(N('Debt List'!F5),N(FN94)+N(FO94)))+((GT94=1)*GV94+(GX94=1)*GZ94+(HB94=1)*HD94+(HF94=1)*HH94+(HJ94=1)*HL94+(HN94=1)*HP94+(HR94=1)*HT94+(HV94=1)*HX94)</f>
        <v/>
      </c>
      <c r="FQ94">
        <f>MAX(0,ROUND(N(FN94)+N(FO94)-N(FP94),2))</f>
        <v/>
      </c>
      <c r="FR94">
        <f>N(FU93)</f>
        <v/>
      </c>
      <c r="FS94">
        <f>IF(N(FR94)&lt;=0.005,0,ROUND(N(FR94)*N('Debt List'!E6)/12,2))</f>
        <v/>
      </c>
      <c r="FT94">
        <f>IF(N(FR94)&lt;=0.005,0,MIN(N('Debt List'!F6),N(FR94)+N(FS94)))+((GT94=2)*GV94+(GX94=2)*GZ94+(HB94=2)*HD94+(HF94=2)*HH94+(HJ94=2)*HL94+(HN94=2)*HP94+(HR94=2)*HT94+(HV94=2)*HX94)</f>
        <v/>
      </c>
      <c r="FU94">
        <f>MAX(0,ROUND(N(FR94)+N(FS94)-N(FT94),2))</f>
        <v/>
      </c>
      <c r="FV94">
        <f>N(FY93)</f>
        <v/>
      </c>
      <c r="FW94">
        <f>IF(N(FV94)&lt;=0.005,0,ROUND(N(FV94)*N('Debt List'!E7)/12,2))</f>
        <v/>
      </c>
      <c r="FX94">
        <f>IF(N(FV94)&lt;=0.005,0,MIN(N('Debt List'!F7),N(FV94)+N(FW94)))+((GT94=3)*GV94+(GX94=3)*GZ94+(HB94=3)*HD94+(HF94=3)*HH94+(HJ94=3)*HL94+(HN94=3)*HP94+(HR94=3)*HT94+(HV94=3)*HX94)</f>
        <v/>
      </c>
      <c r="FY94">
        <f>MAX(0,ROUND(N(FV94)+N(FW94)-N(FX94),2))</f>
        <v/>
      </c>
      <c r="FZ94">
        <f>N(GC93)</f>
        <v/>
      </c>
      <c r="GA94">
        <f>IF(N(FZ94)&lt;=0.005,0,ROUND(N(FZ94)*N('Debt List'!E8)/12,2))</f>
        <v/>
      </c>
      <c r="GB94">
        <f>IF(N(FZ94)&lt;=0.005,0,MIN(N('Debt List'!F8),N(FZ94)+N(GA94)))+((GT94=4)*GV94+(GX94=4)*GZ94+(HB94=4)*HD94+(HF94=4)*HH94+(HJ94=4)*HL94+(HN94=4)*HP94+(HR94=4)*HT94+(HV94=4)*HX94)</f>
        <v/>
      </c>
      <c r="GC94">
        <f>MAX(0,ROUND(N(FZ94)+N(GA94)-N(GB94),2))</f>
        <v/>
      </c>
      <c r="GD94">
        <f>N(GG93)</f>
        <v/>
      </c>
      <c r="GE94">
        <f>IF(N(GD94)&lt;=0.005,0,ROUND(N(GD94)*N('Debt List'!E9)/12,2))</f>
        <v/>
      </c>
      <c r="GF94">
        <f>IF(N(GD94)&lt;=0.005,0,MIN(N('Debt List'!F9),N(GD94)+N(GE94)))+((GT94=5)*GV94+(GX94=5)*GZ94+(HB94=5)*HD94+(HF94=5)*HH94+(HJ94=5)*HL94+(HN94=5)*HP94+(HR94=5)*HT94+(HV94=5)*HX94)</f>
        <v/>
      </c>
      <c r="GG94">
        <f>MAX(0,ROUND(N(GD94)+N(GE94)-N(GF94),2))</f>
        <v/>
      </c>
      <c r="GH94">
        <f>N(GK93)</f>
        <v/>
      </c>
      <c r="GI94">
        <f>IF(N(GH94)&lt;=0.005,0,ROUND(N(GH94)*N('Debt List'!E10)/12,2))</f>
        <v/>
      </c>
      <c r="GJ94">
        <f>IF(N(GH94)&lt;=0.005,0,MIN(N('Debt List'!F10),N(GH94)+N(GI94)))+((GT94=6)*GV94+(GX94=6)*GZ94+(HB94=6)*HD94+(HF94=6)*HH94+(HJ94=6)*HL94+(HN94=6)*HP94+(HR94=6)*HT94+(HV94=6)*HX94)</f>
        <v/>
      </c>
      <c r="GK94">
        <f>MAX(0,ROUND(N(GH94)+N(GI94)-N(GJ94),2))</f>
        <v/>
      </c>
      <c r="GL94">
        <f>N(GO93)</f>
        <v/>
      </c>
      <c r="GM94">
        <f>IF(N(GL94)&lt;=0.005,0,ROUND(N(GL94)*N('Debt List'!E11)/12,2))</f>
        <v/>
      </c>
      <c r="GN94">
        <f>IF(N(GL94)&lt;=0.005,0,MIN(N('Debt List'!F11),N(GL94)+N(GM94)))+((GT94=7)*GV94+(GX94=7)*GZ94+(HB94=7)*HD94+(HF94=7)*HH94+(HJ94=7)*HL94+(HN94=7)*HP94+(HR94=7)*HT94+(HV94=7)*HX94)</f>
        <v/>
      </c>
      <c r="GO94">
        <f>MAX(0,ROUND(N(GL94)+N(GM94)-N(GN94),2))</f>
        <v/>
      </c>
      <c r="GP94">
        <f>N(GS93)</f>
        <v/>
      </c>
      <c r="GQ94">
        <f>IF(N(GP94)&lt;=0.005,0,ROUND(N(GP94)*N('Debt List'!E12)/12,2))</f>
        <v/>
      </c>
      <c r="GR94">
        <f>IF(N(GP94)&lt;=0.005,0,MIN(N('Debt List'!F12),N(GP94)+N(GQ94)))+((GT94=8)*GV94+(GX94=8)*GZ94+(HB94=8)*HD94+(HF94=8)*HH94+(HJ94=8)*HL94+(HN94=8)*HP94+(HR94=8)*HT94+(HV94=8)*HX94)</f>
        <v/>
      </c>
      <c r="GS94">
        <f>MAX(0,ROUND(N(GP94)+N(GQ94)-N(GR94),2))</f>
        <v/>
      </c>
      <c r="GT94">
        <f>IFERROR(MATCH(1,OrderAval,0),"")</f>
        <v/>
      </c>
      <c r="GU94">
        <f>IF(GT94="",0,IFERROR(IF(N(CHOOSE(GT94,FN94,FR94,FV94,FZ94,GD94,GH94,GL94,GP94))&lt;=0.005,0,MAX(0,N(CHOOSE(GT94,FN94,FR94,FV94,FZ94,GD94,GH94,GL94,GP94))+N(CHOOSE(GT94,FO94,FS94,FW94,GA94,GE94,GI94,GM94,GQ94))-MIN(N(CHOOSE(GT94,'Debt List'!$F$5,'Debt List'!$F$6,'Debt List'!$F$7,'Debt List'!$F$8,'Debt List'!$F$9,'Debt List'!$F$10,'Debt List'!$F$11,'Debt List'!$F$12)),N(CHOOSE(GT94,FN94,FR94,FV94,FZ94,GD94,GH94,GL94,GP94))+N(CHOOSE(GT94,FO94,FS94,FW94,GA94,GE94,GI94,GM94,GQ94))))),0))</f>
        <v/>
      </c>
      <c r="GV94">
        <f>MIN(N(GU94),MAX(0,N(ExtraPayment)))</f>
        <v/>
      </c>
      <c r="GW94">
        <f>MAX(0,N(ExtraPayment)-N(GV94))</f>
        <v/>
      </c>
      <c r="GX94">
        <f>IFERROR(MATCH(2,OrderAval,0),"")</f>
        <v/>
      </c>
      <c r="GY94">
        <f>IF(GX94="",0,IFERROR(IF(N(CHOOSE(GX94,FN94,FR94,FV94,FZ94,GD94,GH94,GL94,GP94))&lt;=0.005,0,MAX(0,N(CHOOSE(GX94,FN94,FR94,FV94,FZ94,GD94,GH94,GL94,GP94))+N(CHOOSE(GX94,FO94,FS94,FW94,GA94,GE94,GI94,GM94,GQ94))-MIN(N(CHOOSE(GX94,'Debt List'!$F$5,'Debt List'!$F$6,'Debt List'!$F$7,'Debt List'!$F$8,'Debt List'!$F$9,'Debt List'!$F$10,'Debt List'!$F$11,'Debt List'!$F$12)),N(CHOOSE(GX94,FN94,FR94,FV94,FZ94,GD94,GH94,GL94,GP94))+N(CHOOSE(GX94,FO94,FS94,FW94,GA94,GE94,GI94,GM94,GQ94))))),0))</f>
        <v/>
      </c>
      <c r="GZ94">
        <f>MIN(N(GY94),MAX(0,N(GW94)))</f>
        <v/>
      </c>
      <c r="HA94">
        <f>MAX(0,N(GW94)-N(GZ94))</f>
        <v/>
      </c>
      <c r="HB94">
        <f>IFERROR(MATCH(3,OrderAval,0),"")</f>
        <v/>
      </c>
      <c r="HC94">
        <f>IF(HB94="",0,IFERROR(IF(N(CHOOSE(HB94,FN94,FR94,FV94,FZ94,GD94,GH94,GL94,GP94))&lt;=0.005,0,MAX(0,N(CHOOSE(HB94,FN94,FR94,FV94,FZ94,GD94,GH94,GL94,GP94))+N(CHOOSE(HB94,FO94,FS94,FW94,GA94,GE94,GI94,GM94,GQ94))-MIN(N(CHOOSE(HB94,'Debt List'!$F$5,'Debt List'!$F$6,'Debt List'!$F$7,'Debt List'!$F$8,'Debt List'!$F$9,'Debt List'!$F$10,'Debt List'!$F$11,'Debt List'!$F$12)),N(CHOOSE(HB94,FN94,FR94,FV94,FZ94,GD94,GH94,GL94,GP94))+N(CHOOSE(HB94,FO94,FS94,FW94,GA94,GE94,GI94,GM94,GQ94))))),0))</f>
        <v/>
      </c>
      <c r="HD94">
        <f>MIN(N(HC94),MAX(0,N(HA94)))</f>
        <v/>
      </c>
      <c r="HE94">
        <f>MAX(0,N(HA94)-N(HD94))</f>
        <v/>
      </c>
      <c r="HF94">
        <f>IFERROR(MATCH(4,OrderAval,0),"")</f>
        <v/>
      </c>
      <c r="HG94">
        <f>IF(HF94="",0,IFERROR(IF(N(CHOOSE(HF94,FN94,FR94,FV94,FZ94,GD94,GH94,GL94,GP94))&lt;=0.005,0,MAX(0,N(CHOOSE(HF94,FN94,FR94,FV94,FZ94,GD94,GH94,GL94,GP94))+N(CHOOSE(HF94,FO94,FS94,FW94,GA94,GE94,GI94,GM94,GQ94))-MIN(N(CHOOSE(HF94,'Debt List'!$F$5,'Debt List'!$F$6,'Debt List'!$F$7,'Debt List'!$F$8,'Debt List'!$F$9,'Debt List'!$F$10,'Debt List'!$F$11,'Debt List'!$F$12)),N(CHOOSE(HF94,FN94,FR94,FV94,FZ94,GD94,GH94,GL94,GP94))+N(CHOOSE(HF94,FO94,FS94,FW94,GA94,GE94,GI94,GM94,GQ94))))),0))</f>
        <v/>
      </c>
      <c r="HH94">
        <f>MIN(N(HG94),MAX(0,N(HE94)))</f>
        <v/>
      </c>
      <c r="HI94">
        <f>MAX(0,N(HE94)-N(HH94))</f>
        <v/>
      </c>
      <c r="HJ94">
        <f>IFERROR(MATCH(5,OrderAval,0),"")</f>
        <v/>
      </c>
      <c r="HK94">
        <f>IF(HJ94="",0,IFERROR(IF(N(CHOOSE(HJ94,FN94,FR94,FV94,FZ94,GD94,GH94,GL94,GP94))&lt;=0.005,0,MAX(0,N(CHOOSE(HJ94,FN94,FR94,FV94,FZ94,GD94,GH94,GL94,GP94))+N(CHOOSE(HJ94,FO94,FS94,FW94,GA94,GE94,GI94,GM94,GQ94))-MIN(N(CHOOSE(HJ94,'Debt List'!$F$5,'Debt List'!$F$6,'Debt List'!$F$7,'Debt List'!$F$8,'Debt List'!$F$9,'Debt List'!$F$10,'Debt List'!$F$11,'Debt List'!$F$12)),N(CHOOSE(HJ94,FN94,FR94,FV94,FZ94,GD94,GH94,GL94,GP94))+N(CHOOSE(HJ94,FO94,FS94,FW94,GA94,GE94,GI94,GM94,GQ94))))),0))</f>
        <v/>
      </c>
      <c r="HL94">
        <f>MIN(N(HK94),MAX(0,N(HI94)))</f>
        <v/>
      </c>
      <c r="HM94">
        <f>MAX(0,N(HI94)-N(HL94))</f>
        <v/>
      </c>
      <c r="HN94">
        <f>IFERROR(MATCH(6,OrderAval,0),"")</f>
        <v/>
      </c>
      <c r="HO94">
        <f>IF(HN94="",0,IFERROR(IF(N(CHOOSE(HN94,FN94,FR94,FV94,FZ94,GD94,GH94,GL94,GP94))&lt;=0.005,0,MAX(0,N(CHOOSE(HN94,FN94,FR94,FV94,FZ94,GD94,GH94,GL94,GP94))+N(CHOOSE(HN94,FO94,FS94,FW94,GA94,GE94,GI94,GM94,GQ94))-MIN(N(CHOOSE(HN94,'Debt List'!$F$5,'Debt List'!$F$6,'Debt List'!$F$7,'Debt List'!$F$8,'Debt List'!$F$9,'Debt List'!$F$10,'Debt List'!$F$11,'Debt List'!$F$12)),N(CHOOSE(HN94,FN94,FR94,FV94,FZ94,GD94,GH94,GL94,GP94))+N(CHOOSE(HN94,FO94,FS94,FW94,GA94,GE94,GI94,GM94,GQ94))))),0))</f>
        <v/>
      </c>
      <c r="HP94">
        <f>MIN(N(HO94),MAX(0,N(HM94)))</f>
        <v/>
      </c>
      <c r="HQ94">
        <f>MAX(0,N(HM94)-N(HP94))</f>
        <v/>
      </c>
      <c r="HR94">
        <f>IFERROR(MATCH(7,OrderAval,0),"")</f>
        <v/>
      </c>
      <c r="HS94">
        <f>IF(HR94="",0,IFERROR(IF(N(CHOOSE(HR94,FN94,FR94,FV94,FZ94,GD94,GH94,GL94,GP94))&lt;=0.005,0,MAX(0,N(CHOOSE(HR94,FN94,FR94,FV94,FZ94,GD94,GH94,GL94,GP94))+N(CHOOSE(HR94,FO94,FS94,FW94,GA94,GE94,GI94,GM94,GQ94))-MIN(N(CHOOSE(HR94,'Debt List'!$F$5,'Debt List'!$F$6,'Debt List'!$F$7,'Debt List'!$F$8,'Debt List'!$F$9,'Debt List'!$F$10,'Debt List'!$F$11,'Debt List'!$F$12)),N(CHOOSE(HR94,FN94,FR94,FV94,FZ94,GD94,GH94,GL94,GP94))+N(CHOOSE(HR94,FO94,FS94,FW94,GA94,GE94,GI94,GM94,GQ94))))),0))</f>
        <v/>
      </c>
      <c r="HT94">
        <f>MIN(N(HS94),MAX(0,N(HQ94)))</f>
        <v/>
      </c>
      <c r="HU94">
        <f>MAX(0,N(HQ94)-N(HT94))</f>
        <v/>
      </c>
      <c r="HV94">
        <f>IFERROR(MATCH(8,OrderAval,0),"")</f>
        <v/>
      </c>
      <c r="HW94">
        <f>IF(HV94="",0,IFERROR(IF(N(CHOOSE(HV94,FN94,FR94,FV94,FZ94,GD94,GH94,GL94,GP94))&lt;=0.005,0,MAX(0,N(CHOOSE(HV94,FN94,FR94,FV94,FZ94,GD94,GH94,GL94,GP94))+N(CHOOSE(HV94,FO94,FS94,FW94,GA94,GE94,GI94,GM94,GQ94))-MIN(N(CHOOSE(HV94,'Debt List'!$F$5,'Debt List'!$F$6,'Debt List'!$F$7,'Debt List'!$F$8,'Debt List'!$F$9,'Debt List'!$F$10,'Debt List'!$F$11,'Debt List'!$F$12)),N(CHOOSE(HV94,FN94,FR94,FV94,FZ94,GD94,GH94,GL94,GP94))+N(CHOOSE(HV94,FO94,FS94,FW94,GA94,GE94,GI94,GM94,GQ94))))),0))</f>
        <v/>
      </c>
      <c r="HX94">
        <f>MIN(N(HW94),MAX(0,N(HU94)))</f>
        <v/>
      </c>
      <c r="HY94">
        <f>MAX(0,N(HU94)-N(HX94))</f>
        <v/>
      </c>
    </row>
    <row r="95">
      <c r="A95" t="n">
        <v>91</v>
      </c>
      <c r="B95" s="115">
        <f>DATE(YEAR(PlanStart),MONTH(PlanStart)+A95-1,1)</f>
        <v/>
      </c>
      <c r="C95">
        <f>IF(AND(AP95&lt;&gt;"",N(CHOOSE(AP95,J95,N95,R95,V95,Z95,AD95,AH95,AL95))&gt;0.005),INDEX(DebtNames,AP95),IF(AND(AT95&lt;&gt;"",N(CHOOSE(AT95,J95,N95,R95,V95,Z95,AD95,AH95,AL95))&gt;0.005),INDEX(DebtNames,AT95),IF(AND(AX95&lt;&gt;"",N(CHOOSE(AX95,J95,N95,R95,V95,Z95,AD95,AH95,AL95))&gt;0.005),INDEX(DebtNames,AX95),IF(AND(BB95&lt;&gt;"",N(CHOOSE(BB95,J95,N95,R95,V95,Z95,AD95,AH95,AL95))&gt;0.005),INDEX(DebtNames,BB95),IF(AND(BF95&lt;&gt;"",N(CHOOSE(BF95,J95,N95,R95,V95,Z95,AD95,AH95,AL95))&gt;0.005),INDEX(DebtNames,BF95),IF(AND(BJ95&lt;&gt;"",N(CHOOSE(BJ95,J95,N95,R95,V95,Z95,AD95,AH95,AL95))&gt;0.005),INDEX(DebtNames,BJ95),IF(AND(BN95&lt;&gt;"",N(CHOOSE(BN95,J95,N95,R95,V95,Z95,AD95,AH95,AL95))&gt;0.005),INDEX(DebtNames,BN95),IF(AND(BR95&lt;&gt;"",N(CHOOSE(BR95,J95,N95,R95,V95,Z95,AD95,AH95,AL95))&gt;0.005),INDEX(DebtNames,BR95),""))))))))</f>
        <v/>
      </c>
      <c r="D95">
        <f>N(BU95)</f>
        <v/>
      </c>
      <c r="E95">
        <f>N(L95)+N(P95)+N(T95)+N(X95)+N(AB95)+N(AF95)+N(AJ95)+N(AN95)</f>
        <v/>
      </c>
      <c r="F95">
        <f>N(K95)+N(O95)+N(S95)+N(W95)+N(AA95)+N(AE95)+N(AI95)+N(AM95)</f>
        <v/>
      </c>
      <c r="G95">
        <f>N(G94)+N(F95)</f>
        <v/>
      </c>
      <c r="H95">
        <f>N(M95)+N(Q95)+N(U95)+N(Y95)+N(AC95)+N(AG95)+N(AK95)+N(AO95)</f>
        <v/>
      </c>
      <c r="I95">
        <f>(M95&gt;0.005)*1+(Q95&gt;0.005)*1+(U95&gt;0.005)*1+(Y95&gt;0.005)*1+(AC95&gt;0.005)*1+(AG95&gt;0.005)*1+(AK95&gt;0.005)*1+(AO95&gt;0.005)*1</f>
        <v/>
      </c>
      <c r="J95">
        <f>N(M94)</f>
        <v/>
      </c>
      <c r="K95">
        <f>IF(N(J95)&lt;=0.005,0,ROUND(N(J95)*N('Debt List'!E5)/12,2))</f>
        <v/>
      </c>
      <c r="L95">
        <f>IF(N(J95)&lt;=0.005,0,MIN(N('Debt List'!F5),N(J95)+N(K95)))+((AP95=1)*AR95+(AT95=1)*AV95+(AX95=1)*AZ95+(BB95=1)*BD95+(BF95=1)*BH95+(BJ95=1)*BL95+(BN95=1)*BP95+(BR95=1)*BT95)</f>
        <v/>
      </c>
      <c r="M95">
        <f>MAX(0,ROUND(N(J95)+N(K95)-N(L95),2))</f>
        <v/>
      </c>
      <c r="N95">
        <f>N(Q94)</f>
        <v/>
      </c>
      <c r="O95">
        <f>IF(N(N95)&lt;=0.005,0,ROUND(N(N95)*N('Debt List'!E6)/12,2))</f>
        <v/>
      </c>
      <c r="P95">
        <f>IF(N(N95)&lt;=0.005,0,MIN(N('Debt List'!F6),N(N95)+N(O95)))+((AP95=2)*AR95+(AT95=2)*AV95+(AX95=2)*AZ95+(BB95=2)*BD95+(BF95=2)*BH95+(BJ95=2)*BL95+(BN95=2)*BP95+(BR95=2)*BT95)</f>
        <v/>
      </c>
      <c r="Q95">
        <f>MAX(0,ROUND(N(N95)+N(O95)-N(P95),2))</f>
        <v/>
      </c>
      <c r="R95">
        <f>N(U94)</f>
        <v/>
      </c>
      <c r="S95">
        <f>IF(N(R95)&lt;=0.005,0,ROUND(N(R95)*N('Debt List'!E7)/12,2))</f>
        <v/>
      </c>
      <c r="T95">
        <f>IF(N(R95)&lt;=0.005,0,MIN(N('Debt List'!F7),N(R95)+N(S95)))+((AP95=3)*AR95+(AT95=3)*AV95+(AX95=3)*AZ95+(BB95=3)*BD95+(BF95=3)*BH95+(BJ95=3)*BL95+(BN95=3)*BP95+(BR95=3)*BT95)</f>
        <v/>
      </c>
      <c r="U95">
        <f>MAX(0,ROUND(N(R95)+N(S95)-N(T95),2))</f>
        <v/>
      </c>
      <c r="V95">
        <f>N(Y94)</f>
        <v/>
      </c>
      <c r="W95">
        <f>IF(N(V95)&lt;=0.005,0,ROUND(N(V95)*N('Debt List'!E8)/12,2))</f>
        <v/>
      </c>
      <c r="X95">
        <f>IF(N(V95)&lt;=0.005,0,MIN(N('Debt List'!F8),N(V95)+N(W95)))+((AP95=4)*AR95+(AT95=4)*AV95+(AX95=4)*AZ95+(BB95=4)*BD95+(BF95=4)*BH95+(BJ95=4)*BL95+(BN95=4)*BP95+(BR95=4)*BT95)</f>
        <v/>
      </c>
      <c r="Y95">
        <f>MAX(0,ROUND(N(V95)+N(W95)-N(X95),2))</f>
        <v/>
      </c>
      <c r="Z95">
        <f>N(AC94)</f>
        <v/>
      </c>
      <c r="AA95">
        <f>IF(N(Z95)&lt;=0.005,0,ROUND(N(Z95)*N('Debt List'!E9)/12,2))</f>
        <v/>
      </c>
      <c r="AB95">
        <f>IF(N(Z95)&lt;=0.005,0,MIN(N('Debt List'!F9),N(Z95)+N(AA95)))+((AP95=5)*AR95+(AT95=5)*AV95+(AX95=5)*AZ95+(BB95=5)*BD95+(BF95=5)*BH95+(BJ95=5)*BL95+(BN95=5)*BP95+(BR95=5)*BT95)</f>
        <v/>
      </c>
      <c r="AC95">
        <f>MAX(0,ROUND(N(Z95)+N(AA95)-N(AB95),2))</f>
        <v/>
      </c>
      <c r="AD95">
        <f>N(AG94)</f>
        <v/>
      </c>
      <c r="AE95">
        <f>IF(N(AD95)&lt;=0.005,0,ROUND(N(AD95)*N('Debt List'!E10)/12,2))</f>
        <v/>
      </c>
      <c r="AF95">
        <f>IF(N(AD95)&lt;=0.005,0,MIN(N('Debt List'!F10),N(AD95)+N(AE95)))+((AP95=6)*AR95+(AT95=6)*AV95+(AX95=6)*AZ95+(BB95=6)*BD95+(BF95=6)*BH95+(BJ95=6)*BL95+(BN95=6)*BP95+(BR95=6)*BT95)</f>
        <v/>
      </c>
      <c r="AG95">
        <f>MAX(0,ROUND(N(AD95)+N(AE95)-N(AF95),2))</f>
        <v/>
      </c>
      <c r="AH95">
        <f>N(AK94)</f>
        <v/>
      </c>
      <c r="AI95">
        <f>IF(N(AH95)&lt;=0.005,0,ROUND(N(AH95)*N('Debt List'!E11)/12,2))</f>
        <v/>
      </c>
      <c r="AJ95">
        <f>IF(N(AH95)&lt;=0.005,0,MIN(N('Debt List'!F11),N(AH95)+N(AI95)))+((AP95=7)*AR95+(AT95=7)*AV95+(AX95=7)*AZ95+(BB95=7)*BD95+(BF95=7)*BH95+(BJ95=7)*BL95+(BN95=7)*BP95+(BR95=7)*BT95)</f>
        <v/>
      </c>
      <c r="AK95">
        <f>MAX(0,ROUND(N(AH95)+N(AI95)-N(AJ95),2))</f>
        <v/>
      </c>
      <c r="AL95">
        <f>N(AO94)</f>
        <v/>
      </c>
      <c r="AM95">
        <f>IF(N(AL95)&lt;=0.005,0,ROUND(N(AL95)*N('Debt List'!E12)/12,2))</f>
        <v/>
      </c>
      <c r="AN95">
        <f>IF(N(AL95)&lt;=0.005,0,MIN(N('Debt List'!F12),N(AL95)+N(AM95)))+((AP95=8)*AR95+(AT95=8)*AV95+(AX95=8)*AZ95+(BB95=8)*BD95+(BF95=8)*BH95+(BJ95=8)*BL95+(BN95=8)*BP95+(BR95=8)*BT95)</f>
        <v/>
      </c>
      <c r="AO95">
        <f>MAX(0,ROUND(N(AL95)+N(AM95)-N(AN95),2))</f>
        <v/>
      </c>
      <c r="AP95">
        <f>IFERROR(MATCH(1,OrderPlan,0),"")</f>
        <v/>
      </c>
      <c r="AQ95">
        <f>IF(AP95="",0,IFERROR(IF(N(CHOOSE(AP95,J95,N95,R95,V95,Z95,AD95,AH95,AL95))&lt;=0.005,0,MAX(0,N(CHOOSE(AP95,J95,N95,R95,V95,Z95,AD95,AH95,AL95))+N(CHOOSE(AP95,K95,O95,S95,W95,AA95,AE95,AI95,AM95))-MIN(N(CHOOSE(AP95,'Debt List'!$F$5,'Debt List'!$F$6,'Debt List'!$F$7,'Debt List'!$F$8,'Debt List'!$F$9,'Debt List'!$F$10,'Debt List'!$F$11,'Debt List'!$F$12)),N(CHOOSE(AP95,J95,N95,R95,V95,Z95,AD95,AH95,AL95))+N(CHOOSE(AP95,K95,O95,S95,W95,AA95,AE95,AI95,AM95))))),0))</f>
        <v/>
      </c>
      <c r="AR95">
        <f>MIN(N(AQ95),MAX(0,N(ExtraPayment)))</f>
        <v/>
      </c>
      <c r="AS95">
        <f>MAX(0,N(ExtraPayment)-N(AR95))</f>
        <v/>
      </c>
      <c r="AT95">
        <f>IFERROR(MATCH(2,OrderPlan,0),"")</f>
        <v/>
      </c>
      <c r="AU95">
        <f>IF(AT95="",0,IFERROR(IF(N(CHOOSE(AT95,J95,N95,R95,V95,Z95,AD95,AH95,AL95))&lt;=0.005,0,MAX(0,N(CHOOSE(AT95,J95,N95,R95,V95,Z95,AD95,AH95,AL95))+N(CHOOSE(AT95,K95,O95,S95,W95,AA95,AE95,AI95,AM95))-MIN(N(CHOOSE(AT95,'Debt List'!$F$5,'Debt List'!$F$6,'Debt List'!$F$7,'Debt List'!$F$8,'Debt List'!$F$9,'Debt List'!$F$10,'Debt List'!$F$11,'Debt List'!$F$12)),N(CHOOSE(AT95,J95,N95,R95,V95,Z95,AD95,AH95,AL95))+N(CHOOSE(AT95,K95,O95,S95,W95,AA95,AE95,AI95,AM95))))),0))</f>
        <v/>
      </c>
      <c r="AV95">
        <f>MIN(N(AU95),MAX(0,N(AS95)))</f>
        <v/>
      </c>
      <c r="AW95">
        <f>MAX(0,N(AS95)-N(AV95))</f>
        <v/>
      </c>
      <c r="AX95">
        <f>IFERROR(MATCH(3,OrderPlan,0),"")</f>
        <v/>
      </c>
      <c r="AY95">
        <f>IF(AX95="",0,IFERROR(IF(N(CHOOSE(AX95,J95,N95,R95,V95,Z95,AD95,AH95,AL95))&lt;=0.005,0,MAX(0,N(CHOOSE(AX95,J95,N95,R95,V95,Z95,AD95,AH95,AL95))+N(CHOOSE(AX95,K95,O95,S95,W95,AA95,AE95,AI95,AM95))-MIN(N(CHOOSE(AX95,'Debt List'!$F$5,'Debt List'!$F$6,'Debt List'!$F$7,'Debt List'!$F$8,'Debt List'!$F$9,'Debt List'!$F$10,'Debt List'!$F$11,'Debt List'!$F$12)),N(CHOOSE(AX95,J95,N95,R95,V95,Z95,AD95,AH95,AL95))+N(CHOOSE(AX95,K95,O95,S95,W95,AA95,AE95,AI95,AM95))))),0))</f>
        <v/>
      </c>
      <c r="AZ95">
        <f>MIN(N(AY95),MAX(0,N(AW95)))</f>
        <v/>
      </c>
      <c r="BA95">
        <f>MAX(0,N(AW95)-N(AZ95))</f>
        <v/>
      </c>
      <c r="BB95">
        <f>IFERROR(MATCH(4,OrderPlan,0),"")</f>
        <v/>
      </c>
      <c r="BC95">
        <f>IF(BB95="",0,IFERROR(IF(N(CHOOSE(BB95,J95,N95,R95,V95,Z95,AD95,AH95,AL95))&lt;=0.005,0,MAX(0,N(CHOOSE(BB95,J95,N95,R95,V95,Z95,AD95,AH95,AL95))+N(CHOOSE(BB95,K95,O95,S95,W95,AA95,AE95,AI95,AM95))-MIN(N(CHOOSE(BB95,'Debt List'!$F$5,'Debt List'!$F$6,'Debt List'!$F$7,'Debt List'!$F$8,'Debt List'!$F$9,'Debt List'!$F$10,'Debt List'!$F$11,'Debt List'!$F$12)),N(CHOOSE(BB95,J95,N95,R95,V95,Z95,AD95,AH95,AL95))+N(CHOOSE(BB95,K95,O95,S95,W95,AA95,AE95,AI95,AM95))))),0))</f>
        <v/>
      </c>
      <c r="BD95">
        <f>MIN(N(BC95),MAX(0,N(BA95)))</f>
        <v/>
      </c>
      <c r="BE95">
        <f>MAX(0,N(BA95)-N(BD95))</f>
        <v/>
      </c>
      <c r="BF95">
        <f>IFERROR(MATCH(5,OrderPlan,0),"")</f>
        <v/>
      </c>
      <c r="BG95">
        <f>IF(BF95="",0,IFERROR(IF(N(CHOOSE(BF95,J95,N95,R95,V95,Z95,AD95,AH95,AL95))&lt;=0.005,0,MAX(0,N(CHOOSE(BF95,J95,N95,R95,V95,Z95,AD95,AH95,AL95))+N(CHOOSE(BF95,K95,O95,S95,W95,AA95,AE95,AI95,AM95))-MIN(N(CHOOSE(BF95,'Debt List'!$F$5,'Debt List'!$F$6,'Debt List'!$F$7,'Debt List'!$F$8,'Debt List'!$F$9,'Debt List'!$F$10,'Debt List'!$F$11,'Debt List'!$F$12)),N(CHOOSE(BF95,J95,N95,R95,V95,Z95,AD95,AH95,AL95))+N(CHOOSE(BF95,K95,O95,S95,W95,AA95,AE95,AI95,AM95))))),0))</f>
        <v/>
      </c>
      <c r="BH95">
        <f>MIN(N(BG95),MAX(0,N(BE95)))</f>
        <v/>
      </c>
      <c r="BI95">
        <f>MAX(0,N(BE95)-N(BH95))</f>
        <v/>
      </c>
      <c r="BJ95">
        <f>IFERROR(MATCH(6,OrderPlan,0),"")</f>
        <v/>
      </c>
      <c r="BK95">
        <f>IF(BJ95="",0,IFERROR(IF(N(CHOOSE(BJ95,J95,N95,R95,V95,Z95,AD95,AH95,AL95))&lt;=0.005,0,MAX(0,N(CHOOSE(BJ95,J95,N95,R95,V95,Z95,AD95,AH95,AL95))+N(CHOOSE(BJ95,K95,O95,S95,W95,AA95,AE95,AI95,AM95))-MIN(N(CHOOSE(BJ95,'Debt List'!$F$5,'Debt List'!$F$6,'Debt List'!$F$7,'Debt List'!$F$8,'Debt List'!$F$9,'Debt List'!$F$10,'Debt List'!$F$11,'Debt List'!$F$12)),N(CHOOSE(BJ95,J95,N95,R95,V95,Z95,AD95,AH95,AL95))+N(CHOOSE(BJ95,K95,O95,S95,W95,AA95,AE95,AI95,AM95))))),0))</f>
        <v/>
      </c>
      <c r="BL95">
        <f>MIN(N(BK95),MAX(0,N(BI95)))</f>
        <v/>
      </c>
      <c r="BM95">
        <f>MAX(0,N(BI95)-N(BL95))</f>
        <v/>
      </c>
      <c r="BN95">
        <f>IFERROR(MATCH(7,OrderPlan,0),"")</f>
        <v/>
      </c>
      <c r="BO95">
        <f>IF(BN95="",0,IFERROR(IF(N(CHOOSE(BN95,J95,N95,R95,V95,Z95,AD95,AH95,AL95))&lt;=0.005,0,MAX(0,N(CHOOSE(BN95,J95,N95,R95,V95,Z95,AD95,AH95,AL95))+N(CHOOSE(BN95,K95,O95,S95,W95,AA95,AE95,AI95,AM95))-MIN(N(CHOOSE(BN95,'Debt List'!$F$5,'Debt List'!$F$6,'Debt List'!$F$7,'Debt List'!$F$8,'Debt List'!$F$9,'Debt List'!$F$10,'Debt List'!$F$11,'Debt List'!$F$12)),N(CHOOSE(BN95,J95,N95,R95,V95,Z95,AD95,AH95,AL95))+N(CHOOSE(BN95,K95,O95,S95,W95,AA95,AE95,AI95,AM95))))),0))</f>
        <v/>
      </c>
      <c r="BP95">
        <f>MIN(N(BO95),MAX(0,N(BM95)))</f>
        <v/>
      </c>
      <c r="BQ95">
        <f>MAX(0,N(BM95)-N(BP95))</f>
        <v/>
      </c>
      <c r="BR95">
        <f>IFERROR(MATCH(8,OrderPlan,0),"")</f>
        <v/>
      </c>
      <c r="BS95">
        <f>IF(BR95="",0,IFERROR(IF(N(CHOOSE(BR95,J95,N95,R95,V95,Z95,AD95,AH95,AL95))&lt;=0.005,0,MAX(0,N(CHOOSE(BR95,J95,N95,R95,V95,Z95,AD95,AH95,AL95))+N(CHOOSE(BR95,K95,O95,S95,W95,AA95,AE95,AI95,AM95))-MIN(N(CHOOSE(BR95,'Debt List'!$F$5,'Debt List'!$F$6,'Debt List'!$F$7,'Debt List'!$F$8,'Debt List'!$F$9,'Debt List'!$F$10,'Debt List'!$F$11,'Debt List'!$F$12)),N(CHOOSE(BR95,J95,N95,R95,V95,Z95,AD95,AH95,AL95))+N(CHOOSE(BR95,K95,O95,S95,W95,AA95,AE95,AI95,AM95))))),0))</f>
        <v/>
      </c>
      <c r="BT95">
        <f>MIN(N(BS95),MAX(0,N(BQ95)))</f>
        <v/>
      </c>
      <c r="BU95">
        <f>MAX(0,N(BQ95)-N(BT95))</f>
        <v/>
      </c>
      <c r="CC95" t="n">
        <v>91</v>
      </c>
      <c r="CD95" s="115">
        <f>DATE(YEAR(PlanStart),MONTH(PlanStart)+CC95-1,1)</f>
        <v/>
      </c>
      <c r="CE95">
        <f>IF(AND(DR95&lt;&gt;"",N(CHOOSE(DR95,CL95,CP95,CT95,CX95,DB95,DF95,DJ95,DN95))&gt;0.005),INDEX(DebtNames,DR95),IF(AND(DV95&lt;&gt;"",N(CHOOSE(DV95,CL95,CP95,CT95,CX95,DB95,DF95,DJ95,DN95))&gt;0.005),INDEX(DebtNames,DV95),IF(AND(DZ95&lt;&gt;"",N(CHOOSE(DZ95,CL95,CP95,CT95,CX95,DB95,DF95,DJ95,DN95))&gt;0.005),INDEX(DebtNames,DZ95),IF(AND(ED95&lt;&gt;"",N(CHOOSE(ED95,CL95,CP95,CT95,CX95,DB95,DF95,DJ95,DN95))&gt;0.005),INDEX(DebtNames,ED95),IF(AND(EH95&lt;&gt;"",N(CHOOSE(EH95,CL95,CP95,CT95,CX95,DB95,DF95,DJ95,DN95))&gt;0.005),INDEX(DebtNames,EH95),IF(AND(EL95&lt;&gt;"",N(CHOOSE(EL95,CL95,CP95,CT95,CX95,DB95,DF95,DJ95,DN95))&gt;0.005),INDEX(DebtNames,EL95),IF(AND(EP95&lt;&gt;"",N(CHOOSE(EP95,CL95,CP95,CT95,CX95,DB95,DF95,DJ95,DN95))&gt;0.005),INDEX(DebtNames,EP95),IF(AND(ET95&lt;&gt;"",N(CHOOSE(ET95,CL95,CP95,CT95,CX95,DB95,DF95,DJ95,DN95))&gt;0.005),INDEX(DebtNames,ET95),""))))))))</f>
        <v/>
      </c>
      <c r="CF95">
        <f>N(EW95)</f>
        <v/>
      </c>
      <c r="CG95">
        <f>N(CN95)+N(CR95)+N(CV95)+N(CZ95)+N(DD95)+N(DH95)+N(DL95)+N(DP95)</f>
        <v/>
      </c>
      <c r="CH95">
        <f>N(CM95)+N(CQ95)+N(CU95)+N(CY95)+N(DC95)+N(DG95)+N(DK95)+N(DO95)</f>
        <v/>
      </c>
      <c r="CI95">
        <f>N(CI94)+N(CH95)</f>
        <v/>
      </c>
      <c r="CJ95">
        <f>N(CO95)+N(CS95)+N(CW95)+N(DA95)+N(DE95)+N(DI95)+N(DM95)+N(DQ95)</f>
        <v/>
      </c>
      <c r="CK95">
        <f>(CO95&gt;0.005)*1+(CS95&gt;0.005)*1+(CW95&gt;0.005)*1+(DA95&gt;0.005)*1+(DE95&gt;0.005)*1+(DI95&gt;0.005)*1+(DM95&gt;0.005)*1+(DQ95&gt;0.005)*1</f>
        <v/>
      </c>
      <c r="CL95">
        <f>N(CO94)</f>
        <v/>
      </c>
      <c r="CM95">
        <f>IF(N(CL95)&lt;=0.005,0,ROUND(N(CL95)*N('Debt List'!E5)/12,2))</f>
        <v/>
      </c>
      <c r="CN95">
        <f>IF(N(CL95)&lt;=0.005,0,MIN(N('Debt List'!F5),N(CL95)+N(CM95)))+((DR95=1)*DT95+(DV95=1)*DX95+(DZ95=1)*EB95+(ED95=1)*EF95+(EH95=1)*EJ95+(EL95=1)*EN95+(EP95=1)*ER95+(ET95=1)*EV95)</f>
        <v/>
      </c>
      <c r="CO95">
        <f>MAX(0,ROUND(N(CL95)+N(CM95)-N(CN95),2))</f>
        <v/>
      </c>
      <c r="CP95">
        <f>N(CS94)</f>
        <v/>
      </c>
      <c r="CQ95">
        <f>IF(N(CP95)&lt;=0.005,0,ROUND(N(CP95)*N('Debt List'!E6)/12,2))</f>
        <v/>
      </c>
      <c r="CR95">
        <f>IF(N(CP95)&lt;=0.005,0,MIN(N('Debt List'!F6),N(CP95)+N(CQ95)))+((DR95=2)*DT95+(DV95=2)*DX95+(DZ95=2)*EB95+(ED95=2)*EF95+(EH95=2)*EJ95+(EL95=2)*EN95+(EP95=2)*ER95+(ET95=2)*EV95)</f>
        <v/>
      </c>
      <c r="CS95">
        <f>MAX(0,ROUND(N(CP95)+N(CQ95)-N(CR95),2))</f>
        <v/>
      </c>
      <c r="CT95">
        <f>N(CW94)</f>
        <v/>
      </c>
      <c r="CU95">
        <f>IF(N(CT95)&lt;=0.005,0,ROUND(N(CT95)*N('Debt List'!E7)/12,2))</f>
        <v/>
      </c>
      <c r="CV95">
        <f>IF(N(CT95)&lt;=0.005,0,MIN(N('Debt List'!F7),N(CT95)+N(CU95)))+((DR95=3)*DT95+(DV95=3)*DX95+(DZ95=3)*EB95+(ED95=3)*EF95+(EH95=3)*EJ95+(EL95=3)*EN95+(EP95=3)*ER95+(ET95=3)*EV95)</f>
        <v/>
      </c>
      <c r="CW95">
        <f>MAX(0,ROUND(N(CT95)+N(CU95)-N(CV95),2))</f>
        <v/>
      </c>
      <c r="CX95">
        <f>N(DA94)</f>
        <v/>
      </c>
      <c r="CY95">
        <f>IF(N(CX95)&lt;=0.005,0,ROUND(N(CX95)*N('Debt List'!E8)/12,2))</f>
        <v/>
      </c>
      <c r="CZ95">
        <f>IF(N(CX95)&lt;=0.005,0,MIN(N('Debt List'!F8),N(CX95)+N(CY95)))+((DR95=4)*DT95+(DV95=4)*DX95+(DZ95=4)*EB95+(ED95=4)*EF95+(EH95=4)*EJ95+(EL95=4)*EN95+(EP95=4)*ER95+(ET95=4)*EV95)</f>
        <v/>
      </c>
      <c r="DA95">
        <f>MAX(0,ROUND(N(CX95)+N(CY95)-N(CZ95),2))</f>
        <v/>
      </c>
      <c r="DB95">
        <f>N(DE94)</f>
        <v/>
      </c>
      <c r="DC95">
        <f>IF(N(DB95)&lt;=0.005,0,ROUND(N(DB95)*N('Debt List'!E9)/12,2))</f>
        <v/>
      </c>
      <c r="DD95">
        <f>IF(N(DB95)&lt;=0.005,0,MIN(N('Debt List'!F9),N(DB95)+N(DC95)))+((DR95=5)*DT95+(DV95=5)*DX95+(DZ95=5)*EB95+(ED95=5)*EF95+(EH95=5)*EJ95+(EL95=5)*EN95+(EP95=5)*ER95+(ET95=5)*EV95)</f>
        <v/>
      </c>
      <c r="DE95">
        <f>MAX(0,ROUND(N(DB95)+N(DC95)-N(DD95),2))</f>
        <v/>
      </c>
      <c r="DF95">
        <f>N(DI94)</f>
        <v/>
      </c>
      <c r="DG95">
        <f>IF(N(DF95)&lt;=0.005,0,ROUND(N(DF95)*N('Debt List'!E10)/12,2))</f>
        <v/>
      </c>
      <c r="DH95">
        <f>IF(N(DF95)&lt;=0.005,0,MIN(N('Debt List'!F10),N(DF95)+N(DG95)))+((DR95=6)*DT95+(DV95=6)*DX95+(DZ95=6)*EB95+(ED95=6)*EF95+(EH95=6)*EJ95+(EL95=6)*EN95+(EP95=6)*ER95+(ET95=6)*EV95)</f>
        <v/>
      </c>
      <c r="DI95">
        <f>MAX(0,ROUND(N(DF95)+N(DG95)-N(DH95),2))</f>
        <v/>
      </c>
      <c r="DJ95">
        <f>N(DM94)</f>
        <v/>
      </c>
      <c r="DK95">
        <f>IF(N(DJ95)&lt;=0.005,0,ROUND(N(DJ95)*N('Debt List'!E11)/12,2))</f>
        <v/>
      </c>
      <c r="DL95">
        <f>IF(N(DJ95)&lt;=0.005,0,MIN(N('Debt List'!F11),N(DJ95)+N(DK95)))+((DR95=7)*DT95+(DV95=7)*DX95+(DZ95=7)*EB95+(ED95=7)*EF95+(EH95=7)*EJ95+(EL95=7)*EN95+(EP95=7)*ER95+(ET95=7)*EV95)</f>
        <v/>
      </c>
      <c r="DM95">
        <f>MAX(0,ROUND(N(DJ95)+N(DK95)-N(DL95),2))</f>
        <v/>
      </c>
      <c r="DN95">
        <f>N(DQ94)</f>
        <v/>
      </c>
      <c r="DO95">
        <f>IF(N(DN95)&lt;=0.005,0,ROUND(N(DN95)*N('Debt List'!E12)/12,2))</f>
        <v/>
      </c>
      <c r="DP95">
        <f>IF(N(DN95)&lt;=0.005,0,MIN(N('Debt List'!F12),N(DN95)+N(DO95)))+((DR95=8)*DT95+(DV95=8)*DX95+(DZ95=8)*EB95+(ED95=8)*EF95+(EH95=8)*EJ95+(EL95=8)*EN95+(EP95=8)*ER95+(ET95=8)*EV95)</f>
        <v/>
      </c>
      <c r="DQ95">
        <f>MAX(0,ROUND(N(DN95)+N(DO95)-N(DP95),2))</f>
        <v/>
      </c>
      <c r="DR95">
        <f>IFERROR(MATCH(1,OrderSnow,0),"")</f>
        <v/>
      </c>
      <c r="DS95">
        <f>IF(DR95="",0,IFERROR(IF(N(CHOOSE(DR95,CL95,CP95,CT95,CX95,DB95,DF95,DJ95,DN95))&lt;=0.005,0,MAX(0,N(CHOOSE(DR95,CL95,CP95,CT95,CX95,DB95,DF95,DJ95,DN95))+N(CHOOSE(DR95,CM95,CQ95,CU95,CY95,DC95,DG95,DK95,DO95))-MIN(N(CHOOSE(DR95,'Debt List'!$F$5,'Debt List'!$F$6,'Debt List'!$F$7,'Debt List'!$F$8,'Debt List'!$F$9,'Debt List'!$F$10,'Debt List'!$F$11,'Debt List'!$F$12)),N(CHOOSE(DR95,CL95,CP95,CT95,CX95,DB95,DF95,DJ95,DN95))+N(CHOOSE(DR95,CM95,CQ95,CU95,CY95,DC95,DG95,DK95,DO95))))),0))</f>
        <v/>
      </c>
      <c r="DT95">
        <f>MIN(N(DS95),MAX(0,N(ExtraPayment)))</f>
        <v/>
      </c>
      <c r="DU95">
        <f>MAX(0,N(ExtraPayment)-N(DT95))</f>
        <v/>
      </c>
      <c r="DV95">
        <f>IFERROR(MATCH(2,OrderSnow,0),"")</f>
        <v/>
      </c>
      <c r="DW95">
        <f>IF(DV95="",0,IFERROR(IF(N(CHOOSE(DV95,CL95,CP95,CT95,CX95,DB95,DF95,DJ95,DN95))&lt;=0.005,0,MAX(0,N(CHOOSE(DV95,CL95,CP95,CT95,CX95,DB95,DF95,DJ95,DN95))+N(CHOOSE(DV95,CM95,CQ95,CU95,CY95,DC95,DG95,DK95,DO95))-MIN(N(CHOOSE(DV95,'Debt List'!$F$5,'Debt List'!$F$6,'Debt List'!$F$7,'Debt List'!$F$8,'Debt List'!$F$9,'Debt List'!$F$10,'Debt List'!$F$11,'Debt List'!$F$12)),N(CHOOSE(DV95,CL95,CP95,CT95,CX95,DB95,DF95,DJ95,DN95))+N(CHOOSE(DV95,CM95,CQ95,CU95,CY95,DC95,DG95,DK95,DO95))))),0))</f>
        <v/>
      </c>
      <c r="DX95">
        <f>MIN(N(DW95),MAX(0,N(DU95)))</f>
        <v/>
      </c>
      <c r="DY95">
        <f>MAX(0,N(DU95)-N(DX95))</f>
        <v/>
      </c>
      <c r="DZ95">
        <f>IFERROR(MATCH(3,OrderSnow,0),"")</f>
        <v/>
      </c>
      <c r="EA95">
        <f>IF(DZ95="",0,IFERROR(IF(N(CHOOSE(DZ95,CL95,CP95,CT95,CX95,DB95,DF95,DJ95,DN95))&lt;=0.005,0,MAX(0,N(CHOOSE(DZ95,CL95,CP95,CT95,CX95,DB95,DF95,DJ95,DN95))+N(CHOOSE(DZ95,CM95,CQ95,CU95,CY95,DC95,DG95,DK95,DO95))-MIN(N(CHOOSE(DZ95,'Debt List'!$F$5,'Debt List'!$F$6,'Debt List'!$F$7,'Debt List'!$F$8,'Debt List'!$F$9,'Debt List'!$F$10,'Debt List'!$F$11,'Debt List'!$F$12)),N(CHOOSE(DZ95,CL95,CP95,CT95,CX95,DB95,DF95,DJ95,DN95))+N(CHOOSE(DZ95,CM95,CQ95,CU95,CY95,DC95,DG95,DK95,DO95))))),0))</f>
        <v/>
      </c>
      <c r="EB95">
        <f>MIN(N(EA95),MAX(0,N(DY95)))</f>
        <v/>
      </c>
      <c r="EC95">
        <f>MAX(0,N(DY95)-N(EB95))</f>
        <v/>
      </c>
      <c r="ED95">
        <f>IFERROR(MATCH(4,OrderSnow,0),"")</f>
        <v/>
      </c>
      <c r="EE95">
        <f>IF(ED95="",0,IFERROR(IF(N(CHOOSE(ED95,CL95,CP95,CT95,CX95,DB95,DF95,DJ95,DN95))&lt;=0.005,0,MAX(0,N(CHOOSE(ED95,CL95,CP95,CT95,CX95,DB95,DF95,DJ95,DN95))+N(CHOOSE(ED95,CM95,CQ95,CU95,CY95,DC95,DG95,DK95,DO95))-MIN(N(CHOOSE(ED95,'Debt List'!$F$5,'Debt List'!$F$6,'Debt List'!$F$7,'Debt List'!$F$8,'Debt List'!$F$9,'Debt List'!$F$10,'Debt List'!$F$11,'Debt List'!$F$12)),N(CHOOSE(ED95,CL95,CP95,CT95,CX95,DB95,DF95,DJ95,DN95))+N(CHOOSE(ED95,CM95,CQ95,CU95,CY95,DC95,DG95,DK95,DO95))))),0))</f>
        <v/>
      </c>
      <c r="EF95">
        <f>MIN(N(EE95),MAX(0,N(EC95)))</f>
        <v/>
      </c>
      <c r="EG95">
        <f>MAX(0,N(EC95)-N(EF95))</f>
        <v/>
      </c>
      <c r="EH95">
        <f>IFERROR(MATCH(5,OrderSnow,0),"")</f>
        <v/>
      </c>
      <c r="EI95">
        <f>IF(EH95="",0,IFERROR(IF(N(CHOOSE(EH95,CL95,CP95,CT95,CX95,DB95,DF95,DJ95,DN95))&lt;=0.005,0,MAX(0,N(CHOOSE(EH95,CL95,CP95,CT95,CX95,DB95,DF95,DJ95,DN95))+N(CHOOSE(EH95,CM95,CQ95,CU95,CY95,DC95,DG95,DK95,DO95))-MIN(N(CHOOSE(EH95,'Debt List'!$F$5,'Debt List'!$F$6,'Debt List'!$F$7,'Debt List'!$F$8,'Debt List'!$F$9,'Debt List'!$F$10,'Debt List'!$F$11,'Debt List'!$F$12)),N(CHOOSE(EH95,CL95,CP95,CT95,CX95,DB95,DF95,DJ95,DN95))+N(CHOOSE(EH95,CM95,CQ95,CU95,CY95,DC95,DG95,DK95,DO95))))),0))</f>
        <v/>
      </c>
      <c r="EJ95">
        <f>MIN(N(EI95),MAX(0,N(EG95)))</f>
        <v/>
      </c>
      <c r="EK95">
        <f>MAX(0,N(EG95)-N(EJ95))</f>
        <v/>
      </c>
      <c r="EL95">
        <f>IFERROR(MATCH(6,OrderSnow,0),"")</f>
        <v/>
      </c>
      <c r="EM95">
        <f>IF(EL95="",0,IFERROR(IF(N(CHOOSE(EL95,CL95,CP95,CT95,CX95,DB95,DF95,DJ95,DN95))&lt;=0.005,0,MAX(0,N(CHOOSE(EL95,CL95,CP95,CT95,CX95,DB95,DF95,DJ95,DN95))+N(CHOOSE(EL95,CM95,CQ95,CU95,CY95,DC95,DG95,DK95,DO95))-MIN(N(CHOOSE(EL95,'Debt List'!$F$5,'Debt List'!$F$6,'Debt List'!$F$7,'Debt List'!$F$8,'Debt List'!$F$9,'Debt List'!$F$10,'Debt List'!$F$11,'Debt List'!$F$12)),N(CHOOSE(EL95,CL95,CP95,CT95,CX95,DB95,DF95,DJ95,DN95))+N(CHOOSE(EL95,CM95,CQ95,CU95,CY95,DC95,DG95,DK95,DO95))))),0))</f>
        <v/>
      </c>
      <c r="EN95">
        <f>MIN(N(EM95),MAX(0,N(EK95)))</f>
        <v/>
      </c>
      <c r="EO95">
        <f>MAX(0,N(EK95)-N(EN95))</f>
        <v/>
      </c>
      <c r="EP95">
        <f>IFERROR(MATCH(7,OrderSnow,0),"")</f>
        <v/>
      </c>
      <c r="EQ95">
        <f>IF(EP95="",0,IFERROR(IF(N(CHOOSE(EP95,CL95,CP95,CT95,CX95,DB95,DF95,DJ95,DN95))&lt;=0.005,0,MAX(0,N(CHOOSE(EP95,CL95,CP95,CT95,CX95,DB95,DF95,DJ95,DN95))+N(CHOOSE(EP95,CM95,CQ95,CU95,CY95,DC95,DG95,DK95,DO95))-MIN(N(CHOOSE(EP95,'Debt List'!$F$5,'Debt List'!$F$6,'Debt List'!$F$7,'Debt List'!$F$8,'Debt List'!$F$9,'Debt List'!$F$10,'Debt List'!$F$11,'Debt List'!$F$12)),N(CHOOSE(EP95,CL95,CP95,CT95,CX95,DB95,DF95,DJ95,DN95))+N(CHOOSE(EP95,CM95,CQ95,CU95,CY95,DC95,DG95,DK95,DO95))))),0))</f>
        <v/>
      </c>
      <c r="ER95">
        <f>MIN(N(EQ95),MAX(0,N(EO95)))</f>
        <v/>
      </c>
      <c r="ES95">
        <f>MAX(0,N(EO95)-N(ER95))</f>
        <v/>
      </c>
      <c r="ET95">
        <f>IFERROR(MATCH(8,OrderSnow,0),"")</f>
        <v/>
      </c>
      <c r="EU95">
        <f>IF(ET95="",0,IFERROR(IF(N(CHOOSE(ET95,CL95,CP95,CT95,CX95,DB95,DF95,DJ95,DN95))&lt;=0.005,0,MAX(0,N(CHOOSE(ET95,CL95,CP95,CT95,CX95,DB95,DF95,DJ95,DN95))+N(CHOOSE(ET95,CM95,CQ95,CU95,CY95,DC95,DG95,DK95,DO95))-MIN(N(CHOOSE(ET95,'Debt List'!$F$5,'Debt List'!$F$6,'Debt List'!$F$7,'Debt List'!$F$8,'Debt List'!$F$9,'Debt List'!$F$10,'Debt List'!$F$11,'Debt List'!$F$12)),N(CHOOSE(ET95,CL95,CP95,CT95,CX95,DB95,DF95,DJ95,DN95))+N(CHOOSE(ET95,CM95,CQ95,CU95,CY95,DC95,DG95,DK95,DO95))))),0))</f>
        <v/>
      </c>
      <c r="EV95">
        <f>MIN(N(EU95),MAX(0,N(ES95)))</f>
        <v/>
      </c>
      <c r="EW95">
        <f>MAX(0,N(ES95)-N(EV95))</f>
        <v/>
      </c>
      <c r="FE95" t="n">
        <v>91</v>
      </c>
      <c r="FF95" s="115">
        <f>DATE(YEAR(PlanStart),MONTH(PlanStart)+FE95-1,1)</f>
        <v/>
      </c>
      <c r="FG95">
        <f>IF(AND(GT95&lt;&gt;"",N(CHOOSE(GT95,FN95,FR95,FV95,FZ95,GD95,GH95,GL95,GP95))&gt;0.005),INDEX(DebtNames,GT95),IF(AND(GX95&lt;&gt;"",N(CHOOSE(GX95,FN95,FR95,FV95,FZ95,GD95,GH95,GL95,GP95))&gt;0.005),INDEX(DebtNames,GX95),IF(AND(HB95&lt;&gt;"",N(CHOOSE(HB95,FN95,FR95,FV95,FZ95,GD95,GH95,GL95,GP95))&gt;0.005),INDEX(DebtNames,HB95),IF(AND(HF95&lt;&gt;"",N(CHOOSE(HF95,FN95,FR95,FV95,FZ95,GD95,GH95,GL95,GP95))&gt;0.005),INDEX(DebtNames,HF95),IF(AND(HJ95&lt;&gt;"",N(CHOOSE(HJ95,FN95,FR95,FV95,FZ95,GD95,GH95,GL95,GP95))&gt;0.005),INDEX(DebtNames,HJ95),IF(AND(HN95&lt;&gt;"",N(CHOOSE(HN95,FN95,FR95,FV95,FZ95,GD95,GH95,GL95,GP95))&gt;0.005),INDEX(DebtNames,HN95),IF(AND(HR95&lt;&gt;"",N(CHOOSE(HR95,FN95,FR95,FV95,FZ95,GD95,GH95,GL95,GP95))&gt;0.005),INDEX(DebtNames,HR95),IF(AND(HV95&lt;&gt;"",N(CHOOSE(HV95,FN95,FR95,FV95,FZ95,GD95,GH95,GL95,GP95))&gt;0.005),INDEX(DebtNames,HV95),""))))))))</f>
        <v/>
      </c>
      <c r="FH95">
        <f>N(HY95)</f>
        <v/>
      </c>
      <c r="FI95">
        <f>N(FP95)+N(FT95)+N(FX95)+N(GB95)+N(GF95)+N(GJ95)+N(GN95)+N(GR95)</f>
        <v/>
      </c>
      <c r="FJ95">
        <f>N(FO95)+N(FS95)+N(FW95)+N(GA95)+N(GE95)+N(GI95)+N(GM95)+N(GQ95)</f>
        <v/>
      </c>
      <c r="FK95">
        <f>N(FK94)+N(FJ95)</f>
        <v/>
      </c>
      <c r="FL95">
        <f>N(FQ95)+N(FU95)+N(FY95)+N(GC95)+N(GG95)+N(GK95)+N(GO95)+N(GS95)</f>
        <v/>
      </c>
      <c r="FM95">
        <f>(FQ95&gt;0.005)*1+(FU95&gt;0.005)*1+(FY95&gt;0.005)*1+(GC95&gt;0.005)*1+(GG95&gt;0.005)*1+(GK95&gt;0.005)*1+(GO95&gt;0.005)*1+(GS95&gt;0.005)*1</f>
        <v/>
      </c>
      <c r="FN95">
        <f>N(FQ94)</f>
        <v/>
      </c>
      <c r="FO95">
        <f>IF(N(FN95)&lt;=0.005,0,ROUND(N(FN95)*N('Debt List'!E5)/12,2))</f>
        <v/>
      </c>
      <c r="FP95">
        <f>IF(N(FN95)&lt;=0.005,0,MIN(N('Debt List'!F5),N(FN95)+N(FO95)))+((GT95=1)*GV95+(GX95=1)*GZ95+(HB95=1)*HD95+(HF95=1)*HH95+(HJ95=1)*HL95+(HN95=1)*HP95+(HR95=1)*HT95+(HV95=1)*HX95)</f>
        <v/>
      </c>
      <c r="FQ95">
        <f>MAX(0,ROUND(N(FN95)+N(FO95)-N(FP95),2))</f>
        <v/>
      </c>
      <c r="FR95">
        <f>N(FU94)</f>
        <v/>
      </c>
      <c r="FS95">
        <f>IF(N(FR95)&lt;=0.005,0,ROUND(N(FR95)*N('Debt List'!E6)/12,2))</f>
        <v/>
      </c>
      <c r="FT95">
        <f>IF(N(FR95)&lt;=0.005,0,MIN(N('Debt List'!F6),N(FR95)+N(FS95)))+((GT95=2)*GV95+(GX95=2)*GZ95+(HB95=2)*HD95+(HF95=2)*HH95+(HJ95=2)*HL95+(HN95=2)*HP95+(HR95=2)*HT95+(HV95=2)*HX95)</f>
        <v/>
      </c>
      <c r="FU95">
        <f>MAX(0,ROUND(N(FR95)+N(FS95)-N(FT95),2))</f>
        <v/>
      </c>
      <c r="FV95">
        <f>N(FY94)</f>
        <v/>
      </c>
      <c r="FW95">
        <f>IF(N(FV95)&lt;=0.005,0,ROUND(N(FV95)*N('Debt List'!E7)/12,2))</f>
        <v/>
      </c>
      <c r="FX95">
        <f>IF(N(FV95)&lt;=0.005,0,MIN(N('Debt List'!F7),N(FV95)+N(FW95)))+((GT95=3)*GV95+(GX95=3)*GZ95+(HB95=3)*HD95+(HF95=3)*HH95+(HJ95=3)*HL95+(HN95=3)*HP95+(HR95=3)*HT95+(HV95=3)*HX95)</f>
        <v/>
      </c>
      <c r="FY95">
        <f>MAX(0,ROUND(N(FV95)+N(FW95)-N(FX95),2))</f>
        <v/>
      </c>
      <c r="FZ95">
        <f>N(GC94)</f>
        <v/>
      </c>
      <c r="GA95">
        <f>IF(N(FZ95)&lt;=0.005,0,ROUND(N(FZ95)*N('Debt List'!E8)/12,2))</f>
        <v/>
      </c>
      <c r="GB95">
        <f>IF(N(FZ95)&lt;=0.005,0,MIN(N('Debt List'!F8),N(FZ95)+N(GA95)))+((GT95=4)*GV95+(GX95=4)*GZ95+(HB95=4)*HD95+(HF95=4)*HH95+(HJ95=4)*HL95+(HN95=4)*HP95+(HR95=4)*HT95+(HV95=4)*HX95)</f>
        <v/>
      </c>
      <c r="GC95">
        <f>MAX(0,ROUND(N(FZ95)+N(GA95)-N(GB95),2))</f>
        <v/>
      </c>
      <c r="GD95">
        <f>N(GG94)</f>
        <v/>
      </c>
      <c r="GE95">
        <f>IF(N(GD95)&lt;=0.005,0,ROUND(N(GD95)*N('Debt List'!E9)/12,2))</f>
        <v/>
      </c>
      <c r="GF95">
        <f>IF(N(GD95)&lt;=0.005,0,MIN(N('Debt List'!F9),N(GD95)+N(GE95)))+((GT95=5)*GV95+(GX95=5)*GZ95+(HB95=5)*HD95+(HF95=5)*HH95+(HJ95=5)*HL95+(HN95=5)*HP95+(HR95=5)*HT95+(HV95=5)*HX95)</f>
        <v/>
      </c>
      <c r="GG95">
        <f>MAX(0,ROUND(N(GD95)+N(GE95)-N(GF95),2))</f>
        <v/>
      </c>
      <c r="GH95">
        <f>N(GK94)</f>
        <v/>
      </c>
      <c r="GI95">
        <f>IF(N(GH95)&lt;=0.005,0,ROUND(N(GH95)*N('Debt List'!E10)/12,2))</f>
        <v/>
      </c>
      <c r="GJ95">
        <f>IF(N(GH95)&lt;=0.005,0,MIN(N('Debt List'!F10),N(GH95)+N(GI95)))+((GT95=6)*GV95+(GX95=6)*GZ95+(HB95=6)*HD95+(HF95=6)*HH95+(HJ95=6)*HL95+(HN95=6)*HP95+(HR95=6)*HT95+(HV95=6)*HX95)</f>
        <v/>
      </c>
      <c r="GK95">
        <f>MAX(0,ROUND(N(GH95)+N(GI95)-N(GJ95),2))</f>
        <v/>
      </c>
      <c r="GL95">
        <f>N(GO94)</f>
        <v/>
      </c>
      <c r="GM95">
        <f>IF(N(GL95)&lt;=0.005,0,ROUND(N(GL95)*N('Debt List'!E11)/12,2))</f>
        <v/>
      </c>
      <c r="GN95">
        <f>IF(N(GL95)&lt;=0.005,0,MIN(N('Debt List'!F11),N(GL95)+N(GM95)))+((GT95=7)*GV95+(GX95=7)*GZ95+(HB95=7)*HD95+(HF95=7)*HH95+(HJ95=7)*HL95+(HN95=7)*HP95+(HR95=7)*HT95+(HV95=7)*HX95)</f>
        <v/>
      </c>
      <c r="GO95">
        <f>MAX(0,ROUND(N(GL95)+N(GM95)-N(GN95),2))</f>
        <v/>
      </c>
      <c r="GP95">
        <f>N(GS94)</f>
        <v/>
      </c>
      <c r="GQ95">
        <f>IF(N(GP95)&lt;=0.005,0,ROUND(N(GP95)*N('Debt List'!E12)/12,2))</f>
        <v/>
      </c>
      <c r="GR95">
        <f>IF(N(GP95)&lt;=0.005,0,MIN(N('Debt List'!F12),N(GP95)+N(GQ95)))+((GT95=8)*GV95+(GX95=8)*GZ95+(HB95=8)*HD95+(HF95=8)*HH95+(HJ95=8)*HL95+(HN95=8)*HP95+(HR95=8)*HT95+(HV95=8)*HX95)</f>
        <v/>
      </c>
      <c r="GS95">
        <f>MAX(0,ROUND(N(GP95)+N(GQ95)-N(GR95),2))</f>
        <v/>
      </c>
      <c r="GT95">
        <f>IFERROR(MATCH(1,OrderAval,0),"")</f>
        <v/>
      </c>
      <c r="GU95">
        <f>IF(GT95="",0,IFERROR(IF(N(CHOOSE(GT95,FN95,FR95,FV95,FZ95,GD95,GH95,GL95,GP95))&lt;=0.005,0,MAX(0,N(CHOOSE(GT95,FN95,FR95,FV95,FZ95,GD95,GH95,GL95,GP95))+N(CHOOSE(GT95,FO95,FS95,FW95,GA95,GE95,GI95,GM95,GQ95))-MIN(N(CHOOSE(GT95,'Debt List'!$F$5,'Debt List'!$F$6,'Debt List'!$F$7,'Debt List'!$F$8,'Debt List'!$F$9,'Debt List'!$F$10,'Debt List'!$F$11,'Debt List'!$F$12)),N(CHOOSE(GT95,FN95,FR95,FV95,FZ95,GD95,GH95,GL95,GP95))+N(CHOOSE(GT95,FO95,FS95,FW95,GA95,GE95,GI95,GM95,GQ95))))),0))</f>
        <v/>
      </c>
      <c r="GV95">
        <f>MIN(N(GU95),MAX(0,N(ExtraPayment)))</f>
        <v/>
      </c>
      <c r="GW95">
        <f>MAX(0,N(ExtraPayment)-N(GV95))</f>
        <v/>
      </c>
      <c r="GX95">
        <f>IFERROR(MATCH(2,OrderAval,0),"")</f>
        <v/>
      </c>
      <c r="GY95">
        <f>IF(GX95="",0,IFERROR(IF(N(CHOOSE(GX95,FN95,FR95,FV95,FZ95,GD95,GH95,GL95,GP95))&lt;=0.005,0,MAX(0,N(CHOOSE(GX95,FN95,FR95,FV95,FZ95,GD95,GH95,GL95,GP95))+N(CHOOSE(GX95,FO95,FS95,FW95,GA95,GE95,GI95,GM95,GQ95))-MIN(N(CHOOSE(GX95,'Debt List'!$F$5,'Debt List'!$F$6,'Debt List'!$F$7,'Debt List'!$F$8,'Debt List'!$F$9,'Debt List'!$F$10,'Debt List'!$F$11,'Debt List'!$F$12)),N(CHOOSE(GX95,FN95,FR95,FV95,FZ95,GD95,GH95,GL95,GP95))+N(CHOOSE(GX95,FO95,FS95,FW95,GA95,GE95,GI95,GM95,GQ95))))),0))</f>
        <v/>
      </c>
      <c r="GZ95">
        <f>MIN(N(GY95),MAX(0,N(GW95)))</f>
        <v/>
      </c>
      <c r="HA95">
        <f>MAX(0,N(GW95)-N(GZ95))</f>
        <v/>
      </c>
      <c r="HB95">
        <f>IFERROR(MATCH(3,OrderAval,0),"")</f>
        <v/>
      </c>
      <c r="HC95">
        <f>IF(HB95="",0,IFERROR(IF(N(CHOOSE(HB95,FN95,FR95,FV95,FZ95,GD95,GH95,GL95,GP95))&lt;=0.005,0,MAX(0,N(CHOOSE(HB95,FN95,FR95,FV95,FZ95,GD95,GH95,GL95,GP95))+N(CHOOSE(HB95,FO95,FS95,FW95,GA95,GE95,GI95,GM95,GQ95))-MIN(N(CHOOSE(HB95,'Debt List'!$F$5,'Debt List'!$F$6,'Debt List'!$F$7,'Debt List'!$F$8,'Debt List'!$F$9,'Debt List'!$F$10,'Debt List'!$F$11,'Debt List'!$F$12)),N(CHOOSE(HB95,FN95,FR95,FV95,FZ95,GD95,GH95,GL95,GP95))+N(CHOOSE(HB95,FO95,FS95,FW95,GA95,GE95,GI95,GM95,GQ95))))),0))</f>
        <v/>
      </c>
      <c r="HD95">
        <f>MIN(N(HC95),MAX(0,N(HA95)))</f>
        <v/>
      </c>
      <c r="HE95">
        <f>MAX(0,N(HA95)-N(HD95))</f>
        <v/>
      </c>
      <c r="HF95">
        <f>IFERROR(MATCH(4,OrderAval,0),"")</f>
        <v/>
      </c>
      <c r="HG95">
        <f>IF(HF95="",0,IFERROR(IF(N(CHOOSE(HF95,FN95,FR95,FV95,FZ95,GD95,GH95,GL95,GP95))&lt;=0.005,0,MAX(0,N(CHOOSE(HF95,FN95,FR95,FV95,FZ95,GD95,GH95,GL95,GP95))+N(CHOOSE(HF95,FO95,FS95,FW95,GA95,GE95,GI95,GM95,GQ95))-MIN(N(CHOOSE(HF95,'Debt List'!$F$5,'Debt List'!$F$6,'Debt List'!$F$7,'Debt List'!$F$8,'Debt List'!$F$9,'Debt List'!$F$10,'Debt List'!$F$11,'Debt List'!$F$12)),N(CHOOSE(HF95,FN95,FR95,FV95,FZ95,GD95,GH95,GL95,GP95))+N(CHOOSE(HF95,FO95,FS95,FW95,GA95,GE95,GI95,GM95,GQ95))))),0))</f>
        <v/>
      </c>
      <c r="HH95">
        <f>MIN(N(HG95),MAX(0,N(HE95)))</f>
        <v/>
      </c>
      <c r="HI95">
        <f>MAX(0,N(HE95)-N(HH95))</f>
        <v/>
      </c>
      <c r="HJ95">
        <f>IFERROR(MATCH(5,OrderAval,0),"")</f>
        <v/>
      </c>
      <c r="HK95">
        <f>IF(HJ95="",0,IFERROR(IF(N(CHOOSE(HJ95,FN95,FR95,FV95,FZ95,GD95,GH95,GL95,GP95))&lt;=0.005,0,MAX(0,N(CHOOSE(HJ95,FN95,FR95,FV95,FZ95,GD95,GH95,GL95,GP95))+N(CHOOSE(HJ95,FO95,FS95,FW95,GA95,GE95,GI95,GM95,GQ95))-MIN(N(CHOOSE(HJ95,'Debt List'!$F$5,'Debt List'!$F$6,'Debt List'!$F$7,'Debt List'!$F$8,'Debt List'!$F$9,'Debt List'!$F$10,'Debt List'!$F$11,'Debt List'!$F$12)),N(CHOOSE(HJ95,FN95,FR95,FV95,FZ95,GD95,GH95,GL95,GP95))+N(CHOOSE(HJ95,FO95,FS95,FW95,GA95,GE95,GI95,GM95,GQ95))))),0))</f>
        <v/>
      </c>
      <c r="HL95">
        <f>MIN(N(HK95),MAX(0,N(HI95)))</f>
        <v/>
      </c>
      <c r="HM95">
        <f>MAX(0,N(HI95)-N(HL95))</f>
        <v/>
      </c>
      <c r="HN95">
        <f>IFERROR(MATCH(6,OrderAval,0),"")</f>
        <v/>
      </c>
      <c r="HO95">
        <f>IF(HN95="",0,IFERROR(IF(N(CHOOSE(HN95,FN95,FR95,FV95,FZ95,GD95,GH95,GL95,GP95))&lt;=0.005,0,MAX(0,N(CHOOSE(HN95,FN95,FR95,FV95,FZ95,GD95,GH95,GL95,GP95))+N(CHOOSE(HN95,FO95,FS95,FW95,GA95,GE95,GI95,GM95,GQ95))-MIN(N(CHOOSE(HN95,'Debt List'!$F$5,'Debt List'!$F$6,'Debt List'!$F$7,'Debt List'!$F$8,'Debt List'!$F$9,'Debt List'!$F$10,'Debt List'!$F$11,'Debt List'!$F$12)),N(CHOOSE(HN95,FN95,FR95,FV95,FZ95,GD95,GH95,GL95,GP95))+N(CHOOSE(HN95,FO95,FS95,FW95,GA95,GE95,GI95,GM95,GQ95))))),0))</f>
        <v/>
      </c>
      <c r="HP95">
        <f>MIN(N(HO95),MAX(0,N(HM95)))</f>
        <v/>
      </c>
      <c r="HQ95">
        <f>MAX(0,N(HM95)-N(HP95))</f>
        <v/>
      </c>
      <c r="HR95">
        <f>IFERROR(MATCH(7,OrderAval,0),"")</f>
        <v/>
      </c>
      <c r="HS95">
        <f>IF(HR95="",0,IFERROR(IF(N(CHOOSE(HR95,FN95,FR95,FV95,FZ95,GD95,GH95,GL95,GP95))&lt;=0.005,0,MAX(0,N(CHOOSE(HR95,FN95,FR95,FV95,FZ95,GD95,GH95,GL95,GP95))+N(CHOOSE(HR95,FO95,FS95,FW95,GA95,GE95,GI95,GM95,GQ95))-MIN(N(CHOOSE(HR95,'Debt List'!$F$5,'Debt List'!$F$6,'Debt List'!$F$7,'Debt List'!$F$8,'Debt List'!$F$9,'Debt List'!$F$10,'Debt List'!$F$11,'Debt List'!$F$12)),N(CHOOSE(HR95,FN95,FR95,FV95,FZ95,GD95,GH95,GL95,GP95))+N(CHOOSE(HR95,FO95,FS95,FW95,GA95,GE95,GI95,GM95,GQ95))))),0))</f>
        <v/>
      </c>
      <c r="HT95">
        <f>MIN(N(HS95),MAX(0,N(HQ95)))</f>
        <v/>
      </c>
      <c r="HU95">
        <f>MAX(0,N(HQ95)-N(HT95))</f>
        <v/>
      </c>
      <c r="HV95">
        <f>IFERROR(MATCH(8,OrderAval,0),"")</f>
        <v/>
      </c>
      <c r="HW95">
        <f>IF(HV95="",0,IFERROR(IF(N(CHOOSE(HV95,FN95,FR95,FV95,FZ95,GD95,GH95,GL95,GP95))&lt;=0.005,0,MAX(0,N(CHOOSE(HV95,FN95,FR95,FV95,FZ95,GD95,GH95,GL95,GP95))+N(CHOOSE(HV95,FO95,FS95,FW95,GA95,GE95,GI95,GM95,GQ95))-MIN(N(CHOOSE(HV95,'Debt List'!$F$5,'Debt List'!$F$6,'Debt List'!$F$7,'Debt List'!$F$8,'Debt List'!$F$9,'Debt List'!$F$10,'Debt List'!$F$11,'Debt List'!$F$12)),N(CHOOSE(HV95,FN95,FR95,FV95,FZ95,GD95,GH95,GL95,GP95))+N(CHOOSE(HV95,FO95,FS95,FW95,GA95,GE95,GI95,GM95,GQ95))))),0))</f>
        <v/>
      </c>
      <c r="HX95">
        <f>MIN(N(HW95),MAX(0,N(HU95)))</f>
        <v/>
      </c>
      <c r="HY95">
        <f>MAX(0,N(HU95)-N(HX95))</f>
        <v/>
      </c>
    </row>
    <row r="96">
      <c r="A96" t="n">
        <v>92</v>
      </c>
      <c r="B96" s="115">
        <f>DATE(YEAR(PlanStart),MONTH(PlanStart)+A96-1,1)</f>
        <v/>
      </c>
      <c r="C96">
        <f>IF(AND(AP96&lt;&gt;"",N(CHOOSE(AP96,J96,N96,R96,V96,Z96,AD96,AH96,AL96))&gt;0.005),INDEX(DebtNames,AP96),IF(AND(AT96&lt;&gt;"",N(CHOOSE(AT96,J96,N96,R96,V96,Z96,AD96,AH96,AL96))&gt;0.005),INDEX(DebtNames,AT96),IF(AND(AX96&lt;&gt;"",N(CHOOSE(AX96,J96,N96,R96,V96,Z96,AD96,AH96,AL96))&gt;0.005),INDEX(DebtNames,AX96),IF(AND(BB96&lt;&gt;"",N(CHOOSE(BB96,J96,N96,R96,V96,Z96,AD96,AH96,AL96))&gt;0.005),INDEX(DebtNames,BB96),IF(AND(BF96&lt;&gt;"",N(CHOOSE(BF96,J96,N96,R96,V96,Z96,AD96,AH96,AL96))&gt;0.005),INDEX(DebtNames,BF96),IF(AND(BJ96&lt;&gt;"",N(CHOOSE(BJ96,J96,N96,R96,V96,Z96,AD96,AH96,AL96))&gt;0.005),INDEX(DebtNames,BJ96),IF(AND(BN96&lt;&gt;"",N(CHOOSE(BN96,J96,N96,R96,V96,Z96,AD96,AH96,AL96))&gt;0.005),INDEX(DebtNames,BN96),IF(AND(BR96&lt;&gt;"",N(CHOOSE(BR96,J96,N96,R96,V96,Z96,AD96,AH96,AL96))&gt;0.005),INDEX(DebtNames,BR96),""))))))))</f>
        <v/>
      </c>
      <c r="D96">
        <f>N(BU96)</f>
        <v/>
      </c>
      <c r="E96">
        <f>N(L96)+N(P96)+N(T96)+N(X96)+N(AB96)+N(AF96)+N(AJ96)+N(AN96)</f>
        <v/>
      </c>
      <c r="F96">
        <f>N(K96)+N(O96)+N(S96)+N(W96)+N(AA96)+N(AE96)+N(AI96)+N(AM96)</f>
        <v/>
      </c>
      <c r="G96">
        <f>N(G95)+N(F96)</f>
        <v/>
      </c>
      <c r="H96">
        <f>N(M96)+N(Q96)+N(U96)+N(Y96)+N(AC96)+N(AG96)+N(AK96)+N(AO96)</f>
        <v/>
      </c>
      <c r="I96">
        <f>(M96&gt;0.005)*1+(Q96&gt;0.005)*1+(U96&gt;0.005)*1+(Y96&gt;0.005)*1+(AC96&gt;0.005)*1+(AG96&gt;0.005)*1+(AK96&gt;0.005)*1+(AO96&gt;0.005)*1</f>
        <v/>
      </c>
      <c r="J96">
        <f>N(M95)</f>
        <v/>
      </c>
      <c r="K96">
        <f>IF(N(J96)&lt;=0.005,0,ROUND(N(J96)*N('Debt List'!E5)/12,2))</f>
        <v/>
      </c>
      <c r="L96">
        <f>IF(N(J96)&lt;=0.005,0,MIN(N('Debt List'!F5),N(J96)+N(K96)))+((AP96=1)*AR96+(AT96=1)*AV96+(AX96=1)*AZ96+(BB96=1)*BD96+(BF96=1)*BH96+(BJ96=1)*BL96+(BN96=1)*BP96+(BR96=1)*BT96)</f>
        <v/>
      </c>
      <c r="M96">
        <f>MAX(0,ROUND(N(J96)+N(K96)-N(L96),2))</f>
        <v/>
      </c>
      <c r="N96">
        <f>N(Q95)</f>
        <v/>
      </c>
      <c r="O96">
        <f>IF(N(N96)&lt;=0.005,0,ROUND(N(N96)*N('Debt List'!E6)/12,2))</f>
        <v/>
      </c>
      <c r="P96">
        <f>IF(N(N96)&lt;=0.005,0,MIN(N('Debt List'!F6),N(N96)+N(O96)))+((AP96=2)*AR96+(AT96=2)*AV96+(AX96=2)*AZ96+(BB96=2)*BD96+(BF96=2)*BH96+(BJ96=2)*BL96+(BN96=2)*BP96+(BR96=2)*BT96)</f>
        <v/>
      </c>
      <c r="Q96">
        <f>MAX(0,ROUND(N(N96)+N(O96)-N(P96),2))</f>
        <v/>
      </c>
      <c r="R96">
        <f>N(U95)</f>
        <v/>
      </c>
      <c r="S96">
        <f>IF(N(R96)&lt;=0.005,0,ROUND(N(R96)*N('Debt List'!E7)/12,2))</f>
        <v/>
      </c>
      <c r="T96">
        <f>IF(N(R96)&lt;=0.005,0,MIN(N('Debt List'!F7),N(R96)+N(S96)))+((AP96=3)*AR96+(AT96=3)*AV96+(AX96=3)*AZ96+(BB96=3)*BD96+(BF96=3)*BH96+(BJ96=3)*BL96+(BN96=3)*BP96+(BR96=3)*BT96)</f>
        <v/>
      </c>
      <c r="U96">
        <f>MAX(0,ROUND(N(R96)+N(S96)-N(T96),2))</f>
        <v/>
      </c>
      <c r="V96">
        <f>N(Y95)</f>
        <v/>
      </c>
      <c r="W96">
        <f>IF(N(V96)&lt;=0.005,0,ROUND(N(V96)*N('Debt List'!E8)/12,2))</f>
        <v/>
      </c>
      <c r="X96">
        <f>IF(N(V96)&lt;=0.005,0,MIN(N('Debt List'!F8),N(V96)+N(W96)))+((AP96=4)*AR96+(AT96=4)*AV96+(AX96=4)*AZ96+(BB96=4)*BD96+(BF96=4)*BH96+(BJ96=4)*BL96+(BN96=4)*BP96+(BR96=4)*BT96)</f>
        <v/>
      </c>
      <c r="Y96">
        <f>MAX(0,ROUND(N(V96)+N(W96)-N(X96),2))</f>
        <v/>
      </c>
      <c r="Z96">
        <f>N(AC95)</f>
        <v/>
      </c>
      <c r="AA96">
        <f>IF(N(Z96)&lt;=0.005,0,ROUND(N(Z96)*N('Debt List'!E9)/12,2))</f>
        <v/>
      </c>
      <c r="AB96">
        <f>IF(N(Z96)&lt;=0.005,0,MIN(N('Debt List'!F9),N(Z96)+N(AA96)))+((AP96=5)*AR96+(AT96=5)*AV96+(AX96=5)*AZ96+(BB96=5)*BD96+(BF96=5)*BH96+(BJ96=5)*BL96+(BN96=5)*BP96+(BR96=5)*BT96)</f>
        <v/>
      </c>
      <c r="AC96">
        <f>MAX(0,ROUND(N(Z96)+N(AA96)-N(AB96),2))</f>
        <v/>
      </c>
      <c r="AD96">
        <f>N(AG95)</f>
        <v/>
      </c>
      <c r="AE96">
        <f>IF(N(AD96)&lt;=0.005,0,ROUND(N(AD96)*N('Debt List'!E10)/12,2))</f>
        <v/>
      </c>
      <c r="AF96">
        <f>IF(N(AD96)&lt;=0.005,0,MIN(N('Debt List'!F10),N(AD96)+N(AE96)))+((AP96=6)*AR96+(AT96=6)*AV96+(AX96=6)*AZ96+(BB96=6)*BD96+(BF96=6)*BH96+(BJ96=6)*BL96+(BN96=6)*BP96+(BR96=6)*BT96)</f>
        <v/>
      </c>
      <c r="AG96">
        <f>MAX(0,ROUND(N(AD96)+N(AE96)-N(AF96),2))</f>
        <v/>
      </c>
      <c r="AH96">
        <f>N(AK95)</f>
        <v/>
      </c>
      <c r="AI96">
        <f>IF(N(AH96)&lt;=0.005,0,ROUND(N(AH96)*N('Debt List'!E11)/12,2))</f>
        <v/>
      </c>
      <c r="AJ96">
        <f>IF(N(AH96)&lt;=0.005,0,MIN(N('Debt List'!F11),N(AH96)+N(AI96)))+((AP96=7)*AR96+(AT96=7)*AV96+(AX96=7)*AZ96+(BB96=7)*BD96+(BF96=7)*BH96+(BJ96=7)*BL96+(BN96=7)*BP96+(BR96=7)*BT96)</f>
        <v/>
      </c>
      <c r="AK96">
        <f>MAX(0,ROUND(N(AH96)+N(AI96)-N(AJ96),2))</f>
        <v/>
      </c>
      <c r="AL96">
        <f>N(AO95)</f>
        <v/>
      </c>
      <c r="AM96">
        <f>IF(N(AL96)&lt;=0.005,0,ROUND(N(AL96)*N('Debt List'!E12)/12,2))</f>
        <v/>
      </c>
      <c r="AN96">
        <f>IF(N(AL96)&lt;=0.005,0,MIN(N('Debt List'!F12),N(AL96)+N(AM96)))+((AP96=8)*AR96+(AT96=8)*AV96+(AX96=8)*AZ96+(BB96=8)*BD96+(BF96=8)*BH96+(BJ96=8)*BL96+(BN96=8)*BP96+(BR96=8)*BT96)</f>
        <v/>
      </c>
      <c r="AO96">
        <f>MAX(0,ROUND(N(AL96)+N(AM96)-N(AN96),2))</f>
        <v/>
      </c>
      <c r="AP96">
        <f>IFERROR(MATCH(1,OrderPlan,0),"")</f>
        <v/>
      </c>
      <c r="AQ96">
        <f>IF(AP96="",0,IFERROR(IF(N(CHOOSE(AP96,J96,N96,R96,V96,Z96,AD96,AH96,AL96))&lt;=0.005,0,MAX(0,N(CHOOSE(AP96,J96,N96,R96,V96,Z96,AD96,AH96,AL96))+N(CHOOSE(AP96,K96,O96,S96,W96,AA96,AE96,AI96,AM96))-MIN(N(CHOOSE(AP96,'Debt List'!$F$5,'Debt List'!$F$6,'Debt List'!$F$7,'Debt List'!$F$8,'Debt List'!$F$9,'Debt List'!$F$10,'Debt List'!$F$11,'Debt List'!$F$12)),N(CHOOSE(AP96,J96,N96,R96,V96,Z96,AD96,AH96,AL96))+N(CHOOSE(AP96,K96,O96,S96,W96,AA96,AE96,AI96,AM96))))),0))</f>
        <v/>
      </c>
      <c r="AR96">
        <f>MIN(N(AQ96),MAX(0,N(ExtraPayment)))</f>
        <v/>
      </c>
      <c r="AS96">
        <f>MAX(0,N(ExtraPayment)-N(AR96))</f>
        <v/>
      </c>
      <c r="AT96">
        <f>IFERROR(MATCH(2,OrderPlan,0),"")</f>
        <v/>
      </c>
      <c r="AU96">
        <f>IF(AT96="",0,IFERROR(IF(N(CHOOSE(AT96,J96,N96,R96,V96,Z96,AD96,AH96,AL96))&lt;=0.005,0,MAX(0,N(CHOOSE(AT96,J96,N96,R96,V96,Z96,AD96,AH96,AL96))+N(CHOOSE(AT96,K96,O96,S96,W96,AA96,AE96,AI96,AM96))-MIN(N(CHOOSE(AT96,'Debt List'!$F$5,'Debt List'!$F$6,'Debt List'!$F$7,'Debt List'!$F$8,'Debt List'!$F$9,'Debt List'!$F$10,'Debt List'!$F$11,'Debt List'!$F$12)),N(CHOOSE(AT96,J96,N96,R96,V96,Z96,AD96,AH96,AL96))+N(CHOOSE(AT96,K96,O96,S96,W96,AA96,AE96,AI96,AM96))))),0))</f>
        <v/>
      </c>
      <c r="AV96">
        <f>MIN(N(AU96),MAX(0,N(AS96)))</f>
        <v/>
      </c>
      <c r="AW96">
        <f>MAX(0,N(AS96)-N(AV96))</f>
        <v/>
      </c>
      <c r="AX96">
        <f>IFERROR(MATCH(3,OrderPlan,0),"")</f>
        <v/>
      </c>
      <c r="AY96">
        <f>IF(AX96="",0,IFERROR(IF(N(CHOOSE(AX96,J96,N96,R96,V96,Z96,AD96,AH96,AL96))&lt;=0.005,0,MAX(0,N(CHOOSE(AX96,J96,N96,R96,V96,Z96,AD96,AH96,AL96))+N(CHOOSE(AX96,K96,O96,S96,W96,AA96,AE96,AI96,AM96))-MIN(N(CHOOSE(AX96,'Debt List'!$F$5,'Debt List'!$F$6,'Debt List'!$F$7,'Debt List'!$F$8,'Debt List'!$F$9,'Debt List'!$F$10,'Debt List'!$F$11,'Debt List'!$F$12)),N(CHOOSE(AX96,J96,N96,R96,V96,Z96,AD96,AH96,AL96))+N(CHOOSE(AX96,K96,O96,S96,W96,AA96,AE96,AI96,AM96))))),0))</f>
        <v/>
      </c>
      <c r="AZ96">
        <f>MIN(N(AY96),MAX(0,N(AW96)))</f>
        <v/>
      </c>
      <c r="BA96">
        <f>MAX(0,N(AW96)-N(AZ96))</f>
        <v/>
      </c>
      <c r="BB96">
        <f>IFERROR(MATCH(4,OrderPlan,0),"")</f>
        <v/>
      </c>
      <c r="BC96">
        <f>IF(BB96="",0,IFERROR(IF(N(CHOOSE(BB96,J96,N96,R96,V96,Z96,AD96,AH96,AL96))&lt;=0.005,0,MAX(0,N(CHOOSE(BB96,J96,N96,R96,V96,Z96,AD96,AH96,AL96))+N(CHOOSE(BB96,K96,O96,S96,W96,AA96,AE96,AI96,AM96))-MIN(N(CHOOSE(BB96,'Debt List'!$F$5,'Debt List'!$F$6,'Debt List'!$F$7,'Debt List'!$F$8,'Debt List'!$F$9,'Debt List'!$F$10,'Debt List'!$F$11,'Debt List'!$F$12)),N(CHOOSE(BB96,J96,N96,R96,V96,Z96,AD96,AH96,AL96))+N(CHOOSE(BB96,K96,O96,S96,W96,AA96,AE96,AI96,AM96))))),0))</f>
        <v/>
      </c>
      <c r="BD96">
        <f>MIN(N(BC96),MAX(0,N(BA96)))</f>
        <v/>
      </c>
      <c r="BE96">
        <f>MAX(0,N(BA96)-N(BD96))</f>
        <v/>
      </c>
      <c r="BF96">
        <f>IFERROR(MATCH(5,OrderPlan,0),"")</f>
        <v/>
      </c>
      <c r="BG96">
        <f>IF(BF96="",0,IFERROR(IF(N(CHOOSE(BF96,J96,N96,R96,V96,Z96,AD96,AH96,AL96))&lt;=0.005,0,MAX(0,N(CHOOSE(BF96,J96,N96,R96,V96,Z96,AD96,AH96,AL96))+N(CHOOSE(BF96,K96,O96,S96,W96,AA96,AE96,AI96,AM96))-MIN(N(CHOOSE(BF96,'Debt List'!$F$5,'Debt List'!$F$6,'Debt List'!$F$7,'Debt List'!$F$8,'Debt List'!$F$9,'Debt List'!$F$10,'Debt List'!$F$11,'Debt List'!$F$12)),N(CHOOSE(BF96,J96,N96,R96,V96,Z96,AD96,AH96,AL96))+N(CHOOSE(BF96,K96,O96,S96,W96,AA96,AE96,AI96,AM96))))),0))</f>
        <v/>
      </c>
      <c r="BH96">
        <f>MIN(N(BG96),MAX(0,N(BE96)))</f>
        <v/>
      </c>
      <c r="BI96">
        <f>MAX(0,N(BE96)-N(BH96))</f>
        <v/>
      </c>
      <c r="BJ96">
        <f>IFERROR(MATCH(6,OrderPlan,0),"")</f>
        <v/>
      </c>
      <c r="BK96">
        <f>IF(BJ96="",0,IFERROR(IF(N(CHOOSE(BJ96,J96,N96,R96,V96,Z96,AD96,AH96,AL96))&lt;=0.005,0,MAX(0,N(CHOOSE(BJ96,J96,N96,R96,V96,Z96,AD96,AH96,AL96))+N(CHOOSE(BJ96,K96,O96,S96,W96,AA96,AE96,AI96,AM96))-MIN(N(CHOOSE(BJ96,'Debt List'!$F$5,'Debt List'!$F$6,'Debt List'!$F$7,'Debt List'!$F$8,'Debt List'!$F$9,'Debt List'!$F$10,'Debt List'!$F$11,'Debt List'!$F$12)),N(CHOOSE(BJ96,J96,N96,R96,V96,Z96,AD96,AH96,AL96))+N(CHOOSE(BJ96,K96,O96,S96,W96,AA96,AE96,AI96,AM96))))),0))</f>
        <v/>
      </c>
      <c r="BL96">
        <f>MIN(N(BK96),MAX(0,N(BI96)))</f>
        <v/>
      </c>
      <c r="BM96">
        <f>MAX(0,N(BI96)-N(BL96))</f>
        <v/>
      </c>
      <c r="BN96">
        <f>IFERROR(MATCH(7,OrderPlan,0),"")</f>
        <v/>
      </c>
      <c r="BO96">
        <f>IF(BN96="",0,IFERROR(IF(N(CHOOSE(BN96,J96,N96,R96,V96,Z96,AD96,AH96,AL96))&lt;=0.005,0,MAX(0,N(CHOOSE(BN96,J96,N96,R96,V96,Z96,AD96,AH96,AL96))+N(CHOOSE(BN96,K96,O96,S96,W96,AA96,AE96,AI96,AM96))-MIN(N(CHOOSE(BN96,'Debt List'!$F$5,'Debt List'!$F$6,'Debt List'!$F$7,'Debt List'!$F$8,'Debt List'!$F$9,'Debt List'!$F$10,'Debt List'!$F$11,'Debt List'!$F$12)),N(CHOOSE(BN96,J96,N96,R96,V96,Z96,AD96,AH96,AL96))+N(CHOOSE(BN96,K96,O96,S96,W96,AA96,AE96,AI96,AM96))))),0))</f>
        <v/>
      </c>
      <c r="BP96">
        <f>MIN(N(BO96),MAX(0,N(BM96)))</f>
        <v/>
      </c>
      <c r="BQ96">
        <f>MAX(0,N(BM96)-N(BP96))</f>
        <v/>
      </c>
      <c r="BR96">
        <f>IFERROR(MATCH(8,OrderPlan,0),"")</f>
        <v/>
      </c>
      <c r="BS96">
        <f>IF(BR96="",0,IFERROR(IF(N(CHOOSE(BR96,J96,N96,R96,V96,Z96,AD96,AH96,AL96))&lt;=0.005,0,MAX(0,N(CHOOSE(BR96,J96,N96,R96,V96,Z96,AD96,AH96,AL96))+N(CHOOSE(BR96,K96,O96,S96,W96,AA96,AE96,AI96,AM96))-MIN(N(CHOOSE(BR96,'Debt List'!$F$5,'Debt List'!$F$6,'Debt List'!$F$7,'Debt List'!$F$8,'Debt List'!$F$9,'Debt List'!$F$10,'Debt List'!$F$11,'Debt List'!$F$12)),N(CHOOSE(BR96,J96,N96,R96,V96,Z96,AD96,AH96,AL96))+N(CHOOSE(BR96,K96,O96,S96,W96,AA96,AE96,AI96,AM96))))),0))</f>
        <v/>
      </c>
      <c r="BT96">
        <f>MIN(N(BS96),MAX(0,N(BQ96)))</f>
        <v/>
      </c>
      <c r="BU96">
        <f>MAX(0,N(BQ96)-N(BT96))</f>
        <v/>
      </c>
      <c r="CC96" t="n">
        <v>92</v>
      </c>
      <c r="CD96" s="115">
        <f>DATE(YEAR(PlanStart),MONTH(PlanStart)+CC96-1,1)</f>
        <v/>
      </c>
      <c r="CE96">
        <f>IF(AND(DR96&lt;&gt;"",N(CHOOSE(DR96,CL96,CP96,CT96,CX96,DB96,DF96,DJ96,DN96))&gt;0.005),INDEX(DebtNames,DR96),IF(AND(DV96&lt;&gt;"",N(CHOOSE(DV96,CL96,CP96,CT96,CX96,DB96,DF96,DJ96,DN96))&gt;0.005),INDEX(DebtNames,DV96),IF(AND(DZ96&lt;&gt;"",N(CHOOSE(DZ96,CL96,CP96,CT96,CX96,DB96,DF96,DJ96,DN96))&gt;0.005),INDEX(DebtNames,DZ96),IF(AND(ED96&lt;&gt;"",N(CHOOSE(ED96,CL96,CP96,CT96,CX96,DB96,DF96,DJ96,DN96))&gt;0.005),INDEX(DebtNames,ED96),IF(AND(EH96&lt;&gt;"",N(CHOOSE(EH96,CL96,CP96,CT96,CX96,DB96,DF96,DJ96,DN96))&gt;0.005),INDEX(DebtNames,EH96),IF(AND(EL96&lt;&gt;"",N(CHOOSE(EL96,CL96,CP96,CT96,CX96,DB96,DF96,DJ96,DN96))&gt;0.005),INDEX(DebtNames,EL96),IF(AND(EP96&lt;&gt;"",N(CHOOSE(EP96,CL96,CP96,CT96,CX96,DB96,DF96,DJ96,DN96))&gt;0.005),INDEX(DebtNames,EP96),IF(AND(ET96&lt;&gt;"",N(CHOOSE(ET96,CL96,CP96,CT96,CX96,DB96,DF96,DJ96,DN96))&gt;0.005),INDEX(DebtNames,ET96),""))))))))</f>
        <v/>
      </c>
      <c r="CF96">
        <f>N(EW96)</f>
        <v/>
      </c>
      <c r="CG96">
        <f>N(CN96)+N(CR96)+N(CV96)+N(CZ96)+N(DD96)+N(DH96)+N(DL96)+N(DP96)</f>
        <v/>
      </c>
      <c r="CH96">
        <f>N(CM96)+N(CQ96)+N(CU96)+N(CY96)+N(DC96)+N(DG96)+N(DK96)+N(DO96)</f>
        <v/>
      </c>
      <c r="CI96">
        <f>N(CI95)+N(CH96)</f>
        <v/>
      </c>
      <c r="CJ96">
        <f>N(CO96)+N(CS96)+N(CW96)+N(DA96)+N(DE96)+N(DI96)+N(DM96)+N(DQ96)</f>
        <v/>
      </c>
      <c r="CK96">
        <f>(CO96&gt;0.005)*1+(CS96&gt;0.005)*1+(CW96&gt;0.005)*1+(DA96&gt;0.005)*1+(DE96&gt;0.005)*1+(DI96&gt;0.005)*1+(DM96&gt;0.005)*1+(DQ96&gt;0.005)*1</f>
        <v/>
      </c>
      <c r="CL96">
        <f>N(CO95)</f>
        <v/>
      </c>
      <c r="CM96">
        <f>IF(N(CL96)&lt;=0.005,0,ROUND(N(CL96)*N('Debt List'!E5)/12,2))</f>
        <v/>
      </c>
      <c r="CN96">
        <f>IF(N(CL96)&lt;=0.005,0,MIN(N('Debt List'!F5),N(CL96)+N(CM96)))+((DR96=1)*DT96+(DV96=1)*DX96+(DZ96=1)*EB96+(ED96=1)*EF96+(EH96=1)*EJ96+(EL96=1)*EN96+(EP96=1)*ER96+(ET96=1)*EV96)</f>
        <v/>
      </c>
      <c r="CO96">
        <f>MAX(0,ROUND(N(CL96)+N(CM96)-N(CN96),2))</f>
        <v/>
      </c>
      <c r="CP96">
        <f>N(CS95)</f>
        <v/>
      </c>
      <c r="CQ96">
        <f>IF(N(CP96)&lt;=0.005,0,ROUND(N(CP96)*N('Debt List'!E6)/12,2))</f>
        <v/>
      </c>
      <c r="CR96">
        <f>IF(N(CP96)&lt;=0.005,0,MIN(N('Debt List'!F6),N(CP96)+N(CQ96)))+((DR96=2)*DT96+(DV96=2)*DX96+(DZ96=2)*EB96+(ED96=2)*EF96+(EH96=2)*EJ96+(EL96=2)*EN96+(EP96=2)*ER96+(ET96=2)*EV96)</f>
        <v/>
      </c>
      <c r="CS96">
        <f>MAX(0,ROUND(N(CP96)+N(CQ96)-N(CR96),2))</f>
        <v/>
      </c>
      <c r="CT96">
        <f>N(CW95)</f>
        <v/>
      </c>
      <c r="CU96">
        <f>IF(N(CT96)&lt;=0.005,0,ROUND(N(CT96)*N('Debt List'!E7)/12,2))</f>
        <v/>
      </c>
      <c r="CV96">
        <f>IF(N(CT96)&lt;=0.005,0,MIN(N('Debt List'!F7),N(CT96)+N(CU96)))+((DR96=3)*DT96+(DV96=3)*DX96+(DZ96=3)*EB96+(ED96=3)*EF96+(EH96=3)*EJ96+(EL96=3)*EN96+(EP96=3)*ER96+(ET96=3)*EV96)</f>
        <v/>
      </c>
      <c r="CW96">
        <f>MAX(0,ROUND(N(CT96)+N(CU96)-N(CV96),2))</f>
        <v/>
      </c>
      <c r="CX96">
        <f>N(DA95)</f>
        <v/>
      </c>
      <c r="CY96">
        <f>IF(N(CX96)&lt;=0.005,0,ROUND(N(CX96)*N('Debt List'!E8)/12,2))</f>
        <v/>
      </c>
      <c r="CZ96">
        <f>IF(N(CX96)&lt;=0.005,0,MIN(N('Debt List'!F8),N(CX96)+N(CY96)))+((DR96=4)*DT96+(DV96=4)*DX96+(DZ96=4)*EB96+(ED96=4)*EF96+(EH96=4)*EJ96+(EL96=4)*EN96+(EP96=4)*ER96+(ET96=4)*EV96)</f>
        <v/>
      </c>
      <c r="DA96">
        <f>MAX(0,ROUND(N(CX96)+N(CY96)-N(CZ96),2))</f>
        <v/>
      </c>
      <c r="DB96">
        <f>N(DE95)</f>
        <v/>
      </c>
      <c r="DC96">
        <f>IF(N(DB96)&lt;=0.005,0,ROUND(N(DB96)*N('Debt List'!E9)/12,2))</f>
        <v/>
      </c>
      <c r="DD96">
        <f>IF(N(DB96)&lt;=0.005,0,MIN(N('Debt List'!F9),N(DB96)+N(DC96)))+((DR96=5)*DT96+(DV96=5)*DX96+(DZ96=5)*EB96+(ED96=5)*EF96+(EH96=5)*EJ96+(EL96=5)*EN96+(EP96=5)*ER96+(ET96=5)*EV96)</f>
        <v/>
      </c>
      <c r="DE96">
        <f>MAX(0,ROUND(N(DB96)+N(DC96)-N(DD96),2))</f>
        <v/>
      </c>
      <c r="DF96">
        <f>N(DI95)</f>
        <v/>
      </c>
      <c r="DG96">
        <f>IF(N(DF96)&lt;=0.005,0,ROUND(N(DF96)*N('Debt List'!E10)/12,2))</f>
        <v/>
      </c>
      <c r="DH96">
        <f>IF(N(DF96)&lt;=0.005,0,MIN(N('Debt List'!F10),N(DF96)+N(DG96)))+((DR96=6)*DT96+(DV96=6)*DX96+(DZ96=6)*EB96+(ED96=6)*EF96+(EH96=6)*EJ96+(EL96=6)*EN96+(EP96=6)*ER96+(ET96=6)*EV96)</f>
        <v/>
      </c>
      <c r="DI96">
        <f>MAX(0,ROUND(N(DF96)+N(DG96)-N(DH96),2))</f>
        <v/>
      </c>
      <c r="DJ96">
        <f>N(DM95)</f>
        <v/>
      </c>
      <c r="DK96">
        <f>IF(N(DJ96)&lt;=0.005,0,ROUND(N(DJ96)*N('Debt List'!E11)/12,2))</f>
        <v/>
      </c>
      <c r="DL96">
        <f>IF(N(DJ96)&lt;=0.005,0,MIN(N('Debt List'!F11),N(DJ96)+N(DK96)))+((DR96=7)*DT96+(DV96=7)*DX96+(DZ96=7)*EB96+(ED96=7)*EF96+(EH96=7)*EJ96+(EL96=7)*EN96+(EP96=7)*ER96+(ET96=7)*EV96)</f>
        <v/>
      </c>
      <c r="DM96">
        <f>MAX(0,ROUND(N(DJ96)+N(DK96)-N(DL96),2))</f>
        <v/>
      </c>
      <c r="DN96">
        <f>N(DQ95)</f>
        <v/>
      </c>
      <c r="DO96">
        <f>IF(N(DN96)&lt;=0.005,0,ROUND(N(DN96)*N('Debt List'!E12)/12,2))</f>
        <v/>
      </c>
      <c r="DP96">
        <f>IF(N(DN96)&lt;=0.005,0,MIN(N('Debt List'!F12),N(DN96)+N(DO96)))+((DR96=8)*DT96+(DV96=8)*DX96+(DZ96=8)*EB96+(ED96=8)*EF96+(EH96=8)*EJ96+(EL96=8)*EN96+(EP96=8)*ER96+(ET96=8)*EV96)</f>
        <v/>
      </c>
      <c r="DQ96">
        <f>MAX(0,ROUND(N(DN96)+N(DO96)-N(DP96),2))</f>
        <v/>
      </c>
      <c r="DR96">
        <f>IFERROR(MATCH(1,OrderSnow,0),"")</f>
        <v/>
      </c>
      <c r="DS96">
        <f>IF(DR96="",0,IFERROR(IF(N(CHOOSE(DR96,CL96,CP96,CT96,CX96,DB96,DF96,DJ96,DN96))&lt;=0.005,0,MAX(0,N(CHOOSE(DR96,CL96,CP96,CT96,CX96,DB96,DF96,DJ96,DN96))+N(CHOOSE(DR96,CM96,CQ96,CU96,CY96,DC96,DG96,DK96,DO96))-MIN(N(CHOOSE(DR96,'Debt List'!$F$5,'Debt List'!$F$6,'Debt List'!$F$7,'Debt List'!$F$8,'Debt List'!$F$9,'Debt List'!$F$10,'Debt List'!$F$11,'Debt List'!$F$12)),N(CHOOSE(DR96,CL96,CP96,CT96,CX96,DB96,DF96,DJ96,DN96))+N(CHOOSE(DR96,CM96,CQ96,CU96,CY96,DC96,DG96,DK96,DO96))))),0))</f>
        <v/>
      </c>
      <c r="DT96">
        <f>MIN(N(DS96),MAX(0,N(ExtraPayment)))</f>
        <v/>
      </c>
      <c r="DU96">
        <f>MAX(0,N(ExtraPayment)-N(DT96))</f>
        <v/>
      </c>
      <c r="DV96">
        <f>IFERROR(MATCH(2,OrderSnow,0),"")</f>
        <v/>
      </c>
      <c r="DW96">
        <f>IF(DV96="",0,IFERROR(IF(N(CHOOSE(DV96,CL96,CP96,CT96,CX96,DB96,DF96,DJ96,DN96))&lt;=0.005,0,MAX(0,N(CHOOSE(DV96,CL96,CP96,CT96,CX96,DB96,DF96,DJ96,DN96))+N(CHOOSE(DV96,CM96,CQ96,CU96,CY96,DC96,DG96,DK96,DO96))-MIN(N(CHOOSE(DV96,'Debt List'!$F$5,'Debt List'!$F$6,'Debt List'!$F$7,'Debt List'!$F$8,'Debt List'!$F$9,'Debt List'!$F$10,'Debt List'!$F$11,'Debt List'!$F$12)),N(CHOOSE(DV96,CL96,CP96,CT96,CX96,DB96,DF96,DJ96,DN96))+N(CHOOSE(DV96,CM96,CQ96,CU96,CY96,DC96,DG96,DK96,DO96))))),0))</f>
        <v/>
      </c>
      <c r="DX96">
        <f>MIN(N(DW96),MAX(0,N(DU96)))</f>
        <v/>
      </c>
      <c r="DY96">
        <f>MAX(0,N(DU96)-N(DX96))</f>
        <v/>
      </c>
      <c r="DZ96">
        <f>IFERROR(MATCH(3,OrderSnow,0),"")</f>
        <v/>
      </c>
      <c r="EA96">
        <f>IF(DZ96="",0,IFERROR(IF(N(CHOOSE(DZ96,CL96,CP96,CT96,CX96,DB96,DF96,DJ96,DN96))&lt;=0.005,0,MAX(0,N(CHOOSE(DZ96,CL96,CP96,CT96,CX96,DB96,DF96,DJ96,DN96))+N(CHOOSE(DZ96,CM96,CQ96,CU96,CY96,DC96,DG96,DK96,DO96))-MIN(N(CHOOSE(DZ96,'Debt List'!$F$5,'Debt List'!$F$6,'Debt List'!$F$7,'Debt List'!$F$8,'Debt List'!$F$9,'Debt List'!$F$10,'Debt List'!$F$11,'Debt List'!$F$12)),N(CHOOSE(DZ96,CL96,CP96,CT96,CX96,DB96,DF96,DJ96,DN96))+N(CHOOSE(DZ96,CM96,CQ96,CU96,CY96,DC96,DG96,DK96,DO96))))),0))</f>
        <v/>
      </c>
      <c r="EB96">
        <f>MIN(N(EA96),MAX(0,N(DY96)))</f>
        <v/>
      </c>
      <c r="EC96">
        <f>MAX(0,N(DY96)-N(EB96))</f>
        <v/>
      </c>
      <c r="ED96">
        <f>IFERROR(MATCH(4,OrderSnow,0),"")</f>
        <v/>
      </c>
      <c r="EE96">
        <f>IF(ED96="",0,IFERROR(IF(N(CHOOSE(ED96,CL96,CP96,CT96,CX96,DB96,DF96,DJ96,DN96))&lt;=0.005,0,MAX(0,N(CHOOSE(ED96,CL96,CP96,CT96,CX96,DB96,DF96,DJ96,DN96))+N(CHOOSE(ED96,CM96,CQ96,CU96,CY96,DC96,DG96,DK96,DO96))-MIN(N(CHOOSE(ED96,'Debt List'!$F$5,'Debt List'!$F$6,'Debt List'!$F$7,'Debt List'!$F$8,'Debt List'!$F$9,'Debt List'!$F$10,'Debt List'!$F$11,'Debt List'!$F$12)),N(CHOOSE(ED96,CL96,CP96,CT96,CX96,DB96,DF96,DJ96,DN96))+N(CHOOSE(ED96,CM96,CQ96,CU96,CY96,DC96,DG96,DK96,DO96))))),0))</f>
        <v/>
      </c>
      <c r="EF96">
        <f>MIN(N(EE96),MAX(0,N(EC96)))</f>
        <v/>
      </c>
      <c r="EG96">
        <f>MAX(0,N(EC96)-N(EF96))</f>
        <v/>
      </c>
      <c r="EH96">
        <f>IFERROR(MATCH(5,OrderSnow,0),"")</f>
        <v/>
      </c>
      <c r="EI96">
        <f>IF(EH96="",0,IFERROR(IF(N(CHOOSE(EH96,CL96,CP96,CT96,CX96,DB96,DF96,DJ96,DN96))&lt;=0.005,0,MAX(0,N(CHOOSE(EH96,CL96,CP96,CT96,CX96,DB96,DF96,DJ96,DN96))+N(CHOOSE(EH96,CM96,CQ96,CU96,CY96,DC96,DG96,DK96,DO96))-MIN(N(CHOOSE(EH96,'Debt List'!$F$5,'Debt List'!$F$6,'Debt List'!$F$7,'Debt List'!$F$8,'Debt List'!$F$9,'Debt List'!$F$10,'Debt List'!$F$11,'Debt List'!$F$12)),N(CHOOSE(EH96,CL96,CP96,CT96,CX96,DB96,DF96,DJ96,DN96))+N(CHOOSE(EH96,CM96,CQ96,CU96,CY96,DC96,DG96,DK96,DO96))))),0))</f>
        <v/>
      </c>
      <c r="EJ96">
        <f>MIN(N(EI96),MAX(0,N(EG96)))</f>
        <v/>
      </c>
      <c r="EK96">
        <f>MAX(0,N(EG96)-N(EJ96))</f>
        <v/>
      </c>
      <c r="EL96">
        <f>IFERROR(MATCH(6,OrderSnow,0),"")</f>
        <v/>
      </c>
      <c r="EM96">
        <f>IF(EL96="",0,IFERROR(IF(N(CHOOSE(EL96,CL96,CP96,CT96,CX96,DB96,DF96,DJ96,DN96))&lt;=0.005,0,MAX(0,N(CHOOSE(EL96,CL96,CP96,CT96,CX96,DB96,DF96,DJ96,DN96))+N(CHOOSE(EL96,CM96,CQ96,CU96,CY96,DC96,DG96,DK96,DO96))-MIN(N(CHOOSE(EL96,'Debt List'!$F$5,'Debt List'!$F$6,'Debt List'!$F$7,'Debt List'!$F$8,'Debt List'!$F$9,'Debt List'!$F$10,'Debt List'!$F$11,'Debt List'!$F$12)),N(CHOOSE(EL96,CL96,CP96,CT96,CX96,DB96,DF96,DJ96,DN96))+N(CHOOSE(EL96,CM96,CQ96,CU96,CY96,DC96,DG96,DK96,DO96))))),0))</f>
        <v/>
      </c>
      <c r="EN96">
        <f>MIN(N(EM96),MAX(0,N(EK96)))</f>
        <v/>
      </c>
      <c r="EO96">
        <f>MAX(0,N(EK96)-N(EN96))</f>
        <v/>
      </c>
      <c r="EP96">
        <f>IFERROR(MATCH(7,OrderSnow,0),"")</f>
        <v/>
      </c>
      <c r="EQ96">
        <f>IF(EP96="",0,IFERROR(IF(N(CHOOSE(EP96,CL96,CP96,CT96,CX96,DB96,DF96,DJ96,DN96))&lt;=0.005,0,MAX(0,N(CHOOSE(EP96,CL96,CP96,CT96,CX96,DB96,DF96,DJ96,DN96))+N(CHOOSE(EP96,CM96,CQ96,CU96,CY96,DC96,DG96,DK96,DO96))-MIN(N(CHOOSE(EP96,'Debt List'!$F$5,'Debt List'!$F$6,'Debt List'!$F$7,'Debt List'!$F$8,'Debt List'!$F$9,'Debt List'!$F$10,'Debt List'!$F$11,'Debt List'!$F$12)),N(CHOOSE(EP96,CL96,CP96,CT96,CX96,DB96,DF96,DJ96,DN96))+N(CHOOSE(EP96,CM96,CQ96,CU96,CY96,DC96,DG96,DK96,DO96))))),0))</f>
        <v/>
      </c>
      <c r="ER96">
        <f>MIN(N(EQ96),MAX(0,N(EO96)))</f>
        <v/>
      </c>
      <c r="ES96">
        <f>MAX(0,N(EO96)-N(ER96))</f>
        <v/>
      </c>
      <c r="ET96">
        <f>IFERROR(MATCH(8,OrderSnow,0),"")</f>
        <v/>
      </c>
      <c r="EU96">
        <f>IF(ET96="",0,IFERROR(IF(N(CHOOSE(ET96,CL96,CP96,CT96,CX96,DB96,DF96,DJ96,DN96))&lt;=0.005,0,MAX(0,N(CHOOSE(ET96,CL96,CP96,CT96,CX96,DB96,DF96,DJ96,DN96))+N(CHOOSE(ET96,CM96,CQ96,CU96,CY96,DC96,DG96,DK96,DO96))-MIN(N(CHOOSE(ET96,'Debt List'!$F$5,'Debt List'!$F$6,'Debt List'!$F$7,'Debt List'!$F$8,'Debt List'!$F$9,'Debt List'!$F$10,'Debt List'!$F$11,'Debt List'!$F$12)),N(CHOOSE(ET96,CL96,CP96,CT96,CX96,DB96,DF96,DJ96,DN96))+N(CHOOSE(ET96,CM96,CQ96,CU96,CY96,DC96,DG96,DK96,DO96))))),0))</f>
        <v/>
      </c>
      <c r="EV96">
        <f>MIN(N(EU96),MAX(0,N(ES96)))</f>
        <v/>
      </c>
      <c r="EW96">
        <f>MAX(0,N(ES96)-N(EV96))</f>
        <v/>
      </c>
      <c r="FE96" t="n">
        <v>92</v>
      </c>
      <c r="FF96" s="115">
        <f>DATE(YEAR(PlanStart),MONTH(PlanStart)+FE96-1,1)</f>
        <v/>
      </c>
      <c r="FG96">
        <f>IF(AND(GT96&lt;&gt;"",N(CHOOSE(GT96,FN96,FR96,FV96,FZ96,GD96,GH96,GL96,GP96))&gt;0.005),INDEX(DebtNames,GT96),IF(AND(GX96&lt;&gt;"",N(CHOOSE(GX96,FN96,FR96,FV96,FZ96,GD96,GH96,GL96,GP96))&gt;0.005),INDEX(DebtNames,GX96),IF(AND(HB96&lt;&gt;"",N(CHOOSE(HB96,FN96,FR96,FV96,FZ96,GD96,GH96,GL96,GP96))&gt;0.005),INDEX(DebtNames,HB96),IF(AND(HF96&lt;&gt;"",N(CHOOSE(HF96,FN96,FR96,FV96,FZ96,GD96,GH96,GL96,GP96))&gt;0.005),INDEX(DebtNames,HF96),IF(AND(HJ96&lt;&gt;"",N(CHOOSE(HJ96,FN96,FR96,FV96,FZ96,GD96,GH96,GL96,GP96))&gt;0.005),INDEX(DebtNames,HJ96),IF(AND(HN96&lt;&gt;"",N(CHOOSE(HN96,FN96,FR96,FV96,FZ96,GD96,GH96,GL96,GP96))&gt;0.005),INDEX(DebtNames,HN96),IF(AND(HR96&lt;&gt;"",N(CHOOSE(HR96,FN96,FR96,FV96,FZ96,GD96,GH96,GL96,GP96))&gt;0.005),INDEX(DebtNames,HR96),IF(AND(HV96&lt;&gt;"",N(CHOOSE(HV96,FN96,FR96,FV96,FZ96,GD96,GH96,GL96,GP96))&gt;0.005),INDEX(DebtNames,HV96),""))))))))</f>
        <v/>
      </c>
      <c r="FH96">
        <f>N(HY96)</f>
        <v/>
      </c>
      <c r="FI96">
        <f>N(FP96)+N(FT96)+N(FX96)+N(GB96)+N(GF96)+N(GJ96)+N(GN96)+N(GR96)</f>
        <v/>
      </c>
      <c r="FJ96">
        <f>N(FO96)+N(FS96)+N(FW96)+N(GA96)+N(GE96)+N(GI96)+N(GM96)+N(GQ96)</f>
        <v/>
      </c>
      <c r="FK96">
        <f>N(FK95)+N(FJ96)</f>
        <v/>
      </c>
      <c r="FL96">
        <f>N(FQ96)+N(FU96)+N(FY96)+N(GC96)+N(GG96)+N(GK96)+N(GO96)+N(GS96)</f>
        <v/>
      </c>
      <c r="FM96">
        <f>(FQ96&gt;0.005)*1+(FU96&gt;0.005)*1+(FY96&gt;0.005)*1+(GC96&gt;0.005)*1+(GG96&gt;0.005)*1+(GK96&gt;0.005)*1+(GO96&gt;0.005)*1+(GS96&gt;0.005)*1</f>
        <v/>
      </c>
      <c r="FN96">
        <f>N(FQ95)</f>
        <v/>
      </c>
      <c r="FO96">
        <f>IF(N(FN96)&lt;=0.005,0,ROUND(N(FN96)*N('Debt List'!E5)/12,2))</f>
        <v/>
      </c>
      <c r="FP96">
        <f>IF(N(FN96)&lt;=0.005,0,MIN(N('Debt List'!F5),N(FN96)+N(FO96)))+((GT96=1)*GV96+(GX96=1)*GZ96+(HB96=1)*HD96+(HF96=1)*HH96+(HJ96=1)*HL96+(HN96=1)*HP96+(HR96=1)*HT96+(HV96=1)*HX96)</f>
        <v/>
      </c>
      <c r="FQ96">
        <f>MAX(0,ROUND(N(FN96)+N(FO96)-N(FP96),2))</f>
        <v/>
      </c>
      <c r="FR96">
        <f>N(FU95)</f>
        <v/>
      </c>
      <c r="FS96">
        <f>IF(N(FR96)&lt;=0.005,0,ROUND(N(FR96)*N('Debt List'!E6)/12,2))</f>
        <v/>
      </c>
      <c r="FT96">
        <f>IF(N(FR96)&lt;=0.005,0,MIN(N('Debt List'!F6),N(FR96)+N(FS96)))+((GT96=2)*GV96+(GX96=2)*GZ96+(HB96=2)*HD96+(HF96=2)*HH96+(HJ96=2)*HL96+(HN96=2)*HP96+(HR96=2)*HT96+(HV96=2)*HX96)</f>
        <v/>
      </c>
      <c r="FU96">
        <f>MAX(0,ROUND(N(FR96)+N(FS96)-N(FT96),2))</f>
        <v/>
      </c>
      <c r="FV96">
        <f>N(FY95)</f>
        <v/>
      </c>
      <c r="FW96">
        <f>IF(N(FV96)&lt;=0.005,0,ROUND(N(FV96)*N('Debt List'!E7)/12,2))</f>
        <v/>
      </c>
      <c r="FX96">
        <f>IF(N(FV96)&lt;=0.005,0,MIN(N('Debt List'!F7),N(FV96)+N(FW96)))+((GT96=3)*GV96+(GX96=3)*GZ96+(HB96=3)*HD96+(HF96=3)*HH96+(HJ96=3)*HL96+(HN96=3)*HP96+(HR96=3)*HT96+(HV96=3)*HX96)</f>
        <v/>
      </c>
      <c r="FY96">
        <f>MAX(0,ROUND(N(FV96)+N(FW96)-N(FX96),2))</f>
        <v/>
      </c>
      <c r="FZ96">
        <f>N(GC95)</f>
        <v/>
      </c>
      <c r="GA96">
        <f>IF(N(FZ96)&lt;=0.005,0,ROUND(N(FZ96)*N('Debt List'!E8)/12,2))</f>
        <v/>
      </c>
      <c r="GB96">
        <f>IF(N(FZ96)&lt;=0.005,0,MIN(N('Debt List'!F8),N(FZ96)+N(GA96)))+((GT96=4)*GV96+(GX96=4)*GZ96+(HB96=4)*HD96+(HF96=4)*HH96+(HJ96=4)*HL96+(HN96=4)*HP96+(HR96=4)*HT96+(HV96=4)*HX96)</f>
        <v/>
      </c>
      <c r="GC96">
        <f>MAX(0,ROUND(N(FZ96)+N(GA96)-N(GB96),2))</f>
        <v/>
      </c>
      <c r="GD96">
        <f>N(GG95)</f>
        <v/>
      </c>
      <c r="GE96">
        <f>IF(N(GD96)&lt;=0.005,0,ROUND(N(GD96)*N('Debt List'!E9)/12,2))</f>
        <v/>
      </c>
      <c r="GF96">
        <f>IF(N(GD96)&lt;=0.005,0,MIN(N('Debt List'!F9),N(GD96)+N(GE96)))+((GT96=5)*GV96+(GX96=5)*GZ96+(HB96=5)*HD96+(HF96=5)*HH96+(HJ96=5)*HL96+(HN96=5)*HP96+(HR96=5)*HT96+(HV96=5)*HX96)</f>
        <v/>
      </c>
      <c r="GG96">
        <f>MAX(0,ROUND(N(GD96)+N(GE96)-N(GF96),2))</f>
        <v/>
      </c>
      <c r="GH96">
        <f>N(GK95)</f>
        <v/>
      </c>
      <c r="GI96">
        <f>IF(N(GH96)&lt;=0.005,0,ROUND(N(GH96)*N('Debt List'!E10)/12,2))</f>
        <v/>
      </c>
      <c r="GJ96">
        <f>IF(N(GH96)&lt;=0.005,0,MIN(N('Debt List'!F10),N(GH96)+N(GI96)))+((GT96=6)*GV96+(GX96=6)*GZ96+(HB96=6)*HD96+(HF96=6)*HH96+(HJ96=6)*HL96+(HN96=6)*HP96+(HR96=6)*HT96+(HV96=6)*HX96)</f>
        <v/>
      </c>
      <c r="GK96">
        <f>MAX(0,ROUND(N(GH96)+N(GI96)-N(GJ96),2))</f>
        <v/>
      </c>
      <c r="GL96">
        <f>N(GO95)</f>
        <v/>
      </c>
      <c r="GM96">
        <f>IF(N(GL96)&lt;=0.005,0,ROUND(N(GL96)*N('Debt List'!E11)/12,2))</f>
        <v/>
      </c>
      <c r="GN96">
        <f>IF(N(GL96)&lt;=0.005,0,MIN(N('Debt List'!F11),N(GL96)+N(GM96)))+((GT96=7)*GV96+(GX96=7)*GZ96+(HB96=7)*HD96+(HF96=7)*HH96+(HJ96=7)*HL96+(HN96=7)*HP96+(HR96=7)*HT96+(HV96=7)*HX96)</f>
        <v/>
      </c>
      <c r="GO96">
        <f>MAX(0,ROUND(N(GL96)+N(GM96)-N(GN96),2))</f>
        <v/>
      </c>
      <c r="GP96">
        <f>N(GS95)</f>
        <v/>
      </c>
      <c r="GQ96">
        <f>IF(N(GP96)&lt;=0.005,0,ROUND(N(GP96)*N('Debt List'!E12)/12,2))</f>
        <v/>
      </c>
      <c r="GR96">
        <f>IF(N(GP96)&lt;=0.005,0,MIN(N('Debt List'!F12),N(GP96)+N(GQ96)))+((GT96=8)*GV96+(GX96=8)*GZ96+(HB96=8)*HD96+(HF96=8)*HH96+(HJ96=8)*HL96+(HN96=8)*HP96+(HR96=8)*HT96+(HV96=8)*HX96)</f>
        <v/>
      </c>
      <c r="GS96">
        <f>MAX(0,ROUND(N(GP96)+N(GQ96)-N(GR96),2))</f>
        <v/>
      </c>
      <c r="GT96">
        <f>IFERROR(MATCH(1,OrderAval,0),"")</f>
        <v/>
      </c>
      <c r="GU96">
        <f>IF(GT96="",0,IFERROR(IF(N(CHOOSE(GT96,FN96,FR96,FV96,FZ96,GD96,GH96,GL96,GP96))&lt;=0.005,0,MAX(0,N(CHOOSE(GT96,FN96,FR96,FV96,FZ96,GD96,GH96,GL96,GP96))+N(CHOOSE(GT96,FO96,FS96,FW96,GA96,GE96,GI96,GM96,GQ96))-MIN(N(CHOOSE(GT96,'Debt List'!$F$5,'Debt List'!$F$6,'Debt List'!$F$7,'Debt List'!$F$8,'Debt List'!$F$9,'Debt List'!$F$10,'Debt List'!$F$11,'Debt List'!$F$12)),N(CHOOSE(GT96,FN96,FR96,FV96,FZ96,GD96,GH96,GL96,GP96))+N(CHOOSE(GT96,FO96,FS96,FW96,GA96,GE96,GI96,GM96,GQ96))))),0))</f>
        <v/>
      </c>
      <c r="GV96">
        <f>MIN(N(GU96),MAX(0,N(ExtraPayment)))</f>
        <v/>
      </c>
      <c r="GW96">
        <f>MAX(0,N(ExtraPayment)-N(GV96))</f>
        <v/>
      </c>
      <c r="GX96">
        <f>IFERROR(MATCH(2,OrderAval,0),"")</f>
        <v/>
      </c>
      <c r="GY96">
        <f>IF(GX96="",0,IFERROR(IF(N(CHOOSE(GX96,FN96,FR96,FV96,FZ96,GD96,GH96,GL96,GP96))&lt;=0.005,0,MAX(0,N(CHOOSE(GX96,FN96,FR96,FV96,FZ96,GD96,GH96,GL96,GP96))+N(CHOOSE(GX96,FO96,FS96,FW96,GA96,GE96,GI96,GM96,GQ96))-MIN(N(CHOOSE(GX96,'Debt List'!$F$5,'Debt List'!$F$6,'Debt List'!$F$7,'Debt List'!$F$8,'Debt List'!$F$9,'Debt List'!$F$10,'Debt List'!$F$11,'Debt List'!$F$12)),N(CHOOSE(GX96,FN96,FR96,FV96,FZ96,GD96,GH96,GL96,GP96))+N(CHOOSE(GX96,FO96,FS96,FW96,GA96,GE96,GI96,GM96,GQ96))))),0))</f>
        <v/>
      </c>
      <c r="GZ96">
        <f>MIN(N(GY96),MAX(0,N(GW96)))</f>
        <v/>
      </c>
      <c r="HA96">
        <f>MAX(0,N(GW96)-N(GZ96))</f>
        <v/>
      </c>
      <c r="HB96">
        <f>IFERROR(MATCH(3,OrderAval,0),"")</f>
        <v/>
      </c>
      <c r="HC96">
        <f>IF(HB96="",0,IFERROR(IF(N(CHOOSE(HB96,FN96,FR96,FV96,FZ96,GD96,GH96,GL96,GP96))&lt;=0.005,0,MAX(0,N(CHOOSE(HB96,FN96,FR96,FV96,FZ96,GD96,GH96,GL96,GP96))+N(CHOOSE(HB96,FO96,FS96,FW96,GA96,GE96,GI96,GM96,GQ96))-MIN(N(CHOOSE(HB96,'Debt List'!$F$5,'Debt List'!$F$6,'Debt List'!$F$7,'Debt List'!$F$8,'Debt List'!$F$9,'Debt List'!$F$10,'Debt List'!$F$11,'Debt List'!$F$12)),N(CHOOSE(HB96,FN96,FR96,FV96,FZ96,GD96,GH96,GL96,GP96))+N(CHOOSE(HB96,FO96,FS96,FW96,GA96,GE96,GI96,GM96,GQ96))))),0))</f>
        <v/>
      </c>
      <c r="HD96">
        <f>MIN(N(HC96),MAX(0,N(HA96)))</f>
        <v/>
      </c>
      <c r="HE96">
        <f>MAX(0,N(HA96)-N(HD96))</f>
        <v/>
      </c>
      <c r="HF96">
        <f>IFERROR(MATCH(4,OrderAval,0),"")</f>
        <v/>
      </c>
      <c r="HG96">
        <f>IF(HF96="",0,IFERROR(IF(N(CHOOSE(HF96,FN96,FR96,FV96,FZ96,GD96,GH96,GL96,GP96))&lt;=0.005,0,MAX(0,N(CHOOSE(HF96,FN96,FR96,FV96,FZ96,GD96,GH96,GL96,GP96))+N(CHOOSE(HF96,FO96,FS96,FW96,GA96,GE96,GI96,GM96,GQ96))-MIN(N(CHOOSE(HF96,'Debt List'!$F$5,'Debt List'!$F$6,'Debt List'!$F$7,'Debt List'!$F$8,'Debt List'!$F$9,'Debt List'!$F$10,'Debt List'!$F$11,'Debt List'!$F$12)),N(CHOOSE(HF96,FN96,FR96,FV96,FZ96,GD96,GH96,GL96,GP96))+N(CHOOSE(HF96,FO96,FS96,FW96,GA96,GE96,GI96,GM96,GQ96))))),0))</f>
        <v/>
      </c>
      <c r="HH96">
        <f>MIN(N(HG96),MAX(0,N(HE96)))</f>
        <v/>
      </c>
      <c r="HI96">
        <f>MAX(0,N(HE96)-N(HH96))</f>
        <v/>
      </c>
      <c r="HJ96">
        <f>IFERROR(MATCH(5,OrderAval,0),"")</f>
        <v/>
      </c>
      <c r="HK96">
        <f>IF(HJ96="",0,IFERROR(IF(N(CHOOSE(HJ96,FN96,FR96,FV96,FZ96,GD96,GH96,GL96,GP96))&lt;=0.005,0,MAX(0,N(CHOOSE(HJ96,FN96,FR96,FV96,FZ96,GD96,GH96,GL96,GP96))+N(CHOOSE(HJ96,FO96,FS96,FW96,GA96,GE96,GI96,GM96,GQ96))-MIN(N(CHOOSE(HJ96,'Debt List'!$F$5,'Debt List'!$F$6,'Debt List'!$F$7,'Debt List'!$F$8,'Debt List'!$F$9,'Debt List'!$F$10,'Debt List'!$F$11,'Debt List'!$F$12)),N(CHOOSE(HJ96,FN96,FR96,FV96,FZ96,GD96,GH96,GL96,GP96))+N(CHOOSE(HJ96,FO96,FS96,FW96,GA96,GE96,GI96,GM96,GQ96))))),0))</f>
        <v/>
      </c>
      <c r="HL96">
        <f>MIN(N(HK96),MAX(0,N(HI96)))</f>
        <v/>
      </c>
      <c r="HM96">
        <f>MAX(0,N(HI96)-N(HL96))</f>
        <v/>
      </c>
      <c r="HN96">
        <f>IFERROR(MATCH(6,OrderAval,0),"")</f>
        <v/>
      </c>
      <c r="HO96">
        <f>IF(HN96="",0,IFERROR(IF(N(CHOOSE(HN96,FN96,FR96,FV96,FZ96,GD96,GH96,GL96,GP96))&lt;=0.005,0,MAX(0,N(CHOOSE(HN96,FN96,FR96,FV96,FZ96,GD96,GH96,GL96,GP96))+N(CHOOSE(HN96,FO96,FS96,FW96,GA96,GE96,GI96,GM96,GQ96))-MIN(N(CHOOSE(HN96,'Debt List'!$F$5,'Debt List'!$F$6,'Debt List'!$F$7,'Debt List'!$F$8,'Debt List'!$F$9,'Debt List'!$F$10,'Debt List'!$F$11,'Debt List'!$F$12)),N(CHOOSE(HN96,FN96,FR96,FV96,FZ96,GD96,GH96,GL96,GP96))+N(CHOOSE(HN96,FO96,FS96,FW96,GA96,GE96,GI96,GM96,GQ96))))),0))</f>
        <v/>
      </c>
      <c r="HP96">
        <f>MIN(N(HO96),MAX(0,N(HM96)))</f>
        <v/>
      </c>
      <c r="HQ96">
        <f>MAX(0,N(HM96)-N(HP96))</f>
        <v/>
      </c>
      <c r="HR96">
        <f>IFERROR(MATCH(7,OrderAval,0),"")</f>
        <v/>
      </c>
      <c r="HS96">
        <f>IF(HR96="",0,IFERROR(IF(N(CHOOSE(HR96,FN96,FR96,FV96,FZ96,GD96,GH96,GL96,GP96))&lt;=0.005,0,MAX(0,N(CHOOSE(HR96,FN96,FR96,FV96,FZ96,GD96,GH96,GL96,GP96))+N(CHOOSE(HR96,FO96,FS96,FW96,GA96,GE96,GI96,GM96,GQ96))-MIN(N(CHOOSE(HR96,'Debt List'!$F$5,'Debt List'!$F$6,'Debt List'!$F$7,'Debt List'!$F$8,'Debt List'!$F$9,'Debt List'!$F$10,'Debt List'!$F$11,'Debt List'!$F$12)),N(CHOOSE(HR96,FN96,FR96,FV96,FZ96,GD96,GH96,GL96,GP96))+N(CHOOSE(HR96,FO96,FS96,FW96,GA96,GE96,GI96,GM96,GQ96))))),0))</f>
        <v/>
      </c>
      <c r="HT96">
        <f>MIN(N(HS96),MAX(0,N(HQ96)))</f>
        <v/>
      </c>
      <c r="HU96">
        <f>MAX(0,N(HQ96)-N(HT96))</f>
        <v/>
      </c>
      <c r="HV96">
        <f>IFERROR(MATCH(8,OrderAval,0),"")</f>
        <v/>
      </c>
      <c r="HW96">
        <f>IF(HV96="",0,IFERROR(IF(N(CHOOSE(HV96,FN96,FR96,FV96,FZ96,GD96,GH96,GL96,GP96))&lt;=0.005,0,MAX(0,N(CHOOSE(HV96,FN96,FR96,FV96,FZ96,GD96,GH96,GL96,GP96))+N(CHOOSE(HV96,FO96,FS96,FW96,GA96,GE96,GI96,GM96,GQ96))-MIN(N(CHOOSE(HV96,'Debt List'!$F$5,'Debt List'!$F$6,'Debt List'!$F$7,'Debt List'!$F$8,'Debt List'!$F$9,'Debt List'!$F$10,'Debt List'!$F$11,'Debt List'!$F$12)),N(CHOOSE(HV96,FN96,FR96,FV96,FZ96,GD96,GH96,GL96,GP96))+N(CHOOSE(HV96,FO96,FS96,FW96,GA96,GE96,GI96,GM96,GQ96))))),0))</f>
        <v/>
      </c>
      <c r="HX96">
        <f>MIN(N(HW96),MAX(0,N(HU96)))</f>
        <v/>
      </c>
      <c r="HY96">
        <f>MAX(0,N(HU96)-N(HX96))</f>
        <v/>
      </c>
    </row>
    <row r="97">
      <c r="A97" t="n">
        <v>93</v>
      </c>
      <c r="B97" s="115">
        <f>DATE(YEAR(PlanStart),MONTH(PlanStart)+A97-1,1)</f>
        <v/>
      </c>
      <c r="C97">
        <f>IF(AND(AP97&lt;&gt;"",N(CHOOSE(AP97,J97,N97,R97,V97,Z97,AD97,AH97,AL97))&gt;0.005),INDEX(DebtNames,AP97),IF(AND(AT97&lt;&gt;"",N(CHOOSE(AT97,J97,N97,R97,V97,Z97,AD97,AH97,AL97))&gt;0.005),INDEX(DebtNames,AT97),IF(AND(AX97&lt;&gt;"",N(CHOOSE(AX97,J97,N97,R97,V97,Z97,AD97,AH97,AL97))&gt;0.005),INDEX(DebtNames,AX97),IF(AND(BB97&lt;&gt;"",N(CHOOSE(BB97,J97,N97,R97,V97,Z97,AD97,AH97,AL97))&gt;0.005),INDEX(DebtNames,BB97),IF(AND(BF97&lt;&gt;"",N(CHOOSE(BF97,J97,N97,R97,V97,Z97,AD97,AH97,AL97))&gt;0.005),INDEX(DebtNames,BF97),IF(AND(BJ97&lt;&gt;"",N(CHOOSE(BJ97,J97,N97,R97,V97,Z97,AD97,AH97,AL97))&gt;0.005),INDEX(DebtNames,BJ97),IF(AND(BN97&lt;&gt;"",N(CHOOSE(BN97,J97,N97,R97,V97,Z97,AD97,AH97,AL97))&gt;0.005),INDEX(DebtNames,BN97),IF(AND(BR97&lt;&gt;"",N(CHOOSE(BR97,J97,N97,R97,V97,Z97,AD97,AH97,AL97))&gt;0.005),INDEX(DebtNames,BR97),""))))))))</f>
        <v/>
      </c>
      <c r="D97">
        <f>N(BU97)</f>
        <v/>
      </c>
      <c r="E97">
        <f>N(L97)+N(P97)+N(T97)+N(X97)+N(AB97)+N(AF97)+N(AJ97)+N(AN97)</f>
        <v/>
      </c>
      <c r="F97">
        <f>N(K97)+N(O97)+N(S97)+N(W97)+N(AA97)+N(AE97)+N(AI97)+N(AM97)</f>
        <v/>
      </c>
      <c r="G97">
        <f>N(G96)+N(F97)</f>
        <v/>
      </c>
      <c r="H97">
        <f>N(M97)+N(Q97)+N(U97)+N(Y97)+N(AC97)+N(AG97)+N(AK97)+N(AO97)</f>
        <v/>
      </c>
      <c r="I97">
        <f>(M97&gt;0.005)*1+(Q97&gt;0.005)*1+(U97&gt;0.005)*1+(Y97&gt;0.005)*1+(AC97&gt;0.005)*1+(AG97&gt;0.005)*1+(AK97&gt;0.005)*1+(AO97&gt;0.005)*1</f>
        <v/>
      </c>
      <c r="J97">
        <f>N(M96)</f>
        <v/>
      </c>
      <c r="K97">
        <f>IF(N(J97)&lt;=0.005,0,ROUND(N(J97)*N('Debt List'!E5)/12,2))</f>
        <v/>
      </c>
      <c r="L97">
        <f>IF(N(J97)&lt;=0.005,0,MIN(N('Debt List'!F5),N(J97)+N(K97)))+((AP97=1)*AR97+(AT97=1)*AV97+(AX97=1)*AZ97+(BB97=1)*BD97+(BF97=1)*BH97+(BJ97=1)*BL97+(BN97=1)*BP97+(BR97=1)*BT97)</f>
        <v/>
      </c>
      <c r="M97">
        <f>MAX(0,ROUND(N(J97)+N(K97)-N(L97),2))</f>
        <v/>
      </c>
      <c r="N97">
        <f>N(Q96)</f>
        <v/>
      </c>
      <c r="O97">
        <f>IF(N(N97)&lt;=0.005,0,ROUND(N(N97)*N('Debt List'!E6)/12,2))</f>
        <v/>
      </c>
      <c r="P97">
        <f>IF(N(N97)&lt;=0.005,0,MIN(N('Debt List'!F6),N(N97)+N(O97)))+((AP97=2)*AR97+(AT97=2)*AV97+(AX97=2)*AZ97+(BB97=2)*BD97+(BF97=2)*BH97+(BJ97=2)*BL97+(BN97=2)*BP97+(BR97=2)*BT97)</f>
        <v/>
      </c>
      <c r="Q97">
        <f>MAX(0,ROUND(N(N97)+N(O97)-N(P97),2))</f>
        <v/>
      </c>
      <c r="R97">
        <f>N(U96)</f>
        <v/>
      </c>
      <c r="S97">
        <f>IF(N(R97)&lt;=0.005,0,ROUND(N(R97)*N('Debt List'!E7)/12,2))</f>
        <v/>
      </c>
      <c r="T97">
        <f>IF(N(R97)&lt;=0.005,0,MIN(N('Debt List'!F7),N(R97)+N(S97)))+((AP97=3)*AR97+(AT97=3)*AV97+(AX97=3)*AZ97+(BB97=3)*BD97+(BF97=3)*BH97+(BJ97=3)*BL97+(BN97=3)*BP97+(BR97=3)*BT97)</f>
        <v/>
      </c>
      <c r="U97">
        <f>MAX(0,ROUND(N(R97)+N(S97)-N(T97),2))</f>
        <v/>
      </c>
      <c r="V97">
        <f>N(Y96)</f>
        <v/>
      </c>
      <c r="W97">
        <f>IF(N(V97)&lt;=0.005,0,ROUND(N(V97)*N('Debt List'!E8)/12,2))</f>
        <v/>
      </c>
      <c r="X97">
        <f>IF(N(V97)&lt;=0.005,0,MIN(N('Debt List'!F8),N(V97)+N(W97)))+((AP97=4)*AR97+(AT97=4)*AV97+(AX97=4)*AZ97+(BB97=4)*BD97+(BF97=4)*BH97+(BJ97=4)*BL97+(BN97=4)*BP97+(BR97=4)*BT97)</f>
        <v/>
      </c>
      <c r="Y97">
        <f>MAX(0,ROUND(N(V97)+N(W97)-N(X97),2))</f>
        <v/>
      </c>
      <c r="Z97">
        <f>N(AC96)</f>
        <v/>
      </c>
      <c r="AA97">
        <f>IF(N(Z97)&lt;=0.005,0,ROUND(N(Z97)*N('Debt List'!E9)/12,2))</f>
        <v/>
      </c>
      <c r="AB97">
        <f>IF(N(Z97)&lt;=0.005,0,MIN(N('Debt List'!F9),N(Z97)+N(AA97)))+((AP97=5)*AR97+(AT97=5)*AV97+(AX97=5)*AZ97+(BB97=5)*BD97+(BF97=5)*BH97+(BJ97=5)*BL97+(BN97=5)*BP97+(BR97=5)*BT97)</f>
        <v/>
      </c>
      <c r="AC97">
        <f>MAX(0,ROUND(N(Z97)+N(AA97)-N(AB97),2))</f>
        <v/>
      </c>
      <c r="AD97">
        <f>N(AG96)</f>
        <v/>
      </c>
      <c r="AE97">
        <f>IF(N(AD97)&lt;=0.005,0,ROUND(N(AD97)*N('Debt List'!E10)/12,2))</f>
        <v/>
      </c>
      <c r="AF97">
        <f>IF(N(AD97)&lt;=0.005,0,MIN(N('Debt List'!F10),N(AD97)+N(AE97)))+((AP97=6)*AR97+(AT97=6)*AV97+(AX97=6)*AZ97+(BB97=6)*BD97+(BF97=6)*BH97+(BJ97=6)*BL97+(BN97=6)*BP97+(BR97=6)*BT97)</f>
        <v/>
      </c>
      <c r="AG97">
        <f>MAX(0,ROUND(N(AD97)+N(AE97)-N(AF97),2))</f>
        <v/>
      </c>
      <c r="AH97">
        <f>N(AK96)</f>
        <v/>
      </c>
      <c r="AI97">
        <f>IF(N(AH97)&lt;=0.005,0,ROUND(N(AH97)*N('Debt List'!E11)/12,2))</f>
        <v/>
      </c>
      <c r="AJ97">
        <f>IF(N(AH97)&lt;=0.005,0,MIN(N('Debt List'!F11),N(AH97)+N(AI97)))+((AP97=7)*AR97+(AT97=7)*AV97+(AX97=7)*AZ97+(BB97=7)*BD97+(BF97=7)*BH97+(BJ97=7)*BL97+(BN97=7)*BP97+(BR97=7)*BT97)</f>
        <v/>
      </c>
      <c r="AK97">
        <f>MAX(0,ROUND(N(AH97)+N(AI97)-N(AJ97),2))</f>
        <v/>
      </c>
      <c r="AL97">
        <f>N(AO96)</f>
        <v/>
      </c>
      <c r="AM97">
        <f>IF(N(AL97)&lt;=0.005,0,ROUND(N(AL97)*N('Debt List'!E12)/12,2))</f>
        <v/>
      </c>
      <c r="AN97">
        <f>IF(N(AL97)&lt;=0.005,0,MIN(N('Debt List'!F12),N(AL97)+N(AM97)))+((AP97=8)*AR97+(AT97=8)*AV97+(AX97=8)*AZ97+(BB97=8)*BD97+(BF97=8)*BH97+(BJ97=8)*BL97+(BN97=8)*BP97+(BR97=8)*BT97)</f>
        <v/>
      </c>
      <c r="AO97">
        <f>MAX(0,ROUND(N(AL97)+N(AM97)-N(AN97),2))</f>
        <v/>
      </c>
      <c r="AP97">
        <f>IFERROR(MATCH(1,OrderPlan,0),"")</f>
        <v/>
      </c>
      <c r="AQ97">
        <f>IF(AP97="",0,IFERROR(IF(N(CHOOSE(AP97,J97,N97,R97,V97,Z97,AD97,AH97,AL97))&lt;=0.005,0,MAX(0,N(CHOOSE(AP97,J97,N97,R97,V97,Z97,AD97,AH97,AL97))+N(CHOOSE(AP97,K97,O97,S97,W97,AA97,AE97,AI97,AM97))-MIN(N(CHOOSE(AP97,'Debt List'!$F$5,'Debt List'!$F$6,'Debt List'!$F$7,'Debt List'!$F$8,'Debt List'!$F$9,'Debt List'!$F$10,'Debt List'!$F$11,'Debt List'!$F$12)),N(CHOOSE(AP97,J97,N97,R97,V97,Z97,AD97,AH97,AL97))+N(CHOOSE(AP97,K97,O97,S97,W97,AA97,AE97,AI97,AM97))))),0))</f>
        <v/>
      </c>
      <c r="AR97">
        <f>MIN(N(AQ97),MAX(0,N(ExtraPayment)))</f>
        <v/>
      </c>
      <c r="AS97">
        <f>MAX(0,N(ExtraPayment)-N(AR97))</f>
        <v/>
      </c>
      <c r="AT97">
        <f>IFERROR(MATCH(2,OrderPlan,0),"")</f>
        <v/>
      </c>
      <c r="AU97">
        <f>IF(AT97="",0,IFERROR(IF(N(CHOOSE(AT97,J97,N97,R97,V97,Z97,AD97,AH97,AL97))&lt;=0.005,0,MAX(0,N(CHOOSE(AT97,J97,N97,R97,V97,Z97,AD97,AH97,AL97))+N(CHOOSE(AT97,K97,O97,S97,W97,AA97,AE97,AI97,AM97))-MIN(N(CHOOSE(AT97,'Debt List'!$F$5,'Debt List'!$F$6,'Debt List'!$F$7,'Debt List'!$F$8,'Debt List'!$F$9,'Debt List'!$F$10,'Debt List'!$F$11,'Debt List'!$F$12)),N(CHOOSE(AT97,J97,N97,R97,V97,Z97,AD97,AH97,AL97))+N(CHOOSE(AT97,K97,O97,S97,W97,AA97,AE97,AI97,AM97))))),0))</f>
        <v/>
      </c>
      <c r="AV97">
        <f>MIN(N(AU97),MAX(0,N(AS97)))</f>
        <v/>
      </c>
      <c r="AW97">
        <f>MAX(0,N(AS97)-N(AV97))</f>
        <v/>
      </c>
      <c r="AX97">
        <f>IFERROR(MATCH(3,OrderPlan,0),"")</f>
        <v/>
      </c>
      <c r="AY97">
        <f>IF(AX97="",0,IFERROR(IF(N(CHOOSE(AX97,J97,N97,R97,V97,Z97,AD97,AH97,AL97))&lt;=0.005,0,MAX(0,N(CHOOSE(AX97,J97,N97,R97,V97,Z97,AD97,AH97,AL97))+N(CHOOSE(AX97,K97,O97,S97,W97,AA97,AE97,AI97,AM97))-MIN(N(CHOOSE(AX97,'Debt List'!$F$5,'Debt List'!$F$6,'Debt List'!$F$7,'Debt List'!$F$8,'Debt List'!$F$9,'Debt List'!$F$10,'Debt List'!$F$11,'Debt List'!$F$12)),N(CHOOSE(AX97,J97,N97,R97,V97,Z97,AD97,AH97,AL97))+N(CHOOSE(AX97,K97,O97,S97,W97,AA97,AE97,AI97,AM97))))),0))</f>
        <v/>
      </c>
      <c r="AZ97">
        <f>MIN(N(AY97),MAX(0,N(AW97)))</f>
        <v/>
      </c>
      <c r="BA97">
        <f>MAX(0,N(AW97)-N(AZ97))</f>
        <v/>
      </c>
      <c r="BB97">
        <f>IFERROR(MATCH(4,OrderPlan,0),"")</f>
        <v/>
      </c>
      <c r="BC97">
        <f>IF(BB97="",0,IFERROR(IF(N(CHOOSE(BB97,J97,N97,R97,V97,Z97,AD97,AH97,AL97))&lt;=0.005,0,MAX(0,N(CHOOSE(BB97,J97,N97,R97,V97,Z97,AD97,AH97,AL97))+N(CHOOSE(BB97,K97,O97,S97,W97,AA97,AE97,AI97,AM97))-MIN(N(CHOOSE(BB97,'Debt List'!$F$5,'Debt List'!$F$6,'Debt List'!$F$7,'Debt List'!$F$8,'Debt List'!$F$9,'Debt List'!$F$10,'Debt List'!$F$11,'Debt List'!$F$12)),N(CHOOSE(BB97,J97,N97,R97,V97,Z97,AD97,AH97,AL97))+N(CHOOSE(BB97,K97,O97,S97,W97,AA97,AE97,AI97,AM97))))),0))</f>
        <v/>
      </c>
      <c r="BD97">
        <f>MIN(N(BC97),MAX(0,N(BA97)))</f>
        <v/>
      </c>
      <c r="BE97">
        <f>MAX(0,N(BA97)-N(BD97))</f>
        <v/>
      </c>
      <c r="BF97">
        <f>IFERROR(MATCH(5,OrderPlan,0),"")</f>
        <v/>
      </c>
      <c r="BG97">
        <f>IF(BF97="",0,IFERROR(IF(N(CHOOSE(BF97,J97,N97,R97,V97,Z97,AD97,AH97,AL97))&lt;=0.005,0,MAX(0,N(CHOOSE(BF97,J97,N97,R97,V97,Z97,AD97,AH97,AL97))+N(CHOOSE(BF97,K97,O97,S97,W97,AA97,AE97,AI97,AM97))-MIN(N(CHOOSE(BF97,'Debt List'!$F$5,'Debt List'!$F$6,'Debt List'!$F$7,'Debt List'!$F$8,'Debt List'!$F$9,'Debt List'!$F$10,'Debt List'!$F$11,'Debt List'!$F$12)),N(CHOOSE(BF97,J97,N97,R97,V97,Z97,AD97,AH97,AL97))+N(CHOOSE(BF97,K97,O97,S97,W97,AA97,AE97,AI97,AM97))))),0))</f>
        <v/>
      </c>
      <c r="BH97">
        <f>MIN(N(BG97),MAX(0,N(BE97)))</f>
        <v/>
      </c>
      <c r="BI97">
        <f>MAX(0,N(BE97)-N(BH97))</f>
        <v/>
      </c>
      <c r="BJ97">
        <f>IFERROR(MATCH(6,OrderPlan,0),"")</f>
        <v/>
      </c>
      <c r="BK97">
        <f>IF(BJ97="",0,IFERROR(IF(N(CHOOSE(BJ97,J97,N97,R97,V97,Z97,AD97,AH97,AL97))&lt;=0.005,0,MAX(0,N(CHOOSE(BJ97,J97,N97,R97,V97,Z97,AD97,AH97,AL97))+N(CHOOSE(BJ97,K97,O97,S97,W97,AA97,AE97,AI97,AM97))-MIN(N(CHOOSE(BJ97,'Debt List'!$F$5,'Debt List'!$F$6,'Debt List'!$F$7,'Debt List'!$F$8,'Debt List'!$F$9,'Debt List'!$F$10,'Debt List'!$F$11,'Debt List'!$F$12)),N(CHOOSE(BJ97,J97,N97,R97,V97,Z97,AD97,AH97,AL97))+N(CHOOSE(BJ97,K97,O97,S97,W97,AA97,AE97,AI97,AM97))))),0))</f>
        <v/>
      </c>
      <c r="BL97">
        <f>MIN(N(BK97),MAX(0,N(BI97)))</f>
        <v/>
      </c>
      <c r="BM97">
        <f>MAX(0,N(BI97)-N(BL97))</f>
        <v/>
      </c>
      <c r="BN97">
        <f>IFERROR(MATCH(7,OrderPlan,0),"")</f>
        <v/>
      </c>
      <c r="BO97">
        <f>IF(BN97="",0,IFERROR(IF(N(CHOOSE(BN97,J97,N97,R97,V97,Z97,AD97,AH97,AL97))&lt;=0.005,0,MAX(0,N(CHOOSE(BN97,J97,N97,R97,V97,Z97,AD97,AH97,AL97))+N(CHOOSE(BN97,K97,O97,S97,W97,AA97,AE97,AI97,AM97))-MIN(N(CHOOSE(BN97,'Debt List'!$F$5,'Debt List'!$F$6,'Debt List'!$F$7,'Debt List'!$F$8,'Debt List'!$F$9,'Debt List'!$F$10,'Debt List'!$F$11,'Debt List'!$F$12)),N(CHOOSE(BN97,J97,N97,R97,V97,Z97,AD97,AH97,AL97))+N(CHOOSE(BN97,K97,O97,S97,W97,AA97,AE97,AI97,AM97))))),0))</f>
        <v/>
      </c>
      <c r="BP97">
        <f>MIN(N(BO97),MAX(0,N(BM97)))</f>
        <v/>
      </c>
      <c r="BQ97">
        <f>MAX(0,N(BM97)-N(BP97))</f>
        <v/>
      </c>
      <c r="BR97">
        <f>IFERROR(MATCH(8,OrderPlan,0),"")</f>
        <v/>
      </c>
      <c r="BS97">
        <f>IF(BR97="",0,IFERROR(IF(N(CHOOSE(BR97,J97,N97,R97,V97,Z97,AD97,AH97,AL97))&lt;=0.005,0,MAX(0,N(CHOOSE(BR97,J97,N97,R97,V97,Z97,AD97,AH97,AL97))+N(CHOOSE(BR97,K97,O97,S97,W97,AA97,AE97,AI97,AM97))-MIN(N(CHOOSE(BR97,'Debt List'!$F$5,'Debt List'!$F$6,'Debt List'!$F$7,'Debt List'!$F$8,'Debt List'!$F$9,'Debt List'!$F$10,'Debt List'!$F$11,'Debt List'!$F$12)),N(CHOOSE(BR97,J97,N97,R97,V97,Z97,AD97,AH97,AL97))+N(CHOOSE(BR97,K97,O97,S97,W97,AA97,AE97,AI97,AM97))))),0))</f>
        <v/>
      </c>
      <c r="BT97">
        <f>MIN(N(BS97),MAX(0,N(BQ97)))</f>
        <v/>
      </c>
      <c r="BU97">
        <f>MAX(0,N(BQ97)-N(BT97))</f>
        <v/>
      </c>
      <c r="CC97" t="n">
        <v>93</v>
      </c>
      <c r="CD97" s="115">
        <f>DATE(YEAR(PlanStart),MONTH(PlanStart)+CC97-1,1)</f>
        <v/>
      </c>
      <c r="CE97">
        <f>IF(AND(DR97&lt;&gt;"",N(CHOOSE(DR97,CL97,CP97,CT97,CX97,DB97,DF97,DJ97,DN97))&gt;0.005),INDEX(DebtNames,DR97),IF(AND(DV97&lt;&gt;"",N(CHOOSE(DV97,CL97,CP97,CT97,CX97,DB97,DF97,DJ97,DN97))&gt;0.005),INDEX(DebtNames,DV97),IF(AND(DZ97&lt;&gt;"",N(CHOOSE(DZ97,CL97,CP97,CT97,CX97,DB97,DF97,DJ97,DN97))&gt;0.005),INDEX(DebtNames,DZ97),IF(AND(ED97&lt;&gt;"",N(CHOOSE(ED97,CL97,CP97,CT97,CX97,DB97,DF97,DJ97,DN97))&gt;0.005),INDEX(DebtNames,ED97),IF(AND(EH97&lt;&gt;"",N(CHOOSE(EH97,CL97,CP97,CT97,CX97,DB97,DF97,DJ97,DN97))&gt;0.005),INDEX(DebtNames,EH97),IF(AND(EL97&lt;&gt;"",N(CHOOSE(EL97,CL97,CP97,CT97,CX97,DB97,DF97,DJ97,DN97))&gt;0.005),INDEX(DebtNames,EL97),IF(AND(EP97&lt;&gt;"",N(CHOOSE(EP97,CL97,CP97,CT97,CX97,DB97,DF97,DJ97,DN97))&gt;0.005),INDEX(DebtNames,EP97),IF(AND(ET97&lt;&gt;"",N(CHOOSE(ET97,CL97,CP97,CT97,CX97,DB97,DF97,DJ97,DN97))&gt;0.005),INDEX(DebtNames,ET97),""))))))))</f>
        <v/>
      </c>
      <c r="CF97">
        <f>N(EW97)</f>
        <v/>
      </c>
      <c r="CG97">
        <f>N(CN97)+N(CR97)+N(CV97)+N(CZ97)+N(DD97)+N(DH97)+N(DL97)+N(DP97)</f>
        <v/>
      </c>
      <c r="CH97">
        <f>N(CM97)+N(CQ97)+N(CU97)+N(CY97)+N(DC97)+N(DG97)+N(DK97)+N(DO97)</f>
        <v/>
      </c>
      <c r="CI97">
        <f>N(CI96)+N(CH97)</f>
        <v/>
      </c>
      <c r="CJ97">
        <f>N(CO97)+N(CS97)+N(CW97)+N(DA97)+N(DE97)+N(DI97)+N(DM97)+N(DQ97)</f>
        <v/>
      </c>
      <c r="CK97">
        <f>(CO97&gt;0.005)*1+(CS97&gt;0.005)*1+(CW97&gt;0.005)*1+(DA97&gt;0.005)*1+(DE97&gt;0.005)*1+(DI97&gt;0.005)*1+(DM97&gt;0.005)*1+(DQ97&gt;0.005)*1</f>
        <v/>
      </c>
      <c r="CL97">
        <f>N(CO96)</f>
        <v/>
      </c>
      <c r="CM97">
        <f>IF(N(CL97)&lt;=0.005,0,ROUND(N(CL97)*N('Debt List'!E5)/12,2))</f>
        <v/>
      </c>
      <c r="CN97">
        <f>IF(N(CL97)&lt;=0.005,0,MIN(N('Debt List'!F5),N(CL97)+N(CM97)))+((DR97=1)*DT97+(DV97=1)*DX97+(DZ97=1)*EB97+(ED97=1)*EF97+(EH97=1)*EJ97+(EL97=1)*EN97+(EP97=1)*ER97+(ET97=1)*EV97)</f>
        <v/>
      </c>
      <c r="CO97">
        <f>MAX(0,ROUND(N(CL97)+N(CM97)-N(CN97),2))</f>
        <v/>
      </c>
      <c r="CP97">
        <f>N(CS96)</f>
        <v/>
      </c>
      <c r="CQ97">
        <f>IF(N(CP97)&lt;=0.005,0,ROUND(N(CP97)*N('Debt List'!E6)/12,2))</f>
        <v/>
      </c>
      <c r="CR97">
        <f>IF(N(CP97)&lt;=0.005,0,MIN(N('Debt List'!F6),N(CP97)+N(CQ97)))+((DR97=2)*DT97+(DV97=2)*DX97+(DZ97=2)*EB97+(ED97=2)*EF97+(EH97=2)*EJ97+(EL97=2)*EN97+(EP97=2)*ER97+(ET97=2)*EV97)</f>
        <v/>
      </c>
      <c r="CS97">
        <f>MAX(0,ROUND(N(CP97)+N(CQ97)-N(CR97),2))</f>
        <v/>
      </c>
      <c r="CT97">
        <f>N(CW96)</f>
        <v/>
      </c>
      <c r="CU97">
        <f>IF(N(CT97)&lt;=0.005,0,ROUND(N(CT97)*N('Debt List'!E7)/12,2))</f>
        <v/>
      </c>
      <c r="CV97">
        <f>IF(N(CT97)&lt;=0.005,0,MIN(N('Debt List'!F7),N(CT97)+N(CU97)))+((DR97=3)*DT97+(DV97=3)*DX97+(DZ97=3)*EB97+(ED97=3)*EF97+(EH97=3)*EJ97+(EL97=3)*EN97+(EP97=3)*ER97+(ET97=3)*EV97)</f>
        <v/>
      </c>
      <c r="CW97">
        <f>MAX(0,ROUND(N(CT97)+N(CU97)-N(CV97),2))</f>
        <v/>
      </c>
      <c r="CX97">
        <f>N(DA96)</f>
        <v/>
      </c>
      <c r="CY97">
        <f>IF(N(CX97)&lt;=0.005,0,ROUND(N(CX97)*N('Debt List'!E8)/12,2))</f>
        <v/>
      </c>
      <c r="CZ97">
        <f>IF(N(CX97)&lt;=0.005,0,MIN(N('Debt List'!F8),N(CX97)+N(CY97)))+((DR97=4)*DT97+(DV97=4)*DX97+(DZ97=4)*EB97+(ED97=4)*EF97+(EH97=4)*EJ97+(EL97=4)*EN97+(EP97=4)*ER97+(ET97=4)*EV97)</f>
        <v/>
      </c>
      <c r="DA97">
        <f>MAX(0,ROUND(N(CX97)+N(CY97)-N(CZ97),2))</f>
        <v/>
      </c>
      <c r="DB97">
        <f>N(DE96)</f>
        <v/>
      </c>
      <c r="DC97">
        <f>IF(N(DB97)&lt;=0.005,0,ROUND(N(DB97)*N('Debt List'!E9)/12,2))</f>
        <v/>
      </c>
      <c r="DD97">
        <f>IF(N(DB97)&lt;=0.005,0,MIN(N('Debt List'!F9),N(DB97)+N(DC97)))+((DR97=5)*DT97+(DV97=5)*DX97+(DZ97=5)*EB97+(ED97=5)*EF97+(EH97=5)*EJ97+(EL97=5)*EN97+(EP97=5)*ER97+(ET97=5)*EV97)</f>
        <v/>
      </c>
      <c r="DE97">
        <f>MAX(0,ROUND(N(DB97)+N(DC97)-N(DD97),2))</f>
        <v/>
      </c>
      <c r="DF97">
        <f>N(DI96)</f>
        <v/>
      </c>
      <c r="DG97">
        <f>IF(N(DF97)&lt;=0.005,0,ROUND(N(DF97)*N('Debt List'!E10)/12,2))</f>
        <v/>
      </c>
      <c r="DH97">
        <f>IF(N(DF97)&lt;=0.005,0,MIN(N('Debt List'!F10),N(DF97)+N(DG97)))+((DR97=6)*DT97+(DV97=6)*DX97+(DZ97=6)*EB97+(ED97=6)*EF97+(EH97=6)*EJ97+(EL97=6)*EN97+(EP97=6)*ER97+(ET97=6)*EV97)</f>
        <v/>
      </c>
      <c r="DI97">
        <f>MAX(0,ROUND(N(DF97)+N(DG97)-N(DH97),2))</f>
        <v/>
      </c>
      <c r="DJ97">
        <f>N(DM96)</f>
        <v/>
      </c>
      <c r="DK97">
        <f>IF(N(DJ97)&lt;=0.005,0,ROUND(N(DJ97)*N('Debt List'!E11)/12,2))</f>
        <v/>
      </c>
      <c r="DL97">
        <f>IF(N(DJ97)&lt;=0.005,0,MIN(N('Debt List'!F11),N(DJ97)+N(DK97)))+((DR97=7)*DT97+(DV97=7)*DX97+(DZ97=7)*EB97+(ED97=7)*EF97+(EH97=7)*EJ97+(EL97=7)*EN97+(EP97=7)*ER97+(ET97=7)*EV97)</f>
        <v/>
      </c>
      <c r="DM97">
        <f>MAX(0,ROUND(N(DJ97)+N(DK97)-N(DL97),2))</f>
        <v/>
      </c>
      <c r="DN97">
        <f>N(DQ96)</f>
        <v/>
      </c>
      <c r="DO97">
        <f>IF(N(DN97)&lt;=0.005,0,ROUND(N(DN97)*N('Debt List'!E12)/12,2))</f>
        <v/>
      </c>
      <c r="DP97">
        <f>IF(N(DN97)&lt;=0.005,0,MIN(N('Debt List'!F12),N(DN97)+N(DO97)))+((DR97=8)*DT97+(DV97=8)*DX97+(DZ97=8)*EB97+(ED97=8)*EF97+(EH97=8)*EJ97+(EL97=8)*EN97+(EP97=8)*ER97+(ET97=8)*EV97)</f>
        <v/>
      </c>
      <c r="DQ97">
        <f>MAX(0,ROUND(N(DN97)+N(DO97)-N(DP97),2))</f>
        <v/>
      </c>
      <c r="DR97">
        <f>IFERROR(MATCH(1,OrderSnow,0),"")</f>
        <v/>
      </c>
      <c r="DS97">
        <f>IF(DR97="",0,IFERROR(IF(N(CHOOSE(DR97,CL97,CP97,CT97,CX97,DB97,DF97,DJ97,DN97))&lt;=0.005,0,MAX(0,N(CHOOSE(DR97,CL97,CP97,CT97,CX97,DB97,DF97,DJ97,DN97))+N(CHOOSE(DR97,CM97,CQ97,CU97,CY97,DC97,DG97,DK97,DO97))-MIN(N(CHOOSE(DR97,'Debt List'!$F$5,'Debt List'!$F$6,'Debt List'!$F$7,'Debt List'!$F$8,'Debt List'!$F$9,'Debt List'!$F$10,'Debt List'!$F$11,'Debt List'!$F$12)),N(CHOOSE(DR97,CL97,CP97,CT97,CX97,DB97,DF97,DJ97,DN97))+N(CHOOSE(DR97,CM97,CQ97,CU97,CY97,DC97,DG97,DK97,DO97))))),0))</f>
        <v/>
      </c>
      <c r="DT97">
        <f>MIN(N(DS97),MAX(0,N(ExtraPayment)))</f>
        <v/>
      </c>
      <c r="DU97">
        <f>MAX(0,N(ExtraPayment)-N(DT97))</f>
        <v/>
      </c>
      <c r="DV97">
        <f>IFERROR(MATCH(2,OrderSnow,0),"")</f>
        <v/>
      </c>
      <c r="DW97">
        <f>IF(DV97="",0,IFERROR(IF(N(CHOOSE(DV97,CL97,CP97,CT97,CX97,DB97,DF97,DJ97,DN97))&lt;=0.005,0,MAX(0,N(CHOOSE(DV97,CL97,CP97,CT97,CX97,DB97,DF97,DJ97,DN97))+N(CHOOSE(DV97,CM97,CQ97,CU97,CY97,DC97,DG97,DK97,DO97))-MIN(N(CHOOSE(DV97,'Debt List'!$F$5,'Debt List'!$F$6,'Debt List'!$F$7,'Debt List'!$F$8,'Debt List'!$F$9,'Debt List'!$F$10,'Debt List'!$F$11,'Debt List'!$F$12)),N(CHOOSE(DV97,CL97,CP97,CT97,CX97,DB97,DF97,DJ97,DN97))+N(CHOOSE(DV97,CM97,CQ97,CU97,CY97,DC97,DG97,DK97,DO97))))),0))</f>
        <v/>
      </c>
      <c r="DX97">
        <f>MIN(N(DW97),MAX(0,N(DU97)))</f>
        <v/>
      </c>
      <c r="DY97">
        <f>MAX(0,N(DU97)-N(DX97))</f>
        <v/>
      </c>
      <c r="DZ97">
        <f>IFERROR(MATCH(3,OrderSnow,0),"")</f>
        <v/>
      </c>
      <c r="EA97">
        <f>IF(DZ97="",0,IFERROR(IF(N(CHOOSE(DZ97,CL97,CP97,CT97,CX97,DB97,DF97,DJ97,DN97))&lt;=0.005,0,MAX(0,N(CHOOSE(DZ97,CL97,CP97,CT97,CX97,DB97,DF97,DJ97,DN97))+N(CHOOSE(DZ97,CM97,CQ97,CU97,CY97,DC97,DG97,DK97,DO97))-MIN(N(CHOOSE(DZ97,'Debt List'!$F$5,'Debt List'!$F$6,'Debt List'!$F$7,'Debt List'!$F$8,'Debt List'!$F$9,'Debt List'!$F$10,'Debt List'!$F$11,'Debt List'!$F$12)),N(CHOOSE(DZ97,CL97,CP97,CT97,CX97,DB97,DF97,DJ97,DN97))+N(CHOOSE(DZ97,CM97,CQ97,CU97,CY97,DC97,DG97,DK97,DO97))))),0))</f>
        <v/>
      </c>
      <c r="EB97">
        <f>MIN(N(EA97),MAX(0,N(DY97)))</f>
        <v/>
      </c>
      <c r="EC97">
        <f>MAX(0,N(DY97)-N(EB97))</f>
        <v/>
      </c>
      <c r="ED97">
        <f>IFERROR(MATCH(4,OrderSnow,0),"")</f>
        <v/>
      </c>
      <c r="EE97">
        <f>IF(ED97="",0,IFERROR(IF(N(CHOOSE(ED97,CL97,CP97,CT97,CX97,DB97,DF97,DJ97,DN97))&lt;=0.005,0,MAX(0,N(CHOOSE(ED97,CL97,CP97,CT97,CX97,DB97,DF97,DJ97,DN97))+N(CHOOSE(ED97,CM97,CQ97,CU97,CY97,DC97,DG97,DK97,DO97))-MIN(N(CHOOSE(ED97,'Debt List'!$F$5,'Debt List'!$F$6,'Debt List'!$F$7,'Debt List'!$F$8,'Debt List'!$F$9,'Debt List'!$F$10,'Debt List'!$F$11,'Debt List'!$F$12)),N(CHOOSE(ED97,CL97,CP97,CT97,CX97,DB97,DF97,DJ97,DN97))+N(CHOOSE(ED97,CM97,CQ97,CU97,CY97,DC97,DG97,DK97,DO97))))),0))</f>
        <v/>
      </c>
      <c r="EF97">
        <f>MIN(N(EE97),MAX(0,N(EC97)))</f>
        <v/>
      </c>
      <c r="EG97">
        <f>MAX(0,N(EC97)-N(EF97))</f>
        <v/>
      </c>
      <c r="EH97">
        <f>IFERROR(MATCH(5,OrderSnow,0),"")</f>
        <v/>
      </c>
      <c r="EI97">
        <f>IF(EH97="",0,IFERROR(IF(N(CHOOSE(EH97,CL97,CP97,CT97,CX97,DB97,DF97,DJ97,DN97))&lt;=0.005,0,MAX(0,N(CHOOSE(EH97,CL97,CP97,CT97,CX97,DB97,DF97,DJ97,DN97))+N(CHOOSE(EH97,CM97,CQ97,CU97,CY97,DC97,DG97,DK97,DO97))-MIN(N(CHOOSE(EH97,'Debt List'!$F$5,'Debt List'!$F$6,'Debt List'!$F$7,'Debt List'!$F$8,'Debt List'!$F$9,'Debt List'!$F$10,'Debt List'!$F$11,'Debt List'!$F$12)),N(CHOOSE(EH97,CL97,CP97,CT97,CX97,DB97,DF97,DJ97,DN97))+N(CHOOSE(EH97,CM97,CQ97,CU97,CY97,DC97,DG97,DK97,DO97))))),0))</f>
        <v/>
      </c>
      <c r="EJ97">
        <f>MIN(N(EI97),MAX(0,N(EG97)))</f>
        <v/>
      </c>
      <c r="EK97">
        <f>MAX(0,N(EG97)-N(EJ97))</f>
        <v/>
      </c>
      <c r="EL97">
        <f>IFERROR(MATCH(6,OrderSnow,0),"")</f>
        <v/>
      </c>
      <c r="EM97">
        <f>IF(EL97="",0,IFERROR(IF(N(CHOOSE(EL97,CL97,CP97,CT97,CX97,DB97,DF97,DJ97,DN97))&lt;=0.005,0,MAX(0,N(CHOOSE(EL97,CL97,CP97,CT97,CX97,DB97,DF97,DJ97,DN97))+N(CHOOSE(EL97,CM97,CQ97,CU97,CY97,DC97,DG97,DK97,DO97))-MIN(N(CHOOSE(EL97,'Debt List'!$F$5,'Debt List'!$F$6,'Debt List'!$F$7,'Debt List'!$F$8,'Debt List'!$F$9,'Debt List'!$F$10,'Debt List'!$F$11,'Debt List'!$F$12)),N(CHOOSE(EL97,CL97,CP97,CT97,CX97,DB97,DF97,DJ97,DN97))+N(CHOOSE(EL97,CM97,CQ97,CU97,CY97,DC97,DG97,DK97,DO97))))),0))</f>
        <v/>
      </c>
      <c r="EN97">
        <f>MIN(N(EM97),MAX(0,N(EK97)))</f>
        <v/>
      </c>
      <c r="EO97">
        <f>MAX(0,N(EK97)-N(EN97))</f>
        <v/>
      </c>
      <c r="EP97">
        <f>IFERROR(MATCH(7,OrderSnow,0),"")</f>
        <v/>
      </c>
      <c r="EQ97">
        <f>IF(EP97="",0,IFERROR(IF(N(CHOOSE(EP97,CL97,CP97,CT97,CX97,DB97,DF97,DJ97,DN97))&lt;=0.005,0,MAX(0,N(CHOOSE(EP97,CL97,CP97,CT97,CX97,DB97,DF97,DJ97,DN97))+N(CHOOSE(EP97,CM97,CQ97,CU97,CY97,DC97,DG97,DK97,DO97))-MIN(N(CHOOSE(EP97,'Debt List'!$F$5,'Debt List'!$F$6,'Debt List'!$F$7,'Debt List'!$F$8,'Debt List'!$F$9,'Debt List'!$F$10,'Debt List'!$F$11,'Debt List'!$F$12)),N(CHOOSE(EP97,CL97,CP97,CT97,CX97,DB97,DF97,DJ97,DN97))+N(CHOOSE(EP97,CM97,CQ97,CU97,CY97,DC97,DG97,DK97,DO97))))),0))</f>
        <v/>
      </c>
      <c r="ER97">
        <f>MIN(N(EQ97),MAX(0,N(EO97)))</f>
        <v/>
      </c>
      <c r="ES97">
        <f>MAX(0,N(EO97)-N(ER97))</f>
        <v/>
      </c>
      <c r="ET97">
        <f>IFERROR(MATCH(8,OrderSnow,0),"")</f>
        <v/>
      </c>
      <c r="EU97">
        <f>IF(ET97="",0,IFERROR(IF(N(CHOOSE(ET97,CL97,CP97,CT97,CX97,DB97,DF97,DJ97,DN97))&lt;=0.005,0,MAX(0,N(CHOOSE(ET97,CL97,CP97,CT97,CX97,DB97,DF97,DJ97,DN97))+N(CHOOSE(ET97,CM97,CQ97,CU97,CY97,DC97,DG97,DK97,DO97))-MIN(N(CHOOSE(ET97,'Debt List'!$F$5,'Debt List'!$F$6,'Debt List'!$F$7,'Debt List'!$F$8,'Debt List'!$F$9,'Debt List'!$F$10,'Debt List'!$F$11,'Debt List'!$F$12)),N(CHOOSE(ET97,CL97,CP97,CT97,CX97,DB97,DF97,DJ97,DN97))+N(CHOOSE(ET97,CM97,CQ97,CU97,CY97,DC97,DG97,DK97,DO97))))),0))</f>
        <v/>
      </c>
      <c r="EV97">
        <f>MIN(N(EU97),MAX(0,N(ES97)))</f>
        <v/>
      </c>
      <c r="EW97">
        <f>MAX(0,N(ES97)-N(EV97))</f>
        <v/>
      </c>
      <c r="FE97" t="n">
        <v>93</v>
      </c>
      <c r="FF97" s="115">
        <f>DATE(YEAR(PlanStart),MONTH(PlanStart)+FE97-1,1)</f>
        <v/>
      </c>
      <c r="FG97">
        <f>IF(AND(GT97&lt;&gt;"",N(CHOOSE(GT97,FN97,FR97,FV97,FZ97,GD97,GH97,GL97,GP97))&gt;0.005),INDEX(DebtNames,GT97),IF(AND(GX97&lt;&gt;"",N(CHOOSE(GX97,FN97,FR97,FV97,FZ97,GD97,GH97,GL97,GP97))&gt;0.005),INDEX(DebtNames,GX97),IF(AND(HB97&lt;&gt;"",N(CHOOSE(HB97,FN97,FR97,FV97,FZ97,GD97,GH97,GL97,GP97))&gt;0.005),INDEX(DebtNames,HB97),IF(AND(HF97&lt;&gt;"",N(CHOOSE(HF97,FN97,FR97,FV97,FZ97,GD97,GH97,GL97,GP97))&gt;0.005),INDEX(DebtNames,HF97),IF(AND(HJ97&lt;&gt;"",N(CHOOSE(HJ97,FN97,FR97,FV97,FZ97,GD97,GH97,GL97,GP97))&gt;0.005),INDEX(DebtNames,HJ97),IF(AND(HN97&lt;&gt;"",N(CHOOSE(HN97,FN97,FR97,FV97,FZ97,GD97,GH97,GL97,GP97))&gt;0.005),INDEX(DebtNames,HN97),IF(AND(HR97&lt;&gt;"",N(CHOOSE(HR97,FN97,FR97,FV97,FZ97,GD97,GH97,GL97,GP97))&gt;0.005),INDEX(DebtNames,HR97),IF(AND(HV97&lt;&gt;"",N(CHOOSE(HV97,FN97,FR97,FV97,FZ97,GD97,GH97,GL97,GP97))&gt;0.005),INDEX(DebtNames,HV97),""))))))))</f>
        <v/>
      </c>
      <c r="FH97">
        <f>N(HY97)</f>
        <v/>
      </c>
      <c r="FI97">
        <f>N(FP97)+N(FT97)+N(FX97)+N(GB97)+N(GF97)+N(GJ97)+N(GN97)+N(GR97)</f>
        <v/>
      </c>
      <c r="FJ97">
        <f>N(FO97)+N(FS97)+N(FW97)+N(GA97)+N(GE97)+N(GI97)+N(GM97)+N(GQ97)</f>
        <v/>
      </c>
      <c r="FK97">
        <f>N(FK96)+N(FJ97)</f>
        <v/>
      </c>
      <c r="FL97">
        <f>N(FQ97)+N(FU97)+N(FY97)+N(GC97)+N(GG97)+N(GK97)+N(GO97)+N(GS97)</f>
        <v/>
      </c>
      <c r="FM97">
        <f>(FQ97&gt;0.005)*1+(FU97&gt;0.005)*1+(FY97&gt;0.005)*1+(GC97&gt;0.005)*1+(GG97&gt;0.005)*1+(GK97&gt;0.005)*1+(GO97&gt;0.005)*1+(GS97&gt;0.005)*1</f>
        <v/>
      </c>
      <c r="FN97">
        <f>N(FQ96)</f>
        <v/>
      </c>
      <c r="FO97">
        <f>IF(N(FN97)&lt;=0.005,0,ROUND(N(FN97)*N('Debt List'!E5)/12,2))</f>
        <v/>
      </c>
      <c r="FP97">
        <f>IF(N(FN97)&lt;=0.005,0,MIN(N('Debt List'!F5),N(FN97)+N(FO97)))+((GT97=1)*GV97+(GX97=1)*GZ97+(HB97=1)*HD97+(HF97=1)*HH97+(HJ97=1)*HL97+(HN97=1)*HP97+(HR97=1)*HT97+(HV97=1)*HX97)</f>
        <v/>
      </c>
      <c r="FQ97">
        <f>MAX(0,ROUND(N(FN97)+N(FO97)-N(FP97),2))</f>
        <v/>
      </c>
      <c r="FR97">
        <f>N(FU96)</f>
        <v/>
      </c>
      <c r="FS97">
        <f>IF(N(FR97)&lt;=0.005,0,ROUND(N(FR97)*N('Debt List'!E6)/12,2))</f>
        <v/>
      </c>
      <c r="FT97">
        <f>IF(N(FR97)&lt;=0.005,0,MIN(N('Debt List'!F6),N(FR97)+N(FS97)))+((GT97=2)*GV97+(GX97=2)*GZ97+(HB97=2)*HD97+(HF97=2)*HH97+(HJ97=2)*HL97+(HN97=2)*HP97+(HR97=2)*HT97+(HV97=2)*HX97)</f>
        <v/>
      </c>
      <c r="FU97">
        <f>MAX(0,ROUND(N(FR97)+N(FS97)-N(FT97),2))</f>
        <v/>
      </c>
      <c r="FV97">
        <f>N(FY96)</f>
        <v/>
      </c>
      <c r="FW97">
        <f>IF(N(FV97)&lt;=0.005,0,ROUND(N(FV97)*N('Debt List'!E7)/12,2))</f>
        <v/>
      </c>
      <c r="FX97">
        <f>IF(N(FV97)&lt;=0.005,0,MIN(N('Debt List'!F7),N(FV97)+N(FW97)))+((GT97=3)*GV97+(GX97=3)*GZ97+(HB97=3)*HD97+(HF97=3)*HH97+(HJ97=3)*HL97+(HN97=3)*HP97+(HR97=3)*HT97+(HV97=3)*HX97)</f>
        <v/>
      </c>
      <c r="FY97">
        <f>MAX(0,ROUND(N(FV97)+N(FW97)-N(FX97),2))</f>
        <v/>
      </c>
      <c r="FZ97">
        <f>N(GC96)</f>
        <v/>
      </c>
      <c r="GA97">
        <f>IF(N(FZ97)&lt;=0.005,0,ROUND(N(FZ97)*N('Debt List'!E8)/12,2))</f>
        <v/>
      </c>
      <c r="GB97">
        <f>IF(N(FZ97)&lt;=0.005,0,MIN(N('Debt List'!F8),N(FZ97)+N(GA97)))+((GT97=4)*GV97+(GX97=4)*GZ97+(HB97=4)*HD97+(HF97=4)*HH97+(HJ97=4)*HL97+(HN97=4)*HP97+(HR97=4)*HT97+(HV97=4)*HX97)</f>
        <v/>
      </c>
      <c r="GC97">
        <f>MAX(0,ROUND(N(FZ97)+N(GA97)-N(GB97),2))</f>
        <v/>
      </c>
      <c r="GD97">
        <f>N(GG96)</f>
        <v/>
      </c>
      <c r="GE97">
        <f>IF(N(GD97)&lt;=0.005,0,ROUND(N(GD97)*N('Debt List'!E9)/12,2))</f>
        <v/>
      </c>
      <c r="GF97">
        <f>IF(N(GD97)&lt;=0.005,0,MIN(N('Debt List'!F9),N(GD97)+N(GE97)))+((GT97=5)*GV97+(GX97=5)*GZ97+(HB97=5)*HD97+(HF97=5)*HH97+(HJ97=5)*HL97+(HN97=5)*HP97+(HR97=5)*HT97+(HV97=5)*HX97)</f>
        <v/>
      </c>
      <c r="GG97">
        <f>MAX(0,ROUND(N(GD97)+N(GE97)-N(GF97),2))</f>
        <v/>
      </c>
      <c r="GH97">
        <f>N(GK96)</f>
        <v/>
      </c>
      <c r="GI97">
        <f>IF(N(GH97)&lt;=0.005,0,ROUND(N(GH97)*N('Debt List'!E10)/12,2))</f>
        <v/>
      </c>
      <c r="GJ97">
        <f>IF(N(GH97)&lt;=0.005,0,MIN(N('Debt List'!F10),N(GH97)+N(GI97)))+((GT97=6)*GV97+(GX97=6)*GZ97+(HB97=6)*HD97+(HF97=6)*HH97+(HJ97=6)*HL97+(HN97=6)*HP97+(HR97=6)*HT97+(HV97=6)*HX97)</f>
        <v/>
      </c>
      <c r="GK97">
        <f>MAX(0,ROUND(N(GH97)+N(GI97)-N(GJ97),2))</f>
        <v/>
      </c>
      <c r="GL97">
        <f>N(GO96)</f>
        <v/>
      </c>
      <c r="GM97">
        <f>IF(N(GL97)&lt;=0.005,0,ROUND(N(GL97)*N('Debt List'!E11)/12,2))</f>
        <v/>
      </c>
      <c r="GN97">
        <f>IF(N(GL97)&lt;=0.005,0,MIN(N('Debt List'!F11),N(GL97)+N(GM97)))+((GT97=7)*GV97+(GX97=7)*GZ97+(HB97=7)*HD97+(HF97=7)*HH97+(HJ97=7)*HL97+(HN97=7)*HP97+(HR97=7)*HT97+(HV97=7)*HX97)</f>
        <v/>
      </c>
      <c r="GO97">
        <f>MAX(0,ROUND(N(GL97)+N(GM97)-N(GN97),2))</f>
        <v/>
      </c>
      <c r="GP97">
        <f>N(GS96)</f>
        <v/>
      </c>
      <c r="GQ97">
        <f>IF(N(GP97)&lt;=0.005,0,ROUND(N(GP97)*N('Debt List'!E12)/12,2))</f>
        <v/>
      </c>
      <c r="GR97">
        <f>IF(N(GP97)&lt;=0.005,0,MIN(N('Debt List'!F12),N(GP97)+N(GQ97)))+((GT97=8)*GV97+(GX97=8)*GZ97+(HB97=8)*HD97+(HF97=8)*HH97+(HJ97=8)*HL97+(HN97=8)*HP97+(HR97=8)*HT97+(HV97=8)*HX97)</f>
        <v/>
      </c>
      <c r="GS97">
        <f>MAX(0,ROUND(N(GP97)+N(GQ97)-N(GR97),2))</f>
        <v/>
      </c>
      <c r="GT97">
        <f>IFERROR(MATCH(1,OrderAval,0),"")</f>
        <v/>
      </c>
      <c r="GU97">
        <f>IF(GT97="",0,IFERROR(IF(N(CHOOSE(GT97,FN97,FR97,FV97,FZ97,GD97,GH97,GL97,GP97))&lt;=0.005,0,MAX(0,N(CHOOSE(GT97,FN97,FR97,FV97,FZ97,GD97,GH97,GL97,GP97))+N(CHOOSE(GT97,FO97,FS97,FW97,GA97,GE97,GI97,GM97,GQ97))-MIN(N(CHOOSE(GT97,'Debt List'!$F$5,'Debt List'!$F$6,'Debt List'!$F$7,'Debt List'!$F$8,'Debt List'!$F$9,'Debt List'!$F$10,'Debt List'!$F$11,'Debt List'!$F$12)),N(CHOOSE(GT97,FN97,FR97,FV97,FZ97,GD97,GH97,GL97,GP97))+N(CHOOSE(GT97,FO97,FS97,FW97,GA97,GE97,GI97,GM97,GQ97))))),0))</f>
        <v/>
      </c>
      <c r="GV97">
        <f>MIN(N(GU97),MAX(0,N(ExtraPayment)))</f>
        <v/>
      </c>
      <c r="GW97">
        <f>MAX(0,N(ExtraPayment)-N(GV97))</f>
        <v/>
      </c>
      <c r="GX97">
        <f>IFERROR(MATCH(2,OrderAval,0),"")</f>
        <v/>
      </c>
      <c r="GY97">
        <f>IF(GX97="",0,IFERROR(IF(N(CHOOSE(GX97,FN97,FR97,FV97,FZ97,GD97,GH97,GL97,GP97))&lt;=0.005,0,MAX(0,N(CHOOSE(GX97,FN97,FR97,FV97,FZ97,GD97,GH97,GL97,GP97))+N(CHOOSE(GX97,FO97,FS97,FW97,GA97,GE97,GI97,GM97,GQ97))-MIN(N(CHOOSE(GX97,'Debt List'!$F$5,'Debt List'!$F$6,'Debt List'!$F$7,'Debt List'!$F$8,'Debt List'!$F$9,'Debt List'!$F$10,'Debt List'!$F$11,'Debt List'!$F$12)),N(CHOOSE(GX97,FN97,FR97,FV97,FZ97,GD97,GH97,GL97,GP97))+N(CHOOSE(GX97,FO97,FS97,FW97,GA97,GE97,GI97,GM97,GQ97))))),0))</f>
        <v/>
      </c>
      <c r="GZ97">
        <f>MIN(N(GY97),MAX(0,N(GW97)))</f>
        <v/>
      </c>
      <c r="HA97">
        <f>MAX(0,N(GW97)-N(GZ97))</f>
        <v/>
      </c>
      <c r="HB97">
        <f>IFERROR(MATCH(3,OrderAval,0),"")</f>
        <v/>
      </c>
      <c r="HC97">
        <f>IF(HB97="",0,IFERROR(IF(N(CHOOSE(HB97,FN97,FR97,FV97,FZ97,GD97,GH97,GL97,GP97))&lt;=0.005,0,MAX(0,N(CHOOSE(HB97,FN97,FR97,FV97,FZ97,GD97,GH97,GL97,GP97))+N(CHOOSE(HB97,FO97,FS97,FW97,GA97,GE97,GI97,GM97,GQ97))-MIN(N(CHOOSE(HB97,'Debt List'!$F$5,'Debt List'!$F$6,'Debt List'!$F$7,'Debt List'!$F$8,'Debt List'!$F$9,'Debt List'!$F$10,'Debt List'!$F$11,'Debt List'!$F$12)),N(CHOOSE(HB97,FN97,FR97,FV97,FZ97,GD97,GH97,GL97,GP97))+N(CHOOSE(HB97,FO97,FS97,FW97,GA97,GE97,GI97,GM97,GQ97))))),0))</f>
        <v/>
      </c>
      <c r="HD97">
        <f>MIN(N(HC97),MAX(0,N(HA97)))</f>
        <v/>
      </c>
      <c r="HE97">
        <f>MAX(0,N(HA97)-N(HD97))</f>
        <v/>
      </c>
      <c r="HF97">
        <f>IFERROR(MATCH(4,OrderAval,0),"")</f>
        <v/>
      </c>
      <c r="HG97">
        <f>IF(HF97="",0,IFERROR(IF(N(CHOOSE(HF97,FN97,FR97,FV97,FZ97,GD97,GH97,GL97,GP97))&lt;=0.005,0,MAX(0,N(CHOOSE(HF97,FN97,FR97,FV97,FZ97,GD97,GH97,GL97,GP97))+N(CHOOSE(HF97,FO97,FS97,FW97,GA97,GE97,GI97,GM97,GQ97))-MIN(N(CHOOSE(HF97,'Debt List'!$F$5,'Debt List'!$F$6,'Debt List'!$F$7,'Debt List'!$F$8,'Debt List'!$F$9,'Debt List'!$F$10,'Debt List'!$F$11,'Debt List'!$F$12)),N(CHOOSE(HF97,FN97,FR97,FV97,FZ97,GD97,GH97,GL97,GP97))+N(CHOOSE(HF97,FO97,FS97,FW97,GA97,GE97,GI97,GM97,GQ97))))),0))</f>
        <v/>
      </c>
      <c r="HH97">
        <f>MIN(N(HG97),MAX(0,N(HE97)))</f>
        <v/>
      </c>
      <c r="HI97">
        <f>MAX(0,N(HE97)-N(HH97))</f>
        <v/>
      </c>
      <c r="HJ97">
        <f>IFERROR(MATCH(5,OrderAval,0),"")</f>
        <v/>
      </c>
      <c r="HK97">
        <f>IF(HJ97="",0,IFERROR(IF(N(CHOOSE(HJ97,FN97,FR97,FV97,FZ97,GD97,GH97,GL97,GP97))&lt;=0.005,0,MAX(0,N(CHOOSE(HJ97,FN97,FR97,FV97,FZ97,GD97,GH97,GL97,GP97))+N(CHOOSE(HJ97,FO97,FS97,FW97,GA97,GE97,GI97,GM97,GQ97))-MIN(N(CHOOSE(HJ97,'Debt List'!$F$5,'Debt List'!$F$6,'Debt List'!$F$7,'Debt List'!$F$8,'Debt List'!$F$9,'Debt List'!$F$10,'Debt List'!$F$11,'Debt List'!$F$12)),N(CHOOSE(HJ97,FN97,FR97,FV97,FZ97,GD97,GH97,GL97,GP97))+N(CHOOSE(HJ97,FO97,FS97,FW97,GA97,GE97,GI97,GM97,GQ97))))),0))</f>
        <v/>
      </c>
      <c r="HL97">
        <f>MIN(N(HK97),MAX(0,N(HI97)))</f>
        <v/>
      </c>
      <c r="HM97">
        <f>MAX(0,N(HI97)-N(HL97))</f>
        <v/>
      </c>
      <c r="HN97">
        <f>IFERROR(MATCH(6,OrderAval,0),"")</f>
        <v/>
      </c>
      <c r="HO97">
        <f>IF(HN97="",0,IFERROR(IF(N(CHOOSE(HN97,FN97,FR97,FV97,FZ97,GD97,GH97,GL97,GP97))&lt;=0.005,0,MAX(0,N(CHOOSE(HN97,FN97,FR97,FV97,FZ97,GD97,GH97,GL97,GP97))+N(CHOOSE(HN97,FO97,FS97,FW97,GA97,GE97,GI97,GM97,GQ97))-MIN(N(CHOOSE(HN97,'Debt List'!$F$5,'Debt List'!$F$6,'Debt List'!$F$7,'Debt List'!$F$8,'Debt List'!$F$9,'Debt List'!$F$10,'Debt List'!$F$11,'Debt List'!$F$12)),N(CHOOSE(HN97,FN97,FR97,FV97,FZ97,GD97,GH97,GL97,GP97))+N(CHOOSE(HN97,FO97,FS97,FW97,GA97,GE97,GI97,GM97,GQ97))))),0))</f>
        <v/>
      </c>
      <c r="HP97">
        <f>MIN(N(HO97),MAX(0,N(HM97)))</f>
        <v/>
      </c>
      <c r="HQ97">
        <f>MAX(0,N(HM97)-N(HP97))</f>
        <v/>
      </c>
      <c r="HR97">
        <f>IFERROR(MATCH(7,OrderAval,0),"")</f>
        <v/>
      </c>
      <c r="HS97">
        <f>IF(HR97="",0,IFERROR(IF(N(CHOOSE(HR97,FN97,FR97,FV97,FZ97,GD97,GH97,GL97,GP97))&lt;=0.005,0,MAX(0,N(CHOOSE(HR97,FN97,FR97,FV97,FZ97,GD97,GH97,GL97,GP97))+N(CHOOSE(HR97,FO97,FS97,FW97,GA97,GE97,GI97,GM97,GQ97))-MIN(N(CHOOSE(HR97,'Debt List'!$F$5,'Debt List'!$F$6,'Debt List'!$F$7,'Debt List'!$F$8,'Debt List'!$F$9,'Debt List'!$F$10,'Debt List'!$F$11,'Debt List'!$F$12)),N(CHOOSE(HR97,FN97,FR97,FV97,FZ97,GD97,GH97,GL97,GP97))+N(CHOOSE(HR97,FO97,FS97,FW97,GA97,GE97,GI97,GM97,GQ97))))),0))</f>
        <v/>
      </c>
      <c r="HT97">
        <f>MIN(N(HS97),MAX(0,N(HQ97)))</f>
        <v/>
      </c>
      <c r="HU97">
        <f>MAX(0,N(HQ97)-N(HT97))</f>
        <v/>
      </c>
      <c r="HV97">
        <f>IFERROR(MATCH(8,OrderAval,0),"")</f>
        <v/>
      </c>
      <c r="HW97">
        <f>IF(HV97="",0,IFERROR(IF(N(CHOOSE(HV97,FN97,FR97,FV97,FZ97,GD97,GH97,GL97,GP97))&lt;=0.005,0,MAX(0,N(CHOOSE(HV97,FN97,FR97,FV97,FZ97,GD97,GH97,GL97,GP97))+N(CHOOSE(HV97,FO97,FS97,FW97,GA97,GE97,GI97,GM97,GQ97))-MIN(N(CHOOSE(HV97,'Debt List'!$F$5,'Debt List'!$F$6,'Debt List'!$F$7,'Debt List'!$F$8,'Debt List'!$F$9,'Debt List'!$F$10,'Debt List'!$F$11,'Debt List'!$F$12)),N(CHOOSE(HV97,FN97,FR97,FV97,FZ97,GD97,GH97,GL97,GP97))+N(CHOOSE(HV97,FO97,FS97,FW97,GA97,GE97,GI97,GM97,GQ97))))),0))</f>
        <v/>
      </c>
      <c r="HX97">
        <f>MIN(N(HW97),MAX(0,N(HU97)))</f>
        <v/>
      </c>
      <c r="HY97">
        <f>MAX(0,N(HU97)-N(HX97))</f>
        <v/>
      </c>
    </row>
    <row r="98">
      <c r="A98" t="n">
        <v>94</v>
      </c>
      <c r="B98" s="115">
        <f>DATE(YEAR(PlanStart),MONTH(PlanStart)+A98-1,1)</f>
        <v/>
      </c>
      <c r="C98">
        <f>IF(AND(AP98&lt;&gt;"",N(CHOOSE(AP98,J98,N98,R98,V98,Z98,AD98,AH98,AL98))&gt;0.005),INDEX(DebtNames,AP98),IF(AND(AT98&lt;&gt;"",N(CHOOSE(AT98,J98,N98,R98,V98,Z98,AD98,AH98,AL98))&gt;0.005),INDEX(DebtNames,AT98),IF(AND(AX98&lt;&gt;"",N(CHOOSE(AX98,J98,N98,R98,V98,Z98,AD98,AH98,AL98))&gt;0.005),INDEX(DebtNames,AX98),IF(AND(BB98&lt;&gt;"",N(CHOOSE(BB98,J98,N98,R98,V98,Z98,AD98,AH98,AL98))&gt;0.005),INDEX(DebtNames,BB98),IF(AND(BF98&lt;&gt;"",N(CHOOSE(BF98,J98,N98,R98,V98,Z98,AD98,AH98,AL98))&gt;0.005),INDEX(DebtNames,BF98),IF(AND(BJ98&lt;&gt;"",N(CHOOSE(BJ98,J98,N98,R98,V98,Z98,AD98,AH98,AL98))&gt;0.005),INDEX(DebtNames,BJ98),IF(AND(BN98&lt;&gt;"",N(CHOOSE(BN98,J98,N98,R98,V98,Z98,AD98,AH98,AL98))&gt;0.005),INDEX(DebtNames,BN98),IF(AND(BR98&lt;&gt;"",N(CHOOSE(BR98,J98,N98,R98,V98,Z98,AD98,AH98,AL98))&gt;0.005),INDEX(DebtNames,BR98),""))))))))</f>
        <v/>
      </c>
      <c r="D98">
        <f>N(BU98)</f>
        <v/>
      </c>
      <c r="E98">
        <f>N(L98)+N(P98)+N(T98)+N(X98)+N(AB98)+N(AF98)+N(AJ98)+N(AN98)</f>
        <v/>
      </c>
      <c r="F98">
        <f>N(K98)+N(O98)+N(S98)+N(W98)+N(AA98)+N(AE98)+N(AI98)+N(AM98)</f>
        <v/>
      </c>
      <c r="G98">
        <f>N(G97)+N(F98)</f>
        <v/>
      </c>
      <c r="H98">
        <f>N(M98)+N(Q98)+N(U98)+N(Y98)+N(AC98)+N(AG98)+N(AK98)+N(AO98)</f>
        <v/>
      </c>
      <c r="I98">
        <f>(M98&gt;0.005)*1+(Q98&gt;0.005)*1+(U98&gt;0.005)*1+(Y98&gt;0.005)*1+(AC98&gt;0.005)*1+(AG98&gt;0.005)*1+(AK98&gt;0.005)*1+(AO98&gt;0.005)*1</f>
        <v/>
      </c>
      <c r="J98">
        <f>N(M97)</f>
        <v/>
      </c>
      <c r="K98">
        <f>IF(N(J98)&lt;=0.005,0,ROUND(N(J98)*N('Debt List'!E5)/12,2))</f>
        <v/>
      </c>
      <c r="L98">
        <f>IF(N(J98)&lt;=0.005,0,MIN(N('Debt List'!F5),N(J98)+N(K98)))+((AP98=1)*AR98+(AT98=1)*AV98+(AX98=1)*AZ98+(BB98=1)*BD98+(BF98=1)*BH98+(BJ98=1)*BL98+(BN98=1)*BP98+(BR98=1)*BT98)</f>
        <v/>
      </c>
      <c r="M98">
        <f>MAX(0,ROUND(N(J98)+N(K98)-N(L98),2))</f>
        <v/>
      </c>
      <c r="N98">
        <f>N(Q97)</f>
        <v/>
      </c>
      <c r="O98">
        <f>IF(N(N98)&lt;=0.005,0,ROUND(N(N98)*N('Debt List'!E6)/12,2))</f>
        <v/>
      </c>
      <c r="P98">
        <f>IF(N(N98)&lt;=0.005,0,MIN(N('Debt List'!F6),N(N98)+N(O98)))+((AP98=2)*AR98+(AT98=2)*AV98+(AX98=2)*AZ98+(BB98=2)*BD98+(BF98=2)*BH98+(BJ98=2)*BL98+(BN98=2)*BP98+(BR98=2)*BT98)</f>
        <v/>
      </c>
      <c r="Q98">
        <f>MAX(0,ROUND(N(N98)+N(O98)-N(P98),2))</f>
        <v/>
      </c>
      <c r="R98">
        <f>N(U97)</f>
        <v/>
      </c>
      <c r="S98">
        <f>IF(N(R98)&lt;=0.005,0,ROUND(N(R98)*N('Debt List'!E7)/12,2))</f>
        <v/>
      </c>
      <c r="T98">
        <f>IF(N(R98)&lt;=0.005,0,MIN(N('Debt List'!F7),N(R98)+N(S98)))+((AP98=3)*AR98+(AT98=3)*AV98+(AX98=3)*AZ98+(BB98=3)*BD98+(BF98=3)*BH98+(BJ98=3)*BL98+(BN98=3)*BP98+(BR98=3)*BT98)</f>
        <v/>
      </c>
      <c r="U98">
        <f>MAX(0,ROUND(N(R98)+N(S98)-N(T98),2))</f>
        <v/>
      </c>
      <c r="V98">
        <f>N(Y97)</f>
        <v/>
      </c>
      <c r="W98">
        <f>IF(N(V98)&lt;=0.005,0,ROUND(N(V98)*N('Debt List'!E8)/12,2))</f>
        <v/>
      </c>
      <c r="X98">
        <f>IF(N(V98)&lt;=0.005,0,MIN(N('Debt List'!F8),N(V98)+N(W98)))+((AP98=4)*AR98+(AT98=4)*AV98+(AX98=4)*AZ98+(BB98=4)*BD98+(BF98=4)*BH98+(BJ98=4)*BL98+(BN98=4)*BP98+(BR98=4)*BT98)</f>
        <v/>
      </c>
      <c r="Y98">
        <f>MAX(0,ROUND(N(V98)+N(W98)-N(X98),2))</f>
        <v/>
      </c>
      <c r="Z98">
        <f>N(AC97)</f>
        <v/>
      </c>
      <c r="AA98">
        <f>IF(N(Z98)&lt;=0.005,0,ROUND(N(Z98)*N('Debt List'!E9)/12,2))</f>
        <v/>
      </c>
      <c r="AB98">
        <f>IF(N(Z98)&lt;=0.005,0,MIN(N('Debt List'!F9),N(Z98)+N(AA98)))+((AP98=5)*AR98+(AT98=5)*AV98+(AX98=5)*AZ98+(BB98=5)*BD98+(BF98=5)*BH98+(BJ98=5)*BL98+(BN98=5)*BP98+(BR98=5)*BT98)</f>
        <v/>
      </c>
      <c r="AC98">
        <f>MAX(0,ROUND(N(Z98)+N(AA98)-N(AB98),2))</f>
        <v/>
      </c>
      <c r="AD98">
        <f>N(AG97)</f>
        <v/>
      </c>
      <c r="AE98">
        <f>IF(N(AD98)&lt;=0.005,0,ROUND(N(AD98)*N('Debt List'!E10)/12,2))</f>
        <v/>
      </c>
      <c r="AF98">
        <f>IF(N(AD98)&lt;=0.005,0,MIN(N('Debt List'!F10),N(AD98)+N(AE98)))+((AP98=6)*AR98+(AT98=6)*AV98+(AX98=6)*AZ98+(BB98=6)*BD98+(BF98=6)*BH98+(BJ98=6)*BL98+(BN98=6)*BP98+(BR98=6)*BT98)</f>
        <v/>
      </c>
      <c r="AG98">
        <f>MAX(0,ROUND(N(AD98)+N(AE98)-N(AF98),2))</f>
        <v/>
      </c>
      <c r="AH98">
        <f>N(AK97)</f>
        <v/>
      </c>
      <c r="AI98">
        <f>IF(N(AH98)&lt;=0.005,0,ROUND(N(AH98)*N('Debt List'!E11)/12,2))</f>
        <v/>
      </c>
      <c r="AJ98">
        <f>IF(N(AH98)&lt;=0.005,0,MIN(N('Debt List'!F11),N(AH98)+N(AI98)))+((AP98=7)*AR98+(AT98=7)*AV98+(AX98=7)*AZ98+(BB98=7)*BD98+(BF98=7)*BH98+(BJ98=7)*BL98+(BN98=7)*BP98+(BR98=7)*BT98)</f>
        <v/>
      </c>
      <c r="AK98">
        <f>MAX(0,ROUND(N(AH98)+N(AI98)-N(AJ98),2))</f>
        <v/>
      </c>
      <c r="AL98">
        <f>N(AO97)</f>
        <v/>
      </c>
      <c r="AM98">
        <f>IF(N(AL98)&lt;=0.005,0,ROUND(N(AL98)*N('Debt List'!E12)/12,2))</f>
        <v/>
      </c>
      <c r="AN98">
        <f>IF(N(AL98)&lt;=0.005,0,MIN(N('Debt List'!F12),N(AL98)+N(AM98)))+((AP98=8)*AR98+(AT98=8)*AV98+(AX98=8)*AZ98+(BB98=8)*BD98+(BF98=8)*BH98+(BJ98=8)*BL98+(BN98=8)*BP98+(BR98=8)*BT98)</f>
        <v/>
      </c>
      <c r="AO98">
        <f>MAX(0,ROUND(N(AL98)+N(AM98)-N(AN98),2))</f>
        <v/>
      </c>
      <c r="AP98">
        <f>IFERROR(MATCH(1,OrderPlan,0),"")</f>
        <v/>
      </c>
      <c r="AQ98">
        <f>IF(AP98="",0,IFERROR(IF(N(CHOOSE(AP98,J98,N98,R98,V98,Z98,AD98,AH98,AL98))&lt;=0.005,0,MAX(0,N(CHOOSE(AP98,J98,N98,R98,V98,Z98,AD98,AH98,AL98))+N(CHOOSE(AP98,K98,O98,S98,W98,AA98,AE98,AI98,AM98))-MIN(N(CHOOSE(AP98,'Debt List'!$F$5,'Debt List'!$F$6,'Debt List'!$F$7,'Debt List'!$F$8,'Debt List'!$F$9,'Debt List'!$F$10,'Debt List'!$F$11,'Debt List'!$F$12)),N(CHOOSE(AP98,J98,N98,R98,V98,Z98,AD98,AH98,AL98))+N(CHOOSE(AP98,K98,O98,S98,W98,AA98,AE98,AI98,AM98))))),0))</f>
        <v/>
      </c>
      <c r="AR98">
        <f>MIN(N(AQ98),MAX(0,N(ExtraPayment)))</f>
        <v/>
      </c>
      <c r="AS98">
        <f>MAX(0,N(ExtraPayment)-N(AR98))</f>
        <v/>
      </c>
      <c r="AT98">
        <f>IFERROR(MATCH(2,OrderPlan,0),"")</f>
        <v/>
      </c>
      <c r="AU98">
        <f>IF(AT98="",0,IFERROR(IF(N(CHOOSE(AT98,J98,N98,R98,V98,Z98,AD98,AH98,AL98))&lt;=0.005,0,MAX(0,N(CHOOSE(AT98,J98,N98,R98,V98,Z98,AD98,AH98,AL98))+N(CHOOSE(AT98,K98,O98,S98,W98,AA98,AE98,AI98,AM98))-MIN(N(CHOOSE(AT98,'Debt List'!$F$5,'Debt List'!$F$6,'Debt List'!$F$7,'Debt List'!$F$8,'Debt List'!$F$9,'Debt List'!$F$10,'Debt List'!$F$11,'Debt List'!$F$12)),N(CHOOSE(AT98,J98,N98,R98,V98,Z98,AD98,AH98,AL98))+N(CHOOSE(AT98,K98,O98,S98,W98,AA98,AE98,AI98,AM98))))),0))</f>
        <v/>
      </c>
      <c r="AV98">
        <f>MIN(N(AU98),MAX(0,N(AS98)))</f>
        <v/>
      </c>
      <c r="AW98">
        <f>MAX(0,N(AS98)-N(AV98))</f>
        <v/>
      </c>
      <c r="AX98">
        <f>IFERROR(MATCH(3,OrderPlan,0),"")</f>
        <v/>
      </c>
      <c r="AY98">
        <f>IF(AX98="",0,IFERROR(IF(N(CHOOSE(AX98,J98,N98,R98,V98,Z98,AD98,AH98,AL98))&lt;=0.005,0,MAX(0,N(CHOOSE(AX98,J98,N98,R98,V98,Z98,AD98,AH98,AL98))+N(CHOOSE(AX98,K98,O98,S98,W98,AA98,AE98,AI98,AM98))-MIN(N(CHOOSE(AX98,'Debt List'!$F$5,'Debt List'!$F$6,'Debt List'!$F$7,'Debt List'!$F$8,'Debt List'!$F$9,'Debt List'!$F$10,'Debt List'!$F$11,'Debt List'!$F$12)),N(CHOOSE(AX98,J98,N98,R98,V98,Z98,AD98,AH98,AL98))+N(CHOOSE(AX98,K98,O98,S98,W98,AA98,AE98,AI98,AM98))))),0))</f>
        <v/>
      </c>
      <c r="AZ98">
        <f>MIN(N(AY98),MAX(0,N(AW98)))</f>
        <v/>
      </c>
      <c r="BA98">
        <f>MAX(0,N(AW98)-N(AZ98))</f>
        <v/>
      </c>
      <c r="BB98">
        <f>IFERROR(MATCH(4,OrderPlan,0),"")</f>
        <v/>
      </c>
      <c r="BC98">
        <f>IF(BB98="",0,IFERROR(IF(N(CHOOSE(BB98,J98,N98,R98,V98,Z98,AD98,AH98,AL98))&lt;=0.005,0,MAX(0,N(CHOOSE(BB98,J98,N98,R98,V98,Z98,AD98,AH98,AL98))+N(CHOOSE(BB98,K98,O98,S98,W98,AA98,AE98,AI98,AM98))-MIN(N(CHOOSE(BB98,'Debt List'!$F$5,'Debt List'!$F$6,'Debt List'!$F$7,'Debt List'!$F$8,'Debt List'!$F$9,'Debt List'!$F$10,'Debt List'!$F$11,'Debt List'!$F$12)),N(CHOOSE(BB98,J98,N98,R98,V98,Z98,AD98,AH98,AL98))+N(CHOOSE(BB98,K98,O98,S98,W98,AA98,AE98,AI98,AM98))))),0))</f>
        <v/>
      </c>
      <c r="BD98">
        <f>MIN(N(BC98),MAX(0,N(BA98)))</f>
        <v/>
      </c>
      <c r="BE98">
        <f>MAX(0,N(BA98)-N(BD98))</f>
        <v/>
      </c>
      <c r="BF98">
        <f>IFERROR(MATCH(5,OrderPlan,0),"")</f>
        <v/>
      </c>
      <c r="BG98">
        <f>IF(BF98="",0,IFERROR(IF(N(CHOOSE(BF98,J98,N98,R98,V98,Z98,AD98,AH98,AL98))&lt;=0.005,0,MAX(0,N(CHOOSE(BF98,J98,N98,R98,V98,Z98,AD98,AH98,AL98))+N(CHOOSE(BF98,K98,O98,S98,W98,AA98,AE98,AI98,AM98))-MIN(N(CHOOSE(BF98,'Debt List'!$F$5,'Debt List'!$F$6,'Debt List'!$F$7,'Debt List'!$F$8,'Debt List'!$F$9,'Debt List'!$F$10,'Debt List'!$F$11,'Debt List'!$F$12)),N(CHOOSE(BF98,J98,N98,R98,V98,Z98,AD98,AH98,AL98))+N(CHOOSE(BF98,K98,O98,S98,W98,AA98,AE98,AI98,AM98))))),0))</f>
        <v/>
      </c>
      <c r="BH98">
        <f>MIN(N(BG98),MAX(0,N(BE98)))</f>
        <v/>
      </c>
      <c r="BI98">
        <f>MAX(0,N(BE98)-N(BH98))</f>
        <v/>
      </c>
      <c r="BJ98">
        <f>IFERROR(MATCH(6,OrderPlan,0),"")</f>
        <v/>
      </c>
      <c r="BK98">
        <f>IF(BJ98="",0,IFERROR(IF(N(CHOOSE(BJ98,J98,N98,R98,V98,Z98,AD98,AH98,AL98))&lt;=0.005,0,MAX(0,N(CHOOSE(BJ98,J98,N98,R98,V98,Z98,AD98,AH98,AL98))+N(CHOOSE(BJ98,K98,O98,S98,W98,AA98,AE98,AI98,AM98))-MIN(N(CHOOSE(BJ98,'Debt List'!$F$5,'Debt List'!$F$6,'Debt List'!$F$7,'Debt List'!$F$8,'Debt List'!$F$9,'Debt List'!$F$10,'Debt List'!$F$11,'Debt List'!$F$12)),N(CHOOSE(BJ98,J98,N98,R98,V98,Z98,AD98,AH98,AL98))+N(CHOOSE(BJ98,K98,O98,S98,W98,AA98,AE98,AI98,AM98))))),0))</f>
        <v/>
      </c>
      <c r="BL98">
        <f>MIN(N(BK98),MAX(0,N(BI98)))</f>
        <v/>
      </c>
      <c r="BM98">
        <f>MAX(0,N(BI98)-N(BL98))</f>
        <v/>
      </c>
      <c r="BN98">
        <f>IFERROR(MATCH(7,OrderPlan,0),"")</f>
        <v/>
      </c>
      <c r="BO98">
        <f>IF(BN98="",0,IFERROR(IF(N(CHOOSE(BN98,J98,N98,R98,V98,Z98,AD98,AH98,AL98))&lt;=0.005,0,MAX(0,N(CHOOSE(BN98,J98,N98,R98,V98,Z98,AD98,AH98,AL98))+N(CHOOSE(BN98,K98,O98,S98,W98,AA98,AE98,AI98,AM98))-MIN(N(CHOOSE(BN98,'Debt List'!$F$5,'Debt List'!$F$6,'Debt List'!$F$7,'Debt List'!$F$8,'Debt List'!$F$9,'Debt List'!$F$10,'Debt List'!$F$11,'Debt List'!$F$12)),N(CHOOSE(BN98,J98,N98,R98,V98,Z98,AD98,AH98,AL98))+N(CHOOSE(BN98,K98,O98,S98,W98,AA98,AE98,AI98,AM98))))),0))</f>
        <v/>
      </c>
      <c r="BP98">
        <f>MIN(N(BO98),MAX(0,N(BM98)))</f>
        <v/>
      </c>
      <c r="BQ98">
        <f>MAX(0,N(BM98)-N(BP98))</f>
        <v/>
      </c>
      <c r="BR98">
        <f>IFERROR(MATCH(8,OrderPlan,0),"")</f>
        <v/>
      </c>
      <c r="BS98">
        <f>IF(BR98="",0,IFERROR(IF(N(CHOOSE(BR98,J98,N98,R98,V98,Z98,AD98,AH98,AL98))&lt;=0.005,0,MAX(0,N(CHOOSE(BR98,J98,N98,R98,V98,Z98,AD98,AH98,AL98))+N(CHOOSE(BR98,K98,O98,S98,W98,AA98,AE98,AI98,AM98))-MIN(N(CHOOSE(BR98,'Debt List'!$F$5,'Debt List'!$F$6,'Debt List'!$F$7,'Debt List'!$F$8,'Debt List'!$F$9,'Debt List'!$F$10,'Debt List'!$F$11,'Debt List'!$F$12)),N(CHOOSE(BR98,J98,N98,R98,V98,Z98,AD98,AH98,AL98))+N(CHOOSE(BR98,K98,O98,S98,W98,AA98,AE98,AI98,AM98))))),0))</f>
        <v/>
      </c>
      <c r="BT98">
        <f>MIN(N(BS98),MAX(0,N(BQ98)))</f>
        <v/>
      </c>
      <c r="BU98">
        <f>MAX(0,N(BQ98)-N(BT98))</f>
        <v/>
      </c>
      <c r="CC98" t="n">
        <v>94</v>
      </c>
      <c r="CD98" s="115">
        <f>DATE(YEAR(PlanStart),MONTH(PlanStart)+CC98-1,1)</f>
        <v/>
      </c>
      <c r="CE98">
        <f>IF(AND(DR98&lt;&gt;"",N(CHOOSE(DR98,CL98,CP98,CT98,CX98,DB98,DF98,DJ98,DN98))&gt;0.005),INDEX(DebtNames,DR98),IF(AND(DV98&lt;&gt;"",N(CHOOSE(DV98,CL98,CP98,CT98,CX98,DB98,DF98,DJ98,DN98))&gt;0.005),INDEX(DebtNames,DV98),IF(AND(DZ98&lt;&gt;"",N(CHOOSE(DZ98,CL98,CP98,CT98,CX98,DB98,DF98,DJ98,DN98))&gt;0.005),INDEX(DebtNames,DZ98),IF(AND(ED98&lt;&gt;"",N(CHOOSE(ED98,CL98,CP98,CT98,CX98,DB98,DF98,DJ98,DN98))&gt;0.005),INDEX(DebtNames,ED98),IF(AND(EH98&lt;&gt;"",N(CHOOSE(EH98,CL98,CP98,CT98,CX98,DB98,DF98,DJ98,DN98))&gt;0.005),INDEX(DebtNames,EH98),IF(AND(EL98&lt;&gt;"",N(CHOOSE(EL98,CL98,CP98,CT98,CX98,DB98,DF98,DJ98,DN98))&gt;0.005),INDEX(DebtNames,EL98),IF(AND(EP98&lt;&gt;"",N(CHOOSE(EP98,CL98,CP98,CT98,CX98,DB98,DF98,DJ98,DN98))&gt;0.005),INDEX(DebtNames,EP98),IF(AND(ET98&lt;&gt;"",N(CHOOSE(ET98,CL98,CP98,CT98,CX98,DB98,DF98,DJ98,DN98))&gt;0.005),INDEX(DebtNames,ET98),""))))))))</f>
        <v/>
      </c>
      <c r="CF98">
        <f>N(EW98)</f>
        <v/>
      </c>
      <c r="CG98">
        <f>N(CN98)+N(CR98)+N(CV98)+N(CZ98)+N(DD98)+N(DH98)+N(DL98)+N(DP98)</f>
        <v/>
      </c>
      <c r="CH98">
        <f>N(CM98)+N(CQ98)+N(CU98)+N(CY98)+N(DC98)+N(DG98)+N(DK98)+N(DO98)</f>
        <v/>
      </c>
      <c r="CI98">
        <f>N(CI97)+N(CH98)</f>
        <v/>
      </c>
      <c r="CJ98">
        <f>N(CO98)+N(CS98)+N(CW98)+N(DA98)+N(DE98)+N(DI98)+N(DM98)+N(DQ98)</f>
        <v/>
      </c>
      <c r="CK98">
        <f>(CO98&gt;0.005)*1+(CS98&gt;0.005)*1+(CW98&gt;0.005)*1+(DA98&gt;0.005)*1+(DE98&gt;0.005)*1+(DI98&gt;0.005)*1+(DM98&gt;0.005)*1+(DQ98&gt;0.005)*1</f>
        <v/>
      </c>
      <c r="CL98">
        <f>N(CO97)</f>
        <v/>
      </c>
      <c r="CM98">
        <f>IF(N(CL98)&lt;=0.005,0,ROUND(N(CL98)*N('Debt List'!E5)/12,2))</f>
        <v/>
      </c>
      <c r="CN98">
        <f>IF(N(CL98)&lt;=0.005,0,MIN(N('Debt List'!F5),N(CL98)+N(CM98)))+((DR98=1)*DT98+(DV98=1)*DX98+(DZ98=1)*EB98+(ED98=1)*EF98+(EH98=1)*EJ98+(EL98=1)*EN98+(EP98=1)*ER98+(ET98=1)*EV98)</f>
        <v/>
      </c>
      <c r="CO98">
        <f>MAX(0,ROUND(N(CL98)+N(CM98)-N(CN98),2))</f>
        <v/>
      </c>
      <c r="CP98">
        <f>N(CS97)</f>
        <v/>
      </c>
      <c r="CQ98">
        <f>IF(N(CP98)&lt;=0.005,0,ROUND(N(CP98)*N('Debt List'!E6)/12,2))</f>
        <v/>
      </c>
      <c r="CR98">
        <f>IF(N(CP98)&lt;=0.005,0,MIN(N('Debt List'!F6),N(CP98)+N(CQ98)))+((DR98=2)*DT98+(DV98=2)*DX98+(DZ98=2)*EB98+(ED98=2)*EF98+(EH98=2)*EJ98+(EL98=2)*EN98+(EP98=2)*ER98+(ET98=2)*EV98)</f>
        <v/>
      </c>
      <c r="CS98">
        <f>MAX(0,ROUND(N(CP98)+N(CQ98)-N(CR98),2))</f>
        <v/>
      </c>
      <c r="CT98">
        <f>N(CW97)</f>
        <v/>
      </c>
      <c r="CU98">
        <f>IF(N(CT98)&lt;=0.005,0,ROUND(N(CT98)*N('Debt List'!E7)/12,2))</f>
        <v/>
      </c>
      <c r="CV98">
        <f>IF(N(CT98)&lt;=0.005,0,MIN(N('Debt List'!F7),N(CT98)+N(CU98)))+((DR98=3)*DT98+(DV98=3)*DX98+(DZ98=3)*EB98+(ED98=3)*EF98+(EH98=3)*EJ98+(EL98=3)*EN98+(EP98=3)*ER98+(ET98=3)*EV98)</f>
        <v/>
      </c>
      <c r="CW98">
        <f>MAX(0,ROUND(N(CT98)+N(CU98)-N(CV98),2))</f>
        <v/>
      </c>
      <c r="CX98">
        <f>N(DA97)</f>
        <v/>
      </c>
      <c r="CY98">
        <f>IF(N(CX98)&lt;=0.005,0,ROUND(N(CX98)*N('Debt List'!E8)/12,2))</f>
        <v/>
      </c>
      <c r="CZ98">
        <f>IF(N(CX98)&lt;=0.005,0,MIN(N('Debt List'!F8),N(CX98)+N(CY98)))+((DR98=4)*DT98+(DV98=4)*DX98+(DZ98=4)*EB98+(ED98=4)*EF98+(EH98=4)*EJ98+(EL98=4)*EN98+(EP98=4)*ER98+(ET98=4)*EV98)</f>
        <v/>
      </c>
      <c r="DA98">
        <f>MAX(0,ROUND(N(CX98)+N(CY98)-N(CZ98),2))</f>
        <v/>
      </c>
      <c r="DB98">
        <f>N(DE97)</f>
        <v/>
      </c>
      <c r="DC98">
        <f>IF(N(DB98)&lt;=0.005,0,ROUND(N(DB98)*N('Debt List'!E9)/12,2))</f>
        <v/>
      </c>
      <c r="DD98">
        <f>IF(N(DB98)&lt;=0.005,0,MIN(N('Debt List'!F9),N(DB98)+N(DC98)))+((DR98=5)*DT98+(DV98=5)*DX98+(DZ98=5)*EB98+(ED98=5)*EF98+(EH98=5)*EJ98+(EL98=5)*EN98+(EP98=5)*ER98+(ET98=5)*EV98)</f>
        <v/>
      </c>
      <c r="DE98">
        <f>MAX(0,ROUND(N(DB98)+N(DC98)-N(DD98),2))</f>
        <v/>
      </c>
      <c r="DF98">
        <f>N(DI97)</f>
        <v/>
      </c>
      <c r="DG98">
        <f>IF(N(DF98)&lt;=0.005,0,ROUND(N(DF98)*N('Debt List'!E10)/12,2))</f>
        <v/>
      </c>
      <c r="DH98">
        <f>IF(N(DF98)&lt;=0.005,0,MIN(N('Debt List'!F10),N(DF98)+N(DG98)))+((DR98=6)*DT98+(DV98=6)*DX98+(DZ98=6)*EB98+(ED98=6)*EF98+(EH98=6)*EJ98+(EL98=6)*EN98+(EP98=6)*ER98+(ET98=6)*EV98)</f>
        <v/>
      </c>
      <c r="DI98">
        <f>MAX(0,ROUND(N(DF98)+N(DG98)-N(DH98),2))</f>
        <v/>
      </c>
      <c r="DJ98">
        <f>N(DM97)</f>
        <v/>
      </c>
      <c r="DK98">
        <f>IF(N(DJ98)&lt;=0.005,0,ROUND(N(DJ98)*N('Debt List'!E11)/12,2))</f>
        <v/>
      </c>
      <c r="DL98">
        <f>IF(N(DJ98)&lt;=0.005,0,MIN(N('Debt List'!F11),N(DJ98)+N(DK98)))+((DR98=7)*DT98+(DV98=7)*DX98+(DZ98=7)*EB98+(ED98=7)*EF98+(EH98=7)*EJ98+(EL98=7)*EN98+(EP98=7)*ER98+(ET98=7)*EV98)</f>
        <v/>
      </c>
      <c r="DM98">
        <f>MAX(0,ROUND(N(DJ98)+N(DK98)-N(DL98),2))</f>
        <v/>
      </c>
      <c r="DN98">
        <f>N(DQ97)</f>
        <v/>
      </c>
      <c r="DO98">
        <f>IF(N(DN98)&lt;=0.005,0,ROUND(N(DN98)*N('Debt List'!E12)/12,2))</f>
        <v/>
      </c>
      <c r="DP98">
        <f>IF(N(DN98)&lt;=0.005,0,MIN(N('Debt List'!F12),N(DN98)+N(DO98)))+((DR98=8)*DT98+(DV98=8)*DX98+(DZ98=8)*EB98+(ED98=8)*EF98+(EH98=8)*EJ98+(EL98=8)*EN98+(EP98=8)*ER98+(ET98=8)*EV98)</f>
        <v/>
      </c>
      <c r="DQ98">
        <f>MAX(0,ROUND(N(DN98)+N(DO98)-N(DP98),2))</f>
        <v/>
      </c>
      <c r="DR98">
        <f>IFERROR(MATCH(1,OrderSnow,0),"")</f>
        <v/>
      </c>
      <c r="DS98">
        <f>IF(DR98="",0,IFERROR(IF(N(CHOOSE(DR98,CL98,CP98,CT98,CX98,DB98,DF98,DJ98,DN98))&lt;=0.005,0,MAX(0,N(CHOOSE(DR98,CL98,CP98,CT98,CX98,DB98,DF98,DJ98,DN98))+N(CHOOSE(DR98,CM98,CQ98,CU98,CY98,DC98,DG98,DK98,DO98))-MIN(N(CHOOSE(DR98,'Debt List'!$F$5,'Debt List'!$F$6,'Debt List'!$F$7,'Debt List'!$F$8,'Debt List'!$F$9,'Debt List'!$F$10,'Debt List'!$F$11,'Debt List'!$F$12)),N(CHOOSE(DR98,CL98,CP98,CT98,CX98,DB98,DF98,DJ98,DN98))+N(CHOOSE(DR98,CM98,CQ98,CU98,CY98,DC98,DG98,DK98,DO98))))),0))</f>
        <v/>
      </c>
      <c r="DT98">
        <f>MIN(N(DS98),MAX(0,N(ExtraPayment)))</f>
        <v/>
      </c>
      <c r="DU98">
        <f>MAX(0,N(ExtraPayment)-N(DT98))</f>
        <v/>
      </c>
      <c r="DV98">
        <f>IFERROR(MATCH(2,OrderSnow,0),"")</f>
        <v/>
      </c>
      <c r="DW98">
        <f>IF(DV98="",0,IFERROR(IF(N(CHOOSE(DV98,CL98,CP98,CT98,CX98,DB98,DF98,DJ98,DN98))&lt;=0.005,0,MAX(0,N(CHOOSE(DV98,CL98,CP98,CT98,CX98,DB98,DF98,DJ98,DN98))+N(CHOOSE(DV98,CM98,CQ98,CU98,CY98,DC98,DG98,DK98,DO98))-MIN(N(CHOOSE(DV98,'Debt List'!$F$5,'Debt List'!$F$6,'Debt List'!$F$7,'Debt List'!$F$8,'Debt List'!$F$9,'Debt List'!$F$10,'Debt List'!$F$11,'Debt List'!$F$12)),N(CHOOSE(DV98,CL98,CP98,CT98,CX98,DB98,DF98,DJ98,DN98))+N(CHOOSE(DV98,CM98,CQ98,CU98,CY98,DC98,DG98,DK98,DO98))))),0))</f>
        <v/>
      </c>
      <c r="DX98">
        <f>MIN(N(DW98),MAX(0,N(DU98)))</f>
        <v/>
      </c>
      <c r="DY98">
        <f>MAX(0,N(DU98)-N(DX98))</f>
        <v/>
      </c>
      <c r="DZ98">
        <f>IFERROR(MATCH(3,OrderSnow,0),"")</f>
        <v/>
      </c>
      <c r="EA98">
        <f>IF(DZ98="",0,IFERROR(IF(N(CHOOSE(DZ98,CL98,CP98,CT98,CX98,DB98,DF98,DJ98,DN98))&lt;=0.005,0,MAX(0,N(CHOOSE(DZ98,CL98,CP98,CT98,CX98,DB98,DF98,DJ98,DN98))+N(CHOOSE(DZ98,CM98,CQ98,CU98,CY98,DC98,DG98,DK98,DO98))-MIN(N(CHOOSE(DZ98,'Debt List'!$F$5,'Debt List'!$F$6,'Debt List'!$F$7,'Debt List'!$F$8,'Debt List'!$F$9,'Debt List'!$F$10,'Debt List'!$F$11,'Debt List'!$F$12)),N(CHOOSE(DZ98,CL98,CP98,CT98,CX98,DB98,DF98,DJ98,DN98))+N(CHOOSE(DZ98,CM98,CQ98,CU98,CY98,DC98,DG98,DK98,DO98))))),0))</f>
        <v/>
      </c>
      <c r="EB98">
        <f>MIN(N(EA98),MAX(0,N(DY98)))</f>
        <v/>
      </c>
      <c r="EC98">
        <f>MAX(0,N(DY98)-N(EB98))</f>
        <v/>
      </c>
      <c r="ED98">
        <f>IFERROR(MATCH(4,OrderSnow,0),"")</f>
        <v/>
      </c>
      <c r="EE98">
        <f>IF(ED98="",0,IFERROR(IF(N(CHOOSE(ED98,CL98,CP98,CT98,CX98,DB98,DF98,DJ98,DN98))&lt;=0.005,0,MAX(0,N(CHOOSE(ED98,CL98,CP98,CT98,CX98,DB98,DF98,DJ98,DN98))+N(CHOOSE(ED98,CM98,CQ98,CU98,CY98,DC98,DG98,DK98,DO98))-MIN(N(CHOOSE(ED98,'Debt List'!$F$5,'Debt List'!$F$6,'Debt List'!$F$7,'Debt List'!$F$8,'Debt List'!$F$9,'Debt List'!$F$10,'Debt List'!$F$11,'Debt List'!$F$12)),N(CHOOSE(ED98,CL98,CP98,CT98,CX98,DB98,DF98,DJ98,DN98))+N(CHOOSE(ED98,CM98,CQ98,CU98,CY98,DC98,DG98,DK98,DO98))))),0))</f>
        <v/>
      </c>
      <c r="EF98">
        <f>MIN(N(EE98),MAX(0,N(EC98)))</f>
        <v/>
      </c>
      <c r="EG98">
        <f>MAX(0,N(EC98)-N(EF98))</f>
        <v/>
      </c>
      <c r="EH98">
        <f>IFERROR(MATCH(5,OrderSnow,0),"")</f>
        <v/>
      </c>
      <c r="EI98">
        <f>IF(EH98="",0,IFERROR(IF(N(CHOOSE(EH98,CL98,CP98,CT98,CX98,DB98,DF98,DJ98,DN98))&lt;=0.005,0,MAX(0,N(CHOOSE(EH98,CL98,CP98,CT98,CX98,DB98,DF98,DJ98,DN98))+N(CHOOSE(EH98,CM98,CQ98,CU98,CY98,DC98,DG98,DK98,DO98))-MIN(N(CHOOSE(EH98,'Debt List'!$F$5,'Debt List'!$F$6,'Debt List'!$F$7,'Debt List'!$F$8,'Debt List'!$F$9,'Debt List'!$F$10,'Debt List'!$F$11,'Debt List'!$F$12)),N(CHOOSE(EH98,CL98,CP98,CT98,CX98,DB98,DF98,DJ98,DN98))+N(CHOOSE(EH98,CM98,CQ98,CU98,CY98,DC98,DG98,DK98,DO98))))),0))</f>
        <v/>
      </c>
      <c r="EJ98">
        <f>MIN(N(EI98),MAX(0,N(EG98)))</f>
        <v/>
      </c>
      <c r="EK98">
        <f>MAX(0,N(EG98)-N(EJ98))</f>
        <v/>
      </c>
      <c r="EL98">
        <f>IFERROR(MATCH(6,OrderSnow,0),"")</f>
        <v/>
      </c>
      <c r="EM98">
        <f>IF(EL98="",0,IFERROR(IF(N(CHOOSE(EL98,CL98,CP98,CT98,CX98,DB98,DF98,DJ98,DN98))&lt;=0.005,0,MAX(0,N(CHOOSE(EL98,CL98,CP98,CT98,CX98,DB98,DF98,DJ98,DN98))+N(CHOOSE(EL98,CM98,CQ98,CU98,CY98,DC98,DG98,DK98,DO98))-MIN(N(CHOOSE(EL98,'Debt List'!$F$5,'Debt List'!$F$6,'Debt List'!$F$7,'Debt List'!$F$8,'Debt List'!$F$9,'Debt List'!$F$10,'Debt List'!$F$11,'Debt List'!$F$12)),N(CHOOSE(EL98,CL98,CP98,CT98,CX98,DB98,DF98,DJ98,DN98))+N(CHOOSE(EL98,CM98,CQ98,CU98,CY98,DC98,DG98,DK98,DO98))))),0))</f>
        <v/>
      </c>
      <c r="EN98">
        <f>MIN(N(EM98),MAX(0,N(EK98)))</f>
        <v/>
      </c>
      <c r="EO98">
        <f>MAX(0,N(EK98)-N(EN98))</f>
        <v/>
      </c>
      <c r="EP98">
        <f>IFERROR(MATCH(7,OrderSnow,0),"")</f>
        <v/>
      </c>
      <c r="EQ98">
        <f>IF(EP98="",0,IFERROR(IF(N(CHOOSE(EP98,CL98,CP98,CT98,CX98,DB98,DF98,DJ98,DN98))&lt;=0.005,0,MAX(0,N(CHOOSE(EP98,CL98,CP98,CT98,CX98,DB98,DF98,DJ98,DN98))+N(CHOOSE(EP98,CM98,CQ98,CU98,CY98,DC98,DG98,DK98,DO98))-MIN(N(CHOOSE(EP98,'Debt List'!$F$5,'Debt List'!$F$6,'Debt List'!$F$7,'Debt List'!$F$8,'Debt List'!$F$9,'Debt List'!$F$10,'Debt List'!$F$11,'Debt List'!$F$12)),N(CHOOSE(EP98,CL98,CP98,CT98,CX98,DB98,DF98,DJ98,DN98))+N(CHOOSE(EP98,CM98,CQ98,CU98,CY98,DC98,DG98,DK98,DO98))))),0))</f>
        <v/>
      </c>
      <c r="ER98">
        <f>MIN(N(EQ98),MAX(0,N(EO98)))</f>
        <v/>
      </c>
      <c r="ES98">
        <f>MAX(0,N(EO98)-N(ER98))</f>
        <v/>
      </c>
      <c r="ET98">
        <f>IFERROR(MATCH(8,OrderSnow,0),"")</f>
        <v/>
      </c>
      <c r="EU98">
        <f>IF(ET98="",0,IFERROR(IF(N(CHOOSE(ET98,CL98,CP98,CT98,CX98,DB98,DF98,DJ98,DN98))&lt;=0.005,0,MAX(0,N(CHOOSE(ET98,CL98,CP98,CT98,CX98,DB98,DF98,DJ98,DN98))+N(CHOOSE(ET98,CM98,CQ98,CU98,CY98,DC98,DG98,DK98,DO98))-MIN(N(CHOOSE(ET98,'Debt List'!$F$5,'Debt List'!$F$6,'Debt List'!$F$7,'Debt List'!$F$8,'Debt List'!$F$9,'Debt List'!$F$10,'Debt List'!$F$11,'Debt List'!$F$12)),N(CHOOSE(ET98,CL98,CP98,CT98,CX98,DB98,DF98,DJ98,DN98))+N(CHOOSE(ET98,CM98,CQ98,CU98,CY98,DC98,DG98,DK98,DO98))))),0))</f>
        <v/>
      </c>
      <c r="EV98">
        <f>MIN(N(EU98),MAX(0,N(ES98)))</f>
        <v/>
      </c>
      <c r="EW98">
        <f>MAX(0,N(ES98)-N(EV98))</f>
        <v/>
      </c>
      <c r="FE98" t="n">
        <v>94</v>
      </c>
      <c r="FF98" s="115">
        <f>DATE(YEAR(PlanStart),MONTH(PlanStart)+FE98-1,1)</f>
        <v/>
      </c>
      <c r="FG98">
        <f>IF(AND(GT98&lt;&gt;"",N(CHOOSE(GT98,FN98,FR98,FV98,FZ98,GD98,GH98,GL98,GP98))&gt;0.005),INDEX(DebtNames,GT98),IF(AND(GX98&lt;&gt;"",N(CHOOSE(GX98,FN98,FR98,FV98,FZ98,GD98,GH98,GL98,GP98))&gt;0.005),INDEX(DebtNames,GX98),IF(AND(HB98&lt;&gt;"",N(CHOOSE(HB98,FN98,FR98,FV98,FZ98,GD98,GH98,GL98,GP98))&gt;0.005),INDEX(DebtNames,HB98),IF(AND(HF98&lt;&gt;"",N(CHOOSE(HF98,FN98,FR98,FV98,FZ98,GD98,GH98,GL98,GP98))&gt;0.005),INDEX(DebtNames,HF98),IF(AND(HJ98&lt;&gt;"",N(CHOOSE(HJ98,FN98,FR98,FV98,FZ98,GD98,GH98,GL98,GP98))&gt;0.005),INDEX(DebtNames,HJ98),IF(AND(HN98&lt;&gt;"",N(CHOOSE(HN98,FN98,FR98,FV98,FZ98,GD98,GH98,GL98,GP98))&gt;0.005),INDEX(DebtNames,HN98),IF(AND(HR98&lt;&gt;"",N(CHOOSE(HR98,FN98,FR98,FV98,FZ98,GD98,GH98,GL98,GP98))&gt;0.005),INDEX(DebtNames,HR98),IF(AND(HV98&lt;&gt;"",N(CHOOSE(HV98,FN98,FR98,FV98,FZ98,GD98,GH98,GL98,GP98))&gt;0.005),INDEX(DebtNames,HV98),""))))))))</f>
        <v/>
      </c>
      <c r="FH98">
        <f>N(HY98)</f>
        <v/>
      </c>
      <c r="FI98">
        <f>N(FP98)+N(FT98)+N(FX98)+N(GB98)+N(GF98)+N(GJ98)+N(GN98)+N(GR98)</f>
        <v/>
      </c>
      <c r="FJ98">
        <f>N(FO98)+N(FS98)+N(FW98)+N(GA98)+N(GE98)+N(GI98)+N(GM98)+N(GQ98)</f>
        <v/>
      </c>
      <c r="FK98">
        <f>N(FK97)+N(FJ98)</f>
        <v/>
      </c>
      <c r="FL98">
        <f>N(FQ98)+N(FU98)+N(FY98)+N(GC98)+N(GG98)+N(GK98)+N(GO98)+N(GS98)</f>
        <v/>
      </c>
      <c r="FM98">
        <f>(FQ98&gt;0.005)*1+(FU98&gt;0.005)*1+(FY98&gt;0.005)*1+(GC98&gt;0.005)*1+(GG98&gt;0.005)*1+(GK98&gt;0.005)*1+(GO98&gt;0.005)*1+(GS98&gt;0.005)*1</f>
        <v/>
      </c>
      <c r="FN98">
        <f>N(FQ97)</f>
        <v/>
      </c>
      <c r="FO98">
        <f>IF(N(FN98)&lt;=0.005,0,ROUND(N(FN98)*N('Debt List'!E5)/12,2))</f>
        <v/>
      </c>
      <c r="FP98">
        <f>IF(N(FN98)&lt;=0.005,0,MIN(N('Debt List'!F5),N(FN98)+N(FO98)))+((GT98=1)*GV98+(GX98=1)*GZ98+(HB98=1)*HD98+(HF98=1)*HH98+(HJ98=1)*HL98+(HN98=1)*HP98+(HR98=1)*HT98+(HV98=1)*HX98)</f>
        <v/>
      </c>
      <c r="FQ98">
        <f>MAX(0,ROUND(N(FN98)+N(FO98)-N(FP98),2))</f>
        <v/>
      </c>
      <c r="FR98">
        <f>N(FU97)</f>
        <v/>
      </c>
      <c r="FS98">
        <f>IF(N(FR98)&lt;=0.005,0,ROUND(N(FR98)*N('Debt List'!E6)/12,2))</f>
        <v/>
      </c>
      <c r="FT98">
        <f>IF(N(FR98)&lt;=0.005,0,MIN(N('Debt List'!F6),N(FR98)+N(FS98)))+((GT98=2)*GV98+(GX98=2)*GZ98+(HB98=2)*HD98+(HF98=2)*HH98+(HJ98=2)*HL98+(HN98=2)*HP98+(HR98=2)*HT98+(HV98=2)*HX98)</f>
        <v/>
      </c>
      <c r="FU98">
        <f>MAX(0,ROUND(N(FR98)+N(FS98)-N(FT98),2))</f>
        <v/>
      </c>
      <c r="FV98">
        <f>N(FY97)</f>
        <v/>
      </c>
      <c r="FW98">
        <f>IF(N(FV98)&lt;=0.005,0,ROUND(N(FV98)*N('Debt List'!E7)/12,2))</f>
        <v/>
      </c>
      <c r="FX98">
        <f>IF(N(FV98)&lt;=0.005,0,MIN(N('Debt List'!F7),N(FV98)+N(FW98)))+((GT98=3)*GV98+(GX98=3)*GZ98+(HB98=3)*HD98+(HF98=3)*HH98+(HJ98=3)*HL98+(HN98=3)*HP98+(HR98=3)*HT98+(HV98=3)*HX98)</f>
        <v/>
      </c>
      <c r="FY98">
        <f>MAX(0,ROUND(N(FV98)+N(FW98)-N(FX98),2))</f>
        <v/>
      </c>
      <c r="FZ98">
        <f>N(GC97)</f>
        <v/>
      </c>
      <c r="GA98">
        <f>IF(N(FZ98)&lt;=0.005,0,ROUND(N(FZ98)*N('Debt List'!E8)/12,2))</f>
        <v/>
      </c>
      <c r="GB98">
        <f>IF(N(FZ98)&lt;=0.005,0,MIN(N('Debt List'!F8),N(FZ98)+N(GA98)))+((GT98=4)*GV98+(GX98=4)*GZ98+(HB98=4)*HD98+(HF98=4)*HH98+(HJ98=4)*HL98+(HN98=4)*HP98+(HR98=4)*HT98+(HV98=4)*HX98)</f>
        <v/>
      </c>
      <c r="GC98">
        <f>MAX(0,ROUND(N(FZ98)+N(GA98)-N(GB98),2))</f>
        <v/>
      </c>
      <c r="GD98">
        <f>N(GG97)</f>
        <v/>
      </c>
      <c r="GE98">
        <f>IF(N(GD98)&lt;=0.005,0,ROUND(N(GD98)*N('Debt List'!E9)/12,2))</f>
        <v/>
      </c>
      <c r="GF98">
        <f>IF(N(GD98)&lt;=0.005,0,MIN(N('Debt List'!F9),N(GD98)+N(GE98)))+((GT98=5)*GV98+(GX98=5)*GZ98+(HB98=5)*HD98+(HF98=5)*HH98+(HJ98=5)*HL98+(HN98=5)*HP98+(HR98=5)*HT98+(HV98=5)*HX98)</f>
        <v/>
      </c>
      <c r="GG98">
        <f>MAX(0,ROUND(N(GD98)+N(GE98)-N(GF98),2))</f>
        <v/>
      </c>
      <c r="GH98">
        <f>N(GK97)</f>
        <v/>
      </c>
      <c r="GI98">
        <f>IF(N(GH98)&lt;=0.005,0,ROUND(N(GH98)*N('Debt List'!E10)/12,2))</f>
        <v/>
      </c>
      <c r="GJ98">
        <f>IF(N(GH98)&lt;=0.005,0,MIN(N('Debt List'!F10),N(GH98)+N(GI98)))+((GT98=6)*GV98+(GX98=6)*GZ98+(HB98=6)*HD98+(HF98=6)*HH98+(HJ98=6)*HL98+(HN98=6)*HP98+(HR98=6)*HT98+(HV98=6)*HX98)</f>
        <v/>
      </c>
      <c r="GK98">
        <f>MAX(0,ROUND(N(GH98)+N(GI98)-N(GJ98),2))</f>
        <v/>
      </c>
      <c r="GL98">
        <f>N(GO97)</f>
        <v/>
      </c>
      <c r="GM98">
        <f>IF(N(GL98)&lt;=0.005,0,ROUND(N(GL98)*N('Debt List'!E11)/12,2))</f>
        <v/>
      </c>
      <c r="GN98">
        <f>IF(N(GL98)&lt;=0.005,0,MIN(N('Debt List'!F11),N(GL98)+N(GM98)))+((GT98=7)*GV98+(GX98=7)*GZ98+(HB98=7)*HD98+(HF98=7)*HH98+(HJ98=7)*HL98+(HN98=7)*HP98+(HR98=7)*HT98+(HV98=7)*HX98)</f>
        <v/>
      </c>
      <c r="GO98">
        <f>MAX(0,ROUND(N(GL98)+N(GM98)-N(GN98),2))</f>
        <v/>
      </c>
      <c r="GP98">
        <f>N(GS97)</f>
        <v/>
      </c>
      <c r="GQ98">
        <f>IF(N(GP98)&lt;=0.005,0,ROUND(N(GP98)*N('Debt List'!E12)/12,2))</f>
        <v/>
      </c>
      <c r="GR98">
        <f>IF(N(GP98)&lt;=0.005,0,MIN(N('Debt List'!F12),N(GP98)+N(GQ98)))+((GT98=8)*GV98+(GX98=8)*GZ98+(HB98=8)*HD98+(HF98=8)*HH98+(HJ98=8)*HL98+(HN98=8)*HP98+(HR98=8)*HT98+(HV98=8)*HX98)</f>
        <v/>
      </c>
      <c r="GS98">
        <f>MAX(0,ROUND(N(GP98)+N(GQ98)-N(GR98),2))</f>
        <v/>
      </c>
      <c r="GT98">
        <f>IFERROR(MATCH(1,OrderAval,0),"")</f>
        <v/>
      </c>
      <c r="GU98">
        <f>IF(GT98="",0,IFERROR(IF(N(CHOOSE(GT98,FN98,FR98,FV98,FZ98,GD98,GH98,GL98,GP98))&lt;=0.005,0,MAX(0,N(CHOOSE(GT98,FN98,FR98,FV98,FZ98,GD98,GH98,GL98,GP98))+N(CHOOSE(GT98,FO98,FS98,FW98,GA98,GE98,GI98,GM98,GQ98))-MIN(N(CHOOSE(GT98,'Debt List'!$F$5,'Debt List'!$F$6,'Debt List'!$F$7,'Debt List'!$F$8,'Debt List'!$F$9,'Debt List'!$F$10,'Debt List'!$F$11,'Debt List'!$F$12)),N(CHOOSE(GT98,FN98,FR98,FV98,FZ98,GD98,GH98,GL98,GP98))+N(CHOOSE(GT98,FO98,FS98,FW98,GA98,GE98,GI98,GM98,GQ98))))),0))</f>
        <v/>
      </c>
      <c r="GV98">
        <f>MIN(N(GU98),MAX(0,N(ExtraPayment)))</f>
        <v/>
      </c>
      <c r="GW98">
        <f>MAX(0,N(ExtraPayment)-N(GV98))</f>
        <v/>
      </c>
      <c r="GX98">
        <f>IFERROR(MATCH(2,OrderAval,0),"")</f>
        <v/>
      </c>
      <c r="GY98">
        <f>IF(GX98="",0,IFERROR(IF(N(CHOOSE(GX98,FN98,FR98,FV98,FZ98,GD98,GH98,GL98,GP98))&lt;=0.005,0,MAX(0,N(CHOOSE(GX98,FN98,FR98,FV98,FZ98,GD98,GH98,GL98,GP98))+N(CHOOSE(GX98,FO98,FS98,FW98,GA98,GE98,GI98,GM98,GQ98))-MIN(N(CHOOSE(GX98,'Debt List'!$F$5,'Debt List'!$F$6,'Debt List'!$F$7,'Debt List'!$F$8,'Debt List'!$F$9,'Debt List'!$F$10,'Debt List'!$F$11,'Debt List'!$F$12)),N(CHOOSE(GX98,FN98,FR98,FV98,FZ98,GD98,GH98,GL98,GP98))+N(CHOOSE(GX98,FO98,FS98,FW98,GA98,GE98,GI98,GM98,GQ98))))),0))</f>
        <v/>
      </c>
      <c r="GZ98">
        <f>MIN(N(GY98),MAX(0,N(GW98)))</f>
        <v/>
      </c>
      <c r="HA98">
        <f>MAX(0,N(GW98)-N(GZ98))</f>
        <v/>
      </c>
      <c r="HB98">
        <f>IFERROR(MATCH(3,OrderAval,0),"")</f>
        <v/>
      </c>
      <c r="HC98">
        <f>IF(HB98="",0,IFERROR(IF(N(CHOOSE(HB98,FN98,FR98,FV98,FZ98,GD98,GH98,GL98,GP98))&lt;=0.005,0,MAX(0,N(CHOOSE(HB98,FN98,FR98,FV98,FZ98,GD98,GH98,GL98,GP98))+N(CHOOSE(HB98,FO98,FS98,FW98,GA98,GE98,GI98,GM98,GQ98))-MIN(N(CHOOSE(HB98,'Debt List'!$F$5,'Debt List'!$F$6,'Debt List'!$F$7,'Debt List'!$F$8,'Debt List'!$F$9,'Debt List'!$F$10,'Debt List'!$F$11,'Debt List'!$F$12)),N(CHOOSE(HB98,FN98,FR98,FV98,FZ98,GD98,GH98,GL98,GP98))+N(CHOOSE(HB98,FO98,FS98,FW98,GA98,GE98,GI98,GM98,GQ98))))),0))</f>
        <v/>
      </c>
      <c r="HD98">
        <f>MIN(N(HC98),MAX(0,N(HA98)))</f>
        <v/>
      </c>
      <c r="HE98">
        <f>MAX(0,N(HA98)-N(HD98))</f>
        <v/>
      </c>
      <c r="HF98">
        <f>IFERROR(MATCH(4,OrderAval,0),"")</f>
        <v/>
      </c>
      <c r="HG98">
        <f>IF(HF98="",0,IFERROR(IF(N(CHOOSE(HF98,FN98,FR98,FV98,FZ98,GD98,GH98,GL98,GP98))&lt;=0.005,0,MAX(0,N(CHOOSE(HF98,FN98,FR98,FV98,FZ98,GD98,GH98,GL98,GP98))+N(CHOOSE(HF98,FO98,FS98,FW98,GA98,GE98,GI98,GM98,GQ98))-MIN(N(CHOOSE(HF98,'Debt List'!$F$5,'Debt List'!$F$6,'Debt List'!$F$7,'Debt List'!$F$8,'Debt List'!$F$9,'Debt List'!$F$10,'Debt List'!$F$11,'Debt List'!$F$12)),N(CHOOSE(HF98,FN98,FR98,FV98,FZ98,GD98,GH98,GL98,GP98))+N(CHOOSE(HF98,FO98,FS98,FW98,GA98,GE98,GI98,GM98,GQ98))))),0))</f>
        <v/>
      </c>
      <c r="HH98">
        <f>MIN(N(HG98),MAX(0,N(HE98)))</f>
        <v/>
      </c>
      <c r="HI98">
        <f>MAX(0,N(HE98)-N(HH98))</f>
        <v/>
      </c>
      <c r="HJ98">
        <f>IFERROR(MATCH(5,OrderAval,0),"")</f>
        <v/>
      </c>
      <c r="HK98">
        <f>IF(HJ98="",0,IFERROR(IF(N(CHOOSE(HJ98,FN98,FR98,FV98,FZ98,GD98,GH98,GL98,GP98))&lt;=0.005,0,MAX(0,N(CHOOSE(HJ98,FN98,FR98,FV98,FZ98,GD98,GH98,GL98,GP98))+N(CHOOSE(HJ98,FO98,FS98,FW98,GA98,GE98,GI98,GM98,GQ98))-MIN(N(CHOOSE(HJ98,'Debt List'!$F$5,'Debt List'!$F$6,'Debt List'!$F$7,'Debt List'!$F$8,'Debt List'!$F$9,'Debt List'!$F$10,'Debt List'!$F$11,'Debt List'!$F$12)),N(CHOOSE(HJ98,FN98,FR98,FV98,FZ98,GD98,GH98,GL98,GP98))+N(CHOOSE(HJ98,FO98,FS98,FW98,GA98,GE98,GI98,GM98,GQ98))))),0))</f>
        <v/>
      </c>
      <c r="HL98">
        <f>MIN(N(HK98),MAX(0,N(HI98)))</f>
        <v/>
      </c>
      <c r="HM98">
        <f>MAX(0,N(HI98)-N(HL98))</f>
        <v/>
      </c>
      <c r="HN98">
        <f>IFERROR(MATCH(6,OrderAval,0),"")</f>
        <v/>
      </c>
      <c r="HO98">
        <f>IF(HN98="",0,IFERROR(IF(N(CHOOSE(HN98,FN98,FR98,FV98,FZ98,GD98,GH98,GL98,GP98))&lt;=0.005,0,MAX(0,N(CHOOSE(HN98,FN98,FR98,FV98,FZ98,GD98,GH98,GL98,GP98))+N(CHOOSE(HN98,FO98,FS98,FW98,GA98,GE98,GI98,GM98,GQ98))-MIN(N(CHOOSE(HN98,'Debt List'!$F$5,'Debt List'!$F$6,'Debt List'!$F$7,'Debt List'!$F$8,'Debt List'!$F$9,'Debt List'!$F$10,'Debt List'!$F$11,'Debt List'!$F$12)),N(CHOOSE(HN98,FN98,FR98,FV98,FZ98,GD98,GH98,GL98,GP98))+N(CHOOSE(HN98,FO98,FS98,FW98,GA98,GE98,GI98,GM98,GQ98))))),0))</f>
        <v/>
      </c>
      <c r="HP98">
        <f>MIN(N(HO98),MAX(0,N(HM98)))</f>
        <v/>
      </c>
      <c r="HQ98">
        <f>MAX(0,N(HM98)-N(HP98))</f>
        <v/>
      </c>
      <c r="HR98">
        <f>IFERROR(MATCH(7,OrderAval,0),"")</f>
        <v/>
      </c>
      <c r="HS98">
        <f>IF(HR98="",0,IFERROR(IF(N(CHOOSE(HR98,FN98,FR98,FV98,FZ98,GD98,GH98,GL98,GP98))&lt;=0.005,0,MAX(0,N(CHOOSE(HR98,FN98,FR98,FV98,FZ98,GD98,GH98,GL98,GP98))+N(CHOOSE(HR98,FO98,FS98,FW98,GA98,GE98,GI98,GM98,GQ98))-MIN(N(CHOOSE(HR98,'Debt List'!$F$5,'Debt List'!$F$6,'Debt List'!$F$7,'Debt List'!$F$8,'Debt List'!$F$9,'Debt List'!$F$10,'Debt List'!$F$11,'Debt List'!$F$12)),N(CHOOSE(HR98,FN98,FR98,FV98,FZ98,GD98,GH98,GL98,GP98))+N(CHOOSE(HR98,FO98,FS98,FW98,GA98,GE98,GI98,GM98,GQ98))))),0))</f>
        <v/>
      </c>
      <c r="HT98">
        <f>MIN(N(HS98),MAX(0,N(HQ98)))</f>
        <v/>
      </c>
      <c r="HU98">
        <f>MAX(0,N(HQ98)-N(HT98))</f>
        <v/>
      </c>
      <c r="HV98">
        <f>IFERROR(MATCH(8,OrderAval,0),"")</f>
        <v/>
      </c>
      <c r="HW98">
        <f>IF(HV98="",0,IFERROR(IF(N(CHOOSE(HV98,FN98,FR98,FV98,FZ98,GD98,GH98,GL98,GP98))&lt;=0.005,0,MAX(0,N(CHOOSE(HV98,FN98,FR98,FV98,FZ98,GD98,GH98,GL98,GP98))+N(CHOOSE(HV98,FO98,FS98,FW98,GA98,GE98,GI98,GM98,GQ98))-MIN(N(CHOOSE(HV98,'Debt List'!$F$5,'Debt List'!$F$6,'Debt List'!$F$7,'Debt List'!$F$8,'Debt List'!$F$9,'Debt List'!$F$10,'Debt List'!$F$11,'Debt List'!$F$12)),N(CHOOSE(HV98,FN98,FR98,FV98,FZ98,GD98,GH98,GL98,GP98))+N(CHOOSE(HV98,FO98,FS98,FW98,GA98,GE98,GI98,GM98,GQ98))))),0))</f>
        <v/>
      </c>
      <c r="HX98">
        <f>MIN(N(HW98),MAX(0,N(HU98)))</f>
        <v/>
      </c>
      <c r="HY98">
        <f>MAX(0,N(HU98)-N(HX98))</f>
        <v/>
      </c>
    </row>
    <row r="99">
      <c r="A99" t="n">
        <v>95</v>
      </c>
      <c r="B99" s="115">
        <f>DATE(YEAR(PlanStart),MONTH(PlanStart)+A99-1,1)</f>
        <v/>
      </c>
      <c r="C99">
        <f>IF(AND(AP99&lt;&gt;"",N(CHOOSE(AP99,J99,N99,R99,V99,Z99,AD99,AH99,AL99))&gt;0.005),INDEX(DebtNames,AP99),IF(AND(AT99&lt;&gt;"",N(CHOOSE(AT99,J99,N99,R99,V99,Z99,AD99,AH99,AL99))&gt;0.005),INDEX(DebtNames,AT99),IF(AND(AX99&lt;&gt;"",N(CHOOSE(AX99,J99,N99,R99,V99,Z99,AD99,AH99,AL99))&gt;0.005),INDEX(DebtNames,AX99),IF(AND(BB99&lt;&gt;"",N(CHOOSE(BB99,J99,N99,R99,V99,Z99,AD99,AH99,AL99))&gt;0.005),INDEX(DebtNames,BB99),IF(AND(BF99&lt;&gt;"",N(CHOOSE(BF99,J99,N99,R99,V99,Z99,AD99,AH99,AL99))&gt;0.005),INDEX(DebtNames,BF99),IF(AND(BJ99&lt;&gt;"",N(CHOOSE(BJ99,J99,N99,R99,V99,Z99,AD99,AH99,AL99))&gt;0.005),INDEX(DebtNames,BJ99),IF(AND(BN99&lt;&gt;"",N(CHOOSE(BN99,J99,N99,R99,V99,Z99,AD99,AH99,AL99))&gt;0.005),INDEX(DebtNames,BN99),IF(AND(BR99&lt;&gt;"",N(CHOOSE(BR99,J99,N99,R99,V99,Z99,AD99,AH99,AL99))&gt;0.005),INDEX(DebtNames,BR99),""))))))))</f>
        <v/>
      </c>
      <c r="D99">
        <f>N(BU99)</f>
        <v/>
      </c>
      <c r="E99">
        <f>N(L99)+N(P99)+N(T99)+N(X99)+N(AB99)+N(AF99)+N(AJ99)+N(AN99)</f>
        <v/>
      </c>
      <c r="F99">
        <f>N(K99)+N(O99)+N(S99)+N(W99)+N(AA99)+N(AE99)+N(AI99)+N(AM99)</f>
        <v/>
      </c>
      <c r="G99">
        <f>N(G98)+N(F99)</f>
        <v/>
      </c>
      <c r="H99">
        <f>N(M99)+N(Q99)+N(U99)+N(Y99)+N(AC99)+N(AG99)+N(AK99)+N(AO99)</f>
        <v/>
      </c>
      <c r="I99">
        <f>(M99&gt;0.005)*1+(Q99&gt;0.005)*1+(U99&gt;0.005)*1+(Y99&gt;0.005)*1+(AC99&gt;0.005)*1+(AG99&gt;0.005)*1+(AK99&gt;0.005)*1+(AO99&gt;0.005)*1</f>
        <v/>
      </c>
      <c r="J99">
        <f>N(M98)</f>
        <v/>
      </c>
      <c r="K99">
        <f>IF(N(J99)&lt;=0.005,0,ROUND(N(J99)*N('Debt List'!E5)/12,2))</f>
        <v/>
      </c>
      <c r="L99">
        <f>IF(N(J99)&lt;=0.005,0,MIN(N('Debt List'!F5),N(J99)+N(K99)))+((AP99=1)*AR99+(AT99=1)*AV99+(AX99=1)*AZ99+(BB99=1)*BD99+(BF99=1)*BH99+(BJ99=1)*BL99+(BN99=1)*BP99+(BR99=1)*BT99)</f>
        <v/>
      </c>
      <c r="M99">
        <f>MAX(0,ROUND(N(J99)+N(K99)-N(L99),2))</f>
        <v/>
      </c>
      <c r="N99">
        <f>N(Q98)</f>
        <v/>
      </c>
      <c r="O99">
        <f>IF(N(N99)&lt;=0.005,0,ROUND(N(N99)*N('Debt List'!E6)/12,2))</f>
        <v/>
      </c>
      <c r="P99">
        <f>IF(N(N99)&lt;=0.005,0,MIN(N('Debt List'!F6),N(N99)+N(O99)))+((AP99=2)*AR99+(AT99=2)*AV99+(AX99=2)*AZ99+(BB99=2)*BD99+(BF99=2)*BH99+(BJ99=2)*BL99+(BN99=2)*BP99+(BR99=2)*BT99)</f>
        <v/>
      </c>
      <c r="Q99">
        <f>MAX(0,ROUND(N(N99)+N(O99)-N(P99),2))</f>
        <v/>
      </c>
      <c r="R99">
        <f>N(U98)</f>
        <v/>
      </c>
      <c r="S99">
        <f>IF(N(R99)&lt;=0.005,0,ROUND(N(R99)*N('Debt List'!E7)/12,2))</f>
        <v/>
      </c>
      <c r="T99">
        <f>IF(N(R99)&lt;=0.005,0,MIN(N('Debt List'!F7),N(R99)+N(S99)))+((AP99=3)*AR99+(AT99=3)*AV99+(AX99=3)*AZ99+(BB99=3)*BD99+(BF99=3)*BH99+(BJ99=3)*BL99+(BN99=3)*BP99+(BR99=3)*BT99)</f>
        <v/>
      </c>
      <c r="U99">
        <f>MAX(0,ROUND(N(R99)+N(S99)-N(T99),2))</f>
        <v/>
      </c>
      <c r="V99">
        <f>N(Y98)</f>
        <v/>
      </c>
      <c r="W99">
        <f>IF(N(V99)&lt;=0.005,0,ROUND(N(V99)*N('Debt List'!E8)/12,2))</f>
        <v/>
      </c>
      <c r="X99">
        <f>IF(N(V99)&lt;=0.005,0,MIN(N('Debt List'!F8),N(V99)+N(W99)))+((AP99=4)*AR99+(AT99=4)*AV99+(AX99=4)*AZ99+(BB99=4)*BD99+(BF99=4)*BH99+(BJ99=4)*BL99+(BN99=4)*BP99+(BR99=4)*BT99)</f>
        <v/>
      </c>
      <c r="Y99">
        <f>MAX(0,ROUND(N(V99)+N(W99)-N(X99),2))</f>
        <v/>
      </c>
      <c r="Z99">
        <f>N(AC98)</f>
        <v/>
      </c>
      <c r="AA99">
        <f>IF(N(Z99)&lt;=0.005,0,ROUND(N(Z99)*N('Debt List'!E9)/12,2))</f>
        <v/>
      </c>
      <c r="AB99">
        <f>IF(N(Z99)&lt;=0.005,0,MIN(N('Debt List'!F9),N(Z99)+N(AA99)))+((AP99=5)*AR99+(AT99=5)*AV99+(AX99=5)*AZ99+(BB99=5)*BD99+(BF99=5)*BH99+(BJ99=5)*BL99+(BN99=5)*BP99+(BR99=5)*BT99)</f>
        <v/>
      </c>
      <c r="AC99">
        <f>MAX(0,ROUND(N(Z99)+N(AA99)-N(AB99),2))</f>
        <v/>
      </c>
      <c r="AD99">
        <f>N(AG98)</f>
        <v/>
      </c>
      <c r="AE99">
        <f>IF(N(AD99)&lt;=0.005,0,ROUND(N(AD99)*N('Debt List'!E10)/12,2))</f>
        <v/>
      </c>
      <c r="AF99">
        <f>IF(N(AD99)&lt;=0.005,0,MIN(N('Debt List'!F10),N(AD99)+N(AE99)))+((AP99=6)*AR99+(AT99=6)*AV99+(AX99=6)*AZ99+(BB99=6)*BD99+(BF99=6)*BH99+(BJ99=6)*BL99+(BN99=6)*BP99+(BR99=6)*BT99)</f>
        <v/>
      </c>
      <c r="AG99">
        <f>MAX(0,ROUND(N(AD99)+N(AE99)-N(AF99),2))</f>
        <v/>
      </c>
      <c r="AH99">
        <f>N(AK98)</f>
        <v/>
      </c>
      <c r="AI99">
        <f>IF(N(AH99)&lt;=0.005,0,ROUND(N(AH99)*N('Debt List'!E11)/12,2))</f>
        <v/>
      </c>
      <c r="AJ99">
        <f>IF(N(AH99)&lt;=0.005,0,MIN(N('Debt List'!F11),N(AH99)+N(AI99)))+((AP99=7)*AR99+(AT99=7)*AV99+(AX99=7)*AZ99+(BB99=7)*BD99+(BF99=7)*BH99+(BJ99=7)*BL99+(BN99=7)*BP99+(BR99=7)*BT99)</f>
        <v/>
      </c>
      <c r="AK99">
        <f>MAX(0,ROUND(N(AH99)+N(AI99)-N(AJ99),2))</f>
        <v/>
      </c>
      <c r="AL99">
        <f>N(AO98)</f>
        <v/>
      </c>
      <c r="AM99">
        <f>IF(N(AL99)&lt;=0.005,0,ROUND(N(AL99)*N('Debt List'!E12)/12,2))</f>
        <v/>
      </c>
      <c r="AN99">
        <f>IF(N(AL99)&lt;=0.005,0,MIN(N('Debt List'!F12),N(AL99)+N(AM99)))+((AP99=8)*AR99+(AT99=8)*AV99+(AX99=8)*AZ99+(BB99=8)*BD99+(BF99=8)*BH99+(BJ99=8)*BL99+(BN99=8)*BP99+(BR99=8)*BT99)</f>
        <v/>
      </c>
      <c r="AO99">
        <f>MAX(0,ROUND(N(AL99)+N(AM99)-N(AN99),2))</f>
        <v/>
      </c>
      <c r="AP99">
        <f>IFERROR(MATCH(1,OrderPlan,0),"")</f>
        <v/>
      </c>
      <c r="AQ99">
        <f>IF(AP99="",0,IFERROR(IF(N(CHOOSE(AP99,J99,N99,R99,V99,Z99,AD99,AH99,AL99))&lt;=0.005,0,MAX(0,N(CHOOSE(AP99,J99,N99,R99,V99,Z99,AD99,AH99,AL99))+N(CHOOSE(AP99,K99,O99,S99,W99,AA99,AE99,AI99,AM99))-MIN(N(CHOOSE(AP99,'Debt List'!$F$5,'Debt List'!$F$6,'Debt List'!$F$7,'Debt List'!$F$8,'Debt List'!$F$9,'Debt List'!$F$10,'Debt List'!$F$11,'Debt List'!$F$12)),N(CHOOSE(AP99,J99,N99,R99,V99,Z99,AD99,AH99,AL99))+N(CHOOSE(AP99,K99,O99,S99,W99,AA99,AE99,AI99,AM99))))),0))</f>
        <v/>
      </c>
      <c r="AR99">
        <f>MIN(N(AQ99),MAX(0,N(ExtraPayment)))</f>
        <v/>
      </c>
      <c r="AS99">
        <f>MAX(0,N(ExtraPayment)-N(AR99))</f>
        <v/>
      </c>
      <c r="AT99">
        <f>IFERROR(MATCH(2,OrderPlan,0),"")</f>
        <v/>
      </c>
      <c r="AU99">
        <f>IF(AT99="",0,IFERROR(IF(N(CHOOSE(AT99,J99,N99,R99,V99,Z99,AD99,AH99,AL99))&lt;=0.005,0,MAX(0,N(CHOOSE(AT99,J99,N99,R99,V99,Z99,AD99,AH99,AL99))+N(CHOOSE(AT99,K99,O99,S99,W99,AA99,AE99,AI99,AM99))-MIN(N(CHOOSE(AT99,'Debt List'!$F$5,'Debt List'!$F$6,'Debt List'!$F$7,'Debt List'!$F$8,'Debt List'!$F$9,'Debt List'!$F$10,'Debt List'!$F$11,'Debt List'!$F$12)),N(CHOOSE(AT99,J99,N99,R99,V99,Z99,AD99,AH99,AL99))+N(CHOOSE(AT99,K99,O99,S99,W99,AA99,AE99,AI99,AM99))))),0))</f>
        <v/>
      </c>
      <c r="AV99">
        <f>MIN(N(AU99),MAX(0,N(AS99)))</f>
        <v/>
      </c>
      <c r="AW99">
        <f>MAX(0,N(AS99)-N(AV99))</f>
        <v/>
      </c>
      <c r="AX99">
        <f>IFERROR(MATCH(3,OrderPlan,0),"")</f>
        <v/>
      </c>
      <c r="AY99">
        <f>IF(AX99="",0,IFERROR(IF(N(CHOOSE(AX99,J99,N99,R99,V99,Z99,AD99,AH99,AL99))&lt;=0.005,0,MAX(0,N(CHOOSE(AX99,J99,N99,R99,V99,Z99,AD99,AH99,AL99))+N(CHOOSE(AX99,K99,O99,S99,W99,AA99,AE99,AI99,AM99))-MIN(N(CHOOSE(AX99,'Debt List'!$F$5,'Debt List'!$F$6,'Debt List'!$F$7,'Debt List'!$F$8,'Debt List'!$F$9,'Debt List'!$F$10,'Debt List'!$F$11,'Debt List'!$F$12)),N(CHOOSE(AX99,J99,N99,R99,V99,Z99,AD99,AH99,AL99))+N(CHOOSE(AX99,K99,O99,S99,W99,AA99,AE99,AI99,AM99))))),0))</f>
        <v/>
      </c>
      <c r="AZ99">
        <f>MIN(N(AY99),MAX(0,N(AW99)))</f>
        <v/>
      </c>
      <c r="BA99">
        <f>MAX(0,N(AW99)-N(AZ99))</f>
        <v/>
      </c>
      <c r="BB99">
        <f>IFERROR(MATCH(4,OrderPlan,0),"")</f>
        <v/>
      </c>
      <c r="BC99">
        <f>IF(BB99="",0,IFERROR(IF(N(CHOOSE(BB99,J99,N99,R99,V99,Z99,AD99,AH99,AL99))&lt;=0.005,0,MAX(0,N(CHOOSE(BB99,J99,N99,R99,V99,Z99,AD99,AH99,AL99))+N(CHOOSE(BB99,K99,O99,S99,W99,AA99,AE99,AI99,AM99))-MIN(N(CHOOSE(BB99,'Debt List'!$F$5,'Debt List'!$F$6,'Debt List'!$F$7,'Debt List'!$F$8,'Debt List'!$F$9,'Debt List'!$F$10,'Debt List'!$F$11,'Debt List'!$F$12)),N(CHOOSE(BB99,J99,N99,R99,V99,Z99,AD99,AH99,AL99))+N(CHOOSE(BB99,K99,O99,S99,W99,AA99,AE99,AI99,AM99))))),0))</f>
        <v/>
      </c>
      <c r="BD99">
        <f>MIN(N(BC99),MAX(0,N(BA99)))</f>
        <v/>
      </c>
      <c r="BE99">
        <f>MAX(0,N(BA99)-N(BD99))</f>
        <v/>
      </c>
      <c r="BF99">
        <f>IFERROR(MATCH(5,OrderPlan,0),"")</f>
        <v/>
      </c>
      <c r="BG99">
        <f>IF(BF99="",0,IFERROR(IF(N(CHOOSE(BF99,J99,N99,R99,V99,Z99,AD99,AH99,AL99))&lt;=0.005,0,MAX(0,N(CHOOSE(BF99,J99,N99,R99,V99,Z99,AD99,AH99,AL99))+N(CHOOSE(BF99,K99,O99,S99,W99,AA99,AE99,AI99,AM99))-MIN(N(CHOOSE(BF99,'Debt List'!$F$5,'Debt List'!$F$6,'Debt List'!$F$7,'Debt List'!$F$8,'Debt List'!$F$9,'Debt List'!$F$10,'Debt List'!$F$11,'Debt List'!$F$12)),N(CHOOSE(BF99,J99,N99,R99,V99,Z99,AD99,AH99,AL99))+N(CHOOSE(BF99,K99,O99,S99,W99,AA99,AE99,AI99,AM99))))),0))</f>
        <v/>
      </c>
      <c r="BH99">
        <f>MIN(N(BG99),MAX(0,N(BE99)))</f>
        <v/>
      </c>
      <c r="BI99">
        <f>MAX(0,N(BE99)-N(BH99))</f>
        <v/>
      </c>
      <c r="BJ99">
        <f>IFERROR(MATCH(6,OrderPlan,0),"")</f>
        <v/>
      </c>
      <c r="BK99">
        <f>IF(BJ99="",0,IFERROR(IF(N(CHOOSE(BJ99,J99,N99,R99,V99,Z99,AD99,AH99,AL99))&lt;=0.005,0,MAX(0,N(CHOOSE(BJ99,J99,N99,R99,V99,Z99,AD99,AH99,AL99))+N(CHOOSE(BJ99,K99,O99,S99,W99,AA99,AE99,AI99,AM99))-MIN(N(CHOOSE(BJ99,'Debt List'!$F$5,'Debt List'!$F$6,'Debt List'!$F$7,'Debt List'!$F$8,'Debt List'!$F$9,'Debt List'!$F$10,'Debt List'!$F$11,'Debt List'!$F$12)),N(CHOOSE(BJ99,J99,N99,R99,V99,Z99,AD99,AH99,AL99))+N(CHOOSE(BJ99,K99,O99,S99,W99,AA99,AE99,AI99,AM99))))),0))</f>
        <v/>
      </c>
      <c r="BL99">
        <f>MIN(N(BK99),MAX(0,N(BI99)))</f>
        <v/>
      </c>
      <c r="BM99">
        <f>MAX(0,N(BI99)-N(BL99))</f>
        <v/>
      </c>
      <c r="BN99">
        <f>IFERROR(MATCH(7,OrderPlan,0),"")</f>
        <v/>
      </c>
      <c r="BO99">
        <f>IF(BN99="",0,IFERROR(IF(N(CHOOSE(BN99,J99,N99,R99,V99,Z99,AD99,AH99,AL99))&lt;=0.005,0,MAX(0,N(CHOOSE(BN99,J99,N99,R99,V99,Z99,AD99,AH99,AL99))+N(CHOOSE(BN99,K99,O99,S99,W99,AA99,AE99,AI99,AM99))-MIN(N(CHOOSE(BN99,'Debt List'!$F$5,'Debt List'!$F$6,'Debt List'!$F$7,'Debt List'!$F$8,'Debt List'!$F$9,'Debt List'!$F$10,'Debt List'!$F$11,'Debt List'!$F$12)),N(CHOOSE(BN99,J99,N99,R99,V99,Z99,AD99,AH99,AL99))+N(CHOOSE(BN99,K99,O99,S99,W99,AA99,AE99,AI99,AM99))))),0))</f>
        <v/>
      </c>
      <c r="BP99">
        <f>MIN(N(BO99),MAX(0,N(BM99)))</f>
        <v/>
      </c>
      <c r="BQ99">
        <f>MAX(0,N(BM99)-N(BP99))</f>
        <v/>
      </c>
      <c r="BR99">
        <f>IFERROR(MATCH(8,OrderPlan,0),"")</f>
        <v/>
      </c>
      <c r="BS99">
        <f>IF(BR99="",0,IFERROR(IF(N(CHOOSE(BR99,J99,N99,R99,V99,Z99,AD99,AH99,AL99))&lt;=0.005,0,MAX(0,N(CHOOSE(BR99,J99,N99,R99,V99,Z99,AD99,AH99,AL99))+N(CHOOSE(BR99,K99,O99,S99,W99,AA99,AE99,AI99,AM99))-MIN(N(CHOOSE(BR99,'Debt List'!$F$5,'Debt List'!$F$6,'Debt List'!$F$7,'Debt List'!$F$8,'Debt List'!$F$9,'Debt List'!$F$10,'Debt List'!$F$11,'Debt List'!$F$12)),N(CHOOSE(BR99,J99,N99,R99,V99,Z99,AD99,AH99,AL99))+N(CHOOSE(BR99,K99,O99,S99,W99,AA99,AE99,AI99,AM99))))),0))</f>
        <v/>
      </c>
      <c r="BT99">
        <f>MIN(N(BS99),MAX(0,N(BQ99)))</f>
        <v/>
      </c>
      <c r="BU99">
        <f>MAX(0,N(BQ99)-N(BT99))</f>
        <v/>
      </c>
      <c r="CC99" t="n">
        <v>95</v>
      </c>
      <c r="CD99" s="115">
        <f>DATE(YEAR(PlanStart),MONTH(PlanStart)+CC99-1,1)</f>
        <v/>
      </c>
      <c r="CE99">
        <f>IF(AND(DR99&lt;&gt;"",N(CHOOSE(DR99,CL99,CP99,CT99,CX99,DB99,DF99,DJ99,DN99))&gt;0.005),INDEX(DebtNames,DR99),IF(AND(DV99&lt;&gt;"",N(CHOOSE(DV99,CL99,CP99,CT99,CX99,DB99,DF99,DJ99,DN99))&gt;0.005),INDEX(DebtNames,DV99),IF(AND(DZ99&lt;&gt;"",N(CHOOSE(DZ99,CL99,CP99,CT99,CX99,DB99,DF99,DJ99,DN99))&gt;0.005),INDEX(DebtNames,DZ99),IF(AND(ED99&lt;&gt;"",N(CHOOSE(ED99,CL99,CP99,CT99,CX99,DB99,DF99,DJ99,DN99))&gt;0.005),INDEX(DebtNames,ED99),IF(AND(EH99&lt;&gt;"",N(CHOOSE(EH99,CL99,CP99,CT99,CX99,DB99,DF99,DJ99,DN99))&gt;0.005),INDEX(DebtNames,EH99),IF(AND(EL99&lt;&gt;"",N(CHOOSE(EL99,CL99,CP99,CT99,CX99,DB99,DF99,DJ99,DN99))&gt;0.005),INDEX(DebtNames,EL99),IF(AND(EP99&lt;&gt;"",N(CHOOSE(EP99,CL99,CP99,CT99,CX99,DB99,DF99,DJ99,DN99))&gt;0.005),INDEX(DebtNames,EP99),IF(AND(ET99&lt;&gt;"",N(CHOOSE(ET99,CL99,CP99,CT99,CX99,DB99,DF99,DJ99,DN99))&gt;0.005),INDEX(DebtNames,ET99),""))))))))</f>
        <v/>
      </c>
      <c r="CF99">
        <f>N(EW99)</f>
        <v/>
      </c>
      <c r="CG99">
        <f>N(CN99)+N(CR99)+N(CV99)+N(CZ99)+N(DD99)+N(DH99)+N(DL99)+N(DP99)</f>
        <v/>
      </c>
      <c r="CH99">
        <f>N(CM99)+N(CQ99)+N(CU99)+N(CY99)+N(DC99)+N(DG99)+N(DK99)+N(DO99)</f>
        <v/>
      </c>
      <c r="CI99">
        <f>N(CI98)+N(CH99)</f>
        <v/>
      </c>
      <c r="CJ99">
        <f>N(CO99)+N(CS99)+N(CW99)+N(DA99)+N(DE99)+N(DI99)+N(DM99)+N(DQ99)</f>
        <v/>
      </c>
      <c r="CK99">
        <f>(CO99&gt;0.005)*1+(CS99&gt;0.005)*1+(CW99&gt;0.005)*1+(DA99&gt;0.005)*1+(DE99&gt;0.005)*1+(DI99&gt;0.005)*1+(DM99&gt;0.005)*1+(DQ99&gt;0.005)*1</f>
        <v/>
      </c>
      <c r="CL99">
        <f>N(CO98)</f>
        <v/>
      </c>
      <c r="CM99">
        <f>IF(N(CL99)&lt;=0.005,0,ROUND(N(CL99)*N('Debt List'!E5)/12,2))</f>
        <v/>
      </c>
      <c r="CN99">
        <f>IF(N(CL99)&lt;=0.005,0,MIN(N('Debt List'!F5),N(CL99)+N(CM99)))+((DR99=1)*DT99+(DV99=1)*DX99+(DZ99=1)*EB99+(ED99=1)*EF99+(EH99=1)*EJ99+(EL99=1)*EN99+(EP99=1)*ER99+(ET99=1)*EV99)</f>
        <v/>
      </c>
      <c r="CO99">
        <f>MAX(0,ROUND(N(CL99)+N(CM99)-N(CN99),2))</f>
        <v/>
      </c>
      <c r="CP99">
        <f>N(CS98)</f>
        <v/>
      </c>
      <c r="CQ99">
        <f>IF(N(CP99)&lt;=0.005,0,ROUND(N(CP99)*N('Debt List'!E6)/12,2))</f>
        <v/>
      </c>
      <c r="CR99">
        <f>IF(N(CP99)&lt;=0.005,0,MIN(N('Debt List'!F6),N(CP99)+N(CQ99)))+((DR99=2)*DT99+(DV99=2)*DX99+(DZ99=2)*EB99+(ED99=2)*EF99+(EH99=2)*EJ99+(EL99=2)*EN99+(EP99=2)*ER99+(ET99=2)*EV99)</f>
        <v/>
      </c>
      <c r="CS99">
        <f>MAX(0,ROUND(N(CP99)+N(CQ99)-N(CR99),2))</f>
        <v/>
      </c>
      <c r="CT99">
        <f>N(CW98)</f>
        <v/>
      </c>
      <c r="CU99">
        <f>IF(N(CT99)&lt;=0.005,0,ROUND(N(CT99)*N('Debt List'!E7)/12,2))</f>
        <v/>
      </c>
      <c r="CV99">
        <f>IF(N(CT99)&lt;=0.005,0,MIN(N('Debt List'!F7),N(CT99)+N(CU99)))+((DR99=3)*DT99+(DV99=3)*DX99+(DZ99=3)*EB99+(ED99=3)*EF99+(EH99=3)*EJ99+(EL99=3)*EN99+(EP99=3)*ER99+(ET99=3)*EV99)</f>
        <v/>
      </c>
      <c r="CW99">
        <f>MAX(0,ROUND(N(CT99)+N(CU99)-N(CV99),2))</f>
        <v/>
      </c>
      <c r="CX99">
        <f>N(DA98)</f>
        <v/>
      </c>
      <c r="CY99">
        <f>IF(N(CX99)&lt;=0.005,0,ROUND(N(CX99)*N('Debt List'!E8)/12,2))</f>
        <v/>
      </c>
      <c r="CZ99">
        <f>IF(N(CX99)&lt;=0.005,0,MIN(N('Debt List'!F8),N(CX99)+N(CY99)))+((DR99=4)*DT99+(DV99=4)*DX99+(DZ99=4)*EB99+(ED99=4)*EF99+(EH99=4)*EJ99+(EL99=4)*EN99+(EP99=4)*ER99+(ET99=4)*EV99)</f>
        <v/>
      </c>
      <c r="DA99">
        <f>MAX(0,ROUND(N(CX99)+N(CY99)-N(CZ99),2))</f>
        <v/>
      </c>
      <c r="DB99">
        <f>N(DE98)</f>
        <v/>
      </c>
      <c r="DC99">
        <f>IF(N(DB99)&lt;=0.005,0,ROUND(N(DB99)*N('Debt List'!E9)/12,2))</f>
        <v/>
      </c>
      <c r="DD99">
        <f>IF(N(DB99)&lt;=0.005,0,MIN(N('Debt List'!F9),N(DB99)+N(DC99)))+((DR99=5)*DT99+(DV99=5)*DX99+(DZ99=5)*EB99+(ED99=5)*EF99+(EH99=5)*EJ99+(EL99=5)*EN99+(EP99=5)*ER99+(ET99=5)*EV99)</f>
        <v/>
      </c>
      <c r="DE99">
        <f>MAX(0,ROUND(N(DB99)+N(DC99)-N(DD99),2))</f>
        <v/>
      </c>
      <c r="DF99">
        <f>N(DI98)</f>
        <v/>
      </c>
      <c r="DG99">
        <f>IF(N(DF99)&lt;=0.005,0,ROUND(N(DF99)*N('Debt List'!E10)/12,2))</f>
        <v/>
      </c>
      <c r="DH99">
        <f>IF(N(DF99)&lt;=0.005,0,MIN(N('Debt List'!F10),N(DF99)+N(DG99)))+((DR99=6)*DT99+(DV99=6)*DX99+(DZ99=6)*EB99+(ED99=6)*EF99+(EH99=6)*EJ99+(EL99=6)*EN99+(EP99=6)*ER99+(ET99=6)*EV99)</f>
        <v/>
      </c>
      <c r="DI99">
        <f>MAX(0,ROUND(N(DF99)+N(DG99)-N(DH99),2))</f>
        <v/>
      </c>
      <c r="DJ99">
        <f>N(DM98)</f>
        <v/>
      </c>
      <c r="DK99">
        <f>IF(N(DJ99)&lt;=0.005,0,ROUND(N(DJ99)*N('Debt List'!E11)/12,2))</f>
        <v/>
      </c>
      <c r="DL99">
        <f>IF(N(DJ99)&lt;=0.005,0,MIN(N('Debt List'!F11),N(DJ99)+N(DK99)))+((DR99=7)*DT99+(DV99=7)*DX99+(DZ99=7)*EB99+(ED99=7)*EF99+(EH99=7)*EJ99+(EL99=7)*EN99+(EP99=7)*ER99+(ET99=7)*EV99)</f>
        <v/>
      </c>
      <c r="DM99">
        <f>MAX(0,ROUND(N(DJ99)+N(DK99)-N(DL99),2))</f>
        <v/>
      </c>
      <c r="DN99">
        <f>N(DQ98)</f>
        <v/>
      </c>
      <c r="DO99">
        <f>IF(N(DN99)&lt;=0.005,0,ROUND(N(DN99)*N('Debt List'!E12)/12,2))</f>
        <v/>
      </c>
      <c r="DP99">
        <f>IF(N(DN99)&lt;=0.005,0,MIN(N('Debt List'!F12),N(DN99)+N(DO99)))+((DR99=8)*DT99+(DV99=8)*DX99+(DZ99=8)*EB99+(ED99=8)*EF99+(EH99=8)*EJ99+(EL99=8)*EN99+(EP99=8)*ER99+(ET99=8)*EV99)</f>
        <v/>
      </c>
      <c r="DQ99">
        <f>MAX(0,ROUND(N(DN99)+N(DO99)-N(DP99),2))</f>
        <v/>
      </c>
      <c r="DR99">
        <f>IFERROR(MATCH(1,OrderSnow,0),"")</f>
        <v/>
      </c>
      <c r="DS99">
        <f>IF(DR99="",0,IFERROR(IF(N(CHOOSE(DR99,CL99,CP99,CT99,CX99,DB99,DF99,DJ99,DN99))&lt;=0.005,0,MAX(0,N(CHOOSE(DR99,CL99,CP99,CT99,CX99,DB99,DF99,DJ99,DN99))+N(CHOOSE(DR99,CM99,CQ99,CU99,CY99,DC99,DG99,DK99,DO99))-MIN(N(CHOOSE(DR99,'Debt List'!$F$5,'Debt List'!$F$6,'Debt List'!$F$7,'Debt List'!$F$8,'Debt List'!$F$9,'Debt List'!$F$10,'Debt List'!$F$11,'Debt List'!$F$12)),N(CHOOSE(DR99,CL99,CP99,CT99,CX99,DB99,DF99,DJ99,DN99))+N(CHOOSE(DR99,CM99,CQ99,CU99,CY99,DC99,DG99,DK99,DO99))))),0))</f>
        <v/>
      </c>
      <c r="DT99">
        <f>MIN(N(DS99),MAX(0,N(ExtraPayment)))</f>
        <v/>
      </c>
      <c r="DU99">
        <f>MAX(0,N(ExtraPayment)-N(DT99))</f>
        <v/>
      </c>
      <c r="DV99">
        <f>IFERROR(MATCH(2,OrderSnow,0),"")</f>
        <v/>
      </c>
      <c r="DW99">
        <f>IF(DV99="",0,IFERROR(IF(N(CHOOSE(DV99,CL99,CP99,CT99,CX99,DB99,DF99,DJ99,DN99))&lt;=0.005,0,MAX(0,N(CHOOSE(DV99,CL99,CP99,CT99,CX99,DB99,DF99,DJ99,DN99))+N(CHOOSE(DV99,CM99,CQ99,CU99,CY99,DC99,DG99,DK99,DO99))-MIN(N(CHOOSE(DV99,'Debt List'!$F$5,'Debt List'!$F$6,'Debt List'!$F$7,'Debt List'!$F$8,'Debt List'!$F$9,'Debt List'!$F$10,'Debt List'!$F$11,'Debt List'!$F$12)),N(CHOOSE(DV99,CL99,CP99,CT99,CX99,DB99,DF99,DJ99,DN99))+N(CHOOSE(DV99,CM99,CQ99,CU99,CY99,DC99,DG99,DK99,DO99))))),0))</f>
        <v/>
      </c>
      <c r="DX99">
        <f>MIN(N(DW99),MAX(0,N(DU99)))</f>
        <v/>
      </c>
      <c r="DY99">
        <f>MAX(0,N(DU99)-N(DX99))</f>
        <v/>
      </c>
      <c r="DZ99">
        <f>IFERROR(MATCH(3,OrderSnow,0),"")</f>
        <v/>
      </c>
      <c r="EA99">
        <f>IF(DZ99="",0,IFERROR(IF(N(CHOOSE(DZ99,CL99,CP99,CT99,CX99,DB99,DF99,DJ99,DN99))&lt;=0.005,0,MAX(0,N(CHOOSE(DZ99,CL99,CP99,CT99,CX99,DB99,DF99,DJ99,DN99))+N(CHOOSE(DZ99,CM99,CQ99,CU99,CY99,DC99,DG99,DK99,DO99))-MIN(N(CHOOSE(DZ99,'Debt List'!$F$5,'Debt List'!$F$6,'Debt List'!$F$7,'Debt List'!$F$8,'Debt List'!$F$9,'Debt List'!$F$10,'Debt List'!$F$11,'Debt List'!$F$12)),N(CHOOSE(DZ99,CL99,CP99,CT99,CX99,DB99,DF99,DJ99,DN99))+N(CHOOSE(DZ99,CM99,CQ99,CU99,CY99,DC99,DG99,DK99,DO99))))),0))</f>
        <v/>
      </c>
      <c r="EB99">
        <f>MIN(N(EA99),MAX(0,N(DY99)))</f>
        <v/>
      </c>
      <c r="EC99">
        <f>MAX(0,N(DY99)-N(EB99))</f>
        <v/>
      </c>
      <c r="ED99">
        <f>IFERROR(MATCH(4,OrderSnow,0),"")</f>
        <v/>
      </c>
      <c r="EE99">
        <f>IF(ED99="",0,IFERROR(IF(N(CHOOSE(ED99,CL99,CP99,CT99,CX99,DB99,DF99,DJ99,DN99))&lt;=0.005,0,MAX(0,N(CHOOSE(ED99,CL99,CP99,CT99,CX99,DB99,DF99,DJ99,DN99))+N(CHOOSE(ED99,CM99,CQ99,CU99,CY99,DC99,DG99,DK99,DO99))-MIN(N(CHOOSE(ED99,'Debt List'!$F$5,'Debt List'!$F$6,'Debt List'!$F$7,'Debt List'!$F$8,'Debt List'!$F$9,'Debt List'!$F$10,'Debt List'!$F$11,'Debt List'!$F$12)),N(CHOOSE(ED99,CL99,CP99,CT99,CX99,DB99,DF99,DJ99,DN99))+N(CHOOSE(ED99,CM99,CQ99,CU99,CY99,DC99,DG99,DK99,DO99))))),0))</f>
        <v/>
      </c>
      <c r="EF99">
        <f>MIN(N(EE99),MAX(0,N(EC99)))</f>
        <v/>
      </c>
      <c r="EG99">
        <f>MAX(0,N(EC99)-N(EF99))</f>
        <v/>
      </c>
      <c r="EH99">
        <f>IFERROR(MATCH(5,OrderSnow,0),"")</f>
        <v/>
      </c>
      <c r="EI99">
        <f>IF(EH99="",0,IFERROR(IF(N(CHOOSE(EH99,CL99,CP99,CT99,CX99,DB99,DF99,DJ99,DN99))&lt;=0.005,0,MAX(0,N(CHOOSE(EH99,CL99,CP99,CT99,CX99,DB99,DF99,DJ99,DN99))+N(CHOOSE(EH99,CM99,CQ99,CU99,CY99,DC99,DG99,DK99,DO99))-MIN(N(CHOOSE(EH99,'Debt List'!$F$5,'Debt List'!$F$6,'Debt List'!$F$7,'Debt List'!$F$8,'Debt List'!$F$9,'Debt List'!$F$10,'Debt List'!$F$11,'Debt List'!$F$12)),N(CHOOSE(EH99,CL99,CP99,CT99,CX99,DB99,DF99,DJ99,DN99))+N(CHOOSE(EH99,CM99,CQ99,CU99,CY99,DC99,DG99,DK99,DO99))))),0))</f>
        <v/>
      </c>
      <c r="EJ99">
        <f>MIN(N(EI99),MAX(0,N(EG99)))</f>
        <v/>
      </c>
      <c r="EK99">
        <f>MAX(0,N(EG99)-N(EJ99))</f>
        <v/>
      </c>
      <c r="EL99">
        <f>IFERROR(MATCH(6,OrderSnow,0),"")</f>
        <v/>
      </c>
      <c r="EM99">
        <f>IF(EL99="",0,IFERROR(IF(N(CHOOSE(EL99,CL99,CP99,CT99,CX99,DB99,DF99,DJ99,DN99))&lt;=0.005,0,MAX(0,N(CHOOSE(EL99,CL99,CP99,CT99,CX99,DB99,DF99,DJ99,DN99))+N(CHOOSE(EL99,CM99,CQ99,CU99,CY99,DC99,DG99,DK99,DO99))-MIN(N(CHOOSE(EL99,'Debt List'!$F$5,'Debt List'!$F$6,'Debt List'!$F$7,'Debt List'!$F$8,'Debt List'!$F$9,'Debt List'!$F$10,'Debt List'!$F$11,'Debt List'!$F$12)),N(CHOOSE(EL99,CL99,CP99,CT99,CX99,DB99,DF99,DJ99,DN99))+N(CHOOSE(EL99,CM99,CQ99,CU99,CY99,DC99,DG99,DK99,DO99))))),0))</f>
        <v/>
      </c>
      <c r="EN99">
        <f>MIN(N(EM99),MAX(0,N(EK99)))</f>
        <v/>
      </c>
      <c r="EO99">
        <f>MAX(0,N(EK99)-N(EN99))</f>
        <v/>
      </c>
      <c r="EP99">
        <f>IFERROR(MATCH(7,OrderSnow,0),"")</f>
        <v/>
      </c>
      <c r="EQ99">
        <f>IF(EP99="",0,IFERROR(IF(N(CHOOSE(EP99,CL99,CP99,CT99,CX99,DB99,DF99,DJ99,DN99))&lt;=0.005,0,MAX(0,N(CHOOSE(EP99,CL99,CP99,CT99,CX99,DB99,DF99,DJ99,DN99))+N(CHOOSE(EP99,CM99,CQ99,CU99,CY99,DC99,DG99,DK99,DO99))-MIN(N(CHOOSE(EP99,'Debt List'!$F$5,'Debt List'!$F$6,'Debt List'!$F$7,'Debt List'!$F$8,'Debt List'!$F$9,'Debt List'!$F$10,'Debt List'!$F$11,'Debt List'!$F$12)),N(CHOOSE(EP99,CL99,CP99,CT99,CX99,DB99,DF99,DJ99,DN99))+N(CHOOSE(EP99,CM99,CQ99,CU99,CY99,DC99,DG99,DK99,DO99))))),0))</f>
        <v/>
      </c>
      <c r="ER99">
        <f>MIN(N(EQ99),MAX(0,N(EO99)))</f>
        <v/>
      </c>
      <c r="ES99">
        <f>MAX(0,N(EO99)-N(ER99))</f>
        <v/>
      </c>
      <c r="ET99">
        <f>IFERROR(MATCH(8,OrderSnow,0),"")</f>
        <v/>
      </c>
      <c r="EU99">
        <f>IF(ET99="",0,IFERROR(IF(N(CHOOSE(ET99,CL99,CP99,CT99,CX99,DB99,DF99,DJ99,DN99))&lt;=0.005,0,MAX(0,N(CHOOSE(ET99,CL99,CP99,CT99,CX99,DB99,DF99,DJ99,DN99))+N(CHOOSE(ET99,CM99,CQ99,CU99,CY99,DC99,DG99,DK99,DO99))-MIN(N(CHOOSE(ET99,'Debt List'!$F$5,'Debt List'!$F$6,'Debt List'!$F$7,'Debt List'!$F$8,'Debt List'!$F$9,'Debt List'!$F$10,'Debt List'!$F$11,'Debt List'!$F$12)),N(CHOOSE(ET99,CL99,CP99,CT99,CX99,DB99,DF99,DJ99,DN99))+N(CHOOSE(ET99,CM99,CQ99,CU99,CY99,DC99,DG99,DK99,DO99))))),0))</f>
        <v/>
      </c>
      <c r="EV99">
        <f>MIN(N(EU99),MAX(0,N(ES99)))</f>
        <v/>
      </c>
      <c r="EW99">
        <f>MAX(0,N(ES99)-N(EV99))</f>
        <v/>
      </c>
      <c r="FE99" t="n">
        <v>95</v>
      </c>
      <c r="FF99" s="115">
        <f>DATE(YEAR(PlanStart),MONTH(PlanStart)+FE99-1,1)</f>
        <v/>
      </c>
      <c r="FG99">
        <f>IF(AND(GT99&lt;&gt;"",N(CHOOSE(GT99,FN99,FR99,FV99,FZ99,GD99,GH99,GL99,GP99))&gt;0.005),INDEX(DebtNames,GT99),IF(AND(GX99&lt;&gt;"",N(CHOOSE(GX99,FN99,FR99,FV99,FZ99,GD99,GH99,GL99,GP99))&gt;0.005),INDEX(DebtNames,GX99),IF(AND(HB99&lt;&gt;"",N(CHOOSE(HB99,FN99,FR99,FV99,FZ99,GD99,GH99,GL99,GP99))&gt;0.005),INDEX(DebtNames,HB99),IF(AND(HF99&lt;&gt;"",N(CHOOSE(HF99,FN99,FR99,FV99,FZ99,GD99,GH99,GL99,GP99))&gt;0.005),INDEX(DebtNames,HF99),IF(AND(HJ99&lt;&gt;"",N(CHOOSE(HJ99,FN99,FR99,FV99,FZ99,GD99,GH99,GL99,GP99))&gt;0.005),INDEX(DebtNames,HJ99),IF(AND(HN99&lt;&gt;"",N(CHOOSE(HN99,FN99,FR99,FV99,FZ99,GD99,GH99,GL99,GP99))&gt;0.005),INDEX(DebtNames,HN99),IF(AND(HR99&lt;&gt;"",N(CHOOSE(HR99,FN99,FR99,FV99,FZ99,GD99,GH99,GL99,GP99))&gt;0.005),INDEX(DebtNames,HR99),IF(AND(HV99&lt;&gt;"",N(CHOOSE(HV99,FN99,FR99,FV99,FZ99,GD99,GH99,GL99,GP99))&gt;0.005),INDEX(DebtNames,HV99),""))))))))</f>
        <v/>
      </c>
      <c r="FH99">
        <f>N(HY99)</f>
        <v/>
      </c>
      <c r="FI99">
        <f>N(FP99)+N(FT99)+N(FX99)+N(GB99)+N(GF99)+N(GJ99)+N(GN99)+N(GR99)</f>
        <v/>
      </c>
      <c r="FJ99">
        <f>N(FO99)+N(FS99)+N(FW99)+N(GA99)+N(GE99)+N(GI99)+N(GM99)+N(GQ99)</f>
        <v/>
      </c>
      <c r="FK99">
        <f>N(FK98)+N(FJ99)</f>
        <v/>
      </c>
      <c r="FL99">
        <f>N(FQ99)+N(FU99)+N(FY99)+N(GC99)+N(GG99)+N(GK99)+N(GO99)+N(GS99)</f>
        <v/>
      </c>
      <c r="FM99">
        <f>(FQ99&gt;0.005)*1+(FU99&gt;0.005)*1+(FY99&gt;0.005)*1+(GC99&gt;0.005)*1+(GG99&gt;0.005)*1+(GK99&gt;0.005)*1+(GO99&gt;0.005)*1+(GS99&gt;0.005)*1</f>
        <v/>
      </c>
      <c r="FN99">
        <f>N(FQ98)</f>
        <v/>
      </c>
      <c r="FO99">
        <f>IF(N(FN99)&lt;=0.005,0,ROUND(N(FN99)*N('Debt List'!E5)/12,2))</f>
        <v/>
      </c>
      <c r="FP99">
        <f>IF(N(FN99)&lt;=0.005,0,MIN(N('Debt List'!F5),N(FN99)+N(FO99)))+((GT99=1)*GV99+(GX99=1)*GZ99+(HB99=1)*HD99+(HF99=1)*HH99+(HJ99=1)*HL99+(HN99=1)*HP99+(HR99=1)*HT99+(HV99=1)*HX99)</f>
        <v/>
      </c>
      <c r="FQ99">
        <f>MAX(0,ROUND(N(FN99)+N(FO99)-N(FP99),2))</f>
        <v/>
      </c>
      <c r="FR99">
        <f>N(FU98)</f>
        <v/>
      </c>
      <c r="FS99">
        <f>IF(N(FR99)&lt;=0.005,0,ROUND(N(FR99)*N('Debt List'!E6)/12,2))</f>
        <v/>
      </c>
      <c r="FT99">
        <f>IF(N(FR99)&lt;=0.005,0,MIN(N('Debt List'!F6),N(FR99)+N(FS99)))+((GT99=2)*GV99+(GX99=2)*GZ99+(HB99=2)*HD99+(HF99=2)*HH99+(HJ99=2)*HL99+(HN99=2)*HP99+(HR99=2)*HT99+(HV99=2)*HX99)</f>
        <v/>
      </c>
      <c r="FU99">
        <f>MAX(0,ROUND(N(FR99)+N(FS99)-N(FT99),2))</f>
        <v/>
      </c>
      <c r="FV99">
        <f>N(FY98)</f>
        <v/>
      </c>
      <c r="FW99">
        <f>IF(N(FV99)&lt;=0.005,0,ROUND(N(FV99)*N('Debt List'!E7)/12,2))</f>
        <v/>
      </c>
      <c r="FX99">
        <f>IF(N(FV99)&lt;=0.005,0,MIN(N('Debt List'!F7),N(FV99)+N(FW99)))+((GT99=3)*GV99+(GX99=3)*GZ99+(HB99=3)*HD99+(HF99=3)*HH99+(HJ99=3)*HL99+(HN99=3)*HP99+(HR99=3)*HT99+(HV99=3)*HX99)</f>
        <v/>
      </c>
      <c r="FY99">
        <f>MAX(0,ROUND(N(FV99)+N(FW99)-N(FX99),2))</f>
        <v/>
      </c>
      <c r="FZ99">
        <f>N(GC98)</f>
        <v/>
      </c>
      <c r="GA99">
        <f>IF(N(FZ99)&lt;=0.005,0,ROUND(N(FZ99)*N('Debt List'!E8)/12,2))</f>
        <v/>
      </c>
      <c r="GB99">
        <f>IF(N(FZ99)&lt;=0.005,0,MIN(N('Debt List'!F8),N(FZ99)+N(GA99)))+((GT99=4)*GV99+(GX99=4)*GZ99+(HB99=4)*HD99+(HF99=4)*HH99+(HJ99=4)*HL99+(HN99=4)*HP99+(HR99=4)*HT99+(HV99=4)*HX99)</f>
        <v/>
      </c>
      <c r="GC99">
        <f>MAX(0,ROUND(N(FZ99)+N(GA99)-N(GB99),2))</f>
        <v/>
      </c>
      <c r="GD99">
        <f>N(GG98)</f>
        <v/>
      </c>
      <c r="GE99">
        <f>IF(N(GD99)&lt;=0.005,0,ROUND(N(GD99)*N('Debt List'!E9)/12,2))</f>
        <v/>
      </c>
      <c r="GF99">
        <f>IF(N(GD99)&lt;=0.005,0,MIN(N('Debt List'!F9),N(GD99)+N(GE99)))+((GT99=5)*GV99+(GX99=5)*GZ99+(HB99=5)*HD99+(HF99=5)*HH99+(HJ99=5)*HL99+(HN99=5)*HP99+(HR99=5)*HT99+(HV99=5)*HX99)</f>
        <v/>
      </c>
      <c r="GG99">
        <f>MAX(0,ROUND(N(GD99)+N(GE99)-N(GF99),2))</f>
        <v/>
      </c>
      <c r="GH99">
        <f>N(GK98)</f>
        <v/>
      </c>
      <c r="GI99">
        <f>IF(N(GH99)&lt;=0.005,0,ROUND(N(GH99)*N('Debt List'!E10)/12,2))</f>
        <v/>
      </c>
      <c r="GJ99">
        <f>IF(N(GH99)&lt;=0.005,0,MIN(N('Debt List'!F10),N(GH99)+N(GI99)))+((GT99=6)*GV99+(GX99=6)*GZ99+(HB99=6)*HD99+(HF99=6)*HH99+(HJ99=6)*HL99+(HN99=6)*HP99+(HR99=6)*HT99+(HV99=6)*HX99)</f>
        <v/>
      </c>
      <c r="GK99">
        <f>MAX(0,ROUND(N(GH99)+N(GI99)-N(GJ99),2))</f>
        <v/>
      </c>
      <c r="GL99">
        <f>N(GO98)</f>
        <v/>
      </c>
      <c r="GM99">
        <f>IF(N(GL99)&lt;=0.005,0,ROUND(N(GL99)*N('Debt List'!E11)/12,2))</f>
        <v/>
      </c>
      <c r="GN99">
        <f>IF(N(GL99)&lt;=0.005,0,MIN(N('Debt List'!F11),N(GL99)+N(GM99)))+((GT99=7)*GV99+(GX99=7)*GZ99+(HB99=7)*HD99+(HF99=7)*HH99+(HJ99=7)*HL99+(HN99=7)*HP99+(HR99=7)*HT99+(HV99=7)*HX99)</f>
        <v/>
      </c>
      <c r="GO99">
        <f>MAX(0,ROUND(N(GL99)+N(GM99)-N(GN99),2))</f>
        <v/>
      </c>
      <c r="GP99">
        <f>N(GS98)</f>
        <v/>
      </c>
      <c r="GQ99">
        <f>IF(N(GP99)&lt;=0.005,0,ROUND(N(GP99)*N('Debt List'!E12)/12,2))</f>
        <v/>
      </c>
      <c r="GR99">
        <f>IF(N(GP99)&lt;=0.005,0,MIN(N('Debt List'!F12),N(GP99)+N(GQ99)))+((GT99=8)*GV99+(GX99=8)*GZ99+(HB99=8)*HD99+(HF99=8)*HH99+(HJ99=8)*HL99+(HN99=8)*HP99+(HR99=8)*HT99+(HV99=8)*HX99)</f>
        <v/>
      </c>
      <c r="GS99">
        <f>MAX(0,ROUND(N(GP99)+N(GQ99)-N(GR99),2))</f>
        <v/>
      </c>
      <c r="GT99">
        <f>IFERROR(MATCH(1,OrderAval,0),"")</f>
        <v/>
      </c>
      <c r="GU99">
        <f>IF(GT99="",0,IFERROR(IF(N(CHOOSE(GT99,FN99,FR99,FV99,FZ99,GD99,GH99,GL99,GP99))&lt;=0.005,0,MAX(0,N(CHOOSE(GT99,FN99,FR99,FV99,FZ99,GD99,GH99,GL99,GP99))+N(CHOOSE(GT99,FO99,FS99,FW99,GA99,GE99,GI99,GM99,GQ99))-MIN(N(CHOOSE(GT99,'Debt List'!$F$5,'Debt List'!$F$6,'Debt List'!$F$7,'Debt List'!$F$8,'Debt List'!$F$9,'Debt List'!$F$10,'Debt List'!$F$11,'Debt List'!$F$12)),N(CHOOSE(GT99,FN99,FR99,FV99,FZ99,GD99,GH99,GL99,GP99))+N(CHOOSE(GT99,FO99,FS99,FW99,GA99,GE99,GI99,GM99,GQ99))))),0))</f>
        <v/>
      </c>
      <c r="GV99">
        <f>MIN(N(GU99),MAX(0,N(ExtraPayment)))</f>
        <v/>
      </c>
      <c r="GW99">
        <f>MAX(0,N(ExtraPayment)-N(GV99))</f>
        <v/>
      </c>
      <c r="GX99">
        <f>IFERROR(MATCH(2,OrderAval,0),"")</f>
        <v/>
      </c>
      <c r="GY99">
        <f>IF(GX99="",0,IFERROR(IF(N(CHOOSE(GX99,FN99,FR99,FV99,FZ99,GD99,GH99,GL99,GP99))&lt;=0.005,0,MAX(0,N(CHOOSE(GX99,FN99,FR99,FV99,FZ99,GD99,GH99,GL99,GP99))+N(CHOOSE(GX99,FO99,FS99,FW99,GA99,GE99,GI99,GM99,GQ99))-MIN(N(CHOOSE(GX99,'Debt List'!$F$5,'Debt List'!$F$6,'Debt List'!$F$7,'Debt List'!$F$8,'Debt List'!$F$9,'Debt List'!$F$10,'Debt List'!$F$11,'Debt List'!$F$12)),N(CHOOSE(GX99,FN99,FR99,FV99,FZ99,GD99,GH99,GL99,GP99))+N(CHOOSE(GX99,FO99,FS99,FW99,GA99,GE99,GI99,GM99,GQ99))))),0))</f>
        <v/>
      </c>
      <c r="GZ99">
        <f>MIN(N(GY99),MAX(0,N(GW99)))</f>
        <v/>
      </c>
      <c r="HA99">
        <f>MAX(0,N(GW99)-N(GZ99))</f>
        <v/>
      </c>
      <c r="HB99">
        <f>IFERROR(MATCH(3,OrderAval,0),"")</f>
        <v/>
      </c>
      <c r="HC99">
        <f>IF(HB99="",0,IFERROR(IF(N(CHOOSE(HB99,FN99,FR99,FV99,FZ99,GD99,GH99,GL99,GP99))&lt;=0.005,0,MAX(0,N(CHOOSE(HB99,FN99,FR99,FV99,FZ99,GD99,GH99,GL99,GP99))+N(CHOOSE(HB99,FO99,FS99,FW99,GA99,GE99,GI99,GM99,GQ99))-MIN(N(CHOOSE(HB99,'Debt List'!$F$5,'Debt List'!$F$6,'Debt List'!$F$7,'Debt List'!$F$8,'Debt List'!$F$9,'Debt List'!$F$10,'Debt List'!$F$11,'Debt List'!$F$12)),N(CHOOSE(HB99,FN99,FR99,FV99,FZ99,GD99,GH99,GL99,GP99))+N(CHOOSE(HB99,FO99,FS99,FW99,GA99,GE99,GI99,GM99,GQ99))))),0))</f>
        <v/>
      </c>
      <c r="HD99">
        <f>MIN(N(HC99),MAX(0,N(HA99)))</f>
        <v/>
      </c>
      <c r="HE99">
        <f>MAX(0,N(HA99)-N(HD99))</f>
        <v/>
      </c>
      <c r="HF99">
        <f>IFERROR(MATCH(4,OrderAval,0),"")</f>
        <v/>
      </c>
      <c r="HG99">
        <f>IF(HF99="",0,IFERROR(IF(N(CHOOSE(HF99,FN99,FR99,FV99,FZ99,GD99,GH99,GL99,GP99))&lt;=0.005,0,MAX(0,N(CHOOSE(HF99,FN99,FR99,FV99,FZ99,GD99,GH99,GL99,GP99))+N(CHOOSE(HF99,FO99,FS99,FW99,GA99,GE99,GI99,GM99,GQ99))-MIN(N(CHOOSE(HF99,'Debt List'!$F$5,'Debt List'!$F$6,'Debt List'!$F$7,'Debt List'!$F$8,'Debt List'!$F$9,'Debt List'!$F$10,'Debt List'!$F$11,'Debt List'!$F$12)),N(CHOOSE(HF99,FN99,FR99,FV99,FZ99,GD99,GH99,GL99,GP99))+N(CHOOSE(HF99,FO99,FS99,FW99,GA99,GE99,GI99,GM99,GQ99))))),0))</f>
        <v/>
      </c>
      <c r="HH99">
        <f>MIN(N(HG99),MAX(0,N(HE99)))</f>
        <v/>
      </c>
      <c r="HI99">
        <f>MAX(0,N(HE99)-N(HH99))</f>
        <v/>
      </c>
      <c r="HJ99">
        <f>IFERROR(MATCH(5,OrderAval,0),"")</f>
        <v/>
      </c>
      <c r="HK99">
        <f>IF(HJ99="",0,IFERROR(IF(N(CHOOSE(HJ99,FN99,FR99,FV99,FZ99,GD99,GH99,GL99,GP99))&lt;=0.005,0,MAX(0,N(CHOOSE(HJ99,FN99,FR99,FV99,FZ99,GD99,GH99,GL99,GP99))+N(CHOOSE(HJ99,FO99,FS99,FW99,GA99,GE99,GI99,GM99,GQ99))-MIN(N(CHOOSE(HJ99,'Debt List'!$F$5,'Debt List'!$F$6,'Debt List'!$F$7,'Debt List'!$F$8,'Debt List'!$F$9,'Debt List'!$F$10,'Debt List'!$F$11,'Debt List'!$F$12)),N(CHOOSE(HJ99,FN99,FR99,FV99,FZ99,GD99,GH99,GL99,GP99))+N(CHOOSE(HJ99,FO99,FS99,FW99,GA99,GE99,GI99,GM99,GQ99))))),0))</f>
        <v/>
      </c>
      <c r="HL99">
        <f>MIN(N(HK99),MAX(0,N(HI99)))</f>
        <v/>
      </c>
      <c r="HM99">
        <f>MAX(0,N(HI99)-N(HL99))</f>
        <v/>
      </c>
      <c r="HN99">
        <f>IFERROR(MATCH(6,OrderAval,0),"")</f>
        <v/>
      </c>
      <c r="HO99">
        <f>IF(HN99="",0,IFERROR(IF(N(CHOOSE(HN99,FN99,FR99,FV99,FZ99,GD99,GH99,GL99,GP99))&lt;=0.005,0,MAX(0,N(CHOOSE(HN99,FN99,FR99,FV99,FZ99,GD99,GH99,GL99,GP99))+N(CHOOSE(HN99,FO99,FS99,FW99,GA99,GE99,GI99,GM99,GQ99))-MIN(N(CHOOSE(HN99,'Debt List'!$F$5,'Debt List'!$F$6,'Debt List'!$F$7,'Debt List'!$F$8,'Debt List'!$F$9,'Debt List'!$F$10,'Debt List'!$F$11,'Debt List'!$F$12)),N(CHOOSE(HN99,FN99,FR99,FV99,FZ99,GD99,GH99,GL99,GP99))+N(CHOOSE(HN99,FO99,FS99,FW99,GA99,GE99,GI99,GM99,GQ99))))),0))</f>
        <v/>
      </c>
      <c r="HP99">
        <f>MIN(N(HO99),MAX(0,N(HM99)))</f>
        <v/>
      </c>
      <c r="HQ99">
        <f>MAX(0,N(HM99)-N(HP99))</f>
        <v/>
      </c>
      <c r="HR99">
        <f>IFERROR(MATCH(7,OrderAval,0),"")</f>
        <v/>
      </c>
      <c r="HS99">
        <f>IF(HR99="",0,IFERROR(IF(N(CHOOSE(HR99,FN99,FR99,FV99,FZ99,GD99,GH99,GL99,GP99))&lt;=0.005,0,MAX(0,N(CHOOSE(HR99,FN99,FR99,FV99,FZ99,GD99,GH99,GL99,GP99))+N(CHOOSE(HR99,FO99,FS99,FW99,GA99,GE99,GI99,GM99,GQ99))-MIN(N(CHOOSE(HR99,'Debt List'!$F$5,'Debt List'!$F$6,'Debt List'!$F$7,'Debt List'!$F$8,'Debt List'!$F$9,'Debt List'!$F$10,'Debt List'!$F$11,'Debt List'!$F$12)),N(CHOOSE(HR99,FN99,FR99,FV99,FZ99,GD99,GH99,GL99,GP99))+N(CHOOSE(HR99,FO99,FS99,FW99,GA99,GE99,GI99,GM99,GQ99))))),0))</f>
        <v/>
      </c>
      <c r="HT99">
        <f>MIN(N(HS99),MAX(0,N(HQ99)))</f>
        <v/>
      </c>
      <c r="HU99">
        <f>MAX(0,N(HQ99)-N(HT99))</f>
        <v/>
      </c>
      <c r="HV99">
        <f>IFERROR(MATCH(8,OrderAval,0),"")</f>
        <v/>
      </c>
      <c r="HW99">
        <f>IF(HV99="",0,IFERROR(IF(N(CHOOSE(HV99,FN99,FR99,FV99,FZ99,GD99,GH99,GL99,GP99))&lt;=0.005,0,MAX(0,N(CHOOSE(HV99,FN99,FR99,FV99,FZ99,GD99,GH99,GL99,GP99))+N(CHOOSE(HV99,FO99,FS99,FW99,GA99,GE99,GI99,GM99,GQ99))-MIN(N(CHOOSE(HV99,'Debt List'!$F$5,'Debt List'!$F$6,'Debt List'!$F$7,'Debt List'!$F$8,'Debt List'!$F$9,'Debt List'!$F$10,'Debt List'!$F$11,'Debt List'!$F$12)),N(CHOOSE(HV99,FN99,FR99,FV99,FZ99,GD99,GH99,GL99,GP99))+N(CHOOSE(HV99,FO99,FS99,FW99,GA99,GE99,GI99,GM99,GQ99))))),0))</f>
        <v/>
      </c>
      <c r="HX99">
        <f>MIN(N(HW99),MAX(0,N(HU99)))</f>
        <v/>
      </c>
      <c r="HY99">
        <f>MAX(0,N(HU99)-N(HX99))</f>
        <v/>
      </c>
    </row>
    <row r="100">
      <c r="A100" t="n">
        <v>96</v>
      </c>
      <c r="B100" s="115">
        <f>DATE(YEAR(PlanStart),MONTH(PlanStart)+A100-1,1)</f>
        <v/>
      </c>
      <c r="C100">
        <f>IF(AND(AP100&lt;&gt;"",N(CHOOSE(AP100,J100,N100,R100,V100,Z100,AD100,AH100,AL100))&gt;0.005),INDEX(DebtNames,AP100),IF(AND(AT100&lt;&gt;"",N(CHOOSE(AT100,J100,N100,R100,V100,Z100,AD100,AH100,AL100))&gt;0.005),INDEX(DebtNames,AT100),IF(AND(AX100&lt;&gt;"",N(CHOOSE(AX100,J100,N100,R100,V100,Z100,AD100,AH100,AL100))&gt;0.005),INDEX(DebtNames,AX100),IF(AND(BB100&lt;&gt;"",N(CHOOSE(BB100,J100,N100,R100,V100,Z100,AD100,AH100,AL100))&gt;0.005),INDEX(DebtNames,BB100),IF(AND(BF100&lt;&gt;"",N(CHOOSE(BF100,J100,N100,R100,V100,Z100,AD100,AH100,AL100))&gt;0.005),INDEX(DebtNames,BF100),IF(AND(BJ100&lt;&gt;"",N(CHOOSE(BJ100,J100,N100,R100,V100,Z100,AD100,AH100,AL100))&gt;0.005),INDEX(DebtNames,BJ100),IF(AND(BN100&lt;&gt;"",N(CHOOSE(BN100,J100,N100,R100,V100,Z100,AD100,AH100,AL100))&gt;0.005),INDEX(DebtNames,BN100),IF(AND(BR100&lt;&gt;"",N(CHOOSE(BR100,J100,N100,R100,V100,Z100,AD100,AH100,AL100))&gt;0.005),INDEX(DebtNames,BR100),""))))))))</f>
        <v/>
      </c>
      <c r="D100">
        <f>N(BU100)</f>
        <v/>
      </c>
      <c r="E100">
        <f>N(L100)+N(P100)+N(T100)+N(X100)+N(AB100)+N(AF100)+N(AJ100)+N(AN100)</f>
        <v/>
      </c>
      <c r="F100">
        <f>N(K100)+N(O100)+N(S100)+N(W100)+N(AA100)+N(AE100)+N(AI100)+N(AM100)</f>
        <v/>
      </c>
      <c r="G100">
        <f>N(G99)+N(F100)</f>
        <v/>
      </c>
      <c r="H100">
        <f>N(M100)+N(Q100)+N(U100)+N(Y100)+N(AC100)+N(AG100)+N(AK100)+N(AO100)</f>
        <v/>
      </c>
      <c r="I100">
        <f>(M100&gt;0.005)*1+(Q100&gt;0.005)*1+(U100&gt;0.005)*1+(Y100&gt;0.005)*1+(AC100&gt;0.005)*1+(AG100&gt;0.005)*1+(AK100&gt;0.005)*1+(AO100&gt;0.005)*1</f>
        <v/>
      </c>
      <c r="J100">
        <f>N(M99)</f>
        <v/>
      </c>
      <c r="K100">
        <f>IF(N(J100)&lt;=0.005,0,ROUND(N(J100)*N('Debt List'!E5)/12,2))</f>
        <v/>
      </c>
      <c r="L100">
        <f>IF(N(J100)&lt;=0.005,0,MIN(N('Debt List'!F5),N(J100)+N(K100)))+((AP100=1)*AR100+(AT100=1)*AV100+(AX100=1)*AZ100+(BB100=1)*BD100+(BF100=1)*BH100+(BJ100=1)*BL100+(BN100=1)*BP100+(BR100=1)*BT100)</f>
        <v/>
      </c>
      <c r="M100">
        <f>MAX(0,ROUND(N(J100)+N(K100)-N(L100),2))</f>
        <v/>
      </c>
      <c r="N100">
        <f>N(Q99)</f>
        <v/>
      </c>
      <c r="O100">
        <f>IF(N(N100)&lt;=0.005,0,ROUND(N(N100)*N('Debt List'!E6)/12,2))</f>
        <v/>
      </c>
      <c r="P100">
        <f>IF(N(N100)&lt;=0.005,0,MIN(N('Debt List'!F6),N(N100)+N(O100)))+((AP100=2)*AR100+(AT100=2)*AV100+(AX100=2)*AZ100+(BB100=2)*BD100+(BF100=2)*BH100+(BJ100=2)*BL100+(BN100=2)*BP100+(BR100=2)*BT100)</f>
        <v/>
      </c>
      <c r="Q100">
        <f>MAX(0,ROUND(N(N100)+N(O100)-N(P100),2))</f>
        <v/>
      </c>
      <c r="R100">
        <f>N(U99)</f>
        <v/>
      </c>
      <c r="S100">
        <f>IF(N(R100)&lt;=0.005,0,ROUND(N(R100)*N('Debt List'!E7)/12,2))</f>
        <v/>
      </c>
      <c r="T100">
        <f>IF(N(R100)&lt;=0.005,0,MIN(N('Debt List'!F7),N(R100)+N(S100)))+((AP100=3)*AR100+(AT100=3)*AV100+(AX100=3)*AZ100+(BB100=3)*BD100+(BF100=3)*BH100+(BJ100=3)*BL100+(BN100=3)*BP100+(BR100=3)*BT100)</f>
        <v/>
      </c>
      <c r="U100">
        <f>MAX(0,ROUND(N(R100)+N(S100)-N(T100),2))</f>
        <v/>
      </c>
      <c r="V100">
        <f>N(Y99)</f>
        <v/>
      </c>
      <c r="W100">
        <f>IF(N(V100)&lt;=0.005,0,ROUND(N(V100)*N('Debt List'!E8)/12,2))</f>
        <v/>
      </c>
      <c r="X100">
        <f>IF(N(V100)&lt;=0.005,0,MIN(N('Debt List'!F8),N(V100)+N(W100)))+((AP100=4)*AR100+(AT100=4)*AV100+(AX100=4)*AZ100+(BB100=4)*BD100+(BF100=4)*BH100+(BJ100=4)*BL100+(BN100=4)*BP100+(BR100=4)*BT100)</f>
        <v/>
      </c>
      <c r="Y100">
        <f>MAX(0,ROUND(N(V100)+N(W100)-N(X100),2))</f>
        <v/>
      </c>
      <c r="Z100">
        <f>N(AC99)</f>
        <v/>
      </c>
      <c r="AA100">
        <f>IF(N(Z100)&lt;=0.005,0,ROUND(N(Z100)*N('Debt List'!E9)/12,2))</f>
        <v/>
      </c>
      <c r="AB100">
        <f>IF(N(Z100)&lt;=0.005,0,MIN(N('Debt List'!F9),N(Z100)+N(AA100)))+((AP100=5)*AR100+(AT100=5)*AV100+(AX100=5)*AZ100+(BB100=5)*BD100+(BF100=5)*BH100+(BJ100=5)*BL100+(BN100=5)*BP100+(BR100=5)*BT100)</f>
        <v/>
      </c>
      <c r="AC100">
        <f>MAX(0,ROUND(N(Z100)+N(AA100)-N(AB100),2))</f>
        <v/>
      </c>
      <c r="AD100">
        <f>N(AG99)</f>
        <v/>
      </c>
      <c r="AE100">
        <f>IF(N(AD100)&lt;=0.005,0,ROUND(N(AD100)*N('Debt List'!E10)/12,2))</f>
        <v/>
      </c>
      <c r="AF100">
        <f>IF(N(AD100)&lt;=0.005,0,MIN(N('Debt List'!F10),N(AD100)+N(AE100)))+((AP100=6)*AR100+(AT100=6)*AV100+(AX100=6)*AZ100+(BB100=6)*BD100+(BF100=6)*BH100+(BJ100=6)*BL100+(BN100=6)*BP100+(BR100=6)*BT100)</f>
        <v/>
      </c>
      <c r="AG100">
        <f>MAX(0,ROUND(N(AD100)+N(AE100)-N(AF100),2))</f>
        <v/>
      </c>
      <c r="AH100">
        <f>N(AK99)</f>
        <v/>
      </c>
      <c r="AI100">
        <f>IF(N(AH100)&lt;=0.005,0,ROUND(N(AH100)*N('Debt List'!E11)/12,2))</f>
        <v/>
      </c>
      <c r="AJ100">
        <f>IF(N(AH100)&lt;=0.005,0,MIN(N('Debt List'!F11),N(AH100)+N(AI100)))+((AP100=7)*AR100+(AT100=7)*AV100+(AX100=7)*AZ100+(BB100=7)*BD100+(BF100=7)*BH100+(BJ100=7)*BL100+(BN100=7)*BP100+(BR100=7)*BT100)</f>
        <v/>
      </c>
      <c r="AK100">
        <f>MAX(0,ROUND(N(AH100)+N(AI100)-N(AJ100),2))</f>
        <v/>
      </c>
      <c r="AL100">
        <f>N(AO99)</f>
        <v/>
      </c>
      <c r="AM100">
        <f>IF(N(AL100)&lt;=0.005,0,ROUND(N(AL100)*N('Debt List'!E12)/12,2))</f>
        <v/>
      </c>
      <c r="AN100">
        <f>IF(N(AL100)&lt;=0.005,0,MIN(N('Debt List'!F12),N(AL100)+N(AM100)))+((AP100=8)*AR100+(AT100=8)*AV100+(AX100=8)*AZ100+(BB100=8)*BD100+(BF100=8)*BH100+(BJ100=8)*BL100+(BN100=8)*BP100+(BR100=8)*BT100)</f>
        <v/>
      </c>
      <c r="AO100">
        <f>MAX(0,ROUND(N(AL100)+N(AM100)-N(AN100),2))</f>
        <v/>
      </c>
      <c r="AP100">
        <f>IFERROR(MATCH(1,OrderPlan,0),"")</f>
        <v/>
      </c>
      <c r="AQ100">
        <f>IF(AP100="",0,IFERROR(IF(N(CHOOSE(AP100,J100,N100,R100,V100,Z100,AD100,AH100,AL100))&lt;=0.005,0,MAX(0,N(CHOOSE(AP100,J100,N100,R100,V100,Z100,AD100,AH100,AL100))+N(CHOOSE(AP100,K100,O100,S100,W100,AA100,AE100,AI100,AM100))-MIN(N(CHOOSE(AP100,'Debt List'!$F$5,'Debt List'!$F$6,'Debt List'!$F$7,'Debt List'!$F$8,'Debt List'!$F$9,'Debt List'!$F$10,'Debt List'!$F$11,'Debt List'!$F$12)),N(CHOOSE(AP100,J100,N100,R100,V100,Z100,AD100,AH100,AL100))+N(CHOOSE(AP100,K100,O100,S100,W100,AA100,AE100,AI100,AM100))))),0))</f>
        <v/>
      </c>
      <c r="AR100">
        <f>MIN(N(AQ100),MAX(0,N(ExtraPayment)))</f>
        <v/>
      </c>
      <c r="AS100">
        <f>MAX(0,N(ExtraPayment)-N(AR100))</f>
        <v/>
      </c>
      <c r="AT100">
        <f>IFERROR(MATCH(2,OrderPlan,0),"")</f>
        <v/>
      </c>
      <c r="AU100">
        <f>IF(AT100="",0,IFERROR(IF(N(CHOOSE(AT100,J100,N100,R100,V100,Z100,AD100,AH100,AL100))&lt;=0.005,0,MAX(0,N(CHOOSE(AT100,J100,N100,R100,V100,Z100,AD100,AH100,AL100))+N(CHOOSE(AT100,K100,O100,S100,W100,AA100,AE100,AI100,AM100))-MIN(N(CHOOSE(AT100,'Debt List'!$F$5,'Debt List'!$F$6,'Debt List'!$F$7,'Debt List'!$F$8,'Debt List'!$F$9,'Debt List'!$F$10,'Debt List'!$F$11,'Debt List'!$F$12)),N(CHOOSE(AT100,J100,N100,R100,V100,Z100,AD100,AH100,AL100))+N(CHOOSE(AT100,K100,O100,S100,W100,AA100,AE100,AI100,AM100))))),0))</f>
        <v/>
      </c>
      <c r="AV100">
        <f>MIN(N(AU100),MAX(0,N(AS100)))</f>
        <v/>
      </c>
      <c r="AW100">
        <f>MAX(0,N(AS100)-N(AV100))</f>
        <v/>
      </c>
      <c r="AX100">
        <f>IFERROR(MATCH(3,OrderPlan,0),"")</f>
        <v/>
      </c>
      <c r="AY100">
        <f>IF(AX100="",0,IFERROR(IF(N(CHOOSE(AX100,J100,N100,R100,V100,Z100,AD100,AH100,AL100))&lt;=0.005,0,MAX(0,N(CHOOSE(AX100,J100,N100,R100,V100,Z100,AD100,AH100,AL100))+N(CHOOSE(AX100,K100,O100,S100,W100,AA100,AE100,AI100,AM100))-MIN(N(CHOOSE(AX100,'Debt List'!$F$5,'Debt List'!$F$6,'Debt List'!$F$7,'Debt List'!$F$8,'Debt List'!$F$9,'Debt List'!$F$10,'Debt List'!$F$11,'Debt List'!$F$12)),N(CHOOSE(AX100,J100,N100,R100,V100,Z100,AD100,AH100,AL100))+N(CHOOSE(AX100,K100,O100,S100,W100,AA100,AE100,AI100,AM100))))),0))</f>
        <v/>
      </c>
      <c r="AZ100">
        <f>MIN(N(AY100),MAX(0,N(AW100)))</f>
        <v/>
      </c>
      <c r="BA100">
        <f>MAX(0,N(AW100)-N(AZ100))</f>
        <v/>
      </c>
      <c r="BB100">
        <f>IFERROR(MATCH(4,OrderPlan,0),"")</f>
        <v/>
      </c>
      <c r="BC100">
        <f>IF(BB100="",0,IFERROR(IF(N(CHOOSE(BB100,J100,N100,R100,V100,Z100,AD100,AH100,AL100))&lt;=0.005,0,MAX(0,N(CHOOSE(BB100,J100,N100,R100,V100,Z100,AD100,AH100,AL100))+N(CHOOSE(BB100,K100,O100,S100,W100,AA100,AE100,AI100,AM100))-MIN(N(CHOOSE(BB100,'Debt List'!$F$5,'Debt List'!$F$6,'Debt List'!$F$7,'Debt List'!$F$8,'Debt List'!$F$9,'Debt List'!$F$10,'Debt List'!$F$11,'Debt List'!$F$12)),N(CHOOSE(BB100,J100,N100,R100,V100,Z100,AD100,AH100,AL100))+N(CHOOSE(BB100,K100,O100,S100,W100,AA100,AE100,AI100,AM100))))),0))</f>
        <v/>
      </c>
      <c r="BD100">
        <f>MIN(N(BC100),MAX(0,N(BA100)))</f>
        <v/>
      </c>
      <c r="BE100">
        <f>MAX(0,N(BA100)-N(BD100))</f>
        <v/>
      </c>
      <c r="BF100">
        <f>IFERROR(MATCH(5,OrderPlan,0),"")</f>
        <v/>
      </c>
      <c r="BG100">
        <f>IF(BF100="",0,IFERROR(IF(N(CHOOSE(BF100,J100,N100,R100,V100,Z100,AD100,AH100,AL100))&lt;=0.005,0,MAX(0,N(CHOOSE(BF100,J100,N100,R100,V100,Z100,AD100,AH100,AL100))+N(CHOOSE(BF100,K100,O100,S100,W100,AA100,AE100,AI100,AM100))-MIN(N(CHOOSE(BF100,'Debt List'!$F$5,'Debt List'!$F$6,'Debt List'!$F$7,'Debt List'!$F$8,'Debt List'!$F$9,'Debt List'!$F$10,'Debt List'!$F$11,'Debt List'!$F$12)),N(CHOOSE(BF100,J100,N100,R100,V100,Z100,AD100,AH100,AL100))+N(CHOOSE(BF100,K100,O100,S100,W100,AA100,AE100,AI100,AM100))))),0))</f>
        <v/>
      </c>
      <c r="BH100">
        <f>MIN(N(BG100),MAX(0,N(BE100)))</f>
        <v/>
      </c>
      <c r="BI100">
        <f>MAX(0,N(BE100)-N(BH100))</f>
        <v/>
      </c>
      <c r="BJ100">
        <f>IFERROR(MATCH(6,OrderPlan,0),"")</f>
        <v/>
      </c>
      <c r="BK100">
        <f>IF(BJ100="",0,IFERROR(IF(N(CHOOSE(BJ100,J100,N100,R100,V100,Z100,AD100,AH100,AL100))&lt;=0.005,0,MAX(0,N(CHOOSE(BJ100,J100,N100,R100,V100,Z100,AD100,AH100,AL100))+N(CHOOSE(BJ100,K100,O100,S100,W100,AA100,AE100,AI100,AM100))-MIN(N(CHOOSE(BJ100,'Debt List'!$F$5,'Debt List'!$F$6,'Debt List'!$F$7,'Debt List'!$F$8,'Debt List'!$F$9,'Debt List'!$F$10,'Debt List'!$F$11,'Debt List'!$F$12)),N(CHOOSE(BJ100,J100,N100,R100,V100,Z100,AD100,AH100,AL100))+N(CHOOSE(BJ100,K100,O100,S100,W100,AA100,AE100,AI100,AM100))))),0))</f>
        <v/>
      </c>
      <c r="BL100">
        <f>MIN(N(BK100),MAX(0,N(BI100)))</f>
        <v/>
      </c>
      <c r="BM100">
        <f>MAX(0,N(BI100)-N(BL100))</f>
        <v/>
      </c>
      <c r="BN100">
        <f>IFERROR(MATCH(7,OrderPlan,0),"")</f>
        <v/>
      </c>
      <c r="BO100">
        <f>IF(BN100="",0,IFERROR(IF(N(CHOOSE(BN100,J100,N100,R100,V100,Z100,AD100,AH100,AL100))&lt;=0.005,0,MAX(0,N(CHOOSE(BN100,J100,N100,R100,V100,Z100,AD100,AH100,AL100))+N(CHOOSE(BN100,K100,O100,S100,W100,AA100,AE100,AI100,AM100))-MIN(N(CHOOSE(BN100,'Debt List'!$F$5,'Debt List'!$F$6,'Debt List'!$F$7,'Debt List'!$F$8,'Debt List'!$F$9,'Debt List'!$F$10,'Debt List'!$F$11,'Debt List'!$F$12)),N(CHOOSE(BN100,J100,N100,R100,V100,Z100,AD100,AH100,AL100))+N(CHOOSE(BN100,K100,O100,S100,W100,AA100,AE100,AI100,AM100))))),0))</f>
        <v/>
      </c>
      <c r="BP100">
        <f>MIN(N(BO100),MAX(0,N(BM100)))</f>
        <v/>
      </c>
      <c r="BQ100">
        <f>MAX(0,N(BM100)-N(BP100))</f>
        <v/>
      </c>
      <c r="BR100">
        <f>IFERROR(MATCH(8,OrderPlan,0),"")</f>
        <v/>
      </c>
      <c r="BS100">
        <f>IF(BR100="",0,IFERROR(IF(N(CHOOSE(BR100,J100,N100,R100,V100,Z100,AD100,AH100,AL100))&lt;=0.005,0,MAX(0,N(CHOOSE(BR100,J100,N100,R100,V100,Z100,AD100,AH100,AL100))+N(CHOOSE(BR100,K100,O100,S100,W100,AA100,AE100,AI100,AM100))-MIN(N(CHOOSE(BR100,'Debt List'!$F$5,'Debt List'!$F$6,'Debt List'!$F$7,'Debt List'!$F$8,'Debt List'!$F$9,'Debt List'!$F$10,'Debt List'!$F$11,'Debt List'!$F$12)),N(CHOOSE(BR100,J100,N100,R100,V100,Z100,AD100,AH100,AL100))+N(CHOOSE(BR100,K100,O100,S100,W100,AA100,AE100,AI100,AM100))))),0))</f>
        <v/>
      </c>
      <c r="BT100">
        <f>MIN(N(BS100),MAX(0,N(BQ100)))</f>
        <v/>
      </c>
      <c r="BU100">
        <f>MAX(0,N(BQ100)-N(BT100))</f>
        <v/>
      </c>
      <c r="CC100" t="n">
        <v>96</v>
      </c>
      <c r="CD100" s="115">
        <f>DATE(YEAR(PlanStart),MONTH(PlanStart)+CC100-1,1)</f>
        <v/>
      </c>
      <c r="CE100">
        <f>IF(AND(DR100&lt;&gt;"",N(CHOOSE(DR100,CL100,CP100,CT100,CX100,DB100,DF100,DJ100,DN100))&gt;0.005),INDEX(DebtNames,DR100),IF(AND(DV100&lt;&gt;"",N(CHOOSE(DV100,CL100,CP100,CT100,CX100,DB100,DF100,DJ100,DN100))&gt;0.005),INDEX(DebtNames,DV100),IF(AND(DZ100&lt;&gt;"",N(CHOOSE(DZ100,CL100,CP100,CT100,CX100,DB100,DF100,DJ100,DN100))&gt;0.005),INDEX(DebtNames,DZ100),IF(AND(ED100&lt;&gt;"",N(CHOOSE(ED100,CL100,CP100,CT100,CX100,DB100,DF100,DJ100,DN100))&gt;0.005),INDEX(DebtNames,ED100),IF(AND(EH100&lt;&gt;"",N(CHOOSE(EH100,CL100,CP100,CT100,CX100,DB100,DF100,DJ100,DN100))&gt;0.005),INDEX(DebtNames,EH100),IF(AND(EL100&lt;&gt;"",N(CHOOSE(EL100,CL100,CP100,CT100,CX100,DB100,DF100,DJ100,DN100))&gt;0.005),INDEX(DebtNames,EL100),IF(AND(EP100&lt;&gt;"",N(CHOOSE(EP100,CL100,CP100,CT100,CX100,DB100,DF100,DJ100,DN100))&gt;0.005),INDEX(DebtNames,EP100),IF(AND(ET100&lt;&gt;"",N(CHOOSE(ET100,CL100,CP100,CT100,CX100,DB100,DF100,DJ100,DN100))&gt;0.005),INDEX(DebtNames,ET100),""))))))))</f>
        <v/>
      </c>
      <c r="CF100">
        <f>N(EW100)</f>
        <v/>
      </c>
      <c r="CG100">
        <f>N(CN100)+N(CR100)+N(CV100)+N(CZ100)+N(DD100)+N(DH100)+N(DL100)+N(DP100)</f>
        <v/>
      </c>
      <c r="CH100">
        <f>N(CM100)+N(CQ100)+N(CU100)+N(CY100)+N(DC100)+N(DG100)+N(DK100)+N(DO100)</f>
        <v/>
      </c>
      <c r="CI100">
        <f>N(CI99)+N(CH100)</f>
        <v/>
      </c>
      <c r="CJ100">
        <f>N(CO100)+N(CS100)+N(CW100)+N(DA100)+N(DE100)+N(DI100)+N(DM100)+N(DQ100)</f>
        <v/>
      </c>
      <c r="CK100">
        <f>(CO100&gt;0.005)*1+(CS100&gt;0.005)*1+(CW100&gt;0.005)*1+(DA100&gt;0.005)*1+(DE100&gt;0.005)*1+(DI100&gt;0.005)*1+(DM100&gt;0.005)*1+(DQ100&gt;0.005)*1</f>
        <v/>
      </c>
      <c r="CL100">
        <f>N(CO99)</f>
        <v/>
      </c>
      <c r="CM100">
        <f>IF(N(CL100)&lt;=0.005,0,ROUND(N(CL100)*N('Debt List'!E5)/12,2))</f>
        <v/>
      </c>
      <c r="CN100">
        <f>IF(N(CL100)&lt;=0.005,0,MIN(N('Debt List'!F5),N(CL100)+N(CM100)))+((DR100=1)*DT100+(DV100=1)*DX100+(DZ100=1)*EB100+(ED100=1)*EF100+(EH100=1)*EJ100+(EL100=1)*EN100+(EP100=1)*ER100+(ET100=1)*EV100)</f>
        <v/>
      </c>
      <c r="CO100">
        <f>MAX(0,ROUND(N(CL100)+N(CM100)-N(CN100),2))</f>
        <v/>
      </c>
      <c r="CP100">
        <f>N(CS99)</f>
        <v/>
      </c>
      <c r="CQ100">
        <f>IF(N(CP100)&lt;=0.005,0,ROUND(N(CP100)*N('Debt List'!E6)/12,2))</f>
        <v/>
      </c>
      <c r="CR100">
        <f>IF(N(CP100)&lt;=0.005,0,MIN(N('Debt List'!F6),N(CP100)+N(CQ100)))+((DR100=2)*DT100+(DV100=2)*DX100+(DZ100=2)*EB100+(ED100=2)*EF100+(EH100=2)*EJ100+(EL100=2)*EN100+(EP100=2)*ER100+(ET100=2)*EV100)</f>
        <v/>
      </c>
      <c r="CS100">
        <f>MAX(0,ROUND(N(CP100)+N(CQ100)-N(CR100),2))</f>
        <v/>
      </c>
      <c r="CT100">
        <f>N(CW99)</f>
        <v/>
      </c>
      <c r="CU100">
        <f>IF(N(CT100)&lt;=0.005,0,ROUND(N(CT100)*N('Debt List'!E7)/12,2))</f>
        <v/>
      </c>
      <c r="CV100">
        <f>IF(N(CT100)&lt;=0.005,0,MIN(N('Debt List'!F7),N(CT100)+N(CU100)))+((DR100=3)*DT100+(DV100=3)*DX100+(DZ100=3)*EB100+(ED100=3)*EF100+(EH100=3)*EJ100+(EL100=3)*EN100+(EP100=3)*ER100+(ET100=3)*EV100)</f>
        <v/>
      </c>
      <c r="CW100">
        <f>MAX(0,ROUND(N(CT100)+N(CU100)-N(CV100),2))</f>
        <v/>
      </c>
      <c r="CX100">
        <f>N(DA99)</f>
        <v/>
      </c>
      <c r="CY100">
        <f>IF(N(CX100)&lt;=0.005,0,ROUND(N(CX100)*N('Debt List'!E8)/12,2))</f>
        <v/>
      </c>
      <c r="CZ100">
        <f>IF(N(CX100)&lt;=0.005,0,MIN(N('Debt List'!F8),N(CX100)+N(CY100)))+((DR100=4)*DT100+(DV100=4)*DX100+(DZ100=4)*EB100+(ED100=4)*EF100+(EH100=4)*EJ100+(EL100=4)*EN100+(EP100=4)*ER100+(ET100=4)*EV100)</f>
        <v/>
      </c>
      <c r="DA100">
        <f>MAX(0,ROUND(N(CX100)+N(CY100)-N(CZ100),2))</f>
        <v/>
      </c>
      <c r="DB100">
        <f>N(DE99)</f>
        <v/>
      </c>
      <c r="DC100">
        <f>IF(N(DB100)&lt;=0.005,0,ROUND(N(DB100)*N('Debt List'!E9)/12,2))</f>
        <v/>
      </c>
      <c r="DD100">
        <f>IF(N(DB100)&lt;=0.005,0,MIN(N('Debt List'!F9),N(DB100)+N(DC100)))+((DR100=5)*DT100+(DV100=5)*DX100+(DZ100=5)*EB100+(ED100=5)*EF100+(EH100=5)*EJ100+(EL100=5)*EN100+(EP100=5)*ER100+(ET100=5)*EV100)</f>
        <v/>
      </c>
      <c r="DE100">
        <f>MAX(0,ROUND(N(DB100)+N(DC100)-N(DD100),2))</f>
        <v/>
      </c>
      <c r="DF100">
        <f>N(DI99)</f>
        <v/>
      </c>
      <c r="DG100">
        <f>IF(N(DF100)&lt;=0.005,0,ROUND(N(DF100)*N('Debt List'!E10)/12,2))</f>
        <v/>
      </c>
      <c r="DH100">
        <f>IF(N(DF100)&lt;=0.005,0,MIN(N('Debt List'!F10),N(DF100)+N(DG100)))+((DR100=6)*DT100+(DV100=6)*DX100+(DZ100=6)*EB100+(ED100=6)*EF100+(EH100=6)*EJ100+(EL100=6)*EN100+(EP100=6)*ER100+(ET100=6)*EV100)</f>
        <v/>
      </c>
      <c r="DI100">
        <f>MAX(0,ROUND(N(DF100)+N(DG100)-N(DH100),2))</f>
        <v/>
      </c>
      <c r="DJ100">
        <f>N(DM99)</f>
        <v/>
      </c>
      <c r="DK100">
        <f>IF(N(DJ100)&lt;=0.005,0,ROUND(N(DJ100)*N('Debt List'!E11)/12,2))</f>
        <v/>
      </c>
      <c r="DL100">
        <f>IF(N(DJ100)&lt;=0.005,0,MIN(N('Debt List'!F11),N(DJ100)+N(DK100)))+((DR100=7)*DT100+(DV100=7)*DX100+(DZ100=7)*EB100+(ED100=7)*EF100+(EH100=7)*EJ100+(EL100=7)*EN100+(EP100=7)*ER100+(ET100=7)*EV100)</f>
        <v/>
      </c>
      <c r="DM100">
        <f>MAX(0,ROUND(N(DJ100)+N(DK100)-N(DL100),2))</f>
        <v/>
      </c>
      <c r="DN100">
        <f>N(DQ99)</f>
        <v/>
      </c>
      <c r="DO100">
        <f>IF(N(DN100)&lt;=0.005,0,ROUND(N(DN100)*N('Debt List'!E12)/12,2))</f>
        <v/>
      </c>
      <c r="DP100">
        <f>IF(N(DN100)&lt;=0.005,0,MIN(N('Debt List'!F12),N(DN100)+N(DO100)))+((DR100=8)*DT100+(DV100=8)*DX100+(DZ100=8)*EB100+(ED100=8)*EF100+(EH100=8)*EJ100+(EL100=8)*EN100+(EP100=8)*ER100+(ET100=8)*EV100)</f>
        <v/>
      </c>
      <c r="DQ100">
        <f>MAX(0,ROUND(N(DN100)+N(DO100)-N(DP100),2))</f>
        <v/>
      </c>
      <c r="DR100">
        <f>IFERROR(MATCH(1,OrderSnow,0),"")</f>
        <v/>
      </c>
      <c r="DS100">
        <f>IF(DR100="",0,IFERROR(IF(N(CHOOSE(DR100,CL100,CP100,CT100,CX100,DB100,DF100,DJ100,DN100))&lt;=0.005,0,MAX(0,N(CHOOSE(DR100,CL100,CP100,CT100,CX100,DB100,DF100,DJ100,DN100))+N(CHOOSE(DR100,CM100,CQ100,CU100,CY100,DC100,DG100,DK100,DO100))-MIN(N(CHOOSE(DR100,'Debt List'!$F$5,'Debt List'!$F$6,'Debt List'!$F$7,'Debt List'!$F$8,'Debt List'!$F$9,'Debt List'!$F$10,'Debt List'!$F$11,'Debt List'!$F$12)),N(CHOOSE(DR100,CL100,CP100,CT100,CX100,DB100,DF100,DJ100,DN100))+N(CHOOSE(DR100,CM100,CQ100,CU100,CY100,DC100,DG100,DK100,DO100))))),0))</f>
        <v/>
      </c>
      <c r="DT100">
        <f>MIN(N(DS100),MAX(0,N(ExtraPayment)))</f>
        <v/>
      </c>
      <c r="DU100">
        <f>MAX(0,N(ExtraPayment)-N(DT100))</f>
        <v/>
      </c>
      <c r="DV100">
        <f>IFERROR(MATCH(2,OrderSnow,0),"")</f>
        <v/>
      </c>
      <c r="DW100">
        <f>IF(DV100="",0,IFERROR(IF(N(CHOOSE(DV100,CL100,CP100,CT100,CX100,DB100,DF100,DJ100,DN100))&lt;=0.005,0,MAX(0,N(CHOOSE(DV100,CL100,CP100,CT100,CX100,DB100,DF100,DJ100,DN100))+N(CHOOSE(DV100,CM100,CQ100,CU100,CY100,DC100,DG100,DK100,DO100))-MIN(N(CHOOSE(DV100,'Debt List'!$F$5,'Debt List'!$F$6,'Debt List'!$F$7,'Debt List'!$F$8,'Debt List'!$F$9,'Debt List'!$F$10,'Debt List'!$F$11,'Debt List'!$F$12)),N(CHOOSE(DV100,CL100,CP100,CT100,CX100,DB100,DF100,DJ100,DN100))+N(CHOOSE(DV100,CM100,CQ100,CU100,CY100,DC100,DG100,DK100,DO100))))),0))</f>
        <v/>
      </c>
      <c r="DX100">
        <f>MIN(N(DW100),MAX(0,N(DU100)))</f>
        <v/>
      </c>
      <c r="DY100">
        <f>MAX(0,N(DU100)-N(DX100))</f>
        <v/>
      </c>
      <c r="DZ100">
        <f>IFERROR(MATCH(3,OrderSnow,0),"")</f>
        <v/>
      </c>
      <c r="EA100">
        <f>IF(DZ100="",0,IFERROR(IF(N(CHOOSE(DZ100,CL100,CP100,CT100,CX100,DB100,DF100,DJ100,DN100))&lt;=0.005,0,MAX(0,N(CHOOSE(DZ100,CL100,CP100,CT100,CX100,DB100,DF100,DJ100,DN100))+N(CHOOSE(DZ100,CM100,CQ100,CU100,CY100,DC100,DG100,DK100,DO100))-MIN(N(CHOOSE(DZ100,'Debt List'!$F$5,'Debt List'!$F$6,'Debt List'!$F$7,'Debt List'!$F$8,'Debt List'!$F$9,'Debt List'!$F$10,'Debt List'!$F$11,'Debt List'!$F$12)),N(CHOOSE(DZ100,CL100,CP100,CT100,CX100,DB100,DF100,DJ100,DN100))+N(CHOOSE(DZ100,CM100,CQ100,CU100,CY100,DC100,DG100,DK100,DO100))))),0))</f>
        <v/>
      </c>
      <c r="EB100">
        <f>MIN(N(EA100),MAX(0,N(DY100)))</f>
        <v/>
      </c>
      <c r="EC100">
        <f>MAX(0,N(DY100)-N(EB100))</f>
        <v/>
      </c>
      <c r="ED100">
        <f>IFERROR(MATCH(4,OrderSnow,0),"")</f>
        <v/>
      </c>
      <c r="EE100">
        <f>IF(ED100="",0,IFERROR(IF(N(CHOOSE(ED100,CL100,CP100,CT100,CX100,DB100,DF100,DJ100,DN100))&lt;=0.005,0,MAX(0,N(CHOOSE(ED100,CL100,CP100,CT100,CX100,DB100,DF100,DJ100,DN100))+N(CHOOSE(ED100,CM100,CQ100,CU100,CY100,DC100,DG100,DK100,DO100))-MIN(N(CHOOSE(ED100,'Debt List'!$F$5,'Debt List'!$F$6,'Debt List'!$F$7,'Debt List'!$F$8,'Debt List'!$F$9,'Debt List'!$F$10,'Debt List'!$F$11,'Debt List'!$F$12)),N(CHOOSE(ED100,CL100,CP100,CT100,CX100,DB100,DF100,DJ100,DN100))+N(CHOOSE(ED100,CM100,CQ100,CU100,CY100,DC100,DG100,DK100,DO100))))),0))</f>
        <v/>
      </c>
      <c r="EF100">
        <f>MIN(N(EE100),MAX(0,N(EC100)))</f>
        <v/>
      </c>
      <c r="EG100">
        <f>MAX(0,N(EC100)-N(EF100))</f>
        <v/>
      </c>
      <c r="EH100">
        <f>IFERROR(MATCH(5,OrderSnow,0),"")</f>
        <v/>
      </c>
      <c r="EI100">
        <f>IF(EH100="",0,IFERROR(IF(N(CHOOSE(EH100,CL100,CP100,CT100,CX100,DB100,DF100,DJ100,DN100))&lt;=0.005,0,MAX(0,N(CHOOSE(EH100,CL100,CP100,CT100,CX100,DB100,DF100,DJ100,DN100))+N(CHOOSE(EH100,CM100,CQ100,CU100,CY100,DC100,DG100,DK100,DO100))-MIN(N(CHOOSE(EH100,'Debt List'!$F$5,'Debt List'!$F$6,'Debt List'!$F$7,'Debt List'!$F$8,'Debt List'!$F$9,'Debt List'!$F$10,'Debt List'!$F$11,'Debt List'!$F$12)),N(CHOOSE(EH100,CL100,CP100,CT100,CX100,DB100,DF100,DJ100,DN100))+N(CHOOSE(EH100,CM100,CQ100,CU100,CY100,DC100,DG100,DK100,DO100))))),0))</f>
        <v/>
      </c>
      <c r="EJ100">
        <f>MIN(N(EI100),MAX(0,N(EG100)))</f>
        <v/>
      </c>
      <c r="EK100">
        <f>MAX(0,N(EG100)-N(EJ100))</f>
        <v/>
      </c>
      <c r="EL100">
        <f>IFERROR(MATCH(6,OrderSnow,0),"")</f>
        <v/>
      </c>
      <c r="EM100">
        <f>IF(EL100="",0,IFERROR(IF(N(CHOOSE(EL100,CL100,CP100,CT100,CX100,DB100,DF100,DJ100,DN100))&lt;=0.005,0,MAX(0,N(CHOOSE(EL100,CL100,CP100,CT100,CX100,DB100,DF100,DJ100,DN100))+N(CHOOSE(EL100,CM100,CQ100,CU100,CY100,DC100,DG100,DK100,DO100))-MIN(N(CHOOSE(EL100,'Debt List'!$F$5,'Debt List'!$F$6,'Debt List'!$F$7,'Debt List'!$F$8,'Debt List'!$F$9,'Debt List'!$F$10,'Debt List'!$F$11,'Debt List'!$F$12)),N(CHOOSE(EL100,CL100,CP100,CT100,CX100,DB100,DF100,DJ100,DN100))+N(CHOOSE(EL100,CM100,CQ100,CU100,CY100,DC100,DG100,DK100,DO100))))),0))</f>
        <v/>
      </c>
      <c r="EN100">
        <f>MIN(N(EM100),MAX(0,N(EK100)))</f>
        <v/>
      </c>
      <c r="EO100">
        <f>MAX(0,N(EK100)-N(EN100))</f>
        <v/>
      </c>
      <c r="EP100">
        <f>IFERROR(MATCH(7,OrderSnow,0),"")</f>
        <v/>
      </c>
      <c r="EQ100">
        <f>IF(EP100="",0,IFERROR(IF(N(CHOOSE(EP100,CL100,CP100,CT100,CX100,DB100,DF100,DJ100,DN100))&lt;=0.005,0,MAX(0,N(CHOOSE(EP100,CL100,CP100,CT100,CX100,DB100,DF100,DJ100,DN100))+N(CHOOSE(EP100,CM100,CQ100,CU100,CY100,DC100,DG100,DK100,DO100))-MIN(N(CHOOSE(EP100,'Debt List'!$F$5,'Debt List'!$F$6,'Debt List'!$F$7,'Debt List'!$F$8,'Debt List'!$F$9,'Debt List'!$F$10,'Debt List'!$F$11,'Debt List'!$F$12)),N(CHOOSE(EP100,CL100,CP100,CT100,CX100,DB100,DF100,DJ100,DN100))+N(CHOOSE(EP100,CM100,CQ100,CU100,CY100,DC100,DG100,DK100,DO100))))),0))</f>
        <v/>
      </c>
      <c r="ER100">
        <f>MIN(N(EQ100),MAX(0,N(EO100)))</f>
        <v/>
      </c>
      <c r="ES100">
        <f>MAX(0,N(EO100)-N(ER100))</f>
        <v/>
      </c>
      <c r="ET100">
        <f>IFERROR(MATCH(8,OrderSnow,0),"")</f>
        <v/>
      </c>
      <c r="EU100">
        <f>IF(ET100="",0,IFERROR(IF(N(CHOOSE(ET100,CL100,CP100,CT100,CX100,DB100,DF100,DJ100,DN100))&lt;=0.005,0,MAX(0,N(CHOOSE(ET100,CL100,CP100,CT100,CX100,DB100,DF100,DJ100,DN100))+N(CHOOSE(ET100,CM100,CQ100,CU100,CY100,DC100,DG100,DK100,DO100))-MIN(N(CHOOSE(ET100,'Debt List'!$F$5,'Debt List'!$F$6,'Debt List'!$F$7,'Debt List'!$F$8,'Debt List'!$F$9,'Debt List'!$F$10,'Debt List'!$F$11,'Debt List'!$F$12)),N(CHOOSE(ET100,CL100,CP100,CT100,CX100,DB100,DF100,DJ100,DN100))+N(CHOOSE(ET100,CM100,CQ100,CU100,CY100,DC100,DG100,DK100,DO100))))),0))</f>
        <v/>
      </c>
      <c r="EV100">
        <f>MIN(N(EU100),MAX(0,N(ES100)))</f>
        <v/>
      </c>
      <c r="EW100">
        <f>MAX(0,N(ES100)-N(EV100))</f>
        <v/>
      </c>
      <c r="FE100" t="n">
        <v>96</v>
      </c>
      <c r="FF100" s="115">
        <f>DATE(YEAR(PlanStart),MONTH(PlanStart)+FE100-1,1)</f>
        <v/>
      </c>
      <c r="FG100">
        <f>IF(AND(GT100&lt;&gt;"",N(CHOOSE(GT100,FN100,FR100,FV100,FZ100,GD100,GH100,GL100,GP100))&gt;0.005),INDEX(DebtNames,GT100),IF(AND(GX100&lt;&gt;"",N(CHOOSE(GX100,FN100,FR100,FV100,FZ100,GD100,GH100,GL100,GP100))&gt;0.005),INDEX(DebtNames,GX100),IF(AND(HB100&lt;&gt;"",N(CHOOSE(HB100,FN100,FR100,FV100,FZ100,GD100,GH100,GL100,GP100))&gt;0.005),INDEX(DebtNames,HB100),IF(AND(HF100&lt;&gt;"",N(CHOOSE(HF100,FN100,FR100,FV100,FZ100,GD100,GH100,GL100,GP100))&gt;0.005),INDEX(DebtNames,HF100),IF(AND(HJ100&lt;&gt;"",N(CHOOSE(HJ100,FN100,FR100,FV100,FZ100,GD100,GH100,GL100,GP100))&gt;0.005),INDEX(DebtNames,HJ100),IF(AND(HN100&lt;&gt;"",N(CHOOSE(HN100,FN100,FR100,FV100,FZ100,GD100,GH100,GL100,GP100))&gt;0.005),INDEX(DebtNames,HN100),IF(AND(HR100&lt;&gt;"",N(CHOOSE(HR100,FN100,FR100,FV100,FZ100,GD100,GH100,GL100,GP100))&gt;0.005),INDEX(DebtNames,HR100),IF(AND(HV100&lt;&gt;"",N(CHOOSE(HV100,FN100,FR100,FV100,FZ100,GD100,GH100,GL100,GP100))&gt;0.005),INDEX(DebtNames,HV100),""))))))))</f>
        <v/>
      </c>
      <c r="FH100">
        <f>N(HY100)</f>
        <v/>
      </c>
      <c r="FI100">
        <f>N(FP100)+N(FT100)+N(FX100)+N(GB100)+N(GF100)+N(GJ100)+N(GN100)+N(GR100)</f>
        <v/>
      </c>
      <c r="FJ100">
        <f>N(FO100)+N(FS100)+N(FW100)+N(GA100)+N(GE100)+N(GI100)+N(GM100)+N(GQ100)</f>
        <v/>
      </c>
      <c r="FK100">
        <f>N(FK99)+N(FJ100)</f>
        <v/>
      </c>
      <c r="FL100">
        <f>N(FQ100)+N(FU100)+N(FY100)+N(GC100)+N(GG100)+N(GK100)+N(GO100)+N(GS100)</f>
        <v/>
      </c>
      <c r="FM100">
        <f>(FQ100&gt;0.005)*1+(FU100&gt;0.005)*1+(FY100&gt;0.005)*1+(GC100&gt;0.005)*1+(GG100&gt;0.005)*1+(GK100&gt;0.005)*1+(GO100&gt;0.005)*1+(GS100&gt;0.005)*1</f>
        <v/>
      </c>
      <c r="FN100">
        <f>N(FQ99)</f>
        <v/>
      </c>
      <c r="FO100">
        <f>IF(N(FN100)&lt;=0.005,0,ROUND(N(FN100)*N('Debt List'!E5)/12,2))</f>
        <v/>
      </c>
      <c r="FP100">
        <f>IF(N(FN100)&lt;=0.005,0,MIN(N('Debt List'!F5),N(FN100)+N(FO100)))+((GT100=1)*GV100+(GX100=1)*GZ100+(HB100=1)*HD100+(HF100=1)*HH100+(HJ100=1)*HL100+(HN100=1)*HP100+(HR100=1)*HT100+(HV100=1)*HX100)</f>
        <v/>
      </c>
      <c r="FQ100">
        <f>MAX(0,ROUND(N(FN100)+N(FO100)-N(FP100),2))</f>
        <v/>
      </c>
      <c r="FR100">
        <f>N(FU99)</f>
        <v/>
      </c>
      <c r="FS100">
        <f>IF(N(FR100)&lt;=0.005,0,ROUND(N(FR100)*N('Debt List'!E6)/12,2))</f>
        <v/>
      </c>
      <c r="FT100">
        <f>IF(N(FR100)&lt;=0.005,0,MIN(N('Debt List'!F6),N(FR100)+N(FS100)))+((GT100=2)*GV100+(GX100=2)*GZ100+(HB100=2)*HD100+(HF100=2)*HH100+(HJ100=2)*HL100+(HN100=2)*HP100+(HR100=2)*HT100+(HV100=2)*HX100)</f>
        <v/>
      </c>
      <c r="FU100">
        <f>MAX(0,ROUND(N(FR100)+N(FS100)-N(FT100),2))</f>
        <v/>
      </c>
      <c r="FV100">
        <f>N(FY99)</f>
        <v/>
      </c>
      <c r="FW100">
        <f>IF(N(FV100)&lt;=0.005,0,ROUND(N(FV100)*N('Debt List'!E7)/12,2))</f>
        <v/>
      </c>
      <c r="FX100">
        <f>IF(N(FV100)&lt;=0.005,0,MIN(N('Debt List'!F7),N(FV100)+N(FW100)))+((GT100=3)*GV100+(GX100=3)*GZ100+(HB100=3)*HD100+(HF100=3)*HH100+(HJ100=3)*HL100+(HN100=3)*HP100+(HR100=3)*HT100+(HV100=3)*HX100)</f>
        <v/>
      </c>
      <c r="FY100">
        <f>MAX(0,ROUND(N(FV100)+N(FW100)-N(FX100),2))</f>
        <v/>
      </c>
      <c r="FZ100">
        <f>N(GC99)</f>
        <v/>
      </c>
      <c r="GA100">
        <f>IF(N(FZ100)&lt;=0.005,0,ROUND(N(FZ100)*N('Debt List'!E8)/12,2))</f>
        <v/>
      </c>
      <c r="GB100">
        <f>IF(N(FZ100)&lt;=0.005,0,MIN(N('Debt List'!F8),N(FZ100)+N(GA100)))+((GT100=4)*GV100+(GX100=4)*GZ100+(HB100=4)*HD100+(HF100=4)*HH100+(HJ100=4)*HL100+(HN100=4)*HP100+(HR100=4)*HT100+(HV100=4)*HX100)</f>
        <v/>
      </c>
      <c r="GC100">
        <f>MAX(0,ROUND(N(FZ100)+N(GA100)-N(GB100),2))</f>
        <v/>
      </c>
      <c r="GD100">
        <f>N(GG99)</f>
        <v/>
      </c>
      <c r="GE100">
        <f>IF(N(GD100)&lt;=0.005,0,ROUND(N(GD100)*N('Debt List'!E9)/12,2))</f>
        <v/>
      </c>
      <c r="GF100">
        <f>IF(N(GD100)&lt;=0.005,0,MIN(N('Debt List'!F9),N(GD100)+N(GE100)))+((GT100=5)*GV100+(GX100=5)*GZ100+(HB100=5)*HD100+(HF100=5)*HH100+(HJ100=5)*HL100+(HN100=5)*HP100+(HR100=5)*HT100+(HV100=5)*HX100)</f>
        <v/>
      </c>
      <c r="GG100">
        <f>MAX(0,ROUND(N(GD100)+N(GE100)-N(GF100),2))</f>
        <v/>
      </c>
      <c r="GH100">
        <f>N(GK99)</f>
        <v/>
      </c>
      <c r="GI100">
        <f>IF(N(GH100)&lt;=0.005,0,ROUND(N(GH100)*N('Debt List'!E10)/12,2))</f>
        <v/>
      </c>
      <c r="GJ100">
        <f>IF(N(GH100)&lt;=0.005,0,MIN(N('Debt List'!F10),N(GH100)+N(GI100)))+((GT100=6)*GV100+(GX100=6)*GZ100+(HB100=6)*HD100+(HF100=6)*HH100+(HJ100=6)*HL100+(HN100=6)*HP100+(HR100=6)*HT100+(HV100=6)*HX100)</f>
        <v/>
      </c>
      <c r="GK100">
        <f>MAX(0,ROUND(N(GH100)+N(GI100)-N(GJ100),2))</f>
        <v/>
      </c>
      <c r="GL100">
        <f>N(GO99)</f>
        <v/>
      </c>
      <c r="GM100">
        <f>IF(N(GL100)&lt;=0.005,0,ROUND(N(GL100)*N('Debt List'!E11)/12,2))</f>
        <v/>
      </c>
      <c r="GN100">
        <f>IF(N(GL100)&lt;=0.005,0,MIN(N('Debt List'!F11),N(GL100)+N(GM100)))+((GT100=7)*GV100+(GX100=7)*GZ100+(HB100=7)*HD100+(HF100=7)*HH100+(HJ100=7)*HL100+(HN100=7)*HP100+(HR100=7)*HT100+(HV100=7)*HX100)</f>
        <v/>
      </c>
      <c r="GO100">
        <f>MAX(0,ROUND(N(GL100)+N(GM100)-N(GN100),2))</f>
        <v/>
      </c>
      <c r="GP100">
        <f>N(GS99)</f>
        <v/>
      </c>
      <c r="GQ100">
        <f>IF(N(GP100)&lt;=0.005,0,ROUND(N(GP100)*N('Debt List'!E12)/12,2))</f>
        <v/>
      </c>
      <c r="GR100">
        <f>IF(N(GP100)&lt;=0.005,0,MIN(N('Debt List'!F12),N(GP100)+N(GQ100)))+((GT100=8)*GV100+(GX100=8)*GZ100+(HB100=8)*HD100+(HF100=8)*HH100+(HJ100=8)*HL100+(HN100=8)*HP100+(HR100=8)*HT100+(HV100=8)*HX100)</f>
        <v/>
      </c>
      <c r="GS100">
        <f>MAX(0,ROUND(N(GP100)+N(GQ100)-N(GR100),2))</f>
        <v/>
      </c>
      <c r="GT100">
        <f>IFERROR(MATCH(1,OrderAval,0),"")</f>
        <v/>
      </c>
      <c r="GU100">
        <f>IF(GT100="",0,IFERROR(IF(N(CHOOSE(GT100,FN100,FR100,FV100,FZ100,GD100,GH100,GL100,GP100))&lt;=0.005,0,MAX(0,N(CHOOSE(GT100,FN100,FR100,FV100,FZ100,GD100,GH100,GL100,GP100))+N(CHOOSE(GT100,FO100,FS100,FW100,GA100,GE100,GI100,GM100,GQ100))-MIN(N(CHOOSE(GT100,'Debt List'!$F$5,'Debt List'!$F$6,'Debt List'!$F$7,'Debt List'!$F$8,'Debt List'!$F$9,'Debt List'!$F$10,'Debt List'!$F$11,'Debt List'!$F$12)),N(CHOOSE(GT100,FN100,FR100,FV100,FZ100,GD100,GH100,GL100,GP100))+N(CHOOSE(GT100,FO100,FS100,FW100,GA100,GE100,GI100,GM100,GQ100))))),0))</f>
        <v/>
      </c>
      <c r="GV100">
        <f>MIN(N(GU100),MAX(0,N(ExtraPayment)))</f>
        <v/>
      </c>
      <c r="GW100">
        <f>MAX(0,N(ExtraPayment)-N(GV100))</f>
        <v/>
      </c>
      <c r="GX100">
        <f>IFERROR(MATCH(2,OrderAval,0),"")</f>
        <v/>
      </c>
      <c r="GY100">
        <f>IF(GX100="",0,IFERROR(IF(N(CHOOSE(GX100,FN100,FR100,FV100,FZ100,GD100,GH100,GL100,GP100))&lt;=0.005,0,MAX(0,N(CHOOSE(GX100,FN100,FR100,FV100,FZ100,GD100,GH100,GL100,GP100))+N(CHOOSE(GX100,FO100,FS100,FW100,GA100,GE100,GI100,GM100,GQ100))-MIN(N(CHOOSE(GX100,'Debt List'!$F$5,'Debt List'!$F$6,'Debt List'!$F$7,'Debt List'!$F$8,'Debt List'!$F$9,'Debt List'!$F$10,'Debt List'!$F$11,'Debt List'!$F$12)),N(CHOOSE(GX100,FN100,FR100,FV100,FZ100,GD100,GH100,GL100,GP100))+N(CHOOSE(GX100,FO100,FS100,FW100,GA100,GE100,GI100,GM100,GQ100))))),0))</f>
        <v/>
      </c>
      <c r="GZ100">
        <f>MIN(N(GY100),MAX(0,N(GW100)))</f>
        <v/>
      </c>
      <c r="HA100">
        <f>MAX(0,N(GW100)-N(GZ100))</f>
        <v/>
      </c>
      <c r="HB100">
        <f>IFERROR(MATCH(3,OrderAval,0),"")</f>
        <v/>
      </c>
      <c r="HC100">
        <f>IF(HB100="",0,IFERROR(IF(N(CHOOSE(HB100,FN100,FR100,FV100,FZ100,GD100,GH100,GL100,GP100))&lt;=0.005,0,MAX(0,N(CHOOSE(HB100,FN100,FR100,FV100,FZ100,GD100,GH100,GL100,GP100))+N(CHOOSE(HB100,FO100,FS100,FW100,GA100,GE100,GI100,GM100,GQ100))-MIN(N(CHOOSE(HB100,'Debt List'!$F$5,'Debt List'!$F$6,'Debt List'!$F$7,'Debt List'!$F$8,'Debt List'!$F$9,'Debt List'!$F$10,'Debt List'!$F$11,'Debt List'!$F$12)),N(CHOOSE(HB100,FN100,FR100,FV100,FZ100,GD100,GH100,GL100,GP100))+N(CHOOSE(HB100,FO100,FS100,FW100,GA100,GE100,GI100,GM100,GQ100))))),0))</f>
        <v/>
      </c>
      <c r="HD100">
        <f>MIN(N(HC100),MAX(0,N(HA100)))</f>
        <v/>
      </c>
      <c r="HE100">
        <f>MAX(0,N(HA100)-N(HD100))</f>
        <v/>
      </c>
      <c r="HF100">
        <f>IFERROR(MATCH(4,OrderAval,0),"")</f>
        <v/>
      </c>
      <c r="HG100">
        <f>IF(HF100="",0,IFERROR(IF(N(CHOOSE(HF100,FN100,FR100,FV100,FZ100,GD100,GH100,GL100,GP100))&lt;=0.005,0,MAX(0,N(CHOOSE(HF100,FN100,FR100,FV100,FZ100,GD100,GH100,GL100,GP100))+N(CHOOSE(HF100,FO100,FS100,FW100,GA100,GE100,GI100,GM100,GQ100))-MIN(N(CHOOSE(HF100,'Debt List'!$F$5,'Debt List'!$F$6,'Debt List'!$F$7,'Debt List'!$F$8,'Debt List'!$F$9,'Debt List'!$F$10,'Debt List'!$F$11,'Debt List'!$F$12)),N(CHOOSE(HF100,FN100,FR100,FV100,FZ100,GD100,GH100,GL100,GP100))+N(CHOOSE(HF100,FO100,FS100,FW100,GA100,GE100,GI100,GM100,GQ100))))),0))</f>
        <v/>
      </c>
      <c r="HH100">
        <f>MIN(N(HG100),MAX(0,N(HE100)))</f>
        <v/>
      </c>
      <c r="HI100">
        <f>MAX(0,N(HE100)-N(HH100))</f>
        <v/>
      </c>
      <c r="HJ100">
        <f>IFERROR(MATCH(5,OrderAval,0),"")</f>
        <v/>
      </c>
      <c r="HK100">
        <f>IF(HJ100="",0,IFERROR(IF(N(CHOOSE(HJ100,FN100,FR100,FV100,FZ100,GD100,GH100,GL100,GP100))&lt;=0.005,0,MAX(0,N(CHOOSE(HJ100,FN100,FR100,FV100,FZ100,GD100,GH100,GL100,GP100))+N(CHOOSE(HJ100,FO100,FS100,FW100,GA100,GE100,GI100,GM100,GQ100))-MIN(N(CHOOSE(HJ100,'Debt List'!$F$5,'Debt List'!$F$6,'Debt List'!$F$7,'Debt List'!$F$8,'Debt List'!$F$9,'Debt List'!$F$10,'Debt List'!$F$11,'Debt List'!$F$12)),N(CHOOSE(HJ100,FN100,FR100,FV100,FZ100,GD100,GH100,GL100,GP100))+N(CHOOSE(HJ100,FO100,FS100,FW100,GA100,GE100,GI100,GM100,GQ100))))),0))</f>
        <v/>
      </c>
      <c r="HL100">
        <f>MIN(N(HK100),MAX(0,N(HI100)))</f>
        <v/>
      </c>
      <c r="HM100">
        <f>MAX(0,N(HI100)-N(HL100))</f>
        <v/>
      </c>
      <c r="HN100">
        <f>IFERROR(MATCH(6,OrderAval,0),"")</f>
        <v/>
      </c>
      <c r="HO100">
        <f>IF(HN100="",0,IFERROR(IF(N(CHOOSE(HN100,FN100,FR100,FV100,FZ100,GD100,GH100,GL100,GP100))&lt;=0.005,0,MAX(0,N(CHOOSE(HN100,FN100,FR100,FV100,FZ100,GD100,GH100,GL100,GP100))+N(CHOOSE(HN100,FO100,FS100,FW100,GA100,GE100,GI100,GM100,GQ100))-MIN(N(CHOOSE(HN100,'Debt List'!$F$5,'Debt List'!$F$6,'Debt List'!$F$7,'Debt List'!$F$8,'Debt List'!$F$9,'Debt List'!$F$10,'Debt List'!$F$11,'Debt List'!$F$12)),N(CHOOSE(HN100,FN100,FR100,FV100,FZ100,GD100,GH100,GL100,GP100))+N(CHOOSE(HN100,FO100,FS100,FW100,GA100,GE100,GI100,GM100,GQ100))))),0))</f>
        <v/>
      </c>
      <c r="HP100">
        <f>MIN(N(HO100),MAX(0,N(HM100)))</f>
        <v/>
      </c>
      <c r="HQ100">
        <f>MAX(0,N(HM100)-N(HP100))</f>
        <v/>
      </c>
      <c r="HR100">
        <f>IFERROR(MATCH(7,OrderAval,0),"")</f>
        <v/>
      </c>
      <c r="HS100">
        <f>IF(HR100="",0,IFERROR(IF(N(CHOOSE(HR100,FN100,FR100,FV100,FZ100,GD100,GH100,GL100,GP100))&lt;=0.005,0,MAX(0,N(CHOOSE(HR100,FN100,FR100,FV100,FZ100,GD100,GH100,GL100,GP100))+N(CHOOSE(HR100,FO100,FS100,FW100,GA100,GE100,GI100,GM100,GQ100))-MIN(N(CHOOSE(HR100,'Debt List'!$F$5,'Debt List'!$F$6,'Debt List'!$F$7,'Debt List'!$F$8,'Debt List'!$F$9,'Debt List'!$F$10,'Debt List'!$F$11,'Debt List'!$F$12)),N(CHOOSE(HR100,FN100,FR100,FV100,FZ100,GD100,GH100,GL100,GP100))+N(CHOOSE(HR100,FO100,FS100,FW100,GA100,GE100,GI100,GM100,GQ100))))),0))</f>
        <v/>
      </c>
      <c r="HT100">
        <f>MIN(N(HS100),MAX(0,N(HQ100)))</f>
        <v/>
      </c>
      <c r="HU100">
        <f>MAX(0,N(HQ100)-N(HT100))</f>
        <v/>
      </c>
      <c r="HV100">
        <f>IFERROR(MATCH(8,OrderAval,0),"")</f>
        <v/>
      </c>
      <c r="HW100">
        <f>IF(HV100="",0,IFERROR(IF(N(CHOOSE(HV100,FN100,FR100,FV100,FZ100,GD100,GH100,GL100,GP100))&lt;=0.005,0,MAX(0,N(CHOOSE(HV100,FN100,FR100,FV100,FZ100,GD100,GH100,GL100,GP100))+N(CHOOSE(HV100,FO100,FS100,FW100,GA100,GE100,GI100,GM100,GQ100))-MIN(N(CHOOSE(HV100,'Debt List'!$F$5,'Debt List'!$F$6,'Debt List'!$F$7,'Debt List'!$F$8,'Debt List'!$F$9,'Debt List'!$F$10,'Debt List'!$F$11,'Debt List'!$F$12)),N(CHOOSE(HV100,FN100,FR100,FV100,FZ100,GD100,GH100,GL100,GP100))+N(CHOOSE(HV100,FO100,FS100,FW100,GA100,GE100,GI100,GM100,GQ100))))),0))</f>
        <v/>
      </c>
      <c r="HX100">
        <f>MIN(N(HW100),MAX(0,N(HU100)))</f>
        <v/>
      </c>
      <c r="HY100">
        <f>MAX(0,N(HU100)-N(HX100))</f>
        <v/>
      </c>
    </row>
    <row r="101">
      <c r="A101" t="n">
        <v>97</v>
      </c>
      <c r="B101" s="115">
        <f>DATE(YEAR(PlanStart),MONTH(PlanStart)+A101-1,1)</f>
        <v/>
      </c>
      <c r="C101">
        <f>IF(AND(AP101&lt;&gt;"",N(CHOOSE(AP101,J101,N101,R101,V101,Z101,AD101,AH101,AL101))&gt;0.005),INDEX(DebtNames,AP101),IF(AND(AT101&lt;&gt;"",N(CHOOSE(AT101,J101,N101,R101,V101,Z101,AD101,AH101,AL101))&gt;0.005),INDEX(DebtNames,AT101),IF(AND(AX101&lt;&gt;"",N(CHOOSE(AX101,J101,N101,R101,V101,Z101,AD101,AH101,AL101))&gt;0.005),INDEX(DebtNames,AX101),IF(AND(BB101&lt;&gt;"",N(CHOOSE(BB101,J101,N101,R101,V101,Z101,AD101,AH101,AL101))&gt;0.005),INDEX(DebtNames,BB101),IF(AND(BF101&lt;&gt;"",N(CHOOSE(BF101,J101,N101,R101,V101,Z101,AD101,AH101,AL101))&gt;0.005),INDEX(DebtNames,BF101),IF(AND(BJ101&lt;&gt;"",N(CHOOSE(BJ101,J101,N101,R101,V101,Z101,AD101,AH101,AL101))&gt;0.005),INDEX(DebtNames,BJ101),IF(AND(BN101&lt;&gt;"",N(CHOOSE(BN101,J101,N101,R101,V101,Z101,AD101,AH101,AL101))&gt;0.005),INDEX(DebtNames,BN101),IF(AND(BR101&lt;&gt;"",N(CHOOSE(BR101,J101,N101,R101,V101,Z101,AD101,AH101,AL101))&gt;0.005),INDEX(DebtNames,BR101),""))))))))</f>
        <v/>
      </c>
      <c r="D101">
        <f>N(BU101)</f>
        <v/>
      </c>
      <c r="E101">
        <f>N(L101)+N(P101)+N(T101)+N(X101)+N(AB101)+N(AF101)+N(AJ101)+N(AN101)</f>
        <v/>
      </c>
      <c r="F101">
        <f>N(K101)+N(O101)+N(S101)+N(W101)+N(AA101)+N(AE101)+N(AI101)+N(AM101)</f>
        <v/>
      </c>
      <c r="G101">
        <f>N(G100)+N(F101)</f>
        <v/>
      </c>
      <c r="H101">
        <f>N(M101)+N(Q101)+N(U101)+N(Y101)+N(AC101)+N(AG101)+N(AK101)+N(AO101)</f>
        <v/>
      </c>
      <c r="I101">
        <f>(M101&gt;0.005)*1+(Q101&gt;0.005)*1+(U101&gt;0.005)*1+(Y101&gt;0.005)*1+(AC101&gt;0.005)*1+(AG101&gt;0.005)*1+(AK101&gt;0.005)*1+(AO101&gt;0.005)*1</f>
        <v/>
      </c>
      <c r="J101">
        <f>N(M100)</f>
        <v/>
      </c>
      <c r="K101">
        <f>IF(N(J101)&lt;=0.005,0,ROUND(N(J101)*N('Debt List'!E5)/12,2))</f>
        <v/>
      </c>
      <c r="L101">
        <f>IF(N(J101)&lt;=0.005,0,MIN(N('Debt List'!F5),N(J101)+N(K101)))+((AP101=1)*AR101+(AT101=1)*AV101+(AX101=1)*AZ101+(BB101=1)*BD101+(BF101=1)*BH101+(BJ101=1)*BL101+(BN101=1)*BP101+(BR101=1)*BT101)</f>
        <v/>
      </c>
      <c r="M101">
        <f>MAX(0,ROUND(N(J101)+N(K101)-N(L101),2))</f>
        <v/>
      </c>
      <c r="N101">
        <f>N(Q100)</f>
        <v/>
      </c>
      <c r="O101">
        <f>IF(N(N101)&lt;=0.005,0,ROUND(N(N101)*N('Debt List'!E6)/12,2))</f>
        <v/>
      </c>
      <c r="P101">
        <f>IF(N(N101)&lt;=0.005,0,MIN(N('Debt List'!F6),N(N101)+N(O101)))+((AP101=2)*AR101+(AT101=2)*AV101+(AX101=2)*AZ101+(BB101=2)*BD101+(BF101=2)*BH101+(BJ101=2)*BL101+(BN101=2)*BP101+(BR101=2)*BT101)</f>
        <v/>
      </c>
      <c r="Q101">
        <f>MAX(0,ROUND(N(N101)+N(O101)-N(P101),2))</f>
        <v/>
      </c>
      <c r="R101">
        <f>N(U100)</f>
        <v/>
      </c>
      <c r="S101">
        <f>IF(N(R101)&lt;=0.005,0,ROUND(N(R101)*N('Debt List'!E7)/12,2))</f>
        <v/>
      </c>
      <c r="T101">
        <f>IF(N(R101)&lt;=0.005,0,MIN(N('Debt List'!F7),N(R101)+N(S101)))+((AP101=3)*AR101+(AT101=3)*AV101+(AX101=3)*AZ101+(BB101=3)*BD101+(BF101=3)*BH101+(BJ101=3)*BL101+(BN101=3)*BP101+(BR101=3)*BT101)</f>
        <v/>
      </c>
      <c r="U101">
        <f>MAX(0,ROUND(N(R101)+N(S101)-N(T101),2))</f>
        <v/>
      </c>
      <c r="V101">
        <f>N(Y100)</f>
        <v/>
      </c>
      <c r="W101">
        <f>IF(N(V101)&lt;=0.005,0,ROUND(N(V101)*N('Debt List'!E8)/12,2))</f>
        <v/>
      </c>
      <c r="X101">
        <f>IF(N(V101)&lt;=0.005,0,MIN(N('Debt List'!F8),N(V101)+N(W101)))+((AP101=4)*AR101+(AT101=4)*AV101+(AX101=4)*AZ101+(BB101=4)*BD101+(BF101=4)*BH101+(BJ101=4)*BL101+(BN101=4)*BP101+(BR101=4)*BT101)</f>
        <v/>
      </c>
      <c r="Y101">
        <f>MAX(0,ROUND(N(V101)+N(W101)-N(X101),2))</f>
        <v/>
      </c>
      <c r="Z101">
        <f>N(AC100)</f>
        <v/>
      </c>
      <c r="AA101">
        <f>IF(N(Z101)&lt;=0.005,0,ROUND(N(Z101)*N('Debt List'!E9)/12,2))</f>
        <v/>
      </c>
      <c r="AB101">
        <f>IF(N(Z101)&lt;=0.005,0,MIN(N('Debt List'!F9),N(Z101)+N(AA101)))+((AP101=5)*AR101+(AT101=5)*AV101+(AX101=5)*AZ101+(BB101=5)*BD101+(BF101=5)*BH101+(BJ101=5)*BL101+(BN101=5)*BP101+(BR101=5)*BT101)</f>
        <v/>
      </c>
      <c r="AC101">
        <f>MAX(0,ROUND(N(Z101)+N(AA101)-N(AB101),2))</f>
        <v/>
      </c>
      <c r="AD101">
        <f>N(AG100)</f>
        <v/>
      </c>
      <c r="AE101">
        <f>IF(N(AD101)&lt;=0.005,0,ROUND(N(AD101)*N('Debt List'!E10)/12,2))</f>
        <v/>
      </c>
      <c r="AF101">
        <f>IF(N(AD101)&lt;=0.005,0,MIN(N('Debt List'!F10),N(AD101)+N(AE101)))+((AP101=6)*AR101+(AT101=6)*AV101+(AX101=6)*AZ101+(BB101=6)*BD101+(BF101=6)*BH101+(BJ101=6)*BL101+(BN101=6)*BP101+(BR101=6)*BT101)</f>
        <v/>
      </c>
      <c r="AG101">
        <f>MAX(0,ROUND(N(AD101)+N(AE101)-N(AF101),2))</f>
        <v/>
      </c>
      <c r="AH101">
        <f>N(AK100)</f>
        <v/>
      </c>
      <c r="AI101">
        <f>IF(N(AH101)&lt;=0.005,0,ROUND(N(AH101)*N('Debt List'!E11)/12,2))</f>
        <v/>
      </c>
      <c r="AJ101">
        <f>IF(N(AH101)&lt;=0.005,0,MIN(N('Debt List'!F11),N(AH101)+N(AI101)))+((AP101=7)*AR101+(AT101=7)*AV101+(AX101=7)*AZ101+(BB101=7)*BD101+(BF101=7)*BH101+(BJ101=7)*BL101+(BN101=7)*BP101+(BR101=7)*BT101)</f>
        <v/>
      </c>
      <c r="AK101">
        <f>MAX(0,ROUND(N(AH101)+N(AI101)-N(AJ101),2))</f>
        <v/>
      </c>
      <c r="AL101">
        <f>N(AO100)</f>
        <v/>
      </c>
      <c r="AM101">
        <f>IF(N(AL101)&lt;=0.005,0,ROUND(N(AL101)*N('Debt List'!E12)/12,2))</f>
        <v/>
      </c>
      <c r="AN101">
        <f>IF(N(AL101)&lt;=0.005,0,MIN(N('Debt List'!F12),N(AL101)+N(AM101)))+((AP101=8)*AR101+(AT101=8)*AV101+(AX101=8)*AZ101+(BB101=8)*BD101+(BF101=8)*BH101+(BJ101=8)*BL101+(BN101=8)*BP101+(BR101=8)*BT101)</f>
        <v/>
      </c>
      <c r="AO101">
        <f>MAX(0,ROUND(N(AL101)+N(AM101)-N(AN101),2))</f>
        <v/>
      </c>
      <c r="AP101">
        <f>IFERROR(MATCH(1,OrderPlan,0),"")</f>
        <v/>
      </c>
      <c r="AQ101">
        <f>IF(AP101="",0,IFERROR(IF(N(CHOOSE(AP101,J101,N101,R101,V101,Z101,AD101,AH101,AL101))&lt;=0.005,0,MAX(0,N(CHOOSE(AP101,J101,N101,R101,V101,Z101,AD101,AH101,AL101))+N(CHOOSE(AP101,K101,O101,S101,W101,AA101,AE101,AI101,AM101))-MIN(N(CHOOSE(AP101,'Debt List'!$F$5,'Debt List'!$F$6,'Debt List'!$F$7,'Debt List'!$F$8,'Debt List'!$F$9,'Debt List'!$F$10,'Debt List'!$F$11,'Debt List'!$F$12)),N(CHOOSE(AP101,J101,N101,R101,V101,Z101,AD101,AH101,AL101))+N(CHOOSE(AP101,K101,O101,S101,W101,AA101,AE101,AI101,AM101))))),0))</f>
        <v/>
      </c>
      <c r="AR101">
        <f>MIN(N(AQ101),MAX(0,N(ExtraPayment)))</f>
        <v/>
      </c>
      <c r="AS101">
        <f>MAX(0,N(ExtraPayment)-N(AR101))</f>
        <v/>
      </c>
      <c r="AT101">
        <f>IFERROR(MATCH(2,OrderPlan,0),"")</f>
        <v/>
      </c>
      <c r="AU101">
        <f>IF(AT101="",0,IFERROR(IF(N(CHOOSE(AT101,J101,N101,R101,V101,Z101,AD101,AH101,AL101))&lt;=0.005,0,MAX(0,N(CHOOSE(AT101,J101,N101,R101,V101,Z101,AD101,AH101,AL101))+N(CHOOSE(AT101,K101,O101,S101,W101,AA101,AE101,AI101,AM101))-MIN(N(CHOOSE(AT101,'Debt List'!$F$5,'Debt List'!$F$6,'Debt List'!$F$7,'Debt List'!$F$8,'Debt List'!$F$9,'Debt List'!$F$10,'Debt List'!$F$11,'Debt List'!$F$12)),N(CHOOSE(AT101,J101,N101,R101,V101,Z101,AD101,AH101,AL101))+N(CHOOSE(AT101,K101,O101,S101,W101,AA101,AE101,AI101,AM101))))),0))</f>
        <v/>
      </c>
      <c r="AV101">
        <f>MIN(N(AU101),MAX(0,N(AS101)))</f>
        <v/>
      </c>
      <c r="AW101">
        <f>MAX(0,N(AS101)-N(AV101))</f>
        <v/>
      </c>
      <c r="AX101">
        <f>IFERROR(MATCH(3,OrderPlan,0),"")</f>
        <v/>
      </c>
      <c r="AY101">
        <f>IF(AX101="",0,IFERROR(IF(N(CHOOSE(AX101,J101,N101,R101,V101,Z101,AD101,AH101,AL101))&lt;=0.005,0,MAX(0,N(CHOOSE(AX101,J101,N101,R101,V101,Z101,AD101,AH101,AL101))+N(CHOOSE(AX101,K101,O101,S101,W101,AA101,AE101,AI101,AM101))-MIN(N(CHOOSE(AX101,'Debt List'!$F$5,'Debt List'!$F$6,'Debt List'!$F$7,'Debt List'!$F$8,'Debt List'!$F$9,'Debt List'!$F$10,'Debt List'!$F$11,'Debt List'!$F$12)),N(CHOOSE(AX101,J101,N101,R101,V101,Z101,AD101,AH101,AL101))+N(CHOOSE(AX101,K101,O101,S101,W101,AA101,AE101,AI101,AM101))))),0))</f>
        <v/>
      </c>
      <c r="AZ101">
        <f>MIN(N(AY101),MAX(0,N(AW101)))</f>
        <v/>
      </c>
      <c r="BA101">
        <f>MAX(0,N(AW101)-N(AZ101))</f>
        <v/>
      </c>
      <c r="BB101">
        <f>IFERROR(MATCH(4,OrderPlan,0),"")</f>
        <v/>
      </c>
      <c r="BC101">
        <f>IF(BB101="",0,IFERROR(IF(N(CHOOSE(BB101,J101,N101,R101,V101,Z101,AD101,AH101,AL101))&lt;=0.005,0,MAX(0,N(CHOOSE(BB101,J101,N101,R101,V101,Z101,AD101,AH101,AL101))+N(CHOOSE(BB101,K101,O101,S101,W101,AA101,AE101,AI101,AM101))-MIN(N(CHOOSE(BB101,'Debt List'!$F$5,'Debt List'!$F$6,'Debt List'!$F$7,'Debt List'!$F$8,'Debt List'!$F$9,'Debt List'!$F$10,'Debt List'!$F$11,'Debt List'!$F$12)),N(CHOOSE(BB101,J101,N101,R101,V101,Z101,AD101,AH101,AL101))+N(CHOOSE(BB101,K101,O101,S101,W101,AA101,AE101,AI101,AM101))))),0))</f>
        <v/>
      </c>
      <c r="BD101">
        <f>MIN(N(BC101),MAX(0,N(BA101)))</f>
        <v/>
      </c>
      <c r="BE101">
        <f>MAX(0,N(BA101)-N(BD101))</f>
        <v/>
      </c>
      <c r="BF101">
        <f>IFERROR(MATCH(5,OrderPlan,0),"")</f>
        <v/>
      </c>
      <c r="BG101">
        <f>IF(BF101="",0,IFERROR(IF(N(CHOOSE(BF101,J101,N101,R101,V101,Z101,AD101,AH101,AL101))&lt;=0.005,0,MAX(0,N(CHOOSE(BF101,J101,N101,R101,V101,Z101,AD101,AH101,AL101))+N(CHOOSE(BF101,K101,O101,S101,W101,AA101,AE101,AI101,AM101))-MIN(N(CHOOSE(BF101,'Debt List'!$F$5,'Debt List'!$F$6,'Debt List'!$F$7,'Debt List'!$F$8,'Debt List'!$F$9,'Debt List'!$F$10,'Debt List'!$F$11,'Debt List'!$F$12)),N(CHOOSE(BF101,J101,N101,R101,V101,Z101,AD101,AH101,AL101))+N(CHOOSE(BF101,K101,O101,S101,W101,AA101,AE101,AI101,AM101))))),0))</f>
        <v/>
      </c>
      <c r="BH101">
        <f>MIN(N(BG101),MAX(0,N(BE101)))</f>
        <v/>
      </c>
      <c r="BI101">
        <f>MAX(0,N(BE101)-N(BH101))</f>
        <v/>
      </c>
      <c r="BJ101">
        <f>IFERROR(MATCH(6,OrderPlan,0),"")</f>
        <v/>
      </c>
      <c r="BK101">
        <f>IF(BJ101="",0,IFERROR(IF(N(CHOOSE(BJ101,J101,N101,R101,V101,Z101,AD101,AH101,AL101))&lt;=0.005,0,MAX(0,N(CHOOSE(BJ101,J101,N101,R101,V101,Z101,AD101,AH101,AL101))+N(CHOOSE(BJ101,K101,O101,S101,W101,AA101,AE101,AI101,AM101))-MIN(N(CHOOSE(BJ101,'Debt List'!$F$5,'Debt List'!$F$6,'Debt List'!$F$7,'Debt List'!$F$8,'Debt List'!$F$9,'Debt List'!$F$10,'Debt List'!$F$11,'Debt List'!$F$12)),N(CHOOSE(BJ101,J101,N101,R101,V101,Z101,AD101,AH101,AL101))+N(CHOOSE(BJ101,K101,O101,S101,W101,AA101,AE101,AI101,AM101))))),0))</f>
        <v/>
      </c>
      <c r="BL101">
        <f>MIN(N(BK101),MAX(0,N(BI101)))</f>
        <v/>
      </c>
      <c r="BM101">
        <f>MAX(0,N(BI101)-N(BL101))</f>
        <v/>
      </c>
      <c r="BN101">
        <f>IFERROR(MATCH(7,OrderPlan,0),"")</f>
        <v/>
      </c>
      <c r="BO101">
        <f>IF(BN101="",0,IFERROR(IF(N(CHOOSE(BN101,J101,N101,R101,V101,Z101,AD101,AH101,AL101))&lt;=0.005,0,MAX(0,N(CHOOSE(BN101,J101,N101,R101,V101,Z101,AD101,AH101,AL101))+N(CHOOSE(BN101,K101,O101,S101,W101,AA101,AE101,AI101,AM101))-MIN(N(CHOOSE(BN101,'Debt List'!$F$5,'Debt List'!$F$6,'Debt List'!$F$7,'Debt List'!$F$8,'Debt List'!$F$9,'Debt List'!$F$10,'Debt List'!$F$11,'Debt List'!$F$12)),N(CHOOSE(BN101,J101,N101,R101,V101,Z101,AD101,AH101,AL101))+N(CHOOSE(BN101,K101,O101,S101,W101,AA101,AE101,AI101,AM101))))),0))</f>
        <v/>
      </c>
      <c r="BP101">
        <f>MIN(N(BO101),MAX(0,N(BM101)))</f>
        <v/>
      </c>
      <c r="BQ101">
        <f>MAX(0,N(BM101)-N(BP101))</f>
        <v/>
      </c>
      <c r="BR101">
        <f>IFERROR(MATCH(8,OrderPlan,0),"")</f>
        <v/>
      </c>
      <c r="BS101">
        <f>IF(BR101="",0,IFERROR(IF(N(CHOOSE(BR101,J101,N101,R101,V101,Z101,AD101,AH101,AL101))&lt;=0.005,0,MAX(0,N(CHOOSE(BR101,J101,N101,R101,V101,Z101,AD101,AH101,AL101))+N(CHOOSE(BR101,K101,O101,S101,W101,AA101,AE101,AI101,AM101))-MIN(N(CHOOSE(BR101,'Debt List'!$F$5,'Debt List'!$F$6,'Debt List'!$F$7,'Debt List'!$F$8,'Debt List'!$F$9,'Debt List'!$F$10,'Debt List'!$F$11,'Debt List'!$F$12)),N(CHOOSE(BR101,J101,N101,R101,V101,Z101,AD101,AH101,AL101))+N(CHOOSE(BR101,K101,O101,S101,W101,AA101,AE101,AI101,AM101))))),0))</f>
        <v/>
      </c>
      <c r="BT101">
        <f>MIN(N(BS101),MAX(0,N(BQ101)))</f>
        <v/>
      </c>
      <c r="BU101">
        <f>MAX(0,N(BQ101)-N(BT101))</f>
        <v/>
      </c>
      <c r="CC101" t="n">
        <v>97</v>
      </c>
      <c r="CD101" s="115">
        <f>DATE(YEAR(PlanStart),MONTH(PlanStart)+CC101-1,1)</f>
        <v/>
      </c>
      <c r="CE101">
        <f>IF(AND(DR101&lt;&gt;"",N(CHOOSE(DR101,CL101,CP101,CT101,CX101,DB101,DF101,DJ101,DN101))&gt;0.005),INDEX(DebtNames,DR101),IF(AND(DV101&lt;&gt;"",N(CHOOSE(DV101,CL101,CP101,CT101,CX101,DB101,DF101,DJ101,DN101))&gt;0.005),INDEX(DebtNames,DV101),IF(AND(DZ101&lt;&gt;"",N(CHOOSE(DZ101,CL101,CP101,CT101,CX101,DB101,DF101,DJ101,DN101))&gt;0.005),INDEX(DebtNames,DZ101),IF(AND(ED101&lt;&gt;"",N(CHOOSE(ED101,CL101,CP101,CT101,CX101,DB101,DF101,DJ101,DN101))&gt;0.005),INDEX(DebtNames,ED101),IF(AND(EH101&lt;&gt;"",N(CHOOSE(EH101,CL101,CP101,CT101,CX101,DB101,DF101,DJ101,DN101))&gt;0.005),INDEX(DebtNames,EH101),IF(AND(EL101&lt;&gt;"",N(CHOOSE(EL101,CL101,CP101,CT101,CX101,DB101,DF101,DJ101,DN101))&gt;0.005),INDEX(DebtNames,EL101),IF(AND(EP101&lt;&gt;"",N(CHOOSE(EP101,CL101,CP101,CT101,CX101,DB101,DF101,DJ101,DN101))&gt;0.005),INDEX(DebtNames,EP101),IF(AND(ET101&lt;&gt;"",N(CHOOSE(ET101,CL101,CP101,CT101,CX101,DB101,DF101,DJ101,DN101))&gt;0.005),INDEX(DebtNames,ET101),""))))))))</f>
        <v/>
      </c>
      <c r="CF101">
        <f>N(EW101)</f>
        <v/>
      </c>
      <c r="CG101">
        <f>N(CN101)+N(CR101)+N(CV101)+N(CZ101)+N(DD101)+N(DH101)+N(DL101)+N(DP101)</f>
        <v/>
      </c>
      <c r="CH101">
        <f>N(CM101)+N(CQ101)+N(CU101)+N(CY101)+N(DC101)+N(DG101)+N(DK101)+N(DO101)</f>
        <v/>
      </c>
      <c r="CI101">
        <f>N(CI100)+N(CH101)</f>
        <v/>
      </c>
      <c r="CJ101">
        <f>N(CO101)+N(CS101)+N(CW101)+N(DA101)+N(DE101)+N(DI101)+N(DM101)+N(DQ101)</f>
        <v/>
      </c>
      <c r="CK101">
        <f>(CO101&gt;0.005)*1+(CS101&gt;0.005)*1+(CW101&gt;0.005)*1+(DA101&gt;0.005)*1+(DE101&gt;0.005)*1+(DI101&gt;0.005)*1+(DM101&gt;0.005)*1+(DQ101&gt;0.005)*1</f>
        <v/>
      </c>
      <c r="CL101">
        <f>N(CO100)</f>
        <v/>
      </c>
      <c r="CM101">
        <f>IF(N(CL101)&lt;=0.005,0,ROUND(N(CL101)*N('Debt List'!E5)/12,2))</f>
        <v/>
      </c>
      <c r="CN101">
        <f>IF(N(CL101)&lt;=0.005,0,MIN(N('Debt List'!F5),N(CL101)+N(CM101)))+((DR101=1)*DT101+(DV101=1)*DX101+(DZ101=1)*EB101+(ED101=1)*EF101+(EH101=1)*EJ101+(EL101=1)*EN101+(EP101=1)*ER101+(ET101=1)*EV101)</f>
        <v/>
      </c>
      <c r="CO101">
        <f>MAX(0,ROUND(N(CL101)+N(CM101)-N(CN101),2))</f>
        <v/>
      </c>
      <c r="CP101">
        <f>N(CS100)</f>
        <v/>
      </c>
      <c r="CQ101">
        <f>IF(N(CP101)&lt;=0.005,0,ROUND(N(CP101)*N('Debt List'!E6)/12,2))</f>
        <v/>
      </c>
      <c r="CR101">
        <f>IF(N(CP101)&lt;=0.005,0,MIN(N('Debt List'!F6),N(CP101)+N(CQ101)))+((DR101=2)*DT101+(DV101=2)*DX101+(DZ101=2)*EB101+(ED101=2)*EF101+(EH101=2)*EJ101+(EL101=2)*EN101+(EP101=2)*ER101+(ET101=2)*EV101)</f>
        <v/>
      </c>
      <c r="CS101">
        <f>MAX(0,ROUND(N(CP101)+N(CQ101)-N(CR101),2))</f>
        <v/>
      </c>
      <c r="CT101">
        <f>N(CW100)</f>
        <v/>
      </c>
      <c r="CU101">
        <f>IF(N(CT101)&lt;=0.005,0,ROUND(N(CT101)*N('Debt List'!E7)/12,2))</f>
        <v/>
      </c>
      <c r="CV101">
        <f>IF(N(CT101)&lt;=0.005,0,MIN(N('Debt List'!F7),N(CT101)+N(CU101)))+((DR101=3)*DT101+(DV101=3)*DX101+(DZ101=3)*EB101+(ED101=3)*EF101+(EH101=3)*EJ101+(EL101=3)*EN101+(EP101=3)*ER101+(ET101=3)*EV101)</f>
        <v/>
      </c>
      <c r="CW101">
        <f>MAX(0,ROUND(N(CT101)+N(CU101)-N(CV101),2))</f>
        <v/>
      </c>
      <c r="CX101">
        <f>N(DA100)</f>
        <v/>
      </c>
      <c r="CY101">
        <f>IF(N(CX101)&lt;=0.005,0,ROUND(N(CX101)*N('Debt List'!E8)/12,2))</f>
        <v/>
      </c>
      <c r="CZ101">
        <f>IF(N(CX101)&lt;=0.005,0,MIN(N('Debt List'!F8),N(CX101)+N(CY101)))+((DR101=4)*DT101+(DV101=4)*DX101+(DZ101=4)*EB101+(ED101=4)*EF101+(EH101=4)*EJ101+(EL101=4)*EN101+(EP101=4)*ER101+(ET101=4)*EV101)</f>
        <v/>
      </c>
      <c r="DA101">
        <f>MAX(0,ROUND(N(CX101)+N(CY101)-N(CZ101),2))</f>
        <v/>
      </c>
      <c r="DB101">
        <f>N(DE100)</f>
        <v/>
      </c>
      <c r="DC101">
        <f>IF(N(DB101)&lt;=0.005,0,ROUND(N(DB101)*N('Debt List'!E9)/12,2))</f>
        <v/>
      </c>
      <c r="DD101">
        <f>IF(N(DB101)&lt;=0.005,0,MIN(N('Debt List'!F9),N(DB101)+N(DC101)))+((DR101=5)*DT101+(DV101=5)*DX101+(DZ101=5)*EB101+(ED101=5)*EF101+(EH101=5)*EJ101+(EL101=5)*EN101+(EP101=5)*ER101+(ET101=5)*EV101)</f>
        <v/>
      </c>
      <c r="DE101">
        <f>MAX(0,ROUND(N(DB101)+N(DC101)-N(DD101),2))</f>
        <v/>
      </c>
      <c r="DF101">
        <f>N(DI100)</f>
        <v/>
      </c>
      <c r="DG101">
        <f>IF(N(DF101)&lt;=0.005,0,ROUND(N(DF101)*N('Debt List'!E10)/12,2))</f>
        <v/>
      </c>
      <c r="DH101">
        <f>IF(N(DF101)&lt;=0.005,0,MIN(N('Debt List'!F10),N(DF101)+N(DG101)))+((DR101=6)*DT101+(DV101=6)*DX101+(DZ101=6)*EB101+(ED101=6)*EF101+(EH101=6)*EJ101+(EL101=6)*EN101+(EP101=6)*ER101+(ET101=6)*EV101)</f>
        <v/>
      </c>
      <c r="DI101">
        <f>MAX(0,ROUND(N(DF101)+N(DG101)-N(DH101),2))</f>
        <v/>
      </c>
      <c r="DJ101">
        <f>N(DM100)</f>
        <v/>
      </c>
      <c r="DK101">
        <f>IF(N(DJ101)&lt;=0.005,0,ROUND(N(DJ101)*N('Debt List'!E11)/12,2))</f>
        <v/>
      </c>
      <c r="DL101">
        <f>IF(N(DJ101)&lt;=0.005,0,MIN(N('Debt List'!F11),N(DJ101)+N(DK101)))+((DR101=7)*DT101+(DV101=7)*DX101+(DZ101=7)*EB101+(ED101=7)*EF101+(EH101=7)*EJ101+(EL101=7)*EN101+(EP101=7)*ER101+(ET101=7)*EV101)</f>
        <v/>
      </c>
      <c r="DM101">
        <f>MAX(0,ROUND(N(DJ101)+N(DK101)-N(DL101),2))</f>
        <v/>
      </c>
      <c r="DN101">
        <f>N(DQ100)</f>
        <v/>
      </c>
      <c r="DO101">
        <f>IF(N(DN101)&lt;=0.005,0,ROUND(N(DN101)*N('Debt List'!E12)/12,2))</f>
        <v/>
      </c>
      <c r="DP101">
        <f>IF(N(DN101)&lt;=0.005,0,MIN(N('Debt List'!F12),N(DN101)+N(DO101)))+((DR101=8)*DT101+(DV101=8)*DX101+(DZ101=8)*EB101+(ED101=8)*EF101+(EH101=8)*EJ101+(EL101=8)*EN101+(EP101=8)*ER101+(ET101=8)*EV101)</f>
        <v/>
      </c>
      <c r="DQ101">
        <f>MAX(0,ROUND(N(DN101)+N(DO101)-N(DP101),2))</f>
        <v/>
      </c>
      <c r="DR101">
        <f>IFERROR(MATCH(1,OrderSnow,0),"")</f>
        <v/>
      </c>
      <c r="DS101">
        <f>IF(DR101="",0,IFERROR(IF(N(CHOOSE(DR101,CL101,CP101,CT101,CX101,DB101,DF101,DJ101,DN101))&lt;=0.005,0,MAX(0,N(CHOOSE(DR101,CL101,CP101,CT101,CX101,DB101,DF101,DJ101,DN101))+N(CHOOSE(DR101,CM101,CQ101,CU101,CY101,DC101,DG101,DK101,DO101))-MIN(N(CHOOSE(DR101,'Debt List'!$F$5,'Debt List'!$F$6,'Debt List'!$F$7,'Debt List'!$F$8,'Debt List'!$F$9,'Debt List'!$F$10,'Debt List'!$F$11,'Debt List'!$F$12)),N(CHOOSE(DR101,CL101,CP101,CT101,CX101,DB101,DF101,DJ101,DN101))+N(CHOOSE(DR101,CM101,CQ101,CU101,CY101,DC101,DG101,DK101,DO101))))),0))</f>
        <v/>
      </c>
      <c r="DT101">
        <f>MIN(N(DS101),MAX(0,N(ExtraPayment)))</f>
        <v/>
      </c>
      <c r="DU101">
        <f>MAX(0,N(ExtraPayment)-N(DT101))</f>
        <v/>
      </c>
      <c r="DV101">
        <f>IFERROR(MATCH(2,OrderSnow,0),"")</f>
        <v/>
      </c>
      <c r="DW101">
        <f>IF(DV101="",0,IFERROR(IF(N(CHOOSE(DV101,CL101,CP101,CT101,CX101,DB101,DF101,DJ101,DN101))&lt;=0.005,0,MAX(0,N(CHOOSE(DV101,CL101,CP101,CT101,CX101,DB101,DF101,DJ101,DN101))+N(CHOOSE(DV101,CM101,CQ101,CU101,CY101,DC101,DG101,DK101,DO101))-MIN(N(CHOOSE(DV101,'Debt List'!$F$5,'Debt List'!$F$6,'Debt List'!$F$7,'Debt List'!$F$8,'Debt List'!$F$9,'Debt List'!$F$10,'Debt List'!$F$11,'Debt List'!$F$12)),N(CHOOSE(DV101,CL101,CP101,CT101,CX101,DB101,DF101,DJ101,DN101))+N(CHOOSE(DV101,CM101,CQ101,CU101,CY101,DC101,DG101,DK101,DO101))))),0))</f>
        <v/>
      </c>
      <c r="DX101">
        <f>MIN(N(DW101),MAX(0,N(DU101)))</f>
        <v/>
      </c>
      <c r="DY101">
        <f>MAX(0,N(DU101)-N(DX101))</f>
        <v/>
      </c>
      <c r="DZ101">
        <f>IFERROR(MATCH(3,OrderSnow,0),"")</f>
        <v/>
      </c>
      <c r="EA101">
        <f>IF(DZ101="",0,IFERROR(IF(N(CHOOSE(DZ101,CL101,CP101,CT101,CX101,DB101,DF101,DJ101,DN101))&lt;=0.005,0,MAX(0,N(CHOOSE(DZ101,CL101,CP101,CT101,CX101,DB101,DF101,DJ101,DN101))+N(CHOOSE(DZ101,CM101,CQ101,CU101,CY101,DC101,DG101,DK101,DO101))-MIN(N(CHOOSE(DZ101,'Debt List'!$F$5,'Debt List'!$F$6,'Debt List'!$F$7,'Debt List'!$F$8,'Debt List'!$F$9,'Debt List'!$F$10,'Debt List'!$F$11,'Debt List'!$F$12)),N(CHOOSE(DZ101,CL101,CP101,CT101,CX101,DB101,DF101,DJ101,DN101))+N(CHOOSE(DZ101,CM101,CQ101,CU101,CY101,DC101,DG101,DK101,DO101))))),0))</f>
        <v/>
      </c>
      <c r="EB101">
        <f>MIN(N(EA101),MAX(0,N(DY101)))</f>
        <v/>
      </c>
      <c r="EC101">
        <f>MAX(0,N(DY101)-N(EB101))</f>
        <v/>
      </c>
      <c r="ED101">
        <f>IFERROR(MATCH(4,OrderSnow,0),"")</f>
        <v/>
      </c>
      <c r="EE101">
        <f>IF(ED101="",0,IFERROR(IF(N(CHOOSE(ED101,CL101,CP101,CT101,CX101,DB101,DF101,DJ101,DN101))&lt;=0.005,0,MAX(0,N(CHOOSE(ED101,CL101,CP101,CT101,CX101,DB101,DF101,DJ101,DN101))+N(CHOOSE(ED101,CM101,CQ101,CU101,CY101,DC101,DG101,DK101,DO101))-MIN(N(CHOOSE(ED101,'Debt List'!$F$5,'Debt List'!$F$6,'Debt List'!$F$7,'Debt List'!$F$8,'Debt List'!$F$9,'Debt List'!$F$10,'Debt List'!$F$11,'Debt List'!$F$12)),N(CHOOSE(ED101,CL101,CP101,CT101,CX101,DB101,DF101,DJ101,DN101))+N(CHOOSE(ED101,CM101,CQ101,CU101,CY101,DC101,DG101,DK101,DO101))))),0))</f>
        <v/>
      </c>
      <c r="EF101">
        <f>MIN(N(EE101),MAX(0,N(EC101)))</f>
        <v/>
      </c>
      <c r="EG101">
        <f>MAX(0,N(EC101)-N(EF101))</f>
        <v/>
      </c>
      <c r="EH101">
        <f>IFERROR(MATCH(5,OrderSnow,0),"")</f>
        <v/>
      </c>
      <c r="EI101">
        <f>IF(EH101="",0,IFERROR(IF(N(CHOOSE(EH101,CL101,CP101,CT101,CX101,DB101,DF101,DJ101,DN101))&lt;=0.005,0,MAX(0,N(CHOOSE(EH101,CL101,CP101,CT101,CX101,DB101,DF101,DJ101,DN101))+N(CHOOSE(EH101,CM101,CQ101,CU101,CY101,DC101,DG101,DK101,DO101))-MIN(N(CHOOSE(EH101,'Debt List'!$F$5,'Debt List'!$F$6,'Debt List'!$F$7,'Debt List'!$F$8,'Debt List'!$F$9,'Debt List'!$F$10,'Debt List'!$F$11,'Debt List'!$F$12)),N(CHOOSE(EH101,CL101,CP101,CT101,CX101,DB101,DF101,DJ101,DN101))+N(CHOOSE(EH101,CM101,CQ101,CU101,CY101,DC101,DG101,DK101,DO101))))),0))</f>
        <v/>
      </c>
      <c r="EJ101">
        <f>MIN(N(EI101),MAX(0,N(EG101)))</f>
        <v/>
      </c>
      <c r="EK101">
        <f>MAX(0,N(EG101)-N(EJ101))</f>
        <v/>
      </c>
      <c r="EL101">
        <f>IFERROR(MATCH(6,OrderSnow,0),"")</f>
        <v/>
      </c>
      <c r="EM101">
        <f>IF(EL101="",0,IFERROR(IF(N(CHOOSE(EL101,CL101,CP101,CT101,CX101,DB101,DF101,DJ101,DN101))&lt;=0.005,0,MAX(0,N(CHOOSE(EL101,CL101,CP101,CT101,CX101,DB101,DF101,DJ101,DN101))+N(CHOOSE(EL101,CM101,CQ101,CU101,CY101,DC101,DG101,DK101,DO101))-MIN(N(CHOOSE(EL101,'Debt List'!$F$5,'Debt List'!$F$6,'Debt List'!$F$7,'Debt List'!$F$8,'Debt List'!$F$9,'Debt List'!$F$10,'Debt List'!$F$11,'Debt List'!$F$12)),N(CHOOSE(EL101,CL101,CP101,CT101,CX101,DB101,DF101,DJ101,DN101))+N(CHOOSE(EL101,CM101,CQ101,CU101,CY101,DC101,DG101,DK101,DO101))))),0))</f>
        <v/>
      </c>
      <c r="EN101">
        <f>MIN(N(EM101),MAX(0,N(EK101)))</f>
        <v/>
      </c>
      <c r="EO101">
        <f>MAX(0,N(EK101)-N(EN101))</f>
        <v/>
      </c>
      <c r="EP101">
        <f>IFERROR(MATCH(7,OrderSnow,0),"")</f>
        <v/>
      </c>
      <c r="EQ101">
        <f>IF(EP101="",0,IFERROR(IF(N(CHOOSE(EP101,CL101,CP101,CT101,CX101,DB101,DF101,DJ101,DN101))&lt;=0.005,0,MAX(0,N(CHOOSE(EP101,CL101,CP101,CT101,CX101,DB101,DF101,DJ101,DN101))+N(CHOOSE(EP101,CM101,CQ101,CU101,CY101,DC101,DG101,DK101,DO101))-MIN(N(CHOOSE(EP101,'Debt List'!$F$5,'Debt List'!$F$6,'Debt List'!$F$7,'Debt List'!$F$8,'Debt List'!$F$9,'Debt List'!$F$10,'Debt List'!$F$11,'Debt List'!$F$12)),N(CHOOSE(EP101,CL101,CP101,CT101,CX101,DB101,DF101,DJ101,DN101))+N(CHOOSE(EP101,CM101,CQ101,CU101,CY101,DC101,DG101,DK101,DO101))))),0))</f>
        <v/>
      </c>
      <c r="ER101">
        <f>MIN(N(EQ101),MAX(0,N(EO101)))</f>
        <v/>
      </c>
      <c r="ES101">
        <f>MAX(0,N(EO101)-N(ER101))</f>
        <v/>
      </c>
      <c r="ET101">
        <f>IFERROR(MATCH(8,OrderSnow,0),"")</f>
        <v/>
      </c>
      <c r="EU101">
        <f>IF(ET101="",0,IFERROR(IF(N(CHOOSE(ET101,CL101,CP101,CT101,CX101,DB101,DF101,DJ101,DN101))&lt;=0.005,0,MAX(0,N(CHOOSE(ET101,CL101,CP101,CT101,CX101,DB101,DF101,DJ101,DN101))+N(CHOOSE(ET101,CM101,CQ101,CU101,CY101,DC101,DG101,DK101,DO101))-MIN(N(CHOOSE(ET101,'Debt List'!$F$5,'Debt List'!$F$6,'Debt List'!$F$7,'Debt List'!$F$8,'Debt List'!$F$9,'Debt List'!$F$10,'Debt List'!$F$11,'Debt List'!$F$12)),N(CHOOSE(ET101,CL101,CP101,CT101,CX101,DB101,DF101,DJ101,DN101))+N(CHOOSE(ET101,CM101,CQ101,CU101,CY101,DC101,DG101,DK101,DO101))))),0))</f>
        <v/>
      </c>
      <c r="EV101">
        <f>MIN(N(EU101),MAX(0,N(ES101)))</f>
        <v/>
      </c>
      <c r="EW101">
        <f>MAX(0,N(ES101)-N(EV101))</f>
        <v/>
      </c>
      <c r="FE101" t="n">
        <v>97</v>
      </c>
      <c r="FF101" s="115">
        <f>DATE(YEAR(PlanStart),MONTH(PlanStart)+FE101-1,1)</f>
        <v/>
      </c>
      <c r="FG101">
        <f>IF(AND(GT101&lt;&gt;"",N(CHOOSE(GT101,FN101,FR101,FV101,FZ101,GD101,GH101,GL101,GP101))&gt;0.005),INDEX(DebtNames,GT101),IF(AND(GX101&lt;&gt;"",N(CHOOSE(GX101,FN101,FR101,FV101,FZ101,GD101,GH101,GL101,GP101))&gt;0.005),INDEX(DebtNames,GX101),IF(AND(HB101&lt;&gt;"",N(CHOOSE(HB101,FN101,FR101,FV101,FZ101,GD101,GH101,GL101,GP101))&gt;0.005),INDEX(DebtNames,HB101),IF(AND(HF101&lt;&gt;"",N(CHOOSE(HF101,FN101,FR101,FV101,FZ101,GD101,GH101,GL101,GP101))&gt;0.005),INDEX(DebtNames,HF101),IF(AND(HJ101&lt;&gt;"",N(CHOOSE(HJ101,FN101,FR101,FV101,FZ101,GD101,GH101,GL101,GP101))&gt;0.005),INDEX(DebtNames,HJ101),IF(AND(HN101&lt;&gt;"",N(CHOOSE(HN101,FN101,FR101,FV101,FZ101,GD101,GH101,GL101,GP101))&gt;0.005),INDEX(DebtNames,HN101),IF(AND(HR101&lt;&gt;"",N(CHOOSE(HR101,FN101,FR101,FV101,FZ101,GD101,GH101,GL101,GP101))&gt;0.005),INDEX(DebtNames,HR101),IF(AND(HV101&lt;&gt;"",N(CHOOSE(HV101,FN101,FR101,FV101,FZ101,GD101,GH101,GL101,GP101))&gt;0.005),INDEX(DebtNames,HV101),""))))))))</f>
        <v/>
      </c>
      <c r="FH101">
        <f>N(HY101)</f>
        <v/>
      </c>
      <c r="FI101">
        <f>N(FP101)+N(FT101)+N(FX101)+N(GB101)+N(GF101)+N(GJ101)+N(GN101)+N(GR101)</f>
        <v/>
      </c>
      <c r="FJ101">
        <f>N(FO101)+N(FS101)+N(FW101)+N(GA101)+N(GE101)+N(GI101)+N(GM101)+N(GQ101)</f>
        <v/>
      </c>
      <c r="FK101">
        <f>N(FK100)+N(FJ101)</f>
        <v/>
      </c>
      <c r="FL101">
        <f>N(FQ101)+N(FU101)+N(FY101)+N(GC101)+N(GG101)+N(GK101)+N(GO101)+N(GS101)</f>
        <v/>
      </c>
      <c r="FM101">
        <f>(FQ101&gt;0.005)*1+(FU101&gt;0.005)*1+(FY101&gt;0.005)*1+(GC101&gt;0.005)*1+(GG101&gt;0.005)*1+(GK101&gt;0.005)*1+(GO101&gt;0.005)*1+(GS101&gt;0.005)*1</f>
        <v/>
      </c>
      <c r="FN101">
        <f>N(FQ100)</f>
        <v/>
      </c>
      <c r="FO101">
        <f>IF(N(FN101)&lt;=0.005,0,ROUND(N(FN101)*N('Debt List'!E5)/12,2))</f>
        <v/>
      </c>
      <c r="FP101">
        <f>IF(N(FN101)&lt;=0.005,0,MIN(N('Debt List'!F5),N(FN101)+N(FO101)))+((GT101=1)*GV101+(GX101=1)*GZ101+(HB101=1)*HD101+(HF101=1)*HH101+(HJ101=1)*HL101+(HN101=1)*HP101+(HR101=1)*HT101+(HV101=1)*HX101)</f>
        <v/>
      </c>
      <c r="FQ101">
        <f>MAX(0,ROUND(N(FN101)+N(FO101)-N(FP101),2))</f>
        <v/>
      </c>
      <c r="FR101">
        <f>N(FU100)</f>
        <v/>
      </c>
      <c r="FS101">
        <f>IF(N(FR101)&lt;=0.005,0,ROUND(N(FR101)*N('Debt List'!E6)/12,2))</f>
        <v/>
      </c>
      <c r="FT101">
        <f>IF(N(FR101)&lt;=0.005,0,MIN(N('Debt List'!F6),N(FR101)+N(FS101)))+((GT101=2)*GV101+(GX101=2)*GZ101+(HB101=2)*HD101+(HF101=2)*HH101+(HJ101=2)*HL101+(HN101=2)*HP101+(HR101=2)*HT101+(HV101=2)*HX101)</f>
        <v/>
      </c>
      <c r="FU101">
        <f>MAX(0,ROUND(N(FR101)+N(FS101)-N(FT101),2))</f>
        <v/>
      </c>
      <c r="FV101">
        <f>N(FY100)</f>
        <v/>
      </c>
      <c r="FW101">
        <f>IF(N(FV101)&lt;=0.005,0,ROUND(N(FV101)*N('Debt List'!E7)/12,2))</f>
        <v/>
      </c>
      <c r="FX101">
        <f>IF(N(FV101)&lt;=0.005,0,MIN(N('Debt List'!F7),N(FV101)+N(FW101)))+((GT101=3)*GV101+(GX101=3)*GZ101+(HB101=3)*HD101+(HF101=3)*HH101+(HJ101=3)*HL101+(HN101=3)*HP101+(HR101=3)*HT101+(HV101=3)*HX101)</f>
        <v/>
      </c>
      <c r="FY101">
        <f>MAX(0,ROUND(N(FV101)+N(FW101)-N(FX101),2))</f>
        <v/>
      </c>
      <c r="FZ101">
        <f>N(GC100)</f>
        <v/>
      </c>
      <c r="GA101">
        <f>IF(N(FZ101)&lt;=0.005,0,ROUND(N(FZ101)*N('Debt List'!E8)/12,2))</f>
        <v/>
      </c>
      <c r="GB101">
        <f>IF(N(FZ101)&lt;=0.005,0,MIN(N('Debt List'!F8),N(FZ101)+N(GA101)))+((GT101=4)*GV101+(GX101=4)*GZ101+(HB101=4)*HD101+(HF101=4)*HH101+(HJ101=4)*HL101+(HN101=4)*HP101+(HR101=4)*HT101+(HV101=4)*HX101)</f>
        <v/>
      </c>
      <c r="GC101">
        <f>MAX(0,ROUND(N(FZ101)+N(GA101)-N(GB101),2))</f>
        <v/>
      </c>
      <c r="GD101">
        <f>N(GG100)</f>
        <v/>
      </c>
      <c r="GE101">
        <f>IF(N(GD101)&lt;=0.005,0,ROUND(N(GD101)*N('Debt List'!E9)/12,2))</f>
        <v/>
      </c>
      <c r="GF101">
        <f>IF(N(GD101)&lt;=0.005,0,MIN(N('Debt List'!F9),N(GD101)+N(GE101)))+((GT101=5)*GV101+(GX101=5)*GZ101+(HB101=5)*HD101+(HF101=5)*HH101+(HJ101=5)*HL101+(HN101=5)*HP101+(HR101=5)*HT101+(HV101=5)*HX101)</f>
        <v/>
      </c>
      <c r="GG101">
        <f>MAX(0,ROUND(N(GD101)+N(GE101)-N(GF101),2))</f>
        <v/>
      </c>
      <c r="GH101">
        <f>N(GK100)</f>
        <v/>
      </c>
      <c r="GI101">
        <f>IF(N(GH101)&lt;=0.005,0,ROUND(N(GH101)*N('Debt List'!E10)/12,2))</f>
        <v/>
      </c>
      <c r="GJ101">
        <f>IF(N(GH101)&lt;=0.005,0,MIN(N('Debt List'!F10),N(GH101)+N(GI101)))+((GT101=6)*GV101+(GX101=6)*GZ101+(HB101=6)*HD101+(HF101=6)*HH101+(HJ101=6)*HL101+(HN101=6)*HP101+(HR101=6)*HT101+(HV101=6)*HX101)</f>
        <v/>
      </c>
      <c r="GK101">
        <f>MAX(0,ROUND(N(GH101)+N(GI101)-N(GJ101),2))</f>
        <v/>
      </c>
      <c r="GL101">
        <f>N(GO100)</f>
        <v/>
      </c>
      <c r="GM101">
        <f>IF(N(GL101)&lt;=0.005,0,ROUND(N(GL101)*N('Debt List'!E11)/12,2))</f>
        <v/>
      </c>
      <c r="GN101">
        <f>IF(N(GL101)&lt;=0.005,0,MIN(N('Debt List'!F11),N(GL101)+N(GM101)))+((GT101=7)*GV101+(GX101=7)*GZ101+(HB101=7)*HD101+(HF101=7)*HH101+(HJ101=7)*HL101+(HN101=7)*HP101+(HR101=7)*HT101+(HV101=7)*HX101)</f>
        <v/>
      </c>
      <c r="GO101">
        <f>MAX(0,ROUND(N(GL101)+N(GM101)-N(GN101),2))</f>
        <v/>
      </c>
      <c r="GP101">
        <f>N(GS100)</f>
        <v/>
      </c>
      <c r="GQ101">
        <f>IF(N(GP101)&lt;=0.005,0,ROUND(N(GP101)*N('Debt List'!E12)/12,2))</f>
        <v/>
      </c>
      <c r="GR101">
        <f>IF(N(GP101)&lt;=0.005,0,MIN(N('Debt List'!F12),N(GP101)+N(GQ101)))+((GT101=8)*GV101+(GX101=8)*GZ101+(HB101=8)*HD101+(HF101=8)*HH101+(HJ101=8)*HL101+(HN101=8)*HP101+(HR101=8)*HT101+(HV101=8)*HX101)</f>
        <v/>
      </c>
      <c r="GS101">
        <f>MAX(0,ROUND(N(GP101)+N(GQ101)-N(GR101),2))</f>
        <v/>
      </c>
      <c r="GT101">
        <f>IFERROR(MATCH(1,OrderAval,0),"")</f>
        <v/>
      </c>
      <c r="GU101">
        <f>IF(GT101="",0,IFERROR(IF(N(CHOOSE(GT101,FN101,FR101,FV101,FZ101,GD101,GH101,GL101,GP101))&lt;=0.005,0,MAX(0,N(CHOOSE(GT101,FN101,FR101,FV101,FZ101,GD101,GH101,GL101,GP101))+N(CHOOSE(GT101,FO101,FS101,FW101,GA101,GE101,GI101,GM101,GQ101))-MIN(N(CHOOSE(GT101,'Debt List'!$F$5,'Debt List'!$F$6,'Debt List'!$F$7,'Debt List'!$F$8,'Debt List'!$F$9,'Debt List'!$F$10,'Debt List'!$F$11,'Debt List'!$F$12)),N(CHOOSE(GT101,FN101,FR101,FV101,FZ101,GD101,GH101,GL101,GP101))+N(CHOOSE(GT101,FO101,FS101,FW101,GA101,GE101,GI101,GM101,GQ101))))),0))</f>
        <v/>
      </c>
      <c r="GV101">
        <f>MIN(N(GU101),MAX(0,N(ExtraPayment)))</f>
        <v/>
      </c>
      <c r="GW101">
        <f>MAX(0,N(ExtraPayment)-N(GV101))</f>
        <v/>
      </c>
      <c r="GX101">
        <f>IFERROR(MATCH(2,OrderAval,0),"")</f>
        <v/>
      </c>
      <c r="GY101">
        <f>IF(GX101="",0,IFERROR(IF(N(CHOOSE(GX101,FN101,FR101,FV101,FZ101,GD101,GH101,GL101,GP101))&lt;=0.005,0,MAX(0,N(CHOOSE(GX101,FN101,FR101,FV101,FZ101,GD101,GH101,GL101,GP101))+N(CHOOSE(GX101,FO101,FS101,FW101,GA101,GE101,GI101,GM101,GQ101))-MIN(N(CHOOSE(GX101,'Debt List'!$F$5,'Debt List'!$F$6,'Debt List'!$F$7,'Debt List'!$F$8,'Debt List'!$F$9,'Debt List'!$F$10,'Debt List'!$F$11,'Debt List'!$F$12)),N(CHOOSE(GX101,FN101,FR101,FV101,FZ101,GD101,GH101,GL101,GP101))+N(CHOOSE(GX101,FO101,FS101,FW101,GA101,GE101,GI101,GM101,GQ101))))),0))</f>
        <v/>
      </c>
      <c r="GZ101">
        <f>MIN(N(GY101),MAX(0,N(GW101)))</f>
        <v/>
      </c>
      <c r="HA101">
        <f>MAX(0,N(GW101)-N(GZ101))</f>
        <v/>
      </c>
      <c r="HB101">
        <f>IFERROR(MATCH(3,OrderAval,0),"")</f>
        <v/>
      </c>
      <c r="HC101">
        <f>IF(HB101="",0,IFERROR(IF(N(CHOOSE(HB101,FN101,FR101,FV101,FZ101,GD101,GH101,GL101,GP101))&lt;=0.005,0,MAX(0,N(CHOOSE(HB101,FN101,FR101,FV101,FZ101,GD101,GH101,GL101,GP101))+N(CHOOSE(HB101,FO101,FS101,FW101,GA101,GE101,GI101,GM101,GQ101))-MIN(N(CHOOSE(HB101,'Debt List'!$F$5,'Debt List'!$F$6,'Debt List'!$F$7,'Debt List'!$F$8,'Debt List'!$F$9,'Debt List'!$F$10,'Debt List'!$F$11,'Debt List'!$F$12)),N(CHOOSE(HB101,FN101,FR101,FV101,FZ101,GD101,GH101,GL101,GP101))+N(CHOOSE(HB101,FO101,FS101,FW101,GA101,GE101,GI101,GM101,GQ101))))),0))</f>
        <v/>
      </c>
      <c r="HD101">
        <f>MIN(N(HC101),MAX(0,N(HA101)))</f>
        <v/>
      </c>
      <c r="HE101">
        <f>MAX(0,N(HA101)-N(HD101))</f>
        <v/>
      </c>
      <c r="HF101">
        <f>IFERROR(MATCH(4,OrderAval,0),"")</f>
        <v/>
      </c>
      <c r="HG101">
        <f>IF(HF101="",0,IFERROR(IF(N(CHOOSE(HF101,FN101,FR101,FV101,FZ101,GD101,GH101,GL101,GP101))&lt;=0.005,0,MAX(0,N(CHOOSE(HF101,FN101,FR101,FV101,FZ101,GD101,GH101,GL101,GP101))+N(CHOOSE(HF101,FO101,FS101,FW101,GA101,GE101,GI101,GM101,GQ101))-MIN(N(CHOOSE(HF101,'Debt List'!$F$5,'Debt List'!$F$6,'Debt List'!$F$7,'Debt List'!$F$8,'Debt List'!$F$9,'Debt List'!$F$10,'Debt List'!$F$11,'Debt List'!$F$12)),N(CHOOSE(HF101,FN101,FR101,FV101,FZ101,GD101,GH101,GL101,GP101))+N(CHOOSE(HF101,FO101,FS101,FW101,GA101,GE101,GI101,GM101,GQ101))))),0))</f>
        <v/>
      </c>
      <c r="HH101">
        <f>MIN(N(HG101),MAX(0,N(HE101)))</f>
        <v/>
      </c>
      <c r="HI101">
        <f>MAX(0,N(HE101)-N(HH101))</f>
        <v/>
      </c>
      <c r="HJ101">
        <f>IFERROR(MATCH(5,OrderAval,0),"")</f>
        <v/>
      </c>
      <c r="HK101">
        <f>IF(HJ101="",0,IFERROR(IF(N(CHOOSE(HJ101,FN101,FR101,FV101,FZ101,GD101,GH101,GL101,GP101))&lt;=0.005,0,MAX(0,N(CHOOSE(HJ101,FN101,FR101,FV101,FZ101,GD101,GH101,GL101,GP101))+N(CHOOSE(HJ101,FO101,FS101,FW101,GA101,GE101,GI101,GM101,GQ101))-MIN(N(CHOOSE(HJ101,'Debt List'!$F$5,'Debt List'!$F$6,'Debt List'!$F$7,'Debt List'!$F$8,'Debt List'!$F$9,'Debt List'!$F$10,'Debt List'!$F$11,'Debt List'!$F$12)),N(CHOOSE(HJ101,FN101,FR101,FV101,FZ101,GD101,GH101,GL101,GP101))+N(CHOOSE(HJ101,FO101,FS101,FW101,GA101,GE101,GI101,GM101,GQ101))))),0))</f>
        <v/>
      </c>
      <c r="HL101">
        <f>MIN(N(HK101),MAX(0,N(HI101)))</f>
        <v/>
      </c>
      <c r="HM101">
        <f>MAX(0,N(HI101)-N(HL101))</f>
        <v/>
      </c>
      <c r="HN101">
        <f>IFERROR(MATCH(6,OrderAval,0),"")</f>
        <v/>
      </c>
      <c r="HO101">
        <f>IF(HN101="",0,IFERROR(IF(N(CHOOSE(HN101,FN101,FR101,FV101,FZ101,GD101,GH101,GL101,GP101))&lt;=0.005,0,MAX(0,N(CHOOSE(HN101,FN101,FR101,FV101,FZ101,GD101,GH101,GL101,GP101))+N(CHOOSE(HN101,FO101,FS101,FW101,GA101,GE101,GI101,GM101,GQ101))-MIN(N(CHOOSE(HN101,'Debt List'!$F$5,'Debt List'!$F$6,'Debt List'!$F$7,'Debt List'!$F$8,'Debt List'!$F$9,'Debt List'!$F$10,'Debt List'!$F$11,'Debt List'!$F$12)),N(CHOOSE(HN101,FN101,FR101,FV101,FZ101,GD101,GH101,GL101,GP101))+N(CHOOSE(HN101,FO101,FS101,FW101,GA101,GE101,GI101,GM101,GQ101))))),0))</f>
        <v/>
      </c>
      <c r="HP101">
        <f>MIN(N(HO101),MAX(0,N(HM101)))</f>
        <v/>
      </c>
      <c r="HQ101">
        <f>MAX(0,N(HM101)-N(HP101))</f>
        <v/>
      </c>
      <c r="HR101">
        <f>IFERROR(MATCH(7,OrderAval,0),"")</f>
        <v/>
      </c>
      <c r="HS101">
        <f>IF(HR101="",0,IFERROR(IF(N(CHOOSE(HR101,FN101,FR101,FV101,FZ101,GD101,GH101,GL101,GP101))&lt;=0.005,0,MAX(0,N(CHOOSE(HR101,FN101,FR101,FV101,FZ101,GD101,GH101,GL101,GP101))+N(CHOOSE(HR101,FO101,FS101,FW101,GA101,GE101,GI101,GM101,GQ101))-MIN(N(CHOOSE(HR101,'Debt List'!$F$5,'Debt List'!$F$6,'Debt List'!$F$7,'Debt List'!$F$8,'Debt List'!$F$9,'Debt List'!$F$10,'Debt List'!$F$11,'Debt List'!$F$12)),N(CHOOSE(HR101,FN101,FR101,FV101,FZ101,GD101,GH101,GL101,GP101))+N(CHOOSE(HR101,FO101,FS101,FW101,GA101,GE101,GI101,GM101,GQ101))))),0))</f>
        <v/>
      </c>
      <c r="HT101">
        <f>MIN(N(HS101),MAX(0,N(HQ101)))</f>
        <v/>
      </c>
      <c r="HU101">
        <f>MAX(0,N(HQ101)-N(HT101))</f>
        <v/>
      </c>
      <c r="HV101">
        <f>IFERROR(MATCH(8,OrderAval,0),"")</f>
        <v/>
      </c>
      <c r="HW101">
        <f>IF(HV101="",0,IFERROR(IF(N(CHOOSE(HV101,FN101,FR101,FV101,FZ101,GD101,GH101,GL101,GP101))&lt;=0.005,0,MAX(0,N(CHOOSE(HV101,FN101,FR101,FV101,FZ101,GD101,GH101,GL101,GP101))+N(CHOOSE(HV101,FO101,FS101,FW101,GA101,GE101,GI101,GM101,GQ101))-MIN(N(CHOOSE(HV101,'Debt List'!$F$5,'Debt List'!$F$6,'Debt List'!$F$7,'Debt List'!$F$8,'Debt List'!$F$9,'Debt List'!$F$10,'Debt List'!$F$11,'Debt List'!$F$12)),N(CHOOSE(HV101,FN101,FR101,FV101,FZ101,GD101,GH101,GL101,GP101))+N(CHOOSE(HV101,FO101,FS101,FW101,GA101,GE101,GI101,GM101,GQ101))))),0))</f>
        <v/>
      </c>
      <c r="HX101">
        <f>MIN(N(HW101),MAX(0,N(HU101)))</f>
        <v/>
      </c>
      <c r="HY101">
        <f>MAX(0,N(HU101)-N(HX101))</f>
        <v/>
      </c>
    </row>
    <row r="102">
      <c r="A102" t="n">
        <v>98</v>
      </c>
      <c r="B102" s="115">
        <f>DATE(YEAR(PlanStart),MONTH(PlanStart)+A102-1,1)</f>
        <v/>
      </c>
      <c r="C102">
        <f>IF(AND(AP102&lt;&gt;"",N(CHOOSE(AP102,J102,N102,R102,V102,Z102,AD102,AH102,AL102))&gt;0.005),INDEX(DebtNames,AP102),IF(AND(AT102&lt;&gt;"",N(CHOOSE(AT102,J102,N102,R102,V102,Z102,AD102,AH102,AL102))&gt;0.005),INDEX(DebtNames,AT102),IF(AND(AX102&lt;&gt;"",N(CHOOSE(AX102,J102,N102,R102,V102,Z102,AD102,AH102,AL102))&gt;0.005),INDEX(DebtNames,AX102),IF(AND(BB102&lt;&gt;"",N(CHOOSE(BB102,J102,N102,R102,V102,Z102,AD102,AH102,AL102))&gt;0.005),INDEX(DebtNames,BB102),IF(AND(BF102&lt;&gt;"",N(CHOOSE(BF102,J102,N102,R102,V102,Z102,AD102,AH102,AL102))&gt;0.005),INDEX(DebtNames,BF102),IF(AND(BJ102&lt;&gt;"",N(CHOOSE(BJ102,J102,N102,R102,V102,Z102,AD102,AH102,AL102))&gt;0.005),INDEX(DebtNames,BJ102),IF(AND(BN102&lt;&gt;"",N(CHOOSE(BN102,J102,N102,R102,V102,Z102,AD102,AH102,AL102))&gt;0.005),INDEX(DebtNames,BN102),IF(AND(BR102&lt;&gt;"",N(CHOOSE(BR102,J102,N102,R102,V102,Z102,AD102,AH102,AL102))&gt;0.005),INDEX(DebtNames,BR102),""))))))))</f>
        <v/>
      </c>
      <c r="D102">
        <f>N(BU102)</f>
        <v/>
      </c>
      <c r="E102">
        <f>N(L102)+N(P102)+N(T102)+N(X102)+N(AB102)+N(AF102)+N(AJ102)+N(AN102)</f>
        <v/>
      </c>
      <c r="F102">
        <f>N(K102)+N(O102)+N(S102)+N(W102)+N(AA102)+N(AE102)+N(AI102)+N(AM102)</f>
        <v/>
      </c>
      <c r="G102">
        <f>N(G101)+N(F102)</f>
        <v/>
      </c>
      <c r="H102">
        <f>N(M102)+N(Q102)+N(U102)+N(Y102)+N(AC102)+N(AG102)+N(AK102)+N(AO102)</f>
        <v/>
      </c>
      <c r="I102">
        <f>(M102&gt;0.005)*1+(Q102&gt;0.005)*1+(U102&gt;0.005)*1+(Y102&gt;0.005)*1+(AC102&gt;0.005)*1+(AG102&gt;0.005)*1+(AK102&gt;0.005)*1+(AO102&gt;0.005)*1</f>
        <v/>
      </c>
      <c r="J102">
        <f>N(M101)</f>
        <v/>
      </c>
      <c r="K102">
        <f>IF(N(J102)&lt;=0.005,0,ROUND(N(J102)*N('Debt List'!E5)/12,2))</f>
        <v/>
      </c>
      <c r="L102">
        <f>IF(N(J102)&lt;=0.005,0,MIN(N('Debt List'!F5),N(J102)+N(K102)))+((AP102=1)*AR102+(AT102=1)*AV102+(AX102=1)*AZ102+(BB102=1)*BD102+(BF102=1)*BH102+(BJ102=1)*BL102+(BN102=1)*BP102+(BR102=1)*BT102)</f>
        <v/>
      </c>
      <c r="M102">
        <f>MAX(0,ROUND(N(J102)+N(K102)-N(L102),2))</f>
        <v/>
      </c>
      <c r="N102">
        <f>N(Q101)</f>
        <v/>
      </c>
      <c r="O102">
        <f>IF(N(N102)&lt;=0.005,0,ROUND(N(N102)*N('Debt List'!E6)/12,2))</f>
        <v/>
      </c>
      <c r="P102">
        <f>IF(N(N102)&lt;=0.005,0,MIN(N('Debt List'!F6),N(N102)+N(O102)))+((AP102=2)*AR102+(AT102=2)*AV102+(AX102=2)*AZ102+(BB102=2)*BD102+(BF102=2)*BH102+(BJ102=2)*BL102+(BN102=2)*BP102+(BR102=2)*BT102)</f>
        <v/>
      </c>
      <c r="Q102">
        <f>MAX(0,ROUND(N(N102)+N(O102)-N(P102),2))</f>
        <v/>
      </c>
      <c r="R102">
        <f>N(U101)</f>
        <v/>
      </c>
      <c r="S102">
        <f>IF(N(R102)&lt;=0.005,0,ROUND(N(R102)*N('Debt List'!E7)/12,2))</f>
        <v/>
      </c>
      <c r="T102">
        <f>IF(N(R102)&lt;=0.005,0,MIN(N('Debt List'!F7),N(R102)+N(S102)))+((AP102=3)*AR102+(AT102=3)*AV102+(AX102=3)*AZ102+(BB102=3)*BD102+(BF102=3)*BH102+(BJ102=3)*BL102+(BN102=3)*BP102+(BR102=3)*BT102)</f>
        <v/>
      </c>
      <c r="U102">
        <f>MAX(0,ROUND(N(R102)+N(S102)-N(T102),2))</f>
        <v/>
      </c>
      <c r="V102">
        <f>N(Y101)</f>
        <v/>
      </c>
      <c r="W102">
        <f>IF(N(V102)&lt;=0.005,0,ROUND(N(V102)*N('Debt List'!E8)/12,2))</f>
        <v/>
      </c>
      <c r="X102">
        <f>IF(N(V102)&lt;=0.005,0,MIN(N('Debt List'!F8),N(V102)+N(W102)))+((AP102=4)*AR102+(AT102=4)*AV102+(AX102=4)*AZ102+(BB102=4)*BD102+(BF102=4)*BH102+(BJ102=4)*BL102+(BN102=4)*BP102+(BR102=4)*BT102)</f>
        <v/>
      </c>
      <c r="Y102">
        <f>MAX(0,ROUND(N(V102)+N(W102)-N(X102),2))</f>
        <v/>
      </c>
      <c r="Z102">
        <f>N(AC101)</f>
        <v/>
      </c>
      <c r="AA102">
        <f>IF(N(Z102)&lt;=0.005,0,ROUND(N(Z102)*N('Debt List'!E9)/12,2))</f>
        <v/>
      </c>
      <c r="AB102">
        <f>IF(N(Z102)&lt;=0.005,0,MIN(N('Debt List'!F9),N(Z102)+N(AA102)))+((AP102=5)*AR102+(AT102=5)*AV102+(AX102=5)*AZ102+(BB102=5)*BD102+(BF102=5)*BH102+(BJ102=5)*BL102+(BN102=5)*BP102+(BR102=5)*BT102)</f>
        <v/>
      </c>
      <c r="AC102">
        <f>MAX(0,ROUND(N(Z102)+N(AA102)-N(AB102),2))</f>
        <v/>
      </c>
      <c r="AD102">
        <f>N(AG101)</f>
        <v/>
      </c>
      <c r="AE102">
        <f>IF(N(AD102)&lt;=0.005,0,ROUND(N(AD102)*N('Debt List'!E10)/12,2))</f>
        <v/>
      </c>
      <c r="AF102">
        <f>IF(N(AD102)&lt;=0.005,0,MIN(N('Debt List'!F10),N(AD102)+N(AE102)))+((AP102=6)*AR102+(AT102=6)*AV102+(AX102=6)*AZ102+(BB102=6)*BD102+(BF102=6)*BH102+(BJ102=6)*BL102+(BN102=6)*BP102+(BR102=6)*BT102)</f>
        <v/>
      </c>
      <c r="AG102">
        <f>MAX(0,ROUND(N(AD102)+N(AE102)-N(AF102),2))</f>
        <v/>
      </c>
      <c r="AH102">
        <f>N(AK101)</f>
        <v/>
      </c>
      <c r="AI102">
        <f>IF(N(AH102)&lt;=0.005,0,ROUND(N(AH102)*N('Debt List'!E11)/12,2))</f>
        <v/>
      </c>
      <c r="AJ102">
        <f>IF(N(AH102)&lt;=0.005,0,MIN(N('Debt List'!F11),N(AH102)+N(AI102)))+((AP102=7)*AR102+(AT102=7)*AV102+(AX102=7)*AZ102+(BB102=7)*BD102+(BF102=7)*BH102+(BJ102=7)*BL102+(BN102=7)*BP102+(BR102=7)*BT102)</f>
        <v/>
      </c>
      <c r="AK102">
        <f>MAX(0,ROUND(N(AH102)+N(AI102)-N(AJ102),2))</f>
        <v/>
      </c>
      <c r="AL102">
        <f>N(AO101)</f>
        <v/>
      </c>
      <c r="AM102">
        <f>IF(N(AL102)&lt;=0.005,0,ROUND(N(AL102)*N('Debt List'!E12)/12,2))</f>
        <v/>
      </c>
      <c r="AN102">
        <f>IF(N(AL102)&lt;=0.005,0,MIN(N('Debt List'!F12),N(AL102)+N(AM102)))+((AP102=8)*AR102+(AT102=8)*AV102+(AX102=8)*AZ102+(BB102=8)*BD102+(BF102=8)*BH102+(BJ102=8)*BL102+(BN102=8)*BP102+(BR102=8)*BT102)</f>
        <v/>
      </c>
      <c r="AO102">
        <f>MAX(0,ROUND(N(AL102)+N(AM102)-N(AN102),2))</f>
        <v/>
      </c>
      <c r="AP102">
        <f>IFERROR(MATCH(1,OrderPlan,0),"")</f>
        <v/>
      </c>
      <c r="AQ102">
        <f>IF(AP102="",0,IFERROR(IF(N(CHOOSE(AP102,J102,N102,R102,V102,Z102,AD102,AH102,AL102))&lt;=0.005,0,MAX(0,N(CHOOSE(AP102,J102,N102,R102,V102,Z102,AD102,AH102,AL102))+N(CHOOSE(AP102,K102,O102,S102,W102,AA102,AE102,AI102,AM102))-MIN(N(CHOOSE(AP102,'Debt List'!$F$5,'Debt List'!$F$6,'Debt List'!$F$7,'Debt List'!$F$8,'Debt List'!$F$9,'Debt List'!$F$10,'Debt List'!$F$11,'Debt List'!$F$12)),N(CHOOSE(AP102,J102,N102,R102,V102,Z102,AD102,AH102,AL102))+N(CHOOSE(AP102,K102,O102,S102,W102,AA102,AE102,AI102,AM102))))),0))</f>
        <v/>
      </c>
      <c r="AR102">
        <f>MIN(N(AQ102),MAX(0,N(ExtraPayment)))</f>
        <v/>
      </c>
      <c r="AS102">
        <f>MAX(0,N(ExtraPayment)-N(AR102))</f>
        <v/>
      </c>
      <c r="AT102">
        <f>IFERROR(MATCH(2,OrderPlan,0),"")</f>
        <v/>
      </c>
      <c r="AU102">
        <f>IF(AT102="",0,IFERROR(IF(N(CHOOSE(AT102,J102,N102,R102,V102,Z102,AD102,AH102,AL102))&lt;=0.005,0,MAX(0,N(CHOOSE(AT102,J102,N102,R102,V102,Z102,AD102,AH102,AL102))+N(CHOOSE(AT102,K102,O102,S102,W102,AA102,AE102,AI102,AM102))-MIN(N(CHOOSE(AT102,'Debt List'!$F$5,'Debt List'!$F$6,'Debt List'!$F$7,'Debt List'!$F$8,'Debt List'!$F$9,'Debt List'!$F$10,'Debt List'!$F$11,'Debt List'!$F$12)),N(CHOOSE(AT102,J102,N102,R102,V102,Z102,AD102,AH102,AL102))+N(CHOOSE(AT102,K102,O102,S102,W102,AA102,AE102,AI102,AM102))))),0))</f>
        <v/>
      </c>
      <c r="AV102">
        <f>MIN(N(AU102),MAX(0,N(AS102)))</f>
        <v/>
      </c>
      <c r="AW102">
        <f>MAX(0,N(AS102)-N(AV102))</f>
        <v/>
      </c>
      <c r="AX102">
        <f>IFERROR(MATCH(3,OrderPlan,0),"")</f>
        <v/>
      </c>
      <c r="AY102">
        <f>IF(AX102="",0,IFERROR(IF(N(CHOOSE(AX102,J102,N102,R102,V102,Z102,AD102,AH102,AL102))&lt;=0.005,0,MAX(0,N(CHOOSE(AX102,J102,N102,R102,V102,Z102,AD102,AH102,AL102))+N(CHOOSE(AX102,K102,O102,S102,W102,AA102,AE102,AI102,AM102))-MIN(N(CHOOSE(AX102,'Debt List'!$F$5,'Debt List'!$F$6,'Debt List'!$F$7,'Debt List'!$F$8,'Debt List'!$F$9,'Debt List'!$F$10,'Debt List'!$F$11,'Debt List'!$F$12)),N(CHOOSE(AX102,J102,N102,R102,V102,Z102,AD102,AH102,AL102))+N(CHOOSE(AX102,K102,O102,S102,W102,AA102,AE102,AI102,AM102))))),0))</f>
        <v/>
      </c>
      <c r="AZ102">
        <f>MIN(N(AY102),MAX(0,N(AW102)))</f>
        <v/>
      </c>
      <c r="BA102">
        <f>MAX(0,N(AW102)-N(AZ102))</f>
        <v/>
      </c>
      <c r="BB102">
        <f>IFERROR(MATCH(4,OrderPlan,0),"")</f>
        <v/>
      </c>
      <c r="BC102">
        <f>IF(BB102="",0,IFERROR(IF(N(CHOOSE(BB102,J102,N102,R102,V102,Z102,AD102,AH102,AL102))&lt;=0.005,0,MAX(0,N(CHOOSE(BB102,J102,N102,R102,V102,Z102,AD102,AH102,AL102))+N(CHOOSE(BB102,K102,O102,S102,W102,AA102,AE102,AI102,AM102))-MIN(N(CHOOSE(BB102,'Debt List'!$F$5,'Debt List'!$F$6,'Debt List'!$F$7,'Debt List'!$F$8,'Debt List'!$F$9,'Debt List'!$F$10,'Debt List'!$F$11,'Debt List'!$F$12)),N(CHOOSE(BB102,J102,N102,R102,V102,Z102,AD102,AH102,AL102))+N(CHOOSE(BB102,K102,O102,S102,W102,AA102,AE102,AI102,AM102))))),0))</f>
        <v/>
      </c>
      <c r="BD102">
        <f>MIN(N(BC102),MAX(0,N(BA102)))</f>
        <v/>
      </c>
      <c r="BE102">
        <f>MAX(0,N(BA102)-N(BD102))</f>
        <v/>
      </c>
      <c r="BF102">
        <f>IFERROR(MATCH(5,OrderPlan,0),"")</f>
        <v/>
      </c>
      <c r="BG102">
        <f>IF(BF102="",0,IFERROR(IF(N(CHOOSE(BF102,J102,N102,R102,V102,Z102,AD102,AH102,AL102))&lt;=0.005,0,MAX(0,N(CHOOSE(BF102,J102,N102,R102,V102,Z102,AD102,AH102,AL102))+N(CHOOSE(BF102,K102,O102,S102,W102,AA102,AE102,AI102,AM102))-MIN(N(CHOOSE(BF102,'Debt List'!$F$5,'Debt List'!$F$6,'Debt List'!$F$7,'Debt List'!$F$8,'Debt List'!$F$9,'Debt List'!$F$10,'Debt List'!$F$11,'Debt List'!$F$12)),N(CHOOSE(BF102,J102,N102,R102,V102,Z102,AD102,AH102,AL102))+N(CHOOSE(BF102,K102,O102,S102,W102,AA102,AE102,AI102,AM102))))),0))</f>
        <v/>
      </c>
      <c r="BH102">
        <f>MIN(N(BG102),MAX(0,N(BE102)))</f>
        <v/>
      </c>
      <c r="BI102">
        <f>MAX(0,N(BE102)-N(BH102))</f>
        <v/>
      </c>
      <c r="BJ102">
        <f>IFERROR(MATCH(6,OrderPlan,0),"")</f>
        <v/>
      </c>
      <c r="BK102">
        <f>IF(BJ102="",0,IFERROR(IF(N(CHOOSE(BJ102,J102,N102,R102,V102,Z102,AD102,AH102,AL102))&lt;=0.005,0,MAX(0,N(CHOOSE(BJ102,J102,N102,R102,V102,Z102,AD102,AH102,AL102))+N(CHOOSE(BJ102,K102,O102,S102,W102,AA102,AE102,AI102,AM102))-MIN(N(CHOOSE(BJ102,'Debt List'!$F$5,'Debt List'!$F$6,'Debt List'!$F$7,'Debt List'!$F$8,'Debt List'!$F$9,'Debt List'!$F$10,'Debt List'!$F$11,'Debt List'!$F$12)),N(CHOOSE(BJ102,J102,N102,R102,V102,Z102,AD102,AH102,AL102))+N(CHOOSE(BJ102,K102,O102,S102,W102,AA102,AE102,AI102,AM102))))),0))</f>
        <v/>
      </c>
      <c r="BL102">
        <f>MIN(N(BK102),MAX(0,N(BI102)))</f>
        <v/>
      </c>
      <c r="BM102">
        <f>MAX(0,N(BI102)-N(BL102))</f>
        <v/>
      </c>
      <c r="BN102">
        <f>IFERROR(MATCH(7,OrderPlan,0),"")</f>
        <v/>
      </c>
      <c r="BO102">
        <f>IF(BN102="",0,IFERROR(IF(N(CHOOSE(BN102,J102,N102,R102,V102,Z102,AD102,AH102,AL102))&lt;=0.005,0,MAX(0,N(CHOOSE(BN102,J102,N102,R102,V102,Z102,AD102,AH102,AL102))+N(CHOOSE(BN102,K102,O102,S102,W102,AA102,AE102,AI102,AM102))-MIN(N(CHOOSE(BN102,'Debt List'!$F$5,'Debt List'!$F$6,'Debt List'!$F$7,'Debt List'!$F$8,'Debt List'!$F$9,'Debt List'!$F$10,'Debt List'!$F$11,'Debt List'!$F$12)),N(CHOOSE(BN102,J102,N102,R102,V102,Z102,AD102,AH102,AL102))+N(CHOOSE(BN102,K102,O102,S102,W102,AA102,AE102,AI102,AM102))))),0))</f>
        <v/>
      </c>
      <c r="BP102">
        <f>MIN(N(BO102),MAX(0,N(BM102)))</f>
        <v/>
      </c>
      <c r="BQ102">
        <f>MAX(0,N(BM102)-N(BP102))</f>
        <v/>
      </c>
      <c r="BR102">
        <f>IFERROR(MATCH(8,OrderPlan,0),"")</f>
        <v/>
      </c>
      <c r="BS102">
        <f>IF(BR102="",0,IFERROR(IF(N(CHOOSE(BR102,J102,N102,R102,V102,Z102,AD102,AH102,AL102))&lt;=0.005,0,MAX(0,N(CHOOSE(BR102,J102,N102,R102,V102,Z102,AD102,AH102,AL102))+N(CHOOSE(BR102,K102,O102,S102,W102,AA102,AE102,AI102,AM102))-MIN(N(CHOOSE(BR102,'Debt List'!$F$5,'Debt List'!$F$6,'Debt List'!$F$7,'Debt List'!$F$8,'Debt List'!$F$9,'Debt List'!$F$10,'Debt List'!$F$11,'Debt List'!$F$12)),N(CHOOSE(BR102,J102,N102,R102,V102,Z102,AD102,AH102,AL102))+N(CHOOSE(BR102,K102,O102,S102,W102,AA102,AE102,AI102,AM102))))),0))</f>
        <v/>
      </c>
      <c r="BT102">
        <f>MIN(N(BS102),MAX(0,N(BQ102)))</f>
        <v/>
      </c>
      <c r="BU102">
        <f>MAX(0,N(BQ102)-N(BT102))</f>
        <v/>
      </c>
      <c r="CC102" t="n">
        <v>98</v>
      </c>
      <c r="CD102" s="115">
        <f>DATE(YEAR(PlanStart),MONTH(PlanStart)+CC102-1,1)</f>
        <v/>
      </c>
      <c r="CE102">
        <f>IF(AND(DR102&lt;&gt;"",N(CHOOSE(DR102,CL102,CP102,CT102,CX102,DB102,DF102,DJ102,DN102))&gt;0.005),INDEX(DebtNames,DR102),IF(AND(DV102&lt;&gt;"",N(CHOOSE(DV102,CL102,CP102,CT102,CX102,DB102,DF102,DJ102,DN102))&gt;0.005),INDEX(DebtNames,DV102),IF(AND(DZ102&lt;&gt;"",N(CHOOSE(DZ102,CL102,CP102,CT102,CX102,DB102,DF102,DJ102,DN102))&gt;0.005),INDEX(DebtNames,DZ102),IF(AND(ED102&lt;&gt;"",N(CHOOSE(ED102,CL102,CP102,CT102,CX102,DB102,DF102,DJ102,DN102))&gt;0.005),INDEX(DebtNames,ED102),IF(AND(EH102&lt;&gt;"",N(CHOOSE(EH102,CL102,CP102,CT102,CX102,DB102,DF102,DJ102,DN102))&gt;0.005),INDEX(DebtNames,EH102),IF(AND(EL102&lt;&gt;"",N(CHOOSE(EL102,CL102,CP102,CT102,CX102,DB102,DF102,DJ102,DN102))&gt;0.005),INDEX(DebtNames,EL102),IF(AND(EP102&lt;&gt;"",N(CHOOSE(EP102,CL102,CP102,CT102,CX102,DB102,DF102,DJ102,DN102))&gt;0.005),INDEX(DebtNames,EP102),IF(AND(ET102&lt;&gt;"",N(CHOOSE(ET102,CL102,CP102,CT102,CX102,DB102,DF102,DJ102,DN102))&gt;0.005),INDEX(DebtNames,ET102),""))))))))</f>
        <v/>
      </c>
      <c r="CF102">
        <f>N(EW102)</f>
        <v/>
      </c>
      <c r="CG102">
        <f>N(CN102)+N(CR102)+N(CV102)+N(CZ102)+N(DD102)+N(DH102)+N(DL102)+N(DP102)</f>
        <v/>
      </c>
      <c r="CH102">
        <f>N(CM102)+N(CQ102)+N(CU102)+N(CY102)+N(DC102)+N(DG102)+N(DK102)+N(DO102)</f>
        <v/>
      </c>
      <c r="CI102">
        <f>N(CI101)+N(CH102)</f>
        <v/>
      </c>
      <c r="CJ102">
        <f>N(CO102)+N(CS102)+N(CW102)+N(DA102)+N(DE102)+N(DI102)+N(DM102)+N(DQ102)</f>
        <v/>
      </c>
      <c r="CK102">
        <f>(CO102&gt;0.005)*1+(CS102&gt;0.005)*1+(CW102&gt;0.005)*1+(DA102&gt;0.005)*1+(DE102&gt;0.005)*1+(DI102&gt;0.005)*1+(DM102&gt;0.005)*1+(DQ102&gt;0.005)*1</f>
        <v/>
      </c>
      <c r="CL102">
        <f>N(CO101)</f>
        <v/>
      </c>
      <c r="CM102">
        <f>IF(N(CL102)&lt;=0.005,0,ROUND(N(CL102)*N('Debt List'!E5)/12,2))</f>
        <v/>
      </c>
      <c r="CN102">
        <f>IF(N(CL102)&lt;=0.005,0,MIN(N('Debt List'!F5),N(CL102)+N(CM102)))+((DR102=1)*DT102+(DV102=1)*DX102+(DZ102=1)*EB102+(ED102=1)*EF102+(EH102=1)*EJ102+(EL102=1)*EN102+(EP102=1)*ER102+(ET102=1)*EV102)</f>
        <v/>
      </c>
      <c r="CO102">
        <f>MAX(0,ROUND(N(CL102)+N(CM102)-N(CN102),2))</f>
        <v/>
      </c>
      <c r="CP102">
        <f>N(CS101)</f>
        <v/>
      </c>
      <c r="CQ102">
        <f>IF(N(CP102)&lt;=0.005,0,ROUND(N(CP102)*N('Debt List'!E6)/12,2))</f>
        <v/>
      </c>
      <c r="CR102">
        <f>IF(N(CP102)&lt;=0.005,0,MIN(N('Debt List'!F6),N(CP102)+N(CQ102)))+((DR102=2)*DT102+(DV102=2)*DX102+(DZ102=2)*EB102+(ED102=2)*EF102+(EH102=2)*EJ102+(EL102=2)*EN102+(EP102=2)*ER102+(ET102=2)*EV102)</f>
        <v/>
      </c>
      <c r="CS102">
        <f>MAX(0,ROUND(N(CP102)+N(CQ102)-N(CR102),2))</f>
        <v/>
      </c>
      <c r="CT102">
        <f>N(CW101)</f>
        <v/>
      </c>
      <c r="CU102">
        <f>IF(N(CT102)&lt;=0.005,0,ROUND(N(CT102)*N('Debt List'!E7)/12,2))</f>
        <v/>
      </c>
      <c r="CV102">
        <f>IF(N(CT102)&lt;=0.005,0,MIN(N('Debt List'!F7),N(CT102)+N(CU102)))+((DR102=3)*DT102+(DV102=3)*DX102+(DZ102=3)*EB102+(ED102=3)*EF102+(EH102=3)*EJ102+(EL102=3)*EN102+(EP102=3)*ER102+(ET102=3)*EV102)</f>
        <v/>
      </c>
      <c r="CW102">
        <f>MAX(0,ROUND(N(CT102)+N(CU102)-N(CV102),2))</f>
        <v/>
      </c>
      <c r="CX102">
        <f>N(DA101)</f>
        <v/>
      </c>
      <c r="CY102">
        <f>IF(N(CX102)&lt;=0.005,0,ROUND(N(CX102)*N('Debt List'!E8)/12,2))</f>
        <v/>
      </c>
      <c r="CZ102">
        <f>IF(N(CX102)&lt;=0.005,0,MIN(N('Debt List'!F8),N(CX102)+N(CY102)))+((DR102=4)*DT102+(DV102=4)*DX102+(DZ102=4)*EB102+(ED102=4)*EF102+(EH102=4)*EJ102+(EL102=4)*EN102+(EP102=4)*ER102+(ET102=4)*EV102)</f>
        <v/>
      </c>
      <c r="DA102">
        <f>MAX(0,ROUND(N(CX102)+N(CY102)-N(CZ102),2))</f>
        <v/>
      </c>
      <c r="DB102">
        <f>N(DE101)</f>
        <v/>
      </c>
      <c r="DC102">
        <f>IF(N(DB102)&lt;=0.005,0,ROUND(N(DB102)*N('Debt List'!E9)/12,2))</f>
        <v/>
      </c>
      <c r="DD102">
        <f>IF(N(DB102)&lt;=0.005,0,MIN(N('Debt List'!F9),N(DB102)+N(DC102)))+((DR102=5)*DT102+(DV102=5)*DX102+(DZ102=5)*EB102+(ED102=5)*EF102+(EH102=5)*EJ102+(EL102=5)*EN102+(EP102=5)*ER102+(ET102=5)*EV102)</f>
        <v/>
      </c>
      <c r="DE102">
        <f>MAX(0,ROUND(N(DB102)+N(DC102)-N(DD102),2))</f>
        <v/>
      </c>
      <c r="DF102">
        <f>N(DI101)</f>
        <v/>
      </c>
      <c r="DG102">
        <f>IF(N(DF102)&lt;=0.005,0,ROUND(N(DF102)*N('Debt List'!E10)/12,2))</f>
        <v/>
      </c>
      <c r="DH102">
        <f>IF(N(DF102)&lt;=0.005,0,MIN(N('Debt List'!F10),N(DF102)+N(DG102)))+((DR102=6)*DT102+(DV102=6)*DX102+(DZ102=6)*EB102+(ED102=6)*EF102+(EH102=6)*EJ102+(EL102=6)*EN102+(EP102=6)*ER102+(ET102=6)*EV102)</f>
        <v/>
      </c>
      <c r="DI102">
        <f>MAX(0,ROUND(N(DF102)+N(DG102)-N(DH102),2))</f>
        <v/>
      </c>
      <c r="DJ102">
        <f>N(DM101)</f>
        <v/>
      </c>
      <c r="DK102">
        <f>IF(N(DJ102)&lt;=0.005,0,ROUND(N(DJ102)*N('Debt List'!E11)/12,2))</f>
        <v/>
      </c>
      <c r="DL102">
        <f>IF(N(DJ102)&lt;=0.005,0,MIN(N('Debt List'!F11),N(DJ102)+N(DK102)))+((DR102=7)*DT102+(DV102=7)*DX102+(DZ102=7)*EB102+(ED102=7)*EF102+(EH102=7)*EJ102+(EL102=7)*EN102+(EP102=7)*ER102+(ET102=7)*EV102)</f>
        <v/>
      </c>
      <c r="DM102">
        <f>MAX(0,ROUND(N(DJ102)+N(DK102)-N(DL102),2))</f>
        <v/>
      </c>
      <c r="DN102">
        <f>N(DQ101)</f>
        <v/>
      </c>
      <c r="DO102">
        <f>IF(N(DN102)&lt;=0.005,0,ROUND(N(DN102)*N('Debt List'!E12)/12,2))</f>
        <v/>
      </c>
      <c r="DP102">
        <f>IF(N(DN102)&lt;=0.005,0,MIN(N('Debt List'!F12),N(DN102)+N(DO102)))+((DR102=8)*DT102+(DV102=8)*DX102+(DZ102=8)*EB102+(ED102=8)*EF102+(EH102=8)*EJ102+(EL102=8)*EN102+(EP102=8)*ER102+(ET102=8)*EV102)</f>
        <v/>
      </c>
      <c r="DQ102">
        <f>MAX(0,ROUND(N(DN102)+N(DO102)-N(DP102),2))</f>
        <v/>
      </c>
      <c r="DR102">
        <f>IFERROR(MATCH(1,OrderSnow,0),"")</f>
        <v/>
      </c>
      <c r="DS102">
        <f>IF(DR102="",0,IFERROR(IF(N(CHOOSE(DR102,CL102,CP102,CT102,CX102,DB102,DF102,DJ102,DN102))&lt;=0.005,0,MAX(0,N(CHOOSE(DR102,CL102,CP102,CT102,CX102,DB102,DF102,DJ102,DN102))+N(CHOOSE(DR102,CM102,CQ102,CU102,CY102,DC102,DG102,DK102,DO102))-MIN(N(CHOOSE(DR102,'Debt List'!$F$5,'Debt List'!$F$6,'Debt List'!$F$7,'Debt List'!$F$8,'Debt List'!$F$9,'Debt List'!$F$10,'Debt List'!$F$11,'Debt List'!$F$12)),N(CHOOSE(DR102,CL102,CP102,CT102,CX102,DB102,DF102,DJ102,DN102))+N(CHOOSE(DR102,CM102,CQ102,CU102,CY102,DC102,DG102,DK102,DO102))))),0))</f>
        <v/>
      </c>
      <c r="DT102">
        <f>MIN(N(DS102),MAX(0,N(ExtraPayment)))</f>
        <v/>
      </c>
      <c r="DU102">
        <f>MAX(0,N(ExtraPayment)-N(DT102))</f>
        <v/>
      </c>
      <c r="DV102">
        <f>IFERROR(MATCH(2,OrderSnow,0),"")</f>
        <v/>
      </c>
      <c r="DW102">
        <f>IF(DV102="",0,IFERROR(IF(N(CHOOSE(DV102,CL102,CP102,CT102,CX102,DB102,DF102,DJ102,DN102))&lt;=0.005,0,MAX(0,N(CHOOSE(DV102,CL102,CP102,CT102,CX102,DB102,DF102,DJ102,DN102))+N(CHOOSE(DV102,CM102,CQ102,CU102,CY102,DC102,DG102,DK102,DO102))-MIN(N(CHOOSE(DV102,'Debt List'!$F$5,'Debt List'!$F$6,'Debt List'!$F$7,'Debt List'!$F$8,'Debt List'!$F$9,'Debt List'!$F$10,'Debt List'!$F$11,'Debt List'!$F$12)),N(CHOOSE(DV102,CL102,CP102,CT102,CX102,DB102,DF102,DJ102,DN102))+N(CHOOSE(DV102,CM102,CQ102,CU102,CY102,DC102,DG102,DK102,DO102))))),0))</f>
        <v/>
      </c>
      <c r="DX102">
        <f>MIN(N(DW102),MAX(0,N(DU102)))</f>
        <v/>
      </c>
      <c r="DY102">
        <f>MAX(0,N(DU102)-N(DX102))</f>
        <v/>
      </c>
      <c r="DZ102">
        <f>IFERROR(MATCH(3,OrderSnow,0),"")</f>
        <v/>
      </c>
      <c r="EA102">
        <f>IF(DZ102="",0,IFERROR(IF(N(CHOOSE(DZ102,CL102,CP102,CT102,CX102,DB102,DF102,DJ102,DN102))&lt;=0.005,0,MAX(0,N(CHOOSE(DZ102,CL102,CP102,CT102,CX102,DB102,DF102,DJ102,DN102))+N(CHOOSE(DZ102,CM102,CQ102,CU102,CY102,DC102,DG102,DK102,DO102))-MIN(N(CHOOSE(DZ102,'Debt List'!$F$5,'Debt List'!$F$6,'Debt List'!$F$7,'Debt List'!$F$8,'Debt List'!$F$9,'Debt List'!$F$10,'Debt List'!$F$11,'Debt List'!$F$12)),N(CHOOSE(DZ102,CL102,CP102,CT102,CX102,DB102,DF102,DJ102,DN102))+N(CHOOSE(DZ102,CM102,CQ102,CU102,CY102,DC102,DG102,DK102,DO102))))),0))</f>
        <v/>
      </c>
      <c r="EB102">
        <f>MIN(N(EA102),MAX(0,N(DY102)))</f>
        <v/>
      </c>
      <c r="EC102">
        <f>MAX(0,N(DY102)-N(EB102))</f>
        <v/>
      </c>
      <c r="ED102">
        <f>IFERROR(MATCH(4,OrderSnow,0),"")</f>
        <v/>
      </c>
      <c r="EE102">
        <f>IF(ED102="",0,IFERROR(IF(N(CHOOSE(ED102,CL102,CP102,CT102,CX102,DB102,DF102,DJ102,DN102))&lt;=0.005,0,MAX(0,N(CHOOSE(ED102,CL102,CP102,CT102,CX102,DB102,DF102,DJ102,DN102))+N(CHOOSE(ED102,CM102,CQ102,CU102,CY102,DC102,DG102,DK102,DO102))-MIN(N(CHOOSE(ED102,'Debt List'!$F$5,'Debt List'!$F$6,'Debt List'!$F$7,'Debt List'!$F$8,'Debt List'!$F$9,'Debt List'!$F$10,'Debt List'!$F$11,'Debt List'!$F$12)),N(CHOOSE(ED102,CL102,CP102,CT102,CX102,DB102,DF102,DJ102,DN102))+N(CHOOSE(ED102,CM102,CQ102,CU102,CY102,DC102,DG102,DK102,DO102))))),0))</f>
        <v/>
      </c>
      <c r="EF102">
        <f>MIN(N(EE102),MAX(0,N(EC102)))</f>
        <v/>
      </c>
      <c r="EG102">
        <f>MAX(0,N(EC102)-N(EF102))</f>
        <v/>
      </c>
      <c r="EH102">
        <f>IFERROR(MATCH(5,OrderSnow,0),"")</f>
        <v/>
      </c>
      <c r="EI102">
        <f>IF(EH102="",0,IFERROR(IF(N(CHOOSE(EH102,CL102,CP102,CT102,CX102,DB102,DF102,DJ102,DN102))&lt;=0.005,0,MAX(0,N(CHOOSE(EH102,CL102,CP102,CT102,CX102,DB102,DF102,DJ102,DN102))+N(CHOOSE(EH102,CM102,CQ102,CU102,CY102,DC102,DG102,DK102,DO102))-MIN(N(CHOOSE(EH102,'Debt List'!$F$5,'Debt List'!$F$6,'Debt List'!$F$7,'Debt List'!$F$8,'Debt List'!$F$9,'Debt List'!$F$10,'Debt List'!$F$11,'Debt List'!$F$12)),N(CHOOSE(EH102,CL102,CP102,CT102,CX102,DB102,DF102,DJ102,DN102))+N(CHOOSE(EH102,CM102,CQ102,CU102,CY102,DC102,DG102,DK102,DO102))))),0))</f>
        <v/>
      </c>
      <c r="EJ102">
        <f>MIN(N(EI102),MAX(0,N(EG102)))</f>
        <v/>
      </c>
      <c r="EK102">
        <f>MAX(0,N(EG102)-N(EJ102))</f>
        <v/>
      </c>
      <c r="EL102">
        <f>IFERROR(MATCH(6,OrderSnow,0),"")</f>
        <v/>
      </c>
      <c r="EM102">
        <f>IF(EL102="",0,IFERROR(IF(N(CHOOSE(EL102,CL102,CP102,CT102,CX102,DB102,DF102,DJ102,DN102))&lt;=0.005,0,MAX(0,N(CHOOSE(EL102,CL102,CP102,CT102,CX102,DB102,DF102,DJ102,DN102))+N(CHOOSE(EL102,CM102,CQ102,CU102,CY102,DC102,DG102,DK102,DO102))-MIN(N(CHOOSE(EL102,'Debt List'!$F$5,'Debt List'!$F$6,'Debt List'!$F$7,'Debt List'!$F$8,'Debt List'!$F$9,'Debt List'!$F$10,'Debt List'!$F$11,'Debt List'!$F$12)),N(CHOOSE(EL102,CL102,CP102,CT102,CX102,DB102,DF102,DJ102,DN102))+N(CHOOSE(EL102,CM102,CQ102,CU102,CY102,DC102,DG102,DK102,DO102))))),0))</f>
        <v/>
      </c>
      <c r="EN102">
        <f>MIN(N(EM102),MAX(0,N(EK102)))</f>
        <v/>
      </c>
      <c r="EO102">
        <f>MAX(0,N(EK102)-N(EN102))</f>
        <v/>
      </c>
      <c r="EP102">
        <f>IFERROR(MATCH(7,OrderSnow,0),"")</f>
        <v/>
      </c>
      <c r="EQ102">
        <f>IF(EP102="",0,IFERROR(IF(N(CHOOSE(EP102,CL102,CP102,CT102,CX102,DB102,DF102,DJ102,DN102))&lt;=0.005,0,MAX(0,N(CHOOSE(EP102,CL102,CP102,CT102,CX102,DB102,DF102,DJ102,DN102))+N(CHOOSE(EP102,CM102,CQ102,CU102,CY102,DC102,DG102,DK102,DO102))-MIN(N(CHOOSE(EP102,'Debt List'!$F$5,'Debt List'!$F$6,'Debt List'!$F$7,'Debt List'!$F$8,'Debt List'!$F$9,'Debt List'!$F$10,'Debt List'!$F$11,'Debt List'!$F$12)),N(CHOOSE(EP102,CL102,CP102,CT102,CX102,DB102,DF102,DJ102,DN102))+N(CHOOSE(EP102,CM102,CQ102,CU102,CY102,DC102,DG102,DK102,DO102))))),0))</f>
        <v/>
      </c>
      <c r="ER102">
        <f>MIN(N(EQ102),MAX(0,N(EO102)))</f>
        <v/>
      </c>
      <c r="ES102">
        <f>MAX(0,N(EO102)-N(ER102))</f>
        <v/>
      </c>
      <c r="ET102">
        <f>IFERROR(MATCH(8,OrderSnow,0),"")</f>
        <v/>
      </c>
      <c r="EU102">
        <f>IF(ET102="",0,IFERROR(IF(N(CHOOSE(ET102,CL102,CP102,CT102,CX102,DB102,DF102,DJ102,DN102))&lt;=0.005,0,MAX(0,N(CHOOSE(ET102,CL102,CP102,CT102,CX102,DB102,DF102,DJ102,DN102))+N(CHOOSE(ET102,CM102,CQ102,CU102,CY102,DC102,DG102,DK102,DO102))-MIN(N(CHOOSE(ET102,'Debt List'!$F$5,'Debt List'!$F$6,'Debt List'!$F$7,'Debt List'!$F$8,'Debt List'!$F$9,'Debt List'!$F$10,'Debt List'!$F$11,'Debt List'!$F$12)),N(CHOOSE(ET102,CL102,CP102,CT102,CX102,DB102,DF102,DJ102,DN102))+N(CHOOSE(ET102,CM102,CQ102,CU102,CY102,DC102,DG102,DK102,DO102))))),0))</f>
        <v/>
      </c>
      <c r="EV102">
        <f>MIN(N(EU102),MAX(0,N(ES102)))</f>
        <v/>
      </c>
      <c r="EW102">
        <f>MAX(0,N(ES102)-N(EV102))</f>
        <v/>
      </c>
      <c r="FE102" t="n">
        <v>98</v>
      </c>
      <c r="FF102" s="115">
        <f>DATE(YEAR(PlanStart),MONTH(PlanStart)+FE102-1,1)</f>
        <v/>
      </c>
      <c r="FG102">
        <f>IF(AND(GT102&lt;&gt;"",N(CHOOSE(GT102,FN102,FR102,FV102,FZ102,GD102,GH102,GL102,GP102))&gt;0.005),INDEX(DebtNames,GT102),IF(AND(GX102&lt;&gt;"",N(CHOOSE(GX102,FN102,FR102,FV102,FZ102,GD102,GH102,GL102,GP102))&gt;0.005),INDEX(DebtNames,GX102),IF(AND(HB102&lt;&gt;"",N(CHOOSE(HB102,FN102,FR102,FV102,FZ102,GD102,GH102,GL102,GP102))&gt;0.005),INDEX(DebtNames,HB102),IF(AND(HF102&lt;&gt;"",N(CHOOSE(HF102,FN102,FR102,FV102,FZ102,GD102,GH102,GL102,GP102))&gt;0.005),INDEX(DebtNames,HF102),IF(AND(HJ102&lt;&gt;"",N(CHOOSE(HJ102,FN102,FR102,FV102,FZ102,GD102,GH102,GL102,GP102))&gt;0.005),INDEX(DebtNames,HJ102),IF(AND(HN102&lt;&gt;"",N(CHOOSE(HN102,FN102,FR102,FV102,FZ102,GD102,GH102,GL102,GP102))&gt;0.005),INDEX(DebtNames,HN102),IF(AND(HR102&lt;&gt;"",N(CHOOSE(HR102,FN102,FR102,FV102,FZ102,GD102,GH102,GL102,GP102))&gt;0.005),INDEX(DebtNames,HR102),IF(AND(HV102&lt;&gt;"",N(CHOOSE(HV102,FN102,FR102,FV102,FZ102,GD102,GH102,GL102,GP102))&gt;0.005),INDEX(DebtNames,HV102),""))))))))</f>
        <v/>
      </c>
      <c r="FH102">
        <f>N(HY102)</f>
        <v/>
      </c>
      <c r="FI102">
        <f>N(FP102)+N(FT102)+N(FX102)+N(GB102)+N(GF102)+N(GJ102)+N(GN102)+N(GR102)</f>
        <v/>
      </c>
      <c r="FJ102">
        <f>N(FO102)+N(FS102)+N(FW102)+N(GA102)+N(GE102)+N(GI102)+N(GM102)+N(GQ102)</f>
        <v/>
      </c>
      <c r="FK102">
        <f>N(FK101)+N(FJ102)</f>
        <v/>
      </c>
      <c r="FL102">
        <f>N(FQ102)+N(FU102)+N(FY102)+N(GC102)+N(GG102)+N(GK102)+N(GO102)+N(GS102)</f>
        <v/>
      </c>
      <c r="FM102">
        <f>(FQ102&gt;0.005)*1+(FU102&gt;0.005)*1+(FY102&gt;0.005)*1+(GC102&gt;0.005)*1+(GG102&gt;0.005)*1+(GK102&gt;0.005)*1+(GO102&gt;0.005)*1+(GS102&gt;0.005)*1</f>
        <v/>
      </c>
      <c r="FN102">
        <f>N(FQ101)</f>
        <v/>
      </c>
      <c r="FO102">
        <f>IF(N(FN102)&lt;=0.005,0,ROUND(N(FN102)*N('Debt List'!E5)/12,2))</f>
        <v/>
      </c>
      <c r="FP102">
        <f>IF(N(FN102)&lt;=0.005,0,MIN(N('Debt List'!F5),N(FN102)+N(FO102)))+((GT102=1)*GV102+(GX102=1)*GZ102+(HB102=1)*HD102+(HF102=1)*HH102+(HJ102=1)*HL102+(HN102=1)*HP102+(HR102=1)*HT102+(HV102=1)*HX102)</f>
        <v/>
      </c>
      <c r="FQ102">
        <f>MAX(0,ROUND(N(FN102)+N(FO102)-N(FP102),2))</f>
        <v/>
      </c>
      <c r="FR102">
        <f>N(FU101)</f>
        <v/>
      </c>
      <c r="FS102">
        <f>IF(N(FR102)&lt;=0.005,0,ROUND(N(FR102)*N('Debt List'!E6)/12,2))</f>
        <v/>
      </c>
      <c r="FT102">
        <f>IF(N(FR102)&lt;=0.005,0,MIN(N('Debt List'!F6),N(FR102)+N(FS102)))+((GT102=2)*GV102+(GX102=2)*GZ102+(HB102=2)*HD102+(HF102=2)*HH102+(HJ102=2)*HL102+(HN102=2)*HP102+(HR102=2)*HT102+(HV102=2)*HX102)</f>
        <v/>
      </c>
      <c r="FU102">
        <f>MAX(0,ROUND(N(FR102)+N(FS102)-N(FT102),2))</f>
        <v/>
      </c>
      <c r="FV102">
        <f>N(FY101)</f>
        <v/>
      </c>
      <c r="FW102">
        <f>IF(N(FV102)&lt;=0.005,0,ROUND(N(FV102)*N('Debt List'!E7)/12,2))</f>
        <v/>
      </c>
      <c r="FX102">
        <f>IF(N(FV102)&lt;=0.005,0,MIN(N('Debt List'!F7),N(FV102)+N(FW102)))+((GT102=3)*GV102+(GX102=3)*GZ102+(HB102=3)*HD102+(HF102=3)*HH102+(HJ102=3)*HL102+(HN102=3)*HP102+(HR102=3)*HT102+(HV102=3)*HX102)</f>
        <v/>
      </c>
      <c r="FY102">
        <f>MAX(0,ROUND(N(FV102)+N(FW102)-N(FX102),2))</f>
        <v/>
      </c>
      <c r="FZ102">
        <f>N(GC101)</f>
        <v/>
      </c>
      <c r="GA102">
        <f>IF(N(FZ102)&lt;=0.005,0,ROUND(N(FZ102)*N('Debt List'!E8)/12,2))</f>
        <v/>
      </c>
      <c r="GB102">
        <f>IF(N(FZ102)&lt;=0.005,0,MIN(N('Debt List'!F8),N(FZ102)+N(GA102)))+((GT102=4)*GV102+(GX102=4)*GZ102+(HB102=4)*HD102+(HF102=4)*HH102+(HJ102=4)*HL102+(HN102=4)*HP102+(HR102=4)*HT102+(HV102=4)*HX102)</f>
        <v/>
      </c>
      <c r="GC102">
        <f>MAX(0,ROUND(N(FZ102)+N(GA102)-N(GB102),2))</f>
        <v/>
      </c>
      <c r="GD102">
        <f>N(GG101)</f>
        <v/>
      </c>
      <c r="GE102">
        <f>IF(N(GD102)&lt;=0.005,0,ROUND(N(GD102)*N('Debt List'!E9)/12,2))</f>
        <v/>
      </c>
      <c r="GF102">
        <f>IF(N(GD102)&lt;=0.005,0,MIN(N('Debt List'!F9),N(GD102)+N(GE102)))+((GT102=5)*GV102+(GX102=5)*GZ102+(HB102=5)*HD102+(HF102=5)*HH102+(HJ102=5)*HL102+(HN102=5)*HP102+(HR102=5)*HT102+(HV102=5)*HX102)</f>
        <v/>
      </c>
      <c r="GG102">
        <f>MAX(0,ROUND(N(GD102)+N(GE102)-N(GF102),2))</f>
        <v/>
      </c>
      <c r="GH102">
        <f>N(GK101)</f>
        <v/>
      </c>
      <c r="GI102">
        <f>IF(N(GH102)&lt;=0.005,0,ROUND(N(GH102)*N('Debt List'!E10)/12,2))</f>
        <v/>
      </c>
      <c r="GJ102">
        <f>IF(N(GH102)&lt;=0.005,0,MIN(N('Debt List'!F10),N(GH102)+N(GI102)))+((GT102=6)*GV102+(GX102=6)*GZ102+(HB102=6)*HD102+(HF102=6)*HH102+(HJ102=6)*HL102+(HN102=6)*HP102+(HR102=6)*HT102+(HV102=6)*HX102)</f>
        <v/>
      </c>
      <c r="GK102">
        <f>MAX(0,ROUND(N(GH102)+N(GI102)-N(GJ102),2))</f>
        <v/>
      </c>
      <c r="GL102">
        <f>N(GO101)</f>
        <v/>
      </c>
      <c r="GM102">
        <f>IF(N(GL102)&lt;=0.005,0,ROUND(N(GL102)*N('Debt List'!E11)/12,2))</f>
        <v/>
      </c>
      <c r="GN102">
        <f>IF(N(GL102)&lt;=0.005,0,MIN(N('Debt List'!F11),N(GL102)+N(GM102)))+((GT102=7)*GV102+(GX102=7)*GZ102+(HB102=7)*HD102+(HF102=7)*HH102+(HJ102=7)*HL102+(HN102=7)*HP102+(HR102=7)*HT102+(HV102=7)*HX102)</f>
        <v/>
      </c>
      <c r="GO102">
        <f>MAX(0,ROUND(N(GL102)+N(GM102)-N(GN102),2))</f>
        <v/>
      </c>
      <c r="GP102">
        <f>N(GS101)</f>
        <v/>
      </c>
      <c r="GQ102">
        <f>IF(N(GP102)&lt;=0.005,0,ROUND(N(GP102)*N('Debt List'!E12)/12,2))</f>
        <v/>
      </c>
      <c r="GR102">
        <f>IF(N(GP102)&lt;=0.005,0,MIN(N('Debt List'!F12),N(GP102)+N(GQ102)))+((GT102=8)*GV102+(GX102=8)*GZ102+(HB102=8)*HD102+(HF102=8)*HH102+(HJ102=8)*HL102+(HN102=8)*HP102+(HR102=8)*HT102+(HV102=8)*HX102)</f>
        <v/>
      </c>
      <c r="GS102">
        <f>MAX(0,ROUND(N(GP102)+N(GQ102)-N(GR102),2))</f>
        <v/>
      </c>
      <c r="GT102">
        <f>IFERROR(MATCH(1,OrderAval,0),"")</f>
        <v/>
      </c>
      <c r="GU102">
        <f>IF(GT102="",0,IFERROR(IF(N(CHOOSE(GT102,FN102,FR102,FV102,FZ102,GD102,GH102,GL102,GP102))&lt;=0.005,0,MAX(0,N(CHOOSE(GT102,FN102,FR102,FV102,FZ102,GD102,GH102,GL102,GP102))+N(CHOOSE(GT102,FO102,FS102,FW102,GA102,GE102,GI102,GM102,GQ102))-MIN(N(CHOOSE(GT102,'Debt List'!$F$5,'Debt List'!$F$6,'Debt List'!$F$7,'Debt List'!$F$8,'Debt List'!$F$9,'Debt List'!$F$10,'Debt List'!$F$11,'Debt List'!$F$12)),N(CHOOSE(GT102,FN102,FR102,FV102,FZ102,GD102,GH102,GL102,GP102))+N(CHOOSE(GT102,FO102,FS102,FW102,GA102,GE102,GI102,GM102,GQ102))))),0))</f>
        <v/>
      </c>
      <c r="GV102">
        <f>MIN(N(GU102),MAX(0,N(ExtraPayment)))</f>
        <v/>
      </c>
      <c r="GW102">
        <f>MAX(0,N(ExtraPayment)-N(GV102))</f>
        <v/>
      </c>
      <c r="GX102">
        <f>IFERROR(MATCH(2,OrderAval,0),"")</f>
        <v/>
      </c>
      <c r="GY102">
        <f>IF(GX102="",0,IFERROR(IF(N(CHOOSE(GX102,FN102,FR102,FV102,FZ102,GD102,GH102,GL102,GP102))&lt;=0.005,0,MAX(0,N(CHOOSE(GX102,FN102,FR102,FV102,FZ102,GD102,GH102,GL102,GP102))+N(CHOOSE(GX102,FO102,FS102,FW102,GA102,GE102,GI102,GM102,GQ102))-MIN(N(CHOOSE(GX102,'Debt List'!$F$5,'Debt List'!$F$6,'Debt List'!$F$7,'Debt List'!$F$8,'Debt List'!$F$9,'Debt List'!$F$10,'Debt List'!$F$11,'Debt List'!$F$12)),N(CHOOSE(GX102,FN102,FR102,FV102,FZ102,GD102,GH102,GL102,GP102))+N(CHOOSE(GX102,FO102,FS102,FW102,GA102,GE102,GI102,GM102,GQ102))))),0))</f>
        <v/>
      </c>
      <c r="GZ102">
        <f>MIN(N(GY102),MAX(0,N(GW102)))</f>
        <v/>
      </c>
      <c r="HA102">
        <f>MAX(0,N(GW102)-N(GZ102))</f>
        <v/>
      </c>
      <c r="HB102">
        <f>IFERROR(MATCH(3,OrderAval,0),"")</f>
        <v/>
      </c>
      <c r="HC102">
        <f>IF(HB102="",0,IFERROR(IF(N(CHOOSE(HB102,FN102,FR102,FV102,FZ102,GD102,GH102,GL102,GP102))&lt;=0.005,0,MAX(0,N(CHOOSE(HB102,FN102,FR102,FV102,FZ102,GD102,GH102,GL102,GP102))+N(CHOOSE(HB102,FO102,FS102,FW102,GA102,GE102,GI102,GM102,GQ102))-MIN(N(CHOOSE(HB102,'Debt List'!$F$5,'Debt List'!$F$6,'Debt List'!$F$7,'Debt List'!$F$8,'Debt List'!$F$9,'Debt List'!$F$10,'Debt List'!$F$11,'Debt List'!$F$12)),N(CHOOSE(HB102,FN102,FR102,FV102,FZ102,GD102,GH102,GL102,GP102))+N(CHOOSE(HB102,FO102,FS102,FW102,GA102,GE102,GI102,GM102,GQ102))))),0))</f>
        <v/>
      </c>
      <c r="HD102">
        <f>MIN(N(HC102),MAX(0,N(HA102)))</f>
        <v/>
      </c>
      <c r="HE102">
        <f>MAX(0,N(HA102)-N(HD102))</f>
        <v/>
      </c>
      <c r="HF102">
        <f>IFERROR(MATCH(4,OrderAval,0),"")</f>
        <v/>
      </c>
      <c r="HG102">
        <f>IF(HF102="",0,IFERROR(IF(N(CHOOSE(HF102,FN102,FR102,FV102,FZ102,GD102,GH102,GL102,GP102))&lt;=0.005,0,MAX(0,N(CHOOSE(HF102,FN102,FR102,FV102,FZ102,GD102,GH102,GL102,GP102))+N(CHOOSE(HF102,FO102,FS102,FW102,GA102,GE102,GI102,GM102,GQ102))-MIN(N(CHOOSE(HF102,'Debt List'!$F$5,'Debt List'!$F$6,'Debt List'!$F$7,'Debt List'!$F$8,'Debt List'!$F$9,'Debt List'!$F$10,'Debt List'!$F$11,'Debt List'!$F$12)),N(CHOOSE(HF102,FN102,FR102,FV102,FZ102,GD102,GH102,GL102,GP102))+N(CHOOSE(HF102,FO102,FS102,FW102,GA102,GE102,GI102,GM102,GQ102))))),0))</f>
        <v/>
      </c>
      <c r="HH102">
        <f>MIN(N(HG102),MAX(0,N(HE102)))</f>
        <v/>
      </c>
      <c r="HI102">
        <f>MAX(0,N(HE102)-N(HH102))</f>
        <v/>
      </c>
      <c r="HJ102">
        <f>IFERROR(MATCH(5,OrderAval,0),"")</f>
        <v/>
      </c>
      <c r="HK102">
        <f>IF(HJ102="",0,IFERROR(IF(N(CHOOSE(HJ102,FN102,FR102,FV102,FZ102,GD102,GH102,GL102,GP102))&lt;=0.005,0,MAX(0,N(CHOOSE(HJ102,FN102,FR102,FV102,FZ102,GD102,GH102,GL102,GP102))+N(CHOOSE(HJ102,FO102,FS102,FW102,GA102,GE102,GI102,GM102,GQ102))-MIN(N(CHOOSE(HJ102,'Debt List'!$F$5,'Debt List'!$F$6,'Debt List'!$F$7,'Debt List'!$F$8,'Debt List'!$F$9,'Debt List'!$F$10,'Debt List'!$F$11,'Debt List'!$F$12)),N(CHOOSE(HJ102,FN102,FR102,FV102,FZ102,GD102,GH102,GL102,GP102))+N(CHOOSE(HJ102,FO102,FS102,FW102,GA102,GE102,GI102,GM102,GQ102))))),0))</f>
        <v/>
      </c>
      <c r="HL102">
        <f>MIN(N(HK102),MAX(0,N(HI102)))</f>
        <v/>
      </c>
      <c r="HM102">
        <f>MAX(0,N(HI102)-N(HL102))</f>
        <v/>
      </c>
      <c r="HN102">
        <f>IFERROR(MATCH(6,OrderAval,0),"")</f>
        <v/>
      </c>
      <c r="HO102">
        <f>IF(HN102="",0,IFERROR(IF(N(CHOOSE(HN102,FN102,FR102,FV102,FZ102,GD102,GH102,GL102,GP102))&lt;=0.005,0,MAX(0,N(CHOOSE(HN102,FN102,FR102,FV102,FZ102,GD102,GH102,GL102,GP102))+N(CHOOSE(HN102,FO102,FS102,FW102,GA102,GE102,GI102,GM102,GQ102))-MIN(N(CHOOSE(HN102,'Debt List'!$F$5,'Debt List'!$F$6,'Debt List'!$F$7,'Debt List'!$F$8,'Debt List'!$F$9,'Debt List'!$F$10,'Debt List'!$F$11,'Debt List'!$F$12)),N(CHOOSE(HN102,FN102,FR102,FV102,FZ102,GD102,GH102,GL102,GP102))+N(CHOOSE(HN102,FO102,FS102,FW102,GA102,GE102,GI102,GM102,GQ102))))),0))</f>
        <v/>
      </c>
      <c r="HP102">
        <f>MIN(N(HO102),MAX(0,N(HM102)))</f>
        <v/>
      </c>
      <c r="HQ102">
        <f>MAX(0,N(HM102)-N(HP102))</f>
        <v/>
      </c>
      <c r="HR102">
        <f>IFERROR(MATCH(7,OrderAval,0),"")</f>
        <v/>
      </c>
      <c r="HS102">
        <f>IF(HR102="",0,IFERROR(IF(N(CHOOSE(HR102,FN102,FR102,FV102,FZ102,GD102,GH102,GL102,GP102))&lt;=0.005,0,MAX(0,N(CHOOSE(HR102,FN102,FR102,FV102,FZ102,GD102,GH102,GL102,GP102))+N(CHOOSE(HR102,FO102,FS102,FW102,GA102,GE102,GI102,GM102,GQ102))-MIN(N(CHOOSE(HR102,'Debt List'!$F$5,'Debt List'!$F$6,'Debt List'!$F$7,'Debt List'!$F$8,'Debt List'!$F$9,'Debt List'!$F$10,'Debt List'!$F$11,'Debt List'!$F$12)),N(CHOOSE(HR102,FN102,FR102,FV102,FZ102,GD102,GH102,GL102,GP102))+N(CHOOSE(HR102,FO102,FS102,FW102,GA102,GE102,GI102,GM102,GQ102))))),0))</f>
        <v/>
      </c>
      <c r="HT102">
        <f>MIN(N(HS102),MAX(0,N(HQ102)))</f>
        <v/>
      </c>
      <c r="HU102">
        <f>MAX(0,N(HQ102)-N(HT102))</f>
        <v/>
      </c>
      <c r="HV102">
        <f>IFERROR(MATCH(8,OrderAval,0),"")</f>
        <v/>
      </c>
      <c r="HW102">
        <f>IF(HV102="",0,IFERROR(IF(N(CHOOSE(HV102,FN102,FR102,FV102,FZ102,GD102,GH102,GL102,GP102))&lt;=0.005,0,MAX(0,N(CHOOSE(HV102,FN102,FR102,FV102,FZ102,GD102,GH102,GL102,GP102))+N(CHOOSE(HV102,FO102,FS102,FW102,GA102,GE102,GI102,GM102,GQ102))-MIN(N(CHOOSE(HV102,'Debt List'!$F$5,'Debt List'!$F$6,'Debt List'!$F$7,'Debt List'!$F$8,'Debt List'!$F$9,'Debt List'!$F$10,'Debt List'!$F$11,'Debt List'!$F$12)),N(CHOOSE(HV102,FN102,FR102,FV102,FZ102,GD102,GH102,GL102,GP102))+N(CHOOSE(HV102,FO102,FS102,FW102,GA102,GE102,GI102,GM102,GQ102))))),0))</f>
        <v/>
      </c>
      <c r="HX102">
        <f>MIN(N(HW102),MAX(0,N(HU102)))</f>
        <v/>
      </c>
      <c r="HY102">
        <f>MAX(0,N(HU102)-N(HX102))</f>
        <v/>
      </c>
    </row>
    <row r="103">
      <c r="A103" t="n">
        <v>99</v>
      </c>
      <c r="B103" s="115">
        <f>DATE(YEAR(PlanStart),MONTH(PlanStart)+A103-1,1)</f>
        <v/>
      </c>
      <c r="C103">
        <f>IF(AND(AP103&lt;&gt;"",N(CHOOSE(AP103,J103,N103,R103,V103,Z103,AD103,AH103,AL103))&gt;0.005),INDEX(DebtNames,AP103),IF(AND(AT103&lt;&gt;"",N(CHOOSE(AT103,J103,N103,R103,V103,Z103,AD103,AH103,AL103))&gt;0.005),INDEX(DebtNames,AT103),IF(AND(AX103&lt;&gt;"",N(CHOOSE(AX103,J103,N103,R103,V103,Z103,AD103,AH103,AL103))&gt;0.005),INDEX(DebtNames,AX103),IF(AND(BB103&lt;&gt;"",N(CHOOSE(BB103,J103,N103,R103,V103,Z103,AD103,AH103,AL103))&gt;0.005),INDEX(DebtNames,BB103),IF(AND(BF103&lt;&gt;"",N(CHOOSE(BF103,J103,N103,R103,V103,Z103,AD103,AH103,AL103))&gt;0.005),INDEX(DebtNames,BF103),IF(AND(BJ103&lt;&gt;"",N(CHOOSE(BJ103,J103,N103,R103,V103,Z103,AD103,AH103,AL103))&gt;0.005),INDEX(DebtNames,BJ103),IF(AND(BN103&lt;&gt;"",N(CHOOSE(BN103,J103,N103,R103,V103,Z103,AD103,AH103,AL103))&gt;0.005),INDEX(DebtNames,BN103),IF(AND(BR103&lt;&gt;"",N(CHOOSE(BR103,J103,N103,R103,V103,Z103,AD103,AH103,AL103))&gt;0.005),INDEX(DebtNames,BR103),""))))))))</f>
        <v/>
      </c>
      <c r="D103">
        <f>N(BU103)</f>
        <v/>
      </c>
      <c r="E103">
        <f>N(L103)+N(P103)+N(T103)+N(X103)+N(AB103)+N(AF103)+N(AJ103)+N(AN103)</f>
        <v/>
      </c>
      <c r="F103">
        <f>N(K103)+N(O103)+N(S103)+N(W103)+N(AA103)+N(AE103)+N(AI103)+N(AM103)</f>
        <v/>
      </c>
      <c r="G103">
        <f>N(G102)+N(F103)</f>
        <v/>
      </c>
      <c r="H103">
        <f>N(M103)+N(Q103)+N(U103)+N(Y103)+N(AC103)+N(AG103)+N(AK103)+N(AO103)</f>
        <v/>
      </c>
      <c r="I103">
        <f>(M103&gt;0.005)*1+(Q103&gt;0.005)*1+(U103&gt;0.005)*1+(Y103&gt;0.005)*1+(AC103&gt;0.005)*1+(AG103&gt;0.005)*1+(AK103&gt;0.005)*1+(AO103&gt;0.005)*1</f>
        <v/>
      </c>
      <c r="J103">
        <f>N(M102)</f>
        <v/>
      </c>
      <c r="K103">
        <f>IF(N(J103)&lt;=0.005,0,ROUND(N(J103)*N('Debt List'!E5)/12,2))</f>
        <v/>
      </c>
      <c r="L103">
        <f>IF(N(J103)&lt;=0.005,0,MIN(N('Debt List'!F5),N(J103)+N(K103)))+((AP103=1)*AR103+(AT103=1)*AV103+(AX103=1)*AZ103+(BB103=1)*BD103+(BF103=1)*BH103+(BJ103=1)*BL103+(BN103=1)*BP103+(BR103=1)*BT103)</f>
        <v/>
      </c>
      <c r="M103">
        <f>MAX(0,ROUND(N(J103)+N(K103)-N(L103),2))</f>
        <v/>
      </c>
      <c r="N103">
        <f>N(Q102)</f>
        <v/>
      </c>
      <c r="O103">
        <f>IF(N(N103)&lt;=0.005,0,ROUND(N(N103)*N('Debt List'!E6)/12,2))</f>
        <v/>
      </c>
      <c r="P103">
        <f>IF(N(N103)&lt;=0.005,0,MIN(N('Debt List'!F6),N(N103)+N(O103)))+((AP103=2)*AR103+(AT103=2)*AV103+(AX103=2)*AZ103+(BB103=2)*BD103+(BF103=2)*BH103+(BJ103=2)*BL103+(BN103=2)*BP103+(BR103=2)*BT103)</f>
        <v/>
      </c>
      <c r="Q103">
        <f>MAX(0,ROUND(N(N103)+N(O103)-N(P103),2))</f>
        <v/>
      </c>
      <c r="R103">
        <f>N(U102)</f>
        <v/>
      </c>
      <c r="S103">
        <f>IF(N(R103)&lt;=0.005,0,ROUND(N(R103)*N('Debt List'!E7)/12,2))</f>
        <v/>
      </c>
      <c r="T103">
        <f>IF(N(R103)&lt;=0.005,0,MIN(N('Debt List'!F7),N(R103)+N(S103)))+((AP103=3)*AR103+(AT103=3)*AV103+(AX103=3)*AZ103+(BB103=3)*BD103+(BF103=3)*BH103+(BJ103=3)*BL103+(BN103=3)*BP103+(BR103=3)*BT103)</f>
        <v/>
      </c>
      <c r="U103">
        <f>MAX(0,ROUND(N(R103)+N(S103)-N(T103),2))</f>
        <v/>
      </c>
      <c r="V103">
        <f>N(Y102)</f>
        <v/>
      </c>
      <c r="W103">
        <f>IF(N(V103)&lt;=0.005,0,ROUND(N(V103)*N('Debt List'!E8)/12,2))</f>
        <v/>
      </c>
      <c r="X103">
        <f>IF(N(V103)&lt;=0.005,0,MIN(N('Debt List'!F8),N(V103)+N(W103)))+((AP103=4)*AR103+(AT103=4)*AV103+(AX103=4)*AZ103+(BB103=4)*BD103+(BF103=4)*BH103+(BJ103=4)*BL103+(BN103=4)*BP103+(BR103=4)*BT103)</f>
        <v/>
      </c>
      <c r="Y103">
        <f>MAX(0,ROUND(N(V103)+N(W103)-N(X103),2))</f>
        <v/>
      </c>
      <c r="Z103">
        <f>N(AC102)</f>
        <v/>
      </c>
      <c r="AA103">
        <f>IF(N(Z103)&lt;=0.005,0,ROUND(N(Z103)*N('Debt List'!E9)/12,2))</f>
        <v/>
      </c>
      <c r="AB103">
        <f>IF(N(Z103)&lt;=0.005,0,MIN(N('Debt List'!F9),N(Z103)+N(AA103)))+((AP103=5)*AR103+(AT103=5)*AV103+(AX103=5)*AZ103+(BB103=5)*BD103+(BF103=5)*BH103+(BJ103=5)*BL103+(BN103=5)*BP103+(BR103=5)*BT103)</f>
        <v/>
      </c>
      <c r="AC103">
        <f>MAX(0,ROUND(N(Z103)+N(AA103)-N(AB103),2))</f>
        <v/>
      </c>
      <c r="AD103">
        <f>N(AG102)</f>
        <v/>
      </c>
      <c r="AE103">
        <f>IF(N(AD103)&lt;=0.005,0,ROUND(N(AD103)*N('Debt List'!E10)/12,2))</f>
        <v/>
      </c>
      <c r="AF103">
        <f>IF(N(AD103)&lt;=0.005,0,MIN(N('Debt List'!F10),N(AD103)+N(AE103)))+((AP103=6)*AR103+(AT103=6)*AV103+(AX103=6)*AZ103+(BB103=6)*BD103+(BF103=6)*BH103+(BJ103=6)*BL103+(BN103=6)*BP103+(BR103=6)*BT103)</f>
        <v/>
      </c>
      <c r="AG103">
        <f>MAX(0,ROUND(N(AD103)+N(AE103)-N(AF103),2))</f>
        <v/>
      </c>
      <c r="AH103">
        <f>N(AK102)</f>
        <v/>
      </c>
      <c r="AI103">
        <f>IF(N(AH103)&lt;=0.005,0,ROUND(N(AH103)*N('Debt List'!E11)/12,2))</f>
        <v/>
      </c>
      <c r="AJ103">
        <f>IF(N(AH103)&lt;=0.005,0,MIN(N('Debt List'!F11),N(AH103)+N(AI103)))+((AP103=7)*AR103+(AT103=7)*AV103+(AX103=7)*AZ103+(BB103=7)*BD103+(BF103=7)*BH103+(BJ103=7)*BL103+(BN103=7)*BP103+(BR103=7)*BT103)</f>
        <v/>
      </c>
      <c r="AK103">
        <f>MAX(0,ROUND(N(AH103)+N(AI103)-N(AJ103),2))</f>
        <v/>
      </c>
      <c r="AL103">
        <f>N(AO102)</f>
        <v/>
      </c>
      <c r="AM103">
        <f>IF(N(AL103)&lt;=0.005,0,ROUND(N(AL103)*N('Debt List'!E12)/12,2))</f>
        <v/>
      </c>
      <c r="AN103">
        <f>IF(N(AL103)&lt;=0.005,0,MIN(N('Debt List'!F12),N(AL103)+N(AM103)))+((AP103=8)*AR103+(AT103=8)*AV103+(AX103=8)*AZ103+(BB103=8)*BD103+(BF103=8)*BH103+(BJ103=8)*BL103+(BN103=8)*BP103+(BR103=8)*BT103)</f>
        <v/>
      </c>
      <c r="AO103">
        <f>MAX(0,ROUND(N(AL103)+N(AM103)-N(AN103),2))</f>
        <v/>
      </c>
      <c r="AP103">
        <f>IFERROR(MATCH(1,OrderPlan,0),"")</f>
        <v/>
      </c>
      <c r="AQ103">
        <f>IF(AP103="",0,IFERROR(IF(N(CHOOSE(AP103,J103,N103,R103,V103,Z103,AD103,AH103,AL103))&lt;=0.005,0,MAX(0,N(CHOOSE(AP103,J103,N103,R103,V103,Z103,AD103,AH103,AL103))+N(CHOOSE(AP103,K103,O103,S103,W103,AA103,AE103,AI103,AM103))-MIN(N(CHOOSE(AP103,'Debt List'!$F$5,'Debt List'!$F$6,'Debt List'!$F$7,'Debt List'!$F$8,'Debt List'!$F$9,'Debt List'!$F$10,'Debt List'!$F$11,'Debt List'!$F$12)),N(CHOOSE(AP103,J103,N103,R103,V103,Z103,AD103,AH103,AL103))+N(CHOOSE(AP103,K103,O103,S103,W103,AA103,AE103,AI103,AM103))))),0))</f>
        <v/>
      </c>
      <c r="AR103">
        <f>MIN(N(AQ103),MAX(0,N(ExtraPayment)))</f>
        <v/>
      </c>
      <c r="AS103">
        <f>MAX(0,N(ExtraPayment)-N(AR103))</f>
        <v/>
      </c>
      <c r="AT103">
        <f>IFERROR(MATCH(2,OrderPlan,0),"")</f>
        <v/>
      </c>
      <c r="AU103">
        <f>IF(AT103="",0,IFERROR(IF(N(CHOOSE(AT103,J103,N103,R103,V103,Z103,AD103,AH103,AL103))&lt;=0.005,0,MAX(0,N(CHOOSE(AT103,J103,N103,R103,V103,Z103,AD103,AH103,AL103))+N(CHOOSE(AT103,K103,O103,S103,W103,AA103,AE103,AI103,AM103))-MIN(N(CHOOSE(AT103,'Debt List'!$F$5,'Debt List'!$F$6,'Debt List'!$F$7,'Debt List'!$F$8,'Debt List'!$F$9,'Debt List'!$F$10,'Debt List'!$F$11,'Debt List'!$F$12)),N(CHOOSE(AT103,J103,N103,R103,V103,Z103,AD103,AH103,AL103))+N(CHOOSE(AT103,K103,O103,S103,W103,AA103,AE103,AI103,AM103))))),0))</f>
        <v/>
      </c>
      <c r="AV103">
        <f>MIN(N(AU103),MAX(0,N(AS103)))</f>
        <v/>
      </c>
      <c r="AW103">
        <f>MAX(0,N(AS103)-N(AV103))</f>
        <v/>
      </c>
      <c r="AX103">
        <f>IFERROR(MATCH(3,OrderPlan,0),"")</f>
        <v/>
      </c>
      <c r="AY103">
        <f>IF(AX103="",0,IFERROR(IF(N(CHOOSE(AX103,J103,N103,R103,V103,Z103,AD103,AH103,AL103))&lt;=0.005,0,MAX(0,N(CHOOSE(AX103,J103,N103,R103,V103,Z103,AD103,AH103,AL103))+N(CHOOSE(AX103,K103,O103,S103,W103,AA103,AE103,AI103,AM103))-MIN(N(CHOOSE(AX103,'Debt List'!$F$5,'Debt List'!$F$6,'Debt List'!$F$7,'Debt List'!$F$8,'Debt List'!$F$9,'Debt List'!$F$10,'Debt List'!$F$11,'Debt List'!$F$12)),N(CHOOSE(AX103,J103,N103,R103,V103,Z103,AD103,AH103,AL103))+N(CHOOSE(AX103,K103,O103,S103,W103,AA103,AE103,AI103,AM103))))),0))</f>
        <v/>
      </c>
      <c r="AZ103">
        <f>MIN(N(AY103),MAX(0,N(AW103)))</f>
        <v/>
      </c>
      <c r="BA103">
        <f>MAX(0,N(AW103)-N(AZ103))</f>
        <v/>
      </c>
      <c r="BB103">
        <f>IFERROR(MATCH(4,OrderPlan,0),"")</f>
        <v/>
      </c>
      <c r="BC103">
        <f>IF(BB103="",0,IFERROR(IF(N(CHOOSE(BB103,J103,N103,R103,V103,Z103,AD103,AH103,AL103))&lt;=0.005,0,MAX(0,N(CHOOSE(BB103,J103,N103,R103,V103,Z103,AD103,AH103,AL103))+N(CHOOSE(BB103,K103,O103,S103,W103,AA103,AE103,AI103,AM103))-MIN(N(CHOOSE(BB103,'Debt List'!$F$5,'Debt List'!$F$6,'Debt List'!$F$7,'Debt List'!$F$8,'Debt List'!$F$9,'Debt List'!$F$10,'Debt List'!$F$11,'Debt List'!$F$12)),N(CHOOSE(BB103,J103,N103,R103,V103,Z103,AD103,AH103,AL103))+N(CHOOSE(BB103,K103,O103,S103,W103,AA103,AE103,AI103,AM103))))),0))</f>
        <v/>
      </c>
      <c r="BD103">
        <f>MIN(N(BC103),MAX(0,N(BA103)))</f>
        <v/>
      </c>
      <c r="BE103">
        <f>MAX(0,N(BA103)-N(BD103))</f>
        <v/>
      </c>
      <c r="BF103">
        <f>IFERROR(MATCH(5,OrderPlan,0),"")</f>
        <v/>
      </c>
      <c r="BG103">
        <f>IF(BF103="",0,IFERROR(IF(N(CHOOSE(BF103,J103,N103,R103,V103,Z103,AD103,AH103,AL103))&lt;=0.005,0,MAX(0,N(CHOOSE(BF103,J103,N103,R103,V103,Z103,AD103,AH103,AL103))+N(CHOOSE(BF103,K103,O103,S103,W103,AA103,AE103,AI103,AM103))-MIN(N(CHOOSE(BF103,'Debt List'!$F$5,'Debt List'!$F$6,'Debt List'!$F$7,'Debt List'!$F$8,'Debt List'!$F$9,'Debt List'!$F$10,'Debt List'!$F$11,'Debt List'!$F$12)),N(CHOOSE(BF103,J103,N103,R103,V103,Z103,AD103,AH103,AL103))+N(CHOOSE(BF103,K103,O103,S103,W103,AA103,AE103,AI103,AM103))))),0))</f>
        <v/>
      </c>
      <c r="BH103">
        <f>MIN(N(BG103),MAX(0,N(BE103)))</f>
        <v/>
      </c>
      <c r="BI103">
        <f>MAX(0,N(BE103)-N(BH103))</f>
        <v/>
      </c>
      <c r="BJ103">
        <f>IFERROR(MATCH(6,OrderPlan,0),"")</f>
        <v/>
      </c>
      <c r="BK103">
        <f>IF(BJ103="",0,IFERROR(IF(N(CHOOSE(BJ103,J103,N103,R103,V103,Z103,AD103,AH103,AL103))&lt;=0.005,0,MAX(0,N(CHOOSE(BJ103,J103,N103,R103,V103,Z103,AD103,AH103,AL103))+N(CHOOSE(BJ103,K103,O103,S103,W103,AA103,AE103,AI103,AM103))-MIN(N(CHOOSE(BJ103,'Debt List'!$F$5,'Debt List'!$F$6,'Debt List'!$F$7,'Debt List'!$F$8,'Debt List'!$F$9,'Debt List'!$F$10,'Debt List'!$F$11,'Debt List'!$F$12)),N(CHOOSE(BJ103,J103,N103,R103,V103,Z103,AD103,AH103,AL103))+N(CHOOSE(BJ103,K103,O103,S103,W103,AA103,AE103,AI103,AM103))))),0))</f>
        <v/>
      </c>
      <c r="BL103">
        <f>MIN(N(BK103),MAX(0,N(BI103)))</f>
        <v/>
      </c>
      <c r="BM103">
        <f>MAX(0,N(BI103)-N(BL103))</f>
        <v/>
      </c>
      <c r="BN103">
        <f>IFERROR(MATCH(7,OrderPlan,0),"")</f>
        <v/>
      </c>
      <c r="BO103">
        <f>IF(BN103="",0,IFERROR(IF(N(CHOOSE(BN103,J103,N103,R103,V103,Z103,AD103,AH103,AL103))&lt;=0.005,0,MAX(0,N(CHOOSE(BN103,J103,N103,R103,V103,Z103,AD103,AH103,AL103))+N(CHOOSE(BN103,K103,O103,S103,W103,AA103,AE103,AI103,AM103))-MIN(N(CHOOSE(BN103,'Debt List'!$F$5,'Debt List'!$F$6,'Debt List'!$F$7,'Debt List'!$F$8,'Debt List'!$F$9,'Debt List'!$F$10,'Debt List'!$F$11,'Debt List'!$F$12)),N(CHOOSE(BN103,J103,N103,R103,V103,Z103,AD103,AH103,AL103))+N(CHOOSE(BN103,K103,O103,S103,W103,AA103,AE103,AI103,AM103))))),0))</f>
        <v/>
      </c>
      <c r="BP103">
        <f>MIN(N(BO103),MAX(0,N(BM103)))</f>
        <v/>
      </c>
      <c r="BQ103">
        <f>MAX(0,N(BM103)-N(BP103))</f>
        <v/>
      </c>
      <c r="BR103">
        <f>IFERROR(MATCH(8,OrderPlan,0),"")</f>
        <v/>
      </c>
      <c r="BS103">
        <f>IF(BR103="",0,IFERROR(IF(N(CHOOSE(BR103,J103,N103,R103,V103,Z103,AD103,AH103,AL103))&lt;=0.005,0,MAX(0,N(CHOOSE(BR103,J103,N103,R103,V103,Z103,AD103,AH103,AL103))+N(CHOOSE(BR103,K103,O103,S103,W103,AA103,AE103,AI103,AM103))-MIN(N(CHOOSE(BR103,'Debt List'!$F$5,'Debt List'!$F$6,'Debt List'!$F$7,'Debt List'!$F$8,'Debt List'!$F$9,'Debt List'!$F$10,'Debt List'!$F$11,'Debt List'!$F$12)),N(CHOOSE(BR103,J103,N103,R103,V103,Z103,AD103,AH103,AL103))+N(CHOOSE(BR103,K103,O103,S103,W103,AA103,AE103,AI103,AM103))))),0))</f>
        <v/>
      </c>
      <c r="BT103">
        <f>MIN(N(BS103),MAX(0,N(BQ103)))</f>
        <v/>
      </c>
      <c r="BU103">
        <f>MAX(0,N(BQ103)-N(BT103))</f>
        <v/>
      </c>
      <c r="CC103" t="n">
        <v>99</v>
      </c>
      <c r="CD103" s="115">
        <f>DATE(YEAR(PlanStart),MONTH(PlanStart)+CC103-1,1)</f>
        <v/>
      </c>
      <c r="CE103">
        <f>IF(AND(DR103&lt;&gt;"",N(CHOOSE(DR103,CL103,CP103,CT103,CX103,DB103,DF103,DJ103,DN103))&gt;0.005),INDEX(DebtNames,DR103),IF(AND(DV103&lt;&gt;"",N(CHOOSE(DV103,CL103,CP103,CT103,CX103,DB103,DF103,DJ103,DN103))&gt;0.005),INDEX(DebtNames,DV103),IF(AND(DZ103&lt;&gt;"",N(CHOOSE(DZ103,CL103,CP103,CT103,CX103,DB103,DF103,DJ103,DN103))&gt;0.005),INDEX(DebtNames,DZ103),IF(AND(ED103&lt;&gt;"",N(CHOOSE(ED103,CL103,CP103,CT103,CX103,DB103,DF103,DJ103,DN103))&gt;0.005),INDEX(DebtNames,ED103),IF(AND(EH103&lt;&gt;"",N(CHOOSE(EH103,CL103,CP103,CT103,CX103,DB103,DF103,DJ103,DN103))&gt;0.005),INDEX(DebtNames,EH103),IF(AND(EL103&lt;&gt;"",N(CHOOSE(EL103,CL103,CP103,CT103,CX103,DB103,DF103,DJ103,DN103))&gt;0.005),INDEX(DebtNames,EL103),IF(AND(EP103&lt;&gt;"",N(CHOOSE(EP103,CL103,CP103,CT103,CX103,DB103,DF103,DJ103,DN103))&gt;0.005),INDEX(DebtNames,EP103),IF(AND(ET103&lt;&gt;"",N(CHOOSE(ET103,CL103,CP103,CT103,CX103,DB103,DF103,DJ103,DN103))&gt;0.005),INDEX(DebtNames,ET103),""))))))))</f>
        <v/>
      </c>
      <c r="CF103">
        <f>N(EW103)</f>
        <v/>
      </c>
      <c r="CG103">
        <f>N(CN103)+N(CR103)+N(CV103)+N(CZ103)+N(DD103)+N(DH103)+N(DL103)+N(DP103)</f>
        <v/>
      </c>
      <c r="CH103">
        <f>N(CM103)+N(CQ103)+N(CU103)+N(CY103)+N(DC103)+N(DG103)+N(DK103)+N(DO103)</f>
        <v/>
      </c>
      <c r="CI103">
        <f>N(CI102)+N(CH103)</f>
        <v/>
      </c>
      <c r="CJ103">
        <f>N(CO103)+N(CS103)+N(CW103)+N(DA103)+N(DE103)+N(DI103)+N(DM103)+N(DQ103)</f>
        <v/>
      </c>
      <c r="CK103">
        <f>(CO103&gt;0.005)*1+(CS103&gt;0.005)*1+(CW103&gt;0.005)*1+(DA103&gt;0.005)*1+(DE103&gt;0.005)*1+(DI103&gt;0.005)*1+(DM103&gt;0.005)*1+(DQ103&gt;0.005)*1</f>
        <v/>
      </c>
      <c r="CL103">
        <f>N(CO102)</f>
        <v/>
      </c>
      <c r="CM103">
        <f>IF(N(CL103)&lt;=0.005,0,ROUND(N(CL103)*N('Debt List'!E5)/12,2))</f>
        <v/>
      </c>
      <c r="CN103">
        <f>IF(N(CL103)&lt;=0.005,0,MIN(N('Debt List'!F5),N(CL103)+N(CM103)))+((DR103=1)*DT103+(DV103=1)*DX103+(DZ103=1)*EB103+(ED103=1)*EF103+(EH103=1)*EJ103+(EL103=1)*EN103+(EP103=1)*ER103+(ET103=1)*EV103)</f>
        <v/>
      </c>
      <c r="CO103">
        <f>MAX(0,ROUND(N(CL103)+N(CM103)-N(CN103),2))</f>
        <v/>
      </c>
      <c r="CP103">
        <f>N(CS102)</f>
        <v/>
      </c>
      <c r="CQ103">
        <f>IF(N(CP103)&lt;=0.005,0,ROUND(N(CP103)*N('Debt List'!E6)/12,2))</f>
        <v/>
      </c>
      <c r="CR103">
        <f>IF(N(CP103)&lt;=0.005,0,MIN(N('Debt List'!F6),N(CP103)+N(CQ103)))+((DR103=2)*DT103+(DV103=2)*DX103+(DZ103=2)*EB103+(ED103=2)*EF103+(EH103=2)*EJ103+(EL103=2)*EN103+(EP103=2)*ER103+(ET103=2)*EV103)</f>
        <v/>
      </c>
      <c r="CS103">
        <f>MAX(0,ROUND(N(CP103)+N(CQ103)-N(CR103),2))</f>
        <v/>
      </c>
      <c r="CT103">
        <f>N(CW102)</f>
        <v/>
      </c>
      <c r="CU103">
        <f>IF(N(CT103)&lt;=0.005,0,ROUND(N(CT103)*N('Debt List'!E7)/12,2))</f>
        <v/>
      </c>
      <c r="CV103">
        <f>IF(N(CT103)&lt;=0.005,0,MIN(N('Debt List'!F7),N(CT103)+N(CU103)))+((DR103=3)*DT103+(DV103=3)*DX103+(DZ103=3)*EB103+(ED103=3)*EF103+(EH103=3)*EJ103+(EL103=3)*EN103+(EP103=3)*ER103+(ET103=3)*EV103)</f>
        <v/>
      </c>
      <c r="CW103">
        <f>MAX(0,ROUND(N(CT103)+N(CU103)-N(CV103),2))</f>
        <v/>
      </c>
      <c r="CX103">
        <f>N(DA102)</f>
        <v/>
      </c>
      <c r="CY103">
        <f>IF(N(CX103)&lt;=0.005,0,ROUND(N(CX103)*N('Debt List'!E8)/12,2))</f>
        <v/>
      </c>
      <c r="CZ103">
        <f>IF(N(CX103)&lt;=0.005,0,MIN(N('Debt List'!F8),N(CX103)+N(CY103)))+((DR103=4)*DT103+(DV103=4)*DX103+(DZ103=4)*EB103+(ED103=4)*EF103+(EH103=4)*EJ103+(EL103=4)*EN103+(EP103=4)*ER103+(ET103=4)*EV103)</f>
        <v/>
      </c>
      <c r="DA103">
        <f>MAX(0,ROUND(N(CX103)+N(CY103)-N(CZ103),2))</f>
        <v/>
      </c>
      <c r="DB103">
        <f>N(DE102)</f>
        <v/>
      </c>
      <c r="DC103">
        <f>IF(N(DB103)&lt;=0.005,0,ROUND(N(DB103)*N('Debt List'!E9)/12,2))</f>
        <v/>
      </c>
      <c r="DD103">
        <f>IF(N(DB103)&lt;=0.005,0,MIN(N('Debt List'!F9),N(DB103)+N(DC103)))+((DR103=5)*DT103+(DV103=5)*DX103+(DZ103=5)*EB103+(ED103=5)*EF103+(EH103=5)*EJ103+(EL103=5)*EN103+(EP103=5)*ER103+(ET103=5)*EV103)</f>
        <v/>
      </c>
      <c r="DE103">
        <f>MAX(0,ROUND(N(DB103)+N(DC103)-N(DD103),2))</f>
        <v/>
      </c>
      <c r="DF103">
        <f>N(DI102)</f>
        <v/>
      </c>
      <c r="DG103">
        <f>IF(N(DF103)&lt;=0.005,0,ROUND(N(DF103)*N('Debt List'!E10)/12,2))</f>
        <v/>
      </c>
      <c r="DH103">
        <f>IF(N(DF103)&lt;=0.005,0,MIN(N('Debt List'!F10),N(DF103)+N(DG103)))+((DR103=6)*DT103+(DV103=6)*DX103+(DZ103=6)*EB103+(ED103=6)*EF103+(EH103=6)*EJ103+(EL103=6)*EN103+(EP103=6)*ER103+(ET103=6)*EV103)</f>
        <v/>
      </c>
      <c r="DI103">
        <f>MAX(0,ROUND(N(DF103)+N(DG103)-N(DH103),2))</f>
        <v/>
      </c>
      <c r="DJ103">
        <f>N(DM102)</f>
        <v/>
      </c>
      <c r="DK103">
        <f>IF(N(DJ103)&lt;=0.005,0,ROUND(N(DJ103)*N('Debt List'!E11)/12,2))</f>
        <v/>
      </c>
      <c r="DL103">
        <f>IF(N(DJ103)&lt;=0.005,0,MIN(N('Debt List'!F11),N(DJ103)+N(DK103)))+((DR103=7)*DT103+(DV103=7)*DX103+(DZ103=7)*EB103+(ED103=7)*EF103+(EH103=7)*EJ103+(EL103=7)*EN103+(EP103=7)*ER103+(ET103=7)*EV103)</f>
        <v/>
      </c>
      <c r="DM103">
        <f>MAX(0,ROUND(N(DJ103)+N(DK103)-N(DL103),2))</f>
        <v/>
      </c>
      <c r="DN103">
        <f>N(DQ102)</f>
        <v/>
      </c>
      <c r="DO103">
        <f>IF(N(DN103)&lt;=0.005,0,ROUND(N(DN103)*N('Debt List'!E12)/12,2))</f>
        <v/>
      </c>
      <c r="DP103">
        <f>IF(N(DN103)&lt;=0.005,0,MIN(N('Debt List'!F12),N(DN103)+N(DO103)))+((DR103=8)*DT103+(DV103=8)*DX103+(DZ103=8)*EB103+(ED103=8)*EF103+(EH103=8)*EJ103+(EL103=8)*EN103+(EP103=8)*ER103+(ET103=8)*EV103)</f>
        <v/>
      </c>
      <c r="DQ103">
        <f>MAX(0,ROUND(N(DN103)+N(DO103)-N(DP103),2))</f>
        <v/>
      </c>
      <c r="DR103">
        <f>IFERROR(MATCH(1,OrderSnow,0),"")</f>
        <v/>
      </c>
      <c r="DS103">
        <f>IF(DR103="",0,IFERROR(IF(N(CHOOSE(DR103,CL103,CP103,CT103,CX103,DB103,DF103,DJ103,DN103))&lt;=0.005,0,MAX(0,N(CHOOSE(DR103,CL103,CP103,CT103,CX103,DB103,DF103,DJ103,DN103))+N(CHOOSE(DR103,CM103,CQ103,CU103,CY103,DC103,DG103,DK103,DO103))-MIN(N(CHOOSE(DR103,'Debt List'!$F$5,'Debt List'!$F$6,'Debt List'!$F$7,'Debt List'!$F$8,'Debt List'!$F$9,'Debt List'!$F$10,'Debt List'!$F$11,'Debt List'!$F$12)),N(CHOOSE(DR103,CL103,CP103,CT103,CX103,DB103,DF103,DJ103,DN103))+N(CHOOSE(DR103,CM103,CQ103,CU103,CY103,DC103,DG103,DK103,DO103))))),0))</f>
        <v/>
      </c>
      <c r="DT103">
        <f>MIN(N(DS103),MAX(0,N(ExtraPayment)))</f>
        <v/>
      </c>
      <c r="DU103">
        <f>MAX(0,N(ExtraPayment)-N(DT103))</f>
        <v/>
      </c>
      <c r="DV103">
        <f>IFERROR(MATCH(2,OrderSnow,0),"")</f>
        <v/>
      </c>
      <c r="DW103">
        <f>IF(DV103="",0,IFERROR(IF(N(CHOOSE(DV103,CL103,CP103,CT103,CX103,DB103,DF103,DJ103,DN103))&lt;=0.005,0,MAX(0,N(CHOOSE(DV103,CL103,CP103,CT103,CX103,DB103,DF103,DJ103,DN103))+N(CHOOSE(DV103,CM103,CQ103,CU103,CY103,DC103,DG103,DK103,DO103))-MIN(N(CHOOSE(DV103,'Debt List'!$F$5,'Debt List'!$F$6,'Debt List'!$F$7,'Debt List'!$F$8,'Debt List'!$F$9,'Debt List'!$F$10,'Debt List'!$F$11,'Debt List'!$F$12)),N(CHOOSE(DV103,CL103,CP103,CT103,CX103,DB103,DF103,DJ103,DN103))+N(CHOOSE(DV103,CM103,CQ103,CU103,CY103,DC103,DG103,DK103,DO103))))),0))</f>
        <v/>
      </c>
      <c r="DX103">
        <f>MIN(N(DW103),MAX(0,N(DU103)))</f>
        <v/>
      </c>
      <c r="DY103">
        <f>MAX(0,N(DU103)-N(DX103))</f>
        <v/>
      </c>
      <c r="DZ103">
        <f>IFERROR(MATCH(3,OrderSnow,0),"")</f>
        <v/>
      </c>
      <c r="EA103">
        <f>IF(DZ103="",0,IFERROR(IF(N(CHOOSE(DZ103,CL103,CP103,CT103,CX103,DB103,DF103,DJ103,DN103))&lt;=0.005,0,MAX(0,N(CHOOSE(DZ103,CL103,CP103,CT103,CX103,DB103,DF103,DJ103,DN103))+N(CHOOSE(DZ103,CM103,CQ103,CU103,CY103,DC103,DG103,DK103,DO103))-MIN(N(CHOOSE(DZ103,'Debt List'!$F$5,'Debt List'!$F$6,'Debt List'!$F$7,'Debt List'!$F$8,'Debt List'!$F$9,'Debt List'!$F$10,'Debt List'!$F$11,'Debt List'!$F$12)),N(CHOOSE(DZ103,CL103,CP103,CT103,CX103,DB103,DF103,DJ103,DN103))+N(CHOOSE(DZ103,CM103,CQ103,CU103,CY103,DC103,DG103,DK103,DO103))))),0))</f>
        <v/>
      </c>
      <c r="EB103">
        <f>MIN(N(EA103),MAX(0,N(DY103)))</f>
        <v/>
      </c>
      <c r="EC103">
        <f>MAX(0,N(DY103)-N(EB103))</f>
        <v/>
      </c>
      <c r="ED103">
        <f>IFERROR(MATCH(4,OrderSnow,0),"")</f>
        <v/>
      </c>
      <c r="EE103">
        <f>IF(ED103="",0,IFERROR(IF(N(CHOOSE(ED103,CL103,CP103,CT103,CX103,DB103,DF103,DJ103,DN103))&lt;=0.005,0,MAX(0,N(CHOOSE(ED103,CL103,CP103,CT103,CX103,DB103,DF103,DJ103,DN103))+N(CHOOSE(ED103,CM103,CQ103,CU103,CY103,DC103,DG103,DK103,DO103))-MIN(N(CHOOSE(ED103,'Debt List'!$F$5,'Debt List'!$F$6,'Debt List'!$F$7,'Debt List'!$F$8,'Debt List'!$F$9,'Debt List'!$F$10,'Debt List'!$F$11,'Debt List'!$F$12)),N(CHOOSE(ED103,CL103,CP103,CT103,CX103,DB103,DF103,DJ103,DN103))+N(CHOOSE(ED103,CM103,CQ103,CU103,CY103,DC103,DG103,DK103,DO103))))),0))</f>
        <v/>
      </c>
      <c r="EF103">
        <f>MIN(N(EE103),MAX(0,N(EC103)))</f>
        <v/>
      </c>
      <c r="EG103">
        <f>MAX(0,N(EC103)-N(EF103))</f>
        <v/>
      </c>
      <c r="EH103">
        <f>IFERROR(MATCH(5,OrderSnow,0),"")</f>
        <v/>
      </c>
      <c r="EI103">
        <f>IF(EH103="",0,IFERROR(IF(N(CHOOSE(EH103,CL103,CP103,CT103,CX103,DB103,DF103,DJ103,DN103))&lt;=0.005,0,MAX(0,N(CHOOSE(EH103,CL103,CP103,CT103,CX103,DB103,DF103,DJ103,DN103))+N(CHOOSE(EH103,CM103,CQ103,CU103,CY103,DC103,DG103,DK103,DO103))-MIN(N(CHOOSE(EH103,'Debt List'!$F$5,'Debt List'!$F$6,'Debt List'!$F$7,'Debt List'!$F$8,'Debt List'!$F$9,'Debt List'!$F$10,'Debt List'!$F$11,'Debt List'!$F$12)),N(CHOOSE(EH103,CL103,CP103,CT103,CX103,DB103,DF103,DJ103,DN103))+N(CHOOSE(EH103,CM103,CQ103,CU103,CY103,DC103,DG103,DK103,DO103))))),0))</f>
        <v/>
      </c>
      <c r="EJ103">
        <f>MIN(N(EI103),MAX(0,N(EG103)))</f>
        <v/>
      </c>
      <c r="EK103">
        <f>MAX(0,N(EG103)-N(EJ103))</f>
        <v/>
      </c>
      <c r="EL103">
        <f>IFERROR(MATCH(6,OrderSnow,0),"")</f>
        <v/>
      </c>
      <c r="EM103">
        <f>IF(EL103="",0,IFERROR(IF(N(CHOOSE(EL103,CL103,CP103,CT103,CX103,DB103,DF103,DJ103,DN103))&lt;=0.005,0,MAX(0,N(CHOOSE(EL103,CL103,CP103,CT103,CX103,DB103,DF103,DJ103,DN103))+N(CHOOSE(EL103,CM103,CQ103,CU103,CY103,DC103,DG103,DK103,DO103))-MIN(N(CHOOSE(EL103,'Debt List'!$F$5,'Debt List'!$F$6,'Debt List'!$F$7,'Debt List'!$F$8,'Debt List'!$F$9,'Debt List'!$F$10,'Debt List'!$F$11,'Debt List'!$F$12)),N(CHOOSE(EL103,CL103,CP103,CT103,CX103,DB103,DF103,DJ103,DN103))+N(CHOOSE(EL103,CM103,CQ103,CU103,CY103,DC103,DG103,DK103,DO103))))),0))</f>
        <v/>
      </c>
      <c r="EN103">
        <f>MIN(N(EM103),MAX(0,N(EK103)))</f>
        <v/>
      </c>
      <c r="EO103">
        <f>MAX(0,N(EK103)-N(EN103))</f>
        <v/>
      </c>
      <c r="EP103">
        <f>IFERROR(MATCH(7,OrderSnow,0),"")</f>
        <v/>
      </c>
      <c r="EQ103">
        <f>IF(EP103="",0,IFERROR(IF(N(CHOOSE(EP103,CL103,CP103,CT103,CX103,DB103,DF103,DJ103,DN103))&lt;=0.005,0,MAX(0,N(CHOOSE(EP103,CL103,CP103,CT103,CX103,DB103,DF103,DJ103,DN103))+N(CHOOSE(EP103,CM103,CQ103,CU103,CY103,DC103,DG103,DK103,DO103))-MIN(N(CHOOSE(EP103,'Debt List'!$F$5,'Debt List'!$F$6,'Debt List'!$F$7,'Debt List'!$F$8,'Debt List'!$F$9,'Debt List'!$F$10,'Debt List'!$F$11,'Debt List'!$F$12)),N(CHOOSE(EP103,CL103,CP103,CT103,CX103,DB103,DF103,DJ103,DN103))+N(CHOOSE(EP103,CM103,CQ103,CU103,CY103,DC103,DG103,DK103,DO103))))),0))</f>
        <v/>
      </c>
      <c r="ER103">
        <f>MIN(N(EQ103),MAX(0,N(EO103)))</f>
        <v/>
      </c>
      <c r="ES103">
        <f>MAX(0,N(EO103)-N(ER103))</f>
        <v/>
      </c>
      <c r="ET103">
        <f>IFERROR(MATCH(8,OrderSnow,0),"")</f>
        <v/>
      </c>
      <c r="EU103">
        <f>IF(ET103="",0,IFERROR(IF(N(CHOOSE(ET103,CL103,CP103,CT103,CX103,DB103,DF103,DJ103,DN103))&lt;=0.005,0,MAX(0,N(CHOOSE(ET103,CL103,CP103,CT103,CX103,DB103,DF103,DJ103,DN103))+N(CHOOSE(ET103,CM103,CQ103,CU103,CY103,DC103,DG103,DK103,DO103))-MIN(N(CHOOSE(ET103,'Debt List'!$F$5,'Debt List'!$F$6,'Debt List'!$F$7,'Debt List'!$F$8,'Debt List'!$F$9,'Debt List'!$F$10,'Debt List'!$F$11,'Debt List'!$F$12)),N(CHOOSE(ET103,CL103,CP103,CT103,CX103,DB103,DF103,DJ103,DN103))+N(CHOOSE(ET103,CM103,CQ103,CU103,CY103,DC103,DG103,DK103,DO103))))),0))</f>
        <v/>
      </c>
      <c r="EV103">
        <f>MIN(N(EU103),MAX(0,N(ES103)))</f>
        <v/>
      </c>
      <c r="EW103">
        <f>MAX(0,N(ES103)-N(EV103))</f>
        <v/>
      </c>
      <c r="FE103" t="n">
        <v>99</v>
      </c>
      <c r="FF103" s="115">
        <f>DATE(YEAR(PlanStart),MONTH(PlanStart)+FE103-1,1)</f>
        <v/>
      </c>
      <c r="FG103">
        <f>IF(AND(GT103&lt;&gt;"",N(CHOOSE(GT103,FN103,FR103,FV103,FZ103,GD103,GH103,GL103,GP103))&gt;0.005),INDEX(DebtNames,GT103),IF(AND(GX103&lt;&gt;"",N(CHOOSE(GX103,FN103,FR103,FV103,FZ103,GD103,GH103,GL103,GP103))&gt;0.005),INDEX(DebtNames,GX103),IF(AND(HB103&lt;&gt;"",N(CHOOSE(HB103,FN103,FR103,FV103,FZ103,GD103,GH103,GL103,GP103))&gt;0.005),INDEX(DebtNames,HB103),IF(AND(HF103&lt;&gt;"",N(CHOOSE(HF103,FN103,FR103,FV103,FZ103,GD103,GH103,GL103,GP103))&gt;0.005),INDEX(DebtNames,HF103),IF(AND(HJ103&lt;&gt;"",N(CHOOSE(HJ103,FN103,FR103,FV103,FZ103,GD103,GH103,GL103,GP103))&gt;0.005),INDEX(DebtNames,HJ103),IF(AND(HN103&lt;&gt;"",N(CHOOSE(HN103,FN103,FR103,FV103,FZ103,GD103,GH103,GL103,GP103))&gt;0.005),INDEX(DebtNames,HN103),IF(AND(HR103&lt;&gt;"",N(CHOOSE(HR103,FN103,FR103,FV103,FZ103,GD103,GH103,GL103,GP103))&gt;0.005),INDEX(DebtNames,HR103),IF(AND(HV103&lt;&gt;"",N(CHOOSE(HV103,FN103,FR103,FV103,FZ103,GD103,GH103,GL103,GP103))&gt;0.005),INDEX(DebtNames,HV103),""))))))))</f>
        <v/>
      </c>
      <c r="FH103">
        <f>N(HY103)</f>
        <v/>
      </c>
      <c r="FI103">
        <f>N(FP103)+N(FT103)+N(FX103)+N(GB103)+N(GF103)+N(GJ103)+N(GN103)+N(GR103)</f>
        <v/>
      </c>
      <c r="FJ103">
        <f>N(FO103)+N(FS103)+N(FW103)+N(GA103)+N(GE103)+N(GI103)+N(GM103)+N(GQ103)</f>
        <v/>
      </c>
      <c r="FK103">
        <f>N(FK102)+N(FJ103)</f>
        <v/>
      </c>
      <c r="FL103">
        <f>N(FQ103)+N(FU103)+N(FY103)+N(GC103)+N(GG103)+N(GK103)+N(GO103)+N(GS103)</f>
        <v/>
      </c>
      <c r="FM103">
        <f>(FQ103&gt;0.005)*1+(FU103&gt;0.005)*1+(FY103&gt;0.005)*1+(GC103&gt;0.005)*1+(GG103&gt;0.005)*1+(GK103&gt;0.005)*1+(GO103&gt;0.005)*1+(GS103&gt;0.005)*1</f>
        <v/>
      </c>
      <c r="FN103">
        <f>N(FQ102)</f>
        <v/>
      </c>
      <c r="FO103">
        <f>IF(N(FN103)&lt;=0.005,0,ROUND(N(FN103)*N('Debt List'!E5)/12,2))</f>
        <v/>
      </c>
      <c r="FP103">
        <f>IF(N(FN103)&lt;=0.005,0,MIN(N('Debt List'!F5),N(FN103)+N(FO103)))+((GT103=1)*GV103+(GX103=1)*GZ103+(HB103=1)*HD103+(HF103=1)*HH103+(HJ103=1)*HL103+(HN103=1)*HP103+(HR103=1)*HT103+(HV103=1)*HX103)</f>
        <v/>
      </c>
      <c r="FQ103">
        <f>MAX(0,ROUND(N(FN103)+N(FO103)-N(FP103),2))</f>
        <v/>
      </c>
      <c r="FR103">
        <f>N(FU102)</f>
        <v/>
      </c>
      <c r="FS103">
        <f>IF(N(FR103)&lt;=0.005,0,ROUND(N(FR103)*N('Debt List'!E6)/12,2))</f>
        <v/>
      </c>
      <c r="FT103">
        <f>IF(N(FR103)&lt;=0.005,0,MIN(N('Debt List'!F6),N(FR103)+N(FS103)))+((GT103=2)*GV103+(GX103=2)*GZ103+(HB103=2)*HD103+(HF103=2)*HH103+(HJ103=2)*HL103+(HN103=2)*HP103+(HR103=2)*HT103+(HV103=2)*HX103)</f>
        <v/>
      </c>
      <c r="FU103">
        <f>MAX(0,ROUND(N(FR103)+N(FS103)-N(FT103),2))</f>
        <v/>
      </c>
      <c r="FV103">
        <f>N(FY102)</f>
        <v/>
      </c>
      <c r="FW103">
        <f>IF(N(FV103)&lt;=0.005,0,ROUND(N(FV103)*N('Debt List'!E7)/12,2))</f>
        <v/>
      </c>
      <c r="FX103">
        <f>IF(N(FV103)&lt;=0.005,0,MIN(N('Debt List'!F7),N(FV103)+N(FW103)))+((GT103=3)*GV103+(GX103=3)*GZ103+(HB103=3)*HD103+(HF103=3)*HH103+(HJ103=3)*HL103+(HN103=3)*HP103+(HR103=3)*HT103+(HV103=3)*HX103)</f>
        <v/>
      </c>
      <c r="FY103">
        <f>MAX(0,ROUND(N(FV103)+N(FW103)-N(FX103),2))</f>
        <v/>
      </c>
      <c r="FZ103">
        <f>N(GC102)</f>
        <v/>
      </c>
      <c r="GA103">
        <f>IF(N(FZ103)&lt;=0.005,0,ROUND(N(FZ103)*N('Debt List'!E8)/12,2))</f>
        <v/>
      </c>
      <c r="GB103">
        <f>IF(N(FZ103)&lt;=0.005,0,MIN(N('Debt List'!F8),N(FZ103)+N(GA103)))+((GT103=4)*GV103+(GX103=4)*GZ103+(HB103=4)*HD103+(HF103=4)*HH103+(HJ103=4)*HL103+(HN103=4)*HP103+(HR103=4)*HT103+(HV103=4)*HX103)</f>
        <v/>
      </c>
      <c r="GC103">
        <f>MAX(0,ROUND(N(FZ103)+N(GA103)-N(GB103),2))</f>
        <v/>
      </c>
      <c r="GD103">
        <f>N(GG102)</f>
        <v/>
      </c>
      <c r="GE103">
        <f>IF(N(GD103)&lt;=0.005,0,ROUND(N(GD103)*N('Debt List'!E9)/12,2))</f>
        <v/>
      </c>
      <c r="GF103">
        <f>IF(N(GD103)&lt;=0.005,0,MIN(N('Debt List'!F9),N(GD103)+N(GE103)))+((GT103=5)*GV103+(GX103=5)*GZ103+(HB103=5)*HD103+(HF103=5)*HH103+(HJ103=5)*HL103+(HN103=5)*HP103+(HR103=5)*HT103+(HV103=5)*HX103)</f>
        <v/>
      </c>
      <c r="GG103">
        <f>MAX(0,ROUND(N(GD103)+N(GE103)-N(GF103),2))</f>
        <v/>
      </c>
      <c r="GH103">
        <f>N(GK102)</f>
        <v/>
      </c>
      <c r="GI103">
        <f>IF(N(GH103)&lt;=0.005,0,ROUND(N(GH103)*N('Debt List'!E10)/12,2))</f>
        <v/>
      </c>
      <c r="GJ103">
        <f>IF(N(GH103)&lt;=0.005,0,MIN(N('Debt List'!F10),N(GH103)+N(GI103)))+((GT103=6)*GV103+(GX103=6)*GZ103+(HB103=6)*HD103+(HF103=6)*HH103+(HJ103=6)*HL103+(HN103=6)*HP103+(HR103=6)*HT103+(HV103=6)*HX103)</f>
        <v/>
      </c>
      <c r="GK103">
        <f>MAX(0,ROUND(N(GH103)+N(GI103)-N(GJ103),2))</f>
        <v/>
      </c>
      <c r="GL103">
        <f>N(GO102)</f>
        <v/>
      </c>
      <c r="GM103">
        <f>IF(N(GL103)&lt;=0.005,0,ROUND(N(GL103)*N('Debt List'!E11)/12,2))</f>
        <v/>
      </c>
      <c r="GN103">
        <f>IF(N(GL103)&lt;=0.005,0,MIN(N('Debt List'!F11),N(GL103)+N(GM103)))+((GT103=7)*GV103+(GX103=7)*GZ103+(HB103=7)*HD103+(HF103=7)*HH103+(HJ103=7)*HL103+(HN103=7)*HP103+(HR103=7)*HT103+(HV103=7)*HX103)</f>
        <v/>
      </c>
      <c r="GO103">
        <f>MAX(0,ROUND(N(GL103)+N(GM103)-N(GN103),2))</f>
        <v/>
      </c>
      <c r="GP103">
        <f>N(GS102)</f>
        <v/>
      </c>
      <c r="GQ103">
        <f>IF(N(GP103)&lt;=0.005,0,ROUND(N(GP103)*N('Debt List'!E12)/12,2))</f>
        <v/>
      </c>
      <c r="GR103">
        <f>IF(N(GP103)&lt;=0.005,0,MIN(N('Debt List'!F12),N(GP103)+N(GQ103)))+((GT103=8)*GV103+(GX103=8)*GZ103+(HB103=8)*HD103+(HF103=8)*HH103+(HJ103=8)*HL103+(HN103=8)*HP103+(HR103=8)*HT103+(HV103=8)*HX103)</f>
        <v/>
      </c>
      <c r="GS103">
        <f>MAX(0,ROUND(N(GP103)+N(GQ103)-N(GR103),2))</f>
        <v/>
      </c>
      <c r="GT103">
        <f>IFERROR(MATCH(1,OrderAval,0),"")</f>
        <v/>
      </c>
      <c r="GU103">
        <f>IF(GT103="",0,IFERROR(IF(N(CHOOSE(GT103,FN103,FR103,FV103,FZ103,GD103,GH103,GL103,GP103))&lt;=0.005,0,MAX(0,N(CHOOSE(GT103,FN103,FR103,FV103,FZ103,GD103,GH103,GL103,GP103))+N(CHOOSE(GT103,FO103,FS103,FW103,GA103,GE103,GI103,GM103,GQ103))-MIN(N(CHOOSE(GT103,'Debt List'!$F$5,'Debt List'!$F$6,'Debt List'!$F$7,'Debt List'!$F$8,'Debt List'!$F$9,'Debt List'!$F$10,'Debt List'!$F$11,'Debt List'!$F$12)),N(CHOOSE(GT103,FN103,FR103,FV103,FZ103,GD103,GH103,GL103,GP103))+N(CHOOSE(GT103,FO103,FS103,FW103,GA103,GE103,GI103,GM103,GQ103))))),0))</f>
        <v/>
      </c>
      <c r="GV103">
        <f>MIN(N(GU103),MAX(0,N(ExtraPayment)))</f>
        <v/>
      </c>
      <c r="GW103">
        <f>MAX(0,N(ExtraPayment)-N(GV103))</f>
        <v/>
      </c>
      <c r="GX103">
        <f>IFERROR(MATCH(2,OrderAval,0),"")</f>
        <v/>
      </c>
      <c r="GY103">
        <f>IF(GX103="",0,IFERROR(IF(N(CHOOSE(GX103,FN103,FR103,FV103,FZ103,GD103,GH103,GL103,GP103))&lt;=0.005,0,MAX(0,N(CHOOSE(GX103,FN103,FR103,FV103,FZ103,GD103,GH103,GL103,GP103))+N(CHOOSE(GX103,FO103,FS103,FW103,GA103,GE103,GI103,GM103,GQ103))-MIN(N(CHOOSE(GX103,'Debt List'!$F$5,'Debt List'!$F$6,'Debt List'!$F$7,'Debt List'!$F$8,'Debt List'!$F$9,'Debt List'!$F$10,'Debt List'!$F$11,'Debt List'!$F$12)),N(CHOOSE(GX103,FN103,FR103,FV103,FZ103,GD103,GH103,GL103,GP103))+N(CHOOSE(GX103,FO103,FS103,FW103,GA103,GE103,GI103,GM103,GQ103))))),0))</f>
        <v/>
      </c>
      <c r="GZ103">
        <f>MIN(N(GY103),MAX(0,N(GW103)))</f>
        <v/>
      </c>
      <c r="HA103">
        <f>MAX(0,N(GW103)-N(GZ103))</f>
        <v/>
      </c>
      <c r="HB103">
        <f>IFERROR(MATCH(3,OrderAval,0),"")</f>
        <v/>
      </c>
      <c r="HC103">
        <f>IF(HB103="",0,IFERROR(IF(N(CHOOSE(HB103,FN103,FR103,FV103,FZ103,GD103,GH103,GL103,GP103))&lt;=0.005,0,MAX(0,N(CHOOSE(HB103,FN103,FR103,FV103,FZ103,GD103,GH103,GL103,GP103))+N(CHOOSE(HB103,FO103,FS103,FW103,GA103,GE103,GI103,GM103,GQ103))-MIN(N(CHOOSE(HB103,'Debt List'!$F$5,'Debt List'!$F$6,'Debt List'!$F$7,'Debt List'!$F$8,'Debt List'!$F$9,'Debt List'!$F$10,'Debt List'!$F$11,'Debt List'!$F$12)),N(CHOOSE(HB103,FN103,FR103,FV103,FZ103,GD103,GH103,GL103,GP103))+N(CHOOSE(HB103,FO103,FS103,FW103,GA103,GE103,GI103,GM103,GQ103))))),0))</f>
        <v/>
      </c>
      <c r="HD103">
        <f>MIN(N(HC103),MAX(0,N(HA103)))</f>
        <v/>
      </c>
      <c r="HE103">
        <f>MAX(0,N(HA103)-N(HD103))</f>
        <v/>
      </c>
      <c r="HF103">
        <f>IFERROR(MATCH(4,OrderAval,0),"")</f>
        <v/>
      </c>
      <c r="HG103">
        <f>IF(HF103="",0,IFERROR(IF(N(CHOOSE(HF103,FN103,FR103,FV103,FZ103,GD103,GH103,GL103,GP103))&lt;=0.005,0,MAX(0,N(CHOOSE(HF103,FN103,FR103,FV103,FZ103,GD103,GH103,GL103,GP103))+N(CHOOSE(HF103,FO103,FS103,FW103,GA103,GE103,GI103,GM103,GQ103))-MIN(N(CHOOSE(HF103,'Debt List'!$F$5,'Debt List'!$F$6,'Debt List'!$F$7,'Debt List'!$F$8,'Debt List'!$F$9,'Debt List'!$F$10,'Debt List'!$F$11,'Debt List'!$F$12)),N(CHOOSE(HF103,FN103,FR103,FV103,FZ103,GD103,GH103,GL103,GP103))+N(CHOOSE(HF103,FO103,FS103,FW103,GA103,GE103,GI103,GM103,GQ103))))),0))</f>
        <v/>
      </c>
      <c r="HH103">
        <f>MIN(N(HG103),MAX(0,N(HE103)))</f>
        <v/>
      </c>
      <c r="HI103">
        <f>MAX(0,N(HE103)-N(HH103))</f>
        <v/>
      </c>
      <c r="HJ103">
        <f>IFERROR(MATCH(5,OrderAval,0),"")</f>
        <v/>
      </c>
      <c r="HK103">
        <f>IF(HJ103="",0,IFERROR(IF(N(CHOOSE(HJ103,FN103,FR103,FV103,FZ103,GD103,GH103,GL103,GP103))&lt;=0.005,0,MAX(0,N(CHOOSE(HJ103,FN103,FR103,FV103,FZ103,GD103,GH103,GL103,GP103))+N(CHOOSE(HJ103,FO103,FS103,FW103,GA103,GE103,GI103,GM103,GQ103))-MIN(N(CHOOSE(HJ103,'Debt List'!$F$5,'Debt List'!$F$6,'Debt List'!$F$7,'Debt List'!$F$8,'Debt List'!$F$9,'Debt List'!$F$10,'Debt List'!$F$11,'Debt List'!$F$12)),N(CHOOSE(HJ103,FN103,FR103,FV103,FZ103,GD103,GH103,GL103,GP103))+N(CHOOSE(HJ103,FO103,FS103,FW103,GA103,GE103,GI103,GM103,GQ103))))),0))</f>
        <v/>
      </c>
      <c r="HL103">
        <f>MIN(N(HK103),MAX(0,N(HI103)))</f>
        <v/>
      </c>
      <c r="HM103">
        <f>MAX(0,N(HI103)-N(HL103))</f>
        <v/>
      </c>
      <c r="HN103">
        <f>IFERROR(MATCH(6,OrderAval,0),"")</f>
        <v/>
      </c>
      <c r="HO103">
        <f>IF(HN103="",0,IFERROR(IF(N(CHOOSE(HN103,FN103,FR103,FV103,FZ103,GD103,GH103,GL103,GP103))&lt;=0.005,0,MAX(0,N(CHOOSE(HN103,FN103,FR103,FV103,FZ103,GD103,GH103,GL103,GP103))+N(CHOOSE(HN103,FO103,FS103,FW103,GA103,GE103,GI103,GM103,GQ103))-MIN(N(CHOOSE(HN103,'Debt List'!$F$5,'Debt List'!$F$6,'Debt List'!$F$7,'Debt List'!$F$8,'Debt List'!$F$9,'Debt List'!$F$10,'Debt List'!$F$11,'Debt List'!$F$12)),N(CHOOSE(HN103,FN103,FR103,FV103,FZ103,GD103,GH103,GL103,GP103))+N(CHOOSE(HN103,FO103,FS103,FW103,GA103,GE103,GI103,GM103,GQ103))))),0))</f>
        <v/>
      </c>
      <c r="HP103">
        <f>MIN(N(HO103),MAX(0,N(HM103)))</f>
        <v/>
      </c>
      <c r="HQ103">
        <f>MAX(0,N(HM103)-N(HP103))</f>
        <v/>
      </c>
      <c r="HR103">
        <f>IFERROR(MATCH(7,OrderAval,0),"")</f>
        <v/>
      </c>
      <c r="HS103">
        <f>IF(HR103="",0,IFERROR(IF(N(CHOOSE(HR103,FN103,FR103,FV103,FZ103,GD103,GH103,GL103,GP103))&lt;=0.005,0,MAX(0,N(CHOOSE(HR103,FN103,FR103,FV103,FZ103,GD103,GH103,GL103,GP103))+N(CHOOSE(HR103,FO103,FS103,FW103,GA103,GE103,GI103,GM103,GQ103))-MIN(N(CHOOSE(HR103,'Debt List'!$F$5,'Debt List'!$F$6,'Debt List'!$F$7,'Debt List'!$F$8,'Debt List'!$F$9,'Debt List'!$F$10,'Debt List'!$F$11,'Debt List'!$F$12)),N(CHOOSE(HR103,FN103,FR103,FV103,FZ103,GD103,GH103,GL103,GP103))+N(CHOOSE(HR103,FO103,FS103,FW103,GA103,GE103,GI103,GM103,GQ103))))),0))</f>
        <v/>
      </c>
      <c r="HT103">
        <f>MIN(N(HS103),MAX(0,N(HQ103)))</f>
        <v/>
      </c>
      <c r="HU103">
        <f>MAX(0,N(HQ103)-N(HT103))</f>
        <v/>
      </c>
      <c r="HV103">
        <f>IFERROR(MATCH(8,OrderAval,0),"")</f>
        <v/>
      </c>
      <c r="HW103">
        <f>IF(HV103="",0,IFERROR(IF(N(CHOOSE(HV103,FN103,FR103,FV103,FZ103,GD103,GH103,GL103,GP103))&lt;=0.005,0,MAX(0,N(CHOOSE(HV103,FN103,FR103,FV103,FZ103,GD103,GH103,GL103,GP103))+N(CHOOSE(HV103,FO103,FS103,FW103,GA103,GE103,GI103,GM103,GQ103))-MIN(N(CHOOSE(HV103,'Debt List'!$F$5,'Debt List'!$F$6,'Debt List'!$F$7,'Debt List'!$F$8,'Debt List'!$F$9,'Debt List'!$F$10,'Debt List'!$F$11,'Debt List'!$F$12)),N(CHOOSE(HV103,FN103,FR103,FV103,FZ103,GD103,GH103,GL103,GP103))+N(CHOOSE(HV103,FO103,FS103,FW103,GA103,GE103,GI103,GM103,GQ103))))),0))</f>
        <v/>
      </c>
      <c r="HX103">
        <f>MIN(N(HW103),MAX(0,N(HU103)))</f>
        <v/>
      </c>
      <c r="HY103">
        <f>MAX(0,N(HU103)-N(HX103))</f>
        <v/>
      </c>
    </row>
    <row r="104">
      <c r="A104" t="n">
        <v>100</v>
      </c>
      <c r="B104" s="115">
        <f>DATE(YEAR(PlanStart),MONTH(PlanStart)+A104-1,1)</f>
        <v/>
      </c>
      <c r="C104">
        <f>IF(AND(AP104&lt;&gt;"",N(CHOOSE(AP104,J104,N104,R104,V104,Z104,AD104,AH104,AL104))&gt;0.005),INDEX(DebtNames,AP104),IF(AND(AT104&lt;&gt;"",N(CHOOSE(AT104,J104,N104,R104,V104,Z104,AD104,AH104,AL104))&gt;0.005),INDEX(DebtNames,AT104),IF(AND(AX104&lt;&gt;"",N(CHOOSE(AX104,J104,N104,R104,V104,Z104,AD104,AH104,AL104))&gt;0.005),INDEX(DebtNames,AX104),IF(AND(BB104&lt;&gt;"",N(CHOOSE(BB104,J104,N104,R104,V104,Z104,AD104,AH104,AL104))&gt;0.005),INDEX(DebtNames,BB104),IF(AND(BF104&lt;&gt;"",N(CHOOSE(BF104,J104,N104,R104,V104,Z104,AD104,AH104,AL104))&gt;0.005),INDEX(DebtNames,BF104),IF(AND(BJ104&lt;&gt;"",N(CHOOSE(BJ104,J104,N104,R104,V104,Z104,AD104,AH104,AL104))&gt;0.005),INDEX(DebtNames,BJ104),IF(AND(BN104&lt;&gt;"",N(CHOOSE(BN104,J104,N104,R104,V104,Z104,AD104,AH104,AL104))&gt;0.005),INDEX(DebtNames,BN104),IF(AND(BR104&lt;&gt;"",N(CHOOSE(BR104,J104,N104,R104,V104,Z104,AD104,AH104,AL104))&gt;0.005),INDEX(DebtNames,BR104),""))))))))</f>
        <v/>
      </c>
      <c r="D104">
        <f>N(BU104)</f>
        <v/>
      </c>
      <c r="E104">
        <f>N(L104)+N(P104)+N(T104)+N(X104)+N(AB104)+N(AF104)+N(AJ104)+N(AN104)</f>
        <v/>
      </c>
      <c r="F104">
        <f>N(K104)+N(O104)+N(S104)+N(W104)+N(AA104)+N(AE104)+N(AI104)+N(AM104)</f>
        <v/>
      </c>
      <c r="G104">
        <f>N(G103)+N(F104)</f>
        <v/>
      </c>
      <c r="H104">
        <f>N(M104)+N(Q104)+N(U104)+N(Y104)+N(AC104)+N(AG104)+N(AK104)+N(AO104)</f>
        <v/>
      </c>
      <c r="I104">
        <f>(M104&gt;0.005)*1+(Q104&gt;0.005)*1+(U104&gt;0.005)*1+(Y104&gt;0.005)*1+(AC104&gt;0.005)*1+(AG104&gt;0.005)*1+(AK104&gt;0.005)*1+(AO104&gt;0.005)*1</f>
        <v/>
      </c>
      <c r="J104">
        <f>N(M103)</f>
        <v/>
      </c>
      <c r="K104">
        <f>IF(N(J104)&lt;=0.005,0,ROUND(N(J104)*N('Debt List'!E5)/12,2))</f>
        <v/>
      </c>
      <c r="L104">
        <f>IF(N(J104)&lt;=0.005,0,MIN(N('Debt List'!F5),N(J104)+N(K104)))+((AP104=1)*AR104+(AT104=1)*AV104+(AX104=1)*AZ104+(BB104=1)*BD104+(BF104=1)*BH104+(BJ104=1)*BL104+(BN104=1)*BP104+(BR104=1)*BT104)</f>
        <v/>
      </c>
      <c r="M104">
        <f>MAX(0,ROUND(N(J104)+N(K104)-N(L104),2))</f>
        <v/>
      </c>
      <c r="N104">
        <f>N(Q103)</f>
        <v/>
      </c>
      <c r="O104">
        <f>IF(N(N104)&lt;=0.005,0,ROUND(N(N104)*N('Debt List'!E6)/12,2))</f>
        <v/>
      </c>
      <c r="P104">
        <f>IF(N(N104)&lt;=0.005,0,MIN(N('Debt List'!F6),N(N104)+N(O104)))+((AP104=2)*AR104+(AT104=2)*AV104+(AX104=2)*AZ104+(BB104=2)*BD104+(BF104=2)*BH104+(BJ104=2)*BL104+(BN104=2)*BP104+(BR104=2)*BT104)</f>
        <v/>
      </c>
      <c r="Q104">
        <f>MAX(0,ROUND(N(N104)+N(O104)-N(P104),2))</f>
        <v/>
      </c>
      <c r="R104">
        <f>N(U103)</f>
        <v/>
      </c>
      <c r="S104">
        <f>IF(N(R104)&lt;=0.005,0,ROUND(N(R104)*N('Debt List'!E7)/12,2))</f>
        <v/>
      </c>
      <c r="T104">
        <f>IF(N(R104)&lt;=0.005,0,MIN(N('Debt List'!F7),N(R104)+N(S104)))+((AP104=3)*AR104+(AT104=3)*AV104+(AX104=3)*AZ104+(BB104=3)*BD104+(BF104=3)*BH104+(BJ104=3)*BL104+(BN104=3)*BP104+(BR104=3)*BT104)</f>
        <v/>
      </c>
      <c r="U104">
        <f>MAX(0,ROUND(N(R104)+N(S104)-N(T104),2))</f>
        <v/>
      </c>
      <c r="V104">
        <f>N(Y103)</f>
        <v/>
      </c>
      <c r="W104">
        <f>IF(N(V104)&lt;=0.005,0,ROUND(N(V104)*N('Debt List'!E8)/12,2))</f>
        <v/>
      </c>
      <c r="X104">
        <f>IF(N(V104)&lt;=0.005,0,MIN(N('Debt List'!F8),N(V104)+N(W104)))+((AP104=4)*AR104+(AT104=4)*AV104+(AX104=4)*AZ104+(BB104=4)*BD104+(BF104=4)*BH104+(BJ104=4)*BL104+(BN104=4)*BP104+(BR104=4)*BT104)</f>
        <v/>
      </c>
      <c r="Y104">
        <f>MAX(0,ROUND(N(V104)+N(W104)-N(X104),2))</f>
        <v/>
      </c>
      <c r="Z104">
        <f>N(AC103)</f>
        <v/>
      </c>
      <c r="AA104">
        <f>IF(N(Z104)&lt;=0.005,0,ROUND(N(Z104)*N('Debt List'!E9)/12,2))</f>
        <v/>
      </c>
      <c r="AB104">
        <f>IF(N(Z104)&lt;=0.005,0,MIN(N('Debt List'!F9),N(Z104)+N(AA104)))+((AP104=5)*AR104+(AT104=5)*AV104+(AX104=5)*AZ104+(BB104=5)*BD104+(BF104=5)*BH104+(BJ104=5)*BL104+(BN104=5)*BP104+(BR104=5)*BT104)</f>
        <v/>
      </c>
      <c r="AC104">
        <f>MAX(0,ROUND(N(Z104)+N(AA104)-N(AB104),2))</f>
        <v/>
      </c>
      <c r="AD104">
        <f>N(AG103)</f>
        <v/>
      </c>
      <c r="AE104">
        <f>IF(N(AD104)&lt;=0.005,0,ROUND(N(AD104)*N('Debt List'!E10)/12,2))</f>
        <v/>
      </c>
      <c r="AF104">
        <f>IF(N(AD104)&lt;=0.005,0,MIN(N('Debt List'!F10),N(AD104)+N(AE104)))+((AP104=6)*AR104+(AT104=6)*AV104+(AX104=6)*AZ104+(BB104=6)*BD104+(BF104=6)*BH104+(BJ104=6)*BL104+(BN104=6)*BP104+(BR104=6)*BT104)</f>
        <v/>
      </c>
      <c r="AG104">
        <f>MAX(0,ROUND(N(AD104)+N(AE104)-N(AF104),2))</f>
        <v/>
      </c>
      <c r="AH104">
        <f>N(AK103)</f>
        <v/>
      </c>
      <c r="AI104">
        <f>IF(N(AH104)&lt;=0.005,0,ROUND(N(AH104)*N('Debt List'!E11)/12,2))</f>
        <v/>
      </c>
      <c r="AJ104">
        <f>IF(N(AH104)&lt;=0.005,0,MIN(N('Debt List'!F11),N(AH104)+N(AI104)))+((AP104=7)*AR104+(AT104=7)*AV104+(AX104=7)*AZ104+(BB104=7)*BD104+(BF104=7)*BH104+(BJ104=7)*BL104+(BN104=7)*BP104+(BR104=7)*BT104)</f>
        <v/>
      </c>
      <c r="AK104">
        <f>MAX(0,ROUND(N(AH104)+N(AI104)-N(AJ104),2))</f>
        <v/>
      </c>
      <c r="AL104">
        <f>N(AO103)</f>
        <v/>
      </c>
      <c r="AM104">
        <f>IF(N(AL104)&lt;=0.005,0,ROUND(N(AL104)*N('Debt List'!E12)/12,2))</f>
        <v/>
      </c>
      <c r="AN104">
        <f>IF(N(AL104)&lt;=0.005,0,MIN(N('Debt List'!F12),N(AL104)+N(AM104)))+((AP104=8)*AR104+(AT104=8)*AV104+(AX104=8)*AZ104+(BB104=8)*BD104+(BF104=8)*BH104+(BJ104=8)*BL104+(BN104=8)*BP104+(BR104=8)*BT104)</f>
        <v/>
      </c>
      <c r="AO104">
        <f>MAX(0,ROUND(N(AL104)+N(AM104)-N(AN104),2))</f>
        <v/>
      </c>
      <c r="AP104">
        <f>IFERROR(MATCH(1,OrderPlan,0),"")</f>
        <v/>
      </c>
      <c r="AQ104">
        <f>IF(AP104="",0,IFERROR(IF(N(CHOOSE(AP104,J104,N104,R104,V104,Z104,AD104,AH104,AL104))&lt;=0.005,0,MAX(0,N(CHOOSE(AP104,J104,N104,R104,V104,Z104,AD104,AH104,AL104))+N(CHOOSE(AP104,K104,O104,S104,W104,AA104,AE104,AI104,AM104))-MIN(N(CHOOSE(AP104,'Debt List'!$F$5,'Debt List'!$F$6,'Debt List'!$F$7,'Debt List'!$F$8,'Debt List'!$F$9,'Debt List'!$F$10,'Debt List'!$F$11,'Debt List'!$F$12)),N(CHOOSE(AP104,J104,N104,R104,V104,Z104,AD104,AH104,AL104))+N(CHOOSE(AP104,K104,O104,S104,W104,AA104,AE104,AI104,AM104))))),0))</f>
        <v/>
      </c>
      <c r="AR104">
        <f>MIN(N(AQ104),MAX(0,N(ExtraPayment)))</f>
        <v/>
      </c>
      <c r="AS104">
        <f>MAX(0,N(ExtraPayment)-N(AR104))</f>
        <v/>
      </c>
      <c r="AT104">
        <f>IFERROR(MATCH(2,OrderPlan,0),"")</f>
        <v/>
      </c>
      <c r="AU104">
        <f>IF(AT104="",0,IFERROR(IF(N(CHOOSE(AT104,J104,N104,R104,V104,Z104,AD104,AH104,AL104))&lt;=0.005,0,MAX(0,N(CHOOSE(AT104,J104,N104,R104,V104,Z104,AD104,AH104,AL104))+N(CHOOSE(AT104,K104,O104,S104,W104,AA104,AE104,AI104,AM104))-MIN(N(CHOOSE(AT104,'Debt List'!$F$5,'Debt List'!$F$6,'Debt List'!$F$7,'Debt List'!$F$8,'Debt List'!$F$9,'Debt List'!$F$10,'Debt List'!$F$11,'Debt List'!$F$12)),N(CHOOSE(AT104,J104,N104,R104,V104,Z104,AD104,AH104,AL104))+N(CHOOSE(AT104,K104,O104,S104,W104,AA104,AE104,AI104,AM104))))),0))</f>
        <v/>
      </c>
      <c r="AV104">
        <f>MIN(N(AU104),MAX(0,N(AS104)))</f>
        <v/>
      </c>
      <c r="AW104">
        <f>MAX(0,N(AS104)-N(AV104))</f>
        <v/>
      </c>
      <c r="AX104">
        <f>IFERROR(MATCH(3,OrderPlan,0),"")</f>
        <v/>
      </c>
      <c r="AY104">
        <f>IF(AX104="",0,IFERROR(IF(N(CHOOSE(AX104,J104,N104,R104,V104,Z104,AD104,AH104,AL104))&lt;=0.005,0,MAX(0,N(CHOOSE(AX104,J104,N104,R104,V104,Z104,AD104,AH104,AL104))+N(CHOOSE(AX104,K104,O104,S104,W104,AA104,AE104,AI104,AM104))-MIN(N(CHOOSE(AX104,'Debt List'!$F$5,'Debt List'!$F$6,'Debt List'!$F$7,'Debt List'!$F$8,'Debt List'!$F$9,'Debt List'!$F$10,'Debt List'!$F$11,'Debt List'!$F$12)),N(CHOOSE(AX104,J104,N104,R104,V104,Z104,AD104,AH104,AL104))+N(CHOOSE(AX104,K104,O104,S104,W104,AA104,AE104,AI104,AM104))))),0))</f>
        <v/>
      </c>
      <c r="AZ104">
        <f>MIN(N(AY104),MAX(0,N(AW104)))</f>
        <v/>
      </c>
      <c r="BA104">
        <f>MAX(0,N(AW104)-N(AZ104))</f>
        <v/>
      </c>
      <c r="BB104">
        <f>IFERROR(MATCH(4,OrderPlan,0),"")</f>
        <v/>
      </c>
      <c r="BC104">
        <f>IF(BB104="",0,IFERROR(IF(N(CHOOSE(BB104,J104,N104,R104,V104,Z104,AD104,AH104,AL104))&lt;=0.005,0,MAX(0,N(CHOOSE(BB104,J104,N104,R104,V104,Z104,AD104,AH104,AL104))+N(CHOOSE(BB104,K104,O104,S104,W104,AA104,AE104,AI104,AM104))-MIN(N(CHOOSE(BB104,'Debt List'!$F$5,'Debt List'!$F$6,'Debt List'!$F$7,'Debt List'!$F$8,'Debt List'!$F$9,'Debt List'!$F$10,'Debt List'!$F$11,'Debt List'!$F$12)),N(CHOOSE(BB104,J104,N104,R104,V104,Z104,AD104,AH104,AL104))+N(CHOOSE(BB104,K104,O104,S104,W104,AA104,AE104,AI104,AM104))))),0))</f>
        <v/>
      </c>
      <c r="BD104">
        <f>MIN(N(BC104),MAX(0,N(BA104)))</f>
        <v/>
      </c>
      <c r="BE104">
        <f>MAX(0,N(BA104)-N(BD104))</f>
        <v/>
      </c>
      <c r="BF104">
        <f>IFERROR(MATCH(5,OrderPlan,0),"")</f>
        <v/>
      </c>
      <c r="BG104">
        <f>IF(BF104="",0,IFERROR(IF(N(CHOOSE(BF104,J104,N104,R104,V104,Z104,AD104,AH104,AL104))&lt;=0.005,0,MAX(0,N(CHOOSE(BF104,J104,N104,R104,V104,Z104,AD104,AH104,AL104))+N(CHOOSE(BF104,K104,O104,S104,W104,AA104,AE104,AI104,AM104))-MIN(N(CHOOSE(BF104,'Debt List'!$F$5,'Debt List'!$F$6,'Debt List'!$F$7,'Debt List'!$F$8,'Debt List'!$F$9,'Debt List'!$F$10,'Debt List'!$F$11,'Debt List'!$F$12)),N(CHOOSE(BF104,J104,N104,R104,V104,Z104,AD104,AH104,AL104))+N(CHOOSE(BF104,K104,O104,S104,W104,AA104,AE104,AI104,AM104))))),0))</f>
        <v/>
      </c>
      <c r="BH104">
        <f>MIN(N(BG104),MAX(0,N(BE104)))</f>
        <v/>
      </c>
      <c r="BI104">
        <f>MAX(0,N(BE104)-N(BH104))</f>
        <v/>
      </c>
      <c r="BJ104">
        <f>IFERROR(MATCH(6,OrderPlan,0),"")</f>
        <v/>
      </c>
      <c r="BK104">
        <f>IF(BJ104="",0,IFERROR(IF(N(CHOOSE(BJ104,J104,N104,R104,V104,Z104,AD104,AH104,AL104))&lt;=0.005,0,MAX(0,N(CHOOSE(BJ104,J104,N104,R104,V104,Z104,AD104,AH104,AL104))+N(CHOOSE(BJ104,K104,O104,S104,W104,AA104,AE104,AI104,AM104))-MIN(N(CHOOSE(BJ104,'Debt List'!$F$5,'Debt List'!$F$6,'Debt List'!$F$7,'Debt List'!$F$8,'Debt List'!$F$9,'Debt List'!$F$10,'Debt List'!$F$11,'Debt List'!$F$12)),N(CHOOSE(BJ104,J104,N104,R104,V104,Z104,AD104,AH104,AL104))+N(CHOOSE(BJ104,K104,O104,S104,W104,AA104,AE104,AI104,AM104))))),0))</f>
        <v/>
      </c>
      <c r="BL104">
        <f>MIN(N(BK104),MAX(0,N(BI104)))</f>
        <v/>
      </c>
      <c r="BM104">
        <f>MAX(0,N(BI104)-N(BL104))</f>
        <v/>
      </c>
      <c r="BN104">
        <f>IFERROR(MATCH(7,OrderPlan,0),"")</f>
        <v/>
      </c>
      <c r="BO104">
        <f>IF(BN104="",0,IFERROR(IF(N(CHOOSE(BN104,J104,N104,R104,V104,Z104,AD104,AH104,AL104))&lt;=0.005,0,MAX(0,N(CHOOSE(BN104,J104,N104,R104,V104,Z104,AD104,AH104,AL104))+N(CHOOSE(BN104,K104,O104,S104,W104,AA104,AE104,AI104,AM104))-MIN(N(CHOOSE(BN104,'Debt List'!$F$5,'Debt List'!$F$6,'Debt List'!$F$7,'Debt List'!$F$8,'Debt List'!$F$9,'Debt List'!$F$10,'Debt List'!$F$11,'Debt List'!$F$12)),N(CHOOSE(BN104,J104,N104,R104,V104,Z104,AD104,AH104,AL104))+N(CHOOSE(BN104,K104,O104,S104,W104,AA104,AE104,AI104,AM104))))),0))</f>
        <v/>
      </c>
      <c r="BP104">
        <f>MIN(N(BO104),MAX(0,N(BM104)))</f>
        <v/>
      </c>
      <c r="BQ104">
        <f>MAX(0,N(BM104)-N(BP104))</f>
        <v/>
      </c>
      <c r="BR104">
        <f>IFERROR(MATCH(8,OrderPlan,0),"")</f>
        <v/>
      </c>
      <c r="BS104">
        <f>IF(BR104="",0,IFERROR(IF(N(CHOOSE(BR104,J104,N104,R104,V104,Z104,AD104,AH104,AL104))&lt;=0.005,0,MAX(0,N(CHOOSE(BR104,J104,N104,R104,V104,Z104,AD104,AH104,AL104))+N(CHOOSE(BR104,K104,O104,S104,W104,AA104,AE104,AI104,AM104))-MIN(N(CHOOSE(BR104,'Debt List'!$F$5,'Debt List'!$F$6,'Debt List'!$F$7,'Debt List'!$F$8,'Debt List'!$F$9,'Debt List'!$F$10,'Debt List'!$F$11,'Debt List'!$F$12)),N(CHOOSE(BR104,J104,N104,R104,V104,Z104,AD104,AH104,AL104))+N(CHOOSE(BR104,K104,O104,S104,W104,AA104,AE104,AI104,AM104))))),0))</f>
        <v/>
      </c>
      <c r="BT104">
        <f>MIN(N(BS104),MAX(0,N(BQ104)))</f>
        <v/>
      </c>
      <c r="BU104">
        <f>MAX(0,N(BQ104)-N(BT104))</f>
        <v/>
      </c>
      <c r="CC104" t="n">
        <v>100</v>
      </c>
      <c r="CD104" s="115">
        <f>DATE(YEAR(PlanStart),MONTH(PlanStart)+CC104-1,1)</f>
        <v/>
      </c>
      <c r="CE104">
        <f>IF(AND(DR104&lt;&gt;"",N(CHOOSE(DR104,CL104,CP104,CT104,CX104,DB104,DF104,DJ104,DN104))&gt;0.005),INDEX(DebtNames,DR104),IF(AND(DV104&lt;&gt;"",N(CHOOSE(DV104,CL104,CP104,CT104,CX104,DB104,DF104,DJ104,DN104))&gt;0.005),INDEX(DebtNames,DV104),IF(AND(DZ104&lt;&gt;"",N(CHOOSE(DZ104,CL104,CP104,CT104,CX104,DB104,DF104,DJ104,DN104))&gt;0.005),INDEX(DebtNames,DZ104),IF(AND(ED104&lt;&gt;"",N(CHOOSE(ED104,CL104,CP104,CT104,CX104,DB104,DF104,DJ104,DN104))&gt;0.005),INDEX(DebtNames,ED104),IF(AND(EH104&lt;&gt;"",N(CHOOSE(EH104,CL104,CP104,CT104,CX104,DB104,DF104,DJ104,DN104))&gt;0.005),INDEX(DebtNames,EH104),IF(AND(EL104&lt;&gt;"",N(CHOOSE(EL104,CL104,CP104,CT104,CX104,DB104,DF104,DJ104,DN104))&gt;0.005),INDEX(DebtNames,EL104),IF(AND(EP104&lt;&gt;"",N(CHOOSE(EP104,CL104,CP104,CT104,CX104,DB104,DF104,DJ104,DN104))&gt;0.005),INDEX(DebtNames,EP104),IF(AND(ET104&lt;&gt;"",N(CHOOSE(ET104,CL104,CP104,CT104,CX104,DB104,DF104,DJ104,DN104))&gt;0.005),INDEX(DebtNames,ET104),""))))))))</f>
        <v/>
      </c>
      <c r="CF104">
        <f>N(EW104)</f>
        <v/>
      </c>
      <c r="CG104">
        <f>N(CN104)+N(CR104)+N(CV104)+N(CZ104)+N(DD104)+N(DH104)+N(DL104)+N(DP104)</f>
        <v/>
      </c>
      <c r="CH104">
        <f>N(CM104)+N(CQ104)+N(CU104)+N(CY104)+N(DC104)+N(DG104)+N(DK104)+N(DO104)</f>
        <v/>
      </c>
      <c r="CI104">
        <f>N(CI103)+N(CH104)</f>
        <v/>
      </c>
      <c r="CJ104">
        <f>N(CO104)+N(CS104)+N(CW104)+N(DA104)+N(DE104)+N(DI104)+N(DM104)+N(DQ104)</f>
        <v/>
      </c>
      <c r="CK104">
        <f>(CO104&gt;0.005)*1+(CS104&gt;0.005)*1+(CW104&gt;0.005)*1+(DA104&gt;0.005)*1+(DE104&gt;0.005)*1+(DI104&gt;0.005)*1+(DM104&gt;0.005)*1+(DQ104&gt;0.005)*1</f>
        <v/>
      </c>
      <c r="CL104">
        <f>N(CO103)</f>
        <v/>
      </c>
      <c r="CM104">
        <f>IF(N(CL104)&lt;=0.005,0,ROUND(N(CL104)*N('Debt List'!E5)/12,2))</f>
        <v/>
      </c>
      <c r="CN104">
        <f>IF(N(CL104)&lt;=0.005,0,MIN(N('Debt List'!F5),N(CL104)+N(CM104)))+((DR104=1)*DT104+(DV104=1)*DX104+(DZ104=1)*EB104+(ED104=1)*EF104+(EH104=1)*EJ104+(EL104=1)*EN104+(EP104=1)*ER104+(ET104=1)*EV104)</f>
        <v/>
      </c>
      <c r="CO104">
        <f>MAX(0,ROUND(N(CL104)+N(CM104)-N(CN104),2))</f>
        <v/>
      </c>
      <c r="CP104">
        <f>N(CS103)</f>
        <v/>
      </c>
      <c r="CQ104">
        <f>IF(N(CP104)&lt;=0.005,0,ROUND(N(CP104)*N('Debt List'!E6)/12,2))</f>
        <v/>
      </c>
      <c r="CR104">
        <f>IF(N(CP104)&lt;=0.005,0,MIN(N('Debt List'!F6),N(CP104)+N(CQ104)))+((DR104=2)*DT104+(DV104=2)*DX104+(DZ104=2)*EB104+(ED104=2)*EF104+(EH104=2)*EJ104+(EL104=2)*EN104+(EP104=2)*ER104+(ET104=2)*EV104)</f>
        <v/>
      </c>
      <c r="CS104">
        <f>MAX(0,ROUND(N(CP104)+N(CQ104)-N(CR104),2))</f>
        <v/>
      </c>
      <c r="CT104">
        <f>N(CW103)</f>
        <v/>
      </c>
      <c r="CU104">
        <f>IF(N(CT104)&lt;=0.005,0,ROUND(N(CT104)*N('Debt List'!E7)/12,2))</f>
        <v/>
      </c>
      <c r="CV104">
        <f>IF(N(CT104)&lt;=0.005,0,MIN(N('Debt List'!F7),N(CT104)+N(CU104)))+((DR104=3)*DT104+(DV104=3)*DX104+(DZ104=3)*EB104+(ED104=3)*EF104+(EH104=3)*EJ104+(EL104=3)*EN104+(EP104=3)*ER104+(ET104=3)*EV104)</f>
        <v/>
      </c>
      <c r="CW104">
        <f>MAX(0,ROUND(N(CT104)+N(CU104)-N(CV104),2))</f>
        <v/>
      </c>
      <c r="CX104">
        <f>N(DA103)</f>
        <v/>
      </c>
      <c r="CY104">
        <f>IF(N(CX104)&lt;=0.005,0,ROUND(N(CX104)*N('Debt List'!E8)/12,2))</f>
        <v/>
      </c>
      <c r="CZ104">
        <f>IF(N(CX104)&lt;=0.005,0,MIN(N('Debt List'!F8),N(CX104)+N(CY104)))+((DR104=4)*DT104+(DV104=4)*DX104+(DZ104=4)*EB104+(ED104=4)*EF104+(EH104=4)*EJ104+(EL104=4)*EN104+(EP104=4)*ER104+(ET104=4)*EV104)</f>
        <v/>
      </c>
      <c r="DA104">
        <f>MAX(0,ROUND(N(CX104)+N(CY104)-N(CZ104),2))</f>
        <v/>
      </c>
      <c r="DB104">
        <f>N(DE103)</f>
        <v/>
      </c>
      <c r="DC104">
        <f>IF(N(DB104)&lt;=0.005,0,ROUND(N(DB104)*N('Debt List'!E9)/12,2))</f>
        <v/>
      </c>
      <c r="DD104">
        <f>IF(N(DB104)&lt;=0.005,0,MIN(N('Debt List'!F9),N(DB104)+N(DC104)))+((DR104=5)*DT104+(DV104=5)*DX104+(DZ104=5)*EB104+(ED104=5)*EF104+(EH104=5)*EJ104+(EL104=5)*EN104+(EP104=5)*ER104+(ET104=5)*EV104)</f>
        <v/>
      </c>
      <c r="DE104">
        <f>MAX(0,ROUND(N(DB104)+N(DC104)-N(DD104),2))</f>
        <v/>
      </c>
      <c r="DF104">
        <f>N(DI103)</f>
        <v/>
      </c>
      <c r="DG104">
        <f>IF(N(DF104)&lt;=0.005,0,ROUND(N(DF104)*N('Debt List'!E10)/12,2))</f>
        <v/>
      </c>
      <c r="DH104">
        <f>IF(N(DF104)&lt;=0.005,0,MIN(N('Debt List'!F10),N(DF104)+N(DG104)))+((DR104=6)*DT104+(DV104=6)*DX104+(DZ104=6)*EB104+(ED104=6)*EF104+(EH104=6)*EJ104+(EL104=6)*EN104+(EP104=6)*ER104+(ET104=6)*EV104)</f>
        <v/>
      </c>
      <c r="DI104">
        <f>MAX(0,ROUND(N(DF104)+N(DG104)-N(DH104),2))</f>
        <v/>
      </c>
      <c r="DJ104">
        <f>N(DM103)</f>
        <v/>
      </c>
      <c r="DK104">
        <f>IF(N(DJ104)&lt;=0.005,0,ROUND(N(DJ104)*N('Debt List'!E11)/12,2))</f>
        <v/>
      </c>
      <c r="DL104">
        <f>IF(N(DJ104)&lt;=0.005,0,MIN(N('Debt List'!F11),N(DJ104)+N(DK104)))+((DR104=7)*DT104+(DV104=7)*DX104+(DZ104=7)*EB104+(ED104=7)*EF104+(EH104=7)*EJ104+(EL104=7)*EN104+(EP104=7)*ER104+(ET104=7)*EV104)</f>
        <v/>
      </c>
      <c r="DM104">
        <f>MAX(0,ROUND(N(DJ104)+N(DK104)-N(DL104),2))</f>
        <v/>
      </c>
      <c r="DN104">
        <f>N(DQ103)</f>
        <v/>
      </c>
      <c r="DO104">
        <f>IF(N(DN104)&lt;=0.005,0,ROUND(N(DN104)*N('Debt List'!E12)/12,2))</f>
        <v/>
      </c>
      <c r="DP104">
        <f>IF(N(DN104)&lt;=0.005,0,MIN(N('Debt List'!F12),N(DN104)+N(DO104)))+((DR104=8)*DT104+(DV104=8)*DX104+(DZ104=8)*EB104+(ED104=8)*EF104+(EH104=8)*EJ104+(EL104=8)*EN104+(EP104=8)*ER104+(ET104=8)*EV104)</f>
        <v/>
      </c>
      <c r="DQ104">
        <f>MAX(0,ROUND(N(DN104)+N(DO104)-N(DP104),2))</f>
        <v/>
      </c>
      <c r="DR104">
        <f>IFERROR(MATCH(1,OrderSnow,0),"")</f>
        <v/>
      </c>
      <c r="DS104">
        <f>IF(DR104="",0,IFERROR(IF(N(CHOOSE(DR104,CL104,CP104,CT104,CX104,DB104,DF104,DJ104,DN104))&lt;=0.005,0,MAX(0,N(CHOOSE(DR104,CL104,CP104,CT104,CX104,DB104,DF104,DJ104,DN104))+N(CHOOSE(DR104,CM104,CQ104,CU104,CY104,DC104,DG104,DK104,DO104))-MIN(N(CHOOSE(DR104,'Debt List'!$F$5,'Debt List'!$F$6,'Debt List'!$F$7,'Debt List'!$F$8,'Debt List'!$F$9,'Debt List'!$F$10,'Debt List'!$F$11,'Debt List'!$F$12)),N(CHOOSE(DR104,CL104,CP104,CT104,CX104,DB104,DF104,DJ104,DN104))+N(CHOOSE(DR104,CM104,CQ104,CU104,CY104,DC104,DG104,DK104,DO104))))),0))</f>
        <v/>
      </c>
      <c r="DT104">
        <f>MIN(N(DS104),MAX(0,N(ExtraPayment)))</f>
        <v/>
      </c>
      <c r="DU104">
        <f>MAX(0,N(ExtraPayment)-N(DT104))</f>
        <v/>
      </c>
      <c r="DV104">
        <f>IFERROR(MATCH(2,OrderSnow,0),"")</f>
        <v/>
      </c>
      <c r="DW104">
        <f>IF(DV104="",0,IFERROR(IF(N(CHOOSE(DV104,CL104,CP104,CT104,CX104,DB104,DF104,DJ104,DN104))&lt;=0.005,0,MAX(0,N(CHOOSE(DV104,CL104,CP104,CT104,CX104,DB104,DF104,DJ104,DN104))+N(CHOOSE(DV104,CM104,CQ104,CU104,CY104,DC104,DG104,DK104,DO104))-MIN(N(CHOOSE(DV104,'Debt List'!$F$5,'Debt List'!$F$6,'Debt List'!$F$7,'Debt List'!$F$8,'Debt List'!$F$9,'Debt List'!$F$10,'Debt List'!$F$11,'Debt List'!$F$12)),N(CHOOSE(DV104,CL104,CP104,CT104,CX104,DB104,DF104,DJ104,DN104))+N(CHOOSE(DV104,CM104,CQ104,CU104,CY104,DC104,DG104,DK104,DO104))))),0))</f>
        <v/>
      </c>
      <c r="DX104">
        <f>MIN(N(DW104),MAX(0,N(DU104)))</f>
        <v/>
      </c>
      <c r="DY104">
        <f>MAX(0,N(DU104)-N(DX104))</f>
        <v/>
      </c>
      <c r="DZ104">
        <f>IFERROR(MATCH(3,OrderSnow,0),"")</f>
        <v/>
      </c>
      <c r="EA104">
        <f>IF(DZ104="",0,IFERROR(IF(N(CHOOSE(DZ104,CL104,CP104,CT104,CX104,DB104,DF104,DJ104,DN104))&lt;=0.005,0,MAX(0,N(CHOOSE(DZ104,CL104,CP104,CT104,CX104,DB104,DF104,DJ104,DN104))+N(CHOOSE(DZ104,CM104,CQ104,CU104,CY104,DC104,DG104,DK104,DO104))-MIN(N(CHOOSE(DZ104,'Debt List'!$F$5,'Debt List'!$F$6,'Debt List'!$F$7,'Debt List'!$F$8,'Debt List'!$F$9,'Debt List'!$F$10,'Debt List'!$F$11,'Debt List'!$F$12)),N(CHOOSE(DZ104,CL104,CP104,CT104,CX104,DB104,DF104,DJ104,DN104))+N(CHOOSE(DZ104,CM104,CQ104,CU104,CY104,DC104,DG104,DK104,DO104))))),0))</f>
        <v/>
      </c>
      <c r="EB104">
        <f>MIN(N(EA104),MAX(0,N(DY104)))</f>
        <v/>
      </c>
      <c r="EC104">
        <f>MAX(0,N(DY104)-N(EB104))</f>
        <v/>
      </c>
      <c r="ED104">
        <f>IFERROR(MATCH(4,OrderSnow,0),"")</f>
        <v/>
      </c>
      <c r="EE104">
        <f>IF(ED104="",0,IFERROR(IF(N(CHOOSE(ED104,CL104,CP104,CT104,CX104,DB104,DF104,DJ104,DN104))&lt;=0.005,0,MAX(0,N(CHOOSE(ED104,CL104,CP104,CT104,CX104,DB104,DF104,DJ104,DN104))+N(CHOOSE(ED104,CM104,CQ104,CU104,CY104,DC104,DG104,DK104,DO104))-MIN(N(CHOOSE(ED104,'Debt List'!$F$5,'Debt List'!$F$6,'Debt List'!$F$7,'Debt List'!$F$8,'Debt List'!$F$9,'Debt List'!$F$10,'Debt List'!$F$11,'Debt List'!$F$12)),N(CHOOSE(ED104,CL104,CP104,CT104,CX104,DB104,DF104,DJ104,DN104))+N(CHOOSE(ED104,CM104,CQ104,CU104,CY104,DC104,DG104,DK104,DO104))))),0))</f>
        <v/>
      </c>
      <c r="EF104">
        <f>MIN(N(EE104),MAX(0,N(EC104)))</f>
        <v/>
      </c>
      <c r="EG104">
        <f>MAX(0,N(EC104)-N(EF104))</f>
        <v/>
      </c>
      <c r="EH104">
        <f>IFERROR(MATCH(5,OrderSnow,0),"")</f>
        <v/>
      </c>
      <c r="EI104">
        <f>IF(EH104="",0,IFERROR(IF(N(CHOOSE(EH104,CL104,CP104,CT104,CX104,DB104,DF104,DJ104,DN104))&lt;=0.005,0,MAX(0,N(CHOOSE(EH104,CL104,CP104,CT104,CX104,DB104,DF104,DJ104,DN104))+N(CHOOSE(EH104,CM104,CQ104,CU104,CY104,DC104,DG104,DK104,DO104))-MIN(N(CHOOSE(EH104,'Debt List'!$F$5,'Debt List'!$F$6,'Debt List'!$F$7,'Debt List'!$F$8,'Debt List'!$F$9,'Debt List'!$F$10,'Debt List'!$F$11,'Debt List'!$F$12)),N(CHOOSE(EH104,CL104,CP104,CT104,CX104,DB104,DF104,DJ104,DN104))+N(CHOOSE(EH104,CM104,CQ104,CU104,CY104,DC104,DG104,DK104,DO104))))),0))</f>
        <v/>
      </c>
      <c r="EJ104">
        <f>MIN(N(EI104),MAX(0,N(EG104)))</f>
        <v/>
      </c>
      <c r="EK104">
        <f>MAX(0,N(EG104)-N(EJ104))</f>
        <v/>
      </c>
      <c r="EL104">
        <f>IFERROR(MATCH(6,OrderSnow,0),"")</f>
        <v/>
      </c>
      <c r="EM104">
        <f>IF(EL104="",0,IFERROR(IF(N(CHOOSE(EL104,CL104,CP104,CT104,CX104,DB104,DF104,DJ104,DN104))&lt;=0.005,0,MAX(0,N(CHOOSE(EL104,CL104,CP104,CT104,CX104,DB104,DF104,DJ104,DN104))+N(CHOOSE(EL104,CM104,CQ104,CU104,CY104,DC104,DG104,DK104,DO104))-MIN(N(CHOOSE(EL104,'Debt List'!$F$5,'Debt List'!$F$6,'Debt List'!$F$7,'Debt List'!$F$8,'Debt List'!$F$9,'Debt List'!$F$10,'Debt List'!$F$11,'Debt List'!$F$12)),N(CHOOSE(EL104,CL104,CP104,CT104,CX104,DB104,DF104,DJ104,DN104))+N(CHOOSE(EL104,CM104,CQ104,CU104,CY104,DC104,DG104,DK104,DO104))))),0))</f>
        <v/>
      </c>
      <c r="EN104">
        <f>MIN(N(EM104),MAX(0,N(EK104)))</f>
        <v/>
      </c>
      <c r="EO104">
        <f>MAX(0,N(EK104)-N(EN104))</f>
        <v/>
      </c>
      <c r="EP104">
        <f>IFERROR(MATCH(7,OrderSnow,0),"")</f>
        <v/>
      </c>
      <c r="EQ104">
        <f>IF(EP104="",0,IFERROR(IF(N(CHOOSE(EP104,CL104,CP104,CT104,CX104,DB104,DF104,DJ104,DN104))&lt;=0.005,0,MAX(0,N(CHOOSE(EP104,CL104,CP104,CT104,CX104,DB104,DF104,DJ104,DN104))+N(CHOOSE(EP104,CM104,CQ104,CU104,CY104,DC104,DG104,DK104,DO104))-MIN(N(CHOOSE(EP104,'Debt List'!$F$5,'Debt List'!$F$6,'Debt List'!$F$7,'Debt List'!$F$8,'Debt List'!$F$9,'Debt List'!$F$10,'Debt List'!$F$11,'Debt List'!$F$12)),N(CHOOSE(EP104,CL104,CP104,CT104,CX104,DB104,DF104,DJ104,DN104))+N(CHOOSE(EP104,CM104,CQ104,CU104,CY104,DC104,DG104,DK104,DO104))))),0))</f>
        <v/>
      </c>
      <c r="ER104">
        <f>MIN(N(EQ104),MAX(0,N(EO104)))</f>
        <v/>
      </c>
      <c r="ES104">
        <f>MAX(0,N(EO104)-N(ER104))</f>
        <v/>
      </c>
      <c r="ET104">
        <f>IFERROR(MATCH(8,OrderSnow,0),"")</f>
        <v/>
      </c>
      <c r="EU104">
        <f>IF(ET104="",0,IFERROR(IF(N(CHOOSE(ET104,CL104,CP104,CT104,CX104,DB104,DF104,DJ104,DN104))&lt;=0.005,0,MAX(0,N(CHOOSE(ET104,CL104,CP104,CT104,CX104,DB104,DF104,DJ104,DN104))+N(CHOOSE(ET104,CM104,CQ104,CU104,CY104,DC104,DG104,DK104,DO104))-MIN(N(CHOOSE(ET104,'Debt List'!$F$5,'Debt List'!$F$6,'Debt List'!$F$7,'Debt List'!$F$8,'Debt List'!$F$9,'Debt List'!$F$10,'Debt List'!$F$11,'Debt List'!$F$12)),N(CHOOSE(ET104,CL104,CP104,CT104,CX104,DB104,DF104,DJ104,DN104))+N(CHOOSE(ET104,CM104,CQ104,CU104,CY104,DC104,DG104,DK104,DO104))))),0))</f>
        <v/>
      </c>
      <c r="EV104">
        <f>MIN(N(EU104),MAX(0,N(ES104)))</f>
        <v/>
      </c>
      <c r="EW104">
        <f>MAX(0,N(ES104)-N(EV104))</f>
        <v/>
      </c>
      <c r="FE104" t="n">
        <v>100</v>
      </c>
      <c r="FF104" s="115">
        <f>DATE(YEAR(PlanStart),MONTH(PlanStart)+FE104-1,1)</f>
        <v/>
      </c>
      <c r="FG104">
        <f>IF(AND(GT104&lt;&gt;"",N(CHOOSE(GT104,FN104,FR104,FV104,FZ104,GD104,GH104,GL104,GP104))&gt;0.005),INDEX(DebtNames,GT104),IF(AND(GX104&lt;&gt;"",N(CHOOSE(GX104,FN104,FR104,FV104,FZ104,GD104,GH104,GL104,GP104))&gt;0.005),INDEX(DebtNames,GX104),IF(AND(HB104&lt;&gt;"",N(CHOOSE(HB104,FN104,FR104,FV104,FZ104,GD104,GH104,GL104,GP104))&gt;0.005),INDEX(DebtNames,HB104),IF(AND(HF104&lt;&gt;"",N(CHOOSE(HF104,FN104,FR104,FV104,FZ104,GD104,GH104,GL104,GP104))&gt;0.005),INDEX(DebtNames,HF104),IF(AND(HJ104&lt;&gt;"",N(CHOOSE(HJ104,FN104,FR104,FV104,FZ104,GD104,GH104,GL104,GP104))&gt;0.005),INDEX(DebtNames,HJ104),IF(AND(HN104&lt;&gt;"",N(CHOOSE(HN104,FN104,FR104,FV104,FZ104,GD104,GH104,GL104,GP104))&gt;0.005),INDEX(DebtNames,HN104),IF(AND(HR104&lt;&gt;"",N(CHOOSE(HR104,FN104,FR104,FV104,FZ104,GD104,GH104,GL104,GP104))&gt;0.005),INDEX(DebtNames,HR104),IF(AND(HV104&lt;&gt;"",N(CHOOSE(HV104,FN104,FR104,FV104,FZ104,GD104,GH104,GL104,GP104))&gt;0.005),INDEX(DebtNames,HV104),""))))))))</f>
        <v/>
      </c>
      <c r="FH104">
        <f>N(HY104)</f>
        <v/>
      </c>
      <c r="FI104">
        <f>N(FP104)+N(FT104)+N(FX104)+N(GB104)+N(GF104)+N(GJ104)+N(GN104)+N(GR104)</f>
        <v/>
      </c>
      <c r="FJ104">
        <f>N(FO104)+N(FS104)+N(FW104)+N(GA104)+N(GE104)+N(GI104)+N(GM104)+N(GQ104)</f>
        <v/>
      </c>
      <c r="FK104">
        <f>N(FK103)+N(FJ104)</f>
        <v/>
      </c>
      <c r="FL104">
        <f>N(FQ104)+N(FU104)+N(FY104)+N(GC104)+N(GG104)+N(GK104)+N(GO104)+N(GS104)</f>
        <v/>
      </c>
      <c r="FM104">
        <f>(FQ104&gt;0.005)*1+(FU104&gt;0.005)*1+(FY104&gt;0.005)*1+(GC104&gt;0.005)*1+(GG104&gt;0.005)*1+(GK104&gt;0.005)*1+(GO104&gt;0.005)*1+(GS104&gt;0.005)*1</f>
        <v/>
      </c>
      <c r="FN104">
        <f>N(FQ103)</f>
        <v/>
      </c>
      <c r="FO104">
        <f>IF(N(FN104)&lt;=0.005,0,ROUND(N(FN104)*N('Debt List'!E5)/12,2))</f>
        <v/>
      </c>
      <c r="FP104">
        <f>IF(N(FN104)&lt;=0.005,0,MIN(N('Debt List'!F5),N(FN104)+N(FO104)))+((GT104=1)*GV104+(GX104=1)*GZ104+(HB104=1)*HD104+(HF104=1)*HH104+(HJ104=1)*HL104+(HN104=1)*HP104+(HR104=1)*HT104+(HV104=1)*HX104)</f>
        <v/>
      </c>
      <c r="FQ104">
        <f>MAX(0,ROUND(N(FN104)+N(FO104)-N(FP104),2))</f>
        <v/>
      </c>
      <c r="FR104">
        <f>N(FU103)</f>
        <v/>
      </c>
      <c r="FS104">
        <f>IF(N(FR104)&lt;=0.005,0,ROUND(N(FR104)*N('Debt List'!E6)/12,2))</f>
        <v/>
      </c>
      <c r="FT104">
        <f>IF(N(FR104)&lt;=0.005,0,MIN(N('Debt List'!F6),N(FR104)+N(FS104)))+((GT104=2)*GV104+(GX104=2)*GZ104+(HB104=2)*HD104+(HF104=2)*HH104+(HJ104=2)*HL104+(HN104=2)*HP104+(HR104=2)*HT104+(HV104=2)*HX104)</f>
        <v/>
      </c>
      <c r="FU104">
        <f>MAX(0,ROUND(N(FR104)+N(FS104)-N(FT104),2))</f>
        <v/>
      </c>
      <c r="FV104">
        <f>N(FY103)</f>
        <v/>
      </c>
      <c r="FW104">
        <f>IF(N(FV104)&lt;=0.005,0,ROUND(N(FV104)*N('Debt List'!E7)/12,2))</f>
        <v/>
      </c>
      <c r="FX104">
        <f>IF(N(FV104)&lt;=0.005,0,MIN(N('Debt List'!F7),N(FV104)+N(FW104)))+((GT104=3)*GV104+(GX104=3)*GZ104+(HB104=3)*HD104+(HF104=3)*HH104+(HJ104=3)*HL104+(HN104=3)*HP104+(HR104=3)*HT104+(HV104=3)*HX104)</f>
        <v/>
      </c>
      <c r="FY104">
        <f>MAX(0,ROUND(N(FV104)+N(FW104)-N(FX104),2))</f>
        <v/>
      </c>
      <c r="FZ104">
        <f>N(GC103)</f>
        <v/>
      </c>
      <c r="GA104">
        <f>IF(N(FZ104)&lt;=0.005,0,ROUND(N(FZ104)*N('Debt List'!E8)/12,2))</f>
        <v/>
      </c>
      <c r="GB104">
        <f>IF(N(FZ104)&lt;=0.005,0,MIN(N('Debt List'!F8),N(FZ104)+N(GA104)))+((GT104=4)*GV104+(GX104=4)*GZ104+(HB104=4)*HD104+(HF104=4)*HH104+(HJ104=4)*HL104+(HN104=4)*HP104+(HR104=4)*HT104+(HV104=4)*HX104)</f>
        <v/>
      </c>
      <c r="GC104">
        <f>MAX(0,ROUND(N(FZ104)+N(GA104)-N(GB104),2))</f>
        <v/>
      </c>
      <c r="GD104">
        <f>N(GG103)</f>
        <v/>
      </c>
      <c r="GE104">
        <f>IF(N(GD104)&lt;=0.005,0,ROUND(N(GD104)*N('Debt List'!E9)/12,2))</f>
        <v/>
      </c>
      <c r="GF104">
        <f>IF(N(GD104)&lt;=0.005,0,MIN(N('Debt List'!F9),N(GD104)+N(GE104)))+((GT104=5)*GV104+(GX104=5)*GZ104+(HB104=5)*HD104+(HF104=5)*HH104+(HJ104=5)*HL104+(HN104=5)*HP104+(HR104=5)*HT104+(HV104=5)*HX104)</f>
        <v/>
      </c>
      <c r="GG104">
        <f>MAX(0,ROUND(N(GD104)+N(GE104)-N(GF104),2))</f>
        <v/>
      </c>
      <c r="GH104">
        <f>N(GK103)</f>
        <v/>
      </c>
      <c r="GI104">
        <f>IF(N(GH104)&lt;=0.005,0,ROUND(N(GH104)*N('Debt List'!E10)/12,2))</f>
        <v/>
      </c>
      <c r="GJ104">
        <f>IF(N(GH104)&lt;=0.005,0,MIN(N('Debt List'!F10),N(GH104)+N(GI104)))+((GT104=6)*GV104+(GX104=6)*GZ104+(HB104=6)*HD104+(HF104=6)*HH104+(HJ104=6)*HL104+(HN104=6)*HP104+(HR104=6)*HT104+(HV104=6)*HX104)</f>
        <v/>
      </c>
      <c r="GK104">
        <f>MAX(0,ROUND(N(GH104)+N(GI104)-N(GJ104),2))</f>
        <v/>
      </c>
      <c r="GL104">
        <f>N(GO103)</f>
        <v/>
      </c>
      <c r="GM104">
        <f>IF(N(GL104)&lt;=0.005,0,ROUND(N(GL104)*N('Debt List'!E11)/12,2))</f>
        <v/>
      </c>
      <c r="GN104">
        <f>IF(N(GL104)&lt;=0.005,0,MIN(N('Debt List'!F11),N(GL104)+N(GM104)))+((GT104=7)*GV104+(GX104=7)*GZ104+(HB104=7)*HD104+(HF104=7)*HH104+(HJ104=7)*HL104+(HN104=7)*HP104+(HR104=7)*HT104+(HV104=7)*HX104)</f>
        <v/>
      </c>
      <c r="GO104">
        <f>MAX(0,ROUND(N(GL104)+N(GM104)-N(GN104),2))</f>
        <v/>
      </c>
      <c r="GP104">
        <f>N(GS103)</f>
        <v/>
      </c>
      <c r="GQ104">
        <f>IF(N(GP104)&lt;=0.005,0,ROUND(N(GP104)*N('Debt List'!E12)/12,2))</f>
        <v/>
      </c>
      <c r="GR104">
        <f>IF(N(GP104)&lt;=0.005,0,MIN(N('Debt List'!F12),N(GP104)+N(GQ104)))+((GT104=8)*GV104+(GX104=8)*GZ104+(HB104=8)*HD104+(HF104=8)*HH104+(HJ104=8)*HL104+(HN104=8)*HP104+(HR104=8)*HT104+(HV104=8)*HX104)</f>
        <v/>
      </c>
      <c r="GS104">
        <f>MAX(0,ROUND(N(GP104)+N(GQ104)-N(GR104),2))</f>
        <v/>
      </c>
      <c r="GT104">
        <f>IFERROR(MATCH(1,OrderAval,0),"")</f>
        <v/>
      </c>
      <c r="GU104">
        <f>IF(GT104="",0,IFERROR(IF(N(CHOOSE(GT104,FN104,FR104,FV104,FZ104,GD104,GH104,GL104,GP104))&lt;=0.005,0,MAX(0,N(CHOOSE(GT104,FN104,FR104,FV104,FZ104,GD104,GH104,GL104,GP104))+N(CHOOSE(GT104,FO104,FS104,FW104,GA104,GE104,GI104,GM104,GQ104))-MIN(N(CHOOSE(GT104,'Debt List'!$F$5,'Debt List'!$F$6,'Debt List'!$F$7,'Debt List'!$F$8,'Debt List'!$F$9,'Debt List'!$F$10,'Debt List'!$F$11,'Debt List'!$F$12)),N(CHOOSE(GT104,FN104,FR104,FV104,FZ104,GD104,GH104,GL104,GP104))+N(CHOOSE(GT104,FO104,FS104,FW104,GA104,GE104,GI104,GM104,GQ104))))),0))</f>
        <v/>
      </c>
      <c r="GV104">
        <f>MIN(N(GU104),MAX(0,N(ExtraPayment)))</f>
        <v/>
      </c>
      <c r="GW104">
        <f>MAX(0,N(ExtraPayment)-N(GV104))</f>
        <v/>
      </c>
      <c r="GX104">
        <f>IFERROR(MATCH(2,OrderAval,0),"")</f>
        <v/>
      </c>
      <c r="GY104">
        <f>IF(GX104="",0,IFERROR(IF(N(CHOOSE(GX104,FN104,FR104,FV104,FZ104,GD104,GH104,GL104,GP104))&lt;=0.005,0,MAX(0,N(CHOOSE(GX104,FN104,FR104,FV104,FZ104,GD104,GH104,GL104,GP104))+N(CHOOSE(GX104,FO104,FS104,FW104,GA104,GE104,GI104,GM104,GQ104))-MIN(N(CHOOSE(GX104,'Debt List'!$F$5,'Debt List'!$F$6,'Debt List'!$F$7,'Debt List'!$F$8,'Debt List'!$F$9,'Debt List'!$F$10,'Debt List'!$F$11,'Debt List'!$F$12)),N(CHOOSE(GX104,FN104,FR104,FV104,FZ104,GD104,GH104,GL104,GP104))+N(CHOOSE(GX104,FO104,FS104,FW104,GA104,GE104,GI104,GM104,GQ104))))),0))</f>
        <v/>
      </c>
      <c r="GZ104">
        <f>MIN(N(GY104),MAX(0,N(GW104)))</f>
        <v/>
      </c>
      <c r="HA104">
        <f>MAX(0,N(GW104)-N(GZ104))</f>
        <v/>
      </c>
      <c r="HB104">
        <f>IFERROR(MATCH(3,OrderAval,0),"")</f>
        <v/>
      </c>
      <c r="HC104">
        <f>IF(HB104="",0,IFERROR(IF(N(CHOOSE(HB104,FN104,FR104,FV104,FZ104,GD104,GH104,GL104,GP104))&lt;=0.005,0,MAX(0,N(CHOOSE(HB104,FN104,FR104,FV104,FZ104,GD104,GH104,GL104,GP104))+N(CHOOSE(HB104,FO104,FS104,FW104,GA104,GE104,GI104,GM104,GQ104))-MIN(N(CHOOSE(HB104,'Debt List'!$F$5,'Debt List'!$F$6,'Debt List'!$F$7,'Debt List'!$F$8,'Debt List'!$F$9,'Debt List'!$F$10,'Debt List'!$F$11,'Debt List'!$F$12)),N(CHOOSE(HB104,FN104,FR104,FV104,FZ104,GD104,GH104,GL104,GP104))+N(CHOOSE(HB104,FO104,FS104,FW104,GA104,GE104,GI104,GM104,GQ104))))),0))</f>
        <v/>
      </c>
      <c r="HD104">
        <f>MIN(N(HC104),MAX(0,N(HA104)))</f>
        <v/>
      </c>
      <c r="HE104">
        <f>MAX(0,N(HA104)-N(HD104))</f>
        <v/>
      </c>
      <c r="HF104">
        <f>IFERROR(MATCH(4,OrderAval,0),"")</f>
        <v/>
      </c>
      <c r="HG104">
        <f>IF(HF104="",0,IFERROR(IF(N(CHOOSE(HF104,FN104,FR104,FV104,FZ104,GD104,GH104,GL104,GP104))&lt;=0.005,0,MAX(0,N(CHOOSE(HF104,FN104,FR104,FV104,FZ104,GD104,GH104,GL104,GP104))+N(CHOOSE(HF104,FO104,FS104,FW104,GA104,GE104,GI104,GM104,GQ104))-MIN(N(CHOOSE(HF104,'Debt List'!$F$5,'Debt List'!$F$6,'Debt List'!$F$7,'Debt List'!$F$8,'Debt List'!$F$9,'Debt List'!$F$10,'Debt List'!$F$11,'Debt List'!$F$12)),N(CHOOSE(HF104,FN104,FR104,FV104,FZ104,GD104,GH104,GL104,GP104))+N(CHOOSE(HF104,FO104,FS104,FW104,GA104,GE104,GI104,GM104,GQ104))))),0))</f>
        <v/>
      </c>
      <c r="HH104">
        <f>MIN(N(HG104),MAX(0,N(HE104)))</f>
        <v/>
      </c>
      <c r="HI104">
        <f>MAX(0,N(HE104)-N(HH104))</f>
        <v/>
      </c>
      <c r="HJ104">
        <f>IFERROR(MATCH(5,OrderAval,0),"")</f>
        <v/>
      </c>
      <c r="HK104">
        <f>IF(HJ104="",0,IFERROR(IF(N(CHOOSE(HJ104,FN104,FR104,FV104,FZ104,GD104,GH104,GL104,GP104))&lt;=0.005,0,MAX(0,N(CHOOSE(HJ104,FN104,FR104,FV104,FZ104,GD104,GH104,GL104,GP104))+N(CHOOSE(HJ104,FO104,FS104,FW104,GA104,GE104,GI104,GM104,GQ104))-MIN(N(CHOOSE(HJ104,'Debt List'!$F$5,'Debt List'!$F$6,'Debt List'!$F$7,'Debt List'!$F$8,'Debt List'!$F$9,'Debt List'!$F$10,'Debt List'!$F$11,'Debt List'!$F$12)),N(CHOOSE(HJ104,FN104,FR104,FV104,FZ104,GD104,GH104,GL104,GP104))+N(CHOOSE(HJ104,FO104,FS104,FW104,GA104,GE104,GI104,GM104,GQ104))))),0))</f>
        <v/>
      </c>
      <c r="HL104">
        <f>MIN(N(HK104),MAX(0,N(HI104)))</f>
        <v/>
      </c>
      <c r="HM104">
        <f>MAX(0,N(HI104)-N(HL104))</f>
        <v/>
      </c>
      <c r="HN104">
        <f>IFERROR(MATCH(6,OrderAval,0),"")</f>
        <v/>
      </c>
      <c r="HO104">
        <f>IF(HN104="",0,IFERROR(IF(N(CHOOSE(HN104,FN104,FR104,FV104,FZ104,GD104,GH104,GL104,GP104))&lt;=0.005,0,MAX(0,N(CHOOSE(HN104,FN104,FR104,FV104,FZ104,GD104,GH104,GL104,GP104))+N(CHOOSE(HN104,FO104,FS104,FW104,GA104,GE104,GI104,GM104,GQ104))-MIN(N(CHOOSE(HN104,'Debt List'!$F$5,'Debt List'!$F$6,'Debt List'!$F$7,'Debt List'!$F$8,'Debt List'!$F$9,'Debt List'!$F$10,'Debt List'!$F$11,'Debt List'!$F$12)),N(CHOOSE(HN104,FN104,FR104,FV104,FZ104,GD104,GH104,GL104,GP104))+N(CHOOSE(HN104,FO104,FS104,FW104,GA104,GE104,GI104,GM104,GQ104))))),0))</f>
        <v/>
      </c>
      <c r="HP104">
        <f>MIN(N(HO104),MAX(0,N(HM104)))</f>
        <v/>
      </c>
      <c r="HQ104">
        <f>MAX(0,N(HM104)-N(HP104))</f>
        <v/>
      </c>
      <c r="HR104">
        <f>IFERROR(MATCH(7,OrderAval,0),"")</f>
        <v/>
      </c>
      <c r="HS104">
        <f>IF(HR104="",0,IFERROR(IF(N(CHOOSE(HR104,FN104,FR104,FV104,FZ104,GD104,GH104,GL104,GP104))&lt;=0.005,0,MAX(0,N(CHOOSE(HR104,FN104,FR104,FV104,FZ104,GD104,GH104,GL104,GP104))+N(CHOOSE(HR104,FO104,FS104,FW104,GA104,GE104,GI104,GM104,GQ104))-MIN(N(CHOOSE(HR104,'Debt List'!$F$5,'Debt List'!$F$6,'Debt List'!$F$7,'Debt List'!$F$8,'Debt List'!$F$9,'Debt List'!$F$10,'Debt List'!$F$11,'Debt List'!$F$12)),N(CHOOSE(HR104,FN104,FR104,FV104,FZ104,GD104,GH104,GL104,GP104))+N(CHOOSE(HR104,FO104,FS104,FW104,GA104,GE104,GI104,GM104,GQ104))))),0))</f>
        <v/>
      </c>
      <c r="HT104">
        <f>MIN(N(HS104),MAX(0,N(HQ104)))</f>
        <v/>
      </c>
      <c r="HU104">
        <f>MAX(0,N(HQ104)-N(HT104))</f>
        <v/>
      </c>
      <c r="HV104">
        <f>IFERROR(MATCH(8,OrderAval,0),"")</f>
        <v/>
      </c>
      <c r="HW104">
        <f>IF(HV104="",0,IFERROR(IF(N(CHOOSE(HV104,FN104,FR104,FV104,FZ104,GD104,GH104,GL104,GP104))&lt;=0.005,0,MAX(0,N(CHOOSE(HV104,FN104,FR104,FV104,FZ104,GD104,GH104,GL104,GP104))+N(CHOOSE(HV104,FO104,FS104,FW104,GA104,GE104,GI104,GM104,GQ104))-MIN(N(CHOOSE(HV104,'Debt List'!$F$5,'Debt List'!$F$6,'Debt List'!$F$7,'Debt List'!$F$8,'Debt List'!$F$9,'Debt List'!$F$10,'Debt List'!$F$11,'Debt List'!$F$12)),N(CHOOSE(HV104,FN104,FR104,FV104,FZ104,GD104,GH104,GL104,GP104))+N(CHOOSE(HV104,FO104,FS104,FW104,GA104,GE104,GI104,GM104,GQ104))))),0))</f>
        <v/>
      </c>
      <c r="HX104">
        <f>MIN(N(HW104),MAX(0,N(HU104)))</f>
        <v/>
      </c>
      <c r="HY104">
        <f>MAX(0,N(HU104)-N(HX104))</f>
        <v/>
      </c>
    </row>
    <row r="105">
      <c r="A105" t="n">
        <v>101</v>
      </c>
      <c r="B105" s="115">
        <f>DATE(YEAR(PlanStart),MONTH(PlanStart)+A105-1,1)</f>
        <v/>
      </c>
      <c r="C105">
        <f>IF(AND(AP105&lt;&gt;"",N(CHOOSE(AP105,J105,N105,R105,V105,Z105,AD105,AH105,AL105))&gt;0.005),INDEX(DebtNames,AP105),IF(AND(AT105&lt;&gt;"",N(CHOOSE(AT105,J105,N105,R105,V105,Z105,AD105,AH105,AL105))&gt;0.005),INDEX(DebtNames,AT105),IF(AND(AX105&lt;&gt;"",N(CHOOSE(AX105,J105,N105,R105,V105,Z105,AD105,AH105,AL105))&gt;0.005),INDEX(DebtNames,AX105),IF(AND(BB105&lt;&gt;"",N(CHOOSE(BB105,J105,N105,R105,V105,Z105,AD105,AH105,AL105))&gt;0.005),INDEX(DebtNames,BB105),IF(AND(BF105&lt;&gt;"",N(CHOOSE(BF105,J105,N105,R105,V105,Z105,AD105,AH105,AL105))&gt;0.005),INDEX(DebtNames,BF105),IF(AND(BJ105&lt;&gt;"",N(CHOOSE(BJ105,J105,N105,R105,V105,Z105,AD105,AH105,AL105))&gt;0.005),INDEX(DebtNames,BJ105),IF(AND(BN105&lt;&gt;"",N(CHOOSE(BN105,J105,N105,R105,V105,Z105,AD105,AH105,AL105))&gt;0.005),INDEX(DebtNames,BN105),IF(AND(BR105&lt;&gt;"",N(CHOOSE(BR105,J105,N105,R105,V105,Z105,AD105,AH105,AL105))&gt;0.005),INDEX(DebtNames,BR105),""))))))))</f>
        <v/>
      </c>
      <c r="D105">
        <f>N(BU105)</f>
        <v/>
      </c>
      <c r="E105">
        <f>N(L105)+N(P105)+N(T105)+N(X105)+N(AB105)+N(AF105)+N(AJ105)+N(AN105)</f>
        <v/>
      </c>
      <c r="F105">
        <f>N(K105)+N(O105)+N(S105)+N(W105)+N(AA105)+N(AE105)+N(AI105)+N(AM105)</f>
        <v/>
      </c>
      <c r="G105">
        <f>N(G104)+N(F105)</f>
        <v/>
      </c>
      <c r="H105">
        <f>N(M105)+N(Q105)+N(U105)+N(Y105)+N(AC105)+N(AG105)+N(AK105)+N(AO105)</f>
        <v/>
      </c>
      <c r="I105">
        <f>(M105&gt;0.005)*1+(Q105&gt;0.005)*1+(U105&gt;0.005)*1+(Y105&gt;0.005)*1+(AC105&gt;0.005)*1+(AG105&gt;0.005)*1+(AK105&gt;0.005)*1+(AO105&gt;0.005)*1</f>
        <v/>
      </c>
      <c r="J105">
        <f>N(M104)</f>
        <v/>
      </c>
      <c r="K105">
        <f>IF(N(J105)&lt;=0.005,0,ROUND(N(J105)*N('Debt List'!E5)/12,2))</f>
        <v/>
      </c>
      <c r="L105">
        <f>IF(N(J105)&lt;=0.005,0,MIN(N('Debt List'!F5),N(J105)+N(K105)))+((AP105=1)*AR105+(AT105=1)*AV105+(AX105=1)*AZ105+(BB105=1)*BD105+(BF105=1)*BH105+(BJ105=1)*BL105+(BN105=1)*BP105+(BR105=1)*BT105)</f>
        <v/>
      </c>
      <c r="M105">
        <f>MAX(0,ROUND(N(J105)+N(K105)-N(L105),2))</f>
        <v/>
      </c>
      <c r="N105">
        <f>N(Q104)</f>
        <v/>
      </c>
      <c r="O105">
        <f>IF(N(N105)&lt;=0.005,0,ROUND(N(N105)*N('Debt List'!E6)/12,2))</f>
        <v/>
      </c>
      <c r="P105">
        <f>IF(N(N105)&lt;=0.005,0,MIN(N('Debt List'!F6),N(N105)+N(O105)))+((AP105=2)*AR105+(AT105=2)*AV105+(AX105=2)*AZ105+(BB105=2)*BD105+(BF105=2)*BH105+(BJ105=2)*BL105+(BN105=2)*BP105+(BR105=2)*BT105)</f>
        <v/>
      </c>
      <c r="Q105">
        <f>MAX(0,ROUND(N(N105)+N(O105)-N(P105),2))</f>
        <v/>
      </c>
      <c r="R105">
        <f>N(U104)</f>
        <v/>
      </c>
      <c r="S105">
        <f>IF(N(R105)&lt;=0.005,0,ROUND(N(R105)*N('Debt List'!E7)/12,2))</f>
        <v/>
      </c>
      <c r="T105">
        <f>IF(N(R105)&lt;=0.005,0,MIN(N('Debt List'!F7),N(R105)+N(S105)))+((AP105=3)*AR105+(AT105=3)*AV105+(AX105=3)*AZ105+(BB105=3)*BD105+(BF105=3)*BH105+(BJ105=3)*BL105+(BN105=3)*BP105+(BR105=3)*BT105)</f>
        <v/>
      </c>
      <c r="U105">
        <f>MAX(0,ROUND(N(R105)+N(S105)-N(T105),2))</f>
        <v/>
      </c>
      <c r="V105">
        <f>N(Y104)</f>
        <v/>
      </c>
      <c r="W105">
        <f>IF(N(V105)&lt;=0.005,0,ROUND(N(V105)*N('Debt List'!E8)/12,2))</f>
        <v/>
      </c>
      <c r="X105">
        <f>IF(N(V105)&lt;=0.005,0,MIN(N('Debt List'!F8),N(V105)+N(W105)))+((AP105=4)*AR105+(AT105=4)*AV105+(AX105=4)*AZ105+(BB105=4)*BD105+(BF105=4)*BH105+(BJ105=4)*BL105+(BN105=4)*BP105+(BR105=4)*BT105)</f>
        <v/>
      </c>
      <c r="Y105">
        <f>MAX(0,ROUND(N(V105)+N(W105)-N(X105),2))</f>
        <v/>
      </c>
      <c r="Z105">
        <f>N(AC104)</f>
        <v/>
      </c>
      <c r="AA105">
        <f>IF(N(Z105)&lt;=0.005,0,ROUND(N(Z105)*N('Debt List'!E9)/12,2))</f>
        <v/>
      </c>
      <c r="AB105">
        <f>IF(N(Z105)&lt;=0.005,0,MIN(N('Debt List'!F9),N(Z105)+N(AA105)))+((AP105=5)*AR105+(AT105=5)*AV105+(AX105=5)*AZ105+(BB105=5)*BD105+(BF105=5)*BH105+(BJ105=5)*BL105+(BN105=5)*BP105+(BR105=5)*BT105)</f>
        <v/>
      </c>
      <c r="AC105">
        <f>MAX(0,ROUND(N(Z105)+N(AA105)-N(AB105),2))</f>
        <v/>
      </c>
      <c r="AD105">
        <f>N(AG104)</f>
        <v/>
      </c>
      <c r="AE105">
        <f>IF(N(AD105)&lt;=0.005,0,ROUND(N(AD105)*N('Debt List'!E10)/12,2))</f>
        <v/>
      </c>
      <c r="AF105">
        <f>IF(N(AD105)&lt;=0.005,0,MIN(N('Debt List'!F10),N(AD105)+N(AE105)))+((AP105=6)*AR105+(AT105=6)*AV105+(AX105=6)*AZ105+(BB105=6)*BD105+(BF105=6)*BH105+(BJ105=6)*BL105+(BN105=6)*BP105+(BR105=6)*BT105)</f>
        <v/>
      </c>
      <c r="AG105">
        <f>MAX(0,ROUND(N(AD105)+N(AE105)-N(AF105),2))</f>
        <v/>
      </c>
      <c r="AH105">
        <f>N(AK104)</f>
        <v/>
      </c>
      <c r="AI105">
        <f>IF(N(AH105)&lt;=0.005,0,ROUND(N(AH105)*N('Debt List'!E11)/12,2))</f>
        <v/>
      </c>
      <c r="AJ105">
        <f>IF(N(AH105)&lt;=0.005,0,MIN(N('Debt List'!F11),N(AH105)+N(AI105)))+((AP105=7)*AR105+(AT105=7)*AV105+(AX105=7)*AZ105+(BB105=7)*BD105+(BF105=7)*BH105+(BJ105=7)*BL105+(BN105=7)*BP105+(BR105=7)*BT105)</f>
        <v/>
      </c>
      <c r="AK105">
        <f>MAX(0,ROUND(N(AH105)+N(AI105)-N(AJ105),2))</f>
        <v/>
      </c>
      <c r="AL105">
        <f>N(AO104)</f>
        <v/>
      </c>
      <c r="AM105">
        <f>IF(N(AL105)&lt;=0.005,0,ROUND(N(AL105)*N('Debt List'!E12)/12,2))</f>
        <v/>
      </c>
      <c r="AN105">
        <f>IF(N(AL105)&lt;=0.005,0,MIN(N('Debt List'!F12),N(AL105)+N(AM105)))+((AP105=8)*AR105+(AT105=8)*AV105+(AX105=8)*AZ105+(BB105=8)*BD105+(BF105=8)*BH105+(BJ105=8)*BL105+(BN105=8)*BP105+(BR105=8)*BT105)</f>
        <v/>
      </c>
      <c r="AO105">
        <f>MAX(0,ROUND(N(AL105)+N(AM105)-N(AN105),2))</f>
        <v/>
      </c>
      <c r="AP105">
        <f>IFERROR(MATCH(1,OrderPlan,0),"")</f>
        <v/>
      </c>
      <c r="AQ105">
        <f>IF(AP105="",0,IFERROR(IF(N(CHOOSE(AP105,J105,N105,R105,V105,Z105,AD105,AH105,AL105))&lt;=0.005,0,MAX(0,N(CHOOSE(AP105,J105,N105,R105,V105,Z105,AD105,AH105,AL105))+N(CHOOSE(AP105,K105,O105,S105,W105,AA105,AE105,AI105,AM105))-MIN(N(CHOOSE(AP105,'Debt List'!$F$5,'Debt List'!$F$6,'Debt List'!$F$7,'Debt List'!$F$8,'Debt List'!$F$9,'Debt List'!$F$10,'Debt List'!$F$11,'Debt List'!$F$12)),N(CHOOSE(AP105,J105,N105,R105,V105,Z105,AD105,AH105,AL105))+N(CHOOSE(AP105,K105,O105,S105,W105,AA105,AE105,AI105,AM105))))),0))</f>
        <v/>
      </c>
      <c r="AR105">
        <f>MIN(N(AQ105),MAX(0,N(ExtraPayment)))</f>
        <v/>
      </c>
      <c r="AS105">
        <f>MAX(0,N(ExtraPayment)-N(AR105))</f>
        <v/>
      </c>
      <c r="AT105">
        <f>IFERROR(MATCH(2,OrderPlan,0),"")</f>
        <v/>
      </c>
      <c r="AU105">
        <f>IF(AT105="",0,IFERROR(IF(N(CHOOSE(AT105,J105,N105,R105,V105,Z105,AD105,AH105,AL105))&lt;=0.005,0,MAX(0,N(CHOOSE(AT105,J105,N105,R105,V105,Z105,AD105,AH105,AL105))+N(CHOOSE(AT105,K105,O105,S105,W105,AA105,AE105,AI105,AM105))-MIN(N(CHOOSE(AT105,'Debt List'!$F$5,'Debt List'!$F$6,'Debt List'!$F$7,'Debt List'!$F$8,'Debt List'!$F$9,'Debt List'!$F$10,'Debt List'!$F$11,'Debt List'!$F$12)),N(CHOOSE(AT105,J105,N105,R105,V105,Z105,AD105,AH105,AL105))+N(CHOOSE(AT105,K105,O105,S105,W105,AA105,AE105,AI105,AM105))))),0))</f>
        <v/>
      </c>
      <c r="AV105">
        <f>MIN(N(AU105),MAX(0,N(AS105)))</f>
        <v/>
      </c>
      <c r="AW105">
        <f>MAX(0,N(AS105)-N(AV105))</f>
        <v/>
      </c>
      <c r="AX105">
        <f>IFERROR(MATCH(3,OrderPlan,0),"")</f>
        <v/>
      </c>
      <c r="AY105">
        <f>IF(AX105="",0,IFERROR(IF(N(CHOOSE(AX105,J105,N105,R105,V105,Z105,AD105,AH105,AL105))&lt;=0.005,0,MAX(0,N(CHOOSE(AX105,J105,N105,R105,V105,Z105,AD105,AH105,AL105))+N(CHOOSE(AX105,K105,O105,S105,W105,AA105,AE105,AI105,AM105))-MIN(N(CHOOSE(AX105,'Debt List'!$F$5,'Debt List'!$F$6,'Debt List'!$F$7,'Debt List'!$F$8,'Debt List'!$F$9,'Debt List'!$F$10,'Debt List'!$F$11,'Debt List'!$F$12)),N(CHOOSE(AX105,J105,N105,R105,V105,Z105,AD105,AH105,AL105))+N(CHOOSE(AX105,K105,O105,S105,W105,AA105,AE105,AI105,AM105))))),0))</f>
        <v/>
      </c>
      <c r="AZ105">
        <f>MIN(N(AY105),MAX(0,N(AW105)))</f>
        <v/>
      </c>
      <c r="BA105">
        <f>MAX(0,N(AW105)-N(AZ105))</f>
        <v/>
      </c>
      <c r="BB105">
        <f>IFERROR(MATCH(4,OrderPlan,0),"")</f>
        <v/>
      </c>
      <c r="BC105">
        <f>IF(BB105="",0,IFERROR(IF(N(CHOOSE(BB105,J105,N105,R105,V105,Z105,AD105,AH105,AL105))&lt;=0.005,0,MAX(0,N(CHOOSE(BB105,J105,N105,R105,V105,Z105,AD105,AH105,AL105))+N(CHOOSE(BB105,K105,O105,S105,W105,AA105,AE105,AI105,AM105))-MIN(N(CHOOSE(BB105,'Debt List'!$F$5,'Debt List'!$F$6,'Debt List'!$F$7,'Debt List'!$F$8,'Debt List'!$F$9,'Debt List'!$F$10,'Debt List'!$F$11,'Debt List'!$F$12)),N(CHOOSE(BB105,J105,N105,R105,V105,Z105,AD105,AH105,AL105))+N(CHOOSE(BB105,K105,O105,S105,W105,AA105,AE105,AI105,AM105))))),0))</f>
        <v/>
      </c>
      <c r="BD105">
        <f>MIN(N(BC105),MAX(0,N(BA105)))</f>
        <v/>
      </c>
      <c r="BE105">
        <f>MAX(0,N(BA105)-N(BD105))</f>
        <v/>
      </c>
      <c r="BF105">
        <f>IFERROR(MATCH(5,OrderPlan,0),"")</f>
        <v/>
      </c>
      <c r="BG105">
        <f>IF(BF105="",0,IFERROR(IF(N(CHOOSE(BF105,J105,N105,R105,V105,Z105,AD105,AH105,AL105))&lt;=0.005,0,MAX(0,N(CHOOSE(BF105,J105,N105,R105,V105,Z105,AD105,AH105,AL105))+N(CHOOSE(BF105,K105,O105,S105,W105,AA105,AE105,AI105,AM105))-MIN(N(CHOOSE(BF105,'Debt List'!$F$5,'Debt List'!$F$6,'Debt List'!$F$7,'Debt List'!$F$8,'Debt List'!$F$9,'Debt List'!$F$10,'Debt List'!$F$11,'Debt List'!$F$12)),N(CHOOSE(BF105,J105,N105,R105,V105,Z105,AD105,AH105,AL105))+N(CHOOSE(BF105,K105,O105,S105,W105,AA105,AE105,AI105,AM105))))),0))</f>
        <v/>
      </c>
      <c r="BH105">
        <f>MIN(N(BG105),MAX(0,N(BE105)))</f>
        <v/>
      </c>
      <c r="BI105">
        <f>MAX(0,N(BE105)-N(BH105))</f>
        <v/>
      </c>
      <c r="BJ105">
        <f>IFERROR(MATCH(6,OrderPlan,0),"")</f>
        <v/>
      </c>
      <c r="BK105">
        <f>IF(BJ105="",0,IFERROR(IF(N(CHOOSE(BJ105,J105,N105,R105,V105,Z105,AD105,AH105,AL105))&lt;=0.005,0,MAX(0,N(CHOOSE(BJ105,J105,N105,R105,V105,Z105,AD105,AH105,AL105))+N(CHOOSE(BJ105,K105,O105,S105,W105,AA105,AE105,AI105,AM105))-MIN(N(CHOOSE(BJ105,'Debt List'!$F$5,'Debt List'!$F$6,'Debt List'!$F$7,'Debt List'!$F$8,'Debt List'!$F$9,'Debt List'!$F$10,'Debt List'!$F$11,'Debt List'!$F$12)),N(CHOOSE(BJ105,J105,N105,R105,V105,Z105,AD105,AH105,AL105))+N(CHOOSE(BJ105,K105,O105,S105,W105,AA105,AE105,AI105,AM105))))),0))</f>
        <v/>
      </c>
      <c r="BL105">
        <f>MIN(N(BK105),MAX(0,N(BI105)))</f>
        <v/>
      </c>
      <c r="BM105">
        <f>MAX(0,N(BI105)-N(BL105))</f>
        <v/>
      </c>
      <c r="BN105">
        <f>IFERROR(MATCH(7,OrderPlan,0),"")</f>
        <v/>
      </c>
      <c r="BO105">
        <f>IF(BN105="",0,IFERROR(IF(N(CHOOSE(BN105,J105,N105,R105,V105,Z105,AD105,AH105,AL105))&lt;=0.005,0,MAX(0,N(CHOOSE(BN105,J105,N105,R105,V105,Z105,AD105,AH105,AL105))+N(CHOOSE(BN105,K105,O105,S105,W105,AA105,AE105,AI105,AM105))-MIN(N(CHOOSE(BN105,'Debt List'!$F$5,'Debt List'!$F$6,'Debt List'!$F$7,'Debt List'!$F$8,'Debt List'!$F$9,'Debt List'!$F$10,'Debt List'!$F$11,'Debt List'!$F$12)),N(CHOOSE(BN105,J105,N105,R105,V105,Z105,AD105,AH105,AL105))+N(CHOOSE(BN105,K105,O105,S105,W105,AA105,AE105,AI105,AM105))))),0))</f>
        <v/>
      </c>
      <c r="BP105">
        <f>MIN(N(BO105),MAX(0,N(BM105)))</f>
        <v/>
      </c>
      <c r="BQ105">
        <f>MAX(0,N(BM105)-N(BP105))</f>
        <v/>
      </c>
      <c r="BR105">
        <f>IFERROR(MATCH(8,OrderPlan,0),"")</f>
        <v/>
      </c>
      <c r="BS105">
        <f>IF(BR105="",0,IFERROR(IF(N(CHOOSE(BR105,J105,N105,R105,V105,Z105,AD105,AH105,AL105))&lt;=0.005,0,MAX(0,N(CHOOSE(BR105,J105,N105,R105,V105,Z105,AD105,AH105,AL105))+N(CHOOSE(BR105,K105,O105,S105,W105,AA105,AE105,AI105,AM105))-MIN(N(CHOOSE(BR105,'Debt List'!$F$5,'Debt List'!$F$6,'Debt List'!$F$7,'Debt List'!$F$8,'Debt List'!$F$9,'Debt List'!$F$10,'Debt List'!$F$11,'Debt List'!$F$12)),N(CHOOSE(BR105,J105,N105,R105,V105,Z105,AD105,AH105,AL105))+N(CHOOSE(BR105,K105,O105,S105,W105,AA105,AE105,AI105,AM105))))),0))</f>
        <v/>
      </c>
      <c r="BT105">
        <f>MIN(N(BS105),MAX(0,N(BQ105)))</f>
        <v/>
      </c>
      <c r="BU105">
        <f>MAX(0,N(BQ105)-N(BT105))</f>
        <v/>
      </c>
      <c r="CC105" t="n">
        <v>101</v>
      </c>
      <c r="CD105" s="115">
        <f>DATE(YEAR(PlanStart),MONTH(PlanStart)+CC105-1,1)</f>
        <v/>
      </c>
      <c r="CE105">
        <f>IF(AND(DR105&lt;&gt;"",N(CHOOSE(DR105,CL105,CP105,CT105,CX105,DB105,DF105,DJ105,DN105))&gt;0.005),INDEX(DebtNames,DR105),IF(AND(DV105&lt;&gt;"",N(CHOOSE(DV105,CL105,CP105,CT105,CX105,DB105,DF105,DJ105,DN105))&gt;0.005),INDEX(DebtNames,DV105),IF(AND(DZ105&lt;&gt;"",N(CHOOSE(DZ105,CL105,CP105,CT105,CX105,DB105,DF105,DJ105,DN105))&gt;0.005),INDEX(DebtNames,DZ105),IF(AND(ED105&lt;&gt;"",N(CHOOSE(ED105,CL105,CP105,CT105,CX105,DB105,DF105,DJ105,DN105))&gt;0.005),INDEX(DebtNames,ED105),IF(AND(EH105&lt;&gt;"",N(CHOOSE(EH105,CL105,CP105,CT105,CX105,DB105,DF105,DJ105,DN105))&gt;0.005),INDEX(DebtNames,EH105),IF(AND(EL105&lt;&gt;"",N(CHOOSE(EL105,CL105,CP105,CT105,CX105,DB105,DF105,DJ105,DN105))&gt;0.005),INDEX(DebtNames,EL105),IF(AND(EP105&lt;&gt;"",N(CHOOSE(EP105,CL105,CP105,CT105,CX105,DB105,DF105,DJ105,DN105))&gt;0.005),INDEX(DebtNames,EP105),IF(AND(ET105&lt;&gt;"",N(CHOOSE(ET105,CL105,CP105,CT105,CX105,DB105,DF105,DJ105,DN105))&gt;0.005),INDEX(DebtNames,ET105),""))))))))</f>
        <v/>
      </c>
      <c r="CF105">
        <f>N(EW105)</f>
        <v/>
      </c>
      <c r="CG105">
        <f>N(CN105)+N(CR105)+N(CV105)+N(CZ105)+N(DD105)+N(DH105)+N(DL105)+N(DP105)</f>
        <v/>
      </c>
      <c r="CH105">
        <f>N(CM105)+N(CQ105)+N(CU105)+N(CY105)+N(DC105)+N(DG105)+N(DK105)+N(DO105)</f>
        <v/>
      </c>
      <c r="CI105">
        <f>N(CI104)+N(CH105)</f>
        <v/>
      </c>
      <c r="CJ105">
        <f>N(CO105)+N(CS105)+N(CW105)+N(DA105)+N(DE105)+N(DI105)+N(DM105)+N(DQ105)</f>
        <v/>
      </c>
      <c r="CK105">
        <f>(CO105&gt;0.005)*1+(CS105&gt;0.005)*1+(CW105&gt;0.005)*1+(DA105&gt;0.005)*1+(DE105&gt;0.005)*1+(DI105&gt;0.005)*1+(DM105&gt;0.005)*1+(DQ105&gt;0.005)*1</f>
        <v/>
      </c>
      <c r="CL105">
        <f>N(CO104)</f>
        <v/>
      </c>
      <c r="CM105">
        <f>IF(N(CL105)&lt;=0.005,0,ROUND(N(CL105)*N('Debt List'!E5)/12,2))</f>
        <v/>
      </c>
      <c r="CN105">
        <f>IF(N(CL105)&lt;=0.005,0,MIN(N('Debt List'!F5),N(CL105)+N(CM105)))+((DR105=1)*DT105+(DV105=1)*DX105+(DZ105=1)*EB105+(ED105=1)*EF105+(EH105=1)*EJ105+(EL105=1)*EN105+(EP105=1)*ER105+(ET105=1)*EV105)</f>
        <v/>
      </c>
      <c r="CO105">
        <f>MAX(0,ROUND(N(CL105)+N(CM105)-N(CN105),2))</f>
        <v/>
      </c>
      <c r="CP105">
        <f>N(CS104)</f>
        <v/>
      </c>
      <c r="CQ105">
        <f>IF(N(CP105)&lt;=0.005,0,ROUND(N(CP105)*N('Debt List'!E6)/12,2))</f>
        <v/>
      </c>
      <c r="CR105">
        <f>IF(N(CP105)&lt;=0.005,0,MIN(N('Debt List'!F6),N(CP105)+N(CQ105)))+((DR105=2)*DT105+(DV105=2)*DX105+(DZ105=2)*EB105+(ED105=2)*EF105+(EH105=2)*EJ105+(EL105=2)*EN105+(EP105=2)*ER105+(ET105=2)*EV105)</f>
        <v/>
      </c>
      <c r="CS105">
        <f>MAX(0,ROUND(N(CP105)+N(CQ105)-N(CR105),2))</f>
        <v/>
      </c>
      <c r="CT105">
        <f>N(CW104)</f>
        <v/>
      </c>
      <c r="CU105">
        <f>IF(N(CT105)&lt;=0.005,0,ROUND(N(CT105)*N('Debt List'!E7)/12,2))</f>
        <v/>
      </c>
      <c r="CV105">
        <f>IF(N(CT105)&lt;=0.005,0,MIN(N('Debt List'!F7),N(CT105)+N(CU105)))+((DR105=3)*DT105+(DV105=3)*DX105+(DZ105=3)*EB105+(ED105=3)*EF105+(EH105=3)*EJ105+(EL105=3)*EN105+(EP105=3)*ER105+(ET105=3)*EV105)</f>
        <v/>
      </c>
      <c r="CW105">
        <f>MAX(0,ROUND(N(CT105)+N(CU105)-N(CV105),2))</f>
        <v/>
      </c>
      <c r="CX105">
        <f>N(DA104)</f>
        <v/>
      </c>
      <c r="CY105">
        <f>IF(N(CX105)&lt;=0.005,0,ROUND(N(CX105)*N('Debt List'!E8)/12,2))</f>
        <v/>
      </c>
      <c r="CZ105">
        <f>IF(N(CX105)&lt;=0.005,0,MIN(N('Debt List'!F8),N(CX105)+N(CY105)))+((DR105=4)*DT105+(DV105=4)*DX105+(DZ105=4)*EB105+(ED105=4)*EF105+(EH105=4)*EJ105+(EL105=4)*EN105+(EP105=4)*ER105+(ET105=4)*EV105)</f>
        <v/>
      </c>
      <c r="DA105">
        <f>MAX(0,ROUND(N(CX105)+N(CY105)-N(CZ105),2))</f>
        <v/>
      </c>
      <c r="DB105">
        <f>N(DE104)</f>
        <v/>
      </c>
      <c r="DC105">
        <f>IF(N(DB105)&lt;=0.005,0,ROUND(N(DB105)*N('Debt List'!E9)/12,2))</f>
        <v/>
      </c>
      <c r="DD105">
        <f>IF(N(DB105)&lt;=0.005,0,MIN(N('Debt List'!F9),N(DB105)+N(DC105)))+((DR105=5)*DT105+(DV105=5)*DX105+(DZ105=5)*EB105+(ED105=5)*EF105+(EH105=5)*EJ105+(EL105=5)*EN105+(EP105=5)*ER105+(ET105=5)*EV105)</f>
        <v/>
      </c>
      <c r="DE105">
        <f>MAX(0,ROUND(N(DB105)+N(DC105)-N(DD105),2))</f>
        <v/>
      </c>
      <c r="DF105">
        <f>N(DI104)</f>
        <v/>
      </c>
      <c r="DG105">
        <f>IF(N(DF105)&lt;=0.005,0,ROUND(N(DF105)*N('Debt List'!E10)/12,2))</f>
        <v/>
      </c>
      <c r="DH105">
        <f>IF(N(DF105)&lt;=0.005,0,MIN(N('Debt List'!F10),N(DF105)+N(DG105)))+((DR105=6)*DT105+(DV105=6)*DX105+(DZ105=6)*EB105+(ED105=6)*EF105+(EH105=6)*EJ105+(EL105=6)*EN105+(EP105=6)*ER105+(ET105=6)*EV105)</f>
        <v/>
      </c>
      <c r="DI105">
        <f>MAX(0,ROUND(N(DF105)+N(DG105)-N(DH105),2))</f>
        <v/>
      </c>
      <c r="DJ105">
        <f>N(DM104)</f>
        <v/>
      </c>
      <c r="DK105">
        <f>IF(N(DJ105)&lt;=0.005,0,ROUND(N(DJ105)*N('Debt List'!E11)/12,2))</f>
        <v/>
      </c>
      <c r="DL105">
        <f>IF(N(DJ105)&lt;=0.005,0,MIN(N('Debt List'!F11),N(DJ105)+N(DK105)))+((DR105=7)*DT105+(DV105=7)*DX105+(DZ105=7)*EB105+(ED105=7)*EF105+(EH105=7)*EJ105+(EL105=7)*EN105+(EP105=7)*ER105+(ET105=7)*EV105)</f>
        <v/>
      </c>
      <c r="DM105">
        <f>MAX(0,ROUND(N(DJ105)+N(DK105)-N(DL105),2))</f>
        <v/>
      </c>
      <c r="DN105">
        <f>N(DQ104)</f>
        <v/>
      </c>
      <c r="DO105">
        <f>IF(N(DN105)&lt;=0.005,0,ROUND(N(DN105)*N('Debt List'!E12)/12,2))</f>
        <v/>
      </c>
      <c r="DP105">
        <f>IF(N(DN105)&lt;=0.005,0,MIN(N('Debt List'!F12),N(DN105)+N(DO105)))+((DR105=8)*DT105+(DV105=8)*DX105+(DZ105=8)*EB105+(ED105=8)*EF105+(EH105=8)*EJ105+(EL105=8)*EN105+(EP105=8)*ER105+(ET105=8)*EV105)</f>
        <v/>
      </c>
      <c r="DQ105">
        <f>MAX(0,ROUND(N(DN105)+N(DO105)-N(DP105),2))</f>
        <v/>
      </c>
      <c r="DR105">
        <f>IFERROR(MATCH(1,OrderSnow,0),"")</f>
        <v/>
      </c>
      <c r="DS105">
        <f>IF(DR105="",0,IFERROR(IF(N(CHOOSE(DR105,CL105,CP105,CT105,CX105,DB105,DF105,DJ105,DN105))&lt;=0.005,0,MAX(0,N(CHOOSE(DR105,CL105,CP105,CT105,CX105,DB105,DF105,DJ105,DN105))+N(CHOOSE(DR105,CM105,CQ105,CU105,CY105,DC105,DG105,DK105,DO105))-MIN(N(CHOOSE(DR105,'Debt List'!$F$5,'Debt List'!$F$6,'Debt List'!$F$7,'Debt List'!$F$8,'Debt List'!$F$9,'Debt List'!$F$10,'Debt List'!$F$11,'Debt List'!$F$12)),N(CHOOSE(DR105,CL105,CP105,CT105,CX105,DB105,DF105,DJ105,DN105))+N(CHOOSE(DR105,CM105,CQ105,CU105,CY105,DC105,DG105,DK105,DO105))))),0))</f>
        <v/>
      </c>
      <c r="DT105">
        <f>MIN(N(DS105),MAX(0,N(ExtraPayment)))</f>
        <v/>
      </c>
      <c r="DU105">
        <f>MAX(0,N(ExtraPayment)-N(DT105))</f>
        <v/>
      </c>
      <c r="DV105">
        <f>IFERROR(MATCH(2,OrderSnow,0),"")</f>
        <v/>
      </c>
      <c r="DW105">
        <f>IF(DV105="",0,IFERROR(IF(N(CHOOSE(DV105,CL105,CP105,CT105,CX105,DB105,DF105,DJ105,DN105))&lt;=0.005,0,MAX(0,N(CHOOSE(DV105,CL105,CP105,CT105,CX105,DB105,DF105,DJ105,DN105))+N(CHOOSE(DV105,CM105,CQ105,CU105,CY105,DC105,DG105,DK105,DO105))-MIN(N(CHOOSE(DV105,'Debt List'!$F$5,'Debt List'!$F$6,'Debt List'!$F$7,'Debt List'!$F$8,'Debt List'!$F$9,'Debt List'!$F$10,'Debt List'!$F$11,'Debt List'!$F$12)),N(CHOOSE(DV105,CL105,CP105,CT105,CX105,DB105,DF105,DJ105,DN105))+N(CHOOSE(DV105,CM105,CQ105,CU105,CY105,DC105,DG105,DK105,DO105))))),0))</f>
        <v/>
      </c>
      <c r="DX105">
        <f>MIN(N(DW105),MAX(0,N(DU105)))</f>
        <v/>
      </c>
      <c r="DY105">
        <f>MAX(0,N(DU105)-N(DX105))</f>
        <v/>
      </c>
      <c r="DZ105">
        <f>IFERROR(MATCH(3,OrderSnow,0),"")</f>
        <v/>
      </c>
      <c r="EA105">
        <f>IF(DZ105="",0,IFERROR(IF(N(CHOOSE(DZ105,CL105,CP105,CT105,CX105,DB105,DF105,DJ105,DN105))&lt;=0.005,0,MAX(0,N(CHOOSE(DZ105,CL105,CP105,CT105,CX105,DB105,DF105,DJ105,DN105))+N(CHOOSE(DZ105,CM105,CQ105,CU105,CY105,DC105,DG105,DK105,DO105))-MIN(N(CHOOSE(DZ105,'Debt List'!$F$5,'Debt List'!$F$6,'Debt List'!$F$7,'Debt List'!$F$8,'Debt List'!$F$9,'Debt List'!$F$10,'Debt List'!$F$11,'Debt List'!$F$12)),N(CHOOSE(DZ105,CL105,CP105,CT105,CX105,DB105,DF105,DJ105,DN105))+N(CHOOSE(DZ105,CM105,CQ105,CU105,CY105,DC105,DG105,DK105,DO105))))),0))</f>
        <v/>
      </c>
      <c r="EB105">
        <f>MIN(N(EA105),MAX(0,N(DY105)))</f>
        <v/>
      </c>
      <c r="EC105">
        <f>MAX(0,N(DY105)-N(EB105))</f>
        <v/>
      </c>
      <c r="ED105">
        <f>IFERROR(MATCH(4,OrderSnow,0),"")</f>
        <v/>
      </c>
      <c r="EE105">
        <f>IF(ED105="",0,IFERROR(IF(N(CHOOSE(ED105,CL105,CP105,CT105,CX105,DB105,DF105,DJ105,DN105))&lt;=0.005,0,MAX(0,N(CHOOSE(ED105,CL105,CP105,CT105,CX105,DB105,DF105,DJ105,DN105))+N(CHOOSE(ED105,CM105,CQ105,CU105,CY105,DC105,DG105,DK105,DO105))-MIN(N(CHOOSE(ED105,'Debt List'!$F$5,'Debt List'!$F$6,'Debt List'!$F$7,'Debt List'!$F$8,'Debt List'!$F$9,'Debt List'!$F$10,'Debt List'!$F$11,'Debt List'!$F$12)),N(CHOOSE(ED105,CL105,CP105,CT105,CX105,DB105,DF105,DJ105,DN105))+N(CHOOSE(ED105,CM105,CQ105,CU105,CY105,DC105,DG105,DK105,DO105))))),0))</f>
        <v/>
      </c>
      <c r="EF105">
        <f>MIN(N(EE105),MAX(0,N(EC105)))</f>
        <v/>
      </c>
      <c r="EG105">
        <f>MAX(0,N(EC105)-N(EF105))</f>
        <v/>
      </c>
      <c r="EH105">
        <f>IFERROR(MATCH(5,OrderSnow,0),"")</f>
        <v/>
      </c>
      <c r="EI105">
        <f>IF(EH105="",0,IFERROR(IF(N(CHOOSE(EH105,CL105,CP105,CT105,CX105,DB105,DF105,DJ105,DN105))&lt;=0.005,0,MAX(0,N(CHOOSE(EH105,CL105,CP105,CT105,CX105,DB105,DF105,DJ105,DN105))+N(CHOOSE(EH105,CM105,CQ105,CU105,CY105,DC105,DG105,DK105,DO105))-MIN(N(CHOOSE(EH105,'Debt List'!$F$5,'Debt List'!$F$6,'Debt List'!$F$7,'Debt List'!$F$8,'Debt List'!$F$9,'Debt List'!$F$10,'Debt List'!$F$11,'Debt List'!$F$12)),N(CHOOSE(EH105,CL105,CP105,CT105,CX105,DB105,DF105,DJ105,DN105))+N(CHOOSE(EH105,CM105,CQ105,CU105,CY105,DC105,DG105,DK105,DO105))))),0))</f>
        <v/>
      </c>
      <c r="EJ105">
        <f>MIN(N(EI105),MAX(0,N(EG105)))</f>
        <v/>
      </c>
      <c r="EK105">
        <f>MAX(0,N(EG105)-N(EJ105))</f>
        <v/>
      </c>
      <c r="EL105">
        <f>IFERROR(MATCH(6,OrderSnow,0),"")</f>
        <v/>
      </c>
      <c r="EM105">
        <f>IF(EL105="",0,IFERROR(IF(N(CHOOSE(EL105,CL105,CP105,CT105,CX105,DB105,DF105,DJ105,DN105))&lt;=0.005,0,MAX(0,N(CHOOSE(EL105,CL105,CP105,CT105,CX105,DB105,DF105,DJ105,DN105))+N(CHOOSE(EL105,CM105,CQ105,CU105,CY105,DC105,DG105,DK105,DO105))-MIN(N(CHOOSE(EL105,'Debt List'!$F$5,'Debt List'!$F$6,'Debt List'!$F$7,'Debt List'!$F$8,'Debt List'!$F$9,'Debt List'!$F$10,'Debt List'!$F$11,'Debt List'!$F$12)),N(CHOOSE(EL105,CL105,CP105,CT105,CX105,DB105,DF105,DJ105,DN105))+N(CHOOSE(EL105,CM105,CQ105,CU105,CY105,DC105,DG105,DK105,DO105))))),0))</f>
        <v/>
      </c>
      <c r="EN105">
        <f>MIN(N(EM105),MAX(0,N(EK105)))</f>
        <v/>
      </c>
      <c r="EO105">
        <f>MAX(0,N(EK105)-N(EN105))</f>
        <v/>
      </c>
      <c r="EP105">
        <f>IFERROR(MATCH(7,OrderSnow,0),"")</f>
        <v/>
      </c>
      <c r="EQ105">
        <f>IF(EP105="",0,IFERROR(IF(N(CHOOSE(EP105,CL105,CP105,CT105,CX105,DB105,DF105,DJ105,DN105))&lt;=0.005,0,MAX(0,N(CHOOSE(EP105,CL105,CP105,CT105,CX105,DB105,DF105,DJ105,DN105))+N(CHOOSE(EP105,CM105,CQ105,CU105,CY105,DC105,DG105,DK105,DO105))-MIN(N(CHOOSE(EP105,'Debt List'!$F$5,'Debt List'!$F$6,'Debt List'!$F$7,'Debt List'!$F$8,'Debt List'!$F$9,'Debt List'!$F$10,'Debt List'!$F$11,'Debt List'!$F$12)),N(CHOOSE(EP105,CL105,CP105,CT105,CX105,DB105,DF105,DJ105,DN105))+N(CHOOSE(EP105,CM105,CQ105,CU105,CY105,DC105,DG105,DK105,DO105))))),0))</f>
        <v/>
      </c>
      <c r="ER105">
        <f>MIN(N(EQ105),MAX(0,N(EO105)))</f>
        <v/>
      </c>
      <c r="ES105">
        <f>MAX(0,N(EO105)-N(ER105))</f>
        <v/>
      </c>
      <c r="ET105">
        <f>IFERROR(MATCH(8,OrderSnow,0),"")</f>
        <v/>
      </c>
      <c r="EU105">
        <f>IF(ET105="",0,IFERROR(IF(N(CHOOSE(ET105,CL105,CP105,CT105,CX105,DB105,DF105,DJ105,DN105))&lt;=0.005,0,MAX(0,N(CHOOSE(ET105,CL105,CP105,CT105,CX105,DB105,DF105,DJ105,DN105))+N(CHOOSE(ET105,CM105,CQ105,CU105,CY105,DC105,DG105,DK105,DO105))-MIN(N(CHOOSE(ET105,'Debt List'!$F$5,'Debt List'!$F$6,'Debt List'!$F$7,'Debt List'!$F$8,'Debt List'!$F$9,'Debt List'!$F$10,'Debt List'!$F$11,'Debt List'!$F$12)),N(CHOOSE(ET105,CL105,CP105,CT105,CX105,DB105,DF105,DJ105,DN105))+N(CHOOSE(ET105,CM105,CQ105,CU105,CY105,DC105,DG105,DK105,DO105))))),0))</f>
        <v/>
      </c>
      <c r="EV105">
        <f>MIN(N(EU105),MAX(0,N(ES105)))</f>
        <v/>
      </c>
      <c r="EW105">
        <f>MAX(0,N(ES105)-N(EV105))</f>
        <v/>
      </c>
      <c r="FE105" t="n">
        <v>101</v>
      </c>
      <c r="FF105" s="115">
        <f>DATE(YEAR(PlanStart),MONTH(PlanStart)+FE105-1,1)</f>
        <v/>
      </c>
      <c r="FG105">
        <f>IF(AND(GT105&lt;&gt;"",N(CHOOSE(GT105,FN105,FR105,FV105,FZ105,GD105,GH105,GL105,GP105))&gt;0.005),INDEX(DebtNames,GT105),IF(AND(GX105&lt;&gt;"",N(CHOOSE(GX105,FN105,FR105,FV105,FZ105,GD105,GH105,GL105,GP105))&gt;0.005),INDEX(DebtNames,GX105),IF(AND(HB105&lt;&gt;"",N(CHOOSE(HB105,FN105,FR105,FV105,FZ105,GD105,GH105,GL105,GP105))&gt;0.005),INDEX(DebtNames,HB105),IF(AND(HF105&lt;&gt;"",N(CHOOSE(HF105,FN105,FR105,FV105,FZ105,GD105,GH105,GL105,GP105))&gt;0.005),INDEX(DebtNames,HF105),IF(AND(HJ105&lt;&gt;"",N(CHOOSE(HJ105,FN105,FR105,FV105,FZ105,GD105,GH105,GL105,GP105))&gt;0.005),INDEX(DebtNames,HJ105),IF(AND(HN105&lt;&gt;"",N(CHOOSE(HN105,FN105,FR105,FV105,FZ105,GD105,GH105,GL105,GP105))&gt;0.005),INDEX(DebtNames,HN105),IF(AND(HR105&lt;&gt;"",N(CHOOSE(HR105,FN105,FR105,FV105,FZ105,GD105,GH105,GL105,GP105))&gt;0.005),INDEX(DebtNames,HR105),IF(AND(HV105&lt;&gt;"",N(CHOOSE(HV105,FN105,FR105,FV105,FZ105,GD105,GH105,GL105,GP105))&gt;0.005),INDEX(DebtNames,HV105),""))))))))</f>
        <v/>
      </c>
      <c r="FH105">
        <f>N(HY105)</f>
        <v/>
      </c>
      <c r="FI105">
        <f>N(FP105)+N(FT105)+N(FX105)+N(GB105)+N(GF105)+N(GJ105)+N(GN105)+N(GR105)</f>
        <v/>
      </c>
      <c r="FJ105">
        <f>N(FO105)+N(FS105)+N(FW105)+N(GA105)+N(GE105)+N(GI105)+N(GM105)+N(GQ105)</f>
        <v/>
      </c>
      <c r="FK105">
        <f>N(FK104)+N(FJ105)</f>
        <v/>
      </c>
      <c r="FL105">
        <f>N(FQ105)+N(FU105)+N(FY105)+N(GC105)+N(GG105)+N(GK105)+N(GO105)+N(GS105)</f>
        <v/>
      </c>
      <c r="FM105">
        <f>(FQ105&gt;0.005)*1+(FU105&gt;0.005)*1+(FY105&gt;0.005)*1+(GC105&gt;0.005)*1+(GG105&gt;0.005)*1+(GK105&gt;0.005)*1+(GO105&gt;0.005)*1+(GS105&gt;0.005)*1</f>
        <v/>
      </c>
      <c r="FN105">
        <f>N(FQ104)</f>
        <v/>
      </c>
      <c r="FO105">
        <f>IF(N(FN105)&lt;=0.005,0,ROUND(N(FN105)*N('Debt List'!E5)/12,2))</f>
        <v/>
      </c>
      <c r="FP105">
        <f>IF(N(FN105)&lt;=0.005,0,MIN(N('Debt List'!F5),N(FN105)+N(FO105)))+((GT105=1)*GV105+(GX105=1)*GZ105+(HB105=1)*HD105+(HF105=1)*HH105+(HJ105=1)*HL105+(HN105=1)*HP105+(HR105=1)*HT105+(HV105=1)*HX105)</f>
        <v/>
      </c>
      <c r="FQ105">
        <f>MAX(0,ROUND(N(FN105)+N(FO105)-N(FP105),2))</f>
        <v/>
      </c>
      <c r="FR105">
        <f>N(FU104)</f>
        <v/>
      </c>
      <c r="FS105">
        <f>IF(N(FR105)&lt;=0.005,0,ROUND(N(FR105)*N('Debt List'!E6)/12,2))</f>
        <v/>
      </c>
      <c r="FT105">
        <f>IF(N(FR105)&lt;=0.005,0,MIN(N('Debt List'!F6),N(FR105)+N(FS105)))+((GT105=2)*GV105+(GX105=2)*GZ105+(HB105=2)*HD105+(HF105=2)*HH105+(HJ105=2)*HL105+(HN105=2)*HP105+(HR105=2)*HT105+(HV105=2)*HX105)</f>
        <v/>
      </c>
      <c r="FU105">
        <f>MAX(0,ROUND(N(FR105)+N(FS105)-N(FT105),2))</f>
        <v/>
      </c>
      <c r="FV105">
        <f>N(FY104)</f>
        <v/>
      </c>
      <c r="FW105">
        <f>IF(N(FV105)&lt;=0.005,0,ROUND(N(FV105)*N('Debt List'!E7)/12,2))</f>
        <v/>
      </c>
      <c r="FX105">
        <f>IF(N(FV105)&lt;=0.005,0,MIN(N('Debt List'!F7),N(FV105)+N(FW105)))+((GT105=3)*GV105+(GX105=3)*GZ105+(HB105=3)*HD105+(HF105=3)*HH105+(HJ105=3)*HL105+(HN105=3)*HP105+(HR105=3)*HT105+(HV105=3)*HX105)</f>
        <v/>
      </c>
      <c r="FY105">
        <f>MAX(0,ROUND(N(FV105)+N(FW105)-N(FX105),2))</f>
        <v/>
      </c>
      <c r="FZ105">
        <f>N(GC104)</f>
        <v/>
      </c>
      <c r="GA105">
        <f>IF(N(FZ105)&lt;=0.005,0,ROUND(N(FZ105)*N('Debt List'!E8)/12,2))</f>
        <v/>
      </c>
      <c r="GB105">
        <f>IF(N(FZ105)&lt;=0.005,0,MIN(N('Debt List'!F8),N(FZ105)+N(GA105)))+((GT105=4)*GV105+(GX105=4)*GZ105+(HB105=4)*HD105+(HF105=4)*HH105+(HJ105=4)*HL105+(HN105=4)*HP105+(HR105=4)*HT105+(HV105=4)*HX105)</f>
        <v/>
      </c>
      <c r="GC105">
        <f>MAX(0,ROUND(N(FZ105)+N(GA105)-N(GB105),2))</f>
        <v/>
      </c>
      <c r="GD105">
        <f>N(GG104)</f>
        <v/>
      </c>
      <c r="GE105">
        <f>IF(N(GD105)&lt;=0.005,0,ROUND(N(GD105)*N('Debt List'!E9)/12,2))</f>
        <v/>
      </c>
      <c r="GF105">
        <f>IF(N(GD105)&lt;=0.005,0,MIN(N('Debt List'!F9),N(GD105)+N(GE105)))+((GT105=5)*GV105+(GX105=5)*GZ105+(HB105=5)*HD105+(HF105=5)*HH105+(HJ105=5)*HL105+(HN105=5)*HP105+(HR105=5)*HT105+(HV105=5)*HX105)</f>
        <v/>
      </c>
      <c r="GG105">
        <f>MAX(0,ROUND(N(GD105)+N(GE105)-N(GF105),2))</f>
        <v/>
      </c>
      <c r="GH105">
        <f>N(GK104)</f>
        <v/>
      </c>
      <c r="GI105">
        <f>IF(N(GH105)&lt;=0.005,0,ROUND(N(GH105)*N('Debt List'!E10)/12,2))</f>
        <v/>
      </c>
      <c r="GJ105">
        <f>IF(N(GH105)&lt;=0.005,0,MIN(N('Debt List'!F10),N(GH105)+N(GI105)))+((GT105=6)*GV105+(GX105=6)*GZ105+(HB105=6)*HD105+(HF105=6)*HH105+(HJ105=6)*HL105+(HN105=6)*HP105+(HR105=6)*HT105+(HV105=6)*HX105)</f>
        <v/>
      </c>
      <c r="GK105">
        <f>MAX(0,ROUND(N(GH105)+N(GI105)-N(GJ105),2))</f>
        <v/>
      </c>
      <c r="GL105">
        <f>N(GO104)</f>
        <v/>
      </c>
      <c r="GM105">
        <f>IF(N(GL105)&lt;=0.005,0,ROUND(N(GL105)*N('Debt List'!E11)/12,2))</f>
        <v/>
      </c>
      <c r="GN105">
        <f>IF(N(GL105)&lt;=0.005,0,MIN(N('Debt List'!F11),N(GL105)+N(GM105)))+((GT105=7)*GV105+(GX105=7)*GZ105+(HB105=7)*HD105+(HF105=7)*HH105+(HJ105=7)*HL105+(HN105=7)*HP105+(HR105=7)*HT105+(HV105=7)*HX105)</f>
        <v/>
      </c>
      <c r="GO105">
        <f>MAX(0,ROUND(N(GL105)+N(GM105)-N(GN105),2))</f>
        <v/>
      </c>
      <c r="GP105">
        <f>N(GS104)</f>
        <v/>
      </c>
      <c r="GQ105">
        <f>IF(N(GP105)&lt;=0.005,0,ROUND(N(GP105)*N('Debt List'!E12)/12,2))</f>
        <v/>
      </c>
      <c r="GR105">
        <f>IF(N(GP105)&lt;=0.005,0,MIN(N('Debt List'!F12),N(GP105)+N(GQ105)))+((GT105=8)*GV105+(GX105=8)*GZ105+(HB105=8)*HD105+(HF105=8)*HH105+(HJ105=8)*HL105+(HN105=8)*HP105+(HR105=8)*HT105+(HV105=8)*HX105)</f>
        <v/>
      </c>
      <c r="GS105">
        <f>MAX(0,ROUND(N(GP105)+N(GQ105)-N(GR105),2))</f>
        <v/>
      </c>
      <c r="GT105">
        <f>IFERROR(MATCH(1,OrderAval,0),"")</f>
        <v/>
      </c>
      <c r="GU105">
        <f>IF(GT105="",0,IFERROR(IF(N(CHOOSE(GT105,FN105,FR105,FV105,FZ105,GD105,GH105,GL105,GP105))&lt;=0.005,0,MAX(0,N(CHOOSE(GT105,FN105,FR105,FV105,FZ105,GD105,GH105,GL105,GP105))+N(CHOOSE(GT105,FO105,FS105,FW105,GA105,GE105,GI105,GM105,GQ105))-MIN(N(CHOOSE(GT105,'Debt List'!$F$5,'Debt List'!$F$6,'Debt List'!$F$7,'Debt List'!$F$8,'Debt List'!$F$9,'Debt List'!$F$10,'Debt List'!$F$11,'Debt List'!$F$12)),N(CHOOSE(GT105,FN105,FR105,FV105,FZ105,GD105,GH105,GL105,GP105))+N(CHOOSE(GT105,FO105,FS105,FW105,GA105,GE105,GI105,GM105,GQ105))))),0))</f>
        <v/>
      </c>
      <c r="GV105">
        <f>MIN(N(GU105),MAX(0,N(ExtraPayment)))</f>
        <v/>
      </c>
      <c r="GW105">
        <f>MAX(0,N(ExtraPayment)-N(GV105))</f>
        <v/>
      </c>
      <c r="GX105">
        <f>IFERROR(MATCH(2,OrderAval,0),"")</f>
        <v/>
      </c>
      <c r="GY105">
        <f>IF(GX105="",0,IFERROR(IF(N(CHOOSE(GX105,FN105,FR105,FV105,FZ105,GD105,GH105,GL105,GP105))&lt;=0.005,0,MAX(0,N(CHOOSE(GX105,FN105,FR105,FV105,FZ105,GD105,GH105,GL105,GP105))+N(CHOOSE(GX105,FO105,FS105,FW105,GA105,GE105,GI105,GM105,GQ105))-MIN(N(CHOOSE(GX105,'Debt List'!$F$5,'Debt List'!$F$6,'Debt List'!$F$7,'Debt List'!$F$8,'Debt List'!$F$9,'Debt List'!$F$10,'Debt List'!$F$11,'Debt List'!$F$12)),N(CHOOSE(GX105,FN105,FR105,FV105,FZ105,GD105,GH105,GL105,GP105))+N(CHOOSE(GX105,FO105,FS105,FW105,GA105,GE105,GI105,GM105,GQ105))))),0))</f>
        <v/>
      </c>
      <c r="GZ105">
        <f>MIN(N(GY105),MAX(0,N(GW105)))</f>
        <v/>
      </c>
      <c r="HA105">
        <f>MAX(0,N(GW105)-N(GZ105))</f>
        <v/>
      </c>
      <c r="HB105">
        <f>IFERROR(MATCH(3,OrderAval,0),"")</f>
        <v/>
      </c>
      <c r="HC105">
        <f>IF(HB105="",0,IFERROR(IF(N(CHOOSE(HB105,FN105,FR105,FV105,FZ105,GD105,GH105,GL105,GP105))&lt;=0.005,0,MAX(0,N(CHOOSE(HB105,FN105,FR105,FV105,FZ105,GD105,GH105,GL105,GP105))+N(CHOOSE(HB105,FO105,FS105,FW105,GA105,GE105,GI105,GM105,GQ105))-MIN(N(CHOOSE(HB105,'Debt List'!$F$5,'Debt List'!$F$6,'Debt List'!$F$7,'Debt List'!$F$8,'Debt List'!$F$9,'Debt List'!$F$10,'Debt List'!$F$11,'Debt List'!$F$12)),N(CHOOSE(HB105,FN105,FR105,FV105,FZ105,GD105,GH105,GL105,GP105))+N(CHOOSE(HB105,FO105,FS105,FW105,GA105,GE105,GI105,GM105,GQ105))))),0))</f>
        <v/>
      </c>
      <c r="HD105">
        <f>MIN(N(HC105),MAX(0,N(HA105)))</f>
        <v/>
      </c>
      <c r="HE105">
        <f>MAX(0,N(HA105)-N(HD105))</f>
        <v/>
      </c>
      <c r="HF105">
        <f>IFERROR(MATCH(4,OrderAval,0),"")</f>
        <v/>
      </c>
      <c r="HG105">
        <f>IF(HF105="",0,IFERROR(IF(N(CHOOSE(HF105,FN105,FR105,FV105,FZ105,GD105,GH105,GL105,GP105))&lt;=0.005,0,MAX(0,N(CHOOSE(HF105,FN105,FR105,FV105,FZ105,GD105,GH105,GL105,GP105))+N(CHOOSE(HF105,FO105,FS105,FW105,GA105,GE105,GI105,GM105,GQ105))-MIN(N(CHOOSE(HF105,'Debt List'!$F$5,'Debt List'!$F$6,'Debt List'!$F$7,'Debt List'!$F$8,'Debt List'!$F$9,'Debt List'!$F$10,'Debt List'!$F$11,'Debt List'!$F$12)),N(CHOOSE(HF105,FN105,FR105,FV105,FZ105,GD105,GH105,GL105,GP105))+N(CHOOSE(HF105,FO105,FS105,FW105,GA105,GE105,GI105,GM105,GQ105))))),0))</f>
        <v/>
      </c>
      <c r="HH105">
        <f>MIN(N(HG105),MAX(0,N(HE105)))</f>
        <v/>
      </c>
      <c r="HI105">
        <f>MAX(0,N(HE105)-N(HH105))</f>
        <v/>
      </c>
      <c r="HJ105">
        <f>IFERROR(MATCH(5,OrderAval,0),"")</f>
        <v/>
      </c>
      <c r="HK105">
        <f>IF(HJ105="",0,IFERROR(IF(N(CHOOSE(HJ105,FN105,FR105,FV105,FZ105,GD105,GH105,GL105,GP105))&lt;=0.005,0,MAX(0,N(CHOOSE(HJ105,FN105,FR105,FV105,FZ105,GD105,GH105,GL105,GP105))+N(CHOOSE(HJ105,FO105,FS105,FW105,GA105,GE105,GI105,GM105,GQ105))-MIN(N(CHOOSE(HJ105,'Debt List'!$F$5,'Debt List'!$F$6,'Debt List'!$F$7,'Debt List'!$F$8,'Debt List'!$F$9,'Debt List'!$F$10,'Debt List'!$F$11,'Debt List'!$F$12)),N(CHOOSE(HJ105,FN105,FR105,FV105,FZ105,GD105,GH105,GL105,GP105))+N(CHOOSE(HJ105,FO105,FS105,FW105,GA105,GE105,GI105,GM105,GQ105))))),0))</f>
        <v/>
      </c>
      <c r="HL105">
        <f>MIN(N(HK105),MAX(0,N(HI105)))</f>
        <v/>
      </c>
      <c r="HM105">
        <f>MAX(0,N(HI105)-N(HL105))</f>
        <v/>
      </c>
      <c r="HN105">
        <f>IFERROR(MATCH(6,OrderAval,0),"")</f>
        <v/>
      </c>
      <c r="HO105">
        <f>IF(HN105="",0,IFERROR(IF(N(CHOOSE(HN105,FN105,FR105,FV105,FZ105,GD105,GH105,GL105,GP105))&lt;=0.005,0,MAX(0,N(CHOOSE(HN105,FN105,FR105,FV105,FZ105,GD105,GH105,GL105,GP105))+N(CHOOSE(HN105,FO105,FS105,FW105,GA105,GE105,GI105,GM105,GQ105))-MIN(N(CHOOSE(HN105,'Debt List'!$F$5,'Debt List'!$F$6,'Debt List'!$F$7,'Debt List'!$F$8,'Debt List'!$F$9,'Debt List'!$F$10,'Debt List'!$F$11,'Debt List'!$F$12)),N(CHOOSE(HN105,FN105,FR105,FV105,FZ105,GD105,GH105,GL105,GP105))+N(CHOOSE(HN105,FO105,FS105,FW105,GA105,GE105,GI105,GM105,GQ105))))),0))</f>
        <v/>
      </c>
      <c r="HP105">
        <f>MIN(N(HO105),MAX(0,N(HM105)))</f>
        <v/>
      </c>
      <c r="HQ105">
        <f>MAX(0,N(HM105)-N(HP105))</f>
        <v/>
      </c>
      <c r="HR105">
        <f>IFERROR(MATCH(7,OrderAval,0),"")</f>
        <v/>
      </c>
      <c r="HS105">
        <f>IF(HR105="",0,IFERROR(IF(N(CHOOSE(HR105,FN105,FR105,FV105,FZ105,GD105,GH105,GL105,GP105))&lt;=0.005,0,MAX(0,N(CHOOSE(HR105,FN105,FR105,FV105,FZ105,GD105,GH105,GL105,GP105))+N(CHOOSE(HR105,FO105,FS105,FW105,GA105,GE105,GI105,GM105,GQ105))-MIN(N(CHOOSE(HR105,'Debt List'!$F$5,'Debt List'!$F$6,'Debt List'!$F$7,'Debt List'!$F$8,'Debt List'!$F$9,'Debt List'!$F$10,'Debt List'!$F$11,'Debt List'!$F$12)),N(CHOOSE(HR105,FN105,FR105,FV105,FZ105,GD105,GH105,GL105,GP105))+N(CHOOSE(HR105,FO105,FS105,FW105,GA105,GE105,GI105,GM105,GQ105))))),0))</f>
        <v/>
      </c>
      <c r="HT105">
        <f>MIN(N(HS105),MAX(0,N(HQ105)))</f>
        <v/>
      </c>
      <c r="HU105">
        <f>MAX(0,N(HQ105)-N(HT105))</f>
        <v/>
      </c>
      <c r="HV105">
        <f>IFERROR(MATCH(8,OrderAval,0),"")</f>
        <v/>
      </c>
      <c r="HW105">
        <f>IF(HV105="",0,IFERROR(IF(N(CHOOSE(HV105,FN105,FR105,FV105,FZ105,GD105,GH105,GL105,GP105))&lt;=0.005,0,MAX(0,N(CHOOSE(HV105,FN105,FR105,FV105,FZ105,GD105,GH105,GL105,GP105))+N(CHOOSE(HV105,FO105,FS105,FW105,GA105,GE105,GI105,GM105,GQ105))-MIN(N(CHOOSE(HV105,'Debt List'!$F$5,'Debt List'!$F$6,'Debt List'!$F$7,'Debt List'!$F$8,'Debt List'!$F$9,'Debt List'!$F$10,'Debt List'!$F$11,'Debt List'!$F$12)),N(CHOOSE(HV105,FN105,FR105,FV105,FZ105,GD105,GH105,GL105,GP105))+N(CHOOSE(HV105,FO105,FS105,FW105,GA105,GE105,GI105,GM105,GQ105))))),0))</f>
        <v/>
      </c>
      <c r="HX105">
        <f>MIN(N(HW105),MAX(0,N(HU105)))</f>
        <v/>
      </c>
      <c r="HY105">
        <f>MAX(0,N(HU105)-N(HX105))</f>
        <v/>
      </c>
    </row>
    <row r="106">
      <c r="A106" t="n">
        <v>102</v>
      </c>
      <c r="B106" s="115">
        <f>DATE(YEAR(PlanStart),MONTH(PlanStart)+A106-1,1)</f>
        <v/>
      </c>
      <c r="C106">
        <f>IF(AND(AP106&lt;&gt;"",N(CHOOSE(AP106,J106,N106,R106,V106,Z106,AD106,AH106,AL106))&gt;0.005),INDEX(DebtNames,AP106),IF(AND(AT106&lt;&gt;"",N(CHOOSE(AT106,J106,N106,R106,V106,Z106,AD106,AH106,AL106))&gt;0.005),INDEX(DebtNames,AT106),IF(AND(AX106&lt;&gt;"",N(CHOOSE(AX106,J106,N106,R106,V106,Z106,AD106,AH106,AL106))&gt;0.005),INDEX(DebtNames,AX106),IF(AND(BB106&lt;&gt;"",N(CHOOSE(BB106,J106,N106,R106,V106,Z106,AD106,AH106,AL106))&gt;0.005),INDEX(DebtNames,BB106),IF(AND(BF106&lt;&gt;"",N(CHOOSE(BF106,J106,N106,R106,V106,Z106,AD106,AH106,AL106))&gt;0.005),INDEX(DebtNames,BF106),IF(AND(BJ106&lt;&gt;"",N(CHOOSE(BJ106,J106,N106,R106,V106,Z106,AD106,AH106,AL106))&gt;0.005),INDEX(DebtNames,BJ106),IF(AND(BN106&lt;&gt;"",N(CHOOSE(BN106,J106,N106,R106,V106,Z106,AD106,AH106,AL106))&gt;0.005),INDEX(DebtNames,BN106),IF(AND(BR106&lt;&gt;"",N(CHOOSE(BR106,J106,N106,R106,V106,Z106,AD106,AH106,AL106))&gt;0.005),INDEX(DebtNames,BR106),""))))))))</f>
        <v/>
      </c>
      <c r="D106">
        <f>N(BU106)</f>
        <v/>
      </c>
      <c r="E106">
        <f>N(L106)+N(P106)+N(T106)+N(X106)+N(AB106)+N(AF106)+N(AJ106)+N(AN106)</f>
        <v/>
      </c>
      <c r="F106">
        <f>N(K106)+N(O106)+N(S106)+N(W106)+N(AA106)+N(AE106)+N(AI106)+N(AM106)</f>
        <v/>
      </c>
      <c r="G106">
        <f>N(G105)+N(F106)</f>
        <v/>
      </c>
      <c r="H106">
        <f>N(M106)+N(Q106)+N(U106)+N(Y106)+N(AC106)+N(AG106)+N(AK106)+N(AO106)</f>
        <v/>
      </c>
      <c r="I106">
        <f>(M106&gt;0.005)*1+(Q106&gt;0.005)*1+(U106&gt;0.005)*1+(Y106&gt;0.005)*1+(AC106&gt;0.005)*1+(AG106&gt;0.005)*1+(AK106&gt;0.005)*1+(AO106&gt;0.005)*1</f>
        <v/>
      </c>
      <c r="J106">
        <f>N(M105)</f>
        <v/>
      </c>
      <c r="K106">
        <f>IF(N(J106)&lt;=0.005,0,ROUND(N(J106)*N('Debt List'!E5)/12,2))</f>
        <v/>
      </c>
      <c r="L106">
        <f>IF(N(J106)&lt;=0.005,0,MIN(N('Debt List'!F5),N(J106)+N(K106)))+((AP106=1)*AR106+(AT106=1)*AV106+(AX106=1)*AZ106+(BB106=1)*BD106+(BF106=1)*BH106+(BJ106=1)*BL106+(BN106=1)*BP106+(BR106=1)*BT106)</f>
        <v/>
      </c>
      <c r="M106">
        <f>MAX(0,ROUND(N(J106)+N(K106)-N(L106),2))</f>
        <v/>
      </c>
      <c r="N106">
        <f>N(Q105)</f>
        <v/>
      </c>
      <c r="O106">
        <f>IF(N(N106)&lt;=0.005,0,ROUND(N(N106)*N('Debt List'!E6)/12,2))</f>
        <v/>
      </c>
      <c r="P106">
        <f>IF(N(N106)&lt;=0.005,0,MIN(N('Debt List'!F6),N(N106)+N(O106)))+((AP106=2)*AR106+(AT106=2)*AV106+(AX106=2)*AZ106+(BB106=2)*BD106+(BF106=2)*BH106+(BJ106=2)*BL106+(BN106=2)*BP106+(BR106=2)*BT106)</f>
        <v/>
      </c>
      <c r="Q106">
        <f>MAX(0,ROUND(N(N106)+N(O106)-N(P106),2))</f>
        <v/>
      </c>
      <c r="R106">
        <f>N(U105)</f>
        <v/>
      </c>
      <c r="S106">
        <f>IF(N(R106)&lt;=0.005,0,ROUND(N(R106)*N('Debt List'!E7)/12,2))</f>
        <v/>
      </c>
      <c r="T106">
        <f>IF(N(R106)&lt;=0.005,0,MIN(N('Debt List'!F7),N(R106)+N(S106)))+((AP106=3)*AR106+(AT106=3)*AV106+(AX106=3)*AZ106+(BB106=3)*BD106+(BF106=3)*BH106+(BJ106=3)*BL106+(BN106=3)*BP106+(BR106=3)*BT106)</f>
        <v/>
      </c>
      <c r="U106">
        <f>MAX(0,ROUND(N(R106)+N(S106)-N(T106),2))</f>
        <v/>
      </c>
      <c r="V106">
        <f>N(Y105)</f>
        <v/>
      </c>
      <c r="W106">
        <f>IF(N(V106)&lt;=0.005,0,ROUND(N(V106)*N('Debt List'!E8)/12,2))</f>
        <v/>
      </c>
      <c r="X106">
        <f>IF(N(V106)&lt;=0.005,0,MIN(N('Debt List'!F8),N(V106)+N(W106)))+((AP106=4)*AR106+(AT106=4)*AV106+(AX106=4)*AZ106+(BB106=4)*BD106+(BF106=4)*BH106+(BJ106=4)*BL106+(BN106=4)*BP106+(BR106=4)*BT106)</f>
        <v/>
      </c>
      <c r="Y106">
        <f>MAX(0,ROUND(N(V106)+N(W106)-N(X106),2))</f>
        <v/>
      </c>
      <c r="Z106">
        <f>N(AC105)</f>
        <v/>
      </c>
      <c r="AA106">
        <f>IF(N(Z106)&lt;=0.005,0,ROUND(N(Z106)*N('Debt List'!E9)/12,2))</f>
        <v/>
      </c>
      <c r="AB106">
        <f>IF(N(Z106)&lt;=0.005,0,MIN(N('Debt List'!F9),N(Z106)+N(AA106)))+((AP106=5)*AR106+(AT106=5)*AV106+(AX106=5)*AZ106+(BB106=5)*BD106+(BF106=5)*BH106+(BJ106=5)*BL106+(BN106=5)*BP106+(BR106=5)*BT106)</f>
        <v/>
      </c>
      <c r="AC106">
        <f>MAX(0,ROUND(N(Z106)+N(AA106)-N(AB106),2))</f>
        <v/>
      </c>
      <c r="AD106">
        <f>N(AG105)</f>
        <v/>
      </c>
      <c r="AE106">
        <f>IF(N(AD106)&lt;=0.005,0,ROUND(N(AD106)*N('Debt List'!E10)/12,2))</f>
        <v/>
      </c>
      <c r="AF106">
        <f>IF(N(AD106)&lt;=0.005,0,MIN(N('Debt List'!F10),N(AD106)+N(AE106)))+((AP106=6)*AR106+(AT106=6)*AV106+(AX106=6)*AZ106+(BB106=6)*BD106+(BF106=6)*BH106+(BJ106=6)*BL106+(BN106=6)*BP106+(BR106=6)*BT106)</f>
        <v/>
      </c>
      <c r="AG106">
        <f>MAX(0,ROUND(N(AD106)+N(AE106)-N(AF106),2))</f>
        <v/>
      </c>
      <c r="AH106">
        <f>N(AK105)</f>
        <v/>
      </c>
      <c r="AI106">
        <f>IF(N(AH106)&lt;=0.005,0,ROUND(N(AH106)*N('Debt List'!E11)/12,2))</f>
        <v/>
      </c>
      <c r="AJ106">
        <f>IF(N(AH106)&lt;=0.005,0,MIN(N('Debt List'!F11),N(AH106)+N(AI106)))+((AP106=7)*AR106+(AT106=7)*AV106+(AX106=7)*AZ106+(BB106=7)*BD106+(BF106=7)*BH106+(BJ106=7)*BL106+(BN106=7)*BP106+(BR106=7)*BT106)</f>
        <v/>
      </c>
      <c r="AK106">
        <f>MAX(0,ROUND(N(AH106)+N(AI106)-N(AJ106),2))</f>
        <v/>
      </c>
      <c r="AL106">
        <f>N(AO105)</f>
        <v/>
      </c>
      <c r="AM106">
        <f>IF(N(AL106)&lt;=0.005,0,ROUND(N(AL106)*N('Debt List'!E12)/12,2))</f>
        <v/>
      </c>
      <c r="AN106">
        <f>IF(N(AL106)&lt;=0.005,0,MIN(N('Debt List'!F12),N(AL106)+N(AM106)))+((AP106=8)*AR106+(AT106=8)*AV106+(AX106=8)*AZ106+(BB106=8)*BD106+(BF106=8)*BH106+(BJ106=8)*BL106+(BN106=8)*BP106+(BR106=8)*BT106)</f>
        <v/>
      </c>
      <c r="AO106">
        <f>MAX(0,ROUND(N(AL106)+N(AM106)-N(AN106),2))</f>
        <v/>
      </c>
      <c r="AP106">
        <f>IFERROR(MATCH(1,OrderPlan,0),"")</f>
        <v/>
      </c>
      <c r="AQ106">
        <f>IF(AP106="",0,IFERROR(IF(N(CHOOSE(AP106,J106,N106,R106,V106,Z106,AD106,AH106,AL106))&lt;=0.005,0,MAX(0,N(CHOOSE(AP106,J106,N106,R106,V106,Z106,AD106,AH106,AL106))+N(CHOOSE(AP106,K106,O106,S106,W106,AA106,AE106,AI106,AM106))-MIN(N(CHOOSE(AP106,'Debt List'!$F$5,'Debt List'!$F$6,'Debt List'!$F$7,'Debt List'!$F$8,'Debt List'!$F$9,'Debt List'!$F$10,'Debt List'!$F$11,'Debt List'!$F$12)),N(CHOOSE(AP106,J106,N106,R106,V106,Z106,AD106,AH106,AL106))+N(CHOOSE(AP106,K106,O106,S106,W106,AA106,AE106,AI106,AM106))))),0))</f>
        <v/>
      </c>
      <c r="AR106">
        <f>MIN(N(AQ106),MAX(0,N(ExtraPayment)))</f>
        <v/>
      </c>
      <c r="AS106">
        <f>MAX(0,N(ExtraPayment)-N(AR106))</f>
        <v/>
      </c>
      <c r="AT106">
        <f>IFERROR(MATCH(2,OrderPlan,0),"")</f>
        <v/>
      </c>
      <c r="AU106">
        <f>IF(AT106="",0,IFERROR(IF(N(CHOOSE(AT106,J106,N106,R106,V106,Z106,AD106,AH106,AL106))&lt;=0.005,0,MAX(0,N(CHOOSE(AT106,J106,N106,R106,V106,Z106,AD106,AH106,AL106))+N(CHOOSE(AT106,K106,O106,S106,W106,AA106,AE106,AI106,AM106))-MIN(N(CHOOSE(AT106,'Debt List'!$F$5,'Debt List'!$F$6,'Debt List'!$F$7,'Debt List'!$F$8,'Debt List'!$F$9,'Debt List'!$F$10,'Debt List'!$F$11,'Debt List'!$F$12)),N(CHOOSE(AT106,J106,N106,R106,V106,Z106,AD106,AH106,AL106))+N(CHOOSE(AT106,K106,O106,S106,W106,AA106,AE106,AI106,AM106))))),0))</f>
        <v/>
      </c>
      <c r="AV106">
        <f>MIN(N(AU106),MAX(0,N(AS106)))</f>
        <v/>
      </c>
      <c r="AW106">
        <f>MAX(0,N(AS106)-N(AV106))</f>
        <v/>
      </c>
      <c r="AX106">
        <f>IFERROR(MATCH(3,OrderPlan,0),"")</f>
        <v/>
      </c>
      <c r="AY106">
        <f>IF(AX106="",0,IFERROR(IF(N(CHOOSE(AX106,J106,N106,R106,V106,Z106,AD106,AH106,AL106))&lt;=0.005,0,MAX(0,N(CHOOSE(AX106,J106,N106,R106,V106,Z106,AD106,AH106,AL106))+N(CHOOSE(AX106,K106,O106,S106,W106,AA106,AE106,AI106,AM106))-MIN(N(CHOOSE(AX106,'Debt List'!$F$5,'Debt List'!$F$6,'Debt List'!$F$7,'Debt List'!$F$8,'Debt List'!$F$9,'Debt List'!$F$10,'Debt List'!$F$11,'Debt List'!$F$12)),N(CHOOSE(AX106,J106,N106,R106,V106,Z106,AD106,AH106,AL106))+N(CHOOSE(AX106,K106,O106,S106,W106,AA106,AE106,AI106,AM106))))),0))</f>
        <v/>
      </c>
      <c r="AZ106">
        <f>MIN(N(AY106),MAX(0,N(AW106)))</f>
        <v/>
      </c>
      <c r="BA106">
        <f>MAX(0,N(AW106)-N(AZ106))</f>
        <v/>
      </c>
      <c r="BB106">
        <f>IFERROR(MATCH(4,OrderPlan,0),"")</f>
        <v/>
      </c>
      <c r="BC106">
        <f>IF(BB106="",0,IFERROR(IF(N(CHOOSE(BB106,J106,N106,R106,V106,Z106,AD106,AH106,AL106))&lt;=0.005,0,MAX(0,N(CHOOSE(BB106,J106,N106,R106,V106,Z106,AD106,AH106,AL106))+N(CHOOSE(BB106,K106,O106,S106,W106,AA106,AE106,AI106,AM106))-MIN(N(CHOOSE(BB106,'Debt List'!$F$5,'Debt List'!$F$6,'Debt List'!$F$7,'Debt List'!$F$8,'Debt List'!$F$9,'Debt List'!$F$10,'Debt List'!$F$11,'Debt List'!$F$12)),N(CHOOSE(BB106,J106,N106,R106,V106,Z106,AD106,AH106,AL106))+N(CHOOSE(BB106,K106,O106,S106,W106,AA106,AE106,AI106,AM106))))),0))</f>
        <v/>
      </c>
      <c r="BD106">
        <f>MIN(N(BC106),MAX(0,N(BA106)))</f>
        <v/>
      </c>
      <c r="BE106">
        <f>MAX(0,N(BA106)-N(BD106))</f>
        <v/>
      </c>
      <c r="BF106">
        <f>IFERROR(MATCH(5,OrderPlan,0),"")</f>
        <v/>
      </c>
      <c r="BG106">
        <f>IF(BF106="",0,IFERROR(IF(N(CHOOSE(BF106,J106,N106,R106,V106,Z106,AD106,AH106,AL106))&lt;=0.005,0,MAX(0,N(CHOOSE(BF106,J106,N106,R106,V106,Z106,AD106,AH106,AL106))+N(CHOOSE(BF106,K106,O106,S106,W106,AA106,AE106,AI106,AM106))-MIN(N(CHOOSE(BF106,'Debt List'!$F$5,'Debt List'!$F$6,'Debt List'!$F$7,'Debt List'!$F$8,'Debt List'!$F$9,'Debt List'!$F$10,'Debt List'!$F$11,'Debt List'!$F$12)),N(CHOOSE(BF106,J106,N106,R106,V106,Z106,AD106,AH106,AL106))+N(CHOOSE(BF106,K106,O106,S106,W106,AA106,AE106,AI106,AM106))))),0))</f>
        <v/>
      </c>
      <c r="BH106">
        <f>MIN(N(BG106),MAX(0,N(BE106)))</f>
        <v/>
      </c>
      <c r="BI106">
        <f>MAX(0,N(BE106)-N(BH106))</f>
        <v/>
      </c>
      <c r="BJ106">
        <f>IFERROR(MATCH(6,OrderPlan,0),"")</f>
        <v/>
      </c>
      <c r="BK106">
        <f>IF(BJ106="",0,IFERROR(IF(N(CHOOSE(BJ106,J106,N106,R106,V106,Z106,AD106,AH106,AL106))&lt;=0.005,0,MAX(0,N(CHOOSE(BJ106,J106,N106,R106,V106,Z106,AD106,AH106,AL106))+N(CHOOSE(BJ106,K106,O106,S106,W106,AA106,AE106,AI106,AM106))-MIN(N(CHOOSE(BJ106,'Debt List'!$F$5,'Debt List'!$F$6,'Debt List'!$F$7,'Debt List'!$F$8,'Debt List'!$F$9,'Debt List'!$F$10,'Debt List'!$F$11,'Debt List'!$F$12)),N(CHOOSE(BJ106,J106,N106,R106,V106,Z106,AD106,AH106,AL106))+N(CHOOSE(BJ106,K106,O106,S106,W106,AA106,AE106,AI106,AM106))))),0))</f>
        <v/>
      </c>
      <c r="BL106">
        <f>MIN(N(BK106),MAX(0,N(BI106)))</f>
        <v/>
      </c>
      <c r="BM106">
        <f>MAX(0,N(BI106)-N(BL106))</f>
        <v/>
      </c>
      <c r="BN106">
        <f>IFERROR(MATCH(7,OrderPlan,0),"")</f>
        <v/>
      </c>
      <c r="BO106">
        <f>IF(BN106="",0,IFERROR(IF(N(CHOOSE(BN106,J106,N106,R106,V106,Z106,AD106,AH106,AL106))&lt;=0.005,0,MAX(0,N(CHOOSE(BN106,J106,N106,R106,V106,Z106,AD106,AH106,AL106))+N(CHOOSE(BN106,K106,O106,S106,W106,AA106,AE106,AI106,AM106))-MIN(N(CHOOSE(BN106,'Debt List'!$F$5,'Debt List'!$F$6,'Debt List'!$F$7,'Debt List'!$F$8,'Debt List'!$F$9,'Debt List'!$F$10,'Debt List'!$F$11,'Debt List'!$F$12)),N(CHOOSE(BN106,J106,N106,R106,V106,Z106,AD106,AH106,AL106))+N(CHOOSE(BN106,K106,O106,S106,W106,AA106,AE106,AI106,AM106))))),0))</f>
        <v/>
      </c>
      <c r="BP106">
        <f>MIN(N(BO106),MAX(0,N(BM106)))</f>
        <v/>
      </c>
      <c r="BQ106">
        <f>MAX(0,N(BM106)-N(BP106))</f>
        <v/>
      </c>
      <c r="BR106">
        <f>IFERROR(MATCH(8,OrderPlan,0),"")</f>
        <v/>
      </c>
      <c r="BS106">
        <f>IF(BR106="",0,IFERROR(IF(N(CHOOSE(BR106,J106,N106,R106,V106,Z106,AD106,AH106,AL106))&lt;=0.005,0,MAX(0,N(CHOOSE(BR106,J106,N106,R106,V106,Z106,AD106,AH106,AL106))+N(CHOOSE(BR106,K106,O106,S106,W106,AA106,AE106,AI106,AM106))-MIN(N(CHOOSE(BR106,'Debt List'!$F$5,'Debt List'!$F$6,'Debt List'!$F$7,'Debt List'!$F$8,'Debt List'!$F$9,'Debt List'!$F$10,'Debt List'!$F$11,'Debt List'!$F$12)),N(CHOOSE(BR106,J106,N106,R106,V106,Z106,AD106,AH106,AL106))+N(CHOOSE(BR106,K106,O106,S106,W106,AA106,AE106,AI106,AM106))))),0))</f>
        <v/>
      </c>
      <c r="BT106">
        <f>MIN(N(BS106),MAX(0,N(BQ106)))</f>
        <v/>
      </c>
      <c r="BU106">
        <f>MAX(0,N(BQ106)-N(BT106))</f>
        <v/>
      </c>
      <c r="CC106" t="n">
        <v>102</v>
      </c>
      <c r="CD106" s="115">
        <f>DATE(YEAR(PlanStart),MONTH(PlanStart)+CC106-1,1)</f>
        <v/>
      </c>
      <c r="CE106">
        <f>IF(AND(DR106&lt;&gt;"",N(CHOOSE(DR106,CL106,CP106,CT106,CX106,DB106,DF106,DJ106,DN106))&gt;0.005),INDEX(DebtNames,DR106),IF(AND(DV106&lt;&gt;"",N(CHOOSE(DV106,CL106,CP106,CT106,CX106,DB106,DF106,DJ106,DN106))&gt;0.005),INDEX(DebtNames,DV106),IF(AND(DZ106&lt;&gt;"",N(CHOOSE(DZ106,CL106,CP106,CT106,CX106,DB106,DF106,DJ106,DN106))&gt;0.005),INDEX(DebtNames,DZ106),IF(AND(ED106&lt;&gt;"",N(CHOOSE(ED106,CL106,CP106,CT106,CX106,DB106,DF106,DJ106,DN106))&gt;0.005),INDEX(DebtNames,ED106),IF(AND(EH106&lt;&gt;"",N(CHOOSE(EH106,CL106,CP106,CT106,CX106,DB106,DF106,DJ106,DN106))&gt;0.005),INDEX(DebtNames,EH106),IF(AND(EL106&lt;&gt;"",N(CHOOSE(EL106,CL106,CP106,CT106,CX106,DB106,DF106,DJ106,DN106))&gt;0.005),INDEX(DebtNames,EL106),IF(AND(EP106&lt;&gt;"",N(CHOOSE(EP106,CL106,CP106,CT106,CX106,DB106,DF106,DJ106,DN106))&gt;0.005),INDEX(DebtNames,EP106),IF(AND(ET106&lt;&gt;"",N(CHOOSE(ET106,CL106,CP106,CT106,CX106,DB106,DF106,DJ106,DN106))&gt;0.005),INDEX(DebtNames,ET106),""))))))))</f>
        <v/>
      </c>
      <c r="CF106">
        <f>N(EW106)</f>
        <v/>
      </c>
      <c r="CG106">
        <f>N(CN106)+N(CR106)+N(CV106)+N(CZ106)+N(DD106)+N(DH106)+N(DL106)+N(DP106)</f>
        <v/>
      </c>
      <c r="CH106">
        <f>N(CM106)+N(CQ106)+N(CU106)+N(CY106)+N(DC106)+N(DG106)+N(DK106)+N(DO106)</f>
        <v/>
      </c>
      <c r="CI106">
        <f>N(CI105)+N(CH106)</f>
        <v/>
      </c>
      <c r="CJ106">
        <f>N(CO106)+N(CS106)+N(CW106)+N(DA106)+N(DE106)+N(DI106)+N(DM106)+N(DQ106)</f>
        <v/>
      </c>
      <c r="CK106">
        <f>(CO106&gt;0.005)*1+(CS106&gt;0.005)*1+(CW106&gt;0.005)*1+(DA106&gt;0.005)*1+(DE106&gt;0.005)*1+(DI106&gt;0.005)*1+(DM106&gt;0.005)*1+(DQ106&gt;0.005)*1</f>
        <v/>
      </c>
      <c r="CL106">
        <f>N(CO105)</f>
        <v/>
      </c>
      <c r="CM106">
        <f>IF(N(CL106)&lt;=0.005,0,ROUND(N(CL106)*N('Debt List'!E5)/12,2))</f>
        <v/>
      </c>
      <c r="CN106">
        <f>IF(N(CL106)&lt;=0.005,0,MIN(N('Debt List'!F5),N(CL106)+N(CM106)))+((DR106=1)*DT106+(DV106=1)*DX106+(DZ106=1)*EB106+(ED106=1)*EF106+(EH106=1)*EJ106+(EL106=1)*EN106+(EP106=1)*ER106+(ET106=1)*EV106)</f>
        <v/>
      </c>
      <c r="CO106">
        <f>MAX(0,ROUND(N(CL106)+N(CM106)-N(CN106),2))</f>
        <v/>
      </c>
      <c r="CP106">
        <f>N(CS105)</f>
        <v/>
      </c>
      <c r="CQ106">
        <f>IF(N(CP106)&lt;=0.005,0,ROUND(N(CP106)*N('Debt List'!E6)/12,2))</f>
        <v/>
      </c>
      <c r="CR106">
        <f>IF(N(CP106)&lt;=0.005,0,MIN(N('Debt List'!F6),N(CP106)+N(CQ106)))+((DR106=2)*DT106+(DV106=2)*DX106+(DZ106=2)*EB106+(ED106=2)*EF106+(EH106=2)*EJ106+(EL106=2)*EN106+(EP106=2)*ER106+(ET106=2)*EV106)</f>
        <v/>
      </c>
      <c r="CS106">
        <f>MAX(0,ROUND(N(CP106)+N(CQ106)-N(CR106),2))</f>
        <v/>
      </c>
      <c r="CT106">
        <f>N(CW105)</f>
        <v/>
      </c>
      <c r="CU106">
        <f>IF(N(CT106)&lt;=0.005,0,ROUND(N(CT106)*N('Debt List'!E7)/12,2))</f>
        <v/>
      </c>
      <c r="CV106">
        <f>IF(N(CT106)&lt;=0.005,0,MIN(N('Debt List'!F7),N(CT106)+N(CU106)))+((DR106=3)*DT106+(DV106=3)*DX106+(DZ106=3)*EB106+(ED106=3)*EF106+(EH106=3)*EJ106+(EL106=3)*EN106+(EP106=3)*ER106+(ET106=3)*EV106)</f>
        <v/>
      </c>
      <c r="CW106">
        <f>MAX(0,ROUND(N(CT106)+N(CU106)-N(CV106),2))</f>
        <v/>
      </c>
      <c r="CX106">
        <f>N(DA105)</f>
        <v/>
      </c>
      <c r="CY106">
        <f>IF(N(CX106)&lt;=0.005,0,ROUND(N(CX106)*N('Debt List'!E8)/12,2))</f>
        <v/>
      </c>
      <c r="CZ106">
        <f>IF(N(CX106)&lt;=0.005,0,MIN(N('Debt List'!F8),N(CX106)+N(CY106)))+((DR106=4)*DT106+(DV106=4)*DX106+(DZ106=4)*EB106+(ED106=4)*EF106+(EH106=4)*EJ106+(EL106=4)*EN106+(EP106=4)*ER106+(ET106=4)*EV106)</f>
        <v/>
      </c>
      <c r="DA106">
        <f>MAX(0,ROUND(N(CX106)+N(CY106)-N(CZ106),2))</f>
        <v/>
      </c>
      <c r="DB106">
        <f>N(DE105)</f>
        <v/>
      </c>
      <c r="DC106">
        <f>IF(N(DB106)&lt;=0.005,0,ROUND(N(DB106)*N('Debt List'!E9)/12,2))</f>
        <v/>
      </c>
      <c r="DD106">
        <f>IF(N(DB106)&lt;=0.005,0,MIN(N('Debt List'!F9),N(DB106)+N(DC106)))+((DR106=5)*DT106+(DV106=5)*DX106+(DZ106=5)*EB106+(ED106=5)*EF106+(EH106=5)*EJ106+(EL106=5)*EN106+(EP106=5)*ER106+(ET106=5)*EV106)</f>
        <v/>
      </c>
      <c r="DE106">
        <f>MAX(0,ROUND(N(DB106)+N(DC106)-N(DD106),2))</f>
        <v/>
      </c>
      <c r="DF106">
        <f>N(DI105)</f>
        <v/>
      </c>
      <c r="DG106">
        <f>IF(N(DF106)&lt;=0.005,0,ROUND(N(DF106)*N('Debt List'!E10)/12,2))</f>
        <v/>
      </c>
      <c r="DH106">
        <f>IF(N(DF106)&lt;=0.005,0,MIN(N('Debt List'!F10),N(DF106)+N(DG106)))+((DR106=6)*DT106+(DV106=6)*DX106+(DZ106=6)*EB106+(ED106=6)*EF106+(EH106=6)*EJ106+(EL106=6)*EN106+(EP106=6)*ER106+(ET106=6)*EV106)</f>
        <v/>
      </c>
      <c r="DI106">
        <f>MAX(0,ROUND(N(DF106)+N(DG106)-N(DH106),2))</f>
        <v/>
      </c>
      <c r="DJ106">
        <f>N(DM105)</f>
        <v/>
      </c>
      <c r="DK106">
        <f>IF(N(DJ106)&lt;=0.005,0,ROUND(N(DJ106)*N('Debt List'!E11)/12,2))</f>
        <v/>
      </c>
      <c r="DL106">
        <f>IF(N(DJ106)&lt;=0.005,0,MIN(N('Debt List'!F11),N(DJ106)+N(DK106)))+((DR106=7)*DT106+(DV106=7)*DX106+(DZ106=7)*EB106+(ED106=7)*EF106+(EH106=7)*EJ106+(EL106=7)*EN106+(EP106=7)*ER106+(ET106=7)*EV106)</f>
        <v/>
      </c>
      <c r="DM106">
        <f>MAX(0,ROUND(N(DJ106)+N(DK106)-N(DL106),2))</f>
        <v/>
      </c>
      <c r="DN106">
        <f>N(DQ105)</f>
        <v/>
      </c>
      <c r="DO106">
        <f>IF(N(DN106)&lt;=0.005,0,ROUND(N(DN106)*N('Debt List'!E12)/12,2))</f>
        <v/>
      </c>
      <c r="DP106">
        <f>IF(N(DN106)&lt;=0.005,0,MIN(N('Debt List'!F12),N(DN106)+N(DO106)))+((DR106=8)*DT106+(DV106=8)*DX106+(DZ106=8)*EB106+(ED106=8)*EF106+(EH106=8)*EJ106+(EL106=8)*EN106+(EP106=8)*ER106+(ET106=8)*EV106)</f>
        <v/>
      </c>
      <c r="DQ106">
        <f>MAX(0,ROUND(N(DN106)+N(DO106)-N(DP106),2))</f>
        <v/>
      </c>
      <c r="DR106">
        <f>IFERROR(MATCH(1,OrderSnow,0),"")</f>
        <v/>
      </c>
      <c r="DS106">
        <f>IF(DR106="",0,IFERROR(IF(N(CHOOSE(DR106,CL106,CP106,CT106,CX106,DB106,DF106,DJ106,DN106))&lt;=0.005,0,MAX(0,N(CHOOSE(DR106,CL106,CP106,CT106,CX106,DB106,DF106,DJ106,DN106))+N(CHOOSE(DR106,CM106,CQ106,CU106,CY106,DC106,DG106,DK106,DO106))-MIN(N(CHOOSE(DR106,'Debt List'!$F$5,'Debt List'!$F$6,'Debt List'!$F$7,'Debt List'!$F$8,'Debt List'!$F$9,'Debt List'!$F$10,'Debt List'!$F$11,'Debt List'!$F$12)),N(CHOOSE(DR106,CL106,CP106,CT106,CX106,DB106,DF106,DJ106,DN106))+N(CHOOSE(DR106,CM106,CQ106,CU106,CY106,DC106,DG106,DK106,DO106))))),0))</f>
        <v/>
      </c>
      <c r="DT106">
        <f>MIN(N(DS106),MAX(0,N(ExtraPayment)))</f>
        <v/>
      </c>
      <c r="DU106">
        <f>MAX(0,N(ExtraPayment)-N(DT106))</f>
        <v/>
      </c>
      <c r="DV106">
        <f>IFERROR(MATCH(2,OrderSnow,0),"")</f>
        <v/>
      </c>
      <c r="DW106">
        <f>IF(DV106="",0,IFERROR(IF(N(CHOOSE(DV106,CL106,CP106,CT106,CX106,DB106,DF106,DJ106,DN106))&lt;=0.005,0,MAX(0,N(CHOOSE(DV106,CL106,CP106,CT106,CX106,DB106,DF106,DJ106,DN106))+N(CHOOSE(DV106,CM106,CQ106,CU106,CY106,DC106,DG106,DK106,DO106))-MIN(N(CHOOSE(DV106,'Debt List'!$F$5,'Debt List'!$F$6,'Debt List'!$F$7,'Debt List'!$F$8,'Debt List'!$F$9,'Debt List'!$F$10,'Debt List'!$F$11,'Debt List'!$F$12)),N(CHOOSE(DV106,CL106,CP106,CT106,CX106,DB106,DF106,DJ106,DN106))+N(CHOOSE(DV106,CM106,CQ106,CU106,CY106,DC106,DG106,DK106,DO106))))),0))</f>
        <v/>
      </c>
      <c r="DX106">
        <f>MIN(N(DW106),MAX(0,N(DU106)))</f>
        <v/>
      </c>
      <c r="DY106">
        <f>MAX(0,N(DU106)-N(DX106))</f>
        <v/>
      </c>
      <c r="DZ106">
        <f>IFERROR(MATCH(3,OrderSnow,0),"")</f>
        <v/>
      </c>
      <c r="EA106">
        <f>IF(DZ106="",0,IFERROR(IF(N(CHOOSE(DZ106,CL106,CP106,CT106,CX106,DB106,DF106,DJ106,DN106))&lt;=0.005,0,MAX(0,N(CHOOSE(DZ106,CL106,CP106,CT106,CX106,DB106,DF106,DJ106,DN106))+N(CHOOSE(DZ106,CM106,CQ106,CU106,CY106,DC106,DG106,DK106,DO106))-MIN(N(CHOOSE(DZ106,'Debt List'!$F$5,'Debt List'!$F$6,'Debt List'!$F$7,'Debt List'!$F$8,'Debt List'!$F$9,'Debt List'!$F$10,'Debt List'!$F$11,'Debt List'!$F$12)),N(CHOOSE(DZ106,CL106,CP106,CT106,CX106,DB106,DF106,DJ106,DN106))+N(CHOOSE(DZ106,CM106,CQ106,CU106,CY106,DC106,DG106,DK106,DO106))))),0))</f>
        <v/>
      </c>
      <c r="EB106">
        <f>MIN(N(EA106),MAX(0,N(DY106)))</f>
        <v/>
      </c>
      <c r="EC106">
        <f>MAX(0,N(DY106)-N(EB106))</f>
        <v/>
      </c>
      <c r="ED106">
        <f>IFERROR(MATCH(4,OrderSnow,0),"")</f>
        <v/>
      </c>
      <c r="EE106">
        <f>IF(ED106="",0,IFERROR(IF(N(CHOOSE(ED106,CL106,CP106,CT106,CX106,DB106,DF106,DJ106,DN106))&lt;=0.005,0,MAX(0,N(CHOOSE(ED106,CL106,CP106,CT106,CX106,DB106,DF106,DJ106,DN106))+N(CHOOSE(ED106,CM106,CQ106,CU106,CY106,DC106,DG106,DK106,DO106))-MIN(N(CHOOSE(ED106,'Debt List'!$F$5,'Debt List'!$F$6,'Debt List'!$F$7,'Debt List'!$F$8,'Debt List'!$F$9,'Debt List'!$F$10,'Debt List'!$F$11,'Debt List'!$F$12)),N(CHOOSE(ED106,CL106,CP106,CT106,CX106,DB106,DF106,DJ106,DN106))+N(CHOOSE(ED106,CM106,CQ106,CU106,CY106,DC106,DG106,DK106,DO106))))),0))</f>
        <v/>
      </c>
      <c r="EF106">
        <f>MIN(N(EE106),MAX(0,N(EC106)))</f>
        <v/>
      </c>
      <c r="EG106">
        <f>MAX(0,N(EC106)-N(EF106))</f>
        <v/>
      </c>
      <c r="EH106">
        <f>IFERROR(MATCH(5,OrderSnow,0),"")</f>
        <v/>
      </c>
      <c r="EI106">
        <f>IF(EH106="",0,IFERROR(IF(N(CHOOSE(EH106,CL106,CP106,CT106,CX106,DB106,DF106,DJ106,DN106))&lt;=0.005,0,MAX(0,N(CHOOSE(EH106,CL106,CP106,CT106,CX106,DB106,DF106,DJ106,DN106))+N(CHOOSE(EH106,CM106,CQ106,CU106,CY106,DC106,DG106,DK106,DO106))-MIN(N(CHOOSE(EH106,'Debt List'!$F$5,'Debt List'!$F$6,'Debt List'!$F$7,'Debt List'!$F$8,'Debt List'!$F$9,'Debt List'!$F$10,'Debt List'!$F$11,'Debt List'!$F$12)),N(CHOOSE(EH106,CL106,CP106,CT106,CX106,DB106,DF106,DJ106,DN106))+N(CHOOSE(EH106,CM106,CQ106,CU106,CY106,DC106,DG106,DK106,DO106))))),0))</f>
        <v/>
      </c>
      <c r="EJ106">
        <f>MIN(N(EI106),MAX(0,N(EG106)))</f>
        <v/>
      </c>
      <c r="EK106">
        <f>MAX(0,N(EG106)-N(EJ106))</f>
        <v/>
      </c>
      <c r="EL106">
        <f>IFERROR(MATCH(6,OrderSnow,0),"")</f>
        <v/>
      </c>
      <c r="EM106">
        <f>IF(EL106="",0,IFERROR(IF(N(CHOOSE(EL106,CL106,CP106,CT106,CX106,DB106,DF106,DJ106,DN106))&lt;=0.005,0,MAX(0,N(CHOOSE(EL106,CL106,CP106,CT106,CX106,DB106,DF106,DJ106,DN106))+N(CHOOSE(EL106,CM106,CQ106,CU106,CY106,DC106,DG106,DK106,DO106))-MIN(N(CHOOSE(EL106,'Debt List'!$F$5,'Debt List'!$F$6,'Debt List'!$F$7,'Debt List'!$F$8,'Debt List'!$F$9,'Debt List'!$F$10,'Debt List'!$F$11,'Debt List'!$F$12)),N(CHOOSE(EL106,CL106,CP106,CT106,CX106,DB106,DF106,DJ106,DN106))+N(CHOOSE(EL106,CM106,CQ106,CU106,CY106,DC106,DG106,DK106,DO106))))),0))</f>
        <v/>
      </c>
      <c r="EN106">
        <f>MIN(N(EM106),MAX(0,N(EK106)))</f>
        <v/>
      </c>
      <c r="EO106">
        <f>MAX(0,N(EK106)-N(EN106))</f>
        <v/>
      </c>
      <c r="EP106">
        <f>IFERROR(MATCH(7,OrderSnow,0),"")</f>
        <v/>
      </c>
      <c r="EQ106">
        <f>IF(EP106="",0,IFERROR(IF(N(CHOOSE(EP106,CL106,CP106,CT106,CX106,DB106,DF106,DJ106,DN106))&lt;=0.005,0,MAX(0,N(CHOOSE(EP106,CL106,CP106,CT106,CX106,DB106,DF106,DJ106,DN106))+N(CHOOSE(EP106,CM106,CQ106,CU106,CY106,DC106,DG106,DK106,DO106))-MIN(N(CHOOSE(EP106,'Debt List'!$F$5,'Debt List'!$F$6,'Debt List'!$F$7,'Debt List'!$F$8,'Debt List'!$F$9,'Debt List'!$F$10,'Debt List'!$F$11,'Debt List'!$F$12)),N(CHOOSE(EP106,CL106,CP106,CT106,CX106,DB106,DF106,DJ106,DN106))+N(CHOOSE(EP106,CM106,CQ106,CU106,CY106,DC106,DG106,DK106,DO106))))),0))</f>
        <v/>
      </c>
      <c r="ER106">
        <f>MIN(N(EQ106),MAX(0,N(EO106)))</f>
        <v/>
      </c>
      <c r="ES106">
        <f>MAX(0,N(EO106)-N(ER106))</f>
        <v/>
      </c>
      <c r="ET106">
        <f>IFERROR(MATCH(8,OrderSnow,0),"")</f>
        <v/>
      </c>
      <c r="EU106">
        <f>IF(ET106="",0,IFERROR(IF(N(CHOOSE(ET106,CL106,CP106,CT106,CX106,DB106,DF106,DJ106,DN106))&lt;=0.005,0,MAX(0,N(CHOOSE(ET106,CL106,CP106,CT106,CX106,DB106,DF106,DJ106,DN106))+N(CHOOSE(ET106,CM106,CQ106,CU106,CY106,DC106,DG106,DK106,DO106))-MIN(N(CHOOSE(ET106,'Debt List'!$F$5,'Debt List'!$F$6,'Debt List'!$F$7,'Debt List'!$F$8,'Debt List'!$F$9,'Debt List'!$F$10,'Debt List'!$F$11,'Debt List'!$F$12)),N(CHOOSE(ET106,CL106,CP106,CT106,CX106,DB106,DF106,DJ106,DN106))+N(CHOOSE(ET106,CM106,CQ106,CU106,CY106,DC106,DG106,DK106,DO106))))),0))</f>
        <v/>
      </c>
      <c r="EV106">
        <f>MIN(N(EU106),MAX(0,N(ES106)))</f>
        <v/>
      </c>
      <c r="EW106">
        <f>MAX(0,N(ES106)-N(EV106))</f>
        <v/>
      </c>
      <c r="FE106" t="n">
        <v>102</v>
      </c>
      <c r="FF106" s="115">
        <f>DATE(YEAR(PlanStart),MONTH(PlanStart)+FE106-1,1)</f>
        <v/>
      </c>
      <c r="FG106">
        <f>IF(AND(GT106&lt;&gt;"",N(CHOOSE(GT106,FN106,FR106,FV106,FZ106,GD106,GH106,GL106,GP106))&gt;0.005),INDEX(DebtNames,GT106),IF(AND(GX106&lt;&gt;"",N(CHOOSE(GX106,FN106,FR106,FV106,FZ106,GD106,GH106,GL106,GP106))&gt;0.005),INDEX(DebtNames,GX106),IF(AND(HB106&lt;&gt;"",N(CHOOSE(HB106,FN106,FR106,FV106,FZ106,GD106,GH106,GL106,GP106))&gt;0.005),INDEX(DebtNames,HB106),IF(AND(HF106&lt;&gt;"",N(CHOOSE(HF106,FN106,FR106,FV106,FZ106,GD106,GH106,GL106,GP106))&gt;0.005),INDEX(DebtNames,HF106),IF(AND(HJ106&lt;&gt;"",N(CHOOSE(HJ106,FN106,FR106,FV106,FZ106,GD106,GH106,GL106,GP106))&gt;0.005),INDEX(DebtNames,HJ106),IF(AND(HN106&lt;&gt;"",N(CHOOSE(HN106,FN106,FR106,FV106,FZ106,GD106,GH106,GL106,GP106))&gt;0.005),INDEX(DebtNames,HN106),IF(AND(HR106&lt;&gt;"",N(CHOOSE(HR106,FN106,FR106,FV106,FZ106,GD106,GH106,GL106,GP106))&gt;0.005),INDEX(DebtNames,HR106),IF(AND(HV106&lt;&gt;"",N(CHOOSE(HV106,FN106,FR106,FV106,FZ106,GD106,GH106,GL106,GP106))&gt;0.005),INDEX(DebtNames,HV106),""))))))))</f>
        <v/>
      </c>
      <c r="FH106">
        <f>N(HY106)</f>
        <v/>
      </c>
      <c r="FI106">
        <f>N(FP106)+N(FT106)+N(FX106)+N(GB106)+N(GF106)+N(GJ106)+N(GN106)+N(GR106)</f>
        <v/>
      </c>
      <c r="FJ106">
        <f>N(FO106)+N(FS106)+N(FW106)+N(GA106)+N(GE106)+N(GI106)+N(GM106)+N(GQ106)</f>
        <v/>
      </c>
      <c r="FK106">
        <f>N(FK105)+N(FJ106)</f>
        <v/>
      </c>
      <c r="FL106">
        <f>N(FQ106)+N(FU106)+N(FY106)+N(GC106)+N(GG106)+N(GK106)+N(GO106)+N(GS106)</f>
        <v/>
      </c>
      <c r="FM106">
        <f>(FQ106&gt;0.005)*1+(FU106&gt;0.005)*1+(FY106&gt;0.005)*1+(GC106&gt;0.005)*1+(GG106&gt;0.005)*1+(GK106&gt;0.005)*1+(GO106&gt;0.005)*1+(GS106&gt;0.005)*1</f>
        <v/>
      </c>
      <c r="FN106">
        <f>N(FQ105)</f>
        <v/>
      </c>
      <c r="FO106">
        <f>IF(N(FN106)&lt;=0.005,0,ROUND(N(FN106)*N('Debt List'!E5)/12,2))</f>
        <v/>
      </c>
      <c r="FP106">
        <f>IF(N(FN106)&lt;=0.005,0,MIN(N('Debt List'!F5),N(FN106)+N(FO106)))+((GT106=1)*GV106+(GX106=1)*GZ106+(HB106=1)*HD106+(HF106=1)*HH106+(HJ106=1)*HL106+(HN106=1)*HP106+(HR106=1)*HT106+(HV106=1)*HX106)</f>
        <v/>
      </c>
      <c r="FQ106">
        <f>MAX(0,ROUND(N(FN106)+N(FO106)-N(FP106),2))</f>
        <v/>
      </c>
      <c r="FR106">
        <f>N(FU105)</f>
        <v/>
      </c>
      <c r="FS106">
        <f>IF(N(FR106)&lt;=0.005,0,ROUND(N(FR106)*N('Debt List'!E6)/12,2))</f>
        <v/>
      </c>
      <c r="FT106">
        <f>IF(N(FR106)&lt;=0.005,0,MIN(N('Debt List'!F6),N(FR106)+N(FS106)))+((GT106=2)*GV106+(GX106=2)*GZ106+(HB106=2)*HD106+(HF106=2)*HH106+(HJ106=2)*HL106+(HN106=2)*HP106+(HR106=2)*HT106+(HV106=2)*HX106)</f>
        <v/>
      </c>
      <c r="FU106">
        <f>MAX(0,ROUND(N(FR106)+N(FS106)-N(FT106),2))</f>
        <v/>
      </c>
      <c r="FV106">
        <f>N(FY105)</f>
        <v/>
      </c>
      <c r="FW106">
        <f>IF(N(FV106)&lt;=0.005,0,ROUND(N(FV106)*N('Debt List'!E7)/12,2))</f>
        <v/>
      </c>
      <c r="FX106">
        <f>IF(N(FV106)&lt;=0.005,0,MIN(N('Debt List'!F7),N(FV106)+N(FW106)))+((GT106=3)*GV106+(GX106=3)*GZ106+(HB106=3)*HD106+(HF106=3)*HH106+(HJ106=3)*HL106+(HN106=3)*HP106+(HR106=3)*HT106+(HV106=3)*HX106)</f>
        <v/>
      </c>
      <c r="FY106">
        <f>MAX(0,ROUND(N(FV106)+N(FW106)-N(FX106),2))</f>
        <v/>
      </c>
      <c r="FZ106">
        <f>N(GC105)</f>
        <v/>
      </c>
      <c r="GA106">
        <f>IF(N(FZ106)&lt;=0.005,0,ROUND(N(FZ106)*N('Debt List'!E8)/12,2))</f>
        <v/>
      </c>
      <c r="GB106">
        <f>IF(N(FZ106)&lt;=0.005,0,MIN(N('Debt List'!F8),N(FZ106)+N(GA106)))+((GT106=4)*GV106+(GX106=4)*GZ106+(HB106=4)*HD106+(HF106=4)*HH106+(HJ106=4)*HL106+(HN106=4)*HP106+(HR106=4)*HT106+(HV106=4)*HX106)</f>
        <v/>
      </c>
      <c r="GC106">
        <f>MAX(0,ROUND(N(FZ106)+N(GA106)-N(GB106),2))</f>
        <v/>
      </c>
      <c r="GD106">
        <f>N(GG105)</f>
        <v/>
      </c>
      <c r="GE106">
        <f>IF(N(GD106)&lt;=0.005,0,ROUND(N(GD106)*N('Debt List'!E9)/12,2))</f>
        <v/>
      </c>
      <c r="GF106">
        <f>IF(N(GD106)&lt;=0.005,0,MIN(N('Debt List'!F9),N(GD106)+N(GE106)))+((GT106=5)*GV106+(GX106=5)*GZ106+(HB106=5)*HD106+(HF106=5)*HH106+(HJ106=5)*HL106+(HN106=5)*HP106+(HR106=5)*HT106+(HV106=5)*HX106)</f>
        <v/>
      </c>
      <c r="GG106">
        <f>MAX(0,ROUND(N(GD106)+N(GE106)-N(GF106),2))</f>
        <v/>
      </c>
      <c r="GH106">
        <f>N(GK105)</f>
        <v/>
      </c>
      <c r="GI106">
        <f>IF(N(GH106)&lt;=0.005,0,ROUND(N(GH106)*N('Debt List'!E10)/12,2))</f>
        <v/>
      </c>
      <c r="GJ106">
        <f>IF(N(GH106)&lt;=0.005,0,MIN(N('Debt List'!F10),N(GH106)+N(GI106)))+((GT106=6)*GV106+(GX106=6)*GZ106+(HB106=6)*HD106+(HF106=6)*HH106+(HJ106=6)*HL106+(HN106=6)*HP106+(HR106=6)*HT106+(HV106=6)*HX106)</f>
        <v/>
      </c>
      <c r="GK106">
        <f>MAX(0,ROUND(N(GH106)+N(GI106)-N(GJ106),2))</f>
        <v/>
      </c>
      <c r="GL106">
        <f>N(GO105)</f>
        <v/>
      </c>
      <c r="GM106">
        <f>IF(N(GL106)&lt;=0.005,0,ROUND(N(GL106)*N('Debt List'!E11)/12,2))</f>
        <v/>
      </c>
      <c r="GN106">
        <f>IF(N(GL106)&lt;=0.005,0,MIN(N('Debt List'!F11),N(GL106)+N(GM106)))+((GT106=7)*GV106+(GX106=7)*GZ106+(HB106=7)*HD106+(HF106=7)*HH106+(HJ106=7)*HL106+(HN106=7)*HP106+(HR106=7)*HT106+(HV106=7)*HX106)</f>
        <v/>
      </c>
      <c r="GO106">
        <f>MAX(0,ROUND(N(GL106)+N(GM106)-N(GN106),2))</f>
        <v/>
      </c>
      <c r="GP106">
        <f>N(GS105)</f>
        <v/>
      </c>
      <c r="GQ106">
        <f>IF(N(GP106)&lt;=0.005,0,ROUND(N(GP106)*N('Debt List'!E12)/12,2))</f>
        <v/>
      </c>
      <c r="GR106">
        <f>IF(N(GP106)&lt;=0.005,0,MIN(N('Debt List'!F12),N(GP106)+N(GQ106)))+((GT106=8)*GV106+(GX106=8)*GZ106+(HB106=8)*HD106+(HF106=8)*HH106+(HJ106=8)*HL106+(HN106=8)*HP106+(HR106=8)*HT106+(HV106=8)*HX106)</f>
        <v/>
      </c>
      <c r="GS106">
        <f>MAX(0,ROUND(N(GP106)+N(GQ106)-N(GR106),2))</f>
        <v/>
      </c>
      <c r="GT106">
        <f>IFERROR(MATCH(1,OrderAval,0),"")</f>
        <v/>
      </c>
      <c r="GU106">
        <f>IF(GT106="",0,IFERROR(IF(N(CHOOSE(GT106,FN106,FR106,FV106,FZ106,GD106,GH106,GL106,GP106))&lt;=0.005,0,MAX(0,N(CHOOSE(GT106,FN106,FR106,FV106,FZ106,GD106,GH106,GL106,GP106))+N(CHOOSE(GT106,FO106,FS106,FW106,GA106,GE106,GI106,GM106,GQ106))-MIN(N(CHOOSE(GT106,'Debt List'!$F$5,'Debt List'!$F$6,'Debt List'!$F$7,'Debt List'!$F$8,'Debt List'!$F$9,'Debt List'!$F$10,'Debt List'!$F$11,'Debt List'!$F$12)),N(CHOOSE(GT106,FN106,FR106,FV106,FZ106,GD106,GH106,GL106,GP106))+N(CHOOSE(GT106,FO106,FS106,FW106,GA106,GE106,GI106,GM106,GQ106))))),0))</f>
        <v/>
      </c>
      <c r="GV106">
        <f>MIN(N(GU106),MAX(0,N(ExtraPayment)))</f>
        <v/>
      </c>
      <c r="GW106">
        <f>MAX(0,N(ExtraPayment)-N(GV106))</f>
        <v/>
      </c>
      <c r="GX106">
        <f>IFERROR(MATCH(2,OrderAval,0),"")</f>
        <v/>
      </c>
      <c r="GY106">
        <f>IF(GX106="",0,IFERROR(IF(N(CHOOSE(GX106,FN106,FR106,FV106,FZ106,GD106,GH106,GL106,GP106))&lt;=0.005,0,MAX(0,N(CHOOSE(GX106,FN106,FR106,FV106,FZ106,GD106,GH106,GL106,GP106))+N(CHOOSE(GX106,FO106,FS106,FW106,GA106,GE106,GI106,GM106,GQ106))-MIN(N(CHOOSE(GX106,'Debt List'!$F$5,'Debt List'!$F$6,'Debt List'!$F$7,'Debt List'!$F$8,'Debt List'!$F$9,'Debt List'!$F$10,'Debt List'!$F$11,'Debt List'!$F$12)),N(CHOOSE(GX106,FN106,FR106,FV106,FZ106,GD106,GH106,GL106,GP106))+N(CHOOSE(GX106,FO106,FS106,FW106,GA106,GE106,GI106,GM106,GQ106))))),0))</f>
        <v/>
      </c>
      <c r="GZ106">
        <f>MIN(N(GY106),MAX(0,N(GW106)))</f>
        <v/>
      </c>
      <c r="HA106">
        <f>MAX(0,N(GW106)-N(GZ106))</f>
        <v/>
      </c>
      <c r="HB106">
        <f>IFERROR(MATCH(3,OrderAval,0),"")</f>
        <v/>
      </c>
      <c r="HC106">
        <f>IF(HB106="",0,IFERROR(IF(N(CHOOSE(HB106,FN106,FR106,FV106,FZ106,GD106,GH106,GL106,GP106))&lt;=0.005,0,MAX(0,N(CHOOSE(HB106,FN106,FR106,FV106,FZ106,GD106,GH106,GL106,GP106))+N(CHOOSE(HB106,FO106,FS106,FW106,GA106,GE106,GI106,GM106,GQ106))-MIN(N(CHOOSE(HB106,'Debt List'!$F$5,'Debt List'!$F$6,'Debt List'!$F$7,'Debt List'!$F$8,'Debt List'!$F$9,'Debt List'!$F$10,'Debt List'!$F$11,'Debt List'!$F$12)),N(CHOOSE(HB106,FN106,FR106,FV106,FZ106,GD106,GH106,GL106,GP106))+N(CHOOSE(HB106,FO106,FS106,FW106,GA106,GE106,GI106,GM106,GQ106))))),0))</f>
        <v/>
      </c>
      <c r="HD106">
        <f>MIN(N(HC106),MAX(0,N(HA106)))</f>
        <v/>
      </c>
      <c r="HE106">
        <f>MAX(0,N(HA106)-N(HD106))</f>
        <v/>
      </c>
      <c r="HF106">
        <f>IFERROR(MATCH(4,OrderAval,0),"")</f>
        <v/>
      </c>
      <c r="HG106">
        <f>IF(HF106="",0,IFERROR(IF(N(CHOOSE(HF106,FN106,FR106,FV106,FZ106,GD106,GH106,GL106,GP106))&lt;=0.005,0,MAX(0,N(CHOOSE(HF106,FN106,FR106,FV106,FZ106,GD106,GH106,GL106,GP106))+N(CHOOSE(HF106,FO106,FS106,FW106,GA106,GE106,GI106,GM106,GQ106))-MIN(N(CHOOSE(HF106,'Debt List'!$F$5,'Debt List'!$F$6,'Debt List'!$F$7,'Debt List'!$F$8,'Debt List'!$F$9,'Debt List'!$F$10,'Debt List'!$F$11,'Debt List'!$F$12)),N(CHOOSE(HF106,FN106,FR106,FV106,FZ106,GD106,GH106,GL106,GP106))+N(CHOOSE(HF106,FO106,FS106,FW106,GA106,GE106,GI106,GM106,GQ106))))),0))</f>
        <v/>
      </c>
      <c r="HH106">
        <f>MIN(N(HG106),MAX(0,N(HE106)))</f>
        <v/>
      </c>
      <c r="HI106">
        <f>MAX(0,N(HE106)-N(HH106))</f>
        <v/>
      </c>
      <c r="HJ106">
        <f>IFERROR(MATCH(5,OrderAval,0),"")</f>
        <v/>
      </c>
      <c r="HK106">
        <f>IF(HJ106="",0,IFERROR(IF(N(CHOOSE(HJ106,FN106,FR106,FV106,FZ106,GD106,GH106,GL106,GP106))&lt;=0.005,0,MAX(0,N(CHOOSE(HJ106,FN106,FR106,FV106,FZ106,GD106,GH106,GL106,GP106))+N(CHOOSE(HJ106,FO106,FS106,FW106,GA106,GE106,GI106,GM106,GQ106))-MIN(N(CHOOSE(HJ106,'Debt List'!$F$5,'Debt List'!$F$6,'Debt List'!$F$7,'Debt List'!$F$8,'Debt List'!$F$9,'Debt List'!$F$10,'Debt List'!$F$11,'Debt List'!$F$12)),N(CHOOSE(HJ106,FN106,FR106,FV106,FZ106,GD106,GH106,GL106,GP106))+N(CHOOSE(HJ106,FO106,FS106,FW106,GA106,GE106,GI106,GM106,GQ106))))),0))</f>
        <v/>
      </c>
      <c r="HL106">
        <f>MIN(N(HK106),MAX(0,N(HI106)))</f>
        <v/>
      </c>
      <c r="HM106">
        <f>MAX(0,N(HI106)-N(HL106))</f>
        <v/>
      </c>
      <c r="HN106">
        <f>IFERROR(MATCH(6,OrderAval,0),"")</f>
        <v/>
      </c>
      <c r="HO106">
        <f>IF(HN106="",0,IFERROR(IF(N(CHOOSE(HN106,FN106,FR106,FV106,FZ106,GD106,GH106,GL106,GP106))&lt;=0.005,0,MAX(0,N(CHOOSE(HN106,FN106,FR106,FV106,FZ106,GD106,GH106,GL106,GP106))+N(CHOOSE(HN106,FO106,FS106,FW106,GA106,GE106,GI106,GM106,GQ106))-MIN(N(CHOOSE(HN106,'Debt List'!$F$5,'Debt List'!$F$6,'Debt List'!$F$7,'Debt List'!$F$8,'Debt List'!$F$9,'Debt List'!$F$10,'Debt List'!$F$11,'Debt List'!$F$12)),N(CHOOSE(HN106,FN106,FR106,FV106,FZ106,GD106,GH106,GL106,GP106))+N(CHOOSE(HN106,FO106,FS106,FW106,GA106,GE106,GI106,GM106,GQ106))))),0))</f>
        <v/>
      </c>
      <c r="HP106">
        <f>MIN(N(HO106),MAX(0,N(HM106)))</f>
        <v/>
      </c>
      <c r="HQ106">
        <f>MAX(0,N(HM106)-N(HP106))</f>
        <v/>
      </c>
      <c r="HR106">
        <f>IFERROR(MATCH(7,OrderAval,0),"")</f>
        <v/>
      </c>
      <c r="HS106">
        <f>IF(HR106="",0,IFERROR(IF(N(CHOOSE(HR106,FN106,FR106,FV106,FZ106,GD106,GH106,GL106,GP106))&lt;=0.005,0,MAX(0,N(CHOOSE(HR106,FN106,FR106,FV106,FZ106,GD106,GH106,GL106,GP106))+N(CHOOSE(HR106,FO106,FS106,FW106,GA106,GE106,GI106,GM106,GQ106))-MIN(N(CHOOSE(HR106,'Debt List'!$F$5,'Debt List'!$F$6,'Debt List'!$F$7,'Debt List'!$F$8,'Debt List'!$F$9,'Debt List'!$F$10,'Debt List'!$F$11,'Debt List'!$F$12)),N(CHOOSE(HR106,FN106,FR106,FV106,FZ106,GD106,GH106,GL106,GP106))+N(CHOOSE(HR106,FO106,FS106,FW106,GA106,GE106,GI106,GM106,GQ106))))),0))</f>
        <v/>
      </c>
      <c r="HT106">
        <f>MIN(N(HS106),MAX(0,N(HQ106)))</f>
        <v/>
      </c>
      <c r="HU106">
        <f>MAX(0,N(HQ106)-N(HT106))</f>
        <v/>
      </c>
      <c r="HV106">
        <f>IFERROR(MATCH(8,OrderAval,0),"")</f>
        <v/>
      </c>
      <c r="HW106">
        <f>IF(HV106="",0,IFERROR(IF(N(CHOOSE(HV106,FN106,FR106,FV106,FZ106,GD106,GH106,GL106,GP106))&lt;=0.005,0,MAX(0,N(CHOOSE(HV106,FN106,FR106,FV106,FZ106,GD106,GH106,GL106,GP106))+N(CHOOSE(HV106,FO106,FS106,FW106,GA106,GE106,GI106,GM106,GQ106))-MIN(N(CHOOSE(HV106,'Debt List'!$F$5,'Debt List'!$F$6,'Debt List'!$F$7,'Debt List'!$F$8,'Debt List'!$F$9,'Debt List'!$F$10,'Debt List'!$F$11,'Debt List'!$F$12)),N(CHOOSE(HV106,FN106,FR106,FV106,FZ106,GD106,GH106,GL106,GP106))+N(CHOOSE(HV106,FO106,FS106,FW106,GA106,GE106,GI106,GM106,GQ106))))),0))</f>
        <v/>
      </c>
      <c r="HX106">
        <f>MIN(N(HW106),MAX(0,N(HU106)))</f>
        <v/>
      </c>
      <c r="HY106">
        <f>MAX(0,N(HU106)-N(HX106))</f>
        <v/>
      </c>
    </row>
    <row r="107">
      <c r="A107" t="n">
        <v>103</v>
      </c>
      <c r="B107" s="115">
        <f>DATE(YEAR(PlanStart),MONTH(PlanStart)+A107-1,1)</f>
        <v/>
      </c>
      <c r="C107">
        <f>IF(AND(AP107&lt;&gt;"",N(CHOOSE(AP107,J107,N107,R107,V107,Z107,AD107,AH107,AL107))&gt;0.005),INDEX(DebtNames,AP107),IF(AND(AT107&lt;&gt;"",N(CHOOSE(AT107,J107,N107,R107,V107,Z107,AD107,AH107,AL107))&gt;0.005),INDEX(DebtNames,AT107),IF(AND(AX107&lt;&gt;"",N(CHOOSE(AX107,J107,N107,R107,V107,Z107,AD107,AH107,AL107))&gt;0.005),INDEX(DebtNames,AX107),IF(AND(BB107&lt;&gt;"",N(CHOOSE(BB107,J107,N107,R107,V107,Z107,AD107,AH107,AL107))&gt;0.005),INDEX(DebtNames,BB107),IF(AND(BF107&lt;&gt;"",N(CHOOSE(BF107,J107,N107,R107,V107,Z107,AD107,AH107,AL107))&gt;0.005),INDEX(DebtNames,BF107),IF(AND(BJ107&lt;&gt;"",N(CHOOSE(BJ107,J107,N107,R107,V107,Z107,AD107,AH107,AL107))&gt;0.005),INDEX(DebtNames,BJ107),IF(AND(BN107&lt;&gt;"",N(CHOOSE(BN107,J107,N107,R107,V107,Z107,AD107,AH107,AL107))&gt;0.005),INDEX(DebtNames,BN107),IF(AND(BR107&lt;&gt;"",N(CHOOSE(BR107,J107,N107,R107,V107,Z107,AD107,AH107,AL107))&gt;0.005),INDEX(DebtNames,BR107),""))))))))</f>
        <v/>
      </c>
      <c r="D107">
        <f>N(BU107)</f>
        <v/>
      </c>
      <c r="E107">
        <f>N(L107)+N(P107)+N(T107)+N(X107)+N(AB107)+N(AF107)+N(AJ107)+N(AN107)</f>
        <v/>
      </c>
      <c r="F107">
        <f>N(K107)+N(O107)+N(S107)+N(W107)+N(AA107)+N(AE107)+N(AI107)+N(AM107)</f>
        <v/>
      </c>
      <c r="G107">
        <f>N(G106)+N(F107)</f>
        <v/>
      </c>
      <c r="H107">
        <f>N(M107)+N(Q107)+N(U107)+N(Y107)+N(AC107)+N(AG107)+N(AK107)+N(AO107)</f>
        <v/>
      </c>
      <c r="I107">
        <f>(M107&gt;0.005)*1+(Q107&gt;0.005)*1+(U107&gt;0.005)*1+(Y107&gt;0.005)*1+(AC107&gt;0.005)*1+(AG107&gt;0.005)*1+(AK107&gt;0.005)*1+(AO107&gt;0.005)*1</f>
        <v/>
      </c>
      <c r="J107">
        <f>N(M106)</f>
        <v/>
      </c>
      <c r="K107">
        <f>IF(N(J107)&lt;=0.005,0,ROUND(N(J107)*N('Debt List'!E5)/12,2))</f>
        <v/>
      </c>
      <c r="L107">
        <f>IF(N(J107)&lt;=0.005,0,MIN(N('Debt List'!F5),N(J107)+N(K107)))+((AP107=1)*AR107+(AT107=1)*AV107+(AX107=1)*AZ107+(BB107=1)*BD107+(BF107=1)*BH107+(BJ107=1)*BL107+(BN107=1)*BP107+(BR107=1)*BT107)</f>
        <v/>
      </c>
      <c r="M107">
        <f>MAX(0,ROUND(N(J107)+N(K107)-N(L107),2))</f>
        <v/>
      </c>
      <c r="N107">
        <f>N(Q106)</f>
        <v/>
      </c>
      <c r="O107">
        <f>IF(N(N107)&lt;=0.005,0,ROUND(N(N107)*N('Debt List'!E6)/12,2))</f>
        <v/>
      </c>
      <c r="P107">
        <f>IF(N(N107)&lt;=0.005,0,MIN(N('Debt List'!F6),N(N107)+N(O107)))+((AP107=2)*AR107+(AT107=2)*AV107+(AX107=2)*AZ107+(BB107=2)*BD107+(BF107=2)*BH107+(BJ107=2)*BL107+(BN107=2)*BP107+(BR107=2)*BT107)</f>
        <v/>
      </c>
      <c r="Q107">
        <f>MAX(0,ROUND(N(N107)+N(O107)-N(P107),2))</f>
        <v/>
      </c>
      <c r="R107">
        <f>N(U106)</f>
        <v/>
      </c>
      <c r="S107">
        <f>IF(N(R107)&lt;=0.005,0,ROUND(N(R107)*N('Debt List'!E7)/12,2))</f>
        <v/>
      </c>
      <c r="T107">
        <f>IF(N(R107)&lt;=0.005,0,MIN(N('Debt List'!F7),N(R107)+N(S107)))+((AP107=3)*AR107+(AT107=3)*AV107+(AX107=3)*AZ107+(BB107=3)*BD107+(BF107=3)*BH107+(BJ107=3)*BL107+(BN107=3)*BP107+(BR107=3)*BT107)</f>
        <v/>
      </c>
      <c r="U107">
        <f>MAX(0,ROUND(N(R107)+N(S107)-N(T107),2))</f>
        <v/>
      </c>
      <c r="V107">
        <f>N(Y106)</f>
        <v/>
      </c>
      <c r="W107">
        <f>IF(N(V107)&lt;=0.005,0,ROUND(N(V107)*N('Debt List'!E8)/12,2))</f>
        <v/>
      </c>
      <c r="X107">
        <f>IF(N(V107)&lt;=0.005,0,MIN(N('Debt List'!F8),N(V107)+N(W107)))+((AP107=4)*AR107+(AT107=4)*AV107+(AX107=4)*AZ107+(BB107=4)*BD107+(BF107=4)*BH107+(BJ107=4)*BL107+(BN107=4)*BP107+(BR107=4)*BT107)</f>
        <v/>
      </c>
      <c r="Y107">
        <f>MAX(0,ROUND(N(V107)+N(W107)-N(X107),2))</f>
        <v/>
      </c>
      <c r="Z107">
        <f>N(AC106)</f>
        <v/>
      </c>
      <c r="AA107">
        <f>IF(N(Z107)&lt;=0.005,0,ROUND(N(Z107)*N('Debt List'!E9)/12,2))</f>
        <v/>
      </c>
      <c r="AB107">
        <f>IF(N(Z107)&lt;=0.005,0,MIN(N('Debt List'!F9),N(Z107)+N(AA107)))+((AP107=5)*AR107+(AT107=5)*AV107+(AX107=5)*AZ107+(BB107=5)*BD107+(BF107=5)*BH107+(BJ107=5)*BL107+(BN107=5)*BP107+(BR107=5)*BT107)</f>
        <v/>
      </c>
      <c r="AC107">
        <f>MAX(0,ROUND(N(Z107)+N(AA107)-N(AB107),2))</f>
        <v/>
      </c>
      <c r="AD107">
        <f>N(AG106)</f>
        <v/>
      </c>
      <c r="AE107">
        <f>IF(N(AD107)&lt;=0.005,0,ROUND(N(AD107)*N('Debt List'!E10)/12,2))</f>
        <v/>
      </c>
      <c r="AF107">
        <f>IF(N(AD107)&lt;=0.005,0,MIN(N('Debt List'!F10),N(AD107)+N(AE107)))+((AP107=6)*AR107+(AT107=6)*AV107+(AX107=6)*AZ107+(BB107=6)*BD107+(BF107=6)*BH107+(BJ107=6)*BL107+(BN107=6)*BP107+(BR107=6)*BT107)</f>
        <v/>
      </c>
      <c r="AG107">
        <f>MAX(0,ROUND(N(AD107)+N(AE107)-N(AF107),2))</f>
        <v/>
      </c>
      <c r="AH107">
        <f>N(AK106)</f>
        <v/>
      </c>
      <c r="AI107">
        <f>IF(N(AH107)&lt;=0.005,0,ROUND(N(AH107)*N('Debt List'!E11)/12,2))</f>
        <v/>
      </c>
      <c r="AJ107">
        <f>IF(N(AH107)&lt;=0.005,0,MIN(N('Debt List'!F11),N(AH107)+N(AI107)))+((AP107=7)*AR107+(AT107=7)*AV107+(AX107=7)*AZ107+(BB107=7)*BD107+(BF107=7)*BH107+(BJ107=7)*BL107+(BN107=7)*BP107+(BR107=7)*BT107)</f>
        <v/>
      </c>
      <c r="AK107">
        <f>MAX(0,ROUND(N(AH107)+N(AI107)-N(AJ107),2))</f>
        <v/>
      </c>
      <c r="AL107">
        <f>N(AO106)</f>
        <v/>
      </c>
      <c r="AM107">
        <f>IF(N(AL107)&lt;=0.005,0,ROUND(N(AL107)*N('Debt List'!E12)/12,2))</f>
        <v/>
      </c>
      <c r="AN107">
        <f>IF(N(AL107)&lt;=0.005,0,MIN(N('Debt List'!F12),N(AL107)+N(AM107)))+((AP107=8)*AR107+(AT107=8)*AV107+(AX107=8)*AZ107+(BB107=8)*BD107+(BF107=8)*BH107+(BJ107=8)*BL107+(BN107=8)*BP107+(BR107=8)*BT107)</f>
        <v/>
      </c>
      <c r="AO107">
        <f>MAX(0,ROUND(N(AL107)+N(AM107)-N(AN107),2))</f>
        <v/>
      </c>
      <c r="AP107">
        <f>IFERROR(MATCH(1,OrderPlan,0),"")</f>
        <v/>
      </c>
      <c r="AQ107">
        <f>IF(AP107="",0,IFERROR(IF(N(CHOOSE(AP107,J107,N107,R107,V107,Z107,AD107,AH107,AL107))&lt;=0.005,0,MAX(0,N(CHOOSE(AP107,J107,N107,R107,V107,Z107,AD107,AH107,AL107))+N(CHOOSE(AP107,K107,O107,S107,W107,AA107,AE107,AI107,AM107))-MIN(N(CHOOSE(AP107,'Debt List'!$F$5,'Debt List'!$F$6,'Debt List'!$F$7,'Debt List'!$F$8,'Debt List'!$F$9,'Debt List'!$F$10,'Debt List'!$F$11,'Debt List'!$F$12)),N(CHOOSE(AP107,J107,N107,R107,V107,Z107,AD107,AH107,AL107))+N(CHOOSE(AP107,K107,O107,S107,W107,AA107,AE107,AI107,AM107))))),0))</f>
        <v/>
      </c>
      <c r="AR107">
        <f>MIN(N(AQ107),MAX(0,N(ExtraPayment)))</f>
        <v/>
      </c>
      <c r="AS107">
        <f>MAX(0,N(ExtraPayment)-N(AR107))</f>
        <v/>
      </c>
      <c r="AT107">
        <f>IFERROR(MATCH(2,OrderPlan,0),"")</f>
        <v/>
      </c>
      <c r="AU107">
        <f>IF(AT107="",0,IFERROR(IF(N(CHOOSE(AT107,J107,N107,R107,V107,Z107,AD107,AH107,AL107))&lt;=0.005,0,MAX(0,N(CHOOSE(AT107,J107,N107,R107,V107,Z107,AD107,AH107,AL107))+N(CHOOSE(AT107,K107,O107,S107,W107,AA107,AE107,AI107,AM107))-MIN(N(CHOOSE(AT107,'Debt List'!$F$5,'Debt List'!$F$6,'Debt List'!$F$7,'Debt List'!$F$8,'Debt List'!$F$9,'Debt List'!$F$10,'Debt List'!$F$11,'Debt List'!$F$12)),N(CHOOSE(AT107,J107,N107,R107,V107,Z107,AD107,AH107,AL107))+N(CHOOSE(AT107,K107,O107,S107,W107,AA107,AE107,AI107,AM107))))),0))</f>
        <v/>
      </c>
      <c r="AV107">
        <f>MIN(N(AU107),MAX(0,N(AS107)))</f>
        <v/>
      </c>
      <c r="AW107">
        <f>MAX(0,N(AS107)-N(AV107))</f>
        <v/>
      </c>
      <c r="AX107">
        <f>IFERROR(MATCH(3,OrderPlan,0),"")</f>
        <v/>
      </c>
      <c r="AY107">
        <f>IF(AX107="",0,IFERROR(IF(N(CHOOSE(AX107,J107,N107,R107,V107,Z107,AD107,AH107,AL107))&lt;=0.005,0,MAX(0,N(CHOOSE(AX107,J107,N107,R107,V107,Z107,AD107,AH107,AL107))+N(CHOOSE(AX107,K107,O107,S107,W107,AA107,AE107,AI107,AM107))-MIN(N(CHOOSE(AX107,'Debt List'!$F$5,'Debt List'!$F$6,'Debt List'!$F$7,'Debt List'!$F$8,'Debt List'!$F$9,'Debt List'!$F$10,'Debt List'!$F$11,'Debt List'!$F$12)),N(CHOOSE(AX107,J107,N107,R107,V107,Z107,AD107,AH107,AL107))+N(CHOOSE(AX107,K107,O107,S107,W107,AA107,AE107,AI107,AM107))))),0))</f>
        <v/>
      </c>
      <c r="AZ107">
        <f>MIN(N(AY107),MAX(0,N(AW107)))</f>
        <v/>
      </c>
      <c r="BA107">
        <f>MAX(0,N(AW107)-N(AZ107))</f>
        <v/>
      </c>
      <c r="BB107">
        <f>IFERROR(MATCH(4,OrderPlan,0),"")</f>
        <v/>
      </c>
      <c r="BC107">
        <f>IF(BB107="",0,IFERROR(IF(N(CHOOSE(BB107,J107,N107,R107,V107,Z107,AD107,AH107,AL107))&lt;=0.005,0,MAX(0,N(CHOOSE(BB107,J107,N107,R107,V107,Z107,AD107,AH107,AL107))+N(CHOOSE(BB107,K107,O107,S107,W107,AA107,AE107,AI107,AM107))-MIN(N(CHOOSE(BB107,'Debt List'!$F$5,'Debt List'!$F$6,'Debt List'!$F$7,'Debt List'!$F$8,'Debt List'!$F$9,'Debt List'!$F$10,'Debt List'!$F$11,'Debt List'!$F$12)),N(CHOOSE(BB107,J107,N107,R107,V107,Z107,AD107,AH107,AL107))+N(CHOOSE(BB107,K107,O107,S107,W107,AA107,AE107,AI107,AM107))))),0))</f>
        <v/>
      </c>
      <c r="BD107">
        <f>MIN(N(BC107),MAX(0,N(BA107)))</f>
        <v/>
      </c>
      <c r="BE107">
        <f>MAX(0,N(BA107)-N(BD107))</f>
        <v/>
      </c>
      <c r="BF107">
        <f>IFERROR(MATCH(5,OrderPlan,0),"")</f>
        <v/>
      </c>
      <c r="BG107">
        <f>IF(BF107="",0,IFERROR(IF(N(CHOOSE(BF107,J107,N107,R107,V107,Z107,AD107,AH107,AL107))&lt;=0.005,0,MAX(0,N(CHOOSE(BF107,J107,N107,R107,V107,Z107,AD107,AH107,AL107))+N(CHOOSE(BF107,K107,O107,S107,W107,AA107,AE107,AI107,AM107))-MIN(N(CHOOSE(BF107,'Debt List'!$F$5,'Debt List'!$F$6,'Debt List'!$F$7,'Debt List'!$F$8,'Debt List'!$F$9,'Debt List'!$F$10,'Debt List'!$F$11,'Debt List'!$F$12)),N(CHOOSE(BF107,J107,N107,R107,V107,Z107,AD107,AH107,AL107))+N(CHOOSE(BF107,K107,O107,S107,W107,AA107,AE107,AI107,AM107))))),0))</f>
        <v/>
      </c>
      <c r="BH107">
        <f>MIN(N(BG107),MAX(0,N(BE107)))</f>
        <v/>
      </c>
      <c r="BI107">
        <f>MAX(0,N(BE107)-N(BH107))</f>
        <v/>
      </c>
      <c r="BJ107">
        <f>IFERROR(MATCH(6,OrderPlan,0),"")</f>
        <v/>
      </c>
      <c r="BK107">
        <f>IF(BJ107="",0,IFERROR(IF(N(CHOOSE(BJ107,J107,N107,R107,V107,Z107,AD107,AH107,AL107))&lt;=0.005,0,MAX(0,N(CHOOSE(BJ107,J107,N107,R107,V107,Z107,AD107,AH107,AL107))+N(CHOOSE(BJ107,K107,O107,S107,W107,AA107,AE107,AI107,AM107))-MIN(N(CHOOSE(BJ107,'Debt List'!$F$5,'Debt List'!$F$6,'Debt List'!$F$7,'Debt List'!$F$8,'Debt List'!$F$9,'Debt List'!$F$10,'Debt List'!$F$11,'Debt List'!$F$12)),N(CHOOSE(BJ107,J107,N107,R107,V107,Z107,AD107,AH107,AL107))+N(CHOOSE(BJ107,K107,O107,S107,W107,AA107,AE107,AI107,AM107))))),0))</f>
        <v/>
      </c>
      <c r="BL107">
        <f>MIN(N(BK107),MAX(0,N(BI107)))</f>
        <v/>
      </c>
      <c r="BM107">
        <f>MAX(0,N(BI107)-N(BL107))</f>
        <v/>
      </c>
      <c r="BN107">
        <f>IFERROR(MATCH(7,OrderPlan,0),"")</f>
        <v/>
      </c>
      <c r="BO107">
        <f>IF(BN107="",0,IFERROR(IF(N(CHOOSE(BN107,J107,N107,R107,V107,Z107,AD107,AH107,AL107))&lt;=0.005,0,MAX(0,N(CHOOSE(BN107,J107,N107,R107,V107,Z107,AD107,AH107,AL107))+N(CHOOSE(BN107,K107,O107,S107,W107,AA107,AE107,AI107,AM107))-MIN(N(CHOOSE(BN107,'Debt List'!$F$5,'Debt List'!$F$6,'Debt List'!$F$7,'Debt List'!$F$8,'Debt List'!$F$9,'Debt List'!$F$10,'Debt List'!$F$11,'Debt List'!$F$12)),N(CHOOSE(BN107,J107,N107,R107,V107,Z107,AD107,AH107,AL107))+N(CHOOSE(BN107,K107,O107,S107,W107,AA107,AE107,AI107,AM107))))),0))</f>
        <v/>
      </c>
      <c r="BP107">
        <f>MIN(N(BO107),MAX(0,N(BM107)))</f>
        <v/>
      </c>
      <c r="BQ107">
        <f>MAX(0,N(BM107)-N(BP107))</f>
        <v/>
      </c>
      <c r="BR107">
        <f>IFERROR(MATCH(8,OrderPlan,0),"")</f>
        <v/>
      </c>
      <c r="BS107">
        <f>IF(BR107="",0,IFERROR(IF(N(CHOOSE(BR107,J107,N107,R107,V107,Z107,AD107,AH107,AL107))&lt;=0.005,0,MAX(0,N(CHOOSE(BR107,J107,N107,R107,V107,Z107,AD107,AH107,AL107))+N(CHOOSE(BR107,K107,O107,S107,W107,AA107,AE107,AI107,AM107))-MIN(N(CHOOSE(BR107,'Debt List'!$F$5,'Debt List'!$F$6,'Debt List'!$F$7,'Debt List'!$F$8,'Debt List'!$F$9,'Debt List'!$F$10,'Debt List'!$F$11,'Debt List'!$F$12)),N(CHOOSE(BR107,J107,N107,R107,V107,Z107,AD107,AH107,AL107))+N(CHOOSE(BR107,K107,O107,S107,W107,AA107,AE107,AI107,AM107))))),0))</f>
        <v/>
      </c>
      <c r="BT107">
        <f>MIN(N(BS107),MAX(0,N(BQ107)))</f>
        <v/>
      </c>
      <c r="BU107">
        <f>MAX(0,N(BQ107)-N(BT107))</f>
        <v/>
      </c>
      <c r="CC107" t="n">
        <v>103</v>
      </c>
      <c r="CD107" s="115">
        <f>DATE(YEAR(PlanStart),MONTH(PlanStart)+CC107-1,1)</f>
        <v/>
      </c>
      <c r="CE107">
        <f>IF(AND(DR107&lt;&gt;"",N(CHOOSE(DR107,CL107,CP107,CT107,CX107,DB107,DF107,DJ107,DN107))&gt;0.005),INDEX(DebtNames,DR107),IF(AND(DV107&lt;&gt;"",N(CHOOSE(DV107,CL107,CP107,CT107,CX107,DB107,DF107,DJ107,DN107))&gt;0.005),INDEX(DebtNames,DV107),IF(AND(DZ107&lt;&gt;"",N(CHOOSE(DZ107,CL107,CP107,CT107,CX107,DB107,DF107,DJ107,DN107))&gt;0.005),INDEX(DebtNames,DZ107),IF(AND(ED107&lt;&gt;"",N(CHOOSE(ED107,CL107,CP107,CT107,CX107,DB107,DF107,DJ107,DN107))&gt;0.005),INDEX(DebtNames,ED107),IF(AND(EH107&lt;&gt;"",N(CHOOSE(EH107,CL107,CP107,CT107,CX107,DB107,DF107,DJ107,DN107))&gt;0.005),INDEX(DebtNames,EH107),IF(AND(EL107&lt;&gt;"",N(CHOOSE(EL107,CL107,CP107,CT107,CX107,DB107,DF107,DJ107,DN107))&gt;0.005),INDEX(DebtNames,EL107),IF(AND(EP107&lt;&gt;"",N(CHOOSE(EP107,CL107,CP107,CT107,CX107,DB107,DF107,DJ107,DN107))&gt;0.005),INDEX(DebtNames,EP107),IF(AND(ET107&lt;&gt;"",N(CHOOSE(ET107,CL107,CP107,CT107,CX107,DB107,DF107,DJ107,DN107))&gt;0.005),INDEX(DebtNames,ET107),""))))))))</f>
        <v/>
      </c>
      <c r="CF107">
        <f>N(EW107)</f>
        <v/>
      </c>
      <c r="CG107">
        <f>N(CN107)+N(CR107)+N(CV107)+N(CZ107)+N(DD107)+N(DH107)+N(DL107)+N(DP107)</f>
        <v/>
      </c>
      <c r="CH107">
        <f>N(CM107)+N(CQ107)+N(CU107)+N(CY107)+N(DC107)+N(DG107)+N(DK107)+N(DO107)</f>
        <v/>
      </c>
      <c r="CI107">
        <f>N(CI106)+N(CH107)</f>
        <v/>
      </c>
      <c r="CJ107">
        <f>N(CO107)+N(CS107)+N(CW107)+N(DA107)+N(DE107)+N(DI107)+N(DM107)+N(DQ107)</f>
        <v/>
      </c>
      <c r="CK107">
        <f>(CO107&gt;0.005)*1+(CS107&gt;0.005)*1+(CW107&gt;0.005)*1+(DA107&gt;0.005)*1+(DE107&gt;0.005)*1+(DI107&gt;0.005)*1+(DM107&gt;0.005)*1+(DQ107&gt;0.005)*1</f>
        <v/>
      </c>
      <c r="CL107">
        <f>N(CO106)</f>
        <v/>
      </c>
      <c r="CM107">
        <f>IF(N(CL107)&lt;=0.005,0,ROUND(N(CL107)*N('Debt List'!E5)/12,2))</f>
        <v/>
      </c>
      <c r="CN107">
        <f>IF(N(CL107)&lt;=0.005,0,MIN(N('Debt List'!F5),N(CL107)+N(CM107)))+((DR107=1)*DT107+(DV107=1)*DX107+(DZ107=1)*EB107+(ED107=1)*EF107+(EH107=1)*EJ107+(EL107=1)*EN107+(EP107=1)*ER107+(ET107=1)*EV107)</f>
        <v/>
      </c>
      <c r="CO107">
        <f>MAX(0,ROUND(N(CL107)+N(CM107)-N(CN107),2))</f>
        <v/>
      </c>
      <c r="CP107">
        <f>N(CS106)</f>
        <v/>
      </c>
      <c r="CQ107">
        <f>IF(N(CP107)&lt;=0.005,0,ROUND(N(CP107)*N('Debt List'!E6)/12,2))</f>
        <v/>
      </c>
      <c r="CR107">
        <f>IF(N(CP107)&lt;=0.005,0,MIN(N('Debt List'!F6),N(CP107)+N(CQ107)))+((DR107=2)*DT107+(DV107=2)*DX107+(DZ107=2)*EB107+(ED107=2)*EF107+(EH107=2)*EJ107+(EL107=2)*EN107+(EP107=2)*ER107+(ET107=2)*EV107)</f>
        <v/>
      </c>
      <c r="CS107">
        <f>MAX(0,ROUND(N(CP107)+N(CQ107)-N(CR107),2))</f>
        <v/>
      </c>
      <c r="CT107">
        <f>N(CW106)</f>
        <v/>
      </c>
      <c r="CU107">
        <f>IF(N(CT107)&lt;=0.005,0,ROUND(N(CT107)*N('Debt List'!E7)/12,2))</f>
        <v/>
      </c>
      <c r="CV107">
        <f>IF(N(CT107)&lt;=0.005,0,MIN(N('Debt List'!F7),N(CT107)+N(CU107)))+((DR107=3)*DT107+(DV107=3)*DX107+(DZ107=3)*EB107+(ED107=3)*EF107+(EH107=3)*EJ107+(EL107=3)*EN107+(EP107=3)*ER107+(ET107=3)*EV107)</f>
        <v/>
      </c>
      <c r="CW107">
        <f>MAX(0,ROUND(N(CT107)+N(CU107)-N(CV107),2))</f>
        <v/>
      </c>
      <c r="CX107">
        <f>N(DA106)</f>
        <v/>
      </c>
      <c r="CY107">
        <f>IF(N(CX107)&lt;=0.005,0,ROUND(N(CX107)*N('Debt List'!E8)/12,2))</f>
        <v/>
      </c>
      <c r="CZ107">
        <f>IF(N(CX107)&lt;=0.005,0,MIN(N('Debt List'!F8),N(CX107)+N(CY107)))+((DR107=4)*DT107+(DV107=4)*DX107+(DZ107=4)*EB107+(ED107=4)*EF107+(EH107=4)*EJ107+(EL107=4)*EN107+(EP107=4)*ER107+(ET107=4)*EV107)</f>
        <v/>
      </c>
      <c r="DA107">
        <f>MAX(0,ROUND(N(CX107)+N(CY107)-N(CZ107),2))</f>
        <v/>
      </c>
      <c r="DB107">
        <f>N(DE106)</f>
        <v/>
      </c>
      <c r="DC107">
        <f>IF(N(DB107)&lt;=0.005,0,ROUND(N(DB107)*N('Debt List'!E9)/12,2))</f>
        <v/>
      </c>
      <c r="DD107">
        <f>IF(N(DB107)&lt;=0.005,0,MIN(N('Debt List'!F9),N(DB107)+N(DC107)))+((DR107=5)*DT107+(DV107=5)*DX107+(DZ107=5)*EB107+(ED107=5)*EF107+(EH107=5)*EJ107+(EL107=5)*EN107+(EP107=5)*ER107+(ET107=5)*EV107)</f>
        <v/>
      </c>
      <c r="DE107">
        <f>MAX(0,ROUND(N(DB107)+N(DC107)-N(DD107),2))</f>
        <v/>
      </c>
      <c r="DF107">
        <f>N(DI106)</f>
        <v/>
      </c>
      <c r="DG107">
        <f>IF(N(DF107)&lt;=0.005,0,ROUND(N(DF107)*N('Debt List'!E10)/12,2))</f>
        <v/>
      </c>
      <c r="DH107">
        <f>IF(N(DF107)&lt;=0.005,0,MIN(N('Debt List'!F10),N(DF107)+N(DG107)))+((DR107=6)*DT107+(DV107=6)*DX107+(DZ107=6)*EB107+(ED107=6)*EF107+(EH107=6)*EJ107+(EL107=6)*EN107+(EP107=6)*ER107+(ET107=6)*EV107)</f>
        <v/>
      </c>
      <c r="DI107">
        <f>MAX(0,ROUND(N(DF107)+N(DG107)-N(DH107),2))</f>
        <v/>
      </c>
      <c r="DJ107">
        <f>N(DM106)</f>
        <v/>
      </c>
      <c r="DK107">
        <f>IF(N(DJ107)&lt;=0.005,0,ROUND(N(DJ107)*N('Debt List'!E11)/12,2))</f>
        <v/>
      </c>
      <c r="DL107">
        <f>IF(N(DJ107)&lt;=0.005,0,MIN(N('Debt List'!F11),N(DJ107)+N(DK107)))+((DR107=7)*DT107+(DV107=7)*DX107+(DZ107=7)*EB107+(ED107=7)*EF107+(EH107=7)*EJ107+(EL107=7)*EN107+(EP107=7)*ER107+(ET107=7)*EV107)</f>
        <v/>
      </c>
      <c r="DM107">
        <f>MAX(0,ROUND(N(DJ107)+N(DK107)-N(DL107),2))</f>
        <v/>
      </c>
      <c r="DN107">
        <f>N(DQ106)</f>
        <v/>
      </c>
      <c r="DO107">
        <f>IF(N(DN107)&lt;=0.005,0,ROUND(N(DN107)*N('Debt List'!E12)/12,2))</f>
        <v/>
      </c>
      <c r="DP107">
        <f>IF(N(DN107)&lt;=0.005,0,MIN(N('Debt List'!F12),N(DN107)+N(DO107)))+((DR107=8)*DT107+(DV107=8)*DX107+(DZ107=8)*EB107+(ED107=8)*EF107+(EH107=8)*EJ107+(EL107=8)*EN107+(EP107=8)*ER107+(ET107=8)*EV107)</f>
        <v/>
      </c>
      <c r="DQ107">
        <f>MAX(0,ROUND(N(DN107)+N(DO107)-N(DP107),2))</f>
        <v/>
      </c>
      <c r="DR107">
        <f>IFERROR(MATCH(1,OrderSnow,0),"")</f>
        <v/>
      </c>
      <c r="DS107">
        <f>IF(DR107="",0,IFERROR(IF(N(CHOOSE(DR107,CL107,CP107,CT107,CX107,DB107,DF107,DJ107,DN107))&lt;=0.005,0,MAX(0,N(CHOOSE(DR107,CL107,CP107,CT107,CX107,DB107,DF107,DJ107,DN107))+N(CHOOSE(DR107,CM107,CQ107,CU107,CY107,DC107,DG107,DK107,DO107))-MIN(N(CHOOSE(DR107,'Debt List'!$F$5,'Debt List'!$F$6,'Debt List'!$F$7,'Debt List'!$F$8,'Debt List'!$F$9,'Debt List'!$F$10,'Debt List'!$F$11,'Debt List'!$F$12)),N(CHOOSE(DR107,CL107,CP107,CT107,CX107,DB107,DF107,DJ107,DN107))+N(CHOOSE(DR107,CM107,CQ107,CU107,CY107,DC107,DG107,DK107,DO107))))),0))</f>
        <v/>
      </c>
      <c r="DT107">
        <f>MIN(N(DS107),MAX(0,N(ExtraPayment)))</f>
        <v/>
      </c>
      <c r="DU107">
        <f>MAX(0,N(ExtraPayment)-N(DT107))</f>
        <v/>
      </c>
      <c r="DV107">
        <f>IFERROR(MATCH(2,OrderSnow,0),"")</f>
        <v/>
      </c>
      <c r="DW107">
        <f>IF(DV107="",0,IFERROR(IF(N(CHOOSE(DV107,CL107,CP107,CT107,CX107,DB107,DF107,DJ107,DN107))&lt;=0.005,0,MAX(0,N(CHOOSE(DV107,CL107,CP107,CT107,CX107,DB107,DF107,DJ107,DN107))+N(CHOOSE(DV107,CM107,CQ107,CU107,CY107,DC107,DG107,DK107,DO107))-MIN(N(CHOOSE(DV107,'Debt List'!$F$5,'Debt List'!$F$6,'Debt List'!$F$7,'Debt List'!$F$8,'Debt List'!$F$9,'Debt List'!$F$10,'Debt List'!$F$11,'Debt List'!$F$12)),N(CHOOSE(DV107,CL107,CP107,CT107,CX107,DB107,DF107,DJ107,DN107))+N(CHOOSE(DV107,CM107,CQ107,CU107,CY107,DC107,DG107,DK107,DO107))))),0))</f>
        <v/>
      </c>
      <c r="DX107">
        <f>MIN(N(DW107),MAX(0,N(DU107)))</f>
        <v/>
      </c>
      <c r="DY107">
        <f>MAX(0,N(DU107)-N(DX107))</f>
        <v/>
      </c>
      <c r="DZ107">
        <f>IFERROR(MATCH(3,OrderSnow,0),"")</f>
        <v/>
      </c>
      <c r="EA107">
        <f>IF(DZ107="",0,IFERROR(IF(N(CHOOSE(DZ107,CL107,CP107,CT107,CX107,DB107,DF107,DJ107,DN107))&lt;=0.005,0,MAX(0,N(CHOOSE(DZ107,CL107,CP107,CT107,CX107,DB107,DF107,DJ107,DN107))+N(CHOOSE(DZ107,CM107,CQ107,CU107,CY107,DC107,DG107,DK107,DO107))-MIN(N(CHOOSE(DZ107,'Debt List'!$F$5,'Debt List'!$F$6,'Debt List'!$F$7,'Debt List'!$F$8,'Debt List'!$F$9,'Debt List'!$F$10,'Debt List'!$F$11,'Debt List'!$F$12)),N(CHOOSE(DZ107,CL107,CP107,CT107,CX107,DB107,DF107,DJ107,DN107))+N(CHOOSE(DZ107,CM107,CQ107,CU107,CY107,DC107,DG107,DK107,DO107))))),0))</f>
        <v/>
      </c>
      <c r="EB107">
        <f>MIN(N(EA107),MAX(0,N(DY107)))</f>
        <v/>
      </c>
      <c r="EC107">
        <f>MAX(0,N(DY107)-N(EB107))</f>
        <v/>
      </c>
      <c r="ED107">
        <f>IFERROR(MATCH(4,OrderSnow,0),"")</f>
        <v/>
      </c>
      <c r="EE107">
        <f>IF(ED107="",0,IFERROR(IF(N(CHOOSE(ED107,CL107,CP107,CT107,CX107,DB107,DF107,DJ107,DN107))&lt;=0.005,0,MAX(0,N(CHOOSE(ED107,CL107,CP107,CT107,CX107,DB107,DF107,DJ107,DN107))+N(CHOOSE(ED107,CM107,CQ107,CU107,CY107,DC107,DG107,DK107,DO107))-MIN(N(CHOOSE(ED107,'Debt List'!$F$5,'Debt List'!$F$6,'Debt List'!$F$7,'Debt List'!$F$8,'Debt List'!$F$9,'Debt List'!$F$10,'Debt List'!$F$11,'Debt List'!$F$12)),N(CHOOSE(ED107,CL107,CP107,CT107,CX107,DB107,DF107,DJ107,DN107))+N(CHOOSE(ED107,CM107,CQ107,CU107,CY107,DC107,DG107,DK107,DO107))))),0))</f>
        <v/>
      </c>
      <c r="EF107">
        <f>MIN(N(EE107),MAX(0,N(EC107)))</f>
        <v/>
      </c>
      <c r="EG107">
        <f>MAX(0,N(EC107)-N(EF107))</f>
        <v/>
      </c>
      <c r="EH107">
        <f>IFERROR(MATCH(5,OrderSnow,0),"")</f>
        <v/>
      </c>
      <c r="EI107">
        <f>IF(EH107="",0,IFERROR(IF(N(CHOOSE(EH107,CL107,CP107,CT107,CX107,DB107,DF107,DJ107,DN107))&lt;=0.005,0,MAX(0,N(CHOOSE(EH107,CL107,CP107,CT107,CX107,DB107,DF107,DJ107,DN107))+N(CHOOSE(EH107,CM107,CQ107,CU107,CY107,DC107,DG107,DK107,DO107))-MIN(N(CHOOSE(EH107,'Debt List'!$F$5,'Debt List'!$F$6,'Debt List'!$F$7,'Debt List'!$F$8,'Debt List'!$F$9,'Debt List'!$F$10,'Debt List'!$F$11,'Debt List'!$F$12)),N(CHOOSE(EH107,CL107,CP107,CT107,CX107,DB107,DF107,DJ107,DN107))+N(CHOOSE(EH107,CM107,CQ107,CU107,CY107,DC107,DG107,DK107,DO107))))),0))</f>
        <v/>
      </c>
      <c r="EJ107">
        <f>MIN(N(EI107),MAX(0,N(EG107)))</f>
        <v/>
      </c>
      <c r="EK107">
        <f>MAX(0,N(EG107)-N(EJ107))</f>
        <v/>
      </c>
      <c r="EL107">
        <f>IFERROR(MATCH(6,OrderSnow,0),"")</f>
        <v/>
      </c>
      <c r="EM107">
        <f>IF(EL107="",0,IFERROR(IF(N(CHOOSE(EL107,CL107,CP107,CT107,CX107,DB107,DF107,DJ107,DN107))&lt;=0.005,0,MAX(0,N(CHOOSE(EL107,CL107,CP107,CT107,CX107,DB107,DF107,DJ107,DN107))+N(CHOOSE(EL107,CM107,CQ107,CU107,CY107,DC107,DG107,DK107,DO107))-MIN(N(CHOOSE(EL107,'Debt List'!$F$5,'Debt List'!$F$6,'Debt List'!$F$7,'Debt List'!$F$8,'Debt List'!$F$9,'Debt List'!$F$10,'Debt List'!$F$11,'Debt List'!$F$12)),N(CHOOSE(EL107,CL107,CP107,CT107,CX107,DB107,DF107,DJ107,DN107))+N(CHOOSE(EL107,CM107,CQ107,CU107,CY107,DC107,DG107,DK107,DO107))))),0))</f>
        <v/>
      </c>
      <c r="EN107">
        <f>MIN(N(EM107),MAX(0,N(EK107)))</f>
        <v/>
      </c>
      <c r="EO107">
        <f>MAX(0,N(EK107)-N(EN107))</f>
        <v/>
      </c>
      <c r="EP107">
        <f>IFERROR(MATCH(7,OrderSnow,0),"")</f>
        <v/>
      </c>
      <c r="EQ107">
        <f>IF(EP107="",0,IFERROR(IF(N(CHOOSE(EP107,CL107,CP107,CT107,CX107,DB107,DF107,DJ107,DN107))&lt;=0.005,0,MAX(0,N(CHOOSE(EP107,CL107,CP107,CT107,CX107,DB107,DF107,DJ107,DN107))+N(CHOOSE(EP107,CM107,CQ107,CU107,CY107,DC107,DG107,DK107,DO107))-MIN(N(CHOOSE(EP107,'Debt List'!$F$5,'Debt List'!$F$6,'Debt List'!$F$7,'Debt List'!$F$8,'Debt List'!$F$9,'Debt List'!$F$10,'Debt List'!$F$11,'Debt List'!$F$12)),N(CHOOSE(EP107,CL107,CP107,CT107,CX107,DB107,DF107,DJ107,DN107))+N(CHOOSE(EP107,CM107,CQ107,CU107,CY107,DC107,DG107,DK107,DO107))))),0))</f>
        <v/>
      </c>
      <c r="ER107">
        <f>MIN(N(EQ107),MAX(0,N(EO107)))</f>
        <v/>
      </c>
      <c r="ES107">
        <f>MAX(0,N(EO107)-N(ER107))</f>
        <v/>
      </c>
      <c r="ET107">
        <f>IFERROR(MATCH(8,OrderSnow,0),"")</f>
        <v/>
      </c>
      <c r="EU107">
        <f>IF(ET107="",0,IFERROR(IF(N(CHOOSE(ET107,CL107,CP107,CT107,CX107,DB107,DF107,DJ107,DN107))&lt;=0.005,0,MAX(0,N(CHOOSE(ET107,CL107,CP107,CT107,CX107,DB107,DF107,DJ107,DN107))+N(CHOOSE(ET107,CM107,CQ107,CU107,CY107,DC107,DG107,DK107,DO107))-MIN(N(CHOOSE(ET107,'Debt List'!$F$5,'Debt List'!$F$6,'Debt List'!$F$7,'Debt List'!$F$8,'Debt List'!$F$9,'Debt List'!$F$10,'Debt List'!$F$11,'Debt List'!$F$12)),N(CHOOSE(ET107,CL107,CP107,CT107,CX107,DB107,DF107,DJ107,DN107))+N(CHOOSE(ET107,CM107,CQ107,CU107,CY107,DC107,DG107,DK107,DO107))))),0))</f>
        <v/>
      </c>
      <c r="EV107">
        <f>MIN(N(EU107),MAX(0,N(ES107)))</f>
        <v/>
      </c>
      <c r="EW107">
        <f>MAX(0,N(ES107)-N(EV107))</f>
        <v/>
      </c>
      <c r="FE107" t="n">
        <v>103</v>
      </c>
      <c r="FF107" s="115">
        <f>DATE(YEAR(PlanStart),MONTH(PlanStart)+FE107-1,1)</f>
        <v/>
      </c>
      <c r="FG107">
        <f>IF(AND(GT107&lt;&gt;"",N(CHOOSE(GT107,FN107,FR107,FV107,FZ107,GD107,GH107,GL107,GP107))&gt;0.005),INDEX(DebtNames,GT107),IF(AND(GX107&lt;&gt;"",N(CHOOSE(GX107,FN107,FR107,FV107,FZ107,GD107,GH107,GL107,GP107))&gt;0.005),INDEX(DebtNames,GX107),IF(AND(HB107&lt;&gt;"",N(CHOOSE(HB107,FN107,FR107,FV107,FZ107,GD107,GH107,GL107,GP107))&gt;0.005),INDEX(DebtNames,HB107),IF(AND(HF107&lt;&gt;"",N(CHOOSE(HF107,FN107,FR107,FV107,FZ107,GD107,GH107,GL107,GP107))&gt;0.005),INDEX(DebtNames,HF107),IF(AND(HJ107&lt;&gt;"",N(CHOOSE(HJ107,FN107,FR107,FV107,FZ107,GD107,GH107,GL107,GP107))&gt;0.005),INDEX(DebtNames,HJ107),IF(AND(HN107&lt;&gt;"",N(CHOOSE(HN107,FN107,FR107,FV107,FZ107,GD107,GH107,GL107,GP107))&gt;0.005),INDEX(DebtNames,HN107),IF(AND(HR107&lt;&gt;"",N(CHOOSE(HR107,FN107,FR107,FV107,FZ107,GD107,GH107,GL107,GP107))&gt;0.005),INDEX(DebtNames,HR107),IF(AND(HV107&lt;&gt;"",N(CHOOSE(HV107,FN107,FR107,FV107,FZ107,GD107,GH107,GL107,GP107))&gt;0.005),INDEX(DebtNames,HV107),""))))))))</f>
        <v/>
      </c>
      <c r="FH107">
        <f>N(HY107)</f>
        <v/>
      </c>
      <c r="FI107">
        <f>N(FP107)+N(FT107)+N(FX107)+N(GB107)+N(GF107)+N(GJ107)+N(GN107)+N(GR107)</f>
        <v/>
      </c>
      <c r="FJ107">
        <f>N(FO107)+N(FS107)+N(FW107)+N(GA107)+N(GE107)+N(GI107)+N(GM107)+N(GQ107)</f>
        <v/>
      </c>
      <c r="FK107">
        <f>N(FK106)+N(FJ107)</f>
        <v/>
      </c>
      <c r="FL107">
        <f>N(FQ107)+N(FU107)+N(FY107)+N(GC107)+N(GG107)+N(GK107)+N(GO107)+N(GS107)</f>
        <v/>
      </c>
      <c r="FM107">
        <f>(FQ107&gt;0.005)*1+(FU107&gt;0.005)*1+(FY107&gt;0.005)*1+(GC107&gt;0.005)*1+(GG107&gt;0.005)*1+(GK107&gt;0.005)*1+(GO107&gt;0.005)*1+(GS107&gt;0.005)*1</f>
        <v/>
      </c>
      <c r="FN107">
        <f>N(FQ106)</f>
        <v/>
      </c>
      <c r="FO107">
        <f>IF(N(FN107)&lt;=0.005,0,ROUND(N(FN107)*N('Debt List'!E5)/12,2))</f>
        <v/>
      </c>
      <c r="FP107">
        <f>IF(N(FN107)&lt;=0.005,0,MIN(N('Debt List'!F5),N(FN107)+N(FO107)))+((GT107=1)*GV107+(GX107=1)*GZ107+(HB107=1)*HD107+(HF107=1)*HH107+(HJ107=1)*HL107+(HN107=1)*HP107+(HR107=1)*HT107+(HV107=1)*HX107)</f>
        <v/>
      </c>
      <c r="FQ107">
        <f>MAX(0,ROUND(N(FN107)+N(FO107)-N(FP107),2))</f>
        <v/>
      </c>
      <c r="FR107">
        <f>N(FU106)</f>
        <v/>
      </c>
      <c r="FS107">
        <f>IF(N(FR107)&lt;=0.005,0,ROUND(N(FR107)*N('Debt List'!E6)/12,2))</f>
        <v/>
      </c>
      <c r="FT107">
        <f>IF(N(FR107)&lt;=0.005,0,MIN(N('Debt List'!F6),N(FR107)+N(FS107)))+((GT107=2)*GV107+(GX107=2)*GZ107+(HB107=2)*HD107+(HF107=2)*HH107+(HJ107=2)*HL107+(HN107=2)*HP107+(HR107=2)*HT107+(HV107=2)*HX107)</f>
        <v/>
      </c>
      <c r="FU107">
        <f>MAX(0,ROUND(N(FR107)+N(FS107)-N(FT107),2))</f>
        <v/>
      </c>
      <c r="FV107">
        <f>N(FY106)</f>
        <v/>
      </c>
      <c r="FW107">
        <f>IF(N(FV107)&lt;=0.005,0,ROUND(N(FV107)*N('Debt List'!E7)/12,2))</f>
        <v/>
      </c>
      <c r="FX107">
        <f>IF(N(FV107)&lt;=0.005,0,MIN(N('Debt List'!F7),N(FV107)+N(FW107)))+((GT107=3)*GV107+(GX107=3)*GZ107+(HB107=3)*HD107+(HF107=3)*HH107+(HJ107=3)*HL107+(HN107=3)*HP107+(HR107=3)*HT107+(HV107=3)*HX107)</f>
        <v/>
      </c>
      <c r="FY107">
        <f>MAX(0,ROUND(N(FV107)+N(FW107)-N(FX107),2))</f>
        <v/>
      </c>
      <c r="FZ107">
        <f>N(GC106)</f>
        <v/>
      </c>
      <c r="GA107">
        <f>IF(N(FZ107)&lt;=0.005,0,ROUND(N(FZ107)*N('Debt List'!E8)/12,2))</f>
        <v/>
      </c>
      <c r="GB107">
        <f>IF(N(FZ107)&lt;=0.005,0,MIN(N('Debt List'!F8),N(FZ107)+N(GA107)))+((GT107=4)*GV107+(GX107=4)*GZ107+(HB107=4)*HD107+(HF107=4)*HH107+(HJ107=4)*HL107+(HN107=4)*HP107+(HR107=4)*HT107+(HV107=4)*HX107)</f>
        <v/>
      </c>
      <c r="GC107">
        <f>MAX(0,ROUND(N(FZ107)+N(GA107)-N(GB107),2))</f>
        <v/>
      </c>
      <c r="GD107">
        <f>N(GG106)</f>
        <v/>
      </c>
      <c r="GE107">
        <f>IF(N(GD107)&lt;=0.005,0,ROUND(N(GD107)*N('Debt List'!E9)/12,2))</f>
        <v/>
      </c>
      <c r="GF107">
        <f>IF(N(GD107)&lt;=0.005,0,MIN(N('Debt List'!F9),N(GD107)+N(GE107)))+((GT107=5)*GV107+(GX107=5)*GZ107+(HB107=5)*HD107+(HF107=5)*HH107+(HJ107=5)*HL107+(HN107=5)*HP107+(HR107=5)*HT107+(HV107=5)*HX107)</f>
        <v/>
      </c>
      <c r="GG107">
        <f>MAX(0,ROUND(N(GD107)+N(GE107)-N(GF107),2))</f>
        <v/>
      </c>
      <c r="GH107">
        <f>N(GK106)</f>
        <v/>
      </c>
      <c r="GI107">
        <f>IF(N(GH107)&lt;=0.005,0,ROUND(N(GH107)*N('Debt List'!E10)/12,2))</f>
        <v/>
      </c>
      <c r="GJ107">
        <f>IF(N(GH107)&lt;=0.005,0,MIN(N('Debt List'!F10),N(GH107)+N(GI107)))+((GT107=6)*GV107+(GX107=6)*GZ107+(HB107=6)*HD107+(HF107=6)*HH107+(HJ107=6)*HL107+(HN107=6)*HP107+(HR107=6)*HT107+(HV107=6)*HX107)</f>
        <v/>
      </c>
      <c r="GK107">
        <f>MAX(0,ROUND(N(GH107)+N(GI107)-N(GJ107),2))</f>
        <v/>
      </c>
      <c r="GL107">
        <f>N(GO106)</f>
        <v/>
      </c>
      <c r="GM107">
        <f>IF(N(GL107)&lt;=0.005,0,ROUND(N(GL107)*N('Debt List'!E11)/12,2))</f>
        <v/>
      </c>
      <c r="GN107">
        <f>IF(N(GL107)&lt;=0.005,0,MIN(N('Debt List'!F11),N(GL107)+N(GM107)))+((GT107=7)*GV107+(GX107=7)*GZ107+(HB107=7)*HD107+(HF107=7)*HH107+(HJ107=7)*HL107+(HN107=7)*HP107+(HR107=7)*HT107+(HV107=7)*HX107)</f>
        <v/>
      </c>
      <c r="GO107">
        <f>MAX(0,ROUND(N(GL107)+N(GM107)-N(GN107),2))</f>
        <v/>
      </c>
      <c r="GP107">
        <f>N(GS106)</f>
        <v/>
      </c>
      <c r="GQ107">
        <f>IF(N(GP107)&lt;=0.005,0,ROUND(N(GP107)*N('Debt List'!E12)/12,2))</f>
        <v/>
      </c>
      <c r="GR107">
        <f>IF(N(GP107)&lt;=0.005,0,MIN(N('Debt List'!F12),N(GP107)+N(GQ107)))+((GT107=8)*GV107+(GX107=8)*GZ107+(HB107=8)*HD107+(HF107=8)*HH107+(HJ107=8)*HL107+(HN107=8)*HP107+(HR107=8)*HT107+(HV107=8)*HX107)</f>
        <v/>
      </c>
      <c r="GS107">
        <f>MAX(0,ROUND(N(GP107)+N(GQ107)-N(GR107),2))</f>
        <v/>
      </c>
      <c r="GT107">
        <f>IFERROR(MATCH(1,OrderAval,0),"")</f>
        <v/>
      </c>
      <c r="GU107">
        <f>IF(GT107="",0,IFERROR(IF(N(CHOOSE(GT107,FN107,FR107,FV107,FZ107,GD107,GH107,GL107,GP107))&lt;=0.005,0,MAX(0,N(CHOOSE(GT107,FN107,FR107,FV107,FZ107,GD107,GH107,GL107,GP107))+N(CHOOSE(GT107,FO107,FS107,FW107,GA107,GE107,GI107,GM107,GQ107))-MIN(N(CHOOSE(GT107,'Debt List'!$F$5,'Debt List'!$F$6,'Debt List'!$F$7,'Debt List'!$F$8,'Debt List'!$F$9,'Debt List'!$F$10,'Debt List'!$F$11,'Debt List'!$F$12)),N(CHOOSE(GT107,FN107,FR107,FV107,FZ107,GD107,GH107,GL107,GP107))+N(CHOOSE(GT107,FO107,FS107,FW107,GA107,GE107,GI107,GM107,GQ107))))),0))</f>
        <v/>
      </c>
      <c r="GV107">
        <f>MIN(N(GU107),MAX(0,N(ExtraPayment)))</f>
        <v/>
      </c>
      <c r="GW107">
        <f>MAX(0,N(ExtraPayment)-N(GV107))</f>
        <v/>
      </c>
      <c r="GX107">
        <f>IFERROR(MATCH(2,OrderAval,0),"")</f>
        <v/>
      </c>
      <c r="GY107">
        <f>IF(GX107="",0,IFERROR(IF(N(CHOOSE(GX107,FN107,FR107,FV107,FZ107,GD107,GH107,GL107,GP107))&lt;=0.005,0,MAX(0,N(CHOOSE(GX107,FN107,FR107,FV107,FZ107,GD107,GH107,GL107,GP107))+N(CHOOSE(GX107,FO107,FS107,FW107,GA107,GE107,GI107,GM107,GQ107))-MIN(N(CHOOSE(GX107,'Debt List'!$F$5,'Debt List'!$F$6,'Debt List'!$F$7,'Debt List'!$F$8,'Debt List'!$F$9,'Debt List'!$F$10,'Debt List'!$F$11,'Debt List'!$F$12)),N(CHOOSE(GX107,FN107,FR107,FV107,FZ107,GD107,GH107,GL107,GP107))+N(CHOOSE(GX107,FO107,FS107,FW107,GA107,GE107,GI107,GM107,GQ107))))),0))</f>
        <v/>
      </c>
      <c r="GZ107">
        <f>MIN(N(GY107),MAX(0,N(GW107)))</f>
        <v/>
      </c>
      <c r="HA107">
        <f>MAX(0,N(GW107)-N(GZ107))</f>
        <v/>
      </c>
      <c r="HB107">
        <f>IFERROR(MATCH(3,OrderAval,0),"")</f>
        <v/>
      </c>
      <c r="HC107">
        <f>IF(HB107="",0,IFERROR(IF(N(CHOOSE(HB107,FN107,FR107,FV107,FZ107,GD107,GH107,GL107,GP107))&lt;=0.005,0,MAX(0,N(CHOOSE(HB107,FN107,FR107,FV107,FZ107,GD107,GH107,GL107,GP107))+N(CHOOSE(HB107,FO107,FS107,FW107,GA107,GE107,GI107,GM107,GQ107))-MIN(N(CHOOSE(HB107,'Debt List'!$F$5,'Debt List'!$F$6,'Debt List'!$F$7,'Debt List'!$F$8,'Debt List'!$F$9,'Debt List'!$F$10,'Debt List'!$F$11,'Debt List'!$F$12)),N(CHOOSE(HB107,FN107,FR107,FV107,FZ107,GD107,GH107,GL107,GP107))+N(CHOOSE(HB107,FO107,FS107,FW107,GA107,GE107,GI107,GM107,GQ107))))),0))</f>
        <v/>
      </c>
      <c r="HD107">
        <f>MIN(N(HC107),MAX(0,N(HA107)))</f>
        <v/>
      </c>
      <c r="HE107">
        <f>MAX(0,N(HA107)-N(HD107))</f>
        <v/>
      </c>
      <c r="HF107">
        <f>IFERROR(MATCH(4,OrderAval,0),"")</f>
        <v/>
      </c>
      <c r="HG107">
        <f>IF(HF107="",0,IFERROR(IF(N(CHOOSE(HF107,FN107,FR107,FV107,FZ107,GD107,GH107,GL107,GP107))&lt;=0.005,0,MAX(0,N(CHOOSE(HF107,FN107,FR107,FV107,FZ107,GD107,GH107,GL107,GP107))+N(CHOOSE(HF107,FO107,FS107,FW107,GA107,GE107,GI107,GM107,GQ107))-MIN(N(CHOOSE(HF107,'Debt List'!$F$5,'Debt List'!$F$6,'Debt List'!$F$7,'Debt List'!$F$8,'Debt List'!$F$9,'Debt List'!$F$10,'Debt List'!$F$11,'Debt List'!$F$12)),N(CHOOSE(HF107,FN107,FR107,FV107,FZ107,GD107,GH107,GL107,GP107))+N(CHOOSE(HF107,FO107,FS107,FW107,GA107,GE107,GI107,GM107,GQ107))))),0))</f>
        <v/>
      </c>
      <c r="HH107">
        <f>MIN(N(HG107),MAX(0,N(HE107)))</f>
        <v/>
      </c>
      <c r="HI107">
        <f>MAX(0,N(HE107)-N(HH107))</f>
        <v/>
      </c>
      <c r="HJ107">
        <f>IFERROR(MATCH(5,OrderAval,0),"")</f>
        <v/>
      </c>
      <c r="HK107">
        <f>IF(HJ107="",0,IFERROR(IF(N(CHOOSE(HJ107,FN107,FR107,FV107,FZ107,GD107,GH107,GL107,GP107))&lt;=0.005,0,MAX(0,N(CHOOSE(HJ107,FN107,FR107,FV107,FZ107,GD107,GH107,GL107,GP107))+N(CHOOSE(HJ107,FO107,FS107,FW107,GA107,GE107,GI107,GM107,GQ107))-MIN(N(CHOOSE(HJ107,'Debt List'!$F$5,'Debt List'!$F$6,'Debt List'!$F$7,'Debt List'!$F$8,'Debt List'!$F$9,'Debt List'!$F$10,'Debt List'!$F$11,'Debt List'!$F$12)),N(CHOOSE(HJ107,FN107,FR107,FV107,FZ107,GD107,GH107,GL107,GP107))+N(CHOOSE(HJ107,FO107,FS107,FW107,GA107,GE107,GI107,GM107,GQ107))))),0))</f>
        <v/>
      </c>
      <c r="HL107">
        <f>MIN(N(HK107),MAX(0,N(HI107)))</f>
        <v/>
      </c>
      <c r="HM107">
        <f>MAX(0,N(HI107)-N(HL107))</f>
        <v/>
      </c>
      <c r="HN107">
        <f>IFERROR(MATCH(6,OrderAval,0),"")</f>
        <v/>
      </c>
      <c r="HO107">
        <f>IF(HN107="",0,IFERROR(IF(N(CHOOSE(HN107,FN107,FR107,FV107,FZ107,GD107,GH107,GL107,GP107))&lt;=0.005,0,MAX(0,N(CHOOSE(HN107,FN107,FR107,FV107,FZ107,GD107,GH107,GL107,GP107))+N(CHOOSE(HN107,FO107,FS107,FW107,GA107,GE107,GI107,GM107,GQ107))-MIN(N(CHOOSE(HN107,'Debt List'!$F$5,'Debt List'!$F$6,'Debt List'!$F$7,'Debt List'!$F$8,'Debt List'!$F$9,'Debt List'!$F$10,'Debt List'!$F$11,'Debt List'!$F$12)),N(CHOOSE(HN107,FN107,FR107,FV107,FZ107,GD107,GH107,GL107,GP107))+N(CHOOSE(HN107,FO107,FS107,FW107,GA107,GE107,GI107,GM107,GQ107))))),0))</f>
        <v/>
      </c>
      <c r="HP107">
        <f>MIN(N(HO107),MAX(0,N(HM107)))</f>
        <v/>
      </c>
      <c r="HQ107">
        <f>MAX(0,N(HM107)-N(HP107))</f>
        <v/>
      </c>
      <c r="HR107">
        <f>IFERROR(MATCH(7,OrderAval,0),"")</f>
        <v/>
      </c>
      <c r="HS107">
        <f>IF(HR107="",0,IFERROR(IF(N(CHOOSE(HR107,FN107,FR107,FV107,FZ107,GD107,GH107,GL107,GP107))&lt;=0.005,0,MAX(0,N(CHOOSE(HR107,FN107,FR107,FV107,FZ107,GD107,GH107,GL107,GP107))+N(CHOOSE(HR107,FO107,FS107,FW107,GA107,GE107,GI107,GM107,GQ107))-MIN(N(CHOOSE(HR107,'Debt List'!$F$5,'Debt List'!$F$6,'Debt List'!$F$7,'Debt List'!$F$8,'Debt List'!$F$9,'Debt List'!$F$10,'Debt List'!$F$11,'Debt List'!$F$12)),N(CHOOSE(HR107,FN107,FR107,FV107,FZ107,GD107,GH107,GL107,GP107))+N(CHOOSE(HR107,FO107,FS107,FW107,GA107,GE107,GI107,GM107,GQ107))))),0))</f>
        <v/>
      </c>
      <c r="HT107">
        <f>MIN(N(HS107),MAX(0,N(HQ107)))</f>
        <v/>
      </c>
      <c r="HU107">
        <f>MAX(0,N(HQ107)-N(HT107))</f>
        <v/>
      </c>
      <c r="HV107">
        <f>IFERROR(MATCH(8,OrderAval,0),"")</f>
        <v/>
      </c>
      <c r="HW107">
        <f>IF(HV107="",0,IFERROR(IF(N(CHOOSE(HV107,FN107,FR107,FV107,FZ107,GD107,GH107,GL107,GP107))&lt;=0.005,0,MAX(0,N(CHOOSE(HV107,FN107,FR107,FV107,FZ107,GD107,GH107,GL107,GP107))+N(CHOOSE(HV107,FO107,FS107,FW107,GA107,GE107,GI107,GM107,GQ107))-MIN(N(CHOOSE(HV107,'Debt List'!$F$5,'Debt List'!$F$6,'Debt List'!$F$7,'Debt List'!$F$8,'Debt List'!$F$9,'Debt List'!$F$10,'Debt List'!$F$11,'Debt List'!$F$12)),N(CHOOSE(HV107,FN107,FR107,FV107,FZ107,GD107,GH107,GL107,GP107))+N(CHOOSE(HV107,FO107,FS107,FW107,GA107,GE107,GI107,GM107,GQ107))))),0))</f>
        <v/>
      </c>
      <c r="HX107">
        <f>MIN(N(HW107),MAX(0,N(HU107)))</f>
        <v/>
      </c>
      <c r="HY107">
        <f>MAX(0,N(HU107)-N(HX107))</f>
        <v/>
      </c>
    </row>
    <row r="108">
      <c r="A108" t="n">
        <v>104</v>
      </c>
      <c r="B108" s="115">
        <f>DATE(YEAR(PlanStart),MONTH(PlanStart)+A108-1,1)</f>
        <v/>
      </c>
      <c r="C108">
        <f>IF(AND(AP108&lt;&gt;"",N(CHOOSE(AP108,J108,N108,R108,V108,Z108,AD108,AH108,AL108))&gt;0.005),INDEX(DebtNames,AP108),IF(AND(AT108&lt;&gt;"",N(CHOOSE(AT108,J108,N108,R108,V108,Z108,AD108,AH108,AL108))&gt;0.005),INDEX(DebtNames,AT108),IF(AND(AX108&lt;&gt;"",N(CHOOSE(AX108,J108,N108,R108,V108,Z108,AD108,AH108,AL108))&gt;0.005),INDEX(DebtNames,AX108),IF(AND(BB108&lt;&gt;"",N(CHOOSE(BB108,J108,N108,R108,V108,Z108,AD108,AH108,AL108))&gt;0.005),INDEX(DebtNames,BB108),IF(AND(BF108&lt;&gt;"",N(CHOOSE(BF108,J108,N108,R108,V108,Z108,AD108,AH108,AL108))&gt;0.005),INDEX(DebtNames,BF108),IF(AND(BJ108&lt;&gt;"",N(CHOOSE(BJ108,J108,N108,R108,V108,Z108,AD108,AH108,AL108))&gt;0.005),INDEX(DebtNames,BJ108),IF(AND(BN108&lt;&gt;"",N(CHOOSE(BN108,J108,N108,R108,V108,Z108,AD108,AH108,AL108))&gt;0.005),INDEX(DebtNames,BN108),IF(AND(BR108&lt;&gt;"",N(CHOOSE(BR108,J108,N108,R108,V108,Z108,AD108,AH108,AL108))&gt;0.005),INDEX(DebtNames,BR108),""))))))))</f>
        <v/>
      </c>
      <c r="D108">
        <f>N(BU108)</f>
        <v/>
      </c>
      <c r="E108">
        <f>N(L108)+N(P108)+N(T108)+N(X108)+N(AB108)+N(AF108)+N(AJ108)+N(AN108)</f>
        <v/>
      </c>
      <c r="F108">
        <f>N(K108)+N(O108)+N(S108)+N(W108)+N(AA108)+N(AE108)+N(AI108)+N(AM108)</f>
        <v/>
      </c>
      <c r="G108">
        <f>N(G107)+N(F108)</f>
        <v/>
      </c>
      <c r="H108">
        <f>N(M108)+N(Q108)+N(U108)+N(Y108)+N(AC108)+N(AG108)+N(AK108)+N(AO108)</f>
        <v/>
      </c>
      <c r="I108">
        <f>(M108&gt;0.005)*1+(Q108&gt;0.005)*1+(U108&gt;0.005)*1+(Y108&gt;0.005)*1+(AC108&gt;0.005)*1+(AG108&gt;0.005)*1+(AK108&gt;0.005)*1+(AO108&gt;0.005)*1</f>
        <v/>
      </c>
      <c r="J108">
        <f>N(M107)</f>
        <v/>
      </c>
      <c r="K108">
        <f>IF(N(J108)&lt;=0.005,0,ROUND(N(J108)*N('Debt List'!E5)/12,2))</f>
        <v/>
      </c>
      <c r="L108">
        <f>IF(N(J108)&lt;=0.005,0,MIN(N('Debt List'!F5),N(J108)+N(K108)))+((AP108=1)*AR108+(AT108=1)*AV108+(AX108=1)*AZ108+(BB108=1)*BD108+(BF108=1)*BH108+(BJ108=1)*BL108+(BN108=1)*BP108+(BR108=1)*BT108)</f>
        <v/>
      </c>
      <c r="M108">
        <f>MAX(0,ROUND(N(J108)+N(K108)-N(L108),2))</f>
        <v/>
      </c>
      <c r="N108">
        <f>N(Q107)</f>
        <v/>
      </c>
      <c r="O108">
        <f>IF(N(N108)&lt;=0.005,0,ROUND(N(N108)*N('Debt List'!E6)/12,2))</f>
        <v/>
      </c>
      <c r="P108">
        <f>IF(N(N108)&lt;=0.005,0,MIN(N('Debt List'!F6),N(N108)+N(O108)))+((AP108=2)*AR108+(AT108=2)*AV108+(AX108=2)*AZ108+(BB108=2)*BD108+(BF108=2)*BH108+(BJ108=2)*BL108+(BN108=2)*BP108+(BR108=2)*BT108)</f>
        <v/>
      </c>
      <c r="Q108">
        <f>MAX(0,ROUND(N(N108)+N(O108)-N(P108),2))</f>
        <v/>
      </c>
      <c r="R108">
        <f>N(U107)</f>
        <v/>
      </c>
      <c r="S108">
        <f>IF(N(R108)&lt;=0.005,0,ROUND(N(R108)*N('Debt List'!E7)/12,2))</f>
        <v/>
      </c>
      <c r="T108">
        <f>IF(N(R108)&lt;=0.005,0,MIN(N('Debt List'!F7),N(R108)+N(S108)))+((AP108=3)*AR108+(AT108=3)*AV108+(AX108=3)*AZ108+(BB108=3)*BD108+(BF108=3)*BH108+(BJ108=3)*BL108+(BN108=3)*BP108+(BR108=3)*BT108)</f>
        <v/>
      </c>
      <c r="U108">
        <f>MAX(0,ROUND(N(R108)+N(S108)-N(T108),2))</f>
        <v/>
      </c>
      <c r="V108">
        <f>N(Y107)</f>
        <v/>
      </c>
      <c r="W108">
        <f>IF(N(V108)&lt;=0.005,0,ROUND(N(V108)*N('Debt List'!E8)/12,2))</f>
        <v/>
      </c>
      <c r="X108">
        <f>IF(N(V108)&lt;=0.005,0,MIN(N('Debt List'!F8),N(V108)+N(W108)))+((AP108=4)*AR108+(AT108=4)*AV108+(AX108=4)*AZ108+(BB108=4)*BD108+(BF108=4)*BH108+(BJ108=4)*BL108+(BN108=4)*BP108+(BR108=4)*BT108)</f>
        <v/>
      </c>
      <c r="Y108">
        <f>MAX(0,ROUND(N(V108)+N(W108)-N(X108),2))</f>
        <v/>
      </c>
      <c r="Z108">
        <f>N(AC107)</f>
        <v/>
      </c>
      <c r="AA108">
        <f>IF(N(Z108)&lt;=0.005,0,ROUND(N(Z108)*N('Debt List'!E9)/12,2))</f>
        <v/>
      </c>
      <c r="AB108">
        <f>IF(N(Z108)&lt;=0.005,0,MIN(N('Debt List'!F9),N(Z108)+N(AA108)))+((AP108=5)*AR108+(AT108=5)*AV108+(AX108=5)*AZ108+(BB108=5)*BD108+(BF108=5)*BH108+(BJ108=5)*BL108+(BN108=5)*BP108+(BR108=5)*BT108)</f>
        <v/>
      </c>
      <c r="AC108">
        <f>MAX(0,ROUND(N(Z108)+N(AA108)-N(AB108),2))</f>
        <v/>
      </c>
      <c r="AD108">
        <f>N(AG107)</f>
        <v/>
      </c>
      <c r="AE108">
        <f>IF(N(AD108)&lt;=0.005,0,ROUND(N(AD108)*N('Debt List'!E10)/12,2))</f>
        <v/>
      </c>
      <c r="AF108">
        <f>IF(N(AD108)&lt;=0.005,0,MIN(N('Debt List'!F10),N(AD108)+N(AE108)))+((AP108=6)*AR108+(AT108=6)*AV108+(AX108=6)*AZ108+(BB108=6)*BD108+(BF108=6)*BH108+(BJ108=6)*BL108+(BN108=6)*BP108+(BR108=6)*BT108)</f>
        <v/>
      </c>
      <c r="AG108">
        <f>MAX(0,ROUND(N(AD108)+N(AE108)-N(AF108),2))</f>
        <v/>
      </c>
      <c r="AH108">
        <f>N(AK107)</f>
        <v/>
      </c>
      <c r="AI108">
        <f>IF(N(AH108)&lt;=0.005,0,ROUND(N(AH108)*N('Debt List'!E11)/12,2))</f>
        <v/>
      </c>
      <c r="AJ108">
        <f>IF(N(AH108)&lt;=0.005,0,MIN(N('Debt List'!F11),N(AH108)+N(AI108)))+((AP108=7)*AR108+(AT108=7)*AV108+(AX108=7)*AZ108+(BB108=7)*BD108+(BF108=7)*BH108+(BJ108=7)*BL108+(BN108=7)*BP108+(BR108=7)*BT108)</f>
        <v/>
      </c>
      <c r="AK108">
        <f>MAX(0,ROUND(N(AH108)+N(AI108)-N(AJ108),2))</f>
        <v/>
      </c>
      <c r="AL108">
        <f>N(AO107)</f>
        <v/>
      </c>
      <c r="AM108">
        <f>IF(N(AL108)&lt;=0.005,0,ROUND(N(AL108)*N('Debt List'!E12)/12,2))</f>
        <v/>
      </c>
      <c r="AN108">
        <f>IF(N(AL108)&lt;=0.005,0,MIN(N('Debt List'!F12),N(AL108)+N(AM108)))+((AP108=8)*AR108+(AT108=8)*AV108+(AX108=8)*AZ108+(BB108=8)*BD108+(BF108=8)*BH108+(BJ108=8)*BL108+(BN108=8)*BP108+(BR108=8)*BT108)</f>
        <v/>
      </c>
      <c r="AO108">
        <f>MAX(0,ROUND(N(AL108)+N(AM108)-N(AN108),2))</f>
        <v/>
      </c>
      <c r="AP108">
        <f>IFERROR(MATCH(1,OrderPlan,0),"")</f>
        <v/>
      </c>
      <c r="AQ108">
        <f>IF(AP108="",0,IFERROR(IF(N(CHOOSE(AP108,J108,N108,R108,V108,Z108,AD108,AH108,AL108))&lt;=0.005,0,MAX(0,N(CHOOSE(AP108,J108,N108,R108,V108,Z108,AD108,AH108,AL108))+N(CHOOSE(AP108,K108,O108,S108,W108,AA108,AE108,AI108,AM108))-MIN(N(CHOOSE(AP108,'Debt List'!$F$5,'Debt List'!$F$6,'Debt List'!$F$7,'Debt List'!$F$8,'Debt List'!$F$9,'Debt List'!$F$10,'Debt List'!$F$11,'Debt List'!$F$12)),N(CHOOSE(AP108,J108,N108,R108,V108,Z108,AD108,AH108,AL108))+N(CHOOSE(AP108,K108,O108,S108,W108,AA108,AE108,AI108,AM108))))),0))</f>
        <v/>
      </c>
      <c r="AR108">
        <f>MIN(N(AQ108),MAX(0,N(ExtraPayment)))</f>
        <v/>
      </c>
      <c r="AS108">
        <f>MAX(0,N(ExtraPayment)-N(AR108))</f>
        <v/>
      </c>
      <c r="AT108">
        <f>IFERROR(MATCH(2,OrderPlan,0),"")</f>
        <v/>
      </c>
      <c r="AU108">
        <f>IF(AT108="",0,IFERROR(IF(N(CHOOSE(AT108,J108,N108,R108,V108,Z108,AD108,AH108,AL108))&lt;=0.005,0,MAX(0,N(CHOOSE(AT108,J108,N108,R108,V108,Z108,AD108,AH108,AL108))+N(CHOOSE(AT108,K108,O108,S108,W108,AA108,AE108,AI108,AM108))-MIN(N(CHOOSE(AT108,'Debt List'!$F$5,'Debt List'!$F$6,'Debt List'!$F$7,'Debt List'!$F$8,'Debt List'!$F$9,'Debt List'!$F$10,'Debt List'!$F$11,'Debt List'!$F$12)),N(CHOOSE(AT108,J108,N108,R108,V108,Z108,AD108,AH108,AL108))+N(CHOOSE(AT108,K108,O108,S108,W108,AA108,AE108,AI108,AM108))))),0))</f>
        <v/>
      </c>
      <c r="AV108">
        <f>MIN(N(AU108),MAX(0,N(AS108)))</f>
        <v/>
      </c>
      <c r="AW108">
        <f>MAX(0,N(AS108)-N(AV108))</f>
        <v/>
      </c>
      <c r="AX108">
        <f>IFERROR(MATCH(3,OrderPlan,0),"")</f>
        <v/>
      </c>
      <c r="AY108">
        <f>IF(AX108="",0,IFERROR(IF(N(CHOOSE(AX108,J108,N108,R108,V108,Z108,AD108,AH108,AL108))&lt;=0.005,0,MAX(0,N(CHOOSE(AX108,J108,N108,R108,V108,Z108,AD108,AH108,AL108))+N(CHOOSE(AX108,K108,O108,S108,W108,AA108,AE108,AI108,AM108))-MIN(N(CHOOSE(AX108,'Debt List'!$F$5,'Debt List'!$F$6,'Debt List'!$F$7,'Debt List'!$F$8,'Debt List'!$F$9,'Debt List'!$F$10,'Debt List'!$F$11,'Debt List'!$F$12)),N(CHOOSE(AX108,J108,N108,R108,V108,Z108,AD108,AH108,AL108))+N(CHOOSE(AX108,K108,O108,S108,W108,AA108,AE108,AI108,AM108))))),0))</f>
        <v/>
      </c>
      <c r="AZ108">
        <f>MIN(N(AY108),MAX(0,N(AW108)))</f>
        <v/>
      </c>
      <c r="BA108">
        <f>MAX(0,N(AW108)-N(AZ108))</f>
        <v/>
      </c>
      <c r="BB108">
        <f>IFERROR(MATCH(4,OrderPlan,0),"")</f>
        <v/>
      </c>
      <c r="BC108">
        <f>IF(BB108="",0,IFERROR(IF(N(CHOOSE(BB108,J108,N108,R108,V108,Z108,AD108,AH108,AL108))&lt;=0.005,0,MAX(0,N(CHOOSE(BB108,J108,N108,R108,V108,Z108,AD108,AH108,AL108))+N(CHOOSE(BB108,K108,O108,S108,W108,AA108,AE108,AI108,AM108))-MIN(N(CHOOSE(BB108,'Debt List'!$F$5,'Debt List'!$F$6,'Debt List'!$F$7,'Debt List'!$F$8,'Debt List'!$F$9,'Debt List'!$F$10,'Debt List'!$F$11,'Debt List'!$F$12)),N(CHOOSE(BB108,J108,N108,R108,V108,Z108,AD108,AH108,AL108))+N(CHOOSE(BB108,K108,O108,S108,W108,AA108,AE108,AI108,AM108))))),0))</f>
        <v/>
      </c>
      <c r="BD108">
        <f>MIN(N(BC108),MAX(0,N(BA108)))</f>
        <v/>
      </c>
      <c r="BE108">
        <f>MAX(0,N(BA108)-N(BD108))</f>
        <v/>
      </c>
      <c r="BF108">
        <f>IFERROR(MATCH(5,OrderPlan,0),"")</f>
        <v/>
      </c>
      <c r="BG108">
        <f>IF(BF108="",0,IFERROR(IF(N(CHOOSE(BF108,J108,N108,R108,V108,Z108,AD108,AH108,AL108))&lt;=0.005,0,MAX(0,N(CHOOSE(BF108,J108,N108,R108,V108,Z108,AD108,AH108,AL108))+N(CHOOSE(BF108,K108,O108,S108,W108,AA108,AE108,AI108,AM108))-MIN(N(CHOOSE(BF108,'Debt List'!$F$5,'Debt List'!$F$6,'Debt List'!$F$7,'Debt List'!$F$8,'Debt List'!$F$9,'Debt List'!$F$10,'Debt List'!$F$11,'Debt List'!$F$12)),N(CHOOSE(BF108,J108,N108,R108,V108,Z108,AD108,AH108,AL108))+N(CHOOSE(BF108,K108,O108,S108,W108,AA108,AE108,AI108,AM108))))),0))</f>
        <v/>
      </c>
      <c r="BH108">
        <f>MIN(N(BG108),MAX(0,N(BE108)))</f>
        <v/>
      </c>
      <c r="BI108">
        <f>MAX(0,N(BE108)-N(BH108))</f>
        <v/>
      </c>
      <c r="BJ108">
        <f>IFERROR(MATCH(6,OrderPlan,0),"")</f>
        <v/>
      </c>
      <c r="BK108">
        <f>IF(BJ108="",0,IFERROR(IF(N(CHOOSE(BJ108,J108,N108,R108,V108,Z108,AD108,AH108,AL108))&lt;=0.005,0,MAX(0,N(CHOOSE(BJ108,J108,N108,R108,V108,Z108,AD108,AH108,AL108))+N(CHOOSE(BJ108,K108,O108,S108,W108,AA108,AE108,AI108,AM108))-MIN(N(CHOOSE(BJ108,'Debt List'!$F$5,'Debt List'!$F$6,'Debt List'!$F$7,'Debt List'!$F$8,'Debt List'!$F$9,'Debt List'!$F$10,'Debt List'!$F$11,'Debt List'!$F$12)),N(CHOOSE(BJ108,J108,N108,R108,V108,Z108,AD108,AH108,AL108))+N(CHOOSE(BJ108,K108,O108,S108,W108,AA108,AE108,AI108,AM108))))),0))</f>
        <v/>
      </c>
      <c r="BL108">
        <f>MIN(N(BK108),MAX(0,N(BI108)))</f>
        <v/>
      </c>
      <c r="BM108">
        <f>MAX(0,N(BI108)-N(BL108))</f>
        <v/>
      </c>
      <c r="BN108">
        <f>IFERROR(MATCH(7,OrderPlan,0),"")</f>
        <v/>
      </c>
      <c r="BO108">
        <f>IF(BN108="",0,IFERROR(IF(N(CHOOSE(BN108,J108,N108,R108,V108,Z108,AD108,AH108,AL108))&lt;=0.005,0,MAX(0,N(CHOOSE(BN108,J108,N108,R108,V108,Z108,AD108,AH108,AL108))+N(CHOOSE(BN108,K108,O108,S108,W108,AA108,AE108,AI108,AM108))-MIN(N(CHOOSE(BN108,'Debt List'!$F$5,'Debt List'!$F$6,'Debt List'!$F$7,'Debt List'!$F$8,'Debt List'!$F$9,'Debt List'!$F$10,'Debt List'!$F$11,'Debt List'!$F$12)),N(CHOOSE(BN108,J108,N108,R108,V108,Z108,AD108,AH108,AL108))+N(CHOOSE(BN108,K108,O108,S108,W108,AA108,AE108,AI108,AM108))))),0))</f>
        <v/>
      </c>
      <c r="BP108">
        <f>MIN(N(BO108),MAX(0,N(BM108)))</f>
        <v/>
      </c>
      <c r="BQ108">
        <f>MAX(0,N(BM108)-N(BP108))</f>
        <v/>
      </c>
      <c r="BR108">
        <f>IFERROR(MATCH(8,OrderPlan,0),"")</f>
        <v/>
      </c>
      <c r="BS108">
        <f>IF(BR108="",0,IFERROR(IF(N(CHOOSE(BR108,J108,N108,R108,V108,Z108,AD108,AH108,AL108))&lt;=0.005,0,MAX(0,N(CHOOSE(BR108,J108,N108,R108,V108,Z108,AD108,AH108,AL108))+N(CHOOSE(BR108,K108,O108,S108,W108,AA108,AE108,AI108,AM108))-MIN(N(CHOOSE(BR108,'Debt List'!$F$5,'Debt List'!$F$6,'Debt List'!$F$7,'Debt List'!$F$8,'Debt List'!$F$9,'Debt List'!$F$10,'Debt List'!$F$11,'Debt List'!$F$12)),N(CHOOSE(BR108,J108,N108,R108,V108,Z108,AD108,AH108,AL108))+N(CHOOSE(BR108,K108,O108,S108,W108,AA108,AE108,AI108,AM108))))),0))</f>
        <v/>
      </c>
      <c r="BT108">
        <f>MIN(N(BS108),MAX(0,N(BQ108)))</f>
        <v/>
      </c>
      <c r="BU108">
        <f>MAX(0,N(BQ108)-N(BT108))</f>
        <v/>
      </c>
      <c r="CC108" t="n">
        <v>104</v>
      </c>
      <c r="CD108" s="115">
        <f>DATE(YEAR(PlanStart),MONTH(PlanStart)+CC108-1,1)</f>
        <v/>
      </c>
      <c r="CE108">
        <f>IF(AND(DR108&lt;&gt;"",N(CHOOSE(DR108,CL108,CP108,CT108,CX108,DB108,DF108,DJ108,DN108))&gt;0.005),INDEX(DebtNames,DR108),IF(AND(DV108&lt;&gt;"",N(CHOOSE(DV108,CL108,CP108,CT108,CX108,DB108,DF108,DJ108,DN108))&gt;0.005),INDEX(DebtNames,DV108),IF(AND(DZ108&lt;&gt;"",N(CHOOSE(DZ108,CL108,CP108,CT108,CX108,DB108,DF108,DJ108,DN108))&gt;0.005),INDEX(DebtNames,DZ108),IF(AND(ED108&lt;&gt;"",N(CHOOSE(ED108,CL108,CP108,CT108,CX108,DB108,DF108,DJ108,DN108))&gt;0.005),INDEX(DebtNames,ED108),IF(AND(EH108&lt;&gt;"",N(CHOOSE(EH108,CL108,CP108,CT108,CX108,DB108,DF108,DJ108,DN108))&gt;0.005),INDEX(DebtNames,EH108),IF(AND(EL108&lt;&gt;"",N(CHOOSE(EL108,CL108,CP108,CT108,CX108,DB108,DF108,DJ108,DN108))&gt;0.005),INDEX(DebtNames,EL108),IF(AND(EP108&lt;&gt;"",N(CHOOSE(EP108,CL108,CP108,CT108,CX108,DB108,DF108,DJ108,DN108))&gt;0.005),INDEX(DebtNames,EP108),IF(AND(ET108&lt;&gt;"",N(CHOOSE(ET108,CL108,CP108,CT108,CX108,DB108,DF108,DJ108,DN108))&gt;0.005),INDEX(DebtNames,ET108),""))))))))</f>
        <v/>
      </c>
      <c r="CF108">
        <f>N(EW108)</f>
        <v/>
      </c>
      <c r="CG108">
        <f>N(CN108)+N(CR108)+N(CV108)+N(CZ108)+N(DD108)+N(DH108)+N(DL108)+N(DP108)</f>
        <v/>
      </c>
      <c r="CH108">
        <f>N(CM108)+N(CQ108)+N(CU108)+N(CY108)+N(DC108)+N(DG108)+N(DK108)+N(DO108)</f>
        <v/>
      </c>
      <c r="CI108">
        <f>N(CI107)+N(CH108)</f>
        <v/>
      </c>
      <c r="CJ108">
        <f>N(CO108)+N(CS108)+N(CW108)+N(DA108)+N(DE108)+N(DI108)+N(DM108)+N(DQ108)</f>
        <v/>
      </c>
      <c r="CK108">
        <f>(CO108&gt;0.005)*1+(CS108&gt;0.005)*1+(CW108&gt;0.005)*1+(DA108&gt;0.005)*1+(DE108&gt;0.005)*1+(DI108&gt;0.005)*1+(DM108&gt;0.005)*1+(DQ108&gt;0.005)*1</f>
        <v/>
      </c>
      <c r="CL108">
        <f>N(CO107)</f>
        <v/>
      </c>
      <c r="CM108">
        <f>IF(N(CL108)&lt;=0.005,0,ROUND(N(CL108)*N('Debt List'!E5)/12,2))</f>
        <v/>
      </c>
      <c r="CN108">
        <f>IF(N(CL108)&lt;=0.005,0,MIN(N('Debt List'!F5),N(CL108)+N(CM108)))+((DR108=1)*DT108+(DV108=1)*DX108+(DZ108=1)*EB108+(ED108=1)*EF108+(EH108=1)*EJ108+(EL108=1)*EN108+(EP108=1)*ER108+(ET108=1)*EV108)</f>
        <v/>
      </c>
      <c r="CO108">
        <f>MAX(0,ROUND(N(CL108)+N(CM108)-N(CN108),2))</f>
        <v/>
      </c>
      <c r="CP108">
        <f>N(CS107)</f>
        <v/>
      </c>
      <c r="CQ108">
        <f>IF(N(CP108)&lt;=0.005,0,ROUND(N(CP108)*N('Debt List'!E6)/12,2))</f>
        <v/>
      </c>
      <c r="CR108">
        <f>IF(N(CP108)&lt;=0.005,0,MIN(N('Debt List'!F6),N(CP108)+N(CQ108)))+((DR108=2)*DT108+(DV108=2)*DX108+(DZ108=2)*EB108+(ED108=2)*EF108+(EH108=2)*EJ108+(EL108=2)*EN108+(EP108=2)*ER108+(ET108=2)*EV108)</f>
        <v/>
      </c>
      <c r="CS108">
        <f>MAX(0,ROUND(N(CP108)+N(CQ108)-N(CR108),2))</f>
        <v/>
      </c>
      <c r="CT108">
        <f>N(CW107)</f>
        <v/>
      </c>
      <c r="CU108">
        <f>IF(N(CT108)&lt;=0.005,0,ROUND(N(CT108)*N('Debt List'!E7)/12,2))</f>
        <v/>
      </c>
      <c r="CV108">
        <f>IF(N(CT108)&lt;=0.005,0,MIN(N('Debt List'!F7),N(CT108)+N(CU108)))+((DR108=3)*DT108+(DV108=3)*DX108+(DZ108=3)*EB108+(ED108=3)*EF108+(EH108=3)*EJ108+(EL108=3)*EN108+(EP108=3)*ER108+(ET108=3)*EV108)</f>
        <v/>
      </c>
      <c r="CW108">
        <f>MAX(0,ROUND(N(CT108)+N(CU108)-N(CV108),2))</f>
        <v/>
      </c>
      <c r="CX108">
        <f>N(DA107)</f>
        <v/>
      </c>
      <c r="CY108">
        <f>IF(N(CX108)&lt;=0.005,0,ROUND(N(CX108)*N('Debt List'!E8)/12,2))</f>
        <v/>
      </c>
      <c r="CZ108">
        <f>IF(N(CX108)&lt;=0.005,0,MIN(N('Debt List'!F8),N(CX108)+N(CY108)))+((DR108=4)*DT108+(DV108=4)*DX108+(DZ108=4)*EB108+(ED108=4)*EF108+(EH108=4)*EJ108+(EL108=4)*EN108+(EP108=4)*ER108+(ET108=4)*EV108)</f>
        <v/>
      </c>
      <c r="DA108">
        <f>MAX(0,ROUND(N(CX108)+N(CY108)-N(CZ108),2))</f>
        <v/>
      </c>
      <c r="DB108">
        <f>N(DE107)</f>
        <v/>
      </c>
      <c r="DC108">
        <f>IF(N(DB108)&lt;=0.005,0,ROUND(N(DB108)*N('Debt List'!E9)/12,2))</f>
        <v/>
      </c>
      <c r="DD108">
        <f>IF(N(DB108)&lt;=0.005,0,MIN(N('Debt List'!F9),N(DB108)+N(DC108)))+((DR108=5)*DT108+(DV108=5)*DX108+(DZ108=5)*EB108+(ED108=5)*EF108+(EH108=5)*EJ108+(EL108=5)*EN108+(EP108=5)*ER108+(ET108=5)*EV108)</f>
        <v/>
      </c>
      <c r="DE108">
        <f>MAX(0,ROUND(N(DB108)+N(DC108)-N(DD108),2))</f>
        <v/>
      </c>
      <c r="DF108">
        <f>N(DI107)</f>
        <v/>
      </c>
      <c r="DG108">
        <f>IF(N(DF108)&lt;=0.005,0,ROUND(N(DF108)*N('Debt List'!E10)/12,2))</f>
        <v/>
      </c>
      <c r="DH108">
        <f>IF(N(DF108)&lt;=0.005,0,MIN(N('Debt List'!F10),N(DF108)+N(DG108)))+((DR108=6)*DT108+(DV108=6)*DX108+(DZ108=6)*EB108+(ED108=6)*EF108+(EH108=6)*EJ108+(EL108=6)*EN108+(EP108=6)*ER108+(ET108=6)*EV108)</f>
        <v/>
      </c>
      <c r="DI108">
        <f>MAX(0,ROUND(N(DF108)+N(DG108)-N(DH108),2))</f>
        <v/>
      </c>
      <c r="DJ108">
        <f>N(DM107)</f>
        <v/>
      </c>
      <c r="DK108">
        <f>IF(N(DJ108)&lt;=0.005,0,ROUND(N(DJ108)*N('Debt List'!E11)/12,2))</f>
        <v/>
      </c>
      <c r="DL108">
        <f>IF(N(DJ108)&lt;=0.005,0,MIN(N('Debt List'!F11),N(DJ108)+N(DK108)))+((DR108=7)*DT108+(DV108=7)*DX108+(DZ108=7)*EB108+(ED108=7)*EF108+(EH108=7)*EJ108+(EL108=7)*EN108+(EP108=7)*ER108+(ET108=7)*EV108)</f>
        <v/>
      </c>
      <c r="DM108">
        <f>MAX(0,ROUND(N(DJ108)+N(DK108)-N(DL108),2))</f>
        <v/>
      </c>
      <c r="DN108">
        <f>N(DQ107)</f>
        <v/>
      </c>
      <c r="DO108">
        <f>IF(N(DN108)&lt;=0.005,0,ROUND(N(DN108)*N('Debt List'!E12)/12,2))</f>
        <v/>
      </c>
      <c r="DP108">
        <f>IF(N(DN108)&lt;=0.005,0,MIN(N('Debt List'!F12),N(DN108)+N(DO108)))+((DR108=8)*DT108+(DV108=8)*DX108+(DZ108=8)*EB108+(ED108=8)*EF108+(EH108=8)*EJ108+(EL108=8)*EN108+(EP108=8)*ER108+(ET108=8)*EV108)</f>
        <v/>
      </c>
      <c r="DQ108">
        <f>MAX(0,ROUND(N(DN108)+N(DO108)-N(DP108),2))</f>
        <v/>
      </c>
      <c r="DR108">
        <f>IFERROR(MATCH(1,OrderSnow,0),"")</f>
        <v/>
      </c>
      <c r="DS108">
        <f>IF(DR108="",0,IFERROR(IF(N(CHOOSE(DR108,CL108,CP108,CT108,CX108,DB108,DF108,DJ108,DN108))&lt;=0.005,0,MAX(0,N(CHOOSE(DR108,CL108,CP108,CT108,CX108,DB108,DF108,DJ108,DN108))+N(CHOOSE(DR108,CM108,CQ108,CU108,CY108,DC108,DG108,DK108,DO108))-MIN(N(CHOOSE(DR108,'Debt List'!$F$5,'Debt List'!$F$6,'Debt List'!$F$7,'Debt List'!$F$8,'Debt List'!$F$9,'Debt List'!$F$10,'Debt List'!$F$11,'Debt List'!$F$12)),N(CHOOSE(DR108,CL108,CP108,CT108,CX108,DB108,DF108,DJ108,DN108))+N(CHOOSE(DR108,CM108,CQ108,CU108,CY108,DC108,DG108,DK108,DO108))))),0))</f>
        <v/>
      </c>
      <c r="DT108">
        <f>MIN(N(DS108),MAX(0,N(ExtraPayment)))</f>
        <v/>
      </c>
      <c r="DU108">
        <f>MAX(0,N(ExtraPayment)-N(DT108))</f>
        <v/>
      </c>
      <c r="DV108">
        <f>IFERROR(MATCH(2,OrderSnow,0),"")</f>
        <v/>
      </c>
      <c r="DW108">
        <f>IF(DV108="",0,IFERROR(IF(N(CHOOSE(DV108,CL108,CP108,CT108,CX108,DB108,DF108,DJ108,DN108))&lt;=0.005,0,MAX(0,N(CHOOSE(DV108,CL108,CP108,CT108,CX108,DB108,DF108,DJ108,DN108))+N(CHOOSE(DV108,CM108,CQ108,CU108,CY108,DC108,DG108,DK108,DO108))-MIN(N(CHOOSE(DV108,'Debt List'!$F$5,'Debt List'!$F$6,'Debt List'!$F$7,'Debt List'!$F$8,'Debt List'!$F$9,'Debt List'!$F$10,'Debt List'!$F$11,'Debt List'!$F$12)),N(CHOOSE(DV108,CL108,CP108,CT108,CX108,DB108,DF108,DJ108,DN108))+N(CHOOSE(DV108,CM108,CQ108,CU108,CY108,DC108,DG108,DK108,DO108))))),0))</f>
        <v/>
      </c>
      <c r="DX108">
        <f>MIN(N(DW108),MAX(0,N(DU108)))</f>
        <v/>
      </c>
      <c r="DY108">
        <f>MAX(0,N(DU108)-N(DX108))</f>
        <v/>
      </c>
      <c r="DZ108">
        <f>IFERROR(MATCH(3,OrderSnow,0),"")</f>
        <v/>
      </c>
      <c r="EA108">
        <f>IF(DZ108="",0,IFERROR(IF(N(CHOOSE(DZ108,CL108,CP108,CT108,CX108,DB108,DF108,DJ108,DN108))&lt;=0.005,0,MAX(0,N(CHOOSE(DZ108,CL108,CP108,CT108,CX108,DB108,DF108,DJ108,DN108))+N(CHOOSE(DZ108,CM108,CQ108,CU108,CY108,DC108,DG108,DK108,DO108))-MIN(N(CHOOSE(DZ108,'Debt List'!$F$5,'Debt List'!$F$6,'Debt List'!$F$7,'Debt List'!$F$8,'Debt List'!$F$9,'Debt List'!$F$10,'Debt List'!$F$11,'Debt List'!$F$12)),N(CHOOSE(DZ108,CL108,CP108,CT108,CX108,DB108,DF108,DJ108,DN108))+N(CHOOSE(DZ108,CM108,CQ108,CU108,CY108,DC108,DG108,DK108,DO108))))),0))</f>
        <v/>
      </c>
      <c r="EB108">
        <f>MIN(N(EA108),MAX(0,N(DY108)))</f>
        <v/>
      </c>
      <c r="EC108">
        <f>MAX(0,N(DY108)-N(EB108))</f>
        <v/>
      </c>
      <c r="ED108">
        <f>IFERROR(MATCH(4,OrderSnow,0),"")</f>
        <v/>
      </c>
      <c r="EE108">
        <f>IF(ED108="",0,IFERROR(IF(N(CHOOSE(ED108,CL108,CP108,CT108,CX108,DB108,DF108,DJ108,DN108))&lt;=0.005,0,MAX(0,N(CHOOSE(ED108,CL108,CP108,CT108,CX108,DB108,DF108,DJ108,DN108))+N(CHOOSE(ED108,CM108,CQ108,CU108,CY108,DC108,DG108,DK108,DO108))-MIN(N(CHOOSE(ED108,'Debt List'!$F$5,'Debt List'!$F$6,'Debt List'!$F$7,'Debt List'!$F$8,'Debt List'!$F$9,'Debt List'!$F$10,'Debt List'!$F$11,'Debt List'!$F$12)),N(CHOOSE(ED108,CL108,CP108,CT108,CX108,DB108,DF108,DJ108,DN108))+N(CHOOSE(ED108,CM108,CQ108,CU108,CY108,DC108,DG108,DK108,DO108))))),0))</f>
        <v/>
      </c>
      <c r="EF108">
        <f>MIN(N(EE108),MAX(0,N(EC108)))</f>
        <v/>
      </c>
      <c r="EG108">
        <f>MAX(0,N(EC108)-N(EF108))</f>
        <v/>
      </c>
      <c r="EH108">
        <f>IFERROR(MATCH(5,OrderSnow,0),"")</f>
        <v/>
      </c>
      <c r="EI108">
        <f>IF(EH108="",0,IFERROR(IF(N(CHOOSE(EH108,CL108,CP108,CT108,CX108,DB108,DF108,DJ108,DN108))&lt;=0.005,0,MAX(0,N(CHOOSE(EH108,CL108,CP108,CT108,CX108,DB108,DF108,DJ108,DN108))+N(CHOOSE(EH108,CM108,CQ108,CU108,CY108,DC108,DG108,DK108,DO108))-MIN(N(CHOOSE(EH108,'Debt List'!$F$5,'Debt List'!$F$6,'Debt List'!$F$7,'Debt List'!$F$8,'Debt List'!$F$9,'Debt List'!$F$10,'Debt List'!$F$11,'Debt List'!$F$12)),N(CHOOSE(EH108,CL108,CP108,CT108,CX108,DB108,DF108,DJ108,DN108))+N(CHOOSE(EH108,CM108,CQ108,CU108,CY108,DC108,DG108,DK108,DO108))))),0))</f>
        <v/>
      </c>
      <c r="EJ108">
        <f>MIN(N(EI108),MAX(0,N(EG108)))</f>
        <v/>
      </c>
      <c r="EK108">
        <f>MAX(0,N(EG108)-N(EJ108))</f>
        <v/>
      </c>
      <c r="EL108">
        <f>IFERROR(MATCH(6,OrderSnow,0),"")</f>
        <v/>
      </c>
      <c r="EM108">
        <f>IF(EL108="",0,IFERROR(IF(N(CHOOSE(EL108,CL108,CP108,CT108,CX108,DB108,DF108,DJ108,DN108))&lt;=0.005,0,MAX(0,N(CHOOSE(EL108,CL108,CP108,CT108,CX108,DB108,DF108,DJ108,DN108))+N(CHOOSE(EL108,CM108,CQ108,CU108,CY108,DC108,DG108,DK108,DO108))-MIN(N(CHOOSE(EL108,'Debt List'!$F$5,'Debt List'!$F$6,'Debt List'!$F$7,'Debt List'!$F$8,'Debt List'!$F$9,'Debt List'!$F$10,'Debt List'!$F$11,'Debt List'!$F$12)),N(CHOOSE(EL108,CL108,CP108,CT108,CX108,DB108,DF108,DJ108,DN108))+N(CHOOSE(EL108,CM108,CQ108,CU108,CY108,DC108,DG108,DK108,DO108))))),0))</f>
        <v/>
      </c>
      <c r="EN108">
        <f>MIN(N(EM108),MAX(0,N(EK108)))</f>
        <v/>
      </c>
      <c r="EO108">
        <f>MAX(0,N(EK108)-N(EN108))</f>
        <v/>
      </c>
      <c r="EP108">
        <f>IFERROR(MATCH(7,OrderSnow,0),"")</f>
        <v/>
      </c>
      <c r="EQ108">
        <f>IF(EP108="",0,IFERROR(IF(N(CHOOSE(EP108,CL108,CP108,CT108,CX108,DB108,DF108,DJ108,DN108))&lt;=0.005,0,MAX(0,N(CHOOSE(EP108,CL108,CP108,CT108,CX108,DB108,DF108,DJ108,DN108))+N(CHOOSE(EP108,CM108,CQ108,CU108,CY108,DC108,DG108,DK108,DO108))-MIN(N(CHOOSE(EP108,'Debt List'!$F$5,'Debt List'!$F$6,'Debt List'!$F$7,'Debt List'!$F$8,'Debt List'!$F$9,'Debt List'!$F$10,'Debt List'!$F$11,'Debt List'!$F$12)),N(CHOOSE(EP108,CL108,CP108,CT108,CX108,DB108,DF108,DJ108,DN108))+N(CHOOSE(EP108,CM108,CQ108,CU108,CY108,DC108,DG108,DK108,DO108))))),0))</f>
        <v/>
      </c>
      <c r="ER108">
        <f>MIN(N(EQ108),MAX(0,N(EO108)))</f>
        <v/>
      </c>
      <c r="ES108">
        <f>MAX(0,N(EO108)-N(ER108))</f>
        <v/>
      </c>
      <c r="ET108">
        <f>IFERROR(MATCH(8,OrderSnow,0),"")</f>
        <v/>
      </c>
      <c r="EU108">
        <f>IF(ET108="",0,IFERROR(IF(N(CHOOSE(ET108,CL108,CP108,CT108,CX108,DB108,DF108,DJ108,DN108))&lt;=0.005,0,MAX(0,N(CHOOSE(ET108,CL108,CP108,CT108,CX108,DB108,DF108,DJ108,DN108))+N(CHOOSE(ET108,CM108,CQ108,CU108,CY108,DC108,DG108,DK108,DO108))-MIN(N(CHOOSE(ET108,'Debt List'!$F$5,'Debt List'!$F$6,'Debt List'!$F$7,'Debt List'!$F$8,'Debt List'!$F$9,'Debt List'!$F$10,'Debt List'!$F$11,'Debt List'!$F$12)),N(CHOOSE(ET108,CL108,CP108,CT108,CX108,DB108,DF108,DJ108,DN108))+N(CHOOSE(ET108,CM108,CQ108,CU108,CY108,DC108,DG108,DK108,DO108))))),0))</f>
        <v/>
      </c>
      <c r="EV108">
        <f>MIN(N(EU108),MAX(0,N(ES108)))</f>
        <v/>
      </c>
      <c r="EW108">
        <f>MAX(0,N(ES108)-N(EV108))</f>
        <v/>
      </c>
      <c r="FE108" t="n">
        <v>104</v>
      </c>
      <c r="FF108" s="115">
        <f>DATE(YEAR(PlanStart),MONTH(PlanStart)+FE108-1,1)</f>
        <v/>
      </c>
      <c r="FG108">
        <f>IF(AND(GT108&lt;&gt;"",N(CHOOSE(GT108,FN108,FR108,FV108,FZ108,GD108,GH108,GL108,GP108))&gt;0.005),INDEX(DebtNames,GT108),IF(AND(GX108&lt;&gt;"",N(CHOOSE(GX108,FN108,FR108,FV108,FZ108,GD108,GH108,GL108,GP108))&gt;0.005),INDEX(DebtNames,GX108),IF(AND(HB108&lt;&gt;"",N(CHOOSE(HB108,FN108,FR108,FV108,FZ108,GD108,GH108,GL108,GP108))&gt;0.005),INDEX(DebtNames,HB108),IF(AND(HF108&lt;&gt;"",N(CHOOSE(HF108,FN108,FR108,FV108,FZ108,GD108,GH108,GL108,GP108))&gt;0.005),INDEX(DebtNames,HF108),IF(AND(HJ108&lt;&gt;"",N(CHOOSE(HJ108,FN108,FR108,FV108,FZ108,GD108,GH108,GL108,GP108))&gt;0.005),INDEX(DebtNames,HJ108),IF(AND(HN108&lt;&gt;"",N(CHOOSE(HN108,FN108,FR108,FV108,FZ108,GD108,GH108,GL108,GP108))&gt;0.005),INDEX(DebtNames,HN108),IF(AND(HR108&lt;&gt;"",N(CHOOSE(HR108,FN108,FR108,FV108,FZ108,GD108,GH108,GL108,GP108))&gt;0.005),INDEX(DebtNames,HR108),IF(AND(HV108&lt;&gt;"",N(CHOOSE(HV108,FN108,FR108,FV108,FZ108,GD108,GH108,GL108,GP108))&gt;0.005),INDEX(DebtNames,HV108),""))))))))</f>
        <v/>
      </c>
      <c r="FH108">
        <f>N(HY108)</f>
        <v/>
      </c>
      <c r="FI108">
        <f>N(FP108)+N(FT108)+N(FX108)+N(GB108)+N(GF108)+N(GJ108)+N(GN108)+N(GR108)</f>
        <v/>
      </c>
      <c r="FJ108">
        <f>N(FO108)+N(FS108)+N(FW108)+N(GA108)+N(GE108)+N(GI108)+N(GM108)+N(GQ108)</f>
        <v/>
      </c>
      <c r="FK108">
        <f>N(FK107)+N(FJ108)</f>
        <v/>
      </c>
      <c r="FL108">
        <f>N(FQ108)+N(FU108)+N(FY108)+N(GC108)+N(GG108)+N(GK108)+N(GO108)+N(GS108)</f>
        <v/>
      </c>
      <c r="FM108">
        <f>(FQ108&gt;0.005)*1+(FU108&gt;0.005)*1+(FY108&gt;0.005)*1+(GC108&gt;0.005)*1+(GG108&gt;0.005)*1+(GK108&gt;0.005)*1+(GO108&gt;0.005)*1+(GS108&gt;0.005)*1</f>
        <v/>
      </c>
      <c r="FN108">
        <f>N(FQ107)</f>
        <v/>
      </c>
      <c r="FO108">
        <f>IF(N(FN108)&lt;=0.005,0,ROUND(N(FN108)*N('Debt List'!E5)/12,2))</f>
        <v/>
      </c>
      <c r="FP108">
        <f>IF(N(FN108)&lt;=0.005,0,MIN(N('Debt List'!F5),N(FN108)+N(FO108)))+((GT108=1)*GV108+(GX108=1)*GZ108+(HB108=1)*HD108+(HF108=1)*HH108+(HJ108=1)*HL108+(HN108=1)*HP108+(HR108=1)*HT108+(HV108=1)*HX108)</f>
        <v/>
      </c>
      <c r="FQ108">
        <f>MAX(0,ROUND(N(FN108)+N(FO108)-N(FP108),2))</f>
        <v/>
      </c>
      <c r="FR108">
        <f>N(FU107)</f>
        <v/>
      </c>
      <c r="FS108">
        <f>IF(N(FR108)&lt;=0.005,0,ROUND(N(FR108)*N('Debt List'!E6)/12,2))</f>
        <v/>
      </c>
      <c r="FT108">
        <f>IF(N(FR108)&lt;=0.005,0,MIN(N('Debt List'!F6),N(FR108)+N(FS108)))+((GT108=2)*GV108+(GX108=2)*GZ108+(HB108=2)*HD108+(HF108=2)*HH108+(HJ108=2)*HL108+(HN108=2)*HP108+(HR108=2)*HT108+(HV108=2)*HX108)</f>
        <v/>
      </c>
      <c r="FU108">
        <f>MAX(0,ROUND(N(FR108)+N(FS108)-N(FT108),2))</f>
        <v/>
      </c>
      <c r="FV108">
        <f>N(FY107)</f>
        <v/>
      </c>
      <c r="FW108">
        <f>IF(N(FV108)&lt;=0.005,0,ROUND(N(FV108)*N('Debt List'!E7)/12,2))</f>
        <v/>
      </c>
      <c r="FX108">
        <f>IF(N(FV108)&lt;=0.005,0,MIN(N('Debt List'!F7),N(FV108)+N(FW108)))+((GT108=3)*GV108+(GX108=3)*GZ108+(HB108=3)*HD108+(HF108=3)*HH108+(HJ108=3)*HL108+(HN108=3)*HP108+(HR108=3)*HT108+(HV108=3)*HX108)</f>
        <v/>
      </c>
      <c r="FY108">
        <f>MAX(0,ROUND(N(FV108)+N(FW108)-N(FX108),2))</f>
        <v/>
      </c>
      <c r="FZ108">
        <f>N(GC107)</f>
        <v/>
      </c>
      <c r="GA108">
        <f>IF(N(FZ108)&lt;=0.005,0,ROUND(N(FZ108)*N('Debt List'!E8)/12,2))</f>
        <v/>
      </c>
      <c r="GB108">
        <f>IF(N(FZ108)&lt;=0.005,0,MIN(N('Debt List'!F8),N(FZ108)+N(GA108)))+((GT108=4)*GV108+(GX108=4)*GZ108+(HB108=4)*HD108+(HF108=4)*HH108+(HJ108=4)*HL108+(HN108=4)*HP108+(HR108=4)*HT108+(HV108=4)*HX108)</f>
        <v/>
      </c>
      <c r="GC108">
        <f>MAX(0,ROUND(N(FZ108)+N(GA108)-N(GB108),2))</f>
        <v/>
      </c>
      <c r="GD108">
        <f>N(GG107)</f>
        <v/>
      </c>
      <c r="GE108">
        <f>IF(N(GD108)&lt;=0.005,0,ROUND(N(GD108)*N('Debt List'!E9)/12,2))</f>
        <v/>
      </c>
      <c r="GF108">
        <f>IF(N(GD108)&lt;=0.005,0,MIN(N('Debt List'!F9),N(GD108)+N(GE108)))+((GT108=5)*GV108+(GX108=5)*GZ108+(HB108=5)*HD108+(HF108=5)*HH108+(HJ108=5)*HL108+(HN108=5)*HP108+(HR108=5)*HT108+(HV108=5)*HX108)</f>
        <v/>
      </c>
      <c r="GG108">
        <f>MAX(0,ROUND(N(GD108)+N(GE108)-N(GF108),2))</f>
        <v/>
      </c>
      <c r="GH108">
        <f>N(GK107)</f>
        <v/>
      </c>
      <c r="GI108">
        <f>IF(N(GH108)&lt;=0.005,0,ROUND(N(GH108)*N('Debt List'!E10)/12,2))</f>
        <v/>
      </c>
      <c r="GJ108">
        <f>IF(N(GH108)&lt;=0.005,0,MIN(N('Debt List'!F10),N(GH108)+N(GI108)))+((GT108=6)*GV108+(GX108=6)*GZ108+(HB108=6)*HD108+(HF108=6)*HH108+(HJ108=6)*HL108+(HN108=6)*HP108+(HR108=6)*HT108+(HV108=6)*HX108)</f>
        <v/>
      </c>
      <c r="GK108">
        <f>MAX(0,ROUND(N(GH108)+N(GI108)-N(GJ108),2))</f>
        <v/>
      </c>
      <c r="GL108">
        <f>N(GO107)</f>
        <v/>
      </c>
      <c r="GM108">
        <f>IF(N(GL108)&lt;=0.005,0,ROUND(N(GL108)*N('Debt List'!E11)/12,2))</f>
        <v/>
      </c>
      <c r="GN108">
        <f>IF(N(GL108)&lt;=0.005,0,MIN(N('Debt List'!F11),N(GL108)+N(GM108)))+((GT108=7)*GV108+(GX108=7)*GZ108+(HB108=7)*HD108+(HF108=7)*HH108+(HJ108=7)*HL108+(HN108=7)*HP108+(HR108=7)*HT108+(HV108=7)*HX108)</f>
        <v/>
      </c>
      <c r="GO108">
        <f>MAX(0,ROUND(N(GL108)+N(GM108)-N(GN108),2))</f>
        <v/>
      </c>
      <c r="GP108">
        <f>N(GS107)</f>
        <v/>
      </c>
      <c r="GQ108">
        <f>IF(N(GP108)&lt;=0.005,0,ROUND(N(GP108)*N('Debt List'!E12)/12,2))</f>
        <v/>
      </c>
      <c r="GR108">
        <f>IF(N(GP108)&lt;=0.005,0,MIN(N('Debt List'!F12),N(GP108)+N(GQ108)))+((GT108=8)*GV108+(GX108=8)*GZ108+(HB108=8)*HD108+(HF108=8)*HH108+(HJ108=8)*HL108+(HN108=8)*HP108+(HR108=8)*HT108+(HV108=8)*HX108)</f>
        <v/>
      </c>
      <c r="GS108">
        <f>MAX(0,ROUND(N(GP108)+N(GQ108)-N(GR108),2))</f>
        <v/>
      </c>
      <c r="GT108">
        <f>IFERROR(MATCH(1,OrderAval,0),"")</f>
        <v/>
      </c>
      <c r="GU108">
        <f>IF(GT108="",0,IFERROR(IF(N(CHOOSE(GT108,FN108,FR108,FV108,FZ108,GD108,GH108,GL108,GP108))&lt;=0.005,0,MAX(0,N(CHOOSE(GT108,FN108,FR108,FV108,FZ108,GD108,GH108,GL108,GP108))+N(CHOOSE(GT108,FO108,FS108,FW108,GA108,GE108,GI108,GM108,GQ108))-MIN(N(CHOOSE(GT108,'Debt List'!$F$5,'Debt List'!$F$6,'Debt List'!$F$7,'Debt List'!$F$8,'Debt List'!$F$9,'Debt List'!$F$10,'Debt List'!$F$11,'Debt List'!$F$12)),N(CHOOSE(GT108,FN108,FR108,FV108,FZ108,GD108,GH108,GL108,GP108))+N(CHOOSE(GT108,FO108,FS108,FW108,GA108,GE108,GI108,GM108,GQ108))))),0))</f>
        <v/>
      </c>
      <c r="GV108">
        <f>MIN(N(GU108),MAX(0,N(ExtraPayment)))</f>
        <v/>
      </c>
      <c r="GW108">
        <f>MAX(0,N(ExtraPayment)-N(GV108))</f>
        <v/>
      </c>
      <c r="GX108">
        <f>IFERROR(MATCH(2,OrderAval,0),"")</f>
        <v/>
      </c>
      <c r="GY108">
        <f>IF(GX108="",0,IFERROR(IF(N(CHOOSE(GX108,FN108,FR108,FV108,FZ108,GD108,GH108,GL108,GP108))&lt;=0.005,0,MAX(0,N(CHOOSE(GX108,FN108,FR108,FV108,FZ108,GD108,GH108,GL108,GP108))+N(CHOOSE(GX108,FO108,FS108,FW108,GA108,GE108,GI108,GM108,GQ108))-MIN(N(CHOOSE(GX108,'Debt List'!$F$5,'Debt List'!$F$6,'Debt List'!$F$7,'Debt List'!$F$8,'Debt List'!$F$9,'Debt List'!$F$10,'Debt List'!$F$11,'Debt List'!$F$12)),N(CHOOSE(GX108,FN108,FR108,FV108,FZ108,GD108,GH108,GL108,GP108))+N(CHOOSE(GX108,FO108,FS108,FW108,GA108,GE108,GI108,GM108,GQ108))))),0))</f>
        <v/>
      </c>
      <c r="GZ108">
        <f>MIN(N(GY108),MAX(0,N(GW108)))</f>
        <v/>
      </c>
      <c r="HA108">
        <f>MAX(0,N(GW108)-N(GZ108))</f>
        <v/>
      </c>
      <c r="HB108">
        <f>IFERROR(MATCH(3,OrderAval,0),"")</f>
        <v/>
      </c>
      <c r="HC108">
        <f>IF(HB108="",0,IFERROR(IF(N(CHOOSE(HB108,FN108,FR108,FV108,FZ108,GD108,GH108,GL108,GP108))&lt;=0.005,0,MAX(0,N(CHOOSE(HB108,FN108,FR108,FV108,FZ108,GD108,GH108,GL108,GP108))+N(CHOOSE(HB108,FO108,FS108,FW108,GA108,GE108,GI108,GM108,GQ108))-MIN(N(CHOOSE(HB108,'Debt List'!$F$5,'Debt List'!$F$6,'Debt List'!$F$7,'Debt List'!$F$8,'Debt List'!$F$9,'Debt List'!$F$10,'Debt List'!$F$11,'Debt List'!$F$12)),N(CHOOSE(HB108,FN108,FR108,FV108,FZ108,GD108,GH108,GL108,GP108))+N(CHOOSE(HB108,FO108,FS108,FW108,GA108,GE108,GI108,GM108,GQ108))))),0))</f>
        <v/>
      </c>
      <c r="HD108">
        <f>MIN(N(HC108),MAX(0,N(HA108)))</f>
        <v/>
      </c>
      <c r="HE108">
        <f>MAX(0,N(HA108)-N(HD108))</f>
        <v/>
      </c>
      <c r="HF108">
        <f>IFERROR(MATCH(4,OrderAval,0),"")</f>
        <v/>
      </c>
      <c r="HG108">
        <f>IF(HF108="",0,IFERROR(IF(N(CHOOSE(HF108,FN108,FR108,FV108,FZ108,GD108,GH108,GL108,GP108))&lt;=0.005,0,MAX(0,N(CHOOSE(HF108,FN108,FR108,FV108,FZ108,GD108,GH108,GL108,GP108))+N(CHOOSE(HF108,FO108,FS108,FW108,GA108,GE108,GI108,GM108,GQ108))-MIN(N(CHOOSE(HF108,'Debt List'!$F$5,'Debt List'!$F$6,'Debt List'!$F$7,'Debt List'!$F$8,'Debt List'!$F$9,'Debt List'!$F$10,'Debt List'!$F$11,'Debt List'!$F$12)),N(CHOOSE(HF108,FN108,FR108,FV108,FZ108,GD108,GH108,GL108,GP108))+N(CHOOSE(HF108,FO108,FS108,FW108,GA108,GE108,GI108,GM108,GQ108))))),0))</f>
        <v/>
      </c>
      <c r="HH108">
        <f>MIN(N(HG108),MAX(0,N(HE108)))</f>
        <v/>
      </c>
      <c r="HI108">
        <f>MAX(0,N(HE108)-N(HH108))</f>
        <v/>
      </c>
      <c r="HJ108">
        <f>IFERROR(MATCH(5,OrderAval,0),"")</f>
        <v/>
      </c>
      <c r="HK108">
        <f>IF(HJ108="",0,IFERROR(IF(N(CHOOSE(HJ108,FN108,FR108,FV108,FZ108,GD108,GH108,GL108,GP108))&lt;=0.005,0,MAX(0,N(CHOOSE(HJ108,FN108,FR108,FV108,FZ108,GD108,GH108,GL108,GP108))+N(CHOOSE(HJ108,FO108,FS108,FW108,GA108,GE108,GI108,GM108,GQ108))-MIN(N(CHOOSE(HJ108,'Debt List'!$F$5,'Debt List'!$F$6,'Debt List'!$F$7,'Debt List'!$F$8,'Debt List'!$F$9,'Debt List'!$F$10,'Debt List'!$F$11,'Debt List'!$F$12)),N(CHOOSE(HJ108,FN108,FR108,FV108,FZ108,GD108,GH108,GL108,GP108))+N(CHOOSE(HJ108,FO108,FS108,FW108,GA108,GE108,GI108,GM108,GQ108))))),0))</f>
        <v/>
      </c>
      <c r="HL108">
        <f>MIN(N(HK108),MAX(0,N(HI108)))</f>
        <v/>
      </c>
      <c r="HM108">
        <f>MAX(0,N(HI108)-N(HL108))</f>
        <v/>
      </c>
      <c r="HN108">
        <f>IFERROR(MATCH(6,OrderAval,0),"")</f>
        <v/>
      </c>
      <c r="HO108">
        <f>IF(HN108="",0,IFERROR(IF(N(CHOOSE(HN108,FN108,FR108,FV108,FZ108,GD108,GH108,GL108,GP108))&lt;=0.005,0,MAX(0,N(CHOOSE(HN108,FN108,FR108,FV108,FZ108,GD108,GH108,GL108,GP108))+N(CHOOSE(HN108,FO108,FS108,FW108,GA108,GE108,GI108,GM108,GQ108))-MIN(N(CHOOSE(HN108,'Debt List'!$F$5,'Debt List'!$F$6,'Debt List'!$F$7,'Debt List'!$F$8,'Debt List'!$F$9,'Debt List'!$F$10,'Debt List'!$F$11,'Debt List'!$F$12)),N(CHOOSE(HN108,FN108,FR108,FV108,FZ108,GD108,GH108,GL108,GP108))+N(CHOOSE(HN108,FO108,FS108,FW108,GA108,GE108,GI108,GM108,GQ108))))),0))</f>
        <v/>
      </c>
      <c r="HP108">
        <f>MIN(N(HO108),MAX(0,N(HM108)))</f>
        <v/>
      </c>
      <c r="HQ108">
        <f>MAX(0,N(HM108)-N(HP108))</f>
        <v/>
      </c>
      <c r="HR108">
        <f>IFERROR(MATCH(7,OrderAval,0),"")</f>
        <v/>
      </c>
      <c r="HS108">
        <f>IF(HR108="",0,IFERROR(IF(N(CHOOSE(HR108,FN108,FR108,FV108,FZ108,GD108,GH108,GL108,GP108))&lt;=0.005,0,MAX(0,N(CHOOSE(HR108,FN108,FR108,FV108,FZ108,GD108,GH108,GL108,GP108))+N(CHOOSE(HR108,FO108,FS108,FW108,GA108,GE108,GI108,GM108,GQ108))-MIN(N(CHOOSE(HR108,'Debt List'!$F$5,'Debt List'!$F$6,'Debt List'!$F$7,'Debt List'!$F$8,'Debt List'!$F$9,'Debt List'!$F$10,'Debt List'!$F$11,'Debt List'!$F$12)),N(CHOOSE(HR108,FN108,FR108,FV108,FZ108,GD108,GH108,GL108,GP108))+N(CHOOSE(HR108,FO108,FS108,FW108,GA108,GE108,GI108,GM108,GQ108))))),0))</f>
        <v/>
      </c>
      <c r="HT108">
        <f>MIN(N(HS108),MAX(0,N(HQ108)))</f>
        <v/>
      </c>
      <c r="HU108">
        <f>MAX(0,N(HQ108)-N(HT108))</f>
        <v/>
      </c>
      <c r="HV108">
        <f>IFERROR(MATCH(8,OrderAval,0),"")</f>
        <v/>
      </c>
      <c r="HW108">
        <f>IF(HV108="",0,IFERROR(IF(N(CHOOSE(HV108,FN108,FR108,FV108,FZ108,GD108,GH108,GL108,GP108))&lt;=0.005,0,MAX(0,N(CHOOSE(HV108,FN108,FR108,FV108,FZ108,GD108,GH108,GL108,GP108))+N(CHOOSE(HV108,FO108,FS108,FW108,GA108,GE108,GI108,GM108,GQ108))-MIN(N(CHOOSE(HV108,'Debt List'!$F$5,'Debt List'!$F$6,'Debt List'!$F$7,'Debt List'!$F$8,'Debt List'!$F$9,'Debt List'!$F$10,'Debt List'!$F$11,'Debt List'!$F$12)),N(CHOOSE(HV108,FN108,FR108,FV108,FZ108,GD108,GH108,GL108,GP108))+N(CHOOSE(HV108,FO108,FS108,FW108,GA108,GE108,GI108,GM108,GQ108))))),0))</f>
        <v/>
      </c>
      <c r="HX108">
        <f>MIN(N(HW108),MAX(0,N(HU108)))</f>
        <v/>
      </c>
      <c r="HY108">
        <f>MAX(0,N(HU108)-N(HX108))</f>
        <v/>
      </c>
    </row>
    <row r="109">
      <c r="A109" t="n">
        <v>105</v>
      </c>
      <c r="B109" s="115">
        <f>DATE(YEAR(PlanStart),MONTH(PlanStart)+A109-1,1)</f>
        <v/>
      </c>
      <c r="C109">
        <f>IF(AND(AP109&lt;&gt;"",N(CHOOSE(AP109,J109,N109,R109,V109,Z109,AD109,AH109,AL109))&gt;0.005),INDEX(DebtNames,AP109),IF(AND(AT109&lt;&gt;"",N(CHOOSE(AT109,J109,N109,R109,V109,Z109,AD109,AH109,AL109))&gt;0.005),INDEX(DebtNames,AT109),IF(AND(AX109&lt;&gt;"",N(CHOOSE(AX109,J109,N109,R109,V109,Z109,AD109,AH109,AL109))&gt;0.005),INDEX(DebtNames,AX109),IF(AND(BB109&lt;&gt;"",N(CHOOSE(BB109,J109,N109,R109,V109,Z109,AD109,AH109,AL109))&gt;0.005),INDEX(DebtNames,BB109),IF(AND(BF109&lt;&gt;"",N(CHOOSE(BF109,J109,N109,R109,V109,Z109,AD109,AH109,AL109))&gt;0.005),INDEX(DebtNames,BF109),IF(AND(BJ109&lt;&gt;"",N(CHOOSE(BJ109,J109,N109,R109,V109,Z109,AD109,AH109,AL109))&gt;0.005),INDEX(DebtNames,BJ109),IF(AND(BN109&lt;&gt;"",N(CHOOSE(BN109,J109,N109,R109,V109,Z109,AD109,AH109,AL109))&gt;0.005),INDEX(DebtNames,BN109),IF(AND(BR109&lt;&gt;"",N(CHOOSE(BR109,J109,N109,R109,V109,Z109,AD109,AH109,AL109))&gt;0.005),INDEX(DebtNames,BR109),""))))))))</f>
        <v/>
      </c>
      <c r="D109">
        <f>N(BU109)</f>
        <v/>
      </c>
      <c r="E109">
        <f>N(L109)+N(P109)+N(T109)+N(X109)+N(AB109)+N(AF109)+N(AJ109)+N(AN109)</f>
        <v/>
      </c>
      <c r="F109">
        <f>N(K109)+N(O109)+N(S109)+N(W109)+N(AA109)+N(AE109)+N(AI109)+N(AM109)</f>
        <v/>
      </c>
      <c r="G109">
        <f>N(G108)+N(F109)</f>
        <v/>
      </c>
      <c r="H109">
        <f>N(M109)+N(Q109)+N(U109)+N(Y109)+N(AC109)+N(AG109)+N(AK109)+N(AO109)</f>
        <v/>
      </c>
      <c r="I109">
        <f>(M109&gt;0.005)*1+(Q109&gt;0.005)*1+(U109&gt;0.005)*1+(Y109&gt;0.005)*1+(AC109&gt;0.005)*1+(AG109&gt;0.005)*1+(AK109&gt;0.005)*1+(AO109&gt;0.005)*1</f>
        <v/>
      </c>
      <c r="J109">
        <f>N(M108)</f>
        <v/>
      </c>
      <c r="K109">
        <f>IF(N(J109)&lt;=0.005,0,ROUND(N(J109)*N('Debt List'!E5)/12,2))</f>
        <v/>
      </c>
      <c r="L109">
        <f>IF(N(J109)&lt;=0.005,0,MIN(N('Debt List'!F5),N(J109)+N(K109)))+((AP109=1)*AR109+(AT109=1)*AV109+(AX109=1)*AZ109+(BB109=1)*BD109+(BF109=1)*BH109+(BJ109=1)*BL109+(BN109=1)*BP109+(BR109=1)*BT109)</f>
        <v/>
      </c>
      <c r="M109">
        <f>MAX(0,ROUND(N(J109)+N(K109)-N(L109),2))</f>
        <v/>
      </c>
      <c r="N109">
        <f>N(Q108)</f>
        <v/>
      </c>
      <c r="O109">
        <f>IF(N(N109)&lt;=0.005,0,ROUND(N(N109)*N('Debt List'!E6)/12,2))</f>
        <v/>
      </c>
      <c r="P109">
        <f>IF(N(N109)&lt;=0.005,0,MIN(N('Debt List'!F6),N(N109)+N(O109)))+((AP109=2)*AR109+(AT109=2)*AV109+(AX109=2)*AZ109+(BB109=2)*BD109+(BF109=2)*BH109+(BJ109=2)*BL109+(BN109=2)*BP109+(BR109=2)*BT109)</f>
        <v/>
      </c>
      <c r="Q109">
        <f>MAX(0,ROUND(N(N109)+N(O109)-N(P109),2))</f>
        <v/>
      </c>
      <c r="R109">
        <f>N(U108)</f>
        <v/>
      </c>
      <c r="S109">
        <f>IF(N(R109)&lt;=0.005,0,ROUND(N(R109)*N('Debt List'!E7)/12,2))</f>
        <v/>
      </c>
      <c r="T109">
        <f>IF(N(R109)&lt;=0.005,0,MIN(N('Debt List'!F7),N(R109)+N(S109)))+((AP109=3)*AR109+(AT109=3)*AV109+(AX109=3)*AZ109+(BB109=3)*BD109+(BF109=3)*BH109+(BJ109=3)*BL109+(BN109=3)*BP109+(BR109=3)*BT109)</f>
        <v/>
      </c>
      <c r="U109">
        <f>MAX(0,ROUND(N(R109)+N(S109)-N(T109),2))</f>
        <v/>
      </c>
      <c r="V109">
        <f>N(Y108)</f>
        <v/>
      </c>
      <c r="W109">
        <f>IF(N(V109)&lt;=0.005,0,ROUND(N(V109)*N('Debt List'!E8)/12,2))</f>
        <v/>
      </c>
      <c r="X109">
        <f>IF(N(V109)&lt;=0.005,0,MIN(N('Debt List'!F8),N(V109)+N(W109)))+((AP109=4)*AR109+(AT109=4)*AV109+(AX109=4)*AZ109+(BB109=4)*BD109+(BF109=4)*BH109+(BJ109=4)*BL109+(BN109=4)*BP109+(BR109=4)*BT109)</f>
        <v/>
      </c>
      <c r="Y109">
        <f>MAX(0,ROUND(N(V109)+N(W109)-N(X109),2))</f>
        <v/>
      </c>
      <c r="Z109">
        <f>N(AC108)</f>
        <v/>
      </c>
      <c r="AA109">
        <f>IF(N(Z109)&lt;=0.005,0,ROUND(N(Z109)*N('Debt List'!E9)/12,2))</f>
        <v/>
      </c>
      <c r="AB109">
        <f>IF(N(Z109)&lt;=0.005,0,MIN(N('Debt List'!F9),N(Z109)+N(AA109)))+((AP109=5)*AR109+(AT109=5)*AV109+(AX109=5)*AZ109+(BB109=5)*BD109+(BF109=5)*BH109+(BJ109=5)*BL109+(BN109=5)*BP109+(BR109=5)*BT109)</f>
        <v/>
      </c>
      <c r="AC109">
        <f>MAX(0,ROUND(N(Z109)+N(AA109)-N(AB109),2))</f>
        <v/>
      </c>
      <c r="AD109">
        <f>N(AG108)</f>
        <v/>
      </c>
      <c r="AE109">
        <f>IF(N(AD109)&lt;=0.005,0,ROUND(N(AD109)*N('Debt List'!E10)/12,2))</f>
        <v/>
      </c>
      <c r="AF109">
        <f>IF(N(AD109)&lt;=0.005,0,MIN(N('Debt List'!F10),N(AD109)+N(AE109)))+((AP109=6)*AR109+(AT109=6)*AV109+(AX109=6)*AZ109+(BB109=6)*BD109+(BF109=6)*BH109+(BJ109=6)*BL109+(BN109=6)*BP109+(BR109=6)*BT109)</f>
        <v/>
      </c>
      <c r="AG109">
        <f>MAX(0,ROUND(N(AD109)+N(AE109)-N(AF109),2))</f>
        <v/>
      </c>
      <c r="AH109">
        <f>N(AK108)</f>
        <v/>
      </c>
      <c r="AI109">
        <f>IF(N(AH109)&lt;=0.005,0,ROUND(N(AH109)*N('Debt List'!E11)/12,2))</f>
        <v/>
      </c>
      <c r="AJ109">
        <f>IF(N(AH109)&lt;=0.005,0,MIN(N('Debt List'!F11),N(AH109)+N(AI109)))+((AP109=7)*AR109+(AT109=7)*AV109+(AX109=7)*AZ109+(BB109=7)*BD109+(BF109=7)*BH109+(BJ109=7)*BL109+(BN109=7)*BP109+(BR109=7)*BT109)</f>
        <v/>
      </c>
      <c r="AK109">
        <f>MAX(0,ROUND(N(AH109)+N(AI109)-N(AJ109),2))</f>
        <v/>
      </c>
      <c r="AL109">
        <f>N(AO108)</f>
        <v/>
      </c>
      <c r="AM109">
        <f>IF(N(AL109)&lt;=0.005,0,ROUND(N(AL109)*N('Debt List'!E12)/12,2))</f>
        <v/>
      </c>
      <c r="AN109">
        <f>IF(N(AL109)&lt;=0.005,0,MIN(N('Debt List'!F12),N(AL109)+N(AM109)))+((AP109=8)*AR109+(AT109=8)*AV109+(AX109=8)*AZ109+(BB109=8)*BD109+(BF109=8)*BH109+(BJ109=8)*BL109+(BN109=8)*BP109+(BR109=8)*BT109)</f>
        <v/>
      </c>
      <c r="AO109">
        <f>MAX(0,ROUND(N(AL109)+N(AM109)-N(AN109),2))</f>
        <v/>
      </c>
      <c r="AP109">
        <f>IFERROR(MATCH(1,OrderPlan,0),"")</f>
        <v/>
      </c>
      <c r="AQ109">
        <f>IF(AP109="",0,IFERROR(IF(N(CHOOSE(AP109,J109,N109,R109,V109,Z109,AD109,AH109,AL109))&lt;=0.005,0,MAX(0,N(CHOOSE(AP109,J109,N109,R109,V109,Z109,AD109,AH109,AL109))+N(CHOOSE(AP109,K109,O109,S109,W109,AA109,AE109,AI109,AM109))-MIN(N(CHOOSE(AP109,'Debt List'!$F$5,'Debt List'!$F$6,'Debt List'!$F$7,'Debt List'!$F$8,'Debt List'!$F$9,'Debt List'!$F$10,'Debt List'!$F$11,'Debt List'!$F$12)),N(CHOOSE(AP109,J109,N109,R109,V109,Z109,AD109,AH109,AL109))+N(CHOOSE(AP109,K109,O109,S109,W109,AA109,AE109,AI109,AM109))))),0))</f>
        <v/>
      </c>
      <c r="AR109">
        <f>MIN(N(AQ109),MAX(0,N(ExtraPayment)))</f>
        <v/>
      </c>
      <c r="AS109">
        <f>MAX(0,N(ExtraPayment)-N(AR109))</f>
        <v/>
      </c>
      <c r="AT109">
        <f>IFERROR(MATCH(2,OrderPlan,0),"")</f>
        <v/>
      </c>
      <c r="AU109">
        <f>IF(AT109="",0,IFERROR(IF(N(CHOOSE(AT109,J109,N109,R109,V109,Z109,AD109,AH109,AL109))&lt;=0.005,0,MAX(0,N(CHOOSE(AT109,J109,N109,R109,V109,Z109,AD109,AH109,AL109))+N(CHOOSE(AT109,K109,O109,S109,W109,AA109,AE109,AI109,AM109))-MIN(N(CHOOSE(AT109,'Debt List'!$F$5,'Debt List'!$F$6,'Debt List'!$F$7,'Debt List'!$F$8,'Debt List'!$F$9,'Debt List'!$F$10,'Debt List'!$F$11,'Debt List'!$F$12)),N(CHOOSE(AT109,J109,N109,R109,V109,Z109,AD109,AH109,AL109))+N(CHOOSE(AT109,K109,O109,S109,W109,AA109,AE109,AI109,AM109))))),0))</f>
        <v/>
      </c>
      <c r="AV109">
        <f>MIN(N(AU109),MAX(0,N(AS109)))</f>
        <v/>
      </c>
      <c r="AW109">
        <f>MAX(0,N(AS109)-N(AV109))</f>
        <v/>
      </c>
      <c r="AX109">
        <f>IFERROR(MATCH(3,OrderPlan,0),"")</f>
        <v/>
      </c>
      <c r="AY109">
        <f>IF(AX109="",0,IFERROR(IF(N(CHOOSE(AX109,J109,N109,R109,V109,Z109,AD109,AH109,AL109))&lt;=0.005,0,MAX(0,N(CHOOSE(AX109,J109,N109,R109,V109,Z109,AD109,AH109,AL109))+N(CHOOSE(AX109,K109,O109,S109,W109,AA109,AE109,AI109,AM109))-MIN(N(CHOOSE(AX109,'Debt List'!$F$5,'Debt List'!$F$6,'Debt List'!$F$7,'Debt List'!$F$8,'Debt List'!$F$9,'Debt List'!$F$10,'Debt List'!$F$11,'Debt List'!$F$12)),N(CHOOSE(AX109,J109,N109,R109,V109,Z109,AD109,AH109,AL109))+N(CHOOSE(AX109,K109,O109,S109,W109,AA109,AE109,AI109,AM109))))),0))</f>
        <v/>
      </c>
      <c r="AZ109">
        <f>MIN(N(AY109),MAX(0,N(AW109)))</f>
        <v/>
      </c>
      <c r="BA109">
        <f>MAX(0,N(AW109)-N(AZ109))</f>
        <v/>
      </c>
      <c r="BB109">
        <f>IFERROR(MATCH(4,OrderPlan,0),"")</f>
        <v/>
      </c>
      <c r="BC109">
        <f>IF(BB109="",0,IFERROR(IF(N(CHOOSE(BB109,J109,N109,R109,V109,Z109,AD109,AH109,AL109))&lt;=0.005,0,MAX(0,N(CHOOSE(BB109,J109,N109,R109,V109,Z109,AD109,AH109,AL109))+N(CHOOSE(BB109,K109,O109,S109,W109,AA109,AE109,AI109,AM109))-MIN(N(CHOOSE(BB109,'Debt List'!$F$5,'Debt List'!$F$6,'Debt List'!$F$7,'Debt List'!$F$8,'Debt List'!$F$9,'Debt List'!$F$10,'Debt List'!$F$11,'Debt List'!$F$12)),N(CHOOSE(BB109,J109,N109,R109,V109,Z109,AD109,AH109,AL109))+N(CHOOSE(BB109,K109,O109,S109,W109,AA109,AE109,AI109,AM109))))),0))</f>
        <v/>
      </c>
      <c r="BD109">
        <f>MIN(N(BC109),MAX(0,N(BA109)))</f>
        <v/>
      </c>
      <c r="BE109">
        <f>MAX(0,N(BA109)-N(BD109))</f>
        <v/>
      </c>
      <c r="BF109">
        <f>IFERROR(MATCH(5,OrderPlan,0),"")</f>
        <v/>
      </c>
      <c r="BG109">
        <f>IF(BF109="",0,IFERROR(IF(N(CHOOSE(BF109,J109,N109,R109,V109,Z109,AD109,AH109,AL109))&lt;=0.005,0,MAX(0,N(CHOOSE(BF109,J109,N109,R109,V109,Z109,AD109,AH109,AL109))+N(CHOOSE(BF109,K109,O109,S109,W109,AA109,AE109,AI109,AM109))-MIN(N(CHOOSE(BF109,'Debt List'!$F$5,'Debt List'!$F$6,'Debt List'!$F$7,'Debt List'!$F$8,'Debt List'!$F$9,'Debt List'!$F$10,'Debt List'!$F$11,'Debt List'!$F$12)),N(CHOOSE(BF109,J109,N109,R109,V109,Z109,AD109,AH109,AL109))+N(CHOOSE(BF109,K109,O109,S109,W109,AA109,AE109,AI109,AM109))))),0))</f>
        <v/>
      </c>
      <c r="BH109">
        <f>MIN(N(BG109),MAX(0,N(BE109)))</f>
        <v/>
      </c>
      <c r="BI109">
        <f>MAX(0,N(BE109)-N(BH109))</f>
        <v/>
      </c>
      <c r="BJ109">
        <f>IFERROR(MATCH(6,OrderPlan,0),"")</f>
        <v/>
      </c>
      <c r="BK109">
        <f>IF(BJ109="",0,IFERROR(IF(N(CHOOSE(BJ109,J109,N109,R109,V109,Z109,AD109,AH109,AL109))&lt;=0.005,0,MAX(0,N(CHOOSE(BJ109,J109,N109,R109,V109,Z109,AD109,AH109,AL109))+N(CHOOSE(BJ109,K109,O109,S109,W109,AA109,AE109,AI109,AM109))-MIN(N(CHOOSE(BJ109,'Debt List'!$F$5,'Debt List'!$F$6,'Debt List'!$F$7,'Debt List'!$F$8,'Debt List'!$F$9,'Debt List'!$F$10,'Debt List'!$F$11,'Debt List'!$F$12)),N(CHOOSE(BJ109,J109,N109,R109,V109,Z109,AD109,AH109,AL109))+N(CHOOSE(BJ109,K109,O109,S109,W109,AA109,AE109,AI109,AM109))))),0))</f>
        <v/>
      </c>
      <c r="BL109">
        <f>MIN(N(BK109),MAX(0,N(BI109)))</f>
        <v/>
      </c>
      <c r="BM109">
        <f>MAX(0,N(BI109)-N(BL109))</f>
        <v/>
      </c>
      <c r="BN109">
        <f>IFERROR(MATCH(7,OrderPlan,0),"")</f>
        <v/>
      </c>
      <c r="BO109">
        <f>IF(BN109="",0,IFERROR(IF(N(CHOOSE(BN109,J109,N109,R109,V109,Z109,AD109,AH109,AL109))&lt;=0.005,0,MAX(0,N(CHOOSE(BN109,J109,N109,R109,V109,Z109,AD109,AH109,AL109))+N(CHOOSE(BN109,K109,O109,S109,W109,AA109,AE109,AI109,AM109))-MIN(N(CHOOSE(BN109,'Debt List'!$F$5,'Debt List'!$F$6,'Debt List'!$F$7,'Debt List'!$F$8,'Debt List'!$F$9,'Debt List'!$F$10,'Debt List'!$F$11,'Debt List'!$F$12)),N(CHOOSE(BN109,J109,N109,R109,V109,Z109,AD109,AH109,AL109))+N(CHOOSE(BN109,K109,O109,S109,W109,AA109,AE109,AI109,AM109))))),0))</f>
        <v/>
      </c>
      <c r="BP109">
        <f>MIN(N(BO109),MAX(0,N(BM109)))</f>
        <v/>
      </c>
      <c r="BQ109">
        <f>MAX(0,N(BM109)-N(BP109))</f>
        <v/>
      </c>
      <c r="BR109">
        <f>IFERROR(MATCH(8,OrderPlan,0),"")</f>
        <v/>
      </c>
      <c r="BS109">
        <f>IF(BR109="",0,IFERROR(IF(N(CHOOSE(BR109,J109,N109,R109,V109,Z109,AD109,AH109,AL109))&lt;=0.005,0,MAX(0,N(CHOOSE(BR109,J109,N109,R109,V109,Z109,AD109,AH109,AL109))+N(CHOOSE(BR109,K109,O109,S109,W109,AA109,AE109,AI109,AM109))-MIN(N(CHOOSE(BR109,'Debt List'!$F$5,'Debt List'!$F$6,'Debt List'!$F$7,'Debt List'!$F$8,'Debt List'!$F$9,'Debt List'!$F$10,'Debt List'!$F$11,'Debt List'!$F$12)),N(CHOOSE(BR109,J109,N109,R109,V109,Z109,AD109,AH109,AL109))+N(CHOOSE(BR109,K109,O109,S109,W109,AA109,AE109,AI109,AM109))))),0))</f>
        <v/>
      </c>
      <c r="BT109">
        <f>MIN(N(BS109),MAX(0,N(BQ109)))</f>
        <v/>
      </c>
      <c r="BU109">
        <f>MAX(0,N(BQ109)-N(BT109))</f>
        <v/>
      </c>
      <c r="CC109" t="n">
        <v>105</v>
      </c>
      <c r="CD109" s="115">
        <f>DATE(YEAR(PlanStart),MONTH(PlanStart)+CC109-1,1)</f>
        <v/>
      </c>
      <c r="CE109">
        <f>IF(AND(DR109&lt;&gt;"",N(CHOOSE(DR109,CL109,CP109,CT109,CX109,DB109,DF109,DJ109,DN109))&gt;0.005),INDEX(DebtNames,DR109),IF(AND(DV109&lt;&gt;"",N(CHOOSE(DV109,CL109,CP109,CT109,CX109,DB109,DF109,DJ109,DN109))&gt;0.005),INDEX(DebtNames,DV109),IF(AND(DZ109&lt;&gt;"",N(CHOOSE(DZ109,CL109,CP109,CT109,CX109,DB109,DF109,DJ109,DN109))&gt;0.005),INDEX(DebtNames,DZ109),IF(AND(ED109&lt;&gt;"",N(CHOOSE(ED109,CL109,CP109,CT109,CX109,DB109,DF109,DJ109,DN109))&gt;0.005),INDEX(DebtNames,ED109),IF(AND(EH109&lt;&gt;"",N(CHOOSE(EH109,CL109,CP109,CT109,CX109,DB109,DF109,DJ109,DN109))&gt;0.005),INDEX(DebtNames,EH109),IF(AND(EL109&lt;&gt;"",N(CHOOSE(EL109,CL109,CP109,CT109,CX109,DB109,DF109,DJ109,DN109))&gt;0.005),INDEX(DebtNames,EL109),IF(AND(EP109&lt;&gt;"",N(CHOOSE(EP109,CL109,CP109,CT109,CX109,DB109,DF109,DJ109,DN109))&gt;0.005),INDEX(DebtNames,EP109),IF(AND(ET109&lt;&gt;"",N(CHOOSE(ET109,CL109,CP109,CT109,CX109,DB109,DF109,DJ109,DN109))&gt;0.005),INDEX(DebtNames,ET109),""))))))))</f>
        <v/>
      </c>
      <c r="CF109">
        <f>N(EW109)</f>
        <v/>
      </c>
      <c r="CG109">
        <f>N(CN109)+N(CR109)+N(CV109)+N(CZ109)+N(DD109)+N(DH109)+N(DL109)+N(DP109)</f>
        <v/>
      </c>
      <c r="CH109">
        <f>N(CM109)+N(CQ109)+N(CU109)+N(CY109)+N(DC109)+N(DG109)+N(DK109)+N(DO109)</f>
        <v/>
      </c>
      <c r="CI109">
        <f>N(CI108)+N(CH109)</f>
        <v/>
      </c>
      <c r="CJ109">
        <f>N(CO109)+N(CS109)+N(CW109)+N(DA109)+N(DE109)+N(DI109)+N(DM109)+N(DQ109)</f>
        <v/>
      </c>
      <c r="CK109">
        <f>(CO109&gt;0.005)*1+(CS109&gt;0.005)*1+(CW109&gt;0.005)*1+(DA109&gt;0.005)*1+(DE109&gt;0.005)*1+(DI109&gt;0.005)*1+(DM109&gt;0.005)*1+(DQ109&gt;0.005)*1</f>
        <v/>
      </c>
      <c r="CL109">
        <f>N(CO108)</f>
        <v/>
      </c>
      <c r="CM109">
        <f>IF(N(CL109)&lt;=0.005,0,ROUND(N(CL109)*N('Debt List'!E5)/12,2))</f>
        <v/>
      </c>
      <c r="CN109">
        <f>IF(N(CL109)&lt;=0.005,0,MIN(N('Debt List'!F5),N(CL109)+N(CM109)))+((DR109=1)*DT109+(DV109=1)*DX109+(DZ109=1)*EB109+(ED109=1)*EF109+(EH109=1)*EJ109+(EL109=1)*EN109+(EP109=1)*ER109+(ET109=1)*EV109)</f>
        <v/>
      </c>
      <c r="CO109">
        <f>MAX(0,ROUND(N(CL109)+N(CM109)-N(CN109),2))</f>
        <v/>
      </c>
      <c r="CP109">
        <f>N(CS108)</f>
        <v/>
      </c>
      <c r="CQ109">
        <f>IF(N(CP109)&lt;=0.005,0,ROUND(N(CP109)*N('Debt List'!E6)/12,2))</f>
        <v/>
      </c>
      <c r="CR109">
        <f>IF(N(CP109)&lt;=0.005,0,MIN(N('Debt List'!F6),N(CP109)+N(CQ109)))+((DR109=2)*DT109+(DV109=2)*DX109+(DZ109=2)*EB109+(ED109=2)*EF109+(EH109=2)*EJ109+(EL109=2)*EN109+(EP109=2)*ER109+(ET109=2)*EV109)</f>
        <v/>
      </c>
      <c r="CS109">
        <f>MAX(0,ROUND(N(CP109)+N(CQ109)-N(CR109),2))</f>
        <v/>
      </c>
      <c r="CT109">
        <f>N(CW108)</f>
        <v/>
      </c>
      <c r="CU109">
        <f>IF(N(CT109)&lt;=0.005,0,ROUND(N(CT109)*N('Debt List'!E7)/12,2))</f>
        <v/>
      </c>
      <c r="CV109">
        <f>IF(N(CT109)&lt;=0.005,0,MIN(N('Debt List'!F7),N(CT109)+N(CU109)))+((DR109=3)*DT109+(DV109=3)*DX109+(DZ109=3)*EB109+(ED109=3)*EF109+(EH109=3)*EJ109+(EL109=3)*EN109+(EP109=3)*ER109+(ET109=3)*EV109)</f>
        <v/>
      </c>
      <c r="CW109">
        <f>MAX(0,ROUND(N(CT109)+N(CU109)-N(CV109),2))</f>
        <v/>
      </c>
      <c r="CX109">
        <f>N(DA108)</f>
        <v/>
      </c>
      <c r="CY109">
        <f>IF(N(CX109)&lt;=0.005,0,ROUND(N(CX109)*N('Debt List'!E8)/12,2))</f>
        <v/>
      </c>
      <c r="CZ109">
        <f>IF(N(CX109)&lt;=0.005,0,MIN(N('Debt List'!F8),N(CX109)+N(CY109)))+((DR109=4)*DT109+(DV109=4)*DX109+(DZ109=4)*EB109+(ED109=4)*EF109+(EH109=4)*EJ109+(EL109=4)*EN109+(EP109=4)*ER109+(ET109=4)*EV109)</f>
        <v/>
      </c>
      <c r="DA109">
        <f>MAX(0,ROUND(N(CX109)+N(CY109)-N(CZ109),2))</f>
        <v/>
      </c>
      <c r="DB109">
        <f>N(DE108)</f>
        <v/>
      </c>
      <c r="DC109">
        <f>IF(N(DB109)&lt;=0.005,0,ROUND(N(DB109)*N('Debt List'!E9)/12,2))</f>
        <v/>
      </c>
      <c r="DD109">
        <f>IF(N(DB109)&lt;=0.005,0,MIN(N('Debt List'!F9),N(DB109)+N(DC109)))+((DR109=5)*DT109+(DV109=5)*DX109+(DZ109=5)*EB109+(ED109=5)*EF109+(EH109=5)*EJ109+(EL109=5)*EN109+(EP109=5)*ER109+(ET109=5)*EV109)</f>
        <v/>
      </c>
      <c r="DE109">
        <f>MAX(0,ROUND(N(DB109)+N(DC109)-N(DD109),2))</f>
        <v/>
      </c>
      <c r="DF109">
        <f>N(DI108)</f>
        <v/>
      </c>
      <c r="DG109">
        <f>IF(N(DF109)&lt;=0.005,0,ROUND(N(DF109)*N('Debt List'!E10)/12,2))</f>
        <v/>
      </c>
      <c r="DH109">
        <f>IF(N(DF109)&lt;=0.005,0,MIN(N('Debt List'!F10),N(DF109)+N(DG109)))+((DR109=6)*DT109+(DV109=6)*DX109+(DZ109=6)*EB109+(ED109=6)*EF109+(EH109=6)*EJ109+(EL109=6)*EN109+(EP109=6)*ER109+(ET109=6)*EV109)</f>
        <v/>
      </c>
      <c r="DI109">
        <f>MAX(0,ROUND(N(DF109)+N(DG109)-N(DH109),2))</f>
        <v/>
      </c>
      <c r="DJ109">
        <f>N(DM108)</f>
        <v/>
      </c>
      <c r="DK109">
        <f>IF(N(DJ109)&lt;=0.005,0,ROUND(N(DJ109)*N('Debt List'!E11)/12,2))</f>
        <v/>
      </c>
      <c r="DL109">
        <f>IF(N(DJ109)&lt;=0.005,0,MIN(N('Debt List'!F11),N(DJ109)+N(DK109)))+((DR109=7)*DT109+(DV109=7)*DX109+(DZ109=7)*EB109+(ED109=7)*EF109+(EH109=7)*EJ109+(EL109=7)*EN109+(EP109=7)*ER109+(ET109=7)*EV109)</f>
        <v/>
      </c>
      <c r="DM109">
        <f>MAX(0,ROUND(N(DJ109)+N(DK109)-N(DL109),2))</f>
        <v/>
      </c>
      <c r="DN109">
        <f>N(DQ108)</f>
        <v/>
      </c>
      <c r="DO109">
        <f>IF(N(DN109)&lt;=0.005,0,ROUND(N(DN109)*N('Debt List'!E12)/12,2))</f>
        <v/>
      </c>
      <c r="DP109">
        <f>IF(N(DN109)&lt;=0.005,0,MIN(N('Debt List'!F12),N(DN109)+N(DO109)))+((DR109=8)*DT109+(DV109=8)*DX109+(DZ109=8)*EB109+(ED109=8)*EF109+(EH109=8)*EJ109+(EL109=8)*EN109+(EP109=8)*ER109+(ET109=8)*EV109)</f>
        <v/>
      </c>
      <c r="DQ109">
        <f>MAX(0,ROUND(N(DN109)+N(DO109)-N(DP109),2))</f>
        <v/>
      </c>
      <c r="DR109">
        <f>IFERROR(MATCH(1,OrderSnow,0),"")</f>
        <v/>
      </c>
      <c r="DS109">
        <f>IF(DR109="",0,IFERROR(IF(N(CHOOSE(DR109,CL109,CP109,CT109,CX109,DB109,DF109,DJ109,DN109))&lt;=0.005,0,MAX(0,N(CHOOSE(DR109,CL109,CP109,CT109,CX109,DB109,DF109,DJ109,DN109))+N(CHOOSE(DR109,CM109,CQ109,CU109,CY109,DC109,DG109,DK109,DO109))-MIN(N(CHOOSE(DR109,'Debt List'!$F$5,'Debt List'!$F$6,'Debt List'!$F$7,'Debt List'!$F$8,'Debt List'!$F$9,'Debt List'!$F$10,'Debt List'!$F$11,'Debt List'!$F$12)),N(CHOOSE(DR109,CL109,CP109,CT109,CX109,DB109,DF109,DJ109,DN109))+N(CHOOSE(DR109,CM109,CQ109,CU109,CY109,DC109,DG109,DK109,DO109))))),0))</f>
        <v/>
      </c>
      <c r="DT109">
        <f>MIN(N(DS109),MAX(0,N(ExtraPayment)))</f>
        <v/>
      </c>
      <c r="DU109">
        <f>MAX(0,N(ExtraPayment)-N(DT109))</f>
        <v/>
      </c>
      <c r="DV109">
        <f>IFERROR(MATCH(2,OrderSnow,0),"")</f>
        <v/>
      </c>
      <c r="DW109">
        <f>IF(DV109="",0,IFERROR(IF(N(CHOOSE(DV109,CL109,CP109,CT109,CX109,DB109,DF109,DJ109,DN109))&lt;=0.005,0,MAX(0,N(CHOOSE(DV109,CL109,CP109,CT109,CX109,DB109,DF109,DJ109,DN109))+N(CHOOSE(DV109,CM109,CQ109,CU109,CY109,DC109,DG109,DK109,DO109))-MIN(N(CHOOSE(DV109,'Debt List'!$F$5,'Debt List'!$F$6,'Debt List'!$F$7,'Debt List'!$F$8,'Debt List'!$F$9,'Debt List'!$F$10,'Debt List'!$F$11,'Debt List'!$F$12)),N(CHOOSE(DV109,CL109,CP109,CT109,CX109,DB109,DF109,DJ109,DN109))+N(CHOOSE(DV109,CM109,CQ109,CU109,CY109,DC109,DG109,DK109,DO109))))),0))</f>
        <v/>
      </c>
      <c r="DX109">
        <f>MIN(N(DW109),MAX(0,N(DU109)))</f>
        <v/>
      </c>
      <c r="DY109">
        <f>MAX(0,N(DU109)-N(DX109))</f>
        <v/>
      </c>
      <c r="DZ109">
        <f>IFERROR(MATCH(3,OrderSnow,0),"")</f>
        <v/>
      </c>
      <c r="EA109">
        <f>IF(DZ109="",0,IFERROR(IF(N(CHOOSE(DZ109,CL109,CP109,CT109,CX109,DB109,DF109,DJ109,DN109))&lt;=0.005,0,MAX(0,N(CHOOSE(DZ109,CL109,CP109,CT109,CX109,DB109,DF109,DJ109,DN109))+N(CHOOSE(DZ109,CM109,CQ109,CU109,CY109,DC109,DG109,DK109,DO109))-MIN(N(CHOOSE(DZ109,'Debt List'!$F$5,'Debt List'!$F$6,'Debt List'!$F$7,'Debt List'!$F$8,'Debt List'!$F$9,'Debt List'!$F$10,'Debt List'!$F$11,'Debt List'!$F$12)),N(CHOOSE(DZ109,CL109,CP109,CT109,CX109,DB109,DF109,DJ109,DN109))+N(CHOOSE(DZ109,CM109,CQ109,CU109,CY109,DC109,DG109,DK109,DO109))))),0))</f>
        <v/>
      </c>
      <c r="EB109">
        <f>MIN(N(EA109),MAX(0,N(DY109)))</f>
        <v/>
      </c>
      <c r="EC109">
        <f>MAX(0,N(DY109)-N(EB109))</f>
        <v/>
      </c>
      <c r="ED109">
        <f>IFERROR(MATCH(4,OrderSnow,0),"")</f>
        <v/>
      </c>
      <c r="EE109">
        <f>IF(ED109="",0,IFERROR(IF(N(CHOOSE(ED109,CL109,CP109,CT109,CX109,DB109,DF109,DJ109,DN109))&lt;=0.005,0,MAX(0,N(CHOOSE(ED109,CL109,CP109,CT109,CX109,DB109,DF109,DJ109,DN109))+N(CHOOSE(ED109,CM109,CQ109,CU109,CY109,DC109,DG109,DK109,DO109))-MIN(N(CHOOSE(ED109,'Debt List'!$F$5,'Debt List'!$F$6,'Debt List'!$F$7,'Debt List'!$F$8,'Debt List'!$F$9,'Debt List'!$F$10,'Debt List'!$F$11,'Debt List'!$F$12)),N(CHOOSE(ED109,CL109,CP109,CT109,CX109,DB109,DF109,DJ109,DN109))+N(CHOOSE(ED109,CM109,CQ109,CU109,CY109,DC109,DG109,DK109,DO109))))),0))</f>
        <v/>
      </c>
      <c r="EF109">
        <f>MIN(N(EE109),MAX(0,N(EC109)))</f>
        <v/>
      </c>
      <c r="EG109">
        <f>MAX(0,N(EC109)-N(EF109))</f>
        <v/>
      </c>
      <c r="EH109">
        <f>IFERROR(MATCH(5,OrderSnow,0),"")</f>
        <v/>
      </c>
      <c r="EI109">
        <f>IF(EH109="",0,IFERROR(IF(N(CHOOSE(EH109,CL109,CP109,CT109,CX109,DB109,DF109,DJ109,DN109))&lt;=0.005,0,MAX(0,N(CHOOSE(EH109,CL109,CP109,CT109,CX109,DB109,DF109,DJ109,DN109))+N(CHOOSE(EH109,CM109,CQ109,CU109,CY109,DC109,DG109,DK109,DO109))-MIN(N(CHOOSE(EH109,'Debt List'!$F$5,'Debt List'!$F$6,'Debt List'!$F$7,'Debt List'!$F$8,'Debt List'!$F$9,'Debt List'!$F$10,'Debt List'!$F$11,'Debt List'!$F$12)),N(CHOOSE(EH109,CL109,CP109,CT109,CX109,DB109,DF109,DJ109,DN109))+N(CHOOSE(EH109,CM109,CQ109,CU109,CY109,DC109,DG109,DK109,DO109))))),0))</f>
        <v/>
      </c>
      <c r="EJ109">
        <f>MIN(N(EI109),MAX(0,N(EG109)))</f>
        <v/>
      </c>
      <c r="EK109">
        <f>MAX(0,N(EG109)-N(EJ109))</f>
        <v/>
      </c>
      <c r="EL109">
        <f>IFERROR(MATCH(6,OrderSnow,0),"")</f>
        <v/>
      </c>
      <c r="EM109">
        <f>IF(EL109="",0,IFERROR(IF(N(CHOOSE(EL109,CL109,CP109,CT109,CX109,DB109,DF109,DJ109,DN109))&lt;=0.005,0,MAX(0,N(CHOOSE(EL109,CL109,CP109,CT109,CX109,DB109,DF109,DJ109,DN109))+N(CHOOSE(EL109,CM109,CQ109,CU109,CY109,DC109,DG109,DK109,DO109))-MIN(N(CHOOSE(EL109,'Debt List'!$F$5,'Debt List'!$F$6,'Debt List'!$F$7,'Debt List'!$F$8,'Debt List'!$F$9,'Debt List'!$F$10,'Debt List'!$F$11,'Debt List'!$F$12)),N(CHOOSE(EL109,CL109,CP109,CT109,CX109,DB109,DF109,DJ109,DN109))+N(CHOOSE(EL109,CM109,CQ109,CU109,CY109,DC109,DG109,DK109,DO109))))),0))</f>
        <v/>
      </c>
      <c r="EN109">
        <f>MIN(N(EM109),MAX(0,N(EK109)))</f>
        <v/>
      </c>
      <c r="EO109">
        <f>MAX(0,N(EK109)-N(EN109))</f>
        <v/>
      </c>
      <c r="EP109">
        <f>IFERROR(MATCH(7,OrderSnow,0),"")</f>
        <v/>
      </c>
      <c r="EQ109">
        <f>IF(EP109="",0,IFERROR(IF(N(CHOOSE(EP109,CL109,CP109,CT109,CX109,DB109,DF109,DJ109,DN109))&lt;=0.005,0,MAX(0,N(CHOOSE(EP109,CL109,CP109,CT109,CX109,DB109,DF109,DJ109,DN109))+N(CHOOSE(EP109,CM109,CQ109,CU109,CY109,DC109,DG109,DK109,DO109))-MIN(N(CHOOSE(EP109,'Debt List'!$F$5,'Debt List'!$F$6,'Debt List'!$F$7,'Debt List'!$F$8,'Debt List'!$F$9,'Debt List'!$F$10,'Debt List'!$F$11,'Debt List'!$F$12)),N(CHOOSE(EP109,CL109,CP109,CT109,CX109,DB109,DF109,DJ109,DN109))+N(CHOOSE(EP109,CM109,CQ109,CU109,CY109,DC109,DG109,DK109,DO109))))),0))</f>
        <v/>
      </c>
      <c r="ER109">
        <f>MIN(N(EQ109),MAX(0,N(EO109)))</f>
        <v/>
      </c>
      <c r="ES109">
        <f>MAX(0,N(EO109)-N(ER109))</f>
        <v/>
      </c>
      <c r="ET109">
        <f>IFERROR(MATCH(8,OrderSnow,0),"")</f>
        <v/>
      </c>
      <c r="EU109">
        <f>IF(ET109="",0,IFERROR(IF(N(CHOOSE(ET109,CL109,CP109,CT109,CX109,DB109,DF109,DJ109,DN109))&lt;=0.005,0,MAX(0,N(CHOOSE(ET109,CL109,CP109,CT109,CX109,DB109,DF109,DJ109,DN109))+N(CHOOSE(ET109,CM109,CQ109,CU109,CY109,DC109,DG109,DK109,DO109))-MIN(N(CHOOSE(ET109,'Debt List'!$F$5,'Debt List'!$F$6,'Debt List'!$F$7,'Debt List'!$F$8,'Debt List'!$F$9,'Debt List'!$F$10,'Debt List'!$F$11,'Debt List'!$F$12)),N(CHOOSE(ET109,CL109,CP109,CT109,CX109,DB109,DF109,DJ109,DN109))+N(CHOOSE(ET109,CM109,CQ109,CU109,CY109,DC109,DG109,DK109,DO109))))),0))</f>
        <v/>
      </c>
      <c r="EV109">
        <f>MIN(N(EU109),MAX(0,N(ES109)))</f>
        <v/>
      </c>
      <c r="EW109">
        <f>MAX(0,N(ES109)-N(EV109))</f>
        <v/>
      </c>
      <c r="FE109" t="n">
        <v>105</v>
      </c>
      <c r="FF109" s="115">
        <f>DATE(YEAR(PlanStart),MONTH(PlanStart)+FE109-1,1)</f>
        <v/>
      </c>
      <c r="FG109">
        <f>IF(AND(GT109&lt;&gt;"",N(CHOOSE(GT109,FN109,FR109,FV109,FZ109,GD109,GH109,GL109,GP109))&gt;0.005),INDEX(DebtNames,GT109),IF(AND(GX109&lt;&gt;"",N(CHOOSE(GX109,FN109,FR109,FV109,FZ109,GD109,GH109,GL109,GP109))&gt;0.005),INDEX(DebtNames,GX109),IF(AND(HB109&lt;&gt;"",N(CHOOSE(HB109,FN109,FR109,FV109,FZ109,GD109,GH109,GL109,GP109))&gt;0.005),INDEX(DebtNames,HB109),IF(AND(HF109&lt;&gt;"",N(CHOOSE(HF109,FN109,FR109,FV109,FZ109,GD109,GH109,GL109,GP109))&gt;0.005),INDEX(DebtNames,HF109),IF(AND(HJ109&lt;&gt;"",N(CHOOSE(HJ109,FN109,FR109,FV109,FZ109,GD109,GH109,GL109,GP109))&gt;0.005),INDEX(DebtNames,HJ109),IF(AND(HN109&lt;&gt;"",N(CHOOSE(HN109,FN109,FR109,FV109,FZ109,GD109,GH109,GL109,GP109))&gt;0.005),INDEX(DebtNames,HN109),IF(AND(HR109&lt;&gt;"",N(CHOOSE(HR109,FN109,FR109,FV109,FZ109,GD109,GH109,GL109,GP109))&gt;0.005),INDEX(DebtNames,HR109),IF(AND(HV109&lt;&gt;"",N(CHOOSE(HV109,FN109,FR109,FV109,FZ109,GD109,GH109,GL109,GP109))&gt;0.005),INDEX(DebtNames,HV109),""))))))))</f>
        <v/>
      </c>
      <c r="FH109">
        <f>N(HY109)</f>
        <v/>
      </c>
      <c r="FI109">
        <f>N(FP109)+N(FT109)+N(FX109)+N(GB109)+N(GF109)+N(GJ109)+N(GN109)+N(GR109)</f>
        <v/>
      </c>
      <c r="FJ109">
        <f>N(FO109)+N(FS109)+N(FW109)+N(GA109)+N(GE109)+N(GI109)+N(GM109)+N(GQ109)</f>
        <v/>
      </c>
      <c r="FK109">
        <f>N(FK108)+N(FJ109)</f>
        <v/>
      </c>
      <c r="FL109">
        <f>N(FQ109)+N(FU109)+N(FY109)+N(GC109)+N(GG109)+N(GK109)+N(GO109)+N(GS109)</f>
        <v/>
      </c>
      <c r="FM109">
        <f>(FQ109&gt;0.005)*1+(FU109&gt;0.005)*1+(FY109&gt;0.005)*1+(GC109&gt;0.005)*1+(GG109&gt;0.005)*1+(GK109&gt;0.005)*1+(GO109&gt;0.005)*1+(GS109&gt;0.005)*1</f>
        <v/>
      </c>
      <c r="FN109">
        <f>N(FQ108)</f>
        <v/>
      </c>
      <c r="FO109">
        <f>IF(N(FN109)&lt;=0.005,0,ROUND(N(FN109)*N('Debt List'!E5)/12,2))</f>
        <v/>
      </c>
      <c r="FP109">
        <f>IF(N(FN109)&lt;=0.005,0,MIN(N('Debt List'!F5),N(FN109)+N(FO109)))+((GT109=1)*GV109+(GX109=1)*GZ109+(HB109=1)*HD109+(HF109=1)*HH109+(HJ109=1)*HL109+(HN109=1)*HP109+(HR109=1)*HT109+(HV109=1)*HX109)</f>
        <v/>
      </c>
      <c r="FQ109">
        <f>MAX(0,ROUND(N(FN109)+N(FO109)-N(FP109),2))</f>
        <v/>
      </c>
      <c r="FR109">
        <f>N(FU108)</f>
        <v/>
      </c>
      <c r="FS109">
        <f>IF(N(FR109)&lt;=0.005,0,ROUND(N(FR109)*N('Debt List'!E6)/12,2))</f>
        <v/>
      </c>
      <c r="FT109">
        <f>IF(N(FR109)&lt;=0.005,0,MIN(N('Debt List'!F6),N(FR109)+N(FS109)))+((GT109=2)*GV109+(GX109=2)*GZ109+(HB109=2)*HD109+(HF109=2)*HH109+(HJ109=2)*HL109+(HN109=2)*HP109+(HR109=2)*HT109+(HV109=2)*HX109)</f>
        <v/>
      </c>
      <c r="FU109">
        <f>MAX(0,ROUND(N(FR109)+N(FS109)-N(FT109),2))</f>
        <v/>
      </c>
      <c r="FV109">
        <f>N(FY108)</f>
        <v/>
      </c>
      <c r="FW109">
        <f>IF(N(FV109)&lt;=0.005,0,ROUND(N(FV109)*N('Debt List'!E7)/12,2))</f>
        <v/>
      </c>
      <c r="FX109">
        <f>IF(N(FV109)&lt;=0.005,0,MIN(N('Debt List'!F7),N(FV109)+N(FW109)))+((GT109=3)*GV109+(GX109=3)*GZ109+(HB109=3)*HD109+(HF109=3)*HH109+(HJ109=3)*HL109+(HN109=3)*HP109+(HR109=3)*HT109+(HV109=3)*HX109)</f>
        <v/>
      </c>
      <c r="FY109">
        <f>MAX(0,ROUND(N(FV109)+N(FW109)-N(FX109),2))</f>
        <v/>
      </c>
      <c r="FZ109">
        <f>N(GC108)</f>
        <v/>
      </c>
      <c r="GA109">
        <f>IF(N(FZ109)&lt;=0.005,0,ROUND(N(FZ109)*N('Debt List'!E8)/12,2))</f>
        <v/>
      </c>
      <c r="GB109">
        <f>IF(N(FZ109)&lt;=0.005,0,MIN(N('Debt List'!F8),N(FZ109)+N(GA109)))+((GT109=4)*GV109+(GX109=4)*GZ109+(HB109=4)*HD109+(HF109=4)*HH109+(HJ109=4)*HL109+(HN109=4)*HP109+(HR109=4)*HT109+(HV109=4)*HX109)</f>
        <v/>
      </c>
      <c r="GC109">
        <f>MAX(0,ROUND(N(FZ109)+N(GA109)-N(GB109),2))</f>
        <v/>
      </c>
      <c r="GD109">
        <f>N(GG108)</f>
        <v/>
      </c>
      <c r="GE109">
        <f>IF(N(GD109)&lt;=0.005,0,ROUND(N(GD109)*N('Debt List'!E9)/12,2))</f>
        <v/>
      </c>
      <c r="GF109">
        <f>IF(N(GD109)&lt;=0.005,0,MIN(N('Debt List'!F9),N(GD109)+N(GE109)))+((GT109=5)*GV109+(GX109=5)*GZ109+(HB109=5)*HD109+(HF109=5)*HH109+(HJ109=5)*HL109+(HN109=5)*HP109+(HR109=5)*HT109+(HV109=5)*HX109)</f>
        <v/>
      </c>
      <c r="GG109">
        <f>MAX(0,ROUND(N(GD109)+N(GE109)-N(GF109),2))</f>
        <v/>
      </c>
      <c r="GH109">
        <f>N(GK108)</f>
        <v/>
      </c>
      <c r="GI109">
        <f>IF(N(GH109)&lt;=0.005,0,ROUND(N(GH109)*N('Debt List'!E10)/12,2))</f>
        <v/>
      </c>
      <c r="GJ109">
        <f>IF(N(GH109)&lt;=0.005,0,MIN(N('Debt List'!F10),N(GH109)+N(GI109)))+((GT109=6)*GV109+(GX109=6)*GZ109+(HB109=6)*HD109+(HF109=6)*HH109+(HJ109=6)*HL109+(HN109=6)*HP109+(HR109=6)*HT109+(HV109=6)*HX109)</f>
        <v/>
      </c>
      <c r="GK109">
        <f>MAX(0,ROUND(N(GH109)+N(GI109)-N(GJ109),2))</f>
        <v/>
      </c>
      <c r="GL109">
        <f>N(GO108)</f>
        <v/>
      </c>
      <c r="GM109">
        <f>IF(N(GL109)&lt;=0.005,0,ROUND(N(GL109)*N('Debt List'!E11)/12,2))</f>
        <v/>
      </c>
      <c r="GN109">
        <f>IF(N(GL109)&lt;=0.005,0,MIN(N('Debt List'!F11),N(GL109)+N(GM109)))+((GT109=7)*GV109+(GX109=7)*GZ109+(HB109=7)*HD109+(HF109=7)*HH109+(HJ109=7)*HL109+(HN109=7)*HP109+(HR109=7)*HT109+(HV109=7)*HX109)</f>
        <v/>
      </c>
      <c r="GO109">
        <f>MAX(0,ROUND(N(GL109)+N(GM109)-N(GN109),2))</f>
        <v/>
      </c>
      <c r="GP109">
        <f>N(GS108)</f>
        <v/>
      </c>
      <c r="GQ109">
        <f>IF(N(GP109)&lt;=0.005,0,ROUND(N(GP109)*N('Debt List'!E12)/12,2))</f>
        <v/>
      </c>
      <c r="GR109">
        <f>IF(N(GP109)&lt;=0.005,0,MIN(N('Debt List'!F12),N(GP109)+N(GQ109)))+((GT109=8)*GV109+(GX109=8)*GZ109+(HB109=8)*HD109+(HF109=8)*HH109+(HJ109=8)*HL109+(HN109=8)*HP109+(HR109=8)*HT109+(HV109=8)*HX109)</f>
        <v/>
      </c>
      <c r="GS109">
        <f>MAX(0,ROUND(N(GP109)+N(GQ109)-N(GR109),2))</f>
        <v/>
      </c>
      <c r="GT109">
        <f>IFERROR(MATCH(1,OrderAval,0),"")</f>
        <v/>
      </c>
      <c r="GU109">
        <f>IF(GT109="",0,IFERROR(IF(N(CHOOSE(GT109,FN109,FR109,FV109,FZ109,GD109,GH109,GL109,GP109))&lt;=0.005,0,MAX(0,N(CHOOSE(GT109,FN109,FR109,FV109,FZ109,GD109,GH109,GL109,GP109))+N(CHOOSE(GT109,FO109,FS109,FW109,GA109,GE109,GI109,GM109,GQ109))-MIN(N(CHOOSE(GT109,'Debt List'!$F$5,'Debt List'!$F$6,'Debt List'!$F$7,'Debt List'!$F$8,'Debt List'!$F$9,'Debt List'!$F$10,'Debt List'!$F$11,'Debt List'!$F$12)),N(CHOOSE(GT109,FN109,FR109,FV109,FZ109,GD109,GH109,GL109,GP109))+N(CHOOSE(GT109,FO109,FS109,FW109,GA109,GE109,GI109,GM109,GQ109))))),0))</f>
        <v/>
      </c>
      <c r="GV109">
        <f>MIN(N(GU109),MAX(0,N(ExtraPayment)))</f>
        <v/>
      </c>
      <c r="GW109">
        <f>MAX(0,N(ExtraPayment)-N(GV109))</f>
        <v/>
      </c>
      <c r="GX109">
        <f>IFERROR(MATCH(2,OrderAval,0),"")</f>
        <v/>
      </c>
      <c r="GY109">
        <f>IF(GX109="",0,IFERROR(IF(N(CHOOSE(GX109,FN109,FR109,FV109,FZ109,GD109,GH109,GL109,GP109))&lt;=0.005,0,MAX(0,N(CHOOSE(GX109,FN109,FR109,FV109,FZ109,GD109,GH109,GL109,GP109))+N(CHOOSE(GX109,FO109,FS109,FW109,GA109,GE109,GI109,GM109,GQ109))-MIN(N(CHOOSE(GX109,'Debt List'!$F$5,'Debt List'!$F$6,'Debt List'!$F$7,'Debt List'!$F$8,'Debt List'!$F$9,'Debt List'!$F$10,'Debt List'!$F$11,'Debt List'!$F$12)),N(CHOOSE(GX109,FN109,FR109,FV109,FZ109,GD109,GH109,GL109,GP109))+N(CHOOSE(GX109,FO109,FS109,FW109,GA109,GE109,GI109,GM109,GQ109))))),0))</f>
        <v/>
      </c>
      <c r="GZ109">
        <f>MIN(N(GY109),MAX(0,N(GW109)))</f>
        <v/>
      </c>
      <c r="HA109">
        <f>MAX(0,N(GW109)-N(GZ109))</f>
        <v/>
      </c>
      <c r="HB109">
        <f>IFERROR(MATCH(3,OrderAval,0),"")</f>
        <v/>
      </c>
      <c r="HC109">
        <f>IF(HB109="",0,IFERROR(IF(N(CHOOSE(HB109,FN109,FR109,FV109,FZ109,GD109,GH109,GL109,GP109))&lt;=0.005,0,MAX(0,N(CHOOSE(HB109,FN109,FR109,FV109,FZ109,GD109,GH109,GL109,GP109))+N(CHOOSE(HB109,FO109,FS109,FW109,GA109,GE109,GI109,GM109,GQ109))-MIN(N(CHOOSE(HB109,'Debt List'!$F$5,'Debt List'!$F$6,'Debt List'!$F$7,'Debt List'!$F$8,'Debt List'!$F$9,'Debt List'!$F$10,'Debt List'!$F$11,'Debt List'!$F$12)),N(CHOOSE(HB109,FN109,FR109,FV109,FZ109,GD109,GH109,GL109,GP109))+N(CHOOSE(HB109,FO109,FS109,FW109,GA109,GE109,GI109,GM109,GQ109))))),0))</f>
        <v/>
      </c>
      <c r="HD109">
        <f>MIN(N(HC109),MAX(0,N(HA109)))</f>
        <v/>
      </c>
      <c r="HE109">
        <f>MAX(0,N(HA109)-N(HD109))</f>
        <v/>
      </c>
      <c r="HF109">
        <f>IFERROR(MATCH(4,OrderAval,0),"")</f>
        <v/>
      </c>
      <c r="HG109">
        <f>IF(HF109="",0,IFERROR(IF(N(CHOOSE(HF109,FN109,FR109,FV109,FZ109,GD109,GH109,GL109,GP109))&lt;=0.005,0,MAX(0,N(CHOOSE(HF109,FN109,FR109,FV109,FZ109,GD109,GH109,GL109,GP109))+N(CHOOSE(HF109,FO109,FS109,FW109,GA109,GE109,GI109,GM109,GQ109))-MIN(N(CHOOSE(HF109,'Debt List'!$F$5,'Debt List'!$F$6,'Debt List'!$F$7,'Debt List'!$F$8,'Debt List'!$F$9,'Debt List'!$F$10,'Debt List'!$F$11,'Debt List'!$F$12)),N(CHOOSE(HF109,FN109,FR109,FV109,FZ109,GD109,GH109,GL109,GP109))+N(CHOOSE(HF109,FO109,FS109,FW109,GA109,GE109,GI109,GM109,GQ109))))),0))</f>
        <v/>
      </c>
      <c r="HH109">
        <f>MIN(N(HG109),MAX(0,N(HE109)))</f>
        <v/>
      </c>
      <c r="HI109">
        <f>MAX(0,N(HE109)-N(HH109))</f>
        <v/>
      </c>
      <c r="HJ109">
        <f>IFERROR(MATCH(5,OrderAval,0),"")</f>
        <v/>
      </c>
      <c r="HK109">
        <f>IF(HJ109="",0,IFERROR(IF(N(CHOOSE(HJ109,FN109,FR109,FV109,FZ109,GD109,GH109,GL109,GP109))&lt;=0.005,0,MAX(0,N(CHOOSE(HJ109,FN109,FR109,FV109,FZ109,GD109,GH109,GL109,GP109))+N(CHOOSE(HJ109,FO109,FS109,FW109,GA109,GE109,GI109,GM109,GQ109))-MIN(N(CHOOSE(HJ109,'Debt List'!$F$5,'Debt List'!$F$6,'Debt List'!$F$7,'Debt List'!$F$8,'Debt List'!$F$9,'Debt List'!$F$10,'Debt List'!$F$11,'Debt List'!$F$12)),N(CHOOSE(HJ109,FN109,FR109,FV109,FZ109,GD109,GH109,GL109,GP109))+N(CHOOSE(HJ109,FO109,FS109,FW109,GA109,GE109,GI109,GM109,GQ109))))),0))</f>
        <v/>
      </c>
      <c r="HL109">
        <f>MIN(N(HK109),MAX(0,N(HI109)))</f>
        <v/>
      </c>
      <c r="HM109">
        <f>MAX(0,N(HI109)-N(HL109))</f>
        <v/>
      </c>
      <c r="HN109">
        <f>IFERROR(MATCH(6,OrderAval,0),"")</f>
        <v/>
      </c>
      <c r="HO109">
        <f>IF(HN109="",0,IFERROR(IF(N(CHOOSE(HN109,FN109,FR109,FV109,FZ109,GD109,GH109,GL109,GP109))&lt;=0.005,0,MAX(0,N(CHOOSE(HN109,FN109,FR109,FV109,FZ109,GD109,GH109,GL109,GP109))+N(CHOOSE(HN109,FO109,FS109,FW109,GA109,GE109,GI109,GM109,GQ109))-MIN(N(CHOOSE(HN109,'Debt List'!$F$5,'Debt List'!$F$6,'Debt List'!$F$7,'Debt List'!$F$8,'Debt List'!$F$9,'Debt List'!$F$10,'Debt List'!$F$11,'Debt List'!$F$12)),N(CHOOSE(HN109,FN109,FR109,FV109,FZ109,GD109,GH109,GL109,GP109))+N(CHOOSE(HN109,FO109,FS109,FW109,GA109,GE109,GI109,GM109,GQ109))))),0))</f>
        <v/>
      </c>
      <c r="HP109">
        <f>MIN(N(HO109),MAX(0,N(HM109)))</f>
        <v/>
      </c>
      <c r="HQ109">
        <f>MAX(0,N(HM109)-N(HP109))</f>
        <v/>
      </c>
      <c r="HR109">
        <f>IFERROR(MATCH(7,OrderAval,0),"")</f>
        <v/>
      </c>
      <c r="HS109">
        <f>IF(HR109="",0,IFERROR(IF(N(CHOOSE(HR109,FN109,FR109,FV109,FZ109,GD109,GH109,GL109,GP109))&lt;=0.005,0,MAX(0,N(CHOOSE(HR109,FN109,FR109,FV109,FZ109,GD109,GH109,GL109,GP109))+N(CHOOSE(HR109,FO109,FS109,FW109,GA109,GE109,GI109,GM109,GQ109))-MIN(N(CHOOSE(HR109,'Debt List'!$F$5,'Debt List'!$F$6,'Debt List'!$F$7,'Debt List'!$F$8,'Debt List'!$F$9,'Debt List'!$F$10,'Debt List'!$F$11,'Debt List'!$F$12)),N(CHOOSE(HR109,FN109,FR109,FV109,FZ109,GD109,GH109,GL109,GP109))+N(CHOOSE(HR109,FO109,FS109,FW109,GA109,GE109,GI109,GM109,GQ109))))),0))</f>
        <v/>
      </c>
      <c r="HT109">
        <f>MIN(N(HS109),MAX(0,N(HQ109)))</f>
        <v/>
      </c>
      <c r="HU109">
        <f>MAX(0,N(HQ109)-N(HT109))</f>
        <v/>
      </c>
      <c r="HV109">
        <f>IFERROR(MATCH(8,OrderAval,0),"")</f>
        <v/>
      </c>
      <c r="HW109">
        <f>IF(HV109="",0,IFERROR(IF(N(CHOOSE(HV109,FN109,FR109,FV109,FZ109,GD109,GH109,GL109,GP109))&lt;=0.005,0,MAX(0,N(CHOOSE(HV109,FN109,FR109,FV109,FZ109,GD109,GH109,GL109,GP109))+N(CHOOSE(HV109,FO109,FS109,FW109,GA109,GE109,GI109,GM109,GQ109))-MIN(N(CHOOSE(HV109,'Debt List'!$F$5,'Debt List'!$F$6,'Debt List'!$F$7,'Debt List'!$F$8,'Debt List'!$F$9,'Debt List'!$F$10,'Debt List'!$F$11,'Debt List'!$F$12)),N(CHOOSE(HV109,FN109,FR109,FV109,FZ109,GD109,GH109,GL109,GP109))+N(CHOOSE(HV109,FO109,FS109,FW109,GA109,GE109,GI109,GM109,GQ109))))),0))</f>
        <v/>
      </c>
      <c r="HX109">
        <f>MIN(N(HW109),MAX(0,N(HU109)))</f>
        <v/>
      </c>
      <c r="HY109">
        <f>MAX(0,N(HU109)-N(HX109))</f>
        <v/>
      </c>
    </row>
    <row r="110">
      <c r="A110" t="n">
        <v>106</v>
      </c>
      <c r="B110" s="115">
        <f>DATE(YEAR(PlanStart),MONTH(PlanStart)+A110-1,1)</f>
        <v/>
      </c>
      <c r="C110">
        <f>IF(AND(AP110&lt;&gt;"",N(CHOOSE(AP110,J110,N110,R110,V110,Z110,AD110,AH110,AL110))&gt;0.005),INDEX(DebtNames,AP110),IF(AND(AT110&lt;&gt;"",N(CHOOSE(AT110,J110,N110,R110,V110,Z110,AD110,AH110,AL110))&gt;0.005),INDEX(DebtNames,AT110),IF(AND(AX110&lt;&gt;"",N(CHOOSE(AX110,J110,N110,R110,V110,Z110,AD110,AH110,AL110))&gt;0.005),INDEX(DebtNames,AX110),IF(AND(BB110&lt;&gt;"",N(CHOOSE(BB110,J110,N110,R110,V110,Z110,AD110,AH110,AL110))&gt;0.005),INDEX(DebtNames,BB110),IF(AND(BF110&lt;&gt;"",N(CHOOSE(BF110,J110,N110,R110,V110,Z110,AD110,AH110,AL110))&gt;0.005),INDEX(DebtNames,BF110),IF(AND(BJ110&lt;&gt;"",N(CHOOSE(BJ110,J110,N110,R110,V110,Z110,AD110,AH110,AL110))&gt;0.005),INDEX(DebtNames,BJ110),IF(AND(BN110&lt;&gt;"",N(CHOOSE(BN110,J110,N110,R110,V110,Z110,AD110,AH110,AL110))&gt;0.005),INDEX(DebtNames,BN110),IF(AND(BR110&lt;&gt;"",N(CHOOSE(BR110,J110,N110,R110,V110,Z110,AD110,AH110,AL110))&gt;0.005),INDEX(DebtNames,BR110),""))))))))</f>
        <v/>
      </c>
      <c r="D110">
        <f>N(BU110)</f>
        <v/>
      </c>
      <c r="E110">
        <f>N(L110)+N(P110)+N(T110)+N(X110)+N(AB110)+N(AF110)+N(AJ110)+N(AN110)</f>
        <v/>
      </c>
      <c r="F110">
        <f>N(K110)+N(O110)+N(S110)+N(W110)+N(AA110)+N(AE110)+N(AI110)+N(AM110)</f>
        <v/>
      </c>
      <c r="G110">
        <f>N(G109)+N(F110)</f>
        <v/>
      </c>
      <c r="H110">
        <f>N(M110)+N(Q110)+N(U110)+N(Y110)+N(AC110)+N(AG110)+N(AK110)+N(AO110)</f>
        <v/>
      </c>
      <c r="I110">
        <f>(M110&gt;0.005)*1+(Q110&gt;0.005)*1+(U110&gt;0.005)*1+(Y110&gt;0.005)*1+(AC110&gt;0.005)*1+(AG110&gt;0.005)*1+(AK110&gt;0.005)*1+(AO110&gt;0.005)*1</f>
        <v/>
      </c>
      <c r="J110">
        <f>N(M109)</f>
        <v/>
      </c>
      <c r="K110">
        <f>IF(N(J110)&lt;=0.005,0,ROUND(N(J110)*N('Debt List'!E5)/12,2))</f>
        <v/>
      </c>
      <c r="L110">
        <f>IF(N(J110)&lt;=0.005,0,MIN(N('Debt List'!F5),N(J110)+N(K110)))+((AP110=1)*AR110+(AT110=1)*AV110+(AX110=1)*AZ110+(BB110=1)*BD110+(BF110=1)*BH110+(BJ110=1)*BL110+(BN110=1)*BP110+(BR110=1)*BT110)</f>
        <v/>
      </c>
      <c r="M110">
        <f>MAX(0,ROUND(N(J110)+N(K110)-N(L110),2))</f>
        <v/>
      </c>
      <c r="N110">
        <f>N(Q109)</f>
        <v/>
      </c>
      <c r="O110">
        <f>IF(N(N110)&lt;=0.005,0,ROUND(N(N110)*N('Debt List'!E6)/12,2))</f>
        <v/>
      </c>
      <c r="P110">
        <f>IF(N(N110)&lt;=0.005,0,MIN(N('Debt List'!F6),N(N110)+N(O110)))+((AP110=2)*AR110+(AT110=2)*AV110+(AX110=2)*AZ110+(BB110=2)*BD110+(BF110=2)*BH110+(BJ110=2)*BL110+(BN110=2)*BP110+(BR110=2)*BT110)</f>
        <v/>
      </c>
      <c r="Q110">
        <f>MAX(0,ROUND(N(N110)+N(O110)-N(P110),2))</f>
        <v/>
      </c>
      <c r="R110">
        <f>N(U109)</f>
        <v/>
      </c>
      <c r="S110">
        <f>IF(N(R110)&lt;=0.005,0,ROUND(N(R110)*N('Debt List'!E7)/12,2))</f>
        <v/>
      </c>
      <c r="T110">
        <f>IF(N(R110)&lt;=0.005,0,MIN(N('Debt List'!F7),N(R110)+N(S110)))+((AP110=3)*AR110+(AT110=3)*AV110+(AX110=3)*AZ110+(BB110=3)*BD110+(BF110=3)*BH110+(BJ110=3)*BL110+(BN110=3)*BP110+(BR110=3)*BT110)</f>
        <v/>
      </c>
      <c r="U110">
        <f>MAX(0,ROUND(N(R110)+N(S110)-N(T110),2))</f>
        <v/>
      </c>
      <c r="V110">
        <f>N(Y109)</f>
        <v/>
      </c>
      <c r="W110">
        <f>IF(N(V110)&lt;=0.005,0,ROUND(N(V110)*N('Debt List'!E8)/12,2))</f>
        <v/>
      </c>
      <c r="X110">
        <f>IF(N(V110)&lt;=0.005,0,MIN(N('Debt List'!F8),N(V110)+N(W110)))+((AP110=4)*AR110+(AT110=4)*AV110+(AX110=4)*AZ110+(BB110=4)*BD110+(BF110=4)*BH110+(BJ110=4)*BL110+(BN110=4)*BP110+(BR110=4)*BT110)</f>
        <v/>
      </c>
      <c r="Y110">
        <f>MAX(0,ROUND(N(V110)+N(W110)-N(X110),2))</f>
        <v/>
      </c>
      <c r="Z110">
        <f>N(AC109)</f>
        <v/>
      </c>
      <c r="AA110">
        <f>IF(N(Z110)&lt;=0.005,0,ROUND(N(Z110)*N('Debt List'!E9)/12,2))</f>
        <v/>
      </c>
      <c r="AB110">
        <f>IF(N(Z110)&lt;=0.005,0,MIN(N('Debt List'!F9),N(Z110)+N(AA110)))+((AP110=5)*AR110+(AT110=5)*AV110+(AX110=5)*AZ110+(BB110=5)*BD110+(BF110=5)*BH110+(BJ110=5)*BL110+(BN110=5)*BP110+(BR110=5)*BT110)</f>
        <v/>
      </c>
      <c r="AC110">
        <f>MAX(0,ROUND(N(Z110)+N(AA110)-N(AB110),2))</f>
        <v/>
      </c>
      <c r="AD110">
        <f>N(AG109)</f>
        <v/>
      </c>
      <c r="AE110">
        <f>IF(N(AD110)&lt;=0.005,0,ROUND(N(AD110)*N('Debt List'!E10)/12,2))</f>
        <v/>
      </c>
      <c r="AF110">
        <f>IF(N(AD110)&lt;=0.005,0,MIN(N('Debt List'!F10),N(AD110)+N(AE110)))+((AP110=6)*AR110+(AT110=6)*AV110+(AX110=6)*AZ110+(BB110=6)*BD110+(BF110=6)*BH110+(BJ110=6)*BL110+(BN110=6)*BP110+(BR110=6)*BT110)</f>
        <v/>
      </c>
      <c r="AG110">
        <f>MAX(0,ROUND(N(AD110)+N(AE110)-N(AF110),2))</f>
        <v/>
      </c>
      <c r="AH110">
        <f>N(AK109)</f>
        <v/>
      </c>
      <c r="AI110">
        <f>IF(N(AH110)&lt;=0.005,0,ROUND(N(AH110)*N('Debt List'!E11)/12,2))</f>
        <v/>
      </c>
      <c r="AJ110">
        <f>IF(N(AH110)&lt;=0.005,0,MIN(N('Debt List'!F11),N(AH110)+N(AI110)))+((AP110=7)*AR110+(AT110=7)*AV110+(AX110=7)*AZ110+(BB110=7)*BD110+(BF110=7)*BH110+(BJ110=7)*BL110+(BN110=7)*BP110+(BR110=7)*BT110)</f>
        <v/>
      </c>
      <c r="AK110">
        <f>MAX(0,ROUND(N(AH110)+N(AI110)-N(AJ110),2))</f>
        <v/>
      </c>
      <c r="AL110">
        <f>N(AO109)</f>
        <v/>
      </c>
      <c r="AM110">
        <f>IF(N(AL110)&lt;=0.005,0,ROUND(N(AL110)*N('Debt List'!E12)/12,2))</f>
        <v/>
      </c>
      <c r="AN110">
        <f>IF(N(AL110)&lt;=0.005,0,MIN(N('Debt List'!F12),N(AL110)+N(AM110)))+((AP110=8)*AR110+(AT110=8)*AV110+(AX110=8)*AZ110+(BB110=8)*BD110+(BF110=8)*BH110+(BJ110=8)*BL110+(BN110=8)*BP110+(BR110=8)*BT110)</f>
        <v/>
      </c>
      <c r="AO110">
        <f>MAX(0,ROUND(N(AL110)+N(AM110)-N(AN110),2))</f>
        <v/>
      </c>
      <c r="AP110">
        <f>IFERROR(MATCH(1,OrderPlan,0),"")</f>
        <v/>
      </c>
      <c r="AQ110">
        <f>IF(AP110="",0,IFERROR(IF(N(CHOOSE(AP110,J110,N110,R110,V110,Z110,AD110,AH110,AL110))&lt;=0.005,0,MAX(0,N(CHOOSE(AP110,J110,N110,R110,V110,Z110,AD110,AH110,AL110))+N(CHOOSE(AP110,K110,O110,S110,W110,AA110,AE110,AI110,AM110))-MIN(N(CHOOSE(AP110,'Debt List'!$F$5,'Debt List'!$F$6,'Debt List'!$F$7,'Debt List'!$F$8,'Debt List'!$F$9,'Debt List'!$F$10,'Debt List'!$F$11,'Debt List'!$F$12)),N(CHOOSE(AP110,J110,N110,R110,V110,Z110,AD110,AH110,AL110))+N(CHOOSE(AP110,K110,O110,S110,W110,AA110,AE110,AI110,AM110))))),0))</f>
        <v/>
      </c>
      <c r="AR110">
        <f>MIN(N(AQ110),MAX(0,N(ExtraPayment)))</f>
        <v/>
      </c>
      <c r="AS110">
        <f>MAX(0,N(ExtraPayment)-N(AR110))</f>
        <v/>
      </c>
      <c r="AT110">
        <f>IFERROR(MATCH(2,OrderPlan,0),"")</f>
        <v/>
      </c>
      <c r="AU110">
        <f>IF(AT110="",0,IFERROR(IF(N(CHOOSE(AT110,J110,N110,R110,V110,Z110,AD110,AH110,AL110))&lt;=0.005,0,MAX(0,N(CHOOSE(AT110,J110,N110,R110,V110,Z110,AD110,AH110,AL110))+N(CHOOSE(AT110,K110,O110,S110,W110,AA110,AE110,AI110,AM110))-MIN(N(CHOOSE(AT110,'Debt List'!$F$5,'Debt List'!$F$6,'Debt List'!$F$7,'Debt List'!$F$8,'Debt List'!$F$9,'Debt List'!$F$10,'Debt List'!$F$11,'Debt List'!$F$12)),N(CHOOSE(AT110,J110,N110,R110,V110,Z110,AD110,AH110,AL110))+N(CHOOSE(AT110,K110,O110,S110,W110,AA110,AE110,AI110,AM110))))),0))</f>
        <v/>
      </c>
      <c r="AV110">
        <f>MIN(N(AU110),MAX(0,N(AS110)))</f>
        <v/>
      </c>
      <c r="AW110">
        <f>MAX(0,N(AS110)-N(AV110))</f>
        <v/>
      </c>
      <c r="AX110">
        <f>IFERROR(MATCH(3,OrderPlan,0),"")</f>
        <v/>
      </c>
      <c r="AY110">
        <f>IF(AX110="",0,IFERROR(IF(N(CHOOSE(AX110,J110,N110,R110,V110,Z110,AD110,AH110,AL110))&lt;=0.005,0,MAX(0,N(CHOOSE(AX110,J110,N110,R110,V110,Z110,AD110,AH110,AL110))+N(CHOOSE(AX110,K110,O110,S110,W110,AA110,AE110,AI110,AM110))-MIN(N(CHOOSE(AX110,'Debt List'!$F$5,'Debt List'!$F$6,'Debt List'!$F$7,'Debt List'!$F$8,'Debt List'!$F$9,'Debt List'!$F$10,'Debt List'!$F$11,'Debt List'!$F$12)),N(CHOOSE(AX110,J110,N110,R110,V110,Z110,AD110,AH110,AL110))+N(CHOOSE(AX110,K110,O110,S110,W110,AA110,AE110,AI110,AM110))))),0))</f>
        <v/>
      </c>
      <c r="AZ110">
        <f>MIN(N(AY110),MAX(0,N(AW110)))</f>
        <v/>
      </c>
      <c r="BA110">
        <f>MAX(0,N(AW110)-N(AZ110))</f>
        <v/>
      </c>
      <c r="BB110">
        <f>IFERROR(MATCH(4,OrderPlan,0),"")</f>
        <v/>
      </c>
      <c r="BC110">
        <f>IF(BB110="",0,IFERROR(IF(N(CHOOSE(BB110,J110,N110,R110,V110,Z110,AD110,AH110,AL110))&lt;=0.005,0,MAX(0,N(CHOOSE(BB110,J110,N110,R110,V110,Z110,AD110,AH110,AL110))+N(CHOOSE(BB110,K110,O110,S110,W110,AA110,AE110,AI110,AM110))-MIN(N(CHOOSE(BB110,'Debt List'!$F$5,'Debt List'!$F$6,'Debt List'!$F$7,'Debt List'!$F$8,'Debt List'!$F$9,'Debt List'!$F$10,'Debt List'!$F$11,'Debt List'!$F$12)),N(CHOOSE(BB110,J110,N110,R110,V110,Z110,AD110,AH110,AL110))+N(CHOOSE(BB110,K110,O110,S110,W110,AA110,AE110,AI110,AM110))))),0))</f>
        <v/>
      </c>
      <c r="BD110">
        <f>MIN(N(BC110),MAX(0,N(BA110)))</f>
        <v/>
      </c>
      <c r="BE110">
        <f>MAX(0,N(BA110)-N(BD110))</f>
        <v/>
      </c>
      <c r="BF110">
        <f>IFERROR(MATCH(5,OrderPlan,0),"")</f>
        <v/>
      </c>
      <c r="BG110">
        <f>IF(BF110="",0,IFERROR(IF(N(CHOOSE(BF110,J110,N110,R110,V110,Z110,AD110,AH110,AL110))&lt;=0.005,0,MAX(0,N(CHOOSE(BF110,J110,N110,R110,V110,Z110,AD110,AH110,AL110))+N(CHOOSE(BF110,K110,O110,S110,W110,AA110,AE110,AI110,AM110))-MIN(N(CHOOSE(BF110,'Debt List'!$F$5,'Debt List'!$F$6,'Debt List'!$F$7,'Debt List'!$F$8,'Debt List'!$F$9,'Debt List'!$F$10,'Debt List'!$F$11,'Debt List'!$F$12)),N(CHOOSE(BF110,J110,N110,R110,V110,Z110,AD110,AH110,AL110))+N(CHOOSE(BF110,K110,O110,S110,W110,AA110,AE110,AI110,AM110))))),0))</f>
        <v/>
      </c>
      <c r="BH110">
        <f>MIN(N(BG110),MAX(0,N(BE110)))</f>
        <v/>
      </c>
      <c r="BI110">
        <f>MAX(0,N(BE110)-N(BH110))</f>
        <v/>
      </c>
      <c r="BJ110">
        <f>IFERROR(MATCH(6,OrderPlan,0),"")</f>
        <v/>
      </c>
      <c r="BK110">
        <f>IF(BJ110="",0,IFERROR(IF(N(CHOOSE(BJ110,J110,N110,R110,V110,Z110,AD110,AH110,AL110))&lt;=0.005,0,MAX(0,N(CHOOSE(BJ110,J110,N110,R110,V110,Z110,AD110,AH110,AL110))+N(CHOOSE(BJ110,K110,O110,S110,W110,AA110,AE110,AI110,AM110))-MIN(N(CHOOSE(BJ110,'Debt List'!$F$5,'Debt List'!$F$6,'Debt List'!$F$7,'Debt List'!$F$8,'Debt List'!$F$9,'Debt List'!$F$10,'Debt List'!$F$11,'Debt List'!$F$12)),N(CHOOSE(BJ110,J110,N110,R110,V110,Z110,AD110,AH110,AL110))+N(CHOOSE(BJ110,K110,O110,S110,W110,AA110,AE110,AI110,AM110))))),0))</f>
        <v/>
      </c>
      <c r="BL110">
        <f>MIN(N(BK110),MAX(0,N(BI110)))</f>
        <v/>
      </c>
      <c r="BM110">
        <f>MAX(0,N(BI110)-N(BL110))</f>
        <v/>
      </c>
      <c r="BN110">
        <f>IFERROR(MATCH(7,OrderPlan,0),"")</f>
        <v/>
      </c>
      <c r="BO110">
        <f>IF(BN110="",0,IFERROR(IF(N(CHOOSE(BN110,J110,N110,R110,V110,Z110,AD110,AH110,AL110))&lt;=0.005,0,MAX(0,N(CHOOSE(BN110,J110,N110,R110,V110,Z110,AD110,AH110,AL110))+N(CHOOSE(BN110,K110,O110,S110,W110,AA110,AE110,AI110,AM110))-MIN(N(CHOOSE(BN110,'Debt List'!$F$5,'Debt List'!$F$6,'Debt List'!$F$7,'Debt List'!$F$8,'Debt List'!$F$9,'Debt List'!$F$10,'Debt List'!$F$11,'Debt List'!$F$12)),N(CHOOSE(BN110,J110,N110,R110,V110,Z110,AD110,AH110,AL110))+N(CHOOSE(BN110,K110,O110,S110,W110,AA110,AE110,AI110,AM110))))),0))</f>
        <v/>
      </c>
      <c r="BP110">
        <f>MIN(N(BO110),MAX(0,N(BM110)))</f>
        <v/>
      </c>
      <c r="BQ110">
        <f>MAX(0,N(BM110)-N(BP110))</f>
        <v/>
      </c>
      <c r="BR110">
        <f>IFERROR(MATCH(8,OrderPlan,0),"")</f>
        <v/>
      </c>
      <c r="BS110">
        <f>IF(BR110="",0,IFERROR(IF(N(CHOOSE(BR110,J110,N110,R110,V110,Z110,AD110,AH110,AL110))&lt;=0.005,0,MAX(0,N(CHOOSE(BR110,J110,N110,R110,V110,Z110,AD110,AH110,AL110))+N(CHOOSE(BR110,K110,O110,S110,W110,AA110,AE110,AI110,AM110))-MIN(N(CHOOSE(BR110,'Debt List'!$F$5,'Debt List'!$F$6,'Debt List'!$F$7,'Debt List'!$F$8,'Debt List'!$F$9,'Debt List'!$F$10,'Debt List'!$F$11,'Debt List'!$F$12)),N(CHOOSE(BR110,J110,N110,R110,V110,Z110,AD110,AH110,AL110))+N(CHOOSE(BR110,K110,O110,S110,W110,AA110,AE110,AI110,AM110))))),0))</f>
        <v/>
      </c>
      <c r="BT110">
        <f>MIN(N(BS110),MAX(0,N(BQ110)))</f>
        <v/>
      </c>
      <c r="BU110">
        <f>MAX(0,N(BQ110)-N(BT110))</f>
        <v/>
      </c>
      <c r="CC110" t="n">
        <v>106</v>
      </c>
      <c r="CD110" s="115">
        <f>DATE(YEAR(PlanStart),MONTH(PlanStart)+CC110-1,1)</f>
        <v/>
      </c>
      <c r="CE110">
        <f>IF(AND(DR110&lt;&gt;"",N(CHOOSE(DR110,CL110,CP110,CT110,CX110,DB110,DF110,DJ110,DN110))&gt;0.005),INDEX(DebtNames,DR110),IF(AND(DV110&lt;&gt;"",N(CHOOSE(DV110,CL110,CP110,CT110,CX110,DB110,DF110,DJ110,DN110))&gt;0.005),INDEX(DebtNames,DV110),IF(AND(DZ110&lt;&gt;"",N(CHOOSE(DZ110,CL110,CP110,CT110,CX110,DB110,DF110,DJ110,DN110))&gt;0.005),INDEX(DebtNames,DZ110),IF(AND(ED110&lt;&gt;"",N(CHOOSE(ED110,CL110,CP110,CT110,CX110,DB110,DF110,DJ110,DN110))&gt;0.005),INDEX(DebtNames,ED110),IF(AND(EH110&lt;&gt;"",N(CHOOSE(EH110,CL110,CP110,CT110,CX110,DB110,DF110,DJ110,DN110))&gt;0.005),INDEX(DebtNames,EH110),IF(AND(EL110&lt;&gt;"",N(CHOOSE(EL110,CL110,CP110,CT110,CX110,DB110,DF110,DJ110,DN110))&gt;0.005),INDEX(DebtNames,EL110),IF(AND(EP110&lt;&gt;"",N(CHOOSE(EP110,CL110,CP110,CT110,CX110,DB110,DF110,DJ110,DN110))&gt;0.005),INDEX(DebtNames,EP110),IF(AND(ET110&lt;&gt;"",N(CHOOSE(ET110,CL110,CP110,CT110,CX110,DB110,DF110,DJ110,DN110))&gt;0.005),INDEX(DebtNames,ET110),""))))))))</f>
        <v/>
      </c>
      <c r="CF110">
        <f>N(EW110)</f>
        <v/>
      </c>
      <c r="CG110">
        <f>N(CN110)+N(CR110)+N(CV110)+N(CZ110)+N(DD110)+N(DH110)+N(DL110)+N(DP110)</f>
        <v/>
      </c>
      <c r="CH110">
        <f>N(CM110)+N(CQ110)+N(CU110)+N(CY110)+N(DC110)+N(DG110)+N(DK110)+N(DO110)</f>
        <v/>
      </c>
      <c r="CI110">
        <f>N(CI109)+N(CH110)</f>
        <v/>
      </c>
      <c r="CJ110">
        <f>N(CO110)+N(CS110)+N(CW110)+N(DA110)+N(DE110)+N(DI110)+N(DM110)+N(DQ110)</f>
        <v/>
      </c>
      <c r="CK110">
        <f>(CO110&gt;0.005)*1+(CS110&gt;0.005)*1+(CW110&gt;0.005)*1+(DA110&gt;0.005)*1+(DE110&gt;0.005)*1+(DI110&gt;0.005)*1+(DM110&gt;0.005)*1+(DQ110&gt;0.005)*1</f>
        <v/>
      </c>
      <c r="CL110">
        <f>N(CO109)</f>
        <v/>
      </c>
      <c r="CM110">
        <f>IF(N(CL110)&lt;=0.005,0,ROUND(N(CL110)*N('Debt List'!E5)/12,2))</f>
        <v/>
      </c>
      <c r="CN110">
        <f>IF(N(CL110)&lt;=0.005,0,MIN(N('Debt List'!F5),N(CL110)+N(CM110)))+((DR110=1)*DT110+(DV110=1)*DX110+(DZ110=1)*EB110+(ED110=1)*EF110+(EH110=1)*EJ110+(EL110=1)*EN110+(EP110=1)*ER110+(ET110=1)*EV110)</f>
        <v/>
      </c>
      <c r="CO110">
        <f>MAX(0,ROUND(N(CL110)+N(CM110)-N(CN110),2))</f>
        <v/>
      </c>
      <c r="CP110">
        <f>N(CS109)</f>
        <v/>
      </c>
      <c r="CQ110">
        <f>IF(N(CP110)&lt;=0.005,0,ROUND(N(CP110)*N('Debt List'!E6)/12,2))</f>
        <v/>
      </c>
      <c r="CR110">
        <f>IF(N(CP110)&lt;=0.005,0,MIN(N('Debt List'!F6),N(CP110)+N(CQ110)))+((DR110=2)*DT110+(DV110=2)*DX110+(DZ110=2)*EB110+(ED110=2)*EF110+(EH110=2)*EJ110+(EL110=2)*EN110+(EP110=2)*ER110+(ET110=2)*EV110)</f>
        <v/>
      </c>
      <c r="CS110">
        <f>MAX(0,ROUND(N(CP110)+N(CQ110)-N(CR110),2))</f>
        <v/>
      </c>
      <c r="CT110">
        <f>N(CW109)</f>
        <v/>
      </c>
      <c r="CU110">
        <f>IF(N(CT110)&lt;=0.005,0,ROUND(N(CT110)*N('Debt List'!E7)/12,2))</f>
        <v/>
      </c>
      <c r="CV110">
        <f>IF(N(CT110)&lt;=0.005,0,MIN(N('Debt List'!F7),N(CT110)+N(CU110)))+((DR110=3)*DT110+(DV110=3)*DX110+(DZ110=3)*EB110+(ED110=3)*EF110+(EH110=3)*EJ110+(EL110=3)*EN110+(EP110=3)*ER110+(ET110=3)*EV110)</f>
        <v/>
      </c>
      <c r="CW110">
        <f>MAX(0,ROUND(N(CT110)+N(CU110)-N(CV110),2))</f>
        <v/>
      </c>
      <c r="CX110">
        <f>N(DA109)</f>
        <v/>
      </c>
      <c r="CY110">
        <f>IF(N(CX110)&lt;=0.005,0,ROUND(N(CX110)*N('Debt List'!E8)/12,2))</f>
        <v/>
      </c>
      <c r="CZ110">
        <f>IF(N(CX110)&lt;=0.005,0,MIN(N('Debt List'!F8),N(CX110)+N(CY110)))+((DR110=4)*DT110+(DV110=4)*DX110+(DZ110=4)*EB110+(ED110=4)*EF110+(EH110=4)*EJ110+(EL110=4)*EN110+(EP110=4)*ER110+(ET110=4)*EV110)</f>
        <v/>
      </c>
      <c r="DA110">
        <f>MAX(0,ROUND(N(CX110)+N(CY110)-N(CZ110),2))</f>
        <v/>
      </c>
      <c r="DB110">
        <f>N(DE109)</f>
        <v/>
      </c>
      <c r="DC110">
        <f>IF(N(DB110)&lt;=0.005,0,ROUND(N(DB110)*N('Debt List'!E9)/12,2))</f>
        <v/>
      </c>
      <c r="DD110">
        <f>IF(N(DB110)&lt;=0.005,0,MIN(N('Debt List'!F9),N(DB110)+N(DC110)))+((DR110=5)*DT110+(DV110=5)*DX110+(DZ110=5)*EB110+(ED110=5)*EF110+(EH110=5)*EJ110+(EL110=5)*EN110+(EP110=5)*ER110+(ET110=5)*EV110)</f>
        <v/>
      </c>
      <c r="DE110">
        <f>MAX(0,ROUND(N(DB110)+N(DC110)-N(DD110),2))</f>
        <v/>
      </c>
      <c r="DF110">
        <f>N(DI109)</f>
        <v/>
      </c>
      <c r="DG110">
        <f>IF(N(DF110)&lt;=0.005,0,ROUND(N(DF110)*N('Debt List'!E10)/12,2))</f>
        <v/>
      </c>
      <c r="DH110">
        <f>IF(N(DF110)&lt;=0.005,0,MIN(N('Debt List'!F10),N(DF110)+N(DG110)))+((DR110=6)*DT110+(DV110=6)*DX110+(DZ110=6)*EB110+(ED110=6)*EF110+(EH110=6)*EJ110+(EL110=6)*EN110+(EP110=6)*ER110+(ET110=6)*EV110)</f>
        <v/>
      </c>
      <c r="DI110">
        <f>MAX(0,ROUND(N(DF110)+N(DG110)-N(DH110),2))</f>
        <v/>
      </c>
      <c r="DJ110">
        <f>N(DM109)</f>
        <v/>
      </c>
      <c r="DK110">
        <f>IF(N(DJ110)&lt;=0.005,0,ROUND(N(DJ110)*N('Debt List'!E11)/12,2))</f>
        <v/>
      </c>
      <c r="DL110">
        <f>IF(N(DJ110)&lt;=0.005,0,MIN(N('Debt List'!F11),N(DJ110)+N(DK110)))+((DR110=7)*DT110+(DV110=7)*DX110+(DZ110=7)*EB110+(ED110=7)*EF110+(EH110=7)*EJ110+(EL110=7)*EN110+(EP110=7)*ER110+(ET110=7)*EV110)</f>
        <v/>
      </c>
      <c r="DM110">
        <f>MAX(0,ROUND(N(DJ110)+N(DK110)-N(DL110),2))</f>
        <v/>
      </c>
      <c r="DN110">
        <f>N(DQ109)</f>
        <v/>
      </c>
      <c r="DO110">
        <f>IF(N(DN110)&lt;=0.005,0,ROUND(N(DN110)*N('Debt List'!E12)/12,2))</f>
        <v/>
      </c>
      <c r="DP110">
        <f>IF(N(DN110)&lt;=0.005,0,MIN(N('Debt List'!F12),N(DN110)+N(DO110)))+((DR110=8)*DT110+(DV110=8)*DX110+(DZ110=8)*EB110+(ED110=8)*EF110+(EH110=8)*EJ110+(EL110=8)*EN110+(EP110=8)*ER110+(ET110=8)*EV110)</f>
        <v/>
      </c>
      <c r="DQ110">
        <f>MAX(0,ROUND(N(DN110)+N(DO110)-N(DP110),2))</f>
        <v/>
      </c>
      <c r="DR110">
        <f>IFERROR(MATCH(1,OrderSnow,0),"")</f>
        <v/>
      </c>
      <c r="DS110">
        <f>IF(DR110="",0,IFERROR(IF(N(CHOOSE(DR110,CL110,CP110,CT110,CX110,DB110,DF110,DJ110,DN110))&lt;=0.005,0,MAX(0,N(CHOOSE(DR110,CL110,CP110,CT110,CX110,DB110,DF110,DJ110,DN110))+N(CHOOSE(DR110,CM110,CQ110,CU110,CY110,DC110,DG110,DK110,DO110))-MIN(N(CHOOSE(DR110,'Debt List'!$F$5,'Debt List'!$F$6,'Debt List'!$F$7,'Debt List'!$F$8,'Debt List'!$F$9,'Debt List'!$F$10,'Debt List'!$F$11,'Debt List'!$F$12)),N(CHOOSE(DR110,CL110,CP110,CT110,CX110,DB110,DF110,DJ110,DN110))+N(CHOOSE(DR110,CM110,CQ110,CU110,CY110,DC110,DG110,DK110,DO110))))),0))</f>
        <v/>
      </c>
      <c r="DT110">
        <f>MIN(N(DS110),MAX(0,N(ExtraPayment)))</f>
        <v/>
      </c>
      <c r="DU110">
        <f>MAX(0,N(ExtraPayment)-N(DT110))</f>
        <v/>
      </c>
      <c r="DV110">
        <f>IFERROR(MATCH(2,OrderSnow,0),"")</f>
        <v/>
      </c>
      <c r="DW110">
        <f>IF(DV110="",0,IFERROR(IF(N(CHOOSE(DV110,CL110,CP110,CT110,CX110,DB110,DF110,DJ110,DN110))&lt;=0.005,0,MAX(0,N(CHOOSE(DV110,CL110,CP110,CT110,CX110,DB110,DF110,DJ110,DN110))+N(CHOOSE(DV110,CM110,CQ110,CU110,CY110,DC110,DG110,DK110,DO110))-MIN(N(CHOOSE(DV110,'Debt List'!$F$5,'Debt List'!$F$6,'Debt List'!$F$7,'Debt List'!$F$8,'Debt List'!$F$9,'Debt List'!$F$10,'Debt List'!$F$11,'Debt List'!$F$12)),N(CHOOSE(DV110,CL110,CP110,CT110,CX110,DB110,DF110,DJ110,DN110))+N(CHOOSE(DV110,CM110,CQ110,CU110,CY110,DC110,DG110,DK110,DO110))))),0))</f>
        <v/>
      </c>
      <c r="DX110">
        <f>MIN(N(DW110),MAX(0,N(DU110)))</f>
        <v/>
      </c>
      <c r="DY110">
        <f>MAX(0,N(DU110)-N(DX110))</f>
        <v/>
      </c>
      <c r="DZ110">
        <f>IFERROR(MATCH(3,OrderSnow,0),"")</f>
        <v/>
      </c>
      <c r="EA110">
        <f>IF(DZ110="",0,IFERROR(IF(N(CHOOSE(DZ110,CL110,CP110,CT110,CX110,DB110,DF110,DJ110,DN110))&lt;=0.005,0,MAX(0,N(CHOOSE(DZ110,CL110,CP110,CT110,CX110,DB110,DF110,DJ110,DN110))+N(CHOOSE(DZ110,CM110,CQ110,CU110,CY110,DC110,DG110,DK110,DO110))-MIN(N(CHOOSE(DZ110,'Debt List'!$F$5,'Debt List'!$F$6,'Debt List'!$F$7,'Debt List'!$F$8,'Debt List'!$F$9,'Debt List'!$F$10,'Debt List'!$F$11,'Debt List'!$F$12)),N(CHOOSE(DZ110,CL110,CP110,CT110,CX110,DB110,DF110,DJ110,DN110))+N(CHOOSE(DZ110,CM110,CQ110,CU110,CY110,DC110,DG110,DK110,DO110))))),0))</f>
        <v/>
      </c>
      <c r="EB110">
        <f>MIN(N(EA110),MAX(0,N(DY110)))</f>
        <v/>
      </c>
      <c r="EC110">
        <f>MAX(0,N(DY110)-N(EB110))</f>
        <v/>
      </c>
      <c r="ED110">
        <f>IFERROR(MATCH(4,OrderSnow,0),"")</f>
        <v/>
      </c>
      <c r="EE110">
        <f>IF(ED110="",0,IFERROR(IF(N(CHOOSE(ED110,CL110,CP110,CT110,CX110,DB110,DF110,DJ110,DN110))&lt;=0.005,0,MAX(0,N(CHOOSE(ED110,CL110,CP110,CT110,CX110,DB110,DF110,DJ110,DN110))+N(CHOOSE(ED110,CM110,CQ110,CU110,CY110,DC110,DG110,DK110,DO110))-MIN(N(CHOOSE(ED110,'Debt List'!$F$5,'Debt List'!$F$6,'Debt List'!$F$7,'Debt List'!$F$8,'Debt List'!$F$9,'Debt List'!$F$10,'Debt List'!$F$11,'Debt List'!$F$12)),N(CHOOSE(ED110,CL110,CP110,CT110,CX110,DB110,DF110,DJ110,DN110))+N(CHOOSE(ED110,CM110,CQ110,CU110,CY110,DC110,DG110,DK110,DO110))))),0))</f>
        <v/>
      </c>
      <c r="EF110">
        <f>MIN(N(EE110),MAX(0,N(EC110)))</f>
        <v/>
      </c>
      <c r="EG110">
        <f>MAX(0,N(EC110)-N(EF110))</f>
        <v/>
      </c>
      <c r="EH110">
        <f>IFERROR(MATCH(5,OrderSnow,0),"")</f>
        <v/>
      </c>
      <c r="EI110">
        <f>IF(EH110="",0,IFERROR(IF(N(CHOOSE(EH110,CL110,CP110,CT110,CX110,DB110,DF110,DJ110,DN110))&lt;=0.005,0,MAX(0,N(CHOOSE(EH110,CL110,CP110,CT110,CX110,DB110,DF110,DJ110,DN110))+N(CHOOSE(EH110,CM110,CQ110,CU110,CY110,DC110,DG110,DK110,DO110))-MIN(N(CHOOSE(EH110,'Debt List'!$F$5,'Debt List'!$F$6,'Debt List'!$F$7,'Debt List'!$F$8,'Debt List'!$F$9,'Debt List'!$F$10,'Debt List'!$F$11,'Debt List'!$F$12)),N(CHOOSE(EH110,CL110,CP110,CT110,CX110,DB110,DF110,DJ110,DN110))+N(CHOOSE(EH110,CM110,CQ110,CU110,CY110,DC110,DG110,DK110,DO110))))),0))</f>
        <v/>
      </c>
      <c r="EJ110">
        <f>MIN(N(EI110),MAX(0,N(EG110)))</f>
        <v/>
      </c>
      <c r="EK110">
        <f>MAX(0,N(EG110)-N(EJ110))</f>
        <v/>
      </c>
      <c r="EL110">
        <f>IFERROR(MATCH(6,OrderSnow,0),"")</f>
        <v/>
      </c>
      <c r="EM110">
        <f>IF(EL110="",0,IFERROR(IF(N(CHOOSE(EL110,CL110,CP110,CT110,CX110,DB110,DF110,DJ110,DN110))&lt;=0.005,0,MAX(0,N(CHOOSE(EL110,CL110,CP110,CT110,CX110,DB110,DF110,DJ110,DN110))+N(CHOOSE(EL110,CM110,CQ110,CU110,CY110,DC110,DG110,DK110,DO110))-MIN(N(CHOOSE(EL110,'Debt List'!$F$5,'Debt List'!$F$6,'Debt List'!$F$7,'Debt List'!$F$8,'Debt List'!$F$9,'Debt List'!$F$10,'Debt List'!$F$11,'Debt List'!$F$12)),N(CHOOSE(EL110,CL110,CP110,CT110,CX110,DB110,DF110,DJ110,DN110))+N(CHOOSE(EL110,CM110,CQ110,CU110,CY110,DC110,DG110,DK110,DO110))))),0))</f>
        <v/>
      </c>
      <c r="EN110">
        <f>MIN(N(EM110),MAX(0,N(EK110)))</f>
        <v/>
      </c>
      <c r="EO110">
        <f>MAX(0,N(EK110)-N(EN110))</f>
        <v/>
      </c>
      <c r="EP110">
        <f>IFERROR(MATCH(7,OrderSnow,0),"")</f>
        <v/>
      </c>
      <c r="EQ110">
        <f>IF(EP110="",0,IFERROR(IF(N(CHOOSE(EP110,CL110,CP110,CT110,CX110,DB110,DF110,DJ110,DN110))&lt;=0.005,0,MAX(0,N(CHOOSE(EP110,CL110,CP110,CT110,CX110,DB110,DF110,DJ110,DN110))+N(CHOOSE(EP110,CM110,CQ110,CU110,CY110,DC110,DG110,DK110,DO110))-MIN(N(CHOOSE(EP110,'Debt List'!$F$5,'Debt List'!$F$6,'Debt List'!$F$7,'Debt List'!$F$8,'Debt List'!$F$9,'Debt List'!$F$10,'Debt List'!$F$11,'Debt List'!$F$12)),N(CHOOSE(EP110,CL110,CP110,CT110,CX110,DB110,DF110,DJ110,DN110))+N(CHOOSE(EP110,CM110,CQ110,CU110,CY110,DC110,DG110,DK110,DO110))))),0))</f>
        <v/>
      </c>
      <c r="ER110">
        <f>MIN(N(EQ110),MAX(0,N(EO110)))</f>
        <v/>
      </c>
      <c r="ES110">
        <f>MAX(0,N(EO110)-N(ER110))</f>
        <v/>
      </c>
      <c r="ET110">
        <f>IFERROR(MATCH(8,OrderSnow,0),"")</f>
        <v/>
      </c>
      <c r="EU110">
        <f>IF(ET110="",0,IFERROR(IF(N(CHOOSE(ET110,CL110,CP110,CT110,CX110,DB110,DF110,DJ110,DN110))&lt;=0.005,0,MAX(0,N(CHOOSE(ET110,CL110,CP110,CT110,CX110,DB110,DF110,DJ110,DN110))+N(CHOOSE(ET110,CM110,CQ110,CU110,CY110,DC110,DG110,DK110,DO110))-MIN(N(CHOOSE(ET110,'Debt List'!$F$5,'Debt List'!$F$6,'Debt List'!$F$7,'Debt List'!$F$8,'Debt List'!$F$9,'Debt List'!$F$10,'Debt List'!$F$11,'Debt List'!$F$12)),N(CHOOSE(ET110,CL110,CP110,CT110,CX110,DB110,DF110,DJ110,DN110))+N(CHOOSE(ET110,CM110,CQ110,CU110,CY110,DC110,DG110,DK110,DO110))))),0))</f>
        <v/>
      </c>
      <c r="EV110">
        <f>MIN(N(EU110),MAX(0,N(ES110)))</f>
        <v/>
      </c>
      <c r="EW110">
        <f>MAX(0,N(ES110)-N(EV110))</f>
        <v/>
      </c>
      <c r="FE110" t="n">
        <v>106</v>
      </c>
      <c r="FF110" s="115">
        <f>DATE(YEAR(PlanStart),MONTH(PlanStart)+FE110-1,1)</f>
        <v/>
      </c>
      <c r="FG110">
        <f>IF(AND(GT110&lt;&gt;"",N(CHOOSE(GT110,FN110,FR110,FV110,FZ110,GD110,GH110,GL110,GP110))&gt;0.005),INDEX(DebtNames,GT110),IF(AND(GX110&lt;&gt;"",N(CHOOSE(GX110,FN110,FR110,FV110,FZ110,GD110,GH110,GL110,GP110))&gt;0.005),INDEX(DebtNames,GX110),IF(AND(HB110&lt;&gt;"",N(CHOOSE(HB110,FN110,FR110,FV110,FZ110,GD110,GH110,GL110,GP110))&gt;0.005),INDEX(DebtNames,HB110),IF(AND(HF110&lt;&gt;"",N(CHOOSE(HF110,FN110,FR110,FV110,FZ110,GD110,GH110,GL110,GP110))&gt;0.005),INDEX(DebtNames,HF110),IF(AND(HJ110&lt;&gt;"",N(CHOOSE(HJ110,FN110,FR110,FV110,FZ110,GD110,GH110,GL110,GP110))&gt;0.005),INDEX(DebtNames,HJ110),IF(AND(HN110&lt;&gt;"",N(CHOOSE(HN110,FN110,FR110,FV110,FZ110,GD110,GH110,GL110,GP110))&gt;0.005),INDEX(DebtNames,HN110),IF(AND(HR110&lt;&gt;"",N(CHOOSE(HR110,FN110,FR110,FV110,FZ110,GD110,GH110,GL110,GP110))&gt;0.005),INDEX(DebtNames,HR110),IF(AND(HV110&lt;&gt;"",N(CHOOSE(HV110,FN110,FR110,FV110,FZ110,GD110,GH110,GL110,GP110))&gt;0.005),INDEX(DebtNames,HV110),""))))))))</f>
        <v/>
      </c>
      <c r="FH110">
        <f>N(HY110)</f>
        <v/>
      </c>
      <c r="FI110">
        <f>N(FP110)+N(FT110)+N(FX110)+N(GB110)+N(GF110)+N(GJ110)+N(GN110)+N(GR110)</f>
        <v/>
      </c>
      <c r="FJ110">
        <f>N(FO110)+N(FS110)+N(FW110)+N(GA110)+N(GE110)+N(GI110)+N(GM110)+N(GQ110)</f>
        <v/>
      </c>
      <c r="FK110">
        <f>N(FK109)+N(FJ110)</f>
        <v/>
      </c>
      <c r="FL110">
        <f>N(FQ110)+N(FU110)+N(FY110)+N(GC110)+N(GG110)+N(GK110)+N(GO110)+N(GS110)</f>
        <v/>
      </c>
      <c r="FM110">
        <f>(FQ110&gt;0.005)*1+(FU110&gt;0.005)*1+(FY110&gt;0.005)*1+(GC110&gt;0.005)*1+(GG110&gt;0.005)*1+(GK110&gt;0.005)*1+(GO110&gt;0.005)*1+(GS110&gt;0.005)*1</f>
        <v/>
      </c>
      <c r="FN110">
        <f>N(FQ109)</f>
        <v/>
      </c>
      <c r="FO110">
        <f>IF(N(FN110)&lt;=0.005,0,ROUND(N(FN110)*N('Debt List'!E5)/12,2))</f>
        <v/>
      </c>
      <c r="FP110">
        <f>IF(N(FN110)&lt;=0.005,0,MIN(N('Debt List'!F5),N(FN110)+N(FO110)))+((GT110=1)*GV110+(GX110=1)*GZ110+(HB110=1)*HD110+(HF110=1)*HH110+(HJ110=1)*HL110+(HN110=1)*HP110+(HR110=1)*HT110+(HV110=1)*HX110)</f>
        <v/>
      </c>
      <c r="FQ110">
        <f>MAX(0,ROUND(N(FN110)+N(FO110)-N(FP110),2))</f>
        <v/>
      </c>
      <c r="FR110">
        <f>N(FU109)</f>
        <v/>
      </c>
      <c r="FS110">
        <f>IF(N(FR110)&lt;=0.005,0,ROUND(N(FR110)*N('Debt List'!E6)/12,2))</f>
        <v/>
      </c>
      <c r="FT110">
        <f>IF(N(FR110)&lt;=0.005,0,MIN(N('Debt List'!F6),N(FR110)+N(FS110)))+((GT110=2)*GV110+(GX110=2)*GZ110+(HB110=2)*HD110+(HF110=2)*HH110+(HJ110=2)*HL110+(HN110=2)*HP110+(HR110=2)*HT110+(HV110=2)*HX110)</f>
        <v/>
      </c>
      <c r="FU110">
        <f>MAX(0,ROUND(N(FR110)+N(FS110)-N(FT110),2))</f>
        <v/>
      </c>
      <c r="FV110">
        <f>N(FY109)</f>
        <v/>
      </c>
      <c r="FW110">
        <f>IF(N(FV110)&lt;=0.005,0,ROUND(N(FV110)*N('Debt List'!E7)/12,2))</f>
        <v/>
      </c>
      <c r="FX110">
        <f>IF(N(FV110)&lt;=0.005,0,MIN(N('Debt List'!F7),N(FV110)+N(FW110)))+((GT110=3)*GV110+(GX110=3)*GZ110+(HB110=3)*HD110+(HF110=3)*HH110+(HJ110=3)*HL110+(HN110=3)*HP110+(HR110=3)*HT110+(HV110=3)*HX110)</f>
        <v/>
      </c>
      <c r="FY110">
        <f>MAX(0,ROUND(N(FV110)+N(FW110)-N(FX110),2))</f>
        <v/>
      </c>
      <c r="FZ110">
        <f>N(GC109)</f>
        <v/>
      </c>
      <c r="GA110">
        <f>IF(N(FZ110)&lt;=0.005,0,ROUND(N(FZ110)*N('Debt List'!E8)/12,2))</f>
        <v/>
      </c>
      <c r="GB110">
        <f>IF(N(FZ110)&lt;=0.005,0,MIN(N('Debt List'!F8),N(FZ110)+N(GA110)))+((GT110=4)*GV110+(GX110=4)*GZ110+(HB110=4)*HD110+(HF110=4)*HH110+(HJ110=4)*HL110+(HN110=4)*HP110+(HR110=4)*HT110+(HV110=4)*HX110)</f>
        <v/>
      </c>
      <c r="GC110">
        <f>MAX(0,ROUND(N(FZ110)+N(GA110)-N(GB110),2))</f>
        <v/>
      </c>
      <c r="GD110">
        <f>N(GG109)</f>
        <v/>
      </c>
      <c r="GE110">
        <f>IF(N(GD110)&lt;=0.005,0,ROUND(N(GD110)*N('Debt List'!E9)/12,2))</f>
        <v/>
      </c>
      <c r="GF110">
        <f>IF(N(GD110)&lt;=0.005,0,MIN(N('Debt List'!F9),N(GD110)+N(GE110)))+((GT110=5)*GV110+(GX110=5)*GZ110+(HB110=5)*HD110+(HF110=5)*HH110+(HJ110=5)*HL110+(HN110=5)*HP110+(HR110=5)*HT110+(HV110=5)*HX110)</f>
        <v/>
      </c>
      <c r="GG110">
        <f>MAX(0,ROUND(N(GD110)+N(GE110)-N(GF110),2))</f>
        <v/>
      </c>
      <c r="GH110">
        <f>N(GK109)</f>
        <v/>
      </c>
      <c r="GI110">
        <f>IF(N(GH110)&lt;=0.005,0,ROUND(N(GH110)*N('Debt List'!E10)/12,2))</f>
        <v/>
      </c>
      <c r="GJ110">
        <f>IF(N(GH110)&lt;=0.005,0,MIN(N('Debt List'!F10),N(GH110)+N(GI110)))+((GT110=6)*GV110+(GX110=6)*GZ110+(HB110=6)*HD110+(HF110=6)*HH110+(HJ110=6)*HL110+(HN110=6)*HP110+(HR110=6)*HT110+(HV110=6)*HX110)</f>
        <v/>
      </c>
      <c r="GK110">
        <f>MAX(0,ROUND(N(GH110)+N(GI110)-N(GJ110),2))</f>
        <v/>
      </c>
      <c r="GL110">
        <f>N(GO109)</f>
        <v/>
      </c>
      <c r="GM110">
        <f>IF(N(GL110)&lt;=0.005,0,ROUND(N(GL110)*N('Debt List'!E11)/12,2))</f>
        <v/>
      </c>
      <c r="GN110">
        <f>IF(N(GL110)&lt;=0.005,0,MIN(N('Debt List'!F11),N(GL110)+N(GM110)))+((GT110=7)*GV110+(GX110=7)*GZ110+(HB110=7)*HD110+(HF110=7)*HH110+(HJ110=7)*HL110+(HN110=7)*HP110+(HR110=7)*HT110+(HV110=7)*HX110)</f>
        <v/>
      </c>
      <c r="GO110">
        <f>MAX(0,ROUND(N(GL110)+N(GM110)-N(GN110),2))</f>
        <v/>
      </c>
      <c r="GP110">
        <f>N(GS109)</f>
        <v/>
      </c>
      <c r="GQ110">
        <f>IF(N(GP110)&lt;=0.005,0,ROUND(N(GP110)*N('Debt List'!E12)/12,2))</f>
        <v/>
      </c>
      <c r="GR110">
        <f>IF(N(GP110)&lt;=0.005,0,MIN(N('Debt List'!F12),N(GP110)+N(GQ110)))+((GT110=8)*GV110+(GX110=8)*GZ110+(HB110=8)*HD110+(HF110=8)*HH110+(HJ110=8)*HL110+(HN110=8)*HP110+(HR110=8)*HT110+(HV110=8)*HX110)</f>
        <v/>
      </c>
      <c r="GS110">
        <f>MAX(0,ROUND(N(GP110)+N(GQ110)-N(GR110),2))</f>
        <v/>
      </c>
      <c r="GT110">
        <f>IFERROR(MATCH(1,OrderAval,0),"")</f>
        <v/>
      </c>
      <c r="GU110">
        <f>IF(GT110="",0,IFERROR(IF(N(CHOOSE(GT110,FN110,FR110,FV110,FZ110,GD110,GH110,GL110,GP110))&lt;=0.005,0,MAX(0,N(CHOOSE(GT110,FN110,FR110,FV110,FZ110,GD110,GH110,GL110,GP110))+N(CHOOSE(GT110,FO110,FS110,FW110,GA110,GE110,GI110,GM110,GQ110))-MIN(N(CHOOSE(GT110,'Debt List'!$F$5,'Debt List'!$F$6,'Debt List'!$F$7,'Debt List'!$F$8,'Debt List'!$F$9,'Debt List'!$F$10,'Debt List'!$F$11,'Debt List'!$F$12)),N(CHOOSE(GT110,FN110,FR110,FV110,FZ110,GD110,GH110,GL110,GP110))+N(CHOOSE(GT110,FO110,FS110,FW110,GA110,GE110,GI110,GM110,GQ110))))),0))</f>
        <v/>
      </c>
      <c r="GV110">
        <f>MIN(N(GU110),MAX(0,N(ExtraPayment)))</f>
        <v/>
      </c>
      <c r="GW110">
        <f>MAX(0,N(ExtraPayment)-N(GV110))</f>
        <v/>
      </c>
      <c r="GX110">
        <f>IFERROR(MATCH(2,OrderAval,0),"")</f>
        <v/>
      </c>
      <c r="GY110">
        <f>IF(GX110="",0,IFERROR(IF(N(CHOOSE(GX110,FN110,FR110,FV110,FZ110,GD110,GH110,GL110,GP110))&lt;=0.005,0,MAX(0,N(CHOOSE(GX110,FN110,FR110,FV110,FZ110,GD110,GH110,GL110,GP110))+N(CHOOSE(GX110,FO110,FS110,FW110,GA110,GE110,GI110,GM110,GQ110))-MIN(N(CHOOSE(GX110,'Debt List'!$F$5,'Debt List'!$F$6,'Debt List'!$F$7,'Debt List'!$F$8,'Debt List'!$F$9,'Debt List'!$F$10,'Debt List'!$F$11,'Debt List'!$F$12)),N(CHOOSE(GX110,FN110,FR110,FV110,FZ110,GD110,GH110,GL110,GP110))+N(CHOOSE(GX110,FO110,FS110,FW110,GA110,GE110,GI110,GM110,GQ110))))),0))</f>
        <v/>
      </c>
      <c r="GZ110">
        <f>MIN(N(GY110),MAX(0,N(GW110)))</f>
        <v/>
      </c>
      <c r="HA110">
        <f>MAX(0,N(GW110)-N(GZ110))</f>
        <v/>
      </c>
      <c r="HB110">
        <f>IFERROR(MATCH(3,OrderAval,0),"")</f>
        <v/>
      </c>
      <c r="HC110">
        <f>IF(HB110="",0,IFERROR(IF(N(CHOOSE(HB110,FN110,FR110,FV110,FZ110,GD110,GH110,GL110,GP110))&lt;=0.005,0,MAX(0,N(CHOOSE(HB110,FN110,FR110,FV110,FZ110,GD110,GH110,GL110,GP110))+N(CHOOSE(HB110,FO110,FS110,FW110,GA110,GE110,GI110,GM110,GQ110))-MIN(N(CHOOSE(HB110,'Debt List'!$F$5,'Debt List'!$F$6,'Debt List'!$F$7,'Debt List'!$F$8,'Debt List'!$F$9,'Debt List'!$F$10,'Debt List'!$F$11,'Debt List'!$F$12)),N(CHOOSE(HB110,FN110,FR110,FV110,FZ110,GD110,GH110,GL110,GP110))+N(CHOOSE(HB110,FO110,FS110,FW110,GA110,GE110,GI110,GM110,GQ110))))),0))</f>
        <v/>
      </c>
      <c r="HD110">
        <f>MIN(N(HC110),MAX(0,N(HA110)))</f>
        <v/>
      </c>
      <c r="HE110">
        <f>MAX(0,N(HA110)-N(HD110))</f>
        <v/>
      </c>
      <c r="HF110">
        <f>IFERROR(MATCH(4,OrderAval,0),"")</f>
        <v/>
      </c>
      <c r="HG110">
        <f>IF(HF110="",0,IFERROR(IF(N(CHOOSE(HF110,FN110,FR110,FV110,FZ110,GD110,GH110,GL110,GP110))&lt;=0.005,0,MAX(0,N(CHOOSE(HF110,FN110,FR110,FV110,FZ110,GD110,GH110,GL110,GP110))+N(CHOOSE(HF110,FO110,FS110,FW110,GA110,GE110,GI110,GM110,GQ110))-MIN(N(CHOOSE(HF110,'Debt List'!$F$5,'Debt List'!$F$6,'Debt List'!$F$7,'Debt List'!$F$8,'Debt List'!$F$9,'Debt List'!$F$10,'Debt List'!$F$11,'Debt List'!$F$12)),N(CHOOSE(HF110,FN110,FR110,FV110,FZ110,GD110,GH110,GL110,GP110))+N(CHOOSE(HF110,FO110,FS110,FW110,GA110,GE110,GI110,GM110,GQ110))))),0))</f>
        <v/>
      </c>
      <c r="HH110">
        <f>MIN(N(HG110),MAX(0,N(HE110)))</f>
        <v/>
      </c>
      <c r="HI110">
        <f>MAX(0,N(HE110)-N(HH110))</f>
        <v/>
      </c>
      <c r="HJ110">
        <f>IFERROR(MATCH(5,OrderAval,0),"")</f>
        <v/>
      </c>
      <c r="HK110">
        <f>IF(HJ110="",0,IFERROR(IF(N(CHOOSE(HJ110,FN110,FR110,FV110,FZ110,GD110,GH110,GL110,GP110))&lt;=0.005,0,MAX(0,N(CHOOSE(HJ110,FN110,FR110,FV110,FZ110,GD110,GH110,GL110,GP110))+N(CHOOSE(HJ110,FO110,FS110,FW110,GA110,GE110,GI110,GM110,GQ110))-MIN(N(CHOOSE(HJ110,'Debt List'!$F$5,'Debt List'!$F$6,'Debt List'!$F$7,'Debt List'!$F$8,'Debt List'!$F$9,'Debt List'!$F$10,'Debt List'!$F$11,'Debt List'!$F$12)),N(CHOOSE(HJ110,FN110,FR110,FV110,FZ110,GD110,GH110,GL110,GP110))+N(CHOOSE(HJ110,FO110,FS110,FW110,GA110,GE110,GI110,GM110,GQ110))))),0))</f>
        <v/>
      </c>
      <c r="HL110">
        <f>MIN(N(HK110),MAX(0,N(HI110)))</f>
        <v/>
      </c>
      <c r="HM110">
        <f>MAX(0,N(HI110)-N(HL110))</f>
        <v/>
      </c>
      <c r="HN110">
        <f>IFERROR(MATCH(6,OrderAval,0),"")</f>
        <v/>
      </c>
      <c r="HO110">
        <f>IF(HN110="",0,IFERROR(IF(N(CHOOSE(HN110,FN110,FR110,FV110,FZ110,GD110,GH110,GL110,GP110))&lt;=0.005,0,MAX(0,N(CHOOSE(HN110,FN110,FR110,FV110,FZ110,GD110,GH110,GL110,GP110))+N(CHOOSE(HN110,FO110,FS110,FW110,GA110,GE110,GI110,GM110,GQ110))-MIN(N(CHOOSE(HN110,'Debt List'!$F$5,'Debt List'!$F$6,'Debt List'!$F$7,'Debt List'!$F$8,'Debt List'!$F$9,'Debt List'!$F$10,'Debt List'!$F$11,'Debt List'!$F$12)),N(CHOOSE(HN110,FN110,FR110,FV110,FZ110,GD110,GH110,GL110,GP110))+N(CHOOSE(HN110,FO110,FS110,FW110,GA110,GE110,GI110,GM110,GQ110))))),0))</f>
        <v/>
      </c>
      <c r="HP110">
        <f>MIN(N(HO110),MAX(0,N(HM110)))</f>
        <v/>
      </c>
      <c r="HQ110">
        <f>MAX(0,N(HM110)-N(HP110))</f>
        <v/>
      </c>
      <c r="HR110">
        <f>IFERROR(MATCH(7,OrderAval,0),"")</f>
        <v/>
      </c>
      <c r="HS110">
        <f>IF(HR110="",0,IFERROR(IF(N(CHOOSE(HR110,FN110,FR110,FV110,FZ110,GD110,GH110,GL110,GP110))&lt;=0.005,0,MAX(0,N(CHOOSE(HR110,FN110,FR110,FV110,FZ110,GD110,GH110,GL110,GP110))+N(CHOOSE(HR110,FO110,FS110,FW110,GA110,GE110,GI110,GM110,GQ110))-MIN(N(CHOOSE(HR110,'Debt List'!$F$5,'Debt List'!$F$6,'Debt List'!$F$7,'Debt List'!$F$8,'Debt List'!$F$9,'Debt List'!$F$10,'Debt List'!$F$11,'Debt List'!$F$12)),N(CHOOSE(HR110,FN110,FR110,FV110,FZ110,GD110,GH110,GL110,GP110))+N(CHOOSE(HR110,FO110,FS110,FW110,GA110,GE110,GI110,GM110,GQ110))))),0))</f>
        <v/>
      </c>
      <c r="HT110">
        <f>MIN(N(HS110),MAX(0,N(HQ110)))</f>
        <v/>
      </c>
      <c r="HU110">
        <f>MAX(0,N(HQ110)-N(HT110))</f>
        <v/>
      </c>
      <c r="HV110">
        <f>IFERROR(MATCH(8,OrderAval,0),"")</f>
        <v/>
      </c>
      <c r="HW110">
        <f>IF(HV110="",0,IFERROR(IF(N(CHOOSE(HV110,FN110,FR110,FV110,FZ110,GD110,GH110,GL110,GP110))&lt;=0.005,0,MAX(0,N(CHOOSE(HV110,FN110,FR110,FV110,FZ110,GD110,GH110,GL110,GP110))+N(CHOOSE(HV110,FO110,FS110,FW110,GA110,GE110,GI110,GM110,GQ110))-MIN(N(CHOOSE(HV110,'Debt List'!$F$5,'Debt List'!$F$6,'Debt List'!$F$7,'Debt List'!$F$8,'Debt List'!$F$9,'Debt List'!$F$10,'Debt List'!$F$11,'Debt List'!$F$12)),N(CHOOSE(HV110,FN110,FR110,FV110,FZ110,GD110,GH110,GL110,GP110))+N(CHOOSE(HV110,FO110,FS110,FW110,GA110,GE110,GI110,GM110,GQ110))))),0))</f>
        <v/>
      </c>
      <c r="HX110">
        <f>MIN(N(HW110),MAX(0,N(HU110)))</f>
        <v/>
      </c>
      <c r="HY110">
        <f>MAX(0,N(HU110)-N(HX110))</f>
        <v/>
      </c>
    </row>
    <row r="111">
      <c r="A111" t="n">
        <v>107</v>
      </c>
      <c r="B111" s="115">
        <f>DATE(YEAR(PlanStart),MONTH(PlanStart)+A111-1,1)</f>
        <v/>
      </c>
      <c r="C111">
        <f>IF(AND(AP111&lt;&gt;"",N(CHOOSE(AP111,J111,N111,R111,V111,Z111,AD111,AH111,AL111))&gt;0.005),INDEX(DebtNames,AP111),IF(AND(AT111&lt;&gt;"",N(CHOOSE(AT111,J111,N111,R111,V111,Z111,AD111,AH111,AL111))&gt;0.005),INDEX(DebtNames,AT111),IF(AND(AX111&lt;&gt;"",N(CHOOSE(AX111,J111,N111,R111,V111,Z111,AD111,AH111,AL111))&gt;0.005),INDEX(DebtNames,AX111),IF(AND(BB111&lt;&gt;"",N(CHOOSE(BB111,J111,N111,R111,V111,Z111,AD111,AH111,AL111))&gt;0.005),INDEX(DebtNames,BB111),IF(AND(BF111&lt;&gt;"",N(CHOOSE(BF111,J111,N111,R111,V111,Z111,AD111,AH111,AL111))&gt;0.005),INDEX(DebtNames,BF111),IF(AND(BJ111&lt;&gt;"",N(CHOOSE(BJ111,J111,N111,R111,V111,Z111,AD111,AH111,AL111))&gt;0.005),INDEX(DebtNames,BJ111),IF(AND(BN111&lt;&gt;"",N(CHOOSE(BN111,J111,N111,R111,V111,Z111,AD111,AH111,AL111))&gt;0.005),INDEX(DebtNames,BN111),IF(AND(BR111&lt;&gt;"",N(CHOOSE(BR111,J111,N111,R111,V111,Z111,AD111,AH111,AL111))&gt;0.005),INDEX(DebtNames,BR111),""))))))))</f>
        <v/>
      </c>
      <c r="D111">
        <f>N(BU111)</f>
        <v/>
      </c>
      <c r="E111">
        <f>N(L111)+N(P111)+N(T111)+N(X111)+N(AB111)+N(AF111)+N(AJ111)+N(AN111)</f>
        <v/>
      </c>
      <c r="F111">
        <f>N(K111)+N(O111)+N(S111)+N(W111)+N(AA111)+N(AE111)+N(AI111)+N(AM111)</f>
        <v/>
      </c>
      <c r="G111">
        <f>N(G110)+N(F111)</f>
        <v/>
      </c>
      <c r="H111">
        <f>N(M111)+N(Q111)+N(U111)+N(Y111)+N(AC111)+N(AG111)+N(AK111)+N(AO111)</f>
        <v/>
      </c>
      <c r="I111">
        <f>(M111&gt;0.005)*1+(Q111&gt;0.005)*1+(U111&gt;0.005)*1+(Y111&gt;0.005)*1+(AC111&gt;0.005)*1+(AG111&gt;0.005)*1+(AK111&gt;0.005)*1+(AO111&gt;0.005)*1</f>
        <v/>
      </c>
      <c r="J111">
        <f>N(M110)</f>
        <v/>
      </c>
      <c r="K111">
        <f>IF(N(J111)&lt;=0.005,0,ROUND(N(J111)*N('Debt List'!E5)/12,2))</f>
        <v/>
      </c>
      <c r="L111">
        <f>IF(N(J111)&lt;=0.005,0,MIN(N('Debt List'!F5),N(J111)+N(K111)))+((AP111=1)*AR111+(AT111=1)*AV111+(AX111=1)*AZ111+(BB111=1)*BD111+(BF111=1)*BH111+(BJ111=1)*BL111+(BN111=1)*BP111+(BR111=1)*BT111)</f>
        <v/>
      </c>
      <c r="M111">
        <f>MAX(0,ROUND(N(J111)+N(K111)-N(L111),2))</f>
        <v/>
      </c>
      <c r="N111">
        <f>N(Q110)</f>
        <v/>
      </c>
      <c r="O111">
        <f>IF(N(N111)&lt;=0.005,0,ROUND(N(N111)*N('Debt List'!E6)/12,2))</f>
        <v/>
      </c>
      <c r="P111">
        <f>IF(N(N111)&lt;=0.005,0,MIN(N('Debt List'!F6),N(N111)+N(O111)))+((AP111=2)*AR111+(AT111=2)*AV111+(AX111=2)*AZ111+(BB111=2)*BD111+(BF111=2)*BH111+(BJ111=2)*BL111+(BN111=2)*BP111+(BR111=2)*BT111)</f>
        <v/>
      </c>
      <c r="Q111">
        <f>MAX(0,ROUND(N(N111)+N(O111)-N(P111),2))</f>
        <v/>
      </c>
      <c r="R111">
        <f>N(U110)</f>
        <v/>
      </c>
      <c r="S111">
        <f>IF(N(R111)&lt;=0.005,0,ROUND(N(R111)*N('Debt List'!E7)/12,2))</f>
        <v/>
      </c>
      <c r="T111">
        <f>IF(N(R111)&lt;=0.005,0,MIN(N('Debt List'!F7),N(R111)+N(S111)))+((AP111=3)*AR111+(AT111=3)*AV111+(AX111=3)*AZ111+(BB111=3)*BD111+(BF111=3)*BH111+(BJ111=3)*BL111+(BN111=3)*BP111+(BR111=3)*BT111)</f>
        <v/>
      </c>
      <c r="U111">
        <f>MAX(0,ROUND(N(R111)+N(S111)-N(T111),2))</f>
        <v/>
      </c>
      <c r="V111">
        <f>N(Y110)</f>
        <v/>
      </c>
      <c r="W111">
        <f>IF(N(V111)&lt;=0.005,0,ROUND(N(V111)*N('Debt List'!E8)/12,2))</f>
        <v/>
      </c>
      <c r="X111">
        <f>IF(N(V111)&lt;=0.005,0,MIN(N('Debt List'!F8),N(V111)+N(W111)))+((AP111=4)*AR111+(AT111=4)*AV111+(AX111=4)*AZ111+(BB111=4)*BD111+(BF111=4)*BH111+(BJ111=4)*BL111+(BN111=4)*BP111+(BR111=4)*BT111)</f>
        <v/>
      </c>
      <c r="Y111">
        <f>MAX(0,ROUND(N(V111)+N(W111)-N(X111),2))</f>
        <v/>
      </c>
      <c r="Z111">
        <f>N(AC110)</f>
        <v/>
      </c>
      <c r="AA111">
        <f>IF(N(Z111)&lt;=0.005,0,ROUND(N(Z111)*N('Debt List'!E9)/12,2))</f>
        <v/>
      </c>
      <c r="AB111">
        <f>IF(N(Z111)&lt;=0.005,0,MIN(N('Debt List'!F9),N(Z111)+N(AA111)))+((AP111=5)*AR111+(AT111=5)*AV111+(AX111=5)*AZ111+(BB111=5)*BD111+(BF111=5)*BH111+(BJ111=5)*BL111+(BN111=5)*BP111+(BR111=5)*BT111)</f>
        <v/>
      </c>
      <c r="AC111">
        <f>MAX(0,ROUND(N(Z111)+N(AA111)-N(AB111),2))</f>
        <v/>
      </c>
      <c r="AD111">
        <f>N(AG110)</f>
        <v/>
      </c>
      <c r="AE111">
        <f>IF(N(AD111)&lt;=0.005,0,ROUND(N(AD111)*N('Debt List'!E10)/12,2))</f>
        <v/>
      </c>
      <c r="AF111">
        <f>IF(N(AD111)&lt;=0.005,0,MIN(N('Debt List'!F10),N(AD111)+N(AE111)))+((AP111=6)*AR111+(AT111=6)*AV111+(AX111=6)*AZ111+(BB111=6)*BD111+(BF111=6)*BH111+(BJ111=6)*BL111+(BN111=6)*BP111+(BR111=6)*BT111)</f>
        <v/>
      </c>
      <c r="AG111">
        <f>MAX(0,ROUND(N(AD111)+N(AE111)-N(AF111),2))</f>
        <v/>
      </c>
      <c r="AH111">
        <f>N(AK110)</f>
        <v/>
      </c>
      <c r="AI111">
        <f>IF(N(AH111)&lt;=0.005,0,ROUND(N(AH111)*N('Debt List'!E11)/12,2))</f>
        <v/>
      </c>
      <c r="AJ111">
        <f>IF(N(AH111)&lt;=0.005,0,MIN(N('Debt List'!F11),N(AH111)+N(AI111)))+((AP111=7)*AR111+(AT111=7)*AV111+(AX111=7)*AZ111+(BB111=7)*BD111+(BF111=7)*BH111+(BJ111=7)*BL111+(BN111=7)*BP111+(BR111=7)*BT111)</f>
        <v/>
      </c>
      <c r="AK111">
        <f>MAX(0,ROUND(N(AH111)+N(AI111)-N(AJ111),2))</f>
        <v/>
      </c>
      <c r="AL111">
        <f>N(AO110)</f>
        <v/>
      </c>
      <c r="AM111">
        <f>IF(N(AL111)&lt;=0.005,0,ROUND(N(AL111)*N('Debt List'!E12)/12,2))</f>
        <v/>
      </c>
      <c r="AN111">
        <f>IF(N(AL111)&lt;=0.005,0,MIN(N('Debt List'!F12),N(AL111)+N(AM111)))+((AP111=8)*AR111+(AT111=8)*AV111+(AX111=8)*AZ111+(BB111=8)*BD111+(BF111=8)*BH111+(BJ111=8)*BL111+(BN111=8)*BP111+(BR111=8)*BT111)</f>
        <v/>
      </c>
      <c r="AO111">
        <f>MAX(0,ROUND(N(AL111)+N(AM111)-N(AN111),2))</f>
        <v/>
      </c>
      <c r="AP111">
        <f>IFERROR(MATCH(1,OrderPlan,0),"")</f>
        <v/>
      </c>
      <c r="AQ111">
        <f>IF(AP111="",0,IFERROR(IF(N(CHOOSE(AP111,J111,N111,R111,V111,Z111,AD111,AH111,AL111))&lt;=0.005,0,MAX(0,N(CHOOSE(AP111,J111,N111,R111,V111,Z111,AD111,AH111,AL111))+N(CHOOSE(AP111,K111,O111,S111,W111,AA111,AE111,AI111,AM111))-MIN(N(CHOOSE(AP111,'Debt List'!$F$5,'Debt List'!$F$6,'Debt List'!$F$7,'Debt List'!$F$8,'Debt List'!$F$9,'Debt List'!$F$10,'Debt List'!$F$11,'Debt List'!$F$12)),N(CHOOSE(AP111,J111,N111,R111,V111,Z111,AD111,AH111,AL111))+N(CHOOSE(AP111,K111,O111,S111,W111,AA111,AE111,AI111,AM111))))),0))</f>
        <v/>
      </c>
      <c r="AR111">
        <f>MIN(N(AQ111),MAX(0,N(ExtraPayment)))</f>
        <v/>
      </c>
      <c r="AS111">
        <f>MAX(0,N(ExtraPayment)-N(AR111))</f>
        <v/>
      </c>
      <c r="AT111">
        <f>IFERROR(MATCH(2,OrderPlan,0),"")</f>
        <v/>
      </c>
      <c r="AU111">
        <f>IF(AT111="",0,IFERROR(IF(N(CHOOSE(AT111,J111,N111,R111,V111,Z111,AD111,AH111,AL111))&lt;=0.005,0,MAX(0,N(CHOOSE(AT111,J111,N111,R111,V111,Z111,AD111,AH111,AL111))+N(CHOOSE(AT111,K111,O111,S111,W111,AA111,AE111,AI111,AM111))-MIN(N(CHOOSE(AT111,'Debt List'!$F$5,'Debt List'!$F$6,'Debt List'!$F$7,'Debt List'!$F$8,'Debt List'!$F$9,'Debt List'!$F$10,'Debt List'!$F$11,'Debt List'!$F$12)),N(CHOOSE(AT111,J111,N111,R111,V111,Z111,AD111,AH111,AL111))+N(CHOOSE(AT111,K111,O111,S111,W111,AA111,AE111,AI111,AM111))))),0))</f>
        <v/>
      </c>
      <c r="AV111">
        <f>MIN(N(AU111),MAX(0,N(AS111)))</f>
        <v/>
      </c>
      <c r="AW111">
        <f>MAX(0,N(AS111)-N(AV111))</f>
        <v/>
      </c>
      <c r="AX111">
        <f>IFERROR(MATCH(3,OrderPlan,0),"")</f>
        <v/>
      </c>
      <c r="AY111">
        <f>IF(AX111="",0,IFERROR(IF(N(CHOOSE(AX111,J111,N111,R111,V111,Z111,AD111,AH111,AL111))&lt;=0.005,0,MAX(0,N(CHOOSE(AX111,J111,N111,R111,V111,Z111,AD111,AH111,AL111))+N(CHOOSE(AX111,K111,O111,S111,W111,AA111,AE111,AI111,AM111))-MIN(N(CHOOSE(AX111,'Debt List'!$F$5,'Debt List'!$F$6,'Debt List'!$F$7,'Debt List'!$F$8,'Debt List'!$F$9,'Debt List'!$F$10,'Debt List'!$F$11,'Debt List'!$F$12)),N(CHOOSE(AX111,J111,N111,R111,V111,Z111,AD111,AH111,AL111))+N(CHOOSE(AX111,K111,O111,S111,W111,AA111,AE111,AI111,AM111))))),0))</f>
        <v/>
      </c>
      <c r="AZ111">
        <f>MIN(N(AY111),MAX(0,N(AW111)))</f>
        <v/>
      </c>
      <c r="BA111">
        <f>MAX(0,N(AW111)-N(AZ111))</f>
        <v/>
      </c>
      <c r="BB111">
        <f>IFERROR(MATCH(4,OrderPlan,0),"")</f>
        <v/>
      </c>
      <c r="BC111">
        <f>IF(BB111="",0,IFERROR(IF(N(CHOOSE(BB111,J111,N111,R111,V111,Z111,AD111,AH111,AL111))&lt;=0.005,0,MAX(0,N(CHOOSE(BB111,J111,N111,R111,V111,Z111,AD111,AH111,AL111))+N(CHOOSE(BB111,K111,O111,S111,W111,AA111,AE111,AI111,AM111))-MIN(N(CHOOSE(BB111,'Debt List'!$F$5,'Debt List'!$F$6,'Debt List'!$F$7,'Debt List'!$F$8,'Debt List'!$F$9,'Debt List'!$F$10,'Debt List'!$F$11,'Debt List'!$F$12)),N(CHOOSE(BB111,J111,N111,R111,V111,Z111,AD111,AH111,AL111))+N(CHOOSE(BB111,K111,O111,S111,W111,AA111,AE111,AI111,AM111))))),0))</f>
        <v/>
      </c>
      <c r="BD111">
        <f>MIN(N(BC111),MAX(0,N(BA111)))</f>
        <v/>
      </c>
      <c r="BE111">
        <f>MAX(0,N(BA111)-N(BD111))</f>
        <v/>
      </c>
      <c r="BF111">
        <f>IFERROR(MATCH(5,OrderPlan,0),"")</f>
        <v/>
      </c>
      <c r="BG111">
        <f>IF(BF111="",0,IFERROR(IF(N(CHOOSE(BF111,J111,N111,R111,V111,Z111,AD111,AH111,AL111))&lt;=0.005,0,MAX(0,N(CHOOSE(BF111,J111,N111,R111,V111,Z111,AD111,AH111,AL111))+N(CHOOSE(BF111,K111,O111,S111,W111,AA111,AE111,AI111,AM111))-MIN(N(CHOOSE(BF111,'Debt List'!$F$5,'Debt List'!$F$6,'Debt List'!$F$7,'Debt List'!$F$8,'Debt List'!$F$9,'Debt List'!$F$10,'Debt List'!$F$11,'Debt List'!$F$12)),N(CHOOSE(BF111,J111,N111,R111,V111,Z111,AD111,AH111,AL111))+N(CHOOSE(BF111,K111,O111,S111,W111,AA111,AE111,AI111,AM111))))),0))</f>
        <v/>
      </c>
      <c r="BH111">
        <f>MIN(N(BG111),MAX(0,N(BE111)))</f>
        <v/>
      </c>
      <c r="BI111">
        <f>MAX(0,N(BE111)-N(BH111))</f>
        <v/>
      </c>
      <c r="BJ111">
        <f>IFERROR(MATCH(6,OrderPlan,0),"")</f>
        <v/>
      </c>
      <c r="BK111">
        <f>IF(BJ111="",0,IFERROR(IF(N(CHOOSE(BJ111,J111,N111,R111,V111,Z111,AD111,AH111,AL111))&lt;=0.005,0,MAX(0,N(CHOOSE(BJ111,J111,N111,R111,V111,Z111,AD111,AH111,AL111))+N(CHOOSE(BJ111,K111,O111,S111,W111,AA111,AE111,AI111,AM111))-MIN(N(CHOOSE(BJ111,'Debt List'!$F$5,'Debt List'!$F$6,'Debt List'!$F$7,'Debt List'!$F$8,'Debt List'!$F$9,'Debt List'!$F$10,'Debt List'!$F$11,'Debt List'!$F$12)),N(CHOOSE(BJ111,J111,N111,R111,V111,Z111,AD111,AH111,AL111))+N(CHOOSE(BJ111,K111,O111,S111,W111,AA111,AE111,AI111,AM111))))),0))</f>
        <v/>
      </c>
      <c r="BL111">
        <f>MIN(N(BK111),MAX(0,N(BI111)))</f>
        <v/>
      </c>
      <c r="BM111">
        <f>MAX(0,N(BI111)-N(BL111))</f>
        <v/>
      </c>
      <c r="BN111">
        <f>IFERROR(MATCH(7,OrderPlan,0),"")</f>
        <v/>
      </c>
      <c r="BO111">
        <f>IF(BN111="",0,IFERROR(IF(N(CHOOSE(BN111,J111,N111,R111,V111,Z111,AD111,AH111,AL111))&lt;=0.005,0,MAX(0,N(CHOOSE(BN111,J111,N111,R111,V111,Z111,AD111,AH111,AL111))+N(CHOOSE(BN111,K111,O111,S111,W111,AA111,AE111,AI111,AM111))-MIN(N(CHOOSE(BN111,'Debt List'!$F$5,'Debt List'!$F$6,'Debt List'!$F$7,'Debt List'!$F$8,'Debt List'!$F$9,'Debt List'!$F$10,'Debt List'!$F$11,'Debt List'!$F$12)),N(CHOOSE(BN111,J111,N111,R111,V111,Z111,AD111,AH111,AL111))+N(CHOOSE(BN111,K111,O111,S111,W111,AA111,AE111,AI111,AM111))))),0))</f>
        <v/>
      </c>
      <c r="BP111">
        <f>MIN(N(BO111),MAX(0,N(BM111)))</f>
        <v/>
      </c>
      <c r="BQ111">
        <f>MAX(0,N(BM111)-N(BP111))</f>
        <v/>
      </c>
      <c r="BR111">
        <f>IFERROR(MATCH(8,OrderPlan,0),"")</f>
        <v/>
      </c>
      <c r="BS111">
        <f>IF(BR111="",0,IFERROR(IF(N(CHOOSE(BR111,J111,N111,R111,V111,Z111,AD111,AH111,AL111))&lt;=0.005,0,MAX(0,N(CHOOSE(BR111,J111,N111,R111,V111,Z111,AD111,AH111,AL111))+N(CHOOSE(BR111,K111,O111,S111,W111,AA111,AE111,AI111,AM111))-MIN(N(CHOOSE(BR111,'Debt List'!$F$5,'Debt List'!$F$6,'Debt List'!$F$7,'Debt List'!$F$8,'Debt List'!$F$9,'Debt List'!$F$10,'Debt List'!$F$11,'Debt List'!$F$12)),N(CHOOSE(BR111,J111,N111,R111,V111,Z111,AD111,AH111,AL111))+N(CHOOSE(BR111,K111,O111,S111,W111,AA111,AE111,AI111,AM111))))),0))</f>
        <v/>
      </c>
      <c r="BT111">
        <f>MIN(N(BS111),MAX(0,N(BQ111)))</f>
        <v/>
      </c>
      <c r="BU111">
        <f>MAX(0,N(BQ111)-N(BT111))</f>
        <v/>
      </c>
      <c r="CC111" t="n">
        <v>107</v>
      </c>
      <c r="CD111" s="115">
        <f>DATE(YEAR(PlanStart),MONTH(PlanStart)+CC111-1,1)</f>
        <v/>
      </c>
      <c r="CE111">
        <f>IF(AND(DR111&lt;&gt;"",N(CHOOSE(DR111,CL111,CP111,CT111,CX111,DB111,DF111,DJ111,DN111))&gt;0.005),INDEX(DebtNames,DR111),IF(AND(DV111&lt;&gt;"",N(CHOOSE(DV111,CL111,CP111,CT111,CX111,DB111,DF111,DJ111,DN111))&gt;0.005),INDEX(DebtNames,DV111),IF(AND(DZ111&lt;&gt;"",N(CHOOSE(DZ111,CL111,CP111,CT111,CX111,DB111,DF111,DJ111,DN111))&gt;0.005),INDEX(DebtNames,DZ111),IF(AND(ED111&lt;&gt;"",N(CHOOSE(ED111,CL111,CP111,CT111,CX111,DB111,DF111,DJ111,DN111))&gt;0.005),INDEX(DebtNames,ED111),IF(AND(EH111&lt;&gt;"",N(CHOOSE(EH111,CL111,CP111,CT111,CX111,DB111,DF111,DJ111,DN111))&gt;0.005),INDEX(DebtNames,EH111),IF(AND(EL111&lt;&gt;"",N(CHOOSE(EL111,CL111,CP111,CT111,CX111,DB111,DF111,DJ111,DN111))&gt;0.005),INDEX(DebtNames,EL111),IF(AND(EP111&lt;&gt;"",N(CHOOSE(EP111,CL111,CP111,CT111,CX111,DB111,DF111,DJ111,DN111))&gt;0.005),INDEX(DebtNames,EP111),IF(AND(ET111&lt;&gt;"",N(CHOOSE(ET111,CL111,CP111,CT111,CX111,DB111,DF111,DJ111,DN111))&gt;0.005),INDEX(DebtNames,ET111),""))))))))</f>
        <v/>
      </c>
      <c r="CF111">
        <f>N(EW111)</f>
        <v/>
      </c>
      <c r="CG111">
        <f>N(CN111)+N(CR111)+N(CV111)+N(CZ111)+N(DD111)+N(DH111)+N(DL111)+N(DP111)</f>
        <v/>
      </c>
      <c r="CH111">
        <f>N(CM111)+N(CQ111)+N(CU111)+N(CY111)+N(DC111)+N(DG111)+N(DK111)+N(DO111)</f>
        <v/>
      </c>
      <c r="CI111">
        <f>N(CI110)+N(CH111)</f>
        <v/>
      </c>
      <c r="CJ111">
        <f>N(CO111)+N(CS111)+N(CW111)+N(DA111)+N(DE111)+N(DI111)+N(DM111)+N(DQ111)</f>
        <v/>
      </c>
      <c r="CK111">
        <f>(CO111&gt;0.005)*1+(CS111&gt;0.005)*1+(CW111&gt;0.005)*1+(DA111&gt;0.005)*1+(DE111&gt;0.005)*1+(DI111&gt;0.005)*1+(DM111&gt;0.005)*1+(DQ111&gt;0.005)*1</f>
        <v/>
      </c>
      <c r="CL111">
        <f>N(CO110)</f>
        <v/>
      </c>
      <c r="CM111">
        <f>IF(N(CL111)&lt;=0.005,0,ROUND(N(CL111)*N('Debt List'!E5)/12,2))</f>
        <v/>
      </c>
      <c r="CN111">
        <f>IF(N(CL111)&lt;=0.005,0,MIN(N('Debt List'!F5),N(CL111)+N(CM111)))+((DR111=1)*DT111+(DV111=1)*DX111+(DZ111=1)*EB111+(ED111=1)*EF111+(EH111=1)*EJ111+(EL111=1)*EN111+(EP111=1)*ER111+(ET111=1)*EV111)</f>
        <v/>
      </c>
      <c r="CO111">
        <f>MAX(0,ROUND(N(CL111)+N(CM111)-N(CN111),2))</f>
        <v/>
      </c>
      <c r="CP111">
        <f>N(CS110)</f>
        <v/>
      </c>
      <c r="CQ111">
        <f>IF(N(CP111)&lt;=0.005,0,ROUND(N(CP111)*N('Debt List'!E6)/12,2))</f>
        <v/>
      </c>
      <c r="CR111">
        <f>IF(N(CP111)&lt;=0.005,0,MIN(N('Debt List'!F6),N(CP111)+N(CQ111)))+((DR111=2)*DT111+(DV111=2)*DX111+(DZ111=2)*EB111+(ED111=2)*EF111+(EH111=2)*EJ111+(EL111=2)*EN111+(EP111=2)*ER111+(ET111=2)*EV111)</f>
        <v/>
      </c>
      <c r="CS111">
        <f>MAX(0,ROUND(N(CP111)+N(CQ111)-N(CR111),2))</f>
        <v/>
      </c>
      <c r="CT111">
        <f>N(CW110)</f>
        <v/>
      </c>
      <c r="CU111">
        <f>IF(N(CT111)&lt;=0.005,0,ROUND(N(CT111)*N('Debt List'!E7)/12,2))</f>
        <v/>
      </c>
      <c r="CV111">
        <f>IF(N(CT111)&lt;=0.005,0,MIN(N('Debt List'!F7),N(CT111)+N(CU111)))+((DR111=3)*DT111+(DV111=3)*DX111+(DZ111=3)*EB111+(ED111=3)*EF111+(EH111=3)*EJ111+(EL111=3)*EN111+(EP111=3)*ER111+(ET111=3)*EV111)</f>
        <v/>
      </c>
      <c r="CW111">
        <f>MAX(0,ROUND(N(CT111)+N(CU111)-N(CV111),2))</f>
        <v/>
      </c>
      <c r="CX111">
        <f>N(DA110)</f>
        <v/>
      </c>
      <c r="CY111">
        <f>IF(N(CX111)&lt;=0.005,0,ROUND(N(CX111)*N('Debt List'!E8)/12,2))</f>
        <v/>
      </c>
      <c r="CZ111">
        <f>IF(N(CX111)&lt;=0.005,0,MIN(N('Debt List'!F8),N(CX111)+N(CY111)))+((DR111=4)*DT111+(DV111=4)*DX111+(DZ111=4)*EB111+(ED111=4)*EF111+(EH111=4)*EJ111+(EL111=4)*EN111+(EP111=4)*ER111+(ET111=4)*EV111)</f>
        <v/>
      </c>
      <c r="DA111">
        <f>MAX(0,ROUND(N(CX111)+N(CY111)-N(CZ111),2))</f>
        <v/>
      </c>
      <c r="DB111">
        <f>N(DE110)</f>
        <v/>
      </c>
      <c r="DC111">
        <f>IF(N(DB111)&lt;=0.005,0,ROUND(N(DB111)*N('Debt List'!E9)/12,2))</f>
        <v/>
      </c>
      <c r="DD111">
        <f>IF(N(DB111)&lt;=0.005,0,MIN(N('Debt List'!F9),N(DB111)+N(DC111)))+((DR111=5)*DT111+(DV111=5)*DX111+(DZ111=5)*EB111+(ED111=5)*EF111+(EH111=5)*EJ111+(EL111=5)*EN111+(EP111=5)*ER111+(ET111=5)*EV111)</f>
        <v/>
      </c>
      <c r="DE111">
        <f>MAX(0,ROUND(N(DB111)+N(DC111)-N(DD111),2))</f>
        <v/>
      </c>
      <c r="DF111">
        <f>N(DI110)</f>
        <v/>
      </c>
      <c r="DG111">
        <f>IF(N(DF111)&lt;=0.005,0,ROUND(N(DF111)*N('Debt List'!E10)/12,2))</f>
        <v/>
      </c>
      <c r="DH111">
        <f>IF(N(DF111)&lt;=0.005,0,MIN(N('Debt List'!F10),N(DF111)+N(DG111)))+((DR111=6)*DT111+(DV111=6)*DX111+(DZ111=6)*EB111+(ED111=6)*EF111+(EH111=6)*EJ111+(EL111=6)*EN111+(EP111=6)*ER111+(ET111=6)*EV111)</f>
        <v/>
      </c>
      <c r="DI111">
        <f>MAX(0,ROUND(N(DF111)+N(DG111)-N(DH111),2))</f>
        <v/>
      </c>
      <c r="DJ111">
        <f>N(DM110)</f>
        <v/>
      </c>
      <c r="DK111">
        <f>IF(N(DJ111)&lt;=0.005,0,ROUND(N(DJ111)*N('Debt List'!E11)/12,2))</f>
        <v/>
      </c>
      <c r="DL111">
        <f>IF(N(DJ111)&lt;=0.005,0,MIN(N('Debt List'!F11),N(DJ111)+N(DK111)))+((DR111=7)*DT111+(DV111=7)*DX111+(DZ111=7)*EB111+(ED111=7)*EF111+(EH111=7)*EJ111+(EL111=7)*EN111+(EP111=7)*ER111+(ET111=7)*EV111)</f>
        <v/>
      </c>
      <c r="DM111">
        <f>MAX(0,ROUND(N(DJ111)+N(DK111)-N(DL111),2))</f>
        <v/>
      </c>
      <c r="DN111">
        <f>N(DQ110)</f>
        <v/>
      </c>
      <c r="DO111">
        <f>IF(N(DN111)&lt;=0.005,0,ROUND(N(DN111)*N('Debt List'!E12)/12,2))</f>
        <v/>
      </c>
      <c r="DP111">
        <f>IF(N(DN111)&lt;=0.005,0,MIN(N('Debt List'!F12),N(DN111)+N(DO111)))+((DR111=8)*DT111+(DV111=8)*DX111+(DZ111=8)*EB111+(ED111=8)*EF111+(EH111=8)*EJ111+(EL111=8)*EN111+(EP111=8)*ER111+(ET111=8)*EV111)</f>
        <v/>
      </c>
      <c r="DQ111">
        <f>MAX(0,ROUND(N(DN111)+N(DO111)-N(DP111),2))</f>
        <v/>
      </c>
      <c r="DR111">
        <f>IFERROR(MATCH(1,OrderSnow,0),"")</f>
        <v/>
      </c>
      <c r="DS111">
        <f>IF(DR111="",0,IFERROR(IF(N(CHOOSE(DR111,CL111,CP111,CT111,CX111,DB111,DF111,DJ111,DN111))&lt;=0.005,0,MAX(0,N(CHOOSE(DR111,CL111,CP111,CT111,CX111,DB111,DF111,DJ111,DN111))+N(CHOOSE(DR111,CM111,CQ111,CU111,CY111,DC111,DG111,DK111,DO111))-MIN(N(CHOOSE(DR111,'Debt List'!$F$5,'Debt List'!$F$6,'Debt List'!$F$7,'Debt List'!$F$8,'Debt List'!$F$9,'Debt List'!$F$10,'Debt List'!$F$11,'Debt List'!$F$12)),N(CHOOSE(DR111,CL111,CP111,CT111,CX111,DB111,DF111,DJ111,DN111))+N(CHOOSE(DR111,CM111,CQ111,CU111,CY111,DC111,DG111,DK111,DO111))))),0))</f>
        <v/>
      </c>
      <c r="DT111">
        <f>MIN(N(DS111),MAX(0,N(ExtraPayment)))</f>
        <v/>
      </c>
      <c r="DU111">
        <f>MAX(0,N(ExtraPayment)-N(DT111))</f>
        <v/>
      </c>
      <c r="DV111">
        <f>IFERROR(MATCH(2,OrderSnow,0),"")</f>
        <v/>
      </c>
      <c r="DW111">
        <f>IF(DV111="",0,IFERROR(IF(N(CHOOSE(DV111,CL111,CP111,CT111,CX111,DB111,DF111,DJ111,DN111))&lt;=0.005,0,MAX(0,N(CHOOSE(DV111,CL111,CP111,CT111,CX111,DB111,DF111,DJ111,DN111))+N(CHOOSE(DV111,CM111,CQ111,CU111,CY111,DC111,DG111,DK111,DO111))-MIN(N(CHOOSE(DV111,'Debt List'!$F$5,'Debt List'!$F$6,'Debt List'!$F$7,'Debt List'!$F$8,'Debt List'!$F$9,'Debt List'!$F$10,'Debt List'!$F$11,'Debt List'!$F$12)),N(CHOOSE(DV111,CL111,CP111,CT111,CX111,DB111,DF111,DJ111,DN111))+N(CHOOSE(DV111,CM111,CQ111,CU111,CY111,DC111,DG111,DK111,DO111))))),0))</f>
        <v/>
      </c>
      <c r="DX111">
        <f>MIN(N(DW111),MAX(0,N(DU111)))</f>
        <v/>
      </c>
      <c r="DY111">
        <f>MAX(0,N(DU111)-N(DX111))</f>
        <v/>
      </c>
      <c r="DZ111">
        <f>IFERROR(MATCH(3,OrderSnow,0),"")</f>
        <v/>
      </c>
      <c r="EA111">
        <f>IF(DZ111="",0,IFERROR(IF(N(CHOOSE(DZ111,CL111,CP111,CT111,CX111,DB111,DF111,DJ111,DN111))&lt;=0.005,0,MAX(0,N(CHOOSE(DZ111,CL111,CP111,CT111,CX111,DB111,DF111,DJ111,DN111))+N(CHOOSE(DZ111,CM111,CQ111,CU111,CY111,DC111,DG111,DK111,DO111))-MIN(N(CHOOSE(DZ111,'Debt List'!$F$5,'Debt List'!$F$6,'Debt List'!$F$7,'Debt List'!$F$8,'Debt List'!$F$9,'Debt List'!$F$10,'Debt List'!$F$11,'Debt List'!$F$12)),N(CHOOSE(DZ111,CL111,CP111,CT111,CX111,DB111,DF111,DJ111,DN111))+N(CHOOSE(DZ111,CM111,CQ111,CU111,CY111,DC111,DG111,DK111,DO111))))),0))</f>
        <v/>
      </c>
      <c r="EB111">
        <f>MIN(N(EA111),MAX(0,N(DY111)))</f>
        <v/>
      </c>
      <c r="EC111">
        <f>MAX(0,N(DY111)-N(EB111))</f>
        <v/>
      </c>
      <c r="ED111">
        <f>IFERROR(MATCH(4,OrderSnow,0),"")</f>
        <v/>
      </c>
      <c r="EE111">
        <f>IF(ED111="",0,IFERROR(IF(N(CHOOSE(ED111,CL111,CP111,CT111,CX111,DB111,DF111,DJ111,DN111))&lt;=0.005,0,MAX(0,N(CHOOSE(ED111,CL111,CP111,CT111,CX111,DB111,DF111,DJ111,DN111))+N(CHOOSE(ED111,CM111,CQ111,CU111,CY111,DC111,DG111,DK111,DO111))-MIN(N(CHOOSE(ED111,'Debt List'!$F$5,'Debt List'!$F$6,'Debt List'!$F$7,'Debt List'!$F$8,'Debt List'!$F$9,'Debt List'!$F$10,'Debt List'!$F$11,'Debt List'!$F$12)),N(CHOOSE(ED111,CL111,CP111,CT111,CX111,DB111,DF111,DJ111,DN111))+N(CHOOSE(ED111,CM111,CQ111,CU111,CY111,DC111,DG111,DK111,DO111))))),0))</f>
        <v/>
      </c>
      <c r="EF111">
        <f>MIN(N(EE111),MAX(0,N(EC111)))</f>
        <v/>
      </c>
      <c r="EG111">
        <f>MAX(0,N(EC111)-N(EF111))</f>
        <v/>
      </c>
      <c r="EH111">
        <f>IFERROR(MATCH(5,OrderSnow,0),"")</f>
        <v/>
      </c>
      <c r="EI111">
        <f>IF(EH111="",0,IFERROR(IF(N(CHOOSE(EH111,CL111,CP111,CT111,CX111,DB111,DF111,DJ111,DN111))&lt;=0.005,0,MAX(0,N(CHOOSE(EH111,CL111,CP111,CT111,CX111,DB111,DF111,DJ111,DN111))+N(CHOOSE(EH111,CM111,CQ111,CU111,CY111,DC111,DG111,DK111,DO111))-MIN(N(CHOOSE(EH111,'Debt List'!$F$5,'Debt List'!$F$6,'Debt List'!$F$7,'Debt List'!$F$8,'Debt List'!$F$9,'Debt List'!$F$10,'Debt List'!$F$11,'Debt List'!$F$12)),N(CHOOSE(EH111,CL111,CP111,CT111,CX111,DB111,DF111,DJ111,DN111))+N(CHOOSE(EH111,CM111,CQ111,CU111,CY111,DC111,DG111,DK111,DO111))))),0))</f>
        <v/>
      </c>
      <c r="EJ111">
        <f>MIN(N(EI111),MAX(0,N(EG111)))</f>
        <v/>
      </c>
      <c r="EK111">
        <f>MAX(0,N(EG111)-N(EJ111))</f>
        <v/>
      </c>
      <c r="EL111">
        <f>IFERROR(MATCH(6,OrderSnow,0),"")</f>
        <v/>
      </c>
      <c r="EM111">
        <f>IF(EL111="",0,IFERROR(IF(N(CHOOSE(EL111,CL111,CP111,CT111,CX111,DB111,DF111,DJ111,DN111))&lt;=0.005,0,MAX(0,N(CHOOSE(EL111,CL111,CP111,CT111,CX111,DB111,DF111,DJ111,DN111))+N(CHOOSE(EL111,CM111,CQ111,CU111,CY111,DC111,DG111,DK111,DO111))-MIN(N(CHOOSE(EL111,'Debt List'!$F$5,'Debt List'!$F$6,'Debt List'!$F$7,'Debt List'!$F$8,'Debt List'!$F$9,'Debt List'!$F$10,'Debt List'!$F$11,'Debt List'!$F$12)),N(CHOOSE(EL111,CL111,CP111,CT111,CX111,DB111,DF111,DJ111,DN111))+N(CHOOSE(EL111,CM111,CQ111,CU111,CY111,DC111,DG111,DK111,DO111))))),0))</f>
        <v/>
      </c>
      <c r="EN111">
        <f>MIN(N(EM111),MAX(0,N(EK111)))</f>
        <v/>
      </c>
      <c r="EO111">
        <f>MAX(0,N(EK111)-N(EN111))</f>
        <v/>
      </c>
      <c r="EP111">
        <f>IFERROR(MATCH(7,OrderSnow,0),"")</f>
        <v/>
      </c>
      <c r="EQ111">
        <f>IF(EP111="",0,IFERROR(IF(N(CHOOSE(EP111,CL111,CP111,CT111,CX111,DB111,DF111,DJ111,DN111))&lt;=0.005,0,MAX(0,N(CHOOSE(EP111,CL111,CP111,CT111,CX111,DB111,DF111,DJ111,DN111))+N(CHOOSE(EP111,CM111,CQ111,CU111,CY111,DC111,DG111,DK111,DO111))-MIN(N(CHOOSE(EP111,'Debt List'!$F$5,'Debt List'!$F$6,'Debt List'!$F$7,'Debt List'!$F$8,'Debt List'!$F$9,'Debt List'!$F$10,'Debt List'!$F$11,'Debt List'!$F$12)),N(CHOOSE(EP111,CL111,CP111,CT111,CX111,DB111,DF111,DJ111,DN111))+N(CHOOSE(EP111,CM111,CQ111,CU111,CY111,DC111,DG111,DK111,DO111))))),0))</f>
        <v/>
      </c>
      <c r="ER111">
        <f>MIN(N(EQ111),MAX(0,N(EO111)))</f>
        <v/>
      </c>
      <c r="ES111">
        <f>MAX(0,N(EO111)-N(ER111))</f>
        <v/>
      </c>
      <c r="ET111">
        <f>IFERROR(MATCH(8,OrderSnow,0),"")</f>
        <v/>
      </c>
      <c r="EU111">
        <f>IF(ET111="",0,IFERROR(IF(N(CHOOSE(ET111,CL111,CP111,CT111,CX111,DB111,DF111,DJ111,DN111))&lt;=0.005,0,MAX(0,N(CHOOSE(ET111,CL111,CP111,CT111,CX111,DB111,DF111,DJ111,DN111))+N(CHOOSE(ET111,CM111,CQ111,CU111,CY111,DC111,DG111,DK111,DO111))-MIN(N(CHOOSE(ET111,'Debt List'!$F$5,'Debt List'!$F$6,'Debt List'!$F$7,'Debt List'!$F$8,'Debt List'!$F$9,'Debt List'!$F$10,'Debt List'!$F$11,'Debt List'!$F$12)),N(CHOOSE(ET111,CL111,CP111,CT111,CX111,DB111,DF111,DJ111,DN111))+N(CHOOSE(ET111,CM111,CQ111,CU111,CY111,DC111,DG111,DK111,DO111))))),0))</f>
        <v/>
      </c>
      <c r="EV111">
        <f>MIN(N(EU111),MAX(0,N(ES111)))</f>
        <v/>
      </c>
      <c r="EW111">
        <f>MAX(0,N(ES111)-N(EV111))</f>
        <v/>
      </c>
      <c r="FE111" t="n">
        <v>107</v>
      </c>
      <c r="FF111" s="115">
        <f>DATE(YEAR(PlanStart),MONTH(PlanStart)+FE111-1,1)</f>
        <v/>
      </c>
      <c r="FG111">
        <f>IF(AND(GT111&lt;&gt;"",N(CHOOSE(GT111,FN111,FR111,FV111,FZ111,GD111,GH111,GL111,GP111))&gt;0.005),INDEX(DebtNames,GT111),IF(AND(GX111&lt;&gt;"",N(CHOOSE(GX111,FN111,FR111,FV111,FZ111,GD111,GH111,GL111,GP111))&gt;0.005),INDEX(DebtNames,GX111),IF(AND(HB111&lt;&gt;"",N(CHOOSE(HB111,FN111,FR111,FV111,FZ111,GD111,GH111,GL111,GP111))&gt;0.005),INDEX(DebtNames,HB111),IF(AND(HF111&lt;&gt;"",N(CHOOSE(HF111,FN111,FR111,FV111,FZ111,GD111,GH111,GL111,GP111))&gt;0.005),INDEX(DebtNames,HF111),IF(AND(HJ111&lt;&gt;"",N(CHOOSE(HJ111,FN111,FR111,FV111,FZ111,GD111,GH111,GL111,GP111))&gt;0.005),INDEX(DebtNames,HJ111),IF(AND(HN111&lt;&gt;"",N(CHOOSE(HN111,FN111,FR111,FV111,FZ111,GD111,GH111,GL111,GP111))&gt;0.005),INDEX(DebtNames,HN111),IF(AND(HR111&lt;&gt;"",N(CHOOSE(HR111,FN111,FR111,FV111,FZ111,GD111,GH111,GL111,GP111))&gt;0.005),INDEX(DebtNames,HR111),IF(AND(HV111&lt;&gt;"",N(CHOOSE(HV111,FN111,FR111,FV111,FZ111,GD111,GH111,GL111,GP111))&gt;0.005),INDEX(DebtNames,HV111),""))))))))</f>
        <v/>
      </c>
      <c r="FH111">
        <f>N(HY111)</f>
        <v/>
      </c>
      <c r="FI111">
        <f>N(FP111)+N(FT111)+N(FX111)+N(GB111)+N(GF111)+N(GJ111)+N(GN111)+N(GR111)</f>
        <v/>
      </c>
      <c r="FJ111">
        <f>N(FO111)+N(FS111)+N(FW111)+N(GA111)+N(GE111)+N(GI111)+N(GM111)+N(GQ111)</f>
        <v/>
      </c>
      <c r="FK111">
        <f>N(FK110)+N(FJ111)</f>
        <v/>
      </c>
      <c r="FL111">
        <f>N(FQ111)+N(FU111)+N(FY111)+N(GC111)+N(GG111)+N(GK111)+N(GO111)+N(GS111)</f>
        <v/>
      </c>
      <c r="FM111">
        <f>(FQ111&gt;0.005)*1+(FU111&gt;0.005)*1+(FY111&gt;0.005)*1+(GC111&gt;0.005)*1+(GG111&gt;0.005)*1+(GK111&gt;0.005)*1+(GO111&gt;0.005)*1+(GS111&gt;0.005)*1</f>
        <v/>
      </c>
      <c r="FN111">
        <f>N(FQ110)</f>
        <v/>
      </c>
      <c r="FO111">
        <f>IF(N(FN111)&lt;=0.005,0,ROUND(N(FN111)*N('Debt List'!E5)/12,2))</f>
        <v/>
      </c>
      <c r="FP111">
        <f>IF(N(FN111)&lt;=0.005,0,MIN(N('Debt List'!F5),N(FN111)+N(FO111)))+((GT111=1)*GV111+(GX111=1)*GZ111+(HB111=1)*HD111+(HF111=1)*HH111+(HJ111=1)*HL111+(HN111=1)*HP111+(HR111=1)*HT111+(HV111=1)*HX111)</f>
        <v/>
      </c>
      <c r="FQ111">
        <f>MAX(0,ROUND(N(FN111)+N(FO111)-N(FP111),2))</f>
        <v/>
      </c>
      <c r="FR111">
        <f>N(FU110)</f>
        <v/>
      </c>
      <c r="FS111">
        <f>IF(N(FR111)&lt;=0.005,0,ROUND(N(FR111)*N('Debt List'!E6)/12,2))</f>
        <v/>
      </c>
      <c r="FT111">
        <f>IF(N(FR111)&lt;=0.005,0,MIN(N('Debt List'!F6),N(FR111)+N(FS111)))+((GT111=2)*GV111+(GX111=2)*GZ111+(HB111=2)*HD111+(HF111=2)*HH111+(HJ111=2)*HL111+(HN111=2)*HP111+(HR111=2)*HT111+(HV111=2)*HX111)</f>
        <v/>
      </c>
      <c r="FU111">
        <f>MAX(0,ROUND(N(FR111)+N(FS111)-N(FT111),2))</f>
        <v/>
      </c>
      <c r="FV111">
        <f>N(FY110)</f>
        <v/>
      </c>
      <c r="FW111">
        <f>IF(N(FV111)&lt;=0.005,0,ROUND(N(FV111)*N('Debt List'!E7)/12,2))</f>
        <v/>
      </c>
      <c r="FX111">
        <f>IF(N(FV111)&lt;=0.005,0,MIN(N('Debt List'!F7),N(FV111)+N(FW111)))+((GT111=3)*GV111+(GX111=3)*GZ111+(HB111=3)*HD111+(HF111=3)*HH111+(HJ111=3)*HL111+(HN111=3)*HP111+(HR111=3)*HT111+(HV111=3)*HX111)</f>
        <v/>
      </c>
      <c r="FY111">
        <f>MAX(0,ROUND(N(FV111)+N(FW111)-N(FX111),2))</f>
        <v/>
      </c>
      <c r="FZ111">
        <f>N(GC110)</f>
        <v/>
      </c>
      <c r="GA111">
        <f>IF(N(FZ111)&lt;=0.005,0,ROUND(N(FZ111)*N('Debt List'!E8)/12,2))</f>
        <v/>
      </c>
      <c r="GB111">
        <f>IF(N(FZ111)&lt;=0.005,0,MIN(N('Debt List'!F8),N(FZ111)+N(GA111)))+((GT111=4)*GV111+(GX111=4)*GZ111+(HB111=4)*HD111+(HF111=4)*HH111+(HJ111=4)*HL111+(HN111=4)*HP111+(HR111=4)*HT111+(HV111=4)*HX111)</f>
        <v/>
      </c>
      <c r="GC111">
        <f>MAX(0,ROUND(N(FZ111)+N(GA111)-N(GB111),2))</f>
        <v/>
      </c>
      <c r="GD111">
        <f>N(GG110)</f>
        <v/>
      </c>
      <c r="GE111">
        <f>IF(N(GD111)&lt;=0.005,0,ROUND(N(GD111)*N('Debt List'!E9)/12,2))</f>
        <v/>
      </c>
      <c r="GF111">
        <f>IF(N(GD111)&lt;=0.005,0,MIN(N('Debt List'!F9),N(GD111)+N(GE111)))+((GT111=5)*GV111+(GX111=5)*GZ111+(HB111=5)*HD111+(HF111=5)*HH111+(HJ111=5)*HL111+(HN111=5)*HP111+(HR111=5)*HT111+(HV111=5)*HX111)</f>
        <v/>
      </c>
      <c r="GG111">
        <f>MAX(0,ROUND(N(GD111)+N(GE111)-N(GF111),2))</f>
        <v/>
      </c>
      <c r="GH111">
        <f>N(GK110)</f>
        <v/>
      </c>
      <c r="GI111">
        <f>IF(N(GH111)&lt;=0.005,0,ROUND(N(GH111)*N('Debt List'!E10)/12,2))</f>
        <v/>
      </c>
      <c r="GJ111">
        <f>IF(N(GH111)&lt;=0.005,0,MIN(N('Debt List'!F10),N(GH111)+N(GI111)))+((GT111=6)*GV111+(GX111=6)*GZ111+(HB111=6)*HD111+(HF111=6)*HH111+(HJ111=6)*HL111+(HN111=6)*HP111+(HR111=6)*HT111+(HV111=6)*HX111)</f>
        <v/>
      </c>
      <c r="GK111">
        <f>MAX(0,ROUND(N(GH111)+N(GI111)-N(GJ111),2))</f>
        <v/>
      </c>
      <c r="GL111">
        <f>N(GO110)</f>
        <v/>
      </c>
      <c r="GM111">
        <f>IF(N(GL111)&lt;=0.005,0,ROUND(N(GL111)*N('Debt List'!E11)/12,2))</f>
        <v/>
      </c>
      <c r="GN111">
        <f>IF(N(GL111)&lt;=0.005,0,MIN(N('Debt List'!F11),N(GL111)+N(GM111)))+((GT111=7)*GV111+(GX111=7)*GZ111+(HB111=7)*HD111+(HF111=7)*HH111+(HJ111=7)*HL111+(HN111=7)*HP111+(HR111=7)*HT111+(HV111=7)*HX111)</f>
        <v/>
      </c>
      <c r="GO111">
        <f>MAX(0,ROUND(N(GL111)+N(GM111)-N(GN111),2))</f>
        <v/>
      </c>
      <c r="GP111">
        <f>N(GS110)</f>
        <v/>
      </c>
      <c r="GQ111">
        <f>IF(N(GP111)&lt;=0.005,0,ROUND(N(GP111)*N('Debt List'!E12)/12,2))</f>
        <v/>
      </c>
      <c r="GR111">
        <f>IF(N(GP111)&lt;=0.005,0,MIN(N('Debt List'!F12),N(GP111)+N(GQ111)))+((GT111=8)*GV111+(GX111=8)*GZ111+(HB111=8)*HD111+(HF111=8)*HH111+(HJ111=8)*HL111+(HN111=8)*HP111+(HR111=8)*HT111+(HV111=8)*HX111)</f>
        <v/>
      </c>
      <c r="GS111">
        <f>MAX(0,ROUND(N(GP111)+N(GQ111)-N(GR111),2))</f>
        <v/>
      </c>
      <c r="GT111">
        <f>IFERROR(MATCH(1,OrderAval,0),"")</f>
        <v/>
      </c>
      <c r="GU111">
        <f>IF(GT111="",0,IFERROR(IF(N(CHOOSE(GT111,FN111,FR111,FV111,FZ111,GD111,GH111,GL111,GP111))&lt;=0.005,0,MAX(0,N(CHOOSE(GT111,FN111,FR111,FV111,FZ111,GD111,GH111,GL111,GP111))+N(CHOOSE(GT111,FO111,FS111,FW111,GA111,GE111,GI111,GM111,GQ111))-MIN(N(CHOOSE(GT111,'Debt List'!$F$5,'Debt List'!$F$6,'Debt List'!$F$7,'Debt List'!$F$8,'Debt List'!$F$9,'Debt List'!$F$10,'Debt List'!$F$11,'Debt List'!$F$12)),N(CHOOSE(GT111,FN111,FR111,FV111,FZ111,GD111,GH111,GL111,GP111))+N(CHOOSE(GT111,FO111,FS111,FW111,GA111,GE111,GI111,GM111,GQ111))))),0))</f>
        <v/>
      </c>
      <c r="GV111">
        <f>MIN(N(GU111),MAX(0,N(ExtraPayment)))</f>
        <v/>
      </c>
      <c r="GW111">
        <f>MAX(0,N(ExtraPayment)-N(GV111))</f>
        <v/>
      </c>
      <c r="GX111">
        <f>IFERROR(MATCH(2,OrderAval,0),"")</f>
        <v/>
      </c>
      <c r="GY111">
        <f>IF(GX111="",0,IFERROR(IF(N(CHOOSE(GX111,FN111,FR111,FV111,FZ111,GD111,GH111,GL111,GP111))&lt;=0.005,0,MAX(0,N(CHOOSE(GX111,FN111,FR111,FV111,FZ111,GD111,GH111,GL111,GP111))+N(CHOOSE(GX111,FO111,FS111,FW111,GA111,GE111,GI111,GM111,GQ111))-MIN(N(CHOOSE(GX111,'Debt List'!$F$5,'Debt List'!$F$6,'Debt List'!$F$7,'Debt List'!$F$8,'Debt List'!$F$9,'Debt List'!$F$10,'Debt List'!$F$11,'Debt List'!$F$12)),N(CHOOSE(GX111,FN111,FR111,FV111,FZ111,GD111,GH111,GL111,GP111))+N(CHOOSE(GX111,FO111,FS111,FW111,GA111,GE111,GI111,GM111,GQ111))))),0))</f>
        <v/>
      </c>
      <c r="GZ111">
        <f>MIN(N(GY111),MAX(0,N(GW111)))</f>
        <v/>
      </c>
      <c r="HA111">
        <f>MAX(0,N(GW111)-N(GZ111))</f>
        <v/>
      </c>
      <c r="HB111">
        <f>IFERROR(MATCH(3,OrderAval,0),"")</f>
        <v/>
      </c>
      <c r="HC111">
        <f>IF(HB111="",0,IFERROR(IF(N(CHOOSE(HB111,FN111,FR111,FV111,FZ111,GD111,GH111,GL111,GP111))&lt;=0.005,0,MAX(0,N(CHOOSE(HB111,FN111,FR111,FV111,FZ111,GD111,GH111,GL111,GP111))+N(CHOOSE(HB111,FO111,FS111,FW111,GA111,GE111,GI111,GM111,GQ111))-MIN(N(CHOOSE(HB111,'Debt List'!$F$5,'Debt List'!$F$6,'Debt List'!$F$7,'Debt List'!$F$8,'Debt List'!$F$9,'Debt List'!$F$10,'Debt List'!$F$11,'Debt List'!$F$12)),N(CHOOSE(HB111,FN111,FR111,FV111,FZ111,GD111,GH111,GL111,GP111))+N(CHOOSE(HB111,FO111,FS111,FW111,GA111,GE111,GI111,GM111,GQ111))))),0))</f>
        <v/>
      </c>
      <c r="HD111">
        <f>MIN(N(HC111),MAX(0,N(HA111)))</f>
        <v/>
      </c>
      <c r="HE111">
        <f>MAX(0,N(HA111)-N(HD111))</f>
        <v/>
      </c>
      <c r="HF111">
        <f>IFERROR(MATCH(4,OrderAval,0),"")</f>
        <v/>
      </c>
      <c r="HG111">
        <f>IF(HF111="",0,IFERROR(IF(N(CHOOSE(HF111,FN111,FR111,FV111,FZ111,GD111,GH111,GL111,GP111))&lt;=0.005,0,MAX(0,N(CHOOSE(HF111,FN111,FR111,FV111,FZ111,GD111,GH111,GL111,GP111))+N(CHOOSE(HF111,FO111,FS111,FW111,GA111,GE111,GI111,GM111,GQ111))-MIN(N(CHOOSE(HF111,'Debt List'!$F$5,'Debt List'!$F$6,'Debt List'!$F$7,'Debt List'!$F$8,'Debt List'!$F$9,'Debt List'!$F$10,'Debt List'!$F$11,'Debt List'!$F$12)),N(CHOOSE(HF111,FN111,FR111,FV111,FZ111,GD111,GH111,GL111,GP111))+N(CHOOSE(HF111,FO111,FS111,FW111,GA111,GE111,GI111,GM111,GQ111))))),0))</f>
        <v/>
      </c>
      <c r="HH111">
        <f>MIN(N(HG111),MAX(0,N(HE111)))</f>
        <v/>
      </c>
      <c r="HI111">
        <f>MAX(0,N(HE111)-N(HH111))</f>
        <v/>
      </c>
      <c r="HJ111">
        <f>IFERROR(MATCH(5,OrderAval,0),"")</f>
        <v/>
      </c>
      <c r="HK111">
        <f>IF(HJ111="",0,IFERROR(IF(N(CHOOSE(HJ111,FN111,FR111,FV111,FZ111,GD111,GH111,GL111,GP111))&lt;=0.005,0,MAX(0,N(CHOOSE(HJ111,FN111,FR111,FV111,FZ111,GD111,GH111,GL111,GP111))+N(CHOOSE(HJ111,FO111,FS111,FW111,GA111,GE111,GI111,GM111,GQ111))-MIN(N(CHOOSE(HJ111,'Debt List'!$F$5,'Debt List'!$F$6,'Debt List'!$F$7,'Debt List'!$F$8,'Debt List'!$F$9,'Debt List'!$F$10,'Debt List'!$F$11,'Debt List'!$F$12)),N(CHOOSE(HJ111,FN111,FR111,FV111,FZ111,GD111,GH111,GL111,GP111))+N(CHOOSE(HJ111,FO111,FS111,FW111,GA111,GE111,GI111,GM111,GQ111))))),0))</f>
        <v/>
      </c>
      <c r="HL111">
        <f>MIN(N(HK111),MAX(0,N(HI111)))</f>
        <v/>
      </c>
      <c r="HM111">
        <f>MAX(0,N(HI111)-N(HL111))</f>
        <v/>
      </c>
      <c r="HN111">
        <f>IFERROR(MATCH(6,OrderAval,0),"")</f>
        <v/>
      </c>
      <c r="HO111">
        <f>IF(HN111="",0,IFERROR(IF(N(CHOOSE(HN111,FN111,FR111,FV111,FZ111,GD111,GH111,GL111,GP111))&lt;=0.005,0,MAX(0,N(CHOOSE(HN111,FN111,FR111,FV111,FZ111,GD111,GH111,GL111,GP111))+N(CHOOSE(HN111,FO111,FS111,FW111,GA111,GE111,GI111,GM111,GQ111))-MIN(N(CHOOSE(HN111,'Debt List'!$F$5,'Debt List'!$F$6,'Debt List'!$F$7,'Debt List'!$F$8,'Debt List'!$F$9,'Debt List'!$F$10,'Debt List'!$F$11,'Debt List'!$F$12)),N(CHOOSE(HN111,FN111,FR111,FV111,FZ111,GD111,GH111,GL111,GP111))+N(CHOOSE(HN111,FO111,FS111,FW111,GA111,GE111,GI111,GM111,GQ111))))),0))</f>
        <v/>
      </c>
      <c r="HP111">
        <f>MIN(N(HO111),MAX(0,N(HM111)))</f>
        <v/>
      </c>
      <c r="HQ111">
        <f>MAX(0,N(HM111)-N(HP111))</f>
        <v/>
      </c>
      <c r="HR111">
        <f>IFERROR(MATCH(7,OrderAval,0),"")</f>
        <v/>
      </c>
      <c r="HS111">
        <f>IF(HR111="",0,IFERROR(IF(N(CHOOSE(HR111,FN111,FR111,FV111,FZ111,GD111,GH111,GL111,GP111))&lt;=0.005,0,MAX(0,N(CHOOSE(HR111,FN111,FR111,FV111,FZ111,GD111,GH111,GL111,GP111))+N(CHOOSE(HR111,FO111,FS111,FW111,GA111,GE111,GI111,GM111,GQ111))-MIN(N(CHOOSE(HR111,'Debt List'!$F$5,'Debt List'!$F$6,'Debt List'!$F$7,'Debt List'!$F$8,'Debt List'!$F$9,'Debt List'!$F$10,'Debt List'!$F$11,'Debt List'!$F$12)),N(CHOOSE(HR111,FN111,FR111,FV111,FZ111,GD111,GH111,GL111,GP111))+N(CHOOSE(HR111,FO111,FS111,FW111,GA111,GE111,GI111,GM111,GQ111))))),0))</f>
        <v/>
      </c>
      <c r="HT111">
        <f>MIN(N(HS111),MAX(0,N(HQ111)))</f>
        <v/>
      </c>
      <c r="HU111">
        <f>MAX(0,N(HQ111)-N(HT111))</f>
        <v/>
      </c>
      <c r="HV111">
        <f>IFERROR(MATCH(8,OrderAval,0),"")</f>
        <v/>
      </c>
      <c r="HW111">
        <f>IF(HV111="",0,IFERROR(IF(N(CHOOSE(HV111,FN111,FR111,FV111,FZ111,GD111,GH111,GL111,GP111))&lt;=0.005,0,MAX(0,N(CHOOSE(HV111,FN111,FR111,FV111,FZ111,GD111,GH111,GL111,GP111))+N(CHOOSE(HV111,FO111,FS111,FW111,GA111,GE111,GI111,GM111,GQ111))-MIN(N(CHOOSE(HV111,'Debt List'!$F$5,'Debt List'!$F$6,'Debt List'!$F$7,'Debt List'!$F$8,'Debt List'!$F$9,'Debt List'!$F$10,'Debt List'!$F$11,'Debt List'!$F$12)),N(CHOOSE(HV111,FN111,FR111,FV111,FZ111,GD111,GH111,GL111,GP111))+N(CHOOSE(HV111,FO111,FS111,FW111,GA111,GE111,GI111,GM111,GQ111))))),0))</f>
        <v/>
      </c>
      <c r="HX111">
        <f>MIN(N(HW111),MAX(0,N(HU111)))</f>
        <v/>
      </c>
      <c r="HY111">
        <f>MAX(0,N(HU111)-N(HX111))</f>
        <v/>
      </c>
    </row>
    <row r="112">
      <c r="A112" t="n">
        <v>108</v>
      </c>
      <c r="B112" s="115">
        <f>DATE(YEAR(PlanStart),MONTH(PlanStart)+A112-1,1)</f>
        <v/>
      </c>
      <c r="C112">
        <f>IF(AND(AP112&lt;&gt;"",N(CHOOSE(AP112,J112,N112,R112,V112,Z112,AD112,AH112,AL112))&gt;0.005),INDEX(DebtNames,AP112),IF(AND(AT112&lt;&gt;"",N(CHOOSE(AT112,J112,N112,R112,V112,Z112,AD112,AH112,AL112))&gt;0.005),INDEX(DebtNames,AT112),IF(AND(AX112&lt;&gt;"",N(CHOOSE(AX112,J112,N112,R112,V112,Z112,AD112,AH112,AL112))&gt;0.005),INDEX(DebtNames,AX112),IF(AND(BB112&lt;&gt;"",N(CHOOSE(BB112,J112,N112,R112,V112,Z112,AD112,AH112,AL112))&gt;0.005),INDEX(DebtNames,BB112),IF(AND(BF112&lt;&gt;"",N(CHOOSE(BF112,J112,N112,R112,V112,Z112,AD112,AH112,AL112))&gt;0.005),INDEX(DebtNames,BF112),IF(AND(BJ112&lt;&gt;"",N(CHOOSE(BJ112,J112,N112,R112,V112,Z112,AD112,AH112,AL112))&gt;0.005),INDEX(DebtNames,BJ112),IF(AND(BN112&lt;&gt;"",N(CHOOSE(BN112,J112,N112,R112,V112,Z112,AD112,AH112,AL112))&gt;0.005),INDEX(DebtNames,BN112),IF(AND(BR112&lt;&gt;"",N(CHOOSE(BR112,J112,N112,R112,V112,Z112,AD112,AH112,AL112))&gt;0.005),INDEX(DebtNames,BR112),""))))))))</f>
        <v/>
      </c>
      <c r="D112">
        <f>N(BU112)</f>
        <v/>
      </c>
      <c r="E112">
        <f>N(L112)+N(P112)+N(T112)+N(X112)+N(AB112)+N(AF112)+N(AJ112)+N(AN112)</f>
        <v/>
      </c>
      <c r="F112">
        <f>N(K112)+N(O112)+N(S112)+N(W112)+N(AA112)+N(AE112)+N(AI112)+N(AM112)</f>
        <v/>
      </c>
      <c r="G112">
        <f>N(G111)+N(F112)</f>
        <v/>
      </c>
      <c r="H112">
        <f>N(M112)+N(Q112)+N(U112)+N(Y112)+N(AC112)+N(AG112)+N(AK112)+N(AO112)</f>
        <v/>
      </c>
      <c r="I112">
        <f>(M112&gt;0.005)*1+(Q112&gt;0.005)*1+(U112&gt;0.005)*1+(Y112&gt;0.005)*1+(AC112&gt;0.005)*1+(AG112&gt;0.005)*1+(AK112&gt;0.005)*1+(AO112&gt;0.005)*1</f>
        <v/>
      </c>
      <c r="J112">
        <f>N(M111)</f>
        <v/>
      </c>
      <c r="K112">
        <f>IF(N(J112)&lt;=0.005,0,ROUND(N(J112)*N('Debt List'!E5)/12,2))</f>
        <v/>
      </c>
      <c r="L112">
        <f>IF(N(J112)&lt;=0.005,0,MIN(N('Debt List'!F5),N(J112)+N(K112)))+((AP112=1)*AR112+(AT112=1)*AV112+(AX112=1)*AZ112+(BB112=1)*BD112+(BF112=1)*BH112+(BJ112=1)*BL112+(BN112=1)*BP112+(BR112=1)*BT112)</f>
        <v/>
      </c>
      <c r="M112">
        <f>MAX(0,ROUND(N(J112)+N(K112)-N(L112),2))</f>
        <v/>
      </c>
      <c r="N112">
        <f>N(Q111)</f>
        <v/>
      </c>
      <c r="O112">
        <f>IF(N(N112)&lt;=0.005,0,ROUND(N(N112)*N('Debt List'!E6)/12,2))</f>
        <v/>
      </c>
      <c r="P112">
        <f>IF(N(N112)&lt;=0.005,0,MIN(N('Debt List'!F6),N(N112)+N(O112)))+((AP112=2)*AR112+(AT112=2)*AV112+(AX112=2)*AZ112+(BB112=2)*BD112+(BF112=2)*BH112+(BJ112=2)*BL112+(BN112=2)*BP112+(BR112=2)*BT112)</f>
        <v/>
      </c>
      <c r="Q112">
        <f>MAX(0,ROUND(N(N112)+N(O112)-N(P112),2))</f>
        <v/>
      </c>
      <c r="R112">
        <f>N(U111)</f>
        <v/>
      </c>
      <c r="S112">
        <f>IF(N(R112)&lt;=0.005,0,ROUND(N(R112)*N('Debt List'!E7)/12,2))</f>
        <v/>
      </c>
      <c r="T112">
        <f>IF(N(R112)&lt;=0.005,0,MIN(N('Debt List'!F7),N(R112)+N(S112)))+((AP112=3)*AR112+(AT112=3)*AV112+(AX112=3)*AZ112+(BB112=3)*BD112+(BF112=3)*BH112+(BJ112=3)*BL112+(BN112=3)*BP112+(BR112=3)*BT112)</f>
        <v/>
      </c>
      <c r="U112">
        <f>MAX(0,ROUND(N(R112)+N(S112)-N(T112),2))</f>
        <v/>
      </c>
      <c r="V112">
        <f>N(Y111)</f>
        <v/>
      </c>
      <c r="W112">
        <f>IF(N(V112)&lt;=0.005,0,ROUND(N(V112)*N('Debt List'!E8)/12,2))</f>
        <v/>
      </c>
      <c r="X112">
        <f>IF(N(V112)&lt;=0.005,0,MIN(N('Debt List'!F8),N(V112)+N(W112)))+((AP112=4)*AR112+(AT112=4)*AV112+(AX112=4)*AZ112+(BB112=4)*BD112+(BF112=4)*BH112+(BJ112=4)*BL112+(BN112=4)*BP112+(BR112=4)*BT112)</f>
        <v/>
      </c>
      <c r="Y112">
        <f>MAX(0,ROUND(N(V112)+N(W112)-N(X112),2))</f>
        <v/>
      </c>
      <c r="Z112">
        <f>N(AC111)</f>
        <v/>
      </c>
      <c r="AA112">
        <f>IF(N(Z112)&lt;=0.005,0,ROUND(N(Z112)*N('Debt List'!E9)/12,2))</f>
        <v/>
      </c>
      <c r="AB112">
        <f>IF(N(Z112)&lt;=0.005,0,MIN(N('Debt List'!F9),N(Z112)+N(AA112)))+((AP112=5)*AR112+(AT112=5)*AV112+(AX112=5)*AZ112+(BB112=5)*BD112+(BF112=5)*BH112+(BJ112=5)*BL112+(BN112=5)*BP112+(BR112=5)*BT112)</f>
        <v/>
      </c>
      <c r="AC112">
        <f>MAX(0,ROUND(N(Z112)+N(AA112)-N(AB112),2))</f>
        <v/>
      </c>
      <c r="AD112">
        <f>N(AG111)</f>
        <v/>
      </c>
      <c r="AE112">
        <f>IF(N(AD112)&lt;=0.005,0,ROUND(N(AD112)*N('Debt List'!E10)/12,2))</f>
        <v/>
      </c>
      <c r="AF112">
        <f>IF(N(AD112)&lt;=0.005,0,MIN(N('Debt List'!F10),N(AD112)+N(AE112)))+((AP112=6)*AR112+(AT112=6)*AV112+(AX112=6)*AZ112+(BB112=6)*BD112+(BF112=6)*BH112+(BJ112=6)*BL112+(BN112=6)*BP112+(BR112=6)*BT112)</f>
        <v/>
      </c>
      <c r="AG112">
        <f>MAX(0,ROUND(N(AD112)+N(AE112)-N(AF112),2))</f>
        <v/>
      </c>
      <c r="AH112">
        <f>N(AK111)</f>
        <v/>
      </c>
      <c r="AI112">
        <f>IF(N(AH112)&lt;=0.005,0,ROUND(N(AH112)*N('Debt List'!E11)/12,2))</f>
        <v/>
      </c>
      <c r="AJ112">
        <f>IF(N(AH112)&lt;=0.005,0,MIN(N('Debt List'!F11),N(AH112)+N(AI112)))+((AP112=7)*AR112+(AT112=7)*AV112+(AX112=7)*AZ112+(BB112=7)*BD112+(BF112=7)*BH112+(BJ112=7)*BL112+(BN112=7)*BP112+(BR112=7)*BT112)</f>
        <v/>
      </c>
      <c r="AK112">
        <f>MAX(0,ROUND(N(AH112)+N(AI112)-N(AJ112),2))</f>
        <v/>
      </c>
      <c r="AL112">
        <f>N(AO111)</f>
        <v/>
      </c>
      <c r="AM112">
        <f>IF(N(AL112)&lt;=0.005,0,ROUND(N(AL112)*N('Debt List'!E12)/12,2))</f>
        <v/>
      </c>
      <c r="AN112">
        <f>IF(N(AL112)&lt;=0.005,0,MIN(N('Debt List'!F12),N(AL112)+N(AM112)))+((AP112=8)*AR112+(AT112=8)*AV112+(AX112=8)*AZ112+(BB112=8)*BD112+(BF112=8)*BH112+(BJ112=8)*BL112+(BN112=8)*BP112+(BR112=8)*BT112)</f>
        <v/>
      </c>
      <c r="AO112">
        <f>MAX(0,ROUND(N(AL112)+N(AM112)-N(AN112),2))</f>
        <v/>
      </c>
      <c r="AP112">
        <f>IFERROR(MATCH(1,OrderPlan,0),"")</f>
        <v/>
      </c>
      <c r="AQ112">
        <f>IF(AP112="",0,IFERROR(IF(N(CHOOSE(AP112,J112,N112,R112,V112,Z112,AD112,AH112,AL112))&lt;=0.005,0,MAX(0,N(CHOOSE(AP112,J112,N112,R112,V112,Z112,AD112,AH112,AL112))+N(CHOOSE(AP112,K112,O112,S112,W112,AA112,AE112,AI112,AM112))-MIN(N(CHOOSE(AP112,'Debt List'!$F$5,'Debt List'!$F$6,'Debt List'!$F$7,'Debt List'!$F$8,'Debt List'!$F$9,'Debt List'!$F$10,'Debt List'!$F$11,'Debt List'!$F$12)),N(CHOOSE(AP112,J112,N112,R112,V112,Z112,AD112,AH112,AL112))+N(CHOOSE(AP112,K112,O112,S112,W112,AA112,AE112,AI112,AM112))))),0))</f>
        <v/>
      </c>
      <c r="AR112">
        <f>MIN(N(AQ112),MAX(0,N(ExtraPayment)))</f>
        <v/>
      </c>
      <c r="AS112">
        <f>MAX(0,N(ExtraPayment)-N(AR112))</f>
        <v/>
      </c>
      <c r="AT112">
        <f>IFERROR(MATCH(2,OrderPlan,0),"")</f>
        <v/>
      </c>
      <c r="AU112">
        <f>IF(AT112="",0,IFERROR(IF(N(CHOOSE(AT112,J112,N112,R112,V112,Z112,AD112,AH112,AL112))&lt;=0.005,0,MAX(0,N(CHOOSE(AT112,J112,N112,R112,V112,Z112,AD112,AH112,AL112))+N(CHOOSE(AT112,K112,O112,S112,W112,AA112,AE112,AI112,AM112))-MIN(N(CHOOSE(AT112,'Debt List'!$F$5,'Debt List'!$F$6,'Debt List'!$F$7,'Debt List'!$F$8,'Debt List'!$F$9,'Debt List'!$F$10,'Debt List'!$F$11,'Debt List'!$F$12)),N(CHOOSE(AT112,J112,N112,R112,V112,Z112,AD112,AH112,AL112))+N(CHOOSE(AT112,K112,O112,S112,W112,AA112,AE112,AI112,AM112))))),0))</f>
        <v/>
      </c>
      <c r="AV112">
        <f>MIN(N(AU112),MAX(0,N(AS112)))</f>
        <v/>
      </c>
      <c r="AW112">
        <f>MAX(0,N(AS112)-N(AV112))</f>
        <v/>
      </c>
      <c r="AX112">
        <f>IFERROR(MATCH(3,OrderPlan,0),"")</f>
        <v/>
      </c>
      <c r="AY112">
        <f>IF(AX112="",0,IFERROR(IF(N(CHOOSE(AX112,J112,N112,R112,V112,Z112,AD112,AH112,AL112))&lt;=0.005,0,MAX(0,N(CHOOSE(AX112,J112,N112,R112,V112,Z112,AD112,AH112,AL112))+N(CHOOSE(AX112,K112,O112,S112,W112,AA112,AE112,AI112,AM112))-MIN(N(CHOOSE(AX112,'Debt List'!$F$5,'Debt List'!$F$6,'Debt List'!$F$7,'Debt List'!$F$8,'Debt List'!$F$9,'Debt List'!$F$10,'Debt List'!$F$11,'Debt List'!$F$12)),N(CHOOSE(AX112,J112,N112,R112,V112,Z112,AD112,AH112,AL112))+N(CHOOSE(AX112,K112,O112,S112,W112,AA112,AE112,AI112,AM112))))),0))</f>
        <v/>
      </c>
      <c r="AZ112">
        <f>MIN(N(AY112),MAX(0,N(AW112)))</f>
        <v/>
      </c>
      <c r="BA112">
        <f>MAX(0,N(AW112)-N(AZ112))</f>
        <v/>
      </c>
      <c r="BB112">
        <f>IFERROR(MATCH(4,OrderPlan,0),"")</f>
        <v/>
      </c>
      <c r="BC112">
        <f>IF(BB112="",0,IFERROR(IF(N(CHOOSE(BB112,J112,N112,R112,V112,Z112,AD112,AH112,AL112))&lt;=0.005,0,MAX(0,N(CHOOSE(BB112,J112,N112,R112,V112,Z112,AD112,AH112,AL112))+N(CHOOSE(BB112,K112,O112,S112,W112,AA112,AE112,AI112,AM112))-MIN(N(CHOOSE(BB112,'Debt List'!$F$5,'Debt List'!$F$6,'Debt List'!$F$7,'Debt List'!$F$8,'Debt List'!$F$9,'Debt List'!$F$10,'Debt List'!$F$11,'Debt List'!$F$12)),N(CHOOSE(BB112,J112,N112,R112,V112,Z112,AD112,AH112,AL112))+N(CHOOSE(BB112,K112,O112,S112,W112,AA112,AE112,AI112,AM112))))),0))</f>
        <v/>
      </c>
      <c r="BD112">
        <f>MIN(N(BC112),MAX(0,N(BA112)))</f>
        <v/>
      </c>
      <c r="BE112">
        <f>MAX(0,N(BA112)-N(BD112))</f>
        <v/>
      </c>
      <c r="BF112">
        <f>IFERROR(MATCH(5,OrderPlan,0),"")</f>
        <v/>
      </c>
      <c r="BG112">
        <f>IF(BF112="",0,IFERROR(IF(N(CHOOSE(BF112,J112,N112,R112,V112,Z112,AD112,AH112,AL112))&lt;=0.005,0,MAX(0,N(CHOOSE(BF112,J112,N112,R112,V112,Z112,AD112,AH112,AL112))+N(CHOOSE(BF112,K112,O112,S112,W112,AA112,AE112,AI112,AM112))-MIN(N(CHOOSE(BF112,'Debt List'!$F$5,'Debt List'!$F$6,'Debt List'!$F$7,'Debt List'!$F$8,'Debt List'!$F$9,'Debt List'!$F$10,'Debt List'!$F$11,'Debt List'!$F$12)),N(CHOOSE(BF112,J112,N112,R112,V112,Z112,AD112,AH112,AL112))+N(CHOOSE(BF112,K112,O112,S112,W112,AA112,AE112,AI112,AM112))))),0))</f>
        <v/>
      </c>
      <c r="BH112">
        <f>MIN(N(BG112),MAX(0,N(BE112)))</f>
        <v/>
      </c>
      <c r="BI112">
        <f>MAX(0,N(BE112)-N(BH112))</f>
        <v/>
      </c>
      <c r="BJ112">
        <f>IFERROR(MATCH(6,OrderPlan,0),"")</f>
        <v/>
      </c>
      <c r="BK112">
        <f>IF(BJ112="",0,IFERROR(IF(N(CHOOSE(BJ112,J112,N112,R112,V112,Z112,AD112,AH112,AL112))&lt;=0.005,0,MAX(0,N(CHOOSE(BJ112,J112,N112,R112,V112,Z112,AD112,AH112,AL112))+N(CHOOSE(BJ112,K112,O112,S112,W112,AA112,AE112,AI112,AM112))-MIN(N(CHOOSE(BJ112,'Debt List'!$F$5,'Debt List'!$F$6,'Debt List'!$F$7,'Debt List'!$F$8,'Debt List'!$F$9,'Debt List'!$F$10,'Debt List'!$F$11,'Debt List'!$F$12)),N(CHOOSE(BJ112,J112,N112,R112,V112,Z112,AD112,AH112,AL112))+N(CHOOSE(BJ112,K112,O112,S112,W112,AA112,AE112,AI112,AM112))))),0))</f>
        <v/>
      </c>
      <c r="BL112">
        <f>MIN(N(BK112),MAX(0,N(BI112)))</f>
        <v/>
      </c>
      <c r="BM112">
        <f>MAX(0,N(BI112)-N(BL112))</f>
        <v/>
      </c>
      <c r="BN112">
        <f>IFERROR(MATCH(7,OrderPlan,0),"")</f>
        <v/>
      </c>
      <c r="BO112">
        <f>IF(BN112="",0,IFERROR(IF(N(CHOOSE(BN112,J112,N112,R112,V112,Z112,AD112,AH112,AL112))&lt;=0.005,0,MAX(0,N(CHOOSE(BN112,J112,N112,R112,V112,Z112,AD112,AH112,AL112))+N(CHOOSE(BN112,K112,O112,S112,W112,AA112,AE112,AI112,AM112))-MIN(N(CHOOSE(BN112,'Debt List'!$F$5,'Debt List'!$F$6,'Debt List'!$F$7,'Debt List'!$F$8,'Debt List'!$F$9,'Debt List'!$F$10,'Debt List'!$F$11,'Debt List'!$F$12)),N(CHOOSE(BN112,J112,N112,R112,V112,Z112,AD112,AH112,AL112))+N(CHOOSE(BN112,K112,O112,S112,W112,AA112,AE112,AI112,AM112))))),0))</f>
        <v/>
      </c>
      <c r="BP112">
        <f>MIN(N(BO112),MAX(0,N(BM112)))</f>
        <v/>
      </c>
      <c r="BQ112">
        <f>MAX(0,N(BM112)-N(BP112))</f>
        <v/>
      </c>
      <c r="BR112">
        <f>IFERROR(MATCH(8,OrderPlan,0),"")</f>
        <v/>
      </c>
      <c r="BS112">
        <f>IF(BR112="",0,IFERROR(IF(N(CHOOSE(BR112,J112,N112,R112,V112,Z112,AD112,AH112,AL112))&lt;=0.005,0,MAX(0,N(CHOOSE(BR112,J112,N112,R112,V112,Z112,AD112,AH112,AL112))+N(CHOOSE(BR112,K112,O112,S112,W112,AA112,AE112,AI112,AM112))-MIN(N(CHOOSE(BR112,'Debt List'!$F$5,'Debt List'!$F$6,'Debt List'!$F$7,'Debt List'!$F$8,'Debt List'!$F$9,'Debt List'!$F$10,'Debt List'!$F$11,'Debt List'!$F$12)),N(CHOOSE(BR112,J112,N112,R112,V112,Z112,AD112,AH112,AL112))+N(CHOOSE(BR112,K112,O112,S112,W112,AA112,AE112,AI112,AM112))))),0))</f>
        <v/>
      </c>
      <c r="BT112">
        <f>MIN(N(BS112),MAX(0,N(BQ112)))</f>
        <v/>
      </c>
      <c r="BU112">
        <f>MAX(0,N(BQ112)-N(BT112))</f>
        <v/>
      </c>
      <c r="CC112" t="n">
        <v>108</v>
      </c>
      <c r="CD112" s="115">
        <f>DATE(YEAR(PlanStart),MONTH(PlanStart)+CC112-1,1)</f>
        <v/>
      </c>
      <c r="CE112">
        <f>IF(AND(DR112&lt;&gt;"",N(CHOOSE(DR112,CL112,CP112,CT112,CX112,DB112,DF112,DJ112,DN112))&gt;0.005),INDEX(DebtNames,DR112),IF(AND(DV112&lt;&gt;"",N(CHOOSE(DV112,CL112,CP112,CT112,CX112,DB112,DF112,DJ112,DN112))&gt;0.005),INDEX(DebtNames,DV112),IF(AND(DZ112&lt;&gt;"",N(CHOOSE(DZ112,CL112,CP112,CT112,CX112,DB112,DF112,DJ112,DN112))&gt;0.005),INDEX(DebtNames,DZ112),IF(AND(ED112&lt;&gt;"",N(CHOOSE(ED112,CL112,CP112,CT112,CX112,DB112,DF112,DJ112,DN112))&gt;0.005),INDEX(DebtNames,ED112),IF(AND(EH112&lt;&gt;"",N(CHOOSE(EH112,CL112,CP112,CT112,CX112,DB112,DF112,DJ112,DN112))&gt;0.005),INDEX(DebtNames,EH112),IF(AND(EL112&lt;&gt;"",N(CHOOSE(EL112,CL112,CP112,CT112,CX112,DB112,DF112,DJ112,DN112))&gt;0.005),INDEX(DebtNames,EL112),IF(AND(EP112&lt;&gt;"",N(CHOOSE(EP112,CL112,CP112,CT112,CX112,DB112,DF112,DJ112,DN112))&gt;0.005),INDEX(DebtNames,EP112),IF(AND(ET112&lt;&gt;"",N(CHOOSE(ET112,CL112,CP112,CT112,CX112,DB112,DF112,DJ112,DN112))&gt;0.005),INDEX(DebtNames,ET112),""))))))))</f>
        <v/>
      </c>
      <c r="CF112">
        <f>N(EW112)</f>
        <v/>
      </c>
      <c r="CG112">
        <f>N(CN112)+N(CR112)+N(CV112)+N(CZ112)+N(DD112)+N(DH112)+N(DL112)+N(DP112)</f>
        <v/>
      </c>
      <c r="CH112">
        <f>N(CM112)+N(CQ112)+N(CU112)+N(CY112)+N(DC112)+N(DG112)+N(DK112)+N(DO112)</f>
        <v/>
      </c>
      <c r="CI112">
        <f>N(CI111)+N(CH112)</f>
        <v/>
      </c>
      <c r="CJ112">
        <f>N(CO112)+N(CS112)+N(CW112)+N(DA112)+N(DE112)+N(DI112)+N(DM112)+N(DQ112)</f>
        <v/>
      </c>
      <c r="CK112">
        <f>(CO112&gt;0.005)*1+(CS112&gt;0.005)*1+(CW112&gt;0.005)*1+(DA112&gt;0.005)*1+(DE112&gt;0.005)*1+(DI112&gt;0.005)*1+(DM112&gt;0.005)*1+(DQ112&gt;0.005)*1</f>
        <v/>
      </c>
      <c r="CL112">
        <f>N(CO111)</f>
        <v/>
      </c>
      <c r="CM112">
        <f>IF(N(CL112)&lt;=0.005,0,ROUND(N(CL112)*N('Debt List'!E5)/12,2))</f>
        <v/>
      </c>
      <c r="CN112">
        <f>IF(N(CL112)&lt;=0.005,0,MIN(N('Debt List'!F5),N(CL112)+N(CM112)))+((DR112=1)*DT112+(DV112=1)*DX112+(DZ112=1)*EB112+(ED112=1)*EF112+(EH112=1)*EJ112+(EL112=1)*EN112+(EP112=1)*ER112+(ET112=1)*EV112)</f>
        <v/>
      </c>
      <c r="CO112">
        <f>MAX(0,ROUND(N(CL112)+N(CM112)-N(CN112),2))</f>
        <v/>
      </c>
      <c r="CP112">
        <f>N(CS111)</f>
        <v/>
      </c>
      <c r="CQ112">
        <f>IF(N(CP112)&lt;=0.005,0,ROUND(N(CP112)*N('Debt List'!E6)/12,2))</f>
        <v/>
      </c>
      <c r="CR112">
        <f>IF(N(CP112)&lt;=0.005,0,MIN(N('Debt List'!F6),N(CP112)+N(CQ112)))+((DR112=2)*DT112+(DV112=2)*DX112+(DZ112=2)*EB112+(ED112=2)*EF112+(EH112=2)*EJ112+(EL112=2)*EN112+(EP112=2)*ER112+(ET112=2)*EV112)</f>
        <v/>
      </c>
      <c r="CS112">
        <f>MAX(0,ROUND(N(CP112)+N(CQ112)-N(CR112),2))</f>
        <v/>
      </c>
      <c r="CT112">
        <f>N(CW111)</f>
        <v/>
      </c>
      <c r="CU112">
        <f>IF(N(CT112)&lt;=0.005,0,ROUND(N(CT112)*N('Debt List'!E7)/12,2))</f>
        <v/>
      </c>
      <c r="CV112">
        <f>IF(N(CT112)&lt;=0.005,0,MIN(N('Debt List'!F7),N(CT112)+N(CU112)))+((DR112=3)*DT112+(DV112=3)*DX112+(DZ112=3)*EB112+(ED112=3)*EF112+(EH112=3)*EJ112+(EL112=3)*EN112+(EP112=3)*ER112+(ET112=3)*EV112)</f>
        <v/>
      </c>
      <c r="CW112">
        <f>MAX(0,ROUND(N(CT112)+N(CU112)-N(CV112),2))</f>
        <v/>
      </c>
      <c r="CX112">
        <f>N(DA111)</f>
        <v/>
      </c>
      <c r="CY112">
        <f>IF(N(CX112)&lt;=0.005,0,ROUND(N(CX112)*N('Debt List'!E8)/12,2))</f>
        <v/>
      </c>
      <c r="CZ112">
        <f>IF(N(CX112)&lt;=0.005,0,MIN(N('Debt List'!F8),N(CX112)+N(CY112)))+((DR112=4)*DT112+(DV112=4)*DX112+(DZ112=4)*EB112+(ED112=4)*EF112+(EH112=4)*EJ112+(EL112=4)*EN112+(EP112=4)*ER112+(ET112=4)*EV112)</f>
        <v/>
      </c>
      <c r="DA112">
        <f>MAX(0,ROUND(N(CX112)+N(CY112)-N(CZ112),2))</f>
        <v/>
      </c>
      <c r="DB112">
        <f>N(DE111)</f>
        <v/>
      </c>
      <c r="DC112">
        <f>IF(N(DB112)&lt;=0.005,0,ROUND(N(DB112)*N('Debt List'!E9)/12,2))</f>
        <v/>
      </c>
      <c r="DD112">
        <f>IF(N(DB112)&lt;=0.005,0,MIN(N('Debt List'!F9),N(DB112)+N(DC112)))+((DR112=5)*DT112+(DV112=5)*DX112+(DZ112=5)*EB112+(ED112=5)*EF112+(EH112=5)*EJ112+(EL112=5)*EN112+(EP112=5)*ER112+(ET112=5)*EV112)</f>
        <v/>
      </c>
      <c r="DE112">
        <f>MAX(0,ROUND(N(DB112)+N(DC112)-N(DD112),2))</f>
        <v/>
      </c>
      <c r="DF112">
        <f>N(DI111)</f>
        <v/>
      </c>
      <c r="DG112">
        <f>IF(N(DF112)&lt;=0.005,0,ROUND(N(DF112)*N('Debt List'!E10)/12,2))</f>
        <v/>
      </c>
      <c r="DH112">
        <f>IF(N(DF112)&lt;=0.005,0,MIN(N('Debt List'!F10),N(DF112)+N(DG112)))+((DR112=6)*DT112+(DV112=6)*DX112+(DZ112=6)*EB112+(ED112=6)*EF112+(EH112=6)*EJ112+(EL112=6)*EN112+(EP112=6)*ER112+(ET112=6)*EV112)</f>
        <v/>
      </c>
      <c r="DI112">
        <f>MAX(0,ROUND(N(DF112)+N(DG112)-N(DH112),2))</f>
        <v/>
      </c>
      <c r="DJ112">
        <f>N(DM111)</f>
        <v/>
      </c>
      <c r="DK112">
        <f>IF(N(DJ112)&lt;=0.005,0,ROUND(N(DJ112)*N('Debt List'!E11)/12,2))</f>
        <v/>
      </c>
      <c r="DL112">
        <f>IF(N(DJ112)&lt;=0.005,0,MIN(N('Debt List'!F11),N(DJ112)+N(DK112)))+((DR112=7)*DT112+(DV112=7)*DX112+(DZ112=7)*EB112+(ED112=7)*EF112+(EH112=7)*EJ112+(EL112=7)*EN112+(EP112=7)*ER112+(ET112=7)*EV112)</f>
        <v/>
      </c>
      <c r="DM112">
        <f>MAX(0,ROUND(N(DJ112)+N(DK112)-N(DL112),2))</f>
        <v/>
      </c>
      <c r="DN112">
        <f>N(DQ111)</f>
        <v/>
      </c>
      <c r="DO112">
        <f>IF(N(DN112)&lt;=0.005,0,ROUND(N(DN112)*N('Debt List'!E12)/12,2))</f>
        <v/>
      </c>
      <c r="DP112">
        <f>IF(N(DN112)&lt;=0.005,0,MIN(N('Debt List'!F12),N(DN112)+N(DO112)))+((DR112=8)*DT112+(DV112=8)*DX112+(DZ112=8)*EB112+(ED112=8)*EF112+(EH112=8)*EJ112+(EL112=8)*EN112+(EP112=8)*ER112+(ET112=8)*EV112)</f>
        <v/>
      </c>
      <c r="DQ112">
        <f>MAX(0,ROUND(N(DN112)+N(DO112)-N(DP112),2))</f>
        <v/>
      </c>
      <c r="DR112">
        <f>IFERROR(MATCH(1,OrderSnow,0),"")</f>
        <v/>
      </c>
      <c r="DS112">
        <f>IF(DR112="",0,IFERROR(IF(N(CHOOSE(DR112,CL112,CP112,CT112,CX112,DB112,DF112,DJ112,DN112))&lt;=0.005,0,MAX(0,N(CHOOSE(DR112,CL112,CP112,CT112,CX112,DB112,DF112,DJ112,DN112))+N(CHOOSE(DR112,CM112,CQ112,CU112,CY112,DC112,DG112,DK112,DO112))-MIN(N(CHOOSE(DR112,'Debt List'!$F$5,'Debt List'!$F$6,'Debt List'!$F$7,'Debt List'!$F$8,'Debt List'!$F$9,'Debt List'!$F$10,'Debt List'!$F$11,'Debt List'!$F$12)),N(CHOOSE(DR112,CL112,CP112,CT112,CX112,DB112,DF112,DJ112,DN112))+N(CHOOSE(DR112,CM112,CQ112,CU112,CY112,DC112,DG112,DK112,DO112))))),0))</f>
        <v/>
      </c>
      <c r="DT112">
        <f>MIN(N(DS112),MAX(0,N(ExtraPayment)))</f>
        <v/>
      </c>
      <c r="DU112">
        <f>MAX(0,N(ExtraPayment)-N(DT112))</f>
        <v/>
      </c>
      <c r="DV112">
        <f>IFERROR(MATCH(2,OrderSnow,0),"")</f>
        <v/>
      </c>
      <c r="DW112">
        <f>IF(DV112="",0,IFERROR(IF(N(CHOOSE(DV112,CL112,CP112,CT112,CX112,DB112,DF112,DJ112,DN112))&lt;=0.005,0,MAX(0,N(CHOOSE(DV112,CL112,CP112,CT112,CX112,DB112,DF112,DJ112,DN112))+N(CHOOSE(DV112,CM112,CQ112,CU112,CY112,DC112,DG112,DK112,DO112))-MIN(N(CHOOSE(DV112,'Debt List'!$F$5,'Debt List'!$F$6,'Debt List'!$F$7,'Debt List'!$F$8,'Debt List'!$F$9,'Debt List'!$F$10,'Debt List'!$F$11,'Debt List'!$F$12)),N(CHOOSE(DV112,CL112,CP112,CT112,CX112,DB112,DF112,DJ112,DN112))+N(CHOOSE(DV112,CM112,CQ112,CU112,CY112,DC112,DG112,DK112,DO112))))),0))</f>
        <v/>
      </c>
      <c r="DX112">
        <f>MIN(N(DW112),MAX(0,N(DU112)))</f>
        <v/>
      </c>
      <c r="DY112">
        <f>MAX(0,N(DU112)-N(DX112))</f>
        <v/>
      </c>
      <c r="DZ112">
        <f>IFERROR(MATCH(3,OrderSnow,0),"")</f>
        <v/>
      </c>
      <c r="EA112">
        <f>IF(DZ112="",0,IFERROR(IF(N(CHOOSE(DZ112,CL112,CP112,CT112,CX112,DB112,DF112,DJ112,DN112))&lt;=0.005,0,MAX(0,N(CHOOSE(DZ112,CL112,CP112,CT112,CX112,DB112,DF112,DJ112,DN112))+N(CHOOSE(DZ112,CM112,CQ112,CU112,CY112,DC112,DG112,DK112,DO112))-MIN(N(CHOOSE(DZ112,'Debt List'!$F$5,'Debt List'!$F$6,'Debt List'!$F$7,'Debt List'!$F$8,'Debt List'!$F$9,'Debt List'!$F$10,'Debt List'!$F$11,'Debt List'!$F$12)),N(CHOOSE(DZ112,CL112,CP112,CT112,CX112,DB112,DF112,DJ112,DN112))+N(CHOOSE(DZ112,CM112,CQ112,CU112,CY112,DC112,DG112,DK112,DO112))))),0))</f>
        <v/>
      </c>
      <c r="EB112">
        <f>MIN(N(EA112),MAX(0,N(DY112)))</f>
        <v/>
      </c>
      <c r="EC112">
        <f>MAX(0,N(DY112)-N(EB112))</f>
        <v/>
      </c>
      <c r="ED112">
        <f>IFERROR(MATCH(4,OrderSnow,0),"")</f>
        <v/>
      </c>
      <c r="EE112">
        <f>IF(ED112="",0,IFERROR(IF(N(CHOOSE(ED112,CL112,CP112,CT112,CX112,DB112,DF112,DJ112,DN112))&lt;=0.005,0,MAX(0,N(CHOOSE(ED112,CL112,CP112,CT112,CX112,DB112,DF112,DJ112,DN112))+N(CHOOSE(ED112,CM112,CQ112,CU112,CY112,DC112,DG112,DK112,DO112))-MIN(N(CHOOSE(ED112,'Debt List'!$F$5,'Debt List'!$F$6,'Debt List'!$F$7,'Debt List'!$F$8,'Debt List'!$F$9,'Debt List'!$F$10,'Debt List'!$F$11,'Debt List'!$F$12)),N(CHOOSE(ED112,CL112,CP112,CT112,CX112,DB112,DF112,DJ112,DN112))+N(CHOOSE(ED112,CM112,CQ112,CU112,CY112,DC112,DG112,DK112,DO112))))),0))</f>
        <v/>
      </c>
      <c r="EF112">
        <f>MIN(N(EE112),MAX(0,N(EC112)))</f>
        <v/>
      </c>
      <c r="EG112">
        <f>MAX(0,N(EC112)-N(EF112))</f>
        <v/>
      </c>
      <c r="EH112">
        <f>IFERROR(MATCH(5,OrderSnow,0),"")</f>
        <v/>
      </c>
      <c r="EI112">
        <f>IF(EH112="",0,IFERROR(IF(N(CHOOSE(EH112,CL112,CP112,CT112,CX112,DB112,DF112,DJ112,DN112))&lt;=0.005,0,MAX(0,N(CHOOSE(EH112,CL112,CP112,CT112,CX112,DB112,DF112,DJ112,DN112))+N(CHOOSE(EH112,CM112,CQ112,CU112,CY112,DC112,DG112,DK112,DO112))-MIN(N(CHOOSE(EH112,'Debt List'!$F$5,'Debt List'!$F$6,'Debt List'!$F$7,'Debt List'!$F$8,'Debt List'!$F$9,'Debt List'!$F$10,'Debt List'!$F$11,'Debt List'!$F$12)),N(CHOOSE(EH112,CL112,CP112,CT112,CX112,DB112,DF112,DJ112,DN112))+N(CHOOSE(EH112,CM112,CQ112,CU112,CY112,DC112,DG112,DK112,DO112))))),0))</f>
        <v/>
      </c>
      <c r="EJ112">
        <f>MIN(N(EI112),MAX(0,N(EG112)))</f>
        <v/>
      </c>
      <c r="EK112">
        <f>MAX(0,N(EG112)-N(EJ112))</f>
        <v/>
      </c>
      <c r="EL112">
        <f>IFERROR(MATCH(6,OrderSnow,0),"")</f>
        <v/>
      </c>
      <c r="EM112">
        <f>IF(EL112="",0,IFERROR(IF(N(CHOOSE(EL112,CL112,CP112,CT112,CX112,DB112,DF112,DJ112,DN112))&lt;=0.005,0,MAX(0,N(CHOOSE(EL112,CL112,CP112,CT112,CX112,DB112,DF112,DJ112,DN112))+N(CHOOSE(EL112,CM112,CQ112,CU112,CY112,DC112,DG112,DK112,DO112))-MIN(N(CHOOSE(EL112,'Debt List'!$F$5,'Debt List'!$F$6,'Debt List'!$F$7,'Debt List'!$F$8,'Debt List'!$F$9,'Debt List'!$F$10,'Debt List'!$F$11,'Debt List'!$F$12)),N(CHOOSE(EL112,CL112,CP112,CT112,CX112,DB112,DF112,DJ112,DN112))+N(CHOOSE(EL112,CM112,CQ112,CU112,CY112,DC112,DG112,DK112,DO112))))),0))</f>
        <v/>
      </c>
      <c r="EN112">
        <f>MIN(N(EM112),MAX(0,N(EK112)))</f>
        <v/>
      </c>
      <c r="EO112">
        <f>MAX(0,N(EK112)-N(EN112))</f>
        <v/>
      </c>
      <c r="EP112">
        <f>IFERROR(MATCH(7,OrderSnow,0),"")</f>
        <v/>
      </c>
      <c r="EQ112">
        <f>IF(EP112="",0,IFERROR(IF(N(CHOOSE(EP112,CL112,CP112,CT112,CX112,DB112,DF112,DJ112,DN112))&lt;=0.005,0,MAX(0,N(CHOOSE(EP112,CL112,CP112,CT112,CX112,DB112,DF112,DJ112,DN112))+N(CHOOSE(EP112,CM112,CQ112,CU112,CY112,DC112,DG112,DK112,DO112))-MIN(N(CHOOSE(EP112,'Debt List'!$F$5,'Debt List'!$F$6,'Debt List'!$F$7,'Debt List'!$F$8,'Debt List'!$F$9,'Debt List'!$F$10,'Debt List'!$F$11,'Debt List'!$F$12)),N(CHOOSE(EP112,CL112,CP112,CT112,CX112,DB112,DF112,DJ112,DN112))+N(CHOOSE(EP112,CM112,CQ112,CU112,CY112,DC112,DG112,DK112,DO112))))),0))</f>
        <v/>
      </c>
      <c r="ER112">
        <f>MIN(N(EQ112),MAX(0,N(EO112)))</f>
        <v/>
      </c>
      <c r="ES112">
        <f>MAX(0,N(EO112)-N(ER112))</f>
        <v/>
      </c>
      <c r="ET112">
        <f>IFERROR(MATCH(8,OrderSnow,0),"")</f>
        <v/>
      </c>
      <c r="EU112">
        <f>IF(ET112="",0,IFERROR(IF(N(CHOOSE(ET112,CL112,CP112,CT112,CX112,DB112,DF112,DJ112,DN112))&lt;=0.005,0,MAX(0,N(CHOOSE(ET112,CL112,CP112,CT112,CX112,DB112,DF112,DJ112,DN112))+N(CHOOSE(ET112,CM112,CQ112,CU112,CY112,DC112,DG112,DK112,DO112))-MIN(N(CHOOSE(ET112,'Debt List'!$F$5,'Debt List'!$F$6,'Debt List'!$F$7,'Debt List'!$F$8,'Debt List'!$F$9,'Debt List'!$F$10,'Debt List'!$F$11,'Debt List'!$F$12)),N(CHOOSE(ET112,CL112,CP112,CT112,CX112,DB112,DF112,DJ112,DN112))+N(CHOOSE(ET112,CM112,CQ112,CU112,CY112,DC112,DG112,DK112,DO112))))),0))</f>
        <v/>
      </c>
      <c r="EV112">
        <f>MIN(N(EU112),MAX(0,N(ES112)))</f>
        <v/>
      </c>
      <c r="EW112">
        <f>MAX(0,N(ES112)-N(EV112))</f>
        <v/>
      </c>
      <c r="FE112" t="n">
        <v>108</v>
      </c>
      <c r="FF112" s="115">
        <f>DATE(YEAR(PlanStart),MONTH(PlanStart)+FE112-1,1)</f>
        <v/>
      </c>
      <c r="FG112">
        <f>IF(AND(GT112&lt;&gt;"",N(CHOOSE(GT112,FN112,FR112,FV112,FZ112,GD112,GH112,GL112,GP112))&gt;0.005),INDEX(DebtNames,GT112),IF(AND(GX112&lt;&gt;"",N(CHOOSE(GX112,FN112,FR112,FV112,FZ112,GD112,GH112,GL112,GP112))&gt;0.005),INDEX(DebtNames,GX112),IF(AND(HB112&lt;&gt;"",N(CHOOSE(HB112,FN112,FR112,FV112,FZ112,GD112,GH112,GL112,GP112))&gt;0.005),INDEX(DebtNames,HB112),IF(AND(HF112&lt;&gt;"",N(CHOOSE(HF112,FN112,FR112,FV112,FZ112,GD112,GH112,GL112,GP112))&gt;0.005),INDEX(DebtNames,HF112),IF(AND(HJ112&lt;&gt;"",N(CHOOSE(HJ112,FN112,FR112,FV112,FZ112,GD112,GH112,GL112,GP112))&gt;0.005),INDEX(DebtNames,HJ112),IF(AND(HN112&lt;&gt;"",N(CHOOSE(HN112,FN112,FR112,FV112,FZ112,GD112,GH112,GL112,GP112))&gt;0.005),INDEX(DebtNames,HN112),IF(AND(HR112&lt;&gt;"",N(CHOOSE(HR112,FN112,FR112,FV112,FZ112,GD112,GH112,GL112,GP112))&gt;0.005),INDEX(DebtNames,HR112),IF(AND(HV112&lt;&gt;"",N(CHOOSE(HV112,FN112,FR112,FV112,FZ112,GD112,GH112,GL112,GP112))&gt;0.005),INDEX(DebtNames,HV112),""))))))))</f>
        <v/>
      </c>
      <c r="FH112">
        <f>N(HY112)</f>
        <v/>
      </c>
      <c r="FI112">
        <f>N(FP112)+N(FT112)+N(FX112)+N(GB112)+N(GF112)+N(GJ112)+N(GN112)+N(GR112)</f>
        <v/>
      </c>
      <c r="FJ112">
        <f>N(FO112)+N(FS112)+N(FW112)+N(GA112)+N(GE112)+N(GI112)+N(GM112)+N(GQ112)</f>
        <v/>
      </c>
      <c r="FK112">
        <f>N(FK111)+N(FJ112)</f>
        <v/>
      </c>
      <c r="FL112">
        <f>N(FQ112)+N(FU112)+N(FY112)+N(GC112)+N(GG112)+N(GK112)+N(GO112)+N(GS112)</f>
        <v/>
      </c>
      <c r="FM112">
        <f>(FQ112&gt;0.005)*1+(FU112&gt;0.005)*1+(FY112&gt;0.005)*1+(GC112&gt;0.005)*1+(GG112&gt;0.005)*1+(GK112&gt;0.005)*1+(GO112&gt;0.005)*1+(GS112&gt;0.005)*1</f>
        <v/>
      </c>
      <c r="FN112">
        <f>N(FQ111)</f>
        <v/>
      </c>
      <c r="FO112">
        <f>IF(N(FN112)&lt;=0.005,0,ROUND(N(FN112)*N('Debt List'!E5)/12,2))</f>
        <v/>
      </c>
      <c r="FP112">
        <f>IF(N(FN112)&lt;=0.005,0,MIN(N('Debt List'!F5),N(FN112)+N(FO112)))+((GT112=1)*GV112+(GX112=1)*GZ112+(HB112=1)*HD112+(HF112=1)*HH112+(HJ112=1)*HL112+(HN112=1)*HP112+(HR112=1)*HT112+(HV112=1)*HX112)</f>
        <v/>
      </c>
      <c r="FQ112">
        <f>MAX(0,ROUND(N(FN112)+N(FO112)-N(FP112),2))</f>
        <v/>
      </c>
      <c r="FR112">
        <f>N(FU111)</f>
        <v/>
      </c>
      <c r="FS112">
        <f>IF(N(FR112)&lt;=0.005,0,ROUND(N(FR112)*N('Debt List'!E6)/12,2))</f>
        <v/>
      </c>
      <c r="FT112">
        <f>IF(N(FR112)&lt;=0.005,0,MIN(N('Debt List'!F6),N(FR112)+N(FS112)))+((GT112=2)*GV112+(GX112=2)*GZ112+(HB112=2)*HD112+(HF112=2)*HH112+(HJ112=2)*HL112+(HN112=2)*HP112+(HR112=2)*HT112+(HV112=2)*HX112)</f>
        <v/>
      </c>
      <c r="FU112">
        <f>MAX(0,ROUND(N(FR112)+N(FS112)-N(FT112),2))</f>
        <v/>
      </c>
      <c r="FV112">
        <f>N(FY111)</f>
        <v/>
      </c>
      <c r="FW112">
        <f>IF(N(FV112)&lt;=0.005,0,ROUND(N(FV112)*N('Debt List'!E7)/12,2))</f>
        <v/>
      </c>
      <c r="FX112">
        <f>IF(N(FV112)&lt;=0.005,0,MIN(N('Debt List'!F7),N(FV112)+N(FW112)))+((GT112=3)*GV112+(GX112=3)*GZ112+(HB112=3)*HD112+(HF112=3)*HH112+(HJ112=3)*HL112+(HN112=3)*HP112+(HR112=3)*HT112+(HV112=3)*HX112)</f>
        <v/>
      </c>
      <c r="FY112">
        <f>MAX(0,ROUND(N(FV112)+N(FW112)-N(FX112),2))</f>
        <v/>
      </c>
      <c r="FZ112">
        <f>N(GC111)</f>
        <v/>
      </c>
      <c r="GA112">
        <f>IF(N(FZ112)&lt;=0.005,0,ROUND(N(FZ112)*N('Debt List'!E8)/12,2))</f>
        <v/>
      </c>
      <c r="GB112">
        <f>IF(N(FZ112)&lt;=0.005,0,MIN(N('Debt List'!F8),N(FZ112)+N(GA112)))+((GT112=4)*GV112+(GX112=4)*GZ112+(HB112=4)*HD112+(HF112=4)*HH112+(HJ112=4)*HL112+(HN112=4)*HP112+(HR112=4)*HT112+(HV112=4)*HX112)</f>
        <v/>
      </c>
      <c r="GC112">
        <f>MAX(0,ROUND(N(FZ112)+N(GA112)-N(GB112),2))</f>
        <v/>
      </c>
      <c r="GD112">
        <f>N(GG111)</f>
        <v/>
      </c>
      <c r="GE112">
        <f>IF(N(GD112)&lt;=0.005,0,ROUND(N(GD112)*N('Debt List'!E9)/12,2))</f>
        <v/>
      </c>
      <c r="GF112">
        <f>IF(N(GD112)&lt;=0.005,0,MIN(N('Debt List'!F9),N(GD112)+N(GE112)))+((GT112=5)*GV112+(GX112=5)*GZ112+(HB112=5)*HD112+(HF112=5)*HH112+(HJ112=5)*HL112+(HN112=5)*HP112+(HR112=5)*HT112+(HV112=5)*HX112)</f>
        <v/>
      </c>
      <c r="GG112">
        <f>MAX(0,ROUND(N(GD112)+N(GE112)-N(GF112),2))</f>
        <v/>
      </c>
      <c r="GH112">
        <f>N(GK111)</f>
        <v/>
      </c>
      <c r="GI112">
        <f>IF(N(GH112)&lt;=0.005,0,ROUND(N(GH112)*N('Debt List'!E10)/12,2))</f>
        <v/>
      </c>
      <c r="GJ112">
        <f>IF(N(GH112)&lt;=0.005,0,MIN(N('Debt List'!F10),N(GH112)+N(GI112)))+((GT112=6)*GV112+(GX112=6)*GZ112+(HB112=6)*HD112+(HF112=6)*HH112+(HJ112=6)*HL112+(HN112=6)*HP112+(HR112=6)*HT112+(HV112=6)*HX112)</f>
        <v/>
      </c>
      <c r="GK112">
        <f>MAX(0,ROUND(N(GH112)+N(GI112)-N(GJ112),2))</f>
        <v/>
      </c>
      <c r="GL112">
        <f>N(GO111)</f>
        <v/>
      </c>
      <c r="GM112">
        <f>IF(N(GL112)&lt;=0.005,0,ROUND(N(GL112)*N('Debt List'!E11)/12,2))</f>
        <v/>
      </c>
      <c r="GN112">
        <f>IF(N(GL112)&lt;=0.005,0,MIN(N('Debt List'!F11),N(GL112)+N(GM112)))+((GT112=7)*GV112+(GX112=7)*GZ112+(HB112=7)*HD112+(HF112=7)*HH112+(HJ112=7)*HL112+(HN112=7)*HP112+(HR112=7)*HT112+(HV112=7)*HX112)</f>
        <v/>
      </c>
      <c r="GO112">
        <f>MAX(0,ROUND(N(GL112)+N(GM112)-N(GN112),2))</f>
        <v/>
      </c>
      <c r="GP112">
        <f>N(GS111)</f>
        <v/>
      </c>
      <c r="GQ112">
        <f>IF(N(GP112)&lt;=0.005,0,ROUND(N(GP112)*N('Debt List'!E12)/12,2))</f>
        <v/>
      </c>
      <c r="GR112">
        <f>IF(N(GP112)&lt;=0.005,0,MIN(N('Debt List'!F12),N(GP112)+N(GQ112)))+((GT112=8)*GV112+(GX112=8)*GZ112+(HB112=8)*HD112+(HF112=8)*HH112+(HJ112=8)*HL112+(HN112=8)*HP112+(HR112=8)*HT112+(HV112=8)*HX112)</f>
        <v/>
      </c>
      <c r="GS112">
        <f>MAX(0,ROUND(N(GP112)+N(GQ112)-N(GR112),2))</f>
        <v/>
      </c>
      <c r="GT112">
        <f>IFERROR(MATCH(1,OrderAval,0),"")</f>
        <v/>
      </c>
      <c r="GU112">
        <f>IF(GT112="",0,IFERROR(IF(N(CHOOSE(GT112,FN112,FR112,FV112,FZ112,GD112,GH112,GL112,GP112))&lt;=0.005,0,MAX(0,N(CHOOSE(GT112,FN112,FR112,FV112,FZ112,GD112,GH112,GL112,GP112))+N(CHOOSE(GT112,FO112,FS112,FW112,GA112,GE112,GI112,GM112,GQ112))-MIN(N(CHOOSE(GT112,'Debt List'!$F$5,'Debt List'!$F$6,'Debt List'!$F$7,'Debt List'!$F$8,'Debt List'!$F$9,'Debt List'!$F$10,'Debt List'!$F$11,'Debt List'!$F$12)),N(CHOOSE(GT112,FN112,FR112,FV112,FZ112,GD112,GH112,GL112,GP112))+N(CHOOSE(GT112,FO112,FS112,FW112,GA112,GE112,GI112,GM112,GQ112))))),0))</f>
        <v/>
      </c>
      <c r="GV112">
        <f>MIN(N(GU112),MAX(0,N(ExtraPayment)))</f>
        <v/>
      </c>
      <c r="GW112">
        <f>MAX(0,N(ExtraPayment)-N(GV112))</f>
        <v/>
      </c>
      <c r="GX112">
        <f>IFERROR(MATCH(2,OrderAval,0),"")</f>
        <v/>
      </c>
      <c r="GY112">
        <f>IF(GX112="",0,IFERROR(IF(N(CHOOSE(GX112,FN112,FR112,FV112,FZ112,GD112,GH112,GL112,GP112))&lt;=0.005,0,MAX(0,N(CHOOSE(GX112,FN112,FR112,FV112,FZ112,GD112,GH112,GL112,GP112))+N(CHOOSE(GX112,FO112,FS112,FW112,GA112,GE112,GI112,GM112,GQ112))-MIN(N(CHOOSE(GX112,'Debt List'!$F$5,'Debt List'!$F$6,'Debt List'!$F$7,'Debt List'!$F$8,'Debt List'!$F$9,'Debt List'!$F$10,'Debt List'!$F$11,'Debt List'!$F$12)),N(CHOOSE(GX112,FN112,FR112,FV112,FZ112,GD112,GH112,GL112,GP112))+N(CHOOSE(GX112,FO112,FS112,FW112,GA112,GE112,GI112,GM112,GQ112))))),0))</f>
        <v/>
      </c>
      <c r="GZ112">
        <f>MIN(N(GY112),MAX(0,N(GW112)))</f>
        <v/>
      </c>
      <c r="HA112">
        <f>MAX(0,N(GW112)-N(GZ112))</f>
        <v/>
      </c>
      <c r="HB112">
        <f>IFERROR(MATCH(3,OrderAval,0),"")</f>
        <v/>
      </c>
      <c r="HC112">
        <f>IF(HB112="",0,IFERROR(IF(N(CHOOSE(HB112,FN112,FR112,FV112,FZ112,GD112,GH112,GL112,GP112))&lt;=0.005,0,MAX(0,N(CHOOSE(HB112,FN112,FR112,FV112,FZ112,GD112,GH112,GL112,GP112))+N(CHOOSE(HB112,FO112,FS112,FW112,GA112,GE112,GI112,GM112,GQ112))-MIN(N(CHOOSE(HB112,'Debt List'!$F$5,'Debt List'!$F$6,'Debt List'!$F$7,'Debt List'!$F$8,'Debt List'!$F$9,'Debt List'!$F$10,'Debt List'!$F$11,'Debt List'!$F$12)),N(CHOOSE(HB112,FN112,FR112,FV112,FZ112,GD112,GH112,GL112,GP112))+N(CHOOSE(HB112,FO112,FS112,FW112,GA112,GE112,GI112,GM112,GQ112))))),0))</f>
        <v/>
      </c>
      <c r="HD112">
        <f>MIN(N(HC112),MAX(0,N(HA112)))</f>
        <v/>
      </c>
      <c r="HE112">
        <f>MAX(0,N(HA112)-N(HD112))</f>
        <v/>
      </c>
      <c r="HF112">
        <f>IFERROR(MATCH(4,OrderAval,0),"")</f>
        <v/>
      </c>
      <c r="HG112">
        <f>IF(HF112="",0,IFERROR(IF(N(CHOOSE(HF112,FN112,FR112,FV112,FZ112,GD112,GH112,GL112,GP112))&lt;=0.005,0,MAX(0,N(CHOOSE(HF112,FN112,FR112,FV112,FZ112,GD112,GH112,GL112,GP112))+N(CHOOSE(HF112,FO112,FS112,FW112,GA112,GE112,GI112,GM112,GQ112))-MIN(N(CHOOSE(HF112,'Debt List'!$F$5,'Debt List'!$F$6,'Debt List'!$F$7,'Debt List'!$F$8,'Debt List'!$F$9,'Debt List'!$F$10,'Debt List'!$F$11,'Debt List'!$F$12)),N(CHOOSE(HF112,FN112,FR112,FV112,FZ112,GD112,GH112,GL112,GP112))+N(CHOOSE(HF112,FO112,FS112,FW112,GA112,GE112,GI112,GM112,GQ112))))),0))</f>
        <v/>
      </c>
      <c r="HH112">
        <f>MIN(N(HG112),MAX(0,N(HE112)))</f>
        <v/>
      </c>
      <c r="HI112">
        <f>MAX(0,N(HE112)-N(HH112))</f>
        <v/>
      </c>
      <c r="HJ112">
        <f>IFERROR(MATCH(5,OrderAval,0),"")</f>
        <v/>
      </c>
      <c r="HK112">
        <f>IF(HJ112="",0,IFERROR(IF(N(CHOOSE(HJ112,FN112,FR112,FV112,FZ112,GD112,GH112,GL112,GP112))&lt;=0.005,0,MAX(0,N(CHOOSE(HJ112,FN112,FR112,FV112,FZ112,GD112,GH112,GL112,GP112))+N(CHOOSE(HJ112,FO112,FS112,FW112,GA112,GE112,GI112,GM112,GQ112))-MIN(N(CHOOSE(HJ112,'Debt List'!$F$5,'Debt List'!$F$6,'Debt List'!$F$7,'Debt List'!$F$8,'Debt List'!$F$9,'Debt List'!$F$10,'Debt List'!$F$11,'Debt List'!$F$12)),N(CHOOSE(HJ112,FN112,FR112,FV112,FZ112,GD112,GH112,GL112,GP112))+N(CHOOSE(HJ112,FO112,FS112,FW112,GA112,GE112,GI112,GM112,GQ112))))),0))</f>
        <v/>
      </c>
      <c r="HL112">
        <f>MIN(N(HK112),MAX(0,N(HI112)))</f>
        <v/>
      </c>
      <c r="HM112">
        <f>MAX(0,N(HI112)-N(HL112))</f>
        <v/>
      </c>
      <c r="HN112">
        <f>IFERROR(MATCH(6,OrderAval,0),"")</f>
        <v/>
      </c>
      <c r="HO112">
        <f>IF(HN112="",0,IFERROR(IF(N(CHOOSE(HN112,FN112,FR112,FV112,FZ112,GD112,GH112,GL112,GP112))&lt;=0.005,0,MAX(0,N(CHOOSE(HN112,FN112,FR112,FV112,FZ112,GD112,GH112,GL112,GP112))+N(CHOOSE(HN112,FO112,FS112,FW112,GA112,GE112,GI112,GM112,GQ112))-MIN(N(CHOOSE(HN112,'Debt List'!$F$5,'Debt List'!$F$6,'Debt List'!$F$7,'Debt List'!$F$8,'Debt List'!$F$9,'Debt List'!$F$10,'Debt List'!$F$11,'Debt List'!$F$12)),N(CHOOSE(HN112,FN112,FR112,FV112,FZ112,GD112,GH112,GL112,GP112))+N(CHOOSE(HN112,FO112,FS112,FW112,GA112,GE112,GI112,GM112,GQ112))))),0))</f>
        <v/>
      </c>
      <c r="HP112">
        <f>MIN(N(HO112),MAX(0,N(HM112)))</f>
        <v/>
      </c>
      <c r="HQ112">
        <f>MAX(0,N(HM112)-N(HP112))</f>
        <v/>
      </c>
      <c r="HR112">
        <f>IFERROR(MATCH(7,OrderAval,0),"")</f>
        <v/>
      </c>
      <c r="HS112">
        <f>IF(HR112="",0,IFERROR(IF(N(CHOOSE(HR112,FN112,FR112,FV112,FZ112,GD112,GH112,GL112,GP112))&lt;=0.005,0,MAX(0,N(CHOOSE(HR112,FN112,FR112,FV112,FZ112,GD112,GH112,GL112,GP112))+N(CHOOSE(HR112,FO112,FS112,FW112,GA112,GE112,GI112,GM112,GQ112))-MIN(N(CHOOSE(HR112,'Debt List'!$F$5,'Debt List'!$F$6,'Debt List'!$F$7,'Debt List'!$F$8,'Debt List'!$F$9,'Debt List'!$F$10,'Debt List'!$F$11,'Debt List'!$F$12)),N(CHOOSE(HR112,FN112,FR112,FV112,FZ112,GD112,GH112,GL112,GP112))+N(CHOOSE(HR112,FO112,FS112,FW112,GA112,GE112,GI112,GM112,GQ112))))),0))</f>
        <v/>
      </c>
      <c r="HT112">
        <f>MIN(N(HS112),MAX(0,N(HQ112)))</f>
        <v/>
      </c>
      <c r="HU112">
        <f>MAX(0,N(HQ112)-N(HT112))</f>
        <v/>
      </c>
      <c r="HV112">
        <f>IFERROR(MATCH(8,OrderAval,0),"")</f>
        <v/>
      </c>
      <c r="HW112">
        <f>IF(HV112="",0,IFERROR(IF(N(CHOOSE(HV112,FN112,FR112,FV112,FZ112,GD112,GH112,GL112,GP112))&lt;=0.005,0,MAX(0,N(CHOOSE(HV112,FN112,FR112,FV112,FZ112,GD112,GH112,GL112,GP112))+N(CHOOSE(HV112,FO112,FS112,FW112,GA112,GE112,GI112,GM112,GQ112))-MIN(N(CHOOSE(HV112,'Debt List'!$F$5,'Debt List'!$F$6,'Debt List'!$F$7,'Debt List'!$F$8,'Debt List'!$F$9,'Debt List'!$F$10,'Debt List'!$F$11,'Debt List'!$F$12)),N(CHOOSE(HV112,FN112,FR112,FV112,FZ112,GD112,GH112,GL112,GP112))+N(CHOOSE(HV112,FO112,FS112,FW112,GA112,GE112,GI112,GM112,GQ112))))),0))</f>
        <v/>
      </c>
      <c r="HX112">
        <f>MIN(N(HW112),MAX(0,N(HU112)))</f>
        <v/>
      </c>
      <c r="HY112">
        <f>MAX(0,N(HU112)-N(HX112))</f>
        <v/>
      </c>
    </row>
    <row r="113">
      <c r="A113" t="n">
        <v>109</v>
      </c>
      <c r="B113" s="115">
        <f>DATE(YEAR(PlanStart),MONTH(PlanStart)+A113-1,1)</f>
        <v/>
      </c>
      <c r="C113">
        <f>IF(AND(AP113&lt;&gt;"",N(CHOOSE(AP113,J113,N113,R113,V113,Z113,AD113,AH113,AL113))&gt;0.005),INDEX(DebtNames,AP113),IF(AND(AT113&lt;&gt;"",N(CHOOSE(AT113,J113,N113,R113,V113,Z113,AD113,AH113,AL113))&gt;0.005),INDEX(DebtNames,AT113),IF(AND(AX113&lt;&gt;"",N(CHOOSE(AX113,J113,N113,R113,V113,Z113,AD113,AH113,AL113))&gt;0.005),INDEX(DebtNames,AX113),IF(AND(BB113&lt;&gt;"",N(CHOOSE(BB113,J113,N113,R113,V113,Z113,AD113,AH113,AL113))&gt;0.005),INDEX(DebtNames,BB113),IF(AND(BF113&lt;&gt;"",N(CHOOSE(BF113,J113,N113,R113,V113,Z113,AD113,AH113,AL113))&gt;0.005),INDEX(DebtNames,BF113),IF(AND(BJ113&lt;&gt;"",N(CHOOSE(BJ113,J113,N113,R113,V113,Z113,AD113,AH113,AL113))&gt;0.005),INDEX(DebtNames,BJ113),IF(AND(BN113&lt;&gt;"",N(CHOOSE(BN113,J113,N113,R113,V113,Z113,AD113,AH113,AL113))&gt;0.005),INDEX(DebtNames,BN113),IF(AND(BR113&lt;&gt;"",N(CHOOSE(BR113,J113,N113,R113,V113,Z113,AD113,AH113,AL113))&gt;0.005),INDEX(DebtNames,BR113),""))))))))</f>
        <v/>
      </c>
      <c r="D113">
        <f>N(BU113)</f>
        <v/>
      </c>
      <c r="E113">
        <f>N(L113)+N(P113)+N(T113)+N(X113)+N(AB113)+N(AF113)+N(AJ113)+N(AN113)</f>
        <v/>
      </c>
      <c r="F113">
        <f>N(K113)+N(O113)+N(S113)+N(W113)+N(AA113)+N(AE113)+N(AI113)+N(AM113)</f>
        <v/>
      </c>
      <c r="G113">
        <f>N(G112)+N(F113)</f>
        <v/>
      </c>
      <c r="H113">
        <f>N(M113)+N(Q113)+N(U113)+N(Y113)+N(AC113)+N(AG113)+N(AK113)+N(AO113)</f>
        <v/>
      </c>
      <c r="I113">
        <f>(M113&gt;0.005)*1+(Q113&gt;0.005)*1+(U113&gt;0.005)*1+(Y113&gt;0.005)*1+(AC113&gt;0.005)*1+(AG113&gt;0.005)*1+(AK113&gt;0.005)*1+(AO113&gt;0.005)*1</f>
        <v/>
      </c>
      <c r="J113">
        <f>N(M112)</f>
        <v/>
      </c>
      <c r="K113">
        <f>IF(N(J113)&lt;=0.005,0,ROUND(N(J113)*N('Debt List'!E5)/12,2))</f>
        <v/>
      </c>
      <c r="L113">
        <f>IF(N(J113)&lt;=0.005,0,MIN(N('Debt List'!F5),N(J113)+N(K113)))+((AP113=1)*AR113+(AT113=1)*AV113+(AX113=1)*AZ113+(BB113=1)*BD113+(BF113=1)*BH113+(BJ113=1)*BL113+(BN113=1)*BP113+(BR113=1)*BT113)</f>
        <v/>
      </c>
      <c r="M113">
        <f>MAX(0,ROUND(N(J113)+N(K113)-N(L113),2))</f>
        <v/>
      </c>
      <c r="N113">
        <f>N(Q112)</f>
        <v/>
      </c>
      <c r="O113">
        <f>IF(N(N113)&lt;=0.005,0,ROUND(N(N113)*N('Debt List'!E6)/12,2))</f>
        <v/>
      </c>
      <c r="P113">
        <f>IF(N(N113)&lt;=0.005,0,MIN(N('Debt List'!F6),N(N113)+N(O113)))+((AP113=2)*AR113+(AT113=2)*AV113+(AX113=2)*AZ113+(BB113=2)*BD113+(BF113=2)*BH113+(BJ113=2)*BL113+(BN113=2)*BP113+(BR113=2)*BT113)</f>
        <v/>
      </c>
      <c r="Q113">
        <f>MAX(0,ROUND(N(N113)+N(O113)-N(P113),2))</f>
        <v/>
      </c>
      <c r="R113">
        <f>N(U112)</f>
        <v/>
      </c>
      <c r="S113">
        <f>IF(N(R113)&lt;=0.005,0,ROUND(N(R113)*N('Debt List'!E7)/12,2))</f>
        <v/>
      </c>
      <c r="T113">
        <f>IF(N(R113)&lt;=0.005,0,MIN(N('Debt List'!F7),N(R113)+N(S113)))+((AP113=3)*AR113+(AT113=3)*AV113+(AX113=3)*AZ113+(BB113=3)*BD113+(BF113=3)*BH113+(BJ113=3)*BL113+(BN113=3)*BP113+(BR113=3)*BT113)</f>
        <v/>
      </c>
      <c r="U113">
        <f>MAX(0,ROUND(N(R113)+N(S113)-N(T113),2))</f>
        <v/>
      </c>
      <c r="V113">
        <f>N(Y112)</f>
        <v/>
      </c>
      <c r="W113">
        <f>IF(N(V113)&lt;=0.005,0,ROUND(N(V113)*N('Debt List'!E8)/12,2))</f>
        <v/>
      </c>
      <c r="X113">
        <f>IF(N(V113)&lt;=0.005,0,MIN(N('Debt List'!F8),N(V113)+N(W113)))+((AP113=4)*AR113+(AT113=4)*AV113+(AX113=4)*AZ113+(BB113=4)*BD113+(BF113=4)*BH113+(BJ113=4)*BL113+(BN113=4)*BP113+(BR113=4)*BT113)</f>
        <v/>
      </c>
      <c r="Y113">
        <f>MAX(0,ROUND(N(V113)+N(W113)-N(X113),2))</f>
        <v/>
      </c>
      <c r="Z113">
        <f>N(AC112)</f>
        <v/>
      </c>
      <c r="AA113">
        <f>IF(N(Z113)&lt;=0.005,0,ROUND(N(Z113)*N('Debt List'!E9)/12,2))</f>
        <v/>
      </c>
      <c r="AB113">
        <f>IF(N(Z113)&lt;=0.005,0,MIN(N('Debt List'!F9),N(Z113)+N(AA113)))+((AP113=5)*AR113+(AT113=5)*AV113+(AX113=5)*AZ113+(BB113=5)*BD113+(BF113=5)*BH113+(BJ113=5)*BL113+(BN113=5)*BP113+(BR113=5)*BT113)</f>
        <v/>
      </c>
      <c r="AC113">
        <f>MAX(0,ROUND(N(Z113)+N(AA113)-N(AB113),2))</f>
        <v/>
      </c>
      <c r="AD113">
        <f>N(AG112)</f>
        <v/>
      </c>
      <c r="AE113">
        <f>IF(N(AD113)&lt;=0.005,0,ROUND(N(AD113)*N('Debt List'!E10)/12,2))</f>
        <v/>
      </c>
      <c r="AF113">
        <f>IF(N(AD113)&lt;=0.005,0,MIN(N('Debt List'!F10),N(AD113)+N(AE113)))+((AP113=6)*AR113+(AT113=6)*AV113+(AX113=6)*AZ113+(BB113=6)*BD113+(BF113=6)*BH113+(BJ113=6)*BL113+(BN113=6)*BP113+(BR113=6)*BT113)</f>
        <v/>
      </c>
      <c r="AG113">
        <f>MAX(0,ROUND(N(AD113)+N(AE113)-N(AF113),2))</f>
        <v/>
      </c>
      <c r="AH113">
        <f>N(AK112)</f>
        <v/>
      </c>
      <c r="AI113">
        <f>IF(N(AH113)&lt;=0.005,0,ROUND(N(AH113)*N('Debt List'!E11)/12,2))</f>
        <v/>
      </c>
      <c r="AJ113">
        <f>IF(N(AH113)&lt;=0.005,0,MIN(N('Debt List'!F11),N(AH113)+N(AI113)))+((AP113=7)*AR113+(AT113=7)*AV113+(AX113=7)*AZ113+(BB113=7)*BD113+(BF113=7)*BH113+(BJ113=7)*BL113+(BN113=7)*BP113+(BR113=7)*BT113)</f>
        <v/>
      </c>
      <c r="AK113">
        <f>MAX(0,ROUND(N(AH113)+N(AI113)-N(AJ113),2))</f>
        <v/>
      </c>
      <c r="AL113">
        <f>N(AO112)</f>
        <v/>
      </c>
      <c r="AM113">
        <f>IF(N(AL113)&lt;=0.005,0,ROUND(N(AL113)*N('Debt List'!E12)/12,2))</f>
        <v/>
      </c>
      <c r="AN113">
        <f>IF(N(AL113)&lt;=0.005,0,MIN(N('Debt List'!F12),N(AL113)+N(AM113)))+((AP113=8)*AR113+(AT113=8)*AV113+(AX113=8)*AZ113+(BB113=8)*BD113+(BF113=8)*BH113+(BJ113=8)*BL113+(BN113=8)*BP113+(BR113=8)*BT113)</f>
        <v/>
      </c>
      <c r="AO113">
        <f>MAX(0,ROUND(N(AL113)+N(AM113)-N(AN113),2))</f>
        <v/>
      </c>
      <c r="AP113">
        <f>IFERROR(MATCH(1,OrderPlan,0),"")</f>
        <v/>
      </c>
      <c r="AQ113">
        <f>IF(AP113="",0,IFERROR(IF(N(CHOOSE(AP113,J113,N113,R113,V113,Z113,AD113,AH113,AL113))&lt;=0.005,0,MAX(0,N(CHOOSE(AP113,J113,N113,R113,V113,Z113,AD113,AH113,AL113))+N(CHOOSE(AP113,K113,O113,S113,W113,AA113,AE113,AI113,AM113))-MIN(N(CHOOSE(AP113,'Debt List'!$F$5,'Debt List'!$F$6,'Debt List'!$F$7,'Debt List'!$F$8,'Debt List'!$F$9,'Debt List'!$F$10,'Debt List'!$F$11,'Debt List'!$F$12)),N(CHOOSE(AP113,J113,N113,R113,V113,Z113,AD113,AH113,AL113))+N(CHOOSE(AP113,K113,O113,S113,W113,AA113,AE113,AI113,AM113))))),0))</f>
        <v/>
      </c>
      <c r="AR113">
        <f>MIN(N(AQ113),MAX(0,N(ExtraPayment)))</f>
        <v/>
      </c>
      <c r="AS113">
        <f>MAX(0,N(ExtraPayment)-N(AR113))</f>
        <v/>
      </c>
      <c r="AT113">
        <f>IFERROR(MATCH(2,OrderPlan,0),"")</f>
        <v/>
      </c>
      <c r="AU113">
        <f>IF(AT113="",0,IFERROR(IF(N(CHOOSE(AT113,J113,N113,R113,V113,Z113,AD113,AH113,AL113))&lt;=0.005,0,MAX(0,N(CHOOSE(AT113,J113,N113,R113,V113,Z113,AD113,AH113,AL113))+N(CHOOSE(AT113,K113,O113,S113,W113,AA113,AE113,AI113,AM113))-MIN(N(CHOOSE(AT113,'Debt List'!$F$5,'Debt List'!$F$6,'Debt List'!$F$7,'Debt List'!$F$8,'Debt List'!$F$9,'Debt List'!$F$10,'Debt List'!$F$11,'Debt List'!$F$12)),N(CHOOSE(AT113,J113,N113,R113,V113,Z113,AD113,AH113,AL113))+N(CHOOSE(AT113,K113,O113,S113,W113,AA113,AE113,AI113,AM113))))),0))</f>
        <v/>
      </c>
      <c r="AV113">
        <f>MIN(N(AU113),MAX(0,N(AS113)))</f>
        <v/>
      </c>
      <c r="AW113">
        <f>MAX(0,N(AS113)-N(AV113))</f>
        <v/>
      </c>
      <c r="AX113">
        <f>IFERROR(MATCH(3,OrderPlan,0),"")</f>
        <v/>
      </c>
      <c r="AY113">
        <f>IF(AX113="",0,IFERROR(IF(N(CHOOSE(AX113,J113,N113,R113,V113,Z113,AD113,AH113,AL113))&lt;=0.005,0,MAX(0,N(CHOOSE(AX113,J113,N113,R113,V113,Z113,AD113,AH113,AL113))+N(CHOOSE(AX113,K113,O113,S113,W113,AA113,AE113,AI113,AM113))-MIN(N(CHOOSE(AX113,'Debt List'!$F$5,'Debt List'!$F$6,'Debt List'!$F$7,'Debt List'!$F$8,'Debt List'!$F$9,'Debt List'!$F$10,'Debt List'!$F$11,'Debt List'!$F$12)),N(CHOOSE(AX113,J113,N113,R113,V113,Z113,AD113,AH113,AL113))+N(CHOOSE(AX113,K113,O113,S113,W113,AA113,AE113,AI113,AM113))))),0))</f>
        <v/>
      </c>
      <c r="AZ113">
        <f>MIN(N(AY113),MAX(0,N(AW113)))</f>
        <v/>
      </c>
      <c r="BA113">
        <f>MAX(0,N(AW113)-N(AZ113))</f>
        <v/>
      </c>
      <c r="BB113">
        <f>IFERROR(MATCH(4,OrderPlan,0),"")</f>
        <v/>
      </c>
      <c r="BC113">
        <f>IF(BB113="",0,IFERROR(IF(N(CHOOSE(BB113,J113,N113,R113,V113,Z113,AD113,AH113,AL113))&lt;=0.005,0,MAX(0,N(CHOOSE(BB113,J113,N113,R113,V113,Z113,AD113,AH113,AL113))+N(CHOOSE(BB113,K113,O113,S113,W113,AA113,AE113,AI113,AM113))-MIN(N(CHOOSE(BB113,'Debt List'!$F$5,'Debt List'!$F$6,'Debt List'!$F$7,'Debt List'!$F$8,'Debt List'!$F$9,'Debt List'!$F$10,'Debt List'!$F$11,'Debt List'!$F$12)),N(CHOOSE(BB113,J113,N113,R113,V113,Z113,AD113,AH113,AL113))+N(CHOOSE(BB113,K113,O113,S113,W113,AA113,AE113,AI113,AM113))))),0))</f>
        <v/>
      </c>
      <c r="BD113">
        <f>MIN(N(BC113),MAX(0,N(BA113)))</f>
        <v/>
      </c>
      <c r="BE113">
        <f>MAX(0,N(BA113)-N(BD113))</f>
        <v/>
      </c>
      <c r="BF113">
        <f>IFERROR(MATCH(5,OrderPlan,0),"")</f>
        <v/>
      </c>
      <c r="BG113">
        <f>IF(BF113="",0,IFERROR(IF(N(CHOOSE(BF113,J113,N113,R113,V113,Z113,AD113,AH113,AL113))&lt;=0.005,0,MAX(0,N(CHOOSE(BF113,J113,N113,R113,V113,Z113,AD113,AH113,AL113))+N(CHOOSE(BF113,K113,O113,S113,W113,AA113,AE113,AI113,AM113))-MIN(N(CHOOSE(BF113,'Debt List'!$F$5,'Debt List'!$F$6,'Debt List'!$F$7,'Debt List'!$F$8,'Debt List'!$F$9,'Debt List'!$F$10,'Debt List'!$F$11,'Debt List'!$F$12)),N(CHOOSE(BF113,J113,N113,R113,V113,Z113,AD113,AH113,AL113))+N(CHOOSE(BF113,K113,O113,S113,W113,AA113,AE113,AI113,AM113))))),0))</f>
        <v/>
      </c>
      <c r="BH113">
        <f>MIN(N(BG113),MAX(0,N(BE113)))</f>
        <v/>
      </c>
      <c r="BI113">
        <f>MAX(0,N(BE113)-N(BH113))</f>
        <v/>
      </c>
      <c r="BJ113">
        <f>IFERROR(MATCH(6,OrderPlan,0),"")</f>
        <v/>
      </c>
      <c r="BK113">
        <f>IF(BJ113="",0,IFERROR(IF(N(CHOOSE(BJ113,J113,N113,R113,V113,Z113,AD113,AH113,AL113))&lt;=0.005,0,MAX(0,N(CHOOSE(BJ113,J113,N113,R113,V113,Z113,AD113,AH113,AL113))+N(CHOOSE(BJ113,K113,O113,S113,W113,AA113,AE113,AI113,AM113))-MIN(N(CHOOSE(BJ113,'Debt List'!$F$5,'Debt List'!$F$6,'Debt List'!$F$7,'Debt List'!$F$8,'Debt List'!$F$9,'Debt List'!$F$10,'Debt List'!$F$11,'Debt List'!$F$12)),N(CHOOSE(BJ113,J113,N113,R113,V113,Z113,AD113,AH113,AL113))+N(CHOOSE(BJ113,K113,O113,S113,W113,AA113,AE113,AI113,AM113))))),0))</f>
        <v/>
      </c>
      <c r="BL113">
        <f>MIN(N(BK113),MAX(0,N(BI113)))</f>
        <v/>
      </c>
      <c r="BM113">
        <f>MAX(0,N(BI113)-N(BL113))</f>
        <v/>
      </c>
      <c r="BN113">
        <f>IFERROR(MATCH(7,OrderPlan,0),"")</f>
        <v/>
      </c>
      <c r="BO113">
        <f>IF(BN113="",0,IFERROR(IF(N(CHOOSE(BN113,J113,N113,R113,V113,Z113,AD113,AH113,AL113))&lt;=0.005,0,MAX(0,N(CHOOSE(BN113,J113,N113,R113,V113,Z113,AD113,AH113,AL113))+N(CHOOSE(BN113,K113,O113,S113,W113,AA113,AE113,AI113,AM113))-MIN(N(CHOOSE(BN113,'Debt List'!$F$5,'Debt List'!$F$6,'Debt List'!$F$7,'Debt List'!$F$8,'Debt List'!$F$9,'Debt List'!$F$10,'Debt List'!$F$11,'Debt List'!$F$12)),N(CHOOSE(BN113,J113,N113,R113,V113,Z113,AD113,AH113,AL113))+N(CHOOSE(BN113,K113,O113,S113,W113,AA113,AE113,AI113,AM113))))),0))</f>
        <v/>
      </c>
      <c r="BP113">
        <f>MIN(N(BO113),MAX(0,N(BM113)))</f>
        <v/>
      </c>
      <c r="BQ113">
        <f>MAX(0,N(BM113)-N(BP113))</f>
        <v/>
      </c>
      <c r="BR113">
        <f>IFERROR(MATCH(8,OrderPlan,0),"")</f>
        <v/>
      </c>
      <c r="BS113">
        <f>IF(BR113="",0,IFERROR(IF(N(CHOOSE(BR113,J113,N113,R113,V113,Z113,AD113,AH113,AL113))&lt;=0.005,0,MAX(0,N(CHOOSE(BR113,J113,N113,R113,V113,Z113,AD113,AH113,AL113))+N(CHOOSE(BR113,K113,O113,S113,W113,AA113,AE113,AI113,AM113))-MIN(N(CHOOSE(BR113,'Debt List'!$F$5,'Debt List'!$F$6,'Debt List'!$F$7,'Debt List'!$F$8,'Debt List'!$F$9,'Debt List'!$F$10,'Debt List'!$F$11,'Debt List'!$F$12)),N(CHOOSE(BR113,J113,N113,R113,V113,Z113,AD113,AH113,AL113))+N(CHOOSE(BR113,K113,O113,S113,W113,AA113,AE113,AI113,AM113))))),0))</f>
        <v/>
      </c>
      <c r="BT113">
        <f>MIN(N(BS113),MAX(0,N(BQ113)))</f>
        <v/>
      </c>
      <c r="BU113">
        <f>MAX(0,N(BQ113)-N(BT113))</f>
        <v/>
      </c>
      <c r="CC113" t="n">
        <v>109</v>
      </c>
      <c r="CD113" s="115">
        <f>DATE(YEAR(PlanStart),MONTH(PlanStart)+CC113-1,1)</f>
        <v/>
      </c>
      <c r="CE113">
        <f>IF(AND(DR113&lt;&gt;"",N(CHOOSE(DR113,CL113,CP113,CT113,CX113,DB113,DF113,DJ113,DN113))&gt;0.005),INDEX(DebtNames,DR113),IF(AND(DV113&lt;&gt;"",N(CHOOSE(DV113,CL113,CP113,CT113,CX113,DB113,DF113,DJ113,DN113))&gt;0.005),INDEX(DebtNames,DV113),IF(AND(DZ113&lt;&gt;"",N(CHOOSE(DZ113,CL113,CP113,CT113,CX113,DB113,DF113,DJ113,DN113))&gt;0.005),INDEX(DebtNames,DZ113),IF(AND(ED113&lt;&gt;"",N(CHOOSE(ED113,CL113,CP113,CT113,CX113,DB113,DF113,DJ113,DN113))&gt;0.005),INDEX(DebtNames,ED113),IF(AND(EH113&lt;&gt;"",N(CHOOSE(EH113,CL113,CP113,CT113,CX113,DB113,DF113,DJ113,DN113))&gt;0.005),INDEX(DebtNames,EH113),IF(AND(EL113&lt;&gt;"",N(CHOOSE(EL113,CL113,CP113,CT113,CX113,DB113,DF113,DJ113,DN113))&gt;0.005),INDEX(DebtNames,EL113),IF(AND(EP113&lt;&gt;"",N(CHOOSE(EP113,CL113,CP113,CT113,CX113,DB113,DF113,DJ113,DN113))&gt;0.005),INDEX(DebtNames,EP113),IF(AND(ET113&lt;&gt;"",N(CHOOSE(ET113,CL113,CP113,CT113,CX113,DB113,DF113,DJ113,DN113))&gt;0.005),INDEX(DebtNames,ET113),""))))))))</f>
        <v/>
      </c>
      <c r="CF113">
        <f>N(EW113)</f>
        <v/>
      </c>
      <c r="CG113">
        <f>N(CN113)+N(CR113)+N(CV113)+N(CZ113)+N(DD113)+N(DH113)+N(DL113)+N(DP113)</f>
        <v/>
      </c>
      <c r="CH113">
        <f>N(CM113)+N(CQ113)+N(CU113)+N(CY113)+N(DC113)+N(DG113)+N(DK113)+N(DO113)</f>
        <v/>
      </c>
      <c r="CI113">
        <f>N(CI112)+N(CH113)</f>
        <v/>
      </c>
      <c r="CJ113">
        <f>N(CO113)+N(CS113)+N(CW113)+N(DA113)+N(DE113)+N(DI113)+N(DM113)+N(DQ113)</f>
        <v/>
      </c>
      <c r="CK113">
        <f>(CO113&gt;0.005)*1+(CS113&gt;0.005)*1+(CW113&gt;0.005)*1+(DA113&gt;0.005)*1+(DE113&gt;0.005)*1+(DI113&gt;0.005)*1+(DM113&gt;0.005)*1+(DQ113&gt;0.005)*1</f>
        <v/>
      </c>
      <c r="CL113">
        <f>N(CO112)</f>
        <v/>
      </c>
      <c r="CM113">
        <f>IF(N(CL113)&lt;=0.005,0,ROUND(N(CL113)*N('Debt List'!E5)/12,2))</f>
        <v/>
      </c>
      <c r="CN113">
        <f>IF(N(CL113)&lt;=0.005,0,MIN(N('Debt List'!F5),N(CL113)+N(CM113)))+((DR113=1)*DT113+(DV113=1)*DX113+(DZ113=1)*EB113+(ED113=1)*EF113+(EH113=1)*EJ113+(EL113=1)*EN113+(EP113=1)*ER113+(ET113=1)*EV113)</f>
        <v/>
      </c>
      <c r="CO113">
        <f>MAX(0,ROUND(N(CL113)+N(CM113)-N(CN113),2))</f>
        <v/>
      </c>
      <c r="CP113">
        <f>N(CS112)</f>
        <v/>
      </c>
      <c r="CQ113">
        <f>IF(N(CP113)&lt;=0.005,0,ROUND(N(CP113)*N('Debt List'!E6)/12,2))</f>
        <v/>
      </c>
      <c r="CR113">
        <f>IF(N(CP113)&lt;=0.005,0,MIN(N('Debt List'!F6),N(CP113)+N(CQ113)))+((DR113=2)*DT113+(DV113=2)*DX113+(DZ113=2)*EB113+(ED113=2)*EF113+(EH113=2)*EJ113+(EL113=2)*EN113+(EP113=2)*ER113+(ET113=2)*EV113)</f>
        <v/>
      </c>
      <c r="CS113">
        <f>MAX(0,ROUND(N(CP113)+N(CQ113)-N(CR113),2))</f>
        <v/>
      </c>
      <c r="CT113">
        <f>N(CW112)</f>
        <v/>
      </c>
      <c r="CU113">
        <f>IF(N(CT113)&lt;=0.005,0,ROUND(N(CT113)*N('Debt List'!E7)/12,2))</f>
        <v/>
      </c>
      <c r="CV113">
        <f>IF(N(CT113)&lt;=0.005,0,MIN(N('Debt List'!F7),N(CT113)+N(CU113)))+((DR113=3)*DT113+(DV113=3)*DX113+(DZ113=3)*EB113+(ED113=3)*EF113+(EH113=3)*EJ113+(EL113=3)*EN113+(EP113=3)*ER113+(ET113=3)*EV113)</f>
        <v/>
      </c>
      <c r="CW113">
        <f>MAX(0,ROUND(N(CT113)+N(CU113)-N(CV113),2))</f>
        <v/>
      </c>
      <c r="CX113">
        <f>N(DA112)</f>
        <v/>
      </c>
      <c r="CY113">
        <f>IF(N(CX113)&lt;=0.005,0,ROUND(N(CX113)*N('Debt List'!E8)/12,2))</f>
        <v/>
      </c>
      <c r="CZ113">
        <f>IF(N(CX113)&lt;=0.005,0,MIN(N('Debt List'!F8),N(CX113)+N(CY113)))+((DR113=4)*DT113+(DV113=4)*DX113+(DZ113=4)*EB113+(ED113=4)*EF113+(EH113=4)*EJ113+(EL113=4)*EN113+(EP113=4)*ER113+(ET113=4)*EV113)</f>
        <v/>
      </c>
      <c r="DA113">
        <f>MAX(0,ROUND(N(CX113)+N(CY113)-N(CZ113),2))</f>
        <v/>
      </c>
      <c r="DB113">
        <f>N(DE112)</f>
        <v/>
      </c>
      <c r="DC113">
        <f>IF(N(DB113)&lt;=0.005,0,ROUND(N(DB113)*N('Debt List'!E9)/12,2))</f>
        <v/>
      </c>
      <c r="DD113">
        <f>IF(N(DB113)&lt;=0.005,0,MIN(N('Debt List'!F9),N(DB113)+N(DC113)))+((DR113=5)*DT113+(DV113=5)*DX113+(DZ113=5)*EB113+(ED113=5)*EF113+(EH113=5)*EJ113+(EL113=5)*EN113+(EP113=5)*ER113+(ET113=5)*EV113)</f>
        <v/>
      </c>
      <c r="DE113">
        <f>MAX(0,ROUND(N(DB113)+N(DC113)-N(DD113),2))</f>
        <v/>
      </c>
      <c r="DF113">
        <f>N(DI112)</f>
        <v/>
      </c>
      <c r="DG113">
        <f>IF(N(DF113)&lt;=0.005,0,ROUND(N(DF113)*N('Debt List'!E10)/12,2))</f>
        <v/>
      </c>
      <c r="DH113">
        <f>IF(N(DF113)&lt;=0.005,0,MIN(N('Debt List'!F10),N(DF113)+N(DG113)))+((DR113=6)*DT113+(DV113=6)*DX113+(DZ113=6)*EB113+(ED113=6)*EF113+(EH113=6)*EJ113+(EL113=6)*EN113+(EP113=6)*ER113+(ET113=6)*EV113)</f>
        <v/>
      </c>
      <c r="DI113">
        <f>MAX(0,ROUND(N(DF113)+N(DG113)-N(DH113),2))</f>
        <v/>
      </c>
      <c r="DJ113">
        <f>N(DM112)</f>
        <v/>
      </c>
      <c r="DK113">
        <f>IF(N(DJ113)&lt;=0.005,0,ROUND(N(DJ113)*N('Debt List'!E11)/12,2))</f>
        <v/>
      </c>
      <c r="DL113">
        <f>IF(N(DJ113)&lt;=0.005,0,MIN(N('Debt List'!F11),N(DJ113)+N(DK113)))+((DR113=7)*DT113+(DV113=7)*DX113+(DZ113=7)*EB113+(ED113=7)*EF113+(EH113=7)*EJ113+(EL113=7)*EN113+(EP113=7)*ER113+(ET113=7)*EV113)</f>
        <v/>
      </c>
      <c r="DM113">
        <f>MAX(0,ROUND(N(DJ113)+N(DK113)-N(DL113),2))</f>
        <v/>
      </c>
      <c r="DN113">
        <f>N(DQ112)</f>
        <v/>
      </c>
      <c r="DO113">
        <f>IF(N(DN113)&lt;=0.005,0,ROUND(N(DN113)*N('Debt List'!E12)/12,2))</f>
        <v/>
      </c>
      <c r="DP113">
        <f>IF(N(DN113)&lt;=0.005,0,MIN(N('Debt List'!F12),N(DN113)+N(DO113)))+((DR113=8)*DT113+(DV113=8)*DX113+(DZ113=8)*EB113+(ED113=8)*EF113+(EH113=8)*EJ113+(EL113=8)*EN113+(EP113=8)*ER113+(ET113=8)*EV113)</f>
        <v/>
      </c>
      <c r="DQ113">
        <f>MAX(0,ROUND(N(DN113)+N(DO113)-N(DP113),2))</f>
        <v/>
      </c>
      <c r="DR113">
        <f>IFERROR(MATCH(1,OrderSnow,0),"")</f>
        <v/>
      </c>
      <c r="DS113">
        <f>IF(DR113="",0,IFERROR(IF(N(CHOOSE(DR113,CL113,CP113,CT113,CX113,DB113,DF113,DJ113,DN113))&lt;=0.005,0,MAX(0,N(CHOOSE(DR113,CL113,CP113,CT113,CX113,DB113,DF113,DJ113,DN113))+N(CHOOSE(DR113,CM113,CQ113,CU113,CY113,DC113,DG113,DK113,DO113))-MIN(N(CHOOSE(DR113,'Debt List'!$F$5,'Debt List'!$F$6,'Debt List'!$F$7,'Debt List'!$F$8,'Debt List'!$F$9,'Debt List'!$F$10,'Debt List'!$F$11,'Debt List'!$F$12)),N(CHOOSE(DR113,CL113,CP113,CT113,CX113,DB113,DF113,DJ113,DN113))+N(CHOOSE(DR113,CM113,CQ113,CU113,CY113,DC113,DG113,DK113,DO113))))),0))</f>
        <v/>
      </c>
      <c r="DT113">
        <f>MIN(N(DS113),MAX(0,N(ExtraPayment)))</f>
        <v/>
      </c>
      <c r="DU113">
        <f>MAX(0,N(ExtraPayment)-N(DT113))</f>
        <v/>
      </c>
      <c r="DV113">
        <f>IFERROR(MATCH(2,OrderSnow,0),"")</f>
        <v/>
      </c>
      <c r="DW113">
        <f>IF(DV113="",0,IFERROR(IF(N(CHOOSE(DV113,CL113,CP113,CT113,CX113,DB113,DF113,DJ113,DN113))&lt;=0.005,0,MAX(0,N(CHOOSE(DV113,CL113,CP113,CT113,CX113,DB113,DF113,DJ113,DN113))+N(CHOOSE(DV113,CM113,CQ113,CU113,CY113,DC113,DG113,DK113,DO113))-MIN(N(CHOOSE(DV113,'Debt List'!$F$5,'Debt List'!$F$6,'Debt List'!$F$7,'Debt List'!$F$8,'Debt List'!$F$9,'Debt List'!$F$10,'Debt List'!$F$11,'Debt List'!$F$12)),N(CHOOSE(DV113,CL113,CP113,CT113,CX113,DB113,DF113,DJ113,DN113))+N(CHOOSE(DV113,CM113,CQ113,CU113,CY113,DC113,DG113,DK113,DO113))))),0))</f>
        <v/>
      </c>
      <c r="DX113">
        <f>MIN(N(DW113),MAX(0,N(DU113)))</f>
        <v/>
      </c>
      <c r="DY113">
        <f>MAX(0,N(DU113)-N(DX113))</f>
        <v/>
      </c>
      <c r="DZ113">
        <f>IFERROR(MATCH(3,OrderSnow,0),"")</f>
        <v/>
      </c>
      <c r="EA113">
        <f>IF(DZ113="",0,IFERROR(IF(N(CHOOSE(DZ113,CL113,CP113,CT113,CX113,DB113,DF113,DJ113,DN113))&lt;=0.005,0,MAX(0,N(CHOOSE(DZ113,CL113,CP113,CT113,CX113,DB113,DF113,DJ113,DN113))+N(CHOOSE(DZ113,CM113,CQ113,CU113,CY113,DC113,DG113,DK113,DO113))-MIN(N(CHOOSE(DZ113,'Debt List'!$F$5,'Debt List'!$F$6,'Debt List'!$F$7,'Debt List'!$F$8,'Debt List'!$F$9,'Debt List'!$F$10,'Debt List'!$F$11,'Debt List'!$F$12)),N(CHOOSE(DZ113,CL113,CP113,CT113,CX113,DB113,DF113,DJ113,DN113))+N(CHOOSE(DZ113,CM113,CQ113,CU113,CY113,DC113,DG113,DK113,DO113))))),0))</f>
        <v/>
      </c>
      <c r="EB113">
        <f>MIN(N(EA113),MAX(0,N(DY113)))</f>
        <v/>
      </c>
      <c r="EC113">
        <f>MAX(0,N(DY113)-N(EB113))</f>
        <v/>
      </c>
      <c r="ED113">
        <f>IFERROR(MATCH(4,OrderSnow,0),"")</f>
        <v/>
      </c>
      <c r="EE113">
        <f>IF(ED113="",0,IFERROR(IF(N(CHOOSE(ED113,CL113,CP113,CT113,CX113,DB113,DF113,DJ113,DN113))&lt;=0.005,0,MAX(0,N(CHOOSE(ED113,CL113,CP113,CT113,CX113,DB113,DF113,DJ113,DN113))+N(CHOOSE(ED113,CM113,CQ113,CU113,CY113,DC113,DG113,DK113,DO113))-MIN(N(CHOOSE(ED113,'Debt List'!$F$5,'Debt List'!$F$6,'Debt List'!$F$7,'Debt List'!$F$8,'Debt List'!$F$9,'Debt List'!$F$10,'Debt List'!$F$11,'Debt List'!$F$12)),N(CHOOSE(ED113,CL113,CP113,CT113,CX113,DB113,DF113,DJ113,DN113))+N(CHOOSE(ED113,CM113,CQ113,CU113,CY113,DC113,DG113,DK113,DO113))))),0))</f>
        <v/>
      </c>
      <c r="EF113">
        <f>MIN(N(EE113),MAX(0,N(EC113)))</f>
        <v/>
      </c>
      <c r="EG113">
        <f>MAX(0,N(EC113)-N(EF113))</f>
        <v/>
      </c>
      <c r="EH113">
        <f>IFERROR(MATCH(5,OrderSnow,0),"")</f>
        <v/>
      </c>
      <c r="EI113">
        <f>IF(EH113="",0,IFERROR(IF(N(CHOOSE(EH113,CL113,CP113,CT113,CX113,DB113,DF113,DJ113,DN113))&lt;=0.005,0,MAX(0,N(CHOOSE(EH113,CL113,CP113,CT113,CX113,DB113,DF113,DJ113,DN113))+N(CHOOSE(EH113,CM113,CQ113,CU113,CY113,DC113,DG113,DK113,DO113))-MIN(N(CHOOSE(EH113,'Debt List'!$F$5,'Debt List'!$F$6,'Debt List'!$F$7,'Debt List'!$F$8,'Debt List'!$F$9,'Debt List'!$F$10,'Debt List'!$F$11,'Debt List'!$F$12)),N(CHOOSE(EH113,CL113,CP113,CT113,CX113,DB113,DF113,DJ113,DN113))+N(CHOOSE(EH113,CM113,CQ113,CU113,CY113,DC113,DG113,DK113,DO113))))),0))</f>
        <v/>
      </c>
      <c r="EJ113">
        <f>MIN(N(EI113),MAX(0,N(EG113)))</f>
        <v/>
      </c>
      <c r="EK113">
        <f>MAX(0,N(EG113)-N(EJ113))</f>
        <v/>
      </c>
      <c r="EL113">
        <f>IFERROR(MATCH(6,OrderSnow,0),"")</f>
        <v/>
      </c>
      <c r="EM113">
        <f>IF(EL113="",0,IFERROR(IF(N(CHOOSE(EL113,CL113,CP113,CT113,CX113,DB113,DF113,DJ113,DN113))&lt;=0.005,0,MAX(0,N(CHOOSE(EL113,CL113,CP113,CT113,CX113,DB113,DF113,DJ113,DN113))+N(CHOOSE(EL113,CM113,CQ113,CU113,CY113,DC113,DG113,DK113,DO113))-MIN(N(CHOOSE(EL113,'Debt List'!$F$5,'Debt List'!$F$6,'Debt List'!$F$7,'Debt List'!$F$8,'Debt List'!$F$9,'Debt List'!$F$10,'Debt List'!$F$11,'Debt List'!$F$12)),N(CHOOSE(EL113,CL113,CP113,CT113,CX113,DB113,DF113,DJ113,DN113))+N(CHOOSE(EL113,CM113,CQ113,CU113,CY113,DC113,DG113,DK113,DO113))))),0))</f>
        <v/>
      </c>
      <c r="EN113">
        <f>MIN(N(EM113),MAX(0,N(EK113)))</f>
        <v/>
      </c>
      <c r="EO113">
        <f>MAX(0,N(EK113)-N(EN113))</f>
        <v/>
      </c>
      <c r="EP113">
        <f>IFERROR(MATCH(7,OrderSnow,0),"")</f>
        <v/>
      </c>
      <c r="EQ113">
        <f>IF(EP113="",0,IFERROR(IF(N(CHOOSE(EP113,CL113,CP113,CT113,CX113,DB113,DF113,DJ113,DN113))&lt;=0.005,0,MAX(0,N(CHOOSE(EP113,CL113,CP113,CT113,CX113,DB113,DF113,DJ113,DN113))+N(CHOOSE(EP113,CM113,CQ113,CU113,CY113,DC113,DG113,DK113,DO113))-MIN(N(CHOOSE(EP113,'Debt List'!$F$5,'Debt List'!$F$6,'Debt List'!$F$7,'Debt List'!$F$8,'Debt List'!$F$9,'Debt List'!$F$10,'Debt List'!$F$11,'Debt List'!$F$12)),N(CHOOSE(EP113,CL113,CP113,CT113,CX113,DB113,DF113,DJ113,DN113))+N(CHOOSE(EP113,CM113,CQ113,CU113,CY113,DC113,DG113,DK113,DO113))))),0))</f>
        <v/>
      </c>
      <c r="ER113">
        <f>MIN(N(EQ113),MAX(0,N(EO113)))</f>
        <v/>
      </c>
      <c r="ES113">
        <f>MAX(0,N(EO113)-N(ER113))</f>
        <v/>
      </c>
      <c r="ET113">
        <f>IFERROR(MATCH(8,OrderSnow,0),"")</f>
        <v/>
      </c>
      <c r="EU113">
        <f>IF(ET113="",0,IFERROR(IF(N(CHOOSE(ET113,CL113,CP113,CT113,CX113,DB113,DF113,DJ113,DN113))&lt;=0.005,0,MAX(0,N(CHOOSE(ET113,CL113,CP113,CT113,CX113,DB113,DF113,DJ113,DN113))+N(CHOOSE(ET113,CM113,CQ113,CU113,CY113,DC113,DG113,DK113,DO113))-MIN(N(CHOOSE(ET113,'Debt List'!$F$5,'Debt List'!$F$6,'Debt List'!$F$7,'Debt List'!$F$8,'Debt List'!$F$9,'Debt List'!$F$10,'Debt List'!$F$11,'Debt List'!$F$12)),N(CHOOSE(ET113,CL113,CP113,CT113,CX113,DB113,DF113,DJ113,DN113))+N(CHOOSE(ET113,CM113,CQ113,CU113,CY113,DC113,DG113,DK113,DO113))))),0))</f>
        <v/>
      </c>
      <c r="EV113">
        <f>MIN(N(EU113),MAX(0,N(ES113)))</f>
        <v/>
      </c>
      <c r="EW113">
        <f>MAX(0,N(ES113)-N(EV113))</f>
        <v/>
      </c>
      <c r="FE113" t="n">
        <v>109</v>
      </c>
      <c r="FF113" s="115">
        <f>DATE(YEAR(PlanStart),MONTH(PlanStart)+FE113-1,1)</f>
        <v/>
      </c>
      <c r="FG113">
        <f>IF(AND(GT113&lt;&gt;"",N(CHOOSE(GT113,FN113,FR113,FV113,FZ113,GD113,GH113,GL113,GP113))&gt;0.005),INDEX(DebtNames,GT113),IF(AND(GX113&lt;&gt;"",N(CHOOSE(GX113,FN113,FR113,FV113,FZ113,GD113,GH113,GL113,GP113))&gt;0.005),INDEX(DebtNames,GX113),IF(AND(HB113&lt;&gt;"",N(CHOOSE(HB113,FN113,FR113,FV113,FZ113,GD113,GH113,GL113,GP113))&gt;0.005),INDEX(DebtNames,HB113),IF(AND(HF113&lt;&gt;"",N(CHOOSE(HF113,FN113,FR113,FV113,FZ113,GD113,GH113,GL113,GP113))&gt;0.005),INDEX(DebtNames,HF113),IF(AND(HJ113&lt;&gt;"",N(CHOOSE(HJ113,FN113,FR113,FV113,FZ113,GD113,GH113,GL113,GP113))&gt;0.005),INDEX(DebtNames,HJ113),IF(AND(HN113&lt;&gt;"",N(CHOOSE(HN113,FN113,FR113,FV113,FZ113,GD113,GH113,GL113,GP113))&gt;0.005),INDEX(DebtNames,HN113),IF(AND(HR113&lt;&gt;"",N(CHOOSE(HR113,FN113,FR113,FV113,FZ113,GD113,GH113,GL113,GP113))&gt;0.005),INDEX(DebtNames,HR113),IF(AND(HV113&lt;&gt;"",N(CHOOSE(HV113,FN113,FR113,FV113,FZ113,GD113,GH113,GL113,GP113))&gt;0.005),INDEX(DebtNames,HV113),""))))))))</f>
        <v/>
      </c>
      <c r="FH113">
        <f>N(HY113)</f>
        <v/>
      </c>
      <c r="FI113">
        <f>N(FP113)+N(FT113)+N(FX113)+N(GB113)+N(GF113)+N(GJ113)+N(GN113)+N(GR113)</f>
        <v/>
      </c>
      <c r="FJ113">
        <f>N(FO113)+N(FS113)+N(FW113)+N(GA113)+N(GE113)+N(GI113)+N(GM113)+N(GQ113)</f>
        <v/>
      </c>
      <c r="FK113">
        <f>N(FK112)+N(FJ113)</f>
        <v/>
      </c>
      <c r="FL113">
        <f>N(FQ113)+N(FU113)+N(FY113)+N(GC113)+N(GG113)+N(GK113)+N(GO113)+N(GS113)</f>
        <v/>
      </c>
      <c r="FM113">
        <f>(FQ113&gt;0.005)*1+(FU113&gt;0.005)*1+(FY113&gt;0.005)*1+(GC113&gt;0.005)*1+(GG113&gt;0.005)*1+(GK113&gt;0.005)*1+(GO113&gt;0.005)*1+(GS113&gt;0.005)*1</f>
        <v/>
      </c>
      <c r="FN113">
        <f>N(FQ112)</f>
        <v/>
      </c>
      <c r="FO113">
        <f>IF(N(FN113)&lt;=0.005,0,ROUND(N(FN113)*N('Debt List'!E5)/12,2))</f>
        <v/>
      </c>
      <c r="FP113">
        <f>IF(N(FN113)&lt;=0.005,0,MIN(N('Debt List'!F5),N(FN113)+N(FO113)))+((GT113=1)*GV113+(GX113=1)*GZ113+(HB113=1)*HD113+(HF113=1)*HH113+(HJ113=1)*HL113+(HN113=1)*HP113+(HR113=1)*HT113+(HV113=1)*HX113)</f>
        <v/>
      </c>
      <c r="FQ113">
        <f>MAX(0,ROUND(N(FN113)+N(FO113)-N(FP113),2))</f>
        <v/>
      </c>
      <c r="FR113">
        <f>N(FU112)</f>
        <v/>
      </c>
      <c r="FS113">
        <f>IF(N(FR113)&lt;=0.005,0,ROUND(N(FR113)*N('Debt List'!E6)/12,2))</f>
        <v/>
      </c>
      <c r="FT113">
        <f>IF(N(FR113)&lt;=0.005,0,MIN(N('Debt List'!F6),N(FR113)+N(FS113)))+((GT113=2)*GV113+(GX113=2)*GZ113+(HB113=2)*HD113+(HF113=2)*HH113+(HJ113=2)*HL113+(HN113=2)*HP113+(HR113=2)*HT113+(HV113=2)*HX113)</f>
        <v/>
      </c>
      <c r="FU113">
        <f>MAX(0,ROUND(N(FR113)+N(FS113)-N(FT113),2))</f>
        <v/>
      </c>
      <c r="FV113">
        <f>N(FY112)</f>
        <v/>
      </c>
      <c r="FW113">
        <f>IF(N(FV113)&lt;=0.005,0,ROUND(N(FV113)*N('Debt List'!E7)/12,2))</f>
        <v/>
      </c>
      <c r="FX113">
        <f>IF(N(FV113)&lt;=0.005,0,MIN(N('Debt List'!F7),N(FV113)+N(FW113)))+((GT113=3)*GV113+(GX113=3)*GZ113+(HB113=3)*HD113+(HF113=3)*HH113+(HJ113=3)*HL113+(HN113=3)*HP113+(HR113=3)*HT113+(HV113=3)*HX113)</f>
        <v/>
      </c>
      <c r="FY113">
        <f>MAX(0,ROUND(N(FV113)+N(FW113)-N(FX113),2))</f>
        <v/>
      </c>
      <c r="FZ113">
        <f>N(GC112)</f>
        <v/>
      </c>
      <c r="GA113">
        <f>IF(N(FZ113)&lt;=0.005,0,ROUND(N(FZ113)*N('Debt List'!E8)/12,2))</f>
        <v/>
      </c>
      <c r="GB113">
        <f>IF(N(FZ113)&lt;=0.005,0,MIN(N('Debt List'!F8),N(FZ113)+N(GA113)))+((GT113=4)*GV113+(GX113=4)*GZ113+(HB113=4)*HD113+(HF113=4)*HH113+(HJ113=4)*HL113+(HN113=4)*HP113+(HR113=4)*HT113+(HV113=4)*HX113)</f>
        <v/>
      </c>
      <c r="GC113">
        <f>MAX(0,ROUND(N(FZ113)+N(GA113)-N(GB113),2))</f>
        <v/>
      </c>
      <c r="GD113">
        <f>N(GG112)</f>
        <v/>
      </c>
      <c r="GE113">
        <f>IF(N(GD113)&lt;=0.005,0,ROUND(N(GD113)*N('Debt List'!E9)/12,2))</f>
        <v/>
      </c>
      <c r="GF113">
        <f>IF(N(GD113)&lt;=0.005,0,MIN(N('Debt List'!F9),N(GD113)+N(GE113)))+((GT113=5)*GV113+(GX113=5)*GZ113+(HB113=5)*HD113+(HF113=5)*HH113+(HJ113=5)*HL113+(HN113=5)*HP113+(HR113=5)*HT113+(HV113=5)*HX113)</f>
        <v/>
      </c>
      <c r="GG113">
        <f>MAX(0,ROUND(N(GD113)+N(GE113)-N(GF113),2))</f>
        <v/>
      </c>
      <c r="GH113">
        <f>N(GK112)</f>
        <v/>
      </c>
      <c r="GI113">
        <f>IF(N(GH113)&lt;=0.005,0,ROUND(N(GH113)*N('Debt List'!E10)/12,2))</f>
        <v/>
      </c>
      <c r="GJ113">
        <f>IF(N(GH113)&lt;=0.005,0,MIN(N('Debt List'!F10),N(GH113)+N(GI113)))+((GT113=6)*GV113+(GX113=6)*GZ113+(HB113=6)*HD113+(HF113=6)*HH113+(HJ113=6)*HL113+(HN113=6)*HP113+(HR113=6)*HT113+(HV113=6)*HX113)</f>
        <v/>
      </c>
      <c r="GK113">
        <f>MAX(0,ROUND(N(GH113)+N(GI113)-N(GJ113),2))</f>
        <v/>
      </c>
      <c r="GL113">
        <f>N(GO112)</f>
        <v/>
      </c>
      <c r="GM113">
        <f>IF(N(GL113)&lt;=0.005,0,ROUND(N(GL113)*N('Debt List'!E11)/12,2))</f>
        <v/>
      </c>
      <c r="GN113">
        <f>IF(N(GL113)&lt;=0.005,0,MIN(N('Debt List'!F11),N(GL113)+N(GM113)))+((GT113=7)*GV113+(GX113=7)*GZ113+(HB113=7)*HD113+(HF113=7)*HH113+(HJ113=7)*HL113+(HN113=7)*HP113+(HR113=7)*HT113+(HV113=7)*HX113)</f>
        <v/>
      </c>
      <c r="GO113">
        <f>MAX(0,ROUND(N(GL113)+N(GM113)-N(GN113),2))</f>
        <v/>
      </c>
      <c r="GP113">
        <f>N(GS112)</f>
        <v/>
      </c>
      <c r="GQ113">
        <f>IF(N(GP113)&lt;=0.005,0,ROUND(N(GP113)*N('Debt List'!E12)/12,2))</f>
        <v/>
      </c>
      <c r="GR113">
        <f>IF(N(GP113)&lt;=0.005,0,MIN(N('Debt List'!F12),N(GP113)+N(GQ113)))+((GT113=8)*GV113+(GX113=8)*GZ113+(HB113=8)*HD113+(HF113=8)*HH113+(HJ113=8)*HL113+(HN113=8)*HP113+(HR113=8)*HT113+(HV113=8)*HX113)</f>
        <v/>
      </c>
      <c r="GS113">
        <f>MAX(0,ROUND(N(GP113)+N(GQ113)-N(GR113),2))</f>
        <v/>
      </c>
      <c r="GT113">
        <f>IFERROR(MATCH(1,OrderAval,0),"")</f>
        <v/>
      </c>
      <c r="GU113">
        <f>IF(GT113="",0,IFERROR(IF(N(CHOOSE(GT113,FN113,FR113,FV113,FZ113,GD113,GH113,GL113,GP113))&lt;=0.005,0,MAX(0,N(CHOOSE(GT113,FN113,FR113,FV113,FZ113,GD113,GH113,GL113,GP113))+N(CHOOSE(GT113,FO113,FS113,FW113,GA113,GE113,GI113,GM113,GQ113))-MIN(N(CHOOSE(GT113,'Debt List'!$F$5,'Debt List'!$F$6,'Debt List'!$F$7,'Debt List'!$F$8,'Debt List'!$F$9,'Debt List'!$F$10,'Debt List'!$F$11,'Debt List'!$F$12)),N(CHOOSE(GT113,FN113,FR113,FV113,FZ113,GD113,GH113,GL113,GP113))+N(CHOOSE(GT113,FO113,FS113,FW113,GA113,GE113,GI113,GM113,GQ113))))),0))</f>
        <v/>
      </c>
      <c r="GV113">
        <f>MIN(N(GU113),MAX(0,N(ExtraPayment)))</f>
        <v/>
      </c>
      <c r="GW113">
        <f>MAX(0,N(ExtraPayment)-N(GV113))</f>
        <v/>
      </c>
      <c r="GX113">
        <f>IFERROR(MATCH(2,OrderAval,0),"")</f>
        <v/>
      </c>
      <c r="GY113">
        <f>IF(GX113="",0,IFERROR(IF(N(CHOOSE(GX113,FN113,FR113,FV113,FZ113,GD113,GH113,GL113,GP113))&lt;=0.005,0,MAX(0,N(CHOOSE(GX113,FN113,FR113,FV113,FZ113,GD113,GH113,GL113,GP113))+N(CHOOSE(GX113,FO113,FS113,FW113,GA113,GE113,GI113,GM113,GQ113))-MIN(N(CHOOSE(GX113,'Debt List'!$F$5,'Debt List'!$F$6,'Debt List'!$F$7,'Debt List'!$F$8,'Debt List'!$F$9,'Debt List'!$F$10,'Debt List'!$F$11,'Debt List'!$F$12)),N(CHOOSE(GX113,FN113,FR113,FV113,FZ113,GD113,GH113,GL113,GP113))+N(CHOOSE(GX113,FO113,FS113,FW113,GA113,GE113,GI113,GM113,GQ113))))),0))</f>
        <v/>
      </c>
      <c r="GZ113">
        <f>MIN(N(GY113),MAX(0,N(GW113)))</f>
        <v/>
      </c>
      <c r="HA113">
        <f>MAX(0,N(GW113)-N(GZ113))</f>
        <v/>
      </c>
      <c r="HB113">
        <f>IFERROR(MATCH(3,OrderAval,0),"")</f>
        <v/>
      </c>
      <c r="HC113">
        <f>IF(HB113="",0,IFERROR(IF(N(CHOOSE(HB113,FN113,FR113,FV113,FZ113,GD113,GH113,GL113,GP113))&lt;=0.005,0,MAX(0,N(CHOOSE(HB113,FN113,FR113,FV113,FZ113,GD113,GH113,GL113,GP113))+N(CHOOSE(HB113,FO113,FS113,FW113,GA113,GE113,GI113,GM113,GQ113))-MIN(N(CHOOSE(HB113,'Debt List'!$F$5,'Debt List'!$F$6,'Debt List'!$F$7,'Debt List'!$F$8,'Debt List'!$F$9,'Debt List'!$F$10,'Debt List'!$F$11,'Debt List'!$F$12)),N(CHOOSE(HB113,FN113,FR113,FV113,FZ113,GD113,GH113,GL113,GP113))+N(CHOOSE(HB113,FO113,FS113,FW113,GA113,GE113,GI113,GM113,GQ113))))),0))</f>
        <v/>
      </c>
      <c r="HD113">
        <f>MIN(N(HC113),MAX(0,N(HA113)))</f>
        <v/>
      </c>
      <c r="HE113">
        <f>MAX(0,N(HA113)-N(HD113))</f>
        <v/>
      </c>
      <c r="HF113">
        <f>IFERROR(MATCH(4,OrderAval,0),"")</f>
        <v/>
      </c>
      <c r="HG113">
        <f>IF(HF113="",0,IFERROR(IF(N(CHOOSE(HF113,FN113,FR113,FV113,FZ113,GD113,GH113,GL113,GP113))&lt;=0.005,0,MAX(0,N(CHOOSE(HF113,FN113,FR113,FV113,FZ113,GD113,GH113,GL113,GP113))+N(CHOOSE(HF113,FO113,FS113,FW113,GA113,GE113,GI113,GM113,GQ113))-MIN(N(CHOOSE(HF113,'Debt List'!$F$5,'Debt List'!$F$6,'Debt List'!$F$7,'Debt List'!$F$8,'Debt List'!$F$9,'Debt List'!$F$10,'Debt List'!$F$11,'Debt List'!$F$12)),N(CHOOSE(HF113,FN113,FR113,FV113,FZ113,GD113,GH113,GL113,GP113))+N(CHOOSE(HF113,FO113,FS113,FW113,GA113,GE113,GI113,GM113,GQ113))))),0))</f>
        <v/>
      </c>
      <c r="HH113">
        <f>MIN(N(HG113),MAX(0,N(HE113)))</f>
        <v/>
      </c>
      <c r="HI113">
        <f>MAX(0,N(HE113)-N(HH113))</f>
        <v/>
      </c>
      <c r="HJ113">
        <f>IFERROR(MATCH(5,OrderAval,0),"")</f>
        <v/>
      </c>
      <c r="HK113">
        <f>IF(HJ113="",0,IFERROR(IF(N(CHOOSE(HJ113,FN113,FR113,FV113,FZ113,GD113,GH113,GL113,GP113))&lt;=0.005,0,MAX(0,N(CHOOSE(HJ113,FN113,FR113,FV113,FZ113,GD113,GH113,GL113,GP113))+N(CHOOSE(HJ113,FO113,FS113,FW113,GA113,GE113,GI113,GM113,GQ113))-MIN(N(CHOOSE(HJ113,'Debt List'!$F$5,'Debt List'!$F$6,'Debt List'!$F$7,'Debt List'!$F$8,'Debt List'!$F$9,'Debt List'!$F$10,'Debt List'!$F$11,'Debt List'!$F$12)),N(CHOOSE(HJ113,FN113,FR113,FV113,FZ113,GD113,GH113,GL113,GP113))+N(CHOOSE(HJ113,FO113,FS113,FW113,GA113,GE113,GI113,GM113,GQ113))))),0))</f>
        <v/>
      </c>
      <c r="HL113">
        <f>MIN(N(HK113),MAX(0,N(HI113)))</f>
        <v/>
      </c>
      <c r="HM113">
        <f>MAX(0,N(HI113)-N(HL113))</f>
        <v/>
      </c>
      <c r="HN113">
        <f>IFERROR(MATCH(6,OrderAval,0),"")</f>
        <v/>
      </c>
      <c r="HO113">
        <f>IF(HN113="",0,IFERROR(IF(N(CHOOSE(HN113,FN113,FR113,FV113,FZ113,GD113,GH113,GL113,GP113))&lt;=0.005,0,MAX(0,N(CHOOSE(HN113,FN113,FR113,FV113,FZ113,GD113,GH113,GL113,GP113))+N(CHOOSE(HN113,FO113,FS113,FW113,GA113,GE113,GI113,GM113,GQ113))-MIN(N(CHOOSE(HN113,'Debt List'!$F$5,'Debt List'!$F$6,'Debt List'!$F$7,'Debt List'!$F$8,'Debt List'!$F$9,'Debt List'!$F$10,'Debt List'!$F$11,'Debt List'!$F$12)),N(CHOOSE(HN113,FN113,FR113,FV113,FZ113,GD113,GH113,GL113,GP113))+N(CHOOSE(HN113,FO113,FS113,FW113,GA113,GE113,GI113,GM113,GQ113))))),0))</f>
        <v/>
      </c>
      <c r="HP113">
        <f>MIN(N(HO113),MAX(0,N(HM113)))</f>
        <v/>
      </c>
      <c r="HQ113">
        <f>MAX(0,N(HM113)-N(HP113))</f>
        <v/>
      </c>
      <c r="HR113">
        <f>IFERROR(MATCH(7,OrderAval,0),"")</f>
        <v/>
      </c>
      <c r="HS113">
        <f>IF(HR113="",0,IFERROR(IF(N(CHOOSE(HR113,FN113,FR113,FV113,FZ113,GD113,GH113,GL113,GP113))&lt;=0.005,0,MAX(0,N(CHOOSE(HR113,FN113,FR113,FV113,FZ113,GD113,GH113,GL113,GP113))+N(CHOOSE(HR113,FO113,FS113,FW113,GA113,GE113,GI113,GM113,GQ113))-MIN(N(CHOOSE(HR113,'Debt List'!$F$5,'Debt List'!$F$6,'Debt List'!$F$7,'Debt List'!$F$8,'Debt List'!$F$9,'Debt List'!$F$10,'Debt List'!$F$11,'Debt List'!$F$12)),N(CHOOSE(HR113,FN113,FR113,FV113,FZ113,GD113,GH113,GL113,GP113))+N(CHOOSE(HR113,FO113,FS113,FW113,GA113,GE113,GI113,GM113,GQ113))))),0))</f>
        <v/>
      </c>
      <c r="HT113">
        <f>MIN(N(HS113),MAX(0,N(HQ113)))</f>
        <v/>
      </c>
      <c r="HU113">
        <f>MAX(0,N(HQ113)-N(HT113))</f>
        <v/>
      </c>
      <c r="HV113">
        <f>IFERROR(MATCH(8,OrderAval,0),"")</f>
        <v/>
      </c>
      <c r="HW113">
        <f>IF(HV113="",0,IFERROR(IF(N(CHOOSE(HV113,FN113,FR113,FV113,FZ113,GD113,GH113,GL113,GP113))&lt;=0.005,0,MAX(0,N(CHOOSE(HV113,FN113,FR113,FV113,FZ113,GD113,GH113,GL113,GP113))+N(CHOOSE(HV113,FO113,FS113,FW113,GA113,GE113,GI113,GM113,GQ113))-MIN(N(CHOOSE(HV113,'Debt List'!$F$5,'Debt List'!$F$6,'Debt List'!$F$7,'Debt List'!$F$8,'Debt List'!$F$9,'Debt List'!$F$10,'Debt List'!$F$11,'Debt List'!$F$12)),N(CHOOSE(HV113,FN113,FR113,FV113,FZ113,GD113,GH113,GL113,GP113))+N(CHOOSE(HV113,FO113,FS113,FW113,GA113,GE113,GI113,GM113,GQ113))))),0))</f>
        <v/>
      </c>
      <c r="HX113">
        <f>MIN(N(HW113),MAX(0,N(HU113)))</f>
        <v/>
      </c>
      <c r="HY113">
        <f>MAX(0,N(HU113)-N(HX113))</f>
        <v/>
      </c>
    </row>
    <row r="114">
      <c r="A114" t="n">
        <v>110</v>
      </c>
      <c r="B114" s="115">
        <f>DATE(YEAR(PlanStart),MONTH(PlanStart)+A114-1,1)</f>
        <v/>
      </c>
      <c r="C114">
        <f>IF(AND(AP114&lt;&gt;"",N(CHOOSE(AP114,J114,N114,R114,V114,Z114,AD114,AH114,AL114))&gt;0.005),INDEX(DebtNames,AP114),IF(AND(AT114&lt;&gt;"",N(CHOOSE(AT114,J114,N114,R114,V114,Z114,AD114,AH114,AL114))&gt;0.005),INDEX(DebtNames,AT114),IF(AND(AX114&lt;&gt;"",N(CHOOSE(AX114,J114,N114,R114,V114,Z114,AD114,AH114,AL114))&gt;0.005),INDEX(DebtNames,AX114),IF(AND(BB114&lt;&gt;"",N(CHOOSE(BB114,J114,N114,R114,V114,Z114,AD114,AH114,AL114))&gt;0.005),INDEX(DebtNames,BB114),IF(AND(BF114&lt;&gt;"",N(CHOOSE(BF114,J114,N114,R114,V114,Z114,AD114,AH114,AL114))&gt;0.005),INDEX(DebtNames,BF114),IF(AND(BJ114&lt;&gt;"",N(CHOOSE(BJ114,J114,N114,R114,V114,Z114,AD114,AH114,AL114))&gt;0.005),INDEX(DebtNames,BJ114),IF(AND(BN114&lt;&gt;"",N(CHOOSE(BN114,J114,N114,R114,V114,Z114,AD114,AH114,AL114))&gt;0.005),INDEX(DebtNames,BN114),IF(AND(BR114&lt;&gt;"",N(CHOOSE(BR114,J114,N114,R114,V114,Z114,AD114,AH114,AL114))&gt;0.005),INDEX(DebtNames,BR114),""))))))))</f>
        <v/>
      </c>
      <c r="D114">
        <f>N(BU114)</f>
        <v/>
      </c>
      <c r="E114">
        <f>N(L114)+N(P114)+N(T114)+N(X114)+N(AB114)+N(AF114)+N(AJ114)+N(AN114)</f>
        <v/>
      </c>
      <c r="F114">
        <f>N(K114)+N(O114)+N(S114)+N(W114)+N(AA114)+N(AE114)+N(AI114)+N(AM114)</f>
        <v/>
      </c>
      <c r="G114">
        <f>N(G113)+N(F114)</f>
        <v/>
      </c>
      <c r="H114">
        <f>N(M114)+N(Q114)+N(U114)+N(Y114)+N(AC114)+N(AG114)+N(AK114)+N(AO114)</f>
        <v/>
      </c>
      <c r="I114">
        <f>(M114&gt;0.005)*1+(Q114&gt;0.005)*1+(U114&gt;0.005)*1+(Y114&gt;0.005)*1+(AC114&gt;0.005)*1+(AG114&gt;0.005)*1+(AK114&gt;0.005)*1+(AO114&gt;0.005)*1</f>
        <v/>
      </c>
      <c r="J114">
        <f>N(M113)</f>
        <v/>
      </c>
      <c r="K114">
        <f>IF(N(J114)&lt;=0.005,0,ROUND(N(J114)*N('Debt List'!E5)/12,2))</f>
        <v/>
      </c>
      <c r="L114">
        <f>IF(N(J114)&lt;=0.005,0,MIN(N('Debt List'!F5),N(J114)+N(K114)))+((AP114=1)*AR114+(AT114=1)*AV114+(AX114=1)*AZ114+(BB114=1)*BD114+(BF114=1)*BH114+(BJ114=1)*BL114+(BN114=1)*BP114+(BR114=1)*BT114)</f>
        <v/>
      </c>
      <c r="M114">
        <f>MAX(0,ROUND(N(J114)+N(K114)-N(L114),2))</f>
        <v/>
      </c>
      <c r="N114">
        <f>N(Q113)</f>
        <v/>
      </c>
      <c r="O114">
        <f>IF(N(N114)&lt;=0.005,0,ROUND(N(N114)*N('Debt List'!E6)/12,2))</f>
        <v/>
      </c>
      <c r="P114">
        <f>IF(N(N114)&lt;=0.005,0,MIN(N('Debt List'!F6),N(N114)+N(O114)))+((AP114=2)*AR114+(AT114=2)*AV114+(AX114=2)*AZ114+(BB114=2)*BD114+(BF114=2)*BH114+(BJ114=2)*BL114+(BN114=2)*BP114+(BR114=2)*BT114)</f>
        <v/>
      </c>
      <c r="Q114">
        <f>MAX(0,ROUND(N(N114)+N(O114)-N(P114),2))</f>
        <v/>
      </c>
      <c r="R114">
        <f>N(U113)</f>
        <v/>
      </c>
      <c r="S114">
        <f>IF(N(R114)&lt;=0.005,0,ROUND(N(R114)*N('Debt List'!E7)/12,2))</f>
        <v/>
      </c>
      <c r="T114">
        <f>IF(N(R114)&lt;=0.005,0,MIN(N('Debt List'!F7),N(R114)+N(S114)))+((AP114=3)*AR114+(AT114=3)*AV114+(AX114=3)*AZ114+(BB114=3)*BD114+(BF114=3)*BH114+(BJ114=3)*BL114+(BN114=3)*BP114+(BR114=3)*BT114)</f>
        <v/>
      </c>
      <c r="U114">
        <f>MAX(0,ROUND(N(R114)+N(S114)-N(T114),2))</f>
        <v/>
      </c>
      <c r="V114">
        <f>N(Y113)</f>
        <v/>
      </c>
      <c r="W114">
        <f>IF(N(V114)&lt;=0.005,0,ROUND(N(V114)*N('Debt List'!E8)/12,2))</f>
        <v/>
      </c>
      <c r="X114">
        <f>IF(N(V114)&lt;=0.005,0,MIN(N('Debt List'!F8),N(V114)+N(W114)))+((AP114=4)*AR114+(AT114=4)*AV114+(AX114=4)*AZ114+(BB114=4)*BD114+(BF114=4)*BH114+(BJ114=4)*BL114+(BN114=4)*BP114+(BR114=4)*BT114)</f>
        <v/>
      </c>
      <c r="Y114">
        <f>MAX(0,ROUND(N(V114)+N(W114)-N(X114),2))</f>
        <v/>
      </c>
      <c r="Z114">
        <f>N(AC113)</f>
        <v/>
      </c>
      <c r="AA114">
        <f>IF(N(Z114)&lt;=0.005,0,ROUND(N(Z114)*N('Debt List'!E9)/12,2))</f>
        <v/>
      </c>
      <c r="AB114">
        <f>IF(N(Z114)&lt;=0.005,0,MIN(N('Debt List'!F9),N(Z114)+N(AA114)))+((AP114=5)*AR114+(AT114=5)*AV114+(AX114=5)*AZ114+(BB114=5)*BD114+(BF114=5)*BH114+(BJ114=5)*BL114+(BN114=5)*BP114+(BR114=5)*BT114)</f>
        <v/>
      </c>
      <c r="AC114">
        <f>MAX(0,ROUND(N(Z114)+N(AA114)-N(AB114),2))</f>
        <v/>
      </c>
      <c r="AD114">
        <f>N(AG113)</f>
        <v/>
      </c>
      <c r="AE114">
        <f>IF(N(AD114)&lt;=0.005,0,ROUND(N(AD114)*N('Debt List'!E10)/12,2))</f>
        <v/>
      </c>
      <c r="AF114">
        <f>IF(N(AD114)&lt;=0.005,0,MIN(N('Debt List'!F10),N(AD114)+N(AE114)))+((AP114=6)*AR114+(AT114=6)*AV114+(AX114=6)*AZ114+(BB114=6)*BD114+(BF114=6)*BH114+(BJ114=6)*BL114+(BN114=6)*BP114+(BR114=6)*BT114)</f>
        <v/>
      </c>
      <c r="AG114">
        <f>MAX(0,ROUND(N(AD114)+N(AE114)-N(AF114),2))</f>
        <v/>
      </c>
      <c r="AH114">
        <f>N(AK113)</f>
        <v/>
      </c>
      <c r="AI114">
        <f>IF(N(AH114)&lt;=0.005,0,ROUND(N(AH114)*N('Debt List'!E11)/12,2))</f>
        <v/>
      </c>
      <c r="AJ114">
        <f>IF(N(AH114)&lt;=0.005,0,MIN(N('Debt List'!F11),N(AH114)+N(AI114)))+((AP114=7)*AR114+(AT114=7)*AV114+(AX114=7)*AZ114+(BB114=7)*BD114+(BF114=7)*BH114+(BJ114=7)*BL114+(BN114=7)*BP114+(BR114=7)*BT114)</f>
        <v/>
      </c>
      <c r="AK114">
        <f>MAX(0,ROUND(N(AH114)+N(AI114)-N(AJ114),2))</f>
        <v/>
      </c>
      <c r="AL114">
        <f>N(AO113)</f>
        <v/>
      </c>
      <c r="AM114">
        <f>IF(N(AL114)&lt;=0.005,0,ROUND(N(AL114)*N('Debt List'!E12)/12,2))</f>
        <v/>
      </c>
      <c r="AN114">
        <f>IF(N(AL114)&lt;=0.005,0,MIN(N('Debt List'!F12),N(AL114)+N(AM114)))+((AP114=8)*AR114+(AT114=8)*AV114+(AX114=8)*AZ114+(BB114=8)*BD114+(BF114=8)*BH114+(BJ114=8)*BL114+(BN114=8)*BP114+(BR114=8)*BT114)</f>
        <v/>
      </c>
      <c r="AO114">
        <f>MAX(0,ROUND(N(AL114)+N(AM114)-N(AN114),2))</f>
        <v/>
      </c>
      <c r="AP114">
        <f>IFERROR(MATCH(1,OrderPlan,0),"")</f>
        <v/>
      </c>
      <c r="AQ114">
        <f>IF(AP114="",0,IFERROR(IF(N(CHOOSE(AP114,J114,N114,R114,V114,Z114,AD114,AH114,AL114))&lt;=0.005,0,MAX(0,N(CHOOSE(AP114,J114,N114,R114,V114,Z114,AD114,AH114,AL114))+N(CHOOSE(AP114,K114,O114,S114,W114,AA114,AE114,AI114,AM114))-MIN(N(CHOOSE(AP114,'Debt List'!$F$5,'Debt List'!$F$6,'Debt List'!$F$7,'Debt List'!$F$8,'Debt List'!$F$9,'Debt List'!$F$10,'Debt List'!$F$11,'Debt List'!$F$12)),N(CHOOSE(AP114,J114,N114,R114,V114,Z114,AD114,AH114,AL114))+N(CHOOSE(AP114,K114,O114,S114,W114,AA114,AE114,AI114,AM114))))),0))</f>
        <v/>
      </c>
      <c r="AR114">
        <f>MIN(N(AQ114),MAX(0,N(ExtraPayment)))</f>
        <v/>
      </c>
      <c r="AS114">
        <f>MAX(0,N(ExtraPayment)-N(AR114))</f>
        <v/>
      </c>
      <c r="AT114">
        <f>IFERROR(MATCH(2,OrderPlan,0),"")</f>
        <v/>
      </c>
      <c r="AU114">
        <f>IF(AT114="",0,IFERROR(IF(N(CHOOSE(AT114,J114,N114,R114,V114,Z114,AD114,AH114,AL114))&lt;=0.005,0,MAX(0,N(CHOOSE(AT114,J114,N114,R114,V114,Z114,AD114,AH114,AL114))+N(CHOOSE(AT114,K114,O114,S114,W114,AA114,AE114,AI114,AM114))-MIN(N(CHOOSE(AT114,'Debt List'!$F$5,'Debt List'!$F$6,'Debt List'!$F$7,'Debt List'!$F$8,'Debt List'!$F$9,'Debt List'!$F$10,'Debt List'!$F$11,'Debt List'!$F$12)),N(CHOOSE(AT114,J114,N114,R114,V114,Z114,AD114,AH114,AL114))+N(CHOOSE(AT114,K114,O114,S114,W114,AA114,AE114,AI114,AM114))))),0))</f>
        <v/>
      </c>
      <c r="AV114">
        <f>MIN(N(AU114),MAX(0,N(AS114)))</f>
        <v/>
      </c>
      <c r="AW114">
        <f>MAX(0,N(AS114)-N(AV114))</f>
        <v/>
      </c>
      <c r="AX114">
        <f>IFERROR(MATCH(3,OrderPlan,0),"")</f>
        <v/>
      </c>
      <c r="AY114">
        <f>IF(AX114="",0,IFERROR(IF(N(CHOOSE(AX114,J114,N114,R114,V114,Z114,AD114,AH114,AL114))&lt;=0.005,0,MAX(0,N(CHOOSE(AX114,J114,N114,R114,V114,Z114,AD114,AH114,AL114))+N(CHOOSE(AX114,K114,O114,S114,W114,AA114,AE114,AI114,AM114))-MIN(N(CHOOSE(AX114,'Debt List'!$F$5,'Debt List'!$F$6,'Debt List'!$F$7,'Debt List'!$F$8,'Debt List'!$F$9,'Debt List'!$F$10,'Debt List'!$F$11,'Debt List'!$F$12)),N(CHOOSE(AX114,J114,N114,R114,V114,Z114,AD114,AH114,AL114))+N(CHOOSE(AX114,K114,O114,S114,W114,AA114,AE114,AI114,AM114))))),0))</f>
        <v/>
      </c>
      <c r="AZ114">
        <f>MIN(N(AY114),MAX(0,N(AW114)))</f>
        <v/>
      </c>
      <c r="BA114">
        <f>MAX(0,N(AW114)-N(AZ114))</f>
        <v/>
      </c>
      <c r="BB114">
        <f>IFERROR(MATCH(4,OrderPlan,0),"")</f>
        <v/>
      </c>
      <c r="BC114">
        <f>IF(BB114="",0,IFERROR(IF(N(CHOOSE(BB114,J114,N114,R114,V114,Z114,AD114,AH114,AL114))&lt;=0.005,0,MAX(0,N(CHOOSE(BB114,J114,N114,R114,V114,Z114,AD114,AH114,AL114))+N(CHOOSE(BB114,K114,O114,S114,W114,AA114,AE114,AI114,AM114))-MIN(N(CHOOSE(BB114,'Debt List'!$F$5,'Debt List'!$F$6,'Debt List'!$F$7,'Debt List'!$F$8,'Debt List'!$F$9,'Debt List'!$F$10,'Debt List'!$F$11,'Debt List'!$F$12)),N(CHOOSE(BB114,J114,N114,R114,V114,Z114,AD114,AH114,AL114))+N(CHOOSE(BB114,K114,O114,S114,W114,AA114,AE114,AI114,AM114))))),0))</f>
        <v/>
      </c>
      <c r="BD114">
        <f>MIN(N(BC114),MAX(0,N(BA114)))</f>
        <v/>
      </c>
      <c r="BE114">
        <f>MAX(0,N(BA114)-N(BD114))</f>
        <v/>
      </c>
      <c r="BF114">
        <f>IFERROR(MATCH(5,OrderPlan,0),"")</f>
        <v/>
      </c>
      <c r="BG114">
        <f>IF(BF114="",0,IFERROR(IF(N(CHOOSE(BF114,J114,N114,R114,V114,Z114,AD114,AH114,AL114))&lt;=0.005,0,MAX(0,N(CHOOSE(BF114,J114,N114,R114,V114,Z114,AD114,AH114,AL114))+N(CHOOSE(BF114,K114,O114,S114,W114,AA114,AE114,AI114,AM114))-MIN(N(CHOOSE(BF114,'Debt List'!$F$5,'Debt List'!$F$6,'Debt List'!$F$7,'Debt List'!$F$8,'Debt List'!$F$9,'Debt List'!$F$10,'Debt List'!$F$11,'Debt List'!$F$12)),N(CHOOSE(BF114,J114,N114,R114,V114,Z114,AD114,AH114,AL114))+N(CHOOSE(BF114,K114,O114,S114,W114,AA114,AE114,AI114,AM114))))),0))</f>
        <v/>
      </c>
      <c r="BH114">
        <f>MIN(N(BG114),MAX(0,N(BE114)))</f>
        <v/>
      </c>
      <c r="BI114">
        <f>MAX(0,N(BE114)-N(BH114))</f>
        <v/>
      </c>
      <c r="BJ114">
        <f>IFERROR(MATCH(6,OrderPlan,0),"")</f>
        <v/>
      </c>
      <c r="BK114">
        <f>IF(BJ114="",0,IFERROR(IF(N(CHOOSE(BJ114,J114,N114,R114,V114,Z114,AD114,AH114,AL114))&lt;=0.005,0,MAX(0,N(CHOOSE(BJ114,J114,N114,R114,V114,Z114,AD114,AH114,AL114))+N(CHOOSE(BJ114,K114,O114,S114,W114,AA114,AE114,AI114,AM114))-MIN(N(CHOOSE(BJ114,'Debt List'!$F$5,'Debt List'!$F$6,'Debt List'!$F$7,'Debt List'!$F$8,'Debt List'!$F$9,'Debt List'!$F$10,'Debt List'!$F$11,'Debt List'!$F$12)),N(CHOOSE(BJ114,J114,N114,R114,V114,Z114,AD114,AH114,AL114))+N(CHOOSE(BJ114,K114,O114,S114,W114,AA114,AE114,AI114,AM114))))),0))</f>
        <v/>
      </c>
      <c r="BL114">
        <f>MIN(N(BK114),MAX(0,N(BI114)))</f>
        <v/>
      </c>
      <c r="BM114">
        <f>MAX(0,N(BI114)-N(BL114))</f>
        <v/>
      </c>
      <c r="BN114">
        <f>IFERROR(MATCH(7,OrderPlan,0),"")</f>
        <v/>
      </c>
      <c r="BO114">
        <f>IF(BN114="",0,IFERROR(IF(N(CHOOSE(BN114,J114,N114,R114,V114,Z114,AD114,AH114,AL114))&lt;=0.005,0,MAX(0,N(CHOOSE(BN114,J114,N114,R114,V114,Z114,AD114,AH114,AL114))+N(CHOOSE(BN114,K114,O114,S114,W114,AA114,AE114,AI114,AM114))-MIN(N(CHOOSE(BN114,'Debt List'!$F$5,'Debt List'!$F$6,'Debt List'!$F$7,'Debt List'!$F$8,'Debt List'!$F$9,'Debt List'!$F$10,'Debt List'!$F$11,'Debt List'!$F$12)),N(CHOOSE(BN114,J114,N114,R114,V114,Z114,AD114,AH114,AL114))+N(CHOOSE(BN114,K114,O114,S114,W114,AA114,AE114,AI114,AM114))))),0))</f>
        <v/>
      </c>
      <c r="BP114">
        <f>MIN(N(BO114),MAX(0,N(BM114)))</f>
        <v/>
      </c>
      <c r="BQ114">
        <f>MAX(0,N(BM114)-N(BP114))</f>
        <v/>
      </c>
      <c r="BR114">
        <f>IFERROR(MATCH(8,OrderPlan,0),"")</f>
        <v/>
      </c>
      <c r="BS114">
        <f>IF(BR114="",0,IFERROR(IF(N(CHOOSE(BR114,J114,N114,R114,V114,Z114,AD114,AH114,AL114))&lt;=0.005,0,MAX(0,N(CHOOSE(BR114,J114,N114,R114,V114,Z114,AD114,AH114,AL114))+N(CHOOSE(BR114,K114,O114,S114,W114,AA114,AE114,AI114,AM114))-MIN(N(CHOOSE(BR114,'Debt List'!$F$5,'Debt List'!$F$6,'Debt List'!$F$7,'Debt List'!$F$8,'Debt List'!$F$9,'Debt List'!$F$10,'Debt List'!$F$11,'Debt List'!$F$12)),N(CHOOSE(BR114,J114,N114,R114,V114,Z114,AD114,AH114,AL114))+N(CHOOSE(BR114,K114,O114,S114,W114,AA114,AE114,AI114,AM114))))),0))</f>
        <v/>
      </c>
      <c r="BT114">
        <f>MIN(N(BS114),MAX(0,N(BQ114)))</f>
        <v/>
      </c>
      <c r="BU114">
        <f>MAX(0,N(BQ114)-N(BT114))</f>
        <v/>
      </c>
      <c r="CC114" t="n">
        <v>110</v>
      </c>
      <c r="CD114" s="115">
        <f>DATE(YEAR(PlanStart),MONTH(PlanStart)+CC114-1,1)</f>
        <v/>
      </c>
      <c r="CE114">
        <f>IF(AND(DR114&lt;&gt;"",N(CHOOSE(DR114,CL114,CP114,CT114,CX114,DB114,DF114,DJ114,DN114))&gt;0.005),INDEX(DebtNames,DR114),IF(AND(DV114&lt;&gt;"",N(CHOOSE(DV114,CL114,CP114,CT114,CX114,DB114,DF114,DJ114,DN114))&gt;0.005),INDEX(DebtNames,DV114),IF(AND(DZ114&lt;&gt;"",N(CHOOSE(DZ114,CL114,CP114,CT114,CX114,DB114,DF114,DJ114,DN114))&gt;0.005),INDEX(DebtNames,DZ114),IF(AND(ED114&lt;&gt;"",N(CHOOSE(ED114,CL114,CP114,CT114,CX114,DB114,DF114,DJ114,DN114))&gt;0.005),INDEX(DebtNames,ED114),IF(AND(EH114&lt;&gt;"",N(CHOOSE(EH114,CL114,CP114,CT114,CX114,DB114,DF114,DJ114,DN114))&gt;0.005),INDEX(DebtNames,EH114),IF(AND(EL114&lt;&gt;"",N(CHOOSE(EL114,CL114,CP114,CT114,CX114,DB114,DF114,DJ114,DN114))&gt;0.005),INDEX(DebtNames,EL114),IF(AND(EP114&lt;&gt;"",N(CHOOSE(EP114,CL114,CP114,CT114,CX114,DB114,DF114,DJ114,DN114))&gt;0.005),INDEX(DebtNames,EP114),IF(AND(ET114&lt;&gt;"",N(CHOOSE(ET114,CL114,CP114,CT114,CX114,DB114,DF114,DJ114,DN114))&gt;0.005),INDEX(DebtNames,ET114),""))))))))</f>
        <v/>
      </c>
      <c r="CF114">
        <f>N(EW114)</f>
        <v/>
      </c>
      <c r="CG114">
        <f>N(CN114)+N(CR114)+N(CV114)+N(CZ114)+N(DD114)+N(DH114)+N(DL114)+N(DP114)</f>
        <v/>
      </c>
      <c r="CH114">
        <f>N(CM114)+N(CQ114)+N(CU114)+N(CY114)+N(DC114)+N(DG114)+N(DK114)+N(DO114)</f>
        <v/>
      </c>
      <c r="CI114">
        <f>N(CI113)+N(CH114)</f>
        <v/>
      </c>
      <c r="CJ114">
        <f>N(CO114)+N(CS114)+N(CW114)+N(DA114)+N(DE114)+N(DI114)+N(DM114)+N(DQ114)</f>
        <v/>
      </c>
      <c r="CK114">
        <f>(CO114&gt;0.005)*1+(CS114&gt;0.005)*1+(CW114&gt;0.005)*1+(DA114&gt;0.005)*1+(DE114&gt;0.005)*1+(DI114&gt;0.005)*1+(DM114&gt;0.005)*1+(DQ114&gt;0.005)*1</f>
        <v/>
      </c>
      <c r="CL114">
        <f>N(CO113)</f>
        <v/>
      </c>
      <c r="CM114">
        <f>IF(N(CL114)&lt;=0.005,0,ROUND(N(CL114)*N('Debt List'!E5)/12,2))</f>
        <v/>
      </c>
      <c r="CN114">
        <f>IF(N(CL114)&lt;=0.005,0,MIN(N('Debt List'!F5),N(CL114)+N(CM114)))+((DR114=1)*DT114+(DV114=1)*DX114+(DZ114=1)*EB114+(ED114=1)*EF114+(EH114=1)*EJ114+(EL114=1)*EN114+(EP114=1)*ER114+(ET114=1)*EV114)</f>
        <v/>
      </c>
      <c r="CO114">
        <f>MAX(0,ROUND(N(CL114)+N(CM114)-N(CN114),2))</f>
        <v/>
      </c>
      <c r="CP114">
        <f>N(CS113)</f>
        <v/>
      </c>
      <c r="CQ114">
        <f>IF(N(CP114)&lt;=0.005,0,ROUND(N(CP114)*N('Debt List'!E6)/12,2))</f>
        <v/>
      </c>
      <c r="CR114">
        <f>IF(N(CP114)&lt;=0.005,0,MIN(N('Debt List'!F6),N(CP114)+N(CQ114)))+((DR114=2)*DT114+(DV114=2)*DX114+(DZ114=2)*EB114+(ED114=2)*EF114+(EH114=2)*EJ114+(EL114=2)*EN114+(EP114=2)*ER114+(ET114=2)*EV114)</f>
        <v/>
      </c>
      <c r="CS114">
        <f>MAX(0,ROUND(N(CP114)+N(CQ114)-N(CR114),2))</f>
        <v/>
      </c>
      <c r="CT114">
        <f>N(CW113)</f>
        <v/>
      </c>
      <c r="CU114">
        <f>IF(N(CT114)&lt;=0.005,0,ROUND(N(CT114)*N('Debt List'!E7)/12,2))</f>
        <v/>
      </c>
      <c r="CV114">
        <f>IF(N(CT114)&lt;=0.005,0,MIN(N('Debt List'!F7),N(CT114)+N(CU114)))+((DR114=3)*DT114+(DV114=3)*DX114+(DZ114=3)*EB114+(ED114=3)*EF114+(EH114=3)*EJ114+(EL114=3)*EN114+(EP114=3)*ER114+(ET114=3)*EV114)</f>
        <v/>
      </c>
      <c r="CW114">
        <f>MAX(0,ROUND(N(CT114)+N(CU114)-N(CV114),2))</f>
        <v/>
      </c>
      <c r="CX114">
        <f>N(DA113)</f>
        <v/>
      </c>
      <c r="CY114">
        <f>IF(N(CX114)&lt;=0.005,0,ROUND(N(CX114)*N('Debt List'!E8)/12,2))</f>
        <v/>
      </c>
      <c r="CZ114">
        <f>IF(N(CX114)&lt;=0.005,0,MIN(N('Debt List'!F8),N(CX114)+N(CY114)))+((DR114=4)*DT114+(DV114=4)*DX114+(DZ114=4)*EB114+(ED114=4)*EF114+(EH114=4)*EJ114+(EL114=4)*EN114+(EP114=4)*ER114+(ET114=4)*EV114)</f>
        <v/>
      </c>
      <c r="DA114">
        <f>MAX(0,ROUND(N(CX114)+N(CY114)-N(CZ114),2))</f>
        <v/>
      </c>
      <c r="DB114">
        <f>N(DE113)</f>
        <v/>
      </c>
      <c r="DC114">
        <f>IF(N(DB114)&lt;=0.005,0,ROUND(N(DB114)*N('Debt List'!E9)/12,2))</f>
        <v/>
      </c>
      <c r="DD114">
        <f>IF(N(DB114)&lt;=0.005,0,MIN(N('Debt List'!F9),N(DB114)+N(DC114)))+((DR114=5)*DT114+(DV114=5)*DX114+(DZ114=5)*EB114+(ED114=5)*EF114+(EH114=5)*EJ114+(EL114=5)*EN114+(EP114=5)*ER114+(ET114=5)*EV114)</f>
        <v/>
      </c>
      <c r="DE114">
        <f>MAX(0,ROUND(N(DB114)+N(DC114)-N(DD114),2))</f>
        <v/>
      </c>
      <c r="DF114">
        <f>N(DI113)</f>
        <v/>
      </c>
      <c r="DG114">
        <f>IF(N(DF114)&lt;=0.005,0,ROUND(N(DF114)*N('Debt List'!E10)/12,2))</f>
        <v/>
      </c>
      <c r="DH114">
        <f>IF(N(DF114)&lt;=0.005,0,MIN(N('Debt List'!F10),N(DF114)+N(DG114)))+((DR114=6)*DT114+(DV114=6)*DX114+(DZ114=6)*EB114+(ED114=6)*EF114+(EH114=6)*EJ114+(EL114=6)*EN114+(EP114=6)*ER114+(ET114=6)*EV114)</f>
        <v/>
      </c>
      <c r="DI114">
        <f>MAX(0,ROUND(N(DF114)+N(DG114)-N(DH114),2))</f>
        <v/>
      </c>
      <c r="DJ114">
        <f>N(DM113)</f>
        <v/>
      </c>
      <c r="DK114">
        <f>IF(N(DJ114)&lt;=0.005,0,ROUND(N(DJ114)*N('Debt List'!E11)/12,2))</f>
        <v/>
      </c>
      <c r="DL114">
        <f>IF(N(DJ114)&lt;=0.005,0,MIN(N('Debt List'!F11),N(DJ114)+N(DK114)))+((DR114=7)*DT114+(DV114=7)*DX114+(DZ114=7)*EB114+(ED114=7)*EF114+(EH114=7)*EJ114+(EL114=7)*EN114+(EP114=7)*ER114+(ET114=7)*EV114)</f>
        <v/>
      </c>
      <c r="DM114">
        <f>MAX(0,ROUND(N(DJ114)+N(DK114)-N(DL114),2))</f>
        <v/>
      </c>
      <c r="DN114">
        <f>N(DQ113)</f>
        <v/>
      </c>
      <c r="DO114">
        <f>IF(N(DN114)&lt;=0.005,0,ROUND(N(DN114)*N('Debt List'!E12)/12,2))</f>
        <v/>
      </c>
      <c r="DP114">
        <f>IF(N(DN114)&lt;=0.005,0,MIN(N('Debt List'!F12),N(DN114)+N(DO114)))+((DR114=8)*DT114+(DV114=8)*DX114+(DZ114=8)*EB114+(ED114=8)*EF114+(EH114=8)*EJ114+(EL114=8)*EN114+(EP114=8)*ER114+(ET114=8)*EV114)</f>
        <v/>
      </c>
      <c r="DQ114">
        <f>MAX(0,ROUND(N(DN114)+N(DO114)-N(DP114),2))</f>
        <v/>
      </c>
      <c r="DR114">
        <f>IFERROR(MATCH(1,OrderSnow,0),"")</f>
        <v/>
      </c>
      <c r="DS114">
        <f>IF(DR114="",0,IFERROR(IF(N(CHOOSE(DR114,CL114,CP114,CT114,CX114,DB114,DF114,DJ114,DN114))&lt;=0.005,0,MAX(0,N(CHOOSE(DR114,CL114,CP114,CT114,CX114,DB114,DF114,DJ114,DN114))+N(CHOOSE(DR114,CM114,CQ114,CU114,CY114,DC114,DG114,DK114,DO114))-MIN(N(CHOOSE(DR114,'Debt List'!$F$5,'Debt List'!$F$6,'Debt List'!$F$7,'Debt List'!$F$8,'Debt List'!$F$9,'Debt List'!$F$10,'Debt List'!$F$11,'Debt List'!$F$12)),N(CHOOSE(DR114,CL114,CP114,CT114,CX114,DB114,DF114,DJ114,DN114))+N(CHOOSE(DR114,CM114,CQ114,CU114,CY114,DC114,DG114,DK114,DO114))))),0))</f>
        <v/>
      </c>
      <c r="DT114">
        <f>MIN(N(DS114),MAX(0,N(ExtraPayment)))</f>
        <v/>
      </c>
      <c r="DU114">
        <f>MAX(0,N(ExtraPayment)-N(DT114))</f>
        <v/>
      </c>
      <c r="DV114">
        <f>IFERROR(MATCH(2,OrderSnow,0),"")</f>
        <v/>
      </c>
      <c r="DW114">
        <f>IF(DV114="",0,IFERROR(IF(N(CHOOSE(DV114,CL114,CP114,CT114,CX114,DB114,DF114,DJ114,DN114))&lt;=0.005,0,MAX(0,N(CHOOSE(DV114,CL114,CP114,CT114,CX114,DB114,DF114,DJ114,DN114))+N(CHOOSE(DV114,CM114,CQ114,CU114,CY114,DC114,DG114,DK114,DO114))-MIN(N(CHOOSE(DV114,'Debt List'!$F$5,'Debt List'!$F$6,'Debt List'!$F$7,'Debt List'!$F$8,'Debt List'!$F$9,'Debt List'!$F$10,'Debt List'!$F$11,'Debt List'!$F$12)),N(CHOOSE(DV114,CL114,CP114,CT114,CX114,DB114,DF114,DJ114,DN114))+N(CHOOSE(DV114,CM114,CQ114,CU114,CY114,DC114,DG114,DK114,DO114))))),0))</f>
        <v/>
      </c>
      <c r="DX114">
        <f>MIN(N(DW114),MAX(0,N(DU114)))</f>
        <v/>
      </c>
      <c r="DY114">
        <f>MAX(0,N(DU114)-N(DX114))</f>
        <v/>
      </c>
      <c r="DZ114">
        <f>IFERROR(MATCH(3,OrderSnow,0),"")</f>
        <v/>
      </c>
      <c r="EA114">
        <f>IF(DZ114="",0,IFERROR(IF(N(CHOOSE(DZ114,CL114,CP114,CT114,CX114,DB114,DF114,DJ114,DN114))&lt;=0.005,0,MAX(0,N(CHOOSE(DZ114,CL114,CP114,CT114,CX114,DB114,DF114,DJ114,DN114))+N(CHOOSE(DZ114,CM114,CQ114,CU114,CY114,DC114,DG114,DK114,DO114))-MIN(N(CHOOSE(DZ114,'Debt List'!$F$5,'Debt List'!$F$6,'Debt List'!$F$7,'Debt List'!$F$8,'Debt List'!$F$9,'Debt List'!$F$10,'Debt List'!$F$11,'Debt List'!$F$12)),N(CHOOSE(DZ114,CL114,CP114,CT114,CX114,DB114,DF114,DJ114,DN114))+N(CHOOSE(DZ114,CM114,CQ114,CU114,CY114,DC114,DG114,DK114,DO114))))),0))</f>
        <v/>
      </c>
      <c r="EB114">
        <f>MIN(N(EA114),MAX(0,N(DY114)))</f>
        <v/>
      </c>
      <c r="EC114">
        <f>MAX(0,N(DY114)-N(EB114))</f>
        <v/>
      </c>
      <c r="ED114">
        <f>IFERROR(MATCH(4,OrderSnow,0),"")</f>
        <v/>
      </c>
      <c r="EE114">
        <f>IF(ED114="",0,IFERROR(IF(N(CHOOSE(ED114,CL114,CP114,CT114,CX114,DB114,DF114,DJ114,DN114))&lt;=0.005,0,MAX(0,N(CHOOSE(ED114,CL114,CP114,CT114,CX114,DB114,DF114,DJ114,DN114))+N(CHOOSE(ED114,CM114,CQ114,CU114,CY114,DC114,DG114,DK114,DO114))-MIN(N(CHOOSE(ED114,'Debt List'!$F$5,'Debt List'!$F$6,'Debt List'!$F$7,'Debt List'!$F$8,'Debt List'!$F$9,'Debt List'!$F$10,'Debt List'!$F$11,'Debt List'!$F$12)),N(CHOOSE(ED114,CL114,CP114,CT114,CX114,DB114,DF114,DJ114,DN114))+N(CHOOSE(ED114,CM114,CQ114,CU114,CY114,DC114,DG114,DK114,DO114))))),0))</f>
        <v/>
      </c>
      <c r="EF114">
        <f>MIN(N(EE114),MAX(0,N(EC114)))</f>
        <v/>
      </c>
      <c r="EG114">
        <f>MAX(0,N(EC114)-N(EF114))</f>
        <v/>
      </c>
      <c r="EH114">
        <f>IFERROR(MATCH(5,OrderSnow,0),"")</f>
        <v/>
      </c>
      <c r="EI114">
        <f>IF(EH114="",0,IFERROR(IF(N(CHOOSE(EH114,CL114,CP114,CT114,CX114,DB114,DF114,DJ114,DN114))&lt;=0.005,0,MAX(0,N(CHOOSE(EH114,CL114,CP114,CT114,CX114,DB114,DF114,DJ114,DN114))+N(CHOOSE(EH114,CM114,CQ114,CU114,CY114,DC114,DG114,DK114,DO114))-MIN(N(CHOOSE(EH114,'Debt List'!$F$5,'Debt List'!$F$6,'Debt List'!$F$7,'Debt List'!$F$8,'Debt List'!$F$9,'Debt List'!$F$10,'Debt List'!$F$11,'Debt List'!$F$12)),N(CHOOSE(EH114,CL114,CP114,CT114,CX114,DB114,DF114,DJ114,DN114))+N(CHOOSE(EH114,CM114,CQ114,CU114,CY114,DC114,DG114,DK114,DO114))))),0))</f>
        <v/>
      </c>
      <c r="EJ114">
        <f>MIN(N(EI114),MAX(0,N(EG114)))</f>
        <v/>
      </c>
      <c r="EK114">
        <f>MAX(0,N(EG114)-N(EJ114))</f>
        <v/>
      </c>
      <c r="EL114">
        <f>IFERROR(MATCH(6,OrderSnow,0),"")</f>
        <v/>
      </c>
      <c r="EM114">
        <f>IF(EL114="",0,IFERROR(IF(N(CHOOSE(EL114,CL114,CP114,CT114,CX114,DB114,DF114,DJ114,DN114))&lt;=0.005,0,MAX(0,N(CHOOSE(EL114,CL114,CP114,CT114,CX114,DB114,DF114,DJ114,DN114))+N(CHOOSE(EL114,CM114,CQ114,CU114,CY114,DC114,DG114,DK114,DO114))-MIN(N(CHOOSE(EL114,'Debt List'!$F$5,'Debt List'!$F$6,'Debt List'!$F$7,'Debt List'!$F$8,'Debt List'!$F$9,'Debt List'!$F$10,'Debt List'!$F$11,'Debt List'!$F$12)),N(CHOOSE(EL114,CL114,CP114,CT114,CX114,DB114,DF114,DJ114,DN114))+N(CHOOSE(EL114,CM114,CQ114,CU114,CY114,DC114,DG114,DK114,DO114))))),0))</f>
        <v/>
      </c>
      <c r="EN114">
        <f>MIN(N(EM114),MAX(0,N(EK114)))</f>
        <v/>
      </c>
      <c r="EO114">
        <f>MAX(0,N(EK114)-N(EN114))</f>
        <v/>
      </c>
      <c r="EP114">
        <f>IFERROR(MATCH(7,OrderSnow,0),"")</f>
        <v/>
      </c>
      <c r="EQ114">
        <f>IF(EP114="",0,IFERROR(IF(N(CHOOSE(EP114,CL114,CP114,CT114,CX114,DB114,DF114,DJ114,DN114))&lt;=0.005,0,MAX(0,N(CHOOSE(EP114,CL114,CP114,CT114,CX114,DB114,DF114,DJ114,DN114))+N(CHOOSE(EP114,CM114,CQ114,CU114,CY114,DC114,DG114,DK114,DO114))-MIN(N(CHOOSE(EP114,'Debt List'!$F$5,'Debt List'!$F$6,'Debt List'!$F$7,'Debt List'!$F$8,'Debt List'!$F$9,'Debt List'!$F$10,'Debt List'!$F$11,'Debt List'!$F$12)),N(CHOOSE(EP114,CL114,CP114,CT114,CX114,DB114,DF114,DJ114,DN114))+N(CHOOSE(EP114,CM114,CQ114,CU114,CY114,DC114,DG114,DK114,DO114))))),0))</f>
        <v/>
      </c>
      <c r="ER114">
        <f>MIN(N(EQ114),MAX(0,N(EO114)))</f>
        <v/>
      </c>
      <c r="ES114">
        <f>MAX(0,N(EO114)-N(ER114))</f>
        <v/>
      </c>
      <c r="ET114">
        <f>IFERROR(MATCH(8,OrderSnow,0),"")</f>
        <v/>
      </c>
      <c r="EU114">
        <f>IF(ET114="",0,IFERROR(IF(N(CHOOSE(ET114,CL114,CP114,CT114,CX114,DB114,DF114,DJ114,DN114))&lt;=0.005,0,MAX(0,N(CHOOSE(ET114,CL114,CP114,CT114,CX114,DB114,DF114,DJ114,DN114))+N(CHOOSE(ET114,CM114,CQ114,CU114,CY114,DC114,DG114,DK114,DO114))-MIN(N(CHOOSE(ET114,'Debt List'!$F$5,'Debt List'!$F$6,'Debt List'!$F$7,'Debt List'!$F$8,'Debt List'!$F$9,'Debt List'!$F$10,'Debt List'!$F$11,'Debt List'!$F$12)),N(CHOOSE(ET114,CL114,CP114,CT114,CX114,DB114,DF114,DJ114,DN114))+N(CHOOSE(ET114,CM114,CQ114,CU114,CY114,DC114,DG114,DK114,DO114))))),0))</f>
        <v/>
      </c>
      <c r="EV114">
        <f>MIN(N(EU114),MAX(0,N(ES114)))</f>
        <v/>
      </c>
      <c r="EW114">
        <f>MAX(0,N(ES114)-N(EV114))</f>
        <v/>
      </c>
      <c r="FE114" t="n">
        <v>110</v>
      </c>
      <c r="FF114" s="115">
        <f>DATE(YEAR(PlanStart),MONTH(PlanStart)+FE114-1,1)</f>
        <v/>
      </c>
      <c r="FG114">
        <f>IF(AND(GT114&lt;&gt;"",N(CHOOSE(GT114,FN114,FR114,FV114,FZ114,GD114,GH114,GL114,GP114))&gt;0.005),INDEX(DebtNames,GT114),IF(AND(GX114&lt;&gt;"",N(CHOOSE(GX114,FN114,FR114,FV114,FZ114,GD114,GH114,GL114,GP114))&gt;0.005),INDEX(DebtNames,GX114),IF(AND(HB114&lt;&gt;"",N(CHOOSE(HB114,FN114,FR114,FV114,FZ114,GD114,GH114,GL114,GP114))&gt;0.005),INDEX(DebtNames,HB114),IF(AND(HF114&lt;&gt;"",N(CHOOSE(HF114,FN114,FR114,FV114,FZ114,GD114,GH114,GL114,GP114))&gt;0.005),INDEX(DebtNames,HF114),IF(AND(HJ114&lt;&gt;"",N(CHOOSE(HJ114,FN114,FR114,FV114,FZ114,GD114,GH114,GL114,GP114))&gt;0.005),INDEX(DebtNames,HJ114),IF(AND(HN114&lt;&gt;"",N(CHOOSE(HN114,FN114,FR114,FV114,FZ114,GD114,GH114,GL114,GP114))&gt;0.005),INDEX(DebtNames,HN114),IF(AND(HR114&lt;&gt;"",N(CHOOSE(HR114,FN114,FR114,FV114,FZ114,GD114,GH114,GL114,GP114))&gt;0.005),INDEX(DebtNames,HR114),IF(AND(HV114&lt;&gt;"",N(CHOOSE(HV114,FN114,FR114,FV114,FZ114,GD114,GH114,GL114,GP114))&gt;0.005),INDEX(DebtNames,HV114),""))))))))</f>
        <v/>
      </c>
      <c r="FH114">
        <f>N(HY114)</f>
        <v/>
      </c>
      <c r="FI114">
        <f>N(FP114)+N(FT114)+N(FX114)+N(GB114)+N(GF114)+N(GJ114)+N(GN114)+N(GR114)</f>
        <v/>
      </c>
      <c r="FJ114">
        <f>N(FO114)+N(FS114)+N(FW114)+N(GA114)+N(GE114)+N(GI114)+N(GM114)+N(GQ114)</f>
        <v/>
      </c>
      <c r="FK114">
        <f>N(FK113)+N(FJ114)</f>
        <v/>
      </c>
      <c r="FL114">
        <f>N(FQ114)+N(FU114)+N(FY114)+N(GC114)+N(GG114)+N(GK114)+N(GO114)+N(GS114)</f>
        <v/>
      </c>
      <c r="FM114">
        <f>(FQ114&gt;0.005)*1+(FU114&gt;0.005)*1+(FY114&gt;0.005)*1+(GC114&gt;0.005)*1+(GG114&gt;0.005)*1+(GK114&gt;0.005)*1+(GO114&gt;0.005)*1+(GS114&gt;0.005)*1</f>
        <v/>
      </c>
      <c r="FN114">
        <f>N(FQ113)</f>
        <v/>
      </c>
      <c r="FO114">
        <f>IF(N(FN114)&lt;=0.005,0,ROUND(N(FN114)*N('Debt List'!E5)/12,2))</f>
        <v/>
      </c>
      <c r="FP114">
        <f>IF(N(FN114)&lt;=0.005,0,MIN(N('Debt List'!F5),N(FN114)+N(FO114)))+((GT114=1)*GV114+(GX114=1)*GZ114+(HB114=1)*HD114+(HF114=1)*HH114+(HJ114=1)*HL114+(HN114=1)*HP114+(HR114=1)*HT114+(HV114=1)*HX114)</f>
        <v/>
      </c>
      <c r="FQ114">
        <f>MAX(0,ROUND(N(FN114)+N(FO114)-N(FP114),2))</f>
        <v/>
      </c>
      <c r="FR114">
        <f>N(FU113)</f>
        <v/>
      </c>
      <c r="FS114">
        <f>IF(N(FR114)&lt;=0.005,0,ROUND(N(FR114)*N('Debt List'!E6)/12,2))</f>
        <v/>
      </c>
      <c r="FT114">
        <f>IF(N(FR114)&lt;=0.005,0,MIN(N('Debt List'!F6),N(FR114)+N(FS114)))+((GT114=2)*GV114+(GX114=2)*GZ114+(HB114=2)*HD114+(HF114=2)*HH114+(HJ114=2)*HL114+(HN114=2)*HP114+(HR114=2)*HT114+(HV114=2)*HX114)</f>
        <v/>
      </c>
      <c r="FU114">
        <f>MAX(0,ROUND(N(FR114)+N(FS114)-N(FT114),2))</f>
        <v/>
      </c>
      <c r="FV114">
        <f>N(FY113)</f>
        <v/>
      </c>
      <c r="FW114">
        <f>IF(N(FV114)&lt;=0.005,0,ROUND(N(FV114)*N('Debt List'!E7)/12,2))</f>
        <v/>
      </c>
      <c r="FX114">
        <f>IF(N(FV114)&lt;=0.005,0,MIN(N('Debt List'!F7),N(FV114)+N(FW114)))+((GT114=3)*GV114+(GX114=3)*GZ114+(HB114=3)*HD114+(HF114=3)*HH114+(HJ114=3)*HL114+(HN114=3)*HP114+(HR114=3)*HT114+(HV114=3)*HX114)</f>
        <v/>
      </c>
      <c r="FY114">
        <f>MAX(0,ROUND(N(FV114)+N(FW114)-N(FX114),2))</f>
        <v/>
      </c>
      <c r="FZ114">
        <f>N(GC113)</f>
        <v/>
      </c>
      <c r="GA114">
        <f>IF(N(FZ114)&lt;=0.005,0,ROUND(N(FZ114)*N('Debt List'!E8)/12,2))</f>
        <v/>
      </c>
      <c r="GB114">
        <f>IF(N(FZ114)&lt;=0.005,0,MIN(N('Debt List'!F8),N(FZ114)+N(GA114)))+((GT114=4)*GV114+(GX114=4)*GZ114+(HB114=4)*HD114+(HF114=4)*HH114+(HJ114=4)*HL114+(HN114=4)*HP114+(HR114=4)*HT114+(HV114=4)*HX114)</f>
        <v/>
      </c>
      <c r="GC114">
        <f>MAX(0,ROUND(N(FZ114)+N(GA114)-N(GB114),2))</f>
        <v/>
      </c>
      <c r="GD114">
        <f>N(GG113)</f>
        <v/>
      </c>
      <c r="GE114">
        <f>IF(N(GD114)&lt;=0.005,0,ROUND(N(GD114)*N('Debt List'!E9)/12,2))</f>
        <v/>
      </c>
      <c r="GF114">
        <f>IF(N(GD114)&lt;=0.005,0,MIN(N('Debt List'!F9),N(GD114)+N(GE114)))+((GT114=5)*GV114+(GX114=5)*GZ114+(HB114=5)*HD114+(HF114=5)*HH114+(HJ114=5)*HL114+(HN114=5)*HP114+(HR114=5)*HT114+(HV114=5)*HX114)</f>
        <v/>
      </c>
      <c r="GG114">
        <f>MAX(0,ROUND(N(GD114)+N(GE114)-N(GF114),2))</f>
        <v/>
      </c>
      <c r="GH114">
        <f>N(GK113)</f>
        <v/>
      </c>
      <c r="GI114">
        <f>IF(N(GH114)&lt;=0.005,0,ROUND(N(GH114)*N('Debt List'!E10)/12,2))</f>
        <v/>
      </c>
      <c r="GJ114">
        <f>IF(N(GH114)&lt;=0.005,0,MIN(N('Debt List'!F10),N(GH114)+N(GI114)))+((GT114=6)*GV114+(GX114=6)*GZ114+(HB114=6)*HD114+(HF114=6)*HH114+(HJ114=6)*HL114+(HN114=6)*HP114+(HR114=6)*HT114+(HV114=6)*HX114)</f>
        <v/>
      </c>
      <c r="GK114">
        <f>MAX(0,ROUND(N(GH114)+N(GI114)-N(GJ114),2))</f>
        <v/>
      </c>
      <c r="GL114">
        <f>N(GO113)</f>
        <v/>
      </c>
      <c r="GM114">
        <f>IF(N(GL114)&lt;=0.005,0,ROUND(N(GL114)*N('Debt List'!E11)/12,2))</f>
        <v/>
      </c>
      <c r="GN114">
        <f>IF(N(GL114)&lt;=0.005,0,MIN(N('Debt List'!F11),N(GL114)+N(GM114)))+((GT114=7)*GV114+(GX114=7)*GZ114+(HB114=7)*HD114+(HF114=7)*HH114+(HJ114=7)*HL114+(HN114=7)*HP114+(HR114=7)*HT114+(HV114=7)*HX114)</f>
        <v/>
      </c>
      <c r="GO114">
        <f>MAX(0,ROUND(N(GL114)+N(GM114)-N(GN114),2))</f>
        <v/>
      </c>
      <c r="GP114">
        <f>N(GS113)</f>
        <v/>
      </c>
      <c r="GQ114">
        <f>IF(N(GP114)&lt;=0.005,0,ROUND(N(GP114)*N('Debt List'!E12)/12,2))</f>
        <v/>
      </c>
      <c r="GR114">
        <f>IF(N(GP114)&lt;=0.005,0,MIN(N('Debt List'!F12),N(GP114)+N(GQ114)))+((GT114=8)*GV114+(GX114=8)*GZ114+(HB114=8)*HD114+(HF114=8)*HH114+(HJ114=8)*HL114+(HN114=8)*HP114+(HR114=8)*HT114+(HV114=8)*HX114)</f>
        <v/>
      </c>
      <c r="GS114">
        <f>MAX(0,ROUND(N(GP114)+N(GQ114)-N(GR114),2))</f>
        <v/>
      </c>
      <c r="GT114">
        <f>IFERROR(MATCH(1,OrderAval,0),"")</f>
        <v/>
      </c>
      <c r="GU114">
        <f>IF(GT114="",0,IFERROR(IF(N(CHOOSE(GT114,FN114,FR114,FV114,FZ114,GD114,GH114,GL114,GP114))&lt;=0.005,0,MAX(0,N(CHOOSE(GT114,FN114,FR114,FV114,FZ114,GD114,GH114,GL114,GP114))+N(CHOOSE(GT114,FO114,FS114,FW114,GA114,GE114,GI114,GM114,GQ114))-MIN(N(CHOOSE(GT114,'Debt List'!$F$5,'Debt List'!$F$6,'Debt List'!$F$7,'Debt List'!$F$8,'Debt List'!$F$9,'Debt List'!$F$10,'Debt List'!$F$11,'Debt List'!$F$12)),N(CHOOSE(GT114,FN114,FR114,FV114,FZ114,GD114,GH114,GL114,GP114))+N(CHOOSE(GT114,FO114,FS114,FW114,GA114,GE114,GI114,GM114,GQ114))))),0))</f>
        <v/>
      </c>
      <c r="GV114">
        <f>MIN(N(GU114),MAX(0,N(ExtraPayment)))</f>
        <v/>
      </c>
      <c r="GW114">
        <f>MAX(0,N(ExtraPayment)-N(GV114))</f>
        <v/>
      </c>
      <c r="GX114">
        <f>IFERROR(MATCH(2,OrderAval,0),"")</f>
        <v/>
      </c>
      <c r="GY114">
        <f>IF(GX114="",0,IFERROR(IF(N(CHOOSE(GX114,FN114,FR114,FV114,FZ114,GD114,GH114,GL114,GP114))&lt;=0.005,0,MAX(0,N(CHOOSE(GX114,FN114,FR114,FV114,FZ114,GD114,GH114,GL114,GP114))+N(CHOOSE(GX114,FO114,FS114,FW114,GA114,GE114,GI114,GM114,GQ114))-MIN(N(CHOOSE(GX114,'Debt List'!$F$5,'Debt List'!$F$6,'Debt List'!$F$7,'Debt List'!$F$8,'Debt List'!$F$9,'Debt List'!$F$10,'Debt List'!$F$11,'Debt List'!$F$12)),N(CHOOSE(GX114,FN114,FR114,FV114,FZ114,GD114,GH114,GL114,GP114))+N(CHOOSE(GX114,FO114,FS114,FW114,GA114,GE114,GI114,GM114,GQ114))))),0))</f>
        <v/>
      </c>
      <c r="GZ114">
        <f>MIN(N(GY114),MAX(0,N(GW114)))</f>
        <v/>
      </c>
      <c r="HA114">
        <f>MAX(0,N(GW114)-N(GZ114))</f>
        <v/>
      </c>
      <c r="HB114">
        <f>IFERROR(MATCH(3,OrderAval,0),"")</f>
        <v/>
      </c>
      <c r="HC114">
        <f>IF(HB114="",0,IFERROR(IF(N(CHOOSE(HB114,FN114,FR114,FV114,FZ114,GD114,GH114,GL114,GP114))&lt;=0.005,0,MAX(0,N(CHOOSE(HB114,FN114,FR114,FV114,FZ114,GD114,GH114,GL114,GP114))+N(CHOOSE(HB114,FO114,FS114,FW114,GA114,GE114,GI114,GM114,GQ114))-MIN(N(CHOOSE(HB114,'Debt List'!$F$5,'Debt List'!$F$6,'Debt List'!$F$7,'Debt List'!$F$8,'Debt List'!$F$9,'Debt List'!$F$10,'Debt List'!$F$11,'Debt List'!$F$12)),N(CHOOSE(HB114,FN114,FR114,FV114,FZ114,GD114,GH114,GL114,GP114))+N(CHOOSE(HB114,FO114,FS114,FW114,GA114,GE114,GI114,GM114,GQ114))))),0))</f>
        <v/>
      </c>
      <c r="HD114">
        <f>MIN(N(HC114),MAX(0,N(HA114)))</f>
        <v/>
      </c>
      <c r="HE114">
        <f>MAX(0,N(HA114)-N(HD114))</f>
        <v/>
      </c>
      <c r="HF114">
        <f>IFERROR(MATCH(4,OrderAval,0),"")</f>
        <v/>
      </c>
      <c r="HG114">
        <f>IF(HF114="",0,IFERROR(IF(N(CHOOSE(HF114,FN114,FR114,FV114,FZ114,GD114,GH114,GL114,GP114))&lt;=0.005,0,MAX(0,N(CHOOSE(HF114,FN114,FR114,FV114,FZ114,GD114,GH114,GL114,GP114))+N(CHOOSE(HF114,FO114,FS114,FW114,GA114,GE114,GI114,GM114,GQ114))-MIN(N(CHOOSE(HF114,'Debt List'!$F$5,'Debt List'!$F$6,'Debt List'!$F$7,'Debt List'!$F$8,'Debt List'!$F$9,'Debt List'!$F$10,'Debt List'!$F$11,'Debt List'!$F$12)),N(CHOOSE(HF114,FN114,FR114,FV114,FZ114,GD114,GH114,GL114,GP114))+N(CHOOSE(HF114,FO114,FS114,FW114,GA114,GE114,GI114,GM114,GQ114))))),0))</f>
        <v/>
      </c>
      <c r="HH114">
        <f>MIN(N(HG114),MAX(0,N(HE114)))</f>
        <v/>
      </c>
      <c r="HI114">
        <f>MAX(0,N(HE114)-N(HH114))</f>
        <v/>
      </c>
      <c r="HJ114">
        <f>IFERROR(MATCH(5,OrderAval,0),"")</f>
        <v/>
      </c>
      <c r="HK114">
        <f>IF(HJ114="",0,IFERROR(IF(N(CHOOSE(HJ114,FN114,FR114,FV114,FZ114,GD114,GH114,GL114,GP114))&lt;=0.005,0,MAX(0,N(CHOOSE(HJ114,FN114,FR114,FV114,FZ114,GD114,GH114,GL114,GP114))+N(CHOOSE(HJ114,FO114,FS114,FW114,GA114,GE114,GI114,GM114,GQ114))-MIN(N(CHOOSE(HJ114,'Debt List'!$F$5,'Debt List'!$F$6,'Debt List'!$F$7,'Debt List'!$F$8,'Debt List'!$F$9,'Debt List'!$F$10,'Debt List'!$F$11,'Debt List'!$F$12)),N(CHOOSE(HJ114,FN114,FR114,FV114,FZ114,GD114,GH114,GL114,GP114))+N(CHOOSE(HJ114,FO114,FS114,FW114,GA114,GE114,GI114,GM114,GQ114))))),0))</f>
        <v/>
      </c>
      <c r="HL114">
        <f>MIN(N(HK114),MAX(0,N(HI114)))</f>
        <v/>
      </c>
      <c r="HM114">
        <f>MAX(0,N(HI114)-N(HL114))</f>
        <v/>
      </c>
      <c r="HN114">
        <f>IFERROR(MATCH(6,OrderAval,0),"")</f>
        <v/>
      </c>
      <c r="HO114">
        <f>IF(HN114="",0,IFERROR(IF(N(CHOOSE(HN114,FN114,FR114,FV114,FZ114,GD114,GH114,GL114,GP114))&lt;=0.005,0,MAX(0,N(CHOOSE(HN114,FN114,FR114,FV114,FZ114,GD114,GH114,GL114,GP114))+N(CHOOSE(HN114,FO114,FS114,FW114,GA114,GE114,GI114,GM114,GQ114))-MIN(N(CHOOSE(HN114,'Debt List'!$F$5,'Debt List'!$F$6,'Debt List'!$F$7,'Debt List'!$F$8,'Debt List'!$F$9,'Debt List'!$F$10,'Debt List'!$F$11,'Debt List'!$F$12)),N(CHOOSE(HN114,FN114,FR114,FV114,FZ114,GD114,GH114,GL114,GP114))+N(CHOOSE(HN114,FO114,FS114,FW114,GA114,GE114,GI114,GM114,GQ114))))),0))</f>
        <v/>
      </c>
      <c r="HP114">
        <f>MIN(N(HO114),MAX(0,N(HM114)))</f>
        <v/>
      </c>
      <c r="HQ114">
        <f>MAX(0,N(HM114)-N(HP114))</f>
        <v/>
      </c>
      <c r="HR114">
        <f>IFERROR(MATCH(7,OrderAval,0),"")</f>
        <v/>
      </c>
      <c r="HS114">
        <f>IF(HR114="",0,IFERROR(IF(N(CHOOSE(HR114,FN114,FR114,FV114,FZ114,GD114,GH114,GL114,GP114))&lt;=0.005,0,MAX(0,N(CHOOSE(HR114,FN114,FR114,FV114,FZ114,GD114,GH114,GL114,GP114))+N(CHOOSE(HR114,FO114,FS114,FW114,GA114,GE114,GI114,GM114,GQ114))-MIN(N(CHOOSE(HR114,'Debt List'!$F$5,'Debt List'!$F$6,'Debt List'!$F$7,'Debt List'!$F$8,'Debt List'!$F$9,'Debt List'!$F$10,'Debt List'!$F$11,'Debt List'!$F$12)),N(CHOOSE(HR114,FN114,FR114,FV114,FZ114,GD114,GH114,GL114,GP114))+N(CHOOSE(HR114,FO114,FS114,FW114,GA114,GE114,GI114,GM114,GQ114))))),0))</f>
        <v/>
      </c>
      <c r="HT114">
        <f>MIN(N(HS114),MAX(0,N(HQ114)))</f>
        <v/>
      </c>
      <c r="HU114">
        <f>MAX(0,N(HQ114)-N(HT114))</f>
        <v/>
      </c>
      <c r="HV114">
        <f>IFERROR(MATCH(8,OrderAval,0),"")</f>
        <v/>
      </c>
      <c r="HW114">
        <f>IF(HV114="",0,IFERROR(IF(N(CHOOSE(HV114,FN114,FR114,FV114,FZ114,GD114,GH114,GL114,GP114))&lt;=0.005,0,MAX(0,N(CHOOSE(HV114,FN114,FR114,FV114,FZ114,GD114,GH114,GL114,GP114))+N(CHOOSE(HV114,FO114,FS114,FW114,GA114,GE114,GI114,GM114,GQ114))-MIN(N(CHOOSE(HV114,'Debt List'!$F$5,'Debt List'!$F$6,'Debt List'!$F$7,'Debt List'!$F$8,'Debt List'!$F$9,'Debt List'!$F$10,'Debt List'!$F$11,'Debt List'!$F$12)),N(CHOOSE(HV114,FN114,FR114,FV114,FZ114,GD114,GH114,GL114,GP114))+N(CHOOSE(HV114,FO114,FS114,FW114,GA114,GE114,GI114,GM114,GQ114))))),0))</f>
        <v/>
      </c>
      <c r="HX114">
        <f>MIN(N(HW114),MAX(0,N(HU114)))</f>
        <v/>
      </c>
      <c r="HY114">
        <f>MAX(0,N(HU114)-N(HX114))</f>
        <v/>
      </c>
    </row>
    <row r="115">
      <c r="A115" t="n">
        <v>111</v>
      </c>
      <c r="B115" s="115">
        <f>DATE(YEAR(PlanStart),MONTH(PlanStart)+A115-1,1)</f>
        <v/>
      </c>
      <c r="C115">
        <f>IF(AND(AP115&lt;&gt;"",N(CHOOSE(AP115,J115,N115,R115,V115,Z115,AD115,AH115,AL115))&gt;0.005),INDEX(DebtNames,AP115),IF(AND(AT115&lt;&gt;"",N(CHOOSE(AT115,J115,N115,R115,V115,Z115,AD115,AH115,AL115))&gt;0.005),INDEX(DebtNames,AT115),IF(AND(AX115&lt;&gt;"",N(CHOOSE(AX115,J115,N115,R115,V115,Z115,AD115,AH115,AL115))&gt;0.005),INDEX(DebtNames,AX115),IF(AND(BB115&lt;&gt;"",N(CHOOSE(BB115,J115,N115,R115,V115,Z115,AD115,AH115,AL115))&gt;0.005),INDEX(DebtNames,BB115),IF(AND(BF115&lt;&gt;"",N(CHOOSE(BF115,J115,N115,R115,V115,Z115,AD115,AH115,AL115))&gt;0.005),INDEX(DebtNames,BF115),IF(AND(BJ115&lt;&gt;"",N(CHOOSE(BJ115,J115,N115,R115,V115,Z115,AD115,AH115,AL115))&gt;0.005),INDEX(DebtNames,BJ115),IF(AND(BN115&lt;&gt;"",N(CHOOSE(BN115,J115,N115,R115,V115,Z115,AD115,AH115,AL115))&gt;0.005),INDEX(DebtNames,BN115),IF(AND(BR115&lt;&gt;"",N(CHOOSE(BR115,J115,N115,R115,V115,Z115,AD115,AH115,AL115))&gt;0.005),INDEX(DebtNames,BR115),""))))))))</f>
        <v/>
      </c>
      <c r="D115">
        <f>N(BU115)</f>
        <v/>
      </c>
      <c r="E115">
        <f>N(L115)+N(P115)+N(T115)+N(X115)+N(AB115)+N(AF115)+N(AJ115)+N(AN115)</f>
        <v/>
      </c>
      <c r="F115">
        <f>N(K115)+N(O115)+N(S115)+N(W115)+N(AA115)+N(AE115)+N(AI115)+N(AM115)</f>
        <v/>
      </c>
      <c r="G115">
        <f>N(G114)+N(F115)</f>
        <v/>
      </c>
      <c r="H115">
        <f>N(M115)+N(Q115)+N(U115)+N(Y115)+N(AC115)+N(AG115)+N(AK115)+N(AO115)</f>
        <v/>
      </c>
      <c r="I115">
        <f>(M115&gt;0.005)*1+(Q115&gt;0.005)*1+(U115&gt;0.005)*1+(Y115&gt;0.005)*1+(AC115&gt;0.005)*1+(AG115&gt;0.005)*1+(AK115&gt;0.005)*1+(AO115&gt;0.005)*1</f>
        <v/>
      </c>
      <c r="J115">
        <f>N(M114)</f>
        <v/>
      </c>
      <c r="K115">
        <f>IF(N(J115)&lt;=0.005,0,ROUND(N(J115)*N('Debt List'!E5)/12,2))</f>
        <v/>
      </c>
      <c r="L115">
        <f>IF(N(J115)&lt;=0.005,0,MIN(N('Debt List'!F5),N(J115)+N(K115)))+((AP115=1)*AR115+(AT115=1)*AV115+(AX115=1)*AZ115+(BB115=1)*BD115+(BF115=1)*BH115+(BJ115=1)*BL115+(BN115=1)*BP115+(BR115=1)*BT115)</f>
        <v/>
      </c>
      <c r="M115">
        <f>MAX(0,ROUND(N(J115)+N(K115)-N(L115),2))</f>
        <v/>
      </c>
      <c r="N115">
        <f>N(Q114)</f>
        <v/>
      </c>
      <c r="O115">
        <f>IF(N(N115)&lt;=0.005,0,ROUND(N(N115)*N('Debt List'!E6)/12,2))</f>
        <v/>
      </c>
      <c r="P115">
        <f>IF(N(N115)&lt;=0.005,0,MIN(N('Debt List'!F6),N(N115)+N(O115)))+((AP115=2)*AR115+(AT115=2)*AV115+(AX115=2)*AZ115+(BB115=2)*BD115+(BF115=2)*BH115+(BJ115=2)*BL115+(BN115=2)*BP115+(BR115=2)*BT115)</f>
        <v/>
      </c>
      <c r="Q115">
        <f>MAX(0,ROUND(N(N115)+N(O115)-N(P115),2))</f>
        <v/>
      </c>
      <c r="R115">
        <f>N(U114)</f>
        <v/>
      </c>
      <c r="S115">
        <f>IF(N(R115)&lt;=0.005,0,ROUND(N(R115)*N('Debt List'!E7)/12,2))</f>
        <v/>
      </c>
      <c r="T115">
        <f>IF(N(R115)&lt;=0.005,0,MIN(N('Debt List'!F7),N(R115)+N(S115)))+((AP115=3)*AR115+(AT115=3)*AV115+(AX115=3)*AZ115+(BB115=3)*BD115+(BF115=3)*BH115+(BJ115=3)*BL115+(BN115=3)*BP115+(BR115=3)*BT115)</f>
        <v/>
      </c>
      <c r="U115">
        <f>MAX(0,ROUND(N(R115)+N(S115)-N(T115),2))</f>
        <v/>
      </c>
      <c r="V115">
        <f>N(Y114)</f>
        <v/>
      </c>
      <c r="W115">
        <f>IF(N(V115)&lt;=0.005,0,ROUND(N(V115)*N('Debt List'!E8)/12,2))</f>
        <v/>
      </c>
      <c r="X115">
        <f>IF(N(V115)&lt;=0.005,0,MIN(N('Debt List'!F8),N(V115)+N(W115)))+((AP115=4)*AR115+(AT115=4)*AV115+(AX115=4)*AZ115+(BB115=4)*BD115+(BF115=4)*BH115+(BJ115=4)*BL115+(BN115=4)*BP115+(BR115=4)*BT115)</f>
        <v/>
      </c>
      <c r="Y115">
        <f>MAX(0,ROUND(N(V115)+N(W115)-N(X115),2))</f>
        <v/>
      </c>
      <c r="Z115">
        <f>N(AC114)</f>
        <v/>
      </c>
      <c r="AA115">
        <f>IF(N(Z115)&lt;=0.005,0,ROUND(N(Z115)*N('Debt List'!E9)/12,2))</f>
        <v/>
      </c>
      <c r="AB115">
        <f>IF(N(Z115)&lt;=0.005,0,MIN(N('Debt List'!F9),N(Z115)+N(AA115)))+((AP115=5)*AR115+(AT115=5)*AV115+(AX115=5)*AZ115+(BB115=5)*BD115+(BF115=5)*BH115+(BJ115=5)*BL115+(BN115=5)*BP115+(BR115=5)*BT115)</f>
        <v/>
      </c>
      <c r="AC115">
        <f>MAX(0,ROUND(N(Z115)+N(AA115)-N(AB115),2))</f>
        <v/>
      </c>
      <c r="AD115">
        <f>N(AG114)</f>
        <v/>
      </c>
      <c r="AE115">
        <f>IF(N(AD115)&lt;=0.005,0,ROUND(N(AD115)*N('Debt List'!E10)/12,2))</f>
        <v/>
      </c>
      <c r="AF115">
        <f>IF(N(AD115)&lt;=0.005,0,MIN(N('Debt List'!F10),N(AD115)+N(AE115)))+((AP115=6)*AR115+(AT115=6)*AV115+(AX115=6)*AZ115+(BB115=6)*BD115+(BF115=6)*BH115+(BJ115=6)*BL115+(BN115=6)*BP115+(BR115=6)*BT115)</f>
        <v/>
      </c>
      <c r="AG115">
        <f>MAX(0,ROUND(N(AD115)+N(AE115)-N(AF115),2))</f>
        <v/>
      </c>
      <c r="AH115">
        <f>N(AK114)</f>
        <v/>
      </c>
      <c r="AI115">
        <f>IF(N(AH115)&lt;=0.005,0,ROUND(N(AH115)*N('Debt List'!E11)/12,2))</f>
        <v/>
      </c>
      <c r="AJ115">
        <f>IF(N(AH115)&lt;=0.005,0,MIN(N('Debt List'!F11),N(AH115)+N(AI115)))+((AP115=7)*AR115+(AT115=7)*AV115+(AX115=7)*AZ115+(BB115=7)*BD115+(BF115=7)*BH115+(BJ115=7)*BL115+(BN115=7)*BP115+(BR115=7)*BT115)</f>
        <v/>
      </c>
      <c r="AK115">
        <f>MAX(0,ROUND(N(AH115)+N(AI115)-N(AJ115),2))</f>
        <v/>
      </c>
      <c r="AL115">
        <f>N(AO114)</f>
        <v/>
      </c>
      <c r="AM115">
        <f>IF(N(AL115)&lt;=0.005,0,ROUND(N(AL115)*N('Debt List'!E12)/12,2))</f>
        <v/>
      </c>
      <c r="AN115">
        <f>IF(N(AL115)&lt;=0.005,0,MIN(N('Debt List'!F12),N(AL115)+N(AM115)))+((AP115=8)*AR115+(AT115=8)*AV115+(AX115=8)*AZ115+(BB115=8)*BD115+(BF115=8)*BH115+(BJ115=8)*BL115+(BN115=8)*BP115+(BR115=8)*BT115)</f>
        <v/>
      </c>
      <c r="AO115">
        <f>MAX(0,ROUND(N(AL115)+N(AM115)-N(AN115),2))</f>
        <v/>
      </c>
      <c r="AP115">
        <f>IFERROR(MATCH(1,OrderPlan,0),"")</f>
        <v/>
      </c>
      <c r="AQ115">
        <f>IF(AP115="",0,IFERROR(IF(N(CHOOSE(AP115,J115,N115,R115,V115,Z115,AD115,AH115,AL115))&lt;=0.005,0,MAX(0,N(CHOOSE(AP115,J115,N115,R115,V115,Z115,AD115,AH115,AL115))+N(CHOOSE(AP115,K115,O115,S115,W115,AA115,AE115,AI115,AM115))-MIN(N(CHOOSE(AP115,'Debt List'!$F$5,'Debt List'!$F$6,'Debt List'!$F$7,'Debt List'!$F$8,'Debt List'!$F$9,'Debt List'!$F$10,'Debt List'!$F$11,'Debt List'!$F$12)),N(CHOOSE(AP115,J115,N115,R115,V115,Z115,AD115,AH115,AL115))+N(CHOOSE(AP115,K115,O115,S115,W115,AA115,AE115,AI115,AM115))))),0))</f>
        <v/>
      </c>
      <c r="AR115">
        <f>MIN(N(AQ115),MAX(0,N(ExtraPayment)))</f>
        <v/>
      </c>
      <c r="AS115">
        <f>MAX(0,N(ExtraPayment)-N(AR115))</f>
        <v/>
      </c>
      <c r="AT115">
        <f>IFERROR(MATCH(2,OrderPlan,0),"")</f>
        <v/>
      </c>
      <c r="AU115">
        <f>IF(AT115="",0,IFERROR(IF(N(CHOOSE(AT115,J115,N115,R115,V115,Z115,AD115,AH115,AL115))&lt;=0.005,0,MAX(0,N(CHOOSE(AT115,J115,N115,R115,V115,Z115,AD115,AH115,AL115))+N(CHOOSE(AT115,K115,O115,S115,W115,AA115,AE115,AI115,AM115))-MIN(N(CHOOSE(AT115,'Debt List'!$F$5,'Debt List'!$F$6,'Debt List'!$F$7,'Debt List'!$F$8,'Debt List'!$F$9,'Debt List'!$F$10,'Debt List'!$F$11,'Debt List'!$F$12)),N(CHOOSE(AT115,J115,N115,R115,V115,Z115,AD115,AH115,AL115))+N(CHOOSE(AT115,K115,O115,S115,W115,AA115,AE115,AI115,AM115))))),0))</f>
        <v/>
      </c>
      <c r="AV115">
        <f>MIN(N(AU115),MAX(0,N(AS115)))</f>
        <v/>
      </c>
      <c r="AW115">
        <f>MAX(0,N(AS115)-N(AV115))</f>
        <v/>
      </c>
      <c r="AX115">
        <f>IFERROR(MATCH(3,OrderPlan,0),"")</f>
        <v/>
      </c>
      <c r="AY115">
        <f>IF(AX115="",0,IFERROR(IF(N(CHOOSE(AX115,J115,N115,R115,V115,Z115,AD115,AH115,AL115))&lt;=0.005,0,MAX(0,N(CHOOSE(AX115,J115,N115,R115,V115,Z115,AD115,AH115,AL115))+N(CHOOSE(AX115,K115,O115,S115,W115,AA115,AE115,AI115,AM115))-MIN(N(CHOOSE(AX115,'Debt List'!$F$5,'Debt List'!$F$6,'Debt List'!$F$7,'Debt List'!$F$8,'Debt List'!$F$9,'Debt List'!$F$10,'Debt List'!$F$11,'Debt List'!$F$12)),N(CHOOSE(AX115,J115,N115,R115,V115,Z115,AD115,AH115,AL115))+N(CHOOSE(AX115,K115,O115,S115,W115,AA115,AE115,AI115,AM115))))),0))</f>
        <v/>
      </c>
      <c r="AZ115">
        <f>MIN(N(AY115),MAX(0,N(AW115)))</f>
        <v/>
      </c>
      <c r="BA115">
        <f>MAX(0,N(AW115)-N(AZ115))</f>
        <v/>
      </c>
      <c r="BB115">
        <f>IFERROR(MATCH(4,OrderPlan,0),"")</f>
        <v/>
      </c>
      <c r="BC115">
        <f>IF(BB115="",0,IFERROR(IF(N(CHOOSE(BB115,J115,N115,R115,V115,Z115,AD115,AH115,AL115))&lt;=0.005,0,MAX(0,N(CHOOSE(BB115,J115,N115,R115,V115,Z115,AD115,AH115,AL115))+N(CHOOSE(BB115,K115,O115,S115,W115,AA115,AE115,AI115,AM115))-MIN(N(CHOOSE(BB115,'Debt List'!$F$5,'Debt List'!$F$6,'Debt List'!$F$7,'Debt List'!$F$8,'Debt List'!$F$9,'Debt List'!$F$10,'Debt List'!$F$11,'Debt List'!$F$12)),N(CHOOSE(BB115,J115,N115,R115,V115,Z115,AD115,AH115,AL115))+N(CHOOSE(BB115,K115,O115,S115,W115,AA115,AE115,AI115,AM115))))),0))</f>
        <v/>
      </c>
      <c r="BD115">
        <f>MIN(N(BC115),MAX(0,N(BA115)))</f>
        <v/>
      </c>
      <c r="BE115">
        <f>MAX(0,N(BA115)-N(BD115))</f>
        <v/>
      </c>
      <c r="BF115">
        <f>IFERROR(MATCH(5,OrderPlan,0),"")</f>
        <v/>
      </c>
      <c r="BG115">
        <f>IF(BF115="",0,IFERROR(IF(N(CHOOSE(BF115,J115,N115,R115,V115,Z115,AD115,AH115,AL115))&lt;=0.005,0,MAX(0,N(CHOOSE(BF115,J115,N115,R115,V115,Z115,AD115,AH115,AL115))+N(CHOOSE(BF115,K115,O115,S115,W115,AA115,AE115,AI115,AM115))-MIN(N(CHOOSE(BF115,'Debt List'!$F$5,'Debt List'!$F$6,'Debt List'!$F$7,'Debt List'!$F$8,'Debt List'!$F$9,'Debt List'!$F$10,'Debt List'!$F$11,'Debt List'!$F$12)),N(CHOOSE(BF115,J115,N115,R115,V115,Z115,AD115,AH115,AL115))+N(CHOOSE(BF115,K115,O115,S115,W115,AA115,AE115,AI115,AM115))))),0))</f>
        <v/>
      </c>
      <c r="BH115">
        <f>MIN(N(BG115),MAX(0,N(BE115)))</f>
        <v/>
      </c>
      <c r="BI115">
        <f>MAX(0,N(BE115)-N(BH115))</f>
        <v/>
      </c>
      <c r="BJ115">
        <f>IFERROR(MATCH(6,OrderPlan,0),"")</f>
        <v/>
      </c>
      <c r="BK115">
        <f>IF(BJ115="",0,IFERROR(IF(N(CHOOSE(BJ115,J115,N115,R115,V115,Z115,AD115,AH115,AL115))&lt;=0.005,0,MAX(0,N(CHOOSE(BJ115,J115,N115,R115,V115,Z115,AD115,AH115,AL115))+N(CHOOSE(BJ115,K115,O115,S115,W115,AA115,AE115,AI115,AM115))-MIN(N(CHOOSE(BJ115,'Debt List'!$F$5,'Debt List'!$F$6,'Debt List'!$F$7,'Debt List'!$F$8,'Debt List'!$F$9,'Debt List'!$F$10,'Debt List'!$F$11,'Debt List'!$F$12)),N(CHOOSE(BJ115,J115,N115,R115,V115,Z115,AD115,AH115,AL115))+N(CHOOSE(BJ115,K115,O115,S115,W115,AA115,AE115,AI115,AM115))))),0))</f>
        <v/>
      </c>
      <c r="BL115">
        <f>MIN(N(BK115),MAX(0,N(BI115)))</f>
        <v/>
      </c>
      <c r="BM115">
        <f>MAX(0,N(BI115)-N(BL115))</f>
        <v/>
      </c>
      <c r="BN115">
        <f>IFERROR(MATCH(7,OrderPlan,0),"")</f>
        <v/>
      </c>
      <c r="BO115">
        <f>IF(BN115="",0,IFERROR(IF(N(CHOOSE(BN115,J115,N115,R115,V115,Z115,AD115,AH115,AL115))&lt;=0.005,0,MAX(0,N(CHOOSE(BN115,J115,N115,R115,V115,Z115,AD115,AH115,AL115))+N(CHOOSE(BN115,K115,O115,S115,W115,AA115,AE115,AI115,AM115))-MIN(N(CHOOSE(BN115,'Debt List'!$F$5,'Debt List'!$F$6,'Debt List'!$F$7,'Debt List'!$F$8,'Debt List'!$F$9,'Debt List'!$F$10,'Debt List'!$F$11,'Debt List'!$F$12)),N(CHOOSE(BN115,J115,N115,R115,V115,Z115,AD115,AH115,AL115))+N(CHOOSE(BN115,K115,O115,S115,W115,AA115,AE115,AI115,AM115))))),0))</f>
        <v/>
      </c>
      <c r="BP115">
        <f>MIN(N(BO115),MAX(0,N(BM115)))</f>
        <v/>
      </c>
      <c r="BQ115">
        <f>MAX(0,N(BM115)-N(BP115))</f>
        <v/>
      </c>
      <c r="BR115">
        <f>IFERROR(MATCH(8,OrderPlan,0),"")</f>
        <v/>
      </c>
      <c r="BS115">
        <f>IF(BR115="",0,IFERROR(IF(N(CHOOSE(BR115,J115,N115,R115,V115,Z115,AD115,AH115,AL115))&lt;=0.005,0,MAX(0,N(CHOOSE(BR115,J115,N115,R115,V115,Z115,AD115,AH115,AL115))+N(CHOOSE(BR115,K115,O115,S115,W115,AA115,AE115,AI115,AM115))-MIN(N(CHOOSE(BR115,'Debt List'!$F$5,'Debt List'!$F$6,'Debt List'!$F$7,'Debt List'!$F$8,'Debt List'!$F$9,'Debt List'!$F$10,'Debt List'!$F$11,'Debt List'!$F$12)),N(CHOOSE(BR115,J115,N115,R115,V115,Z115,AD115,AH115,AL115))+N(CHOOSE(BR115,K115,O115,S115,W115,AA115,AE115,AI115,AM115))))),0))</f>
        <v/>
      </c>
      <c r="BT115">
        <f>MIN(N(BS115),MAX(0,N(BQ115)))</f>
        <v/>
      </c>
      <c r="BU115">
        <f>MAX(0,N(BQ115)-N(BT115))</f>
        <v/>
      </c>
      <c r="CC115" t="n">
        <v>111</v>
      </c>
      <c r="CD115" s="115">
        <f>DATE(YEAR(PlanStart),MONTH(PlanStart)+CC115-1,1)</f>
        <v/>
      </c>
      <c r="CE115">
        <f>IF(AND(DR115&lt;&gt;"",N(CHOOSE(DR115,CL115,CP115,CT115,CX115,DB115,DF115,DJ115,DN115))&gt;0.005),INDEX(DebtNames,DR115),IF(AND(DV115&lt;&gt;"",N(CHOOSE(DV115,CL115,CP115,CT115,CX115,DB115,DF115,DJ115,DN115))&gt;0.005),INDEX(DebtNames,DV115),IF(AND(DZ115&lt;&gt;"",N(CHOOSE(DZ115,CL115,CP115,CT115,CX115,DB115,DF115,DJ115,DN115))&gt;0.005),INDEX(DebtNames,DZ115),IF(AND(ED115&lt;&gt;"",N(CHOOSE(ED115,CL115,CP115,CT115,CX115,DB115,DF115,DJ115,DN115))&gt;0.005),INDEX(DebtNames,ED115),IF(AND(EH115&lt;&gt;"",N(CHOOSE(EH115,CL115,CP115,CT115,CX115,DB115,DF115,DJ115,DN115))&gt;0.005),INDEX(DebtNames,EH115),IF(AND(EL115&lt;&gt;"",N(CHOOSE(EL115,CL115,CP115,CT115,CX115,DB115,DF115,DJ115,DN115))&gt;0.005),INDEX(DebtNames,EL115),IF(AND(EP115&lt;&gt;"",N(CHOOSE(EP115,CL115,CP115,CT115,CX115,DB115,DF115,DJ115,DN115))&gt;0.005),INDEX(DebtNames,EP115),IF(AND(ET115&lt;&gt;"",N(CHOOSE(ET115,CL115,CP115,CT115,CX115,DB115,DF115,DJ115,DN115))&gt;0.005),INDEX(DebtNames,ET115),""))))))))</f>
        <v/>
      </c>
      <c r="CF115">
        <f>N(EW115)</f>
        <v/>
      </c>
      <c r="CG115">
        <f>N(CN115)+N(CR115)+N(CV115)+N(CZ115)+N(DD115)+N(DH115)+N(DL115)+N(DP115)</f>
        <v/>
      </c>
      <c r="CH115">
        <f>N(CM115)+N(CQ115)+N(CU115)+N(CY115)+N(DC115)+N(DG115)+N(DK115)+N(DO115)</f>
        <v/>
      </c>
      <c r="CI115">
        <f>N(CI114)+N(CH115)</f>
        <v/>
      </c>
      <c r="CJ115">
        <f>N(CO115)+N(CS115)+N(CW115)+N(DA115)+N(DE115)+N(DI115)+N(DM115)+N(DQ115)</f>
        <v/>
      </c>
      <c r="CK115">
        <f>(CO115&gt;0.005)*1+(CS115&gt;0.005)*1+(CW115&gt;0.005)*1+(DA115&gt;0.005)*1+(DE115&gt;0.005)*1+(DI115&gt;0.005)*1+(DM115&gt;0.005)*1+(DQ115&gt;0.005)*1</f>
        <v/>
      </c>
      <c r="CL115">
        <f>N(CO114)</f>
        <v/>
      </c>
      <c r="CM115">
        <f>IF(N(CL115)&lt;=0.005,0,ROUND(N(CL115)*N('Debt List'!E5)/12,2))</f>
        <v/>
      </c>
      <c r="CN115">
        <f>IF(N(CL115)&lt;=0.005,0,MIN(N('Debt List'!F5),N(CL115)+N(CM115)))+((DR115=1)*DT115+(DV115=1)*DX115+(DZ115=1)*EB115+(ED115=1)*EF115+(EH115=1)*EJ115+(EL115=1)*EN115+(EP115=1)*ER115+(ET115=1)*EV115)</f>
        <v/>
      </c>
      <c r="CO115">
        <f>MAX(0,ROUND(N(CL115)+N(CM115)-N(CN115),2))</f>
        <v/>
      </c>
      <c r="CP115">
        <f>N(CS114)</f>
        <v/>
      </c>
      <c r="CQ115">
        <f>IF(N(CP115)&lt;=0.005,0,ROUND(N(CP115)*N('Debt List'!E6)/12,2))</f>
        <v/>
      </c>
      <c r="CR115">
        <f>IF(N(CP115)&lt;=0.005,0,MIN(N('Debt List'!F6),N(CP115)+N(CQ115)))+((DR115=2)*DT115+(DV115=2)*DX115+(DZ115=2)*EB115+(ED115=2)*EF115+(EH115=2)*EJ115+(EL115=2)*EN115+(EP115=2)*ER115+(ET115=2)*EV115)</f>
        <v/>
      </c>
      <c r="CS115">
        <f>MAX(0,ROUND(N(CP115)+N(CQ115)-N(CR115),2))</f>
        <v/>
      </c>
      <c r="CT115">
        <f>N(CW114)</f>
        <v/>
      </c>
      <c r="CU115">
        <f>IF(N(CT115)&lt;=0.005,0,ROUND(N(CT115)*N('Debt List'!E7)/12,2))</f>
        <v/>
      </c>
      <c r="CV115">
        <f>IF(N(CT115)&lt;=0.005,0,MIN(N('Debt List'!F7),N(CT115)+N(CU115)))+((DR115=3)*DT115+(DV115=3)*DX115+(DZ115=3)*EB115+(ED115=3)*EF115+(EH115=3)*EJ115+(EL115=3)*EN115+(EP115=3)*ER115+(ET115=3)*EV115)</f>
        <v/>
      </c>
      <c r="CW115">
        <f>MAX(0,ROUND(N(CT115)+N(CU115)-N(CV115),2))</f>
        <v/>
      </c>
      <c r="CX115">
        <f>N(DA114)</f>
        <v/>
      </c>
      <c r="CY115">
        <f>IF(N(CX115)&lt;=0.005,0,ROUND(N(CX115)*N('Debt List'!E8)/12,2))</f>
        <v/>
      </c>
      <c r="CZ115">
        <f>IF(N(CX115)&lt;=0.005,0,MIN(N('Debt List'!F8),N(CX115)+N(CY115)))+((DR115=4)*DT115+(DV115=4)*DX115+(DZ115=4)*EB115+(ED115=4)*EF115+(EH115=4)*EJ115+(EL115=4)*EN115+(EP115=4)*ER115+(ET115=4)*EV115)</f>
        <v/>
      </c>
      <c r="DA115">
        <f>MAX(0,ROUND(N(CX115)+N(CY115)-N(CZ115),2))</f>
        <v/>
      </c>
      <c r="DB115">
        <f>N(DE114)</f>
        <v/>
      </c>
      <c r="DC115">
        <f>IF(N(DB115)&lt;=0.005,0,ROUND(N(DB115)*N('Debt List'!E9)/12,2))</f>
        <v/>
      </c>
      <c r="DD115">
        <f>IF(N(DB115)&lt;=0.005,0,MIN(N('Debt List'!F9),N(DB115)+N(DC115)))+((DR115=5)*DT115+(DV115=5)*DX115+(DZ115=5)*EB115+(ED115=5)*EF115+(EH115=5)*EJ115+(EL115=5)*EN115+(EP115=5)*ER115+(ET115=5)*EV115)</f>
        <v/>
      </c>
      <c r="DE115">
        <f>MAX(0,ROUND(N(DB115)+N(DC115)-N(DD115),2))</f>
        <v/>
      </c>
      <c r="DF115">
        <f>N(DI114)</f>
        <v/>
      </c>
      <c r="DG115">
        <f>IF(N(DF115)&lt;=0.005,0,ROUND(N(DF115)*N('Debt List'!E10)/12,2))</f>
        <v/>
      </c>
      <c r="DH115">
        <f>IF(N(DF115)&lt;=0.005,0,MIN(N('Debt List'!F10),N(DF115)+N(DG115)))+((DR115=6)*DT115+(DV115=6)*DX115+(DZ115=6)*EB115+(ED115=6)*EF115+(EH115=6)*EJ115+(EL115=6)*EN115+(EP115=6)*ER115+(ET115=6)*EV115)</f>
        <v/>
      </c>
      <c r="DI115">
        <f>MAX(0,ROUND(N(DF115)+N(DG115)-N(DH115),2))</f>
        <v/>
      </c>
      <c r="DJ115">
        <f>N(DM114)</f>
        <v/>
      </c>
      <c r="DK115">
        <f>IF(N(DJ115)&lt;=0.005,0,ROUND(N(DJ115)*N('Debt List'!E11)/12,2))</f>
        <v/>
      </c>
      <c r="DL115">
        <f>IF(N(DJ115)&lt;=0.005,0,MIN(N('Debt List'!F11),N(DJ115)+N(DK115)))+((DR115=7)*DT115+(DV115=7)*DX115+(DZ115=7)*EB115+(ED115=7)*EF115+(EH115=7)*EJ115+(EL115=7)*EN115+(EP115=7)*ER115+(ET115=7)*EV115)</f>
        <v/>
      </c>
      <c r="DM115">
        <f>MAX(0,ROUND(N(DJ115)+N(DK115)-N(DL115),2))</f>
        <v/>
      </c>
      <c r="DN115">
        <f>N(DQ114)</f>
        <v/>
      </c>
      <c r="DO115">
        <f>IF(N(DN115)&lt;=0.005,0,ROUND(N(DN115)*N('Debt List'!E12)/12,2))</f>
        <v/>
      </c>
      <c r="DP115">
        <f>IF(N(DN115)&lt;=0.005,0,MIN(N('Debt List'!F12),N(DN115)+N(DO115)))+((DR115=8)*DT115+(DV115=8)*DX115+(DZ115=8)*EB115+(ED115=8)*EF115+(EH115=8)*EJ115+(EL115=8)*EN115+(EP115=8)*ER115+(ET115=8)*EV115)</f>
        <v/>
      </c>
      <c r="DQ115">
        <f>MAX(0,ROUND(N(DN115)+N(DO115)-N(DP115),2))</f>
        <v/>
      </c>
      <c r="DR115">
        <f>IFERROR(MATCH(1,OrderSnow,0),"")</f>
        <v/>
      </c>
      <c r="DS115">
        <f>IF(DR115="",0,IFERROR(IF(N(CHOOSE(DR115,CL115,CP115,CT115,CX115,DB115,DF115,DJ115,DN115))&lt;=0.005,0,MAX(0,N(CHOOSE(DR115,CL115,CP115,CT115,CX115,DB115,DF115,DJ115,DN115))+N(CHOOSE(DR115,CM115,CQ115,CU115,CY115,DC115,DG115,DK115,DO115))-MIN(N(CHOOSE(DR115,'Debt List'!$F$5,'Debt List'!$F$6,'Debt List'!$F$7,'Debt List'!$F$8,'Debt List'!$F$9,'Debt List'!$F$10,'Debt List'!$F$11,'Debt List'!$F$12)),N(CHOOSE(DR115,CL115,CP115,CT115,CX115,DB115,DF115,DJ115,DN115))+N(CHOOSE(DR115,CM115,CQ115,CU115,CY115,DC115,DG115,DK115,DO115))))),0))</f>
        <v/>
      </c>
      <c r="DT115">
        <f>MIN(N(DS115),MAX(0,N(ExtraPayment)))</f>
        <v/>
      </c>
      <c r="DU115">
        <f>MAX(0,N(ExtraPayment)-N(DT115))</f>
        <v/>
      </c>
      <c r="DV115">
        <f>IFERROR(MATCH(2,OrderSnow,0),"")</f>
        <v/>
      </c>
      <c r="DW115">
        <f>IF(DV115="",0,IFERROR(IF(N(CHOOSE(DV115,CL115,CP115,CT115,CX115,DB115,DF115,DJ115,DN115))&lt;=0.005,0,MAX(0,N(CHOOSE(DV115,CL115,CP115,CT115,CX115,DB115,DF115,DJ115,DN115))+N(CHOOSE(DV115,CM115,CQ115,CU115,CY115,DC115,DG115,DK115,DO115))-MIN(N(CHOOSE(DV115,'Debt List'!$F$5,'Debt List'!$F$6,'Debt List'!$F$7,'Debt List'!$F$8,'Debt List'!$F$9,'Debt List'!$F$10,'Debt List'!$F$11,'Debt List'!$F$12)),N(CHOOSE(DV115,CL115,CP115,CT115,CX115,DB115,DF115,DJ115,DN115))+N(CHOOSE(DV115,CM115,CQ115,CU115,CY115,DC115,DG115,DK115,DO115))))),0))</f>
        <v/>
      </c>
      <c r="DX115">
        <f>MIN(N(DW115),MAX(0,N(DU115)))</f>
        <v/>
      </c>
      <c r="DY115">
        <f>MAX(0,N(DU115)-N(DX115))</f>
        <v/>
      </c>
      <c r="DZ115">
        <f>IFERROR(MATCH(3,OrderSnow,0),"")</f>
        <v/>
      </c>
      <c r="EA115">
        <f>IF(DZ115="",0,IFERROR(IF(N(CHOOSE(DZ115,CL115,CP115,CT115,CX115,DB115,DF115,DJ115,DN115))&lt;=0.005,0,MAX(0,N(CHOOSE(DZ115,CL115,CP115,CT115,CX115,DB115,DF115,DJ115,DN115))+N(CHOOSE(DZ115,CM115,CQ115,CU115,CY115,DC115,DG115,DK115,DO115))-MIN(N(CHOOSE(DZ115,'Debt List'!$F$5,'Debt List'!$F$6,'Debt List'!$F$7,'Debt List'!$F$8,'Debt List'!$F$9,'Debt List'!$F$10,'Debt List'!$F$11,'Debt List'!$F$12)),N(CHOOSE(DZ115,CL115,CP115,CT115,CX115,DB115,DF115,DJ115,DN115))+N(CHOOSE(DZ115,CM115,CQ115,CU115,CY115,DC115,DG115,DK115,DO115))))),0))</f>
        <v/>
      </c>
      <c r="EB115">
        <f>MIN(N(EA115),MAX(0,N(DY115)))</f>
        <v/>
      </c>
      <c r="EC115">
        <f>MAX(0,N(DY115)-N(EB115))</f>
        <v/>
      </c>
      <c r="ED115">
        <f>IFERROR(MATCH(4,OrderSnow,0),"")</f>
        <v/>
      </c>
      <c r="EE115">
        <f>IF(ED115="",0,IFERROR(IF(N(CHOOSE(ED115,CL115,CP115,CT115,CX115,DB115,DF115,DJ115,DN115))&lt;=0.005,0,MAX(0,N(CHOOSE(ED115,CL115,CP115,CT115,CX115,DB115,DF115,DJ115,DN115))+N(CHOOSE(ED115,CM115,CQ115,CU115,CY115,DC115,DG115,DK115,DO115))-MIN(N(CHOOSE(ED115,'Debt List'!$F$5,'Debt List'!$F$6,'Debt List'!$F$7,'Debt List'!$F$8,'Debt List'!$F$9,'Debt List'!$F$10,'Debt List'!$F$11,'Debt List'!$F$12)),N(CHOOSE(ED115,CL115,CP115,CT115,CX115,DB115,DF115,DJ115,DN115))+N(CHOOSE(ED115,CM115,CQ115,CU115,CY115,DC115,DG115,DK115,DO115))))),0))</f>
        <v/>
      </c>
      <c r="EF115">
        <f>MIN(N(EE115),MAX(0,N(EC115)))</f>
        <v/>
      </c>
      <c r="EG115">
        <f>MAX(0,N(EC115)-N(EF115))</f>
        <v/>
      </c>
      <c r="EH115">
        <f>IFERROR(MATCH(5,OrderSnow,0),"")</f>
        <v/>
      </c>
      <c r="EI115">
        <f>IF(EH115="",0,IFERROR(IF(N(CHOOSE(EH115,CL115,CP115,CT115,CX115,DB115,DF115,DJ115,DN115))&lt;=0.005,0,MAX(0,N(CHOOSE(EH115,CL115,CP115,CT115,CX115,DB115,DF115,DJ115,DN115))+N(CHOOSE(EH115,CM115,CQ115,CU115,CY115,DC115,DG115,DK115,DO115))-MIN(N(CHOOSE(EH115,'Debt List'!$F$5,'Debt List'!$F$6,'Debt List'!$F$7,'Debt List'!$F$8,'Debt List'!$F$9,'Debt List'!$F$10,'Debt List'!$F$11,'Debt List'!$F$12)),N(CHOOSE(EH115,CL115,CP115,CT115,CX115,DB115,DF115,DJ115,DN115))+N(CHOOSE(EH115,CM115,CQ115,CU115,CY115,DC115,DG115,DK115,DO115))))),0))</f>
        <v/>
      </c>
      <c r="EJ115">
        <f>MIN(N(EI115),MAX(0,N(EG115)))</f>
        <v/>
      </c>
      <c r="EK115">
        <f>MAX(0,N(EG115)-N(EJ115))</f>
        <v/>
      </c>
      <c r="EL115">
        <f>IFERROR(MATCH(6,OrderSnow,0),"")</f>
        <v/>
      </c>
      <c r="EM115">
        <f>IF(EL115="",0,IFERROR(IF(N(CHOOSE(EL115,CL115,CP115,CT115,CX115,DB115,DF115,DJ115,DN115))&lt;=0.005,0,MAX(0,N(CHOOSE(EL115,CL115,CP115,CT115,CX115,DB115,DF115,DJ115,DN115))+N(CHOOSE(EL115,CM115,CQ115,CU115,CY115,DC115,DG115,DK115,DO115))-MIN(N(CHOOSE(EL115,'Debt List'!$F$5,'Debt List'!$F$6,'Debt List'!$F$7,'Debt List'!$F$8,'Debt List'!$F$9,'Debt List'!$F$10,'Debt List'!$F$11,'Debt List'!$F$12)),N(CHOOSE(EL115,CL115,CP115,CT115,CX115,DB115,DF115,DJ115,DN115))+N(CHOOSE(EL115,CM115,CQ115,CU115,CY115,DC115,DG115,DK115,DO115))))),0))</f>
        <v/>
      </c>
      <c r="EN115">
        <f>MIN(N(EM115),MAX(0,N(EK115)))</f>
        <v/>
      </c>
      <c r="EO115">
        <f>MAX(0,N(EK115)-N(EN115))</f>
        <v/>
      </c>
      <c r="EP115">
        <f>IFERROR(MATCH(7,OrderSnow,0),"")</f>
        <v/>
      </c>
      <c r="EQ115">
        <f>IF(EP115="",0,IFERROR(IF(N(CHOOSE(EP115,CL115,CP115,CT115,CX115,DB115,DF115,DJ115,DN115))&lt;=0.005,0,MAX(0,N(CHOOSE(EP115,CL115,CP115,CT115,CX115,DB115,DF115,DJ115,DN115))+N(CHOOSE(EP115,CM115,CQ115,CU115,CY115,DC115,DG115,DK115,DO115))-MIN(N(CHOOSE(EP115,'Debt List'!$F$5,'Debt List'!$F$6,'Debt List'!$F$7,'Debt List'!$F$8,'Debt List'!$F$9,'Debt List'!$F$10,'Debt List'!$F$11,'Debt List'!$F$12)),N(CHOOSE(EP115,CL115,CP115,CT115,CX115,DB115,DF115,DJ115,DN115))+N(CHOOSE(EP115,CM115,CQ115,CU115,CY115,DC115,DG115,DK115,DO115))))),0))</f>
        <v/>
      </c>
      <c r="ER115">
        <f>MIN(N(EQ115),MAX(0,N(EO115)))</f>
        <v/>
      </c>
      <c r="ES115">
        <f>MAX(0,N(EO115)-N(ER115))</f>
        <v/>
      </c>
      <c r="ET115">
        <f>IFERROR(MATCH(8,OrderSnow,0),"")</f>
        <v/>
      </c>
      <c r="EU115">
        <f>IF(ET115="",0,IFERROR(IF(N(CHOOSE(ET115,CL115,CP115,CT115,CX115,DB115,DF115,DJ115,DN115))&lt;=0.005,0,MAX(0,N(CHOOSE(ET115,CL115,CP115,CT115,CX115,DB115,DF115,DJ115,DN115))+N(CHOOSE(ET115,CM115,CQ115,CU115,CY115,DC115,DG115,DK115,DO115))-MIN(N(CHOOSE(ET115,'Debt List'!$F$5,'Debt List'!$F$6,'Debt List'!$F$7,'Debt List'!$F$8,'Debt List'!$F$9,'Debt List'!$F$10,'Debt List'!$F$11,'Debt List'!$F$12)),N(CHOOSE(ET115,CL115,CP115,CT115,CX115,DB115,DF115,DJ115,DN115))+N(CHOOSE(ET115,CM115,CQ115,CU115,CY115,DC115,DG115,DK115,DO115))))),0))</f>
        <v/>
      </c>
      <c r="EV115">
        <f>MIN(N(EU115),MAX(0,N(ES115)))</f>
        <v/>
      </c>
      <c r="EW115">
        <f>MAX(0,N(ES115)-N(EV115))</f>
        <v/>
      </c>
      <c r="FE115" t="n">
        <v>111</v>
      </c>
      <c r="FF115" s="115">
        <f>DATE(YEAR(PlanStart),MONTH(PlanStart)+FE115-1,1)</f>
        <v/>
      </c>
      <c r="FG115">
        <f>IF(AND(GT115&lt;&gt;"",N(CHOOSE(GT115,FN115,FR115,FV115,FZ115,GD115,GH115,GL115,GP115))&gt;0.005),INDEX(DebtNames,GT115),IF(AND(GX115&lt;&gt;"",N(CHOOSE(GX115,FN115,FR115,FV115,FZ115,GD115,GH115,GL115,GP115))&gt;0.005),INDEX(DebtNames,GX115),IF(AND(HB115&lt;&gt;"",N(CHOOSE(HB115,FN115,FR115,FV115,FZ115,GD115,GH115,GL115,GP115))&gt;0.005),INDEX(DebtNames,HB115),IF(AND(HF115&lt;&gt;"",N(CHOOSE(HF115,FN115,FR115,FV115,FZ115,GD115,GH115,GL115,GP115))&gt;0.005),INDEX(DebtNames,HF115),IF(AND(HJ115&lt;&gt;"",N(CHOOSE(HJ115,FN115,FR115,FV115,FZ115,GD115,GH115,GL115,GP115))&gt;0.005),INDEX(DebtNames,HJ115),IF(AND(HN115&lt;&gt;"",N(CHOOSE(HN115,FN115,FR115,FV115,FZ115,GD115,GH115,GL115,GP115))&gt;0.005),INDEX(DebtNames,HN115),IF(AND(HR115&lt;&gt;"",N(CHOOSE(HR115,FN115,FR115,FV115,FZ115,GD115,GH115,GL115,GP115))&gt;0.005),INDEX(DebtNames,HR115),IF(AND(HV115&lt;&gt;"",N(CHOOSE(HV115,FN115,FR115,FV115,FZ115,GD115,GH115,GL115,GP115))&gt;0.005),INDEX(DebtNames,HV115),""))))))))</f>
        <v/>
      </c>
      <c r="FH115">
        <f>N(HY115)</f>
        <v/>
      </c>
      <c r="FI115">
        <f>N(FP115)+N(FT115)+N(FX115)+N(GB115)+N(GF115)+N(GJ115)+N(GN115)+N(GR115)</f>
        <v/>
      </c>
      <c r="FJ115">
        <f>N(FO115)+N(FS115)+N(FW115)+N(GA115)+N(GE115)+N(GI115)+N(GM115)+N(GQ115)</f>
        <v/>
      </c>
      <c r="FK115">
        <f>N(FK114)+N(FJ115)</f>
        <v/>
      </c>
      <c r="FL115">
        <f>N(FQ115)+N(FU115)+N(FY115)+N(GC115)+N(GG115)+N(GK115)+N(GO115)+N(GS115)</f>
        <v/>
      </c>
      <c r="FM115">
        <f>(FQ115&gt;0.005)*1+(FU115&gt;0.005)*1+(FY115&gt;0.005)*1+(GC115&gt;0.005)*1+(GG115&gt;0.005)*1+(GK115&gt;0.005)*1+(GO115&gt;0.005)*1+(GS115&gt;0.005)*1</f>
        <v/>
      </c>
      <c r="FN115">
        <f>N(FQ114)</f>
        <v/>
      </c>
      <c r="FO115">
        <f>IF(N(FN115)&lt;=0.005,0,ROUND(N(FN115)*N('Debt List'!E5)/12,2))</f>
        <v/>
      </c>
      <c r="FP115">
        <f>IF(N(FN115)&lt;=0.005,0,MIN(N('Debt List'!F5),N(FN115)+N(FO115)))+((GT115=1)*GV115+(GX115=1)*GZ115+(HB115=1)*HD115+(HF115=1)*HH115+(HJ115=1)*HL115+(HN115=1)*HP115+(HR115=1)*HT115+(HV115=1)*HX115)</f>
        <v/>
      </c>
      <c r="FQ115">
        <f>MAX(0,ROUND(N(FN115)+N(FO115)-N(FP115),2))</f>
        <v/>
      </c>
      <c r="FR115">
        <f>N(FU114)</f>
        <v/>
      </c>
      <c r="FS115">
        <f>IF(N(FR115)&lt;=0.005,0,ROUND(N(FR115)*N('Debt List'!E6)/12,2))</f>
        <v/>
      </c>
      <c r="FT115">
        <f>IF(N(FR115)&lt;=0.005,0,MIN(N('Debt List'!F6),N(FR115)+N(FS115)))+((GT115=2)*GV115+(GX115=2)*GZ115+(HB115=2)*HD115+(HF115=2)*HH115+(HJ115=2)*HL115+(HN115=2)*HP115+(HR115=2)*HT115+(HV115=2)*HX115)</f>
        <v/>
      </c>
      <c r="FU115">
        <f>MAX(0,ROUND(N(FR115)+N(FS115)-N(FT115),2))</f>
        <v/>
      </c>
      <c r="FV115">
        <f>N(FY114)</f>
        <v/>
      </c>
      <c r="FW115">
        <f>IF(N(FV115)&lt;=0.005,0,ROUND(N(FV115)*N('Debt List'!E7)/12,2))</f>
        <v/>
      </c>
      <c r="FX115">
        <f>IF(N(FV115)&lt;=0.005,0,MIN(N('Debt List'!F7),N(FV115)+N(FW115)))+((GT115=3)*GV115+(GX115=3)*GZ115+(HB115=3)*HD115+(HF115=3)*HH115+(HJ115=3)*HL115+(HN115=3)*HP115+(HR115=3)*HT115+(HV115=3)*HX115)</f>
        <v/>
      </c>
      <c r="FY115">
        <f>MAX(0,ROUND(N(FV115)+N(FW115)-N(FX115),2))</f>
        <v/>
      </c>
      <c r="FZ115">
        <f>N(GC114)</f>
        <v/>
      </c>
      <c r="GA115">
        <f>IF(N(FZ115)&lt;=0.005,0,ROUND(N(FZ115)*N('Debt List'!E8)/12,2))</f>
        <v/>
      </c>
      <c r="GB115">
        <f>IF(N(FZ115)&lt;=0.005,0,MIN(N('Debt List'!F8),N(FZ115)+N(GA115)))+((GT115=4)*GV115+(GX115=4)*GZ115+(HB115=4)*HD115+(HF115=4)*HH115+(HJ115=4)*HL115+(HN115=4)*HP115+(HR115=4)*HT115+(HV115=4)*HX115)</f>
        <v/>
      </c>
      <c r="GC115">
        <f>MAX(0,ROUND(N(FZ115)+N(GA115)-N(GB115),2))</f>
        <v/>
      </c>
      <c r="GD115">
        <f>N(GG114)</f>
        <v/>
      </c>
      <c r="GE115">
        <f>IF(N(GD115)&lt;=0.005,0,ROUND(N(GD115)*N('Debt List'!E9)/12,2))</f>
        <v/>
      </c>
      <c r="GF115">
        <f>IF(N(GD115)&lt;=0.005,0,MIN(N('Debt List'!F9),N(GD115)+N(GE115)))+((GT115=5)*GV115+(GX115=5)*GZ115+(HB115=5)*HD115+(HF115=5)*HH115+(HJ115=5)*HL115+(HN115=5)*HP115+(HR115=5)*HT115+(HV115=5)*HX115)</f>
        <v/>
      </c>
      <c r="GG115">
        <f>MAX(0,ROUND(N(GD115)+N(GE115)-N(GF115),2))</f>
        <v/>
      </c>
      <c r="GH115">
        <f>N(GK114)</f>
        <v/>
      </c>
      <c r="GI115">
        <f>IF(N(GH115)&lt;=0.005,0,ROUND(N(GH115)*N('Debt List'!E10)/12,2))</f>
        <v/>
      </c>
      <c r="GJ115">
        <f>IF(N(GH115)&lt;=0.005,0,MIN(N('Debt List'!F10),N(GH115)+N(GI115)))+((GT115=6)*GV115+(GX115=6)*GZ115+(HB115=6)*HD115+(HF115=6)*HH115+(HJ115=6)*HL115+(HN115=6)*HP115+(HR115=6)*HT115+(HV115=6)*HX115)</f>
        <v/>
      </c>
      <c r="GK115">
        <f>MAX(0,ROUND(N(GH115)+N(GI115)-N(GJ115),2))</f>
        <v/>
      </c>
      <c r="GL115">
        <f>N(GO114)</f>
        <v/>
      </c>
      <c r="GM115">
        <f>IF(N(GL115)&lt;=0.005,0,ROUND(N(GL115)*N('Debt List'!E11)/12,2))</f>
        <v/>
      </c>
      <c r="GN115">
        <f>IF(N(GL115)&lt;=0.005,0,MIN(N('Debt List'!F11),N(GL115)+N(GM115)))+((GT115=7)*GV115+(GX115=7)*GZ115+(HB115=7)*HD115+(HF115=7)*HH115+(HJ115=7)*HL115+(HN115=7)*HP115+(HR115=7)*HT115+(HV115=7)*HX115)</f>
        <v/>
      </c>
      <c r="GO115">
        <f>MAX(0,ROUND(N(GL115)+N(GM115)-N(GN115),2))</f>
        <v/>
      </c>
      <c r="GP115">
        <f>N(GS114)</f>
        <v/>
      </c>
      <c r="GQ115">
        <f>IF(N(GP115)&lt;=0.005,0,ROUND(N(GP115)*N('Debt List'!E12)/12,2))</f>
        <v/>
      </c>
      <c r="GR115">
        <f>IF(N(GP115)&lt;=0.005,0,MIN(N('Debt List'!F12),N(GP115)+N(GQ115)))+((GT115=8)*GV115+(GX115=8)*GZ115+(HB115=8)*HD115+(HF115=8)*HH115+(HJ115=8)*HL115+(HN115=8)*HP115+(HR115=8)*HT115+(HV115=8)*HX115)</f>
        <v/>
      </c>
      <c r="GS115">
        <f>MAX(0,ROUND(N(GP115)+N(GQ115)-N(GR115),2))</f>
        <v/>
      </c>
      <c r="GT115">
        <f>IFERROR(MATCH(1,OrderAval,0),"")</f>
        <v/>
      </c>
      <c r="GU115">
        <f>IF(GT115="",0,IFERROR(IF(N(CHOOSE(GT115,FN115,FR115,FV115,FZ115,GD115,GH115,GL115,GP115))&lt;=0.005,0,MAX(0,N(CHOOSE(GT115,FN115,FR115,FV115,FZ115,GD115,GH115,GL115,GP115))+N(CHOOSE(GT115,FO115,FS115,FW115,GA115,GE115,GI115,GM115,GQ115))-MIN(N(CHOOSE(GT115,'Debt List'!$F$5,'Debt List'!$F$6,'Debt List'!$F$7,'Debt List'!$F$8,'Debt List'!$F$9,'Debt List'!$F$10,'Debt List'!$F$11,'Debt List'!$F$12)),N(CHOOSE(GT115,FN115,FR115,FV115,FZ115,GD115,GH115,GL115,GP115))+N(CHOOSE(GT115,FO115,FS115,FW115,GA115,GE115,GI115,GM115,GQ115))))),0))</f>
        <v/>
      </c>
      <c r="GV115">
        <f>MIN(N(GU115),MAX(0,N(ExtraPayment)))</f>
        <v/>
      </c>
      <c r="GW115">
        <f>MAX(0,N(ExtraPayment)-N(GV115))</f>
        <v/>
      </c>
      <c r="GX115">
        <f>IFERROR(MATCH(2,OrderAval,0),"")</f>
        <v/>
      </c>
      <c r="GY115">
        <f>IF(GX115="",0,IFERROR(IF(N(CHOOSE(GX115,FN115,FR115,FV115,FZ115,GD115,GH115,GL115,GP115))&lt;=0.005,0,MAX(0,N(CHOOSE(GX115,FN115,FR115,FV115,FZ115,GD115,GH115,GL115,GP115))+N(CHOOSE(GX115,FO115,FS115,FW115,GA115,GE115,GI115,GM115,GQ115))-MIN(N(CHOOSE(GX115,'Debt List'!$F$5,'Debt List'!$F$6,'Debt List'!$F$7,'Debt List'!$F$8,'Debt List'!$F$9,'Debt List'!$F$10,'Debt List'!$F$11,'Debt List'!$F$12)),N(CHOOSE(GX115,FN115,FR115,FV115,FZ115,GD115,GH115,GL115,GP115))+N(CHOOSE(GX115,FO115,FS115,FW115,GA115,GE115,GI115,GM115,GQ115))))),0))</f>
        <v/>
      </c>
      <c r="GZ115">
        <f>MIN(N(GY115),MAX(0,N(GW115)))</f>
        <v/>
      </c>
      <c r="HA115">
        <f>MAX(0,N(GW115)-N(GZ115))</f>
        <v/>
      </c>
      <c r="HB115">
        <f>IFERROR(MATCH(3,OrderAval,0),"")</f>
        <v/>
      </c>
      <c r="HC115">
        <f>IF(HB115="",0,IFERROR(IF(N(CHOOSE(HB115,FN115,FR115,FV115,FZ115,GD115,GH115,GL115,GP115))&lt;=0.005,0,MAX(0,N(CHOOSE(HB115,FN115,FR115,FV115,FZ115,GD115,GH115,GL115,GP115))+N(CHOOSE(HB115,FO115,FS115,FW115,GA115,GE115,GI115,GM115,GQ115))-MIN(N(CHOOSE(HB115,'Debt List'!$F$5,'Debt List'!$F$6,'Debt List'!$F$7,'Debt List'!$F$8,'Debt List'!$F$9,'Debt List'!$F$10,'Debt List'!$F$11,'Debt List'!$F$12)),N(CHOOSE(HB115,FN115,FR115,FV115,FZ115,GD115,GH115,GL115,GP115))+N(CHOOSE(HB115,FO115,FS115,FW115,GA115,GE115,GI115,GM115,GQ115))))),0))</f>
        <v/>
      </c>
      <c r="HD115">
        <f>MIN(N(HC115),MAX(0,N(HA115)))</f>
        <v/>
      </c>
      <c r="HE115">
        <f>MAX(0,N(HA115)-N(HD115))</f>
        <v/>
      </c>
      <c r="HF115">
        <f>IFERROR(MATCH(4,OrderAval,0),"")</f>
        <v/>
      </c>
      <c r="HG115">
        <f>IF(HF115="",0,IFERROR(IF(N(CHOOSE(HF115,FN115,FR115,FV115,FZ115,GD115,GH115,GL115,GP115))&lt;=0.005,0,MAX(0,N(CHOOSE(HF115,FN115,FR115,FV115,FZ115,GD115,GH115,GL115,GP115))+N(CHOOSE(HF115,FO115,FS115,FW115,GA115,GE115,GI115,GM115,GQ115))-MIN(N(CHOOSE(HF115,'Debt List'!$F$5,'Debt List'!$F$6,'Debt List'!$F$7,'Debt List'!$F$8,'Debt List'!$F$9,'Debt List'!$F$10,'Debt List'!$F$11,'Debt List'!$F$12)),N(CHOOSE(HF115,FN115,FR115,FV115,FZ115,GD115,GH115,GL115,GP115))+N(CHOOSE(HF115,FO115,FS115,FW115,GA115,GE115,GI115,GM115,GQ115))))),0))</f>
        <v/>
      </c>
      <c r="HH115">
        <f>MIN(N(HG115),MAX(0,N(HE115)))</f>
        <v/>
      </c>
      <c r="HI115">
        <f>MAX(0,N(HE115)-N(HH115))</f>
        <v/>
      </c>
      <c r="HJ115">
        <f>IFERROR(MATCH(5,OrderAval,0),"")</f>
        <v/>
      </c>
      <c r="HK115">
        <f>IF(HJ115="",0,IFERROR(IF(N(CHOOSE(HJ115,FN115,FR115,FV115,FZ115,GD115,GH115,GL115,GP115))&lt;=0.005,0,MAX(0,N(CHOOSE(HJ115,FN115,FR115,FV115,FZ115,GD115,GH115,GL115,GP115))+N(CHOOSE(HJ115,FO115,FS115,FW115,GA115,GE115,GI115,GM115,GQ115))-MIN(N(CHOOSE(HJ115,'Debt List'!$F$5,'Debt List'!$F$6,'Debt List'!$F$7,'Debt List'!$F$8,'Debt List'!$F$9,'Debt List'!$F$10,'Debt List'!$F$11,'Debt List'!$F$12)),N(CHOOSE(HJ115,FN115,FR115,FV115,FZ115,GD115,GH115,GL115,GP115))+N(CHOOSE(HJ115,FO115,FS115,FW115,GA115,GE115,GI115,GM115,GQ115))))),0))</f>
        <v/>
      </c>
      <c r="HL115">
        <f>MIN(N(HK115),MAX(0,N(HI115)))</f>
        <v/>
      </c>
      <c r="HM115">
        <f>MAX(0,N(HI115)-N(HL115))</f>
        <v/>
      </c>
      <c r="HN115">
        <f>IFERROR(MATCH(6,OrderAval,0),"")</f>
        <v/>
      </c>
      <c r="HO115">
        <f>IF(HN115="",0,IFERROR(IF(N(CHOOSE(HN115,FN115,FR115,FV115,FZ115,GD115,GH115,GL115,GP115))&lt;=0.005,0,MAX(0,N(CHOOSE(HN115,FN115,FR115,FV115,FZ115,GD115,GH115,GL115,GP115))+N(CHOOSE(HN115,FO115,FS115,FW115,GA115,GE115,GI115,GM115,GQ115))-MIN(N(CHOOSE(HN115,'Debt List'!$F$5,'Debt List'!$F$6,'Debt List'!$F$7,'Debt List'!$F$8,'Debt List'!$F$9,'Debt List'!$F$10,'Debt List'!$F$11,'Debt List'!$F$12)),N(CHOOSE(HN115,FN115,FR115,FV115,FZ115,GD115,GH115,GL115,GP115))+N(CHOOSE(HN115,FO115,FS115,FW115,GA115,GE115,GI115,GM115,GQ115))))),0))</f>
        <v/>
      </c>
      <c r="HP115">
        <f>MIN(N(HO115),MAX(0,N(HM115)))</f>
        <v/>
      </c>
      <c r="HQ115">
        <f>MAX(0,N(HM115)-N(HP115))</f>
        <v/>
      </c>
      <c r="HR115">
        <f>IFERROR(MATCH(7,OrderAval,0),"")</f>
        <v/>
      </c>
      <c r="HS115">
        <f>IF(HR115="",0,IFERROR(IF(N(CHOOSE(HR115,FN115,FR115,FV115,FZ115,GD115,GH115,GL115,GP115))&lt;=0.005,0,MAX(0,N(CHOOSE(HR115,FN115,FR115,FV115,FZ115,GD115,GH115,GL115,GP115))+N(CHOOSE(HR115,FO115,FS115,FW115,GA115,GE115,GI115,GM115,GQ115))-MIN(N(CHOOSE(HR115,'Debt List'!$F$5,'Debt List'!$F$6,'Debt List'!$F$7,'Debt List'!$F$8,'Debt List'!$F$9,'Debt List'!$F$10,'Debt List'!$F$11,'Debt List'!$F$12)),N(CHOOSE(HR115,FN115,FR115,FV115,FZ115,GD115,GH115,GL115,GP115))+N(CHOOSE(HR115,FO115,FS115,FW115,GA115,GE115,GI115,GM115,GQ115))))),0))</f>
        <v/>
      </c>
      <c r="HT115">
        <f>MIN(N(HS115),MAX(0,N(HQ115)))</f>
        <v/>
      </c>
      <c r="HU115">
        <f>MAX(0,N(HQ115)-N(HT115))</f>
        <v/>
      </c>
      <c r="HV115">
        <f>IFERROR(MATCH(8,OrderAval,0),"")</f>
        <v/>
      </c>
      <c r="HW115">
        <f>IF(HV115="",0,IFERROR(IF(N(CHOOSE(HV115,FN115,FR115,FV115,FZ115,GD115,GH115,GL115,GP115))&lt;=0.005,0,MAX(0,N(CHOOSE(HV115,FN115,FR115,FV115,FZ115,GD115,GH115,GL115,GP115))+N(CHOOSE(HV115,FO115,FS115,FW115,GA115,GE115,GI115,GM115,GQ115))-MIN(N(CHOOSE(HV115,'Debt List'!$F$5,'Debt List'!$F$6,'Debt List'!$F$7,'Debt List'!$F$8,'Debt List'!$F$9,'Debt List'!$F$10,'Debt List'!$F$11,'Debt List'!$F$12)),N(CHOOSE(HV115,FN115,FR115,FV115,FZ115,GD115,GH115,GL115,GP115))+N(CHOOSE(HV115,FO115,FS115,FW115,GA115,GE115,GI115,GM115,GQ115))))),0))</f>
        <v/>
      </c>
      <c r="HX115">
        <f>MIN(N(HW115),MAX(0,N(HU115)))</f>
        <v/>
      </c>
      <c r="HY115">
        <f>MAX(0,N(HU115)-N(HX115))</f>
        <v/>
      </c>
    </row>
    <row r="116">
      <c r="A116" t="n">
        <v>112</v>
      </c>
      <c r="B116" s="115">
        <f>DATE(YEAR(PlanStart),MONTH(PlanStart)+A116-1,1)</f>
        <v/>
      </c>
      <c r="C116">
        <f>IF(AND(AP116&lt;&gt;"",N(CHOOSE(AP116,J116,N116,R116,V116,Z116,AD116,AH116,AL116))&gt;0.005),INDEX(DebtNames,AP116),IF(AND(AT116&lt;&gt;"",N(CHOOSE(AT116,J116,N116,R116,V116,Z116,AD116,AH116,AL116))&gt;0.005),INDEX(DebtNames,AT116),IF(AND(AX116&lt;&gt;"",N(CHOOSE(AX116,J116,N116,R116,V116,Z116,AD116,AH116,AL116))&gt;0.005),INDEX(DebtNames,AX116),IF(AND(BB116&lt;&gt;"",N(CHOOSE(BB116,J116,N116,R116,V116,Z116,AD116,AH116,AL116))&gt;0.005),INDEX(DebtNames,BB116),IF(AND(BF116&lt;&gt;"",N(CHOOSE(BF116,J116,N116,R116,V116,Z116,AD116,AH116,AL116))&gt;0.005),INDEX(DebtNames,BF116),IF(AND(BJ116&lt;&gt;"",N(CHOOSE(BJ116,J116,N116,R116,V116,Z116,AD116,AH116,AL116))&gt;0.005),INDEX(DebtNames,BJ116),IF(AND(BN116&lt;&gt;"",N(CHOOSE(BN116,J116,N116,R116,V116,Z116,AD116,AH116,AL116))&gt;0.005),INDEX(DebtNames,BN116),IF(AND(BR116&lt;&gt;"",N(CHOOSE(BR116,J116,N116,R116,V116,Z116,AD116,AH116,AL116))&gt;0.005),INDEX(DebtNames,BR116),""))))))))</f>
        <v/>
      </c>
      <c r="D116">
        <f>N(BU116)</f>
        <v/>
      </c>
      <c r="E116">
        <f>N(L116)+N(P116)+N(T116)+N(X116)+N(AB116)+N(AF116)+N(AJ116)+N(AN116)</f>
        <v/>
      </c>
      <c r="F116">
        <f>N(K116)+N(O116)+N(S116)+N(W116)+N(AA116)+N(AE116)+N(AI116)+N(AM116)</f>
        <v/>
      </c>
      <c r="G116">
        <f>N(G115)+N(F116)</f>
        <v/>
      </c>
      <c r="H116">
        <f>N(M116)+N(Q116)+N(U116)+N(Y116)+N(AC116)+N(AG116)+N(AK116)+N(AO116)</f>
        <v/>
      </c>
      <c r="I116">
        <f>(M116&gt;0.005)*1+(Q116&gt;0.005)*1+(U116&gt;0.005)*1+(Y116&gt;0.005)*1+(AC116&gt;0.005)*1+(AG116&gt;0.005)*1+(AK116&gt;0.005)*1+(AO116&gt;0.005)*1</f>
        <v/>
      </c>
      <c r="J116">
        <f>N(M115)</f>
        <v/>
      </c>
      <c r="K116">
        <f>IF(N(J116)&lt;=0.005,0,ROUND(N(J116)*N('Debt List'!E5)/12,2))</f>
        <v/>
      </c>
      <c r="L116">
        <f>IF(N(J116)&lt;=0.005,0,MIN(N('Debt List'!F5),N(J116)+N(K116)))+((AP116=1)*AR116+(AT116=1)*AV116+(AX116=1)*AZ116+(BB116=1)*BD116+(BF116=1)*BH116+(BJ116=1)*BL116+(BN116=1)*BP116+(BR116=1)*BT116)</f>
        <v/>
      </c>
      <c r="M116">
        <f>MAX(0,ROUND(N(J116)+N(K116)-N(L116),2))</f>
        <v/>
      </c>
      <c r="N116">
        <f>N(Q115)</f>
        <v/>
      </c>
      <c r="O116">
        <f>IF(N(N116)&lt;=0.005,0,ROUND(N(N116)*N('Debt List'!E6)/12,2))</f>
        <v/>
      </c>
      <c r="P116">
        <f>IF(N(N116)&lt;=0.005,0,MIN(N('Debt List'!F6),N(N116)+N(O116)))+((AP116=2)*AR116+(AT116=2)*AV116+(AX116=2)*AZ116+(BB116=2)*BD116+(BF116=2)*BH116+(BJ116=2)*BL116+(BN116=2)*BP116+(BR116=2)*BT116)</f>
        <v/>
      </c>
      <c r="Q116">
        <f>MAX(0,ROUND(N(N116)+N(O116)-N(P116),2))</f>
        <v/>
      </c>
      <c r="R116">
        <f>N(U115)</f>
        <v/>
      </c>
      <c r="S116">
        <f>IF(N(R116)&lt;=0.005,0,ROUND(N(R116)*N('Debt List'!E7)/12,2))</f>
        <v/>
      </c>
      <c r="T116">
        <f>IF(N(R116)&lt;=0.005,0,MIN(N('Debt List'!F7),N(R116)+N(S116)))+((AP116=3)*AR116+(AT116=3)*AV116+(AX116=3)*AZ116+(BB116=3)*BD116+(BF116=3)*BH116+(BJ116=3)*BL116+(BN116=3)*BP116+(BR116=3)*BT116)</f>
        <v/>
      </c>
      <c r="U116">
        <f>MAX(0,ROUND(N(R116)+N(S116)-N(T116),2))</f>
        <v/>
      </c>
      <c r="V116">
        <f>N(Y115)</f>
        <v/>
      </c>
      <c r="W116">
        <f>IF(N(V116)&lt;=0.005,0,ROUND(N(V116)*N('Debt List'!E8)/12,2))</f>
        <v/>
      </c>
      <c r="X116">
        <f>IF(N(V116)&lt;=0.005,0,MIN(N('Debt List'!F8),N(V116)+N(W116)))+((AP116=4)*AR116+(AT116=4)*AV116+(AX116=4)*AZ116+(BB116=4)*BD116+(BF116=4)*BH116+(BJ116=4)*BL116+(BN116=4)*BP116+(BR116=4)*BT116)</f>
        <v/>
      </c>
      <c r="Y116">
        <f>MAX(0,ROUND(N(V116)+N(W116)-N(X116),2))</f>
        <v/>
      </c>
      <c r="Z116">
        <f>N(AC115)</f>
        <v/>
      </c>
      <c r="AA116">
        <f>IF(N(Z116)&lt;=0.005,0,ROUND(N(Z116)*N('Debt List'!E9)/12,2))</f>
        <v/>
      </c>
      <c r="AB116">
        <f>IF(N(Z116)&lt;=0.005,0,MIN(N('Debt List'!F9),N(Z116)+N(AA116)))+((AP116=5)*AR116+(AT116=5)*AV116+(AX116=5)*AZ116+(BB116=5)*BD116+(BF116=5)*BH116+(BJ116=5)*BL116+(BN116=5)*BP116+(BR116=5)*BT116)</f>
        <v/>
      </c>
      <c r="AC116">
        <f>MAX(0,ROUND(N(Z116)+N(AA116)-N(AB116),2))</f>
        <v/>
      </c>
      <c r="AD116">
        <f>N(AG115)</f>
        <v/>
      </c>
      <c r="AE116">
        <f>IF(N(AD116)&lt;=0.005,0,ROUND(N(AD116)*N('Debt List'!E10)/12,2))</f>
        <v/>
      </c>
      <c r="AF116">
        <f>IF(N(AD116)&lt;=0.005,0,MIN(N('Debt List'!F10),N(AD116)+N(AE116)))+((AP116=6)*AR116+(AT116=6)*AV116+(AX116=6)*AZ116+(BB116=6)*BD116+(BF116=6)*BH116+(BJ116=6)*BL116+(BN116=6)*BP116+(BR116=6)*BT116)</f>
        <v/>
      </c>
      <c r="AG116">
        <f>MAX(0,ROUND(N(AD116)+N(AE116)-N(AF116),2))</f>
        <v/>
      </c>
      <c r="AH116">
        <f>N(AK115)</f>
        <v/>
      </c>
      <c r="AI116">
        <f>IF(N(AH116)&lt;=0.005,0,ROUND(N(AH116)*N('Debt List'!E11)/12,2))</f>
        <v/>
      </c>
      <c r="AJ116">
        <f>IF(N(AH116)&lt;=0.005,0,MIN(N('Debt List'!F11),N(AH116)+N(AI116)))+((AP116=7)*AR116+(AT116=7)*AV116+(AX116=7)*AZ116+(BB116=7)*BD116+(BF116=7)*BH116+(BJ116=7)*BL116+(BN116=7)*BP116+(BR116=7)*BT116)</f>
        <v/>
      </c>
      <c r="AK116">
        <f>MAX(0,ROUND(N(AH116)+N(AI116)-N(AJ116),2))</f>
        <v/>
      </c>
      <c r="AL116">
        <f>N(AO115)</f>
        <v/>
      </c>
      <c r="AM116">
        <f>IF(N(AL116)&lt;=0.005,0,ROUND(N(AL116)*N('Debt List'!E12)/12,2))</f>
        <v/>
      </c>
      <c r="AN116">
        <f>IF(N(AL116)&lt;=0.005,0,MIN(N('Debt List'!F12),N(AL116)+N(AM116)))+((AP116=8)*AR116+(AT116=8)*AV116+(AX116=8)*AZ116+(BB116=8)*BD116+(BF116=8)*BH116+(BJ116=8)*BL116+(BN116=8)*BP116+(BR116=8)*BT116)</f>
        <v/>
      </c>
      <c r="AO116">
        <f>MAX(0,ROUND(N(AL116)+N(AM116)-N(AN116),2))</f>
        <v/>
      </c>
      <c r="AP116">
        <f>IFERROR(MATCH(1,OrderPlan,0),"")</f>
        <v/>
      </c>
      <c r="AQ116">
        <f>IF(AP116="",0,IFERROR(IF(N(CHOOSE(AP116,J116,N116,R116,V116,Z116,AD116,AH116,AL116))&lt;=0.005,0,MAX(0,N(CHOOSE(AP116,J116,N116,R116,V116,Z116,AD116,AH116,AL116))+N(CHOOSE(AP116,K116,O116,S116,W116,AA116,AE116,AI116,AM116))-MIN(N(CHOOSE(AP116,'Debt List'!$F$5,'Debt List'!$F$6,'Debt List'!$F$7,'Debt List'!$F$8,'Debt List'!$F$9,'Debt List'!$F$10,'Debt List'!$F$11,'Debt List'!$F$12)),N(CHOOSE(AP116,J116,N116,R116,V116,Z116,AD116,AH116,AL116))+N(CHOOSE(AP116,K116,O116,S116,W116,AA116,AE116,AI116,AM116))))),0))</f>
        <v/>
      </c>
      <c r="AR116">
        <f>MIN(N(AQ116),MAX(0,N(ExtraPayment)))</f>
        <v/>
      </c>
      <c r="AS116">
        <f>MAX(0,N(ExtraPayment)-N(AR116))</f>
        <v/>
      </c>
      <c r="AT116">
        <f>IFERROR(MATCH(2,OrderPlan,0),"")</f>
        <v/>
      </c>
      <c r="AU116">
        <f>IF(AT116="",0,IFERROR(IF(N(CHOOSE(AT116,J116,N116,R116,V116,Z116,AD116,AH116,AL116))&lt;=0.005,0,MAX(0,N(CHOOSE(AT116,J116,N116,R116,V116,Z116,AD116,AH116,AL116))+N(CHOOSE(AT116,K116,O116,S116,W116,AA116,AE116,AI116,AM116))-MIN(N(CHOOSE(AT116,'Debt List'!$F$5,'Debt List'!$F$6,'Debt List'!$F$7,'Debt List'!$F$8,'Debt List'!$F$9,'Debt List'!$F$10,'Debt List'!$F$11,'Debt List'!$F$12)),N(CHOOSE(AT116,J116,N116,R116,V116,Z116,AD116,AH116,AL116))+N(CHOOSE(AT116,K116,O116,S116,W116,AA116,AE116,AI116,AM116))))),0))</f>
        <v/>
      </c>
      <c r="AV116">
        <f>MIN(N(AU116),MAX(0,N(AS116)))</f>
        <v/>
      </c>
      <c r="AW116">
        <f>MAX(0,N(AS116)-N(AV116))</f>
        <v/>
      </c>
      <c r="AX116">
        <f>IFERROR(MATCH(3,OrderPlan,0),"")</f>
        <v/>
      </c>
      <c r="AY116">
        <f>IF(AX116="",0,IFERROR(IF(N(CHOOSE(AX116,J116,N116,R116,V116,Z116,AD116,AH116,AL116))&lt;=0.005,0,MAX(0,N(CHOOSE(AX116,J116,N116,R116,V116,Z116,AD116,AH116,AL116))+N(CHOOSE(AX116,K116,O116,S116,W116,AA116,AE116,AI116,AM116))-MIN(N(CHOOSE(AX116,'Debt List'!$F$5,'Debt List'!$F$6,'Debt List'!$F$7,'Debt List'!$F$8,'Debt List'!$F$9,'Debt List'!$F$10,'Debt List'!$F$11,'Debt List'!$F$12)),N(CHOOSE(AX116,J116,N116,R116,V116,Z116,AD116,AH116,AL116))+N(CHOOSE(AX116,K116,O116,S116,W116,AA116,AE116,AI116,AM116))))),0))</f>
        <v/>
      </c>
      <c r="AZ116">
        <f>MIN(N(AY116),MAX(0,N(AW116)))</f>
        <v/>
      </c>
      <c r="BA116">
        <f>MAX(0,N(AW116)-N(AZ116))</f>
        <v/>
      </c>
      <c r="BB116">
        <f>IFERROR(MATCH(4,OrderPlan,0),"")</f>
        <v/>
      </c>
      <c r="BC116">
        <f>IF(BB116="",0,IFERROR(IF(N(CHOOSE(BB116,J116,N116,R116,V116,Z116,AD116,AH116,AL116))&lt;=0.005,0,MAX(0,N(CHOOSE(BB116,J116,N116,R116,V116,Z116,AD116,AH116,AL116))+N(CHOOSE(BB116,K116,O116,S116,W116,AA116,AE116,AI116,AM116))-MIN(N(CHOOSE(BB116,'Debt List'!$F$5,'Debt List'!$F$6,'Debt List'!$F$7,'Debt List'!$F$8,'Debt List'!$F$9,'Debt List'!$F$10,'Debt List'!$F$11,'Debt List'!$F$12)),N(CHOOSE(BB116,J116,N116,R116,V116,Z116,AD116,AH116,AL116))+N(CHOOSE(BB116,K116,O116,S116,W116,AA116,AE116,AI116,AM116))))),0))</f>
        <v/>
      </c>
      <c r="BD116">
        <f>MIN(N(BC116),MAX(0,N(BA116)))</f>
        <v/>
      </c>
      <c r="BE116">
        <f>MAX(0,N(BA116)-N(BD116))</f>
        <v/>
      </c>
      <c r="BF116">
        <f>IFERROR(MATCH(5,OrderPlan,0),"")</f>
        <v/>
      </c>
      <c r="BG116">
        <f>IF(BF116="",0,IFERROR(IF(N(CHOOSE(BF116,J116,N116,R116,V116,Z116,AD116,AH116,AL116))&lt;=0.005,0,MAX(0,N(CHOOSE(BF116,J116,N116,R116,V116,Z116,AD116,AH116,AL116))+N(CHOOSE(BF116,K116,O116,S116,W116,AA116,AE116,AI116,AM116))-MIN(N(CHOOSE(BF116,'Debt List'!$F$5,'Debt List'!$F$6,'Debt List'!$F$7,'Debt List'!$F$8,'Debt List'!$F$9,'Debt List'!$F$10,'Debt List'!$F$11,'Debt List'!$F$12)),N(CHOOSE(BF116,J116,N116,R116,V116,Z116,AD116,AH116,AL116))+N(CHOOSE(BF116,K116,O116,S116,W116,AA116,AE116,AI116,AM116))))),0))</f>
        <v/>
      </c>
      <c r="BH116">
        <f>MIN(N(BG116),MAX(0,N(BE116)))</f>
        <v/>
      </c>
      <c r="BI116">
        <f>MAX(0,N(BE116)-N(BH116))</f>
        <v/>
      </c>
      <c r="BJ116">
        <f>IFERROR(MATCH(6,OrderPlan,0),"")</f>
        <v/>
      </c>
      <c r="BK116">
        <f>IF(BJ116="",0,IFERROR(IF(N(CHOOSE(BJ116,J116,N116,R116,V116,Z116,AD116,AH116,AL116))&lt;=0.005,0,MAX(0,N(CHOOSE(BJ116,J116,N116,R116,V116,Z116,AD116,AH116,AL116))+N(CHOOSE(BJ116,K116,O116,S116,W116,AA116,AE116,AI116,AM116))-MIN(N(CHOOSE(BJ116,'Debt List'!$F$5,'Debt List'!$F$6,'Debt List'!$F$7,'Debt List'!$F$8,'Debt List'!$F$9,'Debt List'!$F$10,'Debt List'!$F$11,'Debt List'!$F$12)),N(CHOOSE(BJ116,J116,N116,R116,V116,Z116,AD116,AH116,AL116))+N(CHOOSE(BJ116,K116,O116,S116,W116,AA116,AE116,AI116,AM116))))),0))</f>
        <v/>
      </c>
      <c r="BL116">
        <f>MIN(N(BK116),MAX(0,N(BI116)))</f>
        <v/>
      </c>
      <c r="BM116">
        <f>MAX(0,N(BI116)-N(BL116))</f>
        <v/>
      </c>
      <c r="BN116">
        <f>IFERROR(MATCH(7,OrderPlan,0),"")</f>
        <v/>
      </c>
      <c r="BO116">
        <f>IF(BN116="",0,IFERROR(IF(N(CHOOSE(BN116,J116,N116,R116,V116,Z116,AD116,AH116,AL116))&lt;=0.005,0,MAX(0,N(CHOOSE(BN116,J116,N116,R116,V116,Z116,AD116,AH116,AL116))+N(CHOOSE(BN116,K116,O116,S116,W116,AA116,AE116,AI116,AM116))-MIN(N(CHOOSE(BN116,'Debt List'!$F$5,'Debt List'!$F$6,'Debt List'!$F$7,'Debt List'!$F$8,'Debt List'!$F$9,'Debt List'!$F$10,'Debt List'!$F$11,'Debt List'!$F$12)),N(CHOOSE(BN116,J116,N116,R116,V116,Z116,AD116,AH116,AL116))+N(CHOOSE(BN116,K116,O116,S116,W116,AA116,AE116,AI116,AM116))))),0))</f>
        <v/>
      </c>
      <c r="BP116">
        <f>MIN(N(BO116),MAX(0,N(BM116)))</f>
        <v/>
      </c>
      <c r="BQ116">
        <f>MAX(0,N(BM116)-N(BP116))</f>
        <v/>
      </c>
      <c r="BR116">
        <f>IFERROR(MATCH(8,OrderPlan,0),"")</f>
        <v/>
      </c>
      <c r="BS116">
        <f>IF(BR116="",0,IFERROR(IF(N(CHOOSE(BR116,J116,N116,R116,V116,Z116,AD116,AH116,AL116))&lt;=0.005,0,MAX(0,N(CHOOSE(BR116,J116,N116,R116,V116,Z116,AD116,AH116,AL116))+N(CHOOSE(BR116,K116,O116,S116,W116,AA116,AE116,AI116,AM116))-MIN(N(CHOOSE(BR116,'Debt List'!$F$5,'Debt List'!$F$6,'Debt List'!$F$7,'Debt List'!$F$8,'Debt List'!$F$9,'Debt List'!$F$10,'Debt List'!$F$11,'Debt List'!$F$12)),N(CHOOSE(BR116,J116,N116,R116,V116,Z116,AD116,AH116,AL116))+N(CHOOSE(BR116,K116,O116,S116,W116,AA116,AE116,AI116,AM116))))),0))</f>
        <v/>
      </c>
      <c r="BT116">
        <f>MIN(N(BS116),MAX(0,N(BQ116)))</f>
        <v/>
      </c>
      <c r="BU116">
        <f>MAX(0,N(BQ116)-N(BT116))</f>
        <v/>
      </c>
      <c r="CC116" t="n">
        <v>112</v>
      </c>
      <c r="CD116" s="115">
        <f>DATE(YEAR(PlanStart),MONTH(PlanStart)+CC116-1,1)</f>
        <v/>
      </c>
      <c r="CE116">
        <f>IF(AND(DR116&lt;&gt;"",N(CHOOSE(DR116,CL116,CP116,CT116,CX116,DB116,DF116,DJ116,DN116))&gt;0.005),INDEX(DebtNames,DR116),IF(AND(DV116&lt;&gt;"",N(CHOOSE(DV116,CL116,CP116,CT116,CX116,DB116,DF116,DJ116,DN116))&gt;0.005),INDEX(DebtNames,DV116),IF(AND(DZ116&lt;&gt;"",N(CHOOSE(DZ116,CL116,CP116,CT116,CX116,DB116,DF116,DJ116,DN116))&gt;0.005),INDEX(DebtNames,DZ116),IF(AND(ED116&lt;&gt;"",N(CHOOSE(ED116,CL116,CP116,CT116,CX116,DB116,DF116,DJ116,DN116))&gt;0.005),INDEX(DebtNames,ED116),IF(AND(EH116&lt;&gt;"",N(CHOOSE(EH116,CL116,CP116,CT116,CX116,DB116,DF116,DJ116,DN116))&gt;0.005),INDEX(DebtNames,EH116),IF(AND(EL116&lt;&gt;"",N(CHOOSE(EL116,CL116,CP116,CT116,CX116,DB116,DF116,DJ116,DN116))&gt;0.005),INDEX(DebtNames,EL116),IF(AND(EP116&lt;&gt;"",N(CHOOSE(EP116,CL116,CP116,CT116,CX116,DB116,DF116,DJ116,DN116))&gt;0.005),INDEX(DebtNames,EP116),IF(AND(ET116&lt;&gt;"",N(CHOOSE(ET116,CL116,CP116,CT116,CX116,DB116,DF116,DJ116,DN116))&gt;0.005),INDEX(DebtNames,ET116),""))))))))</f>
        <v/>
      </c>
      <c r="CF116">
        <f>N(EW116)</f>
        <v/>
      </c>
      <c r="CG116">
        <f>N(CN116)+N(CR116)+N(CV116)+N(CZ116)+N(DD116)+N(DH116)+N(DL116)+N(DP116)</f>
        <v/>
      </c>
      <c r="CH116">
        <f>N(CM116)+N(CQ116)+N(CU116)+N(CY116)+N(DC116)+N(DG116)+N(DK116)+N(DO116)</f>
        <v/>
      </c>
      <c r="CI116">
        <f>N(CI115)+N(CH116)</f>
        <v/>
      </c>
      <c r="CJ116">
        <f>N(CO116)+N(CS116)+N(CW116)+N(DA116)+N(DE116)+N(DI116)+N(DM116)+N(DQ116)</f>
        <v/>
      </c>
      <c r="CK116">
        <f>(CO116&gt;0.005)*1+(CS116&gt;0.005)*1+(CW116&gt;0.005)*1+(DA116&gt;0.005)*1+(DE116&gt;0.005)*1+(DI116&gt;0.005)*1+(DM116&gt;0.005)*1+(DQ116&gt;0.005)*1</f>
        <v/>
      </c>
      <c r="CL116">
        <f>N(CO115)</f>
        <v/>
      </c>
      <c r="CM116">
        <f>IF(N(CL116)&lt;=0.005,0,ROUND(N(CL116)*N('Debt List'!E5)/12,2))</f>
        <v/>
      </c>
      <c r="CN116">
        <f>IF(N(CL116)&lt;=0.005,0,MIN(N('Debt List'!F5),N(CL116)+N(CM116)))+((DR116=1)*DT116+(DV116=1)*DX116+(DZ116=1)*EB116+(ED116=1)*EF116+(EH116=1)*EJ116+(EL116=1)*EN116+(EP116=1)*ER116+(ET116=1)*EV116)</f>
        <v/>
      </c>
      <c r="CO116">
        <f>MAX(0,ROUND(N(CL116)+N(CM116)-N(CN116),2))</f>
        <v/>
      </c>
      <c r="CP116">
        <f>N(CS115)</f>
        <v/>
      </c>
      <c r="CQ116">
        <f>IF(N(CP116)&lt;=0.005,0,ROUND(N(CP116)*N('Debt List'!E6)/12,2))</f>
        <v/>
      </c>
      <c r="CR116">
        <f>IF(N(CP116)&lt;=0.005,0,MIN(N('Debt List'!F6),N(CP116)+N(CQ116)))+((DR116=2)*DT116+(DV116=2)*DX116+(DZ116=2)*EB116+(ED116=2)*EF116+(EH116=2)*EJ116+(EL116=2)*EN116+(EP116=2)*ER116+(ET116=2)*EV116)</f>
        <v/>
      </c>
      <c r="CS116">
        <f>MAX(0,ROUND(N(CP116)+N(CQ116)-N(CR116),2))</f>
        <v/>
      </c>
      <c r="CT116">
        <f>N(CW115)</f>
        <v/>
      </c>
      <c r="CU116">
        <f>IF(N(CT116)&lt;=0.005,0,ROUND(N(CT116)*N('Debt List'!E7)/12,2))</f>
        <v/>
      </c>
      <c r="CV116">
        <f>IF(N(CT116)&lt;=0.005,0,MIN(N('Debt List'!F7),N(CT116)+N(CU116)))+((DR116=3)*DT116+(DV116=3)*DX116+(DZ116=3)*EB116+(ED116=3)*EF116+(EH116=3)*EJ116+(EL116=3)*EN116+(EP116=3)*ER116+(ET116=3)*EV116)</f>
        <v/>
      </c>
      <c r="CW116">
        <f>MAX(0,ROUND(N(CT116)+N(CU116)-N(CV116),2))</f>
        <v/>
      </c>
      <c r="CX116">
        <f>N(DA115)</f>
        <v/>
      </c>
      <c r="CY116">
        <f>IF(N(CX116)&lt;=0.005,0,ROUND(N(CX116)*N('Debt List'!E8)/12,2))</f>
        <v/>
      </c>
      <c r="CZ116">
        <f>IF(N(CX116)&lt;=0.005,0,MIN(N('Debt List'!F8),N(CX116)+N(CY116)))+((DR116=4)*DT116+(DV116=4)*DX116+(DZ116=4)*EB116+(ED116=4)*EF116+(EH116=4)*EJ116+(EL116=4)*EN116+(EP116=4)*ER116+(ET116=4)*EV116)</f>
        <v/>
      </c>
      <c r="DA116">
        <f>MAX(0,ROUND(N(CX116)+N(CY116)-N(CZ116),2))</f>
        <v/>
      </c>
      <c r="DB116">
        <f>N(DE115)</f>
        <v/>
      </c>
      <c r="DC116">
        <f>IF(N(DB116)&lt;=0.005,0,ROUND(N(DB116)*N('Debt List'!E9)/12,2))</f>
        <v/>
      </c>
      <c r="DD116">
        <f>IF(N(DB116)&lt;=0.005,0,MIN(N('Debt List'!F9),N(DB116)+N(DC116)))+((DR116=5)*DT116+(DV116=5)*DX116+(DZ116=5)*EB116+(ED116=5)*EF116+(EH116=5)*EJ116+(EL116=5)*EN116+(EP116=5)*ER116+(ET116=5)*EV116)</f>
        <v/>
      </c>
      <c r="DE116">
        <f>MAX(0,ROUND(N(DB116)+N(DC116)-N(DD116),2))</f>
        <v/>
      </c>
      <c r="DF116">
        <f>N(DI115)</f>
        <v/>
      </c>
      <c r="DG116">
        <f>IF(N(DF116)&lt;=0.005,0,ROUND(N(DF116)*N('Debt List'!E10)/12,2))</f>
        <v/>
      </c>
      <c r="DH116">
        <f>IF(N(DF116)&lt;=0.005,0,MIN(N('Debt List'!F10),N(DF116)+N(DG116)))+((DR116=6)*DT116+(DV116=6)*DX116+(DZ116=6)*EB116+(ED116=6)*EF116+(EH116=6)*EJ116+(EL116=6)*EN116+(EP116=6)*ER116+(ET116=6)*EV116)</f>
        <v/>
      </c>
      <c r="DI116">
        <f>MAX(0,ROUND(N(DF116)+N(DG116)-N(DH116),2))</f>
        <v/>
      </c>
      <c r="DJ116">
        <f>N(DM115)</f>
        <v/>
      </c>
      <c r="DK116">
        <f>IF(N(DJ116)&lt;=0.005,0,ROUND(N(DJ116)*N('Debt List'!E11)/12,2))</f>
        <v/>
      </c>
      <c r="DL116">
        <f>IF(N(DJ116)&lt;=0.005,0,MIN(N('Debt List'!F11),N(DJ116)+N(DK116)))+((DR116=7)*DT116+(DV116=7)*DX116+(DZ116=7)*EB116+(ED116=7)*EF116+(EH116=7)*EJ116+(EL116=7)*EN116+(EP116=7)*ER116+(ET116=7)*EV116)</f>
        <v/>
      </c>
      <c r="DM116">
        <f>MAX(0,ROUND(N(DJ116)+N(DK116)-N(DL116),2))</f>
        <v/>
      </c>
      <c r="DN116">
        <f>N(DQ115)</f>
        <v/>
      </c>
      <c r="DO116">
        <f>IF(N(DN116)&lt;=0.005,0,ROUND(N(DN116)*N('Debt List'!E12)/12,2))</f>
        <v/>
      </c>
      <c r="DP116">
        <f>IF(N(DN116)&lt;=0.005,0,MIN(N('Debt List'!F12),N(DN116)+N(DO116)))+((DR116=8)*DT116+(DV116=8)*DX116+(DZ116=8)*EB116+(ED116=8)*EF116+(EH116=8)*EJ116+(EL116=8)*EN116+(EP116=8)*ER116+(ET116=8)*EV116)</f>
        <v/>
      </c>
      <c r="DQ116">
        <f>MAX(0,ROUND(N(DN116)+N(DO116)-N(DP116),2))</f>
        <v/>
      </c>
      <c r="DR116">
        <f>IFERROR(MATCH(1,OrderSnow,0),"")</f>
        <v/>
      </c>
      <c r="DS116">
        <f>IF(DR116="",0,IFERROR(IF(N(CHOOSE(DR116,CL116,CP116,CT116,CX116,DB116,DF116,DJ116,DN116))&lt;=0.005,0,MAX(0,N(CHOOSE(DR116,CL116,CP116,CT116,CX116,DB116,DF116,DJ116,DN116))+N(CHOOSE(DR116,CM116,CQ116,CU116,CY116,DC116,DG116,DK116,DO116))-MIN(N(CHOOSE(DR116,'Debt List'!$F$5,'Debt List'!$F$6,'Debt List'!$F$7,'Debt List'!$F$8,'Debt List'!$F$9,'Debt List'!$F$10,'Debt List'!$F$11,'Debt List'!$F$12)),N(CHOOSE(DR116,CL116,CP116,CT116,CX116,DB116,DF116,DJ116,DN116))+N(CHOOSE(DR116,CM116,CQ116,CU116,CY116,DC116,DG116,DK116,DO116))))),0))</f>
        <v/>
      </c>
      <c r="DT116">
        <f>MIN(N(DS116),MAX(0,N(ExtraPayment)))</f>
        <v/>
      </c>
      <c r="DU116">
        <f>MAX(0,N(ExtraPayment)-N(DT116))</f>
        <v/>
      </c>
      <c r="DV116">
        <f>IFERROR(MATCH(2,OrderSnow,0),"")</f>
        <v/>
      </c>
      <c r="DW116">
        <f>IF(DV116="",0,IFERROR(IF(N(CHOOSE(DV116,CL116,CP116,CT116,CX116,DB116,DF116,DJ116,DN116))&lt;=0.005,0,MAX(0,N(CHOOSE(DV116,CL116,CP116,CT116,CX116,DB116,DF116,DJ116,DN116))+N(CHOOSE(DV116,CM116,CQ116,CU116,CY116,DC116,DG116,DK116,DO116))-MIN(N(CHOOSE(DV116,'Debt List'!$F$5,'Debt List'!$F$6,'Debt List'!$F$7,'Debt List'!$F$8,'Debt List'!$F$9,'Debt List'!$F$10,'Debt List'!$F$11,'Debt List'!$F$12)),N(CHOOSE(DV116,CL116,CP116,CT116,CX116,DB116,DF116,DJ116,DN116))+N(CHOOSE(DV116,CM116,CQ116,CU116,CY116,DC116,DG116,DK116,DO116))))),0))</f>
        <v/>
      </c>
      <c r="DX116">
        <f>MIN(N(DW116),MAX(0,N(DU116)))</f>
        <v/>
      </c>
      <c r="DY116">
        <f>MAX(0,N(DU116)-N(DX116))</f>
        <v/>
      </c>
      <c r="DZ116">
        <f>IFERROR(MATCH(3,OrderSnow,0),"")</f>
        <v/>
      </c>
      <c r="EA116">
        <f>IF(DZ116="",0,IFERROR(IF(N(CHOOSE(DZ116,CL116,CP116,CT116,CX116,DB116,DF116,DJ116,DN116))&lt;=0.005,0,MAX(0,N(CHOOSE(DZ116,CL116,CP116,CT116,CX116,DB116,DF116,DJ116,DN116))+N(CHOOSE(DZ116,CM116,CQ116,CU116,CY116,DC116,DG116,DK116,DO116))-MIN(N(CHOOSE(DZ116,'Debt List'!$F$5,'Debt List'!$F$6,'Debt List'!$F$7,'Debt List'!$F$8,'Debt List'!$F$9,'Debt List'!$F$10,'Debt List'!$F$11,'Debt List'!$F$12)),N(CHOOSE(DZ116,CL116,CP116,CT116,CX116,DB116,DF116,DJ116,DN116))+N(CHOOSE(DZ116,CM116,CQ116,CU116,CY116,DC116,DG116,DK116,DO116))))),0))</f>
        <v/>
      </c>
      <c r="EB116">
        <f>MIN(N(EA116),MAX(0,N(DY116)))</f>
        <v/>
      </c>
      <c r="EC116">
        <f>MAX(0,N(DY116)-N(EB116))</f>
        <v/>
      </c>
      <c r="ED116">
        <f>IFERROR(MATCH(4,OrderSnow,0),"")</f>
        <v/>
      </c>
      <c r="EE116">
        <f>IF(ED116="",0,IFERROR(IF(N(CHOOSE(ED116,CL116,CP116,CT116,CX116,DB116,DF116,DJ116,DN116))&lt;=0.005,0,MAX(0,N(CHOOSE(ED116,CL116,CP116,CT116,CX116,DB116,DF116,DJ116,DN116))+N(CHOOSE(ED116,CM116,CQ116,CU116,CY116,DC116,DG116,DK116,DO116))-MIN(N(CHOOSE(ED116,'Debt List'!$F$5,'Debt List'!$F$6,'Debt List'!$F$7,'Debt List'!$F$8,'Debt List'!$F$9,'Debt List'!$F$10,'Debt List'!$F$11,'Debt List'!$F$12)),N(CHOOSE(ED116,CL116,CP116,CT116,CX116,DB116,DF116,DJ116,DN116))+N(CHOOSE(ED116,CM116,CQ116,CU116,CY116,DC116,DG116,DK116,DO116))))),0))</f>
        <v/>
      </c>
      <c r="EF116">
        <f>MIN(N(EE116),MAX(0,N(EC116)))</f>
        <v/>
      </c>
      <c r="EG116">
        <f>MAX(0,N(EC116)-N(EF116))</f>
        <v/>
      </c>
      <c r="EH116">
        <f>IFERROR(MATCH(5,OrderSnow,0),"")</f>
        <v/>
      </c>
      <c r="EI116">
        <f>IF(EH116="",0,IFERROR(IF(N(CHOOSE(EH116,CL116,CP116,CT116,CX116,DB116,DF116,DJ116,DN116))&lt;=0.005,0,MAX(0,N(CHOOSE(EH116,CL116,CP116,CT116,CX116,DB116,DF116,DJ116,DN116))+N(CHOOSE(EH116,CM116,CQ116,CU116,CY116,DC116,DG116,DK116,DO116))-MIN(N(CHOOSE(EH116,'Debt List'!$F$5,'Debt List'!$F$6,'Debt List'!$F$7,'Debt List'!$F$8,'Debt List'!$F$9,'Debt List'!$F$10,'Debt List'!$F$11,'Debt List'!$F$12)),N(CHOOSE(EH116,CL116,CP116,CT116,CX116,DB116,DF116,DJ116,DN116))+N(CHOOSE(EH116,CM116,CQ116,CU116,CY116,DC116,DG116,DK116,DO116))))),0))</f>
        <v/>
      </c>
      <c r="EJ116">
        <f>MIN(N(EI116),MAX(0,N(EG116)))</f>
        <v/>
      </c>
      <c r="EK116">
        <f>MAX(0,N(EG116)-N(EJ116))</f>
        <v/>
      </c>
      <c r="EL116">
        <f>IFERROR(MATCH(6,OrderSnow,0),"")</f>
        <v/>
      </c>
      <c r="EM116">
        <f>IF(EL116="",0,IFERROR(IF(N(CHOOSE(EL116,CL116,CP116,CT116,CX116,DB116,DF116,DJ116,DN116))&lt;=0.005,0,MAX(0,N(CHOOSE(EL116,CL116,CP116,CT116,CX116,DB116,DF116,DJ116,DN116))+N(CHOOSE(EL116,CM116,CQ116,CU116,CY116,DC116,DG116,DK116,DO116))-MIN(N(CHOOSE(EL116,'Debt List'!$F$5,'Debt List'!$F$6,'Debt List'!$F$7,'Debt List'!$F$8,'Debt List'!$F$9,'Debt List'!$F$10,'Debt List'!$F$11,'Debt List'!$F$12)),N(CHOOSE(EL116,CL116,CP116,CT116,CX116,DB116,DF116,DJ116,DN116))+N(CHOOSE(EL116,CM116,CQ116,CU116,CY116,DC116,DG116,DK116,DO116))))),0))</f>
        <v/>
      </c>
      <c r="EN116">
        <f>MIN(N(EM116),MAX(0,N(EK116)))</f>
        <v/>
      </c>
      <c r="EO116">
        <f>MAX(0,N(EK116)-N(EN116))</f>
        <v/>
      </c>
      <c r="EP116">
        <f>IFERROR(MATCH(7,OrderSnow,0),"")</f>
        <v/>
      </c>
      <c r="EQ116">
        <f>IF(EP116="",0,IFERROR(IF(N(CHOOSE(EP116,CL116,CP116,CT116,CX116,DB116,DF116,DJ116,DN116))&lt;=0.005,0,MAX(0,N(CHOOSE(EP116,CL116,CP116,CT116,CX116,DB116,DF116,DJ116,DN116))+N(CHOOSE(EP116,CM116,CQ116,CU116,CY116,DC116,DG116,DK116,DO116))-MIN(N(CHOOSE(EP116,'Debt List'!$F$5,'Debt List'!$F$6,'Debt List'!$F$7,'Debt List'!$F$8,'Debt List'!$F$9,'Debt List'!$F$10,'Debt List'!$F$11,'Debt List'!$F$12)),N(CHOOSE(EP116,CL116,CP116,CT116,CX116,DB116,DF116,DJ116,DN116))+N(CHOOSE(EP116,CM116,CQ116,CU116,CY116,DC116,DG116,DK116,DO116))))),0))</f>
        <v/>
      </c>
      <c r="ER116">
        <f>MIN(N(EQ116),MAX(0,N(EO116)))</f>
        <v/>
      </c>
      <c r="ES116">
        <f>MAX(0,N(EO116)-N(ER116))</f>
        <v/>
      </c>
      <c r="ET116">
        <f>IFERROR(MATCH(8,OrderSnow,0),"")</f>
        <v/>
      </c>
      <c r="EU116">
        <f>IF(ET116="",0,IFERROR(IF(N(CHOOSE(ET116,CL116,CP116,CT116,CX116,DB116,DF116,DJ116,DN116))&lt;=0.005,0,MAX(0,N(CHOOSE(ET116,CL116,CP116,CT116,CX116,DB116,DF116,DJ116,DN116))+N(CHOOSE(ET116,CM116,CQ116,CU116,CY116,DC116,DG116,DK116,DO116))-MIN(N(CHOOSE(ET116,'Debt List'!$F$5,'Debt List'!$F$6,'Debt List'!$F$7,'Debt List'!$F$8,'Debt List'!$F$9,'Debt List'!$F$10,'Debt List'!$F$11,'Debt List'!$F$12)),N(CHOOSE(ET116,CL116,CP116,CT116,CX116,DB116,DF116,DJ116,DN116))+N(CHOOSE(ET116,CM116,CQ116,CU116,CY116,DC116,DG116,DK116,DO116))))),0))</f>
        <v/>
      </c>
      <c r="EV116">
        <f>MIN(N(EU116),MAX(0,N(ES116)))</f>
        <v/>
      </c>
      <c r="EW116">
        <f>MAX(0,N(ES116)-N(EV116))</f>
        <v/>
      </c>
      <c r="FE116" t="n">
        <v>112</v>
      </c>
      <c r="FF116" s="115">
        <f>DATE(YEAR(PlanStart),MONTH(PlanStart)+FE116-1,1)</f>
        <v/>
      </c>
      <c r="FG116">
        <f>IF(AND(GT116&lt;&gt;"",N(CHOOSE(GT116,FN116,FR116,FV116,FZ116,GD116,GH116,GL116,GP116))&gt;0.005),INDEX(DebtNames,GT116),IF(AND(GX116&lt;&gt;"",N(CHOOSE(GX116,FN116,FR116,FV116,FZ116,GD116,GH116,GL116,GP116))&gt;0.005),INDEX(DebtNames,GX116),IF(AND(HB116&lt;&gt;"",N(CHOOSE(HB116,FN116,FR116,FV116,FZ116,GD116,GH116,GL116,GP116))&gt;0.005),INDEX(DebtNames,HB116),IF(AND(HF116&lt;&gt;"",N(CHOOSE(HF116,FN116,FR116,FV116,FZ116,GD116,GH116,GL116,GP116))&gt;0.005),INDEX(DebtNames,HF116),IF(AND(HJ116&lt;&gt;"",N(CHOOSE(HJ116,FN116,FR116,FV116,FZ116,GD116,GH116,GL116,GP116))&gt;0.005),INDEX(DebtNames,HJ116),IF(AND(HN116&lt;&gt;"",N(CHOOSE(HN116,FN116,FR116,FV116,FZ116,GD116,GH116,GL116,GP116))&gt;0.005),INDEX(DebtNames,HN116),IF(AND(HR116&lt;&gt;"",N(CHOOSE(HR116,FN116,FR116,FV116,FZ116,GD116,GH116,GL116,GP116))&gt;0.005),INDEX(DebtNames,HR116),IF(AND(HV116&lt;&gt;"",N(CHOOSE(HV116,FN116,FR116,FV116,FZ116,GD116,GH116,GL116,GP116))&gt;0.005),INDEX(DebtNames,HV116),""))))))))</f>
        <v/>
      </c>
      <c r="FH116">
        <f>N(HY116)</f>
        <v/>
      </c>
      <c r="FI116">
        <f>N(FP116)+N(FT116)+N(FX116)+N(GB116)+N(GF116)+N(GJ116)+N(GN116)+N(GR116)</f>
        <v/>
      </c>
      <c r="FJ116">
        <f>N(FO116)+N(FS116)+N(FW116)+N(GA116)+N(GE116)+N(GI116)+N(GM116)+N(GQ116)</f>
        <v/>
      </c>
      <c r="FK116">
        <f>N(FK115)+N(FJ116)</f>
        <v/>
      </c>
      <c r="FL116">
        <f>N(FQ116)+N(FU116)+N(FY116)+N(GC116)+N(GG116)+N(GK116)+N(GO116)+N(GS116)</f>
        <v/>
      </c>
      <c r="FM116">
        <f>(FQ116&gt;0.005)*1+(FU116&gt;0.005)*1+(FY116&gt;0.005)*1+(GC116&gt;0.005)*1+(GG116&gt;0.005)*1+(GK116&gt;0.005)*1+(GO116&gt;0.005)*1+(GS116&gt;0.005)*1</f>
        <v/>
      </c>
      <c r="FN116">
        <f>N(FQ115)</f>
        <v/>
      </c>
      <c r="FO116">
        <f>IF(N(FN116)&lt;=0.005,0,ROUND(N(FN116)*N('Debt List'!E5)/12,2))</f>
        <v/>
      </c>
      <c r="FP116">
        <f>IF(N(FN116)&lt;=0.005,0,MIN(N('Debt List'!F5),N(FN116)+N(FO116)))+((GT116=1)*GV116+(GX116=1)*GZ116+(HB116=1)*HD116+(HF116=1)*HH116+(HJ116=1)*HL116+(HN116=1)*HP116+(HR116=1)*HT116+(HV116=1)*HX116)</f>
        <v/>
      </c>
      <c r="FQ116">
        <f>MAX(0,ROUND(N(FN116)+N(FO116)-N(FP116),2))</f>
        <v/>
      </c>
      <c r="FR116">
        <f>N(FU115)</f>
        <v/>
      </c>
      <c r="FS116">
        <f>IF(N(FR116)&lt;=0.005,0,ROUND(N(FR116)*N('Debt List'!E6)/12,2))</f>
        <v/>
      </c>
      <c r="FT116">
        <f>IF(N(FR116)&lt;=0.005,0,MIN(N('Debt List'!F6),N(FR116)+N(FS116)))+((GT116=2)*GV116+(GX116=2)*GZ116+(HB116=2)*HD116+(HF116=2)*HH116+(HJ116=2)*HL116+(HN116=2)*HP116+(HR116=2)*HT116+(HV116=2)*HX116)</f>
        <v/>
      </c>
      <c r="FU116">
        <f>MAX(0,ROUND(N(FR116)+N(FS116)-N(FT116),2))</f>
        <v/>
      </c>
      <c r="FV116">
        <f>N(FY115)</f>
        <v/>
      </c>
      <c r="FW116">
        <f>IF(N(FV116)&lt;=0.005,0,ROUND(N(FV116)*N('Debt List'!E7)/12,2))</f>
        <v/>
      </c>
      <c r="FX116">
        <f>IF(N(FV116)&lt;=0.005,0,MIN(N('Debt List'!F7),N(FV116)+N(FW116)))+((GT116=3)*GV116+(GX116=3)*GZ116+(HB116=3)*HD116+(HF116=3)*HH116+(HJ116=3)*HL116+(HN116=3)*HP116+(HR116=3)*HT116+(HV116=3)*HX116)</f>
        <v/>
      </c>
      <c r="FY116">
        <f>MAX(0,ROUND(N(FV116)+N(FW116)-N(FX116),2))</f>
        <v/>
      </c>
      <c r="FZ116">
        <f>N(GC115)</f>
        <v/>
      </c>
      <c r="GA116">
        <f>IF(N(FZ116)&lt;=0.005,0,ROUND(N(FZ116)*N('Debt List'!E8)/12,2))</f>
        <v/>
      </c>
      <c r="GB116">
        <f>IF(N(FZ116)&lt;=0.005,0,MIN(N('Debt List'!F8),N(FZ116)+N(GA116)))+((GT116=4)*GV116+(GX116=4)*GZ116+(HB116=4)*HD116+(HF116=4)*HH116+(HJ116=4)*HL116+(HN116=4)*HP116+(HR116=4)*HT116+(HV116=4)*HX116)</f>
        <v/>
      </c>
      <c r="GC116">
        <f>MAX(0,ROUND(N(FZ116)+N(GA116)-N(GB116),2))</f>
        <v/>
      </c>
      <c r="GD116">
        <f>N(GG115)</f>
        <v/>
      </c>
      <c r="GE116">
        <f>IF(N(GD116)&lt;=0.005,0,ROUND(N(GD116)*N('Debt List'!E9)/12,2))</f>
        <v/>
      </c>
      <c r="GF116">
        <f>IF(N(GD116)&lt;=0.005,0,MIN(N('Debt List'!F9),N(GD116)+N(GE116)))+((GT116=5)*GV116+(GX116=5)*GZ116+(HB116=5)*HD116+(HF116=5)*HH116+(HJ116=5)*HL116+(HN116=5)*HP116+(HR116=5)*HT116+(HV116=5)*HX116)</f>
        <v/>
      </c>
      <c r="GG116">
        <f>MAX(0,ROUND(N(GD116)+N(GE116)-N(GF116),2))</f>
        <v/>
      </c>
      <c r="GH116">
        <f>N(GK115)</f>
        <v/>
      </c>
      <c r="GI116">
        <f>IF(N(GH116)&lt;=0.005,0,ROUND(N(GH116)*N('Debt List'!E10)/12,2))</f>
        <v/>
      </c>
      <c r="GJ116">
        <f>IF(N(GH116)&lt;=0.005,0,MIN(N('Debt List'!F10),N(GH116)+N(GI116)))+((GT116=6)*GV116+(GX116=6)*GZ116+(HB116=6)*HD116+(HF116=6)*HH116+(HJ116=6)*HL116+(HN116=6)*HP116+(HR116=6)*HT116+(HV116=6)*HX116)</f>
        <v/>
      </c>
      <c r="GK116">
        <f>MAX(0,ROUND(N(GH116)+N(GI116)-N(GJ116),2))</f>
        <v/>
      </c>
      <c r="GL116">
        <f>N(GO115)</f>
        <v/>
      </c>
      <c r="GM116">
        <f>IF(N(GL116)&lt;=0.005,0,ROUND(N(GL116)*N('Debt List'!E11)/12,2))</f>
        <v/>
      </c>
      <c r="GN116">
        <f>IF(N(GL116)&lt;=0.005,0,MIN(N('Debt List'!F11),N(GL116)+N(GM116)))+((GT116=7)*GV116+(GX116=7)*GZ116+(HB116=7)*HD116+(HF116=7)*HH116+(HJ116=7)*HL116+(HN116=7)*HP116+(HR116=7)*HT116+(HV116=7)*HX116)</f>
        <v/>
      </c>
      <c r="GO116">
        <f>MAX(0,ROUND(N(GL116)+N(GM116)-N(GN116),2))</f>
        <v/>
      </c>
      <c r="GP116">
        <f>N(GS115)</f>
        <v/>
      </c>
      <c r="GQ116">
        <f>IF(N(GP116)&lt;=0.005,0,ROUND(N(GP116)*N('Debt List'!E12)/12,2))</f>
        <v/>
      </c>
      <c r="GR116">
        <f>IF(N(GP116)&lt;=0.005,0,MIN(N('Debt List'!F12),N(GP116)+N(GQ116)))+((GT116=8)*GV116+(GX116=8)*GZ116+(HB116=8)*HD116+(HF116=8)*HH116+(HJ116=8)*HL116+(HN116=8)*HP116+(HR116=8)*HT116+(HV116=8)*HX116)</f>
        <v/>
      </c>
      <c r="GS116">
        <f>MAX(0,ROUND(N(GP116)+N(GQ116)-N(GR116),2))</f>
        <v/>
      </c>
      <c r="GT116">
        <f>IFERROR(MATCH(1,OrderAval,0),"")</f>
        <v/>
      </c>
      <c r="GU116">
        <f>IF(GT116="",0,IFERROR(IF(N(CHOOSE(GT116,FN116,FR116,FV116,FZ116,GD116,GH116,GL116,GP116))&lt;=0.005,0,MAX(0,N(CHOOSE(GT116,FN116,FR116,FV116,FZ116,GD116,GH116,GL116,GP116))+N(CHOOSE(GT116,FO116,FS116,FW116,GA116,GE116,GI116,GM116,GQ116))-MIN(N(CHOOSE(GT116,'Debt List'!$F$5,'Debt List'!$F$6,'Debt List'!$F$7,'Debt List'!$F$8,'Debt List'!$F$9,'Debt List'!$F$10,'Debt List'!$F$11,'Debt List'!$F$12)),N(CHOOSE(GT116,FN116,FR116,FV116,FZ116,GD116,GH116,GL116,GP116))+N(CHOOSE(GT116,FO116,FS116,FW116,GA116,GE116,GI116,GM116,GQ116))))),0))</f>
        <v/>
      </c>
      <c r="GV116">
        <f>MIN(N(GU116),MAX(0,N(ExtraPayment)))</f>
        <v/>
      </c>
      <c r="GW116">
        <f>MAX(0,N(ExtraPayment)-N(GV116))</f>
        <v/>
      </c>
      <c r="GX116">
        <f>IFERROR(MATCH(2,OrderAval,0),"")</f>
        <v/>
      </c>
      <c r="GY116">
        <f>IF(GX116="",0,IFERROR(IF(N(CHOOSE(GX116,FN116,FR116,FV116,FZ116,GD116,GH116,GL116,GP116))&lt;=0.005,0,MAX(0,N(CHOOSE(GX116,FN116,FR116,FV116,FZ116,GD116,GH116,GL116,GP116))+N(CHOOSE(GX116,FO116,FS116,FW116,GA116,GE116,GI116,GM116,GQ116))-MIN(N(CHOOSE(GX116,'Debt List'!$F$5,'Debt List'!$F$6,'Debt List'!$F$7,'Debt List'!$F$8,'Debt List'!$F$9,'Debt List'!$F$10,'Debt List'!$F$11,'Debt List'!$F$12)),N(CHOOSE(GX116,FN116,FR116,FV116,FZ116,GD116,GH116,GL116,GP116))+N(CHOOSE(GX116,FO116,FS116,FW116,GA116,GE116,GI116,GM116,GQ116))))),0))</f>
        <v/>
      </c>
      <c r="GZ116">
        <f>MIN(N(GY116),MAX(0,N(GW116)))</f>
        <v/>
      </c>
      <c r="HA116">
        <f>MAX(0,N(GW116)-N(GZ116))</f>
        <v/>
      </c>
      <c r="HB116">
        <f>IFERROR(MATCH(3,OrderAval,0),"")</f>
        <v/>
      </c>
      <c r="HC116">
        <f>IF(HB116="",0,IFERROR(IF(N(CHOOSE(HB116,FN116,FR116,FV116,FZ116,GD116,GH116,GL116,GP116))&lt;=0.005,0,MAX(0,N(CHOOSE(HB116,FN116,FR116,FV116,FZ116,GD116,GH116,GL116,GP116))+N(CHOOSE(HB116,FO116,FS116,FW116,GA116,GE116,GI116,GM116,GQ116))-MIN(N(CHOOSE(HB116,'Debt List'!$F$5,'Debt List'!$F$6,'Debt List'!$F$7,'Debt List'!$F$8,'Debt List'!$F$9,'Debt List'!$F$10,'Debt List'!$F$11,'Debt List'!$F$12)),N(CHOOSE(HB116,FN116,FR116,FV116,FZ116,GD116,GH116,GL116,GP116))+N(CHOOSE(HB116,FO116,FS116,FW116,GA116,GE116,GI116,GM116,GQ116))))),0))</f>
        <v/>
      </c>
      <c r="HD116">
        <f>MIN(N(HC116),MAX(0,N(HA116)))</f>
        <v/>
      </c>
      <c r="HE116">
        <f>MAX(0,N(HA116)-N(HD116))</f>
        <v/>
      </c>
      <c r="HF116">
        <f>IFERROR(MATCH(4,OrderAval,0),"")</f>
        <v/>
      </c>
      <c r="HG116">
        <f>IF(HF116="",0,IFERROR(IF(N(CHOOSE(HF116,FN116,FR116,FV116,FZ116,GD116,GH116,GL116,GP116))&lt;=0.005,0,MAX(0,N(CHOOSE(HF116,FN116,FR116,FV116,FZ116,GD116,GH116,GL116,GP116))+N(CHOOSE(HF116,FO116,FS116,FW116,GA116,GE116,GI116,GM116,GQ116))-MIN(N(CHOOSE(HF116,'Debt List'!$F$5,'Debt List'!$F$6,'Debt List'!$F$7,'Debt List'!$F$8,'Debt List'!$F$9,'Debt List'!$F$10,'Debt List'!$F$11,'Debt List'!$F$12)),N(CHOOSE(HF116,FN116,FR116,FV116,FZ116,GD116,GH116,GL116,GP116))+N(CHOOSE(HF116,FO116,FS116,FW116,GA116,GE116,GI116,GM116,GQ116))))),0))</f>
        <v/>
      </c>
      <c r="HH116">
        <f>MIN(N(HG116),MAX(0,N(HE116)))</f>
        <v/>
      </c>
      <c r="HI116">
        <f>MAX(0,N(HE116)-N(HH116))</f>
        <v/>
      </c>
      <c r="HJ116">
        <f>IFERROR(MATCH(5,OrderAval,0),"")</f>
        <v/>
      </c>
      <c r="HK116">
        <f>IF(HJ116="",0,IFERROR(IF(N(CHOOSE(HJ116,FN116,FR116,FV116,FZ116,GD116,GH116,GL116,GP116))&lt;=0.005,0,MAX(0,N(CHOOSE(HJ116,FN116,FR116,FV116,FZ116,GD116,GH116,GL116,GP116))+N(CHOOSE(HJ116,FO116,FS116,FW116,GA116,GE116,GI116,GM116,GQ116))-MIN(N(CHOOSE(HJ116,'Debt List'!$F$5,'Debt List'!$F$6,'Debt List'!$F$7,'Debt List'!$F$8,'Debt List'!$F$9,'Debt List'!$F$10,'Debt List'!$F$11,'Debt List'!$F$12)),N(CHOOSE(HJ116,FN116,FR116,FV116,FZ116,GD116,GH116,GL116,GP116))+N(CHOOSE(HJ116,FO116,FS116,FW116,GA116,GE116,GI116,GM116,GQ116))))),0))</f>
        <v/>
      </c>
      <c r="HL116">
        <f>MIN(N(HK116),MAX(0,N(HI116)))</f>
        <v/>
      </c>
      <c r="HM116">
        <f>MAX(0,N(HI116)-N(HL116))</f>
        <v/>
      </c>
      <c r="HN116">
        <f>IFERROR(MATCH(6,OrderAval,0),"")</f>
        <v/>
      </c>
      <c r="HO116">
        <f>IF(HN116="",0,IFERROR(IF(N(CHOOSE(HN116,FN116,FR116,FV116,FZ116,GD116,GH116,GL116,GP116))&lt;=0.005,0,MAX(0,N(CHOOSE(HN116,FN116,FR116,FV116,FZ116,GD116,GH116,GL116,GP116))+N(CHOOSE(HN116,FO116,FS116,FW116,GA116,GE116,GI116,GM116,GQ116))-MIN(N(CHOOSE(HN116,'Debt List'!$F$5,'Debt List'!$F$6,'Debt List'!$F$7,'Debt List'!$F$8,'Debt List'!$F$9,'Debt List'!$F$10,'Debt List'!$F$11,'Debt List'!$F$12)),N(CHOOSE(HN116,FN116,FR116,FV116,FZ116,GD116,GH116,GL116,GP116))+N(CHOOSE(HN116,FO116,FS116,FW116,GA116,GE116,GI116,GM116,GQ116))))),0))</f>
        <v/>
      </c>
      <c r="HP116">
        <f>MIN(N(HO116),MAX(0,N(HM116)))</f>
        <v/>
      </c>
      <c r="HQ116">
        <f>MAX(0,N(HM116)-N(HP116))</f>
        <v/>
      </c>
      <c r="HR116">
        <f>IFERROR(MATCH(7,OrderAval,0),"")</f>
        <v/>
      </c>
      <c r="HS116">
        <f>IF(HR116="",0,IFERROR(IF(N(CHOOSE(HR116,FN116,FR116,FV116,FZ116,GD116,GH116,GL116,GP116))&lt;=0.005,0,MAX(0,N(CHOOSE(HR116,FN116,FR116,FV116,FZ116,GD116,GH116,GL116,GP116))+N(CHOOSE(HR116,FO116,FS116,FW116,GA116,GE116,GI116,GM116,GQ116))-MIN(N(CHOOSE(HR116,'Debt List'!$F$5,'Debt List'!$F$6,'Debt List'!$F$7,'Debt List'!$F$8,'Debt List'!$F$9,'Debt List'!$F$10,'Debt List'!$F$11,'Debt List'!$F$12)),N(CHOOSE(HR116,FN116,FR116,FV116,FZ116,GD116,GH116,GL116,GP116))+N(CHOOSE(HR116,FO116,FS116,FW116,GA116,GE116,GI116,GM116,GQ116))))),0))</f>
        <v/>
      </c>
      <c r="HT116">
        <f>MIN(N(HS116),MAX(0,N(HQ116)))</f>
        <v/>
      </c>
      <c r="HU116">
        <f>MAX(0,N(HQ116)-N(HT116))</f>
        <v/>
      </c>
      <c r="HV116">
        <f>IFERROR(MATCH(8,OrderAval,0),"")</f>
        <v/>
      </c>
      <c r="HW116">
        <f>IF(HV116="",0,IFERROR(IF(N(CHOOSE(HV116,FN116,FR116,FV116,FZ116,GD116,GH116,GL116,GP116))&lt;=0.005,0,MAX(0,N(CHOOSE(HV116,FN116,FR116,FV116,FZ116,GD116,GH116,GL116,GP116))+N(CHOOSE(HV116,FO116,FS116,FW116,GA116,GE116,GI116,GM116,GQ116))-MIN(N(CHOOSE(HV116,'Debt List'!$F$5,'Debt List'!$F$6,'Debt List'!$F$7,'Debt List'!$F$8,'Debt List'!$F$9,'Debt List'!$F$10,'Debt List'!$F$11,'Debt List'!$F$12)),N(CHOOSE(HV116,FN116,FR116,FV116,FZ116,GD116,GH116,GL116,GP116))+N(CHOOSE(HV116,FO116,FS116,FW116,GA116,GE116,GI116,GM116,GQ116))))),0))</f>
        <v/>
      </c>
      <c r="HX116">
        <f>MIN(N(HW116),MAX(0,N(HU116)))</f>
        <v/>
      </c>
      <c r="HY116">
        <f>MAX(0,N(HU116)-N(HX116))</f>
        <v/>
      </c>
    </row>
    <row r="117">
      <c r="A117" t="n">
        <v>113</v>
      </c>
      <c r="B117" s="115">
        <f>DATE(YEAR(PlanStart),MONTH(PlanStart)+A117-1,1)</f>
        <v/>
      </c>
      <c r="C117">
        <f>IF(AND(AP117&lt;&gt;"",N(CHOOSE(AP117,J117,N117,R117,V117,Z117,AD117,AH117,AL117))&gt;0.005),INDEX(DebtNames,AP117),IF(AND(AT117&lt;&gt;"",N(CHOOSE(AT117,J117,N117,R117,V117,Z117,AD117,AH117,AL117))&gt;0.005),INDEX(DebtNames,AT117),IF(AND(AX117&lt;&gt;"",N(CHOOSE(AX117,J117,N117,R117,V117,Z117,AD117,AH117,AL117))&gt;0.005),INDEX(DebtNames,AX117),IF(AND(BB117&lt;&gt;"",N(CHOOSE(BB117,J117,N117,R117,V117,Z117,AD117,AH117,AL117))&gt;0.005),INDEX(DebtNames,BB117),IF(AND(BF117&lt;&gt;"",N(CHOOSE(BF117,J117,N117,R117,V117,Z117,AD117,AH117,AL117))&gt;0.005),INDEX(DebtNames,BF117),IF(AND(BJ117&lt;&gt;"",N(CHOOSE(BJ117,J117,N117,R117,V117,Z117,AD117,AH117,AL117))&gt;0.005),INDEX(DebtNames,BJ117),IF(AND(BN117&lt;&gt;"",N(CHOOSE(BN117,J117,N117,R117,V117,Z117,AD117,AH117,AL117))&gt;0.005),INDEX(DebtNames,BN117),IF(AND(BR117&lt;&gt;"",N(CHOOSE(BR117,J117,N117,R117,V117,Z117,AD117,AH117,AL117))&gt;0.005),INDEX(DebtNames,BR117),""))))))))</f>
        <v/>
      </c>
      <c r="D117">
        <f>N(BU117)</f>
        <v/>
      </c>
      <c r="E117">
        <f>N(L117)+N(P117)+N(T117)+N(X117)+N(AB117)+N(AF117)+N(AJ117)+N(AN117)</f>
        <v/>
      </c>
      <c r="F117">
        <f>N(K117)+N(O117)+N(S117)+N(W117)+N(AA117)+N(AE117)+N(AI117)+N(AM117)</f>
        <v/>
      </c>
      <c r="G117">
        <f>N(G116)+N(F117)</f>
        <v/>
      </c>
      <c r="H117">
        <f>N(M117)+N(Q117)+N(U117)+N(Y117)+N(AC117)+N(AG117)+N(AK117)+N(AO117)</f>
        <v/>
      </c>
      <c r="I117">
        <f>(M117&gt;0.005)*1+(Q117&gt;0.005)*1+(U117&gt;0.005)*1+(Y117&gt;0.005)*1+(AC117&gt;0.005)*1+(AG117&gt;0.005)*1+(AK117&gt;0.005)*1+(AO117&gt;0.005)*1</f>
        <v/>
      </c>
      <c r="J117">
        <f>N(M116)</f>
        <v/>
      </c>
      <c r="K117">
        <f>IF(N(J117)&lt;=0.005,0,ROUND(N(J117)*N('Debt List'!E5)/12,2))</f>
        <v/>
      </c>
      <c r="L117">
        <f>IF(N(J117)&lt;=0.005,0,MIN(N('Debt List'!F5),N(J117)+N(K117)))+((AP117=1)*AR117+(AT117=1)*AV117+(AX117=1)*AZ117+(BB117=1)*BD117+(BF117=1)*BH117+(BJ117=1)*BL117+(BN117=1)*BP117+(BR117=1)*BT117)</f>
        <v/>
      </c>
      <c r="M117">
        <f>MAX(0,ROUND(N(J117)+N(K117)-N(L117),2))</f>
        <v/>
      </c>
      <c r="N117">
        <f>N(Q116)</f>
        <v/>
      </c>
      <c r="O117">
        <f>IF(N(N117)&lt;=0.005,0,ROUND(N(N117)*N('Debt List'!E6)/12,2))</f>
        <v/>
      </c>
      <c r="P117">
        <f>IF(N(N117)&lt;=0.005,0,MIN(N('Debt List'!F6),N(N117)+N(O117)))+((AP117=2)*AR117+(AT117=2)*AV117+(AX117=2)*AZ117+(BB117=2)*BD117+(BF117=2)*BH117+(BJ117=2)*BL117+(BN117=2)*BP117+(BR117=2)*BT117)</f>
        <v/>
      </c>
      <c r="Q117">
        <f>MAX(0,ROUND(N(N117)+N(O117)-N(P117),2))</f>
        <v/>
      </c>
      <c r="R117">
        <f>N(U116)</f>
        <v/>
      </c>
      <c r="S117">
        <f>IF(N(R117)&lt;=0.005,0,ROUND(N(R117)*N('Debt List'!E7)/12,2))</f>
        <v/>
      </c>
      <c r="T117">
        <f>IF(N(R117)&lt;=0.005,0,MIN(N('Debt List'!F7),N(R117)+N(S117)))+((AP117=3)*AR117+(AT117=3)*AV117+(AX117=3)*AZ117+(BB117=3)*BD117+(BF117=3)*BH117+(BJ117=3)*BL117+(BN117=3)*BP117+(BR117=3)*BT117)</f>
        <v/>
      </c>
      <c r="U117">
        <f>MAX(0,ROUND(N(R117)+N(S117)-N(T117),2))</f>
        <v/>
      </c>
      <c r="V117">
        <f>N(Y116)</f>
        <v/>
      </c>
      <c r="W117">
        <f>IF(N(V117)&lt;=0.005,0,ROUND(N(V117)*N('Debt List'!E8)/12,2))</f>
        <v/>
      </c>
      <c r="X117">
        <f>IF(N(V117)&lt;=0.005,0,MIN(N('Debt List'!F8),N(V117)+N(W117)))+((AP117=4)*AR117+(AT117=4)*AV117+(AX117=4)*AZ117+(BB117=4)*BD117+(BF117=4)*BH117+(BJ117=4)*BL117+(BN117=4)*BP117+(BR117=4)*BT117)</f>
        <v/>
      </c>
      <c r="Y117">
        <f>MAX(0,ROUND(N(V117)+N(W117)-N(X117),2))</f>
        <v/>
      </c>
      <c r="Z117">
        <f>N(AC116)</f>
        <v/>
      </c>
      <c r="AA117">
        <f>IF(N(Z117)&lt;=0.005,0,ROUND(N(Z117)*N('Debt List'!E9)/12,2))</f>
        <v/>
      </c>
      <c r="AB117">
        <f>IF(N(Z117)&lt;=0.005,0,MIN(N('Debt List'!F9),N(Z117)+N(AA117)))+((AP117=5)*AR117+(AT117=5)*AV117+(AX117=5)*AZ117+(BB117=5)*BD117+(BF117=5)*BH117+(BJ117=5)*BL117+(BN117=5)*BP117+(BR117=5)*BT117)</f>
        <v/>
      </c>
      <c r="AC117">
        <f>MAX(0,ROUND(N(Z117)+N(AA117)-N(AB117),2))</f>
        <v/>
      </c>
      <c r="AD117">
        <f>N(AG116)</f>
        <v/>
      </c>
      <c r="AE117">
        <f>IF(N(AD117)&lt;=0.005,0,ROUND(N(AD117)*N('Debt List'!E10)/12,2))</f>
        <v/>
      </c>
      <c r="AF117">
        <f>IF(N(AD117)&lt;=0.005,0,MIN(N('Debt List'!F10),N(AD117)+N(AE117)))+((AP117=6)*AR117+(AT117=6)*AV117+(AX117=6)*AZ117+(BB117=6)*BD117+(BF117=6)*BH117+(BJ117=6)*BL117+(BN117=6)*BP117+(BR117=6)*BT117)</f>
        <v/>
      </c>
      <c r="AG117">
        <f>MAX(0,ROUND(N(AD117)+N(AE117)-N(AF117),2))</f>
        <v/>
      </c>
      <c r="AH117">
        <f>N(AK116)</f>
        <v/>
      </c>
      <c r="AI117">
        <f>IF(N(AH117)&lt;=0.005,0,ROUND(N(AH117)*N('Debt List'!E11)/12,2))</f>
        <v/>
      </c>
      <c r="AJ117">
        <f>IF(N(AH117)&lt;=0.005,0,MIN(N('Debt List'!F11),N(AH117)+N(AI117)))+((AP117=7)*AR117+(AT117=7)*AV117+(AX117=7)*AZ117+(BB117=7)*BD117+(BF117=7)*BH117+(BJ117=7)*BL117+(BN117=7)*BP117+(BR117=7)*BT117)</f>
        <v/>
      </c>
      <c r="AK117">
        <f>MAX(0,ROUND(N(AH117)+N(AI117)-N(AJ117),2))</f>
        <v/>
      </c>
      <c r="AL117">
        <f>N(AO116)</f>
        <v/>
      </c>
      <c r="AM117">
        <f>IF(N(AL117)&lt;=0.005,0,ROUND(N(AL117)*N('Debt List'!E12)/12,2))</f>
        <v/>
      </c>
      <c r="AN117">
        <f>IF(N(AL117)&lt;=0.005,0,MIN(N('Debt List'!F12),N(AL117)+N(AM117)))+((AP117=8)*AR117+(AT117=8)*AV117+(AX117=8)*AZ117+(BB117=8)*BD117+(BF117=8)*BH117+(BJ117=8)*BL117+(BN117=8)*BP117+(BR117=8)*BT117)</f>
        <v/>
      </c>
      <c r="AO117">
        <f>MAX(0,ROUND(N(AL117)+N(AM117)-N(AN117),2))</f>
        <v/>
      </c>
      <c r="AP117">
        <f>IFERROR(MATCH(1,OrderPlan,0),"")</f>
        <v/>
      </c>
      <c r="AQ117">
        <f>IF(AP117="",0,IFERROR(IF(N(CHOOSE(AP117,J117,N117,R117,V117,Z117,AD117,AH117,AL117))&lt;=0.005,0,MAX(0,N(CHOOSE(AP117,J117,N117,R117,V117,Z117,AD117,AH117,AL117))+N(CHOOSE(AP117,K117,O117,S117,W117,AA117,AE117,AI117,AM117))-MIN(N(CHOOSE(AP117,'Debt List'!$F$5,'Debt List'!$F$6,'Debt List'!$F$7,'Debt List'!$F$8,'Debt List'!$F$9,'Debt List'!$F$10,'Debt List'!$F$11,'Debt List'!$F$12)),N(CHOOSE(AP117,J117,N117,R117,V117,Z117,AD117,AH117,AL117))+N(CHOOSE(AP117,K117,O117,S117,W117,AA117,AE117,AI117,AM117))))),0))</f>
        <v/>
      </c>
      <c r="AR117">
        <f>MIN(N(AQ117),MAX(0,N(ExtraPayment)))</f>
        <v/>
      </c>
      <c r="AS117">
        <f>MAX(0,N(ExtraPayment)-N(AR117))</f>
        <v/>
      </c>
      <c r="AT117">
        <f>IFERROR(MATCH(2,OrderPlan,0),"")</f>
        <v/>
      </c>
      <c r="AU117">
        <f>IF(AT117="",0,IFERROR(IF(N(CHOOSE(AT117,J117,N117,R117,V117,Z117,AD117,AH117,AL117))&lt;=0.005,0,MAX(0,N(CHOOSE(AT117,J117,N117,R117,V117,Z117,AD117,AH117,AL117))+N(CHOOSE(AT117,K117,O117,S117,W117,AA117,AE117,AI117,AM117))-MIN(N(CHOOSE(AT117,'Debt List'!$F$5,'Debt List'!$F$6,'Debt List'!$F$7,'Debt List'!$F$8,'Debt List'!$F$9,'Debt List'!$F$10,'Debt List'!$F$11,'Debt List'!$F$12)),N(CHOOSE(AT117,J117,N117,R117,V117,Z117,AD117,AH117,AL117))+N(CHOOSE(AT117,K117,O117,S117,W117,AA117,AE117,AI117,AM117))))),0))</f>
        <v/>
      </c>
      <c r="AV117">
        <f>MIN(N(AU117),MAX(0,N(AS117)))</f>
        <v/>
      </c>
      <c r="AW117">
        <f>MAX(0,N(AS117)-N(AV117))</f>
        <v/>
      </c>
      <c r="AX117">
        <f>IFERROR(MATCH(3,OrderPlan,0),"")</f>
        <v/>
      </c>
      <c r="AY117">
        <f>IF(AX117="",0,IFERROR(IF(N(CHOOSE(AX117,J117,N117,R117,V117,Z117,AD117,AH117,AL117))&lt;=0.005,0,MAX(0,N(CHOOSE(AX117,J117,N117,R117,V117,Z117,AD117,AH117,AL117))+N(CHOOSE(AX117,K117,O117,S117,W117,AA117,AE117,AI117,AM117))-MIN(N(CHOOSE(AX117,'Debt List'!$F$5,'Debt List'!$F$6,'Debt List'!$F$7,'Debt List'!$F$8,'Debt List'!$F$9,'Debt List'!$F$10,'Debt List'!$F$11,'Debt List'!$F$12)),N(CHOOSE(AX117,J117,N117,R117,V117,Z117,AD117,AH117,AL117))+N(CHOOSE(AX117,K117,O117,S117,W117,AA117,AE117,AI117,AM117))))),0))</f>
        <v/>
      </c>
      <c r="AZ117">
        <f>MIN(N(AY117),MAX(0,N(AW117)))</f>
        <v/>
      </c>
      <c r="BA117">
        <f>MAX(0,N(AW117)-N(AZ117))</f>
        <v/>
      </c>
      <c r="BB117">
        <f>IFERROR(MATCH(4,OrderPlan,0),"")</f>
        <v/>
      </c>
      <c r="BC117">
        <f>IF(BB117="",0,IFERROR(IF(N(CHOOSE(BB117,J117,N117,R117,V117,Z117,AD117,AH117,AL117))&lt;=0.005,0,MAX(0,N(CHOOSE(BB117,J117,N117,R117,V117,Z117,AD117,AH117,AL117))+N(CHOOSE(BB117,K117,O117,S117,W117,AA117,AE117,AI117,AM117))-MIN(N(CHOOSE(BB117,'Debt List'!$F$5,'Debt List'!$F$6,'Debt List'!$F$7,'Debt List'!$F$8,'Debt List'!$F$9,'Debt List'!$F$10,'Debt List'!$F$11,'Debt List'!$F$12)),N(CHOOSE(BB117,J117,N117,R117,V117,Z117,AD117,AH117,AL117))+N(CHOOSE(BB117,K117,O117,S117,W117,AA117,AE117,AI117,AM117))))),0))</f>
        <v/>
      </c>
      <c r="BD117">
        <f>MIN(N(BC117),MAX(0,N(BA117)))</f>
        <v/>
      </c>
      <c r="BE117">
        <f>MAX(0,N(BA117)-N(BD117))</f>
        <v/>
      </c>
      <c r="BF117">
        <f>IFERROR(MATCH(5,OrderPlan,0),"")</f>
        <v/>
      </c>
      <c r="BG117">
        <f>IF(BF117="",0,IFERROR(IF(N(CHOOSE(BF117,J117,N117,R117,V117,Z117,AD117,AH117,AL117))&lt;=0.005,0,MAX(0,N(CHOOSE(BF117,J117,N117,R117,V117,Z117,AD117,AH117,AL117))+N(CHOOSE(BF117,K117,O117,S117,W117,AA117,AE117,AI117,AM117))-MIN(N(CHOOSE(BF117,'Debt List'!$F$5,'Debt List'!$F$6,'Debt List'!$F$7,'Debt List'!$F$8,'Debt List'!$F$9,'Debt List'!$F$10,'Debt List'!$F$11,'Debt List'!$F$12)),N(CHOOSE(BF117,J117,N117,R117,V117,Z117,AD117,AH117,AL117))+N(CHOOSE(BF117,K117,O117,S117,W117,AA117,AE117,AI117,AM117))))),0))</f>
        <v/>
      </c>
      <c r="BH117">
        <f>MIN(N(BG117),MAX(0,N(BE117)))</f>
        <v/>
      </c>
      <c r="BI117">
        <f>MAX(0,N(BE117)-N(BH117))</f>
        <v/>
      </c>
      <c r="BJ117">
        <f>IFERROR(MATCH(6,OrderPlan,0),"")</f>
        <v/>
      </c>
      <c r="BK117">
        <f>IF(BJ117="",0,IFERROR(IF(N(CHOOSE(BJ117,J117,N117,R117,V117,Z117,AD117,AH117,AL117))&lt;=0.005,0,MAX(0,N(CHOOSE(BJ117,J117,N117,R117,V117,Z117,AD117,AH117,AL117))+N(CHOOSE(BJ117,K117,O117,S117,W117,AA117,AE117,AI117,AM117))-MIN(N(CHOOSE(BJ117,'Debt List'!$F$5,'Debt List'!$F$6,'Debt List'!$F$7,'Debt List'!$F$8,'Debt List'!$F$9,'Debt List'!$F$10,'Debt List'!$F$11,'Debt List'!$F$12)),N(CHOOSE(BJ117,J117,N117,R117,V117,Z117,AD117,AH117,AL117))+N(CHOOSE(BJ117,K117,O117,S117,W117,AA117,AE117,AI117,AM117))))),0))</f>
        <v/>
      </c>
      <c r="BL117">
        <f>MIN(N(BK117),MAX(0,N(BI117)))</f>
        <v/>
      </c>
      <c r="BM117">
        <f>MAX(0,N(BI117)-N(BL117))</f>
        <v/>
      </c>
      <c r="BN117">
        <f>IFERROR(MATCH(7,OrderPlan,0),"")</f>
        <v/>
      </c>
      <c r="BO117">
        <f>IF(BN117="",0,IFERROR(IF(N(CHOOSE(BN117,J117,N117,R117,V117,Z117,AD117,AH117,AL117))&lt;=0.005,0,MAX(0,N(CHOOSE(BN117,J117,N117,R117,V117,Z117,AD117,AH117,AL117))+N(CHOOSE(BN117,K117,O117,S117,W117,AA117,AE117,AI117,AM117))-MIN(N(CHOOSE(BN117,'Debt List'!$F$5,'Debt List'!$F$6,'Debt List'!$F$7,'Debt List'!$F$8,'Debt List'!$F$9,'Debt List'!$F$10,'Debt List'!$F$11,'Debt List'!$F$12)),N(CHOOSE(BN117,J117,N117,R117,V117,Z117,AD117,AH117,AL117))+N(CHOOSE(BN117,K117,O117,S117,W117,AA117,AE117,AI117,AM117))))),0))</f>
        <v/>
      </c>
      <c r="BP117">
        <f>MIN(N(BO117),MAX(0,N(BM117)))</f>
        <v/>
      </c>
      <c r="BQ117">
        <f>MAX(0,N(BM117)-N(BP117))</f>
        <v/>
      </c>
      <c r="BR117">
        <f>IFERROR(MATCH(8,OrderPlan,0),"")</f>
        <v/>
      </c>
      <c r="BS117">
        <f>IF(BR117="",0,IFERROR(IF(N(CHOOSE(BR117,J117,N117,R117,V117,Z117,AD117,AH117,AL117))&lt;=0.005,0,MAX(0,N(CHOOSE(BR117,J117,N117,R117,V117,Z117,AD117,AH117,AL117))+N(CHOOSE(BR117,K117,O117,S117,W117,AA117,AE117,AI117,AM117))-MIN(N(CHOOSE(BR117,'Debt List'!$F$5,'Debt List'!$F$6,'Debt List'!$F$7,'Debt List'!$F$8,'Debt List'!$F$9,'Debt List'!$F$10,'Debt List'!$F$11,'Debt List'!$F$12)),N(CHOOSE(BR117,J117,N117,R117,V117,Z117,AD117,AH117,AL117))+N(CHOOSE(BR117,K117,O117,S117,W117,AA117,AE117,AI117,AM117))))),0))</f>
        <v/>
      </c>
      <c r="BT117">
        <f>MIN(N(BS117),MAX(0,N(BQ117)))</f>
        <v/>
      </c>
      <c r="BU117">
        <f>MAX(0,N(BQ117)-N(BT117))</f>
        <v/>
      </c>
      <c r="CC117" t="n">
        <v>113</v>
      </c>
      <c r="CD117" s="115">
        <f>DATE(YEAR(PlanStart),MONTH(PlanStart)+CC117-1,1)</f>
        <v/>
      </c>
      <c r="CE117">
        <f>IF(AND(DR117&lt;&gt;"",N(CHOOSE(DR117,CL117,CP117,CT117,CX117,DB117,DF117,DJ117,DN117))&gt;0.005),INDEX(DebtNames,DR117),IF(AND(DV117&lt;&gt;"",N(CHOOSE(DV117,CL117,CP117,CT117,CX117,DB117,DF117,DJ117,DN117))&gt;0.005),INDEX(DebtNames,DV117),IF(AND(DZ117&lt;&gt;"",N(CHOOSE(DZ117,CL117,CP117,CT117,CX117,DB117,DF117,DJ117,DN117))&gt;0.005),INDEX(DebtNames,DZ117),IF(AND(ED117&lt;&gt;"",N(CHOOSE(ED117,CL117,CP117,CT117,CX117,DB117,DF117,DJ117,DN117))&gt;0.005),INDEX(DebtNames,ED117),IF(AND(EH117&lt;&gt;"",N(CHOOSE(EH117,CL117,CP117,CT117,CX117,DB117,DF117,DJ117,DN117))&gt;0.005),INDEX(DebtNames,EH117),IF(AND(EL117&lt;&gt;"",N(CHOOSE(EL117,CL117,CP117,CT117,CX117,DB117,DF117,DJ117,DN117))&gt;0.005),INDEX(DebtNames,EL117),IF(AND(EP117&lt;&gt;"",N(CHOOSE(EP117,CL117,CP117,CT117,CX117,DB117,DF117,DJ117,DN117))&gt;0.005),INDEX(DebtNames,EP117),IF(AND(ET117&lt;&gt;"",N(CHOOSE(ET117,CL117,CP117,CT117,CX117,DB117,DF117,DJ117,DN117))&gt;0.005),INDEX(DebtNames,ET117),""))))))))</f>
        <v/>
      </c>
      <c r="CF117">
        <f>N(EW117)</f>
        <v/>
      </c>
      <c r="CG117">
        <f>N(CN117)+N(CR117)+N(CV117)+N(CZ117)+N(DD117)+N(DH117)+N(DL117)+N(DP117)</f>
        <v/>
      </c>
      <c r="CH117">
        <f>N(CM117)+N(CQ117)+N(CU117)+N(CY117)+N(DC117)+N(DG117)+N(DK117)+N(DO117)</f>
        <v/>
      </c>
      <c r="CI117">
        <f>N(CI116)+N(CH117)</f>
        <v/>
      </c>
      <c r="CJ117">
        <f>N(CO117)+N(CS117)+N(CW117)+N(DA117)+N(DE117)+N(DI117)+N(DM117)+N(DQ117)</f>
        <v/>
      </c>
      <c r="CK117">
        <f>(CO117&gt;0.005)*1+(CS117&gt;0.005)*1+(CW117&gt;0.005)*1+(DA117&gt;0.005)*1+(DE117&gt;0.005)*1+(DI117&gt;0.005)*1+(DM117&gt;0.005)*1+(DQ117&gt;0.005)*1</f>
        <v/>
      </c>
      <c r="CL117">
        <f>N(CO116)</f>
        <v/>
      </c>
      <c r="CM117">
        <f>IF(N(CL117)&lt;=0.005,0,ROUND(N(CL117)*N('Debt List'!E5)/12,2))</f>
        <v/>
      </c>
      <c r="CN117">
        <f>IF(N(CL117)&lt;=0.005,0,MIN(N('Debt List'!F5),N(CL117)+N(CM117)))+((DR117=1)*DT117+(DV117=1)*DX117+(DZ117=1)*EB117+(ED117=1)*EF117+(EH117=1)*EJ117+(EL117=1)*EN117+(EP117=1)*ER117+(ET117=1)*EV117)</f>
        <v/>
      </c>
      <c r="CO117">
        <f>MAX(0,ROUND(N(CL117)+N(CM117)-N(CN117),2))</f>
        <v/>
      </c>
      <c r="CP117">
        <f>N(CS116)</f>
        <v/>
      </c>
      <c r="CQ117">
        <f>IF(N(CP117)&lt;=0.005,0,ROUND(N(CP117)*N('Debt List'!E6)/12,2))</f>
        <v/>
      </c>
      <c r="CR117">
        <f>IF(N(CP117)&lt;=0.005,0,MIN(N('Debt List'!F6),N(CP117)+N(CQ117)))+((DR117=2)*DT117+(DV117=2)*DX117+(DZ117=2)*EB117+(ED117=2)*EF117+(EH117=2)*EJ117+(EL117=2)*EN117+(EP117=2)*ER117+(ET117=2)*EV117)</f>
        <v/>
      </c>
      <c r="CS117">
        <f>MAX(0,ROUND(N(CP117)+N(CQ117)-N(CR117),2))</f>
        <v/>
      </c>
      <c r="CT117">
        <f>N(CW116)</f>
        <v/>
      </c>
      <c r="CU117">
        <f>IF(N(CT117)&lt;=0.005,0,ROUND(N(CT117)*N('Debt List'!E7)/12,2))</f>
        <v/>
      </c>
      <c r="CV117">
        <f>IF(N(CT117)&lt;=0.005,0,MIN(N('Debt List'!F7),N(CT117)+N(CU117)))+((DR117=3)*DT117+(DV117=3)*DX117+(DZ117=3)*EB117+(ED117=3)*EF117+(EH117=3)*EJ117+(EL117=3)*EN117+(EP117=3)*ER117+(ET117=3)*EV117)</f>
        <v/>
      </c>
      <c r="CW117">
        <f>MAX(0,ROUND(N(CT117)+N(CU117)-N(CV117),2))</f>
        <v/>
      </c>
      <c r="CX117">
        <f>N(DA116)</f>
        <v/>
      </c>
      <c r="CY117">
        <f>IF(N(CX117)&lt;=0.005,0,ROUND(N(CX117)*N('Debt List'!E8)/12,2))</f>
        <v/>
      </c>
      <c r="CZ117">
        <f>IF(N(CX117)&lt;=0.005,0,MIN(N('Debt List'!F8),N(CX117)+N(CY117)))+((DR117=4)*DT117+(DV117=4)*DX117+(DZ117=4)*EB117+(ED117=4)*EF117+(EH117=4)*EJ117+(EL117=4)*EN117+(EP117=4)*ER117+(ET117=4)*EV117)</f>
        <v/>
      </c>
      <c r="DA117">
        <f>MAX(0,ROUND(N(CX117)+N(CY117)-N(CZ117),2))</f>
        <v/>
      </c>
      <c r="DB117">
        <f>N(DE116)</f>
        <v/>
      </c>
      <c r="DC117">
        <f>IF(N(DB117)&lt;=0.005,0,ROUND(N(DB117)*N('Debt List'!E9)/12,2))</f>
        <v/>
      </c>
      <c r="DD117">
        <f>IF(N(DB117)&lt;=0.005,0,MIN(N('Debt List'!F9),N(DB117)+N(DC117)))+((DR117=5)*DT117+(DV117=5)*DX117+(DZ117=5)*EB117+(ED117=5)*EF117+(EH117=5)*EJ117+(EL117=5)*EN117+(EP117=5)*ER117+(ET117=5)*EV117)</f>
        <v/>
      </c>
      <c r="DE117">
        <f>MAX(0,ROUND(N(DB117)+N(DC117)-N(DD117),2))</f>
        <v/>
      </c>
      <c r="DF117">
        <f>N(DI116)</f>
        <v/>
      </c>
      <c r="DG117">
        <f>IF(N(DF117)&lt;=0.005,0,ROUND(N(DF117)*N('Debt List'!E10)/12,2))</f>
        <v/>
      </c>
      <c r="DH117">
        <f>IF(N(DF117)&lt;=0.005,0,MIN(N('Debt List'!F10),N(DF117)+N(DG117)))+((DR117=6)*DT117+(DV117=6)*DX117+(DZ117=6)*EB117+(ED117=6)*EF117+(EH117=6)*EJ117+(EL117=6)*EN117+(EP117=6)*ER117+(ET117=6)*EV117)</f>
        <v/>
      </c>
      <c r="DI117">
        <f>MAX(0,ROUND(N(DF117)+N(DG117)-N(DH117),2))</f>
        <v/>
      </c>
      <c r="DJ117">
        <f>N(DM116)</f>
        <v/>
      </c>
      <c r="DK117">
        <f>IF(N(DJ117)&lt;=0.005,0,ROUND(N(DJ117)*N('Debt List'!E11)/12,2))</f>
        <v/>
      </c>
      <c r="DL117">
        <f>IF(N(DJ117)&lt;=0.005,0,MIN(N('Debt List'!F11),N(DJ117)+N(DK117)))+((DR117=7)*DT117+(DV117=7)*DX117+(DZ117=7)*EB117+(ED117=7)*EF117+(EH117=7)*EJ117+(EL117=7)*EN117+(EP117=7)*ER117+(ET117=7)*EV117)</f>
        <v/>
      </c>
      <c r="DM117">
        <f>MAX(0,ROUND(N(DJ117)+N(DK117)-N(DL117),2))</f>
        <v/>
      </c>
      <c r="DN117">
        <f>N(DQ116)</f>
        <v/>
      </c>
      <c r="DO117">
        <f>IF(N(DN117)&lt;=0.005,0,ROUND(N(DN117)*N('Debt List'!E12)/12,2))</f>
        <v/>
      </c>
      <c r="DP117">
        <f>IF(N(DN117)&lt;=0.005,0,MIN(N('Debt List'!F12),N(DN117)+N(DO117)))+((DR117=8)*DT117+(DV117=8)*DX117+(DZ117=8)*EB117+(ED117=8)*EF117+(EH117=8)*EJ117+(EL117=8)*EN117+(EP117=8)*ER117+(ET117=8)*EV117)</f>
        <v/>
      </c>
      <c r="DQ117">
        <f>MAX(0,ROUND(N(DN117)+N(DO117)-N(DP117),2))</f>
        <v/>
      </c>
      <c r="DR117">
        <f>IFERROR(MATCH(1,OrderSnow,0),"")</f>
        <v/>
      </c>
      <c r="DS117">
        <f>IF(DR117="",0,IFERROR(IF(N(CHOOSE(DR117,CL117,CP117,CT117,CX117,DB117,DF117,DJ117,DN117))&lt;=0.005,0,MAX(0,N(CHOOSE(DR117,CL117,CP117,CT117,CX117,DB117,DF117,DJ117,DN117))+N(CHOOSE(DR117,CM117,CQ117,CU117,CY117,DC117,DG117,DK117,DO117))-MIN(N(CHOOSE(DR117,'Debt List'!$F$5,'Debt List'!$F$6,'Debt List'!$F$7,'Debt List'!$F$8,'Debt List'!$F$9,'Debt List'!$F$10,'Debt List'!$F$11,'Debt List'!$F$12)),N(CHOOSE(DR117,CL117,CP117,CT117,CX117,DB117,DF117,DJ117,DN117))+N(CHOOSE(DR117,CM117,CQ117,CU117,CY117,DC117,DG117,DK117,DO117))))),0))</f>
        <v/>
      </c>
      <c r="DT117">
        <f>MIN(N(DS117),MAX(0,N(ExtraPayment)))</f>
        <v/>
      </c>
      <c r="DU117">
        <f>MAX(0,N(ExtraPayment)-N(DT117))</f>
        <v/>
      </c>
      <c r="DV117">
        <f>IFERROR(MATCH(2,OrderSnow,0),"")</f>
        <v/>
      </c>
      <c r="DW117">
        <f>IF(DV117="",0,IFERROR(IF(N(CHOOSE(DV117,CL117,CP117,CT117,CX117,DB117,DF117,DJ117,DN117))&lt;=0.005,0,MAX(0,N(CHOOSE(DV117,CL117,CP117,CT117,CX117,DB117,DF117,DJ117,DN117))+N(CHOOSE(DV117,CM117,CQ117,CU117,CY117,DC117,DG117,DK117,DO117))-MIN(N(CHOOSE(DV117,'Debt List'!$F$5,'Debt List'!$F$6,'Debt List'!$F$7,'Debt List'!$F$8,'Debt List'!$F$9,'Debt List'!$F$10,'Debt List'!$F$11,'Debt List'!$F$12)),N(CHOOSE(DV117,CL117,CP117,CT117,CX117,DB117,DF117,DJ117,DN117))+N(CHOOSE(DV117,CM117,CQ117,CU117,CY117,DC117,DG117,DK117,DO117))))),0))</f>
        <v/>
      </c>
      <c r="DX117">
        <f>MIN(N(DW117),MAX(0,N(DU117)))</f>
        <v/>
      </c>
      <c r="DY117">
        <f>MAX(0,N(DU117)-N(DX117))</f>
        <v/>
      </c>
      <c r="DZ117">
        <f>IFERROR(MATCH(3,OrderSnow,0),"")</f>
        <v/>
      </c>
      <c r="EA117">
        <f>IF(DZ117="",0,IFERROR(IF(N(CHOOSE(DZ117,CL117,CP117,CT117,CX117,DB117,DF117,DJ117,DN117))&lt;=0.005,0,MAX(0,N(CHOOSE(DZ117,CL117,CP117,CT117,CX117,DB117,DF117,DJ117,DN117))+N(CHOOSE(DZ117,CM117,CQ117,CU117,CY117,DC117,DG117,DK117,DO117))-MIN(N(CHOOSE(DZ117,'Debt List'!$F$5,'Debt List'!$F$6,'Debt List'!$F$7,'Debt List'!$F$8,'Debt List'!$F$9,'Debt List'!$F$10,'Debt List'!$F$11,'Debt List'!$F$12)),N(CHOOSE(DZ117,CL117,CP117,CT117,CX117,DB117,DF117,DJ117,DN117))+N(CHOOSE(DZ117,CM117,CQ117,CU117,CY117,DC117,DG117,DK117,DO117))))),0))</f>
        <v/>
      </c>
      <c r="EB117">
        <f>MIN(N(EA117),MAX(0,N(DY117)))</f>
        <v/>
      </c>
      <c r="EC117">
        <f>MAX(0,N(DY117)-N(EB117))</f>
        <v/>
      </c>
      <c r="ED117">
        <f>IFERROR(MATCH(4,OrderSnow,0),"")</f>
        <v/>
      </c>
      <c r="EE117">
        <f>IF(ED117="",0,IFERROR(IF(N(CHOOSE(ED117,CL117,CP117,CT117,CX117,DB117,DF117,DJ117,DN117))&lt;=0.005,0,MAX(0,N(CHOOSE(ED117,CL117,CP117,CT117,CX117,DB117,DF117,DJ117,DN117))+N(CHOOSE(ED117,CM117,CQ117,CU117,CY117,DC117,DG117,DK117,DO117))-MIN(N(CHOOSE(ED117,'Debt List'!$F$5,'Debt List'!$F$6,'Debt List'!$F$7,'Debt List'!$F$8,'Debt List'!$F$9,'Debt List'!$F$10,'Debt List'!$F$11,'Debt List'!$F$12)),N(CHOOSE(ED117,CL117,CP117,CT117,CX117,DB117,DF117,DJ117,DN117))+N(CHOOSE(ED117,CM117,CQ117,CU117,CY117,DC117,DG117,DK117,DO117))))),0))</f>
        <v/>
      </c>
      <c r="EF117">
        <f>MIN(N(EE117),MAX(0,N(EC117)))</f>
        <v/>
      </c>
      <c r="EG117">
        <f>MAX(0,N(EC117)-N(EF117))</f>
        <v/>
      </c>
      <c r="EH117">
        <f>IFERROR(MATCH(5,OrderSnow,0),"")</f>
        <v/>
      </c>
      <c r="EI117">
        <f>IF(EH117="",0,IFERROR(IF(N(CHOOSE(EH117,CL117,CP117,CT117,CX117,DB117,DF117,DJ117,DN117))&lt;=0.005,0,MAX(0,N(CHOOSE(EH117,CL117,CP117,CT117,CX117,DB117,DF117,DJ117,DN117))+N(CHOOSE(EH117,CM117,CQ117,CU117,CY117,DC117,DG117,DK117,DO117))-MIN(N(CHOOSE(EH117,'Debt List'!$F$5,'Debt List'!$F$6,'Debt List'!$F$7,'Debt List'!$F$8,'Debt List'!$F$9,'Debt List'!$F$10,'Debt List'!$F$11,'Debt List'!$F$12)),N(CHOOSE(EH117,CL117,CP117,CT117,CX117,DB117,DF117,DJ117,DN117))+N(CHOOSE(EH117,CM117,CQ117,CU117,CY117,DC117,DG117,DK117,DO117))))),0))</f>
        <v/>
      </c>
      <c r="EJ117">
        <f>MIN(N(EI117),MAX(0,N(EG117)))</f>
        <v/>
      </c>
      <c r="EK117">
        <f>MAX(0,N(EG117)-N(EJ117))</f>
        <v/>
      </c>
      <c r="EL117">
        <f>IFERROR(MATCH(6,OrderSnow,0),"")</f>
        <v/>
      </c>
      <c r="EM117">
        <f>IF(EL117="",0,IFERROR(IF(N(CHOOSE(EL117,CL117,CP117,CT117,CX117,DB117,DF117,DJ117,DN117))&lt;=0.005,0,MAX(0,N(CHOOSE(EL117,CL117,CP117,CT117,CX117,DB117,DF117,DJ117,DN117))+N(CHOOSE(EL117,CM117,CQ117,CU117,CY117,DC117,DG117,DK117,DO117))-MIN(N(CHOOSE(EL117,'Debt List'!$F$5,'Debt List'!$F$6,'Debt List'!$F$7,'Debt List'!$F$8,'Debt List'!$F$9,'Debt List'!$F$10,'Debt List'!$F$11,'Debt List'!$F$12)),N(CHOOSE(EL117,CL117,CP117,CT117,CX117,DB117,DF117,DJ117,DN117))+N(CHOOSE(EL117,CM117,CQ117,CU117,CY117,DC117,DG117,DK117,DO117))))),0))</f>
        <v/>
      </c>
      <c r="EN117">
        <f>MIN(N(EM117),MAX(0,N(EK117)))</f>
        <v/>
      </c>
      <c r="EO117">
        <f>MAX(0,N(EK117)-N(EN117))</f>
        <v/>
      </c>
      <c r="EP117">
        <f>IFERROR(MATCH(7,OrderSnow,0),"")</f>
        <v/>
      </c>
      <c r="EQ117">
        <f>IF(EP117="",0,IFERROR(IF(N(CHOOSE(EP117,CL117,CP117,CT117,CX117,DB117,DF117,DJ117,DN117))&lt;=0.005,0,MAX(0,N(CHOOSE(EP117,CL117,CP117,CT117,CX117,DB117,DF117,DJ117,DN117))+N(CHOOSE(EP117,CM117,CQ117,CU117,CY117,DC117,DG117,DK117,DO117))-MIN(N(CHOOSE(EP117,'Debt List'!$F$5,'Debt List'!$F$6,'Debt List'!$F$7,'Debt List'!$F$8,'Debt List'!$F$9,'Debt List'!$F$10,'Debt List'!$F$11,'Debt List'!$F$12)),N(CHOOSE(EP117,CL117,CP117,CT117,CX117,DB117,DF117,DJ117,DN117))+N(CHOOSE(EP117,CM117,CQ117,CU117,CY117,DC117,DG117,DK117,DO117))))),0))</f>
        <v/>
      </c>
      <c r="ER117">
        <f>MIN(N(EQ117),MAX(0,N(EO117)))</f>
        <v/>
      </c>
      <c r="ES117">
        <f>MAX(0,N(EO117)-N(ER117))</f>
        <v/>
      </c>
      <c r="ET117">
        <f>IFERROR(MATCH(8,OrderSnow,0),"")</f>
        <v/>
      </c>
      <c r="EU117">
        <f>IF(ET117="",0,IFERROR(IF(N(CHOOSE(ET117,CL117,CP117,CT117,CX117,DB117,DF117,DJ117,DN117))&lt;=0.005,0,MAX(0,N(CHOOSE(ET117,CL117,CP117,CT117,CX117,DB117,DF117,DJ117,DN117))+N(CHOOSE(ET117,CM117,CQ117,CU117,CY117,DC117,DG117,DK117,DO117))-MIN(N(CHOOSE(ET117,'Debt List'!$F$5,'Debt List'!$F$6,'Debt List'!$F$7,'Debt List'!$F$8,'Debt List'!$F$9,'Debt List'!$F$10,'Debt List'!$F$11,'Debt List'!$F$12)),N(CHOOSE(ET117,CL117,CP117,CT117,CX117,DB117,DF117,DJ117,DN117))+N(CHOOSE(ET117,CM117,CQ117,CU117,CY117,DC117,DG117,DK117,DO117))))),0))</f>
        <v/>
      </c>
      <c r="EV117">
        <f>MIN(N(EU117),MAX(0,N(ES117)))</f>
        <v/>
      </c>
      <c r="EW117">
        <f>MAX(0,N(ES117)-N(EV117))</f>
        <v/>
      </c>
      <c r="FE117" t="n">
        <v>113</v>
      </c>
      <c r="FF117" s="115">
        <f>DATE(YEAR(PlanStart),MONTH(PlanStart)+FE117-1,1)</f>
        <v/>
      </c>
      <c r="FG117">
        <f>IF(AND(GT117&lt;&gt;"",N(CHOOSE(GT117,FN117,FR117,FV117,FZ117,GD117,GH117,GL117,GP117))&gt;0.005),INDEX(DebtNames,GT117),IF(AND(GX117&lt;&gt;"",N(CHOOSE(GX117,FN117,FR117,FV117,FZ117,GD117,GH117,GL117,GP117))&gt;0.005),INDEX(DebtNames,GX117),IF(AND(HB117&lt;&gt;"",N(CHOOSE(HB117,FN117,FR117,FV117,FZ117,GD117,GH117,GL117,GP117))&gt;0.005),INDEX(DebtNames,HB117),IF(AND(HF117&lt;&gt;"",N(CHOOSE(HF117,FN117,FR117,FV117,FZ117,GD117,GH117,GL117,GP117))&gt;0.005),INDEX(DebtNames,HF117),IF(AND(HJ117&lt;&gt;"",N(CHOOSE(HJ117,FN117,FR117,FV117,FZ117,GD117,GH117,GL117,GP117))&gt;0.005),INDEX(DebtNames,HJ117),IF(AND(HN117&lt;&gt;"",N(CHOOSE(HN117,FN117,FR117,FV117,FZ117,GD117,GH117,GL117,GP117))&gt;0.005),INDEX(DebtNames,HN117),IF(AND(HR117&lt;&gt;"",N(CHOOSE(HR117,FN117,FR117,FV117,FZ117,GD117,GH117,GL117,GP117))&gt;0.005),INDEX(DebtNames,HR117),IF(AND(HV117&lt;&gt;"",N(CHOOSE(HV117,FN117,FR117,FV117,FZ117,GD117,GH117,GL117,GP117))&gt;0.005),INDEX(DebtNames,HV117),""))))))))</f>
        <v/>
      </c>
      <c r="FH117">
        <f>N(HY117)</f>
        <v/>
      </c>
      <c r="FI117">
        <f>N(FP117)+N(FT117)+N(FX117)+N(GB117)+N(GF117)+N(GJ117)+N(GN117)+N(GR117)</f>
        <v/>
      </c>
      <c r="FJ117">
        <f>N(FO117)+N(FS117)+N(FW117)+N(GA117)+N(GE117)+N(GI117)+N(GM117)+N(GQ117)</f>
        <v/>
      </c>
      <c r="FK117">
        <f>N(FK116)+N(FJ117)</f>
        <v/>
      </c>
      <c r="FL117">
        <f>N(FQ117)+N(FU117)+N(FY117)+N(GC117)+N(GG117)+N(GK117)+N(GO117)+N(GS117)</f>
        <v/>
      </c>
      <c r="FM117">
        <f>(FQ117&gt;0.005)*1+(FU117&gt;0.005)*1+(FY117&gt;0.005)*1+(GC117&gt;0.005)*1+(GG117&gt;0.005)*1+(GK117&gt;0.005)*1+(GO117&gt;0.005)*1+(GS117&gt;0.005)*1</f>
        <v/>
      </c>
      <c r="FN117">
        <f>N(FQ116)</f>
        <v/>
      </c>
      <c r="FO117">
        <f>IF(N(FN117)&lt;=0.005,0,ROUND(N(FN117)*N('Debt List'!E5)/12,2))</f>
        <v/>
      </c>
      <c r="FP117">
        <f>IF(N(FN117)&lt;=0.005,0,MIN(N('Debt List'!F5),N(FN117)+N(FO117)))+((GT117=1)*GV117+(GX117=1)*GZ117+(HB117=1)*HD117+(HF117=1)*HH117+(HJ117=1)*HL117+(HN117=1)*HP117+(HR117=1)*HT117+(HV117=1)*HX117)</f>
        <v/>
      </c>
      <c r="FQ117">
        <f>MAX(0,ROUND(N(FN117)+N(FO117)-N(FP117),2))</f>
        <v/>
      </c>
      <c r="FR117">
        <f>N(FU116)</f>
        <v/>
      </c>
      <c r="FS117">
        <f>IF(N(FR117)&lt;=0.005,0,ROUND(N(FR117)*N('Debt List'!E6)/12,2))</f>
        <v/>
      </c>
      <c r="FT117">
        <f>IF(N(FR117)&lt;=0.005,0,MIN(N('Debt List'!F6),N(FR117)+N(FS117)))+((GT117=2)*GV117+(GX117=2)*GZ117+(HB117=2)*HD117+(HF117=2)*HH117+(HJ117=2)*HL117+(HN117=2)*HP117+(HR117=2)*HT117+(HV117=2)*HX117)</f>
        <v/>
      </c>
      <c r="FU117">
        <f>MAX(0,ROUND(N(FR117)+N(FS117)-N(FT117),2))</f>
        <v/>
      </c>
      <c r="FV117">
        <f>N(FY116)</f>
        <v/>
      </c>
      <c r="FW117">
        <f>IF(N(FV117)&lt;=0.005,0,ROUND(N(FV117)*N('Debt List'!E7)/12,2))</f>
        <v/>
      </c>
      <c r="FX117">
        <f>IF(N(FV117)&lt;=0.005,0,MIN(N('Debt List'!F7),N(FV117)+N(FW117)))+((GT117=3)*GV117+(GX117=3)*GZ117+(HB117=3)*HD117+(HF117=3)*HH117+(HJ117=3)*HL117+(HN117=3)*HP117+(HR117=3)*HT117+(HV117=3)*HX117)</f>
        <v/>
      </c>
      <c r="FY117">
        <f>MAX(0,ROUND(N(FV117)+N(FW117)-N(FX117),2))</f>
        <v/>
      </c>
      <c r="FZ117">
        <f>N(GC116)</f>
        <v/>
      </c>
      <c r="GA117">
        <f>IF(N(FZ117)&lt;=0.005,0,ROUND(N(FZ117)*N('Debt List'!E8)/12,2))</f>
        <v/>
      </c>
      <c r="GB117">
        <f>IF(N(FZ117)&lt;=0.005,0,MIN(N('Debt List'!F8),N(FZ117)+N(GA117)))+((GT117=4)*GV117+(GX117=4)*GZ117+(HB117=4)*HD117+(HF117=4)*HH117+(HJ117=4)*HL117+(HN117=4)*HP117+(HR117=4)*HT117+(HV117=4)*HX117)</f>
        <v/>
      </c>
      <c r="GC117">
        <f>MAX(0,ROUND(N(FZ117)+N(GA117)-N(GB117),2))</f>
        <v/>
      </c>
      <c r="GD117">
        <f>N(GG116)</f>
        <v/>
      </c>
      <c r="GE117">
        <f>IF(N(GD117)&lt;=0.005,0,ROUND(N(GD117)*N('Debt List'!E9)/12,2))</f>
        <v/>
      </c>
      <c r="GF117">
        <f>IF(N(GD117)&lt;=0.005,0,MIN(N('Debt List'!F9),N(GD117)+N(GE117)))+((GT117=5)*GV117+(GX117=5)*GZ117+(HB117=5)*HD117+(HF117=5)*HH117+(HJ117=5)*HL117+(HN117=5)*HP117+(HR117=5)*HT117+(HV117=5)*HX117)</f>
        <v/>
      </c>
      <c r="GG117">
        <f>MAX(0,ROUND(N(GD117)+N(GE117)-N(GF117),2))</f>
        <v/>
      </c>
      <c r="GH117">
        <f>N(GK116)</f>
        <v/>
      </c>
      <c r="GI117">
        <f>IF(N(GH117)&lt;=0.005,0,ROUND(N(GH117)*N('Debt List'!E10)/12,2))</f>
        <v/>
      </c>
      <c r="GJ117">
        <f>IF(N(GH117)&lt;=0.005,0,MIN(N('Debt List'!F10),N(GH117)+N(GI117)))+((GT117=6)*GV117+(GX117=6)*GZ117+(HB117=6)*HD117+(HF117=6)*HH117+(HJ117=6)*HL117+(HN117=6)*HP117+(HR117=6)*HT117+(HV117=6)*HX117)</f>
        <v/>
      </c>
      <c r="GK117">
        <f>MAX(0,ROUND(N(GH117)+N(GI117)-N(GJ117),2))</f>
        <v/>
      </c>
      <c r="GL117">
        <f>N(GO116)</f>
        <v/>
      </c>
      <c r="GM117">
        <f>IF(N(GL117)&lt;=0.005,0,ROUND(N(GL117)*N('Debt List'!E11)/12,2))</f>
        <v/>
      </c>
      <c r="GN117">
        <f>IF(N(GL117)&lt;=0.005,0,MIN(N('Debt List'!F11),N(GL117)+N(GM117)))+((GT117=7)*GV117+(GX117=7)*GZ117+(HB117=7)*HD117+(HF117=7)*HH117+(HJ117=7)*HL117+(HN117=7)*HP117+(HR117=7)*HT117+(HV117=7)*HX117)</f>
        <v/>
      </c>
      <c r="GO117">
        <f>MAX(0,ROUND(N(GL117)+N(GM117)-N(GN117),2))</f>
        <v/>
      </c>
      <c r="GP117">
        <f>N(GS116)</f>
        <v/>
      </c>
      <c r="GQ117">
        <f>IF(N(GP117)&lt;=0.005,0,ROUND(N(GP117)*N('Debt List'!E12)/12,2))</f>
        <v/>
      </c>
      <c r="GR117">
        <f>IF(N(GP117)&lt;=0.005,0,MIN(N('Debt List'!F12),N(GP117)+N(GQ117)))+((GT117=8)*GV117+(GX117=8)*GZ117+(HB117=8)*HD117+(HF117=8)*HH117+(HJ117=8)*HL117+(HN117=8)*HP117+(HR117=8)*HT117+(HV117=8)*HX117)</f>
        <v/>
      </c>
      <c r="GS117">
        <f>MAX(0,ROUND(N(GP117)+N(GQ117)-N(GR117),2))</f>
        <v/>
      </c>
      <c r="GT117">
        <f>IFERROR(MATCH(1,OrderAval,0),"")</f>
        <v/>
      </c>
      <c r="GU117">
        <f>IF(GT117="",0,IFERROR(IF(N(CHOOSE(GT117,FN117,FR117,FV117,FZ117,GD117,GH117,GL117,GP117))&lt;=0.005,0,MAX(0,N(CHOOSE(GT117,FN117,FR117,FV117,FZ117,GD117,GH117,GL117,GP117))+N(CHOOSE(GT117,FO117,FS117,FW117,GA117,GE117,GI117,GM117,GQ117))-MIN(N(CHOOSE(GT117,'Debt List'!$F$5,'Debt List'!$F$6,'Debt List'!$F$7,'Debt List'!$F$8,'Debt List'!$F$9,'Debt List'!$F$10,'Debt List'!$F$11,'Debt List'!$F$12)),N(CHOOSE(GT117,FN117,FR117,FV117,FZ117,GD117,GH117,GL117,GP117))+N(CHOOSE(GT117,FO117,FS117,FW117,GA117,GE117,GI117,GM117,GQ117))))),0))</f>
        <v/>
      </c>
      <c r="GV117">
        <f>MIN(N(GU117),MAX(0,N(ExtraPayment)))</f>
        <v/>
      </c>
      <c r="GW117">
        <f>MAX(0,N(ExtraPayment)-N(GV117))</f>
        <v/>
      </c>
      <c r="GX117">
        <f>IFERROR(MATCH(2,OrderAval,0),"")</f>
        <v/>
      </c>
      <c r="GY117">
        <f>IF(GX117="",0,IFERROR(IF(N(CHOOSE(GX117,FN117,FR117,FV117,FZ117,GD117,GH117,GL117,GP117))&lt;=0.005,0,MAX(0,N(CHOOSE(GX117,FN117,FR117,FV117,FZ117,GD117,GH117,GL117,GP117))+N(CHOOSE(GX117,FO117,FS117,FW117,GA117,GE117,GI117,GM117,GQ117))-MIN(N(CHOOSE(GX117,'Debt List'!$F$5,'Debt List'!$F$6,'Debt List'!$F$7,'Debt List'!$F$8,'Debt List'!$F$9,'Debt List'!$F$10,'Debt List'!$F$11,'Debt List'!$F$12)),N(CHOOSE(GX117,FN117,FR117,FV117,FZ117,GD117,GH117,GL117,GP117))+N(CHOOSE(GX117,FO117,FS117,FW117,GA117,GE117,GI117,GM117,GQ117))))),0))</f>
        <v/>
      </c>
      <c r="GZ117">
        <f>MIN(N(GY117),MAX(0,N(GW117)))</f>
        <v/>
      </c>
      <c r="HA117">
        <f>MAX(0,N(GW117)-N(GZ117))</f>
        <v/>
      </c>
      <c r="HB117">
        <f>IFERROR(MATCH(3,OrderAval,0),"")</f>
        <v/>
      </c>
      <c r="HC117">
        <f>IF(HB117="",0,IFERROR(IF(N(CHOOSE(HB117,FN117,FR117,FV117,FZ117,GD117,GH117,GL117,GP117))&lt;=0.005,0,MAX(0,N(CHOOSE(HB117,FN117,FR117,FV117,FZ117,GD117,GH117,GL117,GP117))+N(CHOOSE(HB117,FO117,FS117,FW117,GA117,GE117,GI117,GM117,GQ117))-MIN(N(CHOOSE(HB117,'Debt List'!$F$5,'Debt List'!$F$6,'Debt List'!$F$7,'Debt List'!$F$8,'Debt List'!$F$9,'Debt List'!$F$10,'Debt List'!$F$11,'Debt List'!$F$12)),N(CHOOSE(HB117,FN117,FR117,FV117,FZ117,GD117,GH117,GL117,GP117))+N(CHOOSE(HB117,FO117,FS117,FW117,GA117,GE117,GI117,GM117,GQ117))))),0))</f>
        <v/>
      </c>
      <c r="HD117">
        <f>MIN(N(HC117),MAX(0,N(HA117)))</f>
        <v/>
      </c>
      <c r="HE117">
        <f>MAX(0,N(HA117)-N(HD117))</f>
        <v/>
      </c>
      <c r="HF117">
        <f>IFERROR(MATCH(4,OrderAval,0),"")</f>
        <v/>
      </c>
      <c r="HG117">
        <f>IF(HF117="",0,IFERROR(IF(N(CHOOSE(HF117,FN117,FR117,FV117,FZ117,GD117,GH117,GL117,GP117))&lt;=0.005,0,MAX(0,N(CHOOSE(HF117,FN117,FR117,FV117,FZ117,GD117,GH117,GL117,GP117))+N(CHOOSE(HF117,FO117,FS117,FW117,GA117,GE117,GI117,GM117,GQ117))-MIN(N(CHOOSE(HF117,'Debt List'!$F$5,'Debt List'!$F$6,'Debt List'!$F$7,'Debt List'!$F$8,'Debt List'!$F$9,'Debt List'!$F$10,'Debt List'!$F$11,'Debt List'!$F$12)),N(CHOOSE(HF117,FN117,FR117,FV117,FZ117,GD117,GH117,GL117,GP117))+N(CHOOSE(HF117,FO117,FS117,FW117,GA117,GE117,GI117,GM117,GQ117))))),0))</f>
        <v/>
      </c>
      <c r="HH117">
        <f>MIN(N(HG117),MAX(0,N(HE117)))</f>
        <v/>
      </c>
      <c r="HI117">
        <f>MAX(0,N(HE117)-N(HH117))</f>
        <v/>
      </c>
      <c r="HJ117">
        <f>IFERROR(MATCH(5,OrderAval,0),"")</f>
        <v/>
      </c>
      <c r="HK117">
        <f>IF(HJ117="",0,IFERROR(IF(N(CHOOSE(HJ117,FN117,FR117,FV117,FZ117,GD117,GH117,GL117,GP117))&lt;=0.005,0,MAX(0,N(CHOOSE(HJ117,FN117,FR117,FV117,FZ117,GD117,GH117,GL117,GP117))+N(CHOOSE(HJ117,FO117,FS117,FW117,GA117,GE117,GI117,GM117,GQ117))-MIN(N(CHOOSE(HJ117,'Debt List'!$F$5,'Debt List'!$F$6,'Debt List'!$F$7,'Debt List'!$F$8,'Debt List'!$F$9,'Debt List'!$F$10,'Debt List'!$F$11,'Debt List'!$F$12)),N(CHOOSE(HJ117,FN117,FR117,FV117,FZ117,GD117,GH117,GL117,GP117))+N(CHOOSE(HJ117,FO117,FS117,FW117,GA117,GE117,GI117,GM117,GQ117))))),0))</f>
        <v/>
      </c>
      <c r="HL117">
        <f>MIN(N(HK117),MAX(0,N(HI117)))</f>
        <v/>
      </c>
      <c r="HM117">
        <f>MAX(0,N(HI117)-N(HL117))</f>
        <v/>
      </c>
      <c r="HN117">
        <f>IFERROR(MATCH(6,OrderAval,0),"")</f>
        <v/>
      </c>
      <c r="HO117">
        <f>IF(HN117="",0,IFERROR(IF(N(CHOOSE(HN117,FN117,FR117,FV117,FZ117,GD117,GH117,GL117,GP117))&lt;=0.005,0,MAX(0,N(CHOOSE(HN117,FN117,FR117,FV117,FZ117,GD117,GH117,GL117,GP117))+N(CHOOSE(HN117,FO117,FS117,FW117,GA117,GE117,GI117,GM117,GQ117))-MIN(N(CHOOSE(HN117,'Debt List'!$F$5,'Debt List'!$F$6,'Debt List'!$F$7,'Debt List'!$F$8,'Debt List'!$F$9,'Debt List'!$F$10,'Debt List'!$F$11,'Debt List'!$F$12)),N(CHOOSE(HN117,FN117,FR117,FV117,FZ117,GD117,GH117,GL117,GP117))+N(CHOOSE(HN117,FO117,FS117,FW117,GA117,GE117,GI117,GM117,GQ117))))),0))</f>
        <v/>
      </c>
      <c r="HP117">
        <f>MIN(N(HO117),MAX(0,N(HM117)))</f>
        <v/>
      </c>
      <c r="HQ117">
        <f>MAX(0,N(HM117)-N(HP117))</f>
        <v/>
      </c>
      <c r="HR117">
        <f>IFERROR(MATCH(7,OrderAval,0),"")</f>
        <v/>
      </c>
      <c r="HS117">
        <f>IF(HR117="",0,IFERROR(IF(N(CHOOSE(HR117,FN117,FR117,FV117,FZ117,GD117,GH117,GL117,GP117))&lt;=0.005,0,MAX(0,N(CHOOSE(HR117,FN117,FR117,FV117,FZ117,GD117,GH117,GL117,GP117))+N(CHOOSE(HR117,FO117,FS117,FW117,GA117,GE117,GI117,GM117,GQ117))-MIN(N(CHOOSE(HR117,'Debt List'!$F$5,'Debt List'!$F$6,'Debt List'!$F$7,'Debt List'!$F$8,'Debt List'!$F$9,'Debt List'!$F$10,'Debt List'!$F$11,'Debt List'!$F$12)),N(CHOOSE(HR117,FN117,FR117,FV117,FZ117,GD117,GH117,GL117,GP117))+N(CHOOSE(HR117,FO117,FS117,FW117,GA117,GE117,GI117,GM117,GQ117))))),0))</f>
        <v/>
      </c>
      <c r="HT117">
        <f>MIN(N(HS117),MAX(0,N(HQ117)))</f>
        <v/>
      </c>
      <c r="HU117">
        <f>MAX(0,N(HQ117)-N(HT117))</f>
        <v/>
      </c>
      <c r="HV117">
        <f>IFERROR(MATCH(8,OrderAval,0),"")</f>
        <v/>
      </c>
      <c r="HW117">
        <f>IF(HV117="",0,IFERROR(IF(N(CHOOSE(HV117,FN117,FR117,FV117,FZ117,GD117,GH117,GL117,GP117))&lt;=0.005,0,MAX(0,N(CHOOSE(HV117,FN117,FR117,FV117,FZ117,GD117,GH117,GL117,GP117))+N(CHOOSE(HV117,FO117,FS117,FW117,GA117,GE117,GI117,GM117,GQ117))-MIN(N(CHOOSE(HV117,'Debt List'!$F$5,'Debt List'!$F$6,'Debt List'!$F$7,'Debt List'!$F$8,'Debt List'!$F$9,'Debt List'!$F$10,'Debt List'!$F$11,'Debt List'!$F$12)),N(CHOOSE(HV117,FN117,FR117,FV117,FZ117,GD117,GH117,GL117,GP117))+N(CHOOSE(HV117,FO117,FS117,FW117,GA117,GE117,GI117,GM117,GQ117))))),0))</f>
        <v/>
      </c>
      <c r="HX117">
        <f>MIN(N(HW117),MAX(0,N(HU117)))</f>
        <v/>
      </c>
      <c r="HY117">
        <f>MAX(0,N(HU117)-N(HX117))</f>
        <v/>
      </c>
    </row>
    <row r="118">
      <c r="A118" t="n">
        <v>114</v>
      </c>
      <c r="B118" s="115">
        <f>DATE(YEAR(PlanStart),MONTH(PlanStart)+A118-1,1)</f>
        <v/>
      </c>
      <c r="C118">
        <f>IF(AND(AP118&lt;&gt;"",N(CHOOSE(AP118,J118,N118,R118,V118,Z118,AD118,AH118,AL118))&gt;0.005),INDEX(DebtNames,AP118),IF(AND(AT118&lt;&gt;"",N(CHOOSE(AT118,J118,N118,R118,V118,Z118,AD118,AH118,AL118))&gt;0.005),INDEX(DebtNames,AT118),IF(AND(AX118&lt;&gt;"",N(CHOOSE(AX118,J118,N118,R118,V118,Z118,AD118,AH118,AL118))&gt;0.005),INDEX(DebtNames,AX118),IF(AND(BB118&lt;&gt;"",N(CHOOSE(BB118,J118,N118,R118,V118,Z118,AD118,AH118,AL118))&gt;0.005),INDEX(DebtNames,BB118),IF(AND(BF118&lt;&gt;"",N(CHOOSE(BF118,J118,N118,R118,V118,Z118,AD118,AH118,AL118))&gt;0.005),INDEX(DebtNames,BF118),IF(AND(BJ118&lt;&gt;"",N(CHOOSE(BJ118,J118,N118,R118,V118,Z118,AD118,AH118,AL118))&gt;0.005),INDEX(DebtNames,BJ118),IF(AND(BN118&lt;&gt;"",N(CHOOSE(BN118,J118,N118,R118,V118,Z118,AD118,AH118,AL118))&gt;0.005),INDEX(DebtNames,BN118),IF(AND(BR118&lt;&gt;"",N(CHOOSE(BR118,J118,N118,R118,V118,Z118,AD118,AH118,AL118))&gt;0.005),INDEX(DebtNames,BR118),""))))))))</f>
        <v/>
      </c>
      <c r="D118">
        <f>N(BU118)</f>
        <v/>
      </c>
      <c r="E118">
        <f>N(L118)+N(P118)+N(T118)+N(X118)+N(AB118)+N(AF118)+N(AJ118)+N(AN118)</f>
        <v/>
      </c>
      <c r="F118">
        <f>N(K118)+N(O118)+N(S118)+N(W118)+N(AA118)+N(AE118)+N(AI118)+N(AM118)</f>
        <v/>
      </c>
      <c r="G118">
        <f>N(G117)+N(F118)</f>
        <v/>
      </c>
      <c r="H118">
        <f>N(M118)+N(Q118)+N(U118)+N(Y118)+N(AC118)+N(AG118)+N(AK118)+N(AO118)</f>
        <v/>
      </c>
      <c r="I118">
        <f>(M118&gt;0.005)*1+(Q118&gt;0.005)*1+(U118&gt;0.005)*1+(Y118&gt;0.005)*1+(AC118&gt;0.005)*1+(AG118&gt;0.005)*1+(AK118&gt;0.005)*1+(AO118&gt;0.005)*1</f>
        <v/>
      </c>
      <c r="J118">
        <f>N(M117)</f>
        <v/>
      </c>
      <c r="K118">
        <f>IF(N(J118)&lt;=0.005,0,ROUND(N(J118)*N('Debt List'!E5)/12,2))</f>
        <v/>
      </c>
      <c r="L118">
        <f>IF(N(J118)&lt;=0.005,0,MIN(N('Debt List'!F5),N(J118)+N(K118)))+((AP118=1)*AR118+(AT118=1)*AV118+(AX118=1)*AZ118+(BB118=1)*BD118+(BF118=1)*BH118+(BJ118=1)*BL118+(BN118=1)*BP118+(BR118=1)*BT118)</f>
        <v/>
      </c>
      <c r="M118">
        <f>MAX(0,ROUND(N(J118)+N(K118)-N(L118),2))</f>
        <v/>
      </c>
      <c r="N118">
        <f>N(Q117)</f>
        <v/>
      </c>
      <c r="O118">
        <f>IF(N(N118)&lt;=0.005,0,ROUND(N(N118)*N('Debt List'!E6)/12,2))</f>
        <v/>
      </c>
      <c r="P118">
        <f>IF(N(N118)&lt;=0.005,0,MIN(N('Debt List'!F6),N(N118)+N(O118)))+((AP118=2)*AR118+(AT118=2)*AV118+(AX118=2)*AZ118+(BB118=2)*BD118+(BF118=2)*BH118+(BJ118=2)*BL118+(BN118=2)*BP118+(BR118=2)*BT118)</f>
        <v/>
      </c>
      <c r="Q118">
        <f>MAX(0,ROUND(N(N118)+N(O118)-N(P118),2))</f>
        <v/>
      </c>
      <c r="R118">
        <f>N(U117)</f>
        <v/>
      </c>
      <c r="S118">
        <f>IF(N(R118)&lt;=0.005,0,ROUND(N(R118)*N('Debt List'!E7)/12,2))</f>
        <v/>
      </c>
      <c r="T118">
        <f>IF(N(R118)&lt;=0.005,0,MIN(N('Debt List'!F7),N(R118)+N(S118)))+((AP118=3)*AR118+(AT118=3)*AV118+(AX118=3)*AZ118+(BB118=3)*BD118+(BF118=3)*BH118+(BJ118=3)*BL118+(BN118=3)*BP118+(BR118=3)*BT118)</f>
        <v/>
      </c>
      <c r="U118">
        <f>MAX(0,ROUND(N(R118)+N(S118)-N(T118),2))</f>
        <v/>
      </c>
      <c r="V118">
        <f>N(Y117)</f>
        <v/>
      </c>
      <c r="W118">
        <f>IF(N(V118)&lt;=0.005,0,ROUND(N(V118)*N('Debt List'!E8)/12,2))</f>
        <v/>
      </c>
      <c r="X118">
        <f>IF(N(V118)&lt;=0.005,0,MIN(N('Debt List'!F8),N(V118)+N(W118)))+((AP118=4)*AR118+(AT118=4)*AV118+(AX118=4)*AZ118+(BB118=4)*BD118+(BF118=4)*BH118+(BJ118=4)*BL118+(BN118=4)*BP118+(BR118=4)*BT118)</f>
        <v/>
      </c>
      <c r="Y118">
        <f>MAX(0,ROUND(N(V118)+N(W118)-N(X118),2))</f>
        <v/>
      </c>
      <c r="Z118">
        <f>N(AC117)</f>
        <v/>
      </c>
      <c r="AA118">
        <f>IF(N(Z118)&lt;=0.005,0,ROUND(N(Z118)*N('Debt List'!E9)/12,2))</f>
        <v/>
      </c>
      <c r="AB118">
        <f>IF(N(Z118)&lt;=0.005,0,MIN(N('Debt List'!F9),N(Z118)+N(AA118)))+((AP118=5)*AR118+(AT118=5)*AV118+(AX118=5)*AZ118+(BB118=5)*BD118+(BF118=5)*BH118+(BJ118=5)*BL118+(BN118=5)*BP118+(BR118=5)*BT118)</f>
        <v/>
      </c>
      <c r="AC118">
        <f>MAX(0,ROUND(N(Z118)+N(AA118)-N(AB118),2))</f>
        <v/>
      </c>
      <c r="AD118">
        <f>N(AG117)</f>
        <v/>
      </c>
      <c r="AE118">
        <f>IF(N(AD118)&lt;=0.005,0,ROUND(N(AD118)*N('Debt List'!E10)/12,2))</f>
        <v/>
      </c>
      <c r="AF118">
        <f>IF(N(AD118)&lt;=0.005,0,MIN(N('Debt List'!F10),N(AD118)+N(AE118)))+((AP118=6)*AR118+(AT118=6)*AV118+(AX118=6)*AZ118+(BB118=6)*BD118+(BF118=6)*BH118+(BJ118=6)*BL118+(BN118=6)*BP118+(BR118=6)*BT118)</f>
        <v/>
      </c>
      <c r="AG118">
        <f>MAX(0,ROUND(N(AD118)+N(AE118)-N(AF118),2))</f>
        <v/>
      </c>
      <c r="AH118">
        <f>N(AK117)</f>
        <v/>
      </c>
      <c r="AI118">
        <f>IF(N(AH118)&lt;=0.005,0,ROUND(N(AH118)*N('Debt List'!E11)/12,2))</f>
        <v/>
      </c>
      <c r="AJ118">
        <f>IF(N(AH118)&lt;=0.005,0,MIN(N('Debt List'!F11),N(AH118)+N(AI118)))+((AP118=7)*AR118+(AT118=7)*AV118+(AX118=7)*AZ118+(BB118=7)*BD118+(BF118=7)*BH118+(BJ118=7)*BL118+(BN118=7)*BP118+(BR118=7)*BT118)</f>
        <v/>
      </c>
      <c r="AK118">
        <f>MAX(0,ROUND(N(AH118)+N(AI118)-N(AJ118),2))</f>
        <v/>
      </c>
      <c r="AL118">
        <f>N(AO117)</f>
        <v/>
      </c>
      <c r="AM118">
        <f>IF(N(AL118)&lt;=0.005,0,ROUND(N(AL118)*N('Debt List'!E12)/12,2))</f>
        <v/>
      </c>
      <c r="AN118">
        <f>IF(N(AL118)&lt;=0.005,0,MIN(N('Debt List'!F12),N(AL118)+N(AM118)))+((AP118=8)*AR118+(AT118=8)*AV118+(AX118=8)*AZ118+(BB118=8)*BD118+(BF118=8)*BH118+(BJ118=8)*BL118+(BN118=8)*BP118+(BR118=8)*BT118)</f>
        <v/>
      </c>
      <c r="AO118">
        <f>MAX(0,ROUND(N(AL118)+N(AM118)-N(AN118),2))</f>
        <v/>
      </c>
      <c r="AP118">
        <f>IFERROR(MATCH(1,OrderPlan,0),"")</f>
        <v/>
      </c>
      <c r="AQ118">
        <f>IF(AP118="",0,IFERROR(IF(N(CHOOSE(AP118,J118,N118,R118,V118,Z118,AD118,AH118,AL118))&lt;=0.005,0,MAX(0,N(CHOOSE(AP118,J118,N118,R118,V118,Z118,AD118,AH118,AL118))+N(CHOOSE(AP118,K118,O118,S118,W118,AA118,AE118,AI118,AM118))-MIN(N(CHOOSE(AP118,'Debt List'!$F$5,'Debt List'!$F$6,'Debt List'!$F$7,'Debt List'!$F$8,'Debt List'!$F$9,'Debt List'!$F$10,'Debt List'!$F$11,'Debt List'!$F$12)),N(CHOOSE(AP118,J118,N118,R118,V118,Z118,AD118,AH118,AL118))+N(CHOOSE(AP118,K118,O118,S118,W118,AA118,AE118,AI118,AM118))))),0))</f>
        <v/>
      </c>
      <c r="AR118">
        <f>MIN(N(AQ118),MAX(0,N(ExtraPayment)))</f>
        <v/>
      </c>
      <c r="AS118">
        <f>MAX(0,N(ExtraPayment)-N(AR118))</f>
        <v/>
      </c>
      <c r="AT118">
        <f>IFERROR(MATCH(2,OrderPlan,0),"")</f>
        <v/>
      </c>
      <c r="AU118">
        <f>IF(AT118="",0,IFERROR(IF(N(CHOOSE(AT118,J118,N118,R118,V118,Z118,AD118,AH118,AL118))&lt;=0.005,0,MAX(0,N(CHOOSE(AT118,J118,N118,R118,V118,Z118,AD118,AH118,AL118))+N(CHOOSE(AT118,K118,O118,S118,W118,AA118,AE118,AI118,AM118))-MIN(N(CHOOSE(AT118,'Debt List'!$F$5,'Debt List'!$F$6,'Debt List'!$F$7,'Debt List'!$F$8,'Debt List'!$F$9,'Debt List'!$F$10,'Debt List'!$F$11,'Debt List'!$F$12)),N(CHOOSE(AT118,J118,N118,R118,V118,Z118,AD118,AH118,AL118))+N(CHOOSE(AT118,K118,O118,S118,W118,AA118,AE118,AI118,AM118))))),0))</f>
        <v/>
      </c>
      <c r="AV118">
        <f>MIN(N(AU118),MAX(0,N(AS118)))</f>
        <v/>
      </c>
      <c r="AW118">
        <f>MAX(0,N(AS118)-N(AV118))</f>
        <v/>
      </c>
      <c r="AX118">
        <f>IFERROR(MATCH(3,OrderPlan,0),"")</f>
        <v/>
      </c>
      <c r="AY118">
        <f>IF(AX118="",0,IFERROR(IF(N(CHOOSE(AX118,J118,N118,R118,V118,Z118,AD118,AH118,AL118))&lt;=0.005,0,MAX(0,N(CHOOSE(AX118,J118,N118,R118,V118,Z118,AD118,AH118,AL118))+N(CHOOSE(AX118,K118,O118,S118,W118,AA118,AE118,AI118,AM118))-MIN(N(CHOOSE(AX118,'Debt List'!$F$5,'Debt List'!$F$6,'Debt List'!$F$7,'Debt List'!$F$8,'Debt List'!$F$9,'Debt List'!$F$10,'Debt List'!$F$11,'Debt List'!$F$12)),N(CHOOSE(AX118,J118,N118,R118,V118,Z118,AD118,AH118,AL118))+N(CHOOSE(AX118,K118,O118,S118,W118,AA118,AE118,AI118,AM118))))),0))</f>
        <v/>
      </c>
      <c r="AZ118">
        <f>MIN(N(AY118),MAX(0,N(AW118)))</f>
        <v/>
      </c>
      <c r="BA118">
        <f>MAX(0,N(AW118)-N(AZ118))</f>
        <v/>
      </c>
      <c r="BB118">
        <f>IFERROR(MATCH(4,OrderPlan,0),"")</f>
        <v/>
      </c>
      <c r="BC118">
        <f>IF(BB118="",0,IFERROR(IF(N(CHOOSE(BB118,J118,N118,R118,V118,Z118,AD118,AH118,AL118))&lt;=0.005,0,MAX(0,N(CHOOSE(BB118,J118,N118,R118,V118,Z118,AD118,AH118,AL118))+N(CHOOSE(BB118,K118,O118,S118,W118,AA118,AE118,AI118,AM118))-MIN(N(CHOOSE(BB118,'Debt List'!$F$5,'Debt List'!$F$6,'Debt List'!$F$7,'Debt List'!$F$8,'Debt List'!$F$9,'Debt List'!$F$10,'Debt List'!$F$11,'Debt List'!$F$12)),N(CHOOSE(BB118,J118,N118,R118,V118,Z118,AD118,AH118,AL118))+N(CHOOSE(BB118,K118,O118,S118,W118,AA118,AE118,AI118,AM118))))),0))</f>
        <v/>
      </c>
      <c r="BD118">
        <f>MIN(N(BC118),MAX(0,N(BA118)))</f>
        <v/>
      </c>
      <c r="BE118">
        <f>MAX(0,N(BA118)-N(BD118))</f>
        <v/>
      </c>
      <c r="BF118">
        <f>IFERROR(MATCH(5,OrderPlan,0),"")</f>
        <v/>
      </c>
      <c r="BG118">
        <f>IF(BF118="",0,IFERROR(IF(N(CHOOSE(BF118,J118,N118,R118,V118,Z118,AD118,AH118,AL118))&lt;=0.005,0,MAX(0,N(CHOOSE(BF118,J118,N118,R118,V118,Z118,AD118,AH118,AL118))+N(CHOOSE(BF118,K118,O118,S118,W118,AA118,AE118,AI118,AM118))-MIN(N(CHOOSE(BF118,'Debt List'!$F$5,'Debt List'!$F$6,'Debt List'!$F$7,'Debt List'!$F$8,'Debt List'!$F$9,'Debt List'!$F$10,'Debt List'!$F$11,'Debt List'!$F$12)),N(CHOOSE(BF118,J118,N118,R118,V118,Z118,AD118,AH118,AL118))+N(CHOOSE(BF118,K118,O118,S118,W118,AA118,AE118,AI118,AM118))))),0))</f>
        <v/>
      </c>
      <c r="BH118">
        <f>MIN(N(BG118),MAX(0,N(BE118)))</f>
        <v/>
      </c>
      <c r="BI118">
        <f>MAX(0,N(BE118)-N(BH118))</f>
        <v/>
      </c>
      <c r="BJ118">
        <f>IFERROR(MATCH(6,OrderPlan,0),"")</f>
        <v/>
      </c>
      <c r="BK118">
        <f>IF(BJ118="",0,IFERROR(IF(N(CHOOSE(BJ118,J118,N118,R118,V118,Z118,AD118,AH118,AL118))&lt;=0.005,0,MAX(0,N(CHOOSE(BJ118,J118,N118,R118,V118,Z118,AD118,AH118,AL118))+N(CHOOSE(BJ118,K118,O118,S118,W118,AA118,AE118,AI118,AM118))-MIN(N(CHOOSE(BJ118,'Debt List'!$F$5,'Debt List'!$F$6,'Debt List'!$F$7,'Debt List'!$F$8,'Debt List'!$F$9,'Debt List'!$F$10,'Debt List'!$F$11,'Debt List'!$F$12)),N(CHOOSE(BJ118,J118,N118,R118,V118,Z118,AD118,AH118,AL118))+N(CHOOSE(BJ118,K118,O118,S118,W118,AA118,AE118,AI118,AM118))))),0))</f>
        <v/>
      </c>
      <c r="BL118">
        <f>MIN(N(BK118),MAX(0,N(BI118)))</f>
        <v/>
      </c>
      <c r="BM118">
        <f>MAX(0,N(BI118)-N(BL118))</f>
        <v/>
      </c>
      <c r="BN118">
        <f>IFERROR(MATCH(7,OrderPlan,0),"")</f>
        <v/>
      </c>
      <c r="BO118">
        <f>IF(BN118="",0,IFERROR(IF(N(CHOOSE(BN118,J118,N118,R118,V118,Z118,AD118,AH118,AL118))&lt;=0.005,0,MAX(0,N(CHOOSE(BN118,J118,N118,R118,V118,Z118,AD118,AH118,AL118))+N(CHOOSE(BN118,K118,O118,S118,W118,AA118,AE118,AI118,AM118))-MIN(N(CHOOSE(BN118,'Debt List'!$F$5,'Debt List'!$F$6,'Debt List'!$F$7,'Debt List'!$F$8,'Debt List'!$F$9,'Debt List'!$F$10,'Debt List'!$F$11,'Debt List'!$F$12)),N(CHOOSE(BN118,J118,N118,R118,V118,Z118,AD118,AH118,AL118))+N(CHOOSE(BN118,K118,O118,S118,W118,AA118,AE118,AI118,AM118))))),0))</f>
        <v/>
      </c>
      <c r="BP118">
        <f>MIN(N(BO118),MAX(0,N(BM118)))</f>
        <v/>
      </c>
      <c r="BQ118">
        <f>MAX(0,N(BM118)-N(BP118))</f>
        <v/>
      </c>
      <c r="BR118">
        <f>IFERROR(MATCH(8,OrderPlan,0),"")</f>
        <v/>
      </c>
      <c r="BS118">
        <f>IF(BR118="",0,IFERROR(IF(N(CHOOSE(BR118,J118,N118,R118,V118,Z118,AD118,AH118,AL118))&lt;=0.005,0,MAX(0,N(CHOOSE(BR118,J118,N118,R118,V118,Z118,AD118,AH118,AL118))+N(CHOOSE(BR118,K118,O118,S118,W118,AA118,AE118,AI118,AM118))-MIN(N(CHOOSE(BR118,'Debt List'!$F$5,'Debt List'!$F$6,'Debt List'!$F$7,'Debt List'!$F$8,'Debt List'!$F$9,'Debt List'!$F$10,'Debt List'!$F$11,'Debt List'!$F$12)),N(CHOOSE(BR118,J118,N118,R118,V118,Z118,AD118,AH118,AL118))+N(CHOOSE(BR118,K118,O118,S118,W118,AA118,AE118,AI118,AM118))))),0))</f>
        <v/>
      </c>
      <c r="BT118">
        <f>MIN(N(BS118),MAX(0,N(BQ118)))</f>
        <v/>
      </c>
      <c r="BU118">
        <f>MAX(0,N(BQ118)-N(BT118))</f>
        <v/>
      </c>
      <c r="CC118" t="n">
        <v>114</v>
      </c>
      <c r="CD118" s="115">
        <f>DATE(YEAR(PlanStart),MONTH(PlanStart)+CC118-1,1)</f>
        <v/>
      </c>
      <c r="CE118">
        <f>IF(AND(DR118&lt;&gt;"",N(CHOOSE(DR118,CL118,CP118,CT118,CX118,DB118,DF118,DJ118,DN118))&gt;0.005),INDEX(DebtNames,DR118),IF(AND(DV118&lt;&gt;"",N(CHOOSE(DV118,CL118,CP118,CT118,CX118,DB118,DF118,DJ118,DN118))&gt;0.005),INDEX(DebtNames,DV118),IF(AND(DZ118&lt;&gt;"",N(CHOOSE(DZ118,CL118,CP118,CT118,CX118,DB118,DF118,DJ118,DN118))&gt;0.005),INDEX(DebtNames,DZ118),IF(AND(ED118&lt;&gt;"",N(CHOOSE(ED118,CL118,CP118,CT118,CX118,DB118,DF118,DJ118,DN118))&gt;0.005),INDEX(DebtNames,ED118),IF(AND(EH118&lt;&gt;"",N(CHOOSE(EH118,CL118,CP118,CT118,CX118,DB118,DF118,DJ118,DN118))&gt;0.005),INDEX(DebtNames,EH118),IF(AND(EL118&lt;&gt;"",N(CHOOSE(EL118,CL118,CP118,CT118,CX118,DB118,DF118,DJ118,DN118))&gt;0.005),INDEX(DebtNames,EL118),IF(AND(EP118&lt;&gt;"",N(CHOOSE(EP118,CL118,CP118,CT118,CX118,DB118,DF118,DJ118,DN118))&gt;0.005),INDEX(DebtNames,EP118),IF(AND(ET118&lt;&gt;"",N(CHOOSE(ET118,CL118,CP118,CT118,CX118,DB118,DF118,DJ118,DN118))&gt;0.005),INDEX(DebtNames,ET118),""))))))))</f>
        <v/>
      </c>
      <c r="CF118">
        <f>N(EW118)</f>
        <v/>
      </c>
      <c r="CG118">
        <f>N(CN118)+N(CR118)+N(CV118)+N(CZ118)+N(DD118)+N(DH118)+N(DL118)+N(DP118)</f>
        <v/>
      </c>
      <c r="CH118">
        <f>N(CM118)+N(CQ118)+N(CU118)+N(CY118)+N(DC118)+N(DG118)+N(DK118)+N(DO118)</f>
        <v/>
      </c>
      <c r="CI118">
        <f>N(CI117)+N(CH118)</f>
        <v/>
      </c>
      <c r="CJ118">
        <f>N(CO118)+N(CS118)+N(CW118)+N(DA118)+N(DE118)+N(DI118)+N(DM118)+N(DQ118)</f>
        <v/>
      </c>
      <c r="CK118">
        <f>(CO118&gt;0.005)*1+(CS118&gt;0.005)*1+(CW118&gt;0.005)*1+(DA118&gt;0.005)*1+(DE118&gt;0.005)*1+(DI118&gt;0.005)*1+(DM118&gt;0.005)*1+(DQ118&gt;0.005)*1</f>
        <v/>
      </c>
      <c r="CL118">
        <f>N(CO117)</f>
        <v/>
      </c>
      <c r="CM118">
        <f>IF(N(CL118)&lt;=0.005,0,ROUND(N(CL118)*N('Debt List'!E5)/12,2))</f>
        <v/>
      </c>
      <c r="CN118">
        <f>IF(N(CL118)&lt;=0.005,0,MIN(N('Debt List'!F5),N(CL118)+N(CM118)))+((DR118=1)*DT118+(DV118=1)*DX118+(DZ118=1)*EB118+(ED118=1)*EF118+(EH118=1)*EJ118+(EL118=1)*EN118+(EP118=1)*ER118+(ET118=1)*EV118)</f>
        <v/>
      </c>
      <c r="CO118">
        <f>MAX(0,ROUND(N(CL118)+N(CM118)-N(CN118),2))</f>
        <v/>
      </c>
      <c r="CP118">
        <f>N(CS117)</f>
        <v/>
      </c>
      <c r="CQ118">
        <f>IF(N(CP118)&lt;=0.005,0,ROUND(N(CP118)*N('Debt List'!E6)/12,2))</f>
        <v/>
      </c>
      <c r="CR118">
        <f>IF(N(CP118)&lt;=0.005,0,MIN(N('Debt List'!F6),N(CP118)+N(CQ118)))+((DR118=2)*DT118+(DV118=2)*DX118+(DZ118=2)*EB118+(ED118=2)*EF118+(EH118=2)*EJ118+(EL118=2)*EN118+(EP118=2)*ER118+(ET118=2)*EV118)</f>
        <v/>
      </c>
      <c r="CS118">
        <f>MAX(0,ROUND(N(CP118)+N(CQ118)-N(CR118),2))</f>
        <v/>
      </c>
      <c r="CT118">
        <f>N(CW117)</f>
        <v/>
      </c>
      <c r="CU118">
        <f>IF(N(CT118)&lt;=0.005,0,ROUND(N(CT118)*N('Debt List'!E7)/12,2))</f>
        <v/>
      </c>
      <c r="CV118">
        <f>IF(N(CT118)&lt;=0.005,0,MIN(N('Debt List'!F7),N(CT118)+N(CU118)))+((DR118=3)*DT118+(DV118=3)*DX118+(DZ118=3)*EB118+(ED118=3)*EF118+(EH118=3)*EJ118+(EL118=3)*EN118+(EP118=3)*ER118+(ET118=3)*EV118)</f>
        <v/>
      </c>
      <c r="CW118">
        <f>MAX(0,ROUND(N(CT118)+N(CU118)-N(CV118),2))</f>
        <v/>
      </c>
      <c r="CX118">
        <f>N(DA117)</f>
        <v/>
      </c>
      <c r="CY118">
        <f>IF(N(CX118)&lt;=0.005,0,ROUND(N(CX118)*N('Debt List'!E8)/12,2))</f>
        <v/>
      </c>
      <c r="CZ118">
        <f>IF(N(CX118)&lt;=0.005,0,MIN(N('Debt List'!F8),N(CX118)+N(CY118)))+((DR118=4)*DT118+(DV118=4)*DX118+(DZ118=4)*EB118+(ED118=4)*EF118+(EH118=4)*EJ118+(EL118=4)*EN118+(EP118=4)*ER118+(ET118=4)*EV118)</f>
        <v/>
      </c>
      <c r="DA118">
        <f>MAX(0,ROUND(N(CX118)+N(CY118)-N(CZ118),2))</f>
        <v/>
      </c>
      <c r="DB118">
        <f>N(DE117)</f>
        <v/>
      </c>
      <c r="DC118">
        <f>IF(N(DB118)&lt;=0.005,0,ROUND(N(DB118)*N('Debt List'!E9)/12,2))</f>
        <v/>
      </c>
      <c r="DD118">
        <f>IF(N(DB118)&lt;=0.005,0,MIN(N('Debt List'!F9),N(DB118)+N(DC118)))+((DR118=5)*DT118+(DV118=5)*DX118+(DZ118=5)*EB118+(ED118=5)*EF118+(EH118=5)*EJ118+(EL118=5)*EN118+(EP118=5)*ER118+(ET118=5)*EV118)</f>
        <v/>
      </c>
      <c r="DE118">
        <f>MAX(0,ROUND(N(DB118)+N(DC118)-N(DD118),2))</f>
        <v/>
      </c>
      <c r="DF118">
        <f>N(DI117)</f>
        <v/>
      </c>
      <c r="DG118">
        <f>IF(N(DF118)&lt;=0.005,0,ROUND(N(DF118)*N('Debt List'!E10)/12,2))</f>
        <v/>
      </c>
      <c r="DH118">
        <f>IF(N(DF118)&lt;=0.005,0,MIN(N('Debt List'!F10),N(DF118)+N(DG118)))+((DR118=6)*DT118+(DV118=6)*DX118+(DZ118=6)*EB118+(ED118=6)*EF118+(EH118=6)*EJ118+(EL118=6)*EN118+(EP118=6)*ER118+(ET118=6)*EV118)</f>
        <v/>
      </c>
      <c r="DI118">
        <f>MAX(0,ROUND(N(DF118)+N(DG118)-N(DH118),2))</f>
        <v/>
      </c>
      <c r="DJ118">
        <f>N(DM117)</f>
        <v/>
      </c>
      <c r="DK118">
        <f>IF(N(DJ118)&lt;=0.005,0,ROUND(N(DJ118)*N('Debt List'!E11)/12,2))</f>
        <v/>
      </c>
      <c r="DL118">
        <f>IF(N(DJ118)&lt;=0.005,0,MIN(N('Debt List'!F11),N(DJ118)+N(DK118)))+((DR118=7)*DT118+(DV118=7)*DX118+(DZ118=7)*EB118+(ED118=7)*EF118+(EH118=7)*EJ118+(EL118=7)*EN118+(EP118=7)*ER118+(ET118=7)*EV118)</f>
        <v/>
      </c>
      <c r="DM118">
        <f>MAX(0,ROUND(N(DJ118)+N(DK118)-N(DL118),2))</f>
        <v/>
      </c>
      <c r="DN118">
        <f>N(DQ117)</f>
        <v/>
      </c>
      <c r="DO118">
        <f>IF(N(DN118)&lt;=0.005,0,ROUND(N(DN118)*N('Debt List'!E12)/12,2))</f>
        <v/>
      </c>
      <c r="DP118">
        <f>IF(N(DN118)&lt;=0.005,0,MIN(N('Debt List'!F12),N(DN118)+N(DO118)))+((DR118=8)*DT118+(DV118=8)*DX118+(DZ118=8)*EB118+(ED118=8)*EF118+(EH118=8)*EJ118+(EL118=8)*EN118+(EP118=8)*ER118+(ET118=8)*EV118)</f>
        <v/>
      </c>
      <c r="DQ118">
        <f>MAX(0,ROUND(N(DN118)+N(DO118)-N(DP118),2))</f>
        <v/>
      </c>
      <c r="DR118">
        <f>IFERROR(MATCH(1,OrderSnow,0),"")</f>
        <v/>
      </c>
      <c r="DS118">
        <f>IF(DR118="",0,IFERROR(IF(N(CHOOSE(DR118,CL118,CP118,CT118,CX118,DB118,DF118,DJ118,DN118))&lt;=0.005,0,MAX(0,N(CHOOSE(DR118,CL118,CP118,CT118,CX118,DB118,DF118,DJ118,DN118))+N(CHOOSE(DR118,CM118,CQ118,CU118,CY118,DC118,DG118,DK118,DO118))-MIN(N(CHOOSE(DR118,'Debt List'!$F$5,'Debt List'!$F$6,'Debt List'!$F$7,'Debt List'!$F$8,'Debt List'!$F$9,'Debt List'!$F$10,'Debt List'!$F$11,'Debt List'!$F$12)),N(CHOOSE(DR118,CL118,CP118,CT118,CX118,DB118,DF118,DJ118,DN118))+N(CHOOSE(DR118,CM118,CQ118,CU118,CY118,DC118,DG118,DK118,DO118))))),0))</f>
        <v/>
      </c>
      <c r="DT118">
        <f>MIN(N(DS118),MAX(0,N(ExtraPayment)))</f>
        <v/>
      </c>
      <c r="DU118">
        <f>MAX(0,N(ExtraPayment)-N(DT118))</f>
        <v/>
      </c>
      <c r="DV118">
        <f>IFERROR(MATCH(2,OrderSnow,0),"")</f>
        <v/>
      </c>
      <c r="DW118">
        <f>IF(DV118="",0,IFERROR(IF(N(CHOOSE(DV118,CL118,CP118,CT118,CX118,DB118,DF118,DJ118,DN118))&lt;=0.005,0,MAX(0,N(CHOOSE(DV118,CL118,CP118,CT118,CX118,DB118,DF118,DJ118,DN118))+N(CHOOSE(DV118,CM118,CQ118,CU118,CY118,DC118,DG118,DK118,DO118))-MIN(N(CHOOSE(DV118,'Debt List'!$F$5,'Debt List'!$F$6,'Debt List'!$F$7,'Debt List'!$F$8,'Debt List'!$F$9,'Debt List'!$F$10,'Debt List'!$F$11,'Debt List'!$F$12)),N(CHOOSE(DV118,CL118,CP118,CT118,CX118,DB118,DF118,DJ118,DN118))+N(CHOOSE(DV118,CM118,CQ118,CU118,CY118,DC118,DG118,DK118,DO118))))),0))</f>
        <v/>
      </c>
      <c r="DX118">
        <f>MIN(N(DW118),MAX(0,N(DU118)))</f>
        <v/>
      </c>
      <c r="DY118">
        <f>MAX(0,N(DU118)-N(DX118))</f>
        <v/>
      </c>
      <c r="DZ118">
        <f>IFERROR(MATCH(3,OrderSnow,0),"")</f>
        <v/>
      </c>
      <c r="EA118">
        <f>IF(DZ118="",0,IFERROR(IF(N(CHOOSE(DZ118,CL118,CP118,CT118,CX118,DB118,DF118,DJ118,DN118))&lt;=0.005,0,MAX(0,N(CHOOSE(DZ118,CL118,CP118,CT118,CX118,DB118,DF118,DJ118,DN118))+N(CHOOSE(DZ118,CM118,CQ118,CU118,CY118,DC118,DG118,DK118,DO118))-MIN(N(CHOOSE(DZ118,'Debt List'!$F$5,'Debt List'!$F$6,'Debt List'!$F$7,'Debt List'!$F$8,'Debt List'!$F$9,'Debt List'!$F$10,'Debt List'!$F$11,'Debt List'!$F$12)),N(CHOOSE(DZ118,CL118,CP118,CT118,CX118,DB118,DF118,DJ118,DN118))+N(CHOOSE(DZ118,CM118,CQ118,CU118,CY118,DC118,DG118,DK118,DO118))))),0))</f>
        <v/>
      </c>
      <c r="EB118">
        <f>MIN(N(EA118),MAX(0,N(DY118)))</f>
        <v/>
      </c>
      <c r="EC118">
        <f>MAX(0,N(DY118)-N(EB118))</f>
        <v/>
      </c>
      <c r="ED118">
        <f>IFERROR(MATCH(4,OrderSnow,0),"")</f>
        <v/>
      </c>
      <c r="EE118">
        <f>IF(ED118="",0,IFERROR(IF(N(CHOOSE(ED118,CL118,CP118,CT118,CX118,DB118,DF118,DJ118,DN118))&lt;=0.005,0,MAX(0,N(CHOOSE(ED118,CL118,CP118,CT118,CX118,DB118,DF118,DJ118,DN118))+N(CHOOSE(ED118,CM118,CQ118,CU118,CY118,DC118,DG118,DK118,DO118))-MIN(N(CHOOSE(ED118,'Debt List'!$F$5,'Debt List'!$F$6,'Debt List'!$F$7,'Debt List'!$F$8,'Debt List'!$F$9,'Debt List'!$F$10,'Debt List'!$F$11,'Debt List'!$F$12)),N(CHOOSE(ED118,CL118,CP118,CT118,CX118,DB118,DF118,DJ118,DN118))+N(CHOOSE(ED118,CM118,CQ118,CU118,CY118,DC118,DG118,DK118,DO118))))),0))</f>
        <v/>
      </c>
      <c r="EF118">
        <f>MIN(N(EE118),MAX(0,N(EC118)))</f>
        <v/>
      </c>
      <c r="EG118">
        <f>MAX(0,N(EC118)-N(EF118))</f>
        <v/>
      </c>
      <c r="EH118">
        <f>IFERROR(MATCH(5,OrderSnow,0),"")</f>
        <v/>
      </c>
      <c r="EI118">
        <f>IF(EH118="",0,IFERROR(IF(N(CHOOSE(EH118,CL118,CP118,CT118,CX118,DB118,DF118,DJ118,DN118))&lt;=0.005,0,MAX(0,N(CHOOSE(EH118,CL118,CP118,CT118,CX118,DB118,DF118,DJ118,DN118))+N(CHOOSE(EH118,CM118,CQ118,CU118,CY118,DC118,DG118,DK118,DO118))-MIN(N(CHOOSE(EH118,'Debt List'!$F$5,'Debt List'!$F$6,'Debt List'!$F$7,'Debt List'!$F$8,'Debt List'!$F$9,'Debt List'!$F$10,'Debt List'!$F$11,'Debt List'!$F$12)),N(CHOOSE(EH118,CL118,CP118,CT118,CX118,DB118,DF118,DJ118,DN118))+N(CHOOSE(EH118,CM118,CQ118,CU118,CY118,DC118,DG118,DK118,DO118))))),0))</f>
        <v/>
      </c>
      <c r="EJ118">
        <f>MIN(N(EI118),MAX(0,N(EG118)))</f>
        <v/>
      </c>
      <c r="EK118">
        <f>MAX(0,N(EG118)-N(EJ118))</f>
        <v/>
      </c>
      <c r="EL118">
        <f>IFERROR(MATCH(6,OrderSnow,0),"")</f>
        <v/>
      </c>
      <c r="EM118">
        <f>IF(EL118="",0,IFERROR(IF(N(CHOOSE(EL118,CL118,CP118,CT118,CX118,DB118,DF118,DJ118,DN118))&lt;=0.005,0,MAX(0,N(CHOOSE(EL118,CL118,CP118,CT118,CX118,DB118,DF118,DJ118,DN118))+N(CHOOSE(EL118,CM118,CQ118,CU118,CY118,DC118,DG118,DK118,DO118))-MIN(N(CHOOSE(EL118,'Debt List'!$F$5,'Debt List'!$F$6,'Debt List'!$F$7,'Debt List'!$F$8,'Debt List'!$F$9,'Debt List'!$F$10,'Debt List'!$F$11,'Debt List'!$F$12)),N(CHOOSE(EL118,CL118,CP118,CT118,CX118,DB118,DF118,DJ118,DN118))+N(CHOOSE(EL118,CM118,CQ118,CU118,CY118,DC118,DG118,DK118,DO118))))),0))</f>
        <v/>
      </c>
      <c r="EN118">
        <f>MIN(N(EM118),MAX(0,N(EK118)))</f>
        <v/>
      </c>
      <c r="EO118">
        <f>MAX(0,N(EK118)-N(EN118))</f>
        <v/>
      </c>
      <c r="EP118">
        <f>IFERROR(MATCH(7,OrderSnow,0),"")</f>
        <v/>
      </c>
      <c r="EQ118">
        <f>IF(EP118="",0,IFERROR(IF(N(CHOOSE(EP118,CL118,CP118,CT118,CX118,DB118,DF118,DJ118,DN118))&lt;=0.005,0,MAX(0,N(CHOOSE(EP118,CL118,CP118,CT118,CX118,DB118,DF118,DJ118,DN118))+N(CHOOSE(EP118,CM118,CQ118,CU118,CY118,DC118,DG118,DK118,DO118))-MIN(N(CHOOSE(EP118,'Debt List'!$F$5,'Debt List'!$F$6,'Debt List'!$F$7,'Debt List'!$F$8,'Debt List'!$F$9,'Debt List'!$F$10,'Debt List'!$F$11,'Debt List'!$F$12)),N(CHOOSE(EP118,CL118,CP118,CT118,CX118,DB118,DF118,DJ118,DN118))+N(CHOOSE(EP118,CM118,CQ118,CU118,CY118,DC118,DG118,DK118,DO118))))),0))</f>
        <v/>
      </c>
      <c r="ER118">
        <f>MIN(N(EQ118),MAX(0,N(EO118)))</f>
        <v/>
      </c>
      <c r="ES118">
        <f>MAX(0,N(EO118)-N(ER118))</f>
        <v/>
      </c>
      <c r="ET118">
        <f>IFERROR(MATCH(8,OrderSnow,0),"")</f>
        <v/>
      </c>
      <c r="EU118">
        <f>IF(ET118="",0,IFERROR(IF(N(CHOOSE(ET118,CL118,CP118,CT118,CX118,DB118,DF118,DJ118,DN118))&lt;=0.005,0,MAX(0,N(CHOOSE(ET118,CL118,CP118,CT118,CX118,DB118,DF118,DJ118,DN118))+N(CHOOSE(ET118,CM118,CQ118,CU118,CY118,DC118,DG118,DK118,DO118))-MIN(N(CHOOSE(ET118,'Debt List'!$F$5,'Debt List'!$F$6,'Debt List'!$F$7,'Debt List'!$F$8,'Debt List'!$F$9,'Debt List'!$F$10,'Debt List'!$F$11,'Debt List'!$F$12)),N(CHOOSE(ET118,CL118,CP118,CT118,CX118,DB118,DF118,DJ118,DN118))+N(CHOOSE(ET118,CM118,CQ118,CU118,CY118,DC118,DG118,DK118,DO118))))),0))</f>
        <v/>
      </c>
      <c r="EV118">
        <f>MIN(N(EU118),MAX(0,N(ES118)))</f>
        <v/>
      </c>
      <c r="EW118">
        <f>MAX(0,N(ES118)-N(EV118))</f>
        <v/>
      </c>
      <c r="FE118" t="n">
        <v>114</v>
      </c>
      <c r="FF118" s="115">
        <f>DATE(YEAR(PlanStart),MONTH(PlanStart)+FE118-1,1)</f>
        <v/>
      </c>
      <c r="FG118">
        <f>IF(AND(GT118&lt;&gt;"",N(CHOOSE(GT118,FN118,FR118,FV118,FZ118,GD118,GH118,GL118,GP118))&gt;0.005),INDEX(DebtNames,GT118),IF(AND(GX118&lt;&gt;"",N(CHOOSE(GX118,FN118,FR118,FV118,FZ118,GD118,GH118,GL118,GP118))&gt;0.005),INDEX(DebtNames,GX118),IF(AND(HB118&lt;&gt;"",N(CHOOSE(HB118,FN118,FR118,FV118,FZ118,GD118,GH118,GL118,GP118))&gt;0.005),INDEX(DebtNames,HB118),IF(AND(HF118&lt;&gt;"",N(CHOOSE(HF118,FN118,FR118,FV118,FZ118,GD118,GH118,GL118,GP118))&gt;0.005),INDEX(DebtNames,HF118),IF(AND(HJ118&lt;&gt;"",N(CHOOSE(HJ118,FN118,FR118,FV118,FZ118,GD118,GH118,GL118,GP118))&gt;0.005),INDEX(DebtNames,HJ118),IF(AND(HN118&lt;&gt;"",N(CHOOSE(HN118,FN118,FR118,FV118,FZ118,GD118,GH118,GL118,GP118))&gt;0.005),INDEX(DebtNames,HN118),IF(AND(HR118&lt;&gt;"",N(CHOOSE(HR118,FN118,FR118,FV118,FZ118,GD118,GH118,GL118,GP118))&gt;0.005),INDEX(DebtNames,HR118),IF(AND(HV118&lt;&gt;"",N(CHOOSE(HV118,FN118,FR118,FV118,FZ118,GD118,GH118,GL118,GP118))&gt;0.005),INDEX(DebtNames,HV118),""))))))))</f>
        <v/>
      </c>
      <c r="FH118">
        <f>N(HY118)</f>
        <v/>
      </c>
      <c r="FI118">
        <f>N(FP118)+N(FT118)+N(FX118)+N(GB118)+N(GF118)+N(GJ118)+N(GN118)+N(GR118)</f>
        <v/>
      </c>
      <c r="FJ118">
        <f>N(FO118)+N(FS118)+N(FW118)+N(GA118)+N(GE118)+N(GI118)+N(GM118)+N(GQ118)</f>
        <v/>
      </c>
      <c r="FK118">
        <f>N(FK117)+N(FJ118)</f>
        <v/>
      </c>
      <c r="FL118">
        <f>N(FQ118)+N(FU118)+N(FY118)+N(GC118)+N(GG118)+N(GK118)+N(GO118)+N(GS118)</f>
        <v/>
      </c>
      <c r="FM118">
        <f>(FQ118&gt;0.005)*1+(FU118&gt;0.005)*1+(FY118&gt;0.005)*1+(GC118&gt;0.005)*1+(GG118&gt;0.005)*1+(GK118&gt;0.005)*1+(GO118&gt;0.005)*1+(GS118&gt;0.005)*1</f>
        <v/>
      </c>
      <c r="FN118">
        <f>N(FQ117)</f>
        <v/>
      </c>
      <c r="FO118">
        <f>IF(N(FN118)&lt;=0.005,0,ROUND(N(FN118)*N('Debt List'!E5)/12,2))</f>
        <v/>
      </c>
      <c r="FP118">
        <f>IF(N(FN118)&lt;=0.005,0,MIN(N('Debt List'!F5),N(FN118)+N(FO118)))+((GT118=1)*GV118+(GX118=1)*GZ118+(HB118=1)*HD118+(HF118=1)*HH118+(HJ118=1)*HL118+(HN118=1)*HP118+(HR118=1)*HT118+(HV118=1)*HX118)</f>
        <v/>
      </c>
      <c r="FQ118">
        <f>MAX(0,ROUND(N(FN118)+N(FO118)-N(FP118),2))</f>
        <v/>
      </c>
      <c r="FR118">
        <f>N(FU117)</f>
        <v/>
      </c>
      <c r="FS118">
        <f>IF(N(FR118)&lt;=0.005,0,ROUND(N(FR118)*N('Debt List'!E6)/12,2))</f>
        <v/>
      </c>
      <c r="FT118">
        <f>IF(N(FR118)&lt;=0.005,0,MIN(N('Debt List'!F6),N(FR118)+N(FS118)))+((GT118=2)*GV118+(GX118=2)*GZ118+(HB118=2)*HD118+(HF118=2)*HH118+(HJ118=2)*HL118+(HN118=2)*HP118+(HR118=2)*HT118+(HV118=2)*HX118)</f>
        <v/>
      </c>
      <c r="FU118">
        <f>MAX(0,ROUND(N(FR118)+N(FS118)-N(FT118),2))</f>
        <v/>
      </c>
      <c r="FV118">
        <f>N(FY117)</f>
        <v/>
      </c>
      <c r="FW118">
        <f>IF(N(FV118)&lt;=0.005,0,ROUND(N(FV118)*N('Debt List'!E7)/12,2))</f>
        <v/>
      </c>
      <c r="FX118">
        <f>IF(N(FV118)&lt;=0.005,0,MIN(N('Debt List'!F7),N(FV118)+N(FW118)))+((GT118=3)*GV118+(GX118=3)*GZ118+(HB118=3)*HD118+(HF118=3)*HH118+(HJ118=3)*HL118+(HN118=3)*HP118+(HR118=3)*HT118+(HV118=3)*HX118)</f>
        <v/>
      </c>
      <c r="FY118">
        <f>MAX(0,ROUND(N(FV118)+N(FW118)-N(FX118),2))</f>
        <v/>
      </c>
      <c r="FZ118">
        <f>N(GC117)</f>
        <v/>
      </c>
      <c r="GA118">
        <f>IF(N(FZ118)&lt;=0.005,0,ROUND(N(FZ118)*N('Debt List'!E8)/12,2))</f>
        <v/>
      </c>
      <c r="GB118">
        <f>IF(N(FZ118)&lt;=0.005,0,MIN(N('Debt List'!F8),N(FZ118)+N(GA118)))+((GT118=4)*GV118+(GX118=4)*GZ118+(HB118=4)*HD118+(HF118=4)*HH118+(HJ118=4)*HL118+(HN118=4)*HP118+(HR118=4)*HT118+(HV118=4)*HX118)</f>
        <v/>
      </c>
      <c r="GC118">
        <f>MAX(0,ROUND(N(FZ118)+N(GA118)-N(GB118),2))</f>
        <v/>
      </c>
      <c r="GD118">
        <f>N(GG117)</f>
        <v/>
      </c>
      <c r="GE118">
        <f>IF(N(GD118)&lt;=0.005,0,ROUND(N(GD118)*N('Debt List'!E9)/12,2))</f>
        <v/>
      </c>
      <c r="GF118">
        <f>IF(N(GD118)&lt;=0.005,0,MIN(N('Debt List'!F9),N(GD118)+N(GE118)))+((GT118=5)*GV118+(GX118=5)*GZ118+(HB118=5)*HD118+(HF118=5)*HH118+(HJ118=5)*HL118+(HN118=5)*HP118+(HR118=5)*HT118+(HV118=5)*HX118)</f>
        <v/>
      </c>
      <c r="GG118">
        <f>MAX(0,ROUND(N(GD118)+N(GE118)-N(GF118),2))</f>
        <v/>
      </c>
      <c r="GH118">
        <f>N(GK117)</f>
        <v/>
      </c>
      <c r="GI118">
        <f>IF(N(GH118)&lt;=0.005,0,ROUND(N(GH118)*N('Debt List'!E10)/12,2))</f>
        <v/>
      </c>
      <c r="GJ118">
        <f>IF(N(GH118)&lt;=0.005,0,MIN(N('Debt List'!F10),N(GH118)+N(GI118)))+((GT118=6)*GV118+(GX118=6)*GZ118+(HB118=6)*HD118+(HF118=6)*HH118+(HJ118=6)*HL118+(HN118=6)*HP118+(HR118=6)*HT118+(HV118=6)*HX118)</f>
        <v/>
      </c>
      <c r="GK118">
        <f>MAX(0,ROUND(N(GH118)+N(GI118)-N(GJ118),2))</f>
        <v/>
      </c>
      <c r="GL118">
        <f>N(GO117)</f>
        <v/>
      </c>
      <c r="GM118">
        <f>IF(N(GL118)&lt;=0.005,0,ROUND(N(GL118)*N('Debt List'!E11)/12,2))</f>
        <v/>
      </c>
      <c r="GN118">
        <f>IF(N(GL118)&lt;=0.005,0,MIN(N('Debt List'!F11),N(GL118)+N(GM118)))+((GT118=7)*GV118+(GX118=7)*GZ118+(HB118=7)*HD118+(HF118=7)*HH118+(HJ118=7)*HL118+(HN118=7)*HP118+(HR118=7)*HT118+(HV118=7)*HX118)</f>
        <v/>
      </c>
      <c r="GO118">
        <f>MAX(0,ROUND(N(GL118)+N(GM118)-N(GN118),2))</f>
        <v/>
      </c>
      <c r="GP118">
        <f>N(GS117)</f>
        <v/>
      </c>
      <c r="GQ118">
        <f>IF(N(GP118)&lt;=0.005,0,ROUND(N(GP118)*N('Debt List'!E12)/12,2))</f>
        <v/>
      </c>
      <c r="GR118">
        <f>IF(N(GP118)&lt;=0.005,0,MIN(N('Debt List'!F12),N(GP118)+N(GQ118)))+((GT118=8)*GV118+(GX118=8)*GZ118+(HB118=8)*HD118+(HF118=8)*HH118+(HJ118=8)*HL118+(HN118=8)*HP118+(HR118=8)*HT118+(HV118=8)*HX118)</f>
        <v/>
      </c>
      <c r="GS118">
        <f>MAX(0,ROUND(N(GP118)+N(GQ118)-N(GR118),2))</f>
        <v/>
      </c>
      <c r="GT118">
        <f>IFERROR(MATCH(1,OrderAval,0),"")</f>
        <v/>
      </c>
      <c r="GU118">
        <f>IF(GT118="",0,IFERROR(IF(N(CHOOSE(GT118,FN118,FR118,FV118,FZ118,GD118,GH118,GL118,GP118))&lt;=0.005,0,MAX(0,N(CHOOSE(GT118,FN118,FR118,FV118,FZ118,GD118,GH118,GL118,GP118))+N(CHOOSE(GT118,FO118,FS118,FW118,GA118,GE118,GI118,GM118,GQ118))-MIN(N(CHOOSE(GT118,'Debt List'!$F$5,'Debt List'!$F$6,'Debt List'!$F$7,'Debt List'!$F$8,'Debt List'!$F$9,'Debt List'!$F$10,'Debt List'!$F$11,'Debt List'!$F$12)),N(CHOOSE(GT118,FN118,FR118,FV118,FZ118,GD118,GH118,GL118,GP118))+N(CHOOSE(GT118,FO118,FS118,FW118,GA118,GE118,GI118,GM118,GQ118))))),0))</f>
        <v/>
      </c>
      <c r="GV118">
        <f>MIN(N(GU118),MAX(0,N(ExtraPayment)))</f>
        <v/>
      </c>
      <c r="GW118">
        <f>MAX(0,N(ExtraPayment)-N(GV118))</f>
        <v/>
      </c>
      <c r="GX118">
        <f>IFERROR(MATCH(2,OrderAval,0),"")</f>
        <v/>
      </c>
      <c r="GY118">
        <f>IF(GX118="",0,IFERROR(IF(N(CHOOSE(GX118,FN118,FR118,FV118,FZ118,GD118,GH118,GL118,GP118))&lt;=0.005,0,MAX(0,N(CHOOSE(GX118,FN118,FR118,FV118,FZ118,GD118,GH118,GL118,GP118))+N(CHOOSE(GX118,FO118,FS118,FW118,GA118,GE118,GI118,GM118,GQ118))-MIN(N(CHOOSE(GX118,'Debt List'!$F$5,'Debt List'!$F$6,'Debt List'!$F$7,'Debt List'!$F$8,'Debt List'!$F$9,'Debt List'!$F$10,'Debt List'!$F$11,'Debt List'!$F$12)),N(CHOOSE(GX118,FN118,FR118,FV118,FZ118,GD118,GH118,GL118,GP118))+N(CHOOSE(GX118,FO118,FS118,FW118,GA118,GE118,GI118,GM118,GQ118))))),0))</f>
        <v/>
      </c>
      <c r="GZ118">
        <f>MIN(N(GY118),MAX(0,N(GW118)))</f>
        <v/>
      </c>
      <c r="HA118">
        <f>MAX(0,N(GW118)-N(GZ118))</f>
        <v/>
      </c>
      <c r="HB118">
        <f>IFERROR(MATCH(3,OrderAval,0),"")</f>
        <v/>
      </c>
      <c r="HC118">
        <f>IF(HB118="",0,IFERROR(IF(N(CHOOSE(HB118,FN118,FR118,FV118,FZ118,GD118,GH118,GL118,GP118))&lt;=0.005,0,MAX(0,N(CHOOSE(HB118,FN118,FR118,FV118,FZ118,GD118,GH118,GL118,GP118))+N(CHOOSE(HB118,FO118,FS118,FW118,GA118,GE118,GI118,GM118,GQ118))-MIN(N(CHOOSE(HB118,'Debt List'!$F$5,'Debt List'!$F$6,'Debt List'!$F$7,'Debt List'!$F$8,'Debt List'!$F$9,'Debt List'!$F$10,'Debt List'!$F$11,'Debt List'!$F$12)),N(CHOOSE(HB118,FN118,FR118,FV118,FZ118,GD118,GH118,GL118,GP118))+N(CHOOSE(HB118,FO118,FS118,FW118,GA118,GE118,GI118,GM118,GQ118))))),0))</f>
        <v/>
      </c>
      <c r="HD118">
        <f>MIN(N(HC118),MAX(0,N(HA118)))</f>
        <v/>
      </c>
      <c r="HE118">
        <f>MAX(0,N(HA118)-N(HD118))</f>
        <v/>
      </c>
      <c r="HF118">
        <f>IFERROR(MATCH(4,OrderAval,0),"")</f>
        <v/>
      </c>
      <c r="HG118">
        <f>IF(HF118="",0,IFERROR(IF(N(CHOOSE(HF118,FN118,FR118,FV118,FZ118,GD118,GH118,GL118,GP118))&lt;=0.005,0,MAX(0,N(CHOOSE(HF118,FN118,FR118,FV118,FZ118,GD118,GH118,GL118,GP118))+N(CHOOSE(HF118,FO118,FS118,FW118,GA118,GE118,GI118,GM118,GQ118))-MIN(N(CHOOSE(HF118,'Debt List'!$F$5,'Debt List'!$F$6,'Debt List'!$F$7,'Debt List'!$F$8,'Debt List'!$F$9,'Debt List'!$F$10,'Debt List'!$F$11,'Debt List'!$F$12)),N(CHOOSE(HF118,FN118,FR118,FV118,FZ118,GD118,GH118,GL118,GP118))+N(CHOOSE(HF118,FO118,FS118,FW118,GA118,GE118,GI118,GM118,GQ118))))),0))</f>
        <v/>
      </c>
      <c r="HH118">
        <f>MIN(N(HG118),MAX(0,N(HE118)))</f>
        <v/>
      </c>
      <c r="HI118">
        <f>MAX(0,N(HE118)-N(HH118))</f>
        <v/>
      </c>
      <c r="HJ118">
        <f>IFERROR(MATCH(5,OrderAval,0),"")</f>
        <v/>
      </c>
      <c r="HK118">
        <f>IF(HJ118="",0,IFERROR(IF(N(CHOOSE(HJ118,FN118,FR118,FV118,FZ118,GD118,GH118,GL118,GP118))&lt;=0.005,0,MAX(0,N(CHOOSE(HJ118,FN118,FR118,FV118,FZ118,GD118,GH118,GL118,GP118))+N(CHOOSE(HJ118,FO118,FS118,FW118,GA118,GE118,GI118,GM118,GQ118))-MIN(N(CHOOSE(HJ118,'Debt List'!$F$5,'Debt List'!$F$6,'Debt List'!$F$7,'Debt List'!$F$8,'Debt List'!$F$9,'Debt List'!$F$10,'Debt List'!$F$11,'Debt List'!$F$12)),N(CHOOSE(HJ118,FN118,FR118,FV118,FZ118,GD118,GH118,GL118,GP118))+N(CHOOSE(HJ118,FO118,FS118,FW118,GA118,GE118,GI118,GM118,GQ118))))),0))</f>
        <v/>
      </c>
      <c r="HL118">
        <f>MIN(N(HK118),MAX(0,N(HI118)))</f>
        <v/>
      </c>
      <c r="HM118">
        <f>MAX(0,N(HI118)-N(HL118))</f>
        <v/>
      </c>
      <c r="HN118">
        <f>IFERROR(MATCH(6,OrderAval,0),"")</f>
        <v/>
      </c>
      <c r="HO118">
        <f>IF(HN118="",0,IFERROR(IF(N(CHOOSE(HN118,FN118,FR118,FV118,FZ118,GD118,GH118,GL118,GP118))&lt;=0.005,0,MAX(0,N(CHOOSE(HN118,FN118,FR118,FV118,FZ118,GD118,GH118,GL118,GP118))+N(CHOOSE(HN118,FO118,FS118,FW118,GA118,GE118,GI118,GM118,GQ118))-MIN(N(CHOOSE(HN118,'Debt List'!$F$5,'Debt List'!$F$6,'Debt List'!$F$7,'Debt List'!$F$8,'Debt List'!$F$9,'Debt List'!$F$10,'Debt List'!$F$11,'Debt List'!$F$12)),N(CHOOSE(HN118,FN118,FR118,FV118,FZ118,GD118,GH118,GL118,GP118))+N(CHOOSE(HN118,FO118,FS118,FW118,GA118,GE118,GI118,GM118,GQ118))))),0))</f>
        <v/>
      </c>
      <c r="HP118">
        <f>MIN(N(HO118),MAX(0,N(HM118)))</f>
        <v/>
      </c>
      <c r="HQ118">
        <f>MAX(0,N(HM118)-N(HP118))</f>
        <v/>
      </c>
      <c r="HR118">
        <f>IFERROR(MATCH(7,OrderAval,0),"")</f>
        <v/>
      </c>
      <c r="HS118">
        <f>IF(HR118="",0,IFERROR(IF(N(CHOOSE(HR118,FN118,FR118,FV118,FZ118,GD118,GH118,GL118,GP118))&lt;=0.005,0,MAX(0,N(CHOOSE(HR118,FN118,FR118,FV118,FZ118,GD118,GH118,GL118,GP118))+N(CHOOSE(HR118,FO118,FS118,FW118,GA118,GE118,GI118,GM118,GQ118))-MIN(N(CHOOSE(HR118,'Debt List'!$F$5,'Debt List'!$F$6,'Debt List'!$F$7,'Debt List'!$F$8,'Debt List'!$F$9,'Debt List'!$F$10,'Debt List'!$F$11,'Debt List'!$F$12)),N(CHOOSE(HR118,FN118,FR118,FV118,FZ118,GD118,GH118,GL118,GP118))+N(CHOOSE(HR118,FO118,FS118,FW118,GA118,GE118,GI118,GM118,GQ118))))),0))</f>
        <v/>
      </c>
      <c r="HT118">
        <f>MIN(N(HS118),MAX(0,N(HQ118)))</f>
        <v/>
      </c>
      <c r="HU118">
        <f>MAX(0,N(HQ118)-N(HT118))</f>
        <v/>
      </c>
      <c r="HV118">
        <f>IFERROR(MATCH(8,OrderAval,0),"")</f>
        <v/>
      </c>
      <c r="HW118">
        <f>IF(HV118="",0,IFERROR(IF(N(CHOOSE(HV118,FN118,FR118,FV118,FZ118,GD118,GH118,GL118,GP118))&lt;=0.005,0,MAX(0,N(CHOOSE(HV118,FN118,FR118,FV118,FZ118,GD118,GH118,GL118,GP118))+N(CHOOSE(HV118,FO118,FS118,FW118,GA118,GE118,GI118,GM118,GQ118))-MIN(N(CHOOSE(HV118,'Debt List'!$F$5,'Debt List'!$F$6,'Debt List'!$F$7,'Debt List'!$F$8,'Debt List'!$F$9,'Debt List'!$F$10,'Debt List'!$F$11,'Debt List'!$F$12)),N(CHOOSE(HV118,FN118,FR118,FV118,FZ118,GD118,GH118,GL118,GP118))+N(CHOOSE(HV118,FO118,FS118,FW118,GA118,GE118,GI118,GM118,GQ118))))),0))</f>
        <v/>
      </c>
      <c r="HX118">
        <f>MIN(N(HW118),MAX(0,N(HU118)))</f>
        <v/>
      </c>
      <c r="HY118">
        <f>MAX(0,N(HU118)-N(HX118))</f>
        <v/>
      </c>
    </row>
    <row r="119">
      <c r="A119" t="n">
        <v>115</v>
      </c>
      <c r="B119" s="115">
        <f>DATE(YEAR(PlanStart),MONTH(PlanStart)+A119-1,1)</f>
        <v/>
      </c>
      <c r="C119">
        <f>IF(AND(AP119&lt;&gt;"",N(CHOOSE(AP119,J119,N119,R119,V119,Z119,AD119,AH119,AL119))&gt;0.005),INDEX(DebtNames,AP119),IF(AND(AT119&lt;&gt;"",N(CHOOSE(AT119,J119,N119,R119,V119,Z119,AD119,AH119,AL119))&gt;0.005),INDEX(DebtNames,AT119),IF(AND(AX119&lt;&gt;"",N(CHOOSE(AX119,J119,N119,R119,V119,Z119,AD119,AH119,AL119))&gt;0.005),INDEX(DebtNames,AX119),IF(AND(BB119&lt;&gt;"",N(CHOOSE(BB119,J119,N119,R119,V119,Z119,AD119,AH119,AL119))&gt;0.005),INDEX(DebtNames,BB119),IF(AND(BF119&lt;&gt;"",N(CHOOSE(BF119,J119,N119,R119,V119,Z119,AD119,AH119,AL119))&gt;0.005),INDEX(DebtNames,BF119),IF(AND(BJ119&lt;&gt;"",N(CHOOSE(BJ119,J119,N119,R119,V119,Z119,AD119,AH119,AL119))&gt;0.005),INDEX(DebtNames,BJ119),IF(AND(BN119&lt;&gt;"",N(CHOOSE(BN119,J119,N119,R119,V119,Z119,AD119,AH119,AL119))&gt;0.005),INDEX(DebtNames,BN119),IF(AND(BR119&lt;&gt;"",N(CHOOSE(BR119,J119,N119,R119,V119,Z119,AD119,AH119,AL119))&gt;0.005),INDEX(DebtNames,BR119),""))))))))</f>
        <v/>
      </c>
      <c r="D119">
        <f>N(BU119)</f>
        <v/>
      </c>
      <c r="E119">
        <f>N(L119)+N(P119)+N(T119)+N(X119)+N(AB119)+N(AF119)+N(AJ119)+N(AN119)</f>
        <v/>
      </c>
      <c r="F119">
        <f>N(K119)+N(O119)+N(S119)+N(W119)+N(AA119)+N(AE119)+N(AI119)+N(AM119)</f>
        <v/>
      </c>
      <c r="G119">
        <f>N(G118)+N(F119)</f>
        <v/>
      </c>
      <c r="H119">
        <f>N(M119)+N(Q119)+N(U119)+N(Y119)+N(AC119)+N(AG119)+N(AK119)+N(AO119)</f>
        <v/>
      </c>
      <c r="I119">
        <f>(M119&gt;0.005)*1+(Q119&gt;0.005)*1+(U119&gt;0.005)*1+(Y119&gt;0.005)*1+(AC119&gt;0.005)*1+(AG119&gt;0.005)*1+(AK119&gt;0.005)*1+(AO119&gt;0.005)*1</f>
        <v/>
      </c>
      <c r="J119">
        <f>N(M118)</f>
        <v/>
      </c>
      <c r="K119">
        <f>IF(N(J119)&lt;=0.005,0,ROUND(N(J119)*N('Debt List'!E5)/12,2))</f>
        <v/>
      </c>
      <c r="L119">
        <f>IF(N(J119)&lt;=0.005,0,MIN(N('Debt List'!F5),N(J119)+N(K119)))+((AP119=1)*AR119+(AT119=1)*AV119+(AX119=1)*AZ119+(BB119=1)*BD119+(BF119=1)*BH119+(BJ119=1)*BL119+(BN119=1)*BP119+(BR119=1)*BT119)</f>
        <v/>
      </c>
      <c r="M119">
        <f>MAX(0,ROUND(N(J119)+N(K119)-N(L119),2))</f>
        <v/>
      </c>
      <c r="N119">
        <f>N(Q118)</f>
        <v/>
      </c>
      <c r="O119">
        <f>IF(N(N119)&lt;=0.005,0,ROUND(N(N119)*N('Debt List'!E6)/12,2))</f>
        <v/>
      </c>
      <c r="P119">
        <f>IF(N(N119)&lt;=0.005,0,MIN(N('Debt List'!F6),N(N119)+N(O119)))+((AP119=2)*AR119+(AT119=2)*AV119+(AX119=2)*AZ119+(BB119=2)*BD119+(BF119=2)*BH119+(BJ119=2)*BL119+(BN119=2)*BP119+(BR119=2)*BT119)</f>
        <v/>
      </c>
      <c r="Q119">
        <f>MAX(0,ROUND(N(N119)+N(O119)-N(P119),2))</f>
        <v/>
      </c>
      <c r="R119">
        <f>N(U118)</f>
        <v/>
      </c>
      <c r="S119">
        <f>IF(N(R119)&lt;=0.005,0,ROUND(N(R119)*N('Debt List'!E7)/12,2))</f>
        <v/>
      </c>
      <c r="T119">
        <f>IF(N(R119)&lt;=0.005,0,MIN(N('Debt List'!F7),N(R119)+N(S119)))+((AP119=3)*AR119+(AT119=3)*AV119+(AX119=3)*AZ119+(BB119=3)*BD119+(BF119=3)*BH119+(BJ119=3)*BL119+(BN119=3)*BP119+(BR119=3)*BT119)</f>
        <v/>
      </c>
      <c r="U119">
        <f>MAX(0,ROUND(N(R119)+N(S119)-N(T119),2))</f>
        <v/>
      </c>
      <c r="V119">
        <f>N(Y118)</f>
        <v/>
      </c>
      <c r="W119">
        <f>IF(N(V119)&lt;=0.005,0,ROUND(N(V119)*N('Debt List'!E8)/12,2))</f>
        <v/>
      </c>
      <c r="X119">
        <f>IF(N(V119)&lt;=0.005,0,MIN(N('Debt List'!F8),N(V119)+N(W119)))+((AP119=4)*AR119+(AT119=4)*AV119+(AX119=4)*AZ119+(BB119=4)*BD119+(BF119=4)*BH119+(BJ119=4)*BL119+(BN119=4)*BP119+(BR119=4)*BT119)</f>
        <v/>
      </c>
      <c r="Y119">
        <f>MAX(0,ROUND(N(V119)+N(W119)-N(X119),2))</f>
        <v/>
      </c>
      <c r="Z119">
        <f>N(AC118)</f>
        <v/>
      </c>
      <c r="AA119">
        <f>IF(N(Z119)&lt;=0.005,0,ROUND(N(Z119)*N('Debt List'!E9)/12,2))</f>
        <v/>
      </c>
      <c r="AB119">
        <f>IF(N(Z119)&lt;=0.005,0,MIN(N('Debt List'!F9),N(Z119)+N(AA119)))+((AP119=5)*AR119+(AT119=5)*AV119+(AX119=5)*AZ119+(BB119=5)*BD119+(BF119=5)*BH119+(BJ119=5)*BL119+(BN119=5)*BP119+(BR119=5)*BT119)</f>
        <v/>
      </c>
      <c r="AC119">
        <f>MAX(0,ROUND(N(Z119)+N(AA119)-N(AB119),2))</f>
        <v/>
      </c>
      <c r="AD119">
        <f>N(AG118)</f>
        <v/>
      </c>
      <c r="AE119">
        <f>IF(N(AD119)&lt;=0.005,0,ROUND(N(AD119)*N('Debt List'!E10)/12,2))</f>
        <v/>
      </c>
      <c r="AF119">
        <f>IF(N(AD119)&lt;=0.005,0,MIN(N('Debt List'!F10),N(AD119)+N(AE119)))+((AP119=6)*AR119+(AT119=6)*AV119+(AX119=6)*AZ119+(BB119=6)*BD119+(BF119=6)*BH119+(BJ119=6)*BL119+(BN119=6)*BP119+(BR119=6)*BT119)</f>
        <v/>
      </c>
      <c r="AG119">
        <f>MAX(0,ROUND(N(AD119)+N(AE119)-N(AF119),2))</f>
        <v/>
      </c>
      <c r="AH119">
        <f>N(AK118)</f>
        <v/>
      </c>
      <c r="AI119">
        <f>IF(N(AH119)&lt;=0.005,0,ROUND(N(AH119)*N('Debt List'!E11)/12,2))</f>
        <v/>
      </c>
      <c r="AJ119">
        <f>IF(N(AH119)&lt;=0.005,0,MIN(N('Debt List'!F11),N(AH119)+N(AI119)))+((AP119=7)*AR119+(AT119=7)*AV119+(AX119=7)*AZ119+(BB119=7)*BD119+(BF119=7)*BH119+(BJ119=7)*BL119+(BN119=7)*BP119+(BR119=7)*BT119)</f>
        <v/>
      </c>
      <c r="AK119">
        <f>MAX(0,ROUND(N(AH119)+N(AI119)-N(AJ119),2))</f>
        <v/>
      </c>
      <c r="AL119">
        <f>N(AO118)</f>
        <v/>
      </c>
      <c r="AM119">
        <f>IF(N(AL119)&lt;=0.005,0,ROUND(N(AL119)*N('Debt List'!E12)/12,2))</f>
        <v/>
      </c>
      <c r="AN119">
        <f>IF(N(AL119)&lt;=0.005,0,MIN(N('Debt List'!F12),N(AL119)+N(AM119)))+((AP119=8)*AR119+(AT119=8)*AV119+(AX119=8)*AZ119+(BB119=8)*BD119+(BF119=8)*BH119+(BJ119=8)*BL119+(BN119=8)*BP119+(BR119=8)*BT119)</f>
        <v/>
      </c>
      <c r="AO119">
        <f>MAX(0,ROUND(N(AL119)+N(AM119)-N(AN119),2))</f>
        <v/>
      </c>
      <c r="AP119">
        <f>IFERROR(MATCH(1,OrderPlan,0),"")</f>
        <v/>
      </c>
      <c r="AQ119">
        <f>IF(AP119="",0,IFERROR(IF(N(CHOOSE(AP119,J119,N119,R119,V119,Z119,AD119,AH119,AL119))&lt;=0.005,0,MAX(0,N(CHOOSE(AP119,J119,N119,R119,V119,Z119,AD119,AH119,AL119))+N(CHOOSE(AP119,K119,O119,S119,W119,AA119,AE119,AI119,AM119))-MIN(N(CHOOSE(AP119,'Debt List'!$F$5,'Debt List'!$F$6,'Debt List'!$F$7,'Debt List'!$F$8,'Debt List'!$F$9,'Debt List'!$F$10,'Debt List'!$F$11,'Debt List'!$F$12)),N(CHOOSE(AP119,J119,N119,R119,V119,Z119,AD119,AH119,AL119))+N(CHOOSE(AP119,K119,O119,S119,W119,AA119,AE119,AI119,AM119))))),0))</f>
        <v/>
      </c>
      <c r="AR119">
        <f>MIN(N(AQ119),MAX(0,N(ExtraPayment)))</f>
        <v/>
      </c>
      <c r="AS119">
        <f>MAX(0,N(ExtraPayment)-N(AR119))</f>
        <v/>
      </c>
      <c r="AT119">
        <f>IFERROR(MATCH(2,OrderPlan,0),"")</f>
        <v/>
      </c>
      <c r="AU119">
        <f>IF(AT119="",0,IFERROR(IF(N(CHOOSE(AT119,J119,N119,R119,V119,Z119,AD119,AH119,AL119))&lt;=0.005,0,MAX(0,N(CHOOSE(AT119,J119,N119,R119,V119,Z119,AD119,AH119,AL119))+N(CHOOSE(AT119,K119,O119,S119,W119,AA119,AE119,AI119,AM119))-MIN(N(CHOOSE(AT119,'Debt List'!$F$5,'Debt List'!$F$6,'Debt List'!$F$7,'Debt List'!$F$8,'Debt List'!$F$9,'Debt List'!$F$10,'Debt List'!$F$11,'Debt List'!$F$12)),N(CHOOSE(AT119,J119,N119,R119,V119,Z119,AD119,AH119,AL119))+N(CHOOSE(AT119,K119,O119,S119,W119,AA119,AE119,AI119,AM119))))),0))</f>
        <v/>
      </c>
      <c r="AV119">
        <f>MIN(N(AU119),MAX(0,N(AS119)))</f>
        <v/>
      </c>
      <c r="AW119">
        <f>MAX(0,N(AS119)-N(AV119))</f>
        <v/>
      </c>
      <c r="AX119">
        <f>IFERROR(MATCH(3,OrderPlan,0),"")</f>
        <v/>
      </c>
      <c r="AY119">
        <f>IF(AX119="",0,IFERROR(IF(N(CHOOSE(AX119,J119,N119,R119,V119,Z119,AD119,AH119,AL119))&lt;=0.005,0,MAX(0,N(CHOOSE(AX119,J119,N119,R119,V119,Z119,AD119,AH119,AL119))+N(CHOOSE(AX119,K119,O119,S119,W119,AA119,AE119,AI119,AM119))-MIN(N(CHOOSE(AX119,'Debt List'!$F$5,'Debt List'!$F$6,'Debt List'!$F$7,'Debt List'!$F$8,'Debt List'!$F$9,'Debt List'!$F$10,'Debt List'!$F$11,'Debt List'!$F$12)),N(CHOOSE(AX119,J119,N119,R119,V119,Z119,AD119,AH119,AL119))+N(CHOOSE(AX119,K119,O119,S119,W119,AA119,AE119,AI119,AM119))))),0))</f>
        <v/>
      </c>
      <c r="AZ119">
        <f>MIN(N(AY119),MAX(0,N(AW119)))</f>
        <v/>
      </c>
      <c r="BA119">
        <f>MAX(0,N(AW119)-N(AZ119))</f>
        <v/>
      </c>
      <c r="BB119">
        <f>IFERROR(MATCH(4,OrderPlan,0),"")</f>
        <v/>
      </c>
      <c r="BC119">
        <f>IF(BB119="",0,IFERROR(IF(N(CHOOSE(BB119,J119,N119,R119,V119,Z119,AD119,AH119,AL119))&lt;=0.005,0,MAX(0,N(CHOOSE(BB119,J119,N119,R119,V119,Z119,AD119,AH119,AL119))+N(CHOOSE(BB119,K119,O119,S119,W119,AA119,AE119,AI119,AM119))-MIN(N(CHOOSE(BB119,'Debt List'!$F$5,'Debt List'!$F$6,'Debt List'!$F$7,'Debt List'!$F$8,'Debt List'!$F$9,'Debt List'!$F$10,'Debt List'!$F$11,'Debt List'!$F$12)),N(CHOOSE(BB119,J119,N119,R119,V119,Z119,AD119,AH119,AL119))+N(CHOOSE(BB119,K119,O119,S119,W119,AA119,AE119,AI119,AM119))))),0))</f>
        <v/>
      </c>
      <c r="BD119">
        <f>MIN(N(BC119),MAX(0,N(BA119)))</f>
        <v/>
      </c>
      <c r="BE119">
        <f>MAX(0,N(BA119)-N(BD119))</f>
        <v/>
      </c>
      <c r="BF119">
        <f>IFERROR(MATCH(5,OrderPlan,0),"")</f>
        <v/>
      </c>
      <c r="BG119">
        <f>IF(BF119="",0,IFERROR(IF(N(CHOOSE(BF119,J119,N119,R119,V119,Z119,AD119,AH119,AL119))&lt;=0.005,0,MAX(0,N(CHOOSE(BF119,J119,N119,R119,V119,Z119,AD119,AH119,AL119))+N(CHOOSE(BF119,K119,O119,S119,W119,AA119,AE119,AI119,AM119))-MIN(N(CHOOSE(BF119,'Debt List'!$F$5,'Debt List'!$F$6,'Debt List'!$F$7,'Debt List'!$F$8,'Debt List'!$F$9,'Debt List'!$F$10,'Debt List'!$F$11,'Debt List'!$F$12)),N(CHOOSE(BF119,J119,N119,R119,V119,Z119,AD119,AH119,AL119))+N(CHOOSE(BF119,K119,O119,S119,W119,AA119,AE119,AI119,AM119))))),0))</f>
        <v/>
      </c>
      <c r="BH119">
        <f>MIN(N(BG119),MAX(0,N(BE119)))</f>
        <v/>
      </c>
      <c r="BI119">
        <f>MAX(0,N(BE119)-N(BH119))</f>
        <v/>
      </c>
      <c r="BJ119">
        <f>IFERROR(MATCH(6,OrderPlan,0),"")</f>
        <v/>
      </c>
      <c r="BK119">
        <f>IF(BJ119="",0,IFERROR(IF(N(CHOOSE(BJ119,J119,N119,R119,V119,Z119,AD119,AH119,AL119))&lt;=0.005,0,MAX(0,N(CHOOSE(BJ119,J119,N119,R119,V119,Z119,AD119,AH119,AL119))+N(CHOOSE(BJ119,K119,O119,S119,W119,AA119,AE119,AI119,AM119))-MIN(N(CHOOSE(BJ119,'Debt List'!$F$5,'Debt List'!$F$6,'Debt List'!$F$7,'Debt List'!$F$8,'Debt List'!$F$9,'Debt List'!$F$10,'Debt List'!$F$11,'Debt List'!$F$12)),N(CHOOSE(BJ119,J119,N119,R119,V119,Z119,AD119,AH119,AL119))+N(CHOOSE(BJ119,K119,O119,S119,W119,AA119,AE119,AI119,AM119))))),0))</f>
        <v/>
      </c>
      <c r="BL119">
        <f>MIN(N(BK119),MAX(0,N(BI119)))</f>
        <v/>
      </c>
      <c r="BM119">
        <f>MAX(0,N(BI119)-N(BL119))</f>
        <v/>
      </c>
      <c r="BN119">
        <f>IFERROR(MATCH(7,OrderPlan,0),"")</f>
        <v/>
      </c>
      <c r="BO119">
        <f>IF(BN119="",0,IFERROR(IF(N(CHOOSE(BN119,J119,N119,R119,V119,Z119,AD119,AH119,AL119))&lt;=0.005,0,MAX(0,N(CHOOSE(BN119,J119,N119,R119,V119,Z119,AD119,AH119,AL119))+N(CHOOSE(BN119,K119,O119,S119,W119,AA119,AE119,AI119,AM119))-MIN(N(CHOOSE(BN119,'Debt List'!$F$5,'Debt List'!$F$6,'Debt List'!$F$7,'Debt List'!$F$8,'Debt List'!$F$9,'Debt List'!$F$10,'Debt List'!$F$11,'Debt List'!$F$12)),N(CHOOSE(BN119,J119,N119,R119,V119,Z119,AD119,AH119,AL119))+N(CHOOSE(BN119,K119,O119,S119,W119,AA119,AE119,AI119,AM119))))),0))</f>
        <v/>
      </c>
      <c r="BP119">
        <f>MIN(N(BO119),MAX(0,N(BM119)))</f>
        <v/>
      </c>
      <c r="BQ119">
        <f>MAX(0,N(BM119)-N(BP119))</f>
        <v/>
      </c>
      <c r="BR119">
        <f>IFERROR(MATCH(8,OrderPlan,0),"")</f>
        <v/>
      </c>
      <c r="BS119">
        <f>IF(BR119="",0,IFERROR(IF(N(CHOOSE(BR119,J119,N119,R119,V119,Z119,AD119,AH119,AL119))&lt;=0.005,0,MAX(0,N(CHOOSE(BR119,J119,N119,R119,V119,Z119,AD119,AH119,AL119))+N(CHOOSE(BR119,K119,O119,S119,W119,AA119,AE119,AI119,AM119))-MIN(N(CHOOSE(BR119,'Debt List'!$F$5,'Debt List'!$F$6,'Debt List'!$F$7,'Debt List'!$F$8,'Debt List'!$F$9,'Debt List'!$F$10,'Debt List'!$F$11,'Debt List'!$F$12)),N(CHOOSE(BR119,J119,N119,R119,V119,Z119,AD119,AH119,AL119))+N(CHOOSE(BR119,K119,O119,S119,W119,AA119,AE119,AI119,AM119))))),0))</f>
        <v/>
      </c>
      <c r="BT119">
        <f>MIN(N(BS119),MAX(0,N(BQ119)))</f>
        <v/>
      </c>
      <c r="BU119">
        <f>MAX(0,N(BQ119)-N(BT119))</f>
        <v/>
      </c>
      <c r="CC119" t="n">
        <v>115</v>
      </c>
      <c r="CD119" s="115">
        <f>DATE(YEAR(PlanStart),MONTH(PlanStart)+CC119-1,1)</f>
        <v/>
      </c>
      <c r="CE119">
        <f>IF(AND(DR119&lt;&gt;"",N(CHOOSE(DR119,CL119,CP119,CT119,CX119,DB119,DF119,DJ119,DN119))&gt;0.005),INDEX(DebtNames,DR119),IF(AND(DV119&lt;&gt;"",N(CHOOSE(DV119,CL119,CP119,CT119,CX119,DB119,DF119,DJ119,DN119))&gt;0.005),INDEX(DebtNames,DV119),IF(AND(DZ119&lt;&gt;"",N(CHOOSE(DZ119,CL119,CP119,CT119,CX119,DB119,DF119,DJ119,DN119))&gt;0.005),INDEX(DebtNames,DZ119),IF(AND(ED119&lt;&gt;"",N(CHOOSE(ED119,CL119,CP119,CT119,CX119,DB119,DF119,DJ119,DN119))&gt;0.005),INDEX(DebtNames,ED119),IF(AND(EH119&lt;&gt;"",N(CHOOSE(EH119,CL119,CP119,CT119,CX119,DB119,DF119,DJ119,DN119))&gt;0.005),INDEX(DebtNames,EH119),IF(AND(EL119&lt;&gt;"",N(CHOOSE(EL119,CL119,CP119,CT119,CX119,DB119,DF119,DJ119,DN119))&gt;0.005),INDEX(DebtNames,EL119),IF(AND(EP119&lt;&gt;"",N(CHOOSE(EP119,CL119,CP119,CT119,CX119,DB119,DF119,DJ119,DN119))&gt;0.005),INDEX(DebtNames,EP119),IF(AND(ET119&lt;&gt;"",N(CHOOSE(ET119,CL119,CP119,CT119,CX119,DB119,DF119,DJ119,DN119))&gt;0.005),INDEX(DebtNames,ET119),""))))))))</f>
        <v/>
      </c>
      <c r="CF119">
        <f>N(EW119)</f>
        <v/>
      </c>
      <c r="CG119">
        <f>N(CN119)+N(CR119)+N(CV119)+N(CZ119)+N(DD119)+N(DH119)+N(DL119)+N(DP119)</f>
        <v/>
      </c>
      <c r="CH119">
        <f>N(CM119)+N(CQ119)+N(CU119)+N(CY119)+N(DC119)+N(DG119)+N(DK119)+N(DO119)</f>
        <v/>
      </c>
      <c r="CI119">
        <f>N(CI118)+N(CH119)</f>
        <v/>
      </c>
      <c r="CJ119">
        <f>N(CO119)+N(CS119)+N(CW119)+N(DA119)+N(DE119)+N(DI119)+N(DM119)+N(DQ119)</f>
        <v/>
      </c>
      <c r="CK119">
        <f>(CO119&gt;0.005)*1+(CS119&gt;0.005)*1+(CW119&gt;0.005)*1+(DA119&gt;0.005)*1+(DE119&gt;0.005)*1+(DI119&gt;0.005)*1+(DM119&gt;0.005)*1+(DQ119&gt;0.005)*1</f>
        <v/>
      </c>
      <c r="CL119">
        <f>N(CO118)</f>
        <v/>
      </c>
      <c r="CM119">
        <f>IF(N(CL119)&lt;=0.005,0,ROUND(N(CL119)*N('Debt List'!E5)/12,2))</f>
        <v/>
      </c>
      <c r="CN119">
        <f>IF(N(CL119)&lt;=0.005,0,MIN(N('Debt List'!F5),N(CL119)+N(CM119)))+((DR119=1)*DT119+(DV119=1)*DX119+(DZ119=1)*EB119+(ED119=1)*EF119+(EH119=1)*EJ119+(EL119=1)*EN119+(EP119=1)*ER119+(ET119=1)*EV119)</f>
        <v/>
      </c>
      <c r="CO119">
        <f>MAX(0,ROUND(N(CL119)+N(CM119)-N(CN119),2))</f>
        <v/>
      </c>
      <c r="CP119">
        <f>N(CS118)</f>
        <v/>
      </c>
      <c r="CQ119">
        <f>IF(N(CP119)&lt;=0.005,0,ROUND(N(CP119)*N('Debt List'!E6)/12,2))</f>
        <v/>
      </c>
      <c r="CR119">
        <f>IF(N(CP119)&lt;=0.005,0,MIN(N('Debt List'!F6),N(CP119)+N(CQ119)))+((DR119=2)*DT119+(DV119=2)*DX119+(DZ119=2)*EB119+(ED119=2)*EF119+(EH119=2)*EJ119+(EL119=2)*EN119+(EP119=2)*ER119+(ET119=2)*EV119)</f>
        <v/>
      </c>
      <c r="CS119">
        <f>MAX(0,ROUND(N(CP119)+N(CQ119)-N(CR119),2))</f>
        <v/>
      </c>
      <c r="CT119">
        <f>N(CW118)</f>
        <v/>
      </c>
      <c r="CU119">
        <f>IF(N(CT119)&lt;=0.005,0,ROUND(N(CT119)*N('Debt List'!E7)/12,2))</f>
        <v/>
      </c>
      <c r="CV119">
        <f>IF(N(CT119)&lt;=0.005,0,MIN(N('Debt List'!F7),N(CT119)+N(CU119)))+((DR119=3)*DT119+(DV119=3)*DX119+(DZ119=3)*EB119+(ED119=3)*EF119+(EH119=3)*EJ119+(EL119=3)*EN119+(EP119=3)*ER119+(ET119=3)*EV119)</f>
        <v/>
      </c>
      <c r="CW119">
        <f>MAX(0,ROUND(N(CT119)+N(CU119)-N(CV119),2))</f>
        <v/>
      </c>
      <c r="CX119">
        <f>N(DA118)</f>
        <v/>
      </c>
      <c r="CY119">
        <f>IF(N(CX119)&lt;=0.005,0,ROUND(N(CX119)*N('Debt List'!E8)/12,2))</f>
        <v/>
      </c>
      <c r="CZ119">
        <f>IF(N(CX119)&lt;=0.005,0,MIN(N('Debt List'!F8),N(CX119)+N(CY119)))+((DR119=4)*DT119+(DV119=4)*DX119+(DZ119=4)*EB119+(ED119=4)*EF119+(EH119=4)*EJ119+(EL119=4)*EN119+(EP119=4)*ER119+(ET119=4)*EV119)</f>
        <v/>
      </c>
      <c r="DA119">
        <f>MAX(0,ROUND(N(CX119)+N(CY119)-N(CZ119),2))</f>
        <v/>
      </c>
      <c r="DB119">
        <f>N(DE118)</f>
        <v/>
      </c>
      <c r="DC119">
        <f>IF(N(DB119)&lt;=0.005,0,ROUND(N(DB119)*N('Debt List'!E9)/12,2))</f>
        <v/>
      </c>
      <c r="DD119">
        <f>IF(N(DB119)&lt;=0.005,0,MIN(N('Debt List'!F9),N(DB119)+N(DC119)))+((DR119=5)*DT119+(DV119=5)*DX119+(DZ119=5)*EB119+(ED119=5)*EF119+(EH119=5)*EJ119+(EL119=5)*EN119+(EP119=5)*ER119+(ET119=5)*EV119)</f>
        <v/>
      </c>
      <c r="DE119">
        <f>MAX(0,ROUND(N(DB119)+N(DC119)-N(DD119),2))</f>
        <v/>
      </c>
      <c r="DF119">
        <f>N(DI118)</f>
        <v/>
      </c>
      <c r="DG119">
        <f>IF(N(DF119)&lt;=0.005,0,ROUND(N(DF119)*N('Debt List'!E10)/12,2))</f>
        <v/>
      </c>
      <c r="DH119">
        <f>IF(N(DF119)&lt;=0.005,0,MIN(N('Debt List'!F10),N(DF119)+N(DG119)))+((DR119=6)*DT119+(DV119=6)*DX119+(DZ119=6)*EB119+(ED119=6)*EF119+(EH119=6)*EJ119+(EL119=6)*EN119+(EP119=6)*ER119+(ET119=6)*EV119)</f>
        <v/>
      </c>
      <c r="DI119">
        <f>MAX(0,ROUND(N(DF119)+N(DG119)-N(DH119),2))</f>
        <v/>
      </c>
      <c r="DJ119">
        <f>N(DM118)</f>
        <v/>
      </c>
      <c r="DK119">
        <f>IF(N(DJ119)&lt;=0.005,0,ROUND(N(DJ119)*N('Debt List'!E11)/12,2))</f>
        <v/>
      </c>
      <c r="DL119">
        <f>IF(N(DJ119)&lt;=0.005,0,MIN(N('Debt List'!F11),N(DJ119)+N(DK119)))+((DR119=7)*DT119+(DV119=7)*DX119+(DZ119=7)*EB119+(ED119=7)*EF119+(EH119=7)*EJ119+(EL119=7)*EN119+(EP119=7)*ER119+(ET119=7)*EV119)</f>
        <v/>
      </c>
      <c r="DM119">
        <f>MAX(0,ROUND(N(DJ119)+N(DK119)-N(DL119),2))</f>
        <v/>
      </c>
      <c r="DN119">
        <f>N(DQ118)</f>
        <v/>
      </c>
      <c r="DO119">
        <f>IF(N(DN119)&lt;=0.005,0,ROUND(N(DN119)*N('Debt List'!E12)/12,2))</f>
        <v/>
      </c>
      <c r="DP119">
        <f>IF(N(DN119)&lt;=0.005,0,MIN(N('Debt List'!F12),N(DN119)+N(DO119)))+((DR119=8)*DT119+(DV119=8)*DX119+(DZ119=8)*EB119+(ED119=8)*EF119+(EH119=8)*EJ119+(EL119=8)*EN119+(EP119=8)*ER119+(ET119=8)*EV119)</f>
        <v/>
      </c>
      <c r="DQ119">
        <f>MAX(0,ROUND(N(DN119)+N(DO119)-N(DP119),2))</f>
        <v/>
      </c>
      <c r="DR119">
        <f>IFERROR(MATCH(1,OrderSnow,0),"")</f>
        <v/>
      </c>
      <c r="DS119">
        <f>IF(DR119="",0,IFERROR(IF(N(CHOOSE(DR119,CL119,CP119,CT119,CX119,DB119,DF119,DJ119,DN119))&lt;=0.005,0,MAX(0,N(CHOOSE(DR119,CL119,CP119,CT119,CX119,DB119,DF119,DJ119,DN119))+N(CHOOSE(DR119,CM119,CQ119,CU119,CY119,DC119,DG119,DK119,DO119))-MIN(N(CHOOSE(DR119,'Debt List'!$F$5,'Debt List'!$F$6,'Debt List'!$F$7,'Debt List'!$F$8,'Debt List'!$F$9,'Debt List'!$F$10,'Debt List'!$F$11,'Debt List'!$F$12)),N(CHOOSE(DR119,CL119,CP119,CT119,CX119,DB119,DF119,DJ119,DN119))+N(CHOOSE(DR119,CM119,CQ119,CU119,CY119,DC119,DG119,DK119,DO119))))),0))</f>
        <v/>
      </c>
      <c r="DT119">
        <f>MIN(N(DS119),MAX(0,N(ExtraPayment)))</f>
        <v/>
      </c>
      <c r="DU119">
        <f>MAX(0,N(ExtraPayment)-N(DT119))</f>
        <v/>
      </c>
      <c r="DV119">
        <f>IFERROR(MATCH(2,OrderSnow,0),"")</f>
        <v/>
      </c>
      <c r="DW119">
        <f>IF(DV119="",0,IFERROR(IF(N(CHOOSE(DV119,CL119,CP119,CT119,CX119,DB119,DF119,DJ119,DN119))&lt;=0.005,0,MAX(0,N(CHOOSE(DV119,CL119,CP119,CT119,CX119,DB119,DF119,DJ119,DN119))+N(CHOOSE(DV119,CM119,CQ119,CU119,CY119,DC119,DG119,DK119,DO119))-MIN(N(CHOOSE(DV119,'Debt List'!$F$5,'Debt List'!$F$6,'Debt List'!$F$7,'Debt List'!$F$8,'Debt List'!$F$9,'Debt List'!$F$10,'Debt List'!$F$11,'Debt List'!$F$12)),N(CHOOSE(DV119,CL119,CP119,CT119,CX119,DB119,DF119,DJ119,DN119))+N(CHOOSE(DV119,CM119,CQ119,CU119,CY119,DC119,DG119,DK119,DO119))))),0))</f>
        <v/>
      </c>
      <c r="DX119">
        <f>MIN(N(DW119),MAX(0,N(DU119)))</f>
        <v/>
      </c>
      <c r="DY119">
        <f>MAX(0,N(DU119)-N(DX119))</f>
        <v/>
      </c>
      <c r="DZ119">
        <f>IFERROR(MATCH(3,OrderSnow,0),"")</f>
        <v/>
      </c>
      <c r="EA119">
        <f>IF(DZ119="",0,IFERROR(IF(N(CHOOSE(DZ119,CL119,CP119,CT119,CX119,DB119,DF119,DJ119,DN119))&lt;=0.005,0,MAX(0,N(CHOOSE(DZ119,CL119,CP119,CT119,CX119,DB119,DF119,DJ119,DN119))+N(CHOOSE(DZ119,CM119,CQ119,CU119,CY119,DC119,DG119,DK119,DO119))-MIN(N(CHOOSE(DZ119,'Debt List'!$F$5,'Debt List'!$F$6,'Debt List'!$F$7,'Debt List'!$F$8,'Debt List'!$F$9,'Debt List'!$F$10,'Debt List'!$F$11,'Debt List'!$F$12)),N(CHOOSE(DZ119,CL119,CP119,CT119,CX119,DB119,DF119,DJ119,DN119))+N(CHOOSE(DZ119,CM119,CQ119,CU119,CY119,DC119,DG119,DK119,DO119))))),0))</f>
        <v/>
      </c>
      <c r="EB119">
        <f>MIN(N(EA119),MAX(0,N(DY119)))</f>
        <v/>
      </c>
      <c r="EC119">
        <f>MAX(0,N(DY119)-N(EB119))</f>
        <v/>
      </c>
      <c r="ED119">
        <f>IFERROR(MATCH(4,OrderSnow,0),"")</f>
        <v/>
      </c>
      <c r="EE119">
        <f>IF(ED119="",0,IFERROR(IF(N(CHOOSE(ED119,CL119,CP119,CT119,CX119,DB119,DF119,DJ119,DN119))&lt;=0.005,0,MAX(0,N(CHOOSE(ED119,CL119,CP119,CT119,CX119,DB119,DF119,DJ119,DN119))+N(CHOOSE(ED119,CM119,CQ119,CU119,CY119,DC119,DG119,DK119,DO119))-MIN(N(CHOOSE(ED119,'Debt List'!$F$5,'Debt List'!$F$6,'Debt List'!$F$7,'Debt List'!$F$8,'Debt List'!$F$9,'Debt List'!$F$10,'Debt List'!$F$11,'Debt List'!$F$12)),N(CHOOSE(ED119,CL119,CP119,CT119,CX119,DB119,DF119,DJ119,DN119))+N(CHOOSE(ED119,CM119,CQ119,CU119,CY119,DC119,DG119,DK119,DO119))))),0))</f>
        <v/>
      </c>
      <c r="EF119">
        <f>MIN(N(EE119),MAX(0,N(EC119)))</f>
        <v/>
      </c>
      <c r="EG119">
        <f>MAX(0,N(EC119)-N(EF119))</f>
        <v/>
      </c>
      <c r="EH119">
        <f>IFERROR(MATCH(5,OrderSnow,0),"")</f>
        <v/>
      </c>
      <c r="EI119">
        <f>IF(EH119="",0,IFERROR(IF(N(CHOOSE(EH119,CL119,CP119,CT119,CX119,DB119,DF119,DJ119,DN119))&lt;=0.005,0,MAX(0,N(CHOOSE(EH119,CL119,CP119,CT119,CX119,DB119,DF119,DJ119,DN119))+N(CHOOSE(EH119,CM119,CQ119,CU119,CY119,DC119,DG119,DK119,DO119))-MIN(N(CHOOSE(EH119,'Debt List'!$F$5,'Debt List'!$F$6,'Debt List'!$F$7,'Debt List'!$F$8,'Debt List'!$F$9,'Debt List'!$F$10,'Debt List'!$F$11,'Debt List'!$F$12)),N(CHOOSE(EH119,CL119,CP119,CT119,CX119,DB119,DF119,DJ119,DN119))+N(CHOOSE(EH119,CM119,CQ119,CU119,CY119,DC119,DG119,DK119,DO119))))),0))</f>
        <v/>
      </c>
      <c r="EJ119">
        <f>MIN(N(EI119),MAX(0,N(EG119)))</f>
        <v/>
      </c>
      <c r="EK119">
        <f>MAX(0,N(EG119)-N(EJ119))</f>
        <v/>
      </c>
      <c r="EL119">
        <f>IFERROR(MATCH(6,OrderSnow,0),"")</f>
        <v/>
      </c>
      <c r="EM119">
        <f>IF(EL119="",0,IFERROR(IF(N(CHOOSE(EL119,CL119,CP119,CT119,CX119,DB119,DF119,DJ119,DN119))&lt;=0.005,0,MAX(0,N(CHOOSE(EL119,CL119,CP119,CT119,CX119,DB119,DF119,DJ119,DN119))+N(CHOOSE(EL119,CM119,CQ119,CU119,CY119,DC119,DG119,DK119,DO119))-MIN(N(CHOOSE(EL119,'Debt List'!$F$5,'Debt List'!$F$6,'Debt List'!$F$7,'Debt List'!$F$8,'Debt List'!$F$9,'Debt List'!$F$10,'Debt List'!$F$11,'Debt List'!$F$12)),N(CHOOSE(EL119,CL119,CP119,CT119,CX119,DB119,DF119,DJ119,DN119))+N(CHOOSE(EL119,CM119,CQ119,CU119,CY119,DC119,DG119,DK119,DO119))))),0))</f>
        <v/>
      </c>
      <c r="EN119">
        <f>MIN(N(EM119),MAX(0,N(EK119)))</f>
        <v/>
      </c>
      <c r="EO119">
        <f>MAX(0,N(EK119)-N(EN119))</f>
        <v/>
      </c>
      <c r="EP119">
        <f>IFERROR(MATCH(7,OrderSnow,0),"")</f>
        <v/>
      </c>
      <c r="EQ119">
        <f>IF(EP119="",0,IFERROR(IF(N(CHOOSE(EP119,CL119,CP119,CT119,CX119,DB119,DF119,DJ119,DN119))&lt;=0.005,0,MAX(0,N(CHOOSE(EP119,CL119,CP119,CT119,CX119,DB119,DF119,DJ119,DN119))+N(CHOOSE(EP119,CM119,CQ119,CU119,CY119,DC119,DG119,DK119,DO119))-MIN(N(CHOOSE(EP119,'Debt List'!$F$5,'Debt List'!$F$6,'Debt List'!$F$7,'Debt List'!$F$8,'Debt List'!$F$9,'Debt List'!$F$10,'Debt List'!$F$11,'Debt List'!$F$12)),N(CHOOSE(EP119,CL119,CP119,CT119,CX119,DB119,DF119,DJ119,DN119))+N(CHOOSE(EP119,CM119,CQ119,CU119,CY119,DC119,DG119,DK119,DO119))))),0))</f>
        <v/>
      </c>
      <c r="ER119">
        <f>MIN(N(EQ119),MAX(0,N(EO119)))</f>
        <v/>
      </c>
      <c r="ES119">
        <f>MAX(0,N(EO119)-N(ER119))</f>
        <v/>
      </c>
      <c r="ET119">
        <f>IFERROR(MATCH(8,OrderSnow,0),"")</f>
        <v/>
      </c>
      <c r="EU119">
        <f>IF(ET119="",0,IFERROR(IF(N(CHOOSE(ET119,CL119,CP119,CT119,CX119,DB119,DF119,DJ119,DN119))&lt;=0.005,0,MAX(0,N(CHOOSE(ET119,CL119,CP119,CT119,CX119,DB119,DF119,DJ119,DN119))+N(CHOOSE(ET119,CM119,CQ119,CU119,CY119,DC119,DG119,DK119,DO119))-MIN(N(CHOOSE(ET119,'Debt List'!$F$5,'Debt List'!$F$6,'Debt List'!$F$7,'Debt List'!$F$8,'Debt List'!$F$9,'Debt List'!$F$10,'Debt List'!$F$11,'Debt List'!$F$12)),N(CHOOSE(ET119,CL119,CP119,CT119,CX119,DB119,DF119,DJ119,DN119))+N(CHOOSE(ET119,CM119,CQ119,CU119,CY119,DC119,DG119,DK119,DO119))))),0))</f>
        <v/>
      </c>
      <c r="EV119">
        <f>MIN(N(EU119),MAX(0,N(ES119)))</f>
        <v/>
      </c>
      <c r="EW119">
        <f>MAX(0,N(ES119)-N(EV119))</f>
        <v/>
      </c>
      <c r="FE119" t="n">
        <v>115</v>
      </c>
      <c r="FF119" s="115">
        <f>DATE(YEAR(PlanStart),MONTH(PlanStart)+FE119-1,1)</f>
        <v/>
      </c>
      <c r="FG119">
        <f>IF(AND(GT119&lt;&gt;"",N(CHOOSE(GT119,FN119,FR119,FV119,FZ119,GD119,GH119,GL119,GP119))&gt;0.005),INDEX(DebtNames,GT119),IF(AND(GX119&lt;&gt;"",N(CHOOSE(GX119,FN119,FR119,FV119,FZ119,GD119,GH119,GL119,GP119))&gt;0.005),INDEX(DebtNames,GX119),IF(AND(HB119&lt;&gt;"",N(CHOOSE(HB119,FN119,FR119,FV119,FZ119,GD119,GH119,GL119,GP119))&gt;0.005),INDEX(DebtNames,HB119),IF(AND(HF119&lt;&gt;"",N(CHOOSE(HF119,FN119,FR119,FV119,FZ119,GD119,GH119,GL119,GP119))&gt;0.005),INDEX(DebtNames,HF119),IF(AND(HJ119&lt;&gt;"",N(CHOOSE(HJ119,FN119,FR119,FV119,FZ119,GD119,GH119,GL119,GP119))&gt;0.005),INDEX(DebtNames,HJ119),IF(AND(HN119&lt;&gt;"",N(CHOOSE(HN119,FN119,FR119,FV119,FZ119,GD119,GH119,GL119,GP119))&gt;0.005),INDEX(DebtNames,HN119),IF(AND(HR119&lt;&gt;"",N(CHOOSE(HR119,FN119,FR119,FV119,FZ119,GD119,GH119,GL119,GP119))&gt;0.005),INDEX(DebtNames,HR119),IF(AND(HV119&lt;&gt;"",N(CHOOSE(HV119,FN119,FR119,FV119,FZ119,GD119,GH119,GL119,GP119))&gt;0.005),INDEX(DebtNames,HV119),""))))))))</f>
        <v/>
      </c>
      <c r="FH119">
        <f>N(HY119)</f>
        <v/>
      </c>
      <c r="FI119">
        <f>N(FP119)+N(FT119)+N(FX119)+N(GB119)+N(GF119)+N(GJ119)+N(GN119)+N(GR119)</f>
        <v/>
      </c>
      <c r="FJ119">
        <f>N(FO119)+N(FS119)+N(FW119)+N(GA119)+N(GE119)+N(GI119)+N(GM119)+N(GQ119)</f>
        <v/>
      </c>
      <c r="FK119">
        <f>N(FK118)+N(FJ119)</f>
        <v/>
      </c>
      <c r="FL119">
        <f>N(FQ119)+N(FU119)+N(FY119)+N(GC119)+N(GG119)+N(GK119)+N(GO119)+N(GS119)</f>
        <v/>
      </c>
      <c r="FM119">
        <f>(FQ119&gt;0.005)*1+(FU119&gt;0.005)*1+(FY119&gt;0.005)*1+(GC119&gt;0.005)*1+(GG119&gt;0.005)*1+(GK119&gt;0.005)*1+(GO119&gt;0.005)*1+(GS119&gt;0.005)*1</f>
        <v/>
      </c>
      <c r="FN119">
        <f>N(FQ118)</f>
        <v/>
      </c>
      <c r="FO119">
        <f>IF(N(FN119)&lt;=0.005,0,ROUND(N(FN119)*N('Debt List'!E5)/12,2))</f>
        <v/>
      </c>
      <c r="FP119">
        <f>IF(N(FN119)&lt;=0.005,0,MIN(N('Debt List'!F5),N(FN119)+N(FO119)))+((GT119=1)*GV119+(GX119=1)*GZ119+(HB119=1)*HD119+(HF119=1)*HH119+(HJ119=1)*HL119+(HN119=1)*HP119+(HR119=1)*HT119+(HV119=1)*HX119)</f>
        <v/>
      </c>
      <c r="FQ119">
        <f>MAX(0,ROUND(N(FN119)+N(FO119)-N(FP119),2))</f>
        <v/>
      </c>
      <c r="FR119">
        <f>N(FU118)</f>
        <v/>
      </c>
      <c r="FS119">
        <f>IF(N(FR119)&lt;=0.005,0,ROUND(N(FR119)*N('Debt List'!E6)/12,2))</f>
        <v/>
      </c>
      <c r="FT119">
        <f>IF(N(FR119)&lt;=0.005,0,MIN(N('Debt List'!F6),N(FR119)+N(FS119)))+((GT119=2)*GV119+(GX119=2)*GZ119+(HB119=2)*HD119+(HF119=2)*HH119+(HJ119=2)*HL119+(HN119=2)*HP119+(HR119=2)*HT119+(HV119=2)*HX119)</f>
        <v/>
      </c>
      <c r="FU119">
        <f>MAX(0,ROUND(N(FR119)+N(FS119)-N(FT119),2))</f>
        <v/>
      </c>
      <c r="FV119">
        <f>N(FY118)</f>
        <v/>
      </c>
      <c r="FW119">
        <f>IF(N(FV119)&lt;=0.005,0,ROUND(N(FV119)*N('Debt List'!E7)/12,2))</f>
        <v/>
      </c>
      <c r="FX119">
        <f>IF(N(FV119)&lt;=0.005,0,MIN(N('Debt List'!F7),N(FV119)+N(FW119)))+((GT119=3)*GV119+(GX119=3)*GZ119+(HB119=3)*HD119+(HF119=3)*HH119+(HJ119=3)*HL119+(HN119=3)*HP119+(HR119=3)*HT119+(HV119=3)*HX119)</f>
        <v/>
      </c>
      <c r="FY119">
        <f>MAX(0,ROUND(N(FV119)+N(FW119)-N(FX119),2))</f>
        <v/>
      </c>
      <c r="FZ119">
        <f>N(GC118)</f>
        <v/>
      </c>
      <c r="GA119">
        <f>IF(N(FZ119)&lt;=0.005,0,ROUND(N(FZ119)*N('Debt List'!E8)/12,2))</f>
        <v/>
      </c>
      <c r="GB119">
        <f>IF(N(FZ119)&lt;=0.005,0,MIN(N('Debt List'!F8),N(FZ119)+N(GA119)))+((GT119=4)*GV119+(GX119=4)*GZ119+(HB119=4)*HD119+(HF119=4)*HH119+(HJ119=4)*HL119+(HN119=4)*HP119+(HR119=4)*HT119+(HV119=4)*HX119)</f>
        <v/>
      </c>
      <c r="GC119">
        <f>MAX(0,ROUND(N(FZ119)+N(GA119)-N(GB119),2))</f>
        <v/>
      </c>
      <c r="GD119">
        <f>N(GG118)</f>
        <v/>
      </c>
      <c r="GE119">
        <f>IF(N(GD119)&lt;=0.005,0,ROUND(N(GD119)*N('Debt List'!E9)/12,2))</f>
        <v/>
      </c>
      <c r="GF119">
        <f>IF(N(GD119)&lt;=0.005,0,MIN(N('Debt List'!F9),N(GD119)+N(GE119)))+((GT119=5)*GV119+(GX119=5)*GZ119+(HB119=5)*HD119+(HF119=5)*HH119+(HJ119=5)*HL119+(HN119=5)*HP119+(HR119=5)*HT119+(HV119=5)*HX119)</f>
        <v/>
      </c>
      <c r="GG119">
        <f>MAX(0,ROUND(N(GD119)+N(GE119)-N(GF119),2))</f>
        <v/>
      </c>
      <c r="GH119">
        <f>N(GK118)</f>
        <v/>
      </c>
      <c r="GI119">
        <f>IF(N(GH119)&lt;=0.005,0,ROUND(N(GH119)*N('Debt List'!E10)/12,2))</f>
        <v/>
      </c>
      <c r="GJ119">
        <f>IF(N(GH119)&lt;=0.005,0,MIN(N('Debt List'!F10),N(GH119)+N(GI119)))+((GT119=6)*GV119+(GX119=6)*GZ119+(HB119=6)*HD119+(HF119=6)*HH119+(HJ119=6)*HL119+(HN119=6)*HP119+(HR119=6)*HT119+(HV119=6)*HX119)</f>
        <v/>
      </c>
      <c r="GK119">
        <f>MAX(0,ROUND(N(GH119)+N(GI119)-N(GJ119),2))</f>
        <v/>
      </c>
      <c r="GL119">
        <f>N(GO118)</f>
        <v/>
      </c>
      <c r="GM119">
        <f>IF(N(GL119)&lt;=0.005,0,ROUND(N(GL119)*N('Debt List'!E11)/12,2))</f>
        <v/>
      </c>
      <c r="GN119">
        <f>IF(N(GL119)&lt;=0.005,0,MIN(N('Debt List'!F11),N(GL119)+N(GM119)))+((GT119=7)*GV119+(GX119=7)*GZ119+(HB119=7)*HD119+(HF119=7)*HH119+(HJ119=7)*HL119+(HN119=7)*HP119+(HR119=7)*HT119+(HV119=7)*HX119)</f>
        <v/>
      </c>
      <c r="GO119">
        <f>MAX(0,ROUND(N(GL119)+N(GM119)-N(GN119),2))</f>
        <v/>
      </c>
      <c r="GP119">
        <f>N(GS118)</f>
        <v/>
      </c>
      <c r="GQ119">
        <f>IF(N(GP119)&lt;=0.005,0,ROUND(N(GP119)*N('Debt List'!E12)/12,2))</f>
        <v/>
      </c>
      <c r="GR119">
        <f>IF(N(GP119)&lt;=0.005,0,MIN(N('Debt List'!F12),N(GP119)+N(GQ119)))+((GT119=8)*GV119+(GX119=8)*GZ119+(HB119=8)*HD119+(HF119=8)*HH119+(HJ119=8)*HL119+(HN119=8)*HP119+(HR119=8)*HT119+(HV119=8)*HX119)</f>
        <v/>
      </c>
      <c r="GS119">
        <f>MAX(0,ROUND(N(GP119)+N(GQ119)-N(GR119),2))</f>
        <v/>
      </c>
      <c r="GT119">
        <f>IFERROR(MATCH(1,OrderAval,0),"")</f>
        <v/>
      </c>
      <c r="GU119">
        <f>IF(GT119="",0,IFERROR(IF(N(CHOOSE(GT119,FN119,FR119,FV119,FZ119,GD119,GH119,GL119,GP119))&lt;=0.005,0,MAX(0,N(CHOOSE(GT119,FN119,FR119,FV119,FZ119,GD119,GH119,GL119,GP119))+N(CHOOSE(GT119,FO119,FS119,FW119,GA119,GE119,GI119,GM119,GQ119))-MIN(N(CHOOSE(GT119,'Debt List'!$F$5,'Debt List'!$F$6,'Debt List'!$F$7,'Debt List'!$F$8,'Debt List'!$F$9,'Debt List'!$F$10,'Debt List'!$F$11,'Debt List'!$F$12)),N(CHOOSE(GT119,FN119,FR119,FV119,FZ119,GD119,GH119,GL119,GP119))+N(CHOOSE(GT119,FO119,FS119,FW119,GA119,GE119,GI119,GM119,GQ119))))),0))</f>
        <v/>
      </c>
      <c r="GV119">
        <f>MIN(N(GU119),MAX(0,N(ExtraPayment)))</f>
        <v/>
      </c>
      <c r="GW119">
        <f>MAX(0,N(ExtraPayment)-N(GV119))</f>
        <v/>
      </c>
      <c r="GX119">
        <f>IFERROR(MATCH(2,OrderAval,0),"")</f>
        <v/>
      </c>
      <c r="GY119">
        <f>IF(GX119="",0,IFERROR(IF(N(CHOOSE(GX119,FN119,FR119,FV119,FZ119,GD119,GH119,GL119,GP119))&lt;=0.005,0,MAX(0,N(CHOOSE(GX119,FN119,FR119,FV119,FZ119,GD119,GH119,GL119,GP119))+N(CHOOSE(GX119,FO119,FS119,FW119,GA119,GE119,GI119,GM119,GQ119))-MIN(N(CHOOSE(GX119,'Debt List'!$F$5,'Debt List'!$F$6,'Debt List'!$F$7,'Debt List'!$F$8,'Debt List'!$F$9,'Debt List'!$F$10,'Debt List'!$F$11,'Debt List'!$F$12)),N(CHOOSE(GX119,FN119,FR119,FV119,FZ119,GD119,GH119,GL119,GP119))+N(CHOOSE(GX119,FO119,FS119,FW119,GA119,GE119,GI119,GM119,GQ119))))),0))</f>
        <v/>
      </c>
      <c r="GZ119">
        <f>MIN(N(GY119),MAX(0,N(GW119)))</f>
        <v/>
      </c>
      <c r="HA119">
        <f>MAX(0,N(GW119)-N(GZ119))</f>
        <v/>
      </c>
      <c r="HB119">
        <f>IFERROR(MATCH(3,OrderAval,0),"")</f>
        <v/>
      </c>
      <c r="HC119">
        <f>IF(HB119="",0,IFERROR(IF(N(CHOOSE(HB119,FN119,FR119,FV119,FZ119,GD119,GH119,GL119,GP119))&lt;=0.005,0,MAX(0,N(CHOOSE(HB119,FN119,FR119,FV119,FZ119,GD119,GH119,GL119,GP119))+N(CHOOSE(HB119,FO119,FS119,FW119,GA119,GE119,GI119,GM119,GQ119))-MIN(N(CHOOSE(HB119,'Debt List'!$F$5,'Debt List'!$F$6,'Debt List'!$F$7,'Debt List'!$F$8,'Debt List'!$F$9,'Debt List'!$F$10,'Debt List'!$F$11,'Debt List'!$F$12)),N(CHOOSE(HB119,FN119,FR119,FV119,FZ119,GD119,GH119,GL119,GP119))+N(CHOOSE(HB119,FO119,FS119,FW119,GA119,GE119,GI119,GM119,GQ119))))),0))</f>
        <v/>
      </c>
      <c r="HD119">
        <f>MIN(N(HC119),MAX(0,N(HA119)))</f>
        <v/>
      </c>
      <c r="HE119">
        <f>MAX(0,N(HA119)-N(HD119))</f>
        <v/>
      </c>
      <c r="HF119">
        <f>IFERROR(MATCH(4,OrderAval,0),"")</f>
        <v/>
      </c>
      <c r="HG119">
        <f>IF(HF119="",0,IFERROR(IF(N(CHOOSE(HF119,FN119,FR119,FV119,FZ119,GD119,GH119,GL119,GP119))&lt;=0.005,0,MAX(0,N(CHOOSE(HF119,FN119,FR119,FV119,FZ119,GD119,GH119,GL119,GP119))+N(CHOOSE(HF119,FO119,FS119,FW119,GA119,GE119,GI119,GM119,GQ119))-MIN(N(CHOOSE(HF119,'Debt List'!$F$5,'Debt List'!$F$6,'Debt List'!$F$7,'Debt List'!$F$8,'Debt List'!$F$9,'Debt List'!$F$10,'Debt List'!$F$11,'Debt List'!$F$12)),N(CHOOSE(HF119,FN119,FR119,FV119,FZ119,GD119,GH119,GL119,GP119))+N(CHOOSE(HF119,FO119,FS119,FW119,GA119,GE119,GI119,GM119,GQ119))))),0))</f>
        <v/>
      </c>
      <c r="HH119">
        <f>MIN(N(HG119),MAX(0,N(HE119)))</f>
        <v/>
      </c>
      <c r="HI119">
        <f>MAX(0,N(HE119)-N(HH119))</f>
        <v/>
      </c>
      <c r="HJ119">
        <f>IFERROR(MATCH(5,OrderAval,0),"")</f>
        <v/>
      </c>
      <c r="HK119">
        <f>IF(HJ119="",0,IFERROR(IF(N(CHOOSE(HJ119,FN119,FR119,FV119,FZ119,GD119,GH119,GL119,GP119))&lt;=0.005,0,MAX(0,N(CHOOSE(HJ119,FN119,FR119,FV119,FZ119,GD119,GH119,GL119,GP119))+N(CHOOSE(HJ119,FO119,FS119,FW119,GA119,GE119,GI119,GM119,GQ119))-MIN(N(CHOOSE(HJ119,'Debt List'!$F$5,'Debt List'!$F$6,'Debt List'!$F$7,'Debt List'!$F$8,'Debt List'!$F$9,'Debt List'!$F$10,'Debt List'!$F$11,'Debt List'!$F$12)),N(CHOOSE(HJ119,FN119,FR119,FV119,FZ119,GD119,GH119,GL119,GP119))+N(CHOOSE(HJ119,FO119,FS119,FW119,GA119,GE119,GI119,GM119,GQ119))))),0))</f>
        <v/>
      </c>
      <c r="HL119">
        <f>MIN(N(HK119),MAX(0,N(HI119)))</f>
        <v/>
      </c>
      <c r="HM119">
        <f>MAX(0,N(HI119)-N(HL119))</f>
        <v/>
      </c>
      <c r="HN119">
        <f>IFERROR(MATCH(6,OrderAval,0),"")</f>
        <v/>
      </c>
      <c r="HO119">
        <f>IF(HN119="",0,IFERROR(IF(N(CHOOSE(HN119,FN119,FR119,FV119,FZ119,GD119,GH119,GL119,GP119))&lt;=0.005,0,MAX(0,N(CHOOSE(HN119,FN119,FR119,FV119,FZ119,GD119,GH119,GL119,GP119))+N(CHOOSE(HN119,FO119,FS119,FW119,GA119,GE119,GI119,GM119,GQ119))-MIN(N(CHOOSE(HN119,'Debt List'!$F$5,'Debt List'!$F$6,'Debt List'!$F$7,'Debt List'!$F$8,'Debt List'!$F$9,'Debt List'!$F$10,'Debt List'!$F$11,'Debt List'!$F$12)),N(CHOOSE(HN119,FN119,FR119,FV119,FZ119,GD119,GH119,GL119,GP119))+N(CHOOSE(HN119,FO119,FS119,FW119,GA119,GE119,GI119,GM119,GQ119))))),0))</f>
        <v/>
      </c>
      <c r="HP119">
        <f>MIN(N(HO119),MAX(0,N(HM119)))</f>
        <v/>
      </c>
      <c r="HQ119">
        <f>MAX(0,N(HM119)-N(HP119))</f>
        <v/>
      </c>
      <c r="HR119">
        <f>IFERROR(MATCH(7,OrderAval,0),"")</f>
        <v/>
      </c>
      <c r="HS119">
        <f>IF(HR119="",0,IFERROR(IF(N(CHOOSE(HR119,FN119,FR119,FV119,FZ119,GD119,GH119,GL119,GP119))&lt;=0.005,0,MAX(0,N(CHOOSE(HR119,FN119,FR119,FV119,FZ119,GD119,GH119,GL119,GP119))+N(CHOOSE(HR119,FO119,FS119,FW119,GA119,GE119,GI119,GM119,GQ119))-MIN(N(CHOOSE(HR119,'Debt List'!$F$5,'Debt List'!$F$6,'Debt List'!$F$7,'Debt List'!$F$8,'Debt List'!$F$9,'Debt List'!$F$10,'Debt List'!$F$11,'Debt List'!$F$12)),N(CHOOSE(HR119,FN119,FR119,FV119,FZ119,GD119,GH119,GL119,GP119))+N(CHOOSE(HR119,FO119,FS119,FW119,GA119,GE119,GI119,GM119,GQ119))))),0))</f>
        <v/>
      </c>
      <c r="HT119">
        <f>MIN(N(HS119),MAX(0,N(HQ119)))</f>
        <v/>
      </c>
      <c r="HU119">
        <f>MAX(0,N(HQ119)-N(HT119))</f>
        <v/>
      </c>
      <c r="HV119">
        <f>IFERROR(MATCH(8,OrderAval,0),"")</f>
        <v/>
      </c>
      <c r="HW119">
        <f>IF(HV119="",0,IFERROR(IF(N(CHOOSE(HV119,FN119,FR119,FV119,FZ119,GD119,GH119,GL119,GP119))&lt;=0.005,0,MAX(0,N(CHOOSE(HV119,FN119,FR119,FV119,FZ119,GD119,GH119,GL119,GP119))+N(CHOOSE(HV119,FO119,FS119,FW119,GA119,GE119,GI119,GM119,GQ119))-MIN(N(CHOOSE(HV119,'Debt List'!$F$5,'Debt List'!$F$6,'Debt List'!$F$7,'Debt List'!$F$8,'Debt List'!$F$9,'Debt List'!$F$10,'Debt List'!$F$11,'Debt List'!$F$12)),N(CHOOSE(HV119,FN119,FR119,FV119,FZ119,GD119,GH119,GL119,GP119))+N(CHOOSE(HV119,FO119,FS119,FW119,GA119,GE119,GI119,GM119,GQ119))))),0))</f>
        <v/>
      </c>
      <c r="HX119">
        <f>MIN(N(HW119),MAX(0,N(HU119)))</f>
        <v/>
      </c>
      <c r="HY119">
        <f>MAX(0,N(HU119)-N(HX119))</f>
        <v/>
      </c>
    </row>
    <row r="120">
      <c r="A120" t="n">
        <v>116</v>
      </c>
      <c r="B120" s="115">
        <f>DATE(YEAR(PlanStart),MONTH(PlanStart)+A120-1,1)</f>
        <v/>
      </c>
      <c r="C120">
        <f>IF(AND(AP120&lt;&gt;"",N(CHOOSE(AP120,J120,N120,R120,V120,Z120,AD120,AH120,AL120))&gt;0.005),INDEX(DebtNames,AP120),IF(AND(AT120&lt;&gt;"",N(CHOOSE(AT120,J120,N120,R120,V120,Z120,AD120,AH120,AL120))&gt;0.005),INDEX(DebtNames,AT120),IF(AND(AX120&lt;&gt;"",N(CHOOSE(AX120,J120,N120,R120,V120,Z120,AD120,AH120,AL120))&gt;0.005),INDEX(DebtNames,AX120),IF(AND(BB120&lt;&gt;"",N(CHOOSE(BB120,J120,N120,R120,V120,Z120,AD120,AH120,AL120))&gt;0.005),INDEX(DebtNames,BB120),IF(AND(BF120&lt;&gt;"",N(CHOOSE(BF120,J120,N120,R120,V120,Z120,AD120,AH120,AL120))&gt;0.005),INDEX(DebtNames,BF120),IF(AND(BJ120&lt;&gt;"",N(CHOOSE(BJ120,J120,N120,R120,V120,Z120,AD120,AH120,AL120))&gt;0.005),INDEX(DebtNames,BJ120),IF(AND(BN120&lt;&gt;"",N(CHOOSE(BN120,J120,N120,R120,V120,Z120,AD120,AH120,AL120))&gt;0.005),INDEX(DebtNames,BN120),IF(AND(BR120&lt;&gt;"",N(CHOOSE(BR120,J120,N120,R120,V120,Z120,AD120,AH120,AL120))&gt;0.005),INDEX(DebtNames,BR120),""))))))))</f>
        <v/>
      </c>
      <c r="D120">
        <f>N(BU120)</f>
        <v/>
      </c>
      <c r="E120">
        <f>N(L120)+N(P120)+N(T120)+N(X120)+N(AB120)+N(AF120)+N(AJ120)+N(AN120)</f>
        <v/>
      </c>
      <c r="F120">
        <f>N(K120)+N(O120)+N(S120)+N(W120)+N(AA120)+N(AE120)+N(AI120)+N(AM120)</f>
        <v/>
      </c>
      <c r="G120">
        <f>N(G119)+N(F120)</f>
        <v/>
      </c>
      <c r="H120">
        <f>N(M120)+N(Q120)+N(U120)+N(Y120)+N(AC120)+N(AG120)+N(AK120)+N(AO120)</f>
        <v/>
      </c>
      <c r="I120">
        <f>(M120&gt;0.005)*1+(Q120&gt;0.005)*1+(U120&gt;0.005)*1+(Y120&gt;0.005)*1+(AC120&gt;0.005)*1+(AG120&gt;0.005)*1+(AK120&gt;0.005)*1+(AO120&gt;0.005)*1</f>
        <v/>
      </c>
      <c r="J120">
        <f>N(M119)</f>
        <v/>
      </c>
      <c r="K120">
        <f>IF(N(J120)&lt;=0.005,0,ROUND(N(J120)*N('Debt List'!E5)/12,2))</f>
        <v/>
      </c>
      <c r="L120">
        <f>IF(N(J120)&lt;=0.005,0,MIN(N('Debt List'!F5),N(J120)+N(K120)))+((AP120=1)*AR120+(AT120=1)*AV120+(AX120=1)*AZ120+(BB120=1)*BD120+(BF120=1)*BH120+(BJ120=1)*BL120+(BN120=1)*BP120+(BR120=1)*BT120)</f>
        <v/>
      </c>
      <c r="M120">
        <f>MAX(0,ROUND(N(J120)+N(K120)-N(L120),2))</f>
        <v/>
      </c>
      <c r="N120">
        <f>N(Q119)</f>
        <v/>
      </c>
      <c r="O120">
        <f>IF(N(N120)&lt;=0.005,0,ROUND(N(N120)*N('Debt List'!E6)/12,2))</f>
        <v/>
      </c>
      <c r="P120">
        <f>IF(N(N120)&lt;=0.005,0,MIN(N('Debt List'!F6),N(N120)+N(O120)))+((AP120=2)*AR120+(AT120=2)*AV120+(AX120=2)*AZ120+(BB120=2)*BD120+(BF120=2)*BH120+(BJ120=2)*BL120+(BN120=2)*BP120+(BR120=2)*BT120)</f>
        <v/>
      </c>
      <c r="Q120">
        <f>MAX(0,ROUND(N(N120)+N(O120)-N(P120),2))</f>
        <v/>
      </c>
      <c r="R120">
        <f>N(U119)</f>
        <v/>
      </c>
      <c r="S120">
        <f>IF(N(R120)&lt;=0.005,0,ROUND(N(R120)*N('Debt List'!E7)/12,2))</f>
        <v/>
      </c>
      <c r="T120">
        <f>IF(N(R120)&lt;=0.005,0,MIN(N('Debt List'!F7),N(R120)+N(S120)))+((AP120=3)*AR120+(AT120=3)*AV120+(AX120=3)*AZ120+(BB120=3)*BD120+(BF120=3)*BH120+(BJ120=3)*BL120+(BN120=3)*BP120+(BR120=3)*BT120)</f>
        <v/>
      </c>
      <c r="U120">
        <f>MAX(0,ROUND(N(R120)+N(S120)-N(T120),2))</f>
        <v/>
      </c>
      <c r="V120">
        <f>N(Y119)</f>
        <v/>
      </c>
      <c r="W120">
        <f>IF(N(V120)&lt;=0.005,0,ROUND(N(V120)*N('Debt List'!E8)/12,2))</f>
        <v/>
      </c>
      <c r="X120">
        <f>IF(N(V120)&lt;=0.005,0,MIN(N('Debt List'!F8),N(V120)+N(W120)))+((AP120=4)*AR120+(AT120=4)*AV120+(AX120=4)*AZ120+(BB120=4)*BD120+(BF120=4)*BH120+(BJ120=4)*BL120+(BN120=4)*BP120+(BR120=4)*BT120)</f>
        <v/>
      </c>
      <c r="Y120">
        <f>MAX(0,ROUND(N(V120)+N(W120)-N(X120),2))</f>
        <v/>
      </c>
      <c r="Z120">
        <f>N(AC119)</f>
        <v/>
      </c>
      <c r="AA120">
        <f>IF(N(Z120)&lt;=0.005,0,ROUND(N(Z120)*N('Debt List'!E9)/12,2))</f>
        <v/>
      </c>
      <c r="AB120">
        <f>IF(N(Z120)&lt;=0.005,0,MIN(N('Debt List'!F9),N(Z120)+N(AA120)))+((AP120=5)*AR120+(AT120=5)*AV120+(AX120=5)*AZ120+(BB120=5)*BD120+(BF120=5)*BH120+(BJ120=5)*BL120+(BN120=5)*BP120+(BR120=5)*BT120)</f>
        <v/>
      </c>
      <c r="AC120">
        <f>MAX(0,ROUND(N(Z120)+N(AA120)-N(AB120),2))</f>
        <v/>
      </c>
      <c r="AD120">
        <f>N(AG119)</f>
        <v/>
      </c>
      <c r="AE120">
        <f>IF(N(AD120)&lt;=0.005,0,ROUND(N(AD120)*N('Debt List'!E10)/12,2))</f>
        <v/>
      </c>
      <c r="AF120">
        <f>IF(N(AD120)&lt;=0.005,0,MIN(N('Debt List'!F10),N(AD120)+N(AE120)))+((AP120=6)*AR120+(AT120=6)*AV120+(AX120=6)*AZ120+(BB120=6)*BD120+(BF120=6)*BH120+(BJ120=6)*BL120+(BN120=6)*BP120+(BR120=6)*BT120)</f>
        <v/>
      </c>
      <c r="AG120">
        <f>MAX(0,ROUND(N(AD120)+N(AE120)-N(AF120),2))</f>
        <v/>
      </c>
      <c r="AH120">
        <f>N(AK119)</f>
        <v/>
      </c>
      <c r="AI120">
        <f>IF(N(AH120)&lt;=0.005,0,ROUND(N(AH120)*N('Debt List'!E11)/12,2))</f>
        <v/>
      </c>
      <c r="AJ120">
        <f>IF(N(AH120)&lt;=0.005,0,MIN(N('Debt List'!F11),N(AH120)+N(AI120)))+((AP120=7)*AR120+(AT120=7)*AV120+(AX120=7)*AZ120+(BB120=7)*BD120+(BF120=7)*BH120+(BJ120=7)*BL120+(BN120=7)*BP120+(BR120=7)*BT120)</f>
        <v/>
      </c>
      <c r="AK120">
        <f>MAX(0,ROUND(N(AH120)+N(AI120)-N(AJ120),2))</f>
        <v/>
      </c>
      <c r="AL120">
        <f>N(AO119)</f>
        <v/>
      </c>
      <c r="AM120">
        <f>IF(N(AL120)&lt;=0.005,0,ROUND(N(AL120)*N('Debt List'!E12)/12,2))</f>
        <v/>
      </c>
      <c r="AN120">
        <f>IF(N(AL120)&lt;=0.005,0,MIN(N('Debt List'!F12),N(AL120)+N(AM120)))+((AP120=8)*AR120+(AT120=8)*AV120+(AX120=8)*AZ120+(BB120=8)*BD120+(BF120=8)*BH120+(BJ120=8)*BL120+(BN120=8)*BP120+(BR120=8)*BT120)</f>
        <v/>
      </c>
      <c r="AO120">
        <f>MAX(0,ROUND(N(AL120)+N(AM120)-N(AN120),2))</f>
        <v/>
      </c>
      <c r="AP120">
        <f>IFERROR(MATCH(1,OrderPlan,0),"")</f>
        <v/>
      </c>
      <c r="AQ120">
        <f>IF(AP120="",0,IFERROR(IF(N(CHOOSE(AP120,J120,N120,R120,V120,Z120,AD120,AH120,AL120))&lt;=0.005,0,MAX(0,N(CHOOSE(AP120,J120,N120,R120,V120,Z120,AD120,AH120,AL120))+N(CHOOSE(AP120,K120,O120,S120,W120,AA120,AE120,AI120,AM120))-MIN(N(CHOOSE(AP120,'Debt List'!$F$5,'Debt List'!$F$6,'Debt List'!$F$7,'Debt List'!$F$8,'Debt List'!$F$9,'Debt List'!$F$10,'Debt List'!$F$11,'Debt List'!$F$12)),N(CHOOSE(AP120,J120,N120,R120,V120,Z120,AD120,AH120,AL120))+N(CHOOSE(AP120,K120,O120,S120,W120,AA120,AE120,AI120,AM120))))),0))</f>
        <v/>
      </c>
      <c r="AR120">
        <f>MIN(N(AQ120),MAX(0,N(ExtraPayment)))</f>
        <v/>
      </c>
      <c r="AS120">
        <f>MAX(0,N(ExtraPayment)-N(AR120))</f>
        <v/>
      </c>
      <c r="AT120">
        <f>IFERROR(MATCH(2,OrderPlan,0),"")</f>
        <v/>
      </c>
      <c r="AU120">
        <f>IF(AT120="",0,IFERROR(IF(N(CHOOSE(AT120,J120,N120,R120,V120,Z120,AD120,AH120,AL120))&lt;=0.005,0,MAX(0,N(CHOOSE(AT120,J120,N120,R120,V120,Z120,AD120,AH120,AL120))+N(CHOOSE(AT120,K120,O120,S120,W120,AA120,AE120,AI120,AM120))-MIN(N(CHOOSE(AT120,'Debt List'!$F$5,'Debt List'!$F$6,'Debt List'!$F$7,'Debt List'!$F$8,'Debt List'!$F$9,'Debt List'!$F$10,'Debt List'!$F$11,'Debt List'!$F$12)),N(CHOOSE(AT120,J120,N120,R120,V120,Z120,AD120,AH120,AL120))+N(CHOOSE(AT120,K120,O120,S120,W120,AA120,AE120,AI120,AM120))))),0))</f>
        <v/>
      </c>
      <c r="AV120">
        <f>MIN(N(AU120),MAX(0,N(AS120)))</f>
        <v/>
      </c>
      <c r="AW120">
        <f>MAX(0,N(AS120)-N(AV120))</f>
        <v/>
      </c>
      <c r="AX120">
        <f>IFERROR(MATCH(3,OrderPlan,0),"")</f>
        <v/>
      </c>
      <c r="AY120">
        <f>IF(AX120="",0,IFERROR(IF(N(CHOOSE(AX120,J120,N120,R120,V120,Z120,AD120,AH120,AL120))&lt;=0.005,0,MAX(0,N(CHOOSE(AX120,J120,N120,R120,V120,Z120,AD120,AH120,AL120))+N(CHOOSE(AX120,K120,O120,S120,W120,AA120,AE120,AI120,AM120))-MIN(N(CHOOSE(AX120,'Debt List'!$F$5,'Debt List'!$F$6,'Debt List'!$F$7,'Debt List'!$F$8,'Debt List'!$F$9,'Debt List'!$F$10,'Debt List'!$F$11,'Debt List'!$F$12)),N(CHOOSE(AX120,J120,N120,R120,V120,Z120,AD120,AH120,AL120))+N(CHOOSE(AX120,K120,O120,S120,W120,AA120,AE120,AI120,AM120))))),0))</f>
        <v/>
      </c>
      <c r="AZ120">
        <f>MIN(N(AY120),MAX(0,N(AW120)))</f>
        <v/>
      </c>
      <c r="BA120">
        <f>MAX(0,N(AW120)-N(AZ120))</f>
        <v/>
      </c>
      <c r="BB120">
        <f>IFERROR(MATCH(4,OrderPlan,0),"")</f>
        <v/>
      </c>
      <c r="BC120">
        <f>IF(BB120="",0,IFERROR(IF(N(CHOOSE(BB120,J120,N120,R120,V120,Z120,AD120,AH120,AL120))&lt;=0.005,0,MAX(0,N(CHOOSE(BB120,J120,N120,R120,V120,Z120,AD120,AH120,AL120))+N(CHOOSE(BB120,K120,O120,S120,W120,AA120,AE120,AI120,AM120))-MIN(N(CHOOSE(BB120,'Debt List'!$F$5,'Debt List'!$F$6,'Debt List'!$F$7,'Debt List'!$F$8,'Debt List'!$F$9,'Debt List'!$F$10,'Debt List'!$F$11,'Debt List'!$F$12)),N(CHOOSE(BB120,J120,N120,R120,V120,Z120,AD120,AH120,AL120))+N(CHOOSE(BB120,K120,O120,S120,W120,AA120,AE120,AI120,AM120))))),0))</f>
        <v/>
      </c>
      <c r="BD120">
        <f>MIN(N(BC120),MAX(0,N(BA120)))</f>
        <v/>
      </c>
      <c r="BE120">
        <f>MAX(0,N(BA120)-N(BD120))</f>
        <v/>
      </c>
      <c r="BF120">
        <f>IFERROR(MATCH(5,OrderPlan,0),"")</f>
        <v/>
      </c>
      <c r="BG120">
        <f>IF(BF120="",0,IFERROR(IF(N(CHOOSE(BF120,J120,N120,R120,V120,Z120,AD120,AH120,AL120))&lt;=0.005,0,MAX(0,N(CHOOSE(BF120,J120,N120,R120,V120,Z120,AD120,AH120,AL120))+N(CHOOSE(BF120,K120,O120,S120,W120,AA120,AE120,AI120,AM120))-MIN(N(CHOOSE(BF120,'Debt List'!$F$5,'Debt List'!$F$6,'Debt List'!$F$7,'Debt List'!$F$8,'Debt List'!$F$9,'Debt List'!$F$10,'Debt List'!$F$11,'Debt List'!$F$12)),N(CHOOSE(BF120,J120,N120,R120,V120,Z120,AD120,AH120,AL120))+N(CHOOSE(BF120,K120,O120,S120,W120,AA120,AE120,AI120,AM120))))),0))</f>
        <v/>
      </c>
      <c r="BH120">
        <f>MIN(N(BG120),MAX(0,N(BE120)))</f>
        <v/>
      </c>
      <c r="BI120">
        <f>MAX(0,N(BE120)-N(BH120))</f>
        <v/>
      </c>
      <c r="BJ120">
        <f>IFERROR(MATCH(6,OrderPlan,0),"")</f>
        <v/>
      </c>
      <c r="BK120">
        <f>IF(BJ120="",0,IFERROR(IF(N(CHOOSE(BJ120,J120,N120,R120,V120,Z120,AD120,AH120,AL120))&lt;=0.005,0,MAX(0,N(CHOOSE(BJ120,J120,N120,R120,V120,Z120,AD120,AH120,AL120))+N(CHOOSE(BJ120,K120,O120,S120,W120,AA120,AE120,AI120,AM120))-MIN(N(CHOOSE(BJ120,'Debt List'!$F$5,'Debt List'!$F$6,'Debt List'!$F$7,'Debt List'!$F$8,'Debt List'!$F$9,'Debt List'!$F$10,'Debt List'!$F$11,'Debt List'!$F$12)),N(CHOOSE(BJ120,J120,N120,R120,V120,Z120,AD120,AH120,AL120))+N(CHOOSE(BJ120,K120,O120,S120,W120,AA120,AE120,AI120,AM120))))),0))</f>
        <v/>
      </c>
      <c r="BL120">
        <f>MIN(N(BK120),MAX(0,N(BI120)))</f>
        <v/>
      </c>
      <c r="BM120">
        <f>MAX(0,N(BI120)-N(BL120))</f>
        <v/>
      </c>
      <c r="BN120">
        <f>IFERROR(MATCH(7,OrderPlan,0),"")</f>
        <v/>
      </c>
      <c r="BO120">
        <f>IF(BN120="",0,IFERROR(IF(N(CHOOSE(BN120,J120,N120,R120,V120,Z120,AD120,AH120,AL120))&lt;=0.005,0,MAX(0,N(CHOOSE(BN120,J120,N120,R120,V120,Z120,AD120,AH120,AL120))+N(CHOOSE(BN120,K120,O120,S120,W120,AA120,AE120,AI120,AM120))-MIN(N(CHOOSE(BN120,'Debt List'!$F$5,'Debt List'!$F$6,'Debt List'!$F$7,'Debt List'!$F$8,'Debt List'!$F$9,'Debt List'!$F$10,'Debt List'!$F$11,'Debt List'!$F$12)),N(CHOOSE(BN120,J120,N120,R120,V120,Z120,AD120,AH120,AL120))+N(CHOOSE(BN120,K120,O120,S120,W120,AA120,AE120,AI120,AM120))))),0))</f>
        <v/>
      </c>
      <c r="BP120">
        <f>MIN(N(BO120),MAX(0,N(BM120)))</f>
        <v/>
      </c>
      <c r="BQ120">
        <f>MAX(0,N(BM120)-N(BP120))</f>
        <v/>
      </c>
      <c r="BR120">
        <f>IFERROR(MATCH(8,OrderPlan,0),"")</f>
        <v/>
      </c>
      <c r="BS120">
        <f>IF(BR120="",0,IFERROR(IF(N(CHOOSE(BR120,J120,N120,R120,V120,Z120,AD120,AH120,AL120))&lt;=0.005,0,MAX(0,N(CHOOSE(BR120,J120,N120,R120,V120,Z120,AD120,AH120,AL120))+N(CHOOSE(BR120,K120,O120,S120,W120,AA120,AE120,AI120,AM120))-MIN(N(CHOOSE(BR120,'Debt List'!$F$5,'Debt List'!$F$6,'Debt List'!$F$7,'Debt List'!$F$8,'Debt List'!$F$9,'Debt List'!$F$10,'Debt List'!$F$11,'Debt List'!$F$12)),N(CHOOSE(BR120,J120,N120,R120,V120,Z120,AD120,AH120,AL120))+N(CHOOSE(BR120,K120,O120,S120,W120,AA120,AE120,AI120,AM120))))),0))</f>
        <v/>
      </c>
      <c r="BT120">
        <f>MIN(N(BS120),MAX(0,N(BQ120)))</f>
        <v/>
      </c>
      <c r="BU120">
        <f>MAX(0,N(BQ120)-N(BT120))</f>
        <v/>
      </c>
      <c r="CC120" t="n">
        <v>116</v>
      </c>
      <c r="CD120" s="115">
        <f>DATE(YEAR(PlanStart),MONTH(PlanStart)+CC120-1,1)</f>
        <v/>
      </c>
      <c r="CE120">
        <f>IF(AND(DR120&lt;&gt;"",N(CHOOSE(DR120,CL120,CP120,CT120,CX120,DB120,DF120,DJ120,DN120))&gt;0.005),INDEX(DebtNames,DR120),IF(AND(DV120&lt;&gt;"",N(CHOOSE(DV120,CL120,CP120,CT120,CX120,DB120,DF120,DJ120,DN120))&gt;0.005),INDEX(DebtNames,DV120),IF(AND(DZ120&lt;&gt;"",N(CHOOSE(DZ120,CL120,CP120,CT120,CX120,DB120,DF120,DJ120,DN120))&gt;0.005),INDEX(DebtNames,DZ120),IF(AND(ED120&lt;&gt;"",N(CHOOSE(ED120,CL120,CP120,CT120,CX120,DB120,DF120,DJ120,DN120))&gt;0.005),INDEX(DebtNames,ED120),IF(AND(EH120&lt;&gt;"",N(CHOOSE(EH120,CL120,CP120,CT120,CX120,DB120,DF120,DJ120,DN120))&gt;0.005),INDEX(DebtNames,EH120),IF(AND(EL120&lt;&gt;"",N(CHOOSE(EL120,CL120,CP120,CT120,CX120,DB120,DF120,DJ120,DN120))&gt;0.005),INDEX(DebtNames,EL120),IF(AND(EP120&lt;&gt;"",N(CHOOSE(EP120,CL120,CP120,CT120,CX120,DB120,DF120,DJ120,DN120))&gt;0.005),INDEX(DebtNames,EP120),IF(AND(ET120&lt;&gt;"",N(CHOOSE(ET120,CL120,CP120,CT120,CX120,DB120,DF120,DJ120,DN120))&gt;0.005),INDEX(DebtNames,ET120),""))))))))</f>
        <v/>
      </c>
      <c r="CF120">
        <f>N(EW120)</f>
        <v/>
      </c>
      <c r="CG120">
        <f>N(CN120)+N(CR120)+N(CV120)+N(CZ120)+N(DD120)+N(DH120)+N(DL120)+N(DP120)</f>
        <v/>
      </c>
      <c r="CH120">
        <f>N(CM120)+N(CQ120)+N(CU120)+N(CY120)+N(DC120)+N(DG120)+N(DK120)+N(DO120)</f>
        <v/>
      </c>
      <c r="CI120">
        <f>N(CI119)+N(CH120)</f>
        <v/>
      </c>
      <c r="CJ120">
        <f>N(CO120)+N(CS120)+N(CW120)+N(DA120)+N(DE120)+N(DI120)+N(DM120)+N(DQ120)</f>
        <v/>
      </c>
      <c r="CK120">
        <f>(CO120&gt;0.005)*1+(CS120&gt;0.005)*1+(CW120&gt;0.005)*1+(DA120&gt;0.005)*1+(DE120&gt;0.005)*1+(DI120&gt;0.005)*1+(DM120&gt;0.005)*1+(DQ120&gt;0.005)*1</f>
        <v/>
      </c>
      <c r="CL120">
        <f>N(CO119)</f>
        <v/>
      </c>
      <c r="CM120">
        <f>IF(N(CL120)&lt;=0.005,0,ROUND(N(CL120)*N('Debt List'!E5)/12,2))</f>
        <v/>
      </c>
      <c r="CN120">
        <f>IF(N(CL120)&lt;=0.005,0,MIN(N('Debt List'!F5),N(CL120)+N(CM120)))+((DR120=1)*DT120+(DV120=1)*DX120+(DZ120=1)*EB120+(ED120=1)*EF120+(EH120=1)*EJ120+(EL120=1)*EN120+(EP120=1)*ER120+(ET120=1)*EV120)</f>
        <v/>
      </c>
      <c r="CO120">
        <f>MAX(0,ROUND(N(CL120)+N(CM120)-N(CN120),2))</f>
        <v/>
      </c>
      <c r="CP120">
        <f>N(CS119)</f>
        <v/>
      </c>
      <c r="CQ120">
        <f>IF(N(CP120)&lt;=0.005,0,ROUND(N(CP120)*N('Debt List'!E6)/12,2))</f>
        <v/>
      </c>
      <c r="CR120">
        <f>IF(N(CP120)&lt;=0.005,0,MIN(N('Debt List'!F6),N(CP120)+N(CQ120)))+((DR120=2)*DT120+(DV120=2)*DX120+(DZ120=2)*EB120+(ED120=2)*EF120+(EH120=2)*EJ120+(EL120=2)*EN120+(EP120=2)*ER120+(ET120=2)*EV120)</f>
        <v/>
      </c>
      <c r="CS120">
        <f>MAX(0,ROUND(N(CP120)+N(CQ120)-N(CR120),2))</f>
        <v/>
      </c>
      <c r="CT120">
        <f>N(CW119)</f>
        <v/>
      </c>
      <c r="CU120">
        <f>IF(N(CT120)&lt;=0.005,0,ROUND(N(CT120)*N('Debt List'!E7)/12,2))</f>
        <v/>
      </c>
      <c r="CV120">
        <f>IF(N(CT120)&lt;=0.005,0,MIN(N('Debt List'!F7),N(CT120)+N(CU120)))+((DR120=3)*DT120+(DV120=3)*DX120+(DZ120=3)*EB120+(ED120=3)*EF120+(EH120=3)*EJ120+(EL120=3)*EN120+(EP120=3)*ER120+(ET120=3)*EV120)</f>
        <v/>
      </c>
      <c r="CW120">
        <f>MAX(0,ROUND(N(CT120)+N(CU120)-N(CV120),2))</f>
        <v/>
      </c>
      <c r="CX120">
        <f>N(DA119)</f>
        <v/>
      </c>
      <c r="CY120">
        <f>IF(N(CX120)&lt;=0.005,0,ROUND(N(CX120)*N('Debt List'!E8)/12,2))</f>
        <v/>
      </c>
      <c r="CZ120">
        <f>IF(N(CX120)&lt;=0.005,0,MIN(N('Debt List'!F8),N(CX120)+N(CY120)))+((DR120=4)*DT120+(DV120=4)*DX120+(DZ120=4)*EB120+(ED120=4)*EF120+(EH120=4)*EJ120+(EL120=4)*EN120+(EP120=4)*ER120+(ET120=4)*EV120)</f>
        <v/>
      </c>
      <c r="DA120">
        <f>MAX(0,ROUND(N(CX120)+N(CY120)-N(CZ120),2))</f>
        <v/>
      </c>
      <c r="DB120">
        <f>N(DE119)</f>
        <v/>
      </c>
      <c r="DC120">
        <f>IF(N(DB120)&lt;=0.005,0,ROUND(N(DB120)*N('Debt List'!E9)/12,2))</f>
        <v/>
      </c>
      <c r="DD120">
        <f>IF(N(DB120)&lt;=0.005,0,MIN(N('Debt List'!F9),N(DB120)+N(DC120)))+((DR120=5)*DT120+(DV120=5)*DX120+(DZ120=5)*EB120+(ED120=5)*EF120+(EH120=5)*EJ120+(EL120=5)*EN120+(EP120=5)*ER120+(ET120=5)*EV120)</f>
        <v/>
      </c>
      <c r="DE120">
        <f>MAX(0,ROUND(N(DB120)+N(DC120)-N(DD120),2))</f>
        <v/>
      </c>
      <c r="DF120">
        <f>N(DI119)</f>
        <v/>
      </c>
      <c r="DG120">
        <f>IF(N(DF120)&lt;=0.005,0,ROUND(N(DF120)*N('Debt List'!E10)/12,2))</f>
        <v/>
      </c>
      <c r="DH120">
        <f>IF(N(DF120)&lt;=0.005,0,MIN(N('Debt List'!F10),N(DF120)+N(DG120)))+((DR120=6)*DT120+(DV120=6)*DX120+(DZ120=6)*EB120+(ED120=6)*EF120+(EH120=6)*EJ120+(EL120=6)*EN120+(EP120=6)*ER120+(ET120=6)*EV120)</f>
        <v/>
      </c>
      <c r="DI120">
        <f>MAX(0,ROUND(N(DF120)+N(DG120)-N(DH120),2))</f>
        <v/>
      </c>
      <c r="DJ120">
        <f>N(DM119)</f>
        <v/>
      </c>
      <c r="DK120">
        <f>IF(N(DJ120)&lt;=0.005,0,ROUND(N(DJ120)*N('Debt List'!E11)/12,2))</f>
        <v/>
      </c>
      <c r="DL120">
        <f>IF(N(DJ120)&lt;=0.005,0,MIN(N('Debt List'!F11),N(DJ120)+N(DK120)))+((DR120=7)*DT120+(DV120=7)*DX120+(DZ120=7)*EB120+(ED120=7)*EF120+(EH120=7)*EJ120+(EL120=7)*EN120+(EP120=7)*ER120+(ET120=7)*EV120)</f>
        <v/>
      </c>
      <c r="DM120">
        <f>MAX(0,ROUND(N(DJ120)+N(DK120)-N(DL120),2))</f>
        <v/>
      </c>
      <c r="DN120">
        <f>N(DQ119)</f>
        <v/>
      </c>
      <c r="DO120">
        <f>IF(N(DN120)&lt;=0.005,0,ROUND(N(DN120)*N('Debt List'!E12)/12,2))</f>
        <v/>
      </c>
      <c r="DP120">
        <f>IF(N(DN120)&lt;=0.005,0,MIN(N('Debt List'!F12),N(DN120)+N(DO120)))+((DR120=8)*DT120+(DV120=8)*DX120+(DZ120=8)*EB120+(ED120=8)*EF120+(EH120=8)*EJ120+(EL120=8)*EN120+(EP120=8)*ER120+(ET120=8)*EV120)</f>
        <v/>
      </c>
      <c r="DQ120">
        <f>MAX(0,ROUND(N(DN120)+N(DO120)-N(DP120),2))</f>
        <v/>
      </c>
      <c r="DR120">
        <f>IFERROR(MATCH(1,OrderSnow,0),"")</f>
        <v/>
      </c>
      <c r="DS120">
        <f>IF(DR120="",0,IFERROR(IF(N(CHOOSE(DR120,CL120,CP120,CT120,CX120,DB120,DF120,DJ120,DN120))&lt;=0.005,0,MAX(0,N(CHOOSE(DR120,CL120,CP120,CT120,CX120,DB120,DF120,DJ120,DN120))+N(CHOOSE(DR120,CM120,CQ120,CU120,CY120,DC120,DG120,DK120,DO120))-MIN(N(CHOOSE(DR120,'Debt List'!$F$5,'Debt List'!$F$6,'Debt List'!$F$7,'Debt List'!$F$8,'Debt List'!$F$9,'Debt List'!$F$10,'Debt List'!$F$11,'Debt List'!$F$12)),N(CHOOSE(DR120,CL120,CP120,CT120,CX120,DB120,DF120,DJ120,DN120))+N(CHOOSE(DR120,CM120,CQ120,CU120,CY120,DC120,DG120,DK120,DO120))))),0))</f>
        <v/>
      </c>
      <c r="DT120">
        <f>MIN(N(DS120),MAX(0,N(ExtraPayment)))</f>
        <v/>
      </c>
      <c r="DU120">
        <f>MAX(0,N(ExtraPayment)-N(DT120))</f>
        <v/>
      </c>
      <c r="DV120">
        <f>IFERROR(MATCH(2,OrderSnow,0),"")</f>
        <v/>
      </c>
      <c r="DW120">
        <f>IF(DV120="",0,IFERROR(IF(N(CHOOSE(DV120,CL120,CP120,CT120,CX120,DB120,DF120,DJ120,DN120))&lt;=0.005,0,MAX(0,N(CHOOSE(DV120,CL120,CP120,CT120,CX120,DB120,DF120,DJ120,DN120))+N(CHOOSE(DV120,CM120,CQ120,CU120,CY120,DC120,DG120,DK120,DO120))-MIN(N(CHOOSE(DV120,'Debt List'!$F$5,'Debt List'!$F$6,'Debt List'!$F$7,'Debt List'!$F$8,'Debt List'!$F$9,'Debt List'!$F$10,'Debt List'!$F$11,'Debt List'!$F$12)),N(CHOOSE(DV120,CL120,CP120,CT120,CX120,DB120,DF120,DJ120,DN120))+N(CHOOSE(DV120,CM120,CQ120,CU120,CY120,DC120,DG120,DK120,DO120))))),0))</f>
        <v/>
      </c>
      <c r="DX120">
        <f>MIN(N(DW120),MAX(0,N(DU120)))</f>
        <v/>
      </c>
      <c r="DY120">
        <f>MAX(0,N(DU120)-N(DX120))</f>
        <v/>
      </c>
      <c r="DZ120">
        <f>IFERROR(MATCH(3,OrderSnow,0),"")</f>
        <v/>
      </c>
      <c r="EA120">
        <f>IF(DZ120="",0,IFERROR(IF(N(CHOOSE(DZ120,CL120,CP120,CT120,CX120,DB120,DF120,DJ120,DN120))&lt;=0.005,0,MAX(0,N(CHOOSE(DZ120,CL120,CP120,CT120,CX120,DB120,DF120,DJ120,DN120))+N(CHOOSE(DZ120,CM120,CQ120,CU120,CY120,DC120,DG120,DK120,DO120))-MIN(N(CHOOSE(DZ120,'Debt List'!$F$5,'Debt List'!$F$6,'Debt List'!$F$7,'Debt List'!$F$8,'Debt List'!$F$9,'Debt List'!$F$10,'Debt List'!$F$11,'Debt List'!$F$12)),N(CHOOSE(DZ120,CL120,CP120,CT120,CX120,DB120,DF120,DJ120,DN120))+N(CHOOSE(DZ120,CM120,CQ120,CU120,CY120,DC120,DG120,DK120,DO120))))),0))</f>
        <v/>
      </c>
      <c r="EB120">
        <f>MIN(N(EA120),MAX(0,N(DY120)))</f>
        <v/>
      </c>
      <c r="EC120">
        <f>MAX(0,N(DY120)-N(EB120))</f>
        <v/>
      </c>
      <c r="ED120">
        <f>IFERROR(MATCH(4,OrderSnow,0),"")</f>
        <v/>
      </c>
      <c r="EE120">
        <f>IF(ED120="",0,IFERROR(IF(N(CHOOSE(ED120,CL120,CP120,CT120,CX120,DB120,DF120,DJ120,DN120))&lt;=0.005,0,MAX(0,N(CHOOSE(ED120,CL120,CP120,CT120,CX120,DB120,DF120,DJ120,DN120))+N(CHOOSE(ED120,CM120,CQ120,CU120,CY120,DC120,DG120,DK120,DO120))-MIN(N(CHOOSE(ED120,'Debt List'!$F$5,'Debt List'!$F$6,'Debt List'!$F$7,'Debt List'!$F$8,'Debt List'!$F$9,'Debt List'!$F$10,'Debt List'!$F$11,'Debt List'!$F$12)),N(CHOOSE(ED120,CL120,CP120,CT120,CX120,DB120,DF120,DJ120,DN120))+N(CHOOSE(ED120,CM120,CQ120,CU120,CY120,DC120,DG120,DK120,DO120))))),0))</f>
        <v/>
      </c>
      <c r="EF120">
        <f>MIN(N(EE120),MAX(0,N(EC120)))</f>
        <v/>
      </c>
      <c r="EG120">
        <f>MAX(0,N(EC120)-N(EF120))</f>
        <v/>
      </c>
      <c r="EH120">
        <f>IFERROR(MATCH(5,OrderSnow,0),"")</f>
        <v/>
      </c>
      <c r="EI120">
        <f>IF(EH120="",0,IFERROR(IF(N(CHOOSE(EH120,CL120,CP120,CT120,CX120,DB120,DF120,DJ120,DN120))&lt;=0.005,0,MAX(0,N(CHOOSE(EH120,CL120,CP120,CT120,CX120,DB120,DF120,DJ120,DN120))+N(CHOOSE(EH120,CM120,CQ120,CU120,CY120,DC120,DG120,DK120,DO120))-MIN(N(CHOOSE(EH120,'Debt List'!$F$5,'Debt List'!$F$6,'Debt List'!$F$7,'Debt List'!$F$8,'Debt List'!$F$9,'Debt List'!$F$10,'Debt List'!$F$11,'Debt List'!$F$12)),N(CHOOSE(EH120,CL120,CP120,CT120,CX120,DB120,DF120,DJ120,DN120))+N(CHOOSE(EH120,CM120,CQ120,CU120,CY120,DC120,DG120,DK120,DO120))))),0))</f>
        <v/>
      </c>
      <c r="EJ120">
        <f>MIN(N(EI120),MAX(0,N(EG120)))</f>
        <v/>
      </c>
      <c r="EK120">
        <f>MAX(0,N(EG120)-N(EJ120))</f>
        <v/>
      </c>
      <c r="EL120">
        <f>IFERROR(MATCH(6,OrderSnow,0),"")</f>
        <v/>
      </c>
      <c r="EM120">
        <f>IF(EL120="",0,IFERROR(IF(N(CHOOSE(EL120,CL120,CP120,CT120,CX120,DB120,DF120,DJ120,DN120))&lt;=0.005,0,MAX(0,N(CHOOSE(EL120,CL120,CP120,CT120,CX120,DB120,DF120,DJ120,DN120))+N(CHOOSE(EL120,CM120,CQ120,CU120,CY120,DC120,DG120,DK120,DO120))-MIN(N(CHOOSE(EL120,'Debt List'!$F$5,'Debt List'!$F$6,'Debt List'!$F$7,'Debt List'!$F$8,'Debt List'!$F$9,'Debt List'!$F$10,'Debt List'!$F$11,'Debt List'!$F$12)),N(CHOOSE(EL120,CL120,CP120,CT120,CX120,DB120,DF120,DJ120,DN120))+N(CHOOSE(EL120,CM120,CQ120,CU120,CY120,DC120,DG120,DK120,DO120))))),0))</f>
        <v/>
      </c>
      <c r="EN120">
        <f>MIN(N(EM120),MAX(0,N(EK120)))</f>
        <v/>
      </c>
      <c r="EO120">
        <f>MAX(0,N(EK120)-N(EN120))</f>
        <v/>
      </c>
      <c r="EP120">
        <f>IFERROR(MATCH(7,OrderSnow,0),"")</f>
        <v/>
      </c>
      <c r="EQ120">
        <f>IF(EP120="",0,IFERROR(IF(N(CHOOSE(EP120,CL120,CP120,CT120,CX120,DB120,DF120,DJ120,DN120))&lt;=0.005,0,MAX(0,N(CHOOSE(EP120,CL120,CP120,CT120,CX120,DB120,DF120,DJ120,DN120))+N(CHOOSE(EP120,CM120,CQ120,CU120,CY120,DC120,DG120,DK120,DO120))-MIN(N(CHOOSE(EP120,'Debt List'!$F$5,'Debt List'!$F$6,'Debt List'!$F$7,'Debt List'!$F$8,'Debt List'!$F$9,'Debt List'!$F$10,'Debt List'!$F$11,'Debt List'!$F$12)),N(CHOOSE(EP120,CL120,CP120,CT120,CX120,DB120,DF120,DJ120,DN120))+N(CHOOSE(EP120,CM120,CQ120,CU120,CY120,DC120,DG120,DK120,DO120))))),0))</f>
        <v/>
      </c>
      <c r="ER120">
        <f>MIN(N(EQ120),MAX(0,N(EO120)))</f>
        <v/>
      </c>
      <c r="ES120">
        <f>MAX(0,N(EO120)-N(ER120))</f>
        <v/>
      </c>
      <c r="ET120">
        <f>IFERROR(MATCH(8,OrderSnow,0),"")</f>
        <v/>
      </c>
      <c r="EU120">
        <f>IF(ET120="",0,IFERROR(IF(N(CHOOSE(ET120,CL120,CP120,CT120,CX120,DB120,DF120,DJ120,DN120))&lt;=0.005,0,MAX(0,N(CHOOSE(ET120,CL120,CP120,CT120,CX120,DB120,DF120,DJ120,DN120))+N(CHOOSE(ET120,CM120,CQ120,CU120,CY120,DC120,DG120,DK120,DO120))-MIN(N(CHOOSE(ET120,'Debt List'!$F$5,'Debt List'!$F$6,'Debt List'!$F$7,'Debt List'!$F$8,'Debt List'!$F$9,'Debt List'!$F$10,'Debt List'!$F$11,'Debt List'!$F$12)),N(CHOOSE(ET120,CL120,CP120,CT120,CX120,DB120,DF120,DJ120,DN120))+N(CHOOSE(ET120,CM120,CQ120,CU120,CY120,DC120,DG120,DK120,DO120))))),0))</f>
        <v/>
      </c>
      <c r="EV120">
        <f>MIN(N(EU120),MAX(0,N(ES120)))</f>
        <v/>
      </c>
      <c r="EW120">
        <f>MAX(0,N(ES120)-N(EV120))</f>
        <v/>
      </c>
      <c r="FE120" t="n">
        <v>116</v>
      </c>
      <c r="FF120" s="115">
        <f>DATE(YEAR(PlanStart),MONTH(PlanStart)+FE120-1,1)</f>
        <v/>
      </c>
      <c r="FG120">
        <f>IF(AND(GT120&lt;&gt;"",N(CHOOSE(GT120,FN120,FR120,FV120,FZ120,GD120,GH120,GL120,GP120))&gt;0.005),INDEX(DebtNames,GT120),IF(AND(GX120&lt;&gt;"",N(CHOOSE(GX120,FN120,FR120,FV120,FZ120,GD120,GH120,GL120,GP120))&gt;0.005),INDEX(DebtNames,GX120),IF(AND(HB120&lt;&gt;"",N(CHOOSE(HB120,FN120,FR120,FV120,FZ120,GD120,GH120,GL120,GP120))&gt;0.005),INDEX(DebtNames,HB120),IF(AND(HF120&lt;&gt;"",N(CHOOSE(HF120,FN120,FR120,FV120,FZ120,GD120,GH120,GL120,GP120))&gt;0.005),INDEX(DebtNames,HF120),IF(AND(HJ120&lt;&gt;"",N(CHOOSE(HJ120,FN120,FR120,FV120,FZ120,GD120,GH120,GL120,GP120))&gt;0.005),INDEX(DebtNames,HJ120),IF(AND(HN120&lt;&gt;"",N(CHOOSE(HN120,FN120,FR120,FV120,FZ120,GD120,GH120,GL120,GP120))&gt;0.005),INDEX(DebtNames,HN120),IF(AND(HR120&lt;&gt;"",N(CHOOSE(HR120,FN120,FR120,FV120,FZ120,GD120,GH120,GL120,GP120))&gt;0.005),INDEX(DebtNames,HR120),IF(AND(HV120&lt;&gt;"",N(CHOOSE(HV120,FN120,FR120,FV120,FZ120,GD120,GH120,GL120,GP120))&gt;0.005),INDEX(DebtNames,HV120),""))))))))</f>
        <v/>
      </c>
      <c r="FH120">
        <f>N(HY120)</f>
        <v/>
      </c>
      <c r="FI120">
        <f>N(FP120)+N(FT120)+N(FX120)+N(GB120)+N(GF120)+N(GJ120)+N(GN120)+N(GR120)</f>
        <v/>
      </c>
      <c r="FJ120">
        <f>N(FO120)+N(FS120)+N(FW120)+N(GA120)+N(GE120)+N(GI120)+N(GM120)+N(GQ120)</f>
        <v/>
      </c>
      <c r="FK120">
        <f>N(FK119)+N(FJ120)</f>
        <v/>
      </c>
      <c r="FL120">
        <f>N(FQ120)+N(FU120)+N(FY120)+N(GC120)+N(GG120)+N(GK120)+N(GO120)+N(GS120)</f>
        <v/>
      </c>
      <c r="FM120">
        <f>(FQ120&gt;0.005)*1+(FU120&gt;0.005)*1+(FY120&gt;0.005)*1+(GC120&gt;0.005)*1+(GG120&gt;0.005)*1+(GK120&gt;0.005)*1+(GO120&gt;0.005)*1+(GS120&gt;0.005)*1</f>
        <v/>
      </c>
      <c r="FN120">
        <f>N(FQ119)</f>
        <v/>
      </c>
      <c r="FO120">
        <f>IF(N(FN120)&lt;=0.005,0,ROUND(N(FN120)*N('Debt List'!E5)/12,2))</f>
        <v/>
      </c>
      <c r="FP120">
        <f>IF(N(FN120)&lt;=0.005,0,MIN(N('Debt List'!F5),N(FN120)+N(FO120)))+((GT120=1)*GV120+(GX120=1)*GZ120+(HB120=1)*HD120+(HF120=1)*HH120+(HJ120=1)*HL120+(HN120=1)*HP120+(HR120=1)*HT120+(HV120=1)*HX120)</f>
        <v/>
      </c>
      <c r="FQ120">
        <f>MAX(0,ROUND(N(FN120)+N(FO120)-N(FP120),2))</f>
        <v/>
      </c>
      <c r="FR120">
        <f>N(FU119)</f>
        <v/>
      </c>
      <c r="FS120">
        <f>IF(N(FR120)&lt;=0.005,0,ROUND(N(FR120)*N('Debt List'!E6)/12,2))</f>
        <v/>
      </c>
      <c r="FT120">
        <f>IF(N(FR120)&lt;=0.005,0,MIN(N('Debt List'!F6),N(FR120)+N(FS120)))+((GT120=2)*GV120+(GX120=2)*GZ120+(HB120=2)*HD120+(HF120=2)*HH120+(HJ120=2)*HL120+(HN120=2)*HP120+(HR120=2)*HT120+(HV120=2)*HX120)</f>
        <v/>
      </c>
      <c r="FU120">
        <f>MAX(0,ROUND(N(FR120)+N(FS120)-N(FT120),2))</f>
        <v/>
      </c>
      <c r="FV120">
        <f>N(FY119)</f>
        <v/>
      </c>
      <c r="FW120">
        <f>IF(N(FV120)&lt;=0.005,0,ROUND(N(FV120)*N('Debt List'!E7)/12,2))</f>
        <v/>
      </c>
      <c r="FX120">
        <f>IF(N(FV120)&lt;=0.005,0,MIN(N('Debt List'!F7),N(FV120)+N(FW120)))+((GT120=3)*GV120+(GX120=3)*GZ120+(HB120=3)*HD120+(HF120=3)*HH120+(HJ120=3)*HL120+(HN120=3)*HP120+(HR120=3)*HT120+(HV120=3)*HX120)</f>
        <v/>
      </c>
      <c r="FY120">
        <f>MAX(0,ROUND(N(FV120)+N(FW120)-N(FX120),2))</f>
        <v/>
      </c>
      <c r="FZ120">
        <f>N(GC119)</f>
        <v/>
      </c>
      <c r="GA120">
        <f>IF(N(FZ120)&lt;=0.005,0,ROUND(N(FZ120)*N('Debt List'!E8)/12,2))</f>
        <v/>
      </c>
      <c r="GB120">
        <f>IF(N(FZ120)&lt;=0.005,0,MIN(N('Debt List'!F8),N(FZ120)+N(GA120)))+((GT120=4)*GV120+(GX120=4)*GZ120+(HB120=4)*HD120+(HF120=4)*HH120+(HJ120=4)*HL120+(HN120=4)*HP120+(HR120=4)*HT120+(HV120=4)*HX120)</f>
        <v/>
      </c>
      <c r="GC120">
        <f>MAX(0,ROUND(N(FZ120)+N(GA120)-N(GB120),2))</f>
        <v/>
      </c>
      <c r="GD120">
        <f>N(GG119)</f>
        <v/>
      </c>
      <c r="GE120">
        <f>IF(N(GD120)&lt;=0.005,0,ROUND(N(GD120)*N('Debt List'!E9)/12,2))</f>
        <v/>
      </c>
      <c r="GF120">
        <f>IF(N(GD120)&lt;=0.005,0,MIN(N('Debt List'!F9),N(GD120)+N(GE120)))+((GT120=5)*GV120+(GX120=5)*GZ120+(HB120=5)*HD120+(HF120=5)*HH120+(HJ120=5)*HL120+(HN120=5)*HP120+(HR120=5)*HT120+(HV120=5)*HX120)</f>
        <v/>
      </c>
      <c r="GG120">
        <f>MAX(0,ROUND(N(GD120)+N(GE120)-N(GF120),2))</f>
        <v/>
      </c>
      <c r="GH120">
        <f>N(GK119)</f>
        <v/>
      </c>
      <c r="GI120">
        <f>IF(N(GH120)&lt;=0.005,0,ROUND(N(GH120)*N('Debt List'!E10)/12,2))</f>
        <v/>
      </c>
      <c r="GJ120">
        <f>IF(N(GH120)&lt;=0.005,0,MIN(N('Debt List'!F10),N(GH120)+N(GI120)))+((GT120=6)*GV120+(GX120=6)*GZ120+(HB120=6)*HD120+(HF120=6)*HH120+(HJ120=6)*HL120+(HN120=6)*HP120+(HR120=6)*HT120+(HV120=6)*HX120)</f>
        <v/>
      </c>
      <c r="GK120">
        <f>MAX(0,ROUND(N(GH120)+N(GI120)-N(GJ120),2))</f>
        <v/>
      </c>
      <c r="GL120">
        <f>N(GO119)</f>
        <v/>
      </c>
      <c r="GM120">
        <f>IF(N(GL120)&lt;=0.005,0,ROUND(N(GL120)*N('Debt List'!E11)/12,2))</f>
        <v/>
      </c>
      <c r="GN120">
        <f>IF(N(GL120)&lt;=0.005,0,MIN(N('Debt List'!F11),N(GL120)+N(GM120)))+((GT120=7)*GV120+(GX120=7)*GZ120+(HB120=7)*HD120+(HF120=7)*HH120+(HJ120=7)*HL120+(HN120=7)*HP120+(HR120=7)*HT120+(HV120=7)*HX120)</f>
        <v/>
      </c>
      <c r="GO120">
        <f>MAX(0,ROUND(N(GL120)+N(GM120)-N(GN120),2))</f>
        <v/>
      </c>
      <c r="GP120">
        <f>N(GS119)</f>
        <v/>
      </c>
      <c r="GQ120">
        <f>IF(N(GP120)&lt;=0.005,0,ROUND(N(GP120)*N('Debt List'!E12)/12,2))</f>
        <v/>
      </c>
      <c r="GR120">
        <f>IF(N(GP120)&lt;=0.005,0,MIN(N('Debt List'!F12),N(GP120)+N(GQ120)))+((GT120=8)*GV120+(GX120=8)*GZ120+(HB120=8)*HD120+(HF120=8)*HH120+(HJ120=8)*HL120+(HN120=8)*HP120+(HR120=8)*HT120+(HV120=8)*HX120)</f>
        <v/>
      </c>
      <c r="GS120">
        <f>MAX(0,ROUND(N(GP120)+N(GQ120)-N(GR120),2))</f>
        <v/>
      </c>
      <c r="GT120">
        <f>IFERROR(MATCH(1,OrderAval,0),"")</f>
        <v/>
      </c>
      <c r="GU120">
        <f>IF(GT120="",0,IFERROR(IF(N(CHOOSE(GT120,FN120,FR120,FV120,FZ120,GD120,GH120,GL120,GP120))&lt;=0.005,0,MAX(0,N(CHOOSE(GT120,FN120,FR120,FV120,FZ120,GD120,GH120,GL120,GP120))+N(CHOOSE(GT120,FO120,FS120,FW120,GA120,GE120,GI120,GM120,GQ120))-MIN(N(CHOOSE(GT120,'Debt List'!$F$5,'Debt List'!$F$6,'Debt List'!$F$7,'Debt List'!$F$8,'Debt List'!$F$9,'Debt List'!$F$10,'Debt List'!$F$11,'Debt List'!$F$12)),N(CHOOSE(GT120,FN120,FR120,FV120,FZ120,GD120,GH120,GL120,GP120))+N(CHOOSE(GT120,FO120,FS120,FW120,GA120,GE120,GI120,GM120,GQ120))))),0))</f>
        <v/>
      </c>
      <c r="GV120">
        <f>MIN(N(GU120),MAX(0,N(ExtraPayment)))</f>
        <v/>
      </c>
      <c r="GW120">
        <f>MAX(0,N(ExtraPayment)-N(GV120))</f>
        <v/>
      </c>
      <c r="GX120">
        <f>IFERROR(MATCH(2,OrderAval,0),"")</f>
        <v/>
      </c>
      <c r="GY120">
        <f>IF(GX120="",0,IFERROR(IF(N(CHOOSE(GX120,FN120,FR120,FV120,FZ120,GD120,GH120,GL120,GP120))&lt;=0.005,0,MAX(0,N(CHOOSE(GX120,FN120,FR120,FV120,FZ120,GD120,GH120,GL120,GP120))+N(CHOOSE(GX120,FO120,FS120,FW120,GA120,GE120,GI120,GM120,GQ120))-MIN(N(CHOOSE(GX120,'Debt List'!$F$5,'Debt List'!$F$6,'Debt List'!$F$7,'Debt List'!$F$8,'Debt List'!$F$9,'Debt List'!$F$10,'Debt List'!$F$11,'Debt List'!$F$12)),N(CHOOSE(GX120,FN120,FR120,FV120,FZ120,GD120,GH120,GL120,GP120))+N(CHOOSE(GX120,FO120,FS120,FW120,GA120,GE120,GI120,GM120,GQ120))))),0))</f>
        <v/>
      </c>
      <c r="GZ120">
        <f>MIN(N(GY120),MAX(0,N(GW120)))</f>
        <v/>
      </c>
      <c r="HA120">
        <f>MAX(0,N(GW120)-N(GZ120))</f>
        <v/>
      </c>
      <c r="HB120">
        <f>IFERROR(MATCH(3,OrderAval,0),"")</f>
        <v/>
      </c>
      <c r="HC120">
        <f>IF(HB120="",0,IFERROR(IF(N(CHOOSE(HB120,FN120,FR120,FV120,FZ120,GD120,GH120,GL120,GP120))&lt;=0.005,0,MAX(0,N(CHOOSE(HB120,FN120,FR120,FV120,FZ120,GD120,GH120,GL120,GP120))+N(CHOOSE(HB120,FO120,FS120,FW120,GA120,GE120,GI120,GM120,GQ120))-MIN(N(CHOOSE(HB120,'Debt List'!$F$5,'Debt List'!$F$6,'Debt List'!$F$7,'Debt List'!$F$8,'Debt List'!$F$9,'Debt List'!$F$10,'Debt List'!$F$11,'Debt List'!$F$12)),N(CHOOSE(HB120,FN120,FR120,FV120,FZ120,GD120,GH120,GL120,GP120))+N(CHOOSE(HB120,FO120,FS120,FW120,GA120,GE120,GI120,GM120,GQ120))))),0))</f>
        <v/>
      </c>
      <c r="HD120">
        <f>MIN(N(HC120),MAX(0,N(HA120)))</f>
        <v/>
      </c>
      <c r="HE120">
        <f>MAX(0,N(HA120)-N(HD120))</f>
        <v/>
      </c>
      <c r="HF120">
        <f>IFERROR(MATCH(4,OrderAval,0),"")</f>
        <v/>
      </c>
      <c r="HG120">
        <f>IF(HF120="",0,IFERROR(IF(N(CHOOSE(HF120,FN120,FR120,FV120,FZ120,GD120,GH120,GL120,GP120))&lt;=0.005,0,MAX(0,N(CHOOSE(HF120,FN120,FR120,FV120,FZ120,GD120,GH120,GL120,GP120))+N(CHOOSE(HF120,FO120,FS120,FW120,GA120,GE120,GI120,GM120,GQ120))-MIN(N(CHOOSE(HF120,'Debt List'!$F$5,'Debt List'!$F$6,'Debt List'!$F$7,'Debt List'!$F$8,'Debt List'!$F$9,'Debt List'!$F$10,'Debt List'!$F$11,'Debt List'!$F$12)),N(CHOOSE(HF120,FN120,FR120,FV120,FZ120,GD120,GH120,GL120,GP120))+N(CHOOSE(HF120,FO120,FS120,FW120,GA120,GE120,GI120,GM120,GQ120))))),0))</f>
        <v/>
      </c>
      <c r="HH120">
        <f>MIN(N(HG120),MAX(0,N(HE120)))</f>
        <v/>
      </c>
      <c r="HI120">
        <f>MAX(0,N(HE120)-N(HH120))</f>
        <v/>
      </c>
      <c r="HJ120">
        <f>IFERROR(MATCH(5,OrderAval,0),"")</f>
        <v/>
      </c>
      <c r="HK120">
        <f>IF(HJ120="",0,IFERROR(IF(N(CHOOSE(HJ120,FN120,FR120,FV120,FZ120,GD120,GH120,GL120,GP120))&lt;=0.005,0,MAX(0,N(CHOOSE(HJ120,FN120,FR120,FV120,FZ120,GD120,GH120,GL120,GP120))+N(CHOOSE(HJ120,FO120,FS120,FW120,GA120,GE120,GI120,GM120,GQ120))-MIN(N(CHOOSE(HJ120,'Debt List'!$F$5,'Debt List'!$F$6,'Debt List'!$F$7,'Debt List'!$F$8,'Debt List'!$F$9,'Debt List'!$F$10,'Debt List'!$F$11,'Debt List'!$F$12)),N(CHOOSE(HJ120,FN120,FR120,FV120,FZ120,GD120,GH120,GL120,GP120))+N(CHOOSE(HJ120,FO120,FS120,FW120,GA120,GE120,GI120,GM120,GQ120))))),0))</f>
        <v/>
      </c>
      <c r="HL120">
        <f>MIN(N(HK120),MAX(0,N(HI120)))</f>
        <v/>
      </c>
      <c r="HM120">
        <f>MAX(0,N(HI120)-N(HL120))</f>
        <v/>
      </c>
      <c r="HN120">
        <f>IFERROR(MATCH(6,OrderAval,0),"")</f>
        <v/>
      </c>
      <c r="HO120">
        <f>IF(HN120="",0,IFERROR(IF(N(CHOOSE(HN120,FN120,FR120,FV120,FZ120,GD120,GH120,GL120,GP120))&lt;=0.005,0,MAX(0,N(CHOOSE(HN120,FN120,FR120,FV120,FZ120,GD120,GH120,GL120,GP120))+N(CHOOSE(HN120,FO120,FS120,FW120,GA120,GE120,GI120,GM120,GQ120))-MIN(N(CHOOSE(HN120,'Debt List'!$F$5,'Debt List'!$F$6,'Debt List'!$F$7,'Debt List'!$F$8,'Debt List'!$F$9,'Debt List'!$F$10,'Debt List'!$F$11,'Debt List'!$F$12)),N(CHOOSE(HN120,FN120,FR120,FV120,FZ120,GD120,GH120,GL120,GP120))+N(CHOOSE(HN120,FO120,FS120,FW120,GA120,GE120,GI120,GM120,GQ120))))),0))</f>
        <v/>
      </c>
      <c r="HP120">
        <f>MIN(N(HO120),MAX(0,N(HM120)))</f>
        <v/>
      </c>
      <c r="HQ120">
        <f>MAX(0,N(HM120)-N(HP120))</f>
        <v/>
      </c>
      <c r="HR120">
        <f>IFERROR(MATCH(7,OrderAval,0),"")</f>
        <v/>
      </c>
      <c r="HS120">
        <f>IF(HR120="",0,IFERROR(IF(N(CHOOSE(HR120,FN120,FR120,FV120,FZ120,GD120,GH120,GL120,GP120))&lt;=0.005,0,MAX(0,N(CHOOSE(HR120,FN120,FR120,FV120,FZ120,GD120,GH120,GL120,GP120))+N(CHOOSE(HR120,FO120,FS120,FW120,GA120,GE120,GI120,GM120,GQ120))-MIN(N(CHOOSE(HR120,'Debt List'!$F$5,'Debt List'!$F$6,'Debt List'!$F$7,'Debt List'!$F$8,'Debt List'!$F$9,'Debt List'!$F$10,'Debt List'!$F$11,'Debt List'!$F$12)),N(CHOOSE(HR120,FN120,FR120,FV120,FZ120,GD120,GH120,GL120,GP120))+N(CHOOSE(HR120,FO120,FS120,FW120,GA120,GE120,GI120,GM120,GQ120))))),0))</f>
        <v/>
      </c>
      <c r="HT120">
        <f>MIN(N(HS120),MAX(0,N(HQ120)))</f>
        <v/>
      </c>
      <c r="HU120">
        <f>MAX(0,N(HQ120)-N(HT120))</f>
        <v/>
      </c>
      <c r="HV120">
        <f>IFERROR(MATCH(8,OrderAval,0),"")</f>
        <v/>
      </c>
      <c r="HW120">
        <f>IF(HV120="",0,IFERROR(IF(N(CHOOSE(HV120,FN120,FR120,FV120,FZ120,GD120,GH120,GL120,GP120))&lt;=0.005,0,MAX(0,N(CHOOSE(HV120,FN120,FR120,FV120,FZ120,GD120,GH120,GL120,GP120))+N(CHOOSE(HV120,FO120,FS120,FW120,GA120,GE120,GI120,GM120,GQ120))-MIN(N(CHOOSE(HV120,'Debt List'!$F$5,'Debt List'!$F$6,'Debt List'!$F$7,'Debt List'!$F$8,'Debt List'!$F$9,'Debt List'!$F$10,'Debt List'!$F$11,'Debt List'!$F$12)),N(CHOOSE(HV120,FN120,FR120,FV120,FZ120,GD120,GH120,GL120,GP120))+N(CHOOSE(HV120,FO120,FS120,FW120,GA120,GE120,GI120,GM120,GQ120))))),0))</f>
        <v/>
      </c>
      <c r="HX120">
        <f>MIN(N(HW120),MAX(0,N(HU120)))</f>
        <v/>
      </c>
      <c r="HY120">
        <f>MAX(0,N(HU120)-N(HX120))</f>
        <v/>
      </c>
    </row>
    <row r="121">
      <c r="A121" t="n">
        <v>117</v>
      </c>
      <c r="B121" s="115">
        <f>DATE(YEAR(PlanStart),MONTH(PlanStart)+A121-1,1)</f>
        <v/>
      </c>
      <c r="C121">
        <f>IF(AND(AP121&lt;&gt;"",N(CHOOSE(AP121,J121,N121,R121,V121,Z121,AD121,AH121,AL121))&gt;0.005),INDEX(DebtNames,AP121),IF(AND(AT121&lt;&gt;"",N(CHOOSE(AT121,J121,N121,R121,V121,Z121,AD121,AH121,AL121))&gt;0.005),INDEX(DebtNames,AT121),IF(AND(AX121&lt;&gt;"",N(CHOOSE(AX121,J121,N121,R121,V121,Z121,AD121,AH121,AL121))&gt;0.005),INDEX(DebtNames,AX121),IF(AND(BB121&lt;&gt;"",N(CHOOSE(BB121,J121,N121,R121,V121,Z121,AD121,AH121,AL121))&gt;0.005),INDEX(DebtNames,BB121),IF(AND(BF121&lt;&gt;"",N(CHOOSE(BF121,J121,N121,R121,V121,Z121,AD121,AH121,AL121))&gt;0.005),INDEX(DebtNames,BF121),IF(AND(BJ121&lt;&gt;"",N(CHOOSE(BJ121,J121,N121,R121,V121,Z121,AD121,AH121,AL121))&gt;0.005),INDEX(DebtNames,BJ121),IF(AND(BN121&lt;&gt;"",N(CHOOSE(BN121,J121,N121,R121,V121,Z121,AD121,AH121,AL121))&gt;0.005),INDEX(DebtNames,BN121),IF(AND(BR121&lt;&gt;"",N(CHOOSE(BR121,J121,N121,R121,V121,Z121,AD121,AH121,AL121))&gt;0.005),INDEX(DebtNames,BR121),""))))))))</f>
        <v/>
      </c>
      <c r="D121">
        <f>N(BU121)</f>
        <v/>
      </c>
      <c r="E121">
        <f>N(L121)+N(P121)+N(T121)+N(X121)+N(AB121)+N(AF121)+N(AJ121)+N(AN121)</f>
        <v/>
      </c>
      <c r="F121">
        <f>N(K121)+N(O121)+N(S121)+N(W121)+N(AA121)+N(AE121)+N(AI121)+N(AM121)</f>
        <v/>
      </c>
      <c r="G121">
        <f>N(G120)+N(F121)</f>
        <v/>
      </c>
      <c r="H121">
        <f>N(M121)+N(Q121)+N(U121)+N(Y121)+N(AC121)+N(AG121)+N(AK121)+N(AO121)</f>
        <v/>
      </c>
      <c r="I121">
        <f>(M121&gt;0.005)*1+(Q121&gt;0.005)*1+(U121&gt;0.005)*1+(Y121&gt;0.005)*1+(AC121&gt;0.005)*1+(AG121&gt;0.005)*1+(AK121&gt;0.005)*1+(AO121&gt;0.005)*1</f>
        <v/>
      </c>
      <c r="J121">
        <f>N(M120)</f>
        <v/>
      </c>
      <c r="K121">
        <f>IF(N(J121)&lt;=0.005,0,ROUND(N(J121)*N('Debt List'!E5)/12,2))</f>
        <v/>
      </c>
      <c r="L121">
        <f>IF(N(J121)&lt;=0.005,0,MIN(N('Debt List'!F5),N(J121)+N(K121)))+((AP121=1)*AR121+(AT121=1)*AV121+(AX121=1)*AZ121+(BB121=1)*BD121+(BF121=1)*BH121+(BJ121=1)*BL121+(BN121=1)*BP121+(BR121=1)*BT121)</f>
        <v/>
      </c>
      <c r="M121">
        <f>MAX(0,ROUND(N(J121)+N(K121)-N(L121),2))</f>
        <v/>
      </c>
      <c r="N121">
        <f>N(Q120)</f>
        <v/>
      </c>
      <c r="O121">
        <f>IF(N(N121)&lt;=0.005,0,ROUND(N(N121)*N('Debt List'!E6)/12,2))</f>
        <v/>
      </c>
      <c r="P121">
        <f>IF(N(N121)&lt;=0.005,0,MIN(N('Debt List'!F6),N(N121)+N(O121)))+((AP121=2)*AR121+(AT121=2)*AV121+(AX121=2)*AZ121+(BB121=2)*BD121+(BF121=2)*BH121+(BJ121=2)*BL121+(BN121=2)*BP121+(BR121=2)*BT121)</f>
        <v/>
      </c>
      <c r="Q121">
        <f>MAX(0,ROUND(N(N121)+N(O121)-N(P121),2))</f>
        <v/>
      </c>
      <c r="R121">
        <f>N(U120)</f>
        <v/>
      </c>
      <c r="S121">
        <f>IF(N(R121)&lt;=0.005,0,ROUND(N(R121)*N('Debt List'!E7)/12,2))</f>
        <v/>
      </c>
      <c r="T121">
        <f>IF(N(R121)&lt;=0.005,0,MIN(N('Debt List'!F7),N(R121)+N(S121)))+((AP121=3)*AR121+(AT121=3)*AV121+(AX121=3)*AZ121+(BB121=3)*BD121+(BF121=3)*BH121+(BJ121=3)*BL121+(BN121=3)*BP121+(BR121=3)*BT121)</f>
        <v/>
      </c>
      <c r="U121">
        <f>MAX(0,ROUND(N(R121)+N(S121)-N(T121),2))</f>
        <v/>
      </c>
      <c r="V121">
        <f>N(Y120)</f>
        <v/>
      </c>
      <c r="W121">
        <f>IF(N(V121)&lt;=0.005,0,ROUND(N(V121)*N('Debt List'!E8)/12,2))</f>
        <v/>
      </c>
      <c r="X121">
        <f>IF(N(V121)&lt;=0.005,0,MIN(N('Debt List'!F8),N(V121)+N(W121)))+((AP121=4)*AR121+(AT121=4)*AV121+(AX121=4)*AZ121+(BB121=4)*BD121+(BF121=4)*BH121+(BJ121=4)*BL121+(BN121=4)*BP121+(BR121=4)*BT121)</f>
        <v/>
      </c>
      <c r="Y121">
        <f>MAX(0,ROUND(N(V121)+N(W121)-N(X121),2))</f>
        <v/>
      </c>
      <c r="Z121">
        <f>N(AC120)</f>
        <v/>
      </c>
      <c r="AA121">
        <f>IF(N(Z121)&lt;=0.005,0,ROUND(N(Z121)*N('Debt List'!E9)/12,2))</f>
        <v/>
      </c>
      <c r="AB121">
        <f>IF(N(Z121)&lt;=0.005,0,MIN(N('Debt List'!F9),N(Z121)+N(AA121)))+((AP121=5)*AR121+(AT121=5)*AV121+(AX121=5)*AZ121+(BB121=5)*BD121+(BF121=5)*BH121+(BJ121=5)*BL121+(BN121=5)*BP121+(BR121=5)*BT121)</f>
        <v/>
      </c>
      <c r="AC121">
        <f>MAX(0,ROUND(N(Z121)+N(AA121)-N(AB121),2))</f>
        <v/>
      </c>
      <c r="AD121">
        <f>N(AG120)</f>
        <v/>
      </c>
      <c r="AE121">
        <f>IF(N(AD121)&lt;=0.005,0,ROUND(N(AD121)*N('Debt List'!E10)/12,2))</f>
        <v/>
      </c>
      <c r="AF121">
        <f>IF(N(AD121)&lt;=0.005,0,MIN(N('Debt List'!F10),N(AD121)+N(AE121)))+((AP121=6)*AR121+(AT121=6)*AV121+(AX121=6)*AZ121+(BB121=6)*BD121+(BF121=6)*BH121+(BJ121=6)*BL121+(BN121=6)*BP121+(BR121=6)*BT121)</f>
        <v/>
      </c>
      <c r="AG121">
        <f>MAX(0,ROUND(N(AD121)+N(AE121)-N(AF121),2))</f>
        <v/>
      </c>
      <c r="AH121">
        <f>N(AK120)</f>
        <v/>
      </c>
      <c r="AI121">
        <f>IF(N(AH121)&lt;=0.005,0,ROUND(N(AH121)*N('Debt List'!E11)/12,2))</f>
        <v/>
      </c>
      <c r="AJ121">
        <f>IF(N(AH121)&lt;=0.005,0,MIN(N('Debt List'!F11),N(AH121)+N(AI121)))+((AP121=7)*AR121+(AT121=7)*AV121+(AX121=7)*AZ121+(BB121=7)*BD121+(BF121=7)*BH121+(BJ121=7)*BL121+(BN121=7)*BP121+(BR121=7)*BT121)</f>
        <v/>
      </c>
      <c r="AK121">
        <f>MAX(0,ROUND(N(AH121)+N(AI121)-N(AJ121),2))</f>
        <v/>
      </c>
      <c r="AL121">
        <f>N(AO120)</f>
        <v/>
      </c>
      <c r="AM121">
        <f>IF(N(AL121)&lt;=0.005,0,ROUND(N(AL121)*N('Debt List'!E12)/12,2))</f>
        <v/>
      </c>
      <c r="AN121">
        <f>IF(N(AL121)&lt;=0.005,0,MIN(N('Debt List'!F12),N(AL121)+N(AM121)))+((AP121=8)*AR121+(AT121=8)*AV121+(AX121=8)*AZ121+(BB121=8)*BD121+(BF121=8)*BH121+(BJ121=8)*BL121+(BN121=8)*BP121+(BR121=8)*BT121)</f>
        <v/>
      </c>
      <c r="AO121">
        <f>MAX(0,ROUND(N(AL121)+N(AM121)-N(AN121),2))</f>
        <v/>
      </c>
      <c r="AP121">
        <f>IFERROR(MATCH(1,OrderPlan,0),"")</f>
        <v/>
      </c>
      <c r="AQ121">
        <f>IF(AP121="",0,IFERROR(IF(N(CHOOSE(AP121,J121,N121,R121,V121,Z121,AD121,AH121,AL121))&lt;=0.005,0,MAX(0,N(CHOOSE(AP121,J121,N121,R121,V121,Z121,AD121,AH121,AL121))+N(CHOOSE(AP121,K121,O121,S121,W121,AA121,AE121,AI121,AM121))-MIN(N(CHOOSE(AP121,'Debt List'!$F$5,'Debt List'!$F$6,'Debt List'!$F$7,'Debt List'!$F$8,'Debt List'!$F$9,'Debt List'!$F$10,'Debt List'!$F$11,'Debt List'!$F$12)),N(CHOOSE(AP121,J121,N121,R121,V121,Z121,AD121,AH121,AL121))+N(CHOOSE(AP121,K121,O121,S121,W121,AA121,AE121,AI121,AM121))))),0))</f>
        <v/>
      </c>
      <c r="AR121">
        <f>MIN(N(AQ121),MAX(0,N(ExtraPayment)))</f>
        <v/>
      </c>
      <c r="AS121">
        <f>MAX(0,N(ExtraPayment)-N(AR121))</f>
        <v/>
      </c>
      <c r="AT121">
        <f>IFERROR(MATCH(2,OrderPlan,0),"")</f>
        <v/>
      </c>
      <c r="AU121">
        <f>IF(AT121="",0,IFERROR(IF(N(CHOOSE(AT121,J121,N121,R121,V121,Z121,AD121,AH121,AL121))&lt;=0.005,0,MAX(0,N(CHOOSE(AT121,J121,N121,R121,V121,Z121,AD121,AH121,AL121))+N(CHOOSE(AT121,K121,O121,S121,W121,AA121,AE121,AI121,AM121))-MIN(N(CHOOSE(AT121,'Debt List'!$F$5,'Debt List'!$F$6,'Debt List'!$F$7,'Debt List'!$F$8,'Debt List'!$F$9,'Debt List'!$F$10,'Debt List'!$F$11,'Debt List'!$F$12)),N(CHOOSE(AT121,J121,N121,R121,V121,Z121,AD121,AH121,AL121))+N(CHOOSE(AT121,K121,O121,S121,W121,AA121,AE121,AI121,AM121))))),0))</f>
        <v/>
      </c>
      <c r="AV121">
        <f>MIN(N(AU121),MAX(0,N(AS121)))</f>
        <v/>
      </c>
      <c r="AW121">
        <f>MAX(0,N(AS121)-N(AV121))</f>
        <v/>
      </c>
      <c r="AX121">
        <f>IFERROR(MATCH(3,OrderPlan,0),"")</f>
        <v/>
      </c>
      <c r="AY121">
        <f>IF(AX121="",0,IFERROR(IF(N(CHOOSE(AX121,J121,N121,R121,V121,Z121,AD121,AH121,AL121))&lt;=0.005,0,MAX(0,N(CHOOSE(AX121,J121,N121,R121,V121,Z121,AD121,AH121,AL121))+N(CHOOSE(AX121,K121,O121,S121,W121,AA121,AE121,AI121,AM121))-MIN(N(CHOOSE(AX121,'Debt List'!$F$5,'Debt List'!$F$6,'Debt List'!$F$7,'Debt List'!$F$8,'Debt List'!$F$9,'Debt List'!$F$10,'Debt List'!$F$11,'Debt List'!$F$12)),N(CHOOSE(AX121,J121,N121,R121,V121,Z121,AD121,AH121,AL121))+N(CHOOSE(AX121,K121,O121,S121,W121,AA121,AE121,AI121,AM121))))),0))</f>
        <v/>
      </c>
      <c r="AZ121">
        <f>MIN(N(AY121),MAX(0,N(AW121)))</f>
        <v/>
      </c>
      <c r="BA121">
        <f>MAX(0,N(AW121)-N(AZ121))</f>
        <v/>
      </c>
      <c r="BB121">
        <f>IFERROR(MATCH(4,OrderPlan,0),"")</f>
        <v/>
      </c>
      <c r="BC121">
        <f>IF(BB121="",0,IFERROR(IF(N(CHOOSE(BB121,J121,N121,R121,V121,Z121,AD121,AH121,AL121))&lt;=0.005,0,MAX(0,N(CHOOSE(BB121,J121,N121,R121,V121,Z121,AD121,AH121,AL121))+N(CHOOSE(BB121,K121,O121,S121,W121,AA121,AE121,AI121,AM121))-MIN(N(CHOOSE(BB121,'Debt List'!$F$5,'Debt List'!$F$6,'Debt List'!$F$7,'Debt List'!$F$8,'Debt List'!$F$9,'Debt List'!$F$10,'Debt List'!$F$11,'Debt List'!$F$12)),N(CHOOSE(BB121,J121,N121,R121,V121,Z121,AD121,AH121,AL121))+N(CHOOSE(BB121,K121,O121,S121,W121,AA121,AE121,AI121,AM121))))),0))</f>
        <v/>
      </c>
      <c r="BD121">
        <f>MIN(N(BC121),MAX(0,N(BA121)))</f>
        <v/>
      </c>
      <c r="BE121">
        <f>MAX(0,N(BA121)-N(BD121))</f>
        <v/>
      </c>
      <c r="BF121">
        <f>IFERROR(MATCH(5,OrderPlan,0),"")</f>
        <v/>
      </c>
      <c r="BG121">
        <f>IF(BF121="",0,IFERROR(IF(N(CHOOSE(BF121,J121,N121,R121,V121,Z121,AD121,AH121,AL121))&lt;=0.005,0,MAX(0,N(CHOOSE(BF121,J121,N121,R121,V121,Z121,AD121,AH121,AL121))+N(CHOOSE(BF121,K121,O121,S121,W121,AA121,AE121,AI121,AM121))-MIN(N(CHOOSE(BF121,'Debt List'!$F$5,'Debt List'!$F$6,'Debt List'!$F$7,'Debt List'!$F$8,'Debt List'!$F$9,'Debt List'!$F$10,'Debt List'!$F$11,'Debt List'!$F$12)),N(CHOOSE(BF121,J121,N121,R121,V121,Z121,AD121,AH121,AL121))+N(CHOOSE(BF121,K121,O121,S121,W121,AA121,AE121,AI121,AM121))))),0))</f>
        <v/>
      </c>
      <c r="BH121">
        <f>MIN(N(BG121),MAX(0,N(BE121)))</f>
        <v/>
      </c>
      <c r="BI121">
        <f>MAX(0,N(BE121)-N(BH121))</f>
        <v/>
      </c>
      <c r="BJ121">
        <f>IFERROR(MATCH(6,OrderPlan,0),"")</f>
        <v/>
      </c>
      <c r="BK121">
        <f>IF(BJ121="",0,IFERROR(IF(N(CHOOSE(BJ121,J121,N121,R121,V121,Z121,AD121,AH121,AL121))&lt;=0.005,0,MAX(0,N(CHOOSE(BJ121,J121,N121,R121,V121,Z121,AD121,AH121,AL121))+N(CHOOSE(BJ121,K121,O121,S121,W121,AA121,AE121,AI121,AM121))-MIN(N(CHOOSE(BJ121,'Debt List'!$F$5,'Debt List'!$F$6,'Debt List'!$F$7,'Debt List'!$F$8,'Debt List'!$F$9,'Debt List'!$F$10,'Debt List'!$F$11,'Debt List'!$F$12)),N(CHOOSE(BJ121,J121,N121,R121,V121,Z121,AD121,AH121,AL121))+N(CHOOSE(BJ121,K121,O121,S121,W121,AA121,AE121,AI121,AM121))))),0))</f>
        <v/>
      </c>
      <c r="BL121">
        <f>MIN(N(BK121),MAX(0,N(BI121)))</f>
        <v/>
      </c>
      <c r="BM121">
        <f>MAX(0,N(BI121)-N(BL121))</f>
        <v/>
      </c>
      <c r="BN121">
        <f>IFERROR(MATCH(7,OrderPlan,0),"")</f>
        <v/>
      </c>
      <c r="BO121">
        <f>IF(BN121="",0,IFERROR(IF(N(CHOOSE(BN121,J121,N121,R121,V121,Z121,AD121,AH121,AL121))&lt;=0.005,0,MAX(0,N(CHOOSE(BN121,J121,N121,R121,V121,Z121,AD121,AH121,AL121))+N(CHOOSE(BN121,K121,O121,S121,W121,AA121,AE121,AI121,AM121))-MIN(N(CHOOSE(BN121,'Debt List'!$F$5,'Debt List'!$F$6,'Debt List'!$F$7,'Debt List'!$F$8,'Debt List'!$F$9,'Debt List'!$F$10,'Debt List'!$F$11,'Debt List'!$F$12)),N(CHOOSE(BN121,J121,N121,R121,V121,Z121,AD121,AH121,AL121))+N(CHOOSE(BN121,K121,O121,S121,W121,AA121,AE121,AI121,AM121))))),0))</f>
        <v/>
      </c>
      <c r="BP121">
        <f>MIN(N(BO121),MAX(0,N(BM121)))</f>
        <v/>
      </c>
      <c r="BQ121">
        <f>MAX(0,N(BM121)-N(BP121))</f>
        <v/>
      </c>
      <c r="BR121">
        <f>IFERROR(MATCH(8,OrderPlan,0),"")</f>
        <v/>
      </c>
      <c r="BS121">
        <f>IF(BR121="",0,IFERROR(IF(N(CHOOSE(BR121,J121,N121,R121,V121,Z121,AD121,AH121,AL121))&lt;=0.005,0,MAX(0,N(CHOOSE(BR121,J121,N121,R121,V121,Z121,AD121,AH121,AL121))+N(CHOOSE(BR121,K121,O121,S121,W121,AA121,AE121,AI121,AM121))-MIN(N(CHOOSE(BR121,'Debt List'!$F$5,'Debt List'!$F$6,'Debt List'!$F$7,'Debt List'!$F$8,'Debt List'!$F$9,'Debt List'!$F$10,'Debt List'!$F$11,'Debt List'!$F$12)),N(CHOOSE(BR121,J121,N121,R121,V121,Z121,AD121,AH121,AL121))+N(CHOOSE(BR121,K121,O121,S121,W121,AA121,AE121,AI121,AM121))))),0))</f>
        <v/>
      </c>
      <c r="BT121">
        <f>MIN(N(BS121),MAX(0,N(BQ121)))</f>
        <v/>
      </c>
      <c r="BU121">
        <f>MAX(0,N(BQ121)-N(BT121))</f>
        <v/>
      </c>
      <c r="CC121" t="n">
        <v>117</v>
      </c>
      <c r="CD121" s="115">
        <f>DATE(YEAR(PlanStart),MONTH(PlanStart)+CC121-1,1)</f>
        <v/>
      </c>
      <c r="CE121">
        <f>IF(AND(DR121&lt;&gt;"",N(CHOOSE(DR121,CL121,CP121,CT121,CX121,DB121,DF121,DJ121,DN121))&gt;0.005),INDEX(DebtNames,DR121),IF(AND(DV121&lt;&gt;"",N(CHOOSE(DV121,CL121,CP121,CT121,CX121,DB121,DF121,DJ121,DN121))&gt;0.005),INDEX(DebtNames,DV121),IF(AND(DZ121&lt;&gt;"",N(CHOOSE(DZ121,CL121,CP121,CT121,CX121,DB121,DF121,DJ121,DN121))&gt;0.005),INDEX(DebtNames,DZ121),IF(AND(ED121&lt;&gt;"",N(CHOOSE(ED121,CL121,CP121,CT121,CX121,DB121,DF121,DJ121,DN121))&gt;0.005),INDEX(DebtNames,ED121),IF(AND(EH121&lt;&gt;"",N(CHOOSE(EH121,CL121,CP121,CT121,CX121,DB121,DF121,DJ121,DN121))&gt;0.005),INDEX(DebtNames,EH121),IF(AND(EL121&lt;&gt;"",N(CHOOSE(EL121,CL121,CP121,CT121,CX121,DB121,DF121,DJ121,DN121))&gt;0.005),INDEX(DebtNames,EL121),IF(AND(EP121&lt;&gt;"",N(CHOOSE(EP121,CL121,CP121,CT121,CX121,DB121,DF121,DJ121,DN121))&gt;0.005),INDEX(DebtNames,EP121),IF(AND(ET121&lt;&gt;"",N(CHOOSE(ET121,CL121,CP121,CT121,CX121,DB121,DF121,DJ121,DN121))&gt;0.005),INDEX(DebtNames,ET121),""))))))))</f>
        <v/>
      </c>
      <c r="CF121">
        <f>N(EW121)</f>
        <v/>
      </c>
      <c r="CG121">
        <f>N(CN121)+N(CR121)+N(CV121)+N(CZ121)+N(DD121)+N(DH121)+N(DL121)+N(DP121)</f>
        <v/>
      </c>
      <c r="CH121">
        <f>N(CM121)+N(CQ121)+N(CU121)+N(CY121)+N(DC121)+N(DG121)+N(DK121)+N(DO121)</f>
        <v/>
      </c>
      <c r="CI121">
        <f>N(CI120)+N(CH121)</f>
        <v/>
      </c>
      <c r="CJ121">
        <f>N(CO121)+N(CS121)+N(CW121)+N(DA121)+N(DE121)+N(DI121)+N(DM121)+N(DQ121)</f>
        <v/>
      </c>
      <c r="CK121">
        <f>(CO121&gt;0.005)*1+(CS121&gt;0.005)*1+(CW121&gt;0.005)*1+(DA121&gt;0.005)*1+(DE121&gt;0.005)*1+(DI121&gt;0.005)*1+(DM121&gt;0.005)*1+(DQ121&gt;0.005)*1</f>
        <v/>
      </c>
      <c r="CL121">
        <f>N(CO120)</f>
        <v/>
      </c>
      <c r="CM121">
        <f>IF(N(CL121)&lt;=0.005,0,ROUND(N(CL121)*N('Debt List'!E5)/12,2))</f>
        <v/>
      </c>
      <c r="CN121">
        <f>IF(N(CL121)&lt;=0.005,0,MIN(N('Debt List'!F5),N(CL121)+N(CM121)))+((DR121=1)*DT121+(DV121=1)*DX121+(DZ121=1)*EB121+(ED121=1)*EF121+(EH121=1)*EJ121+(EL121=1)*EN121+(EP121=1)*ER121+(ET121=1)*EV121)</f>
        <v/>
      </c>
      <c r="CO121">
        <f>MAX(0,ROUND(N(CL121)+N(CM121)-N(CN121),2))</f>
        <v/>
      </c>
      <c r="CP121">
        <f>N(CS120)</f>
        <v/>
      </c>
      <c r="CQ121">
        <f>IF(N(CP121)&lt;=0.005,0,ROUND(N(CP121)*N('Debt List'!E6)/12,2))</f>
        <v/>
      </c>
      <c r="CR121">
        <f>IF(N(CP121)&lt;=0.005,0,MIN(N('Debt List'!F6),N(CP121)+N(CQ121)))+((DR121=2)*DT121+(DV121=2)*DX121+(DZ121=2)*EB121+(ED121=2)*EF121+(EH121=2)*EJ121+(EL121=2)*EN121+(EP121=2)*ER121+(ET121=2)*EV121)</f>
        <v/>
      </c>
      <c r="CS121">
        <f>MAX(0,ROUND(N(CP121)+N(CQ121)-N(CR121),2))</f>
        <v/>
      </c>
      <c r="CT121">
        <f>N(CW120)</f>
        <v/>
      </c>
      <c r="CU121">
        <f>IF(N(CT121)&lt;=0.005,0,ROUND(N(CT121)*N('Debt List'!E7)/12,2))</f>
        <v/>
      </c>
      <c r="CV121">
        <f>IF(N(CT121)&lt;=0.005,0,MIN(N('Debt List'!F7),N(CT121)+N(CU121)))+((DR121=3)*DT121+(DV121=3)*DX121+(DZ121=3)*EB121+(ED121=3)*EF121+(EH121=3)*EJ121+(EL121=3)*EN121+(EP121=3)*ER121+(ET121=3)*EV121)</f>
        <v/>
      </c>
      <c r="CW121">
        <f>MAX(0,ROUND(N(CT121)+N(CU121)-N(CV121),2))</f>
        <v/>
      </c>
      <c r="CX121">
        <f>N(DA120)</f>
        <v/>
      </c>
      <c r="CY121">
        <f>IF(N(CX121)&lt;=0.005,0,ROUND(N(CX121)*N('Debt List'!E8)/12,2))</f>
        <v/>
      </c>
      <c r="CZ121">
        <f>IF(N(CX121)&lt;=0.005,0,MIN(N('Debt List'!F8),N(CX121)+N(CY121)))+((DR121=4)*DT121+(DV121=4)*DX121+(DZ121=4)*EB121+(ED121=4)*EF121+(EH121=4)*EJ121+(EL121=4)*EN121+(EP121=4)*ER121+(ET121=4)*EV121)</f>
        <v/>
      </c>
      <c r="DA121">
        <f>MAX(0,ROUND(N(CX121)+N(CY121)-N(CZ121),2))</f>
        <v/>
      </c>
      <c r="DB121">
        <f>N(DE120)</f>
        <v/>
      </c>
      <c r="DC121">
        <f>IF(N(DB121)&lt;=0.005,0,ROUND(N(DB121)*N('Debt List'!E9)/12,2))</f>
        <v/>
      </c>
      <c r="DD121">
        <f>IF(N(DB121)&lt;=0.005,0,MIN(N('Debt List'!F9),N(DB121)+N(DC121)))+((DR121=5)*DT121+(DV121=5)*DX121+(DZ121=5)*EB121+(ED121=5)*EF121+(EH121=5)*EJ121+(EL121=5)*EN121+(EP121=5)*ER121+(ET121=5)*EV121)</f>
        <v/>
      </c>
      <c r="DE121">
        <f>MAX(0,ROUND(N(DB121)+N(DC121)-N(DD121),2))</f>
        <v/>
      </c>
      <c r="DF121">
        <f>N(DI120)</f>
        <v/>
      </c>
      <c r="DG121">
        <f>IF(N(DF121)&lt;=0.005,0,ROUND(N(DF121)*N('Debt List'!E10)/12,2))</f>
        <v/>
      </c>
      <c r="DH121">
        <f>IF(N(DF121)&lt;=0.005,0,MIN(N('Debt List'!F10),N(DF121)+N(DG121)))+((DR121=6)*DT121+(DV121=6)*DX121+(DZ121=6)*EB121+(ED121=6)*EF121+(EH121=6)*EJ121+(EL121=6)*EN121+(EP121=6)*ER121+(ET121=6)*EV121)</f>
        <v/>
      </c>
      <c r="DI121">
        <f>MAX(0,ROUND(N(DF121)+N(DG121)-N(DH121),2))</f>
        <v/>
      </c>
      <c r="DJ121">
        <f>N(DM120)</f>
        <v/>
      </c>
      <c r="DK121">
        <f>IF(N(DJ121)&lt;=0.005,0,ROUND(N(DJ121)*N('Debt List'!E11)/12,2))</f>
        <v/>
      </c>
      <c r="DL121">
        <f>IF(N(DJ121)&lt;=0.005,0,MIN(N('Debt List'!F11),N(DJ121)+N(DK121)))+((DR121=7)*DT121+(DV121=7)*DX121+(DZ121=7)*EB121+(ED121=7)*EF121+(EH121=7)*EJ121+(EL121=7)*EN121+(EP121=7)*ER121+(ET121=7)*EV121)</f>
        <v/>
      </c>
      <c r="DM121">
        <f>MAX(0,ROUND(N(DJ121)+N(DK121)-N(DL121),2))</f>
        <v/>
      </c>
      <c r="DN121">
        <f>N(DQ120)</f>
        <v/>
      </c>
      <c r="DO121">
        <f>IF(N(DN121)&lt;=0.005,0,ROUND(N(DN121)*N('Debt List'!E12)/12,2))</f>
        <v/>
      </c>
      <c r="DP121">
        <f>IF(N(DN121)&lt;=0.005,0,MIN(N('Debt List'!F12),N(DN121)+N(DO121)))+((DR121=8)*DT121+(DV121=8)*DX121+(DZ121=8)*EB121+(ED121=8)*EF121+(EH121=8)*EJ121+(EL121=8)*EN121+(EP121=8)*ER121+(ET121=8)*EV121)</f>
        <v/>
      </c>
      <c r="DQ121">
        <f>MAX(0,ROUND(N(DN121)+N(DO121)-N(DP121),2))</f>
        <v/>
      </c>
      <c r="DR121">
        <f>IFERROR(MATCH(1,OrderSnow,0),"")</f>
        <v/>
      </c>
      <c r="DS121">
        <f>IF(DR121="",0,IFERROR(IF(N(CHOOSE(DR121,CL121,CP121,CT121,CX121,DB121,DF121,DJ121,DN121))&lt;=0.005,0,MAX(0,N(CHOOSE(DR121,CL121,CP121,CT121,CX121,DB121,DF121,DJ121,DN121))+N(CHOOSE(DR121,CM121,CQ121,CU121,CY121,DC121,DG121,DK121,DO121))-MIN(N(CHOOSE(DR121,'Debt List'!$F$5,'Debt List'!$F$6,'Debt List'!$F$7,'Debt List'!$F$8,'Debt List'!$F$9,'Debt List'!$F$10,'Debt List'!$F$11,'Debt List'!$F$12)),N(CHOOSE(DR121,CL121,CP121,CT121,CX121,DB121,DF121,DJ121,DN121))+N(CHOOSE(DR121,CM121,CQ121,CU121,CY121,DC121,DG121,DK121,DO121))))),0))</f>
        <v/>
      </c>
      <c r="DT121">
        <f>MIN(N(DS121),MAX(0,N(ExtraPayment)))</f>
        <v/>
      </c>
      <c r="DU121">
        <f>MAX(0,N(ExtraPayment)-N(DT121))</f>
        <v/>
      </c>
      <c r="DV121">
        <f>IFERROR(MATCH(2,OrderSnow,0),"")</f>
        <v/>
      </c>
      <c r="DW121">
        <f>IF(DV121="",0,IFERROR(IF(N(CHOOSE(DV121,CL121,CP121,CT121,CX121,DB121,DF121,DJ121,DN121))&lt;=0.005,0,MAX(0,N(CHOOSE(DV121,CL121,CP121,CT121,CX121,DB121,DF121,DJ121,DN121))+N(CHOOSE(DV121,CM121,CQ121,CU121,CY121,DC121,DG121,DK121,DO121))-MIN(N(CHOOSE(DV121,'Debt List'!$F$5,'Debt List'!$F$6,'Debt List'!$F$7,'Debt List'!$F$8,'Debt List'!$F$9,'Debt List'!$F$10,'Debt List'!$F$11,'Debt List'!$F$12)),N(CHOOSE(DV121,CL121,CP121,CT121,CX121,DB121,DF121,DJ121,DN121))+N(CHOOSE(DV121,CM121,CQ121,CU121,CY121,DC121,DG121,DK121,DO121))))),0))</f>
        <v/>
      </c>
      <c r="DX121">
        <f>MIN(N(DW121),MAX(0,N(DU121)))</f>
        <v/>
      </c>
      <c r="DY121">
        <f>MAX(0,N(DU121)-N(DX121))</f>
        <v/>
      </c>
      <c r="DZ121">
        <f>IFERROR(MATCH(3,OrderSnow,0),"")</f>
        <v/>
      </c>
      <c r="EA121">
        <f>IF(DZ121="",0,IFERROR(IF(N(CHOOSE(DZ121,CL121,CP121,CT121,CX121,DB121,DF121,DJ121,DN121))&lt;=0.005,0,MAX(0,N(CHOOSE(DZ121,CL121,CP121,CT121,CX121,DB121,DF121,DJ121,DN121))+N(CHOOSE(DZ121,CM121,CQ121,CU121,CY121,DC121,DG121,DK121,DO121))-MIN(N(CHOOSE(DZ121,'Debt List'!$F$5,'Debt List'!$F$6,'Debt List'!$F$7,'Debt List'!$F$8,'Debt List'!$F$9,'Debt List'!$F$10,'Debt List'!$F$11,'Debt List'!$F$12)),N(CHOOSE(DZ121,CL121,CP121,CT121,CX121,DB121,DF121,DJ121,DN121))+N(CHOOSE(DZ121,CM121,CQ121,CU121,CY121,DC121,DG121,DK121,DO121))))),0))</f>
        <v/>
      </c>
      <c r="EB121">
        <f>MIN(N(EA121),MAX(0,N(DY121)))</f>
        <v/>
      </c>
      <c r="EC121">
        <f>MAX(0,N(DY121)-N(EB121))</f>
        <v/>
      </c>
      <c r="ED121">
        <f>IFERROR(MATCH(4,OrderSnow,0),"")</f>
        <v/>
      </c>
      <c r="EE121">
        <f>IF(ED121="",0,IFERROR(IF(N(CHOOSE(ED121,CL121,CP121,CT121,CX121,DB121,DF121,DJ121,DN121))&lt;=0.005,0,MAX(0,N(CHOOSE(ED121,CL121,CP121,CT121,CX121,DB121,DF121,DJ121,DN121))+N(CHOOSE(ED121,CM121,CQ121,CU121,CY121,DC121,DG121,DK121,DO121))-MIN(N(CHOOSE(ED121,'Debt List'!$F$5,'Debt List'!$F$6,'Debt List'!$F$7,'Debt List'!$F$8,'Debt List'!$F$9,'Debt List'!$F$10,'Debt List'!$F$11,'Debt List'!$F$12)),N(CHOOSE(ED121,CL121,CP121,CT121,CX121,DB121,DF121,DJ121,DN121))+N(CHOOSE(ED121,CM121,CQ121,CU121,CY121,DC121,DG121,DK121,DO121))))),0))</f>
        <v/>
      </c>
      <c r="EF121">
        <f>MIN(N(EE121),MAX(0,N(EC121)))</f>
        <v/>
      </c>
      <c r="EG121">
        <f>MAX(0,N(EC121)-N(EF121))</f>
        <v/>
      </c>
      <c r="EH121">
        <f>IFERROR(MATCH(5,OrderSnow,0),"")</f>
        <v/>
      </c>
      <c r="EI121">
        <f>IF(EH121="",0,IFERROR(IF(N(CHOOSE(EH121,CL121,CP121,CT121,CX121,DB121,DF121,DJ121,DN121))&lt;=0.005,0,MAX(0,N(CHOOSE(EH121,CL121,CP121,CT121,CX121,DB121,DF121,DJ121,DN121))+N(CHOOSE(EH121,CM121,CQ121,CU121,CY121,DC121,DG121,DK121,DO121))-MIN(N(CHOOSE(EH121,'Debt List'!$F$5,'Debt List'!$F$6,'Debt List'!$F$7,'Debt List'!$F$8,'Debt List'!$F$9,'Debt List'!$F$10,'Debt List'!$F$11,'Debt List'!$F$12)),N(CHOOSE(EH121,CL121,CP121,CT121,CX121,DB121,DF121,DJ121,DN121))+N(CHOOSE(EH121,CM121,CQ121,CU121,CY121,DC121,DG121,DK121,DO121))))),0))</f>
        <v/>
      </c>
      <c r="EJ121">
        <f>MIN(N(EI121),MAX(0,N(EG121)))</f>
        <v/>
      </c>
      <c r="EK121">
        <f>MAX(0,N(EG121)-N(EJ121))</f>
        <v/>
      </c>
      <c r="EL121">
        <f>IFERROR(MATCH(6,OrderSnow,0),"")</f>
        <v/>
      </c>
      <c r="EM121">
        <f>IF(EL121="",0,IFERROR(IF(N(CHOOSE(EL121,CL121,CP121,CT121,CX121,DB121,DF121,DJ121,DN121))&lt;=0.005,0,MAX(0,N(CHOOSE(EL121,CL121,CP121,CT121,CX121,DB121,DF121,DJ121,DN121))+N(CHOOSE(EL121,CM121,CQ121,CU121,CY121,DC121,DG121,DK121,DO121))-MIN(N(CHOOSE(EL121,'Debt List'!$F$5,'Debt List'!$F$6,'Debt List'!$F$7,'Debt List'!$F$8,'Debt List'!$F$9,'Debt List'!$F$10,'Debt List'!$F$11,'Debt List'!$F$12)),N(CHOOSE(EL121,CL121,CP121,CT121,CX121,DB121,DF121,DJ121,DN121))+N(CHOOSE(EL121,CM121,CQ121,CU121,CY121,DC121,DG121,DK121,DO121))))),0))</f>
        <v/>
      </c>
      <c r="EN121">
        <f>MIN(N(EM121),MAX(0,N(EK121)))</f>
        <v/>
      </c>
      <c r="EO121">
        <f>MAX(0,N(EK121)-N(EN121))</f>
        <v/>
      </c>
      <c r="EP121">
        <f>IFERROR(MATCH(7,OrderSnow,0),"")</f>
        <v/>
      </c>
      <c r="EQ121">
        <f>IF(EP121="",0,IFERROR(IF(N(CHOOSE(EP121,CL121,CP121,CT121,CX121,DB121,DF121,DJ121,DN121))&lt;=0.005,0,MAX(0,N(CHOOSE(EP121,CL121,CP121,CT121,CX121,DB121,DF121,DJ121,DN121))+N(CHOOSE(EP121,CM121,CQ121,CU121,CY121,DC121,DG121,DK121,DO121))-MIN(N(CHOOSE(EP121,'Debt List'!$F$5,'Debt List'!$F$6,'Debt List'!$F$7,'Debt List'!$F$8,'Debt List'!$F$9,'Debt List'!$F$10,'Debt List'!$F$11,'Debt List'!$F$12)),N(CHOOSE(EP121,CL121,CP121,CT121,CX121,DB121,DF121,DJ121,DN121))+N(CHOOSE(EP121,CM121,CQ121,CU121,CY121,DC121,DG121,DK121,DO121))))),0))</f>
        <v/>
      </c>
      <c r="ER121">
        <f>MIN(N(EQ121),MAX(0,N(EO121)))</f>
        <v/>
      </c>
      <c r="ES121">
        <f>MAX(0,N(EO121)-N(ER121))</f>
        <v/>
      </c>
      <c r="ET121">
        <f>IFERROR(MATCH(8,OrderSnow,0),"")</f>
        <v/>
      </c>
      <c r="EU121">
        <f>IF(ET121="",0,IFERROR(IF(N(CHOOSE(ET121,CL121,CP121,CT121,CX121,DB121,DF121,DJ121,DN121))&lt;=0.005,0,MAX(0,N(CHOOSE(ET121,CL121,CP121,CT121,CX121,DB121,DF121,DJ121,DN121))+N(CHOOSE(ET121,CM121,CQ121,CU121,CY121,DC121,DG121,DK121,DO121))-MIN(N(CHOOSE(ET121,'Debt List'!$F$5,'Debt List'!$F$6,'Debt List'!$F$7,'Debt List'!$F$8,'Debt List'!$F$9,'Debt List'!$F$10,'Debt List'!$F$11,'Debt List'!$F$12)),N(CHOOSE(ET121,CL121,CP121,CT121,CX121,DB121,DF121,DJ121,DN121))+N(CHOOSE(ET121,CM121,CQ121,CU121,CY121,DC121,DG121,DK121,DO121))))),0))</f>
        <v/>
      </c>
      <c r="EV121">
        <f>MIN(N(EU121),MAX(0,N(ES121)))</f>
        <v/>
      </c>
      <c r="EW121">
        <f>MAX(0,N(ES121)-N(EV121))</f>
        <v/>
      </c>
      <c r="FE121" t="n">
        <v>117</v>
      </c>
      <c r="FF121" s="115">
        <f>DATE(YEAR(PlanStart),MONTH(PlanStart)+FE121-1,1)</f>
        <v/>
      </c>
      <c r="FG121">
        <f>IF(AND(GT121&lt;&gt;"",N(CHOOSE(GT121,FN121,FR121,FV121,FZ121,GD121,GH121,GL121,GP121))&gt;0.005),INDEX(DebtNames,GT121),IF(AND(GX121&lt;&gt;"",N(CHOOSE(GX121,FN121,FR121,FV121,FZ121,GD121,GH121,GL121,GP121))&gt;0.005),INDEX(DebtNames,GX121),IF(AND(HB121&lt;&gt;"",N(CHOOSE(HB121,FN121,FR121,FV121,FZ121,GD121,GH121,GL121,GP121))&gt;0.005),INDEX(DebtNames,HB121),IF(AND(HF121&lt;&gt;"",N(CHOOSE(HF121,FN121,FR121,FV121,FZ121,GD121,GH121,GL121,GP121))&gt;0.005),INDEX(DebtNames,HF121),IF(AND(HJ121&lt;&gt;"",N(CHOOSE(HJ121,FN121,FR121,FV121,FZ121,GD121,GH121,GL121,GP121))&gt;0.005),INDEX(DebtNames,HJ121),IF(AND(HN121&lt;&gt;"",N(CHOOSE(HN121,FN121,FR121,FV121,FZ121,GD121,GH121,GL121,GP121))&gt;0.005),INDEX(DebtNames,HN121),IF(AND(HR121&lt;&gt;"",N(CHOOSE(HR121,FN121,FR121,FV121,FZ121,GD121,GH121,GL121,GP121))&gt;0.005),INDEX(DebtNames,HR121),IF(AND(HV121&lt;&gt;"",N(CHOOSE(HV121,FN121,FR121,FV121,FZ121,GD121,GH121,GL121,GP121))&gt;0.005),INDEX(DebtNames,HV121),""))))))))</f>
        <v/>
      </c>
      <c r="FH121">
        <f>N(HY121)</f>
        <v/>
      </c>
      <c r="FI121">
        <f>N(FP121)+N(FT121)+N(FX121)+N(GB121)+N(GF121)+N(GJ121)+N(GN121)+N(GR121)</f>
        <v/>
      </c>
      <c r="FJ121">
        <f>N(FO121)+N(FS121)+N(FW121)+N(GA121)+N(GE121)+N(GI121)+N(GM121)+N(GQ121)</f>
        <v/>
      </c>
      <c r="FK121">
        <f>N(FK120)+N(FJ121)</f>
        <v/>
      </c>
      <c r="FL121">
        <f>N(FQ121)+N(FU121)+N(FY121)+N(GC121)+N(GG121)+N(GK121)+N(GO121)+N(GS121)</f>
        <v/>
      </c>
      <c r="FM121">
        <f>(FQ121&gt;0.005)*1+(FU121&gt;0.005)*1+(FY121&gt;0.005)*1+(GC121&gt;0.005)*1+(GG121&gt;0.005)*1+(GK121&gt;0.005)*1+(GO121&gt;0.005)*1+(GS121&gt;0.005)*1</f>
        <v/>
      </c>
      <c r="FN121">
        <f>N(FQ120)</f>
        <v/>
      </c>
      <c r="FO121">
        <f>IF(N(FN121)&lt;=0.005,0,ROUND(N(FN121)*N('Debt List'!E5)/12,2))</f>
        <v/>
      </c>
      <c r="FP121">
        <f>IF(N(FN121)&lt;=0.005,0,MIN(N('Debt List'!F5),N(FN121)+N(FO121)))+((GT121=1)*GV121+(GX121=1)*GZ121+(HB121=1)*HD121+(HF121=1)*HH121+(HJ121=1)*HL121+(HN121=1)*HP121+(HR121=1)*HT121+(HV121=1)*HX121)</f>
        <v/>
      </c>
      <c r="FQ121">
        <f>MAX(0,ROUND(N(FN121)+N(FO121)-N(FP121),2))</f>
        <v/>
      </c>
      <c r="FR121">
        <f>N(FU120)</f>
        <v/>
      </c>
      <c r="FS121">
        <f>IF(N(FR121)&lt;=0.005,0,ROUND(N(FR121)*N('Debt List'!E6)/12,2))</f>
        <v/>
      </c>
      <c r="FT121">
        <f>IF(N(FR121)&lt;=0.005,0,MIN(N('Debt List'!F6),N(FR121)+N(FS121)))+((GT121=2)*GV121+(GX121=2)*GZ121+(HB121=2)*HD121+(HF121=2)*HH121+(HJ121=2)*HL121+(HN121=2)*HP121+(HR121=2)*HT121+(HV121=2)*HX121)</f>
        <v/>
      </c>
      <c r="FU121">
        <f>MAX(0,ROUND(N(FR121)+N(FS121)-N(FT121),2))</f>
        <v/>
      </c>
      <c r="FV121">
        <f>N(FY120)</f>
        <v/>
      </c>
      <c r="FW121">
        <f>IF(N(FV121)&lt;=0.005,0,ROUND(N(FV121)*N('Debt List'!E7)/12,2))</f>
        <v/>
      </c>
      <c r="FX121">
        <f>IF(N(FV121)&lt;=0.005,0,MIN(N('Debt List'!F7),N(FV121)+N(FW121)))+((GT121=3)*GV121+(GX121=3)*GZ121+(HB121=3)*HD121+(HF121=3)*HH121+(HJ121=3)*HL121+(HN121=3)*HP121+(HR121=3)*HT121+(HV121=3)*HX121)</f>
        <v/>
      </c>
      <c r="FY121">
        <f>MAX(0,ROUND(N(FV121)+N(FW121)-N(FX121),2))</f>
        <v/>
      </c>
      <c r="FZ121">
        <f>N(GC120)</f>
        <v/>
      </c>
      <c r="GA121">
        <f>IF(N(FZ121)&lt;=0.005,0,ROUND(N(FZ121)*N('Debt List'!E8)/12,2))</f>
        <v/>
      </c>
      <c r="GB121">
        <f>IF(N(FZ121)&lt;=0.005,0,MIN(N('Debt List'!F8),N(FZ121)+N(GA121)))+((GT121=4)*GV121+(GX121=4)*GZ121+(HB121=4)*HD121+(HF121=4)*HH121+(HJ121=4)*HL121+(HN121=4)*HP121+(HR121=4)*HT121+(HV121=4)*HX121)</f>
        <v/>
      </c>
      <c r="GC121">
        <f>MAX(0,ROUND(N(FZ121)+N(GA121)-N(GB121),2))</f>
        <v/>
      </c>
      <c r="GD121">
        <f>N(GG120)</f>
        <v/>
      </c>
      <c r="GE121">
        <f>IF(N(GD121)&lt;=0.005,0,ROUND(N(GD121)*N('Debt List'!E9)/12,2))</f>
        <v/>
      </c>
      <c r="GF121">
        <f>IF(N(GD121)&lt;=0.005,0,MIN(N('Debt List'!F9),N(GD121)+N(GE121)))+((GT121=5)*GV121+(GX121=5)*GZ121+(HB121=5)*HD121+(HF121=5)*HH121+(HJ121=5)*HL121+(HN121=5)*HP121+(HR121=5)*HT121+(HV121=5)*HX121)</f>
        <v/>
      </c>
      <c r="GG121">
        <f>MAX(0,ROUND(N(GD121)+N(GE121)-N(GF121),2))</f>
        <v/>
      </c>
      <c r="GH121">
        <f>N(GK120)</f>
        <v/>
      </c>
      <c r="GI121">
        <f>IF(N(GH121)&lt;=0.005,0,ROUND(N(GH121)*N('Debt List'!E10)/12,2))</f>
        <v/>
      </c>
      <c r="GJ121">
        <f>IF(N(GH121)&lt;=0.005,0,MIN(N('Debt List'!F10),N(GH121)+N(GI121)))+((GT121=6)*GV121+(GX121=6)*GZ121+(HB121=6)*HD121+(HF121=6)*HH121+(HJ121=6)*HL121+(HN121=6)*HP121+(HR121=6)*HT121+(HV121=6)*HX121)</f>
        <v/>
      </c>
      <c r="GK121">
        <f>MAX(0,ROUND(N(GH121)+N(GI121)-N(GJ121),2))</f>
        <v/>
      </c>
      <c r="GL121">
        <f>N(GO120)</f>
        <v/>
      </c>
      <c r="GM121">
        <f>IF(N(GL121)&lt;=0.005,0,ROUND(N(GL121)*N('Debt List'!E11)/12,2))</f>
        <v/>
      </c>
      <c r="GN121">
        <f>IF(N(GL121)&lt;=0.005,0,MIN(N('Debt List'!F11),N(GL121)+N(GM121)))+((GT121=7)*GV121+(GX121=7)*GZ121+(HB121=7)*HD121+(HF121=7)*HH121+(HJ121=7)*HL121+(HN121=7)*HP121+(HR121=7)*HT121+(HV121=7)*HX121)</f>
        <v/>
      </c>
      <c r="GO121">
        <f>MAX(0,ROUND(N(GL121)+N(GM121)-N(GN121),2))</f>
        <v/>
      </c>
      <c r="GP121">
        <f>N(GS120)</f>
        <v/>
      </c>
      <c r="GQ121">
        <f>IF(N(GP121)&lt;=0.005,0,ROUND(N(GP121)*N('Debt List'!E12)/12,2))</f>
        <v/>
      </c>
      <c r="GR121">
        <f>IF(N(GP121)&lt;=0.005,0,MIN(N('Debt List'!F12),N(GP121)+N(GQ121)))+((GT121=8)*GV121+(GX121=8)*GZ121+(HB121=8)*HD121+(HF121=8)*HH121+(HJ121=8)*HL121+(HN121=8)*HP121+(HR121=8)*HT121+(HV121=8)*HX121)</f>
        <v/>
      </c>
      <c r="GS121">
        <f>MAX(0,ROUND(N(GP121)+N(GQ121)-N(GR121),2))</f>
        <v/>
      </c>
      <c r="GT121">
        <f>IFERROR(MATCH(1,OrderAval,0),"")</f>
        <v/>
      </c>
      <c r="GU121">
        <f>IF(GT121="",0,IFERROR(IF(N(CHOOSE(GT121,FN121,FR121,FV121,FZ121,GD121,GH121,GL121,GP121))&lt;=0.005,0,MAX(0,N(CHOOSE(GT121,FN121,FR121,FV121,FZ121,GD121,GH121,GL121,GP121))+N(CHOOSE(GT121,FO121,FS121,FW121,GA121,GE121,GI121,GM121,GQ121))-MIN(N(CHOOSE(GT121,'Debt List'!$F$5,'Debt List'!$F$6,'Debt List'!$F$7,'Debt List'!$F$8,'Debt List'!$F$9,'Debt List'!$F$10,'Debt List'!$F$11,'Debt List'!$F$12)),N(CHOOSE(GT121,FN121,FR121,FV121,FZ121,GD121,GH121,GL121,GP121))+N(CHOOSE(GT121,FO121,FS121,FW121,GA121,GE121,GI121,GM121,GQ121))))),0))</f>
        <v/>
      </c>
      <c r="GV121">
        <f>MIN(N(GU121),MAX(0,N(ExtraPayment)))</f>
        <v/>
      </c>
      <c r="GW121">
        <f>MAX(0,N(ExtraPayment)-N(GV121))</f>
        <v/>
      </c>
      <c r="GX121">
        <f>IFERROR(MATCH(2,OrderAval,0),"")</f>
        <v/>
      </c>
      <c r="GY121">
        <f>IF(GX121="",0,IFERROR(IF(N(CHOOSE(GX121,FN121,FR121,FV121,FZ121,GD121,GH121,GL121,GP121))&lt;=0.005,0,MAX(0,N(CHOOSE(GX121,FN121,FR121,FV121,FZ121,GD121,GH121,GL121,GP121))+N(CHOOSE(GX121,FO121,FS121,FW121,GA121,GE121,GI121,GM121,GQ121))-MIN(N(CHOOSE(GX121,'Debt List'!$F$5,'Debt List'!$F$6,'Debt List'!$F$7,'Debt List'!$F$8,'Debt List'!$F$9,'Debt List'!$F$10,'Debt List'!$F$11,'Debt List'!$F$12)),N(CHOOSE(GX121,FN121,FR121,FV121,FZ121,GD121,GH121,GL121,GP121))+N(CHOOSE(GX121,FO121,FS121,FW121,GA121,GE121,GI121,GM121,GQ121))))),0))</f>
        <v/>
      </c>
      <c r="GZ121">
        <f>MIN(N(GY121),MAX(0,N(GW121)))</f>
        <v/>
      </c>
      <c r="HA121">
        <f>MAX(0,N(GW121)-N(GZ121))</f>
        <v/>
      </c>
      <c r="HB121">
        <f>IFERROR(MATCH(3,OrderAval,0),"")</f>
        <v/>
      </c>
      <c r="HC121">
        <f>IF(HB121="",0,IFERROR(IF(N(CHOOSE(HB121,FN121,FR121,FV121,FZ121,GD121,GH121,GL121,GP121))&lt;=0.005,0,MAX(0,N(CHOOSE(HB121,FN121,FR121,FV121,FZ121,GD121,GH121,GL121,GP121))+N(CHOOSE(HB121,FO121,FS121,FW121,GA121,GE121,GI121,GM121,GQ121))-MIN(N(CHOOSE(HB121,'Debt List'!$F$5,'Debt List'!$F$6,'Debt List'!$F$7,'Debt List'!$F$8,'Debt List'!$F$9,'Debt List'!$F$10,'Debt List'!$F$11,'Debt List'!$F$12)),N(CHOOSE(HB121,FN121,FR121,FV121,FZ121,GD121,GH121,GL121,GP121))+N(CHOOSE(HB121,FO121,FS121,FW121,GA121,GE121,GI121,GM121,GQ121))))),0))</f>
        <v/>
      </c>
      <c r="HD121">
        <f>MIN(N(HC121),MAX(0,N(HA121)))</f>
        <v/>
      </c>
      <c r="HE121">
        <f>MAX(0,N(HA121)-N(HD121))</f>
        <v/>
      </c>
      <c r="HF121">
        <f>IFERROR(MATCH(4,OrderAval,0),"")</f>
        <v/>
      </c>
      <c r="HG121">
        <f>IF(HF121="",0,IFERROR(IF(N(CHOOSE(HF121,FN121,FR121,FV121,FZ121,GD121,GH121,GL121,GP121))&lt;=0.005,0,MAX(0,N(CHOOSE(HF121,FN121,FR121,FV121,FZ121,GD121,GH121,GL121,GP121))+N(CHOOSE(HF121,FO121,FS121,FW121,GA121,GE121,GI121,GM121,GQ121))-MIN(N(CHOOSE(HF121,'Debt List'!$F$5,'Debt List'!$F$6,'Debt List'!$F$7,'Debt List'!$F$8,'Debt List'!$F$9,'Debt List'!$F$10,'Debt List'!$F$11,'Debt List'!$F$12)),N(CHOOSE(HF121,FN121,FR121,FV121,FZ121,GD121,GH121,GL121,GP121))+N(CHOOSE(HF121,FO121,FS121,FW121,GA121,GE121,GI121,GM121,GQ121))))),0))</f>
        <v/>
      </c>
      <c r="HH121">
        <f>MIN(N(HG121),MAX(0,N(HE121)))</f>
        <v/>
      </c>
      <c r="HI121">
        <f>MAX(0,N(HE121)-N(HH121))</f>
        <v/>
      </c>
      <c r="HJ121">
        <f>IFERROR(MATCH(5,OrderAval,0),"")</f>
        <v/>
      </c>
      <c r="HK121">
        <f>IF(HJ121="",0,IFERROR(IF(N(CHOOSE(HJ121,FN121,FR121,FV121,FZ121,GD121,GH121,GL121,GP121))&lt;=0.005,0,MAX(0,N(CHOOSE(HJ121,FN121,FR121,FV121,FZ121,GD121,GH121,GL121,GP121))+N(CHOOSE(HJ121,FO121,FS121,FW121,GA121,GE121,GI121,GM121,GQ121))-MIN(N(CHOOSE(HJ121,'Debt List'!$F$5,'Debt List'!$F$6,'Debt List'!$F$7,'Debt List'!$F$8,'Debt List'!$F$9,'Debt List'!$F$10,'Debt List'!$F$11,'Debt List'!$F$12)),N(CHOOSE(HJ121,FN121,FR121,FV121,FZ121,GD121,GH121,GL121,GP121))+N(CHOOSE(HJ121,FO121,FS121,FW121,GA121,GE121,GI121,GM121,GQ121))))),0))</f>
        <v/>
      </c>
      <c r="HL121">
        <f>MIN(N(HK121),MAX(0,N(HI121)))</f>
        <v/>
      </c>
      <c r="HM121">
        <f>MAX(0,N(HI121)-N(HL121))</f>
        <v/>
      </c>
      <c r="HN121">
        <f>IFERROR(MATCH(6,OrderAval,0),"")</f>
        <v/>
      </c>
      <c r="HO121">
        <f>IF(HN121="",0,IFERROR(IF(N(CHOOSE(HN121,FN121,FR121,FV121,FZ121,GD121,GH121,GL121,GP121))&lt;=0.005,0,MAX(0,N(CHOOSE(HN121,FN121,FR121,FV121,FZ121,GD121,GH121,GL121,GP121))+N(CHOOSE(HN121,FO121,FS121,FW121,GA121,GE121,GI121,GM121,GQ121))-MIN(N(CHOOSE(HN121,'Debt List'!$F$5,'Debt List'!$F$6,'Debt List'!$F$7,'Debt List'!$F$8,'Debt List'!$F$9,'Debt List'!$F$10,'Debt List'!$F$11,'Debt List'!$F$12)),N(CHOOSE(HN121,FN121,FR121,FV121,FZ121,GD121,GH121,GL121,GP121))+N(CHOOSE(HN121,FO121,FS121,FW121,GA121,GE121,GI121,GM121,GQ121))))),0))</f>
        <v/>
      </c>
      <c r="HP121">
        <f>MIN(N(HO121),MAX(0,N(HM121)))</f>
        <v/>
      </c>
      <c r="HQ121">
        <f>MAX(0,N(HM121)-N(HP121))</f>
        <v/>
      </c>
      <c r="HR121">
        <f>IFERROR(MATCH(7,OrderAval,0),"")</f>
        <v/>
      </c>
      <c r="HS121">
        <f>IF(HR121="",0,IFERROR(IF(N(CHOOSE(HR121,FN121,FR121,FV121,FZ121,GD121,GH121,GL121,GP121))&lt;=0.005,0,MAX(0,N(CHOOSE(HR121,FN121,FR121,FV121,FZ121,GD121,GH121,GL121,GP121))+N(CHOOSE(HR121,FO121,FS121,FW121,GA121,GE121,GI121,GM121,GQ121))-MIN(N(CHOOSE(HR121,'Debt List'!$F$5,'Debt List'!$F$6,'Debt List'!$F$7,'Debt List'!$F$8,'Debt List'!$F$9,'Debt List'!$F$10,'Debt List'!$F$11,'Debt List'!$F$12)),N(CHOOSE(HR121,FN121,FR121,FV121,FZ121,GD121,GH121,GL121,GP121))+N(CHOOSE(HR121,FO121,FS121,FW121,GA121,GE121,GI121,GM121,GQ121))))),0))</f>
        <v/>
      </c>
      <c r="HT121">
        <f>MIN(N(HS121),MAX(0,N(HQ121)))</f>
        <v/>
      </c>
      <c r="HU121">
        <f>MAX(0,N(HQ121)-N(HT121))</f>
        <v/>
      </c>
      <c r="HV121">
        <f>IFERROR(MATCH(8,OrderAval,0),"")</f>
        <v/>
      </c>
      <c r="HW121">
        <f>IF(HV121="",0,IFERROR(IF(N(CHOOSE(HV121,FN121,FR121,FV121,FZ121,GD121,GH121,GL121,GP121))&lt;=0.005,0,MAX(0,N(CHOOSE(HV121,FN121,FR121,FV121,FZ121,GD121,GH121,GL121,GP121))+N(CHOOSE(HV121,FO121,FS121,FW121,GA121,GE121,GI121,GM121,GQ121))-MIN(N(CHOOSE(HV121,'Debt List'!$F$5,'Debt List'!$F$6,'Debt List'!$F$7,'Debt List'!$F$8,'Debt List'!$F$9,'Debt List'!$F$10,'Debt List'!$F$11,'Debt List'!$F$12)),N(CHOOSE(HV121,FN121,FR121,FV121,FZ121,GD121,GH121,GL121,GP121))+N(CHOOSE(HV121,FO121,FS121,FW121,GA121,GE121,GI121,GM121,GQ121))))),0))</f>
        <v/>
      </c>
      <c r="HX121">
        <f>MIN(N(HW121),MAX(0,N(HU121)))</f>
        <v/>
      </c>
      <c r="HY121">
        <f>MAX(0,N(HU121)-N(HX121))</f>
        <v/>
      </c>
    </row>
    <row r="122">
      <c r="A122" t="n">
        <v>118</v>
      </c>
      <c r="B122" s="115">
        <f>DATE(YEAR(PlanStart),MONTH(PlanStart)+A122-1,1)</f>
        <v/>
      </c>
      <c r="C122">
        <f>IF(AND(AP122&lt;&gt;"",N(CHOOSE(AP122,J122,N122,R122,V122,Z122,AD122,AH122,AL122))&gt;0.005),INDEX(DebtNames,AP122),IF(AND(AT122&lt;&gt;"",N(CHOOSE(AT122,J122,N122,R122,V122,Z122,AD122,AH122,AL122))&gt;0.005),INDEX(DebtNames,AT122),IF(AND(AX122&lt;&gt;"",N(CHOOSE(AX122,J122,N122,R122,V122,Z122,AD122,AH122,AL122))&gt;0.005),INDEX(DebtNames,AX122),IF(AND(BB122&lt;&gt;"",N(CHOOSE(BB122,J122,N122,R122,V122,Z122,AD122,AH122,AL122))&gt;0.005),INDEX(DebtNames,BB122),IF(AND(BF122&lt;&gt;"",N(CHOOSE(BF122,J122,N122,R122,V122,Z122,AD122,AH122,AL122))&gt;0.005),INDEX(DebtNames,BF122),IF(AND(BJ122&lt;&gt;"",N(CHOOSE(BJ122,J122,N122,R122,V122,Z122,AD122,AH122,AL122))&gt;0.005),INDEX(DebtNames,BJ122),IF(AND(BN122&lt;&gt;"",N(CHOOSE(BN122,J122,N122,R122,V122,Z122,AD122,AH122,AL122))&gt;0.005),INDEX(DebtNames,BN122),IF(AND(BR122&lt;&gt;"",N(CHOOSE(BR122,J122,N122,R122,V122,Z122,AD122,AH122,AL122))&gt;0.005),INDEX(DebtNames,BR122),""))))))))</f>
        <v/>
      </c>
      <c r="D122">
        <f>N(BU122)</f>
        <v/>
      </c>
      <c r="E122">
        <f>N(L122)+N(P122)+N(T122)+N(X122)+N(AB122)+N(AF122)+N(AJ122)+N(AN122)</f>
        <v/>
      </c>
      <c r="F122">
        <f>N(K122)+N(O122)+N(S122)+N(W122)+N(AA122)+N(AE122)+N(AI122)+N(AM122)</f>
        <v/>
      </c>
      <c r="G122">
        <f>N(G121)+N(F122)</f>
        <v/>
      </c>
      <c r="H122">
        <f>N(M122)+N(Q122)+N(U122)+N(Y122)+N(AC122)+N(AG122)+N(AK122)+N(AO122)</f>
        <v/>
      </c>
      <c r="I122">
        <f>(M122&gt;0.005)*1+(Q122&gt;0.005)*1+(U122&gt;0.005)*1+(Y122&gt;0.005)*1+(AC122&gt;0.005)*1+(AG122&gt;0.005)*1+(AK122&gt;0.005)*1+(AO122&gt;0.005)*1</f>
        <v/>
      </c>
      <c r="J122">
        <f>N(M121)</f>
        <v/>
      </c>
      <c r="K122">
        <f>IF(N(J122)&lt;=0.005,0,ROUND(N(J122)*N('Debt List'!E5)/12,2))</f>
        <v/>
      </c>
      <c r="L122">
        <f>IF(N(J122)&lt;=0.005,0,MIN(N('Debt List'!F5),N(J122)+N(K122)))+((AP122=1)*AR122+(AT122=1)*AV122+(AX122=1)*AZ122+(BB122=1)*BD122+(BF122=1)*BH122+(BJ122=1)*BL122+(BN122=1)*BP122+(BR122=1)*BT122)</f>
        <v/>
      </c>
      <c r="M122">
        <f>MAX(0,ROUND(N(J122)+N(K122)-N(L122),2))</f>
        <v/>
      </c>
      <c r="N122">
        <f>N(Q121)</f>
        <v/>
      </c>
      <c r="O122">
        <f>IF(N(N122)&lt;=0.005,0,ROUND(N(N122)*N('Debt List'!E6)/12,2))</f>
        <v/>
      </c>
      <c r="P122">
        <f>IF(N(N122)&lt;=0.005,0,MIN(N('Debt List'!F6),N(N122)+N(O122)))+((AP122=2)*AR122+(AT122=2)*AV122+(AX122=2)*AZ122+(BB122=2)*BD122+(BF122=2)*BH122+(BJ122=2)*BL122+(BN122=2)*BP122+(BR122=2)*BT122)</f>
        <v/>
      </c>
      <c r="Q122">
        <f>MAX(0,ROUND(N(N122)+N(O122)-N(P122),2))</f>
        <v/>
      </c>
      <c r="R122">
        <f>N(U121)</f>
        <v/>
      </c>
      <c r="S122">
        <f>IF(N(R122)&lt;=0.005,0,ROUND(N(R122)*N('Debt List'!E7)/12,2))</f>
        <v/>
      </c>
      <c r="T122">
        <f>IF(N(R122)&lt;=0.005,0,MIN(N('Debt List'!F7),N(R122)+N(S122)))+((AP122=3)*AR122+(AT122=3)*AV122+(AX122=3)*AZ122+(BB122=3)*BD122+(BF122=3)*BH122+(BJ122=3)*BL122+(BN122=3)*BP122+(BR122=3)*BT122)</f>
        <v/>
      </c>
      <c r="U122">
        <f>MAX(0,ROUND(N(R122)+N(S122)-N(T122),2))</f>
        <v/>
      </c>
      <c r="V122">
        <f>N(Y121)</f>
        <v/>
      </c>
      <c r="W122">
        <f>IF(N(V122)&lt;=0.005,0,ROUND(N(V122)*N('Debt List'!E8)/12,2))</f>
        <v/>
      </c>
      <c r="X122">
        <f>IF(N(V122)&lt;=0.005,0,MIN(N('Debt List'!F8),N(V122)+N(W122)))+((AP122=4)*AR122+(AT122=4)*AV122+(AX122=4)*AZ122+(BB122=4)*BD122+(BF122=4)*BH122+(BJ122=4)*BL122+(BN122=4)*BP122+(BR122=4)*BT122)</f>
        <v/>
      </c>
      <c r="Y122">
        <f>MAX(0,ROUND(N(V122)+N(W122)-N(X122),2))</f>
        <v/>
      </c>
      <c r="Z122">
        <f>N(AC121)</f>
        <v/>
      </c>
      <c r="AA122">
        <f>IF(N(Z122)&lt;=0.005,0,ROUND(N(Z122)*N('Debt List'!E9)/12,2))</f>
        <v/>
      </c>
      <c r="AB122">
        <f>IF(N(Z122)&lt;=0.005,0,MIN(N('Debt List'!F9),N(Z122)+N(AA122)))+((AP122=5)*AR122+(AT122=5)*AV122+(AX122=5)*AZ122+(BB122=5)*BD122+(BF122=5)*BH122+(BJ122=5)*BL122+(BN122=5)*BP122+(BR122=5)*BT122)</f>
        <v/>
      </c>
      <c r="AC122">
        <f>MAX(0,ROUND(N(Z122)+N(AA122)-N(AB122),2))</f>
        <v/>
      </c>
      <c r="AD122">
        <f>N(AG121)</f>
        <v/>
      </c>
      <c r="AE122">
        <f>IF(N(AD122)&lt;=0.005,0,ROUND(N(AD122)*N('Debt List'!E10)/12,2))</f>
        <v/>
      </c>
      <c r="AF122">
        <f>IF(N(AD122)&lt;=0.005,0,MIN(N('Debt List'!F10),N(AD122)+N(AE122)))+((AP122=6)*AR122+(AT122=6)*AV122+(AX122=6)*AZ122+(BB122=6)*BD122+(BF122=6)*BH122+(BJ122=6)*BL122+(BN122=6)*BP122+(BR122=6)*BT122)</f>
        <v/>
      </c>
      <c r="AG122">
        <f>MAX(0,ROUND(N(AD122)+N(AE122)-N(AF122),2))</f>
        <v/>
      </c>
      <c r="AH122">
        <f>N(AK121)</f>
        <v/>
      </c>
      <c r="AI122">
        <f>IF(N(AH122)&lt;=0.005,0,ROUND(N(AH122)*N('Debt List'!E11)/12,2))</f>
        <v/>
      </c>
      <c r="AJ122">
        <f>IF(N(AH122)&lt;=0.005,0,MIN(N('Debt List'!F11),N(AH122)+N(AI122)))+((AP122=7)*AR122+(AT122=7)*AV122+(AX122=7)*AZ122+(BB122=7)*BD122+(BF122=7)*BH122+(BJ122=7)*BL122+(BN122=7)*BP122+(BR122=7)*BT122)</f>
        <v/>
      </c>
      <c r="AK122">
        <f>MAX(0,ROUND(N(AH122)+N(AI122)-N(AJ122),2))</f>
        <v/>
      </c>
      <c r="AL122">
        <f>N(AO121)</f>
        <v/>
      </c>
      <c r="AM122">
        <f>IF(N(AL122)&lt;=0.005,0,ROUND(N(AL122)*N('Debt List'!E12)/12,2))</f>
        <v/>
      </c>
      <c r="AN122">
        <f>IF(N(AL122)&lt;=0.005,0,MIN(N('Debt List'!F12),N(AL122)+N(AM122)))+((AP122=8)*AR122+(AT122=8)*AV122+(AX122=8)*AZ122+(BB122=8)*BD122+(BF122=8)*BH122+(BJ122=8)*BL122+(BN122=8)*BP122+(BR122=8)*BT122)</f>
        <v/>
      </c>
      <c r="AO122">
        <f>MAX(0,ROUND(N(AL122)+N(AM122)-N(AN122),2))</f>
        <v/>
      </c>
      <c r="AP122">
        <f>IFERROR(MATCH(1,OrderPlan,0),"")</f>
        <v/>
      </c>
      <c r="AQ122">
        <f>IF(AP122="",0,IFERROR(IF(N(CHOOSE(AP122,J122,N122,R122,V122,Z122,AD122,AH122,AL122))&lt;=0.005,0,MAX(0,N(CHOOSE(AP122,J122,N122,R122,V122,Z122,AD122,AH122,AL122))+N(CHOOSE(AP122,K122,O122,S122,W122,AA122,AE122,AI122,AM122))-MIN(N(CHOOSE(AP122,'Debt List'!$F$5,'Debt List'!$F$6,'Debt List'!$F$7,'Debt List'!$F$8,'Debt List'!$F$9,'Debt List'!$F$10,'Debt List'!$F$11,'Debt List'!$F$12)),N(CHOOSE(AP122,J122,N122,R122,V122,Z122,AD122,AH122,AL122))+N(CHOOSE(AP122,K122,O122,S122,W122,AA122,AE122,AI122,AM122))))),0))</f>
        <v/>
      </c>
      <c r="AR122">
        <f>MIN(N(AQ122),MAX(0,N(ExtraPayment)))</f>
        <v/>
      </c>
      <c r="AS122">
        <f>MAX(0,N(ExtraPayment)-N(AR122))</f>
        <v/>
      </c>
      <c r="AT122">
        <f>IFERROR(MATCH(2,OrderPlan,0),"")</f>
        <v/>
      </c>
      <c r="AU122">
        <f>IF(AT122="",0,IFERROR(IF(N(CHOOSE(AT122,J122,N122,R122,V122,Z122,AD122,AH122,AL122))&lt;=0.005,0,MAX(0,N(CHOOSE(AT122,J122,N122,R122,V122,Z122,AD122,AH122,AL122))+N(CHOOSE(AT122,K122,O122,S122,W122,AA122,AE122,AI122,AM122))-MIN(N(CHOOSE(AT122,'Debt List'!$F$5,'Debt List'!$F$6,'Debt List'!$F$7,'Debt List'!$F$8,'Debt List'!$F$9,'Debt List'!$F$10,'Debt List'!$F$11,'Debt List'!$F$12)),N(CHOOSE(AT122,J122,N122,R122,V122,Z122,AD122,AH122,AL122))+N(CHOOSE(AT122,K122,O122,S122,W122,AA122,AE122,AI122,AM122))))),0))</f>
        <v/>
      </c>
      <c r="AV122">
        <f>MIN(N(AU122),MAX(0,N(AS122)))</f>
        <v/>
      </c>
      <c r="AW122">
        <f>MAX(0,N(AS122)-N(AV122))</f>
        <v/>
      </c>
      <c r="AX122">
        <f>IFERROR(MATCH(3,OrderPlan,0),"")</f>
        <v/>
      </c>
      <c r="AY122">
        <f>IF(AX122="",0,IFERROR(IF(N(CHOOSE(AX122,J122,N122,R122,V122,Z122,AD122,AH122,AL122))&lt;=0.005,0,MAX(0,N(CHOOSE(AX122,J122,N122,R122,V122,Z122,AD122,AH122,AL122))+N(CHOOSE(AX122,K122,O122,S122,W122,AA122,AE122,AI122,AM122))-MIN(N(CHOOSE(AX122,'Debt List'!$F$5,'Debt List'!$F$6,'Debt List'!$F$7,'Debt List'!$F$8,'Debt List'!$F$9,'Debt List'!$F$10,'Debt List'!$F$11,'Debt List'!$F$12)),N(CHOOSE(AX122,J122,N122,R122,V122,Z122,AD122,AH122,AL122))+N(CHOOSE(AX122,K122,O122,S122,W122,AA122,AE122,AI122,AM122))))),0))</f>
        <v/>
      </c>
      <c r="AZ122">
        <f>MIN(N(AY122),MAX(0,N(AW122)))</f>
        <v/>
      </c>
      <c r="BA122">
        <f>MAX(0,N(AW122)-N(AZ122))</f>
        <v/>
      </c>
      <c r="BB122">
        <f>IFERROR(MATCH(4,OrderPlan,0),"")</f>
        <v/>
      </c>
      <c r="BC122">
        <f>IF(BB122="",0,IFERROR(IF(N(CHOOSE(BB122,J122,N122,R122,V122,Z122,AD122,AH122,AL122))&lt;=0.005,0,MAX(0,N(CHOOSE(BB122,J122,N122,R122,V122,Z122,AD122,AH122,AL122))+N(CHOOSE(BB122,K122,O122,S122,W122,AA122,AE122,AI122,AM122))-MIN(N(CHOOSE(BB122,'Debt List'!$F$5,'Debt List'!$F$6,'Debt List'!$F$7,'Debt List'!$F$8,'Debt List'!$F$9,'Debt List'!$F$10,'Debt List'!$F$11,'Debt List'!$F$12)),N(CHOOSE(BB122,J122,N122,R122,V122,Z122,AD122,AH122,AL122))+N(CHOOSE(BB122,K122,O122,S122,W122,AA122,AE122,AI122,AM122))))),0))</f>
        <v/>
      </c>
      <c r="BD122">
        <f>MIN(N(BC122),MAX(0,N(BA122)))</f>
        <v/>
      </c>
      <c r="BE122">
        <f>MAX(0,N(BA122)-N(BD122))</f>
        <v/>
      </c>
      <c r="BF122">
        <f>IFERROR(MATCH(5,OrderPlan,0),"")</f>
        <v/>
      </c>
      <c r="BG122">
        <f>IF(BF122="",0,IFERROR(IF(N(CHOOSE(BF122,J122,N122,R122,V122,Z122,AD122,AH122,AL122))&lt;=0.005,0,MAX(0,N(CHOOSE(BF122,J122,N122,R122,V122,Z122,AD122,AH122,AL122))+N(CHOOSE(BF122,K122,O122,S122,W122,AA122,AE122,AI122,AM122))-MIN(N(CHOOSE(BF122,'Debt List'!$F$5,'Debt List'!$F$6,'Debt List'!$F$7,'Debt List'!$F$8,'Debt List'!$F$9,'Debt List'!$F$10,'Debt List'!$F$11,'Debt List'!$F$12)),N(CHOOSE(BF122,J122,N122,R122,V122,Z122,AD122,AH122,AL122))+N(CHOOSE(BF122,K122,O122,S122,W122,AA122,AE122,AI122,AM122))))),0))</f>
        <v/>
      </c>
      <c r="BH122">
        <f>MIN(N(BG122),MAX(0,N(BE122)))</f>
        <v/>
      </c>
      <c r="BI122">
        <f>MAX(0,N(BE122)-N(BH122))</f>
        <v/>
      </c>
      <c r="BJ122">
        <f>IFERROR(MATCH(6,OrderPlan,0),"")</f>
        <v/>
      </c>
      <c r="BK122">
        <f>IF(BJ122="",0,IFERROR(IF(N(CHOOSE(BJ122,J122,N122,R122,V122,Z122,AD122,AH122,AL122))&lt;=0.005,0,MAX(0,N(CHOOSE(BJ122,J122,N122,R122,V122,Z122,AD122,AH122,AL122))+N(CHOOSE(BJ122,K122,O122,S122,W122,AA122,AE122,AI122,AM122))-MIN(N(CHOOSE(BJ122,'Debt List'!$F$5,'Debt List'!$F$6,'Debt List'!$F$7,'Debt List'!$F$8,'Debt List'!$F$9,'Debt List'!$F$10,'Debt List'!$F$11,'Debt List'!$F$12)),N(CHOOSE(BJ122,J122,N122,R122,V122,Z122,AD122,AH122,AL122))+N(CHOOSE(BJ122,K122,O122,S122,W122,AA122,AE122,AI122,AM122))))),0))</f>
        <v/>
      </c>
      <c r="BL122">
        <f>MIN(N(BK122),MAX(0,N(BI122)))</f>
        <v/>
      </c>
      <c r="BM122">
        <f>MAX(0,N(BI122)-N(BL122))</f>
        <v/>
      </c>
      <c r="BN122">
        <f>IFERROR(MATCH(7,OrderPlan,0),"")</f>
        <v/>
      </c>
      <c r="BO122">
        <f>IF(BN122="",0,IFERROR(IF(N(CHOOSE(BN122,J122,N122,R122,V122,Z122,AD122,AH122,AL122))&lt;=0.005,0,MAX(0,N(CHOOSE(BN122,J122,N122,R122,V122,Z122,AD122,AH122,AL122))+N(CHOOSE(BN122,K122,O122,S122,W122,AA122,AE122,AI122,AM122))-MIN(N(CHOOSE(BN122,'Debt List'!$F$5,'Debt List'!$F$6,'Debt List'!$F$7,'Debt List'!$F$8,'Debt List'!$F$9,'Debt List'!$F$10,'Debt List'!$F$11,'Debt List'!$F$12)),N(CHOOSE(BN122,J122,N122,R122,V122,Z122,AD122,AH122,AL122))+N(CHOOSE(BN122,K122,O122,S122,W122,AA122,AE122,AI122,AM122))))),0))</f>
        <v/>
      </c>
      <c r="BP122">
        <f>MIN(N(BO122),MAX(0,N(BM122)))</f>
        <v/>
      </c>
      <c r="BQ122">
        <f>MAX(0,N(BM122)-N(BP122))</f>
        <v/>
      </c>
      <c r="BR122">
        <f>IFERROR(MATCH(8,OrderPlan,0),"")</f>
        <v/>
      </c>
      <c r="BS122">
        <f>IF(BR122="",0,IFERROR(IF(N(CHOOSE(BR122,J122,N122,R122,V122,Z122,AD122,AH122,AL122))&lt;=0.005,0,MAX(0,N(CHOOSE(BR122,J122,N122,R122,V122,Z122,AD122,AH122,AL122))+N(CHOOSE(BR122,K122,O122,S122,W122,AA122,AE122,AI122,AM122))-MIN(N(CHOOSE(BR122,'Debt List'!$F$5,'Debt List'!$F$6,'Debt List'!$F$7,'Debt List'!$F$8,'Debt List'!$F$9,'Debt List'!$F$10,'Debt List'!$F$11,'Debt List'!$F$12)),N(CHOOSE(BR122,J122,N122,R122,V122,Z122,AD122,AH122,AL122))+N(CHOOSE(BR122,K122,O122,S122,W122,AA122,AE122,AI122,AM122))))),0))</f>
        <v/>
      </c>
      <c r="BT122">
        <f>MIN(N(BS122),MAX(0,N(BQ122)))</f>
        <v/>
      </c>
      <c r="BU122">
        <f>MAX(0,N(BQ122)-N(BT122))</f>
        <v/>
      </c>
      <c r="CC122" t="n">
        <v>118</v>
      </c>
      <c r="CD122" s="115">
        <f>DATE(YEAR(PlanStart),MONTH(PlanStart)+CC122-1,1)</f>
        <v/>
      </c>
      <c r="CE122">
        <f>IF(AND(DR122&lt;&gt;"",N(CHOOSE(DR122,CL122,CP122,CT122,CX122,DB122,DF122,DJ122,DN122))&gt;0.005),INDEX(DebtNames,DR122),IF(AND(DV122&lt;&gt;"",N(CHOOSE(DV122,CL122,CP122,CT122,CX122,DB122,DF122,DJ122,DN122))&gt;0.005),INDEX(DebtNames,DV122),IF(AND(DZ122&lt;&gt;"",N(CHOOSE(DZ122,CL122,CP122,CT122,CX122,DB122,DF122,DJ122,DN122))&gt;0.005),INDEX(DebtNames,DZ122),IF(AND(ED122&lt;&gt;"",N(CHOOSE(ED122,CL122,CP122,CT122,CX122,DB122,DF122,DJ122,DN122))&gt;0.005),INDEX(DebtNames,ED122),IF(AND(EH122&lt;&gt;"",N(CHOOSE(EH122,CL122,CP122,CT122,CX122,DB122,DF122,DJ122,DN122))&gt;0.005),INDEX(DebtNames,EH122),IF(AND(EL122&lt;&gt;"",N(CHOOSE(EL122,CL122,CP122,CT122,CX122,DB122,DF122,DJ122,DN122))&gt;0.005),INDEX(DebtNames,EL122),IF(AND(EP122&lt;&gt;"",N(CHOOSE(EP122,CL122,CP122,CT122,CX122,DB122,DF122,DJ122,DN122))&gt;0.005),INDEX(DebtNames,EP122),IF(AND(ET122&lt;&gt;"",N(CHOOSE(ET122,CL122,CP122,CT122,CX122,DB122,DF122,DJ122,DN122))&gt;0.005),INDEX(DebtNames,ET122),""))))))))</f>
        <v/>
      </c>
      <c r="CF122">
        <f>N(EW122)</f>
        <v/>
      </c>
      <c r="CG122">
        <f>N(CN122)+N(CR122)+N(CV122)+N(CZ122)+N(DD122)+N(DH122)+N(DL122)+N(DP122)</f>
        <v/>
      </c>
      <c r="CH122">
        <f>N(CM122)+N(CQ122)+N(CU122)+N(CY122)+N(DC122)+N(DG122)+N(DK122)+N(DO122)</f>
        <v/>
      </c>
      <c r="CI122">
        <f>N(CI121)+N(CH122)</f>
        <v/>
      </c>
      <c r="CJ122">
        <f>N(CO122)+N(CS122)+N(CW122)+N(DA122)+N(DE122)+N(DI122)+N(DM122)+N(DQ122)</f>
        <v/>
      </c>
      <c r="CK122">
        <f>(CO122&gt;0.005)*1+(CS122&gt;0.005)*1+(CW122&gt;0.005)*1+(DA122&gt;0.005)*1+(DE122&gt;0.005)*1+(DI122&gt;0.005)*1+(DM122&gt;0.005)*1+(DQ122&gt;0.005)*1</f>
        <v/>
      </c>
      <c r="CL122">
        <f>N(CO121)</f>
        <v/>
      </c>
      <c r="CM122">
        <f>IF(N(CL122)&lt;=0.005,0,ROUND(N(CL122)*N('Debt List'!E5)/12,2))</f>
        <v/>
      </c>
      <c r="CN122">
        <f>IF(N(CL122)&lt;=0.005,0,MIN(N('Debt List'!F5),N(CL122)+N(CM122)))+((DR122=1)*DT122+(DV122=1)*DX122+(DZ122=1)*EB122+(ED122=1)*EF122+(EH122=1)*EJ122+(EL122=1)*EN122+(EP122=1)*ER122+(ET122=1)*EV122)</f>
        <v/>
      </c>
      <c r="CO122">
        <f>MAX(0,ROUND(N(CL122)+N(CM122)-N(CN122),2))</f>
        <v/>
      </c>
      <c r="CP122">
        <f>N(CS121)</f>
        <v/>
      </c>
      <c r="CQ122">
        <f>IF(N(CP122)&lt;=0.005,0,ROUND(N(CP122)*N('Debt List'!E6)/12,2))</f>
        <v/>
      </c>
      <c r="CR122">
        <f>IF(N(CP122)&lt;=0.005,0,MIN(N('Debt List'!F6),N(CP122)+N(CQ122)))+((DR122=2)*DT122+(DV122=2)*DX122+(DZ122=2)*EB122+(ED122=2)*EF122+(EH122=2)*EJ122+(EL122=2)*EN122+(EP122=2)*ER122+(ET122=2)*EV122)</f>
        <v/>
      </c>
      <c r="CS122">
        <f>MAX(0,ROUND(N(CP122)+N(CQ122)-N(CR122),2))</f>
        <v/>
      </c>
      <c r="CT122">
        <f>N(CW121)</f>
        <v/>
      </c>
      <c r="CU122">
        <f>IF(N(CT122)&lt;=0.005,0,ROUND(N(CT122)*N('Debt List'!E7)/12,2))</f>
        <v/>
      </c>
      <c r="CV122">
        <f>IF(N(CT122)&lt;=0.005,0,MIN(N('Debt List'!F7),N(CT122)+N(CU122)))+((DR122=3)*DT122+(DV122=3)*DX122+(DZ122=3)*EB122+(ED122=3)*EF122+(EH122=3)*EJ122+(EL122=3)*EN122+(EP122=3)*ER122+(ET122=3)*EV122)</f>
        <v/>
      </c>
      <c r="CW122">
        <f>MAX(0,ROUND(N(CT122)+N(CU122)-N(CV122),2))</f>
        <v/>
      </c>
      <c r="CX122">
        <f>N(DA121)</f>
        <v/>
      </c>
      <c r="CY122">
        <f>IF(N(CX122)&lt;=0.005,0,ROUND(N(CX122)*N('Debt List'!E8)/12,2))</f>
        <v/>
      </c>
      <c r="CZ122">
        <f>IF(N(CX122)&lt;=0.005,0,MIN(N('Debt List'!F8),N(CX122)+N(CY122)))+((DR122=4)*DT122+(DV122=4)*DX122+(DZ122=4)*EB122+(ED122=4)*EF122+(EH122=4)*EJ122+(EL122=4)*EN122+(EP122=4)*ER122+(ET122=4)*EV122)</f>
        <v/>
      </c>
      <c r="DA122">
        <f>MAX(0,ROUND(N(CX122)+N(CY122)-N(CZ122),2))</f>
        <v/>
      </c>
      <c r="DB122">
        <f>N(DE121)</f>
        <v/>
      </c>
      <c r="DC122">
        <f>IF(N(DB122)&lt;=0.005,0,ROUND(N(DB122)*N('Debt List'!E9)/12,2))</f>
        <v/>
      </c>
      <c r="DD122">
        <f>IF(N(DB122)&lt;=0.005,0,MIN(N('Debt List'!F9),N(DB122)+N(DC122)))+((DR122=5)*DT122+(DV122=5)*DX122+(DZ122=5)*EB122+(ED122=5)*EF122+(EH122=5)*EJ122+(EL122=5)*EN122+(EP122=5)*ER122+(ET122=5)*EV122)</f>
        <v/>
      </c>
      <c r="DE122">
        <f>MAX(0,ROUND(N(DB122)+N(DC122)-N(DD122),2))</f>
        <v/>
      </c>
      <c r="DF122">
        <f>N(DI121)</f>
        <v/>
      </c>
      <c r="DG122">
        <f>IF(N(DF122)&lt;=0.005,0,ROUND(N(DF122)*N('Debt List'!E10)/12,2))</f>
        <v/>
      </c>
      <c r="DH122">
        <f>IF(N(DF122)&lt;=0.005,0,MIN(N('Debt List'!F10),N(DF122)+N(DG122)))+((DR122=6)*DT122+(DV122=6)*DX122+(DZ122=6)*EB122+(ED122=6)*EF122+(EH122=6)*EJ122+(EL122=6)*EN122+(EP122=6)*ER122+(ET122=6)*EV122)</f>
        <v/>
      </c>
      <c r="DI122">
        <f>MAX(0,ROUND(N(DF122)+N(DG122)-N(DH122),2))</f>
        <v/>
      </c>
      <c r="DJ122">
        <f>N(DM121)</f>
        <v/>
      </c>
      <c r="DK122">
        <f>IF(N(DJ122)&lt;=0.005,0,ROUND(N(DJ122)*N('Debt List'!E11)/12,2))</f>
        <v/>
      </c>
      <c r="DL122">
        <f>IF(N(DJ122)&lt;=0.005,0,MIN(N('Debt List'!F11),N(DJ122)+N(DK122)))+((DR122=7)*DT122+(DV122=7)*DX122+(DZ122=7)*EB122+(ED122=7)*EF122+(EH122=7)*EJ122+(EL122=7)*EN122+(EP122=7)*ER122+(ET122=7)*EV122)</f>
        <v/>
      </c>
      <c r="DM122">
        <f>MAX(0,ROUND(N(DJ122)+N(DK122)-N(DL122),2))</f>
        <v/>
      </c>
      <c r="DN122">
        <f>N(DQ121)</f>
        <v/>
      </c>
      <c r="DO122">
        <f>IF(N(DN122)&lt;=0.005,0,ROUND(N(DN122)*N('Debt List'!E12)/12,2))</f>
        <v/>
      </c>
      <c r="DP122">
        <f>IF(N(DN122)&lt;=0.005,0,MIN(N('Debt List'!F12),N(DN122)+N(DO122)))+((DR122=8)*DT122+(DV122=8)*DX122+(DZ122=8)*EB122+(ED122=8)*EF122+(EH122=8)*EJ122+(EL122=8)*EN122+(EP122=8)*ER122+(ET122=8)*EV122)</f>
        <v/>
      </c>
      <c r="DQ122">
        <f>MAX(0,ROUND(N(DN122)+N(DO122)-N(DP122),2))</f>
        <v/>
      </c>
      <c r="DR122">
        <f>IFERROR(MATCH(1,OrderSnow,0),"")</f>
        <v/>
      </c>
      <c r="DS122">
        <f>IF(DR122="",0,IFERROR(IF(N(CHOOSE(DR122,CL122,CP122,CT122,CX122,DB122,DF122,DJ122,DN122))&lt;=0.005,0,MAX(0,N(CHOOSE(DR122,CL122,CP122,CT122,CX122,DB122,DF122,DJ122,DN122))+N(CHOOSE(DR122,CM122,CQ122,CU122,CY122,DC122,DG122,DK122,DO122))-MIN(N(CHOOSE(DR122,'Debt List'!$F$5,'Debt List'!$F$6,'Debt List'!$F$7,'Debt List'!$F$8,'Debt List'!$F$9,'Debt List'!$F$10,'Debt List'!$F$11,'Debt List'!$F$12)),N(CHOOSE(DR122,CL122,CP122,CT122,CX122,DB122,DF122,DJ122,DN122))+N(CHOOSE(DR122,CM122,CQ122,CU122,CY122,DC122,DG122,DK122,DO122))))),0))</f>
        <v/>
      </c>
      <c r="DT122">
        <f>MIN(N(DS122),MAX(0,N(ExtraPayment)))</f>
        <v/>
      </c>
      <c r="DU122">
        <f>MAX(0,N(ExtraPayment)-N(DT122))</f>
        <v/>
      </c>
      <c r="DV122">
        <f>IFERROR(MATCH(2,OrderSnow,0),"")</f>
        <v/>
      </c>
      <c r="DW122">
        <f>IF(DV122="",0,IFERROR(IF(N(CHOOSE(DV122,CL122,CP122,CT122,CX122,DB122,DF122,DJ122,DN122))&lt;=0.005,0,MAX(0,N(CHOOSE(DV122,CL122,CP122,CT122,CX122,DB122,DF122,DJ122,DN122))+N(CHOOSE(DV122,CM122,CQ122,CU122,CY122,DC122,DG122,DK122,DO122))-MIN(N(CHOOSE(DV122,'Debt List'!$F$5,'Debt List'!$F$6,'Debt List'!$F$7,'Debt List'!$F$8,'Debt List'!$F$9,'Debt List'!$F$10,'Debt List'!$F$11,'Debt List'!$F$12)),N(CHOOSE(DV122,CL122,CP122,CT122,CX122,DB122,DF122,DJ122,DN122))+N(CHOOSE(DV122,CM122,CQ122,CU122,CY122,DC122,DG122,DK122,DO122))))),0))</f>
        <v/>
      </c>
      <c r="DX122">
        <f>MIN(N(DW122),MAX(0,N(DU122)))</f>
        <v/>
      </c>
      <c r="DY122">
        <f>MAX(0,N(DU122)-N(DX122))</f>
        <v/>
      </c>
      <c r="DZ122">
        <f>IFERROR(MATCH(3,OrderSnow,0),"")</f>
        <v/>
      </c>
      <c r="EA122">
        <f>IF(DZ122="",0,IFERROR(IF(N(CHOOSE(DZ122,CL122,CP122,CT122,CX122,DB122,DF122,DJ122,DN122))&lt;=0.005,0,MAX(0,N(CHOOSE(DZ122,CL122,CP122,CT122,CX122,DB122,DF122,DJ122,DN122))+N(CHOOSE(DZ122,CM122,CQ122,CU122,CY122,DC122,DG122,DK122,DO122))-MIN(N(CHOOSE(DZ122,'Debt List'!$F$5,'Debt List'!$F$6,'Debt List'!$F$7,'Debt List'!$F$8,'Debt List'!$F$9,'Debt List'!$F$10,'Debt List'!$F$11,'Debt List'!$F$12)),N(CHOOSE(DZ122,CL122,CP122,CT122,CX122,DB122,DF122,DJ122,DN122))+N(CHOOSE(DZ122,CM122,CQ122,CU122,CY122,DC122,DG122,DK122,DO122))))),0))</f>
        <v/>
      </c>
      <c r="EB122">
        <f>MIN(N(EA122),MAX(0,N(DY122)))</f>
        <v/>
      </c>
      <c r="EC122">
        <f>MAX(0,N(DY122)-N(EB122))</f>
        <v/>
      </c>
      <c r="ED122">
        <f>IFERROR(MATCH(4,OrderSnow,0),"")</f>
        <v/>
      </c>
      <c r="EE122">
        <f>IF(ED122="",0,IFERROR(IF(N(CHOOSE(ED122,CL122,CP122,CT122,CX122,DB122,DF122,DJ122,DN122))&lt;=0.005,0,MAX(0,N(CHOOSE(ED122,CL122,CP122,CT122,CX122,DB122,DF122,DJ122,DN122))+N(CHOOSE(ED122,CM122,CQ122,CU122,CY122,DC122,DG122,DK122,DO122))-MIN(N(CHOOSE(ED122,'Debt List'!$F$5,'Debt List'!$F$6,'Debt List'!$F$7,'Debt List'!$F$8,'Debt List'!$F$9,'Debt List'!$F$10,'Debt List'!$F$11,'Debt List'!$F$12)),N(CHOOSE(ED122,CL122,CP122,CT122,CX122,DB122,DF122,DJ122,DN122))+N(CHOOSE(ED122,CM122,CQ122,CU122,CY122,DC122,DG122,DK122,DO122))))),0))</f>
        <v/>
      </c>
      <c r="EF122">
        <f>MIN(N(EE122),MAX(0,N(EC122)))</f>
        <v/>
      </c>
      <c r="EG122">
        <f>MAX(0,N(EC122)-N(EF122))</f>
        <v/>
      </c>
      <c r="EH122">
        <f>IFERROR(MATCH(5,OrderSnow,0),"")</f>
        <v/>
      </c>
      <c r="EI122">
        <f>IF(EH122="",0,IFERROR(IF(N(CHOOSE(EH122,CL122,CP122,CT122,CX122,DB122,DF122,DJ122,DN122))&lt;=0.005,0,MAX(0,N(CHOOSE(EH122,CL122,CP122,CT122,CX122,DB122,DF122,DJ122,DN122))+N(CHOOSE(EH122,CM122,CQ122,CU122,CY122,DC122,DG122,DK122,DO122))-MIN(N(CHOOSE(EH122,'Debt List'!$F$5,'Debt List'!$F$6,'Debt List'!$F$7,'Debt List'!$F$8,'Debt List'!$F$9,'Debt List'!$F$10,'Debt List'!$F$11,'Debt List'!$F$12)),N(CHOOSE(EH122,CL122,CP122,CT122,CX122,DB122,DF122,DJ122,DN122))+N(CHOOSE(EH122,CM122,CQ122,CU122,CY122,DC122,DG122,DK122,DO122))))),0))</f>
        <v/>
      </c>
      <c r="EJ122">
        <f>MIN(N(EI122),MAX(0,N(EG122)))</f>
        <v/>
      </c>
      <c r="EK122">
        <f>MAX(0,N(EG122)-N(EJ122))</f>
        <v/>
      </c>
      <c r="EL122">
        <f>IFERROR(MATCH(6,OrderSnow,0),"")</f>
        <v/>
      </c>
      <c r="EM122">
        <f>IF(EL122="",0,IFERROR(IF(N(CHOOSE(EL122,CL122,CP122,CT122,CX122,DB122,DF122,DJ122,DN122))&lt;=0.005,0,MAX(0,N(CHOOSE(EL122,CL122,CP122,CT122,CX122,DB122,DF122,DJ122,DN122))+N(CHOOSE(EL122,CM122,CQ122,CU122,CY122,DC122,DG122,DK122,DO122))-MIN(N(CHOOSE(EL122,'Debt List'!$F$5,'Debt List'!$F$6,'Debt List'!$F$7,'Debt List'!$F$8,'Debt List'!$F$9,'Debt List'!$F$10,'Debt List'!$F$11,'Debt List'!$F$12)),N(CHOOSE(EL122,CL122,CP122,CT122,CX122,DB122,DF122,DJ122,DN122))+N(CHOOSE(EL122,CM122,CQ122,CU122,CY122,DC122,DG122,DK122,DO122))))),0))</f>
        <v/>
      </c>
      <c r="EN122">
        <f>MIN(N(EM122),MAX(0,N(EK122)))</f>
        <v/>
      </c>
      <c r="EO122">
        <f>MAX(0,N(EK122)-N(EN122))</f>
        <v/>
      </c>
      <c r="EP122">
        <f>IFERROR(MATCH(7,OrderSnow,0),"")</f>
        <v/>
      </c>
      <c r="EQ122">
        <f>IF(EP122="",0,IFERROR(IF(N(CHOOSE(EP122,CL122,CP122,CT122,CX122,DB122,DF122,DJ122,DN122))&lt;=0.005,0,MAX(0,N(CHOOSE(EP122,CL122,CP122,CT122,CX122,DB122,DF122,DJ122,DN122))+N(CHOOSE(EP122,CM122,CQ122,CU122,CY122,DC122,DG122,DK122,DO122))-MIN(N(CHOOSE(EP122,'Debt List'!$F$5,'Debt List'!$F$6,'Debt List'!$F$7,'Debt List'!$F$8,'Debt List'!$F$9,'Debt List'!$F$10,'Debt List'!$F$11,'Debt List'!$F$12)),N(CHOOSE(EP122,CL122,CP122,CT122,CX122,DB122,DF122,DJ122,DN122))+N(CHOOSE(EP122,CM122,CQ122,CU122,CY122,DC122,DG122,DK122,DO122))))),0))</f>
        <v/>
      </c>
      <c r="ER122">
        <f>MIN(N(EQ122),MAX(0,N(EO122)))</f>
        <v/>
      </c>
      <c r="ES122">
        <f>MAX(0,N(EO122)-N(ER122))</f>
        <v/>
      </c>
      <c r="ET122">
        <f>IFERROR(MATCH(8,OrderSnow,0),"")</f>
        <v/>
      </c>
      <c r="EU122">
        <f>IF(ET122="",0,IFERROR(IF(N(CHOOSE(ET122,CL122,CP122,CT122,CX122,DB122,DF122,DJ122,DN122))&lt;=0.005,0,MAX(0,N(CHOOSE(ET122,CL122,CP122,CT122,CX122,DB122,DF122,DJ122,DN122))+N(CHOOSE(ET122,CM122,CQ122,CU122,CY122,DC122,DG122,DK122,DO122))-MIN(N(CHOOSE(ET122,'Debt List'!$F$5,'Debt List'!$F$6,'Debt List'!$F$7,'Debt List'!$F$8,'Debt List'!$F$9,'Debt List'!$F$10,'Debt List'!$F$11,'Debt List'!$F$12)),N(CHOOSE(ET122,CL122,CP122,CT122,CX122,DB122,DF122,DJ122,DN122))+N(CHOOSE(ET122,CM122,CQ122,CU122,CY122,DC122,DG122,DK122,DO122))))),0))</f>
        <v/>
      </c>
      <c r="EV122">
        <f>MIN(N(EU122),MAX(0,N(ES122)))</f>
        <v/>
      </c>
      <c r="EW122">
        <f>MAX(0,N(ES122)-N(EV122))</f>
        <v/>
      </c>
      <c r="FE122" t="n">
        <v>118</v>
      </c>
      <c r="FF122" s="115">
        <f>DATE(YEAR(PlanStart),MONTH(PlanStart)+FE122-1,1)</f>
        <v/>
      </c>
      <c r="FG122">
        <f>IF(AND(GT122&lt;&gt;"",N(CHOOSE(GT122,FN122,FR122,FV122,FZ122,GD122,GH122,GL122,GP122))&gt;0.005),INDEX(DebtNames,GT122),IF(AND(GX122&lt;&gt;"",N(CHOOSE(GX122,FN122,FR122,FV122,FZ122,GD122,GH122,GL122,GP122))&gt;0.005),INDEX(DebtNames,GX122),IF(AND(HB122&lt;&gt;"",N(CHOOSE(HB122,FN122,FR122,FV122,FZ122,GD122,GH122,GL122,GP122))&gt;0.005),INDEX(DebtNames,HB122),IF(AND(HF122&lt;&gt;"",N(CHOOSE(HF122,FN122,FR122,FV122,FZ122,GD122,GH122,GL122,GP122))&gt;0.005),INDEX(DebtNames,HF122),IF(AND(HJ122&lt;&gt;"",N(CHOOSE(HJ122,FN122,FR122,FV122,FZ122,GD122,GH122,GL122,GP122))&gt;0.005),INDEX(DebtNames,HJ122),IF(AND(HN122&lt;&gt;"",N(CHOOSE(HN122,FN122,FR122,FV122,FZ122,GD122,GH122,GL122,GP122))&gt;0.005),INDEX(DebtNames,HN122),IF(AND(HR122&lt;&gt;"",N(CHOOSE(HR122,FN122,FR122,FV122,FZ122,GD122,GH122,GL122,GP122))&gt;0.005),INDEX(DebtNames,HR122),IF(AND(HV122&lt;&gt;"",N(CHOOSE(HV122,FN122,FR122,FV122,FZ122,GD122,GH122,GL122,GP122))&gt;0.005),INDEX(DebtNames,HV122),""))))))))</f>
        <v/>
      </c>
      <c r="FH122">
        <f>N(HY122)</f>
        <v/>
      </c>
      <c r="FI122">
        <f>N(FP122)+N(FT122)+N(FX122)+N(GB122)+N(GF122)+N(GJ122)+N(GN122)+N(GR122)</f>
        <v/>
      </c>
      <c r="FJ122">
        <f>N(FO122)+N(FS122)+N(FW122)+N(GA122)+N(GE122)+N(GI122)+N(GM122)+N(GQ122)</f>
        <v/>
      </c>
      <c r="FK122">
        <f>N(FK121)+N(FJ122)</f>
        <v/>
      </c>
      <c r="FL122">
        <f>N(FQ122)+N(FU122)+N(FY122)+N(GC122)+N(GG122)+N(GK122)+N(GO122)+N(GS122)</f>
        <v/>
      </c>
      <c r="FM122">
        <f>(FQ122&gt;0.005)*1+(FU122&gt;0.005)*1+(FY122&gt;0.005)*1+(GC122&gt;0.005)*1+(GG122&gt;0.005)*1+(GK122&gt;0.005)*1+(GO122&gt;0.005)*1+(GS122&gt;0.005)*1</f>
        <v/>
      </c>
      <c r="FN122">
        <f>N(FQ121)</f>
        <v/>
      </c>
      <c r="FO122">
        <f>IF(N(FN122)&lt;=0.005,0,ROUND(N(FN122)*N('Debt List'!E5)/12,2))</f>
        <v/>
      </c>
      <c r="FP122">
        <f>IF(N(FN122)&lt;=0.005,0,MIN(N('Debt List'!F5),N(FN122)+N(FO122)))+((GT122=1)*GV122+(GX122=1)*GZ122+(HB122=1)*HD122+(HF122=1)*HH122+(HJ122=1)*HL122+(HN122=1)*HP122+(HR122=1)*HT122+(HV122=1)*HX122)</f>
        <v/>
      </c>
      <c r="FQ122">
        <f>MAX(0,ROUND(N(FN122)+N(FO122)-N(FP122),2))</f>
        <v/>
      </c>
      <c r="FR122">
        <f>N(FU121)</f>
        <v/>
      </c>
      <c r="FS122">
        <f>IF(N(FR122)&lt;=0.005,0,ROUND(N(FR122)*N('Debt List'!E6)/12,2))</f>
        <v/>
      </c>
      <c r="FT122">
        <f>IF(N(FR122)&lt;=0.005,0,MIN(N('Debt List'!F6),N(FR122)+N(FS122)))+((GT122=2)*GV122+(GX122=2)*GZ122+(HB122=2)*HD122+(HF122=2)*HH122+(HJ122=2)*HL122+(HN122=2)*HP122+(HR122=2)*HT122+(HV122=2)*HX122)</f>
        <v/>
      </c>
      <c r="FU122">
        <f>MAX(0,ROUND(N(FR122)+N(FS122)-N(FT122),2))</f>
        <v/>
      </c>
      <c r="FV122">
        <f>N(FY121)</f>
        <v/>
      </c>
      <c r="FW122">
        <f>IF(N(FV122)&lt;=0.005,0,ROUND(N(FV122)*N('Debt List'!E7)/12,2))</f>
        <v/>
      </c>
      <c r="FX122">
        <f>IF(N(FV122)&lt;=0.005,0,MIN(N('Debt List'!F7),N(FV122)+N(FW122)))+((GT122=3)*GV122+(GX122=3)*GZ122+(HB122=3)*HD122+(HF122=3)*HH122+(HJ122=3)*HL122+(HN122=3)*HP122+(HR122=3)*HT122+(HV122=3)*HX122)</f>
        <v/>
      </c>
      <c r="FY122">
        <f>MAX(0,ROUND(N(FV122)+N(FW122)-N(FX122),2))</f>
        <v/>
      </c>
      <c r="FZ122">
        <f>N(GC121)</f>
        <v/>
      </c>
      <c r="GA122">
        <f>IF(N(FZ122)&lt;=0.005,0,ROUND(N(FZ122)*N('Debt List'!E8)/12,2))</f>
        <v/>
      </c>
      <c r="GB122">
        <f>IF(N(FZ122)&lt;=0.005,0,MIN(N('Debt List'!F8),N(FZ122)+N(GA122)))+((GT122=4)*GV122+(GX122=4)*GZ122+(HB122=4)*HD122+(HF122=4)*HH122+(HJ122=4)*HL122+(HN122=4)*HP122+(HR122=4)*HT122+(HV122=4)*HX122)</f>
        <v/>
      </c>
      <c r="GC122">
        <f>MAX(0,ROUND(N(FZ122)+N(GA122)-N(GB122),2))</f>
        <v/>
      </c>
      <c r="GD122">
        <f>N(GG121)</f>
        <v/>
      </c>
      <c r="GE122">
        <f>IF(N(GD122)&lt;=0.005,0,ROUND(N(GD122)*N('Debt List'!E9)/12,2))</f>
        <v/>
      </c>
      <c r="GF122">
        <f>IF(N(GD122)&lt;=0.005,0,MIN(N('Debt List'!F9),N(GD122)+N(GE122)))+((GT122=5)*GV122+(GX122=5)*GZ122+(HB122=5)*HD122+(HF122=5)*HH122+(HJ122=5)*HL122+(HN122=5)*HP122+(HR122=5)*HT122+(HV122=5)*HX122)</f>
        <v/>
      </c>
      <c r="GG122">
        <f>MAX(0,ROUND(N(GD122)+N(GE122)-N(GF122),2))</f>
        <v/>
      </c>
      <c r="GH122">
        <f>N(GK121)</f>
        <v/>
      </c>
      <c r="GI122">
        <f>IF(N(GH122)&lt;=0.005,0,ROUND(N(GH122)*N('Debt List'!E10)/12,2))</f>
        <v/>
      </c>
      <c r="GJ122">
        <f>IF(N(GH122)&lt;=0.005,0,MIN(N('Debt List'!F10),N(GH122)+N(GI122)))+((GT122=6)*GV122+(GX122=6)*GZ122+(HB122=6)*HD122+(HF122=6)*HH122+(HJ122=6)*HL122+(HN122=6)*HP122+(HR122=6)*HT122+(HV122=6)*HX122)</f>
        <v/>
      </c>
      <c r="GK122">
        <f>MAX(0,ROUND(N(GH122)+N(GI122)-N(GJ122),2))</f>
        <v/>
      </c>
      <c r="GL122">
        <f>N(GO121)</f>
        <v/>
      </c>
      <c r="GM122">
        <f>IF(N(GL122)&lt;=0.005,0,ROUND(N(GL122)*N('Debt List'!E11)/12,2))</f>
        <v/>
      </c>
      <c r="GN122">
        <f>IF(N(GL122)&lt;=0.005,0,MIN(N('Debt List'!F11),N(GL122)+N(GM122)))+((GT122=7)*GV122+(GX122=7)*GZ122+(HB122=7)*HD122+(HF122=7)*HH122+(HJ122=7)*HL122+(HN122=7)*HP122+(HR122=7)*HT122+(HV122=7)*HX122)</f>
        <v/>
      </c>
      <c r="GO122">
        <f>MAX(0,ROUND(N(GL122)+N(GM122)-N(GN122),2))</f>
        <v/>
      </c>
      <c r="GP122">
        <f>N(GS121)</f>
        <v/>
      </c>
      <c r="GQ122">
        <f>IF(N(GP122)&lt;=0.005,0,ROUND(N(GP122)*N('Debt List'!E12)/12,2))</f>
        <v/>
      </c>
      <c r="GR122">
        <f>IF(N(GP122)&lt;=0.005,0,MIN(N('Debt List'!F12),N(GP122)+N(GQ122)))+((GT122=8)*GV122+(GX122=8)*GZ122+(HB122=8)*HD122+(HF122=8)*HH122+(HJ122=8)*HL122+(HN122=8)*HP122+(HR122=8)*HT122+(HV122=8)*HX122)</f>
        <v/>
      </c>
      <c r="GS122">
        <f>MAX(0,ROUND(N(GP122)+N(GQ122)-N(GR122),2))</f>
        <v/>
      </c>
      <c r="GT122">
        <f>IFERROR(MATCH(1,OrderAval,0),"")</f>
        <v/>
      </c>
      <c r="GU122">
        <f>IF(GT122="",0,IFERROR(IF(N(CHOOSE(GT122,FN122,FR122,FV122,FZ122,GD122,GH122,GL122,GP122))&lt;=0.005,0,MAX(0,N(CHOOSE(GT122,FN122,FR122,FV122,FZ122,GD122,GH122,GL122,GP122))+N(CHOOSE(GT122,FO122,FS122,FW122,GA122,GE122,GI122,GM122,GQ122))-MIN(N(CHOOSE(GT122,'Debt List'!$F$5,'Debt List'!$F$6,'Debt List'!$F$7,'Debt List'!$F$8,'Debt List'!$F$9,'Debt List'!$F$10,'Debt List'!$F$11,'Debt List'!$F$12)),N(CHOOSE(GT122,FN122,FR122,FV122,FZ122,GD122,GH122,GL122,GP122))+N(CHOOSE(GT122,FO122,FS122,FW122,GA122,GE122,GI122,GM122,GQ122))))),0))</f>
        <v/>
      </c>
      <c r="GV122">
        <f>MIN(N(GU122),MAX(0,N(ExtraPayment)))</f>
        <v/>
      </c>
      <c r="GW122">
        <f>MAX(0,N(ExtraPayment)-N(GV122))</f>
        <v/>
      </c>
      <c r="GX122">
        <f>IFERROR(MATCH(2,OrderAval,0),"")</f>
        <v/>
      </c>
      <c r="GY122">
        <f>IF(GX122="",0,IFERROR(IF(N(CHOOSE(GX122,FN122,FR122,FV122,FZ122,GD122,GH122,GL122,GP122))&lt;=0.005,0,MAX(0,N(CHOOSE(GX122,FN122,FR122,FV122,FZ122,GD122,GH122,GL122,GP122))+N(CHOOSE(GX122,FO122,FS122,FW122,GA122,GE122,GI122,GM122,GQ122))-MIN(N(CHOOSE(GX122,'Debt List'!$F$5,'Debt List'!$F$6,'Debt List'!$F$7,'Debt List'!$F$8,'Debt List'!$F$9,'Debt List'!$F$10,'Debt List'!$F$11,'Debt List'!$F$12)),N(CHOOSE(GX122,FN122,FR122,FV122,FZ122,GD122,GH122,GL122,GP122))+N(CHOOSE(GX122,FO122,FS122,FW122,GA122,GE122,GI122,GM122,GQ122))))),0))</f>
        <v/>
      </c>
      <c r="GZ122">
        <f>MIN(N(GY122),MAX(0,N(GW122)))</f>
        <v/>
      </c>
      <c r="HA122">
        <f>MAX(0,N(GW122)-N(GZ122))</f>
        <v/>
      </c>
      <c r="HB122">
        <f>IFERROR(MATCH(3,OrderAval,0),"")</f>
        <v/>
      </c>
      <c r="HC122">
        <f>IF(HB122="",0,IFERROR(IF(N(CHOOSE(HB122,FN122,FR122,FV122,FZ122,GD122,GH122,GL122,GP122))&lt;=0.005,0,MAX(0,N(CHOOSE(HB122,FN122,FR122,FV122,FZ122,GD122,GH122,GL122,GP122))+N(CHOOSE(HB122,FO122,FS122,FW122,GA122,GE122,GI122,GM122,GQ122))-MIN(N(CHOOSE(HB122,'Debt List'!$F$5,'Debt List'!$F$6,'Debt List'!$F$7,'Debt List'!$F$8,'Debt List'!$F$9,'Debt List'!$F$10,'Debt List'!$F$11,'Debt List'!$F$12)),N(CHOOSE(HB122,FN122,FR122,FV122,FZ122,GD122,GH122,GL122,GP122))+N(CHOOSE(HB122,FO122,FS122,FW122,GA122,GE122,GI122,GM122,GQ122))))),0))</f>
        <v/>
      </c>
      <c r="HD122">
        <f>MIN(N(HC122),MAX(0,N(HA122)))</f>
        <v/>
      </c>
      <c r="HE122">
        <f>MAX(0,N(HA122)-N(HD122))</f>
        <v/>
      </c>
      <c r="HF122">
        <f>IFERROR(MATCH(4,OrderAval,0),"")</f>
        <v/>
      </c>
      <c r="HG122">
        <f>IF(HF122="",0,IFERROR(IF(N(CHOOSE(HF122,FN122,FR122,FV122,FZ122,GD122,GH122,GL122,GP122))&lt;=0.005,0,MAX(0,N(CHOOSE(HF122,FN122,FR122,FV122,FZ122,GD122,GH122,GL122,GP122))+N(CHOOSE(HF122,FO122,FS122,FW122,GA122,GE122,GI122,GM122,GQ122))-MIN(N(CHOOSE(HF122,'Debt List'!$F$5,'Debt List'!$F$6,'Debt List'!$F$7,'Debt List'!$F$8,'Debt List'!$F$9,'Debt List'!$F$10,'Debt List'!$F$11,'Debt List'!$F$12)),N(CHOOSE(HF122,FN122,FR122,FV122,FZ122,GD122,GH122,GL122,GP122))+N(CHOOSE(HF122,FO122,FS122,FW122,GA122,GE122,GI122,GM122,GQ122))))),0))</f>
        <v/>
      </c>
      <c r="HH122">
        <f>MIN(N(HG122),MAX(0,N(HE122)))</f>
        <v/>
      </c>
      <c r="HI122">
        <f>MAX(0,N(HE122)-N(HH122))</f>
        <v/>
      </c>
      <c r="HJ122">
        <f>IFERROR(MATCH(5,OrderAval,0),"")</f>
        <v/>
      </c>
      <c r="HK122">
        <f>IF(HJ122="",0,IFERROR(IF(N(CHOOSE(HJ122,FN122,FR122,FV122,FZ122,GD122,GH122,GL122,GP122))&lt;=0.005,0,MAX(0,N(CHOOSE(HJ122,FN122,FR122,FV122,FZ122,GD122,GH122,GL122,GP122))+N(CHOOSE(HJ122,FO122,FS122,FW122,GA122,GE122,GI122,GM122,GQ122))-MIN(N(CHOOSE(HJ122,'Debt List'!$F$5,'Debt List'!$F$6,'Debt List'!$F$7,'Debt List'!$F$8,'Debt List'!$F$9,'Debt List'!$F$10,'Debt List'!$F$11,'Debt List'!$F$12)),N(CHOOSE(HJ122,FN122,FR122,FV122,FZ122,GD122,GH122,GL122,GP122))+N(CHOOSE(HJ122,FO122,FS122,FW122,GA122,GE122,GI122,GM122,GQ122))))),0))</f>
        <v/>
      </c>
      <c r="HL122">
        <f>MIN(N(HK122),MAX(0,N(HI122)))</f>
        <v/>
      </c>
      <c r="HM122">
        <f>MAX(0,N(HI122)-N(HL122))</f>
        <v/>
      </c>
      <c r="HN122">
        <f>IFERROR(MATCH(6,OrderAval,0),"")</f>
        <v/>
      </c>
      <c r="HO122">
        <f>IF(HN122="",0,IFERROR(IF(N(CHOOSE(HN122,FN122,FR122,FV122,FZ122,GD122,GH122,GL122,GP122))&lt;=0.005,0,MAX(0,N(CHOOSE(HN122,FN122,FR122,FV122,FZ122,GD122,GH122,GL122,GP122))+N(CHOOSE(HN122,FO122,FS122,FW122,GA122,GE122,GI122,GM122,GQ122))-MIN(N(CHOOSE(HN122,'Debt List'!$F$5,'Debt List'!$F$6,'Debt List'!$F$7,'Debt List'!$F$8,'Debt List'!$F$9,'Debt List'!$F$10,'Debt List'!$F$11,'Debt List'!$F$12)),N(CHOOSE(HN122,FN122,FR122,FV122,FZ122,GD122,GH122,GL122,GP122))+N(CHOOSE(HN122,FO122,FS122,FW122,GA122,GE122,GI122,GM122,GQ122))))),0))</f>
        <v/>
      </c>
      <c r="HP122">
        <f>MIN(N(HO122),MAX(0,N(HM122)))</f>
        <v/>
      </c>
      <c r="HQ122">
        <f>MAX(0,N(HM122)-N(HP122))</f>
        <v/>
      </c>
      <c r="HR122">
        <f>IFERROR(MATCH(7,OrderAval,0),"")</f>
        <v/>
      </c>
      <c r="HS122">
        <f>IF(HR122="",0,IFERROR(IF(N(CHOOSE(HR122,FN122,FR122,FV122,FZ122,GD122,GH122,GL122,GP122))&lt;=0.005,0,MAX(0,N(CHOOSE(HR122,FN122,FR122,FV122,FZ122,GD122,GH122,GL122,GP122))+N(CHOOSE(HR122,FO122,FS122,FW122,GA122,GE122,GI122,GM122,GQ122))-MIN(N(CHOOSE(HR122,'Debt List'!$F$5,'Debt List'!$F$6,'Debt List'!$F$7,'Debt List'!$F$8,'Debt List'!$F$9,'Debt List'!$F$10,'Debt List'!$F$11,'Debt List'!$F$12)),N(CHOOSE(HR122,FN122,FR122,FV122,FZ122,GD122,GH122,GL122,GP122))+N(CHOOSE(HR122,FO122,FS122,FW122,GA122,GE122,GI122,GM122,GQ122))))),0))</f>
        <v/>
      </c>
      <c r="HT122">
        <f>MIN(N(HS122),MAX(0,N(HQ122)))</f>
        <v/>
      </c>
      <c r="HU122">
        <f>MAX(0,N(HQ122)-N(HT122))</f>
        <v/>
      </c>
      <c r="HV122">
        <f>IFERROR(MATCH(8,OrderAval,0),"")</f>
        <v/>
      </c>
      <c r="HW122">
        <f>IF(HV122="",0,IFERROR(IF(N(CHOOSE(HV122,FN122,FR122,FV122,FZ122,GD122,GH122,GL122,GP122))&lt;=0.005,0,MAX(0,N(CHOOSE(HV122,FN122,FR122,FV122,FZ122,GD122,GH122,GL122,GP122))+N(CHOOSE(HV122,FO122,FS122,FW122,GA122,GE122,GI122,GM122,GQ122))-MIN(N(CHOOSE(HV122,'Debt List'!$F$5,'Debt List'!$F$6,'Debt List'!$F$7,'Debt List'!$F$8,'Debt List'!$F$9,'Debt List'!$F$10,'Debt List'!$F$11,'Debt List'!$F$12)),N(CHOOSE(HV122,FN122,FR122,FV122,FZ122,GD122,GH122,GL122,GP122))+N(CHOOSE(HV122,FO122,FS122,FW122,GA122,GE122,GI122,GM122,GQ122))))),0))</f>
        <v/>
      </c>
      <c r="HX122">
        <f>MIN(N(HW122),MAX(0,N(HU122)))</f>
        <v/>
      </c>
      <c r="HY122">
        <f>MAX(0,N(HU122)-N(HX122))</f>
        <v/>
      </c>
    </row>
    <row r="123">
      <c r="A123" t="n">
        <v>119</v>
      </c>
      <c r="B123" s="115">
        <f>DATE(YEAR(PlanStart),MONTH(PlanStart)+A123-1,1)</f>
        <v/>
      </c>
      <c r="C123">
        <f>IF(AND(AP123&lt;&gt;"",N(CHOOSE(AP123,J123,N123,R123,V123,Z123,AD123,AH123,AL123))&gt;0.005),INDEX(DebtNames,AP123),IF(AND(AT123&lt;&gt;"",N(CHOOSE(AT123,J123,N123,R123,V123,Z123,AD123,AH123,AL123))&gt;0.005),INDEX(DebtNames,AT123),IF(AND(AX123&lt;&gt;"",N(CHOOSE(AX123,J123,N123,R123,V123,Z123,AD123,AH123,AL123))&gt;0.005),INDEX(DebtNames,AX123),IF(AND(BB123&lt;&gt;"",N(CHOOSE(BB123,J123,N123,R123,V123,Z123,AD123,AH123,AL123))&gt;0.005),INDEX(DebtNames,BB123),IF(AND(BF123&lt;&gt;"",N(CHOOSE(BF123,J123,N123,R123,V123,Z123,AD123,AH123,AL123))&gt;0.005),INDEX(DebtNames,BF123),IF(AND(BJ123&lt;&gt;"",N(CHOOSE(BJ123,J123,N123,R123,V123,Z123,AD123,AH123,AL123))&gt;0.005),INDEX(DebtNames,BJ123),IF(AND(BN123&lt;&gt;"",N(CHOOSE(BN123,J123,N123,R123,V123,Z123,AD123,AH123,AL123))&gt;0.005),INDEX(DebtNames,BN123),IF(AND(BR123&lt;&gt;"",N(CHOOSE(BR123,J123,N123,R123,V123,Z123,AD123,AH123,AL123))&gt;0.005),INDEX(DebtNames,BR123),""))))))))</f>
        <v/>
      </c>
      <c r="D123">
        <f>N(BU123)</f>
        <v/>
      </c>
      <c r="E123">
        <f>N(L123)+N(P123)+N(T123)+N(X123)+N(AB123)+N(AF123)+N(AJ123)+N(AN123)</f>
        <v/>
      </c>
      <c r="F123">
        <f>N(K123)+N(O123)+N(S123)+N(W123)+N(AA123)+N(AE123)+N(AI123)+N(AM123)</f>
        <v/>
      </c>
      <c r="G123">
        <f>N(G122)+N(F123)</f>
        <v/>
      </c>
      <c r="H123">
        <f>N(M123)+N(Q123)+N(U123)+N(Y123)+N(AC123)+N(AG123)+N(AK123)+N(AO123)</f>
        <v/>
      </c>
      <c r="I123">
        <f>(M123&gt;0.005)*1+(Q123&gt;0.005)*1+(U123&gt;0.005)*1+(Y123&gt;0.005)*1+(AC123&gt;0.005)*1+(AG123&gt;0.005)*1+(AK123&gt;0.005)*1+(AO123&gt;0.005)*1</f>
        <v/>
      </c>
      <c r="J123">
        <f>N(M122)</f>
        <v/>
      </c>
      <c r="K123">
        <f>IF(N(J123)&lt;=0.005,0,ROUND(N(J123)*N('Debt List'!E5)/12,2))</f>
        <v/>
      </c>
      <c r="L123">
        <f>IF(N(J123)&lt;=0.005,0,MIN(N('Debt List'!F5),N(J123)+N(K123)))+((AP123=1)*AR123+(AT123=1)*AV123+(AX123=1)*AZ123+(BB123=1)*BD123+(BF123=1)*BH123+(BJ123=1)*BL123+(BN123=1)*BP123+(BR123=1)*BT123)</f>
        <v/>
      </c>
      <c r="M123">
        <f>MAX(0,ROUND(N(J123)+N(K123)-N(L123),2))</f>
        <v/>
      </c>
      <c r="N123">
        <f>N(Q122)</f>
        <v/>
      </c>
      <c r="O123">
        <f>IF(N(N123)&lt;=0.005,0,ROUND(N(N123)*N('Debt List'!E6)/12,2))</f>
        <v/>
      </c>
      <c r="P123">
        <f>IF(N(N123)&lt;=0.005,0,MIN(N('Debt List'!F6),N(N123)+N(O123)))+((AP123=2)*AR123+(AT123=2)*AV123+(AX123=2)*AZ123+(BB123=2)*BD123+(BF123=2)*BH123+(BJ123=2)*BL123+(BN123=2)*BP123+(BR123=2)*BT123)</f>
        <v/>
      </c>
      <c r="Q123">
        <f>MAX(0,ROUND(N(N123)+N(O123)-N(P123),2))</f>
        <v/>
      </c>
      <c r="R123">
        <f>N(U122)</f>
        <v/>
      </c>
      <c r="S123">
        <f>IF(N(R123)&lt;=0.005,0,ROUND(N(R123)*N('Debt List'!E7)/12,2))</f>
        <v/>
      </c>
      <c r="T123">
        <f>IF(N(R123)&lt;=0.005,0,MIN(N('Debt List'!F7),N(R123)+N(S123)))+((AP123=3)*AR123+(AT123=3)*AV123+(AX123=3)*AZ123+(BB123=3)*BD123+(BF123=3)*BH123+(BJ123=3)*BL123+(BN123=3)*BP123+(BR123=3)*BT123)</f>
        <v/>
      </c>
      <c r="U123">
        <f>MAX(0,ROUND(N(R123)+N(S123)-N(T123),2))</f>
        <v/>
      </c>
      <c r="V123">
        <f>N(Y122)</f>
        <v/>
      </c>
      <c r="W123">
        <f>IF(N(V123)&lt;=0.005,0,ROUND(N(V123)*N('Debt List'!E8)/12,2))</f>
        <v/>
      </c>
      <c r="X123">
        <f>IF(N(V123)&lt;=0.005,0,MIN(N('Debt List'!F8),N(V123)+N(W123)))+((AP123=4)*AR123+(AT123=4)*AV123+(AX123=4)*AZ123+(BB123=4)*BD123+(BF123=4)*BH123+(BJ123=4)*BL123+(BN123=4)*BP123+(BR123=4)*BT123)</f>
        <v/>
      </c>
      <c r="Y123">
        <f>MAX(0,ROUND(N(V123)+N(W123)-N(X123),2))</f>
        <v/>
      </c>
      <c r="Z123">
        <f>N(AC122)</f>
        <v/>
      </c>
      <c r="AA123">
        <f>IF(N(Z123)&lt;=0.005,0,ROUND(N(Z123)*N('Debt List'!E9)/12,2))</f>
        <v/>
      </c>
      <c r="AB123">
        <f>IF(N(Z123)&lt;=0.005,0,MIN(N('Debt List'!F9),N(Z123)+N(AA123)))+((AP123=5)*AR123+(AT123=5)*AV123+(AX123=5)*AZ123+(BB123=5)*BD123+(BF123=5)*BH123+(BJ123=5)*BL123+(BN123=5)*BP123+(BR123=5)*BT123)</f>
        <v/>
      </c>
      <c r="AC123">
        <f>MAX(0,ROUND(N(Z123)+N(AA123)-N(AB123),2))</f>
        <v/>
      </c>
      <c r="AD123">
        <f>N(AG122)</f>
        <v/>
      </c>
      <c r="AE123">
        <f>IF(N(AD123)&lt;=0.005,0,ROUND(N(AD123)*N('Debt List'!E10)/12,2))</f>
        <v/>
      </c>
      <c r="AF123">
        <f>IF(N(AD123)&lt;=0.005,0,MIN(N('Debt List'!F10),N(AD123)+N(AE123)))+((AP123=6)*AR123+(AT123=6)*AV123+(AX123=6)*AZ123+(BB123=6)*BD123+(BF123=6)*BH123+(BJ123=6)*BL123+(BN123=6)*BP123+(BR123=6)*BT123)</f>
        <v/>
      </c>
      <c r="AG123">
        <f>MAX(0,ROUND(N(AD123)+N(AE123)-N(AF123),2))</f>
        <v/>
      </c>
      <c r="AH123">
        <f>N(AK122)</f>
        <v/>
      </c>
      <c r="AI123">
        <f>IF(N(AH123)&lt;=0.005,0,ROUND(N(AH123)*N('Debt List'!E11)/12,2))</f>
        <v/>
      </c>
      <c r="AJ123">
        <f>IF(N(AH123)&lt;=0.005,0,MIN(N('Debt List'!F11),N(AH123)+N(AI123)))+((AP123=7)*AR123+(AT123=7)*AV123+(AX123=7)*AZ123+(BB123=7)*BD123+(BF123=7)*BH123+(BJ123=7)*BL123+(BN123=7)*BP123+(BR123=7)*BT123)</f>
        <v/>
      </c>
      <c r="AK123">
        <f>MAX(0,ROUND(N(AH123)+N(AI123)-N(AJ123),2))</f>
        <v/>
      </c>
      <c r="AL123">
        <f>N(AO122)</f>
        <v/>
      </c>
      <c r="AM123">
        <f>IF(N(AL123)&lt;=0.005,0,ROUND(N(AL123)*N('Debt List'!E12)/12,2))</f>
        <v/>
      </c>
      <c r="AN123">
        <f>IF(N(AL123)&lt;=0.005,0,MIN(N('Debt List'!F12),N(AL123)+N(AM123)))+((AP123=8)*AR123+(AT123=8)*AV123+(AX123=8)*AZ123+(BB123=8)*BD123+(BF123=8)*BH123+(BJ123=8)*BL123+(BN123=8)*BP123+(BR123=8)*BT123)</f>
        <v/>
      </c>
      <c r="AO123">
        <f>MAX(0,ROUND(N(AL123)+N(AM123)-N(AN123),2))</f>
        <v/>
      </c>
      <c r="AP123">
        <f>IFERROR(MATCH(1,OrderPlan,0),"")</f>
        <v/>
      </c>
      <c r="AQ123">
        <f>IF(AP123="",0,IFERROR(IF(N(CHOOSE(AP123,J123,N123,R123,V123,Z123,AD123,AH123,AL123))&lt;=0.005,0,MAX(0,N(CHOOSE(AP123,J123,N123,R123,V123,Z123,AD123,AH123,AL123))+N(CHOOSE(AP123,K123,O123,S123,W123,AA123,AE123,AI123,AM123))-MIN(N(CHOOSE(AP123,'Debt List'!$F$5,'Debt List'!$F$6,'Debt List'!$F$7,'Debt List'!$F$8,'Debt List'!$F$9,'Debt List'!$F$10,'Debt List'!$F$11,'Debt List'!$F$12)),N(CHOOSE(AP123,J123,N123,R123,V123,Z123,AD123,AH123,AL123))+N(CHOOSE(AP123,K123,O123,S123,W123,AA123,AE123,AI123,AM123))))),0))</f>
        <v/>
      </c>
      <c r="AR123">
        <f>MIN(N(AQ123),MAX(0,N(ExtraPayment)))</f>
        <v/>
      </c>
      <c r="AS123">
        <f>MAX(0,N(ExtraPayment)-N(AR123))</f>
        <v/>
      </c>
      <c r="AT123">
        <f>IFERROR(MATCH(2,OrderPlan,0),"")</f>
        <v/>
      </c>
      <c r="AU123">
        <f>IF(AT123="",0,IFERROR(IF(N(CHOOSE(AT123,J123,N123,R123,V123,Z123,AD123,AH123,AL123))&lt;=0.005,0,MAX(0,N(CHOOSE(AT123,J123,N123,R123,V123,Z123,AD123,AH123,AL123))+N(CHOOSE(AT123,K123,O123,S123,W123,AA123,AE123,AI123,AM123))-MIN(N(CHOOSE(AT123,'Debt List'!$F$5,'Debt List'!$F$6,'Debt List'!$F$7,'Debt List'!$F$8,'Debt List'!$F$9,'Debt List'!$F$10,'Debt List'!$F$11,'Debt List'!$F$12)),N(CHOOSE(AT123,J123,N123,R123,V123,Z123,AD123,AH123,AL123))+N(CHOOSE(AT123,K123,O123,S123,W123,AA123,AE123,AI123,AM123))))),0))</f>
        <v/>
      </c>
      <c r="AV123">
        <f>MIN(N(AU123),MAX(0,N(AS123)))</f>
        <v/>
      </c>
      <c r="AW123">
        <f>MAX(0,N(AS123)-N(AV123))</f>
        <v/>
      </c>
      <c r="AX123">
        <f>IFERROR(MATCH(3,OrderPlan,0),"")</f>
        <v/>
      </c>
      <c r="AY123">
        <f>IF(AX123="",0,IFERROR(IF(N(CHOOSE(AX123,J123,N123,R123,V123,Z123,AD123,AH123,AL123))&lt;=0.005,0,MAX(0,N(CHOOSE(AX123,J123,N123,R123,V123,Z123,AD123,AH123,AL123))+N(CHOOSE(AX123,K123,O123,S123,W123,AA123,AE123,AI123,AM123))-MIN(N(CHOOSE(AX123,'Debt List'!$F$5,'Debt List'!$F$6,'Debt List'!$F$7,'Debt List'!$F$8,'Debt List'!$F$9,'Debt List'!$F$10,'Debt List'!$F$11,'Debt List'!$F$12)),N(CHOOSE(AX123,J123,N123,R123,V123,Z123,AD123,AH123,AL123))+N(CHOOSE(AX123,K123,O123,S123,W123,AA123,AE123,AI123,AM123))))),0))</f>
        <v/>
      </c>
      <c r="AZ123">
        <f>MIN(N(AY123),MAX(0,N(AW123)))</f>
        <v/>
      </c>
      <c r="BA123">
        <f>MAX(0,N(AW123)-N(AZ123))</f>
        <v/>
      </c>
      <c r="BB123">
        <f>IFERROR(MATCH(4,OrderPlan,0),"")</f>
        <v/>
      </c>
      <c r="BC123">
        <f>IF(BB123="",0,IFERROR(IF(N(CHOOSE(BB123,J123,N123,R123,V123,Z123,AD123,AH123,AL123))&lt;=0.005,0,MAX(0,N(CHOOSE(BB123,J123,N123,R123,V123,Z123,AD123,AH123,AL123))+N(CHOOSE(BB123,K123,O123,S123,W123,AA123,AE123,AI123,AM123))-MIN(N(CHOOSE(BB123,'Debt List'!$F$5,'Debt List'!$F$6,'Debt List'!$F$7,'Debt List'!$F$8,'Debt List'!$F$9,'Debt List'!$F$10,'Debt List'!$F$11,'Debt List'!$F$12)),N(CHOOSE(BB123,J123,N123,R123,V123,Z123,AD123,AH123,AL123))+N(CHOOSE(BB123,K123,O123,S123,W123,AA123,AE123,AI123,AM123))))),0))</f>
        <v/>
      </c>
      <c r="BD123">
        <f>MIN(N(BC123),MAX(0,N(BA123)))</f>
        <v/>
      </c>
      <c r="BE123">
        <f>MAX(0,N(BA123)-N(BD123))</f>
        <v/>
      </c>
      <c r="BF123">
        <f>IFERROR(MATCH(5,OrderPlan,0),"")</f>
        <v/>
      </c>
      <c r="BG123">
        <f>IF(BF123="",0,IFERROR(IF(N(CHOOSE(BF123,J123,N123,R123,V123,Z123,AD123,AH123,AL123))&lt;=0.005,0,MAX(0,N(CHOOSE(BF123,J123,N123,R123,V123,Z123,AD123,AH123,AL123))+N(CHOOSE(BF123,K123,O123,S123,W123,AA123,AE123,AI123,AM123))-MIN(N(CHOOSE(BF123,'Debt List'!$F$5,'Debt List'!$F$6,'Debt List'!$F$7,'Debt List'!$F$8,'Debt List'!$F$9,'Debt List'!$F$10,'Debt List'!$F$11,'Debt List'!$F$12)),N(CHOOSE(BF123,J123,N123,R123,V123,Z123,AD123,AH123,AL123))+N(CHOOSE(BF123,K123,O123,S123,W123,AA123,AE123,AI123,AM123))))),0))</f>
        <v/>
      </c>
      <c r="BH123">
        <f>MIN(N(BG123),MAX(0,N(BE123)))</f>
        <v/>
      </c>
      <c r="BI123">
        <f>MAX(0,N(BE123)-N(BH123))</f>
        <v/>
      </c>
      <c r="BJ123">
        <f>IFERROR(MATCH(6,OrderPlan,0),"")</f>
        <v/>
      </c>
      <c r="BK123">
        <f>IF(BJ123="",0,IFERROR(IF(N(CHOOSE(BJ123,J123,N123,R123,V123,Z123,AD123,AH123,AL123))&lt;=0.005,0,MAX(0,N(CHOOSE(BJ123,J123,N123,R123,V123,Z123,AD123,AH123,AL123))+N(CHOOSE(BJ123,K123,O123,S123,W123,AA123,AE123,AI123,AM123))-MIN(N(CHOOSE(BJ123,'Debt List'!$F$5,'Debt List'!$F$6,'Debt List'!$F$7,'Debt List'!$F$8,'Debt List'!$F$9,'Debt List'!$F$10,'Debt List'!$F$11,'Debt List'!$F$12)),N(CHOOSE(BJ123,J123,N123,R123,V123,Z123,AD123,AH123,AL123))+N(CHOOSE(BJ123,K123,O123,S123,W123,AA123,AE123,AI123,AM123))))),0))</f>
        <v/>
      </c>
      <c r="BL123">
        <f>MIN(N(BK123),MAX(0,N(BI123)))</f>
        <v/>
      </c>
      <c r="BM123">
        <f>MAX(0,N(BI123)-N(BL123))</f>
        <v/>
      </c>
      <c r="BN123">
        <f>IFERROR(MATCH(7,OrderPlan,0),"")</f>
        <v/>
      </c>
      <c r="BO123">
        <f>IF(BN123="",0,IFERROR(IF(N(CHOOSE(BN123,J123,N123,R123,V123,Z123,AD123,AH123,AL123))&lt;=0.005,0,MAX(0,N(CHOOSE(BN123,J123,N123,R123,V123,Z123,AD123,AH123,AL123))+N(CHOOSE(BN123,K123,O123,S123,W123,AA123,AE123,AI123,AM123))-MIN(N(CHOOSE(BN123,'Debt List'!$F$5,'Debt List'!$F$6,'Debt List'!$F$7,'Debt List'!$F$8,'Debt List'!$F$9,'Debt List'!$F$10,'Debt List'!$F$11,'Debt List'!$F$12)),N(CHOOSE(BN123,J123,N123,R123,V123,Z123,AD123,AH123,AL123))+N(CHOOSE(BN123,K123,O123,S123,W123,AA123,AE123,AI123,AM123))))),0))</f>
        <v/>
      </c>
      <c r="BP123">
        <f>MIN(N(BO123),MAX(0,N(BM123)))</f>
        <v/>
      </c>
      <c r="BQ123">
        <f>MAX(0,N(BM123)-N(BP123))</f>
        <v/>
      </c>
      <c r="BR123">
        <f>IFERROR(MATCH(8,OrderPlan,0),"")</f>
        <v/>
      </c>
      <c r="BS123">
        <f>IF(BR123="",0,IFERROR(IF(N(CHOOSE(BR123,J123,N123,R123,V123,Z123,AD123,AH123,AL123))&lt;=0.005,0,MAX(0,N(CHOOSE(BR123,J123,N123,R123,V123,Z123,AD123,AH123,AL123))+N(CHOOSE(BR123,K123,O123,S123,W123,AA123,AE123,AI123,AM123))-MIN(N(CHOOSE(BR123,'Debt List'!$F$5,'Debt List'!$F$6,'Debt List'!$F$7,'Debt List'!$F$8,'Debt List'!$F$9,'Debt List'!$F$10,'Debt List'!$F$11,'Debt List'!$F$12)),N(CHOOSE(BR123,J123,N123,R123,V123,Z123,AD123,AH123,AL123))+N(CHOOSE(BR123,K123,O123,S123,W123,AA123,AE123,AI123,AM123))))),0))</f>
        <v/>
      </c>
      <c r="BT123">
        <f>MIN(N(BS123),MAX(0,N(BQ123)))</f>
        <v/>
      </c>
      <c r="BU123">
        <f>MAX(0,N(BQ123)-N(BT123))</f>
        <v/>
      </c>
      <c r="CC123" t="n">
        <v>119</v>
      </c>
      <c r="CD123" s="115">
        <f>DATE(YEAR(PlanStart),MONTH(PlanStart)+CC123-1,1)</f>
        <v/>
      </c>
      <c r="CE123">
        <f>IF(AND(DR123&lt;&gt;"",N(CHOOSE(DR123,CL123,CP123,CT123,CX123,DB123,DF123,DJ123,DN123))&gt;0.005),INDEX(DebtNames,DR123),IF(AND(DV123&lt;&gt;"",N(CHOOSE(DV123,CL123,CP123,CT123,CX123,DB123,DF123,DJ123,DN123))&gt;0.005),INDEX(DebtNames,DV123),IF(AND(DZ123&lt;&gt;"",N(CHOOSE(DZ123,CL123,CP123,CT123,CX123,DB123,DF123,DJ123,DN123))&gt;0.005),INDEX(DebtNames,DZ123),IF(AND(ED123&lt;&gt;"",N(CHOOSE(ED123,CL123,CP123,CT123,CX123,DB123,DF123,DJ123,DN123))&gt;0.005),INDEX(DebtNames,ED123),IF(AND(EH123&lt;&gt;"",N(CHOOSE(EH123,CL123,CP123,CT123,CX123,DB123,DF123,DJ123,DN123))&gt;0.005),INDEX(DebtNames,EH123),IF(AND(EL123&lt;&gt;"",N(CHOOSE(EL123,CL123,CP123,CT123,CX123,DB123,DF123,DJ123,DN123))&gt;0.005),INDEX(DebtNames,EL123),IF(AND(EP123&lt;&gt;"",N(CHOOSE(EP123,CL123,CP123,CT123,CX123,DB123,DF123,DJ123,DN123))&gt;0.005),INDEX(DebtNames,EP123),IF(AND(ET123&lt;&gt;"",N(CHOOSE(ET123,CL123,CP123,CT123,CX123,DB123,DF123,DJ123,DN123))&gt;0.005),INDEX(DebtNames,ET123),""))))))))</f>
        <v/>
      </c>
      <c r="CF123">
        <f>N(EW123)</f>
        <v/>
      </c>
      <c r="CG123">
        <f>N(CN123)+N(CR123)+N(CV123)+N(CZ123)+N(DD123)+N(DH123)+N(DL123)+N(DP123)</f>
        <v/>
      </c>
      <c r="CH123">
        <f>N(CM123)+N(CQ123)+N(CU123)+N(CY123)+N(DC123)+N(DG123)+N(DK123)+N(DO123)</f>
        <v/>
      </c>
      <c r="CI123">
        <f>N(CI122)+N(CH123)</f>
        <v/>
      </c>
      <c r="CJ123">
        <f>N(CO123)+N(CS123)+N(CW123)+N(DA123)+N(DE123)+N(DI123)+N(DM123)+N(DQ123)</f>
        <v/>
      </c>
      <c r="CK123">
        <f>(CO123&gt;0.005)*1+(CS123&gt;0.005)*1+(CW123&gt;0.005)*1+(DA123&gt;0.005)*1+(DE123&gt;0.005)*1+(DI123&gt;0.005)*1+(DM123&gt;0.005)*1+(DQ123&gt;0.005)*1</f>
        <v/>
      </c>
      <c r="CL123">
        <f>N(CO122)</f>
        <v/>
      </c>
      <c r="CM123">
        <f>IF(N(CL123)&lt;=0.005,0,ROUND(N(CL123)*N('Debt List'!E5)/12,2))</f>
        <v/>
      </c>
      <c r="CN123">
        <f>IF(N(CL123)&lt;=0.005,0,MIN(N('Debt List'!F5),N(CL123)+N(CM123)))+((DR123=1)*DT123+(DV123=1)*DX123+(DZ123=1)*EB123+(ED123=1)*EF123+(EH123=1)*EJ123+(EL123=1)*EN123+(EP123=1)*ER123+(ET123=1)*EV123)</f>
        <v/>
      </c>
      <c r="CO123">
        <f>MAX(0,ROUND(N(CL123)+N(CM123)-N(CN123),2))</f>
        <v/>
      </c>
      <c r="CP123">
        <f>N(CS122)</f>
        <v/>
      </c>
      <c r="CQ123">
        <f>IF(N(CP123)&lt;=0.005,0,ROUND(N(CP123)*N('Debt List'!E6)/12,2))</f>
        <v/>
      </c>
      <c r="CR123">
        <f>IF(N(CP123)&lt;=0.005,0,MIN(N('Debt List'!F6),N(CP123)+N(CQ123)))+((DR123=2)*DT123+(DV123=2)*DX123+(DZ123=2)*EB123+(ED123=2)*EF123+(EH123=2)*EJ123+(EL123=2)*EN123+(EP123=2)*ER123+(ET123=2)*EV123)</f>
        <v/>
      </c>
      <c r="CS123">
        <f>MAX(0,ROUND(N(CP123)+N(CQ123)-N(CR123),2))</f>
        <v/>
      </c>
      <c r="CT123">
        <f>N(CW122)</f>
        <v/>
      </c>
      <c r="CU123">
        <f>IF(N(CT123)&lt;=0.005,0,ROUND(N(CT123)*N('Debt List'!E7)/12,2))</f>
        <v/>
      </c>
      <c r="CV123">
        <f>IF(N(CT123)&lt;=0.005,0,MIN(N('Debt List'!F7),N(CT123)+N(CU123)))+((DR123=3)*DT123+(DV123=3)*DX123+(DZ123=3)*EB123+(ED123=3)*EF123+(EH123=3)*EJ123+(EL123=3)*EN123+(EP123=3)*ER123+(ET123=3)*EV123)</f>
        <v/>
      </c>
      <c r="CW123">
        <f>MAX(0,ROUND(N(CT123)+N(CU123)-N(CV123),2))</f>
        <v/>
      </c>
      <c r="CX123">
        <f>N(DA122)</f>
        <v/>
      </c>
      <c r="CY123">
        <f>IF(N(CX123)&lt;=0.005,0,ROUND(N(CX123)*N('Debt List'!E8)/12,2))</f>
        <v/>
      </c>
      <c r="CZ123">
        <f>IF(N(CX123)&lt;=0.005,0,MIN(N('Debt List'!F8),N(CX123)+N(CY123)))+((DR123=4)*DT123+(DV123=4)*DX123+(DZ123=4)*EB123+(ED123=4)*EF123+(EH123=4)*EJ123+(EL123=4)*EN123+(EP123=4)*ER123+(ET123=4)*EV123)</f>
        <v/>
      </c>
      <c r="DA123">
        <f>MAX(0,ROUND(N(CX123)+N(CY123)-N(CZ123),2))</f>
        <v/>
      </c>
      <c r="DB123">
        <f>N(DE122)</f>
        <v/>
      </c>
      <c r="DC123">
        <f>IF(N(DB123)&lt;=0.005,0,ROUND(N(DB123)*N('Debt List'!E9)/12,2))</f>
        <v/>
      </c>
      <c r="DD123">
        <f>IF(N(DB123)&lt;=0.005,0,MIN(N('Debt List'!F9),N(DB123)+N(DC123)))+((DR123=5)*DT123+(DV123=5)*DX123+(DZ123=5)*EB123+(ED123=5)*EF123+(EH123=5)*EJ123+(EL123=5)*EN123+(EP123=5)*ER123+(ET123=5)*EV123)</f>
        <v/>
      </c>
      <c r="DE123">
        <f>MAX(0,ROUND(N(DB123)+N(DC123)-N(DD123),2))</f>
        <v/>
      </c>
      <c r="DF123">
        <f>N(DI122)</f>
        <v/>
      </c>
      <c r="DG123">
        <f>IF(N(DF123)&lt;=0.005,0,ROUND(N(DF123)*N('Debt List'!E10)/12,2))</f>
        <v/>
      </c>
      <c r="DH123">
        <f>IF(N(DF123)&lt;=0.005,0,MIN(N('Debt List'!F10),N(DF123)+N(DG123)))+((DR123=6)*DT123+(DV123=6)*DX123+(DZ123=6)*EB123+(ED123=6)*EF123+(EH123=6)*EJ123+(EL123=6)*EN123+(EP123=6)*ER123+(ET123=6)*EV123)</f>
        <v/>
      </c>
      <c r="DI123">
        <f>MAX(0,ROUND(N(DF123)+N(DG123)-N(DH123),2))</f>
        <v/>
      </c>
      <c r="DJ123">
        <f>N(DM122)</f>
        <v/>
      </c>
      <c r="DK123">
        <f>IF(N(DJ123)&lt;=0.005,0,ROUND(N(DJ123)*N('Debt List'!E11)/12,2))</f>
        <v/>
      </c>
      <c r="DL123">
        <f>IF(N(DJ123)&lt;=0.005,0,MIN(N('Debt List'!F11),N(DJ123)+N(DK123)))+((DR123=7)*DT123+(DV123=7)*DX123+(DZ123=7)*EB123+(ED123=7)*EF123+(EH123=7)*EJ123+(EL123=7)*EN123+(EP123=7)*ER123+(ET123=7)*EV123)</f>
        <v/>
      </c>
      <c r="DM123">
        <f>MAX(0,ROUND(N(DJ123)+N(DK123)-N(DL123),2))</f>
        <v/>
      </c>
      <c r="DN123">
        <f>N(DQ122)</f>
        <v/>
      </c>
      <c r="DO123">
        <f>IF(N(DN123)&lt;=0.005,0,ROUND(N(DN123)*N('Debt List'!E12)/12,2))</f>
        <v/>
      </c>
      <c r="DP123">
        <f>IF(N(DN123)&lt;=0.005,0,MIN(N('Debt List'!F12),N(DN123)+N(DO123)))+((DR123=8)*DT123+(DV123=8)*DX123+(DZ123=8)*EB123+(ED123=8)*EF123+(EH123=8)*EJ123+(EL123=8)*EN123+(EP123=8)*ER123+(ET123=8)*EV123)</f>
        <v/>
      </c>
      <c r="DQ123">
        <f>MAX(0,ROUND(N(DN123)+N(DO123)-N(DP123),2))</f>
        <v/>
      </c>
      <c r="DR123">
        <f>IFERROR(MATCH(1,OrderSnow,0),"")</f>
        <v/>
      </c>
      <c r="DS123">
        <f>IF(DR123="",0,IFERROR(IF(N(CHOOSE(DR123,CL123,CP123,CT123,CX123,DB123,DF123,DJ123,DN123))&lt;=0.005,0,MAX(0,N(CHOOSE(DR123,CL123,CP123,CT123,CX123,DB123,DF123,DJ123,DN123))+N(CHOOSE(DR123,CM123,CQ123,CU123,CY123,DC123,DG123,DK123,DO123))-MIN(N(CHOOSE(DR123,'Debt List'!$F$5,'Debt List'!$F$6,'Debt List'!$F$7,'Debt List'!$F$8,'Debt List'!$F$9,'Debt List'!$F$10,'Debt List'!$F$11,'Debt List'!$F$12)),N(CHOOSE(DR123,CL123,CP123,CT123,CX123,DB123,DF123,DJ123,DN123))+N(CHOOSE(DR123,CM123,CQ123,CU123,CY123,DC123,DG123,DK123,DO123))))),0))</f>
        <v/>
      </c>
      <c r="DT123">
        <f>MIN(N(DS123),MAX(0,N(ExtraPayment)))</f>
        <v/>
      </c>
      <c r="DU123">
        <f>MAX(0,N(ExtraPayment)-N(DT123))</f>
        <v/>
      </c>
      <c r="DV123">
        <f>IFERROR(MATCH(2,OrderSnow,0),"")</f>
        <v/>
      </c>
      <c r="DW123">
        <f>IF(DV123="",0,IFERROR(IF(N(CHOOSE(DV123,CL123,CP123,CT123,CX123,DB123,DF123,DJ123,DN123))&lt;=0.005,0,MAX(0,N(CHOOSE(DV123,CL123,CP123,CT123,CX123,DB123,DF123,DJ123,DN123))+N(CHOOSE(DV123,CM123,CQ123,CU123,CY123,DC123,DG123,DK123,DO123))-MIN(N(CHOOSE(DV123,'Debt List'!$F$5,'Debt List'!$F$6,'Debt List'!$F$7,'Debt List'!$F$8,'Debt List'!$F$9,'Debt List'!$F$10,'Debt List'!$F$11,'Debt List'!$F$12)),N(CHOOSE(DV123,CL123,CP123,CT123,CX123,DB123,DF123,DJ123,DN123))+N(CHOOSE(DV123,CM123,CQ123,CU123,CY123,DC123,DG123,DK123,DO123))))),0))</f>
        <v/>
      </c>
      <c r="DX123">
        <f>MIN(N(DW123),MAX(0,N(DU123)))</f>
        <v/>
      </c>
      <c r="DY123">
        <f>MAX(0,N(DU123)-N(DX123))</f>
        <v/>
      </c>
      <c r="DZ123">
        <f>IFERROR(MATCH(3,OrderSnow,0),"")</f>
        <v/>
      </c>
      <c r="EA123">
        <f>IF(DZ123="",0,IFERROR(IF(N(CHOOSE(DZ123,CL123,CP123,CT123,CX123,DB123,DF123,DJ123,DN123))&lt;=0.005,0,MAX(0,N(CHOOSE(DZ123,CL123,CP123,CT123,CX123,DB123,DF123,DJ123,DN123))+N(CHOOSE(DZ123,CM123,CQ123,CU123,CY123,DC123,DG123,DK123,DO123))-MIN(N(CHOOSE(DZ123,'Debt List'!$F$5,'Debt List'!$F$6,'Debt List'!$F$7,'Debt List'!$F$8,'Debt List'!$F$9,'Debt List'!$F$10,'Debt List'!$F$11,'Debt List'!$F$12)),N(CHOOSE(DZ123,CL123,CP123,CT123,CX123,DB123,DF123,DJ123,DN123))+N(CHOOSE(DZ123,CM123,CQ123,CU123,CY123,DC123,DG123,DK123,DO123))))),0))</f>
        <v/>
      </c>
      <c r="EB123">
        <f>MIN(N(EA123),MAX(0,N(DY123)))</f>
        <v/>
      </c>
      <c r="EC123">
        <f>MAX(0,N(DY123)-N(EB123))</f>
        <v/>
      </c>
      <c r="ED123">
        <f>IFERROR(MATCH(4,OrderSnow,0),"")</f>
        <v/>
      </c>
      <c r="EE123">
        <f>IF(ED123="",0,IFERROR(IF(N(CHOOSE(ED123,CL123,CP123,CT123,CX123,DB123,DF123,DJ123,DN123))&lt;=0.005,0,MAX(0,N(CHOOSE(ED123,CL123,CP123,CT123,CX123,DB123,DF123,DJ123,DN123))+N(CHOOSE(ED123,CM123,CQ123,CU123,CY123,DC123,DG123,DK123,DO123))-MIN(N(CHOOSE(ED123,'Debt List'!$F$5,'Debt List'!$F$6,'Debt List'!$F$7,'Debt List'!$F$8,'Debt List'!$F$9,'Debt List'!$F$10,'Debt List'!$F$11,'Debt List'!$F$12)),N(CHOOSE(ED123,CL123,CP123,CT123,CX123,DB123,DF123,DJ123,DN123))+N(CHOOSE(ED123,CM123,CQ123,CU123,CY123,DC123,DG123,DK123,DO123))))),0))</f>
        <v/>
      </c>
      <c r="EF123">
        <f>MIN(N(EE123),MAX(0,N(EC123)))</f>
        <v/>
      </c>
      <c r="EG123">
        <f>MAX(0,N(EC123)-N(EF123))</f>
        <v/>
      </c>
      <c r="EH123">
        <f>IFERROR(MATCH(5,OrderSnow,0),"")</f>
        <v/>
      </c>
      <c r="EI123">
        <f>IF(EH123="",0,IFERROR(IF(N(CHOOSE(EH123,CL123,CP123,CT123,CX123,DB123,DF123,DJ123,DN123))&lt;=0.005,0,MAX(0,N(CHOOSE(EH123,CL123,CP123,CT123,CX123,DB123,DF123,DJ123,DN123))+N(CHOOSE(EH123,CM123,CQ123,CU123,CY123,DC123,DG123,DK123,DO123))-MIN(N(CHOOSE(EH123,'Debt List'!$F$5,'Debt List'!$F$6,'Debt List'!$F$7,'Debt List'!$F$8,'Debt List'!$F$9,'Debt List'!$F$10,'Debt List'!$F$11,'Debt List'!$F$12)),N(CHOOSE(EH123,CL123,CP123,CT123,CX123,DB123,DF123,DJ123,DN123))+N(CHOOSE(EH123,CM123,CQ123,CU123,CY123,DC123,DG123,DK123,DO123))))),0))</f>
        <v/>
      </c>
      <c r="EJ123">
        <f>MIN(N(EI123),MAX(0,N(EG123)))</f>
        <v/>
      </c>
      <c r="EK123">
        <f>MAX(0,N(EG123)-N(EJ123))</f>
        <v/>
      </c>
      <c r="EL123">
        <f>IFERROR(MATCH(6,OrderSnow,0),"")</f>
        <v/>
      </c>
      <c r="EM123">
        <f>IF(EL123="",0,IFERROR(IF(N(CHOOSE(EL123,CL123,CP123,CT123,CX123,DB123,DF123,DJ123,DN123))&lt;=0.005,0,MAX(0,N(CHOOSE(EL123,CL123,CP123,CT123,CX123,DB123,DF123,DJ123,DN123))+N(CHOOSE(EL123,CM123,CQ123,CU123,CY123,DC123,DG123,DK123,DO123))-MIN(N(CHOOSE(EL123,'Debt List'!$F$5,'Debt List'!$F$6,'Debt List'!$F$7,'Debt List'!$F$8,'Debt List'!$F$9,'Debt List'!$F$10,'Debt List'!$F$11,'Debt List'!$F$12)),N(CHOOSE(EL123,CL123,CP123,CT123,CX123,DB123,DF123,DJ123,DN123))+N(CHOOSE(EL123,CM123,CQ123,CU123,CY123,DC123,DG123,DK123,DO123))))),0))</f>
        <v/>
      </c>
      <c r="EN123">
        <f>MIN(N(EM123),MAX(0,N(EK123)))</f>
        <v/>
      </c>
      <c r="EO123">
        <f>MAX(0,N(EK123)-N(EN123))</f>
        <v/>
      </c>
      <c r="EP123">
        <f>IFERROR(MATCH(7,OrderSnow,0),"")</f>
        <v/>
      </c>
      <c r="EQ123">
        <f>IF(EP123="",0,IFERROR(IF(N(CHOOSE(EP123,CL123,CP123,CT123,CX123,DB123,DF123,DJ123,DN123))&lt;=0.005,0,MAX(0,N(CHOOSE(EP123,CL123,CP123,CT123,CX123,DB123,DF123,DJ123,DN123))+N(CHOOSE(EP123,CM123,CQ123,CU123,CY123,DC123,DG123,DK123,DO123))-MIN(N(CHOOSE(EP123,'Debt List'!$F$5,'Debt List'!$F$6,'Debt List'!$F$7,'Debt List'!$F$8,'Debt List'!$F$9,'Debt List'!$F$10,'Debt List'!$F$11,'Debt List'!$F$12)),N(CHOOSE(EP123,CL123,CP123,CT123,CX123,DB123,DF123,DJ123,DN123))+N(CHOOSE(EP123,CM123,CQ123,CU123,CY123,DC123,DG123,DK123,DO123))))),0))</f>
        <v/>
      </c>
      <c r="ER123">
        <f>MIN(N(EQ123),MAX(0,N(EO123)))</f>
        <v/>
      </c>
      <c r="ES123">
        <f>MAX(0,N(EO123)-N(ER123))</f>
        <v/>
      </c>
      <c r="ET123">
        <f>IFERROR(MATCH(8,OrderSnow,0),"")</f>
        <v/>
      </c>
      <c r="EU123">
        <f>IF(ET123="",0,IFERROR(IF(N(CHOOSE(ET123,CL123,CP123,CT123,CX123,DB123,DF123,DJ123,DN123))&lt;=0.005,0,MAX(0,N(CHOOSE(ET123,CL123,CP123,CT123,CX123,DB123,DF123,DJ123,DN123))+N(CHOOSE(ET123,CM123,CQ123,CU123,CY123,DC123,DG123,DK123,DO123))-MIN(N(CHOOSE(ET123,'Debt List'!$F$5,'Debt List'!$F$6,'Debt List'!$F$7,'Debt List'!$F$8,'Debt List'!$F$9,'Debt List'!$F$10,'Debt List'!$F$11,'Debt List'!$F$12)),N(CHOOSE(ET123,CL123,CP123,CT123,CX123,DB123,DF123,DJ123,DN123))+N(CHOOSE(ET123,CM123,CQ123,CU123,CY123,DC123,DG123,DK123,DO123))))),0))</f>
        <v/>
      </c>
      <c r="EV123">
        <f>MIN(N(EU123),MAX(0,N(ES123)))</f>
        <v/>
      </c>
      <c r="EW123">
        <f>MAX(0,N(ES123)-N(EV123))</f>
        <v/>
      </c>
      <c r="FE123" t="n">
        <v>119</v>
      </c>
      <c r="FF123" s="115">
        <f>DATE(YEAR(PlanStart),MONTH(PlanStart)+FE123-1,1)</f>
        <v/>
      </c>
      <c r="FG123">
        <f>IF(AND(GT123&lt;&gt;"",N(CHOOSE(GT123,FN123,FR123,FV123,FZ123,GD123,GH123,GL123,GP123))&gt;0.005),INDEX(DebtNames,GT123),IF(AND(GX123&lt;&gt;"",N(CHOOSE(GX123,FN123,FR123,FV123,FZ123,GD123,GH123,GL123,GP123))&gt;0.005),INDEX(DebtNames,GX123),IF(AND(HB123&lt;&gt;"",N(CHOOSE(HB123,FN123,FR123,FV123,FZ123,GD123,GH123,GL123,GP123))&gt;0.005),INDEX(DebtNames,HB123),IF(AND(HF123&lt;&gt;"",N(CHOOSE(HF123,FN123,FR123,FV123,FZ123,GD123,GH123,GL123,GP123))&gt;0.005),INDEX(DebtNames,HF123),IF(AND(HJ123&lt;&gt;"",N(CHOOSE(HJ123,FN123,FR123,FV123,FZ123,GD123,GH123,GL123,GP123))&gt;0.005),INDEX(DebtNames,HJ123),IF(AND(HN123&lt;&gt;"",N(CHOOSE(HN123,FN123,FR123,FV123,FZ123,GD123,GH123,GL123,GP123))&gt;0.005),INDEX(DebtNames,HN123),IF(AND(HR123&lt;&gt;"",N(CHOOSE(HR123,FN123,FR123,FV123,FZ123,GD123,GH123,GL123,GP123))&gt;0.005),INDEX(DebtNames,HR123),IF(AND(HV123&lt;&gt;"",N(CHOOSE(HV123,FN123,FR123,FV123,FZ123,GD123,GH123,GL123,GP123))&gt;0.005),INDEX(DebtNames,HV123),""))))))))</f>
        <v/>
      </c>
      <c r="FH123">
        <f>N(HY123)</f>
        <v/>
      </c>
      <c r="FI123">
        <f>N(FP123)+N(FT123)+N(FX123)+N(GB123)+N(GF123)+N(GJ123)+N(GN123)+N(GR123)</f>
        <v/>
      </c>
      <c r="FJ123">
        <f>N(FO123)+N(FS123)+N(FW123)+N(GA123)+N(GE123)+N(GI123)+N(GM123)+N(GQ123)</f>
        <v/>
      </c>
      <c r="FK123">
        <f>N(FK122)+N(FJ123)</f>
        <v/>
      </c>
      <c r="FL123">
        <f>N(FQ123)+N(FU123)+N(FY123)+N(GC123)+N(GG123)+N(GK123)+N(GO123)+N(GS123)</f>
        <v/>
      </c>
      <c r="FM123">
        <f>(FQ123&gt;0.005)*1+(FU123&gt;0.005)*1+(FY123&gt;0.005)*1+(GC123&gt;0.005)*1+(GG123&gt;0.005)*1+(GK123&gt;0.005)*1+(GO123&gt;0.005)*1+(GS123&gt;0.005)*1</f>
        <v/>
      </c>
      <c r="FN123">
        <f>N(FQ122)</f>
        <v/>
      </c>
      <c r="FO123">
        <f>IF(N(FN123)&lt;=0.005,0,ROUND(N(FN123)*N('Debt List'!E5)/12,2))</f>
        <v/>
      </c>
      <c r="FP123">
        <f>IF(N(FN123)&lt;=0.005,0,MIN(N('Debt List'!F5),N(FN123)+N(FO123)))+((GT123=1)*GV123+(GX123=1)*GZ123+(HB123=1)*HD123+(HF123=1)*HH123+(HJ123=1)*HL123+(HN123=1)*HP123+(HR123=1)*HT123+(HV123=1)*HX123)</f>
        <v/>
      </c>
      <c r="FQ123">
        <f>MAX(0,ROUND(N(FN123)+N(FO123)-N(FP123),2))</f>
        <v/>
      </c>
      <c r="FR123">
        <f>N(FU122)</f>
        <v/>
      </c>
      <c r="FS123">
        <f>IF(N(FR123)&lt;=0.005,0,ROUND(N(FR123)*N('Debt List'!E6)/12,2))</f>
        <v/>
      </c>
      <c r="FT123">
        <f>IF(N(FR123)&lt;=0.005,0,MIN(N('Debt List'!F6),N(FR123)+N(FS123)))+((GT123=2)*GV123+(GX123=2)*GZ123+(HB123=2)*HD123+(HF123=2)*HH123+(HJ123=2)*HL123+(HN123=2)*HP123+(HR123=2)*HT123+(HV123=2)*HX123)</f>
        <v/>
      </c>
      <c r="FU123">
        <f>MAX(0,ROUND(N(FR123)+N(FS123)-N(FT123),2))</f>
        <v/>
      </c>
      <c r="FV123">
        <f>N(FY122)</f>
        <v/>
      </c>
      <c r="FW123">
        <f>IF(N(FV123)&lt;=0.005,0,ROUND(N(FV123)*N('Debt List'!E7)/12,2))</f>
        <v/>
      </c>
      <c r="FX123">
        <f>IF(N(FV123)&lt;=0.005,0,MIN(N('Debt List'!F7),N(FV123)+N(FW123)))+((GT123=3)*GV123+(GX123=3)*GZ123+(HB123=3)*HD123+(HF123=3)*HH123+(HJ123=3)*HL123+(HN123=3)*HP123+(HR123=3)*HT123+(HV123=3)*HX123)</f>
        <v/>
      </c>
      <c r="FY123">
        <f>MAX(0,ROUND(N(FV123)+N(FW123)-N(FX123),2))</f>
        <v/>
      </c>
      <c r="FZ123">
        <f>N(GC122)</f>
        <v/>
      </c>
      <c r="GA123">
        <f>IF(N(FZ123)&lt;=0.005,0,ROUND(N(FZ123)*N('Debt List'!E8)/12,2))</f>
        <v/>
      </c>
      <c r="GB123">
        <f>IF(N(FZ123)&lt;=0.005,0,MIN(N('Debt List'!F8),N(FZ123)+N(GA123)))+((GT123=4)*GV123+(GX123=4)*GZ123+(HB123=4)*HD123+(HF123=4)*HH123+(HJ123=4)*HL123+(HN123=4)*HP123+(HR123=4)*HT123+(HV123=4)*HX123)</f>
        <v/>
      </c>
      <c r="GC123">
        <f>MAX(0,ROUND(N(FZ123)+N(GA123)-N(GB123),2))</f>
        <v/>
      </c>
      <c r="GD123">
        <f>N(GG122)</f>
        <v/>
      </c>
      <c r="GE123">
        <f>IF(N(GD123)&lt;=0.005,0,ROUND(N(GD123)*N('Debt List'!E9)/12,2))</f>
        <v/>
      </c>
      <c r="GF123">
        <f>IF(N(GD123)&lt;=0.005,0,MIN(N('Debt List'!F9),N(GD123)+N(GE123)))+((GT123=5)*GV123+(GX123=5)*GZ123+(HB123=5)*HD123+(HF123=5)*HH123+(HJ123=5)*HL123+(HN123=5)*HP123+(HR123=5)*HT123+(HV123=5)*HX123)</f>
        <v/>
      </c>
      <c r="GG123">
        <f>MAX(0,ROUND(N(GD123)+N(GE123)-N(GF123),2))</f>
        <v/>
      </c>
      <c r="GH123">
        <f>N(GK122)</f>
        <v/>
      </c>
      <c r="GI123">
        <f>IF(N(GH123)&lt;=0.005,0,ROUND(N(GH123)*N('Debt List'!E10)/12,2))</f>
        <v/>
      </c>
      <c r="GJ123">
        <f>IF(N(GH123)&lt;=0.005,0,MIN(N('Debt List'!F10),N(GH123)+N(GI123)))+((GT123=6)*GV123+(GX123=6)*GZ123+(HB123=6)*HD123+(HF123=6)*HH123+(HJ123=6)*HL123+(HN123=6)*HP123+(HR123=6)*HT123+(HV123=6)*HX123)</f>
        <v/>
      </c>
      <c r="GK123">
        <f>MAX(0,ROUND(N(GH123)+N(GI123)-N(GJ123),2))</f>
        <v/>
      </c>
      <c r="GL123">
        <f>N(GO122)</f>
        <v/>
      </c>
      <c r="GM123">
        <f>IF(N(GL123)&lt;=0.005,0,ROUND(N(GL123)*N('Debt List'!E11)/12,2))</f>
        <v/>
      </c>
      <c r="GN123">
        <f>IF(N(GL123)&lt;=0.005,0,MIN(N('Debt List'!F11),N(GL123)+N(GM123)))+((GT123=7)*GV123+(GX123=7)*GZ123+(HB123=7)*HD123+(HF123=7)*HH123+(HJ123=7)*HL123+(HN123=7)*HP123+(HR123=7)*HT123+(HV123=7)*HX123)</f>
        <v/>
      </c>
      <c r="GO123">
        <f>MAX(0,ROUND(N(GL123)+N(GM123)-N(GN123),2))</f>
        <v/>
      </c>
      <c r="GP123">
        <f>N(GS122)</f>
        <v/>
      </c>
      <c r="GQ123">
        <f>IF(N(GP123)&lt;=0.005,0,ROUND(N(GP123)*N('Debt List'!E12)/12,2))</f>
        <v/>
      </c>
      <c r="GR123">
        <f>IF(N(GP123)&lt;=0.005,0,MIN(N('Debt List'!F12),N(GP123)+N(GQ123)))+((GT123=8)*GV123+(GX123=8)*GZ123+(HB123=8)*HD123+(HF123=8)*HH123+(HJ123=8)*HL123+(HN123=8)*HP123+(HR123=8)*HT123+(HV123=8)*HX123)</f>
        <v/>
      </c>
      <c r="GS123">
        <f>MAX(0,ROUND(N(GP123)+N(GQ123)-N(GR123),2))</f>
        <v/>
      </c>
      <c r="GT123">
        <f>IFERROR(MATCH(1,OrderAval,0),"")</f>
        <v/>
      </c>
      <c r="GU123">
        <f>IF(GT123="",0,IFERROR(IF(N(CHOOSE(GT123,FN123,FR123,FV123,FZ123,GD123,GH123,GL123,GP123))&lt;=0.005,0,MAX(0,N(CHOOSE(GT123,FN123,FR123,FV123,FZ123,GD123,GH123,GL123,GP123))+N(CHOOSE(GT123,FO123,FS123,FW123,GA123,GE123,GI123,GM123,GQ123))-MIN(N(CHOOSE(GT123,'Debt List'!$F$5,'Debt List'!$F$6,'Debt List'!$F$7,'Debt List'!$F$8,'Debt List'!$F$9,'Debt List'!$F$10,'Debt List'!$F$11,'Debt List'!$F$12)),N(CHOOSE(GT123,FN123,FR123,FV123,FZ123,GD123,GH123,GL123,GP123))+N(CHOOSE(GT123,FO123,FS123,FW123,GA123,GE123,GI123,GM123,GQ123))))),0))</f>
        <v/>
      </c>
      <c r="GV123">
        <f>MIN(N(GU123),MAX(0,N(ExtraPayment)))</f>
        <v/>
      </c>
      <c r="GW123">
        <f>MAX(0,N(ExtraPayment)-N(GV123))</f>
        <v/>
      </c>
      <c r="GX123">
        <f>IFERROR(MATCH(2,OrderAval,0),"")</f>
        <v/>
      </c>
      <c r="GY123">
        <f>IF(GX123="",0,IFERROR(IF(N(CHOOSE(GX123,FN123,FR123,FV123,FZ123,GD123,GH123,GL123,GP123))&lt;=0.005,0,MAX(0,N(CHOOSE(GX123,FN123,FR123,FV123,FZ123,GD123,GH123,GL123,GP123))+N(CHOOSE(GX123,FO123,FS123,FW123,GA123,GE123,GI123,GM123,GQ123))-MIN(N(CHOOSE(GX123,'Debt List'!$F$5,'Debt List'!$F$6,'Debt List'!$F$7,'Debt List'!$F$8,'Debt List'!$F$9,'Debt List'!$F$10,'Debt List'!$F$11,'Debt List'!$F$12)),N(CHOOSE(GX123,FN123,FR123,FV123,FZ123,GD123,GH123,GL123,GP123))+N(CHOOSE(GX123,FO123,FS123,FW123,GA123,GE123,GI123,GM123,GQ123))))),0))</f>
        <v/>
      </c>
      <c r="GZ123">
        <f>MIN(N(GY123),MAX(0,N(GW123)))</f>
        <v/>
      </c>
      <c r="HA123">
        <f>MAX(0,N(GW123)-N(GZ123))</f>
        <v/>
      </c>
      <c r="HB123">
        <f>IFERROR(MATCH(3,OrderAval,0),"")</f>
        <v/>
      </c>
      <c r="HC123">
        <f>IF(HB123="",0,IFERROR(IF(N(CHOOSE(HB123,FN123,FR123,FV123,FZ123,GD123,GH123,GL123,GP123))&lt;=0.005,0,MAX(0,N(CHOOSE(HB123,FN123,FR123,FV123,FZ123,GD123,GH123,GL123,GP123))+N(CHOOSE(HB123,FO123,FS123,FW123,GA123,GE123,GI123,GM123,GQ123))-MIN(N(CHOOSE(HB123,'Debt List'!$F$5,'Debt List'!$F$6,'Debt List'!$F$7,'Debt List'!$F$8,'Debt List'!$F$9,'Debt List'!$F$10,'Debt List'!$F$11,'Debt List'!$F$12)),N(CHOOSE(HB123,FN123,FR123,FV123,FZ123,GD123,GH123,GL123,GP123))+N(CHOOSE(HB123,FO123,FS123,FW123,GA123,GE123,GI123,GM123,GQ123))))),0))</f>
        <v/>
      </c>
      <c r="HD123">
        <f>MIN(N(HC123),MAX(0,N(HA123)))</f>
        <v/>
      </c>
      <c r="HE123">
        <f>MAX(0,N(HA123)-N(HD123))</f>
        <v/>
      </c>
      <c r="HF123">
        <f>IFERROR(MATCH(4,OrderAval,0),"")</f>
        <v/>
      </c>
      <c r="HG123">
        <f>IF(HF123="",0,IFERROR(IF(N(CHOOSE(HF123,FN123,FR123,FV123,FZ123,GD123,GH123,GL123,GP123))&lt;=0.005,0,MAX(0,N(CHOOSE(HF123,FN123,FR123,FV123,FZ123,GD123,GH123,GL123,GP123))+N(CHOOSE(HF123,FO123,FS123,FW123,GA123,GE123,GI123,GM123,GQ123))-MIN(N(CHOOSE(HF123,'Debt List'!$F$5,'Debt List'!$F$6,'Debt List'!$F$7,'Debt List'!$F$8,'Debt List'!$F$9,'Debt List'!$F$10,'Debt List'!$F$11,'Debt List'!$F$12)),N(CHOOSE(HF123,FN123,FR123,FV123,FZ123,GD123,GH123,GL123,GP123))+N(CHOOSE(HF123,FO123,FS123,FW123,GA123,GE123,GI123,GM123,GQ123))))),0))</f>
        <v/>
      </c>
      <c r="HH123">
        <f>MIN(N(HG123),MAX(0,N(HE123)))</f>
        <v/>
      </c>
      <c r="HI123">
        <f>MAX(0,N(HE123)-N(HH123))</f>
        <v/>
      </c>
      <c r="HJ123">
        <f>IFERROR(MATCH(5,OrderAval,0),"")</f>
        <v/>
      </c>
      <c r="HK123">
        <f>IF(HJ123="",0,IFERROR(IF(N(CHOOSE(HJ123,FN123,FR123,FV123,FZ123,GD123,GH123,GL123,GP123))&lt;=0.005,0,MAX(0,N(CHOOSE(HJ123,FN123,FR123,FV123,FZ123,GD123,GH123,GL123,GP123))+N(CHOOSE(HJ123,FO123,FS123,FW123,GA123,GE123,GI123,GM123,GQ123))-MIN(N(CHOOSE(HJ123,'Debt List'!$F$5,'Debt List'!$F$6,'Debt List'!$F$7,'Debt List'!$F$8,'Debt List'!$F$9,'Debt List'!$F$10,'Debt List'!$F$11,'Debt List'!$F$12)),N(CHOOSE(HJ123,FN123,FR123,FV123,FZ123,GD123,GH123,GL123,GP123))+N(CHOOSE(HJ123,FO123,FS123,FW123,GA123,GE123,GI123,GM123,GQ123))))),0))</f>
        <v/>
      </c>
      <c r="HL123">
        <f>MIN(N(HK123),MAX(0,N(HI123)))</f>
        <v/>
      </c>
      <c r="HM123">
        <f>MAX(0,N(HI123)-N(HL123))</f>
        <v/>
      </c>
      <c r="HN123">
        <f>IFERROR(MATCH(6,OrderAval,0),"")</f>
        <v/>
      </c>
      <c r="HO123">
        <f>IF(HN123="",0,IFERROR(IF(N(CHOOSE(HN123,FN123,FR123,FV123,FZ123,GD123,GH123,GL123,GP123))&lt;=0.005,0,MAX(0,N(CHOOSE(HN123,FN123,FR123,FV123,FZ123,GD123,GH123,GL123,GP123))+N(CHOOSE(HN123,FO123,FS123,FW123,GA123,GE123,GI123,GM123,GQ123))-MIN(N(CHOOSE(HN123,'Debt List'!$F$5,'Debt List'!$F$6,'Debt List'!$F$7,'Debt List'!$F$8,'Debt List'!$F$9,'Debt List'!$F$10,'Debt List'!$F$11,'Debt List'!$F$12)),N(CHOOSE(HN123,FN123,FR123,FV123,FZ123,GD123,GH123,GL123,GP123))+N(CHOOSE(HN123,FO123,FS123,FW123,GA123,GE123,GI123,GM123,GQ123))))),0))</f>
        <v/>
      </c>
      <c r="HP123">
        <f>MIN(N(HO123),MAX(0,N(HM123)))</f>
        <v/>
      </c>
      <c r="HQ123">
        <f>MAX(0,N(HM123)-N(HP123))</f>
        <v/>
      </c>
      <c r="HR123">
        <f>IFERROR(MATCH(7,OrderAval,0),"")</f>
        <v/>
      </c>
      <c r="HS123">
        <f>IF(HR123="",0,IFERROR(IF(N(CHOOSE(HR123,FN123,FR123,FV123,FZ123,GD123,GH123,GL123,GP123))&lt;=0.005,0,MAX(0,N(CHOOSE(HR123,FN123,FR123,FV123,FZ123,GD123,GH123,GL123,GP123))+N(CHOOSE(HR123,FO123,FS123,FW123,GA123,GE123,GI123,GM123,GQ123))-MIN(N(CHOOSE(HR123,'Debt List'!$F$5,'Debt List'!$F$6,'Debt List'!$F$7,'Debt List'!$F$8,'Debt List'!$F$9,'Debt List'!$F$10,'Debt List'!$F$11,'Debt List'!$F$12)),N(CHOOSE(HR123,FN123,FR123,FV123,FZ123,GD123,GH123,GL123,GP123))+N(CHOOSE(HR123,FO123,FS123,FW123,GA123,GE123,GI123,GM123,GQ123))))),0))</f>
        <v/>
      </c>
      <c r="HT123">
        <f>MIN(N(HS123),MAX(0,N(HQ123)))</f>
        <v/>
      </c>
      <c r="HU123">
        <f>MAX(0,N(HQ123)-N(HT123))</f>
        <v/>
      </c>
      <c r="HV123">
        <f>IFERROR(MATCH(8,OrderAval,0),"")</f>
        <v/>
      </c>
      <c r="HW123">
        <f>IF(HV123="",0,IFERROR(IF(N(CHOOSE(HV123,FN123,FR123,FV123,FZ123,GD123,GH123,GL123,GP123))&lt;=0.005,0,MAX(0,N(CHOOSE(HV123,FN123,FR123,FV123,FZ123,GD123,GH123,GL123,GP123))+N(CHOOSE(HV123,FO123,FS123,FW123,GA123,GE123,GI123,GM123,GQ123))-MIN(N(CHOOSE(HV123,'Debt List'!$F$5,'Debt List'!$F$6,'Debt List'!$F$7,'Debt List'!$F$8,'Debt List'!$F$9,'Debt List'!$F$10,'Debt List'!$F$11,'Debt List'!$F$12)),N(CHOOSE(HV123,FN123,FR123,FV123,FZ123,GD123,GH123,GL123,GP123))+N(CHOOSE(HV123,FO123,FS123,FW123,GA123,GE123,GI123,GM123,GQ123))))),0))</f>
        <v/>
      </c>
      <c r="HX123">
        <f>MIN(N(HW123),MAX(0,N(HU123)))</f>
        <v/>
      </c>
      <c r="HY123">
        <f>MAX(0,N(HU123)-N(HX123))</f>
        <v/>
      </c>
    </row>
    <row r="124">
      <c r="A124" t="n">
        <v>120</v>
      </c>
      <c r="B124" s="115">
        <f>DATE(YEAR(PlanStart),MONTH(PlanStart)+A124-1,1)</f>
        <v/>
      </c>
      <c r="C124">
        <f>IF(AND(AP124&lt;&gt;"",N(CHOOSE(AP124,J124,N124,R124,V124,Z124,AD124,AH124,AL124))&gt;0.005),INDEX(DebtNames,AP124),IF(AND(AT124&lt;&gt;"",N(CHOOSE(AT124,J124,N124,R124,V124,Z124,AD124,AH124,AL124))&gt;0.005),INDEX(DebtNames,AT124),IF(AND(AX124&lt;&gt;"",N(CHOOSE(AX124,J124,N124,R124,V124,Z124,AD124,AH124,AL124))&gt;0.005),INDEX(DebtNames,AX124),IF(AND(BB124&lt;&gt;"",N(CHOOSE(BB124,J124,N124,R124,V124,Z124,AD124,AH124,AL124))&gt;0.005),INDEX(DebtNames,BB124),IF(AND(BF124&lt;&gt;"",N(CHOOSE(BF124,J124,N124,R124,V124,Z124,AD124,AH124,AL124))&gt;0.005),INDEX(DebtNames,BF124),IF(AND(BJ124&lt;&gt;"",N(CHOOSE(BJ124,J124,N124,R124,V124,Z124,AD124,AH124,AL124))&gt;0.005),INDEX(DebtNames,BJ124),IF(AND(BN124&lt;&gt;"",N(CHOOSE(BN124,J124,N124,R124,V124,Z124,AD124,AH124,AL124))&gt;0.005),INDEX(DebtNames,BN124),IF(AND(BR124&lt;&gt;"",N(CHOOSE(BR124,J124,N124,R124,V124,Z124,AD124,AH124,AL124))&gt;0.005),INDEX(DebtNames,BR124),""))))))))</f>
        <v/>
      </c>
      <c r="D124">
        <f>N(BU124)</f>
        <v/>
      </c>
      <c r="E124">
        <f>N(L124)+N(P124)+N(T124)+N(X124)+N(AB124)+N(AF124)+N(AJ124)+N(AN124)</f>
        <v/>
      </c>
      <c r="F124">
        <f>N(K124)+N(O124)+N(S124)+N(W124)+N(AA124)+N(AE124)+N(AI124)+N(AM124)</f>
        <v/>
      </c>
      <c r="G124">
        <f>N(G123)+N(F124)</f>
        <v/>
      </c>
      <c r="H124">
        <f>N(M124)+N(Q124)+N(U124)+N(Y124)+N(AC124)+N(AG124)+N(AK124)+N(AO124)</f>
        <v/>
      </c>
      <c r="I124">
        <f>(M124&gt;0.005)*1+(Q124&gt;0.005)*1+(U124&gt;0.005)*1+(Y124&gt;0.005)*1+(AC124&gt;0.005)*1+(AG124&gt;0.005)*1+(AK124&gt;0.005)*1+(AO124&gt;0.005)*1</f>
        <v/>
      </c>
      <c r="J124">
        <f>N(M123)</f>
        <v/>
      </c>
      <c r="K124">
        <f>IF(N(J124)&lt;=0.005,0,ROUND(N(J124)*N('Debt List'!E5)/12,2))</f>
        <v/>
      </c>
      <c r="L124">
        <f>IF(N(J124)&lt;=0.005,0,MIN(N('Debt List'!F5),N(J124)+N(K124)))+((AP124=1)*AR124+(AT124=1)*AV124+(AX124=1)*AZ124+(BB124=1)*BD124+(BF124=1)*BH124+(BJ124=1)*BL124+(BN124=1)*BP124+(BR124=1)*BT124)</f>
        <v/>
      </c>
      <c r="M124">
        <f>MAX(0,ROUND(N(J124)+N(K124)-N(L124),2))</f>
        <v/>
      </c>
      <c r="N124">
        <f>N(Q123)</f>
        <v/>
      </c>
      <c r="O124">
        <f>IF(N(N124)&lt;=0.005,0,ROUND(N(N124)*N('Debt List'!E6)/12,2))</f>
        <v/>
      </c>
      <c r="P124">
        <f>IF(N(N124)&lt;=0.005,0,MIN(N('Debt List'!F6),N(N124)+N(O124)))+((AP124=2)*AR124+(AT124=2)*AV124+(AX124=2)*AZ124+(BB124=2)*BD124+(BF124=2)*BH124+(BJ124=2)*BL124+(BN124=2)*BP124+(BR124=2)*BT124)</f>
        <v/>
      </c>
      <c r="Q124">
        <f>MAX(0,ROUND(N(N124)+N(O124)-N(P124),2))</f>
        <v/>
      </c>
      <c r="R124">
        <f>N(U123)</f>
        <v/>
      </c>
      <c r="S124">
        <f>IF(N(R124)&lt;=0.005,0,ROUND(N(R124)*N('Debt List'!E7)/12,2))</f>
        <v/>
      </c>
      <c r="T124">
        <f>IF(N(R124)&lt;=0.005,0,MIN(N('Debt List'!F7),N(R124)+N(S124)))+((AP124=3)*AR124+(AT124=3)*AV124+(AX124=3)*AZ124+(BB124=3)*BD124+(BF124=3)*BH124+(BJ124=3)*BL124+(BN124=3)*BP124+(BR124=3)*BT124)</f>
        <v/>
      </c>
      <c r="U124">
        <f>MAX(0,ROUND(N(R124)+N(S124)-N(T124),2))</f>
        <v/>
      </c>
      <c r="V124">
        <f>N(Y123)</f>
        <v/>
      </c>
      <c r="W124">
        <f>IF(N(V124)&lt;=0.005,0,ROUND(N(V124)*N('Debt List'!E8)/12,2))</f>
        <v/>
      </c>
      <c r="X124">
        <f>IF(N(V124)&lt;=0.005,0,MIN(N('Debt List'!F8),N(V124)+N(W124)))+((AP124=4)*AR124+(AT124=4)*AV124+(AX124=4)*AZ124+(BB124=4)*BD124+(BF124=4)*BH124+(BJ124=4)*BL124+(BN124=4)*BP124+(BR124=4)*BT124)</f>
        <v/>
      </c>
      <c r="Y124">
        <f>MAX(0,ROUND(N(V124)+N(W124)-N(X124),2))</f>
        <v/>
      </c>
      <c r="Z124">
        <f>N(AC123)</f>
        <v/>
      </c>
      <c r="AA124">
        <f>IF(N(Z124)&lt;=0.005,0,ROUND(N(Z124)*N('Debt List'!E9)/12,2))</f>
        <v/>
      </c>
      <c r="AB124">
        <f>IF(N(Z124)&lt;=0.005,0,MIN(N('Debt List'!F9),N(Z124)+N(AA124)))+((AP124=5)*AR124+(AT124=5)*AV124+(AX124=5)*AZ124+(BB124=5)*BD124+(BF124=5)*BH124+(BJ124=5)*BL124+(BN124=5)*BP124+(BR124=5)*BT124)</f>
        <v/>
      </c>
      <c r="AC124">
        <f>MAX(0,ROUND(N(Z124)+N(AA124)-N(AB124),2))</f>
        <v/>
      </c>
      <c r="AD124">
        <f>N(AG123)</f>
        <v/>
      </c>
      <c r="AE124">
        <f>IF(N(AD124)&lt;=0.005,0,ROUND(N(AD124)*N('Debt List'!E10)/12,2))</f>
        <v/>
      </c>
      <c r="AF124">
        <f>IF(N(AD124)&lt;=0.005,0,MIN(N('Debt List'!F10),N(AD124)+N(AE124)))+((AP124=6)*AR124+(AT124=6)*AV124+(AX124=6)*AZ124+(BB124=6)*BD124+(BF124=6)*BH124+(BJ124=6)*BL124+(BN124=6)*BP124+(BR124=6)*BT124)</f>
        <v/>
      </c>
      <c r="AG124">
        <f>MAX(0,ROUND(N(AD124)+N(AE124)-N(AF124),2))</f>
        <v/>
      </c>
      <c r="AH124">
        <f>N(AK123)</f>
        <v/>
      </c>
      <c r="AI124">
        <f>IF(N(AH124)&lt;=0.005,0,ROUND(N(AH124)*N('Debt List'!E11)/12,2))</f>
        <v/>
      </c>
      <c r="AJ124">
        <f>IF(N(AH124)&lt;=0.005,0,MIN(N('Debt List'!F11),N(AH124)+N(AI124)))+((AP124=7)*AR124+(AT124=7)*AV124+(AX124=7)*AZ124+(BB124=7)*BD124+(BF124=7)*BH124+(BJ124=7)*BL124+(BN124=7)*BP124+(BR124=7)*BT124)</f>
        <v/>
      </c>
      <c r="AK124">
        <f>MAX(0,ROUND(N(AH124)+N(AI124)-N(AJ124),2))</f>
        <v/>
      </c>
      <c r="AL124">
        <f>N(AO123)</f>
        <v/>
      </c>
      <c r="AM124">
        <f>IF(N(AL124)&lt;=0.005,0,ROUND(N(AL124)*N('Debt List'!E12)/12,2))</f>
        <v/>
      </c>
      <c r="AN124">
        <f>IF(N(AL124)&lt;=0.005,0,MIN(N('Debt List'!F12),N(AL124)+N(AM124)))+((AP124=8)*AR124+(AT124=8)*AV124+(AX124=8)*AZ124+(BB124=8)*BD124+(BF124=8)*BH124+(BJ124=8)*BL124+(BN124=8)*BP124+(BR124=8)*BT124)</f>
        <v/>
      </c>
      <c r="AO124">
        <f>MAX(0,ROUND(N(AL124)+N(AM124)-N(AN124),2))</f>
        <v/>
      </c>
      <c r="AP124">
        <f>IFERROR(MATCH(1,OrderPlan,0),"")</f>
        <v/>
      </c>
      <c r="AQ124">
        <f>IF(AP124="",0,IFERROR(IF(N(CHOOSE(AP124,J124,N124,R124,V124,Z124,AD124,AH124,AL124))&lt;=0.005,0,MAX(0,N(CHOOSE(AP124,J124,N124,R124,V124,Z124,AD124,AH124,AL124))+N(CHOOSE(AP124,K124,O124,S124,W124,AA124,AE124,AI124,AM124))-MIN(N(CHOOSE(AP124,'Debt List'!$F$5,'Debt List'!$F$6,'Debt List'!$F$7,'Debt List'!$F$8,'Debt List'!$F$9,'Debt List'!$F$10,'Debt List'!$F$11,'Debt List'!$F$12)),N(CHOOSE(AP124,J124,N124,R124,V124,Z124,AD124,AH124,AL124))+N(CHOOSE(AP124,K124,O124,S124,W124,AA124,AE124,AI124,AM124))))),0))</f>
        <v/>
      </c>
      <c r="AR124">
        <f>MIN(N(AQ124),MAX(0,N(ExtraPayment)))</f>
        <v/>
      </c>
      <c r="AS124">
        <f>MAX(0,N(ExtraPayment)-N(AR124))</f>
        <v/>
      </c>
      <c r="AT124">
        <f>IFERROR(MATCH(2,OrderPlan,0),"")</f>
        <v/>
      </c>
      <c r="AU124">
        <f>IF(AT124="",0,IFERROR(IF(N(CHOOSE(AT124,J124,N124,R124,V124,Z124,AD124,AH124,AL124))&lt;=0.005,0,MAX(0,N(CHOOSE(AT124,J124,N124,R124,V124,Z124,AD124,AH124,AL124))+N(CHOOSE(AT124,K124,O124,S124,W124,AA124,AE124,AI124,AM124))-MIN(N(CHOOSE(AT124,'Debt List'!$F$5,'Debt List'!$F$6,'Debt List'!$F$7,'Debt List'!$F$8,'Debt List'!$F$9,'Debt List'!$F$10,'Debt List'!$F$11,'Debt List'!$F$12)),N(CHOOSE(AT124,J124,N124,R124,V124,Z124,AD124,AH124,AL124))+N(CHOOSE(AT124,K124,O124,S124,W124,AA124,AE124,AI124,AM124))))),0))</f>
        <v/>
      </c>
      <c r="AV124">
        <f>MIN(N(AU124),MAX(0,N(AS124)))</f>
        <v/>
      </c>
      <c r="AW124">
        <f>MAX(0,N(AS124)-N(AV124))</f>
        <v/>
      </c>
      <c r="AX124">
        <f>IFERROR(MATCH(3,OrderPlan,0),"")</f>
        <v/>
      </c>
      <c r="AY124">
        <f>IF(AX124="",0,IFERROR(IF(N(CHOOSE(AX124,J124,N124,R124,V124,Z124,AD124,AH124,AL124))&lt;=0.005,0,MAX(0,N(CHOOSE(AX124,J124,N124,R124,V124,Z124,AD124,AH124,AL124))+N(CHOOSE(AX124,K124,O124,S124,W124,AA124,AE124,AI124,AM124))-MIN(N(CHOOSE(AX124,'Debt List'!$F$5,'Debt List'!$F$6,'Debt List'!$F$7,'Debt List'!$F$8,'Debt List'!$F$9,'Debt List'!$F$10,'Debt List'!$F$11,'Debt List'!$F$12)),N(CHOOSE(AX124,J124,N124,R124,V124,Z124,AD124,AH124,AL124))+N(CHOOSE(AX124,K124,O124,S124,W124,AA124,AE124,AI124,AM124))))),0))</f>
        <v/>
      </c>
      <c r="AZ124">
        <f>MIN(N(AY124),MAX(0,N(AW124)))</f>
        <v/>
      </c>
      <c r="BA124">
        <f>MAX(0,N(AW124)-N(AZ124))</f>
        <v/>
      </c>
      <c r="BB124">
        <f>IFERROR(MATCH(4,OrderPlan,0),"")</f>
        <v/>
      </c>
      <c r="BC124">
        <f>IF(BB124="",0,IFERROR(IF(N(CHOOSE(BB124,J124,N124,R124,V124,Z124,AD124,AH124,AL124))&lt;=0.005,0,MAX(0,N(CHOOSE(BB124,J124,N124,R124,V124,Z124,AD124,AH124,AL124))+N(CHOOSE(BB124,K124,O124,S124,W124,AA124,AE124,AI124,AM124))-MIN(N(CHOOSE(BB124,'Debt List'!$F$5,'Debt List'!$F$6,'Debt List'!$F$7,'Debt List'!$F$8,'Debt List'!$F$9,'Debt List'!$F$10,'Debt List'!$F$11,'Debt List'!$F$12)),N(CHOOSE(BB124,J124,N124,R124,V124,Z124,AD124,AH124,AL124))+N(CHOOSE(BB124,K124,O124,S124,W124,AA124,AE124,AI124,AM124))))),0))</f>
        <v/>
      </c>
      <c r="BD124">
        <f>MIN(N(BC124),MAX(0,N(BA124)))</f>
        <v/>
      </c>
      <c r="BE124">
        <f>MAX(0,N(BA124)-N(BD124))</f>
        <v/>
      </c>
      <c r="BF124">
        <f>IFERROR(MATCH(5,OrderPlan,0),"")</f>
        <v/>
      </c>
      <c r="BG124">
        <f>IF(BF124="",0,IFERROR(IF(N(CHOOSE(BF124,J124,N124,R124,V124,Z124,AD124,AH124,AL124))&lt;=0.005,0,MAX(0,N(CHOOSE(BF124,J124,N124,R124,V124,Z124,AD124,AH124,AL124))+N(CHOOSE(BF124,K124,O124,S124,W124,AA124,AE124,AI124,AM124))-MIN(N(CHOOSE(BF124,'Debt List'!$F$5,'Debt List'!$F$6,'Debt List'!$F$7,'Debt List'!$F$8,'Debt List'!$F$9,'Debt List'!$F$10,'Debt List'!$F$11,'Debt List'!$F$12)),N(CHOOSE(BF124,J124,N124,R124,V124,Z124,AD124,AH124,AL124))+N(CHOOSE(BF124,K124,O124,S124,W124,AA124,AE124,AI124,AM124))))),0))</f>
        <v/>
      </c>
      <c r="BH124">
        <f>MIN(N(BG124),MAX(0,N(BE124)))</f>
        <v/>
      </c>
      <c r="BI124">
        <f>MAX(0,N(BE124)-N(BH124))</f>
        <v/>
      </c>
      <c r="BJ124">
        <f>IFERROR(MATCH(6,OrderPlan,0),"")</f>
        <v/>
      </c>
      <c r="BK124">
        <f>IF(BJ124="",0,IFERROR(IF(N(CHOOSE(BJ124,J124,N124,R124,V124,Z124,AD124,AH124,AL124))&lt;=0.005,0,MAX(0,N(CHOOSE(BJ124,J124,N124,R124,V124,Z124,AD124,AH124,AL124))+N(CHOOSE(BJ124,K124,O124,S124,W124,AA124,AE124,AI124,AM124))-MIN(N(CHOOSE(BJ124,'Debt List'!$F$5,'Debt List'!$F$6,'Debt List'!$F$7,'Debt List'!$F$8,'Debt List'!$F$9,'Debt List'!$F$10,'Debt List'!$F$11,'Debt List'!$F$12)),N(CHOOSE(BJ124,J124,N124,R124,V124,Z124,AD124,AH124,AL124))+N(CHOOSE(BJ124,K124,O124,S124,W124,AA124,AE124,AI124,AM124))))),0))</f>
        <v/>
      </c>
      <c r="BL124">
        <f>MIN(N(BK124),MAX(0,N(BI124)))</f>
        <v/>
      </c>
      <c r="BM124">
        <f>MAX(0,N(BI124)-N(BL124))</f>
        <v/>
      </c>
      <c r="BN124">
        <f>IFERROR(MATCH(7,OrderPlan,0),"")</f>
        <v/>
      </c>
      <c r="BO124">
        <f>IF(BN124="",0,IFERROR(IF(N(CHOOSE(BN124,J124,N124,R124,V124,Z124,AD124,AH124,AL124))&lt;=0.005,0,MAX(0,N(CHOOSE(BN124,J124,N124,R124,V124,Z124,AD124,AH124,AL124))+N(CHOOSE(BN124,K124,O124,S124,W124,AA124,AE124,AI124,AM124))-MIN(N(CHOOSE(BN124,'Debt List'!$F$5,'Debt List'!$F$6,'Debt List'!$F$7,'Debt List'!$F$8,'Debt List'!$F$9,'Debt List'!$F$10,'Debt List'!$F$11,'Debt List'!$F$12)),N(CHOOSE(BN124,J124,N124,R124,V124,Z124,AD124,AH124,AL124))+N(CHOOSE(BN124,K124,O124,S124,W124,AA124,AE124,AI124,AM124))))),0))</f>
        <v/>
      </c>
      <c r="BP124">
        <f>MIN(N(BO124),MAX(0,N(BM124)))</f>
        <v/>
      </c>
      <c r="BQ124">
        <f>MAX(0,N(BM124)-N(BP124))</f>
        <v/>
      </c>
      <c r="BR124">
        <f>IFERROR(MATCH(8,OrderPlan,0),"")</f>
        <v/>
      </c>
      <c r="BS124">
        <f>IF(BR124="",0,IFERROR(IF(N(CHOOSE(BR124,J124,N124,R124,V124,Z124,AD124,AH124,AL124))&lt;=0.005,0,MAX(0,N(CHOOSE(BR124,J124,N124,R124,V124,Z124,AD124,AH124,AL124))+N(CHOOSE(BR124,K124,O124,S124,W124,AA124,AE124,AI124,AM124))-MIN(N(CHOOSE(BR124,'Debt List'!$F$5,'Debt List'!$F$6,'Debt List'!$F$7,'Debt List'!$F$8,'Debt List'!$F$9,'Debt List'!$F$10,'Debt List'!$F$11,'Debt List'!$F$12)),N(CHOOSE(BR124,J124,N124,R124,V124,Z124,AD124,AH124,AL124))+N(CHOOSE(BR124,K124,O124,S124,W124,AA124,AE124,AI124,AM124))))),0))</f>
        <v/>
      </c>
      <c r="BT124">
        <f>MIN(N(BS124),MAX(0,N(BQ124)))</f>
        <v/>
      </c>
      <c r="BU124">
        <f>MAX(0,N(BQ124)-N(BT124))</f>
        <v/>
      </c>
      <c r="CC124" t="n">
        <v>120</v>
      </c>
      <c r="CD124" s="115">
        <f>DATE(YEAR(PlanStart),MONTH(PlanStart)+CC124-1,1)</f>
        <v/>
      </c>
      <c r="CE124">
        <f>IF(AND(DR124&lt;&gt;"",N(CHOOSE(DR124,CL124,CP124,CT124,CX124,DB124,DF124,DJ124,DN124))&gt;0.005),INDEX(DebtNames,DR124),IF(AND(DV124&lt;&gt;"",N(CHOOSE(DV124,CL124,CP124,CT124,CX124,DB124,DF124,DJ124,DN124))&gt;0.005),INDEX(DebtNames,DV124),IF(AND(DZ124&lt;&gt;"",N(CHOOSE(DZ124,CL124,CP124,CT124,CX124,DB124,DF124,DJ124,DN124))&gt;0.005),INDEX(DebtNames,DZ124),IF(AND(ED124&lt;&gt;"",N(CHOOSE(ED124,CL124,CP124,CT124,CX124,DB124,DF124,DJ124,DN124))&gt;0.005),INDEX(DebtNames,ED124),IF(AND(EH124&lt;&gt;"",N(CHOOSE(EH124,CL124,CP124,CT124,CX124,DB124,DF124,DJ124,DN124))&gt;0.005),INDEX(DebtNames,EH124),IF(AND(EL124&lt;&gt;"",N(CHOOSE(EL124,CL124,CP124,CT124,CX124,DB124,DF124,DJ124,DN124))&gt;0.005),INDEX(DebtNames,EL124),IF(AND(EP124&lt;&gt;"",N(CHOOSE(EP124,CL124,CP124,CT124,CX124,DB124,DF124,DJ124,DN124))&gt;0.005),INDEX(DebtNames,EP124),IF(AND(ET124&lt;&gt;"",N(CHOOSE(ET124,CL124,CP124,CT124,CX124,DB124,DF124,DJ124,DN124))&gt;0.005),INDEX(DebtNames,ET124),""))))))))</f>
        <v/>
      </c>
      <c r="CF124">
        <f>N(EW124)</f>
        <v/>
      </c>
      <c r="CG124">
        <f>N(CN124)+N(CR124)+N(CV124)+N(CZ124)+N(DD124)+N(DH124)+N(DL124)+N(DP124)</f>
        <v/>
      </c>
      <c r="CH124">
        <f>N(CM124)+N(CQ124)+N(CU124)+N(CY124)+N(DC124)+N(DG124)+N(DK124)+N(DO124)</f>
        <v/>
      </c>
      <c r="CI124">
        <f>N(CI123)+N(CH124)</f>
        <v/>
      </c>
      <c r="CJ124">
        <f>N(CO124)+N(CS124)+N(CW124)+N(DA124)+N(DE124)+N(DI124)+N(DM124)+N(DQ124)</f>
        <v/>
      </c>
      <c r="CK124">
        <f>(CO124&gt;0.005)*1+(CS124&gt;0.005)*1+(CW124&gt;0.005)*1+(DA124&gt;0.005)*1+(DE124&gt;0.005)*1+(DI124&gt;0.005)*1+(DM124&gt;0.005)*1+(DQ124&gt;0.005)*1</f>
        <v/>
      </c>
      <c r="CL124">
        <f>N(CO123)</f>
        <v/>
      </c>
      <c r="CM124">
        <f>IF(N(CL124)&lt;=0.005,0,ROUND(N(CL124)*N('Debt List'!E5)/12,2))</f>
        <v/>
      </c>
      <c r="CN124">
        <f>IF(N(CL124)&lt;=0.005,0,MIN(N('Debt List'!F5),N(CL124)+N(CM124)))+((DR124=1)*DT124+(DV124=1)*DX124+(DZ124=1)*EB124+(ED124=1)*EF124+(EH124=1)*EJ124+(EL124=1)*EN124+(EP124=1)*ER124+(ET124=1)*EV124)</f>
        <v/>
      </c>
      <c r="CO124">
        <f>MAX(0,ROUND(N(CL124)+N(CM124)-N(CN124),2))</f>
        <v/>
      </c>
      <c r="CP124">
        <f>N(CS123)</f>
        <v/>
      </c>
      <c r="CQ124">
        <f>IF(N(CP124)&lt;=0.005,0,ROUND(N(CP124)*N('Debt List'!E6)/12,2))</f>
        <v/>
      </c>
      <c r="CR124">
        <f>IF(N(CP124)&lt;=0.005,0,MIN(N('Debt List'!F6),N(CP124)+N(CQ124)))+((DR124=2)*DT124+(DV124=2)*DX124+(DZ124=2)*EB124+(ED124=2)*EF124+(EH124=2)*EJ124+(EL124=2)*EN124+(EP124=2)*ER124+(ET124=2)*EV124)</f>
        <v/>
      </c>
      <c r="CS124">
        <f>MAX(0,ROUND(N(CP124)+N(CQ124)-N(CR124),2))</f>
        <v/>
      </c>
      <c r="CT124">
        <f>N(CW123)</f>
        <v/>
      </c>
      <c r="CU124">
        <f>IF(N(CT124)&lt;=0.005,0,ROUND(N(CT124)*N('Debt List'!E7)/12,2))</f>
        <v/>
      </c>
      <c r="CV124">
        <f>IF(N(CT124)&lt;=0.005,0,MIN(N('Debt List'!F7),N(CT124)+N(CU124)))+((DR124=3)*DT124+(DV124=3)*DX124+(DZ124=3)*EB124+(ED124=3)*EF124+(EH124=3)*EJ124+(EL124=3)*EN124+(EP124=3)*ER124+(ET124=3)*EV124)</f>
        <v/>
      </c>
      <c r="CW124">
        <f>MAX(0,ROUND(N(CT124)+N(CU124)-N(CV124),2))</f>
        <v/>
      </c>
      <c r="CX124">
        <f>N(DA123)</f>
        <v/>
      </c>
      <c r="CY124">
        <f>IF(N(CX124)&lt;=0.005,0,ROUND(N(CX124)*N('Debt List'!E8)/12,2))</f>
        <v/>
      </c>
      <c r="CZ124">
        <f>IF(N(CX124)&lt;=0.005,0,MIN(N('Debt List'!F8),N(CX124)+N(CY124)))+((DR124=4)*DT124+(DV124=4)*DX124+(DZ124=4)*EB124+(ED124=4)*EF124+(EH124=4)*EJ124+(EL124=4)*EN124+(EP124=4)*ER124+(ET124=4)*EV124)</f>
        <v/>
      </c>
      <c r="DA124">
        <f>MAX(0,ROUND(N(CX124)+N(CY124)-N(CZ124),2))</f>
        <v/>
      </c>
      <c r="DB124">
        <f>N(DE123)</f>
        <v/>
      </c>
      <c r="DC124">
        <f>IF(N(DB124)&lt;=0.005,0,ROUND(N(DB124)*N('Debt List'!E9)/12,2))</f>
        <v/>
      </c>
      <c r="DD124">
        <f>IF(N(DB124)&lt;=0.005,0,MIN(N('Debt List'!F9),N(DB124)+N(DC124)))+((DR124=5)*DT124+(DV124=5)*DX124+(DZ124=5)*EB124+(ED124=5)*EF124+(EH124=5)*EJ124+(EL124=5)*EN124+(EP124=5)*ER124+(ET124=5)*EV124)</f>
        <v/>
      </c>
      <c r="DE124">
        <f>MAX(0,ROUND(N(DB124)+N(DC124)-N(DD124),2))</f>
        <v/>
      </c>
      <c r="DF124">
        <f>N(DI123)</f>
        <v/>
      </c>
      <c r="DG124">
        <f>IF(N(DF124)&lt;=0.005,0,ROUND(N(DF124)*N('Debt List'!E10)/12,2))</f>
        <v/>
      </c>
      <c r="DH124">
        <f>IF(N(DF124)&lt;=0.005,0,MIN(N('Debt List'!F10),N(DF124)+N(DG124)))+((DR124=6)*DT124+(DV124=6)*DX124+(DZ124=6)*EB124+(ED124=6)*EF124+(EH124=6)*EJ124+(EL124=6)*EN124+(EP124=6)*ER124+(ET124=6)*EV124)</f>
        <v/>
      </c>
      <c r="DI124">
        <f>MAX(0,ROUND(N(DF124)+N(DG124)-N(DH124),2))</f>
        <v/>
      </c>
      <c r="DJ124">
        <f>N(DM123)</f>
        <v/>
      </c>
      <c r="DK124">
        <f>IF(N(DJ124)&lt;=0.005,0,ROUND(N(DJ124)*N('Debt List'!E11)/12,2))</f>
        <v/>
      </c>
      <c r="DL124">
        <f>IF(N(DJ124)&lt;=0.005,0,MIN(N('Debt List'!F11),N(DJ124)+N(DK124)))+((DR124=7)*DT124+(DV124=7)*DX124+(DZ124=7)*EB124+(ED124=7)*EF124+(EH124=7)*EJ124+(EL124=7)*EN124+(EP124=7)*ER124+(ET124=7)*EV124)</f>
        <v/>
      </c>
      <c r="DM124">
        <f>MAX(0,ROUND(N(DJ124)+N(DK124)-N(DL124),2))</f>
        <v/>
      </c>
      <c r="DN124">
        <f>N(DQ123)</f>
        <v/>
      </c>
      <c r="DO124">
        <f>IF(N(DN124)&lt;=0.005,0,ROUND(N(DN124)*N('Debt List'!E12)/12,2))</f>
        <v/>
      </c>
      <c r="DP124">
        <f>IF(N(DN124)&lt;=0.005,0,MIN(N('Debt List'!F12),N(DN124)+N(DO124)))+((DR124=8)*DT124+(DV124=8)*DX124+(DZ124=8)*EB124+(ED124=8)*EF124+(EH124=8)*EJ124+(EL124=8)*EN124+(EP124=8)*ER124+(ET124=8)*EV124)</f>
        <v/>
      </c>
      <c r="DQ124">
        <f>MAX(0,ROUND(N(DN124)+N(DO124)-N(DP124),2))</f>
        <v/>
      </c>
      <c r="DR124">
        <f>IFERROR(MATCH(1,OrderSnow,0),"")</f>
        <v/>
      </c>
      <c r="DS124">
        <f>IF(DR124="",0,IFERROR(IF(N(CHOOSE(DR124,CL124,CP124,CT124,CX124,DB124,DF124,DJ124,DN124))&lt;=0.005,0,MAX(0,N(CHOOSE(DR124,CL124,CP124,CT124,CX124,DB124,DF124,DJ124,DN124))+N(CHOOSE(DR124,CM124,CQ124,CU124,CY124,DC124,DG124,DK124,DO124))-MIN(N(CHOOSE(DR124,'Debt List'!$F$5,'Debt List'!$F$6,'Debt List'!$F$7,'Debt List'!$F$8,'Debt List'!$F$9,'Debt List'!$F$10,'Debt List'!$F$11,'Debt List'!$F$12)),N(CHOOSE(DR124,CL124,CP124,CT124,CX124,DB124,DF124,DJ124,DN124))+N(CHOOSE(DR124,CM124,CQ124,CU124,CY124,DC124,DG124,DK124,DO124))))),0))</f>
        <v/>
      </c>
      <c r="DT124">
        <f>MIN(N(DS124),MAX(0,N(ExtraPayment)))</f>
        <v/>
      </c>
      <c r="DU124">
        <f>MAX(0,N(ExtraPayment)-N(DT124))</f>
        <v/>
      </c>
      <c r="DV124">
        <f>IFERROR(MATCH(2,OrderSnow,0),"")</f>
        <v/>
      </c>
      <c r="DW124">
        <f>IF(DV124="",0,IFERROR(IF(N(CHOOSE(DV124,CL124,CP124,CT124,CX124,DB124,DF124,DJ124,DN124))&lt;=0.005,0,MAX(0,N(CHOOSE(DV124,CL124,CP124,CT124,CX124,DB124,DF124,DJ124,DN124))+N(CHOOSE(DV124,CM124,CQ124,CU124,CY124,DC124,DG124,DK124,DO124))-MIN(N(CHOOSE(DV124,'Debt List'!$F$5,'Debt List'!$F$6,'Debt List'!$F$7,'Debt List'!$F$8,'Debt List'!$F$9,'Debt List'!$F$10,'Debt List'!$F$11,'Debt List'!$F$12)),N(CHOOSE(DV124,CL124,CP124,CT124,CX124,DB124,DF124,DJ124,DN124))+N(CHOOSE(DV124,CM124,CQ124,CU124,CY124,DC124,DG124,DK124,DO124))))),0))</f>
        <v/>
      </c>
      <c r="DX124">
        <f>MIN(N(DW124),MAX(0,N(DU124)))</f>
        <v/>
      </c>
      <c r="DY124">
        <f>MAX(0,N(DU124)-N(DX124))</f>
        <v/>
      </c>
      <c r="DZ124">
        <f>IFERROR(MATCH(3,OrderSnow,0),"")</f>
        <v/>
      </c>
      <c r="EA124">
        <f>IF(DZ124="",0,IFERROR(IF(N(CHOOSE(DZ124,CL124,CP124,CT124,CX124,DB124,DF124,DJ124,DN124))&lt;=0.005,0,MAX(0,N(CHOOSE(DZ124,CL124,CP124,CT124,CX124,DB124,DF124,DJ124,DN124))+N(CHOOSE(DZ124,CM124,CQ124,CU124,CY124,DC124,DG124,DK124,DO124))-MIN(N(CHOOSE(DZ124,'Debt List'!$F$5,'Debt List'!$F$6,'Debt List'!$F$7,'Debt List'!$F$8,'Debt List'!$F$9,'Debt List'!$F$10,'Debt List'!$F$11,'Debt List'!$F$12)),N(CHOOSE(DZ124,CL124,CP124,CT124,CX124,DB124,DF124,DJ124,DN124))+N(CHOOSE(DZ124,CM124,CQ124,CU124,CY124,DC124,DG124,DK124,DO124))))),0))</f>
        <v/>
      </c>
      <c r="EB124">
        <f>MIN(N(EA124),MAX(0,N(DY124)))</f>
        <v/>
      </c>
      <c r="EC124">
        <f>MAX(0,N(DY124)-N(EB124))</f>
        <v/>
      </c>
      <c r="ED124">
        <f>IFERROR(MATCH(4,OrderSnow,0),"")</f>
        <v/>
      </c>
      <c r="EE124">
        <f>IF(ED124="",0,IFERROR(IF(N(CHOOSE(ED124,CL124,CP124,CT124,CX124,DB124,DF124,DJ124,DN124))&lt;=0.005,0,MAX(0,N(CHOOSE(ED124,CL124,CP124,CT124,CX124,DB124,DF124,DJ124,DN124))+N(CHOOSE(ED124,CM124,CQ124,CU124,CY124,DC124,DG124,DK124,DO124))-MIN(N(CHOOSE(ED124,'Debt List'!$F$5,'Debt List'!$F$6,'Debt List'!$F$7,'Debt List'!$F$8,'Debt List'!$F$9,'Debt List'!$F$10,'Debt List'!$F$11,'Debt List'!$F$12)),N(CHOOSE(ED124,CL124,CP124,CT124,CX124,DB124,DF124,DJ124,DN124))+N(CHOOSE(ED124,CM124,CQ124,CU124,CY124,DC124,DG124,DK124,DO124))))),0))</f>
        <v/>
      </c>
      <c r="EF124">
        <f>MIN(N(EE124),MAX(0,N(EC124)))</f>
        <v/>
      </c>
      <c r="EG124">
        <f>MAX(0,N(EC124)-N(EF124))</f>
        <v/>
      </c>
      <c r="EH124">
        <f>IFERROR(MATCH(5,OrderSnow,0),"")</f>
        <v/>
      </c>
      <c r="EI124">
        <f>IF(EH124="",0,IFERROR(IF(N(CHOOSE(EH124,CL124,CP124,CT124,CX124,DB124,DF124,DJ124,DN124))&lt;=0.005,0,MAX(0,N(CHOOSE(EH124,CL124,CP124,CT124,CX124,DB124,DF124,DJ124,DN124))+N(CHOOSE(EH124,CM124,CQ124,CU124,CY124,DC124,DG124,DK124,DO124))-MIN(N(CHOOSE(EH124,'Debt List'!$F$5,'Debt List'!$F$6,'Debt List'!$F$7,'Debt List'!$F$8,'Debt List'!$F$9,'Debt List'!$F$10,'Debt List'!$F$11,'Debt List'!$F$12)),N(CHOOSE(EH124,CL124,CP124,CT124,CX124,DB124,DF124,DJ124,DN124))+N(CHOOSE(EH124,CM124,CQ124,CU124,CY124,DC124,DG124,DK124,DO124))))),0))</f>
        <v/>
      </c>
      <c r="EJ124">
        <f>MIN(N(EI124),MAX(0,N(EG124)))</f>
        <v/>
      </c>
      <c r="EK124">
        <f>MAX(0,N(EG124)-N(EJ124))</f>
        <v/>
      </c>
      <c r="EL124">
        <f>IFERROR(MATCH(6,OrderSnow,0),"")</f>
        <v/>
      </c>
      <c r="EM124">
        <f>IF(EL124="",0,IFERROR(IF(N(CHOOSE(EL124,CL124,CP124,CT124,CX124,DB124,DF124,DJ124,DN124))&lt;=0.005,0,MAX(0,N(CHOOSE(EL124,CL124,CP124,CT124,CX124,DB124,DF124,DJ124,DN124))+N(CHOOSE(EL124,CM124,CQ124,CU124,CY124,DC124,DG124,DK124,DO124))-MIN(N(CHOOSE(EL124,'Debt List'!$F$5,'Debt List'!$F$6,'Debt List'!$F$7,'Debt List'!$F$8,'Debt List'!$F$9,'Debt List'!$F$10,'Debt List'!$F$11,'Debt List'!$F$12)),N(CHOOSE(EL124,CL124,CP124,CT124,CX124,DB124,DF124,DJ124,DN124))+N(CHOOSE(EL124,CM124,CQ124,CU124,CY124,DC124,DG124,DK124,DO124))))),0))</f>
        <v/>
      </c>
      <c r="EN124">
        <f>MIN(N(EM124),MAX(0,N(EK124)))</f>
        <v/>
      </c>
      <c r="EO124">
        <f>MAX(0,N(EK124)-N(EN124))</f>
        <v/>
      </c>
      <c r="EP124">
        <f>IFERROR(MATCH(7,OrderSnow,0),"")</f>
        <v/>
      </c>
      <c r="EQ124">
        <f>IF(EP124="",0,IFERROR(IF(N(CHOOSE(EP124,CL124,CP124,CT124,CX124,DB124,DF124,DJ124,DN124))&lt;=0.005,0,MAX(0,N(CHOOSE(EP124,CL124,CP124,CT124,CX124,DB124,DF124,DJ124,DN124))+N(CHOOSE(EP124,CM124,CQ124,CU124,CY124,DC124,DG124,DK124,DO124))-MIN(N(CHOOSE(EP124,'Debt List'!$F$5,'Debt List'!$F$6,'Debt List'!$F$7,'Debt List'!$F$8,'Debt List'!$F$9,'Debt List'!$F$10,'Debt List'!$F$11,'Debt List'!$F$12)),N(CHOOSE(EP124,CL124,CP124,CT124,CX124,DB124,DF124,DJ124,DN124))+N(CHOOSE(EP124,CM124,CQ124,CU124,CY124,DC124,DG124,DK124,DO124))))),0))</f>
        <v/>
      </c>
      <c r="ER124">
        <f>MIN(N(EQ124),MAX(0,N(EO124)))</f>
        <v/>
      </c>
      <c r="ES124">
        <f>MAX(0,N(EO124)-N(ER124))</f>
        <v/>
      </c>
      <c r="ET124">
        <f>IFERROR(MATCH(8,OrderSnow,0),"")</f>
        <v/>
      </c>
      <c r="EU124">
        <f>IF(ET124="",0,IFERROR(IF(N(CHOOSE(ET124,CL124,CP124,CT124,CX124,DB124,DF124,DJ124,DN124))&lt;=0.005,0,MAX(0,N(CHOOSE(ET124,CL124,CP124,CT124,CX124,DB124,DF124,DJ124,DN124))+N(CHOOSE(ET124,CM124,CQ124,CU124,CY124,DC124,DG124,DK124,DO124))-MIN(N(CHOOSE(ET124,'Debt List'!$F$5,'Debt List'!$F$6,'Debt List'!$F$7,'Debt List'!$F$8,'Debt List'!$F$9,'Debt List'!$F$10,'Debt List'!$F$11,'Debt List'!$F$12)),N(CHOOSE(ET124,CL124,CP124,CT124,CX124,DB124,DF124,DJ124,DN124))+N(CHOOSE(ET124,CM124,CQ124,CU124,CY124,DC124,DG124,DK124,DO124))))),0))</f>
        <v/>
      </c>
      <c r="EV124">
        <f>MIN(N(EU124),MAX(0,N(ES124)))</f>
        <v/>
      </c>
      <c r="EW124">
        <f>MAX(0,N(ES124)-N(EV124))</f>
        <v/>
      </c>
      <c r="FE124" t="n">
        <v>120</v>
      </c>
      <c r="FF124" s="115">
        <f>DATE(YEAR(PlanStart),MONTH(PlanStart)+FE124-1,1)</f>
        <v/>
      </c>
      <c r="FG124">
        <f>IF(AND(GT124&lt;&gt;"",N(CHOOSE(GT124,FN124,FR124,FV124,FZ124,GD124,GH124,GL124,GP124))&gt;0.005),INDEX(DebtNames,GT124),IF(AND(GX124&lt;&gt;"",N(CHOOSE(GX124,FN124,FR124,FV124,FZ124,GD124,GH124,GL124,GP124))&gt;0.005),INDEX(DebtNames,GX124),IF(AND(HB124&lt;&gt;"",N(CHOOSE(HB124,FN124,FR124,FV124,FZ124,GD124,GH124,GL124,GP124))&gt;0.005),INDEX(DebtNames,HB124),IF(AND(HF124&lt;&gt;"",N(CHOOSE(HF124,FN124,FR124,FV124,FZ124,GD124,GH124,GL124,GP124))&gt;0.005),INDEX(DebtNames,HF124),IF(AND(HJ124&lt;&gt;"",N(CHOOSE(HJ124,FN124,FR124,FV124,FZ124,GD124,GH124,GL124,GP124))&gt;0.005),INDEX(DebtNames,HJ124),IF(AND(HN124&lt;&gt;"",N(CHOOSE(HN124,FN124,FR124,FV124,FZ124,GD124,GH124,GL124,GP124))&gt;0.005),INDEX(DebtNames,HN124),IF(AND(HR124&lt;&gt;"",N(CHOOSE(HR124,FN124,FR124,FV124,FZ124,GD124,GH124,GL124,GP124))&gt;0.005),INDEX(DebtNames,HR124),IF(AND(HV124&lt;&gt;"",N(CHOOSE(HV124,FN124,FR124,FV124,FZ124,GD124,GH124,GL124,GP124))&gt;0.005),INDEX(DebtNames,HV124),""))))))))</f>
        <v/>
      </c>
      <c r="FH124">
        <f>N(HY124)</f>
        <v/>
      </c>
      <c r="FI124">
        <f>N(FP124)+N(FT124)+N(FX124)+N(GB124)+N(GF124)+N(GJ124)+N(GN124)+N(GR124)</f>
        <v/>
      </c>
      <c r="FJ124">
        <f>N(FO124)+N(FS124)+N(FW124)+N(GA124)+N(GE124)+N(GI124)+N(GM124)+N(GQ124)</f>
        <v/>
      </c>
      <c r="FK124">
        <f>N(FK123)+N(FJ124)</f>
        <v/>
      </c>
      <c r="FL124">
        <f>N(FQ124)+N(FU124)+N(FY124)+N(GC124)+N(GG124)+N(GK124)+N(GO124)+N(GS124)</f>
        <v/>
      </c>
      <c r="FM124">
        <f>(FQ124&gt;0.005)*1+(FU124&gt;0.005)*1+(FY124&gt;0.005)*1+(GC124&gt;0.005)*1+(GG124&gt;0.005)*1+(GK124&gt;0.005)*1+(GO124&gt;0.005)*1+(GS124&gt;0.005)*1</f>
        <v/>
      </c>
      <c r="FN124">
        <f>N(FQ123)</f>
        <v/>
      </c>
      <c r="FO124">
        <f>IF(N(FN124)&lt;=0.005,0,ROUND(N(FN124)*N('Debt List'!E5)/12,2))</f>
        <v/>
      </c>
      <c r="FP124">
        <f>IF(N(FN124)&lt;=0.005,0,MIN(N('Debt List'!F5),N(FN124)+N(FO124)))+((GT124=1)*GV124+(GX124=1)*GZ124+(HB124=1)*HD124+(HF124=1)*HH124+(HJ124=1)*HL124+(HN124=1)*HP124+(HR124=1)*HT124+(HV124=1)*HX124)</f>
        <v/>
      </c>
      <c r="FQ124">
        <f>MAX(0,ROUND(N(FN124)+N(FO124)-N(FP124),2))</f>
        <v/>
      </c>
      <c r="FR124">
        <f>N(FU123)</f>
        <v/>
      </c>
      <c r="FS124">
        <f>IF(N(FR124)&lt;=0.005,0,ROUND(N(FR124)*N('Debt List'!E6)/12,2))</f>
        <v/>
      </c>
      <c r="FT124">
        <f>IF(N(FR124)&lt;=0.005,0,MIN(N('Debt List'!F6),N(FR124)+N(FS124)))+((GT124=2)*GV124+(GX124=2)*GZ124+(HB124=2)*HD124+(HF124=2)*HH124+(HJ124=2)*HL124+(HN124=2)*HP124+(HR124=2)*HT124+(HV124=2)*HX124)</f>
        <v/>
      </c>
      <c r="FU124">
        <f>MAX(0,ROUND(N(FR124)+N(FS124)-N(FT124),2))</f>
        <v/>
      </c>
      <c r="FV124">
        <f>N(FY123)</f>
        <v/>
      </c>
      <c r="FW124">
        <f>IF(N(FV124)&lt;=0.005,0,ROUND(N(FV124)*N('Debt List'!E7)/12,2))</f>
        <v/>
      </c>
      <c r="FX124">
        <f>IF(N(FV124)&lt;=0.005,0,MIN(N('Debt List'!F7),N(FV124)+N(FW124)))+((GT124=3)*GV124+(GX124=3)*GZ124+(HB124=3)*HD124+(HF124=3)*HH124+(HJ124=3)*HL124+(HN124=3)*HP124+(HR124=3)*HT124+(HV124=3)*HX124)</f>
        <v/>
      </c>
      <c r="FY124">
        <f>MAX(0,ROUND(N(FV124)+N(FW124)-N(FX124),2))</f>
        <v/>
      </c>
      <c r="FZ124">
        <f>N(GC123)</f>
        <v/>
      </c>
      <c r="GA124">
        <f>IF(N(FZ124)&lt;=0.005,0,ROUND(N(FZ124)*N('Debt List'!E8)/12,2))</f>
        <v/>
      </c>
      <c r="GB124">
        <f>IF(N(FZ124)&lt;=0.005,0,MIN(N('Debt List'!F8),N(FZ124)+N(GA124)))+((GT124=4)*GV124+(GX124=4)*GZ124+(HB124=4)*HD124+(HF124=4)*HH124+(HJ124=4)*HL124+(HN124=4)*HP124+(HR124=4)*HT124+(HV124=4)*HX124)</f>
        <v/>
      </c>
      <c r="GC124">
        <f>MAX(0,ROUND(N(FZ124)+N(GA124)-N(GB124),2))</f>
        <v/>
      </c>
      <c r="GD124">
        <f>N(GG123)</f>
        <v/>
      </c>
      <c r="GE124">
        <f>IF(N(GD124)&lt;=0.005,0,ROUND(N(GD124)*N('Debt List'!E9)/12,2))</f>
        <v/>
      </c>
      <c r="GF124">
        <f>IF(N(GD124)&lt;=0.005,0,MIN(N('Debt List'!F9),N(GD124)+N(GE124)))+((GT124=5)*GV124+(GX124=5)*GZ124+(HB124=5)*HD124+(HF124=5)*HH124+(HJ124=5)*HL124+(HN124=5)*HP124+(HR124=5)*HT124+(HV124=5)*HX124)</f>
        <v/>
      </c>
      <c r="GG124">
        <f>MAX(0,ROUND(N(GD124)+N(GE124)-N(GF124),2))</f>
        <v/>
      </c>
      <c r="GH124">
        <f>N(GK123)</f>
        <v/>
      </c>
      <c r="GI124">
        <f>IF(N(GH124)&lt;=0.005,0,ROUND(N(GH124)*N('Debt List'!E10)/12,2))</f>
        <v/>
      </c>
      <c r="GJ124">
        <f>IF(N(GH124)&lt;=0.005,0,MIN(N('Debt List'!F10),N(GH124)+N(GI124)))+((GT124=6)*GV124+(GX124=6)*GZ124+(HB124=6)*HD124+(HF124=6)*HH124+(HJ124=6)*HL124+(HN124=6)*HP124+(HR124=6)*HT124+(HV124=6)*HX124)</f>
        <v/>
      </c>
      <c r="GK124">
        <f>MAX(0,ROUND(N(GH124)+N(GI124)-N(GJ124),2))</f>
        <v/>
      </c>
      <c r="GL124">
        <f>N(GO123)</f>
        <v/>
      </c>
      <c r="GM124">
        <f>IF(N(GL124)&lt;=0.005,0,ROUND(N(GL124)*N('Debt List'!E11)/12,2))</f>
        <v/>
      </c>
      <c r="GN124">
        <f>IF(N(GL124)&lt;=0.005,0,MIN(N('Debt List'!F11),N(GL124)+N(GM124)))+((GT124=7)*GV124+(GX124=7)*GZ124+(HB124=7)*HD124+(HF124=7)*HH124+(HJ124=7)*HL124+(HN124=7)*HP124+(HR124=7)*HT124+(HV124=7)*HX124)</f>
        <v/>
      </c>
      <c r="GO124">
        <f>MAX(0,ROUND(N(GL124)+N(GM124)-N(GN124),2))</f>
        <v/>
      </c>
      <c r="GP124">
        <f>N(GS123)</f>
        <v/>
      </c>
      <c r="GQ124">
        <f>IF(N(GP124)&lt;=0.005,0,ROUND(N(GP124)*N('Debt List'!E12)/12,2))</f>
        <v/>
      </c>
      <c r="GR124">
        <f>IF(N(GP124)&lt;=0.005,0,MIN(N('Debt List'!F12),N(GP124)+N(GQ124)))+((GT124=8)*GV124+(GX124=8)*GZ124+(HB124=8)*HD124+(HF124=8)*HH124+(HJ124=8)*HL124+(HN124=8)*HP124+(HR124=8)*HT124+(HV124=8)*HX124)</f>
        <v/>
      </c>
      <c r="GS124">
        <f>MAX(0,ROUND(N(GP124)+N(GQ124)-N(GR124),2))</f>
        <v/>
      </c>
      <c r="GT124">
        <f>IFERROR(MATCH(1,OrderAval,0),"")</f>
        <v/>
      </c>
      <c r="GU124">
        <f>IF(GT124="",0,IFERROR(IF(N(CHOOSE(GT124,FN124,FR124,FV124,FZ124,GD124,GH124,GL124,GP124))&lt;=0.005,0,MAX(0,N(CHOOSE(GT124,FN124,FR124,FV124,FZ124,GD124,GH124,GL124,GP124))+N(CHOOSE(GT124,FO124,FS124,FW124,GA124,GE124,GI124,GM124,GQ124))-MIN(N(CHOOSE(GT124,'Debt List'!$F$5,'Debt List'!$F$6,'Debt List'!$F$7,'Debt List'!$F$8,'Debt List'!$F$9,'Debt List'!$F$10,'Debt List'!$F$11,'Debt List'!$F$12)),N(CHOOSE(GT124,FN124,FR124,FV124,FZ124,GD124,GH124,GL124,GP124))+N(CHOOSE(GT124,FO124,FS124,FW124,GA124,GE124,GI124,GM124,GQ124))))),0))</f>
        <v/>
      </c>
      <c r="GV124">
        <f>MIN(N(GU124),MAX(0,N(ExtraPayment)))</f>
        <v/>
      </c>
      <c r="GW124">
        <f>MAX(0,N(ExtraPayment)-N(GV124))</f>
        <v/>
      </c>
      <c r="GX124">
        <f>IFERROR(MATCH(2,OrderAval,0),"")</f>
        <v/>
      </c>
      <c r="GY124">
        <f>IF(GX124="",0,IFERROR(IF(N(CHOOSE(GX124,FN124,FR124,FV124,FZ124,GD124,GH124,GL124,GP124))&lt;=0.005,0,MAX(0,N(CHOOSE(GX124,FN124,FR124,FV124,FZ124,GD124,GH124,GL124,GP124))+N(CHOOSE(GX124,FO124,FS124,FW124,GA124,GE124,GI124,GM124,GQ124))-MIN(N(CHOOSE(GX124,'Debt List'!$F$5,'Debt List'!$F$6,'Debt List'!$F$7,'Debt List'!$F$8,'Debt List'!$F$9,'Debt List'!$F$10,'Debt List'!$F$11,'Debt List'!$F$12)),N(CHOOSE(GX124,FN124,FR124,FV124,FZ124,GD124,GH124,GL124,GP124))+N(CHOOSE(GX124,FO124,FS124,FW124,GA124,GE124,GI124,GM124,GQ124))))),0))</f>
        <v/>
      </c>
      <c r="GZ124">
        <f>MIN(N(GY124),MAX(0,N(GW124)))</f>
        <v/>
      </c>
      <c r="HA124">
        <f>MAX(0,N(GW124)-N(GZ124))</f>
        <v/>
      </c>
      <c r="HB124">
        <f>IFERROR(MATCH(3,OrderAval,0),"")</f>
        <v/>
      </c>
      <c r="HC124">
        <f>IF(HB124="",0,IFERROR(IF(N(CHOOSE(HB124,FN124,FR124,FV124,FZ124,GD124,GH124,GL124,GP124))&lt;=0.005,0,MAX(0,N(CHOOSE(HB124,FN124,FR124,FV124,FZ124,GD124,GH124,GL124,GP124))+N(CHOOSE(HB124,FO124,FS124,FW124,GA124,GE124,GI124,GM124,GQ124))-MIN(N(CHOOSE(HB124,'Debt List'!$F$5,'Debt List'!$F$6,'Debt List'!$F$7,'Debt List'!$F$8,'Debt List'!$F$9,'Debt List'!$F$10,'Debt List'!$F$11,'Debt List'!$F$12)),N(CHOOSE(HB124,FN124,FR124,FV124,FZ124,GD124,GH124,GL124,GP124))+N(CHOOSE(HB124,FO124,FS124,FW124,GA124,GE124,GI124,GM124,GQ124))))),0))</f>
        <v/>
      </c>
      <c r="HD124">
        <f>MIN(N(HC124),MAX(0,N(HA124)))</f>
        <v/>
      </c>
      <c r="HE124">
        <f>MAX(0,N(HA124)-N(HD124))</f>
        <v/>
      </c>
      <c r="HF124">
        <f>IFERROR(MATCH(4,OrderAval,0),"")</f>
        <v/>
      </c>
      <c r="HG124">
        <f>IF(HF124="",0,IFERROR(IF(N(CHOOSE(HF124,FN124,FR124,FV124,FZ124,GD124,GH124,GL124,GP124))&lt;=0.005,0,MAX(0,N(CHOOSE(HF124,FN124,FR124,FV124,FZ124,GD124,GH124,GL124,GP124))+N(CHOOSE(HF124,FO124,FS124,FW124,GA124,GE124,GI124,GM124,GQ124))-MIN(N(CHOOSE(HF124,'Debt List'!$F$5,'Debt List'!$F$6,'Debt List'!$F$7,'Debt List'!$F$8,'Debt List'!$F$9,'Debt List'!$F$10,'Debt List'!$F$11,'Debt List'!$F$12)),N(CHOOSE(HF124,FN124,FR124,FV124,FZ124,GD124,GH124,GL124,GP124))+N(CHOOSE(HF124,FO124,FS124,FW124,GA124,GE124,GI124,GM124,GQ124))))),0))</f>
        <v/>
      </c>
      <c r="HH124">
        <f>MIN(N(HG124),MAX(0,N(HE124)))</f>
        <v/>
      </c>
      <c r="HI124">
        <f>MAX(0,N(HE124)-N(HH124))</f>
        <v/>
      </c>
      <c r="HJ124">
        <f>IFERROR(MATCH(5,OrderAval,0),"")</f>
        <v/>
      </c>
      <c r="HK124">
        <f>IF(HJ124="",0,IFERROR(IF(N(CHOOSE(HJ124,FN124,FR124,FV124,FZ124,GD124,GH124,GL124,GP124))&lt;=0.005,0,MAX(0,N(CHOOSE(HJ124,FN124,FR124,FV124,FZ124,GD124,GH124,GL124,GP124))+N(CHOOSE(HJ124,FO124,FS124,FW124,GA124,GE124,GI124,GM124,GQ124))-MIN(N(CHOOSE(HJ124,'Debt List'!$F$5,'Debt List'!$F$6,'Debt List'!$F$7,'Debt List'!$F$8,'Debt List'!$F$9,'Debt List'!$F$10,'Debt List'!$F$11,'Debt List'!$F$12)),N(CHOOSE(HJ124,FN124,FR124,FV124,FZ124,GD124,GH124,GL124,GP124))+N(CHOOSE(HJ124,FO124,FS124,FW124,GA124,GE124,GI124,GM124,GQ124))))),0))</f>
        <v/>
      </c>
      <c r="HL124">
        <f>MIN(N(HK124),MAX(0,N(HI124)))</f>
        <v/>
      </c>
      <c r="HM124">
        <f>MAX(0,N(HI124)-N(HL124))</f>
        <v/>
      </c>
      <c r="HN124">
        <f>IFERROR(MATCH(6,OrderAval,0),"")</f>
        <v/>
      </c>
      <c r="HO124">
        <f>IF(HN124="",0,IFERROR(IF(N(CHOOSE(HN124,FN124,FR124,FV124,FZ124,GD124,GH124,GL124,GP124))&lt;=0.005,0,MAX(0,N(CHOOSE(HN124,FN124,FR124,FV124,FZ124,GD124,GH124,GL124,GP124))+N(CHOOSE(HN124,FO124,FS124,FW124,GA124,GE124,GI124,GM124,GQ124))-MIN(N(CHOOSE(HN124,'Debt List'!$F$5,'Debt List'!$F$6,'Debt List'!$F$7,'Debt List'!$F$8,'Debt List'!$F$9,'Debt List'!$F$10,'Debt List'!$F$11,'Debt List'!$F$12)),N(CHOOSE(HN124,FN124,FR124,FV124,FZ124,GD124,GH124,GL124,GP124))+N(CHOOSE(HN124,FO124,FS124,FW124,GA124,GE124,GI124,GM124,GQ124))))),0))</f>
        <v/>
      </c>
      <c r="HP124">
        <f>MIN(N(HO124),MAX(0,N(HM124)))</f>
        <v/>
      </c>
      <c r="HQ124">
        <f>MAX(0,N(HM124)-N(HP124))</f>
        <v/>
      </c>
      <c r="HR124">
        <f>IFERROR(MATCH(7,OrderAval,0),"")</f>
        <v/>
      </c>
      <c r="HS124">
        <f>IF(HR124="",0,IFERROR(IF(N(CHOOSE(HR124,FN124,FR124,FV124,FZ124,GD124,GH124,GL124,GP124))&lt;=0.005,0,MAX(0,N(CHOOSE(HR124,FN124,FR124,FV124,FZ124,GD124,GH124,GL124,GP124))+N(CHOOSE(HR124,FO124,FS124,FW124,GA124,GE124,GI124,GM124,GQ124))-MIN(N(CHOOSE(HR124,'Debt List'!$F$5,'Debt List'!$F$6,'Debt List'!$F$7,'Debt List'!$F$8,'Debt List'!$F$9,'Debt List'!$F$10,'Debt List'!$F$11,'Debt List'!$F$12)),N(CHOOSE(HR124,FN124,FR124,FV124,FZ124,GD124,GH124,GL124,GP124))+N(CHOOSE(HR124,FO124,FS124,FW124,GA124,GE124,GI124,GM124,GQ124))))),0))</f>
        <v/>
      </c>
      <c r="HT124">
        <f>MIN(N(HS124),MAX(0,N(HQ124)))</f>
        <v/>
      </c>
      <c r="HU124">
        <f>MAX(0,N(HQ124)-N(HT124))</f>
        <v/>
      </c>
      <c r="HV124">
        <f>IFERROR(MATCH(8,OrderAval,0),"")</f>
        <v/>
      </c>
      <c r="HW124">
        <f>IF(HV124="",0,IFERROR(IF(N(CHOOSE(HV124,FN124,FR124,FV124,FZ124,GD124,GH124,GL124,GP124))&lt;=0.005,0,MAX(0,N(CHOOSE(HV124,FN124,FR124,FV124,FZ124,GD124,GH124,GL124,GP124))+N(CHOOSE(HV124,FO124,FS124,FW124,GA124,GE124,GI124,GM124,GQ124))-MIN(N(CHOOSE(HV124,'Debt List'!$F$5,'Debt List'!$F$6,'Debt List'!$F$7,'Debt List'!$F$8,'Debt List'!$F$9,'Debt List'!$F$10,'Debt List'!$F$11,'Debt List'!$F$12)),N(CHOOSE(HV124,FN124,FR124,FV124,FZ124,GD124,GH124,GL124,GP124))+N(CHOOSE(HV124,FO124,FS124,FW124,GA124,GE124,GI124,GM124,GQ124))))),0))</f>
        <v/>
      </c>
      <c r="HX124">
        <f>MIN(N(HW124),MAX(0,N(HU124)))</f>
        <v/>
      </c>
      <c r="HY124">
        <f>MAX(0,N(HU124)-N(HX124))</f>
        <v/>
      </c>
    </row>
  </sheetData>
  <sheetProtection selectLockedCells="1" selectUnlockedCells="1"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Debt Payoff Tracker</dc:creator>
  <dc:title>Debt Payoff Tracker &amp; Schedule</dc:title>
  <dc:description>Track multiple debts and project Snowball or Avalanche payoff. Works in Microsoft Excel and Google Sheets.</dc:description>
  <dcterms:created xsi:type="dcterms:W3CDTF">2026-08-12T23:16:20Z</dcterms:created>
  <dcterms:modified xsi:type="dcterms:W3CDTF">2026-08-20T17:58:51Z</dcterms:modified>
</cp:coreProperties>
</file>