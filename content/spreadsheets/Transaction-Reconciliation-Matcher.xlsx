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 A" sheetId="2" state="visible" r:id="rId2"/>
    <sheet name="List B" sheetId="3" state="visible" r:id="rId3"/>
    <sheet name="Matched" sheetId="4" state="visible" r:id="rId4"/>
    <sheet name="Unmatched A" sheetId="5" state="visible" r:id="rId5"/>
    <sheet name="Unmatched B" sheetId="6" state="visible" r:id="rId6"/>
    <sheet name="Differences" sheetId="7" state="visible" r:id="rId7"/>
    <sheet name="Instructions" sheetId="8" state="visible" r:id="rId8"/>
  </sheets>
  <definedNames>
    <definedName name="ListAName">Dashboard!$B$3</definedName>
    <definedName name="ListBName">Dashboard!$D$3</definedName>
    <definedName name="MatchMode">Dashboard!$F$3</definedName>
    <definedName name="Tolerance">Dashboard!$H$3</definedName>
    <definedName name="List_MatchMode">Dashboard!$N$2:$N$7</definedName>
    <definedName name="List_Reviewed">Dashboard!$N$9</definedName>
    <definedName name="CountA">Dashboard!$N$11</definedName>
    <definedName name="CountB">Dashboard!$N$12</definedName>
    <definedName name="MatchedCount">Dashboard!$N$13</definedName>
    <definedName name="DiffCount">Dashboard!$N$14</definedName>
    <definedName name="UnmatchA">Dashboard!$N$15</definedName>
    <definedName name="UnmatchB">Dashboard!$N$16</definedName>
    <definedName name="TotalA">Dashboard!$N$17</definedName>
    <definedName name="TotalB">Dashboard!$N$18</definedName>
    <definedName name="Variance">Dashboard!$N$19</definedName>
    <definedName name="Progress">Dashboard!$N$20</definedName>
    <definedName name="UnmatchAAbs">Dashboard!$N$21</definedName>
    <definedName name="UnmatchBAbs">Dashboard!$N$22</definedName>
    <definedName name="DiffAbs">Dashboard!$N$23</definedName>
    <definedName name="ReviewedCount">Dashboard!$N$24</definedName>
    <definedName name="ListA_Combo">'List A'!$P$5:$P$204</definedName>
    <definedName name="ListB_Combo">'List B'!$P$5:$P$204</definedName>
    <definedName name="ListA_Amt">'List A'!$C$5:$C$204</definedName>
    <definedName name="ListB_Amt">'List B'!$C$5:$C$204</definedName>
    <definedName name="ListA_Status">'List A'!$L$5:$L$204</definedName>
    <definedName name="ListB_Status">'List B'!$L$5:$L$204</definedName>
    <definedName name="_xlnm.Print_Area" localSheetId="0">'Dashboard'!$A$1:$L$52</definedName>
    <definedName name="_xlnm._FilterDatabase" localSheetId="1" hidden="1">'List A'!$A$4:$O$204</definedName>
    <definedName name="_xlnm.Print_Area" localSheetId="1">'List A'!$A$1:$O$40</definedName>
    <definedName name="_xlnm._FilterDatabase" localSheetId="2" hidden="1">'List B'!$A$4:$O$204</definedName>
    <definedName name="_xlnm.Print_Area" localSheetId="2">'List B'!$A$1:$O$40</definedName>
    <definedName name="_xlnm.Print_Area" localSheetId="3">'Matched'!$A$1:$J$36</definedName>
    <definedName name="_xlnm.Print_Area" localSheetId="4">'Unmatched A'!$A$1:$J$36</definedName>
    <definedName name="_xlnm.Print_Area" localSheetId="5">'Unmatched B'!$A$1:$J$36</definedName>
    <definedName name="_xlnm.Print_Area" localSheetId="6">'Differences'!$A$1:$J$36</definedName>
    <definedName name="_xlnm.Print_Area" localSheetId="7">'Instructions'!$A$1:$H$46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mmm d, yyyy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color rgb="005D6D7E"/>
      <sz val="9"/>
    </font>
    <font>
      <name val="Calibri"/>
      <b val="1"/>
      <color rgb="001F2A33"/>
      <sz val="10"/>
    </font>
    <font>
      <name val="Calibri"/>
      <i val="1"/>
      <color rgb="005D6D7E"/>
      <sz val="8"/>
    </font>
    <font>
      <name val="Calibri"/>
      <b val="1"/>
      <color rgb="00FFFFFF"/>
      <sz val="8"/>
    </font>
    <font>
      <name val="Calibri"/>
      <b val="1"/>
      <color rgb="001F2A33"/>
      <sz val="18"/>
    </font>
    <font>
      <name val="Calibri"/>
      <b val="1"/>
      <color rgb="001F6B5A"/>
      <sz val="10"/>
    </font>
    <font>
      <name val="Calibri"/>
      <b val="1"/>
      <color rgb="001F2A33"/>
      <sz val="16"/>
    </font>
    <font>
      <name val="Calibri"/>
      <b val="1"/>
      <color rgb="00FFFFFF"/>
      <sz val="11"/>
    </font>
    <font>
      <name val="Calibri"/>
      <color rgb="001F2A33"/>
      <sz val="10"/>
    </font>
    <font>
      <name val="Calibri"/>
      <b val="1"/>
      <color rgb="005D6D7E"/>
      <sz val="8"/>
    </font>
    <font>
      <name val="Calibri"/>
      <color rgb="001F2A33"/>
      <sz val="8"/>
    </font>
    <font>
      <name val="Calibri"/>
      <color rgb="001F2A33"/>
      <sz val="11"/>
    </font>
    <font>
      <name val="Calibri"/>
      <i val="1"/>
      <color rgb="005D6D7E"/>
      <sz val="9"/>
    </font>
    <font>
      <name val="Calibri"/>
      <b val="1"/>
      <color rgb="00FFFFFF"/>
      <sz val="9"/>
    </font>
    <font>
      <name val="Calibri"/>
      <color rgb="001F2A33"/>
      <sz val="9"/>
    </font>
    <font>
      <name val="Calibri"/>
      <color rgb="005D6D7E"/>
      <sz val="8"/>
    </font>
    <font>
      <name val="Calibri"/>
      <b val="1"/>
      <color rgb="001F2A33"/>
      <sz val="9"/>
    </font>
    <font>
      <name val="Calibri"/>
      <i val="1"/>
      <color rgb="005D6D7E"/>
      <sz val="10"/>
    </font>
    <font>
      <name val="Calibri"/>
      <b val="1"/>
      <color rgb="00FFFFFF"/>
      <sz val="12"/>
    </font>
    <font>
      <name val="Calibri"/>
      <i val="1"/>
      <color rgb="005D6D7E"/>
      <sz val="11"/>
    </font>
  </fonts>
  <fills count="12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142848"/>
      </patternFill>
    </fill>
    <fill>
      <patternFill patternType="solid">
        <fgColor rgb="00FFFFFF"/>
      </patternFill>
    </fill>
    <fill>
      <patternFill patternType="solid">
        <fgColor rgb="00E8F1F8"/>
      </patternFill>
    </fill>
    <fill>
      <patternFill patternType="solid">
        <fgColor rgb="00F6F8FA"/>
      </patternFill>
    </fill>
    <fill>
      <patternFill patternType="solid">
        <fgColor rgb="00F3F5F7"/>
      </patternFill>
    </fill>
    <fill>
      <patternFill patternType="solid">
        <fgColor rgb="001F6B5A"/>
      </patternFill>
    </fill>
    <fill>
      <patternFill patternType="solid">
        <fgColor rgb="00B9770E"/>
      </patternFill>
    </fill>
    <fill>
      <patternFill patternType="solid">
        <fgColor rgb="00EAF2F0"/>
      </patternFill>
    </fill>
    <fill>
      <patternFill patternType="solid">
        <fgColor rgb="00EEF2F5"/>
      </patternFill>
    </fill>
  </fills>
  <borders count="2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/>
      <top style="thin">
        <color rgb="00D0D5DD"/>
      </top>
      <bottom/>
    </border>
    <border>
      <left/>
      <right/>
      <top style="thin">
        <color rgb="00D0D5DD"/>
      </top>
      <bottom/>
    </border>
    <border>
      <left/>
      <right style="thin">
        <color rgb="00D0D5DD"/>
      </right>
      <top style="thin">
        <color rgb="00D0D5DD"/>
      </top>
      <bottom/>
    </border>
    <border>
      <left style="thin">
        <color rgb="00D0D5DD"/>
      </left>
      <right/>
      <top/>
      <bottom/>
    </border>
    <border>
      <left/>
      <right/>
      <top/>
      <bottom/>
    </border>
    <border>
      <left/>
      <right style="thin">
        <color rgb="00D0D5DD"/>
      </right>
      <top/>
      <bottom/>
    </border>
    <border>
      <left style="thin">
        <color rgb="00D0D5DD"/>
      </left>
      <right/>
      <top/>
      <bottom style="thin">
        <color rgb="00D0D5DD"/>
      </bottom>
    </border>
    <border>
      <left/>
      <right/>
      <top/>
      <bottom style="thin">
        <color rgb="00D0D5DD"/>
      </bottom>
    </border>
    <border>
      <left/>
      <right style="thin">
        <color rgb="00D0D5DD"/>
      </right>
      <top/>
      <bottom style="thin">
        <color rgb="00D0D5DD"/>
      </bottom>
    </border>
    <border>
      <left style="dashed">
        <color rgb="00B0B8C1"/>
      </left>
      <right style="dashed">
        <color rgb="00B0B8C1"/>
      </right>
      <top style="dashed">
        <color rgb="00B0B8C1"/>
      </top>
      <bottom style="dashed">
        <color rgb="00B0B8C1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thin">
        <color rgb="00D0D5DD"/>
      </left>
      <right style="thin">
        <color rgb="00D0D5DD"/>
      </right>
      <top/>
      <bottom/>
    </border>
    <border>
      <left/>
      <right style="thin">
        <color rgb="00D0D5DD"/>
      </right>
      <top/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 style="thin">
        <color rgb="00D0D5DD"/>
      </left>
      <right style="thin">
        <color rgb="00D0D5DD"/>
      </right>
      <top/>
      <bottom style="thin">
        <color rgb="00D0D5DD"/>
      </bottom>
    </border>
    <border>
      <left/>
      <right/>
      <top/>
      <bottom style="thin">
        <color rgb="00D0D5DD"/>
      </bottom>
      <diagonal/>
    </border>
    <border>
      <left/>
      <right style="thin">
        <color rgb="00D0D5DD"/>
      </right>
      <top/>
      <bottom style="thin">
        <color rgb="00D0D5DD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/>
    </border>
    <border>
      <left/>
      <right/>
      <top style="dashed">
        <color rgb="00B0B8C1"/>
      </top>
      <bottom/>
      <diagonal/>
    </border>
    <border>
      <left/>
      <right style="dashed">
        <color rgb="00B0B8C1"/>
      </right>
      <top style="dashed">
        <color rgb="00B0B8C1"/>
      </top>
      <bottom/>
      <diagonal/>
    </border>
    <border>
      <left/>
      <right/>
      <top style="dashed">
        <color rgb="00B0B8C1"/>
      </top>
      <bottom style="dashed">
        <color rgb="00B0B8C1"/>
      </bottom>
      <diagonal/>
    </border>
    <border>
      <left/>
      <right style="dashed">
        <color rgb="00B0B8C1"/>
      </right>
      <top style="dashed">
        <color rgb="00B0B8C1"/>
      </top>
      <bottom style="dashed">
        <color rgb="00B0B8C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2" borderId="0" applyProtection="1" pivotButton="0" quotePrefix="0" xfId="0">
      <protection locked="0" hidden="0"/>
    </xf>
    <xf numFmtId="0" fontId="2" fillId="3" borderId="0" applyAlignment="1" pivotButton="0" quotePrefix="0" xfId="0">
      <alignment horizontal="left" vertical="center"/>
    </xf>
    <xf numFmtId="0" fontId="11" fillId="5" borderId="1" applyProtection="1" pivotButton="0" quotePrefix="0" xfId="0">
      <protection locked="0" hidden="0"/>
    </xf>
    <xf numFmtId="0" fontId="3" fillId="4" borderId="1" pivotButton="0" quotePrefix="0" xfId="0"/>
    <xf numFmtId="0" fontId="4" fillId="5" borderId="1" applyProtection="1" pivotButton="0" quotePrefix="0" xfId="0">
      <protection locked="0" hidden="0"/>
    </xf>
    <xf numFmtId="164" fontId="4" fillId="5" borderId="1" applyProtection="1" pivotButton="0" quotePrefix="0" xfId="0">
      <protection locked="0" hidden="0"/>
    </xf>
    <xf numFmtId="0" fontId="5" fillId="6" borderId="0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3" fontId="7" fillId="4" borderId="5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165" fontId="7" fillId="4" borderId="5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0" fillId="6" borderId="0" pivotButton="0" quotePrefix="0" xfId="0"/>
    <xf numFmtId="0" fontId="6" fillId="9" borderId="2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9" borderId="4" applyAlignment="1" pivotButton="0" quotePrefix="0" xfId="0">
      <alignment horizontal="center" vertical="center"/>
    </xf>
    <xf numFmtId="3" fontId="9" fillId="4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164" fontId="9" fillId="4" borderId="5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4" borderId="1" pivotButton="0" quotePrefix="0" xfId="0"/>
    <xf numFmtId="3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11" fillId="4" borderId="1" applyAlignment="1" applyProtection="1" pivotButton="0" quotePrefix="0" xfId="0">
      <alignment horizontal="left" vertical="center" wrapText="1"/>
      <protection locked="0" hidden="0"/>
    </xf>
    <xf numFmtId="164" fontId="4" fillId="7" borderId="1" applyAlignment="1" pivotButton="0" quotePrefix="0" xfId="0">
      <alignment horizontal="right" vertical="center"/>
    </xf>
    <xf numFmtId="0" fontId="14" fillId="4" borderId="1" applyAlignment="1" applyProtection="1" pivotButton="0" quotePrefix="0" xfId="0">
      <alignment horizontal="left" vertical="center"/>
      <protection locked="0" hidden="0"/>
    </xf>
    <xf numFmtId="0" fontId="15" fillId="6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13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16" fillId="2" borderId="1" applyAlignment="1" pivotButton="0" quotePrefix="0" xfId="0">
      <alignment horizontal="center" vertical="center" wrapText="1"/>
    </xf>
    <xf numFmtId="166" fontId="17" fillId="5" borderId="1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64" fontId="17" fillId="5" borderId="1" applyAlignment="1" applyProtection="1" pivotButton="0" quotePrefix="0" xfId="0">
      <alignment horizontal="right" vertical="center"/>
      <protection locked="0" hidden="0"/>
    </xf>
    <xf numFmtId="0" fontId="17" fillId="5" borderId="1" applyAlignment="1" applyProtection="1" pivotButton="0" quotePrefix="0" xfId="0">
      <alignment horizontal="center" vertical="center"/>
      <protection locked="0" hidden="0"/>
    </xf>
    <xf numFmtId="0" fontId="18" fillId="7" borderId="1" pivotButton="0" quotePrefix="0" xfId="0"/>
    <xf numFmtId="0" fontId="17" fillId="7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/>
    </xf>
    <xf numFmtId="164" fontId="17" fillId="7" borderId="1" applyAlignment="1" pivotButton="0" quotePrefix="0" xfId="0">
      <alignment horizontal="right" vertical="center"/>
    </xf>
    <xf numFmtId="0" fontId="17" fillId="7" borderId="1" pivotButton="0" quotePrefix="0" xfId="0"/>
    <xf numFmtId="0" fontId="13" fillId="7" borderId="0" pivotButton="0" quotePrefix="0" xfId="0"/>
    <xf numFmtId="164" fontId="13" fillId="7" borderId="0" pivotButton="0" quotePrefix="0" xfId="0"/>
    <xf numFmtId="0" fontId="16" fillId="8" borderId="1" pivotButton="0" quotePrefix="0" xfId="0"/>
    <xf numFmtId="0" fontId="0" fillId="8" borderId="1" pivotButton="0" quotePrefix="0" xfId="0"/>
    <xf numFmtId="164" fontId="16" fillId="8" borderId="1" pivotButton="0" quotePrefix="0" xfId="0"/>
    <xf numFmtId="0" fontId="15" fillId="6" borderId="0" pivotButton="0" quotePrefix="0" xfId="0"/>
    <xf numFmtId="166" fontId="17" fillId="7" borderId="1" pivotButton="0" quotePrefix="0" xfId="0"/>
    <xf numFmtId="0" fontId="0" fillId="7" borderId="1" pivotButton="0" quotePrefix="0" xfId="0"/>
    <xf numFmtId="0" fontId="1" fillId="2" borderId="0" applyAlignment="1" applyProtection="1" pivotButton="0" quotePrefix="0" xfId="0">
      <alignment horizontal="left" vertical="center"/>
      <protection locked="0" hidden="0"/>
    </xf>
    <xf numFmtId="0" fontId="0" fillId="6" borderId="0" applyProtection="1" pivotButton="0" quotePrefix="0" xfId="0">
      <protection locked="0" hidden="0"/>
    </xf>
    <xf numFmtId="0" fontId="20" fillId="6" borderId="0" applyProtection="1" pivotButton="0" quotePrefix="0" xfId="0">
      <protection locked="0" hidden="0"/>
    </xf>
    <xf numFmtId="0" fontId="21" fillId="2" borderId="0" applyAlignment="1" applyProtection="1" pivotButton="0" quotePrefix="0" xfId="0">
      <alignment horizontal="left" vertical="center"/>
      <protection locked="0" hidden="0"/>
    </xf>
    <xf numFmtId="0" fontId="14" fillId="4" borderId="1" applyAlignment="1" applyProtection="1" pivotButton="0" quotePrefix="0" xfId="0">
      <alignment horizontal="left" vertical="center" wrapText="1"/>
      <protection locked="0" hidden="0"/>
    </xf>
    <xf numFmtId="0" fontId="22" fillId="11" borderId="11" applyAlignment="1" applyProtection="1" pivotButton="0" quotePrefix="0" xfId="0">
      <alignment horizontal="center" vertical="center"/>
      <protection locked="0" hidden="0"/>
    </xf>
    <xf numFmtId="0" fontId="6" fillId="2" borderId="2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6" fillId="8" borderId="21" applyAlignment="1" pivotButton="0" quotePrefix="0" xfId="0">
      <alignment horizontal="center" vertical="center"/>
    </xf>
    <xf numFmtId="3" fontId="7" fillId="4" borderId="15" applyAlignment="1" pivotButton="0" quotePrefix="0" xfId="0">
      <alignment horizontal="center" vertical="center"/>
    </xf>
    <xf numFmtId="0" fontId="0" fillId="0" borderId="16" pivotButton="0" quotePrefix="0" xfId="0"/>
    <xf numFmtId="165" fontId="7" fillId="4" borderId="15" applyAlignment="1" pivotButton="0" quotePrefix="0" xfId="0">
      <alignment horizontal="center" vertical="center"/>
    </xf>
    <xf numFmtId="0" fontId="8" fillId="4" borderId="15" applyAlignment="1" pivotButton="0" quotePrefix="0" xfId="0">
      <alignment horizontal="center" vertical="center"/>
    </xf>
    <xf numFmtId="0" fontId="5" fillId="7" borderId="18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9" borderId="21" applyAlignment="1" pivotButton="0" quotePrefix="0" xfId="0">
      <alignment horizontal="center" vertical="center"/>
    </xf>
    <xf numFmtId="3" fontId="9" fillId="4" borderId="15" applyAlignment="1" pivotButton="0" quotePrefix="0" xfId="0">
      <alignment horizontal="center" vertical="center"/>
    </xf>
    <xf numFmtId="164" fontId="9" fillId="4" borderId="15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4" pivotButton="0" quotePrefix="0" xfId="0"/>
    <xf numFmtId="0" fontId="0" fillId="0" borderId="1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166" fontId="17" fillId="5" borderId="1" applyProtection="1" pivotButton="0" quotePrefix="0" xfId="0">
      <protection locked="0" hidden="0"/>
    </xf>
    <xf numFmtId="166" fontId="17" fillId="7" borderId="1" pivotButton="0" quotePrefix="0" xfId="0"/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</cellXfs>
  <cellStyles count="1">
    <cellStyle name="Normal" xfId="0" builtinId="0" hidden="0"/>
  </cellStyles>
  <dxfs count="8">
    <dxf>
      <font>
        <name val="Calibri"/>
        <b val="1"/>
        <color rgb="00C0392B"/>
        <sz val="16"/>
      </font>
      <fill>
        <patternFill patternType="solid">
          <fgColor rgb="00FDECEA"/>
        </patternFill>
      </fill>
    </dxf>
    <dxf>
      <font>
        <name val="Calibri"/>
        <b val="1"/>
        <color rgb="00B9770E"/>
        <sz val="16"/>
      </font>
      <fill>
        <patternFill patternType="solid">
          <fgColor rgb="00FEF5E0"/>
        </patternFill>
      </fill>
    </dxf>
    <dxf>
      <font>
        <name val="Calibri"/>
        <b val="1"/>
        <color rgb="001B7A4E"/>
        <sz val="16"/>
      </font>
      <fill>
        <patternFill patternType="solid">
          <fgColor rgb="00E7F6EE"/>
        </patternFill>
      </fill>
    </dxf>
    <dxf>
      <font>
        <name val="Calibri"/>
        <b val="1"/>
        <color rgb="001B7A4E"/>
        <sz val="18"/>
      </font>
      <fill>
        <patternFill patternType="solid">
          <fgColor rgb="00E7F6EE"/>
        </patternFill>
      </fill>
    </dxf>
    <dxf>
      <font>
        <name val="Calibri"/>
        <color rgb="001B7A4E"/>
        <sz val="9"/>
      </font>
      <fill>
        <patternFill patternType="solid">
          <fgColor rgb="00E7F6EE"/>
        </patternFill>
      </fill>
    </dxf>
    <dxf>
      <font>
        <name val="Calibri"/>
        <color rgb="00B9770E"/>
        <sz val="9"/>
      </font>
      <fill>
        <patternFill patternType="solid">
          <fgColor rgb="00FEF5E0"/>
        </patternFill>
      </fill>
    </dxf>
    <dxf>
      <font>
        <name val="Calibri"/>
        <color rgb="00C0392B"/>
        <sz val="9"/>
      </font>
      <fill>
        <patternFill patternType="solid">
          <fgColor rgb="00FDECEA"/>
        </patternFill>
      </fill>
    </dxf>
    <dxf>
      <font>
        <name val="Calibri"/>
        <b val="1"/>
        <color rgb="001F6B5A"/>
        <sz val="9"/>
      </font>
      <fill>
        <patternFill patternType="solid">
          <fgColor rgb="00EAF2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0"/>
        <ser>
          <idx val="0"/>
          <order val="0"/>
          <tx>
            <strRef>
              <f>'Dashboard'!B55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'Dashboard'!$A$56:$A$59</f>
            </numRef>
          </cat>
          <val>
            <numRef>
              <f>'Dashboard'!$B$56:$B$59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Recon Matcher</author>
  </authors>
  <commentList>
    <comment ref="B3" authorId="0" shapeId="0">
      <text>
        <t>What you pasted on the List A tab. Example: Bank statement, Visa, PayPal.</t>
      </text>
    </comment>
    <comment ref="D3" authorId="0" shapeId="0">
      <text>
        <t>What you pasted on the List B tab. Example: Books, QuickBooks, expense log.</t>
      </text>
    </comment>
    <comment ref="F3" authorId="0" shapeId="0">
      <text>
        <t>Default: same date and same amount. A Transaction ID on the row always wins first. See Instructions.</t>
      </text>
    </comment>
    <comment ref="H3" authorId="0" shapeId="0">
      <text>
        <t>Used by tolerance match methods, and to decide Matched vs Difference. 0.05 = five cents.</t>
      </text>
    </comment>
  </commentList>
</comments>
</file>

<file path=xl/comments/comment2.xml><?xml version="1.0" encoding="utf-8"?>
<comments xmlns="http://schemas.openxmlformats.org/spreadsheetml/2006/main">
  <authors>
    <author>Recon Matcher</author>
  </authors>
  <commentList>
    <comment ref="C4" authorId="0" shapeId="0">
      <text>
        <t>Use the same sign convention on both lists. Deposits / money in: positive. Payments / money out: negative.</t>
      </text>
    </comment>
    <comment ref="D4" authorId="0" shapeId="0">
      <text>
        <t>Check #, invoice #, Stripe id, etc. If filled, this row matches on ID first (before date/amount).</t>
      </text>
    </comment>
    <comment ref="G4" authorId="0" shapeId="0">
      <text>
        <t>Mark Unmatched items you have looked at. Does not change the match.</t>
      </text>
    </comment>
    <comment ref="H4" authorId="0" shapeId="0">
      <text>
        <t>Type the same code (e.g. M1) on one row in List A and one row in List B to force those two together.</t>
      </text>
    </comment>
  </commentList>
</comments>
</file>

<file path=xl/comments/comment3.xml><?xml version="1.0" encoding="utf-8"?>
<comments xmlns="http://schemas.openxmlformats.org/spreadsheetml/2006/main">
  <authors>
    <author>Recon Matcher</author>
  </authors>
  <commentList>
    <comment ref="C4" authorId="0" shapeId="0">
      <text>
        <t>Use the same sign convention on both lists. Deposits / money in: positive. Payments / money out: negative.</t>
      </text>
    </comment>
    <comment ref="D4" authorId="0" shapeId="0">
      <text>
        <t>Check #, invoice #, Stripe id, etc. If filled, this row matches on ID first (before date/amount).</t>
      </text>
    </comment>
    <comment ref="G4" authorId="0" shapeId="0">
      <text>
        <t>Mark Unmatched items you have looked at. Does not change the match.</t>
      </text>
    </comment>
    <comment ref="H4" authorId="0" shapeId="0">
      <text>
        <t>Type the same code (e.g. M1) on one row in List A and one row in List B to force those two together.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N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4" customWidth="1" min="12" max="12"/>
    <col hidden="1" width="13" customWidth="1" min="14" max="14"/>
  </cols>
  <sheetData>
    <row r="1" ht="32" customHeight="1">
      <c r="A1" s="1" t="inlineStr">
        <is>
          <t>Transaction Reconciliation Matcher</t>
        </is>
      </c>
      <c r="N1" s="2" t="inlineStr">
        <is>
          <t>HELPERS / LISTS</t>
        </is>
      </c>
    </row>
    <row r="2">
      <c r="A2" s="3">
        <f>"As of "&amp;TEXT(TODAY(),"mmm d, yyyy")&amp;"   ·   "&amp;ListAName&amp;"  vs  "&amp;ListBName</f>
        <v/>
      </c>
      <c r="N2" s="4" t="inlineStr">
        <is>
          <t>Date + amount</t>
        </is>
      </c>
    </row>
    <row r="3" ht="22" customHeight="1">
      <c r="A3" s="5" t="inlineStr">
        <is>
          <t>List A name</t>
        </is>
      </c>
      <c r="B3" s="6" t="inlineStr">
        <is>
          <t>Bank statement</t>
        </is>
      </c>
      <c r="C3" s="5" t="inlineStr">
        <is>
          <t>List B name</t>
        </is>
      </c>
      <c r="D3" s="6" t="inlineStr">
        <is>
          <t>Books</t>
        </is>
      </c>
      <c r="E3" s="5" t="inlineStr">
        <is>
          <t>Match method</t>
        </is>
      </c>
      <c r="F3" s="6" t="inlineStr">
        <is>
          <t>Date + amount</t>
        </is>
      </c>
      <c r="G3" s="5" t="inlineStr">
        <is>
          <t>Tolerance $</t>
        </is>
      </c>
      <c r="H3" s="7" t="n">
        <v>0.05</v>
      </c>
      <c r="I3" s="8" t="inlineStr">
        <is>
          <t>IDs and Manual pair override the method.</t>
        </is>
      </c>
      <c r="N3" s="4" t="inlineStr">
        <is>
          <t>Amount only</t>
        </is>
      </c>
    </row>
    <row r="4" ht="16" customHeight="1">
      <c r="A4" s="8" t="inlineStr">
        <is>
          <t>Blue settings change how every row pairs. Default method is Date + amount. A Transaction ID on a row is used first.</t>
        </is>
      </c>
      <c r="N4" s="4" t="inlineStr">
        <is>
          <t>Date + amount (tolerance)</t>
        </is>
      </c>
    </row>
    <row r="5" ht="18" customHeight="1">
      <c r="A5" s="68">
        <f>UPPER(ListAName)</f>
        <v/>
      </c>
      <c r="B5" s="69" t="n"/>
      <c r="C5" s="70" t="n"/>
      <c r="D5" s="68">
        <f>UPPER(ListBName)</f>
        <v/>
      </c>
      <c r="E5" s="69" t="n"/>
      <c r="F5" s="70" t="n"/>
      <c r="G5" s="71" t="inlineStr">
        <is>
          <t>MATCHED PAIRS</t>
        </is>
      </c>
      <c r="H5" s="69" t="n"/>
      <c r="I5" s="70" t="n"/>
      <c r="J5" s="71" t="inlineStr">
        <is>
          <t>PROGRESS</t>
        </is>
      </c>
      <c r="K5" s="69" t="n"/>
      <c r="L5" s="70" t="n"/>
      <c r="N5" s="4" t="inlineStr">
        <is>
          <t>Amount (tolerance)</t>
        </is>
      </c>
    </row>
    <row r="6" ht="26" customHeight="1">
      <c r="A6" s="72">
        <f>CountA</f>
        <v/>
      </c>
      <c r="C6" s="73" t="n"/>
      <c r="D6" s="72">
        <f>CountB</f>
        <v/>
      </c>
      <c r="F6" s="73" t="n"/>
      <c r="G6" s="72">
        <f>MatchedCount</f>
        <v/>
      </c>
      <c r="I6" s="73" t="n"/>
      <c r="J6" s="74">
        <f>Progress</f>
        <v/>
      </c>
      <c r="L6" s="73" t="n"/>
      <c r="N6" s="4" t="inlineStr">
        <is>
          <t>Description (exact)</t>
        </is>
      </c>
    </row>
    <row r="7" ht="18" customHeight="1">
      <c r="A7" s="75">
        <f>"Total  "&amp;TEXT(TotalA,"$#,##0.00")</f>
        <v/>
      </c>
      <c r="C7" s="73" t="n"/>
      <c r="D7" s="75">
        <f>"Total  "&amp;TEXT(TotalB,"$#,##0.00")</f>
        <v/>
      </c>
      <c r="F7" s="73" t="n"/>
      <c r="G7" s="75">
        <f>"Differences  "&amp;TEXT(DiffCount,"#,##0")</f>
        <v/>
      </c>
      <c r="I7" s="73" t="n"/>
      <c r="J7" s="75" t="inlineStr">
        <is>
          <t>2 × paired ÷ all items</t>
        </is>
      </c>
      <c r="L7" s="73" t="n"/>
      <c r="N7" s="4" t="inlineStr">
        <is>
          <t>Reference / ID only</t>
        </is>
      </c>
    </row>
    <row r="8" ht="16" customHeight="1">
      <c r="A8" s="76" t="inlineStr">
        <is>
          <t>Items pasted on List A</t>
        </is>
      </c>
      <c r="B8" s="77" t="n"/>
      <c r="C8" s="78" t="n"/>
      <c r="D8" s="76" t="inlineStr">
        <is>
          <t>Items pasted on List B</t>
        </is>
      </c>
      <c r="E8" s="77" t="n"/>
      <c r="F8" s="78" t="n"/>
      <c r="G8" s="76" t="inlineStr">
        <is>
          <t>Paired with equal amounts</t>
        </is>
      </c>
      <c r="H8" s="77" t="n"/>
      <c r="I8" s="78" t="n"/>
      <c r="J8" s="76" t="inlineStr">
        <is>
          <t>Includes differences as paired</t>
        </is>
      </c>
      <c r="K8" s="77" t="n"/>
      <c r="L8" s="78" t="n"/>
    </row>
    <row r="9" ht="8" customHeight="1">
      <c r="A9" s="25" t="n"/>
      <c r="N9" s="4" t="inlineStr">
        <is>
          <t>Reviewed</t>
        </is>
      </c>
    </row>
    <row r="10" ht="18" customHeight="1">
      <c r="A10" s="68" t="inlineStr">
        <is>
          <t>UNMATCHED A</t>
        </is>
      </c>
      <c r="B10" s="69" t="n"/>
      <c r="C10" s="70" t="n"/>
      <c r="D10" s="68" t="inlineStr">
        <is>
          <t>UNMATCHED B</t>
        </is>
      </c>
      <c r="E10" s="69" t="n"/>
      <c r="F10" s="70" t="n"/>
      <c r="G10" s="79" t="inlineStr">
        <is>
          <t>AMOUNT DIFFERENCES</t>
        </is>
      </c>
      <c r="H10" s="69" t="n"/>
      <c r="I10" s="70" t="n"/>
      <c r="J10" s="71" t="inlineStr">
        <is>
          <t>NET VARIANCE  A − B</t>
        </is>
      </c>
      <c r="K10" s="69" t="n"/>
      <c r="L10" s="70" t="n"/>
    </row>
    <row r="11" ht="24" customHeight="1">
      <c r="A11" s="80">
        <f>UnmatchA</f>
        <v/>
      </c>
      <c r="C11" s="73" t="n"/>
      <c r="D11" s="80">
        <f>UnmatchB</f>
        <v/>
      </c>
      <c r="F11" s="73" t="n"/>
      <c r="G11" s="80">
        <f>DiffCount</f>
        <v/>
      </c>
      <c r="I11" s="73" t="n"/>
      <c r="J11" s="81">
        <f>Variance</f>
        <v/>
      </c>
      <c r="L11" s="73" t="n"/>
      <c r="N11">
        <f>COUNTA('List A'!$A$5:$A$204)</f>
        <v/>
      </c>
    </row>
    <row r="12" ht="18" customHeight="1">
      <c r="A12" s="75">
        <f>"Value  "&amp;TEXT(UnmatchAAbs,"$#,##0.00")</f>
        <v/>
      </c>
      <c r="C12" s="73" t="n"/>
      <c r="D12" s="75">
        <f>"Value  "&amp;TEXT(UnmatchBAbs,"$#,##0.00")</f>
        <v/>
      </c>
      <c r="F12" s="73" t="n"/>
      <c r="G12" s="75">
        <f>"Abs.  "&amp;TEXT(DiffAbs,"$#,##0.00")</f>
        <v/>
      </c>
      <c r="I12" s="73" t="n"/>
      <c r="J12" s="75" t="inlineStr">
        <is>
          <t>Sum of List A minus List B</t>
        </is>
      </c>
      <c r="L12" s="73" t="n"/>
      <c r="N12">
        <f>COUNTA('List B'!$A$5:$A$204)</f>
        <v/>
      </c>
    </row>
    <row r="13" ht="16" customHeight="1">
      <c r="A13" s="76" t="inlineStr">
        <is>
          <t>On List A only</t>
        </is>
      </c>
      <c r="B13" s="77" t="n"/>
      <c r="C13" s="78" t="n"/>
      <c r="D13" s="76" t="inlineStr">
        <is>
          <t>On List B only</t>
        </is>
      </c>
      <c r="E13" s="77" t="n"/>
      <c r="F13" s="78" t="n"/>
      <c r="G13" s="76" t="inlineStr">
        <is>
          <t>Paired, amounts disagree</t>
        </is>
      </c>
      <c r="H13" s="77" t="n"/>
      <c r="I13" s="78" t="n"/>
      <c r="J13" s="76" t="inlineStr">
        <is>
          <t>Should be 0 when fully reconciled</t>
        </is>
      </c>
      <c r="K13" s="77" t="n"/>
      <c r="L13" s="78" t="n"/>
      <c r="N13">
        <f>COUNTIF('List A'!$L$5:$L$204,"Matched")</f>
        <v/>
      </c>
    </row>
    <row r="14" ht="8" customHeight="1">
      <c r="A14" s="25" t="n"/>
      <c r="N14">
        <f>COUNTIF('List A'!$L$5:$L$204,"Difference")</f>
        <v/>
      </c>
    </row>
    <row r="15">
      <c r="A15" s="33" t="inlineStr">
        <is>
          <t>RECONCILIATION AT A GLANCE</t>
        </is>
      </c>
      <c r="F15" s="25" t="n"/>
      <c r="G15" s="33" t="inlineStr">
        <is>
          <t>WHAT TO DO NEXT</t>
        </is>
      </c>
      <c r="N15">
        <f>COUNTIF('List A'!$L$5:$L$204,"Unmatched")</f>
        <v/>
      </c>
    </row>
    <row r="16" ht="20" customHeight="1">
      <c r="A16" s="34" t="inlineStr">
        <is>
          <t>Items on List A</t>
        </is>
      </c>
      <c r="B16" s="82" t="n"/>
      <c r="C16" s="83" t="n"/>
      <c r="D16" s="35">
        <f>CountA</f>
        <v/>
      </c>
      <c r="E16" s="83" t="n"/>
      <c r="F16" s="25" t="n"/>
      <c r="G16" s="37" t="inlineStr">
        <is>
          <t>1. Open Unmatched A — typical bank fees, interest, or missing books entries.</t>
        </is>
      </c>
      <c r="H16" s="84" t="n"/>
      <c r="I16" s="84" t="n"/>
      <c r="J16" s="84" t="n"/>
      <c r="K16" s="84" t="n"/>
      <c r="L16" s="85" t="n"/>
      <c r="N16">
        <f>COUNTIF('List B'!$L$5:$L$204,"Unmatched")</f>
        <v/>
      </c>
    </row>
    <row r="17" ht="20" customHeight="1">
      <c r="A17" s="34" t="inlineStr">
        <is>
          <t>Items on List B</t>
        </is>
      </c>
      <c r="B17" s="82" t="n"/>
      <c r="C17" s="83" t="n"/>
      <c r="D17" s="35">
        <f>CountB</f>
        <v/>
      </c>
      <c r="E17" s="83" t="n"/>
      <c r="F17" s="25" t="n"/>
      <c r="G17" s="37" t="inlineStr">
        <is>
          <t>2. Open Unmatched B — typical outstanding checks or items not cleared.</t>
        </is>
      </c>
      <c r="H17" s="84" t="n"/>
      <c r="I17" s="84" t="n"/>
      <c r="J17" s="84" t="n"/>
      <c r="K17" s="84" t="n"/>
      <c r="L17" s="85" t="n"/>
      <c r="N17">
        <f>'List A'!C205</f>
        <v/>
      </c>
    </row>
    <row r="18" ht="20" customHeight="1">
      <c r="A18" s="34" t="inlineStr">
        <is>
          <t>Matched pairs (amounts agree)</t>
        </is>
      </c>
      <c r="B18" s="82" t="n"/>
      <c r="C18" s="83" t="n"/>
      <c r="D18" s="35">
        <f>MatchedCount</f>
        <v/>
      </c>
      <c r="E18" s="83" t="n"/>
      <c r="F18" s="25" t="n"/>
      <c r="G18" s="37" t="inlineStr">
        <is>
          <t>3. Open Differences — paired by ID/manual but amounts disagree. Fix a typo or accept the variance.</t>
        </is>
      </c>
      <c r="H18" s="84" t="n"/>
      <c r="I18" s="84" t="n"/>
      <c r="J18" s="84" t="n"/>
      <c r="K18" s="84" t="n"/>
      <c r="L18" s="85" t="n"/>
      <c r="N18">
        <f>'List B'!C205</f>
        <v/>
      </c>
    </row>
    <row r="19" ht="20" customHeight="1">
      <c r="A19" s="34" t="inlineStr">
        <is>
          <t>Paired with a difference</t>
        </is>
      </c>
      <c r="B19" s="82" t="n"/>
      <c r="C19" s="83" t="n"/>
      <c r="D19" s="35">
        <f>DiffCount</f>
        <v/>
      </c>
      <c r="E19" s="83" t="n"/>
      <c r="F19" s="25" t="n"/>
      <c r="G19" s="37" t="inlineStr">
        <is>
          <t>4. Force a pair: type the same Manual pair code (M1) on one A row and one B row.</t>
        </is>
      </c>
      <c r="H19" s="84" t="n"/>
      <c r="I19" s="84" t="n"/>
      <c r="J19" s="84" t="n"/>
      <c r="K19" s="84" t="n"/>
      <c r="L19" s="85" t="n"/>
      <c r="N19">
        <f>N17-N18</f>
        <v/>
      </c>
    </row>
    <row r="20" ht="20" customHeight="1">
      <c r="A20" s="34" t="inlineStr">
        <is>
          <t>Unmatched on A</t>
        </is>
      </c>
      <c r="B20" s="82" t="n"/>
      <c r="C20" s="83" t="n"/>
      <c r="D20" s="35">
        <f>UnmatchA</f>
        <v/>
      </c>
      <c r="E20" s="83" t="n"/>
      <c r="F20" s="25" t="n"/>
      <c r="G20" s="37" t="inlineStr">
        <is>
          <t>5. Mark leftovers Reviewed when you have explained them.</t>
        </is>
      </c>
      <c r="H20" s="84" t="n"/>
      <c r="I20" s="84" t="n"/>
      <c r="J20" s="84" t="n"/>
      <c r="K20" s="84" t="n"/>
      <c r="L20" s="85" t="n"/>
      <c r="N20">
        <f>IF(N11+N12=0,"",2*(N13+N14)/(N11+N12))</f>
        <v/>
      </c>
    </row>
    <row r="21" ht="20" customHeight="1">
      <c r="A21" s="34" t="inlineStr">
        <is>
          <t>Unmatched on B</t>
        </is>
      </c>
      <c r="B21" s="82" t="n"/>
      <c r="C21" s="83" t="n"/>
      <c r="D21" s="35">
        <f>UnmatchB</f>
        <v/>
      </c>
      <c r="E21" s="83" t="n"/>
      <c r="F21" s="25" t="n"/>
      <c r="G21" s="37" t="inlineStr">
        <is>
          <t>6. Change Match method if too many unmatched (try Amount only, or fill Transaction IDs).</t>
        </is>
      </c>
      <c r="H21" s="84" t="n"/>
      <c r="I21" s="84" t="n"/>
      <c r="J21" s="84" t="n"/>
      <c r="K21" s="84" t="n"/>
      <c r="L21" s="85" t="n"/>
      <c r="N21">
        <f>SUMPRODUCT(('List A'!$L$5:$L$204="Unmatched")*ABS('List A'!$C$5:$C$204))</f>
        <v/>
      </c>
    </row>
    <row r="22" ht="20" customHeight="1">
      <c r="A22" s="34" t="inlineStr">
        <is>
          <t>Reviewed (either list)</t>
        </is>
      </c>
      <c r="B22" s="82" t="n"/>
      <c r="C22" s="83" t="n"/>
      <c r="D22" s="35">
        <f>ReviewedCount</f>
        <v/>
      </c>
      <c r="E22" s="83" t="n"/>
      <c r="F22" s="25" t="n"/>
      <c r="G22" s="37" t="inlineStr">
        <is>
          <t>7. Progress at 100% means every row is either matched or paired as a difference.</t>
        </is>
      </c>
      <c r="H22" s="84" t="n"/>
      <c r="I22" s="84" t="n"/>
      <c r="J22" s="84" t="n"/>
      <c r="K22" s="84" t="n"/>
      <c r="L22" s="85" t="n"/>
      <c r="N22">
        <f>SUMPRODUCT(('List B'!$L$5:$L$204="Unmatched")*ABS('List B'!$C$5:$C$204))</f>
        <v/>
      </c>
    </row>
    <row r="23" ht="18" customHeight="1">
      <c r="A23" s="34" t="inlineStr">
        <is>
          <t>Sum of List A</t>
        </is>
      </c>
      <c r="B23" s="82" t="n"/>
      <c r="C23" s="83" t="n"/>
      <c r="D23" s="38">
        <f>TotalA</f>
        <v/>
      </c>
      <c r="E23" s="83" t="n"/>
      <c r="F23" s="25" t="n"/>
      <c r="G23" s="25" t="n"/>
      <c r="H23" s="25" t="n"/>
      <c r="I23" s="25" t="n"/>
      <c r="J23" s="25" t="n"/>
      <c r="K23" s="25" t="n"/>
      <c r="L23" s="25" t="n"/>
      <c r="N23">
        <f>SUM('List A'!$T$5:$T$204)</f>
        <v/>
      </c>
    </row>
    <row r="24" ht="18" customHeight="1">
      <c r="A24" s="34" t="inlineStr">
        <is>
          <t>Sum of List B</t>
        </is>
      </c>
      <c r="B24" s="82" t="n"/>
      <c r="C24" s="83" t="n"/>
      <c r="D24" s="38">
        <f>TotalB</f>
        <v/>
      </c>
      <c r="E24" s="83" t="n"/>
      <c r="F24" s="25" t="n"/>
      <c r="G24" s="25" t="n"/>
      <c r="H24" s="25" t="n"/>
      <c r="I24" s="25" t="n"/>
      <c r="J24" s="25" t="n"/>
      <c r="K24" s="25" t="n"/>
      <c r="L24" s="25" t="n"/>
      <c r="N24">
        <f>COUNTIF('List A'!$G$5:$G$204,"Reviewed")+COUNTIF('List B'!$G$5:$G$204,"Reviewed")</f>
        <v/>
      </c>
    </row>
    <row r="25" ht="18" customHeight="1">
      <c r="A25" s="34" t="inlineStr">
        <is>
          <t>Net variance (A − B)</t>
        </is>
      </c>
      <c r="B25" s="82" t="n"/>
      <c r="C25" s="83" t="n"/>
      <c r="D25" s="38">
        <f>Variance</f>
        <v/>
      </c>
      <c r="E25" s="83" t="n"/>
      <c r="F25" s="25" t="n"/>
      <c r="G25" s="25" t="n"/>
      <c r="H25" s="25" t="n"/>
      <c r="I25" s="25" t="n"/>
      <c r="J25" s="25" t="n"/>
      <c r="K25" s="25" t="n"/>
      <c r="L25" s="25" t="n"/>
    </row>
    <row r="26" ht="8" customHeight="1">
      <c r="A26" s="25" t="n"/>
    </row>
    <row r="27">
      <c r="A27" s="33" t="inlineStr">
        <is>
          <t>STATUS MIX</t>
        </is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</row>
    <row r="44" ht="8" customHeight="1">
      <c r="A44" s="25" t="n"/>
    </row>
    <row r="45">
      <c r="A45" s="33" t="inlineStr">
        <is>
          <t>START A NEW RECONCILIATION</t>
        </is>
      </c>
    </row>
    <row r="46" ht="20" customHeight="1">
      <c r="A46" s="39" t="inlineStr">
        <is>
          <t>☐   File → Save As (Excel) or File → Make a copy (Google Sheets) if you want to keep this period.</t>
        </is>
      </c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5" t="n"/>
    </row>
    <row r="47" ht="20" customHeight="1">
      <c r="A47" s="39" t="inlineStr">
        <is>
          <t>☐   On List A and List B, delete values in columns A–H only. Leave every gray column alone.</t>
        </is>
      </c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5" t="n"/>
    </row>
    <row r="48" ht="20" customHeight="1">
      <c r="A48" s="39" t="inlineStr">
        <is>
          <t>☐   Paste the new statement into List A and the new book export into List B (same columns).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5" t="n"/>
    </row>
    <row r="49" ht="20" customHeight="1">
      <c r="A49" s="39" t="inlineStr">
        <is>
          <t>☐   Confirm Match method and Tolerance above. Set List A / List B names.</t>
        </is>
      </c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5" t="n"/>
    </row>
    <row r="50" ht="20" customHeight="1">
      <c r="A50" s="39" t="inlineStr">
        <is>
          <t>☐   Check this Dashboard, then work Unmatched and Differences left to right.</t>
        </is>
      </c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 ht="22" customHeight="1">
      <c r="A52" s="40" t="inlineStr">
        <is>
          <t>Green = fully matched. Amber = paired with an amount difference. Red = unmatched. See Instructions for how keys work.</t>
        </is>
      </c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</row>
    <row r="55">
      <c r="A55" s="41" t="inlineStr">
        <is>
          <t>Status</t>
        </is>
      </c>
      <c r="B55" s="41" t="inlineStr">
        <is>
          <t>Count</t>
        </is>
      </c>
    </row>
    <row r="56">
      <c r="A56" s="42" t="inlineStr">
        <is>
          <t>Matched</t>
        </is>
      </c>
      <c r="B56" s="42">
        <f>MatchedCount</f>
        <v/>
      </c>
    </row>
    <row r="57">
      <c r="A57" s="42" t="inlineStr">
        <is>
          <t>Differences</t>
        </is>
      </c>
      <c r="B57" s="42">
        <f>DiffCount</f>
        <v/>
      </c>
    </row>
    <row r="58">
      <c r="A58" s="42" t="inlineStr">
        <is>
          <t>Unmatched A</t>
        </is>
      </c>
      <c r="B58" s="42">
        <f>UnmatchA</f>
        <v/>
      </c>
    </row>
    <row r="59">
      <c r="A59" s="42" t="inlineStr">
        <is>
          <t>Unmatched B</t>
        </is>
      </c>
      <c r="B59" s="42">
        <f>UnmatchB</f>
        <v/>
      </c>
    </row>
  </sheetData>
  <mergeCells count="77">
    <mergeCell ref="D20:E20"/>
    <mergeCell ref="D11:F11"/>
    <mergeCell ref="G19:L19"/>
    <mergeCell ref="G13:I13"/>
    <mergeCell ref="A46:L46"/>
    <mergeCell ref="A21:C21"/>
    <mergeCell ref="D22:E22"/>
    <mergeCell ref="J11:L11"/>
    <mergeCell ref="A26:L26"/>
    <mergeCell ref="A23:C23"/>
    <mergeCell ref="D12:F12"/>
    <mergeCell ref="A52:L52"/>
    <mergeCell ref="D24:E24"/>
    <mergeCell ref="A49:L49"/>
    <mergeCell ref="J13:L13"/>
    <mergeCell ref="A6:C6"/>
    <mergeCell ref="G6:I6"/>
    <mergeCell ref="D19:E19"/>
    <mergeCell ref="G18:L18"/>
    <mergeCell ref="A12:C12"/>
    <mergeCell ref="J7:L7"/>
    <mergeCell ref="A5:C5"/>
    <mergeCell ref="A14:L14"/>
    <mergeCell ref="G20:L20"/>
    <mergeCell ref="A4:L4"/>
    <mergeCell ref="A13:C13"/>
    <mergeCell ref="D5:F5"/>
    <mergeCell ref="G22:L22"/>
    <mergeCell ref="A24:C24"/>
    <mergeCell ref="G21:L21"/>
    <mergeCell ref="J5:L5"/>
    <mergeCell ref="D23:E23"/>
    <mergeCell ref="G8:I8"/>
    <mergeCell ref="A7:C7"/>
    <mergeCell ref="A16:C16"/>
    <mergeCell ref="A25:C25"/>
    <mergeCell ref="J6:L6"/>
    <mergeCell ref="G10:I10"/>
    <mergeCell ref="A18:C18"/>
    <mergeCell ref="D7:F7"/>
    <mergeCell ref="A50:L50"/>
    <mergeCell ref="A2:L2"/>
    <mergeCell ref="G5:I5"/>
    <mergeCell ref="A47:L47"/>
    <mergeCell ref="A22:C22"/>
    <mergeCell ref="D8:F8"/>
    <mergeCell ref="D17:E17"/>
    <mergeCell ref="A20:C20"/>
    <mergeCell ref="A44:L44"/>
    <mergeCell ref="J8:L8"/>
    <mergeCell ref="G12:I12"/>
    <mergeCell ref="D25:E25"/>
    <mergeCell ref="J10:L10"/>
    <mergeCell ref="D6:F6"/>
    <mergeCell ref="G7:I7"/>
    <mergeCell ref="D13:F13"/>
    <mergeCell ref="A15:E15"/>
    <mergeCell ref="A27:L27"/>
    <mergeCell ref="D21:E21"/>
    <mergeCell ref="G15:L15"/>
    <mergeCell ref="A8:C8"/>
    <mergeCell ref="A17:C17"/>
    <mergeCell ref="J12:L12"/>
    <mergeCell ref="A10:C10"/>
    <mergeCell ref="D16:E16"/>
    <mergeCell ref="A19:C19"/>
    <mergeCell ref="G16:L16"/>
    <mergeCell ref="A9:L9"/>
    <mergeCell ref="D18:E18"/>
    <mergeCell ref="D10:F10"/>
    <mergeCell ref="G11:I11"/>
    <mergeCell ref="A48:L48"/>
    <mergeCell ref="A11:C11"/>
    <mergeCell ref="I3:L3"/>
    <mergeCell ref="A1:L1"/>
    <mergeCell ref="A45:L45"/>
    <mergeCell ref="G17:L17"/>
  </mergeCells>
  <conditionalFormatting sqref="A11:C11">
    <cfRule type="expression" priority="1" dxfId="0">
      <formula>UnmatchA&gt;0</formula>
    </cfRule>
  </conditionalFormatting>
  <conditionalFormatting sqref="D11:F11">
    <cfRule type="expression" priority="2" dxfId="0">
      <formula>UnmatchB&gt;0</formula>
    </cfRule>
  </conditionalFormatting>
  <conditionalFormatting sqref="G11:I11">
    <cfRule type="expression" priority="3" dxfId="1">
      <formula>DiffCount&gt;0</formula>
    </cfRule>
  </conditionalFormatting>
  <conditionalFormatting sqref="J11:L11">
    <cfRule type="expression" priority="4" dxfId="1">
      <formula>ABS(Variance)&gt;0.004</formula>
    </cfRule>
    <cfRule type="expression" priority="5" dxfId="2">
      <formula>ABS(Variance)&lt;=0.004</formula>
    </cfRule>
  </conditionalFormatting>
  <conditionalFormatting sqref="J6:L6">
    <cfRule type="expression" priority="6" dxfId="3">
      <formula>Progress&gt;=1</formula>
    </cfRule>
  </conditionalFormatting>
  <dataValidations count="1">
    <dataValidation sqref="F3" showDropDown="0" showInputMessage="0" showErrorMessage="0" allowBlank="0" type="list">
      <formula1>=Dashboard!$N$2:$N$7</formula1>
    </dataValidation>
  </dataValidations>
  <printOptions horizontalCentered="1"/>
  <pageMargins left="0.5" right="0.5" top="0.55" bottom="0.55" header="0.3" footer="0.3"/>
  <pageSetup orientation="landscape" paperSize="1" fitToHeight="1" fitToWidth="1"/>
  <headerFooter>
    <oddHeader>&amp;LDashboard</oddHeader>
    <oddFooter>&amp;RPage &amp;P of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3D6F99"/>
    <outlinePr summaryBelow="1" summaryRight="1"/>
    <pageSetUpPr fitToPage="1"/>
  </sheetPr>
  <dimension ref="A1:T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0" customWidth="1" min="6" max="6"/>
    <col width="12" customWidth="1" min="7" max="7"/>
    <col width="12" customWidth="1" min="8" max="8"/>
    <col width="18" customWidth="1" min="9" max="9"/>
    <col width="10" customWidth="1" min="10" max="10"/>
    <col width="10" customWidth="1" min="11" max="11"/>
    <col width="12" customWidth="1" min="12" max="12"/>
    <col width="13" customWidth="1" min="13" max="13"/>
    <col width="12" customWidth="1" min="14" max="14"/>
    <col width="16" customWidth="1" min="15" max="15"/>
    <col hidden="1" width="8" customWidth="1" min="16" max="16"/>
    <col hidden="1" width="6" customWidth="1" min="17" max="17"/>
    <col hidden="1" width="6" customWidth="1" min="18" max="18"/>
    <col hidden="1" width="6" customWidth="1" min="19" max="19"/>
    <col hidden="1" width="13" customWidth="1" min="20" max="20"/>
  </cols>
  <sheetData>
    <row r="1" ht="30" customHeight="1">
      <c r="A1" s="1" t="inlineStr">
        <is>
          <t>List A</t>
        </is>
      </c>
    </row>
    <row r="2" ht="26" customHeight="1">
      <c r="A2" s="40">
        <f>IF(ListAName="","Paste or type transactions here.",ListAName&amp;"  ·  Blue = paste or type. Gray = match result. Withdrawals negative, deposits positive — same convention on both lists.")</f>
        <v/>
      </c>
    </row>
    <row r="3">
      <c r="A3" s="43">
        <f>COUNTA(A5:A204)&amp;" items   ·   "&amp;COUNTIF(L5:L204,"Matched")&amp;" matched   ·   "&amp;COUNTIF(L5:L204,"Difference")&amp;" differences   ·   "&amp;COUNTIF(L5:L204,"Unmatched")&amp;" unmatched   ·   Total "&amp;TEXT(SUM(C5:C204),"$#,##0.00")</f>
        <v/>
      </c>
    </row>
    <row r="4" ht="30" customHeight="1">
      <c r="A4" s="44" t="inlineStr">
        <is>
          <t>Date</t>
        </is>
      </c>
      <c r="B4" s="44" t="inlineStr">
        <is>
          <t>Description</t>
        </is>
      </c>
      <c r="C4" s="44" t="inlineStr">
        <is>
          <t>Amount</t>
        </is>
      </c>
      <c r="D4" s="44" t="inlineStr">
        <is>
          <t>Transaction ID</t>
        </is>
      </c>
      <c r="E4" s="44" t="inlineStr">
        <is>
          <t>Category</t>
        </is>
      </c>
      <c r="F4" s="44" t="inlineStr">
        <is>
          <t>Notes</t>
        </is>
      </c>
      <c r="G4" s="44" t="inlineStr">
        <is>
          <t>Reviewed?</t>
        </is>
      </c>
      <c r="H4" s="44" t="inlineStr">
        <is>
          <t>Manual pair</t>
        </is>
      </c>
      <c r="I4" s="44" t="inlineStr">
        <is>
          <t>Match key</t>
        </is>
      </c>
      <c r="J4" s="44" t="inlineStr">
        <is>
          <t>Occ.</t>
        </is>
      </c>
      <c r="K4" s="44" t="inlineStr">
        <is>
          <t>Match row</t>
        </is>
      </c>
      <c r="L4" s="44" t="inlineStr">
        <is>
          <t>Status</t>
        </is>
      </c>
      <c r="M4" s="44" t="inlineStr">
        <is>
          <t>List B amount</t>
        </is>
      </c>
      <c r="N4" s="44" t="inlineStr">
        <is>
          <t>Difference</t>
        </is>
      </c>
      <c r="O4" s="44" t="inlineStr">
        <is>
          <t>How matched</t>
        </is>
      </c>
    </row>
    <row r="5" ht="17" customHeight="1">
      <c r="A5" s="86" t="n">
        <v>46235</v>
      </c>
      <c r="B5" s="46" t="inlineStr">
        <is>
          <t>Deposit — customer ACH</t>
        </is>
      </c>
      <c r="C5" s="47" t="n">
        <v>2500</v>
      </c>
      <c r="D5" s="46" t="n"/>
      <c r="E5" s="46" t="inlineStr">
        <is>
          <t>Income</t>
        </is>
      </c>
      <c r="F5" s="46" t="n"/>
      <c r="G5" s="48" t="n"/>
      <c r="H5" s="48" t="n"/>
      <c r="I5" s="49">
        <f>IF(A5="","",IF(H5&lt;&gt;"","M|"&amp;TRIM(H5),IF(AND(MatchMode="Reference / ID only",D5=""),"U|"&amp;ROW(),IF(D5&lt;&gt;"","R|"&amp;TRIM(D5),IF(MatchMode="Amount only","A|"&amp;TEXT(ROUND(C5,2),"0.00"),IF(MatchMode="Amount (tolerance)","T|"&amp;TEXT(ROUND(C5/MAX(N(Tolerance),0.0001),0),"0"),IF(MatchMode="Date + amount (tolerance)","DT|"&amp;TEXT(A5,"yyyy-mm-dd")&amp;"|"&amp;TEXT(ROUND(C5/MAX(N(Tolerance),0.0001),0),"0"),IF(MatchMode="Description (exact)","S|"&amp;LOWER(TRIM(B5)),IF(MatchMode="Reference / ID only","U|"&amp;ROW(),"DA|"&amp;TEXT(A5,"yyyy-mm-dd")&amp;"|"&amp;TEXT(ROUND(C5,2),"0.00"))))))))))</f>
        <v/>
      </c>
      <c r="J5" s="50">
        <f>IF(I5="","",COUNTIF($I$5:I5,I5))</f>
        <v/>
      </c>
      <c r="K5" s="50">
        <f>IF(P5="","",IFERROR(MATCH(P5,ListB_Combo,0)+4,""))</f>
        <v/>
      </c>
      <c r="L5" s="51">
        <f>IF(A5="","",IF(K5="","Unmatched",IF(ABS(C5-M5)&lt;=MAX(N(Tolerance),0),"Matched","Difference")))</f>
        <v/>
      </c>
      <c r="M5" s="52">
        <f>IF(K5="","",INDEX('List B'!$C$5:$C$204,K5-4))</f>
        <v/>
      </c>
      <c r="N5" s="52">
        <f>IF(K5="","",C5-M5)</f>
        <v/>
      </c>
      <c r="O5" s="53">
        <f>IF(OR(A5="",K5=""),"",IF(H5&lt;&gt;"","Manual pair",IF(D5&lt;&gt;"","Reference / ID",MatchMode)))</f>
        <v/>
      </c>
      <c r="P5" s="54">
        <f>IF(I5="","",I5&amp;"|"&amp;J5)</f>
        <v/>
      </c>
      <c r="Q5" s="54">
        <f>IF(L5="Matched",COUNTIF($L$5:L5,"Matched"),"")</f>
        <v/>
      </c>
      <c r="R5" s="54">
        <f>IF(L5="Unmatched",COUNTIF($L$5:L5,"Unmatched"),"")</f>
        <v/>
      </c>
      <c r="S5" s="54">
        <f>IF(L5="Difference",COUNTIF($L$5:L5,"Difference"),"")</f>
        <v/>
      </c>
      <c r="T5" s="55">
        <f>IF(L5="Difference",ABS(N5),0)</f>
        <v/>
      </c>
    </row>
    <row r="6" ht="17" customHeight="1">
      <c r="A6" s="86" t="n">
        <v>46237</v>
      </c>
      <c r="B6" s="46" t="inlineStr">
        <is>
          <t>Check 1041 Office Depot</t>
        </is>
      </c>
      <c r="C6" s="47" t="n">
        <v>-185</v>
      </c>
      <c r="D6" s="46" t="inlineStr">
        <is>
          <t>1041</t>
        </is>
      </c>
      <c r="E6" s="46" t="inlineStr">
        <is>
          <t>Supplies</t>
        </is>
      </c>
      <c r="F6" s="46" t="n"/>
      <c r="G6" s="48" t="n"/>
      <c r="H6" s="48" t="n"/>
      <c r="I6" s="49">
        <f>IF(A6="","",IF(H6&lt;&gt;"","M|"&amp;TRIM(H6),IF(AND(MatchMode="Reference / ID only",D6=""),"U|"&amp;ROW(),IF(D6&lt;&gt;"","R|"&amp;TRIM(D6),IF(MatchMode="Amount only","A|"&amp;TEXT(ROUND(C6,2),"0.00"),IF(MatchMode="Amount (tolerance)","T|"&amp;TEXT(ROUND(C6/MAX(N(Tolerance),0.0001),0),"0"),IF(MatchMode="Date + amount (tolerance)","DT|"&amp;TEXT(A6,"yyyy-mm-dd")&amp;"|"&amp;TEXT(ROUND(C6/MAX(N(Tolerance),0.0001),0),"0"),IF(MatchMode="Description (exact)","S|"&amp;LOWER(TRIM(B6)),IF(MatchMode="Reference / ID only","U|"&amp;ROW(),"DA|"&amp;TEXT(A6,"yyyy-mm-dd")&amp;"|"&amp;TEXT(ROUND(C6,2),"0.00"))))))))))</f>
        <v/>
      </c>
      <c r="J6" s="50">
        <f>IF(I6="","",COUNTIF($I$5:I6,I6))</f>
        <v/>
      </c>
      <c r="K6" s="50">
        <f>IF(P6="","",IFERROR(MATCH(P6,ListB_Combo,0)+4,""))</f>
        <v/>
      </c>
      <c r="L6" s="51">
        <f>IF(A6="","",IF(K6="","Unmatched",IF(ABS(C6-M6)&lt;=MAX(N(Tolerance),0),"Matched","Difference")))</f>
        <v/>
      </c>
      <c r="M6" s="52">
        <f>IF(K6="","",INDEX('List B'!$C$5:$C$204,K6-4))</f>
        <v/>
      </c>
      <c r="N6" s="52">
        <f>IF(K6="","",C6-M6)</f>
        <v/>
      </c>
      <c r="O6" s="53">
        <f>IF(OR(A6="",K6=""),"",IF(H6&lt;&gt;"","Manual pair",IF(D6&lt;&gt;"","Reference / ID",MatchMode)))</f>
        <v/>
      </c>
      <c r="P6" s="54">
        <f>IF(I6="","",I6&amp;"|"&amp;J6)</f>
        <v/>
      </c>
      <c r="Q6" s="54">
        <f>IF(L6="Matched",COUNTIF($L$5:L6,"Matched"),"")</f>
        <v/>
      </c>
      <c r="R6" s="54">
        <f>IF(L6="Unmatched",COUNTIF($L$5:L6,"Unmatched"),"")</f>
        <v/>
      </c>
      <c r="S6" s="54">
        <f>IF(L6="Difference",COUNTIF($L$5:L6,"Difference"),"")</f>
        <v/>
      </c>
      <c r="T6" s="55">
        <f>IF(L6="Difference",ABS(N6),0)</f>
        <v/>
      </c>
    </row>
    <row r="7" ht="17" customHeight="1">
      <c r="A7" s="86" t="n">
        <v>46238</v>
      </c>
      <c r="B7" s="46" t="inlineStr">
        <is>
          <t>ACH Payroll</t>
        </is>
      </c>
      <c r="C7" s="47" t="n">
        <v>-2100</v>
      </c>
      <c r="D7" s="46" t="n"/>
      <c r="E7" s="46" t="inlineStr">
        <is>
          <t>Payroll</t>
        </is>
      </c>
      <c r="F7" s="46" t="n"/>
      <c r="G7" s="48" t="n"/>
      <c r="H7" s="48" t="n"/>
      <c r="I7" s="49">
        <f>IF(A7="","",IF(H7&lt;&gt;"","M|"&amp;TRIM(H7),IF(AND(MatchMode="Reference / ID only",D7=""),"U|"&amp;ROW(),IF(D7&lt;&gt;"","R|"&amp;TRIM(D7),IF(MatchMode="Amount only","A|"&amp;TEXT(ROUND(C7,2),"0.00"),IF(MatchMode="Amount (tolerance)","T|"&amp;TEXT(ROUND(C7/MAX(N(Tolerance),0.0001),0),"0"),IF(MatchMode="Date + amount (tolerance)","DT|"&amp;TEXT(A7,"yyyy-mm-dd")&amp;"|"&amp;TEXT(ROUND(C7/MAX(N(Tolerance),0.0001),0),"0"),IF(MatchMode="Description (exact)","S|"&amp;LOWER(TRIM(B7)),IF(MatchMode="Reference / ID only","U|"&amp;ROW(),"DA|"&amp;TEXT(A7,"yyyy-mm-dd")&amp;"|"&amp;TEXT(ROUND(C7,2),"0.00"))))))))))</f>
        <v/>
      </c>
      <c r="J7" s="50">
        <f>IF(I7="","",COUNTIF($I$5:I7,I7))</f>
        <v/>
      </c>
      <c r="K7" s="50">
        <f>IF(P7="","",IFERROR(MATCH(P7,ListB_Combo,0)+4,""))</f>
        <v/>
      </c>
      <c r="L7" s="51">
        <f>IF(A7="","",IF(K7="","Unmatched",IF(ABS(C7-M7)&lt;=MAX(N(Tolerance),0),"Matched","Difference")))</f>
        <v/>
      </c>
      <c r="M7" s="52">
        <f>IF(K7="","",INDEX('List B'!$C$5:$C$204,K7-4))</f>
        <v/>
      </c>
      <c r="N7" s="52">
        <f>IF(K7="","",C7-M7)</f>
        <v/>
      </c>
      <c r="O7" s="53">
        <f>IF(OR(A7="",K7=""),"",IF(H7&lt;&gt;"","Manual pair",IF(D7&lt;&gt;"","Reference / ID",MatchMode)))</f>
        <v/>
      </c>
      <c r="P7" s="54">
        <f>IF(I7="","",I7&amp;"|"&amp;J7)</f>
        <v/>
      </c>
      <c r="Q7" s="54">
        <f>IF(L7="Matched",COUNTIF($L$5:L7,"Matched"),"")</f>
        <v/>
      </c>
      <c r="R7" s="54">
        <f>IF(L7="Unmatched",COUNTIF($L$5:L7,"Unmatched"),"")</f>
        <v/>
      </c>
      <c r="S7" s="54">
        <f>IF(L7="Difference",COUNTIF($L$5:L7,"Difference"),"")</f>
        <v/>
      </c>
      <c r="T7" s="55">
        <f>IF(L7="Difference",ABS(N7),0)</f>
        <v/>
      </c>
    </row>
    <row r="8" ht="17" customHeight="1">
      <c r="A8" s="86" t="n">
        <v>46239</v>
      </c>
      <c r="B8" s="46" t="inlineStr">
        <is>
          <t>Stripe payout</t>
        </is>
      </c>
      <c r="C8" s="47" t="n">
        <v>842.16</v>
      </c>
      <c r="D8" s="46" t="inlineStr">
        <is>
          <t>po_8f21</t>
        </is>
      </c>
      <c r="E8" s="46" t="inlineStr">
        <is>
          <t>Income</t>
        </is>
      </c>
      <c r="F8" s="46" t="n"/>
      <c r="G8" s="48" t="n"/>
      <c r="H8" s="48" t="n"/>
      <c r="I8" s="49">
        <f>IF(A8="","",IF(H8&lt;&gt;"","M|"&amp;TRIM(H8),IF(AND(MatchMode="Reference / ID only",D8=""),"U|"&amp;ROW(),IF(D8&lt;&gt;"","R|"&amp;TRIM(D8),IF(MatchMode="Amount only","A|"&amp;TEXT(ROUND(C8,2),"0.00"),IF(MatchMode="Amount (tolerance)","T|"&amp;TEXT(ROUND(C8/MAX(N(Tolerance),0.0001),0),"0"),IF(MatchMode="Date + amount (tolerance)","DT|"&amp;TEXT(A8,"yyyy-mm-dd")&amp;"|"&amp;TEXT(ROUND(C8/MAX(N(Tolerance),0.0001),0),"0"),IF(MatchMode="Description (exact)","S|"&amp;LOWER(TRIM(B8)),IF(MatchMode="Reference / ID only","U|"&amp;ROW(),"DA|"&amp;TEXT(A8,"yyyy-mm-dd")&amp;"|"&amp;TEXT(ROUND(C8,2),"0.00"))))))))))</f>
        <v/>
      </c>
      <c r="J8" s="50">
        <f>IF(I8="","",COUNTIF($I$5:I8,I8))</f>
        <v/>
      </c>
      <c r="K8" s="50">
        <f>IF(P8="","",IFERROR(MATCH(P8,ListB_Combo,0)+4,""))</f>
        <v/>
      </c>
      <c r="L8" s="51">
        <f>IF(A8="","",IF(K8="","Unmatched",IF(ABS(C8-M8)&lt;=MAX(N(Tolerance),0),"Matched","Difference")))</f>
        <v/>
      </c>
      <c r="M8" s="52">
        <f>IF(K8="","",INDEX('List B'!$C$5:$C$204,K8-4))</f>
        <v/>
      </c>
      <c r="N8" s="52">
        <f>IF(K8="","",C8-M8)</f>
        <v/>
      </c>
      <c r="O8" s="53">
        <f>IF(OR(A8="",K8=""),"",IF(H8&lt;&gt;"","Manual pair",IF(D8&lt;&gt;"","Reference / ID",MatchMode)))</f>
        <v/>
      </c>
      <c r="P8" s="54">
        <f>IF(I8="","",I8&amp;"|"&amp;J8)</f>
        <v/>
      </c>
      <c r="Q8" s="54">
        <f>IF(L8="Matched",COUNTIF($L$5:L8,"Matched"),"")</f>
        <v/>
      </c>
      <c r="R8" s="54">
        <f>IF(L8="Unmatched",COUNTIF($L$5:L8,"Unmatched"),"")</f>
        <v/>
      </c>
      <c r="S8" s="54">
        <f>IF(L8="Difference",COUNTIF($L$5:L8,"Difference"),"")</f>
        <v/>
      </c>
      <c r="T8" s="55">
        <f>IF(L8="Difference",ABS(N8),0)</f>
        <v/>
      </c>
    </row>
    <row r="9" ht="17" customHeight="1">
      <c r="A9" s="86" t="n">
        <v>46240</v>
      </c>
      <c r="B9" s="46" t="inlineStr">
        <is>
          <t>Check 1043 Rent</t>
        </is>
      </c>
      <c r="C9" s="47" t="n">
        <v>-1400</v>
      </c>
      <c r="D9" s="46" t="inlineStr">
        <is>
          <t>1043</t>
        </is>
      </c>
      <c r="E9" s="46" t="inlineStr">
        <is>
          <t>Rent</t>
        </is>
      </c>
      <c r="F9" s="46" t="n"/>
      <c r="G9" s="48" t="n"/>
      <c r="H9" s="48" t="n"/>
      <c r="I9" s="49">
        <f>IF(A9="","",IF(H9&lt;&gt;"","M|"&amp;TRIM(H9),IF(AND(MatchMode="Reference / ID only",D9=""),"U|"&amp;ROW(),IF(D9&lt;&gt;"","R|"&amp;TRIM(D9),IF(MatchMode="Amount only","A|"&amp;TEXT(ROUND(C9,2),"0.00"),IF(MatchMode="Amount (tolerance)","T|"&amp;TEXT(ROUND(C9/MAX(N(Tolerance),0.0001),0),"0"),IF(MatchMode="Date + amount (tolerance)","DT|"&amp;TEXT(A9,"yyyy-mm-dd")&amp;"|"&amp;TEXT(ROUND(C9/MAX(N(Tolerance),0.0001),0),"0"),IF(MatchMode="Description (exact)","S|"&amp;LOWER(TRIM(B9)),IF(MatchMode="Reference / ID only","U|"&amp;ROW(),"DA|"&amp;TEXT(A9,"yyyy-mm-dd")&amp;"|"&amp;TEXT(ROUND(C9,2),"0.00"))))))))))</f>
        <v/>
      </c>
      <c r="J9" s="50">
        <f>IF(I9="","",COUNTIF($I$5:I9,I9))</f>
        <v/>
      </c>
      <c r="K9" s="50">
        <f>IF(P9="","",IFERROR(MATCH(P9,ListB_Combo,0)+4,""))</f>
        <v/>
      </c>
      <c r="L9" s="51">
        <f>IF(A9="","",IF(K9="","Unmatched",IF(ABS(C9-M9)&lt;=MAX(N(Tolerance),0),"Matched","Difference")))</f>
        <v/>
      </c>
      <c r="M9" s="52">
        <f>IF(K9="","",INDEX('List B'!$C$5:$C$204,K9-4))</f>
        <v/>
      </c>
      <c r="N9" s="52">
        <f>IF(K9="","",C9-M9)</f>
        <v/>
      </c>
      <c r="O9" s="53">
        <f>IF(OR(A9="",K9=""),"",IF(H9&lt;&gt;"","Manual pair",IF(D9&lt;&gt;"","Reference / ID",MatchMode)))</f>
        <v/>
      </c>
      <c r="P9" s="54">
        <f>IF(I9="","",I9&amp;"|"&amp;J9)</f>
        <v/>
      </c>
      <c r="Q9" s="54">
        <f>IF(L9="Matched",COUNTIF($L$5:L9,"Matched"),"")</f>
        <v/>
      </c>
      <c r="R9" s="54">
        <f>IF(L9="Unmatched",COUNTIF($L$5:L9,"Unmatched"),"")</f>
        <v/>
      </c>
      <c r="S9" s="54">
        <f>IF(L9="Difference",COUNTIF($L$5:L9,"Difference"),"")</f>
        <v/>
      </c>
      <c r="T9" s="55">
        <f>IF(L9="Difference",ABS(N9),0)</f>
        <v/>
      </c>
    </row>
    <row r="10" ht="17" customHeight="1">
      <c r="A10" s="86" t="n">
        <v>46241</v>
      </c>
      <c r="B10" s="46" t="inlineStr">
        <is>
          <t>Card Adobe CC</t>
        </is>
      </c>
      <c r="C10" s="47" t="n">
        <v>-54.99</v>
      </c>
      <c r="D10" s="46" t="n"/>
      <c r="E10" s="46" t="inlineStr">
        <is>
          <t>Software</t>
        </is>
      </c>
      <c r="F10" s="46" t="n"/>
      <c r="G10" s="48" t="n"/>
      <c r="H10" s="48" t="n"/>
      <c r="I10" s="49">
        <f>IF(A10="","",IF(H10&lt;&gt;"","M|"&amp;TRIM(H10),IF(AND(MatchMode="Reference / ID only",D10=""),"U|"&amp;ROW(),IF(D10&lt;&gt;"","R|"&amp;TRIM(D10),IF(MatchMode="Amount only","A|"&amp;TEXT(ROUND(C10,2),"0.00"),IF(MatchMode="Amount (tolerance)","T|"&amp;TEXT(ROUND(C10/MAX(N(Tolerance),0.0001),0),"0"),IF(MatchMode="Date + amount (tolerance)","DT|"&amp;TEXT(A10,"yyyy-mm-dd")&amp;"|"&amp;TEXT(ROUND(C10/MAX(N(Tolerance),0.0001),0),"0"),IF(MatchMode="Description (exact)","S|"&amp;LOWER(TRIM(B10)),IF(MatchMode="Reference / ID only","U|"&amp;ROW(),"DA|"&amp;TEXT(A10,"yyyy-mm-dd")&amp;"|"&amp;TEXT(ROUND(C10,2),"0.00"))))))))))</f>
        <v/>
      </c>
      <c r="J10" s="50">
        <f>IF(I10="","",COUNTIF($I$5:I10,I10))</f>
        <v/>
      </c>
      <c r="K10" s="50">
        <f>IF(P10="","",IFERROR(MATCH(P10,ListB_Combo,0)+4,""))</f>
        <v/>
      </c>
      <c r="L10" s="51">
        <f>IF(A10="","",IF(K10="","Unmatched",IF(ABS(C10-M10)&lt;=MAX(N(Tolerance),0),"Matched","Difference")))</f>
        <v/>
      </c>
      <c r="M10" s="52">
        <f>IF(K10="","",INDEX('List B'!$C$5:$C$204,K10-4))</f>
        <v/>
      </c>
      <c r="N10" s="52">
        <f>IF(K10="","",C10-M10)</f>
        <v/>
      </c>
      <c r="O10" s="53">
        <f>IF(OR(A10="",K10=""),"",IF(H10&lt;&gt;"","Manual pair",IF(D10&lt;&gt;"","Reference / ID",MatchMode)))</f>
        <v/>
      </c>
      <c r="P10" s="54">
        <f>IF(I10="","",I10&amp;"|"&amp;J10)</f>
        <v/>
      </c>
      <c r="Q10" s="54">
        <f>IF(L10="Matched",COUNTIF($L$5:L10,"Matched"),"")</f>
        <v/>
      </c>
      <c r="R10" s="54">
        <f>IF(L10="Unmatched",COUNTIF($L$5:L10,"Unmatched"),"")</f>
        <v/>
      </c>
      <c r="S10" s="54">
        <f>IF(L10="Difference",COUNTIF($L$5:L10,"Difference"),"")</f>
        <v/>
      </c>
      <c r="T10" s="55">
        <f>IF(L10="Difference",ABS(N10),0)</f>
        <v/>
      </c>
    </row>
    <row r="11" ht="17" customHeight="1">
      <c r="A11" s="86" t="n">
        <v>46242</v>
      </c>
      <c r="B11" s="46" t="inlineStr">
        <is>
          <t>Bank service fee</t>
        </is>
      </c>
      <c r="C11" s="47" t="n">
        <v>-12</v>
      </c>
      <c r="D11" s="46" t="n"/>
      <c r="E11" s="46" t="inlineStr">
        <is>
          <t>Bank fees</t>
        </is>
      </c>
      <c r="F11" s="46" t="n"/>
      <c r="G11" s="48" t="inlineStr">
        <is>
          <t>Reviewed</t>
        </is>
      </c>
      <c r="H11" s="48" t="n"/>
      <c r="I11" s="49">
        <f>IF(A11="","",IF(H11&lt;&gt;"","M|"&amp;TRIM(H11),IF(AND(MatchMode="Reference / ID only",D11=""),"U|"&amp;ROW(),IF(D11&lt;&gt;"","R|"&amp;TRIM(D11),IF(MatchMode="Amount only","A|"&amp;TEXT(ROUND(C11,2),"0.00"),IF(MatchMode="Amount (tolerance)","T|"&amp;TEXT(ROUND(C11/MAX(N(Tolerance),0.0001),0),"0"),IF(MatchMode="Date + amount (tolerance)","DT|"&amp;TEXT(A11,"yyyy-mm-dd")&amp;"|"&amp;TEXT(ROUND(C11/MAX(N(Tolerance),0.0001),0),"0"),IF(MatchMode="Description (exact)","S|"&amp;LOWER(TRIM(B11)),IF(MatchMode="Reference / ID only","U|"&amp;ROW(),"DA|"&amp;TEXT(A11,"yyyy-mm-dd")&amp;"|"&amp;TEXT(ROUND(C11,2),"0.00"))))))))))</f>
        <v/>
      </c>
      <c r="J11" s="50">
        <f>IF(I11="","",COUNTIF($I$5:I11,I11))</f>
        <v/>
      </c>
      <c r="K11" s="50">
        <f>IF(P11="","",IFERROR(MATCH(P11,ListB_Combo,0)+4,""))</f>
        <v/>
      </c>
      <c r="L11" s="51">
        <f>IF(A11="","",IF(K11="","Unmatched",IF(ABS(C11-M11)&lt;=MAX(N(Tolerance),0),"Matched","Difference")))</f>
        <v/>
      </c>
      <c r="M11" s="52">
        <f>IF(K11="","",INDEX('List B'!$C$5:$C$204,K11-4))</f>
        <v/>
      </c>
      <c r="N11" s="52">
        <f>IF(K11="","",C11-M11)</f>
        <v/>
      </c>
      <c r="O11" s="53">
        <f>IF(OR(A11="",K11=""),"",IF(H11&lt;&gt;"","Manual pair",IF(D11&lt;&gt;"","Reference / ID",MatchMode)))</f>
        <v/>
      </c>
      <c r="P11" s="54">
        <f>IF(I11="","",I11&amp;"|"&amp;J11)</f>
        <v/>
      </c>
      <c r="Q11" s="54">
        <f>IF(L11="Matched",COUNTIF($L$5:L11,"Matched"),"")</f>
        <v/>
      </c>
      <c r="R11" s="54">
        <f>IF(L11="Unmatched",COUNTIF($L$5:L11,"Unmatched"),"")</f>
        <v/>
      </c>
      <c r="S11" s="54">
        <f>IF(L11="Difference",COUNTIF($L$5:L11,"Difference"),"")</f>
        <v/>
      </c>
      <c r="T11" s="55">
        <f>IF(L11="Difference",ABS(N11),0)</f>
        <v/>
      </c>
    </row>
    <row r="12" ht="17" customHeight="1">
      <c r="A12" s="86" t="n">
        <v>46244</v>
      </c>
      <c r="B12" s="46" t="inlineStr">
        <is>
          <t>ACH Staples</t>
        </is>
      </c>
      <c r="C12" s="47" t="n">
        <v>-326.4</v>
      </c>
      <c r="D12" s="46" t="n"/>
      <c r="E12" s="46" t="inlineStr">
        <is>
          <t>Supplies</t>
        </is>
      </c>
      <c r="F12" s="46" t="n"/>
      <c r="G12" s="48" t="n"/>
      <c r="H12" s="48" t="n"/>
      <c r="I12" s="49">
        <f>IF(A12="","",IF(H12&lt;&gt;"","M|"&amp;TRIM(H12),IF(AND(MatchMode="Reference / ID only",D12=""),"U|"&amp;ROW(),IF(D12&lt;&gt;"","R|"&amp;TRIM(D12),IF(MatchMode="Amount only","A|"&amp;TEXT(ROUND(C12,2),"0.00"),IF(MatchMode="Amount (tolerance)","T|"&amp;TEXT(ROUND(C12/MAX(N(Tolerance),0.0001),0),"0"),IF(MatchMode="Date + amount (tolerance)","DT|"&amp;TEXT(A12,"yyyy-mm-dd")&amp;"|"&amp;TEXT(ROUND(C12/MAX(N(Tolerance),0.0001),0),"0"),IF(MatchMode="Description (exact)","S|"&amp;LOWER(TRIM(B12)),IF(MatchMode="Reference / ID only","U|"&amp;ROW(),"DA|"&amp;TEXT(A12,"yyyy-mm-dd")&amp;"|"&amp;TEXT(ROUND(C12,2),"0.00"))))))))))</f>
        <v/>
      </c>
      <c r="J12" s="50">
        <f>IF(I12="","",COUNTIF($I$5:I12,I12))</f>
        <v/>
      </c>
      <c r="K12" s="50">
        <f>IF(P12="","",IFERROR(MATCH(P12,ListB_Combo,0)+4,""))</f>
        <v/>
      </c>
      <c r="L12" s="51">
        <f>IF(A12="","",IF(K12="","Unmatched",IF(ABS(C12-M12)&lt;=MAX(N(Tolerance),0),"Matched","Difference")))</f>
        <v/>
      </c>
      <c r="M12" s="52">
        <f>IF(K12="","",INDEX('List B'!$C$5:$C$204,K12-4))</f>
        <v/>
      </c>
      <c r="N12" s="52">
        <f>IF(K12="","",C12-M12)</f>
        <v/>
      </c>
      <c r="O12" s="53">
        <f>IF(OR(A12="",K12=""),"",IF(H12&lt;&gt;"","Manual pair",IF(D12&lt;&gt;"","Reference / ID",MatchMode)))</f>
        <v/>
      </c>
      <c r="P12" s="54">
        <f>IF(I12="","",I12&amp;"|"&amp;J12)</f>
        <v/>
      </c>
      <c r="Q12" s="54">
        <f>IF(L12="Matched",COUNTIF($L$5:L12,"Matched"),"")</f>
        <v/>
      </c>
      <c r="R12" s="54">
        <f>IF(L12="Unmatched",COUNTIF($L$5:L12,"Unmatched"),"")</f>
        <v/>
      </c>
      <c r="S12" s="54">
        <f>IF(L12="Difference",COUNTIF($L$5:L12,"Difference"),"")</f>
        <v/>
      </c>
      <c r="T12" s="55">
        <f>IF(L12="Difference",ABS(N12),0)</f>
        <v/>
      </c>
    </row>
    <row r="13" ht="17" customHeight="1">
      <c r="A13" s="86" t="n">
        <v>46245</v>
      </c>
      <c r="B13" s="46" t="inlineStr">
        <is>
          <t>Deposit — invoice 1882</t>
        </is>
      </c>
      <c r="C13" s="47" t="n">
        <v>750</v>
      </c>
      <c r="D13" s="46" t="inlineStr">
        <is>
          <t>INV-1882</t>
        </is>
      </c>
      <c r="E13" s="46" t="inlineStr">
        <is>
          <t>Income</t>
        </is>
      </c>
      <c r="F13" s="46" t="n"/>
      <c r="G13" s="48" t="n"/>
      <c r="H13" s="48" t="n"/>
      <c r="I13" s="49">
        <f>IF(A13="","",IF(H13&lt;&gt;"","M|"&amp;TRIM(H13),IF(AND(MatchMode="Reference / ID only",D13=""),"U|"&amp;ROW(),IF(D13&lt;&gt;"","R|"&amp;TRIM(D13),IF(MatchMode="Amount only","A|"&amp;TEXT(ROUND(C13,2),"0.00"),IF(MatchMode="Amount (tolerance)","T|"&amp;TEXT(ROUND(C13/MAX(N(Tolerance),0.0001),0),"0"),IF(MatchMode="Date + amount (tolerance)","DT|"&amp;TEXT(A13,"yyyy-mm-dd")&amp;"|"&amp;TEXT(ROUND(C13/MAX(N(Tolerance),0.0001),0),"0"),IF(MatchMode="Description (exact)","S|"&amp;LOWER(TRIM(B13)),IF(MatchMode="Reference / ID only","U|"&amp;ROW(),"DA|"&amp;TEXT(A13,"yyyy-mm-dd")&amp;"|"&amp;TEXT(ROUND(C13,2),"0.00"))))))))))</f>
        <v/>
      </c>
      <c r="J13" s="50">
        <f>IF(I13="","",COUNTIF($I$5:I13,I13))</f>
        <v/>
      </c>
      <c r="K13" s="50">
        <f>IF(P13="","",IFERROR(MATCH(P13,ListB_Combo,0)+4,""))</f>
        <v/>
      </c>
      <c r="L13" s="51">
        <f>IF(A13="","",IF(K13="","Unmatched",IF(ABS(C13-M13)&lt;=MAX(N(Tolerance),0),"Matched","Difference")))</f>
        <v/>
      </c>
      <c r="M13" s="52">
        <f>IF(K13="","",INDEX('List B'!$C$5:$C$204,K13-4))</f>
        <v/>
      </c>
      <c r="N13" s="52">
        <f>IF(K13="","",C13-M13)</f>
        <v/>
      </c>
      <c r="O13" s="53">
        <f>IF(OR(A13="",K13=""),"",IF(H13&lt;&gt;"","Manual pair",IF(D13&lt;&gt;"","Reference / ID",MatchMode)))</f>
        <v/>
      </c>
      <c r="P13" s="54">
        <f>IF(I13="","",I13&amp;"|"&amp;J13)</f>
        <v/>
      </c>
      <c r="Q13" s="54">
        <f>IF(L13="Matched",COUNTIF($L$5:L13,"Matched"),"")</f>
        <v/>
      </c>
      <c r="R13" s="54">
        <f>IF(L13="Unmatched",COUNTIF($L$5:L13,"Unmatched"),"")</f>
        <v/>
      </c>
      <c r="S13" s="54">
        <f>IF(L13="Difference",COUNTIF($L$5:L13,"Difference"),"")</f>
        <v/>
      </c>
      <c r="T13" s="55">
        <f>IF(L13="Difference",ABS(N13),0)</f>
        <v/>
      </c>
    </row>
    <row r="14" ht="17" customHeight="1">
      <c r="A14" s="86" t="n">
        <v>46246</v>
      </c>
      <c r="B14" s="46" t="inlineStr">
        <is>
          <t>Wire vendor</t>
        </is>
      </c>
      <c r="C14" s="47" t="n">
        <v>-1200</v>
      </c>
      <c r="D14" s="46" t="inlineStr">
        <is>
          <t>INV-2291</t>
        </is>
      </c>
      <c r="E14" s="46" t="inlineStr">
        <is>
          <t>COGS</t>
        </is>
      </c>
      <c r="F14" s="46" t="inlineStr">
        <is>
          <t>Bank posted $1,200.00</t>
        </is>
      </c>
      <c r="G14" s="48" t="n"/>
      <c r="H14" s="48" t="n"/>
      <c r="I14" s="49">
        <f>IF(A14="","",IF(H14&lt;&gt;"","M|"&amp;TRIM(H14),IF(AND(MatchMode="Reference / ID only",D14=""),"U|"&amp;ROW(),IF(D14&lt;&gt;"","R|"&amp;TRIM(D14),IF(MatchMode="Amount only","A|"&amp;TEXT(ROUND(C14,2),"0.00"),IF(MatchMode="Amount (tolerance)","T|"&amp;TEXT(ROUND(C14/MAX(N(Tolerance),0.0001),0),"0"),IF(MatchMode="Date + amount (tolerance)","DT|"&amp;TEXT(A14,"yyyy-mm-dd")&amp;"|"&amp;TEXT(ROUND(C14/MAX(N(Tolerance),0.0001),0),"0"),IF(MatchMode="Description (exact)","S|"&amp;LOWER(TRIM(B14)),IF(MatchMode="Reference / ID only","U|"&amp;ROW(),"DA|"&amp;TEXT(A14,"yyyy-mm-dd")&amp;"|"&amp;TEXT(ROUND(C14,2),"0.00"))))))))))</f>
        <v/>
      </c>
      <c r="J14" s="50">
        <f>IF(I14="","",COUNTIF($I$5:I14,I14))</f>
        <v/>
      </c>
      <c r="K14" s="50">
        <f>IF(P14="","",IFERROR(MATCH(P14,ListB_Combo,0)+4,""))</f>
        <v/>
      </c>
      <c r="L14" s="51">
        <f>IF(A14="","",IF(K14="","Unmatched",IF(ABS(C14-M14)&lt;=MAX(N(Tolerance),0),"Matched","Difference")))</f>
        <v/>
      </c>
      <c r="M14" s="52">
        <f>IF(K14="","",INDEX('List B'!$C$5:$C$204,K14-4))</f>
        <v/>
      </c>
      <c r="N14" s="52">
        <f>IF(K14="","",C14-M14)</f>
        <v/>
      </c>
      <c r="O14" s="53">
        <f>IF(OR(A14="",K14=""),"",IF(H14&lt;&gt;"","Manual pair",IF(D14&lt;&gt;"","Reference / ID",MatchMode)))</f>
        <v/>
      </c>
      <c r="P14" s="54">
        <f>IF(I14="","",I14&amp;"|"&amp;J14)</f>
        <v/>
      </c>
      <c r="Q14" s="54">
        <f>IF(L14="Matched",COUNTIF($L$5:L14,"Matched"),"")</f>
        <v/>
      </c>
      <c r="R14" s="54">
        <f>IF(L14="Unmatched",COUNTIF($L$5:L14,"Unmatched"),"")</f>
        <v/>
      </c>
      <c r="S14" s="54">
        <f>IF(L14="Difference",COUNTIF($L$5:L14,"Difference"),"")</f>
        <v/>
      </c>
      <c r="T14" s="55">
        <f>IF(L14="Difference",ABS(N14),0)</f>
        <v/>
      </c>
    </row>
    <row r="15" ht="17" customHeight="1">
      <c r="A15" s="86" t="n">
        <v>46247</v>
      </c>
      <c r="B15" s="46" t="inlineStr">
        <is>
          <t>Card AWS</t>
        </is>
      </c>
      <c r="C15" s="47" t="n">
        <v>-87.23</v>
      </c>
      <c r="D15" s="46" t="n"/>
      <c r="E15" s="46" t="inlineStr">
        <is>
          <t>Software</t>
        </is>
      </c>
      <c r="F15" s="46" t="n"/>
      <c r="G15" s="48" t="n"/>
      <c r="H15" s="48" t="n"/>
      <c r="I15" s="49">
        <f>IF(A15="","",IF(H15&lt;&gt;"","M|"&amp;TRIM(H15),IF(AND(MatchMode="Reference / ID only",D15=""),"U|"&amp;ROW(),IF(D15&lt;&gt;"","R|"&amp;TRIM(D15),IF(MatchMode="Amount only","A|"&amp;TEXT(ROUND(C15,2),"0.00"),IF(MatchMode="Amount (tolerance)","T|"&amp;TEXT(ROUND(C15/MAX(N(Tolerance),0.0001),0),"0"),IF(MatchMode="Date + amount (tolerance)","DT|"&amp;TEXT(A15,"yyyy-mm-dd")&amp;"|"&amp;TEXT(ROUND(C15/MAX(N(Tolerance),0.0001),0),"0"),IF(MatchMode="Description (exact)","S|"&amp;LOWER(TRIM(B15)),IF(MatchMode="Reference / ID only","U|"&amp;ROW(),"DA|"&amp;TEXT(A15,"yyyy-mm-dd")&amp;"|"&amp;TEXT(ROUND(C15,2),"0.00"))))))))))</f>
        <v/>
      </c>
      <c r="J15" s="50">
        <f>IF(I15="","",COUNTIF($I$5:I15,I15))</f>
        <v/>
      </c>
      <c r="K15" s="50">
        <f>IF(P15="","",IFERROR(MATCH(P15,ListB_Combo,0)+4,""))</f>
        <v/>
      </c>
      <c r="L15" s="51">
        <f>IF(A15="","",IF(K15="","Unmatched",IF(ABS(C15-M15)&lt;=MAX(N(Tolerance),0),"Matched","Difference")))</f>
        <v/>
      </c>
      <c r="M15" s="52">
        <f>IF(K15="","",INDEX('List B'!$C$5:$C$204,K15-4))</f>
        <v/>
      </c>
      <c r="N15" s="52">
        <f>IF(K15="","",C15-M15)</f>
        <v/>
      </c>
      <c r="O15" s="53">
        <f>IF(OR(A15="",K15=""),"",IF(H15&lt;&gt;"","Manual pair",IF(D15&lt;&gt;"","Reference / ID",MatchMode)))</f>
        <v/>
      </c>
      <c r="P15" s="54">
        <f>IF(I15="","",I15&amp;"|"&amp;J15)</f>
        <v/>
      </c>
      <c r="Q15" s="54">
        <f>IF(L15="Matched",COUNTIF($L$5:L15,"Matched"),"")</f>
        <v/>
      </c>
      <c r="R15" s="54">
        <f>IF(L15="Unmatched",COUNTIF($L$5:L15,"Unmatched"),"")</f>
        <v/>
      </c>
      <c r="S15" s="54">
        <f>IF(L15="Difference",COUNTIF($L$5:L15,"Difference"),"")</f>
        <v/>
      </c>
      <c r="T15" s="55">
        <f>IF(L15="Difference",ABS(N15),0)</f>
        <v/>
      </c>
    </row>
    <row r="16" ht="17" customHeight="1">
      <c r="A16" s="86" t="n">
        <v>46248</v>
      </c>
      <c r="B16" s="46" t="inlineStr">
        <is>
          <t>Check 1044 Insurance</t>
        </is>
      </c>
      <c r="C16" s="47" t="n">
        <v>-245</v>
      </c>
      <c r="D16" s="46" t="inlineStr">
        <is>
          <t>1044</t>
        </is>
      </c>
      <c r="E16" s="46" t="inlineStr">
        <is>
          <t>Insurance</t>
        </is>
      </c>
      <c r="F16" s="46" t="n"/>
      <c r="G16" s="48" t="n"/>
      <c r="H16" s="48" t="n"/>
      <c r="I16" s="49">
        <f>IF(A16="","",IF(H16&lt;&gt;"","M|"&amp;TRIM(H16),IF(AND(MatchMode="Reference / ID only",D16=""),"U|"&amp;ROW(),IF(D16&lt;&gt;"","R|"&amp;TRIM(D16),IF(MatchMode="Amount only","A|"&amp;TEXT(ROUND(C16,2),"0.00"),IF(MatchMode="Amount (tolerance)","T|"&amp;TEXT(ROUND(C16/MAX(N(Tolerance),0.0001),0),"0"),IF(MatchMode="Date + amount (tolerance)","DT|"&amp;TEXT(A16,"yyyy-mm-dd")&amp;"|"&amp;TEXT(ROUND(C16/MAX(N(Tolerance),0.0001),0),"0"),IF(MatchMode="Description (exact)","S|"&amp;LOWER(TRIM(B16)),IF(MatchMode="Reference / ID only","U|"&amp;ROW(),"DA|"&amp;TEXT(A16,"yyyy-mm-dd")&amp;"|"&amp;TEXT(ROUND(C16,2),"0.00"))))))))))</f>
        <v/>
      </c>
      <c r="J16" s="50">
        <f>IF(I16="","",COUNTIF($I$5:I16,I16))</f>
        <v/>
      </c>
      <c r="K16" s="50">
        <f>IF(P16="","",IFERROR(MATCH(P16,ListB_Combo,0)+4,""))</f>
        <v/>
      </c>
      <c r="L16" s="51">
        <f>IF(A16="","",IF(K16="","Unmatched",IF(ABS(C16-M16)&lt;=MAX(N(Tolerance),0),"Matched","Difference")))</f>
        <v/>
      </c>
      <c r="M16" s="52">
        <f>IF(K16="","",INDEX('List B'!$C$5:$C$204,K16-4))</f>
        <v/>
      </c>
      <c r="N16" s="52">
        <f>IF(K16="","",C16-M16)</f>
        <v/>
      </c>
      <c r="O16" s="53">
        <f>IF(OR(A16="",K16=""),"",IF(H16&lt;&gt;"","Manual pair",IF(D16&lt;&gt;"","Reference / ID",MatchMode)))</f>
        <v/>
      </c>
      <c r="P16" s="54">
        <f>IF(I16="","",I16&amp;"|"&amp;J16)</f>
        <v/>
      </c>
      <c r="Q16" s="54">
        <f>IF(L16="Matched",COUNTIF($L$5:L16,"Matched"),"")</f>
        <v/>
      </c>
      <c r="R16" s="54">
        <f>IF(L16="Unmatched",COUNTIF($L$5:L16,"Unmatched"),"")</f>
        <v/>
      </c>
      <c r="S16" s="54">
        <f>IF(L16="Difference",COUNTIF($L$5:L16,"Difference"),"")</f>
        <v/>
      </c>
      <c r="T16" s="55">
        <f>IF(L16="Difference",ABS(N16),0)</f>
        <v/>
      </c>
    </row>
    <row r="17" ht="17" customHeight="1">
      <c r="A17" s="86" t="n">
        <v>46249</v>
      </c>
      <c r="B17" s="46" t="inlineStr">
        <is>
          <t>Deposit — customer</t>
        </is>
      </c>
      <c r="C17" s="47" t="n">
        <v>1800</v>
      </c>
      <c r="D17" s="46" t="n"/>
      <c r="E17" s="46" t="inlineStr">
        <is>
          <t>Income</t>
        </is>
      </c>
      <c r="F17" s="46" t="n"/>
      <c r="G17" s="48" t="n"/>
      <c r="H17" s="48" t="n"/>
      <c r="I17" s="49">
        <f>IF(A17="","",IF(H17&lt;&gt;"","M|"&amp;TRIM(H17),IF(AND(MatchMode="Reference / ID only",D17=""),"U|"&amp;ROW(),IF(D17&lt;&gt;"","R|"&amp;TRIM(D17),IF(MatchMode="Amount only","A|"&amp;TEXT(ROUND(C17,2),"0.00"),IF(MatchMode="Amount (tolerance)","T|"&amp;TEXT(ROUND(C17/MAX(N(Tolerance),0.0001),0),"0"),IF(MatchMode="Date + amount (tolerance)","DT|"&amp;TEXT(A17,"yyyy-mm-dd")&amp;"|"&amp;TEXT(ROUND(C17/MAX(N(Tolerance),0.0001),0),"0"),IF(MatchMode="Description (exact)","S|"&amp;LOWER(TRIM(B17)),IF(MatchMode="Reference / ID only","U|"&amp;ROW(),"DA|"&amp;TEXT(A17,"yyyy-mm-dd")&amp;"|"&amp;TEXT(ROUND(C17,2),"0.00"))))))))))</f>
        <v/>
      </c>
      <c r="J17" s="50">
        <f>IF(I17="","",COUNTIF($I$5:I17,I17))</f>
        <v/>
      </c>
      <c r="K17" s="50">
        <f>IF(P17="","",IFERROR(MATCH(P17,ListB_Combo,0)+4,""))</f>
        <v/>
      </c>
      <c r="L17" s="51">
        <f>IF(A17="","",IF(K17="","Unmatched",IF(ABS(C17-M17)&lt;=MAX(N(Tolerance),0),"Matched","Difference")))</f>
        <v/>
      </c>
      <c r="M17" s="52">
        <f>IF(K17="","",INDEX('List B'!$C$5:$C$204,K17-4))</f>
        <v/>
      </c>
      <c r="N17" s="52">
        <f>IF(K17="","",C17-M17)</f>
        <v/>
      </c>
      <c r="O17" s="53">
        <f>IF(OR(A17="",K17=""),"",IF(H17&lt;&gt;"","Manual pair",IF(D17&lt;&gt;"","Reference / ID",MatchMode)))</f>
        <v/>
      </c>
      <c r="P17" s="54">
        <f>IF(I17="","",I17&amp;"|"&amp;J17)</f>
        <v/>
      </c>
      <c r="Q17" s="54">
        <f>IF(L17="Matched",COUNTIF($L$5:L17,"Matched"),"")</f>
        <v/>
      </c>
      <c r="R17" s="54">
        <f>IF(L17="Unmatched",COUNTIF($L$5:L17,"Unmatched"),"")</f>
        <v/>
      </c>
      <c r="S17" s="54">
        <f>IF(L17="Difference",COUNTIF($L$5:L17,"Difference"),"")</f>
        <v/>
      </c>
      <c r="T17" s="55">
        <f>IF(L17="Difference",ABS(N17),0)</f>
        <v/>
      </c>
    </row>
    <row r="18" ht="17" customHeight="1">
      <c r="A18" s="86" t="n">
        <v>46251</v>
      </c>
      <c r="B18" s="46" t="inlineStr">
        <is>
          <t>Card coffee meeting</t>
        </is>
      </c>
      <c r="C18" s="47" t="n">
        <v>-18.4</v>
      </c>
      <c r="D18" s="46" t="n"/>
      <c r="E18" s="46" t="inlineStr">
        <is>
          <t>Meals</t>
        </is>
      </c>
      <c r="F18" s="46" t="n"/>
      <c r="G18" s="48" t="n"/>
      <c r="H18" s="48" t="n"/>
      <c r="I18" s="49">
        <f>IF(A18="","",IF(H18&lt;&gt;"","M|"&amp;TRIM(H18),IF(AND(MatchMode="Reference / ID only",D18=""),"U|"&amp;ROW(),IF(D18&lt;&gt;"","R|"&amp;TRIM(D18),IF(MatchMode="Amount only","A|"&amp;TEXT(ROUND(C18,2),"0.00"),IF(MatchMode="Amount (tolerance)","T|"&amp;TEXT(ROUND(C18/MAX(N(Tolerance),0.0001),0),"0"),IF(MatchMode="Date + amount (tolerance)","DT|"&amp;TEXT(A18,"yyyy-mm-dd")&amp;"|"&amp;TEXT(ROUND(C18/MAX(N(Tolerance),0.0001),0),"0"),IF(MatchMode="Description (exact)","S|"&amp;LOWER(TRIM(B18)),IF(MatchMode="Reference / ID only","U|"&amp;ROW(),"DA|"&amp;TEXT(A18,"yyyy-mm-dd")&amp;"|"&amp;TEXT(ROUND(C18,2),"0.00"))))))))))</f>
        <v/>
      </c>
      <c r="J18" s="50">
        <f>IF(I18="","",COUNTIF($I$5:I18,I18))</f>
        <v/>
      </c>
      <c r="K18" s="50">
        <f>IF(P18="","",IFERROR(MATCH(P18,ListB_Combo,0)+4,""))</f>
        <v/>
      </c>
      <c r="L18" s="51">
        <f>IF(A18="","",IF(K18="","Unmatched",IF(ABS(C18-M18)&lt;=MAX(N(Tolerance),0),"Matched","Difference")))</f>
        <v/>
      </c>
      <c r="M18" s="52">
        <f>IF(K18="","",INDEX('List B'!$C$5:$C$204,K18-4))</f>
        <v/>
      </c>
      <c r="N18" s="52">
        <f>IF(K18="","",C18-M18)</f>
        <v/>
      </c>
      <c r="O18" s="53">
        <f>IF(OR(A18="",K18=""),"",IF(H18&lt;&gt;"","Manual pair",IF(D18&lt;&gt;"","Reference / ID",MatchMode)))</f>
        <v/>
      </c>
      <c r="P18" s="54">
        <f>IF(I18="","",I18&amp;"|"&amp;J18)</f>
        <v/>
      </c>
      <c r="Q18" s="54">
        <f>IF(L18="Matched",COUNTIF($L$5:L18,"Matched"),"")</f>
        <v/>
      </c>
      <c r="R18" s="54">
        <f>IF(L18="Unmatched",COUNTIF($L$5:L18,"Unmatched"),"")</f>
        <v/>
      </c>
      <c r="S18" s="54">
        <f>IF(L18="Difference",COUNTIF($L$5:L18,"Difference"),"")</f>
        <v/>
      </c>
      <c r="T18" s="55">
        <f>IF(L18="Difference",ABS(N18),0)</f>
        <v/>
      </c>
    </row>
    <row r="19" ht="17" customHeight="1">
      <c r="A19" s="86" t="n">
        <v>46252</v>
      </c>
      <c r="B19" s="46" t="inlineStr">
        <is>
          <t>ACH electric</t>
        </is>
      </c>
      <c r="C19" s="47" t="n">
        <v>-163.55</v>
      </c>
      <c r="D19" s="46" t="n"/>
      <c r="E19" s="46" t="inlineStr">
        <is>
          <t>Utilities</t>
        </is>
      </c>
      <c r="F19" s="46" t="n"/>
      <c r="G19" s="48" t="n"/>
      <c r="H19" s="48" t="n"/>
      <c r="I19" s="49">
        <f>IF(A19="","",IF(H19&lt;&gt;"","M|"&amp;TRIM(H19),IF(AND(MatchMode="Reference / ID only",D19=""),"U|"&amp;ROW(),IF(D19&lt;&gt;"","R|"&amp;TRIM(D19),IF(MatchMode="Amount only","A|"&amp;TEXT(ROUND(C19,2),"0.00"),IF(MatchMode="Amount (tolerance)","T|"&amp;TEXT(ROUND(C19/MAX(N(Tolerance),0.0001),0),"0"),IF(MatchMode="Date + amount (tolerance)","DT|"&amp;TEXT(A19,"yyyy-mm-dd")&amp;"|"&amp;TEXT(ROUND(C19/MAX(N(Tolerance),0.0001),0),"0"),IF(MatchMode="Description (exact)","S|"&amp;LOWER(TRIM(B19)),IF(MatchMode="Reference / ID only","U|"&amp;ROW(),"DA|"&amp;TEXT(A19,"yyyy-mm-dd")&amp;"|"&amp;TEXT(ROUND(C19,2),"0.00"))))))))))</f>
        <v/>
      </c>
      <c r="J19" s="50">
        <f>IF(I19="","",COUNTIF($I$5:I19,I19))</f>
        <v/>
      </c>
      <c r="K19" s="50">
        <f>IF(P19="","",IFERROR(MATCH(P19,ListB_Combo,0)+4,""))</f>
        <v/>
      </c>
      <c r="L19" s="51">
        <f>IF(A19="","",IF(K19="","Unmatched",IF(ABS(C19-M19)&lt;=MAX(N(Tolerance),0),"Matched","Difference")))</f>
        <v/>
      </c>
      <c r="M19" s="52">
        <f>IF(K19="","",INDEX('List B'!$C$5:$C$204,K19-4))</f>
        <v/>
      </c>
      <c r="N19" s="52">
        <f>IF(K19="","",C19-M19)</f>
        <v/>
      </c>
      <c r="O19" s="53">
        <f>IF(OR(A19="",K19=""),"",IF(H19&lt;&gt;"","Manual pair",IF(D19&lt;&gt;"","Reference / ID",MatchMode)))</f>
        <v/>
      </c>
      <c r="P19" s="54">
        <f>IF(I19="","",I19&amp;"|"&amp;J19)</f>
        <v/>
      </c>
      <c r="Q19" s="54">
        <f>IF(L19="Matched",COUNTIF($L$5:L19,"Matched"),"")</f>
        <v/>
      </c>
      <c r="R19" s="54">
        <f>IF(L19="Unmatched",COUNTIF($L$5:L19,"Unmatched"),"")</f>
        <v/>
      </c>
      <c r="S19" s="54">
        <f>IF(L19="Difference",COUNTIF($L$5:L19,"Difference"),"")</f>
        <v/>
      </c>
      <c r="T19" s="55">
        <f>IF(L19="Difference",ABS(N19),0)</f>
        <v/>
      </c>
    </row>
    <row r="20" ht="17" customHeight="1">
      <c r="A20" s="86" t="n">
        <v>46254</v>
      </c>
      <c r="B20" s="46" t="inlineStr">
        <is>
          <t>Interest earned</t>
        </is>
      </c>
      <c r="C20" s="47" t="n">
        <v>2.14</v>
      </c>
      <c r="D20" s="46" t="n"/>
      <c r="E20" s="46" t="inlineStr">
        <is>
          <t>Interest</t>
        </is>
      </c>
      <c r="F20" s="46" t="n"/>
      <c r="G20" s="48" t="n"/>
      <c r="H20" s="48" t="n"/>
      <c r="I20" s="49">
        <f>IF(A20="","",IF(H20&lt;&gt;"","M|"&amp;TRIM(H20),IF(AND(MatchMode="Reference / ID only",D20=""),"U|"&amp;ROW(),IF(D20&lt;&gt;"","R|"&amp;TRIM(D20),IF(MatchMode="Amount only","A|"&amp;TEXT(ROUND(C20,2),"0.00"),IF(MatchMode="Amount (tolerance)","T|"&amp;TEXT(ROUND(C20/MAX(N(Tolerance),0.0001),0),"0"),IF(MatchMode="Date + amount (tolerance)","DT|"&amp;TEXT(A20,"yyyy-mm-dd")&amp;"|"&amp;TEXT(ROUND(C20/MAX(N(Tolerance),0.0001),0),"0"),IF(MatchMode="Description (exact)","S|"&amp;LOWER(TRIM(B20)),IF(MatchMode="Reference / ID only","U|"&amp;ROW(),"DA|"&amp;TEXT(A20,"yyyy-mm-dd")&amp;"|"&amp;TEXT(ROUND(C20,2),"0.00"))))))))))</f>
        <v/>
      </c>
      <c r="J20" s="50">
        <f>IF(I20="","",COUNTIF($I$5:I20,I20))</f>
        <v/>
      </c>
      <c r="K20" s="50">
        <f>IF(P20="","",IFERROR(MATCH(P20,ListB_Combo,0)+4,""))</f>
        <v/>
      </c>
      <c r="L20" s="51">
        <f>IF(A20="","",IF(K20="","Unmatched",IF(ABS(C20-M20)&lt;=MAX(N(Tolerance),0),"Matched","Difference")))</f>
        <v/>
      </c>
      <c r="M20" s="52">
        <f>IF(K20="","",INDEX('List B'!$C$5:$C$204,K20-4))</f>
        <v/>
      </c>
      <c r="N20" s="52">
        <f>IF(K20="","",C20-M20)</f>
        <v/>
      </c>
      <c r="O20" s="53">
        <f>IF(OR(A20="",K20=""),"",IF(H20&lt;&gt;"","Manual pair",IF(D20&lt;&gt;"","Reference / ID",MatchMode)))</f>
        <v/>
      </c>
      <c r="P20" s="54">
        <f>IF(I20="","",I20&amp;"|"&amp;J20)</f>
        <v/>
      </c>
      <c r="Q20" s="54">
        <f>IF(L20="Matched",COUNTIF($L$5:L20,"Matched"),"")</f>
        <v/>
      </c>
      <c r="R20" s="54">
        <f>IF(L20="Unmatched",COUNTIF($L$5:L20,"Unmatched"),"")</f>
        <v/>
      </c>
      <c r="S20" s="54">
        <f>IF(L20="Difference",COUNTIF($L$5:L20,"Difference"),"")</f>
        <v/>
      </c>
      <c r="T20" s="55">
        <f>IF(L20="Difference",ABS(N20),0)</f>
        <v/>
      </c>
    </row>
    <row r="21" ht="17" customHeight="1">
      <c r="A21" s="86" t="n">
        <v>46255</v>
      </c>
      <c r="B21" s="46" t="inlineStr">
        <is>
          <t>Check 1045 Contractor</t>
        </is>
      </c>
      <c r="C21" s="47" t="n">
        <v>-600</v>
      </c>
      <c r="D21" s="46" t="inlineStr">
        <is>
          <t>1045</t>
        </is>
      </c>
      <c r="E21" s="46" t="inlineStr">
        <is>
          <t>Contractors</t>
        </is>
      </c>
      <c r="F21" s="46" t="n"/>
      <c r="G21" s="48" t="n"/>
      <c r="H21" s="48" t="n"/>
      <c r="I21" s="49">
        <f>IF(A21="","",IF(H21&lt;&gt;"","M|"&amp;TRIM(H21),IF(AND(MatchMode="Reference / ID only",D21=""),"U|"&amp;ROW(),IF(D21&lt;&gt;"","R|"&amp;TRIM(D21),IF(MatchMode="Amount only","A|"&amp;TEXT(ROUND(C21,2),"0.00"),IF(MatchMode="Amount (tolerance)","T|"&amp;TEXT(ROUND(C21/MAX(N(Tolerance),0.0001),0),"0"),IF(MatchMode="Date + amount (tolerance)","DT|"&amp;TEXT(A21,"yyyy-mm-dd")&amp;"|"&amp;TEXT(ROUND(C21/MAX(N(Tolerance),0.0001),0),"0"),IF(MatchMode="Description (exact)","S|"&amp;LOWER(TRIM(B21)),IF(MatchMode="Reference / ID only","U|"&amp;ROW(),"DA|"&amp;TEXT(A21,"yyyy-mm-dd")&amp;"|"&amp;TEXT(ROUND(C21,2),"0.00"))))))))))</f>
        <v/>
      </c>
      <c r="J21" s="50">
        <f>IF(I21="","",COUNTIF($I$5:I21,I21))</f>
        <v/>
      </c>
      <c r="K21" s="50">
        <f>IF(P21="","",IFERROR(MATCH(P21,ListB_Combo,0)+4,""))</f>
        <v/>
      </c>
      <c r="L21" s="51">
        <f>IF(A21="","",IF(K21="","Unmatched",IF(ABS(C21-M21)&lt;=MAX(N(Tolerance),0),"Matched","Difference")))</f>
        <v/>
      </c>
      <c r="M21" s="52">
        <f>IF(K21="","",INDEX('List B'!$C$5:$C$204,K21-4))</f>
        <v/>
      </c>
      <c r="N21" s="52">
        <f>IF(K21="","",C21-M21)</f>
        <v/>
      </c>
      <c r="O21" s="53">
        <f>IF(OR(A21="",K21=""),"",IF(H21&lt;&gt;"","Manual pair",IF(D21&lt;&gt;"","Reference / ID",MatchMode)))</f>
        <v/>
      </c>
      <c r="P21" s="54">
        <f>IF(I21="","",I21&amp;"|"&amp;J21)</f>
        <v/>
      </c>
      <c r="Q21" s="54">
        <f>IF(L21="Matched",COUNTIF($L$5:L21,"Matched"),"")</f>
        <v/>
      </c>
      <c r="R21" s="54">
        <f>IF(L21="Unmatched",COUNTIF($L$5:L21,"Unmatched"),"")</f>
        <v/>
      </c>
      <c r="S21" s="54">
        <f>IF(L21="Difference",COUNTIF($L$5:L21,"Difference"),"")</f>
        <v/>
      </c>
      <c r="T21" s="55">
        <f>IF(L21="Difference",ABS(N21),0)</f>
        <v/>
      </c>
    </row>
    <row r="22" ht="17" customHeight="1">
      <c r="A22" s="86" t="n">
        <v>46258</v>
      </c>
      <c r="B22" s="46" t="inlineStr">
        <is>
          <t>Card Notion</t>
        </is>
      </c>
      <c r="C22" s="47" t="n">
        <v>-29</v>
      </c>
      <c r="D22" s="46" t="n"/>
      <c r="E22" s="46" t="inlineStr">
        <is>
          <t>Software</t>
        </is>
      </c>
      <c r="F22" s="46" t="n"/>
      <c r="G22" s="48" t="n"/>
      <c r="H22" s="48" t="n"/>
      <c r="I22" s="49">
        <f>IF(A22="","",IF(H22&lt;&gt;"","M|"&amp;TRIM(H22),IF(AND(MatchMode="Reference / ID only",D22=""),"U|"&amp;ROW(),IF(D22&lt;&gt;"","R|"&amp;TRIM(D22),IF(MatchMode="Amount only","A|"&amp;TEXT(ROUND(C22,2),"0.00"),IF(MatchMode="Amount (tolerance)","T|"&amp;TEXT(ROUND(C22/MAX(N(Tolerance),0.0001),0),"0"),IF(MatchMode="Date + amount (tolerance)","DT|"&amp;TEXT(A22,"yyyy-mm-dd")&amp;"|"&amp;TEXT(ROUND(C22/MAX(N(Tolerance),0.0001),0),"0"),IF(MatchMode="Description (exact)","S|"&amp;LOWER(TRIM(B22)),IF(MatchMode="Reference / ID only","U|"&amp;ROW(),"DA|"&amp;TEXT(A22,"yyyy-mm-dd")&amp;"|"&amp;TEXT(ROUND(C22,2),"0.00"))))))))))</f>
        <v/>
      </c>
      <c r="J22" s="50">
        <f>IF(I22="","",COUNTIF($I$5:I22,I22))</f>
        <v/>
      </c>
      <c r="K22" s="50">
        <f>IF(P22="","",IFERROR(MATCH(P22,ListB_Combo,0)+4,""))</f>
        <v/>
      </c>
      <c r="L22" s="51">
        <f>IF(A22="","",IF(K22="","Unmatched",IF(ABS(C22-M22)&lt;=MAX(N(Tolerance),0),"Matched","Difference")))</f>
        <v/>
      </c>
      <c r="M22" s="52">
        <f>IF(K22="","",INDEX('List B'!$C$5:$C$204,K22-4))</f>
        <v/>
      </c>
      <c r="N22" s="52">
        <f>IF(K22="","",C22-M22)</f>
        <v/>
      </c>
      <c r="O22" s="53">
        <f>IF(OR(A22="",K22=""),"",IF(H22&lt;&gt;"","Manual pair",IF(D22&lt;&gt;"","Reference / ID",MatchMode)))</f>
        <v/>
      </c>
      <c r="P22" s="54">
        <f>IF(I22="","",I22&amp;"|"&amp;J22)</f>
        <v/>
      </c>
      <c r="Q22" s="54">
        <f>IF(L22="Matched",COUNTIF($L$5:L22,"Matched"),"")</f>
        <v/>
      </c>
      <c r="R22" s="54">
        <f>IF(L22="Unmatched",COUNTIF($L$5:L22,"Unmatched"),"")</f>
        <v/>
      </c>
      <c r="S22" s="54">
        <f>IF(L22="Difference",COUNTIF($L$5:L22,"Difference"),"")</f>
        <v/>
      </c>
      <c r="T22" s="55">
        <f>IF(L22="Difference",ABS(N22),0)</f>
        <v/>
      </c>
    </row>
    <row r="23" ht="17" customHeight="1">
      <c r="A23" s="86" t="n">
        <v>46260</v>
      </c>
      <c r="B23" s="46" t="inlineStr">
        <is>
          <t>Deposit — customer</t>
        </is>
      </c>
      <c r="C23" s="47" t="n">
        <v>950</v>
      </c>
      <c r="D23" s="46" t="n"/>
      <c r="E23" s="46" t="inlineStr">
        <is>
          <t>Income</t>
        </is>
      </c>
      <c r="F23" s="46" t="n"/>
      <c r="G23" s="48" t="n"/>
      <c r="H23" s="48" t="n"/>
      <c r="I23" s="49">
        <f>IF(A23="","",IF(H23&lt;&gt;"","M|"&amp;TRIM(H23),IF(AND(MatchMode="Reference / ID only",D23=""),"U|"&amp;ROW(),IF(D23&lt;&gt;"","R|"&amp;TRIM(D23),IF(MatchMode="Amount only","A|"&amp;TEXT(ROUND(C23,2),"0.00"),IF(MatchMode="Amount (tolerance)","T|"&amp;TEXT(ROUND(C23/MAX(N(Tolerance),0.0001),0),"0"),IF(MatchMode="Date + amount (tolerance)","DT|"&amp;TEXT(A23,"yyyy-mm-dd")&amp;"|"&amp;TEXT(ROUND(C23/MAX(N(Tolerance),0.0001),0),"0"),IF(MatchMode="Description (exact)","S|"&amp;LOWER(TRIM(B23)),IF(MatchMode="Reference / ID only","U|"&amp;ROW(),"DA|"&amp;TEXT(A23,"yyyy-mm-dd")&amp;"|"&amp;TEXT(ROUND(C23,2),"0.00"))))))))))</f>
        <v/>
      </c>
      <c r="J23" s="50">
        <f>IF(I23="","",COUNTIF($I$5:I23,I23))</f>
        <v/>
      </c>
      <c r="K23" s="50">
        <f>IF(P23="","",IFERROR(MATCH(P23,ListB_Combo,0)+4,""))</f>
        <v/>
      </c>
      <c r="L23" s="51">
        <f>IF(A23="","",IF(K23="","Unmatched",IF(ABS(C23-M23)&lt;=MAX(N(Tolerance),0),"Matched","Difference")))</f>
        <v/>
      </c>
      <c r="M23" s="52">
        <f>IF(K23="","",INDEX('List B'!$C$5:$C$204,K23-4))</f>
        <v/>
      </c>
      <c r="N23" s="52">
        <f>IF(K23="","",C23-M23)</f>
        <v/>
      </c>
      <c r="O23" s="53">
        <f>IF(OR(A23="",K23=""),"",IF(H23&lt;&gt;"","Manual pair",IF(D23&lt;&gt;"","Reference / ID",MatchMode)))</f>
        <v/>
      </c>
      <c r="P23" s="54">
        <f>IF(I23="","",I23&amp;"|"&amp;J23)</f>
        <v/>
      </c>
      <c r="Q23" s="54">
        <f>IF(L23="Matched",COUNTIF($L$5:L23,"Matched"),"")</f>
        <v/>
      </c>
      <c r="R23" s="54">
        <f>IF(L23="Unmatched",COUNTIF($L$5:L23,"Unmatched"),"")</f>
        <v/>
      </c>
      <c r="S23" s="54">
        <f>IF(L23="Difference",COUNTIF($L$5:L23,"Difference"),"")</f>
        <v/>
      </c>
      <c r="T23" s="55">
        <f>IF(L23="Difference",ABS(N23),0)</f>
        <v/>
      </c>
    </row>
    <row r="24" ht="17" customHeight="1">
      <c r="A24" s="86" t="n">
        <v>46262</v>
      </c>
      <c r="B24" s="46" t="inlineStr">
        <is>
          <t>ACH phone</t>
        </is>
      </c>
      <c r="C24" s="47" t="n">
        <v>-86</v>
      </c>
      <c r="D24" s="46" t="n"/>
      <c r="E24" s="46" t="inlineStr">
        <is>
          <t>Utilities</t>
        </is>
      </c>
      <c r="F24" s="46" t="n"/>
      <c r="G24" s="48" t="n"/>
      <c r="H24" s="48" t="n"/>
      <c r="I24" s="49">
        <f>IF(A24="","",IF(H24&lt;&gt;"","M|"&amp;TRIM(H24),IF(AND(MatchMode="Reference / ID only",D24=""),"U|"&amp;ROW(),IF(D24&lt;&gt;"","R|"&amp;TRIM(D24),IF(MatchMode="Amount only","A|"&amp;TEXT(ROUND(C24,2),"0.00"),IF(MatchMode="Amount (tolerance)","T|"&amp;TEXT(ROUND(C24/MAX(N(Tolerance),0.0001),0),"0"),IF(MatchMode="Date + amount (tolerance)","DT|"&amp;TEXT(A24,"yyyy-mm-dd")&amp;"|"&amp;TEXT(ROUND(C24/MAX(N(Tolerance),0.0001),0),"0"),IF(MatchMode="Description (exact)","S|"&amp;LOWER(TRIM(B24)),IF(MatchMode="Reference / ID only","U|"&amp;ROW(),"DA|"&amp;TEXT(A24,"yyyy-mm-dd")&amp;"|"&amp;TEXT(ROUND(C24,2),"0.00"))))))))))</f>
        <v/>
      </c>
      <c r="J24" s="50">
        <f>IF(I24="","",COUNTIF($I$5:I24,I24))</f>
        <v/>
      </c>
      <c r="K24" s="50">
        <f>IF(P24="","",IFERROR(MATCH(P24,ListB_Combo,0)+4,""))</f>
        <v/>
      </c>
      <c r="L24" s="51">
        <f>IF(A24="","",IF(K24="","Unmatched",IF(ABS(C24-M24)&lt;=MAX(N(Tolerance),0),"Matched","Difference")))</f>
        <v/>
      </c>
      <c r="M24" s="52">
        <f>IF(K24="","",INDEX('List B'!$C$5:$C$204,K24-4))</f>
        <v/>
      </c>
      <c r="N24" s="52">
        <f>IF(K24="","",C24-M24)</f>
        <v/>
      </c>
      <c r="O24" s="53">
        <f>IF(OR(A24="",K24=""),"",IF(H24&lt;&gt;"","Manual pair",IF(D24&lt;&gt;"","Reference / ID",MatchMode)))</f>
        <v/>
      </c>
      <c r="P24" s="54">
        <f>IF(I24="","",I24&amp;"|"&amp;J24)</f>
        <v/>
      </c>
      <c r="Q24" s="54">
        <f>IF(L24="Matched",COUNTIF($L$5:L24,"Matched"),"")</f>
        <v/>
      </c>
      <c r="R24" s="54">
        <f>IF(L24="Unmatched",COUNTIF($L$5:L24,"Unmatched"),"")</f>
        <v/>
      </c>
      <c r="S24" s="54">
        <f>IF(L24="Difference",COUNTIF($L$5:L24,"Difference"),"")</f>
        <v/>
      </c>
      <c r="T24" s="55">
        <f>IF(L24="Difference",ABS(N24),0)</f>
        <v/>
      </c>
    </row>
    <row r="25" ht="17" customHeight="1">
      <c r="A25" s="86" t="n"/>
      <c r="B25" s="46" t="n"/>
      <c r="C25" s="47" t="n"/>
      <c r="D25" s="46" t="n"/>
      <c r="E25" s="46" t="n"/>
      <c r="F25" s="46" t="n"/>
      <c r="G25" s="48" t="n"/>
      <c r="H25" s="48" t="n"/>
      <c r="I25" s="49">
        <f>IF(A25="","",IF(H25&lt;&gt;"","M|"&amp;TRIM(H25),IF(AND(MatchMode="Reference / ID only",D25=""),"U|"&amp;ROW(),IF(D25&lt;&gt;"","R|"&amp;TRIM(D25),IF(MatchMode="Amount only","A|"&amp;TEXT(ROUND(C25,2),"0.00"),IF(MatchMode="Amount (tolerance)","T|"&amp;TEXT(ROUND(C25/MAX(N(Tolerance),0.0001),0),"0"),IF(MatchMode="Date + amount (tolerance)","DT|"&amp;TEXT(A25,"yyyy-mm-dd")&amp;"|"&amp;TEXT(ROUND(C25/MAX(N(Tolerance),0.0001),0),"0"),IF(MatchMode="Description (exact)","S|"&amp;LOWER(TRIM(B25)),IF(MatchMode="Reference / ID only","U|"&amp;ROW(),"DA|"&amp;TEXT(A25,"yyyy-mm-dd")&amp;"|"&amp;TEXT(ROUND(C25,2),"0.00"))))))))))</f>
        <v/>
      </c>
      <c r="J25" s="50">
        <f>IF(I25="","",COUNTIF($I$5:I25,I25))</f>
        <v/>
      </c>
      <c r="K25" s="50">
        <f>IF(P25="","",IFERROR(MATCH(P25,ListB_Combo,0)+4,""))</f>
        <v/>
      </c>
      <c r="L25" s="51">
        <f>IF(A25="","",IF(K25="","Unmatched",IF(ABS(C25-M25)&lt;=MAX(N(Tolerance),0),"Matched","Difference")))</f>
        <v/>
      </c>
      <c r="M25" s="52">
        <f>IF(K25="","",INDEX('List B'!$C$5:$C$204,K25-4))</f>
        <v/>
      </c>
      <c r="N25" s="52">
        <f>IF(K25="","",C25-M25)</f>
        <v/>
      </c>
      <c r="O25" s="53">
        <f>IF(OR(A25="",K25=""),"",IF(H25&lt;&gt;"","Manual pair",IF(D25&lt;&gt;"","Reference / ID",MatchMode)))</f>
        <v/>
      </c>
      <c r="P25" s="54">
        <f>IF(I25="","",I25&amp;"|"&amp;J25)</f>
        <v/>
      </c>
      <c r="Q25" s="54">
        <f>IF(L25="Matched",COUNTIF($L$5:L25,"Matched"),"")</f>
        <v/>
      </c>
      <c r="R25" s="54">
        <f>IF(L25="Unmatched",COUNTIF($L$5:L25,"Unmatched"),"")</f>
        <v/>
      </c>
      <c r="S25" s="54">
        <f>IF(L25="Difference",COUNTIF($L$5:L25,"Difference"),"")</f>
        <v/>
      </c>
      <c r="T25" s="55">
        <f>IF(L25="Difference",ABS(N25),0)</f>
        <v/>
      </c>
    </row>
    <row r="26" ht="17" customHeight="1">
      <c r="A26" s="86" t="n"/>
      <c r="B26" s="46" t="n"/>
      <c r="C26" s="47" t="n"/>
      <c r="D26" s="46" t="n"/>
      <c r="E26" s="46" t="n"/>
      <c r="F26" s="46" t="n"/>
      <c r="G26" s="48" t="n"/>
      <c r="H26" s="48" t="n"/>
      <c r="I26" s="49">
        <f>IF(A26="","",IF(H26&lt;&gt;"","M|"&amp;TRIM(H26),IF(AND(MatchMode="Reference / ID only",D26=""),"U|"&amp;ROW(),IF(D26&lt;&gt;"","R|"&amp;TRIM(D26),IF(MatchMode="Amount only","A|"&amp;TEXT(ROUND(C26,2),"0.00"),IF(MatchMode="Amount (tolerance)","T|"&amp;TEXT(ROUND(C26/MAX(N(Tolerance),0.0001),0),"0"),IF(MatchMode="Date + amount (tolerance)","DT|"&amp;TEXT(A26,"yyyy-mm-dd")&amp;"|"&amp;TEXT(ROUND(C26/MAX(N(Tolerance),0.0001),0),"0"),IF(MatchMode="Description (exact)","S|"&amp;LOWER(TRIM(B26)),IF(MatchMode="Reference / ID only","U|"&amp;ROW(),"DA|"&amp;TEXT(A26,"yyyy-mm-dd")&amp;"|"&amp;TEXT(ROUND(C26,2),"0.00"))))))))))</f>
        <v/>
      </c>
      <c r="J26" s="50">
        <f>IF(I26="","",COUNTIF($I$5:I26,I26))</f>
        <v/>
      </c>
      <c r="K26" s="50">
        <f>IF(P26="","",IFERROR(MATCH(P26,ListB_Combo,0)+4,""))</f>
        <v/>
      </c>
      <c r="L26" s="51">
        <f>IF(A26="","",IF(K26="","Unmatched",IF(ABS(C26-M26)&lt;=MAX(N(Tolerance),0),"Matched","Difference")))</f>
        <v/>
      </c>
      <c r="M26" s="52">
        <f>IF(K26="","",INDEX('List B'!$C$5:$C$204,K26-4))</f>
        <v/>
      </c>
      <c r="N26" s="52">
        <f>IF(K26="","",C26-M26)</f>
        <v/>
      </c>
      <c r="O26" s="53">
        <f>IF(OR(A26="",K26=""),"",IF(H26&lt;&gt;"","Manual pair",IF(D26&lt;&gt;"","Reference / ID",MatchMode)))</f>
        <v/>
      </c>
      <c r="P26" s="54">
        <f>IF(I26="","",I26&amp;"|"&amp;J26)</f>
        <v/>
      </c>
      <c r="Q26" s="54">
        <f>IF(L26="Matched",COUNTIF($L$5:L26,"Matched"),"")</f>
        <v/>
      </c>
      <c r="R26" s="54">
        <f>IF(L26="Unmatched",COUNTIF($L$5:L26,"Unmatched"),"")</f>
        <v/>
      </c>
      <c r="S26" s="54">
        <f>IF(L26="Difference",COUNTIF($L$5:L26,"Difference"),"")</f>
        <v/>
      </c>
      <c r="T26" s="55">
        <f>IF(L26="Difference",ABS(N26),0)</f>
        <v/>
      </c>
    </row>
    <row r="27" ht="17" customHeight="1">
      <c r="A27" s="86" t="n"/>
      <c r="B27" s="46" t="n"/>
      <c r="C27" s="47" t="n"/>
      <c r="D27" s="46" t="n"/>
      <c r="E27" s="46" t="n"/>
      <c r="F27" s="46" t="n"/>
      <c r="G27" s="48" t="n"/>
      <c r="H27" s="48" t="n"/>
      <c r="I27" s="49">
        <f>IF(A27="","",IF(H27&lt;&gt;"","M|"&amp;TRIM(H27),IF(AND(MatchMode="Reference / ID only",D27=""),"U|"&amp;ROW(),IF(D27&lt;&gt;"","R|"&amp;TRIM(D27),IF(MatchMode="Amount only","A|"&amp;TEXT(ROUND(C27,2),"0.00"),IF(MatchMode="Amount (tolerance)","T|"&amp;TEXT(ROUND(C27/MAX(N(Tolerance),0.0001),0),"0"),IF(MatchMode="Date + amount (tolerance)","DT|"&amp;TEXT(A27,"yyyy-mm-dd")&amp;"|"&amp;TEXT(ROUND(C27/MAX(N(Tolerance),0.0001),0),"0"),IF(MatchMode="Description (exact)","S|"&amp;LOWER(TRIM(B27)),IF(MatchMode="Reference / ID only","U|"&amp;ROW(),"DA|"&amp;TEXT(A27,"yyyy-mm-dd")&amp;"|"&amp;TEXT(ROUND(C27,2),"0.00"))))))))))</f>
        <v/>
      </c>
      <c r="J27" s="50">
        <f>IF(I27="","",COUNTIF($I$5:I27,I27))</f>
        <v/>
      </c>
      <c r="K27" s="50">
        <f>IF(P27="","",IFERROR(MATCH(P27,ListB_Combo,0)+4,""))</f>
        <v/>
      </c>
      <c r="L27" s="51">
        <f>IF(A27="","",IF(K27="","Unmatched",IF(ABS(C27-M27)&lt;=MAX(N(Tolerance),0),"Matched","Difference")))</f>
        <v/>
      </c>
      <c r="M27" s="52">
        <f>IF(K27="","",INDEX('List B'!$C$5:$C$204,K27-4))</f>
        <v/>
      </c>
      <c r="N27" s="52">
        <f>IF(K27="","",C27-M27)</f>
        <v/>
      </c>
      <c r="O27" s="53">
        <f>IF(OR(A27="",K27=""),"",IF(H27&lt;&gt;"","Manual pair",IF(D27&lt;&gt;"","Reference / ID",MatchMode)))</f>
        <v/>
      </c>
      <c r="P27" s="54">
        <f>IF(I27="","",I27&amp;"|"&amp;J27)</f>
        <v/>
      </c>
      <c r="Q27" s="54">
        <f>IF(L27="Matched",COUNTIF($L$5:L27,"Matched"),"")</f>
        <v/>
      </c>
      <c r="R27" s="54">
        <f>IF(L27="Unmatched",COUNTIF($L$5:L27,"Unmatched"),"")</f>
        <v/>
      </c>
      <c r="S27" s="54">
        <f>IF(L27="Difference",COUNTIF($L$5:L27,"Difference"),"")</f>
        <v/>
      </c>
      <c r="T27" s="55">
        <f>IF(L27="Difference",ABS(N27),0)</f>
        <v/>
      </c>
    </row>
    <row r="28" ht="17" customHeight="1">
      <c r="A28" s="86" t="n"/>
      <c r="B28" s="46" t="n"/>
      <c r="C28" s="47" t="n"/>
      <c r="D28" s="46" t="n"/>
      <c r="E28" s="46" t="n"/>
      <c r="F28" s="46" t="n"/>
      <c r="G28" s="48" t="n"/>
      <c r="H28" s="48" t="n"/>
      <c r="I28" s="49">
        <f>IF(A28="","",IF(H28&lt;&gt;"","M|"&amp;TRIM(H28),IF(AND(MatchMode="Reference / ID only",D28=""),"U|"&amp;ROW(),IF(D28&lt;&gt;"","R|"&amp;TRIM(D28),IF(MatchMode="Amount only","A|"&amp;TEXT(ROUND(C28,2),"0.00"),IF(MatchMode="Amount (tolerance)","T|"&amp;TEXT(ROUND(C28/MAX(N(Tolerance),0.0001),0),"0"),IF(MatchMode="Date + amount (tolerance)","DT|"&amp;TEXT(A28,"yyyy-mm-dd")&amp;"|"&amp;TEXT(ROUND(C28/MAX(N(Tolerance),0.0001),0),"0"),IF(MatchMode="Description (exact)","S|"&amp;LOWER(TRIM(B28)),IF(MatchMode="Reference / ID only","U|"&amp;ROW(),"DA|"&amp;TEXT(A28,"yyyy-mm-dd")&amp;"|"&amp;TEXT(ROUND(C28,2),"0.00"))))))))))</f>
        <v/>
      </c>
      <c r="J28" s="50">
        <f>IF(I28="","",COUNTIF($I$5:I28,I28))</f>
        <v/>
      </c>
      <c r="K28" s="50">
        <f>IF(P28="","",IFERROR(MATCH(P28,ListB_Combo,0)+4,""))</f>
        <v/>
      </c>
      <c r="L28" s="51">
        <f>IF(A28="","",IF(K28="","Unmatched",IF(ABS(C28-M28)&lt;=MAX(N(Tolerance),0),"Matched","Difference")))</f>
        <v/>
      </c>
      <c r="M28" s="52">
        <f>IF(K28="","",INDEX('List B'!$C$5:$C$204,K28-4))</f>
        <v/>
      </c>
      <c r="N28" s="52">
        <f>IF(K28="","",C28-M28)</f>
        <v/>
      </c>
      <c r="O28" s="53">
        <f>IF(OR(A28="",K28=""),"",IF(H28&lt;&gt;"","Manual pair",IF(D28&lt;&gt;"","Reference / ID",MatchMode)))</f>
        <v/>
      </c>
      <c r="P28" s="54">
        <f>IF(I28="","",I28&amp;"|"&amp;J28)</f>
        <v/>
      </c>
      <c r="Q28" s="54">
        <f>IF(L28="Matched",COUNTIF($L$5:L28,"Matched"),"")</f>
        <v/>
      </c>
      <c r="R28" s="54">
        <f>IF(L28="Unmatched",COUNTIF($L$5:L28,"Unmatched"),"")</f>
        <v/>
      </c>
      <c r="S28" s="54">
        <f>IF(L28="Difference",COUNTIF($L$5:L28,"Difference"),"")</f>
        <v/>
      </c>
      <c r="T28" s="55">
        <f>IF(L28="Difference",ABS(N28),0)</f>
        <v/>
      </c>
    </row>
    <row r="29" ht="17" customHeight="1">
      <c r="A29" s="86" t="n"/>
      <c r="B29" s="46" t="n"/>
      <c r="C29" s="47" t="n"/>
      <c r="D29" s="46" t="n"/>
      <c r="E29" s="46" t="n"/>
      <c r="F29" s="46" t="n"/>
      <c r="G29" s="48" t="n"/>
      <c r="H29" s="48" t="n"/>
      <c r="I29" s="49">
        <f>IF(A29="","",IF(H29&lt;&gt;"","M|"&amp;TRIM(H29),IF(AND(MatchMode="Reference / ID only",D29=""),"U|"&amp;ROW(),IF(D29&lt;&gt;"","R|"&amp;TRIM(D29),IF(MatchMode="Amount only","A|"&amp;TEXT(ROUND(C29,2),"0.00"),IF(MatchMode="Amount (tolerance)","T|"&amp;TEXT(ROUND(C29/MAX(N(Tolerance),0.0001),0),"0"),IF(MatchMode="Date + amount (tolerance)","DT|"&amp;TEXT(A29,"yyyy-mm-dd")&amp;"|"&amp;TEXT(ROUND(C29/MAX(N(Tolerance),0.0001),0),"0"),IF(MatchMode="Description (exact)","S|"&amp;LOWER(TRIM(B29)),IF(MatchMode="Reference / ID only","U|"&amp;ROW(),"DA|"&amp;TEXT(A29,"yyyy-mm-dd")&amp;"|"&amp;TEXT(ROUND(C29,2),"0.00"))))))))))</f>
        <v/>
      </c>
      <c r="J29" s="50">
        <f>IF(I29="","",COUNTIF($I$5:I29,I29))</f>
        <v/>
      </c>
      <c r="K29" s="50">
        <f>IF(P29="","",IFERROR(MATCH(P29,ListB_Combo,0)+4,""))</f>
        <v/>
      </c>
      <c r="L29" s="51">
        <f>IF(A29="","",IF(K29="","Unmatched",IF(ABS(C29-M29)&lt;=MAX(N(Tolerance),0),"Matched","Difference")))</f>
        <v/>
      </c>
      <c r="M29" s="52">
        <f>IF(K29="","",INDEX('List B'!$C$5:$C$204,K29-4))</f>
        <v/>
      </c>
      <c r="N29" s="52">
        <f>IF(K29="","",C29-M29)</f>
        <v/>
      </c>
      <c r="O29" s="53">
        <f>IF(OR(A29="",K29=""),"",IF(H29&lt;&gt;"","Manual pair",IF(D29&lt;&gt;"","Reference / ID",MatchMode)))</f>
        <v/>
      </c>
      <c r="P29" s="54">
        <f>IF(I29="","",I29&amp;"|"&amp;J29)</f>
        <v/>
      </c>
      <c r="Q29" s="54">
        <f>IF(L29="Matched",COUNTIF($L$5:L29,"Matched"),"")</f>
        <v/>
      </c>
      <c r="R29" s="54">
        <f>IF(L29="Unmatched",COUNTIF($L$5:L29,"Unmatched"),"")</f>
        <v/>
      </c>
      <c r="S29" s="54">
        <f>IF(L29="Difference",COUNTIF($L$5:L29,"Difference"),"")</f>
        <v/>
      </c>
      <c r="T29" s="55">
        <f>IF(L29="Difference",ABS(N29),0)</f>
        <v/>
      </c>
    </row>
    <row r="30" ht="17" customHeight="1">
      <c r="A30" s="86" t="n"/>
      <c r="B30" s="46" t="n"/>
      <c r="C30" s="47" t="n"/>
      <c r="D30" s="46" t="n"/>
      <c r="E30" s="46" t="n"/>
      <c r="F30" s="46" t="n"/>
      <c r="G30" s="48" t="n"/>
      <c r="H30" s="48" t="n"/>
      <c r="I30" s="49">
        <f>IF(A30="","",IF(H30&lt;&gt;"","M|"&amp;TRIM(H30),IF(AND(MatchMode="Reference / ID only",D30=""),"U|"&amp;ROW(),IF(D30&lt;&gt;"","R|"&amp;TRIM(D30),IF(MatchMode="Amount only","A|"&amp;TEXT(ROUND(C30,2),"0.00"),IF(MatchMode="Amount (tolerance)","T|"&amp;TEXT(ROUND(C30/MAX(N(Tolerance),0.0001),0),"0"),IF(MatchMode="Date + amount (tolerance)","DT|"&amp;TEXT(A30,"yyyy-mm-dd")&amp;"|"&amp;TEXT(ROUND(C30/MAX(N(Tolerance),0.0001),0),"0"),IF(MatchMode="Description (exact)","S|"&amp;LOWER(TRIM(B30)),IF(MatchMode="Reference / ID only","U|"&amp;ROW(),"DA|"&amp;TEXT(A30,"yyyy-mm-dd")&amp;"|"&amp;TEXT(ROUND(C30,2),"0.00"))))))))))</f>
        <v/>
      </c>
      <c r="J30" s="50">
        <f>IF(I30="","",COUNTIF($I$5:I30,I30))</f>
        <v/>
      </c>
      <c r="K30" s="50">
        <f>IF(P30="","",IFERROR(MATCH(P30,ListB_Combo,0)+4,""))</f>
        <v/>
      </c>
      <c r="L30" s="51">
        <f>IF(A30="","",IF(K30="","Unmatched",IF(ABS(C30-M30)&lt;=MAX(N(Tolerance),0),"Matched","Difference")))</f>
        <v/>
      </c>
      <c r="M30" s="52">
        <f>IF(K30="","",INDEX('List B'!$C$5:$C$204,K30-4))</f>
        <v/>
      </c>
      <c r="N30" s="52">
        <f>IF(K30="","",C30-M30)</f>
        <v/>
      </c>
      <c r="O30" s="53">
        <f>IF(OR(A30="",K30=""),"",IF(H30&lt;&gt;"","Manual pair",IF(D30&lt;&gt;"","Reference / ID",MatchMode)))</f>
        <v/>
      </c>
      <c r="P30" s="54">
        <f>IF(I30="","",I30&amp;"|"&amp;J30)</f>
        <v/>
      </c>
      <c r="Q30" s="54">
        <f>IF(L30="Matched",COUNTIF($L$5:L30,"Matched"),"")</f>
        <v/>
      </c>
      <c r="R30" s="54">
        <f>IF(L30="Unmatched",COUNTIF($L$5:L30,"Unmatched"),"")</f>
        <v/>
      </c>
      <c r="S30" s="54">
        <f>IF(L30="Difference",COUNTIF($L$5:L30,"Difference"),"")</f>
        <v/>
      </c>
      <c r="T30" s="55">
        <f>IF(L30="Difference",ABS(N30),0)</f>
        <v/>
      </c>
    </row>
    <row r="31" ht="17" customHeight="1">
      <c r="A31" s="86" t="n"/>
      <c r="B31" s="46" t="n"/>
      <c r="C31" s="47" t="n"/>
      <c r="D31" s="46" t="n"/>
      <c r="E31" s="46" t="n"/>
      <c r="F31" s="46" t="n"/>
      <c r="G31" s="48" t="n"/>
      <c r="H31" s="48" t="n"/>
      <c r="I31" s="49">
        <f>IF(A31="","",IF(H31&lt;&gt;"","M|"&amp;TRIM(H31),IF(AND(MatchMode="Reference / ID only",D31=""),"U|"&amp;ROW(),IF(D31&lt;&gt;"","R|"&amp;TRIM(D31),IF(MatchMode="Amount only","A|"&amp;TEXT(ROUND(C31,2),"0.00"),IF(MatchMode="Amount (tolerance)","T|"&amp;TEXT(ROUND(C31/MAX(N(Tolerance),0.0001),0),"0"),IF(MatchMode="Date + amount (tolerance)","DT|"&amp;TEXT(A31,"yyyy-mm-dd")&amp;"|"&amp;TEXT(ROUND(C31/MAX(N(Tolerance),0.0001),0),"0"),IF(MatchMode="Description (exact)","S|"&amp;LOWER(TRIM(B31)),IF(MatchMode="Reference / ID only","U|"&amp;ROW(),"DA|"&amp;TEXT(A31,"yyyy-mm-dd")&amp;"|"&amp;TEXT(ROUND(C31,2),"0.00"))))))))))</f>
        <v/>
      </c>
      <c r="J31" s="50">
        <f>IF(I31="","",COUNTIF($I$5:I31,I31))</f>
        <v/>
      </c>
      <c r="K31" s="50">
        <f>IF(P31="","",IFERROR(MATCH(P31,ListB_Combo,0)+4,""))</f>
        <v/>
      </c>
      <c r="L31" s="51">
        <f>IF(A31="","",IF(K31="","Unmatched",IF(ABS(C31-M31)&lt;=MAX(N(Tolerance),0),"Matched","Difference")))</f>
        <v/>
      </c>
      <c r="M31" s="52">
        <f>IF(K31="","",INDEX('List B'!$C$5:$C$204,K31-4))</f>
        <v/>
      </c>
      <c r="N31" s="52">
        <f>IF(K31="","",C31-M31)</f>
        <v/>
      </c>
      <c r="O31" s="53">
        <f>IF(OR(A31="",K31=""),"",IF(H31&lt;&gt;"","Manual pair",IF(D31&lt;&gt;"","Reference / ID",MatchMode)))</f>
        <v/>
      </c>
      <c r="P31" s="54">
        <f>IF(I31="","",I31&amp;"|"&amp;J31)</f>
        <v/>
      </c>
      <c r="Q31" s="54">
        <f>IF(L31="Matched",COUNTIF($L$5:L31,"Matched"),"")</f>
        <v/>
      </c>
      <c r="R31" s="54">
        <f>IF(L31="Unmatched",COUNTIF($L$5:L31,"Unmatched"),"")</f>
        <v/>
      </c>
      <c r="S31" s="54">
        <f>IF(L31="Difference",COUNTIF($L$5:L31,"Difference"),"")</f>
        <v/>
      </c>
      <c r="T31" s="55">
        <f>IF(L31="Difference",ABS(N31),0)</f>
        <v/>
      </c>
    </row>
    <row r="32" ht="17" customHeight="1">
      <c r="A32" s="86" t="n"/>
      <c r="B32" s="46" t="n"/>
      <c r="C32" s="47" t="n"/>
      <c r="D32" s="46" t="n"/>
      <c r="E32" s="46" t="n"/>
      <c r="F32" s="46" t="n"/>
      <c r="G32" s="48" t="n"/>
      <c r="H32" s="48" t="n"/>
      <c r="I32" s="49">
        <f>IF(A32="","",IF(H32&lt;&gt;"","M|"&amp;TRIM(H32),IF(AND(MatchMode="Reference / ID only",D32=""),"U|"&amp;ROW(),IF(D32&lt;&gt;"","R|"&amp;TRIM(D32),IF(MatchMode="Amount only","A|"&amp;TEXT(ROUND(C32,2),"0.00"),IF(MatchMode="Amount (tolerance)","T|"&amp;TEXT(ROUND(C32/MAX(N(Tolerance),0.0001),0),"0"),IF(MatchMode="Date + amount (tolerance)","DT|"&amp;TEXT(A32,"yyyy-mm-dd")&amp;"|"&amp;TEXT(ROUND(C32/MAX(N(Tolerance),0.0001),0),"0"),IF(MatchMode="Description (exact)","S|"&amp;LOWER(TRIM(B32)),IF(MatchMode="Reference / ID only","U|"&amp;ROW(),"DA|"&amp;TEXT(A32,"yyyy-mm-dd")&amp;"|"&amp;TEXT(ROUND(C32,2),"0.00"))))))))))</f>
        <v/>
      </c>
      <c r="J32" s="50">
        <f>IF(I32="","",COUNTIF($I$5:I32,I32))</f>
        <v/>
      </c>
      <c r="K32" s="50">
        <f>IF(P32="","",IFERROR(MATCH(P32,ListB_Combo,0)+4,""))</f>
        <v/>
      </c>
      <c r="L32" s="51">
        <f>IF(A32="","",IF(K32="","Unmatched",IF(ABS(C32-M32)&lt;=MAX(N(Tolerance),0),"Matched","Difference")))</f>
        <v/>
      </c>
      <c r="M32" s="52">
        <f>IF(K32="","",INDEX('List B'!$C$5:$C$204,K32-4))</f>
        <v/>
      </c>
      <c r="N32" s="52">
        <f>IF(K32="","",C32-M32)</f>
        <v/>
      </c>
      <c r="O32" s="53">
        <f>IF(OR(A32="",K32=""),"",IF(H32&lt;&gt;"","Manual pair",IF(D32&lt;&gt;"","Reference / ID",MatchMode)))</f>
        <v/>
      </c>
      <c r="P32" s="54">
        <f>IF(I32="","",I32&amp;"|"&amp;J32)</f>
        <v/>
      </c>
      <c r="Q32" s="54">
        <f>IF(L32="Matched",COUNTIF($L$5:L32,"Matched"),"")</f>
        <v/>
      </c>
      <c r="R32" s="54">
        <f>IF(L32="Unmatched",COUNTIF($L$5:L32,"Unmatched"),"")</f>
        <v/>
      </c>
      <c r="S32" s="54">
        <f>IF(L32="Difference",COUNTIF($L$5:L32,"Difference"),"")</f>
        <v/>
      </c>
      <c r="T32" s="55">
        <f>IF(L32="Difference",ABS(N32),0)</f>
        <v/>
      </c>
    </row>
    <row r="33" ht="17" customHeight="1">
      <c r="A33" s="86" t="n"/>
      <c r="B33" s="46" t="n"/>
      <c r="C33" s="47" t="n"/>
      <c r="D33" s="46" t="n"/>
      <c r="E33" s="46" t="n"/>
      <c r="F33" s="46" t="n"/>
      <c r="G33" s="48" t="n"/>
      <c r="H33" s="48" t="n"/>
      <c r="I33" s="49">
        <f>IF(A33="","",IF(H33&lt;&gt;"","M|"&amp;TRIM(H33),IF(AND(MatchMode="Reference / ID only",D33=""),"U|"&amp;ROW(),IF(D33&lt;&gt;"","R|"&amp;TRIM(D33),IF(MatchMode="Amount only","A|"&amp;TEXT(ROUND(C33,2),"0.00"),IF(MatchMode="Amount (tolerance)","T|"&amp;TEXT(ROUND(C33/MAX(N(Tolerance),0.0001),0),"0"),IF(MatchMode="Date + amount (tolerance)","DT|"&amp;TEXT(A33,"yyyy-mm-dd")&amp;"|"&amp;TEXT(ROUND(C33/MAX(N(Tolerance),0.0001),0),"0"),IF(MatchMode="Description (exact)","S|"&amp;LOWER(TRIM(B33)),IF(MatchMode="Reference / ID only","U|"&amp;ROW(),"DA|"&amp;TEXT(A33,"yyyy-mm-dd")&amp;"|"&amp;TEXT(ROUND(C33,2),"0.00"))))))))))</f>
        <v/>
      </c>
      <c r="J33" s="50">
        <f>IF(I33="","",COUNTIF($I$5:I33,I33))</f>
        <v/>
      </c>
      <c r="K33" s="50">
        <f>IF(P33="","",IFERROR(MATCH(P33,ListB_Combo,0)+4,""))</f>
        <v/>
      </c>
      <c r="L33" s="51">
        <f>IF(A33="","",IF(K33="","Unmatched",IF(ABS(C33-M33)&lt;=MAX(N(Tolerance),0),"Matched","Difference")))</f>
        <v/>
      </c>
      <c r="M33" s="52">
        <f>IF(K33="","",INDEX('List B'!$C$5:$C$204,K33-4))</f>
        <v/>
      </c>
      <c r="N33" s="52">
        <f>IF(K33="","",C33-M33)</f>
        <v/>
      </c>
      <c r="O33" s="53">
        <f>IF(OR(A33="",K33=""),"",IF(H33&lt;&gt;"","Manual pair",IF(D33&lt;&gt;"","Reference / ID",MatchMode)))</f>
        <v/>
      </c>
      <c r="P33" s="54">
        <f>IF(I33="","",I33&amp;"|"&amp;J33)</f>
        <v/>
      </c>
      <c r="Q33" s="54">
        <f>IF(L33="Matched",COUNTIF($L$5:L33,"Matched"),"")</f>
        <v/>
      </c>
      <c r="R33" s="54">
        <f>IF(L33="Unmatched",COUNTIF($L$5:L33,"Unmatched"),"")</f>
        <v/>
      </c>
      <c r="S33" s="54">
        <f>IF(L33="Difference",COUNTIF($L$5:L33,"Difference"),"")</f>
        <v/>
      </c>
      <c r="T33" s="55">
        <f>IF(L33="Difference",ABS(N33),0)</f>
        <v/>
      </c>
    </row>
    <row r="34" ht="17" customHeight="1">
      <c r="A34" s="86" t="n"/>
      <c r="B34" s="46" t="n"/>
      <c r="C34" s="47" t="n"/>
      <c r="D34" s="46" t="n"/>
      <c r="E34" s="46" t="n"/>
      <c r="F34" s="46" t="n"/>
      <c r="G34" s="48" t="n"/>
      <c r="H34" s="48" t="n"/>
      <c r="I34" s="49">
        <f>IF(A34="","",IF(H34&lt;&gt;"","M|"&amp;TRIM(H34),IF(AND(MatchMode="Reference / ID only",D34=""),"U|"&amp;ROW(),IF(D34&lt;&gt;"","R|"&amp;TRIM(D34),IF(MatchMode="Amount only","A|"&amp;TEXT(ROUND(C34,2),"0.00"),IF(MatchMode="Amount (tolerance)","T|"&amp;TEXT(ROUND(C34/MAX(N(Tolerance),0.0001),0),"0"),IF(MatchMode="Date + amount (tolerance)","DT|"&amp;TEXT(A34,"yyyy-mm-dd")&amp;"|"&amp;TEXT(ROUND(C34/MAX(N(Tolerance),0.0001),0),"0"),IF(MatchMode="Description (exact)","S|"&amp;LOWER(TRIM(B34)),IF(MatchMode="Reference / ID only","U|"&amp;ROW(),"DA|"&amp;TEXT(A34,"yyyy-mm-dd")&amp;"|"&amp;TEXT(ROUND(C34,2),"0.00"))))))))))</f>
        <v/>
      </c>
      <c r="J34" s="50">
        <f>IF(I34="","",COUNTIF($I$5:I34,I34))</f>
        <v/>
      </c>
      <c r="K34" s="50">
        <f>IF(P34="","",IFERROR(MATCH(P34,ListB_Combo,0)+4,""))</f>
        <v/>
      </c>
      <c r="L34" s="51">
        <f>IF(A34="","",IF(K34="","Unmatched",IF(ABS(C34-M34)&lt;=MAX(N(Tolerance),0),"Matched","Difference")))</f>
        <v/>
      </c>
      <c r="M34" s="52">
        <f>IF(K34="","",INDEX('List B'!$C$5:$C$204,K34-4))</f>
        <v/>
      </c>
      <c r="N34" s="52">
        <f>IF(K34="","",C34-M34)</f>
        <v/>
      </c>
      <c r="O34" s="53">
        <f>IF(OR(A34="",K34=""),"",IF(H34&lt;&gt;"","Manual pair",IF(D34&lt;&gt;"","Reference / ID",MatchMode)))</f>
        <v/>
      </c>
      <c r="P34" s="54">
        <f>IF(I34="","",I34&amp;"|"&amp;J34)</f>
        <v/>
      </c>
      <c r="Q34" s="54">
        <f>IF(L34="Matched",COUNTIF($L$5:L34,"Matched"),"")</f>
        <v/>
      </c>
      <c r="R34" s="54">
        <f>IF(L34="Unmatched",COUNTIF($L$5:L34,"Unmatched"),"")</f>
        <v/>
      </c>
      <c r="S34" s="54">
        <f>IF(L34="Difference",COUNTIF($L$5:L34,"Difference"),"")</f>
        <v/>
      </c>
      <c r="T34" s="55">
        <f>IF(L34="Difference",ABS(N34),0)</f>
        <v/>
      </c>
    </row>
    <row r="35" ht="17" customHeight="1">
      <c r="A35" s="86" t="n"/>
      <c r="B35" s="46" t="n"/>
      <c r="C35" s="47" t="n"/>
      <c r="D35" s="46" t="n"/>
      <c r="E35" s="46" t="n"/>
      <c r="F35" s="46" t="n"/>
      <c r="G35" s="48" t="n"/>
      <c r="H35" s="48" t="n"/>
      <c r="I35" s="49">
        <f>IF(A35="","",IF(H35&lt;&gt;"","M|"&amp;TRIM(H35),IF(AND(MatchMode="Reference / ID only",D35=""),"U|"&amp;ROW(),IF(D35&lt;&gt;"","R|"&amp;TRIM(D35),IF(MatchMode="Amount only","A|"&amp;TEXT(ROUND(C35,2),"0.00"),IF(MatchMode="Amount (tolerance)","T|"&amp;TEXT(ROUND(C35/MAX(N(Tolerance),0.0001),0),"0"),IF(MatchMode="Date + amount (tolerance)","DT|"&amp;TEXT(A35,"yyyy-mm-dd")&amp;"|"&amp;TEXT(ROUND(C35/MAX(N(Tolerance),0.0001),0),"0"),IF(MatchMode="Description (exact)","S|"&amp;LOWER(TRIM(B35)),IF(MatchMode="Reference / ID only","U|"&amp;ROW(),"DA|"&amp;TEXT(A35,"yyyy-mm-dd")&amp;"|"&amp;TEXT(ROUND(C35,2),"0.00"))))))))))</f>
        <v/>
      </c>
      <c r="J35" s="50">
        <f>IF(I35="","",COUNTIF($I$5:I35,I35))</f>
        <v/>
      </c>
      <c r="K35" s="50">
        <f>IF(P35="","",IFERROR(MATCH(P35,ListB_Combo,0)+4,""))</f>
        <v/>
      </c>
      <c r="L35" s="51">
        <f>IF(A35="","",IF(K35="","Unmatched",IF(ABS(C35-M35)&lt;=MAX(N(Tolerance),0),"Matched","Difference")))</f>
        <v/>
      </c>
      <c r="M35" s="52">
        <f>IF(K35="","",INDEX('List B'!$C$5:$C$204,K35-4))</f>
        <v/>
      </c>
      <c r="N35" s="52">
        <f>IF(K35="","",C35-M35)</f>
        <v/>
      </c>
      <c r="O35" s="53">
        <f>IF(OR(A35="",K35=""),"",IF(H35&lt;&gt;"","Manual pair",IF(D35&lt;&gt;"","Reference / ID",MatchMode)))</f>
        <v/>
      </c>
      <c r="P35" s="54">
        <f>IF(I35="","",I35&amp;"|"&amp;J35)</f>
        <v/>
      </c>
      <c r="Q35" s="54">
        <f>IF(L35="Matched",COUNTIF($L$5:L35,"Matched"),"")</f>
        <v/>
      </c>
      <c r="R35" s="54">
        <f>IF(L35="Unmatched",COUNTIF($L$5:L35,"Unmatched"),"")</f>
        <v/>
      </c>
      <c r="S35" s="54">
        <f>IF(L35="Difference",COUNTIF($L$5:L35,"Difference"),"")</f>
        <v/>
      </c>
      <c r="T35" s="55">
        <f>IF(L35="Difference",ABS(N35),0)</f>
        <v/>
      </c>
    </row>
    <row r="36" ht="17" customHeight="1">
      <c r="A36" s="86" t="n"/>
      <c r="B36" s="46" t="n"/>
      <c r="C36" s="47" t="n"/>
      <c r="D36" s="46" t="n"/>
      <c r="E36" s="46" t="n"/>
      <c r="F36" s="46" t="n"/>
      <c r="G36" s="48" t="n"/>
      <c r="H36" s="48" t="n"/>
      <c r="I36" s="49">
        <f>IF(A36="","",IF(H36&lt;&gt;"","M|"&amp;TRIM(H36),IF(AND(MatchMode="Reference / ID only",D36=""),"U|"&amp;ROW(),IF(D36&lt;&gt;"","R|"&amp;TRIM(D36),IF(MatchMode="Amount only","A|"&amp;TEXT(ROUND(C36,2),"0.00"),IF(MatchMode="Amount (tolerance)","T|"&amp;TEXT(ROUND(C36/MAX(N(Tolerance),0.0001),0),"0"),IF(MatchMode="Date + amount (tolerance)","DT|"&amp;TEXT(A36,"yyyy-mm-dd")&amp;"|"&amp;TEXT(ROUND(C36/MAX(N(Tolerance),0.0001),0),"0"),IF(MatchMode="Description (exact)","S|"&amp;LOWER(TRIM(B36)),IF(MatchMode="Reference / ID only","U|"&amp;ROW(),"DA|"&amp;TEXT(A36,"yyyy-mm-dd")&amp;"|"&amp;TEXT(ROUND(C36,2),"0.00"))))))))))</f>
        <v/>
      </c>
      <c r="J36" s="50">
        <f>IF(I36="","",COUNTIF($I$5:I36,I36))</f>
        <v/>
      </c>
      <c r="K36" s="50">
        <f>IF(P36="","",IFERROR(MATCH(P36,ListB_Combo,0)+4,""))</f>
        <v/>
      </c>
      <c r="L36" s="51">
        <f>IF(A36="","",IF(K36="","Unmatched",IF(ABS(C36-M36)&lt;=MAX(N(Tolerance),0),"Matched","Difference")))</f>
        <v/>
      </c>
      <c r="M36" s="52">
        <f>IF(K36="","",INDEX('List B'!$C$5:$C$204,K36-4))</f>
        <v/>
      </c>
      <c r="N36" s="52">
        <f>IF(K36="","",C36-M36)</f>
        <v/>
      </c>
      <c r="O36" s="53">
        <f>IF(OR(A36="",K36=""),"",IF(H36&lt;&gt;"","Manual pair",IF(D36&lt;&gt;"","Reference / ID",MatchMode)))</f>
        <v/>
      </c>
      <c r="P36" s="54">
        <f>IF(I36="","",I36&amp;"|"&amp;J36)</f>
        <v/>
      </c>
      <c r="Q36" s="54">
        <f>IF(L36="Matched",COUNTIF($L$5:L36,"Matched"),"")</f>
        <v/>
      </c>
      <c r="R36" s="54">
        <f>IF(L36="Unmatched",COUNTIF($L$5:L36,"Unmatched"),"")</f>
        <v/>
      </c>
      <c r="S36" s="54">
        <f>IF(L36="Difference",COUNTIF($L$5:L36,"Difference"),"")</f>
        <v/>
      </c>
      <c r="T36" s="55">
        <f>IF(L36="Difference",ABS(N36),0)</f>
        <v/>
      </c>
    </row>
    <row r="37" ht="17" customHeight="1">
      <c r="A37" s="86" t="n"/>
      <c r="B37" s="46" t="n"/>
      <c r="C37" s="47" t="n"/>
      <c r="D37" s="46" t="n"/>
      <c r="E37" s="46" t="n"/>
      <c r="F37" s="46" t="n"/>
      <c r="G37" s="48" t="n"/>
      <c r="H37" s="48" t="n"/>
      <c r="I37" s="49">
        <f>IF(A37="","",IF(H37&lt;&gt;"","M|"&amp;TRIM(H37),IF(AND(MatchMode="Reference / ID only",D37=""),"U|"&amp;ROW(),IF(D37&lt;&gt;"","R|"&amp;TRIM(D37),IF(MatchMode="Amount only","A|"&amp;TEXT(ROUND(C37,2),"0.00"),IF(MatchMode="Amount (tolerance)","T|"&amp;TEXT(ROUND(C37/MAX(N(Tolerance),0.0001),0),"0"),IF(MatchMode="Date + amount (tolerance)","DT|"&amp;TEXT(A37,"yyyy-mm-dd")&amp;"|"&amp;TEXT(ROUND(C37/MAX(N(Tolerance),0.0001),0),"0"),IF(MatchMode="Description (exact)","S|"&amp;LOWER(TRIM(B37)),IF(MatchMode="Reference / ID only","U|"&amp;ROW(),"DA|"&amp;TEXT(A37,"yyyy-mm-dd")&amp;"|"&amp;TEXT(ROUND(C37,2),"0.00"))))))))))</f>
        <v/>
      </c>
      <c r="J37" s="50">
        <f>IF(I37="","",COUNTIF($I$5:I37,I37))</f>
        <v/>
      </c>
      <c r="K37" s="50">
        <f>IF(P37="","",IFERROR(MATCH(P37,ListB_Combo,0)+4,""))</f>
        <v/>
      </c>
      <c r="L37" s="51">
        <f>IF(A37="","",IF(K37="","Unmatched",IF(ABS(C37-M37)&lt;=MAX(N(Tolerance),0),"Matched","Difference")))</f>
        <v/>
      </c>
      <c r="M37" s="52">
        <f>IF(K37="","",INDEX('List B'!$C$5:$C$204,K37-4))</f>
        <v/>
      </c>
      <c r="N37" s="52">
        <f>IF(K37="","",C37-M37)</f>
        <v/>
      </c>
      <c r="O37" s="53">
        <f>IF(OR(A37="",K37=""),"",IF(H37&lt;&gt;"","Manual pair",IF(D37&lt;&gt;"","Reference / ID",MatchMode)))</f>
        <v/>
      </c>
      <c r="P37" s="54">
        <f>IF(I37="","",I37&amp;"|"&amp;J37)</f>
        <v/>
      </c>
      <c r="Q37" s="54">
        <f>IF(L37="Matched",COUNTIF($L$5:L37,"Matched"),"")</f>
        <v/>
      </c>
      <c r="R37" s="54">
        <f>IF(L37="Unmatched",COUNTIF($L$5:L37,"Unmatched"),"")</f>
        <v/>
      </c>
      <c r="S37" s="54">
        <f>IF(L37="Difference",COUNTIF($L$5:L37,"Difference"),"")</f>
        <v/>
      </c>
      <c r="T37" s="55">
        <f>IF(L37="Difference",ABS(N37),0)</f>
        <v/>
      </c>
    </row>
    <row r="38" ht="17" customHeight="1">
      <c r="A38" s="86" t="n"/>
      <c r="B38" s="46" t="n"/>
      <c r="C38" s="47" t="n"/>
      <c r="D38" s="46" t="n"/>
      <c r="E38" s="46" t="n"/>
      <c r="F38" s="46" t="n"/>
      <c r="G38" s="48" t="n"/>
      <c r="H38" s="48" t="n"/>
      <c r="I38" s="49">
        <f>IF(A38="","",IF(H38&lt;&gt;"","M|"&amp;TRIM(H38),IF(AND(MatchMode="Reference / ID only",D38=""),"U|"&amp;ROW(),IF(D38&lt;&gt;"","R|"&amp;TRIM(D38),IF(MatchMode="Amount only","A|"&amp;TEXT(ROUND(C38,2),"0.00"),IF(MatchMode="Amount (tolerance)","T|"&amp;TEXT(ROUND(C38/MAX(N(Tolerance),0.0001),0),"0"),IF(MatchMode="Date + amount (tolerance)","DT|"&amp;TEXT(A38,"yyyy-mm-dd")&amp;"|"&amp;TEXT(ROUND(C38/MAX(N(Tolerance),0.0001),0),"0"),IF(MatchMode="Description (exact)","S|"&amp;LOWER(TRIM(B38)),IF(MatchMode="Reference / ID only","U|"&amp;ROW(),"DA|"&amp;TEXT(A38,"yyyy-mm-dd")&amp;"|"&amp;TEXT(ROUND(C38,2),"0.00"))))))))))</f>
        <v/>
      </c>
      <c r="J38" s="50">
        <f>IF(I38="","",COUNTIF($I$5:I38,I38))</f>
        <v/>
      </c>
      <c r="K38" s="50">
        <f>IF(P38="","",IFERROR(MATCH(P38,ListB_Combo,0)+4,""))</f>
        <v/>
      </c>
      <c r="L38" s="51">
        <f>IF(A38="","",IF(K38="","Unmatched",IF(ABS(C38-M38)&lt;=MAX(N(Tolerance),0),"Matched","Difference")))</f>
        <v/>
      </c>
      <c r="M38" s="52">
        <f>IF(K38="","",INDEX('List B'!$C$5:$C$204,K38-4))</f>
        <v/>
      </c>
      <c r="N38" s="52">
        <f>IF(K38="","",C38-M38)</f>
        <v/>
      </c>
      <c r="O38" s="53">
        <f>IF(OR(A38="",K38=""),"",IF(H38&lt;&gt;"","Manual pair",IF(D38&lt;&gt;"","Reference / ID",MatchMode)))</f>
        <v/>
      </c>
      <c r="P38" s="54">
        <f>IF(I38="","",I38&amp;"|"&amp;J38)</f>
        <v/>
      </c>
      <c r="Q38" s="54">
        <f>IF(L38="Matched",COUNTIF($L$5:L38,"Matched"),"")</f>
        <v/>
      </c>
      <c r="R38" s="54">
        <f>IF(L38="Unmatched",COUNTIF($L$5:L38,"Unmatched"),"")</f>
        <v/>
      </c>
      <c r="S38" s="54">
        <f>IF(L38="Difference",COUNTIF($L$5:L38,"Difference"),"")</f>
        <v/>
      </c>
      <c r="T38" s="55">
        <f>IF(L38="Difference",ABS(N38),0)</f>
        <v/>
      </c>
    </row>
    <row r="39" ht="17" customHeight="1">
      <c r="A39" s="86" t="n"/>
      <c r="B39" s="46" t="n"/>
      <c r="C39" s="47" t="n"/>
      <c r="D39" s="46" t="n"/>
      <c r="E39" s="46" t="n"/>
      <c r="F39" s="46" t="n"/>
      <c r="G39" s="48" t="n"/>
      <c r="H39" s="48" t="n"/>
      <c r="I39" s="49">
        <f>IF(A39="","",IF(H39&lt;&gt;"","M|"&amp;TRIM(H39),IF(AND(MatchMode="Reference / ID only",D39=""),"U|"&amp;ROW(),IF(D39&lt;&gt;"","R|"&amp;TRIM(D39),IF(MatchMode="Amount only","A|"&amp;TEXT(ROUND(C39,2),"0.00"),IF(MatchMode="Amount (tolerance)","T|"&amp;TEXT(ROUND(C39/MAX(N(Tolerance),0.0001),0),"0"),IF(MatchMode="Date + amount (tolerance)","DT|"&amp;TEXT(A39,"yyyy-mm-dd")&amp;"|"&amp;TEXT(ROUND(C39/MAX(N(Tolerance),0.0001),0),"0"),IF(MatchMode="Description (exact)","S|"&amp;LOWER(TRIM(B39)),IF(MatchMode="Reference / ID only","U|"&amp;ROW(),"DA|"&amp;TEXT(A39,"yyyy-mm-dd")&amp;"|"&amp;TEXT(ROUND(C39,2),"0.00"))))))))))</f>
        <v/>
      </c>
      <c r="J39" s="50">
        <f>IF(I39="","",COUNTIF($I$5:I39,I39))</f>
        <v/>
      </c>
      <c r="K39" s="50">
        <f>IF(P39="","",IFERROR(MATCH(P39,ListB_Combo,0)+4,""))</f>
        <v/>
      </c>
      <c r="L39" s="51">
        <f>IF(A39="","",IF(K39="","Unmatched",IF(ABS(C39-M39)&lt;=MAX(N(Tolerance),0),"Matched","Difference")))</f>
        <v/>
      </c>
      <c r="M39" s="52">
        <f>IF(K39="","",INDEX('List B'!$C$5:$C$204,K39-4))</f>
        <v/>
      </c>
      <c r="N39" s="52">
        <f>IF(K39="","",C39-M39)</f>
        <v/>
      </c>
      <c r="O39" s="53">
        <f>IF(OR(A39="",K39=""),"",IF(H39&lt;&gt;"","Manual pair",IF(D39&lt;&gt;"","Reference / ID",MatchMode)))</f>
        <v/>
      </c>
      <c r="P39" s="54">
        <f>IF(I39="","",I39&amp;"|"&amp;J39)</f>
        <v/>
      </c>
      <c r="Q39" s="54">
        <f>IF(L39="Matched",COUNTIF($L$5:L39,"Matched"),"")</f>
        <v/>
      </c>
      <c r="R39" s="54">
        <f>IF(L39="Unmatched",COUNTIF($L$5:L39,"Unmatched"),"")</f>
        <v/>
      </c>
      <c r="S39" s="54">
        <f>IF(L39="Difference",COUNTIF($L$5:L39,"Difference"),"")</f>
        <v/>
      </c>
      <c r="T39" s="55">
        <f>IF(L39="Difference",ABS(N39),0)</f>
        <v/>
      </c>
    </row>
    <row r="40" ht="17" customHeight="1">
      <c r="A40" s="86" t="n"/>
      <c r="B40" s="46" t="n"/>
      <c r="C40" s="47" t="n"/>
      <c r="D40" s="46" t="n"/>
      <c r="E40" s="46" t="n"/>
      <c r="F40" s="46" t="n"/>
      <c r="G40" s="48" t="n"/>
      <c r="H40" s="48" t="n"/>
      <c r="I40" s="49">
        <f>IF(A40="","",IF(H40&lt;&gt;"","M|"&amp;TRIM(H40),IF(AND(MatchMode="Reference / ID only",D40=""),"U|"&amp;ROW(),IF(D40&lt;&gt;"","R|"&amp;TRIM(D40),IF(MatchMode="Amount only","A|"&amp;TEXT(ROUND(C40,2),"0.00"),IF(MatchMode="Amount (tolerance)","T|"&amp;TEXT(ROUND(C40/MAX(N(Tolerance),0.0001),0),"0"),IF(MatchMode="Date + amount (tolerance)","DT|"&amp;TEXT(A40,"yyyy-mm-dd")&amp;"|"&amp;TEXT(ROUND(C40/MAX(N(Tolerance),0.0001),0),"0"),IF(MatchMode="Description (exact)","S|"&amp;LOWER(TRIM(B40)),IF(MatchMode="Reference / ID only","U|"&amp;ROW(),"DA|"&amp;TEXT(A40,"yyyy-mm-dd")&amp;"|"&amp;TEXT(ROUND(C40,2),"0.00"))))))))))</f>
        <v/>
      </c>
      <c r="J40" s="50">
        <f>IF(I40="","",COUNTIF($I$5:I40,I40))</f>
        <v/>
      </c>
      <c r="K40" s="50">
        <f>IF(P40="","",IFERROR(MATCH(P40,ListB_Combo,0)+4,""))</f>
        <v/>
      </c>
      <c r="L40" s="51">
        <f>IF(A40="","",IF(K40="","Unmatched",IF(ABS(C40-M40)&lt;=MAX(N(Tolerance),0),"Matched","Difference")))</f>
        <v/>
      </c>
      <c r="M40" s="52">
        <f>IF(K40="","",INDEX('List B'!$C$5:$C$204,K40-4))</f>
        <v/>
      </c>
      <c r="N40" s="52">
        <f>IF(K40="","",C40-M40)</f>
        <v/>
      </c>
      <c r="O40" s="53">
        <f>IF(OR(A40="",K40=""),"",IF(H40&lt;&gt;"","Manual pair",IF(D40&lt;&gt;"","Reference / ID",MatchMode)))</f>
        <v/>
      </c>
      <c r="P40" s="54">
        <f>IF(I40="","",I40&amp;"|"&amp;J40)</f>
        <v/>
      </c>
      <c r="Q40" s="54">
        <f>IF(L40="Matched",COUNTIF($L$5:L40,"Matched"),"")</f>
        <v/>
      </c>
      <c r="R40" s="54">
        <f>IF(L40="Unmatched",COUNTIF($L$5:L40,"Unmatched"),"")</f>
        <v/>
      </c>
      <c r="S40" s="54">
        <f>IF(L40="Difference",COUNTIF($L$5:L40,"Difference"),"")</f>
        <v/>
      </c>
      <c r="T40" s="55">
        <f>IF(L40="Difference",ABS(N40),0)</f>
        <v/>
      </c>
    </row>
    <row r="41" ht="17" customHeight="1">
      <c r="A41" s="86" t="n"/>
      <c r="B41" s="46" t="n"/>
      <c r="C41" s="47" t="n"/>
      <c r="D41" s="46" t="n"/>
      <c r="E41" s="46" t="n"/>
      <c r="F41" s="46" t="n"/>
      <c r="G41" s="48" t="n"/>
      <c r="H41" s="48" t="n"/>
      <c r="I41" s="49">
        <f>IF(A41="","",IF(H41&lt;&gt;"","M|"&amp;TRIM(H41),IF(AND(MatchMode="Reference / ID only",D41=""),"U|"&amp;ROW(),IF(D41&lt;&gt;"","R|"&amp;TRIM(D41),IF(MatchMode="Amount only","A|"&amp;TEXT(ROUND(C41,2),"0.00"),IF(MatchMode="Amount (tolerance)","T|"&amp;TEXT(ROUND(C41/MAX(N(Tolerance),0.0001),0),"0"),IF(MatchMode="Date + amount (tolerance)","DT|"&amp;TEXT(A41,"yyyy-mm-dd")&amp;"|"&amp;TEXT(ROUND(C41/MAX(N(Tolerance),0.0001),0),"0"),IF(MatchMode="Description (exact)","S|"&amp;LOWER(TRIM(B41)),IF(MatchMode="Reference / ID only","U|"&amp;ROW(),"DA|"&amp;TEXT(A41,"yyyy-mm-dd")&amp;"|"&amp;TEXT(ROUND(C41,2),"0.00"))))))))))</f>
        <v/>
      </c>
      <c r="J41" s="50">
        <f>IF(I41="","",COUNTIF($I$5:I41,I41))</f>
        <v/>
      </c>
      <c r="K41" s="50">
        <f>IF(P41="","",IFERROR(MATCH(P41,ListB_Combo,0)+4,""))</f>
        <v/>
      </c>
      <c r="L41" s="51">
        <f>IF(A41="","",IF(K41="","Unmatched",IF(ABS(C41-M41)&lt;=MAX(N(Tolerance),0),"Matched","Difference")))</f>
        <v/>
      </c>
      <c r="M41" s="52">
        <f>IF(K41="","",INDEX('List B'!$C$5:$C$204,K41-4))</f>
        <v/>
      </c>
      <c r="N41" s="52">
        <f>IF(K41="","",C41-M41)</f>
        <v/>
      </c>
      <c r="O41" s="53">
        <f>IF(OR(A41="",K41=""),"",IF(H41&lt;&gt;"","Manual pair",IF(D41&lt;&gt;"","Reference / ID",MatchMode)))</f>
        <v/>
      </c>
      <c r="P41" s="54">
        <f>IF(I41="","",I41&amp;"|"&amp;J41)</f>
        <v/>
      </c>
      <c r="Q41" s="54">
        <f>IF(L41="Matched",COUNTIF($L$5:L41,"Matched"),"")</f>
        <v/>
      </c>
      <c r="R41" s="54">
        <f>IF(L41="Unmatched",COUNTIF($L$5:L41,"Unmatched"),"")</f>
        <v/>
      </c>
      <c r="S41" s="54">
        <f>IF(L41="Difference",COUNTIF($L$5:L41,"Difference"),"")</f>
        <v/>
      </c>
      <c r="T41" s="55">
        <f>IF(L41="Difference",ABS(N41),0)</f>
        <v/>
      </c>
    </row>
    <row r="42" ht="17" customHeight="1">
      <c r="A42" s="86" t="n"/>
      <c r="B42" s="46" t="n"/>
      <c r="C42" s="47" t="n"/>
      <c r="D42" s="46" t="n"/>
      <c r="E42" s="46" t="n"/>
      <c r="F42" s="46" t="n"/>
      <c r="G42" s="48" t="n"/>
      <c r="H42" s="48" t="n"/>
      <c r="I42" s="49">
        <f>IF(A42="","",IF(H42&lt;&gt;"","M|"&amp;TRIM(H42),IF(AND(MatchMode="Reference / ID only",D42=""),"U|"&amp;ROW(),IF(D42&lt;&gt;"","R|"&amp;TRIM(D42),IF(MatchMode="Amount only","A|"&amp;TEXT(ROUND(C42,2),"0.00"),IF(MatchMode="Amount (tolerance)","T|"&amp;TEXT(ROUND(C42/MAX(N(Tolerance),0.0001),0),"0"),IF(MatchMode="Date + amount (tolerance)","DT|"&amp;TEXT(A42,"yyyy-mm-dd")&amp;"|"&amp;TEXT(ROUND(C42/MAX(N(Tolerance),0.0001),0),"0"),IF(MatchMode="Description (exact)","S|"&amp;LOWER(TRIM(B42)),IF(MatchMode="Reference / ID only","U|"&amp;ROW(),"DA|"&amp;TEXT(A42,"yyyy-mm-dd")&amp;"|"&amp;TEXT(ROUND(C42,2),"0.00"))))))))))</f>
        <v/>
      </c>
      <c r="J42" s="50">
        <f>IF(I42="","",COUNTIF($I$5:I42,I42))</f>
        <v/>
      </c>
      <c r="K42" s="50">
        <f>IF(P42="","",IFERROR(MATCH(P42,ListB_Combo,0)+4,""))</f>
        <v/>
      </c>
      <c r="L42" s="51">
        <f>IF(A42="","",IF(K42="","Unmatched",IF(ABS(C42-M42)&lt;=MAX(N(Tolerance),0),"Matched","Difference")))</f>
        <v/>
      </c>
      <c r="M42" s="52">
        <f>IF(K42="","",INDEX('List B'!$C$5:$C$204,K42-4))</f>
        <v/>
      </c>
      <c r="N42" s="52">
        <f>IF(K42="","",C42-M42)</f>
        <v/>
      </c>
      <c r="O42" s="53">
        <f>IF(OR(A42="",K42=""),"",IF(H42&lt;&gt;"","Manual pair",IF(D42&lt;&gt;"","Reference / ID",MatchMode)))</f>
        <v/>
      </c>
      <c r="P42" s="54">
        <f>IF(I42="","",I42&amp;"|"&amp;J42)</f>
        <v/>
      </c>
      <c r="Q42" s="54">
        <f>IF(L42="Matched",COUNTIF($L$5:L42,"Matched"),"")</f>
        <v/>
      </c>
      <c r="R42" s="54">
        <f>IF(L42="Unmatched",COUNTIF($L$5:L42,"Unmatched"),"")</f>
        <v/>
      </c>
      <c r="S42" s="54">
        <f>IF(L42="Difference",COUNTIF($L$5:L42,"Difference"),"")</f>
        <v/>
      </c>
      <c r="T42" s="55">
        <f>IF(L42="Difference",ABS(N42),0)</f>
        <v/>
      </c>
    </row>
    <row r="43" ht="17" customHeight="1">
      <c r="A43" s="86" t="n"/>
      <c r="B43" s="46" t="n"/>
      <c r="C43" s="47" t="n"/>
      <c r="D43" s="46" t="n"/>
      <c r="E43" s="46" t="n"/>
      <c r="F43" s="46" t="n"/>
      <c r="G43" s="48" t="n"/>
      <c r="H43" s="48" t="n"/>
      <c r="I43" s="49">
        <f>IF(A43="","",IF(H43&lt;&gt;"","M|"&amp;TRIM(H43),IF(AND(MatchMode="Reference / ID only",D43=""),"U|"&amp;ROW(),IF(D43&lt;&gt;"","R|"&amp;TRIM(D43),IF(MatchMode="Amount only","A|"&amp;TEXT(ROUND(C43,2),"0.00"),IF(MatchMode="Amount (tolerance)","T|"&amp;TEXT(ROUND(C43/MAX(N(Tolerance),0.0001),0),"0"),IF(MatchMode="Date + amount (tolerance)","DT|"&amp;TEXT(A43,"yyyy-mm-dd")&amp;"|"&amp;TEXT(ROUND(C43/MAX(N(Tolerance),0.0001),0),"0"),IF(MatchMode="Description (exact)","S|"&amp;LOWER(TRIM(B43)),IF(MatchMode="Reference / ID only","U|"&amp;ROW(),"DA|"&amp;TEXT(A43,"yyyy-mm-dd")&amp;"|"&amp;TEXT(ROUND(C43,2),"0.00"))))))))))</f>
        <v/>
      </c>
      <c r="J43" s="50">
        <f>IF(I43="","",COUNTIF($I$5:I43,I43))</f>
        <v/>
      </c>
      <c r="K43" s="50">
        <f>IF(P43="","",IFERROR(MATCH(P43,ListB_Combo,0)+4,""))</f>
        <v/>
      </c>
      <c r="L43" s="51">
        <f>IF(A43="","",IF(K43="","Unmatched",IF(ABS(C43-M43)&lt;=MAX(N(Tolerance),0),"Matched","Difference")))</f>
        <v/>
      </c>
      <c r="M43" s="52">
        <f>IF(K43="","",INDEX('List B'!$C$5:$C$204,K43-4))</f>
        <v/>
      </c>
      <c r="N43" s="52">
        <f>IF(K43="","",C43-M43)</f>
        <v/>
      </c>
      <c r="O43" s="53">
        <f>IF(OR(A43="",K43=""),"",IF(H43&lt;&gt;"","Manual pair",IF(D43&lt;&gt;"","Reference / ID",MatchMode)))</f>
        <v/>
      </c>
      <c r="P43" s="54">
        <f>IF(I43="","",I43&amp;"|"&amp;J43)</f>
        <v/>
      </c>
      <c r="Q43" s="54">
        <f>IF(L43="Matched",COUNTIF($L$5:L43,"Matched"),"")</f>
        <v/>
      </c>
      <c r="R43" s="54">
        <f>IF(L43="Unmatched",COUNTIF($L$5:L43,"Unmatched"),"")</f>
        <v/>
      </c>
      <c r="S43" s="54">
        <f>IF(L43="Difference",COUNTIF($L$5:L43,"Difference"),"")</f>
        <v/>
      </c>
      <c r="T43" s="55">
        <f>IF(L43="Difference",ABS(N43),0)</f>
        <v/>
      </c>
    </row>
    <row r="44" ht="17" customHeight="1">
      <c r="A44" s="86" t="n"/>
      <c r="B44" s="46" t="n"/>
      <c r="C44" s="47" t="n"/>
      <c r="D44" s="46" t="n"/>
      <c r="E44" s="46" t="n"/>
      <c r="F44" s="46" t="n"/>
      <c r="G44" s="48" t="n"/>
      <c r="H44" s="48" t="n"/>
      <c r="I44" s="49">
        <f>IF(A44="","",IF(H44&lt;&gt;"","M|"&amp;TRIM(H44),IF(AND(MatchMode="Reference / ID only",D44=""),"U|"&amp;ROW(),IF(D44&lt;&gt;"","R|"&amp;TRIM(D44),IF(MatchMode="Amount only","A|"&amp;TEXT(ROUND(C44,2),"0.00"),IF(MatchMode="Amount (tolerance)","T|"&amp;TEXT(ROUND(C44/MAX(N(Tolerance),0.0001),0),"0"),IF(MatchMode="Date + amount (tolerance)","DT|"&amp;TEXT(A44,"yyyy-mm-dd")&amp;"|"&amp;TEXT(ROUND(C44/MAX(N(Tolerance),0.0001),0),"0"),IF(MatchMode="Description (exact)","S|"&amp;LOWER(TRIM(B44)),IF(MatchMode="Reference / ID only","U|"&amp;ROW(),"DA|"&amp;TEXT(A44,"yyyy-mm-dd")&amp;"|"&amp;TEXT(ROUND(C44,2),"0.00"))))))))))</f>
        <v/>
      </c>
      <c r="J44" s="50">
        <f>IF(I44="","",COUNTIF($I$5:I44,I44))</f>
        <v/>
      </c>
      <c r="K44" s="50">
        <f>IF(P44="","",IFERROR(MATCH(P44,ListB_Combo,0)+4,""))</f>
        <v/>
      </c>
      <c r="L44" s="51">
        <f>IF(A44="","",IF(K44="","Unmatched",IF(ABS(C44-M44)&lt;=MAX(N(Tolerance),0),"Matched","Difference")))</f>
        <v/>
      </c>
      <c r="M44" s="52">
        <f>IF(K44="","",INDEX('List B'!$C$5:$C$204,K44-4))</f>
        <v/>
      </c>
      <c r="N44" s="52">
        <f>IF(K44="","",C44-M44)</f>
        <v/>
      </c>
      <c r="O44" s="53">
        <f>IF(OR(A44="",K44=""),"",IF(H44&lt;&gt;"","Manual pair",IF(D44&lt;&gt;"","Reference / ID",MatchMode)))</f>
        <v/>
      </c>
      <c r="P44" s="54">
        <f>IF(I44="","",I44&amp;"|"&amp;J44)</f>
        <v/>
      </c>
      <c r="Q44" s="54">
        <f>IF(L44="Matched",COUNTIF($L$5:L44,"Matched"),"")</f>
        <v/>
      </c>
      <c r="R44" s="54">
        <f>IF(L44="Unmatched",COUNTIF($L$5:L44,"Unmatched"),"")</f>
        <v/>
      </c>
      <c r="S44" s="54">
        <f>IF(L44="Difference",COUNTIF($L$5:L44,"Difference"),"")</f>
        <v/>
      </c>
      <c r="T44" s="55">
        <f>IF(L44="Difference",ABS(N44),0)</f>
        <v/>
      </c>
    </row>
    <row r="45" ht="17" customHeight="1">
      <c r="A45" s="86" t="n"/>
      <c r="B45" s="46" t="n"/>
      <c r="C45" s="47" t="n"/>
      <c r="D45" s="46" t="n"/>
      <c r="E45" s="46" t="n"/>
      <c r="F45" s="46" t="n"/>
      <c r="G45" s="48" t="n"/>
      <c r="H45" s="48" t="n"/>
      <c r="I45" s="49">
        <f>IF(A45="","",IF(H45&lt;&gt;"","M|"&amp;TRIM(H45),IF(AND(MatchMode="Reference / ID only",D45=""),"U|"&amp;ROW(),IF(D45&lt;&gt;"","R|"&amp;TRIM(D45),IF(MatchMode="Amount only","A|"&amp;TEXT(ROUND(C45,2),"0.00"),IF(MatchMode="Amount (tolerance)","T|"&amp;TEXT(ROUND(C45/MAX(N(Tolerance),0.0001),0),"0"),IF(MatchMode="Date + amount (tolerance)","DT|"&amp;TEXT(A45,"yyyy-mm-dd")&amp;"|"&amp;TEXT(ROUND(C45/MAX(N(Tolerance),0.0001),0),"0"),IF(MatchMode="Description (exact)","S|"&amp;LOWER(TRIM(B45)),IF(MatchMode="Reference / ID only","U|"&amp;ROW(),"DA|"&amp;TEXT(A45,"yyyy-mm-dd")&amp;"|"&amp;TEXT(ROUND(C45,2),"0.00"))))))))))</f>
        <v/>
      </c>
      <c r="J45" s="50">
        <f>IF(I45="","",COUNTIF($I$5:I45,I45))</f>
        <v/>
      </c>
      <c r="K45" s="50">
        <f>IF(P45="","",IFERROR(MATCH(P45,ListB_Combo,0)+4,""))</f>
        <v/>
      </c>
      <c r="L45" s="51">
        <f>IF(A45="","",IF(K45="","Unmatched",IF(ABS(C45-M45)&lt;=MAX(N(Tolerance),0),"Matched","Difference")))</f>
        <v/>
      </c>
      <c r="M45" s="52">
        <f>IF(K45="","",INDEX('List B'!$C$5:$C$204,K45-4))</f>
        <v/>
      </c>
      <c r="N45" s="52">
        <f>IF(K45="","",C45-M45)</f>
        <v/>
      </c>
      <c r="O45" s="53">
        <f>IF(OR(A45="",K45=""),"",IF(H45&lt;&gt;"","Manual pair",IF(D45&lt;&gt;"","Reference / ID",MatchMode)))</f>
        <v/>
      </c>
      <c r="P45" s="54">
        <f>IF(I45="","",I45&amp;"|"&amp;J45)</f>
        <v/>
      </c>
      <c r="Q45" s="54">
        <f>IF(L45="Matched",COUNTIF($L$5:L45,"Matched"),"")</f>
        <v/>
      </c>
      <c r="R45" s="54">
        <f>IF(L45="Unmatched",COUNTIF($L$5:L45,"Unmatched"),"")</f>
        <v/>
      </c>
      <c r="S45" s="54">
        <f>IF(L45="Difference",COUNTIF($L$5:L45,"Difference"),"")</f>
        <v/>
      </c>
      <c r="T45" s="55">
        <f>IF(L45="Difference",ABS(N45),0)</f>
        <v/>
      </c>
    </row>
    <row r="46" ht="17" customHeight="1">
      <c r="A46" s="86" t="n"/>
      <c r="B46" s="46" t="n"/>
      <c r="C46" s="47" t="n"/>
      <c r="D46" s="46" t="n"/>
      <c r="E46" s="46" t="n"/>
      <c r="F46" s="46" t="n"/>
      <c r="G46" s="48" t="n"/>
      <c r="H46" s="48" t="n"/>
      <c r="I46" s="49">
        <f>IF(A46="","",IF(H46&lt;&gt;"","M|"&amp;TRIM(H46),IF(AND(MatchMode="Reference / ID only",D46=""),"U|"&amp;ROW(),IF(D46&lt;&gt;"","R|"&amp;TRIM(D46),IF(MatchMode="Amount only","A|"&amp;TEXT(ROUND(C46,2),"0.00"),IF(MatchMode="Amount (tolerance)","T|"&amp;TEXT(ROUND(C46/MAX(N(Tolerance),0.0001),0),"0"),IF(MatchMode="Date + amount (tolerance)","DT|"&amp;TEXT(A46,"yyyy-mm-dd")&amp;"|"&amp;TEXT(ROUND(C46/MAX(N(Tolerance),0.0001),0),"0"),IF(MatchMode="Description (exact)","S|"&amp;LOWER(TRIM(B46)),IF(MatchMode="Reference / ID only","U|"&amp;ROW(),"DA|"&amp;TEXT(A46,"yyyy-mm-dd")&amp;"|"&amp;TEXT(ROUND(C46,2),"0.00"))))))))))</f>
        <v/>
      </c>
      <c r="J46" s="50">
        <f>IF(I46="","",COUNTIF($I$5:I46,I46))</f>
        <v/>
      </c>
      <c r="K46" s="50">
        <f>IF(P46="","",IFERROR(MATCH(P46,ListB_Combo,0)+4,""))</f>
        <v/>
      </c>
      <c r="L46" s="51">
        <f>IF(A46="","",IF(K46="","Unmatched",IF(ABS(C46-M46)&lt;=MAX(N(Tolerance),0),"Matched","Difference")))</f>
        <v/>
      </c>
      <c r="M46" s="52">
        <f>IF(K46="","",INDEX('List B'!$C$5:$C$204,K46-4))</f>
        <v/>
      </c>
      <c r="N46" s="52">
        <f>IF(K46="","",C46-M46)</f>
        <v/>
      </c>
      <c r="O46" s="53">
        <f>IF(OR(A46="",K46=""),"",IF(H46&lt;&gt;"","Manual pair",IF(D46&lt;&gt;"","Reference / ID",MatchMode)))</f>
        <v/>
      </c>
      <c r="P46" s="54">
        <f>IF(I46="","",I46&amp;"|"&amp;J46)</f>
        <v/>
      </c>
      <c r="Q46" s="54">
        <f>IF(L46="Matched",COUNTIF($L$5:L46,"Matched"),"")</f>
        <v/>
      </c>
      <c r="R46" s="54">
        <f>IF(L46="Unmatched",COUNTIF($L$5:L46,"Unmatched"),"")</f>
        <v/>
      </c>
      <c r="S46" s="54">
        <f>IF(L46="Difference",COUNTIF($L$5:L46,"Difference"),"")</f>
        <v/>
      </c>
      <c r="T46" s="55">
        <f>IF(L46="Difference",ABS(N46),0)</f>
        <v/>
      </c>
    </row>
    <row r="47" ht="17" customHeight="1">
      <c r="A47" s="86" t="n"/>
      <c r="B47" s="46" t="n"/>
      <c r="C47" s="47" t="n"/>
      <c r="D47" s="46" t="n"/>
      <c r="E47" s="46" t="n"/>
      <c r="F47" s="46" t="n"/>
      <c r="G47" s="48" t="n"/>
      <c r="H47" s="48" t="n"/>
      <c r="I47" s="49">
        <f>IF(A47="","",IF(H47&lt;&gt;"","M|"&amp;TRIM(H47),IF(AND(MatchMode="Reference / ID only",D47=""),"U|"&amp;ROW(),IF(D47&lt;&gt;"","R|"&amp;TRIM(D47),IF(MatchMode="Amount only","A|"&amp;TEXT(ROUND(C47,2),"0.00"),IF(MatchMode="Amount (tolerance)","T|"&amp;TEXT(ROUND(C47/MAX(N(Tolerance),0.0001),0),"0"),IF(MatchMode="Date + amount (tolerance)","DT|"&amp;TEXT(A47,"yyyy-mm-dd")&amp;"|"&amp;TEXT(ROUND(C47/MAX(N(Tolerance),0.0001),0),"0"),IF(MatchMode="Description (exact)","S|"&amp;LOWER(TRIM(B47)),IF(MatchMode="Reference / ID only","U|"&amp;ROW(),"DA|"&amp;TEXT(A47,"yyyy-mm-dd")&amp;"|"&amp;TEXT(ROUND(C47,2),"0.00"))))))))))</f>
        <v/>
      </c>
      <c r="J47" s="50">
        <f>IF(I47="","",COUNTIF($I$5:I47,I47))</f>
        <v/>
      </c>
      <c r="K47" s="50">
        <f>IF(P47="","",IFERROR(MATCH(P47,ListB_Combo,0)+4,""))</f>
        <v/>
      </c>
      <c r="L47" s="51">
        <f>IF(A47="","",IF(K47="","Unmatched",IF(ABS(C47-M47)&lt;=MAX(N(Tolerance),0),"Matched","Difference")))</f>
        <v/>
      </c>
      <c r="M47" s="52">
        <f>IF(K47="","",INDEX('List B'!$C$5:$C$204,K47-4))</f>
        <v/>
      </c>
      <c r="N47" s="52">
        <f>IF(K47="","",C47-M47)</f>
        <v/>
      </c>
      <c r="O47" s="53">
        <f>IF(OR(A47="",K47=""),"",IF(H47&lt;&gt;"","Manual pair",IF(D47&lt;&gt;"","Reference / ID",MatchMode)))</f>
        <v/>
      </c>
      <c r="P47" s="54">
        <f>IF(I47="","",I47&amp;"|"&amp;J47)</f>
        <v/>
      </c>
      <c r="Q47" s="54">
        <f>IF(L47="Matched",COUNTIF($L$5:L47,"Matched"),"")</f>
        <v/>
      </c>
      <c r="R47" s="54">
        <f>IF(L47="Unmatched",COUNTIF($L$5:L47,"Unmatched"),"")</f>
        <v/>
      </c>
      <c r="S47" s="54">
        <f>IF(L47="Difference",COUNTIF($L$5:L47,"Difference"),"")</f>
        <v/>
      </c>
      <c r="T47" s="55">
        <f>IF(L47="Difference",ABS(N47),0)</f>
        <v/>
      </c>
    </row>
    <row r="48" ht="17" customHeight="1">
      <c r="A48" s="86" t="n"/>
      <c r="B48" s="46" t="n"/>
      <c r="C48" s="47" t="n"/>
      <c r="D48" s="46" t="n"/>
      <c r="E48" s="46" t="n"/>
      <c r="F48" s="46" t="n"/>
      <c r="G48" s="48" t="n"/>
      <c r="H48" s="48" t="n"/>
      <c r="I48" s="49">
        <f>IF(A48="","",IF(H48&lt;&gt;"","M|"&amp;TRIM(H48),IF(AND(MatchMode="Reference / ID only",D48=""),"U|"&amp;ROW(),IF(D48&lt;&gt;"","R|"&amp;TRIM(D48),IF(MatchMode="Amount only","A|"&amp;TEXT(ROUND(C48,2),"0.00"),IF(MatchMode="Amount (tolerance)","T|"&amp;TEXT(ROUND(C48/MAX(N(Tolerance),0.0001),0),"0"),IF(MatchMode="Date + amount (tolerance)","DT|"&amp;TEXT(A48,"yyyy-mm-dd")&amp;"|"&amp;TEXT(ROUND(C48/MAX(N(Tolerance),0.0001),0),"0"),IF(MatchMode="Description (exact)","S|"&amp;LOWER(TRIM(B48)),IF(MatchMode="Reference / ID only","U|"&amp;ROW(),"DA|"&amp;TEXT(A48,"yyyy-mm-dd")&amp;"|"&amp;TEXT(ROUND(C48,2),"0.00"))))))))))</f>
        <v/>
      </c>
      <c r="J48" s="50">
        <f>IF(I48="","",COUNTIF($I$5:I48,I48))</f>
        <v/>
      </c>
      <c r="K48" s="50">
        <f>IF(P48="","",IFERROR(MATCH(P48,ListB_Combo,0)+4,""))</f>
        <v/>
      </c>
      <c r="L48" s="51">
        <f>IF(A48="","",IF(K48="","Unmatched",IF(ABS(C48-M48)&lt;=MAX(N(Tolerance),0),"Matched","Difference")))</f>
        <v/>
      </c>
      <c r="M48" s="52">
        <f>IF(K48="","",INDEX('List B'!$C$5:$C$204,K48-4))</f>
        <v/>
      </c>
      <c r="N48" s="52">
        <f>IF(K48="","",C48-M48)</f>
        <v/>
      </c>
      <c r="O48" s="53">
        <f>IF(OR(A48="",K48=""),"",IF(H48&lt;&gt;"","Manual pair",IF(D48&lt;&gt;"","Reference / ID",MatchMode)))</f>
        <v/>
      </c>
      <c r="P48" s="54">
        <f>IF(I48="","",I48&amp;"|"&amp;J48)</f>
        <v/>
      </c>
      <c r="Q48" s="54">
        <f>IF(L48="Matched",COUNTIF($L$5:L48,"Matched"),"")</f>
        <v/>
      </c>
      <c r="R48" s="54">
        <f>IF(L48="Unmatched",COUNTIF($L$5:L48,"Unmatched"),"")</f>
        <v/>
      </c>
      <c r="S48" s="54">
        <f>IF(L48="Difference",COUNTIF($L$5:L48,"Difference"),"")</f>
        <v/>
      </c>
      <c r="T48" s="55">
        <f>IF(L48="Difference",ABS(N48),0)</f>
        <v/>
      </c>
    </row>
    <row r="49" ht="17" customHeight="1">
      <c r="A49" s="86" t="n"/>
      <c r="B49" s="46" t="n"/>
      <c r="C49" s="47" t="n"/>
      <c r="D49" s="46" t="n"/>
      <c r="E49" s="46" t="n"/>
      <c r="F49" s="46" t="n"/>
      <c r="G49" s="48" t="n"/>
      <c r="H49" s="48" t="n"/>
      <c r="I49" s="49">
        <f>IF(A49="","",IF(H49&lt;&gt;"","M|"&amp;TRIM(H49),IF(AND(MatchMode="Reference / ID only",D49=""),"U|"&amp;ROW(),IF(D49&lt;&gt;"","R|"&amp;TRIM(D49),IF(MatchMode="Amount only","A|"&amp;TEXT(ROUND(C49,2),"0.00"),IF(MatchMode="Amount (tolerance)","T|"&amp;TEXT(ROUND(C49/MAX(N(Tolerance),0.0001),0),"0"),IF(MatchMode="Date + amount (tolerance)","DT|"&amp;TEXT(A49,"yyyy-mm-dd")&amp;"|"&amp;TEXT(ROUND(C49/MAX(N(Tolerance),0.0001),0),"0"),IF(MatchMode="Description (exact)","S|"&amp;LOWER(TRIM(B49)),IF(MatchMode="Reference / ID only","U|"&amp;ROW(),"DA|"&amp;TEXT(A49,"yyyy-mm-dd")&amp;"|"&amp;TEXT(ROUND(C49,2),"0.00"))))))))))</f>
        <v/>
      </c>
      <c r="J49" s="50">
        <f>IF(I49="","",COUNTIF($I$5:I49,I49))</f>
        <v/>
      </c>
      <c r="K49" s="50">
        <f>IF(P49="","",IFERROR(MATCH(P49,ListB_Combo,0)+4,""))</f>
        <v/>
      </c>
      <c r="L49" s="51">
        <f>IF(A49="","",IF(K49="","Unmatched",IF(ABS(C49-M49)&lt;=MAX(N(Tolerance),0),"Matched","Difference")))</f>
        <v/>
      </c>
      <c r="M49" s="52">
        <f>IF(K49="","",INDEX('List B'!$C$5:$C$204,K49-4))</f>
        <v/>
      </c>
      <c r="N49" s="52">
        <f>IF(K49="","",C49-M49)</f>
        <v/>
      </c>
      <c r="O49" s="53">
        <f>IF(OR(A49="",K49=""),"",IF(H49&lt;&gt;"","Manual pair",IF(D49&lt;&gt;"","Reference / ID",MatchMode)))</f>
        <v/>
      </c>
      <c r="P49" s="54">
        <f>IF(I49="","",I49&amp;"|"&amp;J49)</f>
        <v/>
      </c>
      <c r="Q49" s="54">
        <f>IF(L49="Matched",COUNTIF($L$5:L49,"Matched"),"")</f>
        <v/>
      </c>
      <c r="R49" s="54">
        <f>IF(L49="Unmatched",COUNTIF($L$5:L49,"Unmatched"),"")</f>
        <v/>
      </c>
      <c r="S49" s="54">
        <f>IF(L49="Difference",COUNTIF($L$5:L49,"Difference"),"")</f>
        <v/>
      </c>
      <c r="T49" s="55">
        <f>IF(L49="Difference",ABS(N49),0)</f>
        <v/>
      </c>
    </row>
    <row r="50" ht="17" customHeight="1">
      <c r="A50" s="86" t="n"/>
      <c r="B50" s="46" t="n"/>
      <c r="C50" s="47" t="n"/>
      <c r="D50" s="46" t="n"/>
      <c r="E50" s="46" t="n"/>
      <c r="F50" s="46" t="n"/>
      <c r="G50" s="48" t="n"/>
      <c r="H50" s="48" t="n"/>
      <c r="I50" s="49">
        <f>IF(A50="","",IF(H50&lt;&gt;"","M|"&amp;TRIM(H50),IF(AND(MatchMode="Reference / ID only",D50=""),"U|"&amp;ROW(),IF(D50&lt;&gt;"","R|"&amp;TRIM(D50),IF(MatchMode="Amount only","A|"&amp;TEXT(ROUND(C50,2),"0.00"),IF(MatchMode="Amount (tolerance)","T|"&amp;TEXT(ROUND(C50/MAX(N(Tolerance),0.0001),0),"0"),IF(MatchMode="Date + amount (tolerance)","DT|"&amp;TEXT(A50,"yyyy-mm-dd")&amp;"|"&amp;TEXT(ROUND(C50/MAX(N(Tolerance),0.0001),0),"0"),IF(MatchMode="Description (exact)","S|"&amp;LOWER(TRIM(B50)),IF(MatchMode="Reference / ID only","U|"&amp;ROW(),"DA|"&amp;TEXT(A50,"yyyy-mm-dd")&amp;"|"&amp;TEXT(ROUND(C50,2),"0.00"))))))))))</f>
        <v/>
      </c>
      <c r="J50" s="50">
        <f>IF(I50="","",COUNTIF($I$5:I50,I50))</f>
        <v/>
      </c>
      <c r="K50" s="50">
        <f>IF(P50="","",IFERROR(MATCH(P50,ListB_Combo,0)+4,""))</f>
        <v/>
      </c>
      <c r="L50" s="51">
        <f>IF(A50="","",IF(K50="","Unmatched",IF(ABS(C50-M50)&lt;=MAX(N(Tolerance),0),"Matched","Difference")))</f>
        <v/>
      </c>
      <c r="M50" s="52">
        <f>IF(K50="","",INDEX('List B'!$C$5:$C$204,K50-4))</f>
        <v/>
      </c>
      <c r="N50" s="52">
        <f>IF(K50="","",C50-M50)</f>
        <v/>
      </c>
      <c r="O50" s="53">
        <f>IF(OR(A50="",K50=""),"",IF(H50&lt;&gt;"","Manual pair",IF(D50&lt;&gt;"","Reference / ID",MatchMode)))</f>
        <v/>
      </c>
      <c r="P50" s="54">
        <f>IF(I50="","",I50&amp;"|"&amp;J50)</f>
        <v/>
      </c>
      <c r="Q50" s="54">
        <f>IF(L50="Matched",COUNTIF($L$5:L50,"Matched"),"")</f>
        <v/>
      </c>
      <c r="R50" s="54">
        <f>IF(L50="Unmatched",COUNTIF($L$5:L50,"Unmatched"),"")</f>
        <v/>
      </c>
      <c r="S50" s="54">
        <f>IF(L50="Difference",COUNTIF($L$5:L50,"Difference"),"")</f>
        <v/>
      </c>
      <c r="T50" s="55">
        <f>IF(L50="Difference",ABS(N50),0)</f>
        <v/>
      </c>
    </row>
    <row r="51" ht="17" customHeight="1">
      <c r="A51" s="86" t="n"/>
      <c r="B51" s="46" t="n"/>
      <c r="C51" s="47" t="n"/>
      <c r="D51" s="46" t="n"/>
      <c r="E51" s="46" t="n"/>
      <c r="F51" s="46" t="n"/>
      <c r="G51" s="48" t="n"/>
      <c r="H51" s="48" t="n"/>
      <c r="I51" s="49">
        <f>IF(A51="","",IF(H51&lt;&gt;"","M|"&amp;TRIM(H51),IF(AND(MatchMode="Reference / ID only",D51=""),"U|"&amp;ROW(),IF(D51&lt;&gt;"","R|"&amp;TRIM(D51),IF(MatchMode="Amount only","A|"&amp;TEXT(ROUND(C51,2),"0.00"),IF(MatchMode="Amount (tolerance)","T|"&amp;TEXT(ROUND(C51/MAX(N(Tolerance),0.0001),0),"0"),IF(MatchMode="Date + amount (tolerance)","DT|"&amp;TEXT(A51,"yyyy-mm-dd")&amp;"|"&amp;TEXT(ROUND(C51/MAX(N(Tolerance),0.0001),0),"0"),IF(MatchMode="Description (exact)","S|"&amp;LOWER(TRIM(B51)),IF(MatchMode="Reference / ID only","U|"&amp;ROW(),"DA|"&amp;TEXT(A51,"yyyy-mm-dd")&amp;"|"&amp;TEXT(ROUND(C51,2),"0.00"))))))))))</f>
        <v/>
      </c>
      <c r="J51" s="50">
        <f>IF(I51="","",COUNTIF($I$5:I51,I51))</f>
        <v/>
      </c>
      <c r="K51" s="50">
        <f>IF(P51="","",IFERROR(MATCH(P51,ListB_Combo,0)+4,""))</f>
        <v/>
      </c>
      <c r="L51" s="51">
        <f>IF(A51="","",IF(K51="","Unmatched",IF(ABS(C51-M51)&lt;=MAX(N(Tolerance),0),"Matched","Difference")))</f>
        <v/>
      </c>
      <c r="M51" s="52">
        <f>IF(K51="","",INDEX('List B'!$C$5:$C$204,K51-4))</f>
        <v/>
      </c>
      <c r="N51" s="52">
        <f>IF(K51="","",C51-M51)</f>
        <v/>
      </c>
      <c r="O51" s="53">
        <f>IF(OR(A51="",K51=""),"",IF(H51&lt;&gt;"","Manual pair",IF(D51&lt;&gt;"","Reference / ID",MatchMode)))</f>
        <v/>
      </c>
      <c r="P51" s="54">
        <f>IF(I51="","",I51&amp;"|"&amp;J51)</f>
        <v/>
      </c>
      <c r="Q51" s="54">
        <f>IF(L51="Matched",COUNTIF($L$5:L51,"Matched"),"")</f>
        <v/>
      </c>
      <c r="R51" s="54">
        <f>IF(L51="Unmatched",COUNTIF($L$5:L51,"Unmatched"),"")</f>
        <v/>
      </c>
      <c r="S51" s="54">
        <f>IF(L51="Difference",COUNTIF($L$5:L51,"Difference"),"")</f>
        <v/>
      </c>
      <c r="T51" s="55">
        <f>IF(L51="Difference",ABS(N51),0)</f>
        <v/>
      </c>
    </row>
    <row r="52" ht="17" customHeight="1">
      <c r="A52" s="86" t="n"/>
      <c r="B52" s="46" t="n"/>
      <c r="C52" s="47" t="n"/>
      <c r="D52" s="46" t="n"/>
      <c r="E52" s="46" t="n"/>
      <c r="F52" s="46" t="n"/>
      <c r="G52" s="48" t="n"/>
      <c r="H52" s="48" t="n"/>
      <c r="I52" s="49">
        <f>IF(A52="","",IF(H52&lt;&gt;"","M|"&amp;TRIM(H52),IF(AND(MatchMode="Reference / ID only",D52=""),"U|"&amp;ROW(),IF(D52&lt;&gt;"","R|"&amp;TRIM(D52),IF(MatchMode="Amount only","A|"&amp;TEXT(ROUND(C52,2),"0.00"),IF(MatchMode="Amount (tolerance)","T|"&amp;TEXT(ROUND(C52/MAX(N(Tolerance),0.0001),0),"0"),IF(MatchMode="Date + amount (tolerance)","DT|"&amp;TEXT(A52,"yyyy-mm-dd")&amp;"|"&amp;TEXT(ROUND(C52/MAX(N(Tolerance),0.0001),0),"0"),IF(MatchMode="Description (exact)","S|"&amp;LOWER(TRIM(B52)),IF(MatchMode="Reference / ID only","U|"&amp;ROW(),"DA|"&amp;TEXT(A52,"yyyy-mm-dd")&amp;"|"&amp;TEXT(ROUND(C52,2),"0.00"))))))))))</f>
        <v/>
      </c>
      <c r="J52" s="50">
        <f>IF(I52="","",COUNTIF($I$5:I52,I52))</f>
        <v/>
      </c>
      <c r="K52" s="50">
        <f>IF(P52="","",IFERROR(MATCH(P52,ListB_Combo,0)+4,""))</f>
        <v/>
      </c>
      <c r="L52" s="51">
        <f>IF(A52="","",IF(K52="","Unmatched",IF(ABS(C52-M52)&lt;=MAX(N(Tolerance),0),"Matched","Difference")))</f>
        <v/>
      </c>
      <c r="M52" s="52">
        <f>IF(K52="","",INDEX('List B'!$C$5:$C$204,K52-4))</f>
        <v/>
      </c>
      <c r="N52" s="52">
        <f>IF(K52="","",C52-M52)</f>
        <v/>
      </c>
      <c r="O52" s="53">
        <f>IF(OR(A52="",K52=""),"",IF(H52&lt;&gt;"","Manual pair",IF(D52&lt;&gt;"","Reference / ID",MatchMode)))</f>
        <v/>
      </c>
      <c r="P52" s="54">
        <f>IF(I52="","",I52&amp;"|"&amp;J52)</f>
        <v/>
      </c>
      <c r="Q52" s="54">
        <f>IF(L52="Matched",COUNTIF($L$5:L52,"Matched"),"")</f>
        <v/>
      </c>
      <c r="R52" s="54">
        <f>IF(L52="Unmatched",COUNTIF($L$5:L52,"Unmatched"),"")</f>
        <v/>
      </c>
      <c r="S52" s="54">
        <f>IF(L52="Difference",COUNTIF($L$5:L52,"Difference"),"")</f>
        <v/>
      </c>
      <c r="T52" s="55">
        <f>IF(L52="Difference",ABS(N52),0)</f>
        <v/>
      </c>
    </row>
    <row r="53" ht="17" customHeight="1">
      <c r="A53" s="86" t="n"/>
      <c r="B53" s="46" t="n"/>
      <c r="C53" s="47" t="n"/>
      <c r="D53" s="46" t="n"/>
      <c r="E53" s="46" t="n"/>
      <c r="F53" s="46" t="n"/>
      <c r="G53" s="48" t="n"/>
      <c r="H53" s="48" t="n"/>
      <c r="I53" s="49">
        <f>IF(A53="","",IF(H53&lt;&gt;"","M|"&amp;TRIM(H53),IF(AND(MatchMode="Reference / ID only",D53=""),"U|"&amp;ROW(),IF(D53&lt;&gt;"","R|"&amp;TRIM(D53),IF(MatchMode="Amount only","A|"&amp;TEXT(ROUND(C53,2),"0.00"),IF(MatchMode="Amount (tolerance)","T|"&amp;TEXT(ROUND(C53/MAX(N(Tolerance),0.0001),0),"0"),IF(MatchMode="Date + amount (tolerance)","DT|"&amp;TEXT(A53,"yyyy-mm-dd")&amp;"|"&amp;TEXT(ROUND(C53/MAX(N(Tolerance),0.0001),0),"0"),IF(MatchMode="Description (exact)","S|"&amp;LOWER(TRIM(B53)),IF(MatchMode="Reference / ID only","U|"&amp;ROW(),"DA|"&amp;TEXT(A53,"yyyy-mm-dd")&amp;"|"&amp;TEXT(ROUND(C53,2),"0.00"))))))))))</f>
        <v/>
      </c>
      <c r="J53" s="50">
        <f>IF(I53="","",COUNTIF($I$5:I53,I53))</f>
        <v/>
      </c>
      <c r="K53" s="50">
        <f>IF(P53="","",IFERROR(MATCH(P53,ListB_Combo,0)+4,""))</f>
        <v/>
      </c>
      <c r="L53" s="51">
        <f>IF(A53="","",IF(K53="","Unmatched",IF(ABS(C53-M53)&lt;=MAX(N(Tolerance),0),"Matched","Difference")))</f>
        <v/>
      </c>
      <c r="M53" s="52">
        <f>IF(K53="","",INDEX('List B'!$C$5:$C$204,K53-4))</f>
        <v/>
      </c>
      <c r="N53" s="52">
        <f>IF(K53="","",C53-M53)</f>
        <v/>
      </c>
      <c r="O53" s="53">
        <f>IF(OR(A53="",K53=""),"",IF(H53&lt;&gt;"","Manual pair",IF(D53&lt;&gt;"","Reference / ID",MatchMode)))</f>
        <v/>
      </c>
      <c r="P53" s="54">
        <f>IF(I53="","",I53&amp;"|"&amp;J53)</f>
        <v/>
      </c>
      <c r="Q53" s="54">
        <f>IF(L53="Matched",COUNTIF($L$5:L53,"Matched"),"")</f>
        <v/>
      </c>
      <c r="R53" s="54">
        <f>IF(L53="Unmatched",COUNTIF($L$5:L53,"Unmatched"),"")</f>
        <v/>
      </c>
      <c r="S53" s="54">
        <f>IF(L53="Difference",COUNTIF($L$5:L53,"Difference"),"")</f>
        <v/>
      </c>
      <c r="T53" s="55">
        <f>IF(L53="Difference",ABS(N53),0)</f>
        <v/>
      </c>
    </row>
    <row r="54" ht="17" customHeight="1">
      <c r="A54" s="86" t="n"/>
      <c r="B54" s="46" t="n"/>
      <c r="C54" s="47" t="n"/>
      <c r="D54" s="46" t="n"/>
      <c r="E54" s="46" t="n"/>
      <c r="F54" s="46" t="n"/>
      <c r="G54" s="48" t="n"/>
      <c r="H54" s="48" t="n"/>
      <c r="I54" s="49">
        <f>IF(A54="","",IF(H54&lt;&gt;"","M|"&amp;TRIM(H54),IF(AND(MatchMode="Reference / ID only",D54=""),"U|"&amp;ROW(),IF(D54&lt;&gt;"","R|"&amp;TRIM(D54),IF(MatchMode="Amount only","A|"&amp;TEXT(ROUND(C54,2),"0.00"),IF(MatchMode="Amount (tolerance)","T|"&amp;TEXT(ROUND(C54/MAX(N(Tolerance),0.0001),0),"0"),IF(MatchMode="Date + amount (tolerance)","DT|"&amp;TEXT(A54,"yyyy-mm-dd")&amp;"|"&amp;TEXT(ROUND(C54/MAX(N(Tolerance),0.0001),0),"0"),IF(MatchMode="Description (exact)","S|"&amp;LOWER(TRIM(B54)),IF(MatchMode="Reference / ID only","U|"&amp;ROW(),"DA|"&amp;TEXT(A54,"yyyy-mm-dd")&amp;"|"&amp;TEXT(ROUND(C54,2),"0.00"))))))))))</f>
        <v/>
      </c>
      <c r="J54" s="50">
        <f>IF(I54="","",COUNTIF($I$5:I54,I54))</f>
        <v/>
      </c>
      <c r="K54" s="50">
        <f>IF(P54="","",IFERROR(MATCH(P54,ListB_Combo,0)+4,""))</f>
        <v/>
      </c>
      <c r="L54" s="51">
        <f>IF(A54="","",IF(K54="","Unmatched",IF(ABS(C54-M54)&lt;=MAX(N(Tolerance),0),"Matched","Difference")))</f>
        <v/>
      </c>
      <c r="M54" s="52">
        <f>IF(K54="","",INDEX('List B'!$C$5:$C$204,K54-4))</f>
        <v/>
      </c>
      <c r="N54" s="52">
        <f>IF(K54="","",C54-M54)</f>
        <v/>
      </c>
      <c r="O54" s="53">
        <f>IF(OR(A54="",K54=""),"",IF(H54&lt;&gt;"","Manual pair",IF(D54&lt;&gt;"","Reference / ID",MatchMode)))</f>
        <v/>
      </c>
      <c r="P54" s="54">
        <f>IF(I54="","",I54&amp;"|"&amp;J54)</f>
        <v/>
      </c>
      <c r="Q54" s="54">
        <f>IF(L54="Matched",COUNTIF($L$5:L54,"Matched"),"")</f>
        <v/>
      </c>
      <c r="R54" s="54">
        <f>IF(L54="Unmatched",COUNTIF($L$5:L54,"Unmatched"),"")</f>
        <v/>
      </c>
      <c r="S54" s="54">
        <f>IF(L54="Difference",COUNTIF($L$5:L54,"Difference"),"")</f>
        <v/>
      </c>
      <c r="T54" s="55">
        <f>IF(L54="Difference",ABS(N54),0)</f>
        <v/>
      </c>
    </row>
    <row r="55" ht="17" customHeight="1">
      <c r="A55" s="86" t="n"/>
      <c r="B55" s="46" t="n"/>
      <c r="C55" s="47" t="n"/>
      <c r="D55" s="46" t="n"/>
      <c r="E55" s="46" t="n"/>
      <c r="F55" s="46" t="n"/>
      <c r="G55" s="48" t="n"/>
      <c r="H55" s="48" t="n"/>
      <c r="I55" s="49">
        <f>IF(A55="","",IF(H55&lt;&gt;"","M|"&amp;TRIM(H55),IF(AND(MatchMode="Reference / ID only",D55=""),"U|"&amp;ROW(),IF(D55&lt;&gt;"","R|"&amp;TRIM(D55),IF(MatchMode="Amount only","A|"&amp;TEXT(ROUND(C55,2),"0.00"),IF(MatchMode="Amount (tolerance)","T|"&amp;TEXT(ROUND(C55/MAX(N(Tolerance),0.0001),0),"0"),IF(MatchMode="Date + amount (tolerance)","DT|"&amp;TEXT(A55,"yyyy-mm-dd")&amp;"|"&amp;TEXT(ROUND(C55/MAX(N(Tolerance),0.0001),0),"0"),IF(MatchMode="Description (exact)","S|"&amp;LOWER(TRIM(B55)),IF(MatchMode="Reference / ID only","U|"&amp;ROW(),"DA|"&amp;TEXT(A55,"yyyy-mm-dd")&amp;"|"&amp;TEXT(ROUND(C55,2),"0.00"))))))))))</f>
        <v/>
      </c>
      <c r="J55" s="50">
        <f>IF(I55="","",COUNTIF($I$5:I55,I55))</f>
        <v/>
      </c>
      <c r="K55" s="50">
        <f>IF(P55="","",IFERROR(MATCH(P55,ListB_Combo,0)+4,""))</f>
        <v/>
      </c>
      <c r="L55" s="51">
        <f>IF(A55="","",IF(K55="","Unmatched",IF(ABS(C55-M55)&lt;=MAX(N(Tolerance),0),"Matched","Difference")))</f>
        <v/>
      </c>
      <c r="M55" s="52">
        <f>IF(K55="","",INDEX('List B'!$C$5:$C$204,K55-4))</f>
        <v/>
      </c>
      <c r="N55" s="52">
        <f>IF(K55="","",C55-M55)</f>
        <v/>
      </c>
      <c r="O55" s="53">
        <f>IF(OR(A55="",K55=""),"",IF(H55&lt;&gt;"","Manual pair",IF(D55&lt;&gt;"","Reference / ID",MatchMode)))</f>
        <v/>
      </c>
      <c r="P55" s="54">
        <f>IF(I55="","",I55&amp;"|"&amp;J55)</f>
        <v/>
      </c>
      <c r="Q55" s="54">
        <f>IF(L55="Matched",COUNTIF($L$5:L55,"Matched"),"")</f>
        <v/>
      </c>
      <c r="R55" s="54">
        <f>IF(L55="Unmatched",COUNTIF($L$5:L55,"Unmatched"),"")</f>
        <v/>
      </c>
      <c r="S55" s="54">
        <f>IF(L55="Difference",COUNTIF($L$5:L55,"Difference"),"")</f>
        <v/>
      </c>
      <c r="T55" s="55">
        <f>IF(L55="Difference",ABS(N55),0)</f>
        <v/>
      </c>
    </row>
    <row r="56" ht="17" customHeight="1">
      <c r="A56" s="86" t="n"/>
      <c r="B56" s="46" t="n"/>
      <c r="C56" s="47" t="n"/>
      <c r="D56" s="46" t="n"/>
      <c r="E56" s="46" t="n"/>
      <c r="F56" s="46" t="n"/>
      <c r="G56" s="48" t="n"/>
      <c r="H56" s="48" t="n"/>
      <c r="I56" s="49">
        <f>IF(A56="","",IF(H56&lt;&gt;"","M|"&amp;TRIM(H56),IF(AND(MatchMode="Reference / ID only",D56=""),"U|"&amp;ROW(),IF(D56&lt;&gt;"","R|"&amp;TRIM(D56),IF(MatchMode="Amount only","A|"&amp;TEXT(ROUND(C56,2),"0.00"),IF(MatchMode="Amount (tolerance)","T|"&amp;TEXT(ROUND(C56/MAX(N(Tolerance),0.0001),0),"0"),IF(MatchMode="Date + amount (tolerance)","DT|"&amp;TEXT(A56,"yyyy-mm-dd")&amp;"|"&amp;TEXT(ROUND(C56/MAX(N(Tolerance),0.0001),0),"0"),IF(MatchMode="Description (exact)","S|"&amp;LOWER(TRIM(B56)),IF(MatchMode="Reference / ID only","U|"&amp;ROW(),"DA|"&amp;TEXT(A56,"yyyy-mm-dd")&amp;"|"&amp;TEXT(ROUND(C56,2),"0.00"))))))))))</f>
        <v/>
      </c>
      <c r="J56" s="50">
        <f>IF(I56="","",COUNTIF($I$5:I56,I56))</f>
        <v/>
      </c>
      <c r="K56" s="50">
        <f>IF(P56="","",IFERROR(MATCH(P56,ListB_Combo,0)+4,""))</f>
        <v/>
      </c>
      <c r="L56" s="51">
        <f>IF(A56="","",IF(K56="","Unmatched",IF(ABS(C56-M56)&lt;=MAX(N(Tolerance),0),"Matched","Difference")))</f>
        <v/>
      </c>
      <c r="M56" s="52">
        <f>IF(K56="","",INDEX('List B'!$C$5:$C$204,K56-4))</f>
        <v/>
      </c>
      <c r="N56" s="52">
        <f>IF(K56="","",C56-M56)</f>
        <v/>
      </c>
      <c r="O56" s="53">
        <f>IF(OR(A56="",K56=""),"",IF(H56&lt;&gt;"","Manual pair",IF(D56&lt;&gt;"","Reference / ID",MatchMode)))</f>
        <v/>
      </c>
      <c r="P56" s="54">
        <f>IF(I56="","",I56&amp;"|"&amp;J56)</f>
        <v/>
      </c>
      <c r="Q56" s="54">
        <f>IF(L56="Matched",COUNTIF($L$5:L56,"Matched"),"")</f>
        <v/>
      </c>
      <c r="R56" s="54">
        <f>IF(L56="Unmatched",COUNTIF($L$5:L56,"Unmatched"),"")</f>
        <v/>
      </c>
      <c r="S56" s="54">
        <f>IF(L56="Difference",COUNTIF($L$5:L56,"Difference"),"")</f>
        <v/>
      </c>
      <c r="T56" s="55">
        <f>IF(L56="Difference",ABS(N56),0)</f>
        <v/>
      </c>
    </row>
    <row r="57" ht="17" customHeight="1">
      <c r="A57" s="86" t="n"/>
      <c r="B57" s="46" t="n"/>
      <c r="C57" s="47" t="n"/>
      <c r="D57" s="46" t="n"/>
      <c r="E57" s="46" t="n"/>
      <c r="F57" s="46" t="n"/>
      <c r="G57" s="48" t="n"/>
      <c r="H57" s="48" t="n"/>
      <c r="I57" s="49">
        <f>IF(A57="","",IF(H57&lt;&gt;"","M|"&amp;TRIM(H57),IF(AND(MatchMode="Reference / ID only",D57=""),"U|"&amp;ROW(),IF(D57&lt;&gt;"","R|"&amp;TRIM(D57),IF(MatchMode="Amount only","A|"&amp;TEXT(ROUND(C57,2),"0.00"),IF(MatchMode="Amount (tolerance)","T|"&amp;TEXT(ROUND(C57/MAX(N(Tolerance),0.0001),0),"0"),IF(MatchMode="Date + amount (tolerance)","DT|"&amp;TEXT(A57,"yyyy-mm-dd")&amp;"|"&amp;TEXT(ROUND(C57/MAX(N(Tolerance),0.0001),0),"0"),IF(MatchMode="Description (exact)","S|"&amp;LOWER(TRIM(B57)),IF(MatchMode="Reference / ID only","U|"&amp;ROW(),"DA|"&amp;TEXT(A57,"yyyy-mm-dd")&amp;"|"&amp;TEXT(ROUND(C57,2),"0.00"))))))))))</f>
        <v/>
      </c>
      <c r="J57" s="50">
        <f>IF(I57="","",COUNTIF($I$5:I57,I57))</f>
        <v/>
      </c>
      <c r="K57" s="50">
        <f>IF(P57="","",IFERROR(MATCH(P57,ListB_Combo,0)+4,""))</f>
        <v/>
      </c>
      <c r="L57" s="51">
        <f>IF(A57="","",IF(K57="","Unmatched",IF(ABS(C57-M57)&lt;=MAX(N(Tolerance),0),"Matched","Difference")))</f>
        <v/>
      </c>
      <c r="M57" s="52">
        <f>IF(K57="","",INDEX('List B'!$C$5:$C$204,K57-4))</f>
        <v/>
      </c>
      <c r="N57" s="52">
        <f>IF(K57="","",C57-M57)</f>
        <v/>
      </c>
      <c r="O57" s="53">
        <f>IF(OR(A57="",K57=""),"",IF(H57&lt;&gt;"","Manual pair",IF(D57&lt;&gt;"","Reference / ID",MatchMode)))</f>
        <v/>
      </c>
      <c r="P57" s="54">
        <f>IF(I57="","",I57&amp;"|"&amp;J57)</f>
        <v/>
      </c>
      <c r="Q57" s="54">
        <f>IF(L57="Matched",COUNTIF($L$5:L57,"Matched"),"")</f>
        <v/>
      </c>
      <c r="R57" s="54">
        <f>IF(L57="Unmatched",COUNTIF($L$5:L57,"Unmatched"),"")</f>
        <v/>
      </c>
      <c r="S57" s="54">
        <f>IF(L57="Difference",COUNTIF($L$5:L57,"Difference"),"")</f>
        <v/>
      </c>
      <c r="T57" s="55">
        <f>IF(L57="Difference",ABS(N57),0)</f>
        <v/>
      </c>
    </row>
    <row r="58" ht="17" customHeight="1">
      <c r="A58" s="86" t="n"/>
      <c r="B58" s="46" t="n"/>
      <c r="C58" s="47" t="n"/>
      <c r="D58" s="46" t="n"/>
      <c r="E58" s="46" t="n"/>
      <c r="F58" s="46" t="n"/>
      <c r="G58" s="48" t="n"/>
      <c r="H58" s="48" t="n"/>
      <c r="I58" s="49">
        <f>IF(A58="","",IF(H58&lt;&gt;"","M|"&amp;TRIM(H58),IF(AND(MatchMode="Reference / ID only",D58=""),"U|"&amp;ROW(),IF(D58&lt;&gt;"","R|"&amp;TRIM(D58),IF(MatchMode="Amount only","A|"&amp;TEXT(ROUND(C58,2),"0.00"),IF(MatchMode="Amount (tolerance)","T|"&amp;TEXT(ROUND(C58/MAX(N(Tolerance),0.0001),0),"0"),IF(MatchMode="Date + amount (tolerance)","DT|"&amp;TEXT(A58,"yyyy-mm-dd")&amp;"|"&amp;TEXT(ROUND(C58/MAX(N(Tolerance),0.0001),0),"0"),IF(MatchMode="Description (exact)","S|"&amp;LOWER(TRIM(B58)),IF(MatchMode="Reference / ID only","U|"&amp;ROW(),"DA|"&amp;TEXT(A58,"yyyy-mm-dd")&amp;"|"&amp;TEXT(ROUND(C58,2),"0.00"))))))))))</f>
        <v/>
      </c>
      <c r="J58" s="50">
        <f>IF(I58="","",COUNTIF($I$5:I58,I58))</f>
        <v/>
      </c>
      <c r="K58" s="50">
        <f>IF(P58="","",IFERROR(MATCH(P58,ListB_Combo,0)+4,""))</f>
        <v/>
      </c>
      <c r="L58" s="51">
        <f>IF(A58="","",IF(K58="","Unmatched",IF(ABS(C58-M58)&lt;=MAX(N(Tolerance),0),"Matched","Difference")))</f>
        <v/>
      </c>
      <c r="M58" s="52">
        <f>IF(K58="","",INDEX('List B'!$C$5:$C$204,K58-4))</f>
        <v/>
      </c>
      <c r="N58" s="52">
        <f>IF(K58="","",C58-M58)</f>
        <v/>
      </c>
      <c r="O58" s="53">
        <f>IF(OR(A58="",K58=""),"",IF(H58&lt;&gt;"","Manual pair",IF(D58&lt;&gt;"","Reference / ID",MatchMode)))</f>
        <v/>
      </c>
      <c r="P58" s="54">
        <f>IF(I58="","",I58&amp;"|"&amp;J58)</f>
        <v/>
      </c>
      <c r="Q58" s="54">
        <f>IF(L58="Matched",COUNTIF($L$5:L58,"Matched"),"")</f>
        <v/>
      </c>
      <c r="R58" s="54">
        <f>IF(L58="Unmatched",COUNTIF($L$5:L58,"Unmatched"),"")</f>
        <v/>
      </c>
      <c r="S58" s="54">
        <f>IF(L58="Difference",COUNTIF($L$5:L58,"Difference"),"")</f>
        <v/>
      </c>
      <c r="T58" s="55">
        <f>IF(L58="Difference",ABS(N58),0)</f>
        <v/>
      </c>
    </row>
    <row r="59" ht="17" customHeight="1">
      <c r="A59" s="86" t="n"/>
      <c r="B59" s="46" t="n"/>
      <c r="C59" s="47" t="n"/>
      <c r="D59" s="46" t="n"/>
      <c r="E59" s="46" t="n"/>
      <c r="F59" s="46" t="n"/>
      <c r="G59" s="48" t="n"/>
      <c r="H59" s="48" t="n"/>
      <c r="I59" s="49">
        <f>IF(A59="","",IF(H59&lt;&gt;"","M|"&amp;TRIM(H59),IF(AND(MatchMode="Reference / ID only",D59=""),"U|"&amp;ROW(),IF(D59&lt;&gt;"","R|"&amp;TRIM(D59),IF(MatchMode="Amount only","A|"&amp;TEXT(ROUND(C59,2),"0.00"),IF(MatchMode="Amount (tolerance)","T|"&amp;TEXT(ROUND(C59/MAX(N(Tolerance),0.0001),0),"0"),IF(MatchMode="Date + amount (tolerance)","DT|"&amp;TEXT(A59,"yyyy-mm-dd")&amp;"|"&amp;TEXT(ROUND(C59/MAX(N(Tolerance),0.0001),0),"0"),IF(MatchMode="Description (exact)","S|"&amp;LOWER(TRIM(B59)),IF(MatchMode="Reference / ID only","U|"&amp;ROW(),"DA|"&amp;TEXT(A59,"yyyy-mm-dd")&amp;"|"&amp;TEXT(ROUND(C59,2),"0.00"))))))))))</f>
        <v/>
      </c>
      <c r="J59" s="50">
        <f>IF(I59="","",COUNTIF($I$5:I59,I59))</f>
        <v/>
      </c>
      <c r="K59" s="50">
        <f>IF(P59="","",IFERROR(MATCH(P59,ListB_Combo,0)+4,""))</f>
        <v/>
      </c>
      <c r="L59" s="51">
        <f>IF(A59="","",IF(K59="","Unmatched",IF(ABS(C59-M59)&lt;=MAX(N(Tolerance),0),"Matched","Difference")))</f>
        <v/>
      </c>
      <c r="M59" s="52">
        <f>IF(K59="","",INDEX('List B'!$C$5:$C$204,K59-4))</f>
        <v/>
      </c>
      <c r="N59" s="52">
        <f>IF(K59="","",C59-M59)</f>
        <v/>
      </c>
      <c r="O59" s="53">
        <f>IF(OR(A59="",K59=""),"",IF(H59&lt;&gt;"","Manual pair",IF(D59&lt;&gt;"","Reference / ID",MatchMode)))</f>
        <v/>
      </c>
      <c r="P59" s="54">
        <f>IF(I59="","",I59&amp;"|"&amp;J59)</f>
        <v/>
      </c>
      <c r="Q59" s="54">
        <f>IF(L59="Matched",COUNTIF($L$5:L59,"Matched"),"")</f>
        <v/>
      </c>
      <c r="R59" s="54">
        <f>IF(L59="Unmatched",COUNTIF($L$5:L59,"Unmatched"),"")</f>
        <v/>
      </c>
      <c r="S59" s="54">
        <f>IF(L59="Difference",COUNTIF($L$5:L59,"Difference"),"")</f>
        <v/>
      </c>
      <c r="T59" s="55">
        <f>IF(L59="Difference",ABS(N59),0)</f>
        <v/>
      </c>
    </row>
    <row r="60" ht="17" customHeight="1">
      <c r="A60" s="86" t="n"/>
      <c r="B60" s="46" t="n"/>
      <c r="C60" s="47" t="n"/>
      <c r="D60" s="46" t="n"/>
      <c r="E60" s="46" t="n"/>
      <c r="F60" s="46" t="n"/>
      <c r="G60" s="48" t="n"/>
      <c r="H60" s="48" t="n"/>
      <c r="I60" s="49">
        <f>IF(A60="","",IF(H60&lt;&gt;"","M|"&amp;TRIM(H60),IF(AND(MatchMode="Reference / ID only",D60=""),"U|"&amp;ROW(),IF(D60&lt;&gt;"","R|"&amp;TRIM(D60),IF(MatchMode="Amount only","A|"&amp;TEXT(ROUND(C60,2),"0.00"),IF(MatchMode="Amount (tolerance)","T|"&amp;TEXT(ROUND(C60/MAX(N(Tolerance),0.0001),0),"0"),IF(MatchMode="Date + amount (tolerance)","DT|"&amp;TEXT(A60,"yyyy-mm-dd")&amp;"|"&amp;TEXT(ROUND(C60/MAX(N(Tolerance),0.0001),0),"0"),IF(MatchMode="Description (exact)","S|"&amp;LOWER(TRIM(B60)),IF(MatchMode="Reference / ID only","U|"&amp;ROW(),"DA|"&amp;TEXT(A60,"yyyy-mm-dd")&amp;"|"&amp;TEXT(ROUND(C60,2),"0.00"))))))))))</f>
        <v/>
      </c>
      <c r="J60" s="50">
        <f>IF(I60="","",COUNTIF($I$5:I60,I60))</f>
        <v/>
      </c>
      <c r="K60" s="50">
        <f>IF(P60="","",IFERROR(MATCH(P60,ListB_Combo,0)+4,""))</f>
        <v/>
      </c>
      <c r="L60" s="51">
        <f>IF(A60="","",IF(K60="","Unmatched",IF(ABS(C60-M60)&lt;=MAX(N(Tolerance),0),"Matched","Difference")))</f>
        <v/>
      </c>
      <c r="M60" s="52">
        <f>IF(K60="","",INDEX('List B'!$C$5:$C$204,K60-4))</f>
        <v/>
      </c>
      <c r="N60" s="52">
        <f>IF(K60="","",C60-M60)</f>
        <v/>
      </c>
      <c r="O60" s="53">
        <f>IF(OR(A60="",K60=""),"",IF(H60&lt;&gt;"","Manual pair",IF(D60&lt;&gt;"","Reference / ID",MatchMode)))</f>
        <v/>
      </c>
      <c r="P60" s="54">
        <f>IF(I60="","",I60&amp;"|"&amp;J60)</f>
        <v/>
      </c>
      <c r="Q60" s="54">
        <f>IF(L60="Matched",COUNTIF($L$5:L60,"Matched"),"")</f>
        <v/>
      </c>
      <c r="R60" s="54">
        <f>IF(L60="Unmatched",COUNTIF($L$5:L60,"Unmatched"),"")</f>
        <v/>
      </c>
      <c r="S60" s="54">
        <f>IF(L60="Difference",COUNTIF($L$5:L60,"Difference"),"")</f>
        <v/>
      </c>
      <c r="T60" s="55">
        <f>IF(L60="Difference",ABS(N60),0)</f>
        <v/>
      </c>
    </row>
    <row r="61" ht="17" customHeight="1">
      <c r="A61" s="86" t="n"/>
      <c r="B61" s="46" t="n"/>
      <c r="C61" s="47" t="n"/>
      <c r="D61" s="46" t="n"/>
      <c r="E61" s="46" t="n"/>
      <c r="F61" s="46" t="n"/>
      <c r="G61" s="48" t="n"/>
      <c r="H61" s="48" t="n"/>
      <c r="I61" s="49">
        <f>IF(A61="","",IF(H61&lt;&gt;"","M|"&amp;TRIM(H61),IF(AND(MatchMode="Reference / ID only",D61=""),"U|"&amp;ROW(),IF(D61&lt;&gt;"","R|"&amp;TRIM(D61),IF(MatchMode="Amount only","A|"&amp;TEXT(ROUND(C61,2),"0.00"),IF(MatchMode="Amount (tolerance)","T|"&amp;TEXT(ROUND(C61/MAX(N(Tolerance),0.0001),0),"0"),IF(MatchMode="Date + amount (tolerance)","DT|"&amp;TEXT(A61,"yyyy-mm-dd")&amp;"|"&amp;TEXT(ROUND(C61/MAX(N(Tolerance),0.0001),0),"0"),IF(MatchMode="Description (exact)","S|"&amp;LOWER(TRIM(B61)),IF(MatchMode="Reference / ID only","U|"&amp;ROW(),"DA|"&amp;TEXT(A61,"yyyy-mm-dd")&amp;"|"&amp;TEXT(ROUND(C61,2),"0.00"))))))))))</f>
        <v/>
      </c>
      <c r="J61" s="50">
        <f>IF(I61="","",COUNTIF($I$5:I61,I61))</f>
        <v/>
      </c>
      <c r="K61" s="50">
        <f>IF(P61="","",IFERROR(MATCH(P61,ListB_Combo,0)+4,""))</f>
        <v/>
      </c>
      <c r="L61" s="51">
        <f>IF(A61="","",IF(K61="","Unmatched",IF(ABS(C61-M61)&lt;=MAX(N(Tolerance),0),"Matched","Difference")))</f>
        <v/>
      </c>
      <c r="M61" s="52">
        <f>IF(K61="","",INDEX('List B'!$C$5:$C$204,K61-4))</f>
        <v/>
      </c>
      <c r="N61" s="52">
        <f>IF(K61="","",C61-M61)</f>
        <v/>
      </c>
      <c r="O61" s="53">
        <f>IF(OR(A61="",K61=""),"",IF(H61&lt;&gt;"","Manual pair",IF(D61&lt;&gt;"","Reference / ID",MatchMode)))</f>
        <v/>
      </c>
      <c r="P61" s="54">
        <f>IF(I61="","",I61&amp;"|"&amp;J61)</f>
        <v/>
      </c>
      <c r="Q61" s="54">
        <f>IF(L61="Matched",COUNTIF($L$5:L61,"Matched"),"")</f>
        <v/>
      </c>
      <c r="R61" s="54">
        <f>IF(L61="Unmatched",COUNTIF($L$5:L61,"Unmatched"),"")</f>
        <v/>
      </c>
      <c r="S61" s="54">
        <f>IF(L61="Difference",COUNTIF($L$5:L61,"Difference"),"")</f>
        <v/>
      </c>
      <c r="T61" s="55">
        <f>IF(L61="Difference",ABS(N61),0)</f>
        <v/>
      </c>
    </row>
    <row r="62" ht="17" customHeight="1">
      <c r="A62" s="86" t="n"/>
      <c r="B62" s="46" t="n"/>
      <c r="C62" s="47" t="n"/>
      <c r="D62" s="46" t="n"/>
      <c r="E62" s="46" t="n"/>
      <c r="F62" s="46" t="n"/>
      <c r="G62" s="48" t="n"/>
      <c r="H62" s="48" t="n"/>
      <c r="I62" s="49">
        <f>IF(A62="","",IF(H62&lt;&gt;"","M|"&amp;TRIM(H62),IF(AND(MatchMode="Reference / ID only",D62=""),"U|"&amp;ROW(),IF(D62&lt;&gt;"","R|"&amp;TRIM(D62),IF(MatchMode="Amount only","A|"&amp;TEXT(ROUND(C62,2),"0.00"),IF(MatchMode="Amount (tolerance)","T|"&amp;TEXT(ROUND(C62/MAX(N(Tolerance),0.0001),0),"0"),IF(MatchMode="Date + amount (tolerance)","DT|"&amp;TEXT(A62,"yyyy-mm-dd")&amp;"|"&amp;TEXT(ROUND(C62/MAX(N(Tolerance),0.0001),0),"0"),IF(MatchMode="Description (exact)","S|"&amp;LOWER(TRIM(B62)),IF(MatchMode="Reference / ID only","U|"&amp;ROW(),"DA|"&amp;TEXT(A62,"yyyy-mm-dd")&amp;"|"&amp;TEXT(ROUND(C62,2),"0.00"))))))))))</f>
        <v/>
      </c>
      <c r="J62" s="50">
        <f>IF(I62="","",COUNTIF($I$5:I62,I62))</f>
        <v/>
      </c>
      <c r="K62" s="50">
        <f>IF(P62="","",IFERROR(MATCH(P62,ListB_Combo,0)+4,""))</f>
        <v/>
      </c>
      <c r="L62" s="51">
        <f>IF(A62="","",IF(K62="","Unmatched",IF(ABS(C62-M62)&lt;=MAX(N(Tolerance),0),"Matched","Difference")))</f>
        <v/>
      </c>
      <c r="M62" s="52">
        <f>IF(K62="","",INDEX('List B'!$C$5:$C$204,K62-4))</f>
        <v/>
      </c>
      <c r="N62" s="52">
        <f>IF(K62="","",C62-M62)</f>
        <v/>
      </c>
      <c r="O62" s="53">
        <f>IF(OR(A62="",K62=""),"",IF(H62&lt;&gt;"","Manual pair",IF(D62&lt;&gt;"","Reference / ID",MatchMode)))</f>
        <v/>
      </c>
      <c r="P62" s="54">
        <f>IF(I62="","",I62&amp;"|"&amp;J62)</f>
        <v/>
      </c>
      <c r="Q62" s="54">
        <f>IF(L62="Matched",COUNTIF($L$5:L62,"Matched"),"")</f>
        <v/>
      </c>
      <c r="R62" s="54">
        <f>IF(L62="Unmatched",COUNTIF($L$5:L62,"Unmatched"),"")</f>
        <v/>
      </c>
      <c r="S62" s="54">
        <f>IF(L62="Difference",COUNTIF($L$5:L62,"Difference"),"")</f>
        <v/>
      </c>
      <c r="T62" s="55">
        <f>IF(L62="Difference",ABS(N62),0)</f>
        <v/>
      </c>
    </row>
    <row r="63" ht="17" customHeight="1">
      <c r="A63" s="86" t="n"/>
      <c r="B63" s="46" t="n"/>
      <c r="C63" s="47" t="n"/>
      <c r="D63" s="46" t="n"/>
      <c r="E63" s="46" t="n"/>
      <c r="F63" s="46" t="n"/>
      <c r="G63" s="48" t="n"/>
      <c r="H63" s="48" t="n"/>
      <c r="I63" s="49">
        <f>IF(A63="","",IF(H63&lt;&gt;"","M|"&amp;TRIM(H63),IF(AND(MatchMode="Reference / ID only",D63=""),"U|"&amp;ROW(),IF(D63&lt;&gt;"","R|"&amp;TRIM(D63),IF(MatchMode="Amount only","A|"&amp;TEXT(ROUND(C63,2),"0.00"),IF(MatchMode="Amount (tolerance)","T|"&amp;TEXT(ROUND(C63/MAX(N(Tolerance),0.0001),0),"0"),IF(MatchMode="Date + amount (tolerance)","DT|"&amp;TEXT(A63,"yyyy-mm-dd")&amp;"|"&amp;TEXT(ROUND(C63/MAX(N(Tolerance),0.0001),0),"0"),IF(MatchMode="Description (exact)","S|"&amp;LOWER(TRIM(B63)),IF(MatchMode="Reference / ID only","U|"&amp;ROW(),"DA|"&amp;TEXT(A63,"yyyy-mm-dd")&amp;"|"&amp;TEXT(ROUND(C63,2),"0.00"))))))))))</f>
        <v/>
      </c>
      <c r="J63" s="50">
        <f>IF(I63="","",COUNTIF($I$5:I63,I63))</f>
        <v/>
      </c>
      <c r="K63" s="50">
        <f>IF(P63="","",IFERROR(MATCH(P63,ListB_Combo,0)+4,""))</f>
        <v/>
      </c>
      <c r="L63" s="51">
        <f>IF(A63="","",IF(K63="","Unmatched",IF(ABS(C63-M63)&lt;=MAX(N(Tolerance),0),"Matched","Difference")))</f>
        <v/>
      </c>
      <c r="M63" s="52">
        <f>IF(K63="","",INDEX('List B'!$C$5:$C$204,K63-4))</f>
        <v/>
      </c>
      <c r="N63" s="52">
        <f>IF(K63="","",C63-M63)</f>
        <v/>
      </c>
      <c r="O63" s="53">
        <f>IF(OR(A63="",K63=""),"",IF(H63&lt;&gt;"","Manual pair",IF(D63&lt;&gt;"","Reference / ID",MatchMode)))</f>
        <v/>
      </c>
      <c r="P63" s="54">
        <f>IF(I63="","",I63&amp;"|"&amp;J63)</f>
        <v/>
      </c>
      <c r="Q63" s="54">
        <f>IF(L63="Matched",COUNTIF($L$5:L63,"Matched"),"")</f>
        <v/>
      </c>
      <c r="R63" s="54">
        <f>IF(L63="Unmatched",COUNTIF($L$5:L63,"Unmatched"),"")</f>
        <v/>
      </c>
      <c r="S63" s="54">
        <f>IF(L63="Difference",COUNTIF($L$5:L63,"Difference"),"")</f>
        <v/>
      </c>
      <c r="T63" s="55">
        <f>IF(L63="Difference",ABS(N63),0)</f>
        <v/>
      </c>
    </row>
    <row r="64" ht="17" customHeight="1">
      <c r="A64" s="86" t="n"/>
      <c r="B64" s="46" t="n"/>
      <c r="C64" s="47" t="n"/>
      <c r="D64" s="46" t="n"/>
      <c r="E64" s="46" t="n"/>
      <c r="F64" s="46" t="n"/>
      <c r="G64" s="48" t="n"/>
      <c r="H64" s="48" t="n"/>
      <c r="I64" s="49">
        <f>IF(A64="","",IF(H64&lt;&gt;"","M|"&amp;TRIM(H64),IF(AND(MatchMode="Reference / ID only",D64=""),"U|"&amp;ROW(),IF(D64&lt;&gt;"","R|"&amp;TRIM(D64),IF(MatchMode="Amount only","A|"&amp;TEXT(ROUND(C64,2),"0.00"),IF(MatchMode="Amount (tolerance)","T|"&amp;TEXT(ROUND(C64/MAX(N(Tolerance),0.0001),0),"0"),IF(MatchMode="Date + amount (tolerance)","DT|"&amp;TEXT(A64,"yyyy-mm-dd")&amp;"|"&amp;TEXT(ROUND(C64/MAX(N(Tolerance),0.0001),0),"0"),IF(MatchMode="Description (exact)","S|"&amp;LOWER(TRIM(B64)),IF(MatchMode="Reference / ID only","U|"&amp;ROW(),"DA|"&amp;TEXT(A64,"yyyy-mm-dd")&amp;"|"&amp;TEXT(ROUND(C64,2),"0.00"))))))))))</f>
        <v/>
      </c>
      <c r="J64" s="50">
        <f>IF(I64="","",COUNTIF($I$5:I64,I64))</f>
        <v/>
      </c>
      <c r="K64" s="50">
        <f>IF(P64="","",IFERROR(MATCH(P64,ListB_Combo,0)+4,""))</f>
        <v/>
      </c>
      <c r="L64" s="51">
        <f>IF(A64="","",IF(K64="","Unmatched",IF(ABS(C64-M64)&lt;=MAX(N(Tolerance),0),"Matched","Difference")))</f>
        <v/>
      </c>
      <c r="M64" s="52">
        <f>IF(K64="","",INDEX('List B'!$C$5:$C$204,K64-4))</f>
        <v/>
      </c>
      <c r="N64" s="52">
        <f>IF(K64="","",C64-M64)</f>
        <v/>
      </c>
      <c r="O64" s="53">
        <f>IF(OR(A64="",K64=""),"",IF(H64&lt;&gt;"","Manual pair",IF(D64&lt;&gt;"","Reference / ID",MatchMode)))</f>
        <v/>
      </c>
      <c r="P64" s="54">
        <f>IF(I64="","",I64&amp;"|"&amp;J64)</f>
        <v/>
      </c>
      <c r="Q64" s="54">
        <f>IF(L64="Matched",COUNTIF($L$5:L64,"Matched"),"")</f>
        <v/>
      </c>
      <c r="R64" s="54">
        <f>IF(L64="Unmatched",COUNTIF($L$5:L64,"Unmatched"),"")</f>
        <v/>
      </c>
      <c r="S64" s="54">
        <f>IF(L64="Difference",COUNTIF($L$5:L64,"Difference"),"")</f>
        <v/>
      </c>
      <c r="T64" s="55">
        <f>IF(L64="Difference",ABS(N64),0)</f>
        <v/>
      </c>
    </row>
    <row r="65" ht="17" customHeight="1">
      <c r="A65" s="86" t="n"/>
      <c r="B65" s="46" t="n"/>
      <c r="C65" s="47" t="n"/>
      <c r="D65" s="46" t="n"/>
      <c r="E65" s="46" t="n"/>
      <c r="F65" s="46" t="n"/>
      <c r="G65" s="48" t="n"/>
      <c r="H65" s="48" t="n"/>
      <c r="I65" s="49">
        <f>IF(A65="","",IF(H65&lt;&gt;"","M|"&amp;TRIM(H65),IF(AND(MatchMode="Reference / ID only",D65=""),"U|"&amp;ROW(),IF(D65&lt;&gt;"","R|"&amp;TRIM(D65),IF(MatchMode="Amount only","A|"&amp;TEXT(ROUND(C65,2),"0.00"),IF(MatchMode="Amount (tolerance)","T|"&amp;TEXT(ROUND(C65/MAX(N(Tolerance),0.0001),0),"0"),IF(MatchMode="Date + amount (tolerance)","DT|"&amp;TEXT(A65,"yyyy-mm-dd")&amp;"|"&amp;TEXT(ROUND(C65/MAX(N(Tolerance),0.0001),0),"0"),IF(MatchMode="Description (exact)","S|"&amp;LOWER(TRIM(B65)),IF(MatchMode="Reference / ID only","U|"&amp;ROW(),"DA|"&amp;TEXT(A65,"yyyy-mm-dd")&amp;"|"&amp;TEXT(ROUND(C65,2),"0.00"))))))))))</f>
        <v/>
      </c>
      <c r="J65" s="50">
        <f>IF(I65="","",COUNTIF($I$5:I65,I65))</f>
        <v/>
      </c>
      <c r="K65" s="50">
        <f>IF(P65="","",IFERROR(MATCH(P65,ListB_Combo,0)+4,""))</f>
        <v/>
      </c>
      <c r="L65" s="51">
        <f>IF(A65="","",IF(K65="","Unmatched",IF(ABS(C65-M65)&lt;=MAX(N(Tolerance),0),"Matched","Difference")))</f>
        <v/>
      </c>
      <c r="M65" s="52">
        <f>IF(K65="","",INDEX('List B'!$C$5:$C$204,K65-4))</f>
        <v/>
      </c>
      <c r="N65" s="52">
        <f>IF(K65="","",C65-M65)</f>
        <v/>
      </c>
      <c r="O65" s="53">
        <f>IF(OR(A65="",K65=""),"",IF(H65&lt;&gt;"","Manual pair",IF(D65&lt;&gt;"","Reference / ID",MatchMode)))</f>
        <v/>
      </c>
      <c r="P65" s="54">
        <f>IF(I65="","",I65&amp;"|"&amp;J65)</f>
        <v/>
      </c>
      <c r="Q65" s="54">
        <f>IF(L65="Matched",COUNTIF($L$5:L65,"Matched"),"")</f>
        <v/>
      </c>
      <c r="R65" s="54">
        <f>IF(L65="Unmatched",COUNTIF($L$5:L65,"Unmatched"),"")</f>
        <v/>
      </c>
      <c r="S65" s="54">
        <f>IF(L65="Difference",COUNTIF($L$5:L65,"Difference"),"")</f>
        <v/>
      </c>
      <c r="T65" s="55">
        <f>IF(L65="Difference",ABS(N65),0)</f>
        <v/>
      </c>
    </row>
    <row r="66" ht="17" customHeight="1">
      <c r="A66" s="86" t="n"/>
      <c r="B66" s="46" t="n"/>
      <c r="C66" s="47" t="n"/>
      <c r="D66" s="46" t="n"/>
      <c r="E66" s="46" t="n"/>
      <c r="F66" s="46" t="n"/>
      <c r="G66" s="48" t="n"/>
      <c r="H66" s="48" t="n"/>
      <c r="I66" s="49">
        <f>IF(A66="","",IF(H66&lt;&gt;"","M|"&amp;TRIM(H66),IF(AND(MatchMode="Reference / ID only",D66=""),"U|"&amp;ROW(),IF(D66&lt;&gt;"","R|"&amp;TRIM(D66),IF(MatchMode="Amount only","A|"&amp;TEXT(ROUND(C66,2),"0.00"),IF(MatchMode="Amount (tolerance)","T|"&amp;TEXT(ROUND(C66/MAX(N(Tolerance),0.0001),0),"0"),IF(MatchMode="Date + amount (tolerance)","DT|"&amp;TEXT(A66,"yyyy-mm-dd")&amp;"|"&amp;TEXT(ROUND(C66/MAX(N(Tolerance),0.0001),0),"0"),IF(MatchMode="Description (exact)","S|"&amp;LOWER(TRIM(B66)),IF(MatchMode="Reference / ID only","U|"&amp;ROW(),"DA|"&amp;TEXT(A66,"yyyy-mm-dd")&amp;"|"&amp;TEXT(ROUND(C66,2),"0.00"))))))))))</f>
        <v/>
      </c>
      <c r="J66" s="50">
        <f>IF(I66="","",COUNTIF($I$5:I66,I66))</f>
        <v/>
      </c>
      <c r="K66" s="50">
        <f>IF(P66="","",IFERROR(MATCH(P66,ListB_Combo,0)+4,""))</f>
        <v/>
      </c>
      <c r="L66" s="51">
        <f>IF(A66="","",IF(K66="","Unmatched",IF(ABS(C66-M66)&lt;=MAX(N(Tolerance),0),"Matched","Difference")))</f>
        <v/>
      </c>
      <c r="M66" s="52">
        <f>IF(K66="","",INDEX('List B'!$C$5:$C$204,K66-4))</f>
        <v/>
      </c>
      <c r="N66" s="52">
        <f>IF(K66="","",C66-M66)</f>
        <v/>
      </c>
      <c r="O66" s="53">
        <f>IF(OR(A66="",K66=""),"",IF(H66&lt;&gt;"","Manual pair",IF(D66&lt;&gt;"","Reference / ID",MatchMode)))</f>
        <v/>
      </c>
      <c r="P66" s="54">
        <f>IF(I66="","",I66&amp;"|"&amp;J66)</f>
        <v/>
      </c>
      <c r="Q66" s="54">
        <f>IF(L66="Matched",COUNTIF($L$5:L66,"Matched"),"")</f>
        <v/>
      </c>
      <c r="R66" s="54">
        <f>IF(L66="Unmatched",COUNTIF($L$5:L66,"Unmatched"),"")</f>
        <v/>
      </c>
      <c r="S66" s="54">
        <f>IF(L66="Difference",COUNTIF($L$5:L66,"Difference"),"")</f>
        <v/>
      </c>
      <c r="T66" s="55">
        <f>IF(L66="Difference",ABS(N66),0)</f>
        <v/>
      </c>
    </row>
    <row r="67" ht="17" customHeight="1">
      <c r="A67" s="86" t="n"/>
      <c r="B67" s="46" t="n"/>
      <c r="C67" s="47" t="n"/>
      <c r="D67" s="46" t="n"/>
      <c r="E67" s="46" t="n"/>
      <c r="F67" s="46" t="n"/>
      <c r="G67" s="48" t="n"/>
      <c r="H67" s="48" t="n"/>
      <c r="I67" s="49">
        <f>IF(A67="","",IF(H67&lt;&gt;"","M|"&amp;TRIM(H67),IF(AND(MatchMode="Reference / ID only",D67=""),"U|"&amp;ROW(),IF(D67&lt;&gt;"","R|"&amp;TRIM(D67),IF(MatchMode="Amount only","A|"&amp;TEXT(ROUND(C67,2),"0.00"),IF(MatchMode="Amount (tolerance)","T|"&amp;TEXT(ROUND(C67/MAX(N(Tolerance),0.0001),0),"0"),IF(MatchMode="Date + amount (tolerance)","DT|"&amp;TEXT(A67,"yyyy-mm-dd")&amp;"|"&amp;TEXT(ROUND(C67/MAX(N(Tolerance),0.0001),0),"0"),IF(MatchMode="Description (exact)","S|"&amp;LOWER(TRIM(B67)),IF(MatchMode="Reference / ID only","U|"&amp;ROW(),"DA|"&amp;TEXT(A67,"yyyy-mm-dd")&amp;"|"&amp;TEXT(ROUND(C67,2),"0.00"))))))))))</f>
        <v/>
      </c>
      <c r="J67" s="50">
        <f>IF(I67="","",COUNTIF($I$5:I67,I67))</f>
        <v/>
      </c>
      <c r="K67" s="50">
        <f>IF(P67="","",IFERROR(MATCH(P67,ListB_Combo,0)+4,""))</f>
        <v/>
      </c>
      <c r="L67" s="51">
        <f>IF(A67="","",IF(K67="","Unmatched",IF(ABS(C67-M67)&lt;=MAX(N(Tolerance),0),"Matched","Difference")))</f>
        <v/>
      </c>
      <c r="M67" s="52">
        <f>IF(K67="","",INDEX('List B'!$C$5:$C$204,K67-4))</f>
        <v/>
      </c>
      <c r="N67" s="52">
        <f>IF(K67="","",C67-M67)</f>
        <v/>
      </c>
      <c r="O67" s="53">
        <f>IF(OR(A67="",K67=""),"",IF(H67&lt;&gt;"","Manual pair",IF(D67&lt;&gt;"","Reference / ID",MatchMode)))</f>
        <v/>
      </c>
      <c r="P67" s="54">
        <f>IF(I67="","",I67&amp;"|"&amp;J67)</f>
        <v/>
      </c>
      <c r="Q67" s="54">
        <f>IF(L67="Matched",COUNTIF($L$5:L67,"Matched"),"")</f>
        <v/>
      </c>
      <c r="R67" s="54">
        <f>IF(L67="Unmatched",COUNTIF($L$5:L67,"Unmatched"),"")</f>
        <v/>
      </c>
      <c r="S67" s="54">
        <f>IF(L67="Difference",COUNTIF($L$5:L67,"Difference"),"")</f>
        <v/>
      </c>
      <c r="T67" s="55">
        <f>IF(L67="Difference",ABS(N67),0)</f>
        <v/>
      </c>
    </row>
    <row r="68" ht="17" customHeight="1">
      <c r="A68" s="86" t="n"/>
      <c r="B68" s="46" t="n"/>
      <c r="C68" s="47" t="n"/>
      <c r="D68" s="46" t="n"/>
      <c r="E68" s="46" t="n"/>
      <c r="F68" s="46" t="n"/>
      <c r="G68" s="48" t="n"/>
      <c r="H68" s="48" t="n"/>
      <c r="I68" s="49">
        <f>IF(A68="","",IF(H68&lt;&gt;"","M|"&amp;TRIM(H68),IF(AND(MatchMode="Reference / ID only",D68=""),"U|"&amp;ROW(),IF(D68&lt;&gt;"","R|"&amp;TRIM(D68),IF(MatchMode="Amount only","A|"&amp;TEXT(ROUND(C68,2),"0.00"),IF(MatchMode="Amount (tolerance)","T|"&amp;TEXT(ROUND(C68/MAX(N(Tolerance),0.0001),0),"0"),IF(MatchMode="Date + amount (tolerance)","DT|"&amp;TEXT(A68,"yyyy-mm-dd")&amp;"|"&amp;TEXT(ROUND(C68/MAX(N(Tolerance),0.0001),0),"0"),IF(MatchMode="Description (exact)","S|"&amp;LOWER(TRIM(B68)),IF(MatchMode="Reference / ID only","U|"&amp;ROW(),"DA|"&amp;TEXT(A68,"yyyy-mm-dd")&amp;"|"&amp;TEXT(ROUND(C68,2),"0.00"))))))))))</f>
        <v/>
      </c>
      <c r="J68" s="50">
        <f>IF(I68="","",COUNTIF($I$5:I68,I68))</f>
        <v/>
      </c>
      <c r="K68" s="50">
        <f>IF(P68="","",IFERROR(MATCH(P68,ListB_Combo,0)+4,""))</f>
        <v/>
      </c>
      <c r="L68" s="51">
        <f>IF(A68="","",IF(K68="","Unmatched",IF(ABS(C68-M68)&lt;=MAX(N(Tolerance),0),"Matched","Difference")))</f>
        <v/>
      </c>
      <c r="M68" s="52">
        <f>IF(K68="","",INDEX('List B'!$C$5:$C$204,K68-4))</f>
        <v/>
      </c>
      <c r="N68" s="52">
        <f>IF(K68="","",C68-M68)</f>
        <v/>
      </c>
      <c r="O68" s="53">
        <f>IF(OR(A68="",K68=""),"",IF(H68&lt;&gt;"","Manual pair",IF(D68&lt;&gt;"","Reference / ID",MatchMode)))</f>
        <v/>
      </c>
      <c r="P68" s="54">
        <f>IF(I68="","",I68&amp;"|"&amp;J68)</f>
        <v/>
      </c>
      <c r="Q68" s="54">
        <f>IF(L68="Matched",COUNTIF($L$5:L68,"Matched"),"")</f>
        <v/>
      </c>
      <c r="R68" s="54">
        <f>IF(L68="Unmatched",COUNTIF($L$5:L68,"Unmatched"),"")</f>
        <v/>
      </c>
      <c r="S68" s="54">
        <f>IF(L68="Difference",COUNTIF($L$5:L68,"Difference"),"")</f>
        <v/>
      </c>
      <c r="T68" s="55">
        <f>IF(L68="Difference",ABS(N68),0)</f>
        <v/>
      </c>
    </row>
    <row r="69" ht="17" customHeight="1">
      <c r="A69" s="86" t="n"/>
      <c r="B69" s="46" t="n"/>
      <c r="C69" s="47" t="n"/>
      <c r="D69" s="46" t="n"/>
      <c r="E69" s="46" t="n"/>
      <c r="F69" s="46" t="n"/>
      <c r="G69" s="48" t="n"/>
      <c r="H69" s="48" t="n"/>
      <c r="I69" s="49">
        <f>IF(A69="","",IF(H69&lt;&gt;"","M|"&amp;TRIM(H69),IF(AND(MatchMode="Reference / ID only",D69=""),"U|"&amp;ROW(),IF(D69&lt;&gt;"","R|"&amp;TRIM(D69),IF(MatchMode="Amount only","A|"&amp;TEXT(ROUND(C69,2),"0.00"),IF(MatchMode="Amount (tolerance)","T|"&amp;TEXT(ROUND(C69/MAX(N(Tolerance),0.0001),0),"0"),IF(MatchMode="Date + amount (tolerance)","DT|"&amp;TEXT(A69,"yyyy-mm-dd")&amp;"|"&amp;TEXT(ROUND(C69/MAX(N(Tolerance),0.0001),0),"0"),IF(MatchMode="Description (exact)","S|"&amp;LOWER(TRIM(B69)),IF(MatchMode="Reference / ID only","U|"&amp;ROW(),"DA|"&amp;TEXT(A69,"yyyy-mm-dd")&amp;"|"&amp;TEXT(ROUND(C69,2),"0.00"))))))))))</f>
        <v/>
      </c>
      <c r="J69" s="50">
        <f>IF(I69="","",COUNTIF($I$5:I69,I69))</f>
        <v/>
      </c>
      <c r="K69" s="50">
        <f>IF(P69="","",IFERROR(MATCH(P69,ListB_Combo,0)+4,""))</f>
        <v/>
      </c>
      <c r="L69" s="51">
        <f>IF(A69="","",IF(K69="","Unmatched",IF(ABS(C69-M69)&lt;=MAX(N(Tolerance),0),"Matched","Difference")))</f>
        <v/>
      </c>
      <c r="M69" s="52">
        <f>IF(K69="","",INDEX('List B'!$C$5:$C$204,K69-4))</f>
        <v/>
      </c>
      <c r="N69" s="52">
        <f>IF(K69="","",C69-M69)</f>
        <v/>
      </c>
      <c r="O69" s="53">
        <f>IF(OR(A69="",K69=""),"",IF(H69&lt;&gt;"","Manual pair",IF(D69&lt;&gt;"","Reference / ID",MatchMode)))</f>
        <v/>
      </c>
      <c r="P69" s="54">
        <f>IF(I69="","",I69&amp;"|"&amp;J69)</f>
        <v/>
      </c>
      <c r="Q69" s="54">
        <f>IF(L69="Matched",COUNTIF($L$5:L69,"Matched"),"")</f>
        <v/>
      </c>
      <c r="R69" s="54">
        <f>IF(L69="Unmatched",COUNTIF($L$5:L69,"Unmatched"),"")</f>
        <v/>
      </c>
      <c r="S69" s="54">
        <f>IF(L69="Difference",COUNTIF($L$5:L69,"Difference"),"")</f>
        <v/>
      </c>
      <c r="T69" s="55">
        <f>IF(L69="Difference",ABS(N69),0)</f>
        <v/>
      </c>
    </row>
    <row r="70" ht="17" customHeight="1">
      <c r="A70" s="86" t="n"/>
      <c r="B70" s="46" t="n"/>
      <c r="C70" s="47" t="n"/>
      <c r="D70" s="46" t="n"/>
      <c r="E70" s="46" t="n"/>
      <c r="F70" s="46" t="n"/>
      <c r="G70" s="48" t="n"/>
      <c r="H70" s="48" t="n"/>
      <c r="I70" s="49">
        <f>IF(A70="","",IF(H70&lt;&gt;"","M|"&amp;TRIM(H70),IF(AND(MatchMode="Reference / ID only",D70=""),"U|"&amp;ROW(),IF(D70&lt;&gt;"","R|"&amp;TRIM(D70),IF(MatchMode="Amount only","A|"&amp;TEXT(ROUND(C70,2),"0.00"),IF(MatchMode="Amount (tolerance)","T|"&amp;TEXT(ROUND(C70/MAX(N(Tolerance),0.0001),0),"0"),IF(MatchMode="Date + amount (tolerance)","DT|"&amp;TEXT(A70,"yyyy-mm-dd")&amp;"|"&amp;TEXT(ROUND(C70/MAX(N(Tolerance),0.0001),0),"0"),IF(MatchMode="Description (exact)","S|"&amp;LOWER(TRIM(B70)),IF(MatchMode="Reference / ID only","U|"&amp;ROW(),"DA|"&amp;TEXT(A70,"yyyy-mm-dd")&amp;"|"&amp;TEXT(ROUND(C70,2),"0.00"))))))))))</f>
        <v/>
      </c>
      <c r="J70" s="50">
        <f>IF(I70="","",COUNTIF($I$5:I70,I70))</f>
        <v/>
      </c>
      <c r="K70" s="50">
        <f>IF(P70="","",IFERROR(MATCH(P70,ListB_Combo,0)+4,""))</f>
        <v/>
      </c>
      <c r="L70" s="51">
        <f>IF(A70="","",IF(K70="","Unmatched",IF(ABS(C70-M70)&lt;=MAX(N(Tolerance),0),"Matched","Difference")))</f>
        <v/>
      </c>
      <c r="M70" s="52">
        <f>IF(K70="","",INDEX('List B'!$C$5:$C$204,K70-4))</f>
        <v/>
      </c>
      <c r="N70" s="52">
        <f>IF(K70="","",C70-M70)</f>
        <v/>
      </c>
      <c r="O70" s="53">
        <f>IF(OR(A70="",K70=""),"",IF(H70&lt;&gt;"","Manual pair",IF(D70&lt;&gt;"","Reference / ID",MatchMode)))</f>
        <v/>
      </c>
      <c r="P70" s="54">
        <f>IF(I70="","",I70&amp;"|"&amp;J70)</f>
        <v/>
      </c>
      <c r="Q70" s="54">
        <f>IF(L70="Matched",COUNTIF($L$5:L70,"Matched"),"")</f>
        <v/>
      </c>
      <c r="R70" s="54">
        <f>IF(L70="Unmatched",COUNTIF($L$5:L70,"Unmatched"),"")</f>
        <v/>
      </c>
      <c r="S70" s="54">
        <f>IF(L70="Difference",COUNTIF($L$5:L70,"Difference"),"")</f>
        <v/>
      </c>
      <c r="T70" s="55">
        <f>IF(L70="Difference",ABS(N70),0)</f>
        <v/>
      </c>
    </row>
    <row r="71" ht="17" customHeight="1">
      <c r="A71" s="86" t="n"/>
      <c r="B71" s="46" t="n"/>
      <c r="C71" s="47" t="n"/>
      <c r="D71" s="46" t="n"/>
      <c r="E71" s="46" t="n"/>
      <c r="F71" s="46" t="n"/>
      <c r="G71" s="48" t="n"/>
      <c r="H71" s="48" t="n"/>
      <c r="I71" s="49">
        <f>IF(A71="","",IF(H71&lt;&gt;"","M|"&amp;TRIM(H71),IF(AND(MatchMode="Reference / ID only",D71=""),"U|"&amp;ROW(),IF(D71&lt;&gt;"","R|"&amp;TRIM(D71),IF(MatchMode="Amount only","A|"&amp;TEXT(ROUND(C71,2),"0.00"),IF(MatchMode="Amount (tolerance)","T|"&amp;TEXT(ROUND(C71/MAX(N(Tolerance),0.0001),0),"0"),IF(MatchMode="Date + amount (tolerance)","DT|"&amp;TEXT(A71,"yyyy-mm-dd")&amp;"|"&amp;TEXT(ROUND(C71/MAX(N(Tolerance),0.0001),0),"0"),IF(MatchMode="Description (exact)","S|"&amp;LOWER(TRIM(B71)),IF(MatchMode="Reference / ID only","U|"&amp;ROW(),"DA|"&amp;TEXT(A71,"yyyy-mm-dd")&amp;"|"&amp;TEXT(ROUND(C71,2),"0.00"))))))))))</f>
        <v/>
      </c>
      <c r="J71" s="50">
        <f>IF(I71="","",COUNTIF($I$5:I71,I71))</f>
        <v/>
      </c>
      <c r="K71" s="50">
        <f>IF(P71="","",IFERROR(MATCH(P71,ListB_Combo,0)+4,""))</f>
        <v/>
      </c>
      <c r="L71" s="51">
        <f>IF(A71="","",IF(K71="","Unmatched",IF(ABS(C71-M71)&lt;=MAX(N(Tolerance),0),"Matched","Difference")))</f>
        <v/>
      </c>
      <c r="M71" s="52">
        <f>IF(K71="","",INDEX('List B'!$C$5:$C$204,K71-4))</f>
        <v/>
      </c>
      <c r="N71" s="52">
        <f>IF(K71="","",C71-M71)</f>
        <v/>
      </c>
      <c r="O71" s="53">
        <f>IF(OR(A71="",K71=""),"",IF(H71&lt;&gt;"","Manual pair",IF(D71&lt;&gt;"","Reference / ID",MatchMode)))</f>
        <v/>
      </c>
      <c r="P71" s="54">
        <f>IF(I71="","",I71&amp;"|"&amp;J71)</f>
        <v/>
      </c>
      <c r="Q71" s="54">
        <f>IF(L71="Matched",COUNTIF($L$5:L71,"Matched"),"")</f>
        <v/>
      </c>
      <c r="R71" s="54">
        <f>IF(L71="Unmatched",COUNTIF($L$5:L71,"Unmatched"),"")</f>
        <v/>
      </c>
      <c r="S71" s="54">
        <f>IF(L71="Difference",COUNTIF($L$5:L71,"Difference"),"")</f>
        <v/>
      </c>
      <c r="T71" s="55">
        <f>IF(L71="Difference",ABS(N71),0)</f>
        <v/>
      </c>
    </row>
    <row r="72" ht="17" customHeight="1">
      <c r="A72" s="86" t="n"/>
      <c r="B72" s="46" t="n"/>
      <c r="C72" s="47" t="n"/>
      <c r="D72" s="46" t="n"/>
      <c r="E72" s="46" t="n"/>
      <c r="F72" s="46" t="n"/>
      <c r="G72" s="48" t="n"/>
      <c r="H72" s="48" t="n"/>
      <c r="I72" s="49">
        <f>IF(A72="","",IF(H72&lt;&gt;"","M|"&amp;TRIM(H72),IF(AND(MatchMode="Reference / ID only",D72=""),"U|"&amp;ROW(),IF(D72&lt;&gt;"","R|"&amp;TRIM(D72),IF(MatchMode="Amount only","A|"&amp;TEXT(ROUND(C72,2),"0.00"),IF(MatchMode="Amount (tolerance)","T|"&amp;TEXT(ROUND(C72/MAX(N(Tolerance),0.0001),0),"0"),IF(MatchMode="Date + amount (tolerance)","DT|"&amp;TEXT(A72,"yyyy-mm-dd")&amp;"|"&amp;TEXT(ROUND(C72/MAX(N(Tolerance),0.0001),0),"0"),IF(MatchMode="Description (exact)","S|"&amp;LOWER(TRIM(B72)),IF(MatchMode="Reference / ID only","U|"&amp;ROW(),"DA|"&amp;TEXT(A72,"yyyy-mm-dd")&amp;"|"&amp;TEXT(ROUND(C72,2),"0.00"))))))))))</f>
        <v/>
      </c>
      <c r="J72" s="50">
        <f>IF(I72="","",COUNTIF($I$5:I72,I72))</f>
        <v/>
      </c>
      <c r="K72" s="50">
        <f>IF(P72="","",IFERROR(MATCH(P72,ListB_Combo,0)+4,""))</f>
        <v/>
      </c>
      <c r="L72" s="51">
        <f>IF(A72="","",IF(K72="","Unmatched",IF(ABS(C72-M72)&lt;=MAX(N(Tolerance),0),"Matched","Difference")))</f>
        <v/>
      </c>
      <c r="M72" s="52">
        <f>IF(K72="","",INDEX('List B'!$C$5:$C$204,K72-4))</f>
        <v/>
      </c>
      <c r="N72" s="52">
        <f>IF(K72="","",C72-M72)</f>
        <v/>
      </c>
      <c r="O72" s="53">
        <f>IF(OR(A72="",K72=""),"",IF(H72&lt;&gt;"","Manual pair",IF(D72&lt;&gt;"","Reference / ID",MatchMode)))</f>
        <v/>
      </c>
      <c r="P72" s="54">
        <f>IF(I72="","",I72&amp;"|"&amp;J72)</f>
        <v/>
      </c>
      <c r="Q72" s="54">
        <f>IF(L72="Matched",COUNTIF($L$5:L72,"Matched"),"")</f>
        <v/>
      </c>
      <c r="R72" s="54">
        <f>IF(L72="Unmatched",COUNTIF($L$5:L72,"Unmatched"),"")</f>
        <v/>
      </c>
      <c r="S72" s="54">
        <f>IF(L72="Difference",COUNTIF($L$5:L72,"Difference"),"")</f>
        <v/>
      </c>
      <c r="T72" s="55">
        <f>IF(L72="Difference",ABS(N72),0)</f>
        <v/>
      </c>
    </row>
    <row r="73" ht="17" customHeight="1">
      <c r="A73" s="86" t="n"/>
      <c r="B73" s="46" t="n"/>
      <c r="C73" s="47" t="n"/>
      <c r="D73" s="46" t="n"/>
      <c r="E73" s="46" t="n"/>
      <c r="F73" s="46" t="n"/>
      <c r="G73" s="48" t="n"/>
      <c r="H73" s="48" t="n"/>
      <c r="I73" s="49">
        <f>IF(A73="","",IF(H73&lt;&gt;"","M|"&amp;TRIM(H73),IF(AND(MatchMode="Reference / ID only",D73=""),"U|"&amp;ROW(),IF(D73&lt;&gt;"","R|"&amp;TRIM(D73),IF(MatchMode="Amount only","A|"&amp;TEXT(ROUND(C73,2),"0.00"),IF(MatchMode="Amount (tolerance)","T|"&amp;TEXT(ROUND(C73/MAX(N(Tolerance),0.0001),0),"0"),IF(MatchMode="Date + amount (tolerance)","DT|"&amp;TEXT(A73,"yyyy-mm-dd")&amp;"|"&amp;TEXT(ROUND(C73/MAX(N(Tolerance),0.0001),0),"0"),IF(MatchMode="Description (exact)","S|"&amp;LOWER(TRIM(B73)),IF(MatchMode="Reference / ID only","U|"&amp;ROW(),"DA|"&amp;TEXT(A73,"yyyy-mm-dd")&amp;"|"&amp;TEXT(ROUND(C73,2),"0.00"))))))))))</f>
        <v/>
      </c>
      <c r="J73" s="50">
        <f>IF(I73="","",COUNTIF($I$5:I73,I73))</f>
        <v/>
      </c>
      <c r="K73" s="50">
        <f>IF(P73="","",IFERROR(MATCH(P73,ListB_Combo,0)+4,""))</f>
        <v/>
      </c>
      <c r="L73" s="51">
        <f>IF(A73="","",IF(K73="","Unmatched",IF(ABS(C73-M73)&lt;=MAX(N(Tolerance),0),"Matched","Difference")))</f>
        <v/>
      </c>
      <c r="M73" s="52">
        <f>IF(K73="","",INDEX('List B'!$C$5:$C$204,K73-4))</f>
        <v/>
      </c>
      <c r="N73" s="52">
        <f>IF(K73="","",C73-M73)</f>
        <v/>
      </c>
      <c r="O73" s="53">
        <f>IF(OR(A73="",K73=""),"",IF(H73&lt;&gt;"","Manual pair",IF(D73&lt;&gt;"","Reference / ID",MatchMode)))</f>
        <v/>
      </c>
      <c r="P73" s="54">
        <f>IF(I73="","",I73&amp;"|"&amp;J73)</f>
        <v/>
      </c>
      <c r="Q73" s="54">
        <f>IF(L73="Matched",COUNTIF($L$5:L73,"Matched"),"")</f>
        <v/>
      </c>
      <c r="R73" s="54">
        <f>IF(L73="Unmatched",COUNTIF($L$5:L73,"Unmatched"),"")</f>
        <v/>
      </c>
      <c r="S73" s="54">
        <f>IF(L73="Difference",COUNTIF($L$5:L73,"Difference"),"")</f>
        <v/>
      </c>
      <c r="T73" s="55">
        <f>IF(L73="Difference",ABS(N73),0)</f>
        <v/>
      </c>
    </row>
    <row r="74" ht="17" customHeight="1">
      <c r="A74" s="86" t="n"/>
      <c r="B74" s="46" t="n"/>
      <c r="C74" s="47" t="n"/>
      <c r="D74" s="46" t="n"/>
      <c r="E74" s="46" t="n"/>
      <c r="F74" s="46" t="n"/>
      <c r="G74" s="48" t="n"/>
      <c r="H74" s="48" t="n"/>
      <c r="I74" s="49">
        <f>IF(A74="","",IF(H74&lt;&gt;"","M|"&amp;TRIM(H74),IF(AND(MatchMode="Reference / ID only",D74=""),"U|"&amp;ROW(),IF(D74&lt;&gt;"","R|"&amp;TRIM(D74),IF(MatchMode="Amount only","A|"&amp;TEXT(ROUND(C74,2),"0.00"),IF(MatchMode="Amount (tolerance)","T|"&amp;TEXT(ROUND(C74/MAX(N(Tolerance),0.0001),0),"0"),IF(MatchMode="Date + amount (tolerance)","DT|"&amp;TEXT(A74,"yyyy-mm-dd")&amp;"|"&amp;TEXT(ROUND(C74/MAX(N(Tolerance),0.0001),0),"0"),IF(MatchMode="Description (exact)","S|"&amp;LOWER(TRIM(B74)),IF(MatchMode="Reference / ID only","U|"&amp;ROW(),"DA|"&amp;TEXT(A74,"yyyy-mm-dd")&amp;"|"&amp;TEXT(ROUND(C74,2),"0.00"))))))))))</f>
        <v/>
      </c>
      <c r="J74" s="50">
        <f>IF(I74="","",COUNTIF($I$5:I74,I74))</f>
        <v/>
      </c>
      <c r="K74" s="50">
        <f>IF(P74="","",IFERROR(MATCH(P74,ListB_Combo,0)+4,""))</f>
        <v/>
      </c>
      <c r="L74" s="51">
        <f>IF(A74="","",IF(K74="","Unmatched",IF(ABS(C74-M74)&lt;=MAX(N(Tolerance),0),"Matched","Difference")))</f>
        <v/>
      </c>
      <c r="M74" s="52">
        <f>IF(K74="","",INDEX('List B'!$C$5:$C$204,K74-4))</f>
        <v/>
      </c>
      <c r="N74" s="52">
        <f>IF(K74="","",C74-M74)</f>
        <v/>
      </c>
      <c r="O74" s="53">
        <f>IF(OR(A74="",K74=""),"",IF(H74&lt;&gt;"","Manual pair",IF(D74&lt;&gt;"","Reference / ID",MatchMode)))</f>
        <v/>
      </c>
      <c r="P74" s="54">
        <f>IF(I74="","",I74&amp;"|"&amp;J74)</f>
        <v/>
      </c>
      <c r="Q74" s="54">
        <f>IF(L74="Matched",COUNTIF($L$5:L74,"Matched"),"")</f>
        <v/>
      </c>
      <c r="R74" s="54">
        <f>IF(L74="Unmatched",COUNTIF($L$5:L74,"Unmatched"),"")</f>
        <v/>
      </c>
      <c r="S74" s="54">
        <f>IF(L74="Difference",COUNTIF($L$5:L74,"Difference"),"")</f>
        <v/>
      </c>
      <c r="T74" s="55">
        <f>IF(L74="Difference",ABS(N74),0)</f>
        <v/>
      </c>
    </row>
    <row r="75" ht="17" customHeight="1">
      <c r="A75" s="86" t="n"/>
      <c r="B75" s="46" t="n"/>
      <c r="C75" s="47" t="n"/>
      <c r="D75" s="46" t="n"/>
      <c r="E75" s="46" t="n"/>
      <c r="F75" s="46" t="n"/>
      <c r="G75" s="48" t="n"/>
      <c r="H75" s="48" t="n"/>
      <c r="I75" s="49">
        <f>IF(A75="","",IF(H75&lt;&gt;"","M|"&amp;TRIM(H75),IF(AND(MatchMode="Reference / ID only",D75=""),"U|"&amp;ROW(),IF(D75&lt;&gt;"","R|"&amp;TRIM(D75),IF(MatchMode="Amount only","A|"&amp;TEXT(ROUND(C75,2),"0.00"),IF(MatchMode="Amount (tolerance)","T|"&amp;TEXT(ROUND(C75/MAX(N(Tolerance),0.0001),0),"0"),IF(MatchMode="Date + amount (tolerance)","DT|"&amp;TEXT(A75,"yyyy-mm-dd")&amp;"|"&amp;TEXT(ROUND(C75/MAX(N(Tolerance),0.0001),0),"0"),IF(MatchMode="Description (exact)","S|"&amp;LOWER(TRIM(B75)),IF(MatchMode="Reference / ID only","U|"&amp;ROW(),"DA|"&amp;TEXT(A75,"yyyy-mm-dd")&amp;"|"&amp;TEXT(ROUND(C75,2),"0.00"))))))))))</f>
        <v/>
      </c>
      <c r="J75" s="50">
        <f>IF(I75="","",COUNTIF($I$5:I75,I75))</f>
        <v/>
      </c>
      <c r="K75" s="50">
        <f>IF(P75="","",IFERROR(MATCH(P75,ListB_Combo,0)+4,""))</f>
        <v/>
      </c>
      <c r="L75" s="51">
        <f>IF(A75="","",IF(K75="","Unmatched",IF(ABS(C75-M75)&lt;=MAX(N(Tolerance),0),"Matched","Difference")))</f>
        <v/>
      </c>
      <c r="M75" s="52">
        <f>IF(K75="","",INDEX('List B'!$C$5:$C$204,K75-4))</f>
        <v/>
      </c>
      <c r="N75" s="52">
        <f>IF(K75="","",C75-M75)</f>
        <v/>
      </c>
      <c r="O75" s="53">
        <f>IF(OR(A75="",K75=""),"",IF(H75&lt;&gt;"","Manual pair",IF(D75&lt;&gt;"","Reference / ID",MatchMode)))</f>
        <v/>
      </c>
      <c r="P75" s="54">
        <f>IF(I75="","",I75&amp;"|"&amp;J75)</f>
        <v/>
      </c>
      <c r="Q75" s="54">
        <f>IF(L75="Matched",COUNTIF($L$5:L75,"Matched"),"")</f>
        <v/>
      </c>
      <c r="R75" s="54">
        <f>IF(L75="Unmatched",COUNTIF($L$5:L75,"Unmatched"),"")</f>
        <v/>
      </c>
      <c r="S75" s="54">
        <f>IF(L75="Difference",COUNTIF($L$5:L75,"Difference"),"")</f>
        <v/>
      </c>
      <c r="T75" s="55">
        <f>IF(L75="Difference",ABS(N75),0)</f>
        <v/>
      </c>
    </row>
    <row r="76" ht="17" customHeight="1">
      <c r="A76" s="86" t="n"/>
      <c r="B76" s="46" t="n"/>
      <c r="C76" s="47" t="n"/>
      <c r="D76" s="46" t="n"/>
      <c r="E76" s="46" t="n"/>
      <c r="F76" s="46" t="n"/>
      <c r="G76" s="48" t="n"/>
      <c r="H76" s="48" t="n"/>
      <c r="I76" s="49">
        <f>IF(A76="","",IF(H76&lt;&gt;"","M|"&amp;TRIM(H76),IF(AND(MatchMode="Reference / ID only",D76=""),"U|"&amp;ROW(),IF(D76&lt;&gt;"","R|"&amp;TRIM(D76),IF(MatchMode="Amount only","A|"&amp;TEXT(ROUND(C76,2),"0.00"),IF(MatchMode="Amount (tolerance)","T|"&amp;TEXT(ROUND(C76/MAX(N(Tolerance),0.0001),0),"0"),IF(MatchMode="Date + amount (tolerance)","DT|"&amp;TEXT(A76,"yyyy-mm-dd")&amp;"|"&amp;TEXT(ROUND(C76/MAX(N(Tolerance),0.0001),0),"0"),IF(MatchMode="Description (exact)","S|"&amp;LOWER(TRIM(B76)),IF(MatchMode="Reference / ID only","U|"&amp;ROW(),"DA|"&amp;TEXT(A76,"yyyy-mm-dd")&amp;"|"&amp;TEXT(ROUND(C76,2),"0.00"))))))))))</f>
        <v/>
      </c>
      <c r="J76" s="50">
        <f>IF(I76="","",COUNTIF($I$5:I76,I76))</f>
        <v/>
      </c>
      <c r="K76" s="50">
        <f>IF(P76="","",IFERROR(MATCH(P76,ListB_Combo,0)+4,""))</f>
        <v/>
      </c>
      <c r="L76" s="51">
        <f>IF(A76="","",IF(K76="","Unmatched",IF(ABS(C76-M76)&lt;=MAX(N(Tolerance),0),"Matched","Difference")))</f>
        <v/>
      </c>
      <c r="M76" s="52">
        <f>IF(K76="","",INDEX('List B'!$C$5:$C$204,K76-4))</f>
        <v/>
      </c>
      <c r="N76" s="52">
        <f>IF(K76="","",C76-M76)</f>
        <v/>
      </c>
      <c r="O76" s="53">
        <f>IF(OR(A76="",K76=""),"",IF(H76&lt;&gt;"","Manual pair",IF(D76&lt;&gt;"","Reference / ID",MatchMode)))</f>
        <v/>
      </c>
      <c r="P76" s="54">
        <f>IF(I76="","",I76&amp;"|"&amp;J76)</f>
        <v/>
      </c>
      <c r="Q76" s="54">
        <f>IF(L76="Matched",COUNTIF($L$5:L76,"Matched"),"")</f>
        <v/>
      </c>
      <c r="R76" s="54">
        <f>IF(L76="Unmatched",COUNTIF($L$5:L76,"Unmatched"),"")</f>
        <v/>
      </c>
      <c r="S76" s="54">
        <f>IF(L76="Difference",COUNTIF($L$5:L76,"Difference"),"")</f>
        <v/>
      </c>
      <c r="T76" s="55">
        <f>IF(L76="Difference",ABS(N76),0)</f>
        <v/>
      </c>
    </row>
    <row r="77" ht="17" customHeight="1">
      <c r="A77" s="86" t="n"/>
      <c r="B77" s="46" t="n"/>
      <c r="C77" s="47" t="n"/>
      <c r="D77" s="46" t="n"/>
      <c r="E77" s="46" t="n"/>
      <c r="F77" s="46" t="n"/>
      <c r="G77" s="48" t="n"/>
      <c r="H77" s="48" t="n"/>
      <c r="I77" s="49">
        <f>IF(A77="","",IF(H77&lt;&gt;"","M|"&amp;TRIM(H77),IF(AND(MatchMode="Reference / ID only",D77=""),"U|"&amp;ROW(),IF(D77&lt;&gt;"","R|"&amp;TRIM(D77),IF(MatchMode="Amount only","A|"&amp;TEXT(ROUND(C77,2),"0.00"),IF(MatchMode="Amount (tolerance)","T|"&amp;TEXT(ROUND(C77/MAX(N(Tolerance),0.0001),0),"0"),IF(MatchMode="Date + amount (tolerance)","DT|"&amp;TEXT(A77,"yyyy-mm-dd")&amp;"|"&amp;TEXT(ROUND(C77/MAX(N(Tolerance),0.0001),0),"0"),IF(MatchMode="Description (exact)","S|"&amp;LOWER(TRIM(B77)),IF(MatchMode="Reference / ID only","U|"&amp;ROW(),"DA|"&amp;TEXT(A77,"yyyy-mm-dd")&amp;"|"&amp;TEXT(ROUND(C77,2),"0.00"))))))))))</f>
        <v/>
      </c>
      <c r="J77" s="50">
        <f>IF(I77="","",COUNTIF($I$5:I77,I77))</f>
        <v/>
      </c>
      <c r="K77" s="50">
        <f>IF(P77="","",IFERROR(MATCH(P77,ListB_Combo,0)+4,""))</f>
        <v/>
      </c>
      <c r="L77" s="51">
        <f>IF(A77="","",IF(K77="","Unmatched",IF(ABS(C77-M77)&lt;=MAX(N(Tolerance),0),"Matched","Difference")))</f>
        <v/>
      </c>
      <c r="M77" s="52">
        <f>IF(K77="","",INDEX('List B'!$C$5:$C$204,K77-4))</f>
        <v/>
      </c>
      <c r="N77" s="52">
        <f>IF(K77="","",C77-M77)</f>
        <v/>
      </c>
      <c r="O77" s="53">
        <f>IF(OR(A77="",K77=""),"",IF(H77&lt;&gt;"","Manual pair",IF(D77&lt;&gt;"","Reference / ID",MatchMode)))</f>
        <v/>
      </c>
      <c r="P77" s="54">
        <f>IF(I77="","",I77&amp;"|"&amp;J77)</f>
        <v/>
      </c>
      <c r="Q77" s="54">
        <f>IF(L77="Matched",COUNTIF($L$5:L77,"Matched"),"")</f>
        <v/>
      </c>
      <c r="R77" s="54">
        <f>IF(L77="Unmatched",COUNTIF($L$5:L77,"Unmatched"),"")</f>
        <v/>
      </c>
      <c r="S77" s="54">
        <f>IF(L77="Difference",COUNTIF($L$5:L77,"Difference"),"")</f>
        <v/>
      </c>
      <c r="T77" s="55">
        <f>IF(L77="Difference",ABS(N77),0)</f>
        <v/>
      </c>
    </row>
    <row r="78" ht="17" customHeight="1">
      <c r="A78" s="86" t="n"/>
      <c r="B78" s="46" t="n"/>
      <c r="C78" s="47" t="n"/>
      <c r="D78" s="46" t="n"/>
      <c r="E78" s="46" t="n"/>
      <c r="F78" s="46" t="n"/>
      <c r="G78" s="48" t="n"/>
      <c r="H78" s="48" t="n"/>
      <c r="I78" s="49">
        <f>IF(A78="","",IF(H78&lt;&gt;"","M|"&amp;TRIM(H78),IF(AND(MatchMode="Reference / ID only",D78=""),"U|"&amp;ROW(),IF(D78&lt;&gt;"","R|"&amp;TRIM(D78),IF(MatchMode="Amount only","A|"&amp;TEXT(ROUND(C78,2),"0.00"),IF(MatchMode="Amount (tolerance)","T|"&amp;TEXT(ROUND(C78/MAX(N(Tolerance),0.0001),0),"0"),IF(MatchMode="Date + amount (tolerance)","DT|"&amp;TEXT(A78,"yyyy-mm-dd")&amp;"|"&amp;TEXT(ROUND(C78/MAX(N(Tolerance),0.0001),0),"0"),IF(MatchMode="Description (exact)","S|"&amp;LOWER(TRIM(B78)),IF(MatchMode="Reference / ID only","U|"&amp;ROW(),"DA|"&amp;TEXT(A78,"yyyy-mm-dd")&amp;"|"&amp;TEXT(ROUND(C78,2),"0.00"))))))))))</f>
        <v/>
      </c>
      <c r="J78" s="50">
        <f>IF(I78="","",COUNTIF($I$5:I78,I78))</f>
        <v/>
      </c>
      <c r="K78" s="50">
        <f>IF(P78="","",IFERROR(MATCH(P78,ListB_Combo,0)+4,""))</f>
        <v/>
      </c>
      <c r="L78" s="51">
        <f>IF(A78="","",IF(K78="","Unmatched",IF(ABS(C78-M78)&lt;=MAX(N(Tolerance),0),"Matched","Difference")))</f>
        <v/>
      </c>
      <c r="M78" s="52">
        <f>IF(K78="","",INDEX('List B'!$C$5:$C$204,K78-4))</f>
        <v/>
      </c>
      <c r="N78" s="52">
        <f>IF(K78="","",C78-M78)</f>
        <v/>
      </c>
      <c r="O78" s="53">
        <f>IF(OR(A78="",K78=""),"",IF(H78&lt;&gt;"","Manual pair",IF(D78&lt;&gt;"","Reference / ID",MatchMode)))</f>
        <v/>
      </c>
      <c r="P78" s="54">
        <f>IF(I78="","",I78&amp;"|"&amp;J78)</f>
        <v/>
      </c>
      <c r="Q78" s="54">
        <f>IF(L78="Matched",COUNTIF($L$5:L78,"Matched"),"")</f>
        <v/>
      </c>
      <c r="R78" s="54">
        <f>IF(L78="Unmatched",COUNTIF($L$5:L78,"Unmatched"),"")</f>
        <v/>
      </c>
      <c r="S78" s="54">
        <f>IF(L78="Difference",COUNTIF($L$5:L78,"Difference"),"")</f>
        <v/>
      </c>
      <c r="T78" s="55">
        <f>IF(L78="Difference",ABS(N78),0)</f>
        <v/>
      </c>
    </row>
    <row r="79" ht="17" customHeight="1">
      <c r="A79" s="86" t="n"/>
      <c r="B79" s="46" t="n"/>
      <c r="C79" s="47" t="n"/>
      <c r="D79" s="46" t="n"/>
      <c r="E79" s="46" t="n"/>
      <c r="F79" s="46" t="n"/>
      <c r="G79" s="48" t="n"/>
      <c r="H79" s="48" t="n"/>
      <c r="I79" s="49">
        <f>IF(A79="","",IF(H79&lt;&gt;"","M|"&amp;TRIM(H79),IF(AND(MatchMode="Reference / ID only",D79=""),"U|"&amp;ROW(),IF(D79&lt;&gt;"","R|"&amp;TRIM(D79),IF(MatchMode="Amount only","A|"&amp;TEXT(ROUND(C79,2),"0.00"),IF(MatchMode="Amount (tolerance)","T|"&amp;TEXT(ROUND(C79/MAX(N(Tolerance),0.0001),0),"0"),IF(MatchMode="Date + amount (tolerance)","DT|"&amp;TEXT(A79,"yyyy-mm-dd")&amp;"|"&amp;TEXT(ROUND(C79/MAX(N(Tolerance),0.0001),0),"0"),IF(MatchMode="Description (exact)","S|"&amp;LOWER(TRIM(B79)),IF(MatchMode="Reference / ID only","U|"&amp;ROW(),"DA|"&amp;TEXT(A79,"yyyy-mm-dd")&amp;"|"&amp;TEXT(ROUND(C79,2),"0.00"))))))))))</f>
        <v/>
      </c>
      <c r="J79" s="50">
        <f>IF(I79="","",COUNTIF($I$5:I79,I79))</f>
        <v/>
      </c>
      <c r="K79" s="50">
        <f>IF(P79="","",IFERROR(MATCH(P79,ListB_Combo,0)+4,""))</f>
        <v/>
      </c>
      <c r="L79" s="51">
        <f>IF(A79="","",IF(K79="","Unmatched",IF(ABS(C79-M79)&lt;=MAX(N(Tolerance),0),"Matched","Difference")))</f>
        <v/>
      </c>
      <c r="M79" s="52">
        <f>IF(K79="","",INDEX('List B'!$C$5:$C$204,K79-4))</f>
        <v/>
      </c>
      <c r="N79" s="52">
        <f>IF(K79="","",C79-M79)</f>
        <v/>
      </c>
      <c r="O79" s="53">
        <f>IF(OR(A79="",K79=""),"",IF(H79&lt;&gt;"","Manual pair",IF(D79&lt;&gt;"","Reference / ID",MatchMode)))</f>
        <v/>
      </c>
      <c r="P79" s="54">
        <f>IF(I79="","",I79&amp;"|"&amp;J79)</f>
        <v/>
      </c>
      <c r="Q79" s="54">
        <f>IF(L79="Matched",COUNTIF($L$5:L79,"Matched"),"")</f>
        <v/>
      </c>
      <c r="R79" s="54">
        <f>IF(L79="Unmatched",COUNTIF($L$5:L79,"Unmatched"),"")</f>
        <v/>
      </c>
      <c r="S79" s="54">
        <f>IF(L79="Difference",COUNTIF($L$5:L79,"Difference"),"")</f>
        <v/>
      </c>
      <c r="T79" s="55">
        <f>IF(L79="Difference",ABS(N79),0)</f>
        <v/>
      </c>
    </row>
    <row r="80" ht="17" customHeight="1">
      <c r="A80" s="86" t="n"/>
      <c r="B80" s="46" t="n"/>
      <c r="C80" s="47" t="n"/>
      <c r="D80" s="46" t="n"/>
      <c r="E80" s="46" t="n"/>
      <c r="F80" s="46" t="n"/>
      <c r="G80" s="48" t="n"/>
      <c r="H80" s="48" t="n"/>
      <c r="I80" s="49">
        <f>IF(A80="","",IF(H80&lt;&gt;"","M|"&amp;TRIM(H80),IF(AND(MatchMode="Reference / ID only",D80=""),"U|"&amp;ROW(),IF(D80&lt;&gt;"","R|"&amp;TRIM(D80),IF(MatchMode="Amount only","A|"&amp;TEXT(ROUND(C80,2),"0.00"),IF(MatchMode="Amount (tolerance)","T|"&amp;TEXT(ROUND(C80/MAX(N(Tolerance),0.0001),0),"0"),IF(MatchMode="Date + amount (tolerance)","DT|"&amp;TEXT(A80,"yyyy-mm-dd")&amp;"|"&amp;TEXT(ROUND(C80/MAX(N(Tolerance),0.0001),0),"0"),IF(MatchMode="Description (exact)","S|"&amp;LOWER(TRIM(B80)),IF(MatchMode="Reference / ID only","U|"&amp;ROW(),"DA|"&amp;TEXT(A80,"yyyy-mm-dd")&amp;"|"&amp;TEXT(ROUND(C80,2),"0.00"))))))))))</f>
        <v/>
      </c>
      <c r="J80" s="50">
        <f>IF(I80="","",COUNTIF($I$5:I80,I80))</f>
        <v/>
      </c>
      <c r="K80" s="50">
        <f>IF(P80="","",IFERROR(MATCH(P80,ListB_Combo,0)+4,""))</f>
        <v/>
      </c>
      <c r="L80" s="51">
        <f>IF(A80="","",IF(K80="","Unmatched",IF(ABS(C80-M80)&lt;=MAX(N(Tolerance),0),"Matched","Difference")))</f>
        <v/>
      </c>
      <c r="M80" s="52">
        <f>IF(K80="","",INDEX('List B'!$C$5:$C$204,K80-4))</f>
        <v/>
      </c>
      <c r="N80" s="52">
        <f>IF(K80="","",C80-M80)</f>
        <v/>
      </c>
      <c r="O80" s="53">
        <f>IF(OR(A80="",K80=""),"",IF(H80&lt;&gt;"","Manual pair",IF(D80&lt;&gt;"","Reference / ID",MatchMode)))</f>
        <v/>
      </c>
      <c r="P80" s="54">
        <f>IF(I80="","",I80&amp;"|"&amp;J80)</f>
        <v/>
      </c>
      <c r="Q80" s="54">
        <f>IF(L80="Matched",COUNTIF($L$5:L80,"Matched"),"")</f>
        <v/>
      </c>
      <c r="R80" s="54">
        <f>IF(L80="Unmatched",COUNTIF($L$5:L80,"Unmatched"),"")</f>
        <v/>
      </c>
      <c r="S80" s="54">
        <f>IF(L80="Difference",COUNTIF($L$5:L80,"Difference"),"")</f>
        <v/>
      </c>
      <c r="T80" s="55">
        <f>IF(L80="Difference",ABS(N80),0)</f>
        <v/>
      </c>
    </row>
    <row r="81" ht="17" customHeight="1">
      <c r="A81" s="86" t="n"/>
      <c r="B81" s="46" t="n"/>
      <c r="C81" s="47" t="n"/>
      <c r="D81" s="46" t="n"/>
      <c r="E81" s="46" t="n"/>
      <c r="F81" s="46" t="n"/>
      <c r="G81" s="48" t="n"/>
      <c r="H81" s="48" t="n"/>
      <c r="I81" s="49">
        <f>IF(A81="","",IF(H81&lt;&gt;"","M|"&amp;TRIM(H81),IF(AND(MatchMode="Reference / ID only",D81=""),"U|"&amp;ROW(),IF(D81&lt;&gt;"","R|"&amp;TRIM(D81),IF(MatchMode="Amount only","A|"&amp;TEXT(ROUND(C81,2),"0.00"),IF(MatchMode="Amount (tolerance)","T|"&amp;TEXT(ROUND(C81/MAX(N(Tolerance),0.0001),0),"0"),IF(MatchMode="Date + amount (tolerance)","DT|"&amp;TEXT(A81,"yyyy-mm-dd")&amp;"|"&amp;TEXT(ROUND(C81/MAX(N(Tolerance),0.0001),0),"0"),IF(MatchMode="Description (exact)","S|"&amp;LOWER(TRIM(B81)),IF(MatchMode="Reference / ID only","U|"&amp;ROW(),"DA|"&amp;TEXT(A81,"yyyy-mm-dd")&amp;"|"&amp;TEXT(ROUND(C81,2),"0.00"))))))))))</f>
        <v/>
      </c>
      <c r="J81" s="50">
        <f>IF(I81="","",COUNTIF($I$5:I81,I81))</f>
        <v/>
      </c>
      <c r="K81" s="50">
        <f>IF(P81="","",IFERROR(MATCH(P81,ListB_Combo,0)+4,""))</f>
        <v/>
      </c>
      <c r="L81" s="51">
        <f>IF(A81="","",IF(K81="","Unmatched",IF(ABS(C81-M81)&lt;=MAX(N(Tolerance),0),"Matched","Difference")))</f>
        <v/>
      </c>
      <c r="M81" s="52">
        <f>IF(K81="","",INDEX('List B'!$C$5:$C$204,K81-4))</f>
        <v/>
      </c>
      <c r="N81" s="52">
        <f>IF(K81="","",C81-M81)</f>
        <v/>
      </c>
      <c r="O81" s="53">
        <f>IF(OR(A81="",K81=""),"",IF(H81&lt;&gt;"","Manual pair",IF(D81&lt;&gt;"","Reference / ID",MatchMode)))</f>
        <v/>
      </c>
      <c r="P81" s="54">
        <f>IF(I81="","",I81&amp;"|"&amp;J81)</f>
        <v/>
      </c>
      <c r="Q81" s="54">
        <f>IF(L81="Matched",COUNTIF($L$5:L81,"Matched"),"")</f>
        <v/>
      </c>
      <c r="R81" s="54">
        <f>IF(L81="Unmatched",COUNTIF($L$5:L81,"Unmatched"),"")</f>
        <v/>
      </c>
      <c r="S81" s="54">
        <f>IF(L81="Difference",COUNTIF($L$5:L81,"Difference"),"")</f>
        <v/>
      </c>
      <c r="T81" s="55">
        <f>IF(L81="Difference",ABS(N81),0)</f>
        <v/>
      </c>
    </row>
    <row r="82" ht="17" customHeight="1">
      <c r="A82" s="86" t="n"/>
      <c r="B82" s="46" t="n"/>
      <c r="C82" s="47" t="n"/>
      <c r="D82" s="46" t="n"/>
      <c r="E82" s="46" t="n"/>
      <c r="F82" s="46" t="n"/>
      <c r="G82" s="48" t="n"/>
      <c r="H82" s="48" t="n"/>
      <c r="I82" s="49">
        <f>IF(A82="","",IF(H82&lt;&gt;"","M|"&amp;TRIM(H82),IF(AND(MatchMode="Reference / ID only",D82=""),"U|"&amp;ROW(),IF(D82&lt;&gt;"","R|"&amp;TRIM(D82),IF(MatchMode="Amount only","A|"&amp;TEXT(ROUND(C82,2),"0.00"),IF(MatchMode="Amount (tolerance)","T|"&amp;TEXT(ROUND(C82/MAX(N(Tolerance),0.0001),0),"0"),IF(MatchMode="Date + amount (tolerance)","DT|"&amp;TEXT(A82,"yyyy-mm-dd")&amp;"|"&amp;TEXT(ROUND(C82/MAX(N(Tolerance),0.0001),0),"0"),IF(MatchMode="Description (exact)","S|"&amp;LOWER(TRIM(B82)),IF(MatchMode="Reference / ID only","U|"&amp;ROW(),"DA|"&amp;TEXT(A82,"yyyy-mm-dd")&amp;"|"&amp;TEXT(ROUND(C82,2),"0.00"))))))))))</f>
        <v/>
      </c>
      <c r="J82" s="50">
        <f>IF(I82="","",COUNTIF($I$5:I82,I82))</f>
        <v/>
      </c>
      <c r="K82" s="50">
        <f>IF(P82="","",IFERROR(MATCH(P82,ListB_Combo,0)+4,""))</f>
        <v/>
      </c>
      <c r="L82" s="51">
        <f>IF(A82="","",IF(K82="","Unmatched",IF(ABS(C82-M82)&lt;=MAX(N(Tolerance),0),"Matched","Difference")))</f>
        <v/>
      </c>
      <c r="M82" s="52">
        <f>IF(K82="","",INDEX('List B'!$C$5:$C$204,K82-4))</f>
        <v/>
      </c>
      <c r="N82" s="52">
        <f>IF(K82="","",C82-M82)</f>
        <v/>
      </c>
      <c r="O82" s="53">
        <f>IF(OR(A82="",K82=""),"",IF(H82&lt;&gt;"","Manual pair",IF(D82&lt;&gt;"","Reference / ID",MatchMode)))</f>
        <v/>
      </c>
      <c r="P82" s="54">
        <f>IF(I82="","",I82&amp;"|"&amp;J82)</f>
        <v/>
      </c>
      <c r="Q82" s="54">
        <f>IF(L82="Matched",COUNTIF($L$5:L82,"Matched"),"")</f>
        <v/>
      </c>
      <c r="R82" s="54">
        <f>IF(L82="Unmatched",COUNTIF($L$5:L82,"Unmatched"),"")</f>
        <v/>
      </c>
      <c r="S82" s="54">
        <f>IF(L82="Difference",COUNTIF($L$5:L82,"Difference"),"")</f>
        <v/>
      </c>
      <c r="T82" s="55">
        <f>IF(L82="Difference",ABS(N82),0)</f>
        <v/>
      </c>
    </row>
    <row r="83" ht="17" customHeight="1">
      <c r="A83" s="86" t="n"/>
      <c r="B83" s="46" t="n"/>
      <c r="C83" s="47" t="n"/>
      <c r="D83" s="46" t="n"/>
      <c r="E83" s="46" t="n"/>
      <c r="F83" s="46" t="n"/>
      <c r="G83" s="48" t="n"/>
      <c r="H83" s="48" t="n"/>
      <c r="I83" s="49">
        <f>IF(A83="","",IF(H83&lt;&gt;"","M|"&amp;TRIM(H83),IF(AND(MatchMode="Reference / ID only",D83=""),"U|"&amp;ROW(),IF(D83&lt;&gt;"","R|"&amp;TRIM(D83),IF(MatchMode="Amount only","A|"&amp;TEXT(ROUND(C83,2),"0.00"),IF(MatchMode="Amount (tolerance)","T|"&amp;TEXT(ROUND(C83/MAX(N(Tolerance),0.0001),0),"0"),IF(MatchMode="Date + amount (tolerance)","DT|"&amp;TEXT(A83,"yyyy-mm-dd")&amp;"|"&amp;TEXT(ROUND(C83/MAX(N(Tolerance),0.0001),0),"0"),IF(MatchMode="Description (exact)","S|"&amp;LOWER(TRIM(B83)),IF(MatchMode="Reference / ID only","U|"&amp;ROW(),"DA|"&amp;TEXT(A83,"yyyy-mm-dd")&amp;"|"&amp;TEXT(ROUND(C83,2),"0.00"))))))))))</f>
        <v/>
      </c>
      <c r="J83" s="50">
        <f>IF(I83="","",COUNTIF($I$5:I83,I83))</f>
        <v/>
      </c>
      <c r="K83" s="50">
        <f>IF(P83="","",IFERROR(MATCH(P83,ListB_Combo,0)+4,""))</f>
        <v/>
      </c>
      <c r="L83" s="51">
        <f>IF(A83="","",IF(K83="","Unmatched",IF(ABS(C83-M83)&lt;=MAX(N(Tolerance),0),"Matched","Difference")))</f>
        <v/>
      </c>
      <c r="M83" s="52">
        <f>IF(K83="","",INDEX('List B'!$C$5:$C$204,K83-4))</f>
        <v/>
      </c>
      <c r="N83" s="52">
        <f>IF(K83="","",C83-M83)</f>
        <v/>
      </c>
      <c r="O83" s="53">
        <f>IF(OR(A83="",K83=""),"",IF(H83&lt;&gt;"","Manual pair",IF(D83&lt;&gt;"","Reference / ID",MatchMode)))</f>
        <v/>
      </c>
      <c r="P83" s="54">
        <f>IF(I83="","",I83&amp;"|"&amp;J83)</f>
        <v/>
      </c>
      <c r="Q83" s="54">
        <f>IF(L83="Matched",COUNTIF($L$5:L83,"Matched"),"")</f>
        <v/>
      </c>
      <c r="R83" s="54">
        <f>IF(L83="Unmatched",COUNTIF($L$5:L83,"Unmatched"),"")</f>
        <v/>
      </c>
      <c r="S83" s="54">
        <f>IF(L83="Difference",COUNTIF($L$5:L83,"Difference"),"")</f>
        <v/>
      </c>
      <c r="T83" s="55">
        <f>IF(L83="Difference",ABS(N83),0)</f>
        <v/>
      </c>
    </row>
    <row r="84" ht="17" customHeight="1">
      <c r="A84" s="86" t="n"/>
      <c r="B84" s="46" t="n"/>
      <c r="C84" s="47" t="n"/>
      <c r="D84" s="46" t="n"/>
      <c r="E84" s="46" t="n"/>
      <c r="F84" s="46" t="n"/>
      <c r="G84" s="48" t="n"/>
      <c r="H84" s="48" t="n"/>
      <c r="I84" s="49">
        <f>IF(A84="","",IF(H84&lt;&gt;"","M|"&amp;TRIM(H84),IF(AND(MatchMode="Reference / ID only",D84=""),"U|"&amp;ROW(),IF(D84&lt;&gt;"","R|"&amp;TRIM(D84),IF(MatchMode="Amount only","A|"&amp;TEXT(ROUND(C84,2),"0.00"),IF(MatchMode="Amount (tolerance)","T|"&amp;TEXT(ROUND(C84/MAX(N(Tolerance),0.0001),0),"0"),IF(MatchMode="Date + amount (tolerance)","DT|"&amp;TEXT(A84,"yyyy-mm-dd")&amp;"|"&amp;TEXT(ROUND(C84/MAX(N(Tolerance),0.0001),0),"0"),IF(MatchMode="Description (exact)","S|"&amp;LOWER(TRIM(B84)),IF(MatchMode="Reference / ID only","U|"&amp;ROW(),"DA|"&amp;TEXT(A84,"yyyy-mm-dd")&amp;"|"&amp;TEXT(ROUND(C84,2),"0.00"))))))))))</f>
        <v/>
      </c>
      <c r="J84" s="50">
        <f>IF(I84="","",COUNTIF($I$5:I84,I84))</f>
        <v/>
      </c>
      <c r="K84" s="50">
        <f>IF(P84="","",IFERROR(MATCH(P84,ListB_Combo,0)+4,""))</f>
        <v/>
      </c>
      <c r="L84" s="51">
        <f>IF(A84="","",IF(K84="","Unmatched",IF(ABS(C84-M84)&lt;=MAX(N(Tolerance),0),"Matched","Difference")))</f>
        <v/>
      </c>
      <c r="M84" s="52">
        <f>IF(K84="","",INDEX('List B'!$C$5:$C$204,K84-4))</f>
        <v/>
      </c>
      <c r="N84" s="52">
        <f>IF(K84="","",C84-M84)</f>
        <v/>
      </c>
      <c r="O84" s="53">
        <f>IF(OR(A84="",K84=""),"",IF(H84&lt;&gt;"","Manual pair",IF(D84&lt;&gt;"","Reference / ID",MatchMode)))</f>
        <v/>
      </c>
      <c r="P84" s="54">
        <f>IF(I84="","",I84&amp;"|"&amp;J84)</f>
        <v/>
      </c>
      <c r="Q84" s="54">
        <f>IF(L84="Matched",COUNTIF($L$5:L84,"Matched"),"")</f>
        <v/>
      </c>
      <c r="R84" s="54">
        <f>IF(L84="Unmatched",COUNTIF($L$5:L84,"Unmatched"),"")</f>
        <v/>
      </c>
      <c r="S84" s="54">
        <f>IF(L84="Difference",COUNTIF($L$5:L84,"Difference"),"")</f>
        <v/>
      </c>
      <c r="T84" s="55">
        <f>IF(L84="Difference",ABS(N84),0)</f>
        <v/>
      </c>
    </row>
    <row r="85" ht="17" customHeight="1">
      <c r="A85" s="86" t="n"/>
      <c r="B85" s="46" t="n"/>
      <c r="C85" s="47" t="n"/>
      <c r="D85" s="46" t="n"/>
      <c r="E85" s="46" t="n"/>
      <c r="F85" s="46" t="n"/>
      <c r="G85" s="48" t="n"/>
      <c r="H85" s="48" t="n"/>
      <c r="I85" s="49">
        <f>IF(A85="","",IF(H85&lt;&gt;"","M|"&amp;TRIM(H85),IF(AND(MatchMode="Reference / ID only",D85=""),"U|"&amp;ROW(),IF(D85&lt;&gt;"","R|"&amp;TRIM(D85),IF(MatchMode="Amount only","A|"&amp;TEXT(ROUND(C85,2),"0.00"),IF(MatchMode="Amount (tolerance)","T|"&amp;TEXT(ROUND(C85/MAX(N(Tolerance),0.0001),0),"0"),IF(MatchMode="Date + amount (tolerance)","DT|"&amp;TEXT(A85,"yyyy-mm-dd")&amp;"|"&amp;TEXT(ROUND(C85/MAX(N(Tolerance),0.0001),0),"0"),IF(MatchMode="Description (exact)","S|"&amp;LOWER(TRIM(B85)),IF(MatchMode="Reference / ID only","U|"&amp;ROW(),"DA|"&amp;TEXT(A85,"yyyy-mm-dd")&amp;"|"&amp;TEXT(ROUND(C85,2),"0.00"))))))))))</f>
        <v/>
      </c>
      <c r="J85" s="50">
        <f>IF(I85="","",COUNTIF($I$5:I85,I85))</f>
        <v/>
      </c>
      <c r="K85" s="50">
        <f>IF(P85="","",IFERROR(MATCH(P85,ListB_Combo,0)+4,""))</f>
        <v/>
      </c>
      <c r="L85" s="51">
        <f>IF(A85="","",IF(K85="","Unmatched",IF(ABS(C85-M85)&lt;=MAX(N(Tolerance),0),"Matched","Difference")))</f>
        <v/>
      </c>
      <c r="M85" s="52">
        <f>IF(K85="","",INDEX('List B'!$C$5:$C$204,K85-4))</f>
        <v/>
      </c>
      <c r="N85" s="52">
        <f>IF(K85="","",C85-M85)</f>
        <v/>
      </c>
      <c r="O85" s="53">
        <f>IF(OR(A85="",K85=""),"",IF(H85&lt;&gt;"","Manual pair",IF(D85&lt;&gt;"","Reference / ID",MatchMode)))</f>
        <v/>
      </c>
      <c r="P85" s="54">
        <f>IF(I85="","",I85&amp;"|"&amp;J85)</f>
        <v/>
      </c>
      <c r="Q85" s="54">
        <f>IF(L85="Matched",COUNTIF($L$5:L85,"Matched"),"")</f>
        <v/>
      </c>
      <c r="R85" s="54">
        <f>IF(L85="Unmatched",COUNTIF($L$5:L85,"Unmatched"),"")</f>
        <v/>
      </c>
      <c r="S85" s="54">
        <f>IF(L85="Difference",COUNTIF($L$5:L85,"Difference"),"")</f>
        <v/>
      </c>
      <c r="T85" s="55">
        <f>IF(L85="Difference",ABS(N85),0)</f>
        <v/>
      </c>
    </row>
    <row r="86" ht="17" customHeight="1">
      <c r="A86" s="86" t="n"/>
      <c r="B86" s="46" t="n"/>
      <c r="C86" s="47" t="n"/>
      <c r="D86" s="46" t="n"/>
      <c r="E86" s="46" t="n"/>
      <c r="F86" s="46" t="n"/>
      <c r="G86" s="48" t="n"/>
      <c r="H86" s="48" t="n"/>
      <c r="I86" s="49">
        <f>IF(A86="","",IF(H86&lt;&gt;"","M|"&amp;TRIM(H86),IF(AND(MatchMode="Reference / ID only",D86=""),"U|"&amp;ROW(),IF(D86&lt;&gt;"","R|"&amp;TRIM(D86),IF(MatchMode="Amount only","A|"&amp;TEXT(ROUND(C86,2),"0.00"),IF(MatchMode="Amount (tolerance)","T|"&amp;TEXT(ROUND(C86/MAX(N(Tolerance),0.0001),0),"0"),IF(MatchMode="Date + amount (tolerance)","DT|"&amp;TEXT(A86,"yyyy-mm-dd")&amp;"|"&amp;TEXT(ROUND(C86/MAX(N(Tolerance),0.0001),0),"0"),IF(MatchMode="Description (exact)","S|"&amp;LOWER(TRIM(B86)),IF(MatchMode="Reference / ID only","U|"&amp;ROW(),"DA|"&amp;TEXT(A86,"yyyy-mm-dd")&amp;"|"&amp;TEXT(ROUND(C86,2),"0.00"))))))))))</f>
        <v/>
      </c>
      <c r="J86" s="50">
        <f>IF(I86="","",COUNTIF($I$5:I86,I86))</f>
        <v/>
      </c>
      <c r="K86" s="50">
        <f>IF(P86="","",IFERROR(MATCH(P86,ListB_Combo,0)+4,""))</f>
        <v/>
      </c>
      <c r="L86" s="51">
        <f>IF(A86="","",IF(K86="","Unmatched",IF(ABS(C86-M86)&lt;=MAX(N(Tolerance),0),"Matched","Difference")))</f>
        <v/>
      </c>
      <c r="M86" s="52">
        <f>IF(K86="","",INDEX('List B'!$C$5:$C$204,K86-4))</f>
        <v/>
      </c>
      <c r="N86" s="52">
        <f>IF(K86="","",C86-M86)</f>
        <v/>
      </c>
      <c r="O86" s="53">
        <f>IF(OR(A86="",K86=""),"",IF(H86&lt;&gt;"","Manual pair",IF(D86&lt;&gt;"","Reference / ID",MatchMode)))</f>
        <v/>
      </c>
      <c r="P86" s="54">
        <f>IF(I86="","",I86&amp;"|"&amp;J86)</f>
        <v/>
      </c>
      <c r="Q86" s="54">
        <f>IF(L86="Matched",COUNTIF($L$5:L86,"Matched"),"")</f>
        <v/>
      </c>
      <c r="R86" s="54">
        <f>IF(L86="Unmatched",COUNTIF($L$5:L86,"Unmatched"),"")</f>
        <v/>
      </c>
      <c r="S86" s="54">
        <f>IF(L86="Difference",COUNTIF($L$5:L86,"Difference"),"")</f>
        <v/>
      </c>
      <c r="T86" s="55">
        <f>IF(L86="Difference",ABS(N86),0)</f>
        <v/>
      </c>
    </row>
    <row r="87" ht="17" customHeight="1">
      <c r="A87" s="86" t="n"/>
      <c r="B87" s="46" t="n"/>
      <c r="C87" s="47" t="n"/>
      <c r="D87" s="46" t="n"/>
      <c r="E87" s="46" t="n"/>
      <c r="F87" s="46" t="n"/>
      <c r="G87" s="48" t="n"/>
      <c r="H87" s="48" t="n"/>
      <c r="I87" s="49">
        <f>IF(A87="","",IF(H87&lt;&gt;"","M|"&amp;TRIM(H87),IF(AND(MatchMode="Reference / ID only",D87=""),"U|"&amp;ROW(),IF(D87&lt;&gt;"","R|"&amp;TRIM(D87),IF(MatchMode="Amount only","A|"&amp;TEXT(ROUND(C87,2),"0.00"),IF(MatchMode="Amount (tolerance)","T|"&amp;TEXT(ROUND(C87/MAX(N(Tolerance),0.0001),0),"0"),IF(MatchMode="Date + amount (tolerance)","DT|"&amp;TEXT(A87,"yyyy-mm-dd")&amp;"|"&amp;TEXT(ROUND(C87/MAX(N(Tolerance),0.0001),0),"0"),IF(MatchMode="Description (exact)","S|"&amp;LOWER(TRIM(B87)),IF(MatchMode="Reference / ID only","U|"&amp;ROW(),"DA|"&amp;TEXT(A87,"yyyy-mm-dd")&amp;"|"&amp;TEXT(ROUND(C87,2),"0.00"))))))))))</f>
        <v/>
      </c>
      <c r="J87" s="50">
        <f>IF(I87="","",COUNTIF($I$5:I87,I87))</f>
        <v/>
      </c>
      <c r="K87" s="50">
        <f>IF(P87="","",IFERROR(MATCH(P87,ListB_Combo,0)+4,""))</f>
        <v/>
      </c>
      <c r="L87" s="51">
        <f>IF(A87="","",IF(K87="","Unmatched",IF(ABS(C87-M87)&lt;=MAX(N(Tolerance),0),"Matched","Difference")))</f>
        <v/>
      </c>
      <c r="M87" s="52">
        <f>IF(K87="","",INDEX('List B'!$C$5:$C$204,K87-4))</f>
        <v/>
      </c>
      <c r="N87" s="52">
        <f>IF(K87="","",C87-M87)</f>
        <v/>
      </c>
      <c r="O87" s="53">
        <f>IF(OR(A87="",K87=""),"",IF(H87&lt;&gt;"","Manual pair",IF(D87&lt;&gt;"","Reference / ID",MatchMode)))</f>
        <v/>
      </c>
      <c r="P87" s="54">
        <f>IF(I87="","",I87&amp;"|"&amp;J87)</f>
        <v/>
      </c>
      <c r="Q87" s="54">
        <f>IF(L87="Matched",COUNTIF($L$5:L87,"Matched"),"")</f>
        <v/>
      </c>
      <c r="R87" s="54">
        <f>IF(L87="Unmatched",COUNTIF($L$5:L87,"Unmatched"),"")</f>
        <v/>
      </c>
      <c r="S87" s="54">
        <f>IF(L87="Difference",COUNTIF($L$5:L87,"Difference"),"")</f>
        <v/>
      </c>
      <c r="T87" s="55">
        <f>IF(L87="Difference",ABS(N87),0)</f>
        <v/>
      </c>
    </row>
    <row r="88" ht="17" customHeight="1">
      <c r="A88" s="86" t="n"/>
      <c r="B88" s="46" t="n"/>
      <c r="C88" s="47" t="n"/>
      <c r="D88" s="46" t="n"/>
      <c r="E88" s="46" t="n"/>
      <c r="F88" s="46" t="n"/>
      <c r="G88" s="48" t="n"/>
      <c r="H88" s="48" t="n"/>
      <c r="I88" s="49">
        <f>IF(A88="","",IF(H88&lt;&gt;"","M|"&amp;TRIM(H88),IF(AND(MatchMode="Reference / ID only",D88=""),"U|"&amp;ROW(),IF(D88&lt;&gt;"","R|"&amp;TRIM(D88),IF(MatchMode="Amount only","A|"&amp;TEXT(ROUND(C88,2),"0.00"),IF(MatchMode="Amount (tolerance)","T|"&amp;TEXT(ROUND(C88/MAX(N(Tolerance),0.0001),0),"0"),IF(MatchMode="Date + amount (tolerance)","DT|"&amp;TEXT(A88,"yyyy-mm-dd")&amp;"|"&amp;TEXT(ROUND(C88/MAX(N(Tolerance),0.0001),0),"0"),IF(MatchMode="Description (exact)","S|"&amp;LOWER(TRIM(B88)),IF(MatchMode="Reference / ID only","U|"&amp;ROW(),"DA|"&amp;TEXT(A88,"yyyy-mm-dd")&amp;"|"&amp;TEXT(ROUND(C88,2),"0.00"))))))))))</f>
        <v/>
      </c>
      <c r="J88" s="50">
        <f>IF(I88="","",COUNTIF($I$5:I88,I88))</f>
        <v/>
      </c>
      <c r="K88" s="50">
        <f>IF(P88="","",IFERROR(MATCH(P88,ListB_Combo,0)+4,""))</f>
        <v/>
      </c>
      <c r="L88" s="51">
        <f>IF(A88="","",IF(K88="","Unmatched",IF(ABS(C88-M88)&lt;=MAX(N(Tolerance),0),"Matched","Difference")))</f>
        <v/>
      </c>
      <c r="M88" s="52">
        <f>IF(K88="","",INDEX('List B'!$C$5:$C$204,K88-4))</f>
        <v/>
      </c>
      <c r="N88" s="52">
        <f>IF(K88="","",C88-M88)</f>
        <v/>
      </c>
      <c r="O88" s="53">
        <f>IF(OR(A88="",K88=""),"",IF(H88&lt;&gt;"","Manual pair",IF(D88&lt;&gt;"","Reference / ID",MatchMode)))</f>
        <v/>
      </c>
      <c r="P88" s="54">
        <f>IF(I88="","",I88&amp;"|"&amp;J88)</f>
        <v/>
      </c>
      <c r="Q88" s="54">
        <f>IF(L88="Matched",COUNTIF($L$5:L88,"Matched"),"")</f>
        <v/>
      </c>
      <c r="R88" s="54">
        <f>IF(L88="Unmatched",COUNTIF($L$5:L88,"Unmatched"),"")</f>
        <v/>
      </c>
      <c r="S88" s="54">
        <f>IF(L88="Difference",COUNTIF($L$5:L88,"Difference"),"")</f>
        <v/>
      </c>
      <c r="T88" s="55">
        <f>IF(L88="Difference",ABS(N88),0)</f>
        <v/>
      </c>
    </row>
    <row r="89" ht="17" customHeight="1">
      <c r="A89" s="86" t="n"/>
      <c r="B89" s="46" t="n"/>
      <c r="C89" s="47" t="n"/>
      <c r="D89" s="46" t="n"/>
      <c r="E89" s="46" t="n"/>
      <c r="F89" s="46" t="n"/>
      <c r="G89" s="48" t="n"/>
      <c r="H89" s="48" t="n"/>
      <c r="I89" s="49">
        <f>IF(A89="","",IF(H89&lt;&gt;"","M|"&amp;TRIM(H89),IF(AND(MatchMode="Reference / ID only",D89=""),"U|"&amp;ROW(),IF(D89&lt;&gt;"","R|"&amp;TRIM(D89),IF(MatchMode="Amount only","A|"&amp;TEXT(ROUND(C89,2),"0.00"),IF(MatchMode="Amount (tolerance)","T|"&amp;TEXT(ROUND(C89/MAX(N(Tolerance),0.0001),0),"0"),IF(MatchMode="Date + amount (tolerance)","DT|"&amp;TEXT(A89,"yyyy-mm-dd")&amp;"|"&amp;TEXT(ROUND(C89/MAX(N(Tolerance),0.0001),0),"0"),IF(MatchMode="Description (exact)","S|"&amp;LOWER(TRIM(B89)),IF(MatchMode="Reference / ID only","U|"&amp;ROW(),"DA|"&amp;TEXT(A89,"yyyy-mm-dd")&amp;"|"&amp;TEXT(ROUND(C89,2),"0.00"))))))))))</f>
        <v/>
      </c>
      <c r="J89" s="50">
        <f>IF(I89="","",COUNTIF($I$5:I89,I89))</f>
        <v/>
      </c>
      <c r="K89" s="50">
        <f>IF(P89="","",IFERROR(MATCH(P89,ListB_Combo,0)+4,""))</f>
        <v/>
      </c>
      <c r="L89" s="51">
        <f>IF(A89="","",IF(K89="","Unmatched",IF(ABS(C89-M89)&lt;=MAX(N(Tolerance),0),"Matched","Difference")))</f>
        <v/>
      </c>
      <c r="M89" s="52">
        <f>IF(K89="","",INDEX('List B'!$C$5:$C$204,K89-4))</f>
        <v/>
      </c>
      <c r="N89" s="52">
        <f>IF(K89="","",C89-M89)</f>
        <v/>
      </c>
      <c r="O89" s="53">
        <f>IF(OR(A89="",K89=""),"",IF(H89&lt;&gt;"","Manual pair",IF(D89&lt;&gt;"","Reference / ID",MatchMode)))</f>
        <v/>
      </c>
      <c r="P89" s="54">
        <f>IF(I89="","",I89&amp;"|"&amp;J89)</f>
        <v/>
      </c>
      <c r="Q89" s="54">
        <f>IF(L89="Matched",COUNTIF($L$5:L89,"Matched"),"")</f>
        <v/>
      </c>
      <c r="R89" s="54">
        <f>IF(L89="Unmatched",COUNTIF($L$5:L89,"Unmatched"),"")</f>
        <v/>
      </c>
      <c r="S89" s="54">
        <f>IF(L89="Difference",COUNTIF($L$5:L89,"Difference"),"")</f>
        <v/>
      </c>
      <c r="T89" s="55">
        <f>IF(L89="Difference",ABS(N89),0)</f>
        <v/>
      </c>
    </row>
    <row r="90" ht="17" customHeight="1">
      <c r="A90" s="86" t="n"/>
      <c r="B90" s="46" t="n"/>
      <c r="C90" s="47" t="n"/>
      <c r="D90" s="46" t="n"/>
      <c r="E90" s="46" t="n"/>
      <c r="F90" s="46" t="n"/>
      <c r="G90" s="48" t="n"/>
      <c r="H90" s="48" t="n"/>
      <c r="I90" s="49">
        <f>IF(A90="","",IF(H90&lt;&gt;"","M|"&amp;TRIM(H90),IF(AND(MatchMode="Reference / ID only",D90=""),"U|"&amp;ROW(),IF(D90&lt;&gt;"","R|"&amp;TRIM(D90),IF(MatchMode="Amount only","A|"&amp;TEXT(ROUND(C90,2),"0.00"),IF(MatchMode="Amount (tolerance)","T|"&amp;TEXT(ROUND(C90/MAX(N(Tolerance),0.0001),0),"0"),IF(MatchMode="Date + amount (tolerance)","DT|"&amp;TEXT(A90,"yyyy-mm-dd")&amp;"|"&amp;TEXT(ROUND(C90/MAX(N(Tolerance),0.0001),0),"0"),IF(MatchMode="Description (exact)","S|"&amp;LOWER(TRIM(B90)),IF(MatchMode="Reference / ID only","U|"&amp;ROW(),"DA|"&amp;TEXT(A90,"yyyy-mm-dd")&amp;"|"&amp;TEXT(ROUND(C90,2),"0.00"))))))))))</f>
        <v/>
      </c>
      <c r="J90" s="50">
        <f>IF(I90="","",COUNTIF($I$5:I90,I90))</f>
        <v/>
      </c>
      <c r="K90" s="50">
        <f>IF(P90="","",IFERROR(MATCH(P90,ListB_Combo,0)+4,""))</f>
        <v/>
      </c>
      <c r="L90" s="51">
        <f>IF(A90="","",IF(K90="","Unmatched",IF(ABS(C90-M90)&lt;=MAX(N(Tolerance),0),"Matched","Difference")))</f>
        <v/>
      </c>
      <c r="M90" s="52">
        <f>IF(K90="","",INDEX('List B'!$C$5:$C$204,K90-4))</f>
        <v/>
      </c>
      <c r="N90" s="52">
        <f>IF(K90="","",C90-M90)</f>
        <v/>
      </c>
      <c r="O90" s="53">
        <f>IF(OR(A90="",K90=""),"",IF(H90&lt;&gt;"","Manual pair",IF(D90&lt;&gt;"","Reference / ID",MatchMode)))</f>
        <v/>
      </c>
      <c r="P90" s="54">
        <f>IF(I90="","",I90&amp;"|"&amp;J90)</f>
        <v/>
      </c>
      <c r="Q90" s="54">
        <f>IF(L90="Matched",COUNTIF($L$5:L90,"Matched"),"")</f>
        <v/>
      </c>
      <c r="R90" s="54">
        <f>IF(L90="Unmatched",COUNTIF($L$5:L90,"Unmatched"),"")</f>
        <v/>
      </c>
      <c r="S90" s="54">
        <f>IF(L90="Difference",COUNTIF($L$5:L90,"Difference"),"")</f>
        <v/>
      </c>
      <c r="T90" s="55">
        <f>IF(L90="Difference",ABS(N90),0)</f>
        <v/>
      </c>
    </row>
    <row r="91" ht="17" customHeight="1">
      <c r="A91" s="86" t="n"/>
      <c r="B91" s="46" t="n"/>
      <c r="C91" s="47" t="n"/>
      <c r="D91" s="46" t="n"/>
      <c r="E91" s="46" t="n"/>
      <c r="F91" s="46" t="n"/>
      <c r="G91" s="48" t="n"/>
      <c r="H91" s="48" t="n"/>
      <c r="I91" s="49">
        <f>IF(A91="","",IF(H91&lt;&gt;"","M|"&amp;TRIM(H91),IF(AND(MatchMode="Reference / ID only",D91=""),"U|"&amp;ROW(),IF(D91&lt;&gt;"","R|"&amp;TRIM(D91),IF(MatchMode="Amount only","A|"&amp;TEXT(ROUND(C91,2),"0.00"),IF(MatchMode="Amount (tolerance)","T|"&amp;TEXT(ROUND(C91/MAX(N(Tolerance),0.0001),0),"0"),IF(MatchMode="Date + amount (tolerance)","DT|"&amp;TEXT(A91,"yyyy-mm-dd")&amp;"|"&amp;TEXT(ROUND(C91/MAX(N(Tolerance),0.0001),0),"0"),IF(MatchMode="Description (exact)","S|"&amp;LOWER(TRIM(B91)),IF(MatchMode="Reference / ID only","U|"&amp;ROW(),"DA|"&amp;TEXT(A91,"yyyy-mm-dd")&amp;"|"&amp;TEXT(ROUND(C91,2),"0.00"))))))))))</f>
        <v/>
      </c>
      <c r="J91" s="50">
        <f>IF(I91="","",COUNTIF($I$5:I91,I91))</f>
        <v/>
      </c>
      <c r="K91" s="50">
        <f>IF(P91="","",IFERROR(MATCH(P91,ListB_Combo,0)+4,""))</f>
        <v/>
      </c>
      <c r="L91" s="51">
        <f>IF(A91="","",IF(K91="","Unmatched",IF(ABS(C91-M91)&lt;=MAX(N(Tolerance),0),"Matched","Difference")))</f>
        <v/>
      </c>
      <c r="M91" s="52">
        <f>IF(K91="","",INDEX('List B'!$C$5:$C$204,K91-4))</f>
        <v/>
      </c>
      <c r="N91" s="52">
        <f>IF(K91="","",C91-M91)</f>
        <v/>
      </c>
      <c r="O91" s="53">
        <f>IF(OR(A91="",K91=""),"",IF(H91&lt;&gt;"","Manual pair",IF(D91&lt;&gt;"","Reference / ID",MatchMode)))</f>
        <v/>
      </c>
      <c r="P91" s="54">
        <f>IF(I91="","",I91&amp;"|"&amp;J91)</f>
        <v/>
      </c>
      <c r="Q91" s="54">
        <f>IF(L91="Matched",COUNTIF($L$5:L91,"Matched"),"")</f>
        <v/>
      </c>
      <c r="R91" s="54">
        <f>IF(L91="Unmatched",COUNTIF($L$5:L91,"Unmatched"),"")</f>
        <v/>
      </c>
      <c r="S91" s="54">
        <f>IF(L91="Difference",COUNTIF($L$5:L91,"Difference"),"")</f>
        <v/>
      </c>
      <c r="T91" s="55">
        <f>IF(L91="Difference",ABS(N91),0)</f>
        <v/>
      </c>
    </row>
    <row r="92" ht="17" customHeight="1">
      <c r="A92" s="86" t="n"/>
      <c r="B92" s="46" t="n"/>
      <c r="C92" s="47" t="n"/>
      <c r="D92" s="46" t="n"/>
      <c r="E92" s="46" t="n"/>
      <c r="F92" s="46" t="n"/>
      <c r="G92" s="48" t="n"/>
      <c r="H92" s="48" t="n"/>
      <c r="I92" s="49">
        <f>IF(A92="","",IF(H92&lt;&gt;"","M|"&amp;TRIM(H92),IF(AND(MatchMode="Reference / ID only",D92=""),"U|"&amp;ROW(),IF(D92&lt;&gt;"","R|"&amp;TRIM(D92),IF(MatchMode="Amount only","A|"&amp;TEXT(ROUND(C92,2),"0.00"),IF(MatchMode="Amount (tolerance)","T|"&amp;TEXT(ROUND(C92/MAX(N(Tolerance),0.0001),0),"0"),IF(MatchMode="Date + amount (tolerance)","DT|"&amp;TEXT(A92,"yyyy-mm-dd")&amp;"|"&amp;TEXT(ROUND(C92/MAX(N(Tolerance),0.0001),0),"0"),IF(MatchMode="Description (exact)","S|"&amp;LOWER(TRIM(B92)),IF(MatchMode="Reference / ID only","U|"&amp;ROW(),"DA|"&amp;TEXT(A92,"yyyy-mm-dd")&amp;"|"&amp;TEXT(ROUND(C92,2),"0.00"))))))))))</f>
        <v/>
      </c>
      <c r="J92" s="50">
        <f>IF(I92="","",COUNTIF($I$5:I92,I92))</f>
        <v/>
      </c>
      <c r="K92" s="50">
        <f>IF(P92="","",IFERROR(MATCH(P92,ListB_Combo,0)+4,""))</f>
        <v/>
      </c>
      <c r="L92" s="51">
        <f>IF(A92="","",IF(K92="","Unmatched",IF(ABS(C92-M92)&lt;=MAX(N(Tolerance),0),"Matched","Difference")))</f>
        <v/>
      </c>
      <c r="M92" s="52">
        <f>IF(K92="","",INDEX('List B'!$C$5:$C$204,K92-4))</f>
        <v/>
      </c>
      <c r="N92" s="52">
        <f>IF(K92="","",C92-M92)</f>
        <v/>
      </c>
      <c r="O92" s="53">
        <f>IF(OR(A92="",K92=""),"",IF(H92&lt;&gt;"","Manual pair",IF(D92&lt;&gt;"","Reference / ID",MatchMode)))</f>
        <v/>
      </c>
      <c r="P92" s="54">
        <f>IF(I92="","",I92&amp;"|"&amp;J92)</f>
        <v/>
      </c>
      <c r="Q92" s="54">
        <f>IF(L92="Matched",COUNTIF($L$5:L92,"Matched"),"")</f>
        <v/>
      </c>
      <c r="R92" s="54">
        <f>IF(L92="Unmatched",COUNTIF($L$5:L92,"Unmatched"),"")</f>
        <v/>
      </c>
      <c r="S92" s="54">
        <f>IF(L92="Difference",COUNTIF($L$5:L92,"Difference"),"")</f>
        <v/>
      </c>
      <c r="T92" s="55">
        <f>IF(L92="Difference",ABS(N92),0)</f>
        <v/>
      </c>
    </row>
    <row r="93" ht="17" customHeight="1">
      <c r="A93" s="86" t="n"/>
      <c r="B93" s="46" t="n"/>
      <c r="C93" s="47" t="n"/>
      <c r="D93" s="46" t="n"/>
      <c r="E93" s="46" t="n"/>
      <c r="F93" s="46" t="n"/>
      <c r="G93" s="48" t="n"/>
      <c r="H93" s="48" t="n"/>
      <c r="I93" s="49">
        <f>IF(A93="","",IF(H93&lt;&gt;"","M|"&amp;TRIM(H93),IF(AND(MatchMode="Reference / ID only",D93=""),"U|"&amp;ROW(),IF(D93&lt;&gt;"","R|"&amp;TRIM(D93),IF(MatchMode="Amount only","A|"&amp;TEXT(ROUND(C93,2),"0.00"),IF(MatchMode="Amount (tolerance)","T|"&amp;TEXT(ROUND(C93/MAX(N(Tolerance),0.0001),0),"0"),IF(MatchMode="Date + amount (tolerance)","DT|"&amp;TEXT(A93,"yyyy-mm-dd")&amp;"|"&amp;TEXT(ROUND(C93/MAX(N(Tolerance),0.0001),0),"0"),IF(MatchMode="Description (exact)","S|"&amp;LOWER(TRIM(B93)),IF(MatchMode="Reference / ID only","U|"&amp;ROW(),"DA|"&amp;TEXT(A93,"yyyy-mm-dd")&amp;"|"&amp;TEXT(ROUND(C93,2),"0.00"))))))))))</f>
        <v/>
      </c>
      <c r="J93" s="50">
        <f>IF(I93="","",COUNTIF($I$5:I93,I93))</f>
        <v/>
      </c>
      <c r="K93" s="50">
        <f>IF(P93="","",IFERROR(MATCH(P93,ListB_Combo,0)+4,""))</f>
        <v/>
      </c>
      <c r="L93" s="51">
        <f>IF(A93="","",IF(K93="","Unmatched",IF(ABS(C93-M93)&lt;=MAX(N(Tolerance),0),"Matched","Difference")))</f>
        <v/>
      </c>
      <c r="M93" s="52">
        <f>IF(K93="","",INDEX('List B'!$C$5:$C$204,K93-4))</f>
        <v/>
      </c>
      <c r="N93" s="52">
        <f>IF(K93="","",C93-M93)</f>
        <v/>
      </c>
      <c r="O93" s="53">
        <f>IF(OR(A93="",K93=""),"",IF(H93&lt;&gt;"","Manual pair",IF(D93&lt;&gt;"","Reference / ID",MatchMode)))</f>
        <v/>
      </c>
      <c r="P93" s="54">
        <f>IF(I93="","",I93&amp;"|"&amp;J93)</f>
        <v/>
      </c>
      <c r="Q93" s="54">
        <f>IF(L93="Matched",COUNTIF($L$5:L93,"Matched"),"")</f>
        <v/>
      </c>
      <c r="R93" s="54">
        <f>IF(L93="Unmatched",COUNTIF($L$5:L93,"Unmatched"),"")</f>
        <v/>
      </c>
      <c r="S93" s="54">
        <f>IF(L93="Difference",COUNTIF($L$5:L93,"Difference"),"")</f>
        <v/>
      </c>
      <c r="T93" s="55">
        <f>IF(L93="Difference",ABS(N93),0)</f>
        <v/>
      </c>
    </row>
    <row r="94" ht="17" customHeight="1">
      <c r="A94" s="86" t="n"/>
      <c r="B94" s="46" t="n"/>
      <c r="C94" s="47" t="n"/>
      <c r="D94" s="46" t="n"/>
      <c r="E94" s="46" t="n"/>
      <c r="F94" s="46" t="n"/>
      <c r="G94" s="48" t="n"/>
      <c r="H94" s="48" t="n"/>
      <c r="I94" s="49">
        <f>IF(A94="","",IF(H94&lt;&gt;"","M|"&amp;TRIM(H94),IF(AND(MatchMode="Reference / ID only",D94=""),"U|"&amp;ROW(),IF(D94&lt;&gt;"","R|"&amp;TRIM(D94),IF(MatchMode="Amount only","A|"&amp;TEXT(ROUND(C94,2),"0.00"),IF(MatchMode="Amount (tolerance)","T|"&amp;TEXT(ROUND(C94/MAX(N(Tolerance),0.0001),0),"0"),IF(MatchMode="Date + amount (tolerance)","DT|"&amp;TEXT(A94,"yyyy-mm-dd")&amp;"|"&amp;TEXT(ROUND(C94/MAX(N(Tolerance),0.0001),0),"0"),IF(MatchMode="Description (exact)","S|"&amp;LOWER(TRIM(B94)),IF(MatchMode="Reference / ID only","U|"&amp;ROW(),"DA|"&amp;TEXT(A94,"yyyy-mm-dd")&amp;"|"&amp;TEXT(ROUND(C94,2),"0.00"))))))))))</f>
        <v/>
      </c>
      <c r="J94" s="50">
        <f>IF(I94="","",COUNTIF($I$5:I94,I94))</f>
        <v/>
      </c>
      <c r="K94" s="50">
        <f>IF(P94="","",IFERROR(MATCH(P94,ListB_Combo,0)+4,""))</f>
        <v/>
      </c>
      <c r="L94" s="51">
        <f>IF(A94="","",IF(K94="","Unmatched",IF(ABS(C94-M94)&lt;=MAX(N(Tolerance),0),"Matched","Difference")))</f>
        <v/>
      </c>
      <c r="M94" s="52">
        <f>IF(K94="","",INDEX('List B'!$C$5:$C$204,K94-4))</f>
        <v/>
      </c>
      <c r="N94" s="52">
        <f>IF(K94="","",C94-M94)</f>
        <v/>
      </c>
      <c r="O94" s="53">
        <f>IF(OR(A94="",K94=""),"",IF(H94&lt;&gt;"","Manual pair",IF(D94&lt;&gt;"","Reference / ID",MatchMode)))</f>
        <v/>
      </c>
      <c r="P94" s="54">
        <f>IF(I94="","",I94&amp;"|"&amp;J94)</f>
        <v/>
      </c>
      <c r="Q94" s="54">
        <f>IF(L94="Matched",COUNTIF($L$5:L94,"Matched"),"")</f>
        <v/>
      </c>
      <c r="R94" s="54">
        <f>IF(L94="Unmatched",COUNTIF($L$5:L94,"Unmatched"),"")</f>
        <v/>
      </c>
      <c r="S94" s="54">
        <f>IF(L94="Difference",COUNTIF($L$5:L94,"Difference"),"")</f>
        <v/>
      </c>
      <c r="T94" s="55">
        <f>IF(L94="Difference",ABS(N94),0)</f>
        <v/>
      </c>
    </row>
    <row r="95" ht="17" customHeight="1">
      <c r="A95" s="86" t="n"/>
      <c r="B95" s="46" t="n"/>
      <c r="C95" s="47" t="n"/>
      <c r="D95" s="46" t="n"/>
      <c r="E95" s="46" t="n"/>
      <c r="F95" s="46" t="n"/>
      <c r="G95" s="48" t="n"/>
      <c r="H95" s="48" t="n"/>
      <c r="I95" s="49">
        <f>IF(A95="","",IF(H95&lt;&gt;"","M|"&amp;TRIM(H95),IF(AND(MatchMode="Reference / ID only",D95=""),"U|"&amp;ROW(),IF(D95&lt;&gt;"","R|"&amp;TRIM(D95),IF(MatchMode="Amount only","A|"&amp;TEXT(ROUND(C95,2),"0.00"),IF(MatchMode="Amount (tolerance)","T|"&amp;TEXT(ROUND(C95/MAX(N(Tolerance),0.0001),0),"0"),IF(MatchMode="Date + amount (tolerance)","DT|"&amp;TEXT(A95,"yyyy-mm-dd")&amp;"|"&amp;TEXT(ROUND(C95/MAX(N(Tolerance),0.0001),0),"0"),IF(MatchMode="Description (exact)","S|"&amp;LOWER(TRIM(B95)),IF(MatchMode="Reference / ID only","U|"&amp;ROW(),"DA|"&amp;TEXT(A95,"yyyy-mm-dd")&amp;"|"&amp;TEXT(ROUND(C95,2),"0.00"))))))))))</f>
        <v/>
      </c>
      <c r="J95" s="50">
        <f>IF(I95="","",COUNTIF($I$5:I95,I95))</f>
        <v/>
      </c>
      <c r="K95" s="50">
        <f>IF(P95="","",IFERROR(MATCH(P95,ListB_Combo,0)+4,""))</f>
        <v/>
      </c>
      <c r="L95" s="51">
        <f>IF(A95="","",IF(K95="","Unmatched",IF(ABS(C95-M95)&lt;=MAX(N(Tolerance),0),"Matched","Difference")))</f>
        <v/>
      </c>
      <c r="M95" s="52">
        <f>IF(K95="","",INDEX('List B'!$C$5:$C$204,K95-4))</f>
        <v/>
      </c>
      <c r="N95" s="52">
        <f>IF(K95="","",C95-M95)</f>
        <v/>
      </c>
      <c r="O95" s="53">
        <f>IF(OR(A95="",K95=""),"",IF(H95&lt;&gt;"","Manual pair",IF(D95&lt;&gt;"","Reference / ID",MatchMode)))</f>
        <v/>
      </c>
      <c r="P95" s="54">
        <f>IF(I95="","",I95&amp;"|"&amp;J95)</f>
        <v/>
      </c>
      <c r="Q95" s="54">
        <f>IF(L95="Matched",COUNTIF($L$5:L95,"Matched"),"")</f>
        <v/>
      </c>
      <c r="R95" s="54">
        <f>IF(L95="Unmatched",COUNTIF($L$5:L95,"Unmatched"),"")</f>
        <v/>
      </c>
      <c r="S95" s="54">
        <f>IF(L95="Difference",COUNTIF($L$5:L95,"Difference"),"")</f>
        <v/>
      </c>
      <c r="T95" s="55">
        <f>IF(L95="Difference",ABS(N95),0)</f>
        <v/>
      </c>
    </row>
    <row r="96" ht="17" customHeight="1">
      <c r="A96" s="86" t="n"/>
      <c r="B96" s="46" t="n"/>
      <c r="C96" s="47" t="n"/>
      <c r="D96" s="46" t="n"/>
      <c r="E96" s="46" t="n"/>
      <c r="F96" s="46" t="n"/>
      <c r="G96" s="48" t="n"/>
      <c r="H96" s="48" t="n"/>
      <c r="I96" s="49">
        <f>IF(A96="","",IF(H96&lt;&gt;"","M|"&amp;TRIM(H96),IF(AND(MatchMode="Reference / ID only",D96=""),"U|"&amp;ROW(),IF(D96&lt;&gt;"","R|"&amp;TRIM(D96),IF(MatchMode="Amount only","A|"&amp;TEXT(ROUND(C96,2),"0.00"),IF(MatchMode="Amount (tolerance)","T|"&amp;TEXT(ROUND(C96/MAX(N(Tolerance),0.0001),0),"0"),IF(MatchMode="Date + amount (tolerance)","DT|"&amp;TEXT(A96,"yyyy-mm-dd")&amp;"|"&amp;TEXT(ROUND(C96/MAX(N(Tolerance),0.0001),0),"0"),IF(MatchMode="Description (exact)","S|"&amp;LOWER(TRIM(B96)),IF(MatchMode="Reference / ID only","U|"&amp;ROW(),"DA|"&amp;TEXT(A96,"yyyy-mm-dd")&amp;"|"&amp;TEXT(ROUND(C96,2),"0.00"))))))))))</f>
        <v/>
      </c>
      <c r="J96" s="50">
        <f>IF(I96="","",COUNTIF($I$5:I96,I96))</f>
        <v/>
      </c>
      <c r="K96" s="50">
        <f>IF(P96="","",IFERROR(MATCH(P96,ListB_Combo,0)+4,""))</f>
        <v/>
      </c>
      <c r="L96" s="51">
        <f>IF(A96="","",IF(K96="","Unmatched",IF(ABS(C96-M96)&lt;=MAX(N(Tolerance),0),"Matched","Difference")))</f>
        <v/>
      </c>
      <c r="M96" s="52">
        <f>IF(K96="","",INDEX('List B'!$C$5:$C$204,K96-4))</f>
        <v/>
      </c>
      <c r="N96" s="52">
        <f>IF(K96="","",C96-M96)</f>
        <v/>
      </c>
      <c r="O96" s="53">
        <f>IF(OR(A96="",K96=""),"",IF(H96&lt;&gt;"","Manual pair",IF(D96&lt;&gt;"","Reference / ID",MatchMode)))</f>
        <v/>
      </c>
      <c r="P96" s="54">
        <f>IF(I96="","",I96&amp;"|"&amp;J96)</f>
        <v/>
      </c>
      <c r="Q96" s="54">
        <f>IF(L96="Matched",COUNTIF($L$5:L96,"Matched"),"")</f>
        <v/>
      </c>
      <c r="R96" s="54">
        <f>IF(L96="Unmatched",COUNTIF($L$5:L96,"Unmatched"),"")</f>
        <v/>
      </c>
      <c r="S96" s="54">
        <f>IF(L96="Difference",COUNTIF($L$5:L96,"Difference"),"")</f>
        <v/>
      </c>
      <c r="T96" s="55">
        <f>IF(L96="Difference",ABS(N96),0)</f>
        <v/>
      </c>
    </row>
    <row r="97" ht="17" customHeight="1">
      <c r="A97" s="86" t="n"/>
      <c r="B97" s="46" t="n"/>
      <c r="C97" s="47" t="n"/>
      <c r="D97" s="46" t="n"/>
      <c r="E97" s="46" t="n"/>
      <c r="F97" s="46" t="n"/>
      <c r="G97" s="48" t="n"/>
      <c r="H97" s="48" t="n"/>
      <c r="I97" s="49">
        <f>IF(A97="","",IF(H97&lt;&gt;"","M|"&amp;TRIM(H97),IF(AND(MatchMode="Reference / ID only",D97=""),"U|"&amp;ROW(),IF(D97&lt;&gt;"","R|"&amp;TRIM(D97),IF(MatchMode="Amount only","A|"&amp;TEXT(ROUND(C97,2),"0.00"),IF(MatchMode="Amount (tolerance)","T|"&amp;TEXT(ROUND(C97/MAX(N(Tolerance),0.0001),0),"0"),IF(MatchMode="Date + amount (tolerance)","DT|"&amp;TEXT(A97,"yyyy-mm-dd")&amp;"|"&amp;TEXT(ROUND(C97/MAX(N(Tolerance),0.0001),0),"0"),IF(MatchMode="Description (exact)","S|"&amp;LOWER(TRIM(B97)),IF(MatchMode="Reference / ID only","U|"&amp;ROW(),"DA|"&amp;TEXT(A97,"yyyy-mm-dd")&amp;"|"&amp;TEXT(ROUND(C97,2),"0.00"))))))))))</f>
        <v/>
      </c>
      <c r="J97" s="50">
        <f>IF(I97="","",COUNTIF($I$5:I97,I97))</f>
        <v/>
      </c>
      <c r="K97" s="50">
        <f>IF(P97="","",IFERROR(MATCH(P97,ListB_Combo,0)+4,""))</f>
        <v/>
      </c>
      <c r="L97" s="51">
        <f>IF(A97="","",IF(K97="","Unmatched",IF(ABS(C97-M97)&lt;=MAX(N(Tolerance),0),"Matched","Difference")))</f>
        <v/>
      </c>
      <c r="M97" s="52">
        <f>IF(K97="","",INDEX('List B'!$C$5:$C$204,K97-4))</f>
        <v/>
      </c>
      <c r="N97" s="52">
        <f>IF(K97="","",C97-M97)</f>
        <v/>
      </c>
      <c r="O97" s="53">
        <f>IF(OR(A97="",K97=""),"",IF(H97&lt;&gt;"","Manual pair",IF(D97&lt;&gt;"","Reference / ID",MatchMode)))</f>
        <v/>
      </c>
      <c r="P97" s="54">
        <f>IF(I97="","",I97&amp;"|"&amp;J97)</f>
        <v/>
      </c>
      <c r="Q97" s="54">
        <f>IF(L97="Matched",COUNTIF($L$5:L97,"Matched"),"")</f>
        <v/>
      </c>
      <c r="R97" s="54">
        <f>IF(L97="Unmatched",COUNTIF($L$5:L97,"Unmatched"),"")</f>
        <v/>
      </c>
      <c r="S97" s="54">
        <f>IF(L97="Difference",COUNTIF($L$5:L97,"Difference"),"")</f>
        <v/>
      </c>
      <c r="T97" s="55">
        <f>IF(L97="Difference",ABS(N97),0)</f>
        <v/>
      </c>
    </row>
    <row r="98" ht="17" customHeight="1">
      <c r="A98" s="86" t="n"/>
      <c r="B98" s="46" t="n"/>
      <c r="C98" s="47" t="n"/>
      <c r="D98" s="46" t="n"/>
      <c r="E98" s="46" t="n"/>
      <c r="F98" s="46" t="n"/>
      <c r="G98" s="48" t="n"/>
      <c r="H98" s="48" t="n"/>
      <c r="I98" s="49">
        <f>IF(A98="","",IF(H98&lt;&gt;"","M|"&amp;TRIM(H98),IF(AND(MatchMode="Reference / ID only",D98=""),"U|"&amp;ROW(),IF(D98&lt;&gt;"","R|"&amp;TRIM(D98),IF(MatchMode="Amount only","A|"&amp;TEXT(ROUND(C98,2),"0.00"),IF(MatchMode="Amount (tolerance)","T|"&amp;TEXT(ROUND(C98/MAX(N(Tolerance),0.0001),0),"0"),IF(MatchMode="Date + amount (tolerance)","DT|"&amp;TEXT(A98,"yyyy-mm-dd")&amp;"|"&amp;TEXT(ROUND(C98/MAX(N(Tolerance),0.0001),0),"0"),IF(MatchMode="Description (exact)","S|"&amp;LOWER(TRIM(B98)),IF(MatchMode="Reference / ID only","U|"&amp;ROW(),"DA|"&amp;TEXT(A98,"yyyy-mm-dd")&amp;"|"&amp;TEXT(ROUND(C98,2),"0.00"))))))))))</f>
        <v/>
      </c>
      <c r="J98" s="50">
        <f>IF(I98="","",COUNTIF($I$5:I98,I98))</f>
        <v/>
      </c>
      <c r="K98" s="50">
        <f>IF(P98="","",IFERROR(MATCH(P98,ListB_Combo,0)+4,""))</f>
        <v/>
      </c>
      <c r="L98" s="51">
        <f>IF(A98="","",IF(K98="","Unmatched",IF(ABS(C98-M98)&lt;=MAX(N(Tolerance),0),"Matched","Difference")))</f>
        <v/>
      </c>
      <c r="M98" s="52">
        <f>IF(K98="","",INDEX('List B'!$C$5:$C$204,K98-4))</f>
        <v/>
      </c>
      <c r="N98" s="52">
        <f>IF(K98="","",C98-M98)</f>
        <v/>
      </c>
      <c r="O98" s="53">
        <f>IF(OR(A98="",K98=""),"",IF(H98&lt;&gt;"","Manual pair",IF(D98&lt;&gt;"","Reference / ID",MatchMode)))</f>
        <v/>
      </c>
      <c r="P98" s="54">
        <f>IF(I98="","",I98&amp;"|"&amp;J98)</f>
        <v/>
      </c>
      <c r="Q98" s="54">
        <f>IF(L98="Matched",COUNTIF($L$5:L98,"Matched"),"")</f>
        <v/>
      </c>
      <c r="R98" s="54">
        <f>IF(L98="Unmatched",COUNTIF($L$5:L98,"Unmatched"),"")</f>
        <v/>
      </c>
      <c r="S98" s="54">
        <f>IF(L98="Difference",COUNTIF($L$5:L98,"Difference"),"")</f>
        <v/>
      </c>
      <c r="T98" s="55">
        <f>IF(L98="Difference",ABS(N98),0)</f>
        <v/>
      </c>
    </row>
    <row r="99" ht="17" customHeight="1">
      <c r="A99" s="86" t="n"/>
      <c r="B99" s="46" t="n"/>
      <c r="C99" s="47" t="n"/>
      <c r="D99" s="46" t="n"/>
      <c r="E99" s="46" t="n"/>
      <c r="F99" s="46" t="n"/>
      <c r="G99" s="48" t="n"/>
      <c r="H99" s="48" t="n"/>
      <c r="I99" s="49">
        <f>IF(A99="","",IF(H99&lt;&gt;"","M|"&amp;TRIM(H99),IF(AND(MatchMode="Reference / ID only",D99=""),"U|"&amp;ROW(),IF(D99&lt;&gt;"","R|"&amp;TRIM(D99),IF(MatchMode="Amount only","A|"&amp;TEXT(ROUND(C99,2),"0.00"),IF(MatchMode="Amount (tolerance)","T|"&amp;TEXT(ROUND(C99/MAX(N(Tolerance),0.0001),0),"0"),IF(MatchMode="Date + amount (tolerance)","DT|"&amp;TEXT(A99,"yyyy-mm-dd")&amp;"|"&amp;TEXT(ROUND(C99/MAX(N(Tolerance),0.0001),0),"0"),IF(MatchMode="Description (exact)","S|"&amp;LOWER(TRIM(B99)),IF(MatchMode="Reference / ID only","U|"&amp;ROW(),"DA|"&amp;TEXT(A99,"yyyy-mm-dd")&amp;"|"&amp;TEXT(ROUND(C99,2),"0.00"))))))))))</f>
        <v/>
      </c>
      <c r="J99" s="50">
        <f>IF(I99="","",COUNTIF($I$5:I99,I99))</f>
        <v/>
      </c>
      <c r="K99" s="50">
        <f>IF(P99="","",IFERROR(MATCH(P99,ListB_Combo,0)+4,""))</f>
        <v/>
      </c>
      <c r="L99" s="51">
        <f>IF(A99="","",IF(K99="","Unmatched",IF(ABS(C99-M99)&lt;=MAX(N(Tolerance),0),"Matched","Difference")))</f>
        <v/>
      </c>
      <c r="M99" s="52">
        <f>IF(K99="","",INDEX('List B'!$C$5:$C$204,K99-4))</f>
        <v/>
      </c>
      <c r="N99" s="52">
        <f>IF(K99="","",C99-M99)</f>
        <v/>
      </c>
      <c r="O99" s="53">
        <f>IF(OR(A99="",K99=""),"",IF(H99&lt;&gt;"","Manual pair",IF(D99&lt;&gt;"","Reference / ID",MatchMode)))</f>
        <v/>
      </c>
      <c r="P99" s="54">
        <f>IF(I99="","",I99&amp;"|"&amp;J99)</f>
        <v/>
      </c>
      <c r="Q99" s="54">
        <f>IF(L99="Matched",COUNTIF($L$5:L99,"Matched"),"")</f>
        <v/>
      </c>
      <c r="R99" s="54">
        <f>IF(L99="Unmatched",COUNTIF($L$5:L99,"Unmatched"),"")</f>
        <v/>
      </c>
      <c r="S99" s="54">
        <f>IF(L99="Difference",COUNTIF($L$5:L99,"Difference"),"")</f>
        <v/>
      </c>
      <c r="T99" s="55">
        <f>IF(L99="Difference",ABS(N99),0)</f>
        <v/>
      </c>
    </row>
    <row r="100" ht="17" customHeight="1">
      <c r="A100" s="86" t="n"/>
      <c r="B100" s="46" t="n"/>
      <c r="C100" s="47" t="n"/>
      <c r="D100" s="46" t="n"/>
      <c r="E100" s="46" t="n"/>
      <c r="F100" s="46" t="n"/>
      <c r="G100" s="48" t="n"/>
      <c r="H100" s="48" t="n"/>
      <c r="I100" s="49">
        <f>IF(A100="","",IF(H100&lt;&gt;"","M|"&amp;TRIM(H100),IF(AND(MatchMode="Reference / ID only",D100=""),"U|"&amp;ROW(),IF(D100&lt;&gt;"","R|"&amp;TRIM(D100),IF(MatchMode="Amount only","A|"&amp;TEXT(ROUND(C100,2),"0.00"),IF(MatchMode="Amount (tolerance)","T|"&amp;TEXT(ROUND(C100/MAX(N(Tolerance),0.0001),0),"0"),IF(MatchMode="Date + amount (tolerance)","DT|"&amp;TEXT(A100,"yyyy-mm-dd")&amp;"|"&amp;TEXT(ROUND(C100/MAX(N(Tolerance),0.0001),0),"0"),IF(MatchMode="Description (exact)","S|"&amp;LOWER(TRIM(B100)),IF(MatchMode="Reference / ID only","U|"&amp;ROW(),"DA|"&amp;TEXT(A100,"yyyy-mm-dd")&amp;"|"&amp;TEXT(ROUND(C100,2),"0.00"))))))))))</f>
        <v/>
      </c>
      <c r="J100" s="50">
        <f>IF(I100="","",COUNTIF($I$5:I100,I100))</f>
        <v/>
      </c>
      <c r="K100" s="50">
        <f>IF(P100="","",IFERROR(MATCH(P100,ListB_Combo,0)+4,""))</f>
        <v/>
      </c>
      <c r="L100" s="51">
        <f>IF(A100="","",IF(K100="","Unmatched",IF(ABS(C100-M100)&lt;=MAX(N(Tolerance),0),"Matched","Difference")))</f>
        <v/>
      </c>
      <c r="M100" s="52">
        <f>IF(K100="","",INDEX('List B'!$C$5:$C$204,K100-4))</f>
        <v/>
      </c>
      <c r="N100" s="52">
        <f>IF(K100="","",C100-M100)</f>
        <v/>
      </c>
      <c r="O100" s="53">
        <f>IF(OR(A100="",K100=""),"",IF(H100&lt;&gt;"","Manual pair",IF(D100&lt;&gt;"","Reference / ID",MatchMode)))</f>
        <v/>
      </c>
      <c r="P100" s="54">
        <f>IF(I100="","",I100&amp;"|"&amp;J100)</f>
        <v/>
      </c>
      <c r="Q100" s="54">
        <f>IF(L100="Matched",COUNTIF($L$5:L100,"Matched"),"")</f>
        <v/>
      </c>
      <c r="R100" s="54">
        <f>IF(L100="Unmatched",COUNTIF($L$5:L100,"Unmatched"),"")</f>
        <v/>
      </c>
      <c r="S100" s="54">
        <f>IF(L100="Difference",COUNTIF($L$5:L100,"Difference"),"")</f>
        <v/>
      </c>
      <c r="T100" s="55">
        <f>IF(L100="Difference",ABS(N100),0)</f>
        <v/>
      </c>
    </row>
    <row r="101" ht="17" customHeight="1">
      <c r="A101" s="86" t="n"/>
      <c r="B101" s="46" t="n"/>
      <c r="C101" s="47" t="n"/>
      <c r="D101" s="46" t="n"/>
      <c r="E101" s="46" t="n"/>
      <c r="F101" s="46" t="n"/>
      <c r="G101" s="48" t="n"/>
      <c r="H101" s="48" t="n"/>
      <c r="I101" s="49">
        <f>IF(A101="","",IF(H101&lt;&gt;"","M|"&amp;TRIM(H101),IF(AND(MatchMode="Reference / ID only",D101=""),"U|"&amp;ROW(),IF(D101&lt;&gt;"","R|"&amp;TRIM(D101),IF(MatchMode="Amount only","A|"&amp;TEXT(ROUND(C101,2),"0.00"),IF(MatchMode="Amount (tolerance)","T|"&amp;TEXT(ROUND(C101/MAX(N(Tolerance),0.0001),0),"0"),IF(MatchMode="Date + amount (tolerance)","DT|"&amp;TEXT(A101,"yyyy-mm-dd")&amp;"|"&amp;TEXT(ROUND(C101/MAX(N(Tolerance),0.0001),0),"0"),IF(MatchMode="Description (exact)","S|"&amp;LOWER(TRIM(B101)),IF(MatchMode="Reference / ID only","U|"&amp;ROW(),"DA|"&amp;TEXT(A101,"yyyy-mm-dd")&amp;"|"&amp;TEXT(ROUND(C101,2),"0.00"))))))))))</f>
        <v/>
      </c>
      <c r="J101" s="50">
        <f>IF(I101="","",COUNTIF($I$5:I101,I101))</f>
        <v/>
      </c>
      <c r="K101" s="50">
        <f>IF(P101="","",IFERROR(MATCH(P101,ListB_Combo,0)+4,""))</f>
        <v/>
      </c>
      <c r="L101" s="51">
        <f>IF(A101="","",IF(K101="","Unmatched",IF(ABS(C101-M101)&lt;=MAX(N(Tolerance),0),"Matched","Difference")))</f>
        <v/>
      </c>
      <c r="M101" s="52">
        <f>IF(K101="","",INDEX('List B'!$C$5:$C$204,K101-4))</f>
        <v/>
      </c>
      <c r="N101" s="52">
        <f>IF(K101="","",C101-M101)</f>
        <v/>
      </c>
      <c r="O101" s="53">
        <f>IF(OR(A101="",K101=""),"",IF(H101&lt;&gt;"","Manual pair",IF(D101&lt;&gt;"","Reference / ID",MatchMode)))</f>
        <v/>
      </c>
      <c r="P101" s="54">
        <f>IF(I101="","",I101&amp;"|"&amp;J101)</f>
        <v/>
      </c>
      <c r="Q101" s="54">
        <f>IF(L101="Matched",COUNTIF($L$5:L101,"Matched"),"")</f>
        <v/>
      </c>
      <c r="R101" s="54">
        <f>IF(L101="Unmatched",COUNTIF($L$5:L101,"Unmatched"),"")</f>
        <v/>
      </c>
      <c r="S101" s="54">
        <f>IF(L101="Difference",COUNTIF($L$5:L101,"Difference"),"")</f>
        <v/>
      </c>
      <c r="T101" s="55">
        <f>IF(L101="Difference",ABS(N101),0)</f>
        <v/>
      </c>
    </row>
    <row r="102" ht="17" customHeight="1">
      <c r="A102" s="86" t="n"/>
      <c r="B102" s="46" t="n"/>
      <c r="C102" s="47" t="n"/>
      <c r="D102" s="46" t="n"/>
      <c r="E102" s="46" t="n"/>
      <c r="F102" s="46" t="n"/>
      <c r="G102" s="48" t="n"/>
      <c r="H102" s="48" t="n"/>
      <c r="I102" s="49">
        <f>IF(A102="","",IF(H102&lt;&gt;"","M|"&amp;TRIM(H102),IF(AND(MatchMode="Reference / ID only",D102=""),"U|"&amp;ROW(),IF(D102&lt;&gt;"","R|"&amp;TRIM(D102),IF(MatchMode="Amount only","A|"&amp;TEXT(ROUND(C102,2),"0.00"),IF(MatchMode="Amount (tolerance)","T|"&amp;TEXT(ROUND(C102/MAX(N(Tolerance),0.0001),0),"0"),IF(MatchMode="Date + amount (tolerance)","DT|"&amp;TEXT(A102,"yyyy-mm-dd")&amp;"|"&amp;TEXT(ROUND(C102/MAX(N(Tolerance),0.0001),0),"0"),IF(MatchMode="Description (exact)","S|"&amp;LOWER(TRIM(B102)),IF(MatchMode="Reference / ID only","U|"&amp;ROW(),"DA|"&amp;TEXT(A102,"yyyy-mm-dd")&amp;"|"&amp;TEXT(ROUND(C102,2),"0.00"))))))))))</f>
        <v/>
      </c>
      <c r="J102" s="50">
        <f>IF(I102="","",COUNTIF($I$5:I102,I102))</f>
        <v/>
      </c>
      <c r="K102" s="50">
        <f>IF(P102="","",IFERROR(MATCH(P102,ListB_Combo,0)+4,""))</f>
        <v/>
      </c>
      <c r="L102" s="51">
        <f>IF(A102="","",IF(K102="","Unmatched",IF(ABS(C102-M102)&lt;=MAX(N(Tolerance),0),"Matched","Difference")))</f>
        <v/>
      </c>
      <c r="M102" s="52">
        <f>IF(K102="","",INDEX('List B'!$C$5:$C$204,K102-4))</f>
        <v/>
      </c>
      <c r="N102" s="52">
        <f>IF(K102="","",C102-M102)</f>
        <v/>
      </c>
      <c r="O102" s="53">
        <f>IF(OR(A102="",K102=""),"",IF(H102&lt;&gt;"","Manual pair",IF(D102&lt;&gt;"","Reference / ID",MatchMode)))</f>
        <v/>
      </c>
      <c r="P102" s="54">
        <f>IF(I102="","",I102&amp;"|"&amp;J102)</f>
        <v/>
      </c>
      <c r="Q102" s="54">
        <f>IF(L102="Matched",COUNTIF($L$5:L102,"Matched"),"")</f>
        <v/>
      </c>
      <c r="R102" s="54">
        <f>IF(L102="Unmatched",COUNTIF($L$5:L102,"Unmatched"),"")</f>
        <v/>
      </c>
      <c r="S102" s="54">
        <f>IF(L102="Difference",COUNTIF($L$5:L102,"Difference"),"")</f>
        <v/>
      </c>
      <c r="T102" s="55">
        <f>IF(L102="Difference",ABS(N102),0)</f>
        <v/>
      </c>
    </row>
    <row r="103" ht="17" customHeight="1">
      <c r="A103" s="86" t="n"/>
      <c r="B103" s="46" t="n"/>
      <c r="C103" s="47" t="n"/>
      <c r="D103" s="46" t="n"/>
      <c r="E103" s="46" t="n"/>
      <c r="F103" s="46" t="n"/>
      <c r="G103" s="48" t="n"/>
      <c r="H103" s="48" t="n"/>
      <c r="I103" s="49">
        <f>IF(A103="","",IF(H103&lt;&gt;"","M|"&amp;TRIM(H103),IF(AND(MatchMode="Reference / ID only",D103=""),"U|"&amp;ROW(),IF(D103&lt;&gt;"","R|"&amp;TRIM(D103),IF(MatchMode="Amount only","A|"&amp;TEXT(ROUND(C103,2),"0.00"),IF(MatchMode="Amount (tolerance)","T|"&amp;TEXT(ROUND(C103/MAX(N(Tolerance),0.0001),0),"0"),IF(MatchMode="Date + amount (tolerance)","DT|"&amp;TEXT(A103,"yyyy-mm-dd")&amp;"|"&amp;TEXT(ROUND(C103/MAX(N(Tolerance),0.0001),0),"0"),IF(MatchMode="Description (exact)","S|"&amp;LOWER(TRIM(B103)),IF(MatchMode="Reference / ID only","U|"&amp;ROW(),"DA|"&amp;TEXT(A103,"yyyy-mm-dd")&amp;"|"&amp;TEXT(ROUND(C103,2),"0.00"))))))))))</f>
        <v/>
      </c>
      <c r="J103" s="50">
        <f>IF(I103="","",COUNTIF($I$5:I103,I103))</f>
        <v/>
      </c>
      <c r="K103" s="50">
        <f>IF(P103="","",IFERROR(MATCH(P103,ListB_Combo,0)+4,""))</f>
        <v/>
      </c>
      <c r="L103" s="51">
        <f>IF(A103="","",IF(K103="","Unmatched",IF(ABS(C103-M103)&lt;=MAX(N(Tolerance),0),"Matched","Difference")))</f>
        <v/>
      </c>
      <c r="M103" s="52">
        <f>IF(K103="","",INDEX('List B'!$C$5:$C$204,K103-4))</f>
        <v/>
      </c>
      <c r="N103" s="52">
        <f>IF(K103="","",C103-M103)</f>
        <v/>
      </c>
      <c r="O103" s="53">
        <f>IF(OR(A103="",K103=""),"",IF(H103&lt;&gt;"","Manual pair",IF(D103&lt;&gt;"","Reference / ID",MatchMode)))</f>
        <v/>
      </c>
      <c r="P103" s="54">
        <f>IF(I103="","",I103&amp;"|"&amp;J103)</f>
        <v/>
      </c>
      <c r="Q103" s="54">
        <f>IF(L103="Matched",COUNTIF($L$5:L103,"Matched"),"")</f>
        <v/>
      </c>
      <c r="R103" s="54">
        <f>IF(L103="Unmatched",COUNTIF($L$5:L103,"Unmatched"),"")</f>
        <v/>
      </c>
      <c r="S103" s="54">
        <f>IF(L103="Difference",COUNTIF($L$5:L103,"Difference"),"")</f>
        <v/>
      </c>
      <c r="T103" s="55">
        <f>IF(L103="Difference",ABS(N103),0)</f>
        <v/>
      </c>
    </row>
    <row r="104" ht="17" customHeight="1">
      <c r="A104" s="86" t="n"/>
      <c r="B104" s="46" t="n"/>
      <c r="C104" s="47" t="n"/>
      <c r="D104" s="46" t="n"/>
      <c r="E104" s="46" t="n"/>
      <c r="F104" s="46" t="n"/>
      <c r="G104" s="48" t="n"/>
      <c r="H104" s="48" t="n"/>
      <c r="I104" s="49">
        <f>IF(A104="","",IF(H104&lt;&gt;"","M|"&amp;TRIM(H104),IF(AND(MatchMode="Reference / ID only",D104=""),"U|"&amp;ROW(),IF(D104&lt;&gt;"","R|"&amp;TRIM(D104),IF(MatchMode="Amount only","A|"&amp;TEXT(ROUND(C104,2),"0.00"),IF(MatchMode="Amount (tolerance)","T|"&amp;TEXT(ROUND(C104/MAX(N(Tolerance),0.0001),0),"0"),IF(MatchMode="Date + amount (tolerance)","DT|"&amp;TEXT(A104,"yyyy-mm-dd")&amp;"|"&amp;TEXT(ROUND(C104/MAX(N(Tolerance),0.0001),0),"0"),IF(MatchMode="Description (exact)","S|"&amp;LOWER(TRIM(B104)),IF(MatchMode="Reference / ID only","U|"&amp;ROW(),"DA|"&amp;TEXT(A104,"yyyy-mm-dd")&amp;"|"&amp;TEXT(ROUND(C104,2),"0.00"))))))))))</f>
        <v/>
      </c>
      <c r="J104" s="50">
        <f>IF(I104="","",COUNTIF($I$5:I104,I104))</f>
        <v/>
      </c>
      <c r="K104" s="50">
        <f>IF(P104="","",IFERROR(MATCH(P104,ListB_Combo,0)+4,""))</f>
        <v/>
      </c>
      <c r="L104" s="51">
        <f>IF(A104="","",IF(K104="","Unmatched",IF(ABS(C104-M104)&lt;=MAX(N(Tolerance),0),"Matched","Difference")))</f>
        <v/>
      </c>
      <c r="M104" s="52">
        <f>IF(K104="","",INDEX('List B'!$C$5:$C$204,K104-4))</f>
        <v/>
      </c>
      <c r="N104" s="52">
        <f>IF(K104="","",C104-M104)</f>
        <v/>
      </c>
      <c r="O104" s="53">
        <f>IF(OR(A104="",K104=""),"",IF(H104&lt;&gt;"","Manual pair",IF(D104&lt;&gt;"","Reference / ID",MatchMode)))</f>
        <v/>
      </c>
      <c r="P104" s="54">
        <f>IF(I104="","",I104&amp;"|"&amp;J104)</f>
        <v/>
      </c>
      <c r="Q104" s="54">
        <f>IF(L104="Matched",COUNTIF($L$5:L104,"Matched"),"")</f>
        <v/>
      </c>
      <c r="R104" s="54">
        <f>IF(L104="Unmatched",COUNTIF($L$5:L104,"Unmatched"),"")</f>
        <v/>
      </c>
      <c r="S104" s="54">
        <f>IF(L104="Difference",COUNTIF($L$5:L104,"Difference"),"")</f>
        <v/>
      </c>
      <c r="T104" s="55">
        <f>IF(L104="Difference",ABS(N104),0)</f>
        <v/>
      </c>
    </row>
    <row r="105" ht="17" customHeight="1">
      <c r="A105" s="86" t="n"/>
      <c r="B105" s="46" t="n"/>
      <c r="C105" s="47" t="n"/>
      <c r="D105" s="46" t="n"/>
      <c r="E105" s="46" t="n"/>
      <c r="F105" s="46" t="n"/>
      <c r="G105" s="48" t="n"/>
      <c r="H105" s="48" t="n"/>
      <c r="I105" s="49">
        <f>IF(A105="","",IF(H105&lt;&gt;"","M|"&amp;TRIM(H105),IF(AND(MatchMode="Reference / ID only",D105=""),"U|"&amp;ROW(),IF(D105&lt;&gt;"","R|"&amp;TRIM(D105),IF(MatchMode="Amount only","A|"&amp;TEXT(ROUND(C105,2),"0.00"),IF(MatchMode="Amount (tolerance)","T|"&amp;TEXT(ROUND(C105/MAX(N(Tolerance),0.0001),0),"0"),IF(MatchMode="Date + amount (tolerance)","DT|"&amp;TEXT(A105,"yyyy-mm-dd")&amp;"|"&amp;TEXT(ROUND(C105/MAX(N(Tolerance),0.0001),0),"0"),IF(MatchMode="Description (exact)","S|"&amp;LOWER(TRIM(B105)),IF(MatchMode="Reference / ID only","U|"&amp;ROW(),"DA|"&amp;TEXT(A105,"yyyy-mm-dd")&amp;"|"&amp;TEXT(ROUND(C105,2),"0.00"))))))))))</f>
        <v/>
      </c>
      <c r="J105" s="50">
        <f>IF(I105="","",COUNTIF($I$5:I105,I105))</f>
        <v/>
      </c>
      <c r="K105" s="50">
        <f>IF(P105="","",IFERROR(MATCH(P105,ListB_Combo,0)+4,""))</f>
        <v/>
      </c>
      <c r="L105" s="51">
        <f>IF(A105="","",IF(K105="","Unmatched",IF(ABS(C105-M105)&lt;=MAX(N(Tolerance),0),"Matched","Difference")))</f>
        <v/>
      </c>
      <c r="M105" s="52">
        <f>IF(K105="","",INDEX('List B'!$C$5:$C$204,K105-4))</f>
        <v/>
      </c>
      <c r="N105" s="52">
        <f>IF(K105="","",C105-M105)</f>
        <v/>
      </c>
      <c r="O105" s="53">
        <f>IF(OR(A105="",K105=""),"",IF(H105&lt;&gt;"","Manual pair",IF(D105&lt;&gt;"","Reference / ID",MatchMode)))</f>
        <v/>
      </c>
      <c r="P105" s="54">
        <f>IF(I105="","",I105&amp;"|"&amp;J105)</f>
        <v/>
      </c>
      <c r="Q105" s="54">
        <f>IF(L105="Matched",COUNTIF($L$5:L105,"Matched"),"")</f>
        <v/>
      </c>
      <c r="R105" s="54">
        <f>IF(L105="Unmatched",COUNTIF($L$5:L105,"Unmatched"),"")</f>
        <v/>
      </c>
      <c r="S105" s="54">
        <f>IF(L105="Difference",COUNTIF($L$5:L105,"Difference"),"")</f>
        <v/>
      </c>
      <c r="T105" s="55">
        <f>IF(L105="Difference",ABS(N105),0)</f>
        <v/>
      </c>
    </row>
    <row r="106" ht="17" customHeight="1">
      <c r="A106" s="86" t="n"/>
      <c r="B106" s="46" t="n"/>
      <c r="C106" s="47" t="n"/>
      <c r="D106" s="46" t="n"/>
      <c r="E106" s="46" t="n"/>
      <c r="F106" s="46" t="n"/>
      <c r="G106" s="48" t="n"/>
      <c r="H106" s="48" t="n"/>
      <c r="I106" s="49">
        <f>IF(A106="","",IF(H106&lt;&gt;"","M|"&amp;TRIM(H106),IF(AND(MatchMode="Reference / ID only",D106=""),"U|"&amp;ROW(),IF(D106&lt;&gt;"","R|"&amp;TRIM(D106),IF(MatchMode="Amount only","A|"&amp;TEXT(ROUND(C106,2),"0.00"),IF(MatchMode="Amount (tolerance)","T|"&amp;TEXT(ROUND(C106/MAX(N(Tolerance),0.0001),0),"0"),IF(MatchMode="Date + amount (tolerance)","DT|"&amp;TEXT(A106,"yyyy-mm-dd")&amp;"|"&amp;TEXT(ROUND(C106/MAX(N(Tolerance),0.0001),0),"0"),IF(MatchMode="Description (exact)","S|"&amp;LOWER(TRIM(B106)),IF(MatchMode="Reference / ID only","U|"&amp;ROW(),"DA|"&amp;TEXT(A106,"yyyy-mm-dd")&amp;"|"&amp;TEXT(ROUND(C106,2),"0.00"))))))))))</f>
        <v/>
      </c>
      <c r="J106" s="50">
        <f>IF(I106="","",COUNTIF($I$5:I106,I106))</f>
        <v/>
      </c>
      <c r="K106" s="50">
        <f>IF(P106="","",IFERROR(MATCH(P106,ListB_Combo,0)+4,""))</f>
        <v/>
      </c>
      <c r="L106" s="51">
        <f>IF(A106="","",IF(K106="","Unmatched",IF(ABS(C106-M106)&lt;=MAX(N(Tolerance),0),"Matched","Difference")))</f>
        <v/>
      </c>
      <c r="M106" s="52">
        <f>IF(K106="","",INDEX('List B'!$C$5:$C$204,K106-4))</f>
        <v/>
      </c>
      <c r="N106" s="52">
        <f>IF(K106="","",C106-M106)</f>
        <v/>
      </c>
      <c r="O106" s="53">
        <f>IF(OR(A106="",K106=""),"",IF(H106&lt;&gt;"","Manual pair",IF(D106&lt;&gt;"","Reference / ID",MatchMode)))</f>
        <v/>
      </c>
      <c r="P106" s="54">
        <f>IF(I106="","",I106&amp;"|"&amp;J106)</f>
        <v/>
      </c>
      <c r="Q106" s="54">
        <f>IF(L106="Matched",COUNTIF($L$5:L106,"Matched"),"")</f>
        <v/>
      </c>
      <c r="R106" s="54">
        <f>IF(L106="Unmatched",COUNTIF($L$5:L106,"Unmatched"),"")</f>
        <v/>
      </c>
      <c r="S106" s="54">
        <f>IF(L106="Difference",COUNTIF($L$5:L106,"Difference"),"")</f>
        <v/>
      </c>
      <c r="T106" s="55">
        <f>IF(L106="Difference",ABS(N106),0)</f>
        <v/>
      </c>
    </row>
    <row r="107" ht="17" customHeight="1">
      <c r="A107" s="86" t="n"/>
      <c r="B107" s="46" t="n"/>
      <c r="C107" s="47" t="n"/>
      <c r="D107" s="46" t="n"/>
      <c r="E107" s="46" t="n"/>
      <c r="F107" s="46" t="n"/>
      <c r="G107" s="48" t="n"/>
      <c r="H107" s="48" t="n"/>
      <c r="I107" s="49">
        <f>IF(A107="","",IF(H107&lt;&gt;"","M|"&amp;TRIM(H107),IF(AND(MatchMode="Reference / ID only",D107=""),"U|"&amp;ROW(),IF(D107&lt;&gt;"","R|"&amp;TRIM(D107),IF(MatchMode="Amount only","A|"&amp;TEXT(ROUND(C107,2),"0.00"),IF(MatchMode="Amount (tolerance)","T|"&amp;TEXT(ROUND(C107/MAX(N(Tolerance),0.0001),0),"0"),IF(MatchMode="Date + amount (tolerance)","DT|"&amp;TEXT(A107,"yyyy-mm-dd")&amp;"|"&amp;TEXT(ROUND(C107/MAX(N(Tolerance),0.0001),0),"0"),IF(MatchMode="Description (exact)","S|"&amp;LOWER(TRIM(B107)),IF(MatchMode="Reference / ID only","U|"&amp;ROW(),"DA|"&amp;TEXT(A107,"yyyy-mm-dd")&amp;"|"&amp;TEXT(ROUND(C107,2),"0.00"))))))))))</f>
        <v/>
      </c>
      <c r="J107" s="50">
        <f>IF(I107="","",COUNTIF($I$5:I107,I107))</f>
        <v/>
      </c>
      <c r="K107" s="50">
        <f>IF(P107="","",IFERROR(MATCH(P107,ListB_Combo,0)+4,""))</f>
        <v/>
      </c>
      <c r="L107" s="51">
        <f>IF(A107="","",IF(K107="","Unmatched",IF(ABS(C107-M107)&lt;=MAX(N(Tolerance),0),"Matched","Difference")))</f>
        <v/>
      </c>
      <c r="M107" s="52">
        <f>IF(K107="","",INDEX('List B'!$C$5:$C$204,K107-4))</f>
        <v/>
      </c>
      <c r="N107" s="52">
        <f>IF(K107="","",C107-M107)</f>
        <v/>
      </c>
      <c r="O107" s="53">
        <f>IF(OR(A107="",K107=""),"",IF(H107&lt;&gt;"","Manual pair",IF(D107&lt;&gt;"","Reference / ID",MatchMode)))</f>
        <v/>
      </c>
      <c r="P107" s="54">
        <f>IF(I107="","",I107&amp;"|"&amp;J107)</f>
        <v/>
      </c>
      <c r="Q107" s="54">
        <f>IF(L107="Matched",COUNTIF($L$5:L107,"Matched"),"")</f>
        <v/>
      </c>
      <c r="R107" s="54">
        <f>IF(L107="Unmatched",COUNTIF($L$5:L107,"Unmatched"),"")</f>
        <v/>
      </c>
      <c r="S107" s="54">
        <f>IF(L107="Difference",COUNTIF($L$5:L107,"Difference"),"")</f>
        <v/>
      </c>
      <c r="T107" s="55">
        <f>IF(L107="Difference",ABS(N107),0)</f>
        <v/>
      </c>
    </row>
    <row r="108" ht="17" customHeight="1">
      <c r="A108" s="86" t="n"/>
      <c r="B108" s="46" t="n"/>
      <c r="C108" s="47" t="n"/>
      <c r="D108" s="46" t="n"/>
      <c r="E108" s="46" t="n"/>
      <c r="F108" s="46" t="n"/>
      <c r="G108" s="48" t="n"/>
      <c r="H108" s="48" t="n"/>
      <c r="I108" s="49">
        <f>IF(A108="","",IF(H108&lt;&gt;"","M|"&amp;TRIM(H108),IF(AND(MatchMode="Reference / ID only",D108=""),"U|"&amp;ROW(),IF(D108&lt;&gt;"","R|"&amp;TRIM(D108),IF(MatchMode="Amount only","A|"&amp;TEXT(ROUND(C108,2),"0.00"),IF(MatchMode="Amount (tolerance)","T|"&amp;TEXT(ROUND(C108/MAX(N(Tolerance),0.0001),0),"0"),IF(MatchMode="Date + amount (tolerance)","DT|"&amp;TEXT(A108,"yyyy-mm-dd")&amp;"|"&amp;TEXT(ROUND(C108/MAX(N(Tolerance),0.0001),0),"0"),IF(MatchMode="Description (exact)","S|"&amp;LOWER(TRIM(B108)),IF(MatchMode="Reference / ID only","U|"&amp;ROW(),"DA|"&amp;TEXT(A108,"yyyy-mm-dd")&amp;"|"&amp;TEXT(ROUND(C108,2),"0.00"))))))))))</f>
        <v/>
      </c>
      <c r="J108" s="50">
        <f>IF(I108="","",COUNTIF($I$5:I108,I108))</f>
        <v/>
      </c>
      <c r="K108" s="50">
        <f>IF(P108="","",IFERROR(MATCH(P108,ListB_Combo,0)+4,""))</f>
        <v/>
      </c>
      <c r="L108" s="51">
        <f>IF(A108="","",IF(K108="","Unmatched",IF(ABS(C108-M108)&lt;=MAX(N(Tolerance),0),"Matched","Difference")))</f>
        <v/>
      </c>
      <c r="M108" s="52">
        <f>IF(K108="","",INDEX('List B'!$C$5:$C$204,K108-4))</f>
        <v/>
      </c>
      <c r="N108" s="52">
        <f>IF(K108="","",C108-M108)</f>
        <v/>
      </c>
      <c r="O108" s="53">
        <f>IF(OR(A108="",K108=""),"",IF(H108&lt;&gt;"","Manual pair",IF(D108&lt;&gt;"","Reference / ID",MatchMode)))</f>
        <v/>
      </c>
      <c r="P108" s="54">
        <f>IF(I108="","",I108&amp;"|"&amp;J108)</f>
        <v/>
      </c>
      <c r="Q108" s="54">
        <f>IF(L108="Matched",COUNTIF($L$5:L108,"Matched"),"")</f>
        <v/>
      </c>
      <c r="R108" s="54">
        <f>IF(L108="Unmatched",COUNTIF($L$5:L108,"Unmatched"),"")</f>
        <v/>
      </c>
      <c r="S108" s="54">
        <f>IF(L108="Difference",COUNTIF($L$5:L108,"Difference"),"")</f>
        <v/>
      </c>
      <c r="T108" s="55">
        <f>IF(L108="Difference",ABS(N108),0)</f>
        <v/>
      </c>
    </row>
    <row r="109" ht="17" customHeight="1">
      <c r="A109" s="86" t="n"/>
      <c r="B109" s="46" t="n"/>
      <c r="C109" s="47" t="n"/>
      <c r="D109" s="46" t="n"/>
      <c r="E109" s="46" t="n"/>
      <c r="F109" s="46" t="n"/>
      <c r="G109" s="48" t="n"/>
      <c r="H109" s="48" t="n"/>
      <c r="I109" s="49">
        <f>IF(A109="","",IF(H109&lt;&gt;"","M|"&amp;TRIM(H109),IF(AND(MatchMode="Reference / ID only",D109=""),"U|"&amp;ROW(),IF(D109&lt;&gt;"","R|"&amp;TRIM(D109),IF(MatchMode="Amount only","A|"&amp;TEXT(ROUND(C109,2),"0.00"),IF(MatchMode="Amount (tolerance)","T|"&amp;TEXT(ROUND(C109/MAX(N(Tolerance),0.0001),0),"0"),IF(MatchMode="Date + amount (tolerance)","DT|"&amp;TEXT(A109,"yyyy-mm-dd")&amp;"|"&amp;TEXT(ROUND(C109/MAX(N(Tolerance),0.0001),0),"0"),IF(MatchMode="Description (exact)","S|"&amp;LOWER(TRIM(B109)),IF(MatchMode="Reference / ID only","U|"&amp;ROW(),"DA|"&amp;TEXT(A109,"yyyy-mm-dd")&amp;"|"&amp;TEXT(ROUND(C109,2),"0.00"))))))))))</f>
        <v/>
      </c>
      <c r="J109" s="50">
        <f>IF(I109="","",COUNTIF($I$5:I109,I109))</f>
        <v/>
      </c>
      <c r="K109" s="50">
        <f>IF(P109="","",IFERROR(MATCH(P109,ListB_Combo,0)+4,""))</f>
        <v/>
      </c>
      <c r="L109" s="51">
        <f>IF(A109="","",IF(K109="","Unmatched",IF(ABS(C109-M109)&lt;=MAX(N(Tolerance),0),"Matched","Difference")))</f>
        <v/>
      </c>
      <c r="M109" s="52">
        <f>IF(K109="","",INDEX('List B'!$C$5:$C$204,K109-4))</f>
        <v/>
      </c>
      <c r="N109" s="52">
        <f>IF(K109="","",C109-M109)</f>
        <v/>
      </c>
      <c r="O109" s="53">
        <f>IF(OR(A109="",K109=""),"",IF(H109&lt;&gt;"","Manual pair",IF(D109&lt;&gt;"","Reference / ID",MatchMode)))</f>
        <v/>
      </c>
      <c r="P109" s="54">
        <f>IF(I109="","",I109&amp;"|"&amp;J109)</f>
        <v/>
      </c>
      <c r="Q109" s="54">
        <f>IF(L109="Matched",COUNTIF($L$5:L109,"Matched"),"")</f>
        <v/>
      </c>
      <c r="R109" s="54">
        <f>IF(L109="Unmatched",COUNTIF($L$5:L109,"Unmatched"),"")</f>
        <v/>
      </c>
      <c r="S109" s="54">
        <f>IF(L109="Difference",COUNTIF($L$5:L109,"Difference"),"")</f>
        <v/>
      </c>
      <c r="T109" s="55">
        <f>IF(L109="Difference",ABS(N109),0)</f>
        <v/>
      </c>
    </row>
    <row r="110" ht="17" customHeight="1">
      <c r="A110" s="86" t="n"/>
      <c r="B110" s="46" t="n"/>
      <c r="C110" s="47" t="n"/>
      <c r="D110" s="46" t="n"/>
      <c r="E110" s="46" t="n"/>
      <c r="F110" s="46" t="n"/>
      <c r="G110" s="48" t="n"/>
      <c r="H110" s="48" t="n"/>
      <c r="I110" s="49">
        <f>IF(A110="","",IF(H110&lt;&gt;"","M|"&amp;TRIM(H110),IF(AND(MatchMode="Reference / ID only",D110=""),"U|"&amp;ROW(),IF(D110&lt;&gt;"","R|"&amp;TRIM(D110),IF(MatchMode="Amount only","A|"&amp;TEXT(ROUND(C110,2),"0.00"),IF(MatchMode="Amount (tolerance)","T|"&amp;TEXT(ROUND(C110/MAX(N(Tolerance),0.0001),0),"0"),IF(MatchMode="Date + amount (tolerance)","DT|"&amp;TEXT(A110,"yyyy-mm-dd")&amp;"|"&amp;TEXT(ROUND(C110/MAX(N(Tolerance),0.0001),0),"0"),IF(MatchMode="Description (exact)","S|"&amp;LOWER(TRIM(B110)),IF(MatchMode="Reference / ID only","U|"&amp;ROW(),"DA|"&amp;TEXT(A110,"yyyy-mm-dd")&amp;"|"&amp;TEXT(ROUND(C110,2),"0.00"))))))))))</f>
        <v/>
      </c>
      <c r="J110" s="50">
        <f>IF(I110="","",COUNTIF($I$5:I110,I110))</f>
        <v/>
      </c>
      <c r="K110" s="50">
        <f>IF(P110="","",IFERROR(MATCH(P110,ListB_Combo,0)+4,""))</f>
        <v/>
      </c>
      <c r="L110" s="51">
        <f>IF(A110="","",IF(K110="","Unmatched",IF(ABS(C110-M110)&lt;=MAX(N(Tolerance),0),"Matched","Difference")))</f>
        <v/>
      </c>
      <c r="M110" s="52">
        <f>IF(K110="","",INDEX('List B'!$C$5:$C$204,K110-4))</f>
        <v/>
      </c>
      <c r="N110" s="52">
        <f>IF(K110="","",C110-M110)</f>
        <v/>
      </c>
      <c r="O110" s="53">
        <f>IF(OR(A110="",K110=""),"",IF(H110&lt;&gt;"","Manual pair",IF(D110&lt;&gt;"","Reference / ID",MatchMode)))</f>
        <v/>
      </c>
      <c r="P110" s="54">
        <f>IF(I110="","",I110&amp;"|"&amp;J110)</f>
        <v/>
      </c>
      <c r="Q110" s="54">
        <f>IF(L110="Matched",COUNTIF($L$5:L110,"Matched"),"")</f>
        <v/>
      </c>
      <c r="R110" s="54">
        <f>IF(L110="Unmatched",COUNTIF($L$5:L110,"Unmatched"),"")</f>
        <v/>
      </c>
      <c r="S110" s="54">
        <f>IF(L110="Difference",COUNTIF($L$5:L110,"Difference"),"")</f>
        <v/>
      </c>
      <c r="T110" s="55">
        <f>IF(L110="Difference",ABS(N110),0)</f>
        <v/>
      </c>
    </row>
    <row r="111" ht="17" customHeight="1">
      <c r="A111" s="86" t="n"/>
      <c r="B111" s="46" t="n"/>
      <c r="C111" s="47" t="n"/>
      <c r="D111" s="46" t="n"/>
      <c r="E111" s="46" t="n"/>
      <c r="F111" s="46" t="n"/>
      <c r="G111" s="48" t="n"/>
      <c r="H111" s="48" t="n"/>
      <c r="I111" s="49">
        <f>IF(A111="","",IF(H111&lt;&gt;"","M|"&amp;TRIM(H111),IF(AND(MatchMode="Reference / ID only",D111=""),"U|"&amp;ROW(),IF(D111&lt;&gt;"","R|"&amp;TRIM(D111),IF(MatchMode="Amount only","A|"&amp;TEXT(ROUND(C111,2),"0.00"),IF(MatchMode="Amount (tolerance)","T|"&amp;TEXT(ROUND(C111/MAX(N(Tolerance),0.0001),0),"0"),IF(MatchMode="Date + amount (tolerance)","DT|"&amp;TEXT(A111,"yyyy-mm-dd")&amp;"|"&amp;TEXT(ROUND(C111/MAX(N(Tolerance),0.0001),0),"0"),IF(MatchMode="Description (exact)","S|"&amp;LOWER(TRIM(B111)),IF(MatchMode="Reference / ID only","U|"&amp;ROW(),"DA|"&amp;TEXT(A111,"yyyy-mm-dd")&amp;"|"&amp;TEXT(ROUND(C111,2),"0.00"))))))))))</f>
        <v/>
      </c>
      <c r="J111" s="50">
        <f>IF(I111="","",COUNTIF($I$5:I111,I111))</f>
        <v/>
      </c>
      <c r="K111" s="50">
        <f>IF(P111="","",IFERROR(MATCH(P111,ListB_Combo,0)+4,""))</f>
        <v/>
      </c>
      <c r="L111" s="51">
        <f>IF(A111="","",IF(K111="","Unmatched",IF(ABS(C111-M111)&lt;=MAX(N(Tolerance),0),"Matched","Difference")))</f>
        <v/>
      </c>
      <c r="M111" s="52">
        <f>IF(K111="","",INDEX('List B'!$C$5:$C$204,K111-4))</f>
        <v/>
      </c>
      <c r="N111" s="52">
        <f>IF(K111="","",C111-M111)</f>
        <v/>
      </c>
      <c r="O111" s="53">
        <f>IF(OR(A111="",K111=""),"",IF(H111&lt;&gt;"","Manual pair",IF(D111&lt;&gt;"","Reference / ID",MatchMode)))</f>
        <v/>
      </c>
      <c r="P111" s="54">
        <f>IF(I111="","",I111&amp;"|"&amp;J111)</f>
        <v/>
      </c>
      <c r="Q111" s="54">
        <f>IF(L111="Matched",COUNTIF($L$5:L111,"Matched"),"")</f>
        <v/>
      </c>
      <c r="R111" s="54">
        <f>IF(L111="Unmatched",COUNTIF($L$5:L111,"Unmatched"),"")</f>
        <v/>
      </c>
      <c r="S111" s="54">
        <f>IF(L111="Difference",COUNTIF($L$5:L111,"Difference"),"")</f>
        <v/>
      </c>
      <c r="T111" s="55">
        <f>IF(L111="Difference",ABS(N111),0)</f>
        <v/>
      </c>
    </row>
    <row r="112" ht="17" customHeight="1">
      <c r="A112" s="86" t="n"/>
      <c r="B112" s="46" t="n"/>
      <c r="C112" s="47" t="n"/>
      <c r="D112" s="46" t="n"/>
      <c r="E112" s="46" t="n"/>
      <c r="F112" s="46" t="n"/>
      <c r="G112" s="48" t="n"/>
      <c r="H112" s="48" t="n"/>
      <c r="I112" s="49">
        <f>IF(A112="","",IF(H112&lt;&gt;"","M|"&amp;TRIM(H112),IF(AND(MatchMode="Reference / ID only",D112=""),"U|"&amp;ROW(),IF(D112&lt;&gt;"","R|"&amp;TRIM(D112),IF(MatchMode="Amount only","A|"&amp;TEXT(ROUND(C112,2),"0.00"),IF(MatchMode="Amount (tolerance)","T|"&amp;TEXT(ROUND(C112/MAX(N(Tolerance),0.0001),0),"0"),IF(MatchMode="Date + amount (tolerance)","DT|"&amp;TEXT(A112,"yyyy-mm-dd")&amp;"|"&amp;TEXT(ROUND(C112/MAX(N(Tolerance),0.0001),0),"0"),IF(MatchMode="Description (exact)","S|"&amp;LOWER(TRIM(B112)),IF(MatchMode="Reference / ID only","U|"&amp;ROW(),"DA|"&amp;TEXT(A112,"yyyy-mm-dd")&amp;"|"&amp;TEXT(ROUND(C112,2),"0.00"))))))))))</f>
        <v/>
      </c>
      <c r="J112" s="50">
        <f>IF(I112="","",COUNTIF($I$5:I112,I112))</f>
        <v/>
      </c>
      <c r="K112" s="50">
        <f>IF(P112="","",IFERROR(MATCH(P112,ListB_Combo,0)+4,""))</f>
        <v/>
      </c>
      <c r="L112" s="51">
        <f>IF(A112="","",IF(K112="","Unmatched",IF(ABS(C112-M112)&lt;=MAX(N(Tolerance),0),"Matched","Difference")))</f>
        <v/>
      </c>
      <c r="M112" s="52">
        <f>IF(K112="","",INDEX('List B'!$C$5:$C$204,K112-4))</f>
        <v/>
      </c>
      <c r="N112" s="52">
        <f>IF(K112="","",C112-M112)</f>
        <v/>
      </c>
      <c r="O112" s="53">
        <f>IF(OR(A112="",K112=""),"",IF(H112&lt;&gt;"","Manual pair",IF(D112&lt;&gt;"","Reference / ID",MatchMode)))</f>
        <v/>
      </c>
      <c r="P112" s="54">
        <f>IF(I112="","",I112&amp;"|"&amp;J112)</f>
        <v/>
      </c>
      <c r="Q112" s="54">
        <f>IF(L112="Matched",COUNTIF($L$5:L112,"Matched"),"")</f>
        <v/>
      </c>
      <c r="R112" s="54">
        <f>IF(L112="Unmatched",COUNTIF($L$5:L112,"Unmatched"),"")</f>
        <v/>
      </c>
      <c r="S112" s="54">
        <f>IF(L112="Difference",COUNTIF($L$5:L112,"Difference"),"")</f>
        <v/>
      </c>
      <c r="T112" s="55">
        <f>IF(L112="Difference",ABS(N112),0)</f>
        <v/>
      </c>
    </row>
    <row r="113" ht="17" customHeight="1">
      <c r="A113" s="86" t="n"/>
      <c r="B113" s="46" t="n"/>
      <c r="C113" s="47" t="n"/>
      <c r="D113" s="46" t="n"/>
      <c r="E113" s="46" t="n"/>
      <c r="F113" s="46" t="n"/>
      <c r="G113" s="48" t="n"/>
      <c r="H113" s="48" t="n"/>
      <c r="I113" s="49">
        <f>IF(A113="","",IF(H113&lt;&gt;"","M|"&amp;TRIM(H113),IF(AND(MatchMode="Reference / ID only",D113=""),"U|"&amp;ROW(),IF(D113&lt;&gt;"","R|"&amp;TRIM(D113),IF(MatchMode="Amount only","A|"&amp;TEXT(ROUND(C113,2),"0.00"),IF(MatchMode="Amount (tolerance)","T|"&amp;TEXT(ROUND(C113/MAX(N(Tolerance),0.0001),0),"0"),IF(MatchMode="Date + amount (tolerance)","DT|"&amp;TEXT(A113,"yyyy-mm-dd")&amp;"|"&amp;TEXT(ROUND(C113/MAX(N(Tolerance),0.0001),0),"0"),IF(MatchMode="Description (exact)","S|"&amp;LOWER(TRIM(B113)),IF(MatchMode="Reference / ID only","U|"&amp;ROW(),"DA|"&amp;TEXT(A113,"yyyy-mm-dd")&amp;"|"&amp;TEXT(ROUND(C113,2),"0.00"))))))))))</f>
        <v/>
      </c>
      <c r="J113" s="50">
        <f>IF(I113="","",COUNTIF($I$5:I113,I113))</f>
        <v/>
      </c>
      <c r="K113" s="50">
        <f>IF(P113="","",IFERROR(MATCH(P113,ListB_Combo,0)+4,""))</f>
        <v/>
      </c>
      <c r="L113" s="51">
        <f>IF(A113="","",IF(K113="","Unmatched",IF(ABS(C113-M113)&lt;=MAX(N(Tolerance),0),"Matched","Difference")))</f>
        <v/>
      </c>
      <c r="M113" s="52">
        <f>IF(K113="","",INDEX('List B'!$C$5:$C$204,K113-4))</f>
        <v/>
      </c>
      <c r="N113" s="52">
        <f>IF(K113="","",C113-M113)</f>
        <v/>
      </c>
      <c r="O113" s="53">
        <f>IF(OR(A113="",K113=""),"",IF(H113&lt;&gt;"","Manual pair",IF(D113&lt;&gt;"","Reference / ID",MatchMode)))</f>
        <v/>
      </c>
      <c r="P113" s="54">
        <f>IF(I113="","",I113&amp;"|"&amp;J113)</f>
        <v/>
      </c>
      <c r="Q113" s="54">
        <f>IF(L113="Matched",COUNTIF($L$5:L113,"Matched"),"")</f>
        <v/>
      </c>
      <c r="R113" s="54">
        <f>IF(L113="Unmatched",COUNTIF($L$5:L113,"Unmatched"),"")</f>
        <v/>
      </c>
      <c r="S113" s="54">
        <f>IF(L113="Difference",COUNTIF($L$5:L113,"Difference"),"")</f>
        <v/>
      </c>
      <c r="T113" s="55">
        <f>IF(L113="Difference",ABS(N113),0)</f>
        <v/>
      </c>
    </row>
    <row r="114" ht="17" customHeight="1">
      <c r="A114" s="86" t="n"/>
      <c r="B114" s="46" t="n"/>
      <c r="C114" s="47" t="n"/>
      <c r="D114" s="46" t="n"/>
      <c r="E114" s="46" t="n"/>
      <c r="F114" s="46" t="n"/>
      <c r="G114" s="48" t="n"/>
      <c r="H114" s="48" t="n"/>
      <c r="I114" s="49">
        <f>IF(A114="","",IF(H114&lt;&gt;"","M|"&amp;TRIM(H114),IF(AND(MatchMode="Reference / ID only",D114=""),"U|"&amp;ROW(),IF(D114&lt;&gt;"","R|"&amp;TRIM(D114),IF(MatchMode="Amount only","A|"&amp;TEXT(ROUND(C114,2),"0.00"),IF(MatchMode="Amount (tolerance)","T|"&amp;TEXT(ROUND(C114/MAX(N(Tolerance),0.0001),0),"0"),IF(MatchMode="Date + amount (tolerance)","DT|"&amp;TEXT(A114,"yyyy-mm-dd")&amp;"|"&amp;TEXT(ROUND(C114/MAX(N(Tolerance),0.0001),0),"0"),IF(MatchMode="Description (exact)","S|"&amp;LOWER(TRIM(B114)),IF(MatchMode="Reference / ID only","U|"&amp;ROW(),"DA|"&amp;TEXT(A114,"yyyy-mm-dd")&amp;"|"&amp;TEXT(ROUND(C114,2),"0.00"))))))))))</f>
        <v/>
      </c>
      <c r="J114" s="50">
        <f>IF(I114="","",COUNTIF($I$5:I114,I114))</f>
        <v/>
      </c>
      <c r="K114" s="50">
        <f>IF(P114="","",IFERROR(MATCH(P114,ListB_Combo,0)+4,""))</f>
        <v/>
      </c>
      <c r="L114" s="51">
        <f>IF(A114="","",IF(K114="","Unmatched",IF(ABS(C114-M114)&lt;=MAX(N(Tolerance),0),"Matched","Difference")))</f>
        <v/>
      </c>
      <c r="M114" s="52">
        <f>IF(K114="","",INDEX('List B'!$C$5:$C$204,K114-4))</f>
        <v/>
      </c>
      <c r="N114" s="52">
        <f>IF(K114="","",C114-M114)</f>
        <v/>
      </c>
      <c r="O114" s="53">
        <f>IF(OR(A114="",K114=""),"",IF(H114&lt;&gt;"","Manual pair",IF(D114&lt;&gt;"","Reference / ID",MatchMode)))</f>
        <v/>
      </c>
      <c r="P114" s="54">
        <f>IF(I114="","",I114&amp;"|"&amp;J114)</f>
        <v/>
      </c>
      <c r="Q114" s="54">
        <f>IF(L114="Matched",COUNTIF($L$5:L114,"Matched"),"")</f>
        <v/>
      </c>
      <c r="R114" s="54">
        <f>IF(L114="Unmatched",COUNTIF($L$5:L114,"Unmatched"),"")</f>
        <v/>
      </c>
      <c r="S114" s="54">
        <f>IF(L114="Difference",COUNTIF($L$5:L114,"Difference"),"")</f>
        <v/>
      </c>
      <c r="T114" s="55">
        <f>IF(L114="Difference",ABS(N114),0)</f>
        <v/>
      </c>
    </row>
    <row r="115" ht="17" customHeight="1">
      <c r="A115" s="86" t="n"/>
      <c r="B115" s="46" t="n"/>
      <c r="C115" s="47" t="n"/>
      <c r="D115" s="46" t="n"/>
      <c r="E115" s="46" t="n"/>
      <c r="F115" s="46" t="n"/>
      <c r="G115" s="48" t="n"/>
      <c r="H115" s="48" t="n"/>
      <c r="I115" s="49">
        <f>IF(A115="","",IF(H115&lt;&gt;"","M|"&amp;TRIM(H115),IF(AND(MatchMode="Reference / ID only",D115=""),"U|"&amp;ROW(),IF(D115&lt;&gt;"","R|"&amp;TRIM(D115),IF(MatchMode="Amount only","A|"&amp;TEXT(ROUND(C115,2),"0.00"),IF(MatchMode="Amount (tolerance)","T|"&amp;TEXT(ROUND(C115/MAX(N(Tolerance),0.0001),0),"0"),IF(MatchMode="Date + amount (tolerance)","DT|"&amp;TEXT(A115,"yyyy-mm-dd")&amp;"|"&amp;TEXT(ROUND(C115/MAX(N(Tolerance),0.0001),0),"0"),IF(MatchMode="Description (exact)","S|"&amp;LOWER(TRIM(B115)),IF(MatchMode="Reference / ID only","U|"&amp;ROW(),"DA|"&amp;TEXT(A115,"yyyy-mm-dd")&amp;"|"&amp;TEXT(ROUND(C115,2),"0.00"))))))))))</f>
        <v/>
      </c>
      <c r="J115" s="50">
        <f>IF(I115="","",COUNTIF($I$5:I115,I115))</f>
        <v/>
      </c>
      <c r="K115" s="50">
        <f>IF(P115="","",IFERROR(MATCH(P115,ListB_Combo,0)+4,""))</f>
        <v/>
      </c>
      <c r="L115" s="51">
        <f>IF(A115="","",IF(K115="","Unmatched",IF(ABS(C115-M115)&lt;=MAX(N(Tolerance),0),"Matched","Difference")))</f>
        <v/>
      </c>
      <c r="M115" s="52">
        <f>IF(K115="","",INDEX('List B'!$C$5:$C$204,K115-4))</f>
        <v/>
      </c>
      <c r="N115" s="52">
        <f>IF(K115="","",C115-M115)</f>
        <v/>
      </c>
      <c r="O115" s="53">
        <f>IF(OR(A115="",K115=""),"",IF(H115&lt;&gt;"","Manual pair",IF(D115&lt;&gt;"","Reference / ID",MatchMode)))</f>
        <v/>
      </c>
      <c r="P115" s="54">
        <f>IF(I115="","",I115&amp;"|"&amp;J115)</f>
        <v/>
      </c>
      <c r="Q115" s="54">
        <f>IF(L115="Matched",COUNTIF($L$5:L115,"Matched"),"")</f>
        <v/>
      </c>
      <c r="R115" s="54">
        <f>IF(L115="Unmatched",COUNTIF($L$5:L115,"Unmatched"),"")</f>
        <v/>
      </c>
      <c r="S115" s="54">
        <f>IF(L115="Difference",COUNTIF($L$5:L115,"Difference"),"")</f>
        <v/>
      </c>
      <c r="T115" s="55">
        <f>IF(L115="Difference",ABS(N115),0)</f>
        <v/>
      </c>
    </row>
    <row r="116" ht="17" customHeight="1">
      <c r="A116" s="86" t="n"/>
      <c r="B116" s="46" t="n"/>
      <c r="C116" s="47" t="n"/>
      <c r="D116" s="46" t="n"/>
      <c r="E116" s="46" t="n"/>
      <c r="F116" s="46" t="n"/>
      <c r="G116" s="48" t="n"/>
      <c r="H116" s="48" t="n"/>
      <c r="I116" s="49">
        <f>IF(A116="","",IF(H116&lt;&gt;"","M|"&amp;TRIM(H116),IF(AND(MatchMode="Reference / ID only",D116=""),"U|"&amp;ROW(),IF(D116&lt;&gt;"","R|"&amp;TRIM(D116),IF(MatchMode="Amount only","A|"&amp;TEXT(ROUND(C116,2),"0.00"),IF(MatchMode="Amount (tolerance)","T|"&amp;TEXT(ROUND(C116/MAX(N(Tolerance),0.0001),0),"0"),IF(MatchMode="Date + amount (tolerance)","DT|"&amp;TEXT(A116,"yyyy-mm-dd")&amp;"|"&amp;TEXT(ROUND(C116/MAX(N(Tolerance),0.0001),0),"0"),IF(MatchMode="Description (exact)","S|"&amp;LOWER(TRIM(B116)),IF(MatchMode="Reference / ID only","U|"&amp;ROW(),"DA|"&amp;TEXT(A116,"yyyy-mm-dd")&amp;"|"&amp;TEXT(ROUND(C116,2),"0.00"))))))))))</f>
        <v/>
      </c>
      <c r="J116" s="50">
        <f>IF(I116="","",COUNTIF($I$5:I116,I116))</f>
        <v/>
      </c>
      <c r="K116" s="50">
        <f>IF(P116="","",IFERROR(MATCH(P116,ListB_Combo,0)+4,""))</f>
        <v/>
      </c>
      <c r="L116" s="51">
        <f>IF(A116="","",IF(K116="","Unmatched",IF(ABS(C116-M116)&lt;=MAX(N(Tolerance),0),"Matched","Difference")))</f>
        <v/>
      </c>
      <c r="M116" s="52">
        <f>IF(K116="","",INDEX('List B'!$C$5:$C$204,K116-4))</f>
        <v/>
      </c>
      <c r="N116" s="52">
        <f>IF(K116="","",C116-M116)</f>
        <v/>
      </c>
      <c r="O116" s="53">
        <f>IF(OR(A116="",K116=""),"",IF(H116&lt;&gt;"","Manual pair",IF(D116&lt;&gt;"","Reference / ID",MatchMode)))</f>
        <v/>
      </c>
      <c r="P116" s="54">
        <f>IF(I116="","",I116&amp;"|"&amp;J116)</f>
        <v/>
      </c>
      <c r="Q116" s="54">
        <f>IF(L116="Matched",COUNTIF($L$5:L116,"Matched"),"")</f>
        <v/>
      </c>
      <c r="R116" s="54">
        <f>IF(L116="Unmatched",COUNTIF($L$5:L116,"Unmatched"),"")</f>
        <v/>
      </c>
      <c r="S116" s="54">
        <f>IF(L116="Difference",COUNTIF($L$5:L116,"Difference"),"")</f>
        <v/>
      </c>
      <c r="T116" s="55">
        <f>IF(L116="Difference",ABS(N116),0)</f>
        <v/>
      </c>
    </row>
    <row r="117" ht="17" customHeight="1">
      <c r="A117" s="86" t="n"/>
      <c r="B117" s="46" t="n"/>
      <c r="C117" s="47" t="n"/>
      <c r="D117" s="46" t="n"/>
      <c r="E117" s="46" t="n"/>
      <c r="F117" s="46" t="n"/>
      <c r="G117" s="48" t="n"/>
      <c r="H117" s="48" t="n"/>
      <c r="I117" s="49">
        <f>IF(A117="","",IF(H117&lt;&gt;"","M|"&amp;TRIM(H117),IF(AND(MatchMode="Reference / ID only",D117=""),"U|"&amp;ROW(),IF(D117&lt;&gt;"","R|"&amp;TRIM(D117),IF(MatchMode="Amount only","A|"&amp;TEXT(ROUND(C117,2),"0.00"),IF(MatchMode="Amount (tolerance)","T|"&amp;TEXT(ROUND(C117/MAX(N(Tolerance),0.0001),0),"0"),IF(MatchMode="Date + amount (tolerance)","DT|"&amp;TEXT(A117,"yyyy-mm-dd")&amp;"|"&amp;TEXT(ROUND(C117/MAX(N(Tolerance),0.0001),0),"0"),IF(MatchMode="Description (exact)","S|"&amp;LOWER(TRIM(B117)),IF(MatchMode="Reference / ID only","U|"&amp;ROW(),"DA|"&amp;TEXT(A117,"yyyy-mm-dd")&amp;"|"&amp;TEXT(ROUND(C117,2),"0.00"))))))))))</f>
        <v/>
      </c>
      <c r="J117" s="50">
        <f>IF(I117="","",COUNTIF($I$5:I117,I117))</f>
        <v/>
      </c>
      <c r="K117" s="50">
        <f>IF(P117="","",IFERROR(MATCH(P117,ListB_Combo,0)+4,""))</f>
        <v/>
      </c>
      <c r="L117" s="51">
        <f>IF(A117="","",IF(K117="","Unmatched",IF(ABS(C117-M117)&lt;=MAX(N(Tolerance),0),"Matched","Difference")))</f>
        <v/>
      </c>
      <c r="M117" s="52">
        <f>IF(K117="","",INDEX('List B'!$C$5:$C$204,K117-4))</f>
        <v/>
      </c>
      <c r="N117" s="52">
        <f>IF(K117="","",C117-M117)</f>
        <v/>
      </c>
      <c r="O117" s="53">
        <f>IF(OR(A117="",K117=""),"",IF(H117&lt;&gt;"","Manual pair",IF(D117&lt;&gt;"","Reference / ID",MatchMode)))</f>
        <v/>
      </c>
      <c r="P117" s="54">
        <f>IF(I117="","",I117&amp;"|"&amp;J117)</f>
        <v/>
      </c>
      <c r="Q117" s="54">
        <f>IF(L117="Matched",COUNTIF($L$5:L117,"Matched"),"")</f>
        <v/>
      </c>
      <c r="R117" s="54">
        <f>IF(L117="Unmatched",COUNTIF($L$5:L117,"Unmatched"),"")</f>
        <v/>
      </c>
      <c r="S117" s="54">
        <f>IF(L117="Difference",COUNTIF($L$5:L117,"Difference"),"")</f>
        <v/>
      </c>
      <c r="T117" s="55">
        <f>IF(L117="Difference",ABS(N117),0)</f>
        <v/>
      </c>
    </row>
    <row r="118" ht="17" customHeight="1">
      <c r="A118" s="86" t="n"/>
      <c r="B118" s="46" t="n"/>
      <c r="C118" s="47" t="n"/>
      <c r="D118" s="46" t="n"/>
      <c r="E118" s="46" t="n"/>
      <c r="F118" s="46" t="n"/>
      <c r="G118" s="48" t="n"/>
      <c r="H118" s="48" t="n"/>
      <c r="I118" s="49">
        <f>IF(A118="","",IF(H118&lt;&gt;"","M|"&amp;TRIM(H118),IF(AND(MatchMode="Reference / ID only",D118=""),"U|"&amp;ROW(),IF(D118&lt;&gt;"","R|"&amp;TRIM(D118),IF(MatchMode="Amount only","A|"&amp;TEXT(ROUND(C118,2),"0.00"),IF(MatchMode="Amount (tolerance)","T|"&amp;TEXT(ROUND(C118/MAX(N(Tolerance),0.0001),0),"0"),IF(MatchMode="Date + amount (tolerance)","DT|"&amp;TEXT(A118,"yyyy-mm-dd")&amp;"|"&amp;TEXT(ROUND(C118/MAX(N(Tolerance),0.0001),0),"0"),IF(MatchMode="Description (exact)","S|"&amp;LOWER(TRIM(B118)),IF(MatchMode="Reference / ID only","U|"&amp;ROW(),"DA|"&amp;TEXT(A118,"yyyy-mm-dd")&amp;"|"&amp;TEXT(ROUND(C118,2),"0.00"))))))))))</f>
        <v/>
      </c>
      <c r="J118" s="50">
        <f>IF(I118="","",COUNTIF($I$5:I118,I118))</f>
        <v/>
      </c>
      <c r="K118" s="50">
        <f>IF(P118="","",IFERROR(MATCH(P118,ListB_Combo,0)+4,""))</f>
        <v/>
      </c>
      <c r="L118" s="51">
        <f>IF(A118="","",IF(K118="","Unmatched",IF(ABS(C118-M118)&lt;=MAX(N(Tolerance),0),"Matched","Difference")))</f>
        <v/>
      </c>
      <c r="M118" s="52">
        <f>IF(K118="","",INDEX('List B'!$C$5:$C$204,K118-4))</f>
        <v/>
      </c>
      <c r="N118" s="52">
        <f>IF(K118="","",C118-M118)</f>
        <v/>
      </c>
      <c r="O118" s="53">
        <f>IF(OR(A118="",K118=""),"",IF(H118&lt;&gt;"","Manual pair",IF(D118&lt;&gt;"","Reference / ID",MatchMode)))</f>
        <v/>
      </c>
      <c r="P118" s="54">
        <f>IF(I118="","",I118&amp;"|"&amp;J118)</f>
        <v/>
      </c>
      <c r="Q118" s="54">
        <f>IF(L118="Matched",COUNTIF($L$5:L118,"Matched"),"")</f>
        <v/>
      </c>
      <c r="R118" s="54">
        <f>IF(L118="Unmatched",COUNTIF($L$5:L118,"Unmatched"),"")</f>
        <v/>
      </c>
      <c r="S118" s="54">
        <f>IF(L118="Difference",COUNTIF($L$5:L118,"Difference"),"")</f>
        <v/>
      </c>
      <c r="T118" s="55">
        <f>IF(L118="Difference",ABS(N118),0)</f>
        <v/>
      </c>
    </row>
    <row r="119" ht="17" customHeight="1">
      <c r="A119" s="86" t="n"/>
      <c r="B119" s="46" t="n"/>
      <c r="C119" s="47" t="n"/>
      <c r="D119" s="46" t="n"/>
      <c r="E119" s="46" t="n"/>
      <c r="F119" s="46" t="n"/>
      <c r="G119" s="48" t="n"/>
      <c r="H119" s="48" t="n"/>
      <c r="I119" s="49">
        <f>IF(A119="","",IF(H119&lt;&gt;"","M|"&amp;TRIM(H119),IF(AND(MatchMode="Reference / ID only",D119=""),"U|"&amp;ROW(),IF(D119&lt;&gt;"","R|"&amp;TRIM(D119),IF(MatchMode="Amount only","A|"&amp;TEXT(ROUND(C119,2),"0.00"),IF(MatchMode="Amount (tolerance)","T|"&amp;TEXT(ROUND(C119/MAX(N(Tolerance),0.0001),0),"0"),IF(MatchMode="Date + amount (tolerance)","DT|"&amp;TEXT(A119,"yyyy-mm-dd")&amp;"|"&amp;TEXT(ROUND(C119/MAX(N(Tolerance),0.0001),0),"0"),IF(MatchMode="Description (exact)","S|"&amp;LOWER(TRIM(B119)),IF(MatchMode="Reference / ID only","U|"&amp;ROW(),"DA|"&amp;TEXT(A119,"yyyy-mm-dd")&amp;"|"&amp;TEXT(ROUND(C119,2),"0.00"))))))))))</f>
        <v/>
      </c>
      <c r="J119" s="50">
        <f>IF(I119="","",COUNTIF($I$5:I119,I119))</f>
        <v/>
      </c>
      <c r="K119" s="50">
        <f>IF(P119="","",IFERROR(MATCH(P119,ListB_Combo,0)+4,""))</f>
        <v/>
      </c>
      <c r="L119" s="51">
        <f>IF(A119="","",IF(K119="","Unmatched",IF(ABS(C119-M119)&lt;=MAX(N(Tolerance),0),"Matched","Difference")))</f>
        <v/>
      </c>
      <c r="M119" s="52">
        <f>IF(K119="","",INDEX('List B'!$C$5:$C$204,K119-4))</f>
        <v/>
      </c>
      <c r="N119" s="52">
        <f>IF(K119="","",C119-M119)</f>
        <v/>
      </c>
      <c r="O119" s="53">
        <f>IF(OR(A119="",K119=""),"",IF(H119&lt;&gt;"","Manual pair",IF(D119&lt;&gt;"","Reference / ID",MatchMode)))</f>
        <v/>
      </c>
      <c r="P119" s="54">
        <f>IF(I119="","",I119&amp;"|"&amp;J119)</f>
        <v/>
      </c>
      <c r="Q119" s="54">
        <f>IF(L119="Matched",COUNTIF($L$5:L119,"Matched"),"")</f>
        <v/>
      </c>
      <c r="R119" s="54">
        <f>IF(L119="Unmatched",COUNTIF($L$5:L119,"Unmatched"),"")</f>
        <v/>
      </c>
      <c r="S119" s="54">
        <f>IF(L119="Difference",COUNTIF($L$5:L119,"Difference"),"")</f>
        <v/>
      </c>
      <c r="T119" s="55">
        <f>IF(L119="Difference",ABS(N119),0)</f>
        <v/>
      </c>
    </row>
    <row r="120" ht="17" customHeight="1">
      <c r="A120" s="86" t="n"/>
      <c r="B120" s="46" t="n"/>
      <c r="C120" s="47" t="n"/>
      <c r="D120" s="46" t="n"/>
      <c r="E120" s="46" t="n"/>
      <c r="F120" s="46" t="n"/>
      <c r="G120" s="48" t="n"/>
      <c r="H120" s="48" t="n"/>
      <c r="I120" s="49">
        <f>IF(A120="","",IF(H120&lt;&gt;"","M|"&amp;TRIM(H120),IF(AND(MatchMode="Reference / ID only",D120=""),"U|"&amp;ROW(),IF(D120&lt;&gt;"","R|"&amp;TRIM(D120),IF(MatchMode="Amount only","A|"&amp;TEXT(ROUND(C120,2),"0.00"),IF(MatchMode="Amount (tolerance)","T|"&amp;TEXT(ROUND(C120/MAX(N(Tolerance),0.0001),0),"0"),IF(MatchMode="Date + amount (tolerance)","DT|"&amp;TEXT(A120,"yyyy-mm-dd")&amp;"|"&amp;TEXT(ROUND(C120/MAX(N(Tolerance),0.0001),0),"0"),IF(MatchMode="Description (exact)","S|"&amp;LOWER(TRIM(B120)),IF(MatchMode="Reference / ID only","U|"&amp;ROW(),"DA|"&amp;TEXT(A120,"yyyy-mm-dd")&amp;"|"&amp;TEXT(ROUND(C120,2),"0.00"))))))))))</f>
        <v/>
      </c>
      <c r="J120" s="50">
        <f>IF(I120="","",COUNTIF($I$5:I120,I120))</f>
        <v/>
      </c>
      <c r="K120" s="50">
        <f>IF(P120="","",IFERROR(MATCH(P120,ListB_Combo,0)+4,""))</f>
        <v/>
      </c>
      <c r="L120" s="51">
        <f>IF(A120="","",IF(K120="","Unmatched",IF(ABS(C120-M120)&lt;=MAX(N(Tolerance),0),"Matched","Difference")))</f>
        <v/>
      </c>
      <c r="M120" s="52">
        <f>IF(K120="","",INDEX('List B'!$C$5:$C$204,K120-4))</f>
        <v/>
      </c>
      <c r="N120" s="52">
        <f>IF(K120="","",C120-M120)</f>
        <v/>
      </c>
      <c r="O120" s="53">
        <f>IF(OR(A120="",K120=""),"",IF(H120&lt;&gt;"","Manual pair",IF(D120&lt;&gt;"","Reference / ID",MatchMode)))</f>
        <v/>
      </c>
      <c r="P120" s="54">
        <f>IF(I120="","",I120&amp;"|"&amp;J120)</f>
        <v/>
      </c>
      <c r="Q120" s="54">
        <f>IF(L120="Matched",COUNTIF($L$5:L120,"Matched"),"")</f>
        <v/>
      </c>
      <c r="R120" s="54">
        <f>IF(L120="Unmatched",COUNTIF($L$5:L120,"Unmatched"),"")</f>
        <v/>
      </c>
      <c r="S120" s="54">
        <f>IF(L120="Difference",COUNTIF($L$5:L120,"Difference"),"")</f>
        <v/>
      </c>
      <c r="T120" s="55">
        <f>IF(L120="Difference",ABS(N120),0)</f>
        <v/>
      </c>
    </row>
    <row r="121" ht="17" customHeight="1">
      <c r="A121" s="86" t="n"/>
      <c r="B121" s="46" t="n"/>
      <c r="C121" s="47" t="n"/>
      <c r="D121" s="46" t="n"/>
      <c r="E121" s="46" t="n"/>
      <c r="F121" s="46" t="n"/>
      <c r="G121" s="48" t="n"/>
      <c r="H121" s="48" t="n"/>
      <c r="I121" s="49">
        <f>IF(A121="","",IF(H121&lt;&gt;"","M|"&amp;TRIM(H121),IF(AND(MatchMode="Reference / ID only",D121=""),"U|"&amp;ROW(),IF(D121&lt;&gt;"","R|"&amp;TRIM(D121),IF(MatchMode="Amount only","A|"&amp;TEXT(ROUND(C121,2),"0.00"),IF(MatchMode="Amount (tolerance)","T|"&amp;TEXT(ROUND(C121/MAX(N(Tolerance),0.0001),0),"0"),IF(MatchMode="Date + amount (tolerance)","DT|"&amp;TEXT(A121,"yyyy-mm-dd")&amp;"|"&amp;TEXT(ROUND(C121/MAX(N(Tolerance),0.0001),0),"0"),IF(MatchMode="Description (exact)","S|"&amp;LOWER(TRIM(B121)),IF(MatchMode="Reference / ID only","U|"&amp;ROW(),"DA|"&amp;TEXT(A121,"yyyy-mm-dd")&amp;"|"&amp;TEXT(ROUND(C121,2),"0.00"))))))))))</f>
        <v/>
      </c>
      <c r="J121" s="50">
        <f>IF(I121="","",COUNTIF($I$5:I121,I121))</f>
        <v/>
      </c>
      <c r="K121" s="50">
        <f>IF(P121="","",IFERROR(MATCH(P121,ListB_Combo,0)+4,""))</f>
        <v/>
      </c>
      <c r="L121" s="51">
        <f>IF(A121="","",IF(K121="","Unmatched",IF(ABS(C121-M121)&lt;=MAX(N(Tolerance),0),"Matched","Difference")))</f>
        <v/>
      </c>
      <c r="M121" s="52">
        <f>IF(K121="","",INDEX('List B'!$C$5:$C$204,K121-4))</f>
        <v/>
      </c>
      <c r="N121" s="52">
        <f>IF(K121="","",C121-M121)</f>
        <v/>
      </c>
      <c r="O121" s="53">
        <f>IF(OR(A121="",K121=""),"",IF(H121&lt;&gt;"","Manual pair",IF(D121&lt;&gt;"","Reference / ID",MatchMode)))</f>
        <v/>
      </c>
      <c r="P121" s="54">
        <f>IF(I121="","",I121&amp;"|"&amp;J121)</f>
        <v/>
      </c>
      <c r="Q121" s="54">
        <f>IF(L121="Matched",COUNTIF($L$5:L121,"Matched"),"")</f>
        <v/>
      </c>
      <c r="R121" s="54">
        <f>IF(L121="Unmatched",COUNTIF($L$5:L121,"Unmatched"),"")</f>
        <v/>
      </c>
      <c r="S121" s="54">
        <f>IF(L121="Difference",COUNTIF($L$5:L121,"Difference"),"")</f>
        <v/>
      </c>
      <c r="T121" s="55">
        <f>IF(L121="Difference",ABS(N121),0)</f>
        <v/>
      </c>
    </row>
    <row r="122" ht="17" customHeight="1">
      <c r="A122" s="86" t="n"/>
      <c r="B122" s="46" t="n"/>
      <c r="C122" s="47" t="n"/>
      <c r="D122" s="46" t="n"/>
      <c r="E122" s="46" t="n"/>
      <c r="F122" s="46" t="n"/>
      <c r="G122" s="48" t="n"/>
      <c r="H122" s="48" t="n"/>
      <c r="I122" s="49">
        <f>IF(A122="","",IF(H122&lt;&gt;"","M|"&amp;TRIM(H122),IF(AND(MatchMode="Reference / ID only",D122=""),"U|"&amp;ROW(),IF(D122&lt;&gt;"","R|"&amp;TRIM(D122),IF(MatchMode="Amount only","A|"&amp;TEXT(ROUND(C122,2),"0.00"),IF(MatchMode="Amount (tolerance)","T|"&amp;TEXT(ROUND(C122/MAX(N(Tolerance),0.0001),0),"0"),IF(MatchMode="Date + amount (tolerance)","DT|"&amp;TEXT(A122,"yyyy-mm-dd")&amp;"|"&amp;TEXT(ROUND(C122/MAX(N(Tolerance),0.0001),0),"0"),IF(MatchMode="Description (exact)","S|"&amp;LOWER(TRIM(B122)),IF(MatchMode="Reference / ID only","U|"&amp;ROW(),"DA|"&amp;TEXT(A122,"yyyy-mm-dd")&amp;"|"&amp;TEXT(ROUND(C122,2),"0.00"))))))))))</f>
        <v/>
      </c>
      <c r="J122" s="50">
        <f>IF(I122="","",COUNTIF($I$5:I122,I122))</f>
        <v/>
      </c>
      <c r="K122" s="50">
        <f>IF(P122="","",IFERROR(MATCH(P122,ListB_Combo,0)+4,""))</f>
        <v/>
      </c>
      <c r="L122" s="51">
        <f>IF(A122="","",IF(K122="","Unmatched",IF(ABS(C122-M122)&lt;=MAX(N(Tolerance),0),"Matched","Difference")))</f>
        <v/>
      </c>
      <c r="M122" s="52">
        <f>IF(K122="","",INDEX('List B'!$C$5:$C$204,K122-4))</f>
        <v/>
      </c>
      <c r="N122" s="52">
        <f>IF(K122="","",C122-M122)</f>
        <v/>
      </c>
      <c r="O122" s="53">
        <f>IF(OR(A122="",K122=""),"",IF(H122&lt;&gt;"","Manual pair",IF(D122&lt;&gt;"","Reference / ID",MatchMode)))</f>
        <v/>
      </c>
      <c r="P122" s="54">
        <f>IF(I122="","",I122&amp;"|"&amp;J122)</f>
        <v/>
      </c>
      <c r="Q122" s="54">
        <f>IF(L122="Matched",COUNTIF($L$5:L122,"Matched"),"")</f>
        <v/>
      </c>
      <c r="R122" s="54">
        <f>IF(L122="Unmatched",COUNTIF($L$5:L122,"Unmatched"),"")</f>
        <v/>
      </c>
      <c r="S122" s="54">
        <f>IF(L122="Difference",COUNTIF($L$5:L122,"Difference"),"")</f>
        <v/>
      </c>
      <c r="T122" s="55">
        <f>IF(L122="Difference",ABS(N122),0)</f>
        <v/>
      </c>
    </row>
    <row r="123" ht="17" customHeight="1">
      <c r="A123" s="86" t="n"/>
      <c r="B123" s="46" t="n"/>
      <c r="C123" s="47" t="n"/>
      <c r="D123" s="46" t="n"/>
      <c r="E123" s="46" t="n"/>
      <c r="F123" s="46" t="n"/>
      <c r="G123" s="48" t="n"/>
      <c r="H123" s="48" t="n"/>
      <c r="I123" s="49">
        <f>IF(A123="","",IF(H123&lt;&gt;"","M|"&amp;TRIM(H123),IF(AND(MatchMode="Reference / ID only",D123=""),"U|"&amp;ROW(),IF(D123&lt;&gt;"","R|"&amp;TRIM(D123),IF(MatchMode="Amount only","A|"&amp;TEXT(ROUND(C123,2),"0.00"),IF(MatchMode="Amount (tolerance)","T|"&amp;TEXT(ROUND(C123/MAX(N(Tolerance),0.0001),0),"0"),IF(MatchMode="Date + amount (tolerance)","DT|"&amp;TEXT(A123,"yyyy-mm-dd")&amp;"|"&amp;TEXT(ROUND(C123/MAX(N(Tolerance),0.0001),0),"0"),IF(MatchMode="Description (exact)","S|"&amp;LOWER(TRIM(B123)),IF(MatchMode="Reference / ID only","U|"&amp;ROW(),"DA|"&amp;TEXT(A123,"yyyy-mm-dd")&amp;"|"&amp;TEXT(ROUND(C123,2),"0.00"))))))))))</f>
        <v/>
      </c>
      <c r="J123" s="50">
        <f>IF(I123="","",COUNTIF($I$5:I123,I123))</f>
        <v/>
      </c>
      <c r="K123" s="50">
        <f>IF(P123="","",IFERROR(MATCH(P123,ListB_Combo,0)+4,""))</f>
        <v/>
      </c>
      <c r="L123" s="51">
        <f>IF(A123="","",IF(K123="","Unmatched",IF(ABS(C123-M123)&lt;=MAX(N(Tolerance),0),"Matched","Difference")))</f>
        <v/>
      </c>
      <c r="M123" s="52">
        <f>IF(K123="","",INDEX('List B'!$C$5:$C$204,K123-4))</f>
        <v/>
      </c>
      <c r="N123" s="52">
        <f>IF(K123="","",C123-M123)</f>
        <v/>
      </c>
      <c r="O123" s="53">
        <f>IF(OR(A123="",K123=""),"",IF(H123&lt;&gt;"","Manual pair",IF(D123&lt;&gt;"","Reference / ID",MatchMode)))</f>
        <v/>
      </c>
      <c r="P123" s="54">
        <f>IF(I123="","",I123&amp;"|"&amp;J123)</f>
        <v/>
      </c>
      <c r="Q123" s="54">
        <f>IF(L123="Matched",COUNTIF($L$5:L123,"Matched"),"")</f>
        <v/>
      </c>
      <c r="R123" s="54">
        <f>IF(L123="Unmatched",COUNTIF($L$5:L123,"Unmatched"),"")</f>
        <v/>
      </c>
      <c r="S123" s="54">
        <f>IF(L123="Difference",COUNTIF($L$5:L123,"Difference"),"")</f>
        <v/>
      </c>
      <c r="T123" s="55">
        <f>IF(L123="Difference",ABS(N123),0)</f>
        <v/>
      </c>
    </row>
    <row r="124" ht="17" customHeight="1">
      <c r="A124" s="86" t="n"/>
      <c r="B124" s="46" t="n"/>
      <c r="C124" s="47" t="n"/>
      <c r="D124" s="46" t="n"/>
      <c r="E124" s="46" t="n"/>
      <c r="F124" s="46" t="n"/>
      <c r="G124" s="48" t="n"/>
      <c r="H124" s="48" t="n"/>
      <c r="I124" s="49">
        <f>IF(A124="","",IF(H124&lt;&gt;"","M|"&amp;TRIM(H124),IF(AND(MatchMode="Reference / ID only",D124=""),"U|"&amp;ROW(),IF(D124&lt;&gt;"","R|"&amp;TRIM(D124),IF(MatchMode="Amount only","A|"&amp;TEXT(ROUND(C124,2),"0.00"),IF(MatchMode="Amount (tolerance)","T|"&amp;TEXT(ROUND(C124/MAX(N(Tolerance),0.0001),0),"0"),IF(MatchMode="Date + amount (tolerance)","DT|"&amp;TEXT(A124,"yyyy-mm-dd")&amp;"|"&amp;TEXT(ROUND(C124/MAX(N(Tolerance),0.0001),0),"0"),IF(MatchMode="Description (exact)","S|"&amp;LOWER(TRIM(B124)),IF(MatchMode="Reference / ID only","U|"&amp;ROW(),"DA|"&amp;TEXT(A124,"yyyy-mm-dd")&amp;"|"&amp;TEXT(ROUND(C124,2),"0.00"))))))))))</f>
        <v/>
      </c>
      <c r="J124" s="50">
        <f>IF(I124="","",COUNTIF($I$5:I124,I124))</f>
        <v/>
      </c>
      <c r="K124" s="50">
        <f>IF(P124="","",IFERROR(MATCH(P124,ListB_Combo,0)+4,""))</f>
        <v/>
      </c>
      <c r="L124" s="51">
        <f>IF(A124="","",IF(K124="","Unmatched",IF(ABS(C124-M124)&lt;=MAX(N(Tolerance),0),"Matched","Difference")))</f>
        <v/>
      </c>
      <c r="M124" s="52">
        <f>IF(K124="","",INDEX('List B'!$C$5:$C$204,K124-4))</f>
        <v/>
      </c>
      <c r="N124" s="52">
        <f>IF(K124="","",C124-M124)</f>
        <v/>
      </c>
      <c r="O124" s="53">
        <f>IF(OR(A124="",K124=""),"",IF(H124&lt;&gt;"","Manual pair",IF(D124&lt;&gt;"","Reference / ID",MatchMode)))</f>
        <v/>
      </c>
      <c r="P124" s="54">
        <f>IF(I124="","",I124&amp;"|"&amp;J124)</f>
        <v/>
      </c>
      <c r="Q124" s="54">
        <f>IF(L124="Matched",COUNTIF($L$5:L124,"Matched"),"")</f>
        <v/>
      </c>
      <c r="R124" s="54">
        <f>IF(L124="Unmatched",COUNTIF($L$5:L124,"Unmatched"),"")</f>
        <v/>
      </c>
      <c r="S124" s="54">
        <f>IF(L124="Difference",COUNTIF($L$5:L124,"Difference"),"")</f>
        <v/>
      </c>
      <c r="T124" s="55">
        <f>IF(L124="Difference",ABS(N124),0)</f>
        <v/>
      </c>
    </row>
    <row r="125" ht="17" customHeight="1">
      <c r="A125" s="86" t="n"/>
      <c r="B125" s="46" t="n"/>
      <c r="C125" s="47" t="n"/>
      <c r="D125" s="46" t="n"/>
      <c r="E125" s="46" t="n"/>
      <c r="F125" s="46" t="n"/>
      <c r="G125" s="48" t="n"/>
      <c r="H125" s="48" t="n"/>
      <c r="I125" s="49">
        <f>IF(A125="","",IF(H125&lt;&gt;"","M|"&amp;TRIM(H125),IF(AND(MatchMode="Reference / ID only",D125=""),"U|"&amp;ROW(),IF(D125&lt;&gt;"","R|"&amp;TRIM(D125),IF(MatchMode="Amount only","A|"&amp;TEXT(ROUND(C125,2),"0.00"),IF(MatchMode="Amount (tolerance)","T|"&amp;TEXT(ROUND(C125/MAX(N(Tolerance),0.0001),0),"0"),IF(MatchMode="Date + amount (tolerance)","DT|"&amp;TEXT(A125,"yyyy-mm-dd")&amp;"|"&amp;TEXT(ROUND(C125/MAX(N(Tolerance),0.0001),0),"0"),IF(MatchMode="Description (exact)","S|"&amp;LOWER(TRIM(B125)),IF(MatchMode="Reference / ID only","U|"&amp;ROW(),"DA|"&amp;TEXT(A125,"yyyy-mm-dd")&amp;"|"&amp;TEXT(ROUND(C125,2),"0.00"))))))))))</f>
        <v/>
      </c>
      <c r="J125" s="50">
        <f>IF(I125="","",COUNTIF($I$5:I125,I125))</f>
        <v/>
      </c>
      <c r="K125" s="50">
        <f>IF(P125="","",IFERROR(MATCH(P125,ListB_Combo,0)+4,""))</f>
        <v/>
      </c>
      <c r="L125" s="51">
        <f>IF(A125="","",IF(K125="","Unmatched",IF(ABS(C125-M125)&lt;=MAX(N(Tolerance),0),"Matched","Difference")))</f>
        <v/>
      </c>
      <c r="M125" s="52">
        <f>IF(K125="","",INDEX('List B'!$C$5:$C$204,K125-4))</f>
        <v/>
      </c>
      <c r="N125" s="52">
        <f>IF(K125="","",C125-M125)</f>
        <v/>
      </c>
      <c r="O125" s="53">
        <f>IF(OR(A125="",K125=""),"",IF(H125&lt;&gt;"","Manual pair",IF(D125&lt;&gt;"","Reference / ID",MatchMode)))</f>
        <v/>
      </c>
      <c r="P125" s="54">
        <f>IF(I125="","",I125&amp;"|"&amp;J125)</f>
        <v/>
      </c>
      <c r="Q125" s="54">
        <f>IF(L125="Matched",COUNTIF($L$5:L125,"Matched"),"")</f>
        <v/>
      </c>
      <c r="R125" s="54">
        <f>IF(L125="Unmatched",COUNTIF($L$5:L125,"Unmatched"),"")</f>
        <v/>
      </c>
      <c r="S125" s="54">
        <f>IF(L125="Difference",COUNTIF($L$5:L125,"Difference"),"")</f>
        <v/>
      </c>
      <c r="T125" s="55">
        <f>IF(L125="Difference",ABS(N125),0)</f>
        <v/>
      </c>
    </row>
    <row r="126" ht="17" customHeight="1">
      <c r="A126" s="86" t="n"/>
      <c r="B126" s="46" t="n"/>
      <c r="C126" s="47" t="n"/>
      <c r="D126" s="46" t="n"/>
      <c r="E126" s="46" t="n"/>
      <c r="F126" s="46" t="n"/>
      <c r="G126" s="48" t="n"/>
      <c r="H126" s="48" t="n"/>
      <c r="I126" s="49">
        <f>IF(A126="","",IF(H126&lt;&gt;"","M|"&amp;TRIM(H126),IF(AND(MatchMode="Reference / ID only",D126=""),"U|"&amp;ROW(),IF(D126&lt;&gt;"","R|"&amp;TRIM(D126),IF(MatchMode="Amount only","A|"&amp;TEXT(ROUND(C126,2),"0.00"),IF(MatchMode="Amount (tolerance)","T|"&amp;TEXT(ROUND(C126/MAX(N(Tolerance),0.0001),0),"0"),IF(MatchMode="Date + amount (tolerance)","DT|"&amp;TEXT(A126,"yyyy-mm-dd")&amp;"|"&amp;TEXT(ROUND(C126/MAX(N(Tolerance),0.0001),0),"0"),IF(MatchMode="Description (exact)","S|"&amp;LOWER(TRIM(B126)),IF(MatchMode="Reference / ID only","U|"&amp;ROW(),"DA|"&amp;TEXT(A126,"yyyy-mm-dd")&amp;"|"&amp;TEXT(ROUND(C126,2),"0.00"))))))))))</f>
        <v/>
      </c>
      <c r="J126" s="50">
        <f>IF(I126="","",COUNTIF($I$5:I126,I126))</f>
        <v/>
      </c>
      <c r="K126" s="50">
        <f>IF(P126="","",IFERROR(MATCH(P126,ListB_Combo,0)+4,""))</f>
        <v/>
      </c>
      <c r="L126" s="51">
        <f>IF(A126="","",IF(K126="","Unmatched",IF(ABS(C126-M126)&lt;=MAX(N(Tolerance),0),"Matched","Difference")))</f>
        <v/>
      </c>
      <c r="M126" s="52">
        <f>IF(K126="","",INDEX('List B'!$C$5:$C$204,K126-4))</f>
        <v/>
      </c>
      <c r="N126" s="52">
        <f>IF(K126="","",C126-M126)</f>
        <v/>
      </c>
      <c r="O126" s="53">
        <f>IF(OR(A126="",K126=""),"",IF(H126&lt;&gt;"","Manual pair",IF(D126&lt;&gt;"","Reference / ID",MatchMode)))</f>
        <v/>
      </c>
      <c r="P126" s="54">
        <f>IF(I126="","",I126&amp;"|"&amp;J126)</f>
        <v/>
      </c>
      <c r="Q126" s="54">
        <f>IF(L126="Matched",COUNTIF($L$5:L126,"Matched"),"")</f>
        <v/>
      </c>
      <c r="R126" s="54">
        <f>IF(L126="Unmatched",COUNTIF($L$5:L126,"Unmatched"),"")</f>
        <v/>
      </c>
      <c r="S126" s="54">
        <f>IF(L126="Difference",COUNTIF($L$5:L126,"Difference"),"")</f>
        <v/>
      </c>
      <c r="T126" s="55">
        <f>IF(L126="Difference",ABS(N126),0)</f>
        <v/>
      </c>
    </row>
    <row r="127" ht="17" customHeight="1">
      <c r="A127" s="86" t="n"/>
      <c r="B127" s="46" t="n"/>
      <c r="C127" s="47" t="n"/>
      <c r="D127" s="46" t="n"/>
      <c r="E127" s="46" t="n"/>
      <c r="F127" s="46" t="n"/>
      <c r="G127" s="48" t="n"/>
      <c r="H127" s="48" t="n"/>
      <c r="I127" s="49">
        <f>IF(A127="","",IF(H127&lt;&gt;"","M|"&amp;TRIM(H127),IF(AND(MatchMode="Reference / ID only",D127=""),"U|"&amp;ROW(),IF(D127&lt;&gt;"","R|"&amp;TRIM(D127),IF(MatchMode="Amount only","A|"&amp;TEXT(ROUND(C127,2),"0.00"),IF(MatchMode="Amount (tolerance)","T|"&amp;TEXT(ROUND(C127/MAX(N(Tolerance),0.0001),0),"0"),IF(MatchMode="Date + amount (tolerance)","DT|"&amp;TEXT(A127,"yyyy-mm-dd")&amp;"|"&amp;TEXT(ROUND(C127/MAX(N(Tolerance),0.0001),0),"0"),IF(MatchMode="Description (exact)","S|"&amp;LOWER(TRIM(B127)),IF(MatchMode="Reference / ID only","U|"&amp;ROW(),"DA|"&amp;TEXT(A127,"yyyy-mm-dd")&amp;"|"&amp;TEXT(ROUND(C127,2),"0.00"))))))))))</f>
        <v/>
      </c>
      <c r="J127" s="50">
        <f>IF(I127="","",COUNTIF($I$5:I127,I127))</f>
        <v/>
      </c>
      <c r="K127" s="50">
        <f>IF(P127="","",IFERROR(MATCH(P127,ListB_Combo,0)+4,""))</f>
        <v/>
      </c>
      <c r="L127" s="51">
        <f>IF(A127="","",IF(K127="","Unmatched",IF(ABS(C127-M127)&lt;=MAX(N(Tolerance),0),"Matched","Difference")))</f>
        <v/>
      </c>
      <c r="M127" s="52">
        <f>IF(K127="","",INDEX('List B'!$C$5:$C$204,K127-4))</f>
        <v/>
      </c>
      <c r="N127" s="52">
        <f>IF(K127="","",C127-M127)</f>
        <v/>
      </c>
      <c r="O127" s="53">
        <f>IF(OR(A127="",K127=""),"",IF(H127&lt;&gt;"","Manual pair",IF(D127&lt;&gt;"","Reference / ID",MatchMode)))</f>
        <v/>
      </c>
      <c r="P127" s="54">
        <f>IF(I127="","",I127&amp;"|"&amp;J127)</f>
        <v/>
      </c>
      <c r="Q127" s="54">
        <f>IF(L127="Matched",COUNTIF($L$5:L127,"Matched"),"")</f>
        <v/>
      </c>
      <c r="R127" s="54">
        <f>IF(L127="Unmatched",COUNTIF($L$5:L127,"Unmatched"),"")</f>
        <v/>
      </c>
      <c r="S127" s="54">
        <f>IF(L127="Difference",COUNTIF($L$5:L127,"Difference"),"")</f>
        <v/>
      </c>
      <c r="T127" s="55">
        <f>IF(L127="Difference",ABS(N127),0)</f>
        <v/>
      </c>
    </row>
    <row r="128" ht="17" customHeight="1">
      <c r="A128" s="86" t="n"/>
      <c r="B128" s="46" t="n"/>
      <c r="C128" s="47" t="n"/>
      <c r="D128" s="46" t="n"/>
      <c r="E128" s="46" t="n"/>
      <c r="F128" s="46" t="n"/>
      <c r="G128" s="48" t="n"/>
      <c r="H128" s="48" t="n"/>
      <c r="I128" s="49">
        <f>IF(A128="","",IF(H128&lt;&gt;"","M|"&amp;TRIM(H128),IF(AND(MatchMode="Reference / ID only",D128=""),"U|"&amp;ROW(),IF(D128&lt;&gt;"","R|"&amp;TRIM(D128),IF(MatchMode="Amount only","A|"&amp;TEXT(ROUND(C128,2),"0.00"),IF(MatchMode="Amount (tolerance)","T|"&amp;TEXT(ROUND(C128/MAX(N(Tolerance),0.0001),0),"0"),IF(MatchMode="Date + amount (tolerance)","DT|"&amp;TEXT(A128,"yyyy-mm-dd")&amp;"|"&amp;TEXT(ROUND(C128/MAX(N(Tolerance),0.0001),0),"0"),IF(MatchMode="Description (exact)","S|"&amp;LOWER(TRIM(B128)),IF(MatchMode="Reference / ID only","U|"&amp;ROW(),"DA|"&amp;TEXT(A128,"yyyy-mm-dd")&amp;"|"&amp;TEXT(ROUND(C128,2),"0.00"))))))))))</f>
        <v/>
      </c>
      <c r="J128" s="50">
        <f>IF(I128="","",COUNTIF($I$5:I128,I128))</f>
        <v/>
      </c>
      <c r="K128" s="50">
        <f>IF(P128="","",IFERROR(MATCH(P128,ListB_Combo,0)+4,""))</f>
        <v/>
      </c>
      <c r="L128" s="51">
        <f>IF(A128="","",IF(K128="","Unmatched",IF(ABS(C128-M128)&lt;=MAX(N(Tolerance),0),"Matched","Difference")))</f>
        <v/>
      </c>
      <c r="M128" s="52">
        <f>IF(K128="","",INDEX('List B'!$C$5:$C$204,K128-4))</f>
        <v/>
      </c>
      <c r="N128" s="52">
        <f>IF(K128="","",C128-M128)</f>
        <v/>
      </c>
      <c r="O128" s="53">
        <f>IF(OR(A128="",K128=""),"",IF(H128&lt;&gt;"","Manual pair",IF(D128&lt;&gt;"","Reference / ID",MatchMode)))</f>
        <v/>
      </c>
      <c r="P128" s="54">
        <f>IF(I128="","",I128&amp;"|"&amp;J128)</f>
        <v/>
      </c>
      <c r="Q128" s="54">
        <f>IF(L128="Matched",COUNTIF($L$5:L128,"Matched"),"")</f>
        <v/>
      </c>
      <c r="R128" s="54">
        <f>IF(L128="Unmatched",COUNTIF($L$5:L128,"Unmatched"),"")</f>
        <v/>
      </c>
      <c r="S128" s="54">
        <f>IF(L128="Difference",COUNTIF($L$5:L128,"Difference"),"")</f>
        <v/>
      </c>
      <c r="T128" s="55">
        <f>IF(L128="Difference",ABS(N128),0)</f>
        <v/>
      </c>
    </row>
    <row r="129" ht="17" customHeight="1">
      <c r="A129" s="86" t="n"/>
      <c r="B129" s="46" t="n"/>
      <c r="C129" s="47" t="n"/>
      <c r="D129" s="46" t="n"/>
      <c r="E129" s="46" t="n"/>
      <c r="F129" s="46" t="n"/>
      <c r="G129" s="48" t="n"/>
      <c r="H129" s="48" t="n"/>
      <c r="I129" s="49">
        <f>IF(A129="","",IF(H129&lt;&gt;"","M|"&amp;TRIM(H129),IF(AND(MatchMode="Reference / ID only",D129=""),"U|"&amp;ROW(),IF(D129&lt;&gt;"","R|"&amp;TRIM(D129),IF(MatchMode="Amount only","A|"&amp;TEXT(ROUND(C129,2),"0.00"),IF(MatchMode="Amount (tolerance)","T|"&amp;TEXT(ROUND(C129/MAX(N(Tolerance),0.0001),0),"0"),IF(MatchMode="Date + amount (tolerance)","DT|"&amp;TEXT(A129,"yyyy-mm-dd")&amp;"|"&amp;TEXT(ROUND(C129/MAX(N(Tolerance),0.0001),0),"0"),IF(MatchMode="Description (exact)","S|"&amp;LOWER(TRIM(B129)),IF(MatchMode="Reference / ID only","U|"&amp;ROW(),"DA|"&amp;TEXT(A129,"yyyy-mm-dd")&amp;"|"&amp;TEXT(ROUND(C129,2),"0.00"))))))))))</f>
        <v/>
      </c>
      <c r="J129" s="50">
        <f>IF(I129="","",COUNTIF($I$5:I129,I129))</f>
        <v/>
      </c>
      <c r="K129" s="50">
        <f>IF(P129="","",IFERROR(MATCH(P129,ListB_Combo,0)+4,""))</f>
        <v/>
      </c>
      <c r="L129" s="51">
        <f>IF(A129="","",IF(K129="","Unmatched",IF(ABS(C129-M129)&lt;=MAX(N(Tolerance),0),"Matched","Difference")))</f>
        <v/>
      </c>
      <c r="M129" s="52">
        <f>IF(K129="","",INDEX('List B'!$C$5:$C$204,K129-4))</f>
        <v/>
      </c>
      <c r="N129" s="52">
        <f>IF(K129="","",C129-M129)</f>
        <v/>
      </c>
      <c r="O129" s="53">
        <f>IF(OR(A129="",K129=""),"",IF(H129&lt;&gt;"","Manual pair",IF(D129&lt;&gt;"","Reference / ID",MatchMode)))</f>
        <v/>
      </c>
      <c r="P129" s="54">
        <f>IF(I129="","",I129&amp;"|"&amp;J129)</f>
        <v/>
      </c>
      <c r="Q129" s="54">
        <f>IF(L129="Matched",COUNTIF($L$5:L129,"Matched"),"")</f>
        <v/>
      </c>
      <c r="R129" s="54">
        <f>IF(L129="Unmatched",COUNTIF($L$5:L129,"Unmatched"),"")</f>
        <v/>
      </c>
      <c r="S129" s="54">
        <f>IF(L129="Difference",COUNTIF($L$5:L129,"Difference"),"")</f>
        <v/>
      </c>
      <c r="T129" s="55">
        <f>IF(L129="Difference",ABS(N129),0)</f>
        <v/>
      </c>
    </row>
    <row r="130" ht="17" customHeight="1">
      <c r="A130" s="86" t="n"/>
      <c r="B130" s="46" t="n"/>
      <c r="C130" s="47" t="n"/>
      <c r="D130" s="46" t="n"/>
      <c r="E130" s="46" t="n"/>
      <c r="F130" s="46" t="n"/>
      <c r="G130" s="48" t="n"/>
      <c r="H130" s="48" t="n"/>
      <c r="I130" s="49">
        <f>IF(A130="","",IF(H130&lt;&gt;"","M|"&amp;TRIM(H130),IF(AND(MatchMode="Reference / ID only",D130=""),"U|"&amp;ROW(),IF(D130&lt;&gt;"","R|"&amp;TRIM(D130),IF(MatchMode="Amount only","A|"&amp;TEXT(ROUND(C130,2),"0.00"),IF(MatchMode="Amount (tolerance)","T|"&amp;TEXT(ROUND(C130/MAX(N(Tolerance),0.0001),0),"0"),IF(MatchMode="Date + amount (tolerance)","DT|"&amp;TEXT(A130,"yyyy-mm-dd")&amp;"|"&amp;TEXT(ROUND(C130/MAX(N(Tolerance),0.0001),0),"0"),IF(MatchMode="Description (exact)","S|"&amp;LOWER(TRIM(B130)),IF(MatchMode="Reference / ID only","U|"&amp;ROW(),"DA|"&amp;TEXT(A130,"yyyy-mm-dd")&amp;"|"&amp;TEXT(ROUND(C130,2),"0.00"))))))))))</f>
        <v/>
      </c>
      <c r="J130" s="50">
        <f>IF(I130="","",COUNTIF($I$5:I130,I130))</f>
        <v/>
      </c>
      <c r="K130" s="50">
        <f>IF(P130="","",IFERROR(MATCH(P130,ListB_Combo,0)+4,""))</f>
        <v/>
      </c>
      <c r="L130" s="51">
        <f>IF(A130="","",IF(K130="","Unmatched",IF(ABS(C130-M130)&lt;=MAX(N(Tolerance),0),"Matched","Difference")))</f>
        <v/>
      </c>
      <c r="M130" s="52">
        <f>IF(K130="","",INDEX('List B'!$C$5:$C$204,K130-4))</f>
        <v/>
      </c>
      <c r="N130" s="52">
        <f>IF(K130="","",C130-M130)</f>
        <v/>
      </c>
      <c r="O130" s="53">
        <f>IF(OR(A130="",K130=""),"",IF(H130&lt;&gt;"","Manual pair",IF(D130&lt;&gt;"","Reference / ID",MatchMode)))</f>
        <v/>
      </c>
      <c r="P130" s="54">
        <f>IF(I130="","",I130&amp;"|"&amp;J130)</f>
        <v/>
      </c>
      <c r="Q130" s="54">
        <f>IF(L130="Matched",COUNTIF($L$5:L130,"Matched"),"")</f>
        <v/>
      </c>
      <c r="R130" s="54">
        <f>IF(L130="Unmatched",COUNTIF($L$5:L130,"Unmatched"),"")</f>
        <v/>
      </c>
      <c r="S130" s="54">
        <f>IF(L130="Difference",COUNTIF($L$5:L130,"Difference"),"")</f>
        <v/>
      </c>
      <c r="T130" s="55">
        <f>IF(L130="Difference",ABS(N130),0)</f>
        <v/>
      </c>
    </row>
    <row r="131" ht="17" customHeight="1">
      <c r="A131" s="86" t="n"/>
      <c r="B131" s="46" t="n"/>
      <c r="C131" s="47" t="n"/>
      <c r="D131" s="46" t="n"/>
      <c r="E131" s="46" t="n"/>
      <c r="F131" s="46" t="n"/>
      <c r="G131" s="48" t="n"/>
      <c r="H131" s="48" t="n"/>
      <c r="I131" s="49">
        <f>IF(A131="","",IF(H131&lt;&gt;"","M|"&amp;TRIM(H131),IF(AND(MatchMode="Reference / ID only",D131=""),"U|"&amp;ROW(),IF(D131&lt;&gt;"","R|"&amp;TRIM(D131),IF(MatchMode="Amount only","A|"&amp;TEXT(ROUND(C131,2),"0.00"),IF(MatchMode="Amount (tolerance)","T|"&amp;TEXT(ROUND(C131/MAX(N(Tolerance),0.0001),0),"0"),IF(MatchMode="Date + amount (tolerance)","DT|"&amp;TEXT(A131,"yyyy-mm-dd")&amp;"|"&amp;TEXT(ROUND(C131/MAX(N(Tolerance),0.0001),0),"0"),IF(MatchMode="Description (exact)","S|"&amp;LOWER(TRIM(B131)),IF(MatchMode="Reference / ID only","U|"&amp;ROW(),"DA|"&amp;TEXT(A131,"yyyy-mm-dd")&amp;"|"&amp;TEXT(ROUND(C131,2),"0.00"))))))))))</f>
        <v/>
      </c>
      <c r="J131" s="50">
        <f>IF(I131="","",COUNTIF($I$5:I131,I131))</f>
        <v/>
      </c>
      <c r="K131" s="50">
        <f>IF(P131="","",IFERROR(MATCH(P131,ListB_Combo,0)+4,""))</f>
        <v/>
      </c>
      <c r="L131" s="51">
        <f>IF(A131="","",IF(K131="","Unmatched",IF(ABS(C131-M131)&lt;=MAX(N(Tolerance),0),"Matched","Difference")))</f>
        <v/>
      </c>
      <c r="M131" s="52">
        <f>IF(K131="","",INDEX('List B'!$C$5:$C$204,K131-4))</f>
        <v/>
      </c>
      <c r="N131" s="52">
        <f>IF(K131="","",C131-M131)</f>
        <v/>
      </c>
      <c r="O131" s="53">
        <f>IF(OR(A131="",K131=""),"",IF(H131&lt;&gt;"","Manual pair",IF(D131&lt;&gt;"","Reference / ID",MatchMode)))</f>
        <v/>
      </c>
      <c r="P131" s="54">
        <f>IF(I131="","",I131&amp;"|"&amp;J131)</f>
        <v/>
      </c>
      <c r="Q131" s="54">
        <f>IF(L131="Matched",COUNTIF($L$5:L131,"Matched"),"")</f>
        <v/>
      </c>
      <c r="R131" s="54">
        <f>IF(L131="Unmatched",COUNTIF($L$5:L131,"Unmatched"),"")</f>
        <v/>
      </c>
      <c r="S131" s="54">
        <f>IF(L131="Difference",COUNTIF($L$5:L131,"Difference"),"")</f>
        <v/>
      </c>
      <c r="T131" s="55">
        <f>IF(L131="Difference",ABS(N131),0)</f>
        <v/>
      </c>
    </row>
    <row r="132" ht="17" customHeight="1">
      <c r="A132" s="86" t="n"/>
      <c r="B132" s="46" t="n"/>
      <c r="C132" s="47" t="n"/>
      <c r="D132" s="46" t="n"/>
      <c r="E132" s="46" t="n"/>
      <c r="F132" s="46" t="n"/>
      <c r="G132" s="48" t="n"/>
      <c r="H132" s="48" t="n"/>
      <c r="I132" s="49">
        <f>IF(A132="","",IF(H132&lt;&gt;"","M|"&amp;TRIM(H132),IF(AND(MatchMode="Reference / ID only",D132=""),"U|"&amp;ROW(),IF(D132&lt;&gt;"","R|"&amp;TRIM(D132),IF(MatchMode="Amount only","A|"&amp;TEXT(ROUND(C132,2),"0.00"),IF(MatchMode="Amount (tolerance)","T|"&amp;TEXT(ROUND(C132/MAX(N(Tolerance),0.0001),0),"0"),IF(MatchMode="Date + amount (tolerance)","DT|"&amp;TEXT(A132,"yyyy-mm-dd")&amp;"|"&amp;TEXT(ROUND(C132/MAX(N(Tolerance),0.0001),0),"0"),IF(MatchMode="Description (exact)","S|"&amp;LOWER(TRIM(B132)),IF(MatchMode="Reference / ID only","U|"&amp;ROW(),"DA|"&amp;TEXT(A132,"yyyy-mm-dd")&amp;"|"&amp;TEXT(ROUND(C132,2),"0.00"))))))))))</f>
        <v/>
      </c>
      <c r="J132" s="50">
        <f>IF(I132="","",COUNTIF($I$5:I132,I132))</f>
        <v/>
      </c>
      <c r="K132" s="50">
        <f>IF(P132="","",IFERROR(MATCH(P132,ListB_Combo,0)+4,""))</f>
        <v/>
      </c>
      <c r="L132" s="51">
        <f>IF(A132="","",IF(K132="","Unmatched",IF(ABS(C132-M132)&lt;=MAX(N(Tolerance),0),"Matched","Difference")))</f>
        <v/>
      </c>
      <c r="M132" s="52">
        <f>IF(K132="","",INDEX('List B'!$C$5:$C$204,K132-4))</f>
        <v/>
      </c>
      <c r="N132" s="52">
        <f>IF(K132="","",C132-M132)</f>
        <v/>
      </c>
      <c r="O132" s="53">
        <f>IF(OR(A132="",K132=""),"",IF(H132&lt;&gt;"","Manual pair",IF(D132&lt;&gt;"","Reference / ID",MatchMode)))</f>
        <v/>
      </c>
      <c r="P132" s="54">
        <f>IF(I132="","",I132&amp;"|"&amp;J132)</f>
        <v/>
      </c>
      <c r="Q132" s="54">
        <f>IF(L132="Matched",COUNTIF($L$5:L132,"Matched"),"")</f>
        <v/>
      </c>
      <c r="R132" s="54">
        <f>IF(L132="Unmatched",COUNTIF($L$5:L132,"Unmatched"),"")</f>
        <v/>
      </c>
      <c r="S132" s="54">
        <f>IF(L132="Difference",COUNTIF($L$5:L132,"Difference"),"")</f>
        <v/>
      </c>
      <c r="T132" s="55">
        <f>IF(L132="Difference",ABS(N132),0)</f>
        <v/>
      </c>
    </row>
    <row r="133" ht="17" customHeight="1">
      <c r="A133" s="86" t="n"/>
      <c r="B133" s="46" t="n"/>
      <c r="C133" s="47" t="n"/>
      <c r="D133" s="46" t="n"/>
      <c r="E133" s="46" t="n"/>
      <c r="F133" s="46" t="n"/>
      <c r="G133" s="48" t="n"/>
      <c r="H133" s="48" t="n"/>
      <c r="I133" s="49">
        <f>IF(A133="","",IF(H133&lt;&gt;"","M|"&amp;TRIM(H133),IF(AND(MatchMode="Reference / ID only",D133=""),"U|"&amp;ROW(),IF(D133&lt;&gt;"","R|"&amp;TRIM(D133),IF(MatchMode="Amount only","A|"&amp;TEXT(ROUND(C133,2),"0.00"),IF(MatchMode="Amount (tolerance)","T|"&amp;TEXT(ROUND(C133/MAX(N(Tolerance),0.0001),0),"0"),IF(MatchMode="Date + amount (tolerance)","DT|"&amp;TEXT(A133,"yyyy-mm-dd")&amp;"|"&amp;TEXT(ROUND(C133/MAX(N(Tolerance),0.0001),0),"0"),IF(MatchMode="Description (exact)","S|"&amp;LOWER(TRIM(B133)),IF(MatchMode="Reference / ID only","U|"&amp;ROW(),"DA|"&amp;TEXT(A133,"yyyy-mm-dd")&amp;"|"&amp;TEXT(ROUND(C133,2),"0.00"))))))))))</f>
        <v/>
      </c>
      <c r="J133" s="50">
        <f>IF(I133="","",COUNTIF($I$5:I133,I133))</f>
        <v/>
      </c>
      <c r="K133" s="50">
        <f>IF(P133="","",IFERROR(MATCH(P133,ListB_Combo,0)+4,""))</f>
        <v/>
      </c>
      <c r="L133" s="51">
        <f>IF(A133="","",IF(K133="","Unmatched",IF(ABS(C133-M133)&lt;=MAX(N(Tolerance),0),"Matched","Difference")))</f>
        <v/>
      </c>
      <c r="M133" s="52">
        <f>IF(K133="","",INDEX('List B'!$C$5:$C$204,K133-4))</f>
        <v/>
      </c>
      <c r="N133" s="52">
        <f>IF(K133="","",C133-M133)</f>
        <v/>
      </c>
      <c r="O133" s="53">
        <f>IF(OR(A133="",K133=""),"",IF(H133&lt;&gt;"","Manual pair",IF(D133&lt;&gt;"","Reference / ID",MatchMode)))</f>
        <v/>
      </c>
      <c r="P133" s="54">
        <f>IF(I133="","",I133&amp;"|"&amp;J133)</f>
        <v/>
      </c>
      <c r="Q133" s="54">
        <f>IF(L133="Matched",COUNTIF($L$5:L133,"Matched"),"")</f>
        <v/>
      </c>
      <c r="R133" s="54">
        <f>IF(L133="Unmatched",COUNTIF($L$5:L133,"Unmatched"),"")</f>
        <v/>
      </c>
      <c r="S133" s="54">
        <f>IF(L133="Difference",COUNTIF($L$5:L133,"Difference"),"")</f>
        <v/>
      </c>
      <c r="T133" s="55">
        <f>IF(L133="Difference",ABS(N133),0)</f>
        <v/>
      </c>
    </row>
    <row r="134" ht="17" customHeight="1">
      <c r="A134" s="86" t="n"/>
      <c r="B134" s="46" t="n"/>
      <c r="C134" s="47" t="n"/>
      <c r="D134" s="46" t="n"/>
      <c r="E134" s="46" t="n"/>
      <c r="F134" s="46" t="n"/>
      <c r="G134" s="48" t="n"/>
      <c r="H134" s="48" t="n"/>
      <c r="I134" s="49">
        <f>IF(A134="","",IF(H134&lt;&gt;"","M|"&amp;TRIM(H134),IF(AND(MatchMode="Reference / ID only",D134=""),"U|"&amp;ROW(),IF(D134&lt;&gt;"","R|"&amp;TRIM(D134),IF(MatchMode="Amount only","A|"&amp;TEXT(ROUND(C134,2),"0.00"),IF(MatchMode="Amount (tolerance)","T|"&amp;TEXT(ROUND(C134/MAX(N(Tolerance),0.0001),0),"0"),IF(MatchMode="Date + amount (tolerance)","DT|"&amp;TEXT(A134,"yyyy-mm-dd")&amp;"|"&amp;TEXT(ROUND(C134/MAX(N(Tolerance),0.0001),0),"0"),IF(MatchMode="Description (exact)","S|"&amp;LOWER(TRIM(B134)),IF(MatchMode="Reference / ID only","U|"&amp;ROW(),"DA|"&amp;TEXT(A134,"yyyy-mm-dd")&amp;"|"&amp;TEXT(ROUND(C134,2),"0.00"))))))))))</f>
        <v/>
      </c>
      <c r="J134" s="50">
        <f>IF(I134="","",COUNTIF($I$5:I134,I134))</f>
        <v/>
      </c>
      <c r="K134" s="50">
        <f>IF(P134="","",IFERROR(MATCH(P134,ListB_Combo,0)+4,""))</f>
        <v/>
      </c>
      <c r="L134" s="51">
        <f>IF(A134="","",IF(K134="","Unmatched",IF(ABS(C134-M134)&lt;=MAX(N(Tolerance),0),"Matched","Difference")))</f>
        <v/>
      </c>
      <c r="M134" s="52">
        <f>IF(K134="","",INDEX('List B'!$C$5:$C$204,K134-4))</f>
        <v/>
      </c>
      <c r="N134" s="52">
        <f>IF(K134="","",C134-M134)</f>
        <v/>
      </c>
      <c r="O134" s="53">
        <f>IF(OR(A134="",K134=""),"",IF(H134&lt;&gt;"","Manual pair",IF(D134&lt;&gt;"","Reference / ID",MatchMode)))</f>
        <v/>
      </c>
      <c r="P134" s="54">
        <f>IF(I134="","",I134&amp;"|"&amp;J134)</f>
        <v/>
      </c>
      <c r="Q134" s="54">
        <f>IF(L134="Matched",COUNTIF($L$5:L134,"Matched"),"")</f>
        <v/>
      </c>
      <c r="R134" s="54">
        <f>IF(L134="Unmatched",COUNTIF($L$5:L134,"Unmatched"),"")</f>
        <v/>
      </c>
      <c r="S134" s="54">
        <f>IF(L134="Difference",COUNTIF($L$5:L134,"Difference"),"")</f>
        <v/>
      </c>
      <c r="T134" s="55">
        <f>IF(L134="Difference",ABS(N134),0)</f>
        <v/>
      </c>
    </row>
    <row r="135" ht="17" customHeight="1">
      <c r="A135" s="86" t="n"/>
      <c r="B135" s="46" t="n"/>
      <c r="C135" s="47" t="n"/>
      <c r="D135" s="46" t="n"/>
      <c r="E135" s="46" t="n"/>
      <c r="F135" s="46" t="n"/>
      <c r="G135" s="48" t="n"/>
      <c r="H135" s="48" t="n"/>
      <c r="I135" s="49">
        <f>IF(A135="","",IF(H135&lt;&gt;"","M|"&amp;TRIM(H135),IF(AND(MatchMode="Reference / ID only",D135=""),"U|"&amp;ROW(),IF(D135&lt;&gt;"","R|"&amp;TRIM(D135),IF(MatchMode="Amount only","A|"&amp;TEXT(ROUND(C135,2),"0.00"),IF(MatchMode="Amount (tolerance)","T|"&amp;TEXT(ROUND(C135/MAX(N(Tolerance),0.0001),0),"0"),IF(MatchMode="Date + amount (tolerance)","DT|"&amp;TEXT(A135,"yyyy-mm-dd")&amp;"|"&amp;TEXT(ROUND(C135/MAX(N(Tolerance),0.0001),0),"0"),IF(MatchMode="Description (exact)","S|"&amp;LOWER(TRIM(B135)),IF(MatchMode="Reference / ID only","U|"&amp;ROW(),"DA|"&amp;TEXT(A135,"yyyy-mm-dd")&amp;"|"&amp;TEXT(ROUND(C135,2),"0.00"))))))))))</f>
        <v/>
      </c>
      <c r="J135" s="50">
        <f>IF(I135="","",COUNTIF($I$5:I135,I135))</f>
        <v/>
      </c>
      <c r="K135" s="50">
        <f>IF(P135="","",IFERROR(MATCH(P135,ListB_Combo,0)+4,""))</f>
        <v/>
      </c>
      <c r="L135" s="51">
        <f>IF(A135="","",IF(K135="","Unmatched",IF(ABS(C135-M135)&lt;=MAX(N(Tolerance),0),"Matched","Difference")))</f>
        <v/>
      </c>
      <c r="M135" s="52">
        <f>IF(K135="","",INDEX('List B'!$C$5:$C$204,K135-4))</f>
        <v/>
      </c>
      <c r="N135" s="52">
        <f>IF(K135="","",C135-M135)</f>
        <v/>
      </c>
      <c r="O135" s="53">
        <f>IF(OR(A135="",K135=""),"",IF(H135&lt;&gt;"","Manual pair",IF(D135&lt;&gt;"","Reference / ID",MatchMode)))</f>
        <v/>
      </c>
      <c r="P135" s="54">
        <f>IF(I135="","",I135&amp;"|"&amp;J135)</f>
        <v/>
      </c>
      <c r="Q135" s="54">
        <f>IF(L135="Matched",COUNTIF($L$5:L135,"Matched"),"")</f>
        <v/>
      </c>
      <c r="R135" s="54">
        <f>IF(L135="Unmatched",COUNTIF($L$5:L135,"Unmatched"),"")</f>
        <v/>
      </c>
      <c r="S135" s="54">
        <f>IF(L135="Difference",COUNTIF($L$5:L135,"Difference"),"")</f>
        <v/>
      </c>
      <c r="T135" s="55">
        <f>IF(L135="Difference",ABS(N135),0)</f>
        <v/>
      </c>
    </row>
    <row r="136" ht="17" customHeight="1">
      <c r="A136" s="86" t="n"/>
      <c r="B136" s="46" t="n"/>
      <c r="C136" s="47" t="n"/>
      <c r="D136" s="46" t="n"/>
      <c r="E136" s="46" t="n"/>
      <c r="F136" s="46" t="n"/>
      <c r="G136" s="48" t="n"/>
      <c r="H136" s="48" t="n"/>
      <c r="I136" s="49">
        <f>IF(A136="","",IF(H136&lt;&gt;"","M|"&amp;TRIM(H136),IF(AND(MatchMode="Reference / ID only",D136=""),"U|"&amp;ROW(),IF(D136&lt;&gt;"","R|"&amp;TRIM(D136),IF(MatchMode="Amount only","A|"&amp;TEXT(ROUND(C136,2),"0.00"),IF(MatchMode="Amount (tolerance)","T|"&amp;TEXT(ROUND(C136/MAX(N(Tolerance),0.0001),0),"0"),IF(MatchMode="Date + amount (tolerance)","DT|"&amp;TEXT(A136,"yyyy-mm-dd")&amp;"|"&amp;TEXT(ROUND(C136/MAX(N(Tolerance),0.0001),0),"0"),IF(MatchMode="Description (exact)","S|"&amp;LOWER(TRIM(B136)),IF(MatchMode="Reference / ID only","U|"&amp;ROW(),"DA|"&amp;TEXT(A136,"yyyy-mm-dd")&amp;"|"&amp;TEXT(ROUND(C136,2),"0.00"))))))))))</f>
        <v/>
      </c>
      <c r="J136" s="50">
        <f>IF(I136="","",COUNTIF($I$5:I136,I136))</f>
        <v/>
      </c>
      <c r="K136" s="50">
        <f>IF(P136="","",IFERROR(MATCH(P136,ListB_Combo,0)+4,""))</f>
        <v/>
      </c>
      <c r="L136" s="51">
        <f>IF(A136="","",IF(K136="","Unmatched",IF(ABS(C136-M136)&lt;=MAX(N(Tolerance),0),"Matched","Difference")))</f>
        <v/>
      </c>
      <c r="M136" s="52">
        <f>IF(K136="","",INDEX('List B'!$C$5:$C$204,K136-4))</f>
        <v/>
      </c>
      <c r="N136" s="52">
        <f>IF(K136="","",C136-M136)</f>
        <v/>
      </c>
      <c r="O136" s="53">
        <f>IF(OR(A136="",K136=""),"",IF(H136&lt;&gt;"","Manual pair",IF(D136&lt;&gt;"","Reference / ID",MatchMode)))</f>
        <v/>
      </c>
      <c r="P136" s="54">
        <f>IF(I136="","",I136&amp;"|"&amp;J136)</f>
        <v/>
      </c>
      <c r="Q136" s="54">
        <f>IF(L136="Matched",COUNTIF($L$5:L136,"Matched"),"")</f>
        <v/>
      </c>
      <c r="R136" s="54">
        <f>IF(L136="Unmatched",COUNTIF($L$5:L136,"Unmatched"),"")</f>
        <v/>
      </c>
      <c r="S136" s="54">
        <f>IF(L136="Difference",COUNTIF($L$5:L136,"Difference"),"")</f>
        <v/>
      </c>
      <c r="T136" s="55">
        <f>IF(L136="Difference",ABS(N136),0)</f>
        <v/>
      </c>
    </row>
    <row r="137" ht="17" customHeight="1">
      <c r="A137" s="86" t="n"/>
      <c r="B137" s="46" t="n"/>
      <c r="C137" s="47" t="n"/>
      <c r="D137" s="46" t="n"/>
      <c r="E137" s="46" t="n"/>
      <c r="F137" s="46" t="n"/>
      <c r="G137" s="48" t="n"/>
      <c r="H137" s="48" t="n"/>
      <c r="I137" s="49">
        <f>IF(A137="","",IF(H137&lt;&gt;"","M|"&amp;TRIM(H137),IF(AND(MatchMode="Reference / ID only",D137=""),"U|"&amp;ROW(),IF(D137&lt;&gt;"","R|"&amp;TRIM(D137),IF(MatchMode="Amount only","A|"&amp;TEXT(ROUND(C137,2),"0.00"),IF(MatchMode="Amount (tolerance)","T|"&amp;TEXT(ROUND(C137/MAX(N(Tolerance),0.0001),0),"0"),IF(MatchMode="Date + amount (tolerance)","DT|"&amp;TEXT(A137,"yyyy-mm-dd")&amp;"|"&amp;TEXT(ROUND(C137/MAX(N(Tolerance),0.0001),0),"0"),IF(MatchMode="Description (exact)","S|"&amp;LOWER(TRIM(B137)),IF(MatchMode="Reference / ID only","U|"&amp;ROW(),"DA|"&amp;TEXT(A137,"yyyy-mm-dd")&amp;"|"&amp;TEXT(ROUND(C137,2),"0.00"))))))))))</f>
        <v/>
      </c>
      <c r="J137" s="50">
        <f>IF(I137="","",COUNTIF($I$5:I137,I137))</f>
        <v/>
      </c>
      <c r="K137" s="50">
        <f>IF(P137="","",IFERROR(MATCH(P137,ListB_Combo,0)+4,""))</f>
        <v/>
      </c>
      <c r="L137" s="51">
        <f>IF(A137="","",IF(K137="","Unmatched",IF(ABS(C137-M137)&lt;=MAX(N(Tolerance),0),"Matched","Difference")))</f>
        <v/>
      </c>
      <c r="M137" s="52">
        <f>IF(K137="","",INDEX('List B'!$C$5:$C$204,K137-4))</f>
        <v/>
      </c>
      <c r="N137" s="52">
        <f>IF(K137="","",C137-M137)</f>
        <v/>
      </c>
      <c r="O137" s="53">
        <f>IF(OR(A137="",K137=""),"",IF(H137&lt;&gt;"","Manual pair",IF(D137&lt;&gt;"","Reference / ID",MatchMode)))</f>
        <v/>
      </c>
      <c r="P137" s="54">
        <f>IF(I137="","",I137&amp;"|"&amp;J137)</f>
        <v/>
      </c>
      <c r="Q137" s="54">
        <f>IF(L137="Matched",COUNTIF($L$5:L137,"Matched"),"")</f>
        <v/>
      </c>
      <c r="R137" s="54">
        <f>IF(L137="Unmatched",COUNTIF($L$5:L137,"Unmatched"),"")</f>
        <v/>
      </c>
      <c r="S137" s="54">
        <f>IF(L137="Difference",COUNTIF($L$5:L137,"Difference"),"")</f>
        <v/>
      </c>
      <c r="T137" s="55">
        <f>IF(L137="Difference",ABS(N137),0)</f>
        <v/>
      </c>
    </row>
    <row r="138" ht="17" customHeight="1">
      <c r="A138" s="86" t="n"/>
      <c r="B138" s="46" t="n"/>
      <c r="C138" s="47" t="n"/>
      <c r="D138" s="46" t="n"/>
      <c r="E138" s="46" t="n"/>
      <c r="F138" s="46" t="n"/>
      <c r="G138" s="48" t="n"/>
      <c r="H138" s="48" t="n"/>
      <c r="I138" s="49">
        <f>IF(A138="","",IF(H138&lt;&gt;"","M|"&amp;TRIM(H138),IF(AND(MatchMode="Reference / ID only",D138=""),"U|"&amp;ROW(),IF(D138&lt;&gt;"","R|"&amp;TRIM(D138),IF(MatchMode="Amount only","A|"&amp;TEXT(ROUND(C138,2),"0.00"),IF(MatchMode="Amount (tolerance)","T|"&amp;TEXT(ROUND(C138/MAX(N(Tolerance),0.0001),0),"0"),IF(MatchMode="Date + amount (tolerance)","DT|"&amp;TEXT(A138,"yyyy-mm-dd")&amp;"|"&amp;TEXT(ROUND(C138/MAX(N(Tolerance),0.0001),0),"0"),IF(MatchMode="Description (exact)","S|"&amp;LOWER(TRIM(B138)),IF(MatchMode="Reference / ID only","U|"&amp;ROW(),"DA|"&amp;TEXT(A138,"yyyy-mm-dd")&amp;"|"&amp;TEXT(ROUND(C138,2),"0.00"))))))))))</f>
        <v/>
      </c>
      <c r="J138" s="50">
        <f>IF(I138="","",COUNTIF($I$5:I138,I138))</f>
        <v/>
      </c>
      <c r="K138" s="50">
        <f>IF(P138="","",IFERROR(MATCH(P138,ListB_Combo,0)+4,""))</f>
        <v/>
      </c>
      <c r="L138" s="51">
        <f>IF(A138="","",IF(K138="","Unmatched",IF(ABS(C138-M138)&lt;=MAX(N(Tolerance),0),"Matched","Difference")))</f>
        <v/>
      </c>
      <c r="M138" s="52">
        <f>IF(K138="","",INDEX('List B'!$C$5:$C$204,K138-4))</f>
        <v/>
      </c>
      <c r="N138" s="52">
        <f>IF(K138="","",C138-M138)</f>
        <v/>
      </c>
      <c r="O138" s="53">
        <f>IF(OR(A138="",K138=""),"",IF(H138&lt;&gt;"","Manual pair",IF(D138&lt;&gt;"","Reference / ID",MatchMode)))</f>
        <v/>
      </c>
      <c r="P138" s="54">
        <f>IF(I138="","",I138&amp;"|"&amp;J138)</f>
        <v/>
      </c>
      <c r="Q138" s="54">
        <f>IF(L138="Matched",COUNTIF($L$5:L138,"Matched"),"")</f>
        <v/>
      </c>
      <c r="R138" s="54">
        <f>IF(L138="Unmatched",COUNTIF($L$5:L138,"Unmatched"),"")</f>
        <v/>
      </c>
      <c r="S138" s="54">
        <f>IF(L138="Difference",COUNTIF($L$5:L138,"Difference"),"")</f>
        <v/>
      </c>
      <c r="T138" s="55">
        <f>IF(L138="Difference",ABS(N138),0)</f>
        <v/>
      </c>
    </row>
    <row r="139" ht="17" customHeight="1">
      <c r="A139" s="86" t="n"/>
      <c r="B139" s="46" t="n"/>
      <c r="C139" s="47" t="n"/>
      <c r="D139" s="46" t="n"/>
      <c r="E139" s="46" t="n"/>
      <c r="F139" s="46" t="n"/>
      <c r="G139" s="48" t="n"/>
      <c r="H139" s="48" t="n"/>
      <c r="I139" s="49">
        <f>IF(A139="","",IF(H139&lt;&gt;"","M|"&amp;TRIM(H139),IF(AND(MatchMode="Reference / ID only",D139=""),"U|"&amp;ROW(),IF(D139&lt;&gt;"","R|"&amp;TRIM(D139),IF(MatchMode="Amount only","A|"&amp;TEXT(ROUND(C139,2),"0.00"),IF(MatchMode="Amount (tolerance)","T|"&amp;TEXT(ROUND(C139/MAX(N(Tolerance),0.0001),0),"0"),IF(MatchMode="Date + amount (tolerance)","DT|"&amp;TEXT(A139,"yyyy-mm-dd")&amp;"|"&amp;TEXT(ROUND(C139/MAX(N(Tolerance),0.0001),0),"0"),IF(MatchMode="Description (exact)","S|"&amp;LOWER(TRIM(B139)),IF(MatchMode="Reference / ID only","U|"&amp;ROW(),"DA|"&amp;TEXT(A139,"yyyy-mm-dd")&amp;"|"&amp;TEXT(ROUND(C139,2),"0.00"))))))))))</f>
        <v/>
      </c>
      <c r="J139" s="50">
        <f>IF(I139="","",COUNTIF($I$5:I139,I139))</f>
        <v/>
      </c>
      <c r="K139" s="50">
        <f>IF(P139="","",IFERROR(MATCH(P139,ListB_Combo,0)+4,""))</f>
        <v/>
      </c>
      <c r="L139" s="51">
        <f>IF(A139="","",IF(K139="","Unmatched",IF(ABS(C139-M139)&lt;=MAX(N(Tolerance),0),"Matched","Difference")))</f>
        <v/>
      </c>
      <c r="M139" s="52">
        <f>IF(K139="","",INDEX('List B'!$C$5:$C$204,K139-4))</f>
        <v/>
      </c>
      <c r="N139" s="52">
        <f>IF(K139="","",C139-M139)</f>
        <v/>
      </c>
      <c r="O139" s="53">
        <f>IF(OR(A139="",K139=""),"",IF(H139&lt;&gt;"","Manual pair",IF(D139&lt;&gt;"","Reference / ID",MatchMode)))</f>
        <v/>
      </c>
      <c r="P139" s="54">
        <f>IF(I139="","",I139&amp;"|"&amp;J139)</f>
        <v/>
      </c>
      <c r="Q139" s="54">
        <f>IF(L139="Matched",COUNTIF($L$5:L139,"Matched"),"")</f>
        <v/>
      </c>
      <c r="R139" s="54">
        <f>IF(L139="Unmatched",COUNTIF($L$5:L139,"Unmatched"),"")</f>
        <v/>
      </c>
      <c r="S139" s="54">
        <f>IF(L139="Difference",COUNTIF($L$5:L139,"Difference"),"")</f>
        <v/>
      </c>
      <c r="T139" s="55">
        <f>IF(L139="Difference",ABS(N139),0)</f>
        <v/>
      </c>
    </row>
    <row r="140" ht="17" customHeight="1">
      <c r="A140" s="86" t="n"/>
      <c r="B140" s="46" t="n"/>
      <c r="C140" s="47" t="n"/>
      <c r="D140" s="46" t="n"/>
      <c r="E140" s="46" t="n"/>
      <c r="F140" s="46" t="n"/>
      <c r="G140" s="48" t="n"/>
      <c r="H140" s="48" t="n"/>
      <c r="I140" s="49">
        <f>IF(A140="","",IF(H140&lt;&gt;"","M|"&amp;TRIM(H140),IF(AND(MatchMode="Reference / ID only",D140=""),"U|"&amp;ROW(),IF(D140&lt;&gt;"","R|"&amp;TRIM(D140),IF(MatchMode="Amount only","A|"&amp;TEXT(ROUND(C140,2),"0.00"),IF(MatchMode="Amount (tolerance)","T|"&amp;TEXT(ROUND(C140/MAX(N(Tolerance),0.0001),0),"0"),IF(MatchMode="Date + amount (tolerance)","DT|"&amp;TEXT(A140,"yyyy-mm-dd")&amp;"|"&amp;TEXT(ROUND(C140/MAX(N(Tolerance),0.0001),0),"0"),IF(MatchMode="Description (exact)","S|"&amp;LOWER(TRIM(B140)),IF(MatchMode="Reference / ID only","U|"&amp;ROW(),"DA|"&amp;TEXT(A140,"yyyy-mm-dd")&amp;"|"&amp;TEXT(ROUND(C140,2),"0.00"))))))))))</f>
        <v/>
      </c>
      <c r="J140" s="50">
        <f>IF(I140="","",COUNTIF($I$5:I140,I140))</f>
        <v/>
      </c>
      <c r="K140" s="50">
        <f>IF(P140="","",IFERROR(MATCH(P140,ListB_Combo,0)+4,""))</f>
        <v/>
      </c>
      <c r="L140" s="51">
        <f>IF(A140="","",IF(K140="","Unmatched",IF(ABS(C140-M140)&lt;=MAX(N(Tolerance),0),"Matched","Difference")))</f>
        <v/>
      </c>
      <c r="M140" s="52">
        <f>IF(K140="","",INDEX('List B'!$C$5:$C$204,K140-4))</f>
        <v/>
      </c>
      <c r="N140" s="52">
        <f>IF(K140="","",C140-M140)</f>
        <v/>
      </c>
      <c r="O140" s="53">
        <f>IF(OR(A140="",K140=""),"",IF(H140&lt;&gt;"","Manual pair",IF(D140&lt;&gt;"","Reference / ID",MatchMode)))</f>
        <v/>
      </c>
      <c r="P140" s="54">
        <f>IF(I140="","",I140&amp;"|"&amp;J140)</f>
        <v/>
      </c>
      <c r="Q140" s="54">
        <f>IF(L140="Matched",COUNTIF($L$5:L140,"Matched"),"")</f>
        <v/>
      </c>
      <c r="R140" s="54">
        <f>IF(L140="Unmatched",COUNTIF($L$5:L140,"Unmatched"),"")</f>
        <v/>
      </c>
      <c r="S140" s="54">
        <f>IF(L140="Difference",COUNTIF($L$5:L140,"Difference"),"")</f>
        <v/>
      </c>
      <c r="T140" s="55">
        <f>IF(L140="Difference",ABS(N140),0)</f>
        <v/>
      </c>
    </row>
    <row r="141" ht="17" customHeight="1">
      <c r="A141" s="86" t="n"/>
      <c r="B141" s="46" t="n"/>
      <c r="C141" s="47" t="n"/>
      <c r="D141" s="46" t="n"/>
      <c r="E141" s="46" t="n"/>
      <c r="F141" s="46" t="n"/>
      <c r="G141" s="48" t="n"/>
      <c r="H141" s="48" t="n"/>
      <c r="I141" s="49">
        <f>IF(A141="","",IF(H141&lt;&gt;"","M|"&amp;TRIM(H141),IF(AND(MatchMode="Reference / ID only",D141=""),"U|"&amp;ROW(),IF(D141&lt;&gt;"","R|"&amp;TRIM(D141),IF(MatchMode="Amount only","A|"&amp;TEXT(ROUND(C141,2),"0.00"),IF(MatchMode="Amount (tolerance)","T|"&amp;TEXT(ROUND(C141/MAX(N(Tolerance),0.0001),0),"0"),IF(MatchMode="Date + amount (tolerance)","DT|"&amp;TEXT(A141,"yyyy-mm-dd")&amp;"|"&amp;TEXT(ROUND(C141/MAX(N(Tolerance),0.0001),0),"0"),IF(MatchMode="Description (exact)","S|"&amp;LOWER(TRIM(B141)),IF(MatchMode="Reference / ID only","U|"&amp;ROW(),"DA|"&amp;TEXT(A141,"yyyy-mm-dd")&amp;"|"&amp;TEXT(ROUND(C141,2),"0.00"))))))))))</f>
        <v/>
      </c>
      <c r="J141" s="50">
        <f>IF(I141="","",COUNTIF($I$5:I141,I141))</f>
        <v/>
      </c>
      <c r="K141" s="50">
        <f>IF(P141="","",IFERROR(MATCH(P141,ListB_Combo,0)+4,""))</f>
        <v/>
      </c>
      <c r="L141" s="51">
        <f>IF(A141="","",IF(K141="","Unmatched",IF(ABS(C141-M141)&lt;=MAX(N(Tolerance),0),"Matched","Difference")))</f>
        <v/>
      </c>
      <c r="M141" s="52">
        <f>IF(K141="","",INDEX('List B'!$C$5:$C$204,K141-4))</f>
        <v/>
      </c>
      <c r="N141" s="52">
        <f>IF(K141="","",C141-M141)</f>
        <v/>
      </c>
      <c r="O141" s="53">
        <f>IF(OR(A141="",K141=""),"",IF(H141&lt;&gt;"","Manual pair",IF(D141&lt;&gt;"","Reference / ID",MatchMode)))</f>
        <v/>
      </c>
      <c r="P141" s="54">
        <f>IF(I141="","",I141&amp;"|"&amp;J141)</f>
        <v/>
      </c>
      <c r="Q141" s="54">
        <f>IF(L141="Matched",COUNTIF($L$5:L141,"Matched"),"")</f>
        <v/>
      </c>
      <c r="R141" s="54">
        <f>IF(L141="Unmatched",COUNTIF($L$5:L141,"Unmatched"),"")</f>
        <v/>
      </c>
      <c r="S141" s="54">
        <f>IF(L141="Difference",COUNTIF($L$5:L141,"Difference"),"")</f>
        <v/>
      </c>
      <c r="T141" s="55">
        <f>IF(L141="Difference",ABS(N141),0)</f>
        <v/>
      </c>
    </row>
    <row r="142" ht="17" customHeight="1">
      <c r="A142" s="86" t="n"/>
      <c r="B142" s="46" t="n"/>
      <c r="C142" s="47" t="n"/>
      <c r="D142" s="46" t="n"/>
      <c r="E142" s="46" t="n"/>
      <c r="F142" s="46" t="n"/>
      <c r="G142" s="48" t="n"/>
      <c r="H142" s="48" t="n"/>
      <c r="I142" s="49">
        <f>IF(A142="","",IF(H142&lt;&gt;"","M|"&amp;TRIM(H142),IF(AND(MatchMode="Reference / ID only",D142=""),"U|"&amp;ROW(),IF(D142&lt;&gt;"","R|"&amp;TRIM(D142),IF(MatchMode="Amount only","A|"&amp;TEXT(ROUND(C142,2),"0.00"),IF(MatchMode="Amount (tolerance)","T|"&amp;TEXT(ROUND(C142/MAX(N(Tolerance),0.0001),0),"0"),IF(MatchMode="Date + amount (tolerance)","DT|"&amp;TEXT(A142,"yyyy-mm-dd")&amp;"|"&amp;TEXT(ROUND(C142/MAX(N(Tolerance),0.0001),0),"0"),IF(MatchMode="Description (exact)","S|"&amp;LOWER(TRIM(B142)),IF(MatchMode="Reference / ID only","U|"&amp;ROW(),"DA|"&amp;TEXT(A142,"yyyy-mm-dd")&amp;"|"&amp;TEXT(ROUND(C142,2),"0.00"))))))))))</f>
        <v/>
      </c>
      <c r="J142" s="50">
        <f>IF(I142="","",COUNTIF($I$5:I142,I142))</f>
        <v/>
      </c>
      <c r="K142" s="50">
        <f>IF(P142="","",IFERROR(MATCH(P142,ListB_Combo,0)+4,""))</f>
        <v/>
      </c>
      <c r="L142" s="51">
        <f>IF(A142="","",IF(K142="","Unmatched",IF(ABS(C142-M142)&lt;=MAX(N(Tolerance),0),"Matched","Difference")))</f>
        <v/>
      </c>
      <c r="M142" s="52">
        <f>IF(K142="","",INDEX('List B'!$C$5:$C$204,K142-4))</f>
        <v/>
      </c>
      <c r="N142" s="52">
        <f>IF(K142="","",C142-M142)</f>
        <v/>
      </c>
      <c r="O142" s="53">
        <f>IF(OR(A142="",K142=""),"",IF(H142&lt;&gt;"","Manual pair",IF(D142&lt;&gt;"","Reference / ID",MatchMode)))</f>
        <v/>
      </c>
      <c r="P142" s="54">
        <f>IF(I142="","",I142&amp;"|"&amp;J142)</f>
        <v/>
      </c>
      <c r="Q142" s="54">
        <f>IF(L142="Matched",COUNTIF($L$5:L142,"Matched"),"")</f>
        <v/>
      </c>
      <c r="R142" s="54">
        <f>IF(L142="Unmatched",COUNTIF($L$5:L142,"Unmatched"),"")</f>
        <v/>
      </c>
      <c r="S142" s="54">
        <f>IF(L142="Difference",COUNTIF($L$5:L142,"Difference"),"")</f>
        <v/>
      </c>
      <c r="T142" s="55">
        <f>IF(L142="Difference",ABS(N142),0)</f>
        <v/>
      </c>
    </row>
    <row r="143" ht="17" customHeight="1">
      <c r="A143" s="86" t="n"/>
      <c r="B143" s="46" t="n"/>
      <c r="C143" s="47" t="n"/>
      <c r="D143" s="46" t="n"/>
      <c r="E143" s="46" t="n"/>
      <c r="F143" s="46" t="n"/>
      <c r="G143" s="48" t="n"/>
      <c r="H143" s="48" t="n"/>
      <c r="I143" s="49">
        <f>IF(A143="","",IF(H143&lt;&gt;"","M|"&amp;TRIM(H143),IF(AND(MatchMode="Reference / ID only",D143=""),"U|"&amp;ROW(),IF(D143&lt;&gt;"","R|"&amp;TRIM(D143),IF(MatchMode="Amount only","A|"&amp;TEXT(ROUND(C143,2),"0.00"),IF(MatchMode="Amount (tolerance)","T|"&amp;TEXT(ROUND(C143/MAX(N(Tolerance),0.0001),0),"0"),IF(MatchMode="Date + amount (tolerance)","DT|"&amp;TEXT(A143,"yyyy-mm-dd")&amp;"|"&amp;TEXT(ROUND(C143/MAX(N(Tolerance),0.0001),0),"0"),IF(MatchMode="Description (exact)","S|"&amp;LOWER(TRIM(B143)),IF(MatchMode="Reference / ID only","U|"&amp;ROW(),"DA|"&amp;TEXT(A143,"yyyy-mm-dd")&amp;"|"&amp;TEXT(ROUND(C143,2),"0.00"))))))))))</f>
        <v/>
      </c>
      <c r="J143" s="50">
        <f>IF(I143="","",COUNTIF($I$5:I143,I143))</f>
        <v/>
      </c>
      <c r="K143" s="50">
        <f>IF(P143="","",IFERROR(MATCH(P143,ListB_Combo,0)+4,""))</f>
        <v/>
      </c>
      <c r="L143" s="51">
        <f>IF(A143="","",IF(K143="","Unmatched",IF(ABS(C143-M143)&lt;=MAX(N(Tolerance),0),"Matched","Difference")))</f>
        <v/>
      </c>
      <c r="M143" s="52">
        <f>IF(K143="","",INDEX('List B'!$C$5:$C$204,K143-4))</f>
        <v/>
      </c>
      <c r="N143" s="52">
        <f>IF(K143="","",C143-M143)</f>
        <v/>
      </c>
      <c r="O143" s="53">
        <f>IF(OR(A143="",K143=""),"",IF(H143&lt;&gt;"","Manual pair",IF(D143&lt;&gt;"","Reference / ID",MatchMode)))</f>
        <v/>
      </c>
      <c r="P143" s="54">
        <f>IF(I143="","",I143&amp;"|"&amp;J143)</f>
        <v/>
      </c>
      <c r="Q143" s="54">
        <f>IF(L143="Matched",COUNTIF($L$5:L143,"Matched"),"")</f>
        <v/>
      </c>
      <c r="R143" s="54">
        <f>IF(L143="Unmatched",COUNTIF($L$5:L143,"Unmatched"),"")</f>
        <v/>
      </c>
      <c r="S143" s="54">
        <f>IF(L143="Difference",COUNTIF($L$5:L143,"Difference"),"")</f>
        <v/>
      </c>
      <c r="T143" s="55">
        <f>IF(L143="Difference",ABS(N143),0)</f>
        <v/>
      </c>
    </row>
    <row r="144" ht="17" customHeight="1">
      <c r="A144" s="86" t="n"/>
      <c r="B144" s="46" t="n"/>
      <c r="C144" s="47" t="n"/>
      <c r="D144" s="46" t="n"/>
      <c r="E144" s="46" t="n"/>
      <c r="F144" s="46" t="n"/>
      <c r="G144" s="48" t="n"/>
      <c r="H144" s="48" t="n"/>
      <c r="I144" s="49">
        <f>IF(A144="","",IF(H144&lt;&gt;"","M|"&amp;TRIM(H144),IF(AND(MatchMode="Reference / ID only",D144=""),"U|"&amp;ROW(),IF(D144&lt;&gt;"","R|"&amp;TRIM(D144),IF(MatchMode="Amount only","A|"&amp;TEXT(ROUND(C144,2),"0.00"),IF(MatchMode="Amount (tolerance)","T|"&amp;TEXT(ROUND(C144/MAX(N(Tolerance),0.0001),0),"0"),IF(MatchMode="Date + amount (tolerance)","DT|"&amp;TEXT(A144,"yyyy-mm-dd")&amp;"|"&amp;TEXT(ROUND(C144/MAX(N(Tolerance),0.0001),0),"0"),IF(MatchMode="Description (exact)","S|"&amp;LOWER(TRIM(B144)),IF(MatchMode="Reference / ID only","U|"&amp;ROW(),"DA|"&amp;TEXT(A144,"yyyy-mm-dd")&amp;"|"&amp;TEXT(ROUND(C144,2),"0.00"))))))))))</f>
        <v/>
      </c>
      <c r="J144" s="50">
        <f>IF(I144="","",COUNTIF($I$5:I144,I144))</f>
        <v/>
      </c>
      <c r="K144" s="50">
        <f>IF(P144="","",IFERROR(MATCH(P144,ListB_Combo,0)+4,""))</f>
        <v/>
      </c>
      <c r="L144" s="51">
        <f>IF(A144="","",IF(K144="","Unmatched",IF(ABS(C144-M144)&lt;=MAX(N(Tolerance),0),"Matched","Difference")))</f>
        <v/>
      </c>
      <c r="M144" s="52">
        <f>IF(K144="","",INDEX('List B'!$C$5:$C$204,K144-4))</f>
        <v/>
      </c>
      <c r="N144" s="52">
        <f>IF(K144="","",C144-M144)</f>
        <v/>
      </c>
      <c r="O144" s="53">
        <f>IF(OR(A144="",K144=""),"",IF(H144&lt;&gt;"","Manual pair",IF(D144&lt;&gt;"","Reference / ID",MatchMode)))</f>
        <v/>
      </c>
      <c r="P144" s="54">
        <f>IF(I144="","",I144&amp;"|"&amp;J144)</f>
        <v/>
      </c>
      <c r="Q144" s="54">
        <f>IF(L144="Matched",COUNTIF($L$5:L144,"Matched"),"")</f>
        <v/>
      </c>
      <c r="R144" s="54">
        <f>IF(L144="Unmatched",COUNTIF($L$5:L144,"Unmatched"),"")</f>
        <v/>
      </c>
      <c r="S144" s="54">
        <f>IF(L144="Difference",COUNTIF($L$5:L144,"Difference"),"")</f>
        <v/>
      </c>
      <c r="T144" s="55">
        <f>IF(L144="Difference",ABS(N144),0)</f>
        <v/>
      </c>
    </row>
    <row r="145" ht="17" customHeight="1">
      <c r="A145" s="86" t="n"/>
      <c r="B145" s="46" t="n"/>
      <c r="C145" s="47" t="n"/>
      <c r="D145" s="46" t="n"/>
      <c r="E145" s="46" t="n"/>
      <c r="F145" s="46" t="n"/>
      <c r="G145" s="48" t="n"/>
      <c r="H145" s="48" t="n"/>
      <c r="I145" s="49">
        <f>IF(A145="","",IF(H145&lt;&gt;"","M|"&amp;TRIM(H145),IF(AND(MatchMode="Reference / ID only",D145=""),"U|"&amp;ROW(),IF(D145&lt;&gt;"","R|"&amp;TRIM(D145),IF(MatchMode="Amount only","A|"&amp;TEXT(ROUND(C145,2),"0.00"),IF(MatchMode="Amount (tolerance)","T|"&amp;TEXT(ROUND(C145/MAX(N(Tolerance),0.0001),0),"0"),IF(MatchMode="Date + amount (tolerance)","DT|"&amp;TEXT(A145,"yyyy-mm-dd")&amp;"|"&amp;TEXT(ROUND(C145/MAX(N(Tolerance),0.0001),0),"0"),IF(MatchMode="Description (exact)","S|"&amp;LOWER(TRIM(B145)),IF(MatchMode="Reference / ID only","U|"&amp;ROW(),"DA|"&amp;TEXT(A145,"yyyy-mm-dd")&amp;"|"&amp;TEXT(ROUND(C145,2),"0.00"))))))))))</f>
        <v/>
      </c>
      <c r="J145" s="50">
        <f>IF(I145="","",COUNTIF($I$5:I145,I145))</f>
        <v/>
      </c>
      <c r="K145" s="50">
        <f>IF(P145="","",IFERROR(MATCH(P145,ListB_Combo,0)+4,""))</f>
        <v/>
      </c>
      <c r="L145" s="51">
        <f>IF(A145="","",IF(K145="","Unmatched",IF(ABS(C145-M145)&lt;=MAX(N(Tolerance),0),"Matched","Difference")))</f>
        <v/>
      </c>
      <c r="M145" s="52">
        <f>IF(K145="","",INDEX('List B'!$C$5:$C$204,K145-4))</f>
        <v/>
      </c>
      <c r="N145" s="52">
        <f>IF(K145="","",C145-M145)</f>
        <v/>
      </c>
      <c r="O145" s="53">
        <f>IF(OR(A145="",K145=""),"",IF(H145&lt;&gt;"","Manual pair",IF(D145&lt;&gt;"","Reference / ID",MatchMode)))</f>
        <v/>
      </c>
      <c r="P145" s="54">
        <f>IF(I145="","",I145&amp;"|"&amp;J145)</f>
        <v/>
      </c>
      <c r="Q145" s="54">
        <f>IF(L145="Matched",COUNTIF($L$5:L145,"Matched"),"")</f>
        <v/>
      </c>
      <c r="R145" s="54">
        <f>IF(L145="Unmatched",COUNTIF($L$5:L145,"Unmatched"),"")</f>
        <v/>
      </c>
      <c r="S145" s="54">
        <f>IF(L145="Difference",COUNTIF($L$5:L145,"Difference"),"")</f>
        <v/>
      </c>
      <c r="T145" s="55">
        <f>IF(L145="Difference",ABS(N145),0)</f>
        <v/>
      </c>
    </row>
    <row r="146" ht="17" customHeight="1">
      <c r="A146" s="86" t="n"/>
      <c r="B146" s="46" t="n"/>
      <c r="C146" s="47" t="n"/>
      <c r="D146" s="46" t="n"/>
      <c r="E146" s="46" t="n"/>
      <c r="F146" s="46" t="n"/>
      <c r="G146" s="48" t="n"/>
      <c r="H146" s="48" t="n"/>
      <c r="I146" s="49">
        <f>IF(A146="","",IF(H146&lt;&gt;"","M|"&amp;TRIM(H146),IF(AND(MatchMode="Reference / ID only",D146=""),"U|"&amp;ROW(),IF(D146&lt;&gt;"","R|"&amp;TRIM(D146),IF(MatchMode="Amount only","A|"&amp;TEXT(ROUND(C146,2),"0.00"),IF(MatchMode="Amount (tolerance)","T|"&amp;TEXT(ROUND(C146/MAX(N(Tolerance),0.0001),0),"0"),IF(MatchMode="Date + amount (tolerance)","DT|"&amp;TEXT(A146,"yyyy-mm-dd")&amp;"|"&amp;TEXT(ROUND(C146/MAX(N(Tolerance),0.0001),0),"0"),IF(MatchMode="Description (exact)","S|"&amp;LOWER(TRIM(B146)),IF(MatchMode="Reference / ID only","U|"&amp;ROW(),"DA|"&amp;TEXT(A146,"yyyy-mm-dd")&amp;"|"&amp;TEXT(ROUND(C146,2),"0.00"))))))))))</f>
        <v/>
      </c>
      <c r="J146" s="50">
        <f>IF(I146="","",COUNTIF($I$5:I146,I146))</f>
        <v/>
      </c>
      <c r="K146" s="50">
        <f>IF(P146="","",IFERROR(MATCH(P146,ListB_Combo,0)+4,""))</f>
        <v/>
      </c>
      <c r="L146" s="51">
        <f>IF(A146="","",IF(K146="","Unmatched",IF(ABS(C146-M146)&lt;=MAX(N(Tolerance),0),"Matched","Difference")))</f>
        <v/>
      </c>
      <c r="M146" s="52">
        <f>IF(K146="","",INDEX('List B'!$C$5:$C$204,K146-4))</f>
        <v/>
      </c>
      <c r="N146" s="52">
        <f>IF(K146="","",C146-M146)</f>
        <v/>
      </c>
      <c r="O146" s="53">
        <f>IF(OR(A146="",K146=""),"",IF(H146&lt;&gt;"","Manual pair",IF(D146&lt;&gt;"","Reference / ID",MatchMode)))</f>
        <v/>
      </c>
      <c r="P146" s="54">
        <f>IF(I146="","",I146&amp;"|"&amp;J146)</f>
        <v/>
      </c>
      <c r="Q146" s="54">
        <f>IF(L146="Matched",COUNTIF($L$5:L146,"Matched"),"")</f>
        <v/>
      </c>
      <c r="R146" s="54">
        <f>IF(L146="Unmatched",COUNTIF($L$5:L146,"Unmatched"),"")</f>
        <v/>
      </c>
      <c r="S146" s="54">
        <f>IF(L146="Difference",COUNTIF($L$5:L146,"Difference"),"")</f>
        <v/>
      </c>
      <c r="T146" s="55">
        <f>IF(L146="Difference",ABS(N146),0)</f>
        <v/>
      </c>
    </row>
    <row r="147" ht="17" customHeight="1">
      <c r="A147" s="86" t="n"/>
      <c r="B147" s="46" t="n"/>
      <c r="C147" s="47" t="n"/>
      <c r="D147" s="46" t="n"/>
      <c r="E147" s="46" t="n"/>
      <c r="F147" s="46" t="n"/>
      <c r="G147" s="48" t="n"/>
      <c r="H147" s="48" t="n"/>
      <c r="I147" s="49">
        <f>IF(A147="","",IF(H147&lt;&gt;"","M|"&amp;TRIM(H147),IF(AND(MatchMode="Reference / ID only",D147=""),"U|"&amp;ROW(),IF(D147&lt;&gt;"","R|"&amp;TRIM(D147),IF(MatchMode="Amount only","A|"&amp;TEXT(ROUND(C147,2),"0.00"),IF(MatchMode="Amount (tolerance)","T|"&amp;TEXT(ROUND(C147/MAX(N(Tolerance),0.0001),0),"0"),IF(MatchMode="Date + amount (tolerance)","DT|"&amp;TEXT(A147,"yyyy-mm-dd")&amp;"|"&amp;TEXT(ROUND(C147/MAX(N(Tolerance),0.0001),0),"0"),IF(MatchMode="Description (exact)","S|"&amp;LOWER(TRIM(B147)),IF(MatchMode="Reference / ID only","U|"&amp;ROW(),"DA|"&amp;TEXT(A147,"yyyy-mm-dd")&amp;"|"&amp;TEXT(ROUND(C147,2),"0.00"))))))))))</f>
        <v/>
      </c>
      <c r="J147" s="50">
        <f>IF(I147="","",COUNTIF($I$5:I147,I147))</f>
        <v/>
      </c>
      <c r="K147" s="50">
        <f>IF(P147="","",IFERROR(MATCH(P147,ListB_Combo,0)+4,""))</f>
        <v/>
      </c>
      <c r="L147" s="51">
        <f>IF(A147="","",IF(K147="","Unmatched",IF(ABS(C147-M147)&lt;=MAX(N(Tolerance),0),"Matched","Difference")))</f>
        <v/>
      </c>
      <c r="M147" s="52">
        <f>IF(K147="","",INDEX('List B'!$C$5:$C$204,K147-4))</f>
        <v/>
      </c>
      <c r="N147" s="52">
        <f>IF(K147="","",C147-M147)</f>
        <v/>
      </c>
      <c r="O147" s="53">
        <f>IF(OR(A147="",K147=""),"",IF(H147&lt;&gt;"","Manual pair",IF(D147&lt;&gt;"","Reference / ID",MatchMode)))</f>
        <v/>
      </c>
      <c r="P147" s="54">
        <f>IF(I147="","",I147&amp;"|"&amp;J147)</f>
        <v/>
      </c>
      <c r="Q147" s="54">
        <f>IF(L147="Matched",COUNTIF($L$5:L147,"Matched"),"")</f>
        <v/>
      </c>
      <c r="R147" s="54">
        <f>IF(L147="Unmatched",COUNTIF($L$5:L147,"Unmatched"),"")</f>
        <v/>
      </c>
      <c r="S147" s="54">
        <f>IF(L147="Difference",COUNTIF($L$5:L147,"Difference"),"")</f>
        <v/>
      </c>
      <c r="T147" s="55">
        <f>IF(L147="Difference",ABS(N147),0)</f>
        <v/>
      </c>
    </row>
    <row r="148" ht="17" customHeight="1">
      <c r="A148" s="86" t="n"/>
      <c r="B148" s="46" t="n"/>
      <c r="C148" s="47" t="n"/>
      <c r="D148" s="46" t="n"/>
      <c r="E148" s="46" t="n"/>
      <c r="F148" s="46" t="n"/>
      <c r="G148" s="48" t="n"/>
      <c r="H148" s="48" t="n"/>
      <c r="I148" s="49">
        <f>IF(A148="","",IF(H148&lt;&gt;"","M|"&amp;TRIM(H148),IF(AND(MatchMode="Reference / ID only",D148=""),"U|"&amp;ROW(),IF(D148&lt;&gt;"","R|"&amp;TRIM(D148),IF(MatchMode="Amount only","A|"&amp;TEXT(ROUND(C148,2),"0.00"),IF(MatchMode="Amount (tolerance)","T|"&amp;TEXT(ROUND(C148/MAX(N(Tolerance),0.0001),0),"0"),IF(MatchMode="Date + amount (tolerance)","DT|"&amp;TEXT(A148,"yyyy-mm-dd")&amp;"|"&amp;TEXT(ROUND(C148/MAX(N(Tolerance),0.0001),0),"0"),IF(MatchMode="Description (exact)","S|"&amp;LOWER(TRIM(B148)),IF(MatchMode="Reference / ID only","U|"&amp;ROW(),"DA|"&amp;TEXT(A148,"yyyy-mm-dd")&amp;"|"&amp;TEXT(ROUND(C148,2),"0.00"))))))))))</f>
        <v/>
      </c>
      <c r="J148" s="50">
        <f>IF(I148="","",COUNTIF($I$5:I148,I148))</f>
        <v/>
      </c>
      <c r="K148" s="50">
        <f>IF(P148="","",IFERROR(MATCH(P148,ListB_Combo,0)+4,""))</f>
        <v/>
      </c>
      <c r="L148" s="51">
        <f>IF(A148="","",IF(K148="","Unmatched",IF(ABS(C148-M148)&lt;=MAX(N(Tolerance),0),"Matched","Difference")))</f>
        <v/>
      </c>
      <c r="M148" s="52">
        <f>IF(K148="","",INDEX('List B'!$C$5:$C$204,K148-4))</f>
        <v/>
      </c>
      <c r="N148" s="52">
        <f>IF(K148="","",C148-M148)</f>
        <v/>
      </c>
      <c r="O148" s="53">
        <f>IF(OR(A148="",K148=""),"",IF(H148&lt;&gt;"","Manual pair",IF(D148&lt;&gt;"","Reference / ID",MatchMode)))</f>
        <v/>
      </c>
      <c r="P148" s="54">
        <f>IF(I148="","",I148&amp;"|"&amp;J148)</f>
        <v/>
      </c>
      <c r="Q148" s="54">
        <f>IF(L148="Matched",COUNTIF($L$5:L148,"Matched"),"")</f>
        <v/>
      </c>
      <c r="R148" s="54">
        <f>IF(L148="Unmatched",COUNTIF($L$5:L148,"Unmatched"),"")</f>
        <v/>
      </c>
      <c r="S148" s="54">
        <f>IF(L148="Difference",COUNTIF($L$5:L148,"Difference"),"")</f>
        <v/>
      </c>
      <c r="T148" s="55">
        <f>IF(L148="Difference",ABS(N148),0)</f>
        <v/>
      </c>
    </row>
    <row r="149" ht="17" customHeight="1">
      <c r="A149" s="86" t="n"/>
      <c r="B149" s="46" t="n"/>
      <c r="C149" s="47" t="n"/>
      <c r="D149" s="46" t="n"/>
      <c r="E149" s="46" t="n"/>
      <c r="F149" s="46" t="n"/>
      <c r="G149" s="48" t="n"/>
      <c r="H149" s="48" t="n"/>
      <c r="I149" s="49">
        <f>IF(A149="","",IF(H149&lt;&gt;"","M|"&amp;TRIM(H149),IF(AND(MatchMode="Reference / ID only",D149=""),"U|"&amp;ROW(),IF(D149&lt;&gt;"","R|"&amp;TRIM(D149),IF(MatchMode="Amount only","A|"&amp;TEXT(ROUND(C149,2),"0.00"),IF(MatchMode="Amount (tolerance)","T|"&amp;TEXT(ROUND(C149/MAX(N(Tolerance),0.0001),0),"0"),IF(MatchMode="Date + amount (tolerance)","DT|"&amp;TEXT(A149,"yyyy-mm-dd")&amp;"|"&amp;TEXT(ROUND(C149/MAX(N(Tolerance),0.0001),0),"0"),IF(MatchMode="Description (exact)","S|"&amp;LOWER(TRIM(B149)),IF(MatchMode="Reference / ID only","U|"&amp;ROW(),"DA|"&amp;TEXT(A149,"yyyy-mm-dd")&amp;"|"&amp;TEXT(ROUND(C149,2),"0.00"))))))))))</f>
        <v/>
      </c>
      <c r="J149" s="50">
        <f>IF(I149="","",COUNTIF($I$5:I149,I149))</f>
        <v/>
      </c>
      <c r="K149" s="50">
        <f>IF(P149="","",IFERROR(MATCH(P149,ListB_Combo,0)+4,""))</f>
        <v/>
      </c>
      <c r="L149" s="51">
        <f>IF(A149="","",IF(K149="","Unmatched",IF(ABS(C149-M149)&lt;=MAX(N(Tolerance),0),"Matched","Difference")))</f>
        <v/>
      </c>
      <c r="M149" s="52">
        <f>IF(K149="","",INDEX('List B'!$C$5:$C$204,K149-4))</f>
        <v/>
      </c>
      <c r="N149" s="52">
        <f>IF(K149="","",C149-M149)</f>
        <v/>
      </c>
      <c r="O149" s="53">
        <f>IF(OR(A149="",K149=""),"",IF(H149&lt;&gt;"","Manual pair",IF(D149&lt;&gt;"","Reference / ID",MatchMode)))</f>
        <v/>
      </c>
      <c r="P149" s="54">
        <f>IF(I149="","",I149&amp;"|"&amp;J149)</f>
        <v/>
      </c>
      <c r="Q149" s="54">
        <f>IF(L149="Matched",COUNTIF($L$5:L149,"Matched"),"")</f>
        <v/>
      </c>
      <c r="R149" s="54">
        <f>IF(L149="Unmatched",COUNTIF($L$5:L149,"Unmatched"),"")</f>
        <v/>
      </c>
      <c r="S149" s="54">
        <f>IF(L149="Difference",COUNTIF($L$5:L149,"Difference"),"")</f>
        <v/>
      </c>
      <c r="T149" s="55">
        <f>IF(L149="Difference",ABS(N149),0)</f>
        <v/>
      </c>
    </row>
    <row r="150" ht="17" customHeight="1">
      <c r="A150" s="86" t="n"/>
      <c r="B150" s="46" t="n"/>
      <c r="C150" s="47" t="n"/>
      <c r="D150" s="46" t="n"/>
      <c r="E150" s="46" t="n"/>
      <c r="F150" s="46" t="n"/>
      <c r="G150" s="48" t="n"/>
      <c r="H150" s="48" t="n"/>
      <c r="I150" s="49">
        <f>IF(A150="","",IF(H150&lt;&gt;"","M|"&amp;TRIM(H150),IF(AND(MatchMode="Reference / ID only",D150=""),"U|"&amp;ROW(),IF(D150&lt;&gt;"","R|"&amp;TRIM(D150),IF(MatchMode="Amount only","A|"&amp;TEXT(ROUND(C150,2),"0.00"),IF(MatchMode="Amount (tolerance)","T|"&amp;TEXT(ROUND(C150/MAX(N(Tolerance),0.0001),0),"0"),IF(MatchMode="Date + amount (tolerance)","DT|"&amp;TEXT(A150,"yyyy-mm-dd")&amp;"|"&amp;TEXT(ROUND(C150/MAX(N(Tolerance),0.0001),0),"0"),IF(MatchMode="Description (exact)","S|"&amp;LOWER(TRIM(B150)),IF(MatchMode="Reference / ID only","U|"&amp;ROW(),"DA|"&amp;TEXT(A150,"yyyy-mm-dd")&amp;"|"&amp;TEXT(ROUND(C150,2),"0.00"))))))))))</f>
        <v/>
      </c>
      <c r="J150" s="50">
        <f>IF(I150="","",COUNTIF($I$5:I150,I150))</f>
        <v/>
      </c>
      <c r="K150" s="50">
        <f>IF(P150="","",IFERROR(MATCH(P150,ListB_Combo,0)+4,""))</f>
        <v/>
      </c>
      <c r="L150" s="51">
        <f>IF(A150="","",IF(K150="","Unmatched",IF(ABS(C150-M150)&lt;=MAX(N(Tolerance),0),"Matched","Difference")))</f>
        <v/>
      </c>
      <c r="M150" s="52">
        <f>IF(K150="","",INDEX('List B'!$C$5:$C$204,K150-4))</f>
        <v/>
      </c>
      <c r="N150" s="52">
        <f>IF(K150="","",C150-M150)</f>
        <v/>
      </c>
      <c r="O150" s="53">
        <f>IF(OR(A150="",K150=""),"",IF(H150&lt;&gt;"","Manual pair",IF(D150&lt;&gt;"","Reference / ID",MatchMode)))</f>
        <v/>
      </c>
      <c r="P150" s="54">
        <f>IF(I150="","",I150&amp;"|"&amp;J150)</f>
        <v/>
      </c>
      <c r="Q150" s="54">
        <f>IF(L150="Matched",COUNTIF($L$5:L150,"Matched"),"")</f>
        <v/>
      </c>
      <c r="R150" s="54">
        <f>IF(L150="Unmatched",COUNTIF($L$5:L150,"Unmatched"),"")</f>
        <v/>
      </c>
      <c r="S150" s="54">
        <f>IF(L150="Difference",COUNTIF($L$5:L150,"Difference"),"")</f>
        <v/>
      </c>
      <c r="T150" s="55">
        <f>IF(L150="Difference",ABS(N150),0)</f>
        <v/>
      </c>
    </row>
    <row r="151" ht="17" customHeight="1">
      <c r="A151" s="86" t="n"/>
      <c r="B151" s="46" t="n"/>
      <c r="C151" s="47" t="n"/>
      <c r="D151" s="46" t="n"/>
      <c r="E151" s="46" t="n"/>
      <c r="F151" s="46" t="n"/>
      <c r="G151" s="48" t="n"/>
      <c r="H151" s="48" t="n"/>
      <c r="I151" s="49">
        <f>IF(A151="","",IF(H151&lt;&gt;"","M|"&amp;TRIM(H151),IF(AND(MatchMode="Reference / ID only",D151=""),"U|"&amp;ROW(),IF(D151&lt;&gt;"","R|"&amp;TRIM(D151),IF(MatchMode="Amount only","A|"&amp;TEXT(ROUND(C151,2),"0.00"),IF(MatchMode="Amount (tolerance)","T|"&amp;TEXT(ROUND(C151/MAX(N(Tolerance),0.0001),0),"0"),IF(MatchMode="Date + amount (tolerance)","DT|"&amp;TEXT(A151,"yyyy-mm-dd")&amp;"|"&amp;TEXT(ROUND(C151/MAX(N(Tolerance),0.0001),0),"0"),IF(MatchMode="Description (exact)","S|"&amp;LOWER(TRIM(B151)),IF(MatchMode="Reference / ID only","U|"&amp;ROW(),"DA|"&amp;TEXT(A151,"yyyy-mm-dd")&amp;"|"&amp;TEXT(ROUND(C151,2),"0.00"))))))))))</f>
        <v/>
      </c>
      <c r="J151" s="50">
        <f>IF(I151="","",COUNTIF($I$5:I151,I151))</f>
        <v/>
      </c>
      <c r="K151" s="50">
        <f>IF(P151="","",IFERROR(MATCH(P151,ListB_Combo,0)+4,""))</f>
        <v/>
      </c>
      <c r="L151" s="51">
        <f>IF(A151="","",IF(K151="","Unmatched",IF(ABS(C151-M151)&lt;=MAX(N(Tolerance),0),"Matched","Difference")))</f>
        <v/>
      </c>
      <c r="M151" s="52">
        <f>IF(K151="","",INDEX('List B'!$C$5:$C$204,K151-4))</f>
        <v/>
      </c>
      <c r="N151" s="52">
        <f>IF(K151="","",C151-M151)</f>
        <v/>
      </c>
      <c r="O151" s="53">
        <f>IF(OR(A151="",K151=""),"",IF(H151&lt;&gt;"","Manual pair",IF(D151&lt;&gt;"","Reference / ID",MatchMode)))</f>
        <v/>
      </c>
      <c r="P151" s="54">
        <f>IF(I151="","",I151&amp;"|"&amp;J151)</f>
        <v/>
      </c>
      <c r="Q151" s="54">
        <f>IF(L151="Matched",COUNTIF($L$5:L151,"Matched"),"")</f>
        <v/>
      </c>
      <c r="R151" s="54">
        <f>IF(L151="Unmatched",COUNTIF($L$5:L151,"Unmatched"),"")</f>
        <v/>
      </c>
      <c r="S151" s="54">
        <f>IF(L151="Difference",COUNTIF($L$5:L151,"Difference"),"")</f>
        <v/>
      </c>
      <c r="T151" s="55">
        <f>IF(L151="Difference",ABS(N151),0)</f>
        <v/>
      </c>
    </row>
    <row r="152" ht="17" customHeight="1">
      <c r="A152" s="86" t="n"/>
      <c r="B152" s="46" t="n"/>
      <c r="C152" s="47" t="n"/>
      <c r="D152" s="46" t="n"/>
      <c r="E152" s="46" t="n"/>
      <c r="F152" s="46" t="n"/>
      <c r="G152" s="48" t="n"/>
      <c r="H152" s="48" t="n"/>
      <c r="I152" s="49">
        <f>IF(A152="","",IF(H152&lt;&gt;"","M|"&amp;TRIM(H152),IF(AND(MatchMode="Reference / ID only",D152=""),"U|"&amp;ROW(),IF(D152&lt;&gt;"","R|"&amp;TRIM(D152),IF(MatchMode="Amount only","A|"&amp;TEXT(ROUND(C152,2),"0.00"),IF(MatchMode="Amount (tolerance)","T|"&amp;TEXT(ROUND(C152/MAX(N(Tolerance),0.0001),0),"0"),IF(MatchMode="Date + amount (tolerance)","DT|"&amp;TEXT(A152,"yyyy-mm-dd")&amp;"|"&amp;TEXT(ROUND(C152/MAX(N(Tolerance),0.0001),0),"0"),IF(MatchMode="Description (exact)","S|"&amp;LOWER(TRIM(B152)),IF(MatchMode="Reference / ID only","U|"&amp;ROW(),"DA|"&amp;TEXT(A152,"yyyy-mm-dd")&amp;"|"&amp;TEXT(ROUND(C152,2),"0.00"))))))))))</f>
        <v/>
      </c>
      <c r="J152" s="50">
        <f>IF(I152="","",COUNTIF($I$5:I152,I152))</f>
        <v/>
      </c>
      <c r="K152" s="50">
        <f>IF(P152="","",IFERROR(MATCH(P152,ListB_Combo,0)+4,""))</f>
        <v/>
      </c>
      <c r="L152" s="51">
        <f>IF(A152="","",IF(K152="","Unmatched",IF(ABS(C152-M152)&lt;=MAX(N(Tolerance),0),"Matched","Difference")))</f>
        <v/>
      </c>
      <c r="M152" s="52">
        <f>IF(K152="","",INDEX('List B'!$C$5:$C$204,K152-4))</f>
        <v/>
      </c>
      <c r="N152" s="52">
        <f>IF(K152="","",C152-M152)</f>
        <v/>
      </c>
      <c r="O152" s="53">
        <f>IF(OR(A152="",K152=""),"",IF(H152&lt;&gt;"","Manual pair",IF(D152&lt;&gt;"","Reference / ID",MatchMode)))</f>
        <v/>
      </c>
      <c r="P152" s="54">
        <f>IF(I152="","",I152&amp;"|"&amp;J152)</f>
        <v/>
      </c>
      <c r="Q152" s="54">
        <f>IF(L152="Matched",COUNTIF($L$5:L152,"Matched"),"")</f>
        <v/>
      </c>
      <c r="R152" s="54">
        <f>IF(L152="Unmatched",COUNTIF($L$5:L152,"Unmatched"),"")</f>
        <v/>
      </c>
      <c r="S152" s="54">
        <f>IF(L152="Difference",COUNTIF($L$5:L152,"Difference"),"")</f>
        <v/>
      </c>
      <c r="T152" s="55">
        <f>IF(L152="Difference",ABS(N152),0)</f>
        <v/>
      </c>
    </row>
    <row r="153" ht="17" customHeight="1">
      <c r="A153" s="86" t="n"/>
      <c r="B153" s="46" t="n"/>
      <c r="C153" s="47" t="n"/>
      <c r="D153" s="46" t="n"/>
      <c r="E153" s="46" t="n"/>
      <c r="F153" s="46" t="n"/>
      <c r="G153" s="48" t="n"/>
      <c r="H153" s="48" t="n"/>
      <c r="I153" s="49">
        <f>IF(A153="","",IF(H153&lt;&gt;"","M|"&amp;TRIM(H153),IF(AND(MatchMode="Reference / ID only",D153=""),"U|"&amp;ROW(),IF(D153&lt;&gt;"","R|"&amp;TRIM(D153),IF(MatchMode="Amount only","A|"&amp;TEXT(ROUND(C153,2),"0.00"),IF(MatchMode="Amount (tolerance)","T|"&amp;TEXT(ROUND(C153/MAX(N(Tolerance),0.0001),0),"0"),IF(MatchMode="Date + amount (tolerance)","DT|"&amp;TEXT(A153,"yyyy-mm-dd")&amp;"|"&amp;TEXT(ROUND(C153/MAX(N(Tolerance),0.0001),0),"0"),IF(MatchMode="Description (exact)","S|"&amp;LOWER(TRIM(B153)),IF(MatchMode="Reference / ID only","U|"&amp;ROW(),"DA|"&amp;TEXT(A153,"yyyy-mm-dd")&amp;"|"&amp;TEXT(ROUND(C153,2),"0.00"))))))))))</f>
        <v/>
      </c>
      <c r="J153" s="50">
        <f>IF(I153="","",COUNTIF($I$5:I153,I153))</f>
        <v/>
      </c>
      <c r="K153" s="50">
        <f>IF(P153="","",IFERROR(MATCH(P153,ListB_Combo,0)+4,""))</f>
        <v/>
      </c>
      <c r="L153" s="51">
        <f>IF(A153="","",IF(K153="","Unmatched",IF(ABS(C153-M153)&lt;=MAX(N(Tolerance),0),"Matched","Difference")))</f>
        <v/>
      </c>
      <c r="M153" s="52">
        <f>IF(K153="","",INDEX('List B'!$C$5:$C$204,K153-4))</f>
        <v/>
      </c>
      <c r="N153" s="52">
        <f>IF(K153="","",C153-M153)</f>
        <v/>
      </c>
      <c r="O153" s="53">
        <f>IF(OR(A153="",K153=""),"",IF(H153&lt;&gt;"","Manual pair",IF(D153&lt;&gt;"","Reference / ID",MatchMode)))</f>
        <v/>
      </c>
      <c r="P153" s="54">
        <f>IF(I153="","",I153&amp;"|"&amp;J153)</f>
        <v/>
      </c>
      <c r="Q153" s="54">
        <f>IF(L153="Matched",COUNTIF($L$5:L153,"Matched"),"")</f>
        <v/>
      </c>
      <c r="R153" s="54">
        <f>IF(L153="Unmatched",COUNTIF($L$5:L153,"Unmatched"),"")</f>
        <v/>
      </c>
      <c r="S153" s="54">
        <f>IF(L153="Difference",COUNTIF($L$5:L153,"Difference"),"")</f>
        <v/>
      </c>
      <c r="T153" s="55">
        <f>IF(L153="Difference",ABS(N153),0)</f>
        <v/>
      </c>
    </row>
    <row r="154" ht="17" customHeight="1">
      <c r="A154" s="86" t="n"/>
      <c r="B154" s="46" t="n"/>
      <c r="C154" s="47" t="n"/>
      <c r="D154" s="46" t="n"/>
      <c r="E154" s="46" t="n"/>
      <c r="F154" s="46" t="n"/>
      <c r="G154" s="48" t="n"/>
      <c r="H154" s="48" t="n"/>
      <c r="I154" s="49">
        <f>IF(A154="","",IF(H154&lt;&gt;"","M|"&amp;TRIM(H154),IF(AND(MatchMode="Reference / ID only",D154=""),"U|"&amp;ROW(),IF(D154&lt;&gt;"","R|"&amp;TRIM(D154),IF(MatchMode="Amount only","A|"&amp;TEXT(ROUND(C154,2),"0.00"),IF(MatchMode="Amount (tolerance)","T|"&amp;TEXT(ROUND(C154/MAX(N(Tolerance),0.0001),0),"0"),IF(MatchMode="Date + amount (tolerance)","DT|"&amp;TEXT(A154,"yyyy-mm-dd")&amp;"|"&amp;TEXT(ROUND(C154/MAX(N(Tolerance),0.0001),0),"0"),IF(MatchMode="Description (exact)","S|"&amp;LOWER(TRIM(B154)),IF(MatchMode="Reference / ID only","U|"&amp;ROW(),"DA|"&amp;TEXT(A154,"yyyy-mm-dd")&amp;"|"&amp;TEXT(ROUND(C154,2),"0.00"))))))))))</f>
        <v/>
      </c>
      <c r="J154" s="50">
        <f>IF(I154="","",COUNTIF($I$5:I154,I154))</f>
        <v/>
      </c>
      <c r="K154" s="50">
        <f>IF(P154="","",IFERROR(MATCH(P154,ListB_Combo,0)+4,""))</f>
        <v/>
      </c>
      <c r="L154" s="51">
        <f>IF(A154="","",IF(K154="","Unmatched",IF(ABS(C154-M154)&lt;=MAX(N(Tolerance),0),"Matched","Difference")))</f>
        <v/>
      </c>
      <c r="M154" s="52">
        <f>IF(K154="","",INDEX('List B'!$C$5:$C$204,K154-4))</f>
        <v/>
      </c>
      <c r="N154" s="52">
        <f>IF(K154="","",C154-M154)</f>
        <v/>
      </c>
      <c r="O154" s="53">
        <f>IF(OR(A154="",K154=""),"",IF(H154&lt;&gt;"","Manual pair",IF(D154&lt;&gt;"","Reference / ID",MatchMode)))</f>
        <v/>
      </c>
      <c r="P154" s="54">
        <f>IF(I154="","",I154&amp;"|"&amp;J154)</f>
        <v/>
      </c>
      <c r="Q154" s="54">
        <f>IF(L154="Matched",COUNTIF($L$5:L154,"Matched"),"")</f>
        <v/>
      </c>
      <c r="R154" s="54">
        <f>IF(L154="Unmatched",COUNTIF($L$5:L154,"Unmatched"),"")</f>
        <v/>
      </c>
      <c r="S154" s="54">
        <f>IF(L154="Difference",COUNTIF($L$5:L154,"Difference"),"")</f>
        <v/>
      </c>
      <c r="T154" s="55">
        <f>IF(L154="Difference",ABS(N154),0)</f>
        <v/>
      </c>
    </row>
    <row r="155" ht="17" customHeight="1">
      <c r="A155" s="86" t="n"/>
      <c r="B155" s="46" t="n"/>
      <c r="C155" s="47" t="n"/>
      <c r="D155" s="46" t="n"/>
      <c r="E155" s="46" t="n"/>
      <c r="F155" s="46" t="n"/>
      <c r="G155" s="48" t="n"/>
      <c r="H155" s="48" t="n"/>
      <c r="I155" s="49">
        <f>IF(A155="","",IF(H155&lt;&gt;"","M|"&amp;TRIM(H155),IF(AND(MatchMode="Reference / ID only",D155=""),"U|"&amp;ROW(),IF(D155&lt;&gt;"","R|"&amp;TRIM(D155),IF(MatchMode="Amount only","A|"&amp;TEXT(ROUND(C155,2),"0.00"),IF(MatchMode="Amount (tolerance)","T|"&amp;TEXT(ROUND(C155/MAX(N(Tolerance),0.0001),0),"0"),IF(MatchMode="Date + amount (tolerance)","DT|"&amp;TEXT(A155,"yyyy-mm-dd")&amp;"|"&amp;TEXT(ROUND(C155/MAX(N(Tolerance),0.0001),0),"0"),IF(MatchMode="Description (exact)","S|"&amp;LOWER(TRIM(B155)),IF(MatchMode="Reference / ID only","U|"&amp;ROW(),"DA|"&amp;TEXT(A155,"yyyy-mm-dd")&amp;"|"&amp;TEXT(ROUND(C155,2),"0.00"))))))))))</f>
        <v/>
      </c>
      <c r="J155" s="50">
        <f>IF(I155="","",COUNTIF($I$5:I155,I155))</f>
        <v/>
      </c>
      <c r="K155" s="50">
        <f>IF(P155="","",IFERROR(MATCH(P155,ListB_Combo,0)+4,""))</f>
        <v/>
      </c>
      <c r="L155" s="51">
        <f>IF(A155="","",IF(K155="","Unmatched",IF(ABS(C155-M155)&lt;=MAX(N(Tolerance),0),"Matched","Difference")))</f>
        <v/>
      </c>
      <c r="M155" s="52">
        <f>IF(K155="","",INDEX('List B'!$C$5:$C$204,K155-4))</f>
        <v/>
      </c>
      <c r="N155" s="52">
        <f>IF(K155="","",C155-M155)</f>
        <v/>
      </c>
      <c r="O155" s="53">
        <f>IF(OR(A155="",K155=""),"",IF(H155&lt;&gt;"","Manual pair",IF(D155&lt;&gt;"","Reference / ID",MatchMode)))</f>
        <v/>
      </c>
      <c r="P155" s="54">
        <f>IF(I155="","",I155&amp;"|"&amp;J155)</f>
        <v/>
      </c>
      <c r="Q155" s="54">
        <f>IF(L155="Matched",COUNTIF($L$5:L155,"Matched"),"")</f>
        <v/>
      </c>
      <c r="R155" s="54">
        <f>IF(L155="Unmatched",COUNTIF($L$5:L155,"Unmatched"),"")</f>
        <v/>
      </c>
      <c r="S155" s="54">
        <f>IF(L155="Difference",COUNTIF($L$5:L155,"Difference"),"")</f>
        <v/>
      </c>
      <c r="T155" s="55">
        <f>IF(L155="Difference",ABS(N155),0)</f>
        <v/>
      </c>
    </row>
    <row r="156" ht="17" customHeight="1">
      <c r="A156" s="86" t="n"/>
      <c r="B156" s="46" t="n"/>
      <c r="C156" s="47" t="n"/>
      <c r="D156" s="46" t="n"/>
      <c r="E156" s="46" t="n"/>
      <c r="F156" s="46" t="n"/>
      <c r="G156" s="48" t="n"/>
      <c r="H156" s="48" t="n"/>
      <c r="I156" s="49">
        <f>IF(A156="","",IF(H156&lt;&gt;"","M|"&amp;TRIM(H156),IF(AND(MatchMode="Reference / ID only",D156=""),"U|"&amp;ROW(),IF(D156&lt;&gt;"","R|"&amp;TRIM(D156),IF(MatchMode="Amount only","A|"&amp;TEXT(ROUND(C156,2),"0.00"),IF(MatchMode="Amount (tolerance)","T|"&amp;TEXT(ROUND(C156/MAX(N(Tolerance),0.0001),0),"0"),IF(MatchMode="Date + amount (tolerance)","DT|"&amp;TEXT(A156,"yyyy-mm-dd")&amp;"|"&amp;TEXT(ROUND(C156/MAX(N(Tolerance),0.0001),0),"0"),IF(MatchMode="Description (exact)","S|"&amp;LOWER(TRIM(B156)),IF(MatchMode="Reference / ID only","U|"&amp;ROW(),"DA|"&amp;TEXT(A156,"yyyy-mm-dd")&amp;"|"&amp;TEXT(ROUND(C156,2),"0.00"))))))))))</f>
        <v/>
      </c>
      <c r="J156" s="50">
        <f>IF(I156="","",COUNTIF($I$5:I156,I156))</f>
        <v/>
      </c>
      <c r="K156" s="50">
        <f>IF(P156="","",IFERROR(MATCH(P156,ListB_Combo,0)+4,""))</f>
        <v/>
      </c>
      <c r="L156" s="51">
        <f>IF(A156="","",IF(K156="","Unmatched",IF(ABS(C156-M156)&lt;=MAX(N(Tolerance),0),"Matched","Difference")))</f>
        <v/>
      </c>
      <c r="M156" s="52">
        <f>IF(K156="","",INDEX('List B'!$C$5:$C$204,K156-4))</f>
        <v/>
      </c>
      <c r="N156" s="52">
        <f>IF(K156="","",C156-M156)</f>
        <v/>
      </c>
      <c r="O156" s="53">
        <f>IF(OR(A156="",K156=""),"",IF(H156&lt;&gt;"","Manual pair",IF(D156&lt;&gt;"","Reference / ID",MatchMode)))</f>
        <v/>
      </c>
      <c r="P156" s="54">
        <f>IF(I156="","",I156&amp;"|"&amp;J156)</f>
        <v/>
      </c>
      <c r="Q156" s="54">
        <f>IF(L156="Matched",COUNTIF($L$5:L156,"Matched"),"")</f>
        <v/>
      </c>
      <c r="R156" s="54">
        <f>IF(L156="Unmatched",COUNTIF($L$5:L156,"Unmatched"),"")</f>
        <v/>
      </c>
      <c r="S156" s="54">
        <f>IF(L156="Difference",COUNTIF($L$5:L156,"Difference"),"")</f>
        <v/>
      </c>
      <c r="T156" s="55">
        <f>IF(L156="Difference",ABS(N156),0)</f>
        <v/>
      </c>
    </row>
    <row r="157" ht="17" customHeight="1">
      <c r="A157" s="86" t="n"/>
      <c r="B157" s="46" t="n"/>
      <c r="C157" s="47" t="n"/>
      <c r="D157" s="46" t="n"/>
      <c r="E157" s="46" t="n"/>
      <c r="F157" s="46" t="n"/>
      <c r="G157" s="48" t="n"/>
      <c r="H157" s="48" t="n"/>
      <c r="I157" s="49">
        <f>IF(A157="","",IF(H157&lt;&gt;"","M|"&amp;TRIM(H157),IF(AND(MatchMode="Reference / ID only",D157=""),"U|"&amp;ROW(),IF(D157&lt;&gt;"","R|"&amp;TRIM(D157),IF(MatchMode="Amount only","A|"&amp;TEXT(ROUND(C157,2),"0.00"),IF(MatchMode="Amount (tolerance)","T|"&amp;TEXT(ROUND(C157/MAX(N(Tolerance),0.0001),0),"0"),IF(MatchMode="Date + amount (tolerance)","DT|"&amp;TEXT(A157,"yyyy-mm-dd")&amp;"|"&amp;TEXT(ROUND(C157/MAX(N(Tolerance),0.0001),0),"0"),IF(MatchMode="Description (exact)","S|"&amp;LOWER(TRIM(B157)),IF(MatchMode="Reference / ID only","U|"&amp;ROW(),"DA|"&amp;TEXT(A157,"yyyy-mm-dd")&amp;"|"&amp;TEXT(ROUND(C157,2),"0.00"))))))))))</f>
        <v/>
      </c>
      <c r="J157" s="50">
        <f>IF(I157="","",COUNTIF($I$5:I157,I157))</f>
        <v/>
      </c>
      <c r="K157" s="50">
        <f>IF(P157="","",IFERROR(MATCH(P157,ListB_Combo,0)+4,""))</f>
        <v/>
      </c>
      <c r="L157" s="51">
        <f>IF(A157="","",IF(K157="","Unmatched",IF(ABS(C157-M157)&lt;=MAX(N(Tolerance),0),"Matched","Difference")))</f>
        <v/>
      </c>
      <c r="M157" s="52">
        <f>IF(K157="","",INDEX('List B'!$C$5:$C$204,K157-4))</f>
        <v/>
      </c>
      <c r="N157" s="52">
        <f>IF(K157="","",C157-M157)</f>
        <v/>
      </c>
      <c r="O157" s="53">
        <f>IF(OR(A157="",K157=""),"",IF(H157&lt;&gt;"","Manual pair",IF(D157&lt;&gt;"","Reference / ID",MatchMode)))</f>
        <v/>
      </c>
      <c r="P157" s="54">
        <f>IF(I157="","",I157&amp;"|"&amp;J157)</f>
        <v/>
      </c>
      <c r="Q157" s="54">
        <f>IF(L157="Matched",COUNTIF($L$5:L157,"Matched"),"")</f>
        <v/>
      </c>
      <c r="R157" s="54">
        <f>IF(L157="Unmatched",COUNTIF($L$5:L157,"Unmatched"),"")</f>
        <v/>
      </c>
      <c r="S157" s="54">
        <f>IF(L157="Difference",COUNTIF($L$5:L157,"Difference"),"")</f>
        <v/>
      </c>
      <c r="T157" s="55">
        <f>IF(L157="Difference",ABS(N157),0)</f>
        <v/>
      </c>
    </row>
    <row r="158" ht="17" customHeight="1">
      <c r="A158" s="86" t="n"/>
      <c r="B158" s="46" t="n"/>
      <c r="C158" s="47" t="n"/>
      <c r="D158" s="46" t="n"/>
      <c r="E158" s="46" t="n"/>
      <c r="F158" s="46" t="n"/>
      <c r="G158" s="48" t="n"/>
      <c r="H158" s="48" t="n"/>
      <c r="I158" s="49">
        <f>IF(A158="","",IF(H158&lt;&gt;"","M|"&amp;TRIM(H158),IF(AND(MatchMode="Reference / ID only",D158=""),"U|"&amp;ROW(),IF(D158&lt;&gt;"","R|"&amp;TRIM(D158),IF(MatchMode="Amount only","A|"&amp;TEXT(ROUND(C158,2),"0.00"),IF(MatchMode="Amount (tolerance)","T|"&amp;TEXT(ROUND(C158/MAX(N(Tolerance),0.0001),0),"0"),IF(MatchMode="Date + amount (tolerance)","DT|"&amp;TEXT(A158,"yyyy-mm-dd")&amp;"|"&amp;TEXT(ROUND(C158/MAX(N(Tolerance),0.0001),0),"0"),IF(MatchMode="Description (exact)","S|"&amp;LOWER(TRIM(B158)),IF(MatchMode="Reference / ID only","U|"&amp;ROW(),"DA|"&amp;TEXT(A158,"yyyy-mm-dd")&amp;"|"&amp;TEXT(ROUND(C158,2),"0.00"))))))))))</f>
        <v/>
      </c>
      <c r="J158" s="50">
        <f>IF(I158="","",COUNTIF($I$5:I158,I158))</f>
        <v/>
      </c>
      <c r="K158" s="50">
        <f>IF(P158="","",IFERROR(MATCH(P158,ListB_Combo,0)+4,""))</f>
        <v/>
      </c>
      <c r="L158" s="51">
        <f>IF(A158="","",IF(K158="","Unmatched",IF(ABS(C158-M158)&lt;=MAX(N(Tolerance),0),"Matched","Difference")))</f>
        <v/>
      </c>
      <c r="M158" s="52">
        <f>IF(K158="","",INDEX('List B'!$C$5:$C$204,K158-4))</f>
        <v/>
      </c>
      <c r="N158" s="52">
        <f>IF(K158="","",C158-M158)</f>
        <v/>
      </c>
      <c r="O158" s="53">
        <f>IF(OR(A158="",K158=""),"",IF(H158&lt;&gt;"","Manual pair",IF(D158&lt;&gt;"","Reference / ID",MatchMode)))</f>
        <v/>
      </c>
      <c r="P158" s="54">
        <f>IF(I158="","",I158&amp;"|"&amp;J158)</f>
        <v/>
      </c>
      <c r="Q158" s="54">
        <f>IF(L158="Matched",COUNTIF($L$5:L158,"Matched"),"")</f>
        <v/>
      </c>
      <c r="R158" s="54">
        <f>IF(L158="Unmatched",COUNTIF($L$5:L158,"Unmatched"),"")</f>
        <v/>
      </c>
      <c r="S158" s="54">
        <f>IF(L158="Difference",COUNTIF($L$5:L158,"Difference"),"")</f>
        <v/>
      </c>
      <c r="T158" s="55">
        <f>IF(L158="Difference",ABS(N158),0)</f>
        <v/>
      </c>
    </row>
    <row r="159" ht="17" customHeight="1">
      <c r="A159" s="86" t="n"/>
      <c r="B159" s="46" t="n"/>
      <c r="C159" s="47" t="n"/>
      <c r="D159" s="46" t="n"/>
      <c r="E159" s="46" t="n"/>
      <c r="F159" s="46" t="n"/>
      <c r="G159" s="48" t="n"/>
      <c r="H159" s="48" t="n"/>
      <c r="I159" s="49">
        <f>IF(A159="","",IF(H159&lt;&gt;"","M|"&amp;TRIM(H159),IF(AND(MatchMode="Reference / ID only",D159=""),"U|"&amp;ROW(),IF(D159&lt;&gt;"","R|"&amp;TRIM(D159),IF(MatchMode="Amount only","A|"&amp;TEXT(ROUND(C159,2),"0.00"),IF(MatchMode="Amount (tolerance)","T|"&amp;TEXT(ROUND(C159/MAX(N(Tolerance),0.0001),0),"0"),IF(MatchMode="Date + amount (tolerance)","DT|"&amp;TEXT(A159,"yyyy-mm-dd")&amp;"|"&amp;TEXT(ROUND(C159/MAX(N(Tolerance),0.0001),0),"0"),IF(MatchMode="Description (exact)","S|"&amp;LOWER(TRIM(B159)),IF(MatchMode="Reference / ID only","U|"&amp;ROW(),"DA|"&amp;TEXT(A159,"yyyy-mm-dd")&amp;"|"&amp;TEXT(ROUND(C159,2),"0.00"))))))))))</f>
        <v/>
      </c>
      <c r="J159" s="50">
        <f>IF(I159="","",COUNTIF($I$5:I159,I159))</f>
        <v/>
      </c>
      <c r="K159" s="50">
        <f>IF(P159="","",IFERROR(MATCH(P159,ListB_Combo,0)+4,""))</f>
        <v/>
      </c>
      <c r="L159" s="51">
        <f>IF(A159="","",IF(K159="","Unmatched",IF(ABS(C159-M159)&lt;=MAX(N(Tolerance),0),"Matched","Difference")))</f>
        <v/>
      </c>
      <c r="M159" s="52">
        <f>IF(K159="","",INDEX('List B'!$C$5:$C$204,K159-4))</f>
        <v/>
      </c>
      <c r="N159" s="52">
        <f>IF(K159="","",C159-M159)</f>
        <v/>
      </c>
      <c r="O159" s="53">
        <f>IF(OR(A159="",K159=""),"",IF(H159&lt;&gt;"","Manual pair",IF(D159&lt;&gt;"","Reference / ID",MatchMode)))</f>
        <v/>
      </c>
      <c r="P159" s="54">
        <f>IF(I159="","",I159&amp;"|"&amp;J159)</f>
        <v/>
      </c>
      <c r="Q159" s="54">
        <f>IF(L159="Matched",COUNTIF($L$5:L159,"Matched"),"")</f>
        <v/>
      </c>
      <c r="R159" s="54">
        <f>IF(L159="Unmatched",COUNTIF($L$5:L159,"Unmatched"),"")</f>
        <v/>
      </c>
      <c r="S159" s="54">
        <f>IF(L159="Difference",COUNTIF($L$5:L159,"Difference"),"")</f>
        <v/>
      </c>
      <c r="T159" s="55">
        <f>IF(L159="Difference",ABS(N159),0)</f>
        <v/>
      </c>
    </row>
    <row r="160" ht="17" customHeight="1">
      <c r="A160" s="86" t="n"/>
      <c r="B160" s="46" t="n"/>
      <c r="C160" s="47" t="n"/>
      <c r="D160" s="46" t="n"/>
      <c r="E160" s="46" t="n"/>
      <c r="F160" s="46" t="n"/>
      <c r="G160" s="48" t="n"/>
      <c r="H160" s="48" t="n"/>
      <c r="I160" s="49">
        <f>IF(A160="","",IF(H160&lt;&gt;"","M|"&amp;TRIM(H160),IF(AND(MatchMode="Reference / ID only",D160=""),"U|"&amp;ROW(),IF(D160&lt;&gt;"","R|"&amp;TRIM(D160),IF(MatchMode="Amount only","A|"&amp;TEXT(ROUND(C160,2),"0.00"),IF(MatchMode="Amount (tolerance)","T|"&amp;TEXT(ROUND(C160/MAX(N(Tolerance),0.0001),0),"0"),IF(MatchMode="Date + amount (tolerance)","DT|"&amp;TEXT(A160,"yyyy-mm-dd")&amp;"|"&amp;TEXT(ROUND(C160/MAX(N(Tolerance),0.0001),0),"0"),IF(MatchMode="Description (exact)","S|"&amp;LOWER(TRIM(B160)),IF(MatchMode="Reference / ID only","U|"&amp;ROW(),"DA|"&amp;TEXT(A160,"yyyy-mm-dd")&amp;"|"&amp;TEXT(ROUND(C160,2),"0.00"))))))))))</f>
        <v/>
      </c>
      <c r="J160" s="50">
        <f>IF(I160="","",COUNTIF($I$5:I160,I160))</f>
        <v/>
      </c>
      <c r="K160" s="50">
        <f>IF(P160="","",IFERROR(MATCH(P160,ListB_Combo,0)+4,""))</f>
        <v/>
      </c>
      <c r="L160" s="51">
        <f>IF(A160="","",IF(K160="","Unmatched",IF(ABS(C160-M160)&lt;=MAX(N(Tolerance),0),"Matched","Difference")))</f>
        <v/>
      </c>
      <c r="M160" s="52">
        <f>IF(K160="","",INDEX('List B'!$C$5:$C$204,K160-4))</f>
        <v/>
      </c>
      <c r="N160" s="52">
        <f>IF(K160="","",C160-M160)</f>
        <v/>
      </c>
      <c r="O160" s="53">
        <f>IF(OR(A160="",K160=""),"",IF(H160&lt;&gt;"","Manual pair",IF(D160&lt;&gt;"","Reference / ID",MatchMode)))</f>
        <v/>
      </c>
      <c r="P160" s="54">
        <f>IF(I160="","",I160&amp;"|"&amp;J160)</f>
        <v/>
      </c>
      <c r="Q160" s="54">
        <f>IF(L160="Matched",COUNTIF($L$5:L160,"Matched"),"")</f>
        <v/>
      </c>
      <c r="R160" s="54">
        <f>IF(L160="Unmatched",COUNTIF($L$5:L160,"Unmatched"),"")</f>
        <v/>
      </c>
      <c r="S160" s="54">
        <f>IF(L160="Difference",COUNTIF($L$5:L160,"Difference"),"")</f>
        <v/>
      </c>
      <c r="T160" s="55">
        <f>IF(L160="Difference",ABS(N160),0)</f>
        <v/>
      </c>
    </row>
    <row r="161" ht="17" customHeight="1">
      <c r="A161" s="86" t="n"/>
      <c r="B161" s="46" t="n"/>
      <c r="C161" s="47" t="n"/>
      <c r="D161" s="46" t="n"/>
      <c r="E161" s="46" t="n"/>
      <c r="F161" s="46" t="n"/>
      <c r="G161" s="48" t="n"/>
      <c r="H161" s="48" t="n"/>
      <c r="I161" s="49">
        <f>IF(A161="","",IF(H161&lt;&gt;"","M|"&amp;TRIM(H161),IF(AND(MatchMode="Reference / ID only",D161=""),"U|"&amp;ROW(),IF(D161&lt;&gt;"","R|"&amp;TRIM(D161),IF(MatchMode="Amount only","A|"&amp;TEXT(ROUND(C161,2),"0.00"),IF(MatchMode="Amount (tolerance)","T|"&amp;TEXT(ROUND(C161/MAX(N(Tolerance),0.0001),0),"0"),IF(MatchMode="Date + amount (tolerance)","DT|"&amp;TEXT(A161,"yyyy-mm-dd")&amp;"|"&amp;TEXT(ROUND(C161/MAX(N(Tolerance),0.0001),0),"0"),IF(MatchMode="Description (exact)","S|"&amp;LOWER(TRIM(B161)),IF(MatchMode="Reference / ID only","U|"&amp;ROW(),"DA|"&amp;TEXT(A161,"yyyy-mm-dd")&amp;"|"&amp;TEXT(ROUND(C161,2),"0.00"))))))))))</f>
        <v/>
      </c>
      <c r="J161" s="50">
        <f>IF(I161="","",COUNTIF($I$5:I161,I161))</f>
        <v/>
      </c>
      <c r="K161" s="50">
        <f>IF(P161="","",IFERROR(MATCH(P161,ListB_Combo,0)+4,""))</f>
        <v/>
      </c>
      <c r="L161" s="51">
        <f>IF(A161="","",IF(K161="","Unmatched",IF(ABS(C161-M161)&lt;=MAX(N(Tolerance),0),"Matched","Difference")))</f>
        <v/>
      </c>
      <c r="M161" s="52">
        <f>IF(K161="","",INDEX('List B'!$C$5:$C$204,K161-4))</f>
        <v/>
      </c>
      <c r="N161" s="52">
        <f>IF(K161="","",C161-M161)</f>
        <v/>
      </c>
      <c r="O161" s="53">
        <f>IF(OR(A161="",K161=""),"",IF(H161&lt;&gt;"","Manual pair",IF(D161&lt;&gt;"","Reference / ID",MatchMode)))</f>
        <v/>
      </c>
      <c r="P161" s="54">
        <f>IF(I161="","",I161&amp;"|"&amp;J161)</f>
        <v/>
      </c>
      <c r="Q161" s="54">
        <f>IF(L161="Matched",COUNTIF($L$5:L161,"Matched"),"")</f>
        <v/>
      </c>
      <c r="R161" s="54">
        <f>IF(L161="Unmatched",COUNTIF($L$5:L161,"Unmatched"),"")</f>
        <v/>
      </c>
      <c r="S161" s="54">
        <f>IF(L161="Difference",COUNTIF($L$5:L161,"Difference"),"")</f>
        <v/>
      </c>
      <c r="T161" s="55">
        <f>IF(L161="Difference",ABS(N161),0)</f>
        <v/>
      </c>
    </row>
    <row r="162" ht="17" customHeight="1">
      <c r="A162" s="86" t="n"/>
      <c r="B162" s="46" t="n"/>
      <c r="C162" s="47" t="n"/>
      <c r="D162" s="46" t="n"/>
      <c r="E162" s="46" t="n"/>
      <c r="F162" s="46" t="n"/>
      <c r="G162" s="48" t="n"/>
      <c r="H162" s="48" t="n"/>
      <c r="I162" s="49">
        <f>IF(A162="","",IF(H162&lt;&gt;"","M|"&amp;TRIM(H162),IF(AND(MatchMode="Reference / ID only",D162=""),"U|"&amp;ROW(),IF(D162&lt;&gt;"","R|"&amp;TRIM(D162),IF(MatchMode="Amount only","A|"&amp;TEXT(ROUND(C162,2),"0.00"),IF(MatchMode="Amount (tolerance)","T|"&amp;TEXT(ROUND(C162/MAX(N(Tolerance),0.0001),0),"0"),IF(MatchMode="Date + amount (tolerance)","DT|"&amp;TEXT(A162,"yyyy-mm-dd")&amp;"|"&amp;TEXT(ROUND(C162/MAX(N(Tolerance),0.0001),0),"0"),IF(MatchMode="Description (exact)","S|"&amp;LOWER(TRIM(B162)),IF(MatchMode="Reference / ID only","U|"&amp;ROW(),"DA|"&amp;TEXT(A162,"yyyy-mm-dd")&amp;"|"&amp;TEXT(ROUND(C162,2),"0.00"))))))))))</f>
        <v/>
      </c>
      <c r="J162" s="50">
        <f>IF(I162="","",COUNTIF($I$5:I162,I162))</f>
        <v/>
      </c>
      <c r="K162" s="50">
        <f>IF(P162="","",IFERROR(MATCH(P162,ListB_Combo,0)+4,""))</f>
        <v/>
      </c>
      <c r="L162" s="51">
        <f>IF(A162="","",IF(K162="","Unmatched",IF(ABS(C162-M162)&lt;=MAX(N(Tolerance),0),"Matched","Difference")))</f>
        <v/>
      </c>
      <c r="M162" s="52">
        <f>IF(K162="","",INDEX('List B'!$C$5:$C$204,K162-4))</f>
        <v/>
      </c>
      <c r="N162" s="52">
        <f>IF(K162="","",C162-M162)</f>
        <v/>
      </c>
      <c r="O162" s="53">
        <f>IF(OR(A162="",K162=""),"",IF(H162&lt;&gt;"","Manual pair",IF(D162&lt;&gt;"","Reference / ID",MatchMode)))</f>
        <v/>
      </c>
      <c r="P162" s="54">
        <f>IF(I162="","",I162&amp;"|"&amp;J162)</f>
        <v/>
      </c>
      <c r="Q162" s="54">
        <f>IF(L162="Matched",COUNTIF($L$5:L162,"Matched"),"")</f>
        <v/>
      </c>
      <c r="R162" s="54">
        <f>IF(L162="Unmatched",COUNTIF($L$5:L162,"Unmatched"),"")</f>
        <v/>
      </c>
      <c r="S162" s="54">
        <f>IF(L162="Difference",COUNTIF($L$5:L162,"Difference"),"")</f>
        <v/>
      </c>
      <c r="T162" s="55">
        <f>IF(L162="Difference",ABS(N162),0)</f>
        <v/>
      </c>
    </row>
    <row r="163" ht="17" customHeight="1">
      <c r="A163" s="86" t="n"/>
      <c r="B163" s="46" t="n"/>
      <c r="C163" s="47" t="n"/>
      <c r="D163" s="46" t="n"/>
      <c r="E163" s="46" t="n"/>
      <c r="F163" s="46" t="n"/>
      <c r="G163" s="48" t="n"/>
      <c r="H163" s="48" t="n"/>
      <c r="I163" s="49">
        <f>IF(A163="","",IF(H163&lt;&gt;"","M|"&amp;TRIM(H163),IF(AND(MatchMode="Reference / ID only",D163=""),"U|"&amp;ROW(),IF(D163&lt;&gt;"","R|"&amp;TRIM(D163),IF(MatchMode="Amount only","A|"&amp;TEXT(ROUND(C163,2),"0.00"),IF(MatchMode="Amount (tolerance)","T|"&amp;TEXT(ROUND(C163/MAX(N(Tolerance),0.0001),0),"0"),IF(MatchMode="Date + amount (tolerance)","DT|"&amp;TEXT(A163,"yyyy-mm-dd")&amp;"|"&amp;TEXT(ROUND(C163/MAX(N(Tolerance),0.0001),0),"0"),IF(MatchMode="Description (exact)","S|"&amp;LOWER(TRIM(B163)),IF(MatchMode="Reference / ID only","U|"&amp;ROW(),"DA|"&amp;TEXT(A163,"yyyy-mm-dd")&amp;"|"&amp;TEXT(ROUND(C163,2),"0.00"))))))))))</f>
        <v/>
      </c>
      <c r="J163" s="50">
        <f>IF(I163="","",COUNTIF($I$5:I163,I163))</f>
        <v/>
      </c>
      <c r="K163" s="50">
        <f>IF(P163="","",IFERROR(MATCH(P163,ListB_Combo,0)+4,""))</f>
        <v/>
      </c>
      <c r="L163" s="51">
        <f>IF(A163="","",IF(K163="","Unmatched",IF(ABS(C163-M163)&lt;=MAX(N(Tolerance),0),"Matched","Difference")))</f>
        <v/>
      </c>
      <c r="M163" s="52">
        <f>IF(K163="","",INDEX('List B'!$C$5:$C$204,K163-4))</f>
        <v/>
      </c>
      <c r="N163" s="52">
        <f>IF(K163="","",C163-M163)</f>
        <v/>
      </c>
      <c r="O163" s="53">
        <f>IF(OR(A163="",K163=""),"",IF(H163&lt;&gt;"","Manual pair",IF(D163&lt;&gt;"","Reference / ID",MatchMode)))</f>
        <v/>
      </c>
      <c r="P163" s="54">
        <f>IF(I163="","",I163&amp;"|"&amp;J163)</f>
        <v/>
      </c>
      <c r="Q163" s="54">
        <f>IF(L163="Matched",COUNTIF($L$5:L163,"Matched"),"")</f>
        <v/>
      </c>
      <c r="R163" s="54">
        <f>IF(L163="Unmatched",COUNTIF($L$5:L163,"Unmatched"),"")</f>
        <v/>
      </c>
      <c r="S163" s="54">
        <f>IF(L163="Difference",COUNTIF($L$5:L163,"Difference"),"")</f>
        <v/>
      </c>
      <c r="T163" s="55">
        <f>IF(L163="Difference",ABS(N163),0)</f>
        <v/>
      </c>
    </row>
    <row r="164" ht="17" customHeight="1">
      <c r="A164" s="86" t="n"/>
      <c r="B164" s="46" t="n"/>
      <c r="C164" s="47" t="n"/>
      <c r="D164" s="46" t="n"/>
      <c r="E164" s="46" t="n"/>
      <c r="F164" s="46" t="n"/>
      <c r="G164" s="48" t="n"/>
      <c r="H164" s="48" t="n"/>
      <c r="I164" s="49">
        <f>IF(A164="","",IF(H164&lt;&gt;"","M|"&amp;TRIM(H164),IF(AND(MatchMode="Reference / ID only",D164=""),"U|"&amp;ROW(),IF(D164&lt;&gt;"","R|"&amp;TRIM(D164),IF(MatchMode="Amount only","A|"&amp;TEXT(ROUND(C164,2),"0.00"),IF(MatchMode="Amount (tolerance)","T|"&amp;TEXT(ROUND(C164/MAX(N(Tolerance),0.0001),0),"0"),IF(MatchMode="Date + amount (tolerance)","DT|"&amp;TEXT(A164,"yyyy-mm-dd")&amp;"|"&amp;TEXT(ROUND(C164/MAX(N(Tolerance),0.0001),0),"0"),IF(MatchMode="Description (exact)","S|"&amp;LOWER(TRIM(B164)),IF(MatchMode="Reference / ID only","U|"&amp;ROW(),"DA|"&amp;TEXT(A164,"yyyy-mm-dd")&amp;"|"&amp;TEXT(ROUND(C164,2),"0.00"))))))))))</f>
        <v/>
      </c>
      <c r="J164" s="50">
        <f>IF(I164="","",COUNTIF($I$5:I164,I164))</f>
        <v/>
      </c>
      <c r="K164" s="50">
        <f>IF(P164="","",IFERROR(MATCH(P164,ListB_Combo,0)+4,""))</f>
        <v/>
      </c>
      <c r="L164" s="51">
        <f>IF(A164="","",IF(K164="","Unmatched",IF(ABS(C164-M164)&lt;=MAX(N(Tolerance),0),"Matched","Difference")))</f>
        <v/>
      </c>
      <c r="M164" s="52">
        <f>IF(K164="","",INDEX('List B'!$C$5:$C$204,K164-4))</f>
        <v/>
      </c>
      <c r="N164" s="52">
        <f>IF(K164="","",C164-M164)</f>
        <v/>
      </c>
      <c r="O164" s="53">
        <f>IF(OR(A164="",K164=""),"",IF(H164&lt;&gt;"","Manual pair",IF(D164&lt;&gt;"","Reference / ID",MatchMode)))</f>
        <v/>
      </c>
      <c r="P164" s="54">
        <f>IF(I164="","",I164&amp;"|"&amp;J164)</f>
        <v/>
      </c>
      <c r="Q164" s="54">
        <f>IF(L164="Matched",COUNTIF($L$5:L164,"Matched"),"")</f>
        <v/>
      </c>
      <c r="R164" s="54">
        <f>IF(L164="Unmatched",COUNTIF($L$5:L164,"Unmatched"),"")</f>
        <v/>
      </c>
      <c r="S164" s="54">
        <f>IF(L164="Difference",COUNTIF($L$5:L164,"Difference"),"")</f>
        <v/>
      </c>
      <c r="T164" s="55">
        <f>IF(L164="Difference",ABS(N164),0)</f>
        <v/>
      </c>
    </row>
    <row r="165" ht="17" customHeight="1">
      <c r="A165" s="86" t="n"/>
      <c r="B165" s="46" t="n"/>
      <c r="C165" s="47" t="n"/>
      <c r="D165" s="46" t="n"/>
      <c r="E165" s="46" t="n"/>
      <c r="F165" s="46" t="n"/>
      <c r="G165" s="48" t="n"/>
      <c r="H165" s="48" t="n"/>
      <c r="I165" s="49">
        <f>IF(A165="","",IF(H165&lt;&gt;"","M|"&amp;TRIM(H165),IF(AND(MatchMode="Reference / ID only",D165=""),"U|"&amp;ROW(),IF(D165&lt;&gt;"","R|"&amp;TRIM(D165),IF(MatchMode="Amount only","A|"&amp;TEXT(ROUND(C165,2),"0.00"),IF(MatchMode="Amount (tolerance)","T|"&amp;TEXT(ROUND(C165/MAX(N(Tolerance),0.0001),0),"0"),IF(MatchMode="Date + amount (tolerance)","DT|"&amp;TEXT(A165,"yyyy-mm-dd")&amp;"|"&amp;TEXT(ROUND(C165/MAX(N(Tolerance),0.0001),0),"0"),IF(MatchMode="Description (exact)","S|"&amp;LOWER(TRIM(B165)),IF(MatchMode="Reference / ID only","U|"&amp;ROW(),"DA|"&amp;TEXT(A165,"yyyy-mm-dd")&amp;"|"&amp;TEXT(ROUND(C165,2),"0.00"))))))))))</f>
        <v/>
      </c>
      <c r="J165" s="50">
        <f>IF(I165="","",COUNTIF($I$5:I165,I165))</f>
        <v/>
      </c>
      <c r="K165" s="50">
        <f>IF(P165="","",IFERROR(MATCH(P165,ListB_Combo,0)+4,""))</f>
        <v/>
      </c>
      <c r="L165" s="51">
        <f>IF(A165="","",IF(K165="","Unmatched",IF(ABS(C165-M165)&lt;=MAX(N(Tolerance),0),"Matched","Difference")))</f>
        <v/>
      </c>
      <c r="M165" s="52">
        <f>IF(K165="","",INDEX('List B'!$C$5:$C$204,K165-4))</f>
        <v/>
      </c>
      <c r="N165" s="52">
        <f>IF(K165="","",C165-M165)</f>
        <v/>
      </c>
      <c r="O165" s="53">
        <f>IF(OR(A165="",K165=""),"",IF(H165&lt;&gt;"","Manual pair",IF(D165&lt;&gt;"","Reference / ID",MatchMode)))</f>
        <v/>
      </c>
      <c r="P165" s="54">
        <f>IF(I165="","",I165&amp;"|"&amp;J165)</f>
        <v/>
      </c>
      <c r="Q165" s="54">
        <f>IF(L165="Matched",COUNTIF($L$5:L165,"Matched"),"")</f>
        <v/>
      </c>
      <c r="R165" s="54">
        <f>IF(L165="Unmatched",COUNTIF($L$5:L165,"Unmatched"),"")</f>
        <v/>
      </c>
      <c r="S165" s="54">
        <f>IF(L165="Difference",COUNTIF($L$5:L165,"Difference"),"")</f>
        <v/>
      </c>
      <c r="T165" s="55">
        <f>IF(L165="Difference",ABS(N165),0)</f>
        <v/>
      </c>
    </row>
    <row r="166" ht="17" customHeight="1">
      <c r="A166" s="86" t="n"/>
      <c r="B166" s="46" t="n"/>
      <c r="C166" s="47" t="n"/>
      <c r="D166" s="46" t="n"/>
      <c r="E166" s="46" t="n"/>
      <c r="F166" s="46" t="n"/>
      <c r="G166" s="48" t="n"/>
      <c r="H166" s="48" t="n"/>
      <c r="I166" s="49">
        <f>IF(A166="","",IF(H166&lt;&gt;"","M|"&amp;TRIM(H166),IF(AND(MatchMode="Reference / ID only",D166=""),"U|"&amp;ROW(),IF(D166&lt;&gt;"","R|"&amp;TRIM(D166),IF(MatchMode="Amount only","A|"&amp;TEXT(ROUND(C166,2),"0.00"),IF(MatchMode="Amount (tolerance)","T|"&amp;TEXT(ROUND(C166/MAX(N(Tolerance),0.0001),0),"0"),IF(MatchMode="Date + amount (tolerance)","DT|"&amp;TEXT(A166,"yyyy-mm-dd")&amp;"|"&amp;TEXT(ROUND(C166/MAX(N(Tolerance),0.0001),0),"0"),IF(MatchMode="Description (exact)","S|"&amp;LOWER(TRIM(B166)),IF(MatchMode="Reference / ID only","U|"&amp;ROW(),"DA|"&amp;TEXT(A166,"yyyy-mm-dd")&amp;"|"&amp;TEXT(ROUND(C166,2),"0.00"))))))))))</f>
        <v/>
      </c>
      <c r="J166" s="50">
        <f>IF(I166="","",COUNTIF($I$5:I166,I166))</f>
        <v/>
      </c>
      <c r="K166" s="50">
        <f>IF(P166="","",IFERROR(MATCH(P166,ListB_Combo,0)+4,""))</f>
        <v/>
      </c>
      <c r="L166" s="51">
        <f>IF(A166="","",IF(K166="","Unmatched",IF(ABS(C166-M166)&lt;=MAX(N(Tolerance),0),"Matched","Difference")))</f>
        <v/>
      </c>
      <c r="M166" s="52">
        <f>IF(K166="","",INDEX('List B'!$C$5:$C$204,K166-4))</f>
        <v/>
      </c>
      <c r="N166" s="52">
        <f>IF(K166="","",C166-M166)</f>
        <v/>
      </c>
      <c r="O166" s="53">
        <f>IF(OR(A166="",K166=""),"",IF(H166&lt;&gt;"","Manual pair",IF(D166&lt;&gt;"","Reference / ID",MatchMode)))</f>
        <v/>
      </c>
      <c r="P166" s="54">
        <f>IF(I166="","",I166&amp;"|"&amp;J166)</f>
        <v/>
      </c>
      <c r="Q166" s="54">
        <f>IF(L166="Matched",COUNTIF($L$5:L166,"Matched"),"")</f>
        <v/>
      </c>
      <c r="R166" s="54">
        <f>IF(L166="Unmatched",COUNTIF($L$5:L166,"Unmatched"),"")</f>
        <v/>
      </c>
      <c r="S166" s="54">
        <f>IF(L166="Difference",COUNTIF($L$5:L166,"Difference"),"")</f>
        <v/>
      </c>
      <c r="T166" s="55">
        <f>IF(L166="Difference",ABS(N166),0)</f>
        <v/>
      </c>
    </row>
    <row r="167" ht="17" customHeight="1">
      <c r="A167" s="86" t="n"/>
      <c r="B167" s="46" t="n"/>
      <c r="C167" s="47" t="n"/>
      <c r="D167" s="46" t="n"/>
      <c r="E167" s="46" t="n"/>
      <c r="F167" s="46" t="n"/>
      <c r="G167" s="48" t="n"/>
      <c r="H167" s="48" t="n"/>
      <c r="I167" s="49">
        <f>IF(A167="","",IF(H167&lt;&gt;"","M|"&amp;TRIM(H167),IF(AND(MatchMode="Reference / ID only",D167=""),"U|"&amp;ROW(),IF(D167&lt;&gt;"","R|"&amp;TRIM(D167),IF(MatchMode="Amount only","A|"&amp;TEXT(ROUND(C167,2),"0.00"),IF(MatchMode="Amount (tolerance)","T|"&amp;TEXT(ROUND(C167/MAX(N(Tolerance),0.0001),0),"0"),IF(MatchMode="Date + amount (tolerance)","DT|"&amp;TEXT(A167,"yyyy-mm-dd")&amp;"|"&amp;TEXT(ROUND(C167/MAX(N(Tolerance),0.0001),0),"0"),IF(MatchMode="Description (exact)","S|"&amp;LOWER(TRIM(B167)),IF(MatchMode="Reference / ID only","U|"&amp;ROW(),"DA|"&amp;TEXT(A167,"yyyy-mm-dd")&amp;"|"&amp;TEXT(ROUND(C167,2),"0.00"))))))))))</f>
        <v/>
      </c>
      <c r="J167" s="50">
        <f>IF(I167="","",COUNTIF($I$5:I167,I167))</f>
        <v/>
      </c>
      <c r="K167" s="50">
        <f>IF(P167="","",IFERROR(MATCH(P167,ListB_Combo,0)+4,""))</f>
        <v/>
      </c>
      <c r="L167" s="51">
        <f>IF(A167="","",IF(K167="","Unmatched",IF(ABS(C167-M167)&lt;=MAX(N(Tolerance),0),"Matched","Difference")))</f>
        <v/>
      </c>
      <c r="M167" s="52">
        <f>IF(K167="","",INDEX('List B'!$C$5:$C$204,K167-4))</f>
        <v/>
      </c>
      <c r="N167" s="52">
        <f>IF(K167="","",C167-M167)</f>
        <v/>
      </c>
      <c r="O167" s="53">
        <f>IF(OR(A167="",K167=""),"",IF(H167&lt;&gt;"","Manual pair",IF(D167&lt;&gt;"","Reference / ID",MatchMode)))</f>
        <v/>
      </c>
      <c r="P167" s="54">
        <f>IF(I167="","",I167&amp;"|"&amp;J167)</f>
        <v/>
      </c>
      <c r="Q167" s="54">
        <f>IF(L167="Matched",COUNTIF($L$5:L167,"Matched"),"")</f>
        <v/>
      </c>
      <c r="R167" s="54">
        <f>IF(L167="Unmatched",COUNTIF($L$5:L167,"Unmatched"),"")</f>
        <v/>
      </c>
      <c r="S167" s="54">
        <f>IF(L167="Difference",COUNTIF($L$5:L167,"Difference"),"")</f>
        <v/>
      </c>
      <c r="T167" s="55">
        <f>IF(L167="Difference",ABS(N167),0)</f>
        <v/>
      </c>
    </row>
    <row r="168" ht="17" customHeight="1">
      <c r="A168" s="86" t="n"/>
      <c r="B168" s="46" t="n"/>
      <c r="C168" s="47" t="n"/>
      <c r="D168" s="46" t="n"/>
      <c r="E168" s="46" t="n"/>
      <c r="F168" s="46" t="n"/>
      <c r="G168" s="48" t="n"/>
      <c r="H168" s="48" t="n"/>
      <c r="I168" s="49">
        <f>IF(A168="","",IF(H168&lt;&gt;"","M|"&amp;TRIM(H168),IF(AND(MatchMode="Reference / ID only",D168=""),"U|"&amp;ROW(),IF(D168&lt;&gt;"","R|"&amp;TRIM(D168),IF(MatchMode="Amount only","A|"&amp;TEXT(ROUND(C168,2),"0.00"),IF(MatchMode="Amount (tolerance)","T|"&amp;TEXT(ROUND(C168/MAX(N(Tolerance),0.0001),0),"0"),IF(MatchMode="Date + amount (tolerance)","DT|"&amp;TEXT(A168,"yyyy-mm-dd")&amp;"|"&amp;TEXT(ROUND(C168/MAX(N(Tolerance),0.0001),0),"0"),IF(MatchMode="Description (exact)","S|"&amp;LOWER(TRIM(B168)),IF(MatchMode="Reference / ID only","U|"&amp;ROW(),"DA|"&amp;TEXT(A168,"yyyy-mm-dd")&amp;"|"&amp;TEXT(ROUND(C168,2),"0.00"))))))))))</f>
        <v/>
      </c>
      <c r="J168" s="50">
        <f>IF(I168="","",COUNTIF($I$5:I168,I168))</f>
        <v/>
      </c>
      <c r="K168" s="50">
        <f>IF(P168="","",IFERROR(MATCH(P168,ListB_Combo,0)+4,""))</f>
        <v/>
      </c>
      <c r="L168" s="51">
        <f>IF(A168="","",IF(K168="","Unmatched",IF(ABS(C168-M168)&lt;=MAX(N(Tolerance),0),"Matched","Difference")))</f>
        <v/>
      </c>
      <c r="M168" s="52">
        <f>IF(K168="","",INDEX('List B'!$C$5:$C$204,K168-4))</f>
        <v/>
      </c>
      <c r="N168" s="52">
        <f>IF(K168="","",C168-M168)</f>
        <v/>
      </c>
      <c r="O168" s="53">
        <f>IF(OR(A168="",K168=""),"",IF(H168&lt;&gt;"","Manual pair",IF(D168&lt;&gt;"","Reference / ID",MatchMode)))</f>
        <v/>
      </c>
      <c r="P168" s="54">
        <f>IF(I168="","",I168&amp;"|"&amp;J168)</f>
        <v/>
      </c>
      <c r="Q168" s="54">
        <f>IF(L168="Matched",COUNTIF($L$5:L168,"Matched"),"")</f>
        <v/>
      </c>
      <c r="R168" s="54">
        <f>IF(L168="Unmatched",COUNTIF($L$5:L168,"Unmatched"),"")</f>
        <v/>
      </c>
      <c r="S168" s="54">
        <f>IF(L168="Difference",COUNTIF($L$5:L168,"Difference"),"")</f>
        <v/>
      </c>
      <c r="T168" s="55">
        <f>IF(L168="Difference",ABS(N168),0)</f>
        <v/>
      </c>
    </row>
    <row r="169" ht="17" customHeight="1">
      <c r="A169" s="86" t="n"/>
      <c r="B169" s="46" t="n"/>
      <c r="C169" s="47" t="n"/>
      <c r="D169" s="46" t="n"/>
      <c r="E169" s="46" t="n"/>
      <c r="F169" s="46" t="n"/>
      <c r="G169" s="48" t="n"/>
      <c r="H169" s="48" t="n"/>
      <c r="I169" s="49">
        <f>IF(A169="","",IF(H169&lt;&gt;"","M|"&amp;TRIM(H169),IF(AND(MatchMode="Reference / ID only",D169=""),"U|"&amp;ROW(),IF(D169&lt;&gt;"","R|"&amp;TRIM(D169),IF(MatchMode="Amount only","A|"&amp;TEXT(ROUND(C169,2),"0.00"),IF(MatchMode="Amount (tolerance)","T|"&amp;TEXT(ROUND(C169/MAX(N(Tolerance),0.0001),0),"0"),IF(MatchMode="Date + amount (tolerance)","DT|"&amp;TEXT(A169,"yyyy-mm-dd")&amp;"|"&amp;TEXT(ROUND(C169/MAX(N(Tolerance),0.0001),0),"0"),IF(MatchMode="Description (exact)","S|"&amp;LOWER(TRIM(B169)),IF(MatchMode="Reference / ID only","U|"&amp;ROW(),"DA|"&amp;TEXT(A169,"yyyy-mm-dd")&amp;"|"&amp;TEXT(ROUND(C169,2),"0.00"))))))))))</f>
        <v/>
      </c>
      <c r="J169" s="50">
        <f>IF(I169="","",COUNTIF($I$5:I169,I169))</f>
        <v/>
      </c>
      <c r="K169" s="50">
        <f>IF(P169="","",IFERROR(MATCH(P169,ListB_Combo,0)+4,""))</f>
        <v/>
      </c>
      <c r="L169" s="51">
        <f>IF(A169="","",IF(K169="","Unmatched",IF(ABS(C169-M169)&lt;=MAX(N(Tolerance),0),"Matched","Difference")))</f>
        <v/>
      </c>
      <c r="M169" s="52">
        <f>IF(K169="","",INDEX('List B'!$C$5:$C$204,K169-4))</f>
        <v/>
      </c>
      <c r="N169" s="52">
        <f>IF(K169="","",C169-M169)</f>
        <v/>
      </c>
      <c r="O169" s="53">
        <f>IF(OR(A169="",K169=""),"",IF(H169&lt;&gt;"","Manual pair",IF(D169&lt;&gt;"","Reference / ID",MatchMode)))</f>
        <v/>
      </c>
      <c r="P169" s="54">
        <f>IF(I169="","",I169&amp;"|"&amp;J169)</f>
        <v/>
      </c>
      <c r="Q169" s="54">
        <f>IF(L169="Matched",COUNTIF($L$5:L169,"Matched"),"")</f>
        <v/>
      </c>
      <c r="R169" s="54">
        <f>IF(L169="Unmatched",COUNTIF($L$5:L169,"Unmatched"),"")</f>
        <v/>
      </c>
      <c r="S169" s="54">
        <f>IF(L169="Difference",COUNTIF($L$5:L169,"Difference"),"")</f>
        <v/>
      </c>
      <c r="T169" s="55">
        <f>IF(L169="Difference",ABS(N169),0)</f>
        <v/>
      </c>
    </row>
    <row r="170" ht="17" customHeight="1">
      <c r="A170" s="86" t="n"/>
      <c r="B170" s="46" t="n"/>
      <c r="C170" s="47" t="n"/>
      <c r="D170" s="46" t="n"/>
      <c r="E170" s="46" t="n"/>
      <c r="F170" s="46" t="n"/>
      <c r="G170" s="48" t="n"/>
      <c r="H170" s="48" t="n"/>
      <c r="I170" s="49">
        <f>IF(A170="","",IF(H170&lt;&gt;"","M|"&amp;TRIM(H170),IF(AND(MatchMode="Reference / ID only",D170=""),"U|"&amp;ROW(),IF(D170&lt;&gt;"","R|"&amp;TRIM(D170),IF(MatchMode="Amount only","A|"&amp;TEXT(ROUND(C170,2),"0.00"),IF(MatchMode="Amount (tolerance)","T|"&amp;TEXT(ROUND(C170/MAX(N(Tolerance),0.0001),0),"0"),IF(MatchMode="Date + amount (tolerance)","DT|"&amp;TEXT(A170,"yyyy-mm-dd")&amp;"|"&amp;TEXT(ROUND(C170/MAX(N(Tolerance),0.0001),0),"0"),IF(MatchMode="Description (exact)","S|"&amp;LOWER(TRIM(B170)),IF(MatchMode="Reference / ID only","U|"&amp;ROW(),"DA|"&amp;TEXT(A170,"yyyy-mm-dd")&amp;"|"&amp;TEXT(ROUND(C170,2),"0.00"))))))))))</f>
        <v/>
      </c>
      <c r="J170" s="50">
        <f>IF(I170="","",COUNTIF($I$5:I170,I170))</f>
        <v/>
      </c>
      <c r="K170" s="50">
        <f>IF(P170="","",IFERROR(MATCH(P170,ListB_Combo,0)+4,""))</f>
        <v/>
      </c>
      <c r="L170" s="51">
        <f>IF(A170="","",IF(K170="","Unmatched",IF(ABS(C170-M170)&lt;=MAX(N(Tolerance),0),"Matched","Difference")))</f>
        <v/>
      </c>
      <c r="M170" s="52">
        <f>IF(K170="","",INDEX('List B'!$C$5:$C$204,K170-4))</f>
        <v/>
      </c>
      <c r="N170" s="52">
        <f>IF(K170="","",C170-M170)</f>
        <v/>
      </c>
      <c r="O170" s="53">
        <f>IF(OR(A170="",K170=""),"",IF(H170&lt;&gt;"","Manual pair",IF(D170&lt;&gt;"","Reference / ID",MatchMode)))</f>
        <v/>
      </c>
      <c r="P170" s="54">
        <f>IF(I170="","",I170&amp;"|"&amp;J170)</f>
        <v/>
      </c>
      <c r="Q170" s="54">
        <f>IF(L170="Matched",COUNTIF($L$5:L170,"Matched"),"")</f>
        <v/>
      </c>
      <c r="R170" s="54">
        <f>IF(L170="Unmatched",COUNTIF($L$5:L170,"Unmatched"),"")</f>
        <v/>
      </c>
      <c r="S170" s="54">
        <f>IF(L170="Difference",COUNTIF($L$5:L170,"Difference"),"")</f>
        <v/>
      </c>
      <c r="T170" s="55">
        <f>IF(L170="Difference",ABS(N170),0)</f>
        <v/>
      </c>
    </row>
    <row r="171" ht="17" customHeight="1">
      <c r="A171" s="86" t="n"/>
      <c r="B171" s="46" t="n"/>
      <c r="C171" s="47" t="n"/>
      <c r="D171" s="46" t="n"/>
      <c r="E171" s="46" t="n"/>
      <c r="F171" s="46" t="n"/>
      <c r="G171" s="48" t="n"/>
      <c r="H171" s="48" t="n"/>
      <c r="I171" s="49">
        <f>IF(A171="","",IF(H171&lt;&gt;"","M|"&amp;TRIM(H171),IF(AND(MatchMode="Reference / ID only",D171=""),"U|"&amp;ROW(),IF(D171&lt;&gt;"","R|"&amp;TRIM(D171),IF(MatchMode="Amount only","A|"&amp;TEXT(ROUND(C171,2),"0.00"),IF(MatchMode="Amount (tolerance)","T|"&amp;TEXT(ROUND(C171/MAX(N(Tolerance),0.0001),0),"0"),IF(MatchMode="Date + amount (tolerance)","DT|"&amp;TEXT(A171,"yyyy-mm-dd")&amp;"|"&amp;TEXT(ROUND(C171/MAX(N(Tolerance),0.0001),0),"0"),IF(MatchMode="Description (exact)","S|"&amp;LOWER(TRIM(B171)),IF(MatchMode="Reference / ID only","U|"&amp;ROW(),"DA|"&amp;TEXT(A171,"yyyy-mm-dd")&amp;"|"&amp;TEXT(ROUND(C171,2),"0.00"))))))))))</f>
        <v/>
      </c>
      <c r="J171" s="50">
        <f>IF(I171="","",COUNTIF($I$5:I171,I171))</f>
        <v/>
      </c>
      <c r="K171" s="50">
        <f>IF(P171="","",IFERROR(MATCH(P171,ListB_Combo,0)+4,""))</f>
        <v/>
      </c>
      <c r="L171" s="51">
        <f>IF(A171="","",IF(K171="","Unmatched",IF(ABS(C171-M171)&lt;=MAX(N(Tolerance),0),"Matched","Difference")))</f>
        <v/>
      </c>
      <c r="M171" s="52">
        <f>IF(K171="","",INDEX('List B'!$C$5:$C$204,K171-4))</f>
        <v/>
      </c>
      <c r="N171" s="52">
        <f>IF(K171="","",C171-M171)</f>
        <v/>
      </c>
      <c r="O171" s="53">
        <f>IF(OR(A171="",K171=""),"",IF(H171&lt;&gt;"","Manual pair",IF(D171&lt;&gt;"","Reference / ID",MatchMode)))</f>
        <v/>
      </c>
      <c r="P171" s="54">
        <f>IF(I171="","",I171&amp;"|"&amp;J171)</f>
        <v/>
      </c>
      <c r="Q171" s="54">
        <f>IF(L171="Matched",COUNTIF($L$5:L171,"Matched"),"")</f>
        <v/>
      </c>
      <c r="R171" s="54">
        <f>IF(L171="Unmatched",COUNTIF($L$5:L171,"Unmatched"),"")</f>
        <v/>
      </c>
      <c r="S171" s="54">
        <f>IF(L171="Difference",COUNTIF($L$5:L171,"Difference"),"")</f>
        <v/>
      </c>
      <c r="T171" s="55">
        <f>IF(L171="Difference",ABS(N171),0)</f>
        <v/>
      </c>
    </row>
    <row r="172" ht="17" customHeight="1">
      <c r="A172" s="86" t="n"/>
      <c r="B172" s="46" t="n"/>
      <c r="C172" s="47" t="n"/>
      <c r="D172" s="46" t="n"/>
      <c r="E172" s="46" t="n"/>
      <c r="F172" s="46" t="n"/>
      <c r="G172" s="48" t="n"/>
      <c r="H172" s="48" t="n"/>
      <c r="I172" s="49">
        <f>IF(A172="","",IF(H172&lt;&gt;"","M|"&amp;TRIM(H172),IF(AND(MatchMode="Reference / ID only",D172=""),"U|"&amp;ROW(),IF(D172&lt;&gt;"","R|"&amp;TRIM(D172),IF(MatchMode="Amount only","A|"&amp;TEXT(ROUND(C172,2),"0.00"),IF(MatchMode="Amount (tolerance)","T|"&amp;TEXT(ROUND(C172/MAX(N(Tolerance),0.0001),0),"0"),IF(MatchMode="Date + amount (tolerance)","DT|"&amp;TEXT(A172,"yyyy-mm-dd")&amp;"|"&amp;TEXT(ROUND(C172/MAX(N(Tolerance),0.0001),0),"0"),IF(MatchMode="Description (exact)","S|"&amp;LOWER(TRIM(B172)),IF(MatchMode="Reference / ID only","U|"&amp;ROW(),"DA|"&amp;TEXT(A172,"yyyy-mm-dd")&amp;"|"&amp;TEXT(ROUND(C172,2),"0.00"))))))))))</f>
        <v/>
      </c>
      <c r="J172" s="50">
        <f>IF(I172="","",COUNTIF($I$5:I172,I172))</f>
        <v/>
      </c>
      <c r="K172" s="50">
        <f>IF(P172="","",IFERROR(MATCH(P172,ListB_Combo,0)+4,""))</f>
        <v/>
      </c>
      <c r="L172" s="51">
        <f>IF(A172="","",IF(K172="","Unmatched",IF(ABS(C172-M172)&lt;=MAX(N(Tolerance),0),"Matched","Difference")))</f>
        <v/>
      </c>
      <c r="M172" s="52">
        <f>IF(K172="","",INDEX('List B'!$C$5:$C$204,K172-4))</f>
        <v/>
      </c>
      <c r="N172" s="52">
        <f>IF(K172="","",C172-M172)</f>
        <v/>
      </c>
      <c r="O172" s="53">
        <f>IF(OR(A172="",K172=""),"",IF(H172&lt;&gt;"","Manual pair",IF(D172&lt;&gt;"","Reference / ID",MatchMode)))</f>
        <v/>
      </c>
      <c r="P172" s="54">
        <f>IF(I172="","",I172&amp;"|"&amp;J172)</f>
        <v/>
      </c>
      <c r="Q172" s="54">
        <f>IF(L172="Matched",COUNTIF($L$5:L172,"Matched"),"")</f>
        <v/>
      </c>
      <c r="R172" s="54">
        <f>IF(L172="Unmatched",COUNTIF($L$5:L172,"Unmatched"),"")</f>
        <v/>
      </c>
      <c r="S172" s="54">
        <f>IF(L172="Difference",COUNTIF($L$5:L172,"Difference"),"")</f>
        <v/>
      </c>
      <c r="T172" s="55">
        <f>IF(L172="Difference",ABS(N172),0)</f>
        <v/>
      </c>
    </row>
    <row r="173" ht="17" customHeight="1">
      <c r="A173" s="86" t="n"/>
      <c r="B173" s="46" t="n"/>
      <c r="C173" s="47" t="n"/>
      <c r="D173" s="46" t="n"/>
      <c r="E173" s="46" t="n"/>
      <c r="F173" s="46" t="n"/>
      <c r="G173" s="48" t="n"/>
      <c r="H173" s="48" t="n"/>
      <c r="I173" s="49">
        <f>IF(A173="","",IF(H173&lt;&gt;"","M|"&amp;TRIM(H173),IF(AND(MatchMode="Reference / ID only",D173=""),"U|"&amp;ROW(),IF(D173&lt;&gt;"","R|"&amp;TRIM(D173),IF(MatchMode="Amount only","A|"&amp;TEXT(ROUND(C173,2),"0.00"),IF(MatchMode="Amount (tolerance)","T|"&amp;TEXT(ROUND(C173/MAX(N(Tolerance),0.0001),0),"0"),IF(MatchMode="Date + amount (tolerance)","DT|"&amp;TEXT(A173,"yyyy-mm-dd")&amp;"|"&amp;TEXT(ROUND(C173/MAX(N(Tolerance),0.0001),0),"0"),IF(MatchMode="Description (exact)","S|"&amp;LOWER(TRIM(B173)),IF(MatchMode="Reference / ID only","U|"&amp;ROW(),"DA|"&amp;TEXT(A173,"yyyy-mm-dd")&amp;"|"&amp;TEXT(ROUND(C173,2),"0.00"))))))))))</f>
        <v/>
      </c>
      <c r="J173" s="50">
        <f>IF(I173="","",COUNTIF($I$5:I173,I173))</f>
        <v/>
      </c>
      <c r="K173" s="50">
        <f>IF(P173="","",IFERROR(MATCH(P173,ListB_Combo,0)+4,""))</f>
        <v/>
      </c>
      <c r="L173" s="51">
        <f>IF(A173="","",IF(K173="","Unmatched",IF(ABS(C173-M173)&lt;=MAX(N(Tolerance),0),"Matched","Difference")))</f>
        <v/>
      </c>
      <c r="M173" s="52">
        <f>IF(K173="","",INDEX('List B'!$C$5:$C$204,K173-4))</f>
        <v/>
      </c>
      <c r="N173" s="52">
        <f>IF(K173="","",C173-M173)</f>
        <v/>
      </c>
      <c r="O173" s="53">
        <f>IF(OR(A173="",K173=""),"",IF(H173&lt;&gt;"","Manual pair",IF(D173&lt;&gt;"","Reference / ID",MatchMode)))</f>
        <v/>
      </c>
      <c r="P173" s="54">
        <f>IF(I173="","",I173&amp;"|"&amp;J173)</f>
        <v/>
      </c>
      <c r="Q173" s="54">
        <f>IF(L173="Matched",COUNTIF($L$5:L173,"Matched"),"")</f>
        <v/>
      </c>
      <c r="R173" s="54">
        <f>IF(L173="Unmatched",COUNTIF($L$5:L173,"Unmatched"),"")</f>
        <v/>
      </c>
      <c r="S173" s="54">
        <f>IF(L173="Difference",COUNTIF($L$5:L173,"Difference"),"")</f>
        <v/>
      </c>
      <c r="T173" s="55">
        <f>IF(L173="Difference",ABS(N173),0)</f>
        <v/>
      </c>
    </row>
    <row r="174" ht="17" customHeight="1">
      <c r="A174" s="86" t="n"/>
      <c r="B174" s="46" t="n"/>
      <c r="C174" s="47" t="n"/>
      <c r="D174" s="46" t="n"/>
      <c r="E174" s="46" t="n"/>
      <c r="F174" s="46" t="n"/>
      <c r="G174" s="48" t="n"/>
      <c r="H174" s="48" t="n"/>
      <c r="I174" s="49">
        <f>IF(A174="","",IF(H174&lt;&gt;"","M|"&amp;TRIM(H174),IF(AND(MatchMode="Reference / ID only",D174=""),"U|"&amp;ROW(),IF(D174&lt;&gt;"","R|"&amp;TRIM(D174),IF(MatchMode="Amount only","A|"&amp;TEXT(ROUND(C174,2),"0.00"),IF(MatchMode="Amount (tolerance)","T|"&amp;TEXT(ROUND(C174/MAX(N(Tolerance),0.0001),0),"0"),IF(MatchMode="Date + amount (tolerance)","DT|"&amp;TEXT(A174,"yyyy-mm-dd")&amp;"|"&amp;TEXT(ROUND(C174/MAX(N(Tolerance),0.0001),0),"0"),IF(MatchMode="Description (exact)","S|"&amp;LOWER(TRIM(B174)),IF(MatchMode="Reference / ID only","U|"&amp;ROW(),"DA|"&amp;TEXT(A174,"yyyy-mm-dd")&amp;"|"&amp;TEXT(ROUND(C174,2),"0.00"))))))))))</f>
        <v/>
      </c>
      <c r="J174" s="50">
        <f>IF(I174="","",COUNTIF($I$5:I174,I174))</f>
        <v/>
      </c>
      <c r="K174" s="50">
        <f>IF(P174="","",IFERROR(MATCH(P174,ListB_Combo,0)+4,""))</f>
        <v/>
      </c>
      <c r="L174" s="51">
        <f>IF(A174="","",IF(K174="","Unmatched",IF(ABS(C174-M174)&lt;=MAX(N(Tolerance),0),"Matched","Difference")))</f>
        <v/>
      </c>
      <c r="M174" s="52">
        <f>IF(K174="","",INDEX('List B'!$C$5:$C$204,K174-4))</f>
        <v/>
      </c>
      <c r="N174" s="52">
        <f>IF(K174="","",C174-M174)</f>
        <v/>
      </c>
      <c r="O174" s="53">
        <f>IF(OR(A174="",K174=""),"",IF(H174&lt;&gt;"","Manual pair",IF(D174&lt;&gt;"","Reference / ID",MatchMode)))</f>
        <v/>
      </c>
      <c r="P174" s="54">
        <f>IF(I174="","",I174&amp;"|"&amp;J174)</f>
        <v/>
      </c>
      <c r="Q174" s="54">
        <f>IF(L174="Matched",COUNTIF($L$5:L174,"Matched"),"")</f>
        <v/>
      </c>
      <c r="R174" s="54">
        <f>IF(L174="Unmatched",COUNTIF($L$5:L174,"Unmatched"),"")</f>
        <v/>
      </c>
      <c r="S174" s="54">
        <f>IF(L174="Difference",COUNTIF($L$5:L174,"Difference"),"")</f>
        <v/>
      </c>
      <c r="T174" s="55">
        <f>IF(L174="Difference",ABS(N174),0)</f>
        <v/>
      </c>
    </row>
    <row r="175" ht="17" customHeight="1">
      <c r="A175" s="86" t="n"/>
      <c r="B175" s="46" t="n"/>
      <c r="C175" s="47" t="n"/>
      <c r="D175" s="46" t="n"/>
      <c r="E175" s="46" t="n"/>
      <c r="F175" s="46" t="n"/>
      <c r="G175" s="48" t="n"/>
      <c r="H175" s="48" t="n"/>
      <c r="I175" s="49">
        <f>IF(A175="","",IF(H175&lt;&gt;"","M|"&amp;TRIM(H175),IF(AND(MatchMode="Reference / ID only",D175=""),"U|"&amp;ROW(),IF(D175&lt;&gt;"","R|"&amp;TRIM(D175),IF(MatchMode="Amount only","A|"&amp;TEXT(ROUND(C175,2),"0.00"),IF(MatchMode="Amount (tolerance)","T|"&amp;TEXT(ROUND(C175/MAX(N(Tolerance),0.0001),0),"0"),IF(MatchMode="Date + amount (tolerance)","DT|"&amp;TEXT(A175,"yyyy-mm-dd")&amp;"|"&amp;TEXT(ROUND(C175/MAX(N(Tolerance),0.0001),0),"0"),IF(MatchMode="Description (exact)","S|"&amp;LOWER(TRIM(B175)),IF(MatchMode="Reference / ID only","U|"&amp;ROW(),"DA|"&amp;TEXT(A175,"yyyy-mm-dd")&amp;"|"&amp;TEXT(ROUND(C175,2),"0.00"))))))))))</f>
        <v/>
      </c>
      <c r="J175" s="50">
        <f>IF(I175="","",COUNTIF($I$5:I175,I175))</f>
        <v/>
      </c>
      <c r="K175" s="50">
        <f>IF(P175="","",IFERROR(MATCH(P175,ListB_Combo,0)+4,""))</f>
        <v/>
      </c>
      <c r="L175" s="51">
        <f>IF(A175="","",IF(K175="","Unmatched",IF(ABS(C175-M175)&lt;=MAX(N(Tolerance),0),"Matched","Difference")))</f>
        <v/>
      </c>
      <c r="M175" s="52">
        <f>IF(K175="","",INDEX('List B'!$C$5:$C$204,K175-4))</f>
        <v/>
      </c>
      <c r="N175" s="52">
        <f>IF(K175="","",C175-M175)</f>
        <v/>
      </c>
      <c r="O175" s="53">
        <f>IF(OR(A175="",K175=""),"",IF(H175&lt;&gt;"","Manual pair",IF(D175&lt;&gt;"","Reference / ID",MatchMode)))</f>
        <v/>
      </c>
      <c r="P175" s="54">
        <f>IF(I175="","",I175&amp;"|"&amp;J175)</f>
        <v/>
      </c>
      <c r="Q175" s="54">
        <f>IF(L175="Matched",COUNTIF($L$5:L175,"Matched"),"")</f>
        <v/>
      </c>
      <c r="R175" s="54">
        <f>IF(L175="Unmatched",COUNTIF($L$5:L175,"Unmatched"),"")</f>
        <v/>
      </c>
      <c r="S175" s="54">
        <f>IF(L175="Difference",COUNTIF($L$5:L175,"Difference"),"")</f>
        <v/>
      </c>
      <c r="T175" s="55">
        <f>IF(L175="Difference",ABS(N175),0)</f>
        <v/>
      </c>
    </row>
    <row r="176" ht="17" customHeight="1">
      <c r="A176" s="86" t="n"/>
      <c r="B176" s="46" t="n"/>
      <c r="C176" s="47" t="n"/>
      <c r="D176" s="46" t="n"/>
      <c r="E176" s="46" t="n"/>
      <c r="F176" s="46" t="n"/>
      <c r="G176" s="48" t="n"/>
      <c r="H176" s="48" t="n"/>
      <c r="I176" s="49">
        <f>IF(A176="","",IF(H176&lt;&gt;"","M|"&amp;TRIM(H176),IF(AND(MatchMode="Reference / ID only",D176=""),"U|"&amp;ROW(),IF(D176&lt;&gt;"","R|"&amp;TRIM(D176),IF(MatchMode="Amount only","A|"&amp;TEXT(ROUND(C176,2),"0.00"),IF(MatchMode="Amount (tolerance)","T|"&amp;TEXT(ROUND(C176/MAX(N(Tolerance),0.0001),0),"0"),IF(MatchMode="Date + amount (tolerance)","DT|"&amp;TEXT(A176,"yyyy-mm-dd")&amp;"|"&amp;TEXT(ROUND(C176/MAX(N(Tolerance),0.0001),0),"0"),IF(MatchMode="Description (exact)","S|"&amp;LOWER(TRIM(B176)),IF(MatchMode="Reference / ID only","U|"&amp;ROW(),"DA|"&amp;TEXT(A176,"yyyy-mm-dd")&amp;"|"&amp;TEXT(ROUND(C176,2),"0.00"))))))))))</f>
        <v/>
      </c>
      <c r="J176" s="50">
        <f>IF(I176="","",COUNTIF($I$5:I176,I176))</f>
        <v/>
      </c>
      <c r="K176" s="50">
        <f>IF(P176="","",IFERROR(MATCH(P176,ListB_Combo,0)+4,""))</f>
        <v/>
      </c>
      <c r="L176" s="51">
        <f>IF(A176="","",IF(K176="","Unmatched",IF(ABS(C176-M176)&lt;=MAX(N(Tolerance),0),"Matched","Difference")))</f>
        <v/>
      </c>
      <c r="M176" s="52">
        <f>IF(K176="","",INDEX('List B'!$C$5:$C$204,K176-4))</f>
        <v/>
      </c>
      <c r="N176" s="52">
        <f>IF(K176="","",C176-M176)</f>
        <v/>
      </c>
      <c r="O176" s="53">
        <f>IF(OR(A176="",K176=""),"",IF(H176&lt;&gt;"","Manual pair",IF(D176&lt;&gt;"","Reference / ID",MatchMode)))</f>
        <v/>
      </c>
      <c r="P176" s="54">
        <f>IF(I176="","",I176&amp;"|"&amp;J176)</f>
        <v/>
      </c>
      <c r="Q176" s="54">
        <f>IF(L176="Matched",COUNTIF($L$5:L176,"Matched"),"")</f>
        <v/>
      </c>
      <c r="R176" s="54">
        <f>IF(L176="Unmatched",COUNTIF($L$5:L176,"Unmatched"),"")</f>
        <v/>
      </c>
      <c r="S176" s="54">
        <f>IF(L176="Difference",COUNTIF($L$5:L176,"Difference"),"")</f>
        <v/>
      </c>
      <c r="T176" s="55">
        <f>IF(L176="Difference",ABS(N176),0)</f>
        <v/>
      </c>
    </row>
    <row r="177" ht="17" customHeight="1">
      <c r="A177" s="86" t="n"/>
      <c r="B177" s="46" t="n"/>
      <c r="C177" s="47" t="n"/>
      <c r="D177" s="46" t="n"/>
      <c r="E177" s="46" t="n"/>
      <c r="F177" s="46" t="n"/>
      <c r="G177" s="48" t="n"/>
      <c r="H177" s="48" t="n"/>
      <c r="I177" s="49">
        <f>IF(A177="","",IF(H177&lt;&gt;"","M|"&amp;TRIM(H177),IF(AND(MatchMode="Reference / ID only",D177=""),"U|"&amp;ROW(),IF(D177&lt;&gt;"","R|"&amp;TRIM(D177),IF(MatchMode="Amount only","A|"&amp;TEXT(ROUND(C177,2),"0.00"),IF(MatchMode="Amount (tolerance)","T|"&amp;TEXT(ROUND(C177/MAX(N(Tolerance),0.0001),0),"0"),IF(MatchMode="Date + amount (tolerance)","DT|"&amp;TEXT(A177,"yyyy-mm-dd")&amp;"|"&amp;TEXT(ROUND(C177/MAX(N(Tolerance),0.0001),0),"0"),IF(MatchMode="Description (exact)","S|"&amp;LOWER(TRIM(B177)),IF(MatchMode="Reference / ID only","U|"&amp;ROW(),"DA|"&amp;TEXT(A177,"yyyy-mm-dd")&amp;"|"&amp;TEXT(ROUND(C177,2),"0.00"))))))))))</f>
        <v/>
      </c>
      <c r="J177" s="50">
        <f>IF(I177="","",COUNTIF($I$5:I177,I177))</f>
        <v/>
      </c>
      <c r="K177" s="50">
        <f>IF(P177="","",IFERROR(MATCH(P177,ListB_Combo,0)+4,""))</f>
        <v/>
      </c>
      <c r="L177" s="51">
        <f>IF(A177="","",IF(K177="","Unmatched",IF(ABS(C177-M177)&lt;=MAX(N(Tolerance),0),"Matched","Difference")))</f>
        <v/>
      </c>
      <c r="M177" s="52">
        <f>IF(K177="","",INDEX('List B'!$C$5:$C$204,K177-4))</f>
        <v/>
      </c>
      <c r="N177" s="52">
        <f>IF(K177="","",C177-M177)</f>
        <v/>
      </c>
      <c r="O177" s="53">
        <f>IF(OR(A177="",K177=""),"",IF(H177&lt;&gt;"","Manual pair",IF(D177&lt;&gt;"","Reference / ID",MatchMode)))</f>
        <v/>
      </c>
      <c r="P177" s="54">
        <f>IF(I177="","",I177&amp;"|"&amp;J177)</f>
        <v/>
      </c>
      <c r="Q177" s="54">
        <f>IF(L177="Matched",COUNTIF($L$5:L177,"Matched"),"")</f>
        <v/>
      </c>
      <c r="R177" s="54">
        <f>IF(L177="Unmatched",COUNTIF($L$5:L177,"Unmatched"),"")</f>
        <v/>
      </c>
      <c r="S177" s="54">
        <f>IF(L177="Difference",COUNTIF($L$5:L177,"Difference"),"")</f>
        <v/>
      </c>
      <c r="T177" s="55">
        <f>IF(L177="Difference",ABS(N177),0)</f>
        <v/>
      </c>
    </row>
    <row r="178" ht="17" customHeight="1">
      <c r="A178" s="86" t="n"/>
      <c r="B178" s="46" t="n"/>
      <c r="C178" s="47" t="n"/>
      <c r="D178" s="46" t="n"/>
      <c r="E178" s="46" t="n"/>
      <c r="F178" s="46" t="n"/>
      <c r="G178" s="48" t="n"/>
      <c r="H178" s="48" t="n"/>
      <c r="I178" s="49">
        <f>IF(A178="","",IF(H178&lt;&gt;"","M|"&amp;TRIM(H178),IF(AND(MatchMode="Reference / ID only",D178=""),"U|"&amp;ROW(),IF(D178&lt;&gt;"","R|"&amp;TRIM(D178),IF(MatchMode="Amount only","A|"&amp;TEXT(ROUND(C178,2),"0.00"),IF(MatchMode="Amount (tolerance)","T|"&amp;TEXT(ROUND(C178/MAX(N(Tolerance),0.0001),0),"0"),IF(MatchMode="Date + amount (tolerance)","DT|"&amp;TEXT(A178,"yyyy-mm-dd")&amp;"|"&amp;TEXT(ROUND(C178/MAX(N(Tolerance),0.0001),0),"0"),IF(MatchMode="Description (exact)","S|"&amp;LOWER(TRIM(B178)),IF(MatchMode="Reference / ID only","U|"&amp;ROW(),"DA|"&amp;TEXT(A178,"yyyy-mm-dd")&amp;"|"&amp;TEXT(ROUND(C178,2),"0.00"))))))))))</f>
        <v/>
      </c>
      <c r="J178" s="50">
        <f>IF(I178="","",COUNTIF($I$5:I178,I178))</f>
        <v/>
      </c>
      <c r="K178" s="50">
        <f>IF(P178="","",IFERROR(MATCH(P178,ListB_Combo,0)+4,""))</f>
        <v/>
      </c>
      <c r="L178" s="51">
        <f>IF(A178="","",IF(K178="","Unmatched",IF(ABS(C178-M178)&lt;=MAX(N(Tolerance),0),"Matched","Difference")))</f>
        <v/>
      </c>
      <c r="M178" s="52">
        <f>IF(K178="","",INDEX('List B'!$C$5:$C$204,K178-4))</f>
        <v/>
      </c>
      <c r="N178" s="52">
        <f>IF(K178="","",C178-M178)</f>
        <v/>
      </c>
      <c r="O178" s="53">
        <f>IF(OR(A178="",K178=""),"",IF(H178&lt;&gt;"","Manual pair",IF(D178&lt;&gt;"","Reference / ID",MatchMode)))</f>
        <v/>
      </c>
      <c r="P178" s="54">
        <f>IF(I178="","",I178&amp;"|"&amp;J178)</f>
        <v/>
      </c>
      <c r="Q178" s="54">
        <f>IF(L178="Matched",COUNTIF($L$5:L178,"Matched"),"")</f>
        <v/>
      </c>
      <c r="R178" s="54">
        <f>IF(L178="Unmatched",COUNTIF($L$5:L178,"Unmatched"),"")</f>
        <v/>
      </c>
      <c r="S178" s="54">
        <f>IF(L178="Difference",COUNTIF($L$5:L178,"Difference"),"")</f>
        <v/>
      </c>
      <c r="T178" s="55">
        <f>IF(L178="Difference",ABS(N178),0)</f>
        <v/>
      </c>
    </row>
    <row r="179" ht="17" customHeight="1">
      <c r="A179" s="86" t="n"/>
      <c r="B179" s="46" t="n"/>
      <c r="C179" s="47" t="n"/>
      <c r="D179" s="46" t="n"/>
      <c r="E179" s="46" t="n"/>
      <c r="F179" s="46" t="n"/>
      <c r="G179" s="48" t="n"/>
      <c r="H179" s="48" t="n"/>
      <c r="I179" s="49">
        <f>IF(A179="","",IF(H179&lt;&gt;"","M|"&amp;TRIM(H179),IF(AND(MatchMode="Reference / ID only",D179=""),"U|"&amp;ROW(),IF(D179&lt;&gt;"","R|"&amp;TRIM(D179),IF(MatchMode="Amount only","A|"&amp;TEXT(ROUND(C179,2),"0.00"),IF(MatchMode="Amount (tolerance)","T|"&amp;TEXT(ROUND(C179/MAX(N(Tolerance),0.0001),0),"0"),IF(MatchMode="Date + amount (tolerance)","DT|"&amp;TEXT(A179,"yyyy-mm-dd")&amp;"|"&amp;TEXT(ROUND(C179/MAX(N(Tolerance),0.0001),0),"0"),IF(MatchMode="Description (exact)","S|"&amp;LOWER(TRIM(B179)),IF(MatchMode="Reference / ID only","U|"&amp;ROW(),"DA|"&amp;TEXT(A179,"yyyy-mm-dd")&amp;"|"&amp;TEXT(ROUND(C179,2),"0.00"))))))))))</f>
        <v/>
      </c>
      <c r="J179" s="50">
        <f>IF(I179="","",COUNTIF($I$5:I179,I179))</f>
        <v/>
      </c>
      <c r="K179" s="50">
        <f>IF(P179="","",IFERROR(MATCH(P179,ListB_Combo,0)+4,""))</f>
        <v/>
      </c>
      <c r="L179" s="51">
        <f>IF(A179="","",IF(K179="","Unmatched",IF(ABS(C179-M179)&lt;=MAX(N(Tolerance),0),"Matched","Difference")))</f>
        <v/>
      </c>
      <c r="M179" s="52">
        <f>IF(K179="","",INDEX('List B'!$C$5:$C$204,K179-4))</f>
        <v/>
      </c>
      <c r="N179" s="52">
        <f>IF(K179="","",C179-M179)</f>
        <v/>
      </c>
      <c r="O179" s="53">
        <f>IF(OR(A179="",K179=""),"",IF(H179&lt;&gt;"","Manual pair",IF(D179&lt;&gt;"","Reference / ID",MatchMode)))</f>
        <v/>
      </c>
      <c r="P179" s="54">
        <f>IF(I179="","",I179&amp;"|"&amp;J179)</f>
        <v/>
      </c>
      <c r="Q179" s="54">
        <f>IF(L179="Matched",COUNTIF($L$5:L179,"Matched"),"")</f>
        <v/>
      </c>
      <c r="R179" s="54">
        <f>IF(L179="Unmatched",COUNTIF($L$5:L179,"Unmatched"),"")</f>
        <v/>
      </c>
      <c r="S179" s="54">
        <f>IF(L179="Difference",COUNTIF($L$5:L179,"Difference"),"")</f>
        <v/>
      </c>
      <c r="T179" s="55">
        <f>IF(L179="Difference",ABS(N179),0)</f>
        <v/>
      </c>
    </row>
    <row r="180" ht="17" customHeight="1">
      <c r="A180" s="86" t="n"/>
      <c r="B180" s="46" t="n"/>
      <c r="C180" s="47" t="n"/>
      <c r="D180" s="46" t="n"/>
      <c r="E180" s="46" t="n"/>
      <c r="F180" s="46" t="n"/>
      <c r="G180" s="48" t="n"/>
      <c r="H180" s="48" t="n"/>
      <c r="I180" s="49">
        <f>IF(A180="","",IF(H180&lt;&gt;"","M|"&amp;TRIM(H180),IF(AND(MatchMode="Reference / ID only",D180=""),"U|"&amp;ROW(),IF(D180&lt;&gt;"","R|"&amp;TRIM(D180),IF(MatchMode="Amount only","A|"&amp;TEXT(ROUND(C180,2),"0.00"),IF(MatchMode="Amount (tolerance)","T|"&amp;TEXT(ROUND(C180/MAX(N(Tolerance),0.0001),0),"0"),IF(MatchMode="Date + amount (tolerance)","DT|"&amp;TEXT(A180,"yyyy-mm-dd")&amp;"|"&amp;TEXT(ROUND(C180/MAX(N(Tolerance),0.0001),0),"0"),IF(MatchMode="Description (exact)","S|"&amp;LOWER(TRIM(B180)),IF(MatchMode="Reference / ID only","U|"&amp;ROW(),"DA|"&amp;TEXT(A180,"yyyy-mm-dd")&amp;"|"&amp;TEXT(ROUND(C180,2),"0.00"))))))))))</f>
        <v/>
      </c>
      <c r="J180" s="50">
        <f>IF(I180="","",COUNTIF($I$5:I180,I180))</f>
        <v/>
      </c>
      <c r="K180" s="50">
        <f>IF(P180="","",IFERROR(MATCH(P180,ListB_Combo,0)+4,""))</f>
        <v/>
      </c>
      <c r="L180" s="51">
        <f>IF(A180="","",IF(K180="","Unmatched",IF(ABS(C180-M180)&lt;=MAX(N(Tolerance),0),"Matched","Difference")))</f>
        <v/>
      </c>
      <c r="M180" s="52">
        <f>IF(K180="","",INDEX('List B'!$C$5:$C$204,K180-4))</f>
        <v/>
      </c>
      <c r="N180" s="52">
        <f>IF(K180="","",C180-M180)</f>
        <v/>
      </c>
      <c r="O180" s="53">
        <f>IF(OR(A180="",K180=""),"",IF(H180&lt;&gt;"","Manual pair",IF(D180&lt;&gt;"","Reference / ID",MatchMode)))</f>
        <v/>
      </c>
      <c r="P180" s="54">
        <f>IF(I180="","",I180&amp;"|"&amp;J180)</f>
        <v/>
      </c>
      <c r="Q180" s="54">
        <f>IF(L180="Matched",COUNTIF($L$5:L180,"Matched"),"")</f>
        <v/>
      </c>
      <c r="R180" s="54">
        <f>IF(L180="Unmatched",COUNTIF($L$5:L180,"Unmatched"),"")</f>
        <v/>
      </c>
      <c r="S180" s="54">
        <f>IF(L180="Difference",COUNTIF($L$5:L180,"Difference"),"")</f>
        <v/>
      </c>
      <c r="T180" s="55">
        <f>IF(L180="Difference",ABS(N180),0)</f>
        <v/>
      </c>
    </row>
    <row r="181" ht="17" customHeight="1">
      <c r="A181" s="86" t="n"/>
      <c r="B181" s="46" t="n"/>
      <c r="C181" s="47" t="n"/>
      <c r="D181" s="46" t="n"/>
      <c r="E181" s="46" t="n"/>
      <c r="F181" s="46" t="n"/>
      <c r="G181" s="48" t="n"/>
      <c r="H181" s="48" t="n"/>
      <c r="I181" s="49">
        <f>IF(A181="","",IF(H181&lt;&gt;"","M|"&amp;TRIM(H181),IF(AND(MatchMode="Reference / ID only",D181=""),"U|"&amp;ROW(),IF(D181&lt;&gt;"","R|"&amp;TRIM(D181),IF(MatchMode="Amount only","A|"&amp;TEXT(ROUND(C181,2),"0.00"),IF(MatchMode="Amount (tolerance)","T|"&amp;TEXT(ROUND(C181/MAX(N(Tolerance),0.0001),0),"0"),IF(MatchMode="Date + amount (tolerance)","DT|"&amp;TEXT(A181,"yyyy-mm-dd")&amp;"|"&amp;TEXT(ROUND(C181/MAX(N(Tolerance),0.0001),0),"0"),IF(MatchMode="Description (exact)","S|"&amp;LOWER(TRIM(B181)),IF(MatchMode="Reference / ID only","U|"&amp;ROW(),"DA|"&amp;TEXT(A181,"yyyy-mm-dd")&amp;"|"&amp;TEXT(ROUND(C181,2),"0.00"))))))))))</f>
        <v/>
      </c>
      <c r="J181" s="50">
        <f>IF(I181="","",COUNTIF($I$5:I181,I181))</f>
        <v/>
      </c>
      <c r="K181" s="50">
        <f>IF(P181="","",IFERROR(MATCH(P181,ListB_Combo,0)+4,""))</f>
        <v/>
      </c>
      <c r="L181" s="51">
        <f>IF(A181="","",IF(K181="","Unmatched",IF(ABS(C181-M181)&lt;=MAX(N(Tolerance),0),"Matched","Difference")))</f>
        <v/>
      </c>
      <c r="M181" s="52">
        <f>IF(K181="","",INDEX('List B'!$C$5:$C$204,K181-4))</f>
        <v/>
      </c>
      <c r="N181" s="52">
        <f>IF(K181="","",C181-M181)</f>
        <v/>
      </c>
      <c r="O181" s="53">
        <f>IF(OR(A181="",K181=""),"",IF(H181&lt;&gt;"","Manual pair",IF(D181&lt;&gt;"","Reference / ID",MatchMode)))</f>
        <v/>
      </c>
      <c r="P181" s="54">
        <f>IF(I181="","",I181&amp;"|"&amp;J181)</f>
        <v/>
      </c>
      <c r="Q181" s="54">
        <f>IF(L181="Matched",COUNTIF($L$5:L181,"Matched"),"")</f>
        <v/>
      </c>
      <c r="R181" s="54">
        <f>IF(L181="Unmatched",COUNTIF($L$5:L181,"Unmatched"),"")</f>
        <v/>
      </c>
      <c r="S181" s="54">
        <f>IF(L181="Difference",COUNTIF($L$5:L181,"Difference"),"")</f>
        <v/>
      </c>
      <c r="T181" s="55">
        <f>IF(L181="Difference",ABS(N181),0)</f>
        <v/>
      </c>
    </row>
    <row r="182" ht="17" customHeight="1">
      <c r="A182" s="86" t="n"/>
      <c r="B182" s="46" t="n"/>
      <c r="C182" s="47" t="n"/>
      <c r="D182" s="46" t="n"/>
      <c r="E182" s="46" t="n"/>
      <c r="F182" s="46" t="n"/>
      <c r="G182" s="48" t="n"/>
      <c r="H182" s="48" t="n"/>
      <c r="I182" s="49">
        <f>IF(A182="","",IF(H182&lt;&gt;"","M|"&amp;TRIM(H182),IF(AND(MatchMode="Reference / ID only",D182=""),"U|"&amp;ROW(),IF(D182&lt;&gt;"","R|"&amp;TRIM(D182),IF(MatchMode="Amount only","A|"&amp;TEXT(ROUND(C182,2),"0.00"),IF(MatchMode="Amount (tolerance)","T|"&amp;TEXT(ROUND(C182/MAX(N(Tolerance),0.0001),0),"0"),IF(MatchMode="Date + amount (tolerance)","DT|"&amp;TEXT(A182,"yyyy-mm-dd")&amp;"|"&amp;TEXT(ROUND(C182/MAX(N(Tolerance),0.0001),0),"0"),IF(MatchMode="Description (exact)","S|"&amp;LOWER(TRIM(B182)),IF(MatchMode="Reference / ID only","U|"&amp;ROW(),"DA|"&amp;TEXT(A182,"yyyy-mm-dd")&amp;"|"&amp;TEXT(ROUND(C182,2),"0.00"))))))))))</f>
        <v/>
      </c>
      <c r="J182" s="50">
        <f>IF(I182="","",COUNTIF($I$5:I182,I182))</f>
        <v/>
      </c>
      <c r="K182" s="50">
        <f>IF(P182="","",IFERROR(MATCH(P182,ListB_Combo,0)+4,""))</f>
        <v/>
      </c>
      <c r="L182" s="51">
        <f>IF(A182="","",IF(K182="","Unmatched",IF(ABS(C182-M182)&lt;=MAX(N(Tolerance),0),"Matched","Difference")))</f>
        <v/>
      </c>
      <c r="M182" s="52">
        <f>IF(K182="","",INDEX('List B'!$C$5:$C$204,K182-4))</f>
        <v/>
      </c>
      <c r="N182" s="52">
        <f>IF(K182="","",C182-M182)</f>
        <v/>
      </c>
      <c r="O182" s="53">
        <f>IF(OR(A182="",K182=""),"",IF(H182&lt;&gt;"","Manual pair",IF(D182&lt;&gt;"","Reference / ID",MatchMode)))</f>
        <v/>
      </c>
      <c r="P182" s="54">
        <f>IF(I182="","",I182&amp;"|"&amp;J182)</f>
        <v/>
      </c>
      <c r="Q182" s="54">
        <f>IF(L182="Matched",COUNTIF($L$5:L182,"Matched"),"")</f>
        <v/>
      </c>
      <c r="R182" s="54">
        <f>IF(L182="Unmatched",COUNTIF($L$5:L182,"Unmatched"),"")</f>
        <v/>
      </c>
      <c r="S182" s="54">
        <f>IF(L182="Difference",COUNTIF($L$5:L182,"Difference"),"")</f>
        <v/>
      </c>
      <c r="T182" s="55">
        <f>IF(L182="Difference",ABS(N182),0)</f>
        <v/>
      </c>
    </row>
    <row r="183" ht="17" customHeight="1">
      <c r="A183" s="86" t="n"/>
      <c r="B183" s="46" t="n"/>
      <c r="C183" s="47" t="n"/>
      <c r="D183" s="46" t="n"/>
      <c r="E183" s="46" t="n"/>
      <c r="F183" s="46" t="n"/>
      <c r="G183" s="48" t="n"/>
      <c r="H183" s="48" t="n"/>
      <c r="I183" s="49">
        <f>IF(A183="","",IF(H183&lt;&gt;"","M|"&amp;TRIM(H183),IF(AND(MatchMode="Reference / ID only",D183=""),"U|"&amp;ROW(),IF(D183&lt;&gt;"","R|"&amp;TRIM(D183),IF(MatchMode="Amount only","A|"&amp;TEXT(ROUND(C183,2),"0.00"),IF(MatchMode="Amount (tolerance)","T|"&amp;TEXT(ROUND(C183/MAX(N(Tolerance),0.0001),0),"0"),IF(MatchMode="Date + amount (tolerance)","DT|"&amp;TEXT(A183,"yyyy-mm-dd")&amp;"|"&amp;TEXT(ROUND(C183/MAX(N(Tolerance),0.0001),0),"0"),IF(MatchMode="Description (exact)","S|"&amp;LOWER(TRIM(B183)),IF(MatchMode="Reference / ID only","U|"&amp;ROW(),"DA|"&amp;TEXT(A183,"yyyy-mm-dd")&amp;"|"&amp;TEXT(ROUND(C183,2),"0.00"))))))))))</f>
        <v/>
      </c>
      <c r="J183" s="50">
        <f>IF(I183="","",COUNTIF($I$5:I183,I183))</f>
        <v/>
      </c>
      <c r="K183" s="50">
        <f>IF(P183="","",IFERROR(MATCH(P183,ListB_Combo,0)+4,""))</f>
        <v/>
      </c>
      <c r="L183" s="51">
        <f>IF(A183="","",IF(K183="","Unmatched",IF(ABS(C183-M183)&lt;=MAX(N(Tolerance),0),"Matched","Difference")))</f>
        <v/>
      </c>
      <c r="M183" s="52">
        <f>IF(K183="","",INDEX('List B'!$C$5:$C$204,K183-4))</f>
        <v/>
      </c>
      <c r="N183" s="52">
        <f>IF(K183="","",C183-M183)</f>
        <v/>
      </c>
      <c r="O183" s="53">
        <f>IF(OR(A183="",K183=""),"",IF(H183&lt;&gt;"","Manual pair",IF(D183&lt;&gt;"","Reference / ID",MatchMode)))</f>
        <v/>
      </c>
      <c r="P183" s="54">
        <f>IF(I183="","",I183&amp;"|"&amp;J183)</f>
        <v/>
      </c>
      <c r="Q183" s="54">
        <f>IF(L183="Matched",COUNTIF($L$5:L183,"Matched"),"")</f>
        <v/>
      </c>
      <c r="R183" s="54">
        <f>IF(L183="Unmatched",COUNTIF($L$5:L183,"Unmatched"),"")</f>
        <v/>
      </c>
      <c r="S183" s="54">
        <f>IF(L183="Difference",COUNTIF($L$5:L183,"Difference"),"")</f>
        <v/>
      </c>
      <c r="T183" s="55">
        <f>IF(L183="Difference",ABS(N183),0)</f>
        <v/>
      </c>
    </row>
    <row r="184" ht="17" customHeight="1">
      <c r="A184" s="86" t="n"/>
      <c r="B184" s="46" t="n"/>
      <c r="C184" s="47" t="n"/>
      <c r="D184" s="46" t="n"/>
      <c r="E184" s="46" t="n"/>
      <c r="F184" s="46" t="n"/>
      <c r="G184" s="48" t="n"/>
      <c r="H184" s="48" t="n"/>
      <c r="I184" s="49">
        <f>IF(A184="","",IF(H184&lt;&gt;"","M|"&amp;TRIM(H184),IF(AND(MatchMode="Reference / ID only",D184=""),"U|"&amp;ROW(),IF(D184&lt;&gt;"","R|"&amp;TRIM(D184),IF(MatchMode="Amount only","A|"&amp;TEXT(ROUND(C184,2),"0.00"),IF(MatchMode="Amount (tolerance)","T|"&amp;TEXT(ROUND(C184/MAX(N(Tolerance),0.0001),0),"0"),IF(MatchMode="Date + amount (tolerance)","DT|"&amp;TEXT(A184,"yyyy-mm-dd")&amp;"|"&amp;TEXT(ROUND(C184/MAX(N(Tolerance),0.0001),0),"0"),IF(MatchMode="Description (exact)","S|"&amp;LOWER(TRIM(B184)),IF(MatchMode="Reference / ID only","U|"&amp;ROW(),"DA|"&amp;TEXT(A184,"yyyy-mm-dd")&amp;"|"&amp;TEXT(ROUND(C184,2),"0.00"))))))))))</f>
        <v/>
      </c>
      <c r="J184" s="50">
        <f>IF(I184="","",COUNTIF($I$5:I184,I184))</f>
        <v/>
      </c>
      <c r="K184" s="50">
        <f>IF(P184="","",IFERROR(MATCH(P184,ListB_Combo,0)+4,""))</f>
        <v/>
      </c>
      <c r="L184" s="51">
        <f>IF(A184="","",IF(K184="","Unmatched",IF(ABS(C184-M184)&lt;=MAX(N(Tolerance),0),"Matched","Difference")))</f>
        <v/>
      </c>
      <c r="M184" s="52">
        <f>IF(K184="","",INDEX('List B'!$C$5:$C$204,K184-4))</f>
        <v/>
      </c>
      <c r="N184" s="52">
        <f>IF(K184="","",C184-M184)</f>
        <v/>
      </c>
      <c r="O184" s="53">
        <f>IF(OR(A184="",K184=""),"",IF(H184&lt;&gt;"","Manual pair",IF(D184&lt;&gt;"","Reference / ID",MatchMode)))</f>
        <v/>
      </c>
      <c r="P184" s="54">
        <f>IF(I184="","",I184&amp;"|"&amp;J184)</f>
        <v/>
      </c>
      <c r="Q184" s="54">
        <f>IF(L184="Matched",COUNTIF($L$5:L184,"Matched"),"")</f>
        <v/>
      </c>
      <c r="R184" s="54">
        <f>IF(L184="Unmatched",COUNTIF($L$5:L184,"Unmatched"),"")</f>
        <v/>
      </c>
      <c r="S184" s="54">
        <f>IF(L184="Difference",COUNTIF($L$5:L184,"Difference"),"")</f>
        <v/>
      </c>
      <c r="T184" s="55">
        <f>IF(L184="Difference",ABS(N184),0)</f>
        <v/>
      </c>
    </row>
    <row r="185" ht="17" customHeight="1">
      <c r="A185" s="86" t="n"/>
      <c r="B185" s="46" t="n"/>
      <c r="C185" s="47" t="n"/>
      <c r="D185" s="46" t="n"/>
      <c r="E185" s="46" t="n"/>
      <c r="F185" s="46" t="n"/>
      <c r="G185" s="48" t="n"/>
      <c r="H185" s="48" t="n"/>
      <c r="I185" s="49">
        <f>IF(A185="","",IF(H185&lt;&gt;"","M|"&amp;TRIM(H185),IF(AND(MatchMode="Reference / ID only",D185=""),"U|"&amp;ROW(),IF(D185&lt;&gt;"","R|"&amp;TRIM(D185),IF(MatchMode="Amount only","A|"&amp;TEXT(ROUND(C185,2),"0.00"),IF(MatchMode="Amount (tolerance)","T|"&amp;TEXT(ROUND(C185/MAX(N(Tolerance),0.0001),0),"0"),IF(MatchMode="Date + amount (tolerance)","DT|"&amp;TEXT(A185,"yyyy-mm-dd")&amp;"|"&amp;TEXT(ROUND(C185/MAX(N(Tolerance),0.0001),0),"0"),IF(MatchMode="Description (exact)","S|"&amp;LOWER(TRIM(B185)),IF(MatchMode="Reference / ID only","U|"&amp;ROW(),"DA|"&amp;TEXT(A185,"yyyy-mm-dd")&amp;"|"&amp;TEXT(ROUND(C185,2),"0.00"))))))))))</f>
        <v/>
      </c>
      <c r="J185" s="50">
        <f>IF(I185="","",COUNTIF($I$5:I185,I185))</f>
        <v/>
      </c>
      <c r="K185" s="50">
        <f>IF(P185="","",IFERROR(MATCH(P185,ListB_Combo,0)+4,""))</f>
        <v/>
      </c>
      <c r="L185" s="51">
        <f>IF(A185="","",IF(K185="","Unmatched",IF(ABS(C185-M185)&lt;=MAX(N(Tolerance),0),"Matched","Difference")))</f>
        <v/>
      </c>
      <c r="M185" s="52">
        <f>IF(K185="","",INDEX('List B'!$C$5:$C$204,K185-4))</f>
        <v/>
      </c>
      <c r="N185" s="52">
        <f>IF(K185="","",C185-M185)</f>
        <v/>
      </c>
      <c r="O185" s="53">
        <f>IF(OR(A185="",K185=""),"",IF(H185&lt;&gt;"","Manual pair",IF(D185&lt;&gt;"","Reference / ID",MatchMode)))</f>
        <v/>
      </c>
      <c r="P185" s="54">
        <f>IF(I185="","",I185&amp;"|"&amp;J185)</f>
        <v/>
      </c>
      <c r="Q185" s="54">
        <f>IF(L185="Matched",COUNTIF($L$5:L185,"Matched"),"")</f>
        <v/>
      </c>
      <c r="R185" s="54">
        <f>IF(L185="Unmatched",COUNTIF($L$5:L185,"Unmatched"),"")</f>
        <v/>
      </c>
      <c r="S185" s="54">
        <f>IF(L185="Difference",COUNTIF($L$5:L185,"Difference"),"")</f>
        <v/>
      </c>
      <c r="T185" s="55">
        <f>IF(L185="Difference",ABS(N185),0)</f>
        <v/>
      </c>
    </row>
    <row r="186" ht="17" customHeight="1">
      <c r="A186" s="86" t="n"/>
      <c r="B186" s="46" t="n"/>
      <c r="C186" s="47" t="n"/>
      <c r="D186" s="46" t="n"/>
      <c r="E186" s="46" t="n"/>
      <c r="F186" s="46" t="n"/>
      <c r="G186" s="48" t="n"/>
      <c r="H186" s="48" t="n"/>
      <c r="I186" s="49">
        <f>IF(A186="","",IF(H186&lt;&gt;"","M|"&amp;TRIM(H186),IF(AND(MatchMode="Reference / ID only",D186=""),"U|"&amp;ROW(),IF(D186&lt;&gt;"","R|"&amp;TRIM(D186),IF(MatchMode="Amount only","A|"&amp;TEXT(ROUND(C186,2),"0.00"),IF(MatchMode="Amount (tolerance)","T|"&amp;TEXT(ROUND(C186/MAX(N(Tolerance),0.0001),0),"0"),IF(MatchMode="Date + amount (tolerance)","DT|"&amp;TEXT(A186,"yyyy-mm-dd")&amp;"|"&amp;TEXT(ROUND(C186/MAX(N(Tolerance),0.0001),0),"0"),IF(MatchMode="Description (exact)","S|"&amp;LOWER(TRIM(B186)),IF(MatchMode="Reference / ID only","U|"&amp;ROW(),"DA|"&amp;TEXT(A186,"yyyy-mm-dd")&amp;"|"&amp;TEXT(ROUND(C186,2),"0.00"))))))))))</f>
        <v/>
      </c>
      <c r="J186" s="50">
        <f>IF(I186="","",COUNTIF($I$5:I186,I186))</f>
        <v/>
      </c>
      <c r="K186" s="50">
        <f>IF(P186="","",IFERROR(MATCH(P186,ListB_Combo,0)+4,""))</f>
        <v/>
      </c>
      <c r="L186" s="51">
        <f>IF(A186="","",IF(K186="","Unmatched",IF(ABS(C186-M186)&lt;=MAX(N(Tolerance),0),"Matched","Difference")))</f>
        <v/>
      </c>
      <c r="M186" s="52">
        <f>IF(K186="","",INDEX('List B'!$C$5:$C$204,K186-4))</f>
        <v/>
      </c>
      <c r="N186" s="52">
        <f>IF(K186="","",C186-M186)</f>
        <v/>
      </c>
      <c r="O186" s="53">
        <f>IF(OR(A186="",K186=""),"",IF(H186&lt;&gt;"","Manual pair",IF(D186&lt;&gt;"","Reference / ID",MatchMode)))</f>
        <v/>
      </c>
      <c r="P186" s="54">
        <f>IF(I186="","",I186&amp;"|"&amp;J186)</f>
        <v/>
      </c>
      <c r="Q186" s="54">
        <f>IF(L186="Matched",COUNTIF($L$5:L186,"Matched"),"")</f>
        <v/>
      </c>
      <c r="R186" s="54">
        <f>IF(L186="Unmatched",COUNTIF($L$5:L186,"Unmatched"),"")</f>
        <v/>
      </c>
      <c r="S186" s="54">
        <f>IF(L186="Difference",COUNTIF($L$5:L186,"Difference"),"")</f>
        <v/>
      </c>
      <c r="T186" s="55">
        <f>IF(L186="Difference",ABS(N186),0)</f>
        <v/>
      </c>
    </row>
    <row r="187" ht="17" customHeight="1">
      <c r="A187" s="86" t="n"/>
      <c r="B187" s="46" t="n"/>
      <c r="C187" s="47" t="n"/>
      <c r="D187" s="46" t="n"/>
      <c r="E187" s="46" t="n"/>
      <c r="F187" s="46" t="n"/>
      <c r="G187" s="48" t="n"/>
      <c r="H187" s="48" t="n"/>
      <c r="I187" s="49">
        <f>IF(A187="","",IF(H187&lt;&gt;"","M|"&amp;TRIM(H187),IF(AND(MatchMode="Reference / ID only",D187=""),"U|"&amp;ROW(),IF(D187&lt;&gt;"","R|"&amp;TRIM(D187),IF(MatchMode="Amount only","A|"&amp;TEXT(ROUND(C187,2),"0.00"),IF(MatchMode="Amount (tolerance)","T|"&amp;TEXT(ROUND(C187/MAX(N(Tolerance),0.0001),0),"0"),IF(MatchMode="Date + amount (tolerance)","DT|"&amp;TEXT(A187,"yyyy-mm-dd")&amp;"|"&amp;TEXT(ROUND(C187/MAX(N(Tolerance),0.0001),0),"0"),IF(MatchMode="Description (exact)","S|"&amp;LOWER(TRIM(B187)),IF(MatchMode="Reference / ID only","U|"&amp;ROW(),"DA|"&amp;TEXT(A187,"yyyy-mm-dd")&amp;"|"&amp;TEXT(ROUND(C187,2),"0.00"))))))))))</f>
        <v/>
      </c>
      <c r="J187" s="50">
        <f>IF(I187="","",COUNTIF($I$5:I187,I187))</f>
        <v/>
      </c>
      <c r="K187" s="50">
        <f>IF(P187="","",IFERROR(MATCH(P187,ListB_Combo,0)+4,""))</f>
        <v/>
      </c>
      <c r="L187" s="51">
        <f>IF(A187="","",IF(K187="","Unmatched",IF(ABS(C187-M187)&lt;=MAX(N(Tolerance),0),"Matched","Difference")))</f>
        <v/>
      </c>
      <c r="M187" s="52">
        <f>IF(K187="","",INDEX('List B'!$C$5:$C$204,K187-4))</f>
        <v/>
      </c>
      <c r="N187" s="52">
        <f>IF(K187="","",C187-M187)</f>
        <v/>
      </c>
      <c r="O187" s="53">
        <f>IF(OR(A187="",K187=""),"",IF(H187&lt;&gt;"","Manual pair",IF(D187&lt;&gt;"","Reference / ID",MatchMode)))</f>
        <v/>
      </c>
      <c r="P187" s="54">
        <f>IF(I187="","",I187&amp;"|"&amp;J187)</f>
        <v/>
      </c>
      <c r="Q187" s="54">
        <f>IF(L187="Matched",COUNTIF($L$5:L187,"Matched"),"")</f>
        <v/>
      </c>
      <c r="R187" s="54">
        <f>IF(L187="Unmatched",COUNTIF($L$5:L187,"Unmatched"),"")</f>
        <v/>
      </c>
      <c r="S187" s="54">
        <f>IF(L187="Difference",COUNTIF($L$5:L187,"Difference"),"")</f>
        <v/>
      </c>
      <c r="T187" s="55">
        <f>IF(L187="Difference",ABS(N187),0)</f>
        <v/>
      </c>
    </row>
    <row r="188" ht="17" customHeight="1">
      <c r="A188" s="86" t="n"/>
      <c r="B188" s="46" t="n"/>
      <c r="C188" s="47" t="n"/>
      <c r="D188" s="46" t="n"/>
      <c r="E188" s="46" t="n"/>
      <c r="F188" s="46" t="n"/>
      <c r="G188" s="48" t="n"/>
      <c r="H188" s="48" t="n"/>
      <c r="I188" s="49">
        <f>IF(A188="","",IF(H188&lt;&gt;"","M|"&amp;TRIM(H188),IF(AND(MatchMode="Reference / ID only",D188=""),"U|"&amp;ROW(),IF(D188&lt;&gt;"","R|"&amp;TRIM(D188),IF(MatchMode="Amount only","A|"&amp;TEXT(ROUND(C188,2),"0.00"),IF(MatchMode="Amount (tolerance)","T|"&amp;TEXT(ROUND(C188/MAX(N(Tolerance),0.0001),0),"0"),IF(MatchMode="Date + amount (tolerance)","DT|"&amp;TEXT(A188,"yyyy-mm-dd")&amp;"|"&amp;TEXT(ROUND(C188/MAX(N(Tolerance),0.0001),0),"0"),IF(MatchMode="Description (exact)","S|"&amp;LOWER(TRIM(B188)),IF(MatchMode="Reference / ID only","U|"&amp;ROW(),"DA|"&amp;TEXT(A188,"yyyy-mm-dd")&amp;"|"&amp;TEXT(ROUND(C188,2),"0.00"))))))))))</f>
        <v/>
      </c>
      <c r="J188" s="50">
        <f>IF(I188="","",COUNTIF($I$5:I188,I188))</f>
        <v/>
      </c>
      <c r="K188" s="50">
        <f>IF(P188="","",IFERROR(MATCH(P188,ListB_Combo,0)+4,""))</f>
        <v/>
      </c>
      <c r="L188" s="51">
        <f>IF(A188="","",IF(K188="","Unmatched",IF(ABS(C188-M188)&lt;=MAX(N(Tolerance),0),"Matched","Difference")))</f>
        <v/>
      </c>
      <c r="M188" s="52">
        <f>IF(K188="","",INDEX('List B'!$C$5:$C$204,K188-4))</f>
        <v/>
      </c>
      <c r="N188" s="52">
        <f>IF(K188="","",C188-M188)</f>
        <v/>
      </c>
      <c r="O188" s="53">
        <f>IF(OR(A188="",K188=""),"",IF(H188&lt;&gt;"","Manual pair",IF(D188&lt;&gt;"","Reference / ID",MatchMode)))</f>
        <v/>
      </c>
      <c r="P188" s="54">
        <f>IF(I188="","",I188&amp;"|"&amp;J188)</f>
        <v/>
      </c>
      <c r="Q188" s="54">
        <f>IF(L188="Matched",COUNTIF($L$5:L188,"Matched"),"")</f>
        <v/>
      </c>
      <c r="R188" s="54">
        <f>IF(L188="Unmatched",COUNTIF($L$5:L188,"Unmatched"),"")</f>
        <v/>
      </c>
      <c r="S188" s="54">
        <f>IF(L188="Difference",COUNTIF($L$5:L188,"Difference"),"")</f>
        <v/>
      </c>
      <c r="T188" s="55">
        <f>IF(L188="Difference",ABS(N188),0)</f>
        <v/>
      </c>
    </row>
    <row r="189" ht="17" customHeight="1">
      <c r="A189" s="86" t="n"/>
      <c r="B189" s="46" t="n"/>
      <c r="C189" s="47" t="n"/>
      <c r="D189" s="46" t="n"/>
      <c r="E189" s="46" t="n"/>
      <c r="F189" s="46" t="n"/>
      <c r="G189" s="48" t="n"/>
      <c r="H189" s="48" t="n"/>
      <c r="I189" s="49">
        <f>IF(A189="","",IF(H189&lt;&gt;"","M|"&amp;TRIM(H189),IF(AND(MatchMode="Reference / ID only",D189=""),"U|"&amp;ROW(),IF(D189&lt;&gt;"","R|"&amp;TRIM(D189),IF(MatchMode="Amount only","A|"&amp;TEXT(ROUND(C189,2),"0.00"),IF(MatchMode="Amount (tolerance)","T|"&amp;TEXT(ROUND(C189/MAX(N(Tolerance),0.0001),0),"0"),IF(MatchMode="Date + amount (tolerance)","DT|"&amp;TEXT(A189,"yyyy-mm-dd")&amp;"|"&amp;TEXT(ROUND(C189/MAX(N(Tolerance),0.0001),0),"0"),IF(MatchMode="Description (exact)","S|"&amp;LOWER(TRIM(B189)),IF(MatchMode="Reference / ID only","U|"&amp;ROW(),"DA|"&amp;TEXT(A189,"yyyy-mm-dd")&amp;"|"&amp;TEXT(ROUND(C189,2),"0.00"))))))))))</f>
        <v/>
      </c>
      <c r="J189" s="50">
        <f>IF(I189="","",COUNTIF($I$5:I189,I189))</f>
        <v/>
      </c>
      <c r="K189" s="50">
        <f>IF(P189="","",IFERROR(MATCH(P189,ListB_Combo,0)+4,""))</f>
        <v/>
      </c>
      <c r="L189" s="51">
        <f>IF(A189="","",IF(K189="","Unmatched",IF(ABS(C189-M189)&lt;=MAX(N(Tolerance),0),"Matched","Difference")))</f>
        <v/>
      </c>
      <c r="M189" s="52">
        <f>IF(K189="","",INDEX('List B'!$C$5:$C$204,K189-4))</f>
        <v/>
      </c>
      <c r="N189" s="52">
        <f>IF(K189="","",C189-M189)</f>
        <v/>
      </c>
      <c r="O189" s="53">
        <f>IF(OR(A189="",K189=""),"",IF(H189&lt;&gt;"","Manual pair",IF(D189&lt;&gt;"","Reference / ID",MatchMode)))</f>
        <v/>
      </c>
      <c r="P189" s="54">
        <f>IF(I189="","",I189&amp;"|"&amp;J189)</f>
        <v/>
      </c>
      <c r="Q189" s="54">
        <f>IF(L189="Matched",COUNTIF($L$5:L189,"Matched"),"")</f>
        <v/>
      </c>
      <c r="R189" s="54">
        <f>IF(L189="Unmatched",COUNTIF($L$5:L189,"Unmatched"),"")</f>
        <v/>
      </c>
      <c r="S189" s="54">
        <f>IF(L189="Difference",COUNTIF($L$5:L189,"Difference"),"")</f>
        <v/>
      </c>
      <c r="T189" s="55">
        <f>IF(L189="Difference",ABS(N189),0)</f>
        <v/>
      </c>
    </row>
    <row r="190" ht="17" customHeight="1">
      <c r="A190" s="86" t="n"/>
      <c r="B190" s="46" t="n"/>
      <c r="C190" s="47" t="n"/>
      <c r="D190" s="46" t="n"/>
      <c r="E190" s="46" t="n"/>
      <c r="F190" s="46" t="n"/>
      <c r="G190" s="48" t="n"/>
      <c r="H190" s="48" t="n"/>
      <c r="I190" s="49">
        <f>IF(A190="","",IF(H190&lt;&gt;"","M|"&amp;TRIM(H190),IF(AND(MatchMode="Reference / ID only",D190=""),"U|"&amp;ROW(),IF(D190&lt;&gt;"","R|"&amp;TRIM(D190),IF(MatchMode="Amount only","A|"&amp;TEXT(ROUND(C190,2),"0.00"),IF(MatchMode="Amount (tolerance)","T|"&amp;TEXT(ROUND(C190/MAX(N(Tolerance),0.0001),0),"0"),IF(MatchMode="Date + amount (tolerance)","DT|"&amp;TEXT(A190,"yyyy-mm-dd")&amp;"|"&amp;TEXT(ROUND(C190/MAX(N(Tolerance),0.0001),0),"0"),IF(MatchMode="Description (exact)","S|"&amp;LOWER(TRIM(B190)),IF(MatchMode="Reference / ID only","U|"&amp;ROW(),"DA|"&amp;TEXT(A190,"yyyy-mm-dd")&amp;"|"&amp;TEXT(ROUND(C190,2),"0.00"))))))))))</f>
        <v/>
      </c>
      <c r="J190" s="50">
        <f>IF(I190="","",COUNTIF($I$5:I190,I190))</f>
        <v/>
      </c>
      <c r="K190" s="50">
        <f>IF(P190="","",IFERROR(MATCH(P190,ListB_Combo,0)+4,""))</f>
        <v/>
      </c>
      <c r="L190" s="51">
        <f>IF(A190="","",IF(K190="","Unmatched",IF(ABS(C190-M190)&lt;=MAX(N(Tolerance),0),"Matched","Difference")))</f>
        <v/>
      </c>
      <c r="M190" s="52">
        <f>IF(K190="","",INDEX('List B'!$C$5:$C$204,K190-4))</f>
        <v/>
      </c>
      <c r="N190" s="52">
        <f>IF(K190="","",C190-M190)</f>
        <v/>
      </c>
      <c r="O190" s="53">
        <f>IF(OR(A190="",K190=""),"",IF(H190&lt;&gt;"","Manual pair",IF(D190&lt;&gt;"","Reference / ID",MatchMode)))</f>
        <v/>
      </c>
      <c r="P190" s="54">
        <f>IF(I190="","",I190&amp;"|"&amp;J190)</f>
        <v/>
      </c>
      <c r="Q190" s="54">
        <f>IF(L190="Matched",COUNTIF($L$5:L190,"Matched"),"")</f>
        <v/>
      </c>
      <c r="R190" s="54">
        <f>IF(L190="Unmatched",COUNTIF($L$5:L190,"Unmatched"),"")</f>
        <v/>
      </c>
      <c r="S190" s="54">
        <f>IF(L190="Difference",COUNTIF($L$5:L190,"Difference"),"")</f>
        <v/>
      </c>
      <c r="T190" s="55">
        <f>IF(L190="Difference",ABS(N190),0)</f>
        <v/>
      </c>
    </row>
    <row r="191" ht="17" customHeight="1">
      <c r="A191" s="86" t="n"/>
      <c r="B191" s="46" t="n"/>
      <c r="C191" s="47" t="n"/>
      <c r="D191" s="46" t="n"/>
      <c r="E191" s="46" t="n"/>
      <c r="F191" s="46" t="n"/>
      <c r="G191" s="48" t="n"/>
      <c r="H191" s="48" t="n"/>
      <c r="I191" s="49">
        <f>IF(A191="","",IF(H191&lt;&gt;"","M|"&amp;TRIM(H191),IF(AND(MatchMode="Reference / ID only",D191=""),"U|"&amp;ROW(),IF(D191&lt;&gt;"","R|"&amp;TRIM(D191),IF(MatchMode="Amount only","A|"&amp;TEXT(ROUND(C191,2),"0.00"),IF(MatchMode="Amount (tolerance)","T|"&amp;TEXT(ROUND(C191/MAX(N(Tolerance),0.0001),0),"0"),IF(MatchMode="Date + amount (tolerance)","DT|"&amp;TEXT(A191,"yyyy-mm-dd")&amp;"|"&amp;TEXT(ROUND(C191/MAX(N(Tolerance),0.0001),0),"0"),IF(MatchMode="Description (exact)","S|"&amp;LOWER(TRIM(B191)),IF(MatchMode="Reference / ID only","U|"&amp;ROW(),"DA|"&amp;TEXT(A191,"yyyy-mm-dd")&amp;"|"&amp;TEXT(ROUND(C191,2),"0.00"))))))))))</f>
        <v/>
      </c>
      <c r="J191" s="50">
        <f>IF(I191="","",COUNTIF($I$5:I191,I191))</f>
        <v/>
      </c>
      <c r="K191" s="50">
        <f>IF(P191="","",IFERROR(MATCH(P191,ListB_Combo,0)+4,""))</f>
        <v/>
      </c>
      <c r="L191" s="51">
        <f>IF(A191="","",IF(K191="","Unmatched",IF(ABS(C191-M191)&lt;=MAX(N(Tolerance),0),"Matched","Difference")))</f>
        <v/>
      </c>
      <c r="M191" s="52">
        <f>IF(K191="","",INDEX('List B'!$C$5:$C$204,K191-4))</f>
        <v/>
      </c>
      <c r="N191" s="52">
        <f>IF(K191="","",C191-M191)</f>
        <v/>
      </c>
      <c r="O191" s="53">
        <f>IF(OR(A191="",K191=""),"",IF(H191&lt;&gt;"","Manual pair",IF(D191&lt;&gt;"","Reference / ID",MatchMode)))</f>
        <v/>
      </c>
      <c r="P191" s="54">
        <f>IF(I191="","",I191&amp;"|"&amp;J191)</f>
        <v/>
      </c>
      <c r="Q191" s="54">
        <f>IF(L191="Matched",COUNTIF($L$5:L191,"Matched"),"")</f>
        <v/>
      </c>
      <c r="R191" s="54">
        <f>IF(L191="Unmatched",COUNTIF($L$5:L191,"Unmatched"),"")</f>
        <v/>
      </c>
      <c r="S191" s="54">
        <f>IF(L191="Difference",COUNTIF($L$5:L191,"Difference"),"")</f>
        <v/>
      </c>
      <c r="T191" s="55">
        <f>IF(L191="Difference",ABS(N191),0)</f>
        <v/>
      </c>
    </row>
    <row r="192" ht="17" customHeight="1">
      <c r="A192" s="86" t="n"/>
      <c r="B192" s="46" t="n"/>
      <c r="C192" s="47" t="n"/>
      <c r="D192" s="46" t="n"/>
      <c r="E192" s="46" t="n"/>
      <c r="F192" s="46" t="n"/>
      <c r="G192" s="48" t="n"/>
      <c r="H192" s="48" t="n"/>
      <c r="I192" s="49">
        <f>IF(A192="","",IF(H192&lt;&gt;"","M|"&amp;TRIM(H192),IF(AND(MatchMode="Reference / ID only",D192=""),"U|"&amp;ROW(),IF(D192&lt;&gt;"","R|"&amp;TRIM(D192),IF(MatchMode="Amount only","A|"&amp;TEXT(ROUND(C192,2),"0.00"),IF(MatchMode="Amount (tolerance)","T|"&amp;TEXT(ROUND(C192/MAX(N(Tolerance),0.0001),0),"0"),IF(MatchMode="Date + amount (tolerance)","DT|"&amp;TEXT(A192,"yyyy-mm-dd")&amp;"|"&amp;TEXT(ROUND(C192/MAX(N(Tolerance),0.0001),0),"0"),IF(MatchMode="Description (exact)","S|"&amp;LOWER(TRIM(B192)),IF(MatchMode="Reference / ID only","U|"&amp;ROW(),"DA|"&amp;TEXT(A192,"yyyy-mm-dd")&amp;"|"&amp;TEXT(ROUND(C192,2),"0.00"))))))))))</f>
        <v/>
      </c>
      <c r="J192" s="50">
        <f>IF(I192="","",COUNTIF($I$5:I192,I192))</f>
        <v/>
      </c>
      <c r="K192" s="50">
        <f>IF(P192="","",IFERROR(MATCH(P192,ListB_Combo,0)+4,""))</f>
        <v/>
      </c>
      <c r="L192" s="51">
        <f>IF(A192="","",IF(K192="","Unmatched",IF(ABS(C192-M192)&lt;=MAX(N(Tolerance),0),"Matched","Difference")))</f>
        <v/>
      </c>
      <c r="M192" s="52">
        <f>IF(K192="","",INDEX('List B'!$C$5:$C$204,K192-4))</f>
        <v/>
      </c>
      <c r="N192" s="52">
        <f>IF(K192="","",C192-M192)</f>
        <v/>
      </c>
      <c r="O192" s="53">
        <f>IF(OR(A192="",K192=""),"",IF(H192&lt;&gt;"","Manual pair",IF(D192&lt;&gt;"","Reference / ID",MatchMode)))</f>
        <v/>
      </c>
      <c r="P192" s="54">
        <f>IF(I192="","",I192&amp;"|"&amp;J192)</f>
        <v/>
      </c>
      <c r="Q192" s="54">
        <f>IF(L192="Matched",COUNTIF($L$5:L192,"Matched"),"")</f>
        <v/>
      </c>
      <c r="R192" s="54">
        <f>IF(L192="Unmatched",COUNTIF($L$5:L192,"Unmatched"),"")</f>
        <v/>
      </c>
      <c r="S192" s="54">
        <f>IF(L192="Difference",COUNTIF($L$5:L192,"Difference"),"")</f>
        <v/>
      </c>
      <c r="T192" s="55">
        <f>IF(L192="Difference",ABS(N192),0)</f>
        <v/>
      </c>
    </row>
    <row r="193" ht="17" customHeight="1">
      <c r="A193" s="86" t="n"/>
      <c r="B193" s="46" t="n"/>
      <c r="C193" s="47" t="n"/>
      <c r="D193" s="46" t="n"/>
      <c r="E193" s="46" t="n"/>
      <c r="F193" s="46" t="n"/>
      <c r="G193" s="48" t="n"/>
      <c r="H193" s="48" t="n"/>
      <c r="I193" s="49">
        <f>IF(A193="","",IF(H193&lt;&gt;"","M|"&amp;TRIM(H193),IF(AND(MatchMode="Reference / ID only",D193=""),"U|"&amp;ROW(),IF(D193&lt;&gt;"","R|"&amp;TRIM(D193),IF(MatchMode="Amount only","A|"&amp;TEXT(ROUND(C193,2),"0.00"),IF(MatchMode="Amount (tolerance)","T|"&amp;TEXT(ROUND(C193/MAX(N(Tolerance),0.0001),0),"0"),IF(MatchMode="Date + amount (tolerance)","DT|"&amp;TEXT(A193,"yyyy-mm-dd")&amp;"|"&amp;TEXT(ROUND(C193/MAX(N(Tolerance),0.0001),0),"0"),IF(MatchMode="Description (exact)","S|"&amp;LOWER(TRIM(B193)),IF(MatchMode="Reference / ID only","U|"&amp;ROW(),"DA|"&amp;TEXT(A193,"yyyy-mm-dd")&amp;"|"&amp;TEXT(ROUND(C193,2),"0.00"))))))))))</f>
        <v/>
      </c>
      <c r="J193" s="50">
        <f>IF(I193="","",COUNTIF($I$5:I193,I193))</f>
        <v/>
      </c>
      <c r="K193" s="50">
        <f>IF(P193="","",IFERROR(MATCH(P193,ListB_Combo,0)+4,""))</f>
        <v/>
      </c>
      <c r="L193" s="51">
        <f>IF(A193="","",IF(K193="","Unmatched",IF(ABS(C193-M193)&lt;=MAX(N(Tolerance),0),"Matched","Difference")))</f>
        <v/>
      </c>
      <c r="M193" s="52">
        <f>IF(K193="","",INDEX('List B'!$C$5:$C$204,K193-4))</f>
        <v/>
      </c>
      <c r="N193" s="52">
        <f>IF(K193="","",C193-M193)</f>
        <v/>
      </c>
      <c r="O193" s="53">
        <f>IF(OR(A193="",K193=""),"",IF(H193&lt;&gt;"","Manual pair",IF(D193&lt;&gt;"","Reference / ID",MatchMode)))</f>
        <v/>
      </c>
      <c r="P193" s="54">
        <f>IF(I193="","",I193&amp;"|"&amp;J193)</f>
        <v/>
      </c>
      <c r="Q193" s="54">
        <f>IF(L193="Matched",COUNTIF($L$5:L193,"Matched"),"")</f>
        <v/>
      </c>
      <c r="R193" s="54">
        <f>IF(L193="Unmatched",COUNTIF($L$5:L193,"Unmatched"),"")</f>
        <v/>
      </c>
      <c r="S193" s="54">
        <f>IF(L193="Difference",COUNTIF($L$5:L193,"Difference"),"")</f>
        <v/>
      </c>
      <c r="T193" s="55">
        <f>IF(L193="Difference",ABS(N193),0)</f>
        <v/>
      </c>
    </row>
    <row r="194" ht="17" customHeight="1">
      <c r="A194" s="86" t="n"/>
      <c r="B194" s="46" t="n"/>
      <c r="C194" s="47" t="n"/>
      <c r="D194" s="46" t="n"/>
      <c r="E194" s="46" t="n"/>
      <c r="F194" s="46" t="n"/>
      <c r="G194" s="48" t="n"/>
      <c r="H194" s="48" t="n"/>
      <c r="I194" s="49">
        <f>IF(A194="","",IF(H194&lt;&gt;"","M|"&amp;TRIM(H194),IF(AND(MatchMode="Reference / ID only",D194=""),"U|"&amp;ROW(),IF(D194&lt;&gt;"","R|"&amp;TRIM(D194),IF(MatchMode="Amount only","A|"&amp;TEXT(ROUND(C194,2),"0.00"),IF(MatchMode="Amount (tolerance)","T|"&amp;TEXT(ROUND(C194/MAX(N(Tolerance),0.0001),0),"0"),IF(MatchMode="Date + amount (tolerance)","DT|"&amp;TEXT(A194,"yyyy-mm-dd")&amp;"|"&amp;TEXT(ROUND(C194/MAX(N(Tolerance),0.0001),0),"0"),IF(MatchMode="Description (exact)","S|"&amp;LOWER(TRIM(B194)),IF(MatchMode="Reference / ID only","U|"&amp;ROW(),"DA|"&amp;TEXT(A194,"yyyy-mm-dd")&amp;"|"&amp;TEXT(ROUND(C194,2),"0.00"))))))))))</f>
        <v/>
      </c>
      <c r="J194" s="50">
        <f>IF(I194="","",COUNTIF($I$5:I194,I194))</f>
        <v/>
      </c>
      <c r="K194" s="50">
        <f>IF(P194="","",IFERROR(MATCH(P194,ListB_Combo,0)+4,""))</f>
        <v/>
      </c>
      <c r="L194" s="51">
        <f>IF(A194="","",IF(K194="","Unmatched",IF(ABS(C194-M194)&lt;=MAX(N(Tolerance),0),"Matched","Difference")))</f>
        <v/>
      </c>
      <c r="M194" s="52">
        <f>IF(K194="","",INDEX('List B'!$C$5:$C$204,K194-4))</f>
        <v/>
      </c>
      <c r="N194" s="52">
        <f>IF(K194="","",C194-M194)</f>
        <v/>
      </c>
      <c r="O194" s="53">
        <f>IF(OR(A194="",K194=""),"",IF(H194&lt;&gt;"","Manual pair",IF(D194&lt;&gt;"","Reference / ID",MatchMode)))</f>
        <v/>
      </c>
      <c r="P194" s="54">
        <f>IF(I194="","",I194&amp;"|"&amp;J194)</f>
        <v/>
      </c>
      <c r="Q194" s="54">
        <f>IF(L194="Matched",COUNTIF($L$5:L194,"Matched"),"")</f>
        <v/>
      </c>
      <c r="R194" s="54">
        <f>IF(L194="Unmatched",COUNTIF($L$5:L194,"Unmatched"),"")</f>
        <v/>
      </c>
      <c r="S194" s="54">
        <f>IF(L194="Difference",COUNTIF($L$5:L194,"Difference"),"")</f>
        <v/>
      </c>
      <c r="T194" s="55">
        <f>IF(L194="Difference",ABS(N194),0)</f>
        <v/>
      </c>
    </row>
    <row r="195" ht="17" customHeight="1">
      <c r="A195" s="86" t="n"/>
      <c r="B195" s="46" t="n"/>
      <c r="C195" s="47" t="n"/>
      <c r="D195" s="46" t="n"/>
      <c r="E195" s="46" t="n"/>
      <c r="F195" s="46" t="n"/>
      <c r="G195" s="48" t="n"/>
      <c r="H195" s="48" t="n"/>
      <c r="I195" s="49">
        <f>IF(A195="","",IF(H195&lt;&gt;"","M|"&amp;TRIM(H195),IF(AND(MatchMode="Reference / ID only",D195=""),"U|"&amp;ROW(),IF(D195&lt;&gt;"","R|"&amp;TRIM(D195),IF(MatchMode="Amount only","A|"&amp;TEXT(ROUND(C195,2),"0.00"),IF(MatchMode="Amount (tolerance)","T|"&amp;TEXT(ROUND(C195/MAX(N(Tolerance),0.0001),0),"0"),IF(MatchMode="Date + amount (tolerance)","DT|"&amp;TEXT(A195,"yyyy-mm-dd")&amp;"|"&amp;TEXT(ROUND(C195/MAX(N(Tolerance),0.0001),0),"0"),IF(MatchMode="Description (exact)","S|"&amp;LOWER(TRIM(B195)),IF(MatchMode="Reference / ID only","U|"&amp;ROW(),"DA|"&amp;TEXT(A195,"yyyy-mm-dd")&amp;"|"&amp;TEXT(ROUND(C195,2),"0.00"))))))))))</f>
        <v/>
      </c>
      <c r="J195" s="50">
        <f>IF(I195="","",COUNTIF($I$5:I195,I195))</f>
        <v/>
      </c>
      <c r="K195" s="50">
        <f>IF(P195="","",IFERROR(MATCH(P195,ListB_Combo,0)+4,""))</f>
        <v/>
      </c>
      <c r="L195" s="51">
        <f>IF(A195="","",IF(K195="","Unmatched",IF(ABS(C195-M195)&lt;=MAX(N(Tolerance),0),"Matched","Difference")))</f>
        <v/>
      </c>
      <c r="M195" s="52">
        <f>IF(K195="","",INDEX('List B'!$C$5:$C$204,K195-4))</f>
        <v/>
      </c>
      <c r="N195" s="52">
        <f>IF(K195="","",C195-M195)</f>
        <v/>
      </c>
      <c r="O195" s="53">
        <f>IF(OR(A195="",K195=""),"",IF(H195&lt;&gt;"","Manual pair",IF(D195&lt;&gt;"","Reference / ID",MatchMode)))</f>
        <v/>
      </c>
      <c r="P195" s="54">
        <f>IF(I195="","",I195&amp;"|"&amp;J195)</f>
        <v/>
      </c>
      <c r="Q195" s="54">
        <f>IF(L195="Matched",COUNTIF($L$5:L195,"Matched"),"")</f>
        <v/>
      </c>
      <c r="R195" s="54">
        <f>IF(L195="Unmatched",COUNTIF($L$5:L195,"Unmatched"),"")</f>
        <v/>
      </c>
      <c r="S195" s="54">
        <f>IF(L195="Difference",COUNTIF($L$5:L195,"Difference"),"")</f>
        <v/>
      </c>
      <c r="T195" s="55">
        <f>IF(L195="Difference",ABS(N195),0)</f>
        <v/>
      </c>
    </row>
    <row r="196" ht="17" customHeight="1">
      <c r="A196" s="86" t="n"/>
      <c r="B196" s="46" t="n"/>
      <c r="C196" s="47" t="n"/>
      <c r="D196" s="46" t="n"/>
      <c r="E196" s="46" t="n"/>
      <c r="F196" s="46" t="n"/>
      <c r="G196" s="48" t="n"/>
      <c r="H196" s="48" t="n"/>
      <c r="I196" s="49">
        <f>IF(A196="","",IF(H196&lt;&gt;"","M|"&amp;TRIM(H196),IF(AND(MatchMode="Reference / ID only",D196=""),"U|"&amp;ROW(),IF(D196&lt;&gt;"","R|"&amp;TRIM(D196),IF(MatchMode="Amount only","A|"&amp;TEXT(ROUND(C196,2),"0.00"),IF(MatchMode="Amount (tolerance)","T|"&amp;TEXT(ROUND(C196/MAX(N(Tolerance),0.0001),0),"0"),IF(MatchMode="Date + amount (tolerance)","DT|"&amp;TEXT(A196,"yyyy-mm-dd")&amp;"|"&amp;TEXT(ROUND(C196/MAX(N(Tolerance),0.0001),0),"0"),IF(MatchMode="Description (exact)","S|"&amp;LOWER(TRIM(B196)),IF(MatchMode="Reference / ID only","U|"&amp;ROW(),"DA|"&amp;TEXT(A196,"yyyy-mm-dd")&amp;"|"&amp;TEXT(ROUND(C196,2),"0.00"))))))))))</f>
        <v/>
      </c>
      <c r="J196" s="50">
        <f>IF(I196="","",COUNTIF($I$5:I196,I196))</f>
        <v/>
      </c>
      <c r="K196" s="50">
        <f>IF(P196="","",IFERROR(MATCH(P196,ListB_Combo,0)+4,""))</f>
        <v/>
      </c>
      <c r="L196" s="51">
        <f>IF(A196="","",IF(K196="","Unmatched",IF(ABS(C196-M196)&lt;=MAX(N(Tolerance),0),"Matched","Difference")))</f>
        <v/>
      </c>
      <c r="M196" s="52">
        <f>IF(K196="","",INDEX('List B'!$C$5:$C$204,K196-4))</f>
        <v/>
      </c>
      <c r="N196" s="52">
        <f>IF(K196="","",C196-M196)</f>
        <v/>
      </c>
      <c r="O196" s="53">
        <f>IF(OR(A196="",K196=""),"",IF(H196&lt;&gt;"","Manual pair",IF(D196&lt;&gt;"","Reference / ID",MatchMode)))</f>
        <v/>
      </c>
      <c r="P196" s="54">
        <f>IF(I196="","",I196&amp;"|"&amp;J196)</f>
        <v/>
      </c>
      <c r="Q196" s="54">
        <f>IF(L196="Matched",COUNTIF($L$5:L196,"Matched"),"")</f>
        <v/>
      </c>
      <c r="R196" s="54">
        <f>IF(L196="Unmatched",COUNTIF($L$5:L196,"Unmatched"),"")</f>
        <v/>
      </c>
      <c r="S196" s="54">
        <f>IF(L196="Difference",COUNTIF($L$5:L196,"Difference"),"")</f>
        <v/>
      </c>
      <c r="T196" s="55">
        <f>IF(L196="Difference",ABS(N196),0)</f>
        <v/>
      </c>
    </row>
    <row r="197" ht="17" customHeight="1">
      <c r="A197" s="86" t="n"/>
      <c r="B197" s="46" t="n"/>
      <c r="C197" s="47" t="n"/>
      <c r="D197" s="46" t="n"/>
      <c r="E197" s="46" t="n"/>
      <c r="F197" s="46" t="n"/>
      <c r="G197" s="48" t="n"/>
      <c r="H197" s="48" t="n"/>
      <c r="I197" s="49">
        <f>IF(A197="","",IF(H197&lt;&gt;"","M|"&amp;TRIM(H197),IF(AND(MatchMode="Reference / ID only",D197=""),"U|"&amp;ROW(),IF(D197&lt;&gt;"","R|"&amp;TRIM(D197),IF(MatchMode="Amount only","A|"&amp;TEXT(ROUND(C197,2),"0.00"),IF(MatchMode="Amount (tolerance)","T|"&amp;TEXT(ROUND(C197/MAX(N(Tolerance),0.0001),0),"0"),IF(MatchMode="Date + amount (tolerance)","DT|"&amp;TEXT(A197,"yyyy-mm-dd")&amp;"|"&amp;TEXT(ROUND(C197/MAX(N(Tolerance),0.0001),0),"0"),IF(MatchMode="Description (exact)","S|"&amp;LOWER(TRIM(B197)),IF(MatchMode="Reference / ID only","U|"&amp;ROW(),"DA|"&amp;TEXT(A197,"yyyy-mm-dd")&amp;"|"&amp;TEXT(ROUND(C197,2),"0.00"))))))))))</f>
        <v/>
      </c>
      <c r="J197" s="50">
        <f>IF(I197="","",COUNTIF($I$5:I197,I197))</f>
        <v/>
      </c>
      <c r="K197" s="50">
        <f>IF(P197="","",IFERROR(MATCH(P197,ListB_Combo,0)+4,""))</f>
        <v/>
      </c>
      <c r="L197" s="51">
        <f>IF(A197="","",IF(K197="","Unmatched",IF(ABS(C197-M197)&lt;=MAX(N(Tolerance),0),"Matched","Difference")))</f>
        <v/>
      </c>
      <c r="M197" s="52">
        <f>IF(K197="","",INDEX('List B'!$C$5:$C$204,K197-4))</f>
        <v/>
      </c>
      <c r="N197" s="52">
        <f>IF(K197="","",C197-M197)</f>
        <v/>
      </c>
      <c r="O197" s="53">
        <f>IF(OR(A197="",K197=""),"",IF(H197&lt;&gt;"","Manual pair",IF(D197&lt;&gt;"","Reference / ID",MatchMode)))</f>
        <v/>
      </c>
      <c r="P197" s="54">
        <f>IF(I197="","",I197&amp;"|"&amp;J197)</f>
        <v/>
      </c>
      <c r="Q197" s="54">
        <f>IF(L197="Matched",COUNTIF($L$5:L197,"Matched"),"")</f>
        <v/>
      </c>
      <c r="R197" s="54">
        <f>IF(L197="Unmatched",COUNTIF($L$5:L197,"Unmatched"),"")</f>
        <v/>
      </c>
      <c r="S197" s="54">
        <f>IF(L197="Difference",COUNTIF($L$5:L197,"Difference"),"")</f>
        <v/>
      </c>
      <c r="T197" s="55">
        <f>IF(L197="Difference",ABS(N197),0)</f>
        <v/>
      </c>
    </row>
    <row r="198" ht="17" customHeight="1">
      <c r="A198" s="86" t="n"/>
      <c r="B198" s="46" t="n"/>
      <c r="C198" s="47" t="n"/>
      <c r="D198" s="46" t="n"/>
      <c r="E198" s="46" t="n"/>
      <c r="F198" s="46" t="n"/>
      <c r="G198" s="48" t="n"/>
      <c r="H198" s="48" t="n"/>
      <c r="I198" s="49">
        <f>IF(A198="","",IF(H198&lt;&gt;"","M|"&amp;TRIM(H198),IF(AND(MatchMode="Reference / ID only",D198=""),"U|"&amp;ROW(),IF(D198&lt;&gt;"","R|"&amp;TRIM(D198),IF(MatchMode="Amount only","A|"&amp;TEXT(ROUND(C198,2),"0.00"),IF(MatchMode="Amount (tolerance)","T|"&amp;TEXT(ROUND(C198/MAX(N(Tolerance),0.0001),0),"0"),IF(MatchMode="Date + amount (tolerance)","DT|"&amp;TEXT(A198,"yyyy-mm-dd")&amp;"|"&amp;TEXT(ROUND(C198/MAX(N(Tolerance),0.0001),0),"0"),IF(MatchMode="Description (exact)","S|"&amp;LOWER(TRIM(B198)),IF(MatchMode="Reference / ID only","U|"&amp;ROW(),"DA|"&amp;TEXT(A198,"yyyy-mm-dd")&amp;"|"&amp;TEXT(ROUND(C198,2),"0.00"))))))))))</f>
        <v/>
      </c>
      <c r="J198" s="50">
        <f>IF(I198="","",COUNTIF($I$5:I198,I198))</f>
        <v/>
      </c>
      <c r="K198" s="50">
        <f>IF(P198="","",IFERROR(MATCH(P198,ListB_Combo,0)+4,""))</f>
        <v/>
      </c>
      <c r="L198" s="51">
        <f>IF(A198="","",IF(K198="","Unmatched",IF(ABS(C198-M198)&lt;=MAX(N(Tolerance),0),"Matched","Difference")))</f>
        <v/>
      </c>
      <c r="M198" s="52">
        <f>IF(K198="","",INDEX('List B'!$C$5:$C$204,K198-4))</f>
        <v/>
      </c>
      <c r="N198" s="52">
        <f>IF(K198="","",C198-M198)</f>
        <v/>
      </c>
      <c r="O198" s="53">
        <f>IF(OR(A198="",K198=""),"",IF(H198&lt;&gt;"","Manual pair",IF(D198&lt;&gt;"","Reference / ID",MatchMode)))</f>
        <v/>
      </c>
      <c r="P198" s="54">
        <f>IF(I198="","",I198&amp;"|"&amp;J198)</f>
        <v/>
      </c>
      <c r="Q198" s="54">
        <f>IF(L198="Matched",COUNTIF($L$5:L198,"Matched"),"")</f>
        <v/>
      </c>
      <c r="R198" s="54">
        <f>IF(L198="Unmatched",COUNTIF($L$5:L198,"Unmatched"),"")</f>
        <v/>
      </c>
      <c r="S198" s="54">
        <f>IF(L198="Difference",COUNTIF($L$5:L198,"Difference"),"")</f>
        <v/>
      </c>
      <c r="T198" s="55">
        <f>IF(L198="Difference",ABS(N198),0)</f>
        <v/>
      </c>
    </row>
    <row r="199" ht="17" customHeight="1">
      <c r="A199" s="86" t="n"/>
      <c r="B199" s="46" t="n"/>
      <c r="C199" s="47" t="n"/>
      <c r="D199" s="46" t="n"/>
      <c r="E199" s="46" t="n"/>
      <c r="F199" s="46" t="n"/>
      <c r="G199" s="48" t="n"/>
      <c r="H199" s="48" t="n"/>
      <c r="I199" s="49">
        <f>IF(A199="","",IF(H199&lt;&gt;"","M|"&amp;TRIM(H199),IF(AND(MatchMode="Reference / ID only",D199=""),"U|"&amp;ROW(),IF(D199&lt;&gt;"","R|"&amp;TRIM(D199),IF(MatchMode="Amount only","A|"&amp;TEXT(ROUND(C199,2),"0.00"),IF(MatchMode="Amount (tolerance)","T|"&amp;TEXT(ROUND(C199/MAX(N(Tolerance),0.0001),0),"0"),IF(MatchMode="Date + amount (tolerance)","DT|"&amp;TEXT(A199,"yyyy-mm-dd")&amp;"|"&amp;TEXT(ROUND(C199/MAX(N(Tolerance),0.0001),0),"0"),IF(MatchMode="Description (exact)","S|"&amp;LOWER(TRIM(B199)),IF(MatchMode="Reference / ID only","U|"&amp;ROW(),"DA|"&amp;TEXT(A199,"yyyy-mm-dd")&amp;"|"&amp;TEXT(ROUND(C199,2),"0.00"))))))))))</f>
        <v/>
      </c>
      <c r="J199" s="50">
        <f>IF(I199="","",COUNTIF($I$5:I199,I199))</f>
        <v/>
      </c>
      <c r="K199" s="50">
        <f>IF(P199="","",IFERROR(MATCH(P199,ListB_Combo,0)+4,""))</f>
        <v/>
      </c>
      <c r="L199" s="51">
        <f>IF(A199="","",IF(K199="","Unmatched",IF(ABS(C199-M199)&lt;=MAX(N(Tolerance),0),"Matched","Difference")))</f>
        <v/>
      </c>
      <c r="M199" s="52">
        <f>IF(K199="","",INDEX('List B'!$C$5:$C$204,K199-4))</f>
        <v/>
      </c>
      <c r="N199" s="52">
        <f>IF(K199="","",C199-M199)</f>
        <v/>
      </c>
      <c r="O199" s="53">
        <f>IF(OR(A199="",K199=""),"",IF(H199&lt;&gt;"","Manual pair",IF(D199&lt;&gt;"","Reference / ID",MatchMode)))</f>
        <v/>
      </c>
      <c r="P199" s="54">
        <f>IF(I199="","",I199&amp;"|"&amp;J199)</f>
        <v/>
      </c>
      <c r="Q199" s="54">
        <f>IF(L199="Matched",COUNTIF($L$5:L199,"Matched"),"")</f>
        <v/>
      </c>
      <c r="R199" s="54">
        <f>IF(L199="Unmatched",COUNTIF($L$5:L199,"Unmatched"),"")</f>
        <v/>
      </c>
      <c r="S199" s="54">
        <f>IF(L199="Difference",COUNTIF($L$5:L199,"Difference"),"")</f>
        <v/>
      </c>
      <c r="T199" s="55">
        <f>IF(L199="Difference",ABS(N199),0)</f>
        <v/>
      </c>
    </row>
    <row r="200" ht="17" customHeight="1">
      <c r="A200" s="86" t="n"/>
      <c r="B200" s="46" t="n"/>
      <c r="C200" s="47" t="n"/>
      <c r="D200" s="46" t="n"/>
      <c r="E200" s="46" t="n"/>
      <c r="F200" s="46" t="n"/>
      <c r="G200" s="48" t="n"/>
      <c r="H200" s="48" t="n"/>
      <c r="I200" s="49">
        <f>IF(A200="","",IF(H200&lt;&gt;"","M|"&amp;TRIM(H200),IF(AND(MatchMode="Reference / ID only",D200=""),"U|"&amp;ROW(),IF(D200&lt;&gt;"","R|"&amp;TRIM(D200),IF(MatchMode="Amount only","A|"&amp;TEXT(ROUND(C200,2),"0.00"),IF(MatchMode="Amount (tolerance)","T|"&amp;TEXT(ROUND(C200/MAX(N(Tolerance),0.0001),0),"0"),IF(MatchMode="Date + amount (tolerance)","DT|"&amp;TEXT(A200,"yyyy-mm-dd")&amp;"|"&amp;TEXT(ROUND(C200/MAX(N(Tolerance),0.0001),0),"0"),IF(MatchMode="Description (exact)","S|"&amp;LOWER(TRIM(B200)),IF(MatchMode="Reference / ID only","U|"&amp;ROW(),"DA|"&amp;TEXT(A200,"yyyy-mm-dd")&amp;"|"&amp;TEXT(ROUND(C200,2),"0.00"))))))))))</f>
        <v/>
      </c>
      <c r="J200" s="50">
        <f>IF(I200="","",COUNTIF($I$5:I200,I200))</f>
        <v/>
      </c>
      <c r="K200" s="50">
        <f>IF(P200="","",IFERROR(MATCH(P200,ListB_Combo,0)+4,""))</f>
        <v/>
      </c>
      <c r="L200" s="51">
        <f>IF(A200="","",IF(K200="","Unmatched",IF(ABS(C200-M200)&lt;=MAX(N(Tolerance),0),"Matched","Difference")))</f>
        <v/>
      </c>
      <c r="M200" s="52">
        <f>IF(K200="","",INDEX('List B'!$C$5:$C$204,K200-4))</f>
        <v/>
      </c>
      <c r="N200" s="52">
        <f>IF(K200="","",C200-M200)</f>
        <v/>
      </c>
      <c r="O200" s="53">
        <f>IF(OR(A200="",K200=""),"",IF(H200&lt;&gt;"","Manual pair",IF(D200&lt;&gt;"","Reference / ID",MatchMode)))</f>
        <v/>
      </c>
      <c r="P200" s="54">
        <f>IF(I200="","",I200&amp;"|"&amp;J200)</f>
        <v/>
      </c>
      <c r="Q200" s="54">
        <f>IF(L200="Matched",COUNTIF($L$5:L200,"Matched"),"")</f>
        <v/>
      </c>
      <c r="R200" s="54">
        <f>IF(L200="Unmatched",COUNTIF($L$5:L200,"Unmatched"),"")</f>
        <v/>
      </c>
      <c r="S200" s="54">
        <f>IF(L200="Difference",COUNTIF($L$5:L200,"Difference"),"")</f>
        <v/>
      </c>
      <c r="T200" s="55">
        <f>IF(L200="Difference",ABS(N200),0)</f>
        <v/>
      </c>
    </row>
    <row r="201" ht="17" customHeight="1">
      <c r="A201" s="86" t="n"/>
      <c r="B201" s="46" t="n"/>
      <c r="C201" s="47" t="n"/>
      <c r="D201" s="46" t="n"/>
      <c r="E201" s="46" t="n"/>
      <c r="F201" s="46" t="n"/>
      <c r="G201" s="48" t="n"/>
      <c r="H201" s="48" t="n"/>
      <c r="I201" s="49">
        <f>IF(A201="","",IF(H201&lt;&gt;"","M|"&amp;TRIM(H201),IF(AND(MatchMode="Reference / ID only",D201=""),"U|"&amp;ROW(),IF(D201&lt;&gt;"","R|"&amp;TRIM(D201),IF(MatchMode="Amount only","A|"&amp;TEXT(ROUND(C201,2),"0.00"),IF(MatchMode="Amount (tolerance)","T|"&amp;TEXT(ROUND(C201/MAX(N(Tolerance),0.0001),0),"0"),IF(MatchMode="Date + amount (tolerance)","DT|"&amp;TEXT(A201,"yyyy-mm-dd")&amp;"|"&amp;TEXT(ROUND(C201/MAX(N(Tolerance),0.0001),0),"0"),IF(MatchMode="Description (exact)","S|"&amp;LOWER(TRIM(B201)),IF(MatchMode="Reference / ID only","U|"&amp;ROW(),"DA|"&amp;TEXT(A201,"yyyy-mm-dd")&amp;"|"&amp;TEXT(ROUND(C201,2),"0.00"))))))))))</f>
        <v/>
      </c>
      <c r="J201" s="50">
        <f>IF(I201="","",COUNTIF($I$5:I201,I201))</f>
        <v/>
      </c>
      <c r="K201" s="50">
        <f>IF(P201="","",IFERROR(MATCH(P201,ListB_Combo,0)+4,""))</f>
        <v/>
      </c>
      <c r="L201" s="51">
        <f>IF(A201="","",IF(K201="","Unmatched",IF(ABS(C201-M201)&lt;=MAX(N(Tolerance),0),"Matched","Difference")))</f>
        <v/>
      </c>
      <c r="M201" s="52">
        <f>IF(K201="","",INDEX('List B'!$C$5:$C$204,K201-4))</f>
        <v/>
      </c>
      <c r="N201" s="52">
        <f>IF(K201="","",C201-M201)</f>
        <v/>
      </c>
      <c r="O201" s="53">
        <f>IF(OR(A201="",K201=""),"",IF(H201&lt;&gt;"","Manual pair",IF(D201&lt;&gt;"","Reference / ID",MatchMode)))</f>
        <v/>
      </c>
      <c r="P201" s="54">
        <f>IF(I201="","",I201&amp;"|"&amp;J201)</f>
        <v/>
      </c>
      <c r="Q201" s="54">
        <f>IF(L201="Matched",COUNTIF($L$5:L201,"Matched"),"")</f>
        <v/>
      </c>
      <c r="R201" s="54">
        <f>IF(L201="Unmatched",COUNTIF($L$5:L201,"Unmatched"),"")</f>
        <v/>
      </c>
      <c r="S201" s="54">
        <f>IF(L201="Difference",COUNTIF($L$5:L201,"Difference"),"")</f>
        <v/>
      </c>
      <c r="T201" s="55">
        <f>IF(L201="Difference",ABS(N201),0)</f>
        <v/>
      </c>
    </row>
    <row r="202" ht="17" customHeight="1">
      <c r="A202" s="86" t="n"/>
      <c r="B202" s="46" t="n"/>
      <c r="C202" s="47" t="n"/>
      <c r="D202" s="46" t="n"/>
      <c r="E202" s="46" t="n"/>
      <c r="F202" s="46" t="n"/>
      <c r="G202" s="48" t="n"/>
      <c r="H202" s="48" t="n"/>
      <c r="I202" s="49">
        <f>IF(A202="","",IF(H202&lt;&gt;"","M|"&amp;TRIM(H202),IF(AND(MatchMode="Reference / ID only",D202=""),"U|"&amp;ROW(),IF(D202&lt;&gt;"","R|"&amp;TRIM(D202),IF(MatchMode="Amount only","A|"&amp;TEXT(ROUND(C202,2),"0.00"),IF(MatchMode="Amount (tolerance)","T|"&amp;TEXT(ROUND(C202/MAX(N(Tolerance),0.0001),0),"0"),IF(MatchMode="Date + amount (tolerance)","DT|"&amp;TEXT(A202,"yyyy-mm-dd")&amp;"|"&amp;TEXT(ROUND(C202/MAX(N(Tolerance),0.0001),0),"0"),IF(MatchMode="Description (exact)","S|"&amp;LOWER(TRIM(B202)),IF(MatchMode="Reference / ID only","U|"&amp;ROW(),"DA|"&amp;TEXT(A202,"yyyy-mm-dd")&amp;"|"&amp;TEXT(ROUND(C202,2),"0.00"))))))))))</f>
        <v/>
      </c>
      <c r="J202" s="50">
        <f>IF(I202="","",COUNTIF($I$5:I202,I202))</f>
        <v/>
      </c>
      <c r="K202" s="50">
        <f>IF(P202="","",IFERROR(MATCH(P202,ListB_Combo,0)+4,""))</f>
        <v/>
      </c>
      <c r="L202" s="51">
        <f>IF(A202="","",IF(K202="","Unmatched",IF(ABS(C202-M202)&lt;=MAX(N(Tolerance),0),"Matched","Difference")))</f>
        <v/>
      </c>
      <c r="M202" s="52">
        <f>IF(K202="","",INDEX('List B'!$C$5:$C$204,K202-4))</f>
        <v/>
      </c>
      <c r="N202" s="52">
        <f>IF(K202="","",C202-M202)</f>
        <v/>
      </c>
      <c r="O202" s="53">
        <f>IF(OR(A202="",K202=""),"",IF(H202&lt;&gt;"","Manual pair",IF(D202&lt;&gt;"","Reference / ID",MatchMode)))</f>
        <v/>
      </c>
      <c r="P202" s="54">
        <f>IF(I202="","",I202&amp;"|"&amp;J202)</f>
        <v/>
      </c>
      <c r="Q202" s="54">
        <f>IF(L202="Matched",COUNTIF($L$5:L202,"Matched"),"")</f>
        <v/>
      </c>
      <c r="R202" s="54">
        <f>IF(L202="Unmatched",COUNTIF($L$5:L202,"Unmatched"),"")</f>
        <v/>
      </c>
      <c r="S202" s="54">
        <f>IF(L202="Difference",COUNTIF($L$5:L202,"Difference"),"")</f>
        <v/>
      </c>
      <c r="T202" s="55">
        <f>IF(L202="Difference",ABS(N202),0)</f>
        <v/>
      </c>
    </row>
    <row r="203" ht="17" customHeight="1">
      <c r="A203" s="86" t="n"/>
      <c r="B203" s="46" t="n"/>
      <c r="C203" s="47" t="n"/>
      <c r="D203" s="46" t="n"/>
      <c r="E203" s="46" t="n"/>
      <c r="F203" s="46" t="n"/>
      <c r="G203" s="48" t="n"/>
      <c r="H203" s="48" t="n"/>
      <c r="I203" s="49">
        <f>IF(A203="","",IF(H203&lt;&gt;"","M|"&amp;TRIM(H203),IF(AND(MatchMode="Reference / ID only",D203=""),"U|"&amp;ROW(),IF(D203&lt;&gt;"","R|"&amp;TRIM(D203),IF(MatchMode="Amount only","A|"&amp;TEXT(ROUND(C203,2),"0.00"),IF(MatchMode="Amount (tolerance)","T|"&amp;TEXT(ROUND(C203/MAX(N(Tolerance),0.0001),0),"0"),IF(MatchMode="Date + amount (tolerance)","DT|"&amp;TEXT(A203,"yyyy-mm-dd")&amp;"|"&amp;TEXT(ROUND(C203/MAX(N(Tolerance),0.0001),0),"0"),IF(MatchMode="Description (exact)","S|"&amp;LOWER(TRIM(B203)),IF(MatchMode="Reference / ID only","U|"&amp;ROW(),"DA|"&amp;TEXT(A203,"yyyy-mm-dd")&amp;"|"&amp;TEXT(ROUND(C203,2),"0.00"))))))))))</f>
        <v/>
      </c>
      <c r="J203" s="50">
        <f>IF(I203="","",COUNTIF($I$5:I203,I203))</f>
        <v/>
      </c>
      <c r="K203" s="50">
        <f>IF(P203="","",IFERROR(MATCH(P203,ListB_Combo,0)+4,""))</f>
        <v/>
      </c>
      <c r="L203" s="51">
        <f>IF(A203="","",IF(K203="","Unmatched",IF(ABS(C203-M203)&lt;=MAX(N(Tolerance),0),"Matched","Difference")))</f>
        <v/>
      </c>
      <c r="M203" s="52">
        <f>IF(K203="","",INDEX('List B'!$C$5:$C$204,K203-4))</f>
        <v/>
      </c>
      <c r="N203" s="52">
        <f>IF(K203="","",C203-M203)</f>
        <v/>
      </c>
      <c r="O203" s="53">
        <f>IF(OR(A203="",K203=""),"",IF(H203&lt;&gt;"","Manual pair",IF(D203&lt;&gt;"","Reference / ID",MatchMode)))</f>
        <v/>
      </c>
      <c r="P203" s="54">
        <f>IF(I203="","",I203&amp;"|"&amp;J203)</f>
        <v/>
      </c>
      <c r="Q203" s="54">
        <f>IF(L203="Matched",COUNTIF($L$5:L203,"Matched"),"")</f>
        <v/>
      </c>
      <c r="R203" s="54">
        <f>IF(L203="Unmatched",COUNTIF($L$5:L203,"Unmatched"),"")</f>
        <v/>
      </c>
      <c r="S203" s="54">
        <f>IF(L203="Difference",COUNTIF($L$5:L203,"Difference"),"")</f>
        <v/>
      </c>
      <c r="T203" s="55">
        <f>IF(L203="Difference",ABS(N203),0)</f>
        <v/>
      </c>
    </row>
    <row r="204" ht="17" customHeight="1">
      <c r="A204" s="86" t="n"/>
      <c r="B204" s="46" t="n"/>
      <c r="C204" s="47" t="n"/>
      <c r="D204" s="46" t="n"/>
      <c r="E204" s="46" t="n"/>
      <c r="F204" s="46" t="n"/>
      <c r="G204" s="48" t="n"/>
      <c r="H204" s="48" t="n"/>
      <c r="I204" s="49">
        <f>IF(A204="","",IF(H204&lt;&gt;"","M|"&amp;TRIM(H204),IF(AND(MatchMode="Reference / ID only",D204=""),"U|"&amp;ROW(),IF(D204&lt;&gt;"","R|"&amp;TRIM(D204),IF(MatchMode="Amount only","A|"&amp;TEXT(ROUND(C204,2),"0.00"),IF(MatchMode="Amount (tolerance)","T|"&amp;TEXT(ROUND(C204/MAX(N(Tolerance),0.0001),0),"0"),IF(MatchMode="Date + amount (tolerance)","DT|"&amp;TEXT(A204,"yyyy-mm-dd")&amp;"|"&amp;TEXT(ROUND(C204/MAX(N(Tolerance),0.0001),0),"0"),IF(MatchMode="Description (exact)","S|"&amp;LOWER(TRIM(B204)),IF(MatchMode="Reference / ID only","U|"&amp;ROW(),"DA|"&amp;TEXT(A204,"yyyy-mm-dd")&amp;"|"&amp;TEXT(ROUND(C204,2),"0.00"))))))))))</f>
        <v/>
      </c>
      <c r="J204" s="50">
        <f>IF(I204="","",COUNTIF($I$5:I204,I204))</f>
        <v/>
      </c>
      <c r="K204" s="50">
        <f>IF(P204="","",IFERROR(MATCH(P204,ListB_Combo,0)+4,""))</f>
        <v/>
      </c>
      <c r="L204" s="51">
        <f>IF(A204="","",IF(K204="","Unmatched",IF(ABS(C204-M204)&lt;=MAX(N(Tolerance),0),"Matched","Difference")))</f>
        <v/>
      </c>
      <c r="M204" s="52">
        <f>IF(K204="","",INDEX('List B'!$C$5:$C$204,K204-4))</f>
        <v/>
      </c>
      <c r="N204" s="52">
        <f>IF(K204="","",C204-M204)</f>
        <v/>
      </c>
      <c r="O204" s="53">
        <f>IF(OR(A204="",K204=""),"",IF(H204&lt;&gt;"","Manual pair",IF(D204&lt;&gt;"","Reference / ID",MatchMode)))</f>
        <v/>
      </c>
      <c r="P204" s="54">
        <f>IF(I204="","",I204&amp;"|"&amp;J204)</f>
        <v/>
      </c>
      <c r="Q204" s="54">
        <f>IF(L204="Matched",COUNTIF($L$5:L204,"Matched"),"")</f>
        <v/>
      </c>
      <c r="R204" s="54">
        <f>IF(L204="Unmatched",COUNTIF($L$5:L204,"Unmatched"),"")</f>
        <v/>
      </c>
      <c r="S204" s="54">
        <f>IF(L204="Difference",COUNTIF($L$5:L204,"Difference"),"")</f>
        <v/>
      </c>
      <c r="T204" s="55">
        <f>IF(L204="Difference",ABS(N204),0)</f>
        <v/>
      </c>
    </row>
    <row r="205">
      <c r="A205" s="56" t="inlineStr">
        <is>
          <t>TOTAL</t>
        </is>
      </c>
      <c r="B205" s="57" t="n"/>
      <c r="C205" s="58">
        <f>SUM(C5:C204)</f>
        <v/>
      </c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</row>
    <row r="207" ht="26" customHeight="1">
      <c r="A207" s="40" t="inlineStr">
        <is>
          <t>To start a new reconciliation: delete values in columns A–H only (leave gray formula columns). Or File → Save As / Make a copy first so you keep this period.</t>
        </is>
      </c>
    </row>
  </sheetData>
  <autoFilter ref="A4:O204"/>
  <mergeCells count="4">
    <mergeCell ref="A1:O1"/>
    <mergeCell ref="A2:O2"/>
    <mergeCell ref="A3:O3"/>
    <mergeCell ref="A207:O207"/>
  </mergeCells>
  <conditionalFormatting sqref="A5:O204">
    <cfRule type="expression" priority="1" dxfId="4">
      <formula>$L5="Matched"</formula>
    </cfRule>
    <cfRule type="expression" priority="2" dxfId="5">
      <formula>$L5="Difference"</formula>
    </cfRule>
    <cfRule type="expression" priority="3" dxfId="6">
      <formula>$L5="Unmatched"</formula>
    </cfRule>
  </conditionalFormatting>
  <conditionalFormatting sqref="G5:G204">
    <cfRule type="expression" priority="4" dxfId="7">
      <formula>$G5="Reviewed"</formula>
    </cfRule>
  </conditionalFormatting>
  <dataValidations count="3">
    <dataValidation sqref="G5:G204" showDropDown="0" showInputMessage="0" showErrorMessage="0" allowBlank="1" type="list">
      <formula1>=Dashboard!$N$9</formula1>
    </dataValidation>
    <dataValidation sqref="A5:A204" showDropDown="0" showInputMessage="0" showErrorMessage="0" allowBlank="1" type="date" operator="greaterThanOrEqual">
      <formula1>DATE(1990,1,1)</formula1>
    </dataValidation>
    <dataValidation sqref="C5:C204" showDropDown="0" showInputMessage="0" showErrorMessage="0" allowBlank="1" type="decimal" operator="between">
      <formula1>-10000000</formula1>
      <formula2>10000000</formula2>
    </dataValidation>
  </dataValidations>
  <printOptions horizontalCentered="1"/>
  <pageMargins left="0.5" right="0.5" top="0.55" bottom="0.55" header="0.3" footer="0.3"/>
  <pageSetup orientation="landscape" paperSize="1" fitToHeight="0" fitToWidth="1"/>
  <headerFooter>
    <oddHeader>&amp;LList A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6B5A"/>
    <outlinePr summaryBelow="1" summaryRight="1"/>
    <pageSetUpPr fitToPage="1"/>
  </sheetPr>
  <dimension ref="A1:T2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0" customWidth="1" min="6" max="6"/>
    <col width="12" customWidth="1" min="7" max="7"/>
    <col width="12" customWidth="1" min="8" max="8"/>
    <col width="18" customWidth="1" min="9" max="9"/>
    <col width="10" customWidth="1" min="10" max="10"/>
    <col width="10" customWidth="1" min="11" max="11"/>
    <col width="12" customWidth="1" min="12" max="12"/>
    <col width="13" customWidth="1" min="13" max="13"/>
    <col width="12" customWidth="1" min="14" max="14"/>
    <col width="16" customWidth="1" min="15" max="15"/>
    <col hidden="1" width="8" customWidth="1" min="16" max="16"/>
    <col hidden="1" width="6" customWidth="1" min="17" max="17"/>
    <col hidden="1" width="6" customWidth="1" min="18" max="18"/>
    <col hidden="1" width="6" customWidth="1" min="19" max="19"/>
    <col hidden="1" width="13" customWidth="1" min="20" max="20"/>
  </cols>
  <sheetData>
    <row r="1" ht="30" customHeight="1">
      <c r="A1" s="1" t="inlineStr">
        <is>
          <t>List B</t>
        </is>
      </c>
    </row>
    <row r="2" ht="26" customHeight="1">
      <c r="A2" s="40">
        <f>IF(ListBName="","Paste or type transactions here.",ListBName&amp;"  ·  Blue = paste or type. Gray = match result. Withdrawals negative, deposits positive — same convention on both lists.")</f>
        <v/>
      </c>
    </row>
    <row r="3">
      <c r="A3" s="43">
        <f>COUNTA(A5:A204)&amp;" items   ·   "&amp;COUNTIF(L5:L204,"Matched")&amp;" matched   ·   "&amp;COUNTIF(L5:L204,"Difference")&amp;" differences   ·   "&amp;COUNTIF(L5:L204,"Unmatched")&amp;" unmatched   ·   Total "&amp;TEXT(SUM(C5:C204),"$#,##0.00")</f>
        <v/>
      </c>
    </row>
    <row r="4" ht="30" customHeight="1">
      <c r="A4" s="44" t="inlineStr">
        <is>
          <t>Date</t>
        </is>
      </c>
      <c r="B4" s="44" t="inlineStr">
        <is>
          <t>Description</t>
        </is>
      </c>
      <c r="C4" s="44" t="inlineStr">
        <is>
          <t>Amount</t>
        </is>
      </c>
      <c r="D4" s="44" t="inlineStr">
        <is>
          <t>Transaction ID</t>
        </is>
      </c>
      <c r="E4" s="44" t="inlineStr">
        <is>
          <t>Category</t>
        </is>
      </c>
      <c r="F4" s="44" t="inlineStr">
        <is>
          <t>Notes</t>
        </is>
      </c>
      <c r="G4" s="44" t="inlineStr">
        <is>
          <t>Reviewed?</t>
        </is>
      </c>
      <c r="H4" s="44" t="inlineStr">
        <is>
          <t>Manual pair</t>
        </is>
      </c>
      <c r="I4" s="44" t="inlineStr">
        <is>
          <t>Match key</t>
        </is>
      </c>
      <c r="J4" s="44" t="inlineStr">
        <is>
          <t>Occ.</t>
        </is>
      </c>
      <c r="K4" s="44" t="inlineStr">
        <is>
          <t>Match row</t>
        </is>
      </c>
      <c r="L4" s="44" t="inlineStr">
        <is>
          <t>Status</t>
        </is>
      </c>
      <c r="M4" s="44" t="inlineStr">
        <is>
          <t>List A amount</t>
        </is>
      </c>
      <c r="N4" s="44" t="inlineStr">
        <is>
          <t>Difference</t>
        </is>
      </c>
      <c r="O4" s="44" t="inlineStr">
        <is>
          <t>How matched</t>
        </is>
      </c>
    </row>
    <row r="5" ht="17" customHeight="1">
      <c r="A5" s="86" t="n">
        <v>46235</v>
      </c>
      <c r="B5" s="46" t="inlineStr">
        <is>
          <t>Customer payment received</t>
        </is>
      </c>
      <c r="C5" s="47" t="n">
        <v>2500</v>
      </c>
      <c r="D5" s="46" t="n"/>
      <c r="E5" s="46" t="inlineStr">
        <is>
          <t>Income</t>
        </is>
      </c>
      <c r="F5" s="46" t="n"/>
      <c r="G5" s="48" t="n"/>
      <c r="H5" s="48" t="n"/>
      <c r="I5" s="49">
        <f>IF(A5="","",IF(H5&lt;&gt;"","M|"&amp;TRIM(H5),IF(AND(MatchMode="Reference / ID only",D5=""),"U|"&amp;ROW(),IF(D5&lt;&gt;"","R|"&amp;TRIM(D5),IF(MatchMode="Amount only","A|"&amp;TEXT(ROUND(C5,2),"0.00"),IF(MatchMode="Amount (tolerance)","T|"&amp;TEXT(ROUND(C5/MAX(N(Tolerance),0.0001),0),"0"),IF(MatchMode="Date + amount (tolerance)","DT|"&amp;TEXT(A5,"yyyy-mm-dd")&amp;"|"&amp;TEXT(ROUND(C5/MAX(N(Tolerance),0.0001),0),"0"),IF(MatchMode="Description (exact)","S|"&amp;LOWER(TRIM(B5)),IF(MatchMode="Reference / ID only","U|"&amp;ROW(),"DA|"&amp;TEXT(A5,"yyyy-mm-dd")&amp;"|"&amp;TEXT(ROUND(C5,2),"0.00"))))))))))</f>
        <v/>
      </c>
      <c r="J5" s="50">
        <f>IF(I5="","",COUNTIF($I$5:I5,I5))</f>
        <v/>
      </c>
      <c r="K5" s="50">
        <f>IF(P5="","",IFERROR(MATCH(P5,ListA_Combo,0)+4,""))</f>
        <v/>
      </c>
      <c r="L5" s="51">
        <f>IF(A5="","",IF(K5="","Unmatched",IF(ABS(C5-M5)&lt;=MAX(N(Tolerance),0),"Matched","Difference")))</f>
        <v/>
      </c>
      <c r="M5" s="52">
        <f>IF(K5="","",INDEX('List A'!$C$5:$C$204,K5-4))</f>
        <v/>
      </c>
      <c r="N5" s="52">
        <f>IF(K5="","",C5-M5)</f>
        <v/>
      </c>
      <c r="O5" s="53">
        <f>IF(OR(A5="",K5=""),"",IF(H5&lt;&gt;"","Manual pair",IF(D5&lt;&gt;"","Reference / ID",MatchMode)))</f>
        <v/>
      </c>
      <c r="P5" s="54">
        <f>IF(I5="","",I5&amp;"|"&amp;J5)</f>
        <v/>
      </c>
      <c r="Q5" s="54">
        <f>IF(L5="Matched",COUNTIF($L$5:L5,"Matched"),"")</f>
        <v/>
      </c>
      <c r="R5" s="54">
        <f>IF(L5="Unmatched",COUNTIF($L$5:L5,"Unmatched"),"")</f>
        <v/>
      </c>
      <c r="S5" s="54">
        <f>IF(L5="Difference",COUNTIF($L$5:L5,"Difference"),"")</f>
        <v/>
      </c>
      <c r="T5" s="55">
        <f>IF(L5="Difference",ABS(N5),0)</f>
        <v/>
      </c>
    </row>
    <row r="6" ht="17" customHeight="1">
      <c r="A6" s="86" t="n">
        <v>46237</v>
      </c>
      <c r="B6" s="46" t="inlineStr">
        <is>
          <t>Office Depot — check 1041</t>
        </is>
      </c>
      <c r="C6" s="47" t="n">
        <v>-185</v>
      </c>
      <c r="D6" s="46" t="inlineStr">
        <is>
          <t>1041</t>
        </is>
      </c>
      <c r="E6" s="46" t="inlineStr">
        <is>
          <t>Supplies</t>
        </is>
      </c>
      <c r="F6" s="46" t="n"/>
      <c r="G6" s="48" t="n"/>
      <c r="H6" s="48" t="n"/>
      <c r="I6" s="49">
        <f>IF(A6="","",IF(H6&lt;&gt;"","M|"&amp;TRIM(H6),IF(AND(MatchMode="Reference / ID only",D6=""),"U|"&amp;ROW(),IF(D6&lt;&gt;"","R|"&amp;TRIM(D6),IF(MatchMode="Amount only","A|"&amp;TEXT(ROUND(C6,2),"0.00"),IF(MatchMode="Amount (tolerance)","T|"&amp;TEXT(ROUND(C6/MAX(N(Tolerance),0.0001),0),"0"),IF(MatchMode="Date + amount (tolerance)","DT|"&amp;TEXT(A6,"yyyy-mm-dd")&amp;"|"&amp;TEXT(ROUND(C6/MAX(N(Tolerance),0.0001),0),"0"),IF(MatchMode="Description (exact)","S|"&amp;LOWER(TRIM(B6)),IF(MatchMode="Reference / ID only","U|"&amp;ROW(),"DA|"&amp;TEXT(A6,"yyyy-mm-dd")&amp;"|"&amp;TEXT(ROUND(C6,2),"0.00"))))))))))</f>
        <v/>
      </c>
      <c r="J6" s="50">
        <f>IF(I6="","",COUNTIF($I$5:I6,I6))</f>
        <v/>
      </c>
      <c r="K6" s="50">
        <f>IF(P6="","",IFERROR(MATCH(P6,ListA_Combo,0)+4,""))</f>
        <v/>
      </c>
      <c r="L6" s="51">
        <f>IF(A6="","",IF(K6="","Unmatched",IF(ABS(C6-M6)&lt;=MAX(N(Tolerance),0),"Matched","Difference")))</f>
        <v/>
      </c>
      <c r="M6" s="52">
        <f>IF(K6="","",INDEX('List A'!$C$5:$C$204,K6-4))</f>
        <v/>
      </c>
      <c r="N6" s="52">
        <f>IF(K6="","",C6-M6)</f>
        <v/>
      </c>
      <c r="O6" s="53">
        <f>IF(OR(A6="",K6=""),"",IF(H6&lt;&gt;"","Manual pair",IF(D6&lt;&gt;"","Reference / ID",MatchMode)))</f>
        <v/>
      </c>
      <c r="P6" s="54">
        <f>IF(I6="","",I6&amp;"|"&amp;J6)</f>
        <v/>
      </c>
      <c r="Q6" s="54">
        <f>IF(L6="Matched",COUNTIF($L$5:L6,"Matched"),"")</f>
        <v/>
      </c>
      <c r="R6" s="54">
        <f>IF(L6="Unmatched",COUNTIF($L$5:L6,"Unmatched"),"")</f>
        <v/>
      </c>
      <c r="S6" s="54">
        <f>IF(L6="Difference",COUNTIF($L$5:L6,"Difference"),"")</f>
        <v/>
      </c>
      <c r="T6" s="55">
        <f>IF(L6="Difference",ABS(N6),0)</f>
        <v/>
      </c>
    </row>
    <row r="7" ht="17" customHeight="1">
      <c r="A7" s="86" t="n">
        <v>46238</v>
      </c>
      <c r="B7" s="46" t="inlineStr">
        <is>
          <t>Payroll 8/4</t>
        </is>
      </c>
      <c r="C7" s="47" t="n">
        <v>-2100</v>
      </c>
      <c r="D7" s="46" t="n"/>
      <c r="E7" s="46" t="inlineStr">
        <is>
          <t>Payroll</t>
        </is>
      </c>
      <c r="F7" s="46" t="n"/>
      <c r="G7" s="48" t="n"/>
      <c r="H7" s="48" t="n"/>
      <c r="I7" s="49">
        <f>IF(A7="","",IF(H7&lt;&gt;"","M|"&amp;TRIM(H7),IF(AND(MatchMode="Reference / ID only",D7=""),"U|"&amp;ROW(),IF(D7&lt;&gt;"","R|"&amp;TRIM(D7),IF(MatchMode="Amount only","A|"&amp;TEXT(ROUND(C7,2),"0.00"),IF(MatchMode="Amount (tolerance)","T|"&amp;TEXT(ROUND(C7/MAX(N(Tolerance),0.0001),0),"0"),IF(MatchMode="Date + amount (tolerance)","DT|"&amp;TEXT(A7,"yyyy-mm-dd")&amp;"|"&amp;TEXT(ROUND(C7/MAX(N(Tolerance),0.0001),0),"0"),IF(MatchMode="Description (exact)","S|"&amp;LOWER(TRIM(B7)),IF(MatchMode="Reference / ID only","U|"&amp;ROW(),"DA|"&amp;TEXT(A7,"yyyy-mm-dd")&amp;"|"&amp;TEXT(ROUND(C7,2),"0.00"))))))))))</f>
        <v/>
      </c>
      <c r="J7" s="50">
        <f>IF(I7="","",COUNTIF($I$5:I7,I7))</f>
        <v/>
      </c>
      <c r="K7" s="50">
        <f>IF(P7="","",IFERROR(MATCH(P7,ListA_Combo,0)+4,""))</f>
        <v/>
      </c>
      <c r="L7" s="51">
        <f>IF(A7="","",IF(K7="","Unmatched",IF(ABS(C7-M7)&lt;=MAX(N(Tolerance),0),"Matched","Difference")))</f>
        <v/>
      </c>
      <c r="M7" s="52">
        <f>IF(K7="","",INDEX('List A'!$C$5:$C$204,K7-4))</f>
        <v/>
      </c>
      <c r="N7" s="52">
        <f>IF(K7="","",C7-M7)</f>
        <v/>
      </c>
      <c r="O7" s="53">
        <f>IF(OR(A7="",K7=""),"",IF(H7&lt;&gt;"","Manual pair",IF(D7&lt;&gt;"","Reference / ID",MatchMode)))</f>
        <v/>
      </c>
      <c r="P7" s="54">
        <f>IF(I7="","",I7&amp;"|"&amp;J7)</f>
        <v/>
      </c>
      <c r="Q7" s="54">
        <f>IF(L7="Matched",COUNTIF($L$5:L7,"Matched"),"")</f>
        <v/>
      </c>
      <c r="R7" s="54">
        <f>IF(L7="Unmatched",COUNTIF($L$5:L7,"Unmatched"),"")</f>
        <v/>
      </c>
      <c r="S7" s="54">
        <f>IF(L7="Difference",COUNTIF($L$5:L7,"Difference"),"")</f>
        <v/>
      </c>
      <c r="T7" s="55">
        <f>IF(L7="Difference",ABS(N7),0)</f>
        <v/>
      </c>
    </row>
    <row r="8" ht="17" customHeight="1">
      <c r="A8" s="86" t="n">
        <v>46239</v>
      </c>
      <c r="B8" s="46" t="inlineStr">
        <is>
          <t>Stripe batch</t>
        </is>
      </c>
      <c r="C8" s="47" t="n">
        <v>842.16</v>
      </c>
      <c r="D8" s="46" t="inlineStr">
        <is>
          <t>po_8f21</t>
        </is>
      </c>
      <c r="E8" s="46" t="inlineStr">
        <is>
          <t>Income</t>
        </is>
      </c>
      <c r="F8" s="46" t="n"/>
      <c r="G8" s="48" t="n"/>
      <c r="H8" s="48" t="n"/>
      <c r="I8" s="49">
        <f>IF(A8="","",IF(H8&lt;&gt;"","M|"&amp;TRIM(H8),IF(AND(MatchMode="Reference / ID only",D8=""),"U|"&amp;ROW(),IF(D8&lt;&gt;"","R|"&amp;TRIM(D8),IF(MatchMode="Amount only","A|"&amp;TEXT(ROUND(C8,2),"0.00"),IF(MatchMode="Amount (tolerance)","T|"&amp;TEXT(ROUND(C8/MAX(N(Tolerance),0.0001),0),"0"),IF(MatchMode="Date + amount (tolerance)","DT|"&amp;TEXT(A8,"yyyy-mm-dd")&amp;"|"&amp;TEXT(ROUND(C8/MAX(N(Tolerance),0.0001),0),"0"),IF(MatchMode="Description (exact)","S|"&amp;LOWER(TRIM(B8)),IF(MatchMode="Reference / ID only","U|"&amp;ROW(),"DA|"&amp;TEXT(A8,"yyyy-mm-dd")&amp;"|"&amp;TEXT(ROUND(C8,2),"0.00"))))))))))</f>
        <v/>
      </c>
      <c r="J8" s="50">
        <f>IF(I8="","",COUNTIF($I$5:I8,I8))</f>
        <v/>
      </c>
      <c r="K8" s="50">
        <f>IF(P8="","",IFERROR(MATCH(P8,ListA_Combo,0)+4,""))</f>
        <v/>
      </c>
      <c r="L8" s="51">
        <f>IF(A8="","",IF(K8="","Unmatched",IF(ABS(C8-M8)&lt;=MAX(N(Tolerance),0),"Matched","Difference")))</f>
        <v/>
      </c>
      <c r="M8" s="52">
        <f>IF(K8="","",INDEX('List A'!$C$5:$C$204,K8-4))</f>
        <v/>
      </c>
      <c r="N8" s="52">
        <f>IF(K8="","",C8-M8)</f>
        <v/>
      </c>
      <c r="O8" s="53">
        <f>IF(OR(A8="",K8=""),"",IF(H8&lt;&gt;"","Manual pair",IF(D8&lt;&gt;"","Reference / ID",MatchMode)))</f>
        <v/>
      </c>
      <c r="P8" s="54">
        <f>IF(I8="","",I8&amp;"|"&amp;J8)</f>
        <v/>
      </c>
      <c r="Q8" s="54">
        <f>IF(L8="Matched",COUNTIF($L$5:L8,"Matched"),"")</f>
        <v/>
      </c>
      <c r="R8" s="54">
        <f>IF(L8="Unmatched",COUNTIF($L$5:L8,"Unmatched"),"")</f>
        <v/>
      </c>
      <c r="S8" s="54">
        <f>IF(L8="Difference",COUNTIF($L$5:L8,"Difference"),"")</f>
        <v/>
      </c>
      <c r="T8" s="55">
        <f>IF(L8="Difference",ABS(N8),0)</f>
        <v/>
      </c>
    </row>
    <row r="9" ht="17" customHeight="1">
      <c r="A9" s="86" t="n">
        <v>46240</v>
      </c>
      <c r="B9" s="46" t="inlineStr">
        <is>
          <t>August rent</t>
        </is>
      </c>
      <c r="C9" s="47" t="n">
        <v>-1400</v>
      </c>
      <c r="D9" s="46" t="inlineStr">
        <is>
          <t>1043</t>
        </is>
      </c>
      <c r="E9" s="46" t="inlineStr">
        <is>
          <t>Rent</t>
        </is>
      </c>
      <c r="F9" s="46" t="n"/>
      <c r="G9" s="48" t="n"/>
      <c r="H9" s="48" t="n"/>
      <c r="I9" s="49">
        <f>IF(A9="","",IF(H9&lt;&gt;"","M|"&amp;TRIM(H9),IF(AND(MatchMode="Reference / ID only",D9=""),"U|"&amp;ROW(),IF(D9&lt;&gt;"","R|"&amp;TRIM(D9),IF(MatchMode="Amount only","A|"&amp;TEXT(ROUND(C9,2),"0.00"),IF(MatchMode="Amount (tolerance)","T|"&amp;TEXT(ROUND(C9/MAX(N(Tolerance),0.0001),0),"0"),IF(MatchMode="Date + amount (tolerance)","DT|"&amp;TEXT(A9,"yyyy-mm-dd")&amp;"|"&amp;TEXT(ROUND(C9/MAX(N(Tolerance),0.0001),0),"0"),IF(MatchMode="Description (exact)","S|"&amp;LOWER(TRIM(B9)),IF(MatchMode="Reference / ID only","U|"&amp;ROW(),"DA|"&amp;TEXT(A9,"yyyy-mm-dd")&amp;"|"&amp;TEXT(ROUND(C9,2),"0.00"))))))))))</f>
        <v/>
      </c>
      <c r="J9" s="50">
        <f>IF(I9="","",COUNTIF($I$5:I9,I9))</f>
        <v/>
      </c>
      <c r="K9" s="50">
        <f>IF(P9="","",IFERROR(MATCH(P9,ListA_Combo,0)+4,""))</f>
        <v/>
      </c>
      <c r="L9" s="51">
        <f>IF(A9="","",IF(K9="","Unmatched",IF(ABS(C9-M9)&lt;=MAX(N(Tolerance),0),"Matched","Difference")))</f>
        <v/>
      </c>
      <c r="M9" s="52">
        <f>IF(K9="","",INDEX('List A'!$C$5:$C$204,K9-4))</f>
        <v/>
      </c>
      <c r="N9" s="52">
        <f>IF(K9="","",C9-M9)</f>
        <v/>
      </c>
      <c r="O9" s="53">
        <f>IF(OR(A9="",K9=""),"",IF(H9&lt;&gt;"","Manual pair",IF(D9&lt;&gt;"","Reference / ID",MatchMode)))</f>
        <v/>
      </c>
      <c r="P9" s="54">
        <f>IF(I9="","",I9&amp;"|"&amp;J9)</f>
        <v/>
      </c>
      <c r="Q9" s="54">
        <f>IF(L9="Matched",COUNTIF($L$5:L9,"Matched"),"")</f>
        <v/>
      </c>
      <c r="R9" s="54">
        <f>IF(L9="Unmatched",COUNTIF($L$5:L9,"Unmatched"),"")</f>
        <v/>
      </c>
      <c r="S9" s="54">
        <f>IF(L9="Difference",COUNTIF($L$5:L9,"Difference"),"")</f>
        <v/>
      </c>
      <c r="T9" s="55">
        <f>IF(L9="Difference",ABS(N9),0)</f>
        <v/>
      </c>
    </row>
    <row r="10" ht="17" customHeight="1">
      <c r="A10" s="86" t="n">
        <v>46241</v>
      </c>
      <c r="B10" s="46" t="inlineStr">
        <is>
          <t>Adobe Creative Cloud</t>
        </is>
      </c>
      <c r="C10" s="47" t="n">
        <v>-54.99</v>
      </c>
      <c r="D10" s="46" t="n"/>
      <c r="E10" s="46" t="inlineStr">
        <is>
          <t>Software</t>
        </is>
      </c>
      <c r="F10" s="46" t="n"/>
      <c r="G10" s="48" t="n"/>
      <c r="H10" s="48" t="n"/>
      <c r="I10" s="49">
        <f>IF(A10="","",IF(H10&lt;&gt;"","M|"&amp;TRIM(H10),IF(AND(MatchMode="Reference / ID only",D10=""),"U|"&amp;ROW(),IF(D10&lt;&gt;"","R|"&amp;TRIM(D10),IF(MatchMode="Amount only","A|"&amp;TEXT(ROUND(C10,2),"0.00"),IF(MatchMode="Amount (tolerance)","T|"&amp;TEXT(ROUND(C10/MAX(N(Tolerance),0.0001),0),"0"),IF(MatchMode="Date + amount (tolerance)","DT|"&amp;TEXT(A10,"yyyy-mm-dd")&amp;"|"&amp;TEXT(ROUND(C10/MAX(N(Tolerance),0.0001),0),"0"),IF(MatchMode="Description (exact)","S|"&amp;LOWER(TRIM(B10)),IF(MatchMode="Reference / ID only","U|"&amp;ROW(),"DA|"&amp;TEXT(A10,"yyyy-mm-dd")&amp;"|"&amp;TEXT(ROUND(C10,2),"0.00"))))))))))</f>
        <v/>
      </c>
      <c r="J10" s="50">
        <f>IF(I10="","",COUNTIF($I$5:I10,I10))</f>
        <v/>
      </c>
      <c r="K10" s="50">
        <f>IF(P10="","",IFERROR(MATCH(P10,ListA_Combo,0)+4,""))</f>
        <v/>
      </c>
      <c r="L10" s="51">
        <f>IF(A10="","",IF(K10="","Unmatched",IF(ABS(C10-M10)&lt;=MAX(N(Tolerance),0),"Matched","Difference")))</f>
        <v/>
      </c>
      <c r="M10" s="52">
        <f>IF(K10="","",INDEX('List A'!$C$5:$C$204,K10-4))</f>
        <v/>
      </c>
      <c r="N10" s="52">
        <f>IF(K10="","",C10-M10)</f>
        <v/>
      </c>
      <c r="O10" s="53">
        <f>IF(OR(A10="",K10=""),"",IF(H10&lt;&gt;"","Manual pair",IF(D10&lt;&gt;"","Reference / ID",MatchMode)))</f>
        <v/>
      </c>
      <c r="P10" s="54">
        <f>IF(I10="","",I10&amp;"|"&amp;J10)</f>
        <v/>
      </c>
      <c r="Q10" s="54">
        <f>IF(L10="Matched",COUNTIF($L$5:L10,"Matched"),"")</f>
        <v/>
      </c>
      <c r="R10" s="54">
        <f>IF(L10="Unmatched",COUNTIF($L$5:L10,"Unmatched"),"")</f>
        <v/>
      </c>
      <c r="S10" s="54">
        <f>IF(L10="Difference",COUNTIF($L$5:L10,"Difference"),"")</f>
        <v/>
      </c>
      <c r="T10" s="55">
        <f>IF(L10="Difference",ABS(N10),0)</f>
        <v/>
      </c>
    </row>
    <row r="11" ht="17" customHeight="1">
      <c r="A11" s="86" t="n">
        <v>46243</v>
      </c>
      <c r="B11" s="46" t="inlineStr">
        <is>
          <t>Check 1042 — outstanding</t>
        </is>
      </c>
      <c r="C11" s="47" t="n">
        <v>-500</v>
      </c>
      <c r="D11" s="46" t="inlineStr">
        <is>
          <t>1042</t>
        </is>
      </c>
      <c r="E11" s="46" t="inlineStr">
        <is>
          <t>Vendors</t>
        </is>
      </c>
      <c r="F11" s="46" t="inlineStr">
        <is>
          <t>Not yet cleared</t>
        </is>
      </c>
      <c r="G11" s="48" t="n"/>
      <c r="H11" s="48" t="n"/>
      <c r="I11" s="49">
        <f>IF(A11="","",IF(H11&lt;&gt;"","M|"&amp;TRIM(H11),IF(AND(MatchMode="Reference / ID only",D11=""),"U|"&amp;ROW(),IF(D11&lt;&gt;"","R|"&amp;TRIM(D11),IF(MatchMode="Amount only","A|"&amp;TEXT(ROUND(C11,2),"0.00"),IF(MatchMode="Amount (tolerance)","T|"&amp;TEXT(ROUND(C11/MAX(N(Tolerance),0.0001),0),"0"),IF(MatchMode="Date + amount (tolerance)","DT|"&amp;TEXT(A11,"yyyy-mm-dd")&amp;"|"&amp;TEXT(ROUND(C11/MAX(N(Tolerance),0.0001),0),"0"),IF(MatchMode="Description (exact)","S|"&amp;LOWER(TRIM(B11)),IF(MatchMode="Reference / ID only","U|"&amp;ROW(),"DA|"&amp;TEXT(A11,"yyyy-mm-dd")&amp;"|"&amp;TEXT(ROUND(C11,2),"0.00"))))))))))</f>
        <v/>
      </c>
      <c r="J11" s="50">
        <f>IF(I11="","",COUNTIF($I$5:I11,I11))</f>
        <v/>
      </c>
      <c r="K11" s="50">
        <f>IF(P11="","",IFERROR(MATCH(P11,ListA_Combo,0)+4,""))</f>
        <v/>
      </c>
      <c r="L11" s="51">
        <f>IF(A11="","",IF(K11="","Unmatched",IF(ABS(C11-M11)&lt;=MAX(N(Tolerance),0),"Matched","Difference")))</f>
        <v/>
      </c>
      <c r="M11" s="52">
        <f>IF(K11="","",INDEX('List A'!$C$5:$C$204,K11-4))</f>
        <v/>
      </c>
      <c r="N11" s="52">
        <f>IF(K11="","",C11-M11)</f>
        <v/>
      </c>
      <c r="O11" s="53">
        <f>IF(OR(A11="",K11=""),"",IF(H11&lt;&gt;"","Manual pair",IF(D11&lt;&gt;"","Reference / ID",MatchMode)))</f>
        <v/>
      </c>
      <c r="P11" s="54">
        <f>IF(I11="","",I11&amp;"|"&amp;J11)</f>
        <v/>
      </c>
      <c r="Q11" s="54">
        <f>IF(L11="Matched",COUNTIF($L$5:L11,"Matched"),"")</f>
        <v/>
      </c>
      <c r="R11" s="54">
        <f>IF(L11="Unmatched",COUNTIF($L$5:L11,"Unmatched"),"")</f>
        <v/>
      </c>
      <c r="S11" s="54">
        <f>IF(L11="Difference",COUNTIF($L$5:L11,"Difference"),"")</f>
        <v/>
      </c>
      <c r="T11" s="55">
        <f>IF(L11="Difference",ABS(N11),0)</f>
        <v/>
      </c>
    </row>
    <row r="12" ht="17" customHeight="1">
      <c r="A12" s="86" t="n">
        <v>46244</v>
      </c>
      <c r="B12" s="46" t="inlineStr">
        <is>
          <t>Staples order</t>
        </is>
      </c>
      <c r="C12" s="47" t="n">
        <v>-326.4</v>
      </c>
      <c r="D12" s="46" t="n"/>
      <c r="E12" s="46" t="inlineStr">
        <is>
          <t>Supplies</t>
        </is>
      </c>
      <c r="F12" s="46" t="n"/>
      <c r="G12" s="48" t="n"/>
      <c r="H12" s="48" t="n"/>
      <c r="I12" s="49">
        <f>IF(A12="","",IF(H12&lt;&gt;"","M|"&amp;TRIM(H12),IF(AND(MatchMode="Reference / ID only",D12=""),"U|"&amp;ROW(),IF(D12&lt;&gt;"","R|"&amp;TRIM(D12),IF(MatchMode="Amount only","A|"&amp;TEXT(ROUND(C12,2),"0.00"),IF(MatchMode="Amount (tolerance)","T|"&amp;TEXT(ROUND(C12/MAX(N(Tolerance),0.0001),0),"0"),IF(MatchMode="Date + amount (tolerance)","DT|"&amp;TEXT(A12,"yyyy-mm-dd")&amp;"|"&amp;TEXT(ROUND(C12/MAX(N(Tolerance),0.0001),0),"0"),IF(MatchMode="Description (exact)","S|"&amp;LOWER(TRIM(B12)),IF(MatchMode="Reference / ID only","U|"&amp;ROW(),"DA|"&amp;TEXT(A12,"yyyy-mm-dd")&amp;"|"&amp;TEXT(ROUND(C12,2),"0.00"))))))))))</f>
        <v/>
      </c>
      <c r="J12" s="50">
        <f>IF(I12="","",COUNTIF($I$5:I12,I12))</f>
        <v/>
      </c>
      <c r="K12" s="50">
        <f>IF(P12="","",IFERROR(MATCH(P12,ListA_Combo,0)+4,""))</f>
        <v/>
      </c>
      <c r="L12" s="51">
        <f>IF(A12="","",IF(K12="","Unmatched",IF(ABS(C12-M12)&lt;=MAX(N(Tolerance),0),"Matched","Difference")))</f>
        <v/>
      </c>
      <c r="M12" s="52">
        <f>IF(K12="","",INDEX('List A'!$C$5:$C$204,K12-4))</f>
        <v/>
      </c>
      <c r="N12" s="52">
        <f>IF(K12="","",C12-M12)</f>
        <v/>
      </c>
      <c r="O12" s="53">
        <f>IF(OR(A12="",K12=""),"",IF(H12&lt;&gt;"","Manual pair",IF(D12&lt;&gt;"","Reference / ID",MatchMode)))</f>
        <v/>
      </c>
      <c r="P12" s="54">
        <f>IF(I12="","",I12&amp;"|"&amp;J12)</f>
        <v/>
      </c>
      <c r="Q12" s="54">
        <f>IF(L12="Matched",COUNTIF($L$5:L12,"Matched"),"")</f>
        <v/>
      </c>
      <c r="R12" s="54">
        <f>IF(L12="Unmatched",COUNTIF($L$5:L12,"Unmatched"),"")</f>
        <v/>
      </c>
      <c r="S12" s="54">
        <f>IF(L12="Difference",COUNTIF($L$5:L12,"Difference"),"")</f>
        <v/>
      </c>
      <c r="T12" s="55">
        <f>IF(L12="Difference",ABS(N12),0)</f>
        <v/>
      </c>
    </row>
    <row r="13" ht="17" customHeight="1">
      <c r="A13" s="86" t="n">
        <v>46245</v>
      </c>
      <c r="B13" s="46" t="inlineStr">
        <is>
          <t>Invoice 1882 paid</t>
        </is>
      </c>
      <c r="C13" s="47" t="n">
        <v>750</v>
      </c>
      <c r="D13" s="46" t="inlineStr">
        <is>
          <t>INV-1882</t>
        </is>
      </c>
      <c r="E13" s="46" t="inlineStr">
        <is>
          <t>Income</t>
        </is>
      </c>
      <c r="F13" s="46" t="n"/>
      <c r="G13" s="48" t="n"/>
      <c r="H13" s="48" t="n"/>
      <c r="I13" s="49">
        <f>IF(A13="","",IF(H13&lt;&gt;"","M|"&amp;TRIM(H13),IF(AND(MatchMode="Reference / ID only",D13=""),"U|"&amp;ROW(),IF(D13&lt;&gt;"","R|"&amp;TRIM(D13),IF(MatchMode="Amount only","A|"&amp;TEXT(ROUND(C13,2),"0.00"),IF(MatchMode="Amount (tolerance)","T|"&amp;TEXT(ROUND(C13/MAX(N(Tolerance),0.0001),0),"0"),IF(MatchMode="Date + amount (tolerance)","DT|"&amp;TEXT(A13,"yyyy-mm-dd")&amp;"|"&amp;TEXT(ROUND(C13/MAX(N(Tolerance),0.0001),0),"0"),IF(MatchMode="Description (exact)","S|"&amp;LOWER(TRIM(B13)),IF(MatchMode="Reference / ID only","U|"&amp;ROW(),"DA|"&amp;TEXT(A13,"yyyy-mm-dd")&amp;"|"&amp;TEXT(ROUND(C13,2),"0.00"))))))))))</f>
        <v/>
      </c>
      <c r="J13" s="50">
        <f>IF(I13="","",COUNTIF($I$5:I13,I13))</f>
        <v/>
      </c>
      <c r="K13" s="50">
        <f>IF(P13="","",IFERROR(MATCH(P13,ListA_Combo,0)+4,""))</f>
        <v/>
      </c>
      <c r="L13" s="51">
        <f>IF(A13="","",IF(K13="","Unmatched",IF(ABS(C13-M13)&lt;=MAX(N(Tolerance),0),"Matched","Difference")))</f>
        <v/>
      </c>
      <c r="M13" s="52">
        <f>IF(K13="","",INDEX('List A'!$C$5:$C$204,K13-4))</f>
        <v/>
      </c>
      <c r="N13" s="52">
        <f>IF(K13="","",C13-M13)</f>
        <v/>
      </c>
      <c r="O13" s="53">
        <f>IF(OR(A13="",K13=""),"",IF(H13&lt;&gt;"","Manual pair",IF(D13&lt;&gt;"","Reference / ID",MatchMode)))</f>
        <v/>
      </c>
      <c r="P13" s="54">
        <f>IF(I13="","",I13&amp;"|"&amp;J13)</f>
        <v/>
      </c>
      <c r="Q13" s="54">
        <f>IF(L13="Matched",COUNTIF($L$5:L13,"Matched"),"")</f>
        <v/>
      </c>
      <c r="R13" s="54">
        <f>IF(L13="Unmatched",COUNTIF($L$5:L13,"Unmatched"),"")</f>
        <v/>
      </c>
      <c r="S13" s="54">
        <f>IF(L13="Difference",COUNTIF($L$5:L13,"Difference"),"")</f>
        <v/>
      </c>
      <c r="T13" s="55">
        <f>IF(L13="Difference",ABS(N13),0)</f>
        <v/>
      </c>
    </row>
    <row r="14" ht="17" customHeight="1">
      <c r="A14" s="86" t="n">
        <v>46246</v>
      </c>
      <c r="B14" s="46" t="inlineStr">
        <is>
          <t>Vendor wire INV-2291</t>
        </is>
      </c>
      <c r="C14" s="47" t="n">
        <v>-1200.5</v>
      </c>
      <c r="D14" s="46" t="inlineStr">
        <is>
          <t>INV-2291</t>
        </is>
      </c>
      <c r="E14" s="46" t="inlineStr">
        <is>
          <t>COGS</t>
        </is>
      </c>
      <c r="F14" s="46" t="inlineStr">
        <is>
          <t>Books show $1,200.50</t>
        </is>
      </c>
      <c r="G14" s="48" t="n"/>
      <c r="H14" s="48" t="n"/>
      <c r="I14" s="49">
        <f>IF(A14="","",IF(H14&lt;&gt;"","M|"&amp;TRIM(H14),IF(AND(MatchMode="Reference / ID only",D14=""),"U|"&amp;ROW(),IF(D14&lt;&gt;"","R|"&amp;TRIM(D14),IF(MatchMode="Amount only","A|"&amp;TEXT(ROUND(C14,2),"0.00"),IF(MatchMode="Amount (tolerance)","T|"&amp;TEXT(ROUND(C14/MAX(N(Tolerance),0.0001),0),"0"),IF(MatchMode="Date + amount (tolerance)","DT|"&amp;TEXT(A14,"yyyy-mm-dd")&amp;"|"&amp;TEXT(ROUND(C14/MAX(N(Tolerance),0.0001),0),"0"),IF(MatchMode="Description (exact)","S|"&amp;LOWER(TRIM(B14)),IF(MatchMode="Reference / ID only","U|"&amp;ROW(),"DA|"&amp;TEXT(A14,"yyyy-mm-dd")&amp;"|"&amp;TEXT(ROUND(C14,2),"0.00"))))))))))</f>
        <v/>
      </c>
      <c r="J14" s="50">
        <f>IF(I14="","",COUNTIF($I$5:I14,I14))</f>
        <v/>
      </c>
      <c r="K14" s="50">
        <f>IF(P14="","",IFERROR(MATCH(P14,ListA_Combo,0)+4,""))</f>
        <v/>
      </c>
      <c r="L14" s="51">
        <f>IF(A14="","",IF(K14="","Unmatched",IF(ABS(C14-M14)&lt;=MAX(N(Tolerance),0),"Matched","Difference")))</f>
        <v/>
      </c>
      <c r="M14" s="52">
        <f>IF(K14="","",INDEX('List A'!$C$5:$C$204,K14-4))</f>
        <v/>
      </c>
      <c r="N14" s="52">
        <f>IF(K14="","",C14-M14)</f>
        <v/>
      </c>
      <c r="O14" s="53">
        <f>IF(OR(A14="",K14=""),"",IF(H14&lt;&gt;"","Manual pair",IF(D14&lt;&gt;"","Reference / ID",MatchMode)))</f>
        <v/>
      </c>
      <c r="P14" s="54">
        <f>IF(I14="","",I14&amp;"|"&amp;J14)</f>
        <v/>
      </c>
      <c r="Q14" s="54">
        <f>IF(L14="Matched",COUNTIF($L$5:L14,"Matched"),"")</f>
        <v/>
      </c>
      <c r="R14" s="54">
        <f>IF(L14="Unmatched",COUNTIF($L$5:L14,"Unmatched"),"")</f>
        <v/>
      </c>
      <c r="S14" s="54">
        <f>IF(L14="Difference",COUNTIF($L$5:L14,"Difference"),"")</f>
        <v/>
      </c>
      <c r="T14" s="55">
        <f>IF(L14="Difference",ABS(N14),0)</f>
        <v/>
      </c>
    </row>
    <row r="15" ht="17" customHeight="1">
      <c r="A15" s="86" t="n">
        <v>46247</v>
      </c>
      <c r="B15" s="46" t="inlineStr">
        <is>
          <t>AWS hosting</t>
        </is>
      </c>
      <c r="C15" s="47" t="n">
        <v>-87.23</v>
      </c>
      <c r="D15" s="46" t="n"/>
      <c r="E15" s="46" t="inlineStr">
        <is>
          <t>Software</t>
        </is>
      </c>
      <c r="F15" s="46" t="n"/>
      <c r="G15" s="48" t="n"/>
      <c r="H15" s="48" t="n"/>
      <c r="I15" s="49">
        <f>IF(A15="","",IF(H15&lt;&gt;"","M|"&amp;TRIM(H15),IF(AND(MatchMode="Reference / ID only",D15=""),"U|"&amp;ROW(),IF(D15&lt;&gt;"","R|"&amp;TRIM(D15),IF(MatchMode="Amount only","A|"&amp;TEXT(ROUND(C15,2),"0.00"),IF(MatchMode="Amount (tolerance)","T|"&amp;TEXT(ROUND(C15/MAX(N(Tolerance),0.0001),0),"0"),IF(MatchMode="Date + amount (tolerance)","DT|"&amp;TEXT(A15,"yyyy-mm-dd")&amp;"|"&amp;TEXT(ROUND(C15/MAX(N(Tolerance),0.0001),0),"0"),IF(MatchMode="Description (exact)","S|"&amp;LOWER(TRIM(B15)),IF(MatchMode="Reference / ID only","U|"&amp;ROW(),"DA|"&amp;TEXT(A15,"yyyy-mm-dd")&amp;"|"&amp;TEXT(ROUND(C15,2),"0.00"))))))))))</f>
        <v/>
      </c>
      <c r="J15" s="50">
        <f>IF(I15="","",COUNTIF($I$5:I15,I15))</f>
        <v/>
      </c>
      <c r="K15" s="50">
        <f>IF(P15="","",IFERROR(MATCH(P15,ListA_Combo,0)+4,""))</f>
        <v/>
      </c>
      <c r="L15" s="51">
        <f>IF(A15="","",IF(K15="","Unmatched",IF(ABS(C15-M15)&lt;=MAX(N(Tolerance),0),"Matched","Difference")))</f>
        <v/>
      </c>
      <c r="M15" s="52">
        <f>IF(K15="","",INDEX('List A'!$C$5:$C$204,K15-4))</f>
        <v/>
      </c>
      <c r="N15" s="52">
        <f>IF(K15="","",C15-M15)</f>
        <v/>
      </c>
      <c r="O15" s="53">
        <f>IF(OR(A15="",K15=""),"",IF(H15&lt;&gt;"","Manual pair",IF(D15&lt;&gt;"","Reference / ID",MatchMode)))</f>
        <v/>
      </c>
      <c r="P15" s="54">
        <f>IF(I15="","",I15&amp;"|"&amp;J15)</f>
        <v/>
      </c>
      <c r="Q15" s="54">
        <f>IF(L15="Matched",COUNTIF($L$5:L15,"Matched"),"")</f>
        <v/>
      </c>
      <c r="R15" s="54">
        <f>IF(L15="Unmatched",COUNTIF($L$5:L15,"Unmatched"),"")</f>
        <v/>
      </c>
      <c r="S15" s="54">
        <f>IF(L15="Difference",COUNTIF($L$5:L15,"Difference"),"")</f>
        <v/>
      </c>
      <c r="T15" s="55">
        <f>IF(L15="Difference",ABS(N15),0)</f>
        <v/>
      </c>
    </row>
    <row r="16" ht="17" customHeight="1">
      <c r="A16" s="86" t="n">
        <v>46248</v>
      </c>
      <c r="B16" s="46" t="inlineStr">
        <is>
          <t>Liability insurance</t>
        </is>
      </c>
      <c r="C16" s="47" t="n">
        <v>-245</v>
      </c>
      <c r="D16" s="46" t="inlineStr">
        <is>
          <t>1044</t>
        </is>
      </c>
      <c r="E16" s="46" t="inlineStr">
        <is>
          <t>Insurance</t>
        </is>
      </c>
      <c r="F16" s="46" t="n"/>
      <c r="G16" s="48" t="n"/>
      <c r="H16" s="48" t="n"/>
      <c r="I16" s="49">
        <f>IF(A16="","",IF(H16&lt;&gt;"","M|"&amp;TRIM(H16),IF(AND(MatchMode="Reference / ID only",D16=""),"U|"&amp;ROW(),IF(D16&lt;&gt;"","R|"&amp;TRIM(D16),IF(MatchMode="Amount only","A|"&amp;TEXT(ROUND(C16,2),"0.00"),IF(MatchMode="Amount (tolerance)","T|"&amp;TEXT(ROUND(C16/MAX(N(Tolerance),0.0001),0),"0"),IF(MatchMode="Date + amount (tolerance)","DT|"&amp;TEXT(A16,"yyyy-mm-dd")&amp;"|"&amp;TEXT(ROUND(C16/MAX(N(Tolerance),0.0001),0),"0"),IF(MatchMode="Description (exact)","S|"&amp;LOWER(TRIM(B16)),IF(MatchMode="Reference / ID only","U|"&amp;ROW(),"DA|"&amp;TEXT(A16,"yyyy-mm-dd")&amp;"|"&amp;TEXT(ROUND(C16,2),"0.00"))))))))))</f>
        <v/>
      </c>
      <c r="J16" s="50">
        <f>IF(I16="","",COUNTIF($I$5:I16,I16))</f>
        <v/>
      </c>
      <c r="K16" s="50">
        <f>IF(P16="","",IFERROR(MATCH(P16,ListA_Combo,0)+4,""))</f>
        <v/>
      </c>
      <c r="L16" s="51">
        <f>IF(A16="","",IF(K16="","Unmatched",IF(ABS(C16-M16)&lt;=MAX(N(Tolerance),0),"Matched","Difference")))</f>
        <v/>
      </c>
      <c r="M16" s="52">
        <f>IF(K16="","",INDEX('List A'!$C$5:$C$204,K16-4))</f>
        <v/>
      </c>
      <c r="N16" s="52">
        <f>IF(K16="","",C16-M16)</f>
        <v/>
      </c>
      <c r="O16" s="53">
        <f>IF(OR(A16="",K16=""),"",IF(H16&lt;&gt;"","Manual pair",IF(D16&lt;&gt;"","Reference / ID",MatchMode)))</f>
        <v/>
      </c>
      <c r="P16" s="54">
        <f>IF(I16="","",I16&amp;"|"&amp;J16)</f>
        <v/>
      </c>
      <c r="Q16" s="54">
        <f>IF(L16="Matched",COUNTIF($L$5:L16,"Matched"),"")</f>
        <v/>
      </c>
      <c r="R16" s="54">
        <f>IF(L16="Unmatched",COUNTIF($L$5:L16,"Unmatched"),"")</f>
        <v/>
      </c>
      <c r="S16" s="54">
        <f>IF(L16="Difference",COUNTIF($L$5:L16,"Difference"),"")</f>
        <v/>
      </c>
      <c r="T16" s="55">
        <f>IF(L16="Difference",ABS(N16),0)</f>
        <v/>
      </c>
    </row>
    <row r="17" ht="17" customHeight="1">
      <c r="A17" s="86" t="n">
        <v>46249</v>
      </c>
      <c r="B17" s="46" t="inlineStr">
        <is>
          <t>Customer deposit</t>
        </is>
      </c>
      <c r="C17" s="47" t="n">
        <v>1800</v>
      </c>
      <c r="D17" s="46" t="n"/>
      <c r="E17" s="46" t="inlineStr">
        <is>
          <t>Income</t>
        </is>
      </c>
      <c r="F17" s="46" t="n"/>
      <c r="G17" s="48" t="n"/>
      <c r="H17" s="48" t="n"/>
      <c r="I17" s="49">
        <f>IF(A17="","",IF(H17&lt;&gt;"","M|"&amp;TRIM(H17),IF(AND(MatchMode="Reference / ID only",D17=""),"U|"&amp;ROW(),IF(D17&lt;&gt;"","R|"&amp;TRIM(D17),IF(MatchMode="Amount only","A|"&amp;TEXT(ROUND(C17,2),"0.00"),IF(MatchMode="Amount (tolerance)","T|"&amp;TEXT(ROUND(C17/MAX(N(Tolerance),0.0001),0),"0"),IF(MatchMode="Date + amount (tolerance)","DT|"&amp;TEXT(A17,"yyyy-mm-dd")&amp;"|"&amp;TEXT(ROUND(C17/MAX(N(Tolerance),0.0001),0),"0"),IF(MatchMode="Description (exact)","S|"&amp;LOWER(TRIM(B17)),IF(MatchMode="Reference / ID only","U|"&amp;ROW(),"DA|"&amp;TEXT(A17,"yyyy-mm-dd")&amp;"|"&amp;TEXT(ROUND(C17,2),"0.00"))))))))))</f>
        <v/>
      </c>
      <c r="J17" s="50">
        <f>IF(I17="","",COUNTIF($I$5:I17,I17))</f>
        <v/>
      </c>
      <c r="K17" s="50">
        <f>IF(P17="","",IFERROR(MATCH(P17,ListA_Combo,0)+4,""))</f>
        <v/>
      </c>
      <c r="L17" s="51">
        <f>IF(A17="","",IF(K17="","Unmatched",IF(ABS(C17-M17)&lt;=MAX(N(Tolerance),0),"Matched","Difference")))</f>
        <v/>
      </c>
      <c r="M17" s="52">
        <f>IF(K17="","",INDEX('List A'!$C$5:$C$204,K17-4))</f>
        <v/>
      </c>
      <c r="N17" s="52">
        <f>IF(K17="","",C17-M17)</f>
        <v/>
      </c>
      <c r="O17" s="53">
        <f>IF(OR(A17="",K17=""),"",IF(H17&lt;&gt;"","Manual pair",IF(D17&lt;&gt;"","Reference / ID",MatchMode)))</f>
        <v/>
      </c>
      <c r="P17" s="54">
        <f>IF(I17="","",I17&amp;"|"&amp;J17)</f>
        <v/>
      </c>
      <c r="Q17" s="54">
        <f>IF(L17="Matched",COUNTIF($L$5:L17,"Matched"),"")</f>
        <v/>
      </c>
      <c r="R17" s="54">
        <f>IF(L17="Unmatched",COUNTIF($L$5:L17,"Unmatched"),"")</f>
        <v/>
      </c>
      <c r="S17" s="54">
        <f>IF(L17="Difference",COUNTIF($L$5:L17,"Difference"),"")</f>
        <v/>
      </c>
      <c r="T17" s="55">
        <f>IF(L17="Difference",ABS(N17),0)</f>
        <v/>
      </c>
    </row>
    <row r="18" ht="17" customHeight="1">
      <c r="A18" s="86" t="n">
        <v>46250</v>
      </c>
      <c r="B18" s="46" t="inlineStr">
        <is>
          <t>Owner draw</t>
        </is>
      </c>
      <c r="C18" s="47" t="n">
        <v>-200</v>
      </c>
      <c r="D18" s="46" t="n"/>
      <c r="E18" s="46" t="inlineStr">
        <is>
          <t>Equity</t>
        </is>
      </c>
      <c r="F18" s="46" t="inlineStr">
        <is>
          <t>Not on bank yet</t>
        </is>
      </c>
      <c r="G18" s="48" t="n"/>
      <c r="H18" s="48" t="n"/>
      <c r="I18" s="49">
        <f>IF(A18="","",IF(H18&lt;&gt;"","M|"&amp;TRIM(H18),IF(AND(MatchMode="Reference / ID only",D18=""),"U|"&amp;ROW(),IF(D18&lt;&gt;"","R|"&amp;TRIM(D18),IF(MatchMode="Amount only","A|"&amp;TEXT(ROUND(C18,2),"0.00"),IF(MatchMode="Amount (tolerance)","T|"&amp;TEXT(ROUND(C18/MAX(N(Tolerance),0.0001),0),"0"),IF(MatchMode="Date + amount (tolerance)","DT|"&amp;TEXT(A18,"yyyy-mm-dd")&amp;"|"&amp;TEXT(ROUND(C18/MAX(N(Tolerance),0.0001),0),"0"),IF(MatchMode="Description (exact)","S|"&amp;LOWER(TRIM(B18)),IF(MatchMode="Reference / ID only","U|"&amp;ROW(),"DA|"&amp;TEXT(A18,"yyyy-mm-dd")&amp;"|"&amp;TEXT(ROUND(C18,2),"0.00"))))))))))</f>
        <v/>
      </c>
      <c r="J18" s="50">
        <f>IF(I18="","",COUNTIF($I$5:I18,I18))</f>
        <v/>
      </c>
      <c r="K18" s="50">
        <f>IF(P18="","",IFERROR(MATCH(P18,ListA_Combo,0)+4,""))</f>
        <v/>
      </c>
      <c r="L18" s="51">
        <f>IF(A18="","",IF(K18="","Unmatched",IF(ABS(C18-M18)&lt;=MAX(N(Tolerance),0),"Matched","Difference")))</f>
        <v/>
      </c>
      <c r="M18" s="52">
        <f>IF(K18="","",INDEX('List A'!$C$5:$C$204,K18-4))</f>
        <v/>
      </c>
      <c r="N18" s="52">
        <f>IF(K18="","",C18-M18)</f>
        <v/>
      </c>
      <c r="O18" s="53">
        <f>IF(OR(A18="",K18=""),"",IF(H18&lt;&gt;"","Manual pair",IF(D18&lt;&gt;"","Reference / ID",MatchMode)))</f>
        <v/>
      </c>
      <c r="P18" s="54">
        <f>IF(I18="","",I18&amp;"|"&amp;J18)</f>
        <v/>
      </c>
      <c r="Q18" s="54">
        <f>IF(L18="Matched",COUNTIF($L$5:L18,"Matched"),"")</f>
        <v/>
      </c>
      <c r="R18" s="54">
        <f>IF(L18="Unmatched",COUNTIF($L$5:L18,"Unmatched"),"")</f>
        <v/>
      </c>
      <c r="S18" s="54">
        <f>IF(L18="Difference",COUNTIF($L$5:L18,"Difference"),"")</f>
        <v/>
      </c>
      <c r="T18" s="55">
        <f>IF(L18="Difference",ABS(N18),0)</f>
        <v/>
      </c>
    </row>
    <row r="19" ht="17" customHeight="1">
      <c r="A19" s="86" t="n">
        <v>46251</v>
      </c>
      <c r="B19" s="46" t="inlineStr">
        <is>
          <t>Client coffee</t>
        </is>
      </c>
      <c r="C19" s="47" t="n">
        <v>-18.4</v>
      </c>
      <c r="D19" s="46" t="n"/>
      <c r="E19" s="46" t="inlineStr">
        <is>
          <t>Meals</t>
        </is>
      </c>
      <c r="F19" s="46" t="n"/>
      <c r="G19" s="48" t="n"/>
      <c r="H19" s="48" t="n"/>
      <c r="I19" s="49">
        <f>IF(A19="","",IF(H19&lt;&gt;"","M|"&amp;TRIM(H19),IF(AND(MatchMode="Reference / ID only",D19=""),"U|"&amp;ROW(),IF(D19&lt;&gt;"","R|"&amp;TRIM(D19),IF(MatchMode="Amount only","A|"&amp;TEXT(ROUND(C19,2),"0.00"),IF(MatchMode="Amount (tolerance)","T|"&amp;TEXT(ROUND(C19/MAX(N(Tolerance),0.0001),0),"0"),IF(MatchMode="Date + amount (tolerance)","DT|"&amp;TEXT(A19,"yyyy-mm-dd")&amp;"|"&amp;TEXT(ROUND(C19/MAX(N(Tolerance),0.0001),0),"0"),IF(MatchMode="Description (exact)","S|"&amp;LOWER(TRIM(B19)),IF(MatchMode="Reference / ID only","U|"&amp;ROW(),"DA|"&amp;TEXT(A19,"yyyy-mm-dd")&amp;"|"&amp;TEXT(ROUND(C19,2),"0.00"))))))))))</f>
        <v/>
      </c>
      <c r="J19" s="50">
        <f>IF(I19="","",COUNTIF($I$5:I19,I19))</f>
        <v/>
      </c>
      <c r="K19" s="50">
        <f>IF(P19="","",IFERROR(MATCH(P19,ListA_Combo,0)+4,""))</f>
        <v/>
      </c>
      <c r="L19" s="51">
        <f>IF(A19="","",IF(K19="","Unmatched",IF(ABS(C19-M19)&lt;=MAX(N(Tolerance),0),"Matched","Difference")))</f>
        <v/>
      </c>
      <c r="M19" s="52">
        <f>IF(K19="","",INDEX('List A'!$C$5:$C$204,K19-4))</f>
        <v/>
      </c>
      <c r="N19" s="52">
        <f>IF(K19="","",C19-M19)</f>
        <v/>
      </c>
      <c r="O19" s="53">
        <f>IF(OR(A19="",K19=""),"",IF(H19&lt;&gt;"","Manual pair",IF(D19&lt;&gt;"","Reference / ID",MatchMode)))</f>
        <v/>
      </c>
      <c r="P19" s="54">
        <f>IF(I19="","",I19&amp;"|"&amp;J19)</f>
        <v/>
      </c>
      <c r="Q19" s="54">
        <f>IF(L19="Matched",COUNTIF($L$5:L19,"Matched"),"")</f>
        <v/>
      </c>
      <c r="R19" s="54">
        <f>IF(L19="Unmatched",COUNTIF($L$5:L19,"Unmatched"),"")</f>
        <v/>
      </c>
      <c r="S19" s="54">
        <f>IF(L19="Difference",COUNTIF($L$5:L19,"Difference"),"")</f>
        <v/>
      </c>
      <c r="T19" s="55">
        <f>IF(L19="Difference",ABS(N19),0)</f>
        <v/>
      </c>
    </row>
    <row r="20" ht="17" customHeight="1">
      <c r="A20" s="86" t="n">
        <v>46252</v>
      </c>
      <c r="B20" s="46" t="inlineStr">
        <is>
          <t>Electric utility</t>
        </is>
      </c>
      <c r="C20" s="47" t="n">
        <v>-163.55</v>
      </c>
      <c r="D20" s="46" t="n"/>
      <c r="E20" s="46" t="inlineStr">
        <is>
          <t>Utilities</t>
        </is>
      </c>
      <c r="F20" s="46" t="n"/>
      <c r="G20" s="48" t="n"/>
      <c r="H20" s="48" t="n"/>
      <c r="I20" s="49">
        <f>IF(A20="","",IF(H20&lt;&gt;"","M|"&amp;TRIM(H20),IF(AND(MatchMode="Reference / ID only",D20=""),"U|"&amp;ROW(),IF(D20&lt;&gt;"","R|"&amp;TRIM(D20),IF(MatchMode="Amount only","A|"&amp;TEXT(ROUND(C20,2),"0.00"),IF(MatchMode="Amount (tolerance)","T|"&amp;TEXT(ROUND(C20/MAX(N(Tolerance),0.0001),0),"0"),IF(MatchMode="Date + amount (tolerance)","DT|"&amp;TEXT(A20,"yyyy-mm-dd")&amp;"|"&amp;TEXT(ROUND(C20/MAX(N(Tolerance),0.0001),0),"0"),IF(MatchMode="Description (exact)","S|"&amp;LOWER(TRIM(B20)),IF(MatchMode="Reference / ID only","U|"&amp;ROW(),"DA|"&amp;TEXT(A20,"yyyy-mm-dd")&amp;"|"&amp;TEXT(ROUND(C20,2),"0.00"))))))))))</f>
        <v/>
      </c>
      <c r="J20" s="50">
        <f>IF(I20="","",COUNTIF($I$5:I20,I20))</f>
        <v/>
      </c>
      <c r="K20" s="50">
        <f>IF(P20="","",IFERROR(MATCH(P20,ListA_Combo,0)+4,""))</f>
        <v/>
      </c>
      <c r="L20" s="51">
        <f>IF(A20="","",IF(K20="","Unmatched",IF(ABS(C20-M20)&lt;=MAX(N(Tolerance),0),"Matched","Difference")))</f>
        <v/>
      </c>
      <c r="M20" s="52">
        <f>IF(K20="","",INDEX('List A'!$C$5:$C$204,K20-4))</f>
        <v/>
      </c>
      <c r="N20" s="52">
        <f>IF(K20="","",C20-M20)</f>
        <v/>
      </c>
      <c r="O20" s="53">
        <f>IF(OR(A20="",K20=""),"",IF(H20&lt;&gt;"","Manual pair",IF(D20&lt;&gt;"","Reference / ID",MatchMode)))</f>
        <v/>
      </c>
      <c r="P20" s="54">
        <f>IF(I20="","",I20&amp;"|"&amp;J20)</f>
        <v/>
      </c>
      <c r="Q20" s="54">
        <f>IF(L20="Matched",COUNTIF($L$5:L20,"Matched"),"")</f>
        <v/>
      </c>
      <c r="R20" s="54">
        <f>IF(L20="Unmatched",COUNTIF($L$5:L20,"Unmatched"),"")</f>
        <v/>
      </c>
      <c r="S20" s="54">
        <f>IF(L20="Difference",COUNTIF($L$5:L20,"Difference"),"")</f>
        <v/>
      </c>
      <c r="T20" s="55">
        <f>IF(L20="Difference",ABS(N20),0)</f>
        <v/>
      </c>
    </row>
    <row r="21" ht="17" customHeight="1">
      <c r="A21" s="86" t="n">
        <v>46255</v>
      </c>
      <c r="B21" s="46" t="inlineStr">
        <is>
          <t>Contractor check 1045</t>
        </is>
      </c>
      <c r="C21" s="47" t="n">
        <v>-600</v>
      </c>
      <c r="D21" s="46" t="inlineStr">
        <is>
          <t>1045</t>
        </is>
      </c>
      <c r="E21" s="46" t="inlineStr">
        <is>
          <t>Contractors</t>
        </is>
      </c>
      <c r="F21" s="46" t="n"/>
      <c r="G21" s="48" t="n"/>
      <c r="H21" s="48" t="n"/>
      <c r="I21" s="49">
        <f>IF(A21="","",IF(H21&lt;&gt;"","M|"&amp;TRIM(H21),IF(AND(MatchMode="Reference / ID only",D21=""),"U|"&amp;ROW(),IF(D21&lt;&gt;"","R|"&amp;TRIM(D21),IF(MatchMode="Amount only","A|"&amp;TEXT(ROUND(C21,2),"0.00"),IF(MatchMode="Amount (tolerance)","T|"&amp;TEXT(ROUND(C21/MAX(N(Tolerance),0.0001),0),"0"),IF(MatchMode="Date + amount (tolerance)","DT|"&amp;TEXT(A21,"yyyy-mm-dd")&amp;"|"&amp;TEXT(ROUND(C21/MAX(N(Tolerance),0.0001),0),"0"),IF(MatchMode="Description (exact)","S|"&amp;LOWER(TRIM(B21)),IF(MatchMode="Reference / ID only","U|"&amp;ROW(),"DA|"&amp;TEXT(A21,"yyyy-mm-dd")&amp;"|"&amp;TEXT(ROUND(C21,2),"0.00"))))))))))</f>
        <v/>
      </c>
      <c r="J21" s="50">
        <f>IF(I21="","",COUNTIF($I$5:I21,I21))</f>
        <v/>
      </c>
      <c r="K21" s="50">
        <f>IF(P21="","",IFERROR(MATCH(P21,ListA_Combo,0)+4,""))</f>
        <v/>
      </c>
      <c r="L21" s="51">
        <f>IF(A21="","",IF(K21="","Unmatched",IF(ABS(C21-M21)&lt;=MAX(N(Tolerance),0),"Matched","Difference")))</f>
        <v/>
      </c>
      <c r="M21" s="52">
        <f>IF(K21="","",INDEX('List A'!$C$5:$C$204,K21-4))</f>
        <v/>
      </c>
      <c r="N21" s="52">
        <f>IF(K21="","",C21-M21)</f>
        <v/>
      </c>
      <c r="O21" s="53">
        <f>IF(OR(A21="",K21=""),"",IF(H21&lt;&gt;"","Manual pair",IF(D21&lt;&gt;"","Reference / ID",MatchMode)))</f>
        <v/>
      </c>
      <c r="P21" s="54">
        <f>IF(I21="","",I21&amp;"|"&amp;J21)</f>
        <v/>
      </c>
      <c r="Q21" s="54">
        <f>IF(L21="Matched",COUNTIF($L$5:L21,"Matched"),"")</f>
        <v/>
      </c>
      <c r="R21" s="54">
        <f>IF(L21="Unmatched",COUNTIF($L$5:L21,"Unmatched"),"")</f>
        <v/>
      </c>
      <c r="S21" s="54">
        <f>IF(L21="Difference",COUNTIF($L$5:L21,"Difference"),"")</f>
        <v/>
      </c>
      <c r="T21" s="55">
        <f>IF(L21="Difference",ABS(N21),0)</f>
        <v/>
      </c>
    </row>
    <row r="22" ht="17" customHeight="1">
      <c r="A22" s="86" t="n">
        <v>46258</v>
      </c>
      <c r="B22" s="46" t="inlineStr">
        <is>
          <t>Notion subscription</t>
        </is>
      </c>
      <c r="C22" s="47" t="n">
        <v>-29</v>
      </c>
      <c r="D22" s="46" t="n"/>
      <c r="E22" s="46" t="inlineStr">
        <is>
          <t>Software</t>
        </is>
      </c>
      <c r="F22" s="46" t="n"/>
      <c r="G22" s="48" t="n"/>
      <c r="H22" s="48" t="n"/>
      <c r="I22" s="49">
        <f>IF(A22="","",IF(H22&lt;&gt;"","M|"&amp;TRIM(H22),IF(AND(MatchMode="Reference / ID only",D22=""),"U|"&amp;ROW(),IF(D22&lt;&gt;"","R|"&amp;TRIM(D22),IF(MatchMode="Amount only","A|"&amp;TEXT(ROUND(C22,2),"0.00"),IF(MatchMode="Amount (tolerance)","T|"&amp;TEXT(ROUND(C22/MAX(N(Tolerance),0.0001),0),"0"),IF(MatchMode="Date + amount (tolerance)","DT|"&amp;TEXT(A22,"yyyy-mm-dd")&amp;"|"&amp;TEXT(ROUND(C22/MAX(N(Tolerance),0.0001),0),"0"),IF(MatchMode="Description (exact)","S|"&amp;LOWER(TRIM(B22)),IF(MatchMode="Reference / ID only","U|"&amp;ROW(),"DA|"&amp;TEXT(A22,"yyyy-mm-dd")&amp;"|"&amp;TEXT(ROUND(C22,2),"0.00"))))))))))</f>
        <v/>
      </c>
      <c r="J22" s="50">
        <f>IF(I22="","",COUNTIF($I$5:I22,I22))</f>
        <v/>
      </c>
      <c r="K22" s="50">
        <f>IF(P22="","",IFERROR(MATCH(P22,ListA_Combo,0)+4,""))</f>
        <v/>
      </c>
      <c r="L22" s="51">
        <f>IF(A22="","",IF(K22="","Unmatched",IF(ABS(C22-M22)&lt;=MAX(N(Tolerance),0),"Matched","Difference")))</f>
        <v/>
      </c>
      <c r="M22" s="52">
        <f>IF(K22="","",INDEX('List A'!$C$5:$C$204,K22-4))</f>
        <v/>
      </c>
      <c r="N22" s="52">
        <f>IF(K22="","",C22-M22)</f>
        <v/>
      </c>
      <c r="O22" s="53">
        <f>IF(OR(A22="",K22=""),"",IF(H22&lt;&gt;"","Manual pair",IF(D22&lt;&gt;"","Reference / ID",MatchMode)))</f>
        <v/>
      </c>
      <c r="P22" s="54">
        <f>IF(I22="","",I22&amp;"|"&amp;J22)</f>
        <v/>
      </c>
      <c r="Q22" s="54">
        <f>IF(L22="Matched",COUNTIF($L$5:L22,"Matched"),"")</f>
        <v/>
      </c>
      <c r="R22" s="54">
        <f>IF(L22="Unmatched",COUNTIF($L$5:L22,"Unmatched"),"")</f>
        <v/>
      </c>
      <c r="S22" s="54">
        <f>IF(L22="Difference",COUNTIF($L$5:L22,"Difference"),"")</f>
        <v/>
      </c>
      <c r="T22" s="55">
        <f>IF(L22="Difference",ABS(N22),0)</f>
        <v/>
      </c>
    </row>
    <row r="23" ht="17" customHeight="1">
      <c r="A23" s="86" t="n">
        <v>46260</v>
      </c>
      <c r="B23" s="46" t="inlineStr">
        <is>
          <t>Customer deposit</t>
        </is>
      </c>
      <c r="C23" s="47" t="n">
        <v>950</v>
      </c>
      <c r="D23" s="46" t="n"/>
      <c r="E23" s="46" t="inlineStr">
        <is>
          <t>Income</t>
        </is>
      </c>
      <c r="F23" s="46" t="n"/>
      <c r="G23" s="48" t="n"/>
      <c r="H23" s="48" t="n"/>
      <c r="I23" s="49">
        <f>IF(A23="","",IF(H23&lt;&gt;"","M|"&amp;TRIM(H23),IF(AND(MatchMode="Reference / ID only",D23=""),"U|"&amp;ROW(),IF(D23&lt;&gt;"","R|"&amp;TRIM(D23),IF(MatchMode="Amount only","A|"&amp;TEXT(ROUND(C23,2),"0.00"),IF(MatchMode="Amount (tolerance)","T|"&amp;TEXT(ROUND(C23/MAX(N(Tolerance),0.0001),0),"0"),IF(MatchMode="Date + amount (tolerance)","DT|"&amp;TEXT(A23,"yyyy-mm-dd")&amp;"|"&amp;TEXT(ROUND(C23/MAX(N(Tolerance),0.0001),0),"0"),IF(MatchMode="Description (exact)","S|"&amp;LOWER(TRIM(B23)),IF(MatchMode="Reference / ID only","U|"&amp;ROW(),"DA|"&amp;TEXT(A23,"yyyy-mm-dd")&amp;"|"&amp;TEXT(ROUND(C23,2),"0.00"))))))))))</f>
        <v/>
      </c>
      <c r="J23" s="50">
        <f>IF(I23="","",COUNTIF($I$5:I23,I23))</f>
        <v/>
      </c>
      <c r="K23" s="50">
        <f>IF(P23="","",IFERROR(MATCH(P23,ListA_Combo,0)+4,""))</f>
        <v/>
      </c>
      <c r="L23" s="51">
        <f>IF(A23="","",IF(K23="","Unmatched",IF(ABS(C23-M23)&lt;=MAX(N(Tolerance),0),"Matched","Difference")))</f>
        <v/>
      </c>
      <c r="M23" s="52">
        <f>IF(K23="","",INDEX('List A'!$C$5:$C$204,K23-4))</f>
        <v/>
      </c>
      <c r="N23" s="52">
        <f>IF(K23="","",C23-M23)</f>
        <v/>
      </c>
      <c r="O23" s="53">
        <f>IF(OR(A23="",K23=""),"",IF(H23&lt;&gt;"","Manual pair",IF(D23&lt;&gt;"","Reference / ID",MatchMode)))</f>
        <v/>
      </c>
      <c r="P23" s="54">
        <f>IF(I23="","",I23&amp;"|"&amp;J23)</f>
        <v/>
      </c>
      <c r="Q23" s="54">
        <f>IF(L23="Matched",COUNTIF($L$5:L23,"Matched"),"")</f>
        <v/>
      </c>
      <c r="R23" s="54">
        <f>IF(L23="Unmatched",COUNTIF($L$5:L23,"Unmatched"),"")</f>
        <v/>
      </c>
      <c r="S23" s="54">
        <f>IF(L23="Difference",COUNTIF($L$5:L23,"Difference"),"")</f>
        <v/>
      </c>
      <c r="T23" s="55">
        <f>IF(L23="Difference",ABS(N23),0)</f>
        <v/>
      </c>
    </row>
    <row r="24" ht="17" customHeight="1">
      <c r="A24" s="86" t="n">
        <v>46262</v>
      </c>
      <c r="B24" s="46" t="inlineStr">
        <is>
          <t>Phone / internet</t>
        </is>
      </c>
      <c r="C24" s="47" t="n">
        <v>-86</v>
      </c>
      <c r="D24" s="46" t="n"/>
      <c r="E24" s="46" t="inlineStr">
        <is>
          <t>Utilities</t>
        </is>
      </c>
      <c r="F24" s="46" t="n"/>
      <c r="G24" s="48" t="n"/>
      <c r="H24" s="48" t="n"/>
      <c r="I24" s="49">
        <f>IF(A24="","",IF(H24&lt;&gt;"","M|"&amp;TRIM(H24),IF(AND(MatchMode="Reference / ID only",D24=""),"U|"&amp;ROW(),IF(D24&lt;&gt;"","R|"&amp;TRIM(D24),IF(MatchMode="Amount only","A|"&amp;TEXT(ROUND(C24,2),"0.00"),IF(MatchMode="Amount (tolerance)","T|"&amp;TEXT(ROUND(C24/MAX(N(Tolerance),0.0001),0),"0"),IF(MatchMode="Date + amount (tolerance)","DT|"&amp;TEXT(A24,"yyyy-mm-dd")&amp;"|"&amp;TEXT(ROUND(C24/MAX(N(Tolerance),0.0001),0),"0"),IF(MatchMode="Description (exact)","S|"&amp;LOWER(TRIM(B24)),IF(MatchMode="Reference / ID only","U|"&amp;ROW(),"DA|"&amp;TEXT(A24,"yyyy-mm-dd")&amp;"|"&amp;TEXT(ROUND(C24,2),"0.00"))))))))))</f>
        <v/>
      </c>
      <c r="J24" s="50">
        <f>IF(I24="","",COUNTIF($I$5:I24,I24))</f>
        <v/>
      </c>
      <c r="K24" s="50">
        <f>IF(P24="","",IFERROR(MATCH(P24,ListA_Combo,0)+4,""))</f>
        <v/>
      </c>
      <c r="L24" s="51">
        <f>IF(A24="","",IF(K24="","Unmatched",IF(ABS(C24-M24)&lt;=MAX(N(Tolerance),0),"Matched","Difference")))</f>
        <v/>
      </c>
      <c r="M24" s="52">
        <f>IF(K24="","",INDEX('List A'!$C$5:$C$204,K24-4))</f>
        <v/>
      </c>
      <c r="N24" s="52">
        <f>IF(K24="","",C24-M24)</f>
        <v/>
      </c>
      <c r="O24" s="53">
        <f>IF(OR(A24="",K24=""),"",IF(H24&lt;&gt;"","Manual pair",IF(D24&lt;&gt;"","Reference / ID",MatchMode)))</f>
        <v/>
      </c>
      <c r="P24" s="54">
        <f>IF(I24="","",I24&amp;"|"&amp;J24)</f>
        <v/>
      </c>
      <c r="Q24" s="54">
        <f>IF(L24="Matched",COUNTIF($L$5:L24,"Matched"),"")</f>
        <v/>
      </c>
      <c r="R24" s="54">
        <f>IF(L24="Unmatched",COUNTIF($L$5:L24,"Unmatched"),"")</f>
        <v/>
      </c>
      <c r="S24" s="54">
        <f>IF(L24="Difference",COUNTIF($L$5:L24,"Difference"),"")</f>
        <v/>
      </c>
      <c r="T24" s="55">
        <f>IF(L24="Difference",ABS(N24),0)</f>
        <v/>
      </c>
    </row>
    <row r="25" ht="17" customHeight="1">
      <c r="A25" s="86" t="n"/>
      <c r="B25" s="46" t="n"/>
      <c r="C25" s="47" t="n"/>
      <c r="D25" s="46" t="n"/>
      <c r="E25" s="46" t="n"/>
      <c r="F25" s="46" t="n"/>
      <c r="G25" s="48" t="n"/>
      <c r="H25" s="48" t="n"/>
      <c r="I25" s="49">
        <f>IF(A25="","",IF(H25&lt;&gt;"","M|"&amp;TRIM(H25),IF(AND(MatchMode="Reference / ID only",D25=""),"U|"&amp;ROW(),IF(D25&lt;&gt;"","R|"&amp;TRIM(D25),IF(MatchMode="Amount only","A|"&amp;TEXT(ROUND(C25,2),"0.00"),IF(MatchMode="Amount (tolerance)","T|"&amp;TEXT(ROUND(C25/MAX(N(Tolerance),0.0001),0),"0"),IF(MatchMode="Date + amount (tolerance)","DT|"&amp;TEXT(A25,"yyyy-mm-dd")&amp;"|"&amp;TEXT(ROUND(C25/MAX(N(Tolerance),0.0001),0),"0"),IF(MatchMode="Description (exact)","S|"&amp;LOWER(TRIM(B25)),IF(MatchMode="Reference / ID only","U|"&amp;ROW(),"DA|"&amp;TEXT(A25,"yyyy-mm-dd")&amp;"|"&amp;TEXT(ROUND(C25,2),"0.00"))))))))))</f>
        <v/>
      </c>
      <c r="J25" s="50">
        <f>IF(I25="","",COUNTIF($I$5:I25,I25))</f>
        <v/>
      </c>
      <c r="K25" s="50">
        <f>IF(P25="","",IFERROR(MATCH(P25,ListA_Combo,0)+4,""))</f>
        <v/>
      </c>
      <c r="L25" s="51">
        <f>IF(A25="","",IF(K25="","Unmatched",IF(ABS(C25-M25)&lt;=MAX(N(Tolerance),0),"Matched","Difference")))</f>
        <v/>
      </c>
      <c r="M25" s="52">
        <f>IF(K25="","",INDEX('List A'!$C$5:$C$204,K25-4))</f>
        <v/>
      </c>
      <c r="N25" s="52">
        <f>IF(K25="","",C25-M25)</f>
        <v/>
      </c>
      <c r="O25" s="53">
        <f>IF(OR(A25="",K25=""),"",IF(H25&lt;&gt;"","Manual pair",IF(D25&lt;&gt;"","Reference / ID",MatchMode)))</f>
        <v/>
      </c>
      <c r="P25" s="54">
        <f>IF(I25="","",I25&amp;"|"&amp;J25)</f>
        <v/>
      </c>
      <c r="Q25" s="54">
        <f>IF(L25="Matched",COUNTIF($L$5:L25,"Matched"),"")</f>
        <v/>
      </c>
      <c r="R25" s="54">
        <f>IF(L25="Unmatched",COUNTIF($L$5:L25,"Unmatched"),"")</f>
        <v/>
      </c>
      <c r="S25" s="54">
        <f>IF(L25="Difference",COUNTIF($L$5:L25,"Difference"),"")</f>
        <v/>
      </c>
      <c r="T25" s="55">
        <f>IF(L25="Difference",ABS(N25),0)</f>
        <v/>
      </c>
    </row>
    <row r="26" ht="17" customHeight="1">
      <c r="A26" s="86" t="n"/>
      <c r="B26" s="46" t="n"/>
      <c r="C26" s="47" t="n"/>
      <c r="D26" s="46" t="n"/>
      <c r="E26" s="46" t="n"/>
      <c r="F26" s="46" t="n"/>
      <c r="G26" s="48" t="n"/>
      <c r="H26" s="48" t="n"/>
      <c r="I26" s="49">
        <f>IF(A26="","",IF(H26&lt;&gt;"","M|"&amp;TRIM(H26),IF(AND(MatchMode="Reference / ID only",D26=""),"U|"&amp;ROW(),IF(D26&lt;&gt;"","R|"&amp;TRIM(D26),IF(MatchMode="Amount only","A|"&amp;TEXT(ROUND(C26,2),"0.00"),IF(MatchMode="Amount (tolerance)","T|"&amp;TEXT(ROUND(C26/MAX(N(Tolerance),0.0001),0),"0"),IF(MatchMode="Date + amount (tolerance)","DT|"&amp;TEXT(A26,"yyyy-mm-dd")&amp;"|"&amp;TEXT(ROUND(C26/MAX(N(Tolerance),0.0001),0),"0"),IF(MatchMode="Description (exact)","S|"&amp;LOWER(TRIM(B26)),IF(MatchMode="Reference / ID only","U|"&amp;ROW(),"DA|"&amp;TEXT(A26,"yyyy-mm-dd")&amp;"|"&amp;TEXT(ROUND(C26,2),"0.00"))))))))))</f>
        <v/>
      </c>
      <c r="J26" s="50">
        <f>IF(I26="","",COUNTIF($I$5:I26,I26))</f>
        <v/>
      </c>
      <c r="K26" s="50">
        <f>IF(P26="","",IFERROR(MATCH(P26,ListA_Combo,0)+4,""))</f>
        <v/>
      </c>
      <c r="L26" s="51">
        <f>IF(A26="","",IF(K26="","Unmatched",IF(ABS(C26-M26)&lt;=MAX(N(Tolerance),0),"Matched","Difference")))</f>
        <v/>
      </c>
      <c r="M26" s="52">
        <f>IF(K26="","",INDEX('List A'!$C$5:$C$204,K26-4))</f>
        <v/>
      </c>
      <c r="N26" s="52">
        <f>IF(K26="","",C26-M26)</f>
        <v/>
      </c>
      <c r="O26" s="53">
        <f>IF(OR(A26="",K26=""),"",IF(H26&lt;&gt;"","Manual pair",IF(D26&lt;&gt;"","Reference / ID",MatchMode)))</f>
        <v/>
      </c>
      <c r="P26" s="54">
        <f>IF(I26="","",I26&amp;"|"&amp;J26)</f>
        <v/>
      </c>
      <c r="Q26" s="54">
        <f>IF(L26="Matched",COUNTIF($L$5:L26,"Matched"),"")</f>
        <v/>
      </c>
      <c r="R26" s="54">
        <f>IF(L26="Unmatched",COUNTIF($L$5:L26,"Unmatched"),"")</f>
        <v/>
      </c>
      <c r="S26" s="54">
        <f>IF(L26="Difference",COUNTIF($L$5:L26,"Difference"),"")</f>
        <v/>
      </c>
      <c r="T26" s="55">
        <f>IF(L26="Difference",ABS(N26),0)</f>
        <v/>
      </c>
    </row>
    <row r="27" ht="17" customHeight="1">
      <c r="A27" s="86" t="n"/>
      <c r="B27" s="46" t="n"/>
      <c r="C27" s="47" t="n"/>
      <c r="D27" s="46" t="n"/>
      <c r="E27" s="46" t="n"/>
      <c r="F27" s="46" t="n"/>
      <c r="G27" s="48" t="n"/>
      <c r="H27" s="48" t="n"/>
      <c r="I27" s="49">
        <f>IF(A27="","",IF(H27&lt;&gt;"","M|"&amp;TRIM(H27),IF(AND(MatchMode="Reference / ID only",D27=""),"U|"&amp;ROW(),IF(D27&lt;&gt;"","R|"&amp;TRIM(D27),IF(MatchMode="Amount only","A|"&amp;TEXT(ROUND(C27,2),"0.00"),IF(MatchMode="Amount (tolerance)","T|"&amp;TEXT(ROUND(C27/MAX(N(Tolerance),0.0001),0),"0"),IF(MatchMode="Date + amount (tolerance)","DT|"&amp;TEXT(A27,"yyyy-mm-dd")&amp;"|"&amp;TEXT(ROUND(C27/MAX(N(Tolerance),0.0001),0),"0"),IF(MatchMode="Description (exact)","S|"&amp;LOWER(TRIM(B27)),IF(MatchMode="Reference / ID only","U|"&amp;ROW(),"DA|"&amp;TEXT(A27,"yyyy-mm-dd")&amp;"|"&amp;TEXT(ROUND(C27,2),"0.00"))))))))))</f>
        <v/>
      </c>
      <c r="J27" s="50">
        <f>IF(I27="","",COUNTIF($I$5:I27,I27))</f>
        <v/>
      </c>
      <c r="K27" s="50">
        <f>IF(P27="","",IFERROR(MATCH(P27,ListA_Combo,0)+4,""))</f>
        <v/>
      </c>
      <c r="L27" s="51">
        <f>IF(A27="","",IF(K27="","Unmatched",IF(ABS(C27-M27)&lt;=MAX(N(Tolerance),0),"Matched","Difference")))</f>
        <v/>
      </c>
      <c r="M27" s="52">
        <f>IF(K27="","",INDEX('List A'!$C$5:$C$204,K27-4))</f>
        <v/>
      </c>
      <c r="N27" s="52">
        <f>IF(K27="","",C27-M27)</f>
        <v/>
      </c>
      <c r="O27" s="53">
        <f>IF(OR(A27="",K27=""),"",IF(H27&lt;&gt;"","Manual pair",IF(D27&lt;&gt;"","Reference / ID",MatchMode)))</f>
        <v/>
      </c>
      <c r="P27" s="54">
        <f>IF(I27="","",I27&amp;"|"&amp;J27)</f>
        <v/>
      </c>
      <c r="Q27" s="54">
        <f>IF(L27="Matched",COUNTIF($L$5:L27,"Matched"),"")</f>
        <v/>
      </c>
      <c r="R27" s="54">
        <f>IF(L27="Unmatched",COUNTIF($L$5:L27,"Unmatched"),"")</f>
        <v/>
      </c>
      <c r="S27" s="54">
        <f>IF(L27="Difference",COUNTIF($L$5:L27,"Difference"),"")</f>
        <v/>
      </c>
      <c r="T27" s="55">
        <f>IF(L27="Difference",ABS(N27),0)</f>
        <v/>
      </c>
    </row>
    <row r="28" ht="17" customHeight="1">
      <c r="A28" s="86" t="n"/>
      <c r="B28" s="46" t="n"/>
      <c r="C28" s="47" t="n"/>
      <c r="D28" s="46" t="n"/>
      <c r="E28" s="46" t="n"/>
      <c r="F28" s="46" t="n"/>
      <c r="G28" s="48" t="n"/>
      <c r="H28" s="48" t="n"/>
      <c r="I28" s="49">
        <f>IF(A28="","",IF(H28&lt;&gt;"","M|"&amp;TRIM(H28),IF(AND(MatchMode="Reference / ID only",D28=""),"U|"&amp;ROW(),IF(D28&lt;&gt;"","R|"&amp;TRIM(D28),IF(MatchMode="Amount only","A|"&amp;TEXT(ROUND(C28,2),"0.00"),IF(MatchMode="Amount (tolerance)","T|"&amp;TEXT(ROUND(C28/MAX(N(Tolerance),0.0001),0),"0"),IF(MatchMode="Date + amount (tolerance)","DT|"&amp;TEXT(A28,"yyyy-mm-dd")&amp;"|"&amp;TEXT(ROUND(C28/MAX(N(Tolerance),0.0001),0),"0"),IF(MatchMode="Description (exact)","S|"&amp;LOWER(TRIM(B28)),IF(MatchMode="Reference / ID only","U|"&amp;ROW(),"DA|"&amp;TEXT(A28,"yyyy-mm-dd")&amp;"|"&amp;TEXT(ROUND(C28,2),"0.00"))))))))))</f>
        <v/>
      </c>
      <c r="J28" s="50">
        <f>IF(I28="","",COUNTIF($I$5:I28,I28))</f>
        <v/>
      </c>
      <c r="K28" s="50">
        <f>IF(P28="","",IFERROR(MATCH(P28,ListA_Combo,0)+4,""))</f>
        <v/>
      </c>
      <c r="L28" s="51">
        <f>IF(A28="","",IF(K28="","Unmatched",IF(ABS(C28-M28)&lt;=MAX(N(Tolerance),0),"Matched","Difference")))</f>
        <v/>
      </c>
      <c r="M28" s="52">
        <f>IF(K28="","",INDEX('List A'!$C$5:$C$204,K28-4))</f>
        <v/>
      </c>
      <c r="N28" s="52">
        <f>IF(K28="","",C28-M28)</f>
        <v/>
      </c>
      <c r="O28" s="53">
        <f>IF(OR(A28="",K28=""),"",IF(H28&lt;&gt;"","Manual pair",IF(D28&lt;&gt;"","Reference / ID",MatchMode)))</f>
        <v/>
      </c>
      <c r="P28" s="54">
        <f>IF(I28="","",I28&amp;"|"&amp;J28)</f>
        <v/>
      </c>
      <c r="Q28" s="54">
        <f>IF(L28="Matched",COUNTIF($L$5:L28,"Matched"),"")</f>
        <v/>
      </c>
      <c r="R28" s="54">
        <f>IF(L28="Unmatched",COUNTIF($L$5:L28,"Unmatched"),"")</f>
        <v/>
      </c>
      <c r="S28" s="54">
        <f>IF(L28="Difference",COUNTIF($L$5:L28,"Difference"),"")</f>
        <v/>
      </c>
      <c r="T28" s="55">
        <f>IF(L28="Difference",ABS(N28),0)</f>
        <v/>
      </c>
    </row>
    <row r="29" ht="17" customHeight="1">
      <c r="A29" s="86" t="n"/>
      <c r="B29" s="46" t="n"/>
      <c r="C29" s="47" t="n"/>
      <c r="D29" s="46" t="n"/>
      <c r="E29" s="46" t="n"/>
      <c r="F29" s="46" t="n"/>
      <c r="G29" s="48" t="n"/>
      <c r="H29" s="48" t="n"/>
      <c r="I29" s="49">
        <f>IF(A29="","",IF(H29&lt;&gt;"","M|"&amp;TRIM(H29),IF(AND(MatchMode="Reference / ID only",D29=""),"U|"&amp;ROW(),IF(D29&lt;&gt;"","R|"&amp;TRIM(D29),IF(MatchMode="Amount only","A|"&amp;TEXT(ROUND(C29,2),"0.00"),IF(MatchMode="Amount (tolerance)","T|"&amp;TEXT(ROUND(C29/MAX(N(Tolerance),0.0001),0),"0"),IF(MatchMode="Date + amount (tolerance)","DT|"&amp;TEXT(A29,"yyyy-mm-dd")&amp;"|"&amp;TEXT(ROUND(C29/MAX(N(Tolerance),0.0001),0),"0"),IF(MatchMode="Description (exact)","S|"&amp;LOWER(TRIM(B29)),IF(MatchMode="Reference / ID only","U|"&amp;ROW(),"DA|"&amp;TEXT(A29,"yyyy-mm-dd")&amp;"|"&amp;TEXT(ROUND(C29,2),"0.00"))))))))))</f>
        <v/>
      </c>
      <c r="J29" s="50">
        <f>IF(I29="","",COUNTIF($I$5:I29,I29))</f>
        <v/>
      </c>
      <c r="K29" s="50">
        <f>IF(P29="","",IFERROR(MATCH(P29,ListA_Combo,0)+4,""))</f>
        <v/>
      </c>
      <c r="L29" s="51">
        <f>IF(A29="","",IF(K29="","Unmatched",IF(ABS(C29-M29)&lt;=MAX(N(Tolerance),0),"Matched","Difference")))</f>
        <v/>
      </c>
      <c r="M29" s="52">
        <f>IF(K29="","",INDEX('List A'!$C$5:$C$204,K29-4))</f>
        <v/>
      </c>
      <c r="N29" s="52">
        <f>IF(K29="","",C29-M29)</f>
        <v/>
      </c>
      <c r="O29" s="53">
        <f>IF(OR(A29="",K29=""),"",IF(H29&lt;&gt;"","Manual pair",IF(D29&lt;&gt;"","Reference / ID",MatchMode)))</f>
        <v/>
      </c>
      <c r="P29" s="54">
        <f>IF(I29="","",I29&amp;"|"&amp;J29)</f>
        <v/>
      </c>
      <c r="Q29" s="54">
        <f>IF(L29="Matched",COUNTIF($L$5:L29,"Matched"),"")</f>
        <v/>
      </c>
      <c r="R29" s="54">
        <f>IF(L29="Unmatched",COUNTIF($L$5:L29,"Unmatched"),"")</f>
        <v/>
      </c>
      <c r="S29" s="54">
        <f>IF(L29="Difference",COUNTIF($L$5:L29,"Difference"),"")</f>
        <v/>
      </c>
      <c r="T29" s="55">
        <f>IF(L29="Difference",ABS(N29),0)</f>
        <v/>
      </c>
    </row>
    <row r="30" ht="17" customHeight="1">
      <c r="A30" s="86" t="n"/>
      <c r="B30" s="46" t="n"/>
      <c r="C30" s="47" t="n"/>
      <c r="D30" s="46" t="n"/>
      <c r="E30" s="46" t="n"/>
      <c r="F30" s="46" t="n"/>
      <c r="G30" s="48" t="n"/>
      <c r="H30" s="48" t="n"/>
      <c r="I30" s="49">
        <f>IF(A30="","",IF(H30&lt;&gt;"","M|"&amp;TRIM(H30),IF(AND(MatchMode="Reference / ID only",D30=""),"U|"&amp;ROW(),IF(D30&lt;&gt;"","R|"&amp;TRIM(D30),IF(MatchMode="Amount only","A|"&amp;TEXT(ROUND(C30,2),"0.00"),IF(MatchMode="Amount (tolerance)","T|"&amp;TEXT(ROUND(C30/MAX(N(Tolerance),0.0001),0),"0"),IF(MatchMode="Date + amount (tolerance)","DT|"&amp;TEXT(A30,"yyyy-mm-dd")&amp;"|"&amp;TEXT(ROUND(C30/MAX(N(Tolerance),0.0001),0),"0"),IF(MatchMode="Description (exact)","S|"&amp;LOWER(TRIM(B30)),IF(MatchMode="Reference / ID only","U|"&amp;ROW(),"DA|"&amp;TEXT(A30,"yyyy-mm-dd")&amp;"|"&amp;TEXT(ROUND(C30,2),"0.00"))))))))))</f>
        <v/>
      </c>
      <c r="J30" s="50">
        <f>IF(I30="","",COUNTIF($I$5:I30,I30))</f>
        <v/>
      </c>
      <c r="K30" s="50">
        <f>IF(P30="","",IFERROR(MATCH(P30,ListA_Combo,0)+4,""))</f>
        <v/>
      </c>
      <c r="L30" s="51">
        <f>IF(A30="","",IF(K30="","Unmatched",IF(ABS(C30-M30)&lt;=MAX(N(Tolerance),0),"Matched","Difference")))</f>
        <v/>
      </c>
      <c r="M30" s="52">
        <f>IF(K30="","",INDEX('List A'!$C$5:$C$204,K30-4))</f>
        <v/>
      </c>
      <c r="N30" s="52">
        <f>IF(K30="","",C30-M30)</f>
        <v/>
      </c>
      <c r="O30" s="53">
        <f>IF(OR(A30="",K30=""),"",IF(H30&lt;&gt;"","Manual pair",IF(D30&lt;&gt;"","Reference / ID",MatchMode)))</f>
        <v/>
      </c>
      <c r="P30" s="54">
        <f>IF(I30="","",I30&amp;"|"&amp;J30)</f>
        <v/>
      </c>
      <c r="Q30" s="54">
        <f>IF(L30="Matched",COUNTIF($L$5:L30,"Matched"),"")</f>
        <v/>
      </c>
      <c r="R30" s="54">
        <f>IF(L30="Unmatched",COUNTIF($L$5:L30,"Unmatched"),"")</f>
        <v/>
      </c>
      <c r="S30" s="54">
        <f>IF(L30="Difference",COUNTIF($L$5:L30,"Difference"),"")</f>
        <v/>
      </c>
      <c r="T30" s="55">
        <f>IF(L30="Difference",ABS(N30),0)</f>
        <v/>
      </c>
    </row>
    <row r="31" ht="17" customHeight="1">
      <c r="A31" s="86" t="n"/>
      <c r="B31" s="46" t="n"/>
      <c r="C31" s="47" t="n"/>
      <c r="D31" s="46" t="n"/>
      <c r="E31" s="46" t="n"/>
      <c r="F31" s="46" t="n"/>
      <c r="G31" s="48" t="n"/>
      <c r="H31" s="48" t="n"/>
      <c r="I31" s="49">
        <f>IF(A31="","",IF(H31&lt;&gt;"","M|"&amp;TRIM(H31),IF(AND(MatchMode="Reference / ID only",D31=""),"U|"&amp;ROW(),IF(D31&lt;&gt;"","R|"&amp;TRIM(D31),IF(MatchMode="Amount only","A|"&amp;TEXT(ROUND(C31,2),"0.00"),IF(MatchMode="Amount (tolerance)","T|"&amp;TEXT(ROUND(C31/MAX(N(Tolerance),0.0001),0),"0"),IF(MatchMode="Date + amount (tolerance)","DT|"&amp;TEXT(A31,"yyyy-mm-dd")&amp;"|"&amp;TEXT(ROUND(C31/MAX(N(Tolerance),0.0001),0),"0"),IF(MatchMode="Description (exact)","S|"&amp;LOWER(TRIM(B31)),IF(MatchMode="Reference / ID only","U|"&amp;ROW(),"DA|"&amp;TEXT(A31,"yyyy-mm-dd")&amp;"|"&amp;TEXT(ROUND(C31,2),"0.00"))))))))))</f>
        <v/>
      </c>
      <c r="J31" s="50">
        <f>IF(I31="","",COUNTIF($I$5:I31,I31))</f>
        <v/>
      </c>
      <c r="K31" s="50">
        <f>IF(P31="","",IFERROR(MATCH(P31,ListA_Combo,0)+4,""))</f>
        <v/>
      </c>
      <c r="L31" s="51">
        <f>IF(A31="","",IF(K31="","Unmatched",IF(ABS(C31-M31)&lt;=MAX(N(Tolerance),0),"Matched","Difference")))</f>
        <v/>
      </c>
      <c r="M31" s="52">
        <f>IF(K31="","",INDEX('List A'!$C$5:$C$204,K31-4))</f>
        <v/>
      </c>
      <c r="N31" s="52">
        <f>IF(K31="","",C31-M31)</f>
        <v/>
      </c>
      <c r="O31" s="53">
        <f>IF(OR(A31="",K31=""),"",IF(H31&lt;&gt;"","Manual pair",IF(D31&lt;&gt;"","Reference / ID",MatchMode)))</f>
        <v/>
      </c>
      <c r="P31" s="54">
        <f>IF(I31="","",I31&amp;"|"&amp;J31)</f>
        <v/>
      </c>
      <c r="Q31" s="54">
        <f>IF(L31="Matched",COUNTIF($L$5:L31,"Matched"),"")</f>
        <v/>
      </c>
      <c r="R31" s="54">
        <f>IF(L31="Unmatched",COUNTIF($L$5:L31,"Unmatched"),"")</f>
        <v/>
      </c>
      <c r="S31" s="54">
        <f>IF(L31="Difference",COUNTIF($L$5:L31,"Difference"),"")</f>
        <v/>
      </c>
      <c r="T31" s="55">
        <f>IF(L31="Difference",ABS(N31),0)</f>
        <v/>
      </c>
    </row>
    <row r="32" ht="17" customHeight="1">
      <c r="A32" s="86" t="n"/>
      <c r="B32" s="46" t="n"/>
      <c r="C32" s="47" t="n"/>
      <c r="D32" s="46" t="n"/>
      <c r="E32" s="46" t="n"/>
      <c r="F32" s="46" t="n"/>
      <c r="G32" s="48" t="n"/>
      <c r="H32" s="48" t="n"/>
      <c r="I32" s="49">
        <f>IF(A32="","",IF(H32&lt;&gt;"","M|"&amp;TRIM(H32),IF(AND(MatchMode="Reference / ID only",D32=""),"U|"&amp;ROW(),IF(D32&lt;&gt;"","R|"&amp;TRIM(D32),IF(MatchMode="Amount only","A|"&amp;TEXT(ROUND(C32,2),"0.00"),IF(MatchMode="Amount (tolerance)","T|"&amp;TEXT(ROUND(C32/MAX(N(Tolerance),0.0001),0),"0"),IF(MatchMode="Date + amount (tolerance)","DT|"&amp;TEXT(A32,"yyyy-mm-dd")&amp;"|"&amp;TEXT(ROUND(C32/MAX(N(Tolerance),0.0001),0),"0"),IF(MatchMode="Description (exact)","S|"&amp;LOWER(TRIM(B32)),IF(MatchMode="Reference / ID only","U|"&amp;ROW(),"DA|"&amp;TEXT(A32,"yyyy-mm-dd")&amp;"|"&amp;TEXT(ROUND(C32,2),"0.00"))))))))))</f>
        <v/>
      </c>
      <c r="J32" s="50">
        <f>IF(I32="","",COUNTIF($I$5:I32,I32))</f>
        <v/>
      </c>
      <c r="K32" s="50">
        <f>IF(P32="","",IFERROR(MATCH(P32,ListA_Combo,0)+4,""))</f>
        <v/>
      </c>
      <c r="L32" s="51">
        <f>IF(A32="","",IF(K32="","Unmatched",IF(ABS(C32-M32)&lt;=MAX(N(Tolerance),0),"Matched","Difference")))</f>
        <v/>
      </c>
      <c r="M32" s="52">
        <f>IF(K32="","",INDEX('List A'!$C$5:$C$204,K32-4))</f>
        <v/>
      </c>
      <c r="N32" s="52">
        <f>IF(K32="","",C32-M32)</f>
        <v/>
      </c>
      <c r="O32" s="53">
        <f>IF(OR(A32="",K32=""),"",IF(H32&lt;&gt;"","Manual pair",IF(D32&lt;&gt;"","Reference / ID",MatchMode)))</f>
        <v/>
      </c>
      <c r="P32" s="54">
        <f>IF(I32="","",I32&amp;"|"&amp;J32)</f>
        <v/>
      </c>
      <c r="Q32" s="54">
        <f>IF(L32="Matched",COUNTIF($L$5:L32,"Matched"),"")</f>
        <v/>
      </c>
      <c r="R32" s="54">
        <f>IF(L32="Unmatched",COUNTIF($L$5:L32,"Unmatched"),"")</f>
        <v/>
      </c>
      <c r="S32" s="54">
        <f>IF(L32="Difference",COUNTIF($L$5:L32,"Difference"),"")</f>
        <v/>
      </c>
      <c r="T32" s="55">
        <f>IF(L32="Difference",ABS(N32),0)</f>
        <v/>
      </c>
    </row>
    <row r="33" ht="17" customHeight="1">
      <c r="A33" s="86" t="n"/>
      <c r="B33" s="46" t="n"/>
      <c r="C33" s="47" t="n"/>
      <c r="D33" s="46" t="n"/>
      <c r="E33" s="46" t="n"/>
      <c r="F33" s="46" t="n"/>
      <c r="G33" s="48" t="n"/>
      <c r="H33" s="48" t="n"/>
      <c r="I33" s="49">
        <f>IF(A33="","",IF(H33&lt;&gt;"","M|"&amp;TRIM(H33),IF(AND(MatchMode="Reference / ID only",D33=""),"U|"&amp;ROW(),IF(D33&lt;&gt;"","R|"&amp;TRIM(D33),IF(MatchMode="Amount only","A|"&amp;TEXT(ROUND(C33,2),"0.00"),IF(MatchMode="Amount (tolerance)","T|"&amp;TEXT(ROUND(C33/MAX(N(Tolerance),0.0001),0),"0"),IF(MatchMode="Date + amount (tolerance)","DT|"&amp;TEXT(A33,"yyyy-mm-dd")&amp;"|"&amp;TEXT(ROUND(C33/MAX(N(Tolerance),0.0001),0),"0"),IF(MatchMode="Description (exact)","S|"&amp;LOWER(TRIM(B33)),IF(MatchMode="Reference / ID only","U|"&amp;ROW(),"DA|"&amp;TEXT(A33,"yyyy-mm-dd")&amp;"|"&amp;TEXT(ROUND(C33,2),"0.00"))))))))))</f>
        <v/>
      </c>
      <c r="J33" s="50">
        <f>IF(I33="","",COUNTIF($I$5:I33,I33))</f>
        <v/>
      </c>
      <c r="K33" s="50">
        <f>IF(P33="","",IFERROR(MATCH(P33,ListA_Combo,0)+4,""))</f>
        <v/>
      </c>
      <c r="L33" s="51">
        <f>IF(A33="","",IF(K33="","Unmatched",IF(ABS(C33-M33)&lt;=MAX(N(Tolerance),0),"Matched","Difference")))</f>
        <v/>
      </c>
      <c r="M33" s="52">
        <f>IF(K33="","",INDEX('List A'!$C$5:$C$204,K33-4))</f>
        <v/>
      </c>
      <c r="N33" s="52">
        <f>IF(K33="","",C33-M33)</f>
        <v/>
      </c>
      <c r="O33" s="53">
        <f>IF(OR(A33="",K33=""),"",IF(H33&lt;&gt;"","Manual pair",IF(D33&lt;&gt;"","Reference / ID",MatchMode)))</f>
        <v/>
      </c>
      <c r="P33" s="54">
        <f>IF(I33="","",I33&amp;"|"&amp;J33)</f>
        <v/>
      </c>
      <c r="Q33" s="54">
        <f>IF(L33="Matched",COUNTIF($L$5:L33,"Matched"),"")</f>
        <v/>
      </c>
      <c r="R33" s="54">
        <f>IF(L33="Unmatched",COUNTIF($L$5:L33,"Unmatched"),"")</f>
        <v/>
      </c>
      <c r="S33" s="54">
        <f>IF(L33="Difference",COUNTIF($L$5:L33,"Difference"),"")</f>
        <v/>
      </c>
      <c r="T33" s="55">
        <f>IF(L33="Difference",ABS(N33),0)</f>
        <v/>
      </c>
    </row>
    <row r="34" ht="17" customHeight="1">
      <c r="A34" s="86" t="n"/>
      <c r="B34" s="46" t="n"/>
      <c r="C34" s="47" t="n"/>
      <c r="D34" s="46" t="n"/>
      <c r="E34" s="46" t="n"/>
      <c r="F34" s="46" t="n"/>
      <c r="G34" s="48" t="n"/>
      <c r="H34" s="48" t="n"/>
      <c r="I34" s="49">
        <f>IF(A34="","",IF(H34&lt;&gt;"","M|"&amp;TRIM(H34),IF(AND(MatchMode="Reference / ID only",D34=""),"U|"&amp;ROW(),IF(D34&lt;&gt;"","R|"&amp;TRIM(D34),IF(MatchMode="Amount only","A|"&amp;TEXT(ROUND(C34,2),"0.00"),IF(MatchMode="Amount (tolerance)","T|"&amp;TEXT(ROUND(C34/MAX(N(Tolerance),0.0001),0),"0"),IF(MatchMode="Date + amount (tolerance)","DT|"&amp;TEXT(A34,"yyyy-mm-dd")&amp;"|"&amp;TEXT(ROUND(C34/MAX(N(Tolerance),0.0001),0),"0"),IF(MatchMode="Description (exact)","S|"&amp;LOWER(TRIM(B34)),IF(MatchMode="Reference / ID only","U|"&amp;ROW(),"DA|"&amp;TEXT(A34,"yyyy-mm-dd")&amp;"|"&amp;TEXT(ROUND(C34,2),"0.00"))))))))))</f>
        <v/>
      </c>
      <c r="J34" s="50">
        <f>IF(I34="","",COUNTIF($I$5:I34,I34))</f>
        <v/>
      </c>
      <c r="K34" s="50">
        <f>IF(P34="","",IFERROR(MATCH(P34,ListA_Combo,0)+4,""))</f>
        <v/>
      </c>
      <c r="L34" s="51">
        <f>IF(A34="","",IF(K34="","Unmatched",IF(ABS(C34-M34)&lt;=MAX(N(Tolerance),0),"Matched","Difference")))</f>
        <v/>
      </c>
      <c r="M34" s="52">
        <f>IF(K34="","",INDEX('List A'!$C$5:$C$204,K34-4))</f>
        <v/>
      </c>
      <c r="N34" s="52">
        <f>IF(K34="","",C34-M34)</f>
        <v/>
      </c>
      <c r="O34" s="53">
        <f>IF(OR(A34="",K34=""),"",IF(H34&lt;&gt;"","Manual pair",IF(D34&lt;&gt;"","Reference / ID",MatchMode)))</f>
        <v/>
      </c>
      <c r="P34" s="54">
        <f>IF(I34="","",I34&amp;"|"&amp;J34)</f>
        <v/>
      </c>
      <c r="Q34" s="54">
        <f>IF(L34="Matched",COUNTIF($L$5:L34,"Matched"),"")</f>
        <v/>
      </c>
      <c r="R34" s="54">
        <f>IF(L34="Unmatched",COUNTIF($L$5:L34,"Unmatched"),"")</f>
        <v/>
      </c>
      <c r="S34" s="54">
        <f>IF(L34="Difference",COUNTIF($L$5:L34,"Difference"),"")</f>
        <v/>
      </c>
      <c r="T34" s="55">
        <f>IF(L34="Difference",ABS(N34),0)</f>
        <v/>
      </c>
    </row>
    <row r="35" ht="17" customHeight="1">
      <c r="A35" s="86" t="n"/>
      <c r="B35" s="46" t="n"/>
      <c r="C35" s="47" t="n"/>
      <c r="D35" s="46" t="n"/>
      <c r="E35" s="46" t="n"/>
      <c r="F35" s="46" t="n"/>
      <c r="G35" s="48" t="n"/>
      <c r="H35" s="48" t="n"/>
      <c r="I35" s="49">
        <f>IF(A35="","",IF(H35&lt;&gt;"","M|"&amp;TRIM(H35),IF(AND(MatchMode="Reference / ID only",D35=""),"U|"&amp;ROW(),IF(D35&lt;&gt;"","R|"&amp;TRIM(D35),IF(MatchMode="Amount only","A|"&amp;TEXT(ROUND(C35,2),"0.00"),IF(MatchMode="Amount (tolerance)","T|"&amp;TEXT(ROUND(C35/MAX(N(Tolerance),0.0001),0),"0"),IF(MatchMode="Date + amount (tolerance)","DT|"&amp;TEXT(A35,"yyyy-mm-dd")&amp;"|"&amp;TEXT(ROUND(C35/MAX(N(Tolerance),0.0001),0),"0"),IF(MatchMode="Description (exact)","S|"&amp;LOWER(TRIM(B35)),IF(MatchMode="Reference / ID only","U|"&amp;ROW(),"DA|"&amp;TEXT(A35,"yyyy-mm-dd")&amp;"|"&amp;TEXT(ROUND(C35,2),"0.00"))))))))))</f>
        <v/>
      </c>
      <c r="J35" s="50">
        <f>IF(I35="","",COUNTIF($I$5:I35,I35))</f>
        <v/>
      </c>
      <c r="K35" s="50">
        <f>IF(P35="","",IFERROR(MATCH(P35,ListA_Combo,0)+4,""))</f>
        <v/>
      </c>
      <c r="L35" s="51">
        <f>IF(A35="","",IF(K35="","Unmatched",IF(ABS(C35-M35)&lt;=MAX(N(Tolerance),0),"Matched","Difference")))</f>
        <v/>
      </c>
      <c r="M35" s="52">
        <f>IF(K35="","",INDEX('List A'!$C$5:$C$204,K35-4))</f>
        <v/>
      </c>
      <c r="N35" s="52">
        <f>IF(K35="","",C35-M35)</f>
        <v/>
      </c>
      <c r="O35" s="53">
        <f>IF(OR(A35="",K35=""),"",IF(H35&lt;&gt;"","Manual pair",IF(D35&lt;&gt;"","Reference / ID",MatchMode)))</f>
        <v/>
      </c>
      <c r="P35" s="54">
        <f>IF(I35="","",I35&amp;"|"&amp;J35)</f>
        <v/>
      </c>
      <c r="Q35" s="54">
        <f>IF(L35="Matched",COUNTIF($L$5:L35,"Matched"),"")</f>
        <v/>
      </c>
      <c r="R35" s="54">
        <f>IF(L35="Unmatched",COUNTIF($L$5:L35,"Unmatched"),"")</f>
        <v/>
      </c>
      <c r="S35" s="54">
        <f>IF(L35="Difference",COUNTIF($L$5:L35,"Difference"),"")</f>
        <v/>
      </c>
      <c r="T35" s="55">
        <f>IF(L35="Difference",ABS(N35),0)</f>
        <v/>
      </c>
    </row>
    <row r="36" ht="17" customHeight="1">
      <c r="A36" s="86" t="n"/>
      <c r="B36" s="46" t="n"/>
      <c r="C36" s="47" t="n"/>
      <c r="D36" s="46" t="n"/>
      <c r="E36" s="46" t="n"/>
      <c r="F36" s="46" t="n"/>
      <c r="G36" s="48" t="n"/>
      <c r="H36" s="48" t="n"/>
      <c r="I36" s="49">
        <f>IF(A36="","",IF(H36&lt;&gt;"","M|"&amp;TRIM(H36),IF(AND(MatchMode="Reference / ID only",D36=""),"U|"&amp;ROW(),IF(D36&lt;&gt;"","R|"&amp;TRIM(D36),IF(MatchMode="Amount only","A|"&amp;TEXT(ROUND(C36,2),"0.00"),IF(MatchMode="Amount (tolerance)","T|"&amp;TEXT(ROUND(C36/MAX(N(Tolerance),0.0001),0),"0"),IF(MatchMode="Date + amount (tolerance)","DT|"&amp;TEXT(A36,"yyyy-mm-dd")&amp;"|"&amp;TEXT(ROUND(C36/MAX(N(Tolerance),0.0001),0),"0"),IF(MatchMode="Description (exact)","S|"&amp;LOWER(TRIM(B36)),IF(MatchMode="Reference / ID only","U|"&amp;ROW(),"DA|"&amp;TEXT(A36,"yyyy-mm-dd")&amp;"|"&amp;TEXT(ROUND(C36,2),"0.00"))))))))))</f>
        <v/>
      </c>
      <c r="J36" s="50">
        <f>IF(I36="","",COUNTIF($I$5:I36,I36))</f>
        <v/>
      </c>
      <c r="K36" s="50">
        <f>IF(P36="","",IFERROR(MATCH(P36,ListA_Combo,0)+4,""))</f>
        <v/>
      </c>
      <c r="L36" s="51">
        <f>IF(A36="","",IF(K36="","Unmatched",IF(ABS(C36-M36)&lt;=MAX(N(Tolerance),0),"Matched","Difference")))</f>
        <v/>
      </c>
      <c r="M36" s="52">
        <f>IF(K36="","",INDEX('List A'!$C$5:$C$204,K36-4))</f>
        <v/>
      </c>
      <c r="N36" s="52">
        <f>IF(K36="","",C36-M36)</f>
        <v/>
      </c>
      <c r="O36" s="53">
        <f>IF(OR(A36="",K36=""),"",IF(H36&lt;&gt;"","Manual pair",IF(D36&lt;&gt;"","Reference / ID",MatchMode)))</f>
        <v/>
      </c>
      <c r="P36" s="54">
        <f>IF(I36="","",I36&amp;"|"&amp;J36)</f>
        <v/>
      </c>
      <c r="Q36" s="54">
        <f>IF(L36="Matched",COUNTIF($L$5:L36,"Matched"),"")</f>
        <v/>
      </c>
      <c r="R36" s="54">
        <f>IF(L36="Unmatched",COUNTIF($L$5:L36,"Unmatched"),"")</f>
        <v/>
      </c>
      <c r="S36" s="54">
        <f>IF(L36="Difference",COUNTIF($L$5:L36,"Difference"),"")</f>
        <v/>
      </c>
      <c r="T36" s="55">
        <f>IF(L36="Difference",ABS(N36),0)</f>
        <v/>
      </c>
    </row>
    <row r="37" ht="17" customHeight="1">
      <c r="A37" s="86" t="n"/>
      <c r="B37" s="46" t="n"/>
      <c r="C37" s="47" t="n"/>
      <c r="D37" s="46" t="n"/>
      <c r="E37" s="46" t="n"/>
      <c r="F37" s="46" t="n"/>
      <c r="G37" s="48" t="n"/>
      <c r="H37" s="48" t="n"/>
      <c r="I37" s="49">
        <f>IF(A37="","",IF(H37&lt;&gt;"","M|"&amp;TRIM(H37),IF(AND(MatchMode="Reference / ID only",D37=""),"U|"&amp;ROW(),IF(D37&lt;&gt;"","R|"&amp;TRIM(D37),IF(MatchMode="Amount only","A|"&amp;TEXT(ROUND(C37,2),"0.00"),IF(MatchMode="Amount (tolerance)","T|"&amp;TEXT(ROUND(C37/MAX(N(Tolerance),0.0001),0),"0"),IF(MatchMode="Date + amount (tolerance)","DT|"&amp;TEXT(A37,"yyyy-mm-dd")&amp;"|"&amp;TEXT(ROUND(C37/MAX(N(Tolerance),0.0001),0),"0"),IF(MatchMode="Description (exact)","S|"&amp;LOWER(TRIM(B37)),IF(MatchMode="Reference / ID only","U|"&amp;ROW(),"DA|"&amp;TEXT(A37,"yyyy-mm-dd")&amp;"|"&amp;TEXT(ROUND(C37,2),"0.00"))))))))))</f>
        <v/>
      </c>
      <c r="J37" s="50">
        <f>IF(I37="","",COUNTIF($I$5:I37,I37))</f>
        <v/>
      </c>
      <c r="K37" s="50">
        <f>IF(P37="","",IFERROR(MATCH(P37,ListA_Combo,0)+4,""))</f>
        <v/>
      </c>
      <c r="L37" s="51">
        <f>IF(A37="","",IF(K37="","Unmatched",IF(ABS(C37-M37)&lt;=MAX(N(Tolerance),0),"Matched","Difference")))</f>
        <v/>
      </c>
      <c r="M37" s="52">
        <f>IF(K37="","",INDEX('List A'!$C$5:$C$204,K37-4))</f>
        <v/>
      </c>
      <c r="N37" s="52">
        <f>IF(K37="","",C37-M37)</f>
        <v/>
      </c>
      <c r="O37" s="53">
        <f>IF(OR(A37="",K37=""),"",IF(H37&lt;&gt;"","Manual pair",IF(D37&lt;&gt;"","Reference / ID",MatchMode)))</f>
        <v/>
      </c>
      <c r="P37" s="54">
        <f>IF(I37="","",I37&amp;"|"&amp;J37)</f>
        <v/>
      </c>
      <c r="Q37" s="54">
        <f>IF(L37="Matched",COUNTIF($L$5:L37,"Matched"),"")</f>
        <v/>
      </c>
      <c r="R37" s="54">
        <f>IF(L37="Unmatched",COUNTIF($L$5:L37,"Unmatched"),"")</f>
        <v/>
      </c>
      <c r="S37" s="54">
        <f>IF(L37="Difference",COUNTIF($L$5:L37,"Difference"),"")</f>
        <v/>
      </c>
      <c r="T37" s="55">
        <f>IF(L37="Difference",ABS(N37),0)</f>
        <v/>
      </c>
    </row>
    <row r="38" ht="17" customHeight="1">
      <c r="A38" s="86" t="n"/>
      <c r="B38" s="46" t="n"/>
      <c r="C38" s="47" t="n"/>
      <c r="D38" s="46" t="n"/>
      <c r="E38" s="46" t="n"/>
      <c r="F38" s="46" t="n"/>
      <c r="G38" s="48" t="n"/>
      <c r="H38" s="48" t="n"/>
      <c r="I38" s="49">
        <f>IF(A38="","",IF(H38&lt;&gt;"","M|"&amp;TRIM(H38),IF(AND(MatchMode="Reference / ID only",D38=""),"U|"&amp;ROW(),IF(D38&lt;&gt;"","R|"&amp;TRIM(D38),IF(MatchMode="Amount only","A|"&amp;TEXT(ROUND(C38,2),"0.00"),IF(MatchMode="Amount (tolerance)","T|"&amp;TEXT(ROUND(C38/MAX(N(Tolerance),0.0001),0),"0"),IF(MatchMode="Date + amount (tolerance)","DT|"&amp;TEXT(A38,"yyyy-mm-dd")&amp;"|"&amp;TEXT(ROUND(C38/MAX(N(Tolerance),0.0001),0),"0"),IF(MatchMode="Description (exact)","S|"&amp;LOWER(TRIM(B38)),IF(MatchMode="Reference / ID only","U|"&amp;ROW(),"DA|"&amp;TEXT(A38,"yyyy-mm-dd")&amp;"|"&amp;TEXT(ROUND(C38,2),"0.00"))))))))))</f>
        <v/>
      </c>
      <c r="J38" s="50">
        <f>IF(I38="","",COUNTIF($I$5:I38,I38))</f>
        <v/>
      </c>
      <c r="K38" s="50">
        <f>IF(P38="","",IFERROR(MATCH(P38,ListA_Combo,0)+4,""))</f>
        <v/>
      </c>
      <c r="L38" s="51">
        <f>IF(A38="","",IF(K38="","Unmatched",IF(ABS(C38-M38)&lt;=MAX(N(Tolerance),0),"Matched","Difference")))</f>
        <v/>
      </c>
      <c r="M38" s="52">
        <f>IF(K38="","",INDEX('List A'!$C$5:$C$204,K38-4))</f>
        <v/>
      </c>
      <c r="N38" s="52">
        <f>IF(K38="","",C38-M38)</f>
        <v/>
      </c>
      <c r="O38" s="53">
        <f>IF(OR(A38="",K38=""),"",IF(H38&lt;&gt;"","Manual pair",IF(D38&lt;&gt;"","Reference / ID",MatchMode)))</f>
        <v/>
      </c>
      <c r="P38" s="54">
        <f>IF(I38="","",I38&amp;"|"&amp;J38)</f>
        <v/>
      </c>
      <c r="Q38" s="54">
        <f>IF(L38="Matched",COUNTIF($L$5:L38,"Matched"),"")</f>
        <v/>
      </c>
      <c r="R38" s="54">
        <f>IF(L38="Unmatched",COUNTIF($L$5:L38,"Unmatched"),"")</f>
        <v/>
      </c>
      <c r="S38" s="54">
        <f>IF(L38="Difference",COUNTIF($L$5:L38,"Difference"),"")</f>
        <v/>
      </c>
      <c r="T38" s="55">
        <f>IF(L38="Difference",ABS(N38),0)</f>
        <v/>
      </c>
    </row>
    <row r="39" ht="17" customHeight="1">
      <c r="A39" s="86" t="n"/>
      <c r="B39" s="46" t="n"/>
      <c r="C39" s="47" t="n"/>
      <c r="D39" s="46" t="n"/>
      <c r="E39" s="46" t="n"/>
      <c r="F39" s="46" t="n"/>
      <c r="G39" s="48" t="n"/>
      <c r="H39" s="48" t="n"/>
      <c r="I39" s="49">
        <f>IF(A39="","",IF(H39&lt;&gt;"","M|"&amp;TRIM(H39),IF(AND(MatchMode="Reference / ID only",D39=""),"U|"&amp;ROW(),IF(D39&lt;&gt;"","R|"&amp;TRIM(D39),IF(MatchMode="Amount only","A|"&amp;TEXT(ROUND(C39,2),"0.00"),IF(MatchMode="Amount (tolerance)","T|"&amp;TEXT(ROUND(C39/MAX(N(Tolerance),0.0001),0),"0"),IF(MatchMode="Date + amount (tolerance)","DT|"&amp;TEXT(A39,"yyyy-mm-dd")&amp;"|"&amp;TEXT(ROUND(C39/MAX(N(Tolerance),0.0001),0),"0"),IF(MatchMode="Description (exact)","S|"&amp;LOWER(TRIM(B39)),IF(MatchMode="Reference / ID only","U|"&amp;ROW(),"DA|"&amp;TEXT(A39,"yyyy-mm-dd")&amp;"|"&amp;TEXT(ROUND(C39,2),"0.00"))))))))))</f>
        <v/>
      </c>
      <c r="J39" s="50">
        <f>IF(I39="","",COUNTIF($I$5:I39,I39))</f>
        <v/>
      </c>
      <c r="K39" s="50">
        <f>IF(P39="","",IFERROR(MATCH(P39,ListA_Combo,0)+4,""))</f>
        <v/>
      </c>
      <c r="L39" s="51">
        <f>IF(A39="","",IF(K39="","Unmatched",IF(ABS(C39-M39)&lt;=MAX(N(Tolerance),0),"Matched","Difference")))</f>
        <v/>
      </c>
      <c r="M39" s="52">
        <f>IF(K39="","",INDEX('List A'!$C$5:$C$204,K39-4))</f>
        <v/>
      </c>
      <c r="N39" s="52">
        <f>IF(K39="","",C39-M39)</f>
        <v/>
      </c>
      <c r="O39" s="53">
        <f>IF(OR(A39="",K39=""),"",IF(H39&lt;&gt;"","Manual pair",IF(D39&lt;&gt;"","Reference / ID",MatchMode)))</f>
        <v/>
      </c>
      <c r="P39" s="54">
        <f>IF(I39="","",I39&amp;"|"&amp;J39)</f>
        <v/>
      </c>
      <c r="Q39" s="54">
        <f>IF(L39="Matched",COUNTIF($L$5:L39,"Matched"),"")</f>
        <v/>
      </c>
      <c r="R39" s="54">
        <f>IF(L39="Unmatched",COUNTIF($L$5:L39,"Unmatched"),"")</f>
        <v/>
      </c>
      <c r="S39" s="54">
        <f>IF(L39="Difference",COUNTIF($L$5:L39,"Difference"),"")</f>
        <v/>
      </c>
      <c r="T39" s="55">
        <f>IF(L39="Difference",ABS(N39),0)</f>
        <v/>
      </c>
    </row>
    <row r="40" ht="17" customHeight="1">
      <c r="A40" s="86" t="n"/>
      <c r="B40" s="46" t="n"/>
      <c r="C40" s="47" t="n"/>
      <c r="D40" s="46" t="n"/>
      <c r="E40" s="46" t="n"/>
      <c r="F40" s="46" t="n"/>
      <c r="G40" s="48" t="n"/>
      <c r="H40" s="48" t="n"/>
      <c r="I40" s="49">
        <f>IF(A40="","",IF(H40&lt;&gt;"","M|"&amp;TRIM(H40),IF(AND(MatchMode="Reference / ID only",D40=""),"U|"&amp;ROW(),IF(D40&lt;&gt;"","R|"&amp;TRIM(D40),IF(MatchMode="Amount only","A|"&amp;TEXT(ROUND(C40,2),"0.00"),IF(MatchMode="Amount (tolerance)","T|"&amp;TEXT(ROUND(C40/MAX(N(Tolerance),0.0001),0),"0"),IF(MatchMode="Date + amount (tolerance)","DT|"&amp;TEXT(A40,"yyyy-mm-dd")&amp;"|"&amp;TEXT(ROUND(C40/MAX(N(Tolerance),0.0001),0),"0"),IF(MatchMode="Description (exact)","S|"&amp;LOWER(TRIM(B40)),IF(MatchMode="Reference / ID only","U|"&amp;ROW(),"DA|"&amp;TEXT(A40,"yyyy-mm-dd")&amp;"|"&amp;TEXT(ROUND(C40,2),"0.00"))))))))))</f>
        <v/>
      </c>
      <c r="J40" s="50">
        <f>IF(I40="","",COUNTIF($I$5:I40,I40))</f>
        <v/>
      </c>
      <c r="K40" s="50">
        <f>IF(P40="","",IFERROR(MATCH(P40,ListA_Combo,0)+4,""))</f>
        <v/>
      </c>
      <c r="L40" s="51">
        <f>IF(A40="","",IF(K40="","Unmatched",IF(ABS(C40-M40)&lt;=MAX(N(Tolerance),0),"Matched","Difference")))</f>
        <v/>
      </c>
      <c r="M40" s="52">
        <f>IF(K40="","",INDEX('List A'!$C$5:$C$204,K40-4))</f>
        <v/>
      </c>
      <c r="N40" s="52">
        <f>IF(K40="","",C40-M40)</f>
        <v/>
      </c>
      <c r="O40" s="53">
        <f>IF(OR(A40="",K40=""),"",IF(H40&lt;&gt;"","Manual pair",IF(D40&lt;&gt;"","Reference / ID",MatchMode)))</f>
        <v/>
      </c>
      <c r="P40" s="54">
        <f>IF(I40="","",I40&amp;"|"&amp;J40)</f>
        <v/>
      </c>
      <c r="Q40" s="54">
        <f>IF(L40="Matched",COUNTIF($L$5:L40,"Matched"),"")</f>
        <v/>
      </c>
      <c r="R40" s="54">
        <f>IF(L40="Unmatched",COUNTIF($L$5:L40,"Unmatched"),"")</f>
        <v/>
      </c>
      <c r="S40" s="54">
        <f>IF(L40="Difference",COUNTIF($L$5:L40,"Difference"),"")</f>
        <v/>
      </c>
      <c r="T40" s="55">
        <f>IF(L40="Difference",ABS(N40),0)</f>
        <v/>
      </c>
    </row>
    <row r="41" ht="17" customHeight="1">
      <c r="A41" s="86" t="n"/>
      <c r="B41" s="46" t="n"/>
      <c r="C41" s="47" t="n"/>
      <c r="D41" s="46" t="n"/>
      <c r="E41" s="46" t="n"/>
      <c r="F41" s="46" t="n"/>
      <c r="G41" s="48" t="n"/>
      <c r="H41" s="48" t="n"/>
      <c r="I41" s="49">
        <f>IF(A41="","",IF(H41&lt;&gt;"","M|"&amp;TRIM(H41),IF(AND(MatchMode="Reference / ID only",D41=""),"U|"&amp;ROW(),IF(D41&lt;&gt;"","R|"&amp;TRIM(D41),IF(MatchMode="Amount only","A|"&amp;TEXT(ROUND(C41,2),"0.00"),IF(MatchMode="Amount (tolerance)","T|"&amp;TEXT(ROUND(C41/MAX(N(Tolerance),0.0001),0),"0"),IF(MatchMode="Date + amount (tolerance)","DT|"&amp;TEXT(A41,"yyyy-mm-dd")&amp;"|"&amp;TEXT(ROUND(C41/MAX(N(Tolerance),0.0001),0),"0"),IF(MatchMode="Description (exact)","S|"&amp;LOWER(TRIM(B41)),IF(MatchMode="Reference / ID only","U|"&amp;ROW(),"DA|"&amp;TEXT(A41,"yyyy-mm-dd")&amp;"|"&amp;TEXT(ROUND(C41,2),"0.00"))))))))))</f>
        <v/>
      </c>
      <c r="J41" s="50">
        <f>IF(I41="","",COUNTIF($I$5:I41,I41))</f>
        <v/>
      </c>
      <c r="K41" s="50">
        <f>IF(P41="","",IFERROR(MATCH(P41,ListA_Combo,0)+4,""))</f>
        <v/>
      </c>
      <c r="L41" s="51">
        <f>IF(A41="","",IF(K41="","Unmatched",IF(ABS(C41-M41)&lt;=MAX(N(Tolerance),0),"Matched","Difference")))</f>
        <v/>
      </c>
      <c r="M41" s="52">
        <f>IF(K41="","",INDEX('List A'!$C$5:$C$204,K41-4))</f>
        <v/>
      </c>
      <c r="N41" s="52">
        <f>IF(K41="","",C41-M41)</f>
        <v/>
      </c>
      <c r="O41" s="53">
        <f>IF(OR(A41="",K41=""),"",IF(H41&lt;&gt;"","Manual pair",IF(D41&lt;&gt;"","Reference / ID",MatchMode)))</f>
        <v/>
      </c>
      <c r="P41" s="54">
        <f>IF(I41="","",I41&amp;"|"&amp;J41)</f>
        <v/>
      </c>
      <c r="Q41" s="54">
        <f>IF(L41="Matched",COUNTIF($L$5:L41,"Matched"),"")</f>
        <v/>
      </c>
      <c r="R41" s="54">
        <f>IF(L41="Unmatched",COUNTIF($L$5:L41,"Unmatched"),"")</f>
        <v/>
      </c>
      <c r="S41" s="54">
        <f>IF(L41="Difference",COUNTIF($L$5:L41,"Difference"),"")</f>
        <v/>
      </c>
      <c r="T41" s="55">
        <f>IF(L41="Difference",ABS(N41),0)</f>
        <v/>
      </c>
    </row>
    <row r="42" ht="17" customHeight="1">
      <c r="A42" s="86" t="n"/>
      <c r="B42" s="46" t="n"/>
      <c r="C42" s="47" t="n"/>
      <c r="D42" s="46" t="n"/>
      <c r="E42" s="46" t="n"/>
      <c r="F42" s="46" t="n"/>
      <c r="G42" s="48" t="n"/>
      <c r="H42" s="48" t="n"/>
      <c r="I42" s="49">
        <f>IF(A42="","",IF(H42&lt;&gt;"","M|"&amp;TRIM(H42),IF(AND(MatchMode="Reference / ID only",D42=""),"U|"&amp;ROW(),IF(D42&lt;&gt;"","R|"&amp;TRIM(D42),IF(MatchMode="Amount only","A|"&amp;TEXT(ROUND(C42,2),"0.00"),IF(MatchMode="Amount (tolerance)","T|"&amp;TEXT(ROUND(C42/MAX(N(Tolerance),0.0001),0),"0"),IF(MatchMode="Date + amount (tolerance)","DT|"&amp;TEXT(A42,"yyyy-mm-dd")&amp;"|"&amp;TEXT(ROUND(C42/MAX(N(Tolerance),0.0001),0),"0"),IF(MatchMode="Description (exact)","S|"&amp;LOWER(TRIM(B42)),IF(MatchMode="Reference / ID only","U|"&amp;ROW(),"DA|"&amp;TEXT(A42,"yyyy-mm-dd")&amp;"|"&amp;TEXT(ROUND(C42,2),"0.00"))))))))))</f>
        <v/>
      </c>
      <c r="J42" s="50">
        <f>IF(I42="","",COUNTIF($I$5:I42,I42))</f>
        <v/>
      </c>
      <c r="K42" s="50">
        <f>IF(P42="","",IFERROR(MATCH(P42,ListA_Combo,0)+4,""))</f>
        <v/>
      </c>
      <c r="L42" s="51">
        <f>IF(A42="","",IF(K42="","Unmatched",IF(ABS(C42-M42)&lt;=MAX(N(Tolerance),0),"Matched","Difference")))</f>
        <v/>
      </c>
      <c r="M42" s="52">
        <f>IF(K42="","",INDEX('List A'!$C$5:$C$204,K42-4))</f>
        <v/>
      </c>
      <c r="N42" s="52">
        <f>IF(K42="","",C42-M42)</f>
        <v/>
      </c>
      <c r="O42" s="53">
        <f>IF(OR(A42="",K42=""),"",IF(H42&lt;&gt;"","Manual pair",IF(D42&lt;&gt;"","Reference / ID",MatchMode)))</f>
        <v/>
      </c>
      <c r="P42" s="54">
        <f>IF(I42="","",I42&amp;"|"&amp;J42)</f>
        <v/>
      </c>
      <c r="Q42" s="54">
        <f>IF(L42="Matched",COUNTIF($L$5:L42,"Matched"),"")</f>
        <v/>
      </c>
      <c r="R42" s="54">
        <f>IF(L42="Unmatched",COUNTIF($L$5:L42,"Unmatched"),"")</f>
        <v/>
      </c>
      <c r="S42" s="54">
        <f>IF(L42="Difference",COUNTIF($L$5:L42,"Difference"),"")</f>
        <v/>
      </c>
      <c r="T42" s="55">
        <f>IF(L42="Difference",ABS(N42),0)</f>
        <v/>
      </c>
    </row>
    <row r="43" ht="17" customHeight="1">
      <c r="A43" s="86" t="n"/>
      <c r="B43" s="46" t="n"/>
      <c r="C43" s="47" t="n"/>
      <c r="D43" s="46" t="n"/>
      <c r="E43" s="46" t="n"/>
      <c r="F43" s="46" t="n"/>
      <c r="G43" s="48" t="n"/>
      <c r="H43" s="48" t="n"/>
      <c r="I43" s="49">
        <f>IF(A43="","",IF(H43&lt;&gt;"","M|"&amp;TRIM(H43),IF(AND(MatchMode="Reference / ID only",D43=""),"U|"&amp;ROW(),IF(D43&lt;&gt;"","R|"&amp;TRIM(D43),IF(MatchMode="Amount only","A|"&amp;TEXT(ROUND(C43,2),"0.00"),IF(MatchMode="Amount (tolerance)","T|"&amp;TEXT(ROUND(C43/MAX(N(Tolerance),0.0001),0),"0"),IF(MatchMode="Date + amount (tolerance)","DT|"&amp;TEXT(A43,"yyyy-mm-dd")&amp;"|"&amp;TEXT(ROUND(C43/MAX(N(Tolerance),0.0001),0),"0"),IF(MatchMode="Description (exact)","S|"&amp;LOWER(TRIM(B43)),IF(MatchMode="Reference / ID only","U|"&amp;ROW(),"DA|"&amp;TEXT(A43,"yyyy-mm-dd")&amp;"|"&amp;TEXT(ROUND(C43,2),"0.00"))))))))))</f>
        <v/>
      </c>
      <c r="J43" s="50">
        <f>IF(I43="","",COUNTIF($I$5:I43,I43))</f>
        <v/>
      </c>
      <c r="K43" s="50">
        <f>IF(P43="","",IFERROR(MATCH(P43,ListA_Combo,0)+4,""))</f>
        <v/>
      </c>
      <c r="L43" s="51">
        <f>IF(A43="","",IF(K43="","Unmatched",IF(ABS(C43-M43)&lt;=MAX(N(Tolerance),0),"Matched","Difference")))</f>
        <v/>
      </c>
      <c r="M43" s="52">
        <f>IF(K43="","",INDEX('List A'!$C$5:$C$204,K43-4))</f>
        <v/>
      </c>
      <c r="N43" s="52">
        <f>IF(K43="","",C43-M43)</f>
        <v/>
      </c>
      <c r="O43" s="53">
        <f>IF(OR(A43="",K43=""),"",IF(H43&lt;&gt;"","Manual pair",IF(D43&lt;&gt;"","Reference / ID",MatchMode)))</f>
        <v/>
      </c>
      <c r="P43" s="54">
        <f>IF(I43="","",I43&amp;"|"&amp;J43)</f>
        <v/>
      </c>
      <c r="Q43" s="54">
        <f>IF(L43="Matched",COUNTIF($L$5:L43,"Matched"),"")</f>
        <v/>
      </c>
      <c r="R43" s="54">
        <f>IF(L43="Unmatched",COUNTIF($L$5:L43,"Unmatched"),"")</f>
        <v/>
      </c>
      <c r="S43" s="54">
        <f>IF(L43="Difference",COUNTIF($L$5:L43,"Difference"),"")</f>
        <v/>
      </c>
      <c r="T43" s="55">
        <f>IF(L43="Difference",ABS(N43),0)</f>
        <v/>
      </c>
    </row>
    <row r="44" ht="17" customHeight="1">
      <c r="A44" s="86" t="n"/>
      <c r="B44" s="46" t="n"/>
      <c r="C44" s="47" t="n"/>
      <c r="D44" s="46" t="n"/>
      <c r="E44" s="46" t="n"/>
      <c r="F44" s="46" t="n"/>
      <c r="G44" s="48" t="n"/>
      <c r="H44" s="48" t="n"/>
      <c r="I44" s="49">
        <f>IF(A44="","",IF(H44&lt;&gt;"","M|"&amp;TRIM(H44),IF(AND(MatchMode="Reference / ID only",D44=""),"U|"&amp;ROW(),IF(D44&lt;&gt;"","R|"&amp;TRIM(D44),IF(MatchMode="Amount only","A|"&amp;TEXT(ROUND(C44,2),"0.00"),IF(MatchMode="Amount (tolerance)","T|"&amp;TEXT(ROUND(C44/MAX(N(Tolerance),0.0001),0),"0"),IF(MatchMode="Date + amount (tolerance)","DT|"&amp;TEXT(A44,"yyyy-mm-dd")&amp;"|"&amp;TEXT(ROUND(C44/MAX(N(Tolerance),0.0001),0),"0"),IF(MatchMode="Description (exact)","S|"&amp;LOWER(TRIM(B44)),IF(MatchMode="Reference / ID only","U|"&amp;ROW(),"DA|"&amp;TEXT(A44,"yyyy-mm-dd")&amp;"|"&amp;TEXT(ROUND(C44,2),"0.00"))))))))))</f>
        <v/>
      </c>
      <c r="J44" s="50">
        <f>IF(I44="","",COUNTIF($I$5:I44,I44))</f>
        <v/>
      </c>
      <c r="K44" s="50">
        <f>IF(P44="","",IFERROR(MATCH(P44,ListA_Combo,0)+4,""))</f>
        <v/>
      </c>
      <c r="L44" s="51">
        <f>IF(A44="","",IF(K44="","Unmatched",IF(ABS(C44-M44)&lt;=MAX(N(Tolerance),0),"Matched","Difference")))</f>
        <v/>
      </c>
      <c r="M44" s="52">
        <f>IF(K44="","",INDEX('List A'!$C$5:$C$204,K44-4))</f>
        <v/>
      </c>
      <c r="N44" s="52">
        <f>IF(K44="","",C44-M44)</f>
        <v/>
      </c>
      <c r="O44" s="53">
        <f>IF(OR(A44="",K44=""),"",IF(H44&lt;&gt;"","Manual pair",IF(D44&lt;&gt;"","Reference / ID",MatchMode)))</f>
        <v/>
      </c>
      <c r="P44" s="54">
        <f>IF(I44="","",I44&amp;"|"&amp;J44)</f>
        <v/>
      </c>
      <c r="Q44" s="54">
        <f>IF(L44="Matched",COUNTIF($L$5:L44,"Matched"),"")</f>
        <v/>
      </c>
      <c r="R44" s="54">
        <f>IF(L44="Unmatched",COUNTIF($L$5:L44,"Unmatched"),"")</f>
        <v/>
      </c>
      <c r="S44" s="54">
        <f>IF(L44="Difference",COUNTIF($L$5:L44,"Difference"),"")</f>
        <v/>
      </c>
      <c r="T44" s="55">
        <f>IF(L44="Difference",ABS(N44),0)</f>
        <v/>
      </c>
    </row>
    <row r="45" ht="17" customHeight="1">
      <c r="A45" s="86" t="n"/>
      <c r="B45" s="46" t="n"/>
      <c r="C45" s="47" t="n"/>
      <c r="D45" s="46" t="n"/>
      <c r="E45" s="46" t="n"/>
      <c r="F45" s="46" t="n"/>
      <c r="G45" s="48" t="n"/>
      <c r="H45" s="48" t="n"/>
      <c r="I45" s="49">
        <f>IF(A45="","",IF(H45&lt;&gt;"","M|"&amp;TRIM(H45),IF(AND(MatchMode="Reference / ID only",D45=""),"U|"&amp;ROW(),IF(D45&lt;&gt;"","R|"&amp;TRIM(D45),IF(MatchMode="Amount only","A|"&amp;TEXT(ROUND(C45,2),"0.00"),IF(MatchMode="Amount (tolerance)","T|"&amp;TEXT(ROUND(C45/MAX(N(Tolerance),0.0001),0),"0"),IF(MatchMode="Date + amount (tolerance)","DT|"&amp;TEXT(A45,"yyyy-mm-dd")&amp;"|"&amp;TEXT(ROUND(C45/MAX(N(Tolerance),0.0001),0),"0"),IF(MatchMode="Description (exact)","S|"&amp;LOWER(TRIM(B45)),IF(MatchMode="Reference / ID only","U|"&amp;ROW(),"DA|"&amp;TEXT(A45,"yyyy-mm-dd")&amp;"|"&amp;TEXT(ROUND(C45,2),"0.00"))))))))))</f>
        <v/>
      </c>
      <c r="J45" s="50">
        <f>IF(I45="","",COUNTIF($I$5:I45,I45))</f>
        <v/>
      </c>
      <c r="K45" s="50">
        <f>IF(P45="","",IFERROR(MATCH(P45,ListA_Combo,0)+4,""))</f>
        <v/>
      </c>
      <c r="L45" s="51">
        <f>IF(A45="","",IF(K45="","Unmatched",IF(ABS(C45-M45)&lt;=MAX(N(Tolerance),0),"Matched","Difference")))</f>
        <v/>
      </c>
      <c r="M45" s="52">
        <f>IF(K45="","",INDEX('List A'!$C$5:$C$204,K45-4))</f>
        <v/>
      </c>
      <c r="N45" s="52">
        <f>IF(K45="","",C45-M45)</f>
        <v/>
      </c>
      <c r="O45" s="53">
        <f>IF(OR(A45="",K45=""),"",IF(H45&lt;&gt;"","Manual pair",IF(D45&lt;&gt;"","Reference / ID",MatchMode)))</f>
        <v/>
      </c>
      <c r="P45" s="54">
        <f>IF(I45="","",I45&amp;"|"&amp;J45)</f>
        <v/>
      </c>
      <c r="Q45" s="54">
        <f>IF(L45="Matched",COUNTIF($L$5:L45,"Matched"),"")</f>
        <v/>
      </c>
      <c r="R45" s="54">
        <f>IF(L45="Unmatched",COUNTIF($L$5:L45,"Unmatched"),"")</f>
        <v/>
      </c>
      <c r="S45" s="54">
        <f>IF(L45="Difference",COUNTIF($L$5:L45,"Difference"),"")</f>
        <v/>
      </c>
      <c r="T45" s="55">
        <f>IF(L45="Difference",ABS(N45),0)</f>
        <v/>
      </c>
    </row>
    <row r="46" ht="17" customHeight="1">
      <c r="A46" s="86" t="n"/>
      <c r="B46" s="46" t="n"/>
      <c r="C46" s="47" t="n"/>
      <c r="D46" s="46" t="n"/>
      <c r="E46" s="46" t="n"/>
      <c r="F46" s="46" t="n"/>
      <c r="G46" s="48" t="n"/>
      <c r="H46" s="48" t="n"/>
      <c r="I46" s="49">
        <f>IF(A46="","",IF(H46&lt;&gt;"","M|"&amp;TRIM(H46),IF(AND(MatchMode="Reference / ID only",D46=""),"U|"&amp;ROW(),IF(D46&lt;&gt;"","R|"&amp;TRIM(D46),IF(MatchMode="Amount only","A|"&amp;TEXT(ROUND(C46,2),"0.00"),IF(MatchMode="Amount (tolerance)","T|"&amp;TEXT(ROUND(C46/MAX(N(Tolerance),0.0001),0),"0"),IF(MatchMode="Date + amount (tolerance)","DT|"&amp;TEXT(A46,"yyyy-mm-dd")&amp;"|"&amp;TEXT(ROUND(C46/MAX(N(Tolerance),0.0001),0),"0"),IF(MatchMode="Description (exact)","S|"&amp;LOWER(TRIM(B46)),IF(MatchMode="Reference / ID only","U|"&amp;ROW(),"DA|"&amp;TEXT(A46,"yyyy-mm-dd")&amp;"|"&amp;TEXT(ROUND(C46,2),"0.00"))))))))))</f>
        <v/>
      </c>
      <c r="J46" s="50">
        <f>IF(I46="","",COUNTIF($I$5:I46,I46))</f>
        <v/>
      </c>
      <c r="K46" s="50">
        <f>IF(P46="","",IFERROR(MATCH(P46,ListA_Combo,0)+4,""))</f>
        <v/>
      </c>
      <c r="L46" s="51">
        <f>IF(A46="","",IF(K46="","Unmatched",IF(ABS(C46-M46)&lt;=MAX(N(Tolerance),0),"Matched","Difference")))</f>
        <v/>
      </c>
      <c r="M46" s="52">
        <f>IF(K46="","",INDEX('List A'!$C$5:$C$204,K46-4))</f>
        <v/>
      </c>
      <c r="N46" s="52">
        <f>IF(K46="","",C46-M46)</f>
        <v/>
      </c>
      <c r="O46" s="53">
        <f>IF(OR(A46="",K46=""),"",IF(H46&lt;&gt;"","Manual pair",IF(D46&lt;&gt;"","Reference / ID",MatchMode)))</f>
        <v/>
      </c>
      <c r="P46" s="54">
        <f>IF(I46="","",I46&amp;"|"&amp;J46)</f>
        <v/>
      </c>
      <c r="Q46" s="54">
        <f>IF(L46="Matched",COUNTIF($L$5:L46,"Matched"),"")</f>
        <v/>
      </c>
      <c r="R46" s="54">
        <f>IF(L46="Unmatched",COUNTIF($L$5:L46,"Unmatched"),"")</f>
        <v/>
      </c>
      <c r="S46" s="54">
        <f>IF(L46="Difference",COUNTIF($L$5:L46,"Difference"),"")</f>
        <v/>
      </c>
      <c r="T46" s="55">
        <f>IF(L46="Difference",ABS(N46),0)</f>
        <v/>
      </c>
    </row>
    <row r="47" ht="17" customHeight="1">
      <c r="A47" s="86" t="n"/>
      <c r="B47" s="46" t="n"/>
      <c r="C47" s="47" t="n"/>
      <c r="D47" s="46" t="n"/>
      <c r="E47" s="46" t="n"/>
      <c r="F47" s="46" t="n"/>
      <c r="G47" s="48" t="n"/>
      <c r="H47" s="48" t="n"/>
      <c r="I47" s="49">
        <f>IF(A47="","",IF(H47&lt;&gt;"","M|"&amp;TRIM(H47),IF(AND(MatchMode="Reference / ID only",D47=""),"U|"&amp;ROW(),IF(D47&lt;&gt;"","R|"&amp;TRIM(D47),IF(MatchMode="Amount only","A|"&amp;TEXT(ROUND(C47,2),"0.00"),IF(MatchMode="Amount (tolerance)","T|"&amp;TEXT(ROUND(C47/MAX(N(Tolerance),0.0001),0),"0"),IF(MatchMode="Date + amount (tolerance)","DT|"&amp;TEXT(A47,"yyyy-mm-dd")&amp;"|"&amp;TEXT(ROUND(C47/MAX(N(Tolerance),0.0001),0),"0"),IF(MatchMode="Description (exact)","S|"&amp;LOWER(TRIM(B47)),IF(MatchMode="Reference / ID only","U|"&amp;ROW(),"DA|"&amp;TEXT(A47,"yyyy-mm-dd")&amp;"|"&amp;TEXT(ROUND(C47,2),"0.00"))))))))))</f>
        <v/>
      </c>
      <c r="J47" s="50">
        <f>IF(I47="","",COUNTIF($I$5:I47,I47))</f>
        <v/>
      </c>
      <c r="K47" s="50">
        <f>IF(P47="","",IFERROR(MATCH(P47,ListA_Combo,0)+4,""))</f>
        <v/>
      </c>
      <c r="L47" s="51">
        <f>IF(A47="","",IF(K47="","Unmatched",IF(ABS(C47-M47)&lt;=MAX(N(Tolerance),0),"Matched","Difference")))</f>
        <v/>
      </c>
      <c r="M47" s="52">
        <f>IF(K47="","",INDEX('List A'!$C$5:$C$204,K47-4))</f>
        <v/>
      </c>
      <c r="N47" s="52">
        <f>IF(K47="","",C47-M47)</f>
        <v/>
      </c>
      <c r="O47" s="53">
        <f>IF(OR(A47="",K47=""),"",IF(H47&lt;&gt;"","Manual pair",IF(D47&lt;&gt;"","Reference / ID",MatchMode)))</f>
        <v/>
      </c>
      <c r="P47" s="54">
        <f>IF(I47="","",I47&amp;"|"&amp;J47)</f>
        <v/>
      </c>
      <c r="Q47" s="54">
        <f>IF(L47="Matched",COUNTIF($L$5:L47,"Matched"),"")</f>
        <v/>
      </c>
      <c r="R47" s="54">
        <f>IF(L47="Unmatched",COUNTIF($L$5:L47,"Unmatched"),"")</f>
        <v/>
      </c>
      <c r="S47" s="54">
        <f>IF(L47="Difference",COUNTIF($L$5:L47,"Difference"),"")</f>
        <v/>
      </c>
      <c r="T47" s="55">
        <f>IF(L47="Difference",ABS(N47),0)</f>
        <v/>
      </c>
    </row>
    <row r="48" ht="17" customHeight="1">
      <c r="A48" s="86" t="n"/>
      <c r="B48" s="46" t="n"/>
      <c r="C48" s="47" t="n"/>
      <c r="D48" s="46" t="n"/>
      <c r="E48" s="46" t="n"/>
      <c r="F48" s="46" t="n"/>
      <c r="G48" s="48" t="n"/>
      <c r="H48" s="48" t="n"/>
      <c r="I48" s="49">
        <f>IF(A48="","",IF(H48&lt;&gt;"","M|"&amp;TRIM(H48),IF(AND(MatchMode="Reference / ID only",D48=""),"U|"&amp;ROW(),IF(D48&lt;&gt;"","R|"&amp;TRIM(D48),IF(MatchMode="Amount only","A|"&amp;TEXT(ROUND(C48,2),"0.00"),IF(MatchMode="Amount (tolerance)","T|"&amp;TEXT(ROUND(C48/MAX(N(Tolerance),0.0001),0),"0"),IF(MatchMode="Date + amount (tolerance)","DT|"&amp;TEXT(A48,"yyyy-mm-dd")&amp;"|"&amp;TEXT(ROUND(C48/MAX(N(Tolerance),0.0001),0),"0"),IF(MatchMode="Description (exact)","S|"&amp;LOWER(TRIM(B48)),IF(MatchMode="Reference / ID only","U|"&amp;ROW(),"DA|"&amp;TEXT(A48,"yyyy-mm-dd")&amp;"|"&amp;TEXT(ROUND(C48,2),"0.00"))))))))))</f>
        <v/>
      </c>
      <c r="J48" s="50">
        <f>IF(I48="","",COUNTIF($I$5:I48,I48))</f>
        <v/>
      </c>
      <c r="K48" s="50">
        <f>IF(P48="","",IFERROR(MATCH(P48,ListA_Combo,0)+4,""))</f>
        <v/>
      </c>
      <c r="L48" s="51">
        <f>IF(A48="","",IF(K48="","Unmatched",IF(ABS(C48-M48)&lt;=MAX(N(Tolerance),0),"Matched","Difference")))</f>
        <v/>
      </c>
      <c r="M48" s="52">
        <f>IF(K48="","",INDEX('List A'!$C$5:$C$204,K48-4))</f>
        <v/>
      </c>
      <c r="N48" s="52">
        <f>IF(K48="","",C48-M48)</f>
        <v/>
      </c>
      <c r="O48" s="53">
        <f>IF(OR(A48="",K48=""),"",IF(H48&lt;&gt;"","Manual pair",IF(D48&lt;&gt;"","Reference / ID",MatchMode)))</f>
        <v/>
      </c>
      <c r="P48" s="54">
        <f>IF(I48="","",I48&amp;"|"&amp;J48)</f>
        <v/>
      </c>
      <c r="Q48" s="54">
        <f>IF(L48="Matched",COUNTIF($L$5:L48,"Matched"),"")</f>
        <v/>
      </c>
      <c r="R48" s="54">
        <f>IF(L48="Unmatched",COUNTIF($L$5:L48,"Unmatched"),"")</f>
        <v/>
      </c>
      <c r="S48" s="54">
        <f>IF(L48="Difference",COUNTIF($L$5:L48,"Difference"),"")</f>
        <v/>
      </c>
      <c r="T48" s="55">
        <f>IF(L48="Difference",ABS(N48),0)</f>
        <v/>
      </c>
    </row>
    <row r="49" ht="17" customHeight="1">
      <c r="A49" s="86" t="n"/>
      <c r="B49" s="46" t="n"/>
      <c r="C49" s="47" t="n"/>
      <c r="D49" s="46" t="n"/>
      <c r="E49" s="46" t="n"/>
      <c r="F49" s="46" t="n"/>
      <c r="G49" s="48" t="n"/>
      <c r="H49" s="48" t="n"/>
      <c r="I49" s="49">
        <f>IF(A49="","",IF(H49&lt;&gt;"","M|"&amp;TRIM(H49),IF(AND(MatchMode="Reference / ID only",D49=""),"U|"&amp;ROW(),IF(D49&lt;&gt;"","R|"&amp;TRIM(D49),IF(MatchMode="Amount only","A|"&amp;TEXT(ROUND(C49,2),"0.00"),IF(MatchMode="Amount (tolerance)","T|"&amp;TEXT(ROUND(C49/MAX(N(Tolerance),0.0001),0),"0"),IF(MatchMode="Date + amount (tolerance)","DT|"&amp;TEXT(A49,"yyyy-mm-dd")&amp;"|"&amp;TEXT(ROUND(C49/MAX(N(Tolerance),0.0001),0),"0"),IF(MatchMode="Description (exact)","S|"&amp;LOWER(TRIM(B49)),IF(MatchMode="Reference / ID only","U|"&amp;ROW(),"DA|"&amp;TEXT(A49,"yyyy-mm-dd")&amp;"|"&amp;TEXT(ROUND(C49,2),"0.00"))))))))))</f>
        <v/>
      </c>
      <c r="J49" s="50">
        <f>IF(I49="","",COUNTIF($I$5:I49,I49))</f>
        <v/>
      </c>
      <c r="K49" s="50">
        <f>IF(P49="","",IFERROR(MATCH(P49,ListA_Combo,0)+4,""))</f>
        <v/>
      </c>
      <c r="L49" s="51">
        <f>IF(A49="","",IF(K49="","Unmatched",IF(ABS(C49-M49)&lt;=MAX(N(Tolerance),0),"Matched","Difference")))</f>
        <v/>
      </c>
      <c r="M49" s="52">
        <f>IF(K49="","",INDEX('List A'!$C$5:$C$204,K49-4))</f>
        <v/>
      </c>
      <c r="N49" s="52">
        <f>IF(K49="","",C49-M49)</f>
        <v/>
      </c>
      <c r="O49" s="53">
        <f>IF(OR(A49="",K49=""),"",IF(H49&lt;&gt;"","Manual pair",IF(D49&lt;&gt;"","Reference / ID",MatchMode)))</f>
        <v/>
      </c>
      <c r="P49" s="54">
        <f>IF(I49="","",I49&amp;"|"&amp;J49)</f>
        <v/>
      </c>
      <c r="Q49" s="54">
        <f>IF(L49="Matched",COUNTIF($L$5:L49,"Matched"),"")</f>
        <v/>
      </c>
      <c r="R49" s="54">
        <f>IF(L49="Unmatched",COUNTIF($L$5:L49,"Unmatched"),"")</f>
        <v/>
      </c>
      <c r="S49" s="54">
        <f>IF(L49="Difference",COUNTIF($L$5:L49,"Difference"),"")</f>
        <v/>
      </c>
      <c r="T49" s="55">
        <f>IF(L49="Difference",ABS(N49),0)</f>
        <v/>
      </c>
    </row>
    <row r="50" ht="17" customHeight="1">
      <c r="A50" s="86" t="n"/>
      <c r="B50" s="46" t="n"/>
      <c r="C50" s="47" t="n"/>
      <c r="D50" s="46" t="n"/>
      <c r="E50" s="46" t="n"/>
      <c r="F50" s="46" t="n"/>
      <c r="G50" s="48" t="n"/>
      <c r="H50" s="48" t="n"/>
      <c r="I50" s="49">
        <f>IF(A50="","",IF(H50&lt;&gt;"","M|"&amp;TRIM(H50),IF(AND(MatchMode="Reference / ID only",D50=""),"U|"&amp;ROW(),IF(D50&lt;&gt;"","R|"&amp;TRIM(D50),IF(MatchMode="Amount only","A|"&amp;TEXT(ROUND(C50,2),"0.00"),IF(MatchMode="Amount (tolerance)","T|"&amp;TEXT(ROUND(C50/MAX(N(Tolerance),0.0001),0),"0"),IF(MatchMode="Date + amount (tolerance)","DT|"&amp;TEXT(A50,"yyyy-mm-dd")&amp;"|"&amp;TEXT(ROUND(C50/MAX(N(Tolerance),0.0001),0),"0"),IF(MatchMode="Description (exact)","S|"&amp;LOWER(TRIM(B50)),IF(MatchMode="Reference / ID only","U|"&amp;ROW(),"DA|"&amp;TEXT(A50,"yyyy-mm-dd")&amp;"|"&amp;TEXT(ROUND(C50,2),"0.00"))))))))))</f>
        <v/>
      </c>
      <c r="J50" s="50">
        <f>IF(I50="","",COUNTIF($I$5:I50,I50))</f>
        <v/>
      </c>
      <c r="K50" s="50">
        <f>IF(P50="","",IFERROR(MATCH(P50,ListA_Combo,0)+4,""))</f>
        <v/>
      </c>
      <c r="L50" s="51">
        <f>IF(A50="","",IF(K50="","Unmatched",IF(ABS(C50-M50)&lt;=MAX(N(Tolerance),0),"Matched","Difference")))</f>
        <v/>
      </c>
      <c r="M50" s="52">
        <f>IF(K50="","",INDEX('List A'!$C$5:$C$204,K50-4))</f>
        <v/>
      </c>
      <c r="N50" s="52">
        <f>IF(K50="","",C50-M50)</f>
        <v/>
      </c>
      <c r="O50" s="53">
        <f>IF(OR(A50="",K50=""),"",IF(H50&lt;&gt;"","Manual pair",IF(D50&lt;&gt;"","Reference / ID",MatchMode)))</f>
        <v/>
      </c>
      <c r="P50" s="54">
        <f>IF(I50="","",I50&amp;"|"&amp;J50)</f>
        <v/>
      </c>
      <c r="Q50" s="54">
        <f>IF(L50="Matched",COUNTIF($L$5:L50,"Matched"),"")</f>
        <v/>
      </c>
      <c r="R50" s="54">
        <f>IF(L50="Unmatched",COUNTIF($L$5:L50,"Unmatched"),"")</f>
        <v/>
      </c>
      <c r="S50" s="54">
        <f>IF(L50="Difference",COUNTIF($L$5:L50,"Difference"),"")</f>
        <v/>
      </c>
      <c r="T50" s="55">
        <f>IF(L50="Difference",ABS(N50),0)</f>
        <v/>
      </c>
    </row>
    <row r="51" ht="17" customHeight="1">
      <c r="A51" s="86" t="n"/>
      <c r="B51" s="46" t="n"/>
      <c r="C51" s="47" t="n"/>
      <c r="D51" s="46" t="n"/>
      <c r="E51" s="46" t="n"/>
      <c r="F51" s="46" t="n"/>
      <c r="G51" s="48" t="n"/>
      <c r="H51" s="48" t="n"/>
      <c r="I51" s="49">
        <f>IF(A51="","",IF(H51&lt;&gt;"","M|"&amp;TRIM(H51),IF(AND(MatchMode="Reference / ID only",D51=""),"U|"&amp;ROW(),IF(D51&lt;&gt;"","R|"&amp;TRIM(D51),IF(MatchMode="Amount only","A|"&amp;TEXT(ROUND(C51,2),"0.00"),IF(MatchMode="Amount (tolerance)","T|"&amp;TEXT(ROUND(C51/MAX(N(Tolerance),0.0001),0),"0"),IF(MatchMode="Date + amount (tolerance)","DT|"&amp;TEXT(A51,"yyyy-mm-dd")&amp;"|"&amp;TEXT(ROUND(C51/MAX(N(Tolerance),0.0001),0),"0"),IF(MatchMode="Description (exact)","S|"&amp;LOWER(TRIM(B51)),IF(MatchMode="Reference / ID only","U|"&amp;ROW(),"DA|"&amp;TEXT(A51,"yyyy-mm-dd")&amp;"|"&amp;TEXT(ROUND(C51,2),"0.00"))))))))))</f>
        <v/>
      </c>
      <c r="J51" s="50">
        <f>IF(I51="","",COUNTIF($I$5:I51,I51))</f>
        <v/>
      </c>
      <c r="K51" s="50">
        <f>IF(P51="","",IFERROR(MATCH(P51,ListA_Combo,0)+4,""))</f>
        <v/>
      </c>
      <c r="L51" s="51">
        <f>IF(A51="","",IF(K51="","Unmatched",IF(ABS(C51-M51)&lt;=MAX(N(Tolerance),0),"Matched","Difference")))</f>
        <v/>
      </c>
      <c r="M51" s="52">
        <f>IF(K51="","",INDEX('List A'!$C$5:$C$204,K51-4))</f>
        <v/>
      </c>
      <c r="N51" s="52">
        <f>IF(K51="","",C51-M51)</f>
        <v/>
      </c>
      <c r="O51" s="53">
        <f>IF(OR(A51="",K51=""),"",IF(H51&lt;&gt;"","Manual pair",IF(D51&lt;&gt;"","Reference / ID",MatchMode)))</f>
        <v/>
      </c>
      <c r="P51" s="54">
        <f>IF(I51="","",I51&amp;"|"&amp;J51)</f>
        <v/>
      </c>
      <c r="Q51" s="54">
        <f>IF(L51="Matched",COUNTIF($L$5:L51,"Matched"),"")</f>
        <v/>
      </c>
      <c r="R51" s="54">
        <f>IF(L51="Unmatched",COUNTIF($L$5:L51,"Unmatched"),"")</f>
        <v/>
      </c>
      <c r="S51" s="54">
        <f>IF(L51="Difference",COUNTIF($L$5:L51,"Difference"),"")</f>
        <v/>
      </c>
      <c r="T51" s="55">
        <f>IF(L51="Difference",ABS(N51),0)</f>
        <v/>
      </c>
    </row>
    <row r="52" ht="17" customHeight="1">
      <c r="A52" s="86" t="n"/>
      <c r="B52" s="46" t="n"/>
      <c r="C52" s="47" t="n"/>
      <c r="D52" s="46" t="n"/>
      <c r="E52" s="46" t="n"/>
      <c r="F52" s="46" t="n"/>
      <c r="G52" s="48" t="n"/>
      <c r="H52" s="48" t="n"/>
      <c r="I52" s="49">
        <f>IF(A52="","",IF(H52&lt;&gt;"","M|"&amp;TRIM(H52),IF(AND(MatchMode="Reference / ID only",D52=""),"U|"&amp;ROW(),IF(D52&lt;&gt;"","R|"&amp;TRIM(D52),IF(MatchMode="Amount only","A|"&amp;TEXT(ROUND(C52,2),"0.00"),IF(MatchMode="Amount (tolerance)","T|"&amp;TEXT(ROUND(C52/MAX(N(Tolerance),0.0001),0),"0"),IF(MatchMode="Date + amount (tolerance)","DT|"&amp;TEXT(A52,"yyyy-mm-dd")&amp;"|"&amp;TEXT(ROUND(C52/MAX(N(Tolerance),0.0001),0),"0"),IF(MatchMode="Description (exact)","S|"&amp;LOWER(TRIM(B52)),IF(MatchMode="Reference / ID only","U|"&amp;ROW(),"DA|"&amp;TEXT(A52,"yyyy-mm-dd")&amp;"|"&amp;TEXT(ROUND(C52,2),"0.00"))))))))))</f>
        <v/>
      </c>
      <c r="J52" s="50">
        <f>IF(I52="","",COUNTIF($I$5:I52,I52))</f>
        <v/>
      </c>
      <c r="K52" s="50">
        <f>IF(P52="","",IFERROR(MATCH(P52,ListA_Combo,0)+4,""))</f>
        <v/>
      </c>
      <c r="L52" s="51">
        <f>IF(A52="","",IF(K52="","Unmatched",IF(ABS(C52-M52)&lt;=MAX(N(Tolerance),0),"Matched","Difference")))</f>
        <v/>
      </c>
      <c r="M52" s="52">
        <f>IF(K52="","",INDEX('List A'!$C$5:$C$204,K52-4))</f>
        <v/>
      </c>
      <c r="N52" s="52">
        <f>IF(K52="","",C52-M52)</f>
        <v/>
      </c>
      <c r="O52" s="53">
        <f>IF(OR(A52="",K52=""),"",IF(H52&lt;&gt;"","Manual pair",IF(D52&lt;&gt;"","Reference / ID",MatchMode)))</f>
        <v/>
      </c>
      <c r="P52" s="54">
        <f>IF(I52="","",I52&amp;"|"&amp;J52)</f>
        <v/>
      </c>
      <c r="Q52" s="54">
        <f>IF(L52="Matched",COUNTIF($L$5:L52,"Matched"),"")</f>
        <v/>
      </c>
      <c r="R52" s="54">
        <f>IF(L52="Unmatched",COUNTIF($L$5:L52,"Unmatched"),"")</f>
        <v/>
      </c>
      <c r="S52" s="54">
        <f>IF(L52="Difference",COUNTIF($L$5:L52,"Difference"),"")</f>
        <v/>
      </c>
      <c r="T52" s="55">
        <f>IF(L52="Difference",ABS(N52),0)</f>
        <v/>
      </c>
    </row>
    <row r="53" ht="17" customHeight="1">
      <c r="A53" s="86" t="n"/>
      <c r="B53" s="46" t="n"/>
      <c r="C53" s="47" t="n"/>
      <c r="D53" s="46" t="n"/>
      <c r="E53" s="46" t="n"/>
      <c r="F53" s="46" t="n"/>
      <c r="G53" s="48" t="n"/>
      <c r="H53" s="48" t="n"/>
      <c r="I53" s="49">
        <f>IF(A53="","",IF(H53&lt;&gt;"","M|"&amp;TRIM(H53),IF(AND(MatchMode="Reference / ID only",D53=""),"U|"&amp;ROW(),IF(D53&lt;&gt;"","R|"&amp;TRIM(D53),IF(MatchMode="Amount only","A|"&amp;TEXT(ROUND(C53,2),"0.00"),IF(MatchMode="Amount (tolerance)","T|"&amp;TEXT(ROUND(C53/MAX(N(Tolerance),0.0001),0),"0"),IF(MatchMode="Date + amount (tolerance)","DT|"&amp;TEXT(A53,"yyyy-mm-dd")&amp;"|"&amp;TEXT(ROUND(C53/MAX(N(Tolerance),0.0001),0),"0"),IF(MatchMode="Description (exact)","S|"&amp;LOWER(TRIM(B53)),IF(MatchMode="Reference / ID only","U|"&amp;ROW(),"DA|"&amp;TEXT(A53,"yyyy-mm-dd")&amp;"|"&amp;TEXT(ROUND(C53,2),"0.00"))))))))))</f>
        <v/>
      </c>
      <c r="J53" s="50">
        <f>IF(I53="","",COUNTIF($I$5:I53,I53))</f>
        <v/>
      </c>
      <c r="K53" s="50">
        <f>IF(P53="","",IFERROR(MATCH(P53,ListA_Combo,0)+4,""))</f>
        <v/>
      </c>
      <c r="L53" s="51">
        <f>IF(A53="","",IF(K53="","Unmatched",IF(ABS(C53-M53)&lt;=MAX(N(Tolerance),0),"Matched","Difference")))</f>
        <v/>
      </c>
      <c r="M53" s="52">
        <f>IF(K53="","",INDEX('List A'!$C$5:$C$204,K53-4))</f>
        <v/>
      </c>
      <c r="N53" s="52">
        <f>IF(K53="","",C53-M53)</f>
        <v/>
      </c>
      <c r="O53" s="53">
        <f>IF(OR(A53="",K53=""),"",IF(H53&lt;&gt;"","Manual pair",IF(D53&lt;&gt;"","Reference / ID",MatchMode)))</f>
        <v/>
      </c>
      <c r="P53" s="54">
        <f>IF(I53="","",I53&amp;"|"&amp;J53)</f>
        <v/>
      </c>
      <c r="Q53" s="54">
        <f>IF(L53="Matched",COUNTIF($L$5:L53,"Matched"),"")</f>
        <v/>
      </c>
      <c r="R53" s="54">
        <f>IF(L53="Unmatched",COUNTIF($L$5:L53,"Unmatched"),"")</f>
        <v/>
      </c>
      <c r="S53" s="54">
        <f>IF(L53="Difference",COUNTIF($L$5:L53,"Difference"),"")</f>
        <v/>
      </c>
      <c r="T53" s="55">
        <f>IF(L53="Difference",ABS(N53),0)</f>
        <v/>
      </c>
    </row>
    <row r="54" ht="17" customHeight="1">
      <c r="A54" s="86" t="n"/>
      <c r="B54" s="46" t="n"/>
      <c r="C54" s="47" t="n"/>
      <c r="D54" s="46" t="n"/>
      <c r="E54" s="46" t="n"/>
      <c r="F54" s="46" t="n"/>
      <c r="G54" s="48" t="n"/>
      <c r="H54" s="48" t="n"/>
      <c r="I54" s="49">
        <f>IF(A54="","",IF(H54&lt;&gt;"","M|"&amp;TRIM(H54),IF(AND(MatchMode="Reference / ID only",D54=""),"U|"&amp;ROW(),IF(D54&lt;&gt;"","R|"&amp;TRIM(D54),IF(MatchMode="Amount only","A|"&amp;TEXT(ROUND(C54,2),"0.00"),IF(MatchMode="Amount (tolerance)","T|"&amp;TEXT(ROUND(C54/MAX(N(Tolerance),0.0001),0),"0"),IF(MatchMode="Date + amount (tolerance)","DT|"&amp;TEXT(A54,"yyyy-mm-dd")&amp;"|"&amp;TEXT(ROUND(C54/MAX(N(Tolerance),0.0001),0),"0"),IF(MatchMode="Description (exact)","S|"&amp;LOWER(TRIM(B54)),IF(MatchMode="Reference / ID only","U|"&amp;ROW(),"DA|"&amp;TEXT(A54,"yyyy-mm-dd")&amp;"|"&amp;TEXT(ROUND(C54,2),"0.00"))))))))))</f>
        <v/>
      </c>
      <c r="J54" s="50">
        <f>IF(I54="","",COUNTIF($I$5:I54,I54))</f>
        <v/>
      </c>
      <c r="K54" s="50">
        <f>IF(P54="","",IFERROR(MATCH(P54,ListA_Combo,0)+4,""))</f>
        <v/>
      </c>
      <c r="L54" s="51">
        <f>IF(A54="","",IF(K54="","Unmatched",IF(ABS(C54-M54)&lt;=MAX(N(Tolerance),0),"Matched","Difference")))</f>
        <v/>
      </c>
      <c r="M54" s="52">
        <f>IF(K54="","",INDEX('List A'!$C$5:$C$204,K54-4))</f>
        <v/>
      </c>
      <c r="N54" s="52">
        <f>IF(K54="","",C54-M54)</f>
        <v/>
      </c>
      <c r="O54" s="53">
        <f>IF(OR(A54="",K54=""),"",IF(H54&lt;&gt;"","Manual pair",IF(D54&lt;&gt;"","Reference / ID",MatchMode)))</f>
        <v/>
      </c>
      <c r="P54" s="54">
        <f>IF(I54="","",I54&amp;"|"&amp;J54)</f>
        <v/>
      </c>
      <c r="Q54" s="54">
        <f>IF(L54="Matched",COUNTIF($L$5:L54,"Matched"),"")</f>
        <v/>
      </c>
      <c r="R54" s="54">
        <f>IF(L54="Unmatched",COUNTIF($L$5:L54,"Unmatched"),"")</f>
        <v/>
      </c>
      <c r="S54" s="54">
        <f>IF(L54="Difference",COUNTIF($L$5:L54,"Difference"),"")</f>
        <v/>
      </c>
      <c r="T54" s="55">
        <f>IF(L54="Difference",ABS(N54),0)</f>
        <v/>
      </c>
    </row>
    <row r="55" ht="17" customHeight="1">
      <c r="A55" s="86" t="n"/>
      <c r="B55" s="46" t="n"/>
      <c r="C55" s="47" t="n"/>
      <c r="D55" s="46" t="n"/>
      <c r="E55" s="46" t="n"/>
      <c r="F55" s="46" t="n"/>
      <c r="G55" s="48" t="n"/>
      <c r="H55" s="48" t="n"/>
      <c r="I55" s="49">
        <f>IF(A55="","",IF(H55&lt;&gt;"","M|"&amp;TRIM(H55),IF(AND(MatchMode="Reference / ID only",D55=""),"U|"&amp;ROW(),IF(D55&lt;&gt;"","R|"&amp;TRIM(D55),IF(MatchMode="Amount only","A|"&amp;TEXT(ROUND(C55,2),"0.00"),IF(MatchMode="Amount (tolerance)","T|"&amp;TEXT(ROUND(C55/MAX(N(Tolerance),0.0001),0),"0"),IF(MatchMode="Date + amount (tolerance)","DT|"&amp;TEXT(A55,"yyyy-mm-dd")&amp;"|"&amp;TEXT(ROUND(C55/MAX(N(Tolerance),0.0001),0),"0"),IF(MatchMode="Description (exact)","S|"&amp;LOWER(TRIM(B55)),IF(MatchMode="Reference / ID only","U|"&amp;ROW(),"DA|"&amp;TEXT(A55,"yyyy-mm-dd")&amp;"|"&amp;TEXT(ROUND(C55,2),"0.00"))))))))))</f>
        <v/>
      </c>
      <c r="J55" s="50">
        <f>IF(I55="","",COUNTIF($I$5:I55,I55))</f>
        <v/>
      </c>
      <c r="K55" s="50">
        <f>IF(P55="","",IFERROR(MATCH(P55,ListA_Combo,0)+4,""))</f>
        <v/>
      </c>
      <c r="L55" s="51">
        <f>IF(A55="","",IF(K55="","Unmatched",IF(ABS(C55-M55)&lt;=MAX(N(Tolerance),0),"Matched","Difference")))</f>
        <v/>
      </c>
      <c r="M55" s="52">
        <f>IF(K55="","",INDEX('List A'!$C$5:$C$204,K55-4))</f>
        <v/>
      </c>
      <c r="N55" s="52">
        <f>IF(K55="","",C55-M55)</f>
        <v/>
      </c>
      <c r="O55" s="53">
        <f>IF(OR(A55="",K55=""),"",IF(H55&lt;&gt;"","Manual pair",IF(D55&lt;&gt;"","Reference / ID",MatchMode)))</f>
        <v/>
      </c>
      <c r="P55" s="54">
        <f>IF(I55="","",I55&amp;"|"&amp;J55)</f>
        <v/>
      </c>
      <c r="Q55" s="54">
        <f>IF(L55="Matched",COUNTIF($L$5:L55,"Matched"),"")</f>
        <v/>
      </c>
      <c r="R55" s="54">
        <f>IF(L55="Unmatched",COUNTIF($L$5:L55,"Unmatched"),"")</f>
        <v/>
      </c>
      <c r="S55" s="54">
        <f>IF(L55="Difference",COUNTIF($L$5:L55,"Difference"),"")</f>
        <v/>
      </c>
      <c r="T55" s="55">
        <f>IF(L55="Difference",ABS(N55),0)</f>
        <v/>
      </c>
    </row>
    <row r="56" ht="17" customHeight="1">
      <c r="A56" s="86" t="n"/>
      <c r="B56" s="46" t="n"/>
      <c r="C56" s="47" t="n"/>
      <c r="D56" s="46" t="n"/>
      <c r="E56" s="46" t="n"/>
      <c r="F56" s="46" t="n"/>
      <c r="G56" s="48" t="n"/>
      <c r="H56" s="48" t="n"/>
      <c r="I56" s="49">
        <f>IF(A56="","",IF(H56&lt;&gt;"","M|"&amp;TRIM(H56),IF(AND(MatchMode="Reference / ID only",D56=""),"U|"&amp;ROW(),IF(D56&lt;&gt;"","R|"&amp;TRIM(D56),IF(MatchMode="Amount only","A|"&amp;TEXT(ROUND(C56,2),"0.00"),IF(MatchMode="Amount (tolerance)","T|"&amp;TEXT(ROUND(C56/MAX(N(Tolerance),0.0001),0),"0"),IF(MatchMode="Date + amount (tolerance)","DT|"&amp;TEXT(A56,"yyyy-mm-dd")&amp;"|"&amp;TEXT(ROUND(C56/MAX(N(Tolerance),0.0001),0),"0"),IF(MatchMode="Description (exact)","S|"&amp;LOWER(TRIM(B56)),IF(MatchMode="Reference / ID only","U|"&amp;ROW(),"DA|"&amp;TEXT(A56,"yyyy-mm-dd")&amp;"|"&amp;TEXT(ROUND(C56,2),"0.00"))))))))))</f>
        <v/>
      </c>
      <c r="J56" s="50">
        <f>IF(I56="","",COUNTIF($I$5:I56,I56))</f>
        <v/>
      </c>
      <c r="K56" s="50">
        <f>IF(P56="","",IFERROR(MATCH(P56,ListA_Combo,0)+4,""))</f>
        <v/>
      </c>
      <c r="L56" s="51">
        <f>IF(A56="","",IF(K56="","Unmatched",IF(ABS(C56-M56)&lt;=MAX(N(Tolerance),0),"Matched","Difference")))</f>
        <v/>
      </c>
      <c r="M56" s="52">
        <f>IF(K56="","",INDEX('List A'!$C$5:$C$204,K56-4))</f>
        <v/>
      </c>
      <c r="N56" s="52">
        <f>IF(K56="","",C56-M56)</f>
        <v/>
      </c>
      <c r="O56" s="53">
        <f>IF(OR(A56="",K56=""),"",IF(H56&lt;&gt;"","Manual pair",IF(D56&lt;&gt;"","Reference / ID",MatchMode)))</f>
        <v/>
      </c>
      <c r="P56" s="54">
        <f>IF(I56="","",I56&amp;"|"&amp;J56)</f>
        <v/>
      </c>
      <c r="Q56" s="54">
        <f>IF(L56="Matched",COUNTIF($L$5:L56,"Matched"),"")</f>
        <v/>
      </c>
      <c r="R56" s="54">
        <f>IF(L56="Unmatched",COUNTIF($L$5:L56,"Unmatched"),"")</f>
        <v/>
      </c>
      <c r="S56" s="54">
        <f>IF(L56="Difference",COUNTIF($L$5:L56,"Difference"),"")</f>
        <v/>
      </c>
      <c r="T56" s="55">
        <f>IF(L56="Difference",ABS(N56),0)</f>
        <v/>
      </c>
    </row>
    <row r="57" ht="17" customHeight="1">
      <c r="A57" s="86" t="n"/>
      <c r="B57" s="46" t="n"/>
      <c r="C57" s="47" t="n"/>
      <c r="D57" s="46" t="n"/>
      <c r="E57" s="46" t="n"/>
      <c r="F57" s="46" t="n"/>
      <c r="G57" s="48" t="n"/>
      <c r="H57" s="48" t="n"/>
      <c r="I57" s="49">
        <f>IF(A57="","",IF(H57&lt;&gt;"","M|"&amp;TRIM(H57),IF(AND(MatchMode="Reference / ID only",D57=""),"U|"&amp;ROW(),IF(D57&lt;&gt;"","R|"&amp;TRIM(D57),IF(MatchMode="Amount only","A|"&amp;TEXT(ROUND(C57,2),"0.00"),IF(MatchMode="Amount (tolerance)","T|"&amp;TEXT(ROUND(C57/MAX(N(Tolerance),0.0001),0),"0"),IF(MatchMode="Date + amount (tolerance)","DT|"&amp;TEXT(A57,"yyyy-mm-dd")&amp;"|"&amp;TEXT(ROUND(C57/MAX(N(Tolerance),0.0001),0),"0"),IF(MatchMode="Description (exact)","S|"&amp;LOWER(TRIM(B57)),IF(MatchMode="Reference / ID only","U|"&amp;ROW(),"DA|"&amp;TEXT(A57,"yyyy-mm-dd")&amp;"|"&amp;TEXT(ROUND(C57,2),"0.00"))))))))))</f>
        <v/>
      </c>
      <c r="J57" s="50">
        <f>IF(I57="","",COUNTIF($I$5:I57,I57))</f>
        <v/>
      </c>
      <c r="K57" s="50">
        <f>IF(P57="","",IFERROR(MATCH(P57,ListA_Combo,0)+4,""))</f>
        <v/>
      </c>
      <c r="L57" s="51">
        <f>IF(A57="","",IF(K57="","Unmatched",IF(ABS(C57-M57)&lt;=MAX(N(Tolerance),0),"Matched","Difference")))</f>
        <v/>
      </c>
      <c r="M57" s="52">
        <f>IF(K57="","",INDEX('List A'!$C$5:$C$204,K57-4))</f>
        <v/>
      </c>
      <c r="N57" s="52">
        <f>IF(K57="","",C57-M57)</f>
        <v/>
      </c>
      <c r="O57" s="53">
        <f>IF(OR(A57="",K57=""),"",IF(H57&lt;&gt;"","Manual pair",IF(D57&lt;&gt;"","Reference / ID",MatchMode)))</f>
        <v/>
      </c>
      <c r="P57" s="54">
        <f>IF(I57="","",I57&amp;"|"&amp;J57)</f>
        <v/>
      </c>
      <c r="Q57" s="54">
        <f>IF(L57="Matched",COUNTIF($L$5:L57,"Matched"),"")</f>
        <v/>
      </c>
      <c r="R57" s="54">
        <f>IF(L57="Unmatched",COUNTIF($L$5:L57,"Unmatched"),"")</f>
        <v/>
      </c>
      <c r="S57" s="54">
        <f>IF(L57="Difference",COUNTIF($L$5:L57,"Difference"),"")</f>
        <v/>
      </c>
      <c r="T57" s="55">
        <f>IF(L57="Difference",ABS(N57),0)</f>
        <v/>
      </c>
    </row>
    <row r="58" ht="17" customHeight="1">
      <c r="A58" s="86" t="n"/>
      <c r="B58" s="46" t="n"/>
      <c r="C58" s="47" t="n"/>
      <c r="D58" s="46" t="n"/>
      <c r="E58" s="46" t="n"/>
      <c r="F58" s="46" t="n"/>
      <c r="G58" s="48" t="n"/>
      <c r="H58" s="48" t="n"/>
      <c r="I58" s="49">
        <f>IF(A58="","",IF(H58&lt;&gt;"","M|"&amp;TRIM(H58),IF(AND(MatchMode="Reference / ID only",D58=""),"U|"&amp;ROW(),IF(D58&lt;&gt;"","R|"&amp;TRIM(D58),IF(MatchMode="Amount only","A|"&amp;TEXT(ROUND(C58,2),"0.00"),IF(MatchMode="Amount (tolerance)","T|"&amp;TEXT(ROUND(C58/MAX(N(Tolerance),0.0001),0),"0"),IF(MatchMode="Date + amount (tolerance)","DT|"&amp;TEXT(A58,"yyyy-mm-dd")&amp;"|"&amp;TEXT(ROUND(C58/MAX(N(Tolerance),0.0001),0),"0"),IF(MatchMode="Description (exact)","S|"&amp;LOWER(TRIM(B58)),IF(MatchMode="Reference / ID only","U|"&amp;ROW(),"DA|"&amp;TEXT(A58,"yyyy-mm-dd")&amp;"|"&amp;TEXT(ROUND(C58,2),"0.00"))))))))))</f>
        <v/>
      </c>
      <c r="J58" s="50">
        <f>IF(I58="","",COUNTIF($I$5:I58,I58))</f>
        <v/>
      </c>
      <c r="K58" s="50">
        <f>IF(P58="","",IFERROR(MATCH(P58,ListA_Combo,0)+4,""))</f>
        <v/>
      </c>
      <c r="L58" s="51">
        <f>IF(A58="","",IF(K58="","Unmatched",IF(ABS(C58-M58)&lt;=MAX(N(Tolerance),0),"Matched","Difference")))</f>
        <v/>
      </c>
      <c r="M58" s="52">
        <f>IF(K58="","",INDEX('List A'!$C$5:$C$204,K58-4))</f>
        <v/>
      </c>
      <c r="N58" s="52">
        <f>IF(K58="","",C58-M58)</f>
        <v/>
      </c>
      <c r="O58" s="53">
        <f>IF(OR(A58="",K58=""),"",IF(H58&lt;&gt;"","Manual pair",IF(D58&lt;&gt;"","Reference / ID",MatchMode)))</f>
        <v/>
      </c>
      <c r="P58" s="54">
        <f>IF(I58="","",I58&amp;"|"&amp;J58)</f>
        <v/>
      </c>
      <c r="Q58" s="54">
        <f>IF(L58="Matched",COUNTIF($L$5:L58,"Matched"),"")</f>
        <v/>
      </c>
      <c r="R58" s="54">
        <f>IF(L58="Unmatched",COUNTIF($L$5:L58,"Unmatched"),"")</f>
        <v/>
      </c>
      <c r="S58" s="54">
        <f>IF(L58="Difference",COUNTIF($L$5:L58,"Difference"),"")</f>
        <v/>
      </c>
      <c r="T58" s="55">
        <f>IF(L58="Difference",ABS(N58),0)</f>
        <v/>
      </c>
    </row>
    <row r="59" ht="17" customHeight="1">
      <c r="A59" s="86" t="n"/>
      <c r="B59" s="46" t="n"/>
      <c r="C59" s="47" t="n"/>
      <c r="D59" s="46" t="n"/>
      <c r="E59" s="46" t="n"/>
      <c r="F59" s="46" t="n"/>
      <c r="G59" s="48" t="n"/>
      <c r="H59" s="48" t="n"/>
      <c r="I59" s="49">
        <f>IF(A59="","",IF(H59&lt;&gt;"","M|"&amp;TRIM(H59),IF(AND(MatchMode="Reference / ID only",D59=""),"U|"&amp;ROW(),IF(D59&lt;&gt;"","R|"&amp;TRIM(D59),IF(MatchMode="Amount only","A|"&amp;TEXT(ROUND(C59,2),"0.00"),IF(MatchMode="Amount (tolerance)","T|"&amp;TEXT(ROUND(C59/MAX(N(Tolerance),0.0001),0),"0"),IF(MatchMode="Date + amount (tolerance)","DT|"&amp;TEXT(A59,"yyyy-mm-dd")&amp;"|"&amp;TEXT(ROUND(C59/MAX(N(Tolerance),0.0001),0),"0"),IF(MatchMode="Description (exact)","S|"&amp;LOWER(TRIM(B59)),IF(MatchMode="Reference / ID only","U|"&amp;ROW(),"DA|"&amp;TEXT(A59,"yyyy-mm-dd")&amp;"|"&amp;TEXT(ROUND(C59,2),"0.00"))))))))))</f>
        <v/>
      </c>
      <c r="J59" s="50">
        <f>IF(I59="","",COUNTIF($I$5:I59,I59))</f>
        <v/>
      </c>
      <c r="K59" s="50">
        <f>IF(P59="","",IFERROR(MATCH(P59,ListA_Combo,0)+4,""))</f>
        <v/>
      </c>
      <c r="L59" s="51">
        <f>IF(A59="","",IF(K59="","Unmatched",IF(ABS(C59-M59)&lt;=MAX(N(Tolerance),0),"Matched","Difference")))</f>
        <v/>
      </c>
      <c r="M59" s="52">
        <f>IF(K59="","",INDEX('List A'!$C$5:$C$204,K59-4))</f>
        <v/>
      </c>
      <c r="N59" s="52">
        <f>IF(K59="","",C59-M59)</f>
        <v/>
      </c>
      <c r="O59" s="53">
        <f>IF(OR(A59="",K59=""),"",IF(H59&lt;&gt;"","Manual pair",IF(D59&lt;&gt;"","Reference / ID",MatchMode)))</f>
        <v/>
      </c>
      <c r="P59" s="54">
        <f>IF(I59="","",I59&amp;"|"&amp;J59)</f>
        <v/>
      </c>
      <c r="Q59" s="54">
        <f>IF(L59="Matched",COUNTIF($L$5:L59,"Matched"),"")</f>
        <v/>
      </c>
      <c r="R59" s="54">
        <f>IF(L59="Unmatched",COUNTIF($L$5:L59,"Unmatched"),"")</f>
        <v/>
      </c>
      <c r="S59" s="54">
        <f>IF(L59="Difference",COUNTIF($L$5:L59,"Difference"),"")</f>
        <v/>
      </c>
      <c r="T59" s="55">
        <f>IF(L59="Difference",ABS(N59),0)</f>
        <v/>
      </c>
    </row>
    <row r="60" ht="17" customHeight="1">
      <c r="A60" s="86" t="n"/>
      <c r="B60" s="46" t="n"/>
      <c r="C60" s="47" t="n"/>
      <c r="D60" s="46" t="n"/>
      <c r="E60" s="46" t="n"/>
      <c r="F60" s="46" t="n"/>
      <c r="G60" s="48" t="n"/>
      <c r="H60" s="48" t="n"/>
      <c r="I60" s="49">
        <f>IF(A60="","",IF(H60&lt;&gt;"","M|"&amp;TRIM(H60),IF(AND(MatchMode="Reference / ID only",D60=""),"U|"&amp;ROW(),IF(D60&lt;&gt;"","R|"&amp;TRIM(D60),IF(MatchMode="Amount only","A|"&amp;TEXT(ROUND(C60,2),"0.00"),IF(MatchMode="Amount (tolerance)","T|"&amp;TEXT(ROUND(C60/MAX(N(Tolerance),0.0001),0),"0"),IF(MatchMode="Date + amount (tolerance)","DT|"&amp;TEXT(A60,"yyyy-mm-dd")&amp;"|"&amp;TEXT(ROUND(C60/MAX(N(Tolerance),0.0001),0),"0"),IF(MatchMode="Description (exact)","S|"&amp;LOWER(TRIM(B60)),IF(MatchMode="Reference / ID only","U|"&amp;ROW(),"DA|"&amp;TEXT(A60,"yyyy-mm-dd")&amp;"|"&amp;TEXT(ROUND(C60,2),"0.00"))))))))))</f>
        <v/>
      </c>
      <c r="J60" s="50">
        <f>IF(I60="","",COUNTIF($I$5:I60,I60))</f>
        <v/>
      </c>
      <c r="K60" s="50">
        <f>IF(P60="","",IFERROR(MATCH(P60,ListA_Combo,0)+4,""))</f>
        <v/>
      </c>
      <c r="L60" s="51">
        <f>IF(A60="","",IF(K60="","Unmatched",IF(ABS(C60-M60)&lt;=MAX(N(Tolerance),0),"Matched","Difference")))</f>
        <v/>
      </c>
      <c r="M60" s="52">
        <f>IF(K60="","",INDEX('List A'!$C$5:$C$204,K60-4))</f>
        <v/>
      </c>
      <c r="N60" s="52">
        <f>IF(K60="","",C60-M60)</f>
        <v/>
      </c>
      <c r="O60" s="53">
        <f>IF(OR(A60="",K60=""),"",IF(H60&lt;&gt;"","Manual pair",IF(D60&lt;&gt;"","Reference / ID",MatchMode)))</f>
        <v/>
      </c>
      <c r="P60" s="54">
        <f>IF(I60="","",I60&amp;"|"&amp;J60)</f>
        <v/>
      </c>
      <c r="Q60" s="54">
        <f>IF(L60="Matched",COUNTIF($L$5:L60,"Matched"),"")</f>
        <v/>
      </c>
      <c r="R60" s="54">
        <f>IF(L60="Unmatched",COUNTIF($L$5:L60,"Unmatched"),"")</f>
        <v/>
      </c>
      <c r="S60" s="54">
        <f>IF(L60="Difference",COUNTIF($L$5:L60,"Difference"),"")</f>
        <v/>
      </c>
      <c r="T60" s="55">
        <f>IF(L60="Difference",ABS(N60),0)</f>
        <v/>
      </c>
    </row>
    <row r="61" ht="17" customHeight="1">
      <c r="A61" s="86" t="n"/>
      <c r="B61" s="46" t="n"/>
      <c r="C61" s="47" t="n"/>
      <c r="D61" s="46" t="n"/>
      <c r="E61" s="46" t="n"/>
      <c r="F61" s="46" t="n"/>
      <c r="G61" s="48" t="n"/>
      <c r="H61" s="48" t="n"/>
      <c r="I61" s="49">
        <f>IF(A61="","",IF(H61&lt;&gt;"","M|"&amp;TRIM(H61),IF(AND(MatchMode="Reference / ID only",D61=""),"U|"&amp;ROW(),IF(D61&lt;&gt;"","R|"&amp;TRIM(D61),IF(MatchMode="Amount only","A|"&amp;TEXT(ROUND(C61,2),"0.00"),IF(MatchMode="Amount (tolerance)","T|"&amp;TEXT(ROUND(C61/MAX(N(Tolerance),0.0001),0),"0"),IF(MatchMode="Date + amount (tolerance)","DT|"&amp;TEXT(A61,"yyyy-mm-dd")&amp;"|"&amp;TEXT(ROUND(C61/MAX(N(Tolerance),0.0001),0),"0"),IF(MatchMode="Description (exact)","S|"&amp;LOWER(TRIM(B61)),IF(MatchMode="Reference / ID only","U|"&amp;ROW(),"DA|"&amp;TEXT(A61,"yyyy-mm-dd")&amp;"|"&amp;TEXT(ROUND(C61,2),"0.00"))))))))))</f>
        <v/>
      </c>
      <c r="J61" s="50">
        <f>IF(I61="","",COUNTIF($I$5:I61,I61))</f>
        <v/>
      </c>
      <c r="K61" s="50">
        <f>IF(P61="","",IFERROR(MATCH(P61,ListA_Combo,0)+4,""))</f>
        <v/>
      </c>
      <c r="L61" s="51">
        <f>IF(A61="","",IF(K61="","Unmatched",IF(ABS(C61-M61)&lt;=MAX(N(Tolerance),0),"Matched","Difference")))</f>
        <v/>
      </c>
      <c r="M61" s="52">
        <f>IF(K61="","",INDEX('List A'!$C$5:$C$204,K61-4))</f>
        <v/>
      </c>
      <c r="N61" s="52">
        <f>IF(K61="","",C61-M61)</f>
        <v/>
      </c>
      <c r="O61" s="53">
        <f>IF(OR(A61="",K61=""),"",IF(H61&lt;&gt;"","Manual pair",IF(D61&lt;&gt;"","Reference / ID",MatchMode)))</f>
        <v/>
      </c>
      <c r="P61" s="54">
        <f>IF(I61="","",I61&amp;"|"&amp;J61)</f>
        <v/>
      </c>
      <c r="Q61" s="54">
        <f>IF(L61="Matched",COUNTIF($L$5:L61,"Matched"),"")</f>
        <v/>
      </c>
      <c r="R61" s="54">
        <f>IF(L61="Unmatched",COUNTIF($L$5:L61,"Unmatched"),"")</f>
        <v/>
      </c>
      <c r="S61" s="54">
        <f>IF(L61="Difference",COUNTIF($L$5:L61,"Difference"),"")</f>
        <v/>
      </c>
      <c r="T61" s="55">
        <f>IF(L61="Difference",ABS(N61),0)</f>
        <v/>
      </c>
    </row>
    <row r="62" ht="17" customHeight="1">
      <c r="A62" s="86" t="n"/>
      <c r="B62" s="46" t="n"/>
      <c r="C62" s="47" t="n"/>
      <c r="D62" s="46" t="n"/>
      <c r="E62" s="46" t="n"/>
      <c r="F62" s="46" t="n"/>
      <c r="G62" s="48" t="n"/>
      <c r="H62" s="48" t="n"/>
      <c r="I62" s="49">
        <f>IF(A62="","",IF(H62&lt;&gt;"","M|"&amp;TRIM(H62),IF(AND(MatchMode="Reference / ID only",D62=""),"U|"&amp;ROW(),IF(D62&lt;&gt;"","R|"&amp;TRIM(D62),IF(MatchMode="Amount only","A|"&amp;TEXT(ROUND(C62,2),"0.00"),IF(MatchMode="Amount (tolerance)","T|"&amp;TEXT(ROUND(C62/MAX(N(Tolerance),0.0001),0),"0"),IF(MatchMode="Date + amount (tolerance)","DT|"&amp;TEXT(A62,"yyyy-mm-dd")&amp;"|"&amp;TEXT(ROUND(C62/MAX(N(Tolerance),0.0001),0),"0"),IF(MatchMode="Description (exact)","S|"&amp;LOWER(TRIM(B62)),IF(MatchMode="Reference / ID only","U|"&amp;ROW(),"DA|"&amp;TEXT(A62,"yyyy-mm-dd")&amp;"|"&amp;TEXT(ROUND(C62,2),"0.00"))))))))))</f>
        <v/>
      </c>
      <c r="J62" s="50">
        <f>IF(I62="","",COUNTIF($I$5:I62,I62))</f>
        <v/>
      </c>
      <c r="K62" s="50">
        <f>IF(P62="","",IFERROR(MATCH(P62,ListA_Combo,0)+4,""))</f>
        <v/>
      </c>
      <c r="L62" s="51">
        <f>IF(A62="","",IF(K62="","Unmatched",IF(ABS(C62-M62)&lt;=MAX(N(Tolerance),0),"Matched","Difference")))</f>
        <v/>
      </c>
      <c r="M62" s="52">
        <f>IF(K62="","",INDEX('List A'!$C$5:$C$204,K62-4))</f>
        <v/>
      </c>
      <c r="N62" s="52">
        <f>IF(K62="","",C62-M62)</f>
        <v/>
      </c>
      <c r="O62" s="53">
        <f>IF(OR(A62="",K62=""),"",IF(H62&lt;&gt;"","Manual pair",IF(D62&lt;&gt;"","Reference / ID",MatchMode)))</f>
        <v/>
      </c>
      <c r="P62" s="54">
        <f>IF(I62="","",I62&amp;"|"&amp;J62)</f>
        <v/>
      </c>
      <c r="Q62" s="54">
        <f>IF(L62="Matched",COUNTIF($L$5:L62,"Matched"),"")</f>
        <v/>
      </c>
      <c r="R62" s="54">
        <f>IF(L62="Unmatched",COUNTIF($L$5:L62,"Unmatched"),"")</f>
        <v/>
      </c>
      <c r="S62" s="54">
        <f>IF(L62="Difference",COUNTIF($L$5:L62,"Difference"),"")</f>
        <v/>
      </c>
      <c r="T62" s="55">
        <f>IF(L62="Difference",ABS(N62),0)</f>
        <v/>
      </c>
    </row>
    <row r="63" ht="17" customHeight="1">
      <c r="A63" s="86" t="n"/>
      <c r="B63" s="46" t="n"/>
      <c r="C63" s="47" t="n"/>
      <c r="D63" s="46" t="n"/>
      <c r="E63" s="46" t="n"/>
      <c r="F63" s="46" t="n"/>
      <c r="G63" s="48" t="n"/>
      <c r="H63" s="48" t="n"/>
      <c r="I63" s="49">
        <f>IF(A63="","",IF(H63&lt;&gt;"","M|"&amp;TRIM(H63),IF(AND(MatchMode="Reference / ID only",D63=""),"U|"&amp;ROW(),IF(D63&lt;&gt;"","R|"&amp;TRIM(D63),IF(MatchMode="Amount only","A|"&amp;TEXT(ROUND(C63,2),"0.00"),IF(MatchMode="Amount (tolerance)","T|"&amp;TEXT(ROUND(C63/MAX(N(Tolerance),0.0001),0),"0"),IF(MatchMode="Date + amount (tolerance)","DT|"&amp;TEXT(A63,"yyyy-mm-dd")&amp;"|"&amp;TEXT(ROUND(C63/MAX(N(Tolerance),0.0001),0),"0"),IF(MatchMode="Description (exact)","S|"&amp;LOWER(TRIM(B63)),IF(MatchMode="Reference / ID only","U|"&amp;ROW(),"DA|"&amp;TEXT(A63,"yyyy-mm-dd")&amp;"|"&amp;TEXT(ROUND(C63,2),"0.00"))))))))))</f>
        <v/>
      </c>
      <c r="J63" s="50">
        <f>IF(I63="","",COUNTIF($I$5:I63,I63))</f>
        <v/>
      </c>
      <c r="K63" s="50">
        <f>IF(P63="","",IFERROR(MATCH(P63,ListA_Combo,0)+4,""))</f>
        <v/>
      </c>
      <c r="L63" s="51">
        <f>IF(A63="","",IF(K63="","Unmatched",IF(ABS(C63-M63)&lt;=MAX(N(Tolerance),0),"Matched","Difference")))</f>
        <v/>
      </c>
      <c r="M63" s="52">
        <f>IF(K63="","",INDEX('List A'!$C$5:$C$204,K63-4))</f>
        <v/>
      </c>
      <c r="N63" s="52">
        <f>IF(K63="","",C63-M63)</f>
        <v/>
      </c>
      <c r="O63" s="53">
        <f>IF(OR(A63="",K63=""),"",IF(H63&lt;&gt;"","Manual pair",IF(D63&lt;&gt;"","Reference / ID",MatchMode)))</f>
        <v/>
      </c>
      <c r="P63" s="54">
        <f>IF(I63="","",I63&amp;"|"&amp;J63)</f>
        <v/>
      </c>
      <c r="Q63" s="54">
        <f>IF(L63="Matched",COUNTIF($L$5:L63,"Matched"),"")</f>
        <v/>
      </c>
      <c r="R63" s="54">
        <f>IF(L63="Unmatched",COUNTIF($L$5:L63,"Unmatched"),"")</f>
        <v/>
      </c>
      <c r="S63" s="54">
        <f>IF(L63="Difference",COUNTIF($L$5:L63,"Difference"),"")</f>
        <v/>
      </c>
      <c r="T63" s="55">
        <f>IF(L63="Difference",ABS(N63),0)</f>
        <v/>
      </c>
    </row>
    <row r="64" ht="17" customHeight="1">
      <c r="A64" s="86" t="n"/>
      <c r="B64" s="46" t="n"/>
      <c r="C64" s="47" t="n"/>
      <c r="D64" s="46" t="n"/>
      <c r="E64" s="46" t="n"/>
      <c r="F64" s="46" t="n"/>
      <c r="G64" s="48" t="n"/>
      <c r="H64" s="48" t="n"/>
      <c r="I64" s="49">
        <f>IF(A64="","",IF(H64&lt;&gt;"","M|"&amp;TRIM(H64),IF(AND(MatchMode="Reference / ID only",D64=""),"U|"&amp;ROW(),IF(D64&lt;&gt;"","R|"&amp;TRIM(D64),IF(MatchMode="Amount only","A|"&amp;TEXT(ROUND(C64,2),"0.00"),IF(MatchMode="Amount (tolerance)","T|"&amp;TEXT(ROUND(C64/MAX(N(Tolerance),0.0001),0),"0"),IF(MatchMode="Date + amount (tolerance)","DT|"&amp;TEXT(A64,"yyyy-mm-dd")&amp;"|"&amp;TEXT(ROUND(C64/MAX(N(Tolerance),0.0001),0),"0"),IF(MatchMode="Description (exact)","S|"&amp;LOWER(TRIM(B64)),IF(MatchMode="Reference / ID only","U|"&amp;ROW(),"DA|"&amp;TEXT(A64,"yyyy-mm-dd")&amp;"|"&amp;TEXT(ROUND(C64,2),"0.00"))))))))))</f>
        <v/>
      </c>
      <c r="J64" s="50">
        <f>IF(I64="","",COUNTIF($I$5:I64,I64))</f>
        <v/>
      </c>
      <c r="K64" s="50">
        <f>IF(P64="","",IFERROR(MATCH(P64,ListA_Combo,0)+4,""))</f>
        <v/>
      </c>
      <c r="L64" s="51">
        <f>IF(A64="","",IF(K64="","Unmatched",IF(ABS(C64-M64)&lt;=MAX(N(Tolerance),0),"Matched","Difference")))</f>
        <v/>
      </c>
      <c r="M64" s="52">
        <f>IF(K64="","",INDEX('List A'!$C$5:$C$204,K64-4))</f>
        <v/>
      </c>
      <c r="N64" s="52">
        <f>IF(K64="","",C64-M64)</f>
        <v/>
      </c>
      <c r="O64" s="53">
        <f>IF(OR(A64="",K64=""),"",IF(H64&lt;&gt;"","Manual pair",IF(D64&lt;&gt;"","Reference / ID",MatchMode)))</f>
        <v/>
      </c>
      <c r="P64" s="54">
        <f>IF(I64="","",I64&amp;"|"&amp;J64)</f>
        <v/>
      </c>
      <c r="Q64" s="54">
        <f>IF(L64="Matched",COUNTIF($L$5:L64,"Matched"),"")</f>
        <v/>
      </c>
      <c r="R64" s="54">
        <f>IF(L64="Unmatched",COUNTIF($L$5:L64,"Unmatched"),"")</f>
        <v/>
      </c>
      <c r="S64" s="54">
        <f>IF(L64="Difference",COUNTIF($L$5:L64,"Difference"),"")</f>
        <v/>
      </c>
      <c r="T64" s="55">
        <f>IF(L64="Difference",ABS(N64),0)</f>
        <v/>
      </c>
    </row>
    <row r="65" ht="17" customHeight="1">
      <c r="A65" s="86" t="n"/>
      <c r="B65" s="46" t="n"/>
      <c r="C65" s="47" t="n"/>
      <c r="D65" s="46" t="n"/>
      <c r="E65" s="46" t="n"/>
      <c r="F65" s="46" t="n"/>
      <c r="G65" s="48" t="n"/>
      <c r="H65" s="48" t="n"/>
      <c r="I65" s="49">
        <f>IF(A65="","",IF(H65&lt;&gt;"","M|"&amp;TRIM(H65),IF(AND(MatchMode="Reference / ID only",D65=""),"U|"&amp;ROW(),IF(D65&lt;&gt;"","R|"&amp;TRIM(D65),IF(MatchMode="Amount only","A|"&amp;TEXT(ROUND(C65,2),"0.00"),IF(MatchMode="Amount (tolerance)","T|"&amp;TEXT(ROUND(C65/MAX(N(Tolerance),0.0001),0),"0"),IF(MatchMode="Date + amount (tolerance)","DT|"&amp;TEXT(A65,"yyyy-mm-dd")&amp;"|"&amp;TEXT(ROUND(C65/MAX(N(Tolerance),0.0001),0),"0"),IF(MatchMode="Description (exact)","S|"&amp;LOWER(TRIM(B65)),IF(MatchMode="Reference / ID only","U|"&amp;ROW(),"DA|"&amp;TEXT(A65,"yyyy-mm-dd")&amp;"|"&amp;TEXT(ROUND(C65,2),"0.00"))))))))))</f>
        <v/>
      </c>
      <c r="J65" s="50">
        <f>IF(I65="","",COUNTIF($I$5:I65,I65))</f>
        <v/>
      </c>
      <c r="K65" s="50">
        <f>IF(P65="","",IFERROR(MATCH(P65,ListA_Combo,0)+4,""))</f>
        <v/>
      </c>
      <c r="L65" s="51">
        <f>IF(A65="","",IF(K65="","Unmatched",IF(ABS(C65-M65)&lt;=MAX(N(Tolerance),0),"Matched","Difference")))</f>
        <v/>
      </c>
      <c r="M65" s="52">
        <f>IF(K65="","",INDEX('List A'!$C$5:$C$204,K65-4))</f>
        <v/>
      </c>
      <c r="N65" s="52">
        <f>IF(K65="","",C65-M65)</f>
        <v/>
      </c>
      <c r="O65" s="53">
        <f>IF(OR(A65="",K65=""),"",IF(H65&lt;&gt;"","Manual pair",IF(D65&lt;&gt;"","Reference / ID",MatchMode)))</f>
        <v/>
      </c>
      <c r="P65" s="54">
        <f>IF(I65="","",I65&amp;"|"&amp;J65)</f>
        <v/>
      </c>
      <c r="Q65" s="54">
        <f>IF(L65="Matched",COUNTIF($L$5:L65,"Matched"),"")</f>
        <v/>
      </c>
      <c r="R65" s="54">
        <f>IF(L65="Unmatched",COUNTIF($L$5:L65,"Unmatched"),"")</f>
        <v/>
      </c>
      <c r="S65" s="54">
        <f>IF(L65="Difference",COUNTIF($L$5:L65,"Difference"),"")</f>
        <v/>
      </c>
      <c r="T65" s="55">
        <f>IF(L65="Difference",ABS(N65),0)</f>
        <v/>
      </c>
    </row>
    <row r="66" ht="17" customHeight="1">
      <c r="A66" s="86" t="n"/>
      <c r="B66" s="46" t="n"/>
      <c r="C66" s="47" t="n"/>
      <c r="D66" s="46" t="n"/>
      <c r="E66" s="46" t="n"/>
      <c r="F66" s="46" t="n"/>
      <c r="G66" s="48" t="n"/>
      <c r="H66" s="48" t="n"/>
      <c r="I66" s="49">
        <f>IF(A66="","",IF(H66&lt;&gt;"","M|"&amp;TRIM(H66),IF(AND(MatchMode="Reference / ID only",D66=""),"U|"&amp;ROW(),IF(D66&lt;&gt;"","R|"&amp;TRIM(D66),IF(MatchMode="Amount only","A|"&amp;TEXT(ROUND(C66,2),"0.00"),IF(MatchMode="Amount (tolerance)","T|"&amp;TEXT(ROUND(C66/MAX(N(Tolerance),0.0001),0),"0"),IF(MatchMode="Date + amount (tolerance)","DT|"&amp;TEXT(A66,"yyyy-mm-dd")&amp;"|"&amp;TEXT(ROUND(C66/MAX(N(Tolerance),0.0001),0),"0"),IF(MatchMode="Description (exact)","S|"&amp;LOWER(TRIM(B66)),IF(MatchMode="Reference / ID only","U|"&amp;ROW(),"DA|"&amp;TEXT(A66,"yyyy-mm-dd")&amp;"|"&amp;TEXT(ROUND(C66,2),"0.00"))))))))))</f>
        <v/>
      </c>
      <c r="J66" s="50">
        <f>IF(I66="","",COUNTIF($I$5:I66,I66))</f>
        <v/>
      </c>
      <c r="K66" s="50">
        <f>IF(P66="","",IFERROR(MATCH(P66,ListA_Combo,0)+4,""))</f>
        <v/>
      </c>
      <c r="L66" s="51">
        <f>IF(A66="","",IF(K66="","Unmatched",IF(ABS(C66-M66)&lt;=MAX(N(Tolerance),0),"Matched","Difference")))</f>
        <v/>
      </c>
      <c r="M66" s="52">
        <f>IF(K66="","",INDEX('List A'!$C$5:$C$204,K66-4))</f>
        <v/>
      </c>
      <c r="N66" s="52">
        <f>IF(K66="","",C66-M66)</f>
        <v/>
      </c>
      <c r="O66" s="53">
        <f>IF(OR(A66="",K66=""),"",IF(H66&lt;&gt;"","Manual pair",IF(D66&lt;&gt;"","Reference / ID",MatchMode)))</f>
        <v/>
      </c>
      <c r="P66" s="54">
        <f>IF(I66="","",I66&amp;"|"&amp;J66)</f>
        <v/>
      </c>
      <c r="Q66" s="54">
        <f>IF(L66="Matched",COUNTIF($L$5:L66,"Matched"),"")</f>
        <v/>
      </c>
      <c r="R66" s="54">
        <f>IF(L66="Unmatched",COUNTIF($L$5:L66,"Unmatched"),"")</f>
        <v/>
      </c>
      <c r="S66" s="54">
        <f>IF(L66="Difference",COUNTIF($L$5:L66,"Difference"),"")</f>
        <v/>
      </c>
      <c r="T66" s="55">
        <f>IF(L66="Difference",ABS(N66),0)</f>
        <v/>
      </c>
    </row>
    <row r="67" ht="17" customHeight="1">
      <c r="A67" s="86" t="n"/>
      <c r="B67" s="46" t="n"/>
      <c r="C67" s="47" t="n"/>
      <c r="D67" s="46" t="n"/>
      <c r="E67" s="46" t="n"/>
      <c r="F67" s="46" t="n"/>
      <c r="G67" s="48" t="n"/>
      <c r="H67" s="48" t="n"/>
      <c r="I67" s="49">
        <f>IF(A67="","",IF(H67&lt;&gt;"","M|"&amp;TRIM(H67),IF(AND(MatchMode="Reference / ID only",D67=""),"U|"&amp;ROW(),IF(D67&lt;&gt;"","R|"&amp;TRIM(D67),IF(MatchMode="Amount only","A|"&amp;TEXT(ROUND(C67,2),"0.00"),IF(MatchMode="Amount (tolerance)","T|"&amp;TEXT(ROUND(C67/MAX(N(Tolerance),0.0001),0),"0"),IF(MatchMode="Date + amount (tolerance)","DT|"&amp;TEXT(A67,"yyyy-mm-dd")&amp;"|"&amp;TEXT(ROUND(C67/MAX(N(Tolerance),0.0001),0),"0"),IF(MatchMode="Description (exact)","S|"&amp;LOWER(TRIM(B67)),IF(MatchMode="Reference / ID only","U|"&amp;ROW(),"DA|"&amp;TEXT(A67,"yyyy-mm-dd")&amp;"|"&amp;TEXT(ROUND(C67,2),"0.00"))))))))))</f>
        <v/>
      </c>
      <c r="J67" s="50">
        <f>IF(I67="","",COUNTIF($I$5:I67,I67))</f>
        <v/>
      </c>
      <c r="K67" s="50">
        <f>IF(P67="","",IFERROR(MATCH(P67,ListA_Combo,0)+4,""))</f>
        <v/>
      </c>
      <c r="L67" s="51">
        <f>IF(A67="","",IF(K67="","Unmatched",IF(ABS(C67-M67)&lt;=MAX(N(Tolerance),0),"Matched","Difference")))</f>
        <v/>
      </c>
      <c r="M67" s="52">
        <f>IF(K67="","",INDEX('List A'!$C$5:$C$204,K67-4))</f>
        <v/>
      </c>
      <c r="N67" s="52">
        <f>IF(K67="","",C67-M67)</f>
        <v/>
      </c>
      <c r="O67" s="53">
        <f>IF(OR(A67="",K67=""),"",IF(H67&lt;&gt;"","Manual pair",IF(D67&lt;&gt;"","Reference / ID",MatchMode)))</f>
        <v/>
      </c>
      <c r="P67" s="54">
        <f>IF(I67="","",I67&amp;"|"&amp;J67)</f>
        <v/>
      </c>
      <c r="Q67" s="54">
        <f>IF(L67="Matched",COUNTIF($L$5:L67,"Matched"),"")</f>
        <v/>
      </c>
      <c r="R67" s="54">
        <f>IF(L67="Unmatched",COUNTIF($L$5:L67,"Unmatched"),"")</f>
        <v/>
      </c>
      <c r="S67" s="54">
        <f>IF(L67="Difference",COUNTIF($L$5:L67,"Difference"),"")</f>
        <v/>
      </c>
      <c r="T67" s="55">
        <f>IF(L67="Difference",ABS(N67),0)</f>
        <v/>
      </c>
    </row>
    <row r="68" ht="17" customHeight="1">
      <c r="A68" s="86" t="n"/>
      <c r="B68" s="46" t="n"/>
      <c r="C68" s="47" t="n"/>
      <c r="D68" s="46" t="n"/>
      <c r="E68" s="46" t="n"/>
      <c r="F68" s="46" t="n"/>
      <c r="G68" s="48" t="n"/>
      <c r="H68" s="48" t="n"/>
      <c r="I68" s="49">
        <f>IF(A68="","",IF(H68&lt;&gt;"","M|"&amp;TRIM(H68),IF(AND(MatchMode="Reference / ID only",D68=""),"U|"&amp;ROW(),IF(D68&lt;&gt;"","R|"&amp;TRIM(D68),IF(MatchMode="Amount only","A|"&amp;TEXT(ROUND(C68,2),"0.00"),IF(MatchMode="Amount (tolerance)","T|"&amp;TEXT(ROUND(C68/MAX(N(Tolerance),0.0001),0),"0"),IF(MatchMode="Date + amount (tolerance)","DT|"&amp;TEXT(A68,"yyyy-mm-dd")&amp;"|"&amp;TEXT(ROUND(C68/MAX(N(Tolerance),0.0001),0),"0"),IF(MatchMode="Description (exact)","S|"&amp;LOWER(TRIM(B68)),IF(MatchMode="Reference / ID only","U|"&amp;ROW(),"DA|"&amp;TEXT(A68,"yyyy-mm-dd")&amp;"|"&amp;TEXT(ROUND(C68,2),"0.00"))))))))))</f>
        <v/>
      </c>
      <c r="J68" s="50">
        <f>IF(I68="","",COUNTIF($I$5:I68,I68))</f>
        <v/>
      </c>
      <c r="K68" s="50">
        <f>IF(P68="","",IFERROR(MATCH(P68,ListA_Combo,0)+4,""))</f>
        <v/>
      </c>
      <c r="L68" s="51">
        <f>IF(A68="","",IF(K68="","Unmatched",IF(ABS(C68-M68)&lt;=MAX(N(Tolerance),0),"Matched","Difference")))</f>
        <v/>
      </c>
      <c r="M68" s="52">
        <f>IF(K68="","",INDEX('List A'!$C$5:$C$204,K68-4))</f>
        <v/>
      </c>
      <c r="N68" s="52">
        <f>IF(K68="","",C68-M68)</f>
        <v/>
      </c>
      <c r="O68" s="53">
        <f>IF(OR(A68="",K68=""),"",IF(H68&lt;&gt;"","Manual pair",IF(D68&lt;&gt;"","Reference / ID",MatchMode)))</f>
        <v/>
      </c>
      <c r="P68" s="54">
        <f>IF(I68="","",I68&amp;"|"&amp;J68)</f>
        <v/>
      </c>
      <c r="Q68" s="54">
        <f>IF(L68="Matched",COUNTIF($L$5:L68,"Matched"),"")</f>
        <v/>
      </c>
      <c r="R68" s="54">
        <f>IF(L68="Unmatched",COUNTIF($L$5:L68,"Unmatched"),"")</f>
        <v/>
      </c>
      <c r="S68" s="54">
        <f>IF(L68="Difference",COUNTIF($L$5:L68,"Difference"),"")</f>
        <v/>
      </c>
      <c r="T68" s="55">
        <f>IF(L68="Difference",ABS(N68),0)</f>
        <v/>
      </c>
    </row>
    <row r="69" ht="17" customHeight="1">
      <c r="A69" s="86" t="n"/>
      <c r="B69" s="46" t="n"/>
      <c r="C69" s="47" t="n"/>
      <c r="D69" s="46" t="n"/>
      <c r="E69" s="46" t="n"/>
      <c r="F69" s="46" t="n"/>
      <c r="G69" s="48" t="n"/>
      <c r="H69" s="48" t="n"/>
      <c r="I69" s="49">
        <f>IF(A69="","",IF(H69&lt;&gt;"","M|"&amp;TRIM(H69),IF(AND(MatchMode="Reference / ID only",D69=""),"U|"&amp;ROW(),IF(D69&lt;&gt;"","R|"&amp;TRIM(D69),IF(MatchMode="Amount only","A|"&amp;TEXT(ROUND(C69,2),"0.00"),IF(MatchMode="Amount (tolerance)","T|"&amp;TEXT(ROUND(C69/MAX(N(Tolerance),0.0001),0),"0"),IF(MatchMode="Date + amount (tolerance)","DT|"&amp;TEXT(A69,"yyyy-mm-dd")&amp;"|"&amp;TEXT(ROUND(C69/MAX(N(Tolerance),0.0001),0),"0"),IF(MatchMode="Description (exact)","S|"&amp;LOWER(TRIM(B69)),IF(MatchMode="Reference / ID only","U|"&amp;ROW(),"DA|"&amp;TEXT(A69,"yyyy-mm-dd")&amp;"|"&amp;TEXT(ROUND(C69,2),"0.00"))))))))))</f>
        <v/>
      </c>
      <c r="J69" s="50">
        <f>IF(I69="","",COUNTIF($I$5:I69,I69))</f>
        <v/>
      </c>
      <c r="K69" s="50">
        <f>IF(P69="","",IFERROR(MATCH(P69,ListA_Combo,0)+4,""))</f>
        <v/>
      </c>
      <c r="L69" s="51">
        <f>IF(A69="","",IF(K69="","Unmatched",IF(ABS(C69-M69)&lt;=MAX(N(Tolerance),0),"Matched","Difference")))</f>
        <v/>
      </c>
      <c r="M69" s="52">
        <f>IF(K69="","",INDEX('List A'!$C$5:$C$204,K69-4))</f>
        <v/>
      </c>
      <c r="N69" s="52">
        <f>IF(K69="","",C69-M69)</f>
        <v/>
      </c>
      <c r="O69" s="53">
        <f>IF(OR(A69="",K69=""),"",IF(H69&lt;&gt;"","Manual pair",IF(D69&lt;&gt;"","Reference / ID",MatchMode)))</f>
        <v/>
      </c>
      <c r="P69" s="54">
        <f>IF(I69="","",I69&amp;"|"&amp;J69)</f>
        <v/>
      </c>
      <c r="Q69" s="54">
        <f>IF(L69="Matched",COUNTIF($L$5:L69,"Matched"),"")</f>
        <v/>
      </c>
      <c r="R69" s="54">
        <f>IF(L69="Unmatched",COUNTIF($L$5:L69,"Unmatched"),"")</f>
        <v/>
      </c>
      <c r="S69" s="54">
        <f>IF(L69="Difference",COUNTIF($L$5:L69,"Difference"),"")</f>
        <v/>
      </c>
      <c r="T69" s="55">
        <f>IF(L69="Difference",ABS(N69),0)</f>
        <v/>
      </c>
    </row>
    <row r="70" ht="17" customHeight="1">
      <c r="A70" s="86" t="n"/>
      <c r="B70" s="46" t="n"/>
      <c r="C70" s="47" t="n"/>
      <c r="D70" s="46" t="n"/>
      <c r="E70" s="46" t="n"/>
      <c r="F70" s="46" t="n"/>
      <c r="G70" s="48" t="n"/>
      <c r="H70" s="48" t="n"/>
      <c r="I70" s="49">
        <f>IF(A70="","",IF(H70&lt;&gt;"","M|"&amp;TRIM(H70),IF(AND(MatchMode="Reference / ID only",D70=""),"U|"&amp;ROW(),IF(D70&lt;&gt;"","R|"&amp;TRIM(D70),IF(MatchMode="Amount only","A|"&amp;TEXT(ROUND(C70,2),"0.00"),IF(MatchMode="Amount (tolerance)","T|"&amp;TEXT(ROUND(C70/MAX(N(Tolerance),0.0001),0),"0"),IF(MatchMode="Date + amount (tolerance)","DT|"&amp;TEXT(A70,"yyyy-mm-dd")&amp;"|"&amp;TEXT(ROUND(C70/MAX(N(Tolerance),0.0001),0),"0"),IF(MatchMode="Description (exact)","S|"&amp;LOWER(TRIM(B70)),IF(MatchMode="Reference / ID only","U|"&amp;ROW(),"DA|"&amp;TEXT(A70,"yyyy-mm-dd")&amp;"|"&amp;TEXT(ROUND(C70,2),"0.00"))))))))))</f>
        <v/>
      </c>
      <c r="J70" s="50">
        <f>IF(I70="","",COUNTIF($I$5:I70,I70))</f>
        <v/>
      </c>
      <c r="K70" s="50">
        <f>IF(P70="","",IFERROR(MATCH(P70,ListA_Combo,0)+4,""))</f>
        <v/>
      </c>
      <c r="L70" s="51">
        <f>IF(A70="","",IF(K70="","Unmatched",IF(ABS(C70-M70)&lt;=MAX(N(Tolerance),0),"Matched","Difference")))</f>
        <v/>
      </c>
      <c r="M70" s="52">
        <f>IF(K70="","",INDEX('List A'!$C$5:$C$204,K70-4))</f>
        <v/>
      </c>
      <c r="N70" s="52">
        <f>IF(K70="","",C70-M70)</f>
        <v/>
      </c>
      <c r="O70" s="53">
        <f>IF(OR(A70="",K70=""),"",IF(H70&lt;&gt;"","Manual pair",IF(D70&lt;&gt;"","Reference / ID",MatchMode)))</f>
        <v/>
      </c>
      <c r="P70" s="54">
        <f>IF(I70="","",I70&amp;"|"&amp;J70)</f>
        <v/>
      </c>
      <c r="Q70" s="54">
        <f>IF(L70="Matched",COUNTIF($L$5:L70,"Matched"),"")</f>
        <v/>
      </c>
      <c r="R70" s="54">
        <f>IF(L70="Unmatched",COUNTIF($L$5:L70,"Unmatched"),"")</f>
        <v/>
      </c>
      <c r="S70" s="54">
        <f>IF(L70="Difference",COUNTIF($L$5:L70,"Difference"),"")</f>
        <v/>
      </c>
      <c r="T70" s="55">
        <f>IF(L70="Difference",ABS(N70),0)</f>
        <v/>
      </c>
    </row>
    <row r="71" ht="17" customHeight="1">
      <c r="A71" s="86" t="n"/>
      <c r="B71" s="46" t="n"/>
      <c r="C71" s="47" t="n"/>
      <c r="D71" s="46" t="n"/>
      <c r="E71" s="46" t="n"/>
      <c r="F71" s="46" t="n"/>
      <c r="G71" s="48" t="n"/>
      <c r="H71" s="48" t="n"/>
      <c r="I71" s="49">
        <f>IF(A71="","",IF(H71&lt;&gt;"","M|"&amp;TRIM(H71),IF(AND(MatchMode="Reference / ID only",D71=""),"U|"&amp;ROW(),IF(D71&lt;&gt;"","R|"&amp;TRIM(D71),IF(MatchMode="Amount only","A|"&amp;TEXT(ROUND(C71,2),"0.00"),IF(MatchMode="Amount (tolerance)","T|"&amp;TEXT(ROUND(C71/MAX(N(Tolerance),0.0001),0),"0"),IF(MatchMode="Date + amount (tolerance)","DT|"&amp;TEXT(A71,"yyyy-mm-dd")&amp;"|"&amp;TEXT(ROUND(C71/MAX(N(Tolerance),0.0001),0),"0"),IF(MatchMode="Description (exact)","S|"&amp;LOWER(TRIM(B71)),IF(MatchMode="Reference / ID only","U|"&amp;ROW(),"DA|"&amp;TEXT(A71,"yyyy-mm-dd")&amp;"|"&amp;TEXT(ROUND(C71,2),"0.00"))))))))))</f>
        <v/>
      </c>
      <c r="J71" s="50">
        <f>IF(I71="","",COUNTIF($I$5:I71,I71))</f>
        <v/>
      </c>
      <c r="K71" s="50">
        <f>IF(P71="","",IFERROR(MATCH(P71,ListA_Combo,0)+4,""))</f>
        <v/>
      </c>
      <c r="L71" s="51">
        <f>IF(A71="","",IF(K71="","Unmatched",IF(ABS(C71-M71)&lt;=MAX(N(Tolerance),0),"Matched","Difference")))</f>
        <v/>
      </c>
      <c r="M71" s="52">
        <f>IF(K71="","",INDEX('List A'!$C$5:$C$204,K71-4))</f>
        <v/>
      </c>
      <c r="N71" s="52">
        <f>IF(K71="","",C71-M71)</f>
        <v/>
      </c>
      <c r="O71" s="53">
        <f>IF(OR(A71="",K71=""),"",IF(H71&lt;&gt;"","Manual pair",IF(D71&lt;&gt;"","Reference / ID",MatchMode)))</f>
        <v/>
      </c>
      <c r="P71" s="54">
        <f>IF(I71="","",I71&amp;"|"&amp;J71)</f>
        <v/>
      </c>
      <c r="Q71" s="54">
        <f>IF(L71="Matched",COUNTIF($L$5:L71,"Matched"),"")</f>
        <v/>
      </c>
      <c r="R71" s="54">
        <f>IF(L71="Unmatched",COUNTIF($L$5:L71,"Unmatched"),"")</f>
        <v/>
      </c>
      <c r="S71" s="54">
        <f>IF(L71="Difference",COUNTIF($L$5:L71,"Difference"),"")</f>
        <v/>
      </c>
      <c r="T71" s="55">
        <f>IF(L71="Difference",ABS(N71),0)</f>
        <v/>
      </c>
    </row>
    <row r="72" ht="17" customHeight="1">
      <c r="A72" s="86" t="n"/>
      <c r="B72" s="46" t="n"/>
      <c r="C72" s="47" t="n"/>
      <c r="D72" s="46" t="n"/>
      <c r="E72" s="46" t="n"/>
      <c r="F72" s="46" t="n"/>
      <c r="G72" s="48" t="n"/>
      <c r="H72" s="48" t="n"/>
      <c r="I72" s="49">
        <f>IF(A72="","",IF(H72&lt;&gt;"","M|"&amp;TRIM(H72),IF(AND(MatchMode="Reference / ID only",D72=""),"U|"&amp;ROW(),IF(D72&lt;&gt;"","R|"&amp;TRIM(D72),IF(MatchMode="Amount only","A|"&amp;TEXT(ROUND(C72,2),"0.00"),IF(MatchMode="Amount (tolerance)","T|"&amp;TEXT(ROUND(C72/MAX(N(Tolerance),0.0001),0),"0"),IF(MatchMode="Date + amount (tolerance)","DT|"&amp;TEXT(A72,"yyyy-mm-dd")&amp;"|"&amp;TEXT(ROUND(C72/MAX(N(Tolerance),0.0001),0),"0"),IF(MatchMode="Description (exact)","S|"&amp;LOWER(TRIM(B72)),IF(MatchMode="Reference / ID only","U|"&amp;ROW(),"DA|"&amp;TEXT(A72,"yyyy-mm-dd")&amp;"|"&amp;TEXT(ROUND(C72,2),"0.00"))))))))))</f>
        <v/>
      </c>
      <c r="J72" s="50">
        <f>IF(I72="","",COUNTIF($I$5:I72,I72))</f>
        <v/>
      </c>
      <c r="K72" s="50">
        <f>IF(P72="","",IFERROR(MATCH(P72,ListA_Combo,0)+4,""))</f>
        <v/>
      </c>
      <c r="L72" s="51">
        <f>IF(A72="","",IF(K72="","Unmatched",IF(ABS(C72-M72)&lt;=MAX(N(Tolerance),0),"Matched","Difference")))</f>
        <v/>
      </c>
      <c r="M72" s="52">
        <f>IF(K72="","",INDEX('List A'!$C$5:$C$204,K72-4))</f>
        <v/>
      </c>
      <c r="N72" s="52">
        <f>IF(K72="","",C72-M72)</f>
        <v/>
      </c>
      <c r="O72" s="53">
        <f>IF(OR(A72="",K72=""),"",IF(H72&lt;&gt;"","Manual pair",IF(D72&lt;&gt;"","Reference / ID",MatchMode)))</f>
        <v/>
      </c>
      <c r="P72" s="54">
        <f>IF(I72="","",I72&amp;"|"&amp;J72)</f>
        <v/>
      </c>
      <c r="Q72" s="54">
        <f>IF(L72="Matched",COUNTIF($L$5:L72,"Matched"),"")</f>
        <v/>
      </c>
      <c r="R72" s="54">
        <f>IF(L72="Unmatched",COUNTIF($L$5:L72,"Unmatched"),"")</f>
        <v/>
      </c>
      <c r="S72" s="54">
        <f>IF(L72="Difference",COUNTIF($L$5:L72,"Difference"),"")</f>
        <v/>
      </c>
      <c r="T72" s="55">
        <f>IF(L72="Difference",ABS(N72),0)</f>
        <v/>
      </c>
    </row>
    <row r="73" ht="17" customHeight="1">
      <c r="A73" s="86" t="n"/>
      <c r="B73" s="46" t="n"/>
      <c r="C73" s="47" t="n"/>
      <c r="D73" s="46" t="n"/>
      <c r="E73" s="46" t="n"/>
      <c r="F73" s="46" t="n"/>
      <c r="G73" s="48" t="n"/>
      <c r="H73" s="48" t="n"/>
      <c r="I73" s="49">
        <f>IF(A73="","",IF(H73&lt;&gt;"","M|"&amp;TRIM(H73),IF(AND(MatchMode="Reference / ID only",D73=""),"U|"&amp;ROW(),IF(D73&lt;&gt;"","R|"&amp;TRIM(D73),IF(MatchMode="Amount only","A|"&amp;TEXT(ROUND(C73,2),"0.00"),IF(MatchMode="Amount (tolerance)","T|"&amp;TEXT(ROUND(C73/MAX(N(Tolerance),0.0001),0),"0"),IF(MatchMode="Date + amount (tolerance)","DT|"&amp;TEXT(A73,"yyyy-mm-dd")&amp;"|"&amp;TEXT(ROUND(C73/MAX(N(Tolerance),0.0001),0),"0"),IF(MatchMode="Description (exact)","S|"&amp;LOWER(TRIM(B73)),IF(MatchMode="Reference / ID only","U|"&amp;ROW(),"DA|"&amp;TEXT(A73,"yyyy-mm-dd")&amp;"|"&amp;TEXT(ROUND(C73,2),"0.00"))))))))))</f>
        <v/>
      </c>
      <c r="J73" s="50">
        <f>IF(I73="","",COUNTIF($I$5:I73,I73))</f>
        <v/>
      </c>
      <c r="K73" s="50">
        <f>IF(P73="","",IFERROR(MATCH(P73,ListA_Combo,0)+4,""))</f>
        <v/>
      </c>
      <c r="L73" s="51">
        <f>IF(A73="","",IF(K73="","Unmatched",IF(ABS(C73-M73)&lt;=MAX(N(Tolerance),0),"Matched","Difference")))</f>
        <v/>
      </c>
      <c r="M73" s="52">
        <f>IF(K73="","",INDEX('List A'!$C$5:$C$204,K73-4))</f>
        <v/>
      </c>
      <c r="N73" s="52">
        <f>IF(K73="","",C73-M73)</f>
        <v/>
      </c>
      <c r="O73" s="53">
        <f>IF(OR(A73="",K73=""),"",IF(H73&lt;&gt;"","Manual pair",IF(D73&lt;&gt;"","Reference / ID",MatchMode)))</f>
        <v/>
      </c>
      <c r="P73" s="54">
        <f>IF(I73="","",I73&amp;"|"&amp;J73)</f>
        <v/>
      </c>
      <c r="Q73" s="54">
        <f>IF(L73="Matched",COUNTIF($L$5:L73,"Matched"),"")</f>
        <v/>
      </c>
      <c r="R73" s="54">
        <f>IF(L73="Unmatched",COUNTIF($L$5:L73,"Unmatched"),"")</f>
        <v/>
      </c>
      <c r="S73" s="54">
        <f>IF(L73="Difference",COUNTIF($L$5:L73,"Difference"),"")</f>
        <v/>
      </c>
      <c r="T73" s="55">
        <f>IF(L73="Difference",ABS(N73),0)</f>
        <v/>
      </c>
    </row>
    <row r="74" ht="17" customHeight="1">
      <c r="A74" s="86" t="n"/>
      <c r="B74" s="46" t="n"/>
      <c r="C74" s="47" t="n"/>
      <c r="D74" s="46" t="n"/>
      <c r="E74" s="46" t="n"/>
      <c r="F74" s="46" t="n"/>
      <c r="G74" s="48" t="n"/>
      <c r="H74" s="48" t="n"/>
      <c r="I74" s="49">
        <f>IF(A74="","",IF(H74&lt;&gt;"","M|"&amp;TRIM(H74),IF(AND(MatchMode="Reference / ID only",D74=""),"U|"&amp;ROW(),IF(D74&lt;&gt;"","R|"&amp;TRIM(D74),IF(MatchMode="Amount only","A|"&amp;TEXT(ROUND(C74,2),"0.00"),IF(MatchMode="Amount (tolerance)","T|"&amp;TEXT(ROUND(C74/MAX(N(Tolerance),0.0001),0),"0"),IF(MatchMode="Date + amount (tolerance)","DT|"&amp;TEXT(A74,"yyyy-mm-dd")&amp;"|"&amp;TEXT(ROUND(C74/MAX(N(Tolerance),0.0001),0),"0"),IF(MatchMode="Description (exact)","S|"&amp;LOWER(TRIM(B74)),IF(MatchMode="Reference / ID only","U|"&amp;ROW(),"DA|"&amp;TEXT(A74,"yyyy-mm-dd")&amp;"|"&amp;TEXT(ROUND(C74,2),"0.00"))))))))))</f>
        <v/>
      </c>
      <c r="J74" s="50">
        <f>IF(I74="","",COUNTIF($I$5:I74,I74))</f>
        <v/>
      </c>
      <c r="K74" s="50">
        <f>IF(P74="","",IFERROR(MATCH(P74,ListA_Combo,0)+4,""))</f>
        <v/>
      </c>
      <c r="L74" s="51">
        <f>IF(A74="","",IF(K74="","Unmatched",IF(ABS(C74-M74)&lt;=MAX(N(Tolerance),0),"Matched","Difference")))</f>
        <v/>
      </c>
      <c r="M74" s="52">
        <f>IF(K74="","",INDEX('List A'!$C$5:$C$204,K74-4))</f>
        <v/>
      </c>
      <c r="N74" s="52">
        <f>IF(K74="","",C74-M74)</f>
        <v/>
      </c>
      <c r="O74" s="53">
        <f>IF(OR(A74="",K74=""),"",IF(H74&lt;&gt;"","Manual pair",IF(D74&lt;&gt;"","Reference / ID",MatchMode)))</f>
        <v/>
      </c>
      <c r="P74" s="54">
        <f>IF(I74="","",I74&amp;"|"&amp;J74)</f>
        <v/>
      </c>
      <c r="Q74" s="54">
        <f>IF(L74="Matched",COUNTIF($L$5:L74,"Matched"),"")</f>
        <v/>
      </c>
      <c r="R74" s="54">
        <f>IF(L74="Unmatched",COUNTIF($L$5:L74,"Unmatched"),"")</f>
        <v/>
      </c>
      <c r="S74" s="54">
        <f>IF(L74="Difference",COUNTIF($L$5:L74,"Difference"),"")</f>
        <v/>
      </c>
      <c r="T74" s="55">
        <f>IF(L74="Difference",ABS(N74),0)</f>
        <v/>
      </c>
    </row>
    <row r="75" ht="17" customHeight="1">
      <c r="A75" s="86" t="n"/>
      <c r="B75" s="46" t="n"/>
      <c r="C75" s="47" t="n"/>
      <c r="D75" s="46" t="n"/>
      <c r="E75" s="46" t="n"/>
      <c r="F75" s="46" t="n"/>
      <c r="G75" s="48" t="n"/>
      <c r="H75" s="48" t="n"/>
      <c r="I75" s="49">
        <f>IF(A75="","",IF(H75&lt;&gt;"","M|"&amp;TRIM(H75),IF(AND(MatchMode="Reference / ID only",D75=""),"U|"&amp;ROW(),IF(D75&lt;&gt;"","R|"&amp;TRIM(D75),IF(MatchMode="Amount only","A|"&amp;TEXT(ROUND(C75,2),"0.00"),IF(MatchMode="Amount (tolerance)","T|"&amp;TEXT(ROUND(C75/MAX(N(Tolerance),0.0001),0),"0"),IF(MatchMode="Date + amount (tolerance)","DT|"&amp;TEXT(A75,"yyyy-mm-dd")&amp;"|"&amp;TEXT(ROUND(C75/MAX(N(Tolerance),0.0001),0),"0"),IF(MatchMode="Description (exact)","S|"&amp;LOWER(TRIM(B75)),IF(MatchMode="Reference / ID only","U|"&amp;ROW(),"DA|"&amp;TEXT(A75,"yyyy-mm-dd")&amp;"|"&amp;TEXT(ROUND(C75,2),"0.00"))))))))))</f>
        <v/>
      </c>
      <c r="J75" s="50">
        <f>IF(I75="","",COUNTIF($I$5:I75,I75))</f>
        <v/>
      </c>
      <c r="K75" s="50">
        <f>IF(P75="","",IFERROR(MATCH(P75,ListA_Combo,0)+4,""))</f>
        <v/>
      </c>
      <c r="L75" s="51">
        <f>IF(A75="","",IF(K75="","Unmatched",IF(ABS(C75-M75)&lt;=MAX(N(Tolerance),0),"Matched","Difference")))</f>
        <v/>
      </c>
      <c r="M75" s="52">
        <f>IF(K75="","",INDEX('List A'!$C$5:$C$204,K75-4))</f>
        <v/>
      </c>
      <c r="N75" s="52">
        <f>IF(K75="","",C75-M75)</f>
        <v/>
      </c>
      <c r="O75" s="53">
        <f>IF(OR(A75="",K75=""),"",IF(H75&lt;&gt;"","Manual pair",IF(D75&lt;&gt;"","Reference / ID",MatchMode)))</f>
        <v/>
      </c>
      <c r="P75" s="54">
        <f>IF(I75="","",I75&amp;"|"&amp;J75)</f>
        <v/>
      </c>
      <c r="Q75" s="54">
        <f>IF(L75="Matched",COUNTIF($L$5:L75,"Matched"),"")</f>
        <v/>
      </c>
      <c r="R75" s="54">
        <f>IF(L75="Unmatched",COUNTIF($L$5:L75,"Unmatched"),"")</f>
        <v/>
      </c>
      <c r="S75" s="54">
        <f>IF(L75="Difference",COUNTIF($L$5:L75,"Difference"),"")</f>
        <v/>
      </c>
      <c r="T75" s="55">
        <f>IF(L75="Difference",ABS(N75),0)</f>
        <v/>
      </c>
    </row>
    <row r="76" ht="17" customHeight="1">
      <c r="A76" s="86" t="n"/>
      <c r="B76" s="46" t="n"/>
      <c r="C76" s="47" t="n"/>
      <c r="D76" s="46" t="n"/>
      <c r="E76" s="46" t="n"/>
      <c r="F76" s="46" t="n"/>
      <c r="G76" s="48" t="n"/>
      <c r="H76" s="48" t="n"/>
      <c r="I76" s="49">
        <f>IF(A76="","",IF(H76&lt;&gt;"","M|"&amp;TRIM(H76),IF(AND(MatchMode="Reference / ID only",D76=""),"U|"&amp;ROW(),IF(D76&lt;&gt;"","R|"&amp;TRIM(D76),IF(MatchMode="Amount only","A|"&amp;TEXT(ROUND(C76,2),"0.00"),IF(MatchMode="Amount (tolerance)","T|"&amp;TEXT(ROUND(C76/MAX(N(Tolerance),0.0001),0),"0"),IF(MatchMode="Date + amount (tolerance)","DT|"&amp;TEXT(A76,"yyyy-mm-dd")&amp;"|"&amp;TEXT(ROUND(C76/MAX(N(Tolerance),0.0001),0),"0"),IF(MatchMode="Description (exact)","S|"&amp;LOWER(TRIM(B76)),IF(MatchMode="Reference / ID only","U|"&amp;ROW(),"DA|"&amp;TEXT(A76,"yyyy-mm-dd")&amp;"|"&amp;TEXT(ROUND(C76,2),"0.00"))))))))))</f>
        <v/>
      </c>
      <c r="J76" s="50">
        <f>IF(I76="","",COUNTIF($I$5:I76,I76))</f>
        <v/>
      </c>
      <c r="K76" s="50">
        <f>IF(P76="","",IFERROR(MATCH(P76,ListA_Combo,0)+4,""))</f>
        <v/>
      </c>
      <c r="L76" s="51">
        <f>IF(A76="","",IF(K76="","Unmatched",IF(ABS(C76-M76)&lt;=MAX(N(Tolerance),0),"Matched","Difference")))</f>
        <v/>
      </c>
      <c r="M76" s="52">
        <f>IF(K76="","",INDEX('List A'!$C$5:$C$204,K76-4))</f>
        <v/>
      </c>
      <c r="N76" s="52">
        <f>IF(K76="","",C76-M76)</f>
        <v/>
      </c>
      <c r="O76" s="53">
        <f>IF(OR(A76="",K76=""),"",IF(H76&lt;&gt;"","Manual pair",IF(D76&lt;&gt;"","Reference / ID",MatchMode)))</f>
        <v/>
      </c>
      <c r="P76" s="54">
        <f>IF(I76="","",I76&amp;"|"&amp;J76)</f>
        <v/>
      </c>
      <c r="Q76" s="54">
        <f>IF(L76="Matched",COUNTIF($L$5:L76,"Matched"),"")</f>
        <v/>
      </c>
      <c r="R76" s="54">
        <f>IF(L76="Unmatched",COUNTIF($L$5:L76,"Unmatched"),"")</f>
        <v/>
      </c>
      <c r="S76" s="54">
        <f>IF(L76="Difference",COUNTIF($L$5:L76,"Difference"),"")</f>
        <v/>
      </c>
      <c r="T76" s="55">
        <f>IF(L76="Difference",ABS(N76),0)</f>
        <v/>
      </c>
    </row>
    <row r="77" ht="17" customHeight="1">
      <c r="A77" s="86" t="n"/>
      <c r="B77" s="46" t="n"/>
      <c r="C77" s="47" t="n"/>
      <c r="D77" s="46" t="n"/>
      <c r="E77" s="46" t="n"/>
      <c r="F77" s="46" t="n"/>
      <c r="G77" s="48" t="n"/>
      <c r="H77" s="48" t="n"/>
      <c r="I77" s="49">
        <f>IF(A77="","",IF(H77&lt;&gt;"","M|"&amp;TRIM(H77),IF(AND(MatchMode="Reference / ID only",D77=""),"U|"&amp;ROW(),IF(D77&lt;&gt;"","R|"&amp;TRIM(D77),IF(MatchMode="Amount only","A|"&amp;TEXT(ROUND(C77,2),"0.00"),IF(MatchMode="Amount (tolerance)","T|"&amp;TEXT(ROUND(C77/MAX(N(Tolerance),0.0001),0),"0"),IF(MatchMode="Date + amount (tolerance)","DT|"&amp;TEXT(A77,"yyyy-mm-dd")&amp;"|"&amp;TEXT(ROUND(C77/MAX(N(Tolerance),0.0001),0),"0"),IF(MatchMode="Description (exact)","S|"&amp;LOWER(TRIM(B77)),IF(MatchMode="Reference / ID only","U|"&amp;ROW(),"DA|"&amp;TEXT(A77,"yyyy-mm-dd")&amp;"|"&amp;TEXT(ROUND(C77,2),"0.00"))))))))))</f>
        <v/>
      </c>
      <c r="J77" s="50">
        <f>IF(I77="","",COUNTIF($I$5:I77,I77))</f>
        <v/>
      </c>
      <c r="K77" s="50">
        <f>IF(P77="","",IFERROR(MATCH(P77,ListA_Combo,0)+4,""))</f>
        <v/>
      </c>
      <c r="L77" s="51">
        <f>IF(A77="","",IF(K77="","Unmatched",IF(ABS(C77-M77)&lt;=MAX(N(Tolerance),0),"Matched","Difference")))</f>
        <v/>
      </c>
      <c r="M77" s="52">
        <f>IF(K77="","",INDEX('List A'!$C$5:$C$204,K77-4))</f>
        <v/>
      </c>
      <c r="N77" s="52">
        <f>IF(K77="","",C77-M77)</f>
        <v/>
      </c>
      <c r="O77" s="53">
        <f>IF(OR(A77="",K77=""),"",IF(H77&lt;&gt;"","Manual pair",IF(D77&lt;&gt;"","Reference / ID",MatchMode)))</f>
        <v/>
      </c>
      <c r="P77" s="54">
        <f>IF(I77="","",I77&amp;"|"&amp;J77)</f>
        <v/>
      </c>
      <c r="Q77" s="54">
        <f>IF(L77="Matched",COUNTIF($L$5:L77,"Matched"),"")</f>
        <v/>
      </c>
      <c r="R77" s="54">
        <f>IF(L77="Unmatched",COUNTIF($L$5:L77,"Unmatched"),"")</f>
        <v/>
      </c>
      <c r="S77" s="54">
        <f>IF(L77="Difference",COUNTIF($L$5:L77,"Difference"),"")</f>
        <v/>
      </c>
      <c r="T77" s="55">
        <f>IF(L77="Difference",ABS(N77),0)</f>
        <v/>
      </c>
    </row>
    <row r="78" ht="17" customHeight="1">
      <c r="A78" s="86" t="n"/>
      <c r="B78" s="46" t="n"/>
      <c r="C78" s="47" t="n"/>
      <c r="D78" s="46" t="n"/>
      <c r="E78" s="46" t="n"/>
      <c r="F78" s="46" t="n"/>
      <c r="G78" s="48" t="n"/>
      <c r="H78" s="48" t="n"/>
      <c r="I78" s="49">
        <f>IF(A78="","",IF(H78&lt;&gt;"","M|"&amp;TRIM(H78),IF(AND(MatchMode="Reference / ID only",D78=""),"U|"&amp;ROW(),IF(D78&lt;&gt;"","R|"&amp;TRIM(D78),IF(MatchMode="Amount only","A|"&amp;TEXT(ROUND(C78,2),"0.00"),IF(MatchMode="Amount (tolerance)","T|"&amp;TEXT(ROUND(C78/MAX(N(Tolerance),0.0001),0),"0"),IF(MatchMode="Date + amount (tolerance)","DT|"&amp;TEXT(A78,"yyyy-mm-dd")&amp;"|"&amp;TEXT(ROUND(C78/MAX(N(Tolerance),0.0001),0),"0"),IF(MatchMode="Description (exact)","S|"&amp;LOWER(TRIM(B78)),IF(MatchMode="Reference / ID only","U|"&amp;ROW(),"DA|"&amp;TEXT(A78,"yyyy-mm-dd")&amp;"|"&amp;TEXT(ROUND(C78,2),"0.00"))))))))))</f>
        <v/>
      </c>
      <c r="J78" s="50">
        <f>IF(I78="","",COUNTIF($I$5:I78,I78))</f>
        <v/>
      </c>
      <c r="K78" s="50">
        <f>IF(P78="","",IFERROR(MATCH(P78,ListA_Combo,0)+4,""))</f>
        <v/>
      </c>
      <c r="L78" s="51">
        <f>IF(A78="","",IF(K78="","Unmatched",IF(ABS(C78-M78)&lt;=MAX(N(Tolerance),0),"Matched","Difference")))</f>
        <v/>
      </c>
      <c r="M78" s="52">
        <f>IF(K78="","",INDEX('List A'!$C$5:$C$204,K78-4))</f>
        <v/>
      </c>
      <c r="N78" s="52">
        <f>IF(K78="","",C78-M78)</f>
        <v/>
      </c>
      <c r="O78" s="53">
        <f>IF(OR(A78="",K78=""),"",IF(H78&lt;&gt;"","Manual pair",IF(D78&lt;&gt;"","Reference / ID",MatchMode)))</f>
        <v/>
      </c>
      <c r="P78" s="54">
        <f>IF(I78="","",I78&amp;"|"&amp;J78)</f>
        <v/>
      </c>
      <c r="Q78" s="54">
        <f>IF(L78="Matched",COUNTIF($L$5:L78,"Matched"),"")</f>
        <v/>
      </c>
      <c r="R78" s="54">
        <f>IF(L78="Unmatched",COUNTIF($L$5:L78,"Unmatched"),"")</f>
        <v/>
      </c>
      <c r="S78" s="54">
        <f>IF(L78="Difference",COUNTIF($L$5:L78,"Difference"),"")</f>
        <v/>
      </c>
      <c r="T78" s="55">
        <f>IF(L78="Difference",ABS(N78),0)</f>
        <v/>
      </c>
    </row>
    <row r="79" ht="17" customHeight="1">
      <c r="A79" s="86" t="n"/>
      <c r="B79" s="46" t="n"/>
      <c r="C79" s="47" t="n"/>
      <c r="D79" s="46" t="n"/>
      <c r="E79" s="46" t="n"/>
      <c r="F79" s="46" t="n"/>
      <c r="G79" s="48" t="n"/>
      <c r="H79" s="48" t="n"/>
      <c r="I79" s="49">
        <f>IF(A79="","",IF(H79&lt;&gt;"","M|"&amp;TRIM(H79),IF(AND(MatchMode="Reference / ID only",D79=""),"U|"&amp;ROW(),IF(D79&lt;&gt;"","R|"&amp;TRIM(D79),IF(MatchMode="Amount only","A|"&amp;TEXT(ROUND(C79,2),"0.00"),IF(MatchMode="Amount (tolerance)","T|"&amp;TEXT(ROUND(C79/MAX(N(Tolerance),0.0001),0),"0"),IF(MatchMode="Date + amount (tolerance)","DT|"&amp;TEXT(A79,"yyyy-mm-dd")&amp;"|"&amp;TEXT(ROUND(C79/MAX(N(Tolerance),0.0001),0),"0"),IF(MatchMode="Description (exact)","S|"&amp;LOWER(TRIM(B79)),IF(MatchMode="Reference / ID only","U|"&amp;ROW(),"DA|"&amp;TEXT(A79,"yyyy-mm-dd")&amp;"|"&amp;TEXT(ROUND(C79,2),"0.00"))))))))))</f>
        <v/>
      </c>
      <c r="J79" s="50">
        <f>IF(I79="","",COUNTIF($I$5:I79,I79))</f>
        <v/>
      </c>
      <c r="K79" s="50">
        <f>IF(P79="","",IFERROR(MATCH(P79,ListA_Combo,0)+4,""))</f>
        <v/>
      </c>
      <c r="L79" s="51">
        <f>IF(A79="","",IF(K79="","Unmatched",IF(ABS(C79-M79)&lt;=MAX(N(Tolerance),0),"Matched","Difference")))</f>
        <v/>
      </c>
      <c r="M79" s="52">
        <f>IF(K79="","",INDEX('List A'!$C$5:$C$204,K79-4))</f>
        <v/>
      </c>
      <c r="N79" s="52">
        <f>IF(K79="","",C79-M79)</f>
        <v/>
      </c>
      <c r="O79" s="53">
        <f>IF(OR(A79="",K79=""),"",IF(H79&lt;&gt;"","Manual pair",IF(D79&lt;&gt;"","Reference / ID",MatchMode)))</f>
        <v/>
      </c>
      <c r="P79" s="54">
        <f>IF(I79="","",I79&amp;"|"&amp;J79)</f>
        <v/>
      </c>
      <c r="Q79" s="54">
        <f>IF(L79="Matched",COUNTIF($L$5:L79,"Matched"),"")</f>
        <v/>
      </c>
      <c r="R79" s="54">
        <f>IF(L79="Unmatched",COUNTIF($L$5:L79,"Unmatched"),"")</f>
        <v/>
      </c>
      <c r="S79" s="54">
        <f>IF(L79="Difference",COUNTIF($L$5:L79,"Difference"),"")</f>
        <v/>
      </c>
      <c r="T79" s="55">
        <f>IF(L79="Difference",ABS(N79),0)</f>
        <v/>
      </c>
    </row>
    <row r="80" ht="17" customHeight="1">
      <c r="A80" s="86" t="n"/>
      <c r="B80" s="46" t="n"/>
      <c r="C80" s="47" t="n"/>
      <c r="D80" s="46" t="n"/>
      <c r="E80" s="46" t="n"/>
      <c r="F80" s="46" t="n"/>
      <c r="G80" s="48" t="n"/>
      <c r="H80" s="48" t="n"/>
      <c r="I80" s="49">
        <f>IF(A80="","",IF(H80&lt;&gt;"","M|"&amp;TRIM(H80),IF(AND(MatchMode="Reference / ID only",D80=""),"U|"&amp;ROW(),IF(D80&lt;&gt;"","R|"&amp;TRIM(D80),IF(MatchMode="Amount only","A|"&amp;TEXT(ROUND(C80,2),"0.00"),IF(MatchMode="Amount (tolerance)","T|"&amp;TEXT(ROUND(C80/MAX(N(Tolerance),0.0001),0),"0"),IF(MatchMode="Date + amount (tolerance)","DT|"&amp;TEXT(A80,"yyyy-mm-dd")&amp;"|"&amp;TEXT(ROUND(C80/MAX(N(Tolerance),0.0001),0),"0"),IF(MatchMode="Description (exact)","S|"&amp;LOWER(TRIM(B80)),IF(MatchMode="Reference / ID only","U|"&amp;ROW(),"DA|"&amp;TEXT(A80,"yyyy-mm-dd")&amp;"|"&amp;TEXT(ROUND(C80,2),"0.00"))))))))))</f>
        <v/>
      </c>
      <c r="J80" s="50">
        <f>IF(I80="","",COUNTIF($I$5:I80,I80))</f>
        <v/>
      </c>
      <c r="K80" s="50">
        <f>IF(P80="","",IFERROR(MATCH(P80,ListA_Combo,0)+4,""))</f>
        <v/>
      </c>
      <c r="L80" s="51">
        <f>IF(A80="","",IF(K80="","Unmatched",IF(ABS(C80-M80)&lt;=MAX(N(Tolerance),0),"Matched","Difference")))</f>
        <v/>
      </c>
      <c r="M80" s="52">
        <f>IF(K80="","",INDEX('List A'!$C$5:$C$204,K80-4))</f>
        <v/>
      </c>
      <c r="N80" s="52">
        <f>IF(K80="","",C80-M80)</f>
        <v/>
      </c>
      <c r="O80" s="53">
        <f>IF(OR(A80="",K80=""),"",IF(H80&lt;&gt;"","Manual pair",IF(D80&lt;&gt;"","Reference / ID",MatchMode)))</f>
        <v/>
      </c>
      <c r="P80" s="54">
        <f>IF(I80="","",I80&amp;"|"&amp;J80)</f>
        <v/>
      </c>
      <c r="Q80" s="54">
        <f>IF(L80="Matched",COUNTIF($L$5:L80,"Matched"),"")</f>
        <v/>
      </c>
      <c r="R80" s="54">
        <f>IF(L80="Unmatched",COUNTIF($L$5:L80,"Unmatched"),"")</f>
        <v/>
      </c>
      <c r="S80" s="54">
        <f>IF(L80="Difference",COUNTIF($L$5:L80,"Difference"),"")</f>
        <v/>
      </c>
      <c r="T80" s="55">
        <f>IF(L80="Difference",ABS(N80),0)</f>
        <v/>
      </c>
    </row>
    <row r="81" ht="17" customHeight="1">
      <c r="A81" s="86" t="n"/>
      <c r="B81" s="46" t="n"/>
      <c r="C81" s="47" t="n"/>
      <c r="D81" s="46" t="n"/>
      <c r="E81" s="46" t="n"/>
      <c r="F81" s="46" t="n"/>
      <c r="G81" s="48" t="n"/>
      <c r="H81" s="48" t="n"/>
      <c r="I81" s="49">
        <f>IF(A81="","",IF(H81&lt;&gt;"","M|"&amp;TRIM(H81),IF(AND(MatchMode="Reference / ID only",D81=""),"U|"&amp;ROW(),IF(D81&lt;&gt;"","R|"&amp;TRIM(D81),IF(MatchMode="Amount only","A|"&amp;TEXT(ROUND(C81,2),"0.00"),IF(MatchMode="Amount (tolerance)","T|"&amp;TEXT(ROUND(C81/MAX(N(Tolerance),0.0001),0),"0"),IF(MatchMode="Date + amount (tolerance)","DT|"&amp;TEXT(A81,"yyyy-mm-dd")&amp;"|"&amp;TEXT(ROUND(C81/MAX(N(Tolerance),0.0001),0),"0"),IF(MatchMode="Description (exact)","S|"&amp;LOWER(TRIM(B81)),IF(MatchMode="Reference / ID only","U|"&amp;ROW(),"DA|"&amp;TEXT(A81,"yyyy-mm-dd")&amp;"|"&amp;TEXT(ROUND(C81,2),"0.00"))))))))))</f>
        <v/>
      </c>
      <c r="J81" s="50">
        <f>IF(I81="","",COUNTIF($I$5:I81,I81))</f>
        <v/>
      </c>
      <c r="K81" s="50">
        <f>IF(P81="","",IFERROR(MATCH(P81,ListA_Combo,0)+4,""))</f>
        <v/>
      </c>
      <c r="L81" s="51">
        <f>IF(A81="","",IF(K81="","Unmatched",IF(ABS(C81-M81)&lt;=MAX(N(Tolerance),0),"Matched","Difference")))</f>
        <v/>
      </c>
      <c r="M81" s="52">
        <f>IF(K81="","",INDEX('List A'!$C$5:$C$204,K81-4))</f>
        <v/>
      </c>
      <c r="N81" s="52">
        <f>IF(K81="","",C81-M81)</f>
        <v/>
      </c>
      <c r="O81" s="53">
        <f>IF(OR(A81="",K81=""),"",IF(H81&lt;&gt;"","Manual pair",IF(D81&lt;&gt;"","Reference / ID",MatchMode)))</f>
        <v/>
      </c>
      <c r="P81" s="54">
        <f>IF(I81="","",I81&amp;"|"&amp;J81)</f>
        <v/>
      </c>
      <c r="Q81" s="54">
        <f>IF(L81="Matched",COUNTIF($L$5:L81,"Matched"),"")</f>
        <v/>
      </c>
      <c r="R81" s="54">
        <f>IF(L81="Unmatched",COUNTIF($L$5:L81,"Unmatched"),"")</f>
        <v/>
      </c>
      <c r="S81" s="54">
        <f>IF(L81="Difference",COUNTIF($L$5:L81,"Difference"),"")</f>
        <v/>
      </c>
      <c r="T81" s="55">
        <f>IF(L81="Difference",ABS(N81),0)</f>
        <v/>
      </c>
    </row>
    <row r="82" ht="17" customHeight="1">
      <c r="A82" s="86" t="n"/>
      <c r="B82" s="46" t="n"/>
      <c r="C82" s="47" t="n"/>
      <c r="D82" s="46" t="n"/>
      <c r="E82" s="46" t="n"/>
      <c r="F82" s="46" t="n"/>
      <c r="G82" s="48" t="n"/>
      <c r="H82" s="48" t="n"/>
      <c r="I82" s="49">
        <f>IF(A82="","",IF(H82&lt;&gt;"","M|"&amp;TRIM(H82),IF(AND(MatchMode="Reference / ID only",D82=""),"U|"&amp;ROW(),IF(D82&lt;&gt;"","R|"&amp;TRIM(D82),IF(MatchMode="Amount only","A|"&amp;TEXT(ROUND(C82,2),"0.00"),IF(MatchMode="Amount (tolerance)","T|"&amp;TEXT(ROUND(C82/MAX(N(Tolerance),0.0001),0),"0"),IF(MatchMode="Date + amount (tolerance)","DT|"&amp;TEXT(A82,"yyyy-mm-dd")&amp;"|"&amp;TEXT(ROUND(C82/MAX(N(Tolerance),0.0001),0),"0"),IF(MatchMode="Description (exact)","S|"&amp;LOWER(TRIM(B82)),IF(MatchMode="Reference / ID only","U|"&amp;ROW(),"DA|"&amp;TEXT(A82,"yyyy-mm-dd")&amp;"|"&amp;TEXT(ROUND(C82,2),"0.00"))))))))))</f>
        <v/>
      </c>
      <c r="J82" s="50">
        <f>IF(I82="","",COUNTIF($I$5:I82,I82))</f>
        <v/>
      </c>
      <c r="K82" s="50">
        <f>IF(P82="","",IFERROR(MATCH(P82,ListA_Combo,0)+4,""))</f>
        <v/>
      </c>
      <c r="L82" s="51">
        <f>IF(A82="","",IF(K82="","Unmatched",IF(ABS(C82-M82)&lt;=MAX(N(Tolerance),0),"Matched","Difference")))</f>
        <v/>
      </c>
      <c r="M82" s="52">
        <f>IF(K82="","",INDEX('List A'!$C$5:$C$204,K82-4))</f>
        <v/>
      </c>
      <c r="N82" s="52">
        <f>IF(K82="","",C82-M82)</f>
        <v/>
      </c>
      <c r="O82" s="53">
        <f>IF(OR(A82="",K82=""),"",IF(H82&lt;&gt;"","Manual pair",IF(D82&lt;&gt;"","Reference / ID",MatchMode)))</f>
        <v/>
      </c>
      <c r="P82" s="54">
        <f>IF(I82="","",I82&amp;"|"&amp;J82)</f>
        <v/>
      </c>
      <c r="Q82" s="54">
        <f>IF(L82="Matched",COUNTIF($L$5:L82,"Matched"),"")</f>
        <v/>
      </c>
      <c r="R82" s="54">
        <f>IF(L82="Unmatched",COUNTIF($L$5:L82,"Unmatched"),"")</f>
        <v/>
      </c>
      <c r="S82" s="54">
        <f>IF(L82="Difference",COUNTIF($L$5:L82,"Difference"),"")</f>
        <v/>
      </c>
      <c r="T82" s="55">
        <f>IF(L82="Difference",ABS(N82),0)</f>
        <v/>
      </c>
    </row>
    <row r="83" ht="17" customHeight="1">
      <c r="A83" s="86" t="n"/>
      <c r="B83" s="46" t="n"/>
      <c r="C83" s="47" t="n"/>
      <c r="D83" s="46" t="n"/>
      <c r="E83" s="46" t="n"/>
      <c r="F83" s="46" t="n"/>
      <c r="G83" s="48" t="n"/>
      <c r="H83" s="48" t="n"/>
      <c r="I83" s="49">
        <f>IF(A83="","",IF(H83&lt;&gt;"","M|"&amp;TRIM(H83),IF(AND(MatchMode="Reference / ID only",D83=""),"U|"&amp;ROW(),IF(D83&lt;&gt;"","R|"&amp;TRIM(D83),IF(MatchMode="Amount only","A|"&amp;TEXT(ROUND(C83,2),"0.00"),IF(MatchMode="Amount (tolerance)","T|"&amp;TEXT(ROUND(C83/MAX(N(Tolerance),0.0001),0),"0"),IF(MatchMode="Date + amount (tolerance)","DT|"&amp;TEXT(A83,"yyyy-mm-dd")&amp;"|"&amp;TEXT(ROUND(C83/MAX(N(Tolerance),0.0001),0),"0"),IF(MatchMode="Description (exact)","S|"&amp;LOWER(TRIM(B83)),IF(MatchMode="Reference / ID only","U|"&amp;ROW(),"DA|"&amp;TEXT(A83,"yyyy-mm-dd")&amp;"|"&amp;TEXT(ROUND(C83,2),"0.00"))))))))))</f>
        <v/>
      </c>
      <c r="J83" s="50">
        <f>IF(I83="","",COUNTIF($I$5:I83,I83))</f>
        <v/>
      </c>
      <c r="K83" s="50">
        <f>IF(P83="","",IFERROR(MATCH(P83,ListA_Combo,0)+4,""))</f>
        <v/>
      </c>
      <c r="L83" s="51">
        <f>IF(A83="","",IF(K83="","Unmatched",IF(ABS(C83-M83)&lt;=MAX(N(Tolerance),0),"Matched","Difference")))</f>
        <v/>
      </c>
      <c r="M83" s="52">
        <f>IF(K83="","",INDEX('List A'!$C$5:$C$204,K83-4))</f>
        <v/>
      </c>
      <c r="N83" s="52">
        <f>IF(K83="","",C83-M83)</f>
        <v/>
      </c>
      <c r="O83" s="53">
        <f>IF(OR(A83="",K83=""),"",IF(H83&lt;&gt;"","Manual pair",IF(D83&lt;&gt;"","Reference / ID",MatchMode)))</f>
        <v/>
      </c>
      <c r="P83" s="54">
        <f>IF(I83="","",I83&amp;"|"&amp;J83)</f>
        <v/>
      </c>
      <c r="Q83" s="54">
        <f>IF(L83="Matched",COUNTIF($L$5:L83,"Matched"),"")</f>
        <v/>
      </c>
      <c r="R83" s="54">
        <f>IF(L83="Unmatched",COUNTIF($L$5:L83,"Unmatched"),"")</f>
        <v/>
      </c>
      <c r="S83" s="54">
        <f>IF(L83="Difference",COUNTIF($L$5:L83,"Difference"),"")</f>
        <v/>
      </c>
      <c r="T83" s="55">
        <f>IF(L83="Difference",ABS(N83),0)</f>
        <v/>
      </c>
    </row>
    <row r="84" ht="17" customHeight="1">
      <c r="A84" s="86" t="n"/>
      <c r="B84" s="46" t="n"/>
      <c r="C84" s="47" t="n"/>
      <c r="D84" s="46" t="n"/>
      <c r="E84" s="46" t="n"/>
      <c r="F84" s="46" t="n"/>
      <c r="G84" s="48" t="n"/>
      <c r="H84" s="48" t="n"/>
      <c r="I84" s="49">
        <f>IF(A84="","",IF(H84&lt;&gt;"","M|"&amp;TRIM(H84),IF(AND(MatchMode="Reference / ID only",D84=""),"U|"&amp;ROW(),IF(D84&lt;&gt;"","R|"&amp;TRIM(D84),IF(MatchMode="Amount only","A|"&amp;TEXT(ROUND(C84,2),"0.00"),IF(MatchMode="Amount (tolerance)","T|"&amp;TEXT(ROUND(C84/MAX(N(Tolerance),0.0001),0),"0"),IF(MatchMode="Date + amount (tolerance)","DT|"&amp;TEXT(A84,"yyyy-mm-dd")&amp;"|"&amp;TEXT(ROUND(C84/MAX(N(Tolerance),0.0001),0),"0"),IF(MatchMode="Description (exact)","S|"&amp;LOWER(TRIM(B84)),IF(MatchMode="Reference / ID only","U|"&amp;ROW(),"DA|"&amp;TEXT(A84,"yyyy-mm-dd")&amp;"|"&amp;TEXT(ROUND(C84,2),"0.00"))))))))))</f>
        <v/>
      </c>
      <c r="J84" s="50">
        <f>IF(I84="","",COUNTIF($I$5:I84,I84))</f>
        <v/>
      </c>
      <c r="K84" s="50">
        <f>IF(P84="","",IFERROR(MATCH(P84,ListA_Combo,0)+4,""))</f>
        <v/>
      </c>
      <c r="L84" s="51">
        <f>IF(A84="","",IF(K84="","Unmatched",IF(ABS(C84-M84)&lt;=MAX(N(Tolerance),0),"Matched","Difference")))</f>
        <v/>
      </c>
      <c r="M84" s="52">
        <f>IF(K84="","",INDEX('List A'!$C$5:$C$204,K84-4))</f>
        <v/>
      </c>
      <c r="N84" s="52">
        <f>IF(K84="","",C84-M84)</f>
        <v/>
      </c>
      <c r="O84" s="53">
        <f>IF(OR(A84="",K84=""),"",IF(H84&lt;&gt;"","Manual pair",IF(D84&lt;&gt;"","Reference / ID",MatchMode)))</f>
        <v/>
      </c>
      <c r="P84" s="54">
        <f>IF(I84="","",I84&amp;"|"&amp;J84)</f>
        <v/>
      </c>
      <c r="Q84" s="54">
        <f>IF(L84="Matched",COUNTIF($L$5:L84,"Matched"),"")</f>
        <v/>
      </c>
      <c r="R84" s="54">
        <f>IF(L84="Unmatched",COUNTIF($L$5:L84,"Unmatched"),"")</f>
        <v/>
      </c>
      <c r="S84" s="54">
        <f>IF(L84="Difference",COUNTIF($L$5:L84,"Difference"),"")</f>
        <v/>
      </c>
      <c r="T84" s="55">
        <f>IF(L84="Difference",ABS(N84),0)</f>
        <v/>
      </c>
    </row>
    <row r="85" ht="17" customHeight="1">
      <c r="A85" s="86" t="n"/>
      <c r="B85" s="46" t="n"/>
      <c r="C85" s="47" t="n"/>
      <c r="D85" s="46" t="n"/>
      <c r="E85" s="46" t="n"/>
      <c r="F85" s="46" t="n"/>
      <c r="G85" s="48" t="n"/>
      <c r="H85" s="48" t="n"/>
      <c r="I85" s="49">
        <f>IF(A85="","",IF(H85&lt;&gt;"","M|"&amp;TRIM(H85),IF(AND(MatchMode="Reference / ID only",D85=""),"U|"&amp;ROW(),IF(D85&lt;&gt;"","R|"&amp;TRIM(D85),IF(MatchMode="Amount only","A|"&amp;TEXT(ROUND(C85,2),"0.00"),IF(MatchMode="Amount (tolerance)","T|"&amp;TEXT(ROUND(C85/MAX(N(Tolerance),0.0001),0),"0"),IF(MatchMode="Date + amount (tolerance)","DT|"&amp;TEXT(A85,"yyyy-mm-dd")&amp;"|"&amp;TEXT(ROUND(C85/MAX(N(Tolerance),0.0001),0),"0"),IF(MatchMode="Description (exact)","S|"&amp;LOWER(TRIM(B85)),IF(MatchMode="Reference / ID only","U|"&amp;ROW(),"DA|"&amp;TEXT(A85,"yyyy-mm-dd")&amp;"|"&amp;TEXT(ROUND(C85,2),"0.00"))))))))))</f>
        <v/>
      </c>
      <c r="J85" s="50">
        <f>IF(I85="","",COUNTIF($I$5:I85,I85))</f>
        <v/>
      </c>
      <c r="K85" s="50">
        <f>IF(P85="","",IFERROR(MATCH(P85,ListA_Combo,0)+4,""))</f>
        <v/>
      </c>
      <c r="L85" s="51">
        <f>IF(A85="","",IF(K85="","Unmatched",IF(ABS(C85-M85)&lt;=MAX(N(Tolerance),0),"Matched","Difference")))</f>
        <v/>
      </c>
      <c r="M85" s="52">
        <f>IF(K85="","",INDEX('List A'!$C$5:$C$204,K85-4))</f>
        <v/>
      </c>
      <c r="N85" s="52">
        <f>IF(K85="","",C85-M85)</f>
        <v/>
      </c>
      <c r="O85" s="53">
        <f>IF(OR(A85="",K85=""),"",IF(H85&lt;&gt;"","Manual pair",IF(D85&lt;&gt;"","Reference / ID",MatchMode)))</f>
        <v/>
      </c>
      <c r="P85" s="54">
        <f>IF(I85="","",I85&amp;"|"&amp;J85)</f>
        <v/>
      </c>
      <c r="Q85" s="54">
        <f>IF(L85="Matched",COUNTIF($L$5:L85,"Matched"),"")</f>
        <v/>
      </c>
      <c r="R85" s="54">
        <f>IF(L85="Unmatched",COUNTIF($L$5:L85,"Unmatched"),"")</f>
        <v/>
      </c>
      <c r="S85" s="54">
        <f>IF(L85="Difference",COUNTIF($L$5:L85,"Difference"),"")</f>
        <v/>
      </c>
      <c r="T85" s="55">
        <f>IF(L85="Difference",ABS(N85),0)</f>
        <v/>
      </c>
    </row>
    <row r="86" ht="17" customHeight="1">
      <c r="A86" s="86" t="n"/>
      <c r="B86" s="46" t="n"/>
      <c r="C86" s="47" t="n"/>
      <c r="D86" s="46" t="n"/>
      <c r="E86" s="46" t="n"/>
      <c r="F86" s="46" t="n"/>
      <c r="G86" s="48" t="n"/>
      <c r="H86" s="48" t="n"/>
      <c r="I86" s="49">
        <f>IF(A86="","",IF(H86&lt;&gt;"","M|"&amp;TRIM(H86),IF(AND(MatchMode="Reference / ID only",D86=""),"U|"&amp;ROW(),IF(D86&lt;&gt;"","R|"&amp;TRIM(D86),IF(MatchMode="Amount only","A|"&amp;TEXT(ROUND(C86,2),"0.00"),IF(MatchMode="Amount (tolerance)","T|"&amp;TEXT(ROUND(C86/MAX(N(Tolerance),0.0001),0),"0"),IF(MatchMode="Date + amount (tolerance)","DT|"&amp;TEXT(A86,"yyyy-mm-dd")&amp;"|"&amp;TEXT(ROUND(C86/MAX(N(Tolerance),0.0001),0),"0"),IF(MatchMode="Description (exact)","S|"&amp;LOWER(TRIM(B86)),IF(MatchMode="Reference / ID only","U|"&amp;ROW(),"DA|"&amp;TEXT(A86,"yyyy-mm-dd")&amp;"|"&amp;TEXT(ROUND(C86,2),"0.00"))))))))))</f>
        <v/>
      </c>
      <c r="J86" s="50">
        <f>IF(I86="","",COUNTIF($I$5:I86,I86))</f>
        <v/>
      </c>
      <c r="K86" s="50">
        <f>IF(P86="","",IFERROR(MATCH(P86,ListA_Combo,0)+4,""))</f>
        <v/>
      </c>
      <c r="L86" s="51">
        <f>IF(A86="","",IF(K86="","Unmatched",IF(ABS(C86-M86)&lt;=MAX(N(Tolerance),0),"Matched","Difference")))</f>
        <v/>
      </c>
      <c r="M86" s="52">
        <f>IF(K86="","",INDEX('List A'!$C$5:$C$204,K86-4))</f>
        <v/>
      </c>
      <c r="N86" s="52">
        <f>IF(K86="","",C86-M86)</f>
        <v/>
      </c>
      <c r="O86" s="53">
        <f>IF(OR(A86="",K86=""),"",IF(H86&lt;&gt;"","Manual pair",IF(D86&lt;&gt;"","Reference / ID",MatchMode)))</f>
        <v/>
      </c>
      <c r="P86" s="54">
        <f>IF(I86="","",I86&amp;"|"&amp;J86)</f>
        <v/>
      </c>
      <c r="Q86" s="54">
        <f>IF(L86="Matched",COUNTIF($L$5:L86,"Matched"),"")</f>
        <v/>
      </c>
      <c r="R86" s="54">
        <f>IF(L86="Unmatched",COUNTIF($L$5:L86,"Unmatched"),"")</f>
        <v/>
      </c>
      <c r="S86" s="54">
        <f>IF(L86="Difference",COUNTIF($L$5:L86,"Difference"),"")</f>
        <v/>
      </c>
      <c r="T86" s="55">
        <f>IF(L86="Difference",ABS(N86),0)</f>
        <v/>
      </c>
    </row>
    <row r="87" ht="17" customHeight="1">
      <c r="A87" s="86" t="n"/>
      <c r="B87" s="46" t="n"/>
      <c r="C87" s="47" t="n"/>
      <c r="D87" s="46" t="n"/>
      <c r="E87" s="46" t="n"/>
      <c r="F87" s="46" t="n"/>
      <c r="G87" s="48" t="n"/>
      <c r="H87" s="48" t="n"/>
      <c r="I87" s="49">
        <f>IF(A87="","",IF(H87&lt;&gt;"","M|"&amp;TRIM(H87),IF(AND(MatchMode="Reference / ID only",D87=""),"U|"&amp;ROW(),IF(D87&lt;&gt;"","R|"&amp;TRIM(D87),IF(MatchMode="Amount only","A|"&amp;TEXT(ROUND(C87,2),"0.00"),IF(MatchMode="Amount (tolerance)","T|"&amp;TEXT(ROUND(C87/MAX(N(Tolerance),0.0001),0),"0"),IF(MatchMode="Date + amount (tolerance)","DT|"&amp;TEXT(A87,"yyyy-mm-dd")&amp;"|"&amp;TEXT(ROUND(C87/MAX(N(Tolerance),0.0001),0),"0"),IF(MatchMode="Description (exact)","S|"&amp;LOWER(TRIM(B87)),IF(MatchMode="Reference / ID only","U|"&amp;ROW(),"DA|"&amp;TEXT(A87,"yyyy-mm-dd")&amp;"|"&amp;TEXT(ROUND(C87,2),"0.00"))))))))))</f>
        <v/>
      </c>
      <c r="J87" s="50">
        <f>IF(I87="","",COUNTIF($I$5:I87,I87))</f>
        <v/>
      </c>
      <c r="K87" s="50">
        <f>IF(P87="","",IFERROR(MATCH(P87,ListA_Combo,0)+4,""))</f>
        <v/>
      </c>
      <c r="L87" s="51">
        <f>IF(A87="","",IF(K87="","Unmatched",IF(ABS(C87-M87)&lt;=MAX(N(Tolerance),0),"Matched","Difference")))</f>
        <v/>
      </c>
      <c r="M87" s="52">
        <f>IF(K87="","",INDEX('List A'!$C$5:$C$204,K87-4))</f>
        <v/>
      </c>
      <c r="N87" s="52">
        <f>IF(K87="","",C87-M87)</f>
        <v/>
      </c>
      <c r="O87" s="53">
        <f>IF(OR(A87="",K87=""),"",IF(H87&lt;&gt;"","Manual pair",IF(D87&lt;&gt;"","Reference / ID",MatchMode)))</f>
        <v/>
      </c>
      <c r="P87" s="54">
        <f>IF(I87="","",I87&amp;"|"&amp;J87)</f>
        <v/>
      </c>
      <c r="Q87" s="54">
        <f>IF(L87="Matched",COUNTIF($L$5:L87,"Matched"),"")</f>
        <v/>
      </c>
      <c r="R87" s="54">
        <f>IF(L87="Unmatched",COUNTIF($L$5:L87,"Unmatched"),"")</f>
        <v/>
      </c>
      <c r="S87" s="54">
        <f>IF(L87="Difference",COUNTIF($L$5:L87,"Difference"),"")</f>
        <v/>
      </c>
      <c r="T87" s="55">
        <f>IF(L87="Difference",ABS(N87),0)</f>
        <v/>
      </c>
    </row>
    <row r="88" ht="17" customHeight="1">
      <c r="A88" s="86" t="n"/>
      <c r="B88" s="46" t="n"/>
      <c r="C88" s="47" t="n"/>
      <c r="D88" s="46" t="n"/>
      <c r="E88" s="46" t="n"/>
      <c r="F88" s="46" t="n"/>
      <c r="G88" s="48" t="n"/>
      <c r="H88" s="48" t="n"/>
      <c r="I88" s="49">
        <f>IF(A88="","",IF(H88&lt;&gt;"","M|"&amp;TRIM(H88),IF(AND(MatchMode="Reference / ID only",D88=""),"U|"&amp;ROW(),IF(D88&lt;&gt;"","R|"&amp;TRIM(D88),IF(MatchMode="Amount only","A|"&amp;TEXT(ROUND(C88,2),"0.00"),IF(MatchMode="Amount (tolerance)","T|"&amp;TEXT(ROUND(C88/MAX(N(Tolerance),0.0001),0),"0"),IF(MatchMode="Date + amount (tolerance)","DT|"&amp;TEXT(A88,"yyyy-mm-dd")&amp;"|"&amp;TEXT(ROUND(C88/MAX(N(Tolerance),0.0001),0),"0"),IF(MatchMode="Description (exact)","S|"&amp;LOWER(TRIM(B88)),IF(MatchMode="Reference / ID only","U|"&amp;ROW(),"DA|"&amp;TEXT(A88,"yyyy-mm-dd")&amp;"|"&amp;TEXT(ROUND(C88,2),"0.00"))))))))))</f>
        <v/>
      </c>
      <c r="J88" s="50">
        <f>IF(I88="","",COUNTIF($I$5:I88,I88))</f>
        <v/>
      </c>
      <c r="K88" s="50">
        <f>IF(P88="","",IFERROR(MATCH(P88,ListA_Combo,0)+4,""))</f>
        <v/>
      </c>
      <c r="L88" s="51">
        <f>IF(A88="","",IF(K88="","Unmatched",IF(ABS(C88-M88)&lt;=MAX(N(Tolerance),0),"Matched","Difference")))</f>
        <v/>
      </c>
      <c r="M88" s="52">
        <f>IF(K88="","",INDEX('List A'!$C$5:$C$204,K88-4))</f>
        <v/>
      </c>
      <c r="N88" s="52">
        <f>IF(K88="","",C88-M88)</f>
        <v/>
      </c>
      <c r="O88" s="53">
        <f>IF(OR(A88="",K88=""),"",IF(H88&lt;&gt;"","Manual pair",IF(D88&lt;&gt;"","Reference / ID",MatchMode)))</f>
        <v/>
      </c>
      <c r="P88" s="54">
        <f>IF(I88="","",I88&amp;"|"&amp;J88)</f>
        <v/>
      </c>
      <c r="Q88" s="54">
        <f>IF(L88="Matched",COUNTIF($L$5:L88,"Matched"),"")</f>
        <v/>
      </c>
      <c r="R88" s="54">
        <f>IF(L88="Unmatched",COUNTIF($L$5:L88,"Unmatched"),"")</f>
        <v/>
      </c>
      <c r="S88" s="54">
        <f>IF(L88="Difference",COUNTIF($L$5:L88,"Difference"),"")</f>
        <v/>
      </c>
      <c r="T88" s="55">
        <f>IF(L88="Difference",ABS(N88),0)</f>
        <v/>
      </c>
    </row>
    <row r="89" ht="17" customHeight="1">
      <c r="A89" s="86" t="n"/>
      <c r="B89" s="46" t="n"/>
      <c r="C89" s="47" t="n"/>
      <c r="D89" s="46" t="n"/>
      <c r="E89" s="46" t="n"/>
      <c r="F89" s="46" t="n"/>
      <c r="G89" s="48" t="n"/>
      <c r="H89" s="48" t="n"/>
      <c r="I89" s="49">
        <f>IF(A89="","",IF(H89&lt;&gt;"","M|"&amp;TRIM(H89),IF(AND(MatchMode="Reference / ID only",D89=""),"U|"&amp;ROW(),IF(D89&lt;&gt;"","R|"&amp;TRIM(D89),IF(MatchMode="Amount only","A|"&amp;TEXT(ROUND(C89,2),"0.00"),IF(MatchMode="Amount (tolerance)","T|"&amp;TEXT(ROUND(C89/MAX(N(Tolerance),0.0001),0),"0"),IF(MatchMode="Date + amount (tolerance)","DT|"&amp;TEXT(A89,"yyyy-mm-dd")&amp;"|"&amp;TEXT(ROUND(C89/MAX(N(Tolerance),0.0001),0),"0"),IF(MatchMode="Description (exact)","S|"&amp;LOWER(TRIM(B89)),IF(MatchMode="Reference / ID only","U|"&amp;ROW(),"DA|"&amp;TEXT(A89,"yyyy-mm-dd")&amp;"|"&amp;TEXT(ROUND(C89,2),"0.00"))))))))))</f>
        <v/>
      </c>
      <c r="J89" s="50">
        <f>IF(I89="","",COUNTIF($I$5:I89,I89))</f>
        <v/>
      </c>
      <c r="K89" s="50">
        <f>IF(P89="","",IFERROR(MATCH(P89,ListA_Combo,0)+4,""))</f>
        <v/>
      </c>
      <c r="L89" s="51">
        <f>IF(A89="","",IF(K89="","Unmatched",IF(ABS(C89-M89)&lt;=MAX(N(Tolerance),0),"Matched","Difference")))</f>
        <v/>
      </c>
      <c r="M89" s="52">
        <f>IF(K89="","",INDEX('List A'!$C$5:$C$204,K89-4))</f>
        <v/>
      </c>
      <c r="N89" s="52">
        <f>IF(K89="","",C89-M89)</f>
        <v/>
      </c>
      <c r="O89" s="53">
        <f>IF(OR(A89="",K89=""),"",IF(H89&lt;&gt;"","Manual pair",IF(D89&lt;&gt;"","Reference / ID",MatchMode)))</f>
        <v/>
      </c>
      <c r="P89" s="54">
        <f>IF(I89="","",I89&amp;"|"&amp;J89)</f>
        <v/>
      </c>
      <c r="Q89" s="54">
        <f>IF(L89="Matched",COUNTIF($L$5:L89,"Matched"),"")</f>
        <v/>
      </c>
      <c r="R89" s="54">
        <f>IF(L89="Unmatched",COUNTIF($L$5:L89,"Unmatched"),"")</f>
        <v/>
      </c>
      <c r="S89" s="54">
        <f>IF(L89="Difference",COUNTIF($L$5:L89,"Difference"),"")</f>
        <v/>
      </c>
      <c r="T89" s="55">
        <f>IF(L89="Difference",ABS(N89),0)</f>
        <v/>
      </c>
    </row>
    <row r="90" ht="17" customHeight="1">
      <c r="A90" s="86" t="n"/>
      <c r="B90" s="46" t="n"/>
      <c r="C90" s="47" t="n"/>
      <c r="D90" s="46" t="n"/>
      <c r="E90" s="46" t="n"/>
      <c r="F90" s="46" t="n"/>
      <c r="G90" s="48" t="n"/>
      <c r="H90" s="48" t="n"/>
      <c r="I90" s="49">
        <f>IF(A90="","",IF(H90&lt;&gt;"","M|"&amp;TRIM(H90),IF(AND(MatchMode="Reference / ID only",D90=""),"U|"&amp;ROW(),IF(D90&lt;&gt;"","R|"&amp;TRIM(D90),IF(MatchMode="Amount only","A|"&amp;TEXT(ROUND(C90,2),"0.00"),IF(MatchMode="Amount (tolerance)","T|"&amp;TEXT(ROUND(C90/MAX(N(Tolerance),0.0001),0),"0"),IF(MatchMode="Date + amount (tolerance)","DT|"&amp;TEXT(A90,"yyyy-mm-dd")&amp;"|"&amp;TEXT(ROUND(C90/MAX(N(Tolerance),0.0001),0),"0"),IF(MatchMode="Description (exact)","S|"&amp;LOWER(TRIM(B90)),IF(MatchMode="Reference / ID only","U|"&amp;ROW(),"DA|"&amp;TEXT(A90,"yyyy-mm-dd")&amp;"|"&amp;TEXT(ROUND(C90,2),"0.00"))))))))))</f>
        <v/>
      </c>
      <c r="J90" s="50">
        <f>IF(I90="","",COUNTIF($I$5:I90,I90))</f>
        <v/>
      </c>
      <c r="K90" s="50">
        <f>IF(P90="","",IFERROR(MATCH(P90,ListA_Combo,0)+4,""))</f>
        <v/>
      </c>
      <c r="L90" s="51">
        <f>IF(A90="","",IF(K90="","Unmatched",IF(ABS(C90-M90)&lt;=MAX(N(Tolerance),0),"Matched","Difference")))</f>
        <v/>
      </c>
      <c r="M90" s="52">
        <f>IF(K90="","",INDEX('List A'!$C$5:$C$204,K90-4))</f>
        <v/>
      </c>
      <c r="N90" s="52">
        <f>IF(K90="","",C90-M90)</f>
        <v/>
      </c>
      <c r="O90" s="53">
        <f>IF(OR(A90="",K90=""),"",IF(H90&lt;&gt;"","Manual pair",IF(D90&lt;&gt;"","Reference / ID",MatchMode)))</f>
        <v/>
      </c>
      <c r="P90" s="54">
        <f>IF(I90="","",I90&amp;"|"&amp;J90)</f>
        <v/>
      </c>
      <c r="Q90" s="54">
        <f>IF(L90="Matched",COUNTIF($L$5:L90,"Matched"),"")</f>
        <v/>
      </c>
      <c r="R90" s="54">
        <f>IF(L90="Unmatched",COUNTIF($L$5:L90,"Unmatched"),"")</f>
        <v/>
      </c>
      <c r="S90" s="54">
        <f>IF(L90="Difference",COUNTIF($L$5:L90,"Difference"),"")</f>
        <v/>
      </c>
      <c r="T90" s="55">
        <f>IF(L90="Difference",ABS(N90),0)</f>
        <v/>
      </c>
    </row>
    <row r="91" ht="17" customHeight="1">
      <c r="A91" s="86" t="n"/>
      <c r="B91" s="46" t="n"/>
      <c r="C91" s="47" t="n"/>
      <c r="D91" s="46" t="n"/>
      <c r="E91" s="46" t="n"/>
      <c r="F91" s="46" t="n"/>
      <c r="G91" s="48" t="n"/>
      <c r="H91" s="48" t="n"/>
      <c r="I91" s="49">
        <f>IF(A91="","",IF(H91&lt;&gt;"","M|"&amp;TRIM(H91),IF(AND(MatchMode="Reference / ID only",D91=""),"U|"&amp;ROW(),IF(D91&lt;&gt;"","R|"&amp;TRIM(D91),IF(MatchMode="Amount only","A|"&amp;TEXT(ROUND(C91,2),"0.00"),IF(MatchMode="Amount (tolerance)","T|"&amp;TEXT(ROUND(C91/MAX(N(Tolerance),0.0001),0),"0"),IF(MatchMode="Date + amount (tolerance)","DT|"&amp;TEXT(A91,"yyyy-mm-dd")&amp;"|"&amp;TEXT(ROUND(C91/MAX(N(Tolerance),0.0001),0),"0"),IF(MatchMode="Description (exact)","S|"&amp;LOWER(TRIM(B91)),IF(MatchMode="Reference / ID only","U|"&amp;ROW(),"DA|"&amp;TEXT(A91,"yyyy-mm-dd")&amp;"|"&amp;TEXT(ROUND(C91,2),"0.00"))))))))))</f>
        <v/>
      </c>
      <c r="J91" s="50">
        <f>IF(I91="","",COUNTIF($I$5:I91,I91))</f>
        <v/>
      </c>
      <c r="K91" s="50">
        <f>IF(P91="","",IFERROR(MATCH(P91,ListA_Combo,0)+4,""))</f>
        <v/>
      </c>
      <c r="L91" s="51">
        <f>IF(A91="","",IF(K91="","Unmatched",IF(ABS(C91-M91)&lt;=MAX(N(Tolerance),0),"Matched","Difference")))</f>
        <v/>
      </c>
      <c r="M91" s="52">
        <f>IF(K91="","",INDEX('List A'!$C$5:$C$204,K91-4))</f>
        <v/>
      </c>
      <c r="N91" s="52">
        <f>IF(K91="","",C91-M91)</f>
        <v/>
      </c>
      <c r="O91" s="53">
        <f>IF(OR(A91="",K91=""),"",IF(H91&lt;&gt;"","Manual pair",IF(D91&lt;&gt;"","Reference / ID",MatchMode)))</f>
        <v/>
      </c>
      <c r="P91" s="54">
        <f>IF(I91="","",I91&amp;"|"&amp;J91)</f>
        <v/>
      </c>
      <c r="Q91" s="54">
        <f>IF(L91="Matched",COUNTIF($L$5:L91,"Matched"),"")</f>
        <v/>
      </c>
      <c r="R91" s="54">
        <f>IF(L91="Unmatched",COUNTIF($L$5:L91,"Unmatched"),"")</f>
        <v/>
      </c>
      <c r="S91" s="54">
        <f>IF(L91="Difference",COUNTIF($L$5:L91,"Difference"),"")</f>
        <v/>
      </c>
      <c r="T91" s="55">
        <f>IF(L91="Difference",ABS(N91),0)</f>
        <v/>
      </c>
    </row>
    <row r="92" ht="17" customHeight="1">
      <c r="A92" s="86" t="n"/>
      <c r="B92" s="46" t="n"/>
      <c r="C92" s="47" t="n"/>
      <c r="D92" s="46" t="n"/>
      <c r="E92" s="46" t="n"/>
      <c r="F92" s="46" t="n"/>
      <c r="G92" s="48" t="n"/>
      <c r="H92" s="48" t="n"/>
      <c r="I92" s="49">
        <f>IF(A92="","",IF(H92&lt;&gt;"","M|"&amp;TRIM(H92),IF(AND(MatchMode="Reference / ID only",D92=""),"U|"&amp;ROW(),IF(D92&lt;&gt;"","R|"&amp;TRIM(D92),IF(MatchMode="Amount only","A|"&amp;TEXT(ROUND(C92,2),"0.00"),IF(MatchMode="Amount (tolerance)","T|"&amp;TEXT(ROUND(C92/MAX(N(Tolerance),0.0001),0),"0"),IF(MatchMode="Date + amount (tolerance)","DT|"&amp;TEXT(A92,"yyyy-mm-dd")&amp;"|"&amp;TEXT(ROUND(C92/MAX(N(Tolerance),0.0001),0),"0"),IF(MatchMode="Description (exact)","S|"&amp;LOWER(TRIM(B92)),IF(MatchMode="Reference / ID only","U|"&amp;ROW(),"DA|"&amp;TEXT(A92,"yyyy-mm-dd")&amp;"|"&amp;TEXT(ROUND(C92,2),"0.00"))))))))))</f>
        <v/>
      </c>
      <c r="J92" s="50">
        <f>IF(I92="","",COUNTIF($I$5:I92,I92))</f>
        <v/>
      </c>
      <c r="K92" s="50">
        <f>IF(P92="","",IFERROR(MATCH(P92,ListA_Combo,0)+4,""))</f>
        <v/>
      </c>
      <c r="L92" s="51">
        <f>IF(A92="","",IF(K92="","Unmatched",IF(ABS(C92-M92)&lt;=MAX(N(Tolerance),0),"Matched","Difference")))</f>
        <v/>
      </c>
      <c r="M92" s="52">
        <f>IF(K92="","",INDEX('List A'!$C$5:$C$204,K92-4))</f>
        <v/>
      </c>
      <c r="N92" s="52">
        <f>IF(K92="","",C92-M92)</f>
        <v/>
      </c>
      <c r="O92" s="53">
        <f>IF(OR(A92="",K92=""),"",IF(H92&lt;&gt;"","Manual pair",IF(D92&lt;&gt;"","Reference / ID",MatchMode)))</f>
        <v/>
      </c>
      <c r="P92" s="54">
        <f>IF(I92="","",I92&amp;"|"&amp;J92)</f>
        <v/>
      </c>
      <c r="Q92" s="54">
        <f>IF(L92="Matched",COUNTIF($L$5:L92,"Matched"),"")</f>
        <v/>
      </c>
      <c r="R92" s="54">
        <f>IF(L92="Unmatched",COUNTIF($L$5:L92,"Unmatched"),"")</f>
        <v/>
      </c>
      <c r="S92" s="54">
        <f>IF(L92="Difference",COUNTIF($L$5:L92,"Difference"),"")</f>
        <v/>
      </c>
      <c r="T92" s="55">
        <f>IF(L92="Difference",ABS(N92),0)</f>
        <v/>
      </c>
    </row>
    <row r="93" ht="17" customHeight="1">
      <c r="A93" s="86" t="n"/>
      <c r="B93" s="46" t="n"/>
      <c r="C93" s="47" t="n"/>
      <c r="D93" s="46" t="n"/>
      <c r="E93" s="46" t="n"/>
      <c r="F93" s="46" t="n"/>
      <c r="G93" s="48" t="n"/>
      <c r="H93" s="48" t="n"/>
      <c r="I93" s="49">
        <f>IF(A93="","",IF(H93&lt;&gt;"","M|"&amp;TRIM(H93),IF(AND(MatchMode="Reference / ID only",D93=""),"U|"&amp;ROW(),IF(D93&lt;&gt;"","R|"&amp;TRIM(D93),IF(MatchMode="Amount only","A|"&amp;TEXT(ROUND(C93,2),"0.00"),IF(MatchMode="Amount (tolerance)","T|"&amp;TEXT(ROUND(C93/MAX(N(Tolerance),0.0001),0),"0"),IF(MatchMode="Date + amount (tolerance)","DT|"&amp;TEXT(A93,"yyyy-mm-dd")&amp;"|"&amp;TEXT(ROUND(C93/MAX(N(Tolerance),0.0001),0),"0"),IF(MatchMode="Description (exact)","S|"&amp;LOWER(TRIM(B93)),IF(MatchMode="Reference / ID only","U|"&amp;ROW(),"DA|"&amp;TEXT(A93,"yyyy-mm-dd")&amp;"|"&amp;TEXT(ROUND(C93,2),"0.00"))))))))))</f>
        <v/>
      </c>
      <c r="J93" s="50">
        <f>IF(I93="","",COUNTIF($I$5:I93,I93))</f>
        <v/>
      </c>
      <c r="K93" s="50">
        <f>IF(P93="","",IFERROR(MATCH(P93,ListA_Combo,0)+4,""))</f>
        <v/>
      </c>
      <c r="L93" s="51">
        <f>IF(A93="","",IF(K93="","Unmatched",IF(ABS(C93-M93)&lt;=MAX(N(Tolerance),0),"Matched","Difference")))</f>
        <v/>
      </c>
      <c r="M93" s="52">
        <f>IF(K93="","",INDEX('List A'!$C$5:$C$204,K93-4))</f>
        <v/>
      </c>
      <c r="N93" s="52">
        <f>IF(K93="","",C93-M93)</f>
        <v/>
      </c>
      <c r="O93" s="53">
        <f>IF(OR(A93="",K93=""),"",IF(H93&lt;&gt;"","Manual pair",IF(D93&lt;&gt;"","Reference / ID",MatchMode)))</f>
        <v/>
      </c>
      <c r="P93" s="54">
        <f>IF(I93="","",I93&amp;"|"&amp;J93)</f>
        <v/>
      </c>
      <c r="Q93" s="54">
        <f>IF(L93="Matched",COUNTIF($L$5:L93,"Matched"),"")</f>
        <v/>
      </c>
      <c r="R93" s="54">
        <f>IF(L93="Unmatched",COUNTIF($L$5:L93,"Unmatched"),"")</f>
        <v/>
      </c>
      <c r="S93" s="54">
        <f>IF(L93="Difference",COUNTIF($L$5:L93,"Difference"),"")</f>
        <v/>
      </c>
      <c r="T93" s="55">
        <f>IF(L93="Difference",ABS(N93),0)</f>
        <v/>
      </c>
    </row>
    <row r="94" ht="17" customHeight="1">
      <c r="A94" s="86" t="n"/>
      <c r="B94" s="46" t="n"/>
      <c r="C94" s="47" t="n"/>
      <c r="D94" s="46" t="n"/>
      <c r="E94" s="46" t="n"/>
      <c r="F94" s="46" t="n"/>
      <c r="G94" s="48" t="n"/>
      <c r="H94" s="48" t="n"/>
      <c r="I94" s="49">
        <f>IF(A94="","",IF(H94&lt;&gt;"","M|"&amp;TRIM(H94),IF(AND(MatchMode="Reference / ID only",D94=""),"U|"&amp;ROW(),IF(D94&lt;&gt;"","R|"&amp;TRIM(D94),IF(MatchMode="Amount only","A|"&amp;TEXT(ROUND(C94,2),"0.00"),IF(MatchMode="Amount (tolerance)","T|"&amp;TEXT(ROUND(C94/MAX(N(Tolerance),0.0001),0),"0"),IF(MatchMode="Date + amount (tolerance)","DT|"&amp;TEXT(A94,"yyyy-mm-dd")&amp;"|"&amp;TEXT(ROUND(C94/MAX(N(Tolerance),0.0001),0),"0"),IF(MatchMode="Description (exact)","S|"&amp;LOWER(TRIM(B94)),IF(MatchMode="Reference / ID only","U|"&amp;ROW(),"DA|"&amp;TEXT(A94,"yyyy-mm-dd")&amp;"|"&amp;TEXT(ROUND(C94,2),"0.00"))))))))))</f>
        <v/>
      </c>
      <c r="J94" s="50">
        <f>IF(I94="","",COUNTIF($I$5:I94,I94))</f>
        <v/>
      </c>
      <c r="K94" s="50">
        <f>IF(P94="","",IFERROR(MATCH(P94,ListA_Combo,0)+4,""))</f>
        <v/>
      </c>
      <c r="L94" s="51">
        <f>IF(A94="","",IF(K94="","Unmatched",IF(ABS(C94-M94)&lt;=MAX(N(Tolerance),0),"Matched","Difference")))</f>
        <v/>
      </c>
      <c r="M94" s="52">
        <f>IF(K94="","",INDEX('List A'!$C$5:$C$204,K94-4))</f>
        <v/>
      </c>
      <c r="N94" s="52">
        <f>IF(K94="","",C94-M94)</f>
        <v/>
      </c>
      <c r="O94" s="53">
        <f>IF(OR(A94="",K94=""),"",IF(H94&lt;&gt;"","Manual pair",IF(D94&lt;&gt;"","Reference / ID",MatchMode)))</f>
        <v/>
      </c>
      <c r="P94" s="54">
        <f>IF(I94="","",I94&amp;"|"&amp;J94)</f>
        <v/>
      </c>
      <c r="Q94" s="54">
        <f>IF(L94="Matched",COUNTIF($L$5:L94,"Matched"),"")</f>
        <v/>
      </c>
      <c r="R94" s="54">
        <f>IF(L94="Unmatched",COUNTIF($L$5:L94,"Unmatched"),"")</f>
        <v/>
      </c>
      <c r="S94" s="54">
        <f>IF(L94="Difference",COUNTIF($L$5:L94,"Difference"),"")</f>
        <v/>
      </c>
      <c r="T94" s="55">
        <f>IF(L94="Difference",ABS(N94),0)</f>
        <v/>
      </c>
    </row>
    <row r="95" ht="17" customHeight="1">
      <c r="A95" s="86" t="n"/>
      <c r="B95" s="46" t="n"/>
      <c r="C95" s="47" t="n"/>
      <c r="D95" s="46" t="n"/>
      <c r="E95" s="46" t="n"/>
      <c r="F95" s="46" t="n"/>
      <c r="G95" s="48" t="n"/>
      <c r="H95" s="48" t="n"/>
      <c r="I95" s="49">
        <f>IF(A95="","",IF(H95&lt;&gt;"","M|"&amp;TRIM(H95),IF(AND(MatchMode="Reference / ID only",D95=""),"U|"&amp;ROW(),IF(D95&lt;&gt;"","R|"&amp;TRIM(D95),IF(MatchMode="Amount only","A|"&amp;TEXT(ROUND(C95,2),"0.00"),IF(MatchMode="Amount (tolerance)","T|"&amp;TEXT(ROUND(C95/MAX(N(Tolerance),0.0001),0),"0"),IF(MatchMode="Date + amount (tolerance)","DT|"&amp;TEXT(A95,"yyyy-mm-dd")&amp;"|"&amp;TEXT(ROUND(C95/MAX(N(Tolerance),0.0001),0),"0"),IF(MatchMode="Description (exact)","S|"&amp;LOWER(TRIM(B95)),IF(MatchMode="Reference / ID only","U|"&amp;ROW(),"DA|"&amp;TEXT(A95,"yyyy-mm-dd")&amp;"|"&amp;TEXT(ROUND(C95,2),"0.00"))))))))))</f>
        <v/>
      </c>
      <c r="J95" s="50">
        <f>IF(I95="","",COUNTIF($I$5:I95,I95))</f>
        <v/>
      </c>
      <c r="K95" s="50">
        <f>IF(P95="","",IFERROR(MATCH(P95,ListA_Combo,0)+4,""))</f>
        <v/>
      </c>
      <c r="L95" s="51">
        <f>IF(A95="","",IF(K95="","Unmatched",IF(ABS(C95-M95)&lt;=MAX(N(Tolerance),0),"Matched","Difference")))</f>
        <v/>
      </c>
      <c r="M95" s="52">
        <f>IF(K95="","",INDEX('List A'!$C$5:$C$204,K95-4))</f>
        <v/>
      </c>
      <c r="N95" s="52">
        <f>IF(K95="","",C95-M95)</f>
        <v/>
      </c>
      <c r="O95" s="53">
        <f>IF(OR(A95="",K95=""),"",IF(H95&lt;&gt;"","Manual pair",IF(D95&lt;&gt;"","Reference / ID",MatchMode)))</f>
        <v/>
      </c>
      <c r="P95" s="54">
        <f>IF(I95="","",I95&amp;"|"&amp;J95)</f>
        <v/>
      </c>
      <c r="Q95" s="54">
        <f>IF(L95="Matched",COUNTIF($L$5:L95,"Matched"),"")</f>
        <v/>
      </c>
      <c r="R95" s="54">
        <f>IF(L95="Unmatched",COUNTIF($L$5:L95,"Unmatched"),"")</f>
        <v/>
      </c>
      <c r="S95" s="54">
        <f>IF(L95="Difference",COUNTIF($L$5:L95,"Difference"),"")</f>
        <v/>
      </c>
      <c r="T95" s="55">
        <f>IF(L95="Difference",ABS(N95),0)</f>
        <v/>
      </c>
    </row>
    <row r="96" ht="17" customHeight="1">
      <c r="A96" s="86" t="n"/>
      <c r="B96" s="46" t="n"/>
      <c r="C96" s="47" t="n"/>
      <c r="D96" s="46" t="n"/>
      <c r="E96" s="46" t="n"/>
      <c r="F96" s="46" t="n"/>
      <c r="G96" s="48" t="n"/>
      <c r="H96" s="48" t="n"/>
      <c r="I96" s="49">
        <f>IF(A96="","",IF(H96&lt;&gt;"","M|"&amp;TRIM(H96),IF(AND(MatchMode="Reference / ID only",D96=""),"U|"&amp;ROW(),IF(D96&lt;&gt;"","R|"&amp;TRIM(D96),IF(MatchMode="Amount only","A|"&amp;TEXT(ROUND(C96,2),"0.00"),IF(MatchMode="Amount (tolerance)","T|"&amp;TEXT(ROUND(C96/MAX(N(Tolerance),0.0001),0),"0"),IF(MatchMode="Date + amount (tolerance)","DT|"&amp;TEXT(A96,"yyyy-mm-dd")&amp;"|"&amp;TEXT(ROUND(C96/MAX(N(Tolerance),0.0001),0),"0"),IF(MatchMode="Description (exact)","S|"&amp;LOWER(TRIM(B96)),IF(MatchMode="Reference / ID only","U|"&amp;ROW(),"DA|"&amp;TEXT(A96,"yyyy-mm-dd")&amp;"|"&amp;TEXT(ROUND(C96,2),"0.00"))))))))))</f>
        <v/>
      </c>
      <c r="J96" s="50">
        <f>IF(I96="","",COUNTIF($I$5:I96,I96))</f>
        <v/>
      </c>
      <c r="K96" s="50">
        <f>IF(P96="","",IFERROR(MATCH(P96,ListA_Combo,0)+4,""))</f>
        <v/>
      </c>
      <c r="L96" s="51">
        <f>IF(A96="","",IF(K96="","Unmatched",IF(ABS(C96-M96)&lt;=MAX(N(Tolerance),0),"Matched","Difference")))</f>
        <v/>
      </c>
      <c r="M96" s="52">
        <f>IF(K96="","",INDEX('List A'!$C$5:$C$204,K96-4))</f>
        <v/>
      </c>
      <c r="N96" s="52">
        <f>IF(K96="","",C96-M96)</f>
        <v/>
      </c>
      <c r="O96" s="53">
        <f>IF(OR(A96="",K96=""),"",IF(H96&lt;&gt;"","Manual pair",IF(D96&lt;&gt;"","Reference / ID",MatchMode)))</f>
        <v/>
      </c>
      <c r="P96" s="54">
        <f>IF(I96="","",I96&amp;"|"&amp;J96)</f>
        <v/>
      </c>
      <c r="Q96" s="54">
        <f>IF(L96="Matched",COUNTIF($L$5:L96,"Matched"),"")</f>
        <v/>
      </c>
      <c r="R96" s="54">
        <f>IF(L96="Unmatched",COUNTIF($L$5:L96,"Unmatched"),"")</f>
        <v/>
      </c>
      <c r="S96" s="54">
        <f>IF(L96="Difference",COUNTIF($L$5:L96,"Difference"),"")</f>
        <v/>
      </c>
      <c r="T96" s="55">
        <f>IF(L96="Difference",ABS(N96),0)</f>
        <v/>
      </c>
    </row>
    <row r="97" ht="17" customHeight="1">
      <c r="A97" s="86" t="n"/>
      <c r="B97" s="46" t="n"/>
      <c r="C97" s="47" t="n"/>
      <c r="D97" s="46" t="n"/>
      <c r="E97" s="46" t="n"/>
      <c r="F97" s="46" t="n"/>
      <c r="G97" s="48" t="n"/>
      <c r="H97" s="48" t="n"/>
      <c r="I97" s="49">
        <f>IF(A97="","",IF(H97&lt;&gt;"","M|"&amp;TRIM(H97),IF(AND(MatchMode="Reference / ID only",D97=""),"U|"&amp;ROW(),IF(D97&lt;&gt;"","R|"&amp;TRIM(D97),IF(MatchMode="Amount only","A|"&amp;TEXT(ROUND(C97,2),"0.00"),IF(MatchMode="Amount (tolerance)","T|"&amp;TEXT(ROUND(C97/MAX(N(Tolerance),0.0001),0),"0"),IF(MatchMode="Date + amount (tolerance)","DT|"&amp;TEXT(A97,"yyyy-mm-dd")&amp;"|"&amp;TEXT(ROUND(C97/MAX(N(Tolerance),0.0001),0),"0"),IF(MatchMode="Description (exact)","S|"&amp;LOWER(TRIM(B97)),IF(MatchMode="Reference / ID only","U|"&amp;ROW(),"DA|"&amp;TEXT(A97,"yyyy-mm-dd")&amp;"|"&amp;TEXT(ROUND(C97,2),"0.00"))))))))))</f>
        <v/>
      </c>
      <c r="J97" s="50">
        <f>IF(I97="","",COUNTIF($I$5:I97,I97))</f>
        <v/>
      </c>
      <c r="K97" s="50">
        <f>IF(P97="","",IFERROR(MATCH(P97,ListA_Combo,0)+4,""))</f>
        <v/>
      </c>
      <c r="L97" s="51">
        <f>IF(A97="","",IF(K97="","Unmatched",IF(ABS(C97-M97)&lt;=MAX(N(Tolerance),0),"Matched","Difference")))</f>
        <v/>
      </c>
      <c r="M97" s="52">
        <f>IF(K97="","",INDEX('List A'!$C$5:$C$204,K97-4))</f>
        <v/>
      </c>
      <c r="N97" s="52">
        <f>IF(K97="","",C97-M97)</f>
        <v/>
      </c>
      <c r="O97" s="53">
        <f>IF(OR(A97="",K97=""),"",IF(H97&lt;&gt;"","Manual pair",IF(D97&lt;&gt;"","Reference / ID",MatchMode)))</f>
        <v/>
      </c>
      <c r="P97" s="54">
        <f>IF(I97="","",I97&amp;"|"&amp;J97)</f>
        <v/>
      </c>
      <c r="Q97" s="54">
        <f>IF(L97="Matched",COUNTIF($L$5:L97,"Matched"),"")</f>
        <v/>
      </c>
      <c r="R97" s="54">
        <f>IF(L97="Unmatched",COUNTIF($L$5:L97,"Unmatched"),"")</f>
        <v/>
      </c>
      <c r="S97" s="54">
        <f>IF(L97="Difference",COUNTIF($L$5:L97,"Difference"),"")</f>
        <v/>
      </c>
      <c r="T97" s="55">
        <f>IF(L97="Difference",ABS(N97),0)</f>
        <v/>
      </c>
    </row>
    <row r="98" ht="17" customHeight="1">
      <c r="A98" s="86" t="n"/>
      <c r="B98" s="46" t="n"/>
      <c r="C98" s="47" t="n"/>
      <c r="D98" s="46" t="n"/>
      <c r="E98" s="46" t="n"/>
      <c r="F98" s="46" t="n"/>
      <c r="G98" s="48" t="n"/>
      <c r="H98" s="48" t="n"/>
      <c r="I98" s="49">
        <f>IF(A98="","",IF(H98&lt;&gt;"","M|"&amp;TRIM(H98),IF(AND(MatchMode="Reference / ID only",D98=""),"U|"&amp;ROW(),IF(D98&lt;&gt;"","R|"&amp;TRIM(D98),IF(MatchMode="Amount only","A|"&amp;TEXT(ROUND(C98,2),"0.00"),IF(MatchMode="Amount (tolerance)","T|"&amp;TEXT(ROUND(C98/MAX(N(Tolerance),0.0001),0),"0"),IF(MatchMode="Date + amount (tolerance)","DT|"&amp;TEXT(A98,"yyyy-mm-dd")&amp;"|"&amp;TEXT(ROUND(C98/MAX(N(Tolerance),0.0001),0),"0"),IF(MatchMode="Description (exact)","S|"&amp;LOWER(TRIM(B98)),IF(MatchMode="Reference / ID only","U|"&amp;ROW(),"DA|"&amp;TEXT(A98,"yyyy-mm-dd")&amp;"|"&amp;TEXT(ROUND(C98,2),"0.00"))))))))))</f>
        <v/>
      </c>
      <c r="J98" s="50">
        <f>IF(I98="","",COUNTIF($I$5:I98,I98))</f>
        <v/>
      </c>
      <c r="K98" s="50">
        <f>IF(P98="","",IFERROR(MATCH(P98,ListA_Combo,0)+4,""))</f>
        <v/>
      </c>
      <c r="L98" s="51">
        <f>IF(A98="","",IF(K98="","Unmatched",IF(ABS(C98-M98)&lt;=MAX(N(Tolerance),0),"Matched","Difference")))</f>
        <v/>
      </c>
      <c r="M98" s="52">
        <f>IF(K98="","",INDEX('List A'!$C$5:$C$204,K98-4))</f>
        <v/>
      </c>
      <c r="N98" s="52">
        <f>IF(K98="","",C98-M98)</f>
        <v/>
      </c>
      <c r="O98" s="53">
        <f>IF(OR(A98="",K98=""),"",IF(H98&lt;&gt;"","Manual pair",IF(D98&lt;&gt;"","Reference / ID",MatchMode)))</f>
        <v/>
      </c>
      <c r="P98" s="54">
        <f>IF(I98="","",I98&amp;"|"&amp;J98)</f>
        <v/>
      </c>
      <c r="Q98" s="54">
        <f>IF(L98="Matched",COUNTIF($L$5:L98,"Matched"),"")</f>
        <v/>
      </c>
      <c r="R98" s="54">
        <f>IF(L98="Unmatched",COUNTIF($L$5:L98,"Unmatched"),"")</f>
        <v/>
      </c>
      <c r="S98" s="54">
        <f>IF(L98="Difference",COUNTIF($L$5:L98,"Difference"),"")</f>
        <v/>
      </c>
      <c r="T98" s="55">
        <f>IF(L98="Difference",ABS(N98),0)</f>
        <v/>
      </c>
    </row>
    <row r="99" ht="17" customHeight="1">
      <c r="A99" s="86" t="n"/>
      <c r="B99" s="46" t="n"/>
      <c r="C99" s="47" t="n"/>
      <c r="D99" s="46" t="n"/>
      <c r="E99" s="46" t="n"/>
      <c r="F99" s="46" t="n"/>
      <c r="G99" s="48" t="n"/>
      <c r="H99" s="48" t="n"/>
      <c r="I99" s="49">
        <f>IF(A99="","",IF(H99&lt;&gt;"","M|"&amp;TRIM(H99),IF(AND(MatchMode="Reference / ID only",D99=""),"U|"&amp;ROW(),IF(D99&lt;&gt;"","R|"&amp;TRIM(D99),IF(MatchMode="Amount only","A|"&amp;TEXT(ROUND(C99,2),"0.00"),IF(MatchMode="Amount (tolerance)","T|"&amp;TEXT(ROUND(C99/MAX(N(Tolerance),0.0001),0),"0"),IF(MatchMode="Date + amount (tolerance)","DT|"&amp;TEXT(A99,"yyyy-mm-dd")&amp;"|"&amp;TEXT(ROUND(C99/MAX(N(Tolerance),0.0001),0),"0"),IF(MatchMode="Description (exact)","S|"&amp;LOWER(TRIM(B99)),IF(MatchMode="Reference / ID only","U|"&amp;ROW(),"DA|"&amp;TEXT(A99,"yyyy-mm-dd")&amp;"|"&amp;TEXT(ROUND(C99,2),"0.00"))))))))))</f>
        <v/>
      </c>
      <c r="J99" s="50">
        <f>IF(I99="","",COUNTIF($I$5:I99,I99))</f>
        <v/>
      </c>
      <c r="K99" s="50">
        <f>IF(P99="","",IFERROR(MATCH(P99,ListA_Combo,0)+4,""))</f>
        <v/>
      </c>
      <c r="L99" s="51">
        <f>IF(A99="","",IF(K99="","Unmatched",IF(ABS(C99-M99)&lt;=MAX(N(Tolerance),0),"Matched","Difference")))</f>
        <v/>
      </c>
      <c r="M99" s="52">
        <f>IF(K99="","",INDEX('List A'!$C$5:$C$204,K99-4))</f>
        <v/>
      </c>
      <c r="N99" s="52">
        <f>IF(K99="","",C99-M99)</f>
        <v/>
      </c>
      <c r="O99" s="53">
        <f>IF(OR(A99="",K99=""),"",IF(H99&lt;&gt;"","Manual pair",IF(D99&lt;&gt;"","Reference / ID",MatchMode)))</f>
        <v/>
      </c>
      <c r="P99" s="54">
        <f>IF(I99="","",I99&amp;"|"&amp;J99)</f>
        <v/>
      </c>
      <c r="Q99" s="54">
        <f>IF(L99="Matched",COUNTIF($L$5:L99,"Matched"),"")</f>
        <v/>
      </c>
      <c r="R99" s="54">
        <f>IF(L99="Unmatched",COUNTIF($L$5:L99,"Unmatched"),"")</f>
        <v/>
      </c>
      <c r="S99" s="54">
        <f>IF(L99="Difference",COUNTIF($L$5:L99,"Difference"),"")</f>
        <v/>
      </c>
      <c r="T99" s="55">
        <f>IF(L99="Difference",ABS(N99),0)</f>
        <v/>
      </c>
    </row>
    <row r="100" ht="17" customHeight="1">
      <c r="A100" s="86" t="n"/>
      <c r="B100" s="46" t="n"/>
      <c r="C100" s="47" t="n"/>
      <c r="D100" s="46" t="n"/>
      <c r="E100" s="46" t="n"/>
      <c r="F100" s="46" t="n"/>
      <c r="G100" s="48" t="n"/>
      <c r="H100" s="48" t="n"/>
      <c r="I100" s="49">
        <f>IF(A100="","",IF(H100&lt;&gt;"","M|"&amp;TRIM(H100),IF(AND(MatchMode="Reference / ID only",D100=""),"U|"&amp;ROW(),IF(D100&lt;&gt;"","R|"&amp;TRIM(D100),IF(MatchMode="Amount only","A|"&amp;TEXT(ROUND(C100,2),"0.00"),IF(MatchMode="Amount (tolerance)","T|"&amp;TEXT(ROUND(C100/MAX(N(Tolerance),0.0001),0),"0"),IF(MatchMode="Date + amount (tolerance)","DT|"&amp;TEXT(A100,"yyyy-mm-dd")&amp;"|"&amp;TEXT(ROUND(C100/MAX(N(Tolerance),0.0001),0),"0"),IF(MatchMode="Description (exact)","S|"&amp;LOWER(TRIM(B100)),IF(MatchMode="Reference / ID only","U|"&amp;ROW(),"DA|"&amp;TEXT(A100,"yyyy-mm-dd")&amp;"|"&amp;TEXT(ROUND(C100,2),"0.00"))))))))))</f>
        <v/>
      </c>
      <c r="J100" s="50">
        <f>IF(I100="","",COUNTIF($I$5:I100,I100))</f>
        <v/>
      </c>
      <c r="K100" s="50">
        <f>IF(P100="","",IFERROR(MATCH(P100,ListA_Combo,0)+4,""))</f>
        <v/>
      </c>
      <c r="L100" s="51">
        <f>IF(A100="","",IF(K100="","Unmatched",IF(ABS(C100-M100)&lt;=MAX(N(Tolerance),0),"Matched","Difference")))</f>
        <v/>
      </c>
      <c r="M100" s="52">
        <f>IF(K100="","",INDEX('List A'!$C$5:$C$204,K100-4))</f>
        <v/>
      </c>
      <c r="N100" s="52">
        <f>IF(K100="","",C100-M100)</f>
        <v/>
      </c>
      <c r="O100" s="53">
        <f>IF(OR(A100="",K100=""),"",IF(H100&lt;&gt;"","Manual pair",IF(D100&lt;&gt;"","Reference / ID",MatchMode)))</f>
        <v/>
      </c>
      <c r="P100" s="54">
        <f>IF(I100="","",I100&amp;"|"&amp;J100)</f>
        <v/>
      </c>
      <c r="Q100" s="54">
        <f>IF(L100="Matched",COUNTIF($L$5:L100,"Matched"),"")</f>
        <v/>
      </c>
      <c r="R100" s="54">
        <f>IF(L100="Unmatched",COUNTIF($L$5:L100,"Unmatched"),"")</f>
        <v/>
      </c>
      <c r="S100" s="54">
        <f>IF(L100="Difference",COUNTIF($L$5:L100,"Difference"),"")</f>
        <v/>
      </c>
      <c r="T100" s="55">
        <f>IF(L100="Difference",ABS(N100),0)</f>
        <v/>
      </c>
    </row>
    <row r="101" ht="17" customHeight="1">
      <c r="A101" s="86" t="n"/>
      <c r="B101" s="46" t="n"/>
      <c r="C101" s="47" t="n"/>
      <c r="D101" s="46" t="n"/>
      <c r="E101" s="46" t="n"/>
      <c r="F101" s="46" t="n"/>
      <c r="G101" s="48" t="n"/>
      <c r="H101" s="48" t="n"/>
      <c r="I101" s="49">
        <f>IF(A101="","",IF(H101&lt;&gt;"","M|"&amp;TRIM(H101),IF(AND(MatchMode="Reference / ID only",D101=""),"U|"&amp;ROW(),IF(D101&lt;&gt;"","R|"&amp;TRIM(D101),IF(MatchMode="Amount only","A|"&amp;TEXT(ROUND(C101,2),"0.00"),IF(MatchMode="Amount (tolerance)","T|"&amp;TEXT(ROUND(C101/MAX(N(Tolerance),0.0001),0),"0"),IF(MatchMode="Date + amount (tolerance)","DT|"&amp;TEXT(A101,"yyyy-mm-dd")&amp;"|"&amp;TEXT(ROUND(C101/MAX(N(Tolerance),0.0001),0),"0"),IF(MatchMode="Description (exact)","S|"&amp;LOWER(TRIM(B101)),IF(MatchMode="Reference / ID only","U|"&amp;ROW(),"DA|"&amp;TEXT(A101,"yyyy-mm-dd")&amp;"|"&amp;TEXT(ROUND(C101,2),"0.00"))))))))))</f>
        <v/>
      </c>
      <c r="J101" s="50">
        <f>IF(I101="","",COUNTIF($I$5:I101,I101))</f>
        <v/>
      </c>
      <c r="K101" s="50">
        <f>IF(P101="","",IFERROR(MATCH(P101,ListA_Combo,0)+4,""))</f>
        <v/>
      </c>
      <c r="L101" s="51">
        <f>IF(A101="","",IF(K101="","Unmatched",IF(ABS(C101-M101)&lt;=MAX(N(Tolerance),0),"Matched","Difference")))</f>
        <v/>
      </c>
      <c r="M101" s="52">
        <f>IF(K101="","",INDEX('List A'!$C$5:$C$204,K101-4))</f>
        <v/>
      </c>
      <c r="N101" s="52">
        <f>IF(K101="","",C101-M101)</f>
        <v/>
      </c>
      <c r="O101" s="53">
        <f>IF(OR(A101="",K101=""),"",IF(H101&lt;&gt;"","Manual pair",IF(D101&lt;&gt;"","Reference / ID",MatchMode)))</f>
        <v/>
      </c>
      <c r="P101" s="54">
        <f>IF(I101="","",I101&amp;"|"&amp;J101)</f>
        <v/>
      </c>
      <c r="Q101" s="54">
        <f>IF(L101="Matched",COUNTIF($L$5:L101,"Matched"),"")</f>
        <v/>
      </c>
      <c r="R101" s="54">
        <f>IF(L101="Unmatched",COUNTIF($L$5:L101,"Unmatched"),"")</f>
        <v/>
      </c>
      <c r="S101" s="54">
        <f>IF(L101="Difference",COUNTIF($L$5:L101,"Difference"),"")</f>
        <v/>
      </c>
      <c r="T101" s="55">
        <f>IF(L101="Difference",ABS(N101),0)</f>
        <v/>
      </c>
    </row>
    <row r="102" ht="17" customHeight="1">
      <c r="A102" s="86" t="n"/>
      <c r="B102" s="46" t="n"/>
      <c r="C102" s="47" t="n"/>
      <c r="D102" s="46" t="n"/>
      <c r="E102" s="46" t="n"/>
      <c r="F102" s="46" t="n"/>
      <c r="G102" s="48" t="n"/>
      <c r="H102" s="48" t="n"/>
      <c r="I102" s="49">
        <f>IF(A102="","",IF(H102&lt;&gt;"","M|"&amp;TRIM(H102),IF(AND(MatchMode="Reference / ID only",D102=""),"U|"&amp;ROW(),IF(D102&lt;&gt;"","R|"&amp;TRIM(D102),IF(MatchMode="Amount only","A|"&amp;TEXT(ROUND(C102,2),"0.00"),IF(MatchMode="Amount (tolerance)","T|"&amp;TEXT(ROUND(C102/MAX(N(Tolerance),0.0001),0),"0"),IF(MatchMode="Date + amount (tolerance)","DT|"&amp;TEXT(A102,"yyyy-mm-dd")&amp;"|"&amp;TEXT(ROUND(C102/MAX(N(Tolerance),0.0001),0),"0"),IF(MatchMode="Description (exact)","S|"&amp;LOWER(TRIM(B102)),IF(MatchMode="Reference / ID only","U|"&amp;ROW(),"DA|"&amp;TEXT(A102,"yyyy-mm-dd")&amp;"|"&amp;TEXT(ROUND(C102,2),"0.00"))))))))))</f>
        <v/>
      </c>
      <c r="J102" s="50">
        <f>IF(I102="","",COUNTIF($I$5:I102,I102))</f>
        <v/>
      </c>
      <c r="K102" s="50">
        <f>IF(P102="","",IFERROR(MATCH(P102,ListA_Combo,0)+4,""))</f>
        <v/>
      </c>
      <c r="L102" s="51">
        <f>IF(A102="","",IF(K102="","Unmatched",IF(ABS(C102-M102)&lt;=MAX(N(Tolerance),0),"Matched","Difference")))</f>
        <v/>
      </c>
      <c r="M102" s="52">
        <f>IF(K102="","",INDEX('List A'!$C$5:$C$204,K102-4))</f>
        <v/>
      </c>
      <c r="N102" s="52">
        <f>IF(K102="","",C102-M102)</f>
        <v/>
      </c>
      <c r="O102" s="53">
        <f>IF(OR(A102="",K102=""),"",IF(H102&lt;&gt;"","Manual pair",IF(D102&lt;&gt;"","Reference / ID",MatchMode)))</f>
        <v/>
      </c>
      <c r="P102" s="54">
        <f>IF(I102="","",I102&amp;"|"&amp;J102)</f>
        <v/>
      </c>
      <c r="Q102" s="54">
        <f>IF(L102="Matched",COUNTIF($L$5:L102,"Matched"),"")</f>
        <v/>
      </c>
      <c r="R102" s="54">
        <f>IF(L102="Unmatched",COUNTIF($L$5:L102,"Unmatched"),"")</f>
        <v/>
      </c>
      <c r="S102" s="54">
        <f>IF(L102="Difference",COUNTIF($L$5:L102,"Difference"),"")</f>
        <v/>
      </c>
      <c r="T102" s="55">
        <f>IF(L102="Difference",ABS(N102),0)</f>
        <v/>
      </c>
    </row>
    <row r="103" ht="17" customHeight="1">
      <c r="A103" s="86" t="n"/>
      <c r="B103" s="46" t="n"/>
      <c r="C103" s="47" t="n"/>
      <c r="D103" s="46" t="n"/>
      <c r="E103" s="46" t="n"/>
      <c r="F103" s="46" t="n"/>
      <c r="G103" s="48" t="n"/>
      <c r="H103" s="48" t="n"/>
      <c r="I103" s="49">
        <f>IF(A103="","",IF(H103&lt;&gt;"","M|"&amp;TRIM(H103),IF(AND(MatchMode="Reference / ID only",D103=""),"U|"&amp;ROW(),IF(D103&lt;&gt;"","R|"&amp;TRIM(D103),IF(MatchMode="Amount only","A|"&amp;TEXT(ROUND(C103,2),"0.00"),IF(MatchMode="Amount (tolerance)","T|"&amp;TEXT(ROUND(C103/MAX(N(Tolerance),0.0001),0),"0"),IF(MatchMode="Date + amount (tolerance)","DT|"&amp;TEXT(A103,"yyyy-mm-dd")&amp;"|"&amp;TEXT(ROUND(C103/MAX(N(Tolerance),0.0001),0),"0"),IF(MatchMode="Description (exact)","S|"&amp;LOWER(TRIM(B103)),IF(MatchMode="Reference / ID only","U|"&amp;ROW(),"DA|"&amp;TEXT(A103,"yyyy-mm-dd")&amp;"|"&amp;TEXT(ROUND(C103,2),"0.00"))))))))))</f>
        <v/>
      </c>
      <c r="J103" s="50">
        <f>IF(I103="","",COUNTIF($I$5:I103,I103))</f>
        <v/>
      </c>
      <c r="K103" s="50">
        <f>IF(P103="","",IFERROR(MATCH(P103,ListA_Combo,0)+4,""))</f>
        <v/>
      </c>
      <c r="L103" s="51">
        <f>IF(A103="","",IF(K103="","Unmatched",IF(ABS(C103-M103)&lt;=MAX(N(Tolerance),0),"Matched","Difference")))</f>
        <v/>
      </c>
      <c r="M103" s="52">
        <f>IF(K103="","",INDEX('List A'!$C$5:$C$204,K103-4))</f>
        <v/>
      </c>
      <c r="N103" s="52">
        <f>IF(K103="","",C103-M103)</f>
        <v/>
      </c>
      <c r="O103" s="53">
        <f>IF(OR(A103="",K103=""),"",IF(H103&lt;&gt;"","Manual pair",IF(D103&lt;&gt;"","Reference / ID",MatchMode)))</f>
        <v/>
      </c>
      <c r="P103" s="54">
        <f>IF(I103="","",I103&amp;"|"&amp;J103)</f>
        <v/>
      </c>
      <c r="Q103" s="54">
        <f>IF(L103="Matched",COUNTIF($L$5:L103,"Matched"),"")</f>
        <v/>
      </c>
      <c r="R103" s="54">
        <f>IF(L103="Unmatched",COUNTIF($L$5:L103,"Unmatched"),"")</f>
        <v/>
      </c>
      <c r="S103" s="54">
        <f>IF(L103="Difference",COUNTIF($L$5:L103,"Difference"),"")</f>
        <v/>
      </c>
      <c r="T103" s="55">
        <f>IF(L103="Difference",ABS(N103),0)</f>
        <v/>
      </c>
    </row>
    <row r="104" ht="17" customHeight="1">
      <c r="A104" s="86" t="n"/>
      <c r="B104" s="46" t="n"/>
      <c r="C104" s="47" t="n"/>
      <c r="D104" s="46" t="n"/>
      <c r="E104" s="46" t="n"/>
      <c r="F104" s="46" t="n"/>
      <c r="G104" s="48" t="n"/>
      <c r="H104" s="48" t="n"/>
      <c r="I104" s="49">
        <f>IF(A104="","",IF(H104&lt;&gt;"","M|"&amp;TRIM(H104),IF(AND(MatchMode="Reference / ID only",D104=""),"U|"&amp;ROW(),IF(D104&lt;&gt;"","R|"&amp;TRIM(D104),IF(MatchMode="Amount only","A|"&amp;TEXT(ROUND(C104,2),"0.00"),IF(MatchMode="Amount (tolerance)","T|"&amp;TEXT(ROUND(C104/MAX(N(Tolerance),0.0001),0),"0"),IF(MatchMode="Date + amount (tolerance)","DT|"&amp;TEXT(A104,"yyyy-mm-dd")&amp;"|"&amp;TEXT(ROUND(C104/MAX(N(Tolerance),0.0001),0),"0"),IF(MatchMode="Description (exact)","S|"&amp;LOWER(TRIM(B104)),IF(MatchMode="Reference / ID only","U|"&amp;ROW(),"DA|"&amp;TEXT(A104,"yyyy-mm-dd")&amp;"|"&amp;TEXT(ROUND(C104,2),"0.00"))))))))))</f>
        <v/>
      </c>
      <c r="J104" s="50">
        <f>IF(I104="","",COUNTIF($I$5:I104,I104))</f>
        <v/>
      </c>
      <c r="K104" s="50">
        <f>IF(P104="","",IFERROR(MATCH(P104,ListA_Combo,0)+4,""))</f>
        <v/>
      </c>
      <c r="L104" s="51">
        <f>IF(A104="","",IF(K104="","Unmatched",IF(ABS(C104-M104)&lt;=MAX(N(Tolerance),0),"Matched","Difference")))</f>
        <v/>
      </c>
      <c r="M104" s="52">
        <f>IF(K104="","",INDEX('List A'!$C$5:$C$204,K104-4))</f>
        <v/>
      </c>
      <c r="N104" s="52">
        <f>IF(K104="","",C104-M104)</f>
        <v/>
      </c>
      <c r="O104" s="53">
        <f>IF(OR(A104="",K104=""),"",IF(H104&lt;&gt;"","Manual pair",IF(D104&lt;&gt;"","Reference / ID",MatchMode)))</f>
        <v/>
      </c>
      <c r="P104" s="54">
        <f>IF(I104="","",I104&amp;"|"&amp;J104)</f>
        <v/>
      </c>
      <c r="Q104" s="54">
        <f>IF(L104="Matched",COUNTIF($L$5:L104,"Matched"),"")</f>
        <v/>
      </c>
      <c r="R104" s="54">
        <f>IF(L104="Unmatched",COUNTIF($L$5:L104,"Unmatched"),"")</f>
        <v/>
      </c>
      <c r="S104" s="54">
        <f>IF(L104="Difference",COUNTIF($L$5:L104,"Difference"),"")</f>
        <v/>
      </c>
      <c r="T104" s="55">
        <f>IF(L104="Difference",ABS(N104),0)</f>
        <v/>
      </c>
    </row>
    <row r="105" ht="17" customHeight="1">
      <c r="A105" s="86" t="n"/>
      <c r="B105" s="46" t="n"/>
      <c r="C105" s="47" t="n"/>
      <c r="D105" s="46" t="n"/>
      <c r="E105" s="46" t="n"/>
      <c r="F105" s="46" t="n"/>
      <c r="G105" s="48" t="n"/>
      <c r="H105" s="48" t="n"/>
      <c r="I105" s="49">
        <f>IF(A105="","",IF(H105&lt;&gt;"","M|"&amp;TRIM(H105),IF(AND(MatchMode="Reference / ID only",D105=""),"U|"&amp;ROW(),IF(D105&lt;&gt;"","R|"&amp;TRIM(D105),IF(MatchMode="Amount only","A|"&amp;TEXT(ROUND(C105,2),"0.00"),IF(MatchMode="Amount (tolerance)","T|"&amp;TEXT(ROUND(C105/MAX(N(Tolerance),0.0001),0),"0"),IF(MatchMode="Date + amount (tolerance)","DT|"&amp;TEXT(A105,"yyyy-mm-dd")&amp;"|"&amp;TEXT(ROUND(C105/MAX(N(Tolerance),0.0001),0),"0"),IF(MatchMode="Description (exact)","S|"&amp;LOWER(TRIM(B105)),IF(MatchMode="Reference / ID only","U|"&amp;ROW(),"DA|"&amp;TEXT(A105,"yyyy-mm-dd")&amp;"|"&amp;TEXT(ROUND(C105,2),"0.00"))))))))))</f>
        <v/>
      </c>
      <c r="J105" s="50">
        <f>IF(I105="","",COUNTIF($I$5:I105,I105))</f>
        <v/>
      </c>
      <c r="K105" s="50">
        <f>IF(P105="","",IFERROR(MATCH(P105,ListA_Combo,0)+4,""))</f>
        <v/>
      </c>
      <c r="L105" s="51">
        <f>IF(A105="","",IF(K105="","Unmatched",IF(ABS(C105-M105)&lt;=MAX(N(Tolerance),0),"Matched","Difference")))</f>
        <v/>
      </c>
      <c r="M105" s="52">
        <f>IF(K105="","",INDEX('List A'!$C$5:$C$204,K105-4))</f>
        <v/>
      </c>
      <c r="N105" s="52">
        <f>IF(K105="","",C105-M105)</f>
        <v/>
      </c>
      <c r="O105" s="53">
        <f>IF(OR(A105="",K105=""),"",IF(H105&lt;&gt;"","Manual pair",IF(D105&lt;&gt;"","Reference / ID",MatchMode)))</f>
        <v/>
      </c>
      <c r="P105" s="54">
        <f>IF(I105="","",I105&amp;"|"&amp;J105)</f>
        <v/>
      </c>
      <c r="Q105" s="54">
        <f>IF(L105="Matched",COUNTIF($L$5:L105,"Matched"),"")</f>
        <v/>
      </c>
      <c r="R105" s="54">
        <f>IF(L105="Unmatched",COUNTIF($L$5:L105,"Unmatched"),"")</f>
        <v/>
      </c>
      <c r="S105" s="54">
        <f>IF(L105="Difference",COUNTIF($L$5:L105,"Difference"),"")</f>
        <v/>
      </c>
      <c r="T105" s="55">
        <f>IF(L105="Difference",ABS(N105),0)</f>
        <v/>
      </c>
    </row>
    <row r="106" ht="17" customHeight="1">
      <c r="A106" s="86" t="n"/>
      <c r="B106" s="46" t="n"/>
      <c r="C106" s="47" t="n"/>
      <c r="D106" s="46" t="n"/>
      <c r="E106" s="46" t="n"/>
      <c r="F106" s="46" t="n"/>
      <c r="G106" s="48" t="n"/>
      <c r="H106" s="48" t="n"/>
      <c r="I106" s="49">
        <f>IF(A106="","",IF(H106&lt;&gt;"","M|"&amp;TRIM(H106),IF(AND(MatchMode="Reference / ID only",D106=""),"U|"&amp;ROW(),IF(D106&lt;&gt;"","R|"&amp;TRIM(D106),IF(MatchMode="Amount only","A|"&amp;TEXT(ROUND(C106,2),"0.00"),IF(MatchMode="Amount (tolerance)","T|"&amp;TEXT(ROUND(C106/MAX(N(Tolerance),0.0001),0),"0"),IF(MatchMode="Date + amount (tolerance)","DT|"&amp;TEXT(A106,"yyyy-mm-dd")&amp;"|"&amp;TEXT(ROUND(C106/MAX(N(Tolerance),0.0001),0),"0"),IF(MatchMode="Description (exact)","S|"&amp;LOWER(TRIM(B106)),IF(MatchMode="Reference / ID only","U|"&amp;ROW(),"DA|"&amp;TEXT(A106,"yyyy-mm-dd")&amp;"|"&amp;TEXT(ROUND(C106,2),"0.00"))))))))))</f>
        <v/>
      </c>
      <c r="J106" s="50">
        <f>IF(I106="","",COUNTIF($I$5:I106,I106))</f>
        <v/>
      </c>
      <c r="K106" s="50">
        <f>IF(P106="","",IFERROR(MATCH(P106,ListA_Combo,0)+4,""))</f>
        <v/>
      </c>
      <c r="L106" s="51">
        <f>IF(A106="","",IF(K106="","Unmatched",IF(ABS(C106-M106)&lt;=MAX(N(Tolerance),0),"Matched","Difference")))</f>
        <v/>
      </c>
      <c r="M106" s="52">
        <f>IF(K106="","",INDEX('List A'!$C$5:$C$204,K106-4))</f>
        <v/>
      </c>
      <c r="N106" s="52">
        <f>IF(K106="","",C106-M106)</f>
        <v/>
      </c>
      <c r="O106" s="53">
        <f>IF(OR(A106="",K106=""),"",IF(H106&lt;&gt;"","Manual pair",IF(D106&lt;&gt;"","Reference / ID",MatchMode)))</f>
        <v/>
      </c>
      <c r="P106" s="54">
        <f>IF(I106="","",I106&amp;"|"&amp;J106)</f>
        <v/>
      </c>
      <c r="Q106" s="54">
        <f>IF(L106="Matched",COUNTIF($L$5:L106,"Matched"),"")</f>
        <v/>
      </c>
      <c r="R106" s="54">
        <f>IF(L106="Unmatched",COUNTIF($L$5:L106,"Unmatched"),"")</f>
        <v/>
      </c>
      <c r="S106" s="54">
        <f>IF(L106="Difference",COUNTIF($L$5:L106,"Difference"),"")</f>
        <v/>
      </c>
      <c r="T106" s="55">
        <f>IF(L106="Difference",ABS(N106),0)</f>
        <v/>
      </c>
    </row>
    <row r="107" ht="17" customHeight="1">
      <c r="A107" s="86" t="n"/>
      <c r="B107" s="46" t="n"/>
      <c r="C107" s="47" t="n"/>
      <c r="D107" s="46" t="n"/>
      <c r="E107" s="46" t="n"/>
      <c r="F107" s="46" t="n"/>
      <c r="G107" s="48" t="n"/>
      <c r="H107" s="48" t="n"/>
      <c r="I107" s="49">
        <f>IF(A107="","",IF(H107&lt;&gt;"","M|"&amp;TRIM(H107),IF(AND(MatchMode="Reference / ID only",D107=""),"U|"&amp;ROW(),IF(D107&lt;&gt;"","R|"&amp;TRIM(D107),IF(MatchMode="Amount only","A|"&amp;TEXT(ROUND(C107,2),"0.00"),IF(MatchMode="Amount (tolerance)","T|"&amp;TEXT(ROUND(C107/MAX(N(Tolerance),0.0001),0),"0"),IF(MatchMode="Date + amount (tolerance)","DT|"&amp;TEXT(A107,"yyyy-mm-dd")&amp;"|"&amp;TEXT(ROUND(C107/MAX(N(Tolerance),0.0001),0),"0"),IF(MatchMode="Description (exact)","S|"&amp;LOWER(TRIM(B107)),IF(MatchMode="Reference / ID only","U|"&amp;ROW(),"DA|"&amp;TEXT(A107,"yyyy-mm-dd")&amp;"|"&amp;TEXT(ROUND(C107,2),"0.00"))))))))))</f>
        <v/>
      </c>
      <c r="J107" s="50">
        <f>IF(I107="","",COUNTIF($I$5:I107,I107))</f>
        <v/>
      </c>
      <c r="K107" s="50">
        <f>IF(P107="","",IFERROR(MATCH(P107,ListA_Combo,0)+4,""))</f>
        <v/>
      </c>
      <c r="L107" s="51">
        <f>IF(A107="","",IF(K107="","Unmatched",IF(ABS(C107-M107)&lt;=MAX(N(Tolerance),0),"Matched","Difference")))</f>
        <v/>
      </c>
      <c r="M107" s="52">
        <f>IF(K107="","",INDEX('List A'!$C$5:$C$204,K107-4))</f>
        <v/>
      </c>
      <c r="N107" s="52">
        <f>IF(K107="","",C107-M107)</f>
        <v/>
      </c>
      <c r="O107" s="53">
        <f>IF(OR(A107="",K107=""),"",IF(H107&lt;&gt;"","Manual pair",IF(D107&lt;&gt;"","Reference / ID",MatchMode)))</f>
        <v/>
      </c>
      <c r="P107" s="54">
        <f>IF(I107="","",I107&amp;"|"&amp;J107)</f>
        <v/>
      </c>
      <c r="Q107" s="54">
        <f>IF(L107="Matched",COUNTIF($L$5:L107,"Matched"),"")</f>
        <v/>
      </c>
      <c r="R107" s="54">
        <f>IF(L107="Unmatched",COUNTIF($L$5:L107,"Unmatched"),"")</f>
        <v/>
      </c>
      <c r="S107" s="54">
        <f>IF(L107="Difference",COUNTIF($L$5:L107,"Difference"),"")</f>
        <v/>
      </c>
      <c r="T107" s="55">
        <f>IF(L107="Difference",ABS(N107),0)</f>
        <v/>
      </c>
    </row>
    <row r="108" ht="17" customHeight="1">
      <c r="A108" s="86" t="n"/>
      <c r="B108" s="46" t="n"/>
      <c r="C108" s="47" t="n"/>
      <c r="D108" s="46" t="n"/>
      <c r="E108" s="46" t="n"/>
      <c r="F108" s="46" t="n"/>
      <c r="G108" s="48" t="n"/>
      <c r="H108" s="48" t="n"/>
      <c r="I108" s="49">
        <f>IF(A108="","",IF(H108&lt;&gt;"","M|"&amp;TRIM(H108),IF(AND(MatchMode="Reference / ID only",D108=""),"U|"&amp;ROW(),IF(D108&lt;&gt;"","R|"&amp;TRIM(D108),IF(MatchMode="Amount only","A|"&amp;TEXT(ROUND(C108,2),"0.00"),IF(MatchMode="Amount (tolerance)","T|"&amp;TEXT(ROUND(C108/MAX(N(Tolerance),0.0001),0),"0"),IF(MatchMode="Date + amount (tolerance)","DT|"&amp;TEXT(A108,"yyyy-mm-dd")&amp;"|"&amp;TEXT(ROUND(C108/MAX(N(Tolerance),0.0001),0),"0"),IF(MatchMode="Description (exact)","S|"&amp;LOWER(TRIM(B108)),IF(MatchMode="Reference / ID only","U|"&amp;ROW(),"DA|"&amp;TEXT(A108,"yyyy-mm-dd")&amp;"|"&amp;TEXT(ROUND(C108,2),"0.00"))))))))))</f>
        <v/>
      </c>
      <c r="J108" s="50">
        <f>IF(I108="","",COUNTIF($I$5:I108,I108))</f>
        <v/>
      </c>
      <c r="K108" s="50">
        <f>IF(P108="","",IFERROR(MATCH(P108,ListA_Combo,0)+4,""))</f>
        <v/>
      </c>
      <c r="L108" s="51">
        <f>IF(A108="","",IF(K108="","Unmatched",IF(ABS(C108-M108)&lt;=MAX(N(Tolerance),0),"Matched","Difference")))</f>
        <v/>
      </c>
      <c r="M108" s="52">
        <f>IF(K108="","",INDEX('List A'!$C$5:$C$204,K108-4))</f>
        <v/>
      </c>
      <c r="N108" s="52">
        <f>IF(K108="","",C108-M108)</f>
        <v/>
      </c>
      <c r="O108" s="53">
        <f>IF(OR(A108="",K108=""),"",IF(H108&lt;&gt;"","Manual pair",IF(D108&lt;&gt;"","Reference / ID",MatchMode)))</f>
        <v/>
      </c>
      <c r="P108" s="54">
        <f>IF(I108="","",I108&amp;"|"&amp;J108)</f>
        <v/>
      </c>
      <c r="Q108" s="54">
        <f>IF(L108="Matched",COUNTIF($L$5:L108,"Matched"),"")</f>
        <v/>
      </c>
      <c r="R108" s="54">
        <f>IF(L108="Unmatched",COUNTIF($L$5:L108,"Unmatched"),"")</f>
        <v/>
      </c>
      <c r="S108" s="54">
        <f>IF(L108="Difference",COUNTIF($L$5:L108,"Difference"),"")</f>
        <v/>
      </c>
      <c r="T108" s="55">
        <f>IF(L108="Difference",ABS(N108),0)</f>
        <v/>
      </c>
    </row>
    <row r="109" ht="17" customHeight="1">
      <c r="A109" s="86" t="n"/>
      <c r="B109" s="46" t="n"/>
      <c r="C109" s="47" t="n"/>
      <c r="D109" s="46" t="n"/>
      <c r="E109" s="46" t="n"/>
      <c r="F109" s="46" t="n"/>
      <c r="G109" s="48" t="n"/>
      <c r="H109" s="48" t="n"/>
      <c r="I109" s="49">
        <f>IF(A109="","",IF(H109&lt;&gt;"","M|"&amp;TRIM(H109),IF(AND(MatchMode="Reference / ID only",D109=""),"U|"&amp;ROW(),IF(D109&lt;&gt;"","R|"&amp;TRIM(D109),IF(MatchMode="Amount only","A|"&amp;TEXT(ROUND(C109,2),"0.00"),IF(MatchMode="Amount (tolerance)","T|"&amp;TEXT(ROUND(C109/MAX(N(Tolerance),0.0001),0),"0"),IF(MatchMode="Date + amount (tolerance)","DT|"&amp;TEXT(A109,"yyyy-mm-dd")&amp;"|"&amp;TEXT(ROUND(C109/MAX(N(Tolerance),0.0001),0),"0"),IF(MatchMode="Description (exact)","S|"&amp;LOWER(TRIM(B109)),IF(MatchMode="Reference / ID only","U|"&amp;ROW(),"DA|"&amp;TEXT(A109,"yyyy-mm-dd")&amp;"|"&amp;TEXT(ROUND(C109,2),"0.00"))))))))))</f>
        <v/>
      </c>
      <c r="J109" s="50">
        <f>IF(I109="","",COUNTIF($I$5:I109,I109))</f>
        <v/>
      </c>
      <c r="K109" s="50">
        <f>IF(P109="","",IFERROR(MATCH(P109,ListA_Combo,0)+4,""))</f>
        <v/>
      </c>
      <c r="L109" s="51">
        <f>IF(A109="","",IF(K109="","Unmatched",IF(ABS(C109-M109)&lt;=MAX(N(Tolerance),0),"Matched","Difference")))</f>
        <v/>
      </c>
      <c r="M109" s="52">
        <f>IF(K109="","",INDEX('List A'!$C$5:$C$204,K109-4))</f>
        <v/>
      </c>
      <c r="N109" s="52">
        <f>IF(K109="","",C109-M109)</f>
        <v/>
      </c>
      <c r="O109" s="53">
        <f>IF(OR(A109="",K109=""),"",IF(H109&lt;&gt;"","Manual pair",IF(D109&lt;&gt;"","Reference / ID",MatchMode)))</f>
        <v/>
      </c>
      <c r="P109" s="54">
        <f>IF(I109="","",I109&amp;"|"&amp;J109)</f>
        <v/>
      </c>
      <c r="Q109" s="54">
        <f>IF(L109="Matched",COUNTIF($L$5:L109,"Matched"),"")</f>
        <v/>
      </c>
      <c r="R109" s="54">
        <f>IF(L109="Unmatched",COUNTIF($L$5:L109,"Unmatched"),"")</f>
        <v/>
      </c>
      <c r="S109" s="54">
        <f>IF(L109="Difference",COUNTIF($L$5:L109,"Difference"),"")</f>
        <v/>
      </c>
      <c r="T109" s="55">
        <f>IF(L109="Difference",ABS(N109),0)</f>
        <v/>
      </c>
    </row>
    <row r="110" ht="17" customHeight="1">
      <c r="A110" s="86" t="n"/>
      <c r="B110" s="46" t="n"/>
      <c r="C110" s="47" t="n"/>
      <c r="D110" s="46" t="n"/>
      <c r="E110" s="46" t="n"/>
      <c r="F110" s="46" t="n"/>
      <c r="G110" s="48" t="n"/>
      <c r="H110" s="48" t="n"/>
      <c r="I110" s="49">
        <f>IF(A110="","",IF(H110&lt;&gt;"","M|"&amp;TRIM(H110),IF(AND(MatchMode="Reference / ID only",D110=""),"U|"&amp;ROW(),IF(D110&lt;&gt;"","R|"&amp;TRIM(D110),IF(MatchMode="Amount only","A|"&amp;TEXT(ROUND(C110,2),"0.00"),IF(MatchMode="Amount (tolerance)","T|"&amp;TEXT(ROUND(C110/MAX(N(Tolerance),0.0001),0),"0"),IF(MatchMode="Date + amount (tolerance)","DT|"&amp;TEXT(A110,"yyyy-mm-dd")&amp;"|"&amp;TEXT(ROUND(C110/MAX(N(Tolerance),0.0001),0),"0"),IF(MatchMode="Description (exact)","S|"&amp;LOWER(TRIM(B110)),IF(MatchMode="Reference / ID only","U|"&amp;ROW(),"DA|"&amp;TEXT(A110,"yyyy-mm-dd")&amp;"|"&amp;TEXT(ROUND(C110,2),"0.00"))))))))))</f>
        <v/>
      </c>
      <c r="J110" s="50">
        <f>IF(I110="","",COUNTIF($I$5:I110,I110))</f>
        <v/>
      </c>
      <c r="K110" s="50">
        <f>IF(P110="","",IFERROR(MATCH(P110,ListA_Combo,0)+4,""))</f>
        <v/>
      </c>
      <c r="L110" s="51">
        <f>IF(A110="","",IF(K110="","Unmatched",IF(ABS(C110-M110)&lt;=MAX(N(Tolerance),0),"Matched","Difference")))</f>
        <v/>
      </c>
      <c r="M110" s="52">
        <f>IF(K110="","",INDEX('List A'!$C$5:$C$204,K110-4))</f>
        <v/>
      </c>
      <c r="N110" s="52">
        <f>IF(K110="","",C110-M110)</f>
        <v/>
      </c>
      <c r="O110" s="53">
        <f>IF(OR(A110="",K110=""),"",IF(H110&lt;&gt;"","Manual pair",IF(D110&lt;&gt;"","Reference / ID",MatchMode)))</f>
        <v/>
      </c>
      <c r="P110" s="54">
        <f>IF(I110="","",I110&amp;"|"&amp;J110)</f>
        <v/>
      </c>
      <c r="Q110" s="54">
        <f>IF(L110="Matched",COUNTIF($L$5:L110,"Matched"),"")</f>
        <v/>
      </c>
      <c r="R110" s="54">
        <f>IF(L110="Unmatched",COUNTIF($L$5:L110,"Unmatched"),"")</f>
        <v/>
      </c>
      <c r="S110" s="54">
        <f>IF(L110="Difference",COUNTIF($L$5:L110,"Difference"),"")</f>
        <v/>
      </c>
      <c r="T110" s="55">
        <f>IF(L110="Difference",ABS(N110),0)</f>
        <v/>
      </c>
    </row>
    <row r="111" ht="17" customHeight="1">
      <c r="A111" s="86" t="n"/>
      <c r="B111" s="46" t="n"/>
      <c r="C111" s="47" t="n"/>
      <c r="D111" s="46" t="n"/>
      <c r="E111" s="46" t="n"/>
      <c r="F111" s="46" t="n"/>
      <c r="G111" s="48" t="n"/>
      <c r="H111" s="48" t="n"/>
      <c r="I111" s="49">
        <f>IF(A111="","",IF(H111&lt;&gt;"","M|"&amp;TRIM(H111),IF(AND(MatchMode="Reference / ID only",D111=""),"U|"&amp;ROW(),IF(D111&lt;&gt;"","R|"&amp;TRIM(D111),IF(MatchMode="Amount only","A|"&amp;TEXT(ROUND(C111,2),"0.00"),IF(MatchMode="Amount (tolerance)","T|"&amp;TEXT(ROUND(C111/MAX(N(Tolerance),0.0001),0),"0"),IF(MatchMode="Date + amount (tolerance)","DT|"&amp;TEXT(A111,"yyyy-mm-dd")&amp;"|"&amp;TEXT(ROUND(C111/MAX(N(Tolerance),0.0001),0),"0"),IF(MatchMode="Description (exact)","S|"&amp;LOWER(TRIM(B111)),IF(MatchMode="Reference / ID only","U|"&amp;ROW(),"DA|"&amp;TEXT(A111,"yyyy-mm-dd")&amp;"|"&amp;TEXT(ROUND(C111,2),"0.00"))))))))))</f>
        <v/>
      </c>
      <c r="J111" s="50">
        <f>IF(I111="","",COUNTIF($I$5:I111,I111))</f>
        <v/>
      </c>
      <c r="K111" s="50">
        <f>IF(P111="","",IFERROR(MATCH(P111,ListA_Combo,0)+4,""))</f>
        <v/>
      </c>
      <c r="L111" s="51">
        <f>IF(A111="","",IF(K111="","Unmatched",IF(ABS(C111-M111)&lt;=MAX(N(Tolerance),0),"Matched","Difference")))</f>
        <v/>
      </c>
      <c r="M111" s="52">
        <f>IF(K111="","",INDEX('List A'!$C$5:$C$204,K111-4))</f>
        <v/>
      </c>
      <c r="N111" s="52">
        <f>IF(K111="","",C111-M111)</f>
        <v/>
      </c>
      <c r="O111" s="53">
        <f>IF(OR(A111="",K111=""),"",IF(H111&lt;&gt;"","Manual pair",IF(D111&lt;&gt;"","Reference / ID",MatchMode)))</f>
        <v/>
      </c>
      <c r="P111" s="54">
        <f>IF(I111="","",I111&amp;"|"&amp;J111)</f>
        <v/>
      </c>
      <c r="Q111" s="54">
        <f>IF(L111="Matched",COUNTIF($L$5:L111,"Matched"),"")</f>
        <v/>
      </c>
      <c r="R111" s="54">
        <f>IF(L111="Unmatched",COUNTIF($L$5:L111,"Unmatched"),"")</f>
        <v/>
      </c>
      <c r="S111" s="54">
        <f>IF(L111="Difference",COUNTIF($L$5:L111,"Difference"),"")</f>
        <v/>
      </c>
      <c r="T111" s="55">
        <f>IF(L111="Difference",ABS(N111),0)</f>
        <v/>
      </c>
    </row>
    <row r="112" ht="17" customHeight="1">
      <c r="A112" s="86" t="n"/>
      <c r="B112" s="46" t="n"/>
      <c r="C112" s="47" t="n"/>
      <c r="D112" s="46" t="n"/>
      <c r="E112" s="46" t="n"/>
      <c r="F112" s="46" t="n"/>
      <c r="G112" s="48" t="n"/>
      <c r="H112" s="48" t="n"/>
      <c r="I112" s="49">
        <f>IF(A112="","",IF(H112&lt;&gt;"","M|"&amp;TRIM(H112),IF(AND(MatchMode="Reference / ID only",D112=""),"U|"&amp;ROW(),IF(D112&lt;&gt;"","R|"&amp;TRIM(D112),IF(MatchMode="Amount only","A|"&amp;TEXT(ROUND(C112,2),"0.00"),IF(MatchMode="Amount (tolerance)","T|"&amp;TEXT(ROUND(C112/MAX(N(Tolerance),0.0001),0),"0"),IF(MatchMode="Date + amount (tolerance)","DT|"&amp;TEXT(A112,"yyyy-mm-dd")&amp;"|"&amp;TEXT(ROUND(C112/MAX(N(Tolerance),0.0001),0),"0"),IF(MatchMode="Description (exact)","S|"&amp;LOWER(TRIM(B112)),IF(MatchMode="Reference / ID only","U|"&amp;ROW(),"DA|"&amp;TEXT(A112,"yyyy-mm-dd")&amp;"|"&amp;TEXT(ROUND(C112,2),"0.00"))))))))))</f>
        <v/>
      </c>
      <c r="J112" s="50">
        <f>IF(I112="","",COUNTIF($I$5:I112,I112))</f>
        <v/>
      </c>
      <c r="K112" s="50">
        <f>IF(P112="","",IFERROR(MATCH(P112,ListA_Combo,0)+4,""))</f>
        <v/>
      </c>
      <c r="L112" s="51">
        <f>IF(A112="","",IF(K112="","Unmatched",IF(ABS(C112-M112)&lt;=MAX(N(Tolerance),0),"Matched","Difference")))</f>
        <v/>
      </c>
      <c r="M112" s="52">
        <f>IF(K112="","",INDEX('List A'!$C$5:$C$204,K112-4))</f>
        <v/>
      </c>
      <c r="N112" s="52">
        <f>IF(K112="","",C112-M112)</f>
        <v/>
      </c>
      <c r="O112" s="53">
        <f>IF(OR(A112="",K112=""),"",IF(H112&lt;&gt;"","Manual pair",IF(D112&lt;&gt;"","Reference / ID",MatchMode)))</f>
        <v/>
      </c>
      <c r="P112" s="54">
        <f>IF(I112="","",I112&amp;"|"&amp;J112)</f>
        <v/>
      </c>
      <c r="Q112" s="54">
        <f>IF(L112="Matched",COUNTIF($L$5:L112,"Matched"),"")</f>
        <v/>
      </c>
      <c r="R112" s="54">
        <f>IF(L112="Unmatched",COUNTIF($L$5:L112,"Unmatched"),"")</f>
        <v/>
      </c>
      <c r="S112" s="54">
        <f>IF(L112="Difference",COUNTIF($L$5:L112,"Difference"),"")</f>
        <v/>
      </c>
      <c r="T112" s="55">
        <f>IF(L112="Difference",ABS(N112),0)</f>
        <v/>
      </c>
    </row>
    <row r="113" ht="17" customHeight="1">
      <c r="A113" s="86" t="n"/>
      <c r="B113" s="46" t="n"/>
      <c r="C113" s="47" t="n"/>
      <c r="D113" s="46" t="n"/>
      <c r="E113" s="46" t="n"/>
      <c r="F113" s="46" t="n"/>
      <c r="G113" s="48" t="n"/>
      <c r="H113" s="48" t="n"/>
      <c r="I113" s="49">
        <f>IF(A113="","",IF(H113&lt;&gt;"","M|"&amp;TRIM(H113),IF(AND(MatchMode="Reference / ID only",D113=""),"U|"&amp;ROW(),IF(D113&lt;&gt;"","R|"&amp;TRIM(D113),IF(MatchMode="Amount only","A|"&amp;TEXT(ROUND(C113,2),"0.00"),IF(MatchMode="Amount (tolerance)","T|"&amp;TEXT(ROUND(C113/MAX(N(Tolerance),0.0001),0),"0"),IF(MatchMode="Date + amount (tolerance)","DT|"&amp;TEXT(A113,"yyyy-mm-dd")&amp;"|"&amp;TEXT(ROUND(C113/MAX(N(Tolerance),0.0001),0),"0"),IF(MatchMode="Description (exact)","S|"&amp;LOWER(TRIM(B113)),IF(MatchMode="Reference / ID only","U|"&amp;ROW(),"DA|"&amp;TEXT(A113,"yyyy-mm-dd")&amp;"|"&amp;TEXT(ROUND(C113,2),"0.00"))))))))))</f>
        <v/>
      </c>
      <c r="J113" s="50">
        <f>IF(I113="","",COUNTIF($I$5:I113,I113))</f>
        <v/>
      </c>
      <c r="K113" s="50">
        <f>IF(P113="","",IFERROR(MATCH(P113,ListA_Combo,0)+4,""))</f>
        <v/>
      </c>
      <c r="L113" s="51">
        <f>IF(A113="","",IF(K113="","Unmatched",IF(ABS(C113-M113)&lt;=MAX(N(Tolerance),0),"Matched","Difference")))</f>
        <v/>
      </c>
      <c r="M113" s="52">
        <f>IF(K113="","",INDEX('List A'!$C$5:$C$204,K113-4))</f>
        <v/>
      </c>
      <c r="N113" s="52">
        <f>IF(K113="","",C113-M113)</f>
        <v/>
      </c>
      <c r="O113" s="53">
        <f>IF(OR(A113="",K113=""),"",IF(H113&lt;&gt;"","Manual pair",IF(D113&lt;&gt;"","Reference / ID",MatchMode)))</f>
        <v/>
      </c>
      <c r="P113" s="54">
        <f>IF(I113="","",I113&amp;"|"&amp;J113)</f>
        <v/>
      </c>
      <c r="Q113" s="54">
        <f>IF(L113="Matched",COUNTIF($L$5:L113,"Matched"),"")</f>
        <v/>
      </c>
      <c r="R113" s="54">
        <f>IF(L113="Unmatched",COUNTIF($L$5:L113,"Unmatched"),"")</f>
        <v/>
      </c>
      <c r="S113" s="54">
        <f>IF(L113="Difference",COUNTIF($L$5:L113,"Difference"),"")</f>
        <v/>
      </c>
      <c r="T113" s="55">
        <f>IF(L113="Difference",ABS(N113),0)</f>
        <v/>
      </c>
    </row>
    <row r="114" ht="17" customHeight="1">
      <c r="A114" s="86" t="n"/>
      <c r="B114" s="46" t="n"/>
      <c r="C114" s="47" t="n"/>
      <c r="D114" s="46" t="n"/>
      <c r="E114" s="46" t="n"/>
      <c r="F114" s="46" t="n"/>
      <c r="G114" s="48" t="n"/>
      <c r="H114" s="48" t="n"/>
      <c r="I114" s="49">
        <f>IF(A114="","",IF(H114&lt;&gt;"","M|"&amp;TRIM(H114),IF(AND(MatchMode="Reference / ID only",D114=""),"U|"&amp;ROW(),IF(D114&lt;&gt;"","R|"&amp;TRIM(D114),IF(MatchMode="Amount only","A|"&amp;TEXT(ROUND(C114,2),"0.00"),IF(MatchMode="Amount (tolerance)","T|"&amp;TEXT(ROUND(C114/MAX(N(Tolerance),0.0001),0),"0"),IF(MatchMode="Date + amount (tolerance)","DT|"&amp;TEXT(A114,"yyyy-mm-dd")&amp;"|"&amp;TEXT(ROUND(C114/MAX(N(Tolerance),0.0001),0),"0"),IF(MatchMode="Description (exact)","S|"&amp;LOWER(TRIM(B114)),IF(MatchMode="Reference / ID only","U|"&amp;ROW(),"DA|"&amp;TEXT(A114,"yyyy-mm-dd")&amp;"|"&amp;TEXT(ROUND(C114,2),"0.00"))))))))))</f>
        <v/>
      </c>
      <c r="J114" s="50">
        <f>IF(I114="","",COUNTIF($I$5:I114,I114))</f>
        <v/>
      </c>
      <c r="K114" s="50">
        <f>IF(P114="","",IFERROR(MATCH(P114,ListA_Combo,0)+4,""))</f>
        <v/>
      </c>
      <c r="L114" s="51">
        <f>IF(A114="","",IF(K114="","Unmatched",IF(ABS(C114-M114)&lt;=MAX(N(Tolerance),0),"Matched","Difference")))</f>
        <v/>
      </c>
      <c r="M114" s="52">
        <f>IF(K114="","",INDEX('List A'!$C$5:$C$204,K114-4))</f>
        <v/>
      </c>
      <c r="N114" s="52">
        <f>IF(K114="","",C114-M114)</f>
        <v/>
      </c>
      <c r="O114" s="53">
        <f>IF(OR(A114="",K114=""),"",IF(H114&lt;&gt;"","Manual pair",IF(D114&lt;&gt;"","Reference / ID",MatchMode)))</f>
        <v/>
      </c>
      <c r="P114" s="54">
        <f>IF(I114="","",I114&amp;"|"&amp;J114)</f>
        <v/>
      </c>
      <c r="Q114" s="54">
        <f>IF(L114="Matched",COUNTIF($L$5:L114,"Matched"),"")</f>
        <v/>
      </c>
      <c r="R114" s="54">
        <f>IF(L114="Unmatched",COUNTIF($L$5:L114,"Unmatched"),"")</f>
        <v/>
      </c>
      <c r="S114" s="54">
        <f>IF(L114="Difference",COUNTIF($L$5:L114,"Difference"),"")</f>
        <v/>
      </c>
      <c r="T114" s="55">
        <f>IF(L114="Difference",ABS(N114),0)</f>
        <v/>
      </c>
    </row>
    <row r="115" ht="17" customHeight="1">
      <c r="A115" s="86" t="n"/>
      <c r="B115" s="46" t="n"/>
      <c r="C115" s="47" t="n"/>
      <c r="D115" s="46" t="n"/>
      <c r="E115" s="46" t="n"/>
      <c r="F115" s="46" t="n"/>
      <c r="G115" s="48" t="n"/>
      <c r="H115" s="48" t="n"/>
      <c r="I115" s="49">
        <f>IF(A115="","",IF(H115&lt;&gt;"","M|"&amp;TRIM(H115),IF(AND(MatchMode="Reference / ID only",D115=""),"U|"&amp;ROW(),IF(D115&lt;&gt;"","R|"&amp;TRIM(D115),IF(MatchMode="Amount only","A|"&amp;TEXT(ROUND(C115,2),"0.00"),IF(MatchMode="Amount (tolerance)","T|"&amp;TEXT(ROUND(C115/MAX(N(Tolerance),0.0001),0),"0"),IF(MatchMode="Date + amount (tolerance)","DT|"&amp;TEXT(A115,"yyyy-mm-dd")&amp;"|"&amp;TEXT(ROUND(C115/MAX(N(Tolerance),0.0001),0),"0"),IF(MatchMode="Description (exact)","S|"&amp;LOWER(TRIM(B115)),IF(MatchMode="Reference / ID only","U|"&amp;ROW(),"DA|"&amp;TEXT(A115,"yyyy-mm-dd")&amp;"|"&amp;TEXT(ROUND(C115,2),"0.00"))))))))))</f>
        <v/>
      </c>
      <c r="J115" s="50">
        <f>IF(I115="","",COUNTIF($I$5:I115,I115))</f>
        <v/>
      </c>
      <c r="K115" s="50">
        <f>IF(P115="","",IFERROR(MATCH(P115,ListA_Combo,0)+4,""))</f>
        <v/>
      </c>
      <c r="L115" s="51">
        <f>IF(A115="","",IF(K115="","Unmatched",IF(ABS(C115-M115)&lt;=MAX(N(Tolerance),0),"Matched","Difference")))</f>
        <v/>
      </c>
      <c r="M115" s="52">
        <f>IF(K115="","",INDEX('List A'!$C$5:$C$204,K115-4))</f>
        <v/>
      </c>
      <c r="N115" s="52">
        <f>IF(K115="","",C115-M115)</f>
        <v/>
      </c>
      <c r="O115" s="53">
        <f>IF(OR(A115="",K115=""),"",IF(H115&lt;&gt;"","Manual pair",IF(D115&lt;&gt;"","Reference / ID",MatchMode)))</f>
        <v/>
      </c>
      <c r="P115" s="54">
        <f>IF(I115="","",I115&amp;"|"&amp;J115)</f>
        <v/>
      </c>
      <c r="Q115" s="54">
        <f>IF(L115="Matched",COUNTIF($L$5:L115,"Matched"),"")</f>
        <v/>
      </c>
      <c r="R115" s="54">
        <f>IF(L115="Unmatched",COUNTIF($L$5:L115,"Unmatched"),"")</f>
        <v/>
      </c>
      <c r="S115" s="54">
        <f>IF(L115="Difference",COUNTIF($L$5:L115,"Difference"),"")</f>
        <v/>
      </c>
      <c r="T115" s="55">
        <f>IF(L115="Difference",ABS(N115),0)</f>
        <v/>
      </c>
    </row>
    <row r="116" ht="17" customHeight="1">
      <c r="A116" s="86" t="n"/>
      <c r="B116" s="46" t="n"/>
      <c r="C116" s="47" t="n"/>
      <c r="D116" s="46" t="n"/>
      <c r="E116" s="46" t="n"/>
      <c r="F116" s="46" t="n"/>
      <c r="G116" s="48" t="n"/>
      <c r="H116" s="48" t="n"/>
      <c r="I116" s="49">
        <f>IF(A116="","",IF(H116&lt;&gt;"","M|"&amp;TRIM(H116),IF(AND(MatchMode="Reference / ID only",D116=""),"U|"&amp;ROW(),IF(D116&lt;&gt;"","R|"&amp;TRIM(D116),IF(MatchMode="Amount only","A|"&amp;TEXT(ROUND(C116,2),"0.00"),IF(MatchMode="Amount (tolerance)","T|"&amp;TEXT(ROUND(C116/MAX(N(Tolerance),0.0001),0),"0"),IF(MatchMode="Date + amount (tolerance)","DT|"&amp;TEXT(A116,"yyyy-mm-dd")&amp;"|"&amp;TEXT(ROUND(C116/MAX(N(Tolerance),0.0001),0),"0"),IF(MatchMode="Description (exact)","S|"&amp;LOWER(TRIM(B116)),IF(MatchMode="Reference / ID only","U|"&amp;ROW(),"DA|"&amp;TEXT(A116,"yyyy-mm-dd")&amp;"|"&amp;TEXT(ROUND(C116,2),"0.00"))))))))))</f>
        <v/>
      </c>
      <c r="J116" s="50">
        <f>IF(I116="","",COUNTIF($I$5:I116,I116))</f>
        <v/>
      </c>
      <c r="K116" s="50">
        <f>IF(P116="","",IFERROR(MATCH(P116,ListA_Combo,0)+4,""))</f>
        <v/>
      </c>
      <c r="L116" s="51">
        <f>IF(A116="","",IF(K116="","Unmatched",IF(ABS(C116-M116)&lt;=MAX(N(Tolerance),0),"Matched","Difference")))</f>
        <v/>
      </c>
      <c r="M116" s="52">
        <f>IF(K116="","",INDEX('List A'!$C$5:$C$204,K116-4))</f>
        <v/>
      </c>
      <c r="N116" s="52">
        <f>IF(K116="","",C116-M116)</f>
        <v/>
      </c>
      <c r="O116" s="53">
        <f>IF(OR(A116="",K116=""),"",IF(H116&lt;&gt;"","Manual pair",IF(D116&lt;&gt;"","Reference / ID",MatchMode)))</f>
        <v/>
      </c>
      <c r="P116" s="54">
        <f>IF(I116="","",I116&amp;"|"&amp;J116)</f>
        <v/>
      </c>
      <c r="Q116" s="54">
        <f>IF(L116="Matched",COUNTIF($L$5:L116,"Matched"),"")</f>
        <v/>
      </c>
      <c r="R116" s="54">
        <f>IF(L116="Unmatched",COUNTIF($L$5:L116,"Unmatched"),"")</f>
        <v/>
      </c>
      <c r="S116" s="54">
        <f>IF(L116="Difference",COUNTIF($L$5:L116,"Difference"),"")</f>
        <v/>
      </c>
      <c r="T116" s="55">
        <f>IF(L116="Difference",ABS(N116),0)</f>
        <v/>
      </c>
    </row>
    <row r="117" ht="17" customHeight="1">
      <c r="A117" s="86" t="n"/>
      <c r="B117" s="46" t="n"/>
      <c r="C117" s="47" t="n"/>
      <c r="D117" s="46" t="n"/>
      <c r="E117" s="46" t="n"/>
      <c r="F117" s="46" t="n"/>
      <c r="G117" s="48" t="n"/>
      <c r="H117" s="48" t="n"/>
      <c r="I117" s="49">
        <f>IF(A117="","",IF(H117&lt;&gt;"","M|"&amp;TRIM(H117),IF(AND(MatchMode="Reference / ID only",D117=""),"U|"&amp;ROW(),IF(D117&lt;&gt;"","R|"&amp;TRIM(D117),IF(MatchMode="Amount only","A|"&amp;TEXT(ROUND(C117,2),"0.00"),IF(MatchMode="Amount (tolerance)","T|"&amp;TEXT(ROUND(C117/MAX(N(Tolerance),0.0001),0),"0"),IF(MatchMode="Date + amount (tolerance)","DT|"&amp;TEXT(A117,"yyyy-mm-dd")&amp;"|"&amp;TEXT(ROUND(C117/MAX(N(Tolerance),0.0001),0),"0"),IF(MatchMode="Description (exact)","S|"&amp;LOWER(TRIM(B117)),IF(MatchMode="Reference / ID only","U|"&amp;ROW(),"DA|"&amp;TEXT(A117,"yyyy-mm-dd")&amp;"|"&amp;TEXT(ROUND(C117,2),"0.00"))))))))))</f>
        <v/>
      </c>
      <c r="J117" s="50">
        <f>IF(I117="","",COUNTIF($I$5:I117,I117))</f>
        <v/>
      </c>
      <c r="K117" s="50">
        <f>IF(P117="","",IFERROR(MATCH(P117,ListA_Combo,0)+4,""))</f>
        <v/>
      </c>
      <c r="L117" s="51">
        <f>IF(A117="","",IF(K117="","Unmatched",IF(ABS(C117-M117)&lt;=MAX(N(Tolerance),0),"Matched","Difference")))</f>
        <v/>
      </c>
      <c r="M117" s="52">
        <f>IF(K117="","",INDEX('List A'!$C$5:$C$204,K117-4))</f>
        <v/>
      </c>
      <c r="N117" s="52">
        <f>IF(K117="","",C117-M117)</f>
        <v/>
      </c>
      <c r="O117" s="53">
        <f>IF(OR(A117="",K117=""),"",IF(H117&lt;&gt;"","Manual pair",IF(D117&lt;&gt;"","Reference / ID",MatchMode)))</f>
        <v/>
      </c>
      <c r="P117" s="54">
        <f>IF(I117="","",I117&amp;"|"&amp;J117)</f>
        <v/>
      </c>
      <c r="Q117" s="54">
        <f>IF(L117="Matched",COUNTIF($L$5:L117,"Matched"),"")</f>
        <v/>
      </c>
      <c r="R117" s="54">
        <f>IF(L117="Unmatched",COUNTIF($L$5:L117,"Unmatched"),"")</f>
        <v/>
      </c>
      <c r="S117" s="54">
        <f>IF(L117="Difference",COUNTIF($L$5:L117,"Difference"),"")</f>
        <v/>
      </c>
      <c r="T117" s="55">
        <f>IF(L117="Difference",ABS(N117),0)</f>
        <v/>
      </c>
    </row>
    <row r="118" ht="17" customHeight="1">
      <c r="A118" s="86" t="n"/>
      <c r="B118" s="46" t="n"/>
      <c r="C118" s="47" t="n"/>
      <c r="D118" s="46" t="n"/>
      <c r="E118" s="46" t="n"/>
      <c r="F118" s="46" t="n"/>
      <c r="G118" s="48" t="n"/>
      <c r="H118" s="48" t="n"/>
      <c r="I118" s="49">
        <f>IF(A118="","",IF(H118&lt;&gt;"","M|"&amp;TRIM(H118),IF(AND(MatchMode="Reference / ID only",D118=""),"U|"&amp;ROW(),IF(D118&lt;&gt;"","R|"&amp;TRIM(D118),IF(MatchMode="Amount only","A|"&amp;TEXT(ROUND(C118,2),"0.00"),IF(MatchMode="Amount (tolerance)","T|"&amp;TEXT(ROUND(C118/MAX(N(Tolerance),0.0001),0),"0"),IF(MatchMode="Date + amount (tolerance)","DT|"&amp;TEXT(A118,"yyyy-mm-dd")&amp;"|"&amp;TEXT(ROUND(C118/MAX(N(Tolerance),0.0001),0),"0"),IF(MatchMode="Description (exact)","S|"&amp;LOWER(TRIM(B118)),IF(MatchMode="Reference / ID only","U|"&amp;ROW(),"DA|"&amp;TEXT(A118,"yyyy-mm-dd")&amp;"|"&amp;TEXT(ROUND(C118,2),"0.00"))))))))))</f>
        <v/>
      </c>
      <c r="J118" s="50">
        <f>IF(I118="","",COUNTIF($I$5:I118,I118))</f>
        <v/>
      </c>
      <c r="K118" s="50">
        <f>IF(P118="","",IFERROR(MATCH(P118,ListA_Combo,0)+4,""))</f>
        <v/>
      </c>
      <c r="L118" s="51">
        <f>IF(A118="","",IF(K118="","Unmatched",IF(ABS(C118-M118)&lt;=MAX(N(Tolerance),0),"Matched","Difference")))</f>
        <v/>
      </c>
      <c r="M118" s="52">
        <f>IF(K118="","",INDEX('List A'!$C$5:$C$204,K118-4))</f>
        <v/>
      </c>
      <c r="N118" s="52">
        <f>IF(K118="","",C118-M118)</f>
        <v/>
      </c>
      <c r="O118" s="53">
        <f>IF(OR(A118="",K118=""),"",IF(H118&lt;&gt;"","Manual pair",IF(D118&lt;&gt;"","Reference / ID",MatchMode)))</f>
        <v/>
      </c>
      <c r="P118" s="54">
        <f>IF(I118="","",I118&amp;"|"&amp;J118)</f>
        <v/>
      </c>
      <c r="Q118" s="54">
        <f>IF(L118="Matched",COUNTIF($L$5:L118,"Matched"),"")</f>
        <v/>
      </c>
      <c r="R118" s="54">
        <f>IF(L118="Unmatched",COUNTIF($L$5:L118,"Unmatched"),"")</f>
        <v/>
      </c>
      <c r="S118" s="54">
        <f>IF(L118="Difference",COUNTIF($L$5:L118,"Difference"),"")</f>
        <v/>
      </c>
      <c r="T118" s="55">
        <f>IF(L118="Difference",ABS(N118),0)</f>
        <v/>
      </c>
    </row>
    <row r="119" ht="17" customHeight="1">
      <c r="A119" s="86" t="n"/>
      <c r="B119" s="46" t="n"/>
      <c r="C119" s="47" t="n"/>
      <c r="D119" s="46" t="n"/>
      <c r="E119" s="46" t="n"/>
      <c r="F119" s="46" t="n"/>
      <c r="G119" s="48" t="n"/>
      <c r="H119" s="48" t="n"/>
      <c r="I119" s="49">
        <f>IF(A119="","",IF(H119&lt;&gt;"","M|"&amp;TRIM(H119),IF(AND(MatchMode="Reference / ID only",D119=""),"U|"&amp;ROW(),IF(D119&lt;&gt;"","R|"&amp;TRIM(D119),IF(MatchMode="Amount only","A|"&amp;TEXT(ROUND(C119,2),"0.00"),IF(MatchMode="Amount (tolerance)","T|"&amp;TEXT(ROUND(C119/MAX(N(Tolerance),0.0001),0),"0"),IF(MatchMode="Date + amount (tolerance)","DT|"&amp;TEXT(A119,"yyyy-mm-dd")&amp;"|"&amp;TEXT(ROUND(C119/MAX(N(Tolerance),0.0001),0),"0"),IF(MatchMode="Description (exact)","S|"&amp;LOWER(TRIM(B119)),IF(MatchMode="Reference / ID only","U|"&amp;ROW(),"DA|"&amp;TEXT(A119,"yyyy-mm-dd")&amp;"|"&amp;TEXT(ROUND(C119,2),"0.00"))))))))))</f>
        <v/>
      </c>
      <c r="J119" s="50">
        <f>IF(I119="","",COUNTIF($I$5:I119,I119))</f>
        <v/>
      </c>
      <c r="K119" s="50">
        <f>IF(P119="","",IFERROR(MATCH(P119,ListA_Combo,0)+4,""))</f>
        <v/>
      </c>
      <c r="L119" s="51">
        <f>IF(A119="","",IF(K119="","Unmatched",IF(ABS(C119-M119)&lt;=MAX(N(Tolerance),0),"Matched","Difference")))</f>
        <v/>
      </c>
      <c r="M119" s="52">
        <f>IF(K119="","",INDEX('List A'!$C$5:$C$204,K119-4))</f>
        <v/>
      </c>
      <c r="N119" s="52">
        <f>IF(K119="","",C119-M119)</f>
        <v/>
      </c>
      <c r="O119" s="53">
        <f>IF(OR(A119="",K119=""),"",IF(H119&lt;&gt;"","Manual pair",IF(D119&lt;&gt;"","Reference / ID",MatchMode)))</f>
        <v/>
      </c>
      <c r="P119" s="54">
        <f>IF(I119="","",I119&amp;"|"&amp;J119)</f>
        <v/>
      </c>
      <c r="Q119" s="54">
        <f>IF(L119="Matched",COUNTIF($L$5:L119,"Matched"),"")</f>
        <v/>
      </c>
      <c r="R119" s="54">
        <f>IF(L119="Unmatched",COUNTIF($L$5:L119,"Unmatched"),"")</f>
        <v/>
      </c>
      <c r="S119" s="54">
        <f>IF(L119="Difference",COUNTIF($L$5:L119,"Difference"),"")</f>
        <v/>
      </c>
      <c r="T119" s="55">
        <f>IF(L119="Difference",ABS(N119),0)</f>
        <v/>
      </c>
    </row>
    <row r="120" ht="17" customHeight="1">
      <c r="A120" s="86" t="n"/>
      <c r="B120" s="46" t="n"/>
      <c r="C120" s="47" t="n"/>
      <c r="D120" s="46" t="n"/>
      <c r="E120" s="46" t="n"/>
      <c r="F120" s="46" t="n"/>
      <c r="G120" s="48" t="n"/>
      <c r="H120" s="48" t="n"/>
      <c r="I120" s="49">
        <f>IF(A120="","",IF(H120&lt;&gt;"","M|"&amp;TRIM(H120),IF(AND(MatchMode="Reference / ID only",D120=""),"U|"&amp;ROW(),IF(D120&lt;&gt;"","R|"&amp;TRIM(D120),IF(MatchMode="Amount only","A|"&amp;TEXT(ROUND(C120,2),"0.00"),IF(MatchMode="Amount (tolerance)","T|"&amp;TEXT(ROUND(C120/MAX(N(Tolerance),0.0001),0),"0"),IF(MatchMode="Date + amount (tolerance)","DT|"&amp;TEXT(A120,"yyyy-mm-dd")&amp;"|"&amp;TEXT(ROUND(C120/MAX(N(Tolerance),0.0001),0),"0"),IF(MatchMode="Description (exact)","S|"&amp;LOWER(TRIM(B120)),IF(MatchMode="Reference / ID only","U|"&amp;ROW(),"DA|"&amp;TEXT(A120,"yyyy-mm-dd")&amp;"|"&amp;TEXT(ROUND(C120,2),"0.00"))))))))))</f>
        <v/>
      </c>
      <c r="J120" s="50">
        <f>IF(I120="","",COUNTIF($I$5:I120,I120))</f>
        <v/>
      </c>
      <c r="K120" s="50">
        <f>IF(P120="","",IFERROR(MATCH(P120,ListA_Combo,0)+4,""))</f>
        <v/>
      </c>
      <c r="L120" s="51">
        <f>IF(A120="","",IF(K120="","Unmatched",IF(ABS(C120-M120)&lt;=MAX(N(Tolerance),0),"Matched","Difference")))</f>
        <v/>
      </c>
      <c r="M120" s="52">
        <f>IF(K120="","",INDEX('List A'!$C$5:$C$204,K120-4))</f>
        <v/>
      </c>
      <c r="N120" s="52">
        <f>IF(K120="","",C120-M120)</f>
        <v/>
      </c>
      <c r="O120" s="53">
        <f>IF(OR(A120="",K120=""),"",IF(H120&lt;&gt;"","Manual pair",IF(D120&lt;&gt;"","Reference / ID",MatchMode)))</f>
        <v/>
      </c>
      <c r="P120" s="54">
        <f>IF(I120="","",I120&amp;"|"&amp;J120)</f>
        <v/>
      </c>
      <c r="Q120" s="54">
        <f>IF(L120="Matched",COUNTIF($L$5:L120,"Matched"),"")</f>
        <v/>
      </c>
      <c r="R120" s="54">
        <f>IF(L120="Unmatched",COUNTIF($L$5:L120,"Unmatched"),"")</f>
        <v/>
      </c>
      <c r="S120" s="54">
        <f>IF(L120="Difference",COUNTIF($L$5:L120,"Difference"),"")</f>
        <v/>
      </c>
      <c r="T120" s="55">
        <f>IF(L120="Difference",ABS(N120),0)</f>
        <v/>
      </c>
    </row>
    <row r="121" ht="17" customHeight="1">
      <c r="A121" s="86" t="n"/>
      <c r="B121" s="46" t="n"/>
      <c r="C121" s="47" t="n"/>
      <c r="D121" s="46" t="n"/>
      <c r="E121" s="46" t="n"/>
      <c r="F121" s="46" t="n"/>
      <c r="G121" s="48" t="n"/>
      <c r="H121" s="48" t="n"/>
      <c r="I121" s="49">
        <f>IF(A121="","",IF(H121&lt;&gt;"","M|"&amp;TRIM(H121),IF(AND(MatchMode="Reference / ID only",D121=""),"U|"&amp;ROW(),IF(D121&lt;&gt;"","R|"&amp;TRIM(D121),IF(MatchMode="Amount only","A|"&amp;TEXT(ROUND(C121,2),"0.00"),IF(MatchMode="Amount (tolerance)","T|"&amp;TEXT(ROUND(C121/MAX(N(Tolerance),0.0001),0),"0"),IF(MatchMode="Date + amount (tolerance)","DT|"&amp;TEXT(A121,"yyyy-mm-dd")&amp;"|"&amp;TEXT(ROUND(C121/MAX(N(Tolerance),0.0001),0),"0"),IF(MatchMode="Description (exact)","S|"&amp;LOWER(TRIM(B121)),IF(MatchMode="Reference / ID only","U|"&amp;ROW(),"DA|"&amp;TEXT(A121,"yyyy-mm-dd")&amp;"|"&amp;TEXT(ROUND(C121,2),"0.00"))))))))))</f>
        <v/>
      </c>
      <c r="J121" s="50">
        <f>IF(I121="","",COUNTIF($I$5:I121,I121))</f>
        <v/>
      </c>
      <c r="K121" s="50">
        <f>IF(P121="","",IFERROR(MATCH(P121,ListA_Combo,0)+4,""))</f>
        <v/>
      </c>
      <c r="L121" s="51">
        <f>IF(A121="","",IF(K121="","Unmatched",IF(ABS(C121-M121)&lt;=MAX(N(Tolerance),0),"Matched","Difference")))</f>
        <v/>
      </c>
      <c r="M121" s="52">
        <f>IF(K121="","",INDEX('List A'!$C$5:$C$204,K121-4))</f>
        <v/>
      </c>
      <c r="N121" s="52">
        <f>IF(K121="","",C121-M121)</f>
        <v/>
      </c>
      <c r="O121" s="53">
        <f>IF(OR(A121="",K121=""),"",IF(H121&lt;&gt;"","Manual pair",IF(D121&lt;&gt;"","Reference / ID",MatchMode)))</f>
        <v/>
      </c>
      <c r="P121" s="54">
        <f>IF(I121="","",I121&amp;"|"&amp;J121)</f>
        <v/>
      </c>
      <c r="Q121" s="54">
        <f>IF(L121="Matched",COUNTIF($L$5:L121,"Matched"),"")</f>
        <v/>
      </c>
      <c r="R121" s="54">
        <f>IF(L121="Unmatched",COUNTIF($L$5:L121,"Unmatched"),"")</f>
        <v/>
      </c>
      <c r="S121" s="54">
        <f>IF(L121="Difference",COUNTIF($L$5:L121,"Difference"),"")</f>
        <v/>
      </c>
      <c r="T121" s="55">
        <f>IF(L121="Difference",ABS(N121),0)</f>
        <v/>
      </c>
    </row>
    <row r="122" ht="17" customHeight="1">
      <c r="A122" s="86" t="n"/>
      <c r="B122" s="46" t="n"/>
      <c r="C122" s="47" t="n"/>
      <c r="D122" s="46" t="n"/>
      <c r="E122" s="46" t="n"/>
      <c r="F122" s="46" t="n"/>
      <c r="G122" s="48" t="n"/>
      <c r="H122" s="48" t="n"/>
      <c r="I122" s="49">
        <f>IF(A122="","",IF(H122&lt;&gt;"","M|"&amp;TRIM(H122),IF(AND(MatchMode="Reference / ID only",D122=""),"U|"&amp;ROW(),IF(D122&lt;&gt;"","R|"&amp;TRIM(D122),IF(MatchMode="Amount only","A|"&amp;TEXT(ROUND(C122,2),"0.00"),IF(MatchMode="Amount (tolerance)","T|"&amp;TEXT(ROUND(C122/MAX(N(Tolerance),0.0001),0),"0"),IF(MatchMode="Date + amount (tolerance)","DT|"&amp;TEXT(A122,"yyyy-mm-dd")&amp;"|"&amp;TEXT(ROUND(C122/MAX(N(Tolerance),0.0001),0),"0"),IF(MatchMode="Description (exact)","S|"&amp;LOWER(TRIM(B122)),IF(MatchMode="Reference / ID only","U|"&amp;ROW(),"DA|"&amp;TEXT(A122,"yyyy-mm-dd")&amp;"|"&amp;TEXT(ROUND(C122,2),"0.00"))))))))))</f>
        <v/>
      </c>
      <c r="J122" s="50">
        <f>IF(I122="","",COUNTIF($I$5:I122,I122))</f>
        <v/>
      </c>
      <c r="K122" s="50">
        <f>IF(P122="","",IFERROR(MATCH(P122,ListA_Combo,0)+4,""))</f>
        <v/>
      </c>
      <c r="L122" s="51">
        <f>IF(A122="","",IF(K122="","Unmatched",IF(ABS(C122-M122)&lt;=MAX(N(Tolerance),0),"Matched","Difference")))</f>
        <v/>
      </c>
      <c r="M122" s="52">
        <f>IF(K122="","",INDEX('List A'!$C$5:$C$204,K122-4))</f>
        <v/>
      </c>
      <c r="N122" s="52">
        <f>IF(K122="","",C122-M122)</f>
        <v/>
      </c>
      <c r="O122" s="53">
        <f>IF(OR(A122="",K122=""),"",IF(H122&lt;&gt;"","Manual pair",IF(D122&lt;&gt;"","Reference / ID",MatchMode)))</f>
        <v/>
      </c>
      <c r="P122" s="54">
        <f>IF(I122="","",I122&amp;"|"&amp;J122)</f>
        <v/>
      </c>
      <c r="Q122" s="54">
        <f>IF(L122="Matched",COUNTIF($L$5:L122,"Matched"),"")</f>
        <v/>
      </c>
      <c r="R122" s="54">
        <f>IF(L122="Unmatched",COUNTIF($L$5:L122,"Unmatched"),"")</f>
        <v/>
      </c>
      <c r="S122" s="54">
        <f>IF(L122="Difference",COUNTIF($L$5:L122,"Difference"),"")</f>
        <v/>
      </c>
      <c r="T122" s="55">
        <f>IF(L122="Difference",ABS(N122),0)</f>
        <v/>
      </c>
    </row>
    <row r="123" ht="17" customHeight="1">
      <c r="A123" s="86" t="n"/>
      <c r="B123" s="46" t="n"/>
      <c r="C123" s="47" t="n"/>
      <c r="D123" s="46" t="n"/>
      <c r="E123" s="46" t="n"/>
      <c r="F123" s="46" t="n"/>
      <c r="G123" s="48" t="n"/>
      <c r="H123" s="48" t="n"/>
      <c r="I123" s="49">
        <f>IF(A123="","",IF(H123&lt;&gt;"","M|"&amp;TRIM(H123),IF(AND(MatchMode="Reference / ID only",D123=""),"U|"&amp;ROW(),IF(D123&lt;&gt;"","R|"&amp;TRIM(D123),IF(MatchMode="Amount only","A|"&amp;TEXT(ROUND(C123,2),"0.00"),IF(MatchMode="Amount (tolerance)","T|"&amp;TEXT(ROUND(C123/MAX(N(Tolerance),0.0001),0),"0"),IF(MatchMode="Date + amount (tolerance)","DT|"&amp;TEXT(A123,"yyyy-mm-dd")&amp;"|"&amp;TEXT(ROUND(C123/MAX(N(Tolerance),0.0001),0),"0"),IF(MatchMode="Description (exact)","S|"&amp;LOWER(TRIM(B123)),IF(MatchMode="Reference / ID only","U|"&amp;ROW(),"DA|"&amp;TEXT(A123,"yyyy-mm-dd")&amp;"|"&amp;TEXT(ROUND(C123,2),"0.00"))))))))))</f>
        <v/>
      </c>
      <c r="J123" s="50">
        <f>IF(I123="","",COUNTIF($I$5:I123,I123))</f>
        <v/>
      </c>
      <c r="K123" s="50">
        <f>IF(P123="","",IFERROR(MATCH(P123,ListA_Combo,0)+4,""))</f>
        <v/>
      </c>
      <c r="L123" s="51">
        <f>IF(A123="","",IF(K123="","Unmatched",IF(ABS(C123-M123)&lt;=MAX(N(Tolerance),0),"Matched","Difference")))</f>
        <v/>
      </c>
      <c r="M123" s="52">
        <f>IF(K123="","",INDEX('List A'!$C$5:$C$204,K123-4))</f>
        <v/>
      </c>
      <c r="N123" s="52">
        <f>IF(K123="","",C123-M123)</f>
        <v/>
      </c>
      <c r="O123" s="53">
        <f>IF(OR(A123="",K123=""),"",IF(H123&lt;&gt;"","Manual pair",IF(D123&lt;&gt;"","Reference / ID",MatchMode)))</f>
        <v/>
      </c>
      <c r="P123" s="54">
        <f>IF(I123="","",I123&amp;"|"&amp;J123)</f>
        <v/>
      </c>
      <c r="Q123" s="54">
        <f>IF(L123="Matched",COUNTIF($L$5:L123,"Matched"),"")</f>
        <v/>
      </c>
      <c r="R123" s="54">
        <f>IF(L123="Unmatched",COUNTIF($L$5:L123,"Unmatched"),"")</f>
        <v/>
      </c>
      <c r="S123" s="54">
        <f>IF(L123="Difference",COUNTIF($L$5:L123,"Difference"),"")</f>
        <v/>
      </c>
      <c r="T123" s="55">
        <f>IF(L123="Difference",ABS(N123),0)</f>
        <v/>
      </c>
    </row>
    <row r="124" ht="17" customHeight="1">
      <c r="A124" s="86" t="n"/>
      <c r="B124" s="46" t="n"/>
      <c r="C124" s="47" t="n"/>
      <c r="D124" s="46" t="n"/>
      <c r="E124" s="46" t="n"/>
      <c r="F124" s="46" t="n"/>
      <c r="G124" s="48" t="n"/>
      <c r="H124" s="48" t="n"/>
      <c r="I124" s="49">
        <f>IF(A124="","",IF(H124&lt;&gt;"","M|"&amp;TRIM(H124),IF(AND(MatchMode="Reference / ID only",D124=""),"U|"&amp;ROW(),IF(D124&lt;&gt;"","R|"&amp;TRIM(D124),IF(MatchMode="Amount only","A|"&amp;TEXT(ROUND(C124,2),"0.00"),IF(MatchMode="Amount (tolerance)","T|"&amp;TEXT(ROUND(C124/MAX(N(Tolerance),0.0001),0),"0"),IF(MatchMode="Date + amount (tolerance)","DT|"&amp;TEXT(A124,"yyyy-mm-dd")&amp;"|"&amp;TEXT(ROUND(C124/MAX(N(Tolerance),0.0001),0),"0"),IF(MatchMode="Description (exact)","S|"&amp;LOWER(TRIM(B124)),IF(MatchMode="Reference / ID only","U|"&amp;ROW(),"DA|"&amp;TEXT(A124,"yyyy-mm-dd")&amp;"|"&amp;TEXT(ROUND(C124,2),"0.00"))))))))))</f>
        <v/>
      </c>
      <c r="J124" s="50">
        <f>IF(I124="","",COUNTIF($I$5:I124,I124))</f>
        <v/>
      </c>
      <c r="K124" s="50">
        <f>IF(P124="","",IFERROR(MATCH(P124,ListA_Combo,0)+4,""))</f>
        <v/>
      </c>
      <c r="L124" s="51">
        <f>IF(A124="","",IF(K124="","Unmatched",IF(ABS(C124-M124)&lt;=MAX(N(Tolerance),0),"Matched","Difference")))</f>
        <v/>
      </c>
      <c r="M124" s="52">
        <f>IF(K124="","",INDEX('List A'!$C$5:$C$204,K124-4))</f>
        <v/>
      </c>
      <c r="N124" s="52">
        <f>IF(K124="","",C124-M124)</f>
        <v/>
      </c>
      <c r="O124" s="53">
        <f>IF(OR(A124="",K124=""),"",IF(H124&lt;&gt;"","Manual pair",IF(D124&lt;&gt;"","Reference / ID",MatchMode)))</f>
        <v/>
      </c>
      <c r="P124" s="54">
        <f>IF(I124="","",I124&amp;"|"&amp;J124)</f>
        <v/>
      </c>
      <c r="Q124" s="54">
        <f>IF(L124="Matched",COUNTIF($L$5:L124,"Matched"),"")</f>
        <v/>
      </c>
      <c r="R124" s="54">
        <f>IF(L124="Unmatched",COUNTIF($L$5:L124,"Unmatched"),"")</f>
        <v/>
      </c>
      <c r="S124" s="54">
        <f>IF(L124="Difference",COUNTIF($L$5:L124,"Difference"),"")</f>
        <v/>
      </c>
      <c r="T124" s="55">
        <f>IF(L124="Difference",ABS(N124),0)</f>
        <v/>
      </c>
    </row>
    <row r="125" ht="17" customHeight="1">
      <c r="A125" s="86" t="n"/>
      <c r="B125" s="46" t="n"/>
      <c r="C125" s="47" t="n"/>
      <c r="D125" s="46" t="n"/>
      <c r="E125" s="46" t="n"/>
      <c r="F125" s="46" t="n"/>
      <c r="G125" s="48" t="n"/>
      <c r="H125" s="48" t="n"/>
      <c r="I125" s="49">
        <f>IF(A125="","",IF(H125&lt;&gt;"","M|"&amp;TRIM(H125),IF(AND(MatchMode="Reference / ID only",D125=""),"U|"&amp;ROW(),IF(D125&lt;&gt;"","R|"&amp;TRIM(D125),IF(MatchMode="Amount only","A|"&amp;TEXT(ROUND(C125,2),"0.00"),IF(MatchMode="Amount (tolerance)","T|"&amp;TEXT(ROUND(C125/MAX(N(Tolerance),0.0001),0),"0"),IF(MatchMode="Date + amount (tolerance)","DT|"&amp;TEXT(A125,"yyyy-mm-dd")&amp;"|"&amp;TEXT(ROUND(C125/MAX(N(Tolerance),0.0001),0),"0"),IF(MatchMode="Description (exact)","S|"&amp;LOWER(TRIM(B125)),IF(MatchMode="Reference / ID only","U|"&amp;ROW(),"DA|"&amp;TEXT(A125,"yyyy-mm-dd")&amp;"|"&amp;TEXT(ROUND(C125,2),"0.00"))))))))))</f>
        <v/>
      </c>
      <c r="J125" s="50">
        <f>IF(I125="","",COUNTIF($I$5:I125,I125))</f>
        <v/>
      </c>
      <c r="K125" s="50">
        <f>IF(P125="","",IFERROR(MATCH(P125,ListA_Combo,0)+4,""))</f>
        <v/>
      </c>
      <c r="L125" s="51">
        <f>IF(A125="","",IF(K125="","Unmatched",IF(ABS(C125-M125)&lt;=MAX(N(Tolerance),0),"Matched","Difference")))</f>
        <v/>
      </c>
      <c r="M125" s="52">
        <f>IF(K125="","",INDEX('List A'!$C$5:$C$204,K125-4))</f>
        <v/>
      </c>
      <c r="N125" s="52">
        <f>IF(K125="","",C125-M125)</f>
        <v/>
      </c>
      <c r="O125" s="53">
        <f>IF(OR(A125="",K125=""),"",IF(H125&lt;&gt;"","Manual pair",IF(D125&lt;&gt;"","Reference / ID",MatchMode)))</f>
        <v/>
      </c>
      <c r="P125" s="54">
        <f>IF(I125="","",I125&amp;"|"&amp;J125)</f>
        <v/>
      </c>
      <c r="Q125" s="54">
        <f>IF(L125="Matched",COUNTIF($L$5:L125,"Matched"),"")</f>
        <v/>
      </c>
      <c r="R125" s="54">
        <f>IF(L125="Unmatched",COUNTIF($L$5:L125,"Unmatched"),"")</f>
        <v/>
      </c>
      <c r="S125" s="54">
        <f>IF(L125="Difference",COUNTIF($L$5:L125,"Difference"),"")</f>
        <v/>
      </c>
      <c r="T125" s="55">
        <f>IF(L125="Difference",ABS(N125),0)</f>
        <v/>
      </c>
    </row>
    <row r="126" ht="17" customHeight="1">
      <c r="A126" s="86" t="n"/>
      <c r="B126" s="46" t="n"/>
      <c r="C126" s="47" t="n"/>
      <c r="D126" s="46" t="n"/>
      <c r="E126" s="46" t="n"/>
      <c r="F126" s="46" t="n"/>
      <c r="G126" s="48" t="n"/>
      <c r="H126" s="48" t="n"/>
      <c r="I126" s="49">
        <f>IF(A126="","",IF(H126&lt;&gt;"","M|"&amp;TRIM(H126),IF(AND(MatchMode="Reference / ID only",D126=""),"U|"&amp;ROW(),IF(D126&lt;&gt;"","R|"&amp;TRIM(D126),IF(MatchMode="Amount only","A|"&amp;TEXT(ROUND(C126,2),"0.00"),IF(MatchMode="Amount (tolerance)","T|"&amp;TEXT(ROUND(C126/MAX(N(Tolerance),0.0001),0),"0"),IF(MatchMode="Date + amount (tolerance)","DT|"&amp;TEXT(A126,"yyyy-mm-dd")&amp;"|"&amp;TEXT(ROUND(C126/MAX(N(Tolerance),0.0001),0),"0"),IF(MatchMode="Description (exact)","S|"&amp;LOWER(TRIM(B126)),IF(MatchMode="Reference / ID only","U|"&amp;ROW(),"DA|"&amp;TEXT(A126,"yyyy-mm-dd")&amp;"|"&amp;TEXT(ROUND(C126,2),"0.00"))))))))))</f>
        <v/>
      </c>
      <c r="J126" s="50">
        <f>IF(I126="","",COUNTIF($I$5:I126,I126))</f>
        <v/>
      </c>
      <c r="K126" s="50">
        <f>IF(P126="","",IFERROR(MATCH(P126,ListA_Combo,0)+4,""))</f>
        <v/>
      </c>
      <c r="L126" s="51">
        <f>IF(A126="","",IF(K126="","Unmatched",IF(ABS(C126-M126)&lt;=MAX(N(Tolerance),0),"Matched","Difference")))</f>
        <v/>
      </c>
      <c r="M126" s="52">
        <f>IF(K126="","",INDEX('List A'!$C$5:$C$204,K126-4))</f>
        <v/>
      </c>
      <c r="N126" s="52">
        <f>IF(K126="","",C126-M126)</f>
        <v/>
      </c>
      <c r="O126" s="53">
        <f>IF(OR(A126="",K126=""),"",IF(H126&lt;&gt;"","Manual pair",IF(D126&lt;&gt;"","Reference / ID",MatchMode)))</f>
        <v/>
      </c>
      <c r="P126" s="54">
        <f>IF(I126="","",I126&amp;"|"&amp;J126)</f>
        <v/>
      </c>
      <c r="Q126" s="54">
        <f>IF(L126="Matched",COUNTIF($L$5:L126,"Matched"),"")</f>
        <v/>
      </c>
      <c r="R126" s="54">
        <f>IF(L126="Unmatched",COUNTIF($L$5:L126,"Unmatched"),"")</f>
        <v/>
      </c>
      <c r="S126" s="54">
        <f>IF(L126="Difference",COUNTIF($L$5:L126,"Difference"),"")</f>
        <v/>
      </c>
      <c r="T126" s="55">
        <f>IF(L126="Difference",ABS(N126),0)</f>
        <v/>
      </c>
    </row>
    <row r="127" ht="17" customHeight="1">
      <c r="A127" s="86" t="n"/>
      <c r="B127" s="46" t="n"/>
      <c r="C127" s="47" t="n"/>
      <c r="D127" s="46" t="n"/>
      <c r="E127" s="46" t="n"/>
      <c r="F127" s="46" t="n"/>
      <c r="G127" s="48" t="n"/>
      <c r="H127" s="48" t="n"/>
      <c r="I127" s="49">
        <f>IF(A127="","",IF(H127&lt;&gt;"","M|"&amp;TRIM(H127),IF(AND(MatchMode="Reference / ID only",D127=""),"U|"&amp;ROW(),IF(D127&lt;&gt;"","R|"&amp;TRIM(D127),IF(MatchMode="Amount only","A|"&amp;TEXT(ROUND(C127,2),"0.00"),IF(MatchMode="Amount (tolerance)","T|"&amp;TEXT(ROUND(C127/MAX(N(Tolerance),0.0001),0),"0"),IF(MatchMode="Date + amount (tolerance)","DT|"&amp;TEXT(A127,"yyyy-mm-dd")&amp;"|"&amp;TEXT(ROUND(C127/MAX(N(Tolerance),0.0001),0),"0"),IF(MatchMode="Description (exact)","S|"&amp;LOWER(TRIM(B127)),IF(MatchMode="Reference / ID only","U|"&amp;ROW(),"DA|"&amp;TEXT(A127,"yyyy-mm-dd")&amp;"|"&amp;TEXT(ROUND(C127,2),"0.00"))))))))))</f>
        <v/>
      </c>
      <c r="J127" s="50">
        <f>IF(I127="","",COUNTIF($I$5:I127,I127))</f>
        <v/>
      </c>
      <c r="K127" s="50">
        <f>IF(P127="","",IFERROR(MATCH(P127,ListA_Combo,0)+4,""))</f>
        <v/>
      </c>
      <c r="L127" s="51">
        <f>IF(A127="","",IF(K127="","Unmatched",IF(ABS(C127-M127)&lt;=MAX(N(Tolerance),0),"Matched","Difference")))</f>
        <v/>
      </c>
      <c r="M127" s="52">
        <f>IF(K127="","",INDEX('List A'!$C$5:$C$204,K127-4))</f>
        <v/>
      </c>
      <c r="N127" s="52">
        <f>IF(K127="","",C127-M127)</f>
        <v/>
      </c>
      <c r="O127" s="53">
        <f>IF(OR(A127="",K127=""),"",IF(H127&lt;&gt;"","Manual pair",IF(D127&lt;&gt;"","Reference / ID",MatchMode)))</f>
        <v/>
      </c>
      <c r="P127" s="54">
        <f>IF(I127="","",I127&amp;"|"&amp;J127)</f>
        <v/>
      </c>
      <c r="Q127" s="54">
        <f>IF(L127="Matched",COUNTIF($L$5:L127,"Matched"),"")</f>
        <v/>
      </c>
      <c r="R127" s="54">
        <f>IF(L127="Unmatched",COUNTIF($L$5:L127,"Unmatched"),"")</f>
        <v/>
      </c>
      <c r="S127" s="54">
        <f>IF(L127="Difference",COUNTIF($L$5:L127,"Difference"),"")</f>
        <v/>
      </c>
      <c r="T127" s="55">
        <f>IF(L127="Difference",ABS(N127),0)</f>
        <v/>
      </c>
    </row>
    <row r="128" ht="17" customHeight="1">
      <c r="A128" s="86" t="n"/>
      <c r="B128" s="46" t="n"/>
      <c r="C128" s="47" t="n"/>
      <c r="D128" s="46" t="n"/>
      <c r="E128" s="46" t="n"/>
      <c r="F128" s="46" t="n"/>
      <c r="G128" s="48" t="n"/>
      <c r="H128" s="48" t="n"/>
      <c r="I128" s="49">
        <f>IF(A128="","",IF(H128&lt;&gt;"","M|"&amp;TRIM(H128),IF(AND(MatchMode="Reference / ID only",D128=""),"U|"&amp;ROW(),IF(D128&lt;&gt;"","R|"&amp;TRIM(D128),IF(MatchMode="Amount only","A|"&amp;TEXT(ROUND(C128,2),"0.00"),IF(MatchMode="Amount (tolerance)","T|"&amp;TEXT(ROUND(C128/MAX(N(Tolerance),0.0001),0),"0"),IF(MatchMode="Date + amount (tolerance)","DT|"&amp;TEXT(A128,"yyyy-mm-dd")&amp;"|"&amp;TEXT(ROUND(C128/MAX(N(Tolerance),0.0001),0),"0"),IF(MatchMode="Description (exact)","S|"&amp;LOWER(TRIM(B128)),IF(MatchMode="Reference / ID only","U|"&amp;ROW(),"DA|"&amp;TEXT(A128,"yyyy-mm-dd")&amp;"|"&amp;TEXT(ROUND(C128,2),"0.00"))))))))))</f>
        <v/>
      </c>
      <c r="J128" s="50">
        <f>IF(I128="","",COUNTIF($I$5:I128,I128))</f>
        <v/>
      </c>
      <c r="K128" s="50">
        <f>IF(P128="","",IFERROR(MATCH(P128,ListA_Combo,0)+4,""))</f>
        <v/>
      </c>
      <c r="L128" s="51">
        <f>IF(A128="","",IF(K128="","Unmatched",IF(ABS(C128-M128)&lt;=MAX(N(Tolerance),0),"Matched","Difference")))</f>
        <v/>
      </c>
      <c r="M128" s="52">
        <f>IF(K128="","",INDEX('List A'!$C$5:$C$204,K128-4))</f>
        <v/>
      </c>
      <c r="N128" s="52">
        <f>IF(K128="","",C128-M128)</f>
        <v/>
      </c>
      <c r="O128" s="53">
        <f>IF(OR(A128="",K128=""),"",IF(H128&lt;&gt;"","Manual pair",IF(D128&lt;&gt;"","Reference / ID",MatchMode)))</f>
        <v/>
      </c>
      <c r="P128" s="54">
        <f>IF(I128="","",I128&amp;"|"&amp;J128)</f>
        <v/>
      </c>
      <c r="Q128" s="54">
        <f>IF(L128="Matched",COUNTIF($L$5:L128,"Matched"),"")</f>
        <v/>
      </c>
      <c r="R128" s="54">
        <f>IF(L128="Unmatched",COUNTIF($L$5:L128,"Unmatched"),"")</f>
        <v/>
      </c>
      <c r="S128" s="54">
        <f>IF(L128="Difference",COUNTIF($L$5:L128,"Difference"),"")</f>
        <v/>
      </c>
      <c r="T128" s="55">
        <f>IF(L128="Difference",ABS(N128),0)</f>
        <v/>
      </c>
    </row>
    <row r="129" ht="17" customHeight="1">
      <c r="A129" s="86" t="n"/>
      <c r="B129" s="46" t="n"/>
      <c r="C129" s="47" t="n"/>
      <c r="D129" s="46" t="n"/>
      <c r="E129" s="46" t="n"/>
      <c r="F129" s="46" t="n"/>
      <c r="G129" s="48" t="n"/>
      <c r="H129" s="48" t="n"/>
      <c r="I129" s="49">
        <f>IF(A129="","",IF(H129&lt;&gt;"","M|"&amp;TRIM(H129),IF(AND(MatchMode="Reference / ID only",D129=""),"U|"&amp;ROW(),IF(D129&lt;&gt;"","R|"&amp;TRIM(D129),IF(MatchMode="Amount only","A|"&amp;TEXT(ROUND(C129,2),"0.00"),IF(MatchMode="Amount (tolerance)","T|"&amp;TEXT(ROUND(C129/MAX(N(Tolerance),0.0001),0),"0"),IF(MatchMode="Date + amount (tolerance)","DT|"&amp;TEXT(A129,"yyyy-mm-dd")&amp;"|"&amp;TEXT(ROUND(C129/MAX(N(Tolerance),0.0001),0),"0"),IF(MatchMode="Description (exact)","S|"&amp;LOWER(TRIM(B129)),IF(MatchMode="Reference / ID only","U|"&amp;ROW(),"DA|"&amp;TEXT(A129,"yyyy-mm-dd")&amp;"|"&amp;TEXT(ROUND(C129,2),"0.00"))))))))))</f>
        <v/>
      </c>
      <c r="J129" s="50">
        <f>IF(I129="","",COUNTIF($I$5:I129,I129))</f>
        <v/>
      </c>
      <c r="K129" s="50">
        <f>IF(P129="","",IFERROR(MATCH(P129,ListA_Combo,0)+4,""))</f>
        <v/>
      </c>
      <c r="L129" s="51">
        <f>IF(A129="","",IF(K129="","Unmatched",IF(ABS(C129-M129)&lt;=MAX(N(Tolerance),0),"Matched","Difference")))</f>
        <v/>
      </c>
      <c r="M129" s="52">
        <f>IF(K129="","",INDEX('List A'!$C$5:$C$204,K129-4))</f>
        <v/>
      </c>
      <c r="N129" s="52">
        <f>IF(K129="","",C129-M129)</f>
        <v/>
      </c>
      <c r="O129" s="53">
        <f>IF(OR(A129="",K129=""),"",IF(H129&lt;&gt;"","Manual pair",IF(D129&lt;&gt;"","Reference / ID",MatchMode)))</f>
        <v/>
      </c>
      <c r="P129" s="54">
        <f>IF(I129="","",I129&amp;"|"&amp;J129)</f>
        <v/>
      </c>
      <c r="Q129" s="54">
        <f>IF(L129="Matched",COUNTIF($L$5:L129,"Matched"),"")</f>
        <v/>
      </c>
      <c r="R129" s="54">
        <f>IF(L129="Unmatched",COUNTIF($L$5:L129,"Unmatched"),"")</f>
        <v/>
      </c>
      <c r="S129" s="54">
        <f>IF(L129="Difference",COUNTIF($L$5:L129,"Difference"),"")</f>
        <v/>
      </c>
      <c r="T129" s="55">
        <f>IF(L129="Difference",ABS(N129),0)</f>
        <v/>
      </c>
    </row>
    <row r="130" ht="17" customHeight="1">
      <c r="A130" s="86" t="n"/>
      <c r="B130" s="46" t="n"/>
      <c r="C130" s="47" t="n"/>
      <c r="D130" s="46" t="n"/>
      <c r="E130" s="46" t="n"/>
      <c r="F130" s="46" t="n"/>
      <c r="G130" s="48" t="n"/>
      <c r="H130" s="48" t="n"/>
      <c r="I130" s="49">
        <f>IF(A130="","",IF(H130&lt;&gt;"","M|"&amp;TRIM(H130),IF(AND(MatchMode="Reference / ID only",D130=""),"U|"&amp;ROW(),IF(D130&lt;&gt;"","R|"&amp;TRIM(D130),IF(MatchMode="Amount only","A|"&amp;TEXT(ROUND(C130,2),"0.00"),IF(MatchMode="Amount (tolerance)","T|"&amp;TEXT(ROUND(C130/MAX(N(Tolerance),0.0001),0),"0"),IF(MatchMode="Date + amount (tolerance)","DT|"&amp;TEXT(A130,"yyyy-mm-dd")&amp;"|"&amp;TEXT(ROUND(C130/MAX(N(Tolerance),0.0001),0),"0"),IF(MatchMode="Description (exact)","S|"&amp;LOWER(TRIM(B130)),IF(MatchMode="Reference / ID only","U|"&amp;ROW(),"DA|"&amp;TEXT(A130,"yyyy-mm-dd")&amp;"|"&amp;TEXT(ROUND(C130,2),"0.00"))))))))))</f>
        <v/>
      </c>
      <c r="J130" s="50">
        <f>IF(I130="","",COUNTIF($I$5:I130,I130))</f>
        <v/>
      </c>
      <c r="K130" s="50">
        <f>IF(P130="","",IFERROR(MATCH(P130,ListA_Combo,0)+4,""))</f>
        <v/>
      </c>
      <c r="L130" s="51">
        <f>IF(A130="","",IF(K130="","Unmatched",IF(ABS(C130-M130)&lt;=MAX(N(Tolerance),0),"Matched","Difference")))</f>
        <v/>
      </c>
      <c r="M130" s="52">
        <f>IF(K130="","",INDEX('List A'!$C$5:$C$204,K130-4))</f>
        <v/>
      </c>
      <c r="N130" s="52">
        <f>IF(K130="","",C130-M130)</f>
        <v/>
      </c>
      <c r="O130" s="53">
        <f>IF(OR(A130="",K130=""),"",IF(H130&lt;&gt;"","Manual pair",IF(D130&lt;&gt;"","Reference / ID",MatchMode)))</f>
        <v/>
      </c>
      <c r="P130" s="54">
        <f>IF(I130="","",I130&amp;"|"&amp;J130)</f>
        <v/>
      </c>
      <c r="Q130" s="54">
        <f>IF(L130="Matched",COUNTIF($L$5:L130,"Matched"),"")</f>
        <v/>
      </c>
      <c r="R130" s="54">
        <f>IF(L130="Unmatched",COUNTIF($L$5:L130,"Unmatched"),"")</f>
        <v/>
      </c>
      <c r="S130" s="54">
        <f>IF(L130="Difference",COUNTIF($L$5:L130,"Difference"),"")</f>
        <v/>
      </c>
      <c r="T130" s="55">
        <f>IF(L130="Difference",ABS(N130),0)</f>
        <v/>
      </c>
    </row>
    <row r="131" ht="17" customHeight="1">
      <c r="A131" s="86" t="n"/>
      <c r="B131" s="46" t="n"/>
      <c r="C131" s="47" t="n"/>
      <c r="D131" s="46" t="n"/>
      <c r="E131" s="46" t="n"/>
      <c r="F131" s="46" t="n"/>
      <c r="G131" s="48" t="n"/>
      <c r="H131" s="48" t="n"/>
      <c r="I131" s="49">
        <f>IF(A131="","",IF(H131&lt;&gt;"","M|"&amp;TRIM(H131),IF(AND(MatchMode="Reference / ID only",D131=""),"U|"&amp;ROW(),IF(D131&lt;&gt;"","R|"&amp;TRIM(D131),IF(MatchMode="Amount only","A|"&amp;TEXT(ROUND(C131,2),"0.00"),IF(MatchMode="Amount (tolerance)","T|"&amp;TEXT(ROUND(C131/MAX(N(Tolerance),0.0001),0),"0"),IF(MatchMode="Date + amount (tolerance)","DT|"&amp;TEXT(A131,"yyyy-mm-dd")&amp;"|"&amp;TEXT(ROUND(C131/MAX(N(Tolerance),0.0001),0),"0"),IF(MatchMode="Description (exact)","S|"&amp;LOWER(TRIM(B131)),IF(MatchMode="Reference / ID only","U|"&amp;ROW(),"DA|"&amp;TEXT(A131,"yyyy-mm-dd")&amp;"|"&amp;TEXT(ROUND(C131,2),"0.00"))))))))))</f>
        <v/>
      </c>
      <c r="J131" s="50">
        <f>IF(I131="","",COUNTIF($I$5:I131,I131))</f>
        <v/>
      </c>
      <c r="K131" s="50">
        <f>IF(P131="","",IFERROR(MATCH(P131,ListA_Combo,0)+4,""))</f>
        <v/>
      </c>
      <c r="L131" s="51">
        <f>IF(A131="","",IF(K131="","Unmatched",IF(ABS(C131-M131)&lt;=MAX(N(Tolerance),0),"Matched","Difference")))</f>
        <v/>
      </c>
      <c r="M131" s="52">
        <f>IF(K131="","",INDEX('List A'!$C$5:$C$204,K131-4))</f>
        <v/>
      </c>
      <c r="N131" s="52">
        <f>IF(K131="","",C131-M131)</f>
        <v/>
      </c>
      <c r="O131" s="53">
        <f>IF(OR(A131="",K131=""),"",IF(H131&lt;&gt;"","Manual pair",IF(D131&lt;&gt;"","Reference / ID",MatchMode)))</f>
        <v/>
      </c>
      <c r="P131" s="54">
        <f>IF(I131="","",I131&amp;"|"&amp;J131)</f>
        <v/>
      </c>
      <c r="Q131" s="54">
        <f>IF(L131="Matched",COUNTIF($L$5:L131,"Matched"),"")</f>
        <v/>
      </c>
      <c r="R131" s="54">
        <f>IF(L131="Unmatched",COUNTIF($L$5:L131,"Unmatched"),"")</f>
        <v/>
      </c>
      <c r="S131" s="54">
        <f>IF(L131="Difference",COUNTIF($L$5:L131,"Difference"),"")</f>
        <v/>
      </c>
      <c r="T131" s="55">
        <f>IF(L131="Difference",ABS(N131),0)</f>
        <v/>
      </c>
    </row>
    <row r="132" ht="17" customHeight="1">
      <c r="A132" s="86" t="n"/>
      <c r="B132" s="46" t="n"/>
      <c r="C132" s="47" t="n"/>
      <c r="D132" s="46" t="n"/>
      <c r="E132" s="46" t="n"/>
      <c r="F132" s="46" t="n"/>
      <c r="G132" s="48" t="n"/>
      <c r="H132" s="48" t="n"/>
      <c r="I132" s="49">
        <f>IF(A132="","",IF(H132&lt;&gt;"","M|"&amp;TRIM(H132),IF(AND(MatchMode="Reference / ID only",D132=""),"U|"&amp;ROW(),IF(D132&lt;&gt;"","R|"&amp;TRIM(D132),IF(MatchMode="Amount only","A|"&amp;TEXT(ROUND(C132,2),"0.00"),IF(MatchMode="Amount (tolerance)","T|"&amp;TEXT(ROUND(C132/MAX(N(Tolerance),0.0001),0),"0"),IF(MatchMode="Date + amount (tolerance)","DT|"&amp;TEXT(A132,"yyyy-mm-dd")&amp;"|"&amp;TEXT(ROUND(C132/MAX(N(Tolerance),0.0001),0),"0"),IF(MatchMode="Description (exact)","S|"&amp;LOWER(TRIM(B132)),IF(MatchMode="Reference / ID only","U|"&amp;ROW(),"DA|"&amp;TEXT(A132,"yyyy-mm-dd")&amp;"|"&amp;TEXT(ROUND(C132,2),"0.00"))))))))))</f>
        <v/>
      </c>
      <c r="J132" s="50">
        <f>IF(I132="","",COUNTIF($I$5:I132,I132))</f>
        <v/>
      </c>
      <c r="K132" s="50">
        <f>IF(P132="","",IFERROR(MATCH(P132,ListA_Combo,0)+4,""))</f>
        <v/>
      </c>
      <c r="L132" s="51">
        <f>IF(A132="","",IF(K132="","Unmatched",IF(ABS(C132-M132)&lt;=MAX(N(Tolerance),0),"Matched","Difference")))</f>
        <v/>
      </c>
      <c r="M132" s="52">
        <f>IF(K132="","",INDEX('List A'!$C$5:$C$204,K132-4))</f>
        <v/>
      </c>
      <c r="N132" s="52">
        <f>IF(K132="","",C132-M132)</f>
        <v/>
      </c>
      <c r="O132" s="53">
        <f>IF(OR(A132="",K132=""),"",IF(H132&lt;&gt;"","Manual pair",IF(D132&lt;&gt;"","Reference / ID",MatchMode)))</f>
        <v/>
      </c>
      <c r="P132" s="54">
        <f>IF(I132="","",I132&amp;"|"&amp;J132)</f>
        <v/>
      </c>
      <c r="Q132" s="54">
        <f>IF(L132="Matched",COUNTIF($L$5:L132,"Matched"),"")</f>
        <v/>
      </c>
      <c r="R132" s="54">
        <f>IF(L132="Unmatched",COUNTIF($L$5:L132,"Unmatched"),"")</f>
        <v/>
      </c>
      <c r="S132" s="54">
        <f>IF(L132="Difference",COUNTIF($L$5:L132,"Difference"),"")</f>
        <v/>
      </c>
      <c r="T132" s="55">
        <f>IF(L132="Difference",ABS(N132),0)</f>
        <v/>
      </c>
    </row>
    <row r="133" ht="17" customHeight="1">
      <c r="A133" s="86" t="n"/>
      <c r="B133" s="46" t="n"/>
      <c r="C133" s="47" t="n"/>
      <c r="D133" s="46" t="n"/>
      <c r="E133" s="46" t="n"/>
      <c r="F133" s="46" t="n"/>
      <c r="G133" s="48" t="n"/>
      <c r="H133" s="48" t="n"/>
      <c r="I133" s="49">
        <f>IF(A133="","",IF(H133&lt;&gt;"","M|"&amp;TRIM(H133),IF(AND(MatchMode="Reference / ID only",D133=""),"U|"&amp;ROW(),IF(D133&lt;&gt;"","R|"&amp;TRIM(D133),IF(MatchMode="Amount only","A|"&amp;TEXT(ROUND(C133,2),"0.00"),IF(MatchMode="Amount (tolerance)","T|"&amp;TEXT(ROUND(C133/MAX(N(Tolerance),0.0001),0),"0"),IF(MatchMode="Date + amount (tolerance)","DT|"&amp;TEXT(A133,"yyyy-mm-dd")&amp;"|"&amp;TEXT(ROUND(C133/MAX(N(Tolerance),0.0001),0),"0"),IF(MatchMode="Description (exact)","S|"&amp;LOWER(TRIM(B133)),IF(MatchMode="Reference / ID only","U|"&amp;ROW(),"DA|"&amp;TEXT(A133,"yyyy-mm-dd")&amp;"|"&amp;TEXT(ROUND(C133,2),"0.00"))))))))))</f>
        <v/>
      </c>
      <c r="J133" s="50">
        <f>IF(I133="","",COUNTIF($I$5:I133,I133))</f>
        <v/>
      </c>
      <c r="K133" s="50">
        <f>IF(P133="","",IFERROR(MATCH(P133,ListA_Combo,0)+4,""))</f>
        <v/>
      </c>
      <c r="L133" s="51">
        <f>IF(A133="","",IF(K133="","Unmatched",IF(ABS(C133-M133)&lt;=MAX(N(Tolerance),0),"Matched","Difference")))</f>
        <v/>
      </c>
      <c r="M133" s="52">
        <f>IF(K133="","",INDEX('List A'!$C$5:$C$204,K133-4))</f>
        <v/>
      </c>
      <c r="N133" s="52">
        <f>IF(K133="","",C133-M133)</f>
        <v/>
      </c>
      <c r="O133" s="53">
        <f>IF(OR(A133="",K133=""),"",IF(H133&lt;&gt;"","Manual pair",IF(D133&lt;&gt;"","Reference / ID",MatchMode)))</f>
        <v/>
      </c>
      <c r="P133" s="54">
        <f>IF(I133="","",I133&amp;"|"&amp;J133)</f>
        <v/>
      </c>
      <c r="Q133" s="54">
        <f>IF(L133="Matched",COUNTIF($L$5:L133,"Matched"),"")</f>
        <v/>
      </c>
      <c r="R133" s="54">
        <f>IF(L133="Unmatched",COUNTIF($L$5:L133,"Unmatched"),"")</f>
        <v/>
      </c>
      <c r="S133" s="54">
        <f>IF(L133="Difference",COUNTIF($L$5:L133,"Difference"),"")</f>
        <v/>
      </c>
      <c r="T133" s="55">
        <f>IF(L133="Difference",ABS(N133),0)</f>
        <v/>
      </c>
    </row>
    <row r="134" ht="17" customHeight="1">
      <c r="A134" s="86" t="n"/>
      <c r="B134" s="46" t="n"/>
      <c r="C134" s="47" t="n"/>
      <c r="D134" s="46" t="n"/>
      <c r="E134" s="46" t="n"/>
      <c r="F134" s="46" t="n"/>
      <c r="G134" s="48" t="n"/>
      <c r="H134" s="48" t="n"/>
      <c r="I134" s="49">
        <f>IF(A134="","",IF(H134&lt;&gt;"","M|"&amp;TRIM(H134),IF(AND(MatchMode="Reference / ID only",D134=""),"U|"&amp;ROW(),IF(D134&lt;&gt;"","R|"&amp;TRIM(D134),IF(MatchMode="Amount only","A|"&amp;TEXT(ROUND(C134,2),"0.00"),IF(MatchMode="Amount (tolerance)","T|"&amp;TEXT(ROUND(C134/MAX(N(Tolerance),0.0001),0),"0"),IF(MatchMode="Date + amount (tolerance)","DT|"&amp;TEXT(A134,"yyyy-mm-dd")&amp;"|"&amp;TEXT(ROUND(C134/MAX(N(Tolerance),0.0001),0),"0"),IF(MatchMode="Description (exact)","S|"&amp;LOWER(TRIM(B134)),IF(MatchMode="Reference / ID only","U|"&amp;ROW(),"DA|"&amp;TEXT(A134,"yyyy-mm-dd")&amp;"|"&amp;TEXT(ROUND(C134,2),"0.00"))))))))))</f>
        <v/>
      </c>
      <c r="J134" s="50">
        <f>IF(I134="","",COUNTIF($I$5:I134,I134))</f>
        <v/>
      </c>
      <c r="K134" s="50">
        <f>IF(P134="","",IFERROR(MATCH(P134,ListA_Combo,0)+4,""))</f>
        <v/>
      </c>
      <c r="L134" s="51">
        <f>IF(A134="","",IF(K134="","Unmatched",IF(ABS(C134-M134)&lt;=MAX(N(Tolerance),0),"Matched","Difference")))</f>
        <v/>
      </c>
      <c r="M134" s="52">
        <f>IF(K134="","",INDEX('List A'!$C$5:$C$204,K134-4))</f>
        <v/>
      </c>
      <c r="N134" s="52">
        <f>IF(K134="","",C134-M134)</f>
        <v/>
      </c>
      <c r="O134" s="53">
        <f>IF(OR(A134="",K134=""),"",IF(H134&lt;&gt;"","Manual pair",IF(D134&lt;&gt;"","Reference / ID",MatchMode)))</f>
        <v/>
      </c>
      <c r="P134" s="54">
        <f>IF(I134="","",I134&amp;"|"&amp;J134)</f>
        <v/>
      </c>
      <c r="Q134" s="54">
        <f>IF(L134="Matched",COUNTIF($L$5:L134,"Matched"),"")</f>
        <v/>
      </c>
      <c r="R134" s="54">
        <f>IF(L134="Unmatched",COUNTIF($L$5:L134,"Unmatched"),"")</f>
        <v/>
      </c>
      <c r="S134" s="54">
        <f>IF(L134="Difference",COUNTIF($L$5:L134,"Difference"),"")</f>
        <v/>
      </c>
      <c r="T134" s="55">
        <f>IF(L134="Difference",ABS(N134),0)</f>
        <v/>
      </c>
    </row>
    <row r="135" ht="17" customHeight="1">
      <c r="A135" s="86" t="n"/>
      <c r="B135" s="46" t="n"/>
      <c r="C135" s="47" t="n"/>
      <c r="D135" s="46" t="n"/>
      <c r="E135" s="46" t="n"/>
      <c r="F135" s="46" t="n"/>
      <c r="G135" s="48" t="n"/>
      <c r="H135" s="48" t="n"/>
      <c r="I135" s="49">
        <f>IF(A135="","",IF(H135&lt;&gt;"","M|"&amp;TRIM(H135),IF(AND(MatchMode="Reference / ID only",D135=""),"U|"&amp;ROW(),IF(D135&lt;&gt;"","R|"&amp;TRIM(D135),IF(MatchMode="Amount only","A|"&amp;TEXT(ROUND(C135,2),"0.00"),IF(MatchMode="Amount (tolerance)","T|"&amp;TEXT(ROUND(C135/MAX(N(Tolerance),0.0001),0),"0"),IF(MatchMode="Date + amount (tolerance)","DT|"&amp;TEXT(A135,"yyyy-mm-dd")&amp;"|"&amp;TEXT(ROUND(C135/MAX(N(Tolerance),0.0001),0),"0"),IF(MatchMode="Description (exact)","S|"&amp;LOWER(TRIM(B135)),IF(MatchMode="Reference / ID only","U|"&amp;ROW(),"DA|"&amp;TEXT(A135,"yyyy-mm-dd")&amp;"|"&amp;TEXT(ROUND(C135,2),"0.00"))))))))))</f>
        <v/>
      </c>
      <c r="J135" s="50">
        <f>IF(I135="","",COUNTIF($I$5:I135,I135))</f>
        <v/>
      </c>
      <c r="K135" s="50">
        <f>IF(P135="","",IFERROR(MATCH(P135,ListA_Combo,0)+4,""))</f>
        <v/>
      </c>
      <c r="L135" s="51">
        <f>IF(A135="","",IF(K135="","Unmatched",IF(ABS(C135-M135)&lt;=MAX(N(Tolerance),0),"Matched","Difference")))</f>
        <v/>
      </c>
      <c r="M135" s="52">
        <f>IF(K135="","",INDEX('List A'!$C$5:$C$204,K135-4))</f>
        <v/>
      </c>
      <c r="N135" s="52">
        <f>IF(K135="","",C135-M135)</f>
        <v/>
      </c>
      <c r="O135" s="53">
        <f>IF(OR(A135="",K135=""),"",IF(H135&lt;&gt;"","Manual pair",IF(D135&lt;&gt;"","Reference / ID",MatchMode)))</f>
        <v/>
      </c>
      <c r="P135" s="54">
        <f>IF(I135="","",I135&amp;"|"&amp;J135)</f>
        <v/>
      </c>
      <c r="Q135" s="54">
        <f>IF(L135="Matched",COUNTIF($L$5:L135,"Matched"),"")</f>
        <v/>
      </c>
      <c r="R135" s="54">
        <f>IF(L135="Unmatched",COUNTIF($L$5:L135,"Unmatched"),"")</f>
        <v/>
      </c>
      <c r="S135" s="54">
        <f>IF(L135="Difference",COUNTIF($L$5:L135,"Difference"),"")</f>
        <v/>
      </c>
      <c r="T135" s="55">
        <f>IF(L135="Difference",ABS(N135),0)</f>
        <v/>
      </c>
    </row>
    <row r="136" ht="17" customHeight="1">
      <c r="A136" s="86" t="n"/>
      <c r="B136" s="46" t="n"/>
      <c r="C136" s="47" t="n"/>
      <c r="D136" s="46" t="n"/>
      <c r="E136" s="46" t="n"/>
      <c r="F136" s="46" t="n"/>
      <c r="G136" s="48" t="n"/>
      <c r="H136" s="48" t="n"/>
      <c r="I136" s="49">
        <f>IF(A136="","",IF(H136&lt;&gt;"","M|"&amp;TRIM(H136),IF(AND(MatchMode="Reference / ID only",D136=""),"U|"&amp;ROW(),IF(D136&lt;&gt;"","R|"&amp;TRIM(D136),IF(MatchMode="Amount only","A|"&amp;TEXT(ROUND(C136,2),"0.00"),IF(MatchMode="Amount (tolerance)","T|"&amp;TEXT(ROUND(C136/MAX(N(Tolerance),0.0001),0),"0"),IF(MatchMode="Date + amount (tolerance)","DT|"&amp;TEXT(A136,"yyyy-mm-dd")&amp;"|"&amp;TEXT(ROUND(C136/MAX(N(Tolerance),0.0001),0),"0"),IF(MatchMode="Description (exact)","S|"&amp;LOWER(TRIM(B136)),IF(MatchMode="Reference / ID only","U|"&amp;ROW(),"DA|"&amp;TEXT(A136,"yyyy-mm-dd")&amp;"|"&amp;TEXT(ROUND(C136,2),"0.00"))))))))))</f>
        <v/>
      </c>
      <c r="J136" s="50">
        <f>IF(I136="","",COUNTIF($I$5:I136,I136))</f>
        <v/>
      </c>
      <c r="K136" s="50">
        <f>IF(P136="","",IFERROR(MATCH(P136,ListA_Combo,0)+4,""))</f>
        <v/>
      </c>
      <c r="L136" s="51">
        <f>IF(A136="","",IF(K136="","Unmatched",IF(ABS(C136-M136)&lt;=MAX(N(Tolerance),0),"Matched","Difference")))</f>
        <v/>
      </c>
      <c r="M136" s="52">
        <f>IF(K136="","",INDEX('List A'!$C$5:$C$204,K136-4))</f>
        <v/>
      </c>
      <c r="N136" s="52">
        <f>IF(K136="","",C136-M136)</f>
        <v/>
      </c>
      <c r="O136" s="53">
        <f>IF(OR(A136="",K136=""),"",IF(H136&lt;&gt;"","Manual pair",IF(D136&lt;&gt;"","Reference / ID",MatchMode)))</f>
        <v/>
      </c>
      <c r="P136" s="54">
        <f>IF(I136="","",I136&amp;"|"&amp;J136)</f>
        <v/>
      </c>
      <c r="Q136" s="54">
        <f>IF(L136="Matched",COUNTIF($L$5:L136,"Matched"),"")</f>
        <v/>
      </c>
      <c r="R136" s="54">
        <f>IF(L136="Unmatched",COUNTIF($L$5:L136,"Unmatched"),"")</f>
        <v/>
      </c>
      <c r="S136" s="54">
        <f>IF(L136="Difference",COUNTIF($L$5:L136,"Difference"),"")</f>
        <v/>
      </c>
      <c r="T136" s="55">
        <f>IF(L136="Difference",ABS(N136),0)</f>
        <v/>
      </c>
    </row>
    <row r="137" ht="17" customHeight="1">
      <c r="A137" s="86" t="n"/>
      <c r="B137" s="46" t="n"/>
      <c r="C137" s="47" t="n"/>
      <c r="D137" s="46" t="n"/>
      <c r="E137" s="46" t="n"/>
      <c r="F137" s="46" t="n"/>
      <c r="G137" s="48" t="n"/>
      <c r="H137" s="48" t="n"/>
      <c r="I137" s="49">
        <f>IF(A137="","",IF(H137&lt;&gt;"","M|"&amp;TRIM(H137),IF(AND(MatchMode="Reference / ID only",D137=""),"U|"&amp;ROW(),IF(D137&lt;&gt;"","R|"&amp;TRIM(D137),IF(MatchMode="Amount only","A|"&amp;TEXT(ROUND(C137,2),"0.00"),IF(MatchMode="Amount (tolerance)","T|"&amp;TEXT(ROUND(C137/MAX(N(Tolerance),0.0001),0),"0"),IF(MatchMode="Date + amount (tolerance)","DT|"&amp;TEXT(A137,"yyyy-mm-dd")&amp;"|"&amp;TEXT(ROUND(C137/MAX(N(Tolerance),0.0001),0),"0"),IF(MatchMode="Description (exact)","S|"&amp;LOWER(TRIM(B137)),IF(MatchMode="Reference / ID only","U|"&amp;ROW(),"DA|"&amp;TEXT(A137,"yyyy-mm-dd")&amp;"|"&amp;TEXT(ROUND(C137,2),"0.00"))))))))))</f>
        <v/>
      </c>
      <c r="J137" s="50">
        <f>IF(I137="","",COUNTIF($I$5:I137,I137))</f>
        <v/>
      </c>
      <c r="K137" s="50">
        <f>IF(P137="","",IFERROR(MATCH(P137,ListA_Combo,0)+4,""))</f>
        <v/>
      </c>
      <c r="L137" s="51">
        <f>IF(A137="","",IF(K137="","Unmatched",IF(ABS(C137-M137)&lt;=MAX(N(Tolerance),0),"Matched","Difference")))</f>
        <v/>
      </c>
      <c r="M137" s="52">
        <f>IF(K137="","",INDEX('List A'!$C$5:$C$204,K137-4))</f>
        <v/>
      </c>
      <c r="N137" s="52">
        <f>IF(K137="","",C137-M137)</f>
        <v/>
      </c>
      <c r="O137" s="53">
        <f>IF(OR(A137="",K137=""),"",IF(H137&lt;&gt;"","Manual pair",IF(D137&lt;&gt;"","Reference / ID",MatchMode)))</f>
        <v/>
      </c>
      <c r="P137" s="54">
        <f>IF(I137="","",I137&amp;"|"&amp;J137)</f>
        <v/>
      </c>
      <c r="Q137" s="54">
        <f>IF(L137="Matched",COUNTIF($L$5:L137,"Matched"),"")</f>
        <v/>
      </c>
      <c r="R137" s="54">
        <f>IF(L137="Unmatched",COUNTIF($L$5:L137,"Unmatched"),"")</f>
        <v/>
      </c>
      <c r="S137" s="54">
        <f>IF(L137="Difference",COUNTIF($L$5:L137,"Difference"),"")</f>
        <v/>
      </c>
      <c r="T137" s="55">
        <f>IF(L137="Difference",ABS(N137),0)</f>
        <v/>
      </c>
    </row>
    <row r="138" ht="17" customHeight="1">
      <c r="A138" s="86" t="n"/>
      <c r="B138" s="46" t="n"/>
      <c r="C138" s="47" t="n"/>
      <c r="D138" s="46" t="n"/>
      <c r="E138" s="46" t="n"/>
      <c r="F138" s="46" t="n"/>
      <c r="G138" s="48" t="n"/>
      <c r="H138" s="48" t="n"/>
      <c r="I138" s="49">
        <f>IF(A138="","",IF(H138&lt;&gt;"","M|"&amp;TRIM(H138),IF(AND(MatchMode="Reference / ID only",D138=""),"U|"&amp;ROW(),IF(D138&lt;&gt;"","R|"&amp;TRIM(D138),IF(MatchMode="Amount only","A|"&amp;TEXT(ROUND(C138,2),"0.00"),IF(MatchMode="Amount (tolerance)","T|"&amp;TEXT(ROUND(C138/MAX(N(Tolerance),0.0001),0),"0"),IF(MatchMode="Date + amount (tolerance)","DT|"&amp;TEXT(A138,"yyyy-mm-dd")&amp;"|"&amp;TEXT(ROUND(C138/MAX(N(Tolerance),0.0001),0),"0"),IF(MatchMode="Description (exact)","S|"&amp;LOWER(TRIM(B138)),IF(MatchMode="Reference / ID only","U|"&amp;ROW(),"DA|"&amp;TEXT(A138,"yyyy-mm-dd")&amp;"|"&amp;TEXT(ROUND(C138,2),"0.00"))))))))))</f>
        <v/>
      </c>
      <c r="J138" s="50">
        <f>IF(I138="","",COUNTIF($I$5:I138,I138))</f>
        <v/>
      </c>
      <c r="K138" s="50">
        <f>IF(P138="","",IFERROR(MATCH(P138,ListA_Combo,0)+4,""))</f>
        <v/>
      </c>
      <c r="L138" s="51">
        <f>IF(A138="","",IF(K138="","Unmatched",IF(ABS(C138-M138)&lt;=MAX(N(Tolerance),0),"Matched","Difference")))</f>
        <v/>
      </c>
      <c r="M138" s="52">
        <f>IF(K138="","",INDEX('List A'!$C$5:$C$204,K138-4))</f>
        <v/>
      </c>
      <c r="N138" s="52">
        <f>IF(K138="","",C138-M138)</f>
        <v/>
      </c>
      <c r="O138" s="53">
        <f>IF(OR(A138="",K138=""),"",IF(H138&lt;&gt;"","Manual pair",IF(D138&lt;&gt;"","Reference / ID",MatchMode)))</f>
        <v/>
      </c>
      <c r="P138" s="54">
        <f>IF(I138="","",I138&amp;"|"&amp;J138)</f>
        <v/>
      </c>
      <c r="Q138" s="54">
        <f>IF(L138="Matched",COUNTIF($L$5:L138,"Matched"),"")</f>
        <v/>
      </c>
      <c r="R138" s="54">
        <f>IF(L138="Unmatched",COUNTIF($L$5:L138,"Unmatched"),"")</f>
        <v/>
      </c>
      <c r="S138" s="54">
        <f>IF(L138="Difference",COUNTIF($L$5:L138,"Difference"),"")</f>
        <v/>
      </c>
      <c r="T138" s="55">
        <f>IF(L138="Difference",ABS(N138),0)</f>
        <v/>
      </c>
    </row>
    <row r="139" ht="17" customHeight="1">
      <c r="A139" s="86" t="n"/>
      <c r="B139" s="46" t="n"/>
      <c r="C139" s="47" t="n"/>
      <c r="D139" s="46" t="n"/>
      <c r="E139" s="46" t="n"/>
      <c r="F139" s="46" t="n"/>
      <c r="G139" s="48" t="n"/>
      <c r="H139" s="48" t="n"/>
      <c r="I139" s="49">
        <f>IF(A139="","",IF(H139&lt;&gt;"","M|"&amp;TRIM(H139),IF(AND(MatchMode="Reference / ID only",D139=""),"U|"&amp;ROW(),IF(D139&lt;&gt;"","R|"&amp;TRIM(D139),IF(MatchMode="Amount only","A|"&amp;TEXT(ROUND(C139,2),"0.00"),IF(MatchMode="Amount (tolerance)","T|"&amp;TEXT(ROUND(C139/MAX(N(Tolerance),0.0001),0),"0"),IF(MatchMode="Date + amount (tolerance)","DT|"&amp;TEXT(A139,"yyyy-mm-dd")&amp;"|"&amp;TEXT(ROUND(C139/MAX(N(Tolerance),0.0001),0),"0"),IF(MatchMode="Description (exact)","S|"&amp;LOWER(TRIM(B139)),IF(MatchMode="Reference / ID only","U|"&amp;ROW(),"DA|"&amp;TEXT(A139,"yyyy-mm-dd")&amp;"|"&amp;TEXT(ROUND(C139,2),"0.00"))))))))))</f>
        <v/>
      </c>
      <c r="J139" s="50">
        <f>IF(I139="","",COUNTIF($I$5:I139,I139))</f>
        <v/>
      </c>
      <c r="K139" s="50">
        <f>IF(P139="","",IFERROR(MATCH(P139,ListA_Combo,0)+4,""))</f>
        <v/>
      </c>
      <c r="L139" s="51">
        <f>IF(A139="","",IF(K139="","Unmatched",IF(ABS(C139-M139)&lt;=MAX(N(Tolerance),0),"Matched","Difference")))</f>
        <v/>
      </c>
      <c r="M139" s="52">
        <f>IF(K139="","",INDEX('List A'!$C$5:$C$204,K139-4))</f>
        <v/>
      </c>
      <c r="N139" s="52">
        <f>IF(K139="","",C139-M139)</f>
        <v/>
      </c>
      <c r="O139" s="53">
        <f>IF(OR(A139="",K139=""),"",IF(H139&lt;&gt;"","Manual pair",IF(D139&lt;&gt;"","Reference / ID",MatchMode)))</f>
        <v/>
      </c>
      <c r="P139" s="54">
        <f>IF(I139="","",I139&amp;"|"&amp;J139)</f>
        <v/>
      </c>
      <c r="Q139" s="54">
        <f>IF(L139="Matched",COUNTIF($L$5:L139,"Matched"),"")</f>
        <v/>
      </c>
      <c r="R139" s="54">
        <f>IF(L139="Unmatched",COUNTIF($L$5:L139,"Unmatched"),"")</f>
        <v/>
      </c>
      <c r="S139" s="54">
        <f>IF(L139="Difference",COUNTIF($L$5:L139,"Difference"),"")</f>
        <v/>
      </c>
      <c r="T139" s="55">
        <f>IF(L139="Difference",ABS(N139),0)</f>
        <v/>
      </c>
    </row>
    <row r="140" ht="17" customHeight="1">
      <c r="A140" s="86" t="n"/>
      <c r="B140" s="46" t="n"/>
      <c r="C140" s="47" t="n"/>
      <c r="D140" s="46" t="n"/>
      <c r="E140" s="46" t="n"/>
      <c r="F140" s="46" t="n"/>
      <c r="G140" s="48" t="n"/>
      <c r="H140" s="48" t="n"/>
      <c r="I140" s="49">
        <f>IF(A140="","",IF(H140&lt;&gt;"","M|"&amp;TRIM(H140),IF(AND(MatchMode="Reference / ID only",D140=""),"U|"&amp;ROW(),IF(D140&lt;&gt;"","R|"&amp;TRIM(D140),IF(MatchMode="Amount only","A|"&amp;TEXT(ROUND(C140,2),"0.00"),IF(MatchMode="Amount (tolerance)","T|"&amp;TEXT(ROUND(C140/MAX(N(Tolerance),0.0001),0),"0"),IF(MatchMode="Date + amount (tolerance)","DT|"&amp;TEXT(A140,"yyyy-mm-dd")&amp;"|"&amp;TEXT(ROUND(C140/MAX(N(Tolerance),0.0001),0),"0"),IF(MatchMode="Description (exact)","S|"&amp;LOWER(TRIM(B140)),IF(MatchMode="Reference / ID only","U|"&amp;ROW(),"DA|"&amp;TEXT(A140,"yyyy-mm-dd")&amp;"|"&amp;TEXT(ROUND(C140,2),"0.00"))))))))))</f>
        <v/>
      </c>
      <c r="J140" s="50">
        <f>IF(I140="","",COUNTIF($I$5:I140,I140))</f>
        <v/>
      </c>
      <c r="K140" s="50">
        <f>IF(P140="","",IFERROR(MATCH(P140,ListA_Combo,0)+4,""))</f>
        <v/>
      </c>
      <c r="L140" s="51">
        <f>IF(A140="","",IF(K140="","Unmatched",IF(ABS(C140-M140)&lt;=MAX(N(Tolerance),0),"Matched","Difference")))</f>
        <v/>
      </c>
      <c r="M140" s="52">
        <f>IF(K140="","",INDEX('List A'!$C$5:$C$204,K140-4))</f>
        <v/>
      </c>
      <c r="N140" s="52">
        <f>IF(K140="","",C140-M140)</f>
        <v/>
      </c>
      <c r="O140" s="53">
        <f>IF(OR(A140="",K140=""),"",IF(H140&lt;&gt;"","Manual pair",IF(D140&lt;&gt;"","Reference / ID",MatchMode)))</f>
        <v/>
      </c>
      <c r="P140" s="54">
        <f>IF(I140="","",I140&amp;"|"&amp;J140)</f>
        <v/>
      </c>
      <c r="Q140" s="54">
        <f>IF(L140="Matched",COUNTIF($L$5:L140,"Matched"),"")</f>
        <v/>
      </c>
      <c r="R140" s="54">
        <f>IF(L140="Unmatched",COUNTIF($L$5:L140,"Unmatched"),"")</f>
        <v/>
      </c>
      <c r="S140" s="54">
        <f>IF(L140="Difference",COUNTIF($L$5:L140,"Difference"),"")</f>
        <v/>
      </c>
      <c r="T140" s="55">
        <f>IF(L140="Difference",ABS(N140),0)</f>
        <v/>
      </c>
    </row>
    <row r="141" ht="17" customHeight="1">
      <c r="A141" s="86" t="n"/>
      <c r="B141" s="46" t="n"/>
      <c r="C141" s="47" t="n"/>
      <c r="D141" s="46" t="n"/>
      <c r="E141" s="46" t="n"/>
      <c r="F141" s="46" t="n"/>
      <c r="G141" s="48" t="n"/>
      <c r="H141" s="48" t="n"/>
      <c r="I141" s="49">
        <f>IF(A141="","",IF(H141&lt;&gt;"","M|"&amp;TRIM(H141),IF(AND(MatchMode="Reference / ID only",D141=""),"U|"&amp;ROW(),IF(D141&lt;&gt;"","R|"&amp;TRIM(D141),IF(MatchMode="Amount only","A|"&amp;TEXT(ROUND(C141,2),"0.00"),IF(MatchMode="Amount (tolerance)","T|"&amp;TEXT(ROUND(C141/MAX(N(Tolerance),0.0001),0),"0"),IF(MatchMode="Date + amount (tolerance)","DT|"&amp;TEXT(A141,"yyyy-mm-dd")&amp;"|"&amp;TEXT(ROUND(C141/MAX(N(Tolerance),0.0001),0),"0"),IF(MatchMode="Description (exact)","S|"&amp;LOWER(TRIM(B141)),IF(MatchMode="Reference / ID only","U|"&amp;ROW(),"DA|"&amp;TEXT(A141,"yyyy-mm-dd")&amp;"|"&amp;TEXT(ROUND(C141,2),"0.00"))))))))))</f>
        <v/>
      </c>
      <c r="J141" s="50">
        <f>IF(I141="","",COUNTIF($I$5:I141,I141))</f>
        <v/>
      </c>
      <c r="K141" s="50">
        <f>IF(P141="","",IFERROR(MATCH(P141,ListA_Combo,0)+4,""))</f>
        <v/>
      </c>
      <c r="L141" s="51">
        <f>IF(A141="","",IF(K141="","Unmatched",IF(ABS(C141-M141)&lt;=MAX(N(Tolerance),0),"Matched","Difference")))</f>
        <v/>
      </c>
      <c r="M141" s="52">
        <f>IF(K141="","",INDEX('List A'!$C$5:$C$204,K141-4))</f>
        <v/>
      </c>
      <c r="N141" s="52">
        <f>IF(K141="","",C141-M141)</f>
        <v/>
      </c>
      <c r="O141" s="53">
        <f>IF(OR(A141="",K141=""),"",IF(H141&lt;&gt;"","Manual pair",IF(D141&lt;&gt;"","Reference / ID",MatchMode)))</f>
        <v/>
      </c>
      <c r="P141" s="54">
        <f>IF(I141="","",I141&amp;"|"&amp;J141)</f>
        <v/>
      </c>
      <c r="Q141" s="54">
        <f>IF(L141="Matched",COUNTIF($L$5:L141,"Matched"),"")</f>
        <v/>
      </c>
      <c r="R141" s="54">
        <f>IF(L141="Unmatched",COUNTIF($L$5:L141,"Unmatched"),"")</f>
        <v/>
      </c>
      <c r="S141" s="54">
        <f>IF(L141="Difference",COUNTIF($L$5:L141,"Difference"),"")</f>
        <v/>
      </c>
      <c r="T141" s="55">
        <f>IF(L141="Difference",ABS(N141),0)</f>
        <v/>
      </c>
    </row>
    <row r="142" ht="17" customHeight="1">
      <c r="A142" s="86" t="n"/>
      <c r="B142" s="46" t="n"/>
      <c r="C142" s="47" t="n"/>
      <c r="D142" s="46" t="n"/>
      <c r="E142" s="46" t="n"/>
      <c r="F142" s="46" t="n"/>
      <c r="G142" s="48" t="n"/>
      <c r="H142" s="48" t="n"/>
      <c r="I142" s="49">
        <f>IF(A142="","",IF(H142&lt;&gt;"","M|"&amp;TRIM(H142),IF(AND(MatchMode="Reference / ID only",D142=""),"U|"&amp;ROW(),IF(D142&lt;&gt;"","R|"&amp;TRIM(D142),IF(MatchMode="Amount only","A|"&amp;TEXT(ROUND(C142,2),"0.00"),IF(MatchMode="Amount (tolerance)","T|"&amp;TEXT(ROUND(C142/MAX(N(Tolerance),0.0001),0),"0"),IF(MatchMode="Date + amount (tolerance)","DT|"&amp;TEXT(A142,"yyyy-mm-dd")&amp;"|"&amp;TEXT(ROUND(C142/MAX(N(Tolerance),0.0001),0),"0"),IF(MatchMode="Description (exact)","S|"&amp;LOWER(TRIM(B142)),IF(MatchMode="Reference / ID only","U|"&amp;ROW(),"DA|"&amp;TEXT(A142,"yyyy-mm-dd")&amp;"|"&amp;TEXT(ROUND(C142,2),"0.00"))))))))))</f>
        <v/>
      </c>
      <c r="J142" s="50">
        <f>IF(I142="","",COUNTIF($I$5:I142,I142))</f>
        <v/>
      </c>
      <c r="K142" s="50">
        <f>IF(P142="","",IFERROR(MATCH(P142,ListA_Combo,0)+4,""))</f>
        <v/>
      </c>
      <c r="L142" s="51">
        <f>IF(A142="","",IF(K142="","Unmatched",IF(ABS(C142-M142)&lt;=MAX(N(Tolerance),0),"Matched","Difference")))</f>
        <v/>
      </c>
      <c r="M142" s="52">
        <f>IF(K142="","",INDEX('List A'!$C$5:$C$204,K142-4))</f>
        <v/>
      </c>
      <c r="N142" s="52">
        <f>IF(K142="","",C142-M142)</f>
        <v/>
      </c>
      <c r="O142" s="53">
        <f>IF(OR(A142="",K142=""),"",IF(H142&lt;&gt;"","Manual pair",IF(D142&lt;&gt;"","Reference / ID",MatchMode)))</f>
        <v/>
      </c>
      <c r="P142" s="54">
        <f>IF(I142="","",I142&amp;"|"&amp;J142)</f>
        <v/>
      </c>
      <c r="Q142" s="54">
        <f>IF(L142="Matched",COUNTIF($L$5:L142,"Matched"),"")</f>
        <v/>
      </c>
      <c r="R142" s="54">
        <f>IF(L142="Unmatched",COUNTIF($L$5:L142,"Unmatched"),"")</f>
        <v/>
      </c>
      <c r="S142" s="54">
        <f>IF(L142="Difference",COUNTIF($L$5:L142,"Difference"),"")</f>
        <v/>
      </c>
      <c r="T142" s="55">
        <f>IF(L142="Difference",ABS(N142),0)</f>
        <v/>
      </c>
    </row>
    <row r="143" ht="17" customHeight="1">
      <c r="A143" s="86" t="n"/>
      <c r="B143" s="46" t="n"/>
      <c r="C143" s="47" t="n"/>
      <c r="D143" s="46" t="n"/>
      <c r="E143" s="46" t="n"/>
      <c r="F143" s="46" t="n"/>
      <c r="G143" s="48" t="n"/>
      <c r="H143" s="48" t="n"/>
      <c r="I143" s="49">
        <f>IF(A143="","",IF(H143&lt;&gt;"","M|"&amp;TRIM(H143),IF(AND(MatchMode="Reference / ID only",D143=""),"U|"&amp;ROW(),IF(D143&lt;&gt;"","R|"&amp;TRIM(D143),IF(MatchMode="Amount only","A|"&amp;TEXT(ROUND(C143,2),"0.00"),IF(MatchMode="Amount (tolerance)","T|"&amp;TEXT(ROUND(C143/MAX(N(Tolerance),0.0001),0),"0"),IF(MatchMode="Date + amount (tolerance)","DT|"&amp;TEXT(A143,"yyyy-mm-dd")&amp;"|"&amp;TEXT(ROUND(C143/MAX(N(Tolerance),0.0001),0),"0"),IF(MatchMode="Description (exact)","S|"&amp;LOWER(TRIM(B143)),IF(MatchMode="Reference / ID only","U|"&amp;ROW(),"DA|"&amp;TEXT(A143,"yyyy-mm-dd")&amp;"|"&amp;TEXT(ROUND(C143,2),"0.00"))))))))))</f>
        <v/>
      </c>
      <c r="J143" s="50">
        <f>IF(I143="","",COUNTIF($I$5:I143,I143))</f>
        <v/>
      </c>
      <c r="K143" s="50">
        <f>IF(P143="","",IFERROR(MATCH(P143,ListA_Combo,0)+4,""))</f>
        <v/>
      </c>
      <c r="L143" s="51">
        <f>IF(A143="","",IF(K143="","Unmatched",IF(ABS(C143-M143)&lt;=MAX(N(Tolerance),0),"Matched","Difference")))</f>
        <v/>
      </c>
      <c r="M143" s="52">
        <f>IF(K143="","",INDEX('List A'!$C$5:$C$204,K143-4))</f>
        <v/>
      </c>
      <c r="N143" s="52">
        <f>IF(K143="","",C143-M143)</f>
        <v/>
      </c>
      <c r="O143" s="53">
        <f>IF(OR(A143="",K143=""),"",IF(H143&lt;&gt;"","Manual pair",IF(D143&lt;&gt;"","Reference / ID",MatchMode)))</f>
        <v/>
      </c>
      <c r="P143" s="54">
        <f>IF(I143="","",I143&amp;"|"&amp;J143)</f>
        <v/>
      </c>
      <c r="Q143" s="54">
        <f>IF(L143="Matched",COUNTIF($L$5:L143,"Matched"),"")</f>
        <v/>
      </c>
      <c r="R143" s="54">
        <f>IF(L143="Unmatched",COUNTIF($L$5:L143,"Unmatched"),"")</f>
        <v/>
      </c>
      <c r="S143" s="54">
        <f>IF(L143="Difference",COUNTIF($L$5:L143,"Difference"),"")</f>
        <v/>
      </c>
      <c r="T143" s="55">
        <f>IF(L143="Difference",ABS(N143),0)</f>
        <v/>
      </c>
    </row>
    <row r="144" ht="17" customHeight="1">
      <c r="A144" s="86" t="n"/>
      <c r="B144" s="46" t="n"/>
      <c r="C144" s="47" t="n"/>
      <c r="D144" s="46" t="n"/>
      <c r="E144" s="46" t="n"/>
      <c r="F144" s="46" t="n"/>
      <c r="G144" s="48" t="n"/>
      <c r="H144" s="48" t="n"/>
      <c r="I144" s="49">
        <f>IF(A144="","",IF(H144&lt;&gt;"","M|"&amp;TRIM(H144),IF(AND(MatchMode="Reference / ID only",D144=""),"U|"&amp;ROW(),IF(D144&lt;&gt;"","R|"&amp;TRIM(D144),IF(MatchMode="Amount only","A|"&amp;TEXT(ROUND(C144,2),"0.00"),IF(MatchMode="Amount (tolerance)","T|"&amp;TEXT(ROUND(C144/MAX(N(Tolerance),0.0001),0),"0"),IF(MatchMode="Date + amount (tolerance)","DT|"&amp;TEXT(A144,"yyyy-mm-dd")&amp;"|"&amp;TEXT(ROUND(C144/MAX(N(Tolerance),0.0001),0),"0"),IF(MatchMode="Description (exact)","S|"&amp;LOWER(TRIM(B144)),IF(MatchMode="Reference / ID only","U|"&amp;ROW(),"DA|"&amp;TEXT(A144,"yyyy-mm-dd")&amp;"|"&amp;TEXT(ROUND(C144,2),"0.00"))))))))))</f>
        <v/>
      </c>
      <c r="J144" s="50">
        <f>IF(I144="","",COUNTIF($I$5:I144,I144))</f>
        <v/>
      </c>
      <c r="K144" s="50">
        <f>IF(P144="","",IFERROR(MATCH(P144,ListA_Combo,0)+4,""))</f>
        <v/>
      </c>
      <c r="L144" s="51">
        <f>IF(A144="","",IF(K144="","Unmatched",IF(ABS(C144-M144)&lt;=MAX(N(Tolerance),0),"Matched","Difference")))</f>
        <v/>
      </c>
      <c r="M144" s="52">
        <f>IF(K144="","",INDEX('List A'!$C$5:$C$204,K144-4))</f>
        <v/>
      </c>
      <c r="N144" s="52">
        <f>IF(K144="","",C144-M144)</f>
        <v/>
      </c>
      <c r="O144" s="53">
        <f>IF(OR(A144="",K144=""),"",IF(H144&lt;&gt;"","Manual pair",IF(D144&lt;&gt;"","Reference / ID",MatchMode)))</f>
        <v/>
      </c>
      <c r="P144" s="54">
        <f>IF(I144="","",I144&amp;"|"&amp;J144)</f>
        <v/>
      </c>
      <c r="Q144" s="54">
        <f>IF(L144="Matched",COUNTIF($L$5:L144,"Matched"),"")</f>
        <v/>
      </c>
      <c r="R144" s="54">
        <f>IF(L144="Unmatched",COUNTIF($L$5:L144,"Unmatched"),"")</f>
        <v/>
      </c>
      <c r="S144" s="54">
        <f>IF(L144="Difference",COUNTIF($L$5:L144,"Difference"),"")</f>
        <v/>
      </c>
      <c r="T144" s="55">
        <f>IF(L144="Difference",ABS(N144),0)</f>
        <v/>
      </c>
    </row>
    <row r="145" ht="17" customHeight="1">
      <c r="A145" s="86" t="n"/>
      <c r="B145" s="46" t="n"/>
      <c r="C145" s="47" t="n"/>
      <c r="D145" s="46" t="n"/>
      <c r="E145" s="46" t="n"/>
      <c r="F145" s="46" t="n"/>
      <c r="G145" s="48" t="n"/>
      <c r="H145" s="48" t="n"/>
      <c r="I145" s="49">
        <f>IF(A145="","",IF(H145&lt;&gt;"","M|"&amp;TRIM(H145),IF(AND(MatchMode="Reference / ID only",D145=""),"U|"&amp;ROW(),IF(D145&lt;&gt;"","R|"&amp;TRIM(D145),IF(MatchMode="Amount only","A|"&amp;TEXT(ROUND(C145,2),"0.00"),IF(MatchMode="Amount (tolerance)","T|"&amp;TEXT(ROUND(C145/MAX(N(Tolerance),0.0001),0),"0"),IF(MatchMode="Date + amount (tolerance)","DT|"&amp;TEXT(A145,"yyyy-mm-dd")&amp;"|"&amp;TEXT(ROUND(C145/MAX(N(Tolerance),0.0001),0),"0"),IF(MatchMode="Description (exact)","S|"&amp;LOWER(TRIM(B145)),IF(MatchMode="Reference / ID only","U|"&amp;ROW(),"DA|"&amp;TEXT(A145,"yyyy-mm-dd")&amp;"|"&amp;TEXT(ROUND(C145,2),"0.00"))))))))))</f>
        <v/>
      </c>
      <c r="J145" s="50">
        <f>IF(I145="","",COUNTIF($I$5:I145,I145))</f>
        <v/>
      </c>
      <c r="K145" s="50">
        <f>IF(P145="","",IFERROR(MATCH(P145,ListA_Combo,0)+4,""))</f>
        <v/>
      </c>
      <c r="L145" s="51">
        <f>IF(A145="","",IF(K145="","Unmatched",IF(ABS(C145-M145)&lt;=MAX(N(Tolerance),0),"Matched","Difference")))</f>
        <v/>
      </c>
      <c r="M145" s="52">
        <f>IF(K145="","",INDEX('List A'!$C$5:$C$204,K145-4))</f>
        <v/>
      </c>
      <c r="N145" s="52">
        <f>IF(K145="","",C145-M145)</f>
        <v/>
      </c>
      <c r="O145" s="53">
        <f>IF(OR(A145="",K145=""),"",IF(H145&lt;&gt;"","Manual pair",IF(D145&lt;&gt;"","Reference / ID",MatchMode)))</f>
        <v/>
      </c>
      <c r="P145" s="54">
        <f>IF(I145="","",I145&amp;"|"&amp;J145)</f>
        <v/>
      </c>
      <c r="Q145" s="54">
        <f>IF(L145="Matched",COUNTIF($L$5:L145,"Matched"),"")</f>
        <v/>
      </c>
      <c r="R145" s="54">
        <f>IF(L145="Unmatched",COUNTIF($L$5:L145,"Unmatched"),"")</f>
        <v/>
      </c>
      <c r="S145" s="54">
        <f>IF(L145="Difference",COUNTIF($L$5:L145,"Difference"),"")</f>
        <v/>
      </c>
      <c r="T145" s="55">
        <f>IF(L145="Difference",ABS(N145),0)</f>
        <v/>
      </c>
    </row>
    <row r="146" ht="17" customHeight="1">
      <c r="A146" s="86" t="n"/>
      <c r="B146" s="46" t="n"/>
      <c r="C146" s="47" t="n"/>
      <c r="D146" s="46" t="n"/>
      <c r="E146" s="46" t="n"/>
      <c r="F146" s="46" t="n"/>
      <c r="G146" s="48" t="n"/>
      <c r="H146" s="48" t="n"/>
      <c r="I146" s="49">
        <f>IF(A146="","",IF(H146&lt;&gt;"","M|"&amp;TRIM(H146),IF(AND(MatchMode="Reference / ID only",D146=""),"U|"&amp;ROW(),IF(D146&lt;&gt;"","R|"&amp;TRIM(D146),IF(MatchMode="Amount only","A|"&amp;TEXT(ROUND(C146,2),"0.00"),IF(MatchMode="Amount (tolerance)","T|"&amp;TEXT(ROUND(C146/MAX(N(Tolerance),0.0001),0),"0"),IF(MatchMode="Date + amount (tolerance)","DT|"&amp;TEXT(A146,"yyyy-mm-dd")&amp;"|"&amp;TEXT(ROUND(C146/MAX(N(Tolerance),0.0001),0),"0"),IF(MatchMode="Description (exact)","S|"&amp;LOWER(TRIM(B146)),IF(MatchMode="Reference / ID only","U|"&amp;ROW(),"DA|"&amp;TEXT(A146,"yyyy-mm-dd")&amp;"|"&amp;TEXT(ROUND(C146,2),"0.00"))))))))))</f>
        <v/>
      </c>
      <c r="J146" s="50">
        <f>IF(I146="","",COUNTIF($I$5:I146,I146))</f>
        <v/>
      </c>
      <c r="K146" s="50">
        <f>IF(P146="","",IFERROR(MATCH(P146,ListA_Combo,0)+4,""))</f>
        <v/>
      </c>
      <c r="L146" s="51">
        <f>IF(A146="","",IF(K146="","Unmatched",IF(ABS(C146-M146)&lt;=MAX(N(Tolerance),0),"Matched","Difference")))</f>
        <v/>
      </c>
      <c r="M146" s="52">
        <f>IF(K146="","",INDEX('List A'!$C$5:$C$204,K146-4))</f>
        <v/>
      </c>
      <c r="N146" s="52">
        <f>IF(K146="","",C146-M146)</f>
        <v/>
      </c>
      <c r="O146" s="53">
        <f>IF(OR(A146="",K146=""),"",IF(H146&lt;&gt;"","Manual pair",IF(D146&lt;&gt;"","Reference / ID",MatchMode)))</f>
        <v/>
      </c>
      <c r="P146" s="54">
        <f>IF(I146="","",I146&amp;"|"&amp;J146)</f>
        <v/>
      </c>
      <c r="Q146" s="54">
        <f>IF(L146="Matched",COUNTIF($L$5:L146,"Matched"),"")</f>
        <v/>
      </c>
      <c r="R146" s="54">
        <f>IF(L146="Unmatched",COUNTIF($L$5:L146,"Unmatched"),"")</f>
        <v/>
      </c>
      <c r="S146" s="54">
        <f>IF(L146="Difference",COUNTIF($L$5:L146,"Difference"),"")</f>
        <v/>
      </c>
      <c r="T146" s="55">
        <f>IF(L146="Difference",ABS(N146),0)</f>
        <v/>
      </c>
    </row>
    <row r="147" ht="17" customHeight="1">
      <c r="A147" s="86" t="n"/>
      <c r="B147" s="46" t="n"/>
      <c r="C147" s="47" t="n"/>
      <c r="D147" s="46" t="n"/>
      <c r="E147" s="46" t="n"/>
      <c r="F147" s="46" t="n"/>
      <c r="G147" s="48" t="n"/>
      <c r="H147" s="48" t="n"/>
      <c r="I147" s="49">
        <f>IF(A147="","",IF(H147&lt;&gt;"","M|"&amp;TRIM(H147),IF(AND(MatchMode="Reference / ID only",D147=""),"U|"&amp;ROW(),IF(D147&lt;&gt;"","R|"&amp;TRIM(D147),IF(MatchMode="Amount only","A|"&amp;TEXT(ROUND(C147,2),"0.00"),IF(MatchMode="Amount (tolerance)","T|"&amp;TEXT(ROUND(C147/MAX(N(Tolerance),0.0001),0),"0"),IF(MatchMode="Date + amount (tolerance)","DT|"&amp;TEXT(A147,"yyyy-mm-dd")&amp;"|"&amp;TEXT(ROUND(C147/MAX(N(Tolerance),0.0001),0),"0"),IF(MatchMode="Description (exact)","S|"&amp;LOWER(TRIM(B147)),IF(MatchMode="Reference / ID only","U|"&amp;ROW(),"DA|"&amp;TEXT(A147,"yyyy-mm-dd")&amp;"|"&amp;TEXT(ROUND(C147,2),"0.00"))))))))))</f>
        <v/>
      </c>
      <c r="J147" s="50">
        <f>IF(I147="","",COUNTIF($I$5:I147,I147))</f>
        <v/>
      </c>
      <c r="K147" s="50">
        <f>IF(P147="","",IFERROR(MATCH(P147,ListA_Combo,0)+4,""))</f>
        <v/>
      </c>
      <c r="L147" s="51">
        <f>IF(A147="","",IF(K147="","Unmatched",IF(ABS(C147-M147)&lt;=MAX(N(Tolerance),0),"Matched","Difference")))</f>
        <v/>
      </c>
      <c r="M147" s="52">
        <f>IF(K147="","",INDEX('List A'!$C$5:$C$204,K147-4))</f>
        <v/>
      </c>
      <c r="N147" s="52">
        <f>IF(K147="","",C147-M147)</f>
        <v/>
      </c>
      <c r="O147" s="53">
        <f>IF(OR(A147="",K147=""),"",IF(H147&lt;&gt;"","Manual pair",IF(D147&lt;&gt;"","Reference / ID",MatchMode)))</f>
        <v/>
      </c>
      <c r="P147" s="54">
        <f>IF(I147="","",I147&amp;"|"&amp;J147)</f>
        <v/>
      </c>
      <c r="Q147" s="54">
        <f>IF(L147="Matched",COUNTIF($L$5:L147,"Matched"),"")</f>
        <v/>
      </c>
      <c r="R147" s="54">
        <f>IF(L147="Unmatched",COUNTIF($L$5:L147,"Unmatched"),"")</f>
        <v/>
      </c>
      <c r="S147" s="54">
        <f>IF(L147="Difference",COUNTIF($L$5:L147,"Difference"),"")</f>
        <v/>
      </c>
      <c r="T147" s="55">
        <f>IF(L147="Difference",ABS(N147),0)</f>
        <v/>
      </c>
    </row>
    <row r="148" ht="17" customHeight="1">
      <c r="A148" s="86" t="n"/>
      <c r="B148" s="46" t="n"/>
      <c r="C148" s="47" t="n"/>
      <c r="D148" s="46" t="n"/>
      <c r="E148" s="46" t="n"/>
      <c r="F148" s="46" t="n"/>
      <c r="G148" s="48" t="n"/>
      <c r="H148" s="48" t="n"/>
      <c r="I148" s="49">
        <f>IF(A148="","",IF(H148&lt;&gt;"","M|"&amp;TRIM(H148),IF(AND(MatchMode="Reference / ID only",D148=""),"U|"&amp;ROW(),IF(D148&lt;&gt;"","R|"&amp;TRIM(D148),IF(MatchMode="Amount only","A|"&amp;TEXT(ROUND(C148,2),"0.00"),IF(MatchMode="Amount (tolerance)","T|"&amp;TEXT(ROUND(C148/MAX(N(Tolerance),0.0001),0),"0"),IF(MatchMode="Date + amount (tolerance)","DT|"&amp;TEXT(A148,"yyyy-mm-dd")&amp;"|"&amp;TEXT(ROUND(C148/MAX(N(Tolerance),0.0001),0),"0"),IF(MatchMode="Description (exact)","S|"&amp;LOWER(TRIM(B148)),IF(MatchMode="Reference / ID only","U|"&amp;ROW(),"DA|"&amp;TEXT(A148,"yyyy-mm-dd")&amp;"|"&amp;TEXT(ROUND(C148,2),"0.00"))))))))))</f>
        <v/>
      </c>
      <c r="J148" s="50">
        <f>IF(I148="","",COUNTIF($I$5:I148,I148))</f>
        <v/>
      </c>
      <c r="K148" s="50">
        <f>IF(P148="","",IFERROR(MATCH(P148,ListA_Combo,0)+4,""))</f>
        <v/>
      </c>
      <c r="L148" s="51">
        <f>IF(A148="","",IF(K148="","Unmatched",IF(ABS(C148-M148)&lt;=MAX(N(Tolerance),0),"Matched","Difference")))</f>
        <v/>
      </c>
      <c r="M148" s="52">
        <f>IF(K148="","",INDEX('List A'!$C$5:$C$204,K148-4))</f>
        <v/>
      </c>
      <c r="N148" s="52">
        <f>IF(K148="","",C148-M148)</f>
        <v/>
      </c>
      <c r="O148" s="53">
        <f>IF(OR(A148="",K148=""),"",IF(H148&lt;&gt;"","Manual pair",IF(D148&lt;&gt;"","Reference / ID",MatchMode)))</f>
        <v/>
      </c>
      <c r="P148" s="54">
        <f>IF(I148="","",I148&amp;"|"&amp;J148)</f>
        <v/>
      </c>
      <c r="Q148" s="54">
        <f>IF(L148="Matched",COUNTIF($L$5:L148,"Matched"),"")</f>
        <v/>
      </c>
      <c r="R148" s="54">
        <f>IF(L148="Unmatched",COUNTIF($L$5:L148,"Unmatched"),"")</f>
        <v/>
      </c>
      <c r="S148" s="54">
        <f>IF(L148="Difference",COUNTIF($L$5:L148,"Difference"),"")</f>
        <v/>
      </c>
      <c r="T148" s="55">
        <f>IF(L148="Difference",ABS(N148),0)</f>
        <v/>
      </c>
    </row>
    <row r="149" ht="17" customHeight="1">
      <c r="A149" s="86" t="n"/>
      <c r="B149" s="46" t="n"/>
      <c r="C149" s="47" t="n"/>
      <c r="D149" s="46" t="n"/>
      <c r="E149" s="46" t="n"/>
      <c r="F149" s="46" t="n"/>
      <c r="G149" s="48" t="n"/>
      <c r="H149" s="48" t="n"/>
      <c r="I149" s="49">
        <f>IF(A149="","",IF(H149&lt;&gt;"","M|"&amp;TRIM(H149),IF(AND(MatchMode="Reference / ID only",D149=""),"U|"&amp;ROW(),IF(D149&lt;&gt;"","R|"&amp;TRIM(D149),IF(MatchMode="Amount only","A|"&amp;TEXT(ROUND(C149,2),"0.00"),IF(MatchMode="Amount (tolerance)","T|"&amp;TEXT(ROUND(C149/MAX(N(Tolerance),0.0001),0),"0"),IF(MatchMode="Date + amount (tolerance)","DT|"&amp;TEXT(A149,"yyyy-mm-dd")&amp;"|"&amp;TEXT(ROUND(C149/MAX(N(Tolerance),0.0001),0),"0"),IF(MatchMode="Description (exact)","S|"&amp;LOWER(TRIM(B149)),IF(MatchMode="Reference / ID only","U|"&amp;ROW(),"DA|"&amp;TEXT(A149,"yyyy-mm-dd")&amp;"|"&amp;TEXT(ROUND(C149,2),"0.00"))))))))))</f>
        <v/>
      </c>
      <c r="J149" s="50">
        <f>IF(I149="","",COUNTIF($I$5:I149,I149))</f>
        <v/>
      </c>
      <c r="K149" s="50">
        <f>IF(P149="","",IFERROR(MATCH(P149,ListA_Combo,0)+4,""))</f>
        <v/>
      </c>
      <c r="L149" s="51">
        <f>IF(A149="","",IF(K149="","Unmatched",IF(ABS(C149-M149)&lt;=MAX(N(Tolerance),0),"Matched","Difference")))</f>
        <v/>
      </c>
      <c r="M149" s="52">
        <f>IF(K149="","",INDEX('List A'!$C$5:$C$204,K149-4))</f>
        <v/>
      </c>
      <c r="N149" s="52">
        <f>IF(K149="","",C149-M149)</f>
        <v/>
      </c>
      <c r="O149" s="53">
        <f>IF(OR(A149="",K149=""),"",IF(H149&lt;&gt;"","Manual pair",IF(D149&lt;&gt;"","Reference / ID",MatchMode)))</f>
        <v/>
      </c>
      <c r="P149" s="54">
        <f>IF(I149="","",I149&amp;"|"&amp;J149)</f>
        <v/>
      </c>
      <c r="Q149" s="54">
        <f>IF(L149="Matched",COUNTIF($L$5:L149,"Matched"),"")</f>
        <v/>
      </c>
      <c r="R149" s="54">
        <f>IF(L149="Unmatched",COUNTIF($L$5:L149,"Unmatched"),"")</f>
        <v/>
      </c>
      <c r="S149" s="54">
        <f>IF(L149="Difference",COUNTIF($L$5:L149,"Difference"),"")</f>
        <v/>
      </c>
      <c r="T149" s="55">
        <f>IF(L149="Difference",ABS(N149),0)</f>
        <v/>
      </c>
    </row>
    <row r="150" ht="17" customHeight="1">
      <c r="A150" s="86" t="n"/>
      <c r="B150" s="46" t="n"/>
      <c r="C150" s="47" t="n"/>
      <c r="D150" s="46" t="n"/>
      <c r="E150" s="46" t="n"/>
      <c r="F150" s="46" t="n"/>
      <c r="G150" s="48" t="n"/>
      <c r="H150" s="48" t="n"/>
      <c r="I150" s="49">
        <f>IF(A150="","",IF(H150&lt;&gt;"","M|"&amp;TRIM(H150),IF(AND(MatchMode="Reference / ID only",D150=""),"U|"&amp;ROW(),IF(D150&lt;&gt;"","R|"&amp;TRIM(D150),IF(MatchMode="Amount only","A|"&amp;TEXT(ROUND(C150,2),"0.00"),IF(MatchMode="Amount (tolerance)","T|"&amp;TEXT(ROUND(C150/MAX(N(Tolerance),0.0001),0),"0"),IF(MatchMode="Date + amount (tolerance)","DT|"&amp;TEXT(A150,"yyyy-mm-dd")&amp;"|"&amp;TEXT(ROUND(C150/MAX(N(Tolerance),0.0001),0),"0"),IF(MatchMode="Description (exact)","S|"&amp;LOWER(TRIM(B150)),IF(MatchMode="Reference / ID only","U|"&amp;ROW(),"DA|"&amp;TEXT(A150,"yyyy-mm-dd")&amp;"|"&amp;TEXT(ROUND(C150,2),"0.00"))))))))))</f>
        <v/>
      </c>
      <c r="J150" s="50">
        <f>IF(I150="","",COUNTIF($I$5:I150,I150))</f>
        <v/>
      </c>
      <c r="K150" s="50">
        <f>IF(P150="","",IFERROR(MATCH(P150,ListA_Combo,0)+4,""))</f>
        <v/>
      </c>
      <c r="L150" s="51">
        <f>IF(A150="","",IF(K150="","Unmatched",IF(ABS(C150-M150)&lt;=MAX(N(Tolerance),0),"Matched","Difference")))</f>
        <v/>
      </c>
      <c r="M150" s="52">
        <f>IF(K150="","",INDEX('List A'!$C$5:$C$204,K150-4))</f>
        <v/>
      </c>
      <c r="N150" s="52">
        <f>IF(K150="","",C150-M150)</f>
        <v/>
      </c>
      <c r="O150" s="53">
        <f>IF(OR(A150="",K150=""),"",IF(H150&lt;&gt;"","Manual pair",IF(D150&lt;&gt;"","Reference / ID",MatchMode)))</f>
        <v/>
      </c>
      <c r="P150" s="54">
        <f>IF(I150="","",I150&amp;"|"&amp;J150)</f>
        <v/>
      </c>
      <c r="Q150" s="54">
        <f>IF(L150="Matched",COUNTIF($L$5:L150,"Matched"),"")</f>
        <v/>
      </c>
      <c r="R150" s="54">
        <f>IF(L150="Unmatched",COUNTIF($L$5:L150,"Unmatched"),"")</f>
        <v/>
      </c>
      <c r="S150" s="54">
        <f>IF(L150="Difference",COUNTIF($L$5:L150,"Difference"),"")</f>
        <v/>
      </c>
      <c r="T150" s="55">
        <f>IF(L150="Difference",ABS(N150),0)</f>
        <v/>
      </c>
    </row>
    <row r="151" ht="17" customHeight="1">
      <c r="A151" s="86" t="n"/>
      <c r="B151" s="46" t="n"/>
      <c r="C151" s="47" t="n"/>
      <c r="D151" s="46" t="n"/>
      <c r="E151" s="46" t="n"/>
      <c r="F151" s="46" t="n"/>
      <c r="G151" s="48" t="n"/>
      <c r="H151" s="48" t="n"/>
      <c r="I151" s="49">
        <f>IF(A151="","",IF(H151&lt;&gt;"","M|"&amp;TRIM(H151),IF(AND(MatchMode="Reference / ID only",D151=""),"U|"&amp;ROW(),IF(D151&lt;&gt;"","R|"&amp;TRIM(D151),IF(MatchMode="Amount only","A|"&amp;TEXT(ROUND(C151,2),"0.00"),IF(MatchMode="Amount (tolerance)","T|"&amp;TEXT(ROUND(C151/MAX(N(Tolerance),0.0001),0),"0"),IF(MatchMode="Date + amount (tolerance)","DT|"&amp;TEXT(A151,"yyyy-mm-dd")&amp;"|"&amp;TEXT(ROUND(C151/MAX(N(Tolerance),0.0001),0),"0"),IF(MatchMode="Description (exact)","S|"&amp;LOWER(TRIM(B151)),IF(MatchMode="Reference / ID only","U|"&amp;ROW(),"DA|"&amp;TEXT(A151,"yyyy-mm-dd")&amp;"|"&amp;TEXT(ROUND(C151,2),"0.00"))))))))))</f>
        <v/>
      </c>
      <c r="J151" s="50">
        <f>IF(I151="","",COUNTIF($I$5:I151,I151))</f>
        <v/>
      </c>
      <c r="K151" s="50">
        <f>IF(P151="","",IFERROR(MATCH(P151,ListA_Combo,0)+4,""))</f>
        <v/>
      </c>
      <c r="L151" s="51">
        <f>IF(A151="","",IF(K151="","Unmatched",IF(ABS(C151-M151)&lt;=MAX(N(Tolerance),0),"Matched","Difference")))</f>
        <v/>
      </c>
      <c r="M151" s="52">
        <f>IF(K151="","",INDEX('List A'!$C$5:$C$204,K151-4))</f>
        <v/>
      </c>
      <c r="N151" s="52">
        <f>IF(K151="","",C151-M151)</f>
        <v/>
      </c>
      <c r="O151" s="53">
        <f>IF(OR(A151="",K151=""),"",IF(H151&lt;&gt;"","Manual pair",IF(D151&lt;&gt;"","Reference / ID",MatchMode)))</f>
        <v/>
      </c>
      <c r="P151" s="54">
        <f>IF(I151="","",I151&amp;"|"&amp;J151)</f>
        <v/>
      </c>
      <c r="Q151" s="54">
        <f>IF(L151="Matched",COUNTIF($L$5:L151,"Matched"),"")</f>
        <v/>
      </c>
      <c r="R151" s="54">
        <f>IF(L151="Unmatched",COUNTIF($L$5:L151,"Unmatched"),"")</f>
        <v/>
      </c>
      <c r="S151" s="54">
        <f>IF(L151="Difference",COUNTIF($L$5:L151,"Difference"),"")</f>
        <v/>
      </c>
      <c r="T151" s="55">
        <f>IF(L151="Difference",ABS(N151),0)</f>
        <v/>
      </c>
    </row>
    <row r="152" ht="17" customHeight="1">
      <c r="A152" s="86" t="n"/>
      <c r="B152" s="46" t="n"/>
      <c r="C152" s="47" t="n"/>
      <c r="D152" s="46" t="n"/>
      <c r="E152" s="46" t="n"/>
      <c r="F152" s="46" t="n"/>
      <c r="G152" s="48" t="n"/>
      <c r="H152" s="48" t="n"/>
      <c r="I152" s="49">
        <f>IF(A152="","",IF(H152&lt;&gt;"","M|"&amp;TRIM(H152),IF(AND(MatchMode="Reference / ID only",D152=""),"U|"&amp;ROW(),IF(D152&lt;&gt;"","R|"&amp;TRIM(D152),IF(MatchMode="Amount only","A|"&amp;TEXT(ROUND(C152,2),"0.00"),IF(MatchMode="Amount (tolerance)","T|"&amp;TEXT(ROUND(C152/MAX(N(Tolerance),0.0001),0),"0"),IF(MatchMode="Date + amount (tolerance)","DT|"&amp;TEXT(A152,"yyyy-mm-dd")&amp;"|"&amp;TEXT(ROUND(C152/MAX(N(Tolerance),0.0001),0),"0"),IF(MatchMode="Description (exact)","S|"&amp;LOWER(TRIM(B152)),IF(MatchMode="Reference / ID only","U|"&amp;ROW(),"DA|"&amp;TEXT(A152,"yyyy-mm-dd")&amp;"|"&amp;TEXT(ROUND(C152,2),"0.00"))))))))))</f>
        <v/>
      </c>
      <c r="J152" s="50">
        <f>IF(I152="","",COUNTIF($I$5:I152,I152))</f>
        <v/>
      </c>
      <c r="K152" s="50">
        <f>IF(P152="","",IFERROR(MATCH(P152,ListA_Combo,0)+4,""))</f>
        <v/>
      </c>
      <c r="L152" s="51">
        <f>IF(A152="","",IF(K152="","Unmatched",IF(ABS(C152-M152)&lt;=MAX(N(Tolerance),0),"Matched","Difference")))</f>
        <v/>
      </c>
      <c r="M152" s="52">
        <f>IF(K152="","",INDEX('List A'!$C$5:$C$204,K152-4))</f>
        <v/>
      </c>
      <c r="N152" s="52">
        <f>IF(K152="","",C152-M152)</f>
        <v/>
      </c>
      <c r="O152" s="53">
        <f>IF(OR(A152="",K152=""),"",IF(H152&lt;&gt;"","Manual pair",IF(D152&lt;&gt;"","Reference / ID",MatchMode)))</f>
        <v/>
      </c>
      <c r="P152" s="54">
        <f>IF(I152="","",I152&amp;"|"&amp;J152)</f>
        <v/>
      </c>
      <c r="Q152" s="54">
        <f>IF(L152="Matched",COUNTIF($L$5:L152,"Matched"),"")</f>
        <v/>
      </c>
      <c r="R152" s="54">
        <f>IF(L152="Unmatched",COUNTIF($L$5:L152,"Unmatched"),"")</f>
        <v/>
      </c>
      <c r="S152" s="54">
        <f>IF(L152="Difference",COUNTIF($L$5:L152,"Difference"),"")</f>
        <v/>
      </c>
      <c r="T152" s="55">
        <f>IF(L152="Difference",ABS(N152),0)</f>
        <v/>
      </c>
    </row>
    <row r="153" ht="17" customHeight="1">
      <c r="A153" s="86" t="n"/>
      <c r="B153" s="46" t="n"/>
      <c r="C153" s="47" t="n"/>
      <c r="D153" s="46" t="n"/>
      <c r="E153" s="46" t="n"/>
      <c r="F153" s="46" t="n"/>
      <c r="G153" s="48" t="n"/>
      <c r="H153" s="48" t="n"/>
      <c r="I153" s="49">
        <f>IF(A153="","",IF(H153&lt;&gt;"","M|"&amp;TRIM(H153),IF(AND(MatchMode="Reference / ID only",D153=""),"U|"&amp;ROW(),IF(D153&lt;&gt;"","R|"&amp;TRIM(D153),IF(MatchMode="Amount only","A|"&amp;TEXT(ROUND(C153,2),"0.00"),IF(MatchMode="Amount (tolerance)","T|"&amp;TEXT(ROUND(C153/MAX(N(Tolerance),0.0001),0),"0"),IF(MatchMode="Date + amount (tolerance)","DT|"&amp;TEXT(A153,"yyyy-mm-dd")&amp;"|"&amp;TEXT(ROUND(C153/MAX(N(Tolerance),0.0001),0),"0"),IF(MatchMode="Description (exact)","S|"&amp;LOWER(TRIM(B153)),IF(MatchMode="Reference / ID only","U|"&amp;ROW(),"DA|"&amp;TEXT(A153,"yyyy-mm-dd")&amp;"|"&amp;TEXT(ROUND(C153,2),"0.00"))))))))))</f>
        <v/>
      </c>
      <c r="J153" s="50">
        <f>IF(I153="","",COUNTIF($I$5:I153,I153))</f>
        <v/>
      </c>
      <c r="K153" s="50">
        <f>IF(P153="","",IFERROR(MATCH(P153,ListA_Combo,0)+4,""))</f>
        <v/>
      </c>
      <c r="L153" s="51">
        <f>IF(A153="","",IF(K153="","Unmatched",IF(ABS(C153-M153)&lt;=MAX(N(Tolerance),0),"Matched","Difference")))</f>
        <v/>
      </c>
      <c r="M153" s="52">
        <f>IF(K153="","",INDEX('List A'!$C$5:$C$204,K153-4))</f>
        <v/>
      </c>
      <c r="N153" s="52">
        <f>IF(K153="","",C153-M153)</f>
        <v/>
      </c>
      <c r="O153" s="53">
        <f>IF(OR(A153="",K153=""),"",IF(H153&lt;&gt;"","Manual pair",IF(D153&lt;&gt;"","Reference / ID",MatchMode)))</f>
        <v/>
      </c>
      <c r="P153" s="54">
        <f>IF(I153="","",I153&amp;"|"&amp;J153)</f>
        <v/>
      </c>
      <c r="Q153" s="54">
        <f>IF(L153="Matched",COUNTIF($L$5:L153,"Matched"),"")</f>
        <v/>
      </c>
      <c r="R153" s="54">
        <f>IF(L153="Unmatched",COUNTIF($L$5:L153,"Unmatched"),"")</f>
        <v/>
      </c>
      <c r="S153" s="54">
        <f>IF(L153="Difference",COUNTIF($L$5:L153,"Difference"),"")</f>
        <v/>
      </c>
      <c r="T153" s="55">
        <f>IF(L153="Difference",ABS(N153),0)</f>
        <v/>
      </c>
    </row>
    <row r="154" ht="17" customHeight="1">
      <c r="A154" s="86" t="n"/>
      <c r="B154" s="46" t="n"/>
      <c r="C154" s="47" t="n"/>
      <c r="D154" s="46" t="n"/>
      <c r="E154" s="46" t="n"/>
      <c r="F154" s="46" t="n"/>
      <c r="G154" s="48" t="n"/>
      <c r="H154" s="48" t="n"/>
      <c r="I154" s="49">
        <f>IF(A154="","",IF(H154&lt;&gt;"","M|"&amp;TRIM(H154),IF(AND(MatchMode="Reference / ID only",D154=""),"U|"&amp;ROW(),IF(D154&lt;&gt;"","R|"&amp;TRIM(D154),IF(MatchMode="Amount only","A|"&amp;TEXT(ROUND(C154,2),"0.00"),IF(MatchMode="Amount (tolerance)","T|"&amp;TEXT(ROUND(C154/MAX(N(Tolerance),0.0001),0),"0"),IF(MatchMode="Date + amount (tolerance)","DT|"&amp;TEXT(A154,"yyyy-mm-dd")&amp;"|"&amp;TEXT(ROUND(C154/MAX(N(Tolerance),0.0001),0),"0"),IF(MatchMode="Description (exact)","S|"&amp;LOWER(TRIM(B154)),IF(MatchMode="Reference / ID only","U|"&amp;ROW(),"DA|"&amp;TEXT(A154,"yyyy-mm-dd")&amp;"|"&amp;TEXT(ROUND(C154,2),"0.00"))))))))))</f>
        <v/>
      </c>
      <c r="J154" s="50">
        <f>IF(I154="","",COUNTIF($I$5:I154,I154))</f>
        <v/>
      </c>
      <c r="K154" s="50">
        <f>IF(P154="","",IFERROR(MATCH(P154,ListA_Combo,0)+4,""))</f>
        <v/>
      </c>
      <c r="L154" s="51">
        <f>IF(A154="","",IF(K154="","Unmatched",IF(ABS(C154-M154)&lt;=MAX(N(Tolerance),0),"Matched","Difference")))</f>
        <v/>
      </c>
      <c r="M154" s="52">
        <f>IF(K154="","",INDEX('List A'!$C$5:$C$204,K154-4))</f>
        <v/>
      </c>
      <c r="N154" s="52">
        <f>IF(K154="","",C154-M154)</f>
        <v/>
      </c>
      <c r="O154" s="53">
        <f>IF(OR(A154="",K154=""),"",IF(H154&lt;&gt;"","Manual pair",IF(D154&lt;&gt;"","Reference / ID",MatchMode)))</f>
        <v/>
      </c>
      <c r="P154" s="54">
        <f>IF(I154="","",I154&amp;"|"&amp;J154)</f>
        <v/>
      </c>
      <c r="Q154" s="54">
        <f>IF(L154="Matched",COUNTIF($L$5:L154,"Matched"),"")</f>
        <v/>
      </c>
      <c r="R154" s="54">
        <f>IF(L154="Unmatched",COUNTIF($L$5:L154,"Unmatched"),"")</f>
        <v/>
      </c>
      <c r="S154" s="54">
        <f>IF(L154="Difference",COUNTIF($L$5:L154,"Difference"),"")</f>
        <v/>
      </c>
      <c r="T154" s="55">
        <f>IF(L154="Difference",ABS(N154),0)</f>
        <v/>
      </c>
    </row>
    <row r="155" ht="17" customHeight="1">
      <c r="A155" s="86" t="n"/>
      <c r="B155" s="46" t="n"/>
      <c r="C155" s="47" t="n"/>
      <c r="D155" s="46" t="n"/>
      <c r="E155" s="46" t="n"/>
      <c r="F155" s="46" t="n"/>
      <c r="G155" s="48" t="n"/>
      <c r="H155" s="48" t="n"/>
      <c r="I155" s="49">
        <f>IF(A155="","",IF(H155&lt;&gt;"","M|"&amp;TRIM(H155),IF(AND(MatchMode="Reference / ID only",D155=""),"U|"&amp;ROW(),IF(D155&lt;&gt;"","R|"&amp;TRIM(D155),IF(MatchMode="Amount only","A|"&amp;TEXT(ROUND(C155,2),"0.00"),IF(MatchMode="Amount (tolerance)","T|"&amp;TEXT(ROUND(C155/MAX(N(Tolerance),0.0001),0),"0"),IF(MatchMode="Date + amount (tolerance)","DT|"&amp;TEXT(A155,"yyyy-mm-dd")&amp;"|"&amp;TEXT(ROUND(C155/MAX(N(Tolerance),0.0001),0),"0"),IF(MatchMode="Description (exact)","S|"&amp;LOWER(TRIM(B155)),IF(MatchMode="Reference / ID only","U|"&amp;ROW(),"DA|"&amp;TEXT(A155,"yyyy-mm-dd")&amp;"|"&amp;TEXT(ROUND(C155,2),"0.00"))))))))))</f>
        <v/>
      </c>
      <c r="J155" s="50">
        <f>IF(I155="","",COUNTIF($I$5:I155,I155))</f>
        <v/>
      </c>
      <c r="K155" s="50">
        <f>IF(P155="","",IFERROR(MATCH(P155,ListA_Combo,0)+4,""))</f>
        <v/>
      </c>
      <c r="L155" s="51">
        <f>IF(A155="","",IF(K155="","Unmatched",IF(ABS(C155-M155)&lt;=MAX(N(Tolerance),0),"Matched","Difference")))</f>
        <v/>
      </c>
      <c r="M155" s="52">
        <f>IF(K155="","",INDEX('List A'!$C$5:$C$204,K155-4))</f>
        <v/>
      </c>
      <c r="N155" s="52">
        <f>IF(K155="","",C155-M155)</f>
        <v/>
      </c>
      <c r="O155" s="53">
        <f>IF(OR(A155="",K155=""),"",IF(H155&lt;&gt;"","Manual pair",IF(D155&lt;&gt;"","Reference / ID",MatchMode)))</f>
        <v/>
      </c>
      <c r="P155" s="54">
        <f>IF(I155="","",I155&amp;"|"&amp;J155)</f>
        <v/>
      </c>
      <c r="Q155" s="54">
        <f>IF(L155="Matched",COUNTIF($L$5:L155,"Matched"),"")</f>
        <v/>
      </c>
      <c r="R155" s="54">
        <f>IF(L155="Unmatched",COUNTIF($L$5:L155,"Unmatched"),"")</f>
        <v/>
      </c>
      <c r="S155" s="54">
        <f>IF(L155="Difference",COUNTIF($L$5:L155,"Difference"),"")</f>
        <v/>
      </c>
      <c r="T155" s="55">
        <f>IF(L155="Difference",ABS(N155),0)</f>
        <v/>
      </c>
    </row>
    <row r="156" ht="17" customHeight="1">
      <c r="A156" s="86" t="n"/>
      <c r="B156" s="46" t="n"/>
      <c r="C156" s="47" t="n"/>
      <c r="D156" s="46" t="n"/>
      <c r="E156" s="46" t="n"/>
      <c r="F156" s="46" t="n"/>
      <c r="G156" s="48" t="n"/>
      <c r="H156" s="48" t="n"/>
      <c r="I156" s="49">
        <f>IF(A156="","",IF(H156&lt;&gt;"","M|"&amp;TRIM(H156),IF(AND(MatchMode="Reference / ID only",D156=""),"U|"&amp;ROW(),IF(D156&lt;&gt;"","R|"&amp;TRIM(D156),IF(MatchMode="Amount only","A|"&amp;TEXT(ROUND(C156,2),"0.00"),IF(MatchMode="Amount (tolerance)","T|"&amp;TEXT(ROUND(C156/MAX(N(Tolerance),0.0001),0),"0"),IF(MatchMode="Date + amount (tolerance)","DT|"&amp;TEXT(A156,"yyyy-mm-dd")&amp;"|"&amp;TEXT(ROUND(C156/MAX(N(Tolerance),0.0001),0),"0"),IF(MatchMode="Description (exact)","S|"&amp;LOWER(TRIM(B156)),IF(MatchMode="Reference / ID only","U|"&amp;ROW(),"DA|"&amp;TEXT(A156,"yyyy-mm-dd")&amp;"|"&amp;TEXT(ROUND(C156,2),"0.00"))))))))))</f>
        <v/>
      </c>
      <c r="J156" s="50">
        <f>IF(I156="","",COUNTIF($I$5:I156,I156))</f>
        <v/>
      </c>
      <c r="K156" s="50">
        <f>IF(P156="","",IFERROR(MATCH(P156,ListA_Combo,0)+4,""))</f>
        <v/>
      </c>
      <c r="L156" s="51">
        <f>IF(A156="","",IF(K156="","Unmatched",IF(ABS(C156-M156)&lt;=MAX(N(Tolerance),0),"Matched","Difference")))</f>
        <v/>
      </c>
      <c r="M156" s="52">
        <f>IF(K156="","",INDEX('List A'!$C$5:$C$204,K156-4))</f>
        <v/>
      </c>
      <c r="N156" s="52">
        <f>IF(K156="","",C156-M156)</f>
        <v/>
      </c>
      <c r="O156" s="53">
        <f>IF(OR(A156="",K156=""),"",IF(H156&lt;&gt;"","Manual pair",IF(D156&lt;&gt;"","Reference / ID",MatchMode)))</f>
        <v/>
      </c>
      <c r="P156" s="54">
        <f>IF(I156="","",I156&amp;"|"&amp;J156)</f>
        <v/>
      </c>
      <c r="Q156" s="54">
        <f>IF(L156="Matched",COUNTIF($L$5:L156,"Matched"),"")</f>
        <v/>
      </c>
      <c r="R156" s="54">
        <f>IF(L156="Unmatched",COUNTIF($L$5:L156,"Unmatched"),"")</f>
        <v/>
      </c>
      <c r="S156" s="54">
        <f>IF(L156="Difference",COUNTIF($L$5:L156,"Difference"),"")</f>
        <v/>
      </c>
      <c r="T156" s="55">
        <f>IF(L156="Difference",ABS(N156),0)</f>
        <v/>
      </c>
    </row>
    <row r="157" ht="17" customHeight="1">
      <c r="A157" s="86" t="n"/>
      <c r="B157" s="46" t="n"/>
      <c r="C157" s="47" t="n"/>
      <c r="D157" s="46" t="n"/>
      <c r="E157" s="46" t="n"/>
      <c r="F157" s="46" t="n"/>
      <c r="G157" s="48" t="n"/>
      <c r="H157" s="48" t="n"/>
      <c r="I157" s="49">
        <f>IF(A157="","",IF(H157&lt;&gt;"","M|"&amp;TRIM(H157),IF(AND(MatchMode="Reference / ID only",D157=""),"U|"&amp;ROW(),IF(D157&lt;&gt;"","R|"&amp;TRIM(D157),IF(MatchMode="Amount only","A|"&amp;TEXT(ROUND(C157,2),"0.00"),IF(MatchMode="Amount (tolerance)","T|"&amp;TEXT(ROUND(C157/MAX(N(Tolerance),0.0001),0),"0"),IF(MatchMode="Date + amount (tolerance)","DT|"&amp;TEXT(A157,"yyyy-mm-dd")&amp;"|"&amp;TEXT(ROUND(C157/MAX(N(Tolerance),0.0001),0),"0"),IF(MatchMode="Description (exact)","S|"&amp;LOWER(TRIM(B157)),IF(MatchMode="Reference / ID only","U|"&amp;ROW(),"DA|"&amp;TEXT(A157,"yyyy-mm-dd")&amp;"|"&amp;TEXT(ROUND(C157,2),"0.00"))))))))))</f>
        <v/>
      </c>
      <c r="J157" s="50">
        <f>IF(I157="","",COUNTIF($I$5:I157,I157))</f>
        <v/>
      </c>
      <c r="K157" s="50">
        <f>IF(P157="","",IFERROR(MATCH(P157,ListA_Combo,0)+4,""))</f>
        <v/>
      </c>
      <c r="L157" s="51">
        <f>IF(A157="","",IF(K157="","Unmatched",IF(ABS(C157-M157)&lt;=MAX(N(Tolerance),0),"Matched","Difference")))</f>
        <v/>
      </c>
      <c r="M157" s="52">
        <f>IF(K157="","",INDEX('List A'!$C$5:$C$204,K157-4))</f>
        <v/>
      </c>
      <c r="N157" s="52">
        <f>IF(K157="","",C157-M157)</f>
        <v/>
      </c>
      <c r="O157" s="53">
        <f>IF(OR(A157="",K157=""),"",IF(H157&lt;&gt;"","Manual pair",IF(D157&lt;&gt;"","Reference / ID",MatchMode)))</f>
        <v/>
      </c>
      <c r="P157" s="54">
        <f>IF(I157="","",I157&amp;"|"&amp;J157)</f>
        <v/>
      </c>
      <c r="Q157" s="54">
        <f>IF(L157="Matched",COUNTIF($L$5:L157,"Matched"),"")</f>
        <v/>
      </c>
      <c r="R157" s="54">
        <f>IF(L157="Unmatched",COUNTIF($L$5:L157,"Unmatched"),"")</f>
        <v/>
      </c>
      <c r="S157" s="54">
        <f>IF(L157="Difference",COUNTIF($L$5:L157,"Difference"),"")</f>
        <v/>
      </c>
      <c r="T157" s="55">
        <f>IF(L157="Difference",ABS(N157),0)</f>
        <v/>
      </c>
    </row>
    <row r="158" ht="17" customHeight="1">
      <c r="A158" s="86" t="n"/>
      <c r="B158" s="46" t="n"/>
      <c r="C158" s="47" t="n"/>
      <c r="D158" s="46" t="n"/>
      <c r="E158" s="46" t="n"/>
      <c r="F158" s="46" t="n"/>
      <c r="G158" s="48" t="n"/>
      <c r="H158" s="48" t="n"/>
      <c r="I158" s="49">
        <f>IF(A158="","",IF(H158&lt;&gt;"","M|"&amp;TRIM(H158),IF(AND(MatchMode="Reference / ID only",D158=""),"U|"&amp;ROW(),IF(D158&lt;&gt;"","R|"&amp;TRIM(D158),IF(MatchMode="Amount only","A|"&amp;TEXT(ROUND(C158,2),"0.00"),IF(MatchMode="Amount (tolerance)","T|"&amp;TEXT(ROUND(C158/MAX(N(Tolerance),0.0001),0),"0"),IF(MatchMode="Date + amount (tolerance)","DT|"&amp;TEXT(A158,"yyyy-mm-dd")&amp;"|"&amp;TEXT(ROUND(C158/MAX(N(Tolerance),0.0001),0),"0"),IF(MatchMode="Description (exact)","S|"&amp;LOWER(TRIM(B158)),IF(MatchMode="Reference / ID only","U|"&amp;ROW(),"DA|"&amp;TEXT(A158,"yyyy-mm-dd")&amp;"|"&amp;TEXT(ROUND(C158,2),"0.00"))))))))))</f>
        <v/>
      </c>
      <c r="J158" s="50">
        <f>IF(I158="","",COUNTIF($I$5:I158,I158))</f>
        <v/>
      </c>
      <c r="K158" s="50">
        <f>IF(P158="","",IFERROR(MATCH(P158,ListA_Combo,0)+4,""))</f>
        <v/>
      </c>
      <c r="L158" s="51">
        <f>IF(A158="","",IF(K158="","Unmatched",IF(ABS(C158-M158)&lt;=MAX(N(Tolerance),0),"Matched","Difference")))</f>
        <v/>
      </c>
      <c r="M158" s="52">
        <f>IF(K158="","",INDEX('List A'!$C$5:$C$204,K158-4))</f>
        <v/>
      </c>
      <c r="N158" s="52">
        <f>IF(K158="","",C158-M158)</f>
        <v/>
      </c>
      <c r="O158" s="53">
        <f>IF(OR(A158="",K158=""),"",IF(H158&lt;&gt;"","Manual pair",IF(D158&lt;&gt;"","Reference / ID",MatchMode)))</f>
        <v/>
      </c>
      <c r="P158" s="54">
        <f>IF(I158="","",I158&amp;"|"&amp;J158)</f>
        <v/>
      </c>
      <c r="Q158" s="54">
        <f>IF(L158="Matched",COUNTIF($L$5:L158,"Matched"),"")</f>
        <v/>
      </c>
      <c r="R158" s="54">
        <f>IF(L158="Unmatched",COUNTIF($L$5:L158,"Unmatched"),"")</f>
        <v/>
      </c>
      <c r="S158" s="54">
        <f>IF(L158="Difference",COUNTIF($L$5:L158,"Difference"),"")</f>
        <v/>
      </c>
      <c r="T158" s="55">
        <f>IF(L158="Difference",ABS(N158),0)</f>
        <v/>
      </c>
    </row>
    <row r="159" ht="17" customHeight="1">
      <c r="A159" s="86" t="n"/>
      <c r="B159" s="46" t="n"/>
      <c r="C159" s="47" t="n"/>
      <c r="D159" s="46" t="n"/>
      <c r="E159" s="46" t="n"/>
      <c r="F159" s="46" t="n"/>
      <c r="G159" s="48" t="n"/>
      <c r="H159" s="48" t="n"/>
      <c r="I159" s="49">
        <f>IF(A159="","",IF(H159&lt;&gt;"","M|"&amp;TRIM(H159),IF(AND(MatchMode="Reference / ID only",D159=""),"U|"&amp;ROW(),IF(D159&lt;&gt;"","R|"&amp;TRIM(D159),IF(MatchMode="Amount only","A|"&amp;TEXT(ROUND(C159,2),"0.00"),IF(MatchMode="Amount (tolerance)","T|"&amp;TEXT(ROUND(C159/MAX(N(Tolerance),0.0001),0),"0"),IF(MatchMode="Date + amount (tolerance)","DT|"&amp;TEXT(A159,"yyyy-mm-dd")&amp;"|"&amp;TEXT(ROUND(C159/MAX(N(Tolerance),0.0001),0),"0"),IF(MatchMode="Description (exact)","S|"&amp;LOWER(TRIM(B159)),IF(MatchMode="Reference / ID only","U|"&amp;ROW(),"DA|"&amp;TEXT(A159,"yyyy-mm-dd")&amp;"|"&amp;TEXT(ROUND(C159,2),"0.00"))))))))))</f>
        <v/>
      </c>
      <c r="J159" s="50">
        <f>IF(I159="","",COUNTIF($I$5:I159,I159))</f>
        <v/>
      </c>
      <c r="K159" s="50">
        <f>IF(P159="","",IFERROR(MATCH(P159,ListA_Combo,0)+4,""))</f>
        <v/>
      </c>
      <c r="L159" s="51">
        <f>IF(A159="","",IF(K159="","Unmatched",IF(ABS(C159-M159)&lt;=MAX(N(Tolerance),0),"Matched","Difference")))</f>
        <v/>
      </c>
      <c r="M159" s="52">
        <f>IF(K159="","",INDEX('List A'!$C$5:$C$204,K159-4))</f>
        <v/>
      </c>
      <c r="N159" s="52">
        <f>IF(K159="","",C159-M159)</f>
        <v/>
      </c>
      <c r="O159" s="53">
        <f>IF(OR(A159="",K159=""),"",IF(H159&lt;&gt;"","Manual pair",IF(D159&lt;&gt;"","Reference / ID",MatchMode)))</f>
        <v/>
      </c>
      <c r="P159" s="54">
        <f>IF(I159="","",I159&amp;"|"&amp;J159)</f>
        <v/>
      </c>
      <c r="Q159" s="54">
        <f>IF(L159="Matched",COUNTIF($L$5:L159,"Matched"),"")</f>
        <v/>
      </c>
      <c r="R159" s="54">
        <f>IF(L159="Unmatched",COUNTIF($L$5:L159,"Unmatched"),"")</f>
        <v/>
      </c>
      <c r="S159" s="54">
        <f>IF(L159="Difference",COUNTIF($L$5:L159,"Difference"),"")</f>
        <v/>
      </c>
      <c r="T159" s="55">
        <f>IF(L159="Difference",ABS(N159),0)</f>
        <v/>
      </c>
    </row>
    <row r="160" ht="17" customHeight="1">
      <c r="A160" s="86" t="n"/>
      <c r="B160" s="46" t="n"/>
      <c r="C160" s="47" t="n"/>
      <c r="D160" s="46" t="n"/>
      <c r="E160" s="46" t="n"/>
      <c r="F160" s="46" t="n"/>
      <c r="G160" s="48" t="n"/>
      <c r="H160" s="48" t="n"/>
      <c r="I160" s="49">
        <f>IF(A160="","",IF(H160&lt;&gt;"","M|"&amp;TRIM(H160),IF(AND(MatchMode="Reference / ID only",D160=""),"U|"&amp;ROW(),IF(D160&lt;&gt;"","R|"&amp;TRIM(D160),IF(MatchMode="Amount only","A|"&amp;TEXT(ROUND(C160,2),"0.00"),IF(MatchMode="Amount (tolerance)","T|"&amp;TEXT(ROUND(C160/MAX(N(Tolerance),0.0001),0),"0"),IF(MatchMode="Date + amount (tolerance)","DT|"&amp;TEXT(A160,"yyyy-mm-dd")&amp;"|"&amp;TEXT(ROUND(C160/MAX(N(Tolerance),0.0001),0),"0"),IF(MatchMode="Description (exact)","S|"&amp;LOWER(TRIM(B160)),IF(MatchMode="Reference / ID only","U|"&amp;ROW(),"DA|"&amp;TEXT(A160,"yyyy-mm-dd")&amp;"|"&amp;TEXT(ROUND(C160,2),"0.00"))))))))))</f>
        <v/>
      </c>
      <c r="J160" s="50">
        <f>IF(I160="","",COUNTIF($I$5:I160,I160))</f>
        <v/>
      </c>
      <c r="K160" s="50">
        <f>IF(P160="","",IFERROR(MATCH(P160,ListA_Combo,0)+4,""))</f>
        <v/>
      </c>
      <c r="L160" s="51">
        <f>IF(A160="","",IF(K160="","Unmatched",IF(ABS(C160-M160)&lt;=MAX(N(Tolerance),0),"Matched","Difference")))</f>
        <v/>
      </c>
      <c r="M160" s="52">
        <f>IF(K160="","",INDEX('List A'!$C$5:$C$204,K160-4))</f>
        <v/>
      </c>
      <c r="N160" s="52">
        <f>IF(K160="","",C160-M160)</f>
        <v/>
      </c>
      <c r="O160" s="53">
        <f>IF(OR(A160="",K160=""),"",IF(H160&lt;&gt;"","Manual pair",IF(D160&lt;&gt;"","Reference / ID",MatchMode)))</f>
        <v/>
      </c>
      <c r="P160" s="54">
        <f>IF(I160="","",I160&amp;"|"&amp;J160)</f>
        <v/>
      </c>
      <c r="Q160" s="54">
        <f>IF(L160="Matched",COUNTIF($L$5:L160,"Matched"),"")</f>
        <v/>
      </c>
      <c r="R160" s="54">
        <f>IF(L160="Unmatched",COUNTIF($L$5:L160,"Unmatched"),"")</f>
        <v/>
      </c>
      <c r="S160" s="54">
        <f>IF(L160="Difference",COUNTIF($L$5:L160,"Difference"),"")</f>
        <v/>
      </c>
      <c r="T160" s="55">
        <f>IF(L160="Difference",ABS(N160),0)</f>
        <v/>
      </c>
    </row>
    <row r="161" ht="17" customHeight="1">
      <c r="A161" s="86" t="n"/>
      <c r="B161" s="46" t="n"/>
      <c r="C161" s="47" t="n"/>
      <c r="D161" s="46" t="n"/>
      <c r="E161" s="46" t="n"/>
      <c r="F161" s="46" t="n"/>
      <c r="G161" s="48" t="n"/>
      <c r="H161" s="48" t="n"/>
      <c r="I161" s="49">
        <f>IF(A161="","",IF(H161&lt;&gt;"","M|"&amp;TRIM(H161),IF(AND(MatchMode="Reference / ID only",D161=""),"U|"&amp;ROW(),IF(D161&lt;&gt;"","R|"&amp;TRIM(D161),IF(MatchMode="Amount only","A|"&amp;TEXT(ROUND(C161,2),"0.00"),IF(MatchMode="Amount (tolerance)","T|"&amp;TEXT(ROUND(C161/MAX(N(Tolerance),0.0001),0),"0"),IF(MatchMode="Date + amount (tolerance)","DT|"&amp;TEXT(A161,"yyyy-mm-dd")&amp;"|"&amp;TEXT(ROUND(C161/MAX(N(Tolerance),0.0001),0),"0"),IF(MatchMode="Description (exact)","S|"&amp;LOWER(TRIM(B161)),IF(MatchMode="Reference / ID only","U|"&amp;ROW(),"DA|"&amp;TEXT(A161,"yyyy-mm-dd")&amp;"|"&amp;TEXT(ROUND(C161,2),"0.00"))))))))))</f>
        <v/>
      </c>
      <c r="J161" s="50">
        <f>IF(I161="","",COUNTIF($I$5:I161,I161))</f>
        <v/>
      </c>
      <c r="K161" s="50">
        <f>IF(P161="","",IFERROR(MATCH(P161,ListA_Combo,0)+4,""))</f>
        <v/>
      </c>
      <c r="L161" s="51">
        <f>IF(A161="","",IF(K161="","Unmatched",IF(ABS(C161-M161)&lt;=MAX(N(Tolerance),0),"Matched","Difference")))</f>
        <v/>
      </c>
      <c r="M161" s="52">
        <f>IF(K161="","",INDEX('List A'!$C$5:$C$204,K161-4))</f>
        <v/>
      </c>
      <c r="N161" s="52">
        <f>IF(K161="","",C161-M161)</f>
        <v/>
      </c>
      <c r="O161" s="53">
        <f>IF(OR(A161="",K161=""),"",IF(H161&lt;&gt;"","Manual pair",IF(D161&lt;&gt;"","Reference / ID",MatchMode)))</f>
        <v/>
      </c>
      <c r="P161" s="54">
        <f>IF(I161="","",I161&amp;"|"&amp;J161)</f>
        <v/>
      </c>
      <c r="Q161" s="54">
        <f>IF(L161="Matched",COUNTIF($L$5:L161,"Matched"),"")</f>
        <v/>
      </c>
      <c r="R161" s="54">
        <f>IF(L161="Unmatched",COUNTIF($L$5:L161,"Unmatched"),"")</f>
        <v/>
      </c>
      <c r="S161" s="54">
        <f>IF(L161="Difference",COUNTIF($L$5:L161,"Difference"),"")</f>
        <v/>
      </c>
      <c r="T161" s="55">
        <f>IF(L161="Difference",ABS(N161),0)</f>
        <v/>
      </c>
    </row>
    <row r="162" ht="17" customHeight="1">
      <c r="A162" s="86" t="n"/>
      <c r="B162" s="46" t="n"/>
      <c r="C162" s="47" t="n"/>
      <c r="D162" s="46" t="n"/>
      <c r="E162" s="46" t="n"/>
      <c r="F162" s="46" t="n"/>
      <c r="G162" s="48" t="n"/>
      <c r="H162" s="48" t="n"/>
      <c r="I162" s="49">
        <f>IF(A162="","",IF(H162&lt;&gt;"","M|"&amp;TRIM(H162),IF(AND(MatchMode="Reference / ID only",D162=""),"U|"&amp;ROW(),IF(D162&lt;&gt;"","R|"&amp;TRIM(D162),IF(MatchMode="Amount only","A|"&amp;TEXT(ROUND(C162,2),"0.00"),IF(MatchMode="Amount (tolerance)","T|"&amp;TEXT(ROUND(C162/MAX(N(Tolerance),0.0001),0),"0"),IF(MatchMode="Date + amount (tolerance)","DT|"&amp;TEXT(A162,"yyyy-mm-dd")&amp;"|"&amp;TEXT(ROUND(C162/MAX(N(Tolerance),0.0001),0),"0"),IF(MatchMode="Description (exact)","S|"&amp;LOWER(TRIM(B162)),IF(MatchMode="Reference / ID only","U|"&amp;ROW(),"DA|"&amp;TEXT(A162,"yyyy-mm-dd")&amp;"|"&amp;TEXT(ROUND(C162,2),"0.00"))))))))))</f>
        <v/>
      </c>
      <c r="J162" s="50">
        <f>IF(I162="","",COUNTIF($I$5:I162,I162))</f>
        <v/>
      </c>
      <c r="K162" s="50">
        <f>IF(P162="","",IFERROR(MATCH(P162,ListA_Combo,0)+4,""))</f>
        <v/>
      </c>
      <c r="L162" s="51">
        <f>IF(A162="","",IF(K162="","Unmatched",IF(ABS(C162-M162)&lt;=MAX(N(Tolerance),0),"Matched","Difference")))</f>
        <v/>
      </c>
      <c r="M162" s="52">
        <f>IF(K162="","",INDEX('List A'!$C$5:$C$204,K162-4))</f>
        <v/>
      </c>
      <c r="N162" s="52">
        <f>IF(K162="","",C162-M162)</f>
        <v/>
      </c>
      <c r="O162" s="53">
        <f>IF(OR(A162="",K162=""),"",IF(H162&lt;&gt;"","Manual pair",IF(D162&lt;&gt;"","Reference / ID",MatchMode)))</f>
        <v/>
      </c>
      <c r="P162" s="54">
        <f>IF(I162="","",I162&amp;"|"&amp;J162)</f>
        <v/>
      </c>
      <c r="Q162" s="54">
        <f>IF(L162="Matched",COUNTIF($L$5:L162,"Matched"),"")</f>
        <v/>
      </c>
      <c r="R162" s="54">
        <f>IF(L162="Unmatched",COUNTIF($L$5:L162,"Unmatched"),"")</f>
        <v/>
      </c>
      <c r="S162" s="54">
        <f>IF(L162="Difference",COUNTIF($L$5:L162,"Difference"),"")</f>
        <v/>
      </c>
      <c r="T162" s="55">
        <f>IF(L162="Difference",ABS(N162),0)</f>
        <v/>
      </c>
    </row>
    <row r="163" ht="17" customHeight="1">
      <c r="A163" s="86" t="n"/>
      <c r="B163" s="46" t="n"/>
      <c r="C163" s="47" t="n"/>
      <c r="D163" s="46" t="n"/>
      <c r="E163" s="46" t="n"/>
      <c r="F163" s="46" t="n"/>
      <c r="G163" s="48" t="n"/>
      <c r="H163" s="48" t="n"/>
      <c r="I163" s="49">
        <f>IF(A163="","",IF(H163&lt;&gt;"","M|"&amp;TRIM(H163),IF(AND(MatchMode="Reference / ID only",D163=""),"U|"&amp;ROW(),IF(D163&lt;&gt;"","R|"&amp;TRIM(D163),IF(MatchMode="Amount only","A|"&amp;TEXT(ROUND(C163,2),"0.00"),IF(MatchMode="Amount (tolerance)","T|"&amp;TEXT(ROUND(C163/MAX(N(Tolerance),0.0001),0),"0"),IF(MatchMode="Date + amount (tolerance)","DT|"&amp;TEXT(A163,"yyyy-mm-dd")&amp;"|"&amp;TEXT(ROUND(C163/MAX(N(Tolerance),0.0001),0),"0"),IF(MatchMode="Description (exact)","S|"&amp;LOWER(TRIM(B163)),IF(MatchMode="Reference / ID only","U|"&amp;ROW(),"DA|"&amp;TEXT(A163,"yyyy-mm-dd")&amp;"|"&amp;TEXT(ROUND(C163,2),"0.00"))))))))))</f>
        <v/>
      </c>
      <c r="J163" s="50">
        <f>IF(I163="","",COUNTIF($I$5:I163,I163))</f>
        <v/>
      </c>
      <c r="K163" s="50">
        <f>IF(P163="","",IFERROR(MATCH(P163,ListA_Combo,0)+4,""))</f>
        <v/>
      </c>
      <c r="L163" s="51">
        <f>IF(A163="","",IF(K163="","Unmatched",IF(ABS(C163-M163)&lt;=MAX(N(Tolerance),0),"Matched","Difference")))</f>
        <v/>
      </c>
      <c r="M163" s="52">
        <f>IF(K163="","",INDEX('List A'!$C$5:$C$204,K163-4))</f>
        <v/>
      </c>
      <c r="N163" s="52">
        <f>IF(K163="","",C163-M163)</f>
        <v/>
      </c>
      <c r="O163" s="53">
        <f>IF(OR(A163="",K163=""),"",IF(H163&lt;&gt;"","Manual pair",IF(D163&lt;&gt;"","Reference / ID",MatchMode)))</f>
        <v/>
      </c>
      <c r="P163" s="54">
        <f>IF(I163="","",I163&amp;"|"&amp;J163)</f>
        <v/>
      </c>
      <c r="Q163" s="54">
        <f>IF(L163="Matched",COUNTIF($L$5:L163,"Matched"),"")</f>
        <v/>
      </c>
      <c r="R163" s="54">
        <f>IF(L163="Unmatched",COUNTIF($L$5:L163,"Unmatched"),"")</f>
        <v/>
      </c>
      <c r="S163" s="54">
        <f>IF(L163="Difference",COUNTIF($L$5:L163,"Difference"),"")</f>
        <v/>
      </c>
      <c r="T163" s="55">
        <f>IF(L163="Difference",ABS(N163),0)</f>
        <v/>
      </c>
    </row>
    <row r="164" ht="17" customHeight="1">
      <c r="A164" s="86" t="n"/>
      <c r="B164" s="46" t="n"/>
      <c r="C164" s="47" t="n"/>
      <c r="D164" s="46" t="n"/>
      <c r="E164" s="46" t="n"/>
      <c r="F164" s="46" t="n"/>
      <c r="G164" s="48" t="n"/>
      <c r="H164" s="48" t="n"/>
      <c r="I164" s="49">
        <f>IF(A164="","",IF(H164&lt;&gt;"","M|"&amp;TRIM(H164),IF(AND(MatchMode="Reference / ID only",D164=""),"U|"&amp;ROW(),IF(D164&lt;&gt;"","R|"&amp;TRIM(D164),IF(MatchMode="Amount only","A|"&amp;TEXT(ROUND(C164,2),"0.00"),IF(MatchMode="Amount (tolerance)","T|"&amp;TEXT(ROUND(C164/MAX(N(Tolerance),0.0001),0),"0"),IF(MatchMode="Date + amount (tolerance)","DT|"&amp;TEXT(A164,"yyyy-mm-dd")&amp;"|"&amp;TEXT(ROUND(C164/MAX(N(Tolerance),0.0001),0),"0"),IF(MatchMode="Description (exact)","S|"&amp;LOWER(TRIM(B164)),IF(MatchMode="Reference / ID only","U|"&amp;ROW(),"DA|"&amp;TEXT(A164,"yyyy-mm-dd")&amp;"|"&amp;TEXT(ROUND(C164,2),"0.00"))))))))))</f>
        <v/>
      </c>
      <c r="J164" s="50">
        <f>IF(I164="","",COUNTIF($I$5:I164,I164))</f>
        <v/>
      </c>
      <c r="K164" s="50">
        <f>IF(P164="","",IFERROR(MATCH(P164,ListA_Combo,0)+4,""))</f>
        <v/>
      </c>
      <c r="L164" s="51">
        <f>IF(A164="","",IF(K164="","Unmatched",IF(ABS(C164-M164)&lt;=MAX(N(Tolerance),0),"Matched","Difference")))</f>
        <v/>
      </c>
      <c r="M164" s="52">
        <f>IF(K164="","",INDEX('List A'!$C$5:$C$204,K164-4))</f>
        <v/>
      </c>
      <c r="N164" s="52">
        <f>IF(K164="","",C164-M164)</f>
        <v/>
      </c>
      <c r="O164" s="53">
        <f>IF(OR(A164="",K164=""),"",IF(H164&lt;&gt;"","Manual pair",IF(D164&lt;&gt;"","Reference / ID",MatchMode)))</f>
        <v/>
      </c>
      <c r="P164" s="54">
        <f>IF(I164="","",I164&amp;"|"&amp;J164)</f>
        <v/>
      </c>
      <c r="Q164" s="54">
        <f>IF(L164="Matched",COUNTIF($L$5:L164,"Matched"),"")</f>
        <v/>
      </c>
      <c r="R164" s="54">
        <f>IF(L164="Unmatched",COUNTIF($L$5:L164,"Unmatched"),"")</f>
        <v/>
      </c>
      <c r="S164" s="54">
        <f>IF(L164="Difference",COUNTIF($L$5:L164,"Difference"),"")</f>
        <v/>
      </c>
      <c r="T164" s="55">
        <f>IF(L164="Difference",ABS(N164),0)</f>
        <v/>
      </c>
    </row>
    <row r="165" ht="17" customHeight="1">
      <c r="A165" s="86" t="n"/>
      <c r="B165" s="46" t="n"/>
      <c r="C165" s="47" t="n"/>
      <c r="D165" s="46" t="n"/>
      <c r="E165" s="46" t="n"/>
      <c r="F165" s="46" t="n"/>
      <c r="G165" s="48" t="n"/>
      <c r="H165" s="48" t="n"/>
      <c r="I165" s="49">
        <f>IF(A165="","",IF(H165&lt;&gt;"","M|"&amp;TRIM(H165),IF(AND(MatchMode="Reference / ID only",D165=""),"U|"&amp;ROW(),IF(D165&lt;&gt;"","R|"&amp;TRIM(D165),IF(MatchMode="Amount only","A|"&amp;TEXT(ROUND(C165,2),"0.00"),IF(MatchMode="Amount (tolerance)","T|"&amp;TEXT(ROUND(C165/MAX(N(Tolerance),0.0001),0),"0"),IF(MatchMode="Date + amount (tolerance)","DT|"&amp;TEXT(A165,"yyyy-mm-dd")&amp;"|"&amp;TEXT(ROUND(C165/MAX(N(Tolerance),0.0001),0),"0"),IF(MatchMode="Description (exact)","S|"&amp;LOWER(TRIM(B165)),IF(MatchMode="Reference / ID only","U|"&amp;ROW(),"DA|"&amp;TEXT(A165,"yyyy-mm-dd")&amp;"|"&amp;TEXT(ROUND(C165,2),"0.00"))))))))))</f>
        <v/>
      </c>
      <c r="J165" s="50">
        <f>IF(I165="","",COUNTIF($I$5:I165,I165))</f>
        <v/>
      </c>
      <c r="K165" s="50">
        <f>IF(P165="","",IFERROR(MATCH(P165,ListA_Combo,0)+4,""))</f>
        <v/>
      </c>
      <c r="L165" s="51">
        <f>IF(A165="","",IF(K165="","Unmatched",IF(ABS(C165-M165)&lt;=MAX(N(Tolerance),0),"Matched","Difference")))</f>
        <v/>
      </c>
      <c r="M165" s="52">
        <f>IF(K165="","",INDEX('List A'!$C$5:$C$204,K165-4))</f>
        <v/>
      </c>
      <c r="N165" s="52">
        <f>IF(K165="","",C165-M165)</f>
        <v/>
      </c>
      <c r="O165" s="53">
        <f>IF(OR(A165="",K165=""),"",IF(H165&lt;&gt;"","Manual pair",IF(D165&lt;&gt;"","Reference / ID",MatchMode)))</f>
        <v/>
      </c>
      <c r="P165" s="54">
        <f>IF(I165="","",I165&amp;"|"&amp;J165)</f>
        <v/>
      </c>
      <c r="Q165" s="54">
        <f>IF(L165="Matched",COUNTIF($L$5:L165,"Matched"),"")</f>
        <v/>
      </c>
      <c r="R165" s="54">
        <f>IF(L165="Unmatched",COUNTIF($L$5:L165,"Unmatched"),"")</f>
        <v/>
      </c>
      <c r="S165" s="54">
        <f>IF(L165="Difference",COUNTIF($L$5:L165,"Difference"),"")</f>
        <v/>
      </c>
      <c r="T165" s="55">
        <f>IF(L165="Difference",ABS(N165),0)</f>
        <v/>
      </c>
    </row>
    <row r="166" ht="17" customHeight="1">
      <c r="A166" s="86" t="n"/>
      <c r="B166" s="46" t="n"/>
      <c r="C166" s="47" t="n"/>
      <c r="D166" s="46" t="n"/>
      <c r="E166" s="46" t="n"/>
      <c r="F166" s="46" t="n"/>
      <c r="G166" s="48" t="n"/>
      <c r="H166" s="48" t="n"/>
      <c r="I166" s="49">
        <f>IF(A166="","",IF(H166&lt;&gt;"","M|"&amp;TRIM(H166),IF(AND(MatchMode="Reference / ID only",D166=""),"U|"&amp;ROW(),IF(D166&lt;&gt;"","R|"&amp;TRIM(D166),IF(MatchMode="Amount only","A|"&amp;TEXT(ROUND(C166,2),"0.00"),IF(MatchMode="Amount (tolerance)","T|"&amp;TEXT(ROUND(C166/MAX(N(Tolerance),0.0001),0),"0"),IF(MatchMode="Date + amount (tolerance)","DT|"&amp;TEXT(A166,"yyyy-mm-dd")&amp;"|"&amp;TEXT(ROUND(C166/MAX(N(Tolerance),0.0001),0),"0"),IF(MatchMode="Description (exact)","S|"&amp;LOWER(TRIM(B166)),IF(MatchMode="Reference / ID only","U|"&amp;ROW(),"DA|"&amp;TEXT(A166,"yyyy-mm-dd")&amp;"|"&amp;TEXT(ROUND(C166,2),"0.00"))))))))))</f>
        <v/>
      </c>
      <c r="J166" s="50">
        <f>IF(I166="","",COUNTIF($I$5:I166,I166))</f>
        <v/>
      </c>
      <c r="K166" s="50">
        <f>IF(P166="","",IFERROR(MATCH(P166,ListA_Combo,0)+4,""))</f>
        <v/>
      </c>
      <c r="L166" s="51">
        <f>IF(A166="","",IF(K166="","Unmatched",IF(ABS(C166-M166)&lt;=MAX(N(Tolerance),0),"Matched","Difference")))</f>
        <v/>
      </c>
      <c r="M166" s="52">
        <f>IF(K166="","",INDEX('List A'!$C$5:$C$204,K166-4))</f>
        <v/>
      </c>
      <c r="N166" s="52">
        <f>IF(K166="","",C166-M166)</f>
        <v/>
      </c>
      <c r="O166" s="53">
        <f>IF(OR(A166="",K166=""),"",IF(H166&lt;&gt;"","Manual pair",IF(D166&lt;&gt;"","Reference / ID",MatchMode)))</f>
        <v/>
      </c>
      <c r="P166" s="54">
        <f>IF(I166="","",I166&amp;"|"&amp;J166)</f>
        <v/>
      </c>
      <c r="Q166" s="54">
        <f>IF(L166="Matched",COUNTIF($L$5:L166,"Matched"),"")</f>
        <v/>
      </c>
      <c r="R166" s="54">
        <f>IF(L166="Unmatched",COUNTIF($L$5:L166,"Unmatched"),"")</f>
        <v/>
      </c>
      <c r="S166" s="54">
        <f>IF(L166="Difference",COUNTIF($L$5:L166,"Difference"),"")</f>
        <v/>
      </c>
      <c r="T166" s="55">
        <f>IF(L166="Difference",ABS(N166),0)</f>
        <v/>
      </c>
    </row>
    <row r="167" ht="17" customHeight="1">
      <c r="A167" s="86" t="n"/>
      <c r="B167" s="46" t="n"/>
      <c r="C167" s="47" t="n"/>
      <c r="D167" s="46" t="n"/>
      <c r="E167" s="46" t="n"/>
      <c r="F167" s="46" t="n"/>
      <c r="G167" s="48" t="n"/>
      <c r="H167" s="48" t="n"/>
      <c r="I167" s="49">
        <f>IF(A167="","",IF(H167&lt;&gt;"","M|"&amp;TRIM(H167),IF(AND(MatchMode="Reference / ID only",D167=""),"U|"&amp;ROW(),IF(D167&lt;&gt;"","R|"&amp;TRIM(D167),IF(MatchMode="Amount only","A|"&amp;TEXT(ROUND(C167,2),"0.00"),IF(MatchMode="Amount (tolerance)","T|"&amp;TEXT(ROUND(C167/MAX(N(Tolerance),0.0001),0),"0"),IF(MatchMode="Date + amount (tolerance)","DT|"&amp;TEXT(A167,"yyyy-mm-dd")&amp;"|"&amp;TEXT(ROUND(C167/MAX(N(Tolerance),0.0001),0),"0"),IF(MatchMode="Description (exact)","S|"&amp;LOWER(TRIM(B167)),IF(MatchMode="Reference / ID only","U|"&amp;ROW(),"DA|"&amp;TEXT(A167,"yyyy-mm-dd")&amp;"|"&amp;TEXT(ROUND(C167,2),"0.00"))))))))))</f>
        <v/>
      </c>
      <c r="J167" s="50">
        <f>IF(I167="","",COUNTIF($I$5:I167,I167))</f>
        <v/>
      </c>
      <c r="K167" s="50">
        <f>IF(P167="","",IFERROR(MATCH(P167,ListA_Combo,0)+4,""))</f>
        <v/>
      </c>
      <c r="L167" s="51">
        <f>IF(A167="","",IF(K167="","Unmatched",IF(ABS(C167-M167)&lt;=MAX(N(Tolerance),0),"Matched","Difference")))</f>
        <v/>
      </c>
      <c r="M167" s="52">
        <f>IF(K167="","",INDEX('List A'!$C$5:$C$204,K167-4))</f>
        <v/>
      </c>
      <c r="N167" s="52">
        <f>IF(K167="","",C167-M167)</f>
        <v/>
      </c>
      <c r="O167" s="53">
        <f>IF(OR(A167="",K167=""),"",IF(H167&lt;&gt;"","Manual pair",IF(D167&lt;&gt;"","Reference / ID",MatchMode)))</f>
        <v/>
      </c>
      <c r="P167" s="54">
        <f>IF(I167="","",I167&amp;"|"&amp;J167)</f>
        <v/>
      </c>
      <c r="Q167" s="54">
        <f>IF(L167="Matched",COUNTIF($L$5:L167,"Matched"),"")</f>
        <v/>
      </c>
      <c r="R167" s="54">
        <f>IF(L167="Unmatched",COUNTIF($L$5:L167,"Unmatched"),"")</f>
        <v/>
      </c>
      <c r="S167" s="54">
        <f>IF(L167="Difference",COUNTIF($L$5:L167,"Difference"),"")</f>
        <v/>
      </c>
      <c r="T167" s="55">
        <f>IF(L167="Difference",ABS(N167),0)</f>
        <v/>
      </c>
    </row>
    <row r="168" ht="17" customHeight="1">
      <c r="A168" s="86" t="n"/>
      <c r="B168" s="46" t="n"/>
      <c r="C168" s="47" t="n"/>
      <c r="D168" s="46" t="n"/>
      <c r="E168" s="46" t="n"/>
      <c r="F168" s="46" t="n"/>
      <c r="G168" s="48" t="n"/>
      <c r="H168" s="48" t="n"/>
      <c r="I168" s="49">
        <f>IF(A168="","",IF(H168&lt;&gt;"","M|"&amp;TRIM(H168),IF(AND(MatchMode="Reference / ID only",D168=""),"U|"&amp;ROW(),IF(D168&lt;&gt;"","R|"&amp;TRIM(D168),IF(MatchMode="Amount only","A|"&amp;TEXT(ROUND(C168,2),"0.00"),IF(MatchMode="Amount (tolerance)","T|"&amp;TEXT(ROUND(C168/MAX(N(Tolerance),0.0001),0),"0"),IF(MatchMode="Date + amount (tolerance)","DT|"&amp;TEXT(A168,"yyyy-mm-dd")&amp;"|"&amp;TEXT(ROUND(C168/MAX(N(Tolerance),0.0001),0),"0"),IF(MatchMode="Description (exact)","S|"&amp;LOWER(TRIM(B168)),IF(MatchMode="Reference / ID only","U|"&amp;ROW(),"DA|"&amp;TEXT(A168,"yyyy-mm-dd")&amp;"|"&amp;TEXT(ROUND(C168,2),"0.00"))))))))))</f>
        <v/>
      </c>
      <c r="J168" s="50">
        <f>IF(I168="","",COUNTIF($I$5:I168,I168))</f>
        <v/>
      </c>
      <c r="K168" s="50">
        <f>IF(P168="","",IFERROR(MATCH(P168,ListA_Combo,0)+4,""))</f>
        <v/>
      </c>
      <c r="L168" s="51">
        <f>IF(A168="","",IF(K168="","Unmatched",IF(ABS(C168-M168)&lt;=MAX(N(Tolerance),0),"Matched","Difference")))</f>
        <v/>
      </c>
      <c r="M168" s="52">
        <f>IF(K168="","",INDEX('List A'!$C$5:$C$204,K168-4))</f>
        <v/>
      </c>
      <c r="N168" s="52">
        <f>IF(K168="","",C168-M168)</f>
        <v/>
      </c>
      <c r="O168" s="53">
        <f>IF(OR(A168="",K168=""),"",IF(H168&lt;&gt;"","Manual pair",IF(D168&lt;&gt;"","Reference / ID",MatchMode)))</f>
        <v/>
      </c>
      <c r="P168" s="54">
        <f>IF(I168="","",I168&amp;"|"&amp;J168)</f>
        <v/>
      </c>
      <c r="Q168" s="54">
        <f>IF(L168="Matched",COUNTIF($L$5:L168,"Matched"),"")</f>
        <v/>
      </c>
      <c r="R168" s="54">
        <f>IF(L168="Unmatched",COUNTIF($L$5:L168,"Unmatched"),"")</f>
        <v/>
      </c>
      <c r="S168" s="54">
        <f>IF(L168="Difference",COUNTIF($L$5:L168,"Difference"),"")</f>
        <v/>
      </c>
      <c r="T168" s="55">
        <f>IF(L168="Difference",ABS(N168),0)</f>
        <v/>
      </c>
    </row>
    <row r="169" ht="17" customHeight="1">
      <c r="A169" s="86" t="n"/>
      <c r="B169" s="46" t="n"/>
      <c r="C169" s="47" t="n"/>
      <c r="D169" s="46" t="n"/>
      <c r="E169" s="46" t="n"/>
      <c r="F169" s="46" t="n"/>
      <c r="G169" s="48" t="n"/>
      <c r="H169" s="48" t="n"/>
      <c r="I169" s="49">
        <f>IF(A169="","",IF(H169&lt;&gt;"","M|"&amp;TRIM(H169),IF(AND(MatchMode="Reference / ID only",D169=""),"U|"&amp;ROW(),IF(D169&lt;&gt;"","R|"&amp;TRIM(D169),IF(MatchMode="Amount only","A|"&amp;TEXT(ROUND(C169,2),"0.00"),IF(MatchMode="Amount (tolerance)","T|"&amp;TEXT(ROUND(C169/MAX(N(Tolerance),0.0001),0),"0"),IF(MatchMode="Date + amount (tolerance)","DT|"&amp;TEXT(A169,"yyyy-mm-dd")&amp;"|"&amp;TEXT(ROUND(C169/MAX(N(Tolerance),0.0001),0),"0"),IF(MatchMode="Description (exact)","S|"&amp;LOWER(TRIM(B169)),IF(MatchMode="Reference / ID only","U|"&amp;ROW(),"DA|"&amp;TEXT(A169,"yyyy-mm-dd")&amp;"|"&amp;TEXT(ROUND(C169,2),"0.00"))))))))))</f>
        <v/>
      </c>
      <c r="J169" s="50">
        <f>IF(I169="","",COUNTIF($I$5:I169,I169))</f>
        <v/>
      </c>
      <c r="K169" s="50">
        <f>IF(P169="","",IFERROR(MATCH(P169,ListA_Combo,0)+4,""))</f>
        <v/>
      </c>
      <c r="L169" s="51">
        <f>IF(A169="","",IF(K169="","Unmatched",IF(ABS(C169-M169)&lt;=MAX(N(Tolerance),0),"Matched","Difference")))</f>
        <v/>
      </c>
      <c r="M169" s="52">
        <f>IF(K169="","",INDEX('List A'!$C$5:$C$204,K169-4))</f>
        <v/>
      </c>
      <c r="N169" s="52">
        <f>IF(K169="","",C169-M169)</f>
        <v/>
      </c>
      <c r="O169" s="53">
        <f>IF(OR(A169="",K169=""),"",IF(H169&lt;&gt;"","Manual pair",IF(D169&lt;&gt;"","Reference / ID",MatchMode)))</f>
        <v/>
      </c>
      <c r="P169" s="54">
        <f>IF(I169="","",I169&amp;"|"&amp;J169)</f>
        <v/>
      </c>
      <c r="Q169" s="54">
        <f>IF(L169="Matched",COUNTIF($L$5:L169,"Matched"),"")</f>
        <v/>
      </c>
      <c r="R169" s="54">
        <f>IF(L169="Unmatched",COUNTIF($L$5:L169,"Unmatched"),"")</f>
        <v/>
      </c>
      <c r="S169" s="54">
        <f>IF(L169="Difference",COUNTIF($L$5:L169,"Difference"),"")</f>
        <v/>
      </c>
      <c r="T169" s="55">
        <f>IF(L169="Difference",ABS(N169),0)</f>
        <v/>
      </c>
    </row>
    <row r="170" ht="17" customHeight="1">
      <c r="A170" s="86" t="n"/>
      <c r="B170" s="46" t="n"/>
      <c r="C170" s="47" t="n"/>
      <c r="D170" s="46" t="n"/>
      <c r="E170" s="46" t="n"/>
      <c r="F170" s="46" t="n"/>
      <c r="G170" s="48" t="n"/>
      <c r="H170" s="48" t="n"/>
      <c r="I170" s="49">
        <f>IF(A170="","",IF(H170&lt;&gt;"","M|"&amp;TRIM(H170),IF(AND(MatchMode="Reference / ID only",D170=""),"U|"&amp;ROW(),IF(D170&lt;&gt;"","R|"&amp;TRIM(D170),IF(MatchMode="Amount only","A|"&amp;TEXT(ROUND(C170,2),"0.00"),IF(MatchMode="Amount (tolerance)","T|"&amp;TEXT(ROUND(C170/MAX(N(Tolerance),0.0001),0),"0"),IF(MatchMode="Date + amount (tolerance)","DT|"&amp;TEXT(A170,"yyyy-mm-dd")&amp;"|"&amp;TEXT(ROUND(C170/MAX(N(Tolerance),0.0001),0),"0"),IF(MatchMode="Description (exact)","S|"&amp;LOWER(TRIM(B170)),IF(MatchMode="Reference / ID only","U|"&amp;ROW(),"DA|"&amp;TEXT(A170,"yyyy-mm-dd")&amp;"|"&amp;TEXT(ROUND(C170,2),"0.00"))))))))))</f>
        <v/>
      </c>
      <c r="J170" s="50">
        <f>IF(I170="","",COUNTIF($I$5:I170,I170))</f>
        <v/>
      </c>
      <c r="K170" s="50">
        <f>IF(P170="","",IFERROR(MATCH(P170,ListA_Combo,0)+4,""))</f>
        <v/>
      </c>
      <c r="L170" s="51">
        <f>IF(A170="","",IF(K170="","Unmatched",IF(ABS(C170-M170)&lt;=MAX(N(Tolerance),0),"Matched","Difference")))</f>
        <v/>
      </c>
      <c r="M170" s="52">
        <f>IF(K170="","",INDEX('List A'!$C$5:$C$204,K170-4))</f>
        <v/>
      </c>
      <c r="N170" s="52">
        <f>IF(K170="","",C170-M170)</f>
        <v/>
      </c>
      <c r="O170" s="53">
        <f>IF(OR(A170="",K170=""),"",IF(H170&lt;&gt;"","Manual pair",IF(D170&lt;&gt;"","Reference / ID",MatchMode)))</f>
        <v/>
      </c>
      <c r="P170" s="54">
        <f>IF(I170="","",I170&amp;"|"&amp;J170)</f>
        <v/>
      </c>
      <c r="Q170" s="54">
        <f>IF(L170="Matched",COUNTIF($L$5:L170,"Matched"),"")</f>
        <v/>
      </c>
      <c r="R170" s="54">
        <f>IF(L170="Unmatched",COUNTIF($L$5:L170,"Unmatched"),"")</f>
        <v/>
      </c>
      <c r="S170" s="54">
        <f>IF(L170="Difference",COUNTIF($L$5:L170,"Difference"),"")</f>
        <v/>
      </c>
      <c r="T170" s="55">
        <f>IF(L170="Difference",ABS(N170),0)</f>
        <v/>
      </c>
    </row>
    <row r="171" ht="17" customHeight="1">
      <c r="A171" s="86" t="n"/>
      <c r="B171" s="46" t="n"/>
      <c r="C171" s="47" t="n"/>
      <c r="D171" s="46" t="n"/>
      <c r="E171" s="46" t="n"/>
      <c r="F171" s="46" t="n"/>
      <c r="G171" s="48" t="n"/>
      <c r="H171" s="48" t="n"/>
      <c r="I171" s="49">
        <f>IF(A171="","",IF(H171&lt;&gt;"","M|"&amp;TRIM(H171),IF(AND(MatchMode="Reference / ID only",D171=""),"U|"&amp;ROW(),IF(D171&lt;&gt;"","R|"&amp;TRIM(D171),IF(MatchMode="Amount only","A|"&amp;TEXT(ROUND(C171,2),"0.00"),IF(MatchMode="Amount (tolerance)","T|"&amp;TEXT(ROUND(C171/MAX(N(Tolerance),0.0001),0),"0"),IF(MatchMode="Date + amount (tolerance)","DT|"&amp;TEXT(A171,"yyyy-mm-dd")&amp;"|"&amp;TEXT(ROUND(C171/MAX(N(Tolerance),0.0001),0),"0"),IF(MatchMode="Description (exact)","S|"&amp;LOWER(TRIM(B171)),IF(MatchMode="Reference / ID only","U|"&amp;ROW(),"DA|"&amp;TEXT(A171,"yyyy-mm-dd")&amp;"|"&amp;TEXT(ROUND(C171,2),"0.00"))))))))))</f>
        <v/>
      </c>
      <c r="J171" s="50">
        <f>IF(I171="","",COUNTIF($I$5:I171,I171))</f>
        <v/>
      </c>
      <c r="K171" s="50">
        <f>IF(P171="","",IFERROR(MATCH(P171,ListA_Combo,0)+4,""))</f>
        <v/>
      </c>
      <c r="L171" s="51">
        <f>IF(A171="","",IF(K171="","Unmatched",IF(ABS(C171-M171)&lt;=MAX(N(Tolerance),0),"Matched","Difference")))</f>
        <v/>
      </c>
      <c r="M171" s="52">
        <f>IF(K171="","",INDEX('List A'!$C$5:$C$204,K171-4))</f>
        <v/>
      </c>
      <c r="N171" s="52">
        <f>IF(K171="","",C171-M171)</f>
        <v/>
      </c>
      <c r="O171" s="53">
        <f>IF(OR(A171="",K171=""),"",IF(H171&lt;&gt;"","Manual pair",IF(D171&lt;&gt;"","Reference / ID",MatchMode)))</f>
        <v/>
      </c>
      <c r="P171" s="54">
        <f>IF(I171="","",I171&amp;"|"&amp;J171)</f>
        <v/>
      </c>
      <c r="Q171" s="54">
        <f>IF(L171="Matched",COUNTIF($L$5:L171,"Matched"),"")</f>
        <v/>
      </c>
      <c r="R171" s="54">
        <f>IF(L171="Unmatched",COUNTIF($L$5:L171,"Unmatched"),"")</f>
        <v/>
      </c>
      <c r="S171" s="54">
        <f>IF(L171="Difference",COUNTIF($L$5:L171,"Difference"),"")</f>
        <v/>
      </c>
      <c r="T171" s="55">
        <f>IF(L171="Difference",ABS(N171),0)</f>
        <v/>
      </c>
    </row>
    <row r="172" ht="17" customHeight="1">
      <c r="A172" s="86" t="n"/>
      <c r="B172" s="46" t="n"/>
      <c r="C172" s="47" t="n"/>
      <c r="D172" s="46" t="n"/>
      <c r="E172" s="46" t="n"/>
      <c r="F172" s="46" t="n"/>
      <c r="G172" s="48" t="n"/>
      <c r="H172" s="48" t="n"/>
      <c r="I172" s="49">
        <f>IF(A172="","",IF(H172&lt;&gt;"","M|"&amp;TRIM(H172),IF(AND(MatchMode="Reference / ID only",D172=""),"U|"&amp;ROW(),IF(D172&lt;&gt;"","R|"&amp;TRIM(D172),IF(MatchMode="Amount only","A|"&amp;TEXT(ROUND(C172,2),"0.00"),IF(MatchMode="Amount (tolerance)","T|"&amp;TEXT(ROUND(C172/MAX(N(Tolerance),0.0001),0),"0"),IF(MatchMode="Date + amount (tolerance)","DT|"&amp;TEXT(A172,"yyyy-mm-dd")&amp;"|"&amp;TEXT(ROUND(C172/MAX(N(Tolerance),0.0001),0),"0"),IF(MatchMode="Description (exact)","S|"&amp;LOWER(TRIM(B172)),IF(MatchMode="Reference / ID only","U|"&amp;ROW(),"DA|"&amp;TEXT(A172,"yyyy-mm-dd")&amp;"|"&amp;TEXT(ROUND(C172,2),"0.00"))))))))))</f>
        <v/>
      </c>
      <c r="J172" s="50">
        <f>IF(I172="","",COUNTIF($I$5:I172,I172))</f>
        <v/>
      </c>
      <c r="K172" s="50">
        <f>IF(P172="","",IFERROR(MATCH(P172,ListA_Combo,0)+4,""))</f>
        <v/>
      </c>
      <c r="L172" s="51">
        <f>IF(A172="","",IF(K172="","Unmatched",IF(ABS(C172-M172)&lt;=MAX(N(Tolerance),0),"Matched","Difference")))</f>
        <v/>
      </c>
      <c r="M172" s="52">
        <f>IF(K172="","",INDEX('List A'!$C$5:$C$204,K172-4))</f>
        <v/>
      </c>
      <c r="N172" s="52">
        <f>IF(K172="","",C172-M172)</f>
        <v/>
      </c>
      <c r="O172" s="53">
        <f>IF(OR(A172="",K172=""),"",IF(H172&lt;&gt;"","Manual pair",IF(D172&lt;&gt;"","Reference / ID",MatchMode)))</f>
        <v/>
      </c>
      <c r="P172" s="54">
        <f>IF(I172="","",I172&amp;"|"&amp;J172)</f>
        <v/>
      </c>
      <c r="Q172" s="54">
        <f>IF(L172="Matched",COUNTIF($L$5:L172,"Matched"),"")</f>
        <v/>
      </c>
      <c r="R172" s="54">
        <f>IF(L172="Unmatched",COUNTIF($L$5:L172,"Unmatched"),"")</f>
        <v/>
      </c>
      <c r="S172" s="54">
        <f>IF(L172="Difference",COUNTIF($L$5:L172,"Difference"),"")</f>
        <v/>
      </c>
      <c r="T172" s="55">
        <f>IF(L172="Difference",ABS(N172),0)</f>
        <v/>
      </c>
    </row>
    <row r="173" ht="17" customHeight="1">
      <c r="A173" s="86" t="n"/>
      <c r="B173" s="46" t="n"/>
      <c r="C173" s="47" t="n"/>
      <c r="D173" s="46" t="n"/>
      <c r="E173" s="46" t="n"/>
      <c r="F173" s="46" t="n"/>
      <c r="G173" s="48" t="n"/>
      <c r="H173" s="48" t="n"/>
      <c r="I173" s="49">
        <f>IF(A173="","",IF(H173&lt;&gt;"","M|"&amp;TRIM(H173),IF(AND(MatchMode="Reference / ID only",D173=""),"U|"&amp;ROW(),IF(D173&lt;&gt;"","R|"&amp;TRIM(D173),IF(MatchMode="Amount only","A|"&amp;TEXT(ROUND(C173,2),"0.00"),IF(MatchMode="Amount (tolerance)","T|"&amp;TEXT(ROUND(C173/MAX(N(Tolerance),0.0001),0),"0"),IF(MatchMode="Date + amount (tolerance)","DT|"&amp;TEXT(A173,"yyyy-mm-dd")&amp;"|"&amp;TEXT(ROUND(C173/MAX(N(Tolerance),0.0001),0),"0"),IF(MatchMode="Description (exact)","S|"&amp;LOWER(TRIM(B173)),IF(MatchMode="Reference / ID only","U|"&amp;ROW(),"DA|"&amp;TEXT(A173,"yyyy-mm-dd")&amp;"|"&amp;TEXT(ROUND(C173,2),"0.00"))))))))))</f>
        <v/>
      </c>
      <c r="J173" s="50">
        <f>IF(I173="","",COUNTIF($I$5:I173,I173))</f>
        <v/>
      </c>
      <c r="K173" s="50">
        <f>IF(P173="","",IFERROR(MATCH(P173,ListA_Combo,0)+4,""))</f>
        <v/>
      </c>
      <c r="L173" s="51">
        <f>IF(A173="","",IF(K173="","Unmatched",IF(ABS(C173-M173)&lt;=MAX(N(Tolerance),0),"Matched","Difference")))</f>
        <v/>
      </c>
      <c r="M173" s="52">
        <f>IF(K173="","",INDEX('List A'!$C$5:$C$204,K173-4))</f>
        <v/>
      </c>
      <c r="N173" s="52">
        <f>IF(K173="","",C173-M173)</f>
        <v/>
      </c>
      <c r="O173" s="53">
        <f>IF(OR(A173="",K173=""),"",IF(H173&lt;&gt;"","Manual pair",IF(D173&lt;&gt;"","Reference / ID",MatchMode)))</f>
        <v/>
      </c>
      <c r="P173" s="54">
        <f>IF(I173="","",I173&amp;"|"&amp;J173)</f>
        <v/>
      </c>
      <c r="Q173" s="54">
        <f>IF(L173="Matched",COUNTIF($L$5:L173,"Matched"),"")</f>
        <v/>
      </c>
      <c r="R173" s="54">
        <f>IF(L173="Unmatched",COUNTIF($L$5:L173,"Unmatched"),"")</f>
        <v/>
      </c>
      <c r="S173" s="54">
        <f>IF(L173="Difference",COUNTIF($L$5:L173,"Difference"),"")</f>
        <v/>
      </c>
      <c r="T173" s="55">
        <f>IF(L173="Difference",ABS(N173),0)</f>
        <v/>
      </c>
    </row>
    <row r="174" ht="17" customHeight="1">
      <c r="A174" s="86" t="n"/>
      <c r="B174" s="46" t="n"/>
      <c r="C174" s="47" t="n"/>
      <c r="D174" s="46" t="n"/>
      <c r="E174" s="46" t="n"/>
      <c r="F174" s="46" t="n"/>
      <c r="G174" s="48" t="n"/>
      <c r="H174" s="48" t="n"/>
      <c r="I174" s="49">
        <f>IF(A174="","",IF(H174&lt;&gt;"","M|"&amp;TRIM(H174),IF(AND(MatchMode="Reference / ID only",D174=""),"U|"&amp;ROW(),IF(D174&lt;&gt;"","R|"&amp;TRIM(D174),IF(MatchMode="Amount only","A|"&amp;TEXT(ROUND(C174,2),"0.00"),IF(MatchMode="Amount (tolerance)","T|"&amp;TEXT(ROUND(C174/MAX(N(Tolerance),0.0001),0),"0"),IF(MatchMode="Date + amount (tolerance)","DT|"&amp;TEXT(A174,"yyyy-mm-dd")&amp;"|"&amp;TEXT(ROUND(C174/MAX(N(Tolerance),0.0001),0),"0"),IF(MatchMode="Description (exact)","S|"&amp;LOWER(TRIM(B174)),IF(MatchMode="Reference / ID only","U|"&amp;ROW(),"DA|"&amp;TEXT(A174,"yyyy-mm-dd")&amp;"|"&amp;TEXT(ROUND(C174,2),"0.00"))))))))))</f>
        <v/>
      </c>
      <c r="J174" s="50">
        <f>IF(I174="","",COUNTIF($I$5:I174,I174))</f>
        <v/>
      </c>
      <c r="K174" s="50">
        <f>IF(P174="","",IFERROR(MATCH(P174,ListA_Combo,0)+4,""))</f>
        <v/>
      </c>
      <c r="L174" s="51">
        <f>IF(A174="","",IF(K174="","Unmatched",IF(ABS(C174-M174)&lt;=MAX(N(Tolerance),0),"Matched","Difference")))</f>
        <v/>
      </c>
      <c r="M174" s="52">
        <f>IF(K174="","",INDEX('List A'!$C$5:$C$204,K174-4))</f>
        <v/>
      </c>
      <c r="N174" s="52">
        <f>IF(K174="","",C174-M174)</f>
        <v/>
      </c>
      <c r="O174" s="53">
        <f>IF(OR(A174="",K174=""),"",IF(H174&lt;&gt;"","Manual pair",IF(D174&lt;&gt;"","Reference / ID",MatchMode)))</f>
        <v/>
      </c>
      <c r="P174" s="54">
        <f>IF(I174="","",I174&amp;"|"&amp;J174)</f>
        <v/>
      </c>
      <c r="Q174" s="54">
        <f>IF(L174="Matched",COUNTIF($L$5:L174,"Matched"),"")</f>
        <v/>
      </c>
      <c r="R174" s="54">
        <f>IF(L174="Unmatched",COUNTIF($L$5:L174,"Unmatched"),"")</f>
        <v/>
      </c>
      <c r="S174" s="54">
        <f>IF(L174="Difference",COUNTIF($L$5:L174,"Difference"),"")</f>
        <v/>
      </c>
      <c r="T174" s="55">
        <f>IF(L174="Difference",ABS(N174),0)</f>
        <v/>
      </c>
    </row>
    <row r="175" ht="17" customHeight="1">
      <c r="A175" s="86" t="n"/>
      <c r="B175" s="46" t="n"/>
      <c r="C175" s="47" t="n"/>
      <c r="D175" s="46" t="n"/>
      <c r="E175" s="46" t="n"/>
      <c r="F175" s="46" t="n"/>
      <c r="G175" s="48" t="n"/>
      <c r="H175" s="48" t="n"/>
      <c r="I175" s="49">
        <f>IF(A175="","",IF(H175&lt;&gt;"","M|"&amp;TRIM(H175),IF(AND(MatchMode="Reference / ID only",D175=""),"U|"&amp;ROW(),IF(D175&lt;&gt;"","R|"&amp;TRIM(D175),IF(MatchMode="Amount only","A|"&amp;TEXT(ROUND(C175,2),"0.00"),IF(MatchMode="Amount (tolerance)","T|"&amp;TEXT(ROUND(C175/MAX(N(Tolerance),0.0001),0),"0"),IF(MatchMode="Date + amount (tolerance)","DT|"&amp;TEXT(A175,"yyyy-mm-dd")&amp;"|"&amp;TEXT(ROUND(C175/MAX(N(Tolerance),0.0001),0),"0"),IF(MatchMode="Description (exact)","S|"&amp;LOWER(TRIM(B175)),IF(MatchMode="Reference / ID only","U|"&amp;ROW(),"DA|"&amp;TEXT(A175,"yyyy-mm-dd")&amp;"|"&amp;TEXT(ROUND(C175,2),"0.00"))))))))))</f>
        <v/>
      </c>
      <c r="J175" s="50">
        <f>IF(I175="","",COUNTIF($I$5:I175,I175))</f>
        <v/>
      </c>
      <c r="K175" s="50">
        <f>IF(P175="","",IFERROR(MATCH(P175,ListA_Combo,0)+4,""))</f>
        <v/>
      </c>
      <c r="L175" s="51">
        <f>IF(A175="","",IF(K175="","Unmatched",IF(ABS(C175-M175)&lt;=MAX(N(Tolerance),0),"Matched","Difference")))</f>
        <v/>
      </c>
      <c r="M175" s="52">
        <f>IF(K175="","",INDEX('List A'!$C$5:$C$204,K175-4))</f>
        <v/>
      </c>
      <c r="N175" s="52">
        <f>IF(K175="","",C175-M175)</f>
        <v/>
      </c>
      <c r="O175" s="53">
        <f>IF(OR(A175="",K175=""),"",IF(H175&lt;&gt;"","Manual pair",IF(D175&lt;&gt;"","Reference / ID",MatchMode)))</f>
        <v/>
      </c>
      <c r="P175" s="54">
        <f>IF(I175="","",I175&amp;"|"&amp;J175)</f>
        <v/>
      </c>
      <c r="Q175" s="54">
        <f>IF(L175="Matched",COUNTIF($L$5:L175,"Matched"),"")</f>
        <v/>
      </c>
      <c r="R175" s="54">
        <f>IF(L175="Unmatched",COUNTIF($L$5:L175,"Unmatched"),"")</f>
        <v/>
      </c>
      <c r="S175" s="54">
        <f>IF(L175="Difference",COUNTIF($L$5:L175,"Difference"),"")</f>
        <v/>
      </c>
      <c r="T175" s="55">
        <f>IF(L175="Difference",ABS(N175),0)</f>
        <v/>
      </c>
    </row>
    <row r="176" ht="17" customHeight="1">
      <c r="A176" s="86" t="n"/>
      <c r="B176" s="46" t="n"/>
      <c r="C176" s="47" t="n"/>
      <c r="D176" s="46" t="n"/>
      <c r="E176" s="46" t="n"/>
      <c r="F176" s="46" t="n"/>
      <c r="G176" s="48" t="n"/>
      <c r="H176" s="48" t="n"/>
      <c r="I176" s="49">
        <f>IF(A176="","",IF(H176&lt;&gt;"","M|"&amp;TRIM(H176),IF(AND(MatchMode="Reference / ID only",D176=""),"U|"&amp;ROW(),IF(D176&lt;&gt;"","R|"&amp;TRIM(D176),IF(MatchMode="Amount only","A|"&amp;TEXT(ROUND(C176,2),"0.00"),IF(MatchMode="Amount (tolerance)","T|"&amp;TEXT(ROUND(C176/MAX(N(Tolerance),0.0001),0),"0"),IF(MatchMode="Date + amount (tolerance)","DT|"&amp;TEXT(A176,"yyyy-mm-dd")&amp;"|"&amp;TEXT(ROUND(C176/MAX(N(Tolerance),0.0001),0),"0"),IF(MatchMode="Description (exact)","S|"&amp;LOWER(TRIM(B176)),IF(MatchMode="Reference / ID only","U|"&amp;ROW(),"DA|"&amp;TEXT(A176,"yyyy-mm-dd")&amp;"|"&amp;TEXT(ROUND(C176,2),"0.00"))))))))))</f>
        <v/>
      </c>
      <c r="J176" s="50">
        <f>IF(I176="","",COUNTIF($I$5:I176,I176))</f>
        <v/>
      </c>
      <c r="K176" s="50">
        <f>IF(P176="","",IFERROR(MATCH(P176,ListA_Combo,0)+4,""))</f>
        <v/>
      </c>
      <c r="L176" s="51">
        <f>IF(A176="","",IF(K176="","Unmatched",IF(ABS(C176-M176)&lt;=MAX(N(Tolerance),0),"Matched","Difference")))</f>
        <v/>
      </c>
      <c r="M176" s="52">
        <f>IF(K176="","",INDEX('List A'!$C$5:$C$204,K176-4))</f>
        <v/>
      </c>
      <c r="N176" s="52">
        <f>IF(K176="","",C176-M176)</f>
        <v/>
      </c>
      <c r="O176" s="53">
        <f>IF(OR(A176="",K176=""),"",IF(H176&lt;&gt;"","Manual pair",IF(D176&lt;&gt;"","Reference / ID",MatchMode)))</f>
        <v/>
      </c>
      <c r="P176" s="54">
        <f>IF(I176="","",I176&amp;"|"&amp;J176)</f>
        <v/>
      </c>
      <c r="Q176" s="54">
        <f>IF(L176="Matched",COUNTIF($L$5:L176,"Matched"),"")</f>
        <v/>
      </c>
      <c r="R176" s="54">
        <f>IF(L176="Unmatched",COUNTIF($L$5:L176,"Unmatched"),"")</f>
        <v/>
      </c>
      <c r="S176" s="54">
        <f>IF(L176="Difference",COUNTIF($L$5:L176,"Difference"),"")</f>
        <v/>
      </c>
      <c r="T176" s="55">
        <f>IF(L176="Difference",ABS(N176),0)</f>
        <v/>
      </c>
    </row>
    <row r="177" ht="17" customHeight="1">
      <c r="A177" s="86" t="n"/>
      <c r="B177" s="46" t="n"/>
      <c r="C177" s="47" t="n"/>
      <c r="D177" s="46" t="n"/>
      <c r="E177" s="46" t="n"/>
      <c r="F177" s="46" t="n"/>
      <c r="G177" s="48" t="n"/>
      <c r="H177" s="48" t="n"/>
      <c r="I177" s="49">
        <f>IF(A177="","",IF(H177&lt;&gt;"","M|"&amp;TRIM(H177),IF(AND(MatchMode="Reference / ID only",D177=""),"U|"&amp;ROW(),IF(D177&lt;&gt;"","R|"&amp;TRIM(D177),IF(MatchMode="Amount only","A|"&amp;TEXT(ROUND(C177,2),"0.00"),IF(MatchMode="Amount (tolerance)","T|"&amp;TEXT(ROUND(C177/MAX(N(Tolerance),0.0001),0),"0"),IF(MatchMode="Date + amount (tolerance)","DT|"&amp;TEXT(A177,"yyyy-mm-dd")&amp;"|"&amp;TEXT(ROUND(C177/MAX(N(Tolerance),0.0001),0),"0"),IF(MatchMode="Description (exact)","S|"&amp;LOWER(TRIM(B177)),IF(MatchMode="Reference / ID only","U|"&amp;ROW(),"DA|"&amp;TEXT(A177,"yyyy-mm-dd")&amp;"|"&amp;TEXT(ROUND(C177,2),"0.00"))))))))))</f>
        <v/>
      </c>
      <c r="J177" s="50">
        <f>IF(I177="","",COUNTIF($I$5:I177,I177))</f>
        <v/>
      </c>
      <c r="K177" s="50">
        <f>IF(P177="","",IFERROR(MATCH(P177,ListA_Combo,0)+4,""))</f>
        <v/>
      </c>
      <c r="L177" s="51">
        <f>IF(A177="","",IF(K177="","Unmatched",IF(ABS(C177-M177)&lt;=MAX(N(Tolerance),0),"Matched","Difference")))</f>
        <v/>
      </c>
      <c r="M177" s="52">
        <f>IF(K177="","",INDEX('List A'!$C$5:$C$204,K177-4))</f>
        <v/>
      </c>
      <c r="N177" s="52">
        <f>IF(K177="","",C177-M177)</f>
        <v/>
      </c>
      <c r="O177" s="53">
        <f>IF(OR(A177="",K177=""),"",IF(H177&lt;&gt;"","Manual pair",IF(D177&lt;&gt;"","Reference / ID",MatchMode)))</f>
        <v/>
      </c>
      <c r="P177" s="54">
        <f>IF(I177="","",I177&amp;"|"&amp;J177)</f>
        <v/>
      </c>
      <c r="Q177" s="54">
        <f>IF(L177="Matched",COUNTIF($L$5:L177,"Matched"),"")</f>
        <v/>
      </c>
      <c r="R177" s="54">
        <f>IF(L177="Unmatched",COUNTIF($L$5:L177,"Unmatched"),"")</f>
        <v/>
      </c>
      <c r="S177" s="54">
        <f>IF(L177="Difference",COUNTIF($L$5:L177,"Difference"),"")</f>
        <v/>
      </c>
      <c r="T177" s="55">
        <f>IF(L177="Difference",ABS(N177),0)</f>
        <v/>
      </c>
    </row>
    <row r="178" ht="17" customHeight="1">
      <c r="A178" s="86" t="n"/>
      <c r="B178" s="46" t="n"/>
      <c r="C178" s="47" t="n"/>
      <c r="D178" s="46" t="n"/>
      <c r="E178" s="46" t="n"/>
      <c r="F178" s="46" t="n"/>
      <c r="G178" s="48" t="n"/>
      <c r="H178" s="48" t="n"/>
      <c r="I178" s="49">
        <f>IF(A178="","",IF(H178&lt;&gt;"","M|"&amp;TRIM(H178),IF(AND(MatchMode="Reference / ID only",D178=""),"U|"&amp;ROW(),IF(D178&lt;&gt;"","R|"&amp;TRIM(D178),IF(MatchMode="Amount only","A|"&amp;TEXT(ROUND(C178,2),"0.00"),IF(MatchMode="Amount (tolerance)","T|"&amp;TEXT(ROUND(C178/MAX(N(Tolerance),0.0001),0),"0"),IF(MatchMode="Date + amount (tolerance)","DT|"&amp;TEXT(A178,"yyyy-mm-dd")&amp;"|"&amp;TEXT(ROUND(C178/MAX(N(Tolerance),0.0001),0),"0"),IF(MatchMode="Description (exact)","S|"&amp;LOWER(TRIM(B178)),IF(MatchMode="Reference / ID only","U|"&amp;ROW(),"DA|"&amp;TEXT(A178,"yyyy-mm-dd")&amp;"|"&amp;TEXT(ROUND(C178,2),"0.00"))))))))))</f>
        <v/>
      </c>
      <c r="J178" s="50">
        <f>IF(I178="","",COUNTIF($I$5:I178,I178))</f>
        <v/>
      </c>
      <c r="K178" s="50">
        <f>IF(P178="","",IFERROR(MATCH(P178,ListA_Combo,0)+4,""))</f>
        <v/>
      </c>
      <c r="L178" s="51">
        <f>IF(A178="","",IF(K178="","Unmatched",IF(ABS(C178-M178)&lt;=MAX(N(Tolerance),0),"Matched","Difference")))</f>
        <v/>
      </c>
      <c r="M178" s="52">
        <f>IF(K178="","",INDEX('List A'!$C$5:$C$204,K178-4))</f>
        <v/>
      </c>
      <c r="N178" s="52">
        <f>IF(K178="","",C178-M178)</f>
        <v/>
      </c>
      <c r="O178" s="53">
        <f>IF(OR(A178="",K178=""),"",IF(H178&lt;&gt;"","Manual pair",IF(D178&lt;&gt;"","Reference / ID",MatchMode)))</f>
        <v/>
      </c>
      <c r="P178" s="54">
        <f>IF(I178="","",I178&amp;"|"&amp;J178)</f>
        <v/>
      </c>
      <c r="Q178" s="54">
        <f>IF(L178="Matched",COUNTIF($L$5:L178,"Matched"),"")</f>
        <v/>
      </c>
      <c r="R178" s="54">
        <f>IF(L178="Unmatched",COUNTIF($L$5:L178,"Unmatched"),"")</f>
        <v/>
      </c>
      <c r="S178" s="54">
        <f>IF(L178="Difference",COUNTIF($L$5:L178,"Difference"),"")</f>
        <v/>
      </c>
      <c r="T178" s="55">
        <f>IF(L178="Difference",ABS(N178),0)</f>
        <v/>
      </c>
    </row>
    <row r="179" ht="17" customHeight="1">
      <c r="A179" s="86" t="n"/>
      <c r="B179" s="46" t="n"/>
      <c r="C179" s="47" t="n"/>
      <c r="D179" s="46" t="n"/>
      <c r="E179" s="46" t="n"/>
      <c r="F179" s="46" t="n"/>
      <c r="G179" s="48" t="n"/>
      <c r="H179" s="48" t="n"/>
      <c r="I179" s="49">
        <f>IF(A179="","",IF(H179&lt;&gt;"","M|"&amp;TRIM(H179),IF(AND(MatchMode="Reference / ID only",D179=""),"U|"&amp;ROW(),IF(D179&lt;&gt;"","R|"&amp;TRIM(D179),IF(MatchMode="Amount only","A|"&amp;TEXT(ROUND(C179,2),"0.00"),IF(MatchMode="Amount (tolerance)","T|"&amp;TEXT(ROUND(C179/MAX(N(Tolerance),0.0001),0),"0"),IF(MatchMode="Date + amount (tolerance)","DT|"&amp;TEXT(A179,"yyyy-mm-dd")&amp;"|"&amp;TEXT(ROUND(C179/MAX(N(Tolerance),0.0001),0),"0"),IF(MatchMode="Description (exact)","S|"&amp;LOWER(TRIM(B179)),IF(MatchMode="Reference / ID only","U|"&amp;ROW(),"DA|"&amp;TEXT(A179,"yyyy-mm-dd")&amp;"|"&amp;TEXT(ROUND(C179,2),"0.00"))))))))))</f>
        <v/>
      </c>
      <c r="J179" s="50">
        <f>IF(I179="","",COUNTIF($I$5:I179,I179))</f>
        <v/>
      </c>
      <c r="K179" s="50">
        <f>IF(P179="","",IFERROR(MATCH(P179,ListA_Combo,0)+4,""))</f>
        <v/>
      </c>
      <c r="L179" s="51">
        <f>IF(A179="","",IF(K179="","Unmatched",IF(ABS(C179-M179)&lt;=MAX(N(Tolerance),0),"Matched","Difference")))</f>
        <v/>
      </c>
      <c r="M179" s="52">
        <f>IF(K179="","",INDEX('List A'!$C$5:$C$204,K179-4))</f>
        <v/>
      </c>
      <c r="N179" s="52">
        <f>IF(K179="","",C179-M179)</f>
        <v/>
      </c>
      <c r="O179" s="53">
        <f>IF(OR(A179="",K179=""),"",IF(H179&lt;&gt;"","Manual pair",IF(D179&lt;&gt;"","Reference / ID",MatchMode)))</f>
        <v/>
      </c>
      <c r="P179" s="54">
        <f>IF(I179="","",I179&amp;"|"&amp;J179)</f>
        <v/>
      </c>
      <c r="Q179" s="54">
        <f>IF(L179="Matched",COUNTIF($L$5:L179,"Matched"),"")</f>
        <v/>
      </c>
      <c r="R179" s="54">
        <f>IF(L179="Unmatched",COUNTIF($L$5:L179,"Unmatched"),"")</f>
        <v/>
      </c>
      <c r="S179" s="54">
        <f>IF(L179="Difference",COUNTIF($L$5:L179,"Difference"),"")</f>
        <v/>
      </c>
      <c r="T179" s="55">
        <f>IF(L179="Difference",ABS(N179),0)</f>
        <v/>
      </c>
    </row>
    <row r="180" ht="17" customHeight="1">
      <c r="A180" s="86" t="n"/>
      <c r="B180" s="46" t="n"/>
      <c r="C180" s="47" t="n"/>
      <c r="D180" s="46" t="n"/>
      <c r="E180" s="46" t="n"/>
      <c r="F180" s="46" t="n"/>
      <c r="G180" s="48" t="n"/>
      <c r="H180" s="48" t="n"/>
      <c r="I180" s="49">
        <f>IF(A180="","",IF(H180&lt;&gt;"","M|"&amp;TRIM(H180),IF(AND(MatchMode="Reference / ID only",D180=""),"U|"&amp;ROW(),IF(D180&lt;&gt;"","R|"&amp;TRIM(D180),IF(MatchMode="Amount only","A|"&amp;TEXT(ROUND(C180,2),"0.00"),IF(MatchMode="Amount (tolerance)","T|"&amp;TEXT(ROUND(C180/MAX(N(Tolerance),0.0001),0),"0"),IF(MatchMode="Date + amount (tolerance)","DT|"&amp;TEXT(A180,"yyyy-mm-dd")&amp;"|"&amp;TEXT(ROUND(C180/MAX(N(Tolerance),0.0001),0),"0"),IF(MatchMode="Description (exact)","S|"&amp;LOWER(TRIM(B180)),IF(MatchMode="Reference / ID only","U|"&amp;ROW(),"DA|"&amp;TEXT(A180,"yyyy-mm-dd")&amp;"|"&amp;TEXT(ROUND(C180,2),"0.00"))))))))))</f>
        <v/>
      </c>
      <c r="J180" s="50">
        <f>IF(I180="","",COUNTIF($I$5:I180,I180))</f>
        <v/>
      </c>
      <c r="K180" s="50">
        <f>IF(P180="","",IFERROR(MATCH(P180,ListA_Combo,0)+4,""))</f>
        <v/>
      </c>
      <c r="L180" s="51">
        <f>IF(A180="","",IF(K180="","Unmatched",IF(ABS(C180-M180)&lt;=MAX(N(Tolerance),0),"Matched","Difference")))</f>
        <v/>
      </c>
      <c r="M180" s="52">
        <f>IF(K180="","",INDEX('List A'!$C$5:$C$204,K180-4))</f>
        <v/>
      </c>
      <c r="N180" s="52">
        <f>IF(K180="","",C180-M180)</f>
        <v/>
      </c>
      <c r="O180" s="53">
        <f>IF(OR(A180="",K180=""),"",IF(H180&lt;&gt;"","Manual pair",IF(D180&lt;&gt;"","Reference / ID",MatchMode)))</f>
        <v/>
      </c>
      <c r="P180" s="54">
        <f>IF(I180="","",I180&amp;"|"&amp;J180)</f>
        <v/>
      </c>
      <c r="Q180" s="54">
        <f>IF(L180="Matched",COUNTIF($L$5:L180,"Matched"),"")</f>
        <v/>
      </c>
      <c r="R180" s="54">
        <f>IF(L180="Unmatched",COUNTIF($L$5:L180,"Unmatched"),"")</f>
        <v/>
      </c>
      <c r="S180" s="54">
        <f>IF(L180="Difference",COUNTIF($L$5:L180,"Difference"),"")</f>
        <v/>
      </c>
      <c r="T180" s="55">
        <f>IF(L180="Difference",ABS(N180),0)</f>
        <v/>
      </c>
    </row>
    <row r="181" ht="17" customHeight="1">
      <c r="A181" s="86" t="n"/>
      <c r="B181" s="46" t="n"/>
      <c r="C181" s="47" t="n"/>
      <c r="D181" s="46" t="n"/>
      <c r="E181" s="46" t="n"/>
      <c r="F181" s="46" t="n"/>
      <c r="G181" s="48" t="n"/>
      <c r="H181" s="48" t="n"/>
      <c r="I181" s="49">
        <f>IF(A181="","",IF(H181&lt;&gt;"","M|"&amp;TRIM(H181),IF(AND(MatchMode="Reference / ID only",D181=""),"U|"&amp;ROW(),IF(D181&lt;&gt;"","R|"&amp;TRIM(D181),IF(MatchMode="Amount only","A|"&amp;TEXT(ROUND(C181,2),"0.00"),IF(MatchMode="Amount (tolerance)","T|"&amp;TEXT(ROUND(C181/MAX(N(Tolerance),0.0001),0),"0"),IF(MatchMode="Date + amount (tolerance)","DT|"&amp;TEXT(A181,"yyyy-mm-dd")&amp;"|"&amp;TEXT(ROUND(C181/MAX(N(Tolerance),0.0001),0),"0"),IF(MatchMode="Description (exact)","S|"&amp;LOWER(TRIM(B181)),IF(MatchMode="Reference / ID only","U|"&amp;ROW(),"DA|"&amp;TEXT(A181,"yyyy-mm-dd")&amp;"|"&amp;TEXT(ROUND(C181,2),"0.00"))))))))))</f>
        <v/>
      </c>
      <c r="J181" s="50">
        <f>IF(I181="","",COUNTIF($I$5:I181,I181))</f>
        <v/>
      </c>
      <c r="K181" s="50">
        <f>IF(P181="","",IFERROR(MATCH(P181,ListA_Combo,0)+4,""))</f>
        <v/>
      </c>
      <c r="L181" s="51">
        <f>IF(A181="","",IF(K181="","Unmatched",IF(ABS(C181-M181)&lt;=MAX(N(Tolerance),0),"Matched","Difference")))</f>
        <v/>
      </c>
      <c r="M181" s="52">
        <f>IF(K181="","",INDEX('List A'!$C$5:$C$204,K181-4))</f>
        <v/>
      </c>
      <c r="N181" s="52">
        <f>IF(K181="","",C181-M181)</f>
        <v/>
      </c>
      <c r="O181" s="53">
        <f>IF(OR(A181="",K181=""),"",IF(H181&lt;&gt;"","Manual pair",IF(D181&lt;&gt;"","Reference / ID",MatchMode)))</f>
        <v/>
      </c>
      <c r="P181" s="54">
        <f>IF(I181="","",I181&amp;"|"&amp;J181)</f>
        <v/>
      </c>
      <c r="Q181" s="54">
        <f>IF(L181="Matched",COUNTIF($L$5:L181,"Matched"),"")</f>
        <v/>
      </c>
      <c r="R181" s="54">
        <f>IF(L181="Unmatched",COUNTIF($L$5:L181,"Unmatched"),"")</f>
        <v/>
      </c>
      <c r="S181" s="54">
        <f>IF(L181="Difference",COUNTIF($L$5:L181,"Difference"),"")</f>
        <v/>
      </c>
      <c r="T181" s="55">
        <f>IF(L181="Difference",ABS(N181),0)</f>
        <v/>
      </c>
    </row>
    <row r="182" ht="17" customHeight="1">
      <c r="A182" s="86" t="n"/>
      <c r="B182" s="46" t="n"/>
      <c r="C182" s="47" t="n"/>
      <c r="D182" s="46" t="n"/>
      <c r="E182" s="46" t="n"/>
      <c r="F182" s="46" t="n"/>
      <c r="G182" s="48" t="n"/>
      <c r="H182" s="48" t="n"/>
      <c r="I182" s="49">
        <f>IF(A182="","",IF(H182&lt;&gt;"","M|"&amp;TRIM(H182),IF(AND(MatchMode="Reference / ID only",D182=""),"U|"&amp;ROW(),IF(D182&lt;&gt;"","R|"&amp;TRIM(D182),IF(MatchMode="Amount only","A|"&amp;TEXT(ROUND(C182,2),"0.00"),IF(MatchMode="Amount (tolerance)","T|"&amp;TEXT(ROUND(C182/MAX(N(Tolerance),0.0001),0),"0"),IF(MatchMode="Date + amount (tolerance)","DT|"&amp;TEXT(A182,"yyyy-mm-dd")&amp;"|"&amp;TEXT(ROUND(C182/MAX(N(Tolerance),0.0001),0),"0"),IF(MatchMode="Description (exact)","S|"&amp;LOWER(TRIM(B182)),IF(MatchMode="Reference / ID only","U|"&amp;ROW(),"DA|"&amp;TEXT(A182,"yyyy-mm-dd")&amp;"|"&amp;TEXT(ROUND(C182,2),"0.00"))))))))))</f>
        <v/>
      </c>
      <c r="J182" s="50">
        <f>IF(I182="","",COUNTIF($I$5:I182,I182))</f>
        <v/>
      </c>
      <c r="K182" s="50">
        <f>IF(P182="","",IFERROR(MATCH(P182,ListA_Combo,0)+4,""))</f>
        <v/>
      </c>
      <c r="L182" s="51">
        <f>IF(A182="","",IF(K182="","Unmatched",IF(ABS(C182-M182)&lt;=MAX(N(Tolerance),0),"Matched","Difference")))</f>
        <v/>
      </c>
      <c r="M182" s="52">
        <f>IF(K182="","",INDEX('List A'!$C$5:$C$204,K182-4))</f>
        <v/>
      </c>
      <c r="N182" s="52">
        <f>IF(K182="","",C182-M182)</f>
        <v/>
      </c>
      <c r="O182" s="53">
        <f>IF(OR(A182="",K182=""),"",IF(H182&lt;&gt;"","Manual pair",IF(D182&lt;&gt;"","Reference / ID",MatchMode)))</f>
        <v/>
      </c>
      <c r="P182" s="54">
        <f>IF(I182="","",I182&amp;"|"&amp;J182)</f>
        <v/>
      </c>
      <c r="Q182" s="54">
        <f>IF(L182="Matched",COUNTIF($L$5:L182,"Matched"),"")</f>
        <v/>
      </c>
      <c r="R182" s="54">
        <f>IF(L182="Unmatched",COUNTIF($L$5:L182,"Unmatched"),"")</f>
        <v/>
      </c>
      <c r="S182" s="54">
        <f>IF(L182="Difference",COUNTIF($L$5:L182,"Difference"),"")</f>
        <v/>
      </c>
      <c r="T182" s="55">
        <f>IF(L182="Difference",ABS(N182),0)</f>
        <v/>
      </c>
    </row>
    <row r="183" ht="17" customHeight="1">
      <c r="A183" s="86" t="n"/>
      <c r="B183" s="46" t="n"/>
      <c r="C183" s="47" t="n"/>
      <c r="D183" s="46" t="n"/>
      <c r="E183" s="46" t="n"/>
      <c r="F183" s="46" t="n"/>
      <c r="G183" s="48" t="n"/>
      <c r="H183" s="48" t="n"/>
      <c r="I183" s="49">
        <f>IF(A183="","",IF(H183&lt;&gt;"","M|"&amp;TRIM(H183),IF(AND(MatchMode="Reference / ID only",D183=""),"U|"&amp;ROW(),IF(D183&lt;&gt;"","R|"&amp;TRIM(D183),IF(MatchMode="Amount only","A|"&amp;TEXT(ROUND(C183,2),"0.00"),IF(MatchMode="Amount (tolerance)","T|"&amp;TEXT(ROUND(C183/MAX(N(Tolerance),0.0001),0),"0"),IF(MatchMode="Date + amount (tolerance)","DT|"&amp;TEXT(A183,"yyyy-mm-dd")&amp;"|"&amp;TEXT(ROUND(C183/MAX(N(Tolerance),0.0001),0),"0"),IF(MatchMode="Description (exact)","S|"&amp;LOWER(TRIM(B183)),IF(MatchMode="Reference / ID only","U|"&amp;ROW(),"DA|"&amp;TEXT(A183,"yyyy-mm-dd")&amp;"|"&amp;TEXT(ROUND(C183,2),"0.00"))))))))))</f>
        <v/>
      </c>
      <c r="J183" s="50">
        <f>IF(I183="","",COUNTIF($I$5:I183,I183))</f>
        <v/>
      </c>
      <c r="K183" s="50">
        <f>IF(P183="","",IFERROR(MATCH(P183,ListA_Combo,0)+4,""))</f>
        <v/>
      </c>
      <c r="L183" s="51">
        <f>IF(A183="","",IF(K183="","Unmatched",IF(ABS(C183-M183)&lt;=MAX(N(Tolerance),0),"Matched","Difference")))</f>
        <v/>
      </c>
      <c r="M183" s="52">
        <f>IF(K183="","",INDEX('List A'!$C$5:$C$204,K183-4))</f>
        <v/>
      </c>
      <c r="N183" s="52">
        <f>IF(K183="","",C183-M183)</f>
        <v/>
      </c>
      <c r="O183" s="53">
        <f>IF(OR(A183="",K183=""),"",IF(H183&lt;&gt;"","Manual pair",IF(D183&lt;&gt;"","Reference / ID",MatchMode)))</f>
        <v/>
      </c>
      <c r="P183" s="54">
        <f>IF(I183="","",I183&amp;"|"&amp;J183)</f>
        <v/>
      </c>
      <c r="Q183" s="54">
        <f>IF(L183="Matched",COUNTIF($L$5:L183,"Matched"),"")</f>
        <v/>
      </c>
      <c r="R183" s="54">
        <f>IF(L183="Unmatched",COUNTIF($L$5:L183,"Unmatched"),"")</f>
        <v/>
      </c>
      <c r="S183" s="54">
        <f>IF(L183="Difference",COUNTIF($L$5:L183,"Difference"),"")</f>
        <v/>
      </c>
      <c r="T183" s="55">
        <f>IF(L183="Difference",ABS(N183),0)</f>
        <v/>
      </c>
    </row>
    <row r="184" ht="17" customHeight="1">
      <c r="A184" s="86" t="n"/>
      <c r="B184" s="46" t="n"/>
      <c r="C184" s="47" t="n"/>
      <c r="D184" s="46" t="n"/>
      <c r="E184" s="46" t="n"/>
      <c r="F184" s="46" t="n"/>
      <c r="G184" s="48" t="n"/>
      <c r="H184" s="48" t="n"/>
      <c r="I184" s="49">
        <f>IF(A184="","",IF(H184&lt;&gt;"","M|"&amp;TRIM(H184),IF(AND(MatchMode="Reference / ID only",D184=""),"U|"&amp;ROW(),IF(D184&lt;&gt;"","R|"&amp;TRIM(D184),IF(MatchMode="Amount only","A|"&amp;TEXT(ROUND(C184,2),"0.00"),IF(MatchMode="Amount (tolerance)","T|"&amp;TEXT(ROUND(C184/MAX(N(Tolerance),0.0001),0),"0"),IF(MatchMode="Date + amount (tolerance)","DT|"&amp;TEXT(A184,"yyyy-mm-dd")&amp;"|"&amp;TEXT(ROUND(C184/MAX(N(Tolerance),0.0001),0),"0"),IF(MatchMode="Description (exact)","S|"&amp;LOWER(TRIM(B184)),IF(MatchMode="Reference / ID only","U|"&amp;ROW(),"DA|"&amp;TEXT(A184,"yyyy-mm-dd")&amp;"|"&amp;TEXT(ROUND(C184,2),"0.00"))))))))))</f>
        <v/>
      </c>
      <c r="J184" s="50">
        <f>IF(I184="","",COUNTIF($I$5:I184,I184))</f>
        <v/>
      </c>
      <c r="K184" s="50">
        <f>IF(P184="","",IFERROR(MATCH(P184,ListA_Combo,0)+4,""))</f>
        <v/>
      </c>
      <c r="L184" s="51">
        <f>IF(A184="","",IF(K184="","Unmatched",IF(ABS(C184-M184)&lt;=MAX(N(Tolerance),0),"Matched","Difference")))</f>
        <v/>
      </c>
      <c r="M184" s="52">
        <f>IF(K184="","",INDEX('List A'!$C$5:$C$204,K184-4))</f>
        <v/>
      </c>
      <c r="N184" s="52">
        <f>IF(K184="","",C184-M184)</f>
        <v/>
      </c>
      <c r="O184" s="53">
        <f>IF(OR(A184="",K184=""),"",IF(H184&lt;&gt;"","Manual pair",IF(D184&lt;&gt;"","Reference / ID",MatchMode)))</f>
        <v/>
      </c>
      <c r="P184" s="54">
        <f>IF(I184="","",I184&amp;"|"&amp;J184)</f>
        <v/>
      </c>
      <c r="Q184" s="54">
        <f>IF(L184="Matched",COUNTIF($L$5:L184,"Matched"),"")</f>
        <v/>
      </c>
      <c r="R184" s="54">
        <f>IF(L184="Unmatched",COUNTIF($L$5:L184,"Unmatched"),"")</f>
        <v/>
      </c>
      <c r="S184" s="54">
        <f>IF(L184="Difference",COUNTIF($L$5:L184,"Difference"),"")</f>
        <v/>
      </c>
      <c r="T184" s="55">
        <f>IF(L184="Difference",ABS(N184),0)</f>
        <v/>
      </c>
    </row>
    <row r="185" ht="17" customHeight="1">
      <c r="A185" s="86" t="n"/>
      <c r="B185" s="46" t="n"/>
      <c r="C185" s="47" t="n"/>
      <c r="D185" s="46" t="n"/>
      <c r="E185" s="46" t="n"/>
      <c r="F185" s="46" t="n"/>
      <c r="G185" s="48" t="n"/>
      <c r="H185" s="48" t="n"/>
      <c r="I185" s="49">
        <f>IF(A185="","",IF(H185&lt;&gt;"","M|"&amp;TRIM(H185),IF(AND(MatchMode="Reference / ID only",D185=""),"U|"&amp;ROW(),IF(D185&lt;&gt;"","R|"&amp;TRIM(D185),IF(MatchMode="Amount only","A|"&amp;TEXT(ROUND(C185,2),"0.00"),IF(MatchMode="Amount (tolerance)","T|"&amp;TEXT(ROUND(C185/MAX(N(Tolerance),0.0001),0),"0"),IF(MatchMode="Date + amount (tolerance)","DT|"&amp;TEXT(A185,"yyyy-mm-dd")&amp;"|"&amp;TEXT(ROUND(C185/MAX(N(Tolerance),0.0001),0),"0"),IF(MatchMode="Description (exact)","S|"&amp;LOWER(TRIM(B185)),IF(MatchMode="Reference / ID only","U|"&amp;ROW(),"DA|"&amp;TEXT(A185,"yyyy-mm-dd")&amp;"|"&amp;TEXT(ROUND(C185,2),"0.00"))))))))))</f>
        <v/>
      </c>
      <c r="J185" s="50">
        <f>IF(I185="","",COUNTIF($I$5:I185,I185))</f>
        <v/>
      </c>
      <c r="K185" s="50">
        <f>IF(P185="","",IFERROR(MATCH(P185,ListA_Combo,0)+4,""))</f>
        <v/>
      </c>
      <c r="L185" s="51">
        <f>IF(A185="","",IF(K185="","Unmatched",IF(ABS(C185-M185)&lt;=MAX(N(Tolerance),0),"Matched","Difference")))</f>
        <v/>
      </c>
      <c r="M185" s="52">
        <f>IF(K185="","",INDEX('List A'!$C$5:$C$204,K185-4))</f>
        <v/>
      </c>
      <c r="N185" s="52">
        <f>IF(K185="","",C185-M185)</f>
        <v/>
      </c>
      <c r="O185" s="53">
        <f>IF(OR(A185="",K185=""),"",IF(H185&lt;&gt;"","Manual pair",IF(D185&lt;&gt;"","Reference / ID",MatchMode)))</f>
        <v/>
      </c>
      <c r="P185" s="54">
        <f>IF(I185="","",I185&amp;"|"&amp;J185)</f>
        <v/>
      </c>
      <c r="Q185" s="54">
        <f>IF(L185="Matched",COUNTIF($L$5:L185,"Matched"),"")</f>
        <v/>
      </c>
      <c r="R185" s="54">
        <f>IF(L185="Unmatched",COUNTIF($L$5:L185,"Unmatched"),"")</f>
        <v/>
      </c>
      <c r="S185" s="54">
        <f>IF(L185="Difference",COUNTIF($L$5:L185,"Difference"),"")</f>
        <v/>
      </c>
      <c r="T185" s="55">
        <f>IF(L185="Difference",ABS(N185),0)</f>
        <v/>
      </c>
    </row>
    <row r="186" ht="17" customHeight="1">
      <c r="A186" s="86" t="n"/>
      <c r="B186" s="46" t="n"/>
      <c r="C186" s="47" t="n"/>
      <c r="D186" s="46" t="n"/>
      <c r="E186" s="46" t="n"/>
      <c r="F186" s="46" t="n"/>
      <c r="G186" s="48" t="n"/>
      <c r="H186" s="48" t="n"/>
      <c r="I186" s="49">
        <f>IF(A186="","",IF(H186&lt;&gt;"","M|"&amp;TRIM(H186),IF(AND(MatchMode="Reference / ID only",D186=""),"U|"&amp;ROW(),IF(D186&lt;&gt;"","R|"&amp;TRIM(D186),IF(MatchMode="Amount only","A|"&amp;TEXT(ROUND(C186,2),"0.00"),IF(MatchMode="Amount (tolerance)","T|"&amp;TEXT(ROUND(C186/MAX(N(Tolerance),0.0001),0),"0"),IF(MatchMode="Date + amount (tolerance)","DT|"&amp;TEXT(A186,"yyyy-mm-dd")&amp;"|"&amp;TEXT(ROUND(C186/MAX(N(Tolerance),0.0001),0),"0"),IF(MatchMode="Description (exact)","S|"&amp;LOWER(TRIM(B186)),IF(MatchMode="Reference / ID only","U|"&amp;ROW(),"DA|"&amp;TEXT(A186,"yyyy-mm-dd")&amp;"|"&amp;TEXT(ROUND(C186,2),"0.00"))))))))))</f>
        <v/>
      </c>
      <c r="J186" s="50">
        <f>IF(I186="","",COUNTIF($I$5:I186,I186))</f>
        <v/>
      </c>
      <c r="K186" s="50">
        <f>IF(P186="","",IFERROR(MATCH(P186,ListA_Combo,0)+4,""))</f>
        <v/>
      </c>
      <c r="L186" s="51">
        <f>IF(A186="","",IF(K186="","Unmatched",IF(ABS(C186-M186)&lt;=MAX(N(Tolerance),0),"Matched","Difference")))</f>
        <v/>
      </c>
      <c r="M186" s="52">
        <f>IF(K186="","",INDEX('List A'!$C$5:$C$204,K186-4))</f>
        <v/>
      </c>
      <c r="N186" s="52">
        <f>IF(K186="","",C186-M186)</f>
        <v/>
      </c>
      <c r="O186" s="53">
        <f>IF(OR(A186="",K186=""),"",IF(H186&lt;&gt;"","Manual pair",IF(D186&lt;&gt;"","Reference / ID",MatchMode)))</f>
        <v/>
      </c>
      <c r="P186" s="54">
        <f>IF(I186="","",I186&amp;"|"&amp;J186)</f>
        <v/>
      </c>
      <c r="Q186" s="54">
        <f>IF(L186="Matched",COUNTIF($L$5:L186,"Matched"),"")</f>
        <v/>
      </c>
      <c r="R186" s="54">
        <f>IF(L186="Unmatched",COUNTIF($L$5:L186,"Unmatched"),"")</f>
        <v/>
      </c>
      <c r="S186" s="54">
        <f>IF(L186="Difference",COUNTIF($L$5:L186,"Difference"),"")</f>
        <v/>
      </c>
      <c r="T186" s="55">
        <f>IF(L186="Difference",ABS(N186),0)</f>
        <v/>
      </c>
    </row>
    <row r="187" ht="17" customHeight="1">
      <c r="A187" s="86" t="n"/>
      <c r="B187" s="46" t="n"/>
      <c r="C187" s="47" t="n"/>
      <c r="D187" s="46" t="n"/>
      <c r="E187" s="46" t="n"/>
      <c r="F187" s="46" t="n"/>
      <c r="G187" s="48" t="n"/>
      <c r="H187" s="48" t="n"/>
      <c r="I187" s="49">
        <f>IF(A187="","",IF(H187&lt;&gt;"","M|"&amp;TRIM(H187),IF(AND(MatchMode="Reference / ID only",D187=""),"U|"&amp;ROW(),IF(D187&lt;&gt;"","R|"&amp;TRIM(D187),IF(MatchMode="Amount only","A|"&amp;TEXT(ROUND(C187,2),"0.00"),IF(MatchMode="Amount (tolerance)","T|"&amp;TEXT(ROUND(C187/MAX(N(Tolerance),0.0001),0),"0"),IF(MatchMode="Date + amount (tolerance)","DT|"&amp;TEXT(A187,"yyyy-mm-dd")&amp;"|"&amp;TEXT(ROUND(C187/MAX(N(Tolerance),0.0001),0),"0"),IF(MatchMode="Description (exact)","S|"&amp;LOWER(TRIM(B187)),IF(MatchMode="Reference / ID only","U|"&amp;ROW(),"DA|"&amp;TEXT(A187,"yyyy-mm-dd")&amp;"|"&amp;TEXT(ROUND(C187,2),"0.00"))))))))))</f>
        <v/>
      </c>
      <c r="J187" s="50">
        <f>IF(I187="","",COUNTIF($I$5:I187,I187))</f>
        <v/>
      </c>
      <c r="K187" s="50">
        <f>IF(P187="","",IFERROR(MATCH(P187,ListA_Combo,0)+4,""))</f>
        <v/>
      </c>
      <c r="L187" s="51">
        <f>IF(A187="","",IF(K187="","Unmatched",IF(ABS(C187-M187)&lt;=MAX(N(Tolerance),0),"Matched","Difference")))</f>
        <v/>
      </c>
      <c r="M187" s="52">
        <f>IF(K187="","",INDEX('List A'!$C$5:$C$204,K187-4))</f>
        <v/>
      </c>
      <c r="N187" s="52">
        <f>IF(K187="","",C187-M187)</f>
        <v/>
      </c>
      <c r="O187" s="53">
        <f>IF(OR(A187="",K187=""),"",IF(H187&lt;&gt;"","Manual pair",IF(D187&lt;&gt;"","Reference / ID",MatchMode)))</f>
        <v/>
      </c>
      <c r="P187" s="54">
        <f>IF(I187="","",I187&amp;"|"&amp;J187)</f>
        <v/>
      </c>
      <c r="Q187" s="54">
        <f>IF(L187="Matched",COUNTIF($L$5:L187,"Matched"),"")</f>
        <v/>
      </c>
      <c r="R187" s="54">
        <f>IF(L187="Unmatched",COUNTIF($L$5:L187,"Unmatched"),"")</f>
        <v/>
      </c>
      <c r="S187" s="54">
        <f>IF(L187="Difference",COUNTIF($L$5:L187,"Difference"),"")</f>
        <v/>
      </c>
      <c r="T187" s="55">
        <f>IF(L187="Difference",ABS(N187),0)</f>
        <v/>
      </c>
    </row>
    <row r="188" ht="17" customHeight="1">
      <c r="A188" s="86" t="n"/>
      <c r="B188" s="46" t="n"/>
      <c r="C188" s="47" t="n"/>
      <c r="D188" s="46" t="n"/>
      <c r="E188" s="46" t="n"/>
      <c r="F188" s="46" t="n"/>
      <c r="G188" s="48" t="n"/>
      <c r="H188" s="48" t="n"/>
      <c r="I188" s="49">
        <f>IF(A188="","",IF(H188&lt;&gt;"","M|"&amp;TRIM(H188),IF(AND(MatchMode="Reference / ID only",D188=""),"U|"&amp;ROW(),IF(D188&lt;&gt;"","R|"&amp;TRIM(D188),IF(MatchMode="Amount only","A|"&amp;TEXT(ROUND(C188,2),"0.00"),IF(MatchMode="Amount (tolerance)","T|"&amp;TEXT(ROUND(C188/MAX(N(Tolerance),0.0001),0),"0"),IF(MatchMode="Date + amount (tolerance)","DT|"&amp;TEXT(A188,"yyyy-mm-dd")&amp;"|"&amp;TEXT(ROUND(C188/MAX(N(Tolerance),0.0001),0),"0"),IF(MatchMode="Description (exact)","S|"&amp;LOWER(TRIM(B188)),IF(MatchMode="Reference / ID only","U|"&amp;ROW(),"DA|"&amp;TEXT(A188,"yyyy-mm-dd")&amp;"|"&amp;TEXT(ROUND(C188,2),"0.00"))))))))))</f>
        <v/>
      </c>
      <c r="J188" s="50">
        <f>IF(I188="","",COUNTIF($I$5:I188,I188))</f>
        <v/>
      </c>
      <c r="K188" s="50">
        <f>IF(P188="","",IFERROR(MATCH(P188,ListA_Combo,0)+4,""))</f>
        <v/>
      </c>
      <c r="L188" s="51">
        <f>IF(A188="","",IF(K188="","Unmatched",IF(ABS(C188-M188)&lt;=MAX(N(Tolerance),0),"Matched","Difference")))</f>
        <v/>
      </c>
      <c r="M188" s="52">
        <f>IF(K188="","",INDEX('List A'!$C$5:$C$204,K188-4))</f>
        <v/>
      </c>
      <c r="N188" s="52">
        <f>IF(K188="","",C188-M188)</f>
        <v/>
      </c>
      <c r="O188" s="53">
        <f>IF(OR(A188="",K188=""),"",IF(H188&lt;&gt;"","Manual pair",IF(D188&lt;&gt;"","Reference / ID",MatchMode)))</f>
        <v/>
      </c>
      <c r="P188" s="54">
        <f>IF(I188="","",I188&amp;"|"&amp;J188)</f>
        <v/>
      </c>
      <c r="Q188" s="54">
        <f>IF(L188="Matched",COUNTIF($L$5:L188,"Matched"),"")</f>
        <v/>
      </c>
      <c r="R188" s="54">
        <f>IF(L188="Unmatched",COUNTIF($L$5:L188,"Unmatched"),"")</f>
        <v/>
      </c>
      <c r="S188" s="54">
        <f>IF(L188="Difference",COUNTIF($L$5:L188,"Difference"),"")</f>
        <v/>
      </c>
      <c r="T188" s="55">
        <f>IF(L188="Difference",ABS(N188),0)</f>
        <v/>
      </c>
    </row>
    <row r="189" ht="17" customHeight="1">
      <c r="A189" s="86" t="n"/>
      <c r="B189" s="46" t="n"/>
      <c r="C189" s="47" t="n"/>
      <c r="D189" s="46" t="n"/>
      <c r="E189" s="46" t="n"/>
      <c r="F189" s="46" t="n"/>
      <c r="G189" s="48" t="n"/>
      <c r="H189" s="48" t="n"/>
      <c r="I189" s="49">
        <f>IF(A189="","",IF(H189&lt;&gt;"","M|"&amp;TRIM(H189),IF(AND(MatchMode="Reference / ID only",D189=""),"U|"&amp;ROW(),IF(D189&lt;&gt;"","R|"&amp;TRIM(D189),IF(MatchMode="Amount only","A|"&amp;TEXT(ROUND(C189,2),"0.00"),IF(MatchMode="Amount (tolerance)","T|"&amp;TEXT(ROUND(C189/MAX(N(Tolerance),0.0001),0),"0"),IF(MatchMode="Date + amount (tolerance)","DT|"&amp;TEXT(A189,"yyyy-mm-dd")&amp;"|"&amp;TEXT(ROUND(C189/MAX(N(Tolerance),0.0001),0),"0"),IF(MatchMode="Description (exact)","S|"&amp;LOWER(TRIM(B189)),IF(MatchMode="Reference / ID only","U|"&amp;ROW(),"DA|"&amp;TEXT(A189,"yyyy-mm-dd")&amp;"|"&amp;TEXT(ROUND(C189,2),"0.00"))))))))))</f>
        <v/>
      </c>
      <c r="J189" s="50">
        <f>IF(I189="","",COUNTIF($I$5:I189,I189))</f>
        <v/>
      </c>
      <c r="K189" s="50">
        <f>IF(P189="","",IFERROR(MATCH(P189,ListA_Combo,0)+4,""))</f>
        <v/>
      </c>
      <c r="L189" s="51">
        <f>IF(A189="","",IF(K189="","Unmatched",IF(ABS(C189-M189)&lt;=MAX(N(Tolerance),0),"Matched","Difference")))</f>
        <v/>
      </c>
      <c r="M189" s="52">
        <f>IF(K189="","",INDEX('List A'!$C$5:$C$204,K189-4))</f>
        <v/>
      </c>
      <c r="N189" s="52">
        <f>IF(K189="","",C189-M189)</f>
        <v/>
      </c>
      <c r="O189" s="53">
        <f>IF(OR(A189="",K189=""),"",IF(H189&lt;&gt;"","Manual pair",IF(D189&lt;&gt;"","Reference / ID",MatchMode)))</f>
        <v/>
      </c>
      <c r="P189" s="54">
        <f>IF(I189="","",I189&amp;"|"&amp;J189)</f>
        <v/>
      </c>
      <c r="Q189" s="54">
        <f>IF(L189="Matched",COUNTIF($L$5:L189,"Matched"),"")</f>
        <v/>
      </c>
      <c r="R189" s="54">
        <f>IF(L189="Unmatched",COUNTIF($L$5:L189,"Unmatched"),"")</f>
        <v/>
      </c>
      <c r="S189" s="54">
        <f>IF(L189="Difference",COUNTIF($L$5:L189,"Difference"),"")</f>
        <v/>
      </c>
      <c r="T189" s="55">
        <f>IF(L189="Difference",ABS(N189),0)</f>
        <v/>
      </c>
    </row>
    <row r="190" ht="17" customHeight="1">
      <c r="A190" s="86" t="n"/>
      <c r="B190" s="46" t="n"/>
      <c r="C190" s="47" t="n"/>
      <c r="D190" s="46" t="n"/>
      <c r="E190" s="46" t="n"/>
      <c r="F190" s="46" t="n"/>
      <c r="G190" s="48" t="n"/>
      <c r="H190" s="48" t="n"/>
      <c r="I190" s="49">
        <f>IF(A190="","",IF(H190&lt;&gt;"","M|"&amp;TRIM(H190),IF(AND(MatchMode="Reference / ID only",D190=""),"U|"&amp;ROW(),IF(D190&lt;&gt;"","R|"&amp;TRIM(D190),IF(MatchMode="Amount only","A|"&amp;TEXT(ROUND(C190,2),"0.00"),IF(MatchMode="Amount (tolerance)","T|"&amp;TEXT(ROUND(C190/MAX(N(Tolerance),0.0001),0),"0"),IF(MatchMode="Date + amount (tolerance)","DT|"&amp;TEXT(A190,"yyyy-mm-dd")&amp;"|"&amp;TEXT(ROUND(C190/MAX(N(Tolerance),0.0001),0),"0"),IF(MatchMode="Description (exact)","S|"&amp;LOWER(TRIM(B190)),IF(MatchMode="Reference / ID only","U|"&amp;ROW(),"DA|"&amp;TEXT(A190,"yyyy-mm-dd")&amp;"|"&amp;TEXT(ROUND(C190,2),"0.00"))))))))))</f>
        <v/>
      </c>
      <c r="J190" s="50">
        <f>IF(I190="","",COUNTIF($I$5:I190,I190))</f>
        <v/>
      </c>
      <c r="K190" s="50">
        <f>IF(P190="","",IFERROR(MATCH(P190,ListA_Combo,0)+4,""))</f>
        <v/>
      </c>
      <c r="L190" s="51">
        <f>IF(A190="","",IF(K190="","Unmatched",IF(ABS(C190-M190)&lt;=MAX(N(Tolerance),0),"Matched","Difference")))</f>
        <v/>
      </c>
      <c r="M190" s="52">
        <f>IF(K190="","",INDEX('List A'!$C$5:$C$204,K190-4))</f>
        <v/>
      </c>
      <c r="N190" s="52">
        <f>IF(K190="","",C190-M190)</f>
        <v/>
      </c>
      <c r="O190" s="53">
        <f>IF(OR(A190="",K190=""),"",IF(H190&lt;&gt;"","Manual pair",IF(D190&lt;&gt;"","Reference / ID",MatchMode)))</f>
        <v/>
      </c>
      <c r="P190" s="54">
        <f>IF(I190="","",I190&amp;"|"&amp;J190)</f>
        <v/>
      </c>
      <c r="Q190" s="54">
        <f>IF(L190="Matched",COUNTIF($L$5:L190,"Matched"),"")</f>
        <v/>
      </c>
      <c r="R190" s="54">
        <f>IF(L190="Unmatched",COUNTIF($L$5:L190,"Unmatched"),"")</f>
        <v/>
      </c>
      <c r="S190" s="54">
        <f>IF(L190="Difference",COUNTIF($L$5:L190,"Difference"),"")</f>
        <v/>
      </c>
      <c r="T190" s="55">
        <f>IF(L190="Difference",ABS(N190),0)</f>
        <v/>
      </c>
    </row>
    <row r="191" ht="17" customHeight="1">
      <c r="A191" s="86" t="n"/>
      <c r="B191" s="46" t="n"/>
      <c r="C191" s="47" t="n"/>
      <c r="D191" s="46" t="n"/>
      <c r="E191" s="46" t="n"/>
      <c r="F191" s="46" t="n"/>
      <c r="G191" s="48" t="n"/>
      <c r="H191" s="48" t="n"/>
      <c r="I191" s="49">
        <f>IF(A191="","",IF(H191&lt;&gt;"","M|"&amp;TRIM(H191),IF(AND(MatchMode="Reference / ID only",D191=""),"U|"&amp;ROW(),IF(D191&lt;&gt;"","R|"&amp;TRIM(D191),IF(MatchMode="Amount only","A|"&amp;TEXT(ROUND(C191,2),"0.00"),IF(MatchMode="Amount (tolerance)","T|"&amp;TEXT(ROUND(C191/MAX(N(Tolerance),0.0001),0),"0"),IF(MatchMode="Date + amount (tolerance)","DT|"&amp;TEXT(A191,"yyyy-mm-dd")&amp;"|"&amp;TEXT(ROUND(C191/MAX(N(Tolerance),0.0001),0),"0"),IF(MatchMode="Description (exact)","S|"&amp;LOWER(TRIM(B191)),IF(MatchMode="Reference / ID only","U|"&amp;ROW(),"DA|"&amp;TEXT(A191,"yyyy-mm-dd")&amp;"|"&amp;TEXT(ROUND(C191,2),"0.00"))))))))))</f>
        <v/>
      </c>
      <c r="J191" s="50">
        <f>IF(I191="","",COUNTIF($I$5:I191,I191))</f>
        <v/>
      </c>
      <c r="K191" s="50">
        <f>IF(P191="","",IFERROR(MATCH(P191,ListA_Combo,0)+4,""))</f>
        <v/>
      </c>
      <c r="L191" s="51">
        <f>IF(A191="","",IF(K191="","Unmatched",IF(ABS(C191-M191)&lt;=MAX(N(Tolerance),0),"Matched","Difference")))</f>
        <v/>
      </c>
      <c r="M191" s="52">
        <f>IF(K191="","",INDEX('List A'!$C$5:$C$204,K191-4))</f>
        <v/>
      </c>
      <c r="N191" s="52">
        <f>IF(K191="","",C191-M191)</f>
        <v/>
      </c>
      <c r="O191" s="53">
        <f>IF(OR(A191="",K191=""),"",IF(H191&lt;&gt;"","Manual pair",IF(D191&lt;&gt;"","Reference / ID",MatchMode)))</f>
        <v/>
      </c>
      <c r="P191" s="54">
        <f>IF(I191="","",I191&amp;"|"&amp;J191)</f>
        <v/>
      </c>
      <c r="Q191" s="54">
        <f>IF(L191="Matched",COUNTIF($L$5:L191,"Matched"),"")</f>
        <v/>
      </c>
      <c r="R191" s="54">
        <f>IF(L191="Unmatched",COUNTIF($L$5:L191,"Unmatched"),"")</f>
        <v/>
      </c>
      <c r="S191" s="54">
        <f>IF(L191="Difference",COUNTIF($L$5:L191,"Difference"),"")</f>
        <v/>
      </c>
      <c r="T191" s="55">
        <f>IF(L191="Difference",ABS(N191),0)</f>
        <v/>
      </c>
    </row>
    <row r="192" ht="17" customHeight="1">
      <c r="A192" s="86" t="n"/>
      <c r="B192" s="46" t="n"/>
      <c r="C192" s="47" t="n"/>
      <c r="D192" s="46" t="n"/>
      <c r="E192" s="46" t="n"/>
      <c r="F192" s="46" t="n"/>
      <c r="G192" s="48" t="n"/>
      <c r="H192" s="48" t="n"/>
      <c r="I192" s="49">
        <f>IF(A192="","",IF(H192&lt;&gt;"","M|"&amp;TRIM(H192),IF(AND(MatchMode="Reference / ID only",D192=""),"U|"&amp;ROW(),IF(D192&lt;&gt;"","R|"&amp;TRIM(D192),IF(MatchMode="Amount only","A|"&amp;TEXT(ROUND(C192,2),"0.00"),IF(MatchMode="Amount (tolerance)","T|"&amp;TEXT(ROUND(C192/MAX(N(Tolerance),0.0001),0),"0"),IF(MatchMode="Date + amount (tolerance)","DT|"&amp;TEXT(A192,"yyyy-mm-dd")&amp;"|"&amp;TEXT(ROUND(C192/MAX(N(Tolerance),0.0001),0),"0"),IF(MatchMode="Description (exact)","S|"&amp;LOWER(TRIM(B192)),IF(MatchMode="Reference / ID only","U|"&amp;ROW(),"DA|"&amp;TEXT(A192,"yyyy-mm-dd")&amp;"|"&amp;TEXT(ROUND(C192,2),"0.00"))))))))))</f>
        <v/>
      </c>
      <c r="J192" s="50">
        <f>IF(I192="","",COUNTIF($I$5:I192,I192))</f>
        <v/>
      </c>
      <c r="K192" s="50">
        <f>IF(P192="","",IFERROR(MATCH(P192,ListA_Combo,0)+4,""))</f>
        <v/>
      </c>
      <c r="L192" s="51">
        <f>IF(A192="","",IF(K192="","Unmatched",IF(ABS(C192-M192)&lt;=MAX(N(Tolerance),0),"Matched","Difference")))</f>
        <v/>
      </c>
      <c r="M192" s="52">
        <f>IF(K192="","",INDEX('List A'!$C$5:$C$204,K192-4))</f>
        <v/>
      </c>
      <c r="N192" s="52">
        <f>IF(K192="","",C192-M192)</f>
        <v/>
      </c>
      <c r="O192" s="53">
        <f>IF(OR(A192="",K192=""),"",IF(H192&lt;&gt;"","Manual pair",IF(D192&lt;&gt;"","Reference / ID",MatchMode)))</f>
        <v/>
      </c>
      <c r="P192" s="54">
        <f>IF(I192="","",I192&amp;"|"&amp;J192)</f>
        <v/>
      </c>
      <c r="Q192" s="54">
        <f>IF(L192="Matched",COUNTIF($L$5:L192,"Matched"),"")</f>
        <v/>
      </c>
      <c r="R192" s="54">
        <f>IF(L192="Unmatched",COUNTIF($L$5:L192,"Unmatched"),"")</f>
        <v/>
      </c>
      <c r="S192" s="54">
        <f>IF(L192="Difference",COUNTIF($L$5:L192,"Difference"),"")</f>
        <v/>
      </c>
      <c r="T192" s="55">
        <f>IF(L192="Difference",ABS(N192),0)</f>
        <v/>
      </c>
    </row>
    <row r="193" ht="17" customHeight="1">
      <c r="A193" s="86" t="n"/>
      <c r="B193" s="46" t="n"/>
      <c r="C193" s="47" t="n"/>
      <c r="D193" s="46" t="n"/>
      <c r="E193" s="46" t="n"/>
      <c r="F193" s="46" t="n"/>
      <c r="G193" s="48" t="n"/>
      <c r="H193" s="48" t="n"/>
      <c r="I193" s="49">
        <f>IF(A193="","",IF(H193&lt;&gt;"","M|"&amp;TRIM(H193),IF(AND(MatchMode="Reference / ID only",D193=""),"U|"&amp;ROW(),IF(D193&lt;&gt;"","R|"&amp;TRIM(D193),IF(MatchMode="Amount only","A|"&amp;TEXT(ROUND(C193,2),"0.00"),IF(MatchMode="Amount (tolerance)","T|"&amp;TEXT(ROUND(C193/MAX(N(Tolerance),0.0001),0),"0"),IF(MatchMode="Date + amount (tolerance)","DT|"&amp;TEXT(A193,"yyyy-mm-dd")&amp;"|"&amp;TEXT(ROUND(C193/MAX(N(Tolerance),0.0001),0),"0"),IF(MatchMode="Description (exact)","S|"&amp;LOWER(TRIM(B193)),IF(MatchMode="Reference / ID only","U|"&amp;ROW(),"DA|"&amp;TEXT(A193,"yyyy-mm-dd")&amp;"|"&amp;TEXT(ROUND(C193,2),"0.00"))))))))))</f>
        <v/>
      </c>
      <c r="J193" s="50">
        <f>IF(I193="","",COUNTIF($I$5:I193,I193))</f>
        <v/>
      </c>
      <c r="K193" s="50">
        <f>IF(P193="","",IFERROR(MATCH(P193,ListA_Combo,0)+4,""))</f>
        <v/>
      </c>
      <c r="L193" s="51">
        <f>IF(A193="","",IF(K193="","Unmatched",IF(ABS(C193-M193)&lt;=MAX(N(Tolerance),0),"Matched","Difference")))</f>
        <v/>
      </c>
      <c r="M193" s="52">
        <f>IF(K193="","",INDEX('List A'!$C$5:$C$204,K193-4))</f>
        <v/>
      </c>
      <c r="N193" s="52">
        <f>IF(K193="","",C193-M193)</f>
        <v/>
      </c>
      <c r="O193" s="53">
        <f>IF(OR(A193="",K193=""),"",IF(H193&lt;&gt;"","Manual pair",IF(D193&lt;&gt;"","Reference / ID",MatchMode)))</f>
        <v/>
      </c>
      <c r="P193" s="54">
        <f>IF(I193="","",I193&amp;"|"&amp;J193)</f>
        <v/>
      </c>
      <c r="Q193" s="54">
        <f>IF(L193="Matched",COUNTIF($L$5:L193,"Matched"),"")</f>
        <v/>
      </c>
      <c r="R193" s="54">
        <f>IF(L193="Unmatched",COUNTIF($L$5:L193,"Unmatched"),"")</f>
        <v/>
      </c>
      <c r="S193" s="54">
        <f>IF(L193="Difference",COUNTIF($L$5:L193,"Difference"),"")</f>
        <v/>
      </c>
      <c r="T193" s="55">
        <f>IF(L193="Difference",ABS(N193),0)</f>
        <v/>
      </c>
    </row>
    <row r="194" ht="17" customHeight="1">
      <c r="A194" s="86" t="n"/>
      <c r="B194" s="46" t="n"/>
      <c r="C194" s="47" t="n"/>
      <c r="D194" s="46" t="n"/>
      <c r="E194" s="46" t="n"/>
      <c r="F194" s="46" t="n"/>
      <c r="G194" s="48" t="n"/>
      <c r="H194" s="48" t="n"/>
      <c r="I194" s="49">
        <f>IF(A194="","",IF(H194&lt;&gt;"","M|"&amp;TRIM(H194),IF(AND(MatchMode="Reference / ID only",D194=""),"U|"&amp;ROW(),IF(D194&lt;&gt;"","R|"&amp;TRIM(D194),IF(MatchMode="Amount only","A|"&amp;TEXT(ROUND(C194,2),"0.00"),IF(MatchMode="Amount (tolerance)","T|"&amp;TEXT(ROUND(C194/MAX(N(Tolerance),0.0001),0),"0"),IF(MatchMode="Date + amount (tolerance)","DT|"&amp;TEXT(A194,"yyyy-mm-dd")&amp;"|"&amp;TEXT(ROUND(C194/MAX(N(Tolerance),0.0001),0),"0"),IF(MatchMode="Description (exact)","S|"&amp;LOWER(TRIM(B194)),IF(MatchMode="Reference / ID only","U|"&amp;ROW(),"DA|"&amp;TEXT(A194,"yyyy-mm-dd")&amp;"|"&amp;TEXT(ROUND(C194,2),"0.00"))))))))))</f>
        <v/>
      </c>
      <c r="J194" s="50">
        <f>IF(I194="","",COUNTIF($I$5:I194,I194))</f>
        <v/>
      </c>
      <c r="K194" s="50">
        <f>IF(P194="","",IFERROR(MATCH(P194,ListA_Combo,0)+4,""))</f>
        <v/>
      </c>
      <c r="L194" s="51">
        <f>IF(A194="","",IF(K194="","Unmatched",IF(ABS(C194-M194)&lt;=MAX(N(Tolerance),0),"Matched","Difference")))</f>
        <v/>
      </c>
      <c r="M194" s="52">
        <f>IF(K194="","",INDEX('List A'!$C$5:$C$204,K194-4))</f>
        <v/>
      </c>
      <c r="N194" s="52">
        <f>IF(K194="","",C194-M194)</f>
        <v/>
      </c>
      <c r="O194" s="53">
        <f>IF(OR(A194="",K194=""),"",IF(H194&lt;&gt;"","Manual pair",IF(D194&lt;&gt;"","Reference / ID",MatchMode)))</f>
        <v/>
      </c>
      <c r="P194" s="54">
        <f>IF(I194="","",I194&amp;"|"&amp;J194)</f>
        <v/>
      </c>
      <c r="Q194" s="54">
        <f>IF(L194="Matched",COUNTIF($L$5:L194,"Matched"),"")</f>
        <v/>
      </c>
      <c r="R194" s="54">
        <f>IF(L194="Unmatched",COUNTIF($L$5:L194,"Unmatched"),"")</f>
        <v/>
      </c>
      <c r="S194" s="54">
        <f>IF(L194="Difference",COUNTIF($L$5:L194,"Difference"),"")</f>
        <v/>
      </c>
      <c r="T194" s="55">
        <f>IF(L194="Difference",ABS(N194),0)</f>
        <v/>
      </c>
    </row>
    <row r="195" ht="17" customHeight="1">
      <c r="A195" s="86" t="n"/>
      <c r="B195" s="46" t="n"/>
      <c r="C195" s="47" t="n"/>
      <c r="D195" s="46" t="n"/>
      <c r="E195" s="46" t="n"/>
      <c r="F195" s="46" t="n"/>
      <c r="G195" s="48" t="n"/>
      <c r="H195" s="48" t="n"/>
      <c r="I195" s="49">
        <f>IF(A195="","",IF(H195&lt;&gt;"","M|"&amp;TRIM(H195),IF(AND(MatchMode="Reference / ID only",D195=""),"U|"&amp;ROW(),IF(D195&lt;&gt;"","R|"&amp;TRIM(D195),IF(MatchMode="Amount only","A|"&amp;TEXT(ROUND(C195,2),"0.00"),IF(MatchMode="Amount (tolerance)","T|"&amp;TEXT(ROUND(C195/MAX(N(Tolerance),0.0001),0),"0"),IF(MatchMode="Date + amount (tolerance)","DT|"&amp;TEXT(A195,"yyyy-mm-dd")&amp;"|"&amp;TEXT(ROUND(C195/MAX(N(Tolerance),0.0001),0),"0"),IF(MatchMode="Description (exact)","S|"&amp;LOWER(TRIM(B195)),IF(MatchMode="Reference / ID only","U|"&amp;ROW(),"DA|"&amp;TEXT(A195,"yyyy-mm-dd")&amp;"|"&amp;TEXT(ROUND(C195,2),"0.00"))))))))))</f>
        <v/>
      </c>
      <c r="J195" s="50">
        <f>IF(I195="","",COUNTIF($I$5:I195,I195))</f>
        <v/>
      </c>
      <c r="K195" s="50">
        <f>IF(P195="","",IFERROR(MATCH(P195,ListA_Combo,0)+4,""))</f>
        <v/>
      </c>
      <c r="L195" s="51">
        <f>IF(A195="","",IF(K195="","Unmatched",IF(ABS(C195-M195)&lt;=MAX(N(Tolerance),0),"Matched","Difference")))</f>
        <v/>
      </c>
      <c r="M195" s="52">
        <f>IF(K195="","",INDEX('List A'!$C$5:$C$204,K195-4))</f>
        <v/>
      </c>
      <c r="N195" s="52">
        <f>IF(K195="","",C195-M195)</f>
        <v/>
      </c>
      <c r="O195" s="53">
        <f>IF(OR(A195="",K195=""),"",IF(H195&lt;&gt;"","Manual pair",IF(D195&lt;&gt;"","Reference / ID",MatchMode)))</f>
        <v/>
      </c>
      <c r="P195" s="54">
        <f>IF(I195="","",I195&amp;"|"&amp;J195)</f>
        <v/>
      </c>
      <c r="Q195" s="54">
        <f>IF(L195="Matched",COUNTIF($L$5:L195,"Matched"),"")</f>
        <v/>
      </c>
      <c r="R195" s="54">
        <f>IF(L195="Unmatched",COUNTIF($L$5:L195,"Unmatched"),"")</f>
        <v/>
      </c>
      <c r="S195" s="54">
        <f>IF(L195="Difference",COUNTIF($L$5:L195,"Difference"),"")</f>
        <v/>
      </c>
      <c r="T195" s="55">
        <f>IF(L195="Difference",ABS(N195),0)</f>
        <v/>
      </c>
    </row>
    <row r="196" ht="17" customHeight="1">
      <c r="A196" s="86" t="n"/>
      <c r="B196" s="46" t="n"/>
      <c r="C196" s="47" t="n"/>
      <c r="D196" s="46" t="n"/>
      <c r="E196" s="46" t="n"/>
      <c r="F196" s="46" t="n"/>
      <c r="G196" s="48" t="n"/>
      <c r="H196" s="48" t="n"/>
      <c r="I196" s="49">
        <f>IF(A196="","",IF(H196&lt;&gt;"","M|"&amp;TRIM(H196),IF(AND(MatchMode="Reference / ID only",D196=""),"U|"&amp;ROW(),IF(D196&lt;&gt;"","R|"&amp;TRIM(D196),IF(MatchMode="Amount only","A|"&amp;TEXT(ROUND(C196,2),"0.00"),IF(MatchMode="Amount (tolerance)","T|"&amp;TEXT(ROUND(C196/MAX(N(Tolerance),0.0001),0),"0"),IF(MatchMode="Date + amount (tolerance)","DT|"&amp;TEXT(A196,"yyyy-mm-dd")&amp;"|"&amp;TEXT(ROUND(C196/MAX(N(Tolerance),0.0001),0),"0"),IF(MatchMode="Description (exact)","S|"&amp;LOWER(TRIM(B196)),IF(MatchMode="Reference / ID only","U|"&amp;ROW(),"DA|"&amp;TEXT(A196,"yyyy-mm-dd")&amp;"|"&amp;TEXT(ROUND(C196,2),"0.00"))))))))))</f>
        <v/>
      </c>
      <c r="J196" s="50">
        <f>IF(I196="","",COUNTIF($I$5:I196,I196))</f>
        <v/>
      </c>
      <c r="K196" s="50">
        <f>IF(P196="","",IFERROR(MATCH(P196,ListA_Combo,0)+4,""))</f>
        <v/>
      </c>
      <c r="L196" s="51">
        <f>IF(A196="","",IF(K196="","Unmatched",IF(ABS(C196-M196)&lt;=MAX(N(Tolerance),0),"Matched","Difference")))</f>
        <v/>
      </c>
      <c r="M196" s="52">
        <f>IF(K196="","",INDEX('List A'!$C$5:$C$204,K196-4))</f>
        <v/>
      </c>
      <c r="N196" s="52">
        <f>IF(K196="","",C196-M196)</f>
        <v/>
      </c>
      <c r="O196" s="53">
        <f>IF(OR(A196="",K196=""),"",IF(H196&lt;&gt;"","Manual pair",IF(D196&lt;&gt;"","Reference / ID",MatchMode)))</f>
        <v/>
      </c>
      <c r="P196" s="54">
        <f>IF(I196="","",I196&amp;"|"&amp;J196)</f>
        <v/>
      </c>
      <c r="Q196" s="54">
        <f>IF(L196="Matched",COUNTIF($L$5:L196,"Matched"),"")</f>
        <v/>
      </c>
      <c r="R196" s="54">
        <f>IF(L196="Unmatched",COUNTIF($L$5:L196,"Unmatched"),"")</f>
        <v/>
      </c>
      <c r="S196" s="54">
        <f>IF(L196="Difference",COUNTIF($L$5:L196,"Difference"),"")</f>
        <v/>
      </c>
      <c r="T196" s="55">
        <f>IF(L196="Difference",ABS(N196),0)</f>
        <v/>
      </c>
    </row>
    <row r="197" ht="17" customHeight="1">
      <c r="A197" s="86" t="n"/>
      <c r="B197" s="46" t="n"/>
      <c r="C197" s="47" t="n"/>
      <c r="D197" s="46" t="n"/>
      <c r="E197" s="46" t="n"/>
      <c r="F197" s="46" t="n"/>
      <c r="G197" s="48" t="n"/>
      <c r="H197" s="48" t="n"/>
      <c r="I197" s="49">
        <f>IF(A197="","",IF(H197&lt;&gt;"","M|"&amp;TRIM(H197),IF(AND(MatchMode="Reference / ID only",D197=""),"U|"&amp;ROW(),IF(D197&lt;&gt;"","R|"&amp;TRIM(D197),IF(MatchMode="Amount only","A|"&amp;TEXT(ROUND(C197,2),"0.00"),IF(MatchMode="Amount (tolerance)","T|"&amp;TEXT(ROUND(C197/MAX(N(Tolerance),0.0001),0),"0"),IF(MatchMode="Date + amount (tolerance)","DT|"&amp;TEXT(A197,"yyyy-mm-dd")&amp;"|"&amp;TEXT(ROUND(C197/MAX(N(Tolerance),0.0001),0),"0"),IF(MatchMode="Description (exact)","S|"&amp;LOWER(TRIM(B197)),IF(MatchMode="Reference / ID only","U|"&amp;ROW(),"DA|"&amp;TEXT(A197,"yyyy-mm-dd")&amp;"|"&amp;TEXT(ROUND(C197,2),"0.00"))))))))))</f>
        <v/>
      </c>
      <c r="J197" s="50">
        <f>IF(I197="","",COUNTIF($I$5:I197,I197))</f>
        <v/>
      </c>
      <c r="K197" s="50">
        <f>IF(P197="","",IFERROR(MATCH(P197,ListA_Combo,0)+4,""))</f>
        <v/>
      </c>
      <c r="L197" s="51">
        <f>IF(A197="","",IF(K197="","Unmatched",IF(ABS(C197-M197)&lt;=MAX(N(Tolerance),0),"Matched","Difference")))</f>
        <v/>
      </c>
      <c r="M197" s="52">
        <f>IF(K197="","",INDEX('List A'!$C$5:$C$204,K197-4))</f>
        <v/>
      </c>
      <c r="N197" s="52">
        <f>IF(K197="","",C197-M197)</f>
        <v/>
      </c>
      <c r="O197" s="53">
        <f>IF(OR(A197="",K197=""),"",IF(H197&lt;&gt;"","Manual pair",IF(D197&lt;&gt;"","Reference / ID",MatchMode)))</f>
        <v/>
      </c>
      <c r="P197" s="54">
        <f>IF(I197="","",I197&amp;"|"&amp;J197)</f>
        <v/>
      </c>
      <c r="Q197" s="54">
        <f>IF(L197="Matched",COUNTIF($L$5:L197,"Matched"),"")</f>
        <v/>
      </c>
      <c r="R197" s="54">
        <f>IF(L197="Unmatched",COUNTIF($L$5:L197,"Unmatched"),"")</f>
        <v/>
      </c>
      <c r="S197" s="54">
        <f>IF(L197="Difference",COUNTIF($L$5:L197,"Difference"),"")</f>
        <v/>
      </c>
      <c r="T197" s="55">
        <f>IF(L197="Difference",ABS(N197),0)</f>
        <v/>
      </c>
    </row>
    <row r="198" ht="17" customHeight="1">
      <c r="A198" s="86" t="n"/>
      <c r="B198" s="46" t="n"/>
      <c r="C198" s="47" t="n"/>
      <c r="D198" s="46" t="n"/>
      <c r="E198" s="46" t="n"/>
      <c r="F198" s="46" t="n"/>
      <c r="G198" s="48" t="n"/>
      <c r="H198" s="48" t="n"/>
      <c r="I198" s="49">
        <f>IF(A198="","",IF(H198&lt;&gt;"","M|"&amp;TRIM(H198),IF(AND(MatchMode="Reference / ID only",D198=""),"U|"&amp;ROW(),IF(D198&lt;&gt;"","R|"&amp;TRIM(D198),IF(MatchMode="Amount only","A|"&amp;TEXT(ROUND(C198,2),"0.00"),IF(MatchMode="Amount (tolerance)","T|"&amp;TEXT(ROUND(C198/MAX(N(Tolerance),0.0001),0),"0"),IF(MatchMode="Date + amount (tolerance)","DT|"&amp;TEXT(A198,"yyyy-mm-dd")&amp;"|"&amp;TEXT(ROUND(C198/MAX(N(Tolerance),0.0001),0),"0"),IF(MatchMode="Description (exact)","S|"&amp;LOWER(TRIM(B198)),IF(MatchMode="Reference / ID only","U|"&amp;ROW(),"DA|"&amp;TEXT(A198,"yyyy-mm-dd")&amp;"|"&amp;TEXT(ROUND(C198,2),"0.00"))))))))))</f>
        <v/>
      </c>
      <c r="J198" s="50">
        <f>IF(I198="","",COUNTIF($I$5:I198,I198))</f>
        <v/>
      </c>
      <c r="K198" s="50">
        <f>IF(P198="","",IFERROR(MATCH(P198,ListA_Combo,0)+4,""))</f>
        <v/>
      </c>
      <c r="L198" s="51">
        <f>IF(A198="","",IF(K198="","Unmatched",IF(ABS(C198-M198)&lt;=MAX(N(Tolerance),0),"Matched","Difference")))</f>
        <v/>
      </c>
      <c r="M198" s="52">
        <f>IF(K198="","",INDEX('List A'!$C$5:$C$204,K198-4))</f>
        <v/>
      </c>
      <c r="N198" s="52">
        <f>IF(K198="","",C198-M198)</f>
        <v/>
      </c>
      <c r="O198" s="53">
        <f>IF(OR(A198="",K198=""),"",IF(H198&lt;&gt;"","Manual pair",IF(D198&lt;&gt;"","Reference / ID",MatchMode)))</f>
        <v/>
      </c>
      <c r="P198" s="54">
        <f>IF(I198="","",I198&amp;"|"&amp;J198)</f>
        <v/>
      </c>
      <c r="Q198" s="54">
        <f>IF(L198="Matched",COUNTIF($L$5:L198,"Matched"),"")</f>
        <v/>
      </c>
      <c r="R198" s="54">
        <f>IF(L198="Unmatched",COUNTIF($L$5:L198,"Unmatched"),"")</f>
        <v/>
      </c>
      <c r="S198" s="54">
        <f>IF(L198="Difference",COUNTIF($L$5:L198,"Difference"),"")</f>
        <v/>
      </c>
      <c r="T198" s="55">
        <f>IF(L198="Difference",ABS(N198),0)</f>
        <v/>
      </c>
    </row>
    <row r="199" ht="17" customHeight="1">
      <c r="A199" s="86" t="n"/>
      <c r="B199" s="46" t="n"/>
      <c r="C199" s="47" t="n"/>
      <c r="D199" s="46" t="n"/>
      <c r="E199" s="46" t="n"/>
      <c r="F199" s="46" t="n"/>
      <c r="G199" s="48" t="n"/>
      <c r="H199" s="48" t="n"/>
      <c r="I199" s="49">
        <f>IF(A199="","",IF(H199&lt;&gt;"","M|"&amp;TRIM(H199),IF(AND(MatchMode="Reference / ID only",D199=""),"U|"&amp;ROW(),IF(D199&lt;&gt;"","R|"&amp;TRIM(D199),IF(MatchMode="Amount only","A|"&amp;TEXT(ROUND(C199,2),"0.00"),IF(MatchMode="Amount (tolerance)","T|"&amp;TEXT(ROUND(C199/MAX(N(Tolerance),0.0001),0),"0"),IF(MatchMode="Date + amount (tolerance)","DT|"&amp;TEXT(A199,"yyyy-mm-dd")&amp;"|"&amp;TEXT(ROUND(C199/MAX(N(Tolerance),0.0001),0),"0"),IF(MatchMode="Description (exact)","S|"&amp;LOWER(TRIM(B199)),IF(MatchMode="Reference / ID only","U|"&amp;ROW(),"DA|"&amp;TEXT(A199,"yyyy-mm-dd")&amp;"|"&amp;TEXT(ROUND(C199,2),"0.00"))))))))))</f>
        <v/>
      </c>
      <c r="J199" s="50">
        <f>IF(I199="","",COUNTIF($I$5:I199,I199))</f>
        <v/>
      </c>
      <c r="K199" s="50">
        <f>IF(P199="","",IFERROR(MATCH(P199,ListA_Combo,0)+4,""))</f>
        <v/>
      </c>
      <c r="L199" s="51">
        <f>IF(A199="","",IF(K199="","Unmatched",IF(ABS(C199-M199)&lt;=MAX(N(Tolerance),0),"Matched","Difference")))</f>
        <v/>
      </c>
      <c r="M199" s="52">
        <f>IF(K199="","",INDEX('List A'!$C$5:$C$204,K199-4))</f>
        <v/>
      </c>
      <c r="N199" s="52">
        <f>IF(K199="","",C199-M199)</f>
        <v/>
      </c>
      <c r="O199" s="53">
        <f>IF(OR(A199="",K199=""),"",IF(H199&lt;&gt;"","Manual pair",IF(D199&lt;&gt;"","Reference / ID",MatchMode)))</f>
        <v/>
      </c>
      <c r="P199" s="54">
        <f>IF(I199="","",I199&amp;"|"&amp;J199)</f>
        <v/>
      </c>
      <c r="Q199" s="54">
        <f>IF(L199="Matched",COUNTIF($L$5:L199,"Matched"),"")</f>
        <v/>
      </c>
      <c r="R199" s="54">
        <f>IF(L199="Unmatched",COUNTIF($L$5:L199,"Unmatched"),"")</f>
        <v/>
      </c>
      <c r="S199" s="54">
        <f>IF(L199="Difference",COUNTIF($L$5:L199,"Difference"),"")</f>
        <v/>
      </c>
      <c r="T199" s="55">
        <f>IF(L199="Difference",ABS(N199),0)</f>
        <v/>
      </c>
    </row>
    <row r="200" ht="17" customHeight="1">
      <c r="A200" s="86" t="n"/>
      <c r="B200" s="46" t="n"/>
      <c r="C200" s="47" t="n"/>
      <c r="D200" s="46" t="n"/>
      <c r="E200" s="46" t="n"/>
      <c r="F200" s="46" t="n"/>
      <c r="G200" s="48" t="n"/>
      <c r="H200" s="48" t="n"/>
      <c r="I200" s="49">
        <f>IF(A200="","",IF(H200&lt;&gt;"","M|"&amp;TRIM(H200),IF(AND(MatchMode="Reference / ID only",D200=""),"U|"&amp;ROW(),IF(D200&lt;&gt;"","R|"&amp;TRIM(D200),IF(MatchMode="Amount only","A|"&amp;TEXT(ROUND(C200,2),"0.00"),IF(MatchMode="Amount (tolerance)","T|"&amp;TEXT(ROUND(C200/MAX(N(Tolerance),0.0001),0),"0"),IF(MatchMode="Date + amount (tolerance)","DT|"&amp;TEXT(A200,"yyyy-mm-dd")&amp;"|"&amp;TEXT(ROUND(C200/MAX(N(Tolerance),0.0001),0),"0"),IF(MatchMode="Description (exact)","S|"&amp;LOWER(TRIM(B200)),IF(MatchMode="Reference / ID only","U|"&amp;ROW(),"DA|"&amp;TEXT(A200,"yyyy-mm-dd")&amp;"|"&amp;TEXT(ROUND(C200,2),"0.00"))))))))))</f>
        <v/>
      </c>
      <c r="J200" s="50">
        <f>IF(I200="","",COUNTIF($I$5:I200,I200))</f>
        <v/>
      </c>
      <c r="K200" s="50">
        <f>IF(P200="","",IFERROR(MATCH(P200,ListA_Combo,0)+4,""))</f>
        <v/>
      </c>
      <c r="L200" s="51">
        <f>IF(A200="","",IF(K200="","Unmatched",IF(ABS(C200-M200)&lt;=MAX(N(Tolerance),0),"Matched","Difference")))</f>
        <v/>
      </c>
      <c r="M200" s="52">
        <f>IF(K200="","",INDEX('List A'!$C$5:$C$204,K200-4))</f>
        <v/>
      </c>
      <c r="N200" s="52">
        <f>IF(K200="","",C200-M200)</f>
        <v/>
      </c>
      <c r="O200" s="53">
        <f>IF(OR(A200="",K200=""),"",IF(H200&lt;&gt;"","Manual pair",IF(D200&lt;&gt;"","Reference / ID",MatchMode)))</f>
        <v/>
      </c>
      <c r="P200" s="54">
        <f>IF(I200="","",I200&amp;"|"&amp;J200)</f>
        <v/>
      </c>
      <c r="Q200" s="54">
        <f>IF(L200="Matched",COUNTIF($L$5:L200,"Matched"),"")</f>
        <v/>
      </c>
      <c r="R200" s="54">
        <f>IF(L200="Unmatched",COUNTIF($L$5:L200,"Unmatched"),"")</f>
        <v/>
      </c>
      <c r="S200" s="54">
        <f>IF(L200="Difference",COUNTIF($L$5:L200,"Difference"),"")</f>
        <v/>
      </c>
      <c r="T200" s="55">
        <f>IF(L200="Difference",ABS(N200),0)</f>
        <v/>
      </c>
    </row>
    <row r="201" ht="17" customHeight="1">
      <c r="A201" s="86" t="n"/>
      <c r="B201" s="46" t="n"/>
      <c r="C201" s="47" t="n"/>
      <c r="D201" s="46" t="n"/>
      <c r="E201" s="46" t="n"/>
      <c r="F201" s="46" t="n"/>
      <c r="G201" s="48" t="n"/>
      <c r="H201" s="48" t="n"/>
      <c r="I201" s="49">
        <f>IF(A201="","",IF(H201&lt;&gt;"","M|"&amp;TRIM(H201),IF(AND(MatchMode="Reference / ID only",D201=""),"U|"&amp;ROW(),IF(D201&lt;&gt;"","R|"&amp;TRIM(D201),IF(MatchMode="Amount only","A|"&amp;TEXT(ROUND(C201,2),"0.00"),IF(MatchMode="Amount (tolerance)","T|"&amp;TEXT(ROUND(C201/MAX(N(Tolerance),0.0001),0),"0"),IF(MatchMode="Date + amount (tolerance)","DT|"&amp;TEXT(A201,"yyyy-mm-dd")&amp;"|"&amp;TEXT(ROUND(C201/MAX(N(Tolerance),0.0001),0),"0"),IF(MatchMode="Description (exact)","S|"&amp;LOWER(TRIM(B201)),IF(MatchMode="Reference / ID only","U|"&amp;ROW(),"DA|"&amp;TEXT(A201,"yyyy-mm-dd")&amp;"|"&amp;TEXT(ROUND(C201,2),"0.00"))))))))))</f>
        <v/>
      </c>
      <c r="J201" s="50">
        <f>IF(I201="","",COUNTIF($I$5:I201,I201))</f>
        <v/>
      </c>
      <c r="K201" s="50">
        <f>IF(P201="","",IFERROR(MATCH(P201,ListA_Combo,0)+4,""))</f>
        <v/>
      </c>
      <c r="L201" s="51">
        <f>IF(A201="","",IF(K201="","Unmatched",IF(ABS(C201-M201)&lt;=MAX(N(Tolerance),0),"Matched","Difference")))</f>
        <v/>
      </c>
      <c r="M201" s="52">
        <f>IF(K201="","",INDEX('List A'!$C$5:$C$204,K201-4))</f>
        <v/>
      </c>
      <c r="N201" s="52">
        <f>IF(K201="","",C201-M201)</f>
        <v/>
      </c>
      <c r="O201" s="53">
        <f>IF(OR(A201="",K201=""),"",IF(H201&lt;&gt;"","Manual pair",IF(D201&lt;&gt;"","Reference / ID",MatchMode)))</f>
        <v/>
      </c>
      <c r="P201" s="54">
        <f>IF(I201="","",I201&amp;"|"&amp;J201)</f>
        <v/>
      </c>
      <c r="Q201" s="54">
        <f>IF(L201="Matched",COUNTIF($L$5:L201,"Matched"),"")</f>
        <v/>
      </c>
      <c r="R201" s="54">
        <f>IF(L201="Unmatched",COUNTIF($L$5:L201,"Unmatched"),"")</f>
        <v/>
      </c>
      <c r="S201" s="54">
        <f>IF(L201="Difference",COUNTIF($L$5:L201,"Difference"),"")</f>
        <v/>
      </c>
      <c r="T201" s="55">
        <f>IF(L201="Difference",ABS(N201),0)</f>
        <v/>
      </c>
    </row>
    <row r="202" ht="17" customHeight="1">
      <c r="A202" s="86" t="n"/>
      <c r="B202" s="46" t="n"/>
      <c r="C202" s="47" t="n"/>
      <c r="D202" s="46" t="n"/>
      <c r="E202" s="46" t="n"/>
      <c r="F202" s="46" t="n"/>
      <c r="G202" s="48" t="n"/>
      <c r="H202" s="48" t="n"/>
      <c r="I202" s="49">
        <f>IF(A202="","",IF(H202&lt;&gt;"","M|"&amp;TRIM(H202),IF(AND(MatchMode="Reference / ID only",D202=""),"U|"&amp;ROW(),IF(D202&lt;&gt;"","R|"&amp;TRIM(D202),IF(MatchMode="Amount only","A|"&amp;TEXT(ROUND(C202,2),"0.00"),IF(MatchMode="Amount (tolerance)","T|"&amp;TEXT(ROUND(C202/MAX(N(Tolerance),0.0001),0),"0"),IF(MatchMode="Date + amount (tolerance)","DT|"&amp;TEXT(A202,"yyyy-mm-dd")&amp;"|"&amp;TEXT(ROUND(C202/MAX(N(Tolerance),0.0001),0),"0"),IF(MatchMode="Description (exact)","S|"&amp;LOWER(TRIM(B202)),IF(MatchMode="Reference / ID only","U|"&amp;ROW(),"DA|"&amp;TEXT(A202,"yyyy-mm-dd")&amp;"|"&amp;TEXT(ROUND(C202,2),"0.00"))))))))))</f>
        <v/>
      </c>
      <c r="J202" s="50">
        <f>IF(I202="","",COUNTIF($I$5:I202,I202))</f>
        <v/>
      </c>
      <c r="K202" s="50">
        <f>IF(P202="","",IFERROR(MATCH(P202,ListA_Combo,0)+4,""))</f>
        <v/>
      </c>
      <c r="L202" s="51">
        <f>IF(A202="","",IF(K202="","Unmatched",IF(ABS(C202-M202)&lt;=MAX(N(Tolerance),0),"Matched","Difference")))</f>
        <v/>
      </c>
      <c r="M202" s="52">
        <f>IF(K202="","",INDEX('List A'!$C$5:$C$204,K202-4))</f>
        <v/>
      </c>
      <c r="N202" s="52">
        <f>IF(K202="","",C202-M202)</f>
        <v/>
      </c>
      <c r="O202" s="53">
        <f>IF(OR(A202="",K202=""),"",IF(H202&lt;&gt;"","Manual pair",IF(D202&lt;&gt;"","Reference / ID",MatchMode)))</f>
        <v/>
      </c>
      <c r="P202" s="54">
        <f>IF(I202="","",I202&amp;"|"&amp;J202)</f>
        <v/>
      </c>
      <c r="Q202" s="54">
        <f>IF(L202="Matched",COUNTIF($L$5:L202,"Matched"),"")</f>
        <v/>
      </c>
      <c r="R202" s="54">
        <f>IF(L202="Unmatched",COUNTIF($L$5:L202,"Unmatched"),"")</f>
        <v/>
      </c>
      <c r="S202" s="54">
        <f>IF(L202="Difference",COUNTIF($L$5:L202,"Difference"),"")</f>
        <v/>
      </c>
      <c r="T202" s="55">
        <f>IF(L202="Difference",ABS(N202),0)</f>
        <v/>
      </c>
    </row>
    <row r="203" ht="17" customHeight="1">
      <c r="A203" s="86" t="n"/>
      <c r="B203" s="46" t="n"/>
      <c r="C203" s="47" t="n"/>
      <c r="D203" s="46" t="n"/>
      <c r="E203" s="46" t="n"/>
      <c r="F203" s="46" t="n"/>
      <c r="G203" s="48" t="n"/>
      <c r="H203" s="48" t="n"/>
      <c r="I203" s="49">
        <f>IF(A203="","",IF(H203&lt;&gt;"","M|"&amp;TRIM(H203),IF(AND(MatchMode="Reference / ID only",D203=""),"U|"&amp;ROW(),IF(D203&lt;&gt;"","R|"&amp;TRIM(D203),IF(MatchMode="Amount only","A|"&amp;TEXT(ROUND(C203,2),"0.00"),IF(MatchMode="Amount (tolerance)","T|"&amp;TEXT(ROUND(C203/MAX(N(Tolerance),0.0001),0),"0"),IF(MatchMode="Date + amount (tolerance)","DT|"&amp;TEXT(A203,"yyyy-mm-dd")&amp;"|"&amp;TEXT(ROUND(C203/MAX(N(Tolerance),0.0001),0),"0"),IF(MatchMode="Description (exact)","S|"&amp;LOWER(TRIM(B203)),IF(MatchMode="Reference / ID only","U|"&amp;ROW(),"DA|"&amp;TEXT(A203,"yyyy-mm-dd")&amp;"|"&amp;TEXT(ROUND(C203,2),"0.00"))))))))))</f>
        <v/>
      </c>
      <c r="J203" s="50">
        <f>IF(I203="","",COUNTIF($I$5:I203,I203))</f>
        <v/>
      </c>
      <c r="K203" s="50">
        <f>IF(P203="","",IFERROR(MATCH(P203,ListA_Combo,0)+4,""))</f>
        <v/>
      </c>
      <c r="L203" s="51">
        <f>IF(A203="","",IF(K203="","Unmatched",IF(ABS(C203-M203)&lt;=MAX(N(Tolerance),0),"Matched","Difference")))</f>
        <v/>
      </c>
      <c r="M203" s="52">
        <f>IF(K203="","",INDEX('List A'!$C$5:$C$204,K203-4))</f>
        <v/>
      </c>
      <c r="N203" s="52">
        <f>IF(K203="","",C203-M203)</f>
        <v/>
      </c>
      <c r="O203" s="53">
        <f>IF(OR(A203="",K203=""),"",IF(H203&lt;&gt;"","Manual pair",IF(D203&lt;&gt;"","Reference / ID",MatchMode)))</f>
        <v/>
      </c>
      <c r="P203" s="54">
        <f>IF(I203="","",I203&amp;"|"&amp;J203)</f>
        <v/>
      </c>
      <c r="Q203" s="54">
        <f>IF(L203="Matched",COUNTIF($L$5:L203,"Matched"),"")</f>
        <v/>
      </c>
      <c r="R203" s="54">
        <f>IF(L203="Unmatched",COUNTIF($L$5:L203,"Unmatched"),"")</f>
        <v/>
      </c>
      <c r="S203" s="54">
        <f>IF(L203="Difference",COUNTIF($L$5:L203,"Difference"),"")</f>
        <v/>
      </c>
      <c r="T203" s="55">
        <f>IF(L203="Difference",ABS(N203),0)</f>
        <v/>
      </c>
    </row>
    <row r="204" ht="17" customHeight="1">
      <c r="A204" s="86" t="n"/>
      <c r="B204" s="46" t="n"/>
      <c r="C204" s="47" t="n"/>
      <c r="D204" s="46" t="n"/>
      <c r="E204" s="46" t="n"/>
      <c r="F204" s="46" t="n"/>
      <c r="G204" s="48" t="n"/>
      <c r="H204" s="48" t="n"/>
      <c r="I204" s="49">
        <f>IF(A204="","",IF(H204&lt;&gt;"","M|"&amp;TRIM(H204),IF(AND(MatchMode="Reference / ID only",D204=""),"U|"&amp;ROW(),IF(D204&lt;&gt;"","R|"&amp;TRIM(D204),IF(MatchMode="Amount only","A|"&amp;TEXT(ROUND(C204,2),"0.00"),IF(MatchMode="Amount (tolerance)","T|"&amp;TEXT(ROUND(C204/MAX(N(Tolerance),0.0001),0),"0"),IF(MatchMode="Date + amount (tolerance)","DT|"&amp;TEXT(A204,"yyyy-mm-dd")&amp;"|"&amp;TEXT(ROUND(C204/MAX(N(Tolerance),0.0001),0),"0"),IF(MatchMode="Description (exact)","S|"&amp;LOWER(TRIM(B204)),IF(MatchMode="Reference / ID only","U|"&amp;ROW(),"DA|"&amp;TEXT(A204,"yyyy-mm-dd")&amp;"|"&amp;TEXT(ROUND(C204,2),"0.00"))))))))))</f>
        <v/>
      </c>
      <c r="J204" s="50">
        <f>IF(I204="","",COUNTIF($I$5:I204,I204))</f>
        <v/>
      </c>
      <c r="K204" s="50">
        <f>IF(P204="","",IFERROR(MATCH(P204,ListA_Combo,0)+4,""))</f>
        <v/>
      </c>
      <c r="L204" s="51">
        <f>IF(A204="","",IF(K204="","Unmatched",IF(ABS(C204-M204)&lt;=MAX(N(Tolerance),0),"Matched","Difference")))</f>
        <v/>
      </c>
      <c r="M204" s="52">
        <f>IF(K204="","",INDEX('List A'!$C$5:$C$204,K204-4))</f>
        <v/>
      </c>
      <c r="N204" s="52">
        <f>IF(K204="","",C204-M204)</f>
        <v/>
      </c>
      <c r="O204" s="53">
        <f>IF(OR(A204="",K204=""),"",IF(H204&lt;&gt;"","Manual pair",IF(D204&lt;&gt;"","Reference / ID",MatchMode)))</f>
        <v/>
      </c>
      <c r="P204" s="54">
        <f>IF(I204="","",I204&amp;"|"&amp;J204)</f>
        <v/>
      </c>
      <c r="Q204" s="54">
        <f>IF(L204="Matched",COUNTIF($L$5:L204,"Matched"),"")</f>
        <v/>
      </c>
      <c r="R204" s="54">
        <f>IF(L204="Unmatched",COUNTIF($L$5:L204,"Unmatched"),"")</f>
        <v/>
      </c>
      <c r="S204" s="54">
        <f>IF(L204="Difference",COUNTIF($L$5:L204,"Difference"),"")</f>
        <v/>
      </c>
      <c r="T204" s="55">
        <f>IF(L204="Difference",ABS(N204),0)</f>
        <v/>
      </c>
    </row>
    <row r="205">
      <c r="A205" s="56" t="inlineStr">
        <is>
          <t>TOTAL</t>
        </is>
      </c>
      <c r="B205" s="57" t="n"/>
      <c r="C205" s="58">
        <f>SUM(C5:C204)</f>
        <v/>
      </c>
      <c r="D205" s="57" t="n"/>
      <c r="E205" s="57" t="n"/>
      <c r="F205" s="57" t="n"/>
      <c r="G205" s="57" t="n"/>
      <c r="H205" s="57" t="n"/>
      <c r="I205" s="57" t="n"/>
      <c r="J205" s="57" t="n"/>
      <c r="K205" s="57" t="n"/>
      <c r="L205" s="57" t="n"/>
      <c r="M205" s="57" t="n"/>
      <c r="N205" s="57" t="n"/>
      <c r="O205" s="57" t="n"/>
    </row>
    <row r="207" ht="26" customHeight="1">
      <c r="A207" s="40" t="inlineStr">
        <is>
          <t>To start a new reconciliation: delete values in columns A–H only (leave gray formula columns). Or File → Save As / Make a copy first so you keep this period.</t>
        </is>
      </c>
    </row>
  </sheetData>
  <autoFilter ref="A4:O204"/>
  <mergeCells count="4">
    <mergeCell ref="A1:O1"/>
    <mergeCell ref="A2:O2"/>
    <mergeCell ref="A3:O3"/>
    <mergeCell ref="A207:O207"/>
  </mergeCells>
  <conditionalFormatting sqref="A5:O204">
    <cfRule type="expression" priority="1" dxfId="4">
      <formula>$L5="Matched"</formula>
    </cfRule>
    <cfRule type="expression" priority="2" dxfId="5">
      <formula>$L5="Difference"</formula>
    </cfRule>
    <cfRule type="expression" priority="3" dxfId="6">
      <formula>$L5="Unmatched"</formula>
    </cfRule>
  </conditionalFormatting>
  <conditionalFormatting sqref="G5:G204">
    <cfRule type="expression" priority="4" dxfId="7">
      <formula>$G5="Reviewed"</formula>
    </cfRule>
  </conditionalFormatting>
  <dataValidations count="3">
    <dataValidation sqref="G5:G204" showDropDown="0" showInputMessage="0" showErrorMessage="0" allowBlank="1" type="list">
      <formula1>=Dashboard!$N$9</formula1>
    </dataValidation>
    <dataValidation sqref="A5:A204" showDropDown="0" showInputMessage="0" showErrorMessage="0" allowBlank="1" type="date" operator="greaterThanOrEqual">
      <formula1>DATE(1990,1,1)</formula1>
    </dataValidation>
    <dataValidation sqref="C5:C204" showDropDown="0" showInputMessage="0" showErrorMessage="0" allowBlank="1" type="decimal" operator="between">
      <formula1>-10000000</formula1>
      <formula2>10000000</formula2>
    </dataValidation>
  </dataValidations>
  <printOptions horizontalCentered="1"/>
  <pageMargins left="0.5" right="0.5" top="0.55" bottom="0.55" header="0.3" footer="0.3"/>
  <pageSetup orientation="landscape" paperSize="1" fitToHeight="0" fitToWidth="1"/>
  <headerFooter>
    <oddHeader>&amp;LList B</oddHeader>
    <oddFooter>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1B7A4E"/>
    <outlinePr summaryBelow="1" summaryRight="1"/>
    <pageSetUpPr fitToPage="1"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8" customWidth="1" min="6" max="6"/>
    <col width="13" customWidth="1" min="7" max="7"/>
    <col width="14" customWidth="1" min="8" max="8"/>
    <col width="12" customWidth="1" min="9" max="9"/>
    <col width="16" customWidth="1" min="10" max="10"/>
  </cols>
  <sheetData>
    <row r="1" ht="30" customHeight="1">
      <c r="A1" s="1" t="inlineStr">
        <is>
          <t>Matched</t>
        </is>
      </c>
    </row>
    <row r="2">
      <c r="A2" s="59" t="inlineStr">
        <is>
          <t>This sheet is calculated. Do not type here. It updates when List A / List B change.</t>
        </is>
      </c>
    </row>
    <row r="3">
      <c r="A3" s="43">
        <f>COUNTIF('List A'!$L$5:$L$204,"Matched")&amp;" row(s)   ·   Change Match method on the Dashboard if the wrong items appear here."</f>
        <v/>
      </c>
    </row>
    <row r="4" ht="28" customHeight="1">
      <c r="A4" s="44" t="inlineStr">
        <is>
          <t>List A date</t>
        </is>
      </c>
      <c r="B4" s="44" t="inlineStr">
        <is>
          <t>List A description</t>
        </is>
      </c>
      <c r="C4" s="44" t="inlineStr">
        <is>
          <t>List A amount</t>
        </is>
      </c>
      <c r="D4" s="44" t="inlineStr">
        <is>
          <t>List A ID</t>
        </is>
      </c>
      <c r="E4" s="44" t="inlineStr">
        <is>
          <t>List B date</t>
        </is>
      </c>
      <c r="F4" s="44" t="inlineStr">
        <is>
          <t>List B description</t>
        </is>
      </c>
      <c r="G4" s="44" t="inlineStr">
        <is>
          <t>List B amount</t>
        </is>
      </c>
      <c r="H4" s="44" t="inlineStr">
        <is>
          <t>List B ID</t>
        </is>
      </c>
      <c r="I4" s="44" t="inlineStr">
        <is>
          <t>Difference</t>
        </is>
      </c>
      <c r="J4" s="44" t="inlineStr">
        <is>
          <t>How matched</t>
        </is>
      </c>
    </row>
    <row r="5" ht="17" customHeight="1">
      <c r="A5" s="87">
        <f>IF(IFERROR(MATCH(1,'List A'!$Q$5:$Q$204,0)+4,"")="","",INDEX('List A'!$A$5:$A$204,IFERROR(MATCH(1,'List A'!$Q$5:$Q$204,0)+4,"")-4))</f>
        <v/>
      </c>
      <c r="B5" s="53">
        <f>IF(IFERROR(MATCH(1,'List A'!$Q$5:$Q$204,0)+4,"")="","",INDEX('List A'!$B$5:$B$204,IFERROR(MATCH(1,'List A'!$Q$5:$Q$204,0)+4,"")-4))</f>
        <v/>
      </c>
      <c r="C5" s="52">
        <f>IF(IFERROR(MATCH(1,'List A'!$Q$5:$Q$204,0)+4,"")="","",INDEX('List A'!$C$5:$C$204,IFERROR(MATCH(1,'List A'!$Q$5:$Q$204,0)+4,"")-4))</f>
        <v/>
      </c>
      <c r="D5" s="53">
        <f>IF(IFERROR(MATCH(1,'List A'!$Q$5:$Q$204,0)+4,"")="","",INDEX('List A'!$D$5:$D$204,IFERROR(MATCH(1,'List A'!$Q$5:$Q$204,0)+4,"")-4))</f>
        <v/>
      </c>
      <c r="E5" s="87">
        <f>IF(OR(IFERROR(MATCH(1,'List A'!$Q$5:$Q$204,0)+4,"")="",IF(IFERROR(MATCH(1,'List A'!$Q$5:$Q$204,0)+4,"")="","",INDEX('List A'!$K$5:$K$204,IFERROR(MATCH(1,'List A'!$Q$5:$Q$204,0)+4,"")-4))=""),"",INDEX('List B'!$A$5:$A$204,IF(IFERROR(MATCH(1,'List A'!$Q$5:$Q$204,0)+4,"")="","",INDEX('List A'!$K$5:$K$204,IFERROR(MATCH(1,'List A'!$Q$5:$Q$204,0)+4,"")-4))-4))</f>
        <v/>
      </c>
      <c r="F5" s="53">
        <f>IF(OR(IFERROR(MATCH(1,'List A'!$Q$5:$Q$204,0)+4,"")="",IF(IFERROR(MATCH(1,'List A'!$Q$5:$Q$204,0)+4,"")="","",INDEX('List A'!$K$5:$K$204,IFERROR(MATCH(1,'List A'!$Q$5:$Q$204,0)+4,"")-4))=""),"",INDEX('List B'!$B$5:$B$204,IF(IFERROR(MATCH(1,'List A'!$Q$5:$Q$204,0)+4,"")="","",INDEX('List A'!$K$5:$K$204,IFERROR(MATCH(1,'List A'!$Q$5:$Q$204,0)+4,"")-4))-4))</f>
        <v/>
      </c>
      <c r="G5" s="52">
        <f>IF(OR(IFERROR(MATCH(1,'List A'!$Q$5:$Q$204,0)+4,"")="",IF(IFERROR(MATCH(1,'List A'!$Q$5:$Q$204,0)+4,"")="","",INDEX('List A'!$K$5:$K$204,IFERROR(MATCH(1,'List A'!$Q$5:$Q$204,0)+4,"")-4))=""),"",INDEX('List B'!$C$5:$C$204,IF(IFERROR(MATCH(1,'List A'!$Q$5:$Q$204,0)+4,"")="","",INDEX('List A'!$K$5:$K$204,IFERROR(MATCH(1,'List A'!$Q$5:$Q$204,0)+4,"")-4))-4))</f>
        <v/>
      </c>
      <c r="H5" s="53">
        <f>IF(OR(IFERROR(MATCH(1,'List A'!$Q$5:$Q$204,0)+4,"")="",IF(IFERROR(MATCH(1,'List A'!$Q$5:$Q$204,0)+4,"")="","",INDEX('List A'!$K$5:$K$204,IFERROR(MATCH(1,'List A'!$Q$5:$Q$204,0)+4,"")-4))=""),"",INDEX('List B'!$D$5:$D$204,IF(IFERROR(MATCH(1,'List A'!$Q$5:$Q$204,0)+4,"")="","",INDEX('List A'!$K$5:$K$204,IFERROR(MATCH(1,'List A'!$Q$5:$Q$204,0)+4,"")-4))-4))</f>
        <v/>
      </c>
      <c r="I5" s="52">
        <f>IF(IFERROR(MATCH(1,'List A'!$Q$5:$Q$204,0)+4,"")="","",INDEX('List A'!$N$5:$N$204,IFERROR(MATCH(1,'List A'!$Q$5:$Q$204,0)+4,"")-4))</f>
        <v/>
      </c>
      <c r="J5" s="53">
        <f>IF(IFERROR(MATCH(1,'List A'!$Q$5:$Q$204,0)+4,"")="","",INDEX('List A'!$O$5:$O$204,IFERROR(MATCH(1,'List A'!$Q$5:$Q$204,0)+4,"")-4))</f>
        <v/>
      </c>
    </row>
    <row r="6" ht="17" customHeight="1">
      <c r="A6" s="87">
        <f>IF(IFERROR(MATCH(2,'List A'!$Q$5:$Q$204,0)+4,"")="","",INDEX('List A'!$A$5:$A$204,IFERROR(MATCH(2,'List A'!$Q$5:$Q$204,0)+4,"")-4))</f>
        <v/>
      </c>
      <c r="B6" s="53">
        <f>IF(IFERROR(MATCH(2,'List A'!$Q$5:$Q$204,0)+4,"")="","",INDEX('List A'!$B$5:$B$204,IFERROR(MATCH(2,'List A'!$Q$5:$Q$204,0)+4,"")-4))</f>
        <v/>
      </c>
      <c r="C6" s="52">
        <f>IF(IFERROR(MATCH(2,'List A'!$Q$5:$Q$204,0)+4,"")="","",INDEX('List A'!$C$5:$C$204,IFERROR(MATCH(2,'List A'!$Q$5:$Q$204,0)+4,"")-4))</f>
        <v/>
      </c>
      <c r="D6" s="53">
        <f>IF(IFERROR(MATCH(2,'List A'!$Q$5:$Q$204,0)+4,"")="","",INDEX('List A'!$D$5:$D$204,IFERROR(MATCH(2,'List A'!$Q$5:$Q$204,0)+4,"")-4))</f>
        <v/>
      </c>
      <c r="E6" s="87">
        <f>IF(OR(IFERROR(MATCH(2,'List A'!$Q$5:$Q$204,0)+4,"")="",IF(IFERROR(MATCH(2,'List A'!$Q$5:$Q$204,0)+4,"")="","",INDEX('List A'!$K$5:$K$204,IFERROR(MATCH(2,'List A'!$Q$5:$Q$204,0)+4,"")-4))=""),"",INDEX('List B'!$A$5:$A$204,IF(IFERROR(MATCH(2,'List A'!$Q$5:$Q$204,0)+4,"")="","",INDEX('List A'!$K$5:$K$204,IFERROR(MATCH(2,'List A'!$Q$5:$Q$204,0)+4,"")-4))-4))</f>
        <v/>
      </c>
      <c r="F6" s="53">
        <f>IF(OR(IFERROR(MATCH(2,'List A'!$Q$5:$Q$204,0)+4,"")="",IF(IFERROR(MATCH(2,'List A'!$Q$5:$Q$204,0)+4,"")="","",INDEX('List A'!$K$5:$K$204,IFERROR(MATCH(2,'List A'!$Q$5:$Q$204,0)+4,"")-4))=""),"",INDEX('List B'!$B$5:$B$204,IF(IFERROR(MATCH(2,'List A'!$Q$5:$Q$204,0)+4,"")="","",INDEX('List A'!$K$5:$K$204,IFERROR(MATCH(2,'List A'!$Q$5:$Q$204,0)+4,"")-4))-4))</f>
        <v/>
      </c>
      <c r="G6" s="52">
        <f>IF(OR(IFERROR(MATCH(2,'List A'!$Q$5:$Q$204,0)+4,"")="",IF(IFERROR(MATCH(2,'List A'!$Q$5:$Q$204,0)+4,"")="","",INDEX('List A'!$K$5:$K$204,IFERROR(MATCH(2,'List A'!$Q$5:$Q$204,0)+4,"")-4))=""),"",INDEX('List B'!$C$5:$C$204,IF(IFERROR(MATCH(2,'List A'!$Q$5:$Q$204,0)+4,"")="","",INDEX('List A'!$K$5:$K$204,IFERROR(MATCH(2,'List A'!$Q$5:$Q$204,0)+4,"")-4))-4))</f>
        <v/>
      </c>
      <c r="H6" s="53">
        <f>IF(OR(IFERROR(MATCH(2,'List A'!$Q$5:$Q$204,0)+4,"")="",IF(IFERROR(MATCH(2,'List A'!$Q$5:$Q$204,0)+4,"")="","",INDEX('List A'!$K$5:$K$204,IFERROR(MATCH(2,'List A'!$Q$5:$Q$204,0)+4,"")-4))=""),"",INDEX('List B'!$D$5:$D$204,IF(IFERROR(MATCH(2,'List A'!$Q$5:$Q$204,0)+4,"")="","",INDEX('List A'!$K$5:$K$204,IFERROR(MATCH(2,'List A'!$Q$5:$Q$204,0)+4,"")-4))-4))</f>
        <v/>
      </c>
      <c r="I6" s="52">
        <f>IF(IFERROR(MATCH(2,'List A'!$Q$5:$Q$204,0)+4,"")="","",INDEX('List A'!$N$5:$N$204,IFERROR(MATCH(2,'List A'!$Q$5:$Q$204,0)+4,"")-4))</f>
        <v/>
      </c>
      <c r="J6" s="53">
        <f>IF(IFERROR(MATCH(2,'List A'!$Q$5:$Q$204,0)+4,"")="","",INDEX('List A'!$O$5:$O$204,IFERROR(MATCH(2,'List A'!$Q$5:$Q$204,0)+4,"")-4))</f>
        <v/>
      </c>
    </row>
    <row r="7" ht="17" customHeight="1">
      <c r="A7" s="87">
        <f>IF(IFERROR(MATCH(3,'List A'!$Q$5:$Q$204,0)+4,"")="","",INDEX('List A'!$A$5:$A$204,IFERROR(MATCH(3,'List A'!$Q$5:$Q$204,0)+4,"")-4))</f>
        <v/>
      </c>
      <c r="B7" s="53">
        <f>IF(IFERROR(MATCH(3,'List A'!$Q$5:$Q$204,0)+4,"")="","",INDEX('List A'!$B$5:$B$204,IFERROR(MATCH(3,'List A'!$Q$5:$Q$204,0)+4,"")-4))</f>
        <v/>
      </c>
      <c r="C7" s="52">
        <f>IF(IFERROR(MATCH(3,'List A'!$Q$5:$Q$204,0)+4,"")="","",INDEX('List A'!$C$5:$C$204,IFERROR(MATCH(3,'List A'!$Q$5:$Q$204,0)+4,"")-4))</f>
        <v/>
      </c>
      <c r="D7" s="53">
        <f>IF(IFERROR(MATCH(3,'List A'!$Q$5:$Q$204,0)+4,"")="","",INDEX('List A'!$D$5:$D$204,IFERROR(MATCH(3,'List A'!$Q$5:$Q$204,0)+4,"")-4))</f>
        <v/>
      </c>
      <c r="E7" s="87">
        <f>IF(OR(IFERROR(MATCH(3,'List A'!$Q$5:$Q$204,0)+4,"")="",IF(IFERROR(MATCH(3,'List A'!$Q$5:$Q$204,0)+4,"")="","",INDEX('List A'!$K$5:$K$204,IFERROR(MATCH(3,'List A'!$Q$5:$Q$204,0)+4,"")-4))=""),"",INDEX('List B'!$A$5:$A$204,IF(IFERROR(MATCH(3,'List A'!$Q$5:$Q$204,0)+4,"")="","",INDEX('List A'!$K$5:$K$204,IFERROR(MATCH(3,'List A'!$Q$5:$Q$204,0)+4,"")-4))-4))</f>
        <v/>
      </c>
      <c r="F7" s="53">
        <f>IF(OR(IFERROR(MATCH(3,'List A'!$Q$5:$Q$204,0)+4,"")="",IF(IFERROR(MATCH(3,'List A'!$Q$5:$Q$204,0)+4,"")="","",INDEX('List A'!$K$5:$K$204,IFERROR(MATCH(3,'List A'!$Q$5:$Q$204,0)+4,"")-4))=""),"",INDEX('List B'!$B$5:$B$204,IF(IFERROR(MATCH(3,'List A'!$Q$5:$Q$204,0)+4,"")="","",INDEX('List A'!$K$5:$K$204,IFERROR(MATCH(3,'List A'!$Q$5:$Q$204,0)+4,"")-4))-4))</f>
        <v/>
      </c>
      <c r="G7" s="52">
        <f>IF(OR(IFERROR(MATCH(3,'List A'!$Q$5:$Q$204,0)+4,"")="",IF(IFERROR(MATCH(3,'List A'!$Q$5:$Q$204,0)+4,"")="","",INDEX('List A'!$K$5:$K$204,IFERROR(MATCH(3,'List A'!$Q$5:$Q$204,0)+4,"")-4))=""),"",INDEX('List B'!$C$5:$C$204,IF(IFERROR(MATCH(3,'List A'!$Q$5:$Q$204,0)+4,"")="","",INDEX('List A'!$K$5:$K$204,IFERROR(MATCH(3,'List A'!$Q$5:$Q$204,0)+4,"")-4))-4))</f>
        <v/>
      </c>
      <c r="H7" s="53">
        <f>IF(OR(IFERROR(MATCH(3,'List A'!$Q$5:$Q$204,0)+4,"")="",IF(IFERROR(MATCH(3,'List A'!$Q$5:$Q$204,0)+4,"")="","",INDEX('List A'!$K$5:$K$204,IFERROR(MATCH(3,'List A'!$Q$5:$Q$204,0)+4,"")-4))=""),"",INDEX('List B'!$D$5:$D$204,IF(IFERROR(MATCH(3,'List A'!$Q$5:$Q$204,0)+4,"")="","",INDEX('List A'!$K$5:$K$204,IFERROR(MATCH(3,'List A'!$Q$5:$Q$204,0)+4,"")-4))-4))</f>
        <v/>
      </c>
      <c r="I7" s="52">
        <f>IF(IFERROR(MATCH(3,'List A'!$Q$5:$Q$204,0)+4,"")="","",INDEX('List A'!$N$5:$N$204,IFERROR(MATCH(3,'List A'!$Q$5:$Q$204,0)+4,"")-4))</f>
        <v/>
      </c>
      <c r="J7" s="53">
        <f>IF(IFERROR(MATCH(3,'List A'!$Q$5:$Q$204,0)+4,"")="","",INDEX('List A'!$O$5:$O$204,IFERROR(MATCH(3,'List A'!$Q$5:$Q$204,0)+4,"")-4))</f>
        <v/>
      </c>
    </row>
    <row r="8" ht="17" customHeight="1">
      <c r="A8" s="87">
        <f>IF(IFERROR(MATCH(4,'List A'!$Q$5:$Q$204,0)+4,"")="","",INDEX('List A'!$A$5:$A$204,IFERROR(MATCH(4,'List A'!$Q$5:$Q$204,0)+4,"")-4))</f>
        <v/>
      </c>
      <c r="B8" s="53">
        <f>IF(IFERROR(MATCH(4,'List A'!$Q$5:$Q$204,0)+4,"")="","",INDEX('List A'!$B$5:$B$204,IFERROR(MATCH(4,'List A'!$Q$5:$Q$204,0)+4,"")-4))</f>
        <v/>
      </c>
      <c r="C8" s="52">
        <f>IF(IFERROR(MATCH(4,'List A'!$Q$5:$Q$204,0)+4,"")="","",INDEX('List A'!$C$5:$C$204,IFERROR(MATCH(4,'List A'!$Q$5:$Q$204,0)+4,"")-4))</f>
        <v/>
      </c>
      <c r="D8" s="53">
        <f>IF(IFERROR(MATCH(4,'List A'!$Q$5:$Q$204,0)+4,"")="","",INDEX('List A'!$D$5:$D$204,IFERROR(MATCH(4,'List A'!$Q$5:$Q$204,0)+4,"")-4))</f>
        <v/>
      </c>
      <c r="E8" s="87">
        <f>IF(OR(IFERROR(MATCH(4,'List A'!$Q$5:$Q$204,0)+4,"")="",IF(IFERROR(MATCH(4,'List A'!$Q$5:$Q$204,0)+4,"")="","",INDEX('List A'!$K$5:$K$204,IFERROR(MATCH(4,'List A'!$Q$5:$Q$204,0)+4,"")-4))=""),"",INDEX('List B'!$A$5:$A$204,IF(IFERROR(MATCH(4,'List A'!$Q$5:$Q$204,0)+4,"")="","",INDEX('List A'!$K$5:$K$204,IFERROR(MATCH(4,'List A'!$Q$5:$Q$204,0)+4,"")-4))-4))</f>
        <v/>
      </c>
      <c r="F8" s="53">
        <f>IF(OR(IFERROR(MATCH(4,'List A'!$Q$5:$Q$204,0)+4,"")="",IF(IFERROR(MATCH(4,'List A'!$Q$5:$Q$204,0)+4,"")="","",INDEX('List A'!$K$5:$K$204,IFERROR(MATCH(4,'List A'!$Q$5:$Q$204,0)+4,"")-4))=""),"",INDEX('List B'!$B$5:$B$204,IF(IFERROR(MATCH(4,'List A'!$Q$5:$Q$204,0)+4,"")="","",INDEX('List A'!$K$5:$K$204,IFERROR(MATCH(4,'List A'!$Q$5:$Q$204,0)+4,"")-4))-4))</f>
        <v/>
      </c>
      <c r="G8" s="52">
        <f>IF(OR(IFERROR(MATCH(4,'List A'!$Q$5:$Q$204,0)+4,"")="",IF(IFERROR(MATCH(4,'List A'!$Q$5:$Q$204,0)+4,"")="","",INDEX('List A'!$K$5:$K$204,IFERROR(MATCH(4,'List A'!$Q$5:$Q$204,0)+4,"")-4))=""),"",INDEX('List B'!$C$5:$C$204,IF(IFERROR(MATCH(4,'List A'!$Q$5:$Q$204,0)+4,"")="","",INDEX('List A'!$K$5:$K$204,IFERROR(MATCH(4,'List A'!$Q$5:$Q$204,0)+4,"")-4))-4))</f>
        <v/>
      </c>
      <c r="H8" s="53">
        <f>IF(OR(IFERROR(MATCH(4,'List A'!$Q$5:$Q$204,0)+4,"")="",IF(IFERROR(MATCH(4,'List A'!$Q$5:$Q$204,0)+4,"")="","",INDEX('List A'!$K$5:$K$204,IFERROR(MATCH(4,'List A'!$Q$5:$Q$204,0)+4,"")-4))=""),"",INDEX('List B'!$D$5:$D$204,IF(IFERROR(MATCH(4,'List A'!$Q$5:$Q$204,0)+4,"")="","",INDEX('List A'!$K$5:$K$204,IFERROR(MATCH(4,'List A'!$Q$5:$Q$204,0)+4,"")-4))-4))</f>
        <v/>
      </c>
      <c r="I8" s="52">
        <f>IF(IFERROR(MATCH(4,'List A'!$Q$5:$Q$204,0)+4,"")="","",INDEX('List A'!$N$5:$N$204,IFERROR(MATCH(4,'List A'!$Q$5:$Q$204,0)+4,"")-4))</f>
        <v/>
      </c>
      <c r="J8" s="53">
        <f>IF(IFERROR(MATCH(4,'List A'!$Q$5:$Q$204,0)+4,"")="","",INDEX('List A'!$O$5:$O$204,IFERROR(MATCH(4,'List A'!$Q$5:$Q$204,0)+4,"")-4))</f>
        <v/>
      </c>
    </row>
    <row r="9" ht="17" customHeight="1">
      <c r="A9" s="87">
        <f>IF(IFERROR(MATCH(5,'List A'!$Q$5:$Q$204,0)+4,"")="","",INDEX('List A'!$A$5:$A$204,IFERROR(MATCH(5,'List A'!$Q$5:$Q$204,0)+4,"")-4))</f>
        <v/>
      </c>
      <c r="B9" s="53">
        <f>IF(IFERROR(MATCH(5,'List A'!$Q$5:$Q$204,0)+4,"")="","",INDEX('List A'!$B$5:$B$204,IFERROR(MATCH(5,'List A'!$Q$5:$Q$204,0)+4,"")-4))</f>
        <v/>
      </c>
      <c r="C9" s="52">
        <f>IF(IFERROR(MATCH(5,'List A'!$Q$5:$Q$204,0)+4,"")="","",INDEX('List A'!$C$5:$C$204,IFERROR(MATCH(5,'List A'!$Q$5:$Q$204,0)+4,"")-4))</f>
        <v/>
      </c>
      <c r="D9" s="53">
        <f>IF(IFERROR(MATCH(5,'List A'!$Q$5:$Q$204,0)+4,"")="","",INDEX('List A'!$D$5:$D$204,IFERROR(MATCH(5,'List A'!$Q$5:$Q$204,0)+4,"")-4))</f>
        <v/>
      </c>
      <c r="E9" s="87">
        <f>IF(OR(IFERROR(MATCH(5,'List A'!$Q$5:$Q$204,0)+4,"")="",IF(IFERROR(MATCH(5,'List A'!$Q$5:$Q$204,0)+4,"")="","",INDEX('List A'!$K$5:$K$204,IFERROR(MATCH(5,'List A'!$Q$5:$Q$204,0)+4,"")-4))=""),"",INDEX('List B'!$A$5:$A$204,IF(IFERROR(MATCH(5,'List A'!$Q$5:$Q$204,0)+4,"")="","",INDEX('List A'!$K$5:$K$204,IFERROR(MATCH(5,'List A'!$Q$5:$Q$204,0)+4,"")-4))-4))</f>
        <v/>
      </c>
      <c r="F9" s="53">
        <f>IF(OR(IFERROR(MATCH(5,'List A'!$Q$5:$Q$204,0)+4,"")="",IF(IFERROR(MATCH(5,'List A'!$Q$5:$Q$204,0)+4,"")="","",INDEX('List A'!$K$5:$K$204,IFERROR(MATCH(5,'List A'!$Q$5:$Q$204,0)+4,"")-4))=""),"",INDEX('List B'!$B$5:$B$204,IF(IFERROR(MATCH(5,'List A'!$Q$5:$Q$204,0)+4,"")="","",INDEX('List A'!$K$5:$K$204,IFERROR(MATCH(5,'List A'!$Q$5:$Q$204,0)+4,"")-4))-4))</f>
        <v/>
      </c>
      <c r="G9" s="52">
        <f>IF(OR(IFERROR(MATCH(5,'List A'!$Q$5:$Q$204,0)+4,"")="",IF(IFERROR(MATCH(5,'List A'!$Q$5:$Q$204,0)+4,"")="","",INDEX('List A'!$K$5:$K$204,IFERROR(MATCH(5,'List A'!$Q$5:$Q$204,0)+4,"")-4))=""),"",INDEX('List B'!$C$5:$C$204,IF(IFERROR(MATCH(5,'List A'!$Q$5:$Q$204,0)+4,"")="","",INDEX('List A'!$K$5:$K$204,IFERROR(MATCH(5,'List A'!$Q$5:$Q$204,0)+4,"")-4))-4))</f>
        <v/>
      </c>
      <c r="H9" s="53">
        <f>IF(OR(IFERROR(MATCH(5,'List A'!$Q$5:$Q$204,0)+4,"")="",IF(IFERROR(MATCH(5,'List A'!$Q$5:$Q$204,0)+4,"")="","",INDEX('List A'!$K$5:$K$204,IFERROR(MATCH(5,'List A'!$Q$5:$Q$204,0)+4,"")-4))=""),"",INDEX('List B'!$D$5:$D$204,IF(IFERROR(MATCH(5,'List A'!$Q$5:$Q$204,0)+4,"")="","",INDEX('List A'!$K$5:$K$204,IFERROR(MATCH(5,'List A'!$Q$5:$Q$204,0)+4,"")-4))-4))</f>
        <v/>
      </c>
      <c r="I9" s="52">
        <f>IF(IFERROR(MATCH(5,'List A'!$Q$5:$Q$204,0)+4,"")="","",INDEX('List A'!$N$5:$N$204,IFERROR(MATCH(5,'List A'!$Q$5:$Q$204,0)+4,"")-4))</f>
        <v/>
      </c>
      <c r="J9" s="53">
        <f>IF(IFERROR(MATCH(5,'List A'!$Q$5:$Q$204,0)+4,"")="","",INDEX('List A'!$O$5:$O$204,IFERROR(MATCH(5,'List A'!$Q$5:$Q$204,0)+4,"")-4))</f>
        <v/>
      </c>
    </row>
    <row r="10" ht="17" customHeight="1">
      <c r="A10" s="87">
        <f>IF(IFERROR(MATCH(6,'List A'!$Q$5:$Q$204,0)+4,"")="","",INDEX('List A'!$A$5:$A$204,IFERROR(MATCH(6,'List A'!$Q$5:$Q$204,0)+4,"")-4))</f>
        <v/>
      </c>
      <c r="B10" s="53">
        <f>IF(IFERROR(MATCH(6,'List A'!$Q$5:$Q$204,0)+4,"")="","",INDEX('List A'!$B$5:$B$204,IFERROR(MATCH(6,'List A'!$Q$5:$Q$204,0)+4,"")-4))</f>
        <v/>
      </c>
      <c r="C10" s="52">
        <f>IF(IFERROR(MATCH(6,'List A'!$Q$5:$Q$204,0)+4,"")="","",INDEX('List A'!$C$5:$C$204,IFERROR(MATCH(6,'List A'!$Q$5:$Q$204,0)+4,"")-4))</f>
        <v/>
      </c>
      <c r="D10" s="53">
        <f>IF(IFERROR(MATCH(6,'List A'!$Q$5:$Q$204,0)+4,"")="","",INDEX('List A'!$D$5:$D$204,IFERROR(MATCH(6,'List A'!$Q$5:$Q$204,0)+4,"")-4))</f>
        <v/>
      </c>
      <c r="E10" s="87">
        <f>IF(OR(IFERROR(MATCH(6,'List A'!$Q$5:$Q$204,0)+4,"")="",IF(IFERROR(MATCH(6,'List A'!$Q$5:$Q$204,0)+4,"")="","",INDEX('List A'!$K$5:$K$204,IFERROR(MATCH(6,'List A'!$Q$5:$Q$204,0)+4,"")-4))=""),"",INDEX('List B'!$A$5:$A$204,IF(IFERROR(MATCH(6,'List A'!$Q$5:$Q$204,0)+4,"")="","",INDEX('List A'!$K$5:$K$204,IFERROR(MATCH(6,'List A'!$Q$5:$Q$204,0)+4,"")-4))-4))</f>
        <v/>
      </c>
      <c r="F10" s="53">
        <f>IF(OR(IFERROR(MATCH(6,'List A'!$Q$5:$Q$204,0)+4,"")="",IF(IFERROR(MATCH(6,'List A'!$Q$5:$Q$204,0)+4,"")="","",INDEX('List A'!$K$5:$K$204,IFERROR(MATCH(6,'List A'!$Q$5:$Q$204,0)+4,"")-4))=""),"",INDEX('List B'!$B$5:$B$204,IF(IFERROR(MATCH(6,'List A'!$Q$5:$Q$204,0)+4,"")="","",INDEX('List A'!$K$5:$K$204,IFERROR(MATCH(6,'List A'!$Q$5:$Q$204,0)+4,"")-4))-4))</f>
        <v/>
      </c>
      <c r="G10" s="52">
        <f>IF(OR(IFERROR(MATCH(6,'List A'!$Q$5:$Q$204,0)+4,"")="",IF(IFERROR(MATCH(6,'List A'!$Q$5:$Q$204,0)+4,"")="","",INDEX('List A'!$K$5:$K$204,IFERROR(MATCH(6,'List A'!$Q$5:$Q$204,0)+4,"")-4))=""),"",INDEX('List B'!$C$5:$C$204,IF(IFERROR(MATCH(6,'List A'!$Q$5:$Q$204,0)+4,"")="","",INDEX('List A'!$K$5:$K$204,IFERROR(MATCH(6,'List A'!$Q$5:$Q$204,0)+4,"")-4))-4))</f>
        <v/>
      </c>
      <c r="H10" s="53">
        <f>IF(OR(IFERROR(MATCH(6,'List A'!$Q$5:$Q$204,0)+4,"")="",IF(IFERROR(MATCH(6,'List A'!$Q$5:$Q$204,0)+4,"")="","",INDEX('List A'!$K$5:$K$204,IFERROR(MATCH(6,'List A'!$Q$5:$Q$204,0)+4,"")-4))=""),"",INDEX('List B'!$D$5:$D$204,IF(IFERROR(MATCH(6,'List A'!$Q$5:$Q$204,0)+4,"")="","",INDEX('List A'!$K$5:$K$204,IFERROR(MATCH(6,'List A'!$Q$5:$Q$204,0)+4,"")-4))-4))</f>
        <v/>
      </c>
      <c r="I10" s="52">
        <f>IF(IFERROR(MATCH(6,'List A'!$Q$5:$Q$204,0)+4,"")="","",INDEX('List A'!$N$5:$N$204,IFERROR(MATCH(6,'List A'!$Q$5:$Q$204,0)+4,"")-4))</f>
        <v/>
      </c>
      <c r="J10" s="53">
        <f>IF(IFERROR(MATCH(6,'List A'!$Q$5:$Q$204,0)+4,"")="","",INDEX('List A'!$O$5:$O$204,IFERROR(MATCH(6,'List A'!$Q$5:$Q$204,0)+4,"")-4))</f>
        <v/>
      </c>
    </row>
    <row r="11" ht="17" customHeight="1">
      <c r="A11" s="87">
        <f>IF(IFERROR(MATCH(7,'List A'!$Q$5:$Q$204,0)+4,"")="","",INDEX('List A'!$A$5:$A$204,IFERROR(MATCH(7,'List A'!$Q$5:$Q$204,0)+4,"")-4))</f>
        <v/>
      </c>
      <c r="B11" s="53">
        <f>IF(IFERROR(MATCH(7,'List A'!$Q$5:$Q$204,0)+4,"")="","",INDEX('List A'!$B$5:$B$204,IFERROR(MATCH(7,'List A'!$Q$5:$Q$204,0)+4,"")-4))</f>
        <v/>
      </c>
      <c r="C11" s="52">
        <f>IF(IFERROR(MATCH(7,'List A'!$Q$5:$Q$204,0)+4,"")="","",INDEX('List A'!$C$5:$C$204,IFERROR(MATCH(7,'List A'!$Q$5:$Q$204,0)+4,"")-4))</f>
        <v/>
      </c>
      <c r="D11" s="53">
        <f>IF(IFERROR(MATCH(7,'List A'!$Q$5:$Q$204,0)+4,"")="","",INDEX('List A'!$D$5:$D$204,IFERROR(MATCH(7,'List A'!$Q$5:$Q$204,0)+4,"")-4))</f>
        <v/>
      </c>
      <c r="E11" s="87">
        <f>IF(OR(IFERROR(MATCH(7,'List A'!$Q$5:$Q$204,0)+4,"")="",IF(IFERROR(MATCH(7,'List A'!$Q$5:$Q$204,0)+4,"")="","",INDEX('List A'!$K$5:$K$204,IFERROR(MATCH(7,'List A'!$Q$5:$Q$204,0)+4,"")-4))=""),"",INDEX('List B'!$A$5:$A$204,IF(IFERROR(MATCH(7,'List A'!$Q$5:$Q$204,0)+4,"")="","",INDEX('List A'!$K$5:$K$204,IFERROR(MATCH(7,'List A'!$Q$5:$Q$204,0)+4,"")-4))-4))</f>
        <v/>
      </c>
      <c r="F11" s="53">
        <f>IF(OR(IFERROR(MATCH(7,'List A'!$Q$5:$Q$204,0)+4,"")="",IF(IFERROR(MATCH(7,'List A'!$Q$5:$Q$204,0)+4,"")="","",INDEX('List A'!$K$5:$K$204,IFERROR(MATCH(7,'List A'!$Q$5:$Q$204,0)+4,"")-4))=""),"",INDEX('List B'!$B$5:$B$204,IF(IFERROR(MATCH(7,'List A'!$Q$5:$Q$204,0)+4,"")="","",INDEX('List A'!$K$5:$K$204,IFERROR(MATCH(7,'List A'!$Q$5:$Q$204,0)+4,"")-4))-4))</f>
        <v/>
      </c>
      <c r="G11" s="52">
        <f>IF(OR(IFERROR(MATCH(7,'List A'!$Q$5:$Q$204,0)+4,"")="",IF(IFERROR(MATCH(7,'List A'!$Q$5:$Q$204,0)+4,"")="","",INDEX('List A'!$K$5:$K$204,IFERROR(MATCH(7,'List A'!$Q$5:$Q$204,0)+4,"")-4))=""),"",INDEX('List B'!$C$5:$C$204,IF(IFERROR(MATCH(7,'List A'!$Q$5:$Q$204,0)+4,"")="","",INDEX('List A'!$K$5:$K$204,IFERROR(MATCH(7,'List A'!$Q$5:$Q$204,0)+4,"")-4))-4))</f>
        <v/>
      </c>
      <c r="H11" s="53">
        <f>IF(OR(IFERROR(MATCH(7,'List A'!$Q$5:$Q$204,0)+4,"")="",IF(IFERROR(MATCH(7,'List A'!$Q$5:$Q$204,0)+4,"")="","",INDEX('List A'!$K$5:$K$204,IFERROR(MATCH(7,'List A'!$Q$5:$Q$204,0)+4,"")-4))=""),"",INDEX('List B'!$D$5:$D$204,IF(IFERROR(MATCH(7,'List A'!$Q$5:$Q$204,0)+4,"")="","",INDEX('List A'!$K$5:$K$204,IFERROR(MATCH(7,'List A'!$Q$5:$Q$204,0)+4,"")-4))-4))</f>
        <v/>
      </c>
      <c r="I11" s="52">
        <f>IF(IFERROR(MATCH(7,'List A'!$Q$5:$Q$204,0)+4,"")="","",INDEX('List A'!$N$5:$N$204,IFERROR(MATCH(7,'List A'!$Q$5:$Q$204,0)+4,"")-4))</f>
        <v/>
      </c>
      <c r="J11" s="53">
        <f>IF(IFERROR(MATCH(7,'List A'!$Q$5:$Q$204,0)+4,"")="","",INDEX('List A'!$O$5:$O$204,IFERROR(MATCH(7,'List A'!$Q$5:$Q$204,0)+4,"")-4))</f>
        <v/>
      </c>
    </row>
    <row r="12" ht="17" customHeight="1">
      <c r="A12" s="87">
        <f>IF(IFERROR(MATCH(8,'List A'!$Q$5:$Q$204,0)+4,"")="","",INDEX('List A'!$A$5:$A$204,IFERROR(MATCH(8,'List A'!$Q$5:$Q$204,0)+4,"")-4))</f>
        <v/>
      </c>
      <c r="B12" s="53">
        <f>IF(IFERROR(MATCH(8,'List A'!$Q$5:$Q$204,0)+4,"")="","",INDEX('List A'!$B$5:$B$204,IFERROR(MATCH(8,'List A'!$Q$5:$Q$204,0)+4,"")-4))</f>
        <v/>
      </c>
      <c r="C12" s="52">
        <f>IF(IFERROR(MATCH(8,'List A'!$Q$5:$Q$204,0)+4,"")="","",INDEX('List A'!$C$5:$C$204,IFERROR(MATCH(8,'List A'!$Q$5:$Q$204,0)+4,"")-4))</f>
        <v/>
      </c>
      <c r="D12" s="53">
        <f>IF(IFERROR(MATCH(8,'List A'!$Q$5:$Q$204,0)+4,"")="","",INDEX('List A'!$D$5:$D$204,IFERROR(MATCH(8,'List A'!$Q$5:$Q$204,0)+4,"")-4))</f>
        <v/>
      </c>
      <c r="E12" s="87">
        <f>IF(OR(IFERROR(MATCH(8,'List A'!$Q$5:$Q$204,0)+4,"")="",IF(IFERROR(MATCH(8,'List A'!$Q$5:$Q$204,0)+4,"")="","",INDEX('List A'!$K$5:$K$204,IFERROR(MATCH(8,'List A'!$Q$5:$Q$204,0)+4,"")-4))=""),"",INDEX('List B'!$A$5:$A$204,IF(IFERROR(MATCH(8,'List A'!$Q$5:$Q$204,0)+4,"")="","",INDEX('List A'!$K$5:$K$204,IFERROR(MATCH(8,'List A'!$Q$5:$Q$204,0)+4,"")-4))-4))</f>
        <v/>
      </c>
      <c r="F12" s="53">
        <f>IF(OR(IFERROR(MATCH(8,'List A'!$Q$5:$Q$204,0)+4,"")="",IF(IFERROR(MATCH(8,'List A'!$Q$5:$Q$204,0)+4,"")="","",INDEX('List A'!$K$5:$K$204,IFERROR(MATCH(8,'List A'!$Q$5:$Q$204,0)+4,"")-4))=""),"",INDEX('List B'!$B$5:$B$204,IF(IFERROR(MATCH(8,'List A'!$Q$5:$Q$204,0)+4,"")="","",INDEX('List A'!$K$5:$K$204,IFERROR(MATCH(8,'List A'!$Q$5:$Q$204,0)+4,"")-4))-4))</f>
        <v/>
      </c>
      <c r="G12" s="52">
        <f>IF(OR(IFERROR(MATCH(8,'List A'!$Q$5:$Q$204,0)+4,"")="",IF(IFERROR(MATCH(8,'List A'!$Q$5:$Q$204,0)+4,"")="","",INDEX('List A'!$K$5:$K$204,IFERROR(MATCH(8,'List A'!$Q$5:$Q$204,0)+4,"")-4))=""),"",INDEX('List B'!$C$5:$C$204,IF(IFERROR(MATCH(8,'List A'!$Q$5:$Q$204,0)+4,"")="","",INDEX('List A'!$K$5:$K$204,IFERROR(MATCH(8,'List A'!$Q$5:$Q$204,0)+4,"")-4))-4))</f>
        <v/>
      </c>
      <c r="H12" s="53">
        <f>IF(OR(IFERROR(MATCH(8,'List A'!$Q$5:$Q$204,0)+4,"")="",IF(IFERROR(MATCH(8,'List A'!$Q$5:$Q$204,0)+4,"")="","",INDEX('List A'!$K$5:$K$204,IFERROR(MATCH(8,'List A'!$Q$5:$Q$204,0)+4,"")-4))=""),"",INDEX('List B'!$D$5:$D$204,IF(IFERROR(MATCH(8,'List A'!$Q$5:$Q$204,0)+4,"")="","",INDEX('List A'!$K$5:$K$204,IFERROR(MATCH(8,'List A'!$Q$5:$Q$204,0)+4,"")-4))-4))</f>
        <v/>
      </c>
      <c r="I12" s="52">
        <f>IF(IFERROR(MATCH(8,'List A'!$Q$5:$Q$204,0)+4,"")="","",INDEX('List A'!$N$5:$N$204,IFERROR(MATCH(8,'List A'!$Q$5:$Q$204,0)+4,"")-4))</f>
        <v/>
      </c>
      <c r="J12" s="53">
        <f>IF(IFERROR(MATCH(8,'List A'!$Q$5:$Q$204,0)+4,"")="","",INDEX('List A'!$O$5:$O$204,IFERROR(MATCH(8,'List A'!$Q$5:$Q$204,0)+4,"")-4))</f>
        <v/>
      </c>
    </row>
    <row r="13" ht="17" customHeight="1">
      <c r="A13" s="87">
        <f>IF(IFERROR(MATCH(9,'List A'!$Q$5:$Q$204,0)+4,"")="","",INDEX('List A'!$A$5:$A$204,IFERROR(MATCH(9,'List A'!$Q$5:$Q$204,0)+4,"")-4))</f>
        <v/>
      </c>
      <c r="B13" s="53">
        <f>IF(IFERROR(MATCH(9,'List A'!$Q$5:$Q$204,0)+4,"")="","",INDEX('List A'!$B$5:$B$204,IFERROR(MATCH(9,'List A'!$Q$5:$Q$204,0)+4,"")-4))</f>
        <v/>
      </c>
      <c r="C13" s="52">
        <f>IF(IFERROR(MATCH(9,'List A'!$Q$5:$Q$204,0)+4,"")="","",INDEX('List A'!$C$5:$C$204,IFERROR(MATCH(9,'List A'!$Q$5:$Q$204,0)+4,"")-4))</f>
        <v/>
      </c>
      <c r="D13" s="53">
        <f>IF(IFERROR(MATCH(9,'List A'!$Q$5:$Q$204,0)+4,"")="","",INDEX('List A'!$D$5:$D$204,IFERROR(MATCH(9,'List A'!$Q$5:$Q$204,0)+4,"")-4))</f>
        <v/>
      </c>
      <c r="E13" s="87">
        <f>IF(OR(IFERROR(MATCH(9,'List A'!$Q$5:$Q$204,0)+4,"")="",IF(IFERROR(MATCH(9,'List A'!$Q$5:$Q$204,0)+4,"")="","",INDEX('List A'!$K$5:$K$204,IFERROR(MATCH(9,'List A'!$Q$5:$Q$204,0)+4,"")-4))=""),"",INDEX('List B'!$A$5:$A$204,IF(IFERROR(MATCH(9,'List A'!$Q$5:$Q$204,0)+4,"")="","",INDEX('List A'!$K$5:$K$204,IFERROR(MATCH(9,'List A'!$Q$5:$Q$204,0)+4,"")-4))-4))</f>
        <v/>
      </c>
      <c r="F13" s="53">
        <f>IF(OR(IFERROR(MATCH(9,'List A'!$Q$5:$Q$204,0)+4,"")="",IF(IFERROR(MATCH(9,'List A'!$Q$5:$Q$204,0)+4,"")="","",INDEX('List A'!$K$5:$K$204,IFERROR(MATCH(9,'List A'!$Q$5:$Q$204,0)+4,"")-4))=""),"",INDEX('List B'!$B$5:$B$204,IF(IFERROR(MATCH(9,'List A'!$Q$5:$Q$204,0)+4,"")="","",INDEX('List A'!$K$5:$K$204,IFERROR(MATCH(9,'List A'!$Q$5:$Q$204,0)+4,"")-4))-4))</f>
        <v/>
      </c>
      <c r="G13" s="52">
        <f>IF(OR(IFERROR(MATCH(9,'List A'!$Q$5:$Q$204,0)+4,"")="",IF(IFERROR(MATCH(9,'List A'!$Q$5:$Q$204,0)+4,"")="","",INDEX('List A'!$K$5:$K$204,IFERROR(MATCH(9,'List A'!$Q$5:$Q$204,0)+4,"")-4))=""),"",INDEX('List B'!$C$5:$C$204,IF(IFERROR(MATCH(9,'List A'!$Q$5:$Q$204,0)+4,"")="","",INDEX('List A'!$K$5:$K$204,IFERROR(MATCH(9,'List A'!$Q$5:$Q$204,0)+4,"")-4))-4))</f>
        <v/>
      </c>
      <c r="H13" s="53">
        <f>IF(OR(IFERROR(MATCH(9,'List A'!$Q$5:$Q$204,0)+4,"")="",IF(IFERROR(MATCH(9,'List A'!$Q$5:$Q$204,0)+4,"")="","",INDEX('List A'!$K$5:$K$204,IFERROR(MATCH(9,'List A'!$Q$5:$Q$204,0)+4,"")-4))=""),"",INDEX('List B'!$D$5:$D$204,IF(IFERROR(MATCH(9,'List A'!$Q$5:$Q$204,0)+4,"")="","",INDEX('List A'!$K$5:$K$204,IFERROR(MATCH(9,'List A'!$Q$5:$Q$204,0)+4,"")-4))-4))</f>
        <v/>
      </c>
      <c r="I13" s="52">
        <f>IF(IFERROR(MATCH(9,'List A'!$Q$5:$Q$204,0)+4,"")="","",INDEX('List A'!$N$5:$N$204,IFERROR(MATCH(9,'List A'!$Q$5:$Q$204,0)+4,"")-4))</f>
        <v/>
      </c>
      <c r="J13" s="53">
        <f>IF(IFERROR(MATCH(9,'List A'!$Q$5:$Q$204,0)+4,"")="","",INDEX('List A'!$O$5:$O$204,IFERROR(MATCH(9,'List A'!$Q$5:$Q$204,0)+4,"")-4))</f>
        <v/>
      </c>
    </row>
    <row r="14" ht="17" customHeight="1">
      <c r="A14" s="87">
        <f>IF(IFERROR(MATCH(10,'List A'!$Q$5:$Q$204,0)+4,"")="","",INDEX('List A'!$A$5:$A$204,IFERROR(MATCH(10,'List A'!$Q$5:$Q$204,0)+4,"")-4))</f>
        <v/>
      </c>
      <c r="B14" s="53">
        <f>IF(IFERROR(MATCH(10,'List A'!$Q$5:$Q$204,0)+4,"")="","",INDEX('List A'!$B$5:$B$204,IFERROR(MATCH(10,'List A'!$Q$5:$Q$204,0)+4,"")-4))</f>
        <v/>
      </c>
      <c r="C14" s="52">
        <f>IF(IFERROR(MATCH(10,'List A'!$Q$5:$Q$204,0)+4,"")="","",INDEX('List A'!$C$5:$C$204,IFERROR(MATCH(10,'List A'!$Q$5:$Q$204,0)+4,"")-4))</f>
        <v/>
      </c>
      <c r="D14" s="53">
        <f>IF(IFERROR(MATCH(10,'List A'!$Q$5:$Q$204,0)+4,"")="","",INDEX('List A'!$D$5:$D$204,IFERROR(MATCH(10,'List A'!$Q$5:$Q$204,0)+4,"")-4))</f>
        <v/>
      </c>
      <c r="E14" s="87">
        <f>IF(OR(IFERROR(MATCH(10,'List A'!$Q$5:$Q$204,0)+4,"")="",IF(IFERROR(MATCH(10,'List A'!$Q$5:$Q$204,0)+4,"")="","",INDEX('List A'!$K$5:$K$204,IFERROR(MATCH(10,'List A'!$Q$5:$Q$204,0)+4,"")-4))=""),"",INDEX('List B'!$A$5:$A$204,IF(IFERROR(MATCH(10,'List A'!$Q$5:$Q$204,0)+4,"")="","",INDEX('List A'!$K$5:$K$204,IFERROR(MATCH(10,'List A'!$Q$5:$Q$204,0)+4,"")-4))-4))</f>
        <v/>
      </c>
      <c r="F14" s="53">
        <f>IF(OR(IFERROR(MATCH(10,'List A'!$Q$5:$Q$204,0)+4,"")="",IF(IFERROR(MATCH(10,'List A'!$Q$5:$Q$204,0)+4,"")="","",INDEX('List A'!$K$5:$K$204,IFERROR(MATCH(10,'List A'!$Q$5:$Q$204,0)+4,"")-4))=""),"",INDEX('List B'!$B$5:$B$204,IF(IFERROR(MATCH(10,'List A'!$Q$5:$Q$204,0)+4,"")="","",INDEX('List A'!$K$5:$K$204,IFERROR(MATCH(10,'List A'!$Q$5:$Q$204,0)+4,"")-4))-4))</f>
        <v/>
      </c>
      <c r="G14" s="52">
        <f>IF(OR(IFERROR(MATCH(10,'List A'!$Q$5:$Q$204,0)+4,"")="",IF(IFERROR(MATCH(10,'List A'!$Q$5:$Q$204,0)+4,"")="","",INDEX('List A'!$K$5:$K$204,IFERROR(MATCH(10,'List A'!$Q$5:$Q$204,0)+4,"")-4))=""),"",INDEX('List B'!$C$5:$C$204,IF(IFERROR(MATCH(10,'List A'!$Q$5:$Q$204,0)+4,"")="","",INDEX('List A'!$K$5:$K$204,IFERROR(MATCH(10,'List A'!$Q$5:$Q$204,0)+4,"")-4))-4))</f>
        <v/>
      </c>
      <c r="H14" s="53">
        <f>IF(OR(IFERROR(MATCH(10,'List A'!$Q$5:$Q$204,0)+4,"")="",IF(IFERROR(MATCH(10,'List A'!$Q$5:$Q$204,0)+4,"")="","",INDEX('List A'!$K$5:$K$204,IFERROR(MATCH(10,'List A'!$Q$5:$Q$204,0)+4,"")-4))=""),"",INDEX('List B'!$D$5:$D$204,IF(IFERROR(MATCH(10,'List A'!$Q$5:$Q$204,0)+4,"")="","",INDEX('List A'!$K$5:$K$204,IFERROR(MATCH(10,'List A'!$Q$5:$Q$204,0)+4,"")-4))-4))</f>
        <v/>
      </c>
      <c r="I14" s="52">
        <f>IF(IFERROR(MATCH(10,'List A'!$Q$5:$Q$204,0)+4,"")="","",INDEX('List A'!$N$5:$N$204,IFERROR(MATCH(10,'List A'!$Q$5:$Q$204,0)+4,"")-4))</f>
        <v/>
      </c>
      <c r="J14" s="53">
        <f>IF(IFERROR(MATCH(10,'List A'!$Q$5:$Q$204,0)+4,"")="","",INDEX('List A'!$O$5:$O$204,IFERROR(MATCH(10,'List A'!$Q$5:$Q$204,0)+4,"")-4))</f>
        <v/>
      </c>
    </row>
    <row r="15" ht="17" customHeight="1">
      <c r="A15" s="87">
        <f>IF(IFERROR(MATCH(11,'List A'!$Q$5:$Q$204,0)+4,"")="","",INDEX('List A'!$A$5:$A$204,IFERROR(MATCH(11,'List A'!$Q$5:$Q$204,0)+4,"")-4))</f>
        <v/>
      </c>
      <c r="B15" s="53">
        <f>IF(IFERROR(MATCH(11,'List A'!$Q$5:$Q$204,0)+4,"")="","",INDEX('List A'!$B$5:$B$204,IFERROR(MATCH(11,'List A'!$Q$5:$Q$204,0)+4,"")-4))</f>
        <v/>
      </c>
      <c r="C15" s="52">
        <f>IF(IFERROR(MATCH(11,'List A'!$Q$5:$Q$204,0)+4,"")="","",INDEX('List A'!$C$5:$C$204,IFERROR(MATCH(11,'List A'!$Q$5:$Q$204,0)+4,"")-4))</f>
        <v/>
      </c>
      <c r="D15" s="53">
        <f>IF(IFERROR(MATCH(11,'List A'!$Q$5:$Q$204,0)+4,"")="","",INDEX('List A'!$D$5:$D$204,IFERROR(MATCH(11,'List A'!$Q$5:$Q$204,0)+4,"")-4))</f>
        <v/>
      </c>
      <c r="E15" s="87">
        <f>IF(OR(IFERROR(MATCH(11,'List A'!$Q$5:$Q$204,0)+4,"")="",IF(IFERROR(MATCH(11,'List A'!$Q$5:$Q$204,0)+4,"")="","",INDEX('List A'!$K$5:$K$204,IFERROR(MATCH(11,'List A'!$Q$5:$Q$204,0)+4,"")-4))=""),"",INDEX('List B'!$A$5:$A$204,IF(IFERROR(MATCH(11,'List A'!$Q$5:$Q$204,0)+4,"")="","",INDEX('List A'!$K$5:$K$204,IFERROR(MATCH(11,'List A'!$Q$5:$Q$204,0)+4,"")-4))-4))</f>
        <v/>
      </c>
      <c r="F15" s="53">
        <f>IF(OR(IFERROR(MATCH(11,'List A'!$Q$5:$Q$204,0)+4,"")="",IF(IFERROR(MATCH(11,'List A'!$Q$5:$Q$204,0)+4,"")="","",INDEX('List A'!$K$5:$K$204,IFERROR(MATCH(11,'List A'!$Q$5:$Q$204,0)+4,"")-4))=""),"",INDEX('List B'!$B$5:$B$204,IF(IFERROR(MATCH(11,'List A'!$Q$5:$Q$204,0)+4,"")="","",INDEX('List A'!$K$5:$K$204,IFERROR(MATCH(11,'List A'!$Q$5:$Q$204,0)+4,"")-4))-4))</f>
        <v/>
      </c>
      <c r="G15" s="52">
        <f>IF(OR(IFERROR(MATCH(11,'List A'!$Q$5:$Q$204,0)+4,"")="",IF(IFERROR(MATCH(11,'List A'!$Q$5:$Q$204,0)+4,"")="","",INDEX('List A'!$K$5:$K$204,IFERROR(MATCH(11,'List A'!$Q$5:$Q$204,0)+4,"")-4))=""),"",INDEX('List B'!$C$5:$C$204,IF(IFERROR(MATCH(11,'List A'!$Q$5:$Q$204,0)+4,"")="","",INDEX('List A'!$K$5:$K$204,IFERROR(MATCH(11,'List A'!$Q$5:$Q$204,0)+4,"")-4))-4))</f>
        <v/>
      </c>
      <c r="H15" s="53">
        <f>IF(OR(IFERROR(MATCH(11,'List A'!$Q$5:$Q$204,0)+4,"")="",IF(IFERROR(MATCH(11,'List A'!$Q$5:$Q$204,0)+4,"")="","",INDEX('List A'!$K$5:$K$204,IFERROR(MATCH(11,'List A'!$Q$5:$Q$204,0)+4,"")-4))=""),"",INDEX('List B'!$D$5:$D$204,IF(IFERROR(MATCH(11,'List A'!$Q$5:$Q$204,0)+4,"")="","",INDEX('List A'!$K$5:$K$204,IFERROR(MATCH(11,'List A'!$Q$5:$Q$204,0)+4,"")-4))-4))</f>
        <v/>
      </c>
      <c r="I15" s="52">
        <f>IF(IFERROR(MATCH(11,'List A'!$Q$5:$Q$204,0)+4,"")="","",INDEX('List A'!$N$5:$N$204,IFERROR(MATCH(11,'List A'!$Q$5:$Q$204,0)+4,"")-4))</f>
        <v/>
      </c>
      <c r="J15" s="53">
        <f>IF(IFERROR(MATCH(11,'List A'!$Q$5:$Q$204,0)+4,"")="","",INDEX('List A'!$O$5:$O$204,IFERROR(MATCH(11,'List A'!$Q$5:$Q$204,0)+4,"")-4))</f>
        <v/>
      </c>
    </row>
    <row r="16" ht="17" customHeight="1">
      <c r="A16" s="87">
        <f>IF(IFERROR(MATCH(12,'List A'!$Q$5:$Q$204,0)+4,"")="","",INDEX('List A'!$A$5:$A$204,IFERROR(MATCH(12,'List A'!$Q$5:$Q$204,0)+4,"")-4))</f>
        <v/>
      </c>
      <c r="B16" s="53">
        <f>IF(IFERROR(MATCH(12,'List A'!$Q$5:$Q$204,0)+4,"")="","",INDEX('List A'!$B$5:$B$204,IFERROR(MATCH(12,'List A'!$Q$5:$Q$204,0)+4,"")-4))</f>
        <v/>
      </c>
      <c r="C16" s="52">
        <f>IF(IFERROR(MATCH(12,'List A'!$Q$5:$Q$204,0)+4,"")="","",INDEX('List A'!$C$5:$C$204,IFERROR(MATCH(12,'List A'!$Q$5:$Q$204,0)+4,"")-4))</f>
        <v/>
      </c>
      <c r="D16" s="53">
        <f>IF(IFERROR(MATCH(12,'List A'!$Q$5:$Q$204,0)+4,"")="","",INDEX('List A'!$D$5:$D$204,IFERROR(MATCH(12,'List A'!$Q$5:$Q$204,0)+4,"")-4))</f>
        <v/>
      </c>
      <c r="E16" s="87">
        <f>IF(OR(IFERROR(MATCH(12,'List A'!$Q$5:$Q$204,0)+4,"")="",IF(IFERROR(MATCH(12,'List A'!$Q$5:$Q$204,0)+4,"")="","",INDEX('List A'!$K$5:$K$204,IFERROR(MATCH(12,'List A'!$Q$5:$Q$204,0)+4,"")-4))=""),"",INDEX('List B'!$A$5:$A$204,IF(IFERROR(MATCH(12,'List A'!$Q$5:$Q$204,0)+4,"")="","",INDEX('List A'!$K$5:$K$204,IFERROR(MATCH(12,'List A'!$Q$5:$Q$204,0)+4,"")-4))-4))</f>
        <v/>
      </c>
      <c r="F16" s="53">
        <f>IF(OR(IFERROR(MATCH(12,'List A'!$Q$5:$Q$204,0)+4,"")="",IF(IFERROR(MATCH(12,'List A'!$Q$5:$Q$204,0)+4,"")="","",INDEX('List A'!$K$5:$K$204,IFERROR(MATCH(12,'List A'!$Q$5:$Q$204,0)+4,"")-4))=""),"",INDEX('List B'!$B$5:$B$204,IF(IFERROR(MATCH(12,'List A'!$Q$5:$Q$204,0)+4,"")="","",INDEX('List A'!$K$5:$K$204,IFERROR(MATCH(12,'List A'!$Q$5:$Q$204,0)+4,"")-4))-4))</f>
        <v/>
      </c>
      <c r="G16" s="52">
        <f>IF(OR(IFERROR(MATCH(12,'List A'!$Q$5:$Q$204,0)+4,"")="",IF(IFERROR(MATCH(12,'List A'!$Q$5:$Q$204,0)+4,"")="","",INDEX('List A'!$K$5:$K$204,IFERROR(MATCH(12,'List A'!$Q$5:$Q$204,0)+4,"")-4))=""),"",INDEX('List B'!$C$5:$C$204,IF(IFERROR(MATCH(12,'List A'!$Q$5:$Q$204,0)+4,"")="","",INDEX('List A'!$K$5:$K$204,IFERROR(MATCH(12,'List A'!$Q$5:$Q$204,0)+4,"")-4))-4))</f>
        <v/>
      </c>
      <c r="H16" s="53">
        <f>IF(OR(IFERROR(MATCH(12,'List A'!$Q$5:$Q$204,0)+4,"")="",IF(IFERROR(MATCH(12,'List A'!$Q$5:$Q$204,0)+4,"")="","",INDEX('List A'!$K$5:$K$204,IFERROR(MATCH(12,'List A'!$Q$5:$Q$204,0)+4,"")-4))=""),"",INDEX('List B'!$D$5:$D$204,IF(IFERROR(MATCH(12,'List A'!$Q$5:$Q$204,0)+4,"")="","",INDEX('List A'!$K$5:$K$204,IFERROR(MATCH(12,'List A'!$Q$5:$Q$204,0)+4,"")-4))-4))</f>
        <v/>
      </c>
      <c r="I16" s="52">
        <f>IF(IFERROR(MATCH(12,'List A'!$Q$5:$Q$204,0)+4,"")="","",INDEX('List A'!$N$5:$N$204,IFERROR(MATCH(12,'List A'!$Q$5:$Q$204,0)+4,"")-4))</f>
        <v/>
      </c>
      <c r="J16" s="53">
        <f>IF(IFERROR(MATCH(12,'List A'!$Q$5:$Q$204,0)+4,"")="","",INDEX('List A'!$O$5:$O$204,IFERROR(MATCH(12,'List A'!$Q$5:$Q$204,0)+4,"")-4))</f>
        <v/>
      </c>
    </row>
    <row r="17" ht="17" customHeight="1">
      <c r="A17" s="87">
        <f>IF(IFERROR(MATCH(13,'List A'!$Q$5:$Q$204,0)+4,"")="","",INDEX('List A'!$A$5:$A$204,IFERROR(MATCH(13,'List A'!$Q$5:$Q$204,0)+4,"")-4))</f>
        <v/>
      </c>
      <c r="B17" s="53">
        <f>IF(IFERROR(MATCH(13,'List A'!$Q$5:$Q$204,0)+4,"")="","",INDEX('List A'!$B$5:$B$204,IFERROR(MATCH(13,'List A'!$Q$5:$Q$204,0)+4,"")-4))</f>
        <v/>
      </c>
      <c r="C17" s="52">
        <f>IF(IFERROR(MATCH(13,'List A'!$Q$5:$Q$204,0)+4,"")="","",INDEX('List A'!$C$5:$C$204,IFERROR(MATCH(13,'List A'!$Q$5:$Q$204,0)+4,"")-4))</f>
        <v/>
      </c>
      <c r="D17" s="53">
        <f>IF(IFERROR(MATCH(13,'List A'!$Q$5:$Q$204,0)+4,"")="","",INDEX('List A'!$D$5:$D$204,IFERROR(MATCH(13,'List A'!$Q$5:$Q$204,0)+4,"")-4))</f>
        <v/>
      </c>
      <c r="E17" s="87">
        <f>IF(OR(IFERROR(MATCH(13,'List A'!$Q$5:$Q$204,0)+4,"")="",IF(IFERROR(MATCH(13,'List A'!$Q$5:$Q$204,0)+4,"")="","",INDEX('List A'!$K$5:$K$204,IFERROR(MATCH(13,'List A'!$Q$5:$Q$204,0)+4,"")-4))=""),"",INDEX('List B'!$A$5:$A$204,IF(IFERROR(MATCH(13,'List A'!$Q$5:$Q$204,0)+4,"")="","",INDEX('List A'!$K$5:$K$204,IFERROR(MATCH(13,'List A'!$Q$5:$Q$204,0)+4,"")-4))-4))</f>
        <v/>
      </c>
      <c r="F17" s="53">
        <f>IF(OR(IFERROR(MATCH(13,'List A'!$Q$5:$Q$204,0)+4,"")="",IF(IFERROR(MATCH(13,'List A'!$Q$5:$Q$204,0)+4,"")="","",INDEX('List A'!$K$5:$K$204,IFERROR(MATCH(13,'List A'!$Q$5:$Q$204,0)+4,"")-4))=""),"",INDEX('List B'!$B$5:$B$204,IF(IFERROR(MATCH(13,'List A'!$Q$5:$Q$204,0)+4,"")="","",INDEX('List A'!$K$5:$K$204,IFERROR(MATCH(13,'List A'!$Q$5:$Q$204,0)+4,"")-4))-4))</f>
        <v/>
      </c>
      <c r="G17" s="52">
        <f>IF(OR(IFERROR(MATCH(13,'List A'!$Q$5:$Q$204,0)+4,"")="",IF(IFERROR(MATCH(13,'List A'!$Q$5:$Q$204,0)+4,"")="","",INDEX('List A'!$K$5:$K$204,IFERROR(MATCH(13,'List A'!$Q$5:$Q$204,0)+4,"")-4))=""),"",INDEX('List B'!$C$5:$C$204,IF(IFERROR(MATCH(13,'List A'!$Q$5:$Q$204,0)+4,"")="","",INDEX('List A'!$K$5:$K$204,IFERROR(MATCH(13,'List A'!$Q$5:$Q$204,0)+4,"")-4))-4))</f>
        <v/>
      </c>
      <c r="H17" s="53">
        <f>IF(OR(IFERROR(MATCH(13,'List A'!$Q$5:$Q$204,0)+4,"")="",IF(IFERROR(MATCH(13,'List A'!$Q$5:$Q$204,0)+4,"")="","",INDEX('List A'!$K$5:$K$204,IFERROR(MATCH(13,'List A'!$Q$5:$Q$204,0)+4,"")-4))=""),"",INDEX('List B'!$D$5:$D$204,IF(IFERROR(MATCH(13,'List A'!$Q$5:$Q$204,0)+4,"")="","",INDEX('List A'!$K$5:$K$204,IFERROR(MATCH(13,'List A'!$Q$5:$Q$204,0)+4,"")-4))-4))</f>
        <v/>
      </c>
      <c r="I17" s="52">
        <f>IF(IFERROR(MATCH(13,'List A'!$Q$5:$Q$204,0)+4,"")="","",INDEX('List A'!$N$5:$N$204,IFERROR(MATCH(13,'List A'!$Q$5:$Q$204,0)+4,"")-4))</f>
        <v/>
      </c>
      <c r="J17" s="53">
        <f>IF(IFERROR(MATCH(13,'List A'!$Q$5:$Q$204,0)+4,"")="","",INDEX('List A'!$O$5:$O$204,IFERROR(MATCH(13,'List A'!$Q$5:$Q$204,0)+4,"")-4))</f>
        <v/>
      </c>
    </row>
    <row r="18" ht="17" customHeight="1">
      <c r="A18" s="87">
        <f>IF(IFERROR(MATCH(14,'List A'!$Q$5:$Q$204,0)+4,"")="","",INDEX('List A'!$A$5:$A$204,IFERROR(MATCH(14,'List A'!$Q$5:$Q$204,0)+4,"")-4))</f>
        <v/>
      </c>
      <c r="B18" s="53">
        <f>IF(IFERROR(MATCH(14,'List A'!$Q$5:$Q$204,0)+4,"")="","",INDEX('List A'!$B$5:$B$204,IFERROR(MATCH(14,'List A'!$Q$5:$Q$204,0)+4,"")-4))</f>
        <v/>
      </c>
      <c r="C18" s="52">
        <f>IF(IFERROR(MATCH(14,'List A'!$Q$5:$Q$204,0)+4,"")="","",INDEX('List A'!$C$5:$C$204,IFERROR(MATCH(14,'List A'!$Q$5:$Q$204,0)+4,"")-4))</f>
        <v/>
      </c>
      <c r="D18" s="53">
        <f>IF(IFERROR(MATCH(14,'List A'!$Q$5:$Q$204,0)+4,"")="","",INDEX('List A'!$D$5:$D$204,IFERROR(MATCH(14,'List A'!$Q$5:$Q$204,0)+4,"")-4))</f>
        <v/>
      </c>
      <c r="E18" s="87">
        <f>IF(OR(IFERROR(MATCH(14,'List A'!$Q$5:$Q$204,0)+4,"")="",IF(IFERROR(MATCH(14,'List A'!$Q$5:$Q$204,0)+4,"")="","",INDEX('List A'!$K$5:$K$204,IFERROR(MATCH(14,'List A'!$Q$5:$Q$204,0)+4,"")-4))=""),"",INDEX('List B'!$A$5:$A$204,IF(IFERROR(MATCH(14,'List A'!$Q$5:$Q$204,0)+4,"")="","",INDEX('List A'!$K$5:$K$204,IFERROR(MATCH(14,'List A'!$Q$5:$Q$204,0)+4,"")-4))-4))</f>
        <v/>
      </c>
      <c r="F18" s="53">
        <f>IF(OR(IFERROR(MATCH(14,'List A'!$Q$5:$Q$204,0)+4,"")="",IF(IFERROR(MATCH(14,'List A'!$Q$5:$Q$204,0)+4,"")="","",INDEX('List A'!$K$5:$K$204,IFERROR(MATCH(14,'List A'!$Q$5:$Q$204,0)+4,"")-4))=""),"",INDEX('List B'!$B$5:$B$204,IF(IFERROR(MATCH(14,'List A'!$Q$5:$Q$204,0)+4,"")="","",INDEX('List A'!$K$5:$K$204,IFERROR(MATCH(14,'List A'!$Q$5:$Q$204,0)+4,"")-4))-4))</f>
        <v/>
      </c>
      <c r="G18" s="52">
        <f>IF(OR(IFERROR(MATCH(14,'List A'!$Q$5:$Q$204,0)+4,"")="",IF(IFERROR(MATCH(14,'List A'!$Q$5:$Q$204,0)+4,"")="","",INDEX('List A'!$K$5:$K$204,IFERROR(MATCH(14,'List A'!$Q$5:$Q$204,0)+4,"")-4))=""),"",INDEX('List B'!$C$5:$C$204,IF(IFERROR(MATCH(14,'List A'!$Q$5:$Q$204,0)+4,"")="","",INDEX('List A'!$K$5:$K$204,IFERROR(MATCH(14,'List A'!$Q$5:$Q$204,0)+4,"")-4))-4))</f>
        <v/>
      </c>
      <c r="H18" s="53">
        <f>IF(OR(IFERROR(MATCH(14,'List A'!$Q$5:$Q$204,0)+4,"")="",IF(IFERROR(MATCH(14,'List A'!$Q$5:$Q$204,0)+4,"")="","",INDEX('List A'!$K$5:$K$204,IFERROR(MATCH(14,'List A'!$Q$5:$Q$204,0)+4,"")-4))=""),"",INDEX('List B'!$D$5:$D$204,IF(IFERROR(MATCH(14,'List A'!$Q$5:$Q$204,0)+4,"")="","",INDEX('List A'!$K$5:$K$204,IFERROR(MATCH(14,'List A'!$Q$5:$Q$204,0)+4,"")-4))-4))</f>
        <v/>
      </c>
      <c r="I18" s="52">
        <f>IF(IFERROR(MATCH(14,'List A'!$Q$5:$Q$204,0)+4,"")="","",INDEX('List A'!$N$5:$N$204,IFERROR(MATCH(14,'List A'!$Q$5:$Q$204,0)+4,"")-4))</f>
        <v/>
      </c>
      <c r="J18" s="53">
        <f>IF(IFERROR(MATCH(14,'List A'!$Q$5:$Q$204,0)+4,"")="","",INDEX('List A'!$O$5:$O$204,IFERROR(MATCH(14,'List A'!$Q$5:$Q$204,0)+4,"")-4))</f>
        <v/>
      </c>
    </row>
    <row r="19" ht="17" customHeight="1">
      <c r="A19" s="87">
        <f>IF(IFERROR(MATCH(15,'List A'!$Q$5:$Q$204,0)+4,"")="","",INDEX('List A'!$A$5:$A$204,IFERROR(MATCH(15,'List A'!$Q$5:$Q$204,0)+4,"")-4))</f>
        <v/>
      </c>
      <c r="B19" s="53">
        <f>IF(IFERROR(MATCH(15,'List A'!$Q$5:$Q$204,0)+4,"")="","",INDEX('List A'!$B$5:$B$204,IFERROR(MATCH(15,'List A'!$Q$5:$Q$204,0)+4,"")-4))</f>
        <v/>
      </c>
      <c r="C19" s="52">
        <f>IF(IFERROR(MATCH(15,'List A'!$Q$5:$Q$204,0)+4,"")="","",INDEX('List A'!$C$5:$C$204,IFERROR(MATCH(15,'List A'!$Q$5:$Q$204,0)+4,"")-4))</f>
        <v/>
      </c>
      <c r="D19" s="53">
        <f>IF(IFERROR(MATCH(15,'List A'!$Q$5:$Q$204,0)+4,"")="","",INDEX('List A'!$D$5:$D$204,IFERROR(MATCH(15,'List A'!$Q$5:$Q$204,0)+4,"")-4))</f>
        <v/>
      </c>
      <c r="E19" s="87">
        <f>IF(OR(IFERROR(MATCH(15,'List A'!$Q$5:$Q$204,0)+4,"")="",IF(IFERROR(MATCH(15,'List A'!$Q$5:$Q$204,0)+4,"")="","",INDEX('List A'!$K$5:$K$204,IFERROR(MATCH(15,'List A'!$Q$5:$Q$204,0)+4,"")-4))=""),"",INDEX('List B'!$A$5:$A$204,IF(IFERROR(MATCH(15,'List A'!$Q$5:$Q$204,0)+4,"")="","",INDEX('List A'!$K$5:$K$204,IFERROR(MATCH(15,'List A'!$Q$5:$Q$204,0)+4,"")-4))-4))</f>
        <v/>
      </c>
      <c r="F19" s="53">
        <f>IF(OR(IFERROR(MATCH(15,'List A'!$Q$5:$Q$204,0)+4,"")="",IF(IFERROR(MATCH(15,'List A'!$Q$5:$Q$204,0)+4,"")="","",INDEX('List A'!$K$5:$K$204,IFERROR(MATCH(15,'List A'!$Q$5:$Q$204,0)+4,"")-4))=""),"",INDEX('List B'!$B$5:$B$204,IF(IFERROR(MATCH(15,'List A'!$Q$5:$Q$204,0)+4,"")="","",INDEX('List A'!$K$5:$K$204,IFERROR(MATCH(15,'List A'!$Q$5:$Q$204,0)+4,"")-4))-4))</f>
        <v/>
      </c>
      <c r="G19" s="52">
        <f>IF(OR(IFERROR(MATCH(15,'List A'!$Q$5:$Q$204,0)+4,"")="",IF(IFERROR(MATCH(15,'List A'!$Q$5:$Q$204,0)+4,"")="","",INDEX('List A'!$K$5:$K$204,IFERROR(MATCH(15,'List A'!$Q$5:$Q$204,0)+4,"")-4))=""),"",INDEX('List B'!$C$5:$C$204,IF(IFERROR(MATCH(15,'List A'!$Q$5:$Q$204,0)+4,"")="","",INDEX('List A'!$K$5:$K$204,IFERROR(MATCH(15,'List A'!$Q$5:$Q$204,0)+4,"")-4))-4))</f>
        <v/>
      </c>
      <c r="H19" s="53">
        <f>IF(OR(IFERROR(MATCH(15,'List A'!$Q$5:$Q$204,0)+4,"")="",IF(IFERROR(MATCH(15,'List A'!$Q$5:$Q$204,0)+4,"")="","",INDEX('List A'!$K$5:$K$204,IFERROR(MATCH(15,'List A'!$Q$5:$Q$204,0)+4,"")-4))=""),"",INDEX('List B'!$D$5:$D$204,IF(IFERROR(MATCH(15,'List A'!$Q$5:$Q$204,0)+4,"")="","",INDEX('List A'!$K$5:$K$204,IFERROR(MATCH(15,'List A'!$Q$5:$Q$204,0)+4,"")-4))-4))</f>
        <v/>
      </c>
      <c r="I19" s="52">
        <f>IF(IFERROR(MATCH(15,'List A'!$Q$5:$Q$204,0)+4,"")="","",INDEX('List A'!$N$5:$N$204,IFERROR(MATCH(15,'List A'!$Q$5:$Q$204,0)+4,"")-4))</f>
        <v/>
      </c>
      <c r="J19" s="53">
        <f>IF(IFERROR(MATCH(15,'List A'!$Q$5:$Q$204,0)+4,"")="","",INDEX('List A'!$O$5:$O$204,IFERROR(MATCH(15,'List A'!$Q$5:$Q$204,0)+4,"")-4))</f>
        <v/>
      </c>
    </row>
    <row r="20" ht="17" customHeight="1">
      <c r="A20" s="87">
        <f>IF(IFERROR(MATCH(16,'List A'!$Q$5:$Q$204,0)+4,"")="","",INDEX('List A'!$A$5:$A$204,IFERROR(MATCH(16,'List A'!$Q$5:$Q$204,0)+4,"")-4))</f>
        <v/>
      </c>
      <c r="B20" s="53">
        <f>IF(IFERROR(MATCH(16,'List A'!$Q$5:$Q$204,0)+4,"")="","",INDEX('List A'!$B$5:$B$204,IFERROR(MATCH(16,'List A'!$Q$5:$Q$204,0)+4,"")-4))</f>
        <v/>
      </c>
      <c r="C20" s="52">
        <f>IF(IFERROR(MATCH(16,'List A'!$Q$5:$Q$204,0)+4,"")="","",INDEX('List A'!$C$5:$C$204,IFERROR(MATCH(16,'List A'!$Q$5:$Q$204,0)+4,"")-4))</f>
        <v/>
      </c>
      <c r="D20" s="53">
        <f>IF(IFERROR(MATCH(16,'List A'!$Q$5:$Q$204,0)+4,"")="","",INDEX('List A'!$D$5:$D$204,IFERROR(MATCH(16,'List A'!$Q$5:$Q$204,0)+4,"")-4))</f>
        <v/>
      </c>
      <c r="E20" s="87">
        <f>IF(OR(IFERROR(MATCH(16,'List A'!$Q$5:$Q$204,0)+4,"")="",IF(IFERROR(MATCH(16,'List A'!$Q$5:$Q$204,0)+4,"")="","",INDEX('List A'!$K$5:$K$204,IFERROR(MATCH(16,'List A'!$Q$5:$Q$204,0)+4,"")-4))=""),"",INDEX('List B'!$A$5:$A$204,IF(IFERROR(MATCH(16,'List A'!$Q$5:$Q$204,0)+4,"")="","",INDEX('List A'!$K$5:$K$204,IFERROR(MATCH(16,'List A'!$Q$5:$Q$204,0)+4,"")-4))-4))</f>
        <v/>
      </c>
      <c r="F20" s="53">
        <f>IF(OR(IFERROR(MATCH(16,'List A'!$Q$5:$Q$204,0)+4,"")="",IF(IFERROR(MATCH(16,'List A'!$Q$5:$Q$204,0)+4,"")="","",INDEX('List A'!$K$5:$K$204,IFERROR(MATCH(16,'List A'!$Q$5:$Q$204,0)+4,"")-4))=""),"",INDEX('List B'!$B$5:$B$204,IF(IFERROR(MATCH(16,'List A'!$Q$5:$Q$204,0)+4,"")="","",INDEX('List A'!$K$5:$K$204,IFERROR(MATCH(16,'List A'!$Q$5:$Q$204,0)+4,"")-4))-4))</f>
        <v/>
      </c>
      <c r="G20" s="52">
        <f>IF(OR(IFERROR(MATCH(16,'List A'!$Q$5:$Q$204,0)+4,"")="",IF(IFERROR(MATCH(16,'List A'!$Q$5:$Q$204,0)+4,"")="","",INDEX('List A'!$K$5:$K$204,IFERROR(MATCH(16,'List A'!$Q$5:$Q$204,0)+4,"")-4))=""),"",INDEX('List B'!$C$5:$C$204,IF(IFERROR(MATCH(16,'List A'!$Q$5:$Q$204,0)+4,"")="","",INDEX('List A'!$K$5:$K$204,IFERROR(MATCH(16,'List A'!$Q$5:$Q$204,0)+4,"")-4))-4))</f>
        <v/>
      </c>
      <c r="H20" s="53">
        <f>IF(OR(IFERROR(MATCH(16,'List A'!$Q$5:$Q$204,0)+4,"")="",IF(IFERROR(MATCH(16,'List A'!$Q$5:$Q$204,0)+4,"")="","",INDEX('List A'!$K$5:$K$204,IFERROR(MATCH(16,'List A'!$Q$5:$Q$204,0)+4,"")-4))=""),"",INDEX('List B'!$D$5:$D$204,IF(IFERROR(MATCH(16,'List A'!$Q$5:$Q$204,0)+4,"")="","",INDEX('List A'!$K$5:$K$204,IFERROR(MATCH(16,'List A'!$Q$5:$Q$204,0)+4,"")-4))-4))</f>
        <v/>
      </c>
      <c r="I20" s="52">
        <f>IF(IFERROR(MATCH(16,'List A'!$Q$5:$Q$204,0)+4,"")="","",INDEX('List A'!$N$5:$N$204,IFERROR(MATCH(16,'List A'!$Q$5:$Q$204,0)+4,"")-4))</f>
        <v/>
      </c>
      <c r="J20" s="53">
        <f>IF(IFERROR(MATCH(16,'List A'!$Q$5:$Q$204,0)+4,"")="","",INDEX('List A'!$O$5:$O$204,IFERROR(MATCH(16,'List A'!$Q$5:$Q$204,0)+4,"")-4))</f>
        <v/>
      </c>
    </row>
    <row r="21" ht="17" customHeight="1">
      <c r="A21" s="87">
        <f>IF(IFERROR(MATCH(17,'List A'!$Q$5:$Q$204,0)+4,"")="","",INDEX('List A'!$A$5:$A$204,IFERROR(MATCH(17,'List A'!$Q$5:$Q$204,0)+4,"")-4))</f>
        <v/>
      </c>
      <c r="B21" s="53">
        <f>IF(IFERROR(MATCH(17,'List A'!$Q$5:$Q$204,0)+4,"")="","",INDEX('List A'!$B$5:$B$204,IFERROR(MATCH(17,'List A'!$Q$5:$Q$204,0)+4,"")-4))</f>
        <v/>
      </c>
      <c r="C21" s="52">
        <f>IF(IFERROR(MATCH(17,'List A'!$Q$5:$Q$204,0)+4,"")="","",INDEX('List A'!$C$5:$C$204,IFERROR(MATCH(17,'List A'!$Q$5:$Q$204,0)+4,"")-4))</f>
        <v/>
      </c>
      <c r="D21" s="53">
        <f>IF(IFERROR(MATCH(17,'List A'!$Q$5:$Q$204,0)+4,"")="","",INDEX('List A'!$D$5:$D$204,IFERROR(MATCH(17,'List A'!$Q$5:$Q$204,0)+4,"")-4))</f>
        <v/>
      </c>
      <c r="E21" s="87">
        <f>IF(OR(IFERROR(MATCH(17,'List A'!$Q$5:$Q$204,0)+4,"")="",IF(IFERROR(MATCH(17,'List A'!$Q$5:$Q$204,0)+4,"")="","",INDEX('List A'!$K$5:$K$204,IFERROR(MATCH(17,'List A'!$Q$5:$Q$204,0)+4,"")-4))=""),"",INDEX('List B'!$A$5:$A$204,IF(IFERROR(MATCH(17,'List A'!$Q$5:$Q$204,0)+4,"")="","",INDEX('List A'!$K$5:$K$204,IFERROR(MATCH(17,'List A'!$Q$5:$Q$204,0)+4,"")-4))-4))</f>
        <v/>
      </c>
      <c r="F21" s="53">
        <f>IF(OR(IFERROR(MATCH(17,'List A'!$Q$5:$Q$204,0)+4,"")="",IF(IFERROR(MATCH(17,'List A'!$Q$5:$Q$204,0)+4,"")="","",INDEX('List A'!$K$5:$K$204,IFERROR(MATCH(17,'List A'!$Q$5:$Q$204,0)+4,"")-4))=""),"",INDEX('List B'!$B$5:$B$204,IF(IFERROR(MATCH(17,'List A'!$Q$5:$Q$204,0)+4,"")="","",INDEX('List A'!$K$5:$K$204,IFERROR(MATCH(17,'List A'!$Q$5:$Q$204,0)+4,"")-4))-4))</f>
        <v/>
      </c>
      <c r="G21" s="52">
        <f>IF(OR(IFERROR(MATCH(17,'List A'!$Q$5:$Q$204,0)+4,"")="",IF(IFERROR(MATCH(17,'List A'!$Q$5:$Q$204,0)+4,"")="","",INDEX('List A'!$K$5:$K$204,IFERROR(MATCH(17,'List A'!$Q$5:$Q$204,0)+4,"")-4))=""),"",INDEX('List B'!$C$5:$C$204,IF(IFERROR(MATCH(17,'List A'!$Q$5:$Q$204,0)+4,"")="","",INDEX('List A'!$K$5:$K$204,IFERROR(MATCH(17,'List A'!$Q$5:$Q$204,0)+4,"")-4))-4))</f>
        <v/>
      </c>
      <c r="H21" s="53">
        <f>IF(OR(IFERROR(MATCH(17,'List A'!$Q$5:$Q$204,0)+4,"")="",IF(IFERROR(MATCH(17,'List A'!$Q$5:$Q$204,0)+4,"")="","",INDEX('List A'!$K$5:$K$204,IFERROR(MATCH(17,'List A'!$Q$5:$Q$204,0)+4,"")-4))=""),"",INDEX('List B'!$D$5:$D$204,IF(IFERROR(MATCH(17,'List A'!$Q$5:$Q$204,0)+4,"")="","",INDEX('List A'!$K$5:$K$204,IFERROR(MATCH(17,'List A'!$Q$5:$Q$204,0)+4,"")-4))-4))</f>
        <v/>
      </c>
      <c r="I21" s="52">
        <f>IF(IFERROR(MATCH(17,'List A'!$Q$5:$Q$204,0)+4,"")="","",INDEX('List A'!$N$5:$N$204,IFERROR(MATCH(17,'List A'!$Q$5:$Q$204,0)+4,"")-4))</f>
        <v/>
      </c>
      <c r="J21" s="53">
        <f>IF(IFERROR(MATCH(17,'List A'!$Q$5:$Q$204,0)+4,"")="","",INDEX('List A'!$O$5:$O$204,IFERROR(MATCH(17,'List A'!$Q$5:$Q$204,0)+4,"")-4))</f>
        <v/>
      </c>
    </row>
    <row r="22" ht="17" customHeight="1">
      <c r="A22" s="87">
        <f>IF(IFERROR(MATCH(18,'List A'!$Q$5:$Q$204,0)+4,"")="","",INDEX('List A'!$A$5:$A$204,IFERROR(MATCH(18,'List A'!$Q$5:$Q$204,0)+4,"")-4))</f>
        <v/>
      </c>
      <c r="B22" s="53">
        <f>IF(IFERROR(MATCH(18,'List A'!$Q$5:$Q$204,0)+4,"")="","",INDEX('List A'!$B$5:$B$204,IFERROR(MATCH(18,'List A'!$Q$5:$Q$204,0)+4,"")-4))</f>
        <v/>
      </c>
      <c r="C22" s="52">
        <f>IF(IFERROR(MATCH(18,'List A'!$Q$5:$Q$204,0)+4,"")="","",INDEX('List A'!$C$5:$C$204,IFERROR(MATCH(18,'List A'!$Q$5:$Q$204,0)+4,"")-4))</f>
        <v/>
      </c>
      <c r="D22" s="53">
        <f>IF(IFERROR(MATCH(18,'List A'!$Q$5:$Q$204,0)+4,"")="","",INDEX('List A'!$D$5:$D$204,IFERROR(MATCH(18,'List A'!$Q$5:$Q$204,0)+4,"")-4))</f>
        <v/>
      </c>
      <c r="E22" s="87">
        <f>IF(OR(IFERROR(MATCH(18,'List A'!$Q$5:$Q$204,0)+4,"")="",IF(IFERROR(MATCH(18,'List A'!$Q$5:$Q$204,0)+4,"")="","",INDEX('List A'!$K$5:$K$204,IFERROR(MATCH(18,'List A'!$Q$5:$Q$204,0)+4,"")-4))=""),"",INDEX('List B'!$A$5:$A$204,IF(IFERROR(MATCH(18,'List A'!$Q$5:$Q$204,0)+4,"")="","",INDEX('List A'!$K$5:$K$204,IFERROR(MATCH(18,'List A'!$Q$5:$Q$204,0)+4,"")-4))-4))</f>
        <v/>
      </c>
      <c r="F22" s="53">
        <f>IF(OR(IFERROR(MATCH(18,'List A'!$Q$5:$Q$204,0)+4,"")="",IF(IFERROR(MATCH(18,'List A'!$Q$5:$Q$204,0)+4,"")="","",INDEX('List A'!$K$5:$K$204,IFERROR(MATCH(18,'List A'!$Q$5:$Q$204,0)+4,"")-4))=""),"",INDEX('List B'!$B$5:$B$204,IF(IFERROR(MATCH(18,'List A'!$Q$5:$Q$204,0)+4,"")="","",INDEX('List A'!$K$5:$K$204,IFERROR(MATCH(18,'List A'!$Q$5:$Q$204,0)+4,"")-4))-4))</f>
        <v/>
      </c>
      <c r="G22" s="52">
        <f>IF(OR(IFERROR(MATCH(18,'List A'!$Q$5:$Q$204,0)+4,"")="",IF(IFERROR(MATCH(18,'List A'!$Q$5:$Q$204,0)+4,"")="","",INDEX('List A'!$K$5:$K$204,IFERROR(MATCH(18,'List A'!$Q$5:$Q$204,0)+4,"")-4))=""),"",INDEX('List B'!$C$5:$C$204,IF(IFERROR(MATCH(18,'List A'!$Q$5:$Q$204,0)+4,"")="","",INDEX('List A'!$K$5:$K$204,IFERROR(MATCH(18,'List A'!$Q$5:$Q$204,0)+4,"")-4))-4))</f>
        <v/>
      </c>
      <c r="H22" s="53">
        <f>IF(OR(IFERROR(MATCH(18,'List A'!$Q$5:$Q$204,0)+4,"")="",IF(IFERROR(MATCH(18,'List A'!$Q$5:$Q$204,0)+4,"")="","",INDEX('List A'!$K$5:$K$204,IFERROR(MATCH(18,'List A'!$Q$5:$Q$204,0)+4,"")-4))=""),"",INDEX('List B'!$D$5:$D$204,IF(IFERROR(MATCH(18,'List A'!$Q$5:$Q$204,0)+4,"")="","",INDEX('List A'!$K$5:$K$204,IFERROR(MATCH(18,'List A'!$Q$5:$Q$204,0)+4,"")-4))-4))</f>
        <v/>
      </c>
      <c r="I22" s="52">
        <f>IF(IFERROR(MATCH(18,'List A'!$Q$5:$Q$204,0)+4,"")="","",INDEX('List A'!$N$5:$N$204,IFERROR(MATCH(18,'List A'!$Q$5:$Q$204,0)+4,"")-4))</f>
        <v/>
      </c>
      <c r="J22" s="53">
        <f>IF(IFERROR(MATCH(18,'List A'!$Q$5:$Q$204,0)+4,"")="","",INDEX('List A'!$O$5:$O$204,IFERROR(MATCH(18,'List A'!$Q$5:$Q$204,0)+4,"")-4))</f>
        <v/>
      </c>
    </row>
    <row r="23" ht="17" customHeight="1">
      <c r="A23" s="87">
        <f>IF(IFERROR(MATCH(19,'List A'!$Q$5:$Q$204,0)+4,"")="","",INDEX('List A'!$A$5:$A$204,IFERROR(MATCH(19,'List A'!$Q$5:$Q$204,0)+4,"")-4))</f>
        <v/>
      </c>
      <c r="B23" s="53">
        <f>IF(IFERROR(MATCH(19,'List A'!$Q$5:$Q$204,0)+4,"")="","",INDEX('List A'!$B$5:$B$204,IFERROR(MATCH(19,'List A'!$Q$5:$Q$204,0)+4,"")-4))</f>
        <v/>
      </c>
      <c r="C23" s="52">
        <f>IF(IFERROR(MATCH(19,'List A'!$Q$5:$Q$204,0)+4,"")="","",INDEX('List A'!$C$5:$C$204,IFERROR(MATCH(19,'List A'!$Q$5:$Q$204,0)+4,"")-4))</f>
        <v/>
      </c>
      <c r="D23" s="53">
        <f>IF(IFERROR(MATCH(19,'List A'!$Q$5:$Q$204,0)+4,"")="","",INDEX('List A'!$D$5:$D$204,IFERROR(MATCH(19,'List A'!$Q$5:$Q$204,0)+4,"")-4))</f>
        <v/>
      </c>
      <c r="E23" s="87">
        <f>IF(OR(IFERROR(MATCH(19,'List A'!$Q$5:$Q$204,0)+4,"")="",IF(IFERROR(MATCH(19,'List A'!$Q$5:$Q$204,0)+4,"")="","",INDEX('List A'!$K$5:$K$204,IFERROR(MATCH(19,'List A'!$Q$5:$Q$204,0)+4,"")-4))=""),"",INDEX('List B'!$A$5:$A$204,IF(IFERROR(MATCH(19,'List A'!$Q$5:$Q$204,0)+4,"")="","",INDEX('List A'!$K$5:$K$204,IFERROR(MATCH(19,'List A'!$Q$5:$Q$204,0)+4,"")-4))-4))</f>
        <v/>
      </c>
      <c r="F23" s="53">
        <f>IF(OR(IFERROR(MATCH(19,'List A'!$Q$5:$Q$204,0)+4,"")="",IF(IFERROR(MATCH(19,'List A'!$Q$5:$Q$204,0)+4,"")="","",INDEX('List A'!$K$5:$K$204,IFERROR(MATCH(19,'List A'!$Q$5:$Q$204,0)+4,"")-4))=""),"",INDEX('List B'!$B$5:$B$204,IF(IFERROR(MATCH(19,'List A'!$Q$5:$Q$204,0)+4,"")="","",INDEX('List A'!$K$5:$K$204,IFERROR(MATCH(19,'List A'!$Q$5:$Q$204,0)+4,"")-4))-4))</f>
        <v/>
      </c>
      <c r="G23" s="52">
        <f>IF(OR(IFERROR(MATCH(19,'List A'!$Q$5:$Q$204,0)+4,"")="",IF(IFERROR(MATCH(19,'List A'!$Q$5:$Q$204,0)+4,"")="","",INDEX('List A'!$K$5:$K$204,IFERROR(MATCH(19,'List A'!$Q$5:$Q$204,0)+4,"")-4))=""),"",INDEX('List B'!$C$5:$C$204,IF(IFERROR(MATCH(19,'List A'!$Q$5:$Q$204,0)+4,"")="","",INDEX('List A'!$K$5:$K$204,IFERROR(MATCH(19,'List A'!$Q$5:$Q$204,0)+4,"")-4))-4))</f>
        <v/>
      </c>
      <c r="H23" s="53">
        <f>IF(OR(IFERROR(MATCH(19,'List A'!$Q$5:$Q$204,0)+4,"")="",IF(IFERROR(MATCH(19,'List A'!$Q$5:$Q$204,0)+4,"")="","",INDEX('List A'!$K$5:$K$204,IFERROR(MATCH(19,'List A'!$Q$5:$Q$204,0)+4,"")-4))=""),"",INDEX('List B'!$D$5:$D$204,IF(IFERROR(MATCH(19,'List A'!$Q$5:$Q$204,0)+4,"")="","",INDEX('List A'!$K$5:$K$204,IFERROR(MATCH(19,'List A'!$Q$5:$Q$204,0)+4,"")-4))-4))</f>
        <v/>
      </c>
      <c r="I23" s="52">
        <f>IF(IFERROR(MATCH(19,'List A'!$Q$5:$Q$204,0)+4,"")="","",INDEX('List A'!$N$5:$N$204,IFERROR(MATCH(19,'List A'!$Q$5:$Q$204,0)+4,"")-4))</f>
        <v/>
      </c>
      <c r="J23" s="53">
        <f>IF(IFERROR(MATCH(19,'List A'!$Q$5:$Q$204,0)+4,"")="","",INDEX('List A'!$O$5:$O$204,IFERROR(MATCH(19,'List A'!$Q$5:$Q$204,0)+4,"")-4))</f>
        <v/>
      </c>
    </row>
    <row r="24" ht="17" customHeight="1">
      <c r="A24" s="87">
        <f>IF(IFERROR(MATCH(20,'List A'!$Q$5:$Q$204,0)+4,"")="","",INDEX('List A'!$A$5:$A$204,IFERROR(MATCH(20,'List A'!$Q$5:$Q$204,0)+4,"")-4))</f>
        <v/>
      </c>
      <c r="B24" s="53">
        <f>IF(IFERROR(MATCH(20,'List A'!$Q$5:$Q$204,0)+4,"")="","",INDEX('List A'!$B$5:$B$204,IFERROR(MATCH(20,'List A'!$Q$5:$Q$204,0)+4,"")-4))</f>
        <v/>
      </c>
      <c r="C24" s="52">
        <f>IF(IFERROR(MATCH(20,'List A'!$Q$5:$Q$204,0)+4,"")="","",INDEX('List A'!$C$5:$C$204,IFERROR(MATCH(20,'List A'!$Q$5:$Q$204,0)+4,"")-4))</f>
        <v/>
      </c>
      <c r="D24" s="53">
        <f>IF(IFERROR(MATCH(20,'List A'!$Q$5:$Q$204,0)+4,"")="","",INDEX('List A'!$D$5:$D$204,IFERROR(MATCH(20,'List A'!$Q$5:$Q$204,0)+4,"")-4))</f>
        <v/>
      </c>
      <c r="E24" s="87">
        <f>IF(OR(IFERROR(MATCH(20,'List A'!$Q$5:$Q$204,0)+4,"")="",IF(IFERROR(MATCH(20,'List A'!$Q$5:$Q$204,0)+4,"")="","",INDEX('List A'!$K$5:$K$204,IFERROR(MATCH(20,'List A'!$Q$5:$Q$204,0)+4,"")-4))=""),"",INDEX('List B'!$A$5:$A$204,IF(IFERROR(MATCH(20,'List A'!$Q$5:$Q$204,0)+4,"")="","",INDEX('List A'!$K$5:$K$204,IFERROR(MATCH(20,'List A'!$Q$5:$Q$204,0)+4,"")-4))-4))</f>
        <v/>
      </c>
      <c r="F24" s="53">
        <f>IF(OR(IFERROR(MATCH(20,'List A'!$Q$5:$Q$204,0)+4,"")="",IF(IFERROR(MATCH(20,'List A'!$Q$5:$Q$204,0)+4,"")="","",INDEX('List A'!$K$5:$K$204,IFERROR(MATCH(20,'List A'!$Q$5:$Q$204,0)+4,"")-4))=""),"",INDEX('List B'!$B$5:$B$204,IF(IFERROR(MATCH(20,'List A'!$Q$5:$Q$204,0)+4,"")="","",INDEX('List A'!$K$5:$K$204,IFERROR(MATCH(20,'List A'!$Q$5:$Q$204,0)+4,"")-4))-4))</f>
        <v/>
      </c>
      <c r="G24" s="52">
        <f>IF(OR(IFERROR(MATCH(20,'List A'!$Q$5:$Q$204,0)+4,"")="",IF(IFERROR(MATCH(20,'List A'!$Q$5:$Q$204,0)+4,"")="","",INDEX('List A'!$K$5:$K$204,IFERROR(MATCH(20,'List A'!$Q$5:$Q$204,0)+4,"")-4))=""),"",INDEX('List B'!$C$5:$C$204,IF(IFERROR(MATCH(20,'List A'!$Q$5:$Q$204,0)+4,"")="","",INDEX('List A'!$K$5:$K$204,IFERROR(MATCH(20,'List A'!$Q$5:$Q$204,0)+4,"")-4))-4))</f>
        <v/>
      </c>
      <c r="H24" s="53">
        <f>IF(OR(IFERROR(MATCH(20,'List A'!$Q$5:$Q$204,0)+4,"")="",IF(IFERROR(MATCH(20,'List A'!$Q$5:$Q$204,0)+4,"")="","",INDEX('List A'!$K$5:$K$204,IFERROR(MATCH(20,'List A'!$Q$5:$Q$204,0)+4,"")-4))=""),"",INDEX('List B'!$D$5:$D$204,IF(IFERROR(MATCH(20,'List A'!$Q$5:$Q$204,0)+4,"")="","",INDEX('List A'!$K$5:$K$204,IFERROR(MATCH(20,'List A'!$Q$5:$Q$204,0)+4,"")-4))-4))</f>
        <v/>
      </c>
      <c r="I24" s="52">
        <f>IF(IFERROR(MATCH(20,'List A'!$Q$5:$Q$204,0)+4,"")="","",INDEX('List A'!$N$5:$N$204,IFERROR(MATCH(20,'List A'!$Q$5:$Q$204,0)+4,"")-4))</f>
        <v/>
      </c>
      <c r="J24" s="53">
        <f>IF(IFERROR(MATCH(20,'List A'!$Q$5:$Q$204,0)+4,"")="","",INDEX('List A'!$O$5:$O$204,IFERROR(MATCH(20,'List A'!$Q$5:$Q$204,0)+4,"")-4))</f>
        <v/>
      </c>
    </row>
    <row r="25" ht="17" customHeight="1">
      <c r="A25" s="87">
        <f>IF(IFERROR(MATCH(21,'List A'!$Q$5:$Q$204,0)+4,"")="","",INDEX('List A'!$A$5:$A$204,IFERROR(MATCH(21,'List A'!$Q$5:$Q$204,0)+4,"")-4))</f>
        <v/>
      </c>
      <c r="B25" s="53">
        <f>IF(IFERROR(MATCH(21,'List A'!$Q$5:$Q$204,0)+4,"")="","",INDEX('List A'!$B$5:$B$204,IFERROR(MATCH(21,'List A'!$Q$5:$Q$204,0)+4,"")-4))</f>
        <v/>
      </c>
      <c r="C25" s="52">
        <f>IF(IFERROR(MATCH(21,'List A'!$Q$5:$Q$204,0)+4,"")="","",INDEX('List A'!$C$5:$C$204,IFERROR(MATCH(21,'List A'!$Q$5:$Q$204,0)+4,"")-4))</f>
        <v/>
      </c>
      <c r="D25" s="53">
        <f>IF(IFERROR(MATCH(21,'List A'!$Q$5:$Q$204,0)+4,"")="","",INDEX('List A'!$D$5:$D$204,IFERROR(MATCH(21,'List A'!$Q$5:$Q$204,0)+4,"")-4))</f>
        <v/>
      </c>
      <c r="E25" s="87">
        <f>IF(OR(IFERROR(MATCH(21,'List A'!$Q$5:$Q$204,0)+4,"")="",IF(IFERROR(MATCH(21,'List A'!$Q$5:$Q$204,0)+4,"")="","",INDEX('List A'!$K$5:$K$204,IFERROR(MATCH(21,'List A'!$Q$5:$Q$204,0)+4,"")-4))=""),"",INDEX('List B'!$A$5:$A$204,IF(IFERROR(MATCH(21,'List A'!$Q$5:$Q$204,0)+4,"")="","",INDEX('List A'!$K$5:$K$204,IFERROR(MATCH(21,'List A'!$Q$5:$Q$204,0)+4,"")-4))-4))</f>
        <v/>
      </c>
      <c r="F25" s="53">
        <f>IF(OR(IFERROR(MATCH(21,'List A'!$Q$5:$Q$204,0)+4,"")="",IF(IFERROR(MATCH(21,'List A'!$Q$5:$Q$204,0)+4,"")="","",INDEX('List A'!$K$5:$K$204,IFERROR(MATCH(21,'List A'!$Q$5:$Q$204,0)+4,"")-4))=""),"",INDEX('List B'!$B$5:$B$204,IF(IFERROR(MATCH(21,'List A'!$Q$5:$Q$204,0)+4,"")="","",INDEX('List A'!$K$5:$K$204,IFERROR(MATCH(21,'List A'!$Q$5:$Q$204,0)+4,"")-4))-4))</f>
        <v/>
      </c>
      <c r="G25" s="52">
        <f>IF(OR(IFERROR(MATCH(21,'List A'!$Q$5:$Q$204,0)+4,"")="",IF(IFERROR(MATCH(21,'List A'!$Q$5:$Q$204,0)+4,"")="","",INDEX('List A'!$K$5:$K$204,IFERROR(MATCH(21,'List A'!$Q$5:$Q$204,0)+4,"")-4))=""),"",INDEX('List B'!$C$5:$C$204,IF(IFERROR(MATCH(21,'List A'!$Q$5:$Q$204,0)+4,"")="","",INDEX('List A'!$K$5:$K$204,IFERROR(MATCH(21,'List A'!$Q$5:$Q$204,0)+4,"")-4))-4))</f>
        <v/>
      </c>
      <c r="H25" s="53">
        <f>IF(OR(IFERROR(MATCH(21,'List A'!$Q$5:$Q$204,0)+4,"")="",IF(IFERROR(MATCH(21,'List A'!$Q$5:$Q$204,0)+4,"")="","",INDEX('List A'!$K$5:$K$204,IFERROR(MATCH(21,'List A'!$Q$5:$Q$204,0)+4,"")-4))=""),"",INDEX('List B'!$D$5:$D$204,IF(IFERROR(MATCH(21,'List A'!$Q$5:$Q$204,0)+4,"")="","",INDEX('List A'!$K$5:$K$204,IFERROR(MATCH(21,'List A'!$Q$5:$Q$204,0)+4,"")-4))-4))</f>
        <v/>
      </c>
      <c r="I25" s="52">
        <f>IF(IFERROR(MATCH(21,'List A'!$Q$5:$Q$204,0)+4,"")="","",INDEX('List A'!$N$5:$N$204,IFERROR(MATCH(21,'List A'!$Q$5:$Q$204,0)+4,"")-4))</f>
        <v/>
      </c>
      <c r="J25" s="53">
        <f>IF(IFERROR(MATCH(21,'List A'!$Q$5:$Q$204,0)+4,"")="","",INDEX('List A'!$O$5:$O$204,IFERROR(MATCH(21,'List A'!$Q$5:$Q$204,0)+4,"")-4))</f>
        <v/>
      </c>
    </row>
    <row r="26" ht="17" customHeight="1">
      <c r="A26" s="87">
        <f>IF(IFERROR(MATCH(22,'List A'!$Q$5:$Q$204,0)+4,"")="","",INDEX('List A'!$A$5:$A$204,IFERROR(MATCH(22,'List A'!$Q$5:$Q$204,0)+4,"")-4))</f>
        <v/>
      </c>
      <c r="B26" s="53">
        <f>IF(IFERROR(MATCH(22,'List A'!$Q$5:$Q$204,0)+4,"")="","",INDEX('List A'!$B$5:$B$204,IFERROR(MATCH(22,'List A'!$Q$5:$Q$204,0)+4,"")-4))</f>
        <v/>
      </c>
      <c r="C26" s="52">
        <f>IF(IFERROR(MATCH(22,'List A'!$Q$5:$Q$204,0)+4,"")="","",INDEX('List A'!$C$5:$C$204,IFERROR(MATCH(22,'List A'!$Q$5:$Q$204,0)+4,"")-4))</f>
        <v/>
      </c>
      <c r="D26" s="53">
        <f>IF(IFERROR(MATCH(22,'List A'!$Q$5:$Q$204,0)+4,"")="","",INDEX('List A'!$D$5:$D$204,IFERROR(MATCH(22,'List A'!$Q$5:$Q$204,0)+4,"")-4))</f>
        <v/>
      </c>
      <c r="E26" s="87">
        <f>IF(OR(IFERROR(MATCH(22,'List A'!$Q$5:$Q$204,0)+4,"")="",IF(IFERROR(MATCH(22,'List A'!$Q$5:$Q$204,0)+4,"")="","",INDEX('List A'!$K$5:$K$204,IFERROR(MATCH(22,'List A'!$Q$5:$Q$204,0)+4,"")-4))=""),"",INDEX('List B'!$A$5:$A$204,IF(IFERROR(MATCH(22,'List A'!$Q$5:$Q$204,0)+4,"")="","",INDEX('List A'!$K$5:$K$204,IFERROR(MATCH(22,'List A'!$Q$5:$Q$204,0)+4,"")-4))-4))</f>
        <v/>
      </c>
      <c r="F26" s="53">
        <f>IF(OR(IFERROR(MATCH(22,'List A'!$Q$5:$Q$204,0)+4,"")="",IF(IFERROR(MATCH(22,'List A'!$Q$5:$Q$204,0)+4,"")="","",INDEX('List A'!$K$5:$K$204,IFERROR(MATCH(22,'List A'!$Q$5:$Q$204,0)+4,"")-4))=""),"",INDEX('List B'!$B$5:$B$204,IF(IFERROR(MATCH(22,'List A'!$Q$5:$Q$204,0)+4,"")="","",INDEX('List A'!$K$5:$K$204,IFERROR(MATCH(22,'List A'!$Q$5:$Q$204,0)+4,"")-4))-4))</f>
        <v/>
      </c>
      <c r="G26" s="52">
        <f>IF(OR(IFERROR(MATCH(22,'List A'!$Q$5:$Q$204,0)+4,"")="",IF(IFERROR(MATCH(22,'List A'!$Q$5:$Q$204,0)+4,"")="","",INDEX('List A'!$K$5:$K$204,IFERROR(MATCH(22,'List A'!$Q$5:$Q$204,0)+4,"")-4))=""),"",INDEX('List B'!$C$5:$C$204,IF(IFERROR(MATCH(22,'List A'!$Q$5:$Q$204,0)+4,"")="","",INDEX('List A'!$K$5:$K$204,IFERROR(MATCH(22,'List A'!$Q$5:$Q$204,0)+4,"")-4))-4))</f>
        <v/>
      </c>
      <c r="H26" s="53">
        <f>IF(OR(IFERROR(MATCH(22,'List A'!$Q$5:$Q$204,0)+4,"")="",IF(IFERROR(MATCH(22,'List A'!$Q$5:$Q$204,0)+4,"")="","",INDEX('List A'!$K$5:$K$204,IFERROR(MATCH(22,'List A'!$Q$5:$Q$204,0)+4,"")-4))=""),"",INDEX('List B'!$D$5:$D$204,IF(IFERROR(MATCH(22,'List A'!$Q$5:$Q$204,0)+4,"")="","",INDEX('List A'!$K$5:$K$204,IFERROR(MATCH(22,'List A'!$Q$5:$Q$204,0)+4,"")-4))-4))</f>
        <v/>
      </c>
      <c r="I26" s="52">
        <f>IF(IFERROR(MATCH(22,'List A'!$Q$5:$Q$204,0)+4,"")="","",INDEX('List A'!$N$5:$N$204,IFERROR(MATCH(22,'List A'!$Q$5:$Q$204,0)+4,"")-4))</f>
        <v/>
      </c>
      <c r="J26" s="53">
        <f>IF(IFERROR(MATCH(22,'List A'!$Q$5:$Q$204,0)+4,"")="","",INDEX('List A'!$O$5:$O$204,IFERROR(MATCH(22,'List A'!$Q$5:$Q$204,0)+4,"")-4))</f>
        <v/>
      </c>
    </row>
    <row r="27" ht="17" customHeight="1">
      <c r="A27" s="87">
        <f>IF(IFERROR(MATCH(23,'List A'!$Q$5:$Q$204,0)+4,"")="","",INDEX('List A'!$A$5:$A$204,IFERROR(MATCH(23,'List A'!$Q$5:$Q$204,0)+4,"")-4))</f>
        <v/>
      </c>
      <c r="B27" s="53">
        <f>IF(IFERROR(MATCH(23,'List A'!$Q$5:$Q$204,0)+4,"")="","",INDEX('List A'!$B$5:$B$204,IFERROR(MATCH(23,'List A'!$Q$5:$Q$204,0)+4,"")-4))</f>
        <v/>
      </c>
      <c r="C27" s="52">
        <f>IF(IFERROR(MATCH(23,'List A'!$Q$5:$Q$204,0)+4,"")="","",INDEX('List A'!$C$5:$C$204,IFERROR(MATCH(23,'List A'!$Q$5:$Q$204,0)+4,"")-4))</f>
        <v/>
      </c>
      <c r="D27" s="53">
        <f>IF(IFERROR(MATCH(23,'List A'!$Q$5:$Q$204,0)+4,"")="","",INDEX('List A'!$D$5:$D$204,IFERROR(MATCH(23,'List A'!$Q$5:$Q$204,0)+4,"")-4))</f>
        <v/>
      </c>
      <c r="E27" s="87">
        <f>IF(OR(IFERROR(MATCH(23,'List A'!$Q$5:$Q$204,0)+4,"")="",IF(IFERROR(MATCH(23,'List A'!$Q$5:$Q$204,0)+4,"")="","",INDEX('List A'!$K$5:$K$204,IFERROR(MATCH(23,'List A'!$Q$5:$Q$204,0)+4,"")-4))=""),"",INDEX('List B'!$A$5:$A$204,IF(IFERROR(MATCH(23,'List A'!$Q$5:$Q$204,0)+4,"")="","",INDEX('List A'!$K$5:$K$204,IFERROR(MATCH(23,'List A'!$Q$5:$Q$204,0)+4,"")-4))-4))</f>
        <v/>
      </c>
      <c r="F27" s="53">
        <f>IF(OR(IFERROR(MATCH(23,'List A'!$Q$5:$Q$204,0)+4,"")="",IF(IFERROR(MATCH(23,'List A'!$Q$5:$Q$204,0)+4,"")="","",INDEX('List A'!$K$5:$K$204,IFERROR(MATCH(23,'List A'!$Q$5:$Q$204,0)+4,"")-4))=""),"",INDEX('List B'!$B$5:$B$204,IF(IFERROR(MATCH(23,'List A'!$Q$5:$Q$204,0)+4,"")="","",INDEX('List A'!$K$5:$K$204,IFERROR(MATCH(23,'List A'!$Q$5:$Q$204,0)+4,"")-4))-4))</f>
        <v/>
      </c>
      <c r="G27" s="52">
        <f>IF(OR(IFERROR(MATCH(23,'List A'!$Q$5:$Q$204,0)+4,"")="",IF(IFERROR(MATCH(23,'List A'!$Q$5:$Q$204,0)+4,"")="","",INDEX('List A'!$K$5:$K$204,IFERROR(MATCH(23,'List A'!$Q$5:$Q$204,0)+4,"")-4))=""),"",INDEX('List B'!$C$5:$C$204,IF(IFERROR(MATCH(23,'List A'!$Q$5:$Q$204,0)+4,"")="","",INDEX('List A'!$K$5:$K$204,IFERROR(MATCH(23,'List A'!$Q$5:$Q$204,0)+4,"")-4))-4))</f>
        <v/>
      </c>
      <c r="H27" s="53">
        <f>IF(OR(IFERROR(MATCH(23,'List A'!$Q$5:$Q$204,0)+4,"")="",IF(IFERROR(MATCH(23,'List A'!$Q$5:$Q$204,0)+4,"")="","",INDEX('List A'!$K$5:$K$204,IFERROR(MATCH(23,'List A'!$Q$5:$Q$204,0)+4,"")-4))=""),"",INDEX('List B'!$D$5:$D$204,IF(IFERROR(MATCH(23,'List A'!$Q$5:$Q$204,0)+4,"")="","",INDEX('List A'!$K$5:$K$204,IFERROR(MATCH(23,'List A'!$Q$5:$Q$204,0)+4,"")-4))-4))</f>
        <v/>
      </c>
      <c r="I27" s="52">
        <f>IF(IFERROR(MATCH(23,'List A'!$Q$5:$Q$204,0)+4,"")="","",INDEX('List A'!$N$5:$N$204,IFERROR(MATCH(23,'List A'!$Q$5:$Q$204,0)+4,"")-4))</f>
        <v/>
      </c>
      <c r="J27" s="53">
        <f>IF(IFERROR(MATCH(23,'List A'!$Q$5:$Q$204,0)+4,"")="","",INDEX('List A'!$O$5:$O$204,IFERROR(MATCH(23,'List A'!$Q$5:$Q$204,0)+4,"")-4))</f>
        <v/>
      </c>
    </row>
    <row r="28" ht="17" customHeight="1">
      <c r="A28" s="87">
        <f>IF(IFERROR(MATCH(24,'List A'!$Q$5:$Q$204,0)+4,"")="","",INDEX('List A'!$A$5:$A$204,IFERROR(MATCH(24,'List A'!$Q$5:$Q$204,0)+4,"")-4))</f>
        <v/>
      </c>
      <c r="B28" s="53">
        <f>IF(IFERROR(MATCH(24,'List A'!$Q$5:$Q$204,0)+4,"")="","",INDEX('List A'!$B$5:$B$204,IFERROR(MATCH(24,'List A'!$Q$5:$Q$204,0)+4,"")-4))</f>
        <v/>
      </c>
      <c r="C28" s="52">
        <f>IF(IFERROR(MATCH(24,'List A'!$Q$5:$Q$204,0)+4,"")="","",INDEX('List A'!$C$5:$C$204,IFERROR(MATCH(24,'List A'!$Q$5:$Q$204,0)+4,"")-4))</f>
        <v/>
      </c>
      <c r="D28" s="53">
        <f>IF(IFERROR(MATCH(24,'List A'!$Q$5:$Q$204,0)+4,"")="","",INDEX('List A'!$D$5:$D$204,IFERROR(MATCH(24,'List A'!$Q$5:$Q$204,0)+4,"")-4))</f>
        <v/>
      </c>
      <c r="E28" s="87">
        <f>IF(OR(IFERROR(MATCH(24,'List A'!$Q$5:$Q$204,0)+4,"")="",IF(IFERROR(MATCH(24,'List A'!$Q$5:$Q$204,0)+4,"")="","",INDEX('List A'!$K$5:$K$204,IFERROR(MATCH(24,'List A'!$Q$5:$Q$204,0)+4,"")-4))=""),"",INDEX('List B'!$A$5:$A$204,IF(IFERROR(MATCH(24,'List A'!$Q$5:$Q$204,0)+4,"")="","",INDEX('List A'!$K$5:$K$204,IFERROR(MATCH(24,'List A'!$Q$5:$Q$204,0)+4,"")-4))-4))</f>
        <v/>
      </c>
      <c r="F28" s="53">
        <f>IF(OR(IFERROR(MATCH(24,'List A'!$Q$5:$Q$204,0)+4,"")="",IF(IFERROR(MATCH(24,'List A'!$Q$5:$Q$204,0)+4,"")="","",INDEX('List A'!$K$5:$K$204,IFERROR(MATCH(24,'List A'!$Q$5:$Q$204,0)+4,"")-4))=""),"",INDEX('List B'!$B$5:$B$204,IF(IFERROR(MATCH(24,'List A'!$Q$5:$Q$204,0)+4,"")="","",INDEX('List A'!$K$5:$K$204,IFERROR(MATCH(24,'List A'!$Q$5:$Q$204,0)+4,"")-4))-4))</f>
        <v/>
      </c>
      <c r="G28" s="52">
        <f>IF(OR(IFERROR(MATCH(24,'List A'!$Q$5:$Q$204,0)+4,"")="",IF(IFERROR(MATCH(24,'List A'!$Q$5:$Q$204,0)+4,"")="","",INDEX('List A'!$K$5:$K$204,IFERROR(MATCH(24,'List A'!$Q$5:$Q$204,0)+4,"")-4))=""),"",INDEX('List B'!$C$5:$C$204,IF(IFERROR(MATCH(24,'List A'!$Q$5:$Q$204,0)+4,"")="","",INDEX('List A'!$K$5:$K$204,IFERROR(MATCH(24,'List A'!$Q$5:$Q$204,0)+4,"")-4))-4))</f>
        <v/>
      </c>
      <c r="H28" s="53">
        <f>IF(OR(IFERROR(MATCH(24,'List A'!$Q$5:$Q$204,0)+4,"")="",IF(IFERROR(MATCH(24,'List A'!$Q$5:$Q$204,0)+4,"")="","",INDEX('List A'!$K$5:$K$204,IFERROR(MATCH(24,'List A'!$Q$5:$Q$204,0)+4,"")-4))=""),"",INDEX('List B'!$D$5:$D$204,IF(IFERROR(MATCH(24,'List A'!$Q$5:$Q$204,0)+4,"")="","",INDEX('List A'!$K$5:$K$204,IFERROR(MATCH(24,'List A'!$Q$5:$Q$204,0)+4,"")-4))-4))</f>
        <v/>
      </c>
      <c r="I28" s="52">
        <f>IF(IFERROR(MATCH(24,'List A'!$Q$5:$Q$204,0)+4,"")="","",INDEX('List A'!$N$5:$N$204,IFERROR(MATCH(24,'List A'!$Q$5:$Q$204,0)+4,"")-4))</f>
        <v/>
      </c>
      <c r="J28" s="53">
        <f>IF(IFERROR(MATCH(24,'List A'!$Q$5:$Q$204,0)+4,"")="","",INDEX('List A'!$O$5:$O$204,IFERROR(MATCH(24,'List A'!$Q$5:$Q$204,0)+4,"")-4))</f>
        <v/>
      </c>
    </row>
    <row r="29" ht="17" customHeight="1">
      <c r="A29" s="87">
        <f>IF(IFERROR(MATCH(25,'List A'!$Q$5:$Q$204,0)+4,"")="","",INDEX('List A'!$A$5:$A$204,IFERROR(MATCH(25,'List A'!$Q$5:$Q$204,0)+4,"")-4))</f>
        <v/>
      </c>
      <c r="B29" s="53">
        <f>IF(IFERROR(MATCH(25,'List A'!$Q$5:$Q$204,0)+4,"")="","",INDEX('List A'!$B$5:$B$204,IFERROR(MATCH(25,'List A'!$Q$5:$Q$204,0)+4,"")-4))</f>
        <v/>
      </c>
      <c r="C29" s="52">
        <f>IF(IFERROR(MATCH(25,'List A'!$Q$5:$Q$204,0)+4,"")="","",INDEX('List A'!$C$5:$C$204,IFERROR(MATCH(25,'List A'!$Q$5:$Q$204,0)+4,"")-4))</f>
        <v/>
      </c>
      <c r="D29" s="53">
        <f>IF(IFERROR(MATCH(25,'List A'!$Q$5:$Q$204,0)+4,"")="","",INDEX('List A'!$D$5:$D$204,IFERROR(MATCH(25,'List A'!$Q$5:$Q$204,0)+4,"")-4))</f>
        <v/>
      </c>
      <c r="E29" s="87">
        <f>IF(OR(IFERROR(MATCH(25,'List A'!$Q$5:$Q$204,0)+4,"")="",IF(IFERROR(MATCH(25,'List A'!$Q$5:$Q$204,0)+4,"")="","",INDEX('List A'!$K$5:$K$204,IFERROR(MATCH(25,'List A'!$Q$5:$Q$204,0)+4,"")-4))=""),"",INDEX('List B'!$A$5:$A$204,IF(IFERROR(MATCH(25,'List A'!$Q$5:$Q$204,0)+4,"")="","",INDEX('List A'!$K$5:$K$204,IFERROR(MATCH(25,'List A'!$Q$5:$Q$204,0)+4,"")-4))-4))</f>
        <v/>
      </c>
      <c r="F29" s="53">
        <f>IF(OR(IFERROR(MATCH(25,'List A'!$Q$5:$Q$204,0)+4,"")="",IF(IFERROR(MATCH(25,'List A'!$Q$5:$Q$204,0)+4,"")="","",INDEX('List A'!$K$5:$K$204,IFERROR(MATCH(25,'List A'!$Q$5:$Q$204,0)+4,"")-4))=""),"",INDEX('List B'!$B$5:$B$204,IF(IFERROR(MATCH(25,'List A'!$Q$5:$Q$204,0)+4,"")="","",INDEX('List A'!$K$5:$K$204,IFERROR(MATCH(25,'List A'!$Q$5:$Q$204,0)+4,"")-4))-4))</f>
        <v/>
      </c>
      <c r="G29" s="52">
        <f>IF(OR(IFERROR(MATCH(25,'List A'!$Q$5:$Q$204,0)+4,"")="",IF(IFERROR(MATCH(25,'List A'!$Q$5:$Q$204,0)+4,"")="","",INDEX('List A'!$K$5:$K$204,IFERROR(MATCH(25,'List A'!$Q$5:$Q$204,0)+4,"")-4))=""),"",INDEX('List B'!$C$5:$C$204,IF(IFERROR(MATCH(25,'List A'!$Q$5:$Q$204,0)+4,"")="","",INDEX('List A'!$K$5:$K$204,IFERROR(MATCH(25,'List A'!$Q$5:$Q$204,0)+4,"")-4))-4))</f>
        <v/>
      </c>
      <c r="H29" s="53">
        <f>IF(OR(IFERROR(MATCH(25,'List A'!$Q$5:$Q$204,0)+4,"")="",IF(IFERROR(MATCH(25,'List A'!$Q$5:$Q$204,0)+4,"")="","",INDEX('List A'!$K$5:$K$204,IFERROR(MATCH(25,'List A'!$Q$5:$Q$204,0)+4,"")-4))=""),"",INDEX('List B'!$D$5:$D$204,IF(IFERROR(MATCH(25,'List A'!$Q$5:$Q$204,0)+4,"")="","",INDEX('List A'!$K$5:$K$204,IFERROR(MATCH(25,'List A'!$Q$5:$Q$204,0)+4,"")-4))-4))</f>
        <v/>
      </c>
      <c r="I29" s="52">
        <f>IF(IFERROR(MATCH(25,'List A'!$Q$5:$Q$204,0)+4,"")="","",INDEX('List A'!$N$5:$N$204,IFERROR(MATCH(25,'List A'!$Q$5:$Q$204,0)+4,"")-4))</f>
        <v/>
      </c>
      <c r="J29" s="53">
        <f>IF(IFERROR(MATCH(25,'List A'!$Q$5:$Q$204,0)+4,"")="","",INDEX('List A'!$O$5:$O$204,IFERROR(MATCH(25,'List A'!$Q$5:$Q$204,0)+4,"")-4))</f>
        <v/>
      </c>
    </row>
    <row r="30" ht="17" customHeight="1">
      <c r="A30" s="87">
        <f>IF(IFERROR(MATCH(26,'List A'!$Q$5:$Q$204,0)+4,"")="","",INDEX('List A'!$A$5:$A$204,IFERROR(MATCH(26,'List A'!$Q$5:$Q$204,0)+4,"")-4))</f>
        <v/>
      </c>
      <c r="B30" s="53">
        <f>IF(IFERROR(MATCH(26,'List A'!$Q$5:$Q$204,0)+4,"")="","",INDEX('List A'!$B$5:$B$204,IFERROR(MATCH(26,'List A'!$Q$5:$Q$204,0)+4,"")-4))</f>
        <v/>
      </c>
      <c r="C30" s="52">
        <f>IF(IFERROR(MATCH(26,'List A'!$Q$5:$Q$204,0)+4,"")="","",INDEX('List A'!$C$5:$C$204,IFERROR(MATCH(26,'List A'!$Q$5:$Q$204,0)+4,"")-4))</f>
        <v/>
      </c>
      <c r="D30" s="53">
        <f>IF(IFERROR(MATCH(26,'List A'!$Q$5:$Q$204,0)+4,"")="","",INDEX('List A'!$D$5:$D$204,IFERROR(MATCH(26,'List A'!$Q$5:$Q$204,0)+4,"")-4))</f>
        <v/>
      </c>
      <c r="E30" s="87">
        <f>IF(OR(IFERROR(MATCH(26,'List A'!$Q$5:$Q$204,0)+4,"")="",IF(IFERROR(MATCH(26,'List A'!$Q$5:$Q$204,0)+4,"")="","",INDEX('List A'!$K$5:$K$204,IFERROR(MATCH(26,'List A'!$Q$5:$Q$204,0)+4,"")-4))=""),"",INDEX('List B'!$A$5:$A$204,IF(IFERROR(MATCH(26,'List A'!$Q$5:$Q$204,0)+4,"")="","",INDEX('List A'!$K$5:$K$204,IFERROR(MATCH(26,'List A'!$Q$5:$Q$204,0)+4,"")-4))-4))</f>
        <v/>
      </c>
      <c r="F30" s="53">
        <f>IF(OR(IFERROR(MATCH(26,'List A'!$Q$5:$Q$204,0)+4,"")="",IF(IFERROR(MATCH(26,'List A'!$Q$5:$Q$204,0)+4,"")="","",INDEX('List A'!$K$5:$K$204,IFERROR(MATCH(26,'List A'!$Q$5:$Q$204,0)+4,"")-4))=""),"",INDEX('List B'!$B$5:$B$204,IF(IFERROR(MATCH(26,'List A'!$Q$5:$Q$204,0)+4,"")="","",INDEX('List A'!$K$5:$K$204,IFERROR(MATCH(26,'List A'!$Q$5:$Q$204,0)+4,"")-4))-4))</f>
        <v/>
      </c>
      <c r="G30" s="52">
        <f>IF(OR(IFERROR(MATCH(26,'List A'!$Q$5:$Q$204,0)+4,"")="",IF(IFERROR(MATCH(26,'List A'!$Q$5:$Q$204,0)+4,"")="","",INDEX('List A'!$K$5:$K$204,IFERROR(MATCH(26,'List A'!$Q$5:$Q$204,0)+4,"")-4))=""),"",INDEX('List B'!$C$5:$C$204,IF(IFERROR(MATCH(26,'List A'!$Q$5:$Q$204,0)+4,"")="","",INDEX('List A'!$K$5:$K$204,IFERROR(MATCH(26,'List A'!$Q$5:$Q$204,0)+4,"")-4))-4))</f>
        <v/>
      </c>
      <c r="H30" s="53">
        <f>IF(OR(IFERROR(MATCH(26,'List A'!$Q$5:$Q$204,0)+4,"")="",IF(IFERROR(MATCH(26,'List A'!$Q$5:$Q$204,0)+4,"")="","",INDEX('List A'!$K$5:$K$204,IFERROR(MATCH(26,'List A'!$Q$5:$Q$204,0)+4,"")-4))=""),"",INDEX('List B'!$D$5:$D$204,IF(IFERROR(MATCH(26,'List A'!$Q$5:$Q$204,0)+4,"")="","",INDEX('List A'!$K$5:$K$204,IFERROR(MATCH(26,'List A'!$Q$5:$Q$204,0)+4,"")-4))-4))</f>
        <v/>
      </c>
      <c r="I30" s="52">
        <f>IF(IFERROR(MATCH(26,'List A'!$Q$5:$Q$204,0)+4,"")="","",INDEX('List A'!$N$5:$N$204,IFERROR(MATCH(26,'List A'!$Q$5:$Q$204,0)+4,"")-4))</f>
        <v/>
      </c>
      <c r="J30" s="53">
        <f>IF(IFERROR(MATCH(26,'List A'!$Q$5:$Q$204,0)+4,"")="","",INDEX('List A'!$O$5:$O$204,IFERROR(MATCH(26,'List A'!$Q$5:$Q$204,0)+4,"")-4))</f>
        <v/>
      </c>
    </row>
    <row r="31" ht="17" customHeight="1">
      <c r="A31" s="87">
        <f>IF(IFERROR(MATCH(27,'List A'!$Q$5:$Q$204,0)+4,"")="","",INDEX('List A'!$A$5:$A$204,IFERROR(MATCH(27,'List A'!$Q$5:$Q$204,0)+4,"")-4))</f>
        <v/>
      </c>
      <c r="B31" s="53">
        <f>IF(IFERROR(MATCH(27,'List A'!$Q$5:$Q$204,0)+4,"")="","",INDEX('List A'!$B$5:$B$204,IFERROR(MATCH(27,'List A'!$Q$5:$Q$204,0)+4,"")-4))</f>
        <v/>
      </c>
      <c r="C31" s="52">
        <f>IF(IFERROR(MATCH(27,'List A'!$Q$5:$Q$204,0)+4,"")="","",INDEX('List A'!$C$5:$C$204,IFERROR(MATCH(27,'List A'!$Q$5:$Q$204,0)+4,"")-4))</f>
        <v/>
      </c>
      <c r="D31" s="53">
        <f>IF(IFERROR(MATCH(27,'List A'!$Q$5:$Q$204,0)+4,"")="","",INDEX('List A'!$D$5:$D$204,IFERROR(MATCH(27,'List A'!$Q$5:$Q$204,0)+4,"")-4))</f>
        <v/>
      </c>
      <c r="E31" s="87">
        <f>IF(OR(IFERROR(MATCH(27,'List A'!$Q$5:$Q$204,0)+4,"")="",IF(IFERROR(MATCH(27,'List A'!$Q$5:$Q$204,0)+4,"")="","",INDEX('List A'!$K$5:$K$204,IFERROR(MATCH(27,'List A'!$Q$5:$Q$204,0)+4,"")-4))=""),"",INDEX('List B'!$A$5:$A$204,IF(IFERROR(MATCH(27,'List A'!$Q$5:$Q$204,0)+4,"")="","",INDEX('List A'!$K$5:$K$204,IFERROR(MATCH(27,'List A'!$Q$5:$Q$204,0)+4,"")-4))-4))</f>
        <v/>
      </c>
      <c r="F31" s="53">
        <f>IF(OR(IFERROR(MATCH(27,'List A'!$Q$5:$Q$204,0)+4,"")="",IF(IFERROR(MATCH(27,'List A'!$Q$5:$Q$204,0)+4,"")="","",INDEX('List A'!$K$5:$K$204,IFERROR(MATCH(27,'List A'!$Q$5:$Q$204,0)+4,"")-4))=""),"",INDEX('List B'!$B$5:$B$204,IF(IFERROR(MATCH(27,'List A'!$Q$5:$Q$204,0)+4,"")="","",INDEX('List A'!$K$5:$K$204,IFERROR(MATCH(27,'List A'!$Q$5:$Q$204,0)+4,"")-4))-4))</f>
        <v/>
      </c>
      <c r="G31" s="52">
        <f>IF(OR(IFERROR(MATCH(27,'List A'!$Q$5:$Q$204,0)+4,"")="",IF(IFERROR(MATCH(27,'List A'!$Q$5:$Q$204,0)+4,"")="","",INDEX('List A'!$K$5:$K$204,IFERROR(MATCH(27,'List A'!$Q$5:$Q$204,0)+4,"")-4))=""),"",INDEX('List B'!$C$5:$C$204,IF(IFERROR(MATCH(27,'List A'!$Q$5:$Q$204,0)+4,"")="","",INDEX('List A'!$K$5:$K$204,IFERROR(MATCH(27,'List A'!$Q$5:$Q$204,0)+4,"")-4))-4))</f>
        <v/>
      </c>
      <c r="H31" s="53">
        <f>IF(OR(IFERROR(MATCH(27,'List A'!$Q$5:$Q$204,0)+4,"")="",IF(IFERROR(MATCH(27,'List A'!$Q$5:$Q$204,0)+4,"")="","",INDEX('List A'!$K$5:$K$204,IFERROR(MATCH(27,'List A'!$Q$5:$Q$204,0)+4,"")-4))=""),"",INDEX('List B'!$D$5:$D$204,IF(IFERROR(MATCH(27,'List A'!$Q$5:$Q$204,0)+4,"")="","",INDEX('List A'!$K$5:$K$204,IFERROR(MATCH(27,'List A'!$Q$5:$Q$204,0)+4,"")-4))-4))</f>
        <v/>
      </c>
      <c r="I31" s="52">
        <f>IF(IFERROR(MATCH(27,'List A'!$Q$5:$Q$204,0)+4,"")="","",INDEX('List A'!$N$5:$N$204,IFERROR(MATCH(27,'List A'!$Q$5:$Q$204,0)+4,"")-4))</f>
        <v/>
      </c>
      <c r="J31" s="53">
        <f>IF(IFERROR(MATCH(27,'List A'!$Q$5:$Q$204,0)+4,"")="","",INDEX('List A'!$O$5:$O$204,IFERROR(MATCH(27,'List A'!$Q$5:$Q$204,0)+4,"")-4))</f>
        <v/>
      </c>
    </row>
    <row r="32" ht="17" customHeight="1">
      <c r="A32" s="87">
        <f>IF(IFERROR(MATCH(28,'List A'!$Q$5:$Q$204,0)+4,"")="","",INDEX('List A'!$A$5:$A$204,IFERROR(MATCH(28,'List A'!$Q$5:$Q$204,0)+4,"")-4))</f>
        <v/>
      </c>
      <c r="B32" s="53">
        <f>IF(IFERROR(MATCH(28,'List A'!$Q$5:$Q$204,0)+4,"")="","",INDEX('List A'!$B$5:$B$204,IFERROR(MATCH(28,'List A'!$Q$5:$Q$204,0)+4,"")-4))</f>
        <v/>
      </c>
      <c r="C32" s="52">
        <f>IF(IFERROR(MATCH(28,'List A'!$Q$5:$Q$204,0)+4,"")="","",INDEX('List A'!$C$5:$C$204,IFERROR(MATCH(28,'List A'!$Q$5:$Q$204,0)+4,"")-4))</f>
        <v/>
      </c>
      <c r="D32" s="53">
        <f>IF(IFERROR(MATCH(28,'List A'!$Q$5:$Q$204,0)+4,"")="","",INDEX('List A'!$D$5:$D$204,IFERROR(MATCH(28,'List A'!$Q$5:$Q$204,0)+4,"")-4))</f>
        <v/>
      </c>
      <c r="E32" s="87">
        <f>IF(OR(IFERROR(MATCH(28,'List A'!$Q$5:$Q$204,0)+4,"")="",IF(IFERROR(MATCH(28,'List A'!$Q$5:$Q$204,0)+4,"")="","",INDEX('List A'!$K$5:$K$204,IFERROR(MATCH(28,'List A'!$Q$5:$Q$204,0)+4,"")-4))=""),"",INDEX('List B'!$A$5:$A$204,IF(IFERROR(MATCH(28,'List A'!$Q$5:$Q$204,0)+4,"")="","",INDEX('List A'!$K$5:$K$204,IFERROR(MATCH(28,'List A'!$Q$5:$Q$204,0)+4,"")-4))-4))</f>
        <v/>
      </c>
      <c r="F32" s="53">
        <f>IF(OR(IFERROR(MATCH(28,'List A'!$Q$5:$Q$204,0)+4,"")="",IF(IFERROR(MATCH(28,'List A'!$Q$5:$Q$204,0)+4,"")="","",INDEX('List A'!$K$5:$K$204,IFERROR(MATCH(28,'List A'!$Q$5:$Q$204,0)+4,"")-4))=""),"",INDEX('List B'!$B$5:$B$204,IF(IFERROR(MATCH(28,'List A'!$Q$5:$Q$204,0)+4,"")="","",INDEX('List A'!$K$5:$K$204,IFERROR(MATCH(28,'List A'!$Q$5:$Q$204,0)+4,"")-4))-4))</f>
        <v/>
      </c>
      <c r="G32" s="52">
        <f>IF(OR(IFERROR(MATCH(28,'List A'!$Q$5:$Q$204,0)+4,"")="",IF(IFERROR(MATCH(28,'List A'!$Q$5:$Q$204,0)+4,"")="","",INDEX('List A'!$K$5:$K$204,IFERROR(MATCH(28,'List A'!$Q$5:$Q$204,0)+4,"")-4))=""),"",INDEX('List B'!$C$5:$C$204,IF(IFERROR(MATCH(28,'List A'!$Q$5:$Q$204,0)+4,"")="","",INDEX('List A'!$K$5:$K$204,IFERROR(MATCH(28,'List A'!$Q$5:$Q$204,0)+4,"")-4))-4))</f>
        <v/>
      </c>
      <c r="H32" s="53">
        <f>IF(OR(IFERROR(MATCH(28,'List A'!$Q$5:$Q$204,0)+4,"")="",IF(IFERROR(MATCH(28,'List A'!$Q$5:$Q$204,0)+4,"")="","",INDEX('List A'!$K$5:$K$204,IFERROR(MATCH(28,'List A'!$Q$5:$Q$204,0)+4,"")-4))=""),"",INDEX('List B'!$D$5:$D$204,IF(IFERROR(MATCH(28,'List A'!$Q$5:$Q$204,0)+4,"")="","",INDEX('List A'!$K$5:$K$204,IFERROR(MATCH(28,'List A'!$Q$5:$Q$204,0)+4,"")-4))-4))</f>
        <v/>
      </c>
      <c r="I32" s="52">
        <f>IF(IFERROR(MATCH(28,'List A'!$Q$5:$Q$204,0)+4,"")="","",INDEX('List A'!$N$5:$N$204,IFERROR(MATCH(28,'List A'!$Q$5:$Q$204,0)+4,"")-4))</f>
        <v/>
      </c>
      <c r="J32" s="53">
        <f>IF(IFERROR(MATCH(28,'List A'!$Q$5:$Q$204,0)+4,"")="","",INDEX('List A'!$O$5:$O$204,IFERROR(MATCH(28,'List A'!$Q$5:$Q$204,0)+4,"")-4))</f>
        <v/>
      </c>
    </row>
    <row r="33" ht="17" customHeight="1">
      <c r="A33" s="87">
        <f>IF(IFERROR(MATCH(29,'List A'!$Q$5:$Q$204,0)+4,"")="","",INDEX('List A'!$A$5:$A$204,IFERROR(MATCH(29,'List A'!$Q$5:$Q$204,0)+4,"")-4))</f>
        <v/>
      </c>
      <c r="B33" s="53">
        <f>IF(IFERROR(MATCH(29,'List A'!$Q$5:$Q$204,0)+4,"")="","",INDEX('List A'!$B$5:$B$204,IFERROR(MATCH(29,'List A'!$Q$5:$Q$204,0)+4,"")-4))</f>
        <v/>
      </c>
      <c r="C33" s="52">
        <f>IF(IFERROR(MATCH(29,'List A'!$Q$5:$Q$204,0)+4,"")="","",INDEX('List A'!$C$5:$C$204,IFERROR(MATCH(29,'List A'!$Q$5:$Q$204,0)+4,"")-4))</f>
        <v/>
      </c>
      <c r="D33" s="53">
        <f>IF(IFERROR(MATCH(29,'List A'!$Q$5:$Q$204,0)+4,"")="","",INDEX('List A'!$D$5:$D$204,IFERROR(MATCH(29,'List A'!$Q$5:$Q$204,0)+4,"")-4))</f>
        <v/>
      </c>
      <c r="E33" s="87">
        <f>IF(OR(IFERROR(MATCH(29,'List A'!$Q$5:$Q$204,0)+4,"")="",IF(IFERROR(MATCH(29,'List A'!$Q$5:$Q$204,0)+4,"")="","",INDEX('List A'!$K$5:$K$204,IFERROR(MATCH(29,'List A'!$Q$5:$Q$204,0)+4,"")-4))=""),"",INDEX('List B'!$A$5:$A$204,IF(IFERROR(MATCH(29,'List A'!$Q$5:$Q$204,0)+4,"")="","",INDEX('List A'!$K$5:$K$204,IFERROR(MATCH(29,'List A'!$Q$5:$Q$204,0)+4,"")-4))-4))</f>
        <v/>
      </c>
      <c r="F33" s="53">
        <f>IF(OR(IFERROR(MATCH(29,'List A'!$Q$5:$Q$204,0)+4,"")="",IF(IFERROR(MATCH(29,'List A'!$Q$5:$Q$204,0)+4,"")="","",INDEX('List A'!$K$5:$K$204,IFERROR(MATCH(29,'List A'!$Q$5:$Q$204,0)+4,"")-4))=""),"",INDEX('List B'!$B$5:$B$204,IF(IFERROR(MATCH(29,'List A'!$Q$5:$Q$204,0)+4,"")="","",INDEX('List A'!$K$5:$K$204,IFERROR(MATCH(29,'List A'!$Q$5:$Q$204,0)+4,"")-4))-4))</f>
        <v/>
      </c>
      <c r="G33" s="52">
        <f>IF(OR(IFERROR(MATCH(29,'List A'!$Q$5:$Q$204,0)+4,"")="",IF(IFERROR(MATCH(29,'List A'!$Q$5:$Q$204,0)+4,"")="","",INDEX('List A'!$K$5:$K$204,IFERROR(MATCH(29,'List A'!$Q$5:$Q$204,0)+4,"")-4))=""),"",INDEX('List B'!$C$5:$C$204,IF(IFERROR(MATCH(29,'List A'!$Q$5:$Q$204,0)+4,"")="","",INDEX('List A'!$K$5:$K$204,IFERROR(MATCH(29,'List A'!$Q$5:$Q$204,0)+4,"")-4))-4))</f>
        <v/>
      </c>
      <c r="H33" s="53">
        <f>IF(OR(IFERROR(MATCH(29,'List A'!$Q$5:$Q$204,0)+4,"")="",IF(IFERROR(MATCH(29,'List A'!$Q$5:$Q$204,0)+4,"")="","",INDEX('List A'!$K$5:$K$204,IFERROR(MATCH(29,'List A'!$Q$5:$Q$204,0)+4,"")-4))=""),"",INDEX('List B'!$D$5:$D$204,IF(IFERROR(MATCH(29,'List A'!$Q$5:$Q$204,0)+4,"")="","",INDEX('List A'!$K$5:$K$204,IFERROR(MATCH(29,'List A'!$Q$5:$Q$204,0)+4,"")-4))-4))</f>
        <v/>
      </c>
      <c r="I33" s="52">
        <f>IF(IFERROR(MATCH(29,'List A'!$Q$5:$Q$204,0)+4,"")="","",INDEX('List A'!$N$5:$N$204,IFERROR(MATCH(29,'List A'!$Q$5:$Q$204,0)+4,"")-4))</f>
        <v/>
      </c>
      <c r="J33" s="53">
        <f>IF(IFERROR(MATCH(29,'List A'!$Q$5:$Q$204,0)+4,"")="","",INDEX('List A'!$O$5:$O$204,IFERROR(MATCH(29,'List A'!$Q$5:$Q$204,0)+4,"")-4))</f>
        <v/>
      </c>
    </row>
    <row r="34" ht="17" customHeight="1">
      <c r="A34" s="87">
        <f>IF(IFERROR(MATCH(30,'List A'!$Q$5:$Q$204,0)+4,"")="","",INDEX('List A'!$A$5:$A$204,IFERROR(MATCH(30,'List A'!$Q$5:$Q$204,0)+4,"")-4))</f>
        <v/>
      </c>
      <c r="B34" s="53">
        <f>IF(IFERROR(MATCH(30,'List A'!$Q$5:$Q$204,0)+4,"")="","",INDEX('List A'!$B$5:$B$204,IFERROR(MATCH(30,'List A'!$Q$5:$Q$204,0)+4,"")-4))</f>
        <v/>
      </c>
      <c r="C34" s="52">
        <f>IF(IFERROR(MATCH(30,'List A'!$Q$5:$Q$204,0)+4,"")="","",INDEX('List A'!$C$5:$C$204,IFERROR(MATCH(30,'List A'!$Q$5:$Q$204,0)+4,"")-4))</f>
        <v/>
      </c>
      <c r="D34" s="53">
        <f>IF(IFERROR(MATCH(30,'List A'!$Q$5:$Q$204,0)+4,"")="","",INDEX('List A'!$D$5:$D$204,IFERROR(MATCH(30,'List A'!$Q$5:$Q$204,0)+4,"")-4))</f>
        <v/>
      </c>
      <c r="E34" s="87">
        <f>IF(OR(IFERROR(MATCH(30,'List A'!$Q$5:$Q$204,0)+4,"")="",IF(IFERROR(MATCH(30,'List A'!$Q$5:$Q$204,0)+4,"")="","",INDEX('List A'!$K$5:$K$204,IFERROR(MATCH(30,'List A'!$Q$5:$Q$204,0)+4,"")-4))=""),"",INDEX('List B'!$A$5:$A$204,IF(IFERROR(MATCH(30,'List A'!$Q$5:$Q$204,0)+4,"")="","",INDEX('List A'!$K$5:$K$204,IFERROR(MATCH(30,'List A'!$Q$5:$Q$204,0)+4,"")-4))-4))</f>
        <v/>
      </c>
      <c r="F34" s="53">
        <f>IF(OR(IFERROR(MATCH(30,'List A'!$Q$5:$Q$204,0)+4,"")="",IF(IFERROR(MATCH(30,'List A'!$Q$5:$Q$204,0)+4,"")="","",INDEX('List A'!$K$5:$K$204,IFERROR(MATCH(30,'List A'!$Q$5:$Q$204,0)+4,"")-4))=""),"",INDEX('List B'!$B$5:$B$204,IF(IFERROR(MATCH(30,'List A'!$Q$5:$Q$204,0)+4,"")="","",INDEX('List A'!$K$5:$K$204,IFERROR(MATCH(30,'List A'!$Q$5:$Q$204,0)+4,"")-4))-4))</f>
        <v/>
      </c>
      <c r="G34" s="52">
        <f>IF(OR(IFERROR(MATCH(30,'List A'!$Q$5:$Q$204,0)+4,"")="",IF(IFERROR(MATCH(30,'List A'!$Q$5:$Q$204,0)+4,"")="","",INDEX('List A'!$K$5:$K$204,IFERROR(MATCH(30,'List A'!$Q$5:$Q$204,0)+4,"")-4))=""),"",INDEX('List B'!$C$5:$C$204,IF(IFERROR(MATCH(30,'List A'!$Q$5:$Q$204,0)+4,"")="","",INDEX('List A'!$K$5:$K$204,IFERROR(MATCH(30,'List A'!$Q$5:$Q$204,0)+4,"")-4))-4))</f>
        <v/>
      </c>
      <c r="H34" s="53">
        <f>IF(OR(IFERROR(MATCH(30,'List A'!$Q$5:$Q$204,0)+4,"")="",IF(IFERROR(MATCH(30,'List A'!$Q$5:$Q$204,0)+4,"")="","",INDEX('List A'!$K$5:$K$204,IFERROR(MATCH(30,'List A'!$Q$5:$Q$204,0)+4,"")-4))=""),"",INDEX('List B'!$D$5:$D$204,IF(IFERROR(MATCH(30,'List A'!$Q$5:$Q$204,0)+4,"")="","",INDEX('List A'!$K$5:$K$204,IFERROR(MATCH(30,'List A'!$Q$5:$Q$204,0)+4,"")-4))-4))</f>
        <v/>
      </c>
      <c r="I34" s="52">
        <f>IF(IFERROR(MATCH(30,'List A'!$Q$5:$Q$204,0)+4,"")="","",INDEX('List A'!$N$5:$N$204,IFERROR(MATCH(30,'List A'!$Q$5:$Q$204,0)+4,"")-4))</f>
        <v/>
      </c>
      <c r="J34" s="53">
        <f>IF(IFERROR(MATCH(30,'List A'!$Q$5:$Q$204,0)+4,"")="","",INDEX('List A'!$O$5:$O$204,IFERROR(MATCH(30,'List A'!$Q$5:$Q$204,0)+4,"")-4))</f>
        <v/>
      </c>
    </row>
    <row r="35" ht="17" customHeight="1">
      <c r="A35" s="87">
        <f>IF(IFERROR(MATCH(31,'List A'!$Q$5:$Q$204,0)+4,"")="","",INDEX('List A'!$A$5:$A$204,IFERROR(MATCH(31,'List A'!$Q$5:$Q$204,0)+4,"")-4))</f>
        <v/>
      </c>
      <c r="B35" s="53">
        <f>IF(IFERROR(MATCH(31,'List A'!$Q$5:$Q$204,0)+4,"")="","",INDEX('List A'!$B$5:$B$204,IFERROR(MATCH(31,'List A'!$Q$5:$Q$204,0)+4,"")-4))</f>
        <v/>
      </c>
      <c r="C35" s="52">
        <f>IF(IFERROR(MATCH(31,'List A'!$Q$5:$Q$204,0)+4,"")="","",INDEX('List A'!$C$5:$C$204,IFERROR(MATCH(31,'List A'!$Q$5:$Q$204,0)+4,"")-4))</f>
        <v/>
      </c>
      <c r="D35" s="53">
        <f>IF(IFERROR(MATCH(31,'List A'!$Q$5:$Q$204,0)+4,"")="","",INDEX('List A'!$D$5:$D$204,IFERROR(MATCH(31,'List A'!$Q$5:$Q$204,0)+4,"")-4))</f>
        <v/>
      </c>
      <c r="E35" s="87">
        <f>IF(OR(IFERROR(MATCH(31,'List A'!$Q$5:$Q$204,0)+4,"")="",IF(IFERROR(MATCH(31,'List A'!$Q$5:$Q$204,0)+4,"")="","",INDEX('List A'!$K$5:$K$204,IFERROR(MATCH(31,'List A'!$Q$5:$Q$204,0)+4,"")-4))=""),"",INDEX('List B'!$A$5:$A$204,IF(IFERROR(MATCH(31,'List A'!$Q$5:$Q$204,0)+4,"")="","",INDEX('List A'!$K$5:$K$204,IFERROR(MATCH(31,'List A'!$Q$5:$Q$204,0)+4,"")-4))-4))</f>
        <v/>
      </c>
      <c r="F35" s="53">
        <f>IF(OR(IFERROR(MATCH(31,'List A'!$Q$5:$Q$204,0)+4,"")="",IF(IFERROR(MATCH(31,'List A'!$Q$5:$Q$204,0)+4,"")="","",INDEX('List A'!$K$5:$K$204,IFERROR(MATCH(31,'List A'!$Q$5:$Q$204,0)+4,"")-4))=""),"",INDEX('List B'!$B$5:$B$204,IF(IFERROR(MATCH(31,'List A'!$Q$5:$Q$204,0)+4,"")="","",INDEX('List A'!$K$5:$K$204,IFERROR(MATCH(31,'List A'!$Q$5:$Q$204,0)+4,"")-4))-4))</f>
        <v/>
      </c>
      <c r="G35" s="52">
        <f>IF(OR(IFERROR(MATCH(31,'List A'!$Q$5:$Q$204,0)+4,"")="",IF(IFERROR(MATCH(31,'List A'!$Q$5:$Q$204,0)+4,"")="","",INDEX('List A'!$K$5:$K$204,IFERROR(MATCH(31,'List A'!$Q$5:$Q$204,0)+4,"")-4))=""),"",INDEX('List B'!$C$5:$C$204,IF(IFERROR(MATCH(31,'List A'!$Q$5:$Q$204,0)+4,"")="","",INDEX('List A'!$K$5:$K$204,IFERROR(MATCH(31,'List A'!$Q$5:$Q$204,0)+4,"")-4))-4))</f>
        <v/>
      </c>
      <c r="H35" s="53">
        <f>IF(OR(IFERROR(MATCH(31,'List A'!$Q$5:$Q$204,0)+4,"")="",IF(IFERROR(MATCH(31,'List A'!$Q$5:$Q$204,0)+4,"")="","",INDEX('List A'!$K$5:$K$204,IFERROR(MATCH(31,'List A'!$Q$5:$Q$204,0)+4,"")-4))=""),"",INDEX('List B'!$D$5:$D$204,IF(IFERROR(MATCH(31,'List A'!$Q$5:$Q$204,0)+4,"")="","",INDEX('List A'!$K$5:$K$204,IFERROR(MATCH(31,'List A'!$Q$5:$Q$204,0)+4,"")-4))-4))</f>
        <v/>
      </c>
      <c r="I35" s="52">
        <f>IF(IFERROR(MATCH(31,'List A'!$Q$5:$Q$204,0)+4,"")="","",INDEX('List A'!$N$5:$N$204,IFERROR(MATCH(31,'List A'!$Q$5:$Q$204,0)+4,"")-4))</f>
        <v/>
      </c>
      <c r="J35" s="53">
        <f>IF(IFERROR(MATCH(31,'List A'!$Q$5:$Q$204,0)+4,"")="","",INDEX('List A'!$O$5:$O$204,IFERROR(MATCH(31,'List A'!$Q$5:$Q$204,0)+4,"")-4))</f>
        <v/>
      </c>
    </row>
    <row r="36" ht="17" customHeight="1">
      <c r="A36" s="87">
        <f>IF(IFERROR(MATCH(32,'List A'!$Q$5:$Q$204,0)+4,"")="","",INDEX('List A'!$A$5:$A$204,IFERROR(MATCH(32,'List A'!$Q$5:$Q$204,0)+4,"")-4))</f>
        <v/>
      </c>
      <c r="B36" s="53">
        <f>IF(IFERROR(MATCH(32,'List A'!$Q$5:$Q$204,0)+4,"")="","",INDEX('List A'!$B$5:$B$204,IFERROR(MATCH(32,'List A'!$Q$5:$Q$204,0)+4,"")-4))</f>
        <v/>
      </c>
      <c r="C36" s="52">
        <f>IF(IFERROR(MATCH(32,'List A'!$Q$5:$Q$204,0)+4,"")="","",INDEX('List A'!$C$5:$C$204,IFERROR(MATCH(32,'List A'!$Q$5:$Q$204,0)+4,"")-4))</f>
        <v/>
      </c>
      <c r="D36" s="53">
        <f>IF(IFERROR(MATCH(32,'List A'!$Q$5:$Q$204,0)+4,"")="","",INDEX('List A'!$D$5:$D$204,IFERROR(MATCH(32,'List A'!$Q$5:$Q$204,0)+4,"")-4))</f>
        <v/>
      </c>
      <c r="E36" s="87">
        <f>IF(OR(IFERROR(MATCH(32,'List A'!$Q$5:$Q$204,0)+4,"")="",IF(IFERROR(MATCH(32,'List A'!$Q$5:$Q$204,0)+4,"")="","",INDEX('List A'!$K$5:$K$204,IFERROR(MATCH(32,'List A'!$Q$5:$Q$204,0)+4,"")-4))=""),"",INDEX('List B'!$A$5:$A$204,IF(IFERROR(MATCH(32,'List A'!$Q$5:$Q$204,0)+4,"")="","",INDEX('List A'!$K$5:$K$204,IFERROR(MATCH(32,'List A'!$Q$5:$Q$204,0)+4,"")-4))-4))</f>
        <v/>
      </c>
      <c r="F36" s="53">
        <f>IF(OR(IFERROR(MATCH(32,'List A'!$Q$5:$Q$204,0)+4,"")="",IF(IFERROR(MATCH(32,'List A'!$Q$5:$Q$204,0)+4,"")="","",INDEX('List A'!$K$5:$K$204,IFERROR(MATCH(32,'List A'!$Q$5:$Q$204,0)+4,"")-4))=""),"",INDEX('List B'!$B$5:$B$204,IF(IFERROR(MATCH(32,'List A'!$Q$5:$Q$204,0)+4,"")="","",INDEX('List A'!$K$5:$K$204,IFERROR(MATCH(32,'List A'!$Q$5:$Q$204,0)+4,"")-4))-4))</f>
        <v/>
      </c>
      <c r="G36" s="52">
        <f>IF(OR(IFERROR(MATCH(32,'List A'!$Q$5:$Q$204,0)+4,"")="",IF(IFERROR(MATCH(32,'List A'!$Q$5:$Q$204,0)+4,"")="","",INDEX('List A'!$K$5:$K$204,IFERROR(MATCH(32,'List A'!$Q$5:$Q$204,0)+4,"")-4))=""),"",INDEX('List B'!$C$5:$C$204,IF(IFERROR(MATCH(32,'List A'!$Q$5:$Q$204,0)+4,"")="","",INDEX('List A'!$K$5:$K$204,IFERROR(MATCH(32,'List A'!$Q$5:$Q$204,0)+4,"")-4))-4))</f>
        <v/>
      </c>
      <c r="H36" s="53">
        <f>IF(OR(IFERROR(MATCH(32,'List A'!$Q$5:$Q$204,0)+4,"")="",IF(IFERROR(MATCH(32,'List A'!$Q$5:$Q$204,0)+4,"")="","",INDEX('List A'!$K$5:$K$204,IFERROR(MATCH(32,'List A'!$Q$5:$Q$204,0)+4,"")-4))=""),"",INDEX('List B'!$D$5:$D$204,IF(IFERROR(MATCH(32,'List A'!$Q$5:$Q$204,0)+4,"")="","",INDEX('List A'!$K$5:$K$204,IFERROR(MATCH(32,'List A'!$Q$5:$Q$204,0)+4,"")-4))-4))</f>
        <v/>
      </c>
      <c r="I36" s="52">
        <f>IF(IFERROR(MATCH(32,'List A'!$Q$5:$Q$204,0)+4,"")="","",INDEX('List A'!$N$5:$N$204,IFERROR(MATCH(32,'List A'!$Q$5:$Q$204,0)+4,"")-4))</f>
        <v/>
      </c>
      <c r="J36" s="53">
        <f>IF(IFERROR(MATCH(32,'List A'!$Q$5:$Q$204,0)+4,"")="","",INDEX('List A'!$O$5:$O$204,IFERROR(MATCH(32,'List A'!$Q$5:$Q$204,0)+4,"")-4))</f>
        <v/>
      </c>
    </row>
    <row r="37" ht="17" customHeight="1">
      <c r="A37" s="87">
        <f>IF(IFERROR(MATCH(33,'List A'!$Q$5:$Q$204,0)+4,"")="","",INDEX('List A'!$A$5:$A$204,IFERROR(MATCH(33,'List A'!$Q$5:$Q$204,0)+4,"")-4))</f>
        <v/>
      </c>
      <c r="B37" s="53">
        <f>IF(IFERROR(MATCH(33,'List A'!$Q$5:$Q$204,0)+4,"")="","",INDEX('List A'!$B$5:$B$204,IFERROR(MATCH(33,'List A'!$Q$5:$Q$204,0)+4,"")-4))</f>
        <v/>
      </c>
      <c r="C37" s="52">
        <f>IF(IFERROR(MATCH(33,'List A'!$Q$5:$Q$204,0)+4,"")="","",INDEX('List A'!$C$5:$C$204,IFERROR(MATCH(33,'List A'!$Q$5:$Q$204,0)+4,"")-4))</f>
        <v/>
      </c>
      <c r="D37" s="53">
        <f>IF(IFERROR(MATCH(33,'List A'!$Q$5:$Q$204,0)+4,"")="","",INDEX('List A'!$D$5:$D$204,IFERROR(MATCH(33,'List A'!$Q$5:$Q$204,0)+4,"")-4))</f>
        <v/>
      </c>
      <c r="E37" s="87">
        <f>IF(OR(IFERROR(MATCH(33,'List A'!$Q$5:$Q$204,0)+4,"")="",IF(IFERROR(MATCH(33,'List A'!$Q$5:$Q$204,0)+4,"")="","",INDEX('List A'!$K$5:$K$204,IFERROR(MATCH(33,'List A'!$Q$5:$Q$204,0)+4,"")-4))=""),"",INDEX('List B'!$A$5:$A$204,IF(IFERROR(MATCH(33,'List A'!$Q$5:$Q$204,0)+4,"")="","",INDEX('List A'!$K$5:$K$204,IFERROR(MATCH(33,'List A'!$Q$5:$Q$204,0)+4,"")-4))-4))</f>
        <v/>
      </c>
      <c r="F37" s="53">
        <f>IF(OR(IFERROR(MATCH(33,'List A'!$Q$5:$Q$204,0)+4,"")="",IF(IFERROR(MATCH(33,'List A'!$Q$5:$Q$204,0)+4,"")="","",INDEX('List A'!$K$5:$K$204,IFERROR(MATCH(33,'List A'!$Q$5:$Q$204,0)+4,"")-4))=""),"",INDEX('List B'!$B$5:$B$204,IF(IFERROR(MATCH(33,'List A'!$Q$5:$Q$204,0)+4,"")="","",INDEX('List A'!$K$5:$K$204,IFERROR(MATCH(33,'List A'!$Q$5:$Q$204,0)+4,"")-4))-4))</f>
        <v/>
      </c>
      <c r="G37" s="52">
        <f>IF(OR(IFERROR(MATCH(33,'List A'!$Q$5:$Q$204,0)+4,"")="",IF(IFERROR(MATCH(33,'List A'!$Q$5:$Q$204,0)+4,"")="","",INDEX('List A'!$K$5:$K$204,IFERROR(MATCH(33,'List A'!$Q$5:$Q$204,0)+4,"")-4))=""),"",INDEX('List B'!$C$5:$C$204,IF(IFERROR(MATCH(33,'List A'!$Q$5:$Q$204,0)+4,"")="","",INDEX('List A'!$K$5:$K$204,IFERROR(MATCH(33,'List A'!$Q$5:$Q$204,0)+4,"")-4))-4))</f>
        <v/>
      </c>
      <c r="H37" s="53">
        <f>IF(OR(IFERROR(MATCH(33,'List A'!$Q$5:$Q$204,0)+4,"")="",IF(IFERROR(MATCH(33,'List A'!$Q$5:$Q$204,0)+4,"")="","",INDEX('List A'!$K$5:$K$204,IFERROR(MATCH(33,'List A'!$Q$5:$Q$204,0)+4,"")-4))=""),"",INDEX('List B'!$D$5:$D$204,IF(IFERROR(MATCH(33,'List A'!$Q$5:$Q$204,0)+4,"")="","",INDEX('List A'!$K$5:$K$204,IFERROR(MATCH(33,'List A'!$Q$5:$Q$204,0)+4,"")-4))-4))</f>
        <v/>
      </c>
      <c r="I37" s="52">
        <f>IF(IFERROR(MATCH(33,'List A'!$Q$5:$Q$204,0)+4,"")="","",INDEX('List A'!$N$5:$N$204,IFERROR(MATCH(33,'List A'!$Q$5:$Q$204,0)+4,"")-4))</f>
        <v/>
      </c>
      <c r="J37" s="53">
        <f>IF(IFERROR(MATCH(33,'List A'!$Q$5:$Q$204,0)+4,"")="","",INDEX('List A'!$O$5:$O$204,IFERROR(MATCH(33,'List A'!$Q$5:$Q$204,0)+4,"")-4))</f>
        <v/>
      </c>
    </row>
    <row r="38" ht="17" customHeight="1">
      <c r="A38" s="87">
        <f>IF(IFERROR(MATCH(34,'List A'!$Q$5:$Q$204,0)+4,"")="","",INDEX('List A'!$A$5:$A$204,IFERROR(MATCH(34,'List A'!$Q$5:$Q$204,0)+4,"")-4))</f>
        <v/>
      </c>
      <c r="B38" s="53">
        <f>IF(IFERROR(MATCH(34,'List A'!$Q$5:$Q$204,0)+4,"")="","",INDEX('List A'!$B$5:$B$204,IFERROR(MATCH(34,'List A'!$Q$5:$Q$204,0)+4,"")-4))</f>
        <v/>
      </c>
      <c r="C38" s="52">
        <f>IF(IFERROR(MATCH(34,'List A'!$Q$5:$Q$204,0)+4,"")="","",INDEX('List A'!$C$5:$C$204,IFERROR(MATCH(34,'List A'!$Q$5:$Q$204,0)+4,"")-4))</f>
        <v/>
      </c>
      <c r="D38" s="53">
        <f>IF(IFERROR(MATCH(34,'List A'!$Q$5:$Q$204,0)+4,"")="","",INDEX('List A'!$D$5:$D$204,IFERROR(MATCH(34,'List A'!$Q$5:$Q$204,0)+4,"")-4))</f>
        <v/>
      </c>
      <c r="E38" s="87">
        <f>IF(OR(IFERROR(MATCH(34,'List A'!$Q$5:$Q$204,0)+4,"")="",IF(IFERROR(MATCH(34,'List A'!$Q$5:$Q$204,0)+4,"")="","",INDEX('List A'!$K$5:$K$204,IFERROR(MATCH(34,'List A'!$Q$5:$Q$204,0)+4,"")-4))=""),"",INDEX('List B'!$A$5:$A$204,IF(IFERROR(MATCH(34,'List A'!$Q$5:$Q$204,0)+4,"")="","",INDEX('List A'!$K$5:$K$204,IFERROR(MATCH(34,'List A'!$Q$5:$Q$204,0)+4,"")-4))-4))</f>
        <v/>
      </c>
      <c r="F38" s="53">
        <f>IF(OR(IFERROR(MATCH(34,'List A'!$Q$5:$Q$204,0)+4,"")="",IF(IFERROR(MATCH(34,'List A'!$Q$5:$Q$204,0)+4,"")="","",INDEX('List A'!$K$5:$K$204,IFERROR(MATCH(34,'List A'!$Q$5:$Q$204,0)+4,"")-4))=""),"",INDEX('List B'!$B$5:$B$204,IF(IFERROR(MATCH(34,'List A'!$Q$5:$Q$204,0)+4,"")="","",INDEX('List A'!$K$5:$K$204,IFERROR(MATCH(34,'List A'!$Q$5:$Q$204,0)+4,"")-4))-4))</f>
        <v/>
      </c>
      <c r="G38" s="52">
        <f>IF(OR(IFERROR(MATCH(34,'List A'!$Q$5:$Q$204,0)+4,"")="",IF(IFERROR(MATCH(34,'List A'!$Q$5:$Q$204,0)+4,"")="","",INDEX('List A'!$K$5:$K$204,IFERROR(MATCH(34,'List A'!$Q$5:$Q$204,0)+4,"")-4))=""),"",INDEX('List B'!$C$5:$C$204,IF(IFERROR(MATCH(34,'List A'!$Q$5:$Q$204,0)+4,"")="","",INDEX('List A'!$K$5:$K$204,IFERROR(MATCH(34,'List A'!$Q$5:$Q$204,0)+4,"")-4))-4))</f>
        <v/>
      </c>
      <c r="H38" s="53">
        <f>IF(OR(IFERROR(MATCH(34,'List A'!$Q$5:$Q$204,0)+4,"")="",IF(IFERROR(MATCH(34,'List A'!$Q$5:$Q$204,0)+4,"")="","",INDEX('List A'!$K$5:$K$204,IFERROR(MATCH(34,'List A'!$Q$5:$Q$204,0)+4,"")-4))=""),"",INDEX('List B'!$D$5:$D$204,IF(IFERROR(MATCH(34,'List A'!$Q$5:$Q$204,0)+4,"")="","",INDEX('List A'!$K$5:$K$204,IFERROR(MATCH(34,'List A'!$Q$5:$Q$204,0)+4,"")-4))-4))</f>
        <v/>
      </c>
      <c r="I38" s="52">
        <f>IF(IFERROR(MATCH(34,'List A'!$Q$5:$Q$204,0)+4,"")="","",INDEX('List A'!$N$5:$N$204,IFERROR(MATCH(34,'List A'!$Q$5:$Q$204,0)+4,"")-4))</f>
        <v/>
      </c>
      <c r="J38" s="53">
        <f>IF(IFERROR(MATCH(34,'List A'!$Q$5:$Q$204,0)+4,"")="","",INDEX('List A'!$O$5:$O$204,IFERROR(MATCH(34,'List A'!$Q$5:$Q$204,0)+4,"")-4))</f>
        <v/>
      </c>
    </row>
    <row r="39" ht="17" customHeight="1">
      <c r="A39" s="87">
        <f>IF(IFERROR(MATCH(35,'List A'!$Q$5:$Q$204,0)+4,"")="","",INDEX('List A'!$A$5:$A$204,IFERROR(MATCH(35,'List A'!$Q$5:$Q$204,0)+4,"")-4))</f>
        <v/>
      </c>
      <c r="B39" s="53">
        <f>IF(IFERROR(MATCH(35,'List A'!$Q$5:$Q$204,0)+4,"")="","",INDEX('List A'!$B$5:$B$204,IFERROR(MATCH(35,'List A'!$Q$5:$Q$204,0)+4,"")-4))</f>
        <v/>
      </c>
      <c r="C39" s="52">
        <f>IF(IFERROR(MATCH(35,'List A'!$Q$5:$Q$204,0)+4,"")="","",INDEX('List A'!$C$5:$C$204,IFERROR(MATCH(35,'List A'!$Q$5:$Q$204,0)+4,"")-4))</f>
        <v/>
      </c>
      <c r="D39" s="53">
        <f>IF(IFERROR(MATCH(35,'List A'!$Q$5:$Q$204,0)+4,"")="","",INDEX('List A'!$D$5:$D$204,IFERROR(MATCH(35,'List A'!$Q$5:$Q$204,0)+4,"")-4))</f>
        <v/>
      </c>
      <c r="E39" s="87">
        <f>IF(OR(IFERROR(MATCH(35,'List A'!$Q$5:$Q$204,0)+4,"")="",IF(IFERROR(MATCH(35,'List A'!$Q$5:$Q$204,0)+4,"")="","",INDEX('List A'!$K$5:$K$204,IFERROR(MATCH(35,'List A'!$Q$5:$Q$204,0)+4,"")-4))=""),"",INDEX('List B'!$A$5:$A$204,IF(IFERROR(MATCH(35,'List A'!$Q$5:$Q$204,0)+4,"")="","",INDEX('List A'!$K$5:$K$204,IFERROR(MATCH(35,'List A'!$Q$5:$Q$204,0)+4,"")-4))-4))</f>
        <v/>
      </c>
      <c r="F39" s="53">
        <f>IF(OR(IFERROR(MATCH(35,'List A'!$Q$5:$Q$204,0)+4,"")="",IF(IFERROR(MATCH(35,'List A'!$Q$5:$Q$204,0)+4,"")="","",INDEX('List A'!$K$5:$K$204,IFERROR(MATCH(35,'List A'!$Q$5:$Q$204,0)+4,"")-4))=""),"",INDEX('List B'!$B$5:$B$204,IF(IFERROR(MATCH(35,'List A'!$Q$5:$Q$204,0)+4,"")="","",INDEX('List A'!$K$5:$K$204,IFERROR(MATCH(35,'List A'!$Q$5:$Q$204,0)+4,"")-4))-4))</f>
        <v/>
      </c>
      <c r="G39" s="52">
        <f>IF(OR(IFERROR(MATCH(35,'List A'!$Q$5:$Q$204,0)+4,"")="",IF(IFERROR(MATCH(35,'List A'!$Q$5:$Q$204,0)+4,"")="","",INDEX('List A'!$K$5:$K$204,IFERROR(MATCH(35,'List A'!$Q$5:$Q$204,0)+4,"")-4))=""),"",INDEX('List B'!$C$5:$C$204,IF(IFERROR(MATCH(35,'List A'!$Q$5:$Q$204,0)+4,"")="","",INDEX('List A'!$K$5:$K$204,IFERROR(MATCH(35,'List A'!$Q$5:$Q$204,0)+4,"")-4))-4))</f>
        <v/>
      </c>
      <c r="H39" s="53">
        <f>IF(OR(IFERROR(MATCH(35,'List A'!$Q$5:$Q$204,0)+4,"")="",IF(IFERROR(MATCH(35,'List A'!$Q$5:$Q$204,0)+4,"")="","",INDEX('List A'!$K$5:$K$204,IFERROR(MATCH(35,'List A'!$Q$5:$Q$204,0)+4,"")-4))=""),"",INDEX('List B'!$D$5:$D$204,IF(IFERROR(MATCH(35,'List A'!$Q$5:$Q$204,0)+4,"")="","",INDEX('List A'!$K$5:$K$204,IFERROR(MATCH(35,'List A'!$Q$5:$Q$204,0)+4,"")-4))-4))</f>
        <v/>
      </c>
      <c r="I39" s="52">
        <f>IF(IFERROR(MATCH(35,'List A'!$Q$5:$Q$204,0)+4,"")="","",INDEX('List A'!$N$5:$N$204,IFERROR(MATCH(35,'List A'!$Q$5:$Q$204,0)+4,"")-4))</f>
        <v/>
      </c>
      <c r="J39" s="53">
        <f>IF(IFERROR(MATCH(35,'List A'!$Q$5:$Q$204,0)+4,"")="","",INDEX('List A'!$O$5:$O$204,IFERROR(MATCH(35,'List A'!$Q$5:$Q$204,0)+4,"")-4))</f>
        <v/>
      </c>
    </row>
    <row r="40" ht="17" customHeight="1">
      <c r="A40" s="87">
        <f>IF(IFERROR(MATCH(36,'List A'!$Q$5:$Q$204,0)+4,"")="","",INDEX('List A'!$A$5:$A$204,IFERROR(MATCH(36,'List A'!$Q$5:$Q$204,0)+4,"")-4))</f>
        <v/>
      </c>
      <c r="B40" s="53">
        <f>IF(IFERROR(MATCH(36,'List A'!$Q$5:$Q$204,0)+4,"")="","",INDEX('List A'!$B$5:$B$204,IFERROR(MATCH(36,'List A'!$Q$5:$Q$204,0)+4,"")-4))</f>
        <v/>
      </c>
      <c r="C40" s="52">
        <f>IF(IFERROR(MATCH(36,'List A'!$Q$5:$Q$204,0)+4,"")="","",INDEX('List A'!$C$5:$C$204,IFERROR(MATCH(36,'List A'!$Q$5:$Q$204,0)+4,"")-4))</f>
        <v/>
      </c>
      <c r="D40" s="53">
        <f>IF(IFERROR(MATCH(36,'List A'!$Q$5:$Q$204,0)+4,"")="","",INDEX('List A'!$D$5:$D$204,IFERROR(MATCH(36,'List A'!$Q$5:$Q$204,0)+4,"")-4))</f>
        <v/>
      </c>
      <c r="E40" s="87">
        <f>IF(OR(IFERROR(MATCH(36,'List A'!$Q$5:$Q$204,0)+4,"")="",IF(IFERROR(MATCH(36,'List A'!$Q$5:$Q$204,0)+4,"")="","",INDEX('List A'!$K$5:$K$204,IFERROR(MATCH(36,'List A'!$Q$5:$Q$204,0)+4,"")-4))=""),"",INDEX('List B'!$A$5:$A$204,IF(IFERROR(MATCH(36,'List A'!$Q$5:$Q$204,0)+4,"")="","",INDEX('List A'!$K$5:$K$204,IFERROR(MATCH(36,'List A'!$Q$5:$Q$204,0)+4,"")-4))-4))</f>
        <v/>
      </c>
      <c r="F40" s="53">
        <f>IF(OR(IFERROR(MATCH(36,'List A'!$Q$5:$Q$204,0)+4,"")="",IF(IFERROR(MATCH(36,'List A'!$Q$5:$Q$204,0)+4,"")="","",INDEX('List A'!$K$5:$K$204,IFERROR(MATCH(36,'List A'!$Q$5:$Q$204,0)+4,"")-4))=""),"",INDEX('List B'!$B$5:$B$204,IF(IFERROR(MATCH(36,'List A'!$Q$5:$Q$204,0)+4,"")="","",INDEX('List A'!$K$5:$K$204,IFERROR(MATCH(36,'List A'!$Q$5:$Q$204,0)+4,"")-4))-4))</f>
        <v/>
      </c>
      <c r="G40" s="52">
        <f>IF(OR(IFERROR(MATCH(36,'List A'!$Q$5:$Q$204,0)+4,"")="",IF(IFERROR(MATCH(36,'List A'!$Q$5:$Q$204,0)+4,"")="","",INDEX('List A'!$K$5:$K$204,IFERROR(MATCH(36,'List A'!$Q$5:$Q$204,0)+4,"")-4))=""),"",INDEX('List B'!$C$5:$C$204,IF(IFERROR(MATCH(36,'List A'!$Q$5:$Q$204,0)+4,"")="","",INDEX('List A'!$K$5:$K$204,IFERROR(MATCH(36,'List A'!$Q$5:$Q$204,0)+4,"")-4))-4))</f>
        <v/>
      </c>
      <c r="H40" s="53">
        <f>IF(OR(IFERROR(MATCH(36,'List A'!$Q$5:$Q$204,0)+4,"")="",IF(IFERROR(MATCH(36,'List A'!$Q$5:$Q$204,0)+4,"")="","",INDEX('List A'!$K$5:$K$204,IFERROR(MATCH(36,'List A'!$Q$5:$Q$204,0)+4,"")-4))=""),"",INDEX('List B'!$D$5:$D$204,IF(IFERROR(MATCH(36,'List A'!$Q$5:$Q$204,0)+4,"")="","",INDEX('List A'!$K$5:$K$204,IFERROR(MATCH(36,'List A'!$Q$5:$Q$204,0)+4,"")-4))-4))</f>
        <v/>
      </c>
      <c r="I40" s="52">
        <f>IF(IFERROR(MATCH(36,'List A'!$Q$5:$Q$204,0)+4,"")="","",INDEX('List A'!$N$5:$N$204,IFERROR(MATCH(36,'List A'!$Q$5:$Q$204,0)+4,"")-4))</f>
        <v/>
      </c>
      <c r="J40" s="53">
        <f>IF(IFERROR(MATCH(36,'List A'!$Q$5:$Q$204,0)+4,"")="","",INDEX('List A'!$O$5:$O$204,IFERROR(MATCH(36,'List A'!$Q$5:$Q$204,0)+4,"")-4))</f>
        <v/>
      </c>
    </row>
    <row r="41" ht="17" customHeight="1">
      <c r="A41" s="87">
        <f>IF(IFERROR(MATCH(37,'List A'!$Q$5:$Q$204,0)+4,"")="","",INDEX('List A'!$A$5:$A$204,IFERROR(MATCH(37,'List A'!$Q$5:$Q$204,0)+4,"")-4))</f>
        <v/>
      </c>
      <c r="B41" s="53">
        <f>IF(IFERROR(MATCH(37,'List A'!$Q$5:$Q$204,0)+4,"")="","",INDEX('List A'!$B$5:$B$204,IFERROR(MATCH(37,'List A'!$Q$5:$Q$204,0)+4,"")-4))</f>
        <v/>
      </c>
      <c r="C41" s="52">
        <f>IF(IFERROR(MATCH(37,'List A'!$Q$5:$Q$204,0)+4,"")="","",INDEX('List A'!$C$5:$C$204,IFERROR(MATCH(37,'List A'!$Q$5:$Q$204,0)+4,"")-4))</f>
        <v/>
      </c>
      <c r="D41" s="53">
        <f>IF(IFERROR(MATCH(37,'List A'!$Q$5:$Q$204,0)+4,"")="","",INDEX('List A'!$D$5:$D$204,IFERROR(MATCH(37,'List A'!$Q$5:$Q$204,0)+4,"")-4))</f>
        <v/>
      </c>
      <c r="E41" s="87">
        <f>IF(OR(IFERROR(MATCH(37,'List A'!$Q$5:$Q$204,0)+4,"")="",IF(IFERROR(MATCH(37,'List A'!$Q$5:$Q$204,0)+4,"")="","",INDEX('List A'!$K$5:$K$204,IFERROR(MATCH(37,'List A'!$Q$5:$Q$204,0)+4,"")-4))=""),"",INDEX('List B'!$A$5:$A$204,IF(IFERROR(MATCH(37,'List A'!$Q$5:$Q$204,0)+4,"")="","",INDEX('List A'!$K$5:$K$204,IFERROR(MATCH(37,'List A'!$Q$5:$Q$204,0)+4,"")-4))-4))</f>
        <v/>
      </c>
      <c r="F41" s="53">
        <f>IF(OR(IFERROR(MATCH(37,'List A'!$Q$5:$Q$204,0)+4,"")="",IF(IFERROR(MATCH(37,'List A'!$Q$5:$Q$204,0)+4,"")="","",INDEX('List A'!$K$5:$K$204,IFERROR(MATCH(37,'List A'!$Q$5:$Q$204,0)+4,"")-4))=""),"",INDEX('List B'!$B$5:$B$204,IF(IFERROR(MATCH(37,'List A'!$Q$5:$Q$204,0)+4,"")="","",INDEX('List A'!$K$5:$K$204,IFERROR(MATCH(37,'List A'!$Q$5:$Q$204,0)+4,"")-4))-4))</f>
        <v/>
      </c>
      <c r="G41" s="52">
        <f>IF(OR(IFERROR(MATCH(37,'List A'!$Q$5:$Q$204,0)+4,"")="",IF(IFERROR(MATCH(37,'List A'!$Q$5:$Q$204,0)+4,"")="","",INDEX('List A'!$K$5:$K$204,IFERROR(MATCH(37,'List A'!$Q$5:$Q$204,0)+4,"")-4))=""),"",INDEX('List B'!$C$5:$C$204,IF(IFERROR(MATCH(37,'List A'!$Q$5:$Q$204,0)+4,"")="","",INDEX('List A'!$K$5:$K$204,IFERROR(MATCH(37,'List A'!$Q$5:$Q$204,0)+4,"")-4))-4))</f>
        <v/>
      </c>
      <c r="H41" s="53">
        <f>IF(OR(IFERROR(MATCH(37,'List A'!$Q$5:$Q$204,0)+4,"")="",IF(IFERROR(MATCH(37,'List A'!$Q$5:$Q$204,0)+4,"")="","",INDEX('List A'!$K$5:$K$204,IFERROR(MATCH(37,'List A'!$Q$5:$Q$204,0)+4,"")-4))=""),"",INDEX('List B'!$D$5:$D$204,IF(IFERROR(MATCH(37,'List A'!$Q$5:$Q$204,0)+4,"")="","",INDEX('List A'!$K$5:$K$204,IFERROR(MATCH(37,'List A'!$Q$5:$Q$204,0)+4,"")-4))-4))</f>
        <v/>
      </c>
      <c r="I41" s="52">
        <f>IF(IFERROR(MATCH(37,'List A'!$Q$5:$Q$204,0)+4,"")="","",INDEX('List A'!$N$5:$N$204,IFERROR(MATCH(37,'List A'!$Q$5:$Q$204,0)+4,"")-4))</f>
        <v/>
      </c>
      <c r="J41" s="53">
        <f>IF(IFERROR(MATCH(37,'List A'!$Q$5:$Q$204,0)+4,"")="","",INDEX('List A'!$O$5:$O$204,IFERROR(MATCH(37,'List A'!$Q$5:$Q$204,0)+4,"")-4))</f>
        <v/>
      </c>
    </row>
    <row r="42" ht="17" customHeight="1">
      <c r="A42" s="87">
        <f>IF(IFERROR(MATCH(38,'List A'!$Q$5:$Q$204,0)+4,"")="","",INDEX('List A'!$A$5:$A$204,IFERROR(MATCH(38,'List A'!$Q$5:$Q$204,0)+4,"")-4))</f>
        <v/>
      </c>
      <c r="B42" s="53">
        <f>IF(IFERROR(MATCH(38,'List A'!$Q$5:$Q$204,0)+4,"")="","",INDEX('List A'!$B$5:$B$204,IFERROR(MATCH(38,'List A'!$Q$5:$Q$204,0)+4,"")-4))</f>
        <v/>
      </c>
      <c r="C42" s="52">
        <f>IF(IFERROR(MATCH(38,'List A'!$Q$5:$Q$204,0)+4,"")="","",INDEX('List A'!$C$5:$C$204,IFERROR(MATCH(38,'List A'!$Q$5:$Q$204,0)+4,"")-4))</f>
        <v/>
      </c>
      <c r="D42" s="53">
        <f>IF(IFERROR(MATCH(38,'List A'!$Q$5:$Q$204,0)+4,"")="","",INDEX('List A'!$D$5:$D$204,IFERROR(MATCH(38,'List A'!$Q$5:$Q$204,0)+4,"")-4))</f>
        <v/>
      </c>
      <c r="E42" s="87">
        <f>IF(OR(IFERROR(MATCH(38,'List A'!$Q$5:$Q$204,0)+4,"")="",IF(IFERROR(MATCH(38,'List A'!$Q$5:$Q$204,0)+4,"")="","",INDEX('List A'!$K$5:$K$204,IFERROR(MATCH(38,'List A'!$Q$5:$Q$204,0)+4,"")-4))=""),"",INDEX('List B'!$A$5:$A$204,IF(IFERROR(MATCH(38,'List A'!$Q$5:$Q$204,0)+4,"")="","",INDEX('List A'!$K$5:$K$204,IFERROR(MATCH(38,'List A'!$Q$5:$Q$204,0)+4,"")-4))-4))</f>
        <v/>
      </c>
      <c r="F42" s="53">
        <f>IF(OR(IFERROR(MATCH(38,'List A'!$Q$5:$Q$204,0)+4,"")="",IF(IFERROR(MATCH(38,'List A'!$Q$5:$Q$204,0)+4,"")="","",INDEX('List A'!$K$5:$K$204,IFERROR(MATCH(38,'List A'!$Q$5:$Q$204,0)+4,"")-4))=""),"",INDEX('List B'!$B$5:$B$204,IF(IFERROR(MATCH(38,'List A'!$Q$5:$Q$204,0)+4,"")="","",INDEX('List A'!$K$5:$K$204,IFERROR(MATCH(38,'List A'!$Q$5:$Q$204,0)+4,"")-4))-4))</f>
        <v/>
      </c>
      <c r="G42" s="52">
        <f>IF(OR(IFERROR(MATCH(38,'List A'!$Q$5:$Q$204,0)+4,"")="",IF(IFERROR(MATCH(38,'List A'!$Q$5:$Q$204,0)+4,"")="","",INDEX('List A'!$K$5:$K$204,IFERROR(MATCH(38,'List A'!$Q$5:$Q$204,0)+4,"")-4))=""),"",INDEX('List B'!$C$5:$C$204,IF(IFERROR(MATCH(38,'List A'!$Q$5:$Q$204,0)+4,"")="","",INDEX('List A'!$K$5:$K$204,IFERROR(MATCH(38,'List A'!$Q$5:$Q$204,0)+4,"")-4))-4))</f>
        <v/>
      </c>
      <c r="H42" s="53">
        <f>IF(OR(IFERROR(MATCH(38,'List A'!$Q$5:$Q$204,0)+4,"")="",IF(IFERROR(MATCH(38,'List A'!$Q$5:$Q$204,0)+4,"")="","",INDEX('List A'!$K$5:$K$204,IFERROR(MATCH(38,'List A'!$Q$5:$Q$204,0)+4,"")-4))=""),"",INDEX('List B'!$D$5:$D$204,IF(IFERROR(MATCH(38,'List A'!$Q$5:$Q$204,0)+4,"")="","",INDEX('List A'!$K$5:$K$204,IFERROR(MATCH(38,'List A'!$Q$5:$Q$204,0)+4,"")-4))-4))</f>
        <v/>
      </c>
      <c r="I42" s="52">
        <f>IF(IFERROR(MATCH(38,'List A'!$Q$5:$Q$204,0)+4,"")="","",INDEX('List A'!$N$5:$N$204,IFERROR(MATCH(38,'List A'!$Q$5:$Q$204,0)+4,"")-4))</f>
        <v/>
      </c>
      <c r="J42" s="53">
        <f>IF(IFERROR(MATCH(38,'List A'!$Q$5:$Q$204,0)+4,"")="","",INDEX('List A'!$O$5:$O$204,IFERROR(MATCH(38,'List A'!$Q$5:$Q$204,0)+4,"")-4))</f>
        <v/>
      </c>
    </row>
    <row r="43" ht="17" customHeight="1">
      <c r="A43" s="87">
        <f>IF(IFERROR(MATCH(39,'List A'!$Q$5:$Q$204,0)+4,"")="","",INDEX('List A'!$A$5:$A$204,IFERROR(MATCH(39,'List A'!$Q$5:$Q$204,0)+4,"")-4))</f>
        <v/>
      </c>
      <c r="B43" s="53">
        <f>IF(IFERROR(MATCH(39,'List A'!$Q$5:$Q$204,0)+4,"")="","",INDEX('List A'!$B$5:$B$204,IFERROR(MATCH(39,'List A'!$Q$5:$Q$204,0)+4,"")-4))</f>
        <v/>
      </c>
      <c r="C43" s="52">
        <f>IF(IFERROR(MATCH(39,'List A'!$Q$5:$Q$204,0)+4,"")="","",INDEX('List A'!$C$5:$C$204,IFERROR(MATCH(39,'List A'!$Q$5:$Q$204,0)+4,"")-4))</f>
        <v/>
      </c>
      <c r="D43" s="53">
        <f>IF(IFERROR(MATCH(39,'List A'!$Q$5:$Q$204,0)+4,"")="","",INDEX('List A'!$D$5:$D$204,IFERROR(MATCH(39,'List A'!$Q$5:$Q$204,0)+4,"")-4))</f>
        <v/>
      </c>
      <c r="E43" s="87">
        <f>IF(OR(IFERROR(MATCH(39,'List A'!$Q$5:$Q$204,0)+4,"")="",IF(IFERROR(MATCH(39,'List A'!$Q$5:$Q$204,0)+4,"")="","",INDEX('List A'!$K$5:$K$204,IFERROR(MATCH(39,'List A'!$Q$5:$Q$204,0)+4,"")-4))=""),"",INDEX('List B'!$A$5:$A$204,IF(IFERROR(MATCH(39,'List A'!$Q$5:$Q$204,0)+4,"")="","",INDEX('List A'!$K$5:$K$204,IFERROR(MATCH(39,'List A'!$Q$5:$Q$204,0)+4,"")-4))-4))</f>
        <v/>
      </c>
      <c r="F43" s="53">
        <f>IF(OR(IFERROR(MATCH(39,'List A'!$Q$5:$Q$204,0)+4,"")="",IF(IFERROR(MATCH(39,'List A'!$Q$5:$Q$204,0)+4,"")="","",INDEX('List A'!$K$5:$K$204,IFERROR(MATCH(39,'List A'!$Q$5:$Q$204,0)+4,"")-4))=""),"",INDEX('List B'!$B$5:$B$204,IF(IFERROR(MATCH(39,'List A'!$Q$5:$Q$204,0)+4,"")="","",INDEX('List A'!$K$5:$K$204,IFERROR(MATCH(39,'List A'!$Q$5:$Q$204,0)+4,"")-4))-4))</f>
        <v/>
      </c>
      <c r="G43" s="52">
        <f>IF(OR(IFERROR(MATCH(39,'List A'!$Q$5:$Q$204,0)+4,"")="",IF(IFERROR(MATCH(39,'List A'!$Q$5:$Q$204,0)+4,"")="","",INDEX('List A'!$K$5:$K$204,IFERROR(MATCH(39,'List A'!$Q$5:$Q$204,0)+4,"")-4))=""),"",INDEX('List B'!$C$5:$C$204,IF(IFERROR(MATCH(39,'List A'!$Q$5:$Q$204,0)+4,"")="","",INDEX('List A'!$K$5:$K$204,IFERROR(MATCH(39,'List A'!$Q$5:$Q$204,0)+4,"")-4))-4))</f>
        <v/>
      </c>
      <c r="H43" s="53">
        <f>IF(OR(IFERROR(MATCH(39,'List A'!$Q$5:$Q$204,0)+4,"")="",IF(IFERROR(MATCH(39,'List A'!$Q$5:$Q$204,0)+4,"")="","",INDEX('List A'!$K$5:$K$204,IFERROR(MATCH(39,'List A'!$Q$5:$Q$204,0)+4,"")-4))=""),"",INDEX('List B'!$D$5:$D$204,IF(IFERROR(MATCH(39,'List A'!$Q$5:$Q$204,0)+4,"")="","",INDEX('List A'!$K$5:$K$204,IFERROR(MATCH(39,'List A'!$Q$5:$Q$204,0)+4,"")-4))-4))</f>
        <v/>
      </c>
      <c r="I43" s="52">
        <f>IF(IFERROR(MATCH(39,'List A'!$Q$5:$Q$204,0)+4,"")="","",INDEX('List A'!$N$5:$N$204,IFERROR(MATCH(39,'List A'!$Q$5:$Q$204,0)+4,"")-4))</f>
        <v/>
      </c>
      <c r="J43" s="53">
        <f>IF(IFERROR(MATCH(39,'List A'!$Q$5:$Q$204,0)+4,"")="","",INDEX('List A'!$O$5:$O$204,IFERROR(MATCH(39,'List A'!$Q$5:$Q$204,0)+4,"")-4))</f>
        <v/>
      </c>
    </row>
    <row r="44" ht="17" customHeight="1">
      <c r="A44" s="87">
        <f>IF(IFERROR(MATCH(40,'List A'!$Q$5:$Q$204,0)+4,"")="","",INDEX('List A'!$A$5:$A$204,IFERROR(MATCH(40,'List A'!$Q$5:$Q$204,0)+4,"")-4))</f>
        <v/>
      </c>
      <c r="B44" s="53">
        <f>IF(IFERROR(MATCH(40,'List A'!$Q$5:$Q$204,0)+4,"")="","",INDEX('List A'!$B$5:$B$204,IFERROR(MATCH(40,'List A'!$Q$5:$Q$204,0)+4,"")-4))</f>
        <v/>
      </c>
      <c r="C44" s="52">
        <f>IF(IFERROR(MATCH(40,'List A'!$Q$5:$Q$204,0)+4,"")="","",INDEX('List A'!$C$5:$C$204,IFERROR(MATCH(40,'List A'!$Q$5:$Q$204,0)+4,"")-4))</f>
        <v/>
      </c>
      <c r="D44" s="53">
        <f>IF(IFERROR(MATCH(40,'List A'!$Q$5:$Q$204,0)+4,"")="","",INDEX('List A'!$D$5:$D$204,IFERROR(MATCH(40,'List A'!$Q$5:$Q$204,0)+4,"")-4))</f>
        <v/>
      </c>
      <c r="E44" s="87">
        <f>IF(OR(IFERROR(MATCH(40,'List A'!$Q$5:$Q$204,0)+4,"")="",IF(IFERROR(MATCH(40,'List A'!$Q$5:$Q$204,0)+4,"")="","",INDEX('List A'!$K$5:$K$204,IFERROR(MATCH(40,'List A'!$Q$5:$Q$204,0)+4,"")-4))=""),"",INDEX('List B'!$A$5:$A$204,IF(IFERROR(MATCH(40,'List A'!$Q$5:$Q$204,0)+4,"")="","",INDEX('List A'!$K$5:$K$204,IFERROR(MATCH(40,'List A'!$Q$5:$Q$204,0)+4,"")-4))-4))</f>
        <v/>
      </c>
      <c r="F44" s="53">
        <f>IF(OR(IFERROR(MATCH(40,'List A'!$Q$5:$Q$204,0)+4,"")="",IF(IFERROR(MATCH(40,'List A'!$Q$5:$Q$204,0)+4,"")="","",INDEX('List A'!$K$5:$K$204,IFERROR(MATCH(40,'List A'!$Q$5:$Q$204,0)+4,"")-4))=""),"",INDEX('List B'!$B$5:$B$204,IF(IFERROR(MATCH(40,'List A'!$Q$5:$Q$204,0)+4,"")="","",INDEX('List A'!$K$5:$K$204,IFERROR(MATCH(40,'List A'!$Q$5:$Q$204,0)+4,"")-4))-4))</f>
        <v/>
      </c>
      <c r="G44" s="52">
        <f>IF(OR(IFERROR(MATCH(40,'List A'!$Q$5:$Q$204,0)+4,"")="",IF(IFERROR(MATCH(40,'List A'!$Q$5:$Q$204,0)+4,"")="","",INDEX('List A'!$K$5:$K$204,IFERROR(MATCH(40,'List A'!$Q$5:$Q$204,0)+4,"")-4))=""),"",INDEX('List B'!$C$5:$C$204,IF(IFERROR(MATCH(40,'List A'!$Q$5:$Q$204,0)+4,"")="","",INDEX('List A'!$K$5:$K$204,IFERROR(MATCH(40,'List A'!$Q$5:$Q$204,0)+4,"")-4))-4))</f>
        <v/>
      </c>
      <c r="H44" s="53">
        <f>IF(OR(IFERROR(MATCH(40,'List A'!$Q$5:$Q$204,0)+4,"")="",IF(IFERROR(MATCH(40,'List A'!$Q$5:$Q$204,0)+4,"")="","",INDEX('List A'!$K$5:$K$204,IFERROR(MATCH(40,'List A'!$Q$5:$Q$204,0)+4,"")-4))=""),"",INDEX('List B'!$D$5:$D$204,IF(IFERROR(MATCH(40,'List A'!$Q$5:$Q$204,0)+4,"")="","",INDEX('List A'!$K$5:$K$204,IFERROR(MATCH(40,'List A'!$Q$5:$Q$204,0)+4,"")-4))-4))</f>
        <v/>
      </c>
      <c r="I44" s="52">
        <f>IF(IFERROR(MATCH(40,'List A'!$Q$5:$Q$204,0)+4,"")="","",INDEX('List A'!$N$5:$N$204,IFERROR(MATCH(40,'List A'!$Q$5:$Q$204,0)+4,"")-4))</f>
        <v/>
      </c>
      <c r="J44" s="53">
        <f>IF(IFERROR(MATCH(40,'List A'!$Q$5:$Q$204,0)+4,"")="","",INDEX('List A'!$O$5:$O$204,IFERROR(MATCH(40,'List A'!$Q$5:$Q$204,0)+4,"")-4))</f>
        <v/>
      </c>
    </row>
    <row r="45" ht="17" customHeight="1">
      <c r="A45" s="87">
        <f>IF(IFERROR(MATCH(41,'List A'!$Q$5:$Q$204,0)+4,"")="","",INDEX('List A'!$A$5:$A$204,IFERROR(MATCH(41,'List A'!$Q$5:$Q$204,0)+4,"")-4))</f>
        <v/>
      </c>
      <c r="B45" s="53">
        <f>IF(IFERROR(MATCH(41,'List A'!$Q$5:$Q$204,0)+4,"")="","",INDEX('List A'!$B$5:$B$204,IFERROR(MATCH(41,'List A'!$Q$5:$Q$204,0)+4,"")-4))</f>
        <v/>
      </c>
      <c r="C45" s="52">
        <f>IF(IFERROR(MATCH(41,'List A'!$Q$5:$Q$204,0)+4,"")="","",INDEX('List A'!$C$5:$C$204,IFERROR(MATCH(41,'List A'!$Q$5:$Q$204,0)+4,"")-4))</f>
        <v/>
      </c>
      <c r="D45" s="53">
        <f>IF(IFERROR(MATCH(41,'List A'!$Q$5:$Q$204,0)+4,"")="","",INDEX('List A'!$D$5:$D$204,IFERROR(MATCH(41,'List A'!$Q$5:$Q$204,0)+4,"")-4))</f>
        <v/>
      </c>
      <c r="E45" s="87">
        <f>IF(OR(IFERROR(MATCH(41,'List A'!$Q$5:$Q$204,0)+4,"")="",IF(IFERROR(MATCH(41,'List A'!$Q$5:$Q$204,0)+4,"")="","",INDEX('List A'!$K$5:$K$204,IFERROR(MATCH(41,'List A'!$Q$5:$Q$204,0)+4,"")-4))=""),"",INDEX('List B'!$A$5:$A$204,IF(IFERROR(MATCH(41,'List A'!$Q$5:$Q$204,0)+4,"")="","",INDEX('List A'!$K$5:$K$204,IFERROR(MATCH(41,'List A'!$Q$5:$Q$204,0)+4,"")-4))-4))</f>
        <v/>
      </c>
      <c r="F45" s="53">
        <f>IF(OR(IFERROR(MATCH(41,'List A'!$Q$5:$Q$204,0)+4,"")="",IF(IFERROR(MATCH(41,'List A'!$Q$5:$Q$204,0)+4,"")="","",INDEX('List A'!$K$5:$K$204,IFERROR(MATCH(41,'List A'!$Q$5:$Q$204,0)+4,"")-4))=""),"",INDEX('List B'!$B$5:$B$204,IF(IFERROR(MATCH(41,'List A'!$Q$5:$Q$204,0)+4,"")="","",INDEX('List A'!$K$5:$K$204,IFERROR(MATCH(41,'List A'!$Q$5:$Q$204,0)+4,"")-4))-4))</f>
        <v/>
      </c>
      <c r="G45" s="52">
        <f>IF(OR(IFERROR(MATCH(41,'List A'!$Q$5:$Q$204,0)+4,"")="",IF(IFERROR(MATCH(41,'List A'!$Q$5:$Q$204,0)+4,"")="","",INDEX('List A'!$K$5:$K$204,IFERROR(MATCH(41,'List A'!$Q$5:$Q$204,0)+4,"")-4))=""),"",INDEX('List B'!$C$5:$C$204,IF(IFERROR(MATCH(41,'List A'!$Q$5:$Q$204,0)+4,"")="","",INDEX('List A'!$K$5:$K$204,IFERROR(MATCH(41,'List A'!$Q$5:$Q$204,0)+4,"")-4))-4))</f>
        <v/>
      </c>
      <c r="H45" s="53">
        <f>IF(OR(IFERROR(MATCH(41,'List A'!$Q$5:$Q$204,0)+4,"")="",IF(IFERROR(MATCH(41,'List A'!$Q$5:$Q$204,0)+4,"")="","",INDEX('List A'!$K$5:$K$204,IFERROR(MATCH(41,'List A'!$Q$5:$Q$204,0)+4,"")-4))=""),"",INDEX('List B'!$D$5:$D$204,IF(IFERROR(MATCH(41,'List A'!$Q$5:$Q$204,0)+4,"")="","",INDEX('List A'!$K$5:$K$204,IFERROR(MATCH(41,'List A'!$Q$5:$Q$204,0)+4,"")-4))-4))</f>
        <v/>
      </c>
      <c r="I45" s="52">
        <f>IF(IFERROR(MATCH(41,'List A'!$Q$5:$Q$204,0)+4,"")="","",INDEX('List A'!$N$5:$N$204,IFERROR(MATCH(41,'List A'!$Q$5:$Q$204,0)+4,"")-4))</f>
        <v/>
      </c>
      <c r="J45" s="53">
        <f>IF(IFERROR(MATCH(41,'List A'!$Q$5:$Q$204,0)+4,"")="","",INDEX('List A'!$O$5:$O$204,IFERROR(MATCH(41,'List A'!$Q$5:$Q$204,0)+4,"")-4))</f>
        <v/>
      </c>
    </row>
    <row r="46" ht="17" customHeight="1">
      <c r="A46" s="87">
        <f>IF(IFERROR(MATCH(42,'List A'!$Q$5:$Q$204,0)+4,"")="","",INDEX('List A'!$A$5:$A$204,IFERROR(MATCH(42,'List A'!$Q$5:$Q$204,0)+4,"")-4))</f>
        <v/>
      </c>
      <c r="B46" s="53">
        <f>IF(IFERROR(MATCH(42,'List A'!$Q$5:$Q$204,0)+4,"")="","",INDEX('List A'!$B$5:$B$204,IFERROR(MATCH(42,'List A'!$Q$5:$Q$204,0)+4,"")-4))</f>
        <v/>
      </c>
      <c r="C46" s="52">
        <f>IF(IFERROR(MATCH(42,'List A'!$Q$5:$Q$204,0)+4,"")="","",INDEX('List A'!$C$5:$C$204,IFERROR(MATCH(42,'List A'!$Q$5:$Q$204,0)+4,"")-4))</f>
        <v/>
      </c>
      <c r="D46" s="53">
        <f>IF(IFERROR(MATCH(42,'List A'!$Q$5:$Q$204,0)+4,"")="","",INDEX('List A'!$D$5:$D$204,IFERROR(MATCH(42,'List A'!$Q$5:$Q$204,0)+4,"")-4))</f>
        <v/>
      </c>
      <c r="E46" s="87">
        <f>IF(OR(IFERROR(MATCH(42,'List A'!$Q$5:$Q$204,0)+4,"")="",IF(IFERROR(MATCH(42,'List A'!$Q$5:$Q$204,0)+4,"")="","",INDEX('List A'!$K$5:$K$204,IFERROR(MATCH(42,'List A'!$Q$5:$Q$204,0)+4,"")-4))=""),"",INDEX('List B'!$A$5:$A$204,IF(IFERROR(MATCH(42,'List A'!$Q$5:$Q$204,0)+4,"")="","",INDEX('List A'!$K$5:$K$204,IFERROR(MATCH(42,'List A'!$Q$5:$Q$204,0)+4,"")-4))-4))</f>
        <v/>
      </c>
      <c r="F46" s="53">
        <f>IF(OR(IFERROR(MATCH(42,'List A'!$Q$5:$Q$204,0)+4,"")="",IF(IFERROR(MATCH(42,'List A'!$Q$5:$Q$204,0)+4,"")="","",INDEX('List A'!$K$5:$K$204,IFERROR(MATCH(42,'List A'!$Q$5:$Q$204,0)+4,"")-4))=""),"",INDEX('List B'!$B$5:$B$204,IF(IFERROR(MATCH(42,'List A'!$Q$5:$Q$204,0)+4,"")="","",INDEX('List A'!$K$5:$K$204,IFERROR(MATCH(42,'List A'!$Q$5:$Q$204,0)+4,"")-4))-4))</f>
        <v/>
      </c>
      <c r="G46" s="52">
        <f>IF(OR(IFERROR(MATCH(42,'List A'!$Q$5:$Q$204,0)+4,"")="",IF(IFERROR(MATCH(42,'List A'!$Q$5:$Q$204,0)+4,"")="","",INDEX('List A'!$K$5:$K$204,IFERROR(MATCH(42,'List A'!$Q$5:$Q$204,0)+4,"")-4))=""),"",INDEX('List B'!$C$5:$C$204,IF(IFERROR(MATCH(42,'List A'!$Q$5:$Q$204,0)+4,"")="","",INDEX('List A'!$K$5:$K$204,IFERROR(MATCH(42,'List A'!$Q$5:$Q$204,0)+4,"")-4))-4))</f>
        <v/>
      </c>
      <c r="H46" s="53">
        <f>IF(OR(IFERROR(MATCH(42,'List A'!$Q$5:$Q$204,0)+4,"")="",IF(IFERROR(MATCH(42,'List A'!$Q$5:$Q$204,0)+4,"")="","",INDEX('List A'!$K$5:$K$204,IFERROR(MATCH(42,'List A'!$Q$5:$Q$204,0)+4,"")-4))=""),"",INDEX('List B'!$D$5:$D$204,IF(IFERROR(MATCH(42,'List A'!$Q$5:$Q$204,0)+4,"")="","",INDEX('List A'!$K$5:$K$204,IFERROR(MATCH(42,'List A'!$Q$5:$Q$204,0)+4,"")-4))-4))</f>
        <v/>
      </c>
      <c r="I46" s="52">
        <f>IF(IFERROR(MATCH(42,'List A'!$Q$5:$Q$204,0)+4,"")="","",INDEX('List A'!$N$5:$N$204,IFERROR(MATCH(42,'List A'!$Q$5:$Q$204,0)+4,"")-4))</f>
        <v/>
      </c>
      <c r="J46" s="53">
        <f>IF(IFERROR(MATCH(42,'List A'!$Q$5:$Q$204,0)+4,"")="","",INDEX('List A'!$O$5:$O$204,IFERROR(MATCH(42,'List A'!$Q$5:$Q$204,0)+4,"")-4))</f>
        <v/>
      </c>
    </row>
    <row r="47" ht="17" customHeight="1">
      <c r="A47" s="87">
        <f>IF(IFERROR(MATCH(43,'List A'!$Q$5:$Q$204,0)+4,"")="","",INDEX('List A'!$A$5:$A$204,IFERROR(MATCH(43,'List A'!$Q$5:$Q$204,0)+4,"")-4))</f>
        <v/>
      </c>
      <c r="B47" s="53">
        <f>IF(IFERROR(MATCH(43,'List A'!$Q$5:$Q$204,0)+4,"")="","",INDEX('List A'!$B$5:$B$204,IFERROR(MATCH(43,'List A'!$Q$5:$Q$204,0)+4,"")-4))</f>
        <v/>
      </c>
      <c r="C47" s="52">
        <f>IF(IFERROR(MATCH(43,'List A'!$Q$5:$Q$204,0)+4,"")="","",INDEX('List A'!$C$5:$C$204,IFERROR(MATCH(43,'List A'!$Q$5:$Q$204,0)+4,"")-4))</f>
        <v/>
      </c>
      <c r="D47" s="53">
        <f>IF(IFERROR(MATCH(43,'List A'!$Q$5:$Q$204,0)+4,"")="","",INDEX('List A'!$D$5:$D$204,IFERROR(MATCH(43,'List A'!$Q$5:$Q$204,0)+4,"")-4))</f>
        <v/>
      </c>
      <c r="E47" s="87">
        <f>IF(OR(IFERROR(MATCH(43,'List A'!$Q$5:$Q$204,0)+4,"")="",IF(IFERROR(MATCH(43,'List A'!$Q$5:$Q$204,0)+4,"")="","",INDEX('List A'!$K$5:$K$204,IFERROR(MATCH(43,'List A'!$Q$5:$Q$204,0)+4,"")-4))=""),"",INDEX('List B'!$A$5:$A$204,IF(IFERROR(MATCH(43,'List A'!$Q$5:$Q$204,0)+4,"")="","",INDEX('List A'!$K$5:$K$204,IFERROR(MATCH(43,'List A'!$Q$5:$Q$204,0)+4,"")-4))-4))</f>
        <v/>
      </c>
      <c r="F47" s="53">
        <f>IF(OR(IFERROR(MATCH(43,'List A'!$Q$5:$Q$204,0)+4,"")="",IF(IFERROR(MATCH(43,'List A'!$Q$5:$Q$204,0)+4,"")="","",INDEX('List A'!$K$5:$K$204,IFERROR(MATCH(43,'List A'!$Q$5:$Q$204,0)+4,"")-4))=""),"",INDEX('List B'!$B$5:$B$204,IF(IFERROR(MATCH(43,'List A'!$Q$5:$Q$204,0)+4,"")="","",INDEX('List A'!$K$5:$K$204,IFERROR(MATCH(43,'List A'!$Q$5:$Q$204,0)+4,"")-4))-4))</f>
        <v/>
      </c>
      <c r="G47" s="52">
        <f>IF(OR(IFERROR(MATCH(43,'List A'!$Q$5:$Q$204,0)+4,"")="",IF(IFERROR(MATCH(43,'List A'!$Q$5:$Q$204,0)+4,"")="","",INDEX('List A'!$K$5:$K$204,IFERROR(MATCH(43,'List A'!$Q$5:$Q$204,0)+4,"")-4))=""),"",INDEX('List B'!$C$5:$C$204,IF(IFERROR(MATCH(43,'List A'!$Q$5:$Q$204,0)+4,"")="","",INDEX('List A'!$K$5:$K$204,IFERROR(MATCH(43,'List A'!$Q$5:$Q$204,0)+4,"")-4))-4))</f>
        <v/>
      </c>
      <c r="H47" s="53">
        <f>IF(OR(IFERROR(MATCH(43,'List A'!$Q$5:$Q$204,0)+4,"")="",IF(IFERROR(MATCH(43,'List A'!$Q$5:$Q$204,0)+4,"")="","",INDEX('List A'!$K$5:$K$204,IFERROR(MATCH(43,'List A'!$Q$5:$Q$204,0)+4,"")-4))=""),"",INDEX('List B'!$D$5:$D$204,IF(IFERROR(MATCH(43,'List A'!$Q$5:$Q$204,0)+4,"")="","",INDEX('List A'!$K$5:$K$204,IFERROR(MATCH(43,'List A'!$Q$5:$Q$204,0)+4,"")-4))-4))</f>
        <v/>
      </c>
      <c r="I47" s="52">
        <f>IF(IFERROR(MATCH(43,'List A'!$Q$5:$Q$204,0)+4,"")="","",INDEX('List A'!$N$5:$N$204,IFERROR(MATCH(43,'List A'!$Q$5:$Q$204,0)+4,"")-4))</f>
        <v/>
      </c>
      <c r="J47" s="53">
        <f>IF(IFERROR(MATCH(43,'List A'!$Q$5:$Q$204,0)+4,"")="","",INDEX('List A'!$O$5:$O$204,IFERROR(MATCH(43,'List A'!$Q$5:$Q$204,0)+4,"")-4))</f>
        <v/>
      </c>
    </row>
    <row r="48" ht="17" customHeight="1">
      <c r="A48" s="87">
        <f>IF(IFERROR(MATCH(44,'List A'!$Q$5:$Q$204,0)+4,"")="","",INDEX('List A'!$A$5:$A$204,IFERROR(MATCH(44,'List A'!$Q$5:$Q$204,0)+4,"")-4))</f>
        <v/>
      </c>
      <c r="B48" s="53">
        <f>IF(IFERROR(MATCH(44,'List A'!$Q$5:$Q$204,0)+4,"")="","",INDEX('List A'!$B$5:$B$204,IFERROR(MATCH(44,'List A'!$Q$5:$Q$204,0)+4,"")-4))</f>
        <v/>
      </c>
      <c r="C48" s="52">
        <f>IF(IFERROR(MATCH(44,'List A'!$Q$5:$Q$204,0)+4,"")="","",INDEX('List A'!$C$5:$C$204,IFERROR(MATCH(44,'List A'!$Q$5:$Q$204,0)+4,"")-4))</f>
        <v/>
      </c>
      <c r="D48" s="53">
        <f>IF(IFERROR(MATCH(44,'List A'!$Q$5:$Q$204,0)+4,"")="","",INDEX('List A'!$D$5:$D$204,IFERROR(MATCH(44,'List A'!$Q$5:$Q$204,0)+4,"")-4))</f>
        <v/>
      </c>
      <c r="E48" s="87">
        <f>IF(OR(IFERROR(MATCH(44,'List A'!$Q$5:$Q$204,0)+4,"")="",IF(IFERROR(MATCH(44,'List A'!$Q$5:$Q$204,0)+4,"")="","",INDEX('List A'!$K$5:$K$204,IFERROR(MATCH(44,'List A'!$Q$5:$Q$204,0)+4,"")-4))=""),"",INDEX('List B'!$A$5:$A$204,IF(IFERROR(MATCH(44,'List A'!$Q$5:$Q$204,0)+4,"")="","",INDEX('List A'!$K$5:$K$204,IFERROR(MATCH(44,'List A'!$Q$5:$Q$204,0)+4,"")-4))-4))</f>
        <v/>
      </c>
      <c r="F48" s="53">
        <f>IF(OR(IFERROR(MATCH(44,'List A'!$Q$5:$Q$204,0)+4,"")="",IF(IFERROR(MATCH(44,'List A'!$Q$5:$Q$204,0)+4,"")="","",INDEX('List A'!$K$5:$K$204,IFERROR(MATCH(44,'List A'!$Q$5:$Q$204,0)+4,"")-4))=""),"",INDEX('List B'!$B$5:$B$204,IF(IFERROR(MATCH(44,'List A'!$Q$5:$Q$204,0)+4,"")="","",INDEX('List A'!$K$5:$K$204,IFERROR(MATCH(44,'List A'!$Q$5:$Q$204,0)+4,"")-4))-4))</f>
        <v/>
      </c>
      <c r="G48" s="52">
        <f>IF(OR(IFERROR(MATCH(44,'List A'!$Q$5:$Q$204,0)+4,"")="",IF(IFERROR(MATCH(44,'List A'!$Q$5:$Q$204,0)+4,"")="","",INDEX('List A'!$K$5:$K$204,IFERROR(MATCH(44,'List A'!$Q$5:$Q$204,0)+4,"")-4))=""),"",INDEX('List B'!$C$5:$C$204,IF(IFERROR(MATCH(44,'List A'!$Q$5:$Q$204,0)+4,"")="","",INDEX('List A'!$K$5:$K$204,IFERROR(MATCH(44,'List A'!$Q$5:$Q$204,0)+4,"")-4))-4))</f>
        <v/>
      </c>
      <c r="H48" s="53">
        <f>IF(OR(IFERROR(MATCH(44,'List A'!$Q$5:$Q$204,0)+4,"")="",IF(IFERROR(MATCH(44,'List A'!$Q$5:$Q$204,0)+4,"")="","",INDEX('List A'!$K$5:$K$204,IFERROR(MATCH(44,'List A'!$Q$5:$Q$204,0)+4,"")-4))=""),"",INDEX('List B'!$D$5:$D$204,IF(IFERROR(MATCH(44,'List A'!$Q$5:$Q$204,0)+4,"")="","",INDEX('List A'!$K$5:$K$204,IFERROR(MATCH(44,'List A'!$Q$5:$Q$204,0)+4,"")-4))-4))</f>
        <v/>
      </c>
      <c r="I48" s="52">
        <f>IF(IFERROR(MATCH(44,'List A'!$Q$5:$Q$204,0)+4,"")="","",INDEX('List A'!$N$5:$N$204,IFERROR(MATCH(44,'List A'!$Q$5:$Q$204,0)+4,"")-4))</f>
        <v/>
      </c>
      <c r="J48" s="53">
        <f>IF(IFERROR(MATCH(44,'List A'!$Q$5:$Q$204,0)+4,"")="","",INDEX('List A'!$O$5:$O$204,IFERROR(MATCH(44,'List A'!$Q$5:$Q$204,0)+4,"")-4))</f>
        <v/>
      </c>
    </row>
    <row r="49" ht="17" customHeight="1">
      <c r="A49" s="87">
        <f>IF(IFERROR(MATCH(45,'List A'!$Q$5:$Q$204,0)+4,"")="","",INDEX('List A'!$A$5:$A$204,IFERROR(MATCH(45,'List A'!$Q$5:$Q$204,0)+4,"")-4))</f>
        <v/>
      </c>
      <c r="B49" s="53">
        <f>IF(IFERROR(MATCH(45,'List A'!$Q$5:$Q$204,0)+4,"")="","",INDEX('List A'!$B$5:$B$204,IFERROR(MATCH(45,'List A'!$Q$5:$Q$204,0)+4,"")-4))</f>
        <v/>
      </c>
      <c r="C49" s="52">
        <f>IF(IFERROR(MATCH(45,'List A'!$Q$5:$Q$204,0)+4,"")="","",INDEX('List A'!$C$5:$C$204,IFERROR(MATCH(45,'List A'!$Q$5:$Q$204,0)+4,"")-4))</f>
        <v/>
      </c>
      <c r="D49" s="53">
        <f>IF(IFERROR(MATCH(45,'List A'!$Q$5:$Q$204,0)+4,"")="","",INDEX('List A'!$D$5:$D$204,IFERROR(MATCH(45,'List A'!$Q$5:$Q$204,0)+4,"")-4))</f>
        <v/>
      </c>
      <c r="E49" s="87">
        <f>IF(OR(IFERROR(MATCH(45,'List A'!$Q$5:$Q$204,0)+4,"")="",IF(IFERROR(MATCH(45,'List A'!$Q$5:$Q$204,0)+4,"")="","",INDEX('List A'!$K$5:$K$204,IFERROR(MATCH(45,'List A'!$Q$5:$Q$204,0)+4,"")-4))=""),"",INDEX('List B'!$A$5:$A$204,IF(IFERROR(MATCH(45,'List A'!$Q$5:$Q$204,0)+4,"")="","",INDEX('List A'!$K$5:$K$204,IFERROR(MATCH(45,'List A'!$Q$5:$Q$204,0)+4,"")-4))-4))</f>
        <v/>
      </c>
      <c r="F49" s="53">
        <f>IF(OR(IFERROR(MATCH(45,'List A'!$Q$5:$Q$204,0)+4,"")="",IF(IFERROR(MATCH(45,'List A'!$Q$5:$Q$204,0)+4,"")="","",INDEX('List A'!$K$5:$K$204,IFERROR(MATCH(45,'List A'!$Q$5:$Q$204,0)+4,"")-4))=""),"",INDEX('List B'!$B$5:$B$204,IF(IFERROR(MATCH(45,'List A'!$Q$5:$Q$204,0)+4,"")="","",INDEX('List A'!$K$5:$K$204,IFERROR(MATCH(45,'List A'!$Q$5:$Q$204,0)+4,"")-4))-4))</f>
        <v/>
      </c>
      <c r="G49" s="52">
        <f>IF(OR(IFERROR(MATCH(45,'List A'!$Q$5:$Q$204,0)+4,"")="",IF(IFERROR(MATCH(45,'List A'!$Q$5:$Q$204,0)+4,"")="","",INDEX('List A'!$K$5:$K$204,IFERROR(MATCH(45,'List A'!$Q$5:$Q$204,0)+4,"")-4))=""),"",INDEX('List B'!$C$5:$C$204,IF(IFERROR(MATCH(45,'List A'!$Q$5:$Q$204,0)+4,"")="","",INDEX('List A'!$K$5:$K$204,IFERROR(MATCH(45,'List A'!$Q$5:$Q$204,0)+4,"")-4))-4))</f>
        <v/>
      </c>
      <c r="H49" s="53">
        <f>IF(OR(IFERROR(MATCH(45,'List A'!$Q$5:$Q$204,0)+4,"")="",IF(IFERROR(MATCH(45,'List A'!$Q$5:$Q$204,0)+4,"")="","",INDEX('List A'!$K$5:$K$204,IFERROR(MATCH(45,'List A'!$Q$5:$Q$204,0)+4,"")-4))=""),"",INDEX('List B'!$D$5:$D$204,IF(IFERROR(MATCH(45,'List A'!$Q$5:$Q$204,0)+4,"")="","",INDEX('List A'!$K$5:$K$204,IFERROR(MATCH(45,'List A'!$Q$5:$Q$204,0)+4,"")-4))-4))</f>
        <v/>
      </c>
      <c r="I49" s="52">
        <f>IF(IFERROR(MATCH(45,'List A'!$Q$5:$Q$204,0)+4,"")="","",INDEX('List A'!$N$5:$N$204,IFERROR(MATCH(45,'List A'!$Q$5:$Q$204,0)+4,"")-4))</f>
        <v/>
      </c>
      <c r="J49" s="53">
        <f>IF(IFERROR(MATCH(45,'List A'!$Q$5:$Q$204,0)+4,"")="","",INDEX('List A'!$O$5:$O$204,IFERROR(MATCH(45,'List A'!$Q$5:$Q$204,0)+4,"")-4))</f>
        <v/>
      </c>
    </row>
    <row r="50" ht="17" customHeight="1">
      <c r="A50" s="87">
        <f>IF(IFERROR(MATCH(46,'List A'!$Q$5:$Q$204,0)+4,"")="","",INDEX('List A'!$A$5:$A$204,IFERROR(MATCH(46,'List A'!$Q$5:$Q$204,0)+4,"")-4))</f>
        <v/>
      </c>
      <c r="B50" s="53">
        <f>IF(IFERROR(MATCH(46,'List A'!$Q$5:$Q$204,0)+4,"")="","",INDEX('List A'!$B$5:$B$204,IFERROR(MATCH(46,'List A'!$Q$5:$Q$204,0)+4,"")-4))</f>
        <v/>
      </c>
      <c r="C50" s="52">
        <f>IF(IFERROR(MATCH(46,'List A'!$Q$5:$Q$204,0)+4,"")="","",INDEX('List A'!$C$5:$C$204,IFERROR(MATCH(46,'List A'!$Q$5:$Q$204,0)+4,"")-4))</f>
        <v/>
      </c>
      <c r="D50" s="53">
        <f>IF(IFERROR(MATCH(46,'List A'!$Q$5:$Q$204,0)+4,"")="","",INDEX('List A'!$D$5:$D$204,IFERROR(MATCH(46,'List A'!$Q$5:$Q$204,0)+4,"")-4))</f>
        <v/>
      </c>
      <c r="E50" s="87">
        <f>IF(OR(IFERROR(MATCH(46,'List A'!$Q$5:$Q$204,0)+4,"")="",IF(IFERROR(MATCH(46,'List A'!$Q$5:$Q$204,0)+4,"")="","",INDEX('List A'!$K$5:$K$204,IFERROR(MATCH(46,'List A'!$Q$5:$Q$204,0)+4,"")-4))=""),"",INDEX('List B'!$A$5:$A$204,IF(IFERROR(MATCH(46,'List A'!$Q$5:$Q$204,0)+4,"")="","",INDEX('List A'!$K$5:$K$204,IFERROR(MATCH(46,'List A'!$Q$5:$Q$204,0)+4,"")-4))-4))</f>
        <v/>
      </c>
      <c r="F50" s="53">
        <f>IF(OR(IFERROR(MATCH(46,'List A'!$Q$5:$Q$204,0)+4,"")="",IF(IFERROR(MATCH(46,'List A'!$Q$5:$Q$204,0)+4,"")="","",INDEX('List A'!$K$5:$K$204,IFERROR(MATCH(46,'List A'!$Q$5:$Q$204,0)+4,"")-4))=""),"",INDEX('List B'!$B$5:$B$204,IF(IFERROR(MATCH(46,'List A'!$Q$5:$Q$204,0)+4,"")="","",INDEX('List A'!$K$5:$K$204,IFERROR(MATCH(46,'List A'!$Q$5:$Q$204,0)+4,"")-4))-4))</f>
        <v/>
      </c>
      <c r="G50" s="52">
        <f>IF(OR(IFERROR(MATCH(46,'List A'!$Q$5:$Q$204,0)+4,"")="",IF(IFERROR(MATCH(46,'List A'!$Q$5:$Q$204,0)+4,"")="","",INDEX('List A'!$K$5:$K$204,IFERROR(MATCH(46,'List A'!$Q$5:$Q$204,0)+4,"")-4))=""),"",INDEX('List B'!$C$5:$C$204,IF(IFERROR(MATCH(46,'List A'!$Q$5:$Q$204,0)+4,"")="","",INDEX('List A'!$K$5:$K$204,IFERROR(MATCH(46,'List A'!$Q$5:$Q$204,0)+4,"")-4))-4))</f>
        <v/>
      </c>
      <c r="H50" s="53">
        <f>IF(OR(IFERROR(MATCH(46,'List A'!$Q$5:$Q$204,0)+4,"")="",IF(IFERROR(MATCH(46,'List A'!$Q$5:$Q$204,0)+4,"")="","",INDEX('List A'!$K$5:$K$204,IFERROR(MATCH(46,'List A'!$Q$5:$Q$204,0)+4,"")-4))=""),"",INDEX('List B'!$D$5:$D$204,IF(IFERROR(MATCH(46,'List A'!$Q$5:$Q$204,0)+4,"")="","",INDEX('List A'!$K$5:$K$204,IFERROR(MATCH(46,'List A'!$Q$5:$Q$204,0)+4,"")-4))-4))</f>
        <v/>
      </c>
      <c r="I50" s="52">
        <f>IF(IFERROR(MATCH(46,'List A'!$Q$5:$Q$204,0)+4,"")="","",INDEX('List A'!$N$5:$N$204,IFERROR(MATCH(46,'List A'!$Q$5:$Q$204,0)+4,"")-4))</f>
        <v/>
      </c>
      <c r="J50" s="53">
        <f>IF(IFERROR(MATCH(46,'List A'!$Q$5:$Q$204,0)+4,"")="","",INDEX('List A'!$O$5:$O$204,IFERROR(MATCH(46,'List A'!$Q$5:$Q$204,0)+4,"")-4))</f>
        <v/>
      </c>
    </row>
    <row r="51" ht="17" customHeight="1">
      <c r="A51" s="87">
        <f>IF(IFERROR(MATCH(47,'List A'!$Q$5:$Q$204,0)+4,"")="","",INDEX('List A'!$A$5:$A$204,IFERROR(MATCH(47,'List A'!$Q$5:$Q$204,0)+4,"")-4))</f>
        <v/>
      </c>
      <c r="B51" s="53">
        <f>IF(IFERROR(MATCH(47,'List A'!$Q$5:$Q$204,0)+4,"")="","",INDEX('List A'!$B$5:$B$204,IFERROR(MATCH(47,'List A'!$Q$5:$Q$204,0)+4,"")-4))</f>
        <v/>
      </c>
      <c r="C51" s="52">
        <f>IF(IFERROR(MATCH(47,'List A'!$Q$5:$Q$204,0)+4,"")="","",INDEX('List A'!$C$5:$C$204,IFERROR(MATCH(47,'List A'!$Q$5:$Q$204,0)+4,"")-4))</f>
        <v/>
      </c>
      <c r="D51" s="53">
        <f>IF(IFERROR(MATCH(47,'List A'!$Q$5:$Q$204,0)+4,"")="","",INDEX('List A'!$D$5:$D$204,IFERROR(MATCH(47,'List A'!$Q$5:$Q$204,0)+4,"")-4))</f>
        <v/>
      </c>
      <c r="E51" s="87">
        <f>IF(OR(IFERROR(MATCH(47,'List A'!$Q$5:$Q$204,0)+4,"")="",IF(IFERROR(MATCH(47,'List A'!$Q$5:$Q$204,0)+4,"")="","",INDEX('List A'!$K$5:$K$204,IFERROR(MATCH(47,'List A'!$Q$5:$Q$204,0)+4,"")-4))=""),"",INDEX('List B'!$A$5:$A$204,IF(IFERROR(MATCH(47,'List A'!$Q$5:$Q$204,0)+4,"")="","",INDEX('List A'!$K$5:$K$204,IFERROR(MATCH(47,'List A'!$Q$5:$Q$204,0)+4,"")-4))-4))</f>
        <v/>
      </c>
      <c r="F51" s="53">
        <f>IF(OR(IFERROR(MATCH(47,'List A'!$Q$5:$Q$204,0)+4,"")="",IF(IFERROR(MATCH(47,'List A'!$Q$5:$Q$204,0)+4,"")="","",INDEX('List A'!$K$5:$K$204,IFERROR(MATCH(47,'List A'!$Q$5:$Q$204,0)+4,"")-4))=""),"",INDEX('List B'!$B$5:$B$204,IF(IFERROR(MATCH(47,'List A'!$Q$5:$Q$204,0)+4,"")="","",INDEX('List A'!$K$5:$K$204,IFERROR(MATCH(47,'List A'!$Q$5:$Q$204,0)+4,"")-4))-4))</f>
        <v/>
      </c>
      <c r="G51" s="52">
        <f>IF(OR(IFERROR(MATCH(47,'List A'!$Q$5:$Q$204,0)+4,"")="",IF(IFERROR(MATCH(47,'List A'!$Q$5:$Q$204,0)+4,"")="","",INDEX('List A'!$K$5:$K$204,IFERROR(MATCH(47,'List A'!$Q$5:$Q$204,0)+4,"")-4))=""),"",INDEX('List B'!$C$5:$C$204,IF(IFERROR(MATCH(47,'List A'!$Q$5:$Q$204,0)+4,"")="","",INDEX('List A'!$K$5:$K$204,IFERROR(MATCH(47,'List A'!$Q$5:$Q$204,0)+4,"")-4))-4))</f>
        <v/>
      </c>
      <c r="H51" s="53">
        <f>IF(OR(IFERROR(MATCH(47,'List A'!$Q$5:$Q$204,0)+4,"")="",IF(IFERROR(MATCH(47,'List A'!$Q$5:$Q$204,0)+4,"")="","",INDEX('List A'!$K$5:$K$204,IFERROR(MATCH(47,'List A'!$Q$5:$Q$204,0)+4,"")-4))=""),"",INDEX('List B'!$D$5:$D$204,IF(IFERROR(MATCH(47,'List A'!$Q$5:$Q$204,0)+4,"")="","",INDEX('List A'!$K$5:$K$204,IFERROR(MATCH(47,'List A'!$Q$5:$Q$204,0)+4,"")-4))-4))</f>
        <v/>
      </c>
      <c r="I51" s="52">
        <f>IF(IFERROR(MATCH(47,'List A'!$Q$5:$Q$204,0)+4,"")="","",INDEX('List A'!$N$5:$N$204,IFERROR(MATCH(47,'List A'!$Q$5:$Q$204,0)+4,"")-4))</f>
        <v/>
      </c>
      <c r="J51" s="53">
        <f>IF(IFERROR(MATCH(47,'List A'!$Q$5:$Q$204,0)+4,"")="","",INDEX('List A'!$O$5:$O$204,IFERROR(MATCH(47,'List A'!$Q$5:$Q$204,0)+4,"")-4))</f>
        <v/>
      </c>
    </row>
    <row r="52" ht="17" customHeight="1">
      <c r="A52" s="87">
        <f>IF(IFERROR(MATCH(48,'List A'!$Q$5:$Q$204,0)+4,"")="","",INDEX('List A'!$A$5:$A$204,IFERROR(MATCH(48,'List A'!$Q$5:$Q$204,0)+4,"")-4))</f>
        <v/>
      </c>
      <c r="B52" s="53">
        <f>IF(IFERROR(MATCH(48,'List A'!$Q$5:$Q$204,0)+4,"")="","",INDEX('List A'!$B$5:$B$204,IFERROR(MATCH(48,'List A'!$Q$5:$Q$204,0)+4,"")-4))</f>
        <v/>
      </c>
      <c r="C52" s="52">
        <f>IF(IFERROR(MATCH(48,'List A'!$Q$5:$Q$204,0)+4,"")="","",INDEX('List A'!$C$5:$C$204,IFERROR(MATCH(48,'List A'!$Q$5:$Q$204,0)+4,"")-4))</f>
        <v/>
      </c>
      <c r="D52" s="53">
        <f>IF(IFERROR(MATCH(48,'List A'!$Q$5:$Q$204,0)+4,"")="","",INDEX('List A'!$D$5:$D$204,IFERROR(MATCH(48,'List A'!$Q$5:$Q$204,0)+4,"")-4))</f>
        <v/>
      </c>
      <c r="E52" s="87">
        <f>IF(OR(IFERROR(MATCH(48,'List A'!$Q$5:$Q$204,0)+4,"")="",IF(IFERROR(MATCH(48,'List A'!$Q$5:$Q$204,0)+4,"")="","",INDEX('List A'!$K$5:$K$204,IFERROR(MATCH(48,'List A'!$Q$5:$Q$204,0)+4,"")-4))=""),"",INDEX('List B'!$A$5:$A$204,IF(IFERROR(MATCH(48,'List A'!$Q$5:$Q$204,0)+4,"")="","",INDEX('List A'!$K$5:$K$204,IFERROR(MATCH(48,'List A'!$Q$5:$Q$204,0)+4,"")-4))-4))</f>
        <v/>
      </c>
      <c r="F52" s="53">
        <f>IF(OR(IFERROR(MATCH(48,'List A'!$Q$5:$Q$204,0)+4,"")="",IF(IFERROR(MATCH(48,'List A'!$Q$5:$Q$204,0)+4,"")="","",INDEX('List A'!$K$5:$K$204,IFERROR(MATCH(48,'List A'!$Q$5:$Q$204,0)+4,"")-4))=""),"",INDEX('List B'!$B$5:$B$204,IF(IFERROR(MATCH(48,'List A'!$Q$5:$Q$204,0)+4,"")="","",INDEX('List A'!$K$5:$K$204,IFERROR(MATCH(48,'List A'!$Q$5:$Q$204,0)+4,"")-4))-4))</f>
        <v/>
      </c>
      <c r="G52" s="52">
        <f>IF(OR(IFERROR(MATCH(48,'List A'!$Q$5:$Q$204,0)+4,"")="",IF(IFERROR(MATCH(48,'List A'!$Q$5:$Q$204,0)+4,"")="","",INDEX('List A'!$K$5:$K$204,IFERROR(MATCH(48,'List A'!$Q$5:$Q$204,0)+4,"")-4))=""),"",INDEX('List B'!$C$5:$C$204,IF(IFERROR(MATCH(48,'List A'!$Q$5:$Q$204,0)+4,"")="","",INDEX('List A'!$K$5:$K$204,IFERROR(MATCH(48,'List A'!$Q$5:$Q$204,0)+4,"")-4))-4))</f>
        <v/>
      </c>
      <c r="H52" s="53">
        <f>IF(OR(IFERROR(MATCH(48,'List A'!$Q$5:$Q$204,0)+4,"")="",IF(IFERROR(MATCH(48,'List A'!$Q$5:$Q$204,0)+4,"")="","",INDEX('List A'!$K$5:$K$204,IFERROR(MATCH(48,'List A'!$Q$5:$Q$204,0)+4,"")-4))=""),"",INDEX('List B'!$D$5:$D$204,IF(IFERROR(MATCH(48,'List A'!$Q$5:$Q$204,0)+4,"")="","",INDEX('List A'!$K$5:$K$204,IFERROR(MATCH(48,'List A'!$Q$5:$Q$204,0)+4,"")-4))-4))</f>
        <v/>
      </c>
      <c r="I52" s="52">
        <f>IF(IFERROR(MATCH(48,'List A'!$Q$5:$Q$204,0)+4,"")="","",INDEX('List A'!$N$5:$N$204,IFERROR(MATCH(48,'List A'!$Q$5:$Q$204,0)+4,"")-4))</f>
        <v/>
      </c>
      <c r="J52" s="53">
        <f>IF(IFERROR(MATCH(48,'List A'!$Q$5:$Q$204,0)+4,"")="","",INDEX('List A'!$O$5:$O$204,IFERROR(MATCH(48,'List A'!$Q$5:$Q$204,0)+4,"")-4))</f>
        <v/>
      </c>
    </row>
    <row r="53" ht="17" customHeight="1">
      <c r="A53" s="87">
        <f>IF(IFERROR(MATCH(49,'List A'!$Q$5:$Q$204,0)+4,"")="","",INDEX('List A'!$A$5:$A$204,IFERROR(MATCH(49,'List A'!$Q$5:$Q$204,0)+4,"")-4))</f>
        <v/>
      </c>
      <c r="B53" s="53">
        <f>IF(IFERROR(MATCH(49,'List A'!$Q$5:$Q$204,0)+4,"")="","",INDEX('List A'!$B$5:$B$204,IFERROR(MATCH(49,'List A'!$Q$5:$Q$204,0)+4,"")-4))</f>
        <v/>
      </c>
      <c r="C53" s="52">
        <f>IF(IFERROR(MATCH(49,'List A'!$Q$5:$Q$204,0)+4,"")="","",INDEX('List A'!$C$5:$C$204,IFERROR(MATCH(49,'List A'!$Q$5:$Q$204,0)+4,"")-4))</f>
        <v/>
      </c>
      <c r="D53" s="53">
        <f>IF(IFERROR(MATCH(49,'List A'!$Q$5:$Q$204,0)+4,"")="","",INDEX('List A'!$D$5:$D$204,IFERROR(MATCH(49,'List A'!$Q$5:$Q$204,0)+4,"")-4))</f>
        <v/>
      </c>
      <c r="E53" s="87">
        <f>IF(OR(IFERROR(MATCH(49,'List A'!$Q$5:$Q$204,0)+4,"")="",IF(IFERROR(MATCH(49,'List A'!$Q$5:$Q$204,0)+4,"")="","",INDEX('List A'!$K$5:$K$204,IFERROR(MATCH(49,'List A'!$Q$5:$Q$204,0)+4,"")-4))=""),"",INDEX('List B'!$A$5:$A$204,IF(IFERROR(MATCH(49,'List A'!$Q$5:$Q$204,0)+4,"")="","",INDEX('List A'!$K$5:$K$204,IFERROR(MATCH(49,'List A'!$Q$5:$Q$204,0)+4,"")-4))-4))</f>
        <v/>
      </c>
      <c r="F53" s="53">
        <f>IF(OR(IFERROR(MATCH(49,'List A'!$Q$5:$Q$204,0)+4,"")="",IF(IFERROR(MATCH(49,'List A'!$Q$5:$Q$204,0)+4,"")="","",INDEX('List A'!$K$5:$K$204,IFERROR(MATCH(49,'List A'!$Q$5:$Q$204,0)+4,"")-4))=""),"",INDEX('List B'!$B$5:$B$204,IF(IFERROR(MATCH(49,'List A'!$Q$5:$Q$204,0)+4,"")="","",INDEX('List A'!$K$5:$K$204,IFERROR(MATCH(49,'List A'!$Q$5:$Q$204,0)+4,"")-4))-4))</f>
        <v/>
      </c>
      <c r="G53" s="52">
        <f>IF(OR(IFERROR(MATCH(49,'List A'!$Q$5:$Q$204,0)+4,"")="",IF(IFERROR(MATCH(49,'List A'!$Q$5:$Q$204,0)+4,"")="","",INDEX('List A'!$K$5:$K$204,IFERROR(MATCH(49,'List A'!$Q$5:$Q$204,0)+4,"")-4))=""),"",INDEX('List B'!$C$5:$C$204,IF(IFERROR(MATCH(49,'List A'!$Q$5:$Q$204,0)+4,"")="","",INDEX('List A'!$K$5:$K$204,IFERROR(MATCH(49,'List A'!$Q$5:$Q$204,0)+4,"")-4))-4))</f>
        <v/>
      </c>
      <c r="H53" s="53">
        <f>IF(OR(IFERROR(MATCH(49,'List A'!$Q$5:$Q$204,0)+4,"")="",IF(IFERROR(MATCH(49,'List A'!$Q$5:$Q$204,0)+4,"")="","",INDEX('List A'!$K$5:$K$204,IFERROR(MATCH(49,'List A'!$Q$5:$Q$204,0)+4,"")-4))=""),"",INDEX('List B'!$D$5:$D$204,IF(IFERROR(MATCH(49,'List A'!$Q$5:$Q$204,0)+4,"")="","",INDEX('List A'!$K$5:$K$204,IFERROR(MATCH(49,'List A'!$Q$5:$Q$204,0)+4,"")-4))-4))</f>
        <v/>
      </c>
      <c r="I53" s="52">
        <f>IF(IFERROR(MATCH(49,'List A'!$Q$5:$Q$204,0)+4,"")="","",INDEX('List A'!$N$5:$N$204,IFERROR(MATCH(49,'List A'!$Q$5:$Q$204,0)+4,"")-4))</f>
        <v/>
      </c>
      <c r="J53" s="53">
        <f>IF(IFERROR(MATCH(49,'List A'!$Q$5:$Q$204,0)+4,"")="","",INDEX('List A'!$O$5:$O$204,IFERROR(MATCH(49,'List A'!$Q$5:$Q$204,0)+4,"")-4))</f>
        <v/>
      </c>
    </row>
    <row r="54" ht="17" customHeight="1">
      <c r="A54" s="87">
        <f>IF(IFERROR(MATCH(50,'List A'!$Q$5:$Q$204,0)+4,"")="","",INDEX('List A'!$A$5:$A$204,IFERROR(MATCH(50,'List A'!$Q$5:$Q$204,0)+4,"")-4))</f>
        <v/>
      </c>
      <c r="B54" s="53">
        <f>IF(IFERROR(MATCH(50,'List A'!$Q$5:$Q$204,0)+4,"")="","",INDEX('List A'!$B$5:$B$204,IFERROR(MATCH(50,'List A'!$Q$5:$Q$204,0)+4,"")-4))</f>
        <v/>
      </c>
      <c r="C54" s="52">
        <f>IF(IFERROR(MATCH(50,'List A'!$Q$5:$Q$204,0)+4,"")="","",INDEX('List A'!$C$5:$C$204,IFERROR(MATCH(50,'List A'!$Q$5:$Q$204,0)+4,"")-4))</f>
        <v/>
      </c>
      <c r="D54" s="53">
        <f>IF(IFERROR(MATCH(50,'List A'!$Q$5:$Q$204,0)+4,"")="","",INDEX('List A'!$D$5:$D$204,IFERROR(MATCH(50,'List A'!$Q$5:$Q$204,0)+4,"")-4))</f>
        <v/>
      </c>
      <c r="E54" s="87">
        <f>IF(OR(IFERROR(MATCH(50,'List A'!$Q$5:$Q$204,0)+4,"")="",IF(IFERROR(MATCH(50,'List A'!$Q$5:$Q$204,0)+4,"")="","",INDEX('List A'!$K$5:$K$204,IFERROR(MATCH(50,'List A'!$Q$5:$Q$204,0)+4,"")-4))=""),"",INDEX('List B'!$A$5:$A$204,IF(IFERROR(MATCH(50,'List A'!$Q$5:$Q$204,0)+4,"")="","",INDEX('List A'!$K$5:$K$204,IFERROR(MATCH(50,'List A'!$Q$5:$Q$204,0)+4,"")-4))-4))</f>
        <v/>
      </c>
      <c r="F54" s="53">
        <f>IF(OR(IFERROR(MATCH(50,'List A'!$Q$5:$Q$204,0)+4,"")="",IF(IFERROR(MATCH(50,'List A'!$Q$5:$Q$204,0)+4,"")="","",INDEX('List A'!$K$5:$K$204,IFERROR(MATCH(50,'List A'!$Q$5:$Q$204,0)+4,"")-4))=""),"",INDEX('List B'!$B$5:$B$204,IF(IFERROR(MATCH(50,'List A'!$Q$5:$Q$204,0)+4,"")="","",INDEX('List A'!$K$5:$K$204,IFERROR(MATCH(50,'List A'!$Q$5:$Q$204,0)+4,"")-4))-4))</f>
        <v/>
      </c>
      <c r="G54" s="52">
        <f>IF(OR(IFERROR(MATCH(50,'List A'!$Q$5:$Q$204,0)+4,"")="",IF(IFERROR(MATCH(50,'List A'!$Q$5:$Q$204,0)+4,"")="","",INDEX('List A'!$K$5:$K$204,IFERROR(MATCH(50,'List A'!$Q$5:$Q$204,0)+4,"")-4))=""),"",INDEX('List B'!$C$5:$C$204,IF(IFERROR(MATCH(50,'List A'!$Q$5:$Q$204,0)+4,"")="","",INDEX('List A'!$K$5:$K$204,IFERROR(MATCH(50,'List A'!$Q$5:$Q$204,0)+4,"")-4))-4))</f>
        <v/>
      </c>
      <c r="H54" s="53">
        <f>IF(OR(IFERROR(MATCH(50,'List A'!$Q$5:$Q$204,0)+4,"")="",IF(IFERROR(MATCH(50,'List A'!$Q$5:$Q$204,0)+4,"")="","",INDEX('List A'!$K$5:$K$204,IFERROR(MATCH(50,'List A'!$Q$5:$Q$204,0)+4,"")-4))=""),"",INDEX('List B'!$D$5:$D$204,IF(IFERROR(MATCH(50,'List A'!$Q$5:$Q$204,0)+4,"")="","",INDEX('List A'!$K$5:$K$204,IFERROR(MATCH(50,'List A'!$Q$5:$Q$204,0)+4,"")-4))-4))</f>
        <v/>
      </c>
      <c r="I54" s="52">
        <f>IF(IFERROR(MATCH(50,'List A'!$Q$5:$Q$204,0)+4,"")="","",INDEX('List A'!$N$5:$N$204,IFERROR(MATCH(50,'List A'!$Q$5:$Q$204,0)+4,"")-4))</f>
        <v/>
      </c>
      <c r="J54" s="53">
        <f>IF(IFERROR(MATCH(50,'List A'!$Q$5:$Q$204,0)+4,"")="","",INDEX('List A'!$O$5:$O$204,IFERROR(MATCH(50,'List A'!$Q$5:$Q$204,0)+4,"")-4))</f>
        <v/>
      </c>
    </row>
    <row r="55" ht="17" customHeight="1">
      <c r="A55" s="87">
        <f>IF(IFERROR(MATCH(51,'List A'!$Q$5:$Q$204,0)+4,"")="","",INDEX('List A'!$A$5:$A$204,IFERROR(MATCH(51,'List A'!$Q$5:$Q$204,0)+4,"")-4))</f>
        <v/>
      </c>
      <c r="B55" s="53">
        <f>IF(IFERROR(MATCH(51,'List A'!$Q$5:$Q$204,0)+4,"")="","",INDEX('List A'!$B$5:$B$204,IFERROR(MATCH(51,'List A'!$Q$5:$Q$204,0)+4,"")-4))</f>
        <v/>
      </c>
      <c r="C55" s="52">
        <f>IF(IFERROR(MATCH(51,'List A'!$Q$5:$Q$204,0)+4,"")="","",INDEX('List A'!$C$5:$C$204,IFERROR(MATCH(51,'List A'!$Q$5:$Q$204,0)+4,"")-4))</f>
        <v/>
      </c>
      <c r="D55" s="53">
        <f>IF(IFERROR(MATCH(51,'List A'!$Q$5:$Q$204,0)+4,"")="","",INDEX('List A'!$D$5:$D$204,IFERROR(MATCH(51,'List A'!$Q$5:$Q$204,0)+4,"")-4))</f>
        <v/>
      </c>
      <c r="E55" s="87">
        <f>IF(OR(IFERROR(MATCH(51,'List A'!$Q$5:$Q$204,0)+4,"")="",IF(IFERROR(MATCH(51,'List A'!$Q$5:$Q$204,0)+4,"")="","",INDEX('List A'!$K$5:$K$204,IFERROR(MATCH(51,'List A'!$Q$5:$Q$204,0)+4,"")-4))=""),"",INDEX('List B'!$A$5:$A$204,IF(IFERROR(MATCH(51,'List A'!$Q$5:$Q$204,0)+4,"")="","",INDEX('List A'!$K$5:$K$204,IFERROR(MATCH(51,'List A'!$Q$5:$Q$204,0)+4,"")-4))-4))</f>
        <v/>
      </c>
      <c r="F55" s="53">
        <f>IF(OR(IFERROR(MATCH(51,'List A'!$Q$5:$Q$204,0)+4,"")="",IF(IFERROR(MATCH(51,'List A'!$Q$5:$Q$204,0)+4,"")="","",INDEX('List A'!$K$5:$K$204,IFERROR(MATCH(51,'List A'!$Q$5:$Q$204,0)+4,"")-4))=""),"",INDEX('List B'!$B$5:$B$204,IF(IFERROR(MATCH(51,'List A'!$Q$5:$Q$204,0)+4,"")="","",INDEX('List A'!$K$5:$K$204,IFERROR(MATCH(51,'List A'!$Q$5:$Q$204,0)+4,"")-4))-4))</f>
        <v/>
      </c>
      <c r="G55" s="52">
        <f>IF(OR(IFERROR(MATCH(51,'List A'!$Q$5:$Q$204,0)+4,"")="",IF(IFERROR(MATCH(51,'List A'!$Q$5:$Q$204,0)+4,"")="","",INDEX('List A'!$K$5:$K$204,IFERROR(MATCH(51,'List A'!$Q$5:$Q$204,0)+4,"")-4))=""),"",INDEX('List B'!$C$5:$C$204,IF(IFERROR(MATCH(51,'List A'!$Q$5:$Q$204,0)+4,"")="","",INDEX('List A'!$K$5:$K$204,IFERROR(MATCH(51,'List A'!$Q$5:$Q$204,0)+4,"")-4))-4))</f>
        <v/>
      </c>
      <c r="H55" s="53">
        <f>IF(OR(IFERROR(MATCH(51,'List A'!$Q$5:$Q$204,0)+4,"")="",IF(IFERROR(MATCH(51,'List A'!$Q$5:$Q$204,0)+4,"")="","",INDEX('List A'!$K$5:$K$204,IFERROR(MATCH(51,'List A'!$Q$5:$Q$204,0)+4,"")-4))=""),"",INDEX('List B'!$D$5:$D$204,IF(IFERROR(MATCH(51,'List A'!$Q$5:$Q$204,0)+4,"")="","",INDEX('List A'!$K$5:$K$204,IFERROR(MATCH(51,'List A'!$Q$5:$Q$204,0)+4,"")-4))-4))</f>
        <v/>
      </c>
      <c r="I55" s="52">
        <f>IF(IFERROR(MATCH(51,'List A'!$Q$5:$Q$204,0)+4,"")="","",INDEX('List A'!$N$5:$N$204,IFERROR(MATCH(51,'List A'!$Q$5:$Q$204,0)+4,"")-4))</f>
        <v/>
      </c>
      <c r="J55" s="53">
        <f>IF(IFERROR(MATCH(51,'List A'!$Q$5:$Q$204,0)+4,"")="","",INDEX('List A'!$O$5:$O$204,IFERROR(MATCH(51,'List A'!$Q$5:$Q$204,0)+4,"")-4))</f>
        <v/>
      </c>
    </row>
    <row r="56" ht="17" customHeight="1">
      <c r="A56" s="87">
        <f>IF(IFERROR(MATCH(52,'List A'!$Q$5:$Q$204,0)+4,"")="","",INDEX('List A'!$A$5:$A$204,IFERROR(MATCH(52,'List A'!$Q$5:$Q$204,0)+4,"")-4))</f>
        <v/>
      </c>
      <c r="B56" s="53">
        <f>IF(IFERROR(MATCH(52,'List A'!$Q$5:$Q$204,0)+4,"")="","",INDEX('List A'!$B$5:$B$204,IFERROR(MATCH(52,'List A'!$Q$5:$Q$204,0)+4,"")-4))</f>
        <v/>
      </c>
      <c r="C56" s="52">
        <f>IF(IFERROR(MATCH(52,'List A'!$Q$5:$Q$204,0)+4,"")="","",INDEX('List A'!$C$5:$C$204,IFERROR(MATCH(52,'List A'!$Q$5:$Q$204,0)+4,"")-4))</f>
        <v/>
      </c>
      <c r="D56" s="53">
        <f>IF(IFERROR(MATCH(52,'List A'!$Q$5:$Q$204,0)+4,"")="","",INDEX('List A'!$D$5:$D$204,IFERROR(MATCH(52,'List A'!$Q$5:$Q$204,0)+4,"")-4))</f>
        <v/>
      </c>
      <c r="E56" s="87">
        <f>IF(OR(IFERROR(MATCH(52,'List A'!$Q$5:$Q$204,0)+4,"")="",IF(IFERROR(MATCH(52,'List A'!$Q$5:$Q$204,0)+4,"")="","",INDEX('List A'!$K$5:$K$204,IFERROR(MATCH(52,'List A'!$Q$5:$Q$204,0)+4,"")-4))=""),"",INDEX('List B'!$A$5:$A$204,IF(IFERROR(MATCH(52,'List A'!$Q$5:$Q$204,0)+4,"")="","",INDEX('List A'!$K$5:$K$204,IFERROR(MATCH(52,'List A'!$Q$5:$Q$204,0)+4,"")-4))-4))</f>
        <v/>
      </c>
      <c r="F56" s="53">
        <f>IF(OR(IFERROR(MATCH(52,'List A'!$Q$5:$Q$204,0)+4,"")="",IF(IFERROR(MATCH(52,'List A'!$Q$5:$Q$204,0)+4,"")="","",INDEX('List A'!$K$5:$K$204,IFERROR(MATCH(52,'List A'!$Q$5:$Q$204,0)+4,"")-4))=""),"",INDEX('List B'!$B$5:$B$204,IF(IFERROR(MATCH(52,'List A'!$Q$5:$Q$204,0)+4,"")="","",INDEX('List A'!$K$5:$K$204,IFERROR(MATCH(52,'List A'!$Q$5:$Q$204,0)+4,"")-4))-4))</f>
        <v/>
      </c>
      <c r="G56" s="52">
        <f>IF(OR(IFERROR(MATCH(52,'List A'!$Q$5:$Q$204,0)+4,"")="",IF(IFERROR(MATCH(52,'List A'!$Q$5:$Q$204,0)+4,"")="","",INDEX('List A'!$K$5:$K$204,IFERROR(MATCH(52,'List A'!$Q$5:$Q$204,0)+4,"")-4))=""),"",INDEX('List B'!$C$5:$C$204,IF(IFERROR(MATCH(52,'List A'!$Q$5:$Q$204,0)+4,"")="","",INDEX('List A'!$K$5:$K$204,IFERROR(MATCH(52,'List A'!$Q$5:$Q$204,0)+4,"")-4))-4))</f>
        <v/>
      </c>
      <c r="H56" s="53">
        <f>IF(OR(IFERROR(MATCH(52,'List A'!$Q$5:$Q$204,0)+4,"")="",IF(IFERROR(MATCH(52,'List A'!$Q$5:$Q$204,0)+4,"")="","",INDEX('List A'!$K$5:$K$204,IFERROR(MATCH(52,'List A'!$Q$5:$Q$204,0)+4,"")-4))=""),"",INDEX('List B'!$D$5:$D$204,IF(IFERROR(MATCH(52,'List A'!$Q$5:$Q$204,0)+4,"")="","",INDEX('List A'!$K$5:$K$204,IFERROR(MATCH(52,'List A'!$Q$5:$Q$204,0)+4,"")-4))-4))</f>
        <v/>
      </c>
      <c r="I56" s="52">
        <f>IF(IFERROR(MATCH(52,'List A'!$Q$5:$Q$204,0)+4,"")="","",INDEX('List A'!$N$5:$N$204,IFERROR(MATCH(52,'List A'!$Q$5:$Q$204,0)+4,"")-4))</f>
        <v/>
      </c>
      <c r="J56" s="53">
        <f>IF(IFERROR(MATCH(52,'List A'!$Q$5:$Q$204,0)+4,"")="","",INDEX('List A'!$O$5:$O$204,IFERROR(MATCH(52,'List A'!$Q$5:$Q$204,0)+4,"")-4))</f>
        <v/>
      </c>
    </row>
    <row r="57" ht="17" customHeight="1">
      <c r="A57" s="87">
        <f>IF(IFERROR(MATCH(53,'List A'!$Q$5:$Q$204,0)+4,"")="","",INDEX('List A'!$A$5:$A$204,IFERROR(MATCH(53,'List A'!$Q$5:$Q$204,0)+4,"")-4))</f>
        <v/>
      </c>
      <c r="B57" s="53">
        <f>IF(IFERROR(MATCH(53,'List A'!$Q$5:$Q$204,0)+4,"")="","",INDEX('List A'!$B$5:$B$204,IFERROR(MATCH(53,'List A'!$Q$5:$Q$204,0)+4,"")-4))</f>
        <v/>
      </c>
      <c r="C57" s="52">
        <f>IF(IFERROR(MATCH(53,'List A'!$Q$5:$Q$204,0)+4,"")="","",INDEX('List A'!$C$5:$C$204,IFERROR(MATCH(53,'List A'!$Q$5:$Q$204,0)+4,"")-4))</f>
        <v/>
      </c>
      <c r="D57" s="53">
        <f>IF(IFERROR(MATCH(53,'List A'!$Q$5:$Q$204,0)+4,"")="","",INDEX('List A'!$D$5:$D$204,IFERROR(MATCH(53,'List A'!$Q$5:$Q$204,0)+4,"")-4))</f>
        <v/>
      </c>
      <c r="E57" s="87">
        <f>IF(OR(IFERROR(MATCH(53,'List A'!$Q$5:$Q$204,0)+4,"")="",IF(IFERROR(MATCH(53,'List A'!$Q$5:$Q$204,0)+4,"")="","",INDEX('List A'!$K$5:$K$204,IFERROR(MATCH(53,'List A'!$Q$5:$Q$204,0)+4,"")-4))=""),"",INDEX('List B'!$A$5:$A$204,IF(IFERROR(MATCH(53,'List A'!$Q$5:$Q$204,0)+4,"")="","",INDEX('List A'!$K$5:$K$204,IFERROR(MATCH(53,'List A'!$Q$5:$Q$204,0)+4,"")-4))-4))</f>
        <v/>
      </c>
      <c r="F57" s="53">
        <f>IF(OR(IFERROR(MATCH(53,'List A'!$Q$5:$Q$204,0)+4,"")="",IF(IFERROR(MATCH(53,'List A'!$Q$5:$Q$204,0)+4,"")="","",INDEX('List A'!$K$5:$K$204,IFERROR(MATCH(53,'List A'!$Q$5:$Q$204,0)+4,"")-4))=""),"",INDEX('List B'!$B$5:$B$204,IF(IFERROR(MATCH(53,'List A'!$Q$5:$Q$204,0)+4,"")="","",INDEX('List A'!$K$5:$K$204,IFERROR(MATCH(53,'List A'!$Q$5:$Q$204,0)+4,"")-4))-4))</f>
        <v/>
      </c>
      <c r="G57" s="52">
        <f>IF(OR(IFERROR(MATCH(53,'List A'!$Q$5:$Q$204,0)+4,"")="",IF(IFERROR(MATCH(53,'List A'!$Q$5:$Q$204,0)+4,"")="","",INDEX('List A'!$K$5:$K$204,IFERROR(MATCH(53,'List A'!$Q$5:$Q$204,0)+4,"")-4))=""),"",INDEX('List B'!$C$5:$C$204,IF(IFERROR(MATCH(53,'List A'!$Q$5:$Q$204,0)+4,"")="","",INDEX('List A'!$K$5:$K$204,IFERROR(MATCH(53,'List A'!$Q$5:$Q$204,0)+4,"")-4))-4))</f>
        <v/>
      </c>
      <c r="H57" s="53">
        <f>IF(OR(IFERROR(MATCH(53,'List A'!$Q$5:$Q$204,0)+4,"")="",IF(IFERROR(MATCH(53,'List A'!$Q$5:$Q$204,0)+4,"")="","",INDEX('List A'!$K$5:$K$204,IFERROR(MATCH(53,'List A'!$Q$5:$Q$204,0)+4,"")-4))=""),"",INDEX('List B'!$D$5:$D$204,IF(IFERROR(MATCH(53,'List A'!$Q$5:$Q$204,0)+4,"")="","",INDEX('List A'!$K$5:$K$204,IFERROR(MATCH(53,'List A'!$Q$5:$Q$204,0)+4,"")-4))-4))</f>
        <v/>
      </c>
      <c r="I57" s="52">
        <f>IF(IFERROR(MATCH(53,'List A'!$Q$5:$Q$204,0)+4,"")="","",INDEX('List A'!$N$5:$N$204,IFERROR(MATCH(53,'List A'!$Q$5:$Q$204,0)+4,"")-4))</f>
        <v/>
      </c>
      <c r="J57" s="53">
        <f>IF(IFERROR(MATCH(53,'List A'!$Q$5:$Q$204,0)+4,"")="","",INDEX('List A'!$O$5:$O$204,IFERROR(MATCH(53,'List A'!$Q$5:$Q$204,0)+4,"")-4))</f>
        <v/>
      </c>
    </row>
    <row r="58" ht="17" customHeight="1">
      <c r="A58" s="87">
        <f>IF(IFERROR(MATCH(54,'List A'!$Q$5:$Q$204,0)+4,"")="","",INDEX('List A'!$A$5:$A$204,IFERROR(MATCH(54,'List A'!$Q$5:$Q$204,0)+4,"")-4))</f>
        <v/>
      </c>
      <c r="B58" s="53">
        <f>IF(IFERROR(MATCH(54,'List A'!$Q$5:$Q$204,0)+4,"")="","",INDEX('List A'!$B$5:$B$204,IFERROR(MATCH(54,'List A'!$Q$5:$Q$204,0)+4,"")-4))</f>
        <v/>
      </c>
      <c r="C58" s="52">
        <f>IF(IFERROR(MATCH(54,'List A'!$Q$5:$Q$204,0)+4,"")="","",INDEX('List A'!$C$5:$C$204,IFERROR(MATCH(54,'List A'!$Q$5:$Q$204,0)+4,"")-4))</f>
        <v/>
      </c>
      <c r="D58" s="53">
        <f>IF(IFERROR(MATCH(54,'List A'!$Q$5:$Q$204,0)+4,"")="","",INDEX('List A'!$D$5:$D$204,IFERROR(MATCH(54,'List A'!$Q$5:$Q$204,0)+4,"")-4))</f>
        <v/>
      </c>
      <c r="E58" s="87">
        <f>IF(OR(IFERROR(MATCH(54,'List A'!$Q$5:$Q$204,0)+4,"")="",IF(IFERROR(MATCH(54,'List A'!$Q$5:$Q$204,0)+4,"")="","",INDEX('List A'!$K$5:$K$204,IFERROR(MATCH(54,'List A'!$Q$5:$Q$204,0)+4,"")-4))=""),"",INDEX('List B'!$A$5:$A$204,IF(IFERROR(MATCH(54,'List A'!$Q$5:$Q$204,0)+4,"")="","",INDEX('List A'!$K$5:$K$204,IFERROR(MATCH(54,'List A'!$Q$5:$Q$204,0)+4,"")-4))-4))</f>
        <v/>
      </c>
      <c r="F58" s="53">
        <f>IF(OR(IFERROR(MATCH(54,'List A'!$Q$5:$Q$204,0)+4,"")="",IF(IFERROR(MATCH(54,'List A'!$Q$5:$Q$204,0)+4,"")="","",INDEX('List A'!$K$5:$K$204,IFERROR(MATCH(54,'List A'!$Q$5:$Q$204,0)+4,"")-4))=""),"",INDEX('List B'!$B$5:$B$204,IF(IFERROR(MATCH(54,'List A'!$Q$5:$Q$204,0)+4,"")="","",INDEX('List A'!$K$5:$K$204,IFERROR(MATCH(54,'List A'!$Q$5:$Q$204,0)+4,"")-4))-4))</f>
        <v/>
      </c>
      <c r="G58" s="52">
        <f>IF(OR(IFERROR(MATCH(54,'List A'!$Q$5:$Q$204,0)+4,"")="",IF(IFERROR(MATCH(54,'List A'!$Q$5:$Q$204,0)+4,"")="","",INDEX('List A'!$K$5:$K$204,IFERROR(MATCH(54,'List A'!$Q$5:$Q$204,0)+4,"")-4))=""),"",INDEX('List B'!$C$5:$C$204,IF(IFERROR(MATCH(54,'List A'!$Q$5:$Q$204,0)+4,"")="","",INDEX('List A'!$K$5:$K$204,IFERROR(MATCH(54,'List A'!$Q$5:$Q$204,0)+4,"")-4))-4))</f>
        <v/>
      </c>
      <c r="H58" s="53">
        <f>IF(OR(IFERROR(MATCH(54,'List A'!$Q$5:$Q$204,0)+4,"")="",IF(IFERROR(MATCH(54,'List A'!$Q$5:$Q$204,0)+4,"")="","",INDEX('List A'!$K$5:$K$204,IFERROR(MATCH(54,'List A'!$Q$5:$Q$204,0)+4,"")-4))=""),"",INDEX('List B'!$D$5:$D$204,IF(IFERROR(MATCH(54,'List A'!$Q$5:$Q$204,0)+4,"")="","",INDEX('List A'!$K$5:$K$204,IFERROR(MATCH(54,'List A'!$Q$5:$Q$204,0)+4,"")-4))-4))</f>
        <v/>
      </c>
      <c r="I58" s="52">
        <f>IF(IFERROR(MATCH(54,'List A'!$Q$5:$Q$204,0)+4,"")="","",INDEX('List A'!$N$5:$N$204,IFERROR(MATCH(54,'List A'!$Q$5:$Q$204,0)+4,"")-4))</f>
        <v/>
      </c>
      <c r="J58" s="53">
        <f>IF(IFERROR(MATCH(54,'List A'!$Q$5:$Q$204,0)+4,"")="","",INDEX('List A'!$O$5:$O$204,IFERROR(MATCH(54,'List A'!$Q$5:$Q$204,0)+4,"")-4))</f>
        <v/>
      </c>
    </row>
    <row r="59" ht="17" customHeight="1">
      <c r="A59" s="87">
        <f>IF(IFERROR(MATCH(55,'List A'!$Q$5:$Q$204,0)+4,"")="","",INDEX('List A'!$A$5:$A$204,IFERROR(MATCH(55,'List A'!$Q$5:$Q$204,0)+4,"")-4))</f>
        <v/>
      </c>
      <c r="B59" s="53">
        <f>IF(IFERROR(MATCH(55,'List A'!$Q$5:$Q$204,0)+4,"")="","",INDEX('List A'!$B$5:$B$204,IFERROR(MATCH(55,'List A'!$Q$5:$Q$204,0)+4,"")-4))</f>
        <v/>
      </c>
      <c r="C59" s="52">
        <f>IF(IFERROR(MATCH(55,'List A'!$Q$5:$Q$204,0)+4,"")="","",INDEX('List A'!$C$5:$C$204,IFERROR(MATCH(55,'List A'!$Q$5:$Q$204,0)+4,"")-4))</f>
        <v/>
      </c>
      <c r="D59" s="53">
        <f>IF(IFERROR(MATCH(55,'List A'!$Q$5:$Q$204,0)+4,"")="","",INDEX('List A'!$D$5:$D$204,IFERROR(MATCH(55,'List A'!$Q$5:$Q$204,0)+4,"")-4))</f>
        <v/>
      </c>
      <c r="E59" s="87">
        <f>IF(OR(IFERROR(MATCH(55,'List A'!$Q$5:$Q$204,0)+4,"")="",IF(IFERROR(MATCH(55,'List A'!$Q$5:$Q$204,0)+4,"")="","",INDEX('List A'!$K$5:$K$204,IFERROR(MATCH(55,'List A'!$Q$5:$Q$204,0)+4,"")-4))=""),"",INDEX('List B'!$A$5:$A$204,IF(IFERROR(MATCH(55,'List A'!$Q$5:$Q$204,0)+4,"")="","",INDEX('List A'!$K$5:$K$204,IFERROR(MATCH(55,'List A'!$Q$5:$Q$204,0)+4,"")-4))-4))</f>
        <v/>
      </c>
      <c r="F59" s="53">
        <f>IF(OR(IFERROR(MATCH(55,'List A'!$Q$5:$Q$204,0)+4,"")="",IF(IFERROR(MATCH(55,'List A'!$Q$5:$Q$204,0)+4,"")="","",INDEX('List A'!$K$5:$K$204,IFERROR(MATCH(55,'List A'!$Q$5:$Q$204,0)+4,"")-4))=""),"",INDEX('List B'!$B$5:$B$204,IF(IFERROR(MATCH(55,'List A'!$Q$5:$Q$204,0)+4,"")="","",INDEX('List A'!$K$5:$K$204,IFERROR(MATCH(55,'List A'!$Q$5:$Q$204,0)+4,"")-4))-4))</f>
        <v/>
      </c>
      <c r="G59" s="52">
        <f>IF(OR(IFERROR(MATCH(55,'List A'!$Q$5:$Q$204,0)+4,"")="",IF(IFERROR(MATCH(55,'List A'!$Q$5:$Q$204,0)+4,"")="","",INDEX('List A'!$K$5:$K$204,IFERROR(MATCH(55,'List A'!$Q$5:$Q$204,0)+4,"")-4))=""),"",INDEX('List B'!$C$5:$C$204,IF(IFERROR(MATCH(55,'List A'!$Q$5:$Q$204,0)+4,"")="","",INDEX('List A'!$K$5:$K$204,IFERROR(MATCH(55,'List A'!$Q$5:$Q$204,0)+4,"")-4))-4))</f>
        <v/>
      </c>
      <c r="H59" s="53">
        <f>IF(OR(IFERROR(MATCH(55,'List A'!$Q$5:$Q$204,0)+4,"")="",IF(IFERROR(MATCH(55,'List A'!$Q$5:$Q$204,0)+4,"")="","",INDEX('List A'!$K$5:$K$204,IFERROR(MATCH(55,'List A'!$Q$5:$Q$204,0)+4,"")-4))=""),"",INDEX('List B'!$D$5:$D$204,IF(IFERROR(MATCH(55,'List A'!$Q$5:$Q$204,0)+4,"")="","",INDEX('List A'!$K$5:$K$204,IFERROR(MATCH(55,'List A'!$Q$5:$Q$204,0)+4,"")-4))-4))</f>
        <v/>
      </c>
      <c r="I59" s="52">
        <f>IF(IFERROR(MATCH(55,'List A'!$Q$5:$Q$204,0)+4,"")="","",INDEX('List A'!$N$5:$N$204,IFERROR(MATCH(55,'List A'!$Q$5:$Q$204,0)+4,"")-4))</f>
        <v/>
      </c>
      <c r="J59" s="53">
        <f>IF(IFERROR(MATCH(55,'List A'!$Q$5:$Q$204,0)+4,"")="","",INDEX('List A'!$O$5:$O$204,IFERROR(MATCH(55,'List A'!$Q$5:$Q$204,0)+4,"")-4))</f>
        <v/>
      </c>
    </row>
    <row r="60" ht="17" customHeight="1">
      <c r="A60" s="87">
        <f>IF(IFERROR(MATCH(56,'List A'!$Q$5:$Q$204,0)+4,"")="","",INDEX('List A'!$A$5:$A$204,IFERROR(MATCH(56,'List A'!$Q$5:$Q$204,0)+4,"")-4))</f>
        <v/>
      </c>
      <c r="B60" s="53">
        <f>IF(IFERROR(MATCH(56,'List A'!$Q$5:$Q$204,0)+4,"")="","",INDEX('List A'!$B$5:$B$204,IFERROR(MATCH(56,'List A'!$Q$5:$Q$204,0)+4,"")-4))</f>
        <v/>
      </c>
      <c r="C60" s="52">
        <f>IF(IFERROR(MATCH(56,'List A'!$Q$5:$Q$204,0)+4,"")="","",INDEX('List A'!$C$5:$C$204,IFERROR(MATCH(56,'List A'!$Q$5:$Q$204,0)+4,"")-4))</f>
        <v/>
      </c>
      <c r="D60" s="53">
        <f>IF(IFERROR(MATCH(56,'List A'!$Q$5:$Q$204,0)+4,"")="","",INDEX('List A'!$D$5:$D$204,IFERROR(MATCH(56,'List A'!$Q$5:$Q$204,0)+4,"")-4))</f>
        <v/>
      </c>
      <c r="E60" s="87">
        <f>IF(OR(IFERROR(MATCH(56,'List A'!$Q$5:$Q$204,0)+4,"")="",IF(IFERROR(MATCH(56,'List A'!$Q$5:$Q$204,0)+4,"")="","",INDEX('List A'!$K$5:$K$204,IFERROR(MATCH(56,'List A'!$Q$5:$Q$204,0)+4,"")-4))=""),"",INDEX('List B'!$A$5:$A$204,IF(IFERROR(MATCH(56,'List A'!$Q$5:$Q$204,0)+4,"")="","",INDEX('List A'!$K$5:$K$204,IFERROR(MATCH(56,'List A'!$Q$5:$Q$204,0)+4,"")-4))-4))</f>
        <v/>
      </c>
      <c r="F60" s="53">
        <f>IF(OR(IFERROR(MATCH(56,'List A'!$Q$5:$Q$204,0)+4,"")="",IF(IFERROR(MATCH(56,'List A'!$Q$5:$Q$204,0)+4,"")="","",INDEX('List A'!$K$5:$K$204,IFERROR(MATCH(56,'List A'!$Q$5:$Q$204,0)+4,"")-4))=""),"",INDEX('List B'!$B$5:$B$204,IF(IFERROR(MATCH(56,'List A'!$Q$5:$Q$204,0)+4,"")="","",INDEX('List A'!$K$5:$K$204,IFERROR(MATCH(56,'List A'!$Q$5:$Q$204,0)+4,"")-4))-4))</f>
        <v/>
      </c>
      <c r="G60" s="52">
        <f>IF(OR(IFERROR(MATCH(56,'List A'!$Q$5:$Q$204,0)+4,"")="",IF(IFERROR(MATCH(56,'List A'!$Q$5:$Q$204,0)+4,"")="","",INDEX('List A'!$K$5:$K$204,IFERROR(MATCH(56,'List A'!$Q$5:$Q$204,0)+4,"")-4))=""),"",INDEX('List B'!$C$5:$C$204,IF(IFERROR(MATCH(56,'List A'!$Q$5:$Q$204,0)+4,"")="","",INDEX('List A'!$K$5:$K$204,IFERROR(MATCH(56,'List A'!$Q$5:$Q$204,0)+4,"")-4))-4))</f>
        <v/>
      </c>
      <c r="H60" s="53">
        <f>IF(OR(IFERROR(MATCH(56,'List A'!$Q$5:$Q$204,0)+4,"")="",IF(IFERROR(MATCH(56,'List A'!$Q$5:$Q$204,0)+4,"")="","",INDEX('List A'!$K$5:$K$204,IFERROR(MATCH(56,'List A'!$Q$5:$Q$204,0)+4,"")-4))=""),"",INDEX('List B'!$D$5:$D$204,IF(IFERROR(MATCH(56,'List A'!$Q$5:$Q$204,0)+4,"")="","",INDEX('List A'!$K$5:$K$204,IFERROR(MATCH(56,'List A'!$Q$5:$Q$204,0)+4,"")-4))-4))</f>
        <v/>
      </c>
      <c r="I60" s="52">
        <f>IF(IFERROR(MATCH(56,'List A'!$Q$5:$Q$204,0)+4,"")="","",INDEX('List A'!$N$5:$N$204,IFERROR(MATCH(56,'List A'!$Q$5:$Q$204,0)+4,"")-4))</f>
        <v/>
      </c>
      <c r="J60" s="53">
        <f>IF(IFERROR(MATCH(56,'List A'!$Q$5:$Q$204,0)+4,"")="","",INDEX('List A'!$O$5:$O$204,IFERROR(MATCH(56,'List A'!$Q$5:$Q$204,0)+4,"")-4))</f>
        <v/>
      </c>
    </row>
    <row r="61" ht="17" customHeight="1">
      <c r="A61" s="87">
        <f>IF(IFERROR(MATCH(57,'List A'!$Q$5:$Q$204,0)+4,"")="","",INDEX('List A'!$A$5:$A$204,IFERROR(MATCH(57,'List A'!$Q$5:$Q$204,0)+4,"")-4))</f>
        <v/>
      </c>
      <c r="B61" s="53">
        <f>IF(IFERROR(MATCH(57,'List A'!$Q$5:$Q$204,0)+4,"")="","",INDEX('List A'!$B$5:$B$204,IFERROR(MATCH(57,'List A'!$Q$5:$Q$204,0)+4,"")-4))</f>
        <v/>
      </c>
      <c r="C61" s="52">
        <f>IF(IFERROR(MATCH(57,'List A'!$Q$5:$Q$204,0)+4,"")="","",INDEX('List A'!$C$5:$C$204,IFERROR(MATCH(57,'List A'!$Q$5:$Q$204,0)+4,"")-4))</f>
        <v/>
      </c>
      <c r="D61" s="53">
        <f>IF(IFERROR(MATCH(57,'List A'!$Q$5:$Q$204,0)+4,"")="","",INDEX('List A'!$D$5:$D$204,IFERROR(MATCH(57,'List A'!$Q$5:$Q$204,0)+4,"")-4))</f>
        <v/>
      </c>
      <c r="E61" s="87">
        <f>IF(OR(IFERROR(MATCH(57,'List A'!$Q$5:$Q$204,0)+4,"")="",IF(IFERROR(MATCH(57,'List A'!$Q$5:$Q$204,0)+4,"")="","",INDEX('List A'!$K$5:$K$204,IFERROR(MATCH(57,'List A'!$Q$5:$Q$204,0)+4,"")-4))=""),"",INDEX('List B'!$A$5:$A$204,IF(IFERROR(MATCH(57,'List A'!$Q$5:$Q$204,0)+4,"")="","",INDEX('List A'!$K$5:$K$204,IFERROR(MATCH(57,'List A'!$Q$5:$Q$204,0)+4,"")-4))-4))</f>
        <v/>
      </c>
      <c r="F61" s="53">
        <f>IF(OR(IFERROR(MATCH(57,'List A'!$Q$5:$Q$204,0)+4,"")="",IF(IFERROR(MATCH(57,'List A'!$Q$5:$Q$204,0)+4,"")="","",INDEX('List A'!$K$5:$K$204,IFERROR(MATCH(57,'List A'!$Q$5:$Q$204,0)+4,"")-4))=""),"",INDEX('List B'!$B$5:$B$204,IF(IFERROR(MATCH(57,'List A'!$Q$5:$Q$204,0)+4,"")="","",INDEX('List A'!$K$5:$K$204,IFERROR(MATCH(57,'List A'!$Q$5:$Q$204,0)+4,"")-4))-4))</f>
        <v/>
      </c>
      <c r="G61" s="52">
        <f>IF(OR(IFERROR(MATCH(57,'List A'!$Q$5:$Q$204,0)+4,"")="",IF(IFERROR(MATCH(57,'List A'!$Q$5:$Q$204,0)+4,"")="","",INDEX('List A'!$K$5:$K$204,IFERROR(MATCH(57,'List A'!$Q$5:$Q$204,0)+4,"")-4))=""),"",INDEX('List B'!$C$5:$C$204,IF(IFERROR(MATCH(57,'List A'!$Q$5:$Q$204,0)+4,"")="","",INDEX('List A'!$K$5:$K$204,IFERROR(MATCH(57,'List A'!$Q$5:$Q$204,0)+4,"")-4))-4))</f>
        <v/>
      </c>
      <c r="H61" s="53">
        <f>IF(OR(IFERROR(MATCH(57,'List A'!$Q$5:$Q$204,0)+4,"")="",IF(IFERROR(MATCH(57,'List A'!$Q$5:$Q$204,0)+4,"")="","",INDEX('List A'!$K$5:$K$204,IFERROR(MATCH(57,'List A'!$Q$5:$Q$204,0)+4,"")-4))=""),"",INDEX('List B'!$D$5:$D$204,IF(IFERROR(MATCH(57,'List A'!$Q$5:$Q$204,0)+4,"")="","",INDEX('List A'!$K$5:$K$204,IFERROR(MATCH(57,'List A'!$Q$5:$Q$204,0)+4,"")-4))-4))</f>
        <v/>
      </c>
      <c r="I61" s="52">
        <f>IF(IFERROR(MATCH(57,'List A'!$Q$5:$Q$204,0)+4,"")="","",INDEX('List A'!$N$5:$N$204,IFERROR(MATCH(57,'List A'!$Q$5:$Q$204,0)+4,"")-4))</f>
        <v/>
      </c>
      <c r="J61" s="53">
        <f>IF(IFERROR(MATCH(57,'List A'!$Q$5:$Q$204,0)+4,"")="","",INDEX('List A'!$O$5:$O$204,IFERROR(MATCH(57,'List A'!$Q$5:$Q$204,0)+4,"")-4))</f>
        <v/>
      </c>
    </row>
    <row r="62" ht="17" customHeight="1">
      <c r="A62" s="87">
        <f>IF(IFERROR(MATCH(58,'List A'!$Q$5:$Q$204,0)+4,"")="","",INDEX('List A'!$A$5:$A$204,IFERROR(MATCH(58,'List A'!$Q$5:$Q$204,0)+4,"")-4))</f>
        <v/>
      </c>
      <c r="B62" s="53">
        <f>IF(IFERROR(MATCH(58,'List A'!$Q$5:$Q$204,0)+4,"")="","",INDEX('List A'!$B$5:$B$204,IFERROR(MATCH(58,'List A'!$Q$5:$Q$204,0)+4,"")-4))</f>
        <v/>
      </c>
      <c r="C62" s="52">
        <f>IF(IFERROR(MATCH(58,'List A'!$Q$5:$Q$204,0)+4,"")="","",INDEX('List A'!$C$5:$C$204,IFERROR(MATCH(58,'List A'!$Q$5:$Q$204,0)+4,"")-4))</f>
        <v/>
      </c>
      <c r="D62" s="53">
        <f>IF(IFERROR(MATCH(58,'List A'!$Q$5:$Q$204,0)+4,"")="","",INDEX('List A'!$D$5:$D$204,IFERROR(MATCH(58,'List A'!$Q$5:$Q$204,0)+4,"")-4))</f>
        <v/>
      </c>
      <c r="E62" s="87">
        <f>IF(OR(IFERROR(MATCH(58,'List A'!$Q$5:$Q$204,0)+4,"")="",IF(IFERROR(MATCH(58,'List A'!$Q$5:$Q$204,0)+4,"")="","",INDEX('List A'!$K$5:$K$204,IFERROR(MATCH(58,'List A'!$Q$5:$Q$204,0)+4,"")-4))=""),"",INDEX('List B'!$A$5:$A$204,IF(IFERROR(MATCH(58,'List A'!$Q$5:$Q$204,0)+4,"")="","",INDEX('List A'!$K$5:$K$204,IFERROR(MATCH(58,'List A'!$Q$5:$Q$204,0)+4,"")-4))-4))</f>
        <v/>
      </c>
      <c r="F62" s="53">
        <f>IF(OR(IFERROR(MATCH(58,'List A'!$Q$5:$Q$204,0)+4,"")="",IF(IFERROR(MATCH(58,'List A'!$Q$5:$Q$204,0)+4,"")="","",INDEX('List A'!$K$5:$K$204,IFERROR(MATCH(58,'List A'!$Q$5:$Q$204,0)+4,"")-4))=""),"",INDEX('List B'!$B$5:$B$204,IF(IFERROR(MATCH(58,'List A'!$Q$5:$Q$204,0)+4,"")="","",INDEX('List A'!$K$5:$K$204,IFERROR(MATCH(58,'List A'!$Q$5:$Q$204,0)+4,"")-4))-4))</f>
        <v/>
      </c>
      <c r="G62" s="52">
        <f>IF(OR(IFERROR(MATCH(58,'List A'!$Q$5:$Q$204,0)+4,"")="",IF(IFERROR(MATCH(58,'List A'!$Q$5:$Q$204,0)+4,"")="","",INDEX('List A'!$K$5:$K$204,IFERROR(MATCH(58,'List A'!$Q$5:$Q$204,0)+4,"")-4))=""),"",INDEX('List B'!$C$5:$C$204,IF(IFERROR(MATCH(58,'List A'!$Q$5:$Q$204,0)+4,"")="","",INDEX('List A'!$K$5:$K$204,IFERROR(MATCH(58,'List A'!$Q$5:$Q$204,0)+4,"")-4))-4))</f>
        <v/>
      </c>
      <c r="H62" s="53">
        <f>IF(OR(IFERROR(MATCH(58,'List A'!$Q$5:$Q$204,0)+4,"")="",IF(IFERROR(MATCH(58,'List A'!$Q$5:$Q$204,0)+4,"")="","",INDEX('List A'!$K$5:$K$204,IFERROR(MATCH(58,'List A'!$Q$5:$Q$204,0)+4,"")-4))=""),"",INDEX('List B'!$D$5:$D$204,IF(IFERROR(MATCH(58,'List A'!$Q$5:$Q$204,0)+4,"")="","",INDEX('List A'!$K$5:$K$204,IFERROR(MATCH(58,'List A'!$Q$5:$Q$204,0)+4,"")-4))-4))</f>
        <v/>
      </c>
      <c r="I62" s="52">
        <f>IF(IFERROR(MATCH(58,'List A'!$Q$5:$Q$204,0)+4,"")="","",INDEX('List A'!$N$5:$N$204,IFERROR(MATCH(58,'List A'!$Q$5:$Q$204,0)+4,"")-4))</f>
        <v/>
      </c>
      <c r="J62" s="53">
        <f>IF(IFERROR(MATCH(58,'List A'!$Q$5:$Q$204,0)+4,"")="","",INDEX('List A'!$O$5:$O$204,IFERROR(MATCH(58,'List A'!$Q$5:$Q$204,0)+4,"")-4))</f>
        <v/>
      </c>
    </row>
    <row r="63" ht="17" customHeight="1">
      <c r="A63" s="87">
        <f>IF(IFERROR(MATCH(59,'List A'!$Q$5:$Q$204,0)+4,"")="","",INDEX('List A'!$A$5:$A$204,IFERROR(MATCH(59,'List A'!$Q$5:$Q$204,0)+4,"")-4))</f>
        <v/>
      </c>
      <c r="B63" s="53">
        <f>IF(IFERROR(MATCH(59,'List A'!$Q$5:$Q$204,0)+4,"")="","",INDEX('List A'!$B$5:$B$204,IFERROR(MATCH(59,'List A'!$Q$5:$Q$204,0)+4,"")-4))</f>
        <v/>
      </c>
      <c r="C63" s="52">
        <f>IF(IFERROR(MATCH(59,'List A'!$Q$5:$Q$204,0)+4,"")="","",INDEX('List A'!$C$5:$C$204,IFERROR(MATCH(59,'List A'!$Q$5:$Q$204,0)+4,"")-4))</f>
        <v/>
      </c>
      <c r="D63" s="53">
        <f>IF(IFERROR(MATCH(59,'List A'!$Q$5:$Q$204,0)+4,"")="","",INDEX('List A'!$D$5:$D$204,IFERROR(MATCH(59,'List A'!$Q$5:$Q$204,0)+4,"")-4))</f>
        <v/>
      </c>
      <c r="E63" s="87">
        <f>IF(OR(IFERROR(MATCH(59,'List A'!$Q$5:$Q$204,0)+4,"")="",IF(IFERROR(MATCH(59,'List A'!$Q$5:$Q$204,0)+4,"")="","",INDEX('List A'!$K$5:$K$204,IFERROR(MATCH(59,'List A'!$Q$5:$Q$204,0)+4,"")-4))=""),"",INDEX('List B'!$A$5:$A$204,IF(IFERROR(MATCH(59,'List A'!$Q$5:$Q$204,0)+4,"")="","",INDEX('List A'!$K$5:$K$204,IFERROR(MATCH(59,'List A'!$Q$5:$Q$204,0)+4,"")-4))-4))</f>
        <v/>
      </c>
      <c r="F63" s="53">
        <f>IF(OR(IFERROR(MATCH(59,'List A'!$Q$5:$Q$204,0)+4,"")="",IF(IFERROR(MATCH(59,'List A'!$Q$5:$Q$204,0)+4,"")="","",INDEX('List A'!$K$5:$K$204,IFERROR(MATCH(59,'List A'!$Q$5:$Q$204,0)+4,"")-4))=""),"",INDEX('List B'!$B$5:$B$204,IF(IFERROR(MATCH(59,'List A'!$Q$5:$Q$204,0)+4,"")="","",INDEX('List A'!$K$5:$K$204,IFERROR(MATCH(59,'List A'!$Q$5:$Q$204,0)+4,"")-4))-4))</f>
        <v/>
      </c>
      <c r="G63" s="52">
        <f>IF(OR(IFERROR(MATCH(59,'List A'!$Q$5:$Q$204,0)+4,"")="",IF(IFERROR(MATCH(59,'List A'!$Q$5:$Q$204,0)+4,"")="","",INDEX('List A'!$K$5:$K$204,IFERROR(MATCH(59,'List A'!$Q$5:$Q$204,0)+4,"")-4))=""),"",INDEX('List B'!$C$5:$C$204,IF(IFERROR(MATCH(59,'List A'!$Q$5:$Q$204,0)+4,"")="","",INDEX('List A'!$K$5:$K$204,IFERROR(MATCH(59,'List A'!$Q$5:$Q$204,0)+4,"")-4))-4))</f>
        <v/>
      </c>
      <c r="H63" s="53">
        <f>IF(OR(IFERROR(MATCH(59,'List A'!$Q$5:$Q$204,0)+4,"")="",IF(IFERROR(MATCH(59,'List A'!$Q$5:$Q$204,0)+4,"")="","",INDEX('List A'!$K$5:$K$204,IFERROR(MATCH(59,'List A'!$Q$5:$Q$204,0)+4,"")-4))=""),"",INDEX('List B'!$D$5:$D$204,IF(IFERROR(MATCH(59,'List A'!$Q$5:$Q$204,0)+4,"")="","",INDEX('List A'!$K$5:$K$204,IFERROR(MATCH(59,'List A'!$Q$5:$Q$204,0)+4,"")-4))-4))</f>
        <v/>
      </c>
      <c r="I63" s="52">
        <f>IF(IFERROR(MATCH(59,'List A'!$Q$5:$Q$204,0)+4,"")="","",INDEX('List A'!$N$5:$N$204,IFERROR(MATCH(59,'List A'!$Q$5:$Q$204,0)+4,"")-4))</f>
        <v/>
      </c>
      <c r="J63" s="53">
        <f>IF(IFERROR(MATCH(59,'List A'!$Q$5:$Q$204,0)+4,"")="","",INDEX('List A'!$O$5:$O$204,IFERROR(MATCH(59,'List A'!$Q$5:$Q$204,0)+4,"")-4))</f>
        <v/>
      </c>
    </row>
    <row r="64" ht="17" customHeight="1">
      <c r="A64" s="87">
        <f>IF(IFERROR(MATCH(60,'List A'!$Q$5:$Q$204,0)+4,"")="","",INDEX('List A'!$A$5:$A$204,IFERROR(MATCH(60,'List A'!$Q$5:$Q$204,0)+4,"")-4))</f>
        <v/>
      </c>
      <c r="B64" s="53">
        <f>IF(IFERROR(MATCH(60,'List A'!$Q$5:$Q$204,0)+4,"")="","",INDEX('List A'!$B$5:$B$204,IFERROR(MATCH(60,'List A'!$Q$5:$Q$204,0)+4,"")-4))</f>
        <v/>
      </c>
      <c r="C64" s="52">
        <f>IF(IFERROR(MATCH(60,'List A'!$Q$5:$Q$204,0)+4,"")="","",INDEX('List A'!$C$5:$C$204,IFERROR(MATCH(60,'List A'!$Q$5:$Q$204,0)+4,"")-4))</f>
        <v/>
      </c>
      <c r="D64" s="53">
        <f>IF(IFERROR(MATCH(60,'List A'!$Q$5:$Q$204,0)+4,"")="","",INDEX('List A'!$D$5:$D$204,IFERROR(MATCH(60,'List A'!$Q$5:$Q$204,0)+4,"")-4))</f>
        <v/>
      </c>
      <c r="E64" s="87">
        <f>IF(OR(IFERROR(MATCH(60,'List A'!$Q$5:$Q$204,0)+4,"")="",IF(IFERROR(MATCH(60,'List A'!$Q$5:$Q$204,0)+4,"")="","",INDEX('List A'!$K$5:$K$204,IFERROR(MATCH(60,'List A'!$Q$5:$Q$204,0)+4,"")-4))=""),"",INDEX('List B'!$A$5:$A$204,IF(IFERROR(MATCH(60,'List A'!$Q$5:$Q$204,0)+4,"")="","",INDEX('List A'!$K$5:$K$204,IFERROR(MATCH(60,'List A'!$Q$5:$Q$204,0)+4,"")-4))-4))</f>
        <v/>
      </c>
      <c r="F64" s="53">
        <f>IF(OR(IFERROR(MATCH(60,'List A'!$Q$5:$Q$204,0)+4,"")="",IF(IFERROR(MATCH(60,'List A'!$Q$5:$Q$204,0)+4,"")="","",INDEX('List A'!$K$5:$K$204,IFERROR(MATCH(60,'List A'!$Q$5:$Q$204,0)+4,"")-4))=""),"",INDEX('List B'!$B$5:$B$204,IF(IFERROR(MATCH(60,'List A'!$Q$5:$Q$204,0)+4,"")="","",INDEX('List A'!$K$5:$K$204,IFERROR(MATCH(60,'List A'!$Q$5:$Q$204,0)+4,"")-4))-4))</f>
        <v/>
      </c>
      <c r="G64" s="52">
        <f>IF(OR(IFERROR(MATCH(60,'List A'!$Q$5:$Q$204,0)+4,"")="",IF(IFERROR(MATCH(60,'List A'!$Q$5:$Q$204,0)+4,"")="","",INDEX('List A'!$K$5:$K$204,IFERROR(MATCH(60,'List A'!$Q$5:$Q$204,0)+4,"")-4))=""),"",INDEX('List B'!$C$5:$C$204,IF(IFERROR(MATCH(60,'List A'!$Q$5:$Q$204,0)+4,"")="","",INDEX('List A'!$K$5:$K$204,IFERROR(MATCH(60,'List A'!$Q$5:$Q$204,0)+4,"")-4))-4))</f>
        <v/>
      </c>
      <c r="H64" s="53">
        <f>IF(OR(IFERROR(MATCH(60,'List A'!$Q$5:$Q$204,0)+4,"")="",IF(IFERROR(MATCH(60,'List A'!$Q$5:$Q$204,0)+4,"")="","",INDEX('List A'!$K$5:$K$204,IFERROR(MATCH(60,'List A'!$Q$5:$Q$204,0)+4,"")-4))=""),"",INDEX('List B'!$D$5:$D$204,IF(IFERROR(MATCH(60,'List A'!$Q$5:$Q$204,0)+4,"")="","",INDEX('List A'!$K$5:$K$204,IFERROR(MATCH(60,'List A'!$Q$5:$Q$204,0)+4,"")-4))-4))</f>
        <v/>
      </c>
      <c r="I64" s="52">
        <f>IF(IFERROR(MATCH(60,'List A'!$Q$5:$Q$204,0)+4,"")="","",INDEX('List A'!$N$5:$N$204,IFERROR(MATCH(60,'List A'!$Q$5:$Q$204,0)+4,"")-4))</f>
        <v/>
      </c>
      <c r="J64" s="53">
        <f>IF(IFERROR(MATCH(60,'List A'!$Q$5:$Q$204,0)+4,"")="","",INDEX('List A'!$O$5:$O$204,IFERROR(MATCH(60,'List A'!$Q$5:$Q$204,0)+4,"")-4))</f>
        <v/>
      </c>
    </row>
    <row r="65" ht="17" customHeight="1">
      <c r="A65" s="87">
        <f>IF(IFERROR(MATCH(61,'List A'!$Q$5:$Q$204,0)+4,"")="","",INDEX('List A'!$A$5:$A$204,IFERROR(MATCH(61,'List A'!$Q$5:$Q$204,0)+4,"")-4))</f>
        <v/>
      </c>
      <c r="B65" s="53">
        <f>IF(IFERROR(MATCH(61,'List A'!$Q$5:$Q$204,0)+4,"")="","",INDEX('List A'!$B$5:$B$204,IFERROR(MATCH(61,'List A'!$Q$5:$Q$204,0)+4,"")-4))</f>
        <v/>
      </c>
      <c r="C65" s="52">
        <f>IF(IFERROR(MATCH(61,'List A'!$Q$5:$Q$204,0)+4,"")="","",INDEX('List A'!$C$5:$C$204,IFERROR(MATCH(61,'List A'!$Q$5:$Q$204,0)+4,"")-4))</f>
        <v/>
      </c>
      <c r="D65" s="53">
        <f>IF(IFERROR(MATCH(61,'List A'!$Q$5:$Q$204,0)+4,"")="","",INDEX('List A'!$D$5:$D$204,IFERROR(MATCH(61,'List A'!$Q$5:$Q$204,0)+4,"")-4))</f>
        <v/>
      </c>
      <c r="E65" s="87">
        <f>IF(OR(IFERROR(MATCH(61,'List A'!$Q$5:$Q$204,0)+4,"")="",IF(IFERROR(MATCH(61,'List A'!$Q$5:$Q$204,0)+4,"")="","",INDEX('List A'!$K$5:$K$204,IFERROR(MATCH(61,'List A'!$Q$5:$Q$204,0)+4,"")-4))=""),"",INDEX('List B'!$A$5:$A$204,IF(IFERROR(MATCH(61,'List A'!$Q$5:$Q$204,0)+4,"")="","",INDEX('List A'!$K$5:$K$204,IFERROR(MATCH(61,'List A'!$Q$5:$Q$204,0)+4,"")-4))-4))</f>
        <v/>
      </c>
      <c r="F65" s="53">
        <f>IF(OR(IFERROR(MATCH(61,'List A'!$Q$5:$Q$204,0)+4,"")="",IF(IFERROR(MATCH(61,'List A'!$Q$5:$Q$204,0)+4,"")="","",INDEX('List A'!$K$5:$K$204,IFERROR(MATCH(61,'List A'!$Q$5:$Q$204,0)+4,"")-4))=""),"",INDEX('List B'!$B$5:$B$204,IF(IFERROR(MATCH(61,'List A'!$Q$5:$Q$204,0)+4,"")="","",INDEX('List A'!$K$5:$K$204,IFERROR(MATCH(61,'List A'!$Q$5:$Q$204,0)+4,"")-4))-4))</f>
        <v/>
      </c>
      <c r="G65" s="52">
        <f>IF(OR(IFERROR(MATCH(61,'List A'!$Q$5:$Q$204,0)+4,"")="",IF(IFERROR(MATCH(61,'List A'!$Q$5:$Q$204,0)+4,"")="","",INDEX('List A'!$K$5:$K$204,IFERROR(MATCH(61,'List A'!$Q$5:$Q$204,0)+4,"")-4))=""),"",INDEX('List B'!$C$5:$C$204,IF(IFERROR(MATCH(61,'List A'!$Q$5:$Q$204,0)+4,"")="","",INDEX('List A'!$K$5:$K$204,IFERROR(MATCH(61,'List A'!$Q$5:$Q$204,0)+4,"")-4))-4))</f>
        <v/>
      </c>
      <c r="H65" s="53">
        <f>IF(OR(IFERROR(MATCH(61,'List A'!$Q$5:$Q$204,0)+4,"")="",IF(IFERROR(MATCH(61,'List A'!$Q$5:$Q$204,0)+4,"")="","",INDEX('List A'!$K$5:$K$204,IFERROR(MATCH(61,'List A'!$Q$5:$Q$204,0)+4,"")-4))=""),"",INDEX('List B'!$D$5:$D$204,IF(IFERROR(MATCH(61,'List A'!$Q$5:$Q$204,0)+4,"")="","",INDEX('List A'!$K$5:$K$204,IFERROR(MATCH(61,'List A'!$Q$5:$Q$204,0)+4,"")-4))-4))</f>
        <v/>
      </c>
      <c r="I65" s="52">
        <f>IF(IFERROR(MATCH(61,'List A'!$Q$5:$Q$204,0)+4,"")="","",INDEX('List A'!$N$5:$N$204,IFERROR(MATCH(61,'List A'!$Q$5:$Q$204,0)+4,"")-4))</f>
        <v/>
      </c>
      <c r="J65" s="53">
        <f>IF(IFERROR(MATCH(61,'List A'!$Q$5:$Q$204,0)+4,"")="","",INDEX('List A'!$O$5:$O$204,IFERROR(MATCH(61,'List A'!$Q$5:$Q$204,0)+4,"")-4))</f>
        <v/>
      </c>
    </row>
    <row r="66" ht="17" customHeight="1">
      <c r="A66" s="87">
        <f>IF(IFERROR(MATCH(62,'List A'!$Q$5:$Q$204,0)+4,"")="","",INDEX('List A'!$A$5:$A$204,IFERROR(MATCH(62,'List A'!$Q$5:$Q$204,0)+4,"")-4))</f>
        <v/>
      </c>
      <c r="B66" s="53">
        <f>IF(IFERROR(MATCH(62,'List A'!$Q$5:$Q$204,0)+4,"")="","",INDEX('List A'!$B$5:$B$204,IFERROR(MATCH(62,'List A'!$Q$5:$Q$204,0)+4,"")-4))</f>
        <v/>
      </c>
      <c r="C66" s="52">
        <f>IF(IFERROR(MATCH(62,'List A'!$Q$5:$Q$204,0)+4,"")="","",INDEX('List A'!$C$5:$C$204,IFERROR(MATCH(62,'List A'!$Q$5:$Q$204,0)+4,"")-4))</f>
        <v/>
      </c>
      <c r="D66" s="53">
        <f>IF(IFERROR(MATCH(62,'List A'!$Q$5:$Q$204,0)+4,"")="","",INDEX('List A'!$D$5:$D$204,IFERROR(MATCH(62,'List A'!$Q$5:$Q$204,0)+4,"")-4))</f>
        <v/>
      </c>
      <c r="E66" s="87">
        <f>IF(OR(IFERROR(MATCH(62,'List A'!$Q$5:$Q$204,0)+4,"")="",IF(IFERROR(MATCH(62,'List A'!$Q$5:$Q$204,0)+4,"")="","",INDEX('List A'!$K$5:$K$204,IFERROR(MATCH(62,'List A'!$Q$5:$Q$204,0)+4,"")-4))=""),"",INDEX('List B'!$A$5:$A$204,IF(IFERROR(MATCH(62,'List A'!$Q$5:$Q$204,0)+4,"")="","",INDEX('List A'!$K$5:$K$204,IFERROR(MATCH(62,'List A'!$Q$5:$Q$204,0)+4,"")-4))-4))</f>
        <v/>
      </c>
      <c r="F66" s="53">
        <f>IF(OR(IFERROR(MATCH(62,'List A'!$Q$5:$Q$204,0)+4,"")="",IF(IFERROR(MATCH(62,'List A'!$Q$5:$Q$204,0)+4,"")="","",INDEX('List A'!$K$5:$K$204,IFERROR(MATCH(62,'List A'!$Q$5:$Q$204,0)+4,"")-4))=""),"",INDEX('List B'!$B$5:$B$204,IF(IFERROR(MATCH(62,'List A'!$Q$5:$Q$204,0)+4,"")="","",INDEX('List A'!$K$5:$K$204,IFERROR(MATCH(62,'List A'!$Q$5:$Q$204,0)+4,"")-4))-4))</f>
        <v/>
      </c>
      <c r="G66" s="52">
        <f>IF(OR(IFERROR(MATCH(62,'List A'!$Q$5:$Q$204,0)+4,"")="",IF(IFERROR(MATCH(62,'List A'!$Q$5:$Q$204,0)+4,"")="","",INDEX('List A'!$K$5:$K$204,IFERROR(MATCH(62,'List A'!$Q$5:$Q$204,0)+4,"")-4))=""),"",INDEX('List B'!$C$5:$C$204,IF(IFERROR(MATCH(62,'List A'!$Q$5:$Q$204,0)+4,"")="","",INDEX('List A'!$K$5:$K$204,IFERROR(MATCH(62,'List A'!$Q$5:$Q$204,0)+4,"")-4))-4))</f>
        <v/>
      </c>
      <c r="H66" s="53">
        <f>IF(OR(IFERROR(MATCH(62,'List A'!$Q$5:$Q$204,0)+4,"")="",IF(IFERROR(MATCH(62,'List A'!$Q$5:$Q$204,0)+4,"")="","",INDEX('List A'!$K$5:$K$204,IFERROR(MATCH(62,'List A'!$Q$5:$Q$204,0)+4,"")-4))=""),"",INDEX('List B'!$D$5:$D$204,IF(IFERROR(MATCH(62,'List A'!$Q$5:$Q$204,0)+4,"")="","",INDEX('List A'!$K$5:$K$204,IFERROR(MATCH(62,'List A'!$Q$5:$Q$204,0)+4,"")-4))-4))</f>
        <v/>
      </c>
      <c r="I66" s="52">
        <f>IF(IFERROR(MATCH(62,'List A'!$Q$5:$Q$204,0)+4,"")="","",INDEX('List A'!$N$5:$N$204,IFERROR(MATCH(62,'List A'!$Q$5:$Q$204,0)+4,"")-4))</f>
        <v/>
      </c>
      <c r="J66" s="53">
        <f>IF(IFERROR(MATCH(62,'List A'!$Q$5:$Q$204,0)+4,"")="","",INDEX('List A'!$O$5:$O$204,IFERROR(MATCH(62,'List A'!$Q$5:$Q$204,0)+4,"")-4))</f>
        <v/>
      </c>
    </row>
    <row r="67" ht="17" customHeight="1">
      <c r="A67" s="87">
        <f>IF(IFERROR(MATCH(63,'List A'!$Q$5:$Q$204,0)+4,"")="","",INDEX('List A'!$A$5:$A$204,IFERROR(MATCH(63,'List A'!$Q$5:$Q$204,0)+4,"")-4))</f>
        <v/>
      </c>
      <c r="B67" s="53">
        <f>IF(IFERROR(MATCH(63,'List A'!$Q$5:$Q$204,0)+4,"")="","",INDEX('List A'!$B$5:$B$204,IFERROR(MATCH(63,'List A'!$Q$5:$Q$204,0)+4,"")-4))</f>
        <v/>
      </c>
      <c r="C67" s="52">
        <f>IF(IFERROR(MATCH(63,'List A'!$Q$5:$Q$204,0)+4,"")="","",INDEX('List A'!$C$5:$C$204,IFERROR(MATCH(63,'List A'!$Q$5:$Q$204,0)+4,"")-4))</f>
        <v/>
      </c>
      <c r="D67" s="53">
        <f>IF(IFERROR(MATCH(63,'List A'!$Q$5:$Q$204,0)+4,"")="","",INDEX('List A'!$D$5:$D$204,IFERROR(MATCH(63,'List A'!$Q$5:$Q$204,0)+4,"")-4))</f>
        <v/>
      </c>
      <c r="E67" s="87">
        <f>IF(OR(IFERROR(MATCH(63,'List A'!$Q$5:$Q$204,0)+4,"")="",IF(IFERROR(MATCH(63,'List A'!$Q$5:$Q$204,0)+4,"")="","",INDEX('List A'!$K$5:$K$204,IFERROR(MATCH(63,'List A'!$Q$5:$Q$204,0)+4,"")-4))=""),"",INDEX('List B'!$A$5:$A$204,IF(IFERROR(MATCH(63,'List A'!$Q$5:$Q$204,0)+4,"")="","",INDEX('List A'!$K$5:$K$204,IFERROR(MATCH(63,'List A'!$Q$5:$Q$204,0)+4,"")-4))-4))</f>
        <v/>
      </c>
      <c r="F67" s="53">
        <f>IF(OR(IFERROR(MATCH(63,'List A'!$Q$5:$Q$204,0)+4,"")="",IF(IFERROR(MATCH(63,'List A'!$Q$5:$Q$204,0)+4,"")="","",INDEX('List A'!$K$5:$K$204,IFERROR(MATCH(63,'List A'!$Q$5:$Q$204,0)+4,"")-4))=""),"",INDEX('List B'!$B$5:$B$204,IF(IFERROR(MATCH(63,'List A'!$Q$5:$Q$204,0)+4,"")="","",INDEX('List A'!$K$5:$K$204,IFERROR(MATCH(63,'List A'!$Q$5:$Q$204,0)+4,"")-4))-4))</f>
        <v/>
      </c>
      <c r="G67" s="52">
        <f>IF(OR(IFERROR(MATCH(63,'List A'!$Q$5:$Q$204,0)+4,"")="",IF(IFERROR(MATCH(63,'List A'!$Q$5:$Q$204,0)+4,"")="","",INDEX('List A'!$K$5:$K$204,IFERROR(MATCH(63,'List A'!$Q$5:$Q$204,0)+4,"")-4))=""),"",INDEX('List B'!$C$5:$C$204,IF(IFERROR(MATCH(63,'List A'!$Q$5:$Q$204,0)+4,"")="","",INDEX('List A'!$K$5:$K$204,IFERROR(MATCH(63,'List A'!$Q$5:$Q$204,0)+4,"")-4))-4))</f>
        <v/>
      </c>
      <c r="H67" s="53">
        <f>IF(OR(IFERROR(MATCH(63,'List A'!$Q$5:$Q$204,0)+4,"")="",IF(IFERROR(MATCH(63,'List A'!$Q$5:$Q$204,0)+4,"")="","",INDEX('List A'!$K$5:$K$204,IFERROR(MATCH(63,'List A'!$Q$5:$Q$204,0)+4,"")-4))=""),"",INDEX('List B'!$D$5:$D$204,IF(IFERROR(MATCH(63,'List A'!$Q$5:$Q$204,0)+4,"")="","",INDEX('List A'!$K$5:$K$204,IFERROR(MATCH(63,'List A'!$Q$5:$Q$204,0)+4,"")-4))-4))</f>
        <v/>
      </c>
      <c r="I67" s="52">
        <f>IF(IFERROR(MATCH(63,'List A'!$Q$5:$Q$204,0)+4,"")="","",INDEX('List A'!$N$5:$N$204,IFERROR(MATCH(63,'List A'!$Q$5:$Q$204,0)+4,"")-4))</f>
        <v/>
      </c>
      <c r="J67" s="53">
        <f>IF(IFERROR(MATCH(63,'List A'!$Q$5:$Q$204,0)+4,"")="","",INDEX('List A'!$O$5:$O$204,IFERROR(MATCH(63,'List A'!$Q$5:$Q$204,0)+4,"")-4))</f>
        <v/>
      </c>
    </row>
    <row r="68" ht="17" customHeight="1">
      <c r="A68" s="87">
        <f>IF(IFERROR(MATCH(64,'List A'!$Q$5:$Q$204,0)+4,"")="","",INDEX('List A'!$A$5:$A$204,IFERROR(MATCH(64,'List A'!$Q$5:$Q$204,0)+4,"")-4))</f>
        <v/>
      </c>
      <c r="B68" s="53">
        <f>IF(IFERROR(MATCH(64,'List A'!$Q$5:$Q$204,0)+4,"")="","",INDEX('List A'!$B$5:$B$204,IFERROR(MATCH(64,'List A'!$Q$5:$Q$204,0)+4,"")-4))</f>
        <v/>
      </c>
      <c r="C68" s="52">
        <f>IF(IFERROR(MATCH(64,'List A'!$Q$5:$Q$204,0)+4,"")="","",INDEX('List A'!$C$5:$C$204,IFERROR(MATCH(64,'List A'!$Q$5:$Q$204,0)+4,"")-4))</f>
        <v/>
      </c>
      <c r="D68" s="53">
        <f>IF(IFERROR(MATCH(64,'List A'!$Q$5:$Q$204,0)+4,"")="","",INDEX('List A'!$D$5:$D$204,IFERROR(MATCH(64,'List A'!$Q$5:$Q$204,0)+4,"")-4))</f>
        <v/>
      </c>
      <c r="E68" s="87">
        <f>IF(OR(IFERROR(MATCH(64,'List A'!$Q$5:$Q$204,0)+4,"")="",IF(IFERROR(MATCH(64,'List A'!$Q$5:$Q$204,0)+4,"")="","",INDEX('List A'!$K$5:$K$204,IFERROR(MATCH(64,'List A'!$Q$5:$Q$204,0)+4,"")-4))=""),"",INDEX('List B'!$A$5:$A$204,IF(IFERROR(MATCH(64,'List A'!$Q$5:$Q$204,0)+4,"")="","",INDEX('List A'!$K$5:$K$204,IFERROR(MATCH(64,'List A'!$Q$5:$Q$204,0)+4,"")-4))-4))</f>
        <v/>
      </c>
      <c r="F68" s="53">
        <f>IF(OR(IFERROR(MATCH(64,'List A'!$Q$5:$Q$204,0)+4,"")="",IF(IFERROR(MATCH(64,'List A'!$Q$5:$Q$204,0)+4,"")="","",INDEX('List A'!$K$5:$K$204,IFERROR(MATCH(64,'List A'!$Q$5:$Q$204,0)+4,"")-4))=""),"",INDEX('List B'!$B$5:$B$204,IF(IFERROR(MATCH(64,'List A'!$Q$5:$Q$204,0)+4,"")="","",INDEX('List A'!$K$5:$K$204,IFERROR(MATCH(64,'List A'!$Q$5:$Q$204,0)+4,"")-4))-4))</f>
        <v/>
      </c>
      <c r="G68" s="52">
        <f>IF(OR(IFERROR(MATCH(64,'List A'!$Q$5:$Q$204,0)+4,"")="",IF(IFERROR(MATCH(64,'List A'!$Q$5:$Q$204,0)+4,"")="","",INDEX('List A'!$K$5:$K$204,IFERROR(MATCH(64,'List A'!$Q$5:$Q$204,0)+4,"")-4))=""),"",INDEX('List B'!$C$5:$C$204,IF(IFERROR(MATCH(64,'List A'!$Q$5:$Q$204,0)+4,"")="","",INDEX('List A'!$K$5:$K$204,IFERROR(MATCH(64,'List A'!$Q$5:$Q$204,0)+4,"")-4))-4))</f>
        <v/>
      </c>
      <c r="H68" s="53">
        <f>IF(OR(IFERROR(MATCH(64,'List A'!$Q$5:$Q$204,0)+4,"")="",IF(IFERROR(MATCH(64,'List A'!$Q$5:$Q$204,0)+4,"")="","",INDEX('List A'!$K$5:$K$204,IFERROR(MATCH(64,'List A'!$Q$5:$Q$204,0)+4,"")-4))=""),"",INDEX('List B'!$D$5:$D$204,IF(IFERROR(MATCH(64,'List A'!$Q$5:$Q$204,0)+4,"")="","",INDEX('List A'!$K$5:$K$204,IFERROR(MATCH(64,'List A'!$Q$5:$Q$204,0)+4,"")-4))-4))</f>
        <v/>
      </c>
      <c r="I68" s="52">
        <f>IF(IFERROR(MATCH(64,'List A'!$Q$5:$Q$204,0)+4,"")="","",INDEX('List A'!$N$5:$N$204,IFERROR(MATCH(64,'List A'!$Q$5:$Q$204,0)+4,"")-4))</f>
        <v/>
      </c>
      <c r="J68" s="53">
        <f>IF(IFERROR(MATCH(64,'List A'!$Q$5:$Q$204,0)+4,"")="","",INDEX('List A'!$O$5:$O$204,IFERROR(MATCH(64,'List A'!$Q$5:$Q$204,0)+4,"")-4))</f>
        <v/>
      </c>
    </row>
    <row r="69" ht="17" customHeight="1">
      <c r="A69" s="87">
        <f>IF(IFERROR(MATCH(65,'List A'!$Q$5:$Q$204,0)+4,"")="","",INDEX('List A'!$A$5:$A$204,IFERROR(MATCH(65,'List A'!$Q$5:$Q$204,0)+4,"")-4))</f>
        <v/>
      </c>
      <c r="B69" s="53">
        <f>IF(IFERROR(MATCH(65,'List A'!$Q$5:$Q$204,0)+4,"")="","",INDEX('List A'!$B$5:$B$204,IFERROR(MATCH(65,'List A'!$Q$5:$Q$204,0)+4,"")-4))</f>
        <v/>
      </c>
      <c r="C69" s="52">
        <f>IF(IFERROR(MATCH(65,'List A'!$Q$5:$Q$204,0)+4,"")="","",INDEX('List A'!$C$5:$C$204,IFERROR(MATCH(65,'List A'!$Q$5:$Q$204,0)+4,"")-4))</f>
        <v/>
      </c>
      <c r="D69" s="53">
        <f>IF(IFERROR(MATCH(65,'List A'!$Q$5:$Q$204,0)+4,"")="","",INDEX('List A'!$D$5:$D$204,IFERROR(MATCH(65,'List A'!$Q$5:$Q$204,0)+4,"")-4))</f>
        <v/>
      </c>
      <c r="E69" s="87">
        <f>IF(OR(IFERROR(MATCH(65,'List A'!$Q$5:$Q$204,0)+4,"")="",IF(IFERROR(MATCH(65,'List A'!$Q$5:$Q$204,0)+4,"")="","",INDEX('List A'!$K$5:$K$204,IFERROR(MATCH(65,'List A'!$Q$5:$Q$204,0)+4,"")-4))=""),"",INDEX('List B'!$A$5:$A$204,IF(IFERROR(MATCH(65,'List A'!$Q$5:$Q$204,0)+4,"")="","",INDEX('List A'!$K$5:$K$204,IFERROR(MATCH(65,'List A'!$Q$5:$Q$204,0)+4,"")-4))-4))</f>
        <v/>
      </c>
      <c r="F69" s="53">
        <f>IF(OR(IFERROR(MATCH(65,'List A'!$Q$5:$Q$204,0)+4,"")="",IF(IFERROR(MATCH(65,'List A'!$Q$5:$Q$204,0)+4,"")="","",INDEX('List A'!$K$5:$K$204,IFERROR(MATCH(65,'List A'!$Q$5:$Q$204,0)+4,"")-4))=""),"",INDEX('List B'!$B$5:$B$204,IF(IFERROR(MATCH(65,'List A'!$Q$5:$Q$204,0)+4,"")="","",INDEX('List A'!$K$5:$K$204,IFERROR(MATCH(65,'List A'!$Q$5:$Q$204,0)+4,"")-4))-4))</f>
        <v/>
      </c>
      <c r="G69" s="52">
        <f>IF(OR(IFERROR(MATCH(65,'List A'!$Q$5:$Q$204,0)+4,"")="",IF(IFERROR(MATCH(65,'List A'!$Q$5:$Q$204,0)+4,"")="","",INDEX('List A'!$K$5:$K$204,IFERROR(MATCH(65,'List A'!$Q$5:$Q$204,0)+4,"")-4))=""),"",INDEX('List B'!$C$5:$C$204,IF(IFERROR(MATCH(65,'List A'!$Q$5:$Q$204,0)+4,"")="","",INDEX('List A'!$K$5:$K$204,IFERROR(MATCH(65,'List A'!$Q$5:$Q$204,0)+4,"")-4))-4))</f>
        <v/>
      </c>
      <c r="H69" s="53">
        <f>IF(OR(IFERROR(MATCH(65,'List A'!$Q$5:$Q$204,0)+4,"")="",IF(IFERROR(MATCH(65,'List A'!$Q$5:$Q$204,0)+4,"")="","",INDEX('List A'!$K$5:$K$204,IFERROR(MATCH(65,'List A'!$Q$5:$Q$204,0)+4,"")-4))=""),"",INDEX('List B'!$D$5:$D$204,IF(IFERROR(MATCH(65,'List A'!$Q$5:$Q$204,0)+4,"")="","",INDEX('List A'!$K$5:$K$204,IFERROR(MATCH(65,'List A'!$Q$5:$Q$204,0)+4,"")-4))-4))</f>
        <v/>
      </c>
      <c r="I69" s="52">
        <f>IF(IFERROR(MATCH(65,'List A'!$Q$5:$Q$204,0)+4,"")="","",INDEX('List A'!$N$5:$N$204,IFERROR(MATCH(65,'List A'!$Q$5:$Q$204,0)+4,"")-4))</f>
        <v/>
      </c>
      <c r="J69" s="53">
        <f>IF(IFERROR(MATCH(65,'List A'!$Q$5:$Q$204,0)+4,"")="","",INDEX('List A'!$O$5:$O$204,IFERROR(MATCH(65,'List A'!$Q$5:$Q$204,0)+4,"")-4))</f>
        <v/>
      </c>
    </row>
    <row r="70" ht="17" customHeight="1">
      <c r="A70" s="87">
        <f>IF(IFERROR(MATCH(66,'List A'!$Q$5:$Q$204,0)+4,"")="","",INDEX('List A'!$A$5:$A$204,IFERROR(MATCH(66,'List A'!$Q$5:$Q$204,0)+4,"")-4))</f>
        <v/>
      </c>
      <c r="B70" s="53">
        <f>IF(IFERROR(MATCH(66,'List A'!$Q$5:$Q$204,0)+4,"")="","",INDEX('List A'!$B$5:$B$204,IFERROR(MATCH(66,'List A'!$Q$5:$Q$204,0)+4,"")-4))</f>
        <v/>
      </c>
      <c r="C70" s="52">
        <f>IF(IFERROR(MATCH(66,'List A'!$Q$5:$Q$204,0)+4,"")="","",INDEX('List A'!$C$5:$C$204,IFERROR(MATCH(66,'List A'!$Q$5:$Q$204,0)+4,"")-4))</f>
        <v/>
      </c>
      <c r="D70" s="53">
        <f>IF(IFERROR(MATCH(66,'List A'!$Q$5:$Q$204,0)+4,"")="","",INDEX('List A'!$D$5:$D$204,IFERROR(MATCH(66,'List A'!$Q$5:$Q$204,0)+4,"")-4))</f>
        <v/>
      </c>
      <c r="E70" s="87">
        <f>IF(OR(IFERROR(MATCH(66,'List A'!$Q$5:$Q$204,0)+4,"")="",IF(IFERROR(MATCH(66,'List A'!$Q$5:$Q$204,0)+4,"")="","",INDEX('List A'!$K$5:$K$204,IFERROR(MATCH(66,'List A'!$Q$5:$Q$204,0)+4,"")-4))=""),"",INDEX('List B'!$A$5:$A$204,IF(IFERROR(MATCH(66,'List A'!$Q$5:$Q$204,0)+4,"")="","",INDEX('List A'!$K$5:$K$204,IFERROR(MATCH(66,'List A'!$Q$5:$Q$204,0)+4,"")-4))-4))</f>
        <v/>
      </c>
      <c r="F70" s="53">
        <f>IF(OR(IFERROR(MATCH(66,'List A'!$Q$5:$Q$204,0)+4,"")="",IF(IFERROR(MATCH(66,'List A'!$Q$5:$Q$204,0)+4,"")="","",INDEX('List A'!$K$5:$K$204,IFERROR(MATCH(66,'List A'!$Q$5:$Q$204,0)+4,"")-4))=""),"",INDEX('List B'!$B$5:$B$204,IF(IFERROR(MATCH(66,'List A'!$Q$5:$Q$204,0)+4,"")="","",INDEX('List A'!$K$5:$K$204,IFERROR(MATCH(66,'List A'!$Q$5:$Q$204,0)+4,"")-4))-4))</f>
        <v/>
      </c>
      <c r="G70" s="52">
        <f>IF(OR(IFERROR(MATCH(66,'List A'!$Q$5:$Q$204,0)+4,"")="",IF(IFERROR(MATCH(66,'List A'!$Q$5:$Q$204,0)+4,"")="","",INDEX('List A'!$K$5:$K$204,IFERROR(MATCH(66,'List A'!$Q$5:$Q$204,0)+4,"")-4))=""),"",INDEX('List B'!$C$5:$C$204,IF(IFERROR(MATCH(66,'List A'!$Q$5:$Q$204,0)+4,"")="","",INDEX('List A'!$K$5:$K$204,IFERROR(MATCH(66,'List A'!$Q$5:$Q$204,0)+4,"")-4))-4))</f>
        <v/>
      </c>
      <c r="H70" s="53">
        <f>IF(OR(IFERROR(MATCH(66,'List A'!$Q$5:$Q$204,0)+4,"")="",IF(IFERROR(MATCH(66,'List A'!$Q$5:$Q$204,0)+4,"")="","",INDEX('List A'!$K$5:$K$204,IFERROR(MATCH(66,'List A'!$Q$5:$Q$204,0)+4,"")-4))=""),"",INDEX('List B'!$D$5:$D$204,IF(IFERROR(MATCH(66,'List A'!$Q$5:$Q$204,0)+4,"")="","",INDEX('List A'!$K$5:$K$204,IFERROR(MATCH(66,'List A'!$Q$5:$Q$204,0)+4,"")-4))-4))</f>
        <v/>
      </c>
      <c r="I70" s="52">
        <f>IF(IFERROR(MATCH(66,'List A'!$Q$5:$Q$204,0)+4,"")="","",INDEX('List A'!$N$5:$N$204,IFERROR(MATCH(66,'List A'!$Q$5:$Q$204,0)+4,"")-4))</f>
        <v/>
      </c>
      <c r="J70" s="53">
        <f>IF(IFERROR(MATCH(66,'List A'!$Q$5:$Q$204,0)+4,"")="","",INDEX('List A'!$O$5:$O$204,IFERROR(MATCH(66,'List A'!$Q$5:$Q$204,0)+4,"")-4))</f>
        <v/>
      </c>
    </row>
    <row r="71" ht="17" customHeight="1">
      <c r="A71" s="87">
        <f>IF(IFERROR(MATCH(67,'List A'!$Q$5:$Q$204,0)+4,"")="","",INDEX('List A'!$A$5:$A$204,IFERROR(MATCH(67,'List A'!$Q$5:$Q$204,0)+4,"")-4))</f>
        <v/>
      </c>
      <c r="B71" s="53">
        <f>IF(IFERROR(MATCH(67,'List A'!$Q$5:$Q$204,0)+4,"")="","",INDEX('List A'!$B$5:$B$204,IFERROR(MATCH(67,'List A'!$Q$5:$Q$204,0)+4,"")-4))</f>
        <v/>
      </c>
      <c r="C71" s="52">
        <f>IF(IFERROR(MATCH(67,'List A'!$Q$5:$Q$204,0)+4,"")="","",INDEX('List A'!$C$5:$C$204,IFERROR(MATCH(67,'List A'!$Q$5:$Q$204,0)+4,"")-4))</f>
        <v/>
      </c>
      <c r="D71" s="53">
        <f>IF(IFERROR(MATCH(67,'List A'!$Q$5:$Q$204,0)+4,"")="","",INDEX('List A'!$D$5:$D$204,IFERROR(MATCH(67,'List A'!$Q$5:$Q$204,0)+4,"")-4))</f>
        <v/>
      </c>
      <c r="E71" s="87">
        <f>IF(OR(IFERROR(MATCH(67,'List A'!$Q$5:$Q$204,0)+4,"")="",IF(IFERROR(MATCH(67,'List A'!$Q$5:$Q$204,0)+4,"")="","",INDEX('List A'!$K$5:$K$204,IFERROR(MATCH(67,'List A'!$Q$5:$Q$204,0)+4,"")-4))=""),"",INDEX('List B'!$A$5:$A$204,IF(IFERROR(MATCH(67,'List A'!$Q$5:$Q$204,0)+4,"")="","",INDEX('List A'!$K$5:$K$204,IFERROR(MATCH(67,'List A'!$Q$5:$Q$204,0)+4,"")-4))-4))</f>
        <v/>
      </c>
      <c r="F71" s="53">
        <f>IF(OR(IFERROR(MATCH(67,'List A'!$Q$5:$Q$204,0)+4,"")="",IF(IFERROR(MATCH(67,'List A'!$Q$5:$Q$204,0)+4,"")="","",INDEX('List A'!$K$5:$K$204,IFERROR(MATCH(67,'List A'!$Q$5:$Q$204,0)+4,"")-4))=""),"",INDEX('List B'!$B$5:$B$204,IF(IFERROR(MATCH(67,'List A'!$Q$5:$Q$204,0)+4,"")="","",INDEX('List A'!$K$5:$K$204,IFERROR(MATCH(67,'List A'!$Q$5:$Q$204,0)+4,"")-4))-4))</f>
        <v/>
      </c>
      <c r="G71" s="52">
        <f>IF(OR(IFERROR(MATCH(67,'List A'!$Q$5:$Q$204,0)+4,"")="",IF(IFERROR(MATCH(67,'List A'!$Q$5:$Q$204,0)+4,"")="","",INDEX('List A'!$K$5:$K$204,IFERROR(MATCH(67,'List A'!$Q$5:$Q$204,0)+4,"")-4))=""),"",INDEX('List B'!$C$5:$C$204,IF(IFERROR(MATCH(67,'List A'!$Q$5:$Q$204,0)+4,"")="","",INDEX('List A'!$K$5:$K$204,IFERROR(MATCH(67,'List A'!$Q$5:$Q$204,0)+4,"")-4))-4))</f>
        <v/>
      </c>
      <c r="H71" s="53">
        <f>IF(OR(IFERROR(MATCH(67,'List A'!$Q$5:$Q$204,0)+4,"")="",IF(IFERROR(MATCH(67,'List A'!$Q$5:$Q$204,0)+4,"")="","",INDEX('List A'!$K$5:$K$204,IFERROR(MATCH(67,'List A'!$Q$5:$Q$204,0)+4,"")-4))=""),"",INDEX('List B'!$D$5:$D$204,IF(IFERROR(MATCH(67,'List A'!$Q$5:$Q$204,0)+4,"")="","",INDEX('List A'!$K$5:$K$204,IFERROR(MATCH(67,'List A'!$Q$5:$Q$204,0)+4,"")-4))-4))</f>
        <v/>
      </c>
      <c r="I71" s="52">
        <f>IF(IFERROR(MATCH(67,'List A'!$Q$5:$Q$204,0)+4,"")="","",INDEX('List A'!$N$5:$N$204,IFERROR(MATCH(67,'List A'!$Q$5:$Q$204,0)+4,"")-4))</f>
        <v/>
      </c>
      <c r="J71" s="53">
        <f>IF(IFERROR(MATCH(67,'List A'!$Q$5:$Q$204,0)+4,"")="","",INDEX('List A'!$O$5:$O$204,IFERROR(MATCH(67,'List A'!$Q$5:$Q$204,0)+4,"")-4))</f>
        <v/>
      </c>
    </row>
    <row r="72" ht="17" customHeight="1">
      <c r="A72" s="87">
        <f>IF(IFERROR(MATCH(68,'List A'!$Q$5:$Q$204,0)+4,"")="","",INDEX('List A'!$A$5:$A$204,IFERROR(MATCH(68,'List A'!$Q$5:$Q$204,0)+4,"")-4))</f>
        <v/>
      </c>
      <c r="B72" s="53">
        <f>IF(IFERROR(MATCH(68,'List A'!$Q$5:$Q$204,0)+4,"")="","",INDEX('List A'!$B$5:$B$204,IFERROR(MATCH(68,'List A'!$Q$5:$Q$204,0)+4,"")-4))</f>
        <v/>
      </c>
      <c r="C72" s="52">
        <f>IF(IFERROR(MATCH(68,'List A'!$Q$5:$Q$204,0)+4,"")="","",INDEX('List A'!$C$5:$C$204,IFERROR(MATCH(68,'List A'!$Q$5:$Q$204,0)+4,"")-4))</f>
        <v/>
      </c>
      <c r="D72" s="53">
        <f>IF(IFERROR(MATCH(68,'List A'!$Q$5:$Q$204,0)+4,"")="","",INDEX('List A'!$D$5:$D$204,IFERROR(MATCH(68,'List A'!$Q$5:$Q$204,0)+4,"")-4))</f>
        <v/>
      </c>
      <c r="E72" s="87">
        <f>IF(OR(IFERROR(MATCH(68,'List A'!$Q$5:$Q$204,0)+4,"")="",IF(IFERROR(MATCH(68,'List A'!$Q$5:$Q$204,0)+4,"")="","",INDEX('List A'!$K$5:$K$204,IFERROR(MATCH(68,'List A'!$Q$5:$Q$204,0)+4,"")-4))=""),"",INDEX('List B'!$A$5:$A$204,IF(IFERROR(MATCH(68,'List A'!$Q$5:$Q$204,0)+4,"")="","",INDEX('List A'!$K$5:$K$204,IFERROR(MATCH(68,'List A'!$Q$5:$Q$204,0)+4,"")-4))-4))</f>
        <v/>
      </c>
      <c r="F72" s="53">
        <f>IF(OR(IFERROR(MATCH(68,'List A'!$Q$5:$Q$204,0)+4,"")="",IF(IFERROR(MATCH(68,'List A'!$Q$5:$Q$204,0)+4,"")="","",INDEX('List A'!$K$5:$K$204,IFERROR(MATCH(68,'List A'!$Q$5:$Q$204,0)+4,"")-4))=""),"",INDEX('List B'!$B$5:$B$204,IF(IFERROR(MATCH(68,'List A'!$Q$5:$Q$204,0)+4,"")="","",INDEX('List A'!$K$5:$K$204,IFERROR(MATCH(68,'List A'!$Q$5:$Q$204,0)+4,"")-4))-4))</f>
        <v/>
      </c>
      <c r="G72" s="52">
        <f>IF(OR(IFERROR(MATCH(68,'List A'!$Q$5:$Q$204,0)+4,"")="",IF(IFERROR(MATCH(68,'List A'!$Q$5:$Q$204,0)+4,"")="","",INDEX('List A'!$K$5:$K$204,IFERROR(MATCH(68,'List A'!$Q$5:$Q$204,0)+4,"")-4))=""),"",INDEX('List B'!$C$5:$C$204,IF(IFERROR(MATCH(68,'List A'!$Q$5:$Q$204,0)+4,"")="","",INDEX('List A'!$K$5:$K$204,IFERROR(MATCH(68,'List A'!$Q$5:$Q$204,0)+4,"")-4))-4))</f>
        <v/>
      </c>
      <c r="H72" s="53">
        <f>IF(OR(IFERROR(MATCH(68,'List A'!$Q$5:$Q$204,0)+4,"")="",IF(IFERROR(MATCH(68,'List A'!$Q$5:$Q$204,0)+4,"")="","",INDEX('List A'!$K$5:$K$204,IFERROR(MATCH(68,'List A'!$Q$5:$Q$204,0)+4,"")-4))=""),"",INDEX('List B'!$D$5:$D$204,IF(IFERROR(MATCH(68,'List A'!$Q$5:$Q$204,0)+4,"")="","",INDEX('List A'!$K$5:$K$204,IFERROR(MATCH(68,'List A'!$Q$5:$Q$204,0)+4,"")-4))-4))</f>
        <v/>
      </c>
      <c r="I72" s="52">
        <f>IF(IFERROR(MATCH(68,'List A'!$Q$5:$Q$204,0)+4,"")="","",INDEX('List A'!$N$5:$N$204,IFERROR(MATCH(68,'List A'!$Q$5:$Q$204,0)+4,"")-4))</f>
        <v/>
      </c>
      <c r="J72" s="53">
        <f>IF(IFERROR(MATCH(68,'List A'!$Q$5:$Q$204,0)+4,"")="","",INDEX('List A'!$O$5:$O$204,IFERROR(MATCH(68,'List A'!$Q$5:$Q$204,0)+4,"")-4))</f>
        <v/>
      </c>
    </row>
    <row r="73" ht="17" customHeight="1">
      <c r="A73" s="87">
        <f>IF(IFERROR(MATCH(69,'List A'!$Q$5:$Q$204,0)+4,"")="","",INDEX('List A'!$A$5:$A$204,IFERROR(MATCH(69,'List A'!$Q$5:$Q$204,0)+4,"")-4))</f>
        <v/>
      </c>
      <c r="B73" s="53">
        <f>IF(IFERROR(MATCH(69,'List A'!$Q$5:$Q$204,0)+4,"")="","",INDEX('List A'!$B$5:$B$204,IFERROR(MATCH(69,'List A'!$Q$5:$Q$204,0)+4,"")-4))</f>
        <v/>
      </c>
      <c r="C73" s="52">
        <f>IF(IFERROR(MATCH(69,'List A'!$Q$5:$Q$204,0)+4,"")="","",INDEX('List A'!$C$5:$C$204,IFERROR(MATCH(69,'List A'!$Q$5:$Q$204,0)+4,"")-4))</f>
        <v/>
      </c>
      <c r="D73" s="53">
        <f>IF(IFERROR(MATCH(69,'List A'!$Q$5:$Q$204,0)+4,"")="","",INDEX('List A'!$D$5:$D$204,IFERROR(MATCH(69,'List A'!$Q$5:$Q$204,0)+4,"")-4))</f>
        <v/>
      </c>
      <c r="E73" s="87">
        <f>IF(OR(IFERROR(MATCH(69,'List A'!$Q$5:$Q$204,0)+4,"")="",IF(IFERROR(MATCH(69,'List A'!$Q$5:$Q$204,0)+4,"")="","",INDEX('List A'!$K$5:$K$204,IFERROR(MATCH(69,'List A'!$Q$5:$Q$204,0)+4,"")-4))=""),"",INDEX('List B'!$A$5:$A$204,IF(IFERROR(MATCH(69,'List A'!$Q$5:$Q$204,0)+4,"")="","",INDEX('List A'!$K$5:$K$204,IFERROR(MATCH(69,'List A'!$Q$5:$Q$204,0)+4,"")-4))-4))</f>
        <v/>
      </c>
      <c r="F73" s="53">
        <f>IF(OR(IFERROR(MATCH(69,'List A'!$Q$5:$Q$204,0)+4,"")="",IF(IFERROR(MATCH(69,'List A'!$Q$5:$Q$204,0)+4,"")="","",INDEX('List A'!$K$5:$K$204,IFERROR(MATCH(69,'List A'!$Q$5:$Q$204,0)+4,"")-4))=""),"",INDEX('List B'!$B$5:$B$204,IF(IFERROR(MATCH(69,'List A'!$Q$5:$Q$204,0)+4,"")="","",INDEX('List A'!$K$5:$K$204,IFERROR(MATCH(69,'List A'!$Q$5:$Q$204,0)+4,"")-4))-4))</f>
        <v/>
      </c>
      <c r="G73" s="52">
        <f>IF(OR(IFERROR(MATCH(69,'List A'!$Q$5:$Q$204,0)+4,"")="",IF(IFERROR(MATCH(69,'List A'!$Q$5:$Q$204,0)+4,"")="","",INDEX('List A'!$K$5:$K$204,IFERROR(MATCH(69,'List A'!$Q$5:$Q$204,0)+4,"")-4))=""),"",INDEX('List B'!$C$5:$C$204,IF(IFERROR(MATCH(69,'List A'!$Q$5:$Q$204,0)+4,"")="","",INDEX('List A'!$K$5:$K$204,IFERROR(MATCH(69,'List A'!$Q$5:$Q$204,0)+4,"")-4))-4))</f>
        <v/>
      </c>
      <c r="H73" s="53">
        <f>IF(OR(IFERROR(MATCH(69,'List A'!$Q$5:$Q$204,0)+4,"")="",IF(IFERROR(MATCH(69,'List A'!$Q$5:$Q$204,0)+4,"")="","",INDEX('List A'!$K$5:$K$204,IFERROR(MATCH(69,'List A'!$Q$5:$Q$204,0)+4,"")-4))=""),"",INDEX('List B'!$D$5:$D$204,IF(IFERROR(MATCH(69,'List A'!$Q$5:$Q$204,0)+4,"")="","",INDEX('List A'!$K$5:$K$204,IFERROR(MATCH(69,'List A'!$Q$5:$Q$204,0)+4,"")-4))-4))</f>
        <v/>
      </c>
      <c r="I73" s="52">
        <f>IF(IFERROR(MATCH(69,'List A'!$Q$5:$Q$204,0)+4,"")="","",INDEX('List A'!$N$5:$N$204,IFERROR(MATCH(69,'List A'!$Q$5:$Q$204,0)+4,"")-4))</f>
        <v/>
      </c>
      <c r="J73" s="53">
        <f>IF(IFERROR(MATCH(69,'List A'!$Q$5:$Q$204,0)+4,"")="","",INDEX('List A'!$O$5:$O$204,IFERROR(MATCH(69,'List A'!$Q$5:$Q$204,0)+4,"")-4))</f>
        <v/>
      </c>
    </row>
    <row r="74" ht="17" customHeight="1">
      <c r="A74" s="87">
        <f>IF(IFERROR(MATCH(70,'List A'!$Q$5:$Q$204,0)+4,"")="","",INDEX('List A'!$A$5:$A$204,IFERROR(MATCH(70,'List A'!$Q$5:$Q$204,0)+4,"")-4))</f>
        <v/>
      </c>
      <c r="B74" s="53">
        <f>IF(IFERROR(MATCH(70,'List A'!$Q$5:$Q$204,0)+4,"")="","",INDEX('List A'!$B$5:$B$204,IFERROR(MATCH(70,'List A'!$Q$5:$Q$204,0)+4,"")-4))</f>
        <v/>
      </c>
      <c r="C74" s="52">
        <f>IF(IFERROR(MATCH(70,'List A'!$Q$5:$Q$204,0)+4,"")="","",INDEX('List A'!$C$5:$C$204,IFERROR(MATCH(70,'List A'!$Q$5:$Q$204,0)+4,"")-4))</f>
        <v/>
      </c>
      <c r="D74" s="53">
        <f>IF(IFERROR(MATCH(70,'List A'!$Q$5:$Q$204,0)+4,"")="","",INDEX('List A'!$D$5:$D$204,IFERROR(MATCH(70,'List A'!$Q$5:$Q$204,0)+4,"")-4))</f>
        <v/>
      </c>
      <c r="E74" s="87">
        <f>IF(OR(IFERROR(MATCH(70,'List A'!$Q$5:$Q$204,0)+4,"")="",IF(IFERROR(MATCH(70,'List A'!$Q$5:$Q$204,0)+4,"")="","",INDEX('List A'!$K$5:$K$204,IFERROR(MATCH(70,'List A'!$Q$5:$Q$204,0)+4,"")-4))=""),"",INDEX('List B'!$A$5:$A$204,IF(IFERROR(MATCH(70,'List A'!$Q$5:$Q$204,0)+4,"")="","",INDEX('List A'!$K$5:$K$204,IFERROR(MATCH(70,'List A'!$Q$5:$Q$204,0)+4,"")-4))-4))</f>
        <v/>
      </c>
      <c r="F74" s="53">
        <f>IF(OR(IFERROR(MATCH(70,'List A'!$Q$5:$Q$204,0)+4,"")="",IF(IFERROR(MATCH(70,'List A'!$Q$5:$Q$204,0)+4,"")="","",INDEX('List A'!$K$5:$K$204,IFERROR(MATCH(70,'List A'!$Q$5:$Q$204,0)+4,"")-4))=""),"",INDEX('List B'!$B$5:$B$204,IF(IFERROR(MATCH(70,'List A'!$Q$5:$Q$204,0)+4,"")="","",INDEX('List A'!$K$5:$K$204,IFERROR(MATCH(70,'List A'!$Q$5:$Q$204,0)+4,"")-4))-4))</f>
        <v/>
      </c>
      <c r="G74" s="52">
        <f>IF(OR(IFERROR(MATCH(70,'List A'!$Q$5:$Q$204,0)+4,"")="",IF(IFERROR(MATCH(70,'List A'!$Q$5:$Q$204,0)+4,"")="","",INDEX('List A'!$K$5:$K$204,IFERROR(MATCH(70,'List A'!$Q$5:$Q$204,0)+4,"")-4))=""),"",INDEX('List B'!$C$5:$C$204,IF(IFERROR(MATCH(70,'List A'!$Q$5:$Q$204,0)+4,"")="","",INDEX('List A'!$K$5:$K$204,IFERROR(MATCH(70,'List A'!$Q$5:$Q$204,0)+4,"")-4))-4))</f>
        <v/>
      </c>
      <c r="H74" s="53">
        <f>IF(OR(IFERROR(MATCH(70,'List A'!$Q$5:$Q$204,0)+4,"")="",IF(IFERROR(MATCH(70,'List A'!$Q$5:$Q$204,0)+4,"")="","",INDEX('List A'!$K$5:$K$204,IFERROR(MATCH(70,'List A'!$Q$5:$Q$204,0)+4,"")-4))=""),"",INDEX('List B'!$D$5:$D$204,IF(IFERROR(MATCH(70,'List A'!$Q$5:$Q$204,0)+4,"")="","",INDEX('List A'!$K$5:$K$204,IFERROR(MATCH(70,'List A'!$Q$5:$Q$204,0)+4,"")-4))-4))</f>
        <v/>
      </c>
      <c r="I74" s="52">
        <f>IF(IFERROR(MATCH(70,'List A'!$Q$5:$Q$204,0)+4,"")="","",INDEX('List A'!$N$5:$N$204,IFERROR(MATCH(70,'List A'!$Q$5:$Q$204,0)+4,"")-4))</f>
        <v/>
      </c>
      <c r="J74" s="53">
        <f>IF(IFERROR(MATCH(70,'List A'!$Q$5:$Q$204,0)+4,"")="","",INDEX('List A'!$O$5:$O$204,IFERROR(MATCH(70,'List A'!$Q$5:$Q$204,0)+4,"")-4))</f>
        <v/>
      </c>
    </row>
    <row r="75" ht="17" customHeight="1">
      <c r="A75" s="87">
        <f>IF(IFERROR(MATCH(71,'List A'!$Q$5:$Q$204,0)+4,"")="","",INDEX('List A'!$A$5:$A$204,IFERROR(MATCH(71,'List A'!$Q$5:$Q$204,0)+4,"")-4))</f>
        <v/>
      </c>
      <c r="B75" s="53">
        <f>IF(IFERROR(MATCH(71,'List A'!$Q$5:$Q$204,0)+4,"")="","",INDEX('List A'!$B$5:$B$204,IFERROR(MATCH(71,'List A'!$Q$5:$Q$204,0)+4,"")-4))</f>
        <v/>
      </c>
      <c r="C75" s="52">
        <f>IF(IFERROR(MATCH(71,'List A'!$Q$5:$Q$204,0)+4,"")="","",INDEX('List A'!$C$5:$C$204,IFERROR(MATCH(71,'List A'!$Q$5:$Q$204,0)+4,"")-4))</f>
        <v/>
      </c>
      <c r="D75" s="53">
        <f>IF(IFERROR(MATCH(71,'List A'!$Q$5:$Q$204,0)+4,"")="","",INDEX('List A'!$D$5:$D$204,IFERROR(MATCH(71,'List A'!$Q$5:$Q$204,0)+4,"")-4))</f>
        <v/>
      </c>
      <c r="E75" s="87">
        <f>IF(OR(IFERROR(MATCH(71,'List A'!$Q$5:$Q$204,0)+4,"")="",IF(IFERROR(MATCH(71,'List A'!$Q$5:$Q$204,0)+4,"")="","",INDEX('List A'!$K$5:$K$204,IFERROR(MATCH(71,'List A'!$Q$5:$Q$204,0)+4,"")-4))=""),"",INDEX('List B'!$A$5:$A$204,IF(IFERROR(MATCH(71,'List A'!$Q$5:$Q$204,0)+4,"")="","",INDEX('List A'!$K$5:$K$204,IFERROR(MATCH(71,'List A'!$Q$5:$Q$204,0)+4,"")-4))-4))</f>
        <v/>
      </c>
      <c r="F75" s="53">
        <f>IF(OR(IFERROR(MATCH(71,'List A'!$Q$5:$Q$204,0)+4,"")="",IF(IFERROR(MATCH(71,'List A'!$Q$5:$Q$204,0)+4,"")="","",INDEX('List A'!$K$5:$K$204,IFERROR(MATCH(71,'List A'!$Q$5:$Q$204,0)+4,"")-4))=""),"",INDEX('List B'!$B$5:$B$204,IF(IFERROR(MATCH(71,'List A'!$Q$5:$Q$204,0)+4,"")="","",INDEX('List A'!$K$5:$K$204,IFERROR(MATCH(71,'List A'!$Q$5:$Q$204,0)+4,"")-4))-4))</f>
        <v/>
      </c>
      <c r="G75" s="52">
        <f>IF(OR(IFERROR(MATCH(71,'List A'!$Q$5:$Q$204,0)+4,"")="",IF(IFERROR(MATCH(71,'List A'!$Q$5:$Q$204,0)+4,"")="","",INDEX('List A'!$K$5:$K$204,IFERROR(MATCH(71,'List A'!$Q$5:$Q$204,0)+4,"")-4))=""),"",INDEX('List B'!$C$5:$C$204,IF(IFERROR(MATCH(71,'List A'!$Q$5:$Q$204,0)+4,"")="","",INDEX('List A'!$K$5:$K$204,IFERROR(MATCH(71,'List A'!$Q$5:$Q$204,0)+4,"")-4))-4))</f>
        <v/>
      </c>
      <c r="H75" s="53">
        <f>IF(OR(IFERROR(MATCH(71,'List A'!$Q$5:$Q$204,0)+4,"")="",IF(IFERROR(MATCH(71,'List A'!$Q$5:$Q$204,0)+4,"")="","",INDEX('List A'!$K$5:$K$204,IFERROR(MATCH(71,'List A'!$Q$5:$Q$204,0)+4,"")-4))=""),"",INDEX('List B'!$D$5:$D$204,IF(IFERROR(MATCH(71,'List A'!$Q$5:$Q$204,0)+4,"")="","",INDEX('List A'!$K$5:$K$204,IFERROR(MATCH(71,'List A'!$Q$5:$Q$204,0)+4,"")-4))-4))</f>
        <v/>
      </c>
      <c r="I75" s="52">
        <f>IF(IFERROR(MATCH(71,'List A'!$Q$5:$Q$204,0)+4,"")="","",INDEX('List A'!$N$5:$N$204,IFERROR(MATCH(71,'List A'!$Q$5:$Q$204,0)+4,"")-4))</f>
        <v/>
      </c>
      <c r="J75" s="53">
        <f>IF(IFERROR(MATCH(71,'List A'!$Q$5:$Q$204,0)+4,"")="","",INDEX('List A'!$O$5:$O$204,IFERROR(MATCH(71,'List A'!$Q$5:$Q$204,0)+4,"")-4))</f>
        <v/>
      </c>
    </row>
    <row r="76" ht="17" customHeight="1">
      <c r="A76" s="87">
        <f>IF(IFERROR(MATCH(72,'List A'!$Q$5:$Q$204,0)+4,"")="","",INDEX('List A'!$A$5:$A$204,IFERROR(MATCH(72,'List A'!$Q$5:$Q$204,0)+4,"")-4))</f>
        <v/>
      </c>
      <c r="B76" s="53">
        <f>IF(IFERROR(MATCH(72,'List A'!$Q$5:$Q$204,0)+4,"")="","",INDEX('List A'!$B$5:$B$204,IFERROR(MATCH(72,'List A'!$Q$5:$Q$204,0)+4,"")-4))</f>
        <v/>
      </c>
      <c r="C76" s="52">
        <f>IF(IFERROR(MATCH(72,'List A'!$Q$5:$Q$204,0)+4,"")="","",INDEX('List A'!$C$5:$C$204,IFERROR(MATCH(72,'List A'!$Q$5:$Q$204,0)+4,"")-4))</f>
        <v/>
      </c>
      <c r="D76" s="53">
        <f>IF(IFERROR(MATCH(72,'List A'!$Q$5:$Q$204,0)+4,"")="","",INDEX('List A'!$D$5:$D$204,IFERROR(MATCH(72,'List A'!$Q$5:$Q$204,0)+4,"")-4))</f>
        <v/>
      </c>
      <c r="E76" s="87">
        <f>IF(OR(IFERROR(MATCH(72,'List A'!$Q$5:$Q$204,0)+4,"")="",IF(IFERROR(MATCH(72,'List A'!$Q$5:$Q$204,0)+4,"")="","",INDEX('List A'!$K$5:$K$204,IFERROR(MATCH(72,'List A'!$Q$5:$Q$204,0)+4,"")-4))=""),"",INDEX('List B'!$A$5:$A$204,IF(IFERROR(MATCH(72,'List A'!$Q$5:$Q$204,0)+4,"")="","",INDEX('List A'!$K$5:$K$204,IFERROR(MATCH(72,'List A'!$Q$5:$Q$204,0)+4,"")-4))-4))</f>
        <v/>
      </c>
      <c r="F76" s="53">
        <f>IF(OR(IFERROR(MATCH(72,'List A'!$Q$5:$Q$204,0)+4,"")="",IF(IFERROR(MATCH(72,'List A'!$Q$5:$Q$204,0)+4,"")="","",INDEX('List A'!$K$5:$K$204,IFERROR(MATCH(72,'List A'!$Q$5:$Q$204,0)+4,"")-4))=""),"",INDEX('List B'!$B$5:$B$204,IF(IFERROR(MATCH(72,'List A'!$Q$5:$Q$204,0)+4,"")="","",INDEX('List A'!$K$5:$K$204,IFERROR(MATCH(72,'List A'!$Q$5:$Q$204,0)+4,"")-4))-4))</f>
        <v/>
      </c>
      <c r="G76" s="52">
        <f>IF(OR(IFERROR(MATCH(72,'List A'!$Q$5:$Q$204,0)+4,"")="",IF(IFERROR(MATCH(72,'List A'!$Q$5:$Q$204,0)+4,"")="","",INDEX('List A'!$K$5:$K$204,IFERROR(MATCH(72,'List A'!$Q$5:$Q$204,0)+4,"")-4))=""),"",INDEX('List B'!$C$5:$C$204,IF(IFERROR(MATCH(72,'List A'!$Q$5:$Q$204,0)+4,"")="","",INDEX('List A'!$K$5:$K$204,IFERROR(MATCH(72,'List A'!$Q$5:$Q$204,0)+4,"")-4))-4))</f>
        <v/>
      </c>
      <c r="H76" s="53">
        <f>IF(OR(IFERROR(MATCH(72,'List A'!$Q$5:$Q$204,0)+4,"")="",IF(IFERROR(MATCH(72,'List A'!$Q$5:$Q$204,0)+4,"")="","",INDEX('List A'!$K$5:$K$204,IFERROR(MATCH(72,'List A'!$Q$5:$Q$204,0)+4,"")-4))=""),"",INDEX('List B'!$D$5:$D$204,IF(IFERROR(MATCH(72,'List A'!$Q$5:$Q$204,0)+4,"")="","",INDEX('List A'!$K$5:$K$204,IFERROR(MATCH(72,'List A'!$Q$5:$Q$204,0)+4,"")-4))-4))</f>
        <v/>
      </c>
      <c r="I76" s="52">
        <f>IF(IFERROR(MATCH(72,'List A'!$Q$5:$Q$204,0)+4,"")="","",INDEX('List A'!$N$5:$N$204,IFERROR(MATCH(72,'List A'!$Q$5:$Q$204,0)+4,"")-4))</f>
        <v/>
      </c>
      <c r="J76" s="53">
        <f>IF(IFERROR(MATCH(72,'List A'!$Q$5:$Q$204,0)+4,"")="","",INDEX('List A'!$O$5:$O$204,IFERROR(MATCH(72,'List A'!$Q$5:$Q$204,0)+4,"")-4))</f>
        <v/>
      </c>
    </row>
    <row r="77" ht="17" customHeight="1">
      <c r="A77" s="87">
        <f>IF(IFERROR(MATCH(73,'List A'!$Q$5:$Q$204,0)+4,"")="","",INDEX('List A'!$A$5:$A$204,IFERROR(MATCH(73,'List A'!$Q$5:$Q$204,0)+4,"")-4))</f>
        <v/>
      </c>
      <c r="B77" s="53">
        <f>IF(IFERROR(MATCH(73,'List A'!$Q$5:$Q$204,0)+4,"")="","",INDEX('List A'!$B$5:$B$204,IFERROR(MATCH(73,'List A'!$Q$5:$Q$204,0)+4,"")-4))</f>
        <v/>
      </c>
      <c r="C77" s="52">
        <f>IF(IFERROR(MATCH(73,'List A'!$Q$5:$Q$204,0)+4,"")="","",INDEX('List A'!$C$5:$C$204,IFERROR(MATCH(73,'List A'!$Q$5:$Q$204,0)+4,"")-4))</f>
        <v/>
      </c>
      <c r="D77" s="53">
        <f>IF(IFERROR(MATCH(73,'List A'!$Q$5:$Q$204,0)+4,"")="","",INDEX('List A'!$D$5:$D$204,IFERROR(MATCH(73,'List A'!$Q$5:$Q$204,0)+4,"")-4))</f>
        <v/>
      </c>
      <c r="E77" s="87">
        <f>IF(OR(IFERROR(MATCH(73,'List A'!$Q$5:$Q$204,0)+4,"")="",IF(IFERROR(MATCH(73,'List A'!$Q$5:$Q$204,0)+4,"")="","",INDEX('List A'!$K$5:$K$204,IFERROR(MATCH(73,'List A'!$Q$5:$Q$204,0)+4,"")-4))=""),"",INDEX('List B'!$A$5:$A$204,IF(IFERROR(MATCH(73,'List A'!$Q$5:$Q$204,0)+4,"")="","",INDEX('List A'!$K$5:$K$204,IFERROR(MATCH(73,'List A'!$Q$5:$Q$204,0)+4,"")-4))-4))</f>
        <v/>
      </c>
      <c r="F77" s="53">
        <f>IF(OR(IFERROR(MATCH(73,'List A'!$Q$5:$Q$204,0)+4,"")="",IF(IFERROR(MATCH(73,'List A'!$Q$5:$Q$204,0)+4,"")="","",INDEX('List A'!$K$5:$K$204,IFERROR(MATCH(73,'List A'!$Q$5:$Q$204,0)+4,"")-4))=""),"",INDEX('List B'!$B$5:$B$204,IF(IFERROR(MATCH(73,'List A'!$Q$5:$Q$204,0)+4,"")="","",INDEX('List A'!$K$5:$K$204,IFERROR(MATCH(73,'List A'!$Q$5:$Q$204,0)+4,"")-4))-4))</f>
        <v/>
      </c>
      <c r="G77" s="52">
        <f>IF(OR(IFERROR(MATCH(73,'List A'!$Q$5:$Q$204,0)+4,"")="",IF(IFERROR(MATCH(73,'List A'!$Q$5:$Q$204,0)+4,"")="","",INDEX('List A'!$K$5:$K$204,IFERROR(MATCH(73,'List A'!$Q$5:$Q$204,0)+4,"")-4))=""),"",INDEX('List B'!$C$5:$C$204,IF(IFERROR(MATCH(73,'List A'!$Q$5:$Q$204,0)+4,"")="","",INDEX('List A'!$K$5:$K$204,IFERROR(MATCH(73,'List A'!$Q$5:$Q$204,0)+4,"")-4))-4))</f>
        <v/>
      </c>
      <c r="H77" s="53">
        <f>IF(OR(IFERROR(MATCH(73,'List A'!$Q$5:$Q$204,0)+4,"")="",IF(IFERROR(MATCH(73,'List A'!$Q$5:$Q$204,0)+4,"")="","",INDEX('List A'!$K$5:$K$204,IFERROR(MATCH(73,'List A'!$Q$5:$Q$204,0)+4,"")-4))=""),"",INDEX('List B'!$D$5:$D$204,IF(IFERROR(MATCH(73,'List A'!$Q$5:$Q$204,0)+4,"")="","",INDEX('List A'!$K$5:$K$204,IFERROR(MATCH(73,'List A'!$Q$5:$Q$204,0)+4,"")-4))-4))</f>
        <v/>
      </c>
      <c r="I77" s="52">
        <f>IF(IFERROR(MATCH(73,'List A'!$Q$5:$Q$204,0)+4,"")="","",INDEX('List A'!$N$5:$N$204,IFERROR(MATCH(73,'List A'!$Q$5:$Q$204,0)+4,"")-4))</f>
        <v/>
      </c>
      <c r="J77" s="53">
        <f>IF(IFERROR(MATCH(73,'List A'!$Q$5:$Q$204,0)+4,"")="","",INDEX('List A'!$O$5:$O$204,IFERROR(MATCH(73,'List A'!$Q$5:$Q$204,0)+4,"")-4))</f>
        <v/>
      </c>
    </row>
    <row r="78" ht="17" customHeight="1">
      <c r="A78" s="87">
        <f>IF(IFERROR(MATCH(74,'List A'!$Q$5:$Q$204,0)+4,"")="","",INDEX('List A'!$A$5:$A$204,IFERROR(MATCH(74,'List A'!$Q$5:$Q$204,0)+4,"")-4))</f>
        <v/>
      </c>
      <c r="B78" s="53">
        <f>IF(IFERROR(MATCH(74,'List A'!$Q$5:$Q$204,0)+4,"")="","",INDEX('List A'!$B$5:$B$204,IFERROR(MATCH(74,'List A'!$Q$5:$Q$204,0)+4,"")-4))</f>
        <v/>
      </c>
      <c r="C78" s="52">
        <f>IF(IFERROR(MATCH(74,'List A'!$Q$5:$Q$204,0)+4,"")="","",INDEX('List A'!$C$5:$C$204,IFERROR(MATCH(74,'List A'!$Q$5:$Q$204,0)+4,"")-4))</f>
        <v/>
      </c>
      <c r="D78" s="53">
        <f>IF(IFERROR(MATCH(74,'List A'!$Q$5:$Q$204,0)+4,"")="","",INDEX('List A'!$D$5:$D$204,IFERROR(MATCH(74,'List A'!$Q$5:$Q$204,0)+4,"")-4))</f>
        <v/>
      </c>
      <c r="E78" s="87">
        <f>IF(OR(IFERROR(MATCH(74,'List A'!$Q$5:$Q$204,0)+4,"")="",IF(IFERROR(MATCH(74,'List A'!$Q$5:$Q$204,0)+4,"")="","",INDEX('List A'!$K$5:$K$204,IFERROR(MATCH(74,'List A'!$Q$5:$Q$204,0)+4,"")-4))=""),"",INDEX('List B'!$A$5:$A$204,IF(IFERROR(MATCH(74,'List A'!$Q$5:$Q$204,0)+4,"")="","",INDEX('List A'!$K$5:$K$204,IFERROR(MATCH(74,'List A'!$Q$5:$Q$204,0)+4,"")-4))-4))</f>
        <v/>
      </c>
      <c r="F78" s="53">
        <f>IF(OR(IFERROR(MATCH(74,'List A'!$Q$5:$Q$204,0)+4,"")="",IF(IFERROR(MATCH(74,'List A'!$Q$5:$Q$204,0)+4,"")="","",INDEX('List A'!$K$5:$K$204,IFERROR(MATCH(74,'List A'!$Q$5:$Q$204,0)+4,"")-4))=""),"",INDEX('List B'!$B$5:$B$204,IF(IFERROR(MATCH(74,'List A'!$Q$5:$Q$204,0)+4,"")="","",INDEX('List A'!$K$5:$K$204,IFERROR(MATCH(74,'List A'!$Q$5:$Q$204,0)+4,"")-4))-4))</f>
        <v/>
      </c>
      <c r="G78" s="52">
        <f>IF(OR(IFERROR(MATCH(74,'List A'!$Q$5:$Q$204,0)+4,"")="",IF(IFERROR(MATCH(74,'List A'!$Q$5:$Q$204,0)+4,"")="","",INDEX('List A'!$K$5:$K$204,IFERROR(MATCH(74,'List A'!$Q$5:$Q$204,0)+4,"")-4))=""),"",INDEX('List B'!$C$5:$C$204,IF(IFERROR(MATCH(74,'List A'!$Q$5:$Q$204,0)+4,"")="","",INDEX('List A'!$K$5:$K$204,IFERROR(MATCH(74,'List A'!$Q$5:$Q$204,0)+4,"")-4))-4))</f>
        <v/>
      </c>
      <c r="H78" s="53">
        <f>IF(OR(IFERROR(MATCH(74,'List A'!$Q$5:$Q$204,0)+4,"")="",IF(IFERROR(MATCH(74,'List A'!$Q$5:$Q$204,0)+4,"")="","",INDEX('List A'!$K$5:$K$204,IFERROR(MATCH(74,'List A'!$Q$5:$Q$204,0)+4,"")-4))=""),"",INDEX('List B'!$D$5:$D$204,IF(IFERROR(MATCH(74,'List A'!$Q$5:$Q$204,0)+4,"")="","",INDEX('List A'!$K$5:$K$204,IFERROR(MATCH(74,'List A'!$Q$5:$Q$204,0)+4,"")-4))-4))</f>
        <v/>
      </c>
      <c r="I78" s="52">
        <f>IF(IFERROR(MATCH(74,'List A'!$Q$5:$Q$204,0)+4,"")="","",INDEX('List A'!$N$5:$N$204,IFERROR(MATCH(74,'List A'!$Q$5:$Q$204,0)+4,"")-4))</f>
        <v/>
      </c>
      <c r="J78" s="53">
        <f>IF(IFERROR(MATCH(74,'List A'!$Q$5:$Q$204,0)+4,"")="","",INDEX('List A'!$O$5:$O$204,IFERROR(MATCH(74,'List A'!$Q$5:$Q$204,0)+4,"")-4))</f>
        <v/>
      </c>
    </row>
    <row r="79" ht="17" customHeight="1">
      <c r="A79" s="87">
        <f>IF(IFERROR(MATCH(75,'List A'!$Q$5:$Q$204,0)+4,"")="","",INDEX('List A'!$A$5:$A$204,IFERROR(MATCH(75,'List A'!$Q$5:$Q$204,0)+4,"")-4))</f>
        <v/>
      </c>
      <c r="B79" s="53">
        <f>IF(IFERROR(MATCH(75,'List A'!$Q$5:$Q$204,0)+4,"")="","",INDEX('List A'!$B$5:$B$204,IFERROR(MATCH(75,'List A'!$Q$5:$Q$204,0)+4,"")-4))</f>
        <v/>
      </c>
      <c r="C79" s="52">
        <f>IF(IFERROR(MATCH(75,'List A'!$Q$5:$Q$204,0)+4,"")="","",INDEX('List A'!$C$5:$C$204,IFERROR(MATCH(75,'List A'!$Q$5:$Q$204,0)+4,"")-4))</f>
        <v/>
      </c>
      <c r="D79" s="53">
        <f>IF(IFERROR(MATCH(75,'List A'!$Q$5:$Q$204,0)+4,"")="","",INDEX('List A'!$D$5:$D$204,IFERROR(MATCH(75,'List A'!$Q$5:$Q$204,0)+4,"")-4))</f>
        <v/>
      </c>
      <c r="E79" s="87">
        <f>IF(OR(IFERROR(MATCH(75,'List A'!$Q$5:$Q$204,0)+4,"")="",IF(IFERROR(MATCH(75,'List A'!$Q$5:$Q$204,0)+4,"")="","",INDEX('List A'!$K$5:$K$204,IFERROR(MATCH(75,'List A'!$Q$5:$Q$204,0)+4,"")-4))=""),"",INDEX('List B'!$A$5:$A$204,IF(IFERROR(MATCH(75,'List A'!$Q$5:$Q$204,0)+4,"")="","",INDEX('List A'!$K$5:$K$204,IFERROR(MATCH(75,'List A'!$Q$5:$Q$204,0)+4,"")-4))-4))</f>
        <v/>
      </c>
      <c r="F79" s="53">
        <f>IF(OR(IFERROR(MATCH(75,'List A'!$Q$5:$Q$204,0)+4,"")="",IF(IFERROR(MATCH(75,'List A'!$Q$5:$Q$204,0)+4,"")="","",INDEX('List A'!$K$5:$K$204,IFERROR(MATCH(75,'List A'!$Q$5:$Q$204,0)+4,"")-4))=""),"",INDEX('List B'!$B$5:$B$204,IF(IFERROR(MATCH(75,'List A'!$Q$5:$Q$204,0)+4,"")="","",INDEX('List A'!$K$5:$K$204,IFERROR(MATCH(75,'List A'!$Q$5:$Q$204,0)+4,"")-4))-4))</f>
        <v/>
      </c>
      <c r="G79" s="52">
        <f>IF(OR(IFERROR(MATCH(75,'List A'!$Q$5:$Q$204,0)+4,"")="",IF(IFERROR(MATCH(75,'List A'!$Q$5:$Q$204,0)+4,"")="","",INDEX('List A'!$K$5:$K$204,IFERROR(MATCH(75,'List A'!$Q$5:$Q$204,0)+4,"")-4))=""),"",INDEX('List B'!$C$5:$C$204,IF(IFERROR(MATCH(75,'List A'!$Q$5:$Q$204,0)+4,"")="","",INDEX('List A'!$K$5:$K$204,IFERROR(MATCH(75,'List A'!$Q$5:$Q$204,0)+4,"")-4))-4))</f>
        <v/>
      </c>
      <c r="H79" s="53">
        <f>IF(OR(IFERROR(MATCH(75,'List A'!$Q$5:$Q$204,0)+4,"")="",IF(IFERROR(MATCH(75,'List A'!$Q$5:$Q$204,0)+4,"")="","",INDEX('List A'!$K$5:$K$204,IFERROR(MATCH(75,'List A'!$Q$5:$Q$204,0)+4,"")-4))=""),"",INDEX('List B'!$D$5:$D$204,IF(IFERROR(MATCH(75,'List A'!$Q$5:$Q$204,0)+4,"")="","",INDEX('List A'!$K$5:$K$204,IFERROR(MATCH(75,'List A'!$Q$5:$Q$204,0)+4,"")-4))-4))</f>
        <v/>
      </c>
      <c r="I79" s="52">
        <f>IF(IFERROR(MATCH(75,'List A'!$Q$5:$Q$204,0)+4,"")="","",INDEX('List A'!$N$5:$N$204,IFERROR(MATCH(75,'List A'!$Q$5:$Q$204,0)+4,"")-4))</f>
        <v/>
      </c>
      <c r="J79" s="53">
        <f>IF(IFERROR(MATCH(75,'List A'!$Q$5:$Q$204,0)+4,"")="","",INDEX('List A'!$O$5:$O$204,IFERROR(MATCH(75,'List A'!$Q$5:$Q$204,0)+4,"")-4))</f>
        <v/>
      </c>
    </row>
    <row r="80" ht="17" customHeight="1">
      <c r="A80" s="87">
        <f>IF(IFERROR(MATCH(76,'List A'!$Q$5:$Q$204,0)+4,"")="","",INDEX('List A'!$A$5:$A$204,IFERROR(MATCH(76,'List A'!$Q$5:$Q$204,0)+4,"")-4))</f>
        <v/>
      </c>
      <c r="B80" s="53">
        <f>IF(IFERROR(MATCH(76,'List A'!$Q$5:$Q$204,0)+4,"")="","",INDEX('List A'!$B$5:$B$204,IFERROR(MATCH(76,'List A'!$Q$5:$Q$204,0)+4,"")-4))</f>
        <v/>
      </c>
      <c r="C80" s="52">
        <f>IF(IFERROR(MATCH(76,'List A'!$Q$5:$Q$204,0)+4,"")="","",INDEX('List A'!$C$5:$C$204,IFERROR(MATCH(76,'List A'!$Q$5:$Q$204,0)+4,"")-4))</f>
        <v/>
      </c>
      <c r="D80" s="53">
        <f>IF(IFERROR(MATCH(76,'List A'!$Q$5:$Q$204,0)+4,"")="","",INDEX('List A'!$D$5:$D$204,IFERROR(MATCH(76,'List A'!$Q$5:$Q$204,0)+4,"")-4))</f>
        <v/>
      </c>
      <c r="E80" s="87">
        <f>IF(OR(IFERROR(MATCH(76,'List A'!$Q$5:$Q$204,0)+4,"")="",IF(IFERROR(MATCH(76,'List A'!$Q$5:$Q$204,0)+4,"")="","",INDEX('List A'!$K$5:$K$204,IFERROR(MATCH(76,'List A'!$Q$5:$Q$204,0)+4,"")-4))=""),"",INDEX('List B'!$A$5:$A$204,IF(IFERROR(MATCH(76,'List A'!$Q$5:$Q$204,0)+4,"")="","",INDEX('List A'!$K$5:$K$204,IFERROR(MATCH(76,'List A'!$Q$5:$Q$204,0)+4,"")-4))-4))</f>
        <v/>
      </c>
      <c r="F80" s="53">
        <f>IF(OR(IFERROR(MATCH(76,'List A'!$Q$5:$Q$204,0)+4,"")="",IF(IFERROR(MATCH(76,'List A'!$Q$5:$Q$204,0)+4,"")="","",INDEX('List A'!$K$5:$K$204,IFERROR(MATCH(76,'List A'!$Q$5:$Q$204,0)+4,"")-4))=""),"",INDEX('List B'!$B$5:$B$204,IF(IFERROR(MATCH(76,'List A'!$Q$5:$Q$204,0)+4,"")="","",INDEX('List A'!$K$5:$K$204,IFERROR(MATCH(76,'List A'!$Q$5:$Q$204,0)+4,"")-4))-4))</f>
        <v/>
      </c>
      <c r="G80" s="52">
        <f>IF(OR(IFERROR(MATCH(76,'List A'!$Q$5:$Q$204,0)+4,"")="",IF(IFERROR(MATCH(76,'List A'!$Q$5:$Q$204,0)+4,"")="","",INDEX('List A'!$K$5:$K$204,IFERROR(MATCH(76,'List A'!$Q$5:$Q$204,0)+4,"")-4))=""),"",INDEX('List B'!$C$5:$C$204,IF(IFERROR(MATCH(76,'List A'!$Q$5:$Q$204,0)+4,"")="","",INDEX('List A'!$K$5:$K$204,IFERROR(MATCH(76,'List A'!$Q$5:$Q$204,0)+4,"")-4))-4))</f>
        <v/>
      </c>
      <c r="H80" s="53">
        <f>IF(OR(IFERROR(MATCH(76,'List A'!$Q$5:$Q$204,0)+4,"")="",IF(IFERROR(MATCH(76,'List A'!$Q$5:$Q$204,0)+4,"")="","",INDEX('List A'!$K$5:$K$204,IFERROR(MATCH(76,'List A'!$Q$5:$Q$204,0)+4,"")-4))=""),"",INDEX('List B'!$D$5:$D$204,IF(IFERROR(MATCH(76,'List A'!$Q$5:$Q$204,0)+4,"")="","",INDEX('List A'!$K$5:$K$204,IFERROR(MATCH(76,'List A'!$Q$5:$Q$204,0)+4,"")-4))-4))</f>
        <v/>
      </c>
      <c r="I80" s="52">
        <f>IF(IFERROR(MATCH(76,'List A'!$Q$5:$Q$204,0)+4,"")="","",INDEX('List A'!$N$5:$N$204,IFERROR(MATCH(76,'List A'!$Q$5:$Q$204,0)+4,"")-4))</f>
        <v/>
      </c>
      <c r="J80" s="53">
        <f>IF(IFERROR(MATCH(76,'List A'!$Q$5:$Q$204,0)+4,"")="","",INDEX('List A'!$O$5:$O$204,IFERROR(MATCH(76,'List A'!$Q$5:$Q$204,0)+4,"")-4))</f>
        <v/>
      </c>
    </row>
    <row r="81" ht="17" customHeight="1">
      <c r="A81" s="87">
        <f>IF(IFERROR(MATCH(77,'List A'!$Q$5:$Q$204,0)+4,"")="","",INDEX('List A'!$A$5:$A$204,IFERROR(MATCH(77,'List A'!$Q$5:$Q$204,0)+4,"")-4))</f>
        <v/>
      </c>
      <c r="B81" s="53">
        <f>IF(IFERROR(MATCH(77,'List A'!$Q$5:$Q$204,0)+4,"")="","",INDEX('List A'!$B$5:$B$204,IFERROR(MATCH(77,'List A'!$Q$5:$Q$204,0)+4,"")-4))</f>
        <v/>
      </c>
      <c r="C81" s="52">
        <f>IF(IFERROR(MATCH(77,'List A'!$Q$5:$Q$204,0)+4,"")="","",INDEX('List A'!$C$5:$C$204,IFERROR(MATCH(77,'List A'!$Q$5:$Q$204,0)+4,"")-4))</f>
        <v/>
      </c>
      <c r="D81" s="53">
        <f>IF(IFERROR(MATCH(77,'List A'!$Q$5:$Q$204,0)+4,"")="","",INDEX('List A'!$D$5:$D$204,IFERROR(MATCH(77,'List A'!$Q$5:$Q$204,0)+4,"")-4))</f>
        <v/>
      </c>
      <c r="E81" s="87">
        <f>IF(OR(IFERROR(MATCH(77,'List A'!$Q$5:$Q$204,0)+4,"")="",IF(IFERROR(MATCH(77,'List A'!$Q$5:$Q$204,0)+4,"")="","",INDEX('List A'!$K$5:$K$204,IFERROR(MATCH(77,'List A'!$Q$5:$Q$204,0)+4,"")-4))=""),"",INDEX('List B'!$A$5:$A$204,IF(IFERROR(MATCH(77,'List A'!$Q$5:$Q$204,0)+4,"")="","",INDEX('List A'!$K$5:$K$204,IFERROR(MATCH(77,'List A'!$Q$5:$Q$204,0)+4,"")-4))-4))</f>
        <v/>
      </c>
      <c r="F81" s="53">
        <f>IF(OR(IFERROR(MATCH(77,'List A'!$Q$5:$Q$204,0)+4,"")="",IF(IFERROR(MATCH(77,'List A'!$Q$5:$Q$204,0)+4,"")="","",INDEX('List A'!$K$5:$K$204,IFERROR(MATCH(77,'List A'!$Q$5:$Q$204,0)+4,"")-4))=""),"",INDEX('List B'!$B$5:$B$204,IF(IFERROR(MATCH(77,'List A'!$Q$5:$Q$204,0)+4,"")="","",INDEX('List A'!$K$5:$K$204,IFERROR(MATCH(77,'List A'!$Q$5:$Q$204,0)+4,"")-4))-4))</f>
        <v/>
      </c>
      <c r="G81" s="52">
        <f>IF(OR(IFERROR(MATCH(77,'List A'!$Q$5:$Q$204,0)+4,"")="",IF(IFERROR(MATCH(77,'List A'!$Q$5:$Q$204,0)+4,"")="","",INDEX('List A'!$K$5:$K$204,IFERROR(MATCH(77,'List A'!$Q$5:$Q$204,0)+4,"")-4))=""),"",INDEX('List B'!$C$5:$C$204,IF(IFERROR(MATCH(77,'List A'!$Q$5:$Q$204,0)+4,"")="","",INDEX('List A'!$K$5:$K$204,IFERROR(MATCH(77,'List A'!$Q$5:$Q$204,0)+4,"")-4))-4))</f>
        <v/>
      </c>
      <c r="H81" s="53">
        <f>IF(OR(IFERROR(MATCH(77,'List A'!$Q$5:$Q$204,0)+4,"")="",IF(IFERROR(MATCH(77,'List A'!$Q$5:$Q$204,0)+4,"")="","",INDEX('List A'!$K$5:$K$204,IFERROR(MATCH(77,'List A'!$Q$5:$Q$204,0)+4,"")-4))=""),"",INDEX('List B'!$D$5:$D$204,IF(IFERROR(MATCH(77,'List A'!$Q$5:$Q$204,0)+4,"")="","",INDEX('List A'!$K$5:$K$204,IFERROR(MATCH(77,'List A'!$Q$5:$Q$204,0)+4,"")-4))-4))</f>
        <v/>
      </c>
      <c r="I81" s="52">
        <f>IF(IFERROR(MATCH(77,'List A'!$Q$5:$Q$204,0)+4,"")="","",INDEX('List A'!$N$5:$N$204,IFERROR(MATCH(77,'List A'!$Q$5:$Q$204,0)+4,"")-4))</f>
        <v/>
      </c>
      <c r="J81" s="53">
        <f>IF(IFERROR(MATCH(77,'List A'!$Q$5:$Q$204,0)+4,"")="","",INDEX('List A'!$O$5:$O$204,IFERROR(MATCH(77,'List A'!$Q$5:$Q$204,0)+4,"")-4))</f>
        <v/>
      </c>
    </row>
    <row r="82" ht="17" customHeight="1">
      <c r="A82" s="87">
        <f>IF(IFERROR(MATCH(78,'List A'!$Q$5:$Q$204,0)+4,"")="","",INDEX('List A'!$A$5:$A$204,IFERROR(MATCH(78,'List A'!$Q$5:$Q$204,0)+4,"")-4))</f>
        <v/>
      </c>
      <c r="B82" s="53">
        <f>IF(IFERROR(MATCH(78,'List A'!$Q$5:$Q$204,0)+4,"")="","",INDEX('List A'!$B$5:$B$204,IFERROR(MATCH(78,'List A'!$Q$5:$Q$204,0)+4,"")-4))</f>
        <v/>
      </c>
      <c r="C82" s="52">
        <f>IF(IFERROR(MATCH(78,'List A'!$Q$5:$Q$204,0)+4,"")="","",INDEX('List A'!$C$5:$C$204,IFERROR(MATCH(78,'List A'!$Q$5:$Q$204,0)+4,"")-4))</f>
        <v/>
      </c>
      <c r="D82" s="53">
        <f>IF(IFERROR(MATCH(78,'List A'!$Q$5:$Q$204,0)+4,"")="","",INDEX('List A'!$D$5:$D$204,IFERROR(MATCH(78,'List A'!$Q$5:$Q$204,0)+4,"")-4))</f>
        <v/>
      </c>
      <c r="E82" s="87">
        <f>IF(OR(IFERROR(MATCH(78,'List A'!$Q$5:$Q$204,0)+4,"")="",IF(IFERROR(MATCH(78,'List A'!$Q$5:$Q$204,0)+4,"")="","",INDEX('List A'!$K$5:$K$204,IFERROR(MATCH(78,'List A'!$Q$5:$Q$204,0)+4,"")-4))=""),"",INDEX('List B'!$A$5:$A$204,IF(IFERROR(MATCH(78,'List A'!$Q$5:$Q$204,0)+4,"")="","",INDEX('List A'!$K$5:$K$204,IFERROR(MATCH(78,'List A'!$Q$5:$Q$204,0)+4,"")-4))-4))</f>
        <v/>
      </c>
      <c r="F82" s="53">
        <f>IF(OR(IFERROR(MATCH(78,'List A'!$Q$5:$Q$204,0)+4,"")="",IF(IFERROR(MATCH(78,'List A'!$Q$5:$Q$204,0)+4,"")="","",INDEX('List A'!$K$5:$K$204,IFERROR(MATCH(78,'List A'!$Q$5:$Q$204,0)+4,"")-4))=""),"",INDEX('List B'!$B$5:$B$204,IF(IFERROR(MATCH(78,'List A'!$Q$5:$Q$204,0)+4,"")="","",INDEX('List A'!$K$5:$K$204,IFERROR(MATCH(78,'List A'!$Q$5:$Q$204,0)+4,"")-4))-4))</f>
        <v/>
      </c>
      <c r="G82" s="52">
        <f>IF(OR(IFERROR(MATCH(78,'List A'!$Q$5:$Q$204,0)+4,"")="",IF(IFERROR(MATCH(78,'List A'!$Q$5:$Q$204,0)+4,"")="","",INDEX('List A'!$K$5:$K$204,IFERROR(MATCH(78,'List A'!$Q$5:$Q$204,0)+4,"")-4))=""),"",INDEX('List B'!$C$5:$C$204,IF(IFERROR(MATCH(78,'List A'!$Q$5:$Q$204,0)+4,"")="","",INDEX('List A'!$K$5:$K$204,IFERROR(MATCH(78,'List A'!$Q$5:$Q$204,0)+4,"")-4))-4))</f>
        <v/>
      </c>
      <c r="H82" s="53">
        <f>IF(OR(IFERROR(MATCH(78,'List A'!$Q$5:$Q$204,0)+4,"")="",IF(IFERROR(MATCH(78,'List A'!$Q$5:$Q$204,0)+4,"")="","",INDEX('List A'!$K$5:$K$204,IFERROR(MATCH(78,'List A'!$Q$5:$Q$204,0)+4,"")-4))=""),"",INDEX('List B'!$D$5:$D$204,IF(IFERROR(MATCH(78,'List A'!$Q$5:$Q$204,0)+4,"")="","",INDEX('List A'!$K$5:$K$204,IFERROR(MATCH(78,'List A'!$Q$5:$Q$204,0)+4,"")-4))-4))</f>
        <v/>
      </c>
      <c r="I82" s="52">
        <f>IF(IFERROR(MATCH(78,'List A'!$Q$5:$Q$204,0)+4,"")="","",INDEX('List A'!$N$5:$N$204,IFERROR(MATCH(78,'List A'!$Q$5:$Q$204,0)+4,"")-4))</f>
        <v/>
      </c>
      <c r="J82" s="53">
        <f>IF(IFERROR(MATCH(78,'List A'!$Q$5:$Q$204,0)+4,"")="","",INDEX('List A'!$O$5:$O$204,IFERROR(MATCH(78,'List A'!$Q$5:$Q$204,0)+4,"")-4))</f>
        <v/>
      </c>
    </row>
    <row r="83" ht="17" customHeight="1">
      <c r="A83" s="87">
        <f>IF(IFERROR(MATCH(79,'List A'!$Q$5:$Q$204,0)+4,"")="","",INDEX('List A'!$A$5:$A$204,IFERROR(MATCH(79,'List A'!$Q$5:$Q$204,0)+4,"")-4))</f>
        <v/>
      </c>
      <c r="B83" s="53">
        <f>IF(IFERROR(MATCH(79,'List A'!$Q$5:$Q$204,0)+4,"")="","",INDEX('List A'!$B$5:$B$204,IFERROR(MATCH(79,'List A'!$Q$5:$Q$204,0)+4,"")-4))</f>
        <v/>
      </c>
      <c r="C83" s="52">
        <f>IF(IFERROR(MATCH(79,'List A'!$Q$5:$Q$204,0)+4,"")="","",INDEX('List A'!$C$5:$C$204,IFERROR(MATCH(79,'List A'!$Q$5:$Q$204,0)+4,"")-4))</f>
        <v/>
      </c>
      <c r="D83" s="53">
        <f>IF(IFERROR(MATCH(79,'List A'!$Q$5:$Q$204,0)+4,"")="","",INDEX('List A'!$D$5:$D$204,IFERROR(MATCH(79,'List A'!$Q$5:$Q$204,0)+4,"")-4))</f>
        <v/>
      </c>
      <c r="E83" s="87">
        <f>IF(OR(IFERROR(MATCH(79,'List A'!$Q$5:$Q$204,0)+4,"")="",IF(IFERROR(MATCH(79,'List A'!$Q$5:$Q$204,0)+4,"")="","",INDEX('List A'!$K$5:$K$204,IFERROR(MATCH(79,'List A'!$Q$5:$Q$204,0)+4,"")-4))=""),"",INDEX('List B'!$A$5:$A$204,IF(IFERROR(MATCH(79,'List A'!$Q$5:$Q$204,0)+4,"")="","",INDEX('List A'!$K$5:$K$204,IFERROR(MATCH(79,'List A'!$Q$5:$Q$204,0)+4,"")-4))-4))</f>
        <v/>
      </c>
      <c r="F83" s="53">
        <f>IF(OR(IFERROR(MATCH(79,'List A'!$Q$5:$Q$204,0)+4,"")="",IF(IFERROR(MATCH(79,'List A'!$Q$5:$Q$204,0)+4,"")="","",INDEX('List A'!$K$5:$K$204,IFERROR(MATCH(79,'List A'!$Q$5:$Q$204,0)+4,"")-4))=""),"",INDEX('List B'!$B$5:$B$204,IF(IFERROR(MATCH(79,'List A'!$Q$5:$Q$204,0)+4,"")="","",INDEX('List A'!$K$5:$K$204,IFERROR(MATCH(79,'List A'!$Q$5:$Q$204,0)+4,"")-4))-4))</f>
        <v/>
      </c>
      <c r="G83" s="52">
        <f>IF(OR(IFERROR(MATCH(79,'List A'!$Q$5:$Q$204,0)+4,"")="",IF(IFERROR(MATCH(79,'List A'!$Q$5:$Q$204,0)+4,"")="","",INDEX('List A'!$K$5:$K$204,IFERROR(MATCH(79,'List A'!$Q$5:$Q$204,0)+4,"")-4))=""),"",INDEX('List B'!$C$5:$C$204,IF(IFERROR(MATCH(79,'List A'!$Q$5:$Q$204,0)+4,"")="","",INDEX('List A'!$K$5:$K$204,IFERROR(MATCH(79,'List A'!$Q$5:$Q$204,0)+4,"")-4))-4))</f>
        <v/>
      </c>
      <c r="H83" s="53">
        <f>IF(OR(IFERROR(MATCH(79,'List A'!$Q$5:$Q$204,0)+4,"")="",IF(IFERROR(MATCH(79,'List A'!$Q$5:$Q$204,0)+4,"")="","",INDEX('List A'!$K$5:$K$204,IFERROR(MATCH(79,'List A'!$Q$5:$Q$204,0)+4,"")-4))=""),"",INDEX('List B'!$D$5:$D$204,IF(IFERROR(MATCH(79,'List A'!$Q$5:$Q$204,0)+4,"")="","",INDEX('List A'!$K$5:$K$204,IFERROR(MATCH(79,'List A'!$Q$5:$Q$204,0)+4,"")-4))-4))</f>
        <v/>
      </c>
      <c r="I83" s="52">
        <f>IF(IFERROR(MATCH(79,'List A'!$Q$5:$Q$204,0)+4,"")="","",INDEX('List A'!$N$5:$N$204,IFERROR(MATCH(79,'List A'!$Q$5:$Q$204,0)+4,"")-4))</f>
        <v/>
      </c>
      <c r="J83" s="53">
        <f>IF(IFERROR(MATCH(79,'List A'!$Q$5:$Q$204,0)+4,"")="","",INDEX('List A'!$O$5:$O$204,IFERROR(MATCH(79,'List A'!$Q$5:$Q$204,0)+4,"")-4))</f>
        <v/>
      </c>
    </row>
    <row r="84" ht="17" customHeight="1">
      <c r="A84" s="87">
        <f>IF(IFERROR(MATCH(80,'List A'!$Q$5:$Q$204,0)+4,"")="","",INDEX('List A'!$A$5:$A$204,IFERROR(MATCH(80,'List A'!$Q$5:$Q$204,0)+4,"")-4))</f>
        <v/>
      </c>
      <c r="B84" s="53">
        <f>IF(IFERROR(MATCH(80,'List A'!$Q$5:$Q$204,0)+4,"")="","",INDEX('List A'!$B$5:$B$204,IFERROR(MATCH(80,'List A'!$Q$5:$Q$204,0)+4,"")-4))</f>
        <v/>
      </c>
      <c r="C84" s="52">
        <f>IF(IFERROR(MATCH(80,'List A'!$Q$5:$Q$204,0)+4,"")="","",INDEX('List A'!$C$5:$C$204,IFERROR(MATCH(80,'List A'!$Q$5:$Q$204,0)+4,"")-4))</f>
        <v/>
      </c>
      <c r="D84" s="53">
        <f>IF(IFERROR(MATCH(80,'List A'!$Q$5:$Q$204,0)+4,"")="","",INDEX('List A'!$D$5:$D$204,IFERROR(MATCH(80,'List A'!$Q$5:$Q$204,0)+4,"")-4))</f>
        <v/>
      </c>
      <c r="E84" s="87">
        <f>IF(OR(IFERROR(MATCH(80,'List A'!$Q$5:$Q$204,0)+4,"")="",IF(IFERROR(MATCH(80,'List A'!$Q$5:$Q$204,0)+4,"")="","",INDEX('List A'!$K$5:$K$204,IFERROR(MATCH(80,'List A'!$Q$5:$Q$204,0)+4,"")-4))=""),"",INDEX('List B'!$A$5:$A$204,IF(IFERROR(MATCH(80,'List A'!$Q$5:$Q$204,0)+4,"")="","",INDEX('List A'!$K$5:$K$204,IFERROR(MATCH(80,'List A'!$Q$5:$Q$204,0)+4,"")-4))-4))</f>
        <v/>
      </c>
      <c r="F84" s="53">
        <f>IF(OR(IFERROR(MATCH(80,'List A'!$Q$5:$Q$204,0)+4,"")="",IF(IFERROR(MATCH(80,'List A'!$Q$5:$Q$204,0)+4,"")="","",INDEX('List A'!$K$5:$K$204,IFERROR(MATCH(80,'List A'!$Q$5:$Q$204,0)+4,"")-4))=""),"",INDEX('List B'!$B$5:$B$204,IF(IFERROR(MATCH(80,'List A'!$Q$5:$Q$204,0)+4,"")="","",INDEX('List A'!$K$5:$K$204,IFERROR(MATCH(80,'List A'!$Q$5:$Q$204,0)+4,"")-4))-4))</f>
        <v/>
      </c>
      <c r="G84" s="52">
        <f>IF(OR(IFERROR(MATCH(80,'List A'!$Q$5:$Q$204,0)+4,"")="",IF(IFERROR(MATCH(80,'List A'!$Q$5:$Q$204,0)+4,"")="","",INDEX('List A'!$K$5:$K$204,IFERROR(MATCH(80,'List A'!$Q$5:$Q$204,0)+4,"")-4))=""),"",INDEX('List B'!$C$5:$C$204,IF(IFERROR(MATCH(80,'List A'!$Q$5:$Q$204,0)+4,"")="","",INDEX('List A'!$K$5:$K$204,IFERROR(MATCH(80,'List A'!$Q$5:$Q$204,0)+4,"")-4))-4))</f>
        <v/>
      </c>
      <c r="H84" s="53">
        <f>IF(OR(IFERROR(MATCH(80,'List A'!$Q$5:$Q$204,0)+4,"")="",IF(IFERROR(MATCH(80,'List A'!$Q$5:$Q$204,0)+4,"")="","",INDEX('List A'!$K$5:$K$204,IFERROR(MATCH(80,'List A'!$Q$5:$Q$204,0)+4,"")-4))=""),"",INDEX('List B'!$D$5:$D$204,IF(IFERROR(MATCH(80,'List A'!$Q$5:$Q$204,0)+4,"")="","",INDEX('List A'!$K$5:$K$204,IFERROR(MATCH(80,'List A'!$Q$5:$Q$204,0)+4,"")-4))-4))</f>
        <v/>
      </c>
      <c r="I84" s="52">
        <f>IF(IFERROR(MATCH(80,'List A'!$Q$5:$Q$204,0)+4,"")="","",INDEX('List A'!$N$5:$N$204,IFERROR(MATCH(80,'List A'!$Q$5:$Q$204,0)+4,"")-4))</f>
        <v/>
      </c>
      <c r="J84" s="53">
        <f>IF(IFERROR(MATCH(80,'List A'!$Q$5:$Q$204,0)+4,"")="","",INDEX('List A'!$O$5:$O$204,IFERROR(MATCH(80,'List A'!$Q$5:$Q$204,0)+4,"")-4))</f>
        <v/>
      </c>
    </row>
    <row r="85" ht="17" customHeight="1">
      <c r="A85" s="87">
        <f>IF(IFERROR(MATCH(81,'List A'!$Q$5:$Q$204,0)+4,"")="","",INDEX('List A'!$A$5:$A$204,IFERROR(MATCH(81,'List A'!$Q$5:$Q$204,0)+4,"")-4))</f>
        <v/>
      </c>
      <c r="B85" s="53">
        <f>IF(IFERROR(MATCH(81,'List A'!$Q$5:$Q$204,0)+4,"")="","",INDEX('List A'!$B$5:$B$204,IFERROR(MATCH(81,'List A'!$Q$5:$Q$204,0)+4,"")-4))</f>
        <v/>
      </c>
      <c r="C85" s="52">
        <f>IF(IFERROR(MATCH(81,'List A'!$Q$5:$Q$204,0)+4,"")="","",INDEX('List A'!$C$5:$C$204,IFERROR(MATCH(81,'List A'!$Q$5:$Q$204,0)+4,"")-4))</f>
        <v/>
      </c>
      <c r="D85" s="53">
        <f>IF(IFERROR(MATCH(81,'List A'!$Q$5:$Q$204,0)+4,"")="","",INDEX('List A'!$D$5:$D$204,IFERROR(MATCH(81,'List A'!$Q$5:$Q$204,0)+4,"")-4))</f>
        <v/>
      </c>
      <c r="E85" s="87">
        <f>IF(OR(IFERROR(MATCH(81,'List A'!$Q$5:$Q$204,0)+4,"")="",IF(IFERROR(MATCH(81,'List A'!$Q$5:$Q$204,0)+4,"")="","",INDEX('List A'!$K$5:$K$204,IFERROR(MATCH(81,'List A'!$Q$5:$Q$204,0)+4,"")-4))=""),"",INDEX('List B'!$A$5:$A$204,IF(IFERROR(MATCH(81,'List A'!$Q$5:$Q$204,0)+4,"")="","",INDEX('List A'!$K$5:$K$204,IFERROR(MATCH(81,'List A'!$Q$5:$Q$204,0)+4,"")-4))-4))</f>
        <v/>
      </c>
      <c r="F85" s="53">
        <f>IF(OR(IFERROR(MATCH(81,'List A'!$Q$5:$Q$204,0)+4,"")="",IF(IFERROR(MATCH(81,'List A'!$Q$5:$Q$204,0)+4,"")="","",INDEX('List A'!$K$5:$K$204,IFERROR(MATCH(81,'List A'!$Q$5:$Q$204,0)+4,"")-4))=""),"",INDEX('List B'!$B$5:$B$204,IF(IFERROR(MATCH(81,'List A'!$Q$5:$Q$204,0)+4,"")="","",INDEX('List A'!$K$5:$K$204,IFERROR(MATCH(81,'List A'!$Q$5:$Q$204,0)+4,"")-4))-4))</f>
        <v/>
      </c>
      <c r="G85" s="52">
        <f>IF(OR(IFERROR(MATCH(81,'List A'!$Q$5:$Q$204,0)+4,"")="",IF(IFERROR(MATCH(81,'List A'!$Q$5:$Q$204,0)+4,"")="","",INDEX('List A'!$K$5:$K$204,IFERROR(MATCH(81,'List A'!$Q$5:$Q$204,0)+4,"")-4))=""),"",INDEX('List B'!$C$5:$C$204,IF(IFERROR(MATCH(81,'List A'!$Q$5:$Q$204,0)+4,"")="","",INDEX('List A'!$K$5:$K$204,IFERROR(MATCH(81,'List A'!$Q$5:$Q$204,0)+4,"")-4))-4))</f>
        <v/>
      </c>
      <c r="H85" s="53">
        <f>IF(OR(IFERROR(MATCH(81,'List A'!$Q$5:$Q$204,0)+4,"")="",IF(IFERROR(MATCH(81,'List A'!$Q$5:$Q$204,0)+4,"")="","",INDEX('List A'!$K$5:$K$204,IFERROR(MATCH(81,'List A'!$Q$5:$Q$204,0)+4,"")-4))=""),"",INDEX('List B'!$D$5:$D$204,IF(IFERROR(MATCH(81,'List A'!$Q$5:$Q$204,0)+4,"")="","",INDEX('List A'!$K$5:$K$204,IFERROR(MATCH(81,'List A'!$Q$5:$Q$204,0)+4,"")-4))-4))</f>
        <v/>
      </c>
      <c r="I85" s="52">
        <f>IF(IFERROR(MATCH(81,'List A'!$Q$5:$Q$204,0)+4,"")="","",INDEX('List A'!$N$5:$N$204,IFERROR(MATCH(81,'List A'!$Q$5:$Q$204,0)+4,"")-4))</f>
        <v/>
      </c>
      <c r="J85" s="53">
        <f>IF(IFERROR(MATCH(81,'List A'!$Q$5:$Q$204,0)+4,"")="","",INDEX('List A'!$O$5:$O$204,IFERROR(MATCH(81,'List A'!$Q$5:$Q$204,0)+4,"")-4))</f>
        <v/>
      </c>
    </row>
    <row r="86" ht="17" customHeight="1">
      <c r="A86" s="87">
        <f>IF(IFERROR(MATCH(82,'List A'!$Q$5:$Q$204,0)+4,"")="","",INDEX('List A'!$A$5:$A$204,IFERROR(MATCH(82,'List A'!$Q$5:$Q$204,0)+4,"")-4))</f>
        <v/>
      </c>
      <c r="B86" s="53">
        <f>IF(IFERROR(MATCH(82,'List A'!$Q$5:$Q$204,0)+4,"")="","",INDEX('List A'!$B$5:$B$204,IFERROR(MATCH(82,'List A'!$Q$5:$Q$204,0)+4,"")-4))</f>
        <v/>
      </c>
      <c r="C86" s="52">
        <f>IF(IFERROR(MATCH(82,'List A'!$Q$5:$Q$204,0)+4,"")="","",INDEX('List A'!$C$5:$C$204,IFERROR(MATCH(82,'List A'!$Q$5:$Q$204,0)+4,"")-4))</f>
        <v/>
      </c>
      <c r="D86" s="53">
        <f>IF(IFERROR(MATCH(82,'List A'!$Q$5:$Q$204,0)+4,"")="","",INDEX('List A'!$D$5:$D$204,IFERROR(MATCH(82,'List A'!$Q$5:$Q$204,0)+4,"")-4))</f>
        <v/>
      </c>
      <c r="E86" s="87">
        <f>IF(OR(IFERROR(MATCH(82,'List A'!$Q$5:$Q$204,0)+4,"")="",IF(IFERROR(MATCH(82,'List A'!$Q$5:$Q$204,0)+4,"")="","",INDEX('List A'!$K$5:$K$204,IFERROR(MATCH(82,'List A'!$Q$5:$Q$204,0)+4,"")-4))=""),"",INDEX('List B'!$A$5:$A$204,IF(IFERROR(MATCH(82,'List A'!$Q$5:$Q$204,0)+4,"")="","",INDEX('List A'!$K$5:$K$204,IFERROR(MATCH(82,'List A'!$Q$5:$Q$204,0)+4,"")-4))-4))</f>
        <v/>
      </c>
      <c r="F86" s="53">
        <f>IF(OR(IFERROR(MATCH(82,'List A'!$Q$5:$Q$204,0)+4,"")="",IF(IFERROR(MATCH(82,'List A'!$Q$5:$Q$204,0)+4,"")="","",INDEX('List A'!$K$5:$K$204,IFERROR(MATCH(82,'List A'!$Q$5:$Q$204,0)+4,"")-4))=""),"",INDEX('List B'!$B$5:$B$204,IF(IFERROR(MATCH(82,'List A'!$Q$5:$Q$204,0)+4,"")="","",INDEX('List A'!$K$5:$K$204,IFERROR(MATCH(82,'List A'!$Q$5:$Q$204,0)+4,"")-4))-4))</f>
        <v/>
      </c>
      <c r="G86" s="52">
        <f>IF(OR(IFERROR(MATCH(82,'List A'!$Q$5:$Q$204,0)+4,"")="",IF(IFERROR(MATCH(82,'List A'!$Q$5:$Q$204,0)+4,"")="","",INDEX('List A'!$K$5:$K$204,IFERROR(MATCH(82,'List A'!$Q$5:$Q$204,0)+4,"")-4))=""),"",INDEX('List B'!$C$5:$C$204,IF(IFERROR(MATCH(82,'List A'!$Q$5:$Q$204,0)+4,"")="","",INDEX('List A'!$K$5:$K$204,IFERROR(MATCH(82,'List A'!$Q$5:$Q$204,0)+4,"")-4))-4))</f>
        <v/>
      </c>
      <c r="H86" s="53">
        <f>IF(OR(IFERROR(MATCH(82,'List A'!$Q$5:$Q$204,0)+4,"")="",IF(IFERROR(MATCH(82,'List A'!$Q$5:$Q$204,0)+4,"")="","",INDEX('List A'!$K$5:$K$204,IFERROR(MATCH(82,'List A'!$Q$5:$Q$204,0)+4,"")-4))=""),"",INDEX('List B'!$D$5:$D$204,IF(IFERROR(MATCH(82,'List A'!$Q$5:$Q$204,0)+4,"")="","",INDEX('List A'!$K$5:$K$204,IFERROR(MATCH(82,'List A'!$Q$5:$Q$204,0)+4,"")-4))-4))</f>
        <v/>
      </c>
      <c r="I86" s="52">
        <f>IF(IFERROR(MATCH(82,'List A'!$Q$5:$Q$204,0)+4,"")="","",INDEX('List A'!$N$5:$N$204,IFERROR(MATCH(82,'List A'!$Q$5:$Q$204,0)+4,"")-4))</f>
        <v/>
      </c>
      <c r="J86" s="53">
        <f>IF(IFERROR(MATCH(82,'List A'!$Q$5:$Q$204,0)+4,"")="","",INDEX('List A'!$O$5:$O$204,IFERROR(MATCH(82,'List A'!$Q$5:$Q$204,0)+4,"")-4))</f>
        <v/>
      </c>
    </row>
    <row r="87" ht="17" customHeight="1">
      <c r="A87" s="87">
        <f>IF(IFERROR(MATCH(83,'List A'!$Q$5:$Q$204,0)+4,"")="","",INDEX('List A'!$A$5:$A$204,IFERROR(MATCH(83,'List A'!$Q$5:$Q$204,0)+4,"")-4))</f>
        <v/>
      </c>
      <c r="B87" s="53">
        <f>IF(IFERROR(MATCH(83,'List A'!$Q$5:$Q$204,0)+4,"")="","",INDEX('List A'!$B$5:$B$204,IFERROR(MATCH(83,'List A'!$Q$5:$Q$204,0)+4,"")-4))</f>
        <v/>
      </c>
      <c r="C87" s="52">
        <f>IF(IFERROR(MATCH(83,'List A'!$Q$5:$Q$204,0)+4,"")="","",INDEX('List A'!$C$5:$C$204,IFERROR(MATCH(83,'List A'!$Q$5:$Q$204,0)+4,"")-4))</f>
        <v/>
      </c>
      <c r="D87" s="53">
        <f>IF(IFERROR(MATCH(83,'List A'!$Q$5:$Q$204,0)+4,"")="","",INDEX('List A'!$D$5:$D$204,IFERROR(MATCH(83,'List A'!$Q$5:$Q$204,0)+4,"")-4))</f>
        <v/>
      </c>
      <c r="E87" s="87">
        <f>IF(OR(IFERROR(MATCH(83,'List A'!$Q$5:$Q$204,0)+4,"")="",IF(IFERROR(MATCH(83,'List A'!$Q$5:$Q$204,0)+4,"")="","",INDEX('List A'!$K$5:$K$204,IFERROR(MATCH(83,'List A'!$Q$5:$Q$204,0)+4,"")-4))=""),"",INDEX('List B'!$A$5:$A$204,IF(IFERROR(MATCH(83,'List A'!$Q$5:$Q$204,0)+4,"")="","",INDEX('List A'!$K$5:$K$204,IFERROR(MATCH(83,'List A'!$Q$5:$Q$204,0)+4,"")-4))-4))</f>
        <v/>
      </c>
      <c r="F87" s="53">
        <f>IF(OR(IFERROR(MATCH(83,'List A'!$Q$5:$Q$204,0)+4,"")="",IF(IFERROR(MATCH(83,'List A'!$Q$5:$Q$204,0)+4,"")="","",INDEX('List A'!$K$5:$K$204,IFERROR(MATCH(83,'List A'!$Q$5:$Q$204,0)+4,"")-4))=""),"",INDEX('List B'!$B$5:$B$204,IF(IFERROR(MATCH(83,'List A'!$Q$5:$Q$204,0)+4,"")="","",INDEX('List A'!$K$5:$K$204,IFERROR(MATCH(83,'List A'!$Q$5:$Q$204,0)+4,"")-4))-4))</f>
        <v/>
      </c>
      <c r="G87" s="52">
        <f>IF(OR(IFERROR(MATCH(83,'List A'!$Q$5:$Q$204,0)+4,"")="",IF(IFERROR(MATCH(83,'List A'!$Q$5:$Q$204,0)+4,"")="","",INDEX('List A'!$K$5:$K$204,IFERROR(MATCH(83,'List A'!$Q$5:$Q$204,0)+4,"")-4))=""),"",INDEX('List B'!$C$5:$C$204,IF(IFERROR(MATCH(83,'List A'!$Q$5:$Q$204,0)+4,"")="","",INDEX('List A'!$K$5:$K$204,IFERROR(MATCH(83,'List A'!$Q$5:$Q$204,0)+4,"")-4))-4))</f>
        <v/>
      </c>
      <c r="H87" s="53">
        <f>IF(OR(IFERROR(MATCH(83,'List A'!$Q$5:$Q$204,0)+4,"")="",IF(IFERROR(MATCH(83,'List A'!$Q$5:$Q$204,0)+4,"")="","",INDEX('List A'!$K$5:$K$204,IFERROR(MATCH(83,'List A'!$Q$5:$Q$204,0)+4,"")-4))=""),"",INDEX('List B'!$D$5:$D$204,IF(IFERROR(MATCH(83,'List A'!$Q$5:$Q$204,0)+4,"")="","",INDEX('List A'!$K$5:$K$204,IFERROR(MATCH(83,'List A'!$Q$5:$Q$204,0)+4,"")-4))-4))</f>
        <v/>
      </c>
      <c r="I87" s="52">
        <f>IF(IFERROR(MATCH(83,'List A'!$Q$5:$Q$204,0)+4,"")="","",INDEX('List A'!$N$5:$N$204,IFERROR(MATCH(83,'List A'!$Q$5:$Q$204,0)+4,"")-4))</f>
        <v/>
      </c>
      <c r="J87" s="53">
        <f>IF(IFERROR(MATCH(83,'List A'!$Q$5:$Q$204,0)+4,"")="","",INDEX('List A'!$O$5:$O$204,IFERROR(MATCH(83,'List A'!$Q$5:$Q$204,0)+4,"")-4))</f>
        <v/>
      </c>
    </row>
    <row r="88" ht="17" customHeight="1">
      <c r="A88" s="87">
        <f>IF(IFERROR(MATCH(84,'List A'!$Q$5:$Q$204,0)+4,"")="","",INDEX('List A'!$A$5:$A$204,IFERROR(MATCH(84,'List A'!$Q$5:$Q$204,0)+4,"")-4))</f>
        <v/>
      </c>
      <c r="B88" s="53">
        <f>IF(IFERROR(MATCH(84,'List A'!$Q$5:$Q$204,0)+4,"")="","",INDEX('List A'!$B$5:$B$204,IFERROR(MATCH(84,'List A'!$Q$5:$Q$204,0)+4,"")-4))</f>
        <v/>
      </c>
      <c r="C88" s="52">
        <f>IF(IFERROR(MATCH(84,'List A'!$Q$5:$Q$204,0)+4,"")="","",INDEX('List A'!$C$5:$C$204,IFERROR(MATCH(84,'List A'!$Q$5:$Q$204,0)+4,"")-4))</f>
        <v/>
      </c>
      <c r="D88" s="53">
        <f>IF(IFERROR(MATCH(84,'List A'!$Q$5:$Q$204,0)+4,"")="","",INDEX('List A'!$D$5:$D$204,IFERROR(MATCH(84,'List A'!$Q$5:$Q$204,0)+4,"")-4))</f>
        <v/>
      </c>
      <c r="E88" s="87">
        <f>IF(OR(IFERROR(MATCH(84,'List A'!$Q$5:$Q$204,0)+4,"")="",IF(IFERROR(MATCH(84,'List A'!$Q$5:$Q$204,0)+4,"")="","",INDEX('List A'!$K$5:$K$204,IFERROR(MATCH(84,'List A'!$Q$5:$Q$204,0)+4,"")-4))=""),"",INDEX('List B'!$A$5:$A$204,IF(IFERROR(MATCH(84,'List A'!$Q$5:$Q$204,0)+4,"")="","",INDEX('List A'!$K$5:$K$204,IFERROR(MATCH(84,'List A'!$Q$5:$Q$204,0)+4,"")-4))-4))</f>
        <v/>
      </c>
      <c r="F88" s="53">
        <f>IF(OR(IFERROR(MATCH(84,'List A'!$Q$5:$Q$204,0)+4,"")="",IF(IFERROR(MATCH(84,'List A'!$Q$5:$Q$204,0)+4,"")="","",INDEX('List A'!$K$5:$K$204,IFERROR(MATCH(84,'List A'!$Q$5:$Q$204,0)+4,"")-4))=""),"",INDEX('List B'!$B$5:$B$204,IF(IFERROR(MATCH(84,'List A'!$Q$5:$Q$204,0)+4,"")="","",INDEX('List A'!$K$5:$K$204,IFERROR(MATCH(84,'List A'!$Q$5:$Q$204,0)+4,"")-4))-4))</f>
        <v/>
      </c>
      <c r="G88" s="52">
        <f>IF(OR(IFERROR(MATCH(84,'List A'!$Q$5:$Q$204,0)+4,"")="",IF(IFERROR(MATCH(84,'List A'!$Q$5:$Q$204,0)+4,"")="","",INDEX('List A'!$K$5:$K$204,IFERROR(MATCH(84,'List A'!$Q$5:$Q$204,0)+4,"")-4))=""),"",INDEX('List B'!$C$5:$C$204,IF(IFERROR(MATCH(84,'List A'!$Q$5:$Q$204,0)+4,"")="","",INDEX('List A'!$K$5:$K$204,IFERROR(MATCH(84,'List A'!$Q$5:$Q$204,0)+4,"")-4))-4))</f>
        <v/>
      </c>
      <c r="H88" s="53">
        <f>IF(OR(IFERROR(MATCH(84,'List A'!$Q$5:$Q$204,0)+4,"")="",IF(IFERROR(MATCH(84,'List A'!$Q$5:$Q$204,0)+4,"")="","",INDEX('List A'!$K$5:$K$204,IFERROR(MATCH(84,'List A'!$Q$5:$Q$204,0)+4,"")-4))=""),"",INDEX('List B'!$D$5:$D$204,IF(IFERROR(MATCH(84,'List A'!$Q$5:$Q$204,0)+4,"")="","",INDEX('List A'!$K$5:$K$204,IFERROR(MATCH(84,'List A'!$Q$5:$Q$204,0)+4,"")-4))-4))</f>
        <v/>
      </c>
      <c r="I88" s="52">
        <f>IF(IFERROR(MATCH(84,'List A'!$Q$5:$Q$204,0)+4,"")="","",INDEX('List A'!$N$5:$N$204,IFERROR(MATCH(84,'List A'!$Q$5:$Q$204,0)+4,"")-4))</f>
        <v/>
      </c>
      <c r="J88" s="53">
        <f>IF(IFERROR(MATCH(84,'List A'!$Q$5:$Q$204,0)+4,"")="","",INDEX('List A'!$O$5:$O$204,IFERROR(MATCH(84,'List A'!$Q$5:$Q$204,0)+4,"")-4))</f>
        <v/>
      </c>
    </row>
    <row r="89" ht="17" customHeight="1">
      <c r="A89" s="87">
        <f>IF(IFERROR(MATCH(85,'List A'!$Q$5:$Q$204,0)+4,"")="","",INDEX('List A'!$A$5:$A$204,IFERROR(MATCH(85,'List A'!$Q$5:$Q$204,0)+4,"")-4))</f>
        <v/>
      </c>
      <c r="B89" s="53">
        <f>IF(IFERROR(MATCH(85,'List A'!$Q$5:$Q$204,0)+4,"")="","",INDEX('List A'!$B$5:$B$204,IFERROR(MATCH(85,'List A'!$Q$5:$Q$204,0)+4,"")-4))</f>
        <v/>
      </c>
      <c r="C89" s="52">
        <f>IF(IFERROR(MATCH(85,'List A'!$Q$5:$Q$204,0)+4,"")="","",INDEX('List A'!$C$5:$C$204,IFERROR(MATCH(85,'List A'!$Q$5:$Q$204,0)+4,"")-4))</f>
        <v/>
      </c>
      <c r="D89" s="53">
        <f>IF(IFERROR(MATCH(85,'List A'!$Q$5:$Q$204,0)+4,"")="","",INDEX('List A'!$D$5:$D$204,IFERROR(MATCH(85,'List A'!$Q$5:$Q$204,0)+4,"")-4))</f>
        <v/>
      </c>
      <c r="E89" s="87">
        <f>IF(OR(IFERROR(MATCH(85,'List A'!$Q$5:$Q$204,0)+4,"")="",IF(IFERROR(MATCH(85,'List A'!$Q$5:$Q$204,0)+4,"")="","",INDEX('List A'!$K$5:$K$204,IFERROR(MATCH(85,'List A'!$Q$5:$Q$204,0)+4,"")-4))=""),"",INDEX('List B'!$A$5:$A$204,IF(IFERROR(MATCH(85,'List A'!$Q$5:$Q$204,0)+4,"")="","",INDEX('List A'!$K$5:$K$204,IFERROR(MATCH(85,'List A'!$Q$5:$Q$204,0)+4,"")-4))-4))</f>
        <v/>
      </c>
      <c r="F89" s="53">
        <f>IF(OR(IFERROR(MATCH(85,'List A'!$Q$5:$Q$204,0)+4,"")="",IF(IFERROR(MATCH(85,'List A'!$Q$5:$Q$204,0)+4,"")="","",INDEX('List A'!$K$5:$K$204,IFERROR(MATCH(85,'List A'!$Q$5:$Q$204,0)+4,"")-4))=""),"",INDEX('List B'!$B$5:$B$204,IF(IFERROR(MATCH(85,'List A'!$Q$5:$Q$204,0)+4,"")="","",INDEX('List A'!$K$5:$K$204,IFERROR(MATCH(85,'List A'!$Q$5:$Q$204,0)+4,"")-4))-4))</f>
        <v/>
      </c>
      <c r="G89" s="52">
        <f>IF(OR(IFERROR(MATCH(85,'List A'!$Q$5:$Q$204,0)+4,"")="",IF(IFERROR(MATCH(85,'List A'!$Q$5:$Q$204,0)+4,"")="","",INDEX('List A'!$K$5:$K$204,IFERROR(MATCH(85,'List A'!$Q$5:$Q$204,0)+4,"")-4))=""),"",INDEX('List B'!$C$5:$C$204,IF(IFERROR(MATCH(85,'List A'!$Q$5:$Q$204,0)+4,"")="","",INDEX('List A'!$K$5:$K$204,IFERROR(MATCH(85,'List A'!$Q$5:$Q$204,0)+4,"")-4))-4))</f>
        <v/>
      </c>
      <c r="H89" s="53">
        <f>IF(OR(IFERROR(MATCH(85,'List A'!$Q$5:$Q$204,0)+4,"")="",IF(IFERROR(MATCH(85,'List A'!$Q$5:$Q$204,0)+4,"")="","",INDEX('List A'!$K$5:$K$204,IFERROR(MATCH(85,'List A'!$Q$5:$Q$204,0)+4,"")-4))=""),"",INDEX('List B'!$D$5:$D$204,IF(IFERROR(MATCH(85,'List A'!$Q$5:$Q$204,0)+4,"")="","",INDEX('List A'!$K$5:$K$204,IFERROR(MATCH(85,'List A'!$Q$5:$Q$204,0)+4,"")-4))-4))</f>
        <v/>
      </c>
      <c r="I89" s="52">
        <f>IF(IFERROR(MATCH(85,'List A'!$Q$5:$Q$204,0)+4,"")="","",INDEX('List A'!$N$5:$N$204,IFERROR(MATCH(85,'List A'!$Q$5:$Q$204,0)+4,"")-4))</f>
        <v/>
      </c>
      <c r="J89" s="53">
        <f>IF(IFERROR(MATCH(85,'List A'!$Q$5:$Q$204,0)+4,"")="","",INDEX('List A'!$O$5:$O$204,IFERROR(MATCH(85,'List A'!$Q$5:$Q$204,0)+4,"")-4))</f>
        <v/>
      </c>
    </row>
    <row r="90" ht="17" customHeight="1">
      <c r="A90" s="87">
        <f>IF(IFERROR(MATCH(86,'List A'!$Q$5:$Q$204,0)+4,"")="","",INDEX('List A'!$A$5:$A$204,IFERROR(MATCH(86,'List A'!$Q$5:$Q$204,0)+4,"")-4))</f>
        <v/>
      </c>
      <c r="B90" s="53">
        <f>IF(IFERROR(MATCH(86,'List A'!$Q$5:$Q$204,0)+4,"")="","",INDEX('List A'!$B$5:$B$204,IFERROR(MATCH(86,'List A'!$Q$5:$Q$204,0)+4,"")-4))</f>
        <v/>
      </c>
      <c r="C90" s="52">
        <f>IF(IFERROR(MATCH(86,'List A'!$Q$5:$Q$204,0)+4,"")="","",INDEX('List A'!$C$5:$C$204,IFERROR(MATCH(86,'List A'!$Q$5:$Q$204,0)+4,"")-4))</f>
        <v/>
      </c>
      <c r="D90" s="53">
        <f>IF(IFERROR(MATCH(86,'List A'!$Q$5:$Q$204,0)+4,"")="","",INDEX('List A'!$D$5:$D$204,IFERROR(MATCH(86,'List A'!$Q$5:$Q$204,0)+4,"")-4))</f>
        <v/>
      </c>
      <c r="E90" s="87">
        <f>IF(OR(IFERROR(MATCH(86,'List A'!$Q$5:$Q$204,0)+4,"")="",IF(IFERROR(MATCH(86,'List A'!$Q$5:$Q$204,0)+4,"")="","",INDEX('List A'!$K$5:$K$204,IFERROR(MATCH(86,'List A'!$Q$5:$Q$204,0)+4,"")-4))=""),"",INDEX('List B'!$A$5:$A$204,IF(IFERROR(MATCH(86,'List A'!$Q$5:$Q$204,0)+4,"")="","",INDEX('List A'!$K$5:$K$204,IFERROR(MATCH(86,'List A'!$Q$5:$Q$204,0)+4,"")-4))-4))</f>
        <v/>
      </c>
      <c r="F90" s="53">
        <f>IF(OR(IFERROR(MATCH(86,'List A'!$Q$5:$Q$204,0)+4,"")="",IF(IFERROR(MATCH(86,'List A'!$Q$5:$Q$204,0)+4,"")="","",INDEX('List A'!$K$5:$K$204,IFERROR(MATCH(86,'List A'!$Q$5:$Q$204,0)+4,"")-4))=""),"",INDEX('List B'!$B$5:$B$204,IF(IFERROR(MATCH(86,'List A'!$Q$5:$Q$204,0)+4,"")="","",INDEX('List A'!$K$5:$K$204,IFERROR(MATCH(86,'List A'!$Q$5:$Q$204,0)+4,"")-4))-4))</f>
        <v/>
      </c>
      <c r="G90" s="52">
        <f>IF(OR(IFERROR(MATCH(86,'List A'!$Q$5:$Q$204,0)+4,"")="",IF(IFERROR(MATCH(86,'List A'!$Q$5:$Q$204,0)+4,"")="","",INDEX('List A'!$K$5:$K$204,IFERROR(MATCH(86,'List A'!$Q$5:$Q$204,0)+4,"")-4))=""),"",INDEX('List B'!$C$5:$C$204,IF(IFERROR(MATCH(86,'List A'!$Q$5:$Q$204,0)+4,"")="","",INDEX('List A'!$K$5:$K$204,IFERROR(MATCH(86,'List A'!$Q$5:$Q$204,0)+4,"")-4))-4))</f>
        <v/>
      </c>
      <c r="H90" s="53">
        <f>IF(OR(IFERROR(MATCH(86,'List A'!$Q$5:$Q$204,0)+4,"")="",IF(IFERROR(MATCH(86,'List A'!$Q$5:$Q$204,0)+4,"")="","",INDEX('List A'!$K$5:$K$204,IFERROR(MATCH(86,'List A'!$Q$5:$Q$204,0)+4,"")-4))=""),"",INDEX('List B'!$D$5:$D$204,IF(IFERROR(MATCH(86,'List A'!$Q$5:$Q$204,0)+4,"")="","",INDEX('List A'!$K$5:$K$204,IFERROR(MATCH(86,'List A'!$Q$5:$Q$204,0)+4,"")-4))-4))</f>
        <v/>
      </c>
      <c r="I90" s="52">
        <f>IF(IFERROR(MATCH(86,'List A'!$Q$5:$Q$204,0)+4,"")="","",INDEX('List A'!$N$5:$N$204,IFERROR(MATCH(86,'List A'!$Q$5:$Q$204,0)+4,"")-4))</f>
        <v/>
      </c>
      <c r="J90" s="53">
        <f>IF(IFERROR(MATCH(86,'List A'!$Q$5:$Q$204,0)+4,"")="","",INDEX('List A'!$O$5:$O$204,IFERROR(MATCH(86,'List A'!$Q$5:$Q$204,0)+4,"")-4))</f>
        <v/>
      </c>
    </row>
    <row r="91" ht="17" customHeight="1">
      <c r="A91" s="87">
        <f>IF(IFERROR(MATCH(87,'List A'!$Q$5:$Q$204,0)+4,"")="","",INDEX('List A'!$A$5:$A$204,IFERROR(MATCH(87,'List A'!$Q$5:$Q$204,0)+4,"")-4))</f>
        <v/>
      </c>
      <c r="B91" s="53">
        <f>IF(IFERROR(MATCH(87,'List A'!$Q$5:$Q$204,0)+4,"")="","",INDEX('List A'!$B$5:$B$204,IFERROR(MATCH(87,'List A'!$Q$5:$Q$204,0)+4,"")-4))</f>
        <v/>
      </c>
      <c r="C91" s="52">
        <f>IF(IFERROR(MATCH(87,'List A'!$Q$5:$Q$204,0)+4,"")="","",INDEX('List A'!$C$5:$C$204,IFERROR(MATCH(87,'List A'!$Q$5:$Q$204,0)+4,"")-4))</f>
        <v/>
      </c>
      <c r="D91" s="53">
        <f>IF(IFERROR(MATCH(87,'List A'!$Q$5:$Q$204,0)+4,"")="","",INDEX('List A'!$D$5:$D$204,IFERROR(MATCH(87,'List A'!$Q$5:$Q$204,0)+4,"")-4))</f>
        <v/>
      </c>
      <c r="E91" s="87">
        <f>IF(OR(IFERROR(MATCH(87,'List A'!$Q$5:$Q$204,0)+4,"")="",IF(IFERROR(MATCH(87,'List A'!$Q$5:$Q$204,0)+4,"")="","",INDEX('List A'!$K$5:$K$204,IFERROR(MATCH(87,'List A'!$Q$5:$Q$204,0)+4,"")-4))=""),"",INDEX('List B'!$A$5:$A$204,IF(IFERROR(MATCH(87,'List A'!$Q$5:$Q$204,0)+4,"")="","",INDEX('List A'!$K$5:$K$204,IFERROR(MATCH(87,'List A'!$Q$5:$Q$204,0)+4,"")-4))-4))</f>
        <v/>
      </c>
      <c r="F91" s="53">
        <f>IF(OR(IFERROR(MATCH(87,'List A'!$Q$5:$Q$204,0)+4,"")="",IF(IFERROR(MATCH(87,'List A'!$Q$5:$Q$204,0)+4,"")="","",INDEX('List A'!$K$5:$K$204,IFERROR(MATCH(87,'List A'!$Q$5:$Q$204,0)+4,"")-4))=""),"",INDEX('List B'!$B$5:$B$204,IF(IFERROR(MATCH(87,'List A'!$Q$5:$Q$204,0)+4,"")="","",INDEX('List A'!$K$5:$K$204,IFERROR(MATCH(87,'List A'!$Q$5:$Q$204,0)+4,"")-4))-4))</f>
        <v/>
      </c>
      <c r="G91" s="52">
        <f>IF(OR(IFERROR(MATCH(87,'List A'!$Q$5:$Q$204,0)+4,"")="",IF(IFERROR(MATCH(87,'List A'!$Q$5:$Q$204,0)+4,"")="","",INDEX('List A'!$K$5:$K$204,IFERROR(MATCH(87,'List A'!$Q$5:$Q$204,0)+4,"")-4))=""),"",INDEX('List B'!$C$5:$C$204,IF(IFERROR(MATCH(87,'List A'!$Q$5:$Q$204,0)+4,"")="","",INDEX('List A'!$K$5:$K$204,IFERROR(MATCH(87,'List A'!$Q$5:$Q$204,0)+4,"")-4))-4))</f>
        <v/>
      </c>
      <c r="H91" s="53">
        <f>IF(OR(IFERROR(MATCH(87,'List A'!$Q$5:$Q$204,0)+4,"")="",IF(IFERROR(MATCH(87,'List A'!$Q$5:$Q$204,0)+4,"")="","",INDEX('List A'!$K$5:$K$204,IFERROR(MATCH(87,'List A'!$Q$5:$Q$204,0)+4,"")-4))=""),"",INDEX('List B'!$D$5:$D$204,IF(IFERROR(MATCH(87,'List A'!$Q$5:$Q$204,0)+4,"")="","",INDEX('List A'!$K$5:$K$204,IFERROR(MATCH(87,'List A'!$Q$5:$Q$204,0)+4,"")-4))-4))</f>
        <v/>
      </c>
      <c r="I91" s="52">
        <f>IF(IFERROR(MATCH(87,'List A'!$Q$5:$Q$204,0)+4,"")="","",INDEX('List A'!$N$5:$N$204,IFERROR(MATCH(87,'List A'!$Q$5:$Q$204,0)+4,"")-4))</f>
        <v/>
      </c>
      <c r="J91" s="53">
        <f>IF(IFERROR(MATCH(87,'List A'!$Q$5:$Q$204,0)+4,"")="","",INDEX('List A'!$O$5:$O$204,IFERROR(MATCH(87,'List A'!$Q$5:$Q$204,0)+4,"")-4))</f>
        <v/>
      </c>
    </row>
    <row r="92" ht="17" customHeight="1">
      <c r="A92" s="87">
        <f>IF(IFERROR(MATCH(88,'List A'!$Q$5:$Q$204,0)+4,"")="","",INDEX('List A'!$A$5:$A$204,IFERROR(MATCH(88,'List A'!$Q$5:$Q$204,0)+4,"")-4))</f>
        <v/>
      </c>
      <c r="B92" s="53">
        <f>IF(IFERROR(MATCH(88,'List A'!$Q$5:$Q$204,0)+4,"")="","",INDEX('List A'!$B$5:$B$204,IFERROR(MATCH(88,'List A'!$Q$5:$Q$204,0)+4,"")-4))</f>
        <v/>
      </c>
      <c r="C92" s="52">
        <f>IF(IFERROR(MATCH(88,'List A'!$Q$5:$Q$204,0)+4,"")="","",INDEX('List A'!$C$5:$C$204,IFERROR(MATCH(88,'List A'!$Q$5:$Q$204,0)+4,"")-4))</f>
        <v/>
      </c>
      <c r="D92" s="53">
        <f>IF(IFERROR(MATCH(88,'List A'!$Q$5:$Q$204,0)+4,"")="","",INDEX('List A'!$D$5:$D$204,IFERROR(MATCH(88,'List A'!$Q$5:$Q$204,0)+4,"")-4))</f>
        <v/>
      </c>
      <c r="E92" s="87">
        <f>IF(OR(IFERROR(MATCH(88,'List A'!$Q$5:$Q$204,0)+4,"")="",IF(IFERROR(MATCH(88,'List A'!$Q$5:$Q$204,0)+4,"")="","",INDEX('List A'!$K$5:$K$204,IFERROR(MATCH(88,'List A'!$Q$5:$Q$204,0)+4,"")-4))=""),"",INDEX('List B'!$A$5:$A$204,IF(IFERROR(MATCH(88,'List A'!$Q$5:$Q$204,0)+4,"")="","",INDEX('List A'!$K$5:$K$204,IFERROR(MATCH(88,'List A'!$Q$5:$Q$204,0)+4,"")-4))-4))</f>
        <v/>
      </c>
      <c r="F92" s="53">
        <f>IF(OR(IFERROR(MATCH(88,'List A'!$Q$5:$Q$204,0)+4,"")="",IF(IFERROR(MATCH(88,'List A'!$Q$5:$Q$204,0)+4,"")="","",INDEX('List A'!$K$5:$K$204,IFERROR(MATCH(88,'List A'!$Q$5:$Q$204,0)+4,"")-4))=""),"",INDEX('List B'!$B$5:$B$204,IF(IFERROR(MATCH(88,'List A'!$Q$5:$Q$204,0)+4,"")="","",INDEX('List A'!$K$5:$K$204,IFERROR(MATCH(88,'List A'!$Q$5:$Q$204,0)+4,"")-4))-4))</f>
        <v/>
      </c>
      <c r="G92" s="52">
        <f>IF(OR(IFERROR(MATCH(88,'List A'!$Q$5:$Q$204,0)+4,"")="",IF(IFERROR(MATCH(88,'List A'!$Q$5:$Q$204,0)+4,"")="","",INDEX('List A'!$K$5:$K$204,IFERROR(MATCH(88,'List A'!$Q$5:$Q$204,0)+4,"")-4))=""),"",INDEX('List B'!$C$5:$C$204,IF(IFERROR(MATCH(88,'List A'!$Q$5:$Q$204,0)+4,"")="","",INDEX('List A'!$K$5:$K$204,IFERROR(MATCH(88,'List A'!$Q$5:$Q$204,0)+4,"")-4))-4))</f>
        <v/>
      </c>
      <c r="H92" s="53">
        <f>IF(OR(IFERROR(MATCH(88,'List A'!$Q$5:$Q$204,0)+4,"")="",IF(IFERROR(MATCH(88,'List A'!$Q$5:$Q$204,0)+4,"")="","",INDEX('List A'!$K$5:$K$204,IFERROR(MATCH(88,'List A'!$Q$5:$Q$204,0)+4,"")-4))=""),"",INDEX('List B'!$D$5:$D$204,IF(IFERROR(MATCH(88,'List A'!$Q$5:$Q$204,0)+4,"")="","",INDEX('List A'!$K$5:$K$204,IFERROR(MATCH(88,'List A'!$Q$5:$Q$204,0)+4,"")-4))-4))</f>
        <v/>
      </c>
      <c r="I92" s="52">
        <f>IF(IFERROR(MATCH(88,'List A'!$Q$5:$Q$204,0)+4,"")="","",INDEX('List A'!$N$5:$N$204,IFERROR(MATCH(88,'List A'!$Q$5:$Q$204,0)+4,"")-4))</f>
        <v/>
      </c>
      <c r="J92" s="53">
        <f>IF(IFERROR(MATCH(88,'List A'!$Q$5:$Q$204,0)+4,"")="","",INDEX('List A'!$O$5:$O$204,IFERROR(MATCH(88,'List A'!$Q$5:$Q$204,0)+4,"")-4))</f>
        <v/>
      </c>
    </row>
    <row r="93" ht="17" customHeight="1">
      <c r="A93" s="87">
        <f>IF(IFERROR(MATCH(89,'List A'!$Q$5:$Q$204,0)+4,"")="","",INDEX('List A'!$A$5:$A$204,IFERROR(MATCH(89,'List A'!$Q$5:$Q$204,0)+4,"")-4))</f>
        <v/>
      </c>
      <c r="B93" s="53">
        <f>IF(IFERROR(MATCH(89,'List A'!$Q$5:$Q$204,0)+4,"")="","",INDEX('List A'!$B$5:$B$204,IFERROR(MATCH(89,'List A'!$Q$5:$Q$204,0)+4,"")-4))</f>
        <v/>
      </c>
      <c r="C93" s="52">
        <f>IF(IFERROR(MATCH(89,'List A'!$Q$5:$Q$204,0)+4,"")="","",INDEX('List A'!$C$5:$C$204,IFERROR(MATCH(89,'List A'!$Q$5:$Q$204,0)+4,"")-4))</f>
        <v/>
      </c>
      <c r="D93" s="53">
        <f>IF(IFERROR(MATCH(89,'List A'!$Q$5:$Q$204,0)+4,"")="","",INDEX('List A'!$D$5:$D$204,IFERROR(MATCH(89,'List A'!$Q$5:$Q$204,0)+4,"")-4))</f>
        <v/>
      </c>
      <c r="E93" s="87">
        <f>IF(OR(IFERROR(MATCH(89,'List A'!$Q$5:$Q$204,0)+4,"")="",IF(IFERROR(MATCH(89,'List A'!$Q$5:$Q$204,0)+4,"")="","",INDEX('List A'!$K$5:$K$204,IFERROR(MATCH(89,'List A'!$Q$5:$Q$204,0)+4,"")-4))=""),"",INDEX('List B'!$A$5:$A$204,IF(IFERROR(MATCH(89,'List A'!$Q$5:$Q$204,0)+4,"")="","",INDEX('List A'!$K$5:$K$204,IFERROR(MATCH(89,'List A'!$Q$5:$Q$204,0)+4,"")-4))-4))</f>
        <v/>
      </c>
      <c r="F93" s="53">
        <f>IF(OR(IFERROR(MATCH(89,'List A'!$Q$5:$Q$204,0)+4,"")="",IF(IFERROR(MATCH(89,'List A'!$Q$5:$Q$204,0)+4,"")="","",INDEX('List A'!$K$5:$K$204,IFERROR(MATCH(89,'List A'!$Q$5:$Q$204,0)+4,"")-4))=""),"",INDEX('List B'!$B$5:$B$204,IF(IFERROR(MATCH(89,'List A'!$Q$5:$Q$204,0)+4,"")="","",INDEX('List A'!$K$5:$K$204,IFERROR(MATCH(89,'List A'!$Q$5:$Q$204,0)+4,"")-4))-4))</f>
        <v/>
      </c>
      <c r="G93" s="52">
        <f>IF(OR(IFERROR(MATCH(89,'List A'!$Q$5:$Q$204,0)+4,"")="",IF(IFERROR(MATCH(89,'List A'!$Q$5:$Q$204,0)+4,"")="","",INDEX('List A'!$K$5:$K$204,IFERROR(MATCH(89,'List A'!$Q$5:$Q$204,0)+4,"")-4))=""),"",INDEX('List B'!$C$5:$C$204,IF(IFERROR(MATCH(89,'List A'!$Q$5:$Q$204,0)+4,"")="","",INDEX('List A'!$K$5:$K$204,IFERROR(MATCH(89,'List A'!$Q$5:$Q$204,0)+4,"")-4))-4))</f>
        <v/>
      </c>
      <c r="H93" s="53">
        <f>IF(OR(IFERROR(MATCH(89,'List A'!$Q$5:$Q$204,0)+4,"")="",IF(IFERROR(MATCH(89,'List A'!$Q$5:$Q$204,0)+4,"")="","",INDEX('List A'!$K$5:$K$204,IFERROR(MATCH(89,'List A'!$Q$5:$Q$204,0)+4,"")-4))=""),"",INDEX('List B'!$D$5:$D$204,IF(IFERROR(MATCH(89,'List A'!$Q$5:$Q$204,0)+4,"")="","",INDEX('List A'!$K$5:$K$204,IFERROR(MATCH(89,'List A'!$Q$5:$Q$204,0)+4,"")-4))-4))</f>
        <v/>
      </c>
      <c r="I93" s="52">
        <f>IF(IFERROR(MATCH(89,'List A'!$Q$5:$Q$204,0)+4,"")="","",INDEX('List A'!$N$5:$N$204,IFERROR(MATCH(89,'List A'!$Q$5:$Q$204,0)+4,"")-4))</f>
        <v/>
      </c>
      <c r="J93" s="53">
        <f>IF(IFERROR(MATCH(89,'List A'!$Q$5:$Q$204,0)+4,"")="","",INDEX('List A'!$O$5:$O$204,IFERROR(MATCH(89,'List A'!$Q$5:$Q$204,0)+4,"")-4))</f>
        <v/>
      </c>
    </row>
    <row r="94" ht="17" customHeight="1">
      <c r="A94" s="87">
        <f>IF(IFERROR(MATCH(90,'List A'!$Q$5:$Q$204,0)+4,"")="","",INDEX('List A'!$A$5:$A$204,IFERROR(MATCH(90,'List A'!$Q$5:$Q$204,0)+4,"")-4))</f>
        <v/>
      </c>
      <c r="B94" s="53">
        <f>IF(IFERROR(MATCH(90,'List A'!$Q$5:$Q$204,0)+4,"")="","",INDEX('List A'!$B$5:$B$204,IFERROR(MATCH(90,'List A'!$Q$5:$Q$204,0)+4,"")-4))</f>
        <v/>
      </c>
      <c r="C94" s="52">
        <f>IF(IFERROR(MATCH(90,'List A'!$Q$5:$Q$204,0)+4,"")="","",INDEX('List A'!$C$5:$C$204,IFERROR(MATCH(90,'List A'!$Q$5:$Q$204,0)+4,"")-4))</f>
        <v/>
      </c>
      <c r="D94" s="53">
        <f>IF(IFERROR(MATCH(90,'List A'!$Q$5:$Q$204,0)+4,"")="","",INDEX('List A'!$D$5:$D$204,IFERROR(MATCH(90,'List A'!$Q$5:$Q$204,0)+4,"")-4))</f>
        <v/>
      </c>
      <c r="E94" s="87">
        <f>IF(OR(IFERROR(MATCH(90,'List A'!$Q$5:$Q$204,0)+4,"")="",IF(IFERROR(MATCH(90,'List A'!$Q$5:$Q$204,0)+4,"")="","",INDEX('List A'!$K$5:$K$204,IFERROR(MATCH(90,'List A'!$Q$5:$Q$204,0)+4,"")-4))=""),"",INDEX('List B'!$A$5:$A$204,IF(IFERROR(MATCH(90,'List A'!$Q$5:$Q$204,0)+4,"")="","",INDEX('List A'!$K$5:$K$204,IFERROR(MATCH(90,'List A'!$Q$5:$Q$204,0)+4,"")-4))-4))</f>
        <v/>
      </c>
      <c r="F94" s="53">
        <f>IF(OR(IFERROR(MATCH(90,'List A'!$Q$5:$Q$204,0)+4,"")="",IF(IFERROR(MATCH(90,'List A'!$Q$5:$Q$204,0)+4,"")="","",INDEX('List A'!$K$5:$K$204,IFERROR(MATCH(90,'List A'!$Q$5:$Q$204,0)+4,"")-4))=""),"",INDEX('List B'!$B$5:$B$204,IF(IFERROR(MATCH(90,'List A'!$Q$5:$Q$204,0)+4,"")="","",INDEX('List A'!$K$5:$K$204,IFERROR(MATCH(90,'List A'!$Q$5:$Q$204,0)+4,"")-4))-4))</f>
        <v/>
      </c>
      <c r="G94" s="52">
        <f>IF(OR(IFERROR(MATCH(90,'List A'!$Q$5:$Q$204,0)+4,"")="",IF(IFERROR(MATCH(90,'List A'!$Q$5:$Q$204,0)+4,"")="","",INDEX('List A'!$K$5:$K$204,IFERROR(MATCH(90,'List A'!$Q$5:$Q$204,0)+4,"")-4))=""),"",INDEX('List B'!$C$5:$C$204,IF(IFERROR(MATCH(90,'List A'!$Q$5:$Q$204,0)+4,"")="","",INDEX('List A'!$K$5:$K$204,IFERROR(MATCH(90,'List A'!$Q$5:$Q$204,0)+4,"")-4))-4))</f>
        <v/>
      </c>
      <c r="H94" s="53">
        <f>IF(OR(IFERROR(MATCH(90,'List A'!$Q$5:$Q$204,0)+4,"")="",IF(IFERROR(MATCH(90,'List A'!$Q$5:$Q$204,0)+4,"")="","",INDEX('List A'!$K$5:$K$204,IFERROR(MATCH(90,'List A'!$Q$5:$Q$204,0)+4,"")-4))=""),"",INDEX('List B'!$D$5:$D$204,IF(IFERROR(MATCH(90,'List A'!$Q$5:$Q$204,0)+4,"")="","",INDEX('List A'!$K$5:$K$204,IFERROR(MATCH(90,'List A'!$Q$5:$Q$204,0)+4,"")-4))-4))</f>
        <v/>
      </c>
      <c r="I94" s="52">
        <f>IF(IFERROR(MATCH(90,'List A'!$Q$5:$Q$204,0)+4,"")="","",INDEX('List A'!$N$5:$N$204,IFERROR(MATCH(90,'List A'!$Q$5:$Q$204,0)+4,"")-4))</f>
        <v/>
      </c>
      <c r="J94" s="53">
        <f>IF(IFERROR(MATCH(90,'List A'!$Q$5:$Q$204,0)+4,"")="","",INDEX('List A'!$O$5:$O$204,IFERROR(MATCH(90,'List A'!$Q$5:$Q$204,0)+4,"")-4))</f>
        <v/>
      </c>
    </row>
    <row r="95" ht="17" customHeight="1">
      <c r="A95" s="87">
        <f>IF(IFERROR(MATCH(91,'List A'!$Q$5:$Q$204,0)+4,"")="","",INDEX('List A'!$A$5:$A$204,IFERROR(MATCH(91,'List A'!$Q$5:$Q$204,0)+4,"")-4))</f>
        <v/>
      </c>
      <c r="B95" s="53">
        <f>IF(IFERROR(MATCH(91,'List A'!$Q$5:$Q$204,0)+4,"")="","",INDEX('List A'!$B$5:$B$204,IFERROR(MATCH(91,'List A'!$Q$5:$Q$204,0)+4,"")-4))</f>
        <v/>
      </c>
      <c r="C95" s="52">
        <f>IF(IFERROR(MATCH(91,'List A'!$Q$5:$Q$204,0)+4,"")="","",INDEX('List A'!$C$5:$C$204,IFERROR(MATCH(91,'List A'!$Q$5:$Q$204,0)+4,"")-4))</f>
        <v/>
      </c>
      <c r="D95" s="53">
        <f>IF(IFERROR(MATCH(91,'List A'!$Q$5:$Q$204,0)+4,"")="","",INDEX('List A'!$D$5:$D$204,IFERROR(MATCH(91,'List A'!$Q$5:$Q$204,0)+4,"")-4))</f>
        <v/>
      </c>
      <c r="E95" s="87">
        <f>IF(OR(IFERROR(MATCH(91,'List A'!$Q$5:$Q$204,0)+4,"")="",IF(IFERROR(MATCH(91,'List A'!$Q$5:$Q$204,0)+4,"")="","",INDEX('List A'!$K$5:$K$204,IFERROR(MATCH(91,'List A'!$Q$5:$Q$204,0)+4,"")-4))=""),"",INDEX('List B'!$A$5:$A$204,IF(IFERROR(MATCH(91,'List A'!$Q$5:$Q$204,0)+4,"")="","",INDEX('List A'!$K$5:$K$204,IFERROR(MATCH(91,'List A'!$Q$5:$Q$204,0)+4,"")-4))-4))</f>
        <v/>
      </c>
      <c r="F95" s="53">
        <f>IF(OR(IFERROR(MATCH(91,'List A'!$Q$5:$Q$204,0)+4,"")="",IF(IFERROR(MATCH(91,'List A'!$Q$5:$Q$204,0)+4,"")="","",INDEX('List A'!$K$5:$K$204,IFERROR(MATCH(91,'List A'!$Q$5:$Q$204,0)+4,"")-4))=""),"",INDEX('List B'!$B$5:$B$204,IF(IFERROR(MATCH(91,'List A'!$Q$5:$Q$204,0)+4,"")="","",INDEX('List A'!$K$5:$K$204,IFERROR(MATCH(91,'List A'!$Q$5:$Q$204,0)+4,"")-4))-4))</f>
        <v/>
      </c>
      <c r="G95" s="52">
        <f>IF(OR(IFERROR(MATCH(91,'List A'!$Q$5:$Q$204,0)+4,"")="",IF(IFERROR(MATCH(91,'List A'!$Q$5:$Q$204,0)+4,"")="","",INDEX('List A'!$K$5:$K$204,IFERROR(MATCH(91,'List A'!$Q$5:$Q$204,0)+4,"")-4))=""),"",INDEX('List B'!$C$5:$C$204,IF(IFERROR(MATCH(91,'List A'!$Q$5:$Q$204,0)+4,"")="","",INDEX('List A'!$K$5:$K$204,IFERROR(MATCH(91,'List A'!$Q$5:$Q$204,0)+4,"")-4))-4))</f>
        <v/>
      </c>
      <c r="H95" s="53">
        <f>IF(OR(IFERROR(MATCH(91,'List A'!$Q$5:$Q$204,0)+4,"")="",IF(IFERROR(MATCH(91,'List A'!$Q$5:$Q$204,0)+4,"")="","",INDEX('List A'!$K$5:$K$204,IFERROR(MATCH(91,'List A'!$Q$5:$Q$204,0)+4,"")-4))=""),"",INDEX('List B'!$D$5:$D$204,IF(IFERROR(MATCH(91,'List A'!$Q$5:$Q$204,0)+4,"")="","",INDEX('List A'!$K$5:$K$204,IFERROR(MATCH(91,'List A'!$Q$5:$Q$204,0)+4,"")-4))-4))</f>
        <v/>
      </c>
      <c r="I95" s="52">
        <f>IF(IFERROR(MATCH(91,'List A'!$Q$5:$Q$204,0)+4,"")="","",INDEX('List A'!$N$5:$N$204,IFERROR(MATCH(91,'List A'!$Q$5:$Q$204,0)+4,"")-4))</f>
        <v/>
      </c>
      <c r="J95" s="53">
        <f>IF(IFERROR(MATCH(91,'List A'!$Q$5:$Q$204,0)+4,"")="","",INDEX('List A'!$O$5:$O$204,IFERROR(MATCH(91,'List A'!$Q$5:$Q$204,0)+4,"")-4))</f>
        <v/>
      </c>
    </row>
    <row r="96" ht="17" customHeight="1">
      <c r="A96" s="87">
        <f>IF(IFERROR(MATCH(92,'List A'!$Q$5:$Q$204,0)+4,"")="","",INDEX('List A'!$A$5:$A$204,IFERROR(MATCH(92,'List A'!$Q$5:$Q$204,0)+4,"")-4))</f>
        <v/>
      </c>
      <c r="B96" s="53">
        <f>IF(IFERROR(MATCH(92,'List A'!$Q$5:$Q$204,0)+4,"")="","",INDEX('List A'!$B$5:$B$204,IFERROR(MATCH(92,'List A'!$Q$5:$Q$204,0)+4,"")-4))</f>
        <v/>
      </c>
      <c r="C96" s="52">
        <f>IF(IFERROR(MATCH(92,'List A'!$Q$5:$Q$204,0)+4,"")="","",INDEX('List A'!$C$5:$C$204,IFERROR(MATCH(92,'List A'!$Q$5:$Q$204,0)+4,"")-4))</f>
        <v/>
      </c>
      <c r="D96" s="53">
        <f>IF(IFERROR(MATCH(92,'List A'!$Q$5:$Q$204,0)+4,"")="","",INDEX('List A'!$D$5:$D$204,IFERROR(MATCH(92,'List A'!$Q$5:$Q$204,0)+4,"")-4))</f>
        <v/>
      </c>
      <c r="E96" s="87">
        <f>IF(OR(IFERROR(MATCH(92,'List A'!$Q$5:$Q$204,0)+4,"")="",IF(IFERROR(MATCH(92,'List A'!$Q$5:$Q$204,0)+4,"")="","",INDEX('List A'!$K$5:$K$204,IFERROR(MATCH(92,'List A'!$Q$5:$Q$204,0)+4,"")-4))=""),"",INDEX('List B'!$A$5:$A$204,IF(IFERROR(MATCH(92,'List A'!$Q$5:$Q$204,0)+4,"")="","",INDEX('List A'!$K$5:$K$204,IFERROR(MATCH(92,'List A'!$Q$5:$Q$204,0)+4,"")-4))-4))</f>
        <v/>
      </c>
      <c r="F96" s="53">
        <f>IF(OR(IFERROR(MATCH(92,'List A'!$Q$5:$Q$204,0)+4,"")="",IF(IFERROR(MATCH(92,'List A'!$Q$5:$Q$204,0)+4,"")="","",INDEX('List A'!$K$5:$K$204,IFERROR(MATCH(92,'List A'!$Q$5:$Q$204,0)+4,"")-4))=""),"",INDEX('List B'!$B$5:$B$204,IF(IFERROR(MATCH(92,'List A'!$Q$5:$Q$204,0)+4,"")="","",INDEX('List A'!$K$5:$K$204,IFERROR(MATCH(92,'List A'!$Q$5:$Q$204,0)+4,"")-4))-4))</f>
        <v/>
      </c>
      <c r="G96" s="52">
        <f>IF(OR(IFERROR(MATCH(92,'List A'!$Q$5:$Q$204,0)+4,"")="",IF(IFERROR(MATCH(92,'List A'!$Q$5:$Q$204,0)+4,"")="","",INDEX('List A'!$K$5:$K$204,IFERROR(MATCH(92,'List A'!$Q$5:$Q$204,0)+4,"")-4))=""),"",INDEX('List B'!$C$5:$C$204,IF(IFERROR(MATCH(92,'List A'!$Q$5:$Q$204,0)+4,"")="","",INDEX('List A'!$K$5:$K$204,IFERROR(MATCH(92,'List A'!$Q$5:$Q$204,0)+4,"")-4))-4))</f>
        <v/>
      </c>
      <c r="H96" s="53">
        <f>IF(OR(IFERROR(MATCH(92,'List A'!$Q$5:$Q$204,0)+4,"")="",IF(IFERROR(MATCH(92,'List A'!$Q$5:$Q$204,0)+4,"")="","",INDEX('List A'!$K$5:$K$204,IFERROR(MATCH(92,'List A'!$Q$5:$Q$204,0)+4,"")-4))=""),"",INDEX('List B'!$D$5:$D$204,IF(IFERROR(MATCH(92,'List A'!$Q$5:$Q$204,0)+4,"")="","",INDEX('List A'!$K$5:$K$204,IFERROR(MATCH(92,'List A'!$Q$5:$Q$204,0)+4,"")-4))-4))</f>
        <v/>
      </c>
      <c r="I96" s="52">
        <f>IF(IFERROR(MATCH(92,'List A'!$Q$5:$Q$204,0)+4,"")="","",INDEX('List A'!$N$5:$N$204,IFERROR(MATCH(92,'List A'!$Q$5:$Q$204,0)+4,"")-4))</f>
        <v/>
      </c>
      <c r="J96" s="53">
        <f>IF(IFERROR(MATCH(92,'List A'!$Q$5:$Q$204,0)+4,"")="","",INDEX('List A'!$O$5:$O$204,IFERROR(MATCH(92,'List A'!$Q$5:$Q$204,0)+4,"")-4))</f>
        <v/>
      </c>
    </row>
    <row r="97" ht="17" customHeight="1">
      <c r="A97" s="87">
        <f>IF(IFERROR(MATCH(93,'List A'!$Q$5:$Q$204,0)+4,"")="","",INDEX('List A'!$A$5:$A$204,IFERROR(MATCH(93,'List A'!$Q$5:$Q$204,0)+4,"")-4))</f>
        <v/>
      </c>
      <c r="B97" s="53">
        <f>IF(IFERROR(MATCH(93,'List A'!$Q$5:$Q$204,0)+4,"")="","",INDEX('List A'!$B$5:$B$204,IFERROR(MATCH(93,'List A'!$Q$5:$Q$204,0)+4,"")-4))</f>
        <v/>
      </c>
      <c r="C97" s="52">
        <f>IF(IFERROR(MATCH(93,'List A'!$Q$5:$Q$204,0)+4,"")="","",INDEX('List A'!$C$5:$C$204,IFERROR(MATCH(93,'List A'!$Q$5:$Q$204,0)+4,"")-4))</f>
        <v/>
      </c>
      <c r="D97" s="53">
        <f>IF(IFERROR(MATCH(93,'List A'!$Q$5:$Q$204,0)+4,"")="","",INDEX('List A'!$D$5:$D$204,IFERROR(MATCH(93,'List A'!$Q$5:$Q$204,0)+4,"")-4))</f>
        <v/>
      </c>
      <c r="E97" s="87">
        <f>IF(OR(IFERROR(MATCH(93,'List A'!$Q$5:$Q$204,0)+4,"")="",IF(IFERROR(MATCH(93,'List A'!$Q$5:$Q$204,0)+4,"")="","",INDEX('List A'!$K$5:$K$204,IFERROR(MATCH(93,'List A'!$Q$5:$Q$204,0)+4,"")-4))=""),"",INDEX('List B'!$A$5:$A$204,IF(IFERROR(MATCH(93,'List A'!$Q$5:$Q$204,0)+4,"")="","",INDEX('List A'!$K$5:$K$204,IFERROR(MATCH(93,'List A'!$Q$5:$Q$204,0)+4,"")-4))-4))</f>
        <v/>
      </c>
      <c r="F97" s="53">
        <f>IF(OR(IFERROR(MATCH(93,'List A'!$Q$5:$Q$204,0)+4,"")="",IF(IFERROR(MATCH(93,'List A'!$Q$5:$Q$204,0)+4,"")="","",INDEX('List A'!$K$5:$K$204,IFERROR(MATCH(93,'List A'!$Q$5:$Q$204,0)+4,"")-4))=""),"",INDEX('List B'!$B$5:$B$204,IF(IFERROR(MATCH(93,'List A'!$Q$5:$Q$204,0)+4,"")="","",INDEX('List A'!$K$5:$K$204,IFERROR(MATCH(93,'List A'!$Q$5:$Q$204,0)+4,"")-4))-4))</f>
        <v/>
      </c>
      <c r="G97" s="52">
        <f>IF(OR(IFERROR(MATCH(93,'List A'!$Q$5:$Q$204,0)+4,"")="",IF(IFERROR(MATCH(93,'List A'!$Q$5:$Q$204,0)+4,"")="","",INDEX('List A'!$K$5:$K$204,IFERROR(MATCH(93,'List A'!$Q$5:$Q$204,0)+4,"")-4))=""),"",INDEX('List B'!$C$5:$C$204,IF(IFERROR(MATCH(93,'List A'!$Q$5:$Q$204,0)+4,"")="","",INDEX('List A'!$K$5:$K$204,IFERROR(MATCH(93,'List A'!$Q$5:$Q$204,0)+4,"")-4))-4))</f>
        <v/>
      </c>
      <c r="H97" s="53">
        <f>IF(OR(IFERROR(MATCH(93,'List A'!$Q$5:$Q$204,0)+4,"")="",IF(IFERROR(MATCH(93,'List A'!$Q$5:$Q$204,0)+4,"")="","",INDEX('List A'!$K$5:$K$204,IFERROR(MATCH(93,'List A'!$Q$5:$Q$204,0)+4,"")-4))=""),"",INDEX('List B'!$D$5:$D$204,IF(IFERROR(MATCH(93,'List A'!$Q$5:$Q$204,0)+4,"")="","",INDEX('List A'!$K$5:$K$204,IFERROR(MATCH(93,'List A'!$Q$5:$Q$204,0)+4,"")-4))-4))</f>
        <v/>
      </c>
      <c r="I97" s="52">
        <f>IF(IFERROR(MATCH(93,'List A'!$Q$5:$Q$204,0)+4,"")="","",INDEX('List A'!$N$5:$N$204,IFERROR(MATCH(93,'List A'!$Q$5:$Q$204,0)+4,"")-4))</f>
        <v/>
      </c>
      <c r="J97" s="53">
        <f>IF(IFERROR(MATCH(93,'List A'!$Q$5:$Q$204,0)+4,"")="","",INDEX('List A'!$O$5:$O$204,IFERROR(MATCH(93,'List A'!$Q$5:$Q$204,0)+4,"")-4))</f>
        <v/>
      </c>
    </row>
    <row r="98" ht="17" customHeight="1">
      <c r="A98" s="87">
        <f>IF(IFERROR(MATCH(94,'List A'!$Q$5:$Q$204,0)+4,"")="","",INDEX('List A'!$A$5:$A$204,IFERROR(MATCH(94,'List A'!$Q$5:$Q$204,0)+4,"")-4))</f>
        <v/>
      </c>
      <c r="B98" s="53">
        <f>IF(IFERROR(MATCH(94,'List A'!$Q$5:$Q$204,0)+4,"")="","",INDEX('List A'!$B$5:$B$204,IFERROR(MATCH(94,'List A'!$Q$5:$Q$204,0)+4,"")-4))</f>
        <v/>
      </c>
      <c r="C98" s="52">
        <f>IF(IFERROR(MATCH(94,'List A'!$Q$5:$Q$204,0)+4,"")="","",INDEX('List A'!$C$5:$C$204,IFERROR(MATCH(94,'List A'!$Q$5:$Q$204,0)+4,"")-4))</f>
        <v/>
      </c>
      <c r="D98" s="53">
        <f>IF(IFERROR(MATCH(94,'List A'!$Q$5:$Q$204,0)+4,"")="","",INDEX('List A'!$D$5:$D$204,IFERROR(MATCH(94,'List A'!$Q$5:$Q$204,0)+4,"")-4))</f>
        <v/>
      </c>
      <c r="E98" s="87">
        <f>IF(OR(IFERROR(MATCH(94,'List A'!$Q$5:$Q$204,0)+4,"")="",IF(IFERROR(MATCH(94,'List A'!$Q$5:$Q$204,0)+4,"")="","",INDEX('List A'!$K$5:$K$204,IFERROR(MATCH(94,'List A'!$Q$5:$Q$204,0)+4,"")-4))=""),"",INDEX('List B'!$A$5:$A$204,IF(IFERROR(MATCH(94,'List A'!$Q$5:$Q$204,0)+4,"")="","",INDEX('List A'!$K$5:$K$204,IFERROR(MATCH(94,'List A'!$Q$5:$Q$204,0)+4,"")-4))-4))</f>
        <v/>
      </c>
      <c r="F98" s="53">
        <f>IF(OR(IFERROR(MATCH(94,'List A'!$Q$5:$Q$204,0)+4,"")="",IF(IFERROR(MATCH(94,'List A'!$Q$5:$Q$204,0)+4,"")="","",INDEX('List A'!$K$5:$K$204,IFERROR(MATCH(94,'List A'!$Q$5:$Q$204,0)+4,"")-4))=""),"",INDEX('List B'!$B$5:$B$204,IF(IFERROR(MATCH(94,'List A'!$Q$5:$Q$204,0)+4,"")="","",INDEX('List A'!$K$5:$K$204,IFERROR(MATCH(94,'List A'!$Q$5:$Q$204,0)+4,"")-4))-4))</f>
        <v/>
      </c>
      <c r="G98" s="52">
        <f>IF(OR(IFERROR(MATCH(94,'List A'!$Q$5:$Q$204,0)+4,"")="",IF(IFERROR(MATCH(94,'List A'!$Q$5:$Q$204,0)+4,"")="","",INDEX('List A'!$K$5:$K$204,IFERROR(MATCH(94,'List A'!$Q$5:$Q$204,0)+4,"")-4))=""),"",INDEX('List B'!$C$5:$C$204,IF(IFERROR(MATCH(94,'List A'!$Q$5:$Q$204,0)+4,"")="","",INDEX('List A'!$K$5:$K$204,IFERROR(MATCH(94,'List A'!$Q$5:$Q$204,0)+4,"")-4))-4))</f>
        <v/>
      </c>
      <c r="H98" s="53">
        <f>IF(OR(IFERROR(MATCH(94,'List A'!$Q$5:$Q$204,0)+4,"")="",IF(IFERROR(MATCH(94,'List A'!$Q$5:$Q$204,0)+4,"")="","",INDEX('List A'!$K$5:$K$204,IFERROR(MATCH(94,'List A'!$Q$5:$Q$204,0)+4,"")-4))=""),"",INDEX('List B'!$D$5:$D$204,IF(IFERROR(MATCH(94,'List A'!$Q$5:$Q$204,0)+4,"")="","",INDEX('List A'!$K$5:$K$204,IFERROR(MATCH(94,'List A'!$Q$5:$Q$204,0)+4,"")-4))-4))</f>
        <v/>
      </c>
      <c r="I98" s="52">
        <f>IF(IFERROR(MATCH(94,'List A'!$Q$5:$Q$204,0)+4,"")="","",INDEX('List A'!$N$5:$N$204,IFERROR(MATCH(94,'List A'!$Q$5:$Q$204,0)+4,"")-4))</f>
        <v/>
      </c>
      <c r="J98" s="53">
        <f>IF(IFERROR(MATCH(94,'List A'!$Q$5:$Q$204,0)+4,"")="","",INDEX('List A'!$O$5:$O$204,IFERROR(MATCH(94,'List A'!$Q$5:$Q$204,0)+4,"")-4))</f>
        <v/>
      </c>
    </row>
    <row r="99" ht="17" customHeight="1">
      <c r="A99" s="87">
        <f>IF(IFERROR(MATCH(95,'List A'!$Q$5:$Q$204,0)+4,"")="","",INDEX('List A'!$A$5:$A$204,IFERROR(MATCH(95,'List A'!$Q$5:$Q$204,0)+4,"")-4))</f>
        <v/>
      </c>
      <c r="B99" s="53">
        <f>IF(IFERROR(MATCH(95,'List A'!$Q$5:$Q$204,0)+4,"")="","",INDEX('List A'!$B$5:$B$204,IFERROR(MATCH(95,'List A'!$Q$5:$Q$204,0)+4,"")-4))</f>
        <v/>
      </c>
      <c r="C99" s="52">
        <f>IF(IFERROR(MATCH(95,'List A'!$Q$5:$Q$204,0)+4,"")="","",INDEX('List A'!$C$5:$C$204,IFERROR(MATCH(95,'List A'!$Q$5:$Q$204,0)+4,"")-4))</f>
        <v/>
      </c>
      <c r="D99" s="53">
        <f>IF(IFERROR(MATCH(95,'List A'!$Q$5:$Q$204,0)+4,"")="","",INDEX('List A'!$D$5:$D$204,IFERROR(MATCH(95,'List A'!$Q$5:$Q$204,0)+4,"")-4))</f>
        <v/>
      </c>
      <c r="E99" s="87">
        <f>IF(OR(IFERROR(MATCH(95,'List A'!$Q$5:$Q$204,0)+4,"")="",IF(IFERROR(MATCH(95,'List A'!$Q$5:$Q$204,0)+4,"")="","",INDEX('List A'!$K$5:$K$204,IFERROR(MATCH(95,'List A'!$Q$5:$Q$204,0)+4,"")-4))=""),"",INDEX('List B'!$A$5:$A$204,IF(IFERROR(MATCH(95,'List A'!$Q$5:$Q$204,0)+4,"")="","",INDEX('List A'!$K$5:$K$204,IFERROR(MATCH(95,'List A'!$Q$5:$Q$204,0)+4,"")-4))-4))</f>
        <v/>
      </c>
      <c r="F99" s="53">
        <f>IF(OR(IFERROR(MATCH(95,'List A'!$Q$5:$Q$204,0)+4,"")="",IF(IFERROR(MATCH(95,'List A'!$Q$5:$Q$204,0)+4,"")="","",INDEX('List A'!$K$5:$K$204,IFERROR(MATCH(95,'List A'!$Q$5:$Q$204,0)+4,"")-4))=""),"",INDEX('List B'!$B$5:$B$204,IF(IFERROR(MATCH(95,'List A'!$Q$5:$Q$204,0)+4,"")="","",INDEX('List A'!$K$5:$K$204,IFERROR(MATCH(95,'List A'!$Q$5:$Q$204,0)+4,"")-4))-4))</f>
        <v/>
      </c>
      <c r="G99" s="52">
        <f>IF(OR(IFERROR(MATCH(95,'List A'!$Q$5:$Q$204,0)+4,"")="",IF(IFERROR(MATCH(95,'List A'!$Q$5:$Q$204,0)+4,"")="","",INDEX('List A'!$K$5:$K$204,IFERROR(MATCH(95,'List A'!$Q$5:$Q$204,0)+4,"")-4))=""),"",INDEX('List B'!$C$5:$C$204,IF(IFERROR(MATCH(95,'List A'!$Q$5:$Q$204,0)+4,"")="","",INDEX('List A'!$K$5:$K$204,IFERROR(MATCH(95,'List A'!$Q$5:$Q$204,0)+4,"")-4))-4))</f>
        <v/>
      </c>
      <c r="H99" s="53">
        <f>IF(OR(IFERROR(MATCH(95,'List A'!$Q$5:$Q$204,0)+4,"")="",IF(IFERROR(MATCH(95,'List A'!$Q$5:$Q$204,0)+4,"")="","",INDEX('List A'!$K$5:$K$204,IFERROR(MATCH(95,'List A'!$Q$5:$Q$204,0)+4,"")-4))=""),"",INDEX('List B'!$D$5:$D$204,IF(IFERROR(MATCH(95,'List A'!$Q$5:$Q$204,0)+4,"")="","",INDEX('List A'!$K$5:$K$204,IFERROR(MATCH(95,'List A'!$Q$5:$Q$204,0)+4,"")-4))-4))</f>
        <v/>
      </c>
      <c r="I99" s="52">
        <f>IF(IFERROR(MATCH(95,'List A'!$Q$5:$Q$204,0)+4,"")="","",INDEX('List A'!$N$5:$N$204,IFERROR(MATCH(95,'List A'!$Q$5:$Q$204,0)+4,"")-4))</f>
        <v/>
      </c>
      <c r="J99" s="53">
        <f>IF(IFERROR(MATCH(95,'List A'!$Q$5:$Q$204,0)+4,"")="","",INDEX('List A'!$O$5:$O$204,IFERROR(MATCH(95,'List A'!$Q$5:$Q$204,0)+4,"")-4))</f>
        <v/>
      </c>
    </row>
    <row r="100" ht="17" customHeight="1">
      <c r="A100" s="87">
        <f>IF(IFERROR(MATCH(96,'List A'!$Q$5:$Q$204,0)+4,"")="","",INDEX('List A'!$A$5:$A$204,IFERROR(MATCH(96,'List A'!$Q$5:$Q$204,0)+4,"")-4))</f>
        <v/>
      </c>
      <c r="B100" s="53">
        <f>IF(IFERROR(MATCH(96,'List A'!$Q$5:$Q$204,0)+4,"")="","",INDEX('List A'!$B$5:$B$204,IFERROR(MATCH(96,'List A'!$Q$5:$Q$204,0)+4,"")-4))</f>
        <v/>
      </c>
      <c r="C100" s="52">
        <f>IF(IFERROR(MATCH(96,'List A'!$Q$5:$Q$204,0)+4,"")="","",INDEX('List A'!$C$5:$C$204,IFERROR(MATCH(96,'List A'!$Q$5:$Q$204,0)+4,"")-4))</f>
        <v/>
      </c>
      <c r="D100" s="53">
        <f>IF(IFERROR(MATCH(96,'List A'!$Q$5:$Q$204,0)+4,"")="","",INDEX('List A'!$D$5:$D$204,IFERROR(MATCH(96,'List A'!$Q$5:$Q$204,0)+4,"")-4))</f>
        <v/>
      </c>
      <c r="E100" s="87">
        <f>IF(OR(IFERROR(MATCH(96,'List A'!$Q$5:$Q$204,0)+4,"")="",IF(IFERROR(MATCH(96,'List A'!$Q$5:$Q$204,0)+4,"")="","",INDEX('List A'!$K$5:$K$204,IFERROR(MATCH(96,'List A'!$Q$5:$Q$204,0)+4,"")-4))=""),"",INDEX('List B'!$A$5:$A$204,IF(IFERROR(MATCH(96,'List A'!$Q$5:$Q$204,0)+4,"")="","",INDEX('List A'!$K$5:$K$204,IFERROR(MATCH(96,'List A'!$Q$5:$Q$204,0)+4,"")-4))-4))</f>
        <v/>
      </c>
      <c r="F100" s="53">
        <f>IF(OR(IFERROR(MATCH(96,'List A'!$Q$5:$Q$204,0)+4,"")="",IF(IFERROR(MATCH(96,'List A'!$Q$5:$Q$204,0)+4,"")="","",INDEX('List A'!$K$5:$K$204,IFERROR(MATCH(96,'List A'!$Q$5:$Q$204,0)+4,"")-4))=""),"",INDEX('List B'!$B$5:$B$204,IF(IFERROR(MATCH(96,'List A'!$Q$5:$Q$204,0)+4,"")="","",INDEX('List A'!$K$5:$K$204,IFERROR(MATCH(96,'List A'!$Q$5:$Q$204,0)+4,"")-4))-4))</f>
        <v/>
      </c>
      <c r="G100" s="52">
        <f>IF(OR(IFERROR(MATCH(96,'List A'!$Q$5:$Q$204,0)+4,"")="",IF(IFERROR(MATCH(96,'List A'!$Q$5:$Q$204,0)+4,"")="","",INDEX('List A'!$K$5:$K$204,IFERROR(MATCH(96,'List A'!$Q$5:$Q$204,0)+4,"")-4))=""),"",INDEX('List B'!$C$5:$C$204,IF(IFERROR(MATCH(96,'List A'!$Q$5:$Q$204,0)+4,"")="","",INDEX('List A'!$K$5:$K$204,IFERROR(MATCH(96,'List A'!$Q$5:$Q$204,0)+4,"")-4))-4))</f>
        <v/>
      </c>
      <c r="H100" s="53">
        <f>IF(OR(IFERROR(MATCH(96,'List A'!$Q$5:$Q$204,0)+4,"")="",IF(IFERROR(MATCH(96,'List A'!$Q$5:$Q$204,0)+4,"")="","",INDEX('List A'!$K$5:$K$204,IFERROR(MATCH(96,'List A'!$Q$5:$Q$204,0)+4,"")-4))=""),"",INDEX('List B'!$D$5:$D$204,IF(IFERROR(MATCH(96,'List A'!$Q$5:$Q$204,0)+4,"")="","",INDEX('List A'!$K$5:$K$204,IFERROR(MATCH(96,'List A'!$Q$5:$Q$204,0)+4,"")-4))-4))</f>
        <v/>
      </c>
      <c r="I100" s="52">
        <f>IF(IFERROR(MATCH(96,'List A'!$Q$5:$Q$204,0)+4,"")="","",INDEX('List A'!$N$5:$N$204,IFERROR(MATCH(96,'List A'!$Q$5:$Q$204,0)+4,"")-4))</f>
        <v/>
      </c>
      <c r="J100" s="53">
        <f>IF(IFERROR(MATCH(96,'List A'!$Q$5:$Q$204,0)+4,"")="","",INDEX('List A'!$O$5:$O$204,IFERROR(MATCH(96,'List A'!$Q$5:$Q$204,0)+4,"")-4))</f>
        <v/>
      </c>
    </row>
    <row r="101" ht="17" customHeight="1">
      <c r="A101" s="87">
        <f>IF(IFERROR(MATCH(97,'List A'!$Q$5:$Q$204,0)+4,"")="","",INDEX('List A'!$A$5:$A$204,IFERROR(MATCH(97,'List A'!$Q$5:$Q$204,0)+4,"")-4))</f>
        <v/>
      </c>
      <c r="B101" s="53">
        <f>IF(IFERROR(MATCH(97,'List A'!$Q$5:$Q$204,0)+4,"")="","",INDEX('List A'!$B$5:$B$204,IFERROR(MATCH(97,'List A'!$Q$5:$Q$204,0)+4,"")-4))</f>
        <v/>
      </c>
      <c r="C101" s="52">
        <f>IF(IFERROR(MATCH(97,'List A'!$Q$5:$Q$204,0)+4,"")="","",INDEX('List A'!$C$5:$C$204,IFERROR(MATCH(97,'List A'!$Q$5:$Q$204,0)+4,"")-4))</f>
        <v/>
      </c>
      <c r="D101" s="53">
        <f>IF(IFERROR(MATCH(97,'List A'!$Q$5:$Q$204,0)+4,"")="","",INDEX('List A'!$D$5:$D$204,IFERROR(MATCH(97,'List A'!$Q$5:$Q$204,0)+4,"")-4))</f>
        <v/>
      </c>
      <c r="E101" s="87">
        <f>IF(OR(IFERROR(MATCH(97,'List A'!$Q$5:$Q$204,0)+4,"")="",IF(IFERROR(MATCH(97,'List A'!$Q$5:$Q$204,0)+4,"")="","",INDEX('List A'!$K$5:$K$204,IFERROR(MATCH(97,'List A'!$Q$5:$Q$204,0)+4,"")-4))=""),"",INDEX('List B'!$A$5:$A$204,IF(IFERROR(MATCH(97,'List A'!$Q$5:$Q$204,0)+4,"")="","",INDEX('List A'!$K$5:$K$204,IFERROR(MATCH(97,'List A'!$Q$5:$Q$204,0)+4,"")-4))-4))</f>
        <v/>
      </c>
      <c r="F101" s="53">
        <f>IF(OR(IFERROR(MATCH(97,'List A'!$Q$5:$Q$204,0)+4,"")="",IF(IFERROR(MATCH(97,'List A'!$Q$5:$Q$204,0)+4,"")="","",INDEX('List A'!$K$5:$K$204,IFERROR(MATCH(97,'List A'!$Q$5:$Q$204,0)+4,"")-4))=""),"",INDEX('List B'!$B$5:$B$204,IF(IFERROR(MATCH(97,'List A'!$Q$5:$Q$204,0)+4,"")="","",INDEX('List A'!$K$5:$K$204,IFERROR(MATCH(97,'List A'!$Q$5:$Q$204,0)+4,"")-4))-4))</f>
        <v/>
      </c>
      <c r="G101" s="52">
        <f>IF(OR(IFERROR(MATCH(97,'List A'!$Q$5:$Q$204,0)+4,"")="",IF(IFERROR(MATCH(97,'List A'!$Q$5:$Q$204,0)+4,"")="","",INDEX('List A'!$K$5:$K$204,IFERROR(MATCH(97,'List A'!$Q$5:$Q$204,0)+4,"")-4))=""),"",INDEX('List B'!$C$5:$C$204,IF(IFERROR(MATCH(97,'List A'!$Q$5:$Q$204,0)+4,"")="","",INDEX('List A'!$K$5:$K$204,IFERROR(MATCH(97,'List A'!$Q$5:$Q$204,0)+4,"")-4))-4))</f>
        <v/>
      </c>
      <c r="H101" s="53">
        <f>IF(OR(IFERROR(MATCH(97,'List A'!$Q$5:$Q$204,0)+4,"")="",IF(IFERROR(MATCH(97,'List A'!$Q$5:$Q$204,0)+4,"")="","",INDEX('List A'!$K$5:$K$204,IFERROR(MATCH(97,'List A'!$Q$5:$Q$204,0)+4,"")-4))=""),"",INDEX('List B'!$D$5:$D$204,IF(IFERROR(MATCH(97,'List A'!$Q$5:$Q$204,0)+4,"")="","",INDEX('List A'!$K$5:$K$204,IFERROR(MATCH(97,'List A'!$Q$5:$Q$204,0)+4,"")-4))-4))</f>
        <v/>
      </c>
      <c r="I101" s="52">
        <f>IF(IFERROR(MATCH(97,'List A'!$Q$5:$Q$204,0)+4,"")="","",INDEX('List A'!$N$5:$N$204,IFERROR(MATCH(97,'List A'!$Q$5:$Q$204,0)+4,"")-4))</f>
        <v/>
      </c>
      <c r="J101" s="53">
        <f>IF(IFERROR(MATCH(97,'List A'!$Q$5:$Q$204,0)+4,"")="","",INDEX('List A'!$O$5:$O$204,IFERROR(MATCH(97,'List A'!$Q$5:$Q$204,0)+4,"")-4))</f>
        <v/>
      </c>
    </row>
    <row r="102" ht="17" customHeight="1">
      <c r="A102" s="87">
        <f>IF(IFERROR(MATCH(98,'List A'!$Q$5:$Q$204,0)+4,"")="","",INDEX('List A'!$A$5:$A$204,IFERROR(MATCH(98,'List A'!$Q$5:$Q$204,0)+4,"")-4))</f>
        <v/>
      </c>
      <c r="B102" s="53">
        <f>IF(IFERROR(MATCH(98,'List A'!$Q$5:$Q$204,0)+4,"")="","",INDEX('List A'!$B$5:$B$204,IFERROR(MATCH(98,'List A'!$Q$5:$Q$204,0)+4,"")-4))</f>
        <v/>
      </c>
      <c r="C102" s="52">
        <f>IF(IFERROR(MATCH(98,'List A'!$Q$5:$Q$204,0)+4,"")="","",INDEX('List A'!$C$5:$C$204,IFERROR(MATCH(98,'List A'!$Q$5:$Q$204,0)+4,"")-4))</f>
        <v/>
      </c>
      <c r="D102" s="53">
        <f>IF(IFERROR(MATCH(98,'List A'!$Q$5:$Q$204,0)+4,"")="","",INDEX('List A'!$D$5:$D$204,IFERROR(MATCH(98,'List A'!$Q$5:$Q$204,0)+4,"")-4))</f>
        <v/>
      </c>
      <c r="E102" s="87">
        <f>IF(OR(IFERROR(MATCH(98,'List A'!$Q$5:$Q$204,0)+4,"")="",IF(IFERROR(MATCH(98,'List A'!$Q$5:$Q$204,0)+4,"")="","",INDEX('List A'!$K$5:$K$204,IFERROR(MATCH(98,'List A'!$Q$5:$Q$204,0)+4,"")-4))=""),"",INDEX('List B'!$A$5:$A$204,IF(IFERROR(MATCH(98,'List A'!$Q$5:$Q$204,0)+4,"")="","",INDEX('List A'!$K$5:$K$204,IFERROR(MATCH(98,'List A'!$Q$5:$Q$204,0)+4,"")-4))-4))</f>
        <v/>
      </c>
      <c r="F102" s="53">
        <f>IF(OR(IFERROR(MATCH(98,'List A'!$Q$5:$Q$204,0)+4,"")="",IF(IFERROR(MATCH(98,'List A'!$Q$5:$Q$204,0)+4,"")="","",INDEX('List A'!$K$5:$K$204,IFERROR(MATCH(98,'List A'!$Q$5:$Q$204,0)+4,"")-4))=""),"",INDEX('List B'!$B$5:$B$204,IF(IFERROR(MATCH(98,'List A'!$Q$5:$Q$204,0)+4,"")="","",INDEX('List A'!$K$5:$K$204,IFERROR(MATCH(98,'List A'!$Q$5:$Q$204,0)+4,"")-4))-4))</f>
        <v/>
      </c>
      <c r="G102" s="52">
        <f>IF(OR(IFERROR(MATCH(98,'List A'!$Q$5:$Q$204,0)+4,"")="",IF(IFERROR(MATCH(98,'List A'!$Q$5:$Q$204,0)+4,"")="","",INDEX('List A'!$K$5:$K$204,IFERROR(MATCH(98,'List A'!$Q$5:$Q$204,0)+4,"")-4))=""),"",INDEX('List B'!$C$5:$C$204,IF(IFERROR(MATCH(98,'List A'!$Q$5:$Q$204,0)+4,"")="","",INDEX('List A'!$K$5:$K$204,IFERROR(MATCH(98,'List A'!$Q$5:$Q$204,0)+4,"")-4))-4))</f>
        <v/>
      </c>
      <c r="H102" s="53">
        <f>IF(OR(IFERROR(MATCH(98,'List A'!$Q$5:$Q$204,0)+4,"")="",IF(IFERROR(MATCH(98,'List A'!$Q$5:$Q$204,0)+4,"")="","",INDEX('List A'!$K$5:$K$204,IFERROR(MATCH(98,'List A'!$Q$5:$Q$204,0)+4,"")-4))=""),"",INDEX('List B'!$D$5:$D$204,IF(IFERROR(MATCH(98,'List A'!$Q$5:$Q$204,0)+4,"")="","",INDEX('List A'!$K$5:$K$204,IFERROR(MATCH(98,'List A'!$Q$5:$Q$204,0)+4,"")-4))-4))</f>
        <v/>
      </c>
      <c r="I102" s="52">
        <f>IF(IFERROR(MATCH(98,'List A'!$Q$5:$Q$204,0)+4,"")="","",INDEX('List A'!$N$5:$N$204,IFERROR(MATCH(98,'List A'!$Q$5:$Q$204,0)+4,"")-4))</f>
        <v/>
      </c>
      <c r="J102" s="53">
        <f>IF(IFERROR(MATCH(98,'List A'!$Q$5:$Q$204,0)+4,"")="","",INDEX('List A'!$O$5:$O$204,IFERROR(MATCH(98,'List A'!$Q$5:$Q$204,0)+4,"")-4))</f>
        <v/>
      </c>
    </row>
    <row r="103" ht="17" customHeight="1">
      <c r="A103" s="87">
        <f>IF(IFERROR(MATCH(99,'List A'!$Q$5:$Q$204,0)+4,"")="","",INDEX('List A'!$A$5:$A$204,IFERROR(MATCH(99,'List A'!$Q$5:$Q$204,0)+4,"")-4))</f>
        <v/>
      </c>
      <c r="B103" s="53">
        <f>IF(IFERROR(MATCH(99,'List A'!$Q$5:$Q$204,0)+4,"")="","",INDEX('List A'!$B$5:$B$204,IFERROR(MATCH(99,'List A'!$Q$5:$Q$204,0)+4,"")-4))</f>
        <v/>
      </c>
      <c r="C103" s="52">
        <f>IF(IFERROR(MATCH(99,'List A'!$Q$5:$Q$204,0)+4,"")="","",INDEX('List A'!$C$5:$C$204,IFERROR(MATCH(99,'List A'!$Q$5:$Q$204,0)+4,"")-4))</f>
        <v/>
      </c>
      <c r="D103" s="53">
        <f>IF(IFERROR(MATCH(99,'List A'!$Q$5:$Q$204,0)+4,"")="","",INDEX('List A'!$D$5:$D$204,IFERROR(MATCH(99,'List A'!$Q$5:$Q$204,0)+4,"")-4))</f>
        <v/>
      </c>
      <c r="E103" s="87">
        <f>IF(OR(IFERROR(MATCH(99,'List A'!$Q$5:$Q$204,0)+4,"")="",IF(IFERROR(MATCH(99,'List A'!$Q$5:$Q$204,0)+4,"")="","",INDEX('List A'!$K$5:$K$204,IFERROR(MATCH(99,'List A'!$Q$5:$Q$204,0)+4,"")-4))=""),"",INDEX('List B'!$A$5:$A$204,IF(IFERROR(MATCH(99,'List A'!$Q$5:$Q$204,0)+4,"")="","",INDEX('List A'!$K$5:$K$204,IFERROR(MATCH(99,'List A'!$Q$5:$Q$204,0)+4,"")-4))-4))</f>
        <v/>
      </c>
      <c r="F103" s="53">
        <f>IF(OR(IFERROR(MATCH(99,'List A'!$Q$5:$Q$204,0)+4,"")="",IF(IFERROR(MATCH(99,'List A'!$Q$5:$Q$204,0)+4,"")="","",INDEX('List A'!$K$5:$K$204,IFERROR(MATCH(99,'List A'!$Q$5:$Q$204,0)+4,"")-4))=""),"",INDEX('List B'!$B$5:$B$204,IF(IFERROR(MATCH(99,'List A'!$Q$5:$Q$204,0)+4,"")="","",INDEX('List A'!$K$5:$K$204,IFERROR(MATCH(99,'List A'!$Q$5:$Q$204,0)+4,"")-4))-4))</f>
        <v/>
      </c>
      <c r="G103" s="52">
        <f>IF(OR(IFERROR(MATCH(99,'List A'!$Q$5:$Q$204,0)+4,"")="",IF(IFERROR(MATCH(99,'List A'!$Q$5:$Q$204,0)+4,"")="","",INDEX('List A'!$K$5:$K$204,IFERROR(MATCH(99,'List A'!$Q$5:$Q$204,0)+4,"")-4))=""),"",INDEX('List B'!$C$5:$C$204,IF(IFERROR(MATCH(99,'List A'!$Q$5:$Q$204,0)+4,"")="","",INDEX('List A'!$K$5:$K$204,IFERROR(MATCH(99,'List A'!$Q$5:$Q$204,0)+4,"")-4))-4))</f>
        <v/>
      </c>
      <c r="H103" s="53">
        <f>IF(OR(IFERROR(MATCH(99,'List A'!$Q$5:$Q$204,0)+4,"")="",IF(IFERROR(MATCH(99,'List A'!$Q$5:$Q$204,0)+4,"")="","",INDEX('List A'!$K$5:$K$204,IFERROR(MATCH(99,'List A'!$Q$5:$Q$204,0)+4,"")-4))=""),"",INDEX('List B'!$D$5:$D$204,IF(IFERROR(MATCH(99,'List A'!$Q$5:$Q$204,0)+4,"")="","",INDEX('List A'!$K$5:$K$204,IFERROR(MATCH(99,'List A'!$Q$5:$Q$204,0)+4,"")-4))-4))</f>
        <v/>
      </c>
      <c r="I103" s="52">
        <f>IF(IFERROR(MATCH(99,'List A'!$Q$5:$Q$204,0)+4,"")="","",INDEX('List A'!$N$5:$N$204,IFERROR(MATCH(99,'List A'!$Q$5:$Q$204,0)+4,"")-4))</f>
        <v/>
      </c>
      <c r="J103" s="53">
        <f>IF(IFERROR(MATCH(99,'List A'!$Q$5:$Q$204,0)+4,"")="","",INDEX('List A'!$O$5:$O$204,IFERROR(MATCH(99,'List A'!$Q$5:$Q$204,0)+4,"")-4))</f>
        <v/>
      </c>
    </row>
    <row r="104" ht="17" customHeight="1">
      <c r="A104" s="87">
        <f>IF(IFERROR(MATCH(100,'List A'!$Q$5:$Q$204,0)+4,"")="","",INDEX('List A'!$A$5:$A$204,IFERROR(MATCH(100,'List A'!$Q$5:$Q$204,0)+4,"")-4))</f>
        <v/>
      </c>
      <c r="B104" s="53">
        <f>IF(IFERROR(MATCH(100,'List A'!$Q$5:$Q$204,0)+4,"")="","",INDEX('List A'!$B$5:$B$204,IFERROR(MATCH(100,'List A'!$Q$5:$Q$204,0)+4,"")-4))</f>
        <v/>
      </c>
      <c r="C104" s="52">
        <f>IF(IFERROR(MATCH(100,'List A'!$Q$5:$Q$204,0)+4,"")="","",INDEX('List A'!$C$5:$C$204,IFERROR(MATCH(100,'List A'!$Q$5:$Q$204,0)+4,"")-4))</f>
        <v/>
      </c>
      <c r="D104" s="53">
        <f>IF(IFERROR(MATCH(100,'List A'!$Q$5:$Q$204,0)+4,"")="","",INDEX('List A'!$D$5:$D$204,IFERROR(MATCH(100,'List A'!$Q$5:$Q$204,0)+4,"")-4))</f>
        <v/>
      </c>
      <c r="E104" s="87">
        <f>IF(OR(IFERROR(MATCH(100,'List A'!$Q$5:$Q$204,0)+4,"")="",IF(IFERROR(MATCH(100,'List A'!$Q$5:$Q$204,0)+4,"")="","",INDEX('List A'!$K$5:$K$204,IFERROR(MATCH(100,'List A'!$Q$5:$Q$204,0)+4,"")-4))=""),"",INDEX('List B'!$A$5:$A$204,IF(IFERROR(MATCH(100,'List A'!$Q$5:$Q$204,0)+4,"")="","",INDEX('List A'!$K$5:$K$204,IFERROR(MATCH(100,'List A'!$Q$5:$Q$204,0)+4,"")-4))-4))</f>
        <v/>
      </c>
      <c r="F104" s="53">
        <f>IF(OR(IFERROR(MATCH(100,'List A'!$Q$5:$Q$204,0)+4,"")="",IF(IFERROR(MATCH(100,'List A'!$Q$5:$Q$204,0)+4,"")="","",INDEX('List A'!$K$5:$K$204,IFERROR(MATCH(100,'List A'!$Q$5:$Q$204,0)+4,"")-4))=""),"",INDEX('List B'!$B$5:$B$204,IF(IFERROR(MATCH(100,'List A'!$Q$5:$Q$204,0)+4,"")="","",INDEX('List A'!$K$5:$K$204,IFERROR(MATCH(100,'List A'!$Q$5:$Q$204,0)+4,"")-4))-4))</f>
        <v/>
      </c>
      <c r="G104" s="52">
        <f>IF(OR(IFERROR(MATCH(100,'List A'!$Q$5:$Q$204,0)+4,"")="",IF(IFERROR(MATCH(100,'List A'!$Q$5:$Q$204,0)+4,"")="","",INDEX('List A'!$K$5:$K$204,IFERROR(MATCH(100,'List A'!$Q$5:$Q$204,0)+4,"")-4))=""),"",INDEX('List B'!$C$5:$C$204,IF(IFERROR(MATCH(100,'List A'!$Q$5:$Q$204,0)+4,"")="","",INDEX('List A'!$K$5:$K$204,IFERROR(MATCH(100,'List A'!$Q$5:$Q$204,0)+4,"")-4))-4))</f>
        <v/>
      </c>
      <c r="H104" s="53">
        <f>IF(OR(IFERROR(MATCH(100,'List A'!$Q$5:$Q$204,0)+4,"")="",IF(IFERROR(MATCH(100,'List A'!$Q$5:$Q$204,0)+4,"")="","",INDEX('List A'!$K$5:$K$204,IFERROR(MATCH(100,'List A'!$Q$5:$Q$204,0)+4,"")-4))=""),"",INDEX('List B'!$D$5:$D$204,IF(IFERROR(MATCH(100,'List A'!$Q$5:$Q$204,0)+4,"")="","",INDEX('List A'!$K$5:$K$204,IFERROR(MATCH(100,'List A'!$Q$5:$Q$204,0)+4,"")-4))-4))</f>
        <v/>
      </c>
      <c r="I104" s="52">
        <f>IF(IFERROR(MATCH(100,'List A'!$Q$5:$Q$204,0)+4,"")="","",INDEX('List A'!$N$5:$N$204,IFERROR(MATCH(100,'List A'!$Q$5:$Q$204,0)+4,"")-4))</f>
        <v/>
      </c>
      <c r="J104" s="53">
        <f>IF(IFERROR(MATCH(100,'List A'!$Q$5:$Q$204,0)+4,"")="","",INDEX('List A'!$O$5:$O$204,IFERROR(MATCH(100,'List A'!$Q$5:$Q$204,0)+4,"")-4))</f>
        <v/>
      </c>
    </row>
    <row r="105" ht="17" customHeight="1">
      <c r="A105" s="87">
        <f>IF(IFERROR(MATCH(101,'List A'!$Q$5:$Q$204,0)+4,"")="","",INDEX('List A'!$A$5:$A$204,IFERROR(MATCH(101,'List A'!$Q$5:$Q$204,0)+4,"")-4))</f>
        <v/>
      </c>
      <c r="B105" s="53">
        <f>IF(IFERROR(MATCH(101,'List A'!$Q$5:$Q$204,0)+4,"")="","",INDEX('List A'!$B$5:$B$204,IFERROR(MATCH(101,'List A'!$Q$5:$Q$204,0)+4,"")-4))</f>
        <v/>
      </c>
      <c r="C105" s="52">
        <f>IF(IFERROR(MATCH(101,'List A'!$Q$5:$Q$204,0)+4,"")="","",INDEX('List A'!$C$5:$C$204,IFERROR(MATCH(101,'List A'!$Q$5:$Q$204,0)+4,"")-4))</f>
        <v/>
      </c>
      <c r="D105" s="53">
        <f>IF(IFERROR(MATCH(101,'List A'!$Q$5:$Q$204,0)+4,"")="","",INDEX('List A'!$D$5:$D$204,IFERROR(MATCH(101,'List A'!$Q$5:$Q$204,0)+4,"")-4))</f>
        <v/>
      </c>
      <c r="E105" s="87">
        <f>IF(OR(IFERROR(MATCH(101,'List A'!$Q$5:$Q$204,0)+4,"")="",IF(IFERROR(MATCH(101,'List A'!$Q$5:$Q$204,0)+4,"")="","",INDEX('List A'!$K$5:$K$204,IFERROR(MATCH(101,'List A'!$Q$5:$Q$204,0)+4,"")-4))=""),"",INDEX('List B'!$A$5:$A$204,IF(IFERROR(MATCH(101,'List A'!$Q$5:$Q$204,0)+4,"")="","",INDEX('List A'!$K$5:$K$204,IFERROR(MATCH(101,'List A'!$Q$5:$Q$204,0)+4,"")-4))-4))</f>
        <v/>
      </c>
      <c r="F105" s="53">
        <f>IF(OR(IFERROR(MATCH(101,'List A'!$Q$5:$Q$204,0)+4,"")="",IF(IFERROR(MATCH(101,'List A'!$Q$5:$Q$204,0)+4,"")="","",INDEX('List A'!$K$5:$K$204,IFERROR(MATCH(101,'List A'!$Q$5:$Q$204,0)+4,"")-4))=""),"",INDEX('List B'!$B$5:$B$204,IF(IFERROR(MATCH(101,'List A'!$Q$5:$Q$204,0)+4,"")="","",INDEX('List A'!$K$5:$K$204,IFERROR(MATCH(101,'List A'!$Q$5:$Q$204,0)+4,"")-4))-4))</f>
        <v/>
      </c>
      <c r="G105" s="52">
        <f>IF(OR(IFERROR(MATCH(101,'List A'!$Q$5:$Q$204,0)+4,"")="",IF(IFERROR(MATCH(101,'List A'!$Q$5:$Q$204,0)+4,"")="","",INDEX('List A'!$K$5:$K$204,IFERROR(MATCH(101,'List A'!$Q$5:$Q$204,0)+4,"")-4))=""),"",INDEX('List B'!$C$5:$C$204,IF(IFERROR(MATCH(101,'List A'!$Q$5:$Q$204,0)+4,"")="","",INDEX('List A'!$K$5:$K$204,IFERROR(MATCH(101,'List A'!$Q$5:$Q$204,0)+4,"")-4))-4))</f>
        <v/>
      </c>
      <c r="H105" s="53">
        <f>IF(OR(IFERROR(MATCH(101,'List A'!$Q$5:$Q$204,0)+4,"")="",IF(IFERROR(MATCH(101,'List A'!$Q$5:$Q$204,0)+4,"")="","",INDEX('List A'!$K$5:$K$204,IFERROR(MATCH(101,'List A'!$Q$5:$Q$204,0)+4,"")-4))=""),"",INDEX('List B'!$D$5:$D$204,IF(IFERROR(MATCH(101,'List A'!$Q$5:$Q$204,0)+4,"")="","",INDEX('List A'!$K$5:$K$204,IFERROR(MATCH(101,'List A'!$Q$5:$Q$204,0)+4,"")-4))-4))</f>
        <v/>
      </c>
      <c r="I105" s="52">
        <f>IF(IFERROR(MATCH(101,'List A'!$Q$5:$Q$204,0)+4,"")="","",INDEX('List A'!$N$5:$N$204,IFERROR(MATCH(101,'List A'!$Q$5:$Q$204,0)+4,"")-4))</f>
        <v/>
      </c>
      <c r="J105" s="53">
        <f>IF(IFERROR(MATCH(101,'List A'!$Q$5:$Q$204,0)+4,"")="","",INDEX('List A'!$O$5:$O$204,IFERROR(MATCH(101,'List A'!$Q$5:$Q$204,0)+4,"")-4))</f>
        <v/>
      </c>
    </row>
    <row r="106" ht="17" customHeight="1">
      <c r="A106" s="87">
        <f>IF(IFERROR(MATCH(102,'List A'!$Q$5:$Q$204,0)+4,"")="","",INDEX('List A'!$A$5:$A$204,IFERROR(MATCH(102,'List A'!$Q$5:$Q$204,0)+4,"")-4))</f>
        <v/>
      </c>
      <c r="B106" s="53">
        <f>IF(IFERROR(MATCH(102,'List A'!$Q$5:$Q$204,0)+4,"")="","",INDEX('List A'!$B$5:$B$204,IFERROR(MATCH(102,'List A'!$Q$5:$Q$204,0)+4,"")-4))</f>
        <v/>
      </c>
      <c r="C106" s="52">
        <f>IF(IFERROR(MATCH(102,'List A'!$Q$5:$Q$204,0)+4,"")="","",INDEX('List A'!$C$5:$C$204,IFERROR(MATCH(102,'List A'!$Q$5:$Q$204,0)+4,"")-4))</f>
        <v/>
      </c>
      <c r="D106" s="53">
        <f>IF(IFERROR(MATCH(102,'List A'!$Q$5:$Q$204,0)+4,"")="","",INDEX('List A'!$D$5:$D$204,IFERROR(MATCH(102,'List A'!$Q$5:$Q$204,0)+4,"")-4))</f>
        <v/>
      </c>
      <c r="E106" s="87">
        <f>IF(OR(IFERROR(MATCH(102,'List A'!$Q$5:$Q$204,0)+4,"")="",IF(IFERROR(MATCH(102,'List A'!$Q$5:$Q$204,0)+4,"")="","",INDEX('List A'!$K$5:$K$204,IFERROR(MATCH(102,'List A'!$Q$5:$Q$204,0)+4,"")-4))=""),"",INDEX('List B'!$A$5:$A$204,IF(IFERROR(MATCH(102,'List A'!$Q$5:$Q$204,0)+4,"")="","",INDEX('List A'!$K$5:$K$204,IFERROR(MATCH(102,'List A'!$Q$5:$Q$204,0)+4,"")-4))-4))</f>
        <v/>
      </c>
      <c r="F106" s="53">
        <f>IF(OR(IFERROR(MATCH(102,'List A'!$Q$5:$Q$204,0)+4,"")="",IF(IFERROR(MATCH(102,'List A'!$Q$5:$Q$204,0)+4,"")="","",INDEX('List A'!$K$5:$K$204,IFERROR(MATCH(102,'List A'!$Q$5:$Q$204,0)+4,"")-4))=""),"",INDEX('List B'!$B$5:$B$204,IF(IFERROR(MATCH(102,'List A'!$Q$5:$Q$204,0)+4,"")="","",INDEX('List A'!$K$5:$K$204,IFERROR(MATCH(102,'List A'!$Q$5:$Q$204,0)+4,"")-4))-4))</f>
        <v/>
      </c>
      <c r="G106" s="52">
        <f>IF(OR(IFERROR(MATCH(102,'List A'!$Q$5:$Q$204,0)+4,"")="",IF(IFERROR(MATCH(102,'List A'!$Q$5:$Q$204,0)+4,"")="","",INDEX('List A'!$K$5:$K$204,IFERROR(MATCH(102,'List A'!$Q$5:$Q$204,0)+4,"")-4))=""),"",INDEX('List B'!$C$5:$C$204,IF(IFERROR(MATCH(102,'List A'!$Q$5:$Q$204,0)+4,"")="","",INDEX('List A'!$K$5:$K$204,IFERROR(MATCH(102,'List A'!$Q$5:$Q$204,0)+4,"")-4))-4))</f>
        <v/>
      </c>
      <c r="H106" s="53">
        <f>IF(OR(IFERROR(MATCH(102,'List A'!$Q$5:$Q$204,0)+4,"")="",IF(IFERROR(MATCH(102,'List A'!$Q$5:$Q$204,0)+4,"")="","",INDEX('List A'!$K$5:$K$204,IFERROR(MATCH(102,'List A'!$Q$5:$Q$204,0)+4,"")-4))=""),"",INDEX('List B'!$D$5:$D$204,IF(IFERROR(MATCH(102,'List A'!$Q$5:$Q$204,0)+4,"")="","",INDEX('List A'!$K$5:$K$204,IFERROR(MATCH(102,'List A'!$Q$5:$Q$204,0)+4,"")-4))-4))</f>
        <v/>
      </c>
      <c r="I106" s="52">
        <f>IF(IFERROR(MATCH(102,'List A'!$Q$5:$Q$204,0)+4,"")="","",INDEX('List A'!$N$5:$N$204,IFERROR(MATCH(102,'List A'!$Q$5:$Q$204,0)+4,"")-4))</f>
        <v/>
      </c>
      <c r="J106" s="53">
        <f>IF(IFERROR(MATCH(102,'List A'!$Q$5:$Q$204,0)+4,"")="","",INDEX('List A'!$O$5:$O$204,IFERROR(MATCH(102,'List A'!$Q$5:$Q$204,0)+4,"")-4))</f>
        <v/>
      </c>
    </row>
    <row r="107" ht="17" customHeight="1">
      <c r="A107" s="87">
        <f>IF(IFERROR(MATCH(103,'List A'!$Q$5:$Q$204,0)+4,"")="","",INDEX('List A'!$A$5:$A$204,IFERROR(MATCH(103,'List A'!$Q$5:$Q$204,0)+4,"")-4))</f>
        <v/>
      </c>
      <c r="B107" s="53">
        <f>IF(IFERROR(MATCH(103,'List A'!$Q$5:$Q$204,0)+4,"")="","",INDEX('List A'!$B$5:$B$204,IFERROR(MATCH(103,'List A'!$Q$5:$Q$204,0)+4,"")-4))</f>
        <v/>
      </c>
      <c r="C107" s="52">
        <f>IF(IFERROR(MATCH(103,'List A'!$Q$5:$Q$204,0)+4,"")="","",INDEX('List A'!$C$5:$C$204,IFERROR(MATCH(103,'List A'!$Q$5:$Q$204,0)+4,"")-4))</f>
        <v/>
      </c>
      <c r="D107" s="53">
        <f>IF(IFERROR(MATCH(103,'List A'!$Q$5:$Q$204,0)+4,"")="","",INDEX('List A'!$D$5:$D$204,IFERROR(MATCH(103,'List A'!$Q$5:$Q$204,0)+4,"")-4))</f>
        <v/>
      </c>
      <c r="E107" s="87">
        <f>IF(OR(IFERROR(MATCH(103,'List A'!$Q$5:$Q$204,0)+4,"")="",IF(IFERROR(MATCH(103,'List A'!$Q$5:$Q$204,0)+4,"")="","",INDEX('List A'!$K$5:$K$204,IFERROR(MATCH(103,'List A'!$Q$5:$Q$204,0)+4,"")-4))=""),"",INDEX('List B'!$A$5:$A$204,IF(IFERROR(MATCH(103,'List A'!$Q$5:$Q$204,0)+4,"")="","",INDEX('List A'!$K$5:$K$204,IFERROR(MATCH(103,'List A'!$Q$5:$Q$204,0)+4,"")-4))-4))</f>
        <v/>
      </c>
      <c r="F107" s="53">
        <f>IF(OR(IFERROR(MATCH(103,'List A'!$Q$5:$Q$204,0)+4,"")="",IF(IFERROR(MATCH(103,'List A'!$Q$5:$Q$204,0)+4,"")="","",INDEX('List A'!$K$5:$K$204,IFERROR(MATCH(103,'List A'!$Q$5:$Q$204,0)+4,"")-4))=""),"",INDEX('List B'!$B$5:$B$204,IF(IFERROR(MATCH(103,'List A'!$Q$5:$Q$204,0)+4,"")="","",INDEX('List A'!$K$5:$K$204,IFERROR(MATCH(103,'List A'!$Q$5:$Q$204,0)+4,"")-4))-4))</f>
        <v/>
      </c>
      <c r="G107" s="52">
        <f>IF(OR(IFERROR(MATCH(103,'List A'!$Q$5:$Q$204,0)+4,"")="",IF(IFERROR(MATCH(103,'List A'!$Q$5:$Q$204,0)+4,"")="","",INDEX('List A'!$K$5:$K$204,IFERROR(MATCH(103,'List A'!$Q$5:$Q$204,0)+4,"")-4))=""),"",INDEX('List B'!$C$5:$C$204,IF(IFERROR(MATCH(103,'List A'!$Q$5:$Q$204,0)+4,"")="","",INDEX('List A'!$K$5:$K$204,IFERROR(MATCH(103,'List A'!$Q$5:$Q$204,0)+4,"")-4))-4))</f>
        <v/>
      </c>
      <c r="H107" s="53">
        <f>IF(OR(IFERROR(MATCH(103,'List A'!$Q$5:$Q$204,0)+4,"")="",IF(IFERROR(MATCH(103,'List A'!$Q$5:$Q$204,0)+4,"")="","",INDEX('List A'!$K$5:$K$204,IFERROR(MATCH(103,'List A'!$Q$5:$Q$204,0)+4,"")-4))=""),"",INDEX('List B'!$D$5:$D$204,IF(IFERROR(MATCH(103,'List A'!$Q$5:$Q$204,0)+4,"")="","",INDEX('List A'!$K$5:$K$204,IFERROR(MATCH(103,'List A'!$Q$5:$Q$204,0)+4,"")-4))-4))</f>
        <v/>
      </c>
      <c r="I107" s="52">
        <f>IF(IFERROR(MATCH(103,'List A'!$Q$5:$Q$204,0)+4,"")="","",INDEX('List A'!$N$5:$N$204,IFERROR(MATCH(103,'List A'!$Q$5:$Q$204,0)+4,"")-4))</f>
        <v/>
      </c>
      <c r="J107" s="53">
        <f>IF(IFERROR(MATCH(103,'List A'!$Q$5:$Q$204,0)+4,"")="","",INDEX('List A'!$O$5:$O$204,IFERROR(MATCH(103,'List A'!$Q$5:$Q$204,0)+4,"")-4))</f>
        <v/>
      </c>
    </row>
    <row r="108" ht="17" customHeight="1">
      <c r="A108" s="87">
        <f>IF(IFERROR(MATCH(104,'List A'!$Q$5:$Q$204,0)+4,"")="","",INDEX('List A'!$A$5:$A$204,IFERROR(MATCH(104,'List A'!$Q$5:$Q$204,0)+4,"")-4))</f>
        <v/>
      </c>
      <c r="B108" s="53">
        <f>IF(IFERROR(MATCH(104,'List A'!$Q$5:$Q$204,0)+4,"")="","",INDEX('List A'!$B$5:$B$204,IFERROR(MATCH(104,'List A'!$Q$5:$Q$204,0)+4,"")-4))</f>
        <v/>
      </c>
      <c r="C108" s="52">
        <f>IF(IFERROR(MATCH(104,'List A'!$Q$5:$Q$204,0)+4,"")="","",INDEX('List A'!$C$5:$C$204,IFERROR(MATCH(104,'List A'!$Q$5:$Q$204,0)+4,"")-4))</f>
        <v/>
      </c>
      <c r="D108" s="53">
        <f>IF(IFERROR(MATCH(104,'List A'!$Q$5:$Q$204,0)+4,"")="","",INDEX('List A'!$D$5:$D$204,IFERROR(MATCH(104,'List A'!$Q$5:$Q$204,0)+4,"")-4))</f>
        <v/>
      </c>
      <c r="E108" s="87">
        <f>IF(OR(IFERROR(MATCH(104,'List A'!$Q$5:$Q$204,0)+4,"")="",IF(IFERROR(MATCH(104,'List A'!$Q$5:$Q$204,0)+4,"")="","",INDEX('List A'!$K$5:$K$204,IFERROR(MATCH(104,'List A'!$Q$5:$Q$204,0)+4,"")-4))=""),"",INDEX('List B'!$A$5:$A$204,IF(IFERROR(MATCH(104,'List A'!$Q$5:$Q$204,0)+4,"")="","",INDEX('List A'!$K$5:$K$204,IFERROR(MATCH(104,'List A'!$Q$5:$Q$204,0)+4,"")-4))-4))</f>
        <v/>
      </c>
      <c r="F108" s="53">
        <f>IF(OR(IFERROR(MATCH(104,'List A'!$Q$5:$Q$204,0)+4,"")="",IF(IFERROR(MATCH(104,'List A'!$Q$5:$Q$204,0)+4,"")="","",INDEX('List A'!$K$5:$K$204,IFERROR(MATCH(104,'List A'!$Q$5:$Q$204,0)+4,"")-4))=""),"",INDEX('List B'!$B$5:$B$204,IF(IFERROR(MATCH(104,'List A'!$Q$5:$Q$204,0)+4,"")="","",INDEX('List A'!$K$5:$K$204,IFERROR(MATCH(104,'List A'!$Q$5:$Q$204,0)+4,"")-4))-4))</f>
        <v/>
      </c>
      <c r="G108" s="52">
        <f>IF(OR(IFERROR(MATCH(104,'List A'!$Q$5:$Q$204,0)+4,"")="",IF(IFERROR(MATCH(104,'List A'!$Q$5:$Q$204,0)+4,"")="","",INDEX('List A'!$K$5:$K$204,IFERROR(MATCH(104,'List A'!$Q$5:$Q$204,0)+4,"")-4))=""),"",INDEX('List B'!$C$5:$C$204,IF(IFERROR(MATCH(104,'List A'!$Q$5:$Q$204,0)+4,"")="","",INDEX('List A'!$K$5:$K$204,IFERROR(MATCH(104,'List A'!$Q$5:$Q$204,0)+4,"")-4))-4))</f>
        <v/>
      </c>
      <c r="H108" s="53">
        <f>IF(OR(IFERROR(MATCH(104,'List A'!$Q$5:$Q$204,0)+4,"")="",IF(IFERROR(MATCH(104,'List A'!$Q$5:$Q$204,0)+4,"")="","",INDEX('List A'!$K$5:$K$204,IFERROR(MATCH(104,'List A'!$Q$5:$Q$204,0)+4,"")-4))=""),"",INDEX('List B'!$D$5:$D$204,IF(IFERROR(MATCH(104,'List A'!$Q$5:$Q$204,0)+4,"")="","",INDEX('List A'!$K$5:$K$204,IFERROR(MATCH(104,'List A'!$Q$5:$Q$204,0)+4,"")-4))-4))</f>
        <v/>
      </c>
      <c r="I108" s="52">
        <f>IF(IFERROR(MATCH(104,'List A'!$Q$5:$Q$204,0)+4,"")="","",INDEX('List A'!$N$5:$N$204,IFERROR(MATCH(104,'List A'!$Q$5:$Q$204,0)+4,"")-4))</f>
        <v/>
      </c>
      <c r="J108" s="53">
        <f>IF(IFERROR(MATCH(104,'List A'!$Q$5:$Q$204,0)+4,"")="","",INDEX('List A'!$O$5:$O$204,IFERROR(MATCH(104,'List A'!$Q$5:$Q$204,0)+4,"")-4))</f>
        <v/>
      </c>
    </row>
    <row r="109" ht="17" customHeight="1">
      <c r="A109" s="87">
        <f>IF(IFERROR(MATCH(105,'List A'!$Q$5:$Q$204,0)+4,"")="","",INDEX('List A'!$A$5:$A$204,IFERROR(MATCH(105,'List A'!$Q$5:$Q$204,0)+4,"")-4))</f>
        <v/>
      </c>
      <c r="B109" s="53">
        <f>IF(IFERROR(MATCH(105,'List A'!$Q$5:$Q$204,0)+4,"")="","",INDEX('List A'!$B$5:$B$204,IFERROR(MATCH(105,'List A'!$Q$5:$Q$204,0)+4,"")-4))</f>
        <v/>
      </c>
      <c r="C109" s="52">
        <f>IF(IFERROR(MATCH(105,'List A'!$Q$5:$Q$204,0)+4,"")="","",INDEX('List A'!$C$5:$C$204,IFERROR(MATCH(105,'List A'!$Q$5:$Q$204,0)+4,"")-4))</f>
        <v/>
      </c>
      <c r="D109" s="53">
        <f>IF(IFERROR(MATCH(105,'List A'!$Q$5:$Q$204,0)+4,"")="","",INDEX('List A'!$D$5:$D$204,IFERROR(MATCH(105,'List A'!$Q$5:$Q$204,0)+4,"")-4))</f>
        <v/>
      </c>
      <c r="E109" s="87">
        <f>IF(OR(IFERROR(MATCH(105,'List A'!$Q$5:$Q$204,0)+4,"")="",IF(IFERROR(MATCH(105,'List A'!$Q$5:$Q$204,0)+4,"")="","",INDEX('List A'!$K$5:$K$204,IFERROR(MATCH(105,'List A'!$Q$5:$Q$204,0)+4,"")-4))=""),"",INDEX('List B'!$A$5:$A$204,IF(IFERROR(MATCH(105,'List A'!$Q$5:$Q$204,0)+4,"")="","",INDEX('List A'!$K$5:$K$204,IFERROR(MATCH(105,'List A'!$Q$5:$Q$204,0)+4,"")-4))-4))</f>
        <v/>
      </c>
      <c r="F109" s="53">
        <f>IF(OR(IFERROR(MATCH(105,'List A'!$Q$5:$Q$204,0)+4,"")="",IF(IFERROR(MATCH(105,'List A'!$Q$5:$Q$204,0)+4,"")="","",INDEX('List A'!$K$5:$K$204,IFERROR(MATCH(105,'List A'!$Q$5:$Q$204,0)+4,"")-4))=""),"",INDEX('List B'!$B$5:$B$204,IF(IFERROR(MATCH(105,'List A'!$Q$5:$Q$204,0)+4,"")="","",INDEX('List A'!$K$5:$K$204,IFERROR(MATCH(105,'List A'!$Q$5:$Q$204,0)+4,"")-4))-4))</f>
        <v/>
      </c>
      <c r="G109" s="52">
        <f>IF(OR(IFERROR(MATCH(105,'List A'!$Q$5:$Q$204,0)+4,"")="",IF(IFERROR(MATCH(105,'List A'!$Q$5:$Q$204,0)+4,"")="","",INDEX('List A'!$K$5:$K$204,IFERROR(MATCH(105,'List A'!$Q$5:$Q$204,0)+4,"")-4))=""),"",INDEX('List B'!$C$5:$C$204,IF(IFERROR(MATCH(105,'List A'!$Q$5:$Q$204,0)+4,"")="","",INDEX('List A'!$K$5:$K$204,IFERROR(MATCH(105,'List A'!$Q$5:$Q$204,0)+4,"")-4))-4))</f>
        <v/>
      </c>
      <c r="H109" s="53">
        <f>IF(OR(IFERROR(MATCH(105,'List A'!$Q$5:$Q$204,0)+4,"")="",IF(IFERROR(MATCH(105,'List A'!$Q$5:$Q$204,0)+4,"")="","",INDEX('List A'!$K$5:$K$204,IFERROR(MATCH(105,'List A'!$Q$5:$Q$204,0)+4,"")-4))=""),"",INDEX('List B'!$D$5:$D$204,IF(IFERROR(MATCH(105,'List A'!$Q$5:$Q$204,0)+4,"")="","",INDEX('List A'!$K$5:$K$204,IFERROR(MATCH(105,'List A'!$Q$5:$Q$204,0)+4,"")-4))-4))</f>
        <v/>
      </c>
      <c r="I109" s="52">
        <f>IF(IFERROR(MATCH(105,'List A'!$Q$5:$Q$204,0)+4,"")="","",INDEX('List A'!$N$5:$N$204,IFERROR(MATCH(105,'List A'!$Q$5:$Q$204,0)+4,"")-4))</f>
        <v/>
      </c>
      <c r="J109" s="53">
        <f>IF(IFERROR(MATCH(105,'List A'!$Q$5:$Q$204,0)+4,"")="","",INDEX('List A'!$O$5:$O$204,IFERROR(MATCH(105,'List A'!$Q$5:$Q$204,0)+4,"")-4))</f>
        <v/>
      </c>
    </row>
    <row r="110" ht="17" customHeight="1">
      <c r="A110" s="87">
        <f>IF(IFERROR(MATCH(106,'List A'!$Q$5:$Q$204,0)+4,"")="","",INDEX('List A'!$A$5:$A$204,IFERROR(MATCH(106,'List A'!$Q$5:$Q$204,0)+4,"")-4))</f>
        <v/>
      </c>
      <c r="B110" s="53">
        <f>IF(IFERROR(MATCH(106,'List A'!$Q$5:$Q$204,0)+4,"")="","",INDEX('List A'!$B$5:$B$204,IFERROR(MATCH(106,'List A'!$Q$5:$Q$204,0)+4,"")-4))</f>
        <v/>
      </c>
      <c r="C110" s="52">
        <f>IF(IFERROR(MATCH(106,'List A'!$Q$5:$Q$204,0)+4,"")="","",INDEX('List A'!$C$5:$C$204,IFERROR(MATCH(106,'List A'!$Q$5:$Q$204,0)+4,"")-4))</f>
        <v/>
      </c>
      <c r="D110" s="53">
        <f>IF(IFERROR(MATCH(106,'List A'!$Q$5:$Q$204,0)+4,"")="","",INDEX('List A'!$D$5:$D$204,IFERROR(MATCH(106,'List A'!$Q$5:$Q$204,0)+4,"")-4))</f>
        <v/>
      </c>
      <c r="E110" s="87">
        <f>IF(OR(IFERROR(MATCH(106,'List A'!$Q$5:$Q$204,0)+4,"")="",IF(IFERROR(MATCH(106,'List A'!$Q$5:$Q$204,0)+4,"")="","",INDEX('List A'!$K$5:$K$204,IFERROR(MATCH(106,'List A'!$Q$5:$Q$204,0)+4,"")-4))=""),"",INDEX('List B'!$A$5:$A$204,IF(IFERROR(MATCH(106,'List A'!$Q$5:$Q$204,0)+4,"")="","",INDEX('List A'!$K$5:$K$204,IFERROR(MATCH(106,'List A'!$Q$5:$Q$204,0)+4,"")-4))-4))</f>
        <v/>
      </c>
      <c r="F110" s="53">
        <f>IF(OR(IFERROR(MATCH(106,'List A'!$Q$5:$Q$204,0)+4,"")="",IF(IFERROR(MATCH(106,'List A'!$Q$5:$Q$204,0)+4,"")="","",INDEX('List A'!$K$5:$K$204,IFERROR(MATCH(106,'List A'!$Q$5:$Q$204,0)+4,"")-4))=""),"",INDEX('List B'!$B$5:$B$204,IF(IFERROR(MATCH(106,'List A'!$Q$5:$Q$204,0)+4,"")="","",INDEX('List A'!$K$5:$K$204,IFERROR(MATCH(106,'List A'!$Q$5:$Q$204,0)+4,"")-4))-4))</f>
        <v/>
      </c>
      <c r="G110" s="52">
        <f>IF(OR(IFERROR(MATCH(106,'List A'!$Q$5:$Q$204,0)+4,"")="",IF(IFERROR(MATCH(106,'List A'!$Q$5:$Q$204,0)+4,"")="","",INDEX('List A'!$K$5:$K$204,IFERROR(MATCH(106,'List A'!$Q$5:$Q$204,0)+4,"")-4))=""),"",INDEX('List B'!$C$5:$C$204,IF(IFERROR(MATCH(106,'List A'!$Q$5:$Q$204,0)+4,"")="","",INDEX('List A'!$K$5:$K$204,IFERROR(MATCH(106,'List A'!$Q$5:$Q$204,0)+4,"")-4))-4))</f>
        <v/>
      </c>
      <c r="H110" s="53">
        <f>IF(OR(IFERROR(MATCH(106,'List A'!$Q$5:$Q$204,0)+4,"")="",IF(IFERROR(MATCH(106,'List A'!$Q$5:$Q$204,0)+4,"")="","",INDEX('List A'!$K$5:$K$204,IFERROR(MATCH(106,'List A'!$Q$5:$Q$204,0)+4,"")-4))=""),"",INDEX('List B'!$D$5:$D$204,IF(IFERROR(MATCH(106,'List A'!$Q$5:$Q$204,0)+4,"")="","",INDEX('List A'!$K$5:$K$204,IFERROR(MATCH(106,'List A'!$Q$5:$Q$204,0)+4,"")-4))-4))</f>
        <v/>
      </c>
      <c r="I110" s="52">
        <f>IF(IFERROR(MATCH(106,'List A'!$Q$5:$Q$204,0)+4,"")="","",INDEX('List A'!$N$5:$N$204,IFERROR(MATCH(106,'List A'!$Q$5:$Q$204,0)+4,"")-4))</f>
        <v/>
      </c>
      <c r="J110" s="53">
        <f>IF(IFERROR(MATCH(106,'List A'!$Q$5:$Q$204,0)+4,"")="","",INDEX('List A'!$O$5:$O$204,IFERROR(MATCH(106,'List A'!$Q$5:$Q$204,0)+4,"")-4))</f>
        <v/>
      </c>
    </row>
    <row r="111" ht="17" customHeight="1">
      <c r="A111" s="87">
        <f>IF(IFERROR(MATCH(107,'List A'!$Q$5:$Q$204,0)+4,"")="","",INDEX('List A'!$A$5:$A$204,IFERROR(MATCH(107,'List A'!$Q$5:$Q$204,0)+4,"")-4))</f>
        <v/>
      </c>
      <c r="B111" s="53">
        <f>IF(IFERROR(MATCH(107,'List A'!$Q$5:$Q$204,0)+4,"")="","",INDEX('List A'!$B$5:$B$204,IFERROR(MATCH(107,'List A'!$Q$5:$Q$204,0)+4,"")-4))</f>
        <v/>
      </c>
      <c r="C111" s="52">
        <f>IF(IFERROR(MATCH(107,'List A'!$Q$5:$Q$204,0)+4,"")="","",INDEX('List A'!$C$5:$C$204,IFERROR(MATCH(107,'List A'!$Q$5:$Q$204,0)+4,"")-4))</f>
        <v/>
      </c>
      <c r="D111" s="53">
        <f>IF(IFERROR(MATCH(107,'List A'!$Q$5:$Q$204,0)+4,"")="","",INDEX('List A'!$D$5:$D$204,IFERROR(MATCH(107,'List A'!$Q$5:$Q$204,0)+4,"")-4))</f>
        <v/>
      </c>
      <c r="E111" s="87">
        <f>IF(OR(IFERROR(MATCH(107,'List A'!$Q$5:$Q$204,0)+4,"")="",IF(IFERROR(MATCH(107,'List A'!$Q$5:$Q$204,0)+4,"")="","",INDEX('List A'!$K$5:$K$204,IFERROR(MATCH(107,'List A'!$Q$5:$Q$204,0)+4,"")-4))=""),"",INDEX('List B'!$A$5:$A$204,IF(IFERROR(MATCH(107,'List A'!$Q$5:$Q$204,0)+4,"")="","",INDEX('List A'!$K$5:$K$204,IFERROR(MATCH(107,'List A'!$Q$5:$Q$204,0)+4,"")-4))-4))</f>
        <v/>
      </c>
      <c r="F111" s="53">
        <f>IF(OR(IFERROR(MATCH(107,'List A'!$Q$5:$Q$204,0)+4,"")="",IF(IFERROR(MATCH(107,'List A'!$Q$5:$Q$204,0)+4,"")="","",INDEX('List A'!$K$5:$K$204,IFERROR(MATCH(107,'List A'!$Q$5:$Q$204,0)+4,"")-4))=""),"",INDEX('List B'!$B$5:$B$204,IF(IFERROR(MATCH(107,'List A'!$Q$5:$Q$204,0)+4,"")="","",INDEX('List A'!$K$5:$K$204,IFERROR(MATCH(107,'List A'!$Q$5:$Q$204,0)+4,"")-4))-4))</f>
        <v/>
      </c>
      <c r="G111" s="52">
        <f>IF(OR(IFERROR(MATCH(107,'List A'!$Q$5:$Q$204,0)+4,"")="",IF(IFERROR(MATCH(107,'List A'!$Q$5:$Q$204,0)+4,"")="","",INDEX('List A'!$K$5:$K$204,IFERROR(MATCH(107,'List A'!$Q$5:$Q$204,0)+4,"")-4))=""),"",INDEX('List B'!$C$5:$C$204,IF(IFERROR(MATCH(107,'List A'!$Q$5:$Q$204,0)+4,"")="","",INDEX('List A'!$K$5:$K$204,IFERROR(MATCH(107,'List A'!$Q$5:$Q$204,0)+4,"")-4))-4))</f>
        <v/>
      </c>
      <c r="H111" s="53">
        <f>IF(OR(IFERROR(MATCH(107,'List A'!$Q$5:$Q$204,0)+4,"")="",IF(IFERROR(MATCH(107,'List A'!$Q$5:$Q$204,0)+4,"")="","",INDEX('List A'!$K$5:$K$204,IFERROR(MATCH(107,'List A'!$Q$5:$Q$204,0)+4,"")-4))=""),"",INDEX('List B'!$D$5:$D$204,IF(IFERROR(MATCH(107,'List A'!$Q$5:$Q$204,0)+4,"")="","",INDEX('List A'!$K$5:$K$204,IFERROR(MATCH(107,'List A'!$Q$5:$Q$204,0)+4,"")-4))-4))</f>
        <v/>
      </c>
      <c r="I111" s="52">
        <f>IF(IFERROR(MATCH(107,'List A'!$Q$5:$Q$204,0)+4,"")="","",INDEX('List A'!$N$5:$N$204,IFERROR(MATCH(107,'List A'!$Q$5:$Q$204,0)+4,"")-4))</f>
        <v/>
      </c>
      <c r="J111" s="53">
        <f>IF(IFERROR(MATCH(107,'List A'!$Q$5:$Q$204,0)+4,"")="","",INDEX('List A'!$O$5:$O$204,IFERROR(MATCH(107,'List A'!$Q$5:$Q$204,0)+4,"")-4))</f>
        <v/>
      </c>
    </row>
    <row r="112" ht="17" customHeight="1">
      <c r="A112" s="87">
        <f>IF(IFERROR(MATCH(108,'List A'!$Q$5:$Q$204,0)+4,"")="","",INDEX('List A'!$A$5:$A$204,IFERROR(MATCH(108,'List A'!$Q$5:$Q$204,0)+4,"")-4))</f>
        <v/>
      </c>
      <c r="B112" s="53">
        <f>IF(IFERROR(MATCH(108,'List A'!$Q$5:$Q$204,0)+4,"")="","",INDEX('List A'!$B$5:$B$204,IFERROR(MATCH(108,'List A'!$Q$5:$Q$204,0)+4,"")-4))</f>
        <v/>
      </c>
      <c r="C112" s="52">
        <f>IF(IFERROR(MATCH(108,'List A'!$Q$5:$Q$204,0)+4,"")="","",INDEX('List A'!$C$5:$C$204,IFERROR(MATCH(108,'List A'!$Q$5:$Q$204,0)+4,"")-4))</f>
        <v/>
      </c>
      <c r="D112" s="53">
        <f>IF(IFERROR(MATCH(108,'List A'!$Q$5:$Q$204,0)+4,"")="","",INDEX('List A'!$D$5:$D$204,IFERROR(MATCH(108,'List A'!$Q$5:$Q$204,0)+4,"")-4))</f>
        <v/>
      </c>
      <c r="E112" s="87">
        <f>IF(OR(IFERROR(MATCH(108,'List A'!$Q$5:$Q$204,0)+4,"")="",IF(IFERROR(MATCH(108,'List A'!$Q$5:$Q$204,0)+4,"")="","",INDEX('List A'!$K$5:$K$204,IFERROR(MATCH(108,'List A'!$Q$5:$Q$204,0)+4,"")-4))=""),"",INDEX('List B'!$A$5:$A$204,IF(IFERROR(MATCH(108,'List A'!$Q$5:$Q$204,0)+4,"")="","",INDEX('List A'!$K$5:$K$204,IFERROR(MATCH(108,'List A'!$Q$5:$Q$204,0)+4,"")-4))-4))</f>
        <v/>
      </c>
      <c r="F112" s="53">
        <f>IF(OR(IFERROR(MATCH(108,'List A'!$Q$5:$Q$204,0)+4,"")="",IF(IFERROR(MATCH(108,'List A'!$Q$5:$Q$204,0)+4,"")="","",INDEX('List A'!$K$5:$K$204,IFERROR(MATCH(108,'List A'!$Q$5:$Q$204,0)+4,"")-4))=""),"",INDEX('List B'!$B$5:$B$204,IF(IFERROR(MATCH(108,'List A'!$Q$5:$Q$204,0)+4,"")="","",INDEX('List A'!$K$5:$K$204,IFERROR(MATCH(108,'List A'!$Q$5:$Q$204,0)+4,"")-4))-4))</f>
        <v/>
      </c>
      <c r="G112" s="52">
        <f>IF(OR(IFERROR(MATCH(108,'List A'!$Q$5:$Q$204,0)+4,"")="",IF(IFERROR(MATCH(108,'List A'!$Q$5:$Q$204,0)+4,"")="","",INDEX('List A'!$K$5:$K$204,IFERROR(MATCH(108,'List A'!$Q$5:$Q$204,0)+4,"")-4))=""),"",INDEX('List B'!$C$5:$C$204,IF(IFERROR(MATCH(108,'List A'!$Q$5:$Q$204,0)+4,"")="","",INDEX('List A'!$K$5:$K$204,IFERROR(MATCH(108,'List A'!$Q$5:$Q$204,0)+4,"")-4))-4))</f>
        <v/>
      </c>
      <c r="H112" s="53">
        <f>IF(OR(IFERROR(MATCH(108,'List A'!$Q$5:$Q$204,0)+4,"")="",IF(IFERROR(MATCH(108,'List A'!$Q$5:$Q$204,0)+4,"")="","",INDEX('List A'!$K$5:$K$204,IFERROR(MATCH(108,'List A'!$Q$5:$Q$204,0)+4,"")-4))=""),"",INDEX('List B'!$D$5:$D$204,IF(IFERROR(MATCH(108,'List A'!$Q$5:$Q$204,0)+4,"")="","",INDEX('List A'!$K$5:$K$204,IFERROR(MATCH(108,'List A'!$Q$5:$Q$204,0)+4,"")-4))-4))</f>
        <v/>
      </c>
      <c r="I112" s="52">
        <f>IF(IFERROR(MATCH(108,'List A'!$Q$5:$Q$204,0)+4,"")="","",INDEX('List A'!$N$5:$N$204,IFERROR(MATCH(108,'List A'!$Q$5:$Q$204,0)+4,"")-4))</f>
        <v/>
      </c>
      <c r="J112" s="53">
        <f>IF(IFERROR(MATCH(108,'List A'!$Q$5:$Q$204,0)+4,"")="","",INDEX('List A'!$O$5:$O$204,IFERROR(MATCH(108,'List A'!$Q$5:$Q$204,0)+4,"")-4))</f>
        <v/>
      </c>
    </row>
    <row r="113" ht="17" customHeight="1">
      <c r="A113" s="87">
        <f>IF(IFERROR(MATCH(109,'List A'!$Q$5:$Q$204,0)+4,"")="","",INDEX('List A'!$A$5:$A$204,IFERROR(MATCH(109,'List A'!$Q$5:$Q$204,0)+4,"")-4))</f>
        <v/>
      </c>
      <c r="B113" s="53">
        <f>IF(IFERROR(MATCH(109,'List A'!$Q$5:$Q$204,0)+4,"")="","",INDEX('List A'!$B$5:$B$204,IFERROR(MATCH(109,'List A'!$Q$5:$Q$204,0)+4,"")-4))</f>
        <v/>
      </c>
      <c r="C113" s="52">
        <f>IF(IFERROR(MATCH(109,'List A'!$Q$5:$Q$204,0)+4,"")="","",INDEX('List A'!$C$5:$C$204,IFERROR(MATCH(109,'List A'!$Q$5:$Q$204,0)+4,"")-4))</f>
        <v/>
      </c>
      <c r="D113" s="53">
        <f>IF(IFERROR(MATCH(109,'List A'!$Q$5:$Q$204,0)+4,"")="","",INDEX('List A'!$D$5:$D$204,IFERROR(MATCH(109,'List A'!$Q$5:$Q$204,0)+4,"")-4))</f>
        <v/>
      </c>
      <c r="E113" s="87">
        <f>IF(OR(IFERROR(MATCH(109,'List A'!$Q$5:$Q$204,0)+4,"")="",IF(IFERROR(MATCH(109,'List A'!$Q$5:$Q$204,0)+4,"")="","",INDEX('List A'!$K$5:$K$204,IFERROR(MATCH(109,'List A'!$Q$5:$Q$204,0)+4,"")-4))=""),"",INDEX('List B'!$A$5:$A$204,IF(IFERROR(MATCH(109,'List A'!$Q$5:$Q$204,0)+4,"")="","",INDEX('List A'!$K$5:$K$204,IFERROR(MATCH(109,'List A'!$Q$5:$Q$204,0)+4,"")-4))-4))</f>
        <v/>
      </c>
      <c r="F113" s="53">
        <f>IF(OR(IFERROR(MATCH(109,'List A'!$Q$5:$Q$204,0)+4,"")="",IF(IFERROR(MATCH(109,'List A'!$Q$5:$Q$204,0)+4,"")="","",INDEX('List A'!$K$5:$K$204,IFERROR(MATCH(109,'List A'!$Q$5:$Q$204,0)+4,"")-4))=""),"",INDEX('List B'!$B$5:$B$204,IF(IFERROR(MATCH(109,'List A'!$Q$5:$Q$204,0)+4,"")="","",INDEX('List A'!$K$5:$K$204,IFERROR(MATCH(109,'List A'!$Q$5:$Q$204,0)+4,"")-4))-4))</f>
        <v/>
      </c>
      <c r="G113" s="52">
        <f>IF(OR(IFERROR(MATCH(109,'List A'!$Q$5:$Q$204,0)+4,"")="",IF(IFERROR(MATCH(109,'List A'!$Q$5:$Q$204,0)+4,"")="","",INDEX('List A'!$K$5:$K$204,IFERROR(MATCH(109,'List A'!$Q$5:$Q$204,0)+4,"")-4))=""),"",INDEX('List B'!$C$5:$C$204,IF(IFERROR(MATCH(109,'List A'!$Q$5:$Q$204,0)+4,"")="","",INDEX('List A'!$K$5:$K$204,IFERROR(MATCH(109,'List A'!$Q$5:$Q$204,0)+4,"")-4))-4))</f>
        <v/>
      </c>
      <c r="H113" s="53">
        <f>IF(OR(IFERROR(MATCH(109,'List A'!$Q$5:$Q$204,0)+4,"")="",IF(IFERROR(MATCH(109,'List A'!$Q$5:$Q$204,0)+4,"")="","",INDEX('List A'!$K$5:$K$204,IFERROR(MATCH(109,'List A'!$Q$5:$Q$204,0)+4,"")-4))=""),"",INDEX('List B'!$D$5:$D$204,IF(IFERROR(MATCH(109,'List A'!$Q$5:$Q$204,0)+4,"")="","",INDEX('List A'!$K$5:$K$204,IFERROR(MATCH(109,'List A'!$Q$5:$Q$204,0)+4,"")-4))-4))</f>
        <v/>
      </c>
      <c r="I113" s="52">
        <f>IF(IFERROR(MATCH(109,'List A'!$Q$5:$Q$204,0)+4,"")="","",INDEX('List A'!$N$5:$N$204,IFERROR(MATCH(109,'List A'!$Q$5:$Q$204,0)+4,"")-4))</f>
        <v/>
      </c>
      <c r="J113" s="53">
        <f>IF(IFERROR(MATCH(109,'List A'!$Q$5:$Q$204,0)+4,"")="","",INDEX('List A'!$O$5:$O$204,IFERROR(MATCH(109,'List A'!$Q$5:$Q$204,0)+4,"")-4))</f>
        <v/>
      </c>
    </row>
    <row r="114" ht="17" customHeight="1">
      <c r="A114" s="87">
        <f>IF(IFERROR(MATCH(110,'List A'!$Q$5:$Q$204,0)+4,"")="","",INDEX('List A'!$A$5:$A$204,IFERROR(MATCH(110,'List A'!$Q$5:$Q$204,0)+4,"")-4))</f>
        <v/>
      </c>
      <c r="B114" s="53">
        <f>IF(IFERROR(MATCH(110,'List A'!$Q$5:$Q$204,0)+4,"")="","",INDEX('List A'!$B$5:$B$204,IFERROR(MATCH(110,'List A'!$Q$5:$Q$204,0)+4,"")-4))</f>
        <v/>
      </c>
      <c r="C114" s="52">
        <f>IF(IFERROR(MATCH(110,'List A'!$Q$5:$Q$204,0)+4,"")="","",INDEX('List A'!$C$5:$C$204,IFERROR(MATCH(110,'List A'!$Q$5:$Q$204,0)+4,"")-4))</f>
        <v/>
      </c>
      <c r="D114" s="53">
        <f>IF(IFERROR(MATCH(110,'List A'!$Q$5:$Q$204,0)+4,"")="","",INDEX('List A'!$D$5:$D$204,IFERROR(MATCH(110,'List A'!$Q$5:$Q$204,0)+4,"")-4))</f>
        <v/>
      </c>
      <c r="E114" s="87">
        <f>IF(OR(IFERROR(MATCH(110,'List A'!$Q$5:$Q$204,0)+4,"")="",IF(IFERROR(MATCH(110,'List A'!$Q$5:$Q$204,0)+4,"")="","",INDEX('List A'!$K$5:$K$204,IFERROR(MATCH(110,'List A'!$Q$5:$Q$204,0)+4,"")-4))=""),"",INDEX('List B'!$A$5:$A$204,IF(IFERROR(MATCH(110,'List A'!$Q$5:$Q$204,0)+4,"")="","",INDEX('List A'!$K$5:$K$204,IFERROR(MATCH(110,'List A'!$Q$5:$Q$204,0)+4,"")-4))-4))</f>
        <v/>
      </c>
      <c r="F114" s="53">
        <f>IF(OR(IFERROR(MATCH(110,'List A'!$Q$5:$Q$204,0)+4,"")="",IF(IFERROR(MATCH(110,'List A'!$Q$5:$Q$204,0)+4,"")="","",INDEX('List A'!$K$5:$K$204,IFERROR(MATCH(110,'List A'!$Q$5:$Q$204,0)+4,"")-4))=""),"",INDEX('List B'!$B$5:$B$204,IF(IFERROR(MATCH(110,'List A'!$Q$5:$Q$204,0)+4,"")="","",INDEX('List A'!$K$5:$K$204,IFERROR(MATCH(110,'List A'!$Q$5:$Q$204,0)+4,"")-4))-4))</f>
        <v/>
      </c>
      <c r="G114" s="52">
        <f>IF(OR(IFERROR(MATCH(110,'List A'!$Q$5:$Q$204,0)+4,"")="",IF(IFERROR(MATCH(110,'List A'!$Q$5:$Q$204,0)+4,"")="","",INDEX('List A'!$K$5:$K$204,IFERROR(MATCH(110,'List A'!$Q$5:$Q$204,0)+4,"")-4))=""),"",INDEX('List B'!$C$5:$C$204,IF(IFERROR(MATCH(110,'List A'!$Q$5:$Q$204,0)+4,"")="","",INDEX('List A'!$K$5:$K$204,IFERROR(MATCH(110,'List A'!$Q$5:$Q$204,0)+4,"")-4))-4))</f>
        <v/>
      </c>
      <c r="H114" s="53">
        <f>IF(OR(IFERROR(MATCH(110,'List A'!$Q$5:$Q$204,0)+4,"")="",IF(IFERROR(MATCH(110,'List A'!$Q$5:$Q$204,0)+4,"")="","",INDEX('List A'!$K$5:$K$204,IFERROR(MATCH(110,'List A'!$Q$5:$Q$204,0)+4,"")-4))=""),"",INDEX('List B'!$D$5:$D$204,IF(IFERROR(MATCH(110,'List A'!$Q$5:$Q$204,0)+4,"")="","",INDEX('List A'!$K$5:$K$204,IFERROR(MATCH(110,'List A'!$Q$5:$Q$204,0)+4,"")-4))-4))</f>
        <v/>
      </c>
      <c r="I114" s="52">
        <f>IF(IFERROR(MATCH(110,'List A'!$Q$5:$Q$204,0)+4,"")="","",INDEX('List A'!$N$5:$N$204,IFERROR(MATCH(110,'List A'!$Q$5:$Q$204,0)+4,"")-4))</f>
        <v/>
      </c>
      <c r="J114" s="53">
        <f>IF(IFERROR(MATCH(110,'List A'!$Q$5:$Q$204,0)+4,"")="","",INDEX('List A'!$O$5:$O$204,IFERROR(MATCH(110,'List A'!$Q$5:$Q$204,0)+4,"")-4))</f>
        <v/>
      </c>
    </row>
    <row r="115" ht="17" customHeight="1">
      <c r="A115" s="87">
        <f>IF(IFERROR(MATCH(111,'List A'!$Q$5:$Q$204,0)+4,"")="","",INDEX('List A'!$A$5:$A$204,IFERROR(MATCH(111,'List A'!$Q$5:$Q$204,0)+4,"")-4))</f>
        <v/>
      </c>
      <c r="B115" s="53">
        <f>IF(IFERROR(MATCH(111,'List A'!$Q$5:$Q$204,0)+4,"")="","",INDEX('List A'!$B$5:$B$204,IFERROR(MATCH(111,'List A'!$Q$5:$Q$204,0)+4,"")-4))</f>
        <v/>
      </c>
      <c r="C115" s="52">
        <f>IF(IFERROR(MATCH(111,'List A'!$Q$5:$Q$204,0)+4,"")="","",INDEX('List A'!$C$5:$C$204,IFERROR(MATCH(111,'List A'!$Q$5:$Q$204,0)+4,"")-4))</f>
        <v/>
      </c>
      <c r="D115" s="53">
        <f>IF(IFERROR(MATCH(111,'List A'!$Q$5:$Q$204,0)+4,"")="","",INDEX('List A'!$D$5:$D$204,IFERROR(MATCH(111,'List A'!$Q$5:$Q$204,0)+4,"")-4))</f>
        <v/>
      </c>
      <c r="E115" s="87">
        <f>IF(OR(IFERROR(MATCH(111,'List A'!$Q$5:$Q$204,0)+4,"")="",IF(IFERROR(MATCH(111,'List A'!$Q$5:$Q$204,0)+4,"")="","",INDEX('List A'!$K$5:$K$204,IFERROR(MATCH(111,'List A'!$Q$5:$Q$204,0)+4,"")-4))=""),"",INDEX('List B'!$A$5:$A$204,IF(IFERROR(MATCH(111,'List A'!$Q$5:$Q$204,0)+4,"")="","",INDEX('List A'!$K$5:$K$204,IFERROR(MATCH(111,'List A'!$Q$5:$Q$204,0)+4,"")-4))-4))</f>
        <v/>
      </c>
      <c r="F115" s="53">
        <f>IF(OR(IFERROR(MATCH(111,'List A'!$Q$5:$Q$204,0)+4,"")="",IF(IFERROR(MATCH(111,'List A'!$Q$5:$Q$204,0)+4,"")="","",INDEX('List A'!$K$5:$K$204,IFERROR(MATCH(111,'List A'!$Q$5:$Q$204,0)+4,"")-4))=""),"",INDEX('List B'!$B$5:$B$204,IF(IFERROR(MATCH(111,'List A'!$Q$5:$Q$204,0)+4,"")="","",INDEX('List A'!$K$5:$K$204,IFERROR(MATCH(111,'List A'!$Q$5:$Q$204,0)+4,"")-4))-4))</f>
        <v/>
      </c>
      <c r="G115" s="52">
        <f>IF(OR(IFERROR(MATCH(111,'List A'!$Q$5:$Q$204,0)+4,"")="",IF(IFERROR(MATCH(111,'List A'!$Q$5:$Q$204,0)+4,"")="","",INDEX('List A'!$K$5:$K$204,IFERROR(MATCH(111,'List A'!$Q$5:$Q$204,0)+4,"")-4))=""),"",INDEX('List B'!$C$5:$C$204,IF(IFERROR(MATCH(111,'List A'!$Q$5:$Q$204,0)+4,"")="","",INDEX('List A'!$K$5:$K$204,IFERROR(MATCH(111,'List A'!$Q$5:$Q$204,0)+4,"")-4))-4))</f>
        <v/>
      </c>
      <c r="H115" s="53">
        <f>IF(OR(IFERROR(MATCH(111,'List A'!$Q$5:$Q$204,0)+4,"")="",IF(IFERROR(MATCH(111,'List A'!$Q$5:$Q$204,0)+4,"")="","",INDEX('List A'!$K$5:$K$204,IFERROR(MATCH(111,'List A'!$Q$5:$Q$204,0)+4,"")-4))=""),"",INDEX('List B'!$D$5:$D$204,IF(IFERROR(MATCH(111,'List A'!$Q$5:$Q$204,0)+4,"")="","",INDEX('List A'!$K$5:$K$204,IFERROR(MATCH(111,'List A'!$Q$5:$Q$204,0)+4,"")-4))-4))</f>
        <v/>
      </c>
      <c r="I115" s="52">
        <f>IF(IFERROR(MATCH(111,'List A'!$Q$5:$Q$204,0)+4,"")="","",INDEX('List A'!$N$5:$N$204,IFERROR(MATCH(111,'List A'!$Q$5:$Q$204,0)+4,"")-4))</f>
        <v/>
      </c>
      <c r="J115" s="53">
        <f>IF(IFERROR(MATCH(111,'List A'!$Q$5:$Q$204,0)+4,"")="","",INDEX('List A'!$O$5:$O$204,IFERROR(MATCH(111,'List A'!$Q$5:$Q$204,0)+4,"")-4))</f>
        <v/>
      </c>
    </row>
    <row r="116" ht="17" customHeight="1">
      <c r="A116" s="87">
        <f>IF(IFERROR(MATCH(112,'List A'!$Q$5:$Q$204,0)+4,"")="","",INDEX('List A'!$A$5:$A$204,IFERROR(MATCH(112,'List A'!$Q$5:$Q$204,0)+4,"")-4))</f>
        <v/>
      </c>
      <c r="B116" s="53">
        <f>IF(IFERROR(MATCH(112,'List A'!$Q$5:$Q$204,0)+4,"")="","",INDEX('List A'!$B$5:$B$204,IFERROR(MATCH(112,'List A'!$Q$5:$Q$204,0)+4,"")-4))</f>
        <v/>
      </c>
      <c r="C116" s="52">
        <f>IF(IFERROR(MATCH(112,'List A'!$Q$5:$Q$204,0)+4,"")="","",INDEX('List A'!$C$5:$C$204,IFERROR(MATCH(112,'List A'!$Q$5:$Q$204,0)+4,"")-4))</f>
        <v/>
      </c>
      <c r="D116" s="53">
        <f>IF(IFERROR(MATCH(112,'List A'!$Q$5:$Q$204,0)+4,"")="","",INDEX('List A'!$D$5:$D$204,IFERROR(MATCH(112,'List A'!$Q$5:$Q$204,0)+4,"")-4))</f>
        <v/>
      </c>
      <c r="E116" s="87">
        <f>IF(OR(IFERROR(MATCH(112,'List A'!$Q$5:$Q$204,0)+4,"")="",IF(IFERROR(MATCH(112,'List A'!$Q$5:$Q$204,0)+4,"")="","",INDEX('List A'!$K$5:$K$204,IFERROR(MATCH(112,'List A'!$Q$5:$Q$204,0)+4,"")-4))=""),"",INDEX('List B'!$A$5:$A$204,IF(IFERROR(MATCH(112,'List A'!$Q$5:$Q$204,0)+4,"")="","",INDEX('List A'!$K$5:$K$204,IFERROR(MATCH(112,'List A'!$Q$5:$Q$204,0)+4,"")-4))-4))</f>
        <v/>
      </c>
      <c r="F116" s="53">
        <f>IF(OR(IFERROR(MATCH(112,'List A'!$Q$5:$Q$204,0)+4,"")="",IF(IFERROR(MATCH(112,'List A'!$Q$5:$Q$204,0)+4,"")="","",INDEX('List A'!$K$5:$K$204,IFERROR(MATCH(112,'List A'!$Q$5:$Q$204,0)+4,"")-4))=""),"",INDEX('List B'!$B$5:$B$204,IF(IFERROR(MATCH(112,'List A'!$Q$5:$Q$204,0)+4,"")="","",INDEX('List A'!$K$5:$K$204,IFERROR(MATCH(112,'List A'!$Q$5:$Q$204,0)+4,"")-4))-4))</f>
        <v/>
      </c>
      <c r="G116" s="52">
        <f>IF(OR(IFERROR(MATCH(112,'List A'!$Q$5:$Q$204,0)+4,"")="",IF(IFERROR(MATCH(112,'List A'!$Q$5:$Q$204,0)+4,"")="","",INDEX('List A'!$K$5:$K$204,IFERROR(MATCH(112,'List A'!$Q$5:$Q$204,0)+4,"")-4))=""),"",INDEX('List B'!$C$5:$C$204,IF(IFERROR(MATCH(112,'List A'!$Q$5:$Q$204,0)+4,"")="","",INDEX('List A'!$K$5:$K$204,IFERROR(MATCH(112,'List A'!$Q$5:$Q$204,0)+4,"")-4))-4))</f>
        <v/>
      </c>
      <c r="H116" s="53">
        <f>IF(OR(IFERROR(MATCH(112,'List A'!$Q$5:$Q$204,0)+4,"")="",IF(IFERROR(MATCH(112,'List A'!$Q$5:$Q$204,0)+4,"")="","",INDEX('List A'!$K$5:$K$204,IFERROR(MATCH(112,'List A'!$Q$5:$Q$204,0)+4,"")-4))=""),"",INDEX('List B'!$D$5:$D$204,IF(IFERROR(MATCH(112,'List A'!$Q$5:$Q$204,0)+4,"")="","",INDEX('List A'!$K$5:$K$204,IFERROR(MATCH(112,'List A'!$Q$5:$Q$204,0)+4,"")-4))-4))</f>
        <v/>
      </c>
      <c r="I116" s="52">
        <f>IF(IFERROR(MATCH(112,'List A'!$Q$5:$Q$204,0)+4,"")="","",INDEX('List A'!$N$5:$N$204,IFERROR(MATCH(112,'List A'!$Q$5:$Q$204,0)+4,"")-4))</f>
        <v/>
      </c>
      <c r="J116" s="53">
        <f>IF(IFERROR(MATCH(112,'List A'!$Q$5:$Q$204,0)+4,"")="","",INDEX('List A'!$O$5:$O$204,IFERROR(MATCH(112,'List A'!$Q$5:$Q$204,0)+4,"")-4))</f>
        <v/>
      </c>
    </row>
    <row r="117" ht="17" customHeight="1">
      <c r="A117" s="87">
        <f>IF(IFERROR(MATCH(113,'List A'!$Q$5:$Q$204,0)+4,"")="","",INDEX('List A'!$A$5:$A$204,IFERROR(MATCH(113,'List A'!$Q$5:$Q$204,0)+4,"")-4))</f>
        <v/>
      </c>
      <c r="B117" s="53">
        <f>IF(IFERROR(MATCH(113,'List A'!$Q$5:$Q$204,0)+4,"")="","",INDEX('List A'!$B$5:$B$204,IFERROR(MATCH(113,'List A'!$Q$5:$Q$204,0)+4,"")-4))</f>
        <v/>
      </c>
      <c r="C117" s="52">
        <f>IF(IFERROR(MATCH(113,'List A'!$Q$5:$Q$204,0)+4,"")="","",INDEX('List A'!$C$5:$C$204,IFERROR(MATCH(113,'List A'!$Q$5:$Q$204,0)+4,"")-4))</f>
        <v/>
      </c>
      <c r="D117" s="53">
        <f>IF(IFERROR(MATCH(113,'List A'!$Q$5:$Q$204,0)+4,"")="","",INDEX('List A'!$D$5:$D$204,IFERROR(MATCH(113,'List A'!$Q$5:$Q$204,0)+4,"")-4))</f>
        <v/>
      </c>
      <c r="E117" s="87">
        <f>IF(OR(IFERROR(MATCH(113,'List A'!$Q$5:$Q$204,0)+4,"")="",IF(IFERROR(MATCH(113,'List A'!$Q$5:$Q$204,0)+4,"")="","",INDEX('List A'!$K$5:$K$204,IFERROR(MATCH(113,'List A'!$Q$5:$Q$204,0)+4,"")-4))=""),"",INDEX('List B'!$A$5:$A$204,IF(IFERROR(MATCH(113,'List A'!$Q$5:$Q$204,0)+4,"")="","",INDEX('List A'!$K$5:$K$204,IFERROR(MATCH(113,'List A'!$Q$5:$Q$204,0)+4,"")-4))-4))</f>
        <v/>
      </c>
      <c r="F117" s="53">
        <f>IF(OR(IFERROR(MATCH(113,'List A'!$Q$5:$Q$204,0)+4,"")="",IF(IFERROR(MATCH(113,'List A'!$Q$5:$Q$204,0)+4,"")="","",INDEX('List A'!$K$5:$K$204,IFERROR(MATCH(113,'List A'!$Q$5:$Q$204,0)+4,"")-4))=""),"",INDEX('List B'!$B$5:$B$204,IF(IFERROR(MATCH(113,'List A'!$Q$5:$Q$204,0)+4,"")="","",INDEX('List A'!$K$5:$K$204,IFERROR(MATCH(113,'List A'!$Q$5:$Q$204,0)+4,"")-4))-4))</f>
        <v/>
      </c>
      <c r="G117" s="52">
        <f>IF(OR(IFERROR(MATCH(113,'List A'!$Q$5:$Q$204,0)+4,"")="",IF(IFERROR(MATCH(113,'List A'!$Q$5:$Q$204,0)+4,"")="","",INDEX('List A'!$K$5:$K$204,IFERROR(MATCH(113,'List A'!$Q$5:$Q$204,0)+4,"")-4))=""),"",INDEX('List B'!$C$5:$C$204,IF(IFERROR(MATCH(113,'List A'!$Q$5:$Q$204,0)+4,"")="","",INDEX('List A'!$K$5:$K$204,IFERROR(MATCH(113,'List A'!$Q$5:$Q$204,0)+4,"")-4))-4))</f>
        <v/>
      </c>
      <c r="H117" s="53">
        <f>IF(OR(IFERROR(MATCH(113,'List A'!$Q$5:$Q$204,0)+4,"")="",IF(IFERROR(MATCH(113,'List A'!$Q$5:$Q$204,0)+4,"")="","",INDEX('List A'!$K$5:$K$204,IFERROR(MATCH(113,'List A'!$Q$5:$Q$204,0)+4,"")-4))=""),"",INDEX('List B'!$D$5:$D$204,IF(IFERROR(MATCH(113,'List A'!$Q$5:$Q$204,0)+4,"")="","",INDEX('List A'!$K$5:$K$204,IFERROR(MATCH(113,'List A'!$Q$5:$Q$204,0)+4,"")-4))-4))</f>
        <v/>
      </c>
      <c r="I117" s="52">
        <f>IF(IFERROR(MATCH(113,'List A'!$Q$5:$Q$204,0)+4,"")="","",INDEX('List A'!$N$5:$N$204,IFERROR(MATCH(113,'List A'!$Q$5:$Q$204,0)+4,"")-4))</f>
        <v/>
      </c>
      <c r="J117" s="53">
        <f>IF(IFERROR(MATCH(113,'List A'!$Q$5:$Q$204,0)+4,"")="","",INDEX('List A'!$O$5:$O$204,IFERROR(MATCH(113,'List A'!$Q$5:$Q$204,0)+4,"")-4))</f>
        <v/>
      </c>
    </row>
    <row r="118" ht="17" customHeight="1">
      <c r="A118" s="87">
        <f>IF(IFERROR(MATCH(114,'List A'!$Q$5:$Q$204,0)+4,"")="","",INDEX('List A'!$A$5:$A$204,IFERROR(MATCH(114,'List A'!$Q$5:$Q$204,0)+4,"")-4))</f>
        <v/>
      </c>
      <c r="B118" s="53">
        <f>IF(IFERROR(MATCH(114,'List A'!$Q$5:$Q$204,0)+4,"")="","",INDEX('List A'!$B$5:$B$204,IFERROR(MATCH(114,'List A'!$Q$5:$Q$204,0)+4,"")-4))</f>
        <v/>
      </c>
      <c r="C118" s="52">
        <f>IF(IFERROR(MATCH(114,'List A'!$Q$5:$Q$204,0)+4,"")="","",INDEX('List A'!$C$5:$C$204,IFERROR(MATCH(114,'List A'!$Q$5:$Q$204,0)+4,"")-4))</f>
        <v/>
      </c>
      <c r="D118" s="53">
        <f>IF(IFERROR(MATCH(114,'List A'!$Q$5:$Q$204,0)+4,"")="","",INDEX('List A'!$D$5:$D$204,IFERROR(MATCH(114,'List A'!$Q$5:$Q$204,0)+4,"")-4))</f>
        <v/>
      </c>
      <c r="E118" s="87">
        <f>IF(OR(IFERROR(MATCH(114,'List A'!$Q$5:$Q$204,0)+4,"")="",IF(IFERROR(MATCH(114,'List A'!$Q$5:$Q$204,0)+4,"")="","",INDEX('List A'!$K$5:$K$204,IFERROR(MATCH(114,'List A'!$Q$5:$Q$204,0)+4,"")-4))=""),"",INDEX('List B'!$A$5:$A$204,IF(IFERROR(MATCH(114,'List A'!$Q$5:$Q$204,0)+4,"")="","",INDEX('List A'!$K$5:$K$204,IFERROR(MATCH(114,'List A'!$Q$5:$Q$204,0)+4,"")-4))-4))</f>
        <v/>
      </c>
      <c r="F118" s="53">
        <f>IF(OR(IFERROR(MATCH(114,'List A'!$Q$5:$Q$204,0)+4,"")="",IF(IFERROR(MATCH(114,'List A'!$Q$5:$Q$204,0)+4,"")="","",INDEX('List A'!$K$5:$K$204,IFERROR(MATCH(114,'List A'!$Q$5:$Q$204,0)+4,"")-4))=""),"",INDEX('List B'!$B$5:$B$204,IF(IFERROR(MATCH(114,'List A'!$Q$5:$Q$204,0)+4,"")="","",INDEX('List A'!$K$5:$K$204,IFERROR(MATCH(114,'List A'!$Q$5:$Q$204,0)+4,"")-4))-4))</f>
        <v/>
      </c>
      <c r="G118" s="52">
        <f>IF(OR(IFERROR(MATCH(114,'List A'!$Q$5:$Q$204,0)+4,"")="",IF(IFERROR(MATCH(114,'List A'!$Q$5:$Q$204,0)+4,"")="","",INDEX('List A'!$K$5:$K$204,IFERROR(MATCH(114,'List A'!$Q$5:$Q$204,0)+4,"")-4))=""),"",INDEX('List B'!$C$5:$C$204,IF(IFERROR(MATCH(114,'List A'!$Q$5:$Q$204,0)+4,"")="","",INDEX('List A'!$K$5:$K$204,IFERROR(MATCH(114,'List A'!$Q$5:$Q$204,0)+4,"")-4))-4))</f>
        <v/>
      </c>
      <c r="H118" s="53">
        <f>IF(OR(IFERROR(MATCH(114,'List A'!$Q$5:$Q$204,0)+4,"")="",IF(IFERROR(MATCH(114,'List A'!$Q$5:$Q$204,0)+4,"")="","",INDEX('List A'!$K$5:$K$204,IFERROR(MATCH(114,'List A'!$Q$5:$Q$204,0)+4,"")-4))=""),"",INDEX('List B'!$D$5:$D$204,IF(IFERROR(MATCH(114,'List A'!$Q$5:$Q$204,0)+4,"")="","",INDEX('List A'!$K$5:$K$204,IFERROR(MATCH(114,'List A'!$Q$5:$Q$204,0)+4,"")-4))-4))</f>
        <v/>
      </c>
      <c r="I118" s="52">
        <f>IF(IFERROR(MATCH(114,'List A'!$Q$5:$Q$204,0)+4,"")="","",INDEX('List A'!$N$5:$N$204,IFERROR(MATCH(114,'List A'!$Q$5:$Q$204,0)+4,"")-4))</f>
        <v/>
      </c>
      <c r="J118" s="53">
        <f>IF(IFERROR(MATCH(114,'List A'!$Q$5:$Q$204,0)+4,"")="","",INDEX('List A'!$O$5:$O$204,IFERROR(MATCH(114,'List A'!$Q$5:$Q$204,0)+4,"")-4))</f>
        <v/>
      </c>
    </row>
    <row r="119" ht="17" customHeight="1">
      <c r="A119" s="87">
        <f>IF(IFERROR(MATCH(115,'List A'!$Q$5:$Q$204,0)+4,"")="","",INDEX('List A'!$A$5:$A$204,IFERROR(MATCH(115,'List A'!$Q$5:$Q$204,0)+4,"")-4))</f>
        <v/>
      </c>
      <c r="B119" s="53">
        <f>IF(IFERROR(MATCH(115,'List A'!$Q$5:$Q$204,0)+4,"")="","",INDEX('List A'!$B$5:$B$204,IFERROR(MATCH(115,'List A'!$Q$5:$Q$204,0)+4,"")-4))</f>
        <v/>
      </c>
      <c r="C119" s="52">
        <f>IF(IFERROR(MATCH(115,'List A'!$Q$5:$Q$204,0)+4,"")="","",INDEX('List A'!$C$5:$C$204,IFERROR(MATCH(115,'List A'!$Q$5:$Q$204,0)+4,"")-4))</f>
        <v/>
      </c>
      <c r="D119" s="53">
        <f>IF(IFERROR(MATCH(115,'List A'!$Q$5:$Q$204,0)+4,"")="","",INDEX('List A'!$D$5:$D$204,IFERROR(MATCH(115,'List A'!$Q$5:$Q$204,0)+4,"")-4))</f>
        <v/>
      </c>
      <c r="E119" s="87">
        <f>IF(OR(IFERROR(MATCH(115,'List A'!$Q$5:$Q$204,0)+4,"")="",IF(IFERROR(MATCH(115,'List A'!$Q$5:$Q$204,0)+4,"")="","",INDEX('List A'!$K$5:$K$204,IFERROR(MATCH(115,'List A'!$Q$5:$Q$204,0)+4,"")-4))=""),"",INDEX('List B'!$A$5:$A$204,IF(IFERROR(MATCH(115,'List A'!$Q$5:$Q$204,0)+4,"")="","",INDEX('List A'!$K$5:$K$204,IFERROR(MATCH(115,'List A'!$Q$5:$Q$204,0)+4,"")-4))-4))</f>
        <v/>
      </c>
      <c r="F119" s="53">
        <f>IF(OR(IFERROR(MATCH(115,'List A'!$Q$5:$Q$204,0)+4,"")="",IF(IFERROR(MATCH(115,'List A'!$Q$5:$Q$204,0)+4,"")="","",INDEX('List A'!$K$5:$K$204,IFERROR(MATCH(115,'List A'!$Q$5:$Q$204,0)+4,"")-4))=""),"",INDEX('List B'!$B$5:$B$204,IF(IFERROR(MATCH(115,'List A'!$Q$5:$Q$204,0)+4,"")="","",INDEX('List A'!$K$5:$K$204,IFERROR(MATCH(115,'List A'!$Q$5:$Q$204,0)+4,"")-4))-4))</f>
        <v/>
      </c>
      <c r="G119" s="52">
        <f>IF(OR(IFERROR(MATCH(115,'List A'!$Q$5:$Q$204,0)+4,"")="",IF(IFERROR(MATCH(115,'List A'!$Q$5:$Q$204,0)+4,"")="","",INDEX('List A'!$K$5:$K$204,IFERROR(MATCH(115,'List A'!$Q$5:$Q$204,0)+4,"")-4))=""),"",INDEX('List B'!$C$5:$C$204,IF(IFERROR(MATCH(115,'List A'!$Q$5:$Q$204,0)+4,"")="","",INDEX('List A'!$K$5:$K$204,IFERROR(MATCH(115,'List A'!$Q$5:$Q$204,0)+4,"")-4))-4))</f>
        <v/>
      </c>
      <c r="H119" s="53">
        <f>IF(OR(IFERROR(MATCH(115,'List A'!$Q$5:$Q$204,0)+4,"")="",IF(IFERROR(MATCH(115,'List A'!$Q$5:$Q$204,0)+4,"")="","",INDEX('List A'!$K$5:$K$204,IFERROR(MATCH(115,'List A'!$Q$5:$Q$204,0)+4,"")-4))=""),"",INDEX('List B'!$D$5:$D$204,IF(IFERROR(MATCH(115,'List A'!$Q$5:$Q$204,0)+4,"")="","",INDEX('List A'!$K$5:$K$204,IFERROR(MATCH(115,'List A'!$Q$5:$Q$204,0)+4,"")-4))-4))</f>
        <v/>
      </c>
      <c r="I119" s="52">
        <f>IF(IFERROR(MATCH(115,'List A'!$Q$5:$Q$204,0)+4,"")="","",INDEX('List A'!$N$5:$N$204,IFERROR(MATCH(115,'List A'!$Q$5:$Q$204,0)+4,"")-4))</f>
        <v/>
      </c>
      <c r="J119" s="53">
        <f>IF(IFERROR(MATCH(115,'List A'!$Q$5:$Q$204,0)+4,"")="","",INDEX('List A'!$O$5:$O$204,IFERROR(MATCH(115,'List A'!$Q$5:$Q$204,0)+4,"")-4))</f>
        <v/>
      </c>
    </row>
    <row r="120" ht="17" customHeight="1">
      <c r="A120" s="87">
        <f>IF(IFERROR(MATCH(116,'List A'!$Q$5:$Q$204,0)+4,"")="","",INDEX('List A'!$A$5:$A$204,IFERROR(MATCH(116,'List A'!$Q$5:$Q$204,0)+4,"")-4))</f>
        <v/>
      </c>
      <c r="B120" s="53">
        <f>IF(IFERROR(MATCH(116,'List A'!$Q$5:$Q$204,0)+4,"")="","",INDEX('List A'!$B$5:$B$204,IFERROR(MATCH(116,'List A'!$Q$5:$Q$204,0)+4,"")-4))</f>
        <v/>
      </c>
      <c r="C120" s="52">
        <f>IF(IFERROR(MATCH(116,'List A'!$Q$5:$Q$204,0)+4,"")="","",INDEX('List A'!$C$5:$C$204,IFERROR(MATCH(116,'List A'!$Q$5:$Q$204,0)+4,"")-4))</f>
        <v/>
      </c>
      <c r="D120" s="53">
        <f>IF(IFERROR(MATCH(116,'List A'!$Q$5:$Q$204,0)+4,"")="","",INDEX('List A'!$D$5:$D$204,IFERROR(MATCH(116,'List A'!$Q$5:$Q$204,0)+4,"")-4))</f>
        <v/>
      </c>
      <c r="E120" s="87">
        <f>IF(OR(IFERROR(MATCH(116,'List A'!$Q$5:$Q$204,0)+4,"")="",IF(IFERROR(MATCH(116,'List A'!$Q$5:$Q$204,0)+4,"")="","",INDEX('List A'!$K$5:$K$204,IFERROR(MATCH(116,'List A'!$Q$5:$Q$204,0)+4,"")-4))=""),"",INDEX('List B'!$A$5:$A$204,IF(IFERROR(MATCH(116,'List A'!$Q$5:$Q$204,0)+4,"")="","",INDEX('List A'!$K$5:$K$204,IFERROR(MATCH(116,'List A'!$Q$5:$Q$204,0)+4,"")-4))-4))</f>
        <v/>
      </c>
      <c r="F120" s="53">
        <f>IF(OR(IFERROR(MATCH(116,'List A'!$Q$5:$Q$204,0)+4,"")="",IF(IFERROR(MATCH(116,'List A'!$Q$5:$Q$204,0)+4,"")="","",INDEX('List A'!$K$5:$K$204,IFERROR(MATCH(116,'List A'!$Q$5:$Q$204,0)+4,"")-4))=""),"",INDEX('List B'!$B$5:$B$204,IF(IFERROR(MATCH(116,'List A'!$Q$5:$Q$204,0)+4,"")="","",INDEX('List A'!$K$5:$K$204,IFERROR(MATCH(116,'List A'!$Q$5:$Q$204,0)+4,"")-4))-4))</f>
        <v/>
      </c>
      <c r="G120" s="52">
        <f>IF(OR(IFERROR(MATCH(116,'List A'!$Q$5:$Q$204,0)+4,"")="",IF(IFERROR(MATCH(116,'List A'!$Q$5:$Q$204,0)+4,"")="","",INDEX('List A'!$K$5:$K$204,IFERROR(MATCH(116,'List A'!$Q$5:$Q$204,0)+4,"")-4))=""),"",INDEX('List B'!$C$5:$C$204,IF(IFERROR(MATCH(116,'List A'!$Q$5:$Q$204,0)+4,"")="","",INDEX('List A'!$K$5:$K$204,IFERROR(MATCH(116,'List A'!$Q$5:$Q$204,0)+4,"")-4))-4))</f>
        <v/>
      </c>
      <c r="H120" s="53">
        <f>IF(OR(IFERROR(MATCH(116,'List A'!$Q$5:$Q$204,0)+4,"")="",IF(IFERROR(MATCH(116,'List A'!$Q$5:$Q$204,0)+4,"")="","",INDEX('List A'!$K$5:$K$204,IFERROR(MATCH(116,'List A'!$Q$5:$Q$204,0)+4,"")-4))=""),"",INDEX('List B'!$D$5:$D$204,IF(IFERROR(MATCH(116,'List A'!$Q$5:$Q$204,0)+4,"")="","",INDEX('List A'!$K$5:$K$204,IFERROR(MATCH(116,'List A'!$Q$5:$Q$204,0)+4,"")-4))-4))</f>
        <v/>
      </c>
      <c r="I120" s="52">
        <f>IF(IFERROR(MATCH(116,'List A'!$Q$5:$Q$204,0)+4,"")="","",INDEX('List A'!$N$5:$N$204,IFERROR(MATCH(116,'List A'!$Q$5:$Q$204,0)+4,"")-4))</f>
        <v/>
      </c>
      <c r="J120" s="53">
        <f>IF(IFERROR(MATCH(116,'List A'!$Q$5:$Q$204,0)+4,"")="","",INDEX('List A'!$O$5:$O$204,IFERROR(MATCH(116,'List A'!$Q$5:$Q$204,0)+4,"")-4))</f>
        <v/>
      </c>
    </row>
    <row r="121" ht="17" customHeight="1">
      <c r="A121" s="87">
        <f>IF(IFERROR(MATCH(117,'List A'!$Q$5:$Q$204,0)+4,"")="","",INDEX('List A'!$A$5:$A$204,IFERROR(MATCH(117,'List A'!$Q$5:$Q$204,0)+4,"")-4))</f>
        <v/>
      </c>
      <c r="B121" s="53">
        <f>IF(IFERROR(MATCH(117,'List A'!$Q$5:$Q$204,0)+4,"")="","",INDEX('List A'!$B$5:$B$204,IFERROR(MATCH(117,'List A'!$Q$5:$Q$204,0)+4,"")-4))</f>
        <v/>
      </c>
      <c r="C121" s="52">
        <f>IF(IFERROR(MATCH(117,'List A'!$Q$5:$Q$204,0)+4,"")="","",INDEX('List A'!$C$5:$C$204,IFERROR(MATCH(117,'List A'!$Q$5:$Q$204,0)+4,"")-4))</f>
        <v/>
      </c>
      <c r="D121" s="53">
        <f>IF(IFERROR(MATCH(117,'List A'!$Q$5:$Q$204,0)+4,"")="","",INDEX('List A'!$D$5:$D$204,IFERROR(MATCH(117,'List A'!$Q$5:$Q$204,0)+4,"")-4))</f>
        <v/>
      </c>
      <c r="E121" s="87">
        <f>IF(OR(IFERROR(MATCH(117,'List A'!$Q$5:$Q$204,0)+4,"")="",IF(IFERROR(MATCH(117,'List A'!$Q$5:$Q$204,0)+4,"")="","",INDEX('List A'!$K$5:$K$204,IFERROR(MATCH(117,'List A'!$Q$5:$Q$204,0)+4,"")-4))=""),"",INDEX('List B'!$A$5:$A$204,IF(IFERROR(MATCH(117,'List A'!$Q$5:$Q$204,0)+4,"")="","",INDEX('List A'!$K$5:$K$204,IFERROR(MATCH(117,'List A'!$Q$5:$Q$204,0)+4,"")-4))-4))</f>
        <v/>
      </c>
      <c r="F121" s="53">
        <f>IF(OR(IFERROR(MATCH(117,'List A'!$Q$5:$Q$204,0)+4,"")="",IF(IFERROR(MATCH(117,'List A'!$Q$5:$Q$204,0)+4,"")="","",INDEX('List A'!$K$5:$K$204,IFERROR(MATCH(117,'List A'!$Q$5:$Q$204,0)+4,"")-4))=""),"",INDEX('List B'!$B$5:$B$204,IF(IFERROR(MATCH(117,'List A'!$Q$5:$Q$204,0)+4,"")="","",INDEX('List A'!$K$5:$K$204,IFERROR(MATCH(117,'List A'!$Q$5:$Q$204,0)+4,"")-4))-4))</f>
        <v/>
      </c>
      <c r="G121" s="52">
        <f>IF(OR(IFERROR(MATCH(117,'List A'!$Q$5:$Q$204,0)+4,"")="",IF(IFERROR(MATCH(117,'List A'!$Q$5:$Q$204,0)+4,"")="","",INDEX('List A'!$K$5:$K$204,IFERROR(MATCH(117,'List A'!$Q$5:$Q$204,0)+4,"")-4))=""),"",INDEX('List B'!$C$5:$C$204,IF(IFERROR(MATCH(117,'List A'!$Q$5:$Q$204,0)+4,"")="","",INDEX('List A'!$K$5:$K$204,IFERROR(MATCH(117,'List A'!$Q$5:$Q$204,0)+4,"")-4))-4))</f>
        <v/>
      </c>
      <c r="H121" s="53">
        <f>IF(OR(IFERROR(MATCH(117,'List A'!$Q$5:$Q$204,0)+4,"")="",IF(IFERROR(MATCH(117,'List A'!$Q$5:$Q$204,0)+4,"")="","",INDEX('List A'!$K$5:$K$204,IFERROR(MATCH(117,'List A'!$Q$5:$Q$204,0)+4,"")-4))=""),"",INDEX('List B'!$D$5:$D$204,IF(IFERROR(MATCH(117,'List A'!$Q$5:$Q$204,0)+4,"")="","",INDEX('List A'!$K$5:$K$204,IFERROR(MATCH(117,'List A'!$Q$5:$Q$204,0)+4,"")-4))-4))</f>
        <v/>
      </c>
      <c r="I121" s="52">
        <f>IF(IFERROR(MATCH(117,'List A'!$Q$5:$Q$204,0)+4,"")="","",INDEX('List A'!$N$5:$N$204,IFERROR(MATCH(117,'List A'!$Q$5:$Q$204,0)+4,"")-4))</f>
        <v/>
      </c>
      <c r="J121" s="53">
        <f>IF(IFERROR(MATCH(117,'List A'!$Q$5:$Q$204,0)+4,"")="","",INDEX('List A'!$O$5:$O$204,IFERROR(MATCH(117,'List A'!$Q$5:$Q$204,0)+4,"")-4))</f>
        <v/>
      </c>
    </row>
    <row r="122" ht="17" customHeight="1">
      <c r="A122" s="87">
        <f>IF(IFERROR(MATCH(118,'List A'!$Q$5:$Q$204,0)+4,"")="","",INDEX('List A'!$A$5:$A$204,IFERROR(MATCH(118,'List A'!$Q$5:$Q$204,0)+4,"")-4))</f>
        <v/>
      </c>
      <c r="B122" s="53">
        <f>IF(IFERROR(MATCH(118,'List A'!$Q$5:$Q$204,0)+4,"")="","",INDEX('List A'!$B$5:$B$204,IFERROR(MATCH(118,'List A'!$Q$5:$Q$204,0)+4,"")-4))</f>
        <v/>
      </c>
      <c r="C122" s="52">
        <f>IF(IFERROR(MATCH(118,'List A'!$Q$5:$Q$204,0)+4,"")="","",INDEX('List A'!$C$5:$C$204,IFERROR(MATCH(118,'List A'!$Q$5:$Q$204,0)+4,"")-4))</f>
        <v/>
      </c>
      <c r="D122" s="53">
        <f>IF(IFERROR(MATCH(118,'List A'!$Q$5:$Q$204,0)+4,"")="","",INDEX('List A'!$D$5:$D$204,IFERROR(MATCH(118,'List A'!$Q$5:$Q$204,0)+4,"")-4))</f>
        <v/>
      </c>
      <c r="E122" s="87">
        <f>IF(OR(IFERROR(MATCH(118,'List A'!$Q$5:$Q$204,0)+4,"")="",IF(IFERROR(MATCH(118,'List A'!$Q$5:$Q$204,0)+4,"")="","",INDEX('List A'!$K$5:$K$204,IFERROR(MATCH(118,'List A'!$Q$5:$Q$204,0)+4,"")-4))=""),"",INDEX('List B'!$A$5:$A$204,IF(IFERROR(MATCH(118,'List A'!$Q$5:$Q$204,0)+4,"")="","",INDEX('List A'!$K$5:$K$204,IFERROR(MATCH(118,'List A'!$Q$5:$Q$204,0)+4,"")-4))-4))</f>
        <v/>
      </c>
      <c r="F122" s="53">
        <f>IF(OR(IFERROR(MATCH(118,'List A'!$Q$5:$Q$204,0)+4,"")="",IF(IFERROR(MATCH(118,'List A'!$Q$5:$Q$204,0)+4,"")="","",INDEX('List A'!$K$5:$K$204,IFERROR(MATCH(118,'List A'!$Q$5:$Q$204,0)+4,"")-4))=""),"",INDEX('List B'!$B$5:$B$204,IF(IFERROR(MATCH(118,'List A'!$Q$5:$Q$204,0)+4,"")="","",INDEX('List A'!$K$5:$K$204,IFERROR(MATCH(118,'List A'!$Q$5:$Q$204,0)+4,"")-4))-4))</f>
        <v/>
      </c>
      <c r="G122" s="52">
        <f>IF(OR(IFERROR(MATCH(118,'List A'!$Q$5:$Q$204,0)+4,"")="",IF(IFERROR(MATCH(118,'List A'!$Q$5:$Q$204,0)+4,"")="","",INDEX('List A'!$K$5:$K$204,IFERROR(MATCH(118,'List A'!$Q$5:$Q$204,0)+4,"")-4))=""),"",INDEX('List B'!$C$5:$C$204,IF(IFERROR(MATCH(118,'List A'!$Q$5:$Q$204,0)+4,"")="","",INDEX('List A'!$K$5:$K$204,IFERROR(MATCH(118,'List A'!$Q$5:$Q$204,0)+4,"")-4))-4))</f>
        <v/>
      </c>
      <c r="H122" s="53">
        <f>IF(OR(IFERROR(MATCH(118,'List A'!$Q$5:$Q$204,0)+4,"")="",IF(IFERROR(MATCH(118,'List A'!$Q$5:$Q$204,0)+4,"")="","",INDEX('List A'!$K$5:$K$204,IFERROR(MATCH(118,'List A'!$Q$5:$Q$204,0)+4,"")-4))=""),"",INDEX('List B'!$D$5:$D$204,IF(IFERROR(MATCH(118,'List A'!$Q$5:$Q$204,0)+4,"")="","",INDEX('List A'!$K$5:$K$204,IFERROR(MATCH(118,'List A'!$Q$5:$Q$204,0)+4,"")-4))-4))</f>
        <v/>
      </c>
      <c r="I122" s="52">
        <f>IF(IFERROR(MATCH(118,'List A'!$Q$5:$Q$204,0)+4,"")="","",INDEX('List A'!$N$5:$N$204,IFERROR(MATCH(118,'List A'!$Q$5:$Q$204,0)+4,"")-4))</f>
        <v/>
      </c>
      <c r="J122" s="53">
        <f>IF(IFERROR(MATCH(118,'List A'!$Q$5:$Q$204,0)+4,"")="","",INDEX('List A'!$O$5:$O$204,IFERROR(MATCH(118,'List A'!$Q$5:$Q$204,0)+4,"")-4))</f>
        <v/>
      </c>
    </row>
    <row r="123" ht="17" customHeight="1">
      <c r="A123" s="87">
        <f>IF(IFERROR(MATCH(119,'List A'!$Q$5:$Q$204,0)+4,"")="","",INDEX('List A'!$A$5:$A$204,IFERROR(MATCH(119,'List A'!$Q$5:$Q$204,0)+4,"")-4))</f>
        <v/>
      </c>
      <c r="B123" s="53">
        <f>IF(IFERROR(MATCH(119,'List A'!$Q$5:$Q$204,0)+4,"")="","",INDEX('List A'!$B$5:$B$204,IFERROR(MATCH(119,'List A'!$Q$5:$Q$204,0)+4,"")-4))</f>
        <v/>
      </c>
      <c r="C123" s="52">
        <f>IF(IFERROR(MATCH(119,'List A'!$Q$5:$Q$204,0)+4,"")="","",INDEX('List A'!$C$5:$C$204,IFERROR(MATCH(119,'List A'!$Q$5:$Q$204,0)+4,"")-4))</f>
        <v/>
      </c>
      <c r="D123" s="53">
        <f>IF(IFERROR(MATCH(119,'List A'!$Q$5:$Q$204,0)+4,"")="","",INDEX('List A'!$D$5:$D$204,IFERROR(MATCH(119,'List A'!$Q$5:$Q$204,0)+4,"")-4))</f>
        <v/>
      </c>
      <c r="E123" s="87">
        <f>IF(OR(IFERROR(MATCH(119,'List A'!$Q$5:$Q$204,0)+4,"")="",IF(IFERROR(MATCH(119,'List A'!$Q$5:$Q$204,0)+4,"")="","",INDEX('List A'!$K$5:$K$204,IFERROR(MATCH(119,'List A'!$Q$5:$Q$204,0)+4,"")-4))=""),"",INDEX('List B'!$A$5:$A$204,IF(IFERROR(MATCH(119,'List A'!$Q$5:$Q$204,0)+4,"")="","",INDEX('List A'!$K$5:$K$204,IFERROR(MATCH(119,'List A'!$Q$5:$Q$204,0)+4,"")-4))-4))</f>
        <v/>
      </c>
      <c r="F123" s="53">
        <f>IF(OR(IFERROR(MATCH(119,'List A'!$Q$5:$Q$204,0)+4,"")="",IF(IFERROR(MATCH(119,'List A'!$Q$5:$Q$204,0)+4,"")="","",INDEX('List A'!$K$5:$K$204,IFERROR(MATCH(119,'List A'!$Q$5:$Q$204,0)+4,"")-4))=""),"",INDEX('List B'!$B$5:$B$204,IF(IFERROR(MATCH(119,'List A'!$Q$5:$Q$204,0)+4,"")="","",INDEX('List A'!$K$5:$K$204,IFERROR(MATCH(119,'List A'!$Q$5:$Q$204,0)+4,"")-4))-4))</f>
        <v/>
      </c>
      <c r="G123" s="52">
        <f>IF(OR(IFERROR(MATCH(119,'List A'!$Q$5:$Q$204,0)+4,"")="",IF(IFERROR(MATCH(119,'List A'!$Q$5:$Q$204,0)+4,"")="","",INDEX('List A'!$K$5:$K$204,IFERROR(MATCH(119,'List A'!$Q$5:$Q$204,0)+4,"")-4))=""),"",INDEX('List B'!$C$5:$C$204,IF(IFERROR(MATCH(119,'List A'!$Q$5:$Q$204,0)+4,"")="","",INDEX('List A'!$K$5:$K$204,IFERROR(MATCH(119,'List A'!$Q$5:$Q$204,0)+4,"")-4))-4))</f>
        <v/>
      </c>
      <c r="H123" s="53">
        <f>IF(OR(IFERROR(MATCH(119,'List A'!$Q$5:$Q$204,0)+4,"")="",IF(IFERROR(MATCH(119,'List A'!$Q$5:$Q$204,0)+4,"")="","",INDEX('List A'!$K$5:$K$204,IFERROR(MATCH(119,'List A'!$Q$5:$Q$204,0)+4,"")-4))=""),"",INDEX('List B'!$D$5:$D$204,IF(IFERROR(MATCH(119,'List A'!$Q$5:$Q$204,0)+4,"")="","",INDEX('List A'!$K$5:$K$204,IFERROR(MATCH(119,'List A'!$Q$5:$Q$204,0)+4,"")-4))-4))</f>
        <v/>
      </c>
      <c r="I123" s="52">
        <f>IF(IFERROR(MATCH(119,'List A'!$Q$5:$Q$204,0)+4,"")="","",INDEX('List A'!$N$5:$N$204,IFERROR(MATCH(119,'List A'!$Q$5:$Q$204,0)+4,"")-4))</f>
        <v/>
      </c>
      <c r="J123" s="53">
        <f>IF(IFERROR(MATCH(119,'List A'!$Q$5:$Q$204,0)+4,"")="","",INDEX('List A'!$O$5:$O$204,IFERROR(MATCH(119,'List A'!$Q$5:$Q$204,0)+4,"")-4))</f>
        <v/>
      </c>
    </row>
    <row r="124" ht="17" customHeight="1">
      <c r="A124" s="87">
        <f>IF(IFERROR(MATCH(120,'List A'!$Q$5:$Q$204,0)+4,"")="","",INDEX('List A'!$A$5:$A$204,IFERROR(MATCH(120,'List A'!$Q$5:$Q$204,0)+4,"")-4))</f>
        <v/>
      </c>
      <c r="B124" s="53">
        <f>IF(IFERROR(MATCH(120,'List A'!$Q$5:$Q$204,0)+4,"")="","",INDEX('List A'!$B$5:$B$204,IFERROR(MATCH(120,'List A'!$Q$5:$Q$204,0)+4,"")-4))</f>
        <v/>
      </c>
      <c r="C124" s="52">
        <f>IF(IFERROR(MATCH(120,'List A'!$Q$5:$Q$204,0)+4,"")="","",INDEX('List A'!$C$5:$C$204,IFERROR(MATCH(120,'List A'!$Q$5:$Q$204,0)+4,"")-4))</f>
        <v/>
      </c>
      <c r="D124" s="53">
        <f>IF(IFERROR(MATCH(120,'List A'!$Q$5:$Q$204,0)+4,"")="","",INDEX('List A'!$D$5:$D$204,IFERROR(MATCH(120,'List A'!$Q$5:$Q$204,0)+4,"")-4))</f>
        <v/>
      </c>
      <c r="E124" s="87">
        <f>IF(OR(IFERROR(MATCH(120,'List A'!$Q$5:$Q$204,0)+4,"")="",IF(IFERROR(MATCH(120,'List A'!$Q$5:$Q$204,0)+4,"")="","",INDEX('List A'!$K$5:$K$204,IFERROR(MATCH(120,'List A'!$Q$5:$Q$204,0)+4,"")-4))=""),"",INDEX('List B'!$A$5:$A$204,IF(IFERROR(MATCH(120,'List A'!$Q$5:$Q$204,0)+4,"")="","",INDEX('List A'!$K$5:$K$204,IFERROR(MATCH(120,'List A'!$Q$5:$Q$204,0)+4,"")-4))-4))</f>
        <v/>
      </c>
      <c r="F124" s="53">
        <f>IF(OR(IFERROR(MATCH(120,'List A'!$Q$5:$Q$204,0)+4,"")="",IF(IFERROR(MATCH(120,'List A'!$Q$5:$Q$204,0)+4,"")="","",INDEX('List A'!$K$5:$K$204,IFERROR(MATCH(120,'List A'!$Q$5:$Q$204,0)+4,"")-4))=""),"",INDEX('List B'!$B$5:$B$204,IF(IFERROR(MATCH(120,'List A'!$Q$5:$Q$204,0)+4,"")="","",INDEX('List A'!$K$5:$K$204,IFERROR(MATCH(120,'List A'!$Q$5:$Q$204,0)+4,"")-4))-4))</f>
        <v/>
      </c>
      <c r="G124" s="52">
        <f>IF(OR(IFERROR(MATCH(120,'List A'!$Q$5:$Q$204,0)+4,"")="",IF(IFERROR(MATCH(120,'List A'!$Q$5:$Q$204,0)+4,"")="","",INDEX('List A'!$K$5:$K$204,IFERROR(MATCH(120,'List A'!$Q$5:$Q$204,0)+4,"")-4))=""),"",INDEX('List B'!$C$5:$C$204,IF(IFERROR(MATCH(120,'List A'!$Q$5:$Q$204,0)+4,"")="","",INDEX('List A'!$K$5:$K$204,IFERROR(MATCH(120,'List A'!$Q$5:$Q$204,0)+4,"")-4))-4))</f>
        <v/>
      </c>
      <c r="H124" s="53">
        <f>IF(OR(IFERROR(MATCH(120,'List A'!$Q$5:$Q$204,0)+4,"")="",IF(IFERROR(MATCH(120,'List A'!$Q$5:$Q$204,0)+4,"")="","",INDEX('List A'!$K$5:$K$204,IFERROR(MATCH(120,'List A'!$Q$5:$Q$204,0)+4,"")-4))=""),"",INDEX('List B'!$D$5:$D$204,IF(IFERROR(MATCH(120,'List A'!$Q$5:$Q$204,0)+4,"")="","",INDEX('List A'!$K$5:$K$204,IFERROR(MATCH(120,'List A'!$Q$5:$Q$204,0)+4,"")-4))-4))</f>
        <v/>
      </c>
      <c r="I124" s="52">
        <f>IF(IFERROR(MATCH(120,'List A'!$Q$5:$Q$204,0)+4,"")="","",INDEX('List A'!$N$5:$N$204,IFERROR(MATCH(120,'List A'!$Q$5:$Q$204,0)+4,"")-4))</f>
        <v/>
      </c>
      <c r="J124" s="53">
        <f>IF(IFERROR(MATCH(120,'List A'!$Q$5:$Q$204,0)+4,"")="","",INDEX('List A'!$O$5:$O$204,IFERROR(MATCH(120,'List A'!$Q$5:$Q$204,0)+4,"")-4))</f>
        <v/>
      </c>
    </row>
    <row r="125" ht="17" customHeight="1">
      <c r="A125" s="87">
        <f>IF(IFERROR(MATCH(121,'List A'!$Q$5:$Q$204,0)+4,"")="","",INDEX('List A'!$A$5:$A$204,IFERROR(MATCH(121,'List A'!$Q$5:$Q$204,0)+4,"")-4))</f>
        <v/>
      </c>
      <c r="B125" s="53">
        <f>IF(IFERROR(MATCH(121,'List A'!$Q$5:$Q$204,0)+4,"")="","",INDEX('List A'!$B$5:$B$204,IFERROR(MATCH(121,'List A'!$Q$5:$Q$204,0)+4,"")-4))</f>
        <v/>
      </c>
      <c r="C125" s="52">
        <f>IF(IFERROR(MATCH(121,'List A'!$Q$5:$Q$204,0)+4,"")="","",INDEX('List A'!$C$5:$C$204,IFERROR(MATCH(121,'List A'!$Q$5:$Q$204,0)+4,"")-4))</f>
        <v/>
      </c>
      <c r="D125" s="53">
        <f>IF(IFERROR(MATCH(121,'List A'!$Q$5:$Q$204,0)+4,"")="","",INDEX('List A'!$D$5:$D$204,IFERROR(MATCH(121,'List A'!$Q$5:$Q$204,0)+4,"")-4))</f>
        <v/>
      </c>
      <c r="E125" s="87">
        <f>IF(OR(IFERROR(MATCH(121,'List A'!$Q$5:$Q$204,0)+4,"")="",IF(IFERROR(MATCH(121,'List A'!$Q$5:$Q$204,0)+4,"")="","",INDEX('List A'!$K$5:$K$204,IFERROR(MATCH(121,'List A'!$Q$5:$Q$204,0)+4,"")-4))=""),"",INDEX('List B'!$A$5:$A$204,IF(IFERROR(MATCH(121,'List A'!$Q$5:$Q$204,0)+4,"")="","",INDEX('List A'!$K$5:$K$204,IFERROR(MATCH(121,'List A'!$Q$5:$Q$204,0)+4,"")-4))-4))</f>
        <v/>
      </c>
      <c r="F125" s="53">
        <f>IF(OR(IFERROR(MATCH(121,'List A'!$Q$5:$Q$204,0)+4,"")="",IF(IFERROR(MATCH(121,'List A'!$Q$5:$Q$204,0)+4,"")="","",INDEX('List A'!$K$5:$K$204,IFERROR(MATCH(121,'List A'!$Q$5:$Q$204,0)+4,"")-4))=""),"",INDEX('List B'!$B$5:$B$204,IF(IFERROR(MATCH(121,'List A'!$Q$5:$Q$204,0)+4,"")="","",INDEX('List A'!$K$5:$K$204,IFERROR(MATCH(121,'List A'!$Q$5:$Q$204,0)+4,"")-4))-4))</f>
        <v/>
      </c>
      <c r="G125" s="52">
        <f>IF(OR(IFERROR(MATCH(121,'List A'!$Q$5:$Q$204,0)+4,"")="",IF(IFERROR(MATCH(121,'List A'!$Q$5:$Q$204,0)+4,"")="","",INDEX('List A'!$K$5:$K$204,IFERROR(MATCH(121,'List A'!$Q$5:$Q$204,0)+4,"")-4))=""),"",INDEX('List B'!$C$5:$C$204,IF(IFERROR(MATCH(121,'List A'!$Q$5:$Q$204,0)+4,"")="","",INDEX('List A'!$K$5:$K$204,IFERROR(MATCH(121,'List A'!$Q$5:$Q$204,0)+4,"")-4))-4))</f>
        <v/>
      </c>
      <c r="H125" s="53">
        <f>IF(OR(IFERROR(MATCH(121,'List A'!$Q$5:$Q$204,0)+4,"")="",IF(IFERROR(MATCH(121,'List A'!$Q$5:$Q$204,0)+4,"")="","",INDEX('List A'!$K$5:$K$204,IFERROR(MATCH(121,'List A'!$Q$5:$Q$204,0)+4,"")-4))=""),"",INDEX('List B'!$D$5:$D$204,IF(IFERROR(MATCH(121,'List A'!$Q$5:$Q$204,0)+4,"")="","",INDEX('List A'!$K$5:$K$204,IFERROR(MATCH(121,'List A'!$Q$5:$Q$204,0)+4,"")-4))-4))</f>
        <v/>
      </c>
      <c r="I125" s="52">
        <f>IF(IFERROR(MATCH(121,'List A'!$Q$5:$Q$204,0)+4,"")="","",INDEX('List A'!$N$5:$N$204,IFERROR(MATCH(121,'List A'!$Q$5:$Q$204,0)+4,"")-4))</f>
        <v/>
      </c>
      <c r="J125" s="53">
        <f>IF(IFERROR(MATCH(121,'List A'!$Q$5:$Q$204,0)+4,"")="","",INDEX('List A'!$O$5:$O$204,IFERROR(MATCH(121,'List A'!$Q$5:$Q$204,0)+4,"")-4))</f>
        <v/>
      </c>
    </row>
    <row r="126" ht="17" customHeight="1">
      <c r="A126" s="87">
        <f>IF(IFERROR(MATCH(122,'List A'!$Q$5:$Q$204,0)+4,"")="","",INDEX('List A'!$A$5:$A$204,IFERROR(MATCH(122,'List A'!$Q$5:$Q$204,0)+4,"")-4))</f>
        <v/>
      </c>
      <c r="B126" s="53">
        <f>IF(IFERROR(MATCH(122,'List A'!$Q$5:$Q$204,0)+4,"")="","",INDEX('List A'!$B$5:$B$204,IFERROR(MATCH(122,'List A'!$Q$5:$Q$204,0)+4,"")-4))</f>
        <v/>
      </c>
      <c r="C126" s="52">
        <f>IF(IFERROR(MATCH(122,'List A'!$Q$5:$Q$204,0)+4,"")="","",INDEX('List A'!$C$5:$C$204,IFERROR(MATCH(122,'List A'!$Q$5:$Q$204,0)+4,"")-4))</f>
        <v/>
      </c>
      <c r="D126" s="53">
        <f>IF(IFERROR(MATCH(122,'List A'!$Q$5:$Q$204,0)+4,"")="","",INDEX('List A'!$D$5:$D$204,IFERROR(MATCH(122,'List A'!$Q$5:$Q$204,0)+4,"")-4))</f>
        <v/>
      </c>
      <c r="E126" s="87">
        <f>IF(OR(IFERROR(MATCH(122,'List A'!$Q$5:$Q$204,0)+4,"")="",IF(IFERROR(MATCH(122,'List A'!$Q$5:$Q$204,0)+4,"")="","",INDEX('List A'!$K$5:$K$204,IFERROR(MATCH(122,'List A'!$Q$5:$Q$204,0)+4,"")-4))=""),"",INDEX('List B'!$A$5:$A$204,IF(IFERROR(MATCH(122,'List A'!$Q$5:$Q$204,0)+4,"")="","",INDEX('List A'!$K$5:$K$204,IFERROR(MATCH(122,'List A'!$Q$5:$Q$204,0)+4,"")-4))-4))</f>
        <v/>
      </c>
      <c r="F126" s="53">
        <f>IF(OR(IFERROR(MATCH(122,'List A'!$Q$5:$Q$204,0)+4,"")="",IF(IFERROR(MATCH(122,'List A'!$Q$5:$Q$204,0)+4,"")="","",INDEX('List A'!$K$5:$K$204,IFERROR(MATCH(122,'List A'!$Q$5:$Q$204,0)+4,"")-4))=""),"",INDEX('List B'!$B$5:$B$204,IF(IFERROR(MATCH(122,'List A'!$Q$5:$Q$204,0)+4,"")="","",INDEX('List A'!$K$5:$K$204,IFERROR(MATCH(122,'List A'!$Q$5:$Q$204,0)+4,"")-4))-4))</f>
        <v/>
      </c>
      <c r="G126" s="52">
        <f>IF(OR(IFERROR(MATCH(122,'List A'!$Q$5:$Q$204,0)+4,"")="",IF(IFERROR(MATCH(122,'List A'!$Q$5:$Q$204,0)+4,"")="","",INDEX('List A'!$K$5:$K$204,IFERROR(MATCH(122,'List A'!$Q$5:$Q$204,0)+4,"")-4))=""),"",INDEX('List B'!$C$5:$C$204,IF(IFERROR(MATCH(122,'List A'!$Q$5:$Q$204,0)+4,"")="","",INDEX('List A'!$K$5:$K$204,IFERROR(MATCH(122,'List A'!$Q$5:$Q$204,0)+4,"")-4))-4))</f>
        <v/>
      </c>
      <c r="H126" s="53">
        <f>IF(OR(IFERROR(MATCH(122,'List A'!$Q$5:$Q$204,0)+4,"")="",IF(IFERROR(MATCH(122,'List A'!$Q$5:$Q$204,0)+4,"")="","",INDEX('List A'!$K$5:$K$204,IFERROR(MATCH(122,'List A'!$Q$5:$Q$204,0)+4,"")-4))=""),"",INDEX('List B'!$D$5:$D$204,IF(IFERROR(MATCH(122,'List A'!$Q$5:$Q$204,0)+4,"")="","",INDEX('List A'!$K$5:$K$204,IFERROR(MATCH(122,'List A'!$Q$5:$Q$204,0)+4,"")-4))-4))</f>
        <v/>
      </c>
      <c r="I126" s="52">
        <f>IF(IFERROR(MATCH(122,'List A'!$Q$5:$Q$204,0)+4,"")="","",INDEX('List A'!$N$5:$N$204,IFERROR(MATCH(122,'List A'!$Q$5:$Q$204,0)+4,"")-4))</f>
        <v/>
      </c>
      <c r="J126" s="53">
        <f>IF(IFERROR(MATCH(122,'List A'!$Q$5:$Q$204,0)+4,"")="","",INDEX('List A'!$O$5:$O$204,IFERROR(MATCH(122,'List A'!$Q$5:$Q$204,0)+4,"")-4))</f>
        <v/>
      </c>
    </row>
    <row r="127" ht="17" customHeight="1">
      <c r="A127" s="87">
        <f>IF(IFERROR(MATCH(123,'List A'!$Q$5:$Q$204,0)+4,"")="","",INDEX('List A'!$A$5:$A$204,IFERROR(MATCH(123,'List A'!$Q$5:$Q$204,0)+4,"")-4))</f>
        <v/>
      </c>
      <c r="B127" s="53">
        <f>IF(IFERROR(MATCH(123,'List A'!$Q$5:$Q$204,0)+4,"")="","",INDEX('List A'!$B$5:$B$204,IFERROR(MATCH(123,'List A'!$Q$5:$Q$204,0)+4,"")-4))</f>
        <v/>
      </c>
      <c r="C127" s="52">
        <f>IF(IFERROR(MATCH(123,'List A'!$Q$5:$Q$204,0)+4,"")="","",INDEX('List A'!$C$5:$C$204,IFERROR(MATCH(123,'List A'!$Q$5:$Q$204,0)+4,"")-4))</f>
        <v/>
      </c>
      <c r="D127" s="53">
        <f>IF(IFERROR(MATCH(123,'List A'!$Q$5:$Q$204,0)+4,"")="","",INDEX('List A'!$D$5:$D$204,IFERROR(MATCH(123,'List A'!$Q$5:$Q$204,0)+4,"")-4))</f>
        <v/>
      </c>
      <c r="E127" s="87">
        <f>IF(OR(IFERROR(MATCH(123,'List A'!$Q$5:$Q$204,0)+4,"")="",IF(IFERROR(MATCH(123,'List A'!$Q$5:$Q$204,0)+4,"")="","",INDEX('List A'!$K$5:$K$204,IFERROR(MATCH(123,'List A'!$Q$5:$Q$204,0)+4,"")-4))=""),"",INDEX('List B'!$A$5:$A$204,IF(IFERROR(MATCH(123,'List A'!$Q$5:$Q$204,0)+4,"")="","",INDEX('List A'!$K$5:$K$204,IFERROR(MATCH(123,'List A'!$Q$5:$Q$204,0)+4,"")-4))-4))</f>
        <v/>
      </c>
      <c r="F127" s="53">
        <f>IF(OR(IFERROR(MATCH(123,'List A'!$Q$5:$Q$204,0)+4,"")="",IF(IFERROR(MATCH(123,'List A'!$Q$5:$Q$204,0)+4,"")="","",INDEX('List A'!$K$5:$K$204,IFERROR(MATCH(123,'List A'!$Q$5:$Q$204,0)+4,"")-4))=""),"",INDEX('List B'!$B$5:$B$204,IF(IFERROR(MATCH(123,'List A'!$Q$5:$Q$204,0)+4,"")="","",INDEX('List A'!$K$5:$K$204,IFERROR(MATCH(123,'List A'!$Q$5:$Q$204,0)+4,"")-4))-4))</f>
        <v/>
      </c>
      <c r="G127" s="52">
        <f>IF(OR(IFERROR(MATCH(123,'List A'!$Q$5:$Q$204,0)+4,"")="",IF(IFERROR(MATCH(123,'List A'!$Q$5:$Q$204,0)+4,"")="","",INDEX('List A'!$K$5:$K$204,IFERROR(MATCH(123,'List A'!$Q$5:$Q$204,0)+4,"")-4))=""),"",INDEX('List B'!$C$5:$C$204,IF(IFERROR(MATCH(123,'List A'!$Q$5:$Q$204,0)+4,"")="","",INDEX('List A'!$K$5:$K$204,IFERROR(MATCH(123,'List A'!$Q$5:$Q$204,0)+4,"")-4))-4))</f>
        <v/>
      </c>
      <c r="H127" s="53">
        <f>IF(OR(IFERROR(MATCH(123,'List A'!$Q$5:$Q$204,0)+4,"")="",IF(IFERROR(MATCH(123,'List A'!$Q$5:$Q$204,0)+4,"")="","",INDEX('List A'!$K$5:$K$204,IFERROR(MATCH(123,'List A'!$Q$5:$Q$204,0)+4,"")-4))=""),"",INDEX('List B'!$D$5:$D$204,IF(IFERROR(MATCH(123,'List A'!$Q$5:$Q$204,0)+4,"")="","",INDEX('List A'!$K$5:$K$204,IFERROR(MATCH(123,'List A'!$Q$5:$Q$204,0)+4,"")-4))-4))</f>
        <v/>
      </c>
      <c r="I127" s="52">
        <f>IF(IFERROR(MATCH(123,'List A'!$Q$5:$Q$204,0)+4,"")="","",INDEX('List A'!$N$5:$N$204,IFERROR(MATCH(123,'List A'!$Q$5:$Q$204,0)+4,"")-4))</f>
        <v/>
      </c>
      <c r="J127" s="53">
        <f>IF(IFERROR(MATCH(123,'List A'!$Q$5:$Q$204,0)+4,"")="","",INDEX('List A'!$O$5:$O$204,IFERROR(MATCH(123,'List A'!$Q$5:$Q$204,0)+4,"")-4))</f>
        <v/>
      </c>
    </row>
    <row r="128" ht="17" customHeight="1">
      <c r="A128" s="87">
        <f>IF(IFERROR(MATCH(124,'List A'!$Q$5:$Q$204,0)+4,"")="","",INDEX('List A'!$A$5:$A$204,IFERROR(MATCH(124,'List A'!$Q$5:$Q$204,0)+4,"")-4))</f>
        <v/>
      </c>
      <c r="B128" s="53">
        <f>IF(IFERROR(MATCH(124,'List A'!$Q$5:$Q$204,0)+4,"")="","",INDEX('List A'!$B$5:$B$204,IFERROR(MATCH(124,'List A'!$Q$5:$Q$204,0)+4,"")-4))</f>
        <v/>
      </c>
      <c r="C128" s="52">
        <f>IF(IFERROR(MATCH(124,'List A'!$Q$5:$Q$204,0)+4,"")="","",INDEX('List A'!$C$5:$C$204,IFERROR(MATCH(124,'List A'!$Q$5:$Q$204,0)+4,"")-4))</f>
        <v/>
      </c>
      <c r="D128" s="53">
        <f>IF(IFERROR(MATCH(124,'List A'!$Q$5:$Q$204,0)+4,"")="","",INDEX('List A'!$D$5:$D$204,IFERROR(MATCH(124,'List A'!$Q$5:$Q$204,0)+4,"")-4))</f>
        <v/>
      </c>
      <c r="E128" s="87">
        <f>IF(OR(IFERROR(MATCH(124,'List A'!$Q$5:$Q$204,0)+4,"")="",IF(IFERROR(MATCH(124,'List A'!$Q$5:$Q$204,0)+4,"")="","",INDEX('List A'!$K$5:$K$204,IFERROR(MATCH(124,'List A'!$Q$5:$Q$204,0)+4,"")-4))=""),"",INDEX('List B'!$A$5:$A$204,IF(IFERROR(MATCH(124,'List A'!$Q$5:$Q$204,0)+4,"")="","",INDEX('List A'!$K$5:$K$204,IFERROR(MATCH(124,'List A'!$Q$5:$Q$204,0)+4,"")-4))-4))</f>
        <v/>
      </c>
      <c r="F128" s="53">
        <f>IF(OR(IFERROR(MATCH(124,'List A'!$Q$5:$Q$204,0)+4,"")="",IF(IFERROR(MATCH(124,'List A'!$Q$5:$Q$204,0)+4,"")="","",INDEX('List A'!$K$5:$K$204,IFERROR(MATCH(124,'List A'!$Q$5:$Q$204,0)+4,"")-4))=""),"",INDEX('List B'!$B$5:$B$204,IF(IFERROR(MATCH(124,'List A'!$Q$5:$Q$204,0)+4,"")="","",INDEX('List A'!$K$5:$K$204,IFERROR(MATCH(124,'List A'!$Q$5:$Q$204,0)+4,"")-4))-4))</f>
        <v/>
      </c>
      <c r="G128" s="52">
        <f>IF(OR(IFERROR(MATCH(124,'List A'!$Q$5:$Q$204,0)+4,"")="",IF(IFERROR(MATCH(124,'List A'!$Q$5:$Q$204,0)+4,"")="","",INDEX('List A'!$K$5:$K$204,IFERROR(MATCH(124,'List A'!$Q$5:$Q$204,0)+4,"")-4))=""),"",INDEX('List B'!$C$5:$C$204,IF(IFERROR(MATCH(124,'List A'!$Q$5:$Q$204,0)+4,"")="","",INDEX('List A'!$K$5:$K$204,IFERROR(MATCH(124,'List A'!$Q$5:$Q$204,0)+4,"")-4))-4))</f>
        <v/>
      </c>
      <c r="H128" s="53">
        <f>IF(OR(IFERROR(MATCH(124,'List A'!$Q$5:$Q$204,0)+4,"")="",IF(IFERROR(MATCH(124,'List A'!$Q$5:$Q$204,0)+4,"")="","",INDEX('List A'!$K$5:$K$204,IFERROR(MATCH(124,'List A'!$Q$5:$Q$204,0)+4,"")-4))=""),"",INDEX('List B'!$D$5:$D$204,IF(IFERROR(MATCH(124,'List A'!$Q$5:$Q$204,0)+4,"")="","",INDEX('List A'!$K$5:$K$204,IFERROR(MATCH(124,'List A'!$Q$5:$Q$204,0)+4,"")-4))-4))</f>
        <v/>
      </c>
      <c r="I128" s="52">
        <f>IF(IFERROR(MATCH(124,'List A'!$Q$5:$Q$204,0)+4,"")="","",INDEX('List A'!$N$5:$N$204,IFERROR(MATCH(124,'List A'!$Q$5:$Q$204,0)+4,"")-4))</f>
        <v/>
      </c>
      <c r="J128" s="53">
        <f>IF(IFERROR(MATCH(124,'List A'!$Q$5:$Q$204,0)+4,"")="","",INDEX('List A'!$O$5:$O$204,IFERROR(MATCH(124,'List A'!$Q$5:$Q$204,0)+4,"")-4))</f>
        <v/>
      </c>
    </row>
    <row r="129" ht="17" customHeight="1">
      <c r="A129" s="87">
        <f>IF(IFERROR(MATCH(125,'List A'!$Q$5:$Q$204,0)+4,"")="","",INDEX('List A'!$A$5:$A$204,IFERROR(MATCH(125,'List A'!$Q$5:$Q$204,0)+4,"")-4))</f>
        <v/>
      </c>
      <c r="B129" s="53">
        <f>IF(IFERROR(MATCH(125,'List A'!$Q$5:$Q$204,0)+4,"")="","",INDEX('List A'!$B$5:$B$204,IFERROR(MATCH(125,'List A'!$Q$5:$Q$204,0)+4,"")-4))</f>
        <v/>
      </c>
      <c r="C129" s="52">
        <f>IF(IFERROR(MATCH(125,'List A'!$Q$5:$Q$204,0)+4,"")="","",INDEX('List A'!$C$5:$C$204,IFERROR(MATCH(125,'List A'!$Q$5:$Q$204,0)+4,"")-4))</f>
        <v/>
      </c>
      <c r="D129" s="53">
        <f>IF(IFERROR(MATCH(125,'List A'!$Q$5:$Q$204,0)+4,"")="","",INDEX('List A'!$D$5:$D$204,IFERROR(MATCH(125,'List A'!$Q$5:$Q$204,0)+4,"")-4))</f>
        <v/>
      </c>
      <c r="E129" s="87">
        <f>IF(OR(IFERROR(MATCH(125,'List A'!$Q$5:$Q$204,0)+4,"")="",IF(IFERROR(MATCH(125,'List A'!$Q$5:$Q$204,0)+4,"")="","",INDEX('List A'!$K$5:$K$204,IFERROR(MATCH(125,'List A'!$Q$5:$Q$204,0)+4,"")-4))=""),"",INDEX('List B'!$A$5:$A$204,IF(IFERROR(MATCH(125,'List A'!$Q$5:$Q$204,0)+4,"")="","",INDEX('List A'!$K$5:$K$204,IFERROR(MATCH(125,'List A'!$Q$5:$Q$204,0)+4,"")-4))-4))</f>
        <v/>
      </c>
      <c r="F129" s="53">
        <f>IF(OR(IFERROR(MATCH(125,'List A'!$Q$5:$Q$204,0)+4,"")="",IF(IFERROR(MATCH(125,'List A'!$Q$5:$Q$204,0)+4,"")="","",INDEX('List A'!$K$5:$K$204,IFERROR(MATCH(125,'List A'!$Q$5:$Q$204,0)+4,"")-4))=""),"",INDEX('List B'!$B$5:$B$204,IF(IFERROR(MATCH(125,'List A'!$Q$5:$Q$204,0)+4,"")="","",INDEX('List A'!$K$5:$K$204,IFERROR(MATCH(125,'List A'!$Q$5:$Q$204,0)+4,"")-4))-4))</f>
        <v/>
      </c>
      <c r="G129" s="52">
        <f>IF(OR(IFERROR(MATCH(125,'List A'!$Q$5:$Q$204,0)+4,"")="",IF(IFERROR(MATCH(125,'List A'!$Q$5:$Q$204,0)+4,"")="","",INDEX('List A'!$K$5:$K$204,IFERROR(MATCH(125,'List A'!$Q$5:$Q$204,0)+4,"")-4))=""),"",INDEX('List B'!$C$5:$C$204,IF(IFERROR(MATCH(125,'List A'!$Q$5:$Q$204,0)+4,"")="","",INDEX('List A'!$K$5:$K$204,IFERROR(MATCH(125,'List A'!$Q$5:$Q$204,0)+4,"")-4))-4))</f>
        <v/>
      </c>
      <c r="H129" s="53">
        <f>IF(OR(IFERROR(MATCH(125,'List A'!$Q$5:$Q$204,0)+4,"")="",IF(IFERROR(MATCH(125,'List A'!$Q$5:$Q$204,0)+4,"")="","",INDEX('List A'!$K$5:$K$204,IFERROR(MATCH(125,'List A'!$Q$5:$Q$204,0)+4,"")-4))=""),"",INDEX('List B'!$D$5:$D$204,IF(IFERROR(MATCH(125,'List A'!$Q$5:$Q$204,0)+4,"")="","",INDEX('List A'!$K$5:$K$204,IFERROR(MATCH(125,'List A'!$Q$5:$Q$204,0)+4,"")-4))-4))</f>
        <v/>
      </c>
      <c r="I129" s="52">
        <f>IF(IFERROR(MATCH(125,'List A'!$Q$5:$Q$204,0)+4,"")="","",INDEX('List A'!$N$5:$N$204,IFERROR(MATCH(125,'List A'!$Q$5:$Q$204,0)+4,"")-4))</f>
        <v/>
      </c>
      <c r="J129" s="53">
        <f>IF(IFERROR(MATCH(125,'List A'!$Q$5:$Q$204,0)+4,"")="","",INDEX('List A'!$O$5:$O$204,IFERROR(MATCH(125,'List A'!$Q$5:$Q$204,0)+4,"")-4))</f>
        <v/>
      </c>
    </row>
    <row r="130" ht="17" customHeight="1">
      <c r="A130" s="87">
        <f>IF(IFERROR(MATCH(126,'List A'!$Q$5:$Q$204,0)+4,"")="","",INDEX('List A'!$A$5:$A$204,IFERROR(MATCH(126,'List A'!$Q$5:$Q$204,0)+4,"")-4))</f>
        <v/>
      </c>
      <c r="B130" s="53">
        <f>IF(IFERROR(MATCH(126,'List A'!$Q$5:$Q$204,0)+4,"")="","",INDEX('List A'!$B$5:$B$204,IFERROR(MATCH(126,'List A'!$Q$5:$Q$204,0)+4,"")-4))</f>
        <v/>
      </c>
      <c r="C130" s="52">
        <f>IF(IFERROR(MATCH(126,'List A'!$Q$5:$Q$204,0)+4,"")="","",INDEX('List A'!$C$5:$C$204,IFERROR(MATCH(126,'List A'!$Q$5:$Q$204,0)+4,"")-4))</f>
        <v/>
      </c>
      <c r="D130" s="53">
        <f>IF(IFERROR(MATCH(126,'List A'!$Q$5:$Q$204,0)+4,"")="","",INDEX('List A'!$D$5:$D$204,IFERROR(MATCH(126,'List A'!$Q$5:$Q$204,0)+4,"")-4))</f>
        <v/>
      </c>
      <c r="E130" s="87">
        <f>IF(OR(IFERROR(MATCH(126,'List A'!$Q$5:$Q$204,0)+4,"")="",IF(IFERROR(MATCH(126,'List A'!$Q$5:$Q$204,0)+4,"")="","",INDEX('List A'!$K$5:$K$204,IFERROR(MATCH(126,'List A'!$Q$5:$Q$204,0)+4,"")-4))=""),"",INDEX('List B'!$A$5:$A$204,IF(IFERROR(MATCH(126,'List A'!$Q$5:$Q$204,0)+4,"")="","",INDEX('List A'!$K$5:$K$204,IFERROR(MATCH(126,'List A'!$Q$5:$Q$204,0)+4,"")-4))-4))</f>
        <v/>
      </c>
      <c r="F130" s="53">
        <f>IF(OR(IFERROR(MATCH(126,'List A'!$Q$5:$Q$204,0)+4,"")="",IF(IFERROR(MATCH(126,'List A'!$Q$5:$Q$204,0)+4,"")="","",INDEX('List A'!$K$5:$K$204,IFERROR(MATCH(126,'List A'!$Q$5:$Q$204,0)+4,"")-4))=""),"",INDEX('List B'!$B$5:$B$204,IF(IFERROR(MATCH(126,'List A'!$Q$5:$Q$204,0)+4,"")="","",INDEX('List A'!$K$5:$K$204,IFERROR(MATCH(126,'List A'!$Q$5:$Q$204,0)+4,"")-4))-4))</f>
        <v/>
      </c>
      <c r="G130" s="52">
        <f>IF(OR(IFERROR(MATCH(126,'List A'!$Q$5:$Q$204,0)+4,"")="",IF(IFERROR(MATCH(126,'List A'!$Q$5:$Q$204,0)+4,"")="","",INDEX('List A'!$K$5:$K$204,IFERROR(MATCH(126,'List A'!$Q$5:$Q$204,0)+4,"")-4))=""),"",INDEX('List B'!$C$5:$C$204,IF(IFERROR(MATCH(126,'List A'!$Q$5:$Q$204,0)+4,"")="","",INDEX('List A'!$K$5:$K$204,IFERROR(MATCH(126,'List A'!$Q$5:$Q$204,0)+4,"")-4))-4))</f>
        <v/>
      </c>
      <c r="H130" s="53">
        <f>IF(OR(IFERROR(MATCH(126,'List A'!$Q$5:$Q$204,0)+4,"")="",IF(IFERROR(MATCH(126,'List A'!$Q$5:$Q$204,0)+4,"")="","",INDEX('List A'!$K$5:$K$204,IFERROR(MATCH(126,'List A'!$Q$5:$Q$204,0)+4,"")-4))=""),"",INDEX('List B'!$D$5:$D$204,IF(IFERROR(MATCH(126,'List A'!$Q$5:$Q$204,0)+4,"")="","",INDEX('List A'!$K$5:$K$204,IFERROR(MATCH(126,'List A'!$Q$5:$Q$204,0)+4,"")-4))-4))</f>
        <v/>
      </c>
      <c r="I130" s="52">
        <f>IF(IFERROR(MATCH(126,'List A'!$Q$5:$Q$204,0)+4,"")="","",INDEX('List A'!$N$5:$N$204,IFERROR(MATCH(126,'List A'!$Q$5:$Q$204,0)+4,"")-4))</f>
        <v/>
      </c>
      <c r="J130" s="53">
        <f>IF(IFERROR(MATCH(126,'List A'!$Q$5:$Q$204,0)+4,"")="","",INDEX('List A'!$O$5:$O$204,IFERROR(MATCH(126,'List A'!$Q$5:$Q$204,0)+4,"")-4))</f>
        <v/>
      </c>
    </row>
    <row r="131" ht="17" customHeight="1">
      <c r="A131" s="87">
        <f>IF(IFERROR(MATCH(127,'List A'!$Q$5:$Q$204,0)+4,"")="","",INDEX('List A'!$A$5:$A$204,IFERROR(MATCH(127,'List A'!$Q$5:$Q$204,0)+4,"")-4))</f>
        <v/>
      </c>
      <c r="B131" s="53">
        <f>IF(IFERROR(MATCH(127,'List A'!$Q$5:$Q$204,0)+4,"")="","",INDEX('List A'!$B$5:$B$204,IFERROR(MATCH(127,'List A'!$Q$5:$Q$204,0)+4,"")-4))</f>
        <v/>
      </c>
      <c r="C131" s="52">
        <f>IF(IFERROR(MATCH(127,'List A'!$Q$5:$Q$204,0)+4,"")="","",INDEX('List A'!$C$5:$C$204,IFERROR(MATCH(127,'List A'!$Q$5:$Q$204,0)+4,"")-4))</f>
        <v/>
      </c>
      <c r="D131" s="53">
        <f>IF(IFERROR(MATCH(127,'List A'!$Q$5:$Q$204,0)+4,"")="","",INDEX('List A'!$D$5:$D$204,IFERROR(MATCH(127,'List A'!$Q$5:$Q$204,0)+4,"")-4))</f>
        <v/>
      </c>
      <c r="E131" s="87">
        <f>IF(OR(IFERROR(MATCH(127,'List A'!$Q$5:$Q$204,0)+4,"")="",IF(IFERROR(MATCH(127,'List A'!$Q$5:$Q$204,0)+4,"")="","",INDEX('List A'!$K$5:$K$204,IFERROR(MATCH(127,'List A'!$Q$5:$Q$204,0)+4,"")-4))=""),"",INDEX('List B'!$A$5:$A$204,IF(IFERROR(MATCH(127,'List A'!$Q$5:$Q$204,0)+4,"")="","",INDEX('List A'!$K$5:$K$204,IFERROR(MATCH(127,'List A'!$Q$5:$Q$204,0)+4,"")-4))-4))</f>
        <v/>
      </c>
      <c r="F131" s="53">
        <f>IF(OR(IFERROR(MATCH(127,'List A'!$Q$5:$Q$204,0)+4,"")="",IF(IFERROR(MATCH(127,'List A'!$Q$5:$Q$204,0)+4,"")="","",INDEX('List A'!$K$5:$K$204,IFERROR(MATCH(127,'List A'!$Q$5:$Q$204,0)+4,"")-4))=""),"",INDEX('List B'!$B$5:$B$204,IF(IFERROR(MATCH(127,'List A'!$Q$5:$Q$204,0)+4,"")="","",INDEX('List A'!$K$5:$K$204,IFERROR(MATCH(127,'List A'!$Q$5:$Q$204,0)+4,"")-4))-4))</f>
        <v/>
      </c>
      <c r="G131" s="52">
        <f>IF(OR(IFERROR(MATCH(127,'List A'!$Q$5:$Q$204,0)+4,"")="",IF(IFERROR(MATCH(127,'List A'!$Q$5:$Q$204,0)+4,"")="","",INDEX('List A'!$K$5:$K$204,IFERROR(MATCH(127,'List A'!$Q$5:$Q$204,0)+4,"")-4))=""),"",INDEX('List B'!$C$5:$C$204,IF(IFERROR(MATCH(127,'List A'!$Q$5:$Q$204,0)+4,"")="","",INDEX('List A'!$K$5:$K$204,IFERROR(MATCH(127,'List A'!$Q$5:$Q$204,0)+4,"")-4))-4))</f>
        <v/>
      </c>
      <c r="H131" s="53">
        <f>IF(OR(IFERROR(MATCH(127,'List A'!$Q$5:$Q$204,0)+4,"")="",IF(IFERROR(MATCH(127,'List A'!$Q$5:$Q$204,0)+4,"")="","",INDEX('List A'!$K$5:$K$204,IFERROR(MATCH(127,'List A'!$Q$5:$Q$204,0)+4,"")-4))=""),"",INDEX('List B'!$D$5:$D$204,IF(IFERROR(MATCH(127,'List A'!$Q$5:$Q$204,0)+4,"")="","",INDEX('List A'!$K$5:$K$204,IFERROR(MATCH(127,'List A'!$Q$5:$Q$204,0)+4,"")-4))-4))</f>
        <v/>
      </c>
      <c r="I131" s="52">
        <f>IF(IFERROR(MATCH(127,'List A'!$Q$5:$Q$204,0)+4,"")="","",INDEX('List A'!$N$5:$N$204,IFERROR(MATCH(127,'List A'!$Q$5:$Q$204,0)+4,"")-4))</f>
        <v/>
      </c>
      <c r="J131" s="53">
        <f>IF(IFERROR(MATCH(127,'List A'!$Q$5:$Q$204,0)+4,"")="","",INDEX('List A'!$O$5:$O$204,IFERROR(MATCH(127,'List A'!$Q$5:$Q$204,0)+4,"")-4))</f>
        <v/>
      </c>
    </row>
    <row r="132" ht="17" customHeight="1">
      <c r="A132" s="87">
        <f>IF(IFERROR(MATCH(128,'List A'!$Q$5:$Q$204,0)+4,"")="","",INDEX('List A'!$A$5:$A$204,IFERROR(MATCH(128,'List A'!$Q$5:$Q$204,0)+4,"")-4))</f>
        <v/>
      </c>
      <c r="B132" s="53">
        <f>IF(IFERROR(MATCH(128,'List A'!$Q$5:$Q$204,0)+4,"")="","",INDEX('List A'!$B$5:$B$204,IFERROR(MATCH(128,'List A'!$Q$5:$Q$204,0)+4,"")-4))</f>
        <v/>
      </c>
      <c r="C132" s="52">
        <f>IF(IFERROR(MATCH(128,'List A'!$Q$5:$Q$204,0)+4,"")="","",INDEX('List A'!$C$5:$C$204,IFERROR(MATCH(128,'List A'!$Q$5:$Q$204,0)+4,"")-4))</f>
        <v/>
      </c>
      <c r="D132" s="53">
        <f>IF(IFERROR(MATCH(128,'List A'!$Q$5:$Q$204,0)+4,"")="","",INDEX('List A'!$D$5:$D$204,IFERROR(MATCH(128,'List A'!$Q$5:$Q$204,0)+4,"")-4))</f>
        <v/>
      </c>
      <c r="E132" s="87">
        <f>IF(OR(IFERROR(MATCH(128,'List A'!$Q$5:$Q$204,0)+4,"")="",IF(IFERROR(MATCH(128,'List A'!$Q$5:$Q$204,0)+4,"")="","",INDEX('List A'!$K$5:$K$204,IFERROR(MATCH(128,'List A'!$Q$5:$Q$204,0)+4,"")-4))=""),"",INDEX('List B'!$A$5:$A$204,IF(IFERROR(MATCH(128,'List A'!$Q$5:$Q$204,0)+4,"")="","",INDEX('List A'!$K$5:$K$204,IFERROR(MATCH(128,'List A'!$Q$5:$Q$204,0)+4,"")-4))-4))</f>
        <v/>
      </c>
      <c r="F132" s="53">
        <f>IF(OR(IFERROR(MATCH(128,'List A'!$Q$5:$Q$204,0)+4,"")="",IF(IFERROR(MATCH(128,'List A'!$Q$5:$Q$204,0)+4,"")="","",INDEX('List A'!$K$5:$K$204,IFERROR(MATCH(128,'List A'!$Q$5:$Q$204,0)+4,"")-4))=""),"",INDEX('List B'!$B$5:$B$204,IF(IFERROR(MATCH(128,'List A'!$Q$5:$Q$204,0)+4,"")="","",INDEX('List A'!$K$5:$K$204,IFERROR(MATCH(128,'List A'!$Q$5:$Q$204,0)+4,"")-4))-4))</f>
        <v/>
      </c>
      <c r="G132" s="52">
        <f>IF(OR(IFERROR(MATCH(128,'List A'!$Q$5:$Q$204,0)+4,"")="",IF(IFERROR(MATCH(128,'List A'!$Q$5:$Q$204,0)+4,"")="","",INDEX('List A'!$K$5:$K$204,IFERROR(MATCH(128,'List A'!$Q$5:$Q$204,0)+4,"")-4))=""),"",INDEX('List B'!$C$5:$C$204,IF(IFERROR(MATCH(128,'List A'!$Q$5:$Q$204,0)+4,"")="","",INDEX('List A'!$K$5:$K$204,IFERROR(MATCH(128,'List A'!$Q$5:$Q$204,0)+4,"")-4))-4))</f>
        <v/>
      </c>
      <c r="H132" s="53">
        <f>IF(OR(IFERROR(MATCH(128,'List A'!$Q$5:$Q$204,0)+4,"")="",IF(IFERROR(MATCH(128,'List A'!$Q$5:$Q$204,0)+4,"")="","",INDEX('List A'!$K$5:$K$204,IFERROR(MATCH(128,'List A'!$Q$5:$Q$204,0)+4,"")-4))=""),"",INDEX('List B'!$D$5:$D$204,IF(IFERROR(MATCH(128,'List A'!$Q$5:$Q$204,0)+4,"")="","",INDEX('List A'!$K$5:$K$204,IFERROR(MATCH(128,'List A'!$Q$5:$Q$204,0)+4,"")-4))-4))</f>
        <v/>
      </c>
      <c r="I132" s="52">
        <f>IF(IFERROR(MATCH(128,'List A'!$Q$5:$Q$204,0)+4,"")="","",INDEX('List A'!$N$5:$N$204,IFERROR(MATCH(128,'List A'!$Q$5:$Q$204,0)+4,"")-4))</f>
        <v/>
      </c>
      <c r="J132" s="53">
        <f>IF(IFERROR(MATCH(128,'List A'!$Q$5:$Q$204,0)+4,"")="","",INDEX('List A'!$O$5:$O$204,IFERROR(MATCH(128,'List A'!$Q$5:$Q$204,0)+4,"")-4))</f>
        <v/>
      </c>
    </row>
    <row r="133" ht="17" customHeight="1">
      <c r="A133" s="87">
        <f>IF(IFERROR(MATCH(129,'List A'!$Q$5:$Q$204,0)+4,"")="","",INDEX('List A'!$A$5:$A$204,IFERROR(MATCH(129,'List A'!$Q$5:$Q$204,0)+4,"")-4))</f>
        <v/>
      </c>
      <c r="B133" s="53">
        <f>IF(IFERROR(MATCH(129,'List A'!$Q$5:$Q$204,0)+4,"")="","",INDEX('List A'!$B$5:$B$204,IFERROR(MATCH(129,'List A'!$Q$5:$Q$204,0)+4,"")-4))</f>
        <v/>
      </c>
      <c r="C133" s="52">
        <f>IF(IFERROR(MATCH(129,'List A'!$Q$5:$Q$204,0)+4,"")="","",INDEX('List A'!$C$5:$C$204,IFERROR(MATCH(129,'List A'!$Q$5:$Q$204,0)+4,"")-4))</f>
        <v/>
      </c>
      <c r="D133" s="53">
        <f>IF(IFERROR(MATCH(129,'List A'!$Q$5:$Q$204,0)+4,"")="","",INDEX('List A'!$D$5:$D$204,IFERROR(MATCH(129,'List A'!$Q$5:$Q$204,0)+4,"")-4))</f>
        <v/>
      </c>
      <c r="E133" s="87">
        <f>IF(OR(IFERROR(MATCH(129,'List A'!$Q$5:$Q$204,0)+4,"")="",IF(IFERROR(MATCH(129,'List A'!$Q$5:$Q$204,0)+4,"")="","",INDEX('List A'!$K$5:$K$204,IFERROR(MATCH(129,'List A'!$Q$5:$Q$204,0)+4,"")-4))=""),"",INDEX('List B'!$A$5:$A$204,IF(IFERROR(MATCH(129,'List A'!$Q$5:$Q$204,0)+4,"")="","",INDEX('List A'!$K$5:$K$204,IFERROR(MATCH(129,'List A'!$Q$5:$Q$204,0)+4,"")-4))-4))</f>
        <v/>
      </c>
      <c r="F133" s="53">
        <f>IF(OR(IFERROR(MATCH(129,'List A'!$Q$5:$Q$204,0)+4,"")="",IF(IFERROR(MATCH(129,'List A'!$Q$5:$Q$204,0)+4,"")="","",INDEX('List A'!$K$5:$K$204,IFERROR(MATCH(129,'List A'!$Q$5:$Q$204,0)+4,"")-4))=""),"",INDEX('List B'!$B$5:$B$204,IF(IFERROR(MATCH(129,'List A'!$Q$5:$Q$204,0)+4,"")="","",INDEX('List A'!$K$5:$K$204,IFERROR(MATCH(129,'List A'!$Q$5:$Q$204,0)+4,"")-4))-4))</f>
        <v/>
      </c>
      <c r="G133" s="52">
        <f>IF(OR(IFERROR(MATCH(129,'List A'!$Q$5:$Q$204,0)+4,"")="",IF(IFERROR(MATCH(129,'List A'!$Q$5:$Q$204,0)+4,"")="","",INDEX('List A'!$K$5:$K$204,IFERROR(MATCH(129,'List A'!$Q$5:$Q$204,0)+4,"")-4))=""),"",INDEX('List B'!$C$5:$C$204,IF(IFERROR(MATCH(129,'List A'!$Q$5:$Q$204,0)+4,"")="","",INDEX('List A'!$K$5:$K$204,IFERROR(MATCH(129,'List A'!$Q$5:$Q$204,0)+4,"")-4))-4))</f>
        <v/>
      </c>
      <c r="H133" s="53">
        <f>IF(OR(IFERROR(MATCH(129,'List A'!$Q$5:$Q$204,0)+4,"")="",IF(IFERROR(MATCH(129,'List A'!$Q$5:$Q$204,0)+4,"")="","",INDEX('List A'!$K$5:$K$204,IFERROR(MATCH(129,'List A'!$Q$5:$Q$204,0)+4,"")-4))=""),"",INDEX('List B'!$D$5:$D$204,IF(IFERROR(MATCH(129,'List A'!$Q$5:$Q$204,0)+4,"")="","",INDEX('List A'!$K$5:$K$204,IFERROR(MATCH(129,'List A'!$Q$5:$Q$204,0)+4,"")-4))-4))</f>
        <v/>
      </c>
      <c r="I133" s="52">
        <f>IF(IFERROR(MATCH(129,'List A'!$Q$5:$Q$204,0)+4,"")="","",INDEX('List A'!$N$5:$N$204,IFERROR(MATCH(129,'List A'!$Q$5:$Q$204,0)+4,"")-4))</f>
        <v/>
      </c>
      <c r="J133" s="53">
        <f>IF(IFERROR(MATCH(129,'List A'!$Q$5:$Q$204,0)+4,"")="","",INDEX('List A'!$O$5:$O$204,IFERROR(MATCH(129,'List A'!$Q$5:$Q$204,0)+4,"")-4))</f>
        <v/>
      </c>
    </row>
    <row r="134" ht="17" customHeight="1">
      <c r="A134" s="87">
        <f>IF(IFERROR(MATCH(130,'List A'!$Q$5:$Q$204,0)+4,"")="","",INDEX('List A'!$A$5:$A$204,IFERROR(MATCH(130,'List A'!$Q$5:$Q$204,0)+4,"")-4))</f>
        <v/>
      </c>
      <c r="B134" s="53">
        <f>IF(IFERROR(MATCH(130,'List A'!$Q$5:$Q$204,0)+4,"")="","",INDEX('List A'!$B$5:$B$204,IFERROR(MATCH(130,'List A'!$Q$5:$Q$204,0)+4,"")-4))</f>
        <v/>
      </c>
      <c r="C134" s="52">
        <f>IF(IFERROR(MATCH(130,'List A'!$Q$5:$Q$204,0)+4,"")="","",INDEX('List A'!$C$5:$C$204,IFERROR(MATCH(130,'List A'!$Q$5:$Q$204,0)+4,"")-4))</f>
        <v/>
      </c>
      <c r="D134" s="53">
        <f>IF(IFERROR(MATCH(130,'List A'!$Q$5:$Q$204,0)+4,"")="","",INDEX('List A'!$D$5:$D$204,IFERROR(MATCH(130,'List A'!$Q$5:$Q$204,0)+4,"")-4))</f>
        <v/>
      </c>
      <c r="E134" s="87">
        <f>IF(OR(IFERROR(MATCH(130,'List A'!$Q$5:$Q$204,0)+4,"")="",IF(IFERROR(MATCH(130,'List A'!$Q$5:$Q$204,0)+4,"")="","",INDEX('List A'!$K$5:$K$204,IFERROR(MATCH(130,'List A'!$Q$5:$Q$204,0)+4,"")-4))=""),"",INDEX('List B'!$A$5:$A$204,IF(IFERROR(MATCH(130,'List A'!$Q$5:$Q$204,0)+4,"")="","",INDEX('List A'!$K$5:$K$204,IFERROR(MATCH(130,'List A'!$Q$5:$Q$204,0)+4,"")-4))-4))</f>
        <v/>
      </c>
      <c r="F134" s="53">
        <f>IF(OR(IFERROR(MATCH(130,'List A'!$Q$5:$Q$204,0)+4,"")="",IF(IFERROR(MATCH(130,'List A'!$Q$5:$Q$204,0)+4,"")="","",INDEX('List A'!$K$5:$K$204,IFERROR(MATCH(130,'List A'!$Q$5:$Q$204,0)+4,"")-4))=""),"",INDEX('List B'!$B$5:$B$204,IF(IFERROR(MATCH(130,'List A'!$Q$5:$Q$204,0)+4,"")="","",INDEX('List A'!$K$5:$K$204,IFERROR(MATCH(130,'List A'!$Q$5:$Q$204,0)+4,"")-4))-4))</f>
        <v/>
      </c>
      <c r="G134" s="52">
        <f>IF(OR(IFERROR(MATCH(130,'List A'!$Q$5:$Q$204,0)+4,"")="",IF(IFERROR(MATCH(130,'List A'!$Q$5:$Q$204,0)+4,"")="","",INDEX('List A'!$K$5:$K$204,IFERROR(MATCH(130,'List A'!$Q$5:$Q$204,0)+4,"")-4))=""),"",INDEX('List B'!$C$5:$C$204,IF(IFERROR(MATCH(130,'List A'!$Q$5:$Q$204,0)+4,"")="","",INDEX('List A'!$K$5:$K$204,IFERROR(MATCH(130,'List A'!$Q$5:$Q$204,0)+4,"")-4))-4))</f>
        <v/>
      </c>
      <c r="H134" s="53">
        <f>IF(OR(IFERROR(MATCH(130,'List A'!$Q$5:$Q$204,0)+4,"")="",IF(IFERROR(MATCH(130,'List A'!$Q$5:$Q$204,0)+4,"")="","",INDEX('List A'!$K$5:$K$204,IFERROR(MATCH(130,'List A'!$Q$5:$Q$204,0)+4,"")-4))=""),"",INDEX('List B'!$D$5:$D$204,IF(IFERROR(MATCH(130,'List A'!$Q$5:$Q$204,0)+4,"")="","",INDEX('List A'!$K$5:$K$204,IFERROR(MATCH(130,'List A'!$Q$5:$Q$204,0)+4,"")-4))-4))</f>
        <v/>
      </c>
      <c r="I134" s="52">
        <f>IF(IFERROR(MATCH(130,'List A'!$Q$5:$Q$204,0)+4,"")="","",INDEX('List A'!$N$5:$N$204,IFERROR(MATCH(130,'List A'!$Q$5:$Q$204,0)+4,"")-4))</f>
        <v/>
      </c>
      <c r="J134" s="53">
        <f>IF(IFERROR(MATCH(130,'List A'!$Q$5:$Q$204,0)+4,"")="","",INDEX('List A'!$O$5:$O$204,IFERROR(MATCH(130,'List A'!$Q$5:$Q$204,0)+4,"")-4))</f>
        <v/>
      </c>
    </row>
    <row r="135" ht="17" customHeight="1">
      <c r="A135" s="87">
        <f>IF(IFERROR(MATCH(131,'List A'!$Q$5:$Q$204,0)+4,"")="","",INDEX('List A'!$A$5:$A$204,IFERROR(MATCH(131,'List A'!$Q$5:$Q$204,0)+4,"")-4))</f>
        <v/>
      </c>
      <c r="B135" s="53">
        <f>IF(IFERROR(MATCH(131,'List A'!$Q$5:$Q$204,0)+4,"")="","",INDEX('List A'!$B$5:$B$204,IFERROR(MATCH(131,'List A'!$Q$5:$Q$204,0)+4,"")-4))</f>
        <v/>
      </c>
      <c r="C135" s="52">
        <f>IF(IFERROR(MATCH(131,'List A'!$Q$5:$Q$204,0)+4,"")="","",INDEX('List A'!$C$5:$C$204,IFERROR(MATCH(131,'List A'!$Q$5:$Q$204,0)+4,"")-4))</f>
        <v/>
      </c>
      <c r="D135" s="53">
        <f>IF(IFERROR(MATCH(131,'List A'!$Q$5:$Q$204,0)+4,"")="","",INDEX('List A'!$D$5:$D$204,IFERROR(MATCH(131,'List A'!$Q$5:$Q$204,0)+4,"")-4))</f>
        <v/>
      </c>
      <c r="E135" s="87">
        <f>IF(OR(IFERROR(MATCH(131,'List A'!$Q$5:$Q$204,0)+4,"")="",IF(IFERROR(MATCH(131,'List A'!$Q$5:$Q$204,0)+4,"")="","",INDEX('List A'!$K$5:$K$204,IFERROR(MATCH(131,'List A'!$Q$5:$Q$204,0)+4,"")-4))=""),"",INDEX('List B'!$A$5:$A$204,IF(IFERROR(MATCH(131,'List A'!$Q$5:$Q$204,0)+4,"")="","",INDEX('List A'!$K$5:$K$204,IFERROR(MATCH(131,'List A'!$Q$5:$Q$204,0)+4,"")-4))-4))</f>
        <v/>
      </c>
      <c r="F135" s="53">
        <f>IF(OR(IFERROR(MATCH(131,'List A'!$Q$5:$Q$204,0)+4,"")="",IF(IFERROR(MATCH(131,'List A'!$Q$5:$Q$204,0)+4,"")="","",INDEX('List A'!$K$5:$K$204,IFERROR(MATCH(131,'List A'!$Q$5:$Q$204,0)+4,"")-4))=""),"",INDEX('List B'!$B$5:$B$204,IF(IFERROR(MATCH(131,'List A'!$Q$5:$Q$204,0)+4,"")="","",INDEX('List A'!$K$5:$K$204,IFERROR(MATCH(131,'List A'!$Q$5:$Q$204,0)+4,"")-4))-4))</f>
        <v/>
      </c>
      <c r="G135" s="52">
        <f>IF(OR(IFERROR(MATCH(131,'List A'!$Q$5:$Q$204,0)+4,"")="",IF(IFERROR(MATCH(131,'List A'!$Q$5:$Q$204,0)+4,"")="","",INDEX('List A'!$K$5:$K$204,IFERROR(MATCH(131,'List A'!$Q$5:$Q$204,0)+4,"")-4))=""),"",INDEX('List B'!$C$5:$C$204,IF(IFERROR(MATCH(131,'List A'!$Q$5:$Q$204,0)+4,"")="","",INDEX('List A'!$K$5:$K$204,IFERROR(MATCH(131,'List A'!$Q$5:$Q$204,0)+4,"")-4))-4))</f>
        <v/>
      </c>
      <c r="H135" s="53">
        <f>IF(OR(IFERROR(MATCH(131,'List A'!$Q$5:$Q$204,0)+4,"")="",IF(IFERROR(MATCH(131,'List A'!$Q$5:$Q$204,0)+4,"")="","",INDEX('List A'!$K$5:$K$204,IFERROR(MATCH(131,'List A'!$Q$5:$Q$204,0)+4,"")-4))=""),"",INDEX('List B'!$D$5:$D$204,IF(IFERROR(MATCH(131,'List A'!$Q$5:$Q$204,0)+4,"")="","",INDEX('List A'!$K$5:$K$204,IFERROR(MATCH(131,'List A'!$Q$5:$Q$204,0)+4,"")-4))-4))</f>
        <v/>
      </c>
      <c r="I135" s="52">
        <f>IF(IFERROR(MATCH(131,'List A'!$Q$5:$Q$204,0)+4,"")="","",INDEX('List A'!$N$5:$N$204,IFERROR(MATCH(131,'List A'!$Q$5:$Q$204,0)+4,"")-4))</f>
        <v/>
      </c>
      <c r="J135" s="53">
        <f>IF(IFERROR(MATCH(131,'List A'!$Q$5:$Q$204,0)+4,"")="","",INDEX('List A'!$O$5:$O$204,IFERROR(MATCH(131,'List A'!$Q$5:$Q$204,0)+4,"")-4))</f>
        <v/>
      </c>
    </row>
    <row r="136" ht="17" customHeight="1">
      <c r="A136" s="87">
        <f>IF(IFERROR(MATCH(132,'List A'!$Q$5:$Q$204,0)+4,"")="","",INDEX('List A'!$A$5:$A$204,IFERROR(MATCH(132,'List A'!$Q$5:$Q$204,0)+4,"")-4))</f>
        <v/>
      </c>
      <c r="B136" s="53">
        <f>IF(IFERROR(MATCH(132,'List A'!$Q$5:$Q$204,0)+4,"")="","",INDEX('List A'!$B$5:$B$204,IFERROR(MATCH(132,'List A'!$Q$5:$Q$204,0)+4,"")-4))</f>
        <v/>
      </c>
      <c r="C136" s="52">
        <f>IF(IFERROR(MATCH(132,'List A'!$Q$5:$Q$204,0)+4,"")="","",INDEX('List A'!$C$5:$C$204,IFERROR(MATCH(132,'List A'!$Q$5:$Q$204,0)+4,"")-4))</f>
        <v/>
      </c>
      <c r="D136" s="53">
        <f>IF(IFERROR(MATCH(132,'List A'!$Q$5:$Q$204,0)+4,"")="","",INDEX('List A'!$D$5:$D$204,IFERROR(MATCH(132,'List A'!$Q$5:$Q$204,0)+4,"")-4))</f>
        <v/>
      </c>
      <c r="E136" s="87">
        <f>IF(OR(IFERROR(MATCH(132,'List A'!$Q$5:$Q$204,0)+4,"")="",IF(IFERROR(MATCH(132,'List A'!$Q$5:$Q$204,0)+4,"")="","",INDEX('List A'!$K$5:$K$204,IFERROR(MATCH(132,'List A'!$Q$5:$Q$204,0)+4,"")-4))=""),"",INDEX('List B'!$A$5:$A$204,IF(IFERROR(MATCH(132,'List A'!$Q$5:$Q$204,0)+4,"")="","",INDEX('List A'!$K$5:$K$204,IFERROR(MATCH(132,'List A'!$Q$5:$Q$204,0)+4,"")-4))-4))</f>
        <v/>
      </c>
      <c r="F136" s="53">
        <f>IF(OR(IFERROR(MATCH(132,'List A'!$Q$5:$Q$204,0)+4,"")="",IF(IFERROR(MATCH(132,'List A'!$Q$5:$Q$204,0)+4,"")="","",INDEX('List A'!$K$5:$K$204,IFERROR(MATCH(132,'List A'!$Q$5:$Q$204,0)+4,"")-4))=""),"",INDEX('List B'!$B$5:$B$204,IF(IFERROR(MATCH(132,'List A'!$Q$5:$Q$204,0)+4,"")="","",INDEX('List A'!$K$5:$K$204,IFERROR(MATCH(132,'List A'!$Q$5:$Q$204,0)+4,"")-4))-4))</f>
        <v/>
      </c>
      <c r="G136" s="52">
        <f>IF(OR(IFERROR(MATCH(132,'List A'!$Q$5:$Q$204,0)+4,"")="",IF(IFERROR(MATCH(132,'List A'!$Q$5:$Q$204,0)+4,"")="","",INDEX('List A'!$K$5:$K$204,IFERROR(MATCH(132,'List A'!$Q$5:$Q$204,0)+4,"")-4))=""),"",INDEX('List B'!$C$5:$C$204,IF(IFERROR(MATCH(132,'List A'!$Q$5:$Q$204,0)+4,"")="","",INDEX('List A'!$K$5:$K$204,IFERROR(MATCH(132,'List A'!$Q$5:$Q$204,0)+4,"")-4))-4))</f>
        <v/>
      </c>
      <c r="H136" s="53">
        <f>IF(OR(IFERROR(MATCH(132,'List A'!$Q$5:$Q$204,0)+4,"")="",IF(IFERROR(MATCH(132,'List A'!$Q$5:$Q$204,0)+4,"")="","",INDEX('List A'!$K$5:$K$204,IFERROR(MATCH(132,'List A'!$Q$5:$Q$204,0)+4,"")-4))=""),"",INDEX('List B'!$D$5:$D$204,IF(IFERROR(MATCH(132,'List A'!$Q$5:$Q$204,0)+4,"")="","",INDEX('List A'!$K$5:$K$204,IFERROR(MATCH(132,'List A'!$Q$5:$Q$204,0)+4,"")-4))-4))</f>
        <v/>
      </c>
      <c r="I136" s="52">
        <f>IF(IFERROR(MATCH(132,'List A'!$Q$5:$Q$204,0)+4,"")="","",INDEX('List A'!$N$5:$N$204,IFERROR(MATCH(132,'List A'!$Q$5:$Q$204,0)+4,"")-4))</f>
        <v/>
      </c>
      <c r="J136" s="53">
        <f>IF(IFERROR(MATCH(132,'List A'!$Q$5:$Q$204,0)+4,"")="","",INDEX('List A'!$O$5:$O$204,IFERROR(MATCH(132,'List A'!$Q$5:$Q$204,0)+4,"")-4))</f>
        <v/>
      </c>
    </row>
    <row r="137" ht="17" customHeight="1">
      <c r="A137" s="87">
        <f>IF(IFERROR(MATCH(133,'List A'!$Q$5:$Q$204,0)+4,"")="","",INDEX('List A'!$A$5:$A$204,IFERROR(MATCH(133,'List A'!$Q$5:$Q$204,0)+4,"")-4))</f>
        <v/>
      </c>
      <c r="B137" s="53">
        <f>IF(IFERROR(MATCH(133,'List A'!$Q$5:$Q$204,0)+4,"")="","",INDEX('List A'!$B$5:$B$204,IFERROR(MATCH(133,'List A'!$Q$5:$Q$204,0)+4,"")-4))</f>
        <v/>
      </c>
      <c r="C137" s="52">
        <f>IF(IFERROR(MATCH(133,'List A'!$Q$5:$Q$204,0)+4,"")="","",INDEX('List A'!$C$5:$C$204,IFERROR(MATCH(133,'List A'!$Q$5:$Q$204,0)+4,"")-4))</f>
        <v/>
      </c>
      <c r="D137" s="53">
        <f>IF(IFERROR(MATCH(133,'List A'!$Q$5:$Q$204,0)+4,"")="","",INDEX('List A'!$D$5:$D$204,IFERROR(MATCH(133,'List A'!$Q$5:$Q$204,0)+4,"")-4))</f>
        <v/>
      </c>
      <c r="E137" s="87">
        <f>IF(OR(IFERROR(MATCH(133,'List A'!$Q$5:$Q$204,0)+4,"")="",IF(IFERROR(MATCH(133,'List A'!$Q$5:$Q$204,0)+4,"")="","",INDEX('List A'!$K$5:$K$204,IFERROR(MATCH(133,'List A'!$Q$5:$Q$204,0)+4,"")-4))=""),"",INDEX('List B'!$A$5:$A$204,IF(IFERROR(MATCH(133,'List A'!$Q$5:$Q$204,0)+4,"")="","",INDEX('List A'!$K$5:$K$204,IFERROR(MATCH(133,'List A'!$Q$5:$Q$204,0)+4,"")-4))-4))</f>
        <v/>
      </c>
      <c r="F137" s="53">
        <f>IF(OR(IFERROR(MATCH(133,'List A'!$Q$5:$Q$204,0)+4,"")="",IF(IFERROR(MATCH(133,'List A'!$Q$5:$Q$204,0)+4,"")="","",INDEX('List A'!$K$5:$K$204,IFERROR(MATCH(133,'List A'!$Q$5:$Q$204,0)+4,"")-4))=""),"",INDEX('List B'!$B$5:$B$204,IF(IFERROR(MATCH(133,'List A'!$Q$5:$Q$204,0)+4,"")="","",INDEX('List A'!$K$5:$K$204,IFERROR(MATCH(133,'List A'!$Q$5:$Q$204,0)+4,"")-4))-4))</f>
        <v/>
      </c>
      <c r="G137" s="52">
        <f>IF(OR(IFERROR(MATCH(133,'List A'!$Q$5:$Q$204,0)+4,"")="",IF(IFERROR(MATCH(133,'List A'!$Q$5:$Q$204,0)+4,"")="","",INDEX('List A'!$K$5:$K$204,IFERROR(MATCH(133,'List A'!$Q$5:$Q$204,0)+4,"")-4))=""),"",INDEX('List B'!$C$5:$C$204,IF(IFERROR(MATCH(133,'List A'!$Q$5:$Q$204,0)+4,"")="","",INDEX('List A'!$K$5:$K$204,IFERROR(MATCH(133,'List A'!$Q$5:$Q$204,0)+4,"")-4))-4))</f>
        <v/>
      </c>
      <c r="H137" s="53">
        <f>IF(OR(IFERROR(MATCH(133,'List A'!$Q$5:$Q$204,0)+4,"")="",IF(IFERROR(MATCH(133,'List A'!$Q$5:$Q$204,0)+4,"")="","",INDEX('List A'!$K$5:$K$204,IFERROR(MATCH(133,'List A'!$Q$5:$Q$204,0)+4,"")-4))=""),"",INDEX('List B'!$D$5:$D$204,IF(IFERROR(MATCH(133,'List A'!$Q$5:$Q$204,0)+4,"")="","",INDEX('List A'!$K$5:$K$204,IFERROR(MATCH(133,'List A'!$Q$5:$Q$204,0)+4,"")-4))-4))</f>
        <v/>
      </c>
      <c r="I137" s="52">
        <f>IF(IFERROR(MATCH(133,'List A'!$Q$5:$Q$204,0)+4,"")="","",INDEX('List A'!$N$5:$N$204,IFERROR(MATCH(133,'List A'!$Q$5:$Q$204,0)+4,"")-4))</f>
        <v/>
      </c>
      <c r="J137" s="53">
        <f>IF(IFERROR(MATCH(133,'List A'!$Q$5:$Q$204,0)+4,"")="","",INDEX('List A'!$O$5:$O$204,IFERROR(MATCH(133,'List A'!$Q$5:$Q$204,0)+4,"")-4))</f>
        <v/>
      </c>
    </row>
    <row r="138" ht="17" customHeight="1">
      <c r="A138" s="87">
        <f>IF(IFERROR(MATCH(134,'List A'!$Q$5:$Q$204,0)+4,"")="","",INDEX('List A'!$A$5:$A$204,IFERROR(MATCH(134,'List A'!$Q$5:$Q$204,0)+4,"")-4))</f>
        <v/>
      </c>
      <c r="B138" s="53">
        <f>IF(IFERROR(MATCH(134,'List A'!$Q$5:$Q$204,0)+4,"")="","",INDEX('List A'!$B$5:$B$204,IFERROR(MATCH(134,'List A'!$Q$5:$Q$204,0)+4,"")-4))</f>
        <v/>
      </c>
      <c r="C138" s="52">
        <f>IF(IFERROR(MATCH(134,'List A'!$Q$5:$Q$204,0)+4,"")="","",INDEX('List A'!$C$5:$C$204,IFERROR(MATCH(134,'List A'!$Q$5:$Q$204,0)+4,"")-4))</f>
        <v/>
      </c>
      <c r="D138" s="53">
        <f>IF(IFERROR(MATCH(134,'List A'!$Q$5:$Q$204,0)+4,"")="","",INDEX('List A'!$D$5:$D$204,IFERROR(MATCH(134,'List A'!$Q$5:$Q$204,0)+4,"")-4))</f>
        <v/>
      </c>
      <c r="E138" s="87">
        <f>IF(OR(IFERROR(MATCH(134,'List A'!$Q$5:$Q$204,0)+4,"")="",IF(IFERROR(MATCH(134,'List A'!$Q$5:$Q$204,0)+4,"")="","",INDEX('List A'!$K$5:$K$204,IFERROR(MATCH(134,'List A'!$Q$5:$Q$204,0)+4,"")-4))=""),"",INDEX('List B'!$A$5:$A$204,IF(IFERROR(MATCH(134,'List A'!$Q$5:$Q$204,0)+4,"")="","",INDEX('List A'!$K$5:$K$204,IFERROR(MATCH(134,'List A'!$Q$5:$Q$204,0)+4,"")-4))-4))</f>
        <v/>
      </c>
      <c r="F138" s="53">
        <f>IF(OR(IFERROR(MATCH(134,'List A'!$Q$5:$Q$204,0)+4,"")="",IF(IFERROR(MATCH(134,'List A'!$Q$5:$Q$204,0)+4,"")="","",INDEX('List A'!$K$5:$K$204,IFERROR(MATCH(134,'List A'!$Q$5:$Q$204,0)+4,"")-4))=""),"",INDEX('List B'!$B$5:$B$204,IF(IFERROR(MATCH(134,'List A'!$Q$5:$Q$204,0)+4,"")="","",INDEX('List A'!$K$5:$K$204,IFERROR(MATCH(134,'List A'!$Q$5:$Q$204,0)+4,"")-4))-4))</f>
        <v/>
      </c>
      <c r="G138" s="52">
        <f>IF(OR(IFERROR(MATCH(134,'List A'!$Q$5:$Q$204,0)+4,"")="",IF(IFERROR(MATCH(134,'List A'!$Q$5:$Q$204,0)+4,"")="","",INDEX('List A'!$K$5:$K$204,IFERROR(MATCH(134,'List A'!$Q$5:$Q$204,0)+4,"")-4))=""),"",INDEX('List B'!$C$5:$C$204,IF(IFERROR(MATCH(134,'List A'!$Q$5:$Q$204,0)+4,"")="","",INDEX('List A'!$K$5:$K$204,IFERROR(MATCH(134,'List A'!$Q$5:$Q$204,0)+4,"")-4))-4))</f>
        <v/>
      </c>
      <c r="H138" s="53">
        <f>IF(OR(IFERROR(MATCH(134,'List A'!$Q$5:$Q$204,0)+4,"")="",IF(IFERROR(MATCH(134,'List A'!$Q$5:$Q$204,0)+4,"")="","",INDEX('List A'!$K$5:$K$204,IFERROR(MATCH(134,'List A'!$Q$5:$Q$204,0)+4,"")-4))=""),"",INDEX('List B'!$D$5:$D$204,IF(IFERROR(MATCH(134,'List A'!$Q$5:$Q$204,0)+4,"")="","",INDEX('List A'!$K$5:$K$204,IFERROR(MATCH(134,'List A'!$Q$5:$Q$204,0)+4,"")-4))-4))</f>
        <v/>
      </c>
      <c r="I138" s="52">
        <f>IF(IFERROR(MATCH(134,'List A'!$Q$5:$Q$204,0)+4,"")="","",INDEX('List A'!$N$5:$N$204,IFERROR(MATCH(134,'List A'!$Q$5:$Q$204,0)+4,"")-4))</f>
        <v/>
      </c>
      <c r="J138" s="53">
        <f>IF(IFERROR(MATCH(134,'List A'!$Q$5:$Q$204,0)+4,"")="","",INDEX('List A'!$O$5:$O$204,IFERROR(MATCH(134,'List A'!$Q$5:$Q$204,0)+4,"")-4))</f>
        <v/>
      </c>
    </row>
    <row r="139" ht="17" customHeight="1">
      <c r="A139" s="87">
        <f>IF(IFERROR(MATCH(135,'List A'!$Q$5:$Q$204,0)+4,"")="","",INDEX('List A'!$A$5:$A$204,IFERROR(MATCH(135,'List A'!$Q$5:$Q$204,0)+4,"")-4))</f>
        <v/>
      </c>
      <c r="B139" s="53">
        <f>IF(IFERROR(MATCH(135,'List A'!$Q$5:$Q$204,0)+4,"")="","",INDEX('List A'!$B$5:$B$204,IFERROR(MATCH(135,'List A'!$Q$5:$Q$204,0)+4,"")-4))</f>
        <v/>
      </c>
      <c r="C139" s="52">
        <f>IF(IFERROR(MATCH(135,'List A'!$Q$5:$Q$204,0)+4,"")="","",INDEX('List A'!$C$5:$C$204,IFERROR(MATCH(135,'List A'!$Q$5:$Q$204,0)+4,"")-4))</f>
        <v/>
      </c>
      <c r="D139" s="53">
        <f>IF(IFERROR(MATCH(135,'List A'!$Q$5:$Q$204,0)+4,"")="","",INDEX('List A'!$D$5:$D$204,IFERROR(MATCH(135,'List A'!$Q$5:$Q$204,0)+4,"")-4))</f>
        <v/>
      </c>
      <c r="E139" s="87">
        <f>IF(OR(IFERROR(MATCH(135,'List A'!$Q$5:$Q$204,0)+4,"")="",IF(IFERROR(MATCH(135,'List A'!$Q$5:$Q$204,0)+4,"")="","",INDEX('List A'!$K$5:$K$204,IFERROR(MATCH(135,'List A'!$Q$5:$Q$204,0)+4,"")-4))=""),"",INDEX('List B'!$A$5:$A$204,IF(IFERROR(MATCH(135,'List A'!$Q$5:$Q$204,0)+4,"")="","",INDEX('List A'!$K$5:$K$204,IFERROR(MATCH(135,'List A'!$Q$5:$Q$204,0)+4,"")-4))-4))</f>
        <v/>
      </c>
      <c r="F139" s="53">
        <f>IF(OR(IFERROR(MATCH(135,'List A'!$Q$5:$Q$204,0)+4,"")="",IF(IFERROR(MATCH(135,'List A'!$Q$5:$Q$204,0)+4,"")="","",INDEX('List A'!$K$5:$K$204,IFERROR(MATCH(135,'List A'!$Q$5:$Q$204,0)+4,"")-4))=""),"",INDEX('List B'!$B$5:$B$204,IF(IFERROR(MATCH(135,'List A'!$Q$5:$Q$204,0)+4,"")="","",INDEX('List A'!$K$5:$K$204,IFERROR(MATCH(135,'List A'!$Q$5:$Q$204,0)+4,"")-4))-4))</f>
        <v/>
      </c>
      <c r="G139" s="52">
        <f>IF(OR(IFERROR(MATCH(135,'List A'!$Q$5:$Q$204,0)+4,"")="",IF(IFERROR(MATCH(135,'List A'!$Q$5:$Q$204,0)+4,"")="","",INDEX('List A'!$K$5:$K$204,IFERROR(MATCH(135,'List A'!$Q$5:$Q$204,0)+4,"")-4))=""),"",INDEX('List B'!$C$5:$C$204,IF(IFERROR(MATCH(135,'List A'!$Q$5:$Q$204,0)+4,"")="","",INDEX('List A'!$K$5:$K$204,IFERROR(MATCH(135,'List A'!$Q$5:$Q$204,0)+4,"")-4))-4))</f>
        <v/>
      </c>
      <c r="H139" s="53">
        <f>IF(OR(IFERROR(MATCH(135,'List A'!$Q$5:$Q$204,0)+4,"")="",IF(IFERROR(MATCH(135,'List A'!$Q$5:$Q$204,0)+4,"")="","",INDEX('List A'!$K$5:$K$204,IFERROR(MATCH(135,'List A'!$Q$5:$Q$204,0)+4,"")-4))=""),"",INDEX('List B'!$D$5:$D$204,IF(IFERROR(MATCH(135,'List A'!$Q$5:$Q$204,0)+4,"")="","",INDEX('List A'!$K$5:$K$204,IFERROR(MATCH(135,'List A'!$Q$5:$Q$204,0)+4,"")-4))-4))</f>
        <v/>
      </c>
      <c r="I139" s="52">
        <f>IF(IFERROR(MATCH(135,'List A'!$Q$5:$Q$204,0)+4,"")="","",INDEX('List A'!$N$5:$N$204,IFERROR(MATCH(135,'List A'!$Q$5:$Q$204,0)+4,"")-4))</f>
        <v/>
      </c>
      <c r="J139" s="53">
        <f>IF(IFERROR(MATCH(135,'List A'!$Q$5:$Q$204,0)+4,"")="","",INDEX('List A'!$O$5:$O$204,IFERROR(MATCH(135,'List A'!$Q$5:$Q$204,0)+4,"")-4))</f>
        <v/>
      </c>
    </row>
    <row r="140" ht="17" customHeight="1">
      <c r="A140" s="87">
        <f>IF(IFERROR(MATCH(136,'List A'!$Q$5:$Q$204,0)+4,"")="","",INDEX('List A'!$A$5:$A$204,IFERROR(MATCH(136,'List A'!$Q$5:$Q$204,0)+4,"")-4))</f>
        <v/>
      </c>
      <c r="B140" s="53">
        <f>IF(IFERROR(MATCH(136,'List A'!$Q$5:$Q$204,0)+4,"")="","",INDEX('List A'!$B$5:$B$204,IFERROR(MATCH(136,'List A'!$Q$5:$Q$204,0)+4,"")-4))</f>
        <v/>
      </c>
      <c r="C140" s="52">
        <f>IF(IFERROR(MATCH(136,'List A'!$Q$5:$Q$204,0)+4,"")="","",INDEX('List A'!$C$5:$C$204,IFERROR(MATCH(136,'List A'!$Q$5:$Q$204,0)+4,"")-4))</f>
        <v/>
      </c>
      <c r="D140" s="53">
        <f>IF(IFERROR(MATCH(136,'List A'!$Q$5:$Q$204,0)+4,"")="","",INDEX('List A'!$D$5:$D$204,IFERROR(MATCH(136,'List A'!$Q$5:$Q$204,0)+4,"")-4))</f>
        <v/>
      </c>
      <c r="E140" s="87">
        <f>IF(OR(IFERROR(MATCH(136,'List A'!$Q$5:$Q$204,0)+4,"")="",IF(IFERROR(MATCH(136,'List A'!$Q$5:$Q$204,0)+4,"")="","",INDEX('List A'!$K$5:$K$204,IFERROR(MATCH(136,'List A'!$Q$5:$Q$204,0)+4,"")-4))=""),"",INDEX('List B'!$A$5:$A$204,IF(IFERROR(MATCH(136,'List A'!$Q$5:$Q$204,0)+4,"")="","",INDEX('List A'!$K$5:$K$204,IFERROR(MATCH(136,'List A'!$Q$5:$Q$204,0)+4,"")-4))-4))</f>
        <v/>
      </c>
      <c r="F140" s="53">
        <f>IF(OR(IFERROR(MATCH(136,'List A'!$Q$5:$Q$204,0)+4,"")="",IF(IFERROR(MATCH(136,'List A'!$Q$5:$Q$204,0)+4,"")="","",INDEX('List A'!$K$5:$K$204,IFERROR(MATCH(136,'List A'!$Q$5:$Q$204,0)+4,"")-4))=""),"",INDEX('List B'!$B$5:$B$204,IF(IFERROR(MATCH(136,'List A'!$Q$5:$Q$204,0)+4,"")="","",INDEX('List A'!$K$5:$K$204,IFERROR(MATCH(136,'List A'!$Q$5:$Q$204,0)+4,"")-4))-4))</f>
        <v/>
      </c>
      <c r="G140" s="52">
        <f>IF(OR(IFERROR(MATCH(136,'List A'!$Q$5:$Q$204,0)+4,"")="",IF(IFERROR(MATCH(136,'List A'!$Q$5:$Q$204,0)+4,"")="","",INDEX('List A'!$K$5:$K$204,IFERROR(MATCH(136,'List A'!$Q$5:$Q$204,0)+4,"")-4))=""),"",INDEX('List B'!$C$5:$C$204,IF(IFERROR(MATCH(136,'List A'!$Q$5:$Q$204,0)+4,"")="","",INDEX('List A'!$K$5:$K$204,IFERROR(MATCH(136,'List A'!$Q$5:$Q$204,0)+4,"")-4))-4))</f>
        <v/>
      </c>
      <c r="H140" s="53">
        <f>IF(OR(IFERROR(MATCH(136,'List A'!$Q$5:$Q$204,0)+4,"")="",IF(IFERROR(MATCH(136,'List A'!$Q$5:$Q$204,0)+4,"")="","",INDEX('List A'!$K$5:$K$204,IFERROR(MATCH(136,'List A'!$Q$5:$Q$204,0)+4,"")-4))=""),"",INDEX('List B'!$D$5:$D$204,IF(IFERROR(MATCH(136,'List A'!$Q$5:$Q$204,0)+4,"")="","",INDEX('List A'!$K$5:$K$204,IFERROR(MATCH(136,'List A'!$Q$5:$Q$204,0)+4,"")-4))-4))</f>
        <v/>
      </c>
      <c r="I140" s="52">
        <f>IF(IFERROR(MATCH(136,'List A'!$Q$5:$Q$204,0)+4,"")="","",INDEX('List A'!$N$5:$N$204,IFERROR(MATCH(136,'List A'!$Q$5:$Q$204,0)+4,"")-4))</f>
        <v/>
      </c>
      <c r="J140" s="53">
        <f>IF(IFERROR(MATCH(136,'List A'!$Q$5:$Q$204,0)+4,"")="","",INDEX('List A'!$O$5:$O$204,IFERROR(MATCH(136,'List A'!$Q$5:$Q$204,0)+4,"")-4))</f>
        <v/>
      </c>
    </row>
    <row r="141" ht="17" customHeight="1">
      <c r="A141" s="87">
        <f>IF(IFERROR(MATCH(137,'List A'!$Q$5:$Q$204,0)+4,"")="","",INDEX('List A'!$A$5:$A$204,IFERROR(MATCH(137,'List A'!$Q$5:$Q$204,0)+4,"")-4))</f>
        <v/>
      </c>
      <c r="B141" s="53">
        <f>IF(IFERROR(MATCH(137,'List A'!$Q$5:$Q$204,0)+4,"")="","",INDEX('List A'!$B$5:$B$204,IFERROR(MATCH(137,'List A'!$Q$5:$Q$204,0)+4,"")-4))</f>
        <v/>
      </c>
      <c r="C141" s="52">
        <f>IF(IFERROR(MATCH(137,'List A'!$Q$5:$Q$204,0)+4,"")="","",INDEX('List A'!$C$5:$C$204,IFERROR(MATCH(137,'List A'!$Q$5:$Q$204,0)+4,"")-4))</f>
        <v/>
      </c>
      <c r="D141" s="53">
        <f>IF(IFERROR(MATCH(137,'List A'!$Q$5:$Q$204,0)+4,"")="","",INDEX('List A'!$D$5:$D$204,IFERROR(MATCH(137,'List A'!$Q$5:$Q$204,0)+4,"")-4))</f>
        <v/>
      </c>
      <c r="E141" s="87">
        <f>IF(OR(IFERROR(MATCH(137,'List A'!$Q$5:$Q$204,0)+4,"")="",IF(IFERROR(MATCH(137,'List A'!$Q$5:$Q$204,0)+4,"")="","",INDEX('List A'!$K$5:$K$204,IFERROR(MATCH(137,'List A'!$Q$5:$Q$204,0)+4,"")-4))=""),"",INDEX('List B'!$A$5:$A$204,IF(IFERROR(MATCH(137,'List A'!$Q$5:$Q$204,0)+4,"")="","",INDEX('List A'!$K$5:$K$204,IFERROR(MATCH(137,'List A'!$Q$5:$Q$204,0)+4,"")-4))-4))</f>
        <v/>
      </c>
      <c r="F141" s="53">
        <f>IF(OR(IFERROR(MATCH(137,'List A'!$Q$5:$Q$204,0)+4,"")="",IF(IFERROR(MATCH(137,'List A'!$Q$5:$Q$204,0)+4,"")="","",INDEX('List A'!$K$5:$K$204,IFERROR(MATCH(137,'List A'!$Q$5:$Q$204,0)+4,"")-4))=""),"",INDEX('List B'!$B$5:$B$204,IF(IFERROR(MATCH(137,'List A'!$Q$5:$Q$204,0)+4,"")="","",INDEX('List A'!$K$5:$K$204,IFERROR(MATCH(137,'List A'!$Q$5:$Q$204,0)+4,"")-4))-4))</f>
        <v/>
      </c>
      <c r="G141" s="52">
        <f>IF(OR(IFERROR(MATCH(137,'List A'!$Q$5:$Q$204,0)+4,"")="",IF(IFERROR(MATCH(137,'List A'!$Q$5:$Q$204,0)+4,"")="","",INDEX('List A'!$K$5:$K$204,IFERROR(MATCH(137,'List A'!$Q$5:$Q$204,0)+4,"")-4))=""),"",INDEX('List B'!$C$5:$C$204,IF(IFERROR(MATCH(137,'List A'!$Q$5:$Q$204,0)+4,"")="","",INDEX('List A'!$K$5:$K$204,IFERROR(MATCH(137,'List A'!$Q$5:$Q$204,0)+4,"")-4))-4))</f>
        <v/>
      </c>
      <c r="H141" s="53">
        <f>IF(OR(IFERROR(MATCH(137,'List A'!$Q$5:$Q$204,0)+4,"")="",IF(IFERROR(MATCH(137,'List A'!$Q$5:$Q$204,0)+4,"")="","",INDEX('List A'!$K$5:$K$204,IFERROR(MATCH(137,'List A'!$Q$5:$Q$204,0)+4,"")-4))=""),"",INDEX('List B'!$D$5:$D$204,IF(IFERROR(MATCH(137,'List A'!$Q$5:$Q$204,0)+4,"")="","",INDEX('List A'!$K$5:$K$204,IFERROR(MATCH(137,'List A'!$Q$5:$Q$204,0)+4,"")-4))-4))</f>
        <v/>
      </c>
      <c r="I141" s="52">
        <f>IF(IFERROR(MATCH(137,'List A'!$Q$5:$Q$204,0)+4,"")="","",INDEX('List A'!$N$5:$N$204,IFERROR(MATCH(137,'List A'!$Q$5:$Q$204,0)+4,"")-4))</f>
        <v/>
      </c>
      <c r="J141" s="53">
        <f>IF(IFERROR(MATCH(137,'List A'!$Q$5:$Q$204,0)+4,"")="","",INDEX('List A'!$O$5:$O$204,IFERROR(MATCH(137,'List A'!$Q$5:$Q$204,0)+4,"")-4))</f>
        <v/>
      </c>
    </row>
    <row r="142" ht="17" customHeight="1">
      <c r="A142" s="87">
        <f>IF(IFERROR(MATCH(138,'List A'!$Q$5:$Q$204,0)+4,"")="","",INDEX('List A'!$A$5:$A$204,IFERROR(MATCH(138,'List A'!$Q$5:$Q$204,0)+4,"")-4))</f>
        <v/>
      </c>
      <c r="B142" s="53">
        <f>IF(IFERROR(MATCH(138,'List A'!$Q$5:$Q$204,0)+4,"")="","",INDEX('List A'!$B$5:$B$204,IFERROR(MATCH(138,'List A'!$Q$5:$Q$204,0)+4,"")-4))</f>
        <v/>
      </c>
      <c r="C142" s="52">
        <f>IF(IFERROR(MATCH(138,'List A'!$Q$5:$Q$204,0)+4,"")="","",INDEX('List A'!$C$5:$C$204,IFERROR(MATCH(138,'List A'!$Q$5:$Q$204,0)+4,"")-4))</f>
        <v/>
      </c>
      <c r="D142" s="53">
        <f>IF(IFERROR(MATCH(138,'List A'!$Q$5:$Q$204,0)+4,"")="","",INDEX('List A'!$D$5:$D$204,IFERROR(MATCH(138,'List A'!$Q$5:$Q$204,0)+4,"")-4))</f>
        <v/>
      </c>
      <c r="E142" s="87">
        <f>IF(OR(IFERROR(MATCH(138,'List A'!$Q$5:$Q$204,0)+4,"")="",IF(IFERROR(MATCH(138,'List A'!$Q$5:$Q$204,0)+4,"")="","",INDEX('List A'!$K$5:$K$204,IFERROR(MATCH(138,'List A'!$Q$5:$Q$204,0)+4,"")-4))=""),"",INDEX('List B'!$A$5:$A$204,IF(IFERROR(MATCH(138,'List A'!$Q$5:$Q$204,0)+4,"")="","",INDEX('List A'!$K$5:$K$204,IFERROR(MATCH(138,'List A'!$Q$5:$Q$204,0)+4,"")-4))-4))</f>
        <v/>
      </c>
      <c r="F142" s="53">
        <f>IF(OR(IFERROR(MATCH(138,'List A'!$Q$5:$Q$204,0)+4,"")="",IF(IFERROR(MATCH(138,'List A'!$Q$5:$Q$204,0)+4,"")="","",INDEX('List A'!$K$5:$K$204,IFERROR(MATCH(138,'List A'!$Q$5:$Q$204,0)+4,"")-4))=""),"",INDEX('List B'!$B$5:$B$204,IF(IFERROR(MATCH(138,'List A'!$Q$5:$Q$204,0)+4,"")="","",INDEX('List A'!$K$5:$K$204,IFERROR(MATCH(138,'List A'!$Q$5:$Q$204,0)+4,"")-4))-4))</f>
        <v/>
      </c>
      <c r="G142" s="52">
        <f>IF(OR(IFERROR(MATCH(138,'List A'!$Q$5:$Q$204,0)+4,"")="",IF(IFERROR(MATCH(138,'List A'!$Q$5:$Q$204,0)+4,"")="","",INDEX('List A'!$K$5:$K$204,IFERROR(MATCH(138,'List A'!$Q$5:$Q$204,0)+4,"")-4))=""),"",INDEX('List B'!$C$5:$C$204,IF(IFERROR(MATCH(138,'List A'!$Q$5:$Q$204,0)+4,"")="","",INDEX('List A'!$K$5:$K$204,IFERROR(MATCH(138,'List A'!$Q$5:$Q$204,0)+4,"")-4))-4))</f>
        <v/>
      </c>
      <c r="H142" s="53">
        <f>IF(OR(IFERROR(MATCH(138,'List A'!$Q$5:$Q$204,0)+4,"")="",IF(IFERROR(MATCH(138,'List A'!$Q$5:$Q$204,0)+4,"")="","",INDEX('List A'!$K$5:$K$204,IFERROR(MATCH(138,'List A'!$Q$5:$Q$204,0)+4,"")-4))=""),"",INDEX('List B'!$D$5:$D$204,IF(IFERROR(MATCH(138,'List A'!$Q$5:$Q$204,0)+4,"")="","",INDEX('List A'!$K$5:$K$204,IFERROR(MATCH(138,'List A'!$Q$5:$Q$204,0)+4,"")-4))-4))</f>
        <v/>
      </c>
      <c r="I142" s="52">
        <f>IF(IFERROR(MATCH(138,'List A'!$Q$5:$Q$204,0)+4,"")="","",INDEX('List A'!$N$5:$N$204,IFERROR(MATCH(138,'List A'!$Q$5:$Q$204,0)+4,"")-4))</f>
        <v/>
      </c>
      <c r="J142" s="53">
        <f>IF(IFERROR(MATCH(138,'List A'!$Q$5:$Q$204,0)+4,"")="","",INDEX('List A'!$O$5:$O$204,IFERROR(MATCH(138,'List A'!$Q$5:$Q$204,0)+4,"")-4))</f>
        <v/>
      </c>
    </row>
    <row r="143" ht="17" customHeight="1">
      <c r="A143" s="87">
        <f>IF(IFERROR(MATCH(139,'List A'!$Q$5:$Q$204,0)+4,"")="","",INDEX('List A'!$A$5:$A$204,IFERROR(MATCH(139,'List A'!$Q$5:$Q$204,0)+4,"")-4))</f>
        <v/>
      </c>
      <c r="B143" s="53">
        <f>IF(IFERROR(MATCH(139,'List A'!$Q$5:$Q$204,0)+4,"")="","",INDEX('List A'!$B$5:$B$204,IFERROR(MATCH(139,'List A'!$Q$5:$Q$204,0)+4,"")-4))</f>
        <v/>
      </c>
      <c r="C143" s="52">
        <f>IF(IFERROR(MATCH(139,'List A'!$Q$5:$Q$204,0)+4,"")="","",INDEX('List A'!$C$5:$C$204,IFERROR(MATCH(139,'List A'!$Q$5:$Q$204,0)+4,"")-4))</f>
        <v/>
      </c>
      <c r="D143" s="53">
        <f>IF(IFERROR(MATCH(139,'List A'!$Q$5:$Q$204,0)+4,"")="","",INDEX('List A'!$D$5:$D$204,IFERROR(MATCH(139,'List A'!$Q$5:$Q$204,0)+4,"")-4))</f>
        <v/>
      </c>
      <c r="E143" s="87">
        <f>IF(OR(IFERROR(MATCH(139,'List A'!$Q$5:$Q$204,0)+4,"")="",IF(IFERROR(MATCH(139,'List A'!$Q$5:$Q$204,0)+4,"")="","",INDEX('List A'!$K$5:$K$204,IFERROR(MATCH(139,'List A'!$Q$5:$Q$204,0)+4,"")-4))=""),"",INDEX('List B'!$A$5:$A$204,IF(IFERROR(MATCH(139,'List A'!$Q$5:$Q$204,0)+4,"")="","",INDEX('List A'!$K$5:$K$204,IFERROR(MATCH(139,'List A'!$Q$5:$Q$204,0)+4,"")-4))-4))</f>
        <v/>
      </c>
      <c r="F143" s="53">
        <f>IF(OR(IFERROR(MATCH(139,'List A'!$Q$5:$Q$204,0)+4,"")="",IF(IFERROR(MATCH(139,'List A'!$Q$5:$Q$204,0)+4,"")="","",INDEX('List A'!$K$5:$K$204,IFERROR(MATCH(139,'List A'!$Q$5:$Q$204,0)+4,"")-4))=""),"",INDEX('List B'!$B$5:$B$204,IF(IFERROR(MATCH(139,'List A'!$Q$5:$Q$204,0)+4,"")="","",INDEX('List A'!$K$5:$K$204,IFERROR(MATCH(139,'List A'!$Q$5:$Q$204,0)+4,"")-4))-4))</f>
        <v/>
      </c>
      <c r="G143" s="52">
        <f>IF(OR(IFERROR(MATCH(139,'List A'!$Q$5:$Q$204,0)+4,"")="",IF(IFERROR(MATCH(139,'List A'!$Q$5:$Q$204,0)+4,"")="","",INDEX('List A'!$K$5:$K$204,IFERROR(MATCH(139,'List A'!$Q$5:$Q$204,0)+4,"")-4))=""),"",INDEX('List B'!$C$5:$C$204,IF(IFERROR(MATCH(139,'List A'!$Q$5:$Q$204,0)+4,"")="","",INDEX('List A'!$K$5:$K$204,IFERROR(MATCH(139,'List A'!$Q$5:$Q$204,0)+4,"")-4))-4))</f>
        <v/>
      </c>
      <c r="H143" s="53">
        <f>IF(OR(IFERROR(MATCH(139,'List A'!$Q$5:$Q$204,0)+4,"")="",IF(IFERROR(MATCH(139,'List A'!$Q$5:$Q$204,0)+4,"")="","",INDEX('List A'!$K$5:$K$204,IFERROR(MATCH(139,'List A'!$Q$5:$Q$204,0)+4,"")-4))=""),"",INDEX('List B'!$D$5:$D$204,IF(IFERROR(MATCH(139,'List A'!$Q$5:$Q$204,0)+4,"")="","",INDEX('List A'!$K$5:$K$204,IFERROR(MATCH(139,'List A'!$Q$5:$Q$204,0)+4,"")-4))-4))</f>
        <v/>
      </c>
      <c r="I143" s="52">
        <f>IF(IFERROR(MATCH(139,'List A'!$Q$5:$Q$204,0)+4,"")="","",INDEX('List A'!$N$5:$N$204,IFERROR(MATCH(139,'List A'!$Q$5:$Q$204,0)+4,"")-4))</f>
        <v/>
      </c>
      <c r="J143" s="53">
        <f>IF(IFERROR(MATCH(139,'List A'!$Q$5:$Q$204,0)+4,"")="","",INDEX('List A'!$O$5:$O$204,IFERROR(MATCH(139,'List A'!$Q$5:$Q$204,0)+4,"")-4))</f>
        <v/>
      </c>
    </row>
    <row r="144" ht="17" customHeight="1">
      <c r="A144" s="87">
        <f>IF(IFERROR(MATCH(140,'List A'!$Q$5:$Q$204,0)+4,"")="","",INDEX('List A'!$A$5:$A$204,IFERROR(MATCH(140,'List A'!$Q$5:$Q$204,0)+4,"")-4))</f>
        <v/>
      </c>
      <c r="B144" s="53">
        <f>IF(IFERROR(MATCH(140,'List A'!$Q$5:$Q$204,0)+4,"")="","",INDEX('List A'!$B$5:$B$204,IFERROR(MATCH(140,'List A'!$Q$5:$Q$204,0)+4,"")-4))</f>
        <v/>
      </c>
      <c r="C144" s="52">
        <f>IF(IFERROR(MATCH(140,'List A'!$Q$5:$Q$204,0)+4,"")="","",INDEX('List A'!$C$5:$C$204,IFERROR(MATCH(140,'List A'!$Q$5:$Q$204,0)+4,"")-4))</f>
        <v/>
      </c>
      <c r="D144" s="53">
        <f>IF(IFERROR(MATCH(140,'List A'!$Q$5:$Q$204,0)+4,"")="","",INDEX('List A'!$D$5:$D$204,IFERROR(MATCH(140,'List A'!$Q$5:$Q$204,0)+4,"")-4))</f>
        <v/>
      </c>
      <c r="E144" s="87">
        <f>IF(OR(IFERROR(MATCH(140,'List A'!$Q$5:$Q$204,0)+4,"")="",IF(IFERROR(MATCH(140,'List A'!$Q$5:$Q$204,0)+4,"")="","",INDEX('List A'!$K$5:$K$204,IFERROR(MATCH(140,'List A'!$Q$5:$Q$204,0)+4,"")-4))=""),"",INDEX('List B'!$A$5:$A$204,IF(IFERROR(MATCH(140,'List A'!$Q$5:$Q$204,0)+4,"")="","",INDEX('List A'!$K$5:$K$204,IFERROR(MATCH(140,'List A'!$Q$5:$Q$204,0)+4,"")-4))-4))</f>
        <v/>
      </c>
      <c r="F144" s="53">
        <f>IF(OR(IFERROR(MATCH(140,'List A'!$Q$5:$Q$204,0)+4,"")="",IF(IFERROR(MATCH(140,'List A'!$Q$5:$Q$204,0)+4,"")="","",INDEX('List A'!$K$5:$K$204,IFERROR(MATCH(140,'List A'!$Q$5:$Q$204,0)+4,"")-4))=""),"",INDEX('List B'!$B$5:$B$204,IF(IFERROR(MATCH(140,'List A'!$Q$5:$Q$204,0)+4,"")="","",INDEX('List A'!$K$5:$K$204,IFERROR(MATCH(140,'List A'!$Q$5:$Q$204,0)+4,"")-4))-4))</f>
        <v/>
      </c>
      <c r="G144" s="52">
        <f>IF(OR(IFERROR(MATCH(140,'List A'!$Q$5:$Q$204,0)+4,"")="",IF(IFERROR(MATCH(140,'List A'!$Q$5:$Q$204,0)+4,"")="","",INDEX('List A'!$K$5:$K$204,IFERROR(MATCH(140,'List A'!$Q$5:$Q$204,0)+4,"")-4))=""),"",INDEX('List B'!$C$5:$C$204,IF(IFERROR(MATCH(140,'List A'!$Q$5:$Q$204,0)+4,"")="","",INDEX('List A'!$K$5:$K$204,IFERROR(MATCH(140,'List A'!$Q$5:$Q$204,0)+4,"")-4))-4))</f>
        <v/>
      </c>
      <c r="H144" s="53">
        <f>IF(OR(IFERROR(MATCH(140,'List A'!$Q$5:$Q$204,0)+4,"")="",IF(IFERROR(MATCH(140,'List A'!$Q$5:$Q$204,0)+4,"")="","",INDEX('List A'!$K$5:$K$204,IFERROR(MATCH(140,'List A'!$Q$5:$Q$204,0)+4,"")-4))=""),"",INDEX('List B'!$D$5:$D$204,IF(IFERROR(MATCH(140,'List A'!$Q$5:$Q$204,0)+4,"")="","",INDEX('List A'!$K$5:$K$204,IFERROR(MATCH(140,'List A'!$Q$5:$Q$204,0)+4,"")-4))-4))</f>
        <v/>
      </c>
      <c r="I144" s="52">
        <f>IF(IFERROR(MATCH(140,'List A'!$Q$5:$Q$204,0)+4,"")="","",INDEX('List A'!$N$5:$N$204,IFERROR(MATCH(140,'List A'!$Q$5:$Q$204,0)+4,"")-4))</f>
        <v/>
      </c>
      <c r="J144" s="53">
        <f>IF(IFERROR(MATCH(140,'List A'!$Q$5:$Q$204,0)+4,"")="","",INDEX('List A'!$O$5:$O$204,IFERROR(MATCH(140,'List A'!$Q$5:$Q$204,0)+4,"")-4))</f>
        <v/>
      </c>
    </row>
    <row r="145" ht="17" customHeight="1">
      <c r="A145" s="87">
        <f>IF(IFERROR(MATCH(141,'List A'!$Q$5:$Q$204,0)+4,"")="","",INDEX('List A'!$A$5:$A$204,IFERROR(MATCH(141,'List A'!$Q$5:$Q$204,0)+4,"")-4))</f>
        <v/>
      </c>
      <c r="B145" s="53">
        <f>IF(IFERROR(MATCH(141,'List A'!$Q$5:$Q$204,0)+4,"")="","",INDEX('List A'!$B$5:$B$204,IFERROR(MATCH(141,'List A'!$Q$5:$Q$204,0)+4,"")-4))</f>
        <v/>
      </c>
      <c r="C145" s="52">
        <f>IF(IFERROR(MATCH(141,'List A'!$Q$5:$Q$204,0)+4,"")="","",INDEX('List A'!$C$5:$C$204,IFERROR(MATCH(141,'List A'!$Q$5:$Q$204,0)+4,"")-4))</f>
        <v/>
      </c>
      <c r="D145" s="53">
        <f>IF(IFERROR(MATCH(141,'List A'!$Q$5:$Q$204,0)+4,"")="","",INDEX('List A'!$D$5:$D$204,IFERROR(MATCH(141,'List A'!$Q$5:$Q$204,0)+4,"")-4))</f>
        <v/>
      </c>
      <c r="E145" s="87">
        <f>IF(OR(IFERROR(MATCH(141,'List A'!$Q$5:$Q$204,0)+4,"")="",IF(IFERROR(MATCH(141,'List A'!$Q$5:$Q$204,0)+4,"")="","",INDEX('List A'!$K$5:$K$204,IFERROR(MATCH(141,'List A'!$Q$5:$Q$204,0)+4,"")-4))=""),"",INDEX('List B'!$A$5:$A$204,IF(IFERROR(MATCH(141,'List A'!$Q$5:$Q$204,0)+4,"")="","",INDEX('List A'!$K$5:$K$204,IFERROR(MATCH(141,'List A'!$Q$5:$Q$204,0)+4,"")-4))-4))</f>
        <v/>
      </c>
      <c r="F145" s="53">
        <f>IF(OR(IFERROR(MATCH(141,'List A'!$Q$5:$Q$204,0)+4,"")="",IF(IFERROR(MATCH(141,'List A'!$Q$5:$Q$204,0)+4,"")="","",INDEX('List A'!$K$5:$K$204,IFERROR(MATCH(141,'List A'!$Q$5:$Q$204,0)+4,"")-4))=""),"",INDEX('List B'!$B$5:$B$204,IF(IFERROR(MATCH(141,'List A'!$Q$5:$Q$204,0)+4,"")="","",INDEX('List A'!$K$5:$K$204,IFERROR(MATCH(141,'List A'!$Q$5:$Q$204,0)+4,"")-4))-4))</f>
        <v/>
      </c>
      <c r="G145" s="52">
        <f>IF(OR(IFERROR(MATCH(141,'List A'!$Q$5:$Q$204,0)+4,"")="",IF(IFERROR(MATCH(141,'List A'!$Q$5:$Q$204,0)+4,"")="","",INDEX('List A'!$K$5:$K$204,IFERROR(MATCH(141,'List A'!$Q$5:$Q$204,0)+4,"")-4))=""),"",INDEX('List B'!$C$5:$C$204,IF(IFERROR(MATCH(141,'List A'!$Q$5:$Q$204,0)+4,"")="","",INDEX('List A'!$K$5:$K$204,IFERROR(MATCH(141,'List A'!$Q$5:$Q$204,0)+4,"")-4))-4))</f>
        <v/>
      </c>
      <c r="H145" s="53">
        <f>IF(OR(IFERROR(MATCH(141,'List A'!$Q$5:$Q$204,0)+4,"")="",IF(IFERROR(MATCH(141,'List A'!$Q$5:$Q$204,0)+4,"")="","",INDEX('List A'!$K$5:$K$204,IFERROR(MATCH(141,'List A'!$Q$5:$Q$204,0)+4,"")-4))=""),"",INDEX('List B'!$D$5:$D$204,IF(IFERROR(MATCH(141,'List A'!$Q$5:$Q$204,0)+4,"")="","",INDEX('List A'!$K$5:$K$204,IFERROR(MATCH(141,'List A'!$Q$5:$Q$204,0)+4,"")-4))-4))</f>
        <v/>
      </c>
      <c r="I145" s="52">
        <f>IF(IFERROR(MATCH(141,'List A'!$Q$5:$Q$204,0)+4,"")="","",INDEX('List A'!$N$5:$N$204,IFERROR(MATCH(141,'List A'!$Q$5:$Q$204,0)+4,"")-4))</f>
        <v/>
      </c>
      <c r="J145" s="53">
        <f>IF(IFERROR(MATCH(141,'List A'!$Q$5:$Q$204,0)+4,"")="","",INDEX('List A'!$O$5:$O$204,IFERROR(MATCH(141,'List A'!$Q$5:$Q$204,0)+4,"")-4))</f>
        <v/>
      </c>
    </row>
    <row r="146" ht="17" customHeight="1">
      <c r="A146" s="87">
        <f>IF(IFERROR(MATCH(142,'List A'!$Q$5:$Q$204,0)+4,"")="","",INDEX('List A'!$A$5:$A$204,IFERROR(MATCH(142,'List A'!$Q$5:$Q$204,0)+4,"")-4))</f>
        <v/>
      </c>
      <c r="B146" s="53">
        <f>IF(IFERROR(MATCH(142,'List A'!$Q$5:$Q$204,0)+4,"")="","",INDEX('List A'!$B$5:$B$204,IFERROR(MATCH(142,'List A'!$Q$5:$Q$204,0)+4,"")-4))</f>
        <v/>
      </c>
      <c r="C146" s="52">
        <f>IF(IFERROR(MATCH(142,'List A'!$Q$5:$Q$204,0)+4,"")="","",INDEX('List A'!$C$5:$C$204,IFERROR(MATCH(142,'List A'!$Q$5:$Q$204,0)+4,"")-4))</f>
        <v/>
      </c>
      <c r="D146" s="53">
        <f>IF(IFERROR(MATCH(142,'List A'!$Q$5:$Q$204,0)+4,"")="","",INDEX('List A'!$D$5:$D$204,IFERROR(MATCH(142,'List A'!$Q$5:$Q$204,0)+4,"")-4))</f>
        <v/>
      </c>
      <c r="E146" s="87">
        <f>IF(OR(IFERROR(MATCH(142,'List A'!$Q$5:$Q$204,0)+4,"")="",IF(IFERROR(MATCH(142,'List A'!$Q$5:$Q$204,0)+4,"")="","",INDEX('List A'!$K$5:$K$204,IFERROR(MATCH(142,'List A'!$Q$5:$Q$204,0)+4,"")-4))=""),"",INDEX('List B'!$A$5:$A$204,IF(IFERROR(MATCH(142,'List A'!$Q$5:$Q$204,0)+4,"")="","",INDEX('List A'!$K$5:$K$204,IFERROR(MATCH(142,'List A'!$Q$5:$Q$204,0)+4,"")-4))-4))</f>
        <v/>
      </c>
      <c r="F146" s="53">
        <f>IF(OR(IFERROR(MATCH(142,'List A'!$Q$5:$Q$204,0)+4,"")="",IF(IFERROR(MATCH(142,'List A'!$Q$5:$Q$204,0)+4,"")="","",INDEX('List A'!$K$5:$K$204,IFERROR(MATCH(142,'List A'!$Q$5:$Q$204,0)+4,"")-4))=""),"",INDEX('List B'!$B$5:$B$204,IF(IFERROR(MATCH(142,'List A'!$Q$5:$Q$204,0)+4,"")="","",INDEX('List A'!$K$5:$K$204,IFERROR(MATCH(142,'List A'!$Q$5:$Q$204,0)+4,"")-4))-4))</f>
        <v/>
      </c>
      <c r="G146" s="52">
        <f>IF(OR(IFERROR(MATCH(142,'List A'!$Q$5:$Q$204,0)+4,"")="",IF(IFERROR(MATCH(142,'List A'!$Q$5:$Q$204,0)+4,"")="","",INDEX('List A'!$K$5:$K$204,IFERROR(MATCH(142,'List A'!$Q$5:$Q$204,0)+4,"")-4))=""),"",INDEX('List B'!$C$5:$C$204,IF(IFERROR(MATCH(142,'List A'!$Q$5:$Q$204,0)+4,"")="","",INDEX('List A'!$K$5:$K$204,IFERROR(MATCH(142,'List A'!$Q$5:$Q$204,0)+4,"")-4))-4))</f>
        <v/>
      </c>
      <c r="H146" s="53">
        <f>IF(OR(IFERROR(MATCH(142,'List A'!$Q$5:$Q$204,0)+4,"")="",IF(IFERROR(MATCH(142,'List A'!$Q$5:$Q$204,0)+4,"")="","",INDEX('List A'!$K$5:$K$204,IFERROR(MATCH(142,'List A'!$Q$5:$Q$204,0)+4,"")-4))=""),"",INDEX('List B'!$D$5:$D$204,IF(IFERROR(MATCH(142,'List A'!$Q$5:$Q$204,0)+4,"")="","",INDEX('List A'!$K$5:$K$204,IFERROR(MATCH(142,'List A'!$Q$5:$Q$204,0)+4,"")-4))-4))</f>
        <v/>
      </c>
      <c r="I146" s="52">
        <f>IF(IFERROR(MATCH(142,'List A'!$Q$5:$Q$204,0)+4,"")="","",INDEX('List A'!$N$5:$N$204,IFERROR(MATCH(142,'List A'!$Q$5:$Q$204,0)+4,"")-4))</f>
        <v/>
      </c>
      <c r="J146" s="53">
        <f>IF(IFERROR(MATCH(142,'List A'!$Q$5:$Q$204,0)+4,"")="","",INDEX('List A'!$O$5:$O$204,IFERROR(MATCH(142,'List A'!$Q$5:$Q$204,0)+4,"")-4))</f>
        <v/>
      </c>
    </row>
    <row r="147" ht="17" customHeight="1">
      <c r="A147" s="87">
        <f>IF(IFERROR(MATCH(143,'List A'!$Q$5:$Q$204,0)+4,"")="","",INDEX('List A'!$A$5:$A$204,IFERROR(MATCH(143,'List A'!$Q$5:$Q$204,0)+4,"")-4))</f>
        <v/>
      </c>
      <c r="B147" s="53">
        <f>IF(IFERROR(MATCH(143,'List A'!$Q$5:$Q$204,0)+4,"")="","",INDEX('List A'!$B$5:$B$204,IFERROR(MATCH(143,'List A'!$Q$5:$Q$204,0)+4,"")-4))</f>
        <v/>
      </c>
      <c r="C147" s="52">
        <f>IF(IFERROR(MATCH(143,'List A'!$Q$5:$Q$204,0)+4,"")="","",INDEX('List A'!$C$5:$C$204,IFERROR(MATCH(143,'List A'!$Q$5:$Q$204,0)+4,"")-4))</f>
        <v/>
      </c>
      <c r="D147" s="53">
        <f>IF(IFERROR(MATCH(143,'List A'!$Q$5:$Q$204,0)+4,"")="","",INDEX('List A'!$D$5:$D$204,IFERROR(MATCH(143,'List A'!$Q$5:$Q$204,0)+4,"")-4))</f>
        <v/>
      </c>
      <c r="E147" s="87">
        <f>IF(OR(IFERROR(MATCH(143,'List A'!$Q$5:$Q$204,0)+4,"")="",IF(IFERROR(MATCH(143,'List A'!$Q$5:$Q$204,0)+4,"")="","",INDEX('List A'!$K$5:$K$204,IFERROR(MATCH(143,'List A'!$Q$5:$Q$204,0)+4,"")-4))=""),"",INDEX('List B'!$A$5:$A$204,IF(IFERROR(MATCH(143,'List A'!$Q$5:$Q$204,0)+4,"")="","",INDEX('List A'!$K$5:$K$204,IFERROR(MATCH(143,'List A'!$Q$5:$Q$204,0)+4,"")-4))-4))</f>
        <v/>
      </c>
      <c r="F147" s="53">
        <f>IF(OR(IFERROR(MATCH(143,'List A'!$Q$5:$Q$204,0)+4,"")="",IF(IFERROR(MATCH(143,'List A'!$Q$5:$Q$204,0)+4,"")="","",INDEX('List A'!$K$5:$K$204,IFERROR(MATCH(143,'List A'!$Q$5:$Q$204,0)+4,"")-4))=""),"",INDEX('List B'!$B$5:$B$204,IF(IFERROR(MATCH(143,'List A'!$Q$5:$Q$204,0)+4,"")="","",INDEX('List A'!$K$5:$K$204,IFERROR(MATCH(143,'List A'!$Q$5:$Q$204,0)+4,"")-4))-4))</f>
        <v/>
      </c>
      <c r="G147" s="52">
        <f>IF(OR(IFERROR(MATCH(143,'List A'!$Q$5:$Q$204,0)+4,"")="",IF(IFERROR(MATCH(143,'List A'!$Q$5:$Q$204,0)+4,"")="","",INDEX('List A'!$K$5:$K$204,IFERROR(MATCH(143,'List A'!$Q$5:$Q$204,0)+4,"")-4))=""),"",INDEX('List B'!$C$5:$C$204,IF(IFERROR(MATCH(143,'List A'!$Q$5:$Q$204,0)+4,"")="","",INDEX('List A'!$K$5:$K$204,IFERROR(MATCH(143,'List A'!$Q$5:$Q$204,0)+4,"")-4))-4))</f>
        <v/>
      </c>
      <c r="H147" s="53">
        <f>IF(OR(IFERROR(MATCH(143,'List A'!$Q$5:$Q$204,0)+4,"")="",IF(IFERROR(MATCH(143,'List A'!$Q$5:$Q$204,0)+4,"")="","",INDEX('List A'!$K$5:$K$204,IFERROR(MATCH(143,'List A'!$Q$5:$Q$204,0)+4,"")-4))=""),"",INDEX('List B'!$D$5:$D$204,IF(IFERROR(MATCH(143,'List A'!$Q$5:$Q$204,0)+4,"")="","",INDEX('List A'!$K$5:$K$204,IFERROR(MATCH(143,'List A'!$Q$5:$Q$204,0)+4,"")-4))-4))</f>
        <v/>
      </c>
      <c r="I147" s="52">
        <f>IF(IFERROR(MATCH(143,'List A'!$Q$5:$Q$204,0)+4,"")="","",INDEX('List A'!$N$5:$N$204,IFERROR(MATCH(143,'List A'!$Q$5:$Q$204,0)+4,"")-4))</f>
        <v/>
      </c>
      <c r="J147" s="53">
        <f>IF(IFERROR(MATCH(143,'List A'!$Q$5:$Q$204,0)+4,"")="","",INDEX('List A'!$O$5:$O$204,IFERROR(MATCH(143,'List A'!$Q$5:$Q$204,0)+4,"")-4))</f>
        <v/>
      </c>
    </row>
    <row r="148" ht="17" customHeight="1">
      <c r="A148" s="87">
        <f>IF(IFERROR(MATCH(144,'List A'!$Q$5:$Q$204,0)+4,"")="","",INDEX('List A'!$A$5:$A$204,IFERROR(MATCH(144,'List A'!$Q$5:$Q$204,0)+4,"")-4))</f>
        <v/>
      </c>
      <c r="B148" s="53">
        <f>IF(IFERROR(MATCH(144,'List A'!$Q$5:$Q$204,0)+4,"")="","",INDEX('List A'!$B$5:$B$204,IFERROR(MATCH(144,'List A'!$Q$5:$Q$204,0)+4,"")-4))</f>
        <v/>
      </c>
      <c r="C148" s="52">
        <f>IF(IFERROR(MATCH(144,'List A'!$Q$5:$Q$204,0)+4,"")="","",INDEX('List A'!$C$5:$C$204,IFERROR(MATCH(144,'List A'!$Q$5:$Q$204,0)+4,"")-4))</f>
        <v/>
      </c>
      <c r="D148" s="53">
        <f>IF(IFERROR(MATCH(144,'List A'!$Q$5:$Q$204,0)+4,"")="","",INDEX('List A'!$D$5:$D$204,IFERROR(MATCH(144,'List A'!$Q$5:$Q$204,0)+4,"")-4))</f>
        <v/>
      </c>
      <c r="E148" s="87">
        <f>IF(OR(IFERROR(MATCH(144,'List A'!$Q$5:$Q$204,0)+4,"")="",IF(IFERROR(MATCH(144,'List A'!$Q$5:$Q$204,0)+4,"")="","",INDEX('List A'!$K$5:$K$204,IFERROR(MATCH(144,'List A'!$Q$5:$Q$204,0)+4,"")-4))=""),"",INDEX('List B'!$A$5:$A$204,IF(IFERROR(MATCH(144,'List A'!$Q$5:$Q$204,0)+4,"")="","",INDEX('List A'!$K$5:$K$204,IFERROR(MATCH(144,'List A'!$Q$5:$Q$204,0)+4,"")-4))-4))</f>
        <v/>
      </c>
      <c r="F148" s="53">
        <f>IF(OR(IFERROR(MATCH(144,'List A'!$Q$5:$Q$204,0)+4,"")="",IF(IFERROR(MATCH(144,'List A'!$Q$5:$Q$204,0)+4,"")="","",INDEX('List A'!$K$5:$K$204,IFERROR(MATCH(144,'List A'!$Q$5:$Q$204,0)+4,"")-4))=""),"",INDEX('List B'!$B$5:$B$204,IF(IFERROR(MATCH(144,'List A'!$Q$5:$Q$204,0)+4,"")="","",INDEX('List A'!$K$5:$K$204,IFERROR(MATCH(144,'List A'!$Q$5:$Q$204,0)+4,"")-4))-4))</f>
        <v/>
      </c>
      <c r="G148" s="52">
        <f>IF(OR(IFERROR(MATCH(144,'List A'!$Q$5:$Q$204,0)+4,"")="",IF(IFERROR(MATCH(144,'List A'!$Q$5:$Q$204,0)+4,"")="","",INDEX('List A'!$K$5:$K$204,IFERROR(MATCH(144,'List A'!$Q$5:$Q$204,0)+4,"")-4))=""),"",INDEX('List B'!$C$5:$C$204,IF(IFERROR(MATCH(144,'List A'!$Q$5:$Q$204,0)+4,"")="","",INDEX('List A'!$K$5:$K$204,IFERROR(MATCH(144,'List A'!$Q$5:$Q$204,0)+4,"")-4))-4))</f>
        <v/>
      </c>
      <c r="H148" s="53">
        <f>IF(OR(IFERROR(MATCH(144,'List A'!$Q$5:$Q$204,0)+4,"")="",IF(IFERROR(MATCH(144,'List A'!$Q$5:$Q$204,0)+4,"")="","",INDEX('List A'!$K$5:$K$204,IFERROR(MATCH(144,'List A'!$Q$5:$Q$204,0)+4,"")-4))=""),"",INDEX('List B'!$D$5:$D$204,IF(IFERROR(MATCH(144,'List A'!$Q$5:$Q$204,0)+4,"")="","",INDEX('List A'!$K$5:$K$204,IFERROR(MATCH(144,'List A'!$Q$5:$Q$204,0)+4,"")-4))-4))</f>
        <v/>
      </c>
      <c r="I148" s="52">
        <f>IF(IFERROR(MATCH(144,'List A'!$Q$5:$Q$204,0)+4,"")="","",INDEX('List A'!$N$5:$N$204,IFERROR(MATCH(144,'List A'!$Q$5:$Q$204,0)+4,"")-4))</f>
        <v/>
      </c>
      <c r="J148" s="53">
        <f>IF(IFERROR(MATCH(144,'List A'!$Q$5:$Q$204,0)+4,"")="","",INDEX('List A'!$O$5:$O$204,IFERROR(MATCH(144,'List A'!$Q$5:$Q$204,0)+4,"")-4))</f>
        <v/>
      </c>
    </row>
    <row r="149" ht="17" customHeight="1">
      <c r="A149" s="87">
        <f>IF(IFERROR(MATCH(145,'List A'!$Q$5:$Q$204,0)+4,"")="","",INDEX('List A'!$A$5:$A$204,IFERROR(MATCH(145,'List A'!$Q$5:$Q$204,0)+4,"")-4))</f>
        <v/>
      </c>
      <c r="B149" s="53">
        <f>IF(IFERROR(MATCH(145,'List A'!$Q$5:$Q$204,0)+4,"")="","",INDEX('List A'!$B$5:$B$204,IFERROR(MATCH(145,'List A'!$Q$5:$Q$204,0)+4,"")-4))</f>
        <v/>
      </c>
      <c r="C149" s="52">
        <f>IF(IFERROR(MATCH(145,'List A'!$Q$5:$Q$204,0)+4,"")="","",INDEX('List A'!$C$5:$C$204,IFERROR(MATCH(145,'List A'!$Q$5:$Q$204,0)+4,"")-4))</f>
        <v/>
      </c>
      <c r="D149" s="53">
        <f>IF(IFERROR(MATCH(145,'List A'!$Q$5:$Q$204,0)+4,"")="","",INDEX('List A'!$D$5:$D$204,IFERROR(MATCH(145,'List A'!$Q$5:$Q$204,0)+4,"")-4))</f>
        <v/>
      </c>
      <c r="E149" s="87">
        <f>IF(OR(IFERROR(MATCH(145,'List A'!$Q$5:$Q$204,0)+4,"")="",IF(IFERROR(MATCH(145,'List A'!$Q$5:$Q$204,0)+4,"")="","",INDEX('List A'!$K$5:$K$204,IFERROR(MATCH(145,'List A'!$Q$5:$Q$204,0)+4,"")-4))=""),"",INDEX('List B'!$A$5:$A$204,IF(IFERROR(MATCH(145,'List A'!$Q$5:$Q$204,0)+4,"")="","",INDEX('List A'!$K$5:$K$204,IFERROR(MATCH(145,'List A'!$Q$5:$Q$204,0)+4,"")-4))-4))</f>
        <v/>
      </c>
      <c r="F149" s="53">
        <f>IF(OR(IFERROR(MATCH(145,'List A'!$Q$5:$Q$204,0)+4,"")="",IF(IFERROR(MATCH(145,'List A'!$Q$5:$Q$204,0)+4,"")="","",INDEX('List A'!$K$5:$K$204,IFERROR(MATCH(145,'List A'!$Q$5:$Q$204,0)+4,"")-4))=""),"",INDEX('List B'!$B$5:$B$204,IF(IFERROR(MATCH(145,'List A'!$Q$5:$Q$204,0)+4,"")="","",INDEX('List A'!$K$5:$K$204,IFERROR(MATCH(145,'List A'!$Q$5:$Q$204,0)+4,"")-4))-4))</f>
        <v/>
      </c>
      <c r="G149" s="52">
        <f>IF(OR(IFERROR(MATCH(145,'List A'!$Q$5:$Q$204,0)+4,"")="",IF(IFERROR(MATCH(145,'List A'!$Q$5:$Q$204,0)+4,"")="","",INDEX('List A'!$K$5:$K$204,IFERROR(MATCH(145,'List A'!$Q$5:$Q$204,0)+4,"")-4))=""),"",INDEX('List B'!$C$5:$C$204,IF(IFERROR(MATCH(145,'List A'!$Q$5:$Q$204,0)+4,"")="","",INDEX('List A'!$K$5:$K$204,IFERROR(MATCH(145,'List A'!$Q$5:$Q$204,0)+4,"")-4))-4))</f>
        <v/>
      </c>
      <c r="H149" s="53">
        <f>IF(OR(IFERROR(MATCH(145,'List A'!$Q$5:$Q$204,0)+4,"")="",IF(IFERROR(MATCH(145,'List A'!$Q$5:$Q$204,0)+4,"")="","",INDEX('List A'!$K$5:$K$204,IFERROR(MATCH(145,'List A'!$Q$5:$Q$204,0)+4,"")-4))=""),"",INDEX('List B'!$D$5:$D$204,IF(IFERROR(MATCH(145,'List A'!$Q$5:$Q$204,0)+4,"")="","",INDEX('List A'!$K$5:$K$204,IFERROR(MATCH(145,'List A'!$Q$5:$Q$204,0)+4,"")-4))-4))</f>
        <v/>
      </c>
      <c r="I149" s="52">
        <f>IF(IFERROR(MATCH(145,'List A'!$Q$5:$Q$204,0)+4,"")="","",INDEX('List A'!$N$5:$N$204,IFERROR(MATCH(145,'List A'!$Q$5:$Q$204,0)+4,"")-4))</f>
        <v/>
      </c>
      <c r="J149" s="53">
        <f>IF(IFERROR(MATCH(145,'List A'!$Q$5:$Q$204,0)+4,"")="","",INDEX('List A'!$O$5:$O$204,IFERROR(MATCH(145,'List A'!$Q$5:$Q$204,0)+4,"")-4))</f>
        <v/>
      </c>
    </row>
    <row r="150" ht="17" customHeight="1">
      <c r="A150" s="87">
        <f>IF(IFERROR(MATCH(146,'List A'!$Q$5:$Q$204,0)+4,"")="","",INDEX('List A'!$A$5:$A$204,IFERROR(MATCH(146,'List A'!$Q$5:$Q$204,0)+4,"")-4))</f>
        <v/>
      </c>
      <c r="B150" s="53">
        <f>IF(IFERROR(MATCH(146,'List A'!$Q$5:$Q$204,0)+4,"")="","",INDEX('List A'!$B$5:$B$204,IFERROR(MATCH(146,'List A'!$Q$5:$Q$204,0)+4,"")-4))</f>
        <v/>
      </c>
      <c r="C150" s="52">
        <f>IF(IFERROR(MATCH(146,'List A'!$Q$5:$Q$204,0)+4,"")="","",INDEX('List A'!$C$5:$C$204,IFERROR(MATCH(146,'List A'!$Q$5:$Q$204,0)+4,"")-4))</f>
        <v/>
      </c>
      <c r="D150" s="53">
        <f>IF(IFERROR(MATCH(146,'List A'!$Q$5:$Q$204,0)+4,"")="","",INDEX('List A'!$D$5:$D$204,IFERROR(MATCH(146,'List A'!$Q$5:$Q$204,0)+4,"")-4))</f>
        <v/>
      </c>
      <c r="E150" s="87">
        <f>IF(OR(IFERROR(MATCH(146,'List A'!$Q$5:$Q$204,0)+4,"")="",IF(IFERROR(MATCH(146,'List A'!$Q$5:$Q$204,0)+4,"")="","",INDEX('List A'!$K$5:$K$204,IFERROR(MATCH(146,'List A'!$Q$5:$Q$204,0)+4,"")-4))=""),"",INDEX('List B'!$A$5:$A$204,IF(IFERROR(MATCH(146,'List A'!$Q$5:$Q$204,0)+4,"")="","",INDEX('List A'!$K$5:$K$204,IFERROR(MATCH(146,'List A'!$Q$5:$Q$204,0)+4,"")-4))-4))</f>
        <v/>
      </c>
      <c r="F150" s="53">
        <f>IF(OR(IFERROR(MATCH(146,'List A'!$Q$5:$Q$204,0)+4,"")="",IF(IFERROR(MATCH(146,'List A'!$Q$5:$Q$204,0)+4,"")="","",INDEX('List A'!$K$5:$K$204,IFERROR(MATCH(146,'List A'!$Q$5:$Q$204,0)+4,"")-4))=""),"",INDEX('List B'!$B$5:$B$204,IF(IFERROR(MATCH(146,'List A'!$Q$5:$Q$204,0)+4,"")="","",INDEX('List A'!$K$5:$K$204,IFERROR(MATCH(146,'List A'!$Q$5:$Q$204,0)+4,"")-4))-4))</f>
        <v/>
      </c>
      <c r="G150" s="52">
        <f>IF(OR(IFERROR(MATCH(146,'List A'!$Q$5:$Q$204,0)+4,"")="",IF(IFERROR(MATCH(146,'List A'!$Q$5:$Q$204,0)+4,"")="","",INDEX('List A'!$K$5:$K$204,IFERROR(MATCH(146,'List A'!$Q$5:$Q$204,0)+4,"")-4))=""),"",INDEX('List B'!$C$5:$C$204,IF(IFERROR(MATCH(146,'List A'!$Q$5:$Q$204,0)+4,"")="","",INDEX('List A'!$K$5:$K$204,IFERROR(MATCH(146,'List A'!$Q$5:$Q$204,0)+4,"")-4))-4))</f>
        <v/>
      </c>
      <c r="H150" s="53">
        <f>IF(OR(IFERROR(MATCH(146,'List A'!$Q$5:$Q$204,0)+4,"")="",IF(IFERROR(MATCH(146,'List A'!$Q$5:$Q$204,0)+4,"")="","",INDEX('List A'!$K$5:$K$204,IFERROR(MATCH(146,'List A'!$Q$5:$Q$204,0)+4,"")-4))=""),"",INDEX('List B'!$D$5:$D$204,IF(IFERROR(MATCH(146,'List A'!$Q$5:$Q$204,0)+4,"")="","",INDEX('List A'!$K$5:$K$204,IFERROR(MATCH(146,'List A'!$Q$5:$Q$204,0)+4,"")-4))-4))</f>
        <v/>
      </c>
      <c r="I150" s="52">
        <f>IF(IFERROR(MATCH(146,'List A'!$Q$5:$Q$204,0)+4,"")="","",INDEX('List A'!$N$5:$N$204,IFERROR(MATCH(146,'List A'!$Q$5:$Q$204,0)+4,"")-4))</f>
        <v/>
      </c>
      <c r="J150" s="53">
        <f>IF(IFERROR(MATCH(146,'List A'!$Q$5:$Q$204,0)+4,"")="","",INDEX('List A'!$O$5:$O$204,IFERROR(MATCH(146,'List A'!$Q$5:$Q$204,0)+4,"")-4))</f>
        <v/>
      </c>
    </row>
    <row r="151" ht="17" customHeight="1">
      <c r="A151" s="87">
        <f>IF(IFERROR(MATCH(147,'List A'!$Q$5:$Q$204,0)+4,"")="","",INDEX('List A'!$A$5:$A$204,IFERROR(MATCH(147,'List A'!$Q$5:$Q$204,0)+4,"")-4))</f>
        <v/>
      </c>
      <c r="B151" s="53">
        <f>IF(IFERROR(MATCH(147,'List A'!$Q$5:$Q$204,0)+4,"")="","",INDEX('List A'!$B$5:$B$204,IFERROR(MATCH(147,'List A'!$Q$5:$Q$204,0)+4,"")-4))</f>
        <v/>
      </c>
      <c r="C151" s="52">
        <f>IF(IFERROR(MATCH(147,'List A'!$Q$5:$Q$204,0)+4,"")="","",INDEX('List A'!$C$5:$C$204,IFERROR(MATCH(147,'List A'!$Q$5:$Q$204,0)+4,"")-4))</f>
        <v/>
      </c>
      <c r="D151" s="53">
        <f>IF(IFERROR(MATCH(147,'List A'!$Q$5:$Q$204,0)+4,"")="","",INDEX('List A'!$D$5:$D$204,IFERROR(MATCH(147,'List A'!$Q$5:$Q$204,0)+4,"")-4))</f>
        <v/>
      </c>
      <c r="E151" s="87">
        <f>IF(OR(IFERROR(MATCH(147,'List A'!$Q$5:$Q$204,0)+4,"")="",IF(IFERROR(MATCH(147,'List A'!$Q$5:$Q$204,0)+4,"")="","",INDEX('List A'!$K$5:$K$204,IFERROR(MATCH(147,'List A'!$Q$5:$Q$204,0)+4,"")-4))=""),"",INDEX('List B'!$A$5:$A$204,IF(IFERROR(MATCH(147,'List A'!$Q$5:$Q$204,0)+4,"")="","",INDEX('List A'!$K$5:$K$204,IFERROR(MATCH(147,'List A'!$Q$5:$Q$204,0)+4,"")-4))-4))</f>
        <v/>
      </c>
      <c r="F151" s="53">
        <f>IF(OR(IFERROR(MATCH(147,'List A'!$Q$5:$Q$204,0)+4,"")="",IF(IFERROR(MATCH(147,'List A'!$Q$5:$Q$204,0)+4,"")="","",INDEX('List A'!$K$5:$K$204,IFERROR(MATCH(147,'List A'!$Q$5:$Q$204,0)+4,"")-4))=""),"",INDEX('List B'!$B$5:$B$204,IF(IFERROR(MATCH(147,'List A'!$Q$5:$Q$204,0)+4,"")="","",INDEX('List A'!$K$5:$K$204,IFERROR(MATCH(147,'List A'!$Q$5:$Q$204,0)+4,"")-4))-4))</f>
        <v/>
      </c>
      <c r="G151" s="52">
        <f>IF(OR(IFERROR(MATCH(147,'List A'!$Q$5:$Q$204,0)+4,"")="",IF(IFERROR(MATCH(147,'List A'!$Q$5:$Q$204,0)+4,"")="","",INDEX('List A'!$K$5:$K$204,IFERROR(MATCH(147,'List A'!$Q$5:$Q$204,0)+4,"")-4))=""),"",INDEX('List B'!$C$5:$C$204,IF(IFERROR(MATCH(147,'List A'!$Q$5:$Q$204,0)+4,"")="","",INDEX('List A'!$K$5:$K$204,IFERROR(MATCH(147,'List A'!$Q$5:$Q$204,0)+4,"")-4))-4))</f>
        <v/>
      </c>
      <c r="H151" s="53">
        <f>IF(OR(IFERROR(MATCH(147,'List A'!$Q$5:$Q$204,0)+4,"")="",IF(IFERROR(MATCH(147,'List A'!$Q$5:$Q$204,0)+4,"")="","",INDEX('List A'!$K$5:$K$204,IFERROR(MATCH(147,'List A'!$Q$5:$Q$204,0)+4,"")-4))=""),"",INDEX('List B'!$D$5:$D$204,IF(IFERROR(MATCH(147,'List A'!$Q$5:$Q$204,0)+4,"")="","",INDEX('List A'!$K$5:$K$204,IFERROR(MATCH(147,'List A'!$Q$5:$Q$204,0)+4,"")-4))-4))</f>
        <v/>
      </c>
      <c r="I151" s="52">
        <f>IF(IFERROR(MATCH(147,'List A'!$Q$5:$Q$204,0)+4,"")="","",INDEX('List A'!$N$5:$N$204,IFERROR(MATCH(147,'List A'!$Q$5:$Q$204,0)+4,"")-4))</f>
        <v/>
      </c>
      <c r="J151" s="53">
        <f>IF(IFERROR(MATCH(147,'List A'!$Q$5:$Q$204,0)+4,"")="","",INDEX('List A'!$O$5:$O$204,IFERROR(MATCH(147,'List A'!$Q$5:$Q$204,0)+4,"")-4))</f>
        <v/>
      </c>
    </row>
    <row r="152" ht="17" customHeight="1">
      <c r="A152" s="87">
        <f>IF(IFERROR(MATCH(148,'List A'!$Q$5:$Q$204,0)+4,"")="","",INDEX('List A'!$A$5:$A$204,IFERROR(MATCH(148,'List A'!$Q$5:$Q$204,0)+4,"")-4))</f>
        <v/>
      </c>
      <c r="B152" s="53">
        <f>IF(IFERROR(MATCH(148,'List A'!$Q$5:$Q$204,0)+4,"")="","",INDEX('List A'!$B$5:$B$204,IFERROR(MATCH(148,'List A'!$Q$5:$Q$204,0)+4,"")-4))</f>
        <v/>
      </c>
      <c r="C152" s="52">
        <f>IF(IFERROR(MATCH(148,'List A'!$Q$5:$Q$204,0)+4,"")="","",INDEX('List A'!$C$5:$C$204,IFERROR(MATCH(148,'List A'!$Q$5:$Q$204,0)+4,"")-4))</f>
        <v/>
      </c>
      <c r="D152" s="53">
        <f>IF(IFERROR(MATCH(148,'List A'!$Q$5:$Q$204,0)+4,"")="","",INDEX('List A'!$D$5:$D$204,IFERROR(MATCH(148,'List A'!$Q$5:$Q$204,0)+4,"")-4))</f>
        <v/>
      </c>
      <c r="E152" s="87">
        <f>IF(OR(IFERROR(MATCH(148,'List A'!$Q$5:$Q$204,0)+4,"")="",IF(IFERROR(MATCH(148,'List A'!$Q$5:$Q$204,0)+4,"")="","",INDEX('List A'!$K$5:$K$204,IFERROR(MATCH(148,'List A'!$Q$5:$Q$204,0)+4,"")-4))=""),"",INDEX('List B'!$A$5:$A$204,IF(IFERROR(MATCH(148,'List A'!$Q$5:$Q$204,0)+4,"")="","",INDEX('List A'!$K$5:$K$204,IFERROR(MATCH(148,'List A'!$Q$5:$Q$204,0)+4,"")-4))-4))</f>
        <v/>
      </c>
      <c r="F152" s="53">
        <f>IF(OR(IFERROR(MATCH(148,'List A'!$Q$5:$Q$204,0)+4,"")="",IF(IFERROR(MATCH(148,'List A'!$Q$5:$Q$204,0)+4,"")="","",INDEX('List A'!$K$5:$K$204,IFERROR(MATCH(148,'List A'!$Q$5:$Q$204,0)+4,"")-4))=""),"",INDEX('List B'!$B$5:$B$204,IF(IFERROR(MATCH(148,'List A'!$Q$5:$Q$204,0)+4,"")="","",INDEX('List A'!$K$5:$K$204,IFERROR(MATCH(148,'List A'!$Q$5:$Q$204,0)+4,"")-4))-4))</f>
        <v/>
      </c>
      <c r="G152" s="52">
        <f>IF(OR(IFERROR(MATCH(148,'List A'!$Q$5:$Q$204,0)+4,"")="",IF(IFERROR(MATCH(148,'List A'!$Q$5:$Q$204,0)+4,"")="","",INDEX('List A'!$K$5:$K$204,IFERROR(MATCH(148,'List A'!$Q$5:$Q$204,0)+4,"")-4))=""),"",INDEX('List B'!$C$5:$C$204,IF(IFERROR(MATCH(148,'List A'!$Q$5:$Q$204,0)+4,"")="","",INDEX('List A'!$K$5:$K$204,IFERROR(MATCH(148,'List A'!$Q$5:$Q$204,0)+4,"")-4))-4))</f>
        <v/>
      </c>
      <c r="H152" s="53">
        <f>IF(OR(IFERROR(MATCH(148,'List A'!$Q$5:$Q$204,0)+4,"")="",IF(IFERROR(MATCH(148,'List A'!$Q$5:$Q$204,0)+4,"")="","",INDEX('List A'!$K$5:$K$204,IFERROR(MATCH(148,'List A'!$Q$5:$Q$204,0)+4,"")-4))=""),"",INDEX('List B'!$D$5:$D$204,IF(IFERROR(MATCH(148,'List A'!$Q$5:$Q$204,0)+4,"")="","",INDEX('List A'!$K$5:$K$204,IFERROR(MATCH(148,'List A'!$Q$5:$Q$204,0)+4,"")-4))-4))</f>
        <v/>
      </c>
      <c r="I152" s="52">
        <f>IF(IFERROR(MATCH(148,'List A'!$Q$5:$Q$204,0)+4,"")="","",INDEX('List A'!$N$5:$N$204,IFERROR(MATCH(148,'List A'!$Q$5:$Q$204,0)+4,"")-4))</f>
        <v/>
      </c>
      <c r="J152" s="53">
        <f>IF(IFERROR(MATCH(148,'List A'!$Q$5:$Q$204,0)+4,"")="","",INDEX('List A'!$O$5:$O$204,IFERROR(MATCH(148,'List A'!$Q$5:$Q$204,0)+4,"")-4))</f>
        <v/>
      </c>
    </row>
    <row r="153" ht="17" customHeight="1">
      <c r="A153" s="87">
        <f>IF(IFERROR(MATCH(149,'List A'!$Q$5:$Q$204,0)+4,"")="","",INDEX('List A'!$A$5:$A$204,IFERROR(MATCH(149,'List A'!$Q$5:$Q$204,0)+4,"")-4))</f>
        <v/>
      </c>
      <c r="B153" s="53">
        <f>IF(IFERROR(MATCH(149,'List A'!$Q$5:$Q$204,0)+4,"")="","",INDEX('List A'!$B$5:$B$204,IFERROR(MATCH(149,'List A'!$Q$5:$Q$204,0)+4,"")-4))</f>
        <v/>
      </c>
      <c r="C153" s="52">
        <f>IF(IFERROR(MATCH(149,'List A'!$Q$5:$Q$204,0)+4,"")="","",INDEX('List A'!$C$5:$C$204,IFERROR(MATCH(149,'List A'!$Q$5:$Q$204,0)+4,"")-4))</f>
        <v/>
      </c>
      <c r="D153" s="53">
        <f>IF(IFERROR(MATCH(149,'List A'!$Q$5:$Q$204,0)+4,"")="","",INDEX('List A'!$D$5:$D$204,IFERROR(MATCH(149,'List A'!$Q$5:$Q$204,0)+4,"")-4))</f>
        <v/>
      </c>
      <c r="E153" s="87">
        <f>IF(OR(IFERROR(MATCH(149,'List A'!$Q$5:$Q$204,0)+4,"")="",IF(IFERROR(MATCH(149,'List A'!$Q$5:$Q$204,0)+4,"")="","",INDEX('List A'!$K$5:$K$204,IFERROR(MATCH(149,'List A'!$Q$5:$Q$204,0)+4,"")-4))=""),"",INDEX('List B'!$A$5:$A$204,IF(IFERROR(MATCH(149,'List A'!$Q$5:$Q$204,0)+4,"")="","",INDEX('List A'!$K$5:$K$204,IFERROR(MATCH(149,'List A'!$Q$5:$Q$204,0)+4,"")-4))-4))</f>
        <v/>
      </c>
      <c r="F153" s="53">
        <f>IF(OR(IFERROR(MATCH(149,'List A'!$Q$5:$Q$204,0)+4,"")="",IF(IFERROR(MATCH(149,'List A'!$Q$5:$Q$204,0)+4,"")="","",INDEX('List A'!$K$5:$K$204,IFERROR(MATCH(149,'List A'!$Q$5:$Q$204,0)+4,"")-4))=""),"",INDEX('List B'!$B$5:$B$204,IF(IFERROR(MATCH(149,'List A'!$Q$5:$Q$204,0)+4,"")="","",INDEX('List A'!$K$5:$K$204,IFERROR(MATCH(149,'List A'!$Q$5:$Q$204,0)+4,"")-4))-4))</f>
        <v/>
      </c>
      <c r="G153" s="52">
        <f>IF(OR(IFERROR(MATCH(149,'List A'!$Q$5:$Q$204,0)+4,"")="",IF(IFERROR(MATCH(149,'List A'!$Q$5:$Q$204,0)+4,"")="","",INDEX('List A'!$K$5:$K$204,IFERROR(MATCH(149,'List A'!$Q$5:$Q$204,0)+4,"")-4))=""),"",INDEX('List B'!$C$5:$C$204,IF(IFERROR(MATCH(149,'List A'!$Q$5:$Q$204,0)+4,"")="","",INDEX('List A'!$K$5:$K$204,IFERROR(MATCH(149,'List A'!$Q$5:$Q$204,0)+4,"")-4))-4))</f>
        <v/>
      </c>
      <c r="H153" s="53">
        <f>IF(OR(IFERROR(MATCH(149,'List A'!$Q$5:$Q$204,0)+4,"")="",IF(IFERROR(MATCH(149,'List A'!$Q$5:$Q$204,0)+4,"")="","",INDEX('List A'!$K$5:$K$204,IFERROR(MATCH(149,'List A'!$Q$5:$Q$204,0)+4,"")-4))=""),"",INDEX('List B'!$D$5:$D$204,IF(IFERROR(MATCH(149,'List A'!$Q$5:$Q$204,0)+4,"")="","",INDEX('List A'!$K$5:$K$204,IFERROR(MATCH(149,'List A'!$Q$5:$Q$204,0)+4,"")-4))-4))</f>
        <v/>
      </c>
      <c r="I153" s="52">
        <f>IF(IFERROR(MATCH(149,'List A'!$Q$5:$Q$204,0)+4,"")="","",INDEX('List A'!$N$5:$N$204,IFERROR(MATCH(149,'List A'!$Q$5:$Q$204,0)+4,"")-4))</f>
        <v/>
      </c>
      <c r="J153" s="53">
        <f>IF(IFERROR(MATCH(149,'List A'!$Q$5:$Q$204,0)+4,"")="","",INDEX('List A'!$O$5:$O$204,IFERROR(MATCH(149,'List A'!$Q$5:$Q$204,0)+4,"")-4))</f>
        <v/>
      </c>
    </row>
    <row r="154" ht="17" customHeight="1">
      <c r="A154" s="87">
        <f>IF(IFERROR(MATCH(150,'List A'!$Q$5:$Q$204,0)+4,"")="","",INDEX('List A'!$A$5:$A$204,IFERROR(MATCH(150,'List A'!$Q$5:$Q$204,0)+4,"")-4))</f>
        <v/>
      </c>
      <c r="B154" s="53">
        <f>IF(IFERROR(MATCH(150,'List A'!$Q$5:$Q$204,0)+4,"")="","",INDEX('List A'!$B$5:$B$204,IFERROR(MATCH(150,'List A'!$Q$5:$Q$204,0)+4,"")-4))</f>
        <v/>
      </c>
      <c r="C154" s="52">
        <f>IF(IFERROR(MATCH(150,'List A'!$Q$5:$Q$204,0)+4,"")="","",INDEX('List A'!$C$5:$C$204,IFERROR(MATCH(150,'List A'!$Q$5:$Q$204,0)+4,"")-4))</f>
        <v/>
      </c>
      <c r="D154" s="53">
        <f>IF(IFERROR(MATCH(150,'List A'!$Q$5:$Q$204,0)+4,"")="","",INDEX('List A'!$D$5:$D$204,IFERROR(MATCH(150,'List A'!$Q$5:$Q$204,0)+4,"")-4))</f>
        <v/>
      </c>
      <c r="E154" s="87">
        <f>IF(OR(IFERROR(MATCH(150,'List A'!$Q$5:$Q$204,0)+4,"")="",IF(IFERROR(MATCH(150,'List A'!$Q$5:$Q$204,0)+4,"")="","",INDEX('List A'!$K$5:$K$204,IFERROR(MATCH(150,'List A'!$Q$5:$Q$204,0)+4,"")-4))=""),"",INDEX('List B'!$A$5:$A$204,IF(IFERROR(MATCH(150,'List A'!$Q$5:$Q$204,0)+4,"")="","",INDEX('List A'!$K$5:$K$204,IFERROR(MATCH(150,'List A'!$Q$5:$Q$204,0)+4,"")-4))-4))</f>
        <v/>
      </c>
      <c r="F154" s="53">
        <f>IF(OR(IFERROR(MATCH(150,'List A'!$Q$5:$Q$204,0)+4,"")="",IF(IFERROR(MATCH(150,'List A'!$Q$5:$Q$204,0)+4,"")="","",INDEX('List A'!$K$5:$K$204,IFERROR(MATCH(150,'List A'!$Q$5:$Q$204,0)+4,"")-4))=""),"",INDEX('List B'!$B$5:$B$204,IF(IFERROR(MATCH(150,'List A'!$Q$5:$Q$204,0)+4,"")="","",INDEX('List A'!$K$5:$K$204,IFERROR(MATCH(150,'List A'!$Q$5:$Q$204,0)+4,"")-4))-4))</f>
        <v/>
      </c>
      <c r="G154" s="52">
        <f>IF(OR(IFERROR(MATCH(150,'List A'!$Q$5:$Q$204,0)+4,"")="",IF(IFERROR(MATCH(150,'List A'!$Q$5:$Q$204,0)+4,"")="","",INDEX('List A'!$K$5:$K$204,IFERROR(MATCH(150,'List A'!$Q$5:$Q$204,0)+4,"")-4))=""),"",INDEX('List B'!$C$5:$C$204,IF(IFERROR(MATCH(150,'List A'!$Q$5:$Q$204,0)+4,"")="","",INDEX('List A'!$K$5:$K$204,IFERROR(MATCH(150,'List A'!$Q$5:$Q$204,0)+4,"")-4))-4))</f>
        <v/>
      </c>
      <c r="H154" s="53">
        <f>IF(OR(IFERROR(MATCH(150,'List A'!$Q$5:$Q$204,0)+4,"")="",IF(IFERROR(MATCH(150,'List A'!$Q$5:$Q$204,0)+4,"")="","",INDEX('List A'!$K$5:$K$204,IFERROR(MATCH(150,'List A'!$Q$5:$Q$204,0)+4,"")-4))=""),"",INDEX('List B'!$D$5:$D$204,IF(IFERROR(MATCH(150,'List A'!$Q$5:$Q$204,0)+4,"")="","",INDEX('List A'!$K$5:$K$204,IFERROR(MATCH(150,'List A'!$Q$5:$Q$204,0)+4,"")-4))-4))</f>
        <v/>
      </c>
      <c r="I154" s="52">
        <f>IF(IFERROR(MATCH(150,'List A'!$Q$5:$Q$204,0)+4,"")="","",INDEX('List A'!$N$5:$N$204,IFERROR(MATCH(150,'List A'!$Q$5:$Q$204,0)+4,"")-4))</f>
        <v/>
      </c>
      <c r="J154" s="53">
        <f>IF(IFERROR(MATCH(150,'List A'!$Q$5:$Q$204,0)+4,"")="","",INDEX('List A'!$O$5:$O$204,IFERROR(MATCH(150,'List A'!$Q$5:$Q$204,0)+4,"")-4))</f>
        <v/>
      </c>
    </row>
    <row r="155" ht="17" customHeight="1">
      <c r="A155" s="87">
        <f>IF(IFERROR(MATCH(151,'List A'!$Q$5:$Q$204,0)+4,"")="","",INDEX('List A'!$A$5:$A$204,IFERROR(MATCH(151,'List A'!$Q$5:$Q$204,0)+4,"")-4))</f>
        <v/>
      </c>
      <c r="B155" s="53">
        <f>IF(IFERROR(MATCH(151,'List A'!$Q$5:$Q$204,0)+4,"")="","",INDEX('List A'!$B$5:$B$204,IFERROR(MATCH(151,'List A'!$Q$5:$Q$204,0)+4,"")-4))</f>
        <v/>
      </c>
      <c r="C155" s="52">
        <f>IF(IFERROR(MATCH(151,'List A'!$Q$5:$Q$204,0)+4,"")="","",INDEX('List A'!$C$5:$C$204,IFERROR(MATCH(151,'List A'!$Q$5:$Q$204,0)+4,"")-4))</f>
        <v/>
      </c>
      <c r="D155" s="53">
        <f>IF(IFERROR(MATCH(151,'List A'!$Q$5:$Q$204,0)+4,"")="","",INDEX('List A'!$D$5:$D$204,IFERROR(MATCH(151,'List A'!$Q$5:$Q$204,0)+4,"")-4))</f>
        <v/>
      </c>
      <c r="E155" s="87">
        <f>IF(OR(IFERROR(MATCH(151,'List A'!$Q$5:$Q$204,0)+4,"")="",IF(IFERROR(MATCH(151,'List A'!$Q$5:$Q$204,0)+4,"")="","",INDEX('List A'!$K$5:$K$204,IFERROR(MATCH(151,'List A'!$Q$5:$Q$204,0)+4,"")-4))=""),"",INDEX('List B'!$A$5:$A$204,IF(IFERROR(MATCH(151,'List A'!$Q$5:$Q$204,0)+4,"")="","",INDEX('List A'!$K$5:$K$204,IFERROR(MATCH(151,'List A'!$Q$5:$Q$204,0)+4,"")-4))-4))</f>
        <v/>
      </c>
      <c r="F155" s="53">
        <f>IF(OR(IFERROR(MATCH(151,'List A'!$Q$5:$Q$204,0)+4,"")="",IF(IFERROR(MATCH(151,'List A'!$Q$5:$Q$204,0)+4,"")="","",INDEX('List A'!$K$5:$K$204,IFERROR(MATCH(151,'List A'!$Q$5:$Q$204,0)+4,"")-4))=""),"",INDEX('List B'!$B$5:$B$204,IF(IFERROR(MATCH(151,'List A'!$Q$5:$Q$204,0)+4,"")="","",INDEX('List A'!$K$5:$K$204,IFERROR(MATCH(151,'List A'!$Q$5:$Q$204,0)+4,"")-4))-4))</f>
        <v/>
      </c>
      <c r="G155" s="52">
        <f>IF(OR(IFERROR(MATCH(151,'List A'!$Q$5:$Q$204,0)+4,"")="",IF(IFERROR(MATCH(151,'List A'!$Q$5:$Q$204,0)+4,"")="","",INDEX('List A'!$K$5:$K$204,IFERROR(MATCH(151,'List A'!$Q$5:$Q$204,0)+4,"")-4))=""),"",INDEX('List B'!$C$5:$C$204,IF(IFERROR(MATCH(151,'List A'!$Q$5:$Q$204,0)+4,"")="","",INDEX('List A'!$K$5:$K$204,IFERROR(MATCH(151,'List A'!$Q$5:$Q$204,0)+4,"")-4))-4))</f>
        <v/>
      </c>
      <c r="H155" s="53">
        <f>IF(OR(IFERROR(MATCH(151,'List A'!$Q$5:$Q$204,0)+4,"")="",IF(IFERROR(MATCH(151,'List A'!$Q$5:$Q$204,0)+4,"")="","",INDEX('List A'!$K$5:$K$204,IFERROR(MATCH(151,'List A'!$Q$5:$Q$204,0)+4,"")-4))=""),"",INDEX('List B'!$D$5:$D$204,IF(IFERROR(MATCH(151,'List A'!$Q$5:$Q$204,0)+4,"")="","",INDEX('List A'!$K$5:$K$204,IFERROR(MATCH(151,'List A'!$Q$5:$Q$204,0)+4,"")-4))-4))</f>
        <v/>
      </c>
      <c r="I155" s="52">
        <f>IF(IFERROR(MATCH(151,'List A'!$Q$5:$Q$204,0)+4,"")="","",INDEX('List A'!$N$5:$N$204,IFERROR(MATCH(151,'List A'!$Q$5:$Q$204,0)+4,"")-4))</f>
        <v/>
      </c>
      <c r="J155" s="53">
        <f>IF(IFERROR(MATCH(151,'List A'!$Q$5:$Q$204,0)+4,"")="","",INDEX('List A'!$O$5:$O$204,IFERROR(MATCH(151,'List A'!$Q$5:$Q$204,0)+4,"")-4))</f>
        <v/>
      </c>
    </row>
    <row r="156" ht="17" customHeight="1">
      <c r="A156" s="87">
        <f>IF(IFERROR(MATCH(152,'List A'!$Q$5:$Q$204,0)+4,"")="","",INDEX('List A'!$A$5:$A$204,IFERROR(MATCH(152,'List A'!$Q$5:$Q$204,0)+4,"")-4))</f>
        <v/>
      </c>
      <c r="B156" s="53">
        <f>IF(IFERROR(MATCH(152,'List A'!$Q$5:$Q$204,0)+4,"")="","",INDEX('List A'!$B$5:$B$204,IFERROR(MATCH(152,'List A'!$Q$5:$Q$204,0)+4,"")-4))</f>
        <v/>
      </c>
      <c r="C156" s="52">
        <f>IF(IFERROR(MATCH(152,'List A'!$Q$5:$Q$204,0)+4,"")="","",INDEX('List A'!$C$5:$C$204,IFERROR(MATCH(152,'List A'!$Q$5:$Q$204,0)+4,"")-4))</f>
        <v/>
      </c>
      <c r="D156" s="53">
        <f>IF(IFERROR(MATCH(152,'List A'!$Q$5:$Q$204,0)+4,"")="","",INDEX('List A'!$D$5:$D$204,IFERROR(MATCH(152,'List A'!$Q$5:$Q$204,0)+4,"")-4))</f>
        <v/>
      </c>
      <c r="E156" s="87">
        <f>IF(OR(IFERROR(MATCH(152,'List A'!$Q$5:$Q$204,0)+4,"")="",IF(IFERROR(MATCH(152,'List A'!$Q$5:$Q$204,0)+4,"")="","",INDEX('List A'!$K$5:$K$204,IFERROR(MATCH(152,'List A'!$Q$5:$Q$204,0)+4,"")-4))=""),"",INDEX('List B'!$A$5:$A$204,IF(IFERROR(MATCH(152,'List A'!$Q$5:$Q$204,0)+4,"")="","",INDEX('List A'!$K$5:$K$204,IFERROR(MATCH(152,'List A'!$Q$5:$Q$204,0)+4,"")-4))-4))</f>
        <v/>
      </c>
      <c r="F156" s="53">
        <f>IF(OR(IFERROR(MATCH(152,'List A'!$Q$5:$Q$204,0)+4,"")="",IF(IFERROR(MATCH(152,'List A'!$Q$5:$Q$204,0)+4,"")="","",INDEX('List A'!$K$5:$K$204,IFERROR(MATCH(152,'List A'!$Q$5:$Q$204,0)+4,"")-4))=""),"",INDEX('List B'!$B$5:$B$204,IF(IFERROR(MATCH(152,'List A'!$Q$5:$Q$204,0)+4,"")="","",INDEX('List A'!$K$5:$K$204,IFERROR(MATCH(152,'List A'!$Q$5:$Q$204,0)+4,"")-4))-4))</f>
        <v/>
      </c>
      <c r="G156" s="52">
        <f>IF(OR(IFERROR(MATCH(152,'List A'!$Q$5:$Q$204,0)+4,"")="",IF(IFERROR(MATCH(152,'List A'!$Q$5:$Q$204,0)+4,"")="","",INDEX('List A'!$K$5:$K$204,IFERROR(MATCH(152,'List A'!$Q$5:$Q$204,0)+4,"")-4))=""),"",INDEX('List B'!$C$5:$C$204,IF(IFERROR(MATCH(152,'List A'!$Q$5:$Q$204,0)+4,"")="","",INDEX('List A'!$K$5:$K$204,IFERROR(MATCH(152,'List A'!$Q$5:$Q$204,0)+4,"")-4))-4))</f>
        <v/>
      </c>
      <c r="H156" s="53">
        <f>IF(OR(IFERROR(MATCH(152,'List A'!$Q$5:$Q$204,0)+4,"")="",IF(IFERROR(MATCH(152,'List A'!$Q$5:$Q$204,0)+4,"")="","",INDEX('List A'!$K$5:$K$204,IFERROR(MATCH(152,'List A'!$Q$5:$Q$204,0)+4,"")-4))=""),"",INDEX('List B'!$D$5:$D$204,IF(IFERROR(MATCH(152,'List A'!$Q$5:$Q$204,0)+4,"")="","",INDEX('List A'!$K$5:$K$204,IFERROR(MATCH(152,'List A'!$Q$5:$Q$204,0)+4,"")-4))-4))</f>
        <v/>
      </c>
      <c r="I156" s="52">
        <f>IF(IFERROR(MATCH(152,'List A'!$Q$5:$Q$204,0)+4,"")="","",INDEX('List A'!$N$5:$N$204,IFERROR(MATCH(152,'List A'!$Q$5:$Q$204,0)+4,"")-4))</f>
        <v/>
      </c>
      <c r="J156" s="53">
        <f>IF(IFERROR(MATCH(152,'List A'!$Q$5:$Q$204,0)+4,"")="","",INDEX('List A'!$O$5:$O$204,IFERROR(MATCH(152,'List A'!$Q$5:$Q$204,0)+4,"")-4))</f>
        <v/>
      </c>
    </row>
    <row r="157" ht="17" customHeight="1">
      <c r="A157" s="87">
        <f>IF(IFERROR(MATCH(153,'List A'!$Q$5:$Q$204,0)+4,"")="","",INDEX('List A'!$A$5:$A$204,IFERROR(MATCH(153,'List A'!$Q$5:$Q$204,0)+4,"")-4))</f>
        <v/>
      </c>
      <c r="B157" s="53">
        <f>IF(IFERROR(MATCH(153,'List A'!$Q$5:$Q$204,0)+4,"")="","",INDEX('List A'!$B$5:$B$204,IFERROR(MATCH(153,'List A'!$Q$5:$Q$204,0)+4,"")-4))</f>
        <v/>
      </c>
      <c r="C157" s="52">
        <f>IF(IFERROR(MATCH(153,'List A'!$Q$5:$Q$204,0)+4,"")="","",INDEX('List A'!$C$5:$C$204,IFERROR(MATCH(153,'List A'!$Q$5:$Q$204,0)+4,"")-4))</f>
        <v/>
      </c>
      <c r="D157" s="53">
        <f>IF(IFERROR(MATCH(153,'List A'!$Q$5:$Q$204,0)+4,"")="","",INDEX('List A'!$D$5:$D$204,IFERROR(MATCH(153,'List A'!$Q$5:$Q$204,0)+4,"")-4))</f>
        <v/>
      </c>
      <c r="E157" s="87">
        <f>IF(OR(IFERROR(MATCH(153,'List A'!$Q$5:$Q$204,0)+4,"")="",IF(IFERROR(MATCH(153,'List A'!$Q$5:$Q$204,0)+4,"")="","",INDEX('List A'!$K$5:$K$204,IFERROR(MATCH(153,'List A'!$Q$5:$Q$204,0)+4,"")-4))=""),"",INDEX('List B'!$A$5:$A$204,IF(IFERROR(MATCH(153,'List A'!$Q$5:$Q$204,0)+4,"")="","",INDEX('List A'!$K$5:$K$204,IFERROR(MATCH(153,'List A'!$Q$5:$Q$204,0)+4,"")-4))-4))</f>
        <v/>
      </c>
      <c r="F157" s="53">
        <f>IF(OR(IFERROR(MATCH(153,'List A'!$Q$5:$Q$204,0)+4,"")="",IF(IFERROR(MATCH(153,'List A'!$Q$5:$Q$204,0)+4,"")="","",INDEX('List A'!$K$5:$K$204,IFERROR(MATCH(153,'List A'!$Q$5:$Q$204,0)+4,"")-4))=""),"",INDEX('List B'!$B$5:$B$204,IF(IFERROR(MATCH(153,'List A'!$Q$5:$Q$204,0)+4,"")="","",INDEX('List A'!$K$5:$K$204,IFERROR(MATCH(153,'List A'!$Q$5:$Q$204,0)+4,"")-4))-4))</f>
        <v/>
      </c>
      <c r="G157" s="52">
        <f>IF(OR(IFERROR(MATCH(153,'List A'!$Q$5:$Q$204,0)+4,"")="",IF(IFERROR(MATCH(153,'List A'!$Q$5:$Q$204,0)+4,"")="","",INDEX('List A'!$K$5:$K$204,IFERROR(MATCH(153,'List A'!$Q$5:$Q$204,0)+4,"")-4))=""),"",INDEX('List B'!$C$5:$C$204,IF(IFERROR(MATCH(153,'List A'!$Q$5:$Q$204,0)+4,"")="","",INDEX('List A'!$K$5:$K$204,IFERROR(MATCH(153,'List A'!$Q$5:$Q$204,0)+4,"")-4))-4))</f>
        <v/>
      </c>
      <c r="H157" s="53">
        <f>IF(OR(IFERROR(MATCH(153,'List A'!$Q$5:$Q$204,0)+4,"")="",IF(IFERROR(MATCH(153,'List A'!$Q$5:$Q$204,0)+4,"")="","",INDEX('List A'!$K$5:$K$204,IFERROR(MATCH(153,'List A'!$Q$5:$Q$204,0)+4,"")-4))=""),"",INDEX('List B'!$D$5:$D$204,IF(IFERROR(MATCH(153,'List A'!$Q$5:$Q$204,0)+4,"")="","",INDEX('List A'!$K$5:$K$204,IFERROR(MATCH(153,'List A'!$Q$5:$Q$204,0)+4,"")-4))-4))</f>
        <v/>
      </c>
      <c r="I157" s="52">
        <f>IF(IFERROR(MATCH(153,'List A'!$Q$5:$Q$204,0)+4,"")="","",INDEX('List A'!$N$5:$N$204,IFERROR(MATCH(153,'List A'!$Q$5:$Q$204,0)+4,"")-4))</f>
        <v/>
      </c>
      <c r="J157" s="53">
        <f>IF(IFERROR(MATCH(153,'List A'!$Q$5:$Q$204,0)+4,"")="","",INDEX('List A'!$O$5:$O$204,IFERROR(MATCH(153,'List A'!$Q$5:$Q$204,0)+4,"")-4))</f>
        <v/>
      </c>
    </row>
    <row r="158" ht="17" customHeight="1">
      <c r="A158" s="87">
        <f>IF(IFERROR(MATCH(154,'List A'!$Q$5:$Q$204,0)+4,"")="","",INDEX('List A'!$A$5:$A$204,IFERROR(MATCH(154,'List A'!$Q$5:$Q$204,0)+4,"")-4))</f>
        <v/>
      </c>
      <c r="B158" s="53">
        <f>IF(IFERROR(MATCH(154,'List A'!$Q$5:$Q$204,0)+4,"")="","",INDEX('List A'!$B$5:$B$204,IFERROR(MATCH(154,'List A'!$Q$5:$Q$204,0)+4,"")-4))</f>
        <v/>
      </c>
      <c r="C158" s="52">
        <f>IF(IFERROR(MATCH(154,'List A'!$Q$5:$Q$204,0)+4,"")="","",INDEX('List A'!$C$5:$C$204,IFERROR(MATCH(154,'List A'!$Q$5:$Q$204,0)+4,"")-4))</f>
        <v/>
      </c>
      <c r="D158" s="53">
        <f>IF(IFERROR(MATCH(154,'List A'!$Q$5:$Q$204,0)+4,"")="","",INDEX('List A'!$D$5:$D$204,IFERROR(MATCH(154,'List A'!$Q$5:$Q$204,0)+4,"")-4))</f>
        <v/>
      </c>
      <c r="E158" s="87">
        <f>IF(OR(IFERROR(MATCH(154,'List A'!$Q$5:$Q$204,0)+4,"")="",IF(IFERROR(MATCH(154,'List A'!$Q$5:$Q$204,0)+4,"")="","",INDEX('List A'!$K$5:$K$204,IFERROR(MATCH(154,'List A'!$Q$5:$Q$204,0)+4,"")-4))=""),"",INDEX('List B'!$A$5:$A$204,IF(IFERROR(MATCH(154,'List A'!$Q$5:$Q$204,0)+4,"")="","",INDEX('List A'!$K$5:$K$204,IFERROR(MATCH(154,'List A'!$Q$5:$Q$204,0)+4,"")-4))-4))</f>
        <v/>
      </c>
      <c r="F158" s="53">
        <f>IF(OR(IFERROR(MATCH(154,'List A'!$Q$5:$Q$204,0)+4,"")="",IF(IFERROR(MATCH(154,'List A'!$Q$5:$Q$204,0)+4,"")="","",INDEX('List A'!$K$5:$K$204,IFERROR(MATCH(154,'List A'!$Q$5:$Q$204,0)+4,"")-4))=""),"",INDEX('List B'!$B$5:$B$204,IF(IFERROR(MATCH(154,'List A'!$Q$5:$Q$204,0)+4,"")="","",INDEX('List A'!$K$5:$K$204,IFERROR(MATCH(154,'List A'!$Q$5:$Q$204,0)+4,"")-4))-4))</f>
        <v/>
      </c>
      <c r="G158" s="52">
        <f>IF(OR(IFERROR(MATCH(154,'List A'!$Q$5:$Q$204,0)+4,"")="",IF(IFERROR(MATCH(154,'List A'!$Q$5:$Q$204,0)+4,"")="","",INDEX('List A'!$K$5:$K$204,IFERROR(MATCH(154,'List A'!$Q$5:$Q$204,0)+4,"")-4))=""),"",INDEX('List B'!$C$5:$C$204,IF(IFERROR(MATCH(154,'List A'!$Q$5:$Q$204,0)+4,"")="","",INDEX('List A'!$K$5:$K$204,IFERROR(MATCH(154,'List A'!$Q$5:$Q$204,0)+4,"")-4))-4))</f>
        <v/>
      </c>
      <c r="H158" s="53">
        <f>IF(OR(IFERROR(MATCH(154,'List A'!$Q$5:$Q$204,0)+4,"")="",IF(IFERROR(MATCH(154,'List A'!$Q$5:$Q$204,0)+4,"")="","",INDEX('List A'!$K$5:$K$204,IFERROR(MATCH(154,'List A'!$Q$5:$Q$204,0)+4,"")-4))=""),"",INDEX('List B'!$D$5:$D$204,IF(IFERROR(MATCH(154,'List A'!$Q$5:$Q$204,0)+4,"")="","",INDEX('List A'!$K$5:$K$204,IFERROR(MATCH(154,'List A'!$Q$5:$Q$204,0)+4,"")-4))-4))</f>
        <v/>
      </c>
      <c r="I158" s="52">
        <f>IF(IFERROR(MATCH(154,'List A'!$Q$5:$Q$204,0)+4,"")="","",INDEX('List A'!$N$5:$N$204,IFERROR(MATCH(154,'List A'!$Q$5:$Q$204,0)+4,"")-4))</f>
        <v/>
      </c>
      <c r="J158" s="53">
        <f>IF(IFERROR(MATCH(154,'List A'!$Q$5:$Q$204,0)+4,"")="","",INDEX('List A'!$O$5:$O$204,IFERROR(MATCH(154,'List A'!$Q$5:$Q$204,0)+4,"")-4))</f>
        <v/>
      </c>
    </row>
    <row r="159" ht="17" customHeight="1">
      <c r="A159" s="87">
        <f>IF(IFERROR(MATCH(155,'List A'!$Q$5:$Q$204,0)+4,"")="","",INDEX('List A'!$A$5:$A$204,IFERROR(MATCH(155,'List A'!$Q$5:$Q$204,0)+4,"")-4))</f>
        <v/>
      </c>
      <c r="B159" s="53">
        <f>IF(IFERROR(MATCH(155,'List A'!$Q$5:$Q$204,0)+4,"")="","",INDEX('List A'!$B$5:$B$204,IFERROR(MATCH(155,'List A'!$Q$5:$Q$204,0)+4,"")-4))</f>
        <v/>
      </c>
      <c r="C159" s="52">
        <f>IF(IFERROR(MATCH(155,'List A'!$Q$5:$Q$204,0)+4,"")="","",INDEX('List A'!$C$5:$C$204,IFERROR(MATCH(155,'List A'!$Q$5:$Q$204,0)+4,"")-4))</f>
        <v/>
      </c>
      <c r="D159" s="53">
        <f>IF(IFERROR(MATCH(155,'List A'!$Q$5:$Q$204,0)+4,"")="","",INDEX('List A'!$D$5:$D$204,IFERROR(MATCH(155,'List A'!$Q$5:$Q$204,0)+4,"")-4))</f>
        <v/>
      </c>
      <c r="E159" s="87">
        <f>IF(OR(IFERROR(MATCH(155,'List A'!$Q$5:$Q$204,0)+4,"")="",IF(IFERROR(MATCH(155,'List A'!$Q$5:$Q$204,0)+4,"")="","",INDEX('List A'!$K$5:$K$204,IFERROR(MATCH(155,'List A'!$Q$5:$Q$204,0)+4,"")-4))=""),"",INDEX('List B'!$A$5:$A$204,IF(IFERROR(MATCH(155,'List A'!$Q$5:$Q$204,0)+4,"")="","",INDEX('List A'!$K$5:$K$204,IFERROR(MATCH(155,'List A'!$Q$5:$Q$204,0)+4,"")-4))-4))</f>
        <v/>
      </c>
      <c r="F159" s="53">
        <f>IF(OR(IFERROR(MATCH(155,'List A'!$Q$5:$Q$204,0)+4,"")="",IF(IFERROR(MATCH(155,'List A'!$Q$5:$Q$204,0)+4,"")="","",INDEX('List A'!$K$5:$K$204,IFERROR(MATCH(155,'List A'!$Q$5:$Q$204,0)+4,"")-4))=""),"",INDEX('List B'!$B$5:$B$204,IF(IFERROR(MATCH(155,'List A'!$Q$5:$Q$204,0)+4,"")="","",INDEX('List A'!$K$5:$K$204,IFERROR(MATCH(155,'List A'!$Q$5:$Q$204,0)+4,"")-4))-4))</f>
        <v/>
      </c>
      <c r="G159" s="52">
        <f>IF(OR(IFERROR(MATCH(155,'List A'!$Q$5:$Q$204,0)+4,"")="",IF(IFERROR(MATCH(155,'List A'!$Q$5:$Q$204,0)+4,"")="","",INDEX('List A'!$K$5:$K$204,IFERROR(MATCH(155,'List A'!$Q$5:$Q$204,0)+4,"")-4))=""),"",INDEX('List B'!$C$5:$C$204,IF(IFERROR(MATCH(155,'List A'!$Q$5:$Q$204,0)+4,"")="","",INDEX('List A'!$K$5:$K$204,IFERROR(MATCH(155,'List A'!$Q$5:$Q$204,0)+4,"")-4))-4))</f>
        <v/>
      </c>
      <c r="H159" s="53">
        <f>IF(OR(IFERROR(MATCH(155,'List A'!$Q$5:$Q$204,0)+4,"")="",IF(IFERROR(MATCH(155,'List A'!$Q$5:$Q$204,0)+4,"")="","",INDEX('List A'!$K$5:$K$204,IFERROR(MATCH(155,'List A'!$Q$5:$Q$204,0)+4,"")-4))=""),"",INDEX('List B'!$D$5:$D$204,IF(IFERROR(MATCH(155,'List A'!$Q$5:$Q$204,0)+4,"")="","",INDEX('List A'!$K$5:$K$204,IFERROR(MATCH(155,'List A'!$Q$5:$Q$204,0)+4,"")-4))-4))</f>
        <v/>
      </c>
      <c r="I159" s="52">
        <f>IF(IFERROR(MATCH(155,'List A'!$Q$5:$Q$204,0)+4,"")="","",INDEX('List A'!$N$5:$N$204,IFERROR(MATCH(155,'List A'!$Q$5:$Q$204,0)+4,"")-4))</f>
        <v/>
      </c>
      <c r="J159" s="53">
        <f>IF(IFERROR(MATCH(155,'List A'!$Q$5:$Q$204,0)+4,"")="","",INDEX('List A'!$O$5:$O$204,IFERROR(MATCH(155,'List A'!$Q$5:$Q$204,0)+4,"")-4))</f>
        <v/>
      </c>
    </row>
    <row r="160" ht="17" customHeight="1">
      <c r="A160" s="87">
        <f>IF(IFERROR(MATCH(156,'List A'!$Q$5:$Q$204,0)+4,"")="","",INDEX('List A'!$A$5:$A$204,IFERROR(MATCH(156,'List A'!$Q$5:$Q$204,0)+4,"")-4))</f>
        <v/>
      </c>
      <c r="B160" s="53">
        <f>IF(IFERROR(MATCH(156,'List A'!$Q$5:$Q$204,0)+4,"")="","",INDEX('List A'!$B$5:$B$204,IFERROR(MATCH(156,'List A'!$Q$5:$Q$204,0)+4,"")-4))</f>
        <v/>
      </c>
      <c r="C160" s="52">
        <f>IF(IFERROR(MATCH(156,'List A'!$Q$5:$Q$204,0)+4,"")="","",INDEX('List A'!$C$5:$C$204,IFERROR(MATCH(156,'List A'!$Q$5:$Q$204,0)+4,"")-4))</f>
        <v/>
      </c>
      <c r="D160" s="53">
        <f>IF(IFERROR(MATCH(156,'List A'!$Q$5:$Q$204,0)+4,"")="","",INDEX('List A'!$D$5:$D$204,IFERROR(MATCH(156,'List A'!$Q$5:$Q$204,0)+4,"")-4))</f>
        <v/>
      </c>
      <c r="E160" s="87">
        <f>IF(OR(IFERROR(MATCH(156,'List A'!$Q$5:$Q$204,0)+4,"")="",IF(IFERROR(MATCH(156,'List A'!$Q$5:$Q$204,0)+4,"")="","",INDEX('List A'!$K$5:$K$204,IFERROR(MATCH(156,'List A'!$Q$5:$Q$204,0)+4,"")-4))=""),"",INDEX('List B'!$A$5:$A$204,IF(IFERROR(MATCH(156,'List A'!$Q$5:$Q$204,0)+4,"")="","",INDEX('List A'!$K$5:$K$204,IFERROR(MATCH(156,'List A'!$Q$5:$Q$204,0)+4,"")-4))-4))</f>
        <v/>
      </c>
      <c r="F160" s="53">
        <f>IF(OR(IFERROR(MATCH(156,'List A'!$Q$5:$Q$204,0)+4,"")="",IF(IFERROR(MATCH(156,'List A'!$Q$5:$Q$204,0)+4,"")="","",INDEX('List A'!$K$5:$K$204,IFERROR(MATCH(156,'List A'!$Q$5:$Q$204,0)+4,"")-4))=""),"",INDEX('List B'!$B$5:$B$204,IF(IFERROR(MATCH(156,'List A'!$Q$5:$Q$204,0)+4,"")="","",INDEX('List A'!$K$5:$K$204,IFERROR(MATCH(156,'List A'!$Q$5:$Q$204,0)+4,"")-4))-4))</f>
        <v/>
      </c>
      <c r="G160" s="52">
        <f>IF(OR(IFERROR(MATCH(156,'List A'!$Q$5:$Q$204,0)+4,"")="",IF(IFERROR(MATCH(156,'List A'!$Q$5:$Q$204,0)+4,"")="","",INDEX('List A'!$K$5:$K$204,IFERROR(MATCH(156,'List A'!$Q$5:$Q$204,0)+4,"")-4))=""),"",INDEX('List B'!$C$5:$C$204,IF(IFERROR(MATCH(156,'List A'!$Q$5:$Q$204,0)+4,"")="","",INDEX('List A'!$K$5:$K$204,IFERROR(MATCH(156,'List A'!$Q$5:$Q$204,0)+4,"")-4))-4))</f>
        <v/>
      </c>
      <c r="H160" s="53">
        <f>IF(OR(IFERROR(MATCH(156,'List A'!$Q$5:$Q$204,0)+4,"")="",IF(IFERROR(MATCH(156,'List A'!$Q$5:$Q$204,0)+4,"")="","",INDEX('List A'!$K$5:$K$204,IFERROR(MATCH(156,'List A'!$Q$5:$Q$204,0)+4,"")-4))=""),"",INDEX('List B'!$D$5:$D$204,IF(IFERROR(MATCH(156,'List A'!$Q$5:$Q$204,0)+4,"")="","",INDEX('List A'!$K$5:$K$204,IFERROR(MATCH(156,'List A'!$Q$5:$Q$204,0)+4,"")-4))-4))</f>
        <v/>
      </c>
      <c r="I160" s="52">
        <f>IF(IFERROR(MATCH(156,'List A'!$Q$5:$Q$204,0)+4,"")="","",INDEX('List A'!$N$5:$N$204,IFERROR(MATCH(156,'List A'!$Q$5:$Q$204,0)+4,"")-4))</f>
        <v/>
      </c>
      <c r="J160" s="53">
        <f>IF(IFERROR(MATCH(156,'List A'!$Q$5:$Q$204,0)+4,"")="","",INDEX('List A'!$O$5:$O$204,IFERROR(MATCH(156,'List A'!$Q$5:$Q$204,0)+4,"")-4))</f>
        <v/>
      </c>
    </row>
    <row r="161" ht="17" customHeight="1">
      <c r="A161" s="87">
        <f>IF(IFERROR(MATCH(157,'List A'!$Q$5:$Q$204,0)+4,"")="","",INDEX('List A'!$A$5:$A$204,IFERROR(MATCH(157,'List A'!$Q$5:$Q$204,0)+4,"")-4))</f>
        <v/>
      </c>
      <c r="B161" s="53">
        <f>IF(IFERROR(MATCH(157,'List A'!$Q$5:$Q$204,0)+4,"")="","",INDEX('List A'!$B$5:$B$204,IFERROR(MATCH(157,'List A'!$Q$5:$Q$204,0)+4,"")-4))</f>
        <v/>
      </c>
      <c r="C161" s="52">
        <f>IF(IFERROR(MATCH(157,'List A'!$Q$5:$Q$204,0)+4,"")="","",INDEX('List A'!$C$5:$C$204,IFERROR(MATCH(157,'List A'!$Q$5:$Q$204,0)+4,"")-4))</f>
        <v/>
      </c>
      <c r="D161" s="53">
        <f>IF(IFERROR(MATCH(157,'List A'!$Q$5:$Q$204,0)+4,"")="","",INDEX('List A'!$D$5:$D$204,IFERROR(MATCH(157,'List A'!$Q$5:$Q$204,0)+4,"")-4))</f>
        <v/>
      </c>
      <c r="E161" s="87">
        <f>IF(OR(IFERROR(MATCH(157,'List A'!$Q$5:$Q$204,0)+4,"")="",IF(IFERROR(MATCH(157,'List A'!$Q$5:$Q$204,0)+4,"")="","",INDEX('List A'!$K$5:$K$204,IFERROR(MATCH(157,'List A'!$Q$5:$Q$204,0)+4,"")-4))=""),"",INDEX('List B'!$A$5:$A$204,IF(IFERROR(MATCH(157,'List A'!$Q$5:$Q$204,0)+4,"")="","",INDEX('List A'!$K$5:$K$204,IFERROR(MATCH(157,'List A'!$Q$5:$Q$204,0)+4,"")-4))-4))</f>
        <v/>
      </c>
      <c r="F161" s="53">
        <f>IF(OR(IFERROR(MATCH(157,'List A'!$Q$5:$Q$204,0)+4,"")="",IF(IFERROR(MATCH(157,'List A'!$Q$5:$Q$204,0)+4,"")="","",INDEX('List A'!$K$5:$K$204,IFERROR(MATCH(157,'List A'!$Q$5:$Q$204,0)+4,"")-4))=""),"",INDEX('List B'!$B$5:$B$204,IF(IFERROR(MATCH(157,'List A'!$Q$5:$Q$204,0)+4,"")="","",INDEX('List A'!$K$5:$K$204,IFERROR(MATCH(157,'List A'!$Q$5:$Q$204,0)+4,"")-4))-4))</f>
        <v/>
      </c>
      <c r="G161" s="52">
        <f>IF(OR(IFERROR(MATCH(157,'List A'!$Q$5:$Q$204,0)+4,"")="",IF(IFERROR(MATCH(157,'List A'!$Q$5:$Q$204,0)+4,"")="","",INDEX('List A'!$K$5:$K$204,IFERROR(MATCH(157,'List A'!$Q$5:$Q$204,0)+4,"")-4))=""),"",INDEX('List B'!$C$5:$C$204,IF(IFERROR(MATCH(157,'List A'!$Q$5:$Q$204,0)+4,"")="","",INDEX('List A'!$K$5:$K$204,IFERROR(MATCH(157,'List A'!$Q$5:$Q$204,0)+4,"")-4))-4))</f>
        <v/>
      </c>
      <c r="H161" s="53">
        <f>IF(OR(IFERROR(MATCH(157,'List A'!$Q$5:$Q$204,0)+4,"")="",IF(IFERROR(MATCH(157,'List A'!$Q$5:$Q$204,0)+4,"")="","",INDEX('List A'!$K$5:$K$204,IFERROR(MATCH(157,'List A'!$Q$5:$Q$204,0)+4,"")-4))=""),"",INDEX('List B'!$D$5:$D$204,IF(IFERROR(MATCH(157,'List A'!$Q$5:$Q$204,0)+4,"")="","",INDEX('List A'!$K$5:$K$204,IFERROR(MATCH(157,'List A'!$Q$5:$Q$204,0)+4,"")-4))-4))</f>
        <v/>
      </c>
      <c r="I161" s="52">
        <f>IF(IFERROR(MATCH(157,'List A'!$Q$5:$Q$204,0)+4,"")="","",INDEX('List A'!$N$5:$N$204,IFERROR(MATCH(157,'List A'!$Q$5:$Q$204,0)+4,"")-4))</f>
        <v/>
      </c>
      <c r="J161" s="53">
        <f>IF(IFERROR(MATCH(157,'List A'!$Q$5:$Q$204,0)+4,"")="","",INDEX('List A'!$O$5:$O$204,IFERROR(MATCH(157,'List A'!$Q$5:$Q$204,0)+4,"")-4))</f>
        <v/>
      </c>
    </row>
    <row r="162" ht="17" customHeight="1">
      <c r="A162" s="87">
        <f>IF(IFERROR(MATCH(158,'List A'!$Q$5:$Q$204,0)+4,"")="","",INDEX('List A'!$A$5:$A$204,IFERROR(MATCH(158,'List A'!$Q$5:$Q$204,0)+4,"")-4))</f>
        <v/>
      </c>
      <c r="B162" s="53">
        <f>IF(IFERROR(MATCH(158,'List A'!$Q$5:$Q$204,0)+4,"")="","",INDEX('List A'!$B$5:$B$204,IFERROR(MATCH(158,'List A'!$Q$5:$Q$204,0)+4,"")-4))</f>
        <v/>
      </c>
      <c r="C162" s="52">
        <f>IF(IFERROR(MATCH(158,'List A'!$Q$5:$Q$204,0)+4,"")="","",INDEX('List A'!$C$5:$C$204,IFERROR(MATCH(158,'List A'!$Q$5:$Q$204,0)+4,"")-4))</f>
        <v/>
      </c>
      <c r="D162" s="53">
        <f>IF(IFERROR(MATCH(158,'List A'!$Q$5:$Q$204,0)+4,"")="","",INDEX('List A'!$D$5:$D$204,IFERROR(MATCH(158,'List A'!$Q$5:$Q$204,0)+4,"")-4))</f>
        <v/>
      </c>
      <c r="E162" s="87">
        <f>IF(OR(IFERROR(MATCH(158,'List A'!$Q$5:$Q$204,0)+4,"")="",IF(IFERROR(MATCH(158,'List A'!$Q$5:$Q$204,0)+4,"")="","",INDEX('List A'!$K$5:$K$204,IFERROR(MATCH(158,'List A'!$Q$5:$Q$204,0)+4,"")-4))=""),"",INDEX('List B'!$A$5:$A$204,IF(IFERROR(MATCH(158,'List A'!$Q$5:$Q$204,0)+4,"")="","",INDEX('List A'!$K$5:$K$204,IFERROR(MATCH(158,'List A'!$Q$5:$Q$204,0)+4,"")-4))-4))</f>
        <v/>
      </c>
      <c r="F162" s="53">
        <f>IF(OR(IFERROR(MATCH(158,'List A'!$Q$5:$Q$204,0)+4,"")="",IF(IFERROR(MATCH(158,'List A'!$Q$5:$Q$204,0)+4,"")="","",INDEX('List A'!$K$5:$K$204,IFERROR(MATCH(158,'List A'!$Q$5:$Q$204,0)+4,"")-4))=""),"",INDEX('List B'!$B$5:$B$204,IF(IFERROR(MATCH(158,'List A'!$Q$5:$Q$204,0)+4,"")="","",INDEX('List A'!$K$5:$K$204,IFERROR(MATCH(158,'List A'!$Q$5:$Q$204,0)+4,"")-4))-4))</f>
        <v/>
      </c>
      <c r="G162" s="52">
        <f>IF(OR(IFERROR(MATCH(158,'List A'!$Q$5:$Q$204,0)+4,"")="",IF(IFERROR(MATCH(158,'List A'!$Q$5:$Q$204,0)+4,"")="","",INDEX('List A'!$K$5:$K$204,IFERROR(MATCH(158,'List A'!$Q$5:$Q$204,0)+4,"")-4))=""),"",INDEX('List B'!$C$5:$C$204,IF(IFERROR(MATCH(158,'List A'!$Q$5:$Q$204,0)+4,"")="","",INDEX('List A'!$K$5:$K$204,IFERROR(MATCH(158,'List A'!$Q$5:$Q$204,0)+4,"")-4))-4))</f>
        <v/>
      </c>
      <c r="H162" s="53">
        <f>IF(OR(IFERROR(MATCH(158,'List A'!$Q$5:$Q$204,0)+4,"")="",IF(IFERROR(MATCH(158,'List A'!$Q$5:$Q$204,0)+4,"")="","",INDEX('List A'!$K$5:$K$204,IFERROR(MATCH(158,'List A'!$Q$5:$Q$204,0)+4,"")-4))=""),"",INDEX('List B'!$D$5:$D$204,IF(IFERROR(MATCH(158,'List A'!$Q$5:$Q$204,0)+4,"")="","",INDEX('List A'!$K$5:$K$204,IFERROR(MATCH(158,'List A'!$Q$5:$Q$204,0)+4,"")-4))-4))</f>
        <v/>
      </c>
      <c r="I162" s="52">
        <f>IF(IFERROR(MATCH(158,'List A'!$Q$5:$Q$204,0)+4,"")="","",INDEX('List A'!$N$5:$N$204,IFERROR(MATCH(158,'List A'!$Q$5:$Q$204,0)+4,"")-4))</f>
        <v/>
      </c>
      <c r="J162" s="53">
        <f>IF(IFERROR(MATCH(158,'List A'!$Q$5:$Q$204,0)+4,"")="","",INDEX('List A'!$O$5:$O$204,IFERROR(MATCH(158,'List A'!$Q$5:$Q$204,0)+4,"")-4))</f>
        <v/>
      </c>
    </row>
    <row r="163" ht="17" customHeight="1">
      <c r="A163" s="87">
        <f>IF(IFERROR(MATCH(159,'List A'!$Q$5:$Q$204,0)+4,"")="","",INDEX('List A'!$A$5:$A$204,IFERROR(MATCH(159,'List A'!$Q$5:$Q$204,0)+4,"")-4))</f>
        <v/>
      </c>
      <c r="B163" s="53">
        <f>IF(IFERROR(MATCH(159,'List A'!$Q$5:$Q$204,0)+4,"")="","",INDEX('List A'!$B$5:$B$204,IFERROR(MATCH(159,'List A'!$Q$5:$Q$204,0)+4,"")-4))</f>
        <v/>
      </c>
      <c r="C163" s="52">
        <f>IF(IFERROR(MATCH(159,'List A'!$Q$5:$Q$204,0)+4,"")="","",INDEX('List A'!$C$5:$C$204,IFERROR(MATCH(159,'List A'!$Q$5:$Q$204,0)+4,"")-4))</f>
        <v/>
      </c>
      <c r="D163" s="53">
        <f>IF(IFERROR(MATCH(159,'List A'!$Q$5:$Q$204,0)+4,"")="","",INDEX('List A'!$D$5:$D$204,IFERROR(MATCH(159,'List A'!$Q$5:$Q$204,0)+4,"")-4))</f>
        <v/>
      </c>
      <c r="E163" s="87">
        <f>IF(OR(IFERROR(MATCH(159,'List A'!$Q$5:$Q$204,0)+4,"")="",IF(IFERROR(MATCH(159,'List A'!$Q$5:$Q$204,0)+4,"")="","",INDEX('List A'!$K$5:$K$204,IFERROR(MATCH(159,'List A'!$Q$5:$Q$204,0)+4,"")-4))=""),"",INDEX('List B'!$A$5:$A$204,IF(IFERROR(MATCH(159,'List A'!$Q$5:$Q$204,0)+4,"")="","",INDEX('List A'!$K$5:$K$204,IFERROR(MATCH(159,'List A'!$Q$5:$Q$204,0)+4,"")-4))-4))</f>
        <v/>
      </c>
      <c r="F163" s="53">
        <f>IF(OR(IFERROR(MATCH(159,'List A'!$Q$5:$Q$204,0)+4,"")="",IF(IFERROR(MATCH(159,'List A'!$Q$5:$Q$204,0)+4,"")="","",INDEX('List A'!$K$5:$K$204,IFERROR(MATCH(159,'List A'!$Q$5:$Q$204,0)+4,"")-4))=""),"",INDEX('List B'!$B$5:$B$204,IF(IFERROR(MATCH(159,'List A'!$Q$5:$Q$204,0)+4,"")="","",INDEX('List A'!$K$5:$K$204,IFERROR(MATCH(159,'List A'!$Q$5:$Q$204,0)+4,"")-4))-4))</f>
        <v/>
      </c>
      <c r="G163" s="52">
        <f>IF(OR(IFERROR(MATCH(159,'List A'!$Q$5:$Q$204,0)+4,"")="",IF(IFERROR(MATCH(159,'List A'!$Q$5:$Q$204,0)+4,"")="","",INDEX('List A'!$K$5:$K$204,IFERROR(MATCH(159,'List A'!$Q$5:$Q$204,0)+4,"")-4))=""),"",INDEX('List B'!$C$5:$C$204,IF(IFERROR(MATCH(159,'List A'!$Q$5:$Q$204,0)+4,"")="","",INDEX('List A'!$K$5:$K$204,IFERROR(MATCH(159,'List A'!$Q$5:$Q$204,0)+4,"")-4))-4))</f>
        <v/>
      </c>
      <c r="H163" s="53">
        <f>IF(OR(IFERROR(MATCH(159,'List A'!$Q$5:$Q$204,0)+4,"")="",IF(IFERROR(MATCH(159,'List A'!$Q$5:$Q$204,0)+4,"")="","",INDEX('List A'!$K$5:$K$204,IFERROR(MATCH(159,'List A'!$Q$5:$Q$204,0)+4,"")-4))=""),"",INDEX('List B'!$D$5:$D$204,IF(IFERROR(MATCH(159,'List A'!$Q$5:$Q$204,0)+4,"")="","",INDEX('List A'!$K$5:$K$204,IFERROR(MATCH(159,'List A'!$Q$5:$Q$204,0)+4,"")-4))-4))</f>
        <v/>
      </c>
      <c r="I163" s="52">
        <f>IF(IFERROR(MATCH(159,'List A'!$Q$5:$Q$204,0)+4,"")="","",INDEX('List A'!$N$5:$N$204,IFERROR(MATCH(159,'List A'!$Q$5:$Q$204,0)+4,"")-4))</f>
        <v/>
      </c>
      <c r="J163" s="53">
        <f>IF(IFERROR(MATCH(159,'List A'!$Q$5:$Q$204,0)+4,"")="","",INDEX('List A'!$O$5:$O$204,IFERROR(MATCH(159,'List A'!$Q$5:$Q$204,0)+4,"")-4))</f>
        <v/>
      </c>
    </row>
    <row r="164" ht="17" customHeight="1">
      <c r="A164" s="87">
        <f>IF(IFERROR(MATCH(160,'List A'!$Q$5:$Q$204,0)+4,"")="","",INDEX('List A'!$A$5:$A$204,IFERROR(MATCH(160,'List A'!$Q$5:$Q$204,0)+4,"")-4))</f>
        <v/>
      </c>
      <c r="B164" s="53">
        <f>IF(IFERROR(MATCH(160,'List A'!$Q$5:$Q$204,0)+4,"")="","",INDEX('List A'!$B$5:$B$204,IFERROR(MATCH(160,'List A'!$Q$5:$Q$204,0)+4,"")-4))</f>
        <v/>
      </c>
      <c r="C164" s="52">
        <f>IF(IFERROR(MATCH(160,'List A'!$Q$5:$Q$204,0)+4,"")="","",INDEX('List A'!$C$5:$C$204,IFERROR(MATCH(160,'List A'!$Q$5:$Q$204,0)+4,"")-4))</f>
        <v/>
      </c>
      <c r="D164" s="53">
        <f>IF(IFERROR(MATCH(160,'List A'!$Q$5:$Q$204,0)+4,"")="","",INDEX('List A'!$D$5:$D$204,IFERROR(MATCH(160,'List A'!$Q$5:$Q$204,0)+4,"")-4))</f>
        <v/>
      </c>
      <c r="E164" s="87">
        <f>IF(OR(IFERROR(MATCH(160,'List A'!$Q$5:$Q$204,0)+4,"")="",IF(IFERROR(MATCH(160,'List A'!$Q$5:$Q$204,0)+4,"")="","",INDEX('List A'!$K$5:$K$204,IFERROR(MATCH(160,'List A'!$Q$5:$Q$204,0)+4,"")-4))=""),"",INDEX('List B'!$A$5:$A$204,IF(IFERROR(MATCH(160,'List A'!$Q$5:$Q$204,0)+4,"")="","",INDEX('List A'!$K$5:$K$204,IFERROR(MATCH(160,'List A'!$Q$5:$Q$204,0)+4,"")-4))-4))</f>
        <v/>
      </c>
      <c r="F164" s="53">
        <f>IF(OR(IFERROR(MATCH(160,'List A'!$Q$5:$Q$204,0)+4,"")="",IF(IFERROR(MATCH(160,'List A'!$Q$5:$Q$204,0)+4,"")="","",INDEX('List A'!$K$5:$K$204,IFERROR(MATCH(160,'List A'!$Q$5:$Q$204,0)+4,"")-4))=""),"",INDEX('List B'!$B$5:$B$204,IF(IFERROR(MATCH(160,'List A'!$Q$5:$Q$204,0)+4,"")="","",INDEX('List A'!$K$5:$K$204,IFERROR(MATCH(160,'List A'!$Q$5:$Q$204,0)+4,"")-4))-4))</f>
        <v/>
      </c>
      <c r="G164" s="52">
        <f>IF(OR(IFERROR(MATCH(160,'List A'!$Q$5:$Q$204,0)+4,"")="",IF(IFERROR(MATCH(160,'List A'!$Q$5:$Q$204,0)+4,"")="","",INDEX('List A'!$K$5:$K$204,IFERROR(MATCH(160,'List A'!$Q$5:$Q$204,0)+4,"")-4))=""),"",INDEX('List B'!$C$5:$C$204,IF(IFERROR(MATCH(160,'List A'!$Q$5:$Q$204,0)+4,"")="","",INDEX('List A'!$K$5:$K$204,IFERROR(MATCH(160,'List A'!$Q$5:$Q$204,0)+4,"")-4))-4))</f>
        <v/>
      </c>
      <c r="H164" s="53">
        <f>IF(OR(IFERROR(MATCH(160,'List A'!$Q$5:$Q$204,0)+4,"")="",IF(IFERROR(MATCH(160,'List A'!$Q$5:$Q$204,0)+4,"")="","",INDEX('List A'!$K$5:$K$204,IFERROR(MATCH(160,'List A'!$Q$5:$Q$204,0)+4,"")-4))=""),"",INDEX('List B'!$D$5:$D$204,IF(IFERROR(MATCH(160,'List A'!$Q$5:$Q$204,0)+4,"")="","",INDEX('List A'!$K$5:$K$204,IFERROR(MATCH(160,'List A'!$Q$5:$Q$204,0)+4,"")-4))-4))</f>
        <v/>
      </c>
      <c r="I164" s="52">
        <f>IF(IFERROR(MATCH(160,'List A'!$Q$5:$Q$204,0)+4,"")="","",INDEX('List A'!$N$5:$N$204,IFERROR(MATCH(160,'List A'!$Q$5:$Q$204,0)+4,"")-4))</f>
        <v/>
      </c>
      <c r="J164" s="53">
        <f>IF(IFERROR(MATCH(160,'List A'!$Q$5:$Q$204,0)+4,"")="","",INDEX('List A'!$O$5:$O$204,IFERROR(MATCH(160,'List A'!$Q$5:$Q$204,0)+4,"")-4))</f>
        <v/>
      </c>
    </row>
    <row r="165" ht="17" customHeight="1">
      <c r="A165" s="87">
        <f>IF(IFERROR(MATCH(161,'List A'!$Q$5:$Q$204,0)+4,"")="","",INDEX('List A'!$A$5:$A$204,IFERROR(MATCH(161,'List A'!$Q$5:$Q$204,0)+4,"")-4))</f>
        <v/>
      </c>
      <c r="B165" s="53">
        <f>IF(IFERROR(MATCH(161,'List A'!$Q$5:$Q$204,0)+4,"")="","",INDEX('List A'!$B$5:$B$204,IFERROR(MATCH(161,'List A'!$Q$5:$Q$204,0)+4,"")-4))</f>
        <v/>
      </c>
      <c r="C165" s="52">
        <f>IF(IFERROR(MATCH(161,'List A'!$Q$5:$Q$204,0)+4,"")="","",INDEX('List A'!$C$5:$C$204,IFERROR(MATCH(161,'List A'!$Q$5:$Q$204,0)+4,"")-4))</f>
        <v/>
      </c>
      <c r="D165" s="53">
        <f>IF(IFERROR(MATCH(161,'List A'!$Q$5:$Q$204,0)+4,"")="","",INDEX('List A'!$D$5:$D$204,IFERROR(MATCH(161,'List A'!$Q$5:$Q$204,0)+4,"")-4))</f>
        <v/>
      </c>
      <c r="E165" s="87">
        <f>IF(OR(IFERROR(MATCH(161,'List A'!$Q$5:$Q$204,0)+4,"")="",IF(IFERROR(MATCH(161,'List A'!$Q$5:$Q$204,0)+4,"")="","",INDEX('List A'!$K$5:$K$204,IFERROR(MATCH(161,'List A'!$Q$5:$Q$204,0)+4,"")-4))=""),"",INDEX('List B'!$A$5:$A$204,IF(IFERROR(MATCH(161,'List A'!$Q$5:$Q$204,0)+4,"")="","",INDEX('List A'!$K$5:$K$204,IFERROR(MATCH(161,'List A'!$Q$5:$Q$204,0)+4,"")-4))-4))</f>
        <v/>
      </c>
      <c r="F165" s="53">
        <f>IF(OR(IFERROR(MATCH(161,'List A'!$Q$5:$Q$204,0)+4,"")="",IF(IFERROR(MATCH(161,'List A'!$Q$5:$Q$204,0)+4,"")="","",INDEX('List A'!$K$5:$K$204,IFERROR(MATCH(161,'List A'!$Q$5:$Q$204,0)+4,"")-4))=""),"",INDEX('List B'!$B$5:$B$204,IF(IFERROR(MATCH(161,'List A'!$Q$5:$Q$204,0)+4,"")="","",INDEX('List A'!$K$5:$K$204,IFERROR(MATCH(161,'List A'!$Q$5:$Q$204,0)+4,"")-4))-4))</f>
        <v/>
      </c>
      <c r="G165" s="52">
        <f>IF(OR(IFERROR(MATCH(161,'List A'!$Q$5:$Q$204,0)+4,"")="",IF(IFERROR(MATCH(161,'List A'!$Q$5:$Q$204,0)+4,"")="","",INDEX('List A'!$K$5:$K$204,IFERROR(MATCH(161,'List A'!$Q$5:$Q$204,0)+4,"")-4))=""),"",INDEX('List B'!$C$5:$C$204,IF(IFERROR(MATCH(161,'List A'!$Q$5:$Q$204,0)+4,"")="","",INDEX('List A'!$K$5:$K$204,IFERROR(MATCH(161,'List A'!$Q$5:$Q$204,0)+4,"")-4))-4))</f>
        <v/>
      </c>
      <c r="H165" s="53">
        <f>IF(OR(IFERROR(MATCH(161,'List A'!$Q$5:$Q$204,0)+4,"")="",IF(IFERROR(MATCH(161,'List A'!$Q$5:$Q$204,0)+4,"")="","",INDEX('List A'!$K$5:$K$204,IFERROR(MATCH(161,'List A'!$Q$5:$Q$204,0)+4,"")-4))=""),"",INDEX('List B'!$D$5:$D$204,IF(IFERROR(MATCH(161,'List A'!$Q$5:$Q$204,0)+4,"")="","",INDEX('List A'!$K$5:$K$204,IFERROR(MATCH(161,'List A'!$Q$5:$Q$204,0)+4,"")-4))-4))</f>
        <v/>
      </c>
      <c r="I165" s="52">
        <f>IF(IFERROR(MATCH(161,'List A'!$Q$5:$Q$204,0)+4,"")="","",INDEX('List A'!$N$5:$N$204,IFERROR(MATCH(161,'List A'!$Q$5:$Q$204,0)+4,"")-4))</f>
        <v/>
      </c>
      <c r="J165" s="53">
        <f>IF(IFERROR(MATCH(161,'List A'!$Q$5:$Q$204,0)+4,"")="","",INDEX('List A'!$O$5:$O$204,IFERROR(MATCH(161,'List A'!$Q$5:$Q$204,0)+4,"")-4))</f>
        <v/>
      </c>
    </row>
    <row r="166" ht="17" customHeight="1">
      <c r="A166" s="87">
        <f>IF(IFERROR(MATCH(162,'List A'!$Q$5:$Q$204,0)+4,"")="","",INDEX('List A'!$A$5:$A$204,IFERROR(MATCH(162,'List A'!$Q$5:$Q$204,0)+4,"")-4))</f>
        <v/>
      </c>
      <c r="B166" s="53">
        <f>IF(IFERROR(MATCH(162,'List A'!$Q$5:$Q$204,0)+4,"")="","",INDEX('List A'!$B$5:$B$204,IFERROR(MATCH(162,'List A'!$Q$5:$Q$204,0)+4,"")-4))</f>
        <v/>
      </c>
      <c r="C166" s="52">
        <f>IF(IFERROR(MATCH(162,'List A'!$Q$5:$Q$204,0)+4,"")="","",INDEX('List A'!$C$5:$C$204,IFERROR(MATCH(162,'List A'!$Q$5:$Q$204,0)+4,"")-4))</f>
        <v/>
      </c>
      <c r="D166" s="53">
        <f>IF(IFERROR(MATCH(162,'List A'!$Q$5:$Q$204,0)+4,"")="","",INDEX('List A'!$D$5:$D$204,IFERROR(MATCH(162,'List A'!$Q$5:$Q$204,0)+4,"")-4))</f>
        <v/>
      </c>
      <c r="E166" s="87">
        <f>IF(OR(IFERROR(MATCH(162,'List A'!$Q$5:$Q$204,0)+4,"")="",IF(IFERROR(MATCH(162,'List A'!$Q$5:$Q$204,0)+4,"")="","",INDEX('List A'!$K$5:$K$204,IFERROR(MATCH(162,'List A'!$Q$5:$Q$204,0)+4,"")-4))=""),"",INDEX('List B'!$A$5:$A$204,IF(IFERROR(MATCH(162,'List A'!$Q$5:$Q$204,0)+4,"")="","",INDEX('List A'!$K$5:$K$204,IFERROR(MATCH(162,'List A'!$Q$5:$Q$204,0)+4,"")-4))-4))</f>
        <v/>
      </c>
      <c r="F166" s="53">
        <f>IF(OR(IFERROR(MATCH(162,'List A'!$Q$5:$Q$204,0)+4,"")="",IF(IFERROR(MATCH(162,'List A'!$Q$5:$Q$204,0)+4,"")="","",INDEX('List A'!$K$5:$K$204,IFERROR(MATCH(162,'List A'!$Q$5:$Q$204,0)+4,"")-4))=""),"",INDEX('List B'!$B$5:$B$204,IF(IFERROR(MATCH(162,'List A'!$Q$5:$Q$204,0)+4,"")="","",INDEX('List A'!$K$5:$K$204,IFERROR(MATCH(162,'List A'!$Q$5:$Q$204,0)+4,"")-4))-4))</f>
        <v/>
      </c>
      <c r="G166" s="52">
        <f>IF(OR(IFERROR(MATCH(162,'List A'!$Q$5:$Q$204,0)+4,"")="",IF(IFERROR(MATCH(162,'List A'!$Q$5:$Q$204,0)+4,"")="","",INDEX('List A'!$K$5:$K$204,IFERROR(MATCH(162,'List A'!$Q$5:$Q$204,0)+4,"")-4))=""),"",INDEX('List B'!$C$5:$C$204,IF(IFERROR(MATCH(162,'List A'!$Q$5:$Q$204,0)+4,"")="","",INDEX('List A'!$K$5:$K$204,IFERROR(MATCH(162,'List A'!$Q$5:$Q$204,0)+4,"")-4))-4))</f>
        <v/>
      </c>
      <c r="H166" s="53">
        <f>IF(OR(IFERROR(MATCH(162,'List A'!$Q$5:$Q$204,0)+4,"")="",IF(IFERROR(MATCH(162,'List A'!$Q$5:$Q$204,0)+4,"")="","",INDEX('List A'!$K$5:$K$204,IFERROR(MATCH(162,'List A'!$Q$5:$Q$204,0)+4,"")-4))=""),"",INDEX('List B'!$D$5:$D$204,IF(IFERROR(MATCH(162,'List A'!$Q$5:$Q$204,0)+4,"")="","",INDEX('List A'!$K$5:$K$204,IFERROR(MATCH(162,'List A'!$Q$5:$Q$204,0)+4,"")-4))-4))</f>
        <v/>
      </c>
      <c r="I166" s="52">
        <f>IF(IFERROR(MATCH(162,'List A'!$Q$5:$Q$204,0)+4,"")="","",INDEX('List A'!$N$5:$N$204,IFERROR(MATCH(162,'List A'!$Q$5:$Q$204,0)+4,"")-4))</f>
        <v/>
      </c>
      <c r="J166" s="53">
        <f>IF(IFERROR(MATCH(162,'List A'!$Q$5:$Q$204,0)+4,"")="","",INDEX('List A'!$O$5:$O$204,IFERROR(MATCH(162,'List A'!$Q$5:$Q$204,0)+4,"")-4))</f>
        <v/>
      </c>
    </row>
    <row r="167" ht="17" customHeight="1">
      <c r="A167" s="87">
        <f>IF(IFERROR(MATCH(163,'List A'!$Q$5:$Q$204,0)+4,"")="","",INDEX('List A'!$A$5:$A$204,IFERROR(MATCH(163,'List A'!$Q$5:$Q$204,0)+4,"")-4))</f>
        <v/>
      </c>
      <c r="B167" s="53">
        <f>IF(IFERROR(MATCH(163,'List A'!$Q$5:$Q$204,0)+4,"")="","",INDEX('List A'!$B$5:$B$204,IFERROR(MATCH(163,'List A'!$Q$5:$Q$204,0)+4,"")-4))</f>
        <v/>
      </c>
      <c r="C167" s="52">
        <f>IF(IFERROR(MATCH(163,'List A'!$Q$5:$Q$204,0)+4,"")="","",INDEX('List A'!$C$5:$C$204,IFERROR(MATCH(163,'List A'!$Q$5:$Q$204,0)+4,"")-4))</f>
        <v/>
      </c>
      <c r="D167" s="53">
        <f>IF(IFERROR(MATCH(163,'List A'!$Q$5:$Q$204,0)+4,"")="","",INDEX('List A'!$D$5:$D$204,IFERROR(MATCH(163,'List A'!$Q$5:$Q$204,0)+4,"")-4))</f>
        <v/>
      </c>
      <c r="E167" s="87">
        <f>IF(OR(IFERROR(MATCH(163,'List A'!$Q$5:$Q$204,0)+4,"")="",IF(IFERROR(MATCH(163,'List A'!$Q$5:$Q$204,0)+4,"")="","",INDEX('List A'!$K$5:$K$204,IFERROR(MATCH(163,'List A'!$Q$5:$Q$204,0)+4,"")-4))=""),"",INDEX('List B'!$A$5:$A$204,IF(IFERROR(MATCH(163,'List A'!$Q$5:$Q$204,0)+4,"")="","",INDEX('List A'!$K$5:$K$204,IFERROR(MATCH(163,'List A'!$Q$5:$Q$204,0)+4,"")-4))-4))</f>
        <v/>
      </c>
      <c r="F167" s="53">
        <f>IF(OR(IFERROR(MATCH(163,'List A'!$Q$5:$Q$204,0)+4,"")="",IF(IFERROR(MATCH(163,'List A'!$Q$5:$Q$204,0)+4,"")="","",INDEX('List A'!$K$5:$K$204,IFERROR(MATCH(163,'List A'!$Q$5:$Q$204,0)+4,"")-4))=""),"",INDEX('List B'!$B$5:$B$204,IF(IFERROR(MATCH(163,'List A'!$Q$5:$Q$204,0)+4,"")="","",INDEX('List A'!$K$5:$K$204,IFERROR(MATCH(163,'List A'!$Q$5:$Q$204,0)+4,"")-4))-4))</f>
        <v/>
      </c>
      <c r="G167" s="52">
        <f>IF(OR(IFERROR(MATCH(163,'List A'!$Q$5:$Q$204,0)+4,"")="",IF(IFERROR(MATCH(163,'List A'!$Q$5:$Q$204,0)+4,"")="","",INDEX('List A'!$K$5:$K$204,IFERROR(MATCH(163,'List A'!$Q$5:$Q$204,0)+4,"")-4))=""),"",INDEX('List B'!$C$5:$C$204,IF(IFERROR(MATCH(163,'List A'!$Q$5:$Q$204,0)+4,"")="","",INDEX('List A'!$K$5:$K$204,IFERROR(MATCH(163,'List A'!$Q$5:$Q$204,0)+4,"")-4))-4))</f>
        <v/>
      </c>
      <c r="H167" s="53">
        <f>IF(OR(IFERROR(MATCH(163,'List A'!$Q$5:$Q$204,0)+4,"")="",IF(IFERROR(MATCH(163,'List A'!$Q$5:$Q$204,0)+4,"")="","",INDEX('List A'!$K$5:$K$204,IFERROR(MATCH(163,'List A'!$Q$5:$Q$204,0)+4,"")-4))=""),"",INDEX('List B'!$D$5:$D$204,IF(IFERROR(MATCH(163,'List A'!$Q$5:$Q$204,0)+4,"")="","",INDEX('List A'!$K$5:$K$204,IFERROR(MATCH(163,'List A'!$Q$5:$Q$204,0)+4,"")-4))-4))</f>
        <v/>
      </c>
      <c r="I167" s="52">
        <f>IF(IFERROR(MATCH(163,'List A'!$Q$5:$Q$204,0)+4,"")="","",INDEX('List A'!$N$5:$N$204,IFERROR(MATCH(163,'List A'!$Q$5:$Q$204,0)+4,"")-4))</f>
        <v/>
      </c>
      <c r="J167" s="53">
        <f>IF(IFERROR(MATCH(163,'List A'!$Q$5:$Q$204,0)+4,"")="","",INDEX('List A'!$O$5:$O$204,IFERROR(MATCH(163,'List A'!$Q$5:$Q$204,0)+4,"")-4))</f>
        <v/>
      </c>
    </row>
    <row r="168" ht="17" customHeight="1">
      <c r="A168" s="87">
        <f>IF(IFERROR(MATCH(164,'List A'!$Q$5:$Q$204,0)+4,"")="","",INDEX('List A'!$A$5:$A$204,IFERROR(MATCH(164,'List A'!$Q$5:$Q$204,0)+4,"")-4))</f>
        <v/>
      </c>
      <c r="B168" s="53">
        <f>IF(IFERROR(MATCH(164,'List A'!$Q$5:$Q$204,0)+4,"")="","",INDEX('List A'!$B$5:$B$204,IFERROR(MATCH(164,'List A'!$Q$5:$Q$204,0)+4,"")-4))</f>
        <v/>
      </c>
      <c r="C168" s="52">
        <f>IF(IFERROR(MATCH(164,'List A'!$Q$5:$Q$204,0)+4,"")="","",INDEX('List A'!$C$5:$C$204,IFERROR(MATCH(164,'List A'!$Q$5:$Q$204,0)+4,"")-4))</f>
        <v/>
      </c>
      <c r="D168" s="53">
        <f>IF(IFERROR(MATCH(164,'List A'!$Q$5:$Q$204,0)+4,"")="","",INDEX('List A'!$D$5:$D$204,IFERROR(MATCH(164,'List A'!$Q$5:$Q$204,0)+4,"")-4))</f>
        <v/>
      </c>
      <c r="E168" s="87">
        <f>IF(OR(IFERROR(MATCH(164,'List A'!$Q$5:$Q$204,0)+4,"")="",IF(IFERROR(MATCH(164,'List A'!$Q$5:$Q$204,0)+4,"")="","",INDEX('List A'!$K$5:$K$204,IFERROR(MATCH(164,'List A'!$Q$5:$Q$204,0)+4,"")-4))=""),"",INDEX('List B'!$A$5:$A$204,IF(IFERROR(MATCH(164,'List A'!$Q$5:$Q$204,0)+4,"")="","",INDEX('List A'!$K$5:$K$204,IFERROR(MATCH(164,'List A'!$Q$5:$Q$204,0)+4,"")-4))-4))</f>
        <v/>
      </c>
      <c r="F168" s="53">
        <f>IF(OR(IFERROR(MATCH(164,'List A'!$Q$5:$Q$204,0)+4,"")="",IF(IFERROR(MATCH(164,'List A'!$Q$5:$Q$204,0)+4,"")="","",INDEX('List A'!$K$5:$K$204,IFERROR(MATCH(164,'List A'!$Q$5:$Q$204,0)+4,"")-4))=""),"",INDEX('List B'!$B$5:$B$204,IF(IFERROR(MATCH(164,'List A'!$Q$5:$Q$204,0)+4,"")="","",INDEX('List A'!$K$5:$K$204,IFERROR(MATCH(164,'List A'!$Q$5:$Q$204,0)+4,"")-4))-4))</f>
        <v/>
      </c>
      <c r="G168" s="52">
        <f>IF(OR(IFERROR(MATCH(164,'List A'!$Q$5:$Q$204,0)+4,"")="",IF(IFERROR(MATCH(164,'List A'!$Q$5:$Q$204,0)+4,"")="","",INDEX('List A'!$K$5:$K$204,IFERROR(MATCH(164,'List A'!$Q$5:$Q$204,0)+4,"")-4))=""),"",INDEX('List B'!$C$5:$C$204,IF(IFERROR(MATCH(164,'List A'!$Q$5:$Q$204,0)+4,"")="","",INDEX('List A'!$K$5:$K$204,IFERROR(MATCH(164,'List A'!$Q$5:$Q$204,0)+4,"")-4))-4))</f>
        <v/>
      </c>
      <c r="H168" s="53">
        <f>IF(OR(IFERROR(MATCH(164,'List A'!$Q$5:$Q$204,0)+4,"")="",IF(IFERROR(MATCH(164,'List A'!$Q$5:$Q$204,0)+4,"")="","",INDEX('List A'!$K$5:$K$204,IFERROR(MATCH(164,'List A'!$Q$5:$Q$204,0)+4,"")-4))=""),"",INDEX('List B'!$D$5:$D$204,IF(IFERROR(MATCH(164,'List A'!$Q$5:$Q$204,0)+4,"")="","",INDEX('List A'!$K$5:$K$204,IFERROR(MATCH(164,'List A'!$Q$5:$Q$204,0)+4,"")-4))-4))</f>
        <v/>
      </c>
      <c r="I168" s="52">
        <f>IF(IFERROR(MATCH(164,'List A'!$Q$5:$Q$204,0)+4,"")="","",INDEX('List A'!$N$5:$N$204,IFERROR(MATCH(164,'List A'!$Q$5:$Q$204,0)+4,"")-4))</f>
        <v/>
      </c>
      <c r="J168" s="53">
        <f>IF(IFERROR(MATCH(164,'List A'!$Q$5:$Q$204,0)+4,"")="","",INDEX('List A'!$O$5:$O$204,IFERROR(MATCH(164,'List A'!$Q$5:$Q$204,0)+4,"")-4))</f>
        <v/>
      </c>
    </row>
    <row r="169" ht="17" customHeight="1">
      <c r="A169" s="87">
        <f>IF(IFERROR(MATCH(165,'List A'!$Q$5:$Q$204,0)+4,"")="","",INDEX('List A'!$A$5:$A$204,IFERROR(MATCH(165,'List A'!$Q$5:$Q$204,0)+4,"")-4))</f>
        <v/>
      </c>
      <c r="B169" s="53">
        <f>IF(IFERROR(MATCH(165,'List A'!$Q$5:$Q$204,0)+4,"")="","",INDEX('List A'!$B$5:$B$204,IFERROR(MATCH(165,'List A'!$Q$5:$Q$204,0)+4,"")-4))</f>
        <v/>
      </c>
      <c r="C169" s="52">
        <f>IF(IFERROR(MATCH(165,'List A'!$Q$5:$Q$204,0)+4,"")="","",INDEX('List A'!$C$5:$C$204,IFERROR(MATCH(165,'List A'!$Q$5:$Q$204,0)+4,"")-4))</f>
        <v/>
      </c>
      <c r="D169" s="53">
        <f>IF(IFERROR(MATCH(165,'List A'!$Q$5:$Q$204,0)+4,"")="","",INDEX('List A'!$D$5:$D$204,IFERROR(MATCH(165,'List A'!$Q$5:$Q$204,0)+4,"")-4))</f>
        <v/>
      </c>
      <c r="E169" s="87">
        <f>IF(OR(IFERROR(MATCH(165,'List A'!$Q$5:$Q$204,0)+4,"")="",IF(IFERROR(MATCH(165,'List A'!$Q$5:$Q$204,0)+4,"")="","",INDEX('List A'!$K$5:$K$204,IFERROR(MATCH(165,'List A'!$Q$5:$Q$204,0)+4,"")-4))=""),"",INDEX('List B'!$A$5:$A$204,IF(IFERROR(MATCH(165,'List A'!$Q$5:$Q$204,0)+4,"")="","",INDEX('List A'!$K$5:$K$204,IFERROR(MATCH(165,'List A'!$Q$5:$Q$204,0)+4,"")-4))-4))</f>
        <v/>
      </c>
      <c r="F169" s="53">
        <f>IF(OR(IFERROR(MATCH(165,'List A'!$Q$5:$Q$204,0)+4,"")="",IF(IFERROR(MATCH(165,'List A'!$Q$5:$Q$204,0)+4,"")="","",INDEX('List A'!$K$5:$K$204,IFERROR(MATCH(165,'List A'!$Q$5:$Q$204,0)+4,"")-4))=""),"",INDEX('List B'!$B$5:$B$204,IF(IFERROR(MATCH(165,'List A'!$Q$5:$Q$204,0)+4,"")="","",INDEX('List A'!$K$5:$K$204,IFERROR(MATCH(165,'List A'!$Q$5:$Q$204,0)+4,"")-4))-4))</f>
        <v/>
      </c>
      <c r="G169" s="52">
        <f>IF(OR(IFERROR(MATCH(165,'List A'!$Q$5:$Q$204,0)+4,"")="",IF(IFERROR(MATCH(165,'List A'!$Q$5:$Q$204,0)+4,"")="","",INDEX('List A'!$K$5:$K$204,IFERROR(MATCH(165,'List A'!$Q$5:$Q$204,0)+4,"")-4))=""),"",INDEX('List B'!$C$5:$C$204,IF(IFERROR(MATCH(165,'List A'!$Q$5:$Q$204,0)+4,"")="","",INDEX('List A'!$K$5:$K$204,IFERROR(MATCH(165,'List A'!$Q$5:$Q$204,0)+4,"")-4))-4))</f>
        <v/>
      </c>
      <c r="H169" s="53">
        <f>IF(OR(IFERROR(MATCH(165,'List A'!$Q$5:$Q$204,0)+4,"")="",IF(IFERROR(MATCH(165,'List A'!$Q$5:$Q$204,0)+4,"")="","",INDEX('List A'!$K$5:$K$204,IFERROR(MATCH(165,'List A'!$Q$5:$Q$204,0)+4,"")-4))=""),"",INDEX('List B'!$D$5:$D$204,IF(IFERROR(MATCH(165,'List A'!$Q$5:$Q$204,0)+4,"")="","",INDEX('List A'!$K$5:$K$204,IFERROR(MATCH(165,'List A'!$Q$5:$Q$204,0)+4,"")-4))-4))</f>
        <v/>
      </c>
      <c r="I169" s="52">
        <f>IF(IFERROR(MATCH(165,'List A'!$Q$5:$Q$204,0)+4,"")="","",INDEX('List A'!$N$5:$N$204,IFERROR(MATCH(165,'List A'!$Q$5:$Q$204,0)+4,"")-4))</f>
        <v/>
      </c>
      <c r="J169" s="53">
        <f>IF(IFERROR(MATCH(165,'List A'!$Q$5:$Q$204,0)+4,"")="","",INDEX('List A'!$O$5:$O$204,IFERROR(MATCH(165,'List A'!$Q$5:$Q$204,0)+4,"")-4))</f>
        <v/>
      </c>
    </row>
    <row r="170" ht="17" customHeight="1">
      <c r="A170" s="87">
        <f>IF(IFERROR(MATCH(166,'List A'!$Q$5:$Q$204,0)+4,"")="","",INDEX('List A'!$A$5:$A$204,IFERROR(MATCH(166,'List A'!$Q$5:$Q$204,0)+4,"")-4))</f>
        <v/>
      </c>
      <c r="B170" s="53">
        <f>IF(IFERROR(MATCH(166,'List A'!$Q$5:$Q$204,0)+4,"")="","",INDEX('List A'!$B$5:$B$204,IFERROR(MATCH(166,'List A'!$Q$5:$Q$204,0)+4,"")-4))</f>
        <v/>
      </c>
      <c r="C170" s="52">
        <f>IF(IFERROR(MATCH(166,'List A'!$Q$5:$Q$204,0)+4,"")="","",INDEX('List A'!$C$5:$C$204,IFERROR(MATCH(166,'List A'!$Q$5:$Q$204,0)+4,"")-4))</f>
        <v/>
      </c>
      <c r="D170" s="53">
        <f>IF(IFERROR(MATCH(166,'List A'!$Q$5:$Q$204,0)+4,"")="","",INDEX('List A'!$D$5:$D$204,IFERROR(MATCH(166,'List A'!$Q$5:$Q$204,0)+4,"")-4))</f>
        <v/>
      </c>
      <c r="E170" s="87">
        <f>IF(OR(IFERROR(MATCH(166,'List A'!$Q$5:$Q$204,0)+4,"")="",IF(IFERROR(MATCH(166,'List A'!$Q$5:$Q$204,0)+4,"")="","",INDEX('List A'!$K$5:$K$204,IFERROR(MATCH(166,'List A'!$Q$5:$Q$204,0)+4,"")-4))=""),"",INDEX('List B'!$A$5:$A$204,IF(IFERROR(MATCH(166,'List A'!$Q$5:$Q$204,0)+4,"")="","",INDEX('List A'!$K$5:$K$204,IFERROR(MATCH(166,'List A'!$Q$5:$Q$204,0)+4,"")-4))-4))</f>
        <v/>
      </c>
      <c r="F170" s="53">
        <f>IF(OR(IFERROR(MATCH(166,'List A'!$Q$5:$Q$204,0)+4,"")="",IF(IFERROR(MATCH(166,'List A'!$Q$5:$Q$204,0)+4,"")="","",INDEX('List A'!$K$5:$K$204,IFERROR(MATCH(166,'List A'!$Q$5:$Q$204,0)+4,"")-4))=""),"",INDEX('List B'!$B$5:$B$204,IF(IFERROR(MATCH(166,'List A'!$Q$5:$Q$204,0)+4,"")="","",INDEX('List A'!$K$5:$K$204,IFERROR(MATCH(166,'List A'!$Q$5:$Q$204,0)+4,"")-4))-4))</f>
        <v/>
      </c>
      <c r="G170" s="52">
        <f>IF(OR(IFERROR(MATCH(166,'List A'!$Q$5:$Q$204,0)+4,"")="",IF(IFERROR(MATCH(166,'List A'!$Q$5:$Q$204,0)+4,"")="","",INDEX('List A'!$K$5:$K$204,IFERROR(MATCH(166,'List A'!$Q$5:$Q$204,0)+4,"")-4))=""),"",INDEX('List B'!$C$5:$C$204,IF(IFERROR(MATCH(166,'List A'!$Q$5:$Q$204,0)+4,"")="","",INDEX('List A'!$K$5:$K$204,IFERROR(MATCH(166,'List A'!$Q$5:$Q$204,0)+4,"")-4))-4))</f>
        <v/>
      </c>
      <c r="H170" s="53">
        <f>IF(OR(IFERROR(MATCH(166,'List A'!$Q$5:$Q$204,0)+4,"")="",IF(IFERROR(MATCH(166,'List A'!$Q$5:$Q$204,0)+4,"")="","",INDEX('List A'!$K$5:$K$204,IFERROR(MATCH(166,'List A'!$Q$5:$Q$204,0)+4,"")-4))=""),"",INDEX('List B'!$D$5:$D$204,IF(IFERROR(MATCH(166,'List A'!$Q$5:$Q$204,0)+4,"")="","",INDEX('List A'!$K$5:$K$204,IFERROR(MATCH(166,'List A'!$Q$5:$Q$204,0)+4,"")-4))-4))</f>
        <v/>
      </c>
      <c r="I170" s="52">
        <f>IF(IFERROR(MATCH(166,'List A'!$Q$5:$Q$204,0)+4,"")="","",INDEX('List A'!$N$5:$N$204,IFERROR(MATCH(166,'List A'!$Q$5:$Q$204,0)+4,"")-4))</f>
        <v/>
      </c>
      <c r="J170" s="53">
        <f>IF(IFERROR(MATCH(166,'List A'!$Q$5:$Q$204,0)+4,"")="","",INDEX('List A'!$O$5:$O$204,IFERROR(MATCH(166,'List A'!$Q$5:$Q$204,0)+4,"")-4))</f>
        <v/>
      </c>
    </row>
    <row r="171" ht="17" customHeight="1">
      <c r="A171" s="87">
        <f>IF(IFERROR(MATCH(167,'List A'!$Q$5:$Q$204,0)+4,"")="","",INDEX('List A'!$A$5:$A$204,IFERROR(MATCH(167,'List A'!$Q$5:$Q$204,0)+4,"")-4))</f>
        <v/>
      </c>
      <c r="B171" s="53">
        <f>IF(IFERROR(MATCH(167,'List A'!$Q$5:$Q$204,0)+4,"")="","",INDEX('List A'!$B$5:$B$204,IFERROR(MATCH(167,'List A'!$Q$5:$Q$204,0)+4,"")-4))</f>
        <v/>
      </c>
      <c r="C171" s="52">
        <f>IF(IFERROR(MATCH(167,'List A'!$Q$5:$Q$204,0)+4,"")="","",INDEX('List A'!$C$5:$C$204,IFERROR(MATCH(167,'List A'!$Q$5:$Q$204,0)+4,"")-4))</f>
        <v/>
      </c>
      <c r="D171" s="53">
        <f>IF(IFERROR(MATCH(167,'List A'!$Q$5:$Q$204,0)+4,"")="","",INDEX('List A'!$D$5:$D$204,IFERROR(MATCH(167,'List A'!$Q$5:$Q$204,0)+4,"")-4))</f>
        <v/>
      </c>
      <c r="E171" s="87">
        <f>IF(OR(IFERROR(MATCH(167,'List A'!$Q$5:$Q$204,0)+4,"")="",IF(IFERROR(MATCH(167,'List A'!$Q$5:$Q$204,0)+4,"")="","",INDEX('List A'!$K$5:$K$204,IFERROR(MATCH(167,'List A'!$Q$5:$Q$204,0)+4,"")-4))=""),"",INDEX('List B'!$A$5:$A$204,IF(IFERROR(MATCH(167,'List A'!$Q$5:$Q$204,0)+4,"")="","",INDEX('List A'!$K$5:$K$204,IFERROR(MATCH(167,'List A'!$Q$5:$Q$204,0)+4,"")-4))-4))</f>
        <v/>
      </c>
      <c r="F171" s="53">
        <f>IF(OR(IFERROR(MATCH(167,'List A'!$Q$5:$Q$204,0)+4,"")="",IF(IFERROR(MATCH(167,'List A'!$Q$5:$Q$204,0)+4,"")="","",INDEX('List A'!$K$5:$K$204,IFERROR(MATCH(167,'List A'!$Q$5:$Q$204,0)+4,"")-4))=""),"",INDEX('List B'!$B$5:$B$204,IF(IFERROR(MATCH(167,'List A'!$Q$5:$Q$204,0)+4,"")="","",INDEX('List A'!$K$5:$K$204,IFERROR(MATCH(167,'List A'!$Q$5:$Q$204,0)+4,"")-4))-4))</f>
        <v/>
      </c>
      <c r="G171" s="52">
        <f>IF(OR(IFERROR(MATCH(167,'List A'!$Q$5:$Q$204,0)+4,"")="",IF(IFERROR(MATCH(167,'List A'!$Q$5:$Q$204,0)+4,"")="","",INDEX('List A'!$K$5:$K$204,IFERROR(MATCH(167,'List A'!$Q$5:$Q$204,0)+4,"")-4))=""),"",INDEX('List B'!$C$5:$C$204,IF(IFERROR(MATCH(167,'List A'!$Q$5:$Q$204,0)+4,"")="","",INDEX('List A'!$K$5:$K$204,IFERROR(MATCH(167,'List A'!$Q$5:$Q$204,0)+4,"")-4))-4))</f>
        <v/>
      </c>
      <c r="H171" s="53">
        <f>IF(OR(IFERROR(MATCH(167,'List A'!$Q$5:$Q$204,0)+4,"")="",IF(IFERROR(MATCH(167,'List A'!$Q$5:$Q$204,0)+4,"")="","",INDEX('List A'!$K$5:$K$204,IFERROR(MATCH(167,'List A'!$Q$5:$Q$204,0)+4,"")-4))=""),"",INDEX('List B'!$D$5:$D$204,IF(IFERROR(MATCH(167,'List A'!$Q$5:$Q$204,0)+4,"")="","",INDEX('List A'!$K$5:$K$204,IFERROR(MATCH(167,'List A'!$Q$5:$Q$204,0)+4,"")-4))-4))</f>
        <v/>
      </c>
      <c r="I171" s="52">
        <f>IF(IFERROR(MATCH(167,'List A'!$Q$5:$Q$204,0)+4,"")="","",INDEX('List A'!$N$5:$N$204,IFERROR(MATCH(167,'List A'!$Q$5:$Q$204,0)+4,"")-4))</f>
        <v/>
      </c>
      <c r="J171" s="53">
        <f>IF(IFERROR(MATCH(167,'List A'!$Q$5:$Q$204,0)+4,"")="","",INDEX('List A'!$O$5:$O$204,IFERROR(MATCH(167,'List A'!$Q$5:$Q$204,0)+4,"")-4))</f>
        <v/>
      </c>
    </row>
    <row r="172" ht="17" customHeight="1">
      <c r="A172" s="87">
        <f>IF(IFERROR(MATCH(168,'List A'!$Q$5:$Q$204,0)+4,"")="","",INDEX('List A'!$A$5:$A$204,IFERROR(MATCH(168,'List A'!$Q$5:$Q$204,0)+4,"")-4))</f>
        <v/>
      </c>
      <c r="B172" s="53">
        <f>IF(IFERROR(MATCH(168,'List A'!$Q$5:$Q$204,0)+4,"")="","",INDEX('List A'!$B$5:$B$204,IFERROR(MATCH(168,'List A'!$Q$5:$Q$204,0)+4,"")-4))</f>
        <v/>
      </c>
      <c r="C172" s="52">
        <f>IF(IFERROR(MATCH(168,'List A'!$Q$5:$Q$204,0)+4,"")="","",INDEX('List A'!$C$5:$C$204,IFERROR(MATCH(168,'List A'!$Q$5:$Q$204,0)+4,"")-4))</f>
        <v/>
      </c>
      <c r="D172" s="53">
        <f>IF(IFERROR(MATCH(168,'List A'!$Q$5:$Q$204,0)+4,"")="","",INDEX('List A'!$D$5:$D$204,IFERROR(MATCH(168,'List A'!$Q$5:$Q$204,0)+4,"")-4))</f>
        <v/>
      </c>
      <c r="E172" s="87">
        <f>IF(OR(IFERROR(MATCH(168,'List A'!$Q$5:$Q$204,0)+4,"")="",IF(IFERROR(MATCH(168,'List A'!$Q$5:$Q$204,0)+4,"")="","",INDEX('List A'!$K$5:$K$204,IFERROR(MATCH(168,'List A'!$Q$5:$Q$204,0)+4,"")-4))=""),"",INDEX('List B'!$A$5:$A$204,IF(IFERROR(MATCH(168,'List A'!$Q$5:$Q$204,0)+4,"")="","",INDEX('List A'!$K$5:$K$204,IFERROR(MATCH(168,'List A'!$Q$5:$Q$204,0)+4,"")-4))-4))</f>
        <v/>
      </c>
      <c r="F172" s="53">
        <f>IF(OR(IFERROR(MATCH(168,'List A'!$Q$5:$Q$204,0)+4,"")="",IF(IFERROR(MATCH(168,'List A'!$Q$5:$Q$204,0)+4,"")="","",INDEX('List A'!$K$5:$K$204,IFERROR(MATCH(168,'List A'!$Q$5:$Q$204,0)+4,"")-4))=""),"",INDEX('List B'!$B$5:$B$204,IF(IFERROR(MATCH(168,'List A'!$Q$5:$Q$204,0)+4,"")="","",INDEX('List A'!$K$5:$K$204,IFERROR(MATCH(168,'List A'!$Q$5:$Q$204,0)+4,"")-4))-4))</f>
        <v/>
      </c>
      <c r="G172" s="52">
        <f>IF(OR(IFERROR(MATCH(168,'List A'!$Q$5:$Q$204,0)+4,"")="",IF(IFERROR(MATCH(168,'List A'!$Q$5:$Q$204,0)+4,"")="","",INDEX('List A'!$K$5:$K$204,IFERROR(MATCH(168,'List A'!$Q$5:$Q$204,0)+4,"")-4))=""),"",INDEX('List B'!$C$5:$C$204,IF(IFERROR(MATCH(168,'List A'!$Q$5:$Q$204,0)+4,"")="","",INDEX('List A'!$K$5:$K$204,IFERROR(MATCH(168,'List A'!$Q$5:$Q$204,0)+4,"")-4))-4))</f>
        <v/>
      </c>
      <c r="H172" s="53">
        <f>IF(OR(IFERROR(MATCH(168,'List A'!$Q$5:$Q$204,0)+4,"")="",IF(IFERROR(MATCH(168,'List A'!$Q$5:$Q$204,0)+4,"")="","",INDEX('List A'!$K$5:$K$204,IFERROR(MATCH(168,'List A'!$Q$5:$Q$204,0)+4,"")-4))=""),"",INDEX('List B'!$D$5:$D$204,IF(IFERROR(MATCH(168,'List A'!$Q$5:$Q$204,0)+4,"")="","",INDEX('List A'!$K$5:$K$204,IFERROR(MATCH(168,'List A'!$Q$5:$Q$204,0)+4,"")-4))-4))</f>
        <v/>
      </c>
      <c r="I172" s="52">
        <f>IF(IFERROR(MATCH(168,'List A'!$Q$5:$Q$204,0)+4,"")="","",INDEX('List A'!$N$5:$N$204,IFERROR(MATCH(168,'List A'!$Q$5:$Q$204,0)+4,"")-4))</f>
        <v/>
      </c>
      <c r="J172" s="53">
        <f>IF(IFERROR(MATCH(168,'List A'!$Q$5:$Q$204,0)+4,"")="","",INDEX('List A'!$O$5:$O$204,IFERROR(MATCH(168,'List A'!$Q$5:$Q$204,0)+4,"")-4))</f>
        <v/>
      </c>
    </row>
    <row r="173" ht="17" customHeight="1">
      <c r="A173" s="87">
        <f>IF(IFERROR(MATCH(169,'List A'!$Q$5:$Q$204,0)+4,"")="","",INDEX('List A'!$A$5:$A$204,IFERROR(MATCH(169,'List A'!$Q$5:$Q$204,0)+4,"")-4))</f>
        <v/>
      </c>
      <c r="B173" s="53">
        <f>IF(IFERROR(MATCH(169,'List A'!$Q$5:$Q$204,0)+4,"")="","",INDEX('List A'!$B$5:$B$204,IFERROR(MATCH(169,'List A'!$Q$5:$Q$204,0)+4,"")-4))</f>
        <v/>
      </c>
      <c r="C173" s="52">
        <f>IF(IFERROR(MATCH(169,'List A'!$Q$5:$Q$204,0)+4,"")="","",INDEX('List A'!$C$5:$C$204,IFERROR(MATCH(169,'List A'!$Q$5:$Q$204,0)+4,"")-4))</f>
        <v/>
      </c>
      <c r="D173" s="53">
        <f>IF(IFERROR(MATCH(169,'List A'!$Q$5:$Q$204,0)+4,"")="","",INDEX('List A'!$D$5:$D$204,IFERROR(MATCH(169,'List A'!$Q$5:$Q$204,0)+4,"")-4))</f>
        <v/>
      </c>
      <c r="E173" s="87">
        <f>IF(OR(IFERROR(MATCH(169,'List A'!$Q$5:$Q$204,0)+4,"")="",IF(IFERROR(MATCH(169,'List A'!$Q$5:$Q$204,0)+4,"")="","",INDEX('List A'!$K$5:$K$204,IFERROR(MATCH(169,'List A'!$Q$5:$Q$204,0)+4,"")-4))=""),"",INDEX('List B'!$A$5:$A$204,IF(IFERROR(MATCH(169,'List A'!$Q$5:$Q$204,0)+4,"")="","",INDEX('List A'!$K$5:$K$204,IFERROR(MATCH(169,'List A'!$Q$5:$Q$204,0)+4,"")-4))-4))</f>
        <v/>
      </c>
      <c r="F173" s="53">
        <f>IF(OR(IFERROR(MATCH(169,'List A'!$Q$5:$Q$204,0)+4,"")="",IF(IFERROR(MATCH(169,'List A'!$Q$5:$Q$204,0)+4,"")="","",INDEX('List A'!$K$5:$K$204,IFERROR(MATCH(169,'List A'!$Q$5:$Q$204,0)+4,"")-4))=""),"",INDEX('List B'!$B$5:$B$204,IF(IFERROR(MATCH(169,'List A'!$Q$5:$Q$204,0)+4,"")="","",INDEX('List A'!$K$5:$K$204,IFERROR(MATCH(169,'List A'!$Q$5:$Q$204,0)+4,"")-4))-4))</f>
        <v/>
      </c>
      <c r="G173" s="52">
        <f>IF(OR(IFERROR(MATCH(169,'List A'!$Q$5:$Q$204,0)+4,"")="",IF(IFERROR(MATCH(169,'List A'!$Q$5:$Q$204,0)+4,"")="","",INDEX('List A'!$K$5:$K$204,IFERROR(MATCH(169,'List A'!$Q$5:$Q$204,0)+4,"")-4))=""),"",INDEX('List B'!$C$5:$C$204,IF(IFERROR(MATCH(169,'List A'!$Q$5:$Q$204,0)+4,"")="","",INDEX('List A'!$K$5:$K$204,IFERROR(MATCH(169,'List A'!$Q$5:$Q$204,0)+4,"")-4))-4))</f>
        <v/>
      </c>
      <c r="H173" s="53">
        <f>IF(OR(IFERROR(MATCH(169,'List A'!$Q$5:$Q$204,0)+4,"")="",IF(IFERROR(MATCH(169,'List A'!$Q$5:$Q$204,0)+4,"")="","",INDEX('List A'!$K$5:$K$204,IFERROR(MATCH(169,'List A'!$Q$5:$Q$204,0)+4,"")-4))=""),"",INDEX('List B'!$D$5:$D$204,IF(IFERROR(MATCH(169,'List A'!$Q$5:$Q$204,0)+4,"")="","",INDEX('List A'!$K$5:$K$204,IFERROR(MATCH(169,'List A'!$Q$5:$Q$204,0)+4,"")-4))-4))</f>
        <v/>
      </c>
      <c r="I173" s="52">
        <f>IF(IFERROR(MATCH(169,'List A'!$Q$5:$Q$204,0)+4,"")="","",INDEX('List A'!$N$5:$N$204,IFERROR(MATCH(169,'List A'!$Q$5:$Q$204,0)+4,"")-4))</f>
        <v/>
      </c>
      <c r="J173" s="53">
        <f>IF(IFERROR(MATCH(169,'List A'!$Q$5:$Q$204,0)+4,"")="","",INDEX('List A'!$O$5:$O$204,IFERROR(MATCH(169,'List A'!$Q$5:$Q$204,0)+4,"")-4))</f>
        <v/>
      </c>
    </row>
    <row r="174" ht="17" customHeight="1">
      <c r="A174" s="87">
        <f>IF(IFERROR(MATCH(170,'List A'!$Q$5:$Q$204,0)+4,"")="","",INDEX('List A'!$A$5:$A$204,IFERROR(MATCH(170,'List A'!$Q$5:$Q$204,0)+4,"")-4))</f>
        <v/>
      </c>
      <c r="B174" s="53">
        <f>IF(IFERROR(MATCH(170,'List A'!$Q$5:$Q$204,0)+4,"")="","",INDEX('List A'!$B$5:$B$204,IFERROR(MATCH(170,'List A'!$Q$5:$Q$204,0)+4,"")-4))</f>
        <v/>
      </c>
      <c r="C174" s="52">
        <f>IF(IFERROR(MATCH(170,'List A'!$Q$5:$Q$204,0)+4,"")="","",INDEX('List A'!$C$5:$C$204,IFERROR(MATCH(170,'List A'!$Q$5:$Q$204,0)+4,"")-4))</f>
        <v/>
      </c>
      <c r="D174" s="53">
        <f>IF(IFERROR(MATCH(170,'List A'!$Q$5:$Q$204,0)+4,"")="","",INDEX('List A'!$D$5:$D$204,IFERROR(MATCH(170,'List A'!$Q$5:$Q$204,0)+4,"")-4))</f>
        <v/>
      </c>
      <c r="E174" s="87">
        <f>IF(OR(IFERROR(MATCH(170,'List A'!$Q$5:$Q$204,0)+4,"")="",IF(IFERROR(MATCH(170,'List A'!$Q$5:$Q$204,0)+4,"")="","",INDEX('List A'!$K$5:$K$204,IFERROR(MATCH(170,'List A'!$Q$5:$Q$204,0)+4,"")-4))=""),"",INDEX('List B'!$A$5:$A$204,IF(IFERROR(MATCH(170,'List A'!$Q$5:$Q$204,0)+4,"")="","",INDEX('List A'!$K$5:$K$204,IFERROR(MATCH(170,'List A'!$Q$5:$Q$204,0)+4,"")-4))-4))</f>
        <v/>
      </c>
      <c r="F174" s="53">
        <f>IF(OR(IFERROR(MATCH(170,'List A'!$Q$5:$Q$204,0)+4,"")="",IF(IFERROR(MATCH(170,'List A'!$Q$5:$Q$204,0)+4,"")="","",INDEX('List A'!$K$5:$K$204,IFERROR(MATCH(170,'List A'!$Q$5:$Q$204,0)+4,"")-4))=""),"",INDEX('List B'!$B$5:$B$204,IF(IFERROR(MATCH(170,'List A'!$Q$5:$Q$204,0)+4,"")="","",INDEX('List A'!$K$5:$K$204,IFERROR(MATCH(170,'List A'!$Q$5:$Q$204,0)+4,"")-4))-4))</f>
        <v/>
      </c>
      <c r="G174" s="52">
        <f>IF(OR(IFERROR(MATCH(170,'List A'!$Q$5:$Q$204,0)+4,"")="",IF(IFERROR(MATCH(170,'List A'!$Q$5:$Q$204,0)+4,"")="","",INDEX('List A'!$K$5:$K$204,IFERROR(MATCH(170,'List A'!$Q$5:$Q$204,0)+4,"")-4))=""),"",INDEX('List B'!$C$5:$C$204,IF(IFERROR(MATCH(170,'List A'!$Q$5:$Q$204,0)+4,"")="","",INDEX('List A'!$K$5:$K$204,IFERROR(MATCH(170,'List A'!$Q$5:$Q$204,0)+4,"")-4))-4))</f>
        <v/>
      </c>
      <c r="H174" s="53">
        <f>IF(OR(IFERROR(MATCH(170,'List A'!$Q$5:$Q$204,0)+4,"")="",IF(IFERROR(MATCH(170,'List A'!$Q$5:$Q$204,0)+4,"")="","",INDEX('List A'!$K$5:$K$204,IFERROR(MATCH(170,'List A'!$Q$5:$Q$204,0)+4,"")-4))=""),"",INDEX('List B'!$D$5:$D$204,IF(IFERROR(MATCH(170,'List A'!$Q$5:$Q$204,0)+4,"")="","",INDEX('List A'!$K$5:$K$204,IFERROR(MATCH(170,'List A'!$Q$5:$Q$204,0)+4,"")-4))-4))</f>
        <v/>
      </c>
      <c r="I174" s="52">
        <f>IF(IFERROR(MATCH(170,'List A'!$Q$5:$Q$204,0)+4,"")="","",INDEX('List A'!$N$5:$N$204,IFERROR(MATCH(170,'List A'!$Q$5:$Q$204,0)+4,"")-4))</f>
        <v/>
      </c>
      <c r="J174" s="53">
        <f>IF(IFERROR(MATCH(170,'List A'!$Q$5:$Q$204,0)+4,"")="","",INDEX('List A'!$O$5:$O$204,IFERROR(MATCH(170,'List A'!$Q$5:$Q$204,0)+4,"")-4))</f>
        <v/>
      </c>
    </row>
    <row r="175" ht="17" customHeight="1">
      <c r="A175" s="87">
        <f>IF(IFERROR(MATCH(171,'List A'!$Q$5:$Q$204,0)+4,"")="","",INDEX('List A'!$A$5:$A$204,IFERROR(MATCH(171,'List A'!$Q$5:$Q$204,0)+4,"")-4))</f>
        <v/>
      </c>
      <c r="B175" s="53">
        <f>IF(IFERROR(MATCH(171,'List A'!$Q$5:$Q$204,0)+4,"")="","",INDEX('List A'!$B$5:$B$204,IFERROR(MATCH(171,'List A'!$Q$5:$Q$204,0)+4,"")-4))</f>
        <v/>
      </c>
      <c r="C175" s="52">
        <f>IF(IFERROR(MATCH(171,'List A'!$Q$5:$Q$204,0)+4,"")="","",INDEX('List A'!$C$5:$C$204,IFERROR(MATCH(171,'List A'!$Q$5:$Q$204,0)+4,"")-4))</f>
        <v/>
      </c>
      <c r="D175" s="53">
        <f>IF(IFERROR(MATCH(171,'List A'!$Q$5:$Q$204,0)+4,"")="","",INDEX('List A'!$D$5:$D$204,IFERROR(MATCH(171,'List A'!$Q$5:$Q$204,0)+4,"")-4))</f>
        <v/>
      </c>
      <c r="E175" s="87">
        <f>IF(OR(IFERROR(MATCH(171,'List A'!$Q$5:$Q$204,0)+4,"")="",IF(IFERROR(MATCH(171,'List A'!$Q$5:$Q$204,0)+4,"")="","",INDEX('List A'!$K$5:$K$204,IFERROR(MATCH(171,'List A'!$Q$5:$Q$204,0)+4,"")-4))=""),"",INDEX('List B'!$A$5:$A$204,IF(IFERROR(MATCH(171,'List A'!$Q$5:$Q$204,0)+4,"")="","",INDEX('List A'!$K$5:$K$204,IFERROR(MATCH(171,'List A'!$Q$5:$Q$204,0)+4,"")-4))-4))</f>
        <v/>
      </c>
      <c r="F175" s="53">
        <f>IF(OR(IFERROR(MATCH(171,'List A'!$Q$5:$Q$204,0)+4,"")="",IF(IFERROR(MATCH(171,'List A'!$Q$5:$Q$204,0)+4,"")="","",INDEX('List A'!$K$5:$K$204,IFERROR(MATCH(171,'List A'!$Q$5:$Q$204,0)+4,"")-4))=""),"",INDEX('List B'!$B$5:$B$204,IF(IFERROR(MATCH(171,'List A'!$Q$5:$Q$204,0)+4,"")="","",INDEX('List A'!$K$5:$K$204,IFERROR(MATCH(171,'List A'!$Q$5:$Q$204,0)+4,"")-4))-4))</f>
        <v/>
      </c>
      <c r="G175" s="52">
        <f>IF(OR(IFERROR(MATCH(171,'List A'!$Q$5:$Q$204,0)+4,"")="",IF(IFERROR(MATCH(171,'List A'!$Q$5:$Q$204,0)+4,"")="","",INDEX('List A'!$K$5:$K$204,IFERROR(MATCH(171,'List A'!$Q$5:$Q$204,0)+4,"")-4))=""),"",INDEX('List B'!$C$5:$C$204,IF(IFERROR(MATCH(171,'List A'!$Q$5:$Q$204,0)+4,"")="","",INDEX('List A'!$K$5:$K$204,IFERROR(MATCH(171,'List A'!$Q$5:$Q$204,0)+4,"")-4))-4))</f>
        <v/>
      </c>
      <c r="H175" s="53">
        <f>IF(OR(IFERROR(MATCH(171,'List A'!$Q$5:$Q$204,0)+4,"")="",IF(IFERROR(MATCH(171,'List A'!$Q$5:$Q$204,0)+4,"")="","",INDEX('List A'!$K$5:$K$204,IFERROR(MATCH(171,'List A'!$Q$5:$Q$204,0)+4,"")-4))=""),"",INDEX('List B'!$D$5:$D$204,IF(IFERROR(MATCH(171,'List A'!$Q$5:$Q$204,0)+4,"")="","",INDEX('List A'!$K$5:$K$204,IFERROR(MATCH(171,'List A'!$Q$5:$Q$204,0)+4,"")-4))-4))</f>
        <v/>
      </c>
      <c r="I175" s="52">
        <f>IF(IFERROR(MATCH(171,'List A'!$Q$5:$Q$204,0)+4,"")="","",INDEX('List A'!$N$5:$N$204,IFERROR(MATCH(171,'List A'!$Q$5:$Q$204,0)+4,"")-4))</f>
        <v/>
      </c>
      <c r="J175" s="53">
        <f>IF(IFERROR(MATCH(171,'List A'!$Q$5:$Q$204,0)+4,"")="","",INDEX('List A'!$O$5:$O$204,IFERROR(MATCH(171,'List A'!$Q$5:$Q$204,0)+4,"")-4))</f>
        <v/>
      </c>
    </row>
    <row r="176" ht="17" customHeight="1">
      <c r="A176" s="87">
        <f>IF(IFERROR(MATCH(172,'List A'!$Q$5:$Q$204,0)+4,"")="","",INDEX('List A'!$A$5:$A$204,IFERROR(MATCH(172,'List A'!$Q$5:$Q$204,0)+4,"")-4))</f>
        <v/>
      </c>
      <c r="B176" s="53">
        <f>IF(IFERROR(MATCH(172,'List A'!$Q$5:$Q$204,0)+4,"")="","",INDEX('List A'!$B$5:$B$204,IFERROR(MATCH(172,'List A'!$Q$5:$Q$204,0)+4,"")-4))</f>
        <v/>
      </c>
      <c r="C176" s="52">
        <f>IF(IFERROR(MATCH(172,'List A'!$Q$5:$Q$204,0)+4,"")="","",INDEX('List A'!$C$5:$C$204,IFERROR(MATCH(172,'List A'!$Q$5:$Q$204,0)+4,"")-4))</f>
        <v/>
      </c>
      <c r="D176" s="53">
        <f>IF(IFERROR(MATCH(172,'List A'!$Q$5:$Q$204,0)+4,"")="","",INDEX('List A'!$D$5:$D$204,IFERROR(MATCH(172,'List A'!$Q$5:$Q$204,0)+4,"")-4))</f>
        <v/>
      </c>
      <c r="E176" s="87">
        <f>IF(OR(IFERROR(MATCH(172,'List A'!$Q$5:$Q$204,0)+4,"")="",IF(IFERROR(MATCH(172,'List A'!$Q$5:$Q$204,0)+4,"")="","",INDEX('List A'!$K$5:$K$204,IFERROR(MATCH(172,'List A'!$Q$5:$Q$204,0)+4,"")-4))=""),"",INDEX('List B'!$A$5:$A$204,IF(IFERROR(MATCH(172,'List A'!$Q$5:$Q$204,0)+4,"")="","",INDEX('List A'!$K$5:$K$204,IFERROR(MATCH(172,'List A'!$Q$5:$Q$204,0)+4,"")-4))-4))</f>
        <v/>
      </c>
      <c r="F176" s="53">
        <f>IF(OR(IFERROR(MATCH(172,'List A'!$Q$5:$Q$204,0)+4,"")="",IF(IFERROR(MATCH(172,'List A'!$Q$5:$Q$204,0)+4,"")="","",INDEX('List A'!$K$5:$K$204,IFERROR(MATCH(172,'List A'!$Q$5:$Q$204,0)+4,"")-4))=""),"",INDEX('List B'!$B$5:$B$204,IF(IFERROR(MATCH(172,'List A'!$Q$5:$Q$204,0)+4,"")="","",INDEX('List A'!$K$5:$K$204,IFERROR(MATCH(172,'List A'!$Q$5:$Q$204,0)+4,"")-4))-4))</f>
        <v/>
      </c>
      <c r="G176" s="52">
        <f>IF(OR(IFERROR(MATCH(172,'List A'!$Q$5:$Q$204,0)+4,"")="",IF(IFERROR(MATCH(172,'List A'!$Q$5:$Q$204,0)+4,"")="","",INDEX('List A'!$K$5:$K$204,IFERROR(MATCH(172,'List A'!$Q$5:$Q$204,0)+4,"")-4))=""),"",INDEX('List B'!$C$5:$C$204,IF(IFERROR(MATCH(172,'List A'!$Q$5:$Q$204,0)+4,"")="","",INDEX('List A'!$K$5:$K$204,IFERROR(MATCH(172,'List A'!$Q$5:$Q$204,0)+4,"")-4))-4))</f>
        <v/>
      </c>
      <c r="H176" s="53">
        <f>IF(OR(IFERROR(MATCH(172,'List A'!$Q$5:$Q$204,0)+4,"")="",IF(IFERROR(MATCH(172,'List A'!$Q$5:$Q$204,0)+4,"")="","",INDEX('List A'!$K$5:$K$204,IFERROR(MATCH(172,'List A'!$Q$5:$Q$204,0)+4,"")-4))=""),"",INDEX('List B'!$D$5:$D$204,IF(IFERROR(MATCH(172,'List A'!$Q$5:$Q$204,0)+4,"")="","",INDEX('List A'!$K$5:$K$204,IFERROR(MATCH(172,'List A'!$Q$5:$Q$204,0)+4,"")-4))-4))</f>
        <v/>
      </c>
      <c r="I176" s="52">
        <f>IF(IFERROR(MATCH(172,'List A'!$Q$5:$Q$204,0)+4,"")="","",INDEX('List A'!$N$5:$N$204,IFERROR(MATCH(172,'List A'!$Q$5:$Q$204,0)+4,"")-4))</f>
        <v/>
      </c>
      <c r="J176" s="53">
        <f>IF(IFERROR(MATCH(172,'List A'!$Q$5:$Q$204,0)+4,"")="","",INDEX('List A'!$O$5:$O$204,IFERROR(MATCH(172,'List A'!$Q$5:$Q$204,0)+4,"")-4))</f>
        <v/>
      </c>
    </row>
    <row r="177" ht="17" customHeight="1">
      <c r="A177" s="87">
        <f>IF(IFERROR(MATCH(173,'List A'!$Q$5:$Q$204,0)+4,"")="","",INDEX('List A'!$A$5:$A$204,IFERROR(MATCH(173,'List A'!$Q$5:$Q$204,0)+4,"")-4))</f>
        <v/>
      </c>
      <c r="B177" s="53">
        <f>IF(IFERROR(MATCH(173,'List A'!$Q$5:$Q$204,0)+4,"")="","",INDEX('List A'!$B$5:$B$204,IFERROR(MATCH(173,'List A'!$Q$5:$Q$204,0)+4,"")-4))</f>
        <v/>
      </c>
      <c r="C177" s="52">
        <f>IF(IFERROR(MATCH(173,'List A'!$Q$5:$Q$204,0)+4,"")="","",INDEX('List A'!$C$5:$C$204,IFERROR(MATCH(173,'List A'!$Q$5:$Q$204,0)+4,"")-4))</f>
        <v/>
      </c>
      <c r="D177" s="53">
        <f>IF(IFERROR(MATCH(173,'List A'!$Q$5:$Q$204,0)+4,"")="","",INDEX('List A'!$D$5:$D$204,IFERROR(MATCH(173,'List A'!$Q$5:$Q$204,0)+4,"")-4))</f>
        <v/>
      </c>
      <c r="E177" s="87">
        <f>IF(OR(IFERROR(MATCH(173,'List A'!$Q$5:$Q$204,0)+4,"")="",IF(IFERROR(MATCH(173,'List A'!$Q$5:$Q$204,0)+4,"")="","",INDEX('List A'!$K$5:$K$204,IFERROR(MATCH(173,'List A'!$Q$5:$Q$204,0)+4,"")-4))=""),"",INDEX('List B'!$A$5:$A$204,IF(IFERROR(MATCH(173,'List A'!$Q$5:$Q$204,0)+4,"")="","",INDEX('List A'!$K$5:$K$204,IFERROR(MATCH(173,'List A'!$Q$5:$Q$204,0)+4,"")-4))-4))</f>
        <v/>
      </c>
      <c r="F177" s="53">
        <f>IF(OR(IFERROR(MATCH(173,'List A'!$Q$5:$Q$204,0)+4,"")="",IF(IFERROR(MATCH(173,'List A'!$Q$5:$Q$204,0)+4,"")="","",INDEX('List A'!$K$5:$K$204,IFERROR(MATCH(173,'List A'!$Q$5:$Q$204,0)+4,"")-4))=""),"",INDEX('List B'!$B$5:$B$204,IF(IFERROR(MATCH(173,'List A'!$Q$5:$Q$204,0)+4,"")="","",INDEX('List A'!$K$5:$K$204,IFERROR(MATCH(173,'List A'!$Q$5:$Q$204,0)+4,"")-4))-4))</f>
        <v/>
      </c>
      <c r="G177" s="52">
        <f>IF(OR(IFERROR(MATCH(173,'List A'!$Q$5:$Q$204,0)+4,"")="",IF(IFERROR(MATCH(173,'List A'!$Q$5:$Q$204,0)+4,"")="","",INDEX('List A'!$K$5:$K$204,IFERROR(MATCH(173,'List A'!$Q$5:$Q$204,0)+4,"")-4))=""),"",INDEX('List B'!$C$5:$C$204,IF(IFERROR(MATCH(173,'List A'!$Q$5:$Q$204,0)+4,"")="","",INDEX('List A'!$K$5:$K$204,IFERROR(MATCH(173,'List A'!$Q$5:$Q$204,0)+4,"")-4))-4))</f>
        <v/>
      </c>
      <c r="H177" s="53">
        <f>IF(OR(IFERROR(MATCH(173,'List A'!$Q$5:$Q$204,0)+4,"")="",IF(IFERROR(MATCH(173,'List A'!$Q$5:$Q$204,0)+4,"")="","",INDEX('List A'!$K$5:$K$204,IFERROR(MATCH(173,'List A'!$Q$5:$Q$204,0)+4,"")-4))=""),"",INDEX('List B'!$D$5:$D$204,IF(IFERROR(MATCH(173,'List A'!$Q$5:$Q$204,0)+4,"")="","",INDEX('List A'!$K$5:$K$204,IFERROR(MATCH(173,'List A'!$Q$5:$Q$204,0)+4,"")-4))-4))</f>
        <v/>
      </c>
      <c r="I177" s="52">
        <f>IF(IFERROR(MATCH(173,'List A'!$Q$5:$Q$204,0)+4,"")="","",INDEX('List A'!$N$5:$N$204,IFERROR(MATCH(173,'List A'!$Q$5:$Q$204,0)+4,"")-4))</f>
        <v/>
      </c>
      <c r="J177" s="53">
        <f>IF(IFERROR(MATCH(173,'List A'!$Q$5:$Q$204,0)+4,"")="","",INDEX('List A'!$O$5:$O$204,IFERROR(MATCH(173,'List A'!$Q$5:$Q$204,0)+4,"")-4))</f>
        <v/>
      </c>
    </row>
    <row r="178" ht="17" customHeight="1">
      <c r="A178" s="87">
        <f>IF(IFERROR(MATCH(174,'List A'!$Q$5:$Q$204,0)+4,"")="","",INDEX('List A'!$A$5:$A$204,IFERROR(MATCH(174,'List A'!$Q$5:$Q$204,0)+4,"")-4))</f>
        <v/>
      </c>
      <c r="B178" s="53">
        <f>IF(IFERROR(MATCH(174,'List A'!$Q$5:$Q$204,0)+4,"")="","",INDEX('List A'!$B$5:$B$204,IFERROR(MATCH(174,'List A'!$Q$5:$Q$204,0)+4,"")-4))</f>
        <v/>
      </c>
      <c r="C178" s="52">
        <f>IF(IFERROR(MATCH(174,'List A'!$Q$5:$Q$204,0)+4,"")="","",INDEX('List A'!$C$5:$C$204,IFERROR(MATCH(174,'List A'!$Q$5:$Q$204,0)+4,"")-4))</f>
        <v/>
      </c>
      <c r="D178" s="53">
        <f>IF(IFERROR(MATCH(174,'List A'!$Q$5:$Q$204,0)+4,"")="","",INDEX('List A'!$D$5:$D$204,IFERROR(MATCH(174,'List A'!$Q$5:$Q$204,0)+4,"")-4))</f>
        <v/>
      </c>
      <c r="E178" s="87">
        <f>IF(OR(IFERROR(MATCH(174,'List A'!$Q$5:$Q$204,0)+4,"")="",IF(IFERROR(MATCH(174,'List A'!$Q$5:$Q$204,0)+4,"")="","",INDEX('List A'!$K$5:$K$204,IFERROR(MATCH(174,'List A'!$Q$5:$Q$204,0)+4,"")-4))=""),"",INDEX('List B'!$A$5:$A$204,IF(IFERROR(MATCH(174,'List A'!$Q$5:$Q$204,0)+4,"")="","",INDEX('List A'!$K$5:$K$204,IFERROR(MATCH(174,'List A'!$Q$5:$Q$204,0)+4,"")-4))-4))</f>
        <v/>
      </c>
      <c r="F178" s="53">
        <f>IF(OR(IFERROR(MATCH(174,'List A'!$Q$5:$Q$204,0)+4,"")="",IF(IFERROR(MATCH(174,'List A'!$Q$5:$Q$204,0)+4,"")="","",INDEX('List A'!$K$5:$K$204,IFERROR(MATCH(174,'List A'!$Q$5:$Q$204,0)+4,"")-4))=""),"",INDEX('List B'!$B$5:$B$204,IF(IFERROR(MATCH(174,'List A'!$Q$5:$Q$204,0)+4,"")="","",INDEX('List A'!$K$5:$K$204,IFERROR(MATCH(174,'List A'!$Q$5:$Q$204,0)+4,"")-4))-4))</f>
        <v/>
      </c>
      <c r="G178" s="52">
        <f>IF(OR(IFERROR(MATCH(174,'List A'!$Q$5:$Q$204,0)+4,"")="",IF(IFERROR(MATCH(174,'List A'!$Q$5:$Q$204,0)+4,"")="","",INDEX('List A'!$K$5:$K$204,IFERROR(MATCH(174,'List A'!$Q$5:$Q$204,0)+4,"")-4))=""),"",INDEX('List B'!$C$5:$C$204,IF(IFERROR(MATCH(174,'List A'!$Q$5:$Q$204,0)+4,"")="","",INDEX('List A'!$K$5:$K$204,IFERROR(MATCH(174,'List A'!$Q$5:$Q$204,0)+4,"")-4))-4))</f>
        <v/>
      </c>
      <c r="H178" s="53">
        <f>IF(OR(IFERROR(MATCH(174,'List A'!$Q$5:$Q$204,0)+4,"")="",IF(IFERROR(MATCH(174,'List A'!$Q$5:$Q$204,0)+4,"")="","",INDEX('List A'!$K$5:$K$204,IFERROR(MATCH(174,'List A'!$Q$5:$Q$204,0)+4,"")-4))=""),"",INDEX('List B'!$D$5:$D$204,IF(IFERROR(MATCH(174,'List A'!$Q$5:$Q$204,0)+4,"")="","",INDEX('List A'!$K$5:$K$204,IFERROR(MATCH(174,'List A'!$Q$5:$Q$204,0)+4,"")-4))-4))</f>
        <v/>
      </c>
      <c r="I178" s="52">
        <f>IF(IFERROR(MATCH(174,'List A'!$Q$5:$Q$204,0)+4,"")="","",INDEX('List A'!$N$5:$N$204,IFERROR(MATCH(174,'List A'!$Q$5:$Q$204,0)+4,"")-4))</f>
        <v/>
      </c>
      <c r="J178" s="53">
        <f>IF(IFERROR(MATCH(174,'List A'!$Q$5:$Q$204,0)+4,"")="","",INDEX('List A'!$O$5:$O$204,IFERROR(MATCH(174,'List A'!$Q$5:$Q$204,0)+4,"")-4))</f>
        <v/>
      </c>
    </row>
    <row r="179" ht="17" customHeight="1">
      <c r="A179" s="87">
        <f>IF(IFERROR(MATCH(175,'List A'!$Q$5:$Q$204,0)+4,"")="","",INDEX('List A'!$A$5:$A$204,IFERROR(MATCH(175,'List A'!$Q$5:$Q$204,0)+4,"")-4))</f>
        <v/>
      </c>
      <c r="B179" s="53">
        <f>IF(IFERROR(MATCH(175,'List A'!$Q$5:$Q$204,0)+4,"")="","",INDEX('List A'!$B$5:$B$204,IFERROR(MATCH(175,'List A'!$Q$5:$Q$204,0)+4,"")-4))</f>
        <v/>
      </c>
      <c r="C179" s="52">
        <f>IF(IFERROR(MATCH(175,'List A'!$Q$5:$Q$204,0)+4,"")="","",INDEX('List A'!$C$5:$C$204,IFERROR(MATCH(175,'List A'!$Q$5:$Q$204,0)+4,"")-4))</f>
        <v/>
      </c>
      <c r="D179" s="53">
        <f>IF(IFERROR(MATCH(175,'List A'!$Q$5:$Q$204,0)+4,"")="","",INDEX('List A'!$D$5:$D$204,IFERROR(MATCH(175,'List A'!$Q$5:$Q$204,0)+4,"")-4))</f>
        <v/>
      </c>
      <c r="E179" s="87">
        <f>IF(OR(IFERROR(MATCH(175,'List A'!$Q$5:$Q$204,0)+4,"")="",IF(IFERROR(MATCH(175,'List A'!$Q$5:$Q$204,0)+4,"")="","",INDEX('List A'!$K$5:$K$204,IFERROR(MATCH(175,'List A'!$Q$5:$Q$204,0)+4,"")-4))=""),"",INDEX('List B'!$A$5:$A$204,IF(IFERROR(MATCH(175,'List A'!$Q$5:$Q$204,0)+4,"")="","",INDEX('List A'!$K$5:$K$204,IFERROR(MATCH(175,'List A'!$Q$5:$Q$204,0)+4,"")-4))-4))</f>
        <v/>
      </c>
      <c r="F179" s="53">
        <f>IF(OR(IFERROR(MATCH(175,'List A'!$Q$5:$Q$204,0)+4,"")="",IF(IFERROR(MATCH(175,'List A'!$Q$5:$Q$204,0)+4,"")="","",INDEX('List A'!$K$5:$K$204,IFERROR(MATCH(175,'List A'!$Q$5:$Q$204,0)+4,"")-4))=""),"",INDEX('List B'!$B$5:$B$204,IF(IFERROR(MATCH(175,'List A'!$Q$5:$Q$204,0)+4,"")="","",INDEX('List A'!$K$5:$K$204,IFERROR(MATCH(175,'List A'!$Q$5:$Q$204,0)+4,"")-4))-4))</f>
        <v/>
      </c>
      <c r="G179" s="52">
        <f>IF(OR(IFERROR(MATCH(175,'List A'!$Q$5:$Q$204,0)+4,"")="",IF(IFERROR(MATCH(175,'List A'!$Q$5:$Q$204,0)+4,"")="","",INDEX('List A'!$K$5:$K$204,IFERROR(MATCH(175,'List A'!$Q$5:$Q$204,0)+4,"")-4))=""),"",INDEX('List B'!$C$5:$C$204,IF(IFERROR(MATCH(175,'List A'!$Q$5:$Q$204,0)+4,"")="","",INDEX('List A'!$K$5:$K$204,IFERROR(MATCH(175,'List A'!$Q$5:$Q$204,0)+4,"")-4))-4))</f>
        <v/>
      </c>
      <c r="H179" s="53">
        <f>IF(OR(IFERROR(MATCH(175,'List A'!$Q$5:$Q$204,0)+4,"")="",IF(IFERROR(MATCH(175,'List A'!$Q$5:$Q$204,0)+4,"")="","",INDEX('List A'!$K$5:$K$204,IFERROR(MATCH(175,'List A'!$Q$5:$Q$204,0)+4,"")-4))=""),"",INDEX('List B'!$D$5:$D$204,IF(IFERROR(MATCH(175,'List A'!$Q$5:$Q$204,0)+4,"")="","",INDEX('List A'!$K$5:$K$204,IFERROR(MATCH(175,'List A'!$Q$5:$Q$204,0)+4,"")-4))-4))</f>
        <v/>
      </c>
      <c r="I179" s="52">
        <f>IF(IFERROR(MATCH(175,'List A'!$Q$5:$Q$204,0)+4,"")="","",INDEX('List A'!$N$5:$N$204,IFERROR(MATCH(175,'List A'!$Q$5:$Q$204,0)+4,"")-4))</f>
        <v/>
      </c>
      <c r="J179" s="53">
        <f>IF(IFERROR(MATCH(175,'List A'!$Q$5:$Q$204,0)+4,"")="","",INDEX('List A'!$O$5:$O$204,IFERROR(MATCH(175,'List A'!$Q$5:$Q$204,0)+4,"")-4))</f>
        <v/>
      </c>
    </row>
    <row r="180" ht="17" customHeight="1">
      <c r="A180" s="87">
        <f>IF(IFERROR(MATCH(176,'List A'!$Q$5:$Q$204,0)+4,"")="","",INDEX('List A'!$A$5:$A$204,IFERROR(MATCH(176,'List A'!$Q$5:$Q$204,0)+4,"")-4))</f>
        <v/>
      </c>
      <c r="B180" s="53">
        <f>IF(IFERROR(MATCH(176,'List A'!$Q$5:$Q$204,0)+4,"")="","",INDEX('List A'!$B$5:$B$204,IFERROR(MATCH(176,'List A'!$Q$5:$Q$204,0)+4,"")-4))</f>
        <v/>
      </c>
      <c r="C180" s="52">
        <f>IF(IFERROR(MATCH(176,'List A'!$Q$5:$Q$204,0)+4,"")="","",INDEX('List A'!$C$5:$C$204,IFERROR(MATCH(176,'List A'!$Q$5:$Q$204,0)+4,"")-4))</f>
        <v/>
      </c>
      <c r="D180" s="53">
        <f>IF(IFERROR(MATCH(176,'List A'!$Q$5:$Q$204,0)+4,"")="","",INDEX('List A'!$D$5:$D$204,IFERROR(MATCH(176,'List A'!$Q$5:$Q$204,0)+4,"")-4))</f>
        <v/>
      </c>
      <c r="E180" s="87">
        <f>IF(OR(IFERROR(MATCH(176,'List A'!$Q$5:$Q$204,0)+4,"")="",IF(IFERROR(MATCH(176,'List A'!$Q$5:$Q$204,0)+4,"")="","",INDEX('List A'!$K$5:$K$204,IFERROR(MATCH(176,'List A'!$Q$5:$Q$204,0)+4,"")-4))=""),"",INDEX('List B'!$A$5:$A$204,IF(IFERROR(MATCH(176,'List A'!$Q$5:$Q$204,0)+4,"")="","",INDEX('List A'!$K$5:$K$204,IFERROR(MATCH(176,'List A'!$Q$5:$Q$204,0)+4,"")-4))-4))</f>
        <v/>
      </c>
      <c r="F180" s="53">
        <f>IF(OR(IFERROR(MATCH(176,'List A'!$Q$5:$Q$204,0)+4,"")="",IF(IFERROR(MATCH(176,'List A'!$Q$5:$Q$204,0)+4,"")="","",INDEX('List A'!$K$5:$K$204,IFERROR(MATCH(176,'List A'!$Q$5:$Q$204,0)+4,"")-4))=""),"",INDEX('List B'!$B$5:$B$204,IF(IFERROR(MATCH(176,'List A'!$Q$5:$Q$204,0)+4,"")="","",INDEX('List A'!$K$5:$K$204,IFERROR(MATCH(176,'List A'!$Q$5:$Q$204,0)+4,"")-4))-4))</f>
        <v/>
      </c>
      <c r="G180" s="52">
        <f>IF(OR(IFERROR(MATCH(176,'List A'!$Q$5:$Q$204,0)+4,"")="",IF(IFERROR(MATCH(176,'List A'!$Q$5:$Q$204,0)+4,"")="","",INDEX('List A'!$K$5:$K$204,IFERROR(MATCH(176,'List A'!$Q$5:$Q$204,0)+4,"")-4))=""),"",INDEX('List B'!$C$5:$C$204,IF(IFERROR(MATCH(176,'List A'!$Q$5:$Q$204,0)+4,"")="","",INDEX('List A'!$K$5:$K$204,IFERROR(MATCH(176,'List A'!$Q$5:$Q$204,0)+4,"")-4))-4))</f>
        <v/>
      </c>
      <c r="H180" s="53">
        <f>IF(OR(IFERROR(MATCH(176,'List A'!$Q$5:$Q$204,0)+4,"")="",IF(IFERROR(MATCH(176,'List A'!$Q$5:$Q$204,0)+4,"")="","",INDEX('List A'!$K$5:$K$204,IFERROR(MATCH(176,'List A'!$Q$5:$Q$204,0)+4,"")-4))=""),"",INDEX('List B'!$D$5:$D$204,IF(IFERROR(MATCH(176,'List A'!$Q$5:$Q$204,0)+4,"")="","",INDEX('List A'!$K$5:$K$204,IFERROR(MATCH(176,'List A'!$Q$5:$Q$204,0)+4,"")-4))-4))</f>
        <v/>
      </c>
      <c r="I180" s="52">
        <f>IF(IFERROR(MATCH(176,'List A'!$Q$5:$Q$204,0)+4,"")="","",INDEX('List A'!$N$5:$N$204,IFERROR(MATCH(176,'List A'!$Q$5:$Q$204,0)+4,"")-4))</f>
        <v/>
      </c>
      <c r="J180" s="53">
        <f>IF(IFERROR(MATCH(176,'List A'!$Q$5:$Q$204,0)+4,"")="","",INDEX('List A'!$O$5:$O$204,IFERROR(MATCH(176,'List A'!$Q$5:$Q$204,0)+4,"")-4))</f>
        <v/>
      </c>
    </row>
    <row r="181" ht="17" customHeight="1">
      <c r="A181" s="87">
        <f>IF(IFERROR(MATCH(177,'List A'!$Q$5:$Q$204,0)+4,"")="","",INDEX('List A'!$A$5:$A$204,IFERROR(MATCH(177,'List A'!$Q$5:$Q$204,0)+4,"")-4))</f>
        <v/>
      </c>
      <c r="B181" s="53">
        <f>IF(IFERROR(MATCH(177,'List A'!$Q$5:$Q$204,0)+4,"")="","",INDEX('List A'!$B$5:$B$204,IFERROR(MATCH(177,'List A'!$Q$5:$Q$204,0)+4,"")-4))</f>
        <v/>
      </c>
      <c r="C181" s="52">
        <f>IF(IFERROR(MATCH(177,'List A'!$Q$5:$Q$204,0)+4,"")="","",INDEX('List A'!$C$5:$C$204,IFERROR(MATCH(177,'List A'!$Q$5:$Q$204,0)+4,"")-4))</f>
        <v/>
      </c>
      <c r="D181" s="53">
        <f>IF(IFERROR(MATCH(177,'List A'!$Q$5:$Q$204,0)+4,"")="","",INDEX('List A'!$D$5:$D$204,IFERROR(MATCH(177,'List A'!$Q$5:$Q$204,0)+4,"")-4))</f>
        <v/>
      </c>
      <c r="E181" s="87">
        <f>IF(OR(IFERROR(MATCH(177,'List A'!$Q$5:$Q$204,0)+4,"")="",IF(IFERROR(MATCH(177,'List A'!$Q$5:$Q$204,0)+4,"")="","",INDEX('List A'!$K$5:$K$204,IFERROR(MATCH(177,'List A'!$Q$5:$Q$204,0)+4,"")-4))=""),"",INDEX('List B'!$A$5:$A$204,IF(IFERROR(MATCH(177,'List A'!$Q$5:$Q$204,0)+4,"")="","",INDEX('List A'!$K$5:$K$204,IFERROR(MATCH(177,'List A'!$Q$5:$Q$204,0)+4,"")-4))-4))</f>
        <v/>
      </c>
      <c r="F181" s="53">
        <f>IF(OR(IFERROR(MATCH(177,'List A'!$Q$5:$Q$204,0)+4,"")="",IF(IFERROR(MATCH(177,'List A'!$Q$5:$Q$204,0)+4,"")="","",INDEX('List A'!$K$5:$K$204,IFERROR(MATCH(177,'List A'!$Q$5:$Q$204,0)+4,"")-4))=""),"",INDEX('List B'!$B$5:$B$204,IF(IFERROR(MATCH(177,'List A'!$Q$5:$Q$204,0)+4,"")="","",INDEX('List A'!$K$5:$K$204,IFERROR(MATCH(177,'List A'!$Q$5:$Q$204,0)+4,"")-4))-4))</f>
        <v/>
      </c>
      <c r="G181" s="52">
        <f>IF(OR(IFERROR(MATCH(177,'List A'!$Q$5:$Q$204,0)+4,"")="",IF(IFERROR(MATCH(177,'List A'!$Q$5:$Q$204,0)+4,"")="","",INDEX('List A'!$K$5:$K$204,IFERROR(MATCH(177,'List A'!$Q$5:$Q$204,0)+4,"")-4))=""),"",INDEX('List B'!$C$5:$C$204,IF(IFERROR(MATCH(177,'List A'!$Q$5:$Q$204,0)+4,"")="","",INDEX('List A'!$K$5:$K$204,IFERROR(MATCH(177,'List A'!$Q$5:$Q$204,0)+4,"")-4))-4))</f>
        <v/>
      </c>
      <c r="H181" s="53">
        <f>IF(OR(IFERROR(MATCH(177,'List A'!$Q$5:$Q$204,0)+4,"")="",IF(IFERROR(MATCH(177,'List A'!$Q$5:$Q$204,0)+4,"")="","",INDEX('List A'!$K$5:$K$204,IFERROR(MATCH(177,'List A'!$Q$5:$Q$204,0)+4,"")-4))=""),"",INDEX('List B'!$D$5:$D$204,IF(IFERROR(MATCH(177,'List A'!$Q$5:$Q$204,0)+4,"")="","",INDEX('List A'!$K$5:$K$204,IFERROR(MATCH(177,'List A'!$Q$5:$Q$204,0)+4,"")-4))-4))</f>
        <v/>
      </c>
      <c r="I181" s="52">
        <f>IF(IFERROR(MATCH(177,'List A'!$Q$5:$Q$204,0)+4,"")="","",INDEX('List A'!$N$5:$N$204,IFERROR(MATCH(177,'List A'!$Q$5:$Q$204,0)+4,"")-4))</f>
        <v/>
      </c>
      <c r="J181" s="53">
        <f>IF(IFERROR(MATCH(177,'List A'!$Q$5:$Q$204,0)+4,"")="","",INDEX('List A'!$O$5:$O$204,IFERROR(MATCH(177,'List A'!$Q$5:$Q$204,0)+4,"")-4))</f>
        <v/>
      </c>
    </row>
    <row r="182" ht="17" customHeight="1">
      <c r="A182" s="87">
        <f>IF(IFERROR(MATCH(178,'List A'!$Q$5:$Q$204,0)+4,"")="","",INDEX('List A'!$A$5:$A$204,IFERROR(MATCH(178,'List A'!$Q$5:$Q$204,0)+4,"")-4))</f>
        <v/>
      </c>
      <c r="B182" s="53">
        <f>IF(IFERROR(MATCH(178,'List A'!$Q$5:$Q$204,0)+4,"")="","",INDEX('List A'!$B$5:$B$204,IFERROR(MATCH(178,'List A'!$Q$5:$Q$204,0)+4,"")-4))</f>
        <v/>
      </c>
      <c r="C182" s="52">
        <f>IF(IFERROR(MATCH(178,'List A'!$Q$5:$Q$204,0)+4,"")="","",INDEX('List A'!$C$5:$C$204,IFERROR(MATCH(178,'List A'!$Q$5:$Q$204,0)+4,"")-4))</f>
        <v/>
      </c>
      <c r="D182" s="53">
        <f>IF(IFERROR(MATCH(178,'List A'!$Q$5:$Q$204,0)+4,"")="","",INDEX('List A'!$D$5:$D$204,IFERROR(MATCH(178,'List A'!$Q$5:$Q$204,0)+4,"")-4))</f>
        <v/>
      </c>
      <c r="E182" s="87">
        <f>IF(OR(IFERROR(MATCH(178,'List A'!$Q$5:$Q$204,0)+4,"")="",IF(IFERROR(MATCH(178,'List A'!$Q$5:$Q$204,0)+4,"")="","",INDEX('List A'!$K$5:$K$204,IFERROR(MATCH(178,'List A'!$Q$5:$Q$204,0)+4,"")-4))=""),"",INDEX('List B'!$A$5:$A$204,IF(IFERROR(MATCH(178,'List A'!$Q$5:$Q$204,0)+4,"")="","",INDEX('List A'!$K$5:$K$204,IFERROR(MATCH(178,'List A'!$Q$5:$Q$204,0)+4,"")-4))-4))</f>
        <v/>
      </c>
      <c r="F182" s="53">
        <f>IF(OR(IFERROR(MATCH(178,'List A'!$Q$5:$Q$204,0)+4,"")="",IF(IFERROR(MATCH(178,'List A'!$Q$5:$Q$204,0)+4,"")="","",INDEX('List A'!$K$5:$K$204,IFERROR(MATCH(178,'List A'!$Q$5:$Q$204,0)+4,"")-4))=""),"",INDEX('List B'!$B$5:$B$204,IF(IFERROR(MATCH(178,'List A'!$Q$5:$Q$204,0)+4,"")="","",INDEX('List A'!$K$5:$K$204,IFERROR(MATCH(178,'List A'!$Q$5:$Q$204,0)+4,"")-4))-4))</f>
        <v/>
      </c>
      <c r="G182" s="52">
        <f>IF(OR(IFERROR(MATCH(178,'List A'!$Q$5:$Q$204,0)+4,"")="",IF(IFERROR(MATCH(178,'List A'!$Q$5:$Q$204,0)+4,"")="","",INDEX('List A'!$K$5:$K$204,IFERROR(MATCH(178,'List A'!$Q$5:$Q$204,0)+4,"")-4))=""),"",INDEX('List B'!$C$5:$C$204,IF(IFERROR(MATCH(178,'List A'!$Q$5:$Q$204,0)+4,"")="","",INDEX('List A'!$K$5:$K$204,IFERROR(MATCH(178,'List A'!$Q$5:$Q$204,0)+4,"")-4))-4))</f>
        <v/>
      </c>
      <c r="H182" s="53">
        <f>IF(OR(IFERROR(MATCH(178,'List A'!$Q$5:$Q$204,0)+4,"")="",IF(IFERROR(MATCH(178,'List A'!$Q$5:$Q$204,0)+4,"")="","",INDEX('List A'!$K$5:$K$204,IFERROR(MATCH(178,'List A'!$Q$5:$Q$204,0)+4,"")-4))=""),"",INDEX('List B'!$D$5:$D$204,IF(IFERROR(MATCH(178,'List A'!$Q$5:$Q$204,0)+4,"")="","",INDEX('List A'!$K$5:$K$204,IFERROR(MATCH(178,'List A'!$Q$5:$Q$204,0)+4,"")-4))-4))</f>
        <v/>
      </c>
      <c r="I182" s="52">
        <f>IF(IFERROR(MATCH(178,'List A'!$Q$5:$Q$204,0)+4,"")="","",INDEX('List A'!$N$5:$N$204,IFERROR(MATCH(178,'List A'!$Q$5:$Q$204,0)+4,"")-4))</f>
        <v/>
      </c>
      <c r="J182" s="53">
        <f>IF(IFERROR(MATCH(178,'List A'!$Q$5:$Q$204,0)+4,"")="","",INDEX('List A'!$O$5:$O$204,IFERROR(MATCH(178,'List A'!$Q$5:$Q$204,0)+4,"")-4))</f>
        <v/>
      </c>
    </row>
    <row r="183" ht="17" customHeight="1">
      <c r="A183" s="87">
        <f>IF(IFERROR(MATCH(179,'List A'!$Q$5:$Q$204,0)+4,"")="","",INDEX('List A'!$A$5:$A$204,IFERROR(MATCH(179,'List A'!$Q$5:$Q$204,0)+4,"")-4))</f>
        <v/>
      </c>
      <c r="B183" s="53">
        <f>IF(IFERROR(MATCH(179,'List A'!$Q$5:$Q$204,0)+4,"")="","",INDEX('List A'!$B$5:$B$204,IFERROR(MATCH(179,'List A'!$Q$5:$Q$204,0)+4,"")-4))</f>
        <v/>
      </c>
      <c r="C183" s="52">
        <f>IF(IFERROR(MATCH(179,'List A'!$Q$5:$Q$204,0)+4,"")="","",INDEX('List A'!$C$5:$C$204,IFERROR(MATCH(179,'List A'!$Q$5:$Q$204,0)+4,"")-4))</f>
        <v/>
      </c>
      <c r="D183" s="53">
        <f>IF(IFERROR(MATCH(179,'List A'!$Q$5:$Q$204,0)+4,"")="","",INDEX('List A'!$D$5:$D$204,IFERROR(MATCH(179,'List A'!$Q$5:$Q$204,0)+4,"")-4))</f>
        <v/>
      </c>
      <c r="E183" s="87">
        <f>IF(OR(IFERROR(MATCH(179,'List A'!$Q$5:$Q$204,0)+4,"")="",IF(IFERROR(MATCH(179,'List A'!$Q$5:$Q$204,0)+4,"")="","",INDEX('List A'!$K$5:$K$204,IFERROR(MATCH(179,'List A'!$Q$5:$Q$204,0)+4,"")-4))=""),"",INDEX('List B'!$A$5:$A$204,IF(IFERROR(MATCH(179,'List A'!$Q$5:$Q$204,0)+4,"")="","",INDEX('List A'!$K$5:$K$204,IFERROR(MATCH(179,'List A'!$Q$5:$Q$204,0)+4,"")-4))-4))</f>
        <v/>
      </c>
      <c r="F183" s="53">
        <f>IF(OR(IFERROR(MATCH(179,'List A'!$Q$5:$Q$204,0)+4,"")="",IF(IFERROR(MATCH(179,'List A'!$Q$5:$Q$204,0)+4,"")="","",INDEX('List A'!$K$5:$K$204,IFERROR(MATCH(179,'List A'!$Q$5:$Q$204,0)+4,"")-4))=""),"",INDEX('List B'!$B$5:$B$204,IF(IFERROR(MATCH(179,'List A'!$Q$5:$Q$204,0)+4,"")="","",INDEX('List A'!$K$5:$K$204,IFERROR(MATCH(179,'List A'!$Q$5:$Q$204,0)+4,"")-4))-4))</f>
        <v/>
      </c>
      <c r="G183" s="52">
        <f>IF(OR(IFERROR(MATCH(179,'List A'!$Q$5:$Q$204,0)+4,"")="",IF(IFERROR(MATCH(179,'List A'!$Q$5:$Q$204,0)+4,"")="","",INDEX('List A'!$K$5:$K$204,IFERROR(MATCH(179,'List A'!$Q$5:$Q$204,0)+4,"")-4))=""),"",INDEX('List B'!$C$5:$C$204,IF(IFERROR(MATCH(179,'List A'!$Q$5:$Q$204,0)+4,"")="","",INDEX('List A'!$K$5:$K$204,IFERROR(MATCH(179,'List A'!$Q$5:$Q$204,0)+4,"")-4))-4))</f>
        <v/>
      </c>
      <c r="H183" s="53">
        <f>IF(OR(IFERROR(MATCH(179,'List A'!$Q$5:$Q$204,0)+4,"")="",IF(IFERROR(MATCH(179,'List A'!$Q$5:$Q$204,0)+4,"")="","",INDEX('List A'!$K$5:$K$204,IFERROR(MATCH(179,'List A'!$Q$5:$Q$204,0)+4,"")-4))=""),"",INDEX('List B'!$D$5:$D$204,IF(IFERROR(MATCH(179,'List A'!$Q$5:$Q$204,0)+4,"")="","",INDEX('List A'!$K$5:$K$204,IFERROR(MATCH(179,'List A'!$Q$5:$Q$204,0)+4,"")-4))-4))</f>
        <v/>
      </c>
      <c r="I183" s="52">
        <f>IF(IFERROR(MATCH(179,'List A'!$Q$5:$Q$204,0)+4,"")="","",INDEX('List A'!$N$5:$N$204,IFERROR(MATCH(179,'List A'!$Q$5:$Q$204,0)+4,"")-4))</f>
        <v/>
      </c>
      <c r="J183" s="53">
        <f>IF(IFERROR(MATCH(179,'List A'!$Q$5:$Q$204,0)+4,"")="","",INDEX('List A'!$O$5:$O$204,IFERROR(MATCH(179,'List A'!$Q$5:$Q$204,0)+4,"")-4))</f>
        <v/>
      </c>
    </row>
    <row r="184" ht="17" customHeight="1">
      <c r="A184" s="87">
        <f>IF(IFERROR(MATCH(180,'List A'!$Q$5:$Q$204,0)+4,"")="","",INDEX('List A'!$A$5:$A$204,IFERROR(MATCH(180,'List A'!$Q$5:$Q$204,0)+4,"")-4))</f>
        <v/>
      </c>
      <c r="B184" s="53">
        <f>IF(IFERROR(MATCH(180,'List A'!$Q$5:$Q$204,0)+4,"")="","",INDEX('List A'!$B$5:$B$204,IFERROR(MATCH(180,'List A'!$Q$5:$Q$204,0)+4,"")-4))</f>
        <v/>
      </c>
      <c r="C184" s="52">
        <f>IF(IFERROR(MATCH(180,'List A'!$Q$5:$Q$204,0)+4,"")="","",INDEX('List A'!$C$5:$C$204,IFERROR(MATCH(180,'List A'!$Q$5:$Q$204,0)+4,"")-4))</f>
        <v/>
      </c>
      <c r="D184" s="53">
        <f>IF(IFERROR(MATCH(180,'List A'!$Q$5:$Q$204,0)+4,"")="","",INDEX('List A'!$D$5:$D$204,IFERROR(MATCH(180,'List A'!$Q$5:$Q$204,0)+4,"")-4))</f>
        <v/>
      </c>
      <c r="E184" s="87">
        <f>IF(OR(IFERROR(MATCH(180,'List A'!$Q$5:$Q$204,0)+4,"")="",IF(IFERROR(MATCH(180,'List A'!$Q$5:$Q$204,0)+4,"")="","",INDEX('List A'!$K$5:$K$204,IFERROR(MATCH(180,'List A'!$Q$5:$Q$204,0)+4,"")-4))=""),"",INDEX('List B'!$A$5:$A$204,IF(IFERROR(MATCH(180,'List A'!$Q$5:$Q$204,0)+4,"")="","",INDEX('List A'!$K$5:$K$204,IFERROR(MATCH(180,'List A'!$Q$5:$Q$204,0)+4,"")-4))-4))</f>
        <v/>
      </c>
      <c r="F184" s="53">
        <f>IF(OR(IFERROR(MATCH(180,'List A'!$Q$5:$Q$204,0)+4,"")="",IF(IFERROR(MATCH(180,'List A'!$Q$5:$Q$204,0)+4,"")="","",INDEX('List A'!$K$5:$K$204,IFERROR(MATCH(180,'List A'!$Q$5:$Q$204,0)+4,"")-4))=""),"",INDEX('List B'!$B$5:$B$204,IF(IFERROR(MATCH(180,'List A'!$Q$5:$Q$204,0)+4,"")="","",INDEX('List A'!$K$5:$K$204,IFERROR(MATCH(180,'List A'!$Q$5:$Q$204,0)+4,"")-4))-4))</f>
        <v/>
      </c>
      <c r="G184" s="52">
        <f>IF(OR(IFERROR(MATCH(180,'List A'!$Q$5:$Q$204,0)+4,"")="",IF(IFERROR(MATCH(180,'List A'!$Q$5:$Q$204,0)+4,"")="","",INDEX('List A'!$K$5:$K$204,IFERROR(MATCH(180,'List A'!$Q$5:$Q$204,0)+4,"")-4))=""),"",INDEX('List B'!$C$5:$C$204,IF(IFERROR(MATCH(180,'List A'!$Q$5:$Q$204,0)+4,"")="","",INDEX('List A'!$K$5:$K$204,IFERROR(MATCH(180,'List A'!$Q$5:$Q$204,0)+4,"")-4))-4))</f>
        <v/>
      </c>
      <c r="H184" s="53">
        <f>IF(OR(IFERROR(MATCH(180,'List A'!$Q$5:$Q$204,0)+4,"")="",IF(IFERROR(MATCH(180,'List A'!$Q$5:$Q$204,0)+4,"")="","",INDEX('List A'!$K$5:$K$204,IFERROR(MATCH(180,'List A'!$Q$5:$Q$204,0)+4,"")-4))=""),"",INDEX('List B'!$D$5:$D$204,IF(IFERROR(MATCH(180,'List A'!$Q$5:$Q$204,0)+4,"")="","",INDEX('List A'!$K$5:$K$204,IFERROR(MATCH(180,'List A'!$Q$5:$Q$204,0)+4,"")-4))-4))</f>
        <v/>
      </c>
      <c r="I184" s="52">
        <f>IF(IFERROR(MATCH(180,'List A'!$Q$5:$Q$204,0)+4,"")="","",INDEX('List A'!$N$5:$N$204,IFERROR(MATCH(180,'List A'!$Q$5:$Q$204,0)+4,"")-4))</f>
        <v/>
      </c>
      <c r="J184" s="53">
        <f>IF(IFERROR(MATCH(180,'List A'!$Q$5:$Q$204,0)+4,"")="","",INDEX('List A'!$O$5:$O$204,IFERROR(MATCH(180,'List A'!$Q$5:$Q$204,0)+4,"")-4))</f>
        <v/>
      </c>
    </row>
    <row r="185" ht="17" customHeight="1">
      <c r="A185" s="87">
        <f>IF(IFERROR(MATCH(181,'List A'!$Q$5:$Q$204,0)+4,"")="","",INDEX('List A'!$A$5:$A$204,IFERROR(MATCH(181,'List A'!$Q$5:$Q$204,0)+4,"")-4))</f>
        <v/>
      </c>
      <c r="B185" s="53">
        <f>IF(IFERROR(MATCH(181,'List A'!$Q$5:$Q$204,0)+4,"")="","",INDEX('List A'!$B$5:$B$204,IFERROR(MATCH(181,'List A'!$Q$5:$Q$204,0)+4,"")-4))</f>
        <v/>
      </c>
      <c r="C185" s="52">
        <f>IF(IFERROR(MATCH(181,'List A'!$Q$5:$Q$204,0)+4,"")="","",INDEX('List A'!$C$5:$C$204,IFERROR(MATCH(181,'List A'!$Q$5:$Q$204,0)+4,"")-4))</f>
        <v/>
      </c>
      <c r="D185" s="53">
        <f>IF(IFERROR(MATCH(181,'List A'!$Q$5:$Q$204,0)+4,"")="","",INDEX('List A'!$D$5:$D$204,IFERROR(MATCH(181,'List A'!$Q$5:$Q$204,0)+4,"")-4))</f>
        <v/>
      </c>
      <c r="E185" s="87">
        <f>IF(OR(IFERROR(MATCH(181,'List A'!$Q$5:$Q$204,0)+4,"")="",IF(IFERROR(MATCH(181,'List A'!$Q$5:$Q$204,0)+4,"")="","",INDEX('List A'!$K$5:$K$204,IFERROR(MATCH(181,'List A'!$Q$5:$Q$204,0)+4,"")-4))=""),"",INDEX('List B'!$A$5:$A$204,IF(IFERROR(MATCH(181,'List A'!$Q$5:$Q$204,0)+4,"")="","",INDEX('List A'!$K$5:$K$204,IFERROR(MATCH(181,'List A'!$Q$5:$Q$204,0)+4,"")-4))-4))</f>
        <v/>
      </c>
      <c r="F185" s="53">
        <f>IF(OR(IFERROR(MATCH(181,'List A'!$Q$5:$Q$204,0)+4,"")="",IF(IFERROR(MATCH(181,'List A'!$Q$5:$Q$204,0)+4,"")="","",INDEX('List A'!$K$5:$K$204,IFERROR(MATCH(181,'List A'!$Q$5:$Q$204,0)+4,"")-4))=""),"",INDEX('List B'!$B$5:$B$204,IF(IFERROR(MATCH(181,'List A'!$Q$5:$Q$204,0)+4,"")="","",INDEX('List A'!$K$5:$K$204,IFERROR(MATCH(181,'List A'!$Q$5:$Q$204,0)+4,"")-4))-4))</f>
        <v/>
      </c>
      <c r="G185" s="52">
        <f>IF(OR(IFERROR(MATCH(181,'List A'!$Q$5:$Q$204,0)+4,"")="",IF(IFERROR(MATCH(181,'List A'!$Q$5:$Q$204,0)+4,"")="","",INDEX('List A'!$K$5:$K$204,IFERROR(MATCH(181,'List A'!$Q$5:$Q$204,0)+4,"")-4))=""),"",INDEX('List B'!$C$5:$C$204,IF(IFERROR(MATCH(181,'List A'!$Q$5:$Q$204,0)+4,"")="","",INDEX('List A'!$K$5:$K$204,IFERROR(MATCH(181,'List A'!$Q$5:$Q$204,0)+4,"")-4))-4))</f>
        <v/>
      </c>
      <c r="H185" s="53">
        <f>IF(OR(IFERROR(MATCH(181,'List A'!$Q$5:$Q$204,0)+4,"")="",IF(IFERROR(MATCH(181,'List A'!$Q$5:$Q$204,0)+4,"")="","",INDEX('List A'!$K$5:$K$204,IFERROR(MATCH(181,'List A'!$Q$5:$Q$204,0)+4,"")-4))=""),"",INDEX('List B'!$D$5:$D$204,IF(IFERROR(MATCH(181,'List A'!$Q$5:$Q$204,0)+4,"")="","",INDEX('List A'!$K$5:$K$204,IFERROR(MATCH(181,'List A'!$Q$5:$Q$204,0)+4,"")-4))-4))</f>
        <v/>
      </c>
      <c r="I185" s="52">
        <f>IF(IFERROR(MATCH(181,'List A'!$Q$5:$Q$204,0)+4,"")="","",INDEX('List A'!$N$5:$N$204,IFERROR(MATCH(181,'List A'!$Q$5:$Q$204,0)+4,"")-4))</f>
        <v/>
      </c>
      <c r="J185" s="53">
        <f>IF(IFERROR(MATCH(181,'List A'!$Q$5:$Q$204,0)+4,"")="","",INDEX('List A'!$O$5:$O$204,IFERROR(MATCH(181,'List A'!$Q$5:$Q$204,0)+4,"")-4))</f>
        <v/>
      </c>
    </row>
    <row r="186" ht="17" customHeight="1">
      <c r="A186" s="87">
        <f>IF(IFERROR(MATCH(182,'List A'!$Q$5:$Q$204,0)+4,"")="","",INDEX('List A'!$A$5:$A$204,IFERROR(MATCH(182,'List A'!$Q$5:$Q$204,0)+4,"")-4))</f>
        <v/>
      </c>
      <c r="B186" s="53">
        <f>IF(IFERROR(MATCH(182,'List A'!$Q$5:$Q$204,0)+4,"")="","",INDEX('List A'!$B$5:$B$204,IFERROR(MATCH(182,'List A'!$Q$5:$Q$204,0)+4,"")-4))</f>
        <v/>
      </c>
      <c r="C186" s="52">
        <f>IF(IFERROR(MATCH(182,'List A'!$Q$5:$Q$204,0)+4,"")="","",INDEX('List A'!$C$5:$C$204,IFERROR(MATCH(182,'List A'!$Q$5:$Q$204,0)+4,"")-4))</f>
        <v/>
      </c>
      <c r="D186" s="53">
        <f>IF(IFERROR(MATCH(182,'List A'!$Q$5:$Q$204,0)+4,"")="","",INDEX('List A'!$D$5:$D$204,IFERROR(MATCH(182,'List A'!$Q$5:$Q$204,0)+4,"")-4))</f>
        <v/>
      </c>
      <c r="E186" s="87">
        <f>IF(OR(IFERROR(MATCH(182,'List A'!$Q$5:$Q$204,0)+4,"")="",IF(IFERROR(MATCH(182,'List A'!$Q$5:$Q$204,0)+4,"")="","",INDEX('List A'!$K$5:$K$204,IFERROR(MATCH(182,'List A'!$Q$5:$Q$204,0)+4,"")-4))=""),"",INDEX('List B'!$A$5:$A$204,IF(IFERROR(MATCH(182,'List A'!$Q$5:$Q$204,0)+4,"")="","",INDEX('List A'!$K$5:$K$204,IFERROR(MATCH(182,'List A'!$Q$5:$Q$204,0)+4,"")-4))-4))</f>
        <v/>
      </c>
      <c r="F186" s="53">
        <f>IF(OR(IFERROR(MATCH(182,'List A'!$Q$5:$Q$204,0)+4,"")="",IF(IFERROR(MATCH(182,'List A'!$Q$5:$Q$204,0)+4,"")="","",INDEX('List A'!$K$5:$K$204,IFERROR(MATCH(182,'List A'!$Q$5:$Q$204,0)+4,"")-4))=""),"",INDEX('List B'!$B$5:$B$204,IF(IFERROR(MATCH(182,'List A'!$Q$5:$Q$204,0)+4,"")="","",INDEX('List A'!$K$5:$K$204,IFERROR(MATCH(182,'List A'!$Q$5:$Q$204,0)+4,"")-4))-4))</f>
        <v/>
      </c>
      <c r="G186" s="52">
        <f>IF(OR(IFERROR(MATCH(182,'List A'!$Q$5:$Q$204,0)+4,"")="",IF(IFERROR(MATCH(182,'List A'!$Q$5:$Q$204,0)+4,"")="","",INDEX('List A'!$K$5:$K$204,IFERROR(MATCH(182,'List A'!$Q$5:$Q$204,0)+4,"")-4))=""),"",INDEX('List B'!$C$5:$C$204,IF(IFERROR(MATCH(182,'List A'!$Q$5:$Q$204,0)+4,"")="","",INDEX('List A'!$K$5:$K$204,IFERROR(MATCH(182,'List A'!$Q$5:$Q$204,0)+4,"")-4))-4))</f>
        <v/>
      </c>
      <c r="H186" s="53">
        <f>IF(OR(IFERROR(MATCH(182,'List A'!$Q$5:$Q$204,0)+4,"")="",IF(IFERROR(MATCH(182,'List A'!$Q$5:$Q$204,0)+4,"")="","",INDEX('List A'!$K$5:$K$204,IFERROR(MATCH(182,'List A'!$Q$5:$Q$204,0)+4,"")-4))=""),"",INDEX('List B'!$D$5:$D$204,IF(IFERROR(MATCH(182,'List A'!$Q$5:$Q$204,0)+4,"")="","",INDEX('List A'!$K$5:$K$204,IFERROR(MATCH(182,'List A'!$Q$5:$Q$204,0)+4,"")-4))-4))</f>
        <v/>
      </c>
      <c r="I186" s="52">
        <f>IF(IFERROR(MATCH(182,'List A'!$Q$5:$Q$204,0)+4,"")="","",INDEX('List A'!$N$5:$N$204,IFERROR(MATCH(182,'List A'!$Q$5:$Q$204,0)+4,"")-4))</f>
        <v/>
      </c>
      <c r="J186" s="53">
        <f>IF(IFERROR(MATCH(182,'List A'!$Q$5:$Q$204,0)+4,"")="","",INDEX('List A'!$O$5:$O$204,IFERROR(MATCH(182,'List A'!$Q$5:$Q$204,0)+4,"")-4))</f>
        <v/>
      </c>
    </row>
    <row r="187" ht="17" customHeight="1">
      <c r="A187" s="87">
        <f>IF(IFERROR(MATCH(183,'List A'!$Q$5:$Q$204,0)+4,"")="","",INDEX('List A'!$A$5:$A$204,IFERROR(MATCH(183,'List A'!$Q$5:$Q$204,0)+4,"")-4))</f>
        <v/>
      </c>
      <c r="B187" s="53">
        <f>IF(IFERROR(MATCH(183,'List A'!$Q$5:$Q$204,0)+4,"")="","",INDEX('List A'!$B$5:$B$204,IFERROR(MATCH(183,'List A'!$Q$5:$Q$204,0)+4,"")-4))</f>
        <v/>
      </c>
      <c r="C187" s="52">
        <f>IF(IFERROR(MATCH(183,'List A'!$Q$5:$Q$204,0)+4,"")="","",INDEX('List A'!$C$5:$C$204,IFERROR(MATCH(183,'List A'!$Q$5:$Q$204,0)+4,"")-4))</f>
        <v/>
      </c>
      <c r="D187" s="53">
        <f>IF(IFERROR(MATCH(183,'List A'!$Q$5:$Q$204,0)+4,"")="","",INDEX('List A'!$D$5:$D$204,IFERROR(MATCH(183,'List A'!$Q$5:$Q$204,0)+4,"")-4))</f>
        <v/>
      </c>
      <c r="E187" s="87">
        <f>IF(OR(IFERROR(MATCH(183,'List A'!$Q$5:$Q$204,0)+4,"")="",IF(IFERROR(MATCH(183,'List A'!$Q$5:$Q$204,0)+4,"")="","",INDEX('List A'!$K$5:$K$204,IFERROR(MATCH(183,'List A'!$Q$5:$Q$204,0)+4,"")-4))=""),"",INDEX('List B'!$A$5:$A$204,IF(IFERROR(MATCH(183,'List A'!$Q$5:$Q$204,0)+4,"")="","",INDEX('List A'!$K$5:$K$204,IFERROR(MATCH(183,'List A'!$Q$5:$Q$204,0)+4,"")-4))-4))</f>
        <v/>
      </c>
      <c r="F187" s="53">
        <f>IF(OR(IFERROR(MATCH(183,'List A'!$Q$5:$Q$204,0)+4,"")="",IF(IFERROR(MATCH(183,'List A'!$Q$5:$Q$204,0)+4,"")="","",INDEX('List A'!$K$5:$K$204,IFERROR(MATCH(183,'List A'!$Q$5:$Q$204,0)+4,"")-4))=""),"",INDEX('List B'!$B$5:$B$204,IF(IFERROR(MATCH(183,'List A'!$Q$5:$Q$204,0)+4,"")="","",INDEX('List A'!$K$5:$K$204,IFERROR(MATCH(183,'List A'!$Q$5:$Q$204,0)+4,"")-4))-4))</f>
        <v/>
      </c>
      <c r="G187" s="52">
        <f>IF(OR(IFERROR(MATCH(183,'List A'!$Q$5:$Q$204,0)+4,"")="",IF(IFERROR(MATCH(183,'List A'!$Q$5:$Q$204,0)+4,"")="","",INDEX('List A'!$K$5:$K$204,IFERROR(MATCH(183,'List A'!$Q$5:$Q$204,0)+4,"")-4))=""),"",INDEX('List B'!$C$5:$C$204,IF(IFERROR(MATCH(183,'List A'!$Q$5:$Q$204,0)+4,"")="","",INDEX('List A'!$K$5:$K$204,IFERROR(MATCH(183,'List A'!$Q$5:$Q$204,0)+4,"")-4))-4))</f>
        <v/>
      </c>
      <c r="H187" s="53">
        <f>IF(OR(IFERROR(MATCH(183,'List A'!$Q$5:$Q$204,0)+4,"")="",IF(IFERROR(MATCH(183,'List A'!$Q$5:$Q$204,0)+4,"")="","",INDEX('List A'!$K$5:$K$204,IFERROR(MATCH(183,'List A'!$Q$5:$Q$204,0)+4,"")-4))=""),"",INDEX('List B'!$D$5:$D$204,IF(IFERROR(MATCH(183,'List A'!$Q$5:$Q$204,0)+4,"")="","",INDEX('List A'!$K$5:$K$204,IFERROR(MATCH(183,'List A'!$Q$5:$Q$204,0)+4,"")-4))-4))</f>
        <v/>
      </c>
      <c r="I187" s="52">
        <f>IF(IFERROR(MATCH(183,'List A'!$Q$5:$Q$204,0)+4,"")="","",INDEX('List A'!$N$5:$N$204,IFERROR(MATCH(183,'List A'!$Q$5:$Q$204,0)+4,"")-4))</f>
        <v/>
      </c>
      <c r="J187" s="53">
        <f>IF(IFERROR(MATCH(183,'List A'!$Q$5:$Q$204,0)+4,"")="","",INDEX('List A'!$O$5:$O$204,IFERROR(MATCH(183,'List A'!$Q$5:$Q$204,0)+4,"")-4))</f>
        <v/>
      </c>
    </row>
    <row r="188" ht="17" customHeight="1">
      <c r="A188" s="87">
        <f>IF(IFERROR(MATCH(184,'List A'!$Q$5:$Q$204,0)+4,"")="","",INDEX('List A'!$A$5:$A$204,IFERROR(MATCH(184,'List A'!$Q$5:$Q$204,0)+4,"")-4))</f>
        <v/>
      </c>
      <c r="B188" s="53">
        <f>IF(IFERROR(MATCH(184,'List A'!$Q$5:$Q$204,0)+4,"")="","",INDEX('List A'!$B$5:$B$204,IFERROR(MATCH(184,'List A'!$Q$5:$Q$204,0)+4,"")-4))</f>
        <v/>
      </c>
      <c r="C188" s="52">
        <f>IF(IFERROR(MATCH(184,'List A'!$Q$5:$Q$204,0)+4,"")="","",INDEX('List A'!$C$5:$C$204,IFERROR(MATCH(184,'List A'!$Q$5:$Q$204,0)+4,"")-4))</f>
        <v/>
      </c>
      <c r="D188" s="53">
        <f>IF(IFERROR(MATCH(184,'List A'!$Q$5:$Q$204,0)+4,"")="","",INDEX('List A'!$D$5:$D$204,IFERROR(MATCH(184,'List A'!$Q$5:$Q$204,0)+4,"")-4))</f>
        <v/>
      </c>
      <c r="E188" s="87">
        <f>IF(OR(IFERROR(MATCH(184,'List A'!$Q$5:$Q$204,0)+4,"")="",IF(IFERROR(MATCH(184,'List A'!$Q$5:$Q$204,0)+4,"")="","",INDEX('List A'!$K$5:$K$204,IFERROR(MATCH(184,'List A'!$Q$5:$Q$204,0)+4,"")-4))=""),"",INDEX('List B'!$A$5:$A$204,IF(IFERROR(MATCH(184,'List A'!$Q$5:$Q$204,0)+4,"")="","",INDEX('List A'!$K$5:$K$204,IFERROR(MATCH(184,'List A'!$Q$5:$Q$204,0)+4,"")-4))-4))</f>
        <v/>
      </c>
      <c r="F188" s="53">
        <f>IF(OR(IFERROR(MATCH(184,'List A'!$Q$5:$Q$204,0)+4,"")="",IF(IFERROR(MATCH(184,'List A'!$Q$5:$Q$204,0)+4,"")="","",INDEX('List A'!$K$5:$K$204,IFERROR(MATCH(184,'List A'!$Q$5:$Q$204,0)+4,"")-4))=""),"",INDEX('List B'!$B$5:$B$204,IF(IFERROR(MATCH(184,'List A'!$Q$5:$Q$204,0)+4,"")="","",INDEX('List A'!$K$5:$K$204,IFERROR(MATCH(184,'List A'!$Q$5:$Q$204,0)+4,"")-4))-4))</f>
        <v/>
      </c>
      <c r="G188" s="52">
        <f>IF(OR(IFERROR(MATCH(184,'List A'!$Q$5:$Q$204,0)+4,"")="",IF(IFERROR(MATCH(184,'List A'!$Q$5:$Q$204,0)+4,"")="","",INDEX('List A'!$K$5:$K$204,IFERROR(MATCH(184,'List A'!$Q$5:$Q$204,0)+4,"")-4))=""),"",INDEX('List B'!$C$5:$C$204,IF(IFERROR(MATCH(184,'List A'!$Q$5:$Q$204,0)+4,"")="","",INDEX('List A'!$K$5:$K$204,IFERROR(MATCH(184,'List A'!$Q$5:$Q$204,0)+4,"")-4))-4))</f>
        <v/>
      </c>
      <c r="H188" s="53">
        <f>IF(OR(IFERROR(MATCH(184,'List A'!$Q$5:$Q$204,0)+4,"")="",IF(IFERROR(MATCH(184,'List A'!$Q$5:$Q$204,0)+4,"")="","",INDEX('List A'!$K$5:$K$204,IFERROR(MATCH(184,'List A'!$Q$5:$Q$204,0)+4,"")-4))=""),"",INDEX('List B'!$D$5:$D$204,IF(IFERROR(MATCH(184,'List A'!$Q$5:$Q$204,0)+4,"")="","",INDEX('List A'!$K$5:$K$204,IFERROR(MATCH(184,'List A'!$Q$5:$Q$204,0)+4,"")-4))-4))</f>
        <v/>
      </c>
      <c r="I188" s="52">
        <f>IF(IFERROR(MATCH(184,'List A'!$Q$5:$Q$204,0)+4,"")="","",INDEX('List A'!$N$5:$N$204,IFERROR(MATCH(184,'List A'!$Q$5:$Q$204,0)+4,"")-4))</f>
        <v/>
      </c>
      <c r="J188" s="53">
        <f>IF(IFERROR(MATCH(184,'List A'!$Q$5:$Q$204,0)+4,"")="","",INDEX('List A'!$O$5:$O$204,IFERROR(MATCH(184,'List A'!$Q$5:$Q$204,0)+4,"")-4))</f>
        <v/>
      </c>
    </row>
    <row r="189" ht="17" customHeight="1">
      <c r="A189" s="87">
        <f>IF(IFERROR(MATCH(185,'List A'!$Q$5:$Q$204,0)+4,"")="","",INDEX('List A'!$A$5:$A$204,IFERROR(MATCH(185,'List A'!$Q$5:$Q$204,0)+4,"")-4))</f>
        <v/>
      </c>
      <c r="B189" s="53">
        <f>IF(IFERROR(MATCH(185,'List A'!$Q$5:$Q$204,0)+4,"")="","",INDEX('List A'!$B$5:$B$204,IFERROR(MATCH(185,'List A'!$Q$5:$Q$204,0)+4,"")-4))</f>
        <v/>
      </c>
      <c r="C189" s="52">
        <f>IF(IFERROR(MATCH(185,'List A'!$Q$5:$Q$204,0)+4,"")="","",INDEX('List A'!$C$5:$C$204,IFERROR(MATCH(185,'List A'!$Q$5:$Q$204,0)+4,"")-4))</f>
        <v/>
      </c>
      <c r="D189" s="53">
        <f>IF(IFERROR(MATCH(185,'List A'!$Q$5:$Q$204,0)+4,"")="","",INDEX('List A'!$D$5:$D$204,IFERROR(MATCH(185,'List A'!$Q$5:$Q$204,0)+4,"")-4))</f>
        <v/>
      </c>
      <c r="E189" s="87">
        <f>IF(OR(IFERROR(MATCH(185,'List A'!$Q$5:$Q$204,0)+4,"")="",IF(IFERROR(MATCH(185,'List A'!$Q$5:$Q$204,0)+4,"")="","",INDEX('List A'!$K$5:$K$204,IFERROR(MATCH(185,'List A'!$Q$5:$Q$204,0)+4,"")-4))=""),"",INDEX('List B'!$A$5:$A$204,IF(IFERROR(MATCH(185,'List A'!$Q$5:$Q$204,0)+4,"")="","",INDEX('List A'!$K$5:$K$204,IFERROR(MATCH(185,'List A'!$Q$5:$Q$204,0)+4,"")-4))-4))</f>
        <v/>
      </c>
      <c r="F189" s="53">
        <f>IF(OR(IFERROR(MATCH(185,'List A'!$Q$5:$Q$204,0)+4,"")="",IF(IFERROR(MATCH(185,'List A'!$Q$5:$Q$204,0)+4,"")="","",INDEX('List A'!$K$5:$K$204,IFERROR(MATCH(185,'List A'!$Q$5:$Q$204,0)+4,"")-4))=""),"",INDEX('List B'!$B$5:$B$204,IF(IFERROR(MATCH(185,'List A'!$Q$5:$Q$204,0)+4,"")="","",INDEX('List A'!$K$5:$K$204,IFERROR(MATCH(185,'List A'!$Q$5:$Q$204,0)+4,"")-4))-4))</f>
        <v/>
      </c>
      <c r="G189" s="52">
        <f>IF(OR(IFERROR(MATCH(185,'List A'!$Q$5:$Q$204,0)+4,"")="",IF(IFERROR(MATCH(185,'List A'!$Q$5:$Q$204,0)+4,"")="","",INDEX('List A'!$K$5:$K$204,IFERROR(MATCH(185,'List A'!$Q$5:$Q$204,0)+4,"")-4))=""),"",INDEX('List B'!$C$5:$C$204,IF(IFERROR(MATCH(185,'List A'!$Q$5:$Q$204,0)+4,"")="","",INDEX('List A'!$K$5:$K$204,IFERROR(MATCH(185,'List A'!$Q$5:$Q$204,0)+4,"")-4))-4))</f>
        <v/>
      </c>
      <c r="H189" s="53">
        <f>IF(OR(IFERROR(MATCH(185,'List A'!$Q$5:$Q$204,0)+4,"")="",IF(IFERROR(MATCH(185,'List A'!$Q$5:$Q$204,0)+4,"")="","",INDEX('List A'!$K$5:$K$204,IFERROR(MATCH(185,'List A'!$Q$5:$Q$204,0)+4,"")-4))=""),"",INDEX('List B'!$D$5:$D$204,IF(IFERROR(MATCH(185,'List A'!$Q$5:$Q$204,0)+4,"")="","",INDEX('List A'!$K$5:$K$204,IFERROR(MATCH(185,'List A'!$Q$5:$Q$204,0)+4,"")-4))-4))</f>
        <v/>
      </c>
      <c r="I189" s="52">
        <f>IF(IFERROR(MATCH(185,'List A'!$Q$5:$Q$204,0)+4,"")="","",INDEX('List A'!$N$5:$N$204,IFERROR(MATCH(185,'List A'!$Q$5:$Q$204,0)+4,"")-4))</f>
        <v/>
      </c>
      <c r="J189" s="53">
        <f>IF(IFERROR(MATCH(185,'List A'!$Q$5:$Q$204,0)+4,"")="","",INDEX('List A'!$O$5:$O$204,IFERROR(MATCH(185,'List A'!$Q$5:$Q$204,0)+4,"")-4))</f>
        <v/>
      </c>
    </row>
    <row r="190" ht="17" customHeight="1">
      <c r="A190" s="87">
        <f>IF(IFERROR(MATCH(186,'List A'!$Q$5:$Q$204,0)+4,"")="","",INDEX('List A'!$A$5:$A$204,IFERROR(MATCH(186,'List A'!$Q$5:$Q$204,0)+4,"")-4))</f>
        <v/>
      </c>
      <c r="B190" s="53">
        <f>IF(IFERROR(MATCH(186,'List A'!$Q$5:$Q$204,0)+4,"")="","",INDEX('List A'!$B$5:$B$204,IFERROR(MATCH(186,'List A'!$Q$5:$Q$204,0)+4,"")-4))</f>
        <v/>
      </c>
      <c r="C190" s="52">
        <f>IF(IFERROR(MATCH(186,'List A'!$Q$5:$Q$204,0)+4,"")="","",INDEX('List A'!$C$5:$C$204,IFERROR(MATCH(186,'List A'!$Q$5:$Q$204,0)+4,"")-4))</f>
        <v/>
      </c>
      <c r="D190" s="53">
        <f>IF(IFERROR(MATCH(186,'List A'!$Q$5:$Q$204,0)+4,"")="","",INDEX('List A'!$D$5:$D$204,IFERROR(MATCH(186,'List A'!$Q$5:$Q$204,0)+4,"")-4))</f>
        <v/>
      </c>
      <c r="E190" s="87">
        <f>IF(OR(IFERROR(MATCH(186,'List A'!$Q$5:$Q$204,0)+4,"")="",IF(IFERROR(MATCH(186,'List A'!$Q$5:$Q$204,0)+4,"")="","",INDEX('List A'!$K$5:$K$204,IFERROR(MATCH(186,'List A'!$Q$5:$Q$204,0)+4,"")-4))=""),"",INDEX('List B'!$A$5:$A$204,IF(IFERROR(MATCH(186,'List A'!$Q$5:$Q$204,0)+4,"")="","",INDEX('List A'!$K$5:$K$204,IFERROR(MATCH(186,'List A'!$Q$5:$Q$204,0)+4,"")-4))-4))</f>
        <v/>
      </c>
      <c r="F190" s="53">
        <f>IF(OR(IFERROR(MATCH(186,'List A'!$Q$5:$Q$204,0)+4,"")="",IF(IFERROR(MATCH(186,'List A'!$Q$5:$Q$204,0)+4,"")="","",INDEX('List A'!$K$5:$K$204,IFERROR(MATCH(186,'List A'!$Q$5:$Q$204,0)+4,"")-4))=""),"",INDEX('List B'!$B$5:$B$204,IF(IFERROR(MATCH(186,'List A'!$Q$5:$Q$204,0)+4,"")="","",INDEX('List A'!$K$5:$K$204,IFERROR(MATCH(186,'List A'!$Q$5:$Q$204,0)+4,"")-4))-4))</f>
        <v/>
      </c>
      <c r="G190" s="52">
        <f>IF(OR(IFERROR(MATCH(186,'List A'!$Q$5:$Q$204,0)+4,"")="",IF(IFERROR(MATCH(186,'List A'!$Q$5:$Q$204,0)+4,"")="","",INDEX('List A'!$K$5:$K$204,IFERROR(MATCH(186,'List A'!$Q$5:$Q$204,0)+4,"")-4))=""),"",INDEX('List B'!$C$5:$C$204,IF(IFERROR(MATCH(186,'List A'!$Q$5:$Q$204,0)+4,"")="","",INDEX('List A'!$K$5:$K$204,IFERROR(MATCH(186,'List A'!$Q$5:$Q$204,0)+4,"")-4))-4))</f>
        <v/>
      </c>
      <c r="H190" s="53">
        <f>IF(OR(IFERROR(MATCH(186,'List A'!$Q$5:$Q$204,0)+4,"")="",IF(IFERROR(MATCH(186,'List A'!$Q$5:$Q$204,0)+4,"")="","",INDEX('List A'!$K$5:$K$204,IFERROR(MATCH(186,'List A'!$Q$5:$Q$204,0)+4,"")-4))=""),"",INDEX('List B'!$D$5:$D$204,IF(IFERROR(MATCH(186,'List A'!$Q$5:$Q$204,0)+4,"")="","",INDEX('List A'!$K$5:$K$204,IFERROR(MATCH(186,'List A'!$Q$5:$Q$204,0)+4,"")-4))-4))</f>
        <v/>
      </c>
      <c r="I190" s="52">
        <f>IF(IFERROR(MATCH(186,'List A'!$Q$5:$Q$204,0)+4,"")="","",INDEX('List A'!$N$5:$N$204,IFERROR(MATCH(186,'List A'!$Q$5:$Q$204,0)+4,"")-4))</f>
        <v/>
      </c>
      <c r="J190" s="53">
        <f>IF(IFERROR(MATCH(186,'List A'!$Q$5:$Q$204,0)+4,"")="","",INDEX('List A'!$O$5:$O$204,IFERROR(MATCH(186,'List A'!$Q$5:$Q$204,0)+4,"")-4))</f>
        <v/>
      </c>
    </row>
    <row r="191" ht="17" customHeight="1">
      <c r="A191" s="87">
        <f>IF(IFERROR(MATCH(187,'List A'!$Q$5:$Q$204,0)+4,"")="","",INDEX('List A'!$A$5:$A$204,IFERROR(MATCH(187,'List A'!$Q$5:$Q$204,0)+4,"")-4))</f>
        <v/>
      </c>
      <c r="B191" s="53">
        <f>IF(IFERROR(MATCH(187,'List A'!$Q$5:$Q$204,0)+4,"")="","",INDEX('List A'!$B$5:$B$204,IFERROR(MATCH(187,'List A'!$Q$5:$Q$204,0)+4,"")-4))</f>
        <v/>
      </c>
      <c r="C191" s="52">
        <f>IF(IFERROR(MATCH(187,'List A'!$Q$5:$Q$204,0)+4,"")="","",INDEX('List A'!$C$5:$C$204,IFERROR(MATCH(187,'List A'!$Q$5:$Q$204,0)+4,"")-4))</f>
        <v/>
      </c>
      <c r="D191" s="53">
        <f>IF(IFERROR(MATCH(187,'List A'!$Q$5:$Q$204,0)+4,"")="","",INDEX('List A'!$D$5:$D$204,IFERROR(MATCH(187,'List A'!$Q$5:$Q$204,0)+4,"")-4))</f>
        <v/>
      </c>
      <c r="E191" s="87">
        <f>IF(OR(IFERROR(MATCH(187,'List A'!$Q$5:$Q$204,0)+4,"")="",IF(IFERROR(MATCH(187,'List A'!$Q$5:$Q$204,0)+4,"")="","",INDEX('List A'!$K$5:$K$204,IFERROR(MATCH(187,'List A'!$Q$5:$Q$204,0)+4,"")-4))=""),"",INDEX('List B'!$A$5:$A$204,IF(IFERROR(MATCH(187,'List A'!$Q$5:$Q$204,0)+4,"")="","",INDEX('List A'!$K$5:$K$204,IFERROR(MATCH(187,'List A'!$Q$5:$Q$204,0)+4,"")-4))-4))</f>
        <v/>
      </c>
      <c r="F191" s="53">
        <f>IF(OR(IFERROR(MATCH(187,'List A'!$Q$5:$Q$204,0)+4,"")="",IF(IFERROR(MATCH(187,'List A'!$Q$5:$Q$204,0)+4,"")="","",INDEX('List A'!$K$5:$K$204,IFERROR(MATCH(187,'List A'!$Q$5:$Q$204,0)+4,"")-4))=""),"",INDEX('List B'!$B$5:$B$204,IF(IFERROR(MATCH(187,'List A'!$Q$5:$Q$204,0)+4,"")="","",INDEX('List A'!$K$5:$K$204,IFERROR(MATCH(187,'List A'!$Q$5:$Q$204,0)+4,"")-4))-4))</f>
        <v/>
      </c>
      <c r="G191" s="52">
        <f>IF(OR(IFERROR(MATCH(187,'List A'!$Q$5:$Q$204,0)+4,"")="",IF(IFERROR(MATCH(187,'List A'!$Q$5:$Q$204,0)+4,"")="","",INDEX('List A'!$K$5:$K$204,IFERROR(MATCH(187,'List A'!$Q$5:$Q$204,0)+4,"")-4))=""),"",INDEX('List B'!$C$5:$C$204,IF(IFERROR(MATCH(187,'List A'!$Q$5:$Q$204,0)+4,"")="","",INDEX('List A'!$K$5:$K$204,IFERROR(MATCH(187,'List A'!$Q$5:$Q$204,0)+4,"")-4))-4))</f>
        <v/>
      </c>
      <c r="H191" s="53">
        <f>IF(OR(IFERROR(MATCH(187,'List A'!$Q$5:$Q$204,0)+4,"")="",IF(IFERROR(MATCH(187,'List A'!$Q$5:$Q$204,0)+4,"")="","",INDEX('List A'!$K$5:$K$204,IFERROR(MATCH(187,'List A'!$Q$5:$Q$204,0)+4,"")-4))=""),"",INDEX('List B'!$D$5:$D$204,IF(IFERROR(MATCH(187,'List A'!$Q$5:$Q$204,0)+4,"")="","",INDEX('List A'!$K$5:$K$204,IFERROR(MATCH(187,'List A'!$Q$5:$Q$204,0)+4,"")-4))-4))</f>
        <v/>
      </c>
      <c r="I191" s="52">
        <f>IF(IFERROR(MATCH(187,'List A'!$Q$5:$Q$204,0)+4,"")="","",INDEX('List A'!$N$5:$N$204,IFERROR(MATCH(187,'List A'!$Q$5:$Q$204,0)+4,"")-4))</f>
        <v/>
      </c>
      <c r="J191" s="53">
        <f>IF(IFERROR(MATCH(187,'List A'!$Q$5:$Q$204,0)+4,"")="","",INDEX('List A'!$O$5:$O$204,IFERROR(MATCH(187,'List A'!$Q$5:$Q$204,0)+4,"")-4))</f>
        <v/>
      </c>
    </row>
    <row r="192" ht="17" customHeight="1">
      <c r="A192" s="87">
        <f>IF(IFERROR(MATCH(188,'List A'!$Q$5:$Q$204,0)+4,"")="","",INDEX('List A'!$A$5:$A$204,IFERROR(MATCH(188,'List A'!$Q$5:$Q$204,0)+4,"")-4))</f>
        <v/>
      </c>
      <c r="B192" s="53">
        <f>IF(IFERROR(MATCH(188,'List A'!$Q$5:$Q$204,0)+4,"")="","",INDEX('List A'!$B$5:$B$204,IFERROR(MATCH(188,'List A'!$Q$5:$Q$204,0)+4,"")-4))</f>
        <v/>
      </c>
      <c r="C192" s="52">
        <f>IF(IFERROR(MATCH(188,'List A'!$Q$5:$Q$204,0)+4,"")="","",INDEX('List A'!$C$5:$C$204,IFERROR(MATCH(188,'List A'!$Q$5:$Q$204,0)+4,"")-4))</f>
        <v/>
      </c>
      <c r="D192" s="53">
        <f>IF(IFERROR(MATCH(188,'List A'!$Q$5:$Q$204,0)+4,"")="","",INDEX('List A'!$D$5:$D$204,IFERROR(MATCH(188,'List A'!$Q$5:$Q$204,0)+4,"")-4))</f>
        <v/>
      </c>
      <c r="E192" s="87">
        <f>IF(OR(IFERROR(MATCH(188,'List A'!$Q$5:$Q$204,0)+4,"")="",IF(IFERROR(MATCH(188,'List A'!$Q$5:$Q$204,0)+4,"")="","",INDEX('List A'!$K$5:$K$204,IFERROR(MATCH(188,'List A'!$Q$5:$Q$204,0)+4,"")-4))=""),"",INDEX('List B'!$A$5:$A$204,IF(IFERROR(MATCH(188,'List A'!$Q$5:$Q$204,0)+4,"")="","",INDEX('List A'!$K$5:$K$204,IFERROR(MATCH(188,'List A'!$Q$5:$Q$204,0)+4,"")-4))-4))</f>
        <v/>
      </c>
      <c r="F192" s="53">
        <f>IF(OR(IFERROR(MATCH(188,'List A'!$Q$5:$Q$204,0)+4,"")="",IF(IFERROR(MATCH(188,'List A'!$Q$5:$Q$204,0)+4,"")="","",INDEX('List A'!$K$5:$K$204,IFERROR(MATCH(188,'List A'!$Q$5:$Q$204,0)+4,"")-4))=""),"",INDEX('List B'!$B$5:$B$204,IF(IFERROR(MATCH(188,'List A'!$Q$5:$Q$204,0)+4,"")="","",INDEX('List A'!$K$5:$K$204,IFERROR(MATCH(188,'List A'!$Q$5:$Q$204,0)+4,"")-4))-4))</f>
        <v/>
      </c>
      <c r="G192" s="52">
        <f>IF(OR(IFERROR(MATCH(188,'List A'!$Q$5:$Q$204,0)+4,"")="",IF(IFERROR(MATCH(188,'List A'!$Q$5:$Q$204,0)+4,"")="","",INDEX('List A'!$K$5:$K$204,IFERROR(MATCH(188,'List A'!$Q$5:$Q$204,0)+4,"")-4))=""),"",INDEX('List B'!$C$5:$C$204,IF(IFERROR(MATCH(188,'List A'!$Q$5:$Q$204,0)+4,"")="","",INDEX('List A'!$K$5:$K$204,IFERROR(MATCH(188,'List A'!$Q$5:$Q$204,0)+4,"")-4))-4))</f>
        <v/>
      </c>
      <c r="H192" s="53">
        <f>IF(OR(IFERROR(MATCH(188,'List A'!$Q$5:$Q$204,0)+4,"")="",IF(IFERROR(MATCH(188,'List A'!$Q$5:$Q$204,0)+4,"")="","",INDEX('List A'!$K$5:$K$204,IFERROR(MATCH(188,'List A'!$Q$5:$Q$204,0)+4,"")-4))=""),"",INDEX('List B'!$D$5:$D$204,IF(IFERROR(MATCH(188,'List A'!$Q$5:$Q$204,0)+4,"")="","",INDEX('List A'!$K$5:$K$204,IFERROR(MATCH(188,'List A'!$Q$5:$Q$204,0)+4,"")-4))-4))</f>
        <v/>
      </c>
      <c r="I192" s="52">
        <f>IF(IFERROR(MATCH(188,'List A'!$Q$5:$Q$204,0)+4,"")="","",INDEX('List A'!$N$5:$N$204,IFERROR(MATCH(188,'List A'!$Q$5:$Q$204,0)+4,"")-4))</f>
        <v/>
      </c>
      <c r="J192" s="53">
        <f>IF(IFERROR(MATCH(188,'List A'!$Q$5:$Q$204,0)+4,"")="","",INDEX('List A'!$O$5:$O$204,IFERROR(MATCH(188,'List A'!$Q$5:$Q$204,0)+4,"")-4))</f>
        <v/>
      </c>
    </row>
    <row r="193" ht="17" customHeight="1">
      <c r="A193" s="87">
        <f>IF(IFERROR(MATCH(189,'List A'!$Q$5:$Q$204,0)+4,"")="","",INDEX('List A'!$A$5:$A$204,IFERROR(MATCH(189,'List A'!$Q$5:$Q$204,0)+4,"")-4))</f>
        <v/>
      </c>
      <c r="B193" s="53">
        <f>IF(IFERROR(MATCH(189,'List A'!$Q$5:$Q$204,0)+4,"")="","",INDEX('List A'!$B$5:$B$204,IFERROR(MATCH(189,'List A'!$Q$5:$Q$204,0)+4,"")-4))</f>
        <v/>
      </c>
      <c r="C193" s="52">
        <f>IF(IFERROR(MATCH(189,'List A'!$Q$5:$Q$204,0)+4,"")="","",INDEX('List A'!$C$5:$C$204,IFERROR(MATCH(189,'List A'!$Q$5:$Q$204,0)+4,"")-4))</f>
        <v/>
      </c>
      <c r="D193" s="53">
        <f>IF(IFERROR(MATCH(189,'List A'!$Q$5:$Q$204,0)+4,"")="","",INDEX('List A'!$D$5:$D$204,IFERROR(MATCH(189,'List A'!$Q$5:$Q$204,0)+4,"")-4))</f>
        <v/>
      </c>
      <c r="E193" s="87">
        <f>IF(OR(IFERROR(MATCH(189,'List A'!$Q$5:$Q$204,0)+4,"")="",IF(IFERROR(MATCH(189,'List A'!$Q$5:$Q$204,0)+4,"")="","",INDEX('List A'!$K$5:$K$204,IFERROR(MATCH(189,'List A'!$Q$5:$Q$204,0)+4,"")-4))=""),"",INDEX('List B'!$A$5:$A$204,IF(IFERROR(MATCH(189,'List A'!$Q$5:$Q$204,0)+4,"")="","",INDEX('List A'!$K$5:$K$204,IFERROR(MATCH(189,'List A'!$Q$5:$Q$204,0)+4,"")-4))-4))</f>
        <v/>
      </c>
      <c r="F193" s="53">
        <f>IF(OR(IFERROR(MATCH(189,'List A'!$Q$5:$Q$204,0)+4,"")="",IF(IFERROR(MATCH(189,'List A'!$Q$5:$Q$204,0)+4,"")="","",INDEX('List A'!$K$5:$K$204,IFERROR(MATCH(189,'List A'!$Q$5:$Q$204,0)+4,"")-4))=""),"",INDEX('List B'!$B$5:$B$204,IF(IFERROR(MATCH(189,'List A'!$Q$5:$Q$204,0)+4,"")="","",INDEX('List A'!$K$5:$K$204,IFERROR(MATCH(189,'List A'!$Q$5:$Q$204,0)+4,"")-4))-4))</f>
        <v/>
      </c>
      <c r="G193" s="52">
        <f>IF(OR(IFERROR(MATCH(189,'List A'!$Q$5:$Q$204,0)+4,"")="",IF(IFERROR(MATCH(189,'List A'!$Q$5:$Q$204,0)+4,"")="","",INDEX('List A'!$K$5:$K$204,IFERROR(MATCH(189,'List A'!$Q$5:$Q$204,0)+4,"")-4))=""),"",INDEX('List B'!$C$5:$C$204,IF(IFERROR(MATCH(189,'List A'!$Q$5:$Q$204,0)+4,"")="","",INDEX('List A'!$K$5:$K$204,IFERROR(MATCH(189,'List A'!$Q$5:$Q$204,0)+4,"")-4))-4))</f>
        <v/>
      </c>
      <c r="H193" s="53">
        <f>IF(OR(IFERROR(MATCH(189,'List A'!$Q$5:$Q$204,0)+4,"")="",IF(IFERROR(MATCH(189,'List A'!$Q$5:$Q$204,0)+4,"")="","",INDEX('List A'!$K$5:$K$204,IFERROR(MATCH(189,'List A'!$Q$5:$Q$204,0)+4,"")-4))=""),"",INDEX('List B'!$D$5:$D$204,IF(IFERROR(MATCH(189,'List A'!$Q$5:$Q$204,0)+4,"")="","",INDEX('List A'!$K$5:$K$204,IFERROR(MATCH(189,'List A'!$Q$5:$Q$204,0)+4,"")-4))-4))</f>
        <v/>
      </c>
      <c r="I193" s="52">
        <f>IF(IFERROR(MATCH(189,'List A'!$Q$5:$Q$204,0)+4,"")="","",INDEX('List A'!$N$5:$N$204,IFERROR(MATCH(189,'List A'!$Q$5:$Q$204,0)+4,"")-4))</f>
        <v/>
      </c>
      <c r="J193" s="53">
        <f>IF(IFERROR(MATCH(189,'List A'!$Q$5:$Q$204,0)+4,"")="","",INDEX('List A'!$O$5:$O$204,IFERROR(MATCH(189,'List A'!$Q$5:$Q$204,0)+4,"")-4))</f>
        <v/>
      </c>
    </row>
    <row r="194" ht="17" customHeight="1">
      <c r="A194" s="87">
        <f>IF(IFERROR(MATCH(190,'List A'!$Q$5:$Q$204,0)+4,"")="","",INDEX('List A'!$A$5:$A$204,IFERROR(MATCH(190,'List A'!$Q$5:$Q$204,0)+4,"")-4))</f>
        <v/>
      </c>
      <c r="B194" s="53">
        <f>IF(IFERROR(MATCH(190,'List A'!$Q$5:$Q$204,0)+4,"")="","",INDEX('List A'!$B$5:$B$204,IFERROR(MATCH(190,'List A'!$Q$5:$Q$204,0)+4,"")-4))</f>
        <v/>
      </c>
      <c r="C194" s="52">
        <f>IF(IFERROR(MATCH(190,'List A'!$Q$5:$Q$204,0)+4,"")="","",INDEX('List A'!$C$5:$C$204,IFERROR(MATCH(190,'List A'!$Q$5:$Q$204,0)+4,"")-4))</f>
        <v/>
      </c>
      <c r="D194" s="53">
        <f>IF(IFERROR(MATCH(190,'List A'!$Q$5:$Q$204,0)+4,"")="","",INDEX('List A'!$D$5:$D$204,IFERROR(MATCH(190,'List A'!$Q$5:$Q$204,0)+4,"")-4))</f>
        <v/>
      </c>
      <c r="E194" s="87">
        <f>IF(OR(IFERROR(MATCH(190,'List A'!$Q$5:$Q$204,0)+4,"")="",IF(IFERROR(MATCH(190,'List A'!$Q$5:$Q$204,0)+4,"")="","",INDEX('List A'!$K$5:$K$204,IFERROR(MATCH(190,'List A'!$Q$5:$Q$204,0)+4,"")-4))=""),"",INDEX('List B'!$A$5:$A$204,IF(IFERROR(MATCH(190,'List A'!$Q$5:$Q$204,0)+4,"")="","",INDEX('List A'!$K$5:$K$204,IFERROR(MATCH(190,'List A'!$Q$5:$Q$204,0)+4,"")-4))-4))</f>
        <v/>
      </c>
      <c r="F194" s="53">
        <f>IF(OR(IFERROR(MATCH(190,'List A'!$Q$5:$Q$204,0)+4,"")="",IF(IFERROR(MATCH(190,'List A'!$Q$5:$Q$204,0)+4,"")="","",INDEX('List A'!$K$5:$K$204,IFERROR(MATCH(190,'List A'!$Q$5:$Q$204,0)+4,"")-4))=""),"",INDEX('List B'!$B$5:$B$204,IF(IFERROR(MATCH(190,'List A'!$Q$5:$Q$204,0)+4,"")="","",INDEX('List A'!$K$5:$K$204,IFERROR(MATCH(190,'List A'!$Q$5:$Q$204,0)+4,"")-4))-4))</f>
        <v/>
      </c>
      <c r="G194" s="52">
        <f>IF(OR(IFERROR(MATCH(190,'List A'!$Q$5:$Q$204,0)+4,"")="",IF(IFERROR(MATCH(190,'List A'!$Q$5:$Q$204,0)+4,"")="","",INDEX('List A'!$K$5:$K$204,IFERROR(MATCH(190,'List A'!$Q$5:$Q$204,0)+4,"")-4))=""),"",INDEX('List B'!$C$5:$C$204,IF(IFERROR(MATCH(190,'List A'!$Q$5:$Q$204,0)+4,"")="","",INDEX('List A'!$K$5:$K$204,IFERROR(MATCH(190,'List A'!$Q$5:$Q$204,0)+4,"")-4))-4))</f>
        <v/>
      </c>
      <c r="H194" s="53">
        <f>IF(OR(IFERROR(MATCH(190,'List A'!$Q$5:$Q$204,0)+4,"")="",IF(IFERROR(MATCH(190,'List A'!$Q$5:$Q$204,0)+4,"")="","",INDEX('List A'!$K$5:$K$204,IFERROR(MATCH(190,'List A'!$Q$5:$Q$204,0)+4,"")-4))=""),"",INDEX('List B'!$D$5:$D$204,IF(IFERROR(MATCH(190,'List A'!$Q$5:$Q$204,0)+4,"")="","",INDEX('List A'!$K$5:$K$204,IFERROR(MATCH(190,'List A'!$Q$5:$Q$204,0)+4,"")-4))-4))</f>
        <v/>
      </c>
      <c r="I194" s="52">
        <f>IF(IFERROR(MATCH(190,'List A'!$Q$5:$Q$204,0)+4,"")="","",INDEX('List A'!$N$5:$N$204,IFERROR(MATCH(190,'List A'!$Q$5:$Q$204,0)+4,"")-4))</f>
        <v/>
      </c>
      <c r="J194" s="53">
        <f>IF(IFERROR(MATCH(190,'List A'!$Q$5:$Q$204,0)+4,"")="","",INDEX('List A'!$O$5:$O$204,IFERROR(MATCH(190,'List A'!$Q$5:$Q$204,0)+4,"")-4))</f>
        <v/>
      </c>
    </row>
    <row r="195" ht="17" customHeight="1">
      <c r="A195" s="87">
        <f>IF(IFERROR(MATCH(191,'List A'!$Q$5:$Q$204,0)+4,"")="","",INDEX('List A'!$A$5:$A$204,IFERROR(MATCH(191,'List A'!$Q$5:$Q$204,0)+4,"")-4))</f>
        <v/>
      </c>
      <c r="B195" s="53">
        <f>IF(IFERROR(MATCH(191,'List A'!$Q$5:$Q$204,0)+4,"")="","",INDEX('List A'!$B$5:$B$204,IFERROR(MATCH(191,'List A'!$Q$5:$Q$204,0)+4,"")-4))</f>
        <v/>
      </c>
      <c r="C195" s="52">
        <f>IF(IFERROR(MATCH(191,'List A'!$Q$5:$Q$204,0)+4,"")="","",INDEX('List A'!$C$5:$C$204,IFERROR(MATCH(191,'List A'!$Q$5:$Q$204,0)+4,"")-4))</f>
        <v/>
      </c>
      <c r="D195" s="53">
        <f>IF(IFERROR(MATCH(191,'List A'!$Q$5:$Q$204,0)+4,"")="","",INDEX('List A'!$D$5:$D$204,IFERROR(MATCH(191,'List A'!$Q$5:$Q$204,0)+4,"")-4))</f>
        <v/>
      </c>
      <c r="E195" s="87">
        <f>IF(OR(IFERROR(MATCH(191,'List A'!$Q$5:$Q$204,0)+4,"")="",IF(IFERROR(MATCH(191,'List A'!$Q$5:$Q$204,0)+4,"")="","",INDEX('List A'!$K$5:$K$204,IFERROR(MATCH(191,'List A'!$Q$5:$Q$204,0)+4,"")-4))=""),"",INDEX('List B'!$A$5:$A$204,IF(IFERROR(MATCH(191,'List A'!$Q$5:$Q$204,0)+4,"")="","",INDEX('List A'!$K$5:$K$204,IFERROR(MATCH(191,'List A'!$Q$5:$Q$204,0)+4,"")-4))-4))</f>
        <v/>
      </c>
      <c r="F195" s="53">
        <f>IF(OR(IFERROR(MATCH(191,'List A'!$Q$5:$Q$204,0)+4,"")="",IF(IFERROR(MATCH(191,'List A'!$Q$5:$Q$204,0)+4,"")="","",INDEX('List A'!$K$5:$K$204,IFERROR(MATCH(191,'List A'!$Q$5:$Q$204,0)+4,"")-4))=""),"",INDEX('List B'!$B$5:$B$204,IF(IFERROR(MATCH(191,'List A'!$Q$5:$Q$204,0)+4,"")="","",INDEX('List A'!$K$5:$K$204,IFERROR(MATCH(191,'List A'!$Q$5:$Q$204,0)+4,"")-4))-4))</f>
        <v/>
      </c>
      <c r="G195" s="52">
        <f>IF(OR(IFERROR(MATCH(191,'List A'!$Q$5:$Q$204,0)+4,"")="",IF(IFERROR(MATCH(191,'List A'!$Q$5:$Q$204,0)+4,"")="","",INDEX('List A'!$K$5:$K$204,IFERROR(MATCH(191,'List A'!$Q$5:$Q$204,0)+4,"")-4))=""),"",INDEX('List B'!$C$5:$C$204,IF(IFERROR(MATCH(191,'List A'!$Q$5:$Q$204,0)+4,"")="","",INDEX('List A'!$K$5:$K$204,IFERROR(MATCH(191,'List A'!$Q$5:$Q$204,0)+4,"")-4))-4))</f>
        <v/>
      </c>
      <c r="H195" s="53">
        <f>IF(OR(IFERROR(MATCH(191,'List A'!$Q$5:$Q$204,0)+4,"")="",IF(IFERROR(MATCH(191,'List A'!$Q$5:$Q$204,0)+4,"")="","",INDEX('List A'!$K$5:$K$204,IFERROR(MATCH(191,'List A'!$Q$5:$Q$204,0)+4,"")-4))=""),"",INDEX('List B'!$D$5:$D$204,IF(IFERROR(MATCH(191,'List A'!$Q$5:$Q$204,0)+4,"")="","",INDEX('List A'!$K$5:$K$204,IFERROR(MATCH(191,'List A'!$Q$5:$Q$204,0)+4,"")-4))-4))</f>
        <v/>
      </c>
      <c r="I195" s="52">
        <f>IF(IFERROR(MATCH(191,'List A'!$Q$5:$Q$204,0)+4,"")="","",INDEX('List A'!$N$5:$N$204,IFERROR(MATCH(191,'List A'!$Q$5:$Q$204,0)+4,"")-4))</f>
        <v/>
      </c>
      <c r="J195" s="53">
        <f>IF(IFERROR(MATCH(191,'List A'!$Q$5:$Q$204,0)+4,"")="","",INDEX('List A'!$O$5:$O$204,IFERROR(MATCH(191,'List A'!$Q$5:$Q$204,0)+4,"")-4))</f>
        <v/>
      </c>
    </row>
    <row r="196" ht="17" customHeight="1">
      <c r="A196" s="87">
        <f>IF(IFERROR(MATCH(192,'List A'!$Q$5:$Q$204,0)+4,"")="","",INDEX('List A'!$A$5:$A$204,IFERROR(MATCH(192,'List A'!$Q$5:$Q$204,0)+4,"")-4))</f>
        <v/>
      </c>
      <c r="B196" s="53">
        <f>IF(IFERROR(MATCH(192,'List A'!$Q$5:$Q$204,0)+4,"")="","",INDEX('List A'!$B$5:$B$204,IFERROR(MATCH(192,'List A'!$Q$5:$Q$204,0)+4,"")-4))</f>
        <v/>
      </c>
      <c r="C196" s="52">
        <f>IF(IFERROR(MATCH(192,'List A'!$Q$5:$Q$204,0)+4,"")="","",INDEX('List A'!$C$5:$C$204,IFERROR(MATCH(192,'List A'!$Q$5:$Q$204,0)+4,"")-4))</f>
        <v/>
      </c>
      <c r="D196" s="53">
        <f>IF(IFERROR(MATCH(192,'List A'!$Q$5:$Q$204,0)+4,"")="","",INDEX('List A'!$D$5:$D$204,IFERROR(MATCH(192,'List A'!$Q$5:$Q$204,0)+4,"")-4))</f>
        <v/>
      </c>
      <c r="E196" s="87">
        <f>IF(OR(IFERROR(MATCH(192,'List A'!$Q$5:$Q$204,0)+4,"")="",IF(IFERROR(MATCH(192,'List A'!$Q$5:$Q$204,0)+4,"")="","",INDEX('List A'!$K$5:$K$204,IFERROR(MATCH(192,'List A'!$Q$5:$Q$204,0)+4,"")-4))=""),"",INDEX('List B'!$A$5:$A$204,IF(IFERROR(MATCH(192,'List A'!$Q$5:$Q$204,0)+4,"")="","",INDEX('List A'!$K$5:$K$204,IFERROR(MATCH(192,'List A'!$Q$5:$Q$204,0)+4,"")-4))-4))</f>
        <v/>
      </c>
      <c r="F196" s="53">
        <f>IF(OR(IFERROR(MATCH(192,'List A'!$Q$5:$Q$204,0)+4,"")="",IF(IFERROR(MATCH(192,'List A'!$Q$5:$Q$204,0)+4,"")="","",INDEX('List A'!$K$5:$K$204,IFERROR(MATCH(192,'List A'!$Q$5:$Q$204,0)+4,"")-4))=""),"",INDEX('List B'!$B$5:$B$204,IF(IFERROR(MATCH(192,'List A'!$Q$5:$Q$204,0)+4,"")="","",INDEX('List A'!$K$5:$K$204,IFERROR(MATCH(192,'List A'!$Q$5:$Q$204,0)+4,"")-4))-4))</f>
        <v/>
      </c>
      <c r="G196" s="52">
        <f>IF(OR(IFERROR(MATCH(192,'List A'!$Q$5:$Q$204,0)+4,"")="",IF(IFERROR(MATCH(192,'List A'!$Q$5:$Q$204,0)+4,"")="","",INDEX('List A'!$K$5:$K$204,IFERROR(MATCH(192,'List A'!$Q$5:$Q$204,0)+4,"")-4))=""),"",INDEX('List B'!$C$5:$C$204,IF(IFERROR(MATCH(192,'List A'!$Q$5:$Q$204,0)+4,"")="","",INDEX('List A'!$K$5:$K$204,IFERROR(MATCH(192,'List A'!$Q$5:$Q$204,0)+4,"")-4))-4))</f>
        <v/>
      </c>
      <c r="H196" s="53">
        <f>IF(OR(IFERROR(MATCH(192,'List A'!$Q$5:$Q$204,0)+4,"")="",IF(IFERROR(MATCH(192,'List A'!$Q$5:$Q$204,0)+4,"")="","",INDEX('List A'!$K$5:$K$204,IFERROR(MATCH(192,'List A'!$Q$5:$Q$204,0)+4,"")-4))=""),"",INDEX('List B'!$D$5:$D$204,IF(IFERROR(MATCH(192,'List A'!$Q$5:$Q$204,0)+4,"")="","",INDEX('List A'!$K$5:$K$204,IFERROR(MATCH(192,'List A'!$Q$5:$Q$204,0)+4,"")-4))-4))</f>
        <v/>
      </c>
      <c r="I196" s="52">
        <f>IF(IFERROR(MATCH(192,'List A'!$Q$5:$Q$204,0)+4,"")="","",INDEX('List A'!$N$5:$N$204,IFERROR(MATCH(192,'List A'!$Q$5:$Q$204,0)+4,"")-4))</f>
        <v/>
      </c>
      <c r="J196" s="53">
        <f>IF(IFERROR(MATCH(192,'List A'!$Q$5:$Q$204,0)+4,"")="","",INDEX('List A'!$O$5:$O$204,IFERROR(MATCH(192,'List A'!$Q$5:$Q$204,0)+4,"")-4))</f>
        <v/>
      </c>
    </row>
    <row r="197" ht="17" customHeight="1">
      <c r="A197" s="87">
        <f>IF(IFERROR(MATCH(193,'List A'!$Q$5:$Q$204,0)+4,"")="","",INDEX('List A'!$A$5:$A$204,IFERROR(MATCH(193,'List A'!$Q$5:$Q$204,0)+4,"")-4))</f>
        <v/>
      </c>
      <c r="B197" s="53">
        <f>IF(IFERROR(MATCH(193,'List A'!$Q$5:$Q$204,0)+4,"")="","",INDEX('List A'!$B$5:$B$204,IFERROR(MATCH(193,'List A'!$Q$5:$Q$204,0)+4,"")-4))</f>
        <v/>
      </c>
      <c r="C197" s="52">
        <f>IF(IFERROR(MATCH(193,'List A'!$Q$5:$Q$204,0)+4,"")="","",INDEX('List A'!$C$5:$C$204,IFERROR(MATCH(193,'List A'!$Q$5:$Q$204,0)+4,"")-4))</f>
        <v/>
      </c>
      <c r="D197" s="53">
        <f>IF(IFERROR(MATCH(193,'List A'!$Q$5:$Q$204,0)+4,"")="","",INDEX('List A'!$D$5:$D$204,IFERROR(MATCH(193,'List A'!$Q$5:$Q$204,0)+4,"")-4))</f>
        <v/>
      </c>
      <c r="E197" s="87">
        <f>IF(OR(IFERROR(MATCH(193,'List A'!$Q$5:$Q$204,0)+4,"")="",IF(IFERROR(MATCH(193,'List A'!$Q$5:$Q$204,0)+4,"")="","",INDEX('List A'!$K$5:$K$204,IFERROR(MATCH(193,'List A'!$Q$5:$Q$204,0)+4,"")-4))=""),"",INDEX('List B'!$A$5:$A$204,IF(IFERROR(MATCH(193,'List A'!$Q$5:$Q$204,0)+4,"")="","",INDEX('List A'!$K$5:$K$204,IFERROR(MATCH(193,'List A'!$Q$5:$Q$204,0)+4,"")-4))-4))</f>
        <v/>
      </c>
      <c r="F197" s="53">
        <f>IF(OR(IFERROR(MATCH(193,'List A'!$Q$5:$Q$204,0)+4,"")="",IF(IFERROR(MATCH(193,'List A'!$Q$5:$Q$204,0)+4,"")="","",INDEX('List A'!$K$5:$K$204,IFERROR(MATCH(193,'List A'!$Q$5:$Q$204,0)+4,"")-4))=""),"",INDEX('List B'!$B$5:$B$204,IF(IFERROR(MATCH(193,'List A'!$Q$5:$Q$204,0)+4,"")="","",INDEX('List A'!$K$5:$K$204,IFERROR(MATCH(193,'List A'!$Q$5:$Q$204,0)+4,"")-4))-4))</f>
        <v/>
      </c>
      <c r="G197" s="52">
        <f>IF(OR(IFERROR(MATCH(193,'List A'!$Q$5:$Q$204,0)+4,"")="",IF(IFERROR(MATCH(193,'List A'!$Q$5:$Q$204,0)+4,"")="","",INDEX('List A'!$K$5:$K$204,IFERROR(MATCH(193,'List A'!$Q$5:$Q$204,0)+4,"")-4))=""),"",INDEX('List B'!$C$5:$C$204,IF(IFERROR(MATCH(193,'List A'!$Q$5:$Q$204,0)+4,"")="","",INDEX('List A'!$K$5:$K$204,IFERROR(MATCH(193,'List A'!$Q$5:$Q$204,0)+4,"")-4))-4))</f>
        <v/>
      </c>
      <c r="H197" s="53">
        <f>IF(OR(IFERROR(MATCH(193,'List A'!$Q$5:$Q$204,0)+4,"")="",IF(IFERROR(MATCH(193,'List A'!$Q$5:$Q$204,0)+4,"")="","",INDEX('List A'!$K$5:$K$204,IFERROR(MATCH(193,'List A'!$Q$5:$Q$204,0)+4,"")-4))=""),"",INDEX('List B'!$D$5:$D$204,IF(IFERROR(MATCH(193,'List A'!$Q$5:$Q$204,0)+4,"")="","",INDEX('List A'!$K$5:$K$204,IFERROR(MATCH(193,'List A'!$Q$5:$Q$204,0)+4,"")-4))-4))</f>
        <v/>
      </c>
      <c r="I197" s="52">
        <f>IF(IFERROR(MATCH(193,'List A'!$Q$5:$Q$204,0)+4,"")="","",INDEX('List A'!$N$5:$N$204,IFERROR(MATCH(193,'List A'!$Q$5:$Q$204,0)+4,"")-4))</f>
        <v/>
      </c>
      <c r="J197" s="53">
        <f>IF(IFERROR(MATCH(193,'List A'!$Q$5:$Q$204,0)+4,"")="","",INDEX('List A'!$O$5:$O$204,IFERROR(MATCH(193,'List A'!$Q$5:$Q$204,0)+4,"")-4))</f>
        <v/>
      </c>
    </row>
    <row r="198" ht="17" customHeight="1">
      <c r="A198" s="87">
        <f>IF(IFERROR(MATCH(194,'List A'!$Q$5:$Q$204,0)+4,"")="","",INDEX('List A'!$A$5:$A$204,IFERROR(MATCH(194,'List A'!$Q$5:$Q$204,0)+4,"")-4))</f>
        <v/>
      </c>
      <c r="B198" s="53">
        <f>IF(IFERROR(MATCH(194,'List A'!$Q$5:$Q$204,0)+4,"")="","",INDEX('List A'!$B$5:$B$204,IFERROR(MATCH(194,'List A'!$Q$5:$Q$204,0)+4,"")-4))</f>
        <v/>
      </c>
      <c r="C198" s="52">
        <f>IF(IFERROR(MATCH(194,'List A'!$Q$5:$Q$204,0)+4,"")="","",INDEX('List A'!$C$5:$C$204,IFERROR(MATCH(194,'List A'!$Q$5:$Q$204,0)+4,"")-4))</f>
        <v/>
      </c>
      <c r="D198" s="53">
        <f>IF(IFERROR(MATCH(194,'List A'!$Q$5:$Q$204,0)+4,"")="","",INDEX('List A'!$D$5:$D$204,IFERROR(MATCH(194,'List A'!$Q$5:$Q$204,0)+4,"")-4))</f>
        <v/>
      </c>
      <c r="E198" s="87">
        <f>IF(OR(IFERROR(MATCH(194,'List A'!$Q$5:$Q$204,0)+4,"")="",IF(IFERROR(MATCH(194,'List A'!$Q$5:$Q$204,0)+4,"")="","",INDEX('List A'!$K$5:$K$204,IFERROR(MATCH(194,'List A'!$Q$5:$Q$204,0)+4,"")-4))=""),"",INDEX('List B'!$A$5:$A$204,IF(IFERROR(MATCH(194,'List A'!$Q$5:$Q$204,0)+4,"")="","",INDEX('List A'!$K$5:$K$204,IFERROR(MATCH(194,'List A'!$Q$5:$Q$204,0)+4,"")-4))-4))</f>
        <v/>
      </c>
      <c r="F198" s="53">
        <f>IF(OR(IFERROR(MATCH(194,'List A'!$Q$5:$Q$204,0)+4,"")="",IF(IFERROR(MATCH(194,'List A'!$Q$5:$Q$204,0)+4,"")="","",INDEX('List A'!$K$5:$K$204,IFERROR(MATCH(194,'List A'!$Q$5:$Q$204,0)+4,"")-4))=""),"",INDEX('List B'!$B$5:$B$204,IF(IFERROR(MATCH(194,'List A'!$Q$5:$Q$204,0)+4,"")="","",INDEX('List A'!$K$5:$K$204,IFERROR(MATCH(194,'List A'!$Q$5:$Q$204,0)+4,"")-4))-4))</f>
        <v/>
      </c>
      <c r="G198" s="52">
        <f>IF(OR(IFERROR(MATCH(194,'List A'!$Q$5:$Q$204,0)+4,"")="",IF(IFERROR(MATCH(194,'List A'!$Q$5:$Q$204,0)+4,"")="","",INDEX('List A'!$K$5:$K$204,IFERROR(MATCH(194,'List A'!$Q$5:$Q$204,0)+4,"")-4))=""),"",INDEX('List B'!$C$5:$C$204,IF(IFERROR(MATCH(194,'List A'!$Q$5:$Q$204,0)+4,"")="","",INDEX('List A'!$K$5:$K$204,IFERROR(MATCH(194,'List A'!$Q$5:$Q$204,0)+4,"")-4))-4))</f>
        <v/>
      </c>
      <c r="H198" s="53">
        <f>IF(OR(IFERROR(MATCH(194,'List A'!$Q$5:$Q$204,0)+4,"")="",IF(IFERROR(MATCH(194,'List A'!$Q$5:$Q$204,0)+4,"")="","",INDEX('List A'!$K$5:$K$204,IFERROR(MATCH(194,'List A'!$Q$5:$Q$204,0)+4,"")-4))=""),"",INDEX('List B'!$D$5:$D$204,IF(IFERROR(MATCH(194,'List A'!$Q$5:$Q$204,0)+4,"")="","",INDEX('List A'!$K$5:$K$204,IFERROR(MATCH(194,'List A'!$Q$5:$Q$204,0)+4,"")-4))-4))</f>
        <v/>
      </c>
      <c r="I198" s="52">
        <f>IF(IFERROR(MATCH(194,'List A'!$Q$5:$Q$204,0)+4,"")="","",INDEX('List A'!$N$5:$N$204,IFERROR(MATCH(194,'List A'!$Q$5:$Q$204,0)+4,"")-4))</f>
        <v/>
      </c>
      <c r="J198" s="53">
        <f>IF(IFERROR(MATCH(194,'List A'!$Q$5:$Q$204,0)+4,"")="","",INDEX('List A'!$O$5:$O$204,IFERROR(MATCH(194,'List A'!$Q$5:$Q$204,0)+4,"")-4))</f>
        <v/>
      </c>
    </row>
    <row r="199" ht="17" customHeight="1">
      <c r="A199" s="87">
        <f>IF(IFERROR(MATCH(195,'List A'!$Q$5:$Q$204,0)+4,"")="","",INDEX('List A'!$A$5:$A$204,IFERROR(MATCH(195,'List A'!$Q$5:$Q$204,0)+4,"")-4))</f>
        <v/>
      </c>
      <c r="B199" s="53">
        <f>IF(IFERROR(MATCH(195,'List A'!$Q$5:$Q$204,0)+4,"")="","",INDEX('List A'!$B$5:$B$204,IFERROR(MATCH(195,'List A'!$Q$5:$Q$204,0)+4,"")-4))</f>
        <v/>
      </c>
      <c r="C199" s="52">
        <f>IF(IFERROR(MATCH(195,'List A'!$Q$5:$Q$204,0)+4,"")="","",INDEX('List A'!$C$5:$C$204,IFERROR(MATCH(195,'List A'!$Q$5:$Q$204,0)+4,"")-4))</f>
        <v/>
      </c>
      <c r="D199" s="53">
        <f>IF(IFERROR(MATCH(195,'List A'!$Q$5:$Q$204,0)+4,"")="","",INDEX('List A'!$D$5:$D$204,IFERROR(MATCH(195,'List A'!$Q$5:$Q$204,0)+4,"")-4))</f>
        <v/>
      </c>
      <c r="E199" s="87">
        <f>IF(OR(IFERROR(MATCH(195,'List A'!$Q$5:$Q$204,0)+4,"")="",IF(IFERROR(MATCH(195,'List A'!$Q$5:$Q$204,0)+4,"")="","",INDEX('List A'!$K$5:$K$204,IFERROR(MATCH(195,'List A'!$Q$5:$Q$204,0)+4,"")-4))=""),"",INDEX('List B'!$A$5:$A$204,IF(IFERROR(MATCH(195,'List A'!$Q$5:$Q$204,0)+4,"")="","",INDEX('List A'!$K$5:$K$204,IFERROR(MATCH(195,'List A'!$Q$5:$Q$204,0)+4,"")-4))-4))</f>
        <v/>
      </c>
      <c r="F199" s="53">
        <f>IF(OR(IFERROR(MATCH(195,'List A'!$Q$5:$Q$204,0)+4,"")="",IF(IFERROR(MATCH(195,'List A'!$Q$5:$Q$204,0)+4,"")="","",INDEX('List A'!$K$5:$K$204,IFERROR(MATCH(195,'List A'!$Q$5:$Q$204,0)+4,"")-4))=""),"",INDEX('List B'!$B$5:$B$204,IF(IFERROR(MATCH(195,'List A'!$Q$5:$Q$204,0)+4,"")="","",INDEX('List A'!$K$5:$K$204,IFERROR(MATCH(195,'List A'!$Q$5:$Q$204,0)+4,"")-4))-4))</f>
        <v/>
      </c>
      <c r="G199" s="52">
        <f>IF(OR(IFERROR(MATCH(195,'List A'!$Q$5:$Q$204,0)+4,"")="",IF(IFERROR(MATCH(195,'List A'!$Q$5:$Q$204,0)+4,"")="","",INDEX('List A'!$K$5:$K$204,IFERROR(MATCH(195,'List A'!$Q$5:$Q$204,0)+4,"")-4))=""),"",INDEX('List B'!$C$5:$C$204,IF(IFERROR(MATCH(195,'List A'!$Q$5:$Q$204,0)+4,"")="","",INDEX('List A'!$K$5:$K$204,IFERROR(MATCH(195,'List A'!$Q$5:$Q$204,0)+4,"")-4))-4))</f>
        <v/>
      </c>
      <c r="H199" s="53">
        <f>IF(OR(IFERROR(MATCH(195,'List A'!$Q$5:$Q$204,0)+4,"")="",IF(IFERROR(MATCH(195,'List A'!$Q$5:$Q$204,0)+4,"")="","",INDEX('List A'!$K$5:$K$204,IFERROR(MATCH(195,'List A'!$Q$5:$Q$204,0)+4,"")-4))=""),"",INDEX('List B'!$D$5:$D$204,IF(IFERROR(MATCH(195,'List A'!$Q$5:$Q$204,0)+4,"")="","",INDEX('List A'!$K$5:$K$204,IFERROR(MATCH(195,'List A'!$Q$5:$Q$204,0)+4,"")-4))-4))</f>
        <v/>
      </c>
      <c r="I199" s="52">
        <f>IF(IFERROR(MATCH(195,'List A'!$Q$5:$Q$204,0)+4,"")="","",INDEX('List A'!$N$5:$N$204,IFERROR(MATCH(195,'List A'!$Q$5:$Q$204,0)+4,"")-4))</f>
        <v/>
      </c>
      <c r="J199" s="53">
        <f>IF(IFERROR(MATCH(195,'List A'!$Q$5:$Q$204,0)+4,"")="","",INDEX('List A'!$O$5:$O$204,IFERROR(MATCH(195,'List A'!$Q$5:$Q$204,0)+4,"")-4))</f>
        <v/>
      </c>
    </row>
    <row r="200" ht="17" customHeight="1">
      <c r="A200" s="87">
        <f>IF(IFERROR(MATCH(196,'List A'!$Q$5:$Q$204,0)+4,"")="","",INDEX('List A'!$A$5:$A$204,IFERROR(MATCH(196,'List A'!$Q$5:$Q$204,0)+4,"")-4))</f>
        <v/>
      </c>
      <c r="B200" s="53">
        <f>IF(IFERROR(MATCH(196,'List A'!$Q$5:$Q$204,0)+4,"")="","",INDEX('List A'!$B$5:$B$204,IFERROR(MATCH(196,'List A'!$Q$5:$Q$204,0)+4,"")-4))</f>
        <v/>
      </c>
      <c r="C200" s="52">
        <f>IF(IFERROR(MATCH(196,'List A'!$Q$5:$Q$204,0)+4,"")="","",INDEX('List A'!$C$5:$C$204,IFERROR(MATCH(196,'List A'!$Q$5:$Q$204,0)+4,"")-4))</f>
        <v/>
      </c>
      <c r="D200" s="53">
        <f>IF(IFERROR(MATCH(196,'List A'!$Q$5:$Q$204,0)+4,"")="","",INDEX('List A'!$D$5:$D$204,IFERROR(MATCH(196,'List A'!$Q$5:$Q$204,0)+4,"")-4))</f>
        <v/>
      </c>
      <c r="E200" s="87">
        <f>IF(OR(IFERROR(MATCH(196,'List A'!$Q$5:$Q$204,0)+4,"")="",IF(IFERROR(MATCH(196,'List A'!$Q$5:$Q$204,0)+4,"")="","",INDEX('List A'!$K$5:$K$204,IFERROR(MATCH(196,'List A'!$Q$5:$Q$204,0)+4,"")-4))=""),"",INDEX('List B'!$A$5:$A$204,IF(IFERROR(MATCH(196,'List A'!$Q$5:$Q$204,0)+4,"")="","",INDEX('List A'!$K$5:$K$204,IFERROR(MATCH(196,'List A'!$Q$5:$Q$204,0)+4,"")-4))-4))</f>
        <v/>
      </c>
      <c r="F200" s="53">
        <f>IF(OR(IFERROR(MATCH(196,'List A'!$Q$5:$Q$204,0)+4,"")="",IF(IFERROR(MATCH(196,'List A'!$Q$5:$Q$204,0)+4,"")="","",INDEX('List A'!$K$5:$K$204,IFERROR(MATCH(196,'List A'!$Q$5:$Q$204,0)+4,"")-4))=""),"",INDEX('List B'!$B$5:$B$204,IF(IFERROR(MATCH(196,'List A'!$Q$5:$Q$204,0)+4,"")="","",INDEX('List A'!$K$5:$K$204,IFERROR(MATCH(196,'List A'!$Q$5:$Q$204,0)+4,"")-4))-4))</f>
        <v/>
      </c>
      <c r="G200" s="52">
        <f>IF(OR(IFERROR(MATCH(196,'List A'!$Q$5:$Q$204,0)+4,"")="",IF(IFERROR(MATCH(196,'List A'!$Q$5:$Q$204,0)+4,"")="","",INDEX('List A'!$K$5:$K$204,IFERROR(MATCH(196,'List A'!$Q$5:$Q$204,0)+4,"")-4))=""),"",INDEX('List B'!$C$5:$C$204,IF(IFERROR(MATCH(196,'List A'!$Q$5:$Q$204,0)+4,"")="","",INDEX('List A'!$K$5:$K$204,IFERROR(MATCH(196,'List A'!$Q$5:$Q$204,0)+4,"")-4))-4))</f>
        <v/>
      </c>
      <c r="H200" s="53">
        <f>IF(OR(IFERROR(MATCH(196,'List A'!$Q$5:$Q$204,0)+4,"")="",IF(IFERROR(MATCH(196,'List A'!$Q$5:$Q$204,0)+4,"")="","",INDEX('List A'!$K$5:$K$204,IFERROR(MATCH(196,'List A'!$Q$5:$Q$204,0)+4,"")-4))=""),"",INDEX('List B'!$D$5:$D$204,IF(IFERROR(MATCH(196,'List A'!$Q$5:$Q$204,0)+4,"")="","",INDEX('List A'!$K$5:$K$204,IFERROR(MATCH(196,'List A'!$Q$5:$Q$204,0)+4,"")-4))-4))</f>
        <v/>
      </c>
      <c r="I200" s="52">
        <f>IF(IFERROR(MATCH(196,'List A'!$Q$5:$Q$204,0)+4,"")="","",INDEX('List A'!$N$5:$N$204,IFERROR(MATCH(196,'List A'!$Q$5:$Q$204,0)+4,"")-4))</f>
        <v/>
      </c>
      <c r="J200" s="53">
        <f>IF(IFERROR(MATCH(196,'List A'!$Q$5:$Q$204,0)+4,"")="","",INDEX('List A'!$O$5:$O$204,IFERROR(MATCH(196,'List A'!$Q$5:$Q$204,0)+4,"")-4))</f>
        <v/>
      </c>
    </row>
    <row r="201" ht="17" customHeight="1">
      <c r="A201" s="87">
        <f>IF(IFERROR(MATCH(197,'List A'!$Q$5:$Q$204,0)+4,"")="","",INDEX('List A'!$A$5:$A$204,IFERROR(MATCH(197,'List A'!$Q$5:$Q$204,0)+4,"")-4))</f>
        <v/>
      </c>
      <c r="B201" s="53">
        <f>IF(IFERROR(MATCH(197,'List A'!$Q$5:$Q$204,0)+4,"")="","",INDEX('List A'!$B$5:$B$204,IFERROR(MATCH(197,'List A'!$Q$5:$Q$204,0)+4,"")-4))</f>
        <v/>
      </c>
      <c r="C201" s="52">
        <f>IF(IFERROR(MATCH(197,'List A'!$Q$5:$Q$204,0)+4,"")="","",INDEX('List A'!$C$5:$C$204,IFERROR(MATCH(197,'List A'!$Q$5:$Q$204,0)+4,"")-4))</f>
        <v/>
      </c>
      <c r="D201" s="53">
        <f>IF(IFERROR(MATCH(197,'List A'!$Q$5:$Q$204,0)+4,"")="","",INDEX('List A'!$D$5:$D$204,IFERROR(MATCH(197,'List A'!$Q$5:$Q$204,0)+4,"")-4))</f>
        <v/>
      </c>
      <c r="E201" s="87">
        <f>IF(OR(IFERROR(MATCH(197,'List A'!$Q$5:$Q$204,0)+4,"")="",IF(IFERROR(MATCH(197,'List A'!$Q$5:$Q$204,0)+4,"")="","",INDEX('List A'!$K$5:$K$204,IFERROR(MATCH(197,'List A'!$Q$5:$Q$204,0)+4,"")-4))=""),"",INDEX('List B'!$A$5:$A$204,IF(IFERROR(MATCH(197,'List A'!$Q$5:$Q$204,0)+4,"")="","",INDEX('List A'!$K$5:$K$204,IFERROR(MATCH(197,'List A'!$Q$5:$Q$204,0)+4,"")-4))-4))</f>
        <v/>
      </c>
      <c r="F201" s="53">
        <f>IF(OR(IFERROR(MATCH(197,'List A'!$Q$5:$Q$204,0)+4,"")="",IF(IFERROR(MATCH(197,'List A'!$Q$5:$Q$204,0)+4,"")="","",INDEX('List A'!$K$5:$K$204,IFERROR(MATCH(197,'List A'!$Q$5:$Q$204,0)+4,"")-4))=""),"",INDEX('List B'!$B$5:$B$204,IF(IFERROR(MATCH(197,'List A'!$Q$5:$Q$204,0)+4,"")="","",INDEX('List A'!$K$5:$K$204,IFERROR(MATCH(197,'List A'!$Q$5:$Q$204,0)+4,"")-4))-4))</f>
        <v/>
      </c>
      <c r="G201" s="52">
        <f>IF(OR(IFERROR(MATCH(197,'List A'!$Q$5:$Q$204,0)+4,"")="",IF(IFERROR(MATCH(197,'List A'!$Q$5:$Q$204,0)+4,"")="","",INDEX('List A'!$K$5:$K$204,IFERROR(MATCH(197,'List A'!$Q$5:$Q$204,0)+4,"")-4))=""),"",INDEX('List B'!$C$5:$C$204,IF(IFERROR(MATCH(197,'List A'!$Q$5:$Q$204,0)+4,"")="","",INDEX('List A'!$K$5:$K$204,IFERROR(MATCH(197,'List A'!$Q$5:$Q$204,0)+4,"")-4))-4))</f>
        <v/>
      </c>
      <c r="H201" s="53">
        <f>IF(OR(IFERROR(MATCH(197,'List A'!$Q$5:$Q$204,0)+4,"")="",IF(IFERROR(MATCH(197,'List A'!$Q$5:$Q$204,0)+4,"")="","",INDEX('List A'!$K$5:$K$204,IFERROR(MATCH(197,'List A'!$Q$5:$Q$204,0)+4,"")-4))=""),"",INDEX('List B'!$D$5:$D$204,IF(IFERROR(MATCH(197,'List A'!$Q$5:$Q$204,0)+4,"")="","",INDEX('List A'!$K$5:$K$204,IFERROR(MATCH(197,'List A'!$Q$5:$Q$204,0)+4,"")-4))-4))</f>
        <v/>
      </c>
      <c r="I201" s="52">
        <f>IF(IFERROR(MATCH(197,'List A'!$Q$5:$Q$204,0)+4,"")="","",INDEX('List A'!$N$5:$N$204,IFERROR(MATCH(197,'List A'!$Q$5:$Q$204,0)+4,"")-4))</f>
        <v/>
      </c>
      <c r="J201" s="53">
        <f>IF(IFERROR(MATCH(197,'List A'!$Q$5:$Q$204,0)+4,"")="","",INDEX('List A'!$O$5:$O$204,IFERROR(MATCH(197,'List A'!$Q$5:$Q$204,0)+4,"")-4))</f>
        <v/>
      </c>
    </row>
    <row r="202" ht="17" customHeight="1">
      <c r="A202" s="87">
        <f>IF(IFERROR(MATCH(198,'List A'!$Q$5:$Q$204,0)+4,"")="","",INDEX('List A'!$A$5:$A$204,IFERROR(MATCH(198,'List A'!$Q$5:$Q$204,0)+4,"")-4))</f>
        <v/>
      </c>
      <c r="B202" s="53">
        <f>IF(IFERROR(MATCH(198,'List A'!$Q$5:$Q$204,0)+4,"")="","",INDEX('List A'!$B$5:$B$204,IFERROR(MATCH(198,'List A'!$Q$5:$Q$204,0)+4,"")-4))</f>
        <v/>
      </c>
      <c r="C202" s="52">
        <f>IF(IFERROR(MATCH(198,'List A'!$Q$5:$Q$204,0)+4,"")="","",INDEX('List A'!$C$5:$C$204,IFERROR(MATCH(198,'List A'!$Q$5:$Q$204,0)+4,"")-4))</f>
        <v/>
      </c>
      <c r="D202" s="53">
        <f>IF(IFERROR(MATCH(198,'List A'!$Q$5:$Q$204,0)+4,"")="","",INDEX('List A'!$D$5:$D$204,IFERROR(MATCH(198,'List A'!$Q$5:$Q$204,0)+4,"")-4))</f>
        <v/>
      </c>
      <c r="E202" s="87">
        <f>IF(OR(IFERROR(MATCH(198,'List A'!$Q$5:$Q$204,0)+4,"")="",IF(IFERROR(MATCH(198,'List A'!$Q$5:$Q$204,0)+4,"")="","",INDEX('List A'!$K$5:$K$204,IFERROR(MATCH(198,'List A'!$Q$5:$Q$204,0)+4,"")-4))=""),"",INDEX('List B'!$A$5:$A$204,IF(IFERROR(MATCH(198,'List A'!$Q$5:$Q$204,0)+4,"")="","",INDEX('List A'!$K$5:$K$204,IFERROR(MATCH(198,'List A'!$Q$5:$Q$204,0)+4,"")-4))-4))</f>
        <v/>
      </c>
      <c r="F202" s="53">
        <f>IF(OR(IFERROR(MATCH(198,'List A'!$Q$5:$Q$204,0)+4,"")="",IF(IFERROR(MATCH(198,'List A'!$Q$5:$Q$204,0)+4,"")="","",INDEX('List A'!$K$5:$K$204,IFERROR(MATCH(198,'List A'!$Q$5:$Q$204,0)+4,"")-4))=""),"",INDEX('List B'!$B$5:$B$204,IF(IFERROR(MATCH(198,'List A'!$Q$5:$Q$204,0)+4,"")="","",INDEX('List A'!$K$5:$K$204,IFERROR(MATCH(198,'List A'!$Q$5:$Q$204,0)+4,"")-4))-4))</f>
        <v/>
      </c>
      <c r="G202" s="52">
        <f>IF(OR(IFERROR(MATCH(198,'List A'!$Q$5:$Q$204,0)+4,"")="",IF(IFERROR(MATCH(198,'List A'!$Q$5:$Q$204,0)+4,"")="","",INDEX('List A'!$K$5:$K$204,IFERROR(MATCH(198,'List A'!$Q$5:$Q$204,0)+4,"")-4))=""),"",INDEX('List B'!$C$5:$C$204,IF(IFERROR(MATCH(198,'List A'!$Q$5:$Q$204,0)+4,"")="","",INDEX('List A'!$K$5:$K$204,IFERROR(MATCH(198,'List A'!$Q$5:$Q$204,0)+4,"")-4))-4))</f>
        <v/>
      </c>
      <c r="H202" s="53">
        <f>IF(OR(IFERROR(MATCH(198,'List A'!$Q$5:$Q$204,0)+4,"")="",IF(IFERROR(MATCH(198,'List A'!$Q$5:$Q$204,0)+4,"")="","",INDEX('List A'!$K$5:$K$204,IFERROR(MATCH(198,'List A'!$Q$5:$Q$204,0)+4,"")-4))=""),"",INDEX('List B'!$D$5:$D$204,IF(IFERROR(MATCH(198,'List A'!$Q$5:$Q$204,0)+4,"")="","",INDEX('List A'!$K$5:$K$204,IFERROR(MATCH(198,'List A'!$Q$5:$Q$204,0)+4,"")-4))-4))</f>
        <v/>
      </c>
      <c r="I202" s="52">
        <f>IF(IFERROR(MATCH(198,'List A'!$Q$5:$Q$204,0)+4,"")="","",INDEX('List A'!$N$5:$N$204,IFERROR(MATCH(198,'List A'!$Q$5:$Q$204,0)+4,"")-4))</f>
        <v/>
      </c>
      <c r="J202" s="53">
        <f>IF(IFERROR(MATCH(198,'List A'!$Q$5:$Q$204,0)+4,"")="","",INDEX('List A'!$O$5:$O$204,IFERROR(MATCH(198,'List A'!$Q$5:$Q$204,0)+4,"")-4))</f>
        <v/>
      </c>
    </row>
    <row r="203" ht="17" customHeight="1">
      <c r="A203" s="87">
        <f>IF(IFERROR(MATCH(199,'List A'!$Q$5:$Q$204,0)+4,"")="","",INDEX('List A'!$A$5:$A$204,IFERROR(MATCH(199,'List A'!$Q$5:$Q$204,0)+4,"")-4))</f>
        <v/>
      </c>
      <c r="B203" s="53">
        <f>IF(IFERROR(MATCH(199,'List A'!$Q$5:$Q$204,0)+4,"")="","",INDEX('List A'!$B$5:$B$204,IFERROR(MATCH(199,'List A'!$Q$5:$Q$204,0)+4,"")-4))</f>
        <v/>
      </c>
      <c r="C203" s="52">
        <f>IF(IFERROR(MATCH(199,'List A'!$Q$5:$Q$204,0)+4,"")="","",INDEX('List A'!$C$5:$C$204,IFERROR(MATCH(199,'List A'!$Q$5:$Q$204,0)+4,"")-4))</f>
        <v/>
      </c>
      <c r="D203" s="53">
        <f>IF(IFERROR(MATCH(199,'List A'!$Q$5:$Q$204,0)+4,"")="","",INDEX('List A'!$D$5:$D$204,IFERROR(MATCH(199,'List A'!$Q$5:$Q$204,0)+4,"")-4))</f>
        <v/>
      </c>
      <c r="E203" s="87">
        <f>IF(OR(IFERROR(MATCH(199,'List A'!$Q$5:$Q$204,0)+4,"")="",IF(IFERROR(MATCH(199,'List A'!$Q$5:$Q$204,0)+4,"")="","",INDEX('List A'!$K$5:$K$204,IFERROR(MATCH(199,'List A'!$Q$5:$Q$204,0)+4,"")-4))=""),"",INDEX('List B'!$A$5:$A$204,IF(IFERROR(MATCH(199,'List A'!$Q$5:$Q$204,0)+4,"")="","",INDEX('List A'!$K$5:$K$204,IFERROR(MATCH(199,'List A'!$Q$5:$Q$204,0)+4,"")-4))-4))</f>
        <v/>
      </c>
      <c r="F203" s="53">
        <f>IF(OR(IFERROR(MATCH(199,'List A'!$Q$5:$Q$204,0)+4,"")="",IF(IFERROR(MATCH(199,'List A'!$Q$5:$Q$204,0)+4,"")="","",INDEX('List A'!$K$5:$K$204,IFERROR(MATCH(199,'List A'!$Q$5:$Q$204,0)+4,"")-4))=""),"",INDEX('List B'!$B$5:$B$204,IF(IFERROR(MATCH(199,'List A'!$Q$5:$Q$204,0)+4,"")="","",INDEX('List A'!$K$5:$K$204,IFERROR(MATCH(199,'List A'!$Q$5:$Q$204,0)+4,"")-4))-4))</f>
        <v/>
      </c>
      <c r="G203" s="52">
        <f>IF(OR(IFERROR(MATCH(199,'List A'!$Q$5:$Q$204,0)+4,"")="",IF(IFERROR(MATCH(199,'List A'!$Q$5:$Q$204,0)+4,"")="","",INDEX('List A'!$K$5:$K$204,IFERROR(MATCH(199,'List A'!$Q$5:$Q$204,0)+4,"")-4))=""),"",INDEX('List B'!$C$5:$C$204,IF(IFERROR(MATCH(199,'List A'!$Q$5:$Q$204,0)+4,"")="","",INDEX('List A'!$K$5:$K$204,IFERROR(MATCH(199,'List A'!$Q$5:$Q$204,0)+4,"")-4))-4))</f>
        <v/>
      </c>
      <c r="H203" s="53">
        <f>IF(OR(IFERROR(MATCH(199,'List A'!$Q$5:$Q$204,0)+4,"")="",IF(IFERROR(MATCH(199,'List A'!$Q$5:$Q$204,0)+4,"")="","",INDEX('List A'!$K$5:$K$204,IFERROR(MATCH(199,'List A'!$Q$5:$Q$204,0)+4,"")-4))=""),"",INDEX('List B'!$D$5:$D$204,IF(IFERROR(MATCH(199,'List A'!$Q$5:$Q$204,0)+4,"")="","",INDEX('List A'!$K$5:$K$204,IFERROR(MATCH(199,'List A'!$Q$5:$Q$204,0)+4,"")-4))-4))</f>
        <v/>
      </c>
      <c r="I203" s="52">
        <f>IF(IFERROR(MATCH(199,'List A'!$Q$5:$Q$204,0)+4,"")="","",INDEX('List A'!$N$5:$N$204,IFERROR(MATCH(199,'List A'!$Q$5:$Q$204,0)+4,"")-4))</f>
        <v/>
      </c>
      <c r="J203" s="53">
        <f>IF(IFERROR(MATCH(199,'List A'!$Q$5:$Q$204,0)+4,"")="","",INDEX('List A'!$O$5:$O$204,IFERROR(MATCH(199,'List A'!$Q$5:$Q$204,0)+4,"")-4))</f>
        <v/>
      </c>
    </row>
    <row r="204" ht="17" customHeight="1">
      <c r="A204" s="87">
        <f>IF(IFERROR(MATCH(200,'List A'!$Q$5:$Q$204,0)+4,"")="","",INDEX('List A'!$A$5:$A$204,IFERROR(MATCH(200,'List A'!$Q$5:$Q$204,0)+4,"")-4))</f>
        <v/>
      </c>
      <c r="B204" s="53">
        <f>IF(IFERROR(MATCH(200,'List A'!$Q$5:$Q$204,0)+4,"")="","",INDEX('List A'!$B$5:$B$204,IFERROR(MATCH(200,'List A'!$Q$5:$Q$204,0)+4,"")-4))</f>
        <v/>
      </c>
      <c r="C204" s="52">
        <f>IF(IFERROR(MATCH(200,'List A'!$Q$5:$Q$204,0)+4,"")="","",INDEX('List A'!$C$5:$C$204,IFERROR(MATCH(200,'List A'!$Q$5:$Q$204,0)+4,"")-4))</f>
        <v/>
      </c>
      <c r="D204" s="53">
        <f>IF(IFERROR(MATCH(200,'List A'!$Q$5:$Q$204,0)+4,"")="","",INDEX('List A'!$D$5:$D$204,IFERROR(MATCH(200,'List A'!$Q$5:$Q$204,0)+4,"")-4))</f>
        <v/>
      </c>
      <c r="E204" s="87">
        <f>IF(OR(IFERROR(MATCH(200,'List A'!$Q$5:$Q$204,0)+4,"")="",IF(IFERROR(MATCH(200,'List A'!$Q$5:$Q$204,0)+4,"")="","",INDEX('List A'!$K$5:$K$204,IFERROR(MATCH(200,'List A'!$Q$5:$Q$204,0)+4,"")-4))=""),"",INDEX('List B'!$A$5:$A$204,IF(IFERROR(MATCH(200,'List A'!$Q$5:$Q$204,0)+4,"")="","",INDEX('List A'!$K$5:$K$204,IFERROR(MATCH(200,'List A'!$Q$5:$Q$204,0)+4,"")-4))-4))</f>
        <v/>
      </c>
      <c r="F204" s="53">
        <f>IF(OR(IFERROR(MATCH(200,'List A'!$Q$5:$Q$204,0)+4,"")="",IF(IFERROR(MATCH(200,'List A'!$Q$5:$Q$204,0)+4,"")="","",INDEX('List A'!$K$5:$K$204,IFERROR(MATCH(200,'List A'!$Q$5:$Q$204,0)+4,"")-4))=""),"",INDEX('List B'!$B$5:$B$204,IF(IFERROR(MATCH(200,'List A'!$Q$5:$Q$204,0)+4,"")="","",INDEX('List A'!$K$5:$K$204,IFERROR(MATCH(200,'List A'!$Q$5:$Q$204,0)+4,"")-4))-4))</f>
        <v/>
      </c>
      <c r="G204" s="52">
        <f>IF(OR(IFERROR(MATCH(200,'List A'!$Q$5:$Q$204,0)+4,"")="",IF(IFERROR(MATCH(200,'List A'!$Q$5:$Q$204,0)+4,"")="","",INDEX('List A'!$K$5:$K$204,IFERROR(MATCH(200,'List A'!$Q$5:$Q$204,0)+4,"")-4))=""),"",INDEX('List B'!$C$5:$C$204,IF(IFERROR(MATCH(200,'List A'!$Q$5:$Q$204,0)+4,"")="","",INDEX('List A'!$K$5:$K$204,IFERROR(MATCH(200,'List A'!$Q$5:$Q$204,0)+4,"")-4))-4))</f>
        <v/>
      </c>
      <c r="H204" s="53">
        <f>IF(OR(IFERROR(MATCH(200,'List A'!$Q$5:$Q$204,0)+4,"")="",IF(IFERROR(MATCH(200,'List A'!$Q$5:$Q$204,0)+4,"")="","",INDEX('List A'!$K$5:$K$204,IFERROR(MATCH(200,'List A'!$Q$5:$Q$204,0)+4,"")-4))=""),"",INDEX('List B'!$D$5:$D$204,IF(IFERROR(MATCH(200,'List A'!$Q$5:$Q$204,0)+4,"")="","",INDEX('List A'!$K$5:$K$204,IFERROR(MATCH(200,'List A'!$Q$5:$Q$204,0)+4,"")-4))-4))</f>
        <v/>
      </c>
      <c r="I204" s="52">
        <f>IF(IFERROR(MATCH(200,'List A'!$Q$5:$Q$204,0)+4,"")="","",INDEX('List A'!$N$5:$N$204,IFERROR(MATCH(200,'List A'!$Q$5:$Q$204,0)+4,"")-4))</f>
        <v/>
      </c>
      <c r="J204" s="53">
        <f>IF(IFERROR(MATCH(200,'List A'!$Q$5:$Q$204,0)+4,"")="","",INDEX('List A'!$O$5:$O$204,IFERROR(MATCH(200,'List A'!$Q$5:$Q$204,0)+4,"")-4))</f>
        <v/>
      </c>
    </row>
  </sheetData>
  <mergeCells count="3">
    <mergeCell ref="A1:J1"/>
    <mergeCell ref="A3:J3"/>
    <mergeCell ref="A2:J2"/>
  </mergeCells>
  <conditionalFormatting sqref="A5:J204">
    <cfRule type="expression" priority="1" dxfId="4">
      <formula>$A5&lt;&gt;""</formula>
    </cfRule>
  </conditionalFormatting>
  <printOptions horizontalCentered="1"/>
  <pageMargins left="0.5" right="0.5" top="0.55" bottom="0.55" header="0.3" footer="0.3"/>
  <pageSetup orientation="landscape" paperSize="1" fitToHeight="0" fitToWidth="1"/>
  <headerFooter>
    <oddHeader>&amp;LMatched</oddHeader>
    <oddFooter>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8" customWidth="1" min="6" max="6"/>
    <col width="13" customWidth="1" min="7" max="7"/>
    <col width="14" customWidth="1" min="8" max="8"/>
    <col width="12" customWidth="1" min="9" max="9"/>
    <col width="16" customWidth="1" min="10" max="10"/>
  </cols>
  <sheetData>
    <row r="1" ht="30" customHeight="1">
      <c r="A1" s="1" t="inlineStr">
        <is>
          <t>Unmatched A</t>
        </is>
      </c>
    </row>
    <row r="2">
      <c r="A2" s="59" t="inlineStr">
        <is>
          <t>This sheet is calculated. Do not type here. It updates when List A / List B change.</t>
        </is>
      </c>
    </row>
    <row r="3">
      <c r="A3" s="43">
        <f>COUNTIF('List A'!$L$5:$L$204,"Unmatched")&amp;" row(s)   ·   Change Match method on the Dashboard if the wrong items appear here."</f>
        <v/>
      </c>
    </row>
    <row r="4" ht="28" customHeight="1">
      <c r="A4" s="44" t="inlineStr">
        <is>
          <t>Date</t>
        </is>
      </c>
      <c r="B4" s="44" t="inlineStr">
        <is>
          <t>Description</t>
        </is>
      </c>
      <c r="C4" s="44" t="inlineStr">
        <is>
          <t>Amount</t>
        </is>
      </c>
      <c r="D4" s="44" t="inlineStr">
        <is>
          <t>Transaction ID</t>
        </is>
      </c>
      <c r="E4" s="44" t="inlineStr">
        <is>
          <t>Category</t>
        </is>
      </c>
      <c r="F4" s="44" t="inlineStr">
        <is>
          <t>Notes</t>
        </is>
      </c>
      <c r="G4" s="44" t="inlineStr">
        <is>
          <t>Reviewed?</t>
        </is>
      </c>
      <c r="H4" s="44" t="n"/>
      <c r="I4" s="44" t="n"/>
      <c r="J4" s="44" t="n"/>
    </row>
    <row r="5" ht="17" customHeight="1">
      <c r="A5" s="87">
        <f>IF(IFERROR(MATCH(1,'List A'!$R$5:$R$204,0)+4,"")="","",INDEX('List A'!$A$5:$A$204,IFERROR(MATCH(1,'List A'!$R$5:$R$204,0)+4,"")-4))</f>
        <v/>
      </c>
      <c r="B5" s="53">
        <f>IF(IFERROR(MATCH(1,'List A'!$R$5:$R$204,0)+4,"")="","",INDEX('List A'!$B$5:$B$204,IFERROR(MATCH(1,'List A'!$R$5:$R$204,0)+4,"")-4))</f>
        <v/>
      </c>
      <c r="C5" s="52">
        <f>IF(IFERROR(MATCH(1,'List A'!$R$5:$R$204,0)+4,"")="","",INDEX('List A'!$C$5:$C$204,IFERROR(MATCH(1,'List A'!$R$5:$R$204,0)+4,"")-4))</f>
        <v/>
      </c>
      <c r="D5" s="53">
        <f>IF(IFERROR(MATCH(1,'List A'!$R$5:$R$204,0)+4,"")="","",INDEX('List A'!$D$5:$D$204,IFERROR(MATCH(1,'List A'!$R$5:$R$204,0)+4,"")-4))</f>
        <v/>
      </c>
      <c r="E5" s="53">
        <f>IF(IFERROR(MATCH(1,'List A'!$R$5:$R$204,0)+4,"")="","",INDEX('List A'!$E$5:$E$204,IFERROR(MATCH(1,'List A'!$R$5:$R$204,0)+4,"")-4))</f>
        <v/>
      </c>
      <c r="F5" s="53">
        <f>IF(IFERROR(MATCH(1,'List A'!$R$5:$R$204,0)+4,"")="","",INDEX('List A'!$F$5:$F$204,IFERROR(MATCH(1,'List A'!$R$5:$R$204,0)+4,"")-4))</f>
        <v/>
      </c>
      <c r="G5" s="50">
        <f>IF(IFERROR(MATCH(1,'List A'!$R$5:$R$204,0)+4,"")="","",INDEX('List A'!$G$5:$G$204,IFERROR(MATCH(1,'List A'!$R$5:$R$204,0)+4,"")-4))</f>
        <v/>
      </c>
      <c r="H5" s="53">
        <f>IF(IFERROR(MATCH(1,'List A'!$R$5:$R$204,0)+4,"")="","",INDEX('List A'!$H$5:$H$204,IFERROR(MATCH(1,'List A'!$R$5:$R$204,0)+4,"")-4))</f>
        <v/>
      </c>
      <c r="I5" s="61" t="n"/>
      <c r="J5" s="61" t="n"/>
    </row>
    <row r="6" ht="17" customHeight="1">
      <c r="A6" s="87">
        <f>IF(IFERROR(MATCH(2,'List A'!$R$5:$R$204,0)+4,"")="","",INDEX('List A'!$A$5:$A$204,IFERROR(MATCH(2,'List A'!$R$5:$R$204,0)+4,"")-4))</f>
        <v/>
      </c>
      <c r="B6" s="53">
        <f>IF(IFERROR(MATCH(2,'List A'!$R$5:$R$204,0)+4,"")="","",INDEX('List A'!$B$5:$B$204,IFERROR(MATCH(2,'List A'!$R$5:$R$204,0)+4,"")-4))</f>
        <v/>
      </c>
      <c r="C6" s="52">
        <f>IF(IFERROR(MATCH(2,'List A'!$R$5:$R$204,0)+4,"")="","",INDEX('List A'!$C$5:$C$204,IFERROR(MATCH(2,'List A'!$R$5:$R$204,0)+4,"")-4))</f>
        <v/>
      </c>
      <c r="D6" s="53">
        <f>IF(IFERROR(MATCH(2,'List A'!$R$5:$R$204,0)+4,"")="","",INDEX('List A'!$D$5:$D$204,IFERROR(MATCH(2,'List A'!$R$5:$R$204,0)+4,"")-4))</f>
        <v/>
      </c>
      <c r="E6" s="53">
        <f>IF(IFERROR(MATCH(2,'List A'!$R$5:$R$204,0)+4,"")="","",INDEX('List A'!$E$5:$E$204,IFERROR(MATCH(2,'List A'!$R$5:$R$204,0)+4,"")-4))</f>
        <v/>
      </c>
      <c r="F6" s="53">
        <f>IF(IFERROR(MATCH(2,'List A'!$R$5:$R$204,0)+4,"")="","",INDEX('List A'!$F$5:$F$204,IFERROR(MATCH(2,'List A'!$R$5:$R$204,0)+4,"")-4))</f>
        <v/>
      </c>
      <c r="G6" s="50">
        <f>IF(IFERROR(MATCH(2,'List A'!$R$5:$R$204,0)+4,"")="","",INDEX('List A'!$G$5:$G$204,IFERROR(MATCH(2,'List A'!$R$5:$R$204,0)+4,"")-4))</f>
        <v/>
      </c>
      <c r="H6" s="53">
        <f>IF(IFERROR(MATCH(2,'List A'!$R$5:$R$204,0)+4,"")="","",INDEX('List A'!$H$5:$H$204,IFERROR(MATCH(2,'List A'!$R$5:$R$204,0)+4,"")-4))</f>
        <v/>
      </c>
      <c r="I6" s="61" t="n"/>
      <c r="J6" s="61" t="n"/>
    </row>
    <row r="7" ht="17" customHeight="1">
      <c r="A7" s="87">
        <f>IF(IFERROR(MATCH(3,'List A'!$R$5:$R$204,0)+4,"")="","",INDEX('List A'!$A$5:$A$204,IFERROR(MATCH(3,'List A'!$R$5:$R$204,0)+4,"")-4))</f>
        <v/>
      </c>
      <c r="B7" s="53">
        <f>IF(IFERROR(MATCH(3,'List A'!$R$5:$R$204,0)+4,"")="","",INDEX('List A'!$B$5:$B$204,IFERROR(MATCH(3,'List A'!$R$5:$R$204,0)+4,"")-4))</f>
        <v/>
      </c>
      <c r="C7" s="52">
        <f>IF(IFERROR(MATCH(3,'List A'!$R$5:$R$204,0)+4,"")="","",INDEX('List A'!$C$5:$C$204,IFERROR(MATCH(3,'List A'!$R$5:$R$204,0)+4,"")-4))</f>
        <v/>
      </c>
      <c r="D7" s="53">
        <f>IF(IFERROR(MATCH(3,'List A'!$R$5:$R$204,0)+4,"")="","",INDEX('List A'!$D$5:$D$204,IFERROR(MATCH(3,'List A'!$R$5:$R$204,0)+4,"")-4))</f>
        <v/>
      </c>
      <c r="E7" s="53">
        <f>IF(IFERROR(MATCH(3,'List A'!$R$5:$R$204,0)+4,"")="","",INDEX('List A'!$E$5:$E$204,IFERROR(MATCH(3,'List A'!$R$5:$R$204,0)+4,"")-4))</f>
        <v/>
      </c>
      <c r="F7" s="53">
        <f>IF(IFERROR(MATCH(3,'List A'!$R$5:$R$204,0)+4,"")="","",INDEX('List A'!$F$5:$F$204,IFERROR(MATCH(3,'List A'!$R$5:$R$204,0)+4,"")-4))</f>
        <v/>
      </c>
      <c r="G7" s="50">
        <f>IF(IFERROR(MATCH(3,'List A'!$R$5:$R$204,0)+4,"")="","",INDEX('List A'!$G$5:$G$204,IFERROR(MATCH(3,'List A'!$R$5:$R$204,0)+4,"")-4))</f>
        <v/>
      </c>
      <c r="H7" s="53">
        <f>IF(IFERROR(MATCH(3,'List A'!$R$5:$R$204,0)+4,"")="","",INDEX('List A'!$H$5:$H$204,IFERROR(MATCH(3,'List A'!$R$5:$R$204,0)+4,"")-4))</f>
        <v/>
      </c>
      <c r="I7" s="61" t="n"/>
      <c r="J7" s="61" t="n"/>
    </row>
    <row r="8" ht="17" customHeight="1">
      <c r="A8" s="87">
        <f>IF(IFERROR(MATCH(4,'List A'!$R$5:$R$204,0)+4,"")="","",INDEX('List A'!$A$5:$A$204,IFERROR(MATCH(4,'List A'!$R$5:$R$204,0)+4,"")-4))</f>
        <v/>
      </c>
      <c r="B8" s="53">
        <f>IF(IFERROR(MATCH(4,'List A'!$R$5:$R$204,0)+4,"")="","",INDEX('List A'!$B$5:$B$204,IFERROR(MATCH(4,'List A'!$R$5:$R$204,0)+4,"")-4))</f>
        <v/>
      </c>
      <c r="C8" s="52">
        <f>IF(IFERROR(MATCH(4,'List A'!$R$5:$R$204,0)+4,"")="","",INDEX('List A'!$C$5:$C$204,IFERROR(MATCH(4,'List A'!$R$5:$R$204,0)+4,"")-4))</f>
        <v/>
      </c>
      <c r="D8" s="53">
        <f>IF(IFERROR(MATCH(4,'List A'!$R$5:$R$204,0)+4,"")="","",INDEX('List A'!$D$5:$D$204,IFERROR(MATCH(4,'List A'!$R$5:$R$204,0)+4,"")-4))</f>
        <v/>
      </c>
      <c r="E8" s="53">
        <f>IF(IFERROR(MATCH(4,'List A'!$R$5:$R$204,0)+4,"")="","",INDEX('List A'!$E$5:$E$204,IFERROR(MATCH(4,'List A'!$R$5:$R$204,0)+4,"")-4))</f>
        <v/>
      </c>
      <c r="F8" s="53">
        <f>IF(IFERROR(MATCH(4,'List A'!$R$5:$R$204,0)+4,"")="","",INDEX('List A'!$F$5:$F$204,IFERROR(MATCH(4,'List A'!$R$5:$R$204,0)+4,"")-4))</f>
        <v/>
      </c>
      <c r="G8" s="50">
        <f>IF(IFERROR(MATCH(4,'List A'!$R$5:$R$204,0)+4,"")="","",INDEX('List A'!$G$5:$G$204,IFERROR(MATCH(4,'List A'!$R$5:$R$204,0)+4,"")-4))</f>
        <v/>
      </c>
      <c r="H8" s="53">
        <f>IF(IFERROR(MATCH(4,'List A'!$R$5:$R$204,0)+4,"")="","",INDEX('List A'!$H$5:$H$204,IFERROR(MATCH(4,'List A'!$R$5:$R$204,0)+4,"")-4))</f>
        <v/>
      </c>
      <c r="I8" s="61" t="n"/>
      <c r="J8" s="61" t="n"/>
    </row>
    <row r="9" ht="17" customHeight="1">
      <c r="A9" s="87">
        <f>IF(IFERROR(MATCH(5,'List A'!$R$5:$R$204,0)+4,"")="","",INDEX('List A'!$A$5:$A$204,IFERROR(MATCH(5,'List A'!$R$5:$R$204,0)+4,"")-4))</f>
        <v/>
      </c>
      <c r="B9" s="53">
        <f>IF(IFERROR(MATCH(5,'List A'!$R$5:$R$204,0)+4,"")="","",INDEX('List A'!$B$5:$B$204,IFERROR(MATCH(5,'List A'!$R$5:$R$204,0)+4,"")-4))</f>
        <v/>
      </c>
      <c r="C9" s="52">
        <f>IF(IFERROR(MATCH(5,'List A'!$R$5:$R$204,0)+4,"")="","",INDEX('List A'!$C$5:$C$204,IFERROR(MATCH(5,'List A'!$R$5:$R$204,0)+4,"")-4))</f>
        <v/>
      </c>
      <c r="D9" s="53">
        <f>IF(IFERROR(MATCH(5,'List A'!$R$5:$R$204,0)+4,"")="","",INDEX('List A'!$D$5:$D$204,IFERROR(MATCH(5,'List A'!$R$5:$R$204,0)+4,"")-4))</f>
        <v/>
      </c>
      <c r="E9" s="53">
        <f>IF(IFERROR(MATCH(5,'List A'!$R$5:$R$204,0)+4,"")="","",INDEX('List A'!$E$5:$E$204,IFERROR(MATCH(5,'List A'!$R$5:$R$204,0)+4,"")-4))</f>
        <v/>
      </c>
      <c r="F9" s="53">
        <f>IF(IFERROR(MATCH(5,'List A'!$R$5:$R$204,0)+4,"")="","",INDEX('List A'!$F$5:$F$204,IFERROR(MATCH(5,'List A'!$R$5:$R$204,0)+4,"")-4))</f>
        <v/>
      </c>
      <c r="G9" s="50">
        <f>IF(IFERROR(MATCH(5,'List A'!$R$5:$R$204,0)+4,"")="","",INDEX('List A'!$G$5:$G$204,IFERROR(MATCH(5,'List A'!$R$5:$R$204,0)+4,"")-4))</f>
        <v/>
      </c>
      <c r="H9" s="53">
        <f>IF(IFERROR(MATCH(5,'List A'!$R$5:$R$204,0)+4,"")="","",INDEX('List A'!$H$5:$H$204,IFERROR(MATCH(5,'List A'!$R$5:$R$204,0)+4,"")-4))</f>
        <v/>
      </c>
      <c r="I9" s="61" t="n"/>
      <c r="J9" s="61" t="n"/>
    </row>
    <row r="10" ht="17" customHeight="1">
      <c r="A10" s="87">
        <f>IF(IFERROR(MATCH(6,'List A'!$R$5:$R$204,0)+4,"")="","",INDEX('List A'!$A$5:$A$204,IFERROR(MATCH(6,'List A'!$R$5:$R$204,0)+4,"")-4))</f>
        <v/>
      </c>
      <c r="B10" s="53">
        <f>IF(IFERROR(MATCH(6,'List A'!$R$5:$R$204,0)+4,"")="","",INDEX('List A'!$B$5:$B$204,IFERROR(MATCH(6,'List A'!$R$5:$R$204,0)+4,"")-4))</f>
        <v/>
      </c>
      <c r="C10" s="52">
        <f>IF(IFERROR(MATCH(6,'List A'!$R$5:$R$204,0)+4,"")="","",INDEX('List A'!$C$5:$C$204,IFERROR(MATCH(6,'List A'!$R$5:$R$204,0)+4,"")-4))</f>
        <v/>
      </c>
      <c r="D10" s="53">
        <f>IF(IFERROR(MATCH(6,'List A'!$R$5:$R$204,0)+4,"")="","",INDEX('List A'!$D$5:$D$204,IFERROR(MATCH(6,'List A'!$R$5:$R$204,0)+4,"")-4))</f>
        <v/>
      </c>
      <c r="E10" s="53">
        <f>IF(IFERROR(MATCH(6,'List A'!$R$5:$R$204,0)+4,"")="","",INDEX('List A'!$E$5:$E$204,IFERROR(MATCH(6,'List A'!$R$5:$R$204,0)+4,"")-4))</f>
        <v/>
      </c>
      <c r="F10" s="53">
        <f>IF(IFERROR(MATCH(6,'List A'!$R$5:$R$204,0)+4,"")="","",INDEX('List A'!$F$5:$F$204,IFERROR(MATCH(6,'List A'!$R$5:$R$204,0)+4,"")-4))</f>
        <v/>
      </c>
      <c r="G10" s="50">
        <f>IF(IFERROR(MATCH(6,'List A'!$R$5:$R$204,0)+4,"")="","",INDEX('List A'!$G$5:$G$204,IFERROR(MATCH(6,'List A'!$R$5:$R$204,0)+4,"")-4))</f>
        <v/>
      </c>
      <c r="H10" s="53">
        <f>IF(IFERROR(MATCH(6,'List A'!$R$5:$R$204,0)+4,"")="","",INDEX('List A'!$H$5:$H$204,IFERROR(MATCH(6,'List A'!$R$5:$R$204,0)+4,"")-4))</f>
        <v/>
      </c>
      <c r="I10" s="61" t="n"/>
      <c r="J10" s="61" t="n"/>
    </row>
    <row r="11" ht="17" customHeight="1">
      <c r="A11" s="87">
        <f>IF(IFERROR(MATCH(7,'List A'!$R$5:$R$204,0)+4,"")="","",INDEX('List A'!$A$5:$A$204,IFERROR(MATCH(7,'List A'!$R$5:$R$204,0)+4,"")-4))</f>
        <v/>
      </c>
      <c r="B11" s="53">
        <f>IF(IFERROR(MATCH(7,'List A'!$R$5:$R$204,0)+4,"")="","",INDEX('List A'!$B$5:$B$204,IFERROR(MATCH(7,'List A'!$R$5:$R$204,0)+4,"")-4))</f>
        <v/>
      </c>
      <c r="C11" s="52">
        <f>IF(IFERROR(MATCH(7,'List A'!$R$5:$R$204,0)+4,"")="","",INDEX('List A'!$C$5:$C$204,IFERROR(MATCH(7,'List A'!$R$5:$R$204,0)+4,"")-4))</f>
        <v/>
      </c>
      <c r="D11" s="53">
        <f>IF(IFERROR(MATCH(7,'List A'!$R$5:$R$204,0)+4,"")="","",INDEX('List A'!$D$5:$D$204,IFERROR(MATCH(7,'List A'!$R$5:$R$204,0)+4,"")-4))</f>
        <v/>
      </c>
      <c r="E11" s="53">
        <f>IF(IFERROR(MATCH(7,'List A'!$R$5:$R$204,0)+4,"")="","",INDEX('List A'!$E$5:$E$204,IFERROR(MATCH(7,'List A'!$R$5:$R$204,0)+4,"")-4))</f>
        <v/>
      </c>
      <c r="F11" s="53">
        <f>IF(IFERROR(MATCH(7,'List A'!$R$5:$R$204,0)+4,"")="","",INDEX('List A'!$F$5:$F$204,IFERROR(MATCH(7,'List A'!$R$5:$R$204,0)+4,"")-4))</f>
        <v/>
      </c>
      <c r="G11" s="50">
        <f>IF(IFERROR(MATCH(7,'List A'!$R$5:$R$204,0)+4,"")="","",INDEX('List A'!$G$5:$G$204,IFERROR(MATCH(7,'List A'!$R$5:$R$204,0)+4,"")-4))</f>
        <v/>
      </c>
      <c r="H11" s="53">
        <f>IF(IFERROR(MATCH(7,'List A'!$R$5:$R$204,0)+4,"")="","",INDEX('List A'!$H$5:$H$204,IFERROR(MATCH(7,'List A'!$R$5:$R$204,0)+4,"")-4))</f>
        <v/>
      </c>
      <c r="I11" s="61" t="n"/>
      <c r="J11" s="61" t="n"/>
    </row>
    <row r="12" ht="17" customHeight="1">
      <c r="A12" s="87">
        <f>IF(IFERROR(MATCH(8,'List A'!$R$5:$R$204,0)+4,"")="","",INDEX('List A'!$A$5:$A$204,IFERROR(MATCH(8,'List A'!$R$5:$R$204,0)+4,"")-4))</f>
        <v/>
      </c>
      <c r="B12" s="53">
        <f>IF(IFERROR(MATCH(8,'List A'!$R$5:$R$204,0)+4,"")="","",INDEX('List A'!$B$5:$B$204,IFERROR(MATCH(8,'List A'!$R$5:$R$204,0)+4,"")-4))</f>
        <v/>
      </c>
      <c r="C12" s="52">
        <f>IF(IFERROR(MATCH(8,'List A'!$R$5:$R$204,0)+4,"")="","",INDEX('List A'!$C$5:$C$204,IFERROR(MATCH(8,'List A'!$R$5:$R$204,0)+4,"")-4))</f>
        <v/>
      </c>
      <c r="D12" s="53">
        <f>IF(IFERROR(MATCH(8,'List A'!$R$5:$R$204,0)+4,"")="","",INDEX('List A'!$D$5:$D$204,IFERROR(MATCH(8,'List A'!$R$5:$R$204,0)+4,"")-4))</f>
        <v/>
      </c>
      <c r="E12" s="53">
        <f>IF(IFERROR(MATCH(8,'List A'!$R$5:$R$204,0)+4,"")="","",INDEX('List A'!$E$5:$E$204,IFERROR(MATCH(8,'List A'!$R$5:$R$204,0)+4,"")-4))</f>
        <v/>
      </c>
      <c r="F12" s="53">
        <f>IF(IFERROR(MATCH(8,'List A'!$R$5:$R$204,0)+4,"")="","",INDEX('List A'!$F$5:$F$204,IFERROR(MATCH(8,'List A'!$R$5:$R$204,0)+4,"")-4))</f>
        <v/>
      </c>
      <c r="G12" s="50">
        <f>IF(IFERROR(MATCH(8,'List A'!$R$5:$R$204,0)+4,"")="","",INDEX('List A'!$G$5:$G$204,IFERROR(MATCH(8,'List A'!$R$5:$R$204,0)+4,"")-4))</f>
        <v/>
      </c>
      <c r="H12" s="53">
        <f>IF(IFERROR(MATCH(8,'List A'!$R$5:$R$204,0)+4,"")="","",INDEX('List A'!$H$5:$H$204,IFERROR(MATCH(8,'List A'!$R$5:$R$204,0)+4,"")-4))</f>
        <v/>
      </c>
      <c r="I12" s="61" t="n"/>
      <c r="J12" s="61" t="n"/>
    </row>
    <row r="13" ht="17" customHeight="1">
      <c r="A13" s="87">
        <f>IF(IFERROR(MATCH(9,'List A'!$R$5:$R$204,0)+4,"")="","",INDEX('List A'!$A$5:$A$204,IFERROR(MATCH(9,'List A'!$R$5:$R$204,0)+4,"")-4))</f>
        <v/>
      </c>
      <c r="B13" s="53">
        <f>IF(IFERROR(MATCH(9,'List A'!$R$5:$R$204,0)+4,"")="","",INDEX('List A'!$B$5:$B$204,IFERROR(MATCH(9,'List A'!$R$5:$R$204,0)+4,"")-4))</f>
        <v/>
      </c>
      <c r="C13" s="52">
        <f>IF(IFERROR(MATCH(9,'List A'!$R$5:$R$204,0)+4,"")="","",INDEX('List A'!$C$5:$C$204,IFERROR(MATCH(9,'List A'!$R$5:$R$204,0)+4,"")-4))</f>
        <v/>
      </c>
      <c r="D13" s="53">
        <f>IF(IFERROR(MATCH(9,'List A'!$R$5:$R$204,0)+4,"")="","",INDEX('List A'!$D$5:$D$204,IFERROR(MATCH(9,'List A'!$R$5:$R$204,0)+4,"")-4))</f>
        <v/>
      </c>
      <c r="E13" s="53">
        <f>IF(IFERROR(MATCH(9,'List A'!$R$5:$R$204,0)+4,"")="","",INDEX('List A'!$E$5:$E$204,IFERROR(MATCH(9,'List A'!$R$5:$R$204,0)+4,"")-4))</f>
        <v/>
      </c>
      <c r="F13" s="53">
        <f>IF(IFERROR(MATCH(9,'List A'!$R$5:$R$204,0)+4,"")="","",INDEX('List A'!$F$5:$F$204,IFERROR(MATCH(9,'List A'!$R$5:$R$204,0)+4,"")-4))</f>
        <v/>
      </c>
      <c r="G13" s="50">
        <f>IF(IFERROR(MATCH(9,'List A'!$R$5:$R$204,0)+4,"")="","",INDEX('List A'!$G$5:$G$204,IFERROR(MATCH(9,'List A'!$R$5:$R$204,0)+4,"")-4))</f>
        <v/>
      </c>
      <c r="H13" s="53">
        <f>IF(IFERROR(MATCH(9,'List A'!$R$5:$R$204,0)+4,"")="","",INDEX('List A'!$H$5:$H$204,IFERROR(MATCH(9,'List A'!$R$5:$R$204,0)+4,"")-4))</f>
        <v/>
      </c>
      <c r="I13" s="61" t="n"/>
      <c r="J13" s="61" t="n"/>
    </row>
    <row r="14" ht="17" customHeight="1">
      <c r="A14" s="87">
        <f>IF(IFERROR(MATCH(10,'List A'!$R$5:$R$204,0)+4,"")="","",INDEX('List A'!$A$5:$A$204,IFERROR(MATCH(10,'List A'!$R$5:$R$204,0)+4,"")-4))</f>
        <v/>
      </c>
      <c r="B14" s="53">
        <f>IF(IFERROR(MATCH(10,'List A'!$R$5:$R$204,0)+4,"")="","",INDEX('List A'!$B$5:$B$204,IFERROR(MATCH(10,'List A'!$R$5:$R$204,0)+4,"")-4))</f>
        <v/>
      </c>
      <c r="C14" s="52">
        <f>IF(IFERROR(MATCH(10,'List A'!$R$5:$R$204,0)+4,"")="","",INDEX('List A'!$C$5:$C$204,IFERROR(MATCH(10,'List A'!$R$5:$R$204,0)+4,"")-4))</f>
        <v/>
      </c>
      <c r="D14" s="53">
        <f>IF(IFERROR(MATCH(10,'List A'!$R$5:$R$204,0)+4,"")="","",INDEX('List A'!$D$5:$D$204,IFERROR(MATCH(10,'List A'!$R$5:$R$204,0)+4,"")-4))</f>
        <v/>
      </c>
      <c r="E14" s="53">
        <f>IF(IFERROR(MATCH(10,'List A'!$R$5:$R$204,0)+4,"")="","",INDEX('List A'!$E$5:$E$204,IFERROR(MATCH(10,'List A'!$R$5:$R$204,0)+4,"")-4))</f>
        <v/>
      </c>
      <c r="F14" s="53">
        <f>IF(IFERROR(MATCH(10,'List A'!$R$5:$R$204,0)+4,"")="","",INDEX('List A'!$F$5:$F$204,IFERROR(MATCH(10,'List A'!$R$5:$R$204,0)+4,"")-4))</f>
        <v/>
      </c>
      <c r="G14" s="50">
        <f>IF(IFERROR(MATCH(10,'List A'!$R$5:$R$204,0)+4,"")="","",INDEX('List A'!$G$5:$G$204,IFERROR(MATCH(10,'List A'!$R$5:$R$204,0)+4,"")-4))</f>
        <v/>
      </c>
      <c r="H14" s="53">
        <f>IF(IFERROR(MATCH(10,'List A'!$R$5:$R$204,0)+4,"")="","",INDEX('List A'!$H$5:$H$204,IFERROR(MATCH(10,'List A'!$R$5:$R$204,0)+4,"")-4))</f>
        <v/>
      </c>
      <c r="I14" s="61" t="n"/>
      <c r="J14" s="61" t="n"/>
    </row>
    <row r="15" ht="17" customHeight="1">
      <c r="A15" s="87">
        <f>IF(IFERROR(MATCH(11,'List A'!$R$5:$R$204,0)+4,"")="","",INDEX('List A'!$A$5:$A$204,IFERROR(MATCH(11,'List A'!$R$5:$R$204,0)+4,"")-4))</f>
        <v/>
      </c>
      <c r="B15" s="53">
        <f>IF(IFERROR(MATCH(11,'List A'!$R$5:$R$204,0)+4,"")="","",INDEX('List A'!$B$5:$B$204,IFERROR(MATCH(11,'List A'!$R$5:$R$204,0)+4,"")-4))</f>
        <v/>
      </c>
      <c r="C15" s="52">
        <f>IF(IFERROR(MATCH(11,'List A'!$R$5:$R$204,0)+4,"")="","",INDEX('List A'!$C$5:$C$204,IFERROR(MATCH(11,'List A'!$R$5:$R$204,0)+4,"")-4))</f>
        <v/>
      </c>
      <c r="D15" s="53">
        <f>IF(IFERROR(MATCH(11,'List A'!$R$5:$R$204,0)+4,"")="","",INDEX('List A'!$D$5:$D$204,IFERROR(MATCH(11,'List A'!$R$5:$R$204,0)+4,"")-4))</f>
        <v/>
      </c>
      <c r="E15" s="53">
        <f>IF(IFERROR(MATCH(11,'List A'!$R$5:$R$204,0)+4,"")="","",INDEX('List A'!$E$5:$E$204,IFERROR(MATCH(11,'List A'!$R$5:$R$204,0)+4,"")-4))</f>
        <v/>
      </c>
      <c r="F15" s="53">
        <f>IF(IFERROR(MATCH(11,'List A'!$R$5:$R$204,0)+4,"")="","",INDEX('List A'!$F$5:$F$204,IFERROR(MATCH(11,'List A'!$R$5:$R$204,0)+4,"")-4))</f>
        <v/>
      </c>
      <c r="G15" s="50">
        <f>IF(IFERROR(MATCH(11,'List A'!$R$5:$R$204,0)+4,"")="","",INDEX('List A'!$G$5:$G$204,IFERROR(MATCH(11,'List A'!$R$5:$R$204,0)+4,"")-4))</f>
        <v/>
      </c>
      <c r="H15" s="53">
        <f>IF(IFERROR(MATCH(11,'List A'!$R$5:$R$204,0)+4,"")="","",INDEX('List A'!$H$5:$H$204,IFERROR(MATCH(11,'List A'!$R$5:$R$204,0)+4,"")-4))</f>
        <v/>
      </c>
      <c r="I15" s="61" t="n"/>
      <c r="J15" s="61" t="n"/>
    </row>
    <row r="16" ht="17" customHeight="1">
      <c r="A16" s="87">
        <f>IF(IFERROR(MATCH(12,'List A'!$R$5:$R$204,0)+4,"")="","",INDEX('List A'!$A$5:$A$204,IFERROR(MATCH(12,'List A'!$R$5:$R$204,0)+4,"")-4))</f>
        <v/>
      </c>
      <c r="B16" s="53">
        <f>IF(IFERROR(MATCH(12,'List A'!$R$5:$R$204,0)+4,"")="","",INDEX('List A'!$B$5:$B$204,IFERROR(MATCH(12,'List A'!$R$5:$R$204,0)+4,"")-4))</f>
        <v/>
      </c>
      <c r="C16" s="52">
        <f>IF(IFERROR(MATCH(12,'List A'!$R$5:$R$204,0)+4,"")="","",INDEX('List A'!$C$5:$C$204,IFERROR(MATCH(12,'List A'!$R$5:$R$204,0)+4,"")-4))</f>
        <v/>
      </c>
      <c r="D16" s="53">
        <f>IF(IFERROR(MATCH(12,'List A'!$R$5:$R$204,0)+4,"")="","",INDEX('List A'!$D$5:$D$204,IFERROR(MATCH(12,'List A'!$R$5:$R$204,0)+4,"")-4))</f>
        <v/>
      </c>
      <c r="E16" s="53">
        <f>IF(IFERROR(MATCH(12,'List A'!$R$5:$R$204,0)+4,"")="","",INDEX('List A'!$E$5:$E$204,IFERROR(MATCH(12,'List A'!$R$5:$R$204,0)+4,"")-4))</f>
        <v/>
      </c>
      <c r="F16" s="53">
        <f>IF(IFERROR(MATCH(12,'List A'!$R$5:$R$204,0)+4,"")="","",INDEX('List A'!$F$5:$F$204,IFERROR(MATCH(12,'List A'!$R$5:$R$204,0)+4,"")-4))</f>
        <v/>
      </c>
      <c r="G16" s="50">
        <f>IF(IFERROR(MATCH(12,'List A'!$R$5:$R$204,0)+4,"")="","",INDEX('List A'!$G$5:$G$204,IFERROR(MATCH(12,'List A'!$R$5:$R$204,0)+4,"")-4))</f>
        <v/>
      </c>
      <c r="H16" s="53">
        <f>IF(IFERROR(MATCH(12,'List A'!$R$5:$R$204,0)+4,"")="","",INDEX('List A'!$H$5:$H$204,IFERROR(MATCH(12,'List A'!$R$5:$R$204,0)+4,"")-4))</f>
        <v/>
      </c>
      <c r="I16" s="61" t="n"/>
      <c r="J16" s="61" t="n"/>
    </row>
    <row r="17" ht="17" customHeight="1">
      <c r="A17" s="87">
        <f>IF(IFERROR(MATCH(13,'List A'!$R$5:$R$204,0)+4,"")="","",INDEX('List A'!$A$5:$A$204,IFERROR(MATCH(13,'List A'!$R$5:$R$204,0)+4,"")-4))</f>
        <v/>
      </c>
      <c r="B17" s="53">
        <f>IF(IFERROR(MATCH(13,'List A'!$R$5:$R$204,0)+4,"")="","",INDEX('List A'!$B$5:$B$204,IFERROR(MATCH(13,'List A'!$R$5:$R$204,0)+4,"")-4))</f>
        <v/>
      </c>
      <c r="C17" s="52">
        <f>IF(IFERROR(MATCH(13,'List A'!$R$5:$R$204,0)+4,"")="","",INDEX('List A'!$C$5:$C$204,IFERROR(MATCH(13,'List A'!$R$5:$R$204,0)+4,"")-4))</f>
        <v/>
      </c>
      <c r="D17" s="53">
        <f>IF(IFERROR(MATCH(13,'List A'!$R$5:$R$204,0)+4,"")="","",INDEX('List A'!$D$5:$D$204,IFERROR(MATCH(13,'List A'!$R$5:$R$204,0)+4,"")-4))</f>
        <v/>
      </c>
      <c r="E17" s="53">
        <f>IF(IFERROR(MATCH(13,'List A'!$R$5:$R$204,0)+4,"")="","",INDEX('List A'!$E$5:$E$204,IFERROR(MATCH(13,'List A'!$R$5:$R$204,0)+4,"")-4))</f>
        <v/>
      </c>
      <c r="F17" s="53">
        <f>IF(IFERROR(MATCH(13,'List A'!$R$5:$R$204,0)+4,"")="","",INDEX('List A'!$F$5:$F$204,IFERROR(MATCH(13,'List A'!$R$5:$R$204,0)+4,"")-4))</f>
        <v/>
      </c>
      <c r="G17" s="50">
        <f>IF(IFERROR(MATCH(13,'List A'!$R$5:$R$204,0)+4,"")="","",INDEX('List A'!$G$5:$G$204,IFERROR(MATCH(13,'List A'!$R$5:$R$204,0)+4,"")-4))</f>
        <v/>
      </c>
      <c r="H17" s="53">
        <f>IF(IFERROR(MATCH(13,'List A'!$R$5:$R$204,0)+4,"")="","",INDEX('List A'!$H$5:$H$204,IFERROR(MATCH(13,'List A'!$R$5:$R$204,0)+4,"")-4))</f>
        <v/>
      </c>
      <c r="I17" s="61" t="n"/>
      <c r="J17" s="61" t="n"/>
    </row>
    <row r="18" ht="17" customHeight="1">
      <c r="A18" s="87">
        <f>IF(IFERROR(MATCH(14,'List A'!$R$5:$R$204,0)+4,"")="","",INDEX('List A'!$A$5:$A$204,IFERROR(MATCH(14,'List A'!$R$5:$R$204,0)+4,"")-4))</f>
        <v/>
      </c>
      <c r="B18" s="53">
        <f>IF(IFERROR(MATCH(14,'List A'!$R$5:$R$204,0)+4,"")="","",INDEX('List A'!$B$5:$B$204,IFERROR(MATCH(14,'List A'!$R$5:$R$204,0)+4,"")-4))</f>
        <v/>
      </c>
      <c r="C18" s="52">
        <f>IF(IFERROR(MATCH(14,'List A'!$R$5:$R$204,0)+4,"")="","",INDEX('List A'!$C$5:$C$204,IFERROR(MATCH(14,'List A'!$R$5:$R$204,0)+4,"")-4))</f>
        <v/>
      </c>
      <c r="D18" s="53">
        <f>IF(IFERROR(MATCH(14,'List A'!$R$5:$R$204,0)+4,"")="","",INDEX('List A'!$D$5:$D$204,IFERROR(MATCH(14,'List A'!$R$5:$R$204,0)+4,"")-4))</f>
        <v/>
      </c>
      <c r="E18" s="53">
        <f>IF(IFERROR(MATCH(14,'List A'!$R$5:$R$204,0)+4,"")="","",INDEX('List A'!$E$5:$E$204,IFERROR(MATCH(14,'List A'!$R$5:$R$204,0)+4,"")-4))</f>
        <v/>
      </c>
      <c r="F18" s="53">
        <f>IF(IFERROR(MATCH(14,'List A'!$R$5:$R$204,0)+4,"")="","",INDEX('List A'!$F$5:$F$204,IFERROR(MATCH(14,'List A'!$R$5:$R$204,0)+4,"")-4))</f>
        <v/>
      </c>
      <c r="G18" s="50">
        <f>IF(IFERROR(MATCH(14,'List A'!$R$5:$R$204,0)+4,"")="","",INDEX('List A'!$G$5:$G$204,IFERROR(MATCH(14,'List A'!$R$5:$R$204,0)+4,"")-4))</f>
        <v/>
      </c>
      <c r="H18" s="53">
        <f>IF(IFERROR(MATCH(14,'List A'!$R$5:$R$204,0)+4,"")="","",INDEX('List A'!$H$5:$H$204,IFERROR(MATCH(14,'List A'!$R$5:$R$204,0)+4,"")-4))</f>
        <v/>
      </c>
      <c r="I18" s="61" t="n"/>
      <c r="J18" s="61" t="n"/>
    </row>
    <row r="19" ht="17" customHeight="1">
      <c r="A19" s="87">
        <f>IF(IFERROR(MATCH(15,'List A'!$R$5:$R$204,0)+4,"")="","",INDEX('List A'!$A$5:$A$204,IFERROR(MATCH(15,'List A'!$R$5:$R$204,0)+4,"")-4))</f>
        <v/>
      </c>
      <c r="B19" s="53">
        <f>IF(IFERROR(MATCH(15,'List A'!$R$5:$R$204,0)+4,"")="","",INDEX('List A'!$B$5:$B$204,IFERROR(MATCH(15,'List A'!$R$5:$R$204,0)+4,"")-4))</f>
        <v/>
      </c>
      <c r="C19" s="52">
        <f>IF(IFERROR(MATCH(15,'List A'!$R$5:$R$204,0)+4,"")="","",INDEX('List A'!$C$5:$C$204,IFERROR(MATCH(15,'List A'!$R$5:$R$204,0)+4,"")-4))</f>
        <v/>
      </c>
      <c r="D19" s="53">
        <f>IF(IFERROR(MATCH(15,'List A'!$R$5:$R$204,0)+4,"")="","",INDEX('List A'!$D$5:$D$204,IFERROR(MATCH(15,'List A'!$R$5:$R$204,0)+4,"")-4))</f>
        <v/>
      </c>
      <c r="E19" s="53">
        <f>IF(IFERROR(MATCH(15,'List A'!$R$5:$R$204,0)+4,"")="","",INDEX('List A'!$E$5:$E$204,IFERROR(MATCH(15,'List A'!$R$5:$R$204,0)+4,"")-4))</f>
        <v/>
      </c>
      <c r="F19" s="53">
        <f>IF(IFERROR(MATCH(15,'List A'!$R$5:$R$204,0)+4,"")="","",INDEX('List A'!$F$5:$F$204,IFERROR(MATCH(15,'List A'!$R$5:$R$204,0)+4,"")-4))</f>
        <v/>
      </c>
      <c r="G19" s="50">
        <f>IF(IFERROR(MATCH(15,'List A'!$R$5:$R$204,0)+4,"")="","",INDEX('List A'!$G$5:$G$204,IFERROR(MATCH(15,'List A'!$R$5:$R$204,0)+4,"")-4))</f>
        <v/>
      </c>
      <c r="H19" s="53">
        <f>IF(IFERROR(MATCH(15,'List A'!$R$5:$R$204,0)+4,"")="","",INDEX('List A'!$H$5:$H$204,IFERROR(MATCH(15,'List A'!$R$5:$R$204,0)+4,"")-4))</f>
        <v/>
      </c>
      <c r="I19" s="61" t="n"/>
      <c r="J19" s="61" t="n"/>
    </row>
    <row r="20" ht="17" customHeight="1">
      <c r="A20" s="87">
        <f>IF(IFERROR(MATCH(16,'List A'!$R$5:$R$204,0)+4,"")="","",INDEX('List A'!$A$5:$A$204,IFERROR(MATCH(16,'List A'!$R$5:$R$204,0)+4,"")-4))</f>
        <v/>
      </c>
      <c r="B20" s="53">
        <f>IF(IFERROR(MATCH(16,'List A'!$R$5:$R$204,0)+4,"")="","",INDEX('List A'!$B$5:$B$204,IFERROR(MATCH(16,'List A'!$R$5:$R$204,0)+4,"")-4))</f>
        <v/>
      </c>
      <c r="C20" s="52">
        <f>IF(IFERROR(MATCH(16,'List A'!$R$5:$R$204,0)+4,"")="","",INDEX('List A'!$C$5:$C$204,IFERROR(MATCH(16,'List A'!$R$5:$R$204,0)+4,"")-4))</f>
        <v/>
      </c>
      <c r="D20" s="53">
        <f>IF(IFERROR(MATCH(16,'List A'!$R$5:$R$204,0)+4,"")="","",INDEX('List A'!$D$5:$D$204,IFERROR(MATCH(16,'List A'!$R$5:$R$204,0)+4,"")-4))</f>
        <v/>
      </c>
      <c r="E20" s="53">
        <f>IF(IFERROR(MATCH(16,'List A'!$R$5:$R$204,0)+4,"")="","",INDEX('List A'!$E$5:$E$204,IFERROR(MATCH(16,'List A'!$R$5:$R$204,0)+4,"")-4))</f>
        <v/>
      </c>
      <c r="F20" s="53">
        <f>IF(IFERROR(MATCH(16,'List A'!$R$5:$R$204,0)+4,"")="","",INDEX('List A'!$F$5:$F$204,IFERROR(MATCH(16,'List A'!$R$5:$R$204,0)+4,"")-4))</f>
        <v/>
      </c>
      <c r="G20" s="50">
        <f>IF(IFERROR(MATCH(16,'List A'!$R$5:$R$204,0)+4,"")="","",INDEX('List A'!$G$5:$G$204,IFERROR(MATCH(16,'List A'!$R$5:$R$204,0)+4,"")-4))</f>
        <v/>
      </c>
      <c r="H20" s="53">
        <f>IF(IFERROR(MATCH(16,'List A'!$R$5:$R$204,0)+4,"")="","",INDEX('List A'!$H$5:$H$204,IFERROR(MATCH(16,'List A'!$R$5:$R$204,0)+4,"")-4))</f>
        <v/>
      </c>
      <c r="I20" s="61" t="n"/>
      <c r="J20" s="61" t="n"/>
    </row>
    <row r="21" ht="17" customHeight="1">
      <c r="A21" s="87">
        <f>IF(IFERROR(MATCH(17,'List A'!$R$5:$R$204,0)+4,"")="","",INDEX('List A'!$A$5:$A$204,IFERROR(MATCH(17,'List A'!$R$5:$R$204,0)+4,"")-4))</f>
        <v/>
      </c>
      <c r="B21" s="53">
        <f>IF(IFERROR(MATCH(17,'List A'!$R$5:$R$204,0)+4,"")="","",INDEX('List A'!$B$5:$B$204,IFERROR(MATCH(17,'List A'!$R$5:$R$204,0)+4,"")-4))</f>
        <v/>
      </c>
      <c r="C21" s="52">
        <f>IF(IFERROR(MATCH(17,'List A'!$R$5:$R$204,0)+4,"")="","",INDEX('List A'!$C$5:$C$204,IFERROR(MATCH(17,'List A'!$R$5:$R$204,0)+4,"")-4))</f>
        <v/>
      </c>
      <c r="D21" s="53">
        <f>IF(IFERROR(MATCH(17,'List A'!$R$5:$R$204,0)+4,"")="","",INDEX('List A'!$D$5:$D$204,IFERROR(MATCH(17,'List A'!$R$5:$R$204,0)+4,"")-4))</f>
        <v/>
      </c>
      <c r="E21" s="53">
        <f>IF(IFERROR(MATCH(17,'List A'!$R$5:$R$204,0)+4,"")="","",INDEX('List A'!$E$5:$E$204,IFERROR(MATCH(17,'List A'!$R$5:$R$204,0)+4,"")-4))</f>
        <v/>
      </c>
      <c r="F21" s="53">
        <f>IF(IFERROR(MATCH(17,'List A'!$R$5:$R$204,0)+4,"")="","",INDEX('List A'!$F$5:$F$204,IFERROR(MATCH(17,'List A'!$R$5:$R$204,0)+4,"")-4))</f>
        <v/>
      </c>
      <c r="G21" s="50">
        <f>IF(IFERROR(MATCH(17,'List A'!$R$5:$R$204,0)+4,"")="","",INDEX('List A'!$G$5:$G$204,IFERROR(MATCH(17,'List A'!$R$5:$R$204,0)+4,"")-4))</f>
        <v/>
      </c>
      <c r="H21" s="53">
        <f>IF(IFERROR(MATCH(17,'List A'!$R$5:$R$204,0)+4,"")="","",INDEX('List A'!$H$5:$H$204,IFERROR(MATCH(17,'List A'!$R$5:$R$204,0)+4,"")-4))</f>
        <v/>
      </c>
      <c r="I21" s="61" t="n"/>
      <c r="J21" s="61" t="n"/>
    </row>
    <row r="22" ht="17" customHeight="1">
      <c r="A22" s="87">
        <f>IF(IFERROR(MATCH(18,'List A'!$R$5:$R$204,0)+4,"")="","",INDEX('List A'!$A$5:$A$204,IFERROR(MATCH(18,'List A'!$R$5:$R$204,0)+4,"")-4))</f>
        <v/>
      </c>
      <c r="B22" s="53">
        <f>IF(IFERROR(MATCH(18,'List A'!$R$5:$R$204,0)+4,"")="","",INDEX('List A'!$B$5:$B$204,IFERROR(MATCH(18,'List A'!$R$5:$R$204,0)+4,"")-4))</f>
        <v/>
      </c>
      <c r="C22" s="52">
        <f>IF(IFERROR(MATCH(18,'List A'!$R$5:$R$204,0)+4,"")="","",INDEX('List A'!$C$5:$C$204,IFERROR(MATCH(18,'List A'!$R$5:$R$204,0)+4,"")-4))</f>
        <v/>
      </c>
      <c r="D22" s="53">
        <f>IF(IFERROR(MATCH(18,'List A'!$R$5:$R$204,0)+4,"")="","",INDEX('List A'!$D$5:$D$204,IFERROR(MATCH(18,'List A'!$R$5:$R$204,0)+4,"")-4))</f>
        <v/>
      </c>
      <c r="E22" s="53">
        <f>IF(IFERROR(MATCH(18,'List A'!$R$5:$R$204,0)+4,"")="","",INDEX('List A'!$E$5:$E$204,IFERROR(MATCH(18,'List A'!$R$5:$R$204,0)+4,"")-4))</f>
        <v/>
      </c>
      <c r="F22" s="53">
        <f>IF(IFERROR(MATCH(18,'List A'!$R$5:$R$204,0)+4,"")="","",INDEX('List A'!$F$5:$F$204,IFERROR(MATCH(18,'List A'!$R$5:$R$204,0)+4,"")-4))</f>
        <v/>
      </c>
      <c r="G22" s="50">
        <f>IF(IFERROR(MATCH(18,'List A'!$R$5:$R$204,0)+4,"")="","",INDEX('List A'!$G$5:$G$204,IFERROR(MATCH(18,'List A'!$R$5:$R$204,0)+4,"")-4))</f>
        <v/>
      </c>
      <c r="H22" s="53">
        <f>IF(IFERROR(MATCH(18,'List A'!$R$5:$R$204,0)+4,"")="","",INDEX('List A'!$H$5:$H$204,IFERROR(MATCH(18,'List A'!$R$5:$R$204,0)+4,"")-4))</f>
        <v/>
      </c>
      <c r="I22" s="61" t="n"/>
      <c r="J22" s="61" t="n"/>
    </row>
    <row r="23" ht="17" customHeight="1">
      <c r="A23" s="87">
        <f>IF(IFERROR(MATCH(19,'List A'!$R$5:$R$204,0)+4,"")="","",INDEX('List A'!$A$5:$A$204,IFERROR(MATCH(19,'List A'!$R$5:$R$204,0)+4,"")-4))</f>
        <v/>
      </c>
      <c r="B23" s="53">
        <f>IF(IFERROR(MATCH(19,'List A'!$R$5:$R$204,0)+4,"")="","",INDEX('List A'!$B$5:$B$204,IFERROR(MATCH(19,'List A'!$R$5:$R$204,0)+4,"")-4))</f>
        <v/>
      </c>
      <c r="C23" s="52">
        <f>IF(IFERROR(MATCH(19,'List A'!$R$5:$R$204,0)+4,"")="","",INDEX('List A'!$C$5:$C$204,IFERROR(MATCH(19,'List A'!$R$5:$R$204,0)+4,"")-4))</f>
        <v/>
      </c>
      <c r="D23" s="53">
        <f>IF(IFERROR(MATCH(19,'List A'!$R$5:$R$204,0)+4,"")="","",INDEX('List A'!$D$5:$D$204,IFERROR(MATCH(19,'List A'!$R$5:$R$204,0)+4,"")-4))</f>
        <v/>
      </c>
      <c r="E23" s="53">
        <f>IF(IFERROR(MATCH(19,'List A'!$R$5:$R$204,0)+4,"")="","",INDEX('List A'!$E$5:$E$204,IFERROR(MATCH(19,'List A'!$R$5:$R$204,0)+4,"")-4))</f>
        <v/>
      </c>
      <c r="F23" s="53">
        <f>IF(IFERROR(MATCH(19,'List A'!$R$5:$R$204,0)+4,"")="","",INDEX('List A'!$F$5:$F$204,IFERROR(MATCH(19,'List A'!$R$5:$R$204,0)+4,"")-4))</f>
        <v/>
      </c>
      <c r="G23" s="50">
        <f>IF(IFERROR(MATCH(19,'List A'!$R$5:$R$204,0)+4,"")="","",INDEX('List A'!$G$5:$G$204,IFERROR(MATCH(19,'List A'!$R$5:$R$204,0)+4,"")-4))</f>
        <v/>
      </c>
      <c r="H23" s="53">
        <f>IF(IFERROR(MATCH(19,'List A'!$R$5:$R$204,0)+4,"")="","",INDEX('List A'!$H$5:$H$204,IFERROR(MATCH(19,'List A'!$R$5:$R$204,0)+4,"")-4))</f>
        <v/>
      </c>
      <c r="I23" s="61" t="n"/>
      <c r="J23" s="61" t="n"/>
    </row>
    <row r="24" ht="17" customHeight="1">
      <c r="A24" s="87">
        <f>IF(IFERROR(MATCH(20,'List A'!$R$5:$R$204,0)+4,"")="","",INDEX('List A'!$A$5:$A$204,IFERROR(MATCH(20,'List A'!$R$5:$R$204,0)+4,"")-4))</f>
        <v/>
      </c>
      <c r="B24" s="53">
        <f>IF(IFERROR(MATCH(20,'List A'!$R$5:$R$204,0)+4,"")="","",INDEX('List A'!$B$5:$B$204,IFERROR(MATCH(20,'List A'!$R$5:$R$204,0)+4,"")-4))</f>
        <v/>
      </c>
      <c r="C24" s="52">
        <f>IF(IFERROR(MATCH(20,'List A'!$R$5:$R$204,0)+4,"")="","",INDEX('List A'!$C$5:$C$204,IFERROR(MATCH(20,'List A'!$R$5:$R$204,0)+4,"")-4))</f>
        <v/>
      </c>
      <c r="D24" s="53">
        <f>IF(IFERROR(MATCH(20,'List A'!$R$5:$R$204,0)+4,"")="","",INDEX('List A'!$D$5:$D$204,IFERROR(MATCH(20,'List A'!$R$5:$R$204,0)+4,"")-4))</f>
        <v/>
      </c>
      <c r="E24" s="53">
        <f>IF(IFERROR(MATCH(20,'List A'!$R$5:$R$204,0)+4,"")="","",INDEX('List A'!$E$5:$E$204,IFERROR(MATCH(20,'List A'!$R$5:$R$204,0)+4,"")-4))</f>
        <v/>
      </c>
      <c r="F24" s="53">
        <f>IF(IFERROR(MATCH(20,'List A'!$R$5:$R$204,0)+4,"")="","",INDEX('List A'!$F$5:$F$204,IFERROR(MATCH(20,'List A'!$R$5:$R$204,0)+4,"")-4))</f>
        <v/>
      </c>
      <c r="G24" s="50">
        <f>IF(IFERROR(MATCH(20,'List A'!$R$5:$R$204,0)+4,"")="","",INDEX('List A'!$G$5:$G$204,IFERROR(MATCH(20,'List A'!$R$5:$R$204,0)+4,"")-4))</f>
        <v/>
      </c>
      <c r="H24" s="53">
        <f>IF(IFERROR(MATCH(20,'List A'!$R$5:$R$204,0)+4,"")="","",INDEX('List A'!$H$5:$H$204,IFERROR(MATCH(20,'List A'!$R$5:$R$204,0)+4,"")-4))</f>
        <v/>
      </c>
      <c r="I24" s="61" t="n"/>
      <c r="J24" s="61" t="n"/>
    </row>
    <row r="25" ht="17" customHeight="1">
      <c r="A25" s="87">
        <f>IF(IFERROR(MATCH(21,'List A'!$R$5:$R$204,0)+4,"")="","",INDEX('List A'!$A$5:$A$204,IFERROR(MATCH(21,'List A'!$R$5:$R$204,0)+4,"")-4))</f>
        <v/>
      </c>
      <c r="B25" s="53">
        <f>IF(IFERROR(MATCH(21,'List A'!$R$5:$R$204,0)+4,"")="","",INDEX('List A'!$B$5:$B$204,IFERROR(MATCH(21,'List A'!$R$5:$R$204,0)+4,"")-4))</f>
        <v/>
      </c>
      <c r="C25" s="52">
        <f>IF(IFERROR(MATCH(21,'List A'!$R$5:$R$204,0)+4,"")="","",INDEX('List A'!$C$5:$C$204,IFERROR(MATCH(21,'List A'!$R$5:$R$204,0)+4,"")-4))</f>
        <v/>
      </c>
      <c r="D25" s="53">
        <f>IF(IFERROR(MATCH(21,'List A'!$R$5:$R$204,0)+4,"")="","",INDEX('List A'!$D$5:$D$204,IFERROR(MATCH(21,'List A'!$R$5:$R$204,0)+4,"")-4))</f>
        <v/>
      </c>
      <c r="E25" s="53">
        <f>IF(IFERROR(MATCH(21,'List A'!$R$5:$R$204,0)+4,"")="","",INDEX('List A'!$E$5:$E$204,IFERROR(MATCH(21,'List A'!$R$5:$R$204,0)+4,"")-4))</f>
        <v/>
      </c>
      <c r="F25" s="53">
        <f>IF(IFERROR(MATCH(21,'List A'!$R$5:$R$204,0)+4,"")="","",INDEX('List A'!$F$5:$F$204,IFERROR(MATCH(21,'List A'!$R$5:$R$204,0)+4,"")-4))</f>
        <v/>
      </c>
      <c r="G25" s="50">
        <f>IF(IFERROR(MATCH(21,'List A'!$R$5:$R$204,0)+4,"")="","",INDEX('List A'!$G$5:$G$204,IFERROR(MATCH(21,'List A'!$R$5:$R$204,0)+4,"")-4))</f>
        <v/>
      </c>
      <c r="H25" s="53">
        <f>IF(IFERROR(MATCH(21,'List A'!$R$5:$R$204,0)+4,"")="","",INDEX('List A'!$H$5:$H$204,IFERROR(MATCH(21,'List A'!$R$5:$R$204,0)+4,"")-4))</f>
        <v/>
      </c>
      <c r="I25" s="61" t="n"/>
      <c r="J25" s="61" t="n"/>
    </row>
    <row r="26" ht="17" customHeight="1">
      <c r="A26" s="87">
        <f>IF(IFERROR(MATCH(22,'List A'!$R$5:$R$204,0)+4,"")="","",INDEX('List A'!$A$5:$A$204,IFERROR(MATCH(22,'List A'!$R$5:$R$204,0)+4,"")-4))</f>
        <v/>
      </c>
      <c r="B26" s="53">
        <f>IF(IFERROR(MATCH(22,'List A'!$R$5:$R$204,0)+4,"")="","",INDEX('List A'!$B$5:$B$204,IFERROR(MATCH(22,'List A'!$R$5:$R$204,0)+4,"")-4))</f>
        <v/>
      </c>
      <c r="C26" s="52">
        <f>IF(IFERROR(MATCH(22,'List A'!$R$5:$R$204,0)+4,"")="","",INDEX('List A'!$C$5:$C$204,IFERROR(MATCH(22,'List A'!$R$5:$R$204,0)+4,"")-4))</f>
        <v/>
      </c>
      <c r="D26" s="53">
        <f>IF(IFERROR(MATCH(22,'List A'!$R$5:$R$204,0)+4,"")="","",INDEX('List A'!$D$5:$D$204,IFERROR(MATCH(22,'List A'!$R$5:$R$204,0)+4,"")-4))</f>
        <v/>
      </c>
      <c r="E26" s="53">
        <f>IF(IFERROR(MATCH(22,'List A'!$R$5:$R$204,0)+4,"")="","",INDEX('List A'!$E$5:$E$204,IFERROR(MATCH(22,'List A'!$R$5:$R$204,0)+4,"")-4))</f>
        <v/>
      </c>
      <c r="F26" s="53">
        <f>IF(IFERROR(MATCH(22,'List A'!$R$5:$R$204,0)+4,"")="","",INDEX('List A'!$F$5:$F$204,IFERROR(MATCH(22,'List A'!$R$5:$R$204,0)+4,"")-4))</f>
        <v/>
      </c>
      <c r="G26" s="50">
        <f>IF(IFERROR(MATCH(22,'List A'!$R$5:$R$204,0)+4,"")="","",INDEX('List A'!$G$5:$G$204,IFERROR(MATCH(22,'List A'!$R$5:$R$204,0)+4,"")-4))</f>
        <v/>
      </c>
      <c r="H26" s="53">
        <f>IF(IFERROR(MATCH(22,'List A'!$R$5:$R$204,0)+4,"")="","",INDEX('List A'!$H$5:$H$204,IFERROR(MATCH(22,'List A'!$R$5:$R$204,0)+4,"")-4))</f>
        <v/>
      </c>
      <c r="I26" s="61" t="n"/>
      <c r="J26" s="61" t="n"/>
    </row>
    <row r="27" ht="17" customHeight="1">
      <c r="A27" s="87">
        <f>IF(IFERROR(MATCH(23,'List A'!$R$5:$R$204,0)+4,"")="","",INDEX('List A'!$A$5:$A$204,IFERROR(MATCH(23,'List A'!$R$5:$R$204,0)+4,"")-4))</f>
        <v/>
      </c>
      <c r="B27" s="53">
        <f>IF(IFERROR(MATCH(23,'List A'!$R$5:$R$204,0)+4,"")="","",INDEX('List A'!$B$5:$B$204,IFERROR(MATCH(23,'List A'!$R$5:$R$204,0)+4,"")-4))</f>
        <v/>
      </c>
      <c r="C27" s="52">
        <f>IF(IFERROR(MATCH(23,'List A'!$R$5:$R$204,0)+4,"")="","",INDEX('List A'!$C$5:$C$204,IFERROR(MATCH(23,'List A'!$R$5:$R$204,0)+4,"")-4))</f>
        <v/>
      </c>
      <c r="D27" s="53">
        <f>IF(IFERROR(MATCH(23,'List A'!$R$5:$R$204,0)+4,"")="","",INDEX('List A'!$D$5:$D$204,IFERROR(MATCH(23,'List A'!$R$5:$R$204,0)+4,"")-4))</f>
        <v/>
      </c>
      <c r="E27" s="53">
        <f>IF(IFERROR(MATCH(23,'List A'!$R$5:$R$204,0)+4,"")="","",INDEX('List A'!$E$5:$E$204,IFERROR(MATCH(23,'List A'!$R$5:$R$204,0)+4,"")-4))</f>
        <v/>
      </c>
      <c r="F27" s="53">
        <f>IF(IFERROR(MATCH(23,'List A'!$R$5:$R$204,0)+4,"")="","",INDEX('List A'!$F$5:$F$204,IFERROR(MATCH(23,'List A'!$R$5:$R$204,0)+4,"")-4))</f>
        <v/>
      </c>
      <c r="G27" s="50">
        <f>IF(IFERROR(MATCH(23,'List A'!$R$5:$R$204,0)+4,"")="","",INDEX('List A'!$G$5:$G$204,IFERROR(MATCH(23,'List A'!$R$5:$R$204,0)+4,"")-4))</f>
        <v/>
      </c>
      <c r="H27" s="53">
        <f>IF(IFERROR(MATCH(23,'List A'!$R$5:$R$204,0)+4,"")="","",INDEX('List A'!$H$5:$H$204,IFERROR(MATCH(23,'List A'!$R$5:$R$204,0)+4,"")-4))</f>
        <v/>
      </c>
      <c r="I27" s="61" t="n"/>
      <c r="J27" s="61" t="n"/>
    </row>
    <row r="28" ht="17" customHeight="1">
      <c r="A28" s="87">
        <f>IF(IFERROR(MATCH(24,'List A'!$R$5:$R$204,0)+4,"")="","",INDEX('List A'!$A$5:$A$204,IFERROR(MATCH(24,'List A'!$R$5:$R$204,0)+4,"")-4))</f>
        <v/>
      </c>
      <c r="B28" s="53">
        <f>IF(IFERROR(MATCH(24,'List A'!$R$5:$R$204,0)+4,"")="","",INDEX('List A'!$B$5:$B$204,IFERROR(MATCH(24,'List A'!$R$5:$R$204,0)+4,"")-4))</f>
        <v/>
      </c>
      <c r="C28" s="52">
        <f>IF(IFERROR(MATCH(24,'List A'!$R$5:$R$204,0)+4,"")="","",INDEX('List A'!$C$5:$C$204,IFERROR(MATCH(24,'List A'!$R$5:$R$204,0)+4,"")-4))</f>
        <v/>
      </c>
      <c r="D28" s="53">
        <f>IF(IFERROR(MATCH(24,'List A'!$R$5:$R$204,0)+4,"")="","",INDEX('List A'!$D$5:$D$204,IFERROR(MATCH(24,'List A'!$R$5:$R$204,0)+4,"")-4))</f>
        <v/>
      </c>
      <c r="E28" s="53">
        <f>IF(IFERROR(MATCH(24,'List A'!$R$5:$R$204,0)+4,"")="","",INDEX('List A'!$E$5:$E$204,IFERROR(MATCH(24,'List A'!$R$5:$R$204,0)+4,"")-4))</f>
        <v/>
      </c>
      <c r="F28" s="53">
        <f>IF(IFERROR(MATCH(24,'List A'!$R$5:$R$204,0)+4,"")="","",INDEX('List A'!$F$5:$F$204,IFERROR(MATCH(24,'List A'!$R$5:$R$204,0)+4,"")-4))</f>
        <v/>
      </c>
      <c r="G28" s="50">
        <f>IF(IFERROR(MATCH(24,'List A'!$R$5:$R$204,0)+4,"")="","",INDEX('List A'!$G$5:$G$204,IFERROR(MATCH(24,'List A'!$R$5:$R$204,0)+4,"")-4))</f>
        <v/>
      </c>
      <c r="H28" s="53">
        <f>IF(IFERROR(MATCH(24,'List A'!$R$5:$R$204,0)+4,"")="","",INDEX('List A'!$H$5:$H$204,IFERROR(MATCH(24,'List A'!$R$5:$R$204,0)+4,"")-4))</f>
        <v/>
      </c>
      <c r="I28" s="61" t="n"/>
      <c r="J28" s="61" t="n"/>
    </row>
    <row r="29" ht="17" customHeight="1">
      <c r="A29" s="87">
        <f>IF(IFERROR(MATCH(25,'List A'!$R$5:$R$204,0)+4,"")="","",INDEX('List A'!$A$5:$A$204,IFERROR(MATCH(25,'List A'!$R$5:$R$204,0)+4,"")-4))</f>
        <v/>
      </c>
      <c r="B29" s="53">
        <f>IF(IFERROR(MATCH(25,'List A'!$R$5:$R$204,0)+4,"")="","",INDEX('List A'!$B$5:$B$204,IFERROR(MATCH(25,'List A'!$R$5:$R$204,0)+4,"")-4))</f>
        <v/>
      </c>
      <c r="C29" s="52">
        <f>IF(IFERROR(MATCH(25,'List A'!$R$5:$R$204,0)+4,"")="","",INDEX('List A'!$C$5:$C$204,IFERROR(MATCH(25,'List A'!$R$5:$R$204,0)+4,"")-4))</f>
        <v/>
      </c>
      <c r="D29" s="53">
        <f>IF(IFERROR(MATCH(25,'List A'!$R$5:$R$204,0)+4,"")="","",INDEX('List A'!$D$5:$D$204,IFERROR(MATCH(25,'List A'!$R$5:$R$204,0)+4,"")-4))</f>
        <v/>
      </c>
      <c r="E29" s="53">
        <f>IF(IFERROR(MATCH(25,'List A'!$R$5:$R$204,0)+4,"")="","",INDEX('List A'!$E$5:$E$204,IFERROR(MATCH(25,'List A'!$R$5:$R$204,0)+4,"")-4))</f>
        <v/>
      </c>
      <c r="F29" s="53">
        <f>IF(IFERROR(MATCH(25,'List A'!$R$5:$R$204,0)+4,"")="","",INDEX('List A'!$F$5:$F$204,IFERROR(MATCH(25,'List A'!$R$5:$R$204,0)+4,"")-4))</f>
        <v/>
      </c>
      <c r="G29" s="50">
        <f>IF(IFERROR(MATCH(25,'List A'!$R$5:$R$204,0)+4,"")="","",INDEX('List A'!$G$5:$G$204,IFERROR(MATCH(25,'List A'!$R$5:$R$204,0)+4,"")-4))</f>
        <v/>
      </c>
      <c r="H29" s="53">
        <f>IF(IFERROR(MATCH(25,'List A'!$R$5:$R$204,0)+4,"")="","",INDEX('List A'!$H$5:$H$204,IFERROR(MATCH(25,'List A'!$R$5:$R$204,0)+4,"")-4))</f>
        <v/>
      </c>
      <c r="I29" s="61" t="n"/>
      <c r="J29" s="61" t="n"/>
    </row>
    <row r="30" ht="17" customHeight="1">
      <c r="A30" s="87">
        <f>IF(IFERROR(MATCH(26,'List A'!$R$5:$R$204,0)+4,"")="","",INDEX('List A'!$A$5:$A$204,IFERROR(MATCH(26,'List A'!$R$5:$R$204,0)+4,"")-4))</f>
        <v/>
      </c>
      <c r="B30" s="53">
        <f>IF(IFERROR(MATCH(26,'List A'!$R$5:$R$204,0)+4,"")="","",INDEX('List A'!$B$5:$B$204,IFERROR(MATCH(26,'List A'!$R$5:$R$204,0)+4,"")-4))</f>
        <v/>
      </c>
      <c r="C30" s="52">
        <f>IF(IFERROR(MATCH(26,'List A'!$R$5:$R$204,0)+4,"")="","",INDEX('List A'!$C$5:$C$204,IFERROR(MATCH(26,'List A'!$R$5:$R$204,0)+4,"")-4))</f>
        <v/>
      </c>
      <c r="D30" s="53">
        <f>IF(IFERROR(MATCH(26,'List A'!$R$5:$R$204,0)+4,"")="","",INDEX('List A'!$D$5:$D$204,IFERROR(MATCH(26,'List A'!$R$5:$R$204,0)+4,"")-4))</f>
        <v/>
      </c>
      <c r="E30" s="53">
        <f>IF(IFERROR(MATCH(26,'List A'!$R$5:$R$204,0)+4,"")="","",INDEX('List A'!$E$5:$E$204,IFERROR(MATCH(26,'List A'!$R$5:$R$204,0)+4,"")-4))</f>
        <v/>
      </c>
      <c r="F30" s="53">
        <f>IF(IFERROR(MATCH(26,'List A'!$R$5:$R$204,0)+4,"")="","",INDEX('List A'!$F$5:$F$204,IFERROR(MATCH(26,'List A'!$R$5:$R$204,0)+4,"")-4))</f>
        <v/>
      </c>
      <c r="G30" s="50">
        <f>IF(IFERROR(MATCH(26,'List A'!$R$5:$R$204,0)+4,"")="","",INDEX('List A'!$G$5:$G$204,IFERROR(MATCH(26,'List A'!$R$5:$R$204,0)+4,"")-4))</f>
        <v/>
      </c>
      <c r="H30" s="53">
        <f>IF(IFERROR(MATCH(26,'List A'!$R$5:$R$204,0)+4,"")="","",INDEX('List A'!$H$5:$H$204,IFERROR(MATCH(26,'List A'!$R$5:$R$204,0)+4,"")-4))</f>
        <v/>
      </c>
      <c r="I30" s="61" t="n"/>
      <c r="J30" s="61" t="n"/>
    </row>
    <row r="31" ht="17" customHeight="1">
      <c r="A31" s="87">
        <f>IF(IFERROR(MATCH(27,'List A'!$R$5:$R$204,0)+4,"")="","",INDEX('List A'!$A$5:$A$204,IFERROR(MATCH(27,'List A'!$R$5:$R$204,0)+4,"")-4))</f>
        <v/>
      </c>
      <c r="B31" s="53">
        <f>IF(IFERROR(MATCH(27,'List A'!$R$5:$R$204,0)+4,"")="","",INDEX('List A'!$B$5:$B$204,IFERROR(MATCH(27,'List A'!$R$5:$R$204,0)+4,"")-4))</f>
        <v/>
      </c>
      <c r="C31" s="52">
        <f>IF(IFERROR(MATCH(27,'List A'!$R$5:$R$204,0)+4,"")="","",INDEX('List A'!$C$5:$C$204,IFERROR(MATCH(27,'List A'!$R$5:$R$204,0)+4,"")-4))</f>
        <v/>
      </c>
      <c r="D31" s="53">
        <f>IF(IFERROR(MATCH(27,'List A'!$R$5:$R$204,0)+4,"")="","",INDEX('List A'!$D$5:$D$204,IFERROR(MATCH(27,'List A'!$R$5:$R$204,0)+4,"")-4))</f>
        <v/>
      </c>
      <c r="E31" s="53">
        <f>IF(IFERROR(MATCH(27,'List A'!$R$5:$R$204,0)+4,"")="","",INDEX('List A'!$E$5:$E$204,IFERROR(MATCH(27,'List A'!$R$5:$R$204,0)+4,"")-4))</f>
        <v/>
      </c>
      <c r="F31" s="53">
        <f>IF(IFERROR(MATCH(27,'List A'!$R$5:$R$204,0)+4,"")="","",INDEX('List A'!$F$5:$F$204,IFERROR(MATCH(27,'List A'!$R$5:$R$204,0)+4,"")-4))</f>
        <v/>
      </c>
      <c r="G31" s="50">
        <f>IF(IFERROR(MATCH(27,'List A'!$R$5:$R$204,0)+4,"")="","",INDEX('List A'!$G$5:$G$204,IFERROR(MATCH(27,'List A'!$R$5:$R$204,0)+4,"")-4))</f>
        <v/>
      </c>
      <c r="H31" s="53">
        <f>IF(IFERROR(MATCH(27,'List A'!$R$5:$R$204,0)+4,"")="","",INDEX('List A'!$H$5:$H$204,IFERROR(MATCH(27,'List A'!$R$5:$R$204,0)+4,"")-4))</f>
        <v/>
      </c>
      <c r="I31" s="61" t="n"/>
      <c r="J31" s="61" t="n"/>
    </row>
    <row r="32" ht="17" customHeight="1">
      <c r="A32" s="87">
        <f>IF(IFERROR(MATCH(28,'List A'!$R$5:$R$204,0)+4,"")="","",INDEX('List A'!$A$5:$A$204,IFERROR(MATCH(28,'List A'!$R$5:$R$204,0)+4,"")-4))</f>
        <v/>
      </c>
      <c r="B32" s="53">
        <f>IF(IFERROR(MATCH(28,'List A'!$R$5:$R$204,0)+4,"")="","",INDEX('List A'!$B$5:$B$204,IFERROR(MATCH(28,'List A'!$R$5:$R$204,0)+4,"")-4))</f>
        <v/>
      </c>
      <c r="C32" s="52">
        <f>IF(IFERROR(MATCH(28,'List A'!$R$5:$R$204,0)+4,"")="","",INDEX('List A'!$C$5:$C$204,IFERROR(MATCH(28,'List A'!$R$5:$R$204,0)+4,"")-4))</f>
        <v/>
      </c>
      <c r="D32" s="53">
        <f>IF(IFERROR(MATCH(28,'List A'!$R$5:$R$204,0)+4,"")="","",INDEX('List A'!$D$5:$D$204,IFERROR(MATCH(28,'List A'!$R$5:$R$204,0)+4,"")-4))</f>
        <v/>
      </c>
      <c r="E32" s="53">
        <f>IF(IFERROR(MATCH(28,'List A'!$R$5:$R$204,0)+4,"")="","",INDEX('List A'!$E$5:$E$204,IFERROR(MATCH(28,'List A'!$R$5:$R$204,0)+4,"")-4))</f>
        <v/>
      </c>
      <c r="F32" s="53">
        <f>IF(IFERROR(MATCH(28,'List A'!$R$5:$R$204,0)+4,"")="","",INDEX('List A'!$F$5:$F$204,IFERROR(MATCH(28,'List A'!$R$5:$R$204,0)+4,"")-4))</f>
        <v/>
      </c>
      <c r="G32" s="50">
        <f>IF(IFERROR(MATCH(28,'List A'!$R$5:$R$204,0)+4,"")="","",INDEX('List A'!$G$5:$G$204,IFERROR(MATCH(28,'List A'!$R$5:$R$204,0)+4,"")-4))</f>
        <v/>
      </c>
      <c r="H32" s="53">
        <f>IF(IFERROR(MATCH(28,'List A'!$R$5:$R$204,0)+4,"")="","",INDEX('List A'!$H$5:$H$204,IFERROR(MATCH(28,'List A'!$R$5:$R$204,0)+4,"")-4))</f>
        <v/>
      </c>
      <c r="I32" s="61" t="n"/>
      <c r="J32" s="61" t="n"/>
    </row>
    <row r="33" ht="17" customHeight="1">
      <c r="A33" s="87">
        <f>IF(IFERROR(MATCH(29,'List A'!$R$5:$R$204,0)+4,"")="","",INDEX('List A'!$A$5:$A$204,IFERROR(MATCH(29,'List A'!$R$5:$R$204,0)+4,"")-4))</f>
        <v/>
      </c>
      <c r="B33" s="53">
        <f>IF(IFERROR(MATCH(29,'List A'!$R$5:$R$204,0)+4,"")="","",INDEX('List A'!$B$5:$B$204,IFERROR(MATCH(29,'List A'!$R$5:$R$204,0)+4,"")-4))</f>
        <v/>
      </c>
      <c r="C33" s="52">
        <f>IF(IFERROR(MATCH(29,'List A'!$R$5:$R$204,0)+4,"")="","",INDEX('List A'!$C$5:$C$204,IFERROR(MATCH(29,'List A'!$R$5:$R$204,0)+4,"")-4))</f>
        <v/>
      </c>
      <c r="D33" s="53">
        <f>IF(IFERROR(MATCH(29,'List A'!$R$5:$R$204,0)+4,"")="","",INDEX('List A'!$D$5:$D$204,IFERROR(MATCH(29,'List A'!$R$5:$R$204,0)+4,"")-4))</f>
        <v/>
      </c>
      <c r="E33" s="53">
        <f>IF(IFERROR(MATCH(29,'List A'!$R$5:$R$204,0)+4,"")="","",INDEX('List A'!$E$5:$E$204,IFERROR(MATCH(29,'List A'!$R$5:$R$204,0)+4,"")-4))</f>
        <v/>
      </c>
      <c r="F33" s="53">
        <f>IF(IFERROR(MATCH(29,'List A'!$R$5:$R$204,0)+4,"")="","",INDEX('List A'!$F$5:$F$204,IFERROR(MATCH(29,'List A'!$R$5:$R$204,0)+4,"")-4))</f>
        <v/>
      </c>
      <c r="G33" s="50">
        <f>IF(IFERROR(MATCH(29,'List A'!$R$5:$R$204,0)+4,"")="","",INDEX('List A'!$G$5:$G$204,IFERROR(MATCH(29,'List A'!$R$5:$R$204,0)+4,"")-4))</f>
        <v/>
      </c>
      <c r="H33" s="53">
        <f>IF(IFERROR(MATCH(29,'List A'!$R$5:$R$204,0)+4,"")="","",INDEX('List A'!$H$5:$H$204,IFERROR(MATCH(29,'List A'!$R$5:$R$204,0)+4,"")-4))</f>
        <v/>
      </c>
      <c r="I33" s="61" t="n"/>
      <c r="J33" s="61" t="n"/>
    </row>
    <row r="34" ht="17" customHeight="1">
      <c r="A34" s="87">
        <f>IF(IFERROR(MATCH(30,'List A'!$R$5:$R$204,0)+4,"")="","",INDEX('List A'!$A$5:$A$204,IFERROR(MATCH(30,'List A'!$R$5:$R$204,0)+4,"")-4))</f>
        <v/>
      </c>
      <c r="B34" s="53">
        <f>IF(IFERROR(MATCH(30,'List A'!$R$5:$R$204,0)+4,"")="","",INDEX('List A'!$B$5:$B$204,IFERROR(MATCH(30,'List A'!$R$5:$R$204,0)+4,"")-4))</f>
        <v/>
      </c>
      <c r="C34" s="52">
        <f>IF(IFERROR(MATCH(30,'List A'!$R$5:$R$204,0)+4,"")="","",INDEX('List A'!$C$5:$C$204,IFERROR(MATCH(30,'List A'!$R$5:$R$204,0)+4,"")-4))</f>
        <v/>
      </c>
      <c r="D34" s="53">
        <f>IF(IFERROR(MATCH(30,'List A'!$R$5:$R$204,0)+4,"")="","",INDEX('List A'!$D$5:$D$204,IFERROR(MATCH(30,'List A'!$R$5:$R$204,0)+4,"")-4))</f>
        <v/>
      </c>
      <c r="E34" s="53">
        <f>IF(IFERROR(MATCH(30,'List A'!$R$5:$R$204,0)+4,"")="","",INDEX('List A'!$E$5:$E$204,IFERROR(MATCH(30,'List A'!$R$5:$R$204,0)+4,"")-4))</f>
        <v/>
      </c>
      <c r="F34" s="53">
        <f>IF(IFERROR(MATCH(30,'List A'!$R$5:$R$204,0)+4,"")="","",INDEX('List A'!$F$5:$F$204,IFERROR(MATCH(30,'List A'!$R$5:$R$204,0)+4,"")-4))</f>
        <v/>
      </c>
      <c r="G34" s="50">
        <f>IF(IFERROR(MATCH(30,'List A'!$R$5:$R$204,0)+4,"")="","",INDEX('List A'!$G$5:$G$204,IFERROR(MATCH(30,'List A'!$R$5:$R$204,0)+4,"")-4))</f>
        <v/>
      </c>
      <c r="H34" s="53">
        <f>IF(IFERROR(MATCH(30,'List A'!$R$5:$R$204,0)+4,"")="","",INDEX('List A'!$H$5:$H$204,IFERROR(MATCH(30,'List A'!$R$5:$R$204,0)+4,"")-4))</f>
        <v/>
      </c>
      <c r="I34" s="61" t="n"/>
      <c r="J34" s="61" t="n"/>
    </row>
    <row r="35" ht="17" customHeight="1">
      <c r="A35" s="87">
        <f>IF(IFERROR(MATCH(31,'List A'!$R$5:$R$204,0)+4,"")="","",INDEX('List A'!$A$5:$A$204,IFERROR(MATCH(31,'List A'!$R$5:$R$204,0)+4,"")-4))</f>
        <v/>
      </c>
      <c r="B35" s="53">
        <f>IF(IFERROR(MATCH(31,'List A'!$R$5:$R$204,0)+4,"")="","",INDEX('List A'!$B$5:$B$204,IFERROR(MATCH(31,'List A'!$R$5:$R$204,0)+4,"")-4))</f>
        <v/>
      </c>
      <c r="C35" s="52">
        <f>IF(IFERROR(MATCH(31,'List A'!$R$5:$R$204,0)+4,"")="","",INDEX('List A'!$C$5:$C$204,IFERROR(MATCH(31,'List A'!$R$5:$R$204,0)+4,"")-4))</f>
        <v/>
      </c>
      <c r="D35" s="53">
        <f>IF(IFERROR(MATCH(31,'List A'!$R$5:$R$204,0)+4,"")="","",INDEX('List A'!$D$5:$D$204,IFERROR(MATCH(31,'List A'!$R$5:$R$204,0)+4,"")-4))</f>
        <v/>
      </c>
      <c r="E35" s="53">
        <f>IF(IFERROR(MATCH(31,'List A'!$R$5:$R$204,0)+4,"")="","",INDEX('List A'!$E$5:$E$204,IFERROR(MATCH(31,'List A'!$R$5:$R$204,0)+4,"")-4))</f>
        <v/>
      </c>
      <c r="F35" s="53">
        <f>IF(IFERROR(MATCH(31,'List A'!$R$5:$R$204,0)+4,"")="","",INDEX('List A'!$F$5:$F$204,IFERROR(MATCH(31,'List A'!$R$5:$R$204,0)+4,"")-4))</f>
        <v/>
      </c>
      <c r="G35" s="50">
        <f>IF(IFERROR(MATCH(31,'List A'!$R$5:$R$204,0)+4,"")="","",INDEX('List A'!$G$5:$G$204,IFERROR(MATCH(31,'List A'!$R$5:$R$204,0)+4,"")-4))</f>
        <v/>
      </c>
      <c r="H35" s="53">
        <f>IF(IFERROR(MATCH(31,'List A'!$R$5:$R$204,0)+4,"")="","",INDEX('List A'!$H$5:$H$204,IFERROR(MATCH(31,'List A'!$R$5:$R$204,0)+4,"")-4))</f>
        <v/>
      </c>
      <c r="I35" s="61" t="n"/>
      <c r="J35" s="61" t="n"/>
    </row>
    <row r="36" ht="17" customHeight="1">
      <c r="A36" s="87">
        <f>IF(IFERROR(MATCH(32,'List A'!$R$5:$R$204,0)+4,"")="","",INDEX('List A'!$A$5:$A$204,IFERROR(MATCH(32,'List A'!$R$5:$R$204,0)+4,"")-4))</f>
        <v/>
      </c>
      <c r="B36" s="53">
        <f>IF(IFERROR(MATCH(32,'List A'!$R$5:$R$204,0)+4,"")="","",INDEX('List A'!$B$5:$B$204,IFERROR(MATCH(32,'List A'!$R$5:$R$204,0)+4,"")-4))</f>
        <v/>
      </c>
      <c r="C36" s="52">
        <f>IF(IFERROR(MATCH(32,'List A'!$R$5:$R$204,0)+4,"")="","",INDEX('List A'!$C$5:$C$204,IFERROR(MATCH(32,'List A'!$R$5:$R$204,0)+4,"")-4))</f>
        <v/>
      </c>
      <c r="D36" s="53">
        <f>IF(IFERROR(MATCH(32,'List A'!$R$5:$R$204,0)+4,"")="","",INDEX('List A'!$D$5:$D$204,IFERROR(MATCH(32,'List A'!$R$5:$R$204,0)+4,"")-4))</f>
        <v/>
      </c>
      <c r="E36" s="53">
        <f>IF(IFERROR(MATCH(32,'List A'!$R$5:$R$204,0)+4,"")="","",INDEX('List A'!$E$5:$E$204,IFERROR(MATCH(32,'List A'!$R$5:$R$204,0)+4,"")-4))</f>
        <v/>
      </c>
      <c r="F36" s="53">
        <f>IF(IFERROR(MATCH(32,'List A'!$R$5:$R$204,0)+4,"")="","",INDEX('List A'!$F$5:$F$204,IFERROR(MATCH(32,'List A'!$R$5:$R$204,0)+4,"")-4))</f>
        <v/>
      </c>
      <c r="G36" s="50">
        <f>IF(IFERROR(MATCH(32,'List A'!$R$5:$R$204,0)+4,"")="","",INDEX('List A'!$G$5:$G$204,IFERROR(MATCH(32,'List A'!$R$5:$R$204,0)+4,"")-4))</f>
        <v/>
      </c>
      <c r="H36" s="53">
        <f>IF(IFERROR(MATCH(32,'List A'!$R$5:$R$204,0)+4,"")="","",INDEX('List A'!$H$5:$H$204,IFERROR(MATCH(32,'List A'!$R$5:$R$204,0)+4,"")-4))</f>
        <v/>
      </c>
      <c r="I36" s="61" t="n"/>
      <c r="J36" s="61" t="n"/>
    </row>
    <row r="37" ht="17" customHeight="1">
      <c r="A37" s="87">
        <f>IF(IFERROR(MATCH(33,'List A'!$R$5:$R$204,0)+4,"")="","",INDEX('List A'!$A$5:$A$204,IFERROR(MATCH(33,'List A'!$R$5:$R$204,0)+4,"")-4))</f>
        <v/>
      </c>
      <c r="B37" s="53">
        <f>IF(IFERROR(MATCH(33,'List A'!$R$5:$R$204,0)+4,"")="","",INDEX('List A'!$B$5:$B$204,IFERROR(MATCH(33,'List A'!$R$5:$R$204,0)+4,"")-4))</f>
        <v/>
      </c>
      <c r="C37" s="52">
        <f>IF(IFERROR(MATCH(33,'List A'!$R$5:$R$204,0)+4,"")="","",INDEX('List A'!$C$5:$C$204,IFERROR(MATCH(33,'List A'!$R$5:$R$204,0)+4,"")-4))</f>
        <v/>
      </c>
      <c r="D37" s="53">
        <f>IF(IFERROR(MATCH(33,'List A'!$R$5:$R$204,0)+4,"")="","",INDEX('List A'!$D$5:$D$204,IFERROR(MATCH(33,'List A'!$R$5:$R$204,0)+4,"")-4))</f>
        <v/>
      </c>
      <c r="E37" s="53">
        <f>IF(IFERROR(MATCH(33,'List A'!$R$5:$R$204,0)+4,"")="","",INDEX('List A'!$E$5:$E$204,IFERROR(MATCH(33,'List A'!$R$5:$R$204,0)+4,"")-4))</f>
        <v/>
      </c>
      <c r="F37" s="53">
        <f>IF(IFERROR(MATCH(33,'List A'!$R$5:$R$204,0)+4,"")="","",INDEX('List A'!$F$5:$F$204,IFERROR(MATCH(33,'List A'!$R$5:$R$204,0)+4,"")-4))</f>
        <v/>
      </c>
      <c r="G37" s="50">
        <f>IF(IFERROR(MATCH(33,'List A'!$R$5:$R$204,0)+4,"")="","",INDEX('List A'!$G$5:$G$204,IFERROR(MATCH(33,'List A'!$R$5:$R$204,0)+4,"")-4))</f>
        <v/>
      </c>
      <c r="H37" s="53">
        <f>IF(IFERROR(MATCH(33,'List A'!$R$5:$R$204,0)+4,"")="","",INDEX('List A'!$H$5:$H$204,IFERROR(MATCH(33,'List A'!$R$5:$R$204,0)+4,"")-4))</f>
        <v/>
      </c>
      <c r="I37" s="61" t="n"/>
      <c r="J37" s="61" t="n"/>
    </row>
    <row r="38" ht="17" customHeight="1">
      <c r="A38" s="87">
        <f>IF(IFERROR(MATCH(34,'List A'!$R$5:$R$204,0)+4,"")="","",INDEX('List A'!$A$5:$A$204,IFERROR(MATCH(34,'List A'!$R$5:$R$204,0)+4,"")-4))</f>
        <v/>
      </c>
      <c r="B38" s="53">
        <f>IF(IFERROR(MATCH(34,'List A'!$R$5:$R$204,0)+4,"")="","",INDEX('List A'!$B$5:$B$204,IFERROR(MATCH(34,'List A'!$R$5:$R$204,0)+4,"")-4))</f>
        <v/>
      </c>
      <c r="C38" s="52">
        <f>IF(IFERROR(MATCH(34,'List A'!$R$5:$R$204,0)+4,"")="","",INDEX('List A'!$C$5:$C$204,IFERROR(MATCH(34,'List A'!$R$5:$R$204,0)+4,"")-4))</f>
        <v/>
      </c>
      <c r="D38" s="53">
        <f>IF(IFERROR(MATCH(34,'List A'!$R$5:$R$204,0)+4,"")="","",INDEX('List A'!$D$5:$D$204,IFERROR(MATCH(34,'List A'!$R$5:$R$204,0)+4,"")-4))</f>
        <v/>
      </c>
      <c r="E38" s="53">
        <f>IF(IFERROR(MATCH(34,'List A'!$R$5:$R$204,0)+4,"")="","",INDEX('List A'!$E$5:$E$204,IFERROR(MATCH(34,'List A'!$R$5:$R$204,0)+4,"")-4))</f>
        <v/>
      </c>
      <c r="F38" s="53">
        <f>IF(IFERROR(MATCH(34,'List A'!$R$5:$R$204,0)+4,"")="","",INDEX('List A'!$F$5:$F$204,IFERROR(MATCH(34,'List A'!$R$5:$R$204,0)+4,"")-4))</f>
        <v/>
      </c>
      <c r="G38" s="50">
        <f>IF(IFERROR(MATCH(34,'List A'!$R$5:$R$204,0)+4,"")="","",INDEX('List A'!$G$5:$G$204,IFERROR(MATCH(34,'List A'!$R$5:$R$204,0)+4,"")-4))</f>
        <v/>
      </c>
      <c r="H38" s="53">
        <f>IF(IFERROR(MATCH(34,'List A'!$R$5:$R$204,0)+4,"")="","",INDEX('List A'!$H$5:$H$204,IFERROR(MATCH(34,'List A'!$R$5:$R$204,0)+4,"")-4))</f>
        <v/>
      </c>
      <c r="I38" s="61" t="n"/>
      <c r="J38" s="61" t="n"/>
    </row>
    <row r="39" ht="17" customHeight="1">
      <c r="A39" s="87">
        <f>IF(IFERROR(MATCH(35,'List A'!$R$5:$R$204,0)+4,"")="","",INDEX('List A'!$A$5:$A$204,IFERROR(MATCH(35,'List A'!$R$5:$R$204,0)+4,"")-4))</f>
        <v/>
      </c>
      <c r="B39" s="53">
        <f>IF(IFERROR(MATCH(35,'List A'!$R$5:$R$204,0)+4,"")="","",INDEX('List A'!$B$5:$B$204,IFERROR(MATCH(35,'List A'!$R$5:$R$204,0)+4,"")-4))</f>
        <v/>
      </c>
      <c r="C39" s="52">
        <f>IF(IFERROR(MATCH(35,'List A'!$R$5:$R$204,0)+4,"")="","",INDEX('List A'!$C$5:$C$204,IFERROR(MATCH(35,'List A'!$R$5:$R$204,0)+4,"")-4))</f>
        <v/>
      </c>
      <c r="D39" s="53">
        <f>IF(IFERROR(MATCH(35,'List A'!$R$5:$R$204,0)+4,"")="","",INDEX('List A'!$D$5:$D$204,IFERROR(MATCH(35,'List A'!$R$5:$R$204,0)+4,"")-4))</f>
        <v/>
      </c>
      <c r="E39" s="53">
        <f>IF(IFERROR(MATCH(35,'List A'!$R$5:$R$204,0)+4,"")="","",INDEX('List A'!$E$5:$E$204,IFERROR(MATCH(35,'List A'!$R$5:$R$204,0)+4,"")-4))</f>
        <v/>
      </c>
      <c r="F39" s="53">
        <f>IF(IFERROR(MATCH(35,'List A'!$R$5:$R$204,0)+4,"")="","",INDEX('List A'!$F$5:$F$204,IFERROR(MATCH(35,'List A'!$R$5:$R$204,0)+4,"")-4))</f>
        <v/>
      </c>
      <c r="G39" s="50">
        <f>IF(IFERROR(MATCH(35,'List A'!$R$5:$R$204,0)+4,"")="","",INDEX('List A'!$G$5:$G$204,IFERROR(MATCH(35,'List A'!$R$5:$R$204,0)+4,"")-4))</f>
        <v/>
      </c>
      <c r="H39" s="53">
        <f>IF(IFERROR(MATCH(35,'List A'!$R$5:$R$204,0)+4,"")="","",INDEX('List A'!$H$5:$H$204,IFERROR(MATCH(35,'List A'!$R$5:$R$204,0)+4,"")-4))</f>
        <v/>
      </c>
      <c r="I39" s="61" t="n"/>
      <c r="J39" s="61" t="n"/>
    </row>
    <row r="40" ht="17" customHeight="1">
      <c r="A40" s="87">
        <f>IF(IFERROR(MATCH(36,'List A'!$R$5:$R$204,0)+4,"")="","",INDEX('List A'!$A$5:$A$204,IFERROR(MATCH(36,'List A'!$R$5:$R$204,0)+4,"")-4))</f>
        <v/>
      </c>
      <c r="B40" s="53">
        <f>IF(IFERROR(MATCH(36,'List A'!$R$5:$R$204,0)+4,"")="","",INDEX('List A'!$B$5:$B$204,IFERROR(MATCH(36,'List A'!$R$5:$R$204,0)+4,"")-4))</f>
        <v/>
      </c>
      <c r="C40" s="52">
        <f>IF(IFERROR(MATCH(36,'List A'!$R$5:$R$204,0)+4,"")="","",INDEX('List A'!$C$5:$C$204,IFERROR(MATCH(36,'List A'!$R$5:$R$204,0)+4,"")-4))</f>
        <v/>
      </c>
      <c r="D40" s="53">
        <f>IF(IFERROR(MATCH(36,'List A'!$R$5:$R$204,0)+4,"")="","",INDEX('List A'!$D$5:$D$204,IFERROR(MATCH(36,'List A'!$R$5:$R$204,0)+4,"")-4))</f>
        <v/>
      </c>
      <c r="E40" s="53">
        <f>IF(IFERROR(MATCH(36,'List A'!$R$5:$R$204,0)+4,"")="","",INDEX('List A'!$E$5:$E$204,IFERROR(MATCH(36,'List A'!$R$5:$R$204,0)+4,"")-4))</f>
        <v/>
      </c>
      <c r="F40" s="53">
        <f>IF(IFERROR(MATCH(36,'List A'!$R$5:$R$204,0)+4,"")="","",INDEX('List A'!$F$5:$F$204,IFERROR(MATCH(36,'List A'!$R$5:$R$204,0)+4,"")-4))</f>
        <v/>
      </c>
      <c r="G40" s="50">
        <f>IF(IFERROR(MATCH(36,'List A'!$R$5:$R$204,0)+4,"")="","",INDEX('List A'!$G$5:$G$204,IFERROR(MATCH(36,'List A'!$R$5:$R$204,0)+4,"")-4))</f>
        <v/>
      </c>
      <c r="H40" s="53">
        <f>IF(IFERROR(MATCH(36,'List A'!$R$5:$R$204,0)+4,"")="","",INDEX('List A'!$H$5:$H$204,IFERROR(MATCH(36,'List A'!$R$5:$R$204,0)+4,"")-4))</f>
        <v/>
      </c>
      <c r="I40" s="61" t="n"/>
      <c r="J40" s="61" t="n"/>
    </row>
    <row r="41" ht="17" customHeight="1">
      <c r="A41" s="87">
        <f>IF(IFERROR(MATCH(37,'List A'!$R$5:$R$204,0)+4,"")="","",INDEX('List A'!$A$5:$A$204,IFERROR(MATCH(37,'List A'!$R$5:$R$204,0)+4,"")-4))</f>
        <v/>
      </c>
      <c r="B41" s="53">
        <f>IF(IFERROR(MATCH(37,'List A'!$R$5:$R$204,0)+4,"")="","",INDEX('List A'!$B$5:$B$204,IFERROR(MATCH(37,'List A'!$R$5:$R$204,0)+4,"")-4))</f>
        <v/>
      </c>
      <c r="C41" s="52">
        <f>IF(IFERROR(MATCH(37,'List A'!$R$5:$R$204,0)+4,"")="","",INDEX('List A'!$C$5:$C$204,IFERROR(MATCH(37,'List A'!$R$5:$R$204,0)+4,"")-4))</f>
        <v/>
      </c>
      <c r="D41" s="53">
        <f>IF(IFERROR(MATCH(37,'List A'!$R$5:$R$204,0)+4,"")="","",INDEX('List A'!$D$5:$D$204,IFERROR(MATCH(37,'List A'!$R$5:$R$204,0)+4,"")-4))</f>
        <v/>
      </c>
      <c r="E41" s="53">
        <f>IF(IFERROR(MATCH(37,'List A'!$R$5:$R$204,0)+4,"")="","",INDEX('List A'!$E$5:$E$204,IFERROR(MATCH(37,'List A'!$R$5:$R$204,0)+4,"")-4))</f>
        <v/>
      </c>
      <c r="F41" s="53">
        <f>IF(IFERROR(MATCH(37,'List A'!$R$5:$R$204,0)+4,"")="","",INDEX('List A'!$F$5:$F$204,IFERROR(MATCH(37,'List A'!$R$5:$R$204,0)+4,"")-4))</f>
        <v/>
      </c>
      <c r="G41" s="50">
        <f>IF(IFERROR(MATCH(37,'List A'!$R$5:$R$204,0)+4,"")="","",INDEX('List A'!$G$5:$G$204,IFERROR(MATCH(37,'List A'!$R$5:$R$204,0)+4,"")-4))</f>
        <v/>
      </c>
      <c r="H41" s="53">
        <f>IF(IFERROR(MATCH(37,'List A'!$R$5:$R$204,0)+4,"")="","",INDEX('List A'!$H$5:$H$204,IFERROR(MATCH(37,'List A'!$R$5:$R$204,0)+4,"")-4))</f>
        <v/>
      </c>
      <c r="I41" s="61" t="n"/>
      <c r="J41" s="61" t="n"/>
    </row>
    <row r="42" ht="17" customHeight="1">
      <c r="A42" s="87">
        <f>IF(IFERROR(MATCH(38,'List A'!$R$5:$R$204,0)+4,"")="","",INDEX('List A'!$A$5:$A$204,IFERROR(MATCH(38,'List A'!$R$5:$R$204,0)+4,"")-4))</f>
        <v/>
      </c>
      <c r="B42" s="53">
        <f>IF(IFERROR(MATCH(38,'List A'!$R$5:$R$204,0)+4,"")="","",INDEX('List A'!$B$5:$B$204,IFERROR(MATCH(38,'List A'!$R$5:$R$204,0)+4,"")-4))</f>
        <v/>
      </c>
      <c r="C42" s="52">
        <f>IF(IFERROR(MATCH(38,'List A'!$R$5:$R$204,0)+4,"")="","",INDEX('List A'!$C$5:$C$204,IFERROR(MATCH(38,'List A'!$R$5:$R$204,0)+4,"")-4))</f>
        <v/>
      </c>
      <c r="D42" s="53">
        <f>IF(IFERROR(MATCH(38,'List A'!$R$5:$R$204,0)+4,"")="","",INDEX('List A'!$D$5:$D$204,IFERROR(MATCH(38,'List A'!$R$5:$R$204,0)+4,"")-4))</f>
        <v/>
      </c>
      <c r="E42" s="53">
        <f>IF(IFERROR(MATCH(38,'List A'!$R$5:$R$204,0)+4,"")="","",INDEX('List A'!$E$5:$E$204,IFERROR(MATCH(38,'List A'!$R$5:$R$204,0)+4,"")-4))</f>
        <v/>
      </c>
      <c r="F42" s="53">
        <f>IF(IFERROR(MATCH(38,'List A'!$R$5:$R$204,0)+4,"")="","",INDEX('List A'!$F$5:$F$204,IFERROR(MATCH(38,'List A'!$R$5:$R$204,0)+4,"")-4))</f>
        <v/>
      </c>
      <c r="G42" s="50">
        <f>IF(IFERROR(MATCH(38,'List A'!$R$5:$R$204,0)+4,"")="","",INDEX('List A'!$G$5:$G$204,IFERROR(MATCH(38,'List A'!$R$5:$R$204,0)+4,"")-4))</f>
        <v/>
      </c>
      <c r="H42" s="53">
        <f>IF(IFERROR(MATCH(38,'List A'!$R$5:$R$204,0)+4,"")="","",INDEX('List A'!$H$5:$H$204,IFERROR(MATCH(38,'List A'!$R$5:$R$204,0)+4,"")-4))</f>
        <v/>
      </c>
      <c r="I42" s="61" t="n"/>
      <c r="J42" s="61" t="n"/>
    </row>
    <row r="43" ht="17" customHeight="1">
      <c r="A43" s="87">
        <f>IF(IFERROR(MATCH(39,'List A'!$R$5:$R$204,0)+4,"")="","",INDEX('List A'!$A$5:$A$204,IFERROR(MATCH(39,'List A'!$R$5:$R$204,0)+4,"")-4))</f>
        <v/>
      </c>
      <c r="B43" s="53">
        <f>IF(IFERROR(MATCH(39,'List A'!$R$5:$R$204,0)+4,"")="","",INDEX('List A'!$B$5:$B$204,IFERROR(MATCH(39,'List A'!$R$5:$R$204,0)+4,"")-4))</f>
        <v/>
      </c>
      <c r="C43" s="52">
        <f>IF(IFERROR(MATCH(39,'List A'!$R$5:$R$204,0)+4,"")="","",INDEX('List A'!$C$5:$C$204,IFERROR(MATCH(39,'List A'!$R$5:$R$204,0)+4,"")-4))</f>
        <v/>
      </c>
      <c r="D43" s="53">
        <f>IF(IFERROR(MATCH(39,'List A'!$R$5:$R$204,0)+4,"")="","",INDEX('List A'!$D$5:$D$204,IFERROR(MATCH(39,'List A'!$R$5:$R$204,0)+4,"")-4))</f>
        <v/>
      </c>
      <c r="E43" s="53">
        <f>IF(IFERROR(MATCH(39,'List A'!$R$5:$R$204,0)+4,"")="","",INDEX('List A'!$E$5:$E$204,IFERROR(MATCH(39,'List A'!$R$5:$R$204,0)+4,"")-4))</f>
        <v/>
      </c>
      <c r="F43" s="53">
        <f>IF(IFERROR(MATCH(39,'List A'!$R$5:$R$204,0)+4,"")="","",INDEX('List A'!$F$5:$F$204,IFERROR(MATCH(39,'List A'!$R$5:$R$204,0)+4,"")-4))</f>
        <v/>
      </c>
      <c r="G43" s="50">
        <f>IF(IFERROR(MATCH(39,'List A'!$R$5:$R$204,0)+4,"")="","",INDEX('List A'!$G$5:$G$204,IFERROR(MATCH(39,'List A'!$R$5:$R$204,0)+4,"")-4))</f>
        <v/>
      </c>
      <c r="H43" s="53">
        <f>IF(IFERROR(MATCH(39,'List A'!$R$5:$R$204,0)+4,"")="","",INDEX('List A'!$H$5:$H$204,IFERROR(MATCH(39,'List A'!$R$5:$R$204,0)+4,"")-4))</f>
        <v/>
      </c>
      <c r="I43" s="61" t="n"/>
      <c r="J43" s="61" t="n"/>
    </row>
    <row r="44" ht="17" customHeight="1">
      <c r="A44" s="87">
        <f>IF(IFERROR(MATCH(40,'List A'!$R$5:$R$204,0)+4,"")="","",INDEX('List A'!$A$5:$A$204,IFERROR(MATCH(40,'List A'!$R$5:$R$204,0)+4,"")-4))</f>
        <v/>
      </c>
      <c r="B44" s="53">
        <f>IF(IFERROR(MATCH(40,'List A'!$R$5:$R$204,0)+4,"")="","",INDEX('List A'!$B$5:$B$204,IFERROR(MATCH(40,'List A'!$R$5:$R$204,0)+4,"")-4))</f>
        <v/>
      </c>
      <c r="C44" s="52">
        <f>IF(IFERROR(MATCH(40,'List A'!$R$5:$R$204,0)+4,"")="","",INDEX('List A'!$C$5:$C$204,IFERROR(MATCH(40,'List A'!$R$5:$R$204,0)+4,"")-4))</f>
        <v/>
      </c>
      <c r="D44" s="53">
        <f>IF(IFERROR(MATCH(40,'List A'!$R$5:$R$204,0)+4,"")="","",INDEX('List A'!$D$5:$D$204,IFERROR(MATCH(40,'List A'!$R$5:$R$204,0)+4,"")-4))</f>
        <v/>
      </c>
      <c r="E44" s="53">
        <f>IF(IFERROR(MATCH(40,'List A'!$R$5:$R$204,0)+4,"")="","",INDEX('List A'!$E$5:$E$204,IFERROR(MATCH(40,'List A'!$R$5:$R$204,0)+4,"")-4))</f>
        <v/>
      </c>
      <c r="F44" s="53">
        <f>IF(IFERROR(MATCH(40,'List A'!$R$5:$R$204,0)+4,"")="","",INDEX('List A'!$F$5:$F$204,IFERROR(MATCH(40,'List A'!$R$5:$R$204,0)+4,"")-4))</f>
        <v/>
      </c>
      <c r="G44" s="50">
        <f>IF(IFERROR(MATCH(40,'List A'!$R$5:$R$204,0)+4,"")="","",INDEX('List A'!$G$5:$G$204,IFERROR(MATCH(40,'List A'!$R$5:$R$204,0)+4,"")-4))</f>
        <v/>
      </c>
      <c r="H44" s="53">
        <f>IF(IFERROR(MATCH(40,'List A'!$R$5:$R$204,0)+4,"")="","",INDEX('List A'!$H$5:$H$204,IFERROR(MATCH(40,'List A'!$R$5:$R$204,0)+4,"")-4))</f>
        <v/>
      </c>
      <c r="I44" s="61" t="n"/>
      <c r="J44" s="61" t="n"/>
    </row>
    <row r="45" ht="17" customHeight="1">
      <c r="A45" s="87">
        <f>IF(IFERROR(MATCH(41,'List A'!$R$5:$R$204,0)+4,"")="","",INDEX('List A'!$A$5:$A$204,IFERROR(MATCH(41,'List A'!$R$5:$R$204,0)+4,"")-4))</f>
        <v/>
      </c>
      <c r="B45" s="53">
        <f>IF(IFERROR(MATCH(41,'List A'!$R$5:$R$204,0)+4,"")="","",INDEX('List A'!$B$5:$B$204,IFERROR(MATCH(41,'List A'!$R$5:$R$204,0)+4,"")-4))</f>
        <v/>
      </c>
      <c r="C45" s="52">
        <f>IF(IFERROR(MATCH(41,'List A'!$R$5:$R$204,0)+4,"")="","",INDEX('List A'!$C$5:$C$204,IFERROR(MATCH(41,'List A'!$R$5:$R$204,0)+4,"")-4))</f>
        <v/>
      </c>
      <c r="D45" s="53">
        <f>IF(IFERROR(MATCH(41,'List A'!$R$5:$R$204,0)+4,"")="","",INDEX('List A'!$D$5:$D$204,IFERROR(MATCH(41,'List A'!$R$5:$R$204,0)+4,"")-4))</f>
        <v/>
      </c>
      <c r="E45" s="53">
        <f>IF(IFERROR(MATCH(41,'List A'!$R$5:$R$204,0)+4,"")="","",INDEX('List A'!$E$5:$E$204,IFERROR(MATCH(41,'List A'!$R$5:$R$204,0)+4,"")-4))</f>
        <v/>
      </c>
      <c r="F45" s="53">
        <f>IF(IFERROR(MATCH(41,'List A'!$R$5:$R$204,0)+4,"")="","",INDEX('List A'!$F$5:$F$204,IFERROR(MATCH(41,'List A'!$R$5:$R$204,0)+4,"")-4))</f>
        <v/>
      </c>
      <c r="G45" s="50">
        <f>IF(IFERROR(MATCH(41,'List A'!$R$5:$R$204,0)+4,"")="","",INDEX('List A'!$G$5:$G$204,IFERROR(MATCH(41,'List A'!$R$5:$R$204,0)+4,"")-4))</f>
        <v/>
      </c>
      <c r="H45" s="53">
        <f>IF(IFERROR(MATCH(41,'List A'!$R$5:$R$204,0)+4,"")="","",INDEX('List A'!$H$5:$H$204,IFERROR(MATCH(41,'List A'!$R$5:$R$204,0)+4,"")-4))</f>
        <v/>
      </c>
      <c r="I45" s="61" t="n"/>
      <c r="J45" s="61" t="n"/>
    </row>
    <row r="46" ht="17" customHeight="1">
      <c r="A46" s="87">
        <f>IF(IFERROR(MATCH(42,'List A'!$R$5:$R$204,0)+4,"")="","",INDEX('List A'!$A$5:$A$204,IFERROR(MATCH(42,'List A'!$R$5:$R$204,0)+4,"")-4))</f>
        <v/>
      </c>
      <c r="B46" s="53">
        <f>IF(IFERROR(MATCH(42,'List A'!$R$5:$R$204,0)+4,"")="","",INDEX('List A'!$B$5:$B$204,IFERROR(MATCH(42,'List A'!$R$5:$R$204,0)+4,"")-4))</f>
        <v/>
      </c>
      <c r="C46" s="52">
        <f>IF(IFERROR(MATCH(42,'List A'!$R$5:$R$204,0)+4,"")="","",INDEX('List A'!$C$5:$C$204,IFERROR(MATCH(42,'List A'!$R$5:$R$204,0)+4,"")-4))</f>
        <v/>
      </c>
      <c r="D46" s="53">
        <f>IF(IFERROR(MATCH(42,'List A'!$R$5:$R$204,0)+4,"")="","",INDEX('List A'!$D$5:$D$204,IFERROR(MATCH(42,'List A'!$R$5:$R$204,0)+4,"")-4))</f>
        <v/>
      </c>
      <c r="E46" s="53">
        <f>IF(IFERROR(MATCH(42,'List A'!$R$5:$R$204,0)+4,"")="","",INDEX('List A'!$E$5:$E$204,IFERROR(MATCH(42,'List A'!$R$5:$R$204,0)+4,"")-4))</f>
        <v/>
      </c>
      <c r="F46" s="53">
        <f>IF(IFERROR(MATCH(42,'List A'!$R$5:$R$204,0)+4,"")="","",INDEX('List A'!$F$5:$F$204,IFERROR(MATCH(42,'List A'!$R$5:$R$204,0)+4,"")-4))</f>
        <v/>
      </c>
      <c r="G46" s="50">
        <f>IF(IFERROR(MATCH(42,'List A'!$R$5:$R$204,0)+4,"")="","",INDEX('List A'!$G$5:$G$204,IFERROR(MATCH(42,'List A'!$R$5:$R$204,0)+4,"")-4))</f>
        <v/>
      </c>
      <c r="H46" s="53">
        <f>IF(IFERROR(MATCH(42,'List A'!$R$5:$R$204,0)+4,"")="","",INDEX('List A'!$H$5:$H$204,IFERROR(MATCH(42,'List A'!$R$5:$R$204,0)+4,"")-4))</f>
        <v/>
      </c>
      <c r="I46" s="61" t="n"/>
      <c r="J46" s="61" t="n"/>
    </row>
    <row r="47" ht="17" customHeight="1">
      <c r="A47" s="87">
        <f>IF(IFERROR(MATCH(43,'List A'!$R$5:$R$204,0)+4,"")="","",INDEX('List A'!$A$5:$A$204,IFERROR(MATCH(43,'List A'!$R$5:$R$204,0)+4,"")-4))</f>
        <v/>
      </c>
      <c r="B47" s="53">
        <f>IF(IFERROR(MATCH(43,'List A'!$R$5:$R$204,0)+4,"")="","",INDEX('List A'!$B$5:$B$204,IFERROR(MATCH(43,'List A'!$R$5:$R$204,0)+4,"")-4))</f>
        <v/>
      </c>
      <c r="C47" s="52">
        <f>IF(IFERROR(MATCH(43,'List A'!$R$5:$R$204,0)+4,"")="","",INDEX('List A'!$C$5:$C$204,IFERROR(MATCH(43,'List A'!$R$5:$R$204,0)+4,"")-4))</f>
        <v/>
      </c>
      <c r="D47" s="53">
        <f>IF(IFERROR(MATCH(43,'List A'!$R$5:$R$204,0)+4,"")="","",INDEX('List A'!$D$5:$D$204,IFERROR(MATCH(43,'List A'!$R$5:$R$204,0)+4,"")-4))</f>
        <v/>
      </c>
      <c r="E47" s="53">
        <f>IF(IFERROR(MATCH(43,'List A'!$R$5:$R$204,0)+4,"")="","",INDEX('List A'!$E$5:$E$204,IFERROR(MATCH(43,'List A'!$R$5:$R$204,0)+4,"")-4))</f>
        <v/>
      </c>
      <c r="F47" s="53">
        <f>IF(IFERROR(MATCH(43,'List A'!$R$5:$R$204,0)+4,"")="","",INDEX('List A'!$F$5:$F$204,IFERROR(MATCH(43,'List A'!$R$5:$R$204,0)+4,"")-4))</f>
        <v/>
      </c>
      <c r="G47" s="50">
        <f>IF(IFERROR(MATCH(43,'List A'!$R$5:$R$204,0)+4,"")="","",INDEX('List A'!$G$5:$G$204,IFERROR(MATCH(43,'List A'!$R$5:$R$204,0)+4,"")-4))</f>
        <v/>
      </c>
      <c r="H47" s="53">
        <f>IF(IFERROR(MATCH(43,'List A'!$R$5:$R$204,0)+4,"")="","",INDEX('List A'!$H$5:$H$204,IFERROR(MATCH(43,'List A'!$R$5:$R$204,0)+4,"")-4))</f>
        <v/>
      </c>
      <c r="I47" s="61" t="n"/>
      <c r="J47" s="61" t="n"/>
    </row>
    <row r="48" ht="17" customHeight="1">
      <c r="A48" s="87">
        <f>IF(IFERROR(MATCH(44,'List A'!$R$5:$R$204,0)+4,"")="","",INDEX('List A'!$A$5:$A$204,IFERROR(MATCH(44,'List A'!$R$5:$R$204,0)+4,"")-4))</f>
        <v/>
      </c>
      <c r="B48" s="53">
        <f>IF(IFERROR(MATCH(44,'List A'!$R$5:$R$204,0)+4,"")="","",INDEX('List A'!$B$5:$B$204,IFERROR(MATCH(44,'List A'!$R$5:$R$204,0)+4,"")-4))</f>
        <v/>
      </c>
      <c r="C48" s="52">
        <f>IF(IFERROR(MATCH(44,'List A'!$R$5:$R$204,0)+4,"")="","",INDEX('List A'!$C$5:$C$204,IFERROR(MATCH(44,'List A'!$R$5:$R$204,0)+4,"")-4))</f>
        <v/>
      </c>
      <c r="D48" s="53">
        <f>IF(IFERROR(MATCH(44,'List A'!$R$5:$R$204,0)+4,"")="","",INDEX('List A'!$D$5:$D$204,IFERROR(MATCH(44,'List A'!$R$5:$R$204,0)+4,"")-4))</f>
        <v/>
      </c>
      <c r="E48" s="53">
        <f>IF(IFERROR(MATCH(44,'List A'!$R$5:$R$204,0)+4,"")="","",INDEX('List A'!$E$5:$E$204,IFERROR(MATCH(44,'List A'!$R$5:$R$204,0)+4,"")-4))</f>
        <v/>
      </c>
      <c r="F48" s="53">
        <f>IF(IFERROR(MATCH(44,'List A'!$R$5:$R$204,0)+4,"")="","",INDEX('List A'!$F$5:$F$204,IFERROR(MATCH(44,'List A'!$R$5:$R$204,0)+4,"")-4))</f>
        <v/>
      </c>
      <c r="G48" s="50">
        <f>IF(IFERROR(MATCH(44,'List A'!$R$5:$R$204,0)+4,"")="","",INDEX('List A'!$G$5:$G$204,IFERROR(MATCH(44,'List A'!$R$5:$R$204,0)+4,"")-4))</f>
        <v/>
      </c>
      <c r="H48" s="53">
        <f>IF(IFERROR(MATCH(44,'List A'!$R$5:$R$204,0)+4,"")="","",INDEX('List A'!$H$5:$H$204,IFERROR(MATCH(44,'List A'!$R$5:$R$204,0)+4,"")-4))</f>
        <v/>
      </c>
      <c r="I48" s="61" t="n"/>
      <c r="J48" s="61" t="n"/>
    </row>
    <row r="49" ht="17" customHeight="1">
      <c r="A49" s="87">
        <f>IF(IFERROR(MATCH(45,'List A'!$R$5:$R$204,0)+4,"")="","",INDEX('List A'!$A$5:$A$204,IFERROR(MATCH(45,'List A'!$R$5:$R$204,0)+4,"")-4))</f>
        <v/>
      </c>
      <c r="B49" s="53">
        <f>IF(IFERROR(MATCH(45,'List A'!$R$5:$R$204,0)+4,"")="","",INDEX('List A'!$B$5:$B$204,IFERROR(MATCH(45,'List A'!$R$5:$R$204,0)+4,"")-4))</f>
        <v/>
      </c>
      <c r="C49" s="52">
        <f>IF(IFERROR(MATCH(45,'List A'!$R$5:$R$204,0)+4,"")="","",INDEX('List A'!$C$5:$C$204,IFERROR(MATCH(45,'List A'!$R$5:$R$204,0)+4,"")-4))</f>
        <v/>
      </c>
      <c r="D49" s="53">
        <f>IF(IFERROR(MATCH(45,'List A'!$R$5:$R$204,0)+4,"")="","",INDEX('List A'!$D$5:$D$204,IFERROR(MATCH(45,'List A'!$R$5:$R$204,0)+4,"")-4))</f>
        <v/>
      </c>
      <c r="E49" s="53">
        <f>IF(IFERROR(MATCH(45,'List A'!$R$5:$R$204,0)+4,"")="","",INDEX('List A'!$E$5:$E$204,IFERROR(MATCH(45,'List A'!$R$5:$R$204,0)+4,"")-4))</f>
        <v/>
      </c>
      <c r="F49" s="53">
        <f>IF(IFERROR(MATCH(45,'List A'!$R$5:$R$204,0)+4,"")="","",INDEX('List A'!$F$5:$F$204,IFERROR(MATCH(45,'List A'!$R$5:$R$204,0)+4,"")-4))</f>
        <v/>
      </c>
      <c r="G49" s="50">
        <f>IF(IFERROR(MATCH(45,'List A'!$R$5:$R$204,0)+4,"")="","",INDEX('List A'!$G$5:$G$204,IFERROR(MATCH(45,'List A'!$R$5:$R$204,0)+4,"")-4))</f>
        <v/>
      </c>
      <c r="H49" s="53">
        <f>IF(IFERROR(MATCH(45,'List A'!$R$5:$R$204,0)+4,"")="","",INDEX('List A'!$H$5:$H$204,IFERROR(MATCH(45,'List A'!$R$5:$R$204,0)+4,"")-4))</f>
        <v/>
      </c>
      <c r="I49" s="61" t="n"/>
      <c r="J49" s="61" t="n"/>
    </row>
    <row r="50" ht="17" customHeight="1">
      <c r="A50" s="87">
        <f>IF(IFERROR(MATCH(46,'List A'!$R$5:$R$204,0)+4,"")="","",INDEX('List A'!$A$5:$A$204,IFERROR(MATCH(46,'List A'!$R$5:$R$204,0)+4,"")-4))</f>
        <v/>
      </c>
      <c r="B50" s="53">
        <f>IF(IFERROR(MATCH(46,'List A'!$R$5:$R$204,0)+4,"")="","",INDEX('List A'!$B$5:$B$204,IFERROR(MATCH(46,'List A'!$R$5:$R$204,0)+4,"")-4))</f>
        <v/>
      </c>
      <c r="C50" s="52">
        <f>IF(IFERROR(MATCH(46,'List A'!$R$5:$R$204,0)+4,"")="","",INDEX('List A'!$C$5:$C$204,IFERROR(MATCH(46,'List A'!$R$5:$R$204,0)+4,"")-4))</f>
        <v/>
      </c>
      <c r="D50" s="53">
        <f>IF(IFERROR(MATCH(46,'List A'!$R$5:$R$204,0)+4,"")="","",INDEX('List A'!$D$5:$D$204,IFERROR(MATCH(46,'List A'!$R$5:$R$204,0)+4,"")-4))</f>
        <v/>
      </c>
      <c r="E50" s="53">
        <f>IF(IFERROR(MATCH(46,'List A'!$R$5:$R$204,0)+4,"")="","",INDEX('List A'!$E$5:$E$204,IFERROR(MATCH(46,'List A'!$R$5:$R$204,0)+4,"")-4))</f>
        <v/>
      </c>
      <c r="F50" s="53">
        <f>IF(IFERROR(MATCH(46,'List A'!$R$5:$R$204,0)+4,"")="","",INDEX('List A'!$F$5:$F$204,IFERROR(MATCH(46,'List A'!$R$5:$R$204,0)+4,"")-4))</f>
        <v/>
      </c>
      <c r="G50" s="50">
        <f>IF(IFERROR(MATCH(46,'List A'!$R$5:$R$204,0)+4,"")="","",INDEX('List A'!$G$5:$G$204,IFERROR(MATCH(46,'List A'!$R$5:$R$204,0)+4,"")-4))</f>
        <v/>
      </c>
      <c r="H50" s="53">
        <f>IF(IFERROR(MATCH(46,'List A'!$R$5:$R$204,0)+4,"")="","",INDEX('List A'!$H$5:$H$204,IFERROR(MATCH(46,'List A'!$R$5:$R$204,0)+4,"")-4))</f>
        <v/>
      </c>
      <c r="I50" s="61" t="n"/>
      <c r="J50" s="61" t="n"/>
    </row>
    <row r="51" ht="17" customHeight="1">
      <c r="A51" s="87">
        <f>IF(IFERROR(MATCH(47,'List A'!$R$5:$R$204,0)+4,"")="","",INDEX('List A'!$A$5:$A$204,IFERROR(MATCH(47,'List A'!$R$5:$R$204,0)+4,"")-4))</f>
        <v/>
      </c>
      <c r="B51" s="53">
        <f>IF(IFERROR(MATCH(47,'List A'!$R$5:$R$204,0)+4,"")="","",INDEX('List A'!$B$5:$B$204,IFERROR(MATCH(47,'List A'!$R$5:$R$204,0)+4,"")-4))</f>
        <v/>
      </c>
      <c r="C51" s="52">
        <f>IF(IFERROR(MATCH(47,'List A'!$R$5:$R$204,0)+4,"")="","",INDEX('List A'!$C$5:$C$204,IFERROR(MATCH(47,'List A'!$R$5:$R$204,0)+4,"")-4))</f>
        <v/>
      </c>
      <c r="D51" s="53">
        <f>IF(IFERROR(MATCH(47,'List A'!$R$5:$R$204,0)+4,"")="","",INDEX('List A'!$D$5:$D$204,IFERROR(MATCH(47,'List A'!$R$5:$R$204,0)+4,"")-4))</f>
        <v/>
      </c>
      <c r="E51" s="53">
        <f>IF(IFERROR(MATCH(47,'List A'!$R$5:$R$204,0)+4,"")="","",INDEX('List A'!$E$5:$E$204,IFERROR(MATCH(47,'List A'!$R$5:$R$204,0)+4,"")-4))</f>
        <v/>
      </c>
      <c r="F51" s="53">
        <f>IF(IFERROR(MATCH(47,'List A'!$R$5:$R$204,0)+4,"")="","",INDEX('List A'!$F$5:$F$204,IFERROR(MATCH(47,'List A'!$R$5:$R$204,0)+4,"")-4))</f>
        <v/>
      </c>
      <c r="G51" s="50">
        <f>IF(IFERROR(MATCH(47,'List A'!$R$5:$R$204,0)+4,"")="","",INDEX('List A'!$G$5:$G$204,IFERROR(MATCH(47,'List A'!$R$5:$R$204,0)+4,"")-4))</f>
        <v/>
      </c>
      <c r="H51" s="53">
        <f>IF(IFERROR(MATCH(47,'List A'!$R$5:$R$204,0)+4,"")="","",INDEX('List A'!$H$5:$H$204,IFERROR(MATCH(47,'List A'!$R$5:$R$204,0)+4,"")-4))</f>
        <v/>
      </c>
      <c r="I51" s="61" t="n"/>
      <c r="J51" s="61" t="n"/>
    </row>
    <row r="52" ht="17" customHeight="1">
      <c r="A52" s="87">
        <f>IF(IFERROR(MATCH(48,'List A'!$R$5:$R$204,0)+4,"")="","",INDEX('List A'!$A$5:$A$204,IFERROR(MATCH(48,'List A'!$R$5:$R$204,0)+4,"")-4))</f>
        <v/>
      </c>
      <c r="B52" s="53">
        <f>IF(IFERROR(MATCH(48,'List A'!$R$5:$R$204,0)+4,"")="","",INDEX('List A'!$B$5:$B$204,IFERROR(MATCH(48,'List A'!$R$5:$R$204,0)+4,"")-4))</f>
        <v/>
      </c>
      <c r="C52" s="52">
        <f>IF(IFERROR(MATCH(48,'List A'!$R$5:$R$204,0)+4,"")="","",INDEX('List A'!$C$5:$C$204,IFERROR(MATCH(48,'List A'!$R$5:$R$204,0)+4,"")-4))</f>
        <v/>
      </c>
      <c r="D52" s="53">
        <f>IF(IFERROR(MATCH(48,'List A'!$R$5:$R$204,0)+4,"")="","",INDEX('List A'!$D$5:$D$204,IFERROR(MATCH(48,'List A'!$R$5:$R$204,0)+4,"")-4))</f>
        <v/>
      </c>
      <c r="E52" s="53">
        <f>IF(IFERROR(MATCH(48,'List A'!$R$5:$R$204,0)+4,"")="","",INDEX('List A'!$E$5:$E$204,IFERROR(MATCH(48,'List A'!$R$5:$R$204,0)+4,"")-4))</f>
        <v/>
      </c>
      <c r="F52" s="53">
        <f>IF(IFERROR(MATCH(48,'List A'!$R$5:$R$204,0)+4,"")="","",INDEX('List A'!$F$5:$F$204,IFERROR(MATCH(48,'List A'!$R$5:$R$204,0)+4,"")-4))</f>
        <v/>
      </c>
      <c r="G52" s="50">
        <f>IF(IFERROR(MATCH(48,'List A'!$R$5:$R$204,0)+4,"")="","",INDEX('List A'!$G$5:$G$204,IFERROR(MATCH(48,'List A'!$R$5:$R$204,0)+4,"")-4))</f>
        <v/>
      </c>
      <c r="H52" s="53">
        <f>IF(IFERROR(MATCH(48,'List A'!$R$5:$R$204,0)+4,"")="","",INDEX('List A'!$H$5:$H$204,IFERROR(MATCH(48,'List A'!$R$5:$R$204,0)+4,"")-4))</f>
        <v/>
      </c>
      <c r="I52" s="61" t="n"/>
      <c r="J52" s="61" t="n"/>
    </row>
    <row r="53" ht="17" customHeight="1">
      <c r="A53" s="87">
        <f>IF(IFERROR(MATCH(49,'List A'!$R$5:$R$204,0)+4,"")="","",INDEX('List A'!$A$5:$A$204,IFERROR(MATCH(49,'List A'!$R$5:$R$204,0)+4,"")-4))</f>
        <v/>
      </c>
      <c r="B53" s="53">
        <f>IF(IFERROR(MATCH(49,'List A'!$R$5:$R$204,0)+4,"")="","",INDEX('List A'!$B$5:$B$204,IFERROR(MATCH(49,'List A'!$R$5:$R$204,0)+4,"")-4))</f>
        <v/>
      </c>
      <c r="C53" s="52">
        <f>IF(IFERROR(MATCH(49,'List A'!$R$5:$R$204,0)+4,"")="","",INDEX('List A'!$C$5:$C$204,IFERROR(MATCH(49,'List A'!$R$5:$R$204,0)+4,"")-4))</f>
        <v/>
      </c>
      <c r="D53" s="53">
        <f>IF(IFERROR(MATCH(49,'List A'!$R$5:$R$204,0)+4,"")="","",INDEX('List A'!$D$5:$D$204,IFERROR(MATCH(49,'List A'!$R$5:$R$204,0)+4,"")-4))</f>
        <v/>
      </c>
      <c r="E53" s="53">
        <f>IF(IFERROR(MATCH(49,'List A'!$R$5:$R$204,0)+4,"")="","",INDEX('List A'!$E$5:$E$204,IFERROR(MATCH(49,'List A'!$R$5:$R$204,0)+4,"")-4))</f>
        <v/>
      </c>
      <c r="F53" s="53">
        <f>IF(IFERROR(MATCH(49,'List A'!$R$5:$R$204,0)+4,"")="","",INDEX('List A'!$F$5:$F$204,IFERROR(MATCH(49,'List A'!$R$5:$R$204,0)+4,"")-4))</f>
        <v/>
      </c>
      <c r="G53" s="50">
        <f>IF(IFERROR(MATCH(49,'List A'!$R$5:$R$204,0)+4,"")="","",INDEX('List A'!$G$5:$G$204,IFERROR(MATCH(49,'List A'!$R$5:$R$204,0)+4,"")-4))</f>
        <v/>
      </c>
      <c r="H53" s="53">
        <f>IF(IFERROR(MATCH(49,'List A'!$R$5:$R$204,0)+4,"")="","",INDEX('List A'!$H$5:$H$204,IFERROR(MATCH(49,'List A'!$R$5:$R$204,0)+4,"")-4))</f>
        <v/>
      </c>
      <c r="I53" s="61" t="n"/>
      <c r="J53" s="61" t="n"/>
    </row>
    <row r="54" ht="17" customHeight="1">
      <c r="A54" s="87">
        <f>IF(IFERROR(MATCH(50,'List A'!$R$5:$R$204,0)+4,"")="","",INDEX('List A'!$A$5:$A$204,IFERROR(MATCH(50,'List A'!$R$5:$R$204,0)+4,"")-4))</f>
        <v/>
      </c>
      <c r="B54" s="53">
        <f>IF(IFERROR(MATCH(50,'List A'!$R$5:$R$204,0)+4,"")="","",INDEX('List A'!$B$5:$B$204,IFERROR(MATCH(50,'List A'!$R$5:$R$204,0)+4,"")-4))</f>
        <v/>
      </c>
      <c r="C54" s="52">
        <f>IF(IFERROR(MATCH(50,'List A'!$R$5:$R$204,0)+4,"")="","",INDEX('List A'!$C$5:$C$204,IFERROR(MATCH(50,'List A'!$R$5:$R$204,0)+4,"")-4))</f>
        <v/>
      </c>
      <c r="D54" s="53">
        <f>IF(IFERROR(MATCH(50,'List A'!$R$5:$R$204,0)+4,"")="","",INDEX('List A'!$D$5:$D$204,IFERROR(MATCH(50,'List A'!$R$5:$R$204,0)+4,"")-4))</f>
        <v/>
      </c>
      <c r="E54" s="53">
        <f>IF(IFERROR(MATCH(50,'List A'!$R$5:$R$204,0)+4,"")="","",INDEX('List A'!$E$5:$E$204,IFERROR(MATCH(50,'List A'!$R$5:$R$204,0)+4,"")-4))</f>
        <v/>
      </c>
      <c r="F54" s="53">
        <f>IF(IFERROR(MATCH(50,'List A'!$R$5:$R$204,0)+4,"")="","",INDEX('List A'!$F$5:$F$204,IFERROR(MATCH(50,'List A'!$R$5:$R$204,0)+4,"")-4))</f>
        <v/>
      </c>
      <c r="G54" s="50">
        <f>IF(IFERROR(MATCH(50,'List A'!$R$5:$R$204,0)+4,"")="","",INDEX('List A'!$G$5:$G$204,IFERROR(MATCH(50,'List A'!$R$5:$R$204,0)+4,"")-4))</f>
        <v/>
      </c>
      <c r="H54" s="53">
        <f>IF(IFERROR(MATCH(50,'List A'!$R$5:$R$204,0)+4,"")="","",INDEX('List A'!$H$5:$H$204,IFERROR(MATCH(50,'List A'!$R$5:$R$204,0)+4,"")-4))</f>
        <v/>
      </c>
      <c r="I54" s="61" t="n"/>
      <c r="J54" s="61" t="n"/>
    </row>
    <row r="55" ht="17" customHeight="1">
      <c r="A55" s="87">
        <f>IF(IFERROR(MATCH(51,'List A'!$R$5:$R$204,0)+4,"")="","",INDEX('List A'!$A$5:$A$204,IFERROR(MATCH(51,'List A'!$R$5:$R$204,0)+4,"")-4))</f>
        <v/>
      </c>
      <c r="B55" s="53">
        <f>IF(IFERROR(MATCH(51,'List A'!$R$5:$R$204,0)+4,"")="","",INDEX('List A'!$B$5:$B$204,IFERROR(MATCH(51,'List A'!$R$5:$R$204,0)+4,"")-4))</f>
        <v/>
      </c>
      <c r="C55" s="52">
        <f>IF(IFERROR(MATCH(51,'List A'!$R$5:$R$204,0)+4,"")="","",INDEX('List A'!$C$5:$C$204,IFERROR(MATCH(51,'List A'!$R$5:$R$204,0)+4,"")-4))</f>
        <v/>
      </c>
      <c r="D55" s="53">
        <f>IF(IFERROR(MATCH(51,'List A'!$R$5:$R$204,0)+4,"")="","",INDEX('List A'!$D$5:$D$204,IFERROR(MATCH(51,'List A'!$R$5:$R$204,0)+4,"")-4))</f>
        <v/>
      </c>
      <c r="E55" s="53">
        <f>IF(IFERROR(MATCH(51,'List A'!$R$5:$R$204,0)+4,"")="","",INDEX('List A'!$E$5:$E$204,IFERROR(MATCH(51,'List A'!$R$5:$R$204,0)+4,"")-4))</f>
        <v/>
      </c>
      <c r="F55" s="53">
        <f>IF(IFERROR(MATCH(51,'List A'!$R$5:$R$204,0)+4,"")="","",INDEX('List A'!$F$5:$F$204,IFERROR(MATCH(51,'List A'!$R$5:$R$204,0)+4,"")-4))</f>
        <v/>
      </c>
      <c r="G55" s="50">
        <f>IF(IFERROR(MATCH(51,'List A'!$R$5:$R$204,0)+4,"")="","",INDEX('List A'!$G$5:$G$204,IFERROR(MATCH(51,'List A'!$R$5:$R$204,0)+4,"")-4))</f>
        <v/>
      </c>
      <c r="H55" s="53">
        <f>IF(IFERROR(MATCH(51,'List A'!$R$5:$R$204,0)+4,"")="","",INDEX('List A'!$H$5:$H$204,IFERROR(MATCH(51,'List A'!$R$5:$R$204,0)+4,"")-4))</f>
        <v/>
      </c>
      <c r="I55" s="61" t="n"/>
      <c r="J55" s="61" t="n"/>
    </row>
    <row r="56" ht="17" customHeight="1">
      <c r="A56" s="87">
        <f>IF(IFERROR(MATCH(52,'List A'!$R$5:$R$204,0)+4,"")="","",INDEX('List A'!$A$5:$A$204,IFERROR(MATCH(52,'List A'!$R$5:$R$204,0)+4,"")-4))</f>
        <v/>
      </c>
      <c r="B56" s="53">
        <f>IF(IFERROR(MATCH(52,'List A'!$R$5:$R$204,0)+4,"")="","",INDEX('List A'!$B$5:$B$204,IFERROR(MATCH(52,'List A'!$R$5:$R$204,0)+4,"")-4))</f>
        <v/>
      </c>
      <c r="C56" s="52">
        <f>IF(IFERROR(MATCH(52,'List A'!$R$5:$R$204,0)+4,"")="","",INDEX('List A'!$C$5:$C$204,IFERROR(MATCH(52,'List A'!$R$5:$R$204,0)+4,"")-4))</f>
        <v/>
      </c>
      <c r="D56" s="53">
        <f>IF(IFERROR(MATCH(52,'List A'!$R$5:$R$204,0)+4,"")="","",INDEX('List A'!$D$5:$D$204,IFERROR(MATCH(52,'List A'!$R$5:$R$204,0)+4,"")-4))</f>
        <v/>
      </c>
      <c r="E56" s="53">
        <f>IF(IFERROR(MATCH(52,'List A'!$R$5:$R$204,0)+4,"")="","",INDEX('List A'!$E$5:$E$204,IFERROR(MATCH(52,'List A'!$R$5:$R$204,0)+4,"")-4))</f>
        <v/>
      </c>
      <c r="F56" s="53">
        <f>IF(IFERROR(MATCH(52,'List A'!$R$5:$R$204,0)+4,"")="","",INDEX('List A'!$F$5:$F$204,IFERROR(MATCH(52,'List A'!$R$5:$R$204,0)+4,"")-4))</f>
        <v/>
      </c>
      <c r="G56" s="50">
        <f>IF(IFERROR(MATCH(52,'List A'!$R$5:$R$204,0)+4,"")="","",INDEX('List A'!$G$5:$G$204,IFERROR(MATCH(52,'List A'!$R$5:$R$204,0)+4,"")-4))</f>
        <v/>
      </c>
      <c r="H56" s="53">
        <f>IF(IFERROR(MATCH(52,'List A'!$R$5:$R$204,0)+4,"")="","",INDEX('List A'!$H$5:$H$204,IFERROR(MATCH(52,'List A'!$R$5:$R$204,0)+4,"")-4))</f>
        <v/>
      </c>
      <c r="I56" s="61" t="n"/>
      <c r="J56" s="61" t="n"/>
    </row>
    <row r="57" ht="17" customHeight="1">
      <c r="A57" s="87">
        <f>IF(IFERROR(MATCH(53,'List A'!$R$5:$R$204,0)+4,"")="","",INDEX('List A'!$A$5:$A$204,IFERROR(MATCH(53,'List A'!$R$5:$R$204,0)+4,"")-4))</f>
        <v/>
      </c>
      <c r="B57" s="53">
        <f>IF(IFERROR(MATCH(53,'List A'!$R$5:$R$204,0)+4,"")="","",INDEX('List A'!$B$5:$B$204,IFERROR(MATCH(53,'List A'!$R$5:$R$204,0)+4,"")-4))</f>
        <v/>
      </c>
      <c r="C57" s="52">
        <f>IF(IFERROR(MATCH(53,'List A'!$R$5:$R$204,0)+4,"")="","",INDEX('List A'!$C$5:$C$204,IFERROR(MATCH(53,'List A'!$R$5:$R$204,0)+4,"")-4))</f>
        <v/>
      </c>
      <c r="D57" s="53">
        <f>IF(IFERROR(MATCH(53,'List A'!$R$5:$R$204,0)+4,"")="","",INDEX('List A'!$D$5:$D$204,IFERROR(MATCH(53,'List A'!$R$5:$R$204,0)+4,"")-4))</f>
        <v/>
      </c>
      <c r="E57" s="53">
        <f>IF(IFERROR(MATCH(53,'List A'!$R$5:$R$204,0)+4,"")="","",INDEX('List A'!$E$5:$E$204,IFERROR(MATCH(53,'List A'!$R$5:$R$204,0)+4,"")-4))</f>
        <v/>
      </c>
      <c r="F57" s="53">
        <f>IF(IFERROR(MATCH(53,'List A'!$R$5:$R$204,0)+4,"")="","",INDEX('List A'!$F$5:$F$204,IFERROR(MATCH(53,'List A'!$R$5:$R$204,0)+4,"")-4))</f>
        <v/>
      </c>
      <c r="G57" s="50">
        <f>IF(IFERROR(MATCH(53,'List A'!$R$5:$R$204,0)+4,"")="","",INDEX('List A'!$G$5:$G$204,IFERROR(MATCH(53,'List A'!$R$5:$R$204,0)+4,"")-4))</f>
        <v/>
      </c>
      <c r="H57" s="53">
        <f>IF(IFERROR(MATCH(53,'List A'!$R$5:$R$204,0)+4,"")="","",INDEX('List A'!$H$5:$H$204,IFERROR(MATCH(53,'List A'!$R$5:$R$204,0)+4,"")-4))</f>
        <v/>
      </c>
      <c r="I57" s="61" t="n"/>
      <c r="J57" s="61" t="n"/>
    </row>
    <row r="58" ht="17" customHeight="1">
      <c r="A58" s="87">
        <f>IF(IFERROR(MATCH(54,'List A'!$R$5:$R$204,0)+4,"")="","",INDEX('List A'!$A$5:$A$204,IFERROR(MATCH(54,'List A'!$R$5:$R$204,0)+4,"")-4))</f>
        <v/>
      </c>
      <c r="B58" s="53">
        <f>IF(IFERROR(MATCH(54,'List A'!$R$5:$R$204,0)+4,"")="","",INDEX('List A'!$B$5:$B$204,IFERROR(MATCH(54,'List A'!$R$5:$R$204,0)+4,"")-4))</f>
        <v/>
      </c>
      <c r="C58" s="52">
        <f>IF(IFERROR(MATCH(54,'List A'!$R$5:$R$204,0)+4,"")="","",INDEX('List A'!$C$5:$C$204,IFERROR(MATCH(54,'List A'!$R$5:$R$204,0)+4,"")-4))</f>
        <v/>
      </c>
      <c r="D58" s="53">
        <f>IF(IFERROR(MATCH(54,'List A'!$R$5:$R$204,0)+4,"")="","",INDEX('List A'!$D$5:$D$204,IFERROR(MATCH(54,'List A'!$R$5:$R$204,0)+4,"")-4))</f>
        <v/>
      </c>
      <c r="E58" s="53">
        <f>IF(IFERROR(MATCH(54,'List A'!$R$5:$R$204,0)+4,"")="","",INDEX('List A'!$E$5:$E$204,IFERROR(MATCH(54,'List A'!$R$5:$R$204,0)+4,"")-4))</f>
        <v/>
      </c>
      <c r="F58" s="53">
        <f>IF(IFERROR(MATCH(54,'List A'!$R$5:$R$204,0)+4,"")="","",INDEX('List A'!$F$5:$F$204,IFERROR(MATCH(54,'List A'!$R$5:$R$204,0)+4,"")-4))</f>
        <v/>
      </c>
      <c r="G58" s="50">
        <f>IF(IFERROR(MATCH(54,'List A'!$R$5:$R$204,0)+4,"")="","",INDEX('List A'!$G$5:$G$204,IFERROR(MATCH(54,'List A'!$R$5:$R$204,0)+4,"")-4))</f>
        <v/>
      </c>
      <c r="H58" s="53">
        <f>IF(IFERROR(MATCH(54,'List A'!$R$5:$R$204,0)+4,"")="","",INDEX('List A'!$H$5:$H$204,IFERROR(MATCH(54,'List A'!$R$5:$R$204,0)+4,"")-4))</f>
        <v/>
      </c>
      <c r="I58" s="61" t="n"/>
      <c r="J58" s="61" t="n"/>
    </row>
    <row r="59" ht="17" customHeight="1">
      <c r="A59" s="87">
        <f>IF(IFERROR(MATCH(55,'List A'!$R$5:$R$204,0)+4,"")="","",INDEX('List A'!$A$5:$A$204,IFERROR(MATCH(55,'List A'!$R$5:$R$204,0)+4,"")-4))</f>
        <v/>
      </c>
      <c r="B59" s="53">
        <f>IF(IFERROR(MATCH(55,'List A'!$R$5:$R$204,0)+4,"")="","",INDEX('List A'!$B$5:$B$204,IFERROR(MATCH(55,'List A'!$R$5:$R$204,0)+4,"")-4))</f>
        <v/>
      </c>
      <c r="C59" s="52">
        <f>IF(IFERROR(MATCH(55,'List A'!$R$5:$R$204,0)+4,"")="","",INDEX('List A'!$C$5:$C$204,IFERROR(MATCH(55,'List A'!$R$5:$R$204,0)+4,"")-4))</f>
        <v/>
      </c>
      <c r="D59" s="53">
        <f>IF(IFERROR(MATCH(55,'List A'!$R$5:$R$204,0)+4,"")="","",INDEX('List A'!$D$5:$D$204,IFERROR(MATCH(55,'List A'!$R$5:$R$204,0)+4,"")-4))</f>
        <v/>
      </c>
      <c r="E59" s="53">
        <f>IF(IFERROR(MATCH(55,'List A'!$R$5:$R$204,0)+4,"")="","",INDEX('List A'!$E$5:$E$204,IFERROR(MATCH(55,'List A'!$R$5:$R$204,0)+4,"")-4))</f>
        <v/>
      </c>
      <c r="F59" s="53">
        <f>IF(IFERROR(MATCH(55,'List A'!$R$5:$R$204,0)+4,"")="","",INDEX('List A'!$F$5:$F$204,IFERROR(MATCH(55,'List A'!$R$5:$R$204,0)+4,"")-4))</f>
        <v/>
      </c>
      <c r="G59" s="50">
        <f>IF(IFERROR(MATCH(55,'List A'!$R$5:$R$204,0)+4,"")="","",INDEX('List A'!$G$5:$G$204,IFERROR(MATCH(55,'List A'!$R$5:$R$204,0)+4,"")-4))</f>
        <v/>
      </c>
      <c r="H59" s="53">
        <f>IF(IFERROR(MATCH(55,'List A'!$R$5:$R$204,0)+4,"")="","",INDEX('List A'!$H$5:$H$204,IFERROR(MATCH(55,'List A'!$R$5:$R$204,0)+4,"")-4))</f>
        <v/>
      </c>
      <c r="I59" s="61" t="n"/>
      <c r="J59" s="61" t="n"/>
    </row>
    <row r="60" ht="17" customHeight="1">
      <c r="A60" s="87">
        <f>IF(IFERROR(MATCH(56,'List A'!$R$5:$R$204,0)+4,"")="","",INDEX('List A'!$A$5:$A$204,IFERROR(MATCH(56,'List A'!$R$5:$R$204,0)+4,"")-4))</f>
        <v/>
      </c>
      <c r="B60" s="53">
        <f>IF(IFERROR(MATCH(56,'List A'!$R$5:$R$204,0)+4,"")="","",INDEX('List A'!$B$5:$B$204,IFERROR(MATCH(56,'List A'!$R$5:$R$204,0)+4,"")-4))</f>
        <v/>
      </c>
      <c r="C60" s="52">
        <f>IF(IFERROR(MATCH(56,'List A'!$R$5:$R$204,0)+4,"")="","",INDEX('List A'!$C$5:$C$204,IFERROR(MATCH(56,'List A'!$R$5:$R$204,0)+4,"")-4))</f>
        <v/>
      </c>
      <c r="D60" s="53">
        <f>IF(IFERROR(MATCH(56,'List A'!$R$5:$R$204,0)+4,"")="","",INDEX('List A'!$D$5:$D$204,IFERROR(MATCH(56,'List A'!$R$5:$R$204,0)+4,"")-4))</f>
        <v/>
      </c>
      <c r="E60" s="53">
        <f>IF(IFERROR(MATCH(56,'List A'!$R$5:$R$204,0)+4,"")="","",INDEX('List A'!$E$5:$E$204,IFERROR(MATCH(56,'List A'!$R$5:$R$204,0)+4,"")-4))</f>
        <v/>
      </c>
      <c r="F60" s="53">
        <f>IF(IFERROR(MATCH(56,'List A'!$R$5:$R$204,0)+4,"")="","",INDEX('List A'!$F$5:$F$204,IFERROR(MATCH(56,'List A'!$R$5:$R$204,0)+4,"")-4))</f>
        <v/>
      </c>
      <c r="G60" s="50">
        <f>IF(IFERROR(MATCH(56,'List A'!$R$5:$R$204,0)+4,"")="","",INDEX('List A'!$G$5:$G$204,IFERROR(MATCH(56,'List A'!$R$5:$R$204,0)+4,"")-4))</f>
        <v/>
      </c>
      <c r="H60" s="53">
        <f>IF(IFERROR(MATCH(56,'List A'!$R$5:$R$204,0)+4,"")="","",INDEX('List A'!$H$5:$H$204,IFERROR(MATCH(56,'List A'!$R$5:$R$204,0)+4,"")-4))</f>
        <v/>
      </c>
      <c r="I60" s="61" t="n"/>
      <c r="J60" s="61" t="n"/>
    </row>
    <row r="61" ht="17" customHeight="1">
      <c r="A61" s="87">
        <f>IF(IFERROR(MATCH(57,'List A'!$R$5:$R$204,0)+4,"")="","",INDEX('List A'!$A$5:$A$204,IFERROR(MATCH(57,'List A'!$R$5:$R$204,0)+4,"")-4))</f>
        <v/>
      </c>
      <c r="B61" s="53">
        <f>IF(IFERROR(MATCH(57,'List A'!$R$5:$R$204,0)+4,"")="","",INDEX('List A'!$B$5:$B$204,IFERROR(MATCH(57,'List A'!$R$5:$R$204,0)+4,"")-4))</f>
        <v/>
      </c>
      <c r="C61" s="52">
        <f>IF(IFERROR(MATCH(57,'List A'!$R$5:$R$204,0)+4,"")="","",INDEX('List A'!$C$5:$C$204,IFERROR(MATCH(57,'List A'!$R$5:$R$204,0)+4,"")-4))</f>
        <v/>
      </c>
      <c r="D61" s="53">
        <f>IF(IFERROR(MATCH(57,'List A'!$R$5:$R$204,0)+4,"")="","",INDEX('List A'!$D$5:$D$204,IFERROR(MATCH(57,'List A'!$R$5:$R$204,0)+4,"")-4))</f>
        <v/>
      </c>
      <c r="E61" s="53">
        <f>IF(IFERROR(MATCH(57,'List A'!$R$5:$R$204,0)+4,"")="","",INDEX('List A'!$E$5:$E$204,IFERROR(MATCH(57,'List A'!$R$5:$R$204,0)+4,"")-4))</f>
        <v/>
      </c>
      <c r="F61" s="53">
        <f>IF(IFERROR(MATCH(57,'List A'!$R$5:$R$204,0)+4,"")="","",INDEX('List A'!$F$5:$F$204,IFERROR(MATCH(57,'List A'!$R$5:$R$204,0)+4,"")-4))</f>
        <v/>
      </c>
      <c r="G61" s="50">
        <f>IF(IFERROR(MATCH(57,'List A'!$R$5:$R$204,0)+4,"")="","",INDEX('List A'!$G$5:$G$204,IFERROR(MATCH(57,'List A'!$R$5:$R$204,0)+4,"")-4))</f>
        <v/>
      </c>
      <c r="H61" s="53">
        <f>IF(IFERROR(MATCH(57,'List A'!$R$5:$R$204,0)+4,"")="","",INDEX('List A'!$H$5:$H$204,IFERROR(MATCH(57,'List A'!$R$5:$R$204,0)+4,"")-4))</f>
        <v/>
      </c>
      <c r="I61" s="61" t="n"/>
      <c r="J61" s="61" t="n"/>
    </row>
    <row r="62" ht="17" customHeight="1">
      <c r="A62" s="87">
        <f>IF(IFERROR(MATCH(58,'List A'!$R$5:$R$204,0)+4,"")="","",INDEX('List A'!$A$5:$A$204,IFERROR(MATCH(58,'List A'!$R$5:$R$204,0)+4,"")-4))</f>
        <v/>
      </c>
      <c r="B62" s="53">
        <f>IF(IFERROR(MATCH(58,'List A'!$R$5:$R$204,0)+4,"")="","",INDEX('List A'!$B$5:$B$204,IFERROR(MATCH(58,'List A'!$R$5:$R$204,0)+4,"")-4))</f>
        <v/>
      </c>
      <c r="C62" s="52">
        <f>IF(IFERROR(MATCH(58,'List A'!$R$5:$R$204,0)+4,"")="","",INDEX('List A'!$C$5:$C$204,IFERROR(MATCH(58,'List A'!$R$5:$R$204,0)+4,"")-4))</f>
        <v/>
      </c>
      <c r="D62" s="53">
        <f>IF(IFERROR(MATCH(58,'List A'!$R$5:$R$204,0)+4,"")="","",INDEX('List A'!$D$5:$D$204,IFERROR(MATCH(58,'List A'!$R$5:$R$204,0)+4,"")-4))</f>
        <v/>
      </c>
      <c r="E62" s="53">
        <f>IF(IFERROR(MATCH(58,'List A'!$R$5:$R$204,0)+4,"")="","",INDEX('List A'!$E$5:$E$204,IFERROR(MATCH(58,'List A'!$R$5:$R$204,0)+4,"")-4))</f>
        <v/>
      </c>
      <c r="F62" s="53">
        <f>IF(IFERROR(MATCH(58,'List A'!$R$5:$R$204,0)+4,"")="","",INDEX('List A'!$F$5:$F$204,IFERROR(MATCH(58,'List A'!$R$5:$R$204,0)+4,"")-4))</f>
        <v/>
      </c>
      <c r="G62" s="50">
        <f>IF(IFERROR(MATCH(58,'List A'!$R$5:$R$204,0)+4,"")="","",INDEX('List A'!$G$5:$G$204,IFERROR(MATCH(58,'List A'!$R$5:$R$204,0)+4,"")-4))</f>
        <v/>
      </c>
      <c r="H62" s="53">
        <f>IF(IFERROR(MATCH(58,'List A'!$R$5:$R$204,0)+4,"")="","",INDEX('List A'!$H$5:$H$204,IFERROR(MATCH(58,'List A'!$R$5:$R$204,0)+4,"")-4))</f>
        <v/>
      </c>
      <c r="I62" s="61" t="n"/>
      <c r="J62" s="61" t="n"/>
    </row>
    <row r="63" ht="17" customHeight="1">
      <c r="A63" s="87">
        <f>IF(IFERROR(MATCH(59,'List A'!$R$5:$R$204,0)+4,"")="","",INDEX('List A'!$A$5:$A$204,IFERROR(MATCH(59,'List A'!$R$5:$R$204,0)+4,"")-4))</f>
        <v/>
      </c>
      <c r="B63" s="53">
        <f>IF(IFERROR(MATCH(59,'List A'!$R$5:$R$204,0)+4,"")="","",INDEX('List A'!$B$5:$B$204,IFERROR(MATCH(59,'List A'!$R$5:$R$204,0)+4,"")-4))</f>
        <v/>
      </c>
      <c r="C63" s="52">
        <f>IF(IFERROR(MATCH(59,'List A'!$R$5:$R$204,0)+4,"")="","",INDEX('List A'!$C$5:$C$204,IFERROR(MATCH(59,'List A'!$R$5:$R$204,0)+4,"")-4))</f>
        <v/>
      </c>
      <c r="D63" s="53">
        <f>IF(IFERROR(MATCH(59,'List A'!$R$5:$R$204,0)+4,"")="","",INDEX('List A'!$D$5:$D$204,IFERROR(MATCH(59,'List A'!$R$5:$R$204,0)+4,"")-4))</f>
        <v/>
      </c>
      <c r="E63" s="53">
        <f>IF(IFERROR(MATCH(59,'List A'!$R$5:$R$204,0)+4,"")="","",INDEX('List A'!$E$5:$E$204,IFERROR(MATCH(59,'List A'!$R$5:$R$204,0)+4,"")-4))</f>
        <v/>
      </c>
      <c r="F63" s="53">
        <f>IF(IFERROR(MATCH(59,'List A'!$R$5:$R$204,0)+4,"")="","",INDEX('List A'!$F$5:$F$204,IFERROR(MATCH(59,'List A'!$R$5:$R$204,0)+4,"")-4))</f>
        <v/>
      </c>
      <c r="G63" s="50">
        <f>IF(IFERROR(MATCH(59,'List A'!$R$5:$R$204,0)+4,"")="","",INDEX('List A'!$G$5:$G$204,IFERROR(MATCH(59,'List A'!$R$5:$R$204,0)+4,"")-4))</f>
        <v/>
      </c>
      <c r="H63" s="53">
        <f>IF(IFERROR(MATCH(59,'List A'!$R$5:$R$204,0)+4,"")="","",INDEX('List A'!$H$5:$H$204,IFERROR(MATCH(59,'List A'!$R$5:$R$204,0)+4,"")-4))</f>
        <v/>
      </c>
      <c r="I63" s="61" t="n"/>
      <c r="J63" s="61" t="n"/>
    </row>
    <row r="64" ht="17" customHeight="1">
      <c r="A64" s="87">
        <f>IF(IFERROR(MATCH(60,'List A'!$R$5:$R$204,0)+4,"")="","",INDEX('List A'!$A$5:$A$204,IFERROR(MATCH(60,'List A'!$R$5:$R$204,0)+4,"")-4))</f>
        <v/>
      </c>
      <c r="B64" s="53">
        <f>IF(IFERROR(MATCH(60,'List A'!$R$5:$R$204,0)+4,"")="","",INDEX('List A'!$B$5:$B$204,IFERROR(MATCH(60,'List A'!$R$5:$R$204,0)+4,"")-4))</f>
        <v/>
      </c>
      <c r="C64" s="52">
        <f>IF(IFERROR(MATCH(60,'List A'!$R$5:$R$204,0)+4,"")="","",INDEX('List A'!$C$5:$C$204,IFERROR(MATCH(60,'List A'!$R$5:$R$204,0)+4,"")-4))</f>
        <v/>
      </c>
      <c r="D64" s="53">
        <f>IF(IFERROR(MATCH(60,'List A'!$R$5:$R$204,0)+4,"")="","",INDEX('List A'!$D$5:$D$204,IFERROR(MATCH(60,'List A'!$R$5:$R$204,0)+4,"")-4))</f>
        <v/>
      </c>
      <c r="E64" s="53">
        <f>IF(IFERROR(MATCH(60,'List A'!$R$5:$R$204,0)+4,"")="","",INDEX('List A'!$E$5:$E$204,IFERROR(MATCH(60,'List A'!$R$5:$R$204,0)+4,"")-4))</f>
        <v/>
      </c>
      <c r="F64" s="53">
        <f>IF(IFERROR(MATCH(60,'List A'!$R$5:$R$204,0)+4,"")="","",INDEX('List A'!$F$5:$F$204,IFERROR(MATCH(60,'List A'!$R$5:$R$204,0)+4,"")-4))</f>
        <v/>
      </c>
      <c r="G64" s="50">
        <f>IF(IFERROR(MATCH(60,'List A'!$R$5:$R$204,0)+4,"")="","",INDEX('List A'!$G$5:$G$204,IFERROR(MATCH(60,'List A'!$R$5:$R$204,0)+4,"")-4))</f>
        <v/>
      </c>
      <c r="H64" s="53">
        <f>IF(IFERROR(MATCH(60,'List A'!$R$5:$R$204,0)+4,"")="","",INDEX('List A'!$H$5:$H$204,IFERROR(MATCH(60,'List A'!$R$5:$R$204,0)+4,"")-4))</f>
        <v/>
      </c>
      <c r="I64" s="61" t="n"/>
      <c r="J64" s="61" t="n"/>
    </row>
    <row r="65" ht="17" customHeight="1">
      <c r="A65" s="87">
        <f>IF(IFERROR(MATCH(61,'List A'!$R$5:$R$204,0)+4,"")="","",INDEX('List A'!$A$5:$A$204,IFERROR(MATCH(61,'List A'!$R$5:$R$204,0)+4,"")-4))</f>
        <v/>
      </c>
      <c r="B65" s="53">
        <f>IF(IFERROR(MATCH(61,'List A'!$R$5:$R$204,0)+4,"")="","",INDEX('List A'!$B$5:$B$204,IFERROR(MATCH(61,'List A'!$R$5:$R$204,0)+4,"")-4))</f>
        <v/>
      </c>
      <c r="C65" s="52">
        <f>IF(IFERROR(MATCH(61,'List A'!$R$5:$R$204,0)+4,"")="","",INDEX('List A'!$C$5:$C$204,IFERROR(MATCH(61,'List A'!$R$5:$R$204,0)+4,"")-4))</f>
        <v/>
      </c>
      <c r="D65" s="53">
        <f>IF(IFERROR(MATCH(61,'List A'!$R$5:$R$204,0)+4,"")="","",INDEX('List A'!$D$5:$D$204,IFERROR(MATCH(61,'List A'!$R$5:$R$204,0)+4,"")-4))</f>
        <v/>
      </c>
      <c r="E65" s="53">
        <f>IF(IFERROR(MATCH(61,'List A'!$R$5:$R$204,0)+4,"")="","",INDEX('List A'!$E$5:$E$204,IFERROR(MATCH(61,'List A'!$R$5:$R$204,0)+4,"")-4))</f>
        <v/>
      </c>
      <c r="F65" s="53">
        <f>IF(IFERROR(MATCH(61,'List A'!$R$5:$R$204,0)+4,"")="","",INDEX('List A'!$F$5:$F$204,IFERROR(MATCH(61,'List A'!$R$5:$R$204,0)+4,"")-4))</f>
        <v/>
      </c>
      <c r="G65" s="50">
        <f>IF(IFERROR(MATCH(61,'List A'!$R$5:$R$204,0)+4,"")="","",INDEX('List A'!$G$5:$G$204,IFERROR(MATCH(61,'List A'!$R$5:$R$204,0)+4,"")-4))</f>
        <v/>
      </c>
      <c r="H65" s="53">
        <f>IF(IFERROR(MATCH(61,'List A'!$R$5:$R$204,0)+4,"")="","",INDEX('List A'!$H$5:$H$204,IFERROR(MATCH(61,'List A'!$R$5:$R$204,0)+4,"")-4))</f>
        <v/>
      </c>
      <c r="I65" s="61" t="n"/>
      <c r="J65" s="61" t="n"/>
    </row>
    <row r="66" ht="17" customHeight="1">
      <c r="A66" s="87">
        <f>IF(IFERROR(MATCH(62,'List A'!$R$5:$R$204,0)+4,"")="","",INDEX('List A'!$A$5:$A$204,IFERROR(MATCH(62,'List A'!$R$5:$R$204,0)+4,"")-4))</f>
        <v/>
      </c>
      <c r="B66" s="53">
        <f>IF(IFERROR(MATCH(62,'List A'!$R$5:$R$204,0)+4,"")="","",INDEX('List A'!$B$5:$B$204,IFERROR(MATCH(62,'List A'!$R$5:$R$204,0)+4,"")-4))</f>
        <v/>
      </c>
      <c r="C66" s="52">
        <f>IF(IFERROR(MATCH(62,'List A'!$R$5:$R$204,0)+4,"")="","",INDEX('List A'!$C$5:$C$204,IFERROR(MATCH(62,'List A'!$R$5:$R$204,0)+4,"")-4))</f>
        <v/>
      </c>
      <c r="D66" s="53">
        <f>IF(IFERROR(MATCH(62,'List A'!$R$5:$R$204,0)+4,"")="","",INDEX('List A'!$D$5:$D$204,IFERROR(MATCH(62,'List A'!$R$5:$R$204,0)+4,"")-4))</f>
        <v/>
      </c>
      <c r="E66" s="53">
        <f>IF(IFERROR(MATCH(62,'List A'!$R$5:$R$204,0)+4,"")="","",INDEX('List A'!$E$5:$E$204,IFERROR(MATCH(62,'List A'!$R$5:$R$204,0)+4,"")-4))</f>
        <v/>
      </c>
      <c r="F66" s="53">
        <f>IF(IFERROR(MATCH(62,'List A'!$R$5:$R$204,0)+4,"")="","",INDEX('List A'!$F$5:$F$204,IFERROR(MATCH(62,'List A'!$R$5:$R$204,0)+4,"")-4))</f>
        <v/>
      </c>
      <c r="G66" s="50">
        <f>IF(IFERROR(MATCH(62,'List A'!$R$5:$R$204,0)+4,"")="","",INDEX('List A'!$G$5:$G$204,IFERROR(MATCH(62,'List A'!$R$5:$R$204,0)+4,"")-4))</f>
        <v/>
      </c>
      <c r="H66" s="53">
        <f>IF(IFERROR(MATCH(62,'List A'!$R$5:$R$204,0)+4,"")="","",INDEX('List A'!$H$5:$H$204,IFERROR(MATCH(62,'List A'!$R$5:$R$204,0)+4,"")-4))</f>
        <v/>
      </c>
      <c r="I66" s="61" t="n"/>
      <c r="J66" s="61" t="n"/>
    </row>
    <row r="67" ht="17" customHeight="1">
      <c r="A67" s="87">
        <f>IF(IFERROR(MATCH(63,'List A'!$R$5:$R$204,0)+4,"")="","",INDEX('List A'!$A$5:$A$204,IFERROR(MATCH(63,'List A'!$R$5:$R$204,0)+4,"")-4))</f>
        <v/>
      </c>
      <c r="B67" s="53">
        <f>IF(IFERROR(MATCH(63,'List A'!$R$5:$R$204,0)+4,"")="","",INDEX('List A'!$B$5:$B$204,IFERROR(MATCH(63,'List A'!$R$5:$R$204,0)+4,"")-4))</f>
        <v/>
      </c>
      <c r="C67" s="52">
        <f>IF(IFERROR(MATCH(63,'List A'!$R$5:$R$204,0)+4,"")="","",INDEX('List A'!$C$5:$C$204,IFERROR(MATCH(63,'List A'!$R$5:$R$204,0)+4,"")-4))</f>
        <v/>
      </c>
      <c r="D67" s="53">
        <f>IF(IFERROR(MATCH(63,'List A'!$R$5:$R$204,0)+4,"")="","",INDEX('List A'!$D$5:$D$204,IFERROR(MATCH(63,'List A'!$R$5:$R$204,0)+4,"")-4))</f>
        <v/>
      </c>
      <c r="E67" s="53">
        <f>IF(IFERROR(MATCH(63,'List A'!$R$5:$R$204,0)+4,"")="","",INDEX('List A'!$E$5:$E$204,IFERROR(MATCH(63,'List A'!$R$5:$R$204,0)+4,"")-4))</f>
        <v/>
      </c>
      <c r="F67" s="53">
        <f>IF(IFERROR(MATCH(63,'List A'!$R$5:$R$204,0)+4,"")="","",INDEX('List A'!$F$5:$F$204,IFERROR(MATCH(63,'List A'!$R$5:$R$204,0)+4,"")-4))</f>
        <v/>
      </c>
      <c r="G67" s="50">
        <f>IF(IFERROR(MATCH(63,'List A'!$R$5:$R$204,0)+4,"")="","",INDEX('List A'!$G$5:$G$204,IFERROR(MATCH(63,'List A'!$R$5:$R$204,0)+4,"")-4))</f>
        <v/>
      </c>
      <c r="H67" s="53">
        <f>IF(IFERROR(MATCH(63,'List A'!$R$5:$R$204,0)+4,"")="","",INDEX('List A'!$H$5:$H$204,IFERROR(MATCH(63,'List A'!$R$5:$R$204,0)+4,"")-4))</f>
        <v/>
      </c>
      <c r="I67" s="61" t="n"/>
      <c r="J67" s="61" t="n"/>
    </row>
    <row r="68" ht="17" customHeight="1">
      <c r="A68" s="87">
        <f>IF(IFERROR(MATCH(64,'List A'!$R$5:$R$204,0)+4,"")="","",INDEX('List A'!$A$5:$A$204,IFERROR(MATCH(64,'List A'!$R$5:$R$204,0)+4,"")-4))</f>
        <v/>
      </c>
      <c r="B68" s="53">
        <f>IF(IFERROR(MATCH(64,'List A'!$R$5:$R$204,0)+4,"")="","",INDEX('List A'!$B$5:$B$204,IFERROR(MATCH(64,'List A'!$R$5:$R$204,0)+4,"")-4))</f>
        <v/>
      </c>
      <c r="C68" s="52">
        <f>IF(IFERROR(MATCH(64,'List A'!$R$5:$R$204,0)+4,"")="","",INDEX('List A'!$C$5:$C$204,IFERROR(MATCH(64,'List A'!$R$5:$R$204,0)+4,"")-4))</f>
        <v/>
      </c>
      <c r="D68" s="53">
        <f>IF(IFERROR(MATCH(64,'List A'!$R$5:$R$204,0)+4,"")="","",INDEX('List A'!$D$5:$D$204,IFERROR(MATCH(64,'List A'!$R$5:$R$204,0)+4,"")-4))</f>
        <v/>
      </c>
      <c r="E68" s="53">
        <f>IF(IFERROR(MATCH(64,'List A'!$R$5:$R$204,0)+4,"")="","",INDEX('List A'!$E$5:$E$204,IFERROR(MATCH(64,'List A'!$R$5:$R$204,0)+4,"")-4))</f>
        <v/>
      </c>
      <c r="F68" s="53">
        <f>IF(IFERROR(MATCH(64,'List A'!$R$5:$R$204,0)+4,"")="","",INDEX('List A'!$F$5:$F$204,IFERROR(MATCH(64,'List A'!$R$5:$R$204,0)+4,"")-4))</f>
        <v/>
      </c>
      <c r="G68" s="50">
        <f>IF(IFERROR(MATCH(64,'List A'!$R$5:$R$204,0)+4,"")="","",INDEX('List A'!$G$5:$G$204,IFERROR(MATCH(64,'List A'!$R$5:$R$204,0)+4,"")-4))</f>
        <v/>
      </c>
      <c r="H68" s="53">
        <f>IF(IFERROR(MATCH(64,'List A'!$R$5:$R$204,0)+4,"")="","",INDEX('List A'!$H$5:$H$204,IFERROR(MATCH(64,'List A'!$R$5:$R$204,0)+4,"")-4))</f>
        <v/>
      </c>
      <c r="I68" s="61" t="n"/>
      <c r="J68" s="61" t="n"/>
    </row>
    <row r="69" ht="17" customHeight="1">
      <c r="A69" s="87">
        <f>IF(IFERROR(MATCH(65,'List A'!$R$5:$R$204,0)+4,"")="","",INDEX('List A'!$A$5:$A$204,IFERROR(MATCH(65,'List A'!$R$5:$R$204,0)+4,"")-4))</f>
        <v/>
      </c>
      <c r="B69" s="53">
        <f>IF(IFERROR(MATCH(65,'List A'!$R$5:$R$204,0)+4,"")="","",INDEX('List A'!$B$5:$B$204,IFERROR(MATCH(65,'List A'!$R$5:$R$204,0)+4,"")-4))</f>
        <v/>
      </c>
      <c r="C69" s="52">
        <f>IF(IFERROR(MATCH(65,'List A'!$R$5:$R$204,0)+4,"")="","",INDEX('List A'!$C$5:$C$204,IFERROR(MATCH(65,'List A'!$R$5:$R$204,0)+4,"")-4))</f>
        <v/>
      </c>
      <c r="D69" s="53">
        <f>IF(IFERROR(MATCH(65,'List A'!$R$5:$R$204,0)+4,"")="","",INDEX('List A'!$D$5:$D$204,IFERROR(MATCH(65,'List A'!$R$5:$R$204,0)+4,"")-4))</f>
        <v/>
      </c>
      <c r="E69" s="53">
        <f>IF(IFERROR(MATCH(65,'List A'!$R$5:$R$204,0)+4,"")="","",INDEX('List A'!$E$5:$E$204,IFERROR(MATCH(65,'List A'!$R$5:$R$204,0)+4,"")-4))</f>
        <v/>
      </c>
      <c r="F69" s="53">
        <f>IF(IFERROR(MATCH(65,'List A'!$R$5:$R$204,0)+4,"")="","",INDEX('List A'!$F$5:$F$204,IFERROR(MATCH(65,'List A'!$R$5:$R$204,0)+4,"")-4))</f>
        <v/>
      </c>
      <c r="G69" s="50">
        <f>IF(IFERROR(MATCH(65,'List A'!$R$5:$R$204,0)+4,"")="","",INDEX('List A'!$G$5:$G$204,IFERROR(MATCH(65,'List A'!$R$5:$R$204,0)+4,"")-4))</f>
        <v/>
      </c>
      <c r="H69" s="53">
        <f>IF(IFERROR(MATCH(65,'List A'!$R$5:$R$204,0)+4,"")="","",INDEX('List A'!$H$5:$H$204,IFERROR(MATCH(65,'List A'!$R$5:$R$204,0)+4,"")-4))</f>
        <v/>
      </c>
      <c r="I69" s="61" t="n"/>
      <c r="J69" s="61" t="n"/>
    </row>
    <row r="70" ht="17" customHeight="1">
      <c r="A70" s="87">
        <f>IF(IFERROR(MATCH(66,'List A'!$R$5:$R$204,0)+4,"")="","",INDEX('List A'!$A$5:$A$204,IFERROR(MATCH(66,'List A'!$R$5:$R$204,0)+4,"")-4))</f>
        <v/>
      </c>
      <c r="B70" s="53">
        <f>IF(IFERROR(MATCH(66,'List A'!$R$5:$R$204,0)+4,"")="","",INDEX('List A'!$B$5:$B$204,IFERROR(MATCH(66,'List A'!$R$5:$R$204,0)+4,"")-4))</f>
        <v/>
      </c>
      <c r="C70" s="52">
        <f>IF(IFERROR(MATCH(66,'List A'!$R$5:$R$204,0)+4,"")="","",INDEX('List A'!$C$5:$C$204,IFERROR(MATCH(66,'List A'!$R$5:$R$204,0)+4,"")-4))</f>
        <v/>
      </c>
      <c r="D70" s="53">
        <f>IF(IFERROR(MATCH(66,'List A'!$R$5:$R$204,0)+4,"")="","",INDEX('List A'!$D$5:$D$204,IFERROR(MATCH(66,'List A'!$R$5:$R$204,0)+4,"")-4))</f>
        <v/>
      </c>
      <c r="E70" s="53">
        <f>IF(IFERROR(MATCH(66,'List A'!$R$5:$R$204,0)+4,"")="","",INDEX('List A'!$E$5:$E$204,IFERROR(MATCH(66,'List A'!$R$5:$R$204,0)+4,"")-4))</f>
        <v/>
      </c>
      <c r="F70" s="53">
        <f>IF(IFERROR(MATCH(66,'List A'!$R$5:$R$204,0)+4,"")="","",INDEX('List A'!$F$5:$F$204,IFERROR(MATCH(66,'List A'!$R$5:$R$204,0)+4,"")-4))</f>
        <v/>
      </c>
      <c r="G70" s="50">
        <f>IF(IFERROR(MATCH(66,'List A'!$R$5:$R$204,0)+4,"")="","",INDEX('List A'!$G$5:$G$204,IFERROR(MATCH(66,'List A'!$R$5:$R$204,0)+4,"")-4))</f>
        <v/>
      </c>
      <c r="H70" s="53">
        <f>IF(IFERROR(MATCH(66,'List A'!$R$5:$R$204,0)+4,"")="","",INDEX('List A'!$H$5:$H$204,IFERROR(MATCH(66,'List A'!$R$5:$R$204,0)+4,"")-4))</f>
        <v/>
      </c>
      <c r="I70" s="61" t="n"/>
      <c r="J70" s="61" t="n"/>
    </row>
    <row r="71" ht="17" customHeight="1">
      <c r="A71" s="87">
        <f>IF(IFERROR(MATCH(67,'List A'!$R$5:$R$204,0)+4,"")="","",INDEX('List A'!$A$5:$A$204,IFERROR(MATCH(67,'List A'!$R$5:$R$204,0)+4,"")-4))</f>
        <v/>
      </c>
      <c r="B71" s="53">
        <f>IF(IFERROR(MATCH(67,'List A'!$R$5:$R$204,0)+4,"")="","",INDEX('List A'!$B$5:$B$204,IFERROR(MATCH(67,'List A'!$R$5:$R$204,0)+4,"")-4))</f>
        <v/>
      </c>
      <c r="C71" s="52">
        <f>IF(IFERROR(MATCH(67,'List A'!$R$5:$R$204,0)+4,"")="","",INDEX('List A'!$C$5:$C$204,IFERROR(MATCH(67,'List A'!$R$5:$R$204,0)+4,"")-4))</f>
        <v/>
      </c>
      <c r="D71" s="53">
        <f>IF(IFERROR(MATCH(67,'List A'!$R$5:$R$204,0)+4,"")="","",INDEX('List A'!$D$5:$D$204,IFERROR(MATCH(67,'List A'!$R$5:$R$204,0)+4,"")-4))</f>
        <v/>
      </c>
      <c r="E71" s="53">
        <f>IF(IFERROR(MATCH(67,'List A'!$R$5:$R$204,0)+4,"")="","",INDEX('List A'!$E$5:$E$204,IFERROR(MATCH(67,'List A'!$R$5:$R$204,0)+4,"")-4))</f>
        <v/>
      </c>
      <c r="F71" s="53">
        <f>IF(IFERROR(MATCH(67,'List A'!$R$5:$R$204,0)+4,"")="","",INDEX('List A'!$F$5:$F$204,IFERROR(MATCH(67,'List A'!$R$5:$R$204,0)+4,"")-4))</f>
        <v/>
      </c>
      <c r="G71" s="50">
        <f>IF(IFERROR(MATCH(67,'List A'!$R$5:$R$204,0)+4,"")="","",INDEX('List A'!$G$5:$G$204,IFERROR(MATCH(67,'List A'!$R$5:$R$204,0)+4,"")-4))</f>
        <v/>
      </c>
      <c r="H71" s="53">
        <f>IF(IFERROR(MATCH(67,'List A'!$R$5:$R$204,0)+4,"")="","",INDEX('List A'!$H$5:$H$204,IFERROR(MATCH(67,'List A'!$R$5:$R$204,0)+4,"")-4))</f>
        <v/>
      </c>
      <c r="I71" s="61" t="n"/>
      <c r="J71" s="61" t="n"/>
    </row>
    <row r="72" ht="17" customHeight="1">
      <c r="A72" s="87">
        <f>IF(IFERROR(MATCH(68,'List A'!$R$5:$R$204,0)+4,"")="","",INDEX('List A'!$A$5:$A$204,IFERROR(MATCH(68,'List A'!$R$5:$R$204,0)+4,"")-4))</f>
        <v/>
      </c>
      <c r="B72" s="53">
        <f>IF(IFERROR(MATCH(68,'List A'!$R$5:$R$204,0)+4,"")="","",INDEX('List A'!$B$5:$B$204,IFERROR(MATCH(68,'List A'!$R$5:$R$204,0)+4,"")-4))</f>
        <v/>
      </c>
      <c r="C72" s="52">
        <f>IF(IFERROR(MATCH(68,'List A'!$R$5:$R$204,0)+4,"")="","",INDEX('List A'!$C$5:$C$204,IFERROR(MATCH(68,'List A'!$R$5:$R$204,0)+4,"")-4))</f>
        <v/>
      </c>
      <c r="D72" s="53">
        <f>IF(IFERROR(MATCH(68,'List A'!$R$5:$R$204,0)+4,"")="","",INDEX('List A'!$D$5:$D$204,IFERROR(MATCH(68,'List A'!$R$5:$R$204,0)+4,"")-4))</f>
        <v/>
      </c>
      <c r="E72" s="53">
        <f>IF(IFERROR(MATCH(68,'List A'!$R$5:$R$204,0)+4,"")="","",INDEX('List A'!$E$5:$E$204,IFERROR(MATCH(68,'List A'!$R$5:$R$204,0)+4,"")-4))</f>
        <v/>
      </c>
      <c r="F72" s="53">
        <f>IF(IFERROR(MATCH(68,'List A'!$R$5:$R$204,0)+4,"")="","",INDEX('List A'!$F$5:$F$204,IFERROR(MATCH(68,'List A'!$R$5:$R$204,0)+4,"")-4))</f>
        <v/>
      </c>
      <c r="G72" s="50">
        <f>IF(IFERROR(MATCH(68,'List A'!$R$5:$R$204,0)+4,"")="","",INDEX('List A'!$G$5:$G$204,IFERROR(MATCH(68,'List A'!$R$5:$R$204,0)+4,"")-4))</f>
        <v/>
      </c>
      <c r="H72" s="53">
        <f>IF(IFERROR(MATCH(68,'List A'!$R$5:$R$204,0)+4,"")="","",INDEX('List A'!$H$5:$H$204,IFERROR(MATCH(68,'List A'!$R$5:$R$204,0)+4,"")-4))</f>
        <v/>
      </c>
      <c r="I72" s="61" t="n"/>
      <c r="J72" s="61" t="n"/>
    </row>
    <row r="73" ht="17" customHeight="1">
      <c r="A73" s="87">
        <f>IF(IFERROR(MATCH(69,'List A'!$R$5:$R$204,0)+4,"")="","",INDEX('List A'!$A$5:$A$204,IFERROR(MATCH(69,'List A'!$R$5:$R$204,0)+4,"")-4))</f>
        <v/>
      </c>
      <c r="B73" s="53">
        <f>IF(IFERROR(MATCH(69,'List A'!$R$5:$R$204,0)+4,"")="","",INDEX('List A'!$B$5:$B$204,IFERROR(MATCH(69,'List A'!$R$5:$R$204,0)+4,"")-4))</f>
        <v/>
      </c>
      <c r="C73" s="52">
        <f>IF(IFERROR(MATCH(69,'List A'!$R$5:$R$204,0)+4,"")="","",INDEX('List A'!$C$5:$C$204,IFERROR(MATCH(69,'List A'!$R$5:$R$204,0)+4,"")-4))</f>
        <v/>
      </c>
      <c r="D73" s="53">
        <f>IF(IFERROR(MATCH(69,'List A'!$R$5:$R$204,0)+4,"")="","",INDEX('List A'!$D$5:$D$204,IFERROR(MATCH(69,'List A'!$R$5:$R$204,0)+4,"")-4))</f>
        <v/>
      </c>
      <c r="E73" s="53">
        <f>IF(IFERROR(MATCH(69,'List A'!$R$5:$R$204,0)+4,"")="","",INDEX('List A'!$E$5:$E$204,IFERROR(MATCH(69,'List A'!$R$5:$R$204,0)+4,"")-4))</f>
        <v/>
      </c>
      <c r="F73" s="53">
        <f>IF(IFERROR(MATCH(69,'List A'!$R$5:$R$204,0)+4,"")="","",INDEX('List A'!$F$5:$F$204,IFERROR(MATCH(69,'List A'!$R$5:$R$204,0)+4,"")-4))</f>
        <v/>
      </c>
      <c r="G73" s="50">
        <f>IF(IFERROR(MATCH(69,'List A'!$R$5:$R$204,0)+4,"")="","",INDEX('List A'!$G$5:$G$204,IFERROR(MATCH(69,'List A'!$R$5:$R$204,0)+4,"")-4))</f>
        <v/>
      </c>
      <c r="H73" s="53">
        <f>IF(IFERROR(MATCH(69,'List A'!$R$5:$R$204,0)+4,"")="","",INDEX('List A'!$H$5:$H$204,IFERROR(MATCH(69,'List A'!$R$5:$R$204,0)+4,"")-4))</f>
        <v/>
      </c>
      <c r="I73" s="61" t="n"/>
      <c r="J73" s="61" t="n"/>
    </row>
    <row r="74" ht="17" customHeight="1">
      <c r="A74" s="87">
        <f>IF(IFERROR(MATCH(70,'List A'!$R$5:$R$204,0)+4,"")="","",INDEX('List A'!$A$5:$A$204,IFERROR(MATCH(70,'List A'!$R$5:$R$204,0)+4,"")-4))</f>
        <v/>
      </c>
      <c r="B74" s="53">
        <f>IF(IFERROR(MATCH(70,'List A'!$R$5:$R$204,0)+4,"")="","",INDEX('List A'!$B$5:$B$204,IFERROR(MATCH(70,'List A'!$R$5:$R$204,0)+4,"")-4))</f>
        <v/>
      </c>
      <c r="C74" s="52">
        <f>IF(IFERROR(MATCH(70,'List A'!$R$5:$R$204,0)+4,"")="","",INDEX('List A'!$C$5:$C$204,IFERROR(MATCH(70,'List A'!$R$5:$R$204,0)+4,"")-4))</f>
        <v/>
      </c>
      <c r="D74" s="53">
        <f>IF(IFERROR(MATCH(70,'List A'!$R$5:$R$204,0)+4,"")="","",INDEX('List A'!$D$5:$D$204,IFERROR(MATCH(70,'List A'!$R$5:$R$204,0)+4,"")-4))</f>
        <v/>
      </c>
      <c r="E74" s="53">
        <f>IF(IFERROR(MATCH(70,'List A'!$R$5:$R$204,0)+4,"")="","",INDEX('List A'!$E$5:$E$204,IFERROR(MATCH(70,'List A'!$R$5:$R$204,0)+4,"")-4))</f>
        <v/>
      </c>
      <c r="F74" s="53">
        <f>IF(IFERROR(MATCH(70,'List A'!$R$5:$R$204,0)+4,"")="","",INDEX('List A'!$F$5:$F$204,IFERROR(MATCH(70,'List A'!$R$5:$R$204,0)+4,"")-4))</f>
        <v/>
      </c>
      <c r="G74" s="50">
        <f>IF(IFERROR(MATCH(70,'List A'!$R$5:$R$204,0)+4,"")="","",INDEX('List A'!$G$5:$G$204,IFERROR(MATCH(70,'List A'!$R$5:$R$204,0)+4,"")-4))</f>
        <v/>
      </c>
      <c r="H74" s="53">
        <f>IF(IFERROR(MATCH(70,'List A'!$R$5:$R$204,0)+4,"")="","",INDEX('List A'!$H$5:$H$204,IFERROR(MATCH(70,'List A'!$R$5:$R$204,0)+4,"")-4))</f>
        <v/>
      </c>
      <c r="I74" s="61" t="n"/>
      <c r="J74" s="61" t="n"/>
    </row>
    <row r="75" ht="17" customHeight="1">
      <c r="A75" s="87">
        <f>IF(IFERROR(MATCH(71,'List A'!$R$5:$R$204,0)+4,"")="","",INDEX('List A'!$A$5:$A$204,IFERROR(MATCH(71,'List A'!$R$5:$R$204,0)+4,"")-4))</f>
        <v/>
      </c>
      <c r="B75" s="53">
        <f>IF(IFERROR(MATCH(71,'List A'!$R$5:$R$204,0)+4,"")="","",INDEX('List A'!$B$5:$B$204,IFERROR(MATCH(71,'List A'!$R$5:$R$204,0)+4,"")-4))</f>
        <v/>
      </c>
      <c r="C75" s="52">
        <f>IF(IFERROR(MATCH(71,'List A'!$R$5:$R$204,0)+4,"")="","",INDEX('List A'!$C$5:$C$204,IFERROR(MATCH(71,'List A'!$R$5:$R$204,0)+4,"")-4))</f>
        <v/>
      </c>
      <c r="D75" s="53">
        <f>IF(IFERROR(MATCH(71,'List A'!$R$5:$R$204,0)+4,"")="","",INDEX('List A'!$D$5:$D$204,IFERROR(MATCH(71,'List A'!$R$5:$R$204,0)+4,"")-4))</f>
        <v/>
      </c>
      <c r="E75" s="53">
        <f>IF(IFERROR(MATCH(71,'List A'!$R$5:$R$204,0)+4,"")="","",INDEX('List A'!$E$5:$E$204,IFERROR(MATCH(71,'List A'!$R$5:$R$204,0)+4,"")-4))</f>
        <v/>
      </c>
      <c r="F75" s="53">
        <f>IF(IFERROR(MATCH(71,'List A'!$R$5:$R$204,0)+4,"")="","",INDEX('List A'!$F$5:$F$204,IFERROR(MATCH(71,'List A'!$R$5:$R$204,0)+4,"")-4))</f>
        <v/>
      </c>
      <c r="G75" s="50">
        <f>IF(IFERROR(MATCH(71,'List A'!$R$5:$R$204,0)+4,"")="","",INDEX('List A'!$G$5:$G$204,IFERROR(MATCH(71,'List A'!$R$5:$R$204,0)+4,"")-4))</f>
        <v/>
      </c>
      <c r="H75" s="53">
        <f>IF(IFERROR(MATCH(71,'List A'!$R$5:$R$204,0)+4,"")="","",INDEX('List A'!$H$5:$H$204,IFERROR(MATCH(71,'List A'!$R$5:$R$204,0)+4,"")-4))</f>
        <v/>
      </c>
      <c r="I75" s="61" t="n"/>
      <c r="J75" s="61" t="n"/>
    </row>
    <row r="76" ht="17" customHeight="1">
      <c r="A76" s="87">
        <f>IF(IFERROR(MATCH(72,'List A'!$R$5:$R$204,0)+4,"")="","",INDEX('List A'!$A$5:$A$204,IFERROR(MATCH(72,'List A'!$R$5:$R$204,0)+4,"")-4))</f>
        <v/>
      </c>
      <c r="B76" s="53">
        <f>IF(IFERROR(MATCH(72,'List A'!$R$5:$R$204,0)+4,"")="","",INDEX('List A'!$B$5:$B$204,IFERROR(MATCH(72,'List A'!$R$5:$R$204,0)+4,"")-4))</f>
        <v/>
      </c>
      <c r="C76" s="52">
        <f>IF(IFERROR(MATCH(72,'List A'!$R$5:$R$204,0)+4,"")="","",INDEX('List A'!$C$5:$C$204,IFERROR(MATCH(72,'List A'!$R$5:$R$204,0)+4,"")-4))</f>
        <v/>
      </c>
      <c r="D76" s="53">
        <f>IF(IFERROR(MATCH(72,'List A'!$R$5:$R$204,0)+4,"")="","",INDEX('List A'!$D$5:$D$204,IFERROR(MATCH(72,'List A'!$R$5:$R$204,0)+4,"")-4))</f>
        <v/>
      </c>
      <c r="E76" s="53">
        <f>IF(IFERROR(MATCH(72,'List A'!$R$5:$R$204,0)+4,"")="","",INDEX('List A'!$E$5:$E$204,IFERROR(MATCH(72,'List A'!$R$5:$R$204,0)+4,"")-4))</f>
        <v/>
      </c>
      <c r="F76" s="53">
        <f>IF(IFERROR(MATCH(72,'List A'!$R$5:$R$204,0)+4,"")="","",INDEX('List A'!$F$5:$F$204,IFERROR(MATCH(72,'List A'!$R$5:$R$204,0)+4,"")-4))</f>
        <v/>
      </c>
      <c r="G76" s="50">
        <f>IF(IFERROR(MATCH(72,'List A'!$R$5:$R$204,0)+4,"")="","",INDEX('List A'!$G$5:$G$204,IFERROR(MATCH(72,'List A'!$R$5:$R$204,0)+4,"")-4))</f>
        <v/>
      </c>
      <c r="H76" s="53">
        <f>IF(IFERROR(MATCH(72,'List A'!$R$5:$R$204,0)+4,"")="","",INDEX('List A'!$H$5:$H$204,IFERROR(MATCH(72,'List A'!$R$5:$R$204,0)+4,"")-4))</f>
        <v/>
      </c>
      <c r="I76" s="61" t="n"/>
      <c r="J76" s="61" t="n"/>
    </row>
    <row r="77" ht="17" customHeight="1">
      <c r="A77" s="87">
        <f>IF(IFERROR(MATCH(73,'List A'!$R$5:$R$204,0)+4,"")="","",INDEX('List A'!$A$5:$A$204,IFERROR(MATCH(73,'List A'!$R$5:$R$204,0)+4,"")-4))</f>
        <v/>
      </c>
      <c r="B77" s="53">
        <f>IF(IFERROR(MATCH(73,'List A'!$R$5:$R$204,0)+4,"")="","",INDEX('List A'!$B$5:$B$204,IFERROR(MATCH(73,'List A'!$R$5:$R$204,0)+4,"")-4))</f>
        <v/>
      </c>
      <c r="C77" s="52">
        <f>IF(IFERROR(MATCH(73,'List A'!$R$5:$R$204,0)+4,"")="","",INDEX('List A'!$C$5:$C$204,IFERROR(MATCH(73,'List A'!$R$5:$R$204,0)+4,"")-4))</f>
        <v/>
      </c>
      <c r="D77" s="53">
        <f>IF(IFERROR(MATCH(73,'List A'!$R$5:$R$204,0)+4,"")="","",INDEX('List A'!$D$5:$D$204,IFERROR(MATCH(73,'List A'!$R$5:$R$204,0)+4,"")-4))</f>
        <v/>
      </c>
      <c r="E77" s="53">
        <f>IF(IFERROR(MATCH(73,'List A'!$R$5:$R$204,0)+4,"")="","",INDEX('List A'!$E$5:$E$204,IFERROR(MATCH(73,'List A'!$R$5:$R$204,0)+4,"")-4))</f>
        <v/>
      </c>
      <c r="F77" s="53">
        <f>IF(IFERROR(MATCH(73,'List A'!$R$5:$R$204,0)+4,"")="","",INDEX('List A'!$F$5:$F$204,IFERROR(MATCH(73,'List A'!$R$5:$R$204,0)+4,"")-4))</f>
        <v/>
      </c>
      <c r="G77" s="50">
        <f>IF(IFERROR(MATCH(73,'List A'!$R$5:$R$204,0)+4,"")="","",INDEX('List A'!$G$5:$G$204,IFERROR(MATCH(73,'List A'!$R$5:$R$204,0)+4,"")-4))</f>
        <v/>
      </c>
      <c r="H77" s="53">
        <f>IF(IFERROR(MATCH(73,'List A'!$R$5:$R$204,0)+4,"")="","",INDEX('List A'!$H$5:$H$204,IFERROR(MATCH(73,'List A'!$R$5:$R$204,0)+4,"")-4))</f>
        <v/>
      </c>
      <c r="I77" s="61" t="n"/>
      <c r="J77" s="61" t="n"/>
    </row>
    <row r="78" ht="17" customHeight="1">
      <c r="A78" s="87">
        <f>IF(IFERROR(MATCH(74,'List A'!$R$5:$R$204,0)+4,"")="","",INDEX('List A'!$A$5:$A$204,IFERROR(MATCH(74,'List A'!$R$5:$R$204,0)+4,"")-4))</f>
        <v/>
      </c>
      <c r="B78" s="53">
        <f>IF(IFERROR(MATCH(74,'List A'!$R$5:$R$204,0)+4,"")="","",INDEX('List A'!$B$5:$B$204,IFERROR(MATCH(74,'List A'!$R$5:$R$204,0)+4,"")-4))</f>
        <v/>
      </c>
      <c r="C78" s="52">
        <f>IF(IFERROR(MATCH(74,'List A'!$R$5:$R$204,0)+4,"")="","",INDEX('List A'!$C$5:$C$204,IFERROR(MATCH(74,'List A'!$R$5:$R$204,0)+4,"")-4))</f>
        <v/>
      </c>
      <c r="D78" s="53">
        <f>IF(IFERROR(MATCH(74,'List A'!$R$5:$R$204,0)+4,"")="","",INDEX('List A'!$D$5:$D$204,IFERROR(MATCH(74,'List A'!$R$5:$R$204,0)+4,"")-4))</f>
        <v/>
      </c>
      <c r="E78" s="53">
        <f>IF(IFERROR(MATCH(74,'List A'!$R$5:$R$204,0)+4,"")="","",INDEX('List A'!$E$5:$E$204,IFERROR(MATCH(74,'List A'!$R$5:$R$204,0)+4,"")-4))</f>
        <v/>
      </c>
      <c r="F78" s="53">
        <f>IF(IFERROR(MATCH(74,'List A'!$R$5:$R$204,0)+4,"")="","",INDEX('List A'!$F$5:$F$204,IFERROR(MATCH(74,'List A'!$R$5:$R$204,0)+4,"")-4))</f>
        <v/>
      </c>
      <c r="G78" s="50">
        <f>IF(IFERROR(MATCH(74,'List A'!$R$5:$R$204,0)+4,"")="","",INDEX('List A'!$G$5:$G$204,IFERROR(MATCH(74,'List A'!$R$5:$R$204,0)+4,"")-4))</f>
        <v/>
      </c>
      <c r="H78" s="53">
        <f>IF(IFERROR(MATCH(74,'List A'!$R$5:$R$204,0)+4,"")="","",INDEX('List A'!$H$5:$H$204,IFERROR(MATCH(74,'List A'!$R$5:$R$204,0)+4,"")-4))</f>
        <v/>
      </c>
      <c r="I78" s="61" t="n"/>
      <c r="J78" s="61" t="n"/>
    </row>
    <row r="79" ht="17" customHeight="1">
      <c r="A79" s="87">
        <f>IF(IFERROR(MATCH(75,'List A'!$R$5:$R$204,0)+4,"")="","",INDEX('List A'!$A$5:$A$204,IFERROR(MATCH(75,'List A'!$R$5:$R$204,0)+4,"")-4))</f>
        <v/>
      </c>
      <c r="B79" s="53">
        <f>IF(IFERROR(MATCH(75,'List A'!$R$5:$R$204,0)+4,"")="","",INDEX('List A'!$B$5:$B$204,IFERROR(MATCH(75,'List A'!$R$5:$R$204,0)+4,"")-4))</f>
        <v/>
      </c>
      <c r="C79" s="52">
        <f>IF(IFERROR(MATCH(75,'List A'!$R$5:$R$204,0)+4,"")="","",INDEX('List A'!$C$5:$C$204,IFERROR(MATCH(75,'List A'!$R$5:$R$204,0)+4,"")-4))</f>
        <v/>
      </c>
      <c r="D79" s="53">
        <f>IF(IFERROR(MATCH(75,'List A'!$R$5:$R$204,0)+4,"")="","",INDEX('List A'!$D$5:$D$204,IFERROR(MATCH(75,'List A'!$R$5:$R$204,0)+4,"")-4))</f>
        <v/>
      </c>
      <c r="E79" s="53">
        <f>IF(IFERROR(MATCH(75,'List A'!$R$5:$R$204,0)+4,"")="","",INDEX('List A'!$E$5:$E$204,IFERROR(MATCH(75,'List A'!$R$5:$R$204,0)+4,"")-4))</f>
        <v/>
      </c>
      <c r="F79" s="53">
        <f>IF(IFERROR(MATCH(75,'List A'!$R$5:$R$204,0)+4,"")="","",INDEX('List A'!$F$5:$F$204,IFERROR(MATCH(75,'List A'!$R$5:$R$204,0)+4,"")-4))</f>
        <v/>
      </c>
      <c r="G79" s="50">
        <f>IF(IFERROR(MATCH(75,'List A'!$R$5:$R$204,0)+4,"")="","",INDEX('List A'!$G$5:$G$204,IFERROR(MATCH(75,'List A'!$R$5:$R$204,0)+4,"")-4))</f>
        <v/>
      </c>
      <c r="H79" s="53">
        <f>IF(IFERROR(MATCH(75,'List A'!$R$5:$R$204,0)+4,"")="","",INDEX('List A'!$H$5:$H$204,IFERROR(MATCH(75,'List A'!$R$5:$R$204,0)+4,"")-4))</f>
        <v/>
      </c>
      <c r="I79" s="61" t="n"/>
      <c r="J79" s="61" t="n"/>
    </row>
    <row r="80" ht="17" customHeight="1">
      <c r="A80" s="87">
        <f>IF(IFERROR(MATCH(76,'List A'!$R$5:$R$204,0)+4,"")="","",INDEX('List A'!$A$5:$A$204,IFERROR(MATCH(76,'List A'!$R$5:$R$204,0)+4,"")-4))</f>
        <v/>
      </c>
      <c r="B80" s="53">
        <f>IF(IFERROR(MATCH(76,'List A'!$R$5:$R$204,0)+4,"")="","",INDEX('List A'!$B$5:$B$204,IFERROR(MATCH(76,'List A'!$R$5:$R$204,0)+4,"")-4))</f>
        <v/>
      </c>
      <c r="C80" s="52">
        <f>IF(IFERROR(MATCH(76,'List A'!$R$5:$R$204,0)+4,"")="","",INDEX('List A'!$C$5:$C$204,IFERROR(MATCH(76,'List A'!$R$5:$R$204,0)+4,"")-4))</f>
        <v/>
      </c>
      <c r="D80" s="53">
        <f>IF(IFERROR(MATCH(76,'List A'!$R$5:$R$204,0)+4,"")="","",INDEX('List A'!$D$5:$D$204,IFERROR(MATCH(76,'List A'!$R$5:$R$204,0)+4,"")-4))</f>
        <v/>
      </c>
      <c r="E80" s="53">
        <f>IF(IFERROR(MATCH(76,'List A'!$R$5:$R$204,0)+4,"")="","",INDEX('List A'!$E$5:$E$204,IFERROR(MATCH(76,'List A'!$R$5:$R$204,0)+4,"")-4))</f>
        <v/>
      </c>
      <c r="F80" s="53">
        <f>IF(IFERROR(MATCH(76,'List A'!$R$5:$R$204,0)+4,"")="","",INDEX('List A'!$F$5:$F$204,IFERROR(MATCH(76,'List A'!$R$5:$R$204,0)+4,"")-4))</f>
        <v/>
      </c>
      <c r="G80" s="50">
        <f>IF(IFERROR(MATCH(76,'List A'!$R$5:$R$204,0)+4,"")="","",INDEX('List A'!$G$5:$G$204,IFERROR(MATCH(76,'List A'!$R$5:$R$204,0)+4,"")-4))</f>
        <v/>
      </c>
      <c r="H80" s="53">
        <f>IF(IFERROR(MATCH(76,'List A'!$R$5:$R$204,0)+4,"")="","",INDEX('List A'!$H$5:$H$204,IFERROR(MATCH(76,'List A'!$R$5:$R$204,0)+4,"")-4))</f>
        <v/>
      </c>
      <c r="I80" s="61" t="n"/>
      <c r="J80" s="61" t="n"/>
    </row>
    <row r="81" ht="17" customHeight="1">
      <c r="A81" s="87">
        <f>IF(IFERROR(MATCH(77,'List A'!$R$5:$R$204,0)+4,"")="","",INDEX('List A'!$A$5:$A$204,IFERROR(MATCH(77,'List A'!$R$5:$R$204,0)+4,"")-4))</f>
        <v/>
      </c>
      <c r="B81" s="53">
        <f>IF(IFERROR(MATCH(77,'List A'!$R$5:$R$204,0)+4,"")="","",INDEX('List A'!$B$5:$B$204,IFERROR(MATCH(77,'List A'!$R$5:$R$204,0)+4,"")-4))</f>
        <v/>
      </c>
      <c r="C81" s="52">
        <f>IF(IFERROR(MATCH(77,'List A'!$R$5:$R$204,0)+4,"")="","",INDEX('List A'!$C$5:$C$204,IFERROR(MATCH(77,'List A'!$R$5:$R$204,0)+4,"")-4))</f>
        <v/>
      </c>
      <c r="D81" s="53">
        <f>IF(IFERROR(MATCH(77,'List A'!$R$5:$R$204,0)+4,"")="","",INDEX('List A'!$D$5:$D$204,IFERROR(MATCH(77,'List A'!$R$5:$R$204,0)+4,"")-4))</f>
        <v/>
      </c>
      <c r="E81" s="53">
        <f>IF(IFERROR(MATCH(77,'List A'!$R$5:$R$204,0)+4,"")="","",INDEX('List A'!$E$5:$E$204,IFERROR(MATCH(77,'List A'!$R$5:$R$204,0)+4,"")-4))</f>
        <v/>
      </c>
      <c r="F81" s="53">
        <f>IF(IFERROR(MATCH(77,'List A'!$R$5:$R$204,0)+4,"")="","",INDEX('List A'!$F$5:$F$204,IFERROR(MATCH(77,'List A'!$R$5:$R$204,0)+4,"")-4))</f>
        <v/>
      </c>
      <c r="G81" s="50">
        <f>IF(IFERROR(MATCH(77,'List A'!$R$5:$R$204,0)+4,"")="","",INDEX('List A'!$G$5:$G$204,IFERROR(MATCH(77,'List A'!$R$5:$R$204,0)+4,"")-4))</f>
        <v/>
      </c>
      <c r="H81" s="53">
        <f>IF(IFERROR(MATCH(77,'List A'!$R$5:$R$204,0)+4,"")="","",INDEX('List A'!$H$5:$H$204,IFERROR(MATCH(77,'List A'!$R$5:$R$204,0)+4,"")-4))</f>
        <v/>
      </c>
      <c r="I81" s="61" t="n"/>
      <c r="J81" s="61" t="n"/>
    </row>
    <row r="82" ht="17" customHeight="1">
      <c r="A82" s="87">
        <f>IF(IFERROR(MATCH(78,'List A'!$R$5:$R$204,0)+4,"")="","",INDEX('List A'!$A$5:$A$204,IFERROR(MATCH(78,'List A'!$R$5:$R$204,0)+4,"")-4))</f>
        <v/>
      </c>
      <c r="B82" s="53">
        <f>IF(IFERROR(MATCH(78,'List A'!$R$5:$R$204,0)+4,"")="","",INDEX('List A'!$B$5:$B$204,IFERROR(MATCH(78,'List A'!$R$5:$R$204,0)+4,"")-4))</f>
        <v/>
      </c>
      <c r="C82" s="52">
        <f>IF(IFERROR(MATCH(78,'List A'!$R$5:$R$204,0)+4,"")="","",INDEX('List A'!$C$5:$C$204,IFERROR(MATCH(78,'List A'!$R$5:$R$204,0)+4,"")-4))</f>
        <v/>
      </c>
      <c r="D82" s="53">
        <f>IF(IFERROR(MATCH(78,'List A'!$R$5:$R$204,0)+4,"")="","",INDEX('List A'!$D$5:$D$204,IFERROR(MATCH(78,'List A'!$R$5:$R$204,0)+4,"")-4))</f>
        <v/>
      </c>
      <c r="E82" s="53">
        <f>IF(IFERROR(MATCH(78,'List A'!$R$5:$R$204,0)+4,"")="","",INDEX('List A'!$E$5:$E$204,IFERROR(MATCH(78,'List A'!$R$5:$R$204,0)+4,"")-4))</f>
        <v/>
      </c>
      <c r="F82" s="53">
        <f>IF(IFERROR(MATCH(78,'List A'!$R$5:$R$204,0)+4,"")="","",INDEX('List A'!$F$5:$F$204,IFERROR(MATCH(78,'List A'!$R$5:$R$204,0)+4,"")-4))</f>
        <v/>
      </c>
      <c r="G82" s="50">
        <f>IF(IFERROR(MATCH(78,'List A'!$R$5:$R$204,0)+4,"")="","",INDEX('List A'!$G$5:$G$204,IFERROR(MATCH(78,'List A'!$R$5:$R$204,0)+4,"")-4))</f>
        <v/>
      </c>
      <c r="H82" s="53">
        <f>IF(IFERROR(MATCH(78,'List A'!$R$5:$R$204,0)+4,"")="","",INDEX('List A'!$H$5:$H$204,IFERROR(MATCH(78,'List A'!$R$5:$R$204,0)+4,"")-4))</f>
        <v/>
      </c>
      <c r="I82" s="61" t="n"/>
      <c r="J82" s="61" t="n"/>
    </row>
    <row r="83" ht="17" customHeight="1">
      <c r="A83" s="87">
        <f>IF(IFERROR(MATCH(79,'List A'!$R$5:$R$204,0)+4,"")="","",INDEX('List A'!$A$5:$A$204,IFERROR(MATCH(79,'List A'!$R$5:$R$204,0)+4,"")-4))</f>
        <v/>
      </c>
      <c r="B83" s="53">
        <f>IF(IFERROR(MATCH(79,'List A'!$R$5:$R$204,0)+4,"")="","",INDEX('List A'!$B$5:$B$204,IFERROR(MATCH(79,'List A'!$R$5:$R$204,0)+4,"")-4))</f>
        <v/>
      </c>
      <c r="C83" s="52">
        <f>IF(IFERROR(MATCH(79,'List A'!$R$5:$R$204,0)+4,"")="","",INDEX('List A'!$C$5:$C$204,IFERROR(MATCH(79,'List A'!$R$5:$R$204,0)+4,"")-4))</f>
        <v/>
      </c>
      <c r="D83" s="53">
        <f>IF(IFERROR(MATCH(79,'List A'!$R$5:$R$204,0)+4,"")="","",INDEX('List A'!$D$5:$D$204,IFERROR(MATCH(79,'List A'!$R$5:$R$204,0)+4,"")-4))</f>
        <v/>
      </c>
      <c r="E83" s="53">
        <f>IF(IFERROR(MATCH(79,'List A'!$R$5:$R$204,0)+4,"")="","",INDEX('List A'!$E$5:$E$204,IFERROR(MATCH(79,'List A'!$R$5:$R$204,0)+4,"")-4))</f>
        <v/>
      </c>
      <c r="F83" s="53">
        <f>IF(IFERROR(MATCH(79,'List A'!$R$5:$R$204,0)+4,"")="","",INDEX('List A'!$F$5:$F$204,IFERROR(MATCH(79,'List A'!$R$5:$R$204,0)+4,"")-4))</f>
        <v/>
      </c>
      <c r="G83" s="50">
        <f>IF(IFERROR(MATCH(79,'List A'!$R$5:$R$204,0)+4,"")="","",INDEX('List A'!$G$5:$G$204,IFERROR(MATCH(79,'List A'!$R$5:$R$204,0)+4,"")-4))</f>
        <v/>
      </c>
      <c r="H83" s="53">
        <f>IF(IFERROR(MATCH(79,'List A'!$R$5:$R$204,0)+4,"")="","",INDEX('List A'!$H$5:$H$204,IFERROR(MATCH(79,'List A'!$R$5:$R$204,0)+4,"")-4))</f>
        <v/>
      </c>
      <c r="I83" s="61" t="n"/>
      <c r="J83" s="61" t="n"/>
    </row>
    <row r="84" ht="17" customHeight="1">
      <c r="A84" s="87">
        <f>IF(IFERROR(MATCH(80,'List A'!$R$5:$R$204,0)+4,"")="","",INDEX('List A'!$A$5:$A$204,IFERROR(MATCH(80,'List A'!$R$5:$R$204,0)+4,"")-4))</f>
        <v/>
      </c>
      <c r="B84" s="53">
        <f>IF(IFERROR(MATCH(80,'List A'!$R$5:$R$204,0)+4,"")="","",INDEX('List A'!$B$5:$B$204,IFERROR(MATCH(80,'List A'!$R$5:$R$204,0)+4,"")-4))</f>
        <v/>
      </c>
      <c r="C84" s="52">
        <f>IF(IFERROR(MATCH(80,'List A'!$R$5:$R$204,0)+4,"")="","",INDEX('List A'!$C$5:$C$204,IFERROR(MATCH(80,'List A'!$R$5:$R$204,0)+4,"")-4))</f>
        <v/>
      </c>
      <c r="D84" s="53">
        <f>IF(IFERROR(MATCH(80,'List A'!$R$5:$R$204,0)+4,"")="","",INDEX('List A'!$D$5:$D$204,IFERROR(MATCH(80,'List A'!$R$5:$R$204,0)+4,"")-4))</f>
        <v/>
      </c>
      <c r="E84" s="53">
        <f>IF(IFERROR(MATCH(80,'List A'!$R$5:$R$204,0)+4,"")="","",INDEX('List A'!$E$5:$E$204,IFERROR(MATCH(80,'List A'!$R$5:$R$204,0)+4,"")-4))</f>
        <v/>
      </c>
      <c r="F84" s="53">
        <f>IF(IFERROR(MATCH(80,'List A'!$R$5:$R$204,0)+4,"")="","",INDEX('List A'!$F$5:$F$204,IFERROR(MATCH(80,'List A'!$R$5:$R$204,0)+4,"")-4))</f>
        <v/>
      </c>
      <c r="G84" s="50">
        <f>IF(IFERROR(MATCH(80,'List A'!$R$5:$R$204,0)+4,"")="","",INDEX('List A'!$G$5:$G$204,IFERROR(MATCH(80,'List A'!$R$5:$R$204,0)+4,"")-4))</f>
        <v/>
      </c>
      <c r="H84" s="53">
        <f>IF(IFERROR(MATCH(80,'List A'!$R$5:$R$204,0)+4,"")="","",INDEX('List A'!$H$5:$H$204,IFERROR(MATCH(80,'List A'!$R$5:$R$204,0)+4,"")-4))</f>
        <v/>
      </c>
      <c r="I84" s="61" t="n"/>
      <c r="J84" s="61" t="n"/>
    </row>
    <row r="85" ht="17" customHeight="1">
      <c r="A85" s="87">
        <f>IF(IFERROR(MATCH(81,'List A'!$R$5:$R$204,0)+4,"")="","",INDEX('List A'!$A$5:$A$204,IFERROR(MATCH(81,'List A'!$R$5:$R$204,0)+4,"")-4))</f>
        <v/>
      </c>
      <c r="B85" s="53">
        <f>IF(IFERROR(MATCH(81,'List A'!$R$5:$R$204,0)+4,"")="","",INDEX('List A'!$B$5:$B$204,IFERROR(MATCH(81,'List A'!$R$5:$R$204,0)+4,"")-4))</f>
        <v/>
      </c>
      <c r="C85" s="52">
        <f>IF(IFERROR(MATCH(81,'List A'!$R$5:$R$204,0)+4,"")="","",INDEX('List A'!$C$5:$C$204,IFERROR(MATCH(81,'List A'!$R$5:$R$204,0)+4,"")-4))</f>
        <v/>
      </c>
      <c r="D85" s="53">
        <f>IF(IFERROR(MATCH(81,'List A'!$R$5:$R$204,0)+4,"")="","",INDEX('List A'!$D$5:$D$204,IFERROR(MATCH(81,'List A'!$R$5:$R$204,0)+4,"")-4))</f>
        <v/>
      </c>
      <c r="E85" s="53">
        <f>IF(IFERROR(MATCH(81,'List A'!$R$5:$R$204,0)+4,"")="","",INDEX('List A'!$E$5:$E$204,IFERROR(MATCH(81,'List A'!$R$5:$R$204,0)+4,"")-4))</f>
        <v/>
      </c>
      <c r="F85" s="53">
        <f>IF(IFERROR(MATCH(81,'List A'!$R$5:$R$204,0)+4,"")="","",INDEX('List A'!$F$5:$F$204,IFERROR(MATCH(81,'List A'!$R$5:$R$204,0)+4,"")-4))</f>
        <v/>
      </c>
      <c r="G85" s="50">
        <f>IF(IFERROR(MATCH(81,'List A'!$R$5:$R$204,0)+4,"")="","",INDEX('List A'!$G$5:$G$204,IFERROR(MATCH(81,'List A'!$R$5:$R$204,0)+4,"")-4))</f>
        <v/>
      </c>
      <c r="H85" s="53">
        <f>IF(IFERROR(MATCH(81,'List A'!$R$5:$R$204,0)+4,"")="","",INDEX('List A'!$H$5:$H$204,IFERROR(MATCH(81,'List A'!$R$5:$R$204,0)+4,"")-4))</f>
        <v/>
      </c>
      <c r="I85" s="61" t="n"/>
      <c r="J85" s="61" t="n"/>
    </row>
    <row r="86" ht="17" customHeight="1">
      <c r="A86" s="87">
        <f>IF(IFERROR(MATCH(82,'List A'!$R$5:$R$204,0)+4,"")="","",INDEX('List A'!$A$5:$A$204,IFERROR(MATCH(82,'List A'!$R$5:$R$204,0)+4,"")-4))</f>
        <v/>
      </c>
      <c r="B86" s="53">
        <f>IF(IFERROR(MATCH(82,'List A'!$R$5:$R$204,0)+4,"")="","",INDEX('List A'!$B$5:$B$204,IFERROR(MATCH(82,'List A'!$R$5:$R$204,0)+4,"")-4))</f>
        <v/>
      </c>
      <c r="C86" s="52">
        <f>IF(IFERROR(MATCH(82,'List A'!$R$5:$R$204,0)+4,"")="","",INDEX('List A'!$C$5:$C$204,IFERROR(MATCH(82,'List A'!$R$5:$R$204,0)+4,"")-4))</f>
        <v/>
      </c>
      <c r="D86" s="53">
        <f>IF(IFERROR(MATCH(82,'List A'!$R$5:$R$204,0)+4,"")="","",INDEX('List A'!$D$5:$D$204,IFERROR(MATCH(82,'List A'!$R$5:$R$204,0)+4,"")-4))</f>
        <v/>
      </c>
      <c r="E86" s="53">
        <f>IF(IFERROR(MATCH(82,'List A'!$R$5:$R$204,0)+4,"")="","",INDEX('List A'!$E$5:$E$204,IFERROR(MATCH(82,'List A'!$R$5:$R$204,0)+4,"")-4))</f>
        <v/>
      </c>
      <c r="F86" s="53">
        <f>IF(IFERROR(MATCH(82,'List A'!$R$5:$R$204,0)+4,"")="","",INDEX('List A'!$F$5:$F$204,IFERROR(MATCH(82,'List A'!$R$5:$R$204,0)+4,"")-4))</f>
        <v/>
      </c>
      <c r="G86" s="50">
        <f>IF(IFERROR(MATCH(82,'List A'!$R$5:$R$204,0)+4,"")="","",INDEX('List A'!$G$5:$G$204,IFERROR(MATCH(82,'List A'!$R$5:$R$204,0)+4,"")-4))</f>
        <v/>
      </c>
      <c r="H86" s="53">
        <f>IF(IFERROR(MATCH(82,'List A'!$R$5:$R$204,0)+4,"")="","",INDEX('List A'!$H$5:$H$204,IFERROR(MATCH(82,'List A'!$R$5:$R$204,0)+4,"")-4))</f>
        <v/>
      </c>
      <c r="I86" s="61" t="n"/>
      <c r="J86" s="61" t="n"/>
    </row>
    <row r="87" ht="17" customHeight="1">
      <c r="A87" s="87">
        <f>IF(IFERROR(MATCH(83,'List A'!$R$5:$R$204,0)+4,"")="","",INDEX('List A'!$A$5:$A$204,IFERROR(MATCH(83,'List A'!$R$5:$R$204,0)+4,"")-4))</f>
        <v/>
      </c>
      <c r="B87" s="53">
        <f>IF(IFERROR(MATCH(83,'List A'!$R$5:$R$204,0)+4,"")="","",INDEX('List A'!$B$5:$B$204,IFERROR(MATCH(83,'List A'!$R$5:$R$204,0)+4,"")-4))</f>
        <v/>
      </c>
      <c r="C87" s="52">
        <f>IF(IFERROR(MATCH(83,'List A'!$R$5:$R$204,0)+4,"")="","",INDEX('List A'!$C$5:$C$204,IFERROR(MATCH(83,'List A'!$R$5:$R$204,0)+4,"")-4))</f>
        <v/>
      </c>
      <c r="D87" s="53">
        <f>IF(IFERROR(MATCH(83,'List A'!$R$5:$R$204,0)+4,"")="","",INDEX('List A'!$D$5:$D$204,IFERROR(MATCH(83,'List A'!$R$5:$R$204,0)+4,"")-4))</f>
        <v/>
      </c>
      <c r="E87" s="53">
        <f>IF(IFERROR(MATCH(83,'List A'!$R$5:$R$204,0)+4,"")="","",INDEX('List A'!$E$5:$E$204,IFERROR(MATCH(83,'List A'!$R$5:$R$204,0)+4,"")-4))</f>
        <v/>
      </c>
      <c r="F87" s="53">
        <f>IF(IFERROR(MATCH(83,'List A'!$R$5:$R$204,0)+4,"")="","",INDEX('List A'!$F$5:$F$204,IFERROR(MATCH(83,'List A'!$R$5:$R$204,0)+4,"")-4))</f>
        <v/>
      </c>
      <c r="G87" s="50">
        <f>IF(IFERROR(MATCH(83,'List A'!$R$5:$R$204,0)+4,"")="","",INDEX('List A'!$G$5:$G$204,IFERROR(MATCH(83,'List A'!$R$5:$R$204,0)+4,"")-4))</f>
        <v/>
      </c>
      <c r="H87" s="53">
        <f>IF(IFERROR(MATCH(83,'List A'!$R$5:$R$204,0)+4,"")="","",INDEX('List A'!$H$5:$H$204,IFERROR(MATCH(83,'List A'!$R$5:$R$204,0)+4,"")-4))</f>
        <v/>
      </c>
      <c r="I87" s="61" t="n"/>
      <c r="J87" s="61" t="n"/>
    </row>
    <row r="88" ht="17" customHeight="1">
      <c r="A88" s="87">
        <f>IF(IFERROR(MATCH(84,'List A'!$R$5:$R$204,0)+4,"")="","",INDEX('List A'!$A$5:$A$204,IFERROR(MATCH(84,'List A'!$R$5:$R$204,0)+4,"")-4))</f>
        <v/>
      </c>
      <c r="B88" s="53">
        <f>IF(IFERROR(MATCH(84,'List A'!$R$5:$R$204,0)+4,"")="","",INDEX('List A'!$B$5:$B$204,IFERROR(MATCH(84,'List A'!$R$5:$R$204,0)+4,"")-4))</f>
        <v/>
      </c>
      <c r="C88" s="52">
        <f>IF(IFERROR(MATCH(84,'List A'!$R$5:$R$204,0)+4,"")="","",INDEX('List A'!$C$5:$C$204,IFERROR(MATCH(84,'List A'!$R$5:$R$204,0)+4,"")-4))</f>
        <v/>
      </c>
      <c r="D88" s="53">
        <f>IF(IFERROR(MATCH(84,'List A'!$R$5:$R$204,0)+4,"")="","",INDEX('List A'!$D$5:$D$204,IFERROR(MATCH(84,'List A'!$R$5:$R$204,0)+4,"")-4))</f>
        <v/>
      </c>
      <c r="E88" s="53">
        <f>IF(IFERROR(MATCH(84,'List A'!$R$5:$R$204,0)+4,"")="","",INDEX('List A'!$E$5:$E$204,IFERROR(MATCH(84,'List A'!$R$5:$R$204,0)+4,"")-4))</f>
        <v/>
      </c>
      <c r="F88" s="53">
        <f>IF(IFERROR(MATCH(84,'List A'!$R$5:$R$204,0)+4,"")="","",INDEX('List A'!$F$5:$F$204,IFERROR(MATCH(84,'List A'!$R$5:$R$204,0)+4,"")-4))</f>
        <v/>
      </c>
      <c r="G88" s="50">
        <f>IF(IFERROR(MATCH(84,'List A'!$R$5:$R$204,0)+4,"")="","",INDEX('List A'!$G$5:$G$204,IFERROR(MATCH(84,'List A'!$R$5:$R$204,0)+4,"")-4))</f>
        <v/>
      </c>
      <c r="H88" s="53">
        <f>IF(IFERROR(MATCH(84,'List A'!$R$5:$R$204,0)+4,"")="","",INDEX('List A'!$H$5:$H$204,IFERROR(MATCH(84,'List A'!$R$5:$R$204,0)+4,"")-4))</f>
        <v/>
      </c>
      <c r="I88" s="61" t="n"/>
      <c r="J88" s="61" t="n"/>
    </row>
    <row r="89" ht="17" customHeight="1">
      <c r="A89" s="87">
        <f>IF(IFERROR(MATCH(85,'List A'!$R$5:$R$204,0)+4,"")="","",INDEX('List A'!$A$5:$A$204,IFERROR(MATCH(85,'List A'!$R$5:$R$204,0)+4,"")-4))</f>
        <v/>
      </c>
      <c r="B89" s="53">
        <f>IF(IFERROR(MATCH(85,'List A'!$R$5:$R$204,0)+4,"")="","",INDEX('List A'!$B$5:$B$204,IFERROR(MATCH(85,'List A'!$R$5:$R$204,0)+4,"")-4))</f>
        <v/>
      </c>
      <c r="C89" s="52">
        <f>IF(IFERROR(MATCH(85,'List A'!$R$5:$R$204,0)+4,"")="","",INDEX('List A'!$C$5:$C$204,IFERROR(MATCH(85,'List A'!$R$5:$R$204,0)+4,"")-4))</f>
        <v/>
      </c>
      <c r="D89" s="53">
        <f>IF(IFERROR(MATCH(85,'List A'!$R$5:$R$204,0)+4,"")="","",INDEX('List A'!$D$5:$D$204,IFERROR(MATCH(85,'List A'!$R$5:$R$204,0)+4,"")-4))</f>
        <v/>
      </c>
      <c r="E89" s="53">
        <f>IF(IFERROR(MATCH(85,'List A'!$R$5:$R$204,0)+4,"")="","",INDEX('List A'!$E$5:$E$204,IFERROR(MATCH(85,'List A'!$R$5:$R$204,0)+4,"")-4))</f>
        <v/>
      </c>
      <c r="F89" s="53">
        <f>IF(IFERROR(MATCH(85,'List A'!$R$5:$R$204,0)+4,"")="","",INDEX('List A'!$F$5:$F$204,IFERROR(MATCH(85,'List A'!$R$5:$R$204,0)+4,"")-4))</f>
        <v/>
      </c>
      <c r="G89" s="50">
        <f>IF(IFERROR(MATCH(85,'List A'!$R$5:$R$204,0)+4,"")="","",INDEX('List A'!$G$5:$G$204,IFERROR(MATCH(85,'List A'!$R$5:$R$204,0)+4,"")-4))</f>
        <v/>
      </c>
      <c r="H89" s="53">
        <f>IF(IFERROR(MATCH(85,'List A'!$R$5:$R$204,0)+4,"")="","",INDEX('List A'!$H$5:$H$204,IFERROR(MATCH(85,'List A'!$R$5:$R$204,0)+4,"")-4))</f>
        <v/>
      </c>
      <c r="I89" s="61" t="n"/>
      <c r="J89" s="61" t="n"/>
    </row>
    <row r="90" ht="17" customHeight="1">
      <c r="A90" s="87">
        <f>IF(IFERROR(MATCH(86,'List A'!$R$5:$R$204,0)+4,"")="","",INDEX('List A'!$A$5:$A$204,IFERROR(MATCH(86,'List A'!$R$5:$R$204,0)+4,"")-4))</f>
        <v/>
      </c>
      <c r="B90" s="53">
        <f>IF(IFERROR(MATCH(86,'List A'!$R$5:$R$204,0)+4,"")="","",INDEX('List A'!$B$5:$B$204,IFERROR(MATCH(86,'List A'!$R$5:$R$204,0)+4,"")-4))</f>
        <v/>
      </c>
      <c r="C90" s="52">
        <f>IF(IFERROR(MATCH(86,'List A'!$R$5:$R$204,0)+4,"")="","",INDEX('List A'!$C$5:$C$204,IFERROR(MATCH(86,'List A'!$R$5:$R$204,0)+4,"")-4))</f>
        <v/>
      </c>
      <c r="D90" s="53">
        <f>IF(IFERROR(MATCH(86,'List A'!$R$5:$R$204,0)+4,"")="","",INDEX('List A'!$D$5:$D$204,IFERROR(MATCH(86,'List A'!$R$5:$R$204,0)+4,"")-4))</f>
        <v/>
      </c>
      <c r="E90" s="53">
        <f>IF(IFERROR(MATCH(86,'List A'!$R$5:$R$204,0)+4,"")="","",INDEX('List A'!$E$5:$E$204,IFERROR(MATCH(86,'List A'!$R$5:$R$204,0)+4,"")-4))</f>
        <v/>
      </c>
      <c r="F90" s="53">
        <f>IF(IFERROR(MATCH(86,'List A'!$R$5:$R$204,0)+4,"")="","",INDEX('List A'!$F$5:$F$204,IFERROR(MATCH(86,'List A'!$R$5:$R$204,0)+4,"")-4))</f>
        <v/>
      </c>
      <c r="G90" s="50">
        <f>IF(IFERROR(MATCH(86,'List A'!$R$5:$R$204,0)+4,"")="","",INDEX('List A'!$G$5:$G$204,IFERROR(MATCH(86,'List A'!$R$5:$R$204,0)+4,"")-4))</f>
        <v/>
      </c>
      <c r="H90" s="53">
        <f>IF(IFERROR(MATCH(86,'List A'!$R$5:$R$204,0)+4,"")="","",INDEX('List A'!$H$5:$H$204,IFERROR(MATCH(86,'List A'!$R$5:$R$204,0)+4,"")-4))</f>
        <v/>
      </c>
      <c r="I90" s="61" t="n"/>
      <c r="J90" s="61" t="n"/>
    </row>
    <row r="91" ht="17" customHeight="1">
      <c r="A91" s="87">
        <f>IF(IFERROR(MATCH(87,'List A'!$R$5:$R$204,0)+4,"")="","",INDEX('List A'!$A$5:$A$204,IFERROR(MATCH(87,'List A'!$R$5:$R$204,0)+4,"")-4))</f>
        <v/>
      </c>
      <c r="B91" s="53">
        <f>IF(IFERROR(MATCH(87,'List A'!$R$5:$R$204,0)+4,"")="","",INDEX('List A'!$B$5:$B$204,IFERROR(MATCH(87,'List A'!$R$5:$R$204,0)+4,"")-4))</f>
        <v/>
      </c>
      <c r="C91" s="52">
        <f>IF(IFERROR(MATCH(87,'List A'!$R$5:$R$204,0)+4,"")="","",INDEX('List A'!$C$5:$C$204,IFERROR(MATCH(87,'List A'!$R$5:$R$204,0)+4,"")-4))</f>
        <v/>
      </c>
      <c r="D91" s="53">
        <f>IF(IFERROR(MATCH(87,'List A'!$R$5:$R$204,0)+4,"")="","",INDEX('List A'!$D$5:$D$204,IFERROR(MATCH(87,'List A'!$R$5:$R$204,0)+4,"")-4))</f>
        <v/>
      </c>
      <c r="E91" s="53">
        <f>IF(IFERROR(MATCH(87,'List A'!$R$5:$R$204,0)+4,"")="","",INDEX('List A'!$E$5:$E$204,IFERROR(MATCH(87,'List A'!$R$5:$R$204,0)+4,"")-4))</f>
        <v/>
      </c>
      <c r="F91" s="53">
        <f>IF(IFERROR(MATCH(87,'List A'!$R$5:$R$204,0)+4,"")="","",INDEX('List A'!$F$5:$F$204,IFERROR(MATCH(87,'List A'!$R$5:$R$204,0)+4,"")-4))</f>
        <v/>
      </c>
      <c r="G91" s="50">
        <f>IF(IFERROR(MATCH(87,'List A'!$R$5:$R$204,0)+4,"")="","",INDEX('List A'!$G$5:$G$204,IFERROR(MATCH(87,'List A'!$R$5:$R$204,0)+4,"")-4))</f>
        <v/>
      </c>
      <c r="H91" s="53">
        <f>IF(IFERROR(MATCH(87,'List A'!$R$5:$R$204,0)+4,"")="","",INDEX('List A'!$H$5:$H$204,IFERROR(MATCH(87,'List A'!$R$5:$R$204,0)+4,"")-4))</f>
        <v/>
      </c>
      <c r="I91" s="61" t="n"/>
      <c r="J91" s="61" t="n"/>
    </row>
    <row r="92" ht="17" customHeight="1">
      <c r="A92" s="87">
        <f>IF(IFERROR(MATCH(88,'List A'!$R$5:$R$204,0)+4,"")="","",INDEX('List A'!$A$5:$A$204,IFERROR(MATCH(88,'List A'!$R$5:$R$204,0)+4,"")-4))</f>
        <v/>
      </c>
      <c r="B92" s="53">
        <f>IF(IFERROR(MATCH(88,'List A'!$R$5:$R$204,0)+4,"")="","",INDEX('List A'!$B$5:$B$204,IFERROR(MATCH(88,'List A'!$R$5:$R$204,0)+4,"")-4))</f>
        <v/>
      </c>
      <c r="C92" s="52">
        <f>IF(IFERROR(MATCH(88,'List A'!$R$5:$R$204,0)+4,"")="","",INDEX('List A'!$C$5:$C$204,IFERROR(MATCH(88,'List A'!$R$5:$R$204,0)+4,"")-4))</f>
        <v/>
      </c>
      <c r="D92" s="53">
        <f>IF(IFERROR(MATCH(88,'List A'!$R$5:$R$204,0)+4,"")="","",INDEX('List A'!$D$5:$D$204,IFERROR(MATCH(88,'List A'!$R$5:$R$204,0)+4,"")-4))</f>
        <v/>
      </c>
      <c r="E92" s="53">
        <f>IF(IFERROR(MATCH(88,'List A'!$R$5:$R$204,0)+4,"")="","",INDEX('List A'!$E$5:$E$204,IFERROR(MATCH(88,'List A'!$R$5:$R$204,0)+4,"")-4))</f>
        <v/>
      </c>
      <c r="F92" s="53">
        <f>IF(IFERROR(MATCH(88,'List A'!$R$5:$R$204,0)+4,"")="","",INDEX('List A'!$F$5:$F$204,IFERROR(MATCH(88,'List A'!$R$5:$R$204,0)+4,"")-4))</f>
        <v/>
      </c>
      <c r="G92" s="50">
        <f>IF(IFERROR(MATCH(88,'List A'!$R$5:$R$204,0)+4,"")="","",INDEX('List A'!$G$5:$G$204,IFERROR(MATCH(88,'List A'!$R$5:$R$204,0)+4,"")-4))</f>
        <v/>
      </c>
      <c r="H92" s="53">
        <f>IF(IFERROR(MATCH(88,'List A'!$R$5:$R$204,0)+4,"")="","",INDEX('List A'!$H$5:$H$204,IFERROR(MATCH(88,'List A'!$R$5:$R$204,0)+4,"")-4))</f>
        <v/>
      </c>
      <c r="I92" s="61" t="n"/>
      <c r="J92" s="61" t="n"/>
    </row>
    <row r="93" ht="17" customHeight="1">
      <c r="A93" s="87">
        <f>IF(IFERROR(MATCH(89,'List A'!$R$5:$R$204,0)+4,"")="","",INDEX('List A'!$A$5:$A$204,IFERROR(MATCH(89,'List A'!$R$5:$R$204,0)+4,"")-4))</f>
        <v/>
      </c>
      <c r="B93" s="53">
        <f>IF(IFERROR(MATCH(89,'List A'!$R$5:$R$204,0)+4,"")="","",INDEX('List A'!$B$5:$B$204,IFERROR(MATCH(89,'List A'!$R$5:$R$204,0)+4,"")-4))</f>
        <v/>
      </c>
      <c r="C93" s="52">
        <f>IF(IFERROR(MATCH(89,'List A'!$R$5:$R$204,0)+4,"")="","",INDEX('List A'!$C$5:$C$204,IFERROR(MATCH(89,'List A'!$R$5:$R$204,0)+4,"")-4))</f>
        <v/>
      </c>
      <c r="D93" s="53">
        <f>IF(IFERROR(MATCH(89,'List A'!$R$5:$R$204,0)+4,"")="","",INDEX('List A'!$D$5:$D$204,IFERROR(MATCH(89,'List A'!$R$5:$R$204,0)+4,"")-4))</f>
        <v/>
      </c>
      <c r="E93" s="53">
        <f>IF(IFERROR(MATCH(89,'List A'!$R$5:$R$204,0)+4,"")="","",INDEX('List A'!$E$5:$E$204,IFERROR(MATCH(89,'List A'!$R$5:$R$204,0)+4,"")-4))</f>
        <v/>
      </c>
      <c r="F93" s="53">
        <f>IF(IFERROR(MATCH(89,'List A'!$R$5:$R$204,0)+4,"")="","",INDEX('List A'!$F$5:$F$204,IFERROR(MATCH(89,'List A'!$R$5:$R$204,0)+4,"")-4))</f>
        <v/>
      </c>
      <c r="G93" s="50">
        <f>IF(IFERROR(MATCH(89,'List A'!$R$5:$R$204,0)+4,"")="","",INDEX('List A'!$G$5:$G$204,IFERROR(MATCH(89,'List A'!$R$5:$R$204,0)+4,"")-4))</f>
        <v/>
      </c>
      <c r="H93" s="53">
        <f>IF(IFERROR(MATCH(89,'List A'!$R$5:$R$204,0)+4,"")="","",INDEX('List A'!$H$5:$H$204,IFERROR(MATCH(89,'List A'!$R$5:$R$204,0)+4,"")-4))</f>
        <v/>
      </c>
      <c r="I93" s="61" t="n"/>
      <c r="J93" s="61" t="n"/>
    </row>
    <row r="94" ht="17" customHeight="1">
      <c r="A94" s="87">
        <f>IF(IFERROR(MATCH(90,'List A'!$R$5:$R$204,0)+4,"")="","",INDEX('List A'!$A$5:$A$204,IFERROR(MATCH(90,'List A'!$R$5:$R$204,0)+4,"")-4))</f>
        <v/>
      </c>
      <c r="B94" s="53">
        <f>IF(IFERROR(MATCH(90,'List A'!$R$5:$R$204,0)+4,"")="","",INDEX('List A'!$B$5:$B$204,IFERROR(MATCH(90,'List A'!$R$5:$R$204,0)+4,"")-4))</f>
        <v/>
      </c>
      <c r="C94" s="52">
        <f>IF(IFERROR(MATCH(90,'List A'!$R$5:$R$204,0)+4,"")="","",INDEX('List A'!$C$5:$C$204,IFERROR(MATCH(90,'List A'!$R$5:$R$204,0)+4,"")-4))</f>
        <v/>
      </c>
      <c r="D94" s="53">
        <f>IF(IFERROR(MATCH(90,'List A'!$R$5:$R$204,0)+4,"")="","",INDEX('List A'!$D$5:$D$204,IFERROR(MATCH(90,'List A'!$R$5:$R$204,0)+4,"")-4))</f>
        <v/>
      </c>
      <c r="E94" s="53">
        <f>IF(IFERROR(MATCH(90,'List A'!$R$5:$R$204,0)+4,"")="","",INDEX('List A'!$E$5:$E$204,IFERROR(MATCH(90,'List A'!$R$5:$R$204,0)+4,"")-4))</f>
        <v/>
      </c>
      <c r="F94" s="53">
        <f>IF(IFERROR(MATCH(90,'List A'!$R$5:$R$204,0)+4,"")="","",INDEX('List A'!$F$5:$F$204,IFERROR(MATCH(90,'List A'!$R$5:$R$204,0)+4,"")-4))</f>
        <v/>
      </c>
      <c r="G94" s="50">
        <f>IF(IFERROR(MATCH(90,'List A'!$R$5:$R$204,0)+4,"")="","",INDEX('List A'!$G$5:$G$204,IFERROR(MATCH(90,'List A'!$R$5:$R$204,0)+4,"")-4))</f>
        <v/>
      </c>
      <c r="H94" s="53">
        <f>IF(IFERROR(MATCH(90,'List A'!$R$5:$R$204,0)+4,"")="","",INDEX('List A'!$H$5:$H$204,IFERROR(MATCH(90,'List A'!$R$5:$R$204,0)+4,"")-4))</f>
        <v/>
      </c>
      <c r="I94" s="61" t="n"/>
      <c r="J94" s="61" t="n"/>
    </row>
    <row r="95" ht="17" customHeight="1">
      <c r="A95" s="87">
        <f>IF(IFERROR(MATCH(91,'List A'!$R$5:$R$204,0)+4,"")="","",INDEX('List A'!$A$5:$A$204,IFERROR(MATCH(91,'List A'!$R$5:$R$204,0)+4,"")-4))</f>
        <v/>
      </c>
      <c r="B95" s="53">
        <f>IF(IFERROR(MATCH(91,'List A'!$R$5:$R$204,0)+4,"")="","",INDEX('List A'!$B$5:$B$204,IFERROR(MATCH(91,'List A'!$R$5:$R$204,0)+4,"")-4))</f>
        <v/>
      </c>
      <c r="C95" s="52">
        <f>IF(IFERROR(MATCH(91,'List A'!$R$5:$R$204,0)+4,"")="","",INDEX('List A'!$C$5:$C$204,IFERROR(MATCH(91,'List A'!$R$5:$R$204,0)+4,"")-4))</f>
        <v/>
      </c>
      <c r="D95" s="53">
        <f>IF(IFERROR(MATCH(91,'List A'!$R$5:$R$204,0)+4,"")="","",INDEX('List A'!$D$5:$D$204,IFERROR(MATCH(91,'List A'!$R$5:$R$204,0)+4,"")-4))</f>
        <v/>
      </c>
      <c r="E95" s="53">
        <f>IF(IFERROR(MATCH(91,'List A'!$R$5:$R$204,0)+4,"")="","",INDEX('List A'!$E$5:$E$204,IFERROR(MATCH(91,'List A'!$R$5:$R$204,0)+4,"")-4))</f>
        <v/>
      </c>
      <c r="F95" s="53">
        <f>IF(IFERROR(MATCH(91,'List A'!$R$5:$R$204,0)+4,"")="","",INDEX('List A'!$F$5:$F$204,IFERROR(MATCH(91,'List A'!$R$5:$R$204,0)+4,"")-4))</f>
        <v/>
      </c>
      <c r="G95" s="50">
        <f>IF(IFERROR(MATCH(91,'List A'!$R$5:$R$204,0)+4,"")="","",INDEX('List A'!$G$5:$G$204,IFERROR(MATCH(91,'List A'!$R$5:$R$204,0)+4,"")-4))</f>
        <v/>
      </c>
      <c r="H95" s="53">
        <f>IF(IFERROR(MATCH(91,'List A'!$R$5:$R$204,0)+4,"")="","",INDEX('List A'!$H$5:$H$204,IFERROR(MATCH(91,'List A'!$R$5:$R$204,0)+4,"")-4))</f>
        <v/>
      </c>
      <c r="I95" s="61" t="n"/>
      <c r="J95" s="61" t="n"/>
    </row>
    <row r="96" ht="17" customHeight="1">
      <c r="A96" s="87">
        <f>IF(IFERROR(MATCH(92,'List A'!$R$5:$R$204,0)+4,"")="","",INDEX('List A'!$A$5:$A$204,IFERROR(MATCH(92,'List A'!$R$5:$R$204,0)+4,"")-4))</f>
        <v/>
      </c>
      <c r="B96" s="53">
        <f>IF(IFERROR(MATCH(92,'List A'!$R$5:$R$204,0)+4,"")="","",INDEX('List A'!$B$5:$B$204,IFERROR(MATCH(92,'List A'!$R$5:$R$204,0)+4,"")-4))</f>
        <v/>
      </c>
      <c r="C96" s="52">
        <f>IF(IFERROR(MATCH(92,'List A'!$R$5:$R$204,0)+4,"")="","",INDEX('List A'!$C$5:$C$204,IFERROR(MATCH(92,'List A'!$R$5:$R$204,0)+4,"")-4))</f>
        <v/>
      </c>
      <c r="D96" s="53">
        <f>IF(IFERROR(MATCH(92,'List A'!$R$5:$R$204,0)+4,"")="","",INDEX('List A'!$D$5:$D$204,IFERROR(MATCH(92,'List A'!$R$5:$R$204,0)+4,"")-4))</f>
        <v/>
      </c>
      <c r="E96" s="53">
        <f>IF(IFERROR(MATCH(92,'List A'!$R$5:$R$204,0)+4,"")="","",INDEX('List A'!$E$5:$E$204,IFERROR(MATCH(92,'List A'!$R$5:$R$204,0)+4,"")-4))</f>
        <v/>
      </c>
      <c r="F96" s="53">
        <f>IF(IFERROR(MATCH(92,'List A'!$R$5:$R$204,0)+4,"")="","",INDEX('List A'!$F$5:$F$204,IFERROR(MATCH(92,'List A'!$R$5:$R$204,0)+4,"")-4))</f>
        <v/>
      </c>
      <c r="G96" s="50">
        <f>IF(IFERROR(MATCH(92,'List A'!$R$5:$R$204,0)+4,"")="","",INDEX('List A'!$G$5:$G$204,IFERROR(MATCH(92,'List A'!$R$5:$R$204,0)+4,"")-4))</f>
        <v/>
      </c>
      <c r="H96" s="53">
        <f>IF(IFERROR(MATCH(92,'List A'!$R$5:$R$204,0)+4,"")="","",INDEX('List A'!$H$5:$H$204,IFERROR(MATCH(92,'List A'!$R$5:$R$204,0)+4,"")-4))</f>
        <v/>
      </c>
      <c r="I96" s="61" t="n"/>
      <c r="J96" s="61" t="n"/>
    </row>
    <row r="97" ht="17" customHeight="1">
      <c r="A97" s="87">
        <f>IF(IFERROR(MATCH(93,'List A'!$R$5:$R$204,0)+4,"")="","",INDEX('List A'!$A$5:$A$204,IFERROR(MATCH(93,'List A'!$R$5:$R$204,0)+4,"")-4))</f>
        <v/>
      </c>
      <c r="B97" s="53">
        <f>IF(IFERROR(MATCH(93,'List A'!$R$5:$R$204,0)+4,"")="","",INDEX('List A'!$B$5:$B$204,IFERROR(MATCH(93,'List A'!$R$5:$R$204,0)+4,"")-4))</f>
        <v/>
      </c>
      <c r="C97" s="52">
        <f>IF(IFERROR(MATCH(93,'List A'!$R$5:$R$204,0)+4,"")="","",INDEX('List A'!$C$5:$C$204,IFERROR(MATCH(93,'List A'!$R$5:$R$204,0)+4,"")-4))</f>
        <v/>
      </c>
      <c r="D97" s="53">
        <f>IF(IFERROR(MATCH(93,'List A'!$R$5:$R$204,0)+4,"")="","",INDEX('List A'!$D$5:$D$204,IFERROR(MATCH(93,'List A'!$R$5:$R$204,0)+4,"")-4))</f>
        <v/>
      </c>
      <c r="E97" s="53">
        <f>IF(IFERROR(MATCH(93,'List A'!$R$5:$R$204,0)+4,"")="","",INDEX('List A'!$E$5:$E$204,IFERROR(MATCH(93,'List A'!$R$5:$R$204,0)+4,"")-4))</f>
        <v/>
      </c>
      <c r="F97" s="53">
        <f>IF(IFERROR(MATCH(93,'List A'!$R$5:$R$204,0)+4,"")="","",INDEX('List A'!$F$5:$F$204,IFERROR(MATCH(93,'List A'!$R$5:$R$204,0)+4,"")-4))</f>
        <v/>
      </c>
      <c r="G97" s="50">
        <f>IF(IFERROR(MATCH(93,'List A'!$R$5:$R$204,0)+4,"")="","",INDEX('List A'!$G$5:$G$204,IFERROR(MATCH(93,'List A'!$R$5:$R$204,0)+4,"")-4))</f>
        <v/>
      </c>
      <c r="H97" s="53">
        <f>IF(IFERROR(MATCH(93,'List A'!$R$5:$R$204,0)+4,"")="","",INDEX('List A'!$H$5:$H$204,IFERROR(MATCH(93,'List A'!$R$5:$R$204,0)+4,"")-4))</f>
        <v/>
      </c>
      <c r="I97" s="61" t="n"/>
      <c r="J97" s="61" t="n"/>
    </row>
    <row r="98" ht="17" customHeight="1">
      <c r="A98" s="87">
        <f>IF(IFERROR(MATCH(94,'List A'!$R$5:$R$204,0)+4,"")="","",INDEX('List A'!$A$5:$A$204,IFERROR(MATCH(94,'List A'!$R$5:$R$204,0)+4,"")-4))</f>
        <v/>
      </c>
      <c r="B98" s="53">
        <f>IF(IFERROR(MATCH(94,'List A'!$R$5:$R$204,0)+4,"")="","",INDEX('List A'!$B$5:$B$204,IFERROR(MATCH(94,'List A'!$R$5:$R$204,0)+4,"")-4))</f>
        <v/>
      </c>
      <c r="C98" s="52">
        <f>IF(IFERROR(MATCH(94,'List A'!$R$5:$R$204,0)+4,"")="","",INDEX('List A'!$C$5:$C$204,IFERROR(MATCH(94,'List A'!$R$5:$R$204,0)+4,"")-4))</f>
        <v/>
      </c>
      <c r="D98" s="53">
        <f>IF(IFERROR(MATCH(94,'List A'!$R$5:$R$204,0)+4,"")="","",INDEX('List A'!$D$5:$D$204,IFERROR(MATCH(94,'List A'!$R$5:$R$204,0)+4,"")-4))</f>
        <v/>
      </c>
      <c r="E98" s="53">
        <f>IF(IFERROR(MATCH(94,'List A'!$R$5:$R$204,0)+4,"")="","",INDEX('List A'!$E$5:$E$204,IFERROR(MATCH(94,'List A'!$R$5:$R$204,0)+4,"")-4))</f>
        <v/>
      </c>
      <c r="F98" s="53">
        <f>IF(IFERROR(MATCH(94,'List A'!$R$5:$R$204,0)+4,"")="","",INDEX('List A'!$F$5:$F$204,IFERROR(MATCH(94,'List A'!$R$5:$R$204,0)+4,"")-4))</f>
        <v/>
      </c>
      <c r="G98" s="50">
        <f>IF(IFERROR(MATCH(94,'List A'!$R$5:$R$204,0)+4,"")="","",INDEX('List A'!$G$5:$G$204,IFERROR(MATCH(94,'List A'!$R$5:$R$204,0)+4,"")-4))</f>
        <v/>
      </c>
      <c r="H98" s="53">
        <f>IF(IFERROR(MATCH(94,'List A'!$R$5:$R$204,0)+4,"")="","",INDEX('List A'!$H$5:$H$204,IFERROR(MATCH(94,'List A'!$R$5:$R$204,0)+4,"")-4))</f>
        <v/>
      </c>
      <c r="I98" s="61" t="n"/>
      <c r="J98" s="61" t="n"/>
    </row>
    <row r="99" ht="17" customHeight="1">
      <c r="A99" s="87">
        <f>IF(IFERROR(MATCH(95,'List A'!$R$5:$R$204,0)+4,"")="","",INDEX('List A'!$A$5:$A$204,IFERROR(MATCH(95,'List A'!$R$5:$R$204,0)+4,"")-4))</f>
        <v/>
      </c>
      <c r="B99" s="53">
        <f>IF(IFERROR(MATCH(95,'List A'!$R$5:$R$204,0)+4,"")="","",INDEX('List A'!$B$5:$B$204,IFERROR(MATCH(95,'List A'!$R$5:$R$204,0)+4,"")-4))</f>
        <v/>
      </c>
      <c r="C99" s="52">
        <f>IF(IFERROR(MATCH(95,'List A'!$R$5:$R$204,0)+4,"")="","",INDEX('List A'!$C$5:$C$204,IFERROR(MATCH(95,'List A'!$R$5:$R$204,0)+4,"")-4))</f>
        <v/>
      </c>
      <c r="D99" s="53">
        <f>IF(IFERROR(MATCH(95,'List A'!$R$5:$R$204,0)+4,"")="","",INDEX('List A'!$D$5:$D$204,IFERROR(MATCH(95,'List A'!$R$5:$R$204,0)+4,"")-4))</f>
        <v/>
      </c>
      <c r="E99" s="53">
        <f>IF(IFERROR(MATCH(95,'List A'!$R$5:$R$204,0)+4,"")="","",INDEX('List A'!$E$5:$E$204,IFERROR(MATCH(95,'List A'!$R$5:$R$204,0)+4,"")-4))</f>
        <v/>
      </c>
      <c r="F99" s="53">
        <f>IF(IFERROR(MATCH(95,'List A'!$R$5:$R$204,0)+4,"")="","",INDEX('List A'!$F$5:$F$204,IFERROR(MATCH(95,'List A'!$R$5:$R$204,0)+4,"")-4))</f>
        <v/>
      </c>
      <c r="G99" s="50">
        <f>IF(IFERROR(MATCH(95,'List A'!$R$5:$R$204,0)+4,"")="","",INDEX('List A'!$G$5:$G$204,IFERROR(MATCH(95,'List A'!$R$5:$R$204,0)+4,"")-4))</f>
        <v/>
      </c>
      <c r="H99" s="53">
        <f>IF(IFERROR(MATCH(95,'List A'!$R$5:$R$204,0)+4,"")="","",INDEX('List A'!$H$5:$H$204,IFERROR(MATCH(95,'List A'!$R$5:$R$204,0)+4,"")-4))</f>
        <v/>
      </c>
      <c r="I99" s="61" t="n"/>
      <c r="J99" s="61" t="n"/>
    </row>
    <row r="100" ht="17" customHeight="1">
      <c r="A100" s="87">
        <f>IF(IFERROR(MATCH(96,'List A'!$R$5:$R$204,0)+4,"")="","",INDEX('List A'!$A$5:$A$204,IFERROR(MATCH(96,'List A'!$R$5:$R$204,0)+4,"")-4))</f>
        <v/>
      </c>
      <c r="B100" s="53">
        <f>IF(IFERROR(MATCH(96,'List A'!$R$5:$R$204,0)+4,"")="","",INDEX('List A'!$B$5:$B$204,IFERROR(MATCH(96,'List A'!$R$5:$R$204,0)+4,"")-4))</f>
        <v/>
      </c>
      <c r="C100" s="52">
        <f>IF(IFERROR(MATCH(96,'List A'!$R$5:$R$204,0)+4,"")="","",INDEX('List A'!$C$5:$C$204,IFERROR(MATCH(96,'List A'!$R$5:$R$204,0)+4,"")-4))</f>
        <v/>
      </c>
      <c r="D100" s="53">
        <f>IF(IFERROR(MATCH(96,'List A'!$R$5:$R$204,0)+4,"")="","",INDEX('List A'!$D$5:$D$204,IFERROR(MATCH(96,'List A'!$R$5:$R$204,0)+4,"")-4))</f>
        <v/>
      </c>
      <c r="E100" s="53">
        <f>IF(IFERROR(MATCH(96,'List A'!$R$5:$R$204,0)+4,"")="","",INDEX('List A'!$E$5:$E$204,IFERROR(MATCH(96,'List A'!$R$5:$R$204,0)+4,"")-4))</f>
        <v/>
      </c>
      <c r="F100" s="53">
        <f>IF(IFERROR(MATCH(96,'List A'!$R$5:$R$204,0)+4,"")="","",INDEX('List A'!$F$5:$F$204,IFERROR(MATCH(96,'List A'!$R$5:$R$204,0)+4,"")-4))</f>
        <v/>
      </c>
      <c r="G100" s="50">
        <f>IF(IFERROR(MATCH(96,'List A'!$R$5:$R$204,0)+4,"")="","",INDEX('List A'!$G$5:$G$204,IFERROR(MATCH(96,'List A'!$R$5:$R$204,0)+4,"")-4))</f>
        <v/>
      </c>
      <c r="H100" s="53">
        <f>IF(IFERROR(MATCH(96,'List A'!$R$5:$R$204,0)+4,"")="","",INDEX('List A'!$H$5:$H$204,IFERROR(MATCH(96,'List A'!$R$5:$R$204,0)+4,"")-4))</f>
        <v/>
      </c>
      <c r="I100" s="61" t="n"/>
      <c r="J100" s="61" t="n"/>
    </row>
    <row r="101" ht="17" customHeight="1">
      <c r="A101" s="87">
        <f>IF(IFERROR(MATCH(97,'List A'!$R$5:$R$204,0)+4,"")="","",INDEX('List A'!$A$5:$A$204,IFERROR(MATCH(97,'List A'!$R$5:$R$204,0)+4,"")-4))</f>
        <v/>
      </c>
      <c r="B101" s="53">
        <f>IF(IFERROR(MATCH(97,'List A'!$R$5:$R$204,0)+4,"")="","",INDEX('List A'!$B$5:$B$204,IFERROR(MATCH(97,'List A'!$R$5:$R$204,0)+4,"")-4))</f>
        <v/>
      </c>
      <c r="C101" s="52">
        <f>IF(IFERROR(MATCH(97,'List A'!$R$5:$R$204,0)+4,"")="","",INDEX('List A'!$C$5:$C$204,IFERROR(MATCH(97,'List A'!$R$5:$R$204,0)+4,"")-4))</f>
        <v/>
      </c>
      <c r="D101" s="53">
        <f>IF(IFERROR(MATCH(97,'List A'!$R$5:$R$204,0)+4,"")="","",INDEX('List A'!$D$5:$D$204,IFERROR(MATCH(97,'List A'!$R$5:$R$204,0)+4,"")-4))</f>
        <v/>
      </c>
      <c r="E101" s="53">
        <f>IF(IFERROR(MATCH(97,'List A'!$R$5:$R$204,0)+4,"")="","",INDEX('List A'!$E$5:$E$204,IFERROR(MATCH(97,'List A'!$R$5:$R$204,0)+4,"")-4))</f>
        <v/>
      </c>
      <c r="F101" s="53">
        <f>IF(IFERROR(MATCH(97,'List A'!$R$5:$R$204,0)+4,"")="","",INDEX('List A'!$F$5:$F$204,IFERROR(MATCH(97,'List A'!$R$5:$R$204,0)+4,"")-4))</f>
        <v/>
      </c>
      <c r="G101" s="50">
        <f>IF(IFERROR(MATCH(97,'List A'!$R$5:$R$204,0)+4,"")="","",INDEX('List A'!$G$5:$G$204,IFERROR(MATCH(97,'List A'!$R$5:$R$204,0)+4,"")-4))</f>
        <v/>
      </c>
      <c r="H101" s="53">
        <f>IF(IFERROR(MATCH(97,'List A'!$R$5:$R$204,0)+4,"")="","",INDEX('List A'!$H$5:$H$204,IFERROR(MATCH(97,'List A'!$R$5:$R$204,0)+4,"")-4))</f>
        <v/>
      </c>
      <c r="I101" s="61" t="n"/>
      <c r="J101" s="61" t="n"/>
    </row>
    <row r="102" ht="17" customHeight="1">
      <c r="A102" s="87">
        <f>IF(IFERROR(MATCH(98,'List A'!$R$5:$R$204,0)+4,"")="","",INDEX('List A'!$A$5:$A$204,IFERROR(MATCH(98,'List A'!$R$5:$R$204,0)+4,"")-4))</f>
        <v/>
      </c>
      <c r="B102" s="53">
        <f>IF(IFERROR(MATCH(98,'List A'!$R$5:$R$204,0)+4,"")="","",INDEX('List A'!$B$5:$B$204,IFERROR(MATCH(98,'List A'!$R$5:$R$204,0)+4,"")-4))</f>
        <v/>
      </c>
      <c r="C102" s="52">
        <f>IF(IFERROR(MATCH(98,'List A'!$R$5:$R$204,0)+4,"")="","",INDEX('List A'!$C$5:$C$204,IFERROR(MATCH(98,'List A'!$R$5:$R$204,0)+4,"")-4))</f>
        <v/>
      </c>
      <c r="D102" s="53">
        <f>IF(IFERROR(MATCH(98,'List A'!$R$5:$R$204,0)+4,"")="","",INDEX('List A'!$D$5:$D$204,IFERROR(MATCH(98,'List A'!$R$5:$R$204,0)+4,"")-4))</f>
        <v/>
      </c>
      <c r="E102" s="53">
        <f>IF(IFERROR(MATCH(98,'List A'!$R$5:$R$204,0)+4,"")="","",INDEX('List A'!$E$5:$E$204,IFERROR(MATCH(98,'List A'!$R$5:$R$204,0)+4,"")-4))</f>
        <v/>
      </c>
      <c r="F102" s="53">
        <f>IF(IFERROR(MATCH(98,'List A'!$R$5:$R$204,0)+4,"")="","",INDEX('List A'!$F$5:$F$204,IFERROR(MATCH(98,'List A'!$R$5:$R$204,0)+4,"")-4))</f>
        <v/>
      </c>
      <c r="G102" s="50">
        <f>IF(IFERROR(MATCH(98,'List A'!$R$5:$R$204,0)+4,"")="","",INDEX('List A'!$G$5:$G$204,IFERROR(MATCH(98,'List A'!$R$5:$R$204,0)+4,"")-4))</f>
        <v/>
      </c>
      <c r="H102" s="53">
        <f>IF(IFERROR(MATCH(98,'List A'!$R$5:$R$204,0)+4,"")="","",INDEX('List A'!$H$5:$H$204,IFERROR(MATCH(98,'List A'!$R$5:$R$204,0)+4,"")-4))</f>
        <v/>
      </c>
      <c r="I102" s="61" t="n"/>
      <c r="J102" s="61" t="n"/>
    </row>
    <row r="103" ht="17" customHeight="1">
      <c r="A103" s="87">
        <f>IF(IFERROR(MATCH(99,'List A'!$R$5:$R$204,0)+4,"")="","",INDEX('List A'!$A$5:$A$204,IFERROR(MATCH(99,'List A'!$R$5:$R$204,0)+4,"")-4))</f>
        <v/>
      </c>
      <c r="B103" s="53">
        <f>IF(IFERROR(MATCH(99,'List A'!$R$5:$R$204,0)+4,"")="","",INDEX('List A'!$B$5:$B$204,IFERROR(MATCH(99,'List A'!$R$5:$R$204,0)+4,"")-4))</f>
        <v/>
      </c>
      <c r="C103" s="52">
        <f>IF(IFERROR(MATCH(99,'List A'!$R$5:$R$204,0)+4,"")="","",INDEX('List A'!$C$5:$C$204,IFERROR(MATCH(99,'List A'!$R$5:$R$204,0)+4,"")-4))</f>
        <v/>
      </c>
      <c r="D103" s="53">
        <f>IF(IFERROR(MATCH(99,'List A'!$R$5:$R$204,0)+4,"")="","",INDEX('List A'!$D$5:$D$204,IFERROR(MATCH(99,'List A'!$R$5:$R$204,0)+4,"")-4))</f>
        <v/>
      </c>
      <c r="E103" s="53">
        <f>IF(IFERROR(MATCH(99,'List A'!$R$5:$R$204,0)+4,"")="","",INDEX('List A'!$E$5:$E$204,IFERROR(MATCH(99,'List A'!$R$5:$R$204,0)+4,"")-4))</f>
        <v/>
      </c>
      <c r="F103" s="53">
        <f>IF(IFERROR(MATCH(99,'List A'!$R$5:$R$204,0)+4,"")="","",INDEX('List A'!$F$5:$F$204,IFERROR(MATCH(99,'List A'!$R$5:$R$204,0)+4,"")-4))</f>
        <v/>
      </c>
      <c r="G103" s="50">
        <f>IF(IFERROR(MATCH(99,'List A'!$R$5:$R$204,0)+4,"")="","",INDEX('List A'!$G$5:$G$204,IFERROR(MATCH(99,'List A'!$R$5:$R$204,0)+4,"")-4))</f>
        <v/>
      </c>
      <c r="H103" s="53">
        <f>IF(IFERROR(MATCH(99,'List A'!$R$5:$R$204,0)+4,"")="","",INDEX('List A'!$H$5:$H$204,IFERROR(MATCH(99,'List A'!$R$5:$R$204,0)+4,"")-4))</f>
        <v/>
      </c>
      <c r="I103" s="61" t="n"/>
      <c r="J103" s="61" t="n"/>
    </row>
    <row r="104" ht="17" customHeight="1">
      <c r="A104" s="87">
        <f>IF(IFERROR(MATCH(100,'List A'!$R$5:$R$204,0)+4,"")="","",INDEX('List A'!$A$5:$A$204,IFERROR(MATCH(100,'List A'!$R$5:$R$204,0)+4,"")-4))</f>
        <v/>
      </c>
      <c r="B104" s="53">
        <f>IF(IFERROR(MATCH(100,'List A'!$R$5:$R$204,0)+4,"")="","",INDEX('List A'!$B$5:$B$204,IFERROR(MATCH(100,'List A'!$R$5:$R$204,0)+4,"")-4))</f>
        <v/>
      </c>
      <c r="C104" s="52">
        <f>IF(IFERROR(MATCH(100,'List A'!$R$5:$R$204,0)+4,"")="","",INDEX('List A'!$C$5:$C$204,IFERROR(MATCH(100,'List A'!$R$5:$R$204,0)+4,"")-4))</f>
        <v/>
      </c>
      <c r="D104" s="53">
        <f>IF(IFERROR(MATCH(100,'List A'!$R$5:$R$204,0)+4,"")="","",INDEX('List A'!$D$5:$D$204,IFERROR(MATCH(100,'List A'!$R$5:$R$204,0)+4,"")-4))</f>
        <v/>
      </c>
      <c r="E104" s="53">
        <f>IF(IFERROR(MATCH(100,'List A'!$R$5:$R$204,0)+4,"")="","",INDEX('List A'!$E$5:$E$204,IFERROR(MATCH(100,'List A'!$R$5:$R$204,0)+4,"")-4))</f>
        <v/>
      </c>
      <c r="F104" s="53">
        <f>IF(IFERROR(MATCH(100,'List A'!$R$5:$R$204,0)+4,"")="","",INDEX('List A'!$F$5:$F$204,IFERROR(MATCH(100,'List A'!$R$5:$R$204,0)+4,"")-4))</f>
        <v/>
      </c>
      <c r="G104" s="50">
        <f>IF(IFERROR(MATCH(100,'List A'!$R$5:$R$204,0)+4,"")="","",INDEX('List A'!$G$5:$G$204,IFERROR(MATCH(100,'List A'!$R$5:$R$204,0)+4,"")-4))</f>
        <v/>
      </c>
      <c r="H104" s="53">
        <f>IF(IFERROR(MATCH(100,'List A'!$R$5:$R$204,0)+4,"")="","",INDEX('List A'!$H$5:$H$204,IFERROR(MATCH(100,'List A'!$R$5:$R$204,0)+4,"")-4))</f>
        <v/>
      </c>
      <c r="I104" s="61" t="n"/>
      <c r="J104" s="61" t="n"/>
    </row>
    <row r="105" ht="17" customHeight="1">
      <c r="A105" s="87">
        <f>IF(IFERROR(MATCH(101,'List A'!$R$5:$R$204,0)+4,"")="","",INDEX('List A'!$A$5:$A$204,IFERROR(MATCH(101,'List A'!$R$5:$R$204,0)+4,"")-4))</f>
        <v/>
      </c>
      <c r="B105" s="53">
        <f>IF(IFERROR(MATCH(101,'List A'!$R$5:$R$204,0)+4,"")="","",INDEX('List A'!$B$5:$B$204,IFERROR(MATCH(101,'List A'!$R$5:$R$204,0)+4,"")-4))</f>
        <v/>
      </c>
      <c r="C105" s="52">
        <f>IF(IFERROR(MATCH(101,'List A'!$R$5:$R$204,0)+4,"")="","",INDEX('List A'!$C$5:$C$204,IFERROR(MATCH(101,'List A'!$R$5:$R$204,0)+4,"")-4))</f>
        <v/>
      </c>
      <c r="D105" s="53">
        <f>IF(IFERROR(MATCH(101,'List A'!$R$5:$R$204,0)+4,"")="","",INDEX('List A'!$D$5:$D$204,IFERROR(MATCH(101,'List A'!$R$5:$R$204,0)+4,"")-4))</f>
        <v/>
      </c>
      <c r="E105" s="53">
        <f>IF(IFERROR(MATCH(101,'List A'!$R$5:$R$204,0)+4,"")="","",INDEX('List A'!$E$5:$E$204,IFERROR(MATCH(101,'List A'!$R$5:$R$204,0)+4,"")-4))</f>
        <v/>
      </c>
      <c r="F105" s="53">
        <f>IF(IFERROR(MATCH(101,'List A'!$R$5:$R$204,0)+4,"")="","",INDEX('List A'!$F$5:$F$204,IFERROR(MATCH(101,'List A'!$R$5:$R$204,0)+4,"")-4))</f>
        <v/>
      </c>
      <c r="G105" s="50">
        <f>IF(IFERROR(MATCH(101,'List A'!$R$5:$R$204,0)+4,"")="","",INDEX('List A'!$G$5:$G$204,IFERROR(MATCH(101,'List A'!$R$5:$R$204,0)+4,"")-4))</f>
        <v/>
      </c>
      <c r="H105" s="53">
        <f>IF(IFERROR(MATCH(101,'List A'!$R$5:$R$204,0)+4,"")="","",INDEX('List A'!$H$5:$H$204,IFERROR(MATCH(101,'List A'!$R$5:$R$204,0)+4,"")-4))</f>
        <v/>
      </c>
      <c r="I105" s="61" t="n"/>
      <c r="J105" s="61" t="n"/>
    </row>
    <row r="106" ht="17" customHeight="1">
      <c r="A106" s="87">
        <f>IF(IFERROR(MATCH(102,'List A'!$R$5:$R$204,0)+4,"")="","",INDEX('List A'!$A$5:$A$204,IFERROR(MATCH(102,'List A'!$R$5:$R$204,0)+4,"")-4))</f>
        <v/>
      </c>
      <c r="B106" s="53">
        <f>IF(IFERROR(MATCH(102,'List A'!$R$5:$R$204,0)+4,"")="","",INDEX('List A'!$B$5:$B$204,IFERROR(MATCH(102,'List A'!$R$5:$R$204,0)+4,"")-4))</f>
        <v/>
      </c>
      <c r="C106" s="52">
        <f>IF(IFERROR(MATCH(102,'List A'!$R$5:$R$204,0)+4,"")="","",INDEX('List A'!$C$5:$C$204,IFERROR(MATCH(102,'List A'!$R$5:$R$204,0)+4,"")-4))</f>
        <v/>
      </c>
      <c r="D106" s="53">
        <f>IF(IFERROR(MATCH(102,'List A'!$R$5:$R$204,0)+4,"")="","",INDEX('List A'!$D$5:$D$204,IFERROR(MATCH(102,'List A'!$R$5:$R$204,0)+4,"")-4))</f>
        <v/>
      </c>
      <c r="E106" s="53">
        <f>IF(IFERROR(MATCH(102,'List A'!$R$5:$R$204,0)+4,"")="","",INDEX('List A'!$E$5:$E$204,IFERROR(MATCH(102,'List A'!$R$5:$R$204,0)+4,"")-4))</f>
        <v/>
      </c>
      <c r="F106" s="53">
        <f>IF(IFERROR(MATCH(102,'List A'!$R$5:$R$204,0)+4,"")="","",INDEX('List A'!$F$5:$F$204,IFERROR(MATCH(102,'List A'!$R$5:$R$204,0)+4,"")-4))</f>
        <v/>
      </c>
      <c r="G106" s="50">
        <f>IF(IFERROR(MATCH(102,'List A'!$R$5:$R$204,0)+4,"")="","",INDEX('List A'!$G$5:$G$204,IFERROR(MATCH(102,'List A'!$R$5:$R$204,0)+4,"")-4))</f>
        <v/>
      </c>
      <c r="H106" s="53">
        <f>IF(IFERROR(MATCH(102,'List A'!$R$5:$R$204,0)+4,"")="","",INDEX('List A'!$H$5:$H$204,IFERROR(MATCH(102,'List A'!$R$5:$R$204,0)+4,"")-4))</f>
        <v/>
      </c>
      <c r="I106" s="61" t="n"/>
      <c r="J106" s="61" t="n"/>
    </row>
    <row r="107" ht="17" customHeight="1">
      <c r="A107" s="87">
        <f>IF(IFERROR(MATCH(103,'List A'!$R$5:$R$204,0)+4,"")="","",INDEX('List A'!$A$5:$A$204,IFERROR(MATCH(103,'List A'!$R$5:$R$204,0)+4,"")-4))</f>
        <v/>
      </c>
      <c r="B107" s="53">
        <f>IF(IFERROR(MATCH(103,'List A'!$R$5:$R$204,0)+4,"")="","",INDEX('List A'!$B$5:$B$204,IFERROR(MATCH(103,'List A'!$R$5:$R$204,0)+4,"")-4))</f>
        <v/>
      </c>
      <c r="C107" s="52">
        <f>IF(IFERROR(MATCH(103,'List A'!$R$5:$R$204,0)+4,"")="","",INDEX('List A'!$C$5:$C$204,IFERROR(MATCH(103,'List A'!$R$5:$R$204,0)+4,"")-4))</f>
        <v/>
      </c>
      <c r="D107" s="53">
        <f>IF(IFERROR(MATCH(103,'List A'!$R$5:$R$204,0)+4,"")="","",INDEX('List A'!$D$5:$D$204,IFERROR(MATCH(103,'List A'!$R$5:$R$204,0)+4,"")-4))</f>
        <v/>
      </c>
      <c r="E107" s="53">
        <f>IF(IFERROR(MATCH(103,'List A'!$R$5:$R$204,0)+4,"")="","",INDEX('List A'!$E$5:$E$204,IFERROR(MATCH(103,'List A'!$R$5:$R$204,0)+4,"")-4))</f>
        <v/>
      </c>
      <c r="F107" s="53">
        <f>IF(IFERROR(MATCH(103,'List A'!$R$5:$R$204,0)+4,"")="","",INDEX('List A'!$F$5:$F$204,IFERROR(MATCH(103,'List A'!$R$5:$R$204,0)+4,"")-4))</f>
        <v/>
      </c>
      <c r="G107" s="50">
        <f>IF(IFERROR(MATCH(103,'List A'!$R$5:$R$204,0)+4,"")="","",INDEX('List A'!$G$5:$G$204,IFERROR(MATCH(103,'List A'!$R$5:$R$204,0)+4,"")-4))</f>
        <v/>
      </c>
      <c r="H107" s="53">
        <f>IF(IFERROR(MATCH(103,'List A'!$R$5:$R$204,0)+4,"")="","",INDEX('List A'!$H$5:$H$204,IFERROR(MATCH(103,'List A'!$R$5:$R$204,0)+4,"")-4))</f>
        <v/>
      </c>
      <c r="I107" s="61" t="n"/>
      <c r="J107" s="61" t="n"/>
    </row>
    <row r="108" ht="17" customHeight="1">
      <c r="A108" s="87">
        <f>IF(IFERROR(MATCH(104,'List A'!$R$5:$R$204,0)+4,"")="","",INDEX('List A'!$A$5:$A$204,IFERROR(MATCH(104,'List A'!$R$5:$R$204,0)+4,"")-4))</f>
        <v/>
      </c>
      <c r="B108" s="53">
        <f>IF(IFERROR(MATCH(104,'List A'!$R$5:$R$204,0)+4,"")="","",INDEX('List A'!$B$5:$B$204,IFERROR(MATCH(104,'List A'!$R$5:$R$204,0)+4,"")-4))</f>
        <v/>
      </c>
      <c r="C108" s="52">
        <f>IF(IFERROR(MATCH(104,'List A'!$R$5:$R$204,0)+4,"")="","",INDEX('List A'!$C$5:$C$204,IFERROR(MATCH(104,'List A'!$R$5:$R$204,0)+4,"")-4))</f>
        <v/>
      </c>
      <c r="D108" s="53">
        <f>IF(IFERROR(MATCH(104,'List A'!$R$5:$R$204,0)+4,"")="","",INDEX('List A'!$D$5:$D$204,IFERROR(MATCH(104,'List A'!$R$5:$R$204,0)+4,"")-4))</f>
        <v/>
      </c>
      <c r="E108" s="53">
        <f>IF(IFERROR(MATCH(104,'List A'!$R$5:$R$204,0)+4,"")="","",INDEX('List A'!$E$5:$E$204,IFERROR(MATCH(104,'List A'!$R$5:$R$204,0)+4,"")-4))</f>
        <v/>
      </c>
      <c r="F108" s="53">
        <f>IF(IFERROR(MATCH(104,'List A'!$R$5:$R$204,0)+4,"")="","",INDEX('List A'!$F$5:$F$204,IFERROR(MATCH(104,'List A'!$R$5:$R$204,0)+4,"")-4))</f>
        <v/>
      </c>
      <c r="G108" s="50">
        <f>IF(IFERROR(MATCH(104,'List A'!$R$5:$R$204,0)+4,"")="","",INDEX('List A'!$G$5:$G$204,IFERROR(MATCH(104,'List A'!$R$5:$R$204,0)+4,"")-4))</f>
        <v/>
      </c>
      <c r="H108" s="53">
        <f>IF(IFERROR(MATCH(104,'List A'!$R$5:$R$204,0)+4,"")="","",INDEX('List A'!$H$5:$H$204,IFERROR(MATCH(104,'List A'!$R$5:$R$204,0)+4,"")-4))</f>
        <v/>
      </c>
      <c r="I108" s="61" t="n"/>
      <c r="J108" s="61" t="n"/>
    </row>
    <row r="109" ht="17" customHeight="1">
      <c r="A109" s="87">
        <f>IF(IFERROR(MATCH(105,'List A'!$R$5:$R$204,0)+4,"")="","",INDEX('List A'!$A$5:$A$204,IFERROR(MATCH(105,'List A'!$R$5:$R$204,0)+4,"")-4))</f>
        <v/>
      </c>
      <c r="B109" s="53">
        <f>IF(IFERROR(MATCH(105,'List A'!$R$5:$R$204,0)+4,"")="","",INDEX('List A'!$B$5:$B$204,IFERROR(MATCH(105,'List A'!$R$5:$R$204,0)+4,"")-4))</f>
        <v/>
      </c>
      <c r="C109" s="52">
        <f>IF(IFERROR(MATCH(105,'List A'!$R$5:$R$204,0)+4,"")="","",INDEX('List A'!$C$5:$C$204,IFERROR(MATCH(105,'List A'!$R$5:$R$204,0)+4,"")-4))</f>
        <v/>
      </c>
      <c r="D109" s="53">
        <f>IF(IFERROR(MATCH(105,'List A'!$R$5:$R$204,0)+4,"")="","",INDEX('List A'!$D$5:$D$204,IFERROR(MATCH(105,'List A'!$R$5:$R$204,0)+4,"")-4))</f>
        <v/>
      </c>
      <c r="E109" s="53">
        <f>IF(IFERROR(MATCH(105,'List A'!$R$5:$R$204,0)+4,"")="","",INDEX('List A'!$E$5:$E$204,IFERROR(MATCH(105,'List A'!$R$5:$R$204,0)+4,"")-4))</f>
        <v/>
      </c>
      <c r="F109" s="53">
        <f>IF(IFERROR(MATCH(105,'List A'!$R$5:$R$204,0)+4,"")="","",INDEX('List A'!$F$5:$F$204,IFERROR(MATCH(105,'List A'!$R$5:$R$204,0)+4,"")-4))</f>
        <v/>
      </c>
      <c r="G109" s="50">
        <f>IF(IFERROR(MATCH(105,'List A'!$R$5:$R$204,0)+4,"")="","",INDEX('List A'!$G$5:$G$204,IFERROR(MATCH(105,'List A'!$R$5:$R$204,0)+4,"")-4))</f>
        <v/>
      </c>
      <c r="H109" s="53">
        <f>IF(IFERROR(MATCH(105,'List A'!$R$5:$R$204,0)+4,"")="","",INDEX('List A'!$H$5:$H$204,IFERROR(MATCH(105,'List A'!$R$5:$R$204,0)+4,"")-4))</f>
        <v/>
      </c>
      <c r="I109" s="61" t="n"/>
      <c r="J109" s="61" t="n"/>
    </row>
    <row r="110" ht="17" customHeight="1">
      <c r="A110" s="87">
        <f>IF(IFERROR(MATCH(106,'List A'!$R$5:$R$204,0)+4,"")="","",INDEX('List A'!$A$5:$A$204,IFERROR(MATCH(106,'List A'!$R$5:$R$204,0)+4,"")-4))</f>
        <v/>
      </c>
      <c r="B110" s="53">
        <f>IF(IFERROR(MATCH(106,'List A'!$R$5:$R$204,0)+4,"")="","",INDEX('List A'!$B$5:$B$204,IFERROR(MATCH(106,'List A'!$R$5:$R$204,0)+4,"")-4))</f>
        <v/>
      </c>
      <c r="C110" s="52">
        <f>IF(IFERROR(MATCH(106,'List A'!$R$5:$R$204,0)+4,"")="","",INDEX('List A'!$C$5:$C$204,IFERROR(MATCH(106,'List A'!$R$5:$R$204,0)+4,"")-4))</f>
        <v/>
      </c>
      <c r="D110" s="53">
        <f>IF(IFERROR(MATCH(106,'List A'!$R$5:$R$204,0)+4,"")="","",INDEX('List A'!$D$5:$D$204,IFERROR(MATCH(106,'List A'!$R$5:$R$204,0)+4,"")-4))</f>
        <v/>
      </c>
      <c r="E110" s="53">
        <f>IF(IFERROR(MATCH(106,'List A'!$R$5:$R$204,0)+4,"")="","",INDEX('List A'!$E$5:$E$204,IFERROR(MATCH(106,'List A'!$R$5:$R$204,0)+4,"")-4))</f>
        <v/>
      </c>
      <c r="F110" s="53">
        <f>IF(IFERROR(MATCH(106,'List A'!$R$5:$R$204,0)+4,"")="","",INDEX('List A'!$F$5:$F$204,IFERROR(MATCH(106,'List A'!$R$5:$R$204,0)+4,"")-4))</f>
        <v/>
      </c>
      <c r="G110" s="50">
        <f>IF(IFERROR(MATCH(106,'List A'!$R$5:$R$204,0)+4,"")="","",INDEX('List A'!$G$5:$G$204,IFERROR(MATCH(106,'List A'!$R$5:$R$204,0)+4,"")-4))</f>
        <v/>
      </c>
      <c r="H110" s="53">
        <f>IF(IFERROR(MATCH(106,'List A'!$R$5:$R$204,0)+4,"")="","",INDEX('List A'!$H$5:$H$204,IFERROR(MATCH(106,'List A'!$R$5:$R$204,0)+4,"")-4))</f>
        <v/>
      </c>
      <c r="I110" s="61" t="n"/>
      <c r="J110" s="61" t="n"/>
    </row>
    <row r="111" ht="17" customHeight="1">
      <c r="A111" s="87">
        <f>IF(IFERROR(MATCH(107,'List A'!$R$5:$R$204,0)+4,"")="","",INDEX('List A'!$A$5:$A$204,IFERROR(MATCH(107,'List A'!$R$5:$R$204,0)+4,"")-4))</f>
        <v/>
      </c>
      <c r="B111" s="53">
        <f>IF(IFERROR(MATCH(107,'List A'!$R$5:$R$204,0)+4,"")="","",INDEX('List A'!$B$5:$B$204,IFERROR(MATCH(107,'List A'!$R$5:$R$204,0)+4,"")-4))</f>
        <v/>
      </c>
      <c r="C111" s="52">
        <f>IF(IFERROR(MATCH(107,'List A'!$R$5:$R$204,0)+4,"")="","",INDEX('List A'!$C$5:$C$204,IFERROR(MATCH(107,'List A'!$R$5:$R$204,0)+4,"")-4))</f>
        <v/>
      </c>
      <c r="D111" s="53">
        <f>IF(IFERROR(MATCH(107,'List A'!$R$5:$R$204,0)+4,"")="","",INDEX('List A'!$D$5:$D$204,IFERROR(MATCH(107,'List A'!$R$5:$R$204,0)+4,"")-4))</f>
        <v/>
      </c>
      <c r="E111" s="53">
        <f>IF(IFERROR(MATCH(107,'List A'!$R$5:$R$204,0)+4,"")="","",INDEX('List A'!$E$5:$E$204,IFERROR(MATCH(107,'List A'!$R$5:$R$204,0)+4,"")-4))</f>
        <v/>
      </c>
      <c r="F111" s="53">
        <f>IF(IFERROR(MATCH(107,'List A'!$R$5:$R$204,0)+4,"")="","",INDEX('List A'!$F$5:$F$204,IFERROR(MATCH(107,'List A'!$R$5:$R$204,0)+4,"")-4))</f>
        <v/>
      </c>
      <c r="G111" s="50">
        <f>IF(IFERROR(MATCH(107,'List A'!$R$5:$R$204,0)+4,"")="","",INDEX('List A'!$G$5:$G$204,IFERROR(MATCH(107,'List A'!$R$5:$R$204,0)+4,"")-4))</f>
        <v/>
      </c>
      <c r="H111" s="53">
        <f>IF(IFERROR(MATCH(107,'List A'!$R$5:$R$204,0)+4,"")="","",INDEX('List A'!$H$5:$H$204,IFERROR(MATCH(107,'List A'!$R$5:$R$204,0)+4,"")-4))</f>
        <v/>
      </c>
      <c r="I111" s="61" t="n"/>
      <c r="J111" s="61" t="n"/>
    </row>
    <row r="112" ht="17" customHeight="1">
      <c r="A112" s="87">
        <f>IF(IFERROR(MATCH(108,'List A'!$R$5:$R$204,0)+4,"")="","",INDEX('List A'!$A$5:$A$204,IFERROR(MATCH(108,'List A'!$R$5:$R$204,0)+4,"")-4))</f>
        <v/>
      </c>
      <c r="B112" s="53">
        <f>IF(IFERROR(MATCH(108,'List A'!$R$5:$R$204,0)+4,"")="","",INDEX('List A'!$B$5:$B$204,IFERROR(MATCH(108,'List A'!$R$5:$R$204,0)+4,"")-4))</f>
        <v/>
      </c>
      <c r="C112" s="52">
        <f>IF(IFERROR(MATCH(108,'List A'!$R$5:$R$204,0)+4,"")="","",INDEX('List A'!$C$5:$C$204,IFERROR(MATCH(108,'List A'!$R$5:$R$204,0)+4,"")-4))</f>
        <v/>
      </c>
      <c r="D112" s="53">
        <f>IF(IFERROR(MATCH(108,'List A'!$R$5:$R$204,0)+4,"")="","",INDEX('List A'!$D$5:$D$204,IFERROR(MATCH(108,'List A'!$R$5:$R$204,0)+4,"")-4))</f>
        <v/>
      </c>
      <c r="E112" s="53">
        <f>IF(IFERROR(MATCH(108,'List A'!$R$5:$R$204,0)+4,"")="","",INDEX('List A'!$E$5:$E$204,IFERROR(MATCH(108,'List A'!$R$5:$R$204,0)+4,"")-4))</f>
        <v/>
      </c>
      <c r="F112" s="53">
        <f>IF(IFERROR(MATCH(108,'List A'!$R$5:$R$204,0)+4,"")="","",INDEX('List A'!$F$5:$F$204,IFERROR(MATCH(108,'List A'!$R$5:$R$204,0)+4,"")-4))</f>
        <v/>
      </c>
      <c r="G112" s="50">
        <f>IF(IFERROR(MATCH(108,'List A'!$R$5:$R$204,0)+4,"")="","",INDEX('List A'!$G$5:$G$204,IFERROR(MATCH(108,'List A'!$R$5:$R$204,0)+4,"")-4))</f>
        <v/>
      </c>
      <c r="H112" s="53">
        <f>IF(IFERROR(MATCH(108,'List A'!$R$5:$R$204,0)+4,"")="","",INDEX('List A'!$H$5:$H$204,IFERROR(MATCH(108,'List A'!$R$5:$R$204,0)+4,"")-4))</f>
        <v/>
      </c>
      <c r="I112" s="61" t="n"/>
      <c r="J112" s="61" t="n"/>
    </row>
    <row r="113" ht="17" customHeight="1">
      <c r="A113" s="87">
        <f>IF(IFERROR(MATCH(109,'List A'!$R$5:$R$204,0)+4,"")="","",INDEX('List A'!$A$5:$A$204,IFERROR(MATCH(109,'List A'!$R$5:$R$204,0)+4,"")-4))</f>
        <v/>
      </c>
      <c r="B113" s="53">
        <f>IF(IFERROR(MATCH(109,'List A'!$R$5:$R$204,0)+4,"")="","",INDEX('List A'!$B$5:$B$204,IFERROR(MATCH(109,'List A'!$R$5:$R$204,0)+4,"")-4))</f>
        <v/>
      </c>
      <c r="C113" s="52">
        <f>IF(IFERROR(MATCH(109,'List A'!$R$5:$R$204,0)+4,"")="","",INDEX('List A'!$C$5:$C$204,IFERROR(MATCH(109,'List A'!$R$5:$R$204,0)+4,"")-4))</f>
        <v/>
      </c>
      <c r="D113" s="53">
        <f>IF(IFERROR(MATCH(109,'List A'!$R$5:$R$204,0)+4,"")="","",INDEX('List A'!$D$5:$D$204,IFERROR(MATCH(109,'List A'!$R$5:$R$204,0)+4,"")-4))</f>
        <v/>
      </c>
      <c r="E113" s="53">
        <f>IF(IFERROR(MATCH(109,'List A'!$R$5:$R$204,0)+4,"")="","",INDEX('List A'!$E$5:$E$204,IFERROR(MATCH(109,'List A'!$R$5:$R$204,0)+4,"")-4))</f>
        <v/>
      </c>
      <c r="F113" s="53">
        <f>IF(IFERROR(MATCH(109,'List A'!$R$5:$R$204,0)+4,"")="","",INDEX('List A'!$F$5:$F$204,IFERROR(MATCH(109,'List A'!$R$5:$R$204,0)+4,"")-4))</f>
        <v/>
      </c>
      <c r="G113" s="50">
        <f>IF(IFERROR(MATCH(109,'List A'!$R$5:$R$204,0)+4,"")="","",INDEX('List A'!$G$5:$G$204,IFERROR(MATCH(109,'List A'!$R$5:$R$204,0)+4,"")-4))</f>
        <v/>
      </c>
      <c r="H113" s="53">
        <f>IF(IFERROR(MATCH(109,'List A'!$R$5:$R$204,0)+4,"")="","",INDEX('List A'!$H$5:$H$204,IFERROR(MATCH(109,'List A'!$R$5:$R$204,0)+4,"")-4))</f>
        <v/>
      </c>
      <c r="I113" s="61" t="n"/>
      <c r="J113" s="61" t="n"/>
    </row>
    <row r="114" ht="17" customHeight="1">
      <c r="A114" s="87">
        <f>IF(IFERROR(MATCH(110,'List A'!$R$5:$R$204,0)+4,"")="","",INDEX('List A'!$A$5:$A$204,IFERROR(MATCH(110,'List A'!$R$5:$R$204,0)+4,"")-4))</f>
        <v/>
      </c>
      <c r="B114" s="53">
        <f>IF(IFERROR(MATCH(110,'List A'!$R$5:$R$204,0)+4,"")="","",INDEX('List A'!$B$5:$B$204,IFERROR(MATCH(110,'List A'!$R$5:$R$204,0)+4,"")-4))</f>
        <v/>
      </c>
      <c r="C114" s="52">
        <f>IF(IFERROR(MATCH(110,'List A'!$R$5:$R$204,0)+4,"")="","",INDEX('List A'!$C$5:$C$204,IFERROR(MATCH(110,'List A'!$R$5:$R$204,0)+4,"")-4))</f>
        <v/>
      </c>
      <c r="D114" s="53">
        <f>IF(IFERROR(MATCH(110,'List A'!$R$5:$R$204,0)+4,"")="","",INDEX('List A'!$D$5:$D$204,IFERROR(MATCH(110,'List A'!$R$5:$R$204,0)+4,"")-4))</f>
        <v/>
      </c>
      <c r="E114" s="53">
        <f>IF(IFERROR(MATCH(110,'List A'!$R$5:$R$204,0)+4,"")="","",INDEX('List A'!$E$5:$E$204,IFERROR(MATCH(110,'List A'!$R$5:$R$204,0)+4,"")-4))</f>
        <v/>
      </c>
      <c r="F114" s="53">
        <f>IF(IFERROR(MATCH(110,'List A'!$R$5:$R$204,0)+4,"")="","",INDEX('List A'!$F$5:$F$204,IFERROR(MATCH(110,'List A'!$R$5:$R$204,0)+4,"")-4))</f>
        <v/>
      </c>
      <c r="G114" s="50">
        <f>IF(IFERROR(MATCH(110,'List A'!$R$5:$R$204,0)+4,"")="","",INDEX('List A'!$G$5:$G$204,IFERROR(MATCH(110,'List A'!$R$5:$R$204,0)+4,"")-4))</f>
        <v/>
      </c>
      <c r="H114" s="53">
        <f>IF(IFERROR(MATCH(110,'List A'!$R$5:$R$204,0)+4,"")="","",INDEX('List A'!$H$5:$H$204,IFERROR(MATCH(110,'List A'!$R$5:$R$204,0)+4,"")-4))</f>
        <v/>
      </c>
      <c r="I114" s="61" t="n"/>
      <c r="J114" s="61" t="n"/>
    </row>
    <row r="115" ht="17" customHeight="1">
      <c r="A115" s="87">
        <f>IF(IFERROR(MATCH(111,'List A'!$R$5:$R$204,0)+4,"")="","",INDEX('List A'!$A$5:$A$204,IFERROR(MATCH(111,'List A'!$R$5:$R$204,0)+4,"")-4))</f>
        <v/>
      </c>
      <c r="B115" s="53">
        <f>IF(IFERROR(MATCH(111,'List A'!$R$5:$R$204,0)+4,"")="","",INDEX('List A'!$B$5:$B$204,IFERROR(MATCH(111,'List A'!$R$5:$R$204,0)+4,"")-4))</f>
        <v/>
      </c>
      <c r="C115" s="52">
        <f>IF(IFERROR(MATCH(111,'List A'!$R$5:$R$204,0)+4,"")="","",INDEX('List A'!$C$5:$C$204,IFERROR(MATCH(111,'List A'!$R$5:$R$204,0)+4,"")-4))</f>
        <v/>
      </c>
      <c r="D115" s="53">
        <f>IF(IFERROR(MATCH(111,'List A'!$R$5:$R$204,0)+4,"")="","",INDEX('List A'!$D$5:$D$204,IFERROR(MATCH(111,'List A'!$R$5:$R$204,0)+4,"")-4))</f>
        <v/>
      </c>
      <c r="E115" s="53">
        <f>IF(IFERROR(MATCH(111,'List A'!$R$5:$R$204,0)+4,"")="","",INDEX('List A'!$E$5:$E$204,IFERROR(MATCH(111,'List A'!$R$5:$R$204,0)+4,"")-4))</f>
        <v/>
      </c>
      <c r="F115" s="53">
        <f>IF(IFERROR(MATCH(111,'List A'!$R$5:$R$204,0)+4,"")="","",INDEX('List A'!$F$5:$F$204,IFERROR(MATCH(111,'List A'!$R$5:$R$204,0)+4,"")-4))</f>
        <v/>
      </c>
      <c r="G115" s="50">
        <f>IF(IFERROR(MATCH(111,'List A'!$R$5:$R$204,0)+4,"")="","",INDEX('List A'!$G$5:$G$204,IFERROR(MATCH(111,'List A'!$R$5:$R$204,0)+4,"")-4))</f>
        <v/>
      </c>
      <c r="H115" s="53">
        <f>IF(IFERROR(MATCH(111,'List A'!$R$5:$R$204,0)+4,"")="","",INDEX('List A'!$H$5:$H$204,IFERROR(MATCH(111,'List A'!$R$5:$R$204,0)+4,"")-4))</f>
        <v/>
      </c>
      <c r="I115" s="61" t="n"/>
      <c r="J115" s="61" t="n"/>
    </row>
    <row r="116" ht="17" customHeight="1">
      <c r="A116" s="87">
        <f>IF(IFERROR(MATCH(112,'List A'!$R$5:$R$204,0)+4,"")="","",INDEX('List A'!$A$5:$A$204,IFERROR(MATCH(112,'List A'!$R$5:$R$204,0)+4,"")-4))</f>
        <v/>
      </c>
      <c r="B116" s="53">
        <f>IF(IFERROR(MATCH(112,'List A'!$R$5:$R$204,0)+4,"")="","",INDEX('List A'!$B$5:$B$204,IFERROR(MATCH(112,'List A'!$R$5:$R$204,0)+4,"")-4))</f>
        <v/>
      </c>
      <c r="C116" s="52">
        <f>IF(IFERROR(MATCH(112,'List A'!$R$5:$R$204,0)+4,"")="","",INDEX('List A'!$C$5:$C$204,IFERROR(MATCH(112,'List A'!$R$5:$R$204,0)+4,"")-4))</f>
        <v/>
      </c>
      <c r="D116" s="53">
        <f>IF(IFERROR(MATCH(112,'List A'!$R$5:$R$204,0)+4,"")="","",INDEX('List A'!$D$5:$D$204,IFERROR(MATCH(112,'List A'!$R$5:$R$204,0)+4,"")-4))</f>
        <v/>
      </c>
      <c r="E116" s="53">
        <f>IF(IFERROR(MATCH(112,'List A'!$R$5:$R$204,0)+4,"")="","",INDEX('List A'!$E$5:$E$204,IFERROR(MATCH(112,'List A'!$R$5:$R$204,0)+4,"")-4))</f>
        <v/>
      </c>
      <c r="F116" s="53">
        <f>IF(IFERROR(MATCH(112,'List A'!$R$5:$R$204,0)+4,"")="","",INDEX('List A'!$F$5:$F$204,IFERROR(MATCH(112,'List A'!$R$5:$R$204,0)+4,"")-4))</f>
        <v/>
      </c>
      <c r="G116" s="50">
        <f>IF(IFERROR(MATCH(112,'List A'!$R$5:$R$204,0)+4,"")="","",INDEX('List A'!$G$5:$G$204,IFERROR(MATCH(112,'List A'!$R$5:$R$204,0)+4,"")-4))</f>
        <v/>
      </c>
      <c r="H116" s="53">
        <f>IF(IFERROR(MATCH(112,'List A'!$R$5:$R$204,0)+4,"")="","",INDEX('List A'!$H$5:$H$204,IFERROR(MATCH(112,'List A'!$R$5:$R$204,0)+4,"")-4))</f>
        <v/>
      </c>
      <c r="I116" s="61" t="n"/>
      <c r="J116" s="61" t="n"/>
    </row>
    <row r="117" ht="17" customHeight="1">
      <c r="A117" s="87">
        <f>IF(IFERROR(MATCH(113,'List A'!$R$5:$R$204,0)+4,"")="","",INDEX('List A'!$A$5:$A$204,IFERROR(MATCH(113,'List A'!$R$5:$R$204,0)+4,"")-4))</f>
        <v/>
      </c>
      <c r="B117" s="53">
        <f>IF(IFERROR(MATCH(113,'List A'!$R$5:$R$204,0)+4,"")="","",INDEX('List A'!$B$5:$B$204,IFERROR(MATCH(113,'List A'!$R$5:$R$204,0)+4,"")-4))</f>
        <v/>
      </c>
      <c r="C117" s="52">
        <f>IF(IFERROR(MATCH(113,'List A'!$R$5:$R$204,0)+4,"")="","",INDEX('List A'!$C$5:$C$204,IFERROR(MATCH(113,'List A'!$R$5:$R$204,0)+4,"")-4))</f>
        <v/>
      </c>
      <c r="D117" s="53">
        <f>IF(IFERROR(MATCH(113,'List A'!$R$5:$R$204,0)+4,"")="","",INDEX('List A'!$D$5:$D$204,IFERROR(MATCH(113,'List A'!$R$5:$R$204,0)+4,"")-4))</f>
        <v/>
      </c>
      <c r="E117" s="53">
        <f>IF(IFERROR(MATCH(113,'List A'!$R$5:$R$204,0)+4,"")="","",INDEX('List A'!$E$5:$E$204,IFERROR(MATCH(113,'List A'!$R$5:$R$204,0)+4,"")-4))</f>
        <v/>
      </c>
      <c r="F117" s="53">
        <f>IF(IFERROR(MATCH(113,'List A'!$R$5:$R$204,0)+4,"")="","",INDEX('List A'!$F$5:$F$204,IFERROR(MATCH(113,'List A'!$R$5:$R$204,0)+4,"")-4))</f>
        <v/>
      </c>
      <c r="G117" s="50">
        <f>IF(IFERROR(MATCH(113,'List A'!$R$5:$R$204,0)+4,"")="","",INDEX('List A'!$G$5:$G$204,IFERROR(MATCH(113,'List A'!$R$5:$R$204,0)+4,"")-4))</f>
        <v/>
      </c>
      <c r="H117" s="53">
        <f>IF(IFERROR(MATCH(113,'List A'!$R$5:$R$204,0)+4,"")="","",INDEX('List A'!$H$5:$H$204,IFERROR(MATCH(113,'List A'!$R$5:$R$204,0)+4,"")-4))</f>
        <v/>
      </c>
      <c r="I117" s="61" t="n"/>
      <c r="J117" s="61" t="n"/>
    </row>
    <row r="118" ht="17" customHeight="1">
      <c r="A118" s="87">
        <f>IF(IFERROR(MATCH(114,'List A'!$R$5:$R$204,0)+4,"")="","",INDEX('List A'!$A$5:$A$204,IFERROR(MATCH(114,'List A'!$R$5:$R$204,0)+4,"")-4))</f>
        <v/>
      </c>
      <c r="B118" s="53">
        <f>IF(IFERROR(MATCH(114,'List A'!$R$5:$R$204,0)+4,"")="","",INDEX('List A'!$B$5:$B$204,IFERROR(MATCH(114,'List A'!$R$5:$R$204,0)+4,"")-4))</f>
        <v/>
      </c>
      <c r="C118" s="52">
        <f>IF(IFERROR(MATCH(114,'List A'!$R$5:$R$204,0)+4,"")="","",INDEX('List A'!$C$5:$C$204,IFERROR(MATCH(114,'List A'!$R$5:$R$204,0)+4,"")-4))</f>
        <v/>
      </c>
      <c r="D118" s="53">
        <f>IF(IFERROR(MATCH(114,'List A'!$R$5:$R$204,0)+4,"")="","",INDEX('List A'!$D$5:$D$204,IFERROR(MATCH(114,'List A'!$R$5:$R$204,0)+4,"")-4))</f>
        <v/>
      </c>
      <c r="E118" s="53">
        <f>IF(IFERROR(MATCH(114,'List A'!$R$5:$R$204,0)+4,"")="","",INDEX('List A'!$E$5:$E$204,IFERROR(MATCH(114,'List A'!$R$5:$R$204,0)+4,"")-4))</f>
        <v/>
      </c>
      <c r="F118" s="53">
        <f>IF(IFERROR(MATCH(114,'List A'!$R$5:$R$204,0)+4,"")="","",INDEX('List A'!$F$5:$F$204,IFERROR(MATCH(114,'List A'!$R$5:$R$204,0)+4,"")-4))</f>
        <v/>
      </c>
      <c r="G118" s="50">
        <f>IF(IFERROR(MATCH(114,'List A'!$R$5:$R$204,0)+4,"")="","",INDEX('List A'!$G$5:$G$204,IFERROR(MATCH(114,'List A'!$R$5:$R$204,0)+4,"")-4))</f>
        <v/>
      </c>
      <c r="H118" s="53">
        <f>IF(IFERROR(MATCH(114,'List A'!$R$5:$R$204,0)+4,"")="","",INDEX('List A'!$H$5:$H$204,IFERROR(MATCH(114,'List A'!$R$5:$R$204,0)+4,"")-4))</f>
        <v/>
      </c>
      <c r="I118" s="61" t="n"/>
      <c r="J118" s="61" t="n"/>
    </row>
    <row r="119" ht="17" customHeight="1">
      <c r="A119" s="87">
        <f>IF(IFERROR(MATCH(115,'List A'!$R$5:$R$204,0)+4,"")="","",INDEX('List A'!$A$5:$A$204,IFERROR(MATCH(115,'List A'!$R$5:$R$204,0)+4,"")-4))</f>
        <v/>
      </c>
      <c r="B119" s="53">
        <f>IF(IFERROR(MATCH(115,'List A'!$R$5:$R$204,0)+4,"")="","",INDEX('List A'!$B$5:$B$204,IFERROR(MATCH(115,'List A'!$R$5:$R$204,0)+4,"")-4))</f>
        <v/>
      </c>
      <c r="C119" s="52">
        <f>IF(IFERROR(MATCH(115,'List A'!$R$5:$R$204,0)+4,"")="","",INDEX('List A'!$C$5:$C$204,IFERROR(MATCH(115,'List A'!$R$5:$R$204,0)+4,"")-4))</f>
        <v/>
      </c>
      <c r="D119" s="53">
        <f>IF(IFERROR(MATCH(115,'List A'!$R$5:$R$204,0)+4,"")="","",INDEX('List A'!$D$5:$D$204,IFERROR(MATCH(115,'List A'!$R$5:$R$204,0)+4,"")-4))</f>
        <v/>
      </c>
      <c r="E119" s="53">
        <f>IF(IFERROR(MATCH(115,'List A'!$R$5:$R$204,0)+4,"")="","",INDEX('List A'!$E$5:$E$204,IFERROR(MATCH(115,'List A'!$R$5:$R$204,0)+4,"")-4))</f>
        <v/>
      </c>
      <c r="F119" s="53">
        <f>IF(IFERROR(MATCH(115,'List A'!$R$5:$R$204,0)+4,"")="","",INDEX('List A'!$F$5:$F$204,IFERROR(MATCH(115,'List A'!$R$5:$R$204,0)+4,"")-4))</f>
        <v/>
      </c>
      <c r="G119" s="50">
        <f>IF(IFERROR(MATCH(115,'List A'!$R$5:$R$204,0)+4,"")="","",INDEX('List A'!$G$5:$G$204,IFERROR(MATCH(115,'List A'!$R$5:$R$204,0)+4,"")-4))</f>
        <v/>
      </c>
      <c r="H119" s="53">
        <f>IF(IFERROR(MATCH(115,'List A'!$R$5:$R$204,0)+4,"")="","",INDEX('List A'!$H$5:$H$204,IFERROR(MATCH(115,'List A'!$R$5:$R$204,0)+4,"")-4))</f>
        <v/>
      </c>
      <c r="I119" s="61" t="n"/>
      <c r="J119" s="61" t="n"/>
    </row>
    <row r="120" ht="17" customHeight="1">
      <c r="A120" s="87">
        <f>IF(IFERROR(MATCH(116,'List A'!$R$5:$R$204,0)+4,"")="","",INDEX('List A'!$A$5:$A$204,IFERROR(MATCH(116,'List A'!$R$5:$R$204,0)+4,"")-4))</f>
        <v/>
      </c>
      <c r="B120" s="53">
        <f>IF(IFERROR(MATCH(116,'List A'!$R$5:$R$204,0)+4,"")="","",INDEX('List A'!$B$5:$B$204,IFERROR(MATCH(116,'List A'!$R$5:$R$204,0)+4,"")-4))</f>
        <v/>
      </c>
      <c r="C120" s="52">
        <f>IF(IFERROR(MATCH(116,'List A'!$R$5:$R$204,0)+4,"")="","",INDEX('List A'!$C$5:$C$204,IFERROR(MATCH(116,'List A'!$R$5:$R$204,0)+4,"")-4))</f>
        <v/>
      </c>
      <c r="D120" s="53">
        <f>IF(IFERROR(MATCH(116,'List A'!$R$5:$R$204,0)+4,"")="","",INDEX('List A'!$D$5:$D$204,IFERROR(MATCH(116,'List A'!$R$5:$R$204,0)+4,"")-4))</f>
        <v/>
      </c>
      <c r="E120" s="53">
        <f>IF(IFERROR(MATCH(116,'List A'!$R$5:$R$204,0)+4,"")="","",INDEX('List A'!$E$5:$E$204,IFERROR(MATCH(116,'List A'!$R$5:$R$204,0)+4,"")-4))</f>
        <v/>
      </c>
      <c r="F120" s="53">
        <f>IF(IFERROR(MATCH(116,'List A'!$R$5:$R$204,0)+4,"")="","",INDEX('List A'!$F$5:$F$204,IFERROR(MATCH(116,'List A'!$R$5:$R$204,0)+4,"")-4))</f>
        <v/>
      </c>
      <c r="G120" s="50">
        <f>IF(IFERROR(MATCH(116,'List A'!$R$5:$R$204,0)+4,"")="","",INDEX('List A'!$G$5:$G$204,IFERROR(MATCH(116,'List A'!$R$5:$R$204,0)+4,"")-4))</f>
        <v/>
      </c>
      <c r="H120" s="53">
        <f>IF(IFERROR(MATCH(116,'List A'!$R$5:$R$204,0)+4,"")="","",INDEX('List A'!$H$5:$H$204,IFERROR(MATCH(116,'List A'!$R$5:$R$204,0)+4,"")-4))</f>
        <v/>
      </c>
      <c r="I120" s="61" t="n"/>
      <c r="J120" s="61" t="n"/>
    </row>
    <row r="121" ht="17" customHeight="1">
      <c r="A121" s="87">
        <f>IF(IFERROR(MATCH(117,'List A'!$R$5:$R$204,0)+4,"")="","",INDEX('List A'!$A$5:$A$204,IFERROR(MATCH(117,'List A'!$R$5:$R$204,0)+4,"")-4))</f>
        <v/>
      </c>
      <c r="B121" s="53">
        <f>IF(IFERROR(MATCH(117,'List A'!$R$5:$R$204,0)+4,"")="","",INDEX('List A'!$B$5:$B$204,IFERROR(MATCH(117,'List A'!$R$5:$R$204,0)+4,"")-4))</f>
        <v/>
      </c>
      <c r="C121" s="52">
        <f>IF(IFERROR(MATCH(117,'List A'!$R$5:$R$204,0)+4,"")="","",INDEX('List A'!$C$5:$C$204,IFERROR(MATCH(117,'List A'!$R$5:$R$204,0)+4,"")-4))</f>
        <v/>
      </c>
      <c r="D121" s="53">
        <f>IF(IFERROR(MATCH(117,'List A'!$R$5:$R$204,0)+4,"")="","",INDEX('List A'!$D$5:$D$204,IFERROR(MATCH(117,'List A'!$R$5:$R$204,0)+4,"")-4))</f>
        <v/>
      </c>
      <c r="E121" s="53">
        <f>IF(IFERROR(MATCH(117,'List A'!$R$5:$R$204,0)+4,"")="","",INDEX('List A'!$E$5:$E$204,IFERROR(MATCH(117,'List A'!$R$5:$R$204,0)+4,"")-4))</f>
        <v/>
      </c>
      <c r="F121" s="53">
        <f>IF(IFERROR(MATCH(117,'List A'!$R$5:$R$204,0)+4,"")="","",INDEX('List A'!$F$5:$F$204,IFERROR(MATCH(117,'List A'!$R$5:$R$204,0)+4,"")-4))</f>
        <v/>
      </c>
      <c r="G121" s="50">
        <f>IF(IFERROR(MATCH(117,'List A'!$R$5:$R$204,0)+4,"")="","",INDEX('List A'!$G$5:$G$204,IFERROR(MATCH(117,'List A'!$R$5:$R$204,0)+4,"")-4))</f>
        <v/>
      </c>
      <c r="H121" s="53">
        <f>IF(IFERROR(MATCH(117,'List A'!$R$5:$R$204,0)+4,"")="","",INDEX('List A'!$H$5:$H$204,IFERROR(MATCH(117,'List A'!$R$5:$R$204,0)+4,"")-4))</f>
        <v/>
      </c>
      <c r="I121" s="61" t="n"/>
      <c r="J121" s="61" t="n"/>
    </row>
    <row r="122" ht="17" customHeight="1">
      <c r="A122" s="87">
        <f>IF(IFERROR(MATCH(118,'List A'!$R$5:$R$204,0)+4,"")="","",INDEX('List A'!$A$5:$A$204,IFERROR(MATCH(118,'List A'!$R$5:$R$204,0)+4,"")-4))</f>
        <v/>
      </c>
      <c r="B122" s="53">
        <f>IF(IFERROR(MATCH(118,'List A'!$R$5:$R$204,0)+4,"")="","",INDEX('List A'!$B$5:$B$204,IFERROR(MATCH(118,'List A'!$R$5:$R$204,0)+4,"")-4))</f>
        <v/>
      </c>
      <c r="C122" s="52">
        <f>IF(IFERROR(MATCH(118,'List A'!$R$5:$R$204,0)+4,"")="","",INDEX('List A'!$C$5:$C$204,IFERROR(MATCH(118,'List A'!$R$5:$R$204,0)+4,"")-4))</f>
        <v/>
      </c>
      <c r="D122" s="53">
        <f>IF(IFERROR(MATCH(118,'List A'!$R$5:$R$204,0)+4,"")="","",INDEX('List A'!$D$5:$D$204,IFERROR(MATCH(118,'List A'!$R$5:$R$204,0)+4,"")-4))</f>
        <v/>
      </c>
      <c r="E122" s="53">
        <f>IF(IFERROR(MATCH(118,'List A'!$R$5:$R$204,0)+4,"")="","",INDEX('List A'!$E$5:$E$204,IFERROR(MATCH(118,'List A'!$R$5:$R$204,0)+4,"")-4))</f>
        <v/>
      </c>
      <c r="F122" s="53">
        <f>IF(IFERROR(MATCH(118,'List A'!$R$5:$R$204,0)+4,"")="","",INDEX('List A'!$F$5:$F$204,IFERROR(MATCH(118,'List A'!$R$5:$R$204,0)+4,"")-4))</f>
        <v/>
      </c>
      <c r="G122" s="50">
        <f>IF(IFERROR(MATCH(118,'List A'!$R$5:$R$204,0)+4,"")="","",INDEX('List A'!$G$5:$G$204,IFERROR(MATCH(118,'List A'!$R$5:$R$204,0)+4,"")-4))</f>
        <v/>
      </c>
      <c r="H122" s="53">
        <f>IF(IFERROR(MATCH(118,'List A'!$R$5:$R$204,0)+4,"")="","",INDEX('List A'!$H$5:$H$204,IFERROR(MATCH(118,'List A'!$R$5:$R$204,0)+4,"")-4))</f>
        <v/>
      </c>
      <c r="I122" s="61" t="n"/>
      <c r="J122" s="61" t="n"/>
    </row>
    <row r="123" ht="17" customHeight="1">
      <c r="A123" s="87">
        <f>IF(IFERROR(MATCH(119,'List A'!$R$5:$R$204,0)+4,"")="","",INDEX('List A'!$A$5:$A$204,IFERROR(MATCH(119,'List A'!$R$5:$R$204,0)+4,"")-4))</f>
        <v/>
      </c>
      <c r="B123" s="53">
        <f>IF(IFERROR(MATCH(119,'List A'!$R$5:$R$204,0)+4,"")="","",INDEX('List A'!$B$5:$B$204,IFERROR(MATCH(119,'List A'!$R$5:$R$204,0)+4,"")-4))</f>
        <v/>
      </c>
      <c r="C123" s="52">
        <f>IF(IFERROR(MATCH(119,'List A'!$R$5:$R$204,0)+4,"")="","",INDEX('List A'!$C$5:$C$204,IFERROR(MATCH(119,'List A'!$R$5:$R$204,0)+4,"")-4))</f>
        <v/>
      </c>
      <c r="D123" s="53">
        <f>IF(IFERROR(MATCH(119,'List A'!$R$5:$R$204,0)+4,"")="","",INDEX('List A'!$D$5:$D$204,IFERROR(MATCH(119,'List A'!$R$5:$R$204,0)+4,"")-4))</f>
        <v/>
      </c>
      <c r="E123" s="53">
        <f>IF(IFERROR(MATCH(119,'List A'!$R$5:$R$204,0)+4,"")="","",INDEX('List A'!$E$5:$E$204,IFERROR(MATCH(119,'List A'!$R$5:$R$204,0)+4,"")-4))</f>
        <v/>
      </c>
      <c r="F123" s="53">
        <f>IF(IFERROR(MATCH(119,'List A'!$R$5:$R$204,0)+4,"")="","",INDEX('List A'!$F$5:$F$204,IFERROR(MATCH(119,'List A'!$R$5:$R$204,0)+4,"")-4))</f>
        <v/>
      </c>
      <c r="G123" s="50">
        <f>IF(IFERROR(MATCH(119,'List A'!$R$5:$R$204,0)+4,"")="","",INDEX('List A'!$G$5:$G$204,IFERROR(MATCH(119,'List A'!$R$5:$R$204,0)+4,"")-4))</f>
        <v/>
      </c>
      <c r="H123" s="53">
        <f>IF(IFERROR(MATCH(119,'List A'!$R$5:$R$204,0)+4,"")="","",INDEX('List A'!$H$5:$H$204,IFERROR(MATCH(119,'List A'!$R$5:$R$204,0)+4,"")-4))</f>
        <v/>
      </c>
      <c r="I123" s="61" t="n"/>
      <c r="J123" s="61" t="n"/>
    </row>
    <row r="124" ht="17" customHeight="1">
      <c r="A124" s="87">
        <f>IF(IFERROR(MATCH(120,'List A'!$R$5:$R$204,0)+4,"")="","",INDEX('List A'!$A$5:$A$204,IFERROR(MATCH(120,'List A'!$R$5:$R$204,0)+4,"")-4))</f>
        <v/>
      </c>
      <c r="B124" s="53">
        <f>IF(IFERROR(MATCH(120,'List A'!$R$5:$R$204,0)+4,"")="","",INDEX('List A'!$B$5:$B$204,IFERROR(MATCH(120,'List A'!$R$5:$R$204,0)+4,"")-4))</f>
        <v/>
      </c>
      <c r="C124" s="52">
        <f>IF(IFERROR(MATCH(120,'List A'!$R$5:$R$204,0)+4,"")="","",INDEX('List A'!$C$5:$C$204,IFERROR(MATCH(120,'List A'!$R$5:$R$204,0)+4,"")-4))</f>
        <v/>
      </c>
      <c r="D124" s="53">
        <f>IF(IFERROR(MATCH(120,'List A'!$R$5:$R$204,0)+4,"")="","",INDEX('List A'!$D$5:$D$204,IFERROR(MATCH(120,'List A'!$R$5:$R$204,0)+4,"")-4))</f>
        <v/>
      </c>
      <c r="E124" s="53">
        <f>IF(IFERROR(MATCH(120,'List A'!$R$5:$R$204,0)+4,"")="","",INDEX('List A'!$E$5:$E$204,IFERROR(MATCH(120,'List A'!$R$5:$R$204,0)+4,"")-4))</f>
        <v/>
      </c>
      <c r="F124" s="53">
        <f>IF(IFERROR(MATCH(120,'List A'!$R$5:$R$204,0)+4,"")="","",INDEX('List A'!$F$5:$F$204,IFERROR(MATCH(120,'List A'!$R$5:$R$204,0)+4,"")-4))</f>
        <v/>
      </c>
      <c r="G124" s="50">
        <f>IF(IFERROR(MATCH(120,'List A'!$R$5:$R$204,0)+4,"")="","",INDEX('List A'!$G$5:$G$204,IFERROR(MATCH(120,'List A'!$R$5:$R$204,0)+4,"")-4))</f>
        <v/>
      </c>
      <c r="H124" s="53">
        <f>IF(IFERROR(MATCH(120,'List A'!$R$5:$R$204,0)+4,"")="","",INDEX('List A'!$H$5:$H$204,IFERROR(MATCH(120,'List A'!$R$5:$R$204,0)+4,"")-4))</f>
        <v/>
      </c>
      <c r="I124" s="61" t="n"/>
      <c r="J124" s="61" t="n"/>
    </row>
    <row r="125" ht="17" customHeight="1">
      <c r="A125" s="87">
        <f>IF(IFERROR(MATCH(121,'List A'!$R$5:$R$204,0)+4,"")="","",INDEX('List A'!$A$5:$A$204,IFERROR(MATCH(121,'List A'!$R$5:$R$204,0)+4,"")-4))</f>
        <v/>
      </c>
      <c r="B125" s="53">
        <f>IF(IFERROR(MATCH(121,'List A'!$R$5:$R$204,0)+4,"")="","",INDEX('List A'!$B$5:$B$204,IFERROR(MATCH(121,'List A'!$R$5:$R$204,0)+4,"")-4))</f>
        <v/>
      </c>
      <c r="C125" s="52">
        <f>IF(IFERROR(MATCH(121,'List A'!$R$5:$R$204,0)+4,"")="","",INDEX('List A'!$C$5:$C$204,IFERROR(MATCH(121,'List A'!$R$5:$R$204,0)+4,"")-4))</f>
        <v/>
      </c>
      <c r="D125" s="53">
        <f>IF(IFERROR(MATCH(121,'List A'!$R$5:$R$204,0)+4,"")="","",INDEX('List A'!$D$5:$D$204,IFERROR(MATCH(121,'List A'!$R$5:$R$204,0)+4,"")-4))</f>
        <v/>
      </c>
      <c r="E125" s="53">
        <f>IF(IFERROR(MATCH(121,'List A'!$R$5:$R$204,0)+4,"")="","",INDEX('List A'!$E$5:$E$204,IFERROR(MATCH(121,'List A'!$R$5:$R$204,0)+4,"")-4))</f>
        <v/>
      </c>
      <c r="F125" s="53">
        <f>IF(IFERROR(MATCH(121,'List A'!$R$5:$R$204,0)+4,"")="","",INDEX('List A'!$F$5:$F$204,IFERROR(MATCH(121,'List A'!$R$5:$R$204,0)+4,"")-4))</f>
        <v/>
      </c>
      <c r="G125" s="50">
        <f>IF(IFERROR(MATCH(121,'List A'!$R$5:$R$204,0)+4,"")="","",INDEX('List A'!$G$5:$G$204,IFERROR(MATCH(121,'List A'!$R$5:$R$204,0)+4,"")-4))</f>
        <v/>
      </c>
      <c r="H125" s="53">
        <f>IF(IFERROR(MATCH(121,'List A'!$R$5:$R$204,0)+4,"")="","",INDEX('List A'!$H$5:$H$204,IFERROR(MATCH(121,'List A'!$R$5:$R$204,0)+4,"")-4))</f>
        <v/>
      </c>
      <c r="I125" s="61" t="n"/>
      <c r="J125" s="61" t="n"/>
    </row>
    <row r="126" ht="17" customHeight="1">
      <c r="A126" s="87">
        <f>IF(IFERROR(MATCH(122,'List A'!$R$5:$R$204,0)+4,"")="","",INDEX('List A'!$A$5:$A$204,IFERROR(MATCH(122,'List A'!$R$5:$R$204,0)+4,"")-4))</f>
        <v/>
      </c>
      <c r="B126" s="53">
        <f>IF(IFERROR(MATCH(122,'List A'!$R$5:$R$204,0)+4,"")="","",INDEX('List A'!$B$5:$B$204,IFERROR(MATCH(122,'List A'!$R$5:$R$204,0)+4,"")-4))</f>
        <v/>
      </c>
      <c r="C126" s="52">
        <f>IF(IFERROR(MATCH(122,'List A'!$R$5:$R$204,0)+4,"")="","",INDEX('List A'!$C$5:$C$204,IFERROR(MATCH(122,'List A'!$R$5:$R$204,0)+4,"")-4))</f>
        <v/>
      </c>
      <c r="D126" s="53">
        <f>IF(IFERROR(MATCH(122,'List A'!$R$5:$R$204,0)+4,"")="","",INDEX('List A'!$D$5:$D$204,IFERROR(MATCH(122,'List A'!$R$5:$R$204,0)+4,"")-4))</f>
        <v/>
      </c>
      <c r="E126" s="53">
        <f>IF(IFERROR(MATCH(122,'List A'!$R$5:$R$204,0)+4,"")="","",INDEX('List A'!$E$5:$E$204,IFERROR(MATCH(122,'List A'!$R$5:$R$204,0)+4,"")-4))</f>
        <v/>
      </c>
      <c r="F126" s="53">
        <f>IF(IFERROR(MATCH(122,'List A'!$R$5:$R$204,0)+4,"")="","",INDEX('List A'!$F$5:$F$204,IFERROR(MATCH(122,'List A'!$R$5:$R$204,0)+4,"")-4))</f>
        <v/>
      </c>
      <c r="G126" s="50">
        <f>IF(IFERROR(MATCH(122,'List A'!$R$5:$R$204,0)+4,"")="","",INDEX('List A'!$G$5:$G$204,IFERROR(MATCH(122,'List A'!$R$5:$R$204,0)+4,"")-4))</f>
        <v/>
      </c>
      <c r="H126" s="53">
        <f>IF(IFERROR(MATCH(122,'List A'!$R$5:$R$204,0)+4,"")="","",INDEX('List A'!$H$5:$H$204,IFERROR(MATCH(122,'List A'!$R$5:$R$204,0)+4,"")-4))</f>
        <v/>
      </c>
      <c r="I126" s="61" t="n"/>
      <c r="J126" s="61" t="n"/>
    </row>
    <row r="127" ht="17" customHeight="1">
      <c r="A127" s="87">
        <f>IF(IFERROR(MATCH(123,'List A'!$R$5:$R$204,0)+4,"")="","",INDEX('List A'!$A$5:$A$204,IFERROR(MATCH(123,'List A'!$R$5:$R$204,0)+4,"")-4))</f>
        <v/>
      </c>
      <c r="B127" s="53">
        <f>IF(IFERROR(MATCH(123,'List A'!$R$5:$R$204,0)+4,"")="","",INDEX('List A'!$B$5:$B$204,IFERROR(MATCH(123,'List A'!$R$5:$R$204,0)+4,"")-4))</f>
        <v/>
      </c>
      <c r="C127" s="52">
        <f>IF(IFERROR(MATCH(123,'List A'!$R$5:$R$204,0)+4,"")="","",INDEX('List A'!$C$5:$C$204,IFERROR(MATCH(123,'List A'!$R$5:$R$204,0)+4,"")-4))</f>
        <v/>
      </c>
      <c r="D127" s="53">
        <f>IF(IFERROR(MATCH(123,'List A'!$R$5:$R$204,0)+4,"")="","",INDEX('List A'!$D$5:$D$204,IFERROR(MATCH(123,'List A'!$R$5:$R$204,0)+4,"")-4))</f>
        <v/>
      </c>
      <c r="E127" s="53">
        <f>IF(IFERROR(MATCH(123,'List A'!$R$5:$R$204,0)+4,"")="","",INDEX('List A'!$E$5:$E$204,IFERROR(MATCH(123,'List A'!$R$5:$R$204,0)+4,"")-4))</f>
        <v/>
      </c>
      <c r="F127" s="53">
        <f>IF(IFERROR(MATCH(123,'List A'!$R$5:$R$204,0)+4,"")="","",INDEX('List A'!$F$5:$F$204,IFERROR(MATCH(123,'List A'!$R$5:$R$204,0)+4,"")-4))</f>
        <v/>
      </c>
      <c r="G127" s="50">
        <f>IF(IFERROR(MATCH(123,'List A'!$R$5:$R$204,0)+4,"")="","",INDEX('List A'!$G$5:$G$204,IFERROR(MATCH(123,'List A'!$R$5:$R$204,0)+4,"")-4))</f>
        <v/>
      </c>
      <c r="H127" s="53">
        <f>IF(IFERROR(MATCH(123,'List A'!$R$5:$R$204,0)+4,"")="","",INDEX('List A'!$H$5:$H$204,IFERROR(MATCH(123,'List A'!$R$5:$R$204,0)+4,"")-4))</f>
        <v/>
      </c>
      <c r="I127" s="61" t="n"/>
      <c r="J127" s="61" t="n"/>
    </row>
    <row r="128" ht="17" customHeight="1">
      <c r="A128" s="87">
        <f>IF(IFERROR(MATCH(124,'List A'!$R$5:$R$204,0)+4,"")="","",INDEX('List A'!$A$5:$A$204,IFERROR(MATCH(124,'List A'!$R$5:$R$204,0)+4,"")-4))</f>
        <v/>
      </c>
      <c r="B128" s="53">
        <f>IF(IFERROR(MATCH(124,'List A'!$R$5:$R$204,0)+4,"")="","",INDEX('List A'!$B$5:$B$204,IFERROR(MATCH(124,'List A'!$R$5:$R$204,0)+4,"")-4))</f>
        <v/>
      </c>
      <c r="C128" s="52">
        <f>IF(IFERROR(MATCH(124,'List A'!$R$5:$R$204,0)+4,"")="","",INDEX('List A'!$C$5:$C$204,IFERROR(MATCH(124,'List A'!$R$5:$R$204,0)+4,"")-4))</f>
        <v/>
      </c>
      <c r="D128" s="53">
        <f>IF(IFERROR(MATCH(124,'List A'!$R$5:$R$204,0)+4,"")="","",INDEX('List A'!$D$5:$D$204,IFERROR(MATCH(124,'List A'!$R$5:$R$204,0)+4,"")-4))</f>
        <v/>
      </c>
      <c r="E128" s="53">
        <f>IF(IFERROR(MATCH(124,'List A'!$R$5:$R$204,0)+4,"")="","",INDEX('List A'!$E$5:$E$204,IFERROR(MATCH(124,'List A'!$R$5:$R$204,0)+4,"")-4))</f>
        <v/>
      </c>
      <c r="F128" s="53">
        <f>IF(IFERROR(MATCH(124,'List A'!$R$5:$R$204,0)+4,"")="","",INDEX('List A'!$F$5:$F$204,IFERROR(MATCH(124,'List A'!$R$5:$R$204,0)+4,"")-4))</f>
        <v/>
      </c>
      <c r="G128" s="50">
        <f>IF(IFERROR(MATCH(124,'List A'!$R$5:$R$204,0)+4,"")="","",INDEX('List A'!$G$5:$G$204,IFERROR(MATCH(124,'List A'!$R$5:$R$204,0)+4,"")-4))</f>
        <v/>
      </c>
      <c r="H128" s="53">
        <f>IF(IFERROR(MATCH(124,'List A'!$R$5:$R$204,0)+4,"")="","",INDEX('List A'!$H$5:$H$204,IFERROR(MATCH(124,'List A'!$R$5:$R$204,0)+4,"")-4))</f>
        <v/>
      </c>
      <c r="I128" s="61" t="n"/>
      <c r="J128" s="61" t="n"/>
    </row>
    <row r="129" ht="17" customHeight="1">
      <c r="A129" s="87">
        <f>IF(IFERROR(MATCH(125,'List A'!$R$5:$R$204,0)+4,"")="","",INDEX('List A'!$A$5:$A$204,IFERROR(MATCH(125,'List A'!$R$5:$R$204,0)+4,"")-4))</f>
        <v/>
      </c>
      <c r="B129" s="53">
        <f>IF(IFERROR(MATCH(125,'List A'!$R$5:$R$204,0)+4,"")="","",INDEX('List A'!$B$5:$B$204,IFERROR(MATCH(125,'List A'!$R$5:$R$204,0)+4,"")-4))</f>
        <v/>
      </c>
      <c r="C129" s="52">
        <f>IF(IFERROR(MATCH(125,'List A'!$R$5:$R$204,0)+4,"")="","",INDEX('List A'!$C$5:$C$204,IFERROR(MATCH(125,'List A'!$R$5:$R$204,0)+4,"")-4))</f>
        <v/>
      </c>
      <c r="D129" s="53">
        <f>IF(IFERROR(MATCH(125,'List A'!$R$5:$R$204,0)+4,"")="","",INDEX('List A'!$D$5:$D$204,IFERROR(MATCH(125,'List A'!$R$5:$R$204,0)+4,"")-4))</f>
        <v/>
      </c>
      <c r="E129" s="53">
        <f>IF(IFERROR(MATCH(125,'List A'!$R$5:$R$204,0)+4,"")="","",INDEX('List A'!$E$5:$E$204,IFERROR(MATCH(125,'List A'!$R$5:$R$204,0)+4,"")-4))</f>
        <v/>
      </c>
      <c r="F129" s="53">
        <f>IF(IFERROR(MATCH(125,'List A'!$R$5:$R$204,0)+4,"")="","",INDEX('List A'!$F$5:$F$204,IFERROR(MATCH(125,'List A'!$R$5:$R$204,0)+4,"")-4))</f>
        <v/>
      </c>
      <c r="G129" s="50">
        <f>IF(IFERROR(MATCH(125,'List A'!$R$5:$R$204,0)+4,"")="","",INDEX('List A'!$G$5:$G$204,IFERROR(MATCH(125,'List A'!$R$5:$R$204,0)+4,"")-4))</f>
        <v/>
      </c>
      <c r="H129" s="53">
        <f>IF(IFERROR(MATCH(125,'List A'!$R$5:$R$204,0)+4,"")="","",INDEX('List A'!$H$5:$H$204,IFERROR(MATCH(125,'List A'!$R$5:$R$204,0)+4,"")-4))</f>
        <v/>
      </c>
      <c r="I129" s="61" t="n"/>
      <c r="J129" s="61" t="n"/>
    </row>
    <row r="130" ht="17" customHeight="1">
      <c r="A130" s="87">
        <f>IF(IFERROR(MATCH(126,'List A'!$R$5:$R$204,0)+4,"")="","",INDEX('List A'!$A$5:$A$204,IFERROR(MATCH(126,'List A'!$R$5:$R$204,0)+4,"")-4))</f>
        <v/>
      </c>
      <c r="B130" s="53">
        <f>IF(IFERROR(MATCH(126,'List A'!$R$5:$R$204,0)+4,"")="","",INDEX('List A'!$B$5:$B$204,IFERROR(MATCH(126,'List A'!$R$5:$R$204,0)+4,"")-4))</f>
        <v/>
      </c>
      <c r="C130" s="52">
        <f>IF(IFERROR(MATCH(126,'List A'!$R$5:$R$204,0)+4,"")="","",INDEX('List A'!$C$5:$C$204,IFERROR(MATCH(126,'List A'!$R$5:$R$204,0)+4,"")-4))</f>
        <v/>
      </c>
      <c r="D130" s="53">
        <f>IF(IFERROR(MATCH(126,'List A'!$R$5:$R$204,0)+4,"")="","",INDEX('List A'!$D$5:$D$204,IFERROR(MATCH(126,'List A'!$R$5:$R$204,0)+4,"")-4))</f>
        <v/>
      </c>
      <c r="E130" s="53">
        <f>IF(IFERROR(MATCH(126,'List A'!$R$5:$R$204,0)+4,"")="","",INDEX('List A'!$E$5:$E$204,IFERROR(MATCH(126,'List A'!$R$5:$R$204,0)+4,"")-4))</f>
        <v/>
      </c>
      <c r="F130" s="53">
        <f>IF(IFERROR(MATCH(126,'List A'!$R$5:$R$204,0)+4,"")="","",INDEX('List A'!$F$5:$F$204,IFERROR(MATCH(126,'List A'!$R$5:$R$204,0)+4,"")-4))</f>
        <v/>
      </c>
      <c r="G130" s="50">
        <f>IF(IFERROR(MATCH(126,'List A'!$R$5:$R$204,0)+4,"")="","",INDEX('List A'!$G$5:$G$204,IFERROR(MATCH(126,'List A'!$R$5:$R$204,0)+4,"")-4))</f>
        <v/>
      </c>
      <c r="H130" s="53">
        <f>IF(IFERROR(MATCH(126,'List A'!$R$5:$R$204,0)+4,"")="","",INDEX('List A'!$H$5:$H$204,IFERROR(MATCH(126,'List A'!$R$5:$R$204,0)+4,"")-4))</f>
        <v/>
      </c>
      <c r="I130" s="61" t="n"/>
      <c r="J130" s="61" t="n"/>
    </row>
    <row r="131" ht="17" customHeight="1">
      <c r="A131" s="87">
        <f>IF(IFERROR(MATCH(127,'List A'!$R$5:$R$204,0)+4,"")="","",INDEX('List A'!$A$5:$A$204,IFERROR(MATCH(127,'List A'!$R$5:$R$204,0)+4,"")-4))</f>
        <v/>
      </c>
      <c r="B131" s="53">
        <f>IF(IFERROR(MATCH(127,'List A'!$R$5:$R$204,0)+4,"")="","",INDEX('List A'!$B$5:$B$204,IFERROR(MATCH(127,'List A'!$R$5:$R$204,0)+4,"")-4))</f>
        <v/>
      </c>
      <c r="C131" s="52">
        <f>IF(IFERROR(MATCH(127,'List A'!$R$5:$R$204,0)+4,"")="","",INDEX('List A'!$C$5:$C$204,IFERROR(MATCH(127,'List A'!$R$5:$R$204,0)+4,"")-4))</f>
        <v/>
      </c>
      <c r="D131" s="53">
        <f>IF(IFERROR(MATCH(127,'List A'!$R$5:$R$204,0)+4,"")="","",INDEX('List A'!$D$5:$D$204,IFERROR(MATCH(127,'List A'!$R$5:$R$204,0)+4,"")-4))</f>
        <v/>
      </c>
      <c r="E131" s="53">
        <f>IF(IFERROR(MATCH(127,'List A'!$R$5:$R$204,0)+4,"")="","",INDEX('List A'!$E$5:$E$204,IFERROR(MATCH(127,'List A'!$R$5:$R$204,0)+4,"")-4))</f>
        <v/>
      </c>
      <c r="F131" s="53">
        <f>IF(IFERROR(MATCH(127,'List A'!$R$5:$R$204,0)+4,"")="","",INDEX('List A'!$F$5:$F$204,IFERROR(MATCH(127,'List A'!$R$5:$R$204,0)+4,"")-4))</f>
        <v/>
      </c>
      <c r="G131" s="50">
        <f>IF(IFERROR(MATCH(127,'List A'!$R$5:$R$204,0)+4,"")="","",INDEX('List A'!$G$5:$G$204,IFERROR(MATCH(127,'List A'!$R$5:$R$204,0)+4,"")-4))</f>
        <v/>
      </c>
      <c r="H131" s="53">
        <f>IF(IFERROR(MATCH(127,'List A'!$R$5:$R$204,0)+4,"")="","",INDEX('List A'!$H$5:$H$204,IFERROR(MATCH(127,'List A'!$R$5:$R$204,0)+4,"")-4))</f>
        <v/>
      </c>
      <c r="I131" s="61" t="n"/>
      <c r="J131" s="61" t="n"/>
    </row>
    <row r="132" ht="17" customHeight="1">
      <c r="A132" s="87">
        <f>IF(IFERROR(MATCH(128,'List A'!$R$5:$R$204,0)+4,"")="","",INDEX('List A'!$A$5:$A$204,IFERROR(MATCH(128,'List A'!$R$5:$R$204,0)+4,"")-4))</f>
        <v/>
      </c>
      <c r="B132" s="53">
        <f>IF(IFERROR(MATCH(128,'List A'!$R$5:$R$204,0)+4,"")="","",INDEX('List A'!$B$5:$B$204,IFERROR(MATCH(128,'List A'!$R$5:$R$204,0)+4,"")-4))</f>
        <v/>
      </c>
      <c r="C132" s="52">
        <f>IF(IFERROR(MATCH(128,'List A'!$R$5:$R$204,0)+4,"")="","",INDEX('List A'!$C$5:$C$204,IFERROR(MATCH(128,'List A'!$R$5:$R$204,0)+4,"")-4))</f>
        <v/>
      </c>
      <c r="D132" s="53">
        <f>IF(IFERROR(MATCH(128,'List A'!$R$5:$R$204,0)+4,"")="","",INDEX('List A'!$D$5:$D$204,IFERROR(MATCH(128,'List A'!$R$5:$R$204,0)+4,"")-4))</f>
        <v/>
      </c>
      <c r="E132" s="53">
        <f>IF(IFERROR(MATCH(128,'List A'!$R$5:$R$204,0)+4,"")="","",INDEX('List A'!$E$5:$E$204,IFERROR(MATCH(128,'List A'!$R$5:$R$204,0)+4,"")-4))</f>
        <v/>
      </c>
      <c r="F132" s="53">
        <f>IF(IFERROR(MATCH(128,'List A'!$R$5:$R$204,0)+4,"")="","",INDEX('List A'!$F$5:$F$204,IFERROR(MATCH(128,'List A'!$R$5:$R$204,0)+4,"")-4))</f>
        <v/>
      </c>
      <c r="G132" s="50">
        <f>IF(IFERROR(MATCH(128,'List A'!$R$5:$R$204,0)+4,"")="","",INDEX('List A'!$G$5:$G$204,IFERROR(MATCH(128,'List A'!$R$5:$R$204,0)+4,"")-4))</f>
        <v/>
      </c>
      <c r="H132" s="53">
        <f>IF(IFERROR(MATCH(128,'List A'!$R$5:$R$204,0)+4,"")="","",INDEX('List A'!$H$5:$H$204,IFERROR(MATCH(128,'List A'!$R$5:$R$204,0)+4,"")-4))</f>
        <v/>
      </c>
      <c r="I132" s="61" t="n"/>
      <c r="J132" s="61" t="n"/>
    </row>
    <row r="133" ht="17" customHeight="1">
      <c r="A133" s="87">
        <f>IF(IFERROR(MATCH(129,'List A'!$R$5:$R$204,0)+4,"")="","",INDEX('List A'!$A$5:$A$204,IFERROR(MATCH(129,'List A'!$R$5:$R$204,0)+4,"")-4))</f>
        <v/>
      </c>
      <c r="B133" s="53">
        <f>IF(IFERROR(MATCH(129,'List A'!$R$5:$R$204,0)+4,"")="","",INDEX('List A'!$B$5:$B$204,IFERROR(MATCH(129,'List A'!$R$5:$R$204,0)+4,"")-4))</f>
        <v/>
      </c>
      <c r="C133" s="52">
        <f>IF(IFERROR(MATCH(129,'List A'!$R$5:$R$204,0)+4,"")="","",INDEX('List A'!$C$5:$C$204,IFERROR(MATCH(129,'List A'!$R$5:$R$204,0)+4,"")-4))</f>
        <v/>
      </c>
      <c r="D133" s="53">
        <f>IF(IFERROR(MATCH(129,'List A'!$R$5:$R$204,0)+4,"")="","",INDEX('List A'!$D$5:$D$204,IFERROR(MATCH(129,'List A'!$R$5:$R$204,0)+4,"")-4))</f>
        <v/>
      </c>
      <c r="E133" s="53">
        <f>IF(IFERROR(MATCH(129,'List A'!$R$5:$R$204,0)+4,"")="","",INDEX('List A'!$E$5:$E$204,IFERROR(MATCH(129,'List A'!$R$5:$R$204,0)+4,"")-4))</f>
        <v/>
      </c>
      <c r="F133" s="53">
        <f>IF(IFERROR(MATCH(129,'List A'!$R$5:$R$204,0)+4,"")="","",INDEX('List A'!$F$5:$F$204,IFERROR(MATCH(129,'List A'!$R$5:$R$204,0)+4,"")-4))</f>
        <v/>
      </c>
      <c r="G133" s="50">
        <f>IF(IFERROR(MATCH(129,'List A'!$R$5:$R$204,0)+4,"")="","",INDEX('List A'!$G$5:$G$204,IFERROR(MATCH(129,'List A'!$R$5:$R$204,0)+4,"")-4))</f>
        <v/>
      </c>
      <c r="H133" s="53">
        <f>IF(IFERROR(MATCH(129,'List A'!$R$5:$R$204,0)+4,"")="","",INDEX('List A'!$H$5:$H$204,IFERROR(MATCH(129,'List A'!$R$5:$R$204,0)+4,"")-4))</f>
        <v/>
      </c>
      <c r="I133" s="61" t="n"/>
      <c r="J133" s="61" t="n"/>
    </row>
    <row r="134" ht="17" customHeight="1">
      <c r="A134" s="87">
        <f>IF(IFERROR(MATCH(130,'List A'!$R$5:$R$204,0)+4,"")="","",INDEX('List A'!$A$5:$A$204,IFERROR(MATCH(130,'List A'!$R$5:$R$204,0)+4,"")-4))</f>
        <v/>
      </c>
      <c r="B134" s="53">
        <f>IF(IFERROR(MATCH(130,'List A'!$R$5:$R$204,0)+4,"")="","",INDEX('List A'!$B$5:$B$204,IFERROR(MATCH(130,'List A'!$R$5:$R$204,0)+4,"")-4))</f>
        <v/>
      </c>
      <c r="C134" s="52">
        <f>IF(IFERROR(MATCH(130,'List A'!$R$5:$R$204,0)+4,"")="","",INDEX('List A'!$C$5:$C$204,IFERROR(MATCH(130,'List A'!$R$5:$R$204,0)+4,"")-4))</f>
        <v/>
      </c>
      <c r="D134" s="53">
        <f>IF(IFERROR(MATCH(130,'List A'!$R$5:$R$204,0)+4,"")="","",INDEX('List A'!$D$5:$D$204,IFERROR(MATCH(130,'List A'!$R$5:$R$204,0)+4,"")-4))</f>
        <v/>
      </c>
      <c r="E134" s="53">
        <f>IF(IFERROR(MATCH(130,'List A'!$R$5:$R$204,0)+4,"")="","",INDEX('List A'!$E$5:$E$204,IFERROR(MATCH(130,'List A'!$R$5:$R$204,0)+4,"")-4))</f>
        <v/>
      </c>
      <c r="F134" s="53">
        <f>IF(IFERROR(MATCH(130,'List A'!$R$5:$R$204,0)+4,"")="","",INDEX('List A'!$F$5:$F$204,IFERROR(MATCH(130,'List A'!$R$5:$R$204,0)+4,"")-4))</f>
        <v/>
      </c>
      <c r="G134" s="50">
        <f>IF(IFERROR(MATCH(130,'List A'!$R$5:$R$204,0)+4,"")="","",INDEX('List A'!$G$5:$G$204,IFERROR(MATCH(130,'List A'!$R$5:$R$204,0)+4,"")-4))</f>
        <v/>
      </c>
      <c r="H134" s="53">
        <f>IF(IFERROR(MATCH(130,'List A'!$R$5:$R$204,0)+4,"")="","",INDEX('List A'!$H$5:$H$204,IFERROR(MATCH(130,'List A'!$R$5:$R$204,0)+4,"")-4))</f>
        <v/>
      </c>
      <c r="I134" s="61" t="n"/>
      <c r="J134" s="61" t="n"/>
    </row>
    <row r="135" ht="17" customHeight="1">
      <c r="A135" s="87">
        <f>IF(IFERROR(MATCH(131,'List A'!$R$5:$R$204,0)+4,"")="","",INDEX('List A'!$A$5:$A$204,IFERROR(MATCH(131,'List A'!$R$5:$R$204,0)+4,"")-4))</f>
        <v/>
      </c>
      <c r="B135" s="53">
        <f>IF(IFERROR(MATCH(131,'List A'!$R$5:$R$204,0)+4,"")="","",INDEX('List A'!$B$5:$B$204,IFERROR(MATCH(131,'List A'!$R$5:$R$204,0)+4,"")-4))</f>
        <v/>
      </c>
      <c r="C135" s="52">
        <f>IF(IFERROR(MATCH(131,'List A'!$R$5:$R$204,0)+4,"")="","",INDEX('List A'!$C$5:$C$204,IFERROR(MATCH(131,'List A'!$R$5:$R$204,0)+4,"")-4))</f>
        <v/>
      </c>
      <c r="D135" s="53">
        <f>IF(IFERROR(MATCH(131,'List A'!$R$5:$R$204,0)+4,"")="","",INDEX('List A'!$D$5:$D$204,IFERROR(MATCH(131,'List A'!$R$5:$R$204,0)+4,"")-4))</f>
        <v/>
      </c>
      <c r="E135" s="53">
        <f>IF(IFERROR(MATCH(131,'List A'!$R$5:$R$204,0)+4,"")="","",INDEX('List A'!$E$5:$E$204,IFERROR(MATCH(131,'List A'!$R$5:$R$204,0)+4,"")-4))</f>
        <v/>
      </c>
      <c r="F135" s="53">
        <f>IF(IFERROR(MATCH(131,'List A'!$R$5:$R$204,0)+4,"")="","",INDEX('List A'!$F$5:$F$204,IFERROR(MATCH(131,'List A'!$R$5:$R$204,0)+4,"")-4))</f>
        <v/>
      </c>
      <c r="G135" s="50">
        <f>IF(IFERROR(MATCH(131,'List A'!$R$5:$R$204,0)+4,"")="","",INDEX('List A'!$G$5:$G$204,IFERROR(MATCH(131,'List A'!$R$5:$R$204,0)+4,"")-4))</f>
        <v/>
      </c>
      <c r="H135" s="53">
        <f>IF(IFERROR(MATCH(131,'List A'!$R$5:$R$204,0)+4,"")="","",INDEX('List A'!$H$5:$H$204,IFERROR(MATCH(131,'List A'!$R$5:$R$204,0)+4,"")-4))</f>
        <v/>
      </c>
      <c r="I135" s="61" t="n"/>
      <c r="J135" s="61" t="n"/>
    </row>
    <row r="136" ht="17" customHeight="1">
      <c r="A136" s="87">
        <f>IF(IFERROR(MATCH(132,'List A'!$R$5:$R$204,0)+4,"")="","",INDEX('List A'!$A$5:$A$204,IFERROR(MATCH(132,'List A'!$R$5:$R$204,0)+4,"")-4))</f>
        <v/>
      </c>
      <c r="B136" s="53">
        <f>IF(IFERROR(MATCH(132,'List A'!$R$5:$R$204,0)+4,"")="","",INDEX('List A'!$B$5:$B$204,IFERROR(MATCH(132,'List A'!$R$5:$R$204,0)+4,"")-4))</f>
        <v/>
      </c>
      <c r="C136" s="52">
        <f>IF(IFERROR(MATCH(132,'List A'!$R$5:$R$204,0)+4,"")="","",INDEX('List A'!$C$5:$C$204,IFERROR(MATCH(132,'List A'!$R$5:$R$204,0)+4,"")-4))</f>
        <v/>
      </c>
      <c r="D136" s="53">
        <f>IF(IFERROR(MATCH(132,'List A'!$R$5:$R$204,0)+4,"")="","",INDEX('List A'!$D$5:$D$204,IFERROR(MATCH(132,'List A'!$R$5:$R$204,0)+4,"")-4))</f>
        <v/>
      </c>
      <c r="E136" s="53">
        <f>IF(IFERROR(MATCH(132,'List A'!$R$5:$R$204,0)+4,"")="","",INDEX('List A'!$E$5:$E$204,IFERROR(MATCH(132,'List A'!$R$5:$R$204,0)+4,"")-4))</f>
        <v/>
      </c>
      <c r="F136" s="53">
        <f>IF(IFERROR(MATCH(132,'List A'!$R$5:$R$204,0)+4,"")="","",INDEX('List A'!$F$5:$F$204,IFERROR(MATCH(132,'List A'!$R$5:$R$204,0)+4,"")-4))</f>
        <v/>
      </c>
      <c r="G136" s="50">
        <f>IF(IFERROR(MATCH(132,'List A'!$R$5:$R$204,0)+4,"")="","",INDEX('List A'!$G$5:$G$204,IFERROR(MATCH(132,'List A'!$R$5:$R$204,0)+4,"")-4))</f>
        <v/>
      </c>
      <c r="H136" s="53">
        <f>IF(IFERROR(MATCH(132,'List A'!$R$5:$R$204,0)+4,"")="","",INDEX('List A'!$H$5:$H$204,IFERROR(MATCH(132,'List A'!$R$5:$R$204,0)+4,"")-4))</f>
        <v/>
      </c>
      <c r="I136" s="61" t="n"/>
      <c r="J136" s="61" t="n"/>
    </row>
    <row r="137" ht="17" customHeight="1">
      <c r="A137" s="87">
        <f>IF(IFERROR(MATCH(133,'List A'!$R$5:$R$204,0)+4,"")="","",INDEX('List A'!$A$5:$A$204,IFERROR(MATCH(133,'List A'!$R$5:$R$204,0)+4,"")-4))</f>
        <v/>
      </c>
      <c r="B137" s="53">
        <f>IF(IFERROR(MATCH(133,'List A'!$R$5:$R$204,0)+4,"")="","",INDEX('List A'!$B$5:$B$204,IFERROR(MATCH(133,'List A'!$R$5:$R$204,0)+4,"")-4))</f>
        <v/>
      </c>
      <c r="C137" s="52">
        <f>IF(IFERROR(MATCH(133,'List A'!$R$5:$R$204,0)+4,"")="","",INDEX('List A'!$C$5:$C$204,IFERROR(MATCH(133,'List A'!$R$5:$R$204,0)+4,"")-4))</f>
        <v/>
      </c>
      <c r="D137" s="53">
        <f>IF(IFERROR(MATCH(133,'List A'!$R$5:$R$204,0)+4,"")="","",INDEX('List A'!$D$5:$D$204,IFERROR(MATCH(133,'List A'!$R$5:$R$204,0)+4,"")-4))</f>
        <v/>
      </c>
      <c r="E137" s="53">
        <f>IF(IFERROR(MATCH(133,'List A'!$R$5:$R$204,0)+4,"")="","",INDEX('List A'!$E$5:$E$204,IFERROR(MATCH(133,'List A'!$R$5:$R$204,0)+4,"")-4))</f>
        <v/>
      </c>
      <c r="F137" s="53">
        <f>IF(IFERROR(MATCH(133,'List A'!$R$5:$R$204,0)+4,"")="","",INDEX('List A'!$F$5:$F$204,IFERROR(MATCH(133,'List A'!$R$5:$R$204,0)+4,"")-4))</f>
        <v/>
      </c>
      <c r="G137" s="50">
        <f>IF(IFERROR(MATCH(133,'List A'!$R$5:$R$204,0)+4,"")="","",INDEX('List A'!$G$5:$G$204,IFERROR(MATCH(133,'List A'!$R$5:$R$204,0)+4,"")-4))</f>
        <v/>
      </c>
      <c r="H137" s="53">
        <f>IF(IFERROR(MATCH(133,'List A'!$R$5:$R$204,0)+4,"")="","",INDEX('List A'!$H$5:$H$204,IFERROR(MATCH(133,'List A'!$R$5:$R$204,0)+4,"")-4))</f>
        <v/>
      </c>
      <c r="I137" s="61" t="n"/>
      <c r="J137" s="61" t="n"/>
    </row>
    <row r="138" ht="17" customHeight="1">
      <c r="A138" s="87">
        <f>IF(IFERROR(MATCH(134,'List A'!$R$5:$R$204,0)+4,"")="","",INDEX('List A'!$A$5:$A$204,IFERROR(MATCH(134,'List A'!$R$5:$R$204,0)+4,"")-4))</f>
        <v/>
      </c>
      <c r="B138" s="53">
        <f>IF(IFERROR(MATCH(134,'List A'!$R$5:$R$204,0)+4,"")="","",INDEX('List A'!$B$5:$B$204,IFERROR(MATCH(134,'List A'!$R$5:$R$204,0)+4,"")-4))</f>
        <v/>
      </c>
      <c r="C138" s="52">
        <f>IF(IFERROR(MATCH(134,'List A'!$R$5:$R$204,0)+4,"")="","",INDEX('List A'!$C$5:$C$204,IFERROR(MATCH(134,'List A'!$R$5:$R$204,0)+4,"")-4))</f>
        <v/>
      </c>
      <c r="D138" s="53">
        <f>IF(IFERROR(MATCH(134,'List A'!$R$5:$R$204,0)+4,"")="","",INDEX('List A'!$D$5:$D$204,IFERROR(MATCH(134,'List A'!$R$5:$R$204,0)+4,"")-4))</f>
        <v/>
      </c>
      <c r="E138" s="53">
        <f>IF(IFERROR(MATCH(134,'List A'!$R$5:$R$204,0)+4,"")="","",INDEX('List A'!$E$5:$E$204,IFERROR(MATCH(134,'List A'!$R$5:$R$204,0)+4,"")-4))</f>
        <v/>
      </c>
      <c r="F138" s="53">
        <f>IF(IFERROR(MATCH(134,'List A'!$R$5:$R$204,0)+4,"")="","",INDEX('List A'!$F$5:$F$204,IFERROR(MATCH(134,'List A'!$R$5:$R$204,0)+4,"")-4))</f>
        <v/>
      </c>
      <c r="G138" s="50">
        <f>IF(IFERROR(MATCH(134,'List A'!$R$5:$R$204,0)+4,"")="","",INDEX('List A'!$G$5:$G$204,IFERROR(MATCH(134,'List A'!$R$5:$R$204,0)+4,"")-4))</f>
        <v/>
      </c>
      <c r="H138" s="53">
        <f>IF(IFERROR(MATCH(134,'List A'!$R$5:$R$204,0)+4,"")="","",INDEX('List A'!$H$5:$H$204,IFERROR(MATCH(134,'List A'!$R$5:$R$204,0)+4,"")-4))</f>
        <v/>
      </c>
      <c r="I138" s="61" t="n"/>
      <c r="J138" s="61" t="n"/>
    </row>
    <row r="139" ht="17" customHeight="1">
      <c r="A139" s="87">
        <f>IF(IFERROR(MATCH(135,'List A'!$R$5:$R$204,0)+4,"")="","",INDEX('List A'!$A$5:$A$204,IFERROR(MATCH(135,'List A'!$R$5:$R$204,0)+4,"")-4))</f>
        <v/>
      </c>
      <c r="B139" s="53">
        <f>IF(IFERROR(MATCH(135,'List A'!$R$5:$R$204,0)+4,"")="","",INDEX('List A'!$B$5:$B$204,IFERROR(MATCH(135,'List A'!$R$5:$R$204,0)+4,"")-4))</f>
        <v/>
      </c>
      <c r="C139" s="52">
        <f>IF(IFERROR(MATCH(135,'List A'!$R$5:$R$204,0)+4,"")="","",INDEX('List A'!$C$5:$C$204,IFERROR(MATCH(135,'List A'!$R$5:$R$204,0)+4,"")-4))</f>
        <v/>
      </c>
      <c r="D139" s="53">
        <f>IF(IFERROR(MATCH(135,'List A'!$R$5:$R$204,0)+4,"")="","",INDEX('List A'!$D$5:$D$204,IFERROR(MATCH(135,'List A'!$R$5:$R$204,0)+4,"")-4))</f>
        <v/>
      </c>
      <c r="E139" s="53">
        <f>IF(IFERROR(MATCH(135,'List A'!$R$5:$R$204,0)+4,"")="","",INDEX('List A'!$E$5:$E$204,IFERROR(MATCH(135,'List A'!$R$5:$R$204,0)+4,"")-4))</f>
        <v/>
      </c>
      <c r="F139" s="53">
        <f>IF(IFERROR(MATCH(135,'List A'!$R$5:$R$204,0)+4,"")="","",INDEX('List A'!$F$5:$F$204,IFERROR(MATCH(135,'List A'!$R$5:$R$204,0)+4,"")-4))</f>
        <v/>
      </c>
      <c r="G139" s="50">
        <f>IF(IFERROR(MATCH(135,'List A'!$R$5:$R$204,0)+4,"")="","",INDEX('List A'!$G$5:$G$204,IFERROR(MATCH(135,'List A'!$R$5:$R$204,0)+4,"")-4))</f>
        <v/>
      </c>
      <c r="H139" s="53">
        <f>IF(IFERROR(MATCH(135,'List A'!$R$5:$R$204,0)+4,"")="","",INDEX('List A'!$H$5:$H$204,IFERROR(MATCH(135,'List A'!$R$5:$R$204,0)+4,"")-4))</f>
        <v/>
      </c>
      <c r="I139" s="61" t="n"/>
      <c r="J139" s="61" t="n"/>
    </row>
    <row r="140" ht="17" customHeight="1">
      <c r="A140" s="87">
        <f>IF(IFERROR(MATCH(136,'List A'!$R$5:$R$204,0)+4,"")="","",INDEX('List A'!$A$5:$A$204,IFERROR(MATCH(136,'List A'!$R$5:$R$204,0)+4,"")-4))</f>
        <v/>
      </c>
      <c r="B140" s="53">
        <f>IF(IFERROR(MATCH(136,'List A'!$R$5:$R$204,0)+4,"")="","",INDEX('List A'!$B$5:$B$204,IFERROR(MATCH(136,'List A'!$R$5:$R$204,0)+4,"")-4))</f>
        <v/>
      </c>
      <c r="C140" s="52">
        <f>IF(IFERROR(MATCH(136,'List A'!$R$5:$R$204,0)+4,"")="","",INDEX('List A'!$C$5:$C$204,IFERROR(MATCH(136,'List A'!$R$5:$R$204,0)+4,"")-4))</f>
        <v/>
      </c>
      <c r="D140" s="53">
        <f>IF(IFERROR(MATCH(136,'List A'!$R$5:$R$204,0)+4,"")="","",INDEX('List A'!$D$5:$D$204,IFERROR(MATCH(136,'List A'!$R$5:$R$204,0)+4,"")-4))</f>
        <v/>
      </c>
      <c r="E140" s="53">
        <f>IF(IFERROR(MATCH(136,'List A'!$R$5:$R$204,0)+4,"")="","",INDEX('List A'!$E$5:$E$204,IFERROR(MATCH(136,'List A'!$R$5:$R$204,0)+4,"")-4))</f>
        <v/>
      </c>
      <c r="F140" s="53">
        <f>IF(IFERROR(MATCH(136,'List A'!$R$5:$R$204,0)+4,"")="","",INDEX('List A'!$F$5:$F$204,IFERROR(MATCH(136,'List A'!$R$5:$R$204,0)+4,"")-4))</f>
        <v/>
      </c>
      <c r="G140" s="50">
        <f>IF(IFERROR(MATCH(136,'List A'!$R$5:$R$204,0)+4,"")="","",INDEX('List A'!$G$5:$G$204,IFERROR(MATCH(136,'List A'!$R$5:$R$204,0)+4,"")-4))</f>
        <v/>
      </c>
      <c r="H140" s="53">
        <f>IF(IFERROR(MATCH(136,'List A'!$R$5:$R$204,0)+4,"")="","",INDEX('List A'!$H$5:$H$204,IFERROR(MATCH(136,'List A'!$R$5:$R$204,0)+4,"")-4))</f>
        <v/>
      </c>
      <c r="I140" s="61" t="n"/>
      <c r="J140" s="61" t="n"/>
    </row>
    <row r="141" ht="17" customHeight="1">
      <c r="A141" s="87">
        <f>IF(IFERROR(MATCH(137,'List A'!$R$5:$R$204,0)+4,"")="","",INDEX('List A'!$A$5:$A$204,IFERROR(MATCH(137,'List A'!$R$5:$R$204,0)+4,"")-4))</f>
        <v/>
      </c>
      <c r="B141" s="53">
        <f>IF(IFERROR(MATCH(137,'List A'!$R$5:$R$204,0)+4,"")="","",INDEX('List A'!$B$5:$B$204,IFERROR(MATCH(137,'List A'!$R$5:$R$204,0)+4,"")-4))</f>
        <v/>
      </c>
      <c r="C141" s="52">
        <f>IF(IFERROR(MATCH(137,'List A'!$R$5:$R$204,0)+4,"")="","",INDEX('List A'!$C$5:$C$204,IFERROR(MATCH(137,'List A'!$R$5:$R$204,0)+4,"")-4))</f>
        <v/>
      </c>
      <c r="D141" s="53">
        <f>IF(IFERROR(MATCH(137,'List A'!$R$5:$R$204,0)+4,"")="","",INDEX('List A'!$D$5:$D$204,IFERROR(MATCH(137,'List A'!$R$5:$R$204,0)+4,"")-4))</f>
        <v/>
      </c>
      <c r="E141" s="53">
        <f>IF(IFERROR(MATCH(137,'List A'!$R$5:$R$204,0)+4,"")="","",INDEX('List A'!$E$5:$E$204,IFERROR(MATCH(137,'List A'!$R$5:$R$204,0)+4,"")-4))</f>
        <v/>
      </c>
      <c r="F141" s="53">
        <f>IF(IFERROR(MATCH(137,'List A'!$R$5:$R$204,0)+4,"")="","",INDEX('List A'!$F$5:$F$204,IFERROR(MATCH(137,'List A'!$R$5:$R$204,0)+4,"")-4))</f>
        <v/>
      </c>
      <c r="G141" s="50">
        <f>IF(IFERROR(MATCH(137,'List A'!$R$5:$R$204,0)+4,"")="","",INDEX('List A'!$G$5:$G$204,IFERROR(MATCH(137,'List A'!$R$5:$R$204,0)+4,"")-4))</f>
        <v/>
      </c>
      <c r="H141" s="53">
        <f>IF(IFERROR(MATCH(137,'List A'!$R$5:$R$204,0)+4,"")="","",INDEX('List A'!$H$5:$H$204,IFERROR(MATCH(137,'List A'!$R$5:$R$204,0)+4,"")-4))</f>
        <v/>
      </c>
      <c r="I141" s="61" t="n"/>
      <c r="J141" s="61" t="n"/>
    </row>
    <row r="142" ht="17" customHeight="1">
      <c r="A142" s="87">
        <f>IF(IFERROR(MATCH(138,'List A'!$R$5:$R$204,0)+4,"")="","",INDEX('List A'!$A$5:$A$204,IFERROR(MATCH(138,'List A'!$R$5:$R$204,0)+4,"")-4))</f>
        <v/>
      </c>
      <c r="B142" s="53">
        <f>IF(IFERROR(MATCH(138,'List A'!$R$5:$R$204,0)+4,"")="","",INDEX('List A'!$B$5:$B$204,IFERROR(MATCH(138,'List A'!$R$5:$R$204,0)+4,"")-4))</f>
        <v/>
      </c>
      <c r="C142" s="52">
        <f>IF(IFERROR(MATCH(138,'List A'!$R$5:$R$204,0)+4,"")="","",INDEX('List A'!$C$5:$C$204,IFERROR(MATCH(138,'List A'!$R$5:$R$204,0)+4,"")-4))</f>
        <v/>
      </c>
      <c r="D142" s="53">
        <f>IF(IFERROR(MATCH(138,'List A'!$R$5:$R$204,0)+4,"")="","",INDEX('List A'!$D$5:$D$204,IFERROR(MATCH(138,'List A'!$R$5:$R$204,0)+4,"")-4))</f>
        <v/>
      </c>
      <c r="E142" s="53">
        <f>IF(IFERROR(MATCH(138,'List A'!$R$5:$R$204,0)+4,"")="","",INDEX('List A'!$E$5:$E$204,IFERROR(MATCH(138,'List A'!$R$5:$R$204,0)+4,"")-4))</f>
        <v/>
      </c>
      <c r="F142" s="53">
        <f>IF(IFERROR(MATCH(138,'List A'!$R$5:$R$204,0)+4,"")="","",INDEX('List A'!$F$5:$F$204,IFERROR(MATCH(138,'List A'!$R$5:$R$204,0)+4,"")-4))</f>
        <v/>
      </c>
      <c r="G142" s="50">
        <f>IF(IFERROR(MATCH(138,'List A'!$R$5:$R$204,0)+4,"")="","",INDEX('List A'!$G$5:$G$204,IFERROR(MATCH(138,'List A'!$R$5:$R$204,0)+4,"")-4))</f>
        <v/>
      </c>
      <c r="H142" s="53">
        <f>IF(IFERROR(MATCH(138,'List A'!$R$5:$R$204,0)+4,"")="","",INDEX('List A'!$H$5:$H$204,IFERROR(MATCH(138,'List A'!$R$5:$R$204,0)+4,"")-4))</f>
        <v/>
      </c>
      <c r="I142" s="61" t="n"/>
      <c r="J142" s="61" t="n"/>
    </row>
    <row r="143" ht="17" customHeight="1">
      <c r="A143" s="87">
        <f>IF(IFERROR(MATCH(139,'List A'!$R$5:$R$204,0)+4,"")="","",INDEX('List A'!$A$5:$A$204,IFERROR(MATCH(139,'List A'!$R$5:$R$204,0)+4,"")-4))</f>
        <v/>
      </c>
      <c r="B143" s="53">
        <f>IF(IFERROR(MATCH(139,'List A'!$R$5:$R$204,0)+4,"")="","",INDEX('List A'!$B$5:$B$204,IFERROR(MATCH(139,'List A'!$R$5:$R$204,0)+4,"")-4))</f>
        <v/>
      </c>
      <c r="C143" s="52">
        <f>IF(IFERROR(MATCH(139,'List A'!$R$5:$R$204,0)+4,"")="","",INDEX('List A'!$C$5:$C$204,IFERROR(MATCH(139,'List A'!$R$5:$R$204,0)+4,"")-4))</f>
        <v/>
      </c>
      <c r="D143" s="53">
        <f>IF(IFERROR(MATCH(139,'List A'!$R$5:$R$204,0)+4,"")="","",INDEX('List A'!$D$5:$D$204,IFERROR(MATCH(139,'List A'!$R$5:$R$204,0)+4,"")-4))</f>
        <v/>
      </c>
      <c r="E143" s="53">
        <f>IF(IFERROR(MATCH(139,'List A'!$R$5:$R$204,0)+4,"")="","",INDEX('List A'!$E$5:$E$204,IFERROR(MATCH(139,'List A'!$R$5:$R$204,0)+4,"")-4))</f>
        <v/>
      </c>
      <c r="F143" s="53">
        <f>IF(IFERROR(MATCH(139,'List A'!$R$5:$R$204,0)+4,"")="","",INDEX('List A'!$F$5:$F$204,IFERROR(MATCH(139,'List A'!$R$5:$R$204,0)+4,"")-4))</f>
        <v/>
      </c>
      <c r="G143" s="50">
        <f>IF(IFERROR(MATCH(139,'List A'!$R$5:$R$204,0)+4,"")="","",INDEX('List A'!$G$5:$G$204,IFERROR(MATCH(139,'List A'!$R$5:$R$204,0)+4,"")-4))</f>
        <v/>
      </c>
      <c r="H143" s="53">
        <f>IF(IFERROR(MATCH(139,'List A'!$R$5:$R$204,0)+4,"")="","",INDEX('List A'!$H$5:$H$204,IFERROR(MATCH(139,'List A'!$R$5:$R$204,0)+4,"")-4))</f>
        <v/>
      </c>
      <c r="I143" s="61" t="n"/>
      <c r="J143" s="61" t="n"/>
    </row>
    <row r="144" ht="17" customHeight="1">
      <c r="A144" s="87">
        <f>IF(IFERROR(MATCH(140,'List A'!$R$5:$R$204,0)+4,"")="","",INDEX('List A'!$A$5:$A$204,IFERROR(MATCH(140,'List A'!$R$5:$R$204,0)+4,"")-4))</f>
        <v/>
      </c>
      <c r="B144" s="53">
        <f>IF(IFERROR(MATCH(140,'List A'!$R$5:$R$204,0)+4,"")="","",INDEX('List A'!$B$5:$B$204,IFERROR(MATCH(140,'List A'!$R$5:$R$204,0)+4,"")-4))</f>
        <v/>
      </c>
      <c r="C144" s="52">
        <f>IF(IFERROR(MATCH(140,'List A'!$R$5:$R$204,0)+4,"")="","",INDEX('List A'!$C$5:$C$204,IFERROR(MATCH(140,'List A'!$R$5:$R$204,0)+4,"")-4))</f>
        <v/>
      </c>
      <c r="D144" s="53">
        <f>IF(IFERROR(MATCH(140,'List A'!$R$5:$R$204,0)+4,"")="","",INDEX('List A'!$D$5:$D$204,IFERROR(MATCH(140,'List A'!$R$5:$R$204,0)+4,"")-4))</f>
        <v/>
      </c>
      <c r="E144" s="53">
        <f>IF(IFERROR(MATCH(140,'List A'!$R$5:$R$204,0)+4,"")="","",INDEX('List A'!$E$5:$E$204,IFERROR(MATCH(140,'List A'!$R$5:$R$204,0)+4,"")-4))</f>
        <v/>
      </c>
      <c r="F144" s="53">
        <f>IF(IFERROR(MATCH(140,'List A'!$R$5:$R$204,0)+4,"")="","",INDEX('List A'!$F$5:$F$204,IFERROR(MATCH(140,'List A'!$R$5:$R$204,0)+4,"")-4))</f>
        <v/>
      </c>
      <c r="G144" s="50">
        <f>IF(IFERROR(MATCH(140,'List A'!$R$5:$R$204,0)+4,"")="","",INDEX('List A'!$G$5:$G$204,IFERROR(MATCH(140,'List A'!$R$5:$R$204,0)+4,"")-4))</f>
        <v/>
      </c>
      <c r="H144" s="53">
        <f>IF(IFERROR(MATCH(140,'List A'!$R$5:$R$204,0)+4,"")="","",INDEX('List A'!$H$5:$H$204,IFERROR(MATCH(140,'List A'!$R$5:$R$204,0)+4,"")-4))</f>
        <v/>
      </c>
      <c r="I144" s="61" t="n"/>
      <c r="J144" s="61" t="n"/>
    </row>
    <row r="145" ht="17" customHeight="1">
      <c r="A145" s="87">
        <f>IF(IFERROR(MATCH(141,'List A'!$R$5:$R$204,0)+4,"")="","",INDEX('List A'!$A$5:$A$204,IFERROR(MATCH(141,'List A'!$R$5:$R$204,0)+4,"")-4))</f>
        <v/>
      </c>
      <c r="B145" s="53">
        <f>IF(IFERROR(MATCH(141,'List A'!$R$5:$R$204,0)+4,"")="","",INDEX('List A'!$B$5:$B$204,IFERROR(MATCH(141,'List A'!$R$5:$R$204,0)+4,"")-4))</f>
        <v/>
      </c>
      <c r="C145" s="52">
        <f>IF(IFERROR(MATCH(141,'List A'!$R$5:$R$204,0)+4,"")="","",INDEX('List A'!$C$5:$C$204,IFERROR(MATCH(141,'List A'!$R$5:$R$204,0)+4,"")-4))</f>
        <v/>
      </c>
      <c r="D145" s="53">
        <f>IF(IFERROR(MATCH(141,'List A'!$R$5:$R$204,0)+4,"")="","",INDEX('List A'!$D$5:$D$204,IFERROR(MATCH(141,'List A'!$R$5:$R$204,0)+4,"")-4))</f>
        <v/>
      </c>
      <c r="E145" s="53">
        <f>IF(IFERROR(MATCH(141,'List A'!$R$5:$R$204,0)+4,"")="","",INDEX('List A'!$E$5:$E$204,IFERROR(MATCH(141,'List A'!$R$5:$R$204,0)+4,"")-4))</f>
        <v/>
      </c>
      <c r="F145" s="53">
        <f>IF(IFERROR(MATCH(141,'List A'!$R$5:$R$204,0)+4,"")="","",INDEX('List A'!$F$5:$F$204,IFERROR(MATCH(141,'List A'!$R$5:$R$204,0)+4,"")-4))</f>
        <v/>
      </c>
      <c r="G145" s="50">
        <f>IF(IFERROR(MATCH(141,'List A'!$R$5:$R$204,0)+4,"")="","",INDEX('List A'!$G$5:$G$204,IFERROR(MATCH(141,'List A'!$R$5:$R$204,0)+4,"")-4))</f>
        <v/>
      </c>
      <c r="H145" s="53">
        <f>IF(IFERROR(MATCH(141,'List A'!$R$5:$R$204,0)+4,"")="","",INDEX('List A'!$H$5:$H$204,IFERROR(MATCH(141,'List A'!$R$5:$R$204,0)+4,"")-4))</f>
        <v/>
      </c>
      <c r="I145" s="61" t="n"/>
      <c r="J145" s="61" t="n"/>
    </row>
    <row r="146" ht="17" customHeight="1">
      <c r="A146" s="87">
        <f>IF(IFERROR(MATCH(142,'List A'!$R$5:$R$204,0)+4,"")="","",INDEX('List A'!$A$5:$A$204,IFERROR(MATCH(142,'List A'!$R$5:$R$204,0)+4,"")-4))</f>
        <v/>
      </c>
      <c r="B146" s="53">
        <f>IF(IFERROR(MATCH(142,'List A'!$R$5:$R$204,0)+4,"")="","",INDEX('List A'!$B$5:$B$204,IFERROR(MATCH(142,'List A'!$R$5:$R$204,0)+4,"")-4))</f>
        <v/>
      </c>
      <c r="C146" s="52">
        <f>IF(IFERROR(MATCH(142,'List A'!$R$5:$R$204,0)+4,"")="","",INDEX('List A'!$C$5:$C$204,IFERROR(MATCH(142,'List A'!$R$5:$R$204,0)+4,"")-4))</f>
        <v/>
      </c>
      <c r="D146" s="53">
        <f>IF(IFERROR(MATCH(142,'List A'!$R$5:$R$204,0)+4,"")="","",INDEX('List A'!$D$5:$D$204,IFERROR(MATCH(142,'List A'!$R$5:$R$204,0)+4,"")-4))</f>
        <v/>
      </c>
      <c r="E146" s="53">
        <f>IF(IFERROR(MATCH(142,'List A'!$R$5:$R$204,0)+4,"")="","",INDEX('List A'!$E$5:$E$204,IFERROR(MATCH(142,'List A'!$R$5:$R$204,0)+4,"")-4))</f>
        <v/>
      </c>
      <c r="F146" s="53">
        <f>IF(IFERROR(MATCH(142,'List A'!$R$5:$R$204,0)+4,"")="","",INDEX('List A'!$F$5:$F$204,IFERROR(MATCH(142,'List A'!$R$5:$R$204,0)+4,"")-4))</f>
        <v/>
      </c>
      <c r="G146" s="50">
        <f>IF(IFERROR(MATCH(142,'List A'!$R$5:$R$204,0)+4,"")="","",INDEX('List A'!$G$5:$G$204,IFERROR(MATCH(142,'List A'!$R$5:$R$204,0)+4,"")-4))</f>
        <v/>
      </c>
      <c r="H146" s="53">
        <f>IF(IFERROR(MATCH(142,'List A'!$R$5:$R$204,0)+4,"")="","",INDEX('List A'!$H$5:$H$204,IFERROR(MATCH(142,'List A'!$R$5:$R$204,0)+4,"")-4))</f>
        <v/>
      </c>
      <c r="I146" s="61" t="n"/>
      <c r="J146" s="61" t="n"/>
    </row>
    <row r="147" ht="17" customHeight="1">
      <c r="A147" s="87">
        <f>IF(IFERROR(MATCH(143,'List A'!$R$5:$R$204,0)+4,"")="","",INDEX('List A'!$A$5:$A$204,IFERROR(MATCH(143,'List A'!$R$5:$R$204,0)+4,"")-4))</f>
        <v/>
      </c>
      <c r="B147" s="53">
        <f>IF(IFERROR(MATCH(143,'List A'!$R$5:$R$204,0)+4,"")="","",INDEX('List A'!$B$5:$B$204,IFERROR(MATCH(143,'List A'!$R$5:$R$204,0)+4,"")-4))</f>
        <v/>
      </c>
      <c r="C147" s="52">
        <f>IF(IFERROR(MATCH(143,'List A'!$R$5:$R$204,0)+4,"")="","",INDEX('List A'!$C$5:$C$204,IFERROR(MATCH(143,'List A'!$R$5:$R$204,0)+4,"")-4))</f>
        <v/>
      </c>
      <c r="D147" s="53">
        <f>IF(IFERROR(MATCH(143,'List A'!$R$5:$R$204,0)+4,"")="","",INDEX('List A'!$D$5:$D$204,IFERROR(MATCH(143,'List A'!$R$5:$R$204,0)+4,"")-4))</f>
        <v/>
      </c>
      <c r="E147" s="53">
        <f>IF(IFERROR(MATCH(143,'List A'!$R$5:$R$204,0)+4,"")="","",INDEX('List A'!$E$5:$E$204,IFERROR(MATCH(143,'List A'!$R$5:$R$204,0)+4,"")-4))</f>
        <v/>
      </c>
      <c r="F147" s="53">
        <f>IF(IFERROR(MATCH(143,'List A'!$R$5:$R$204,0)+4,"")="","",INDEX('List A'!$F$5:$F$204,IFERROR(MATCH(143,'List A'!$R$5:$R$204,0)+4,"")-4))</f>
        <v/>
      </c>
      <c r="G147" s="50">
        <f>IF(IFERROR(MATCH(143,'List A'!$R$5:$R$204,0)+4,"")="","",INDEX('List A'!$G$5:$G$204,IFERROR(MATCH(143,'List A'!$R$5:$R$204,0)+4,"")-4))</f>
        <v/>
      </c>
      <c r="H147" s="53">
        <f>IF(IFERROR(MATCH(143,'List A'!$R$5:$R$204,0)+4,"")="","",INDEX('List A'!$H$5:$H$204,IFERROR(MATCH(143,'List A'!$R$5:$R$204,0)+4,"")-4))</f>
        <v/>
      </c>
      <c r="I147" s="61" t="n"/>
      <c r="J147" s="61" t="n"/>
    </row>
    <row r="148" ht="17" customHeight="1">
      <c r="A148" s="87">
        <f>IF(IFERROR(MATCH(144,'List A'!$R$5:$R$204,0)+4,"")="","",INDEX('List A'!$A$5:$A$204,IFERROR(MATCH(144,'List A'!$R$5:$R$204,0)+4,"")-4))</f>
        <v/>
      </c>
      <c r="B148" s="53">
        <f>IF(IFERROR(MATCH(144,'List A'!$R$5:$R$204,0)+4,"")="","",INDEX('List A'!$B$5:$B$204,IFERROR(MATCH(144,'List A'!$R$5:$R$204,0)+4,"")-4))</f>
        <v/>
      </c>
      <c r="C148" s="52">
        <f>IF(IFERROR(MATCH(144,'List A'!$R$5:$R$204,0)+4,"")="","",INDEX('List A'!$C$5:$C$204,IFERROR(MATCH(144,'List A'!$R$5:$R$204,0)+4,"")-4))</f>
        <v/>
      </c>
      <c r="D148" s="53">
        <f>IF(IFERROR(MATCH(144,'List A'!$R$5:$R$204,0)+4,"")="","",INDEX('List A'!$D$5:$D$204,IFERROR(MATCH(144,'List A'!$R$5:$R$204,0)+4,"")-4))</f>
        <v/>
      </c>
      <c r="E148" s="53">
        <f>IF(IFERROR(MATCH(144,'List A'!$R$5:$R$204,0)+4,"")="","",INDEX('List A'!$E$5:$E$204,IFERROR(MATCH(144,'List A'!$R$5:$R$204,0)+4,"")-4))</f>
        <v/>
      </c>
      <c r="F148" s="53">
        <f>IF(IFERROR(MATCH(144,'List A'!$R$5:$R$204,0)+4,"")="","",INDEX('List A'!$F$5:$F$204,IFERROR(MATCH(144,'List A'!$R$5:$R$204,0)+4,"")-4))</f>
        <v/>
      </c>
      <c r="G148" s="50">
        <f>IF(IFERROR(MATCH(144,'List A'!$R$5:$R$204,0)+4,"")="","",INDEX('List A'!$G$5:$G$204,IFERROR(MATCH(144,'List A'!$R$5:$R$204,0)+4,"")-4))</f>
        <v/>
      </c>
      <c r="H148" s="53">
        <f>IF(IFERROR(MATCH(144,'List A'!$R$5:$R$204,0)+4,"")="","",INDEX('List A'!$H$5:$H$204,IFERROR(MATCH(144,'List A'!$R$5:$R$204,0)+4,"")-4))</f>
        <v/>
      </c>
      <c r="I148" s="61" t="n"/>
      <c r="J148" s="61" t="n"/>
    </row>
    <row r="149" ht="17" customHeight="1">
      <c r="A149" s="87">
        <f>IF(IFERROR(MATCH(145,'List A'!$R$5:$R$204,0)+4,"")="","",INDEX('List A'!$A$5:$A$204,IFERROR(MATCH(145,'List A'!$R$5:$R$204,0)+4,"")-4))</f>
        <v/>
      </c>
      <c r="B149" s="53">
        <f>IF(IFERROR(MATCH(145,'List A'!$R$5:$R$204,0)+4,"")="","",INDEX('List A'!$B$5:$B$204,IFERROR(MATCH(145,'List A'!$R$5:$R$204,0)+4,"")-4))</f>
        <v/>
      </c>
      <c r="C149" s="52">
        <f>IF(IFERROR(MATCH(145,'List A'!$R$5:$R$204,0)+4,"")="","",INDEX('List A'!$C$5:$C$204,IFERROR(MATCH(145,'List A'!$R$5:$R$204,0)+4,"")-4))</f>
        <v/>
      </c>
      <c r="D149" s="53">
        <f>IF(IFERROR(MATCH(145,'List A'!$R$5:$R$204,0)+4,"")="","",INDEX('List A'!$D$5:$D$204,IFERROR(MATCH(145,'List A'!$R$5:$R$204,0)+4,"")-4))</f>
        <v/>
      </c>
      <c r="E149" s="53">
        <f>IF(IFERROR(MATCH(145,'List A'!$R$5:$R$204,0)+4,"")="","",INDEX('List A'!$E$5:$E$204,IFERROR(MATCH(145,'List A'!$R$5:$R$204,0)+4,"")-4))</f>
        <v/>
      </c>
      <c r="F149" s="53">
        <f>IF(IFERROR(MATCH(145,'List A'!$R$5:$R$204,0)+4,"")="","",INDEX('List A'!$F$5:$F$204,IFERROR(MATCH(145,'List A'!$R$5:$R$204,0)+4,"")-4))</f>
        <v/>
      </c>
      <c r="G149" s="50">
        <f>IF(IFERROR(MATCH(145,'List A'!$R$5:$R$204,0)+4,"")="","",INDEX('List A'!$G$5:$G$204,IFERROR(MATCH(145,'List A'!$R$5:$R$204,0)+4,"")-4))</f>
        <v/>
      </c>
      <c r="H149" s="53">
        <f>IF(IFERROR(MATCH(145,'List A'!$R$5:$R$204,0)+4,"")="","",INDEX('List A'!$H$5:$H$204,IFERROR(MATCH(145,'List A'!$R$5:$R$204,0)+4,"")-4))</f>
        <v/>
      </c>
      <c r="I149" s="61" t="n"/>
      <c r="J149" s="61" t="n"/>
    </row>
    <row r="150" ht="17" customHeight="1">
      <c r="A150" s="87">
        <f>IF(IFERROR(MATCH(146,'List A'!$R$5:$R$204,0)+4,"")="","",INDEX('List A'!$A$5:$A$204,IFERROR(MATCH(146,'List A'!$R$5:$R$204,0)+4,"")-4))</f>
        <v/>
      </c>
      <c r="B150" s="53">
        <f>IF(IFERROR(MATCH(146,'List A'!$R$5:$R$204,0)+4,"")="","",INDEX('List A'!$B$5:$B$204,IFERROR(MATCH(146,'List A'!$R$5:$R$204,0)+4,"")-4))</f>
        <v/>
      </c>
      <c r="C150" s="52">
        <f>IF(IFERROR(MATCH(146,'List A'!$R$5:$R$204,0)+4,"")="","",INDEX('List A'!$C$5:$C$204,IFERROR(MATCH(146,'List A'!$R$5:$R$204,0)+4,"")-4))</f>
        <v/>
      </c>
      <c r="D150" s="53">
        <f>IF(IFERROR(MATCH(146,'List A'!$R$5:$R$204,0)+4,"")="","",INDEX('List A'!$D$5:$D$204,IFERROR(MATCH(146,'List A'!$R$5:$R$204,0)+4,"")-4))</f>
        <v/>
      </c>
      <c r="E150" s="53">
        <f>IF(IFERROR(MATCH(146,'List A'!$R$5:$R$204,0)+4,"")="","",INDEX('List A'!$E$5:$E$204,IFERROR(MATCH(146,'List A'!$R$5:$R$204,0)+4,"")-4))</f>
        <v/>
      </c>
      <c r="F150" s="53">
        <f>IF(IFERROR(MATCH(146,'List A'!$R$5:$R$204,0)+4,"")="","",INDEX('List A'!$F$5:$F$204,IFERROR(MATCH(146,'List A'!$R$5:$R$204,0)+4,"")-4))</f>
        <v/>
      </c>
      <c r="G150" s="50">
        <f>IF(IFERROR(MATCH(146,'List A'!$R$5:$R$204,0)+4,"")="","",INDEX('List A'!$G$5:$G$204,IFERROR(MATCH(146,'List A'!$R$5:$R$204,0)+4,"")-4))</f>
        <v/>
      </c>
      <c r="H150" s="53">
        <f>IF(IFERROR(MATCH(146,'List A'!$R$5:$R$204,0)+4,"")="","",INDEX('List A'!$H$5:$H$204,IFERROR(MATCH(146,'List A'!$R$5:$R$204,0)+4,"")-4))</f>
        <v/>
      </c>
      <c r="I150" s="61" t="n"/>
      <c r="J150" s="61" t="n"/>
    </row>
    <row r="151" ht="17" customHeight="1">
      <c r="A151" s="87">
        <f>IF(IFERROR(MATCH(147,'List A'!$R$5:$R$204,0)+4,"")="","",INDEX('List A'!$A$5:$A$204,IFERROR(MATCH(147,'List A'!$R$5:$R$204,0)+4,"")-4))</f>
        <v/>
      </c>
      <c r="B151" s="53">
        <f>IF(IFERROR(MATCH(147,'List A'!$R$5:$R$204,0)+4,"")="","",INDEX('List A'!$B$5:$B$204,IFERROR(MATCH(147,'List A'!$R$5:$R$204,0)+4,"")-4))</f>
        <v/>
      </c>
      <c r="C151" s="52">
        <f>IF(IFERROR(MATCH(147,'List A'!$R$5:$R$204,0)+4,"")="","",INDEX('List A'!$C$5:$C$204,IFERROR(MATCH(147,'List A'!$R$5:$R$204,0)+4,"")-4))</f>
        <v/>
      </c>
      <c r="D151" s="53">
        <f>IF(IFERROR(MATCH(147,'List A'!$R$5:$R$204,0)+4,"")="","",INDEX('List A'!$D$5:$D$204,IFERROR(MATCH(147,'List A'!$R$5:$R$204,0)+4,"")-4))</f>
        <v/>
      </c>
      <c r="E151" s="53">
        <f>IF(IFERROR(MATCH(147,'List A'!$R$5:$R$204,0)+4,"")="","",INDEX('List A'!$E$5:$E$204,IFERROR(MATCH(147,'List A'!$R$5:$R$204,0)+4,"")-4))</f>
        <v/>
      </c>
      <c r="F151" s="53">
        <f>IF(IFERROR(MATCH(147,'List A'!$R$5:$R$204,0)+4,"")="","",INDEX('List A'!$F$5:$F$204,IFERROR(MATCH(147,'List A'!$R$5:$R$204,0)+4,"")-4))</f>
        <v/>
      </c>
      <c r="G151" s="50">
        <f>IF(IFERROR(MATCH(147,'List A'!$R$5:$R$204,0)+4,"")="","",INDEX('List A'!$G$5:$G$204,IFERROR(MATCH(147,'List A'!$R$5:$R$204,0)+4,"")-4))</f>
        <v/>
      </c>
      <c r="H151" s="53">
        <f>IF(IFERROR(MATCH(147,'List A'!$R$5:$R$204,0)+4,"")="","",INDEX('List A'!$H$5:$H$204,IFERROR(MATCH(147,'List A'!$R$5:$R$204,0)+4,"")-4))</f>
        <v/>
      </c>
      <c r="I151" s="61" t="n"/>
      <c r="J151" s="61" t="n"/>
    </row>
    <row r="152" ht="17" customHeight="1">
      <c r="A152" s="87">
        <f>IF(IFERROR(MATCH(148,'List A'!$R$5:$R$204,0)+4,"")="","",INDEX('List A'!$A$5:$A$204,IFERROR(MATCH(148,'List A'!$R$5:$R$204,0)+4,"")-4))</f>
        <v/>
      </c>
      <c r="B152" s="53">
        <f>IF(IFERROR(MATCH(148,'List A'!$R$5:$R$204,0)+4,"")="","",INDEX('List A'!$B$5:$B$204,IFERROR(MATCH(148,'List A'!$R$5:$R$204,0)+4,"")-4))</f>
        <v/>
      </c>
      <c r="C152" s="52">
        <f>IF(IFERROR(MATCH(148,'List A'!$R$5:$R$204,0)+4,"")="","",INDEX('List A'!$C$5:$C$204,IFERROR(MATCH(148,'List A'!$R$5:$R$204,0)+4,"")-4))</f>
        <v/>
      </c>
      <c r="D152" s="53">
        <f>IF(IFERROR(MATCH(148,'List A'!$R$5:$R$204,0)+4,"")="","",INDEX('List A'!$D$5:$D$204,IFERROR(MATCH(148,'List A'!$R$5:$R$204,0)+4,"")-4))</f>
        <v/>
      </c>
      <c r="E152" s="53">
        <f>IF(IFERROR(MATCH(148,'List A'!$R$5:$R$204,0)+4,"")="","",INDEX('List A'!$E$5:$E$204,IFERROR(MATCH(148,'List A'!$R$5:$R$204,0)+4,"")-4))</f>
        <v/>
      </c>
      <c r="F152" s="53">
        <f>IF(IFERROR(MATCH(148,'List A'!$R$5:$R$204,0)+4,"")="","",INDEX('List A'!$F$5:$F$204,IFERROR(MATCH(148,'List A'!$R$5:$R$204,0)+4,"")-4))</f>
        <v/>
      </c>
      <c r="G152" s="50">
        <f>IF(IFERROR(MATCH(148,'List A'!$R$5:$R$204,0)+4,"")="","",INDEX('List A'!$G$5:$G$204,IFERROR(MATCH(148,'List A'!$R$5:$R$204,0)+4,"")-4))</f>
        <v/>
      </c>
      <c r="H152" s="53">
        <f>IF(IFERROR(MATCH(148,'List A'!$R$5:$R$204,0)+4,"")="","",INDEX('List A'!$H$5:$H$204,IFERROR(MATCH(148,'List A'!$R$5:$R$204,0)+4,"")-4))</f>
        <v/>
      </c>
      <c r="I152" s="61" t="n"/>
      <c r="J152" s="61" t="n"/>
    </row>
    <row r="153" ht="17" customHeight="1">
      <c r="A153" s="87">
        <f>IF(IFERROR(MATCH(149,'List A'!$R$5:$R$204,0)+4,"")="","",INDEX('List A'!$A$5:$A$204,IFERROR(MATCH(149,'List A'!$R$5:$R$204,0)+4,"")-4))</f>
        <v/>
      </c>
      <c r="B153" s="53">
        <f>IF(IFERROR(MATCH(149,'List A'!$R$5:$R$204,0)+4,"")="","",INDEX('List A'!$B$5:$B$204,IFERROR(MATCH(149,'List A'!$R$5:$R$204,0)+4,"")-4))</f>
        <v/>
      </c>
      <c r="C153" s="52">
        <f>IF(IFERROR(MATCH(149,'List A'!$R$5:$R$204,0)+4,"")="","",INDEX('List A'!$C$5:$C$204,IFERROR(MATCH(149,'List A'!$R$5:$R$204,0)+4,"")-4))</f>
        <v/>
      </c>
      <c r="D153" s="53">
        <f>IF(IFERROR(MATCH(149,'List A'!$R$5:$R$204,0)+4,"")="","",INDEX('List A'!$D$5:$D$204,IFERROR(MATCH(149,'List A'!$R$5:$R$204,0)+4,"")-4))</f>
        <v/>
      </c>
      <c r="E153" s="53">
        <f>IF(IFERROR(MATCH(149,'List A'!$R$5:$R$204,0)+4,"")="","",INDEX('List A'!$E$5:$E$204,IFERROR(MATCH(149,'List A'!$R$5:$R$204,0)+4,"")-4))</f>
        <v/>
      </c>
      <c r="F153" s="53">
        <f>IF(IFERROR(MATCH(149,'List A'!$R$5:$R$204,0)+4,"")="","",INDEX('List A'!$F$5:$F$204,IFERROR(MATCH(149,'List A'!$R$5:$R$204,0)+4,"")-4))</f>
        <v/>
      </c>
      <c r="G153" s="50">
        <f>IF(IFERROR(MATCH(149,'List A'!$R$5:$R$204,0)+4,"")="","",INDEX('List A'!$G$5:$G$204,IFERROR(MATCH(149,'List A'!$R$5:$R$204,0)+4,"")-4))</f>
        <v/>
      </c>
      <c r="H153" s="53">
        <f>IF(IFERROR(MATCH(149,'List A'!$R$5:$R$204,0)+4,"")="","",INDEX('List A'!$H$5:$H$204,IFERROR(MATCH(149,'List A'!$R$5:$R$204,0)+4,"")-4))</f>
        <v/>
      </c>
      <c r="I153" s="61" t="n"/>
      <c r="J153" s="61" t="n"/>
    </row>
    <row r="154" ht="17" customHeight="1">
      <c r="A154" s="87">
        <f>IF(IFERROR(MATCH(150,'List A'!$R$5:$R$204,0)+4,"")="","",INDEX('List A'!$A$5:$A$204,IFERROR(MATCH(150,'List A'!$R$5:$R$204,0)+4,"")-4))</f>
        <v/>
      </c>
      <c r="B154" s="53">
        <f>IF(IFERROR(MATCH(150,'List A'!$R$5:$R$204,0)+4,"")="","",INDEX('List A'!$B$5:$B$204,IFERROR(MATCH(150,'List A'!$R$5:$R$204,0)+4,"")-4))</f>
        <v/>
      </c>
      <c r="C154" s="52">
        <f>IF(IFERROR(MATCH(150,'List A'!$R$5:$R$204,0)+4,"")="","",INDEX('List A'!$C$5:$C$204,IFERROR(MATCH(150,'List A'!$R$5:$R$204,0)+4,"")-4))</f>
        <v/>
      </c>
      <c r="D154" s="53">
        <f>IF(IFERROR(MATCH(150,'List A'!$R$5:$R$204,0)+4,"")="","",INDEX('List A'!$D$5:$D$204,IFERROR(MATCH(150,'List A'!$R$5:$R$204,0)+4,"")-4))</f>
        <v/>
      </c>
      <c r="E154" s="53">
        <f>IF(IFERROR(MATCH(150,'List A'!$R$5:$R$204,0)+4,"")="","",INDEX('List A'!$E$5:$E$204,IFERROR(MATCH(150,'List A'!$R$5:$R$204,0)+4,"")-4))</f>
        <v/>
      </c>
      <c r="F154" s="53">
        <f>IF(IFERROR(MATCH(150,'List A'!$R$5:$R$204,0)+4,"")="","",INDEX('List A'!$F$5:$F$204,IFERROR(MATCH(150,'List A'!$R$5:$R$204,0)+4,"")-4))</f>
        <v/>
      </c>
      <c r="G154" s="50">
        <f>IF(IFERROR(MATCH(150,'List A'!$R$5:$R$204,0)+4,"")="","",INDEX('List A'!$G$5:$G$204,IFERROR(MATCH(150,'List A'!$R$5:$R$204,0)+4,"")-4))</f>
        <v/>
      </c>
      <c r="H154" s="53">
        <f>IF(IFERROR(MATCH(150,'List A'!$R$5:$R$204,0)+4,"")="","",INDEX('List A'!$H$5:$H$204,IFERROR(MATCH(150,'List A'!$R$5:$R$204,0)+4,"")-4))</f>
        <v/>
      </c>
      <c r="I154" s="61" t="n"/>
      <c r="J154" s="61" t="n"/>
    </row>
    <row r="155" ht="17" customHeight="1">
      <c r="A155" s="87">
        <f>IF(IFERROR(MATCH(151,'List A'!$R$5:$R$204,0)+4,"")="","",INDEX('List A'!$A$5:$A$204,IFERROR(MATCH(151,'List A'!$R$5:$R$204,0)+4,"")-4))</f>
        <v/>
      </c>
      <c r="B155" s="53">
        <f>IF(IFERROR(MATCH(151,'List A'!$R$5:$R$204,0)+4,"")="","",INDEX('List A'!$B$5:$B$204,IFERROR(MATCH(151,'List A'!$R$5:$R$204,0)+4,"")-4))</f>
        <v/>
      </c>
      <c r="C155" s="52">
        <f>IF(IFERROR(MATCH(151,'List A'!$R$5:$R$204,0)+4,"")="","",INDEX('List A'!$C$5:$C$204,IFERROR(MATCH(151,'List A'!$R$5:$R$204,0)+4,"")-4))</f>
        <v/>
      </c>
      <c r="D155" s="53">
        <f>IF(IFERROR(MATCH(151,'List A'!$R$5:$R$204,0)+4,"")="","",INDEX('List A'!$D$5:$D$204,IFERROR(MATCH(151,'List A'!$R$5:$R$204,0)+4,"")-4))</f>
        <v/>
      </c>
      <c r="E155" s="53">
        <f>IF(IFERROR(MATCH(151,'List A'!$R$5:$R$204,0)+4,"")="","",INDEX('List A'!$E$5:$E$204,IFERROR(MATCH(151,'List A'!$R$5:$R$204,0)+4,"")-4))</f>
        <v/>
      </c>
      <c r="F155" s="53">
        <f>IF(IFERROR(MATCH(151,'List A'!$R$5:$R$204,0)+4,"")="","",INDEX('List A'!$F$5:$F$204,IFERROR(MATCH(151,'List A'!$R$5:$R$204,0)+4,"")-4))</f>
        <v/>
      </c>
      <c r="G155" s="50">
        <f>IF(IFERROR(MATCH(151,'List A'!$R$5:$R$204,0)+4,"")="","",INDEX('List A'!$G$5:$G$204,IFERROR(MATCH(151,'List A'!$R$5:$R$204,0)+4,"")-4))</f>
        <v/>
      </c>
      <c r="H155" s="53">
        <f>IF(IFERROR(MATCH(151,'List A'!$R$5:$R$204,0)+4,"")="","",INDEX('List A'!$H$5:$H$204,IFERROR(MATCH(151,'List A'!$R$5:$R$204,0)+4,"")-4))</f>
        <v/>
      </c>
      <c r="I155" s="61" t="n"/>
      <c r="J155" s="61" t="n"/>
    </row>
    <row r="156" ht="17" customHeight="1">
      <c r="A156" s="87">
        <f>IF(IFERROR(MATCH(152,'List A'!$R$5:$R$204,0)+4,"")="","",INDEX('List A'!$A$5:$A$204,IFERROR(MATCH(152,'List A'!$R$5:$R$204,0)+4,"")-4))</f>
        <v/>
      </c>
      <c r="B156" s="53">
        <f>IF(IFERROR(MATCH(152,'List A'!$R$5:$R$204,0)+4,"")="","",INDEX('List A'!$B$5:$B$204,IFERROR(MATCH(152,'List A'!$R$5:$R$204,0)+4,"")-4))</f>
        <v/>
      </c>
      <c r="C156" s="52">
        <f>IF(IFERROR(MATCH(152,'List A'!$R$5:$R$204,0)+4,"")="","",INDEX('List A'!$C$5:$C$204,IFERROR(MATCH(152,'List A'!$R$5:$R$204,0)+4,"")-4))</f>
        <v/>
      </c>
      <c r="D156" s="53">
        <f>IF(IFERROR(MATCH(152,'List A'!$R$5:$R$204,0)+4,"")="","",INDEX('List A'!$D$5:$D$204,IFERROR(MATCH(152,'List A'!$R$5:$R$204,0)+4,"")-4))</f>
        <v/>
      </c>
      <c r="E156" s="53">
        <f>IF(IFERROR(MATCH(152,'List A'!$R$5:$R$204,0)+4,"")="","",INDEX('List A'!$E$5:$E$204,IFERROR(MATCH(152,'List A'!$R$5:$R$204,0)+4,"")-4))</f>
        <v/>
      </c>
      <c r="F156" s="53">
        <f>IF(IFERROR(MATCH(152,'List A'!$R$5:$R$204,0)+4,"")="","",INDEX('List A'!$F$5:$F$204,IFERROR(MATCH(152,'List A'!$R$5:$R$204,0)+4,"")-4))</f>
        <v/>
      </c>
      <c r="G156" s="50">
        <f>IF(IFERROR(MATCH(152,'List A'!$R$5:$R$204,0)+4,"")="","",INDEX('List A'!$G$5:$G$204,IFERROR(MATCH(152,'List A'!$R$5:$R$204,0)+4,"")-4))</f>
        <v/>
      </c>
      <c r="H156" s="53">
        <f>IF(IFERROR(MATCH(152,'List A'!$R$5:$R$204,0)+4,"")="","",INDEX('List A'!$H$5:$H$204,IFERROR(MATCH(152,'List A'!$R$5:$R$204,0)+4,"")-4))</f>
        <v/>
      </c>
      <c r="I156" s="61" t="n"/>
      <c r="J156" s="61" t="n"/>
    </row>
    <row r="157" ht="17" customHeight="1">
      <c r="A157" s="87">
        <f>IF(IFERROR(MATCH(153,'List A'!$R$5:$R$204,0)+4,"")="","",INDEX('List A'!$A$5:$A$204,IFERROR(MATCH(153,'List A'!$R$5:$R$204,0)+4,"")-4))</f>
        <v/>
      </c>
      <c r="B157" s="53">
        <f>IF(IFERROR(MATCH(153,'List A'!$R$5:$R$204,0)+4,"")="","",INDEX('List A'!$B$5:$B$204,IFERROR(MATCH(153,'List A'!$R$5:$R$204,0)+4,"")-4))</f>
        <v/>
      </c>
      <c r="C157" s="52">
        <f>IF(IFERROR(MATCH(153,'List A'!$R$5:$R$204,0)+4,"")="","",INDEX('List A'!$C$5:$C$204,IFERROR(MATCH(153,'List A'!$R$5:$R$204,0)+4,"")-4))</f>
        <v/>
      </c>
      <c r="D157" s="53">
        <f>IF(IFERROR(MATCH(153,'List A'!$R$5:$R$204,0)+4,"")="","",INDEX('List A'!$D$5:$D$204,IFERROR(MATCH(153,'List A'!$R$5:$R$204,0)+4,"")-4))</f>
        <v/>
      </c>
      <c r="E157" s="53">
        <f>IF(IFERROR(MATCH(153,'List A'!$R$5:$R$204,0)+4,"")="","",INDEX('List A'!$E$5:$E$204,IFERROR(MATCH(153,'List A'!$R$5:$R$204,0)+4,"")-4))</f>
        <v/>
      </c>
      <c r="F157" s="53">
        <f>IF(IFERROR(MATCH(153,'List A'!$R$5:$R$204,0)+4,"")="","",INDEX('List A'!$F$5:$F$204,IFERROR(MATCH(153,'List A'!$R$5:$R$204,0)+4,"")-4))</f>
        <v/>
      </c>
      <c r="G157" s="50">
        <f>IF(IFERROR(MATCH(153,'List A'!$R$5:$R$204,0)+4,"")="","",INDEX('List A'!$G$5:$G$204,IFERROR(MATCH(153,'List A'!$R$5:$R$204,0)+4,"")-4))</f>
        <v/>
      </c>
      <c r="H157" s="53">
        <f>IF(IFERROR(MATCH(153,'List A'!$R$5:$R$204,0)+4,"")="","",INDEX('List A'!$H$5:$H$204,IFERROR(MATCH(153,'List A'!$R$5:$R$204,0)+4,"")-4))</f>
        <v/>
      </c>
      <c r="I157" s="61" t="n"/>
      <c r="J157" s="61" t="n"/>
    </row>
    <row r="158" ht="17" customHeight="1">
      <c r="A158" s="87">
        <f>IF(IFERROR(MATCH(154,'List A'!$R$5:$R$204,0)+4,"")="","",INDEX('List A'!$A$5:$A$204,IFERROR(MATCH(154,'List A'!$R$5:$R$204,0)+4,"")-4))</f>
        <v/>
      </c>
      <c r="B158" s="53">
        <f>IF(IFERROR(MATCH(154,'List A'!$R$5:$R$204,0)+4,"")="","",INDEX('List A'!$B$5:$B$204,IFERROR(MATCH(154,'List A'!$R$5:$R$204,0)+4,"")-4))</f>
        <v/>
      </c>
      <c r="C158" s="52">
        <f>IF(IFERROR(MATCH(154,'List A'!$R$5:$R$204,0)+4,"")="","",INDEX('List A'!$C$5:$C$204,IFERROR(MATCH(154,'List A'!$R$5:$R$204,0)+4,"")-4))</f>
        <v/>
      </c>
      <c r="D158" s="53">
        <f>IF(IFERROR(MATCH(154,'List A'!$R$5:$R$204,0)+4,"")="","",INDEX('List A'!$D$5:$D$204,IFERROR(MATCH(154,'List A'!$R$5:$R$204,0)+4,"")-4))</f>
        <v/>
      </c>
      <c r="E158" s="53">
        <f>IF(IFERROR(MATCH(154,'List A'!$R$5:$R$204,0)+4,"")="","",INDEX('List A'!$E$5:$E$204,IFERROR(MATCH(154,'List A'!$R$5:$R$204,0)+4,"")-4))</f>
        <v/>
      </c>
      <c r="F158" s="53">
        <f>IF(IFERROR(MATCH(154,'List A'!$R$5:$R$204,0)+4,"")="","",INDEX('List A'!$F$5:$F$204,IFERROR(MATCH(154,'List A'!$R$5:$R$204,0)+4,"")-4))</f>
        <v/>
      </c>
      <c r="G158" s="50">
        <f>IF(IFERROR(MATCH(154,'List A'!$R$5:$R$204,0)+4,"")="","",INDEX('List A'!$G$5:$G$204,IFERROR(MATCH(154,'List A'!$R$5:$R$204,0)+4,"")-4))</f>
        <v/>
      </c>
      <c r="H158" s="53">
        <f>IF(IFERROR(MATCH(154,'List A'!$R$5:$R$204,0)+4,"")="","",INDEX('List A'!$H$5:$H$204,IFERROR(MATCH(154,'List A'!$R$5:$R$204,0)+4,"")-4))</f>
        <v/>
      </c>
      <c r="I158" s="61" t="n"/>
      <c r="J158" s="61" t="n"/>
    </row>
    <row r="159" ht="17" customHeight="1">
      <c r="A159" s="87">
        <f>IF(IFERROR(MATCH(155,'List A'!$R$5:$R$204,0)+4,"")="","",INDEX('List A'!$A$5:$A$204,IFERROR(MATCH(155,'List A'!$R$5:$R$204,0)+4,"")-4))</f>
        <v/>
      </c>
      <c r="B159" s="53">
        <f>IF(IFERROR(MATCH(155,'List A'!$R$5:$R$204,0)+4,"")="","",INDEX('List A'!$B$5:$B$204,IFERROR(MATCH(155,'List A'!$R$5:$R$204,0)+4,"")-4))</f>
        <v/>
      </c>
      <c r="C159" s="52">
        <f>IF(IFERROR(MATCH(155,'List A'!$R$5:$R$204,0)+4,"")="","",INDEX('List A'!$C$5:$C$204,IFERROR(MATCH(155,'List A'!$R$5:$R$204,0)+4,"")-4))</f>
        <v/>
      </c>
      <c r="D159" s="53">
        <f>IF(IFERROR(MATCH(155,'List A'!$R$5:$R$204,0)+4,"")="","",INDEX('List A'!$D$5:$D$204,IFERROR(MATCH(155,'List A'!$R$5:$R$204,0)+4,"")-4))</f>
        <v/>
      </c>
      <c r="E159" s="53">
        <f>IF(IFERROR(MATCH(155,'List A'!$R$5:$R$204,0)+4,"")="","",INDEX('List A'!$E$5:$E$204,IFERROR(MATCH(155,'List A'!$R$5:$R$204,0)+4,"")-4))</f>
        <v/>
      </c>
      <c r="F159" s="53">
        <f>IF(IFERROR(MATCH(155,'List A'!$R$5:$R$204,0)+4,"")="","",INDEX('List A'!$F$5:$F$204,IFERROR(MATCH(155,'List A'!$R$5:$R$204,0)+4,"")-4))</f>
        <v/>
      </c>
      <c r="G159" s="50">
        <f>IF(IFERROR(MATCH(155,'List A'!$R$5:$R$204,0)+4,"")="","",INDEX('List A'!$G$5:$G$204,IFERROR(MATCH(155,'List A'!$R$5:$R$204,0)+4,"")-4))</f>
        <v/>
      </c>
      <c r="H159" s="53">
        <f>IF(IFERROR(MATCH(155,'List A'!$R$5:$R$204,0)+4,"")="","",INDEX('List A'!$H$5:$H$204,IFERROR(MATCH(155,'List A'!$R$5:$R$204,0)+4,"")-4))</f>
        <v/>
      </c>
      <c r="I159" s="61" t="n"/>
      <c r="J159" s="61" t="n"/>
    </row>
    <row r="160" ht="17" customHeight="1">
      <c r="A160" s="87">
        <f>IF(IFERROR(MATCH(156,'List A'!$R$5:$R$204,0)+4,"")="","",INDEX('List A'!$A$5:$A$204,IFERROR(MATCH(156,'List A'!$R$5:$R$204,0)+4,"")-4))</f>
        <v/>
      </c>
      <c r="B160" s="53">
        <f>IF(IFERROR(MATCH(156,'List A'!$R$5:$R$204,0)+4,"")="","",INDEX('List A'!$B$5:$B$204,IFERROR(MATCH(156,'List A'!$R$5:$R$204,0)+4,"")-4))</f>
        <v/>
      </c>
      <c r="C160" s="52">
        <f>IF(IFERROR(MATCH(156,'List A'!$R$5:$R$204,0)+4,"")="","",INDEX('List A'!$C$5:$C$204,IFERROR(MATCH(156,'List A'!$R$5:$R$204,0)+4,"")-4))</f>
        <v/>
      </c>
      <c r="D160" s="53">
        <f>IF(IFERROR(MATCH(156,'List A'!$R$5:$R$204,0)+4,"")="","",INDEX('List A'!$D$5:$D$204,IFERROR(MATCH(156,'List A'!$R$5:$R$204,0)+4,"")-4))</f>
        <v/>
      </c>
      <c r="E160" s="53">
        <f>IF(IFERROR(MATCH(156,'List A'!$R$5:$R$204,0)+4,"")="","",INDEX('List A'!$E$5:$E$204,IFERROR(MATCH(156,'List A'!$R$5:$R$204,0)+4,"")-4))</f>
        <v/>
      </c>
      <c r="F160" s="53">
        <f>IF(IFERROR(MATCH(156,'List A'!$R$5:$R$204,0)+4,"")="","",INDEX('List A'!$F$5:$F$204,IFERROR(MATCH(156,'List A'!$R$5:$R$204,0)+4,"")-4))</f>
        <v/>
      </c>
      <c r="G160" s="50">
        <f>IF(IFERROR(MATCH(156,'List A'!$R$5:$R$204,0)+4,"")="","",INDEX('List A'!$G$5:$G$204,IFERROR(MATCH(156,'List A'!$R$5:$R$204,0)+4,"")-4))</f>
        <v/>
      </c>
      <c r="H160" s="53">
        <f>IF(IFERROR(MATCH(156,'List A'!$R$5:$R$204,0)+4,"")="","",INDEX('List A'!$H$5:$H$204,IFERROR(MATCH(156,'List A'!$R$5:$R$204,0)+4,"")-4))</f>
        <v/>
      </c>
      <c r="I160" s="61" t="n"/>
      <c r="J160" s="61" t="n"/>
    </row>
    <row r="161" ht="17" customHeight="1">
      <c r="A161" s="87">
        <f>IF(IFERROR(MATCH(157,'List A'!$R$5:$R$204,0)+4,"")="","",INDEX('List A'!$A$5:$A$204,IFERROR(MATCH(157,'List A'!$R$5:$R$204,0)+4,"")-4))</f>
        <v/>
      </c>
      <c r="B161" s="53">
        <f>IF(IFERROR(MATCH(157,'List A'!$R$5:$R$204,0)+4,"")="","",INDEX('List A'!$B$5:$B$204,IFERROR(MATCH(157,'List A'!$R$5:$R$204,0)+4,"")-4))</f>
        <v/>
      </c>
      <c r="C161" s="52">
        <f>IF(IFERROR(MATCH(157,'List A'!$R$5:$R$204,0)+4,"")="","",INDEX('List A'!$C$5:$C$204,IFERROR(MATCH(157,'List A'!$R$5:$R$204,0)+4,"")-4))</f>
        <v/>
      </c>
      <c r="D161" s="53">
        <f>IF(IFERROR(MATCH(157,'List A'!$R$5:$R$204,0)+4,"")="","",INDEX('List A'!$D$5:$D$204,IFERROR(MATCH(157,'List A'!$R$5:$R$204,0)+4,"")-4))</f>
        <v/>
      </c>
      <c r="E161" s="53">
        <f>IF(IFERROR(MATCH(157,'List A'!$R$5:$R$204,0)+4,"")="","",INDEX('List A'!$E$5:$E$204,IFERROR(MATCH(157,'List A'!$R$5:$R$204,0)+4,"")-4))</f>
        <v/>
      </c>
      <c r="F161" s="53">
        <f>IF(IFERROR(MATCH(157,'List A'!$R$5:$R$204,0)+4,"")="","",INDEX('List A'!$F$5:$F$204,IFERROR(MATCH(157,'List A'!$R$5:$R$204,0)+4,"")-4))</f>
        <v/>
      </c>
      <c r="G161" s="50">
        <f>IF(IFERROR(MATCH(157,'List A'!$R$5:$R$204,0)+4,"")="","",INDEX('List A'!$G$5:$G$204,IFERROR(MATCH(157,'List A'!$R$5:$R$204,0)+4,"")-4))</f>
        <v/>
      </c>
      <c r="H161" s="53">
        <f>IF(IFERROR(MATCH(157,'List A'!$R$5:$R$204,0)+4,"")="","",INDEX('List A'!$H$5:$H$204,IFERROR(MATCH(157,'List A'!$R$5:$R$204,0)+4,"")-4))</f>
        <v/>
      </c>
      <c r="I161" s="61" t="n"/>
      <c r="J161" s="61" t="n"/>
    </row>
    <row r="162" ht="17" customHeight="1">
      <c r="A162" s="87">
        <f>IF(IFERROR(MATCH(158,'List A'!$R$5:$R$204,0)+4,"")="","",INDEX('List A'!$A$5:$A$204,IFERROR(MATCH(158,'List A'!$R$5:$R$204,0)+4,"")-4))</f>
        <v/>
      </c>
      <c r="B162" s="53">
        <f>IF(IFERROR(MATCH(158,'List A'!$R$5:$R$204,0)+4,"")="","",INDEX('List A'!$B$5:$B$204,IFERROR(MATCH(158,'List A'!$R$5:$R$204,0)+4,"")-4))</f>
        <v/>
      </c>
      <c r="C162" s="52">
        <f>IF(IFERROR(MATCH(158,'List A'!$R$5:$R$204,0)+4,"")="","",INDEX('List A'!$C$5:$C$204,IFERROR(MATCH(158,'List A'!$R$5:$R$204,0)+4,"")-4))</f>
        <v/>
      </c>
      <c r="D162" s="53">
        <f>IF(IFERROR(MATCH(158,'List A'!$R$5:$R$204,0)+4,"")="","",INDEX('List A'!$D$5:$D$204,IFERROR(MATCH(158,'List A'!$R$5:$R$204,0)+4,"")-4))</f>
        <v/>
      </c>
      <c r="E162" s="53">
        <f>IF(IFERROR(MATCH(158,'List A'!$R$5:$R$204,0)+4,"")="","",INDEX('List A'!$E$5:$E$204,IFERROR(MATCH(158,'List A'!$R$5:$R$204,0)+4,"")-4))</f>
        <v/>
      </c>
      <c r="F162" s="53">
        <f>IF(IFERROR(MATCH(158,'List A'!$R$5:$R$204,0)+4,"")="","",INDEX('List A'!$F$5:$F$204,IFERROR(MATCH(158,'List A'!$R$5:$R$204,0)+4,"")-4))</f>
        <v/>
      </c>
      <c r="G162" s="50">
        <f>IF(IFERROR(MATCH(158,'List A'!$R$5:$R$204,0)+4,"")="","",INDEX('List A'!$G$5:$G$204,IFERROR(MATCH(158,'List A'!$R$5:$R$204,0)+4,"")-4))</f>
        <v/>
      </c>
      <c r="H162" s="53">
        <f>IF(IFERROR(MATCH(158,'List A'!$R$5:$R$204,0)+4,"")="","",INDEX('List A'!$H$5:$H$204,IFERROR(MATCH(158,'List A'!$R$5:$R$204,0)+4,"")-4))</f>
        <v/>
      </c>
      <c r="I162" s="61" t="n"/>
      <c r="J162" s="61" t="n"/>
    </row>
    <row r="163" ht="17" customHeight="1">
      <c r="A163" s="87">
        <f>IF(IFERROR(MATCH(159,'List A'!$R$5:$R$204,0)+4,"")="","",INDEX('List A'!$A$5:$A$204,IFERROR(MATCH(159,'List A'!$R$5:$R$204,0)+4,"")-4))</f>
        <v/>
      </c>
      <c r="B163" s="53">
        <f>IF(IFERROR(MATCH(159,'List A'!$R$5:$R$204,0)+4,"")="","",INDEX('List A'!$B$5:$B$204,IFERROR(MATCH(159,'List A'!$R$5:$R$204,0)+4,"")-4))</f>
        <v/>
      </c>
      <c r="C163" s="52">
        <f>IF(IFERROR(MATCH(159,'List A'!$R$5:$R$204,0)+4,"")="","",INDEX('List A'!$C$5:$C$204,IFERROR(MATCH(159,'List A'!$R$5:$R$204,0)+4,"")-4))</f>
        <v/>
      </c>
      <c r="D163" s="53">
        <f>IF(IFERROR(MATCH(159,'List A'!$R$5:$R$204,0)+4,"")="","",INDEX('List A'!$D$5:$D$204,IFERROR(MATCH(159,'List A'!$R$5:$R$204,0)+4,"")-4))</f>
        <v/>
      </c>
      <c r="E163" s="53">
        <f>IF(IFERROR(MATCH(159,'List A'!$R$5:$R$204,0)+4,"")="","",INDEX('List A'!$E$5:$E$204,IFERROR(MATCH(159,'List A'!$R$5:$R$204,0)+4,"")-4))</f>
        <v/>
      </c>
      <c r="F163" s="53">
        <f>IF(IFERROR(MATCH(159,'List A'!$R$5:$R$204,0)+4,"")="","",INDEX('List A'!$F$5:$F$204,IFERROR(MATCH(159,'List A'!$R$5:$R$204,0)+4,"")-4))</f>
        <v/>
      </c>
      <c r="G163" s="50">
        <f>IF(IFERROR(MATCH(159,'List A'!$R$5:$R$204,0)+4,"")="","",INDEX('List A'!$G$5:$G$204,IFERROR(MATCH(159,'List A'!$R$5:$R$204,0)+4,"")-4))</f>
        <v/>
      </c>
      <c r="H163" s="53">
        <f>IF(IFERROR(MATCH(159,'List A'!$R$5:$R$204,0)+4,"")="","",INDEX('List A'!$H$5:$H$204,IFERROR(MATCH(159,'List A'!$R$5:$R$204,0)+4,"")-4))</f>
        <v/>
      </c>
      <c r="I163" s="61" t="n"/>
      <c r="J163" s="61" t="n"/>
    </row>
    <row r="164" ht="17" customHeight="1">
      <c r="A164" s="87">
        <f>IF(IFERROR(MATCH(160,'List A'!$R$5:$R$204,0)+4,"")="","",INDEX('List A'!$A$5:$A$204,IFERROR(MATCH(160,'List A'!$R$5:$R$204,0)+4,"")-4))</f>
        <v/>
      </c>
      <c r="B164" s="53">
        <f>IF(IFERROR(MATCH(160,'List A'!$R$5:$R$204,0)+4,"")="","",INDEX('List A'!$B$5:$B$204,IFERROR(MATCH(160,'List A'!$R$5:$R$204,0)+4,"")-4))</f>
        <v/>
      </c>
      <c r="C164" s="52">
        <f>IF(IFERROR(MATCH(160,'List A'!$R$5:$R$204,0)+4,"")="","",INDEX('List A'!$C$5:$C$204,IFERROR(MATCH(160,'List A'!$R$5:$R$204,0)+4,"")-4))</f>
        <v/>
      </c>
      <c r="D164" s="53">
        <f>IF(IFERROR(MATCH(160,'List A'!$R$5:$R$204,0)+4,"")="","",INDEX('List A'!$D$5:$D$204,IFERROR(MATCH(160,'List A'!$R$5:$R$204,0)+4,"")-4))</f>
        <v/>
      </c>
      <c r="E164" s="53">
        <f>IF(IFERROR(MATCH(160,'List A'!$R$5:$R$204,0)+4,"")="","",INDEX('List A'!$E$5:$E$204,IFERROR(MATCH(160,'List A'!$R$5:$R$204,0)+4,"")-4))</f>
        <v/>
      </c>
      <c r="F164" s="53">
        <f>IF(IFERROR(MATCH(160,'List A'!$R$5:$R$204,0)+4,"")="","",INDEX('List A'!$F$5:$F$204,IFERROR(MATCH(160,'List A'!$R$5:$R$204,0)+4,"")-4))</f>
        <v/>
      </c>
      <c r="G164" s="50">
        <f>IF(IFERROR(MATCH(160,'List A'!$R$5:$R$204,0)+4,"")="","",INDEX('List A'!$G$5:$G$204,IFERROR(MATCH(160,'List A'!$R$5:$R$204,0)+4,"")-4))</f>
        <v/>
      </c>
      <c r="H164" s="53">
        <f>IF(IFERROR(MATCH(160,'List A'!$R$5:$R$204,0)+4,"")="","",INDEX('List A'!$H$5:$H$204,IFERROR(MATCH(160,'List A'!$R$5:$R$204,0)+4,"")-4))</f>
        <v/>
      </c>
      <c r="I164" s="61" t="n"/>
      <c r="J164" s="61" t="n"/>
    </row>
    <row r="165" ht="17" customHeight="1">
      <c r="A165" s="87">
        <f>IF(IFERROR(MATCH(161,'List A'!$R$5:$R$204,0)+4,"")="","",INDEX('List A'!$A$5:$A$204,IFERROR(MATCH(161,'List A'!$R$5:$R$204,0)+4,"")-4))</f>
        <v/>
      </c>
      <c r="B165" s="53">
        <f>IF(IFERROR(MATCH(161,'List A'!$R$5:$R$204,0)+4,"")="","",INDEX('List A'!$B$5:$B$204,IFERROR(MATCH(161,'List A'!$R$5:$R$204,0)+4,"")-4))</f>
        <v/>
      </c>
      <c r="C165" s="52">
        <f>IF(IFERROR(MATCH(161,'List A'!$R$5:$R$204,0)+4,"")="","",INDEX('List A'!$C$5:$C$204,IFERROR(MATCH(161,'List A'!$R$5:$R$204,0)+4,"")-4))</f>
        <v/>
      </c>
      <c r="D165" s="53">
        <f>IF(IFERROR(MATCH(161,'List A'!$R$5:$R$204,0)+4,"")="","",INDEX('List A'!$D$5:$D$204,IFERROR(MATCH(161,'List A'!$R$5:$R$204,0)+4,"")-4))</f>
        <v/>
      </c>
      <c r="E165" s="53">
        <f>IF(IFERROR(MATCH(161,'List A'!$R$5:$R$204,0)+4,"")="","",INDEX('List A'!$E$5:$E$204,IFERROR(MATCH(161,'List A'!$R$5:$R$204,0)+4,"")-4))</f>
        <v/>
      </c>
      <c r="F165" s="53">
        <f>IF(IFERROR(MATCH(161,'List A'!$R$5:$R$204,0)+4,"")="","",INDEX('List A'!$F$5:$F$204,IFERROR(MATCH(161,'List A'!$R$5:$R$204,0)+4,"")-4))</f>
        <v/>
      </c>
      <c r="G165" s="50">
        <f>IF(IFERROR(MATCH(161,'List A'!$R$5:$R$204,0)+4,"")="","",INDEX('List A'!$G$5:$G$204,IFERROR(MATCH(161,'List A'!$R$5:$R$204,0)+4,"")-4))</f>
        <v/>
      </c>
      <c r="H165" s="53">
        <f>IF(IFERROR(MATCH(161,'List A'!$R$5:$R$204,0)+4,"")="","",INDEX('List A'!$H$5:$H$204,IFERROR(MATCH(161,'List A'!$R$5:$R$204,0)+4,"")-4))</f>
        <v/>
      </c>
      <c r="I165" s="61" t="n"/>
      <c r="J165" s="61" t="n"/>
    </row>
    <row r="166" ht="17" customHeight="1">
      <c r="A166" s="87">
        <f>IF(IFERROR(MATCH(162,'List A'!$R$5:$R$204,0)+4,"")="","",INDEX('List A'!$A$5:$A$204,IFERROR(MATCH(162,'List A'!$R$5:$R$204,0)+4,"")-4))</f>
        <v/>
      </c>
      <c r="B166" s="53">
        <f>IF(IFERROR(MATCH(162,'List A'!$R$5:$R$204,0)+4,"")="","",INDEX('List A'!$B$5:$B$204,IFERROR(MATCH(162,'List A'!$R$5:$R$204,0)+4,"")-4))</f>
        <v/>
      </c>
      <c r="C166" s="52">
        <f>IF(IFERROR(MATCH(162,'List A'!$R$5:$R$204,0)+4,"")="","",INDEX('List A'!$C$5:$C$204,IFERROR(MATCH(162,'List A'!$R$5:$R$204,0)+4,"")-4))</f>
        <v/>
      </c>
      <c r="D166" s="53">
        <f>IF(IFERROR(MATCH(162,'List A'!$R$5:$R$204,0)+4,"")="","",INDEX('List A'!$D$5:$D$204,IFERROR(MATCH(162,'List A'!$R$5:$R$204,0)+4,"")-4))</f>
        <v/>
      </c>
      <c r="E166" s="53">
        <f>IF(IFERROR(MATCH(162,'List A'!$R$5:$R$204,0)+4,"")="","",INDEX('List A'!$E$5:$E$204,IFERROR(MATCH(162,'List A'!$R$5:$R$204,0)+4,"")-4))</f>
        <v/>
      </c>
      <c r="F166" s="53">
        <f>IF(IFERROR(MATCH(162,'List A'!$R$5:$R$204,0)+4,"")="","",INDEX('List A'!$F$5:$F$204,IFERROR(MATCH(162,'List A'!$R$5:$R$204,0)+4,"")-4))</f>
        <v/>
      </c>
      <c r="G166" s="50">
        <f>IF(IFERROR(MATCH(162,'List A'!$R$5:$R$204,0)+4,"")="","",INDEX('List A'!$G$5:$G$204,IFERROR(MATCH(162,'List A'!$R$5:$R$204,0)+4,"")-4))</f>
        <v/>
      </c>
      <c r="H166" s="53">
        <f>IF(IFERROR(MATCH(162,'List A'!$R$5:$R$204,0)+4,"")="","",INDEX('List A'!$H$5:$H$204,IFERROR(MATCH(162,'List A'!$R$5:$R$204,0)+4,"")-4))</f>
        <v/>
      </c>
      <c r="I166" s="61" t="n"/>
      <c r="J166" s="61" t="n"/>
    </row>
    <row r="167" ht="17" customHeight="1">
      <c r="A167" s="87">
        <f>IF(IFERROR(MATCH(163,'List A'!$R$5:$R$204,0)+4,"")="","",INDEX('List A'!$A$5:$A$204,IFERROR(MATCH(163,'List A'!$R$5:$R$204,0)+4,"")-4))</f>
        <v/>
      </c>
      <c r="B167" s="53">
        <f>IF(IFERROR(MATCH(163,'List A'!$R$5:$R$204,0)+4,"")="","",INDEX('List A'!$B$5:$B$204,IFERROR(MATCH(163,'List A'!$R$5:$R$204,0)+4,"")-4))</f>
        <v/>
      </c>
      <c r="C167" s="52">
        <f>IF(IFERROR(MATCH(163,'List A'!$R$5:$R$204,0)+4,"")="","",INDEX('List A'!$C$5:$C$204,IFERROR(MATCH(163,'List A'!$R$5:$R$204,0)+4,"")-4))</f>
        <v/>
      </c>
      <c r="D167" s="53">
        <f>IF(IFERROR(MATCH(163,'List A'!$R$5:$R$204,0)+4,"")="","",INDEX('List A'!$D$5:$D$204,IFERROR(MATCH(163,'List A'!$R$5:$R$204,0)+4,"")-4))</f>
        <v/>
      </c>
      <c r="E167" s="53">
        <f>IF(IFERROR(MATCH(163,'List A'!$R$5:$R$204,0)+4,"")="","",INDEX('List A'!$E$5:$E$204,IFERROR(MATCH(163,'List A'!$R$5:$R$204,0)+4,"")-4))</f>
        <v/>
      </c>
      <c r="F167" s="53">
        <f>IF(IFERROR(MATCH(163,'List A'!$R$5:$R$204,0)+4,"")="","",INDEX('List A'!$F$5:$F$204,IFERROR(MATCH(163,'List A'!$R$5:$R$204,0)+4,"")-4))</f>
        <v/>
      </c>
      <c r="G167" s="50">
        <f>IF(IFERROR(MATCH(163,'List A'!$R$5:$R$204,0)+4,"")="","",INDEX('List A'!$G$5:$G$204,IFERROR(MATCH(163,'List A'!$R$5:$R$204,0)+4,"")-4))</f>
        <v/>
      </c>
      <c r="H167" s="53">
        <f>IF(IFERROR(MATCH(163,'List A'!$R$5:$R$204,0)+4,"")="","",INDEX('List A'!$H$5:$H$204,IFERROR(MATCH(163,'List A'!$R$5:$R$204,0)+4,"")-4))</f>
        <v/>
      </c>
      <c r="I167" s="61" t="n"/>
      <c r="J167" s="61" t="n"/>
    </row>
    <row r="168" ht="17" customHeight="1">
      <c r="A168" s="87">
        <f>IF(IFERROR(MATCH(164,'List A'!$R$5:$R$204,0)+4,"")="","",INDEX('List A'!$A$5:$A$204,IFERROR(MATCH(164,'List A'!$R$5:$R$204,0)+4,"")-4))</f>
        <v/>
      </c>
      <c r="B168" s="53">
        <f>IF(IFERROR(MATCH(164,'List A'!$R$5:$R$204,0)+4,"")="","",INDEX('List A'!$B$5:$B$204,IFERROR(MATCH(164,'List A'!$R$5:$R$204,0)+4,"")-4))</f>
        <v/>
      </c>
      <c r="C168" s="52">
        <f>IF(IFERROR(MATCH(164,'List A'!$R$5:$R$204,0)+4,"")="","",INDEX('List A'!$C$5:$C$204,IFERROR(MATCH(164,'List A'!$R$5:$R$204,0)+4,"")-4))</f>
        <v/>
      </c>
      <c r="D168" s="53">
        <f>IF(IFERROR(MATCH(164,'List A'!$R$5:$R$204,0)+4,"")="","",INDEX('List A'!$D$5:$D$204,IFERROR(MATCH(164,'List A'!$R$5:$R$204,0)+4,"")-4))</f>
        <v/>
      </c>
      <c r="E168" s="53">
        <f>IF(IFERROR(MATCH(164,'List A'!$R$5:$R$204,0)+4,"")="","",INDEX('List A'!$E$5:$E$204,IFERROR(MATCH(164,'List A'!$R$5:$R$204,0)+4,"")-4))</f>
        <v/>
      </c>
      <c r="F168" s="53">
        <f>IF(IFERROR(MATCH(164,'List A'!$R$5:$R$204,0)+4,"")="","",INDEX('List A'!$F$5:$F$204,IFERROR(MATCH(164,'List A'!$R$5:$R$204,0)+4,"")-4))</f>
        <v/>
      </c>
      <c r="G168" s="50">
        <f>IF(IFERROR(MATCH(164,'List A'!$R$5:$R$204,0)+4,"")="","",INDEX('List A'!$G$5:$G$204,IFERROR(MATCH(164,'List A'!$R$5:$R$204,0)+4,"")-4))</f>
        <v/>
      </c>
      <c r="H168" s="53">
        <f>IF(IFERROR(MATCH(164,'List A'!$R$5:$R$204,0)+4,"")="","",INDEX('List A'!$H$5:$H$204,IFERROR(MATCH(164,'List A'!$R$5:$R$204,0)+4,"")-4))</f>
        <v/>
      </c>
      <c r="I168" s="61" t="n"/>
      <c r="J168" s="61" t="n"/>
    </row>
    <row r="169" ht="17" customHeight="1">
      <c r="A169" s="87">
        <f>IF(IFERROR(MATCH(165,'List A'!$R$5:$R$204,0)+4,"")="","",INDEX('List A'!$A$5:$A$204,IFERROR(MATCH(165,'List A'!$R$5:$R$204,0)+4,"")-4))</f>
        <v/>
      </c>
      <c r="B169" s="53">
        <f>IF(IFERROR(MATCH(165,'List A'!$R$5:$R$204,0)+4,"")="","",INDEX('List A'!$B$5:$B$204,IFERROR(MATCH(165,'List A'!$R$5:$R$204,0)+4,"")-4))</f>
        <v/>
      </c>
      <c r="C169" s="52">
        <f>IF(IFERROR(MATCH(165,'List A'!$R$5:$R$204,0)+4,"")="","",INDEX('List A'!$C$5:$C$204,IFERROR(MATCH(165,'List A'!$R$5:$R$204,0)+4,"")-4))</f>
        <v/>
      </c>
      <c r="D169" s="53">
        <f>IF(IFERROR(MATCH(165,'List A'!$R$5:$R$204,0)+4,"")="","",INDEX('List A'!$D$5:$D$204,IFERROR(MATCH(165,'List A'!$R$5:$R$204,0)+4,"")-4))</f>
        <v/>
      </c>
      <c r="E169" s="53">
        <f>IF(IFERROR(MATCH(165,'List A'!$R$5:$R$204,0)+4,"")="","",INDEX('List A'!$E$5:$E$204,IFERROR(MATCH(165,'List A'!$R$5:$R$204,0)+4,"")-4))</f>
        <v/>
      </c>
      <c r="F169" s="53">
        <f>IF(IFERROR(MATCH(165,'List A'!$R$5:$R$204,0)+4,"")="","",INDEX('List A'!$F$5:$F$204,IFERROR(MATCH(165,'List A'!$R$5:$R$204,0)+4,"")-4))</f>
        <v/>
      </c>
      <c r="G169" s="50">
        <f>IF(IFERROR(MATCH(165,'List A'!$R$5:$R$204,0)+4,"")="","",INDEX('List A'!$G$5:$G$204,IFERROR(MATCH(165,'List A'!$R$5:$R$204,0)+4,"")-4))</f>
        <v/>
      </c>
      <c r="H169" s="53">
        <f>IF(IFERROR(MATCH(165,'List A'!$R$5:$R$204,0)+4,"")="","",INDEX('List A'!$H$5:$H$204,IFERROR(MATCH(165,'List A'!$R$5:$R$204,0)+4,"")-4))</f>
        <v/>
      </c>
      <c r="I169" s="61" t="n"/>
      <c r="J169" s="61" t="n"/>
    </row>
    <row r="170" ht="17" customHeight="1">
      <c r="A170" s="87">
        <f>IF(IFERROR(MATCH(166,'List A'!$R$5:$R$204,0)+4,"")="","",INDEX('List A'!$A$5:$A$204,IFERROR(MATCH(166,'List A'!$R$5:$R$204,0)+4,"")-4))</f>
        <v/>
      </c>
      <c r="B170" s="53">
        <f>IF(IFERROR(MATCH(166,'List A'!$R$5:$R$204,0)+4,"")="","",INDEX('List A'!$B$5:$B$204,IFERROR(MATCH(166,'List A'!$R$5:$R$204,0)+4,"")-4))</f>
        <v/>
      </c>
      <c r="C170" s="52">
        <f>IF(IFERROR(MATCH(166,'List A'!$R$5:$R$204,0)+4,"")="","",INDEX('List A'!$C$5:$C$204,IFERROR(MATCH(166,'List A'!$R$5:$R$204,0)+4,"")-4))</f>
        <v/>
      </c>
      <c r="D170" s="53">
        <f>IF(IFERROR(MATCH(166,'List A'!$R$5:$R$204,0)+4,"")="","",INDEX('List A'!$D$5:$D$204,IFERROR(MATCH(166,'List A'!$R$5:$R$204,0)+4,"")-4))</f>
        <v/>
      </c>
      <c r="E170" s="53">
        <f>IF(IFERROR(MATCH(166,'List A'!$R$5:$R$204,0)+4,"")="","",INDEX('List A'!$E$5:$E$204,IFERROR(MATCH(166,'List A'!$R$5:$R$204,0)+4,"")-4))</f>
        <v/>
      </c>
      <c r="F170" s="53">
        <f>IF(IFERROR(MATCH(166,'List A'!$R$5:$R$204,0)+4,"")="","",INDEX('List A'!$F$5:$F$204,IFERROR(MATCH(166,'List A'!$R$5:$R$204,0)+4,"")-4))</f>
        <v/>
      </c>
      <c r="G170" s="50">
        <f>IF(IFERROR(MATCH(166,'List A'!$R$5:$R$204,0)+4,"")="","",INDEX('List A'!$G$5:$G$204,IFERROR(MATCH(166,'List A'!$R$5:$R$204,0)+4,"")-4))</f>
        <v/>
      </c>
      <c r="H170" s="53">
        <f>IF(IFERROR(MATCH(166,'List A'!$R$5:$R$204,0)+4,"")="","",INDEX('List A'!$H$5:$H$204,IFERROR(MATCH(166,'List A'!$R$5:$R$204,0)+4,"")-4))</f>
        <v/>
      </c>
      <c r="I170" s="61" t="n"/>
      <c r="J170" s="61" t="n"/>
    </row>
    <row r="171" ht="17" customHeight="1">
      <c r="A171" s="87">
        <f>IF(IFERROR(MATCH(167,'List A'!$R$5:$R$204,0)+4,"")="","",INDEX('List A'!$A$5:$A$204,IFERROR(MATCH(167,'List A'!$R$5:$R$204,0)+4,"")-4))</f>
        <v/>
      </c>
      <c r="B171" s="53">
        <f>IF(IFERROR(MATCH(167,'List A'!$R$5:$R$204,0)+4,"")="","",INDEX('List A'!$B$5:$B$204,IFERROR(MATCH(167,'List A'!$R$5:$R$204,0)+4,"")-4))</f>
        <v/>
      </c>
      <c r="C171" s="52">
        <f>IF(IFERROR(MATCH(167,'List A'!$R$5:$R$204,0)+4,"")="","",INDEX('List A'!$C$5:$C$204,IFERROR(MATCH(167,'List A'!$R$5:$R$204,0)+4,"")-4))</f>
        <v/>
      </c>
      <c r="D171" s="53">
        <f>IF(IFERROR(MATCH(167,'List A'!$R$5:$R$204,0)+4,"")="","",INDEX('List A'!$D$5:$D$204,IFERROR(MATCH(167,'List A'!$R$5:$R$204,0)+4,"")-4))</f>
        <v/>
      </c>
      <c r="E171" s="53">
        <f>IF(IFERROR(MATCH(167,'List A'!$R$5:$R$204,0)+4,"")="","",INDEX('List A'!$E$5:$E$204,IFERROR(MATCH(167,'List A'!$R$5:$R$204,0)+4,"")-4))</f>
        <v/>
      </c>
      <c r="F171" s="53">
        <f>IF(IFERROR(MATCH(167,'List A'!$R$5:$R$204,0)+4,"")="","",INDEX('List A'!$F$5:$F$204,IFERROR(MATCH(167,'List A'!$R$5:$R$204,0)+4,"")-4))</f>
        <v/>
      </c>
      <c r="G171" s="50">
        <f>IF(IFERROR(MATCH(167,'List A'!$R$5:$R$204,0)+4,"")="","",INDEX('List A'!$G$5:$G$204,IFERROR(MATCH(167,'List A'!$R$5:$R$204,0)+4,"")-4))</f>
        <v/>
      </c>
      <c r="H171" s="53">
        <f>IF(IFERROR(MATCH(167,'List A'!$R$5:$R$204,0)+4,"")="","",INDEX('List A'!$H$5:$H$204,IFERROR(MATCH(167,'List A'!$R$5:$R$204,0)+4,"")-4))</f>
        <v/>
      </c>
      <c r="I171" s="61" t="n"/>
      <c r="J171" s="61" t="n"/>
    </row>
    <row r="172" ht="17" customHeight="1">
      <c r="A172" s="87">
        <f>IF(IFERROR(MATCH(168,'List A'!$R$5:$R$204,0)+4,"")="","",INDEX('List A'!$A$5:$A$204,IFERROR(MATCH(168,'List A'!$R$5:$R$204,0)+4,"")-4))</f>
        <v/>
      </c>
      <c r="B172" s="53">
        <f>IF(IFERROR(MATCH(168,'List A'!$R$5:$R$204,0)+4,"")="","",INDEX('List A'!$B$5:$B$204,IFERROR(MATCH(168,'List A'!$R$5:$R$204,0)+4,"")-4))</f>
        <v/>
      </c>
      <c r="C172" s="52">
        <f>IF(IFERROR(MATCH(168,'List A'!$R$5:$R$204,0)+4,"")="","",INDEX('List A'!$C$5:$C$204,IFERROR(MATCH(168,'List A'!$R$5:$R$204,0)+4,"")-4))</f>
        <v/>
      </c>
      <c r="D172" s="53">
        <f>IF(IFERROR(MATCH(168,'List A'!$R$5:$R$204,0)+4,"")="","",INDEX('List A'!$D$5:$D$204,IFERROR(MATCH(168,'List A'!$R$5:$R$204,0)+4,"")-4))</f>
        <v/>
      </c>
      <c r="E172" s="53">
        <f>IF(IFERROR(MATCH(168,'List A'!$R$5:$R$204,0)+4,"")="","",INDEX('List A'!$E$5:$E$204,IFERROR(MATCH(168,'List A'!$R$5:$R$204,0)+4,"")-4))</f>
        <v/>
      </c>
      <c r="F172" s="53">
        <f>IF(IFERROR(MATCH(168,'List A'!$R$5:$R$204,0)+4,"")="","",INDEX('List A'!$F$5:$F$204,IFERROR(MATCH(168,'List A'!$R$5:$R$204,0)+4,"")-4))</f>
        <v/>
      </c>
      <c r="G172" s="50">
        <f>IF(IFERROR(MATCH(168,'List A'!$R$5:$R$204,0)+4,"")="","",INDEX('List A'!$G$5:$G$204,IFERROR(MATCH(168,'List A'!$R$5:$R$204,0)+4,"")-4))</f>
        <v/>
      </c>
      <c r="H172" s="53">
        <f>IF(IFERROR(MATCH(168,'List A'!$R$5:$R$204,0)+4,"")="","",INDEX('List A'!$H$5:$H$204,IFERROR(MATCH(168,'List A'!$R$5:$R$204,0)+4,"")-4))</f>
        <v/>
      </c>
      <c r="I172" s="61" t="n"/>
      <c r="J172" s="61" t="n"/>
    </row>
    <row r="173" ht="17" customHeight="1">
      <c r="A173" s="87">
        <f>IF(IFERROR(MATCH(169,'List A'!$R$5:$R$204,0)+4,"")="","",INDEX('List A'!$A$5:$A$204,IFERROR(MATCH(169,'List A'!$R$5:$R$204,0)+4,"")-4))</f>
        <v/>
      </c>
      <c r="B173" s="53">
        <f>IF(IFERROR(MATCH(169,'List A'!$R$5:$R$204,0)+4,"")="","",INDEX('List A'!$B$5:$B$204,IFERROR(MATCH(169,'List A'!$R$5:$R$204,0)+4,"")-4))</f>
        <v/>
      </c>
      <c r="C173" s="52">
        <f>IF(IFERROR(MATCH(169,'List A'!$R$5:$R$204,0)+4,"")="","",INDEX('List A'!$C$5:$C$204,IFERROR(MATCH(169,'List A'!$R$5:$R$204,0)+4,"")-4))</f>
        <v/>
      </c>
      <c r="D173" s="53">
        <f>IF(IFERROR(MATCH(169,'List A'!$R$5:$R$204,0)+4,"")="","",INDEX('List A'!$D$5:$D$204,IFERROR(MATCH(169,'List A'!$R$5:$R$204,0)+4,"")-4))</f>
        <v/>
      </c>
      <c r="E173" s="53">
        <f>IF(IFERROR(MATCH(169,'List A'!$R$5:$R$204,0)+4,"")="","",INDEX('List A'!$E$5:$E$204,IFERROR(MATCH(169,'List A'!$R$5:$R$204,0)+4,"")-4))</f>
        <v/>
      </c>
      <c r="F173" s="53">
        <f>IF(IFERROR(MATCH(169,'List A'!$R$5:$R$204,0)+4,"")="","",INDEX('List A'!$F$5:$F$204,IFERROR(MATCH(169,'List A'!$R$5:$R$204,0)+4,"")-4))</f>
        <v/>
      </c>
      <c r="G173" s="50">
        <f>IF(IFERROR(MATCH(169,'List A'!$R$5:$R$204,0)+4,"")="","",INDEX('List A'!$G$5:$G$204,IFERROR(MATCH(169,'List A'!$R$5:$R$204,0)+4,"")-4))</f>
        <v/>
      </c>
      <c r="H173" s="53">
        <f>IF(IFERROR(MATCH(169,'List A'!$R$5:$R$204,0)+4,"")="","",INDEX('List A'!$H$5:$H$204,IFERROR(MATCH(169,'List A'!$R$5:$R$204,0)+4,"")-4))</f>
        <v/>
      </c>
      <c r="I173" s="61" t="n"/>
      <c r="J173" s="61" t="n"/>
    </row>
    <row r="174" ht="17" customHeight="1">
      <c r="A174" s="87">
        <f>IF(IFERROR(MATCH(170,'List A'!$R$5:$R$204,0)+4,"")="","",INDEX('List A'!$A$5:$A$204,IFERROR(MATCH(170,'List A'!$R$5:$R$204,0)+4,"")-4))</f>
        <v/>
      </c>
      <c r="B174" s="53">
        <f>IF(IFERROR(MATCH(170,'List A'!$R$5:$R$204,0)+4,"")="","",INDEX('List A'!$B$5:$B$204,IFERROR(MATCH(170,'List A'!$R$5:$R$204,0)+4,"")-4))</f>
        <v/>
      </c>
      <c r="C174" s="52">
        <f>IF(IFERROR(MATCH(170,'List A'!$R$5:$R$204,0)+4,"")="","",INDEX('List A'!$C$5:$C$204,IFERROR(MATCH(170,'List A'!$R$5:$R$204,0)+4,"")-4))</f>
        <v/>
      </c>
      <c r="D174" s="53">
        <f>IF(IFERROR(MATCH(170,'List A'!$R$5:$R$204,0)+4,"")="","",INDEX('List A'!$D$5:$D$204,IFERROR(MATCH(170,'List A'!$R$5:$R$204,0)+4,"")-4))</f>
        <v/>
      </c>
      <c r="E174" s="53">
        <f>IF(IFERROR(MATCH(170,'List A'!$R$5:$R$204,0)+4,"")="","",INDEX('List A'!$E$5:$E$204,IFERROR(MATCH(170,'List A'!$R$5:$R$204,0)+4,"")-4))</f>
        <v/>
      </c>
      <c r="F174" s="53">
        <f>IF(IFERROR(MATCH(170,'List A'!$R$5:$R$204,0)+4,"")="","",INDEX('List A'!$F$5:$F$204,IFERROR(MATCH(170,'List A'!$R$5:$R$204,0)+4,"")-4))</f>
        <v/>
      </c>
      <c r="G174" s="50">
        <f>IF(IFERROR(MATCH(170,'List A'!$R$5:$R$204,0)+4,"")="","",INDEX('List A'!$G$5:$G$204,IFERROR(MATCH(170,'List A'!$R$5:$R$204,0)+4,"")-4))</f>
        <v/>
      </c>
      <c r="H174" s="53">
        <f>IF(IFERROR(MATCH(170,'List A'!$R$5:$R$204,0)+4,"")="","",INDEX('List A'!$H$5:$H$204,IFERROR(MATCH(170,'List A'!$R$5:$R$204,0)+4,"")-4))</f>
        <v/>
      </c>
      <c r="I174" s="61" t="n"/>
      <c r="J174" s="61" t="n"/>
    </row>
    <row r="175" ht="17" customHeight="1">
      <c r="A175" s="87">
        <f>IF(IFERROR(MATCH(171,'List A'!$R$5:$R$204,0)+4,"")="","",INDEX('List A'!$A$5:$A$204,IFERROR(MATCH(171,'List A'!$R$5:$R$204,0)+4,"")-4))</f>
        <v/>
      </c>
      <c r="B175" s="53">
        <f>IF(IFERROR(MATCH(171,'List A'!$R$5:$R$204,0)+4,"")="","",INDEX('List A'!$B$5:$B$204,IFERROR(MATCH(171,'List A'!$R$5:$R$204,0)+4,"")-4))</f>
        <v/>
      </c>
      <c r="C175" s="52">
        <f>IF(IFERROR(MATCH(171,'List A'!$R$5:$R$204,0)+4,"")="","",INDEX('List A'!$C$5:$C$204,IFERROR(MATCH(171,'List A'!$R$5:$R$204,0)+4,"")-4))</f>
        <v/>
      </c>
      <c r="D175" s="53">
        <f>IF(IFERROR(MATCH(171,'List A'!$R$5:$R$204,0)+4,"")="","",INDEX('List A'!$D$5:$D$204,IFERROR(MATCH(171,'List A'!$R$5:$R$204,0)+4,"")-4))</f>
        <v/>
      </c>
      <c r="E175" s="53">
        <f>IF(IFERROR(MATCH(171,'List A'!$R$5:$R$204,0)+4,"")="","",INDEX('List A'!$E$5:$E$204,IFERROR(MATCH(171,'List A'!$R$5:$R$204,0)+4,"")-4))</f>
        <v/>
      </c>
      <c r="F175" s="53">
        <f>IF(IFERROR(MATCH(171,'List A'!$R$5:$R$204,0)+4,"")="","",INDEX('List A'!$F$5:$F$204,IFERROR(MATCH(171,'List A'!$R$5:$R$204,0)+4,"")-4))</f>
        <v/>
      </c>
      <c r="G175" s="50">
        <f>IF(IFERROR(MATCH(171,'List A'!$R$5:$R$204,0)+4,"")="","",INDEX('List A'!$G$5:$G$204,IFERROR(MATCH(171,'List A'!$R$5:$R$204,0)+4,"")-4))</f>
        <v/>
      </c>
      <c r="H175" s="53">
        <f>IF(IFERROR(MATCH(171,'List A'!$R$5:$R$204,0)+4,"")="","",INDEX('List A'!$H$5:$H$204,IFERROR(MATCH(171,'List A'!$R$5:$R$204,0)+4,"")-4))</f>
        <v/>
      </c>
      <c r="I175" s="61" t="n"/>
      <c r="J175" s="61" t="n"/>
    </row>
    <row r="176" ht="17" customHeight="1">
      <c r="A176" s="87">
        <f>IF(IFERROR(MATCH(172,'List A'!$R$5:$R$204,0)+4,"")="","",INDEX('List A'!$A$5:$A$204,IFERROR(MATCH(172,'List A'!$R$5:$R$204,0)+4,"")-4))</f>
        <v/>
      </c>
      <c r="B176" s="53">
        <f>IF(IFERROR(MATCH(172,'List A'!$R$5:$R$204,0)+4,"")="","",INDEX('List A'!$B$5:$B$204,IFERROR(MATCH(172,'List A'!$R$5:$R$204,0)+4,"")-4))</f>
        <v/>
      </c>
      <c r="C176" s="52">
        <f>IF(IFERROR(MATCH(172,'List A'!$R$5:$R$204,0)+4,"")="","",INDEX('List A'!$C$5:$C$204,IFERROR(MATCH(172,'List A'!$R$5:$R$204,0)+4,"")-4))</f>
        <v/>
      </c>
      <c r="D176" s="53">
        <f>IF(IFERROR(MATCH(172,'List A'!$R$5:$R$204,0)+4,"")="","",INDEX('List A'!$D$5:$D$204,IFERROR(MATCH(172,'List A'!$R$5:$R$204,0)+4,"")-4))</f>
        <v/>
      </c>
      <c r="E176" s="53">
        <f>IF(IFERROR(MATCH(172,'List A'!$R$5:$R$204,0)+4,"")="","",INDEX('List A'!$E$5:$E$204,IFERROR(MATCH(172,'List A'!$R$5:$R$204,0)+4,"")-4))</f>
        <v/>
      </c>
      <c r="F176" s="53">
        <f>IF(IFERROR(MATCH(172,'List A'!$R$5:$R$204,0)+4,"")="","",INDEX('List A'!$F$5:$F$204,IFERROR(MATCH(172,'List A'!$R$5:$R$204,0)+4,"")-4))</f>
        <v/>
      </c>
      <c r="G176" s="50">
        <f>IF(IFERROR(MATCH(172,'List A'!$R$5:$R$204,0)+4,"")="","",INDEX('List A'!$G$5:$G$204,IFERROR(MATCH(172,'List A'!$R$5:$R$204,0)+4,"")-4))</f>
        <v/>
      </c>
      <c r="H176" s="53">
        <f>IF(IFERROR(MATCH(172,'List A'!$R$5:$R$204,0)+4,"")="","",INDEX('List A'!$H$5:$H$204,IFERROR(MATCH(172,'List A'!$R$5:$R$204,0)+4,"")-4))</f>
        <v/>
      </c>
      <c r="I176" s="61" t="n"/>
      <c r="J176" s="61" t="n"/>
    </row>
    <row r="177" ht="17" customHeight="1">
      <c r="A177" s="87">
        <f>IF(IFERROR(MATCH(173,'List A'!$R$5:$R$204,0)+4,"")="","",INDEX('List A'!$A$5:$A$204,IFERROR(MATCH(173,'List A'!$R$5:$R$204,0)+4,"")-4))</f>
        <v/>
      </c>
      <c r="B177" s="53">
        <f>IF(IFERROR(MATCH(173,'List A'!$R$5:$R$204,0)+4,"")="","",INDEX('List A'!$B$5:$B$204,IFERROR(MATCH(173,'List A'!$R$5:$R$204,0)+4,"")-4))</f>
        <v/>
      </c>
      <c r="C177" s="52">
        <f>IF(IFERROR(MATCH(173,'List A'!$R$5:$R$204,0)+4,"")="","",INDEX('List A'!$C$5:$C$204,IFERROR(MATCH(173,'List A'!$R$5:$R$204,0)+4,"")-4))</f>
        <v/>
      </c>
      <c r="D177" s="53">
        <f>IF(IFERROR(MATCH(173,'List A'!$R$5:$R$204,0)+4,"")="","",INDEX('List A'!$D$5:$D$204,IFERROR(MATCH(173,'List A'!$R$5:$R$204,0)+4,"")-4))</f>
        <v/>
      </c>
      <c r="E177" s="53">
        <f>IF(IFERROR(MATCH(173,'List A'!$R$5:$R$204,0)+4,"")="","",INDEX('List A'!$E$5:$E$204,IFERROR(MATCH(173,'List A'!$R$5:$R$204,0)+4,"")-4))</f>
        <v/>
      </c>
      <c r="F177" s="53">
        <f>IF(IFERROR(MATCH(173,'List A'!$R$5:$R$204,0)+4,"")="","",INDEX('List A'!$F$5:$F$204,IFERROR(MATCH(173,'List A'!$R$5:$R$204,0)+4,"")-4))</f>
        <v/>
      </c>
      <c r="G177" s="50">
        <f>IF(IFERROR(MATCH(173,'List A'!$R$5:$R$204,0)+4,"")="","",INDEX('List A'!$G$5:$G$204,IFERROR(MATCH(173,'List A'!$R$5:$R$204,0)+4,"")-4))</f>
        <v/>
      </c>
      <c r="H177" s="53">
        <f>IF(IFERROR(MATCH(173,'List A'!$R$5:$R$204,0)+4,"")="","",INDEX('List A'!$H$5:$H$204,IFERROR(MATCH(173,'List A'!$R$5:$R$204,0)+4,"")-4))</f>
        <v/>
      </c>
      <c r="I177" s="61" t="n"/>
      <c r="J177" s="61" t="n"/>
    </row>
    <row r="178" ht="17" customHeight="1">
      <c r="A178" s="87">
        <f>IF(IFERROR(MATCH(174,'List A'!$R$5:$R$204,0)+4,"")="","",INDEX('List A'!$A$5:$A$204,IFERROR(MATCH(174,'List A'!$R$5:$R$204,0)+4,"")-4))</f>
        <v/>
      </c>
      <c r="B178" s="53">
        <f>IF(IFERROR(MATCH(174,'List A'!$R$5:$R$204,0)+4,"")="","",INDEX('List A'!$B$5:$B$204,IFERROR(MATCH(174,'List A'!$R$5:$R$204,0)+4,"")-4))</f>
        <v/>
      </c>
      <c r="C178" s="52">
        <f>IF(IFERROR(MATCH(174,'List A'!$R$5:$R$204,0)+4,"")="","",INDEX('List A'!$C$5:$C$204,IFERROR(MATCH(174,'List A'!$R$5:$R$204,0)+4,"")-4))</f>
        <v/>
      </c>
      <c r="D178" s="53">
        <f>IF(IFERROR(MATCH(174,'List A'!$R$5:$R$204,0)+4,"")="","",INDEX('List A'!$D$5:$D$204,IFERROR(MATCH(174,'List A'!$R$5:$R$204,0)+4,"")-4))</f>
        <v/>
      </c>
      <c r="E178" s="53">
        <f>IF(IFERROR(MATCH(174,'List A'!$R$5:$R$204,0)+4,"")="","",INDEX('List A'!$E$5:$E$204,IFERROR(MATCH(174,'List A'!$R$5:$R$204,0)+4,"")-4))</f>
        <v/>
      </c>
      <c r="F178" s="53">
        <f>IF(IFERROR(MATCH(174,'List A'!$R$5:$R$204,0)+4,"")="","",INDEX('List A'!$F$5:$F$204,IFERROR(MATCH(174,'List A'!$R$5:$R$204,0)+4,"")-4))</f>
        <v/>
      </c>
      <c r="G178" s="50">
        <f>IF(IFERROR(MATCH(174,'List A'!$R$5:$R$204,0)+4,"")="","",INDEX('List A'!$G$5:$G$204,IFERROR(MATCH(174,'List A'!$R$5:$R$204,0)+4,"")-4))</f>
        <v/>
      </c>
      <c r="H178" s="53">
        <f>IF(IFERROR(MATCH(174,'List A'!$R$5:$R$204,0)+4,"")="","",INDEX('List A'!$H$5:$H$204,IFERROR(MATCH(174,'List A'!$R$5:$R$204,0)+4,"")-4))</f>
        <v/>
      </c>
      <c r="I178" s="61" t="n"/>
      <c r="J178" s="61" t="n"/>
    </row>
    <row r="179" ht="17" customHeight="1">
      <c r="A179" s="87">
        <f>IF(IFERROR(MATCH(175,'List A'!$R$5:$R$204,0)+4,"")="","",INDEX('List A'!$A$5:$A$204,IFERROR(MATCH(175,'List A'!$R$5:$R$204,0)+4,"")-4))</f>
        <v/>
      </c>
      <c r="B179" s="53">
        <f>IF(IFERROR(MATCH(175,'List A'!$R$5:$R$204,0)+4,"")="","",INDEX('List A'!$B$5:$B$204,IFERROR(MATCH(175,'List A'!$R$5:$R$204,0)+4,"")-4))</f>
        <v/>
      </c>
      <c r="C179" s="52">
        <f>IF(IFERROR(MATCH(175,'List A'!$R$5:$R$204,0)+4,"")="","",INDEX('List A'!$C$5:$C$204,IFERROR(MATCH(175,'List A'!$R$5:$R$204,0)+4,"")-4))</f>
        <v/>
      </c>
      <c r="D179" s="53">
        <f>IF(IFERROR(MATCH(175,'List A'!$R$5:$R$204,0)+4,"")="","",INDEX('List A'!$D$5:$D$204,IFERROR(MATCH(175,'List A'!$R$5:$R$204,0)+4,"")-4))</f>
        <v/>
      </c>
      <c r="E179" s="53">
        <f>IF(IFERROR(MATCH(175,'List A'!$R$5:$R$204,0)+4,"")="","",INDEX('List A'!$E$5:$E$204,IFERROR(MATCH(175,'List A'!$R$5:$R$204,0)+4,"")-4))</f>
        <v/>
      </c>
      <c r="F179" s="53">
        <f>IF(IFERROR(MATCH(175,'List A'!$R$5:$R$204,0)+4,"")="","",INDEX('List A'!$F$5:$F$204,IFERROR(MATCH(175,'List A'!$R$5:$R$204,0)+4,"")-4))</f>
        <v/>
      </c>
      <c r="G179" s="50">
        <f>IF(IFERROR(MATCH(175,'List A'!$R$5:$R$204,0)+4,"")="","",INDEX('List A'!$G$5:$G$204,IFERROR(MATCH(175,'List A'!$R$5:$R$204,0)+4,"")-4))</f>
        <v/>
      </c>
      <c r="H179" s="53">
        <f>IF(IFERROR(MATCH(175,'List A'!$R$5:$R$204,0)+4,"")="","",INDEX('List A'!$H$5:$H$204,IFERROR(MATCH(175,'List A'!$R$5:$R$204,0)+4,"")-4))</f>
        <v/>
      </c>
      <c r="I179" s="61" t="n"/>
      <c r="J179" s="61" t="n"/>
    </row>
    <row r="180" ht="17" customHeight="1">
      <c r="A180" s="87">
        <f>IF(IFERROR(MATCH(176,'List A'!$R$5:$R$204,0)+4,"")="","",INDEX('List A'!$A$5:$A$204,IFERROR(MATCH(176,'List A'!$R$5:$R$204,0)+4,"")-4))</f>
        <v/>
      </c>
      <c r="B180" s="53">
        <f>IF(IFERROR(MATCH(176,'List A'!$R$5:$R$204,0)+4,"")="","",INDEX('List A'!$B$5:$B$204,IFERROR(MATCH(176,'List A'!$R$5:$R$204,0)+4,"")-4))</f>
        <v/>
      </c>
      <c r="C180" s="52">
        <f>IF(IFERROR(MATCH(176,'List A'!$R$5:$R$204,0)+4,"")="","",INDEX('List A'!$C$5:$C$204,IFERROR(MATCH(176,'List A'!$R$5:$R$204,0)+4,"")-4))</f>
        <v/>
      </c>
      <c r="D180" s="53">
        <f>IF(IFERROR(MATCH(176,'List A'!$R$5:$R$204,0)+4,"")="","",INDEX('List A'!$D$5:$D$204,IFERROR(MATCH(176,'List A'!$R$5:$R$204,0)+4,"")-4))</f>
        <v/>
      </c>
      <c r="E180" s="53">
        <f>IF(IFERROR(MATCH(176,'List A'!$R$5:$R$204,0)+4,"")="","",INDEX('List A'!$E$5:$E$204,IFERROR(MATCH(176,'List A'!$R$5:$R$204,0)+4,"")-4))</f>
        <v/>
      </c>
      <c r="F180" s="53">
        <f>IF(IFERROR(MATCH(176,'List A'!$R$5:$R$204,0)+4,"")="","",INDEX('List A'!$F$5:$F$204,IFERROR(MATCH(176,'List A'!$R$5:$R$204,0)+4,"")-4))</f>
        <v/>
      </c>
      <c r="G180" s="50">
        <f>IF(IFERROR(MATCH(176,'List A'!$R$5:$R$204,0)+4,"")="","",INDEX('List A'!$G$5:$G$204,IFERROR(MATCH(176,'List A'!$R$5:$R$204,0)+4,"")-4))</f>
        <v/>
      </c>
      <c r="H180" s="53">
        <f>IF(IFERROR(MATCH(176,'List A'!$R$5:$R$204,0)+4,"")="","",INDEX('List A'!$H$5:$H$204,IFERROR(MATCH(176,'List A'!$R$5:$R$204,0)+4,"")-4))</f>
        <v/>
      </c>
      <c r="I180" s="61" t="n"/>
      <c r="J180" s="61" t="n"/>
    </row>
    <row r="181" ht="17" customHeight="1">
      <c r="A181" s="87">
        <f>IF(IFERROR(MATCH(177,'List A'!$R$5:$R$204,0)+4,"")="","",INDEX('List A'!$A$5:$A$204,IFERROR(MATCH(177,'List A'!$R$5:$R$204,0)+4,"")-4))</f>
        <v/>
      </c>
      <c r="B181" s="53">
        <f>IF(IFERROR(MATCH(177,'List A'!$R$5:$R$204,0)+4,"")="","",INDEX('List A'!$B$5:$B$204,IFERROR(MATCH(177,'List A'!$R$5:$R$204,0)+4,"")-4))</f>
        <v/>
      </c>
      <c r="C181" s="52">
        <f>IF(IFERROR(MATCH(177,'List A'!$R$5:$R$204,0)+4,"")="","",INDEX('List A'!$C$5:$C$204,IFERROR(MATCH(177,'List A'!$R$5:$R$204,0)+4,"")-4))</f>
        <v/>
      </c>
      <c r="D181" s="53">
        <f>IF(IFERROR(MATCH(177,'List A'!$R$5:$R$204,0)+4,"")="","",INDEX('List A'!$D$5:$D$204,IFERROR(MATCH(177,'List A'!$R$5:$R$204,0)+4,"")-4))</f>
        <v/>
      </c>
      <c r="E181" s="53">
        <f>IF(IFERROR(MATCH(177,'List A'!$R$5:$R$204,0)+4,"")="","",INDEX('List A'!$E$5:$E$204,IFERROR(MATCH(177,'List A'!$R$5:$R$204,0)+4,"")-4))</f>
        <v/>
      </c>
      <c r="F181" s="53">
        <f>IF(IFERROR(MATCH(177,'List A'!$R$5:$R$204,0)+4,"")="","",INDEX('List A'!$F$5:$F$204,IFERROR(MATCH(177,'List A'!$R$5:$R$204,0)+4,"")-4))</f>
        <v/>
      </c>
      <c r="G181" s="50">
        <f>IF(IFERROR(MATCH(177,'List A'!$R$5:$R$204,0)+4,"")="","",INDEX('List A'!$G$5:$G$204,IFERROR(MATCH(177,'List A'!$R$5:$R$204,0)+4,"")-4))</f>
        <v/>
      </c>
      <c r="H181" s="53">
        <f>IF(IFERROR(MATCH(177,'List A'!$R$5:$R$204,0)+4,"")="","",INDEX('List A'!$H$5:$H$204,IFERROR(MATCH(177,'List A'!$R$5:$R$204,0)+4,"")-4))</f>
        <v/>
      </c>
      <c r="I181" s="61" t="n"/>
      <c r="J181" s="61" t="n"/>
    </row>
    <row r="182" ht="17" customHeight="1">
      <c r="A182" s="87">
        <f>IF(IFERROR(MATCH(178,'List A'!$R$5:$R$204,0)+4,"")="","",INDEX('List A'!$A$5:$A$204,IFERROR(MATCH(178,'List A'!$R$5:$R$204,0)+4,"")-4))</f>
        <v/>
      </c>
      <c r="B182" s="53">
        <f>IF(IFERROR(MATCH(178,'List A'!$R$5:$R$204,0)+4,"")="","",INDEX('List A'!$B$5:$B$204,IFERROR(MATCH(178,'List A'!$R$5:$R$204,0)+4,"")-4))</f>
        <v/>
      </c>
      <c r="C182" s="52">
        <f>IF(IFERROR(MATCH(178,'List A'!$R$5:$R$204,0)+4,"")="","",INDEX('List A'!$C$5:$C$204,IFERROR(MATCH(178,'List A'!$R$5:$R$204,0)+4,"")-4))</f>
        <v/>
      </c>
      <c r="D182" s="53">
        <f>IF(IFERROR(MATCH(178,'List A'!$R$5:$R$204,0)+4,"")="","",INDEX('List A'!$D$5:$D$204,IFERROR(MATCH(178,'List A'!$R$5:$R$204,0)+4,"")-4))</f>
        <v/>
      </c>
      <c r="E182" s="53">
        <f>IF(IFERROR(MATCH(178,'List A'!$R$5:$R$204,0)+4,"")="","",INDEX('List A'!$E$5:$E$204,IFERROR(MATCH(178,'List A'!$R$5:$R$204,0)+4,"")-4))</f>
        <v/>
      </c>
      <c r="F182" s="53">
        <f>IF(IFERROR(MATCH(178,'List A'!$R$5:$R$204,0)+4,"")="","",INDEX('List A'!$F$5:$F$204,IFERROR(MATCH(178,'List A'!$R$5:$R$204,0)+4,"")-4))</f>
        <v/>
      </c>
      <c r="G182" s="50">
        <f>IF(IFERROR(MATCH(178,'List A'!$R$5:$R$204,0)+4,"")="","",INDEX('List A'!$G$5:$G$204,IFERROR(MATCH(178,'List A'!$R$5:$R$204,0)+4,"")-4))</f>
        <v/>
      </c>
      <c r="H182" s="53">
        <f>IF(IFERROR(MATCH(178,'List A'!$R$5:$R$204,0)+4,"")="","",INDEX('List A'!$H$5:$H$204,IFERROR(MATCH(178,'List A'!$R$5:$R$204,0)+4,"")-4))</f>
        <v/>
      </c>
      <c r="I182" s="61" t="n"/>
      <c r="J182" s="61" t="n"/>
    </row>
    <row r="183" ht="17" customHeight="1">
      <c r="A183" s="87">
        <f>IF(IFERROR(MATCH(179,'List A'!$R$5:$R$204,0)+4,"")="","",INDEX('List A'!$A$5:$A$204,IFERROR(MATCH(179,'List A'!$R$5:$R$204,0)+4,"")-4))</f>
        <v/>
      </c>
      <c r="B183" s="53">
        <f>IF(IFERROR(MATCH(179,'List A'!$R$5:$R$204,0)+4,"")="","",INDEX('List A'!$B$5:$B$204,IFERROR(MATCH(179,'List A'!$R$5:$R$204,0)+4,"")-4))</f>
        <v/>
      </c>
      <c r="C183" s="52">
        <f>IF(IFERROR(MATCH(179,'List A'!$R$5:$R$204,0)+4,"")="","",INDEX('List A'!$C$5:$C$204,IFERROR(MATCH(179,'List A'!$R$5:$R$204,0)+4,"")-4))</f>
        <v/>
      </c>
      <c r="D183" s="53">
        <f>IF(IFERROR(MATCH(179,'List A'!$R$5:$R$204,0)+4,"")="","",INDEX('List A'!$D$5:$D$204,IFERROR(MATCH(179,'List A'!$R$5:$R$204,0)+4,"")-4))</f>
        <v/>
      </c>
      <c r="E183" s="53">
        <f>IF(IFERROR(MATCH(179,'List A'!$R$5:$R$204,0)+4,"")="","",INDEX('List A'!$E$5:$E$204,IFERROR(MATCH(179,'List A'!$R$5:$R$204,0)+4,"")-4))</f>
        <v/>
      </c>
      <c r="F183" s="53">
        <f>IF(IFERROR(MATCH(179,'List A'!$R$5:$R$204,0)+4,"")="","",INDEX('List A'!$F$5:$F$204,IFERROR(MATCH(179,'List A'!$R$5:$R$204,0)+4,"")-4))</f>
        <v/>
      </c>
      <c r="G183" s="50">
        <f>IF(IFERROR(MATCH(179,'List A'!$R$5:$R$204,0)+4,"")="","",INDEX('List A'!$G$5:$G$204,IFERROR(MATCH(179,'List A'!$R$5:$R$204,0)+4,"")-4))</f>
        <v/>
      </c>
      <c r="H183" s="53">
        <f>IF(IFERROR(MATCH(179,'List A'!$R$5:$R$204,0)+4,"")="","",INDEX('List A'!$H$5:$H$204,IFERROR(MATCH(179,'List A'!$R$5:$R$204,0)+4,"")-4))</f>
        <v/>
      </c>
      <c r="I183" s="61" t="n"/>
      <c r="J183" s="61" t="n"/>
    </row>
    <row r="184" ht="17" customHeight="1">
      <c r="A184" s="87">
        <f>IF(IFERROR(MATCH(180,'List A'!$R$5:$R$204,0)+4,"")="","",INDEX('List A'!$A$5:$A$204,IFERROR(MATCH(180,'List A'!$R$5:$R$204,0)+4,"")-4))</f>
        <v/>
      </c>
      <c r="B184" s="53">
        <f>IF(IFERROR(MATCH(180,'List A'!$R$5:$R$204,0)+4,"")="","",INDEX('List A'!$B$5:$B$204,IFERROR(MATCH(180,'List A'!$R$5:$R$204,0)+4,"")-4))</f>
        <v/>
      </c>
      <c r="C184" s="52">
        <f>IF(IFERROR(MATCH(180,'List A'!$R$5:$R$204,0)+4,"")="","",INDEX('List A'!$C$5:$C$204,IFERROR(MATCH(180,'List A'!$R$5:$R$204,0)+4,"")-4))</f>
        <v/>
      </c>
      <c r="D184" s="53">
        <f>IF(IFERROR(MATCH(180,'List A'!$R$5:$R$204,0)+4,"")="","",INDEX('List A'!$D$5:$D$204,IFERROR(MATCH(180,'List A'!$R$5:$R$204,0)+4,"")-4))</f>
        <v/>
      </c>
      <c r="E184" s="53">
        <f>IF(IFERROR(MATCH(180,'List A'!$R$5:$R$204,0)+4,"")="","",INDEX('List A'!$E$5:$E$204,IFERROR(MATCH(180,'List A'!$R$5:$R$204,0)+4,"")-4))</f>
        <v/>
      </c>
      <c r="F184" s="53">
        <f>IF(IFERROR(MATCH(180,'List A'!$R$5:$R$204,0)+4,"")="","",INDEX('List A'!$F$5:$F$204,IFERROR(MATCH(180,'List A'!$R$5:$R$204,0)+4,"")-4))</f>
        <v/>
      </c>
      <c r="G184" s="50">
        <f>IF(IFERROR(MATCH(180,'List A'!$R$5:$R$204,0)+4,"")="","",INDEX('List A'!$G$5:$G$204,IFERROR(MATCH(180,'List A'!$R$5:$R$204,0)+4,"")-4))</f>
        <v/>
      </c>
      <c r="H184" s="53">
        <f>IF(IFERROR(MATCH(180,'List A'!$R$5:$R$204,0)+4,"")="","",INDEX('List A'!$H$5:$H$204,IFERROR(MATCH(180,'List A'!$R$5:$R$204,0)+4,"")-4))</f>
        <v/>
      </c>
      <c r="I184" s="61" t="n"/>
      <c r="J184" s="61" t="n"/>
    </row>
    <row r="185" ht="17" customHeight="1">
      <c r="A185" s="87">
        <f>IF(IFERROR(MATCH(181,'List A'!$R$5:$R$204,0)+4,"")="","",INDEX('List A'!$A$5:$A$204,IFERROR(MATCH(181,'List A'!$R$5:$R$204,0)+4,"")-4))</f>
        <v/>
      </c>
      <c r="B185" s="53">
        <f>IF(IFERROR(MATCH(181,'List A'!$R$5:$R$204,0)+4,"")="","",INDEX('List A'!$B$5:$B$204,IFERROR(MATCH(181,'List A'!$R$5:$R$204,0)+4,"")-4))</f>
        <v/>
      </c>
      <c r="C185" s="52">
        <f>IF(IFERROR(MATCH(181,'List A'!$R$5:$R$204,0)+4,"")="","",INDEX('List A'!$C$5:$C$204,IFERROR(MATCH(181,'List A'!$R$5:$R$204,0)+4,"")-4))</f>
        <v/>
      </c>
      <c r="D185" s="53">
        <f>IF(IFERROR(MATCH(181,'List A'!$R$5:$R$204,0)+4,"")="","",INDEX('List A'!$D$5:$D$204,IFERROR(MATCH(181,'List A'!$R$5:$R$204,0)+4,"")-4))</f>
        <v/>
      </c>
      <c r="E185" s="53">
        <f>IF(IFERROR(MATCH(181,'List A'!$R$5:$R$204,0)+4,"")="","",INDEX('List A'!$E$5:$E$204,IFERROR(MATCH(181,'List A'!$R$5:$R$204,0)+4,"")-4))</f>
        <v/>
      </c>
      <c r="F185" s="53">
        <f>IF(IFERROR(MATCH(181,'List A'!$R$5:$R$204,0)+4,"")="","",INDEX('List A'!$F$5:$F$204,IFERROR(MATCH(181,'List A'!$R$5:$R$204,0)+4,"")-4))</f>
        <v/>
      </c>
      <c r="G185" s="50">
        <f>IF(IFERROR(MATCH(181,'List A'!$R$5:$R$204,0)+4,"")="","",INDEX('List A'!$G$5:$G$204,IFERROR(MATCH(181,'List A'!$R$5:$R$204,0)+4,"")-4))</f>
        <v/>
      </c>
      <c r="H185" s="53">
        <f>IF(IFERROR(MATCH(181,'List A'!$R$5:$R$204,0)+4,"")="","",INDEX('List A'!$H$5:$H$204,IFERROR(MATCH(181,'List A'!$R$5:$R$204,0)+4,"")-4))</f>
        <v/>
      </c>
      <c r="I185" s="61" t="n"/>
      <c r="J185" s="61" t="n"/>
    </row>
    <row r="186" ht="17" customHeight="1">
      <c r="A186" s="87">
        <f>IF(IFERROR(MATCH(182,'List A'!$R$5:$R$204,0)+4,"")="","",INDEX('List A'!$A$5:$A$204,IFERROR(MATCH(182,'List A'!$R$5:$R$204,0)+4,"")-4))</f>
        <v/>
      </c>
      <c r="B186" s="53">
        <f>IF(IFERROR(MATCH(182,'List A'!$R$5:$R$204,0)+4,"")="","",INDEX('List A'!$B$5:$B$204,IFERROR(MATCH(182,'List A'!$R$5:$R$204,0)+4,"")-4))</f>
        <v/>
      </c>
      <c r="C186" s="52">
        <f>IF(IFERROR(MATCH(182,'List A'!$R$5:$R$204,0)+4,"")="","",INDEX('List A'!$C$5:$C$204,IFERROR(MATCH(182,'List A'!$R$5:$R$204,0)+4,"")-4))</f>
        <v/>
      </c>
      <c r="D186" s="53">
        <f>IF(IFERROR(MATCH(182,'List A'!$R$5:$R$204,0)+4,"")="","",INDEX('List A'!$D$5:$D$204,IFERROR(MATCH(182,'List A'!$R$5:$R$204,0)+4,"")-4))</f>
        <v/>
      </c>
      <c r="E186" s="53">
        <f>IF(IFERROR(MATCH(182,'List A'!$R$5:$R$204,0)+4,"")="","",INDEX('List A'!$E$5:$E$204,IFERROR(MATCH(182,'List A'!$R$5:$R$204,0)+4,"")-4))</f>
        <v/>
      </c>
      <c r="F186" s="53">
        <f>IF(IFERROR(MATCH(182,'List A'!$R$5:$R$204,0)+4,"")="","",INDEX('List A'!$F$5:$F$204,IFERROR(MATCH(182,'List A'!$R$5:$R$204,0)+4,"")-4))</f>
        <v/>
      </c>
      <c r="G186" s="50">
        <f>IF(IFERROR(MATCH(182,'List A'!$R$5:$R$204,0)+4,"")="","",INDEX('List A'!$G$5:$G$204,IFERROR(MATCH(182,'List A'!$R$5:$R$204,0)+4,"")-4))</f>
        <v/>
      </c>
      <c r="H186" s="53">
        <f>IF(IFERROR(MATCH(182,'List A'!$R$5:$R$204,0)+4,"")="","",INDEX('List A'!$H$5:$H$204,IFERROR(MATCH(182,'List A'!$R$5:$R$204,0)+4,"")-4))</f>
        <v/>
      </c>
      <c r="I186" s="61" t="n"/>
      <c r="J186" s="61" t="n"/>
    </row>
    <row r="187" ht="17" customHeight="1">
      <c r="A187" s="87">
        <f>IF(IFERROR(MATCH(183,'List A'!$R$5:$R$204,0)+4,"")="","",INDEX('List A'!$A$5:$A$204,IFERROR(MATCH(183,'List A'!$R$5:$R$204,0)+4,"")-4))</f>
        <v/>
      </c>
      <c r="B187" s="53">
        <f>IF(IFERROR(MATCH(183,'List A'!$R$5:$R$204,0)+4,"")="","",INDEX('List A'!$B$5:$B$204,IFERROR(MATCH(183,'List A'!$R$5:$R$204,0)+4,"")-4))</f>
        <v/>
      </c>
      <c r="C187" s="52">
        <f>IF(IFERROR(MATCH(183,'List A'!$R$5:$R$204,0)+4,"")="","",INDEX('List A'!$C$5:$C$204,IFERROR(MATCH(183,'List A'!$R$5:$R$204,0)+4,"")-4))</f>
        <v/>
      </c>
      <c r="D187" s="53">
        <f>IF(IFERROR(MATCH(183,'List A'!$R$5:$R$204,0)+4,"")="","",INDEX('List A'!$D$5:$D$204,IFERROR(MATCH(183,'List A'!$R$5:$R$204,0)+4,"")-4))</f>
        <v/>
      </c>
      <c r="E187" s="53">
        <f>IF(IFERROR(MATCH(183,'List A'!$R$5:$R$204,0)+4,"")="","",INDEX('List A'!$E$5:$E$204,IFERROR(MATCH(183,'List A'!$R$5:$R$204,0)+4,"")-4))</f>
        <v/>
      </c>
      <c r="F187" s="53">
        <f>IF(IFERROR(MATCH(183,'List A'!$R$5:$R$204,0)+4,"")="","",INDEX('List A'!$F$5:$F$204,IFERROR(MATCH(183,'List A'!$R$5:$R$204,0)+4,"")-4))</f>
        <v/>
      </c>
      <c r="G187" s="50">
        <f>IF(IFERROR(MATCH(183,'List A'!$R$5:$R$204,0)+4,"")="","",INDEX('List A'!$G$5:$G$204,IFERROR(MATCH(183,'List A'!$R$5:$R$204,0)+4,"")-4))</f>
        <v/>
      </c>
      <c r="H187" s="53">
        <f>IF(IFERROR(MATCH(183,'List A'!$R$5:$R$204,0)+4,"")="","",INDEX('List A'!$H$5:$H$204,IFERROR(MATCH(183,'List A'!$R$5:$R$204,0)+4,"")-4))</f>
        <v/>
      </c>
      <c r="I187" s="61" t="n"/>
      <c r="J187" s="61" t="n"/>
    </row>
    <row r="188" ht="17" customHeight="1">
      <c r="A188" s="87">
        <f>IF(IFERROR(MATCH(184,'List A'!$R$5:$R$204,0)+4,"")="","",INDEX('List A'!$A$5:$A$204,IFERROR(MATCH(184,'List A'!$R$5:$R$204,0)+4,"")-4))</f>
        <v/>
      </c>
      <c r="B188" s="53">
        <f>IF(IFERROR(MATCH(184,'List A'!$R$5:$R$204,0)+4,"")="","",INDEX('List A'!$B$5:$B$204,IFERROR(MATCH(184,'List A'!$R$5:$R$204,0)+4,"")-4))</f>
        <v/>
      </c>
      <c r="C188" s="52">
        <f>IF(IFERROR(MATCH(184,'List A'!$R$5:$R$204,0)+4,"")="","",INDEX('List A'!$C$5:$C$204,IFERROR(MATCH(184,'List A'!$R$5:$R$204,0)+4,"")-4))</f>
        <v/>
      </c>
      <c r="D188" s="53">
        <f>IF(IFERROR(MATCH(184,'List A'!$R$5:$R$204,0)+4,"")="","",INDEX('List A'!$D$5:$D$204,IFERROR(MATCH(184,'List A'!$R$5:$R$204,0)+4,"")-4))</f>
        <v/>
      </c>
      <c r="E188" s="53">
        <f>IF(IFERROR(MATCH(184,'List A'!$R$5:$R$204,0)+4,"")="","",INDEX('List A'!$E$5:$E$204,IFERROR(MATCH(184,'List A'!$R$5:$R$204,0)+4,"")-4))</f>
        <v/>
      </c>
      <c r="F188" s="53">
        <f>IF(IFERROR(MATCH(184,'List A'!$R$5:$R$204,0)+4,"")="","",INDEX('List A'!$F$5:$F$204,IFERROR(MATCH(184,'List A'!$R$5:$R$204,0)+4,"")-4))</f>
        <v/>
      </c>
      <c r="G188" s="50">
        <f>IF(IFERROR(MATCH(184,'List A'!$R$5:$R$204,0)+4,"")="","",INDEX('List A'!$G$5:$G$204,IFERROR(MATCH(184,'List A'!$R$5:$R$204,0)+4,"")-4))</f>
        <v/>
      </c>
      <c r="H188" s="53">
        <f>IF(IFERROR(MATCH(184,'List A'!$R$5:$R$204,0)+4,"")="","",INDEX('List A'!$H$5:$H$204,IFERROR(MATCH(184,'List A'!$R$5:$R$204,0)+4,"")-4))</f>
        <v/>
      </c>
      <c r="I188" s="61" t="n"/>
      <c r="J188" s="61" t="n"/>
    </row>
    <row r="189" ht="17" customHeight="1">
      <c r="A189" s="87">
        <f>IF(IFERROR(MATCH(185,'List A'!$R$5:$R$204,0)+4,"")="","",INDEX('List A'!$A$5:$A$204,IFERROR(MATCH(185,'List A'!$R$5:$R$204,0)+4,"")-4))</f>
        <v/>
      </c>
      <c r="B189" s="53">
        <f>IF(IFERROR(MATCH(185,'List A'!$R$5:$R$204,0)+4,"")="","",INDEX('List A'!$B$5:$B$204,IFERROR(MATCH(185,'List A'!$R$5:$R$204,0)+4,"")-4))</f>
        <v/>
      </c>
      <c r="C189" s="52">
        <f>IF(IFERROR(MATCH(185,'List A'!$R$5:$R$204,0)+4,"")="","",INDEX('List A'!$C$5:$C$204,IFERROR(MATCH(185,'List A'!$R$5:$R$204,0)+4,"")-4))</f>
        <v/>
      </c>
      <c r="D189" s="53">
        <f>IF(IFERROR(MATCH(185,'List A'!$R$5:$R$204,0)+4,"")="","",INDEX('List A'!$D$5:$D$204,IFERROR(MATCH(185,'List A'!$R$5:$R$204,0)+4,"")-4))</f>
        <v/>
      </c>
      <c r="E189" s="53">
        <f>IF(IFERROR(MATCH(185,'List A'!$R$5:$R$204,0)+4,"")="","",INDEX('List A'!$E$5:$E$204,IFERROR(MATCH(185,'List A'!$R$5:$R$204,0)+4,"")-4))</f>
        <v/>
      </c>
      <c r="F189" s="53">
        <f>IF(IFERROR(MATCH(185,'List A'!$R$5:$R$204,0)+4,"")="","",INDEX('List A'!$F$5:$F$204,IFERROR(MATCH(185,'List A'!$R$5:$R$204,0)+4,"")-4))</f>
        <v/>
      </c>
      <c r="G189" s="50">
        <f>IF(IFERROR(MATCH(185,'List A'!$R$5:$R$204,0)+4,"")="","",INDEX('List A'!$G$5:$G$204,IFERROR(MATCH(185,'List A'!$R$5:$R$204,0)+4,"")-4))</f>
        <v/>
      </c>
      <c r="H189" s="53">
        <f>IF(IFERROR(MATCH(185,'List A'!$R$5:$R$204,0)+4,"")="","",INDEX('List A'!$H$5:$H$204,IFERROR(MATCH(185,'List A'!$R$5:$R$204,0)+4,"")-4))</f>
        <v/>
      </c>
      <c r="I189" s="61" t="n"/>
      <c r="J189" s="61" t="n"/>
    </row>
    <row r="190" ht="17" customHeight="1">
      <c r="A190" s="87">
        <f>IF(IFERROR(MATCH(186,'List A'!$R$5:$R$204,0)+4,"")="","",INDEX('List A'!$A$5:$A$204,IFERROR(MATCH(186,'List A'!$R$5:$R$204,0)+4,"")-4))</f>
        <v/>
      </c>
      <c r="B190" s="53">
        <f>IF(IFERROR(MATCH(186,'List A'!$R$5:$R$204,0)+4,"")="","",INDEX('List A'!$B$5:$B$204,IFERROR(MATCH(186,'List A'!$R$5:$R$204,0)+4,"")-4))</f>
        <v/>
      </c>
      <c r="C190" s="52">
        <f>IF(IFERROR(MATCH(186,'List A'!$R$5:$R$204,0)+4,"")="","",INDEX('List A'!$C$5:$C$204,IFERROR(MATCH(186,'List A'!$R$5:$R$204,0)+4,"")-4))</f>
        <v/>
      </c>
      <c r="D190" s="53">
        <f>IF(IFERROR(MATCH(186,'List A'!$R$5:$R$204,0)+4,"")="","",INDEX('List A'!$D$5:$D$204,IFERROR(MATCH(186,'List A'!$R$5:$R$204,0)+4,"")-4))</f>
        <v/>
      </c>
      <c r="E190" s="53">
        <f>IF(IFERROR(MATCH(186,'List A'!$R$5:$R$204,0)+4,"")="","",INDEX('List A'!$E$5:$E$204,IFERROR(MATCH(186,'List A'!$R$5:$R$204,0)+4,"")-4))</f>
        <v/>
      </c>
      <c r="F190" s="53">
        <f>IF(IFERROR(MATCH(186,'List A'!$R$5:$R$204,0)+4,"")="","",INDEX('List A'!$F$5:$F$204,IFERROR(MATCH(186,'List A'!$R$5:$R$204,0)+4,"")-4))</f>
        <v/>
      </c>
      <c r="G190" s="50">
        <f>IF(IFERROR(MATCH(186,'List A'!$R$5:$R$204,0)+4,"")="","",INDEX('List A'!$G$5:$G$204,IFERROR(MATCH(186,'List A'!$R$5:$R$204,0)+4,"")-4))</f>
        <v/>
      </c>
      <c r="H190" s="53">
        <f>IF(IFERROR(MATCH(186,'List A'!$R$5:$R$204,0)+4,"")="","",INDEX('List A'!$H$5:$H$204,IFERROR(MATCH(186,'List A'!$R$5:$R$204,0)+4,"")-4))</f>
        <v/>
      </c>
      <c r="I190" s="61" t="n"/>
      <c r="J190" s="61" t="n"/>
    </row>
    <row r="191" ht="17" customHeight="1">
      <c r="A191" s="87">
        <f>IF(IFERROR(MATCH(187,'List A'!$R$5:$R$204,0)+4,"")="","",INDEX('List A'!$A$5:$A$204,IFERROR(MATCH(187,'List A'!$R$5:$R$204,0)+4,"")-4))</f>
        <v/>
      </c>
      <c r="B191" s="53">
        <f>IF(IFERROR(MATCH(187,'List A'!$R$5:$R$204,0)+4,"")="","",INDEX('List A'!$B$5:$B$204,IFERROR(MATCH(187,'List A'!$R$5:$R$204,0)+4,"")-4))</f>
        <v/>
      </c>
      <c r="C191" s="52">
        <f>IF(IFERROR(MATCH(187,'List A'!$R$5:$R$204,0)+4,"")="","",INDEX('List A'!$C$5:$C$204,IFERROR(MATCH(187,'List A'!$R$5:$R$204,0)+4,"")-4))</f>
        <v/>
      </c>
      <c r="D191" s="53">
        <f>IF(IFERROR(MATCH(187,'List A'!$R$5:$R$204,0)+4,"")="","",INDEX('List A'!$D$5:$D$204,IFERROR(MATCH(187,'List A'!$R$5:$R$204,0)+4,"")-4))</f>
        <v/>
      </c>
      <c r="E191" s="53">
        <f>IF(IFERROR(MATCH(187,'List A'!$R$5:$R$204,0)+4,"")="","",INDEX('List A'!$E$5:$E$204,IFERROR(MATCH(187,'List A'!$R$5:$R$204,0)+4,"")-4))</f>
        <v/>
      </c>
      <c r="F191" s="53">
        <f>IF(IFERROR(MATCH(187,'List A'!$R$5:$R$204,0)+4,"")="","",INDEX('List A'!$F$5:$F$204,IFERROR(MATCH(187,'List A'!$R$5:$R$204,0)+4,"")-4))</f>
        <v/>
      </c>
      <c r="G191" s="50">
        <f>IF(IFERROR(MATCH(187,'List A'!$R$5:$R$204,0)+4,"")="","",INDEX('List A'!$G$5:$G$204,IFERROR(MATCH(187,'List A'!$R$5:$R$204,0)+4,"")-4))</f>
        <v/>
      </c>
      <c r="H191" s="53">
        <f>IF(IFERROR(MATCH(187,'List A'!$R$5:$R$204,0)+4,"")="","",INDEX('List A'!$H$5:$H$204,IFERROR(MATCH(187,'List A'!$R$5:$R$204,0)+4,"")-4))</f>
        <v/>
      </c>
      <c r="I191" s="61" t="n"/>
      <c r="J191" s="61" t="n"/>
    </row>
    <row r="192" ht="17" customHeight="1">
      <c r="A192" s="87">
        <f>IF(IFERROR(MATCH(188,'List A'!$R$5:$R$204,0)+4,"")="","",INDEX('List A'!$A$5:$A$204,IFERROR(MATCH(188,'List A'!$R$5:$R$204,0)+4,"")-4))</f>
        <v/>
      </c>
      <c r="B192" s="53">
        <f>IF(IFERROR(MATCH(188,'List A'!$R$5:$R$204,0)+4,"")="","",INDEX('List A'!$B$5:$B$204,IFERROR(MATCH(188,'List A'!$R$5:$R$204,0)+4,"")-4))</f>
        <v/>
      </c>
      <c r="C192" s="52">
        <f>IF(IFERROR(MATCH(188,'List A'!$R$5:$R$204,0)+4,"")="","",INDEX('List A'!$C$5:$C$204,IFERROR(MATCH(188,'List A'!$R$5:$R$204,0)+4,"")-4))</f>
        <v/>
      </c>
      <c r="D192" s="53">
        <f>IF(IFERROR(MATCH(188,'List A'!$R$5:$R$204,0)+4,"")="","",INDEX('List A'!$D$5:$D$204,IFERROR(MATCH(188,'List A'!$R$5:$R$204,0)+4,"")-4))</f>
        <v/>
      </c>
      <c r="E192" s="53">
        <f>IF(IFERROR(MATCH(188,'List A'!$R$5:$R$204,0)+4,"")="","",INDEX('List A'!$E$5:$E$204,IFERROR(MATCH(188,'List A'!$R$5:$R$204,0)+4,"")-4))</f>
        <v/>
      </c>
      <c r="F192" s="53">
        <f>IF(IFERROR(MATCH(188,'List A'!$R$5:$R$204,0)+4,"")="","",INDEX('List A'!$F$5:$F$204,IFERROR(MATCH(188,'List A'!$R$5:$R$204,0)+4,"")-4))</f>
        <v/>
      </c>
      <c r="G192" s="50">
        <f>IF(IFERROR(MATCH(188,'List A'!$R$5:$R$204,0)+4,"")="","",INDEX('List A'!$G$5:$G$204,IFERROR(MATCH(188,'List A'!$R$5:$R$204,0)+4,"")-4))</f>
        <v/>
      </c>
      <c r="H192" s="53">
        <f>IF(IFERROR(MATCH(188,'List A'!$R$5:$R$204,0)+4,"")="","",INDEX('List A'!$H$5:$H$204,IFERROR(MATCH(188,'List A'!$R$5:$R$204,0)+4,"")-4))</f>
        <v/>
      </c>
      <c r="I192" s="61" t="n"/>
      <c r="J192" s="61" t="n"/>
    </row>
    <row r="193" ht="17" customHeight="1">
      <c r="A193" s="87">
        <f>IF(IFERROR(MATCH(189,'List A'!$R$5:$R$204,0)+4,"")="","",INDEX('List A'!$A$5:$A$204,IFERROR(MATCH(189,'List A'!$R$5:$R$204,0)+4,"")-4))</f>
        <v/>
      </c>
      <c r="B193" s="53">
        <f>IF(IFERROR(MATCH(189,'List A'!$R$5:$R$204,0)+4,"")="","",INDEX('List A'!$B$5:$B$204,IFERROR(MATCH(189,'List A'!$R$5:$R$204,0)+4,"")-4))</f>
        <v/>
      </c>
      <c r="C193" s="52">
        <f>IF(IFERROR(MATCH(189,'List A'!$R$5:$R$204,0)+4,"")="","",INDEX('List A'!$C$5:$C$204,IFERROR(MATCH(189,'List A'!$R$5:$R$204,0)+4,"")-4))</f>
        <v/>
      </c>
      <c r="D193" s="53">
        <f>IF(IFERROR(MATCH(189,'List A'!$R$5:$R$204,0)+4,"")="","",INDEX('List A'!$D$5:$D$204,IFERROR(MATCH(189,'List A'!$R$5:$R$204,0)+4,"")-4))</f>
        <v/>
      </c>
      <c r="E193" s="53">
        <f>IF(IFERROR(MATCH(189,'List A'!$R$5:$R$204,0)+4,"")="","",INDEX('List A'!$E$5:$E$204,IFERROR(MATCH(189,'List A'!$R$5:$R$204,0)+4,"")-4))</f>
        <v/>
      </c>
      <c r="F193" s="53">
        <f>IF(IFERROR(MATCH(189,'List A'!$R$5:$R$204,0)+4,"")="","",INDEX('List A'!$F$5:$F$204,IFERROR(MATCH(189,'List A'!$R$5:$R$204,0)+4,"")-4))</f>
        <v/>
      </c>
      <c r="G193" s="50">
        <f>IF(IFERROR(MATCH(189,'List A'!$R$5:$R$204,0)+4,"")="","",INDEX('List A'!$G$5:$G$204,IFERROR(MATCH(189,'List A'!$R$5:$R$204,0)+4,"")-4))</f>
        <v/>
      </c>
      <c r="H193" s="53">
        <f>IF(IFERROR(MATCH(189,'List A'!$R$5:$R$204,0)+4,"")="","",INDEX('List A'!$H$5:$H$204,IFERROR(MATCH(189,'List A'!$R$5:$R$204,0)+4,"")-4))</f>
        <v/>
      </c>
      <c r="I193" s="61" t="n"/>
      <c r="J193" s="61" t="n"/>
    </row>
    <row r="194" ht="17" customHeight="1">
      <c r="A194" s="87">
        <f>IF(IFERROR(MATCH(190,'List A'!$R$5:$R$204,0)+4,"")="","",INDEX('List A'!$A$5:$A$204,IFERROR(MATCH(190,'List A'!$R$5:$R$204,0)+4,"")-4))</f>
        <v/>
      </c>
      <c r="B194" s="53">
        <f>IF(IFERROR(MATCH(190,'List A'!$R$5:$R$204,0)+4,"")="","",INDEX('List A'!$B$5:$B$204,IFERROR(MATCH(190,'List A'!$R$5:$R$204,0)+4,"")-4))</f>
        <v/>
      </c>
      <c r="C194" s="52">
        <f>IF(IFERROR(MATCH(190,'List A'!$R$5:$R$204,0)+4,"")="","",INDEX('List A'!$C$5:$C$204,IFERROR(MATCH(190,'List A'!$R$5:$R$204,0)+4,"")-4))</f>
        <v/>
      </c>
      <c r="D194" s="53">
        <f>IF(IFERROR(MATCH(190,'List A'!$R$5:$R$204,0)+4,"")="","",INDEX('List A'!$D$5:$D$204,IFERROR(MATCH(190,'List A'!$R$5:$R$204,0)+4,"")-4))</f>
        <v/>
      </c>
      <c r="E194" s="53">
        <f>IF(IFERROR(MATCH(190,'List A'!$R$5:$R$204,0)+4,"")="","",INDEX('List A'!$E$5:$E$204,IFERROR(MATCH(190,'List A'!$R$5:$R$204,0)+4,"")-4))</f>
        <v/>
      </c>
      <c r="F194" s="53">
        <f>IF(IFERROR(MATCH(190,'List A'!$R$5:$R$204,0)+4,"")="","",INDEX('List A'!$F$5:$F$204,IFERROR(MATCH(190,'List A'!$R$5:$R$204,0)+4,"")-4))</f>
        <v/>
      </c>
      <c r="G194" s="50">
        <f>IF(IFERROR(MATCH(190,'List A'!$R$5:$R$204,0)+4,"")="","",INDEX('List A'!$G$5:$G$204,IFERROR(MATCH(190,'List A'!$R$5:$R$204,0)+4,"")-4))</f>
        <v/>
      </c>
      <c r="H194" s="53">
        <f>IF(IFERROR(MATCH(190,'List A'!$R$5:$R$204,0)+4,"")="","",INDEX('List A'!$H$5:$H$204,IFERROR(MATCH(190,'List A'!$R$5:$R$204,0)+4,"")-4))</f>
        <v/>
      </c>
      <c r="I194" s="61" t="n"/>
      <c r="J194" s="61" t="n"/>
    </row>
    <row r="195" ht="17" customHeight="1">
      <c r="A195" s="87">
        <f>IF(IFERROR(MATCH(191,'List A'!$R$5:$R$204,0)+4,"")="","",INDEX('List A'!$A$5:$A$204,IFERROR(MATCH(191,'List A'!$R$5:$R$204,0)+4,"")-4))</f>
        <v/>
      </c>
      <c r="B195" s="53">
        <f>IF(IFERROR(MATCH(191,'List A'!$R$5:$R$204,0)+4,"")="","",INDEX('List A'!$B$5:$B$204,IFERROR(MATCH(191,'List A'!$R$5:$R$204,0)+4,"")-4))</f>
        <v/>
      </c>
      <c r="C195" s="52">
        <f>IF(IFERROR(MATCH(191,'List A'!$R$5:$R$204,0)+4,"")="","",INDEX('List A'!$C$5:$C$204,IFERROR(MATCH(191,'List A'!$R$5:$R$204,0)+4,"")-4))</f>
        <v/>
      </c>
      <c r="D195" s="53">
        <f>IF(IFERROR(MATCH(191,'List A'!$R$5:$R$204,0)+4,"")="","",INDEX('List A'!$D$5:$D$204,IFERROR(MATCH(191,'List A'!$R$5:$R$204,0)+4,"")-4))</f>
        <v/>
      </c>
      <c r="E195" s="53">
        <f>IF(IFERROR(MATCH(191,'List A'!$R$5:$R$204,0)+4,"")="","",INDEX('List A'!$E$5:$E$204,IFERROR(MATCH(191,'List A'!$R$5:$R$204,0)+4,"")-4))</f>
        <v/>
      </c>
      <c r="F195" s="53">
        <f>IF(IFERROR(MATCH(191,'List A'!$R$5:$R$204,0)+4,"")="","",INDEX('List A'!$F$5:$F$204,IFERROR(MATCH(191,'List A'!$R$5:$R$204,0)+4,"")-4))</f>
        <v/>
      </c>
      <c r="G195" s="50">
        <f>IF(IFERROR(MATCH(191,'List A'!$R$5:$R$204,0)+4,"")="","",INDEX('List A'!$G$5:$G$204,IFERROR(MATCH(191,'List A'!$R$5:$R$204,0)+4,"")-4))</f>
        <v/>
      </c>
      <c r="H195" s="53">
        <f>IF(IFERROR(MATCH(191,'List A'!$R$5:$R$204,0)+4,"")="","",INDEX('List A'!$H$5:$H$204,IFERROR(MATCH(191,'List A'!$R$5:$R$204,0)+4,"")-4))</f>
        <v/>
      </c>
      <c r="I195" s="61" t="n"/>
      <c r="J195" s="61" t="n"/>
    </row>
    <row r="196" ht="17" customHeight="1">
      <c r="A196" s="87">
        <f>IF(IFERROR(MATCH(192,'List A'!$R$5:$R$204,0)+4,"")="","",INDEX('List A'!$A$5:$A$204,IFERROR(MATCH(192,'List A'!$R$5:$R$204,0)+4,"")-4))</f>
        <v/>
      </c>
      <c r="B196" s="53">
        <f>IF(IFERROR(MATCH(192,'List A'!$R$5:$R$204,0)+4,"")="","",INDEX('List A'!$B$5:$B$204,IFERROR(MATCH(192,'List A'!$R$5:$R$204,0)+4,"")-4))</f>
        <v/>
      </c>
      <c r="C196" s="52">
        <f>IF(IFERROR(MATCH(192,'List A'!$R$5:$R$204,0)+4,"")="","",INDEX('List A'!$C$5:$C$204,IFERROR(MATCH(192,'List A'!$R$5:$R$204,0)+4,"")-4))</f>
        <v/>
      </c>
      <c r="D196" s="53">
        <f>IF(IFERROR(MATCH(192,'List A'!$R$5:$R$204,0)+4,"")="","",INDEX('List A'!$D$5:$D$204,IFERROR(MATCH(192,'List A'!$R$5:$R$204,0)+4,"")-4))</f>
        <v/>
      </c>
      <c r="E196" s="53">
        <f>IF(IFERROR(MATCH(192,'List A'!$R$5:$R$204,0)+4,"")="","",INDEX('List A'!$E$5:$E$204,IFERROR(MATCH(192,'List A'!$R$5:$R$204,0)+4,"")-4))</f>
        <v/>
      </c>
      <c r="F196" s="53">
        <f>IF(IFERROR(MATCH(192,'List A'!$R$5:$R$204,0)+4,"")="","",INDEX('List A'!$F$5:$F$204,IFERROR(MATCH(192,'List A'!$R$5:$R$204,0)+4,"")-4))</f>
        <v/>
      </c>
      <c r="G196" s="50">
        <f>IF(IFERROR(MATCH(192,'List A'!$R$5:$R$204,0)+4,"")="","",INDEX('List A'!$G$5:$G$204,IFERROR(MATCH(192,'List A'!$R$5:$R$204,0)+4,"")-4))</f>
        <v/>
      </c>
      <c r="H196" s="53">
        <f>IF(IFERROR(MATCH(192,'List A'!$R$5:$R$204,0)+4,"")="","",INDEX('List A'!$H$5:$H$204,IFERROR(MATCH(192,'List A'!$R$5:$R$204,0)+4,"")-4))</f>
        <v/>
      </c>
      <c r="I196" s="61" t="n"/>
      <c r="J196" s="61" t="n"/>
    </row>
    <row r="197" ht="17" customHeight="1">
      <c r="A197" s="87">
        <f>IF(IFERROR(MATCH(193,'List A'!$R$5:$R$204,0)+4,"")="","",INDEX('List A'!$A$5:$A$204,IFERROR(MATCH(193,'List A'!$R$5:$R$204,0)+4,"")-4))</f>
        <v/>
      </c>
      <c r="B197" s="53">
        <f>IF(IFERROR(MATCH(193,'List A'!$R$5:$R$204,0)+4,"")="","",INDEX('List A'!$B$5:$B$204,IFERROR(MATCH(193,'List A'!$R$5:$R$204,0)+4,"")-4))</f>
        <v/>
      </c>
      <c r="C197" s="52">
        <f>IF(IFERROR(MATCH(193,'List A'!$R$5:$R$204,0)+4,"")="","",INDEX('List A'!$C$5:$C$204,IFERROR(MATCH(193,'List A'!$R$5:$R$204,0)+4,"")-4))</f>
        <v/>
      </c>
      <c r="D197" s="53">
        <f>IF(IFERROR(MATCH(193,'List A'!$R$5:$R$204,0)+4,"")="","",INDEX('List A'!$D$5:$D$204,IFERROR(MATCH(193,'List A'!$R$5:$R$204,0)+4,"")-4))</f>
        <v/>
      </c>
      <c r="E197" s="53">
        <f>IF(IFERROR(MATCH(193,'List A'!$R$5:$R$204,0)+4,"")="","",INDEX('List A'!$E$5:$E$204,IFERROR(MATCH(193,'List A'!$R$5:$R$204,0)+4,"")-4))</f>
        <v/>
      </c>
      <c r="F197" s="53">
        <f>IF(IFERROR(MATCH(193,'List A'!$R$5:$R$204,0)+4,"")="","",INDEX('List A'!$F$5:$F$204,IFERROR(MATCH(193,'List A'!$R$5:$R$204,0)+4,"")-4))</f>
        <v/>
      </c>
      <c r="G197" s="50">
        <f>IF(IFERROR(MATCH(193,'List A'!$R$5:$R$204,0)+4,"")="","",INDEX('List A'!$G$5:$G$204,IFERROR(MATCH(193,'List A'!$R$5:$R$204,0)+4,"")-4))</f>
        <v/>
      </c>
      <c r="H197" s="53">
        <f>IF(IFERROR(MATCH(193,'List A'!$R$5:$R$204,0)+4,"")="","",INDEX('List A'!$H$5:$H$204,IFERROR(MATCH(193,'List A'!$R$5:$R$204,0)+4,"")-4))</f>
        <v/>
      </c>
      <c r="I197" s="61" t="n"/>
      <c r="J197" s="61" t="n"/>
    </row>
    <row r="198" ht="17" customHeight="1">
      <c r="A198" s="87">
        <f>IF(IFERROR(MATCH(194,'List A'!$R$5:$R$204,0)+4,"")="","",INDEX('List A'!$A$5:$A$204,IFERROR(MATCH(194,'List A'!$R$5:$R$204,0)+4,"")-4))</f>
        <v/>
      </c>
      <c r="B198" s="53">
        <f>IF(IFERROR(MATCH(194,'List A'!$R$5:$R$204,0)+4,"")="","",INDEX('List A'!$B$5:$B$204,IFERROR(MATCH(194,'List A'!$R$5:$R$204,0)+4,"")-4))</f>
        <v/>
      </c>
      <c r="C198" s="52">
        <f>IF(IFERROR(MATCH(194,'List A'!$R$5:$R$204,0)+4,"")="","",INDEX('List A'!$C$5:$C$204,IFERROR(MATCH(194,'List A'!$R$5:$R$204,0)+4,"")-4))</f>
        <v/>
      </c>
      <c r="D198" s="53">
        <f>IF(IFERROR(MATCH(194,'List A'!$R$5:$R$204,0)+4,"")="","",INDEX('List A'!$D$5:$D$204,IFERROR(MATCH(194,'List A'!$R$5:$R$204,0)+4,"")-4))</f>
        <v/>
      </c>
      <c r="E198" s="53">
        <f>IF(IFERROR(MATCH(194,'List A'!$R$5:$R$204,0)+4,"")="","",INDEX('List A'!$E$5:$E$204,IFERROR(MATCH(194,'List A'!$R$5:$R$204,0)+4,"")-4))</f>
        <v/>
      </c>
      <c r="F198" s="53">
        <f>IF(IFERROR(MATCH(194,'List A'!$R$5:$R$204,0)+4,"")="","",INDEX('List A'!$F$5:$F$204,IFERROR(MATCH(194,'List A'!$R$5:$R$204,0)+4,"")-4))</f>
        <v/>
      </c>
      <c r="G198" s="50">
        <f>IF(IFERROR(MATCH(194,'List A'!$R$5:$R$204,0)+4,"")="","",INDEX('List A'!$G$5:$G$204,IFERROR(MATCH(194,'List A'!$R$5:$R$204,0)+4,"")-4))</f>
        <v/>
      </c>
      <c r="H198" s="53">
        <f>IF(IFERROR(MATCH(194,'List A'!$R$5:$R$204,0)+4,"")="","",INDEX('List A'!$H$5:$H$204,IFERROR(MATCH(194,'List A'!$R$5:$R$204,0)+4,"")-4))</f>
        <v/>
      </c>
      <c r="I198" s="61" t="n"/>
      <c r="J198" s="61" t="n"/>
    </row>
    <row r="199" ht="17" customHeight="1">
      <c r="A199" s="87">
        <f>IF(IFERROR(MATCH(195,'List A'!$R$5:$R$204,0)+4,"")="","",INDEX('List A'!$A$5:$A$204,IFERROR(MATCH(195,'List A'!$R$5:$R$204,0)+4,"")-4))</f>
        <v/>
      </c>
      <c r="B199" s="53">
        <f>IF(IFERROR(MATCH(195,'List A'!$R$5:$R$204,0)+4,"")="","",INDEX('List A'!$B$5:$B$204,IFERROR(MATCH(195,'List A'!$R$5:$R$204,0)+4,"")-4))</f>
        <v/>
      </c>
      <c r="C199" s="52">
        <f>IF(IFERROR(MATCH(195,'List A'!$R$5:$R$204,0)+4,"")="","",INDEX('List A'!$C$5:$C$204,IFERROR(MATCH(195,'List A'!$R$5:$R$204,0)+4,"")-4))</f>
        <v/>
      </c>
      <c r="D199" s="53">
        <f>IF(IFERROR(MATCH(195,'List A'!$R$5:$R$204,0)+4,"")="","",INDEX('List A'!$D$5:$D$204,IFERROR(MATCH(195,'List A'!$R$5:$R$204,0)+4,"")-4))</f>
        <v/>
      </c>
      <c r="E199" s="53">
        <f>IF(IFERROR(MATCH(195,'List A'!$R$5:$R$204,0)+4,"")="","",INDEX('List A'!$E$5:$E$204,IFERROR(MATCH(195,'List A'!$R$5:$R$204,0)+4,"")-4))</f>
        <v/>
      </c>
      <c r="F199" s="53">
        <f>IF(IFERROR(MATCH(195,'List A'!$R$5:$R$204,0)+4,"")="","",INDEX('List A'!$F$5:$F$204,IFERROR(MATCH(195,'List A'!$R$5:$R$204,0)+4,"")-4))</f>
        <v/>
      </c>
      <c r="G199" s="50">
        <f>IF(IFERROR(MATCH(195,'List A'!$R$5:$R$204,0)+4,"")="","",INDEX('List A'!$G$5:$G$204,IFERROR(MATCH(195,'List A'!$R$5:$R$204,0)+4,"")-4))</f>
        <v/>
      </c>
      <c r="H199" s="53">
        <f>IF(IFERROR(MATCH(195,'List A'!$R$5:$R$204,0)+4,"")="","",INDEX('List A'!$H$5:$H$204,IFERROR(MATCH(195,'List A'!$R$5:$R$204,0)+4,"")-4))</f>
        <v/>
      </c>
      <c r="I199" s="61" t="n"/>
      <c r="J199" s="61" t="n"/>
    </row>
    <row r="200" ht="17" customHeight="1">
      <c r="A200" s="87">
        <f>IF(IFERROR(MATCH(196,'List A'!$R$5:$R$204,0)+4,"")="","",INDEX('List A'!$A$5:$A$204,IFERROR(MATCH(196,'List A'!$R$5:$R$204,0)+4,"")-4))</f>
        <v/>
      </c>
      <c r="B200" s="53">
        <f>IF(IFERROR(MATCH(196,'List A'!$R$5:$R$204,0)+4,"")="","",INDEX('List A'!$B$5:$B$204,IFERROR(MATCH(196,'List A'!$R$5:$R$204,0)+4,"")-4))</f>
        <v/>
      </c>
      <c r="C200" s="52">
        <f>IF(IFERROR(MATCH(196,'List A'!$R$5:$R$204,0)+4,"")="","",INDEX('List A'!$C$5:$C$204,IFERROR(MATCH(196,'List A'!$R$5:$R$204,0)+4,"")-4))</f>
        <v/>
      </c>
      <c r="D200" s="53">
        <f>IF(IFERROR(MATCH(196,'List A'!$R$5:$R$204,0)+4,"")="","",INDEX('List A'!$D$5:$D$204,IFERROR(MATCH(196,'List A'!$R$5:$R$204,0)+4,"")-4))</f>
        <v/>
      </c>
      <c r="E200" s="53">
        <f>IF(IFERROR(MATCH(196,'List A'!$R$5:$R$204,0)+4,"")="","",INDEX('List A'!$E$5:$E$204,IFERROR(MATCH(196,'List A'!$R$5:$R$204,0)+4,"")-4))</f>
        <v/>
      </c>
      <c r="F200" s="53">
        <f>IF(IFERROR(MATCH(196,'List A'!$R$5:$R$204,0)+4,"")="","",INDEX('List A'!$F$5:$F$204,IFERROR(MATCH(196,'List A'!$R$5:$R$204,0)+4,"")-4))</f>
        <v/>
      </c>
      <c r="G200" s="50">
        <f>IF(IFERROR(MATCH(196,'List A'!$R$5:$R$204,0)+4,"")="","",INDEX('List A'!$G$5:$G$204,IFERROR(MATCH(196,'List A'!$R$5:$R$204,0)+4,"")-4))</f>
        <v/>
      </c>
      <c r="H200" s="53">
        <f>IF(IFERROR(MATCH(196,'List A'!$R$5:$R$204,0)+4,"")="","",INDEX('List A'!$H$5:$H$204,IFERROR(MATCH(196,'List A'!$R$5:$R$204,0)+4,"")-4))</f>
        <v/>
      </c>
      <c r="I200" s="61" t="n"/>
      <c r="J200" s="61" t="n"/>
    </row>
    <row r="201" ht="17" customHeight="1">
      <c r="A201" s="87">
        <f>IF(IFERROR(MATCH(197,'List A'!$R$5:$R$204,0)+4,"")="","",INDEX('List A'!$A$5:$A$204,IFERROR(MATCH(197,'List A'!$R$5:$R$204,0)+4,"")-4))</f>
        <v/>
      </c>
      <c r="B201" s="53">
        <f>IF(IFERROR(MATCH(197,'List A'!$R$5:$R$204,0)+4,"")="","",INDEX('List A'!$B$5:$B$204,IFERROR(MATCH(197,'List A'!$R$5:$R$204,0)+4,"")-4))</f>
        <v/>
      </c>
      <c r="C201" s="52">
        <f>IF(IFERROR(MATCH(197,'List A'!$R$5:$R$204,0)+4,"")="","",INDEX('List A'!$C$5:$C$204,IFERROR(MATCH(197,'List A'!$R$5:$R$204,0)+4,"")-4))</f>
        <v/>
      </c>
      <c r="D201" s="53">
        <f>IF(IFERROR(MATCH(197,'List A'!$R$5:$R$204,0)+4,"")="","",INDEX('List A'!$D$5:$D$204,IFERROR(MATCH(197,'List A'!$R$5:$R$204,0)+4,"")-4))</f>
        <v/>
      </c>
      <c r="E201" s="53">
        <f>IF(IFERROR(MATCH(197,'List A'!$R$5:$R$204,0)+4,"")="","",INDEX('List A'!$E$5:$E$204,IFERROR(MATCH(197,'List A'!$R$5:$R$204,0)+4,"")-4))</f>
        <v/>
      </c>
      <c r="F201" s="53">
        <f>IF(IFERROR(MATCH(197,'List A'!$R$5:$R$204,0)+4,"")="","",INDEX('List A'!$F$5:$F$204,IFERROR(MATCH(197,'List A'!$R$5:$R$204,0)+4,"")-4))</f>
        <v/>
      </c>
      <c r="G201" s="50">
        <f>IF(IFERROR(MATCH(197,'List A'!$R$5:$R$204,0)+4,"")="","",INDEX('List A'!$G$5:$G$204,IFERROR(MATCH(197,'List A'!$R$5:$R$204,0)+4,"")-4))</f>
        <v/>
      </c>
      <c r="H201" s="53">
        <f>IF(IFERROR(MATCH(197,'List A'!$R$5:$R$204,0)+4,"")="","",INDEX('List A'!$H$5:$H$204,IFERROR(MATCH(197,'List A'!$R$5:$R$204,0)+4,"")-4))</f>
        <v/>
      </c>
      <c r="I201" s="61" t="n"/>
      <c r="J201" s="61" t="n"/>
    </row>
    <row r="202" ht="17" customHeight="1">
      <c r="A202" s="87">
        <f>IF(IFERROR(MATCH(198,'List A'!$R$5:$R$204,0)+4,"")="","",INDEX('List A'!$A$5:$A$204,IFERROR(MATCH(198,'List A'!$R$5:$R$204,0)+4,"")-4))</f>
        <v/>
      </c>
      <c r="B202" s="53">
        <f>IF(IFERROR(MATCH(198,'List A'!$R$5:$R$204,0)+4,"")="","",INDEX('List A'!$B$5:$B$204,IFERROR(MATCH(198,'List A'!$R$5:$R$204,0)+4,"")-4))</f>
        <v/>
      </c>
      <c r="C202" s="52">
        <f>IF(IFERROR(MATCH(198,'List A'!$R$5:$R$204,0)+4,"")="","",INDEX('List A'!$C$5:$C$204,IFERROR(MATCH(198,'List A'!$R$5:$R$204,0)+4,"")-4))</f>
        <v/>
      </c>
      <c r="D202" s="53">
        <f>IF(IFERROR(MATCH(198,'List A'!$R$5:$R$204,0)+4,"")="","",INDEX('List A'!$D$5:$D$204,IFERROR(MATCH(198,'List A'!$R$5:$R$204,0)+4,"")-4))</f>
        <v/>
      </c>
      <c r="E202" s="53">
        <f>IF(IFERROR(MATCH(198,'List A'!$R$5:$R$204,0)+4,"")="","",INDEX('List A'!$E$5:$E$204,IFERROR(MATCH(198,'List A'!$R$5:$R$204,0)+4,"")-4))</f>
        <v/>
      </c>
      <c r="F202" s="53">
        <f>IF(IFERROR(MATCH(198,'List A'!$R$5:$R$204,0)+4,"")="","",INDEX('List A'!$F$5:$F$204,IFERROR(MATCH(198,'List A'!$R$5:$R$204,0)+4,"")-4))</f>
        <v/>
      </c>
      <c r="G202" s="50">
        <f>IF(IFERROR(MATCH(198,'List A'!$R$5:$R$204,0)+4,"")="","",INDEX('List A'!$G$5:$G$204,IFERROR(MATCH(198,'List A'!$R$5:$R$204,0)+4,"")-4))</f>
        <v/>
      </c>
      <c r="H202" s="53">
        <f>IF(IFERROR(MATCH(198,'List A'!$R$5:$R$204,0)+4,"")="","",INDEX('List A'!$H$5:$H$204,IFERROR(MATCH(198,'List A'!$R$5:$R$204,0)+4,"")-4))</f>
        <v/>
      </c>
      <c r="I202" s="61" t="n"/>
      <c r="J202" s="61" t="n"/>
    </row>
    <row r="203" ht="17" customHeight="1">
      <c r="A203" s="87">
        <f>IF(IFERROR(MATCH(199,'List A'!$R$5:$R$204,0)+4,"")="","",INDEX('List A'!$A$5:$A$204,IFERROR(MATCH(199,'List A'!$R$5:$R$204,0)+4,"")-4))</f>
        <v/>
      </c>
      <c r="B203" s="53">
        <f>IF(IFERROR(MATCH(199,'List A'!$R$5:$R$204,0)+4,"")="","",INDEX('List A'!$B$5:$B$204,IFERROR(MATCH(199,'List A'!$R$5:$R$204,0)+4,"")-4))</f>
        <v/>
      </c>
      <c r="C203" s="52">
        <f>IF(IFERROR(MATCH(199,'List A'!$R$5:$R$204,0)+4,"")="","",INDEX('List A'!$C$5:$C$204,IFERROR(MATCH(199,'List A'!$R$5:$R$204,0)+4,"")-4))</f>
        <v/>
      </c>
      <c r="D203" s="53">
        <f>IF(IFERROR(MATCH(199,'List A'!$R$5:$R$204,0)+4,"")="","",INDEX('List A'!$D$5:$D$204,IFERROR(MATCH(199,'List A'!$R$5:$R$204,0)+4,"")-4))</f>
        <v/>
      </c>
      <c r="E203" s="53">
        <f>IF(IFERROR(MATCH(199,'List A'!$R$5:$R$204,0)+4,"")="","",INDEX('List A'!$E$5:$E$204,IFERROR(MATCH(199,'List A'!$R$5:$R$204,0)+4,"")-4))</f>
        <v/>
      </c>
      <c r="F203" s="53">
        <f>IF(IFERROR(MATCH(199,'List A'!$R$5:$R$204,0)+4,"")="","",INDEX('List A'!$F$5:$F$204,IFERROR(MATCH(199,'List A'!$R$5:$R$204,0)+4,"")-4))</f>
        <v/>
      </c>
      <c r="G203" s="50">
        <f>IF(IFERROR(MATCH(199,'List A'!$R$5:$R$204,0)+4,"")="","",INDEX('List A'!$G$5:$G$204,IFERROR(MATCH(199,'List A'!$R$5:$R$204,0)+4,"")-4))</f>
        <v/>
      </c>
      <c r="H203" s="53">
        <f>IF(IFERROR(MATCH(199,'List A'!$R$5:$R$204,0)+4,"")="","",INDEX('List A'!$H$5:$H$204,IFERROR(MATCH(199,'List A'!$R$5:$R$204,0)+4,"")-4))</f>
        <v/>
      </c>
      <c r="I203" s="61" t="n"/>
      <c r="J203" s="61" t="n"/>
    </row>
    <row r="204" ht="17" customHeight="1">
      <c r="A204" s="87">
        <f>IF(IFERROR(MATCH(200,'List A'!$R$5:$R$204,0)+4,"")="","",INDEX('List A'!$A$5:$A$204,IFERROR(MATCH(200,'List A'!$R$5:$R$204,0)+4,"")-4))</f>
        <v/>
      </c>
      <c r="B204" s="53">
        <f>IF(IFERROR(MATCH(200,'List A'!$R$5:$R$204,0)+4,"")="","",INDEX('List A'!$B$5:$B$204,IFERROR(MATCH(200,'List A'!$R$5:$R$204,0)+4,"")-4))</f>
        <v/>
      </c>
      <c r="C204" s="52">
        <f>IF(IFERROR(MATCH(200,'List A'!$R$5:$R$204,0)+4,"")="","",INDEX('List A'!$C$5:$C$204,IFERROR(MATCH(200,'List A'!$R$5:$R$204,0)+4,"")-4))</f>
        <v/>
      </c>
      <c r="D204" s="53">
        <f>IF(IFERROR(MATCH(200,'List A'!$R$5:$R$204,0)+4,"")="","",INDEX('List A'!$D$5:$D$204,IFERROR(MATCH(200,'List A'!$R$5:$R$204,0)+4,"")-4))</f>
        <v/>
      </c>
      <c r="E204" s="53">
        <f>IF(IFERROR(MATCH(200,'List A'!$R$5:$R$204,0)+4,"")="","",INDEX('List A'!$E$5:$E$204,IFERROR(MATCH(200,'List A'!$R$5:$R$204,0)+4,"")-4))</f>
        <v/>
      </c>
      <c r="F204" s="53">
        <f>IF(IFERROR(MATCH(200,'List A'!$R$5:$R$204,0)+4,"")="","",INDEX('List A'!$F$5:$F$204,IFERROR(MATCH(200,'List A'!$R$5:$R$204,0)+4,"")-4))</f>
        <v/>
      </c>
      <c r="G204" s="50">
        <f>IF(IFERROR(MATCH(200,'List A'!$R$5:$R$204,0)+4,"")="","",INDEX('List A'!$G$5:$G$204,IFERROR(MATCH(200,'List A'!$R$5:$R$204,0)+4,"")-4))</f>
        <v/>
      </c>
      <c r="H204" s="53">
        <f>IF(IFERROR(MATCH(200,'List A'!$R$5:$R$204,0)+4,"")="","",INDEX('List A'!$H$5:$H$204,IFERROR(MATCH(200,'List A'!$R$5:$R$204,0)+4,"")-4))</f>
        <v/>
      </c>
      <c r="I204" s="61" t="n"/>
      <c r="J204" s="61" t="n"/>
    </row>
  </sheetData>
  <mergeCells count="3">
    <mergeCell ref="A1:J1"/>
    <mergeCell ref="A3:J3"/>
    <mergeCell ref="A2:J2"/>
  </mergeCells>
  <conditionalFormatting sqref="A5:J204">
    <cfRule type="expression" priority="1" dxfId="6">
      <formula>$A5&lt;&gt;""</formula>
    </cfRule>
  </conditionalFormatting>
  <printOptions horizontalCentered="1"/>
  <pageMargins left="0.5" right="0.5" top="0.55" bottom="0.55" header="0.3" footer="0.3"/>
  <pageSetup orientation="landscape" paperSize="1" fitToHeight="0" fitToWidth="1"/>
  <headerFooter>
    <oddHeader>&amp;LUnmatched A</oddHeader>
    <oddFooter>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8" customWidth="1" min="6" max="6"/>
    <col width="13" customWidth="1" min="7" max="7"/>
    <col width="14" customWidth="1" min="8" max="8"/>
    <col width="12" customWidth="1" min="9" max="9"/>
    <col width="16" customWidth="1" min="10" max="10"/>
  </cols>
  <sheetData>
    <row r="1" ht="30" customHeight="1">
      <c r="A1" s="1" t="inlineStr">
        <is>
          <t>Unmatched B</t>
        </is>
      </c>
    </row>
    <row r="2">
      <c r="A2" s="59" t="inlineStr">
        <is>
          <t>This sheet is calculated. Do not type here. It updates when List A / List B change.</t>
        </is>
      </c>
    </row>
    <row r="3">
      <c r="A3" s="43">
        <f>COUNTIF('List B'!$L$5:$L$204,"Unmatched")&amp;" row(s)   ·   Change Match method on the Dashboard if the wrong items appear here."</f>
        <v/>
      </c>
    </row>
    <row r="4" ht="28" customHeight="1">
      <c r="A4" s="44" t="inlineStr">
        <is>
          <t>Date</t>
        </is>
      </c>
      <c r="B4" s="44" t="inlineStr">
        <is>
          <t>Description</t>
        </is>
      </c>
      <c r="C4" s="44" t="inlineStr">
        <is>
          <t>Amount</t>
        </is>
      </c>
      <c r="D4" s="44" t="inlineStr">
        <is>
          <t>Transaction ID</t>
        </is>
      </c>
      <c r="E4" s="44" t="inlineStr">
        <is>
          <t>Category</t>
        </is>
      </c>
      <c r="F4" s="44" t="inlineStr">
        <is>
          <t>Notes</t>
        </is>
      </c>
      <c r="G4" s="44" t="inlineStr">
        <is>
          <t>Reviewed?</t>
        </is>
      </c>
      <c r="H4" s="44" t="n"/>
      <c r="I4" s="44" t="n"/>
      <c r="J4" s="44" t="n"/>
    </row>
    <row r="5" ht="17" customHeight="1">
      <c r="A5" s="87">
        <f>IF(IFERROR(MATCH(1,'List B'!$R$5:$R$204,0)+4,"")="","",INDEX('List B'!$A$5:$A$204,IFERROR(MATCH(1,'List B'!$R$5:$R$204,0)+4,"")-4))</f>
        <v/>
      </c>
      <c r="B5" s="53">
        <f>IF(IFERROR(MATCH(1,'List B'!$R$5:$R$204,0)+4,"")="","",INDEX('List B'!$B$5:$B$204,IFERROR(MATCH(1,'List B'!$R$5:$R$204,0)+4,"")-4))</f>
        <v/>
      </c>
      <c r="C5" s="52">
        <f>IF(IFERROR(MATCH(1,'List B'!$R$5:$R$204,0)+4,"")="","",INDEX('List B'!$C$5:$C$204,IFERROR(MATCH(1,'List B'!$R$5:$R$204,0)+4,"")-4))</f>
        <v/>
      </c>
      <c r="D5" s="53">
        <f>IF(IFERROR(MATCH(1,'List B'!$R$5:$R$204,0)+4,"")="","",INDEX('List B'!$D$5:$D$204,IFERROR(MATCH(1,'List B'!$R$5:$R$204,0)+4,"")-4))</f>
        <v/>
      </c>
      <c r="E5" s="53">
        <f>IF(IFERROR(MATCH(1,'List B'!$R$5:$R$204,0)+4,"")="","",INDEX('List B'!$E$5:$E$204,IFERROR(MATCH(1,'List B'!$R$5:$R$204,0)+4,"")-4))</f>
        <v/>
      </c>
      <c r="F5" s="53">
        <f>IF(IFERROR(MATCH(1,'List B'!$R$5:$R$204,0)+4,"")="","",INDEX('List B'!$F$5:$F$204,IFERROR(MATCH(1,'List B'!$R$5:$R$204,0)+4,"")-4))</f>
        <v/>
      </c>
      <c r="G5" s="50">
        <f>IF(IFERROR(MATCH(1,'List B'!$R$5:$R$204,0)+4,"")="","",INDEX('List B'!$G$5:$G$204,IFERROR(MATCH(1,'List B'!$R$5:$R$204,0)+4,"")-4))</f>
        <v/>
      </c>
      <c r="H5" s="53">
        <f>IF(IFERROR(MATCH(1,'List B'!$R$5:$R$204,0)+4,"")="","",INDEX('List B'!$H$5:$H$204,IFERROR(MATCH(1,'List B'!$R$5:$R$204,0)+4,"")-4))</f>
        <v/>
      </c>
      <c r="I5" s="61" t="n"/>
      <c r="J5" s="61" t="n"/>
    </row>
    <row r="6" ht="17" customHeight="1">
      <c r="A6" s="87">
        <f>IF(IFERROR(MATCH(2,'List B'!$R$5:$R$204,0)+4,"")="","",INDEX('List B'!$A$5:$A$204,IFERROR(MATCH(2,'List B'!$R$5:$R$204,0)+4,"")-4))</f>
        <v/>
      </c>
      <c r="B6" s="53">
        <f>IF(IFERROR(MATCH(2,'List B'!$R$5:$R$204,0)+4,"")="","",INDEX('List B'!$B$5:$B$204,IFERROR(MATCH(2,'List B'!$R$5:$R$204,0)+4,"")-4))</f>
        <v/>
      </c>
      <c r="C6" s="52">
        <f>IF(IFERROR(MATCH(2,'List B'!$R$5:$R$204,0)+4,"")="","",INDEX('List B'!$C$5:$C$204,IFERROR(MATCH(2,'List B'!$R$5:$R$204,0)+4,"")-4))</f>
        <v/>
      </c>
      <c r="D6" s="53">
        <f>IF(IFERROR(MATCH(2,'List B'!$R$5:$R$204,0)+4,"")="","",INDEX('List B'!$D$5:$D$204,IFERROR(MATCH(2,'List B'!$R$5:$R$204,0)+4,"")-4))</f>
        <v/>
      </c>
      <c r="E6" s="53">
        <f>IF(IFERROR(MATCH(2,'List B'!$R$5:$R$204,0)+4,"")="","",INDEX('List B'!$E$5:$E$204,IFERROR(MATCH(2,'List B'!$R$5:$R$204,0)+4,"")-4))</f>
        <v/>
      </c>
      <c r="F6" s="53">
        <f>IF(IFERROR(MATCH(2,'List B'!$R$5:$R$204,0)+4,"")="","",INDEX('List B'!$F$5:$F$204,IFERROR(MATCH(2,'List B'!$R$5:$R$204,0)+4,"")-4))</f>
        <v/>
      </c>
      <c r="G6" s="50">
        <f>IF(IFERROR(MATCH(2,'List B'!$R$5:$R$204,0)+4,"")="","",INDEX('List B'!$G$5:$G$204,IFERROR(MATCH(2,'List B'!$R$5:$R$204,0)+4,"")-4))</f>
        <v/>
      </c>
      <c r="H6" s="53">
        <f>IF(IFERROR(MATCH(2,'List B'!$R$5:$R$204,0)+4,"")="","",INDEX('List B'!$H$5:$H$204,IFERROR(MATCH(2,'List B'!$R$5:$R$204,0)+4,"")-4))</f>
        <v/>
      </c>
      <c r="I6" s="61" t="n"/>
      <c r="J6" s="61" t="n"/>
    </row>
    <row r="7" ht="17" customHeight="1">
      <c r="A7" s="87">
        <f>IF(IFERROR(MATCH(3,'List B'!$R$5:$R$204,0)+4,"")="","",INDEX('List B'!$A$5:$A$204,IFERROR(MATCH(3,'List B'!$R$5:$R$204,0)+4,"")-4))</f>
        <v/>
      </c>
      <c r="B7" s="53">
        <f>IF(IFERROR(MATCH(3,'List B'!$R$5:$R$204,0)+4,"")="","",INDEX('List B'!$B$5:$B$204,IFERROR(MATCH(3,'List B'!$R$5:$R$204,0)+4,"")-4))</f>
        <v/>
      </c>
      <c r="C7" s="52">
        <f>IF(IFERROR(MATCH(3,'List B'!$R$5:$R$204,0)+4,"")="","",INDEX('List B'!$C$5:$C$204,IFERROR(MATCH(3,'List B'!$R$5:$R$204,0)+4,"")-4))</f>
        <v/>
      </c>
      <c r="D7" s="53">
        <f>IF(IFERROR(MATCH(3,'List B'!$R$5:$R$204,0)+4,"")="","",INDEX('List B'!$D$5:$D$204,IFERROR(MATCH(3,'List B'!$R$5:$R$204,0)+4,"")-4))</f>
        <v/>
      </c>
      <c r="E7" s="53">
        <f>IF(IFERROR(MATCH(3,'List B'!$R$5:$R$204,0)+4,"")="","",INDEX('List B'!$E$5:$E$204,IFERROR(MATCH(3,'List B'!$R$5:$R$204,0)+4,"")-4))</f>
        <v/>
      </c>
      <c r="F7" s="53">
        <f>IF(IFERROR(MATCH(3,'List B'!$R$5:$R$204,0)+4,"")="","",INDEX('List B'!$F$5:$F$204,IFERROR(MATCH(3,'List B'!$R$5:$R$204,0)+4,"")-4))</f>
        <v/>
      </c>
      <c r="G7" s="50">
        <f>IF(IFERROR(MATCH(3,'List B'!$R$5:$R$204,0)+4,"")="","",INDEX('List B'!$G$5:$G$204,IFERROR(MATCH(3,'List B'!$R$5:$R$204,0)+4,"")-4))</f>
        <v/>
      </c>
      <c r="H7" s="53">
        <f>IF(IFERROR(MATCH(3,'List B'!$R$5:$R$204,0)+4,"")="","",INDEX('List B'!$H$5:$H$204,IFERROR(MATCH(3,'List B'!$R$5:$R$204,0)+4,"")-4))</f>
        <v/>
      </c>
      <c r="I7" s="61" t="n"/>
      <c r="J7" s="61" t="n"/>
    </row>
    <row r="8" ht="17" customHeight="1">
      <c r="A8" s="87">
        <f>IF(IFERROR(MATCH(4,'List B'!$R$5:$R$204,0)+4,"")="","",INDEX('List B'!$A$5:$A$204,IFERROR(MATCH(4,'List B'!$R$5:$R$204,0)+4,"")-4))</f>
        <v/>
      </c>
      <c r="B8" s="53">
        <f>IF(IFERROR(MATCH(4,'List B'!$R$5:$R$204,0)+4,"")="","",INDEX('List B'!$B$5:$B$204,IFERROR(MATCH(4,'List B'!$R$5:$R$204,0)+4,"")-4))</f>
        <v/>
      </c>
      <c r="C8" s="52">
        <f>IF(IFERROR(MATCH(4,'List B'!$R$5:$R$204,0)+4,"")="","",INDEX('List B'!$C$5:$C$204,IFERROR(MATCH(4,'List B'!$R$5:$R$204,0)+4,"")-4))</f>
        <v/>
      </c>
      <c r="D8" s="53">
        <f>IF(IFERROR(MATCH(4,'List B'!$R$5:$R$204,0)+4,"")="","",INDEX('List B'!$D$5:$D$204,IFERROR(MATCH(4,'List B'!$R$5:$R$204,0)+4,"")-4))</f>
        <v/>
      </c>
      <c r="E8" s="53">
        <f>IF(IFERROR(MATCH(4,'List B'!$R$5:$R$204,0)+4,"")="","",INDEX('List B'!$E$5:$E$204,IFERROR(MATCH(4,'List B'!$R$5:$R$204,0)+4,"")-4))</f>
        <v/>
      </c>
      <c r="F8" s="53">
        <f>IF(IFERROR(MATCH(4,'List B'!$R$5:$R$204,0)+4,"")="","",INDEX('List B'!$F$5:$F$204,IFERROR(MATCH(4,'List B'!$R$5:$R$204,0)+4,"")-4))</f>
        <v/>
      </c>
      <c r="G8" s="50">
        <f>IF(IFERROR(MATCH(4,'List B'!$R$5:$R$204,0)+4,"")="","",INDEX('List B'!$G$5:$G$204,IFERROR(MATCH(4,'List B'!$R$5:$R$204,0)+4,"")-4))</f>
        <v/>
      </c>
      <c r="H8" s="53">
        <f>IF(IFERROR(MATCH(4,'List B'!$R$5:$R$204,0)+4,"")="","",INDEX('List B'!$H$5:$H$204,IFERROR(MATCH(4,'List B'!$R$5:$R$204,0)+4,"")-4))</f>
        <v/>
      </c>
      <c r="I8" s="61" t="n"/>
      <c r="J8" s="61" t="n"/>
    </row>
    <row r="9" ht="17" customHeight="1">
      <c r="A9" s="87">
        <f>IF(IFERROR(MATCH(5,'List B'!$R$5:$R$204,0)+4,"")="","",INDEX('List B'!$A$5:$A$204,IFERROR(MATCH(5,'List B'!$R$5:$R$204,0)+4,"")-4))</f>
        <v/>
      </c>
      <c r="B9" s="53">
        <f>IF(IFERROR(MATCH(5,'List B'!$R$5:$R$204,0)+4,"")="","",INDEX('List B'!$B$5:$B$204,IFERROR(MATCH(5,'List B'!$R$5:$R$204,0)+4,"")-4))</f>
        <v/>
      </c>
      <c r="C9" s="52">
        <f>IF(IFERROR(MATCH(5,'List B'!$R$5:$R$204,0)+4,"")="","",INDEX('List B'!$C$5:$C$204,IFERROR(MATCH(5,'List B'!$R$5:$R$204,0)+4,"")-4))</f>
        <v/>
      </c>
      <c r="D9" s="53">
        <f>IF(IFERROR(MATCH(5,'List B'!$R$5:$R$204,0)+4,"")="","",INDEX('List B'!$D$5:$D$204,IFERROR(MATCH(5,'List B'!$R$5:$R$204,0)+4,"")-4))</f>
        <v/>
      </c>
      <c r="E9" s="53">
        <f>IF(IFERROR(MATCH(5,'List B'!$R$5:$R$204,0)+4,"")="","",INDEX('List B'!$E$5:$E$204,IFERROR(MATCH(5,'List B'!$R$5:$R$204,0)+4,"")-4))</f>
        <v/>
      </c>
      <c r="F9" s="53">
        <f>IF(IFERROR(MATCH(5,'List B'!$R$5:$R$204,0)+4,"")="","",INDEX('List B'!$F$5:$F$204,IFERROR(MATCH(5,'List B'!$R$5:$R$204,0)+4,"")-4))</f>
        <v/>
      </c>
      <c r="G9" s="50">
        <f>IF(IFERROR(MATCH(5,'List B'!$R$5:$R$204,0)+4,"")="","",INDEX('List B'!$G$5:$G$204,IFERROR(MATCH(5,'List B'!$R$5:$R$204,0)+4,"")-4))</f>
        <v/>
      </c>
      <c r="H9" s="53">
        <f>IF(IFERROR(MATCH(5,'List B'!$R$5:$R$204,0)+4,"")="","",INDEX('List B'!$H$5:$H$204,IFERROR(MATCH(5,'List B'!$R$5:$R$204,0)+4,"")-4))</f>
        <v/>
      </c>
      <c r="I9" s="61" t="n"/>
      <c r="J9" s="61" t="n"/>
    </row>
    <row r="10" ht="17" customHeight="1">
      <c r="A10" s="87">
        <f>IF(IFERROR(MATCH(6,'List B'!$R$5:$R$204,0)+4,"")="","",INDEX('List B'!$A$5:$A$204,IFERROR(MATCH(6,'List B'!$R$5:$R$204,0)+4,"")-4))</f>
        <v/>
      </c>
      <c r="B10" s="53">
        <f>IF(IFERROR(MATCH(6,'List B'!$R$5:$R$204,0)+4,"")="","",INDEX('List B'!$B$5:$B$204,IFERROR(MATCH(6,'List B'!$R$5:$R$204,0)+4,"")-4))</f>
        <v/>
      </c>
      <c r="C10" s="52">
        <f>IF(IFERROR(MATCH(6,'List B'!$R$5:$R$204,0)+4,"")="","",INDEX('List B'!$C$5:$C$204,IFERROR(MATCH(6,'List B'!$R$5:$R$204,0)+4,"")-4))</f>
        <v/>
      </c>
      <c r="D10" s="53">
        <f>IF(IFERROR(MATCH(6,'List B'!$R$5:$R$204,0)+4,"")="","",INDEX('List B'!$D$5:$D$204,IFERROR(MATCH(6,'List B'!$R$5:$R$204,0)+4,"")-4))</f>
        <v/>
      </c>
      <c r="E10" s="53">
        <f>IF(IFERROR(MATCH(6,'List B'!$R$5:$R$204,0)+4,"")="","",INDEX('List B'!$E$5:$E$204,IFERROR(MATCH(6,'List B'!$R$5:$R$204,0)+4,"")-4))</f>
        <v/>
      </c>
      <c r="F10" s="53">
        <f>IF(IFERROR(MATCH(6,'List B'!$R$5:$R$204,0)+4,"")="","",INDEX('List B'!$F$5:$F$204,IFERROR(MATCH(6,'List B'!$R$5:$R$204,0)+4,"")-4))</f>
        <v/>
      </c>
      <c r="G10" s="50">
        <f>IF(IFERROR(MATCH(6,'List B'!$R$5:$R$204,0)+4,"")="","",INDEX('List B'!$G$5:$G$204,IFERROR(MATCH(6,'List B'!$R$5:$R$204,0)+4,"")-4))</f>
        <v/>
      </c>
      <c r="H10" s="53">
        <f>IF(IFERROR(MATCH(6,'List B'!$R$5:$R$204,0)+4,"")="","",INDEX('List B'!$H$5:$H$204,IFERROR(MATCH(6,'List B'!$R$5:$R$204,0)+4,"")-4))</f>
        <v/>
      </c>
      <c r="I10" s="61" t="n"/>
      <c r="J10" s="61" t="n"/>
    </row>
    <row r="11" ht="17" customHeight="1">
      <c r="A11" s="87">
        <f>IF(IFERROR(MATCH(7,'List B'!$R$5:$R$204,0)+4,"")="","",INDEX('List B'!$A$5:$A$204,IFERROR(MATCH(7,'List B'!$R$5:$R$204,0)+4,"")-4))</f>
        <v/>
      </c>
      <c r="B11" s="53">
        <f>IF(IFERROR(MATCH(7,'List B'!$R$5:$R$204,0)+4,"")="","",INDEX('List B'!$B$5:$B$204,IFERROR(MATCH(7,'List B'!$R$5:$R$204,0)+4,"")-4))</f>
        <v/>
      </c>
      <c r="C11" s="52">
        <f>IF(IFERROR(MATCH(7,'List B'!$R$5:$R$204,0)+4,"")="","",INDEX('List B'!$C$5:$C$204,IFERROR(MATCH(7,'List B'!$R$5:$R$204,0)+4,"")-4))</f>
        <v/>
      </c>
      <c r="D11" s="53">
        <f>IF(IFERROR(MATCH(7,'List B'!$R$5:$R$204,0)+4,"")="","",INDEX('List B'!$D$5:$D$204,IFERROR(MATCH(7,'List B'!$R$5:$R$204,0)+4,"")-4))</f>
        <v/>
      </c>
      <c r="E11" s="53">
        <f>IF(IFERROR(MATCH(7,'List B'!$R$5:$R$204,0)+4,"")="","",INDEX('List B'!$E$5:$E$204,IFERROR(MATCH(7,'List B'!$R$5:$R$204,0)+4,"")-4))</f>
        <v/>
      </c>
      <c r="F11" s="53">
        <f>IF(IFERROR(MATCH(7,'List B'!$R$5:$R$204,0)+4,"")="","",INDEX('List B'!$F$5:$F$204,IFERROR(MATCH(7,'List B'!$R$5:$R$204,0)+4,"")-4))</f>
        <v/>
      </c>
      <c r="G11" s="50">
        <f>IF(IFERROR(MATCH(7,'List B'!$R$5:$R$204,0)+4,"")="","",INDEX('List B'!$G$5:$G$204,IFERROR(MATCH(7,'List B'!$R$5:$R$204,0)+4,"")-4))</f>
        <v/>
      </c>
      <c r="H11" s="53">
        <f>IF(IFERROR(MATCH(7,'List B'!$R$5:$R$204,0)+4,"")="","",INDEX('List B'!$H$5:$H$204,IFERROR(MATCH(7,'List B'!$R$5:$R$204,0)+4,"")-4))</f>
        <v/>
      </c>
      <c r="I11" s="61" t="n"/>
      <c r="J11" s="61" t="n"/>
    </row>
    <row r="12" ht="17" customHeight="1">
      <c r="A12" s="87">
        <f>IF(IFERROR(MATCH(8,'List B'!$R$5:$R$204,0)+4,"")="","",INDEX('List B'!$A$5:$A$204,IFERROR(MATCH(8,'List B'!$R$5:$R$204,0)+4,"")-4))</f>
        <v/>
      </c>
      <c r="B12" s="53">
        <f>IF(IFERROR(MATCH(8,'List B'!$R$5:$R$204,0)+4,"")="","",INDEX('List B'!$B$5:$B$204,IFERROR(MATCH(8,'List B'!$R$5:$R$204,0)+4,"")-4))</f>
        <v/>
      </c>
      <c r="C12" s="52">
        <f>IF(IFERROR(MATCH(8,'List B'!$R$5:$R$204,0)+4,"")="","",INDEX('List B'!$C$5:$C$204,IFERROR(MATCH(8,'List B'!$R$5:$R$204,0)+4,"")-4))</f>
        <v/>
      </c>
      <c r="D12" s="53">
        <f>IF(IFERROR(MATCH(8,'List B'!$R$5:$R$204,0)+4,"")="","",INDEX('List B'!$D$5:$D$204,IFERROR(MATCH(8,'List B'!$R$5:$R$204,0)+4,"")-4))</f>
        <v/>
      </c>
      <c r="E12" s="53">
        <f>IF(IFERROR(MATCH(8,'List B'!$R$5:$R$204,0)+4,"")="","",INDEX('List B'!$E$5:$E$204,IFERROR(MATCH(8,'List B'!$R$5:$R$204,0)+4,"")-4))</f>
        <v/>
      </c>
      <c r="F12" s="53">
        <f>IF(IFERROR(MATCH(8,'List B'!$R$5:$R$204,0)+4,"")="","",INDEX('List B'!$F$5:$F$204,IFERROR(MATCH(8,'List B'!$R$5:$R$204,0)+4,"")-4))</f>
        <v/>
      </c>
      <c r="G12" s="50">
        <f>IF(IFERROR(MATCH(8,'List B'!$R$5:$R$204,0)+4,"")="","",INDEX('List B'!$G$5:$G$204,IFERROR(MATCH(8,'List B'!$R$5:$R$204,0)+4,"")-4))</f>
        <v/>
      </c>
      <c r="H12" s="53">
        <f>IF(IFERROR(MATCH(8,'List B'!$R$5:$R$204,0)+4,"")="","",INDEX('List B'!$H$5:$H$204,IFERROR(MATCH(8,'List B'!$R$5:$R$204,0)+4,"")-4))</f>
        <v/>
      </c>
      <c r="I12" s="61" t="n"/>
      <c r="J12" s="61" t="n"/>
    </row>
    <row r="13" ht="17" customHeight="1">
      <c r="A13" s="87">
        <f>IF(IFERROR(MATCH(9,'List B'!$R$5:$R$204,0)+4,"")="","",INDEX('List B'!$A$5:$A$204,IFERROR(MATCH(9,'List B'!$R$5:$R$204,0)+4,"")-4))</f>
        <v/>
      </c>
      <c r="B13" s="53">
        <f>IF(IFERROR(MATCH(9,'List B'!$R$5:$R$204,0)+4,"")="","",INDEX('List B'!$B$5:$B$204,IFERROR(MATCH(9,'List B'!$R$5:$R$204,0)+4,"")-4))</f>
        <v/>
      </c>
      <c r="C13" s="52">
        <f>IF(IFERROR(MATCH(9,'List B'!$R$5:$R$204,0)+4,"")="","",INDEX('List B'!$C$5:$C$204,IFERROR(MATCH(9,'List B'!$R$5:$R$204,0)+4,"")-4))</f>
        <v/>
      </c>
      <c r="D13" s="53">
        <f>IF(IFERROR(MATCH(9,'List B'!$R$5:$R$204,0)+4,"")="","",INDEX('List B'!$D$5:$D$204,IFERROR(MATCH(9,'List B'!$R$5:$R$204,0)+4,"")-4))</f>
        <v/>
      </c>
      <c r="E13" s="53">
        <f>IF(IFERROR(MATCH(9,'List B'!$R$5:$R$204,0)+4,"")="","",INDEX('List B'!$E$5:$E$204,IFERROR(MATCH(9,'List B'!$R$5:$R$204,0)+4,"")-4))</f>
        <v/>
      </c>
      <c r="F13" s="53">
        <f>IF(IFERROR(MATCH(9,'List B'!$R$5:$R$204,0)+4,"")="","",INDEX('List B'!$F$5:$F$204,IFERROR(MATCH(9,'List B'!$R$5:$R$204,0)+4,"")-4))</f>
        <v/>
      </c>
      <c r="G13" s="50">
        <f>IF(IFERROR(MATCH(9,'List B'!$R$5:$R$204,0)+4,"")="","",INDEX('List B'!$G$5:$G$204,IFERROR(MATCH(9,'List B'!$R$5:$R$204,0)+4,"")-4))</f>
        <v/>
      </c>
      <c r="H13" s="53">
        <f>IF(IFERROR(MATCH(9,'List B'!$R$5:$R$204,0)+4,"")="","",INDEX('List B'!$H$5:$H$204,IFERROR(MATCH(9,'List B'!$R$5:$R$204,0)+4,"")-4))</f>
        <v/>
      </c>
      <c r="I13" s="61" t="n"/>
      <c r="J13" s="61" t="n"/>
    </row>
    <row r="14" ht="17" customHeight="1">
      <c r="A14" s="87">
        <f>IF(IFERROR(MATCH(10,'List B'!$R$5:$R$204,0)+4,"")="","",INDEX('List B'!$A$5:$A$204,IFERROR(MATCH(10,'List B'!$R$5:$R$204,0)+4,"")-4))</f>
        <v/>
      </c>
      <c r="B14" s="53">
        <f>IF(IFERROR(MATCH(10,'List B'!$R$5:$R$204,0)+4,"")="","",INDEX('List B'!$B$5:$B$204,IFERROR(MATCH(10,'List B'!$R$5:$R$204,0)+4,"")-4))</f>
        <v/>
      </c>
      <c r="C14" s="52">
        <f>IF(IFERROR(MATCH(10,'List B'!$R$5:$R$204,0)+4,"")="","",INDEX('List B'!$C$5:$C$204,IFERROR(MATCH(10,'List B'!$R$5:$R$204,0)+4,"")-4))</f>
        <v/>
      </c>
      <c r="D14" s="53">
        <f>IF(IFERROR(MATCH(10,'List B'!$R$5:$R$204,0)+4,"")="","",INDEX('List B'!$D$5:$D$204,IFERROR(MATCH(10,'List B'!$R$5:$R$204,0)+4,"")-4))</f>
        <v/>
      </c>
      <c r="E14" s="53">
        <f>IF(IFERROR(MATCH(10,'List B'!$R$5:$R$204,0)+4,"")="","",INDEX('List B'!$E$5:$E$204,IFERROR(MATCH(10,'List B'!$R$5:$R$204,0)+4,"")-4))</f>
        <v/>
      </c>
      <c r="F14" s="53">
        <f>IF(IFERROR(MATCH(10,'List B'!$R$5:$R$204,0)+4,"")="","",INDEX('List B'!$F$5:$F$204,IFERROR(MATCH(10,'List B'!$R$5:$R$204,0)+4,"")-4))</f>
        <v/>
      </c>
      <c r="G14" s="50">
        <f>IF(IFERROR(MATCH(10,'List B'!$R$5:$R$204,0)+4,"")="","",INDEX('List B'!$G$5:$G$204,IFERROR(MATCH(10,'List B'!$R$5:$R$204,0)+4,"")-4))</f>
        <v/>
      </c>
      <c r="H14" s="53">
        <f>IF(IFERROR(MATCH(10,'List B'!$R$5:$R$204,0)+4,"")="","",INDEX('List B'!$H$5:$H$204,IFERROR(MATCH(10,'List B'!$R$5:$R$204,0)+4,"")-4))</f>
        <v/>
      </c>
      <c r="I14" s="61" t="n"/>
      <c r="J14" s="61" t="n"/>
    </row>
    <row r="15" ht="17" customHeight="1">
      <c r="A15" s="87">
        <f>IF(IFERROR(MATCH(11,'List B'!$R$5:$R$204,0)+4,"")="","",INDEX('List B'!$A$5:$A$204,IFERROR(MATCH(11,'List B'!$R$5:$R$204,0)+4,"")-4))</f>
        <v/>
      </c>
      <c r="B15" s="53">
        <f>IF(IFERROR(MATCH(11,'List B'!$R$5:$R$204,0)+4,"")="","",INDEX('List B'!$B$5:$B$204,IFERROR(MATCH(11,'List B'!$R$5:$R$204,0)+4,"")-4))</f>
        <v/>
      </c>
      <c r="C15" s="52">
        <f>IF(IFERROR(MATCH(11,'List B'!$R$5:$R$204,0)+4,"")="","",INDEX('List B'!$C$5:$C$204,IFERROR(MATCH(11,'List B'!$R$5:$R$204,0)+4,"")-4))</f>
        <v/>
      </c>
      <c r="D15" s="53">
        <f>IF(IFERROR(MATCH(11,'List B'!$R$5:$R$204,0)+4,"")="","",INDEX('List B'!$D$5:$D$204,IFERROR(MATCH(11,'List B'!$R$5:$R$204,0)+4,"")-4))</f>
        <v/>
      </c>
      <c r="E15" s="53">
        <f>IF(IFERROR(MATCH(11,'List B'!$R$5:$R$204,0)+4,"")="","",INDEX('List B'!$E$5:$E$204,IFERROR(MATCH(11,'List B'!$R$5:$R$204,0)+4,"")-4))</f>
        <v/>
      </c>
      <c r="F15" s="53">
        <f>IF(IFERROR(MATCH(11,'List B'!$R$5:$R$204,0)+4,"")="","",INDEX('List B'!$F$5:$F$204,IFERROR(MATCH(11,'List B'!$R$5:$R$204,0)+4,"")-4))</f>
        <v/>
      </c>
      <c r="G15" s="50">
        <f>IF(IFERROR(MATCH(11,'List B'!$R$5:$R$204,0)+4,"")="","",INDEX('List B'!$G$5:$G$204,IFERROR(MATCH(11,'List B'!$R$5:$R$204,0)+4,"")-4))</f>
        <v/>
      </c>
      <c r="H15" s="53">
        <f>IF(IFERROR(MATCH(11,'List B'!$R$5:$R$204,0)+4,"")="","",INDEX('List B'!$H$5:$H$204,IFERROR(MATCH(11,'List B'!$R$5:$R$204,0)+4,"")-4))</f>
        <v/>
      </c>
      <c r="I15" s="61" t="n"/>
      <c r="J15" s="61" t="n"/>
    </row>
    <row r="16" ht="17" customHeight="1">
      <c r="A16" s="87">
        <f>IF(IFERROR(MATCH(12,'List B'!$R$5:$R$204,0)+4,"")="","",INDEX('List B'!$A$5:$A$204,IFERROR(MATCH(12,'List B'!$R$5:$R$204,0)+4,"")-4))</f>
        <v/>
      </c>
      <c r="B16" s="53">
        <f>IF(IFERROR(MATCH(12,'List B'!$R$5:$R$204,0)+4,"")="","",INDEX('List B'!$B$5:$B$204,IFERROR(MATCH(12,'List B'!$R$5:$R$204,0)+4,"")-4))</f>
        <v/>
      </c>
      <c r="C16" s="52">
        <f>IF(IFERROR(MATCH(12,'List B'!$R$5:$R$204,0)+4,"")="","",INDEX('List B'!$C$5:$C$204,IFERROR(MATCH(12,'List B'!$R$5:$R$204,0)+4,"")-4))</f>
        <v/>
      </c>
      <c r="D16" s="53">
        <f>IF(IFERROR(MATCH(12,'List B'!$R$5:$R$204,0)+4,"")="","",INDEX('List B'!$D$5:$D$204,IFERROR(MATCH(12,'List B'!$R$5:$R$204,0)+4,"")-4))</f>
        <v/>
      </c>
      <c r="E16" s="53">
        <f>IF(IFERROR(MATCH(12,'List B'!$R$5:$R$204,0)+4,"")="","",INDEX('List B'!$E$5:$E$204,IFERROR(MATCH(12,'List B'!$R$5:$R$204,0)+4,"")-4))</f>
        <v/>
      </c>
      <c r="F16" s="53">
        <f>IF(IFERROR(MATCH(12,'List B'!$R$5:$R$204,0)+4,"")="","",INDEX('List B'!$F$5:$F$204,IFERROR(MATCH(12,'List B'!$R$5:$R$204,0)+4,"")-4))</f>
        <v/>
      </c>
      <c r="G16" s="50">
        <f>IF(IFERROR(MATCH(12,'List B'!$R$5:$R$204,0)+4,"")="","",INDEX('List B'!$G$5:$G$204,IFERROR(MATCH(12,'List B'!$R$5:$R$204,0)+4,"")-4))</f>
        <v/>
      </c>
      <c r="H16" s="53">
        <f>IF(IFERROR(MATCH(12,'List B'!$R$5:$R$204,0)+4,"")="","",INDEX('List B'!$H$5:$H$204,IFERROR(MATCH(12,'List B'!$R$5:$R$204,0)+4,"")-4))</f>
        <v/>
      </c>
      <c r="I16" s="61" t="n"/>
      <c r="J16" s="61" t="n"/>
    </row>
    <row r="17" ht="17" customHeight="1">
      <c r="A17" s="87">
        <f>IF(IFERROR(MATCH(13,'List B'!$R$5:$R$204,0)+4,"")="","",INDEX('List B'!$A$5:$A$204,IFERROR(MATCH(13,'List B'!$R$5:$R$204,0)+4,"")-4))</f>
        <v/>
      </c>
      <c r="B17" s="53">
        <f>IF(IFERROR(MATCH(13,'List B'!$R$5:$R$204,0)+4,"")="","",INDEX('List B'!$B$5:$B$204,IFERROR(MATCH(13,'List B'!$R$5:$R$204,0)+4,"")-4))</f>
        <v/>
      </c>
      <c r="C17" s="52">
        <f>IF(IFERROR(MATCH(13,'List B'!$R$5:$R$204,0)+4,"")="","",INDEX('List B'!$C$5:$C$204,IFERROR(MATCH(13,'List B'!$R$5:$R$204,0)+4,"")-4))</f>
        <v/>
      </c>
      <c r="D17" s="53">
        <f>IF(IFERROR(MATCH(13,'List B'!$R$5:$R$204,0)+4,"")="","",INDEX('List B'!$D$5:$D$204,IFERROR(MATCH(13,'List B'!$R$5:$R$204,0)+4,"")-4))</f>
        <v/>
      </c>
      <c r="E17" s="53">
        <f>IF(IFERROR(MATCH(13,'List B'!$R$5:$R$204,0)+4,"")="","",INDEX('List B'!$E$5:$E$204,IFERROR(MATCH(13,'List B'!$R$5:$R$204,0)+4,"")-4))</f>
        <v/>
      </c>
      <c r="F17" s="53">
        <f>IF(IFERROR(MATCH(13,'List B'!$R$5:$R$204,0)+4,"")="","",INDEX('List B'!$F$5:$F$204,IFERROR(MATCH(13,'List B'!$R$5:$R$204,0)+4,"")-4))</f>
        <v/>
      </c>
      <c r="G17" s="50">
        <f>IF(IFERROR(MATCH(13,'List B'!$R$5:$R$204,0)+4,"")="","",INDEX('List B'!$G$5:$G$204,IFERROR(MATCH(13,'List B'!$R$5:$R$204,0)+4,"")-4))</f>
        <v/>
      </c>
      <c r="H17" s="53">
        <f>IF(IFERROR(MATCH(13,'List B'!$R$5:$R$204,0)+4,"")="","",INDEX('List B'!$H$5:$H$204,IFERROR(MATCH(13,'List B'!$R$5:$R$204,0)+4,"")-4))</f>
        <v/>
      </c>
      <c r="I17" s="61" t="n"/>
      <c r="J17" s="61" t="n"/>
    </row>
    <row r="18" ht="17" customHeight="1">
      <c r="A18" s="87">
        <f>IF(IFERROR(MATCH(14,'List B'!$R$5:$R$204,0)+4,"")="","",INDEX('List B'!$A$5:$A$204,IFERROR(MATCH(14,'List B'!$R$5:$R$204,0)+4,"")-4))</f>
        <v/>
      </c>
      <c r="B18" s="53">
        <f>IF(IFERROR(MATCH(14,'List B'!$R$5:$R$204,0)+4,"")="","",INDEX('List B'!$B$5:$B$204,IFERROR(MATCH(14,'List B'!$R$5:$R$204,0)+4,"")-4))</f>
        <v/>
      </c>
      <c r="C18" s="52">
        <f>IF(IFERROR(MATCH(14,'List B'!$R$5:$R$204,0)+4,"")="","",INDEX('List B'!$C$5:$C$204,IFERROR(MATCH(14,'List B'!$R$5:$R$204,0)+4,"")-4))</f>
        <v/>
      </c>
      <c r="D18" s="53">
        <f>IF(IFERROR(MATCH(14,'List B'!$R$5:$R$204,0)+4,"")="","",INDEX('List B'!$D$5:$D$204,IFERROR(MATCH(14,'List B'!$R$5:$R$204,0)+4,"")-4))</f>
        <v/>
      </c>
      <c r="E18" s="53">
        <f>IF(IFERROR(MATCH(14,'List B'!$R$5:$R$204,0)+4,"")="","",INDEX('List B'!$E$5:$E$204,IFERROR(MATCH(14,'List B'!$R$5:$R$204,0)+4,"")-4))</f>
        <v/>
      </c>
      <c r="F18" s="53">
        <f>IF(IFERROR(MATCH(14,'List B'!$R$5:$R$204,0)+4,"")="","",INDEX('List B'!$F$5:$F$204,IFERROR(MATCH(14,'List B'!$R$5:$R$204,0)+4,"")-4))</f>
        <v/>
      </c>
      <c r="G18" s="50">
        <f>IF(IFERROR(MATCH(14,'List B'!$R$5:$R$204,0)+4,"")="","",INDEX('List B'!$G$5:$G$204,IFERROR(MATCH(14,'List B'!$R$5:$R$204,0)+4,"")-4))</f>
        <v/>
      </c>
      <c r="H18" s="53">
        <f>IF(IFERROR(MATCH(14,'List B'!$R$5:$R$204,0)+4,"")="","",INDEX('List B'!$H$5:$H$204,IFERROR(MATCH(14,'List B'!$R$5:$R$204,0)+4,"")-4))</f>
        <v/>
      </c>
      <c r="I18" s="61" t="n"/>
      <c r="J18" s="61" t="n"/>
    </row>
    <row r="19" ht="17" customHeight="1">
      <c r="A19" s="87">
        <f>IF(IFERROR(MATCH(15,'List B'!$R$5:$R$204,0)+4,"")="","",INDEX('List B'!$A$5:$A$204,IFERROR(MATCH(15,'List B'!$R$5:$R$204,0)+4,"")-4))</f>
        <v/>
      </c>
      <c r="B19" s="53">
        <f>IF(IFERROR(MATCH(15,'List B'!$R$5:$R$204,0)+4,"")="","",INDEX('List B'!$B$5:$B$204,IFERROR(MATCH(15,'List B'!$R$5:$R$204,0)+4,"")-4))</f>
        <v/>
      </c>
      <c r="C19" s="52">
        <f>IF(IFERROR(MATCH(15,'List B'!$R$5:$R$204,0)+4,"")="","",INDEX('List B'!$C$5:$C$204,IFERROR(MATCH(15,'List B'!$R$5:$R$204,0)+4,"")-4))</f>
        <v/>
      </c>
      <c r="D19" s="53">
        <f>IF(IFERROR(MATCH(15,'List B'!$R$5:$R$204,0)+4,"")="","",INDEX('List B'!$D$5:$D$204,IFERROR(MATCH(15,'List B'!$R$5:$R$204,0)+4,"")-4))</f>
        <v/>
      </c>
      <c r="E19" s="53">
        <f>IF(IFERROR(MATCH(15,'List B'!$R$5:$R$204,0)+4,"")="","",INDEX('List B'!$E$5:$E$204,IFERROR(MATCH(15,'List B'!$R$5:$R$204,0)+4,"")-4))</f>
        <v/>
      </c>
      <c r="F19" s="53">
        <f>IF(IFERROR(MATCH(15,'List B'!$R$5:$R$204,0)+4,"")="","",INDEX('List B'!$F$5:$F$204,IFERROR(MATCH(15,'List B'!$R$5:$R$204,0)+4,"")-4))</f>
        <v/>
      </c>
      <c r="G19" s="50">
        <f>IF(IFERROR(MATCH(15,'List B'!$R$5:$R$204,0)+4,"")="","",INDEX('List B'!$G$5:$G$204,IFERROR(MATCH(15,'List B'!$R$5:$R$204,0)+4,"")-4))</f>
        <v/>
      </c>
      <c r="H19" s="53">
        <f>IF(IFERROR(MATCH(15,'List B'!$R$5:$R$204,0)+4,"")="","",INDEX('List B'!$H$5:$H$204,IFERROR(MATCH(15,'List B'!$R$5:$R$204,0)+4,"")-4))</f>
        <v/>
      </c>
      <c r="I19" s="61" t="n"/>
      <c r="J19" s="61" t="n"/>
    </row>
    <row r="20" ht="17" customHeight="1">
      <c r="A20" s="87">
        <f>IF(IFERROR(MATCH(16,'List B'!$R$5:$R$204,0)+4,"")="","",INDEX('List B'!$A$5:$A$204,IFERROR(MATCH(16,'List B'!$R$5:$R$204,0)+4,"")-4))</f>
        <v/>
      </c>
      <c r="B20" s="53">
        <f>IF(IFERROR(MATCH(16,'List B'!$R$5:$R$204,0)+4,"")="","",INDEX('List B'!$B$5:$B$204,IFERROR(MATCH(16,'List B'!$R$5:$R$204,0)+4,"")-4))</f>
        <v/>
      </c>
      <c r="C20" s="52">
        <f>IF(IFERROR(MATCH(16,'List B'!$R$5:$R$204,0)+4,"")="","",INDEX('List B'!$C$5:$C$204,IFERROR(MATCH(16,'List B'!$R$5:$R$204,0)+4,"")-4))</f>
        <v/>
      </c>
      <c r="D20" s="53">
        <f>IF(IFERROR(MATCH(16,'List B'!$R$5:$R$204,0)+4,"")="","",INDEX('List B'!$D$5:$D$204,IFERROR(MATCH(16,'List B'!$R$5:$R$204,0)+4,"")-4))</f>
        <v/>
      </c>
      <c r="E20" s="53">
        <f>IF(IFERROR(MATCH(16,'List B'!$R$5:$R$204,0)+4,"")="","",INDEX('List B'!$E$5:$E$204,IFERROR(MATCH(16,'List B'!$R$5:$R$204,0)+4,"")-4))</f>
        <v/>
      </c>
      <c r="F20" s="53">
        <f>IF(IFERROR(MATCH(16,'List B'!$R$5:$R$204,0)+4,"")="","",INDEX('List B'!$F$5:$F$204,IFERROR(MATCH(16,'List B'!$R$5:$R$204,0)+4,"")-4))</f>
        <v/>
      </c>
      <c r="G20" s="50">
        <f>IF(IFERROR(MATCH(16,'List B'!$R$5:$R$204,0)+4,"")="","",INDEX('List B'!$G$5:$G$204,IFERROR(MATCH(16,'List B'!$R$5:$R$204,0)+4,"")-4))</f>
        <v/>
      </c>
      <c r="H20" s="53">
        <f>IF(IFERROR(MATCH(16,'List B'!$R$5:$R$204,0)+4,"")="","",INDEX('List B'!$H$5:$H$204,IFERROR(MATCH(16,'List B'!$R$5:$R$204,0)+4,"")-4))</f>
        <v/>
      </c>
      <c r="I20" s="61" t="n"/>
      <c r="J20" s="61" t="n"/>
    </row>
    <row r="21" ht="17" customHeight="1">
      <c r="A21" s="87">
        <f>IF(IFERROR(MATCH(17,'List B'!$R$5:$R$204,0)+4,"")="","",INDEX('List B'!$A$5:$A$204,IFERROR(MATCH(17,'List B'!$R$5:$R$204,0)+4,"")-4))</f>
        <v/>
      </c>
      <c r="B21" s="53">
        <f>IF(IFERROR(MATCH(17,'List B'!$R$5:$R$204,0)+4,"")="","",INDEX('List B'!$B$5:$B$204,IFERROR(MATCH(17,'List B'!$R$5:$R$204,0)+4,"")-4))</f>
        <v/>
      </c>
      <c r="C21" s="52">
        <f>IF(IFERROR(MATCH(17,'List B'!$R$5:$R$204,0)+4,"")="","",INDEX('List B'!$C$5:$C$204,IFERROR(MATCH(17,'List B'!$R$5:$R$204,0)+4,"")-4))</f>
        <v/>
      </c>
      <c r="D21" s="53">
        <f>IF(IFERROR(MATCH(17,'List B'!$R$5:$R$204,0)+4,"")="","",INDEX('List B'!$D$5:$D$204,IFERROR(MATCH(17,'List B'!$R$5:$R$204,0)+4,"")-4))</f>
        <v/>
      </c>
      <c r="E21" s="53">
        <f>IF(IFERROR(MATCH(17,'List B'!$R$5:$R$204,0)+4,"")="","",INDEX('List B'!$E$5:$E$204,IFERROR(MATCH(17,'List B'!$R$5:$R$204,0)+4,"")-4))</f>
        <v/>
      </c>
      <c r="F21" s="53">
        <f>IF(IFERROR(MATCH(17,'List B'!$R$5:$R$204,0)+4,"")="","",INDEX('List B'!$F$5:$F$204,IFERROR(MATCH(17,'List B'!$R$5:$R$204,0)+4,"")-4))</f>
        <v/>
      </c>
      <c r="G21" s="50">
        <f>IF(IFERROR(MATCH(17,'List B'!$R$5:$R$204,0)+4,"")="","",INDEX('List B'!$G$5:$G$204,IFERROR(MATCH(17,'List B'!$R$5:$R$204,0)+4,"")-4))</f>
        <v/>
      </c>
      <c r="H21" s="53">
        <f>IF(IFERROR(MATCH(17,'List B'!$R$5:$R$204,0)+4,"")="","",INDEX('List B'!$H$5:$H$204,IFERROR(MATCH(17,'List B'!$R$5:$R$204,0)+4,"")-4))</f>
        <v/>
      </c>
      <c r="I21" s="61" t="n"/>
      <c r="J21" s="61" t="n"/>
    </row>
    <row r="22" ht="17" customHeight="1">
      <c r="A22" s="87">
        <f>IF(IFERROR(MATCH(18,'List B'!$R$5:$R$204,0)+4,"")="","",INDEX('List B'!$A$5:$A$204,IFERROR(MATCH(18,'List B'!$R$5:$R$204,0)+4,"")-4))</f>
        <v/>
      </c>
      <c r="B22" s="53">
        <f>IF(IFERROR(MATCH(18,'List B'!$R$5:$R$204,0)+4,"")="","",INDEX('List B'!$B$5:$B$204,IFERROR(MATCH(18,'List B'!$R$5:$R$204,0)+4,"")-4))</f>
        <v/>
      </c>
      <c r="C22" s="52">
        <f>IF(IFERROR(MATCH(18,'List B'!$R$5:$R$204,0)+4,"")="","",INDEX('List B'!$C$5:$C$204,IFERROR(MATCH(18,'List B'!$R$5:$R$204,0)+4,"")-4))</f>
        <v/>
      </c>
      <c r="D22" s="53">
        <f>IF(IFERROR(MATCH(18,'List B'!$R$5:$R$204,0)+4,"")="","",INDEX('List B'!$D$5:$D$204,IFERROR(MATCH(18,'List B'!$R$5:$R$204,0)+4,"")-4))</f>
        <v/>
      </c>
      <c r="E22" s="53">
        <f>IF(IFERROR(MATCH(18,'List B'!$R$5:$R$204,0)+4,"")="","",INDEX('List B'!$E$5:$E$204,IFERROR(MATCH(18,'List B'!$R$5:$R$204,0)+4,"")-4))</f>
        <v/>
      </c>
      <c r="F22" s="53">
        <f>IF(IFERROR(MATCH(18,'List B'!$R$5:$R$204,0)+4,"")="","",INDEX('List B'!$F$5:$F$204,IFERROR(MATCH(18,'List B'!$R$5:$R$204,0)+4,"")-4))</f>
        <v/>
      </c>
      <c r="G22" s="50">
        <f>IF(IFERROR(MATCH(18,'List B'!$R$5:$R$204,0)+4,"")="","",INDEX('List B'!$G$5:$G$204,IFERROR(MATCH(18,'List B'!$R$5:$R$204,0)+4,"")-4))</f>
        <v/>
      </c>
      <c r="H22" s="53">
        <f>IF(IFERROR(MATCH(18,'List B'!$R$5:$R$204,0)+4,"")="","",INDEX('List B'!$H$5:$H$204,IFERROR(MATCH(18,'List B'!$R$5:$R$204,0)+4,"")-4))</f>
        <v/>
      </c>
      <c r="I22" s="61" t="n"/>
      <c r="J22" s="61" t="n"/>
    </row>
    <row r="23" ht="17" customHeight="1">
      <c r="A23" s="87">
        <f>IF(IFERROR(MATCH(19,'List B'!$R$5:$R$204,0)+4,"")="","",INDEX('List B'!$A$5:$A$204,IFERROR(MATCH(19,'List B'!$R$5:$R$204,0)+4,"")-4))</f>
        <v/>
      </c>
      <c r="B23" s="53">
        <f>IF(IFERROR(MATCH(19,'List B'!$R$5:$R$204,0)+4,"")="","",INDEX('List B'!$B$5:$B$204,IFERROR(MATCH(19,'List B'!$R$5:$R$204,0)+4,"")-4))</f>
        <v/>
      </c>
      <c r="C23" s="52">
        <f>IF(IFERROR(MATCH(19,'List B'!$R$5:$R$204,0)+4,"")="","",INDEX('List B'!$C$5:$C$204,IFERROR(MATCH(19,'List B'!$R$5:$R$204,0)+4,"")-4))</f>
        <v/>
      </c>
      <c r="D23" s="53">
        <f>IF(IFERROR(MATCH(19,'List B'!$R$5:$R$204,0)+4,"")="","",INDEX('List B'!$D$5:$D$204,IFERROR(MATCH(19,'List B'!$R$5:$R$204,0)+4,"")-4))</f>
        <v/>
      </c>
      <c r="E23" s="53">
        <f>IF(IFERROR(MATCH(19,'List B'!$R$5:$R$204,0)+4,"")="","",INDEX('List B'!$E$5:$E$204,IFERROR(MATCH(19,'List B'!$R$5:$R$204,0)+4,"")-4))</f>
        <v/>
      </c>
      <c r="F23" s="53">
        <f>IF(IFERROR(MATCH(19,'List B'!$R$5:$R$204,0)+4,"")="","",INDEX('List B'!$F$5:$F$204,IFERROR(MATCH(19,'List B'!$R$5:$R$204,0)+4,"")-4))</f>
        <v/>
      </c>
      <c r="G23" s="50">
        <f>IF(IFERROR(MATCH(19,'List B'!$R$5:$R$204,0)+4,"")="","",INDEX('List B'!$G$5:$G$204,IFERROR(MATCH(19,'List B'!$R$5:$R$204,0)+4,"")-4))</f>
        <v/>
      </c>
      <c r="H23" s="53">
        <f>IF(IFERROR(MATCH(19,'List B'!$R$5:$R$204,0)+4,"")="","",INDEX('List B'!$H$5:$H$204,IFERROR(MATCH(19,'List B'!$R$5:$R$204,0)+4,"")-4))</f>
        <v/>
      </c>
      <c r="I23" s="61" t="n"/>
      <c r="J23" s="61" t="n"/>
    </row>
    <row r="24" ht="17" customHeight="1">
      <c r="A24" s="87">
        <f>IF(IFERROR(MATCH(20,'List B'!$R$5:$R$204,0)+4,"")="","",INDEX('List B'!$A$5:$A$204,IFERROR(MATCH(20,'List B'!$R$5:$R$204,0)+4,"")-4))</f>
        <v/>
      </c>
      <c r="B24" s="53">
        <f>IF(IFERROR(MATCH(20,'List B'!$R$5:$R$204,0)+4,"")="","",INDEX('List B'!$B$5:$B$204,IFERROR(MATCH(20,'List B'!$R$5:$R$204,0)+4,"")-4))</f>
        <v/>
      </c>
      <c r="C24" s="52">
        <f>IF(IFERROR(MATCH(20,'List B'!$R$5:$R$204,0)+4,"")="","",INDEX('List B'!$C$5:$C$204,IFERROR(MATCH(20,'List B'!$R$5:$R$204,0)+4,"")-4))</f>
        <v/>
      </c>
      <c r="D24" s="53">
        <f>IF(IFERROR(MATCH(20,'List B'!$R$5:$R$204,0)+4,"")="","",INDEX('List B'!$D$5:$D$204,IFERROR(MATCH(20,'List B'!$R$5:$R$204,0)+4,"")-4))</f>
        <v/>
      </c>
      <c r="E24" s="53">
        <f>IF(IFERROR(MATCH(20,'List B'!$R$5:$R$204,0)+4,"")="","",INDEX('List B'!$E$5:$E$204,IFERROR(MATCH(20,'List B'!$R$5:$R$204,0)+4,"")-4))</f>
        <v/>
      </c>
      <c r="F24" s="53">
        <f>IF(IFERROR(MATCH(20,'List B'!$R$5:$R$204,0)+4,"")="","",INDEX('List B'!$F$5:$F$204,IFERROR(MATCH(20,'List B'!$R$5:$R$204,0)+4,"")-4))</f>
        <v/>
      </c>
      <c r="G24" s="50">
        <f>IF(IFERROR(MATCH(20,'List B'!$R$5:$R$204,0)+4,"")="","",INDEX('List B'!$G$5:$G$204,IFERROR(MATCH(20,'List B'!$R$5:$R$204,0)+4,"")-4))</f>
        <v/>
      </c>
      <c r="H24" s="53">
        <f>IF(IFERROR(MATCH(20,'List B'!$R$5:$R$204,0)+4,"")="","",INDEX('List B'!$H$5:$H$204,IFERROR(MATCH(20,'List B'!$R$5:$R$204,0)+4,"")-4))</f>
        <v/>
      </c>
      <c r="I24" s="61" t="n"/>
      <c r="J24" s="61" t="n"/>
    </row>
    <row r="25" ht="17" customHeight="1">
      <c r="A25" s="87">
        <f>IF(IFERROR(MATCH(21,'List B'!$R$5:$R$204,0)+4,"")="","",INDEX('List B'!$A$5:$A$204,IFERROR(MATCH(21,'List B'!$R$5:$R$204,0)+4,"")-4))</f>
        <v/>
      </c>
      <c r="B25" s="53">
        <f>IF(IFERROR(MATCH(21,'List B'!$R$5:$R$204,0)+4,"")="","",INDEX('List B'!$B$5:$B$204,IFERROR(MATCH(21,'List B'!$R$5:$R$204,0)+4,"")-4))</f>
        <v/>
      </c>
      <c r="C25" s="52">
        <f>IF(IFERROR(MATCH(21,'List B'!$R$5:$R$204,0)+4,"")="","",INDEX('List B'!$C$5:$C$204,IFERROR(MATCH(21,'List B'!$R$5:$R$204,0)+4,"")-4))</f>
        <v/>
      </c>
      <c r="D25" s="53">
        <f>IF(IFERROR(MATCH(21,'List B'!$R$5:$R$204,0)+4,"")="","",INDEX('List B'!$D$5:$D$204,IFERROR(MATCH(21,'List B'!$R$5:$R$204,0)+4,"")-4))</f>
        <v/>
      </c>
      <c r="E25" s="53">
        <f>IF(IFERROR(MATCH(21,'List B'!$R$5:$R$204,0)+4,"")="","",INDEX('List B'!$E$5:$E$204,IFERROR(MATCH(21,'List B'!$R$5:$R$204,0)+4,"")-4))</f>
        <v/>
      </c>
      <c r="F25" s="53">
        <f>IF(IFERROR(MATCH(21,'List B'!$R$5:$R$204,0)+4,"")="","",INDEX('List B'!$F$5:$F$204,IFERROR(MATCH(21,'List B'!$R$5:$R$204,0)+4,"")-4))</f>
        <v/>
      </c>
      <c r="G25" s="50">
        <f>IF(IFERROR(MATCH(21,'List B'!$R$5:$R$204,0)+4,"")="","",INDEX('List B'!$G$5:$G$204,IFERROR(MATCH(21,'List B'!$R$5:$R$204,0)+4,"")-4))</f>
        <v/>
      </c>
      <c r="H25" s="53">
        <f>IF(IFERROR(MATCH(21,'List B'!$R$5:$R$204,0)+4,"")="","",INDEX('List B'!$H$5:$H$204,IFERROR(MATCH(21,'List B'!$R$5:$R$204,0)+4,"")-4))</f>
        <v/>
      </c>
      <c r="I25" s="61" t="n"/>
      <c r="J25" s="61" t="n"/>
    </row>
    <row r="26" ht="17" customHeight="1">
      <c r="A26" s="87">
        <f>IF(IFERROR(MATCH(22,'List B'!$R$5:$R$204,0)+4,"")="","",INDEX('List B'!$A$5:$A$204,IFERROR(MATCH(22,'List B'!$R$5:$R$204,0)+4,"")-4))</f>
        <v/>
      </c>
      <c r="B26" s="53">
        <f>IF(IFERROR(MATCH(22,'List B'!$R$5:$R$204,0)+4,"")="","",INDEX('List B'!$B$5:$B$204,IFERROR(MATCH(22,'List B'!$R$5:$R$204,0)+4,"")-4))</f>
        <v/>
      </c>
      <c r="C26" s="52">
        <f>IF(IFERROR(MATCH(22,'List B'!$R$5:$R$204,0)+4,"")="","",INDEX('List B'!$C$5:$C$204,IFERROR(MATCH(22,'List B'!$R$5:$R$204,0)+4,"")-4))</f>
        <v/>
      </c>
      <c r="D26" s="53">
        <f>IF(IFERROR(MATCH(22,'List B'!$R$5:$R$204,0)+4,"")="","",INDEX('List B'!$D$5:$D$204,IFERROR(MATCH(22,'List B'!$R$5:$R$204,0)+4,"")-4))</f>
        <v/>
      </c>
      <c r="E26" s="53">
        <f>IF(IFERROR(MATCH(22,'List B'!$R$5:$R$204,0)+4,"")="","",INDEX('List B'!$E$5:$E$204,IFERROR(MATCH(22,'List B'!$R$5:$R$204,0)+4,"")-4))</f>
        <v/>
      </c>
      <c r="F26" s="53">
        <f>IF(IFERROR(MATCH(22,'List B'!$R$5:$R$204,0)+4,"")="","",INDEX('List B'!$F$5:$F$204,IFERROR(MATCH(22,'List B'!$R$5:$R$204,0)+4,"")-4))</f>
        <v/>
      </c>
      <c r="G26" s="50">
        <f>IF(IFERROR(MATCH(22,'List B'!$R$5:$R$204,0)+4,"")="","",INDEX('List B'!$G$5:$G$204,IFERROR(MATCH(22,'List B'!$R$5:$R$204,0)+4,"")-4))</f>
        <v/>
      </c>
      <c r="H26" s="53">
        <f>IF(IFERROR(MATCH(22,'List B'!$R$5:$R$204,0)+4,"")="","",INDEX('List B'!$H$5:$H$204,IFERROR(MATCH(22,'List B'!$R$5:$R$204,0)+4,"")-4))</f>
        <v/>
      </c>
      <c r="I26" s="61" t="n"/>
      <c r="J26" s="61" t="n"/>
    </row>
    <row r="27" ht="17" customHeight="1">
      <c r="A27" s="87">
        <f>IF(IFERROR(MATCH(23,'List B'!$R$5:$R$204,0)+4,"")="","",INDEX('List B'!$A$5:$A$204,IFERROR(MATCH(23,'List B'!$R$5:$R$204,0)+4,"")-4))</f>
        <v/>
      </c>
      <c r="B27" s="53">
        <f>IF(IFERROR(MATCH(23,'List B'!$R$5:$R$204,0)+4,"")="","",INDEX('List B'!$B$5:$B$204,IFERROR(MATCH(23,'List B'!$R$5:$R$204,0)+4,"")-4))</f>
        <v/>
      </c>
      <c r="C27" s="52">
        <f>IF(IFERROR(MATCH(23,'List B'!$R$5:$R$204,0)+4,"")="","",INDEX('List B'!$C$5:$C$204,IFERROR(MATCH(23,'List B'!$R$5:$R$204,0)+4,"")-4))</f>
        <v/>
      </c>
      <c r="D27" s="53">
        <f>IF(IFERROR(MATCH(23,'List B'!$R$5:$R$204,0)+4,"")="","",INDEX('List B'!$D$5:$D$204,IFERROR(MATCH(23,'List B'!$R$5:$R$204,0)+4,"")-4))</f>
        <v/>
      </c>
      <c r="E27" s="53">
        <f>IF(IFERROR(MATCH(23,'List B'!$R$5:$R$204,0)+4,"")="","",INDEX('List B'!$E$5:$E$204,IFERROR(MATCH(23,'List B'!$R$5:$R$204,0)+4,"")-4))</f>
        <v/>
      </c>
      <c r="F27" s="53">
        <f>IF(IFERROR(MATCH(23,'List B'!$R$5:$R$204,0)+4,"")="","",INDEX('List B'!$F$5:$F$204,IFERROR(MATCH(23,'List B'!$R$5:$R$204,0)+4,"")-4))</f>
        <v/>
      </c>
      <c r="G27" s="50">
        <f>IF(IFERROR(MATCH(23,'List B'!$R$5:$R$204,0)+4,"")="","",INDEX('List B'!$G$5:$G$204,IFERROR(MATCH(23,'List B'!$R$5:$R$204,0)+4,"")-4))</f>
        <v/>
      </c>
      <c r="H27" s="53">
        <f>IF(IFERROR(MATCH(23,'List B'!$R$5:$R$204,0)+4,"")="","",INDEX('List B'!$H$5:$H$204,IFERROR(MATCH(23,'List B'!$R$5:$R$204,0)+4,"")-4))</f>
        <v/>
      </c>
      <c r="I27" s="61" t="n"/>
      <c r="J27" s="61" t="n"/>
    </row>
    <row r="28" ht="17" customHeight="1">
      <c r="A28" s="87">
        <f>IF(IFERROR(MATCH(24,'List B'!$R$5:$R$204,0)+4,"")="","",INDEX('List B'!$A$5:$A$204,IFERROR(MATCH(24,'List B'!$R$5:$R$204,0)+4,"")-4))</f>
        <v/>
      </c>
      <c r="B28" s="53">
        <f>IF(IFERROR(MATCH(24,'List B'!$R$5:$R$204,0)+4,"")="","",INDEX('List B'!$B$5:$B$204,IFERROR(MATCH(24,'List B'!$R$5:$R$204,0)+4,"")-4))</f>
        <v/>
      </c>
      <c r="C28" s="52">
        <f>IF(IFERROR(MATCH(24,'List B'!$R$5:$R$204,0)+4,"")="","",INDEX('List B'!$C$5:$C$204,IFERROR(MATCH(24,'List B'!$R$5:$R$204,0)+4,"")-4))</f>
        <v/>
      </c>
      <c r="D28" s="53">
        <f>IF(IFERROR(MATCH(24,'List B'!$R$5:$R$204,0)+4,"")="","",INDEX('List B'!$D$5:$D$204,IFERROR(MATCH(24,'List B'!$R$5:$R$204,0)+4,"")-4))</f>
        <v/>
      </c>
      <c r="E28" s="53">
        <f>IF(IFERROR(MATCH(24,'List B'!$R$5:$R$204,0)+4,"")="","",INDEX('List B'!$E$5:$E$204,IFERROR(MATCH(24,'List B'!$R$5:$R$204,0)+4,"")-4))</f>
        <v/>
      </c>
      <c r="F28" s="53">
        <f>IF(IFERROR(MATCH(24,'List B'!$R$5:$R$204,0)+4,"")="","",INDEX('List B'!$F$5:$F$204,IFERROR(MATCH(24,'List B'!$R$5:$R$204,0)+4,"")-4))</f>
        <v/>
      </c>
      <c r="G28" s="50">
        <f>IF(IFERROR(MATCH(24,'List B'!$R$5:$R$204,0)+4,"")="","",INDEX('List B'!$G$5:$G$204,IFERROR(MATCH(24,'List B'!$R$5:$R$204,0)+4,"")-4))</f>
        <v/>
      </c>
      <c r="H28" s="53">
        <f>IF(IFERROR(MATCH(24,'List B'!$R$5:$R$204,0)+4,"")="","",INDEX('List B'!$H$5:$H$204,IFERROR(MATCH(24,'List B'!$R$5:$R$204,0)+4,"")-4))</f>
        <v/>
      </c>
      <c r="I28" s="61" t="n"/>
      <c r="J28" s="61" t="n"/>
    </row>
    <row r="29" ht="17" customHeight="1">
      <c r="A29" s="87">
        <f>IF(IFERROR(MATCH(25,'List B'!$R$5:$R$204,0)+4,"")="","",INDEX('List B'!$A$5:$A$204,IFERROR(MATCH(25,'List B'!$R$5:$R$204,0)+4,"")-4))</f>
        <v/>
      </c>
      <c r="B29" s="53">
        <f>IF(IFERROR(MATCH(25,'List B'!$R$5:$R$204,0)+4,"")="","",INDEX('List B'!$B$5:$B$204,IFERROR(MATCH(25,'List B'!$R$5:$R$204,0)+4,"")-4))</f>
        <v/>
      </c>
      <c r="C29" s="52">
        <f>IF(IFERROR(MATCH(25,'List B'!$R$5:$R$204,0)+4,"")="","",INDEX('List B'!$C$5:$C$204,IFERROR(MATCH(25,'List B'!$R$5:$R$204,0)+4,"")-4))</f>
        <v/>
      </c>
      <c r="D29" s="53">
        <f>IF(IFERROR(MATCH(25,'List B'!$R$5:$R$204,0)+4,"")="","",INDEX('List B'!$D$5:$D$204,IFERROR(MATCH(25,'List B'!$R$5:$R$204,0)+4,"")-4))</f>
        <v/>
      </c>
      <c r="E29" s="53">
        <f>IF(IFERROR(MATCH(25,'List B'!$R$5:$R$204,0)+4,"")="","",INDEX('List B'!$E$5:$E$204,IFERROR(MATCH(25,'List B'!$R$5:$R$204,0)+4,"")-4))</f>
        <v/>
      </c>
      <c r="F29" s="53">
        <f>IF(IFERROR(MATCH(25,'List B'!$R$5:$R$204,0)+4,"")="","",INDEX('List B'!$F$5:$F$204,IFERROR(MATCH(25,'List B'!$R$5:$R$204,0)+4,"")-4))</f>
        <v/>
      </c>
      <c r="G29" s="50">
        <f>IF(IFERROR(MATCH(25,'List B'!$R$5:$R$204,0)+4,"")="","",INDEX('List B'!$G$5:$G$204,IFERROR(MATCH(25,'List B'!$R$5:$R$204,0)+4,"")-4))</f>
        <v/>
      </c>
      <c r="H29" s="53">
        <f>IF(IFERROR(MATCH(25,'List B'!$R$5:$R$204,0)+4,"")="","",INDEX('List B'!$H$5:$H$204,IFERROR(MATCH(25,'List B'!$R$5:$R$204,0)+4,"")-4))</f>
        <v/>
      </c>
      <c r="I29" s="61" t="n"/>
      <c r="J29" s="61" t="n"/>
    </row>
    <row r="30" ht="17" customHeight="1">
      <c r="A30" s="87">
        <f>IF(IFERROR(MATCH(26,'List B'!$R$5:$R$204,0)+4,"")="","",INDEX('List B'!$A$5:$A$204,IFERROR(MATCH(26,'List B'!$R$5:$R$204,0)+4,"")-4))</f>
        <v/>
      </c>
      <c r="B30" s="53">
        <f>IF(IFERROR(MATCH(26,'List B'!$R$5:$R$204,0)+4,"")="","",INDEX('List B'!$B$5:$B$204,IFERROR(MATCH(26,'List B'!$R$5:$R$204,0)+4,"")-4))</f>
        <v/>
      </c>
      <c r="C30" s="52">
        <f>IF(IFERROR(MATCH(26,'List B'!$R$5:$R$204,0)+4,"")="","",INDEX('List B'!$C$5:$C$204,IFERROR(MATCH(26,'List B'!$R$5:$R$204,0)+4,"")-4))</f>
        <v/>
      </c>
      <c r="D30" s="53">
        <f>IF(IFERROR(MATCH(26,'List B'!$R$5:$R$204,0)+4,"")="","",INDEX('List B'!$D$5:$D$204,IFERROR(MATCH(26,'List B'!$R$5:$R$204,0)+4,"")-4))</f>
        <v/>
      </c>
      <c r="E30" s="53">
        <f>IF(IFERROR(MATCH(26,'List B'!$R$5:$R$204,0)+4,"")="","",INDEX('List B'!$E$5:$E$204,IFERROR(MATCH(26,'List B'!$R$5:$R$204,0)+4,"")-4))</f>
        <v/>
      </c>
      <c r="F30" s="53">
        <f>IF(IFERROR(MATCH(26,'List B'!$R$5:$R$204,0)+4,"")="","",INDEX('List B'!$F$5:$F$204,IFERROR(MATCH(26,'List B'!$R$5:$R$204,0)+4,"")-4))</f>
        <v/>
      </c>
      <c r="G30" s="50">
        <f>IF(IFERROR(MATCH(26,'List B'!$R$5:$R$204,0)+4,"")="","",INDEX('List B'!$G$5:$G$204,IFERROR(MATCH(26,'List B'!$R$5:$R$204,0)+4,"")-4))</f>
        <v/>
      </c>
      <c r="H30" s="53">
        <f>IF(IFERROR(MATCH(26,'List B'!$R$5:$R$204,0)+4,"")="","",INDEX('List B'!$H$5:$H$204,IFERROR(MATCH(26,'List B'!$R$5:$R$204,0)+4,"")-4))</f>
        <v/>
      </c>
      <c r="I30" s="61" t="n"/>
      <c r="J30" s="61" t="n"/>
    </row>
    <row r="31" ht="17" customHeight="1">
      <c r="A31" s="87">
        <f>IF(IFERROR(MATCH(27,'List B'!$R$5:$R$204,0)+4,"")="","",INDEX('List B'!$A$5:$A$204,IFERROR(MATCH(27,'List B'!$R$5:$R$204,0)+4,"")-4))</f>
        <v/>
      </c>
      <c r="B31" s="53">
        <f>IF(IFERROR(MATCH(27,'List B'!$R$5:$R$204,0)+4,"")="","",INDEX('List B'!$B$5:$B$204,IFERROR(MATCH(27,'List B'!$R$5:$R$204,0)+4,"")-4))</f>
        <v/>
      </c>
      <c r="C31" s="52">
        <f>IF(IFERROR(MATCH(27,'List B'!$R$5:$R$204,0)+4,"")="","",INDEX('List B'!$C$5:$C$204,IFERROR(MATCH(27,'List B'!$R$5:$R$204,0)+4,"")-4))</f>
        <v/>
      </c>
      <c r="D31" s="53">
        <f>IF(IFERROR(MATCH(27,'List B'!$R$5:$R$204,0)+4,"")="","",INDEX('List B'!$D$5:$D$204,IFERROR(MATCH(27,'List B'!$R$5:$R$204,0)+4,"")-4))</f>
        <v/>
      </c>
      <c r="E31" s="53">
        <f>IF(IFERROR(MATCH(27,'List B'!$R$5:$R$204,0)+4,"")="","",INDEX('List B'!$E$5:$E$204,IFERROR(MATCH(27,'List B'!$R$5:$R$204,0)+4,"")-4))</f>
        <v/>
      </c>
      <c r="F31" s="53">
        <f>IF(IFERROR(MATCH(27,'List B'!$R$5:$R$204,0)+4,"")="","",INDEX('List B'!$F$5:$F$204,IFERROR(MATCH(27,'List B'!$R$5:$R$204,0)+4,"")-4))</f>
        <v/>
      </c>
      <c r="G31" s="50">
        <f>IF(IFERROR(MATCH(27,'List B'!$R$5:$R$204,0)+4,"")="","",INDEX('List B'!$G$5:$G$204,IFERROR(MATCH(27,'List B'!$R$5:$R$204,0)+4,"")-4))</f>
        <v/>
      </c>
      <c r="H31" s="53">
        <f>IF(IFERROR(MATCH(27,'List B'!$R$5:$R$204,0)+4,"")="","",INDEX('List B'!$H$5:$H$204,IFERROR(MATCH(27,'List B'!$R$5:$R$204,0)+4,"")-4))</f>
        <v/>
      </c>
      <c r="I31" s="61" t="n"/>
      <c r="J31" s="61" t="n"/>
    </row>
    <row r="32" ht="17" customHeight="1">
      <c r="A32" s="87">
        <f>IF(IFERROR(MATCH(28,'List B'!$R$5:$R$204,0)+4,"")="","",INDEX('List B'!$A$5:$A$204,IFERROR(MATCH(28,'List B'!$R$5:$R$204,0)+4,"")-4))</f>
        <v/>
      </c>
      <c r="B32" s="53">
        <f>IF(IFERROR(MATCH(28,'List B'!$R$5:$R$204,0)+4,"")="","",INDEX('List B'!$B$5:$B$204,IFERROR(MATCH(28,'List B'!$R$5:$R$204,0)+4,"")-4))</f>
        <v/>
      </c>
      <c r="C32" s="52">
        <f>IF(IFERROR(MATCH(28,'List B'!$R$5:$R$204,0)+4,"")="","",INDEX('List B'!$C$5:$C$204,IFERROR(MATCH(28,'List B'!$R$5:$R$204,0)+4,"")-4))</f>
        <v/>
      </c>
      <c r="D32" s="53">
        <f>IF(IFERROR(MATCH(28,'List B'!$R$5:$R$204,0)+4,"")="","",INDEX('List B'!$D$5:$D$204,IFERROR(MATCH(28,'List B'!$R$5:$R$204,0)+4,"")-4))</f>
        <v/>
      </c>
      <c r="E32" s="53">
        <f>IF(IFERROR(MATCH(28,'List B'!$R$5:$R$204,0)+4,"")="","",INDEX('List B'!$E$5:$E$204,IFERROR(MATCH(28,'List B'!$R$5:$R$204,0)+4,"")-4))</f>
        <v/>
      </c>
      <c r="F32" s="53">
        <f>IF(IFERROR(MATCH(28,'List B'!$R$5:$R$204,0)+4,"")="","",INDEX('List B'!$F$5:$F$204,IFERROR(MATCH(28,'List B'!$R$5:$R$204,0)+4,"")-4))</f>
        <v/>
      </c>
      <c r="G32" s="50">
        <f>IF(IFERROR(MATCH(28,'List B'!$R$5:$R$204,0)+4,"")="","",INDEX('List B'!$G$5:$G$204,IFERROR(MATCH(28,'List B'!$R$5:$R$204,0)+4,"")-4))</f>
        <v/>
      </c>
      <c r="H32" s="53">
        <f>IF(IFERROR(MATCH(28,'List B'!$R$5:$R$204,0)+4,"")="","",INDEX('List B'!$H$5:$H$204,IFERROR(MATCH(28,'List B'!$R$5:$R$204,0)+4,"")-4))</f>
        <v/>
      </c>
      <c r="I32" s="61" t="n"/>
      <c r="J32" s="61" t="n"/>
    </row>
    <row r="33" ht="17" customHeight="1">
      <c r="A33" s="87">
        <f>IF(IFERROR(MATCH(29,'List B'!$R$5:$R$204,0)+4,"")="","",INDEX('List B'!$A$5:$A$204,IFERROR(MATCH(29,'List B'!$R$5:$R$204,0)+4,"")-4))</f>
        <v/>
      </c>
      <c r="B33" s="53">
        <f>IF(IFERROR(MATCH(29,'List B'!$R$5:$R$204,0)+4,"")="","",INDEX('List B'!$B$5:$B$204,IFERROR(MATCH(29,'List B'!$R$5:$R$204,0)+4,"")-4))</f>
        <v/>
      </c>
      <c r="C33" s="52">
        <f>IF(IFERROR(MATCH(29,'List B'!$R$5:$R$204,0)+4,"")="","",INDEX('List B'!$C$5:$C$204,IFERROR(MATCH(29,'List B'!$R$5:$R$204,0)+4,"")-4))</f>
        <v/>
      </c>
      <c r="D33" s="53">
        <f>IF(IFERROR(MATCH(29,'List B'!$R$5:$R$204,0)+4,"")="","",INDEX('List B'!$D$5:$D$204,IFERROR(MATCH(29,'List B'!$R$5:$R$204,0)+4,"")-4))</f>
        <v/>
      </c>
      <c r="E33" s="53">
        <f>IF(IFERROR(MATCH(29,'List B'!$R$5:$R$204,0)+4,"")="","",INDEX('List B'!$E$5:$E$204,IFERROR(MATCH(29,'List B'!$R$5:$R$204,0)+4,"")-4))</f>
        <v/>
      </c>
      <c r="F33" s="53">
        <f>IF(IFERROR(MATCH(29,'List B'!$R$5:$R$204,0)+4,"")="","",INDEX('List B'!$F$5:$F$204,IFERROR(MATCH(29,'List B'!$R$5:$R$204,0)+4,"")-4))</f>
        <v/>
      </c>
      <c r="G33" s="50">
        <f>IF(IFERROR(MATCH(29,'List B'!$R$5:$R$204,0)+4,"")="","",INDEX('List B'!$G$5:$G$204,IFERROR(MATCH(29,'List B'!$R$5:$R$204,0)+4,"")-4))</f>
        <v/>
      </c>
      <c r="H33" s="53">
        <f>IF(IFERROR(MATCH(29,'List B'!$R$5:$R$204,0)+4,"")="","",INDEX('List B'!$H$5:$H$204,IFERROR(MATCH(29,'List B'!$R$5:$R$204,0)+4,"")-4))</f>
        <v/>
      </c>
      <c r="I33" s="61" t="n"/>
      <c r="J33" s="61" t="n"/>
    </row>
    <row r="34" ht="17" customHeight="1">
      <c r="A34" s="87">
        <f>IF(IFERROR(MATCH(30,'List B'!$R$5:$R$204,0)+4,"")="","",INDEX('List B'!$A$5:$A$204,IFERROR(MATCH(30,'List B'!$R$5:$R$204,0)+4,"")-4))</f>
        <v/>
      </c>
      <c r="B34" s="53">
        <f>IF(IFERROR(MATCH(30,'List B'!$R$5:$R$204,0)+4,"")="","",INDEX('List B'!$B$5:$B$204,IFERROR(MATCH(30,'List B'!$R$5:$R$204,0)+4,"")-4))</f>
        <v/>
      </c>
      <c r="C34" s="52">
        <f>IF(IFERROR(MATCH(30,'List B'!$R$5:$R$204,0)+4,"")="","",INDEX('List B'!$C$5:$C$204,IFERROR(MATCH(30,'List B'!$R$5:$R$204,0)+4,"")-4))</f>
        <v/>
      </c>
      <c r="D34" s="53">
        <f>IF(IFERROR(MATCH(30,'List B'!$R$5:$R$204,0)+4,"")="","",INDEX('List B'!$D$5:$D$204,IFERROR(MATCH(30,'List B'!$R$5:$R$204,0)+4,"")-4))</f>
        <v/>
      </c>
      <c r="E34" s="53">
        <f>IF(IFERROR(MATCH(30,'List B'!$R$5:$R$204,0)+4,"")="","",INDEX('List B'!$E$5:$E$204,IFERROR(MATCH(30,'List B'!$R$5:$R$204,0)+4,"")-4))</f>
        <v/>
      </c>
      <c r="F34" s="53">
        <f>IF(IFERROR(MATCH(30,'List B'!$R$5:$R$204,0)+4,"")="","",INDEX('List B'!$F$5:$F$204,IFERROR(MATCH(30,'List B'!$R$5:$R$204,0)+4,"")-4))</f>
        <v/>
      </c>
      <c r="G34" s="50">
        <f>IF(IFERROR(MATCH(30,'List B'!$R$5:$R$204,0)+4,"")="","",INDEX('List B'!$G$5:$G$204,IFERROR(MATCH(30,'List B'!$R$5:$R$204,0)+4,"")-4))</f>
        <v/>
      </c>
      <c r="H34" s="53">
        <f>IF(IFERROR(MATCH(30,'List B'!$R$5:$R$204,0)+4,"")="","",INDEX('List B'!$H$5:$H$204,IFERROR(MATCH(30,'List B'!$R$5:$R$204,0)+4,"")-4))</f>
        <v/>
      </c>
      <c r="I34" s="61" t="n"/>
      <c r="J34" s="61" t="n"/>
    </row>
    <row r="35" ht="17" customHeight="1">
      <c r="A35" s="87">
        <f>IF(IFERROR(MATCH(31,'List B'!$R$5:$R$204,0)+4,"")="","",INDEX('List B'!$A$5:$A$204,IFERROR(MATCH(31,'List B'!$R$5:$R$204,0)+4,"")-4))</f>
        <v/>
      </c>
      <c r="B35" s="53">
        <f>IF(IFERROR(MATCH(31,'List B'!$R$5:$R$204,0)+4,"")="","",INDEX('List B'!$B$5:$B$204,IFERROR(MATCH(31,'List B'!$R$5:$R$204,0)+4,"")-4))</f>
        <v/>
      </c>
      <c r="C35" s="52">
        <f>IF(IFERROR(MATCH(31,'List B'!$R$5:$R$204,0)+4,"")="","",INDEX('List B'!$C$5:$C$204,IFERROR(MATCH(31,'List B'!$R$5:$R$204,0)+4,"")-4))</f>
        <v/>
      </c>
      <c r="D35" s="53">
        <f>IF(IFERROR(MATCH(31,'List B'!$R$5:$R$204,0)+4,"")="","",INDEX('List B'!$D$5:$D$204,IFERROR(MATCH(31,'List B'!$R$5:$R$204,0)+4,"")-4))</f>
        <v/>
      </c>
      <c r="E35" s="53">
        <f>IF(IFERROR(MATCH(31,'List B'!$R$5:$R$204,0)+4,"")="","",INDEX('List B'!$E$5:$E$204,IFERROR(MATCH(31,'List B'!$R$5:$R$204,0)+4,"")-4))</f>
        <v/>
      </c>
      <c r="F35" s="53">
        <f>IF(IFERROR(MATCH(31,'List B'!$R$5:$R$204,0)+4,"")="","",INDEX('List B'!$F$5:$F$204,IFERROR(MATCH(31,'List B'!$R$5:$R$204,0)+4,"")-4))</f>
        <v/>
      </c>
      <c r="G35" s="50">
        <f>IF(IFERROR(MATCH(31,'List B'!$R$5:$R$204,0)+4,"")="","",INDEX('List B'!$G$5:$G$204,IFERROR(MATCH(31,'List B'!$R$5:$R$204,0)+4,"")-4))</f>
        <v/>
      </c>
      <c r="H35" s="53">
        <f>IF(IFERROR(MATCH(31,'List B'!$R$5:$R$204,0)+4,"")="","",INDEX('List B'!$H$5:$H$204,IFERROR(MATCH(31,'List B'!$R$5:$R$204,0)+4,"")-4))</f>
        <v/>
      </c>
      <c r="I35" s="61" t="n"/>
      <c r="J35" s="61" t="n"/>
    </row>
    <row r="36" ht="17" customHeight="1">
      <c r="A36" s="87">
        <f>IF(IFERROR(MATCH(32,'List B'!$R$5:$R$204,0)+4,"")="","",INDEX('List B'!$A$5:$A$204,IFERROR(MATCH(32,'List B'!$R$5:$R$204,0)+4,"")-4))</f>
        <v/>
      </c>
      <c r="B36" s="53">
        <f>IF(IFERROR(MATCH(32,'List B'!$R$5:$R$204,0)+4,"")="","",INDEX('List B'!$B$5:$B$204,IFERROR(MATCH(32,'List B'!$R$5:$R$204,0)+4,"")-4))</f>
        <v/>
      </c>
      <c r="C36" s="52">
        <f>IF(IFERROR(MATCH(32,'List B'!$R$5:$R$204,0)+4,"")="","",INDEX('List B'!$C$5:$C$204,IFERROR(MATCH(32,'List B'!$R$5:$R$204,0)+4,"")-4))</f>
        <v/>
      </c>
      <c r="D36" s="53">
        <f>IF(IFERROR(MATCH(32,'List B'!$R$5:$R$204,0)+4,"")="","",INDEX('List B'!$D$5:$D$204,IFERROR(MATCH(32,'List B'!$R$5:$R$204,0)+4,"")-4))</f>
        <v/>
      </c>
      <c r="E36" s="53">
        <f>IF(IFERROR(MATCH(32,'List B'!$R$5:$R$204,0)+4,"")="","",INDEX('List B'!$E$5:$E$204,IFERROR(MATCH(32,'List B'!$R$5:$R$204,0)+4,"")-4))</f>
        <v/>
      </c>
      <c r="F36" s="53">
        <f>IF(IFERROR(MATCH(32,'List B'!$R$5:$R$204,0)+4,"")="","",INDEX('List B'!$F$5:$F$204,IFERROR(MATCH(32,'List B'!$R$5:$R$204,0)+4,"")-4))</f>
        <v/>
      </c>
      <c r="G36" s="50">
        <f>IF(IFERROR(MATCH(32,'List B'!$R$5:$R$204,0)+4,"")="","",INDEX('List B'!$G$5:$G$204,IFERROR(MATCH(32,'List B'!$R$5:$R$204,0)+4,"")-4))</f>
        <v/>
      </c>
      <c r="H36" s="53">
        <f>IF(IFERROR(MATCH(32,'List B'!$R$5:$R$204,0)+4,"")="","",INDEX('List B'!$H$5:$H$204,IFERROR(MATCH(32,'List B'!$R$5:$R$204,0)+4,"")-4))</f>
        <v/>
      </c>
      <c r="I36" s="61" t="n"/>
      <c r="J36" s="61" t="n"/>
    </row>
    <row r="37" ht="17" customHeight="1">
      <c r="A37" s="87">
        <f>IF(IFERROR(MATCH(33,'List B'!$R$5:$R$204,0)+4,"")="","",INDEX('List B'!$A$5:$A$204,IFERROR(MATCH(33,'List B'!$R$5:$R$204,0)+4,"")-4))</f>
        <v/>
      </c>
      <c r="B37" s="53">
        <f>IF(IFERROR(MATCH(33,'List B'!$R$5:$R$204,0)+4,"")="","",INDEX('List B'!$B$5:$B$204,IFERROR(MATCH(33,'List B'!$R$5:$R$204,0)+4,"")-4))</f>
        <v/>
      </c>
      <c r="C37" s="52">
        <f>IF(IFERROR(MATCH(33,'List B'!$R$5:$R$204,0)+4,"")="","",INDEX('List B'!$C$5:$C$204,IFERROR(MATCH(33,'List B'!$R$5:$R$204,0)+4,"")-4))</f>
        <v/>
      </c>
      <c r="D37" s="53">
        <f>IF(IFERROR(MATCH(33,'List B'!$R$5:$R$204,0)+4,"")="","",INDEX('List B'!$D$5:$D$204,IFERROR(MATCH(33,'List B'!$R$5:$R$204,0)+4,"")-4))</f>
        <v/>
      </c>
      <c r="E37" s="53">
        <f>IF(IFERROR(MATCH(33,'List B'!$R$5:$R$204,0)+4,"")="","",INDEX('List B'!$E$5:$E$204,IFERROR(MATCH(33,'List B'!$R$5:$R$204,0)+4,"")-4))</f>
        <v/>
      </c>
      <c r="F37" s="53">
        <f>IF(IFERROR(MATCH(33,'List B'!$R$5:$R$204,0)+4,"")="","",INDEX('List B'!$F$5:$F$204,IFERROR(MATCH(33,'List B'!$R$5:$R$204,0)+4,"")-4))</f>
        <v/>
      </c>
      <c r="G37" s="50">
        <f>IF(IFERROR(MATCH(33,'List B'!$R$5:$R$204,0)+4,"")="","",INDEX('List B'!$G$5:$G$204,IFERROR(MATCH(33,'List B'!$R$5:$R$204,0)+4,"")-4))</f>
        <v/>
      </c>
      <c r="H37" s="53">
        <f>IF(IFERROR(MATCH(33,'List B'!$R$5:$R$204,0)+4,"")="","",INDEX('List B'!$H$5:$H$204,IFERROR(MATCH(33,'List B'!$R$5:$R$204,0)+4,"")-4))</f>
        <v/>
      </c>
      <c r="I37" s="61" t="n"/>
      <c r="J37" s="61" t="n"/>
    </row>
    <row r="38" ht="17" customHeight="1">
      <c r="A38" s="87">
        <f>IF(IFERROR(MATCH(34,'List B'!$R$5:$R$204,0)+4,"")="","",INDEX('List B'!$A$5:$A$204,IFERROR(MATCH(34,'List B'!$R$5:$R$204,0)+4,"")-4))</f>
        <v/>
      </c>
      <c r="B38" s="53">
        <f>IF(IFERROR(MATCH(34,'List B'!$R$5:$R$204,0)+4,"")="","",INDEX('List B'!$B$5:$B$204,IFERROR(MATCH(34,'List B'!$R$5:$R$204,0)+4,"")-4))</f>
        <v/>
      </c>
      <c r="C38" s="52">
        <f>IF(IFERROR(MATCH(34,'List B'!$R$5:$R$204,0)+4,"")="","",INDEX('List B'!$C$5:$C$204,IFERROR(MATCH(34,'List B'!$R$5:$R$204,0)+4,"")-4))</f>
        <v/>
      </c>
      <c r="D38" s="53">
        <f>IF(IFERROR(MATCH(34,'List B'!$R$5:$R$204,0)+4,"")="","",INDEX('List B'!$D$5:$D$204,IFERROR(MATCH(34,'List B'!$R$5:$R$204,0)+4,"")-4))</f>
        <v/>
      </c>
      <c r="E38" s="53">
        <f>IF(IFERROR(MATCH(34,'List B'!$R$5:$R$204,0)+4,"")="","",INDEX('List B'!$E$5:$E$204,IFERROR(MATCH(34,'List B'!$R$5:$R$204,0)+4,"")-4))</f>
        <v/>
      </c>
      <c r="F38" s="53">
        <f>IF(IFERROR(MATCH(34,'List B'!$R$5:$R$204,0)+4,"")="","",INDEX('List B'!$F$5:$F$204,IFERROR(MATCH(34,'List B'!$R$5:$R$204,0)+4,"")-4))</f>
        <v/>
      </c>
      <c r="G38" s="50">
        <f>IF(IFERROR(MATCH(34,'List B'!$R$5:$R$204,0)+4,"")="","",INDEX('List B'!$G$5:$G$204,IFERROR(MATCH(34,'List B'!$R$5:$R$204,0)+4,"")-4))</f>
        <v/>
      </c>
      <c r="H38" s="53">
        <f>IF(IFERROR(MATCH(34,'List B'!$R$5:$R$204,0)+4,"")="","",INDEX('List B'!$H$5:$H$204,IFERROR(MATCH(34,'List B'!$R$5:$R$204,0)+4,"")-4))</f>
        <v/>
      </c>
      <c r="I38" s="61" t="n"/>
      <c r="J38" s="61" t="n"/>
    </row>
    <row r="39" ht="17" customHeight="1">
      <c r="A39" s="87">
        <f>IF(IFERROR(MATCH(35,'List B'!$R$5:$R$204,0)+4,"")="","",INDEX('List B'!$A$5:$A$204,IFERROR(MATCH(35,'List B'!$R$5:$R$204,0)+4,"")-4))</f>
        <v/>
      </c>
      <c r="B39" s="53">
        <f>IF(IFERROR(MATCH(35,'List B'!$R$5:$R$204,0)+4,"")="","",INDEX('List B'!$B$5:$B$204,IFERROR(MATCH(35,'List B'!$R$5:$R$204,0)+4,"")-4))</f>
        <v/>
      </c>
      <c r="C39" s="52">
        <f>IF(IFERROR(MATCH(35,'List B'!$R$5:$R$204,0)+4,"")="","",INDEX('List B'!$C$5:$C$204,IFERROR(MATCH(35,'List B'!$R$5:$R$204,0)+4,"")-4))</f>
        <v/>
      </c>
      <c r="D39" s="53">
        <f>IF(IFERROR(MATCH(35,'List B'!$R$5:$R$204,0)+4,"")="","",INDEX('List B'!$D$5:$D$204,IFERROR(MATCH(35,'List B'!$R$5:$R$204,0)+4,"")-4))</f>
        <v/>
      </c>
      <c r="E39" s="53">
        <f>IF(IFERROR(MATCH(35,'List B'!$R$5:$R$204,0)+4,"")="","",INDEX('List B'!$E$5:$E$204,IFERROR(MATCH(35,'List B'!$R$5:$R$204,0)+4,"")-4))</f>
        <v/>
      </c>
      <c r="F39" s="53">
        <f>IF(IFERROR(MATCH(35,'List B'!$R$5:$R$204,0)+4,"")="","",INDEX('List B'!$F$5:$F$204,IFERROR(MATCH(35,'List B'!$R$5:$R$204,0)+4,"")-4))</f>
        <v/>
      </c>
      <c r="G39" s="50">
        <f>IF(IFERROR(MATCH(35,'List B'!$R$5:$R$204,0)+4,"")="","",INDEX('List B'!$G$5:$G$204,IFERROR(MATCH(35,'List B'!$R$5:$R$204,0)+4,"")-4))</f>
        <v/>
      </c>
      <c r="H39" s="53">
        <f>IF(IFERROR(MATCH(35,'List B'!$R$5:$R$204,0)+4,"")="","",INDEX('List B'!$H$5:$H$204,IFERROR(MATCH(35,'List B'!$R$5:$R$204,0)+4,"")-4))</f>
        <v/>
      </c>
      <c r="I39" s="61" t="n"/>
      <c r="J39" s="61" t="n"/>
    </row>
    <row r="40" ht="17" customHeight="1">
      <c r="A40" s="87">
        <f>IF(IFERROR(MATCH(36,'List B'!$R$5:$R$204,0)+4,"")="","",INDEX('List B'!$A$5:$A$204,IFERROR(MATCH(36,'List B'!$R$5:$R$204,0)+4,"")-4))</f>
        <v/>
      </c>
      <c r="B40" s="53">
        <f>IF(IFERROR(MATCH(36,'List B'!$R$5:$R$204,0)+4,"")="","",INDEX('List B'!$B$5:$B$204,IFERROR(MATCH(36,'List B'!$R$5:$R$204,0)+4,"")-4))</f>
        <v/>
      </c>
      <c r="C40" s="52">
        <f>IF(IFERROR(MATCH(36,'List B'!$R$5:$R$204,0)+4,"")="","",INDEX('List B'!$C$5:$C$204,IFERROR(MATCH(36,'List B'!$R$5:$R$204,0)+4,"")-4))</f>
        <v/>
      </c>
      <c r="D40" s="53">
        <f>IF(IFERROR(MATCH(36,'List B'!$R$5:$R$204,0)+4,"")="","",INDEX('List B'!$D$5:$D$204,IFERROR(MATCH(36,'List B'!$R$5:$R$204,0)+4,"")-4))</f>
        <v/>
      </c>
      <c r="E40" s="53">
        <f>IF(IFERROR(MATCH(36,'List B'!$R$5:$R$204,0)+4,"")="","",INDEX('List B'!$E$5:$E$204,IFERROR(MATCH(36,'List B'!$R$5:$R$204,0)+4,"")-4))</f>
        <v/>
      </c>
      <c r="F40" s="53">
        <f>IF(IFERROR(MATCH(36,'List B'!$R$5:$R$204,0)+4,"")="","",INDEX('List B'!$F$5:$F$204,IFERROR(MATCH(36,'List B'!$R$5:$R$204,0)+4,"")-4))</f>
        <v/>
      </c>
      <c r="G40" s="50">
        <f>IF(IFERROR(MATCH(36,'List B'!$R$5:$R$204,0)+4,"")="","",INDEX('List B'!$G$5:$G$204,IFERROR(MATCH(36,'List B'!$R$5:$R$204,0)+4,"")-4))</f>
        <v/>
      </c>
      <c r="H40" s="53">
        <f>IF(IFERROR(MATCH(36,'List B'!$R$5:$R$204,0)+4,"")="","",INDEX('List B'!$H$5:$H$204,IFERROR(MATCH(36,'List B'!$R$5:$R$204,0)+4,"")-4))</f>
        <v/>
      </c>
      <c r="I40" s="61" t="n"/>
      <c r="J40" s="61" t="n"/>
    </row>
    <row r="41" ht="17" customHeight="1">
      <c r="A41" s="87">
        <f>IF(IFERROR(MATCH(37,'List B'!$R$5:$R$204,0)+4,"")="","",INDEX('List B'!$A$5:$A$204,IFERROR(MATCH(37,'List B'!$R$5:$R$204,0)+4,"")-4))</f>
        <v/>
      </c>
      <c r="B41" s="53">
        <f>IF(IFERROR(MATCH(37,'List B'!$R$5:$R$204,0)+4,"")="","",INDEX('List B'!$B$5:$B$204,IFERROR(MATCH(37,'List B'!$R$5:$R$204,0)+4,"")-4))</f>
        <v/>
      </c>
      <c r="C41" s="52">
        <f>IF(IFERROR(MATCH(37,'List B'!$R$5:$R$204,0)+4,"")="","",INDEX('List B'!$C$5:$C$204,IFERROR(MATCH(37,'List B'!$R$5:$R$204,0)+4,"")-4))</f>
        <v/>
      </c>
      <c r="D41" s="53">
        <f>IF(IFERROR(MATCH(37,'List B'!$R$5:$R$204,0)+4,"")="","",INDEX('List B'!$D$5:$D$204,IFERROR(MATCH(37,'List B'!$R$5:$R$204,0)+4,"")-4))</f>
        <v/>
      </c>
      <c r="E41" s="53">
        <f>IF(IFERROR(MATCH(37,'List B'!$R$5:$R$204,0)+4,"")="","",INDEX('List B'!$E$5:$E$204,IFERROR(MATCH(37,'List B'!$R$5:$R$204,0)+4,"")-4))</f>
        <v/>
      </c>
      <c r="F41" s="53">
        <f>IF(IFERROR(MATCH(37,'List B'!$R$5:$R$204,0)+4,"")="","",INDEX('List B'!$F$5:$F$204,IFERROR(MATCH(37,'List B'!$R$5:$R$204,0)+4,"")-4))</f>
        <v/>
      </c>
      <c r="G41" s="50">
        <f>IF(IFERROR(MATCH(37,'List B'!$R$5:$R$204,0)+4,"")="","",INDEX('List B'!$G$5:$G$204,IFERROR(MATCH(37,'List B'!$R$5:$R$204,0)+4,"")-4))</f>
        <v/>
      </c>
      <c r="H41" s="53">
        <f>IF(IFERROR(MATCH(37,'List B'!$R$5:$R$204,0)+4,"")="","",INDEX('List B'!$H$5:$H$204,IFERROR(MATCH(37,'List B'!$R$5:$R$204,0)+4,"")-4))</f>
        <v/>
      </c>
      <c r="I41" s="61" t="n"/>
      <c r="J41" s="61" t="n"/>
    </row>
    <row r="42" ht="17" customHeight="1">
      <c r="A42" s="87">
        <f>IF(IFERROR(MATCH(38,'List B'!$R$5:$R$204,0)+4,"")="","",INDEX('List B'!$A$5:$A$204,IFERROR(MATCH(38,'List B'!$R$5:$R$204,0)+4,"")-4))</f>
        <v/>
      </c>
      <c r="B42" s="53">
        <f>IF(IFERROR(MATCH(38,'List B'!$R$5:$R$204,0)+4,"")="","",INDEX('List B'!$B$5:$B$204,IFERROR(MATCH(38,'List B'!$R$5:$R$204,0)+4,"")-4))</f>
        <v/>
      </c>
      <c r="C42" s="52">
        <f>IF(IFERROR(MATCH(38,'List B'!$R$5:$R$204,0)+4,"")="","",INDEX('List B'!$C$5:$C$204,IFERROR(MATCH(38,'List B'!$R$5:$R$204,0)+4,"")-4))</f>
        <v/>
      </c>
      <c r="D42" s="53">
        <f>IF(IFERROR(MATCH(38,'List B'!$R$5:$R$204,0)+4,"")="","",INDEX('List B'!$D$5:$D$204,IFERROR(MATCH(38,'List B'!$R$5:$R$204,0)+4,"")-4))</f>
        <v/>
      </c>
      <c r="E42" s="53">
        <f>IF(IFERROR(MATCH(38,'List B'!$R$5:$R$204,0)+4,"")="","",INDEX('List B'!$E$5:$E$204,IFERROR(MATCH(38,'List B'!$R$5:$R$204,0)+4,"")-4))</f>
        <v/>
      </c>
      <c r="F42" s="53">
        <f>IF(IFERROR(MATCH(38,'List B'!$R$5:$R$204,0)+4,"")="","",INDEX('List B'!$F$5:$F$204,IFERROR(MATCH(38,'List B'!$R$5:$R$204,0)+4,"")-4))</f>
        <v/>
      </c>
      <c r="G42" s="50">
        <f>IF(IFERROR(MATCH(38,'List B'!$R$5:$R$204,0)+4,"")="","",INDEX('List B'!$G$5:$G$204,IFERROR(MATCH(38,'List B'!$R$5:$R$204,0)+4,"")-4))</f>
        <v/>
      </c>
      <c r="H42" s="53">
        <f>IF(IFERROR(MATCH(38,'List B'!$R$5:$R$204,0)+4,"")="","",INDEX('List B'!$H$5:$H$204,IFERROR(MATCH(38,'List B'!$R$5:$R$204,0)+4,"")-4))</f>
        <v/>
      </c>
      <c r="I42" s="61" t="n"/>
      <c r="J42" s="61" t="n"/>
    </row>
    <row r="43" ht="17" customHeight="1">
      <c r="A43" s="87">
        <f>IF(IFERROR(MATCH(39,'List B'!$R$5:$R$204,0)+4,"")="","",INDEX('List B'!$A$5:$A$204,IFERROR(MATCH(39,'List B'!$R$5:$R$204,0)+4,"")-4))</f>
        <v/>
      </c>
      <c r="B43" s="53">
        <f>IF(IFERROR(MATCH(39,'List B'!$R$5:$R$204,0)+4,"")="","",INDEX('List B'!$B$5:$B$204,IFERROR(MATCH(39,'List B'!$R$5:$R$204,0)+4,"")-4))</f>
        <v/>
      </c>
      <c r="C43" s="52">
        <f>IF(IFERROR(MATCH(39,'List B'!$R$5:$R$204,0)+4,"")="","",INDEX('List B'!$C$5:$C$204,IFERROR(MATCH(39,'List B'!$R$5:$R$204,0)+4,"")-4))</f>
        <v/>
      </c>
      <c r="D43" s="53">
        <f>IF(IFERROR(MATCH(39,'List B'!$R$5:$R$204,0)+4,"")="","",INDEX('List B'!$D$5:$D$204,IFERROR(MATCH(39,'List B'!$R$5:$R$204,0)+4,"")-4))</f>
        <v/>
      </c>
      <c r="E43" s="53">
        <f>IF(IFERROR(MATCH(39,'List B'!$R$5:$R$204,0)+4,"")="","",INDEX('List B'!$E$5:$E$204,IFERROR(MATCH(39,'List B'!$R$5:$R$204,0)+4,"")-4))</f>
        <v/>
      </c>
      <c r="F43" s="53">
        <f>IF(IFERROR(MATCH(39,'List B'!$R$5:$R$204,0)+4,"")="","",INDEX('List B'!$F$5:$F$204,IFERROR(MATCH(39,'List B'!$R$5:$R$204,0)+4,"")-4))</f>
        <v/>
      </c>
      <c r="G43" s="50">
        <f>IF(IFERROR(MATCH(39,'List B'!$R$5:$R$204,0)+4,"")="","",INDEX('List B'!$G$5:$G$204,IFERROR(MATCH(39,'List B'!$R$5:$R$204,0)+4,"")-4))</f>
        <v/>
      </c>
      <c r="H43" s="53">
        <f>IF(IFERROR(MATCH(39,'List B'!$R$5:$R$204,0)+4,"")="","",INDEX('List B'!$H$5:$H$204,IFERROR(MATCH(39,'List B'!$R$5:$R$204,0)+4,"")-4))</f>
        <v/>
      </c>
      <c r="I43" s="61" t="n"/>
      <c r="J43" s="61" t="n"/>
    </row>
    <row r="44" ht="17" customHeight="1">
      <c r="A44" s="87">
        <f>IF(IFERROR(MATCH(40,'List B'!$R$5:$R$204,0)+4,"")="","",INDEX('List B'!$A$5:$A$204,IFERROR(MATCH(40,'List B'!$R$5:$R$204,0)+4,"")-4))</f>
        <v/>
      </c>
      <c r="B44" s="53">
        <f>IF(IFERROR(MATCH(40,'List B'!$R$5:$R$204,0)+4,"")="","",INDEX('List B'!$B$5:$B$204,IFERROR(MATCH(40,'List B'!$R$5:$R$204,0)+4,"")-4))</f>
        <v/>
      </c>
      <c r="C44" s="52">
        <f>IF(IFERROR(MATCH(40,'List B'!$R$5:$R$204,0)+4,"")="","",INDEX('List B'!$C$5:$C$204,IFERROR(MATCH(40,'List B'!$R$5:$R$204,0)+4,"")-4))</f>
        <v/>
      </c>
      <c r="D44" s="53">
        <f>IF(IFERROR(MATCH(40,'List B'!$R$5:$R$204,0)+4,"")="","",INDEX('List B'!$D$5:$D$204,IFERROR(MATCH(40,'List B'!$R$5:$R$204,0)+4,"")-4))</f>
        <v/>
      </c>
      <c r="E44" s="53">
        <f>IF(IFERROR(MATCH(40,'List B'!$R$5:$R$204,0)+4,"")="","",INDEX('List B'!$E$5:$E$204,IFERROR(MATCH(40,'List B'!$R$5:$R$204,0)+4,"")-4))</f>
        <v/>
      </c>
      <c r="F44" s="53">
        <f>IF(IFERROR(MATCH(40,'List B'!$R$5:$R$204,0)+4,"")="","",INDEX('List B'!$F$5:$F$204,IFERROR(MATCH(40,'List B'!$R$5:$R$204,0)+4,"")-4))</f>
        <v/>
      </c>
      <c r="G44" s="50">
        <f>IF(IFERROR(MATCH(40,'List B'!$R$5:$R$204,0)+4,"")="","",INDEX('List B'!$G$5:$G$204,IFERROR(MATCH(40,'List B'!$R$5:$R$204,0)+4,"")-4))</f>
        <v/>
      </c>
      <c r="H44" s="53">
        <f>IF(IFERROR(MATCH(40,'List B'!$R$5:$R$204,0)+4,"")="","",INDEX('List B'!$H$5:$H$204,IFERROR(MATCH(40,'List B'!$R$5:$R$204,0)+4,"")-4))</f>
        <v/>
      </c>
      <c r="I44" s="61" t="n"/>
      <c r="J44" s="61" t="n"/>
    </row>
    <row r="45" ht="17" customHeight="1">
      <c r="A45" s="87">
        <f>IF(IFERROR(MATCH(41,'List B'!$R$5:$R$204,0)+4,"")="","",INDEX('List B'!$A$5:$A$204,IFERROR(MATCH(41,'List B'!$R$5:$R$204,0)+4,"")-4))</f>
        <v/>
      </c>
      <c r="B45" s="53">
        <f>IF(IFERROR(MATCH(41,'List B'!$R$5:$R$204,0)+4,"")="","",INDEX('List B'!$B$5:$B$204,IFERROR(MATCH(41,'List B'!$R$5:$R$204,0)+4,"")-4))</f>
        <v/>
      </c>
      <c r="C45" s="52">
        <f>IF(IFERROR(MATCH(41,'List B'!$R$5:$R$204,0)+4,"")="","",INDEX('List B'!$C$5:$C$204,IFERROR(MATCH(41,'List B'!$R$5:$R$204,0)+4,"")-4))</f>
        <v/>
      </c>
      <c r="D45" s="53">
        <f>IF(IFERROR(MATCH(41,'List B'!$R$5:$R$204,0)+4,"")="","",INDEX('List B'!$D$5:$D$204,IFERROR(MATCH(41,'List B'!$R$5:$R$204,0)+4,"")-4))</f>
        <v/>
      </c>
      <c r="E45" s="53">
        <f>IF(IFERROR(MATCH(41,'List B'!$R$5:$R$204,0)+4,"")="","",INDEX('List B'!$E$5:$E$204,IFERROR(MATCH(41,'List B'!$R$5:$R$204,0)+4,"")-4))</f>
        <v/>
      </c>
      <c r="F45" s="53">
        <f>IF(IFERROR(MATCH(41,'List B'!$R$5:$R$204,0)+4,"")="","",INDEX('List B'!$F$5:$F$204,IFERROR(MATCH(41,'List B'!$R$5:$R$204,0)+4,"")-4))</f>
        <v/>
      </c>
      <c r="G45" s="50">
        <f>IF(IFERROR(MATCH(41,'List B'!$R$5:$R$204,0)+4,"")="","",INDEX('List B'!$G$5:$G$204,IFERROR(MATCH(41,'List B'!$R$5:$R$204,0)+4,"")-4))</f>
        <v/>
      </c>
      <c r="H45" s="53">
        <f>IF(IFERROR(MATCH(41,'List B'!$R$5:$R$204,0)+4,"")="","",INDEX('List B'!$H$5:$H$204,IFERROR(MATCH(41,'List B'!$R$5:$R$204,0)+4,"")-4))</f>
        <v/>
      </c>
      <c r="I45" s="61" t="n"/>
      <c r="J45" s="61" t="n"/>
    </row>
    <row r="46" ht="17" customHeight="1">
      <c r="A46" s="87">
        <f>IF(IFERROR(MATCH(42,'List B'!$R$5:$R$204,0)+4,"")="","",INDEX('List B'!$A$5:$A$204,IFERROR(MATCH(42,'List B'!$R$5:$R$204,0)+4,"")-4))</f>
        <v/>
      </c>
      <c r="B46" s="53">
        <f>IF(IFERROR(MATCH(42,'List B'!$R$5:$R$204,0)+4,"")="","",INDEX('List B'!$B$5:$B$204,IFERROR(MATCH(42,'List B'!$R$5:$R$204,0)+4,"")-4))</f>
        <v/>
      </c>
      <c r="C46" s="52">
        <f>IF(IFERROR(MATCH(42,'List B'!$R$5:$R$204,0)+4,"")="","",INDEX('List B'!$C$5:$C$204,IFERROR(MATCH(42,'List B'!$R$5:$R$204,0)+4,"")-4))</f>
        <v/>
      </c>
      <c r="D46" s="53">
        <f>IF(IFERROR(MATCH(42,'List B'!$R$5:$R$204,0)+4,"")="","",INDEX('List B'!$D$5:$D$204,IFERROR(MATCH(42,'List B'!$R$5:$R$204,0)+4,"")-4))</f>
        <v/>
      </c>
      <c r="E46" s="53">
        <f>IF(IFERROR(MATCH(42,'List B'!$R$5:$R$204,0)+4,"")="","",INDEX('List B'!$E$5:$E$204,IFERROR(MATCH(42,'List B'!$R$5:$R$204,0)+4,"")-4))</f>
        <v/>
      </c>
      <c r="F46" s="53">
        <f>IF(IFERROR(MATCH(42,'List B'!$R$5:$R$204,0)+4,"")="","",INDEX('List B'!$F$5:$F$204,IFERROR(MATCH(42,'List B'!$R$5:$R$204,0)+4,"")-4))</f>
        <v/>
      </c>
      <c r="G46" s="50">
        <f>IF(IFERROR(MATCH(42,'List B'!$R$5:$R$204,0)+4,"")="","",INDEX('List B'!$G$5:$G$204,IFERROR(MATCH(42,'List B'!$R$5:$R$204,0)+4,"")-4))</f>
        <v/>
      </c>
      <c r="H46" s="53">
        <f>IF(IFERROR(MATCH(42,'List B'!$R$5:$R$204,0)+4,"")="","",INDEX('List B'!$H$5:$H$204,IFERROR(MATCH(42,'List B'!$R$5:$R$204,0)+4,"")-4))</f>
        <v/>
      </c>
      <c r="I46" s="61" t="n"/>
      <c r="J46" s="61" t="n"/>
    </row>
    <row r="47" ht="17" customHeight="1">
      <c r="A47" s="87">
        <f>IF(IFERROR(MATCH(43,'List B'!$R$5:$R$204,0)+4,"")="","",INDEX('List B'!$A$5:$A$204,IFERROR(MATCH(43,'List B'!$R$5:$R$204,0)+4,"")-4))</f>
        <v/>
      </c>
      <c r="B47" s="53">
        <f>IF(IFERROR(MATCH(43,'List B'!$R$5:$R$204,0)+4,"")="","",INDEX('List B'!$B$5:$B$204,IFERROR(MATCH(43,'List B'!$R$5:$R$204,0)+4,"")-4))</f>
        <v/>
      </c>
      <c r="C47" s="52">
        <f>IF(IFERROR(MATCH(43,'List B'!$R$5:$R$204,0)+4,"")="","",INDEX('List B'!$C$5:$C$204,IFERROR(MATCH(43,'List B'!$R$5:$R$204,0)+4,"")-4))</f>
        <v/>
      </c>
      <c r="D47" s="53">
        <f>IF(IFERROR(MATCH(43,'List B'!$R$5:$R$204,0)+4,"")="","",INDEX('List B'!$D$5:$D$204,IFERROR(MATCH(43,'List B'!$R$5:$R$204,0)+4,"")-4))</f>
        <v/>
      </c>
      <c r="E47" s="53">
        <f>IF(IFERROR(MATCH(43,'List B'!$R$5:$R$204,0)+4,"")="","",INDEX('List B'!$E$5:$E$204,IFERROR(MATCH(43,'List B'!$R$5:$R$204,0)+4,"")-4))</f>
        <v/>
      </c>
      <c r="F47" s="53">
        <f>IF(IFERROR(MATCH(43,'List B'!$R$5:$R$204,0)+4,"")="","",INDEX('List B'!$F$5:$F$204,IFERROR(MATCH(43,'List B'!$R$5:$R$204,0)+4,"")-4))</f>
        <v/>
      </c>
      <c r="G47" s="50">
        <f>IF(IFERROR(MATCH(43,'List B'!$R$5:$R$204,0)+4,"")="","",INDEX('List B'!$G$5:$G$204,IFERROR(MATCH(43,'List B'!$R$5:$R$204,0)+4,"")-4))</f>
        <v/>
      </c>
      <c r="H47" s="53">
        <f>IF(IFERROR(MATCH(43,'List B'!$R$5:$R$204,0)+4,"")="","",INDEX('List B'!$H$5:$H$204,IFERROR(MATCH(43,'List B'!$R$5:$R$204,0)+4,"")-4))</f>
        <v/>
      </c>
      <c r="I47" s="61" t="n"/>
      <c r="J47" s="61" t="n"/>
    </row>
    <row r="48" ht="17" customHeight="1">
      <c r="A48" s="87">
        <f>IF(IFERROR(MATCH(44,'List B'!$R$5:$R$204,0)+4,"")="","",INDEX('List B'!$A$5:$A$204,IFERROR(MATCH(44,'List B'!$R$5:$R$204,0)+4,"")-4))</f>
        <v/>
      </c>
      <c r="B48" s="53">
        <f>IF(IFERROR(MATCH(44,'List B'!$R$5:$R$204,0)+4,"")="","",INDEX('List B'!$B$5:$B$204,IFERROR(MATCH(44,'List B'!$R$5:$R$204,0)+4,"")-4))</f>
        <v/>
      </c>
      <c r="C48" s="52">
        <f>IF(IFERROR(MATCH(44,'List B'!$R$5:$R$204,0)+4,"")="","",INDEX('List B'!$C$5:$C$204,IFERROR(MATCH(44,'List B'!$R$5:$R$204,0)+4,"")-4))</f>
        <v/>
      </c>
      <c r="D48" s="53">
        <f>IF(IFERROR(MATCH(44,'List B'!$R$5:$R$204,0)+4,"")="","",INDEX('List B'!$D$5:$D$204,IFERROR(MATCH(44,'List B'!$R$5:$R$204,0)+4,"")-4))</f>
        <v/>
      </c>
      <c r="E48" s="53">
        <f>IF(IFERROR(MATCH(44,'List B'!$R$5:$R$204,0)+4,"")="","",INDEX('List B'!$E$5:$E$204,IFERROR(MATCH(44,'List B'!$R$5:$R$204,0)+4,"")-4))</f>
        <v/>
      </c>
      <c r="F48" s="53">
        <f>IF(IFERROR(MATCH(44,'List B'!$R$5:$R$204,0)+4,"")="","",INDEX('List B'!$F$5:$F$204,IFERROR(MATCH(44,'List B'!$R$5:$R$204,0)+4,"")-4))</f>
        <v/>
      </c>
      <c r="G48" s="50">
        <f>IF(IFERROR(MATCH(44,'List B'!$R$5:$R$204,0)+4,"")="","",INDEX('List B'!$G$5:$G$204,IFERROR(MATCH(44,'List B'!$R$5:$R$204,0)+4,"")-4))</f>
        <v/>
      </c>
      <c r="H48" s="53">
        <f>IF(IFERROR(MATCH(44,'List B'!$R$5:$R$204,0)+4,"")="","",INDEX('List B'!$H$5:$H$204,IFERROR(MATCH(44,'List B'!$R$5:$R$204,0)+4,"")-4))</f>
        <v/>
      </c>
      <c r="I48" s="61" t="n"/>
      <c r="J48" s="61" t="n"/>
    </row>
    <row r="49" ht="17" customHeight="1">
      <c r="A49" s="87">
        <f>IF(IFERROR(MATCH(45,'List B'!$R$5:$R$204,0)+4,"")="","",INDEX('List B'!$A$5:$A$204,IFERROR(MATCH(45,'List B'!$R$5:$R$204,0)+4,"")-4))</f>
        <v/>
      </c>
      <c r="B49" s="53">
        <f>IF(IFERROR(MATCH(45,'List B'!$R$5:$R$204,0)+4,"")="","",INDEX('List B'!$B$5:$B$204,IFERROR(MATCH(45,'List B'!$R$5:$R$204,0)+4,"")-4))</f>
        <v/>
      </c>
      <c r="C49" s="52">
        <f>IF(IFERROR(MATCH(45,'List B'!$R$5:$R$204,0)+4,"")="","",INDEX('List B'!$C$5:$C$204,IFERROR(MATCH(45,'List B'!$R$5:$R$204,0)+4,"")-4))</f>
        <v/>
      </c>
      <c r="D49" s="53">
        <f>IF(IFERROR(MATCH(45,'List B'!$R$5:$R$204,0)+4,"")="","",INDEX('List B'!$D$5:$D$204,IFERROR(MATCH(45,'List B'!$R$5:$R$204,0)+4,"")-4))</f>
        <v/>
      </c>
      <c r="E49" s="53">
        <f>IF(IFERROR(MATCH(45,'List B'!$R$5:$R$204,0)+4,"")="","",INDEX('List B'!$E$5:$E$204,IFERROR(MATCH(45,'List B'!$R$5:$R$204,0)+4,"")-4))</f>
        <v/>
      </c>
      <c r="F49" s="53">
        <f>IF(IFERROR(MATCH(45,'List B'!$R$5:$R$204,0)+4,"")="","",INDEX('List B'!$F$5:$F$204,IFERROR(MATCH(45,'List B'!$R$5:$R$204,0)+4,"")-4))</f>
        <v/>
      </c>
      <c r="G49" s="50">
        <f>IF(IFERROR(MATCH(45,'List B'!$R$5:$R$204,0)+4,"")="","",INDEX('List B'!$G$5:$G$204,IFERROR(MATCH(45,'List B'!$R$5:$R$204,0)+4,"")-4))</f>
        <v/>
      </c>
      <c r="H49" s="53">
        <f>IF(IFERROR(MATCH(45,'List B'!$R$5:$R$204,0)+4,"")="","",INDEX('List B'!$H$5:$H$204,IFERROR(MATCH(45,'List B'!$R$5:$R$204,0)+4,"")-4))</f>
        <v/>
      </c>
      <c r="I49" s="61" t="n"/>
      <c r="J49" s="61" t="n"/>
    </row>
    <row r="50" ht="17" customHeight="1">
      <c r="A50" s="87">
        <f>IF(IFERROR(MATCH(46,'List B'!$R$5:$R$204,0)+4,"")="","",INDEX('List B'!$A$5:$A$204,IFERROR(MATCH(46,'List B'!$R$5:$R$204,0)+4,"")-4))</f>
        <v/>
      </c>
      <c r="B50" s="53">
        <f>IF(IFERROR(MATCH(46,'List B'!$R$5:$R$204,0)+4,"")="","",INDEX('List B'!$B$5:$B$204,IFERROR(MATCH(46,'List B'!$R$5:$R$204,0)+4,"")-4))</f>
        <v/>
      </c>
      <c r="C50" s="52">
        <f>IF(IFERROR(MATCH(46,'List B'!$R$5:$R$204,0)+4,"")="","",INDEX('List B'!$C$5:$C$204,IFERROR(MATCH(46,'List B'!$R$5:$R$204,0)+4,"")-4))</f>
        <v/>
      </c>
      <c r="D50" s="53">
        <f>IF(IFERROR(MATCH(46,'List B'!$R$5:$R$204,0)+4,"")="","",INDEX('List B'!$D$5:$D$204,IFERROR(MATCH(46,'List B'!$R$5:$R$204,0)+4,"")-4))</f>
        <v/>
      </c>
      <c r="E50" s="53">
        <f>IF(IFERROR(MATCH(46,'List B'!$R$5:$R$204,0)+4,"")="","",INDEX('List B'!$E$5:$E$204,IFERROR(MATCH(46,'List B'!$R$5:$R$204,0)+4,"")-4))</f>
        <v/>
      </c>
      <c r="F50" s="53">
        <f>IF(IFERROR(MATCH(46,'List B'!$R$5:$R$204,0)+4,"")="","",INDEX('List B'!$F$5:$F$204,IFERROR(MATCH(46,'List B'!$R$5:$R$204,0)+4,"")-4))</f>
        <v/>
      </c>
      <c r="G50" s="50">
        <f>IF(IFERROR(MATCH(46,'List B'!$R$5:$R$204,0)+4,"")="","",INDEX('List B'!$G$5:$G$204,IFERROR(MATCH(46,'List B'!$R$5:$R$204,0)+4,"")-4))</f>
        <v/>
      </c>
      <c r="H50" s="53">
        <f>IF(IFERROR(MATCH(46,'List B'!$R$5:$R$204,0)+4,"")="","",INDEX('List B'!$H$5:$H$204,IFERROR(MATCH(46,'List B'!$R$5:$R$204,0)+4,"")-4))</f>
        <v/>
      </c>
      <c r="I50" s="61" t="n"/>
      <c r="J50" s="61" t="n"/>
    </row>
    <row r="51" ht="17" customHeight="1">
      <c r="A51" s="87">
        <f>IF(IFERROR(MATCH(47,'List B'!$R$5:$R$204,0)+4,"")="","",INDEX('List B'!$A$5:$A$204,IFERROR(MATCH(47,'List B'!$R$5:$R$204,0)+4,"")-4))</f>
        <v/>
      </c>
      <c r="B51" s="53">
        <f>IF(IFERROR(MATCH(47,'List B'!$R$5:$R$204,0)+4,"")="","",INDEX('List B'!$B$5:$B$204,IFERROR(MATCH(47,'List B'!$R$5:$R$204,0)+4,"")-4))</f>
        <v/>
      </c>
      <c r="C51" s="52">
        <f>IF(IFERROR(MATCH(47,'List B'!$R$5:$R$204,0)+4,"")="","",INDEX('List B'!$C$5:$C$204,IFERROR(MATCH(47,'List B'!$R$5:$R$204,0)+4,"")-4))</f>
        <v/>
      </c>
      <c r="D51" s="53">
        <f>IF(IFERROR(MATCH(47,'List B'!$R$5:$R$204,0)+4,"")="","",INDEX('List B'!$D$5:$D$204,IFERROR(MATCH(47,'List B'!$R$5:$R$204,0)+4,"")-4))</f>
        <v/>
      </c>
      <c r="E51" s="53">
        <f>IF(IFERROR(MATCH(47,'List B'!$R$5:$R$204,0)+4,"")="","",INDEX('List B'!$E$5:$E$204,IFERROR(MATCH(47,'List B'!$R$5:$R$204,0)+4,"")-4))</f>
        <v/>
      </c>
      <c r="F51" s="53">
        <f>IF(IFERROR(MATCH(47,'List B'!$R$5:$R$204,0)+4,"")="","",INDEX('List B'!$F$5:$F$204,IFERROR(MATCH(47,'List B'!$R$5:$R$204,0)+4,"")-4))</f>
        <v/>
      </c>
      <c r="G51" s="50">
        <f>IF(IFERROR(MATCH(47,'List B'!$R$5:$R$204,0)+4,"")="","",INDEX('List B'!$G$5:$G$204,IFERROR(MATCH(47,'List B'!$R$5:$R$204,0)+4,"")-4))</f>
        <v/>
      </c>
      <c r="H51" s="53">
        <f>IF(IFERROR(MATCH(47,'List B'!$R$5:$R$204,0)+4,"")="","",INDEX('List B'!$H$5:$H$204,IFERROR(MATCH(47,'List B'!$R$5:$R$204,0)+4,"")-4))</f>
        <v/>
      </c>
      <c r="I51" s="61" t="n"/>
      <c r="J51" s="61" t="n"/>
    </row>
    <row r="52" ht="17" customHeight="1">
      <c r="A52" s="87">
        <f>IF(IFERROR(MATCH(48,'List B'!$R$5:$R$204,0)+4,"")="","",INDEX('List B'!$A$5:$A$204,IFERROR(MATCH(48,'List B'!$R$5:$R$204,0)+4,"")-4))</f>
        <v/>
      </c>
      <c r="B52" s="53">
        <f>IF(IFERROR(MATCH(48,'List B'!$R$5:$R$204,0)+4,"")="","",INDEX('List B'!$B$5:$B$204,IFERROR(MATCH(48,'List B'!$R$5:$R$204,0)+4,"")-4))</f>
        <v/>
      </c>
      <c r="C52" s="52">
        <f>IF(IFERROR(MATCH(48,'List B'!$R$5:$R$204,0)+4,"")="","",INDEX('List B'!$C$5:$C$204,IFERROR(MATCH(48,'List B'!$R$5:$R$204,0)+4,"")-4))</f>
        <v/>
      </c>
      <c r="D52" s="53">
        <f>IF(IFERROR(MATCH(48,'List B'!$R$5:$R$204,0)+4,"")="","",INDEX('List B'!$D$5:$D$204,IFERROR(MATCH(48,'List B'!$R$5:$R$204,0)+4,"")-4))</f>
        <v/>
      </c>
      <c r="E52" s="53">
        <f>IF(IFERROR(MATCH(48,'List B'!$R$5:$R$204,0)+4,"")="","",INDEX('List B'!$E$5:$E$204,IFERROR(MATCH(48,'List B'!$R$5:$R$204,0)+4,"")-4))</f>
        <v/>
      </c>
      <c r="F52" s="53">
        <f>IF(IFERROR(MATCH(48,'List B'!$R$5:$R$204,0)+4,"")="","",INDEX('List B'!$F$5:$F$204,IFERROR(MATCH(48,'List B'!$R$5:$R$204,0)+4,"")-4))</f>
        <v/>
      </c>
      <c r="G52" s="50">
        <f>IF(IFERROR(MATCH(48,'List B'!$R$5:$R$204,0)+4,"")="","",INDEX('List B'!$G$5:$G$204,IFERROR(MATCH(48,'List B'!$R$5:$R$204,0)+4,"")-4))</f>
        <v/>
      </c>
      <c r="H52" s="53">
        <f>IF(IFERROR(MATCH(48,'List B'!$R$5:$R$204,0)+4,"")="","",INDEX('List B'!$H$5:$H$204,IFERROR(MATCH(48,'List B'!$R$5:$R$204,0)+4,"")-4))</f>
        <v/>
      </c>
      <c r="I52" s="61" t="n"/>
      <c r="J52" s="61" t="n"/>
    </row>
    <row r="53" ht="17" customHeight="1">
      <c r="A53" s="87">
        <f>IF(IFERROR(MATCH(49,'List B'!$R$5:$R$204,0)+4,"")="","",INDEX('List B'!$A$5:$A$204,IFERROR(MATCH(49,'List B'!$R$5:$R$204,0)+4,"")-4))</f>
        <v/>
      </c>
      <c r="B53" s="53">
        <f>IF(IFERROR(MATCH(49,'List B'!$R$5:$R$204,0)+4,"")="","",INDEX('List B'!$B$5:$B$204,IFERROR(MATCH(49,'List B'!$R$5:$R$204,0)+4,"")-4))</f>
        <v/>
      </c>
      <c r="C53" s="52">
        <f>IF(IFERROR(MATCH(49,'List B'!$R$5:$R$204,0)+4,"")="","",INDEX('List B'!$C$5:$C$204,IFERROR(MATCH(49,'List B'!$R$5:$R$204,0)+4,"")-4))</f>
        <v/>
      </c>
      <c r="D53" s="53">
        <f>IF(IFERROR(MATCH(49,'List B'!$R$5:$R$204,0)+4,"")="","",INDEX('List B'!$D$5:$D$204,IFERROR(MATCH(49,'List B'!$R$5:$R$204,0)+4,"")-4))</f>
        <v/>
      </c>
      <c r="E53" s="53">
        <f>IF(IFERROR(MATCH(49,'List B'!$R$5:$R$204,0)+4,"")="","",INDEX('List B'!$E$5:$E$204,IFERROR(MATCH(49,'List B'!$R$5:$R$204,0)+4,"")-4))</f>
        <v/>
      </c>
      <c r="F53" s="53">
        <f>IF(IFERROR(MATCH(49,'List B'!$R$5:$R$204,0)+4,"")="","",INDEX('List B'!$F$5:$F$204,IFERROR(MATCH(49,'List B'!$R$5:$R$204,0)+4,"")-4))</f>
        <v/>
      </c>
      <c r="G53" s="50">
        <f>IF(IFERROR(MATCH(49,'List B'!$R$5:$R$204,0)+4,"")="","",INDEX('List B'!$G$5:$G$204,IFERROR(MATCH(49,'List B'!$R$5:$R$204,0)+4,"")-4))</f>
        <v/>
      </c>
      <c r="H53" s="53">
        <f>IF(IFERROR(MATCH(49,'List B'!$R$5:$R$204,0)+4,"")="","",INDEX('List B'!$H$5:$H$204,IFERROR(MATCH(49,'List B'!$R$5:$R$204,0)+4,"")-4))</f>
        <v/>
      </c>
      <c r="I53" s="61" t="n"/>
      <c r="J53" s="61" t="n"/>
    </row>
    <row r="54" ht="17" customHeight="1">
      <c r="A54" s="87">
        <f>IF(IFERROR(MATCH(50,'List B'!$R$5:$R$204,0)+4,"")="","",INDEX('List B'!$A$5:$A$204,IFERROR(MATCH(50,'List B'!$R$5:$R$204,0)+4,"")-4))</f>
        <v/>
      </c>
      <c r="B54" s="53">
        <f>IF(IFERROR(MATCH(50,'List B'!$R$5:$R$204,0)+4,"")="","",INDEX('List B'!$B$5:$B$204,IFERROR(MATCH(50,'List B'!$R$5:$R$204,0)+4,"")-4))</f>
        <v/>
      </c>
      <c r="C54" s="52">
        <f>IF(IFERROR(MATCH(50,'List B'!$R$5:$R$204,0)+4,"")="","",INDEX('List B'!$C$5:$C$204,IFERROR(MATCH(50,'List B'!$R$5:$R$204,0)+4,"")-4))</f>
        <v/>
      </c>
      <c r="D54" s="53">
        <f>IF(IFERROR(MATCH(50,'List B'!$R$5:$R$204,0)+4,"")="","",INDEX('List B'!$D$5:$D$204,IFERROR(MATCH(50,'List B'!$R$5:$R$204,0)+4,"")-4))</f>
        <v/>
      </c>
      <c r="E54" s="53">
        <f>IF(IFERROR(MATCH(50,'List B'!$R$5:$R$204,0)+4,"")="","",INDEX('List B'!$E$5:$E$204,IFERROR(MATCH(50,'List B'!$R$5:$R$204,0)+4,"")-4))</f>
        <v/>
      </c>
      <c r="F54" s="53">
        <f>IF(IFERROR(MATCH(50,'List B'!$R$5:$R$204,0)+4,"")="","",INDEX('List B'!$F$5:$F$204,IFERROR(MATCH(50,'List B'!$R$5:$R$204,0)+4,"")-4))</f>
        <v/>
      </c>
      <c r="G54" s="50">
        <f>IF(IFERROR(MATCH(50,'List B'!$R$5:$R$204,0)+4,"")="","",INDEX('List B'!$G$5:$G$204,IFERROR(MATCH(50,'List B'!$R$5:$R$204,0)+4,"")-4))</f>
        <v/>
      </c>
      <c r="H54" s="53">
        <f>IF(IFERROR(MATCH(50,'List B'!$R$5:$R$204,0)+4,"")="","",INDEX('List B'!$H$5:$H$204,IFERROR(MATCH(50,'List B'!$R$5:$R$204,0)+4,"")-4))</f>
        <v/>
      </c>
      <c r="I54" s="61" t="n"/>
      <c r="J54" s="61" t="n"/>
    </row>
    <row r="55" ht="17" customHeight="1">
      <c r="A55" s="87">
        <f>IF(IFERROR(MATCH(51,'List B'!$R$5:$R$204,0)+4,"")="","",INDEX('List B'!$A$5:$A$204,IFERROR(MATCH(51,'List B'!$R$5:$R$204,0)+4,"")-4))</f>
        <v/>
      </c>
      <c r="B55" s="53">
        <f>IF(IFERROR(MATCH(51,'List B'!$R$5:$R$204,0)+4,"")="","",INDEX('List B'!$B$5:$B$204,IFERROR(MATCH(51,'List B'!$R$5:$R$204,0)+4,"")-4))</f>
        <v/>
      </c>
      <c r="C55" s="52">
        <f>IF(IFERROR(MATCH(51,'List B'!$R$5:$R$204,0)+4,"")="","",INDEX('List B'!$C$5:$C$204,IFERROR(MATCH(51,'List B'!$R$5:$R$204,0)+4,"")-4))</f>
        <v/>
      </c>
      <c r="D55" s="53">
        <f>IF(IFERROR(MATCH(51,'List B'!$R$5:$R$204,0)+4,"")="","",INDEX('List B'!$D$5:$D$204,IFERROR(MATCH(51,'List B'!$R$5:$R$204,0)+4,"")-4))</f>
        <v/>
      </c>
      <c r="E55" s="53">
        <f>IF(IFERROR(MATCH(51,'List B'!$R$5:$R$204,0)+4,"")="","",INDEX('List B'!$E$5:$E$204,IFERROR(MATCH(51,'List B'!$R$5:$R$204,0)+4,"")-4))</f>
        <v/>
      </c>
      <c r="F55" s="53">
        <f>IF(IFERROR(MATCH(51,'List B'!$R$5:$R$204,0)+4,"")="","",INDEX('List B'!$F$5:$F$204,IFERROR(MATCH(51,'List B'!$R$5:$R$204,0)+4,"")-4))</f>
        <v/>
      </c>
      <c r="G55" s="50">
        <f>IF(IFERROR(MATCH(51,'List B'!$R$5:$R$204,0)+4,"")="","",INDEX('List B'!$G$5:$G$204,IFERROR(MATCH(51,'List B'!$R$5:$R$204,0)+4,"")-4))</f>
        <v/>
      </c>
      <c r="H55" s="53">
        <f>IF(IFERROR(MATCH(51,'List B'!$R$5:$R$204,0)+4,"")="","",INDEX('List B'!$H$5:$H$204,IFERROR(MATCH(51,'List B'!$R$5:$R$204,0)+4,"")-4))</f>
        <v/>
      </c>
      <c r="I55" s="61" t="n"/>
      <c r="J55" s="61" t="n"/>
    </row>
    <row r="56" ht="17" customHeight="1">
      <c r="A56" s="87">
        <f>IF(IFERROR(MATCH(52,'List B'!$R$5:$R$204,0)+4,"")="","",INDEX('List B'!$A$5:$A$204,IFERROR(MATCH(52,'List B'!$R$5:$R$204,0)+4,"")-4))</f>
        <v/>
      </c>
      <c r="B56" s="53">
        <f>IF(IFERROR(MATCH(52,'List B'!$R$5:$R$204,0)+4,"")="","",INDEX('List B'!$B$5:$B$204,IFERROR(MATCH(52,'List B'!$R$5:$R$204,0)+4,"")-4))</f>
        <v/>
      </c>
      <c r="C56" s="52">
        <f>IF(IFERROR(MATCH(52,'List B'!$R$5:$R$204,0)+4,"")="","",INDEX('List B'!$C$5:$C$204,IFERROR(MATCH(52,'List B'!$R$5:$R$204,0)+4,"")-4))</f>
        <v/>
      </c>
      <c r="D56" s="53">
        <f>IF(IFERROR(MATCH(52,'List B'!$R$5:$R$204,0)+4,"")="","",INDEX('List B'!$D$5:$D$204,IFERROR(MATCH(52,'List B'!$R$5:$R$204,0)+4,"")-4))</f>
        <v/>
      </c>
      <c r="E56" s="53">
        <f>IF(IFERROR(MATCH(52,'List B'!$R$5:$R$204,0)+4,"")="","",INDEX('List B'!$E$5:$E$204,IFERROR(MATCH(52,'List B'!$R$5:$R$204,0)+4,"")-4))</f>
        <v/>
      </c>
      <c r="F56" s="53">
        <f>IF(IFERROR(MATCH(52,'List B'!$R$5:$R$204,0)+4,"")="","",INDEX('List B'!$F$5:$F$204,IFERROR(MATCH(52,'List B'!$R$5:$R$204,0)+4,"")-4))</f>
        <v/>
      </c>
      <c r="G56" s="50">
        <f>IF(IFERROR(MATCH(52,'List B'!$R$5:$R$204,0)+4,"")="","",INDEX('List B'!$G$5:$G$204,IFERROR(MATCH(52,'List B'!$R$5:$R$204,0)+4,"")-4))</f>
        <v/>
      </c>
      <c r="H56" s="53">
        <f>IF(IFERROR(MATCH(52,'List B'!$R$5:$R$204,0)+4,"")="","",INDEX('List B'!$H$5:$H$204,IFERROR(MATCH(52,'List B'!$R$5:$R$204,0)+4,"")-4))</f>
        <v/>
      </c>
      <c r="I56" s="61" t="n"/>
      <c r="J56" s="61" t="n"/>
    </row>
    <row r="57" ht="17" customHeight="1">
      <c r="A57" s="87">
        <f>IF(IFERROR(MATCH(53,'List B'!$R$5:$R$204,0)+4,"")="","",INDEX('List B'!$A$5:$A$204,IFERROR(MATCH(53,'List B'!$R$5:$R$204,0)+4,"")-4))</f>
        <v/>
      </c>
      <c r="B57" s="53">
        <f>IF(IFERROR(MATCH(53,'List B'!$R$5:$R$204,0)+4,"")="","",INDEX('List B'!$B$5:$B$204,IFERROR(MATCH(53,'List B'!$R$5:$R$204,0)+4,"")-4))</f>
        <v/>
      </c>
      <c r="C57" s="52">
        <f>IF(IFERROR(MATCH(53,'List B'!$R$5:$R$204,0)+4,"")="","",INDEX('List B'!$C$5:$C$204,IFERROR(MATCH(53,'List B'!$R$5:$R$204,0)+4,"")-4))</f>
        <v/>
      </c>
      <c r="D57" s="53">
        <f>IF(IFERROR(MATCH(53,'List B'!$R$5:$R$204,0)+4,"")="","",INDEX('List B'!$D$5:$D$204,IFERROR(MATCH(53,'List B'!$R$5:$R$204,0)+4,"")-4))</f>
        <v/>
      </c>
      <c r="E57" s="53">
        <f>IF(IFERROR(MATCH(53,'List B'!$R$5:$R$204,0)+4,"")="","",INDEX('List B'!$E$5:$E$204,IFERROR(MATCH(53,'List B'!$R$5:$R$204,0)+4,"")-4))</f>
        <v/>
      </c>
      <c r="F57" s="53">
        <f>IF(IFERROR(MATCH(53,'List B'!$R$5:$R$204,0)+4,"")="","",INDEX('List B'!$F$5:$F$204,IFERROR(MATCH(53,'List B'!$R$5:$R$204,0)+4,"")-4))</f>
        <v/>
      </c>
      <c r="G57" s="50">
        <f>IF(IFERROR(MATCH(53,'List B'!$R$5:$R$204,0)+4,"")="","",INDEX('List B'!$G$5:$G$204,IFERROR(MATCH(53,'List B'!$R$5:$R$204,0)+4,"")-4))</f>
        <v/>
      </c>
      <c r="H57" s="53">
        <f>IF(IFERROR(MATCH(53,'List B'!$R$5:$R$204,0)+4,"")="","",INDEX('List B'!$H$5:$H$204,IFERROR(MATCH(53,'List B'!$R$5:$R$204,0)+4,"")-4))</f>
        <v/>
      </c>
      <c r="I57" s="61" t="n"/>
      <c r="J57" s="61" t="n"/>
    </row>
    <row r="58" ht="17" customHeight="1">
      <c r="A58" s="87">
        <f>IF(IFERROR(MATCH(54,'List B'!$R$5:$R$204,0)+4,"")="","",INDEX('List B'!$A$5:$A$204,IFERROR(MATCH(54,'List B'!$R$5:$R$204,0)+4,"")-4))</f>
        <v/>
      </c>
      <c r="B58" s="53">
        <f>IF(IFERROR(MATCH(54,'List B'!$R$5:$R$204,0)+4,"")="","",INDEX('List B'!$B$5:$B$204,IFERROR(MATCH(54,'List B'!$R$5:$R$204,0)+4,"")-4))</f>
        <v/>
      </c>
      <c r="C58" s="52">
        <f>IF(IFERROR(MATCH(54,'List B'!$R$5:$R$204,0)+4,"")="","",INDEX('List B'!$C$5:$C$204,IFERROR(MATCH(54,'List B'!$R$5:$R$204,0)+4,"")-4))</f>
        <v/>
      </c>
      <c r="D58" s="53">
        <f>IF(IFERROR(MATCH(54,'List B'!$R$5:$R$204,0)+4,"")="","",INDEX('List B'!$D$5:$D$204,IFERROR(MATCH(54,'List B'!$R$5:$R$204,0)+4,"")-4))</f>
        <v/>
      </c>
      <c r="E58" s="53">
        <f>IF(IFERROR(MATCH(54,'List B'!$R$5:$R$204,0)+4,"")="","",INDEX('List B'!$E$5:$E$204,IFERROR(MATCH(54,'List B'!$R$5:$R$204,0)+4,"")-4))</f>
        <v/>
      </c>
      <c r="F58" s="53">
        <f>IF(IFERROR(MATCH(54,'List B'!$R$5:$R$204,0)+4,"")="","",INDEX('List B'!$F$5:$F$204,IFERROR(MATCH(54,'List B'!$R$5:$R$204,0)+4,"")-4))</f>
        <v/>
      </c>
      <c r="G58" s="50">
        <f>IF(IFERROR(MATCH(54,'List B'!$R$5:$R$204,0)+4,"")="","",INDEX('List B'!$G$5:$G$204,IFERROR(MATCH(54,'List B'!$R$5:$R$204,0)+4,"")-4))</f>
        <v/>
      </c>
      <c r="H58" s="53">
        <f>IF(IFERROR(MATCH(54,'List B'!$R$5:$R$204,0)+4,"")="","",INDEX('List B'!$H$5:$H$204,IFERROR(MATCH(54,'List B'!$R$5:$R$204,0)+4,"")-4))</f>
        <v/>
      </c>
      <c r="I58" s="61" t="n"/>
      <c r="J58" s="61" t="n"/>
    </row>
    <row r="59" ht="17" customHeight="1">
      <c r="A59" s="87">
        <f>IF(IFERROR(MATCH(55,'List B'!$R$5:$R$204,0)+4,"")="","",INDEX('List B'!$A$5:$A$204,IFERROR(MATCH(55,'List B'!$R$5:$R$204,0)+4,"")-4))</f>
        <v/>
      </c>
      <c r="B59" s="53">
        <f>IF(IFERROR(MATCH(55,'List B'!$R$5:$R$204,0)+4,"")="","",INDEX('List B'!$B$5:$B$204,IFERROR(MATCH(55,'List B'!$R$5:$R$204,0)+4,"")-4))</f>
        <v/>
      </c>
      <c r="C59" s="52">
        <f>IF(IFERROR(MATCH(55,'List B'!$R$5:$R$204,0)+4,"")="","",INDEX('List B'!$C$5:$C$204,IFERROR(MATCH(55,'List B'!$R$5:$R$204,0)+4,"")-4))</f>
        <v/>
      </c>
      <c r="D59" s="53">
        <f>IF(IFERROR(MATCH(55,'List B'!$R$5:$R$204,0)+4,"")="","",INDEX('List B'!$D$5:$D$204,IFERROR(MATCH(55,'List B'!$R$5:$R$204,0)+4,"")-4))</f>
        <v/>
      </c>
      <c r="E59" s="53">
        <f>IF(IFERROR(MATCH(55,'List B'!$R$5:$R$204,0)+4,"")="","",INDEX('List B'!$E$5:$E$204,IFERROR(MATCH(55,'List B'!$R$5:$R$204,0)+4,"")-4))</f>
        <v/>
      </c>
      <c r="F59" s="53">
        <f>IF(IFERROR(MATCH(55,'List B'!$R$5:$R$204,0)+4,"")="","",INDEX('List B'!$F$5:$F$204,IFERROR(MATCH(55,'List B'!$R$5:$R$204,0)+4,"")-4))</f>
        <v/>
      </c>
      <c r="G59" s="50">
        <f>IF(IFERROR(MATCH(55,'List B'!$R$5:$R$204,0)+4,"")="","",INDEX('List B'!$G$5:$G$204,IFERROR(MATCH(55,'List B'!$R$5:$R$204,0)+4,"")-4))</f>
        <v/>
      </c>
      <c r="H59" s="53">
        <f>IF(IFERROR(MATCH(55,'List B'!$R$5:$R$204,0)+4,"")="","",INDEX('List B'!$H$5:$H$204,IFERROR(MATCH(55,'List B'!$R$5:$R$204,0)+4,"")-4))</f>
        <v/>
      </c>
      <c r="I59" s="61" t="n"/>
      <c r="J59" s="61" t="n"/>
    </row>
    <row r="60" ht="17" customHeight="1">
      <c r="A60" s="87">
        <f>IF(IFERROR(MATCH(56,'List B'!$R$5:$R$204,0)+4,"")="","",INDEX('List B'!$A$5:$A$204,IFERROR(MATCH(56,'List B'!$R$5:$R$204,0)+4,"")-4))</f>
        <v/>
      </c>
      <c r="B60" s="53">
        <f>IF(IFERROR(MATCH(56,'List B'!$R$5:$R$204,0)+4,"")="","",INDEX('List B'!$B$5:$B$204,IFERROR(MATCH(56,'List B'!$R$5:$R$204,0)+4,"")-4))</f>
        <v/>
      </c>
      <c r="C60" s="52">
        <f>IF(IFERROR(MATCH(56,'List B'!$R$5:$R$204,0)+4,"")="","",INDEX('List B'!$C$5:$C$204,IFERROR(MATCH(56,'List B'!$R$5:$R$204,0)+4,"")-4))</f>
        <v/>
      </c>
      <c r="D60" s="53">
        <f>IF(IFERROR(MATCH(56,'List B'!$R$5:$R$204,0)+4,"")="","",INDEX('List B'!$D$5:$D$204,IFERROR(MATCH(56,'List B'!$R$5:$R$204,0)+4,"")-4))</f>
        <v/>
      </c>
      <c r="E60" s="53">
        <f>IF(IFERROR(MATCH(56,'List B'!$R$5:$R$204,0)+4,"")="","",INDEX('List B'!$E$5:$E$204,IFERROR(MATCH(56,'List B'!$R$5:$R$204,0)+4,"")-4))</f>
        <v/>
      </c>
      <c r="F60" s="53">
        <f>IF(IFERROR(MATCH(56,'List B'!$R$5:$R$204,0)+4,"")="","",INDEX('List B'!$F$5:$F$204,IFERROR(MATCH(56,'List B'!$R$5:$R$204,0)+4,"")-4))</f>
        <v/>
      </c>
      <c r="G60" s="50">
        <f>IF(IFERROR(MATCH(56,'List B'!$R$5:$R$204,0)+4,"")="","",INDEX('List B'!$G$5:$G$204,IFERROR(MATCH(56,'List B'!$R$5:$R$204,0)+4,"")-4))</f>
        <v/>
      </c>
      <c r="H60" s="53">
        <f>IF(IFERROR(MATCH(56,'List B'!$R$5:$R$204,0)+4,"")="","",INDEX('List B'!$H$5:$H$204,IFERROR(MATCH(56,'List B'!$R$5:$R$204,0)+4,"")-4))</f>
        <v/>
      </c>
      <c r="I60" s="61" t="n"/>
      <c r="J60" s="61" t="n"/>
    </row>
    <row r="61" ht="17" customHeight="1">
      <c r="A61" s="87">
        <f>IF(IFERROR(MATCH(57,'List B'!$R$5:$R$204,0)+4,"")="","",INDEX('List B'!$A$5:$A$204,IFERROR(MATCH(57,'List B'!$R$5:$R$204,0)+4,"")-4))</f>
        <v/>
      </c>
      <c r="B61" s="53">
        <f>IF(IFERROR(MATCH(57,'List B'!$R$5:$R$204,0)+4,"")="","",INDEX('List B'!$B$5:$B$204,IFERROR(MATCH(57,'List B'!$R$5:$R$204,0)+4,"")-4))</f>
        <v/>
      </c>
      <c r="C61" s="52">
        <f>IF(IFERROR(MATCH(57,'List B'!$R$5:$R$204,0)+4,"")="","",INDEX('List B'!$C$5:$C$204,IFERROR(MATCH(57,'List B'!$R$5:$R$204,0)+4,"")-4))</f>
        <v/>
      </c>
      <c r="D61" s="53">
        <f>IF(IFERROR(MATCH(57,'List B'!$R$5:$R$204,0)+4,"")="","",INDEX('List B'!$D$5:$D$204,IFERROR(MATCH(57,'List B'!$R$5:$R$204,0)+4,"")-4))</f>
        <v/>
      </c>
      <c r="E61" s="53">
        <f>IF(IFERROR(MATCH(57,'List B'!$R$5:$R$204,0)+4,"")="","",INDEX('List B'!$E$5:$E$204,IFERROR(MATCH(57,'List B'!$R$5:$R$204,0)+4,"")-4))</f>
        <v/>
      </c>
      <c r="F61" s="53">
        <f>IF(IFERROR(MATCH(57,'List B'!$R$5:$R$204,0)+4,"")="","",INDEX('List B'!$F$5:$F$204,IFERROR(MATCH(57,'List B'!$R$5:$R$204,0)+4,"")-4))</f>
        <v/>
      </c>
      <c r="G61" s="50">
        <f>IF(IFERROR(MATCH(57,'List B'!$R$5:$R$204,0)+4,"")="","",INDEX('List B'!$G$5:$G$204,IFERROR(MATCH(57,'List B'!$R$5:$R$204,0)+4,"")-4))</f>
        <v/>
      </c>
      <c r="H61" s="53">
        <f>IF(IFERROR(MATCH(57,'List B'!$R$5:$R$204,0)+4,"")="","",INDEX('List B'!$H$5:$H$204,IFERROR(MATCH(57,'List B'!$R$5:$R$204,0)+4,"")-4))</f>
        <v/>
      </c>
      <c r="I61" s="61" t="n"/>
      <c r="J61" s="61" t="n"/>
    </row>
    <row r="62" ht="17" customHeight="1">
      <c r="A62" s="87">
        <f>IF(IFERROR(MATCH(58,'List B'!$R$5:$R$204,0)+4,"")="","",INDEX('List B'!$A$5:$A$204,IFERROR(MATCH(58,'List B'!$R$5:$R$204,0)+4,"")-4))</f>
        <v/>
      </c>
      <c r="B62" s="53">
        <f>IF(IFERROR(MATCH(58,'List B'!$R$5:$R$204,0)+4,"")="","",INDEX('List B'!$B$5:$B$204,IFERROR(MATCH(58,'List B'!$R$5:$R$204,0)+4,"")-4))</f>
        <v/>
      </c>
      <c r="C62" s="52">
        <f>IF(IFERROR(MATCH(58,'List B'!$R$5:$R$204,0)+4,"")="","",INDEX('List B'!$C$5:$C$204,IFERROR(MATCH(58,'List B'!$R$5:$R$204,0)+4,"")-4))</f>
        <v/>
      </c>
      <c r="D62" s="53">
        <f>IF(IFERROR(MATCH(58,'List B'!$R$5:$R$204,0)+4,"")="","",INDEX('List B'!$D$5:$D$204,IFERROR(MATCH(58,'List B'!$R$5:$R$204,0)+4,"")-4))</f>
        <v/>
      </c>
      <c r="E62" s="53">
        <f>IF(IFERROR(MATCH(58,'List B'!$R$5:$R$204,0)+4,"")="","",INDEX('List B'!$E$5:$E$204,IFERROR(MATCH(58,'List B'!$R$5:$R$204,0)+4,"")-4))</f>
        <v/>
      </c>
      <c r="F62" s="53">
        <f>IF(IFERROR(MATCH(58,'List B'!$R$5:$R$204,0)+4,"")="","",INDEX('List B'!$F$5:$F$204,IFERROR(MATCH(58,'List B'!$R$5:$R$204,0)+4,"")-4))</f>
        <v/>
      </c>
      <c r="G62" s="50">
        <f>IF(IFERROR(MATCH(58,'List B'!$R$5:$R$204,0)+4,"")="","",INDEX('List B'!$G$5:$G$204,IFERROR(MATCH(58,'List B'!$R$5:$R$204,0)+4,"")-4))</f>
        <v/>
      </c>
      <c r="H62" s="53">
        <f>IF(IFERROR(MATCH(58,'List B'!$R$5:$R$204,0)+4,"")="","",INDEX('List B'!$H$5:$H$204,IFERROR(MATCH(58,'List B'!$R$5:$R$204,0)+4,"")-4))</f>
        <v/>
      </c>
      <c r="I62" s="61" t="n"/>
      <c r="J62" s="61" t="n"/>
    </row>
    <row r="63" ht="17" customHeight="1">
      <c r="A63" s="87">
        <f>IF(IFERROR(MATCH(59,'List B'!$R$5:$R$204,0)+4,"")="","",INDEX('List B'!$A$5:$A$204,IFERROR(MATCH(59,'List B'!$R$5:$R$204,0)+4,"")-4))</f>
        <v/>
      </c>
      <c r="B63" s="53">
        <f>IF(IFERROR(MATCH(59,'List B'!$R$5:$R$204,0)+4,"")="","",INDEX('List B'!$B$5:$B$204,IFERROR(MATCH(59,'List B'!$R$5:$R$204,0)+4,"")-4))</f>
        <v/>
      </c>
      <c r="C63" s="52">
        <f>IF(IFERROR(MATCH(59,'List B'!$R$5:$R$204,0)+4,"")="","",INDEX('List B'!$C$5:$C$204,IFERROR(MATCH(59,'List B'!$R$5:$R$204,0)+4,"")-4))</f>
        <v/>
      </c>
      <c r="D63" s="53">
        <f>IF(IFERROR(MATCH(59,'List B'!$R$5:$R$204,0)+4,"")="","",INDEX('List B'!$D$5:$D$204,IFERROR(MATCH(59,'List B'!$R$5:$R$204,0)+4,"")-4))</f>
        <v/>
      </c>
      <c r="E63" s="53">
        <f>IF(IFERROR(MATCH(59,'List B'!$R$5:$R$204,0)+4,"")="","",INDEX('List B'!$E$5:$E$204,IFERROR(MATCH(59,'List B'!$R$5:$R$204,0)+4,"")-4))</f>
        <v/>
      </c>
      <c r="F63" s="53">
        <f>IF(IFERROR(MATCH(59,'List B'!$R$5:$R$204,0)+4,"")="","",INDEX('List B'!$F$5:$F$204,IFERROR(MATCH(59,'List B'!$R$5:$R$204,0)+4,"")-4))</f>
        <v/>
      </c>
      <c r="G63" s="50">
        <f>IF(IFERROR(MATCH(59,'List B'!$R$5:$R$204,0)+4,"")="","",INDEX('List B'!$G$5:$G$204,IFERROR(MATCH(59,'List B'!$R$5:$R$204,0)+4,"")-4))</f>
        <v/>
      </c>
      <c r="H63" s="53">
        <f>IF(IFERROR(MATCH(59,'List B'!$R$5:$R$204,0)+4,"")="","",INDEX('List B'!$H$5:$H$204,IFERROR(MATCH(59,'List B'!$R$5:$R$204,0)+4,"")-4))</f>
        <v/>
      </c>
      <c r="I63" s="61" t="n"/>
      <c r="J63" s="61" t="n"/>
    </row>
    <row r="64" ht="17" customHeight="1">
      <c r="A64" s="87">
        <f>IF(IFERROR(MATCH(60,'List B'!$R$5:$R$204,0)+4,"")="","",INDEX('List B'!$A$5:$A$204,IFERROR(MATCH(60,'List B'!$R$5:$R$204,0)+4,"")-4))</f>
        <v/>
      </c>
      <c r="B64" s="53">
        <f>IF(IFERROR(MATCH(60,'List B'!$R$5:$R$204,0)+4,"")="","",INDEX('List B'!$B$5:$B$204,IFERROR(MATCH(60,'List B'!$R$5:$R$204,0)+4,"")-4))</f>
        <v/>
      </c>
      <c r="C64" s="52">
        <f>IF(IFERROR(MATCH(60,'List B'!$R$5:$R$204,0)+4,"")="","",INDEX('List B'!$C$5:$C$204,IFERROR(MATCH(60,'List B'!$R$5:$R$204,0)+4,"")-4))</f>
        <v/>
      </c>
      <c r="D64" s="53">
        <f>IF(IFERROR(MATCH(60,'List B'!$R$5:$R$204,0)+4,"")="","",INDEX('List B'!$D$5:$D$204,IFERROR(MATCH(60,'List B'!$R$5:$R$204,0)+4,"")-4))</f>
        <v/>
      </c>
      <c r="E64" s="53">
        <f>IF(IFERROR(MATCH(60,'List B'!$R$5:$R$204,0)+4,"")="","",INDEX('List B'!$E$5:$E$204,IFERROR(MATCH(60,'List B'!$R$5:$R$204,0)+4,"")-4))</f>
        <v/>
      </c>
      <c r="F64" s="53">
        <f>IF(IFERROR(MATCH(60,'List B'!$R$5:$R$204,0)+4,"")="","",INDEX('List B'!$F$5:$F$204,IFERROR(MATCH(60,'List B'!$R$5:$R$204,0)+4,"")-4))</f>
        <v/>
      </c>
      <c r="G64" s="50">
        <f>IF(IFERROR(MATCH(60,'List B'!$R$5:$R$204,0)+4,"")="","",INDEX('List B'!$G$5:$G$204,IFERROR(MATCH(60,'List B'!$R$5:$R$204,0)+4,"")-4))</f>
        <v/>
      </c>
      <c r="H64" s="53">
        <f>IF(IFERROR(MATCH(60,'List B'!$R$5:$R$204,0)+4,"")="","",INDEX('List B'!$H$5:$H$204,IFERROR(MATCH(60,'List B'!$R$5:$R$204,0)+4,"")-4))</f>
        <v/>
      </c>
      <c r="I64" s="61" t="n"/>
      <c r="J64" s="61" t="n"/>
    </row>
    <row r="65" ht="17" customHeight="1">
      <c r="A65" s="87">
        <f>IF(IFERROR(MATCH(61,'List B'!$R$5:$R$204,0)+4,"")="","",INDEX('List B'!$A$5:$A$204,IFERROR(MATCH(61,'List B'!$R$5:$R$204,0)+4,"")-4))</f>
        <v/>
      </c>
      <c r="B65" s="53">
        <f>IF(IFERROR(MATCH(61,'List B'!$R$5:$R$204,0)+4,"")="","",INDEX('List B'!$B$5:$B$204,IFERROR(MATCH(61,'List B'!$R$5:$R$204,0)+4,"")-4))</f>
        <v/>
      </c>
      <c r="C65" s="52">
        <f>IF(IFERROR(MATCH(61,'List B'!$R$5:$R$204,0)+4,"")="","",INDEX('List B'!$C$5:$C$204,IFERROR(MATCH(61,'List B'!$R$5:$R$204,0)+4,"")-4))</f>
        <v/>
      </c>
      <c r="D65" s="53">
        <f>IF(IFERROR(MATCH(61,'List B'!$R$5:$R$204,0)+4,"")="","",INDEX('List B'!$D$5:$D$204,IFERROR(MATCH(61,'List B'!$R$5:$R$204,0)+4,"")-4))</f>
        <v/>
      </c>
      <c r="E65" s="53">
        <f>IF(IFERROR(MATCH(61,'List B'!$R$5:$R$204,0)+4,"")="","",INDEX('List B'!$E$5:$E$204,IFERROR(MATCH(61,'List B'!$R$5:$R$204,0)+4,"")-4))</f>
        <v/>
      </c>
      <c r="F65" s="53">
        <f>IF(IFERROR(MATCH(61,'List B'!$R$5:$R$204,0)+4,"")="","",INDEX('List B'!$F$5:$F$204,IFERROR(MATCH(61,'List B'!$R$5:$R$204,0)+4,"")-4))</f>
        <v/>
      </c>
      <c r="G65" s="50">
        <f>IF(IFERROR(MATCH(61,'List B'!$R$5:$R$204,0)+4,"")="","",INDEX('List B'!$G$5:$G$204,IFERROR(MATCH(61,'List B'!$R$5:$R$204,0)+4,"")-4))</f>
        <v/>
      </c>
      <c r="H65" s="53">
        <f>IF(IFERROR(MATCH(61,'List B'!$R$5:$R$204,0)+4,"")="","",INDEX('List B'!$H$5:$H$204,IFERROR(MATCH(61,'List B'!$R$5:$R$204,0)+4,"")-4))</f>
        <v/>
      </c>
      <c r="I65" s="61" t="n"/>
      <c r="J65" s="61" t="n"/>
    </row>
    <row r="66" ht="17" customHeight="1">
      <c r="A66" s="87">
        <f>IF(IFERROR(MATCH(62,'List B'!$R$5:$R$204,0)+4,"")="","",INDEX('List B'!$A$5:$A$204,IFERROR(MATCH(62,'List B'!$R$5:$R$204,0)+4,"")-4))</f>
        <v/>
      </c>
      <c r="B66" s="53">
        <f>IF(IFERROR(MATCH(62,'List B'!$R$5:$R$204,0)+4,"")="","",INDEX('List B'!$B$5:$B$204,IFERROR(MATCH(62,'List B'!$R$5:$R$204,0)+4,"")-4))</f>
        <v/>
      </c>
      <c r="C66" s="52">
        <f>IF(IFERROR(MATCH(62,'List B'!$R$5:$R$204,0)+4,"")="","",INDEX('List B'!$C$5:$C$204,IFERROR(MATCH(62,'List B'!$R$5:$R$204,0)+4,"")-4))</f>
        <v/>
      </c>
      <c r="D66" s="53">
        <f>IF(IFERROR(MATCH(62,'List B'!$R$5:$R$204,0)+4,"")="","",INDEX('List B'!$D$5:$D$204,IFERROR(MATCH(62,'List B'!$R$5:$R$204,0)+4,"")-4))</f>
        <v/>
      </c>
      <c r="E66" s="53">
        <f>IF(IFERROR(MATCH(62,'List B'!$R$5:$R$204,0)+4,"")="","",INDEX('List B'!$E$5:$E$204,IFERROR(MATCH(62,'List B'!$R$5:$R$204,0)+4,"")-4))</f>
        <v/>
      </c>
      <c r="F66" s="53">
        <f>IF(IFERROR(MATCH(62,'List B'!$R$5:$R$204,0)+4,"")="","",INDEX('List B'!$F$5:$F$204,IFERROR(MATCH(62,'List B'!$R$5:$R$204,0)+4,"")-4))</f>
        <v/>
      </c>
      <c r="G66" s="50">
        <f>IF(IFERROR(MATCH(62,'List B'!$R$5:$R$204,0)+4,"")="","",INDEX('List B'!$G$5:$G$204,IFERROR(MATCH(62,'List B'!$R$5:$R$204,0)+4,"")-4))</f>
        <v/>
      </c>
      <c r="H66" s="53">
        <f>IF(IFERROR(MATCH(62,'List B'!$R$5:$R$204,0)+4,"")="","",INDEX('List B'!$H$5:$H$204,IFERROR(MATCH(62,'List B'!$R$5:$R$204,0)+4,"")-4))</f>
        <v/>
      </c>
      <c r="I66" s="61" t="n"/>
      <c r="J66" s="61" t="n"/>
    </row>
    <row r="67" ht="17" customHeight="1">
      <c r="A67" s="87">
        <f>IF(IFERROR(MATCH(63,'List B'!$R$5:$R$204,0)+4,"")="","",INDEX('List B'!$A$5:$A$204,IFERROR(MATCH(63,'List B'!$R$5:$R$204,0)+4,"")-4))</f>
        <v/>
      </c>
      <c r="B67" s="53">
        <f>IF(IFERROR(MATCH(63,'List B'!$R$5:$R$204,0)+4,"")="","",INDEX('List B'!$B$5:$B$204,IFERROR(MATCH(63,'List B'!$R$5:$R$204,0)+4,"")-4))</f>
        <v/>
      </c>
      <c r="C67" s="52">
        <f>IF(IFERROR(MATCH(63,'List B'!$R$5:$R$204,0)+4,"")="","",INDEX('List B'!$C$5:$C$204,IFERROR(MATCH(63,'List B'!$R$5:$R$204,0)+4,"")-4))</f>
        <v/>
      </c>
      <c r="D67" s="53">
        <f>IF(IFERROR(MATCH(63,'List B'!$R$5:$R$204,0)+4,"")="","",INDEX('List B'!$D$5:$D$204,IFERROR(MATCH(63,'List B'!$R$5:$R$204,0)+4,"")-4))</f>
        <v/>
      </c>
      <c r="E67" s="53">
        <f>IF(IFERROR(MATCH(63,'List B'!$R$5:$R$204,0)+4,"")="","",INDEX('List B'!$E$5:$E$204,IFERROR(MATCH(63,'List B'!$R$5:$R$204,0)+4,"")-4))</f>
        <v/>
      </c>
      <c r="F67" s="53">
        <f>IF(IFERROR(MATCH(63,'List B'!$R$5:$R$204,0)+4,"")="","",INDEX('List B'!$F$5:$F$204,IFERROR(MATCH(63,'List B'!$R$5:$R$204,0)+4,"")-4))</f>
        <v/>
      </c>
      <c r="G67" s="50">
        <f>IF(IFERROR(MATCH(63,'List B'!$R$5:$R$204,0)+4,"")="","",INDEX('List B'!$G$5:$G$204,IFERROR(MATCH(63,'List B'!$R$5:$R$204,0)+4,"")-4))</f>
        <v/>
      </c>
      <c r="H67" s="53">
        <f>IF(IFERROR(MATCH(63,'List B'!$R$5:$R$204,0)+4,"")="","",INDEX('List B'!$H$5:$H$204,IFERROR(MATCH(63,'List B'!$R$5:$R$204,0)+4,"")-4))</f>
        <v/>
      </c>
      <c r="I67" s="61" t="n"/>
      <c r="J67" s="61" t="n"/>
    </row>
    <row r="68" ht="17" customHeight="1">
      <c r="A68" s="87">
        <f>IF(IFERROR(MATCH(64,'List B'!$R$5:$R$204,0)+4,"")="","",INDEX('List B'!$A$5:$A$204,IFERROR(MATCH(64,'List B'!$R$5:$R$204,0)+4,"")-4))</f>
        <v/>
      </c>
      <c r="B68" s="53">
        <f>IF(IFERROR(MATCH(64,'List B'!$R$5:$R$204,0)+4,"")="","",INDEX('List B'!$B$5:$B$204,IFERROR(MATCH(64,'List B'!$R$5:$R$204,0)+4,"")-4))</f>
        <v/>
      </c>
      <c r="C68" s="52">
        <f>IF(IFERROR(MATCH(64,'List B'!$R$5:$R$204,0)+4,"")="","",INDEX('List B'!$C$5:$C$204,IFERROR(MATCH(64,'List B'!$R$5:$R$204,0)+4,"")-4))</f>
        <v/>
      </c>
      <c r="D68" s="53">
        <f>IF(IFERROR(MATCH(64,'List B'!$R$5:$R$204,0)+4,"")="","",INDEX('List B'!$D$5:$D$204,IFERROR(MATCH(64,'List B'!$R$5:$R$204,0)+4,"")-4))</f>
        <v/>
      </c>
      <c r="E68" s="53">
        <f>IF(IFERROR(MATCH(64,'List B'!$R$5:$R$204,0)+4,"")="","",INDEX('List B'!$E$5:$E$204,IFERROR(MATCH(64,'List B'!$R$5:$R$204,0)+4,"")-4))</f>
        <v/>
      </c>
      <c r="F68" s="53">
        <f>IF(IFERROR(MATCH(64,'List B'!$R$5:$R$204,0)+4,"")="","",INDEX('List B'!$F$5:$F$204,IFERROR(MATCH(64,'List B'!$R$5:$R$204,0)+4,"")-4))</f>
        <v/>
      </c>
      <c r="G68" s="50">
        <f>IF(IFERROR(MATCH(64,'List B'!$R$5:$R$204,0)+4,"")="","",INDEX('List B'!$G$5:$G$204,IFERROR(MATCH(64,'List B'!$R$5:$R$204,0)+4,"")-4))</f>
        <v/>
      </c>
      <c r="H68" s="53">
        <f>IF(IFERROR(MATCH(64,'List B'!$R$5:$R$204,0)+4,"")="","",INDEX('List B'!$H$5:$H$204,IFERROR(MATCH(64,'List B'!$R$5:$R$204,0)+4,"")-4))</f>
        <v/>
      </c>
      <c r="I68" s="61" t="n"/>
      <c r="J68" s="61" t="n"/>
    </row>
    <row r="69" ht="17" customHeight="1">
      <c r="A69" s="87">
        <f>IF(IFERROR(MATCH(65,'List B'!$R$5:$R$204,0)+4,"")="","",INDEX('List B'!$A$5:$A$204,IFERROR(MATCH(65,'List B'!$R$5:$R$204,0)+4,"")-4))</f>
        <v/>
      </c>
      <c r="B69" s="53">
        <f>IF(IFERROR(MATCH(65,'List B'!$R$5:$R$204,0)+4,"")="","",INDEX('List B'!$B$5:$B$204,IFERROR(MATCH(65,'List B'!$R$5:$R$204,0)+4,"")-4))</f>
        <v/>
      </c>
      <c r="C69" s="52">
        <f>IF(IFERROR(MATCH(65,'List B'!$R$5:$R$204,0)+4,"")="","",INDEX('List B'!$C$5:$C$204,IFERROR(MATCH(65,'List B'!$R$5:$R$204,0)+4,"")-4))</f>
        <v/>
      </c>
      <c r="D69" s="53">
        <f>IF(IFERROR(MATCH(65,'List B'!$R$5:$R$204,0)+4,"")="","",INDEX('List B'!$D$5:$D$204,IFERROR(MATCH(65,'List B'!$R$5:$R$204,0)+4,"")-4))</f>
        <v/>
      </c>
      <c r="E69" s="53">
        <f>IF(IFERROR(MATCH(65,'List B'!$R$5:$R$204,0)+4,"")="","",INDEX('List B'!$E$5:$E$204,IFERROR(MATCH(65,'List B'!$R$5:$R$204,0)+4,"")-4))</f>
        <v/>
      </c>
      <c r="F69" s="53">
        <f>IF(IFERROR(MATCH(65,'List B'!$R$5:$R$204,0)+4,"")="","",INDEX('List B'!$F$5:$F$204,IFERROR(MATCH(65,'List B'!$R$5:$R$204,0)+4,"")-4))</f>
        <v/>
      </c>
      <c r="G69" s="50">
        <f>IF(IFERROR(MATCH(65,'List B'!$R$5:$R$204,0)+4,"")="","",INDEX('List B'!$G$5:$G$204,IFERROR(MATCH(65,'List B'!$R$5:$R$204,0)+4,"")-4))</f>
        <v/>
      </c>
      <c r="H69" s="53">
        <f>IF(IFERROR(MATCH(65,'List B'!$R$5:$R$204,0)+4,"")="","",INDEX('List B'!$H$5:$H$204,IFERROR(MATCH(65,'List B'!$R$5:$R$204,0)+4,"")-4))</f>
        <v/>
      </c>
      <c r="I69" s="61" t="n"/>
      <c r="J69" s="61" t="n"/>
    </row>
    <row r="70" ht="17" customHeight="1">
      <c r="A70" s="87">
        <f>IF(IFERROR(MATCH(66,'List B'!$R$5:$R$204,0)+4,"")="","",INDEX('List B'!$A$5:$A$204,IFERROR(MATCH(66,'List B'!$R$5:$R$204,0)+4,"")-4))</f>
        <v/>
      </c>
      <c r="B70" s="53">
        <f>IF(IFERROR(MATCH(66,'List B'!$R$5:$R$204,0)+4,"")="","",INDEX('List B'!$B$5:$B$204,IFERROR(MATCH(66,'List B'!$R$5:$R$204,0)+4,"")-4))</f>
        <v/>
      </c>
      <c r="C70" s="52">
        <f>IF(IFERROR(MATCH(66,'List B'!$R$5:$R$204,0)+4,"")="","",INDEX('List B'!$C$5:$C$204,IFERROR(MATCH(66,'List B'!$R$5:$R$204,0)+4,"")-4))</f>
        <v/>
      </c>
      <c r="D70" s="53">
        <f>IF(IFERROR(MATCH(66,'List B'!$R$5:$R$204,0)+4,"")="","",INDEX('List B'!$D$5:$D$204,IFERROR(MATCH(66,'List B'!$R$5:$R$204,0)+4,"")-4))</f>
        <v/>
      </c>
      <c r="E70" s="53">
        <f>IF(IFERROR(MATCH(66,'List B'!$R$5:$R$204,0)+4,"")="","",INDEX('List B'!$E$5:$E$204,IFERROR(MATCH(66,'List B'!$R$5:$R$204,0)+4,"")-4))</f>
        <v/>
      </c>
      <c r="F70" s="53">
        <f>IF(IFERROR(MATCH(66,'List B'!$R$5:$R$204,0)+4,"")="","",INDEX('List B'!$F$5:$F$204,IFERROR(MATCH(66,'List B'!$R$5:$R$204,0)+4,"")-4))</f>
        <v/>
      </c>
      <c r="G70" s="50">
        <f>IF(IFERROR(MATCH(66,'List B'!$R$5:$R$204,0)+4,"")="","",INDEX('List B'!$G$5:$G$204,IFERROR(MATCH(66,'List B'!$R$5:$R$204,0)+4,"")-4))</f>
        <v/>
      </c>
      <c r="H70" s="53">
        <f>IF(IFERROR(MATCH(66,'List B'!$R$5:$R$204,0)+4,"")="","",INDEX('List B'!$H$5:$H$204,IFERROR(MATCH(66,'List B'!$R$5:$R$204,0)+4,"")-4))</f>
        <v/>
      </c>
      <c r="I70" s="61" t="n"/>
      <c r="J70" s="61" t="n"/>
    </row>
    <row r="71" ht="17" customHeight="1">
      <c r="A71" s="87">
        <f>IF(IFERROR(MATCH(67,'List B'!$R$5:$R$204,0)+4,"")="","",INDEX('List B'!$A$5:$A$204,IFERROR(MATCH(67,'List B'!$R$5:$R$204,0)+4,"")-4))</f>
        <v/>
      </c>
      <c r="B71" s="53">
        <f>IF(IFERROR(MATCH(67,'List B'!$R$5:$R$204,0)+4,"")="","",INDEX('List B'!$B$5:$B$204,IFERROR(MATCH(67,'List B'!$R$5:$R$204,0)+4,"")-4))</f>
        <v/>
      </c>
      <c r="C71" s="52">
        <f>IF(IFERROR(MATCH(67,'List B'!$R$5:$R$204,0)+4,"")="","",INDEX('List B'!$C$5:$C$204,IFERROR(MATCH(67,'List B'!$R$5:$R$204,0)+4,"")-4))</f>
        <v/>
      </c>
      <c r="D71" s="53">
        <f>IF(IFERROR(MATCH(67,'List B'!$R$5:$R$204,0)+4,"")="","",INDEX('List B'!$D$5:$D$204,IFERROR(MATCH(67,'List B'!$R$5:$R$204,0)+4,"")-4))</f>
        <v/>
      </c>
      <c r="E71" s="53">
        <f>IF(IFERROR(MATCH(67,'List B'!$R$5:$R$204,0)+4,"")="","",INDEX('List B'!$E$5:$E$204,IFERROR(MATCH(67,'List B'!$R$5:$R$204,0)+4,"")-4))</f>
        <v/>
      </c>
      <c r="F71" s="53">
        <f>IF(IFERROR(MATCH(67,'List B'!$R$5:$R$204,0)+4,"")="","",INDEX('List B'!$F$5:$F$204,IFERROR(MATCH(67,'List B'!$R$5:$R$204,0)+4,"")-4))</f>
        <v/>
      </c>
      <c r="G71" s="50">
        <f>IF(IFERROR(MATCH(67,'List B'!$R$5:$R$204,0)+4,"")="","",INDEX('List B'!$G$5:$G$204,IFERROR(MATCH(67,'List B'!$R$5:$R$204,0)+4,"")-4))</f>
        <v/>
      </c>
      <c r="H71" s="53">
        <f>IF(IFERROR(MATCH(67,'List B'!$R$5:$R$204,0)+4,"")="","",INDEX('List B'!$H$5:$H$204,IFERROR(MATCH(67,'List B'!$R$5:$R$204,0)+4,"")-4))</f>
        <v/>
      </c>
      <c r="I71" s="61" t="n"/>
      <c r="J71" s="61" t="n"/>
    </row>
    <row r="72" ht="17" customHeight="1">
      <c r="A72" s="87">
        <f>IF(IFERROR(MATCH(68,'List B'!$R$5:$R$204,0)+4,"")="","",INDEX('List B'!$A$5:$A$204,IFERROR(MATCH(68,'List B'!$R$5:$R$204,0)+4,"")-4))</f>
        <v/>
      </c>
      <c r="B72" s="53">
        <f>IF(IFERROR(MATCH(68,'List B'!$R$5:$R$204,0)+4,"")="","",INDEX('List B'!$B$5:$B$204,IFERROR(MATCH(68,'List B'!$R$5:$R$204,0)+4,"")-4))</f>
        <v/>
      </c>
      <c r="C72" s="52">
        <f>IF(IFERROR(MATCH(68,'List B'!$R$5:$R$204,0)+4,"")="","",INDEX('List B'!$C$5:$C$204,IFERROR(MATCH(68,'List B'!$R$5:$R$204,0)+4,"")-4))</f>
        <v/>
      </c>
      <c r="D72" s="53">
        <f>IF(IFERROR(MATCH(68,'List B'!$R$5:$R$204,0)+4,"")="","",INDEX('List B'!$D$5:$D$204,IFERROR(MATCH(68,'List B'!$R$5:$R$204,0)+4,"")-4))</f>
        <v/>
      </c>
      <c r="E72" s="53">
        <f>IF(IFERROR(MATCH(68,'List B'!$R$5:$R$204,0)+4,"")="","",INDEX('List B'!$E$5:$E$204,IFERROR(MATCH(68,'List B'!$R$5:$R$204,0)+4,"")-4))</f>
        <v/>
      </c>
      <c r="F72" s="53">
        <f>IF(IFERROR(MATCH(68,'List B'!$R$5:$R$204,0)+4,"")="","",INDEX('List B'!$F$5:$F$204,IFERROR(MATCH(68,'List B'!$R$5:$R$204,0)+4,"")-4))</f>
        <v/>
      </c>
      <c r="G72" s="50">
        <f>IF(IFERROR(MATCH(68,'List B'!$R$5:$R$204,0)+4,"")="","",INDEX('List B'!$G$5:$G$204,IFERROR(MATCH(68,'List B'!$R$5:$R$204,0)+4,"")-4))</f>
        <v/>
      </c>
      <c r="H72" s="53">
        <f>IF(IFERROR(MATCH(68,'List B'!$R$5:$R$204,0)+4,"")="","",INDEX('List B'!$H$5:$H$204,IFERROR(MATCH(68,'List B'!$R$5:$R$204,0)+4,"")-4))</f>
        <v/>
      </c>
      <c r="I72" s="61" t="n"/>
      <c r="J72" s="61" t="n"/>
    </row>
    <row r="73" ht="17" customHeight="1">
      <c r="A73" s="87">
        <f>IF(IFERROR(MATCH(69,'List B'!$R$5:$R$204,0)+4,"")="","",INDEX('List B'!$A$5:$A$204,IFERROR(MATCH(69,'List B'!$R$5:$R$204,0)+4,"")-4))</f>
        <v/>
      </c>
      <c r="B73" s="53">
        <f>IF(IFERROR(MATCH(69,'List B'!$R$5:$R$204,0)+4,"")="","",INDEX('List B'!$B$5:$B$204,IFERROR(MATCH(69,'List B'!$R$5:$R$204,0)+4,"")-4))</f>
        <v/>
      </c>
      <c r="C73" s="52">
        <f>IF(IFERROR(MATCH(69,'List B'!$R$5:$R$204,0)+4,"")="","",INDEX('List B'!$C$5:$C$204,IFERROR(MATCH(69,'List B'!$R$5:$R$204,0)+4,"")-4))</f>
        <v/>
      </c>
      <c r="D73" s="53">
        <f>IF(IFERROR(MATCH(69,'List B'!$R$5:$R$204,0)+4,"")="","",INDEX('List B'!$D$5:$D$204,IFERROR(MATCH(69,'List B'!$R$5:$R$204,0)+4,"")-4))</f>
        <v/>
      </c>
      <c r="E73" s="53">
        <f>IF(IFERROR(MATCH(69,'List B'!$R$5:$R$204,0)+4,"")="","",INDEX('List B'!$E$5:$E$204,IFERROR(MATCH(69,'List B'!$R$5:$R$204,0)+4,"")-4))</f>
        <v/>
      </c>
      <c r="F73" s="53">
        <f>IF(IFERROR(MATCH(69,'List B'!$R$5:$R$204,0)+4,"")="","",INDEX('List B'!$F$5:$F$204,IFERROR(MATCH(69,'List B'!$R$5:$R$204,0)+4,"")-4))</f>
        <v/>
      </c>
      <c r="G73" s="50">
        <f>IF(IFERROR(MATCH(69,'List B'!$R$5:$R$204,0)+4,"")="","",INDEX('List B'!$G$5:$G$204,IFERROR(MATCH(69,'List B'!$R$5:$R$204,0)+4,"")-4))</f>
        <v/>
      </c>
      <c r="H73" s="53">
        <f>IF(IFERROR(MATCH(69,'List B'!$R$5:$R$204,0)+4,"")="","",INDEX('List B'!$H$5:$H$204,IFERROR(MATCH(69,'List B'!$R$5:$R$204,0)+4,"")-4))</f>
        <v/>
      </c>
      <c r="I73" s="61" t="n"/>
      <c r="J73" s="61" t="n"/>
    </row>
    <row r="74" ht="17" customHeight="1">
      <c r="A74" s="87">
        <f>IF(IFERROR(MATCH(70,'List B'!$R$5:$R$204,0)+4,"")="","",INDEX('List B'!$A$5:$A$204,IFERROR(MATCH(70,'List B'!$R$5:$R$204,0)+4,"")-4))</f>
        <v/>
      </c>
      <c r="B74" s="53">
        <f>IF(IFERROR(MATCH(70,'List B'!$R$5:$R$204,0)+4,"")="","",INDEX('List B'!$B$5:$B$204,IFERROR(MATCH(70,'List B'!$R$5:$R$204,0)+4,"")-4))</f>
        <v/>
      </c>
      <c r="C74" s="52">
        <f>IF(IFERROR(MATCH(70,'List B'!$R$5:$R$204,0)+4,"")="","",INDEX('List B'!$C$5:$C$204,IFERROR(MATCH(70,'List B'!$R$5:$R$204,0)+4,"")-4))</f>
        <v/>
      </c>
      <c r="D74" s="53">
        <f>IF(IFERROR(MATCH(70,'List B'!$R$5:$R$204,0)+4,"")="","",INDEX('List B'!$D$5:$D$204,IFERROR(MATCH(70,'List B'!$R$5:$R$204,0)+4,"")-4))</f>
        <v/>
      </c>
      <c r="E74" s="53">
        <f>IF(IFERROR(MATCH(70,'List B'!$R$5:$R$204,0)+4,"")="","",INDEX('List B'!$E$5:$E$204,IFERROR(MATCH(70,'List B'!$R$5:$R$204,0)+4,"")-4))</f>
        <v/>
      </c>
      <c r="F74" s="53">
        <f>IF(IFERROR(MATCH(70,'List B'!$R$5:$R$204,0)+4,"")="","",INDEX('List B'!$F$5:$F$204,IFERROR(MATCH(70,'List B'!$R$5:$R$204,0)+4,"")-4))</f>
        <v/>
      </c>
      <c r="G74" s="50">
        <f>IF(IFERROR(MATCH(70,'List B'!$R$5:$R$204,0)+4,"")="","",INDEX('List B'!$G$5:$G$204,IFERROR(MATCH(70,'List B'!$R$5:$R$204,0)+4,"")-4))</f>
        <v/>
      </c>
      <c r="H74" s="53">
        <f>IF(IFERROR(MATCH(70,'List B'!$R$5:$R$204,0)+4,"")="","",INDEX('List B'!$H$5:$H$204,IFERROR(MATCH(70,'List B'!$R$5:$R$204,0)+4,"")-4))</f>
        <v/>
      </c>
      <c r="I74" s="61" t="n"/>
      <c r="J74" s="61" t="n"/>
    </row>
    <row r="75" ht="17" customHeight="1">
      <c r="A75" s="87">
        <f>IF(IFERROR(MATCH(71,'List B'!$R$5:$R$204,0)+4,"")="","",INDEX('List B'!$A$5:$A$204,IFERROR(MATCH(71,'List B'!$R$5:$R$204,0)+4,"")-4))</f>
        <v/>
      </c>
      <c r="B75" s="53">
        <f>IF(IFERROR(MATCH(71,'List B'!$R$5:$R$204,0)+4,"")="","",INDEX('List B'!$B$5:$B$204,IFERROR(MATCH(71,'List B'!$R$5:$R$204,0)+4,"")-4))</f>
        <v/>
      </c>
      <c r="C75" s="52">
        <f>IF(IFERROR(MATCH(71,'List B'!$R$5:$R$204,0)+4,"")="","",INDEX('List B'!$C$5:$C$204,IFERROR(MATCH(71,'List B'!$R$5:$R$204,0)+4,"")-4))</f>
        <v/>
      </c>
      <c r="D75" s="53">
        <f>IF(IFERROR(MATCH(71,'List B'!$R$5:$R$204,0)+4,"")="","",INDEX('List B'!$D$5:$D$204,IFERROR(MATCH(71,'List B'!$R$5:$R$204,0)+4,"")-4))</f>
        <v/>
      </c>
      <c r="E75" s="53">
        <f>IF(IFERROR(MATCH(71,'List B'!$R$5:$R$204,0)+4,"")="","",INDEX('List B'!$E$5:$E$204,IFERROR(MATCH(71,'List B'!$R$5:$R$204,0)+4,"")-4))</f>
        <v/>
      </c>
      <c r="F75" s="53">
        <f>IF(IFERROR(MATCH(71,'List B'!$R$5:$R$204,0)+4,"")="","",INDEX('List B'!$F$5:$F$204,IFERROR(MATCH(71,'List B'!$R$5:$R$204,0)+4,"")-4))</f>
        <v/>
      </c>
      <c r="G75" s="50">
        <f>IF(IFERROR(MATCH(71,'List B'!$R$5:$R$204,0)+4,"")="","",INDEX('List B'!$G$5:$G$204,IFERROR(MATCH(71,'List B'!$R$5:$R$204,0)+4,"")-4))</f>
        <v/>
      </c>
      <c r="H75" s="53">
        <f>IF(IFERROR(MATCH(71,'List B'!$R$5:$R$204,0)+4,"")="","",INDEX('List B'!$H$5:$H$204,IFERROR(MATCH(71,'List B'!$R$5:$R$204,0)+4,"")-4))</f>
        <v/>
      </c>
      <c r="I75" s="61" t="n"/>
      <c r="J75" s="61" t="n"/>
    </row>
    <row r="76" ht="17" customHeight="1">
      <c r="A76" s="87">
        <f>IF(IFERROR(MATCH(72,'List B'!$R$5:$R$204,0)+4,"")="","",INDEX('List B'!$A$5:$A$204,IFERROR(MATCH(72,'List B'!$R$5:$R$204,0)+4,"")-4))</f>
        <v/>
      </c>
      <c r="B76" s="53">
        <f>IF(IFERROR(MATCH(72,'List B'!$R$5:$R$204,0)+4,"")="","",INDEX('List B'!$B$5:$B$204,IFERROR(MATCH(72,'List B'!$R$5:$R$204,0)+4,"")-4))</f>
        <v/>
      </c>
      <c r="C76" s="52">
        <f>IF(IFERROR(MATCH(72,'List B'!$R$5:$R$204,0)+4,"")="","",INDEX('List B'!$C$5:$C$204,IFERROR(MATCH(72,'List B'!$R$5:$R$204,0)+4,"")-4))</f>
        <v/>
      </c>
      <c r="D76" s="53">
        <f>IF(IFERROR(MATCH(72,'List B'!$R$5:$R$204,0)+4,"")="","",INDEX('List B'!$D$5:$D$204,IFERROR(MATCH(72,'List B'!$R$5:$R$204,0)+4,"")-4))</f>
        <v/>
      </c>
      <c r="E76" s="53">
        <f>IF(IFERROR(MATCH(72,'List B'!$R$5:$R$204,0)+4,"")="","",INDEX('List B'!$E$5:$E$204,IFERROR(MATCH(72,'List B'!$R$5:$R$204,0)+4,"")-4))</f>
        <v/>
      </c>
      <c r="F76" s="53">
        <f>IF(IFERROR(MATCH(72,'List B'!$R$5:$R$204,0)+4,"")="","",INDEX('List B'!$F$5:$F$204,IFERROR(MATCH(72,'List B'!$R$5:$R$204,0)+4,"")-4))</f>
        <v/>
      </c>
      <c r="G76" s="50">
        <f>IF(IFERROR(MATCH(72,'List B'!$R$5:$R$204,0)+4,"")="","",INDEX('List B'!$G$5:$G$204,IFERROR(MATCH(72,'List B'!$R$5:$R$204,0)+4,"")-4))</f>
        <v/>
      </c>
      <c r="H76" s="53">
        <f>IF(IFERROR(MATCH(72,'List B'!$R$5:$R$204,0)+4,"")="","",INDEX('List B'!$H$5:$H$204,IFERROR(MATCH(72,'List B'!$R$5:$R$204,0)+4,"")-4))</f>
        <v/>
      </c>
      <c r="I76" s="61" t="n"/>
      <c r="J76" s="61" t="n"/>
    </row>
    <row r="77" ht="17" customHeight="1">
      <c r="A77" s="87">
        <f>IF(IFERROR(MATCH(73,'List B'!$R$5:$R$204,0)+4,"")="","",INDEX('List B'!$A$5:$A$204,IFERROR(MATCH(73,'List B'!$R$5:$R$204,0)+4,"")-4))</f>
        <v/>
      </c>
      <c r="B77" s="53">
        <f>IF(IFERROR(MATCH(73,'List B'!$R$5:$R$204,0)+4,"")="","",INDEX('List B'!$B$5:$B$204,IFERROR(MATCH(73,'List B'!$R$5:$R$204,0)+4,"")-4))</f>
        <v/>
      </c>
      <c r="C77" s="52">
        <f>IF(IFERROR(MATCH(73,'List B'!$R$5:$R$204,0)+4,"")="","",INDEX('List B'!$C$5:$C$204,IFERROR(MATCH(73,'List B'!$R$5:$R$204,0)+4,"")-4))</f>
        <v/>
      </c>
      <c r="D77" s="53">
        <f>IF(IFERROR(MATCH(73,'List B'!$R$5:$R$204,0)+4,"")="","",INDEX('List B'!$D$5:$D$204,IFERROR(MATCH(73,'List B'!$R$5:$R$204,0)+4,"")-4))</f>
        <v/>
      </c>
      <c r="E77" s="53">
        <f>IF(IFERROR(MATCH(73,'List B'!$R$5:$R$204,0)+4,"")="","",INDEX('List B'!$E$5:$E$204,IFERROR(MATCH(73,'List B'!$R$5:$R$204,0)+4,"")-4))</f>
        <v/>
      </c>
      <c r="F77" s="53">
        <f>IF(IFERROR(MATCH(73,'List B'!$R$5:$R$204,0)+4,"")="","",INDEX('List B'!$F$5:$F$204,IFERROR(MATCH(73,'List B'!$R$5:$R$204,0)+4,"")-4))</f>
        <v/>
      </c>
      <c r="G77" s="50">
        <f>IF(IFERROR(MATCH(73,'List B'!$R$5:$R$204,0)+4,"")="","",INDEX('List B'!$G$5:$G$204,IFERROR(MATCH(73,'List B'!$R$5:$R$204,0)+4,"")-4))</f>
        <v/>
      </c>
      <c r="H77" s="53">
        <f>IF(IFERROR(MATCH(73,'List B'!$R$5:$R$204,0)+4,"")="","",INDEX('List B'!$H$5:$H$204,IFERROR(MATCH(73,'List B'!$R$5:$R$204,0)+4,"")-4))</f>
        <v/>
      </c>
      <c r="I77" s="61" t="n"/>
      <c r="J77" s="61" t="n"/>
    </row>
    <row r="78" ht="17" customHeight="1">
      <c r="A78" s="87">
        <f>IF(IFERROR(MATCH(74,'List B'!$R$5:$R$204,0)+4,"")="","",INDEX('List B'!$A$5:$A$204,IFERROR(MATCH(74,'List B'!$R$5:$R$204,0)+4,"")-4))</f>
        <v/>
      </c>
      <c r="B78" s="53">
        <f>IF(IFERROR(MATCH(74,'List B'!$R$5:$R$204,0)+4,"")="","",INDEX('List B'!$B$5:$B$204,IFERROR(MATCH(74,'List B'!$R$5:$R$204,0)+4,"")-4))</f>
        <v/>
      </c>
      <c r="C78" s="52">
        <f>IF(IFERROR(MATCH(74,'List B'!$R$5:$R$204,0)+4,"")="","",INDEX('List B'!$C$5:$C$204,IFERROR(MATCH(74,'List B'!$R$5:$R$204,0)+4,"")-4))</f>
        <v/>
      </c>
      <c r="D78" s="53">
        <f>IF(IFERROR(MATCH(74,'List B'!$R$5:$R$204,0)+4,"")="","",INDEX('List B'!$D$5:$D$204,IFERROR(MATCH(74,'List B'!$R$5:$R$204,0)+4,"")-4))</f>
        <v/>
      </c>
      <c r="E78" s="53">
        <f>IF(IFERROR(MATCH(74,'List B'!$R$5:$R$204,0)+4,"")="","",INDEX('List B'!$E$5:$E$204,IFERROR(MATCH(74,'List B'!$R$5:$R$204,0)+4,"")-4))</f>
        <v/>
      </c>
      <c r="F78" s="53">
        <f>IF(IFERROR(MATCH(74,'List B'!$R$5:$R$204,0)+4,"")="","",INDEX('List B'!$F$5:$F$204,IFERROR(MATCH(74,'List B'!$R$5:$R$204,0)+4,"")-4))</f>
        <v/>
      </c>
      <c r="G78" s="50">
        <f>IF(IFERROR(MATCH(74,'List B'!$R$5:$R$204,0)+4,"")="","",INDEX('List B'!$G$5:$G$204,IFERROR(MATCH(74,'List B'!$R$5:$R$204,0)+4,"")-4))</f>
        <v/>
      </c>
      <c r="H78" s="53">
        <f>IF(IFERROR(MATCH(74,'List B'!$R$5:$R$204,0)+4,"")="","",INDEX('List B'!$H$5:$H$204,IFERROR(MATCH(74,'List B'!$R$5:$R$204,0)+4,"")-4))</f>
        <v/>
      </c>
      <c r="I78" s="61" t="n"/>
      <c r="J78" s="61" t="n"/>
    </row>
    <row r="79" ht="17" customHeight="1">
      <c r="A79" s="87">
        <f>IF(IFERROR(MATCH(75,'List B'!$R$5:$R$204,0)+4,"")="","",INDEX('List B'!$A$5:$A$204,IFERROR(MATCH(75,'List B'!$R$5:$R$204,0)+4,"")-4))</f>
        <v/>
      </c>
      <c r="B79" s="53">
        <f>IF(IFERROR(MATCH(75,'List B'!$R$5:$R$204,0)+4,"")="","",INDEX('List B'!$B$5:$B$204,IFERROR(MATCH(75,'List B'!$R$5:$R$204,0)+4,"")-4))</f>
        <v/>
      </c>
      <c r="C79" s="52">
        <f>IF(IFERROR(MATCH(75,'List B'!$R$5:$R$204,0)+4,"")="","",INDEX('List B'!$C$5:$C$204,IFERROR(MATCH(75,'List B'!$R$5:$R$204,0)+4,"")-4))</f>
        <v/>
      </c>
      <c r="D79" s="53">
        <f>IF(IFERROR(MATCH(75,'List B'!$R$5:$R$204,0)+4,"")="","",INDEX('List B'!$D$5:$D$204,IFERROR(MATCH(75,'List B'!$R$5:$R$204,0)+4,"")-4))</f>
        <v/>
      </c>
      <c r="E79" s="53">
        <f>IF(IFERROR(MATCH(75,'List B'!$R$5:$R$204,0)+4,"")="","",INDEX('List B'!$E$5:$E$204,IFERROR(MATCH(75,'List B'!$R$5:$R$204,0)+4,"")-4))</f>
        <v/>
      </c>
      <c r="F79" s="53">
        <f>IF(IFERROR(MATCH(75,'List B'!$R$5:$R$204,0)+4,"")="","",INDEX('List B'!$F$5:$F$204,IFERROR(MATCH(75,'List B'!$R$5:$R$204,0)+4,"")-4))</f>
        <v/>
      </c>
      <c r="G79" s="50">
        <f>IF(IFERROR(MATCH(75,'List B'!$R$5:$R$204,0)+4,"")="","",INDEX('List B'!$G$5:$G$204,IFERROR(MATCH(75,'List B'!$R$5:$R$204,0)+4,"")-4))</f>
        <v/>
      </c>
      <c r="H79" s="53">
        <f>IF(IFERROR(MATCH(75,'List B'!$R$5:$R$204,0)+4,"")="","",INDEX('List B'!$H$5:$H$204,IFERROR(MATCH(75,'List B'!$R$5:$R$204,0)+4,"")-4))</f>
        <v/>
      </c>
      <c r="I79" s="61" t="n"/>
      <c r="J79" s="61" t="n"/>
    </row>
    <row r="80" ht="17" customHeight="1">
      <c r="A80" s="87">
        <f>IF(IFERROR(MATCH(76,'List B'!$R$5:$R$204,0)+4,"")="","",INDEX('List B'!$A$5:$A$204,IFERROR(MATCH(76,'List B'!$R$5:$R$204,0)+4,"")-4))</f>
        <v/>
      </c>
      <c r="B80" s="53">
        <f>IF(IFERROR(MATCH(76,'List B'!$R$5:$R$204,0)+4,"")="","",INDEX('List B'!$B$5:$B$204,IFERROR(MATCH(76,'List B'!$R$5:$R$204,0)+4,"")-4))</f>
        <v/>
      </c>
      <c r="C80" s="52">
        <f>IF(IFERROR(MATCH(76,'List B'!$R$5:$R$204,0)+4,"")="","",INDEX('List B'!$C$5:$C$204,IFERROR(MATCH(76,'List B'!$R$5:$R$204,0)+4,"")-4))</f>
        <v/>
      </c>
      <c r="D80" s="53">
        <f>IF(IFERROR(MATCH(76,'List B'!$R$5:$R$204,0)+4,"")="","",INDEX('List B'!$D$5:$D$204,IFERROR(MATCH(76,'List B'!$R$5:$R$204,0)+4,"")-4))</f>
        <v/>
      </c>
      <c r="E80" s="53">
        <f>IF(IFERROR(MATCH(76,'List B'!$R$5:$R$204,0)+4,"")="","",INDEX('List B'!$E$5:$E$204,IFERROR(MATCH(76,'List B'!$R$5:$R$204,0)+4,"")-4))</f>
        <v/>
      </c>
      <c r="F80" s="53">
        <f>IF(IFERROR(MATCH(76,'List B'!$R$5:$R$204,0)+4,"")="","",INDEX('List B'!$F$5:$F$204,IFERROR(MATCH(76,'List B'!$R$5:$R$204,0)+4,"")-4))</f>
        <v/>
      </c>
      <c r="G80" s="50">
        <f>IF(IFERROR(MATCH(76,'List B'!$R$5:$R$204,0)+4,"")="","",INDEX('List B'!$G$5:$G$204,IFERROR(MATCH(76,'List B'!$R$5:$R$204,0)+4,"")-4))</f>
        <v/>
      </c>
      <c r="H80" s="53">
        <f>IF(IFERROR(MATCH(76,'List B'!$R$5:$R$204,0)+4,"")="","",INDEX('List B'!$H$5:$H$204,IFERROR(MATCH(76,'List B'!$R$5:$R$204,0)+4,"")-4))</f>
        <v/>
      </c>
      <c r="I80" s="61" t="n"/>
      <c r="J80" s="61" t="n"/>
    </row>
    <row r="81" ht="17" customHeight="1">
      <c r="A81" s="87">
        <f>IF(IFERROR(MATCH(77,'List B'!$R$5:$R$204,0)+4,"")="","",INDEX('List B'!$A$5:$A$204,IFERROR(MATCH(77,'List B'!$R$5:$R$204,0)+4,"")-4))</f>
        <v/>
      </c>
      <c r="B81" s="53">
        <f>IF(IFERROR(MATCH(77,'List B'!$R$5:$R$204,0)+4,"")="","",INDEX('List B'!$B$5:$B$204,IFERROR(MATCH(77,'List B'!$R$5:$R$204,0)+4,"")-4))</f>
        <v/>
      </c>
      <c r="C81" s="52">
        <f>IF(IFERROR(MATCH(77,'List B'!$R$5:$R$204,0)+4,"")="","",INDEX('List B'!$C$5:$C$204,IFERROR(MATCH(77,'List B'!$R$5:$R$204,0)+4,"")-4))</f>
        <v/>
      </c>
      <c r="D81" s="53">
        <f>IF(IFERROR(MATCH(77,'List B'!$R$5:$R$204,0)+4,"")="","",INDEX('List B'!$D$5:$D$204,IFERROR(MATCH(77,'List B'!$R$5:$R$204,0)+4,"")-4))</f>
        <v/>
      </c>
      <c r="E81" s="53">
        <f>IF(IFERROR(MATCH(77,'List B'!$R$5:$R$204,0)+4,"")="","",INDEX('List B'!$E$5:$E$204,IFERROR(MATCH(77,'List B'!$R$5:$R$204,0)+4,"")-4))</f>
        <v/>
      </c>
      <c r="F81" s="53">
        <f>IF(IFERROR(MATCH(77,'List B'!$R$5:$R$204,0)+4,"")="","",INDEX('List B'!$F$5:$F$204,IFERROR(MATCH(77,'List B'!$R$5:$R$204,0)+4,"")-4))</f>
        <v/>
      </c>
      <c r="G81" s="50">
        <f>IF(IFERROR(MATCH(77,'List B'!$R$5:$R$204,0)+4,"")="","",INDEX('List B'!$G$5:$G$204,IFERROR(MATCH(77,'List B'!$R$5:$R$204,0)+4,"")-4))</f>
        <v/>
      </c>
      <c r="H81" s="53">
        <f>IF(IFERROR(MATCH(77,'List B'!$R$5:$R$204,0)+4,"")="","",INDEX('List B'!$H$5:$H$204,IFERROR(MATCH(77,'List B'!$R$5:$R$204,0)+4,"")-4))</f>
        <v/>
      </c>
      <c r="I81" s="61" t="n"/>
      <c r="J81" s="61" t="n"/>
    </row>
    <row r="82" ht="17" customHeight="1">
      <c r="A82" s="87">
        <f>IF(IFERROR(MATCH(78,'List B'!$R$5:$R$204,0)+4,"")="","",INDEX('List B'!$A$5:$A$204,IFERROR(MATCH(78,'List B'!$R$5:$R$204,0)+4,"")-4))</f>
        <v/>
      </c>
      <c r="B82" s="53">
        <f>IF(IFERROR(MATCH(78,'List B'!$R$5:$R$204,0)+4,"")="","",INDEX('List B'!$B$5:$B$204,IFERROR(MATCH(78,'List B'!$R$5:$R$204,0)+4,"")-4))</f>
        <v/>
      </c>
      <c r="C82" s="52">
        <f>IF(IFERROR(MATCH(78,'List B'!$R$5:$R$204,0)+4,"")="","",INDEX('List B'!$C$5:$C$204,IFERROR(MATCH(78,'List B'!$R$5:$R$204,0)+4,"")-4))</f>
        <v/>
      </c>
      <c r="D82" s="53">
        <f>IF(IFERROR(MATCH(78,'List B'!$R$5:$R$204,0)+4,"")="","",INDEX('List B'!$D$5:$D$204,IFERROR(MATCH(78,'List B'!$R$5:$R$204,0)+4,"")-4))</f>
        <v/>
      </c>
      <c r="E82" s="53">
        <f>IF(IFERROR(MATCH(78,'List B'!$R$5:$R$204,0)+4,"")="","",INDEX('List B'!$E$5:$E$204,IFERROR(MATCH(78,'List B'!$R$5:$R$204,0)+4,"")-4))</f>
        <v/>
      </c>
      <c r="F82" s="53">
        <f>IF(IFERROR(MATCH(78,'List B'!$R$5:$R$204,0)+4,"")="","",INDEX('List B'!$F$5:$F$204,IFERROR(MATCH(78,'List B'!$R$5:$R$204,0)+4,"")-4))</f>
        <v/>
      </c>
      <c r="G82" s="50">
        <f>IF(IFERROR(MATCH(78,'List B'!$R$5:$R$204,0)+4,"")="","",INDEX('List B'!$G$5:$G$204,IFERROR(MATCH(78,'List B'!$R$5:$R$204,0)+4,"")-4))</f>
        <v/>
      </c>
      <c r="H82" s="53">
        <f>IF(IFERROR(MATCH(78,'List B'!$R$5:$R$204,0)+4,"")="","",INDEX('List B'!$H$5:$H$204,IFERROR(MATCH(78,'List B'!$R$5:$R$204,0)+4,"")-4))</f>
        <v/>
      </c>
      <c r="I82" s="61" t="n"/>
      <c r="J82" s="61" t="n"/>
    </row>
    <row r="83" ht="17" customHeight="1">
      <c r="A83" s="87">
        <f>IF(IFERROR(MATCH(79,'List B'!$R$5:$R$204,0)+4,"")="","",INDEX('List B'!$A$5:$A$204,IFERROR(MATCH(79,'List B'!$R$5:$R$204,0)+4,"")-4))</f>
        <v/>
      </c>
      <c r="B83" s="53">
        <f>IF(IFERROR(MATCH(79,'List B'!$R$5:$R$204,0)+4,"")="","",INDEX('List B'!$B$5:$B$204,IFERROR(MATCH(79,'List B'!$R$5:$R$204,0)+4,"")-4))</f>
        <v/>
      </c>
      <c r="C83" s="52">
        <f>IF(IFERROR(MATCH(79,'List B'!$R$5:$R$204,0)+4,"")="","",INDEX('List B'!$C$5:$C$204,IFERROR(MATCH(79,'List B'!$R$5:$R$204,0)+4,"")-4))</f>
        <v/>
      </c>
      <c r="D83" s="53">
        <f>IF(IFERROR(MATCH(79,'List B'!$R$5:$R$204,0)+4,"")="","",INDEX('List B'!$D$5:$D$204,IFERROR(MATCH(79,'List B'!$R$5:$R$204,0)+4,"")-4))</f>
        <v/>
      </c>
      <c r="E83" s="53">
        <f>IF(IFERROR(MATCH(79,'List B'!$R$5:$R$204,0)+4,"")="","",INDEX('List B'!$E$5:$E$204,IFERROR(MATCH(79,'List B'!$R$5:$R$204,0)+4,"")-4))</f>
        <v/>
      </c>
      <c r="F83" s="53">
        <f>IF(IFERROR(MATCH(79,'List B'!$R$5:$R$204,0)+4,"")="","",INDEX('List B'!$F$5:$F$204,IFERROR(MATCH(79,'List B'!$R$5:$R$204,0)+4,"")-4))</f>
        <v/>
      </c>
      <c r="G83" s="50">
        <f>IF(IFERROR(MATCH(79,'List B'!$R$5:$R$204,0)+4,"")="","",INDEX('List B'!$G$5:$G$204,IFERROR(MATCH(79,'List B'!$R$5:$R$204,0)+4,"")-4))</f>
        <v/>
      </c>
      <c r="H83" s="53">
        <f>IF(IFERROR(MATCH(79,'List B'!$R$5:$R$204,0)+4,"")="","",INDEX('List B'!$H$5:$H$204,IFERROR(MATCH(79,'List B'!$R$5:$R$204,0)+4,"")-4))</f>
        <v/>
      </c>
      <c r="I83" s="61" t="n"/>
      <c r="J83" s="61" t="n"/>
    </row>
    <row r="84" ht="17" customHeight="1">
      <c r="A84" s="87">
        <f>IF(IFERROR(MATCH(80,'List B'!$R$5:$R$204,0)+4,"")="","",INDEX('List B'!$A$5:$A$204,IFERROR(MATCH(80,'List B'!$R$5:$R$204,0)+4,"")-4))</f>
        <v/>
      </c>
      <c r="B84" s="53">
        <f>IF(IFERROR(MATCH(80,'List B'!$R$5:$R$204,0)+4,"")="","",INDEX('List B'!$B$5:$B$204,IFERROR(MATCH(80,'List B'!$R$5:$R$204,0)+4,"")-4))</f>
        <v/>
      </c>
      <c r="C84" s="52">
        <f>IF(IFERROR(MATCH(80,'List B'!$R$5:$R$204,0)+4,"")="","",INDEX('List B'!$C$5:$C$204,IFERROR(MATCH(80,'List B'!$R$5:$R$204,0)+4,"")-4))</f>
        <v/>
      </c>
      <c r="D84" s="53">
        <f>IF(IFERROR(MATCH(80,'List B'!$R$5:$R$204,0)+4,"")="","",INDEX('List B'!$D$5:$D$204,IFERROR(MATCH(80,'List B'!$R$5:$R$204,0)+4,"")-4))</f>
        <v/>
      </c>
      <c r="E84" s="53">
        <f>IF(IFERROR(MATCH(80,'List B'!$R$5:$R$204,0)+4,"")="","",INDEX('List B'!$E$5:$E$204,IFERROR(MATCH(80,'List B'!$R$5:$R$204,0)+4,"")-4))</f>
        <v/>
      </c>
      <c r="F84" s="53">
        <f>IF(IFERROR(MATCH(80,'List B'!$R$5:$R$204,0)+4,"")="","",INDEX('List B'!$F$5:$F$204,IFERROR(MATCH(80,'List B'!$R$5:$R$204,0)+4,"")-4))</f>
        <v/>
      </c>
      <c r="G84" s="50">
        <f>IF(IFERROR(MATCH(80,'List B'!$R$5:$R$204,0)+4,"")="","",INDEX('List B'!$G$5:$G$204,IFERROR(MATCH(80,'List B'!$R$5:$R$204,0)+4,"")-4))</f>
        <v/>
      </c>
      <c r="H84" s="53">
        <f>IF(IFERROR(MATCH(80,'List B'!$R$5:$R$204,0)+4,"")="","",INDEX('List B'!$H$5:$H$204,IFERROR(MATCH(80,'List B'!$R$5:$R$204,0)+4,"")-4))</f>
        <v/>
      </c>
      <c r="I84" s="61" t="n"/>
      <c r="J84" s="61" t="n"/>
    </row>
    <row r="85" ht="17" customHeight="1">
      <c r="A85" s="87">
        <f>IF(IFERROR(MATCH(81,'List B'!$R$5:$R$204,0)+4,"")="","",INDEX('List B'!$A$5:$A$204,IFERROR(MATCH(81,'List B'!$R$5:$R$204,0)+4,"")-4))</f>
        <v/>
      </c>
      <c r="B85" s="53">
        <f>IF(IFERROR(MATCH(81,'List B'!$R$5:$R$204,0)+4,"")="","",INDEX('List B'!$B$5:$B$204,IFERROR(MATCH(81,'List B'!$R$5:$R$204,0)+4,"")-4))</f>
        <v/>
      </c>
      <c r="C85" s="52">
        <f>IF(IFERROR(MATCH(81,'List B'!$R$5:$R$204,0)+4,"")="","",INDEX('List B'!$C$5:$C$204,IFERROR(MATCH(81,'List B'!$R$5:$R$204,0)+4,"")-4))</f>
        <v/>
      </c>
      <c r="D85" s="53">
        <f>IF(IFERROR(MATCH(81,'List B'!$R$5:$R$204,0)+4,"")="","",INDEX('List B'!$D$5:$D$204,IFERROR(MATCH(81,'List B'!$R$5:$R$204,0)+4,"")-4))</f>
        <v/>
      </c>
      <c r="E85" s="53">
        <f>IF(IFERROR(MATCH(81,'List B'!$R$5:$R$204,0)+4,"")="","",INDEX('List B'!$E$5:$E$204,IFERROR(MATCH(81,'List B'!$R$5:$R$204,0)+4,"")-4))</f>
        <v/>
      </c>
      <c r="F85" s="53">
        <f>IF(IFERROR(MATCH(81,'List B'!$R$5:$R$204,0)+4,"")="","",INDEX('List B'!$F$5:$F$204,IFERROR(MATCH(81,'List B'!$R$5:$R$204,0)+4,"")-4))</f>
        <v/>
      </c>
      <c r="G85" s="50">
        <f>IF(IFERROR(MATCH(81,'List B'!$R$5:$R$204,0)+4,"")="","",INDEX('List B'!$G$5:$G$204,IFERROR(MATCH(81,'List B'!$R$5:$R$204,0)+4,"")-4))</f>
        <v/>
      </c>
      <c r="H85" s="53">
        <f>IF(IFERROR(MATCH(81,'List B'!$R$5:$R$204,0)+4,"")="","",INDEX('List B'!$H$5:$H$204,IFERROR(MATCH(81,'List B'!$R$5:$R$204,0)+4,"")-4))</f>
        <v/>
      </c>
      <c r="I85" s="61" t="n"/>
      <c r="J85" s="61" t="n"/>
    </row>
    <row r="86" ht="17" customHeight="1">
      <c r="A86" s="87">
        <f>IF(IFERROR(MATCH(82,'List B'!$R$5:$R$204,0)+4,"")="","",INDEX('List B'!$A$5:$A$204,IFERROR(MATCH(82,'List B'!$R$5:$R$204,0)+4,"")-4))</f>
        <v/>
      </c>
      <c r="B86" s="53">
        <f>IF(IFERROR(MATCH(82,'List B'!$R$5:$R$204,0)+4,"")="","",INDEX('List B'!$B$5:$B$204,IFERROR(MATCH(82,'List B'!$R$5:$R$204,0)+4,"")-4))</f>
        <v/>
      </c>
      <c r="C86" s="52">
        <f>IF(IFERROR(MATCH(82,'List B'!$R$5:$R$204,0)+4,"")="","",INDEX('List B'!$C$5:$C$204,IFERROR(MATCH(82,'List B'!$R$5:$R$204,0)+4,"")-4))</f>
        <v/>
      </c>
      <c r="D86" s="53">
        <f>IF(IFERROR(MATCH(82,'List B'!$R$5:$R$204,0)+4,"")="","",INDEX('List B'!$D$5:$D$204,IFERROR(MATCH(82,'List B'!$R$5:$R$204,0)+4,"")-4))</f>
        <v/>
      </c>
      <c r="E86" s="53">
        <f>IF(IFERROR(MATCH(82,'List B'!$R$5:$R$204,0)+4,"")="","",INDEX('List B'!$E$5:$E$204,IFERROR(MATCH(82,'List B'!$R$5:$R$204,0)+4,"")-4))</f>
        <v/>
      </c>
      <c r="F86" s="53">
        <f>IF(IFERROR(MATCH(82,'List B'!$R$5:$R$204,0)+4,"")="","",INDEX('List B'!$F$5:$F$204,IFERROR(MATCH(82,'List B'!$R$5:$R$204,0)+4,"")-4))</f>
        <v/>
      </c>
      <c r="G86" s="50">
        <f>IF(IFERROR(MATCH(82,'List B'!$R$5:$R$204,0)+4,"")="","",INDEX('List B'!$G$5:$G$204,IFERROR(MATCH(82,'List B'!$R$5:$R$204,0)+4,"")-4))</f>
        <v/>
      </c>
      <c r="H86" s="53">
        <f>IF(IFERROR(MATCH(82,'List B'!$R$5:$R$204,0)+4,"")="","",INDEX('List B'!$H$5:$H$204,IFERROR(MATCH(82,'List B'!$R$5:$R$204,0)+4,"")-4))</f>
        <v/>
      </c>
      <c r="I86" s="61" t="n"/>
      <c r="J86" s="61" t="n"/>
    </row>
    <row r="87" ht="17" customHeight="1">
      <c r="A87" s="87">
        <f>IF(IFERROR(MATCH(83,'List B'!$R$5:$R$204,0)+4,"")="","",INDEX('List B'!$A$5:$A$204,IFERROR(MATCH(83,'List B'!$R$5:$R$204,0)+4,"")-4))</f>
        <v/>
      </c>
      <c r="B87" s="53">
        <f>IF(IFERROR(MATCH(83,'List B'!$R$5:$R$204,0)+4,"")="","",INDEX('List B'!$B$5:$B$204,IFERROR(MATCH(83,'List B'!$R$5:$R$204,0)+4,"")-4))</f>
        <v/>
      </c>
      <c r="C87" s="52">
        <f>IF(IFERROR(MATCH(83,'List B'!$R$5:$R$204,0)+4,"")="","",INDEX('List B'!$C$5:$C$204,IFERROR(MATCH(83,'List B'!$R$5:$R$204,0)+4,"")-4))</f>
        <v/>
      </c>
      <c r="D87" s="53">
        <f>IF(IFERROR(MATCH(83,'List B'!$R$5:$R$204,0)+4,"")="","",INDEX('List B'!$D$5:$D$204,IFERROR(MATCH(83,'List B'!$R$5:$R$204,0)+4,"")-4))</f>
        <v/>
      </c>
      <c r="E87" s="53">
        <f>IF(IFERROR(MATCH(83,'List B'!$R$5:$R$204,0)+4,"")="","",INDEX('List B'!$E$5:$E$204,IFERROR(MATCH(83,'List B'!$R$5:$R$204,0)+4,"")-4))</f>
        <v/>
      </c>
      <c r="F87" s="53">
        <f>IF(IFERROR(MATCH(83,'List B'!$R$5:$R$204,0)+4,"")="","",INDEX('List B'!$F$5:$F$204,IFERROR(MATCH(83,'List B'!$R$5:$R$204,0)+4,"")-4))</f>
        <v/>
      </c>
      <c r="G87" s="50">
        <f>IF(IFERROR(MATCH(83,'List B'!$R$5:$R$204,0)+4,"")="","",INDEX('List B'!$G$5:$G$204,IFERROR(MATCH(83,'List B'!$R$5:$R$204,0)+4,"")-4))</f>
        <v/>
      </c>
      <c r="H87" s="53">
        <f>IF(IFERROR(MATCH(83,'List B'!$R$5:$R$204,0)+4,"")="","",INDEX('List B'!$H$5:$H$204,IFERROR(MATCH(83,'List B'!$R$5:$R$204,0)+4,"")-4))</f>
        <v/>
      </c>
      <c r="I87" s="61" t="n"/>
      <c r="J87" s="61" t="n"/>
    </row>
    <row r="88" ht="17" customHeight="1">
      <c r="A88" s="87">
        <f>IF(IFERROR(MATCH(84,'List B'!$R$5:$R$204,0)+4,"")="","",INDEX('List B'!$A$5:$A$204,IFERROR(MATCH(84,'List B'!$R$5:$R$204,0)+4,"")-4))</f>
        <v/>
      </c>
      <c r="B88" s="53">
        <f>IF(IFERROR(MATCH(84,'List B'!$R$5:$R$204,0)+4,"")="","",INDEX('List B'!$B$5:$B$204,IFERROR(MATCH(84,'List B'!$R$5:$R$204,0)+4,"")-4))</f>
        <v/>
      </c>
      <c r="C88" s="52">
        <f>IF(IFERROR(MATCH(84,'List B'!$R$5:$R$204,0)+4,"")="","",INDEX('List B'!$C$5:$C$204,IFERROR(MATCH(84,'List B'!$R$5:$R$204,0)+4,"")-4))</f>
        <v/>
      </c>
      <c r="D88" s="53">
        <f>IF(IFERROR(MATCH(84,'List B'!$R$5:$R$204,0)+4,"")="","",INDEX('List B'!$D$5:$D$204,IFERROR(MATCH(84,'List B'!$R$5:$R$204,0)+4,"")-4))</f>
        <v/>
      </c>
      <c r="E88" s="53">
        <f>IF(IFERROR(MATCH(84,'List B'!$R$5:$R$204,0)+4,"")="","",INDEX('List B'!$E$5:$E$204,IFERROR(MATCH(84,'List B'!$R$5:$R$204,0)+4,"")-4))</f>
        <v/>
      </c>
      <c r="F88" s="53">
        <f>IF(IFERROR(MATCH(84,'List B'!$R$5:$R$204,0)+4,"")="","",INDEX('List B'!$F$5:$F$204,IFERROR(MATCH(84,'List B'!$R$5:$R$204,0)+4,"")-4))</f>
        <v/>
      </c>
      <c r="G88" s="50">
        <f>IF(IFERROR(MATCH(84,'List B'!$R$5:$R$204,0)+4,"")="","",INDEX('List B'!$G$5:$G$204,IFERROR(MATCH(84,'List B'!$R$5:$R$204,0)+4,"")-4))</f>
        <v/>
      </c>
      <c r="H88" s="53">
        <f>IF(IFERROR(MATCH(84,'List B'!$R$5:$R$204,0)+4,"")="","",INDEX('List B'!$H$5:$H$204,IFERROR(MATCH(84,'List B'!$R$5:$R$204,0)+4,"")-4))</f>
        <v/>
      </c>
      <c r="I88" s="61" t="n"/>
      <c r="J88" s="61" t="n"/>
    </row>
    <row r="89" ht="17" customHeight="1">
      <c r="A89" s="87">
        <f>IF(IFERROR(MATCH(85,'List B'!$R$5:$R$204,0)+4,"")="","",INDEX('List B'!$A$5:$A$204,IFERROR(MATCH(85,'List B'!$R$5:$R$204,0)+4,"")-4))</f>
        <v/>
      </c>
      <c r="B89" s="53">
        <f>IF(IFERROR(MATCH(85,'List B'!$R$5:$R$204,0)+4,"")="","",INDEX('List B'!$B$5:$B$204,IFERROR(MATCH(85,'List B'!$R$5:$R$204,0)+4,"")-4))</f>
        <v/>
      </c>
      <c r="C89" s="52">
        <f>IF(IFERROR(MATCH(85,'List B'!$R$5:$R$204,0)+4,"")="","",INDEX('List B'!$C$5:$C$204,IFERROR(MATCH(85,'List B'!$R$5:$R$204,0)+4,"")-4))</f>
        <v/>
      </c>
      <c r="D89" s="53">
        <f>IF(IFERROR(MATCH(85,'List B'!$R$5:$R$204,0)+4,"")="","",INDEX('List B'!$D$5:$D$204,IFERROR(MATCH(85,'List B'!$R$5:$R$204,0)+4,"")-4))</f>
        <v/>
      </c>
      <c r="E89" s="53">
        <f>IF(IFERROR(MATCH(85,'List B'!$R$5:$R$204,0)+4,"")="","",INDEX('List B'!$E$5:$E$204,IFERROR(MATCH(85,'List B'!$R$5:$R$204,0)+4,"")-4))</f>
        <v/>
      </c>
      <c r="F89" s="53">
        <f>IF(IFERROR(MATCH(85,'List B'!$R$5:$R$204,0)+4,"")="","",INDEX('List B'!$F$5:$F$204,IFERROR(MATCH(85,'List B'!$R$5:$R$204,0)+4,"")-4))</f>
        <v/>
      </c>
      <c r="G89" s="50">
        <f>IF(IFERROR(MATCH(85,'List B'!$R$5:$R$204,0)+4,"")="","",INDEX('List B'!$G$5:$G$204,IFERROR(MATCH(85,'List B'!$R$5:$R$204,0)+4,"")-4))</f>
        <v/>
      </c>
      <c r="H89" s="53">
        <f>IF(IFERROR(MATCH(85,'List B'!$R$5:$R$204,0)+4,"")="","",INDEX('List B'!$H$5:$H$204,IFERROR(MATCH(85,'List B'!$R$5:$R$204,0)+4,"")-4))</f>
        <v/>
      </c>
      <c r="I89" s="61" t="n"/>
      <c r="J89" s="61" t="n"/>
    </row>
    <row r="90" ht="17" customHeight="1">
      <c r="A90" s="87">
        <f>IF(IFERROR(MATCH(86,'List B'!$R$5:$R$204,0)+4,"")="","",INDEX('List B'!$A$5:$A$204,IFERROR(MATCH(86,'List B'!$R$5:$R$204,0)+4,"")-4))</f>
        <v/>
      </c>
      <c r="B90" s="53">
        <f>IF(IFERROR(MATCH(86,'List B'!$R$5:$R$204,0)+4,"")="","",INDEX('List B'!$B$5:$B$204,IFERROR(MATCH(86,'List B'!$R$5:$R$204,0)+4,"")-4))</f>
        <v/>
      </c>
      <c r="C90" s="52">
        <f>IF(IFERROR(MATCH(86,'List B'!$R$5:$R$204,0)+4,"")="","",INDEX('List B'!$C$5:$C$204,IFERROR(MATCH(86,'List B'!$R$5:$R$204,0)+4,"")-4))</f>
        <v/>
      </c>
      <c r="D90" s="53">
        <f>IF(IFERROR(MATCH(86,'List B'!$R$5:$R$204,0)+4,"")="","",INDEX('List B'!$D$5:$D$204,IFERROR(MATCH(86,'List B'!$R$5:$R$204,0)+4,"")-4))</f>
        <v/>
      </c>
      <c r="E90" s="53">
        <f>IF(IFERROR(MATCH(86,'List B'!$R$5:$R$204,0)+4,"")="","",INDEX('List B'!$E$5:$E$204,IFERROR(MATCH(86,'List B'!$R$5:$R$204,0)+4,"")-4))</f>
        <v/>
      </c>
      <c r="F90" s="53">
        <f>IF(IFERROR(MATCH(86,'List B'!$R$5:$R$204,0)+4,"")="","",INDEX('List B'!$F$5:$F$204,IFERROR(MATCH(86,'List B'!$R$5:$R$204,0)+4,"")-4))</f>
        <v/>
      </c>
      <c r="G90" s="50">
        <f>IF(IFERROR(MATCH(86,'List B'!$R$5:$R$204,0)+4,"")="","",INDEX('List B'!$G$5:$G$204,IFERROR(MATCH(86,'List B'!$R$5:$R$204,0)+4,"")-4))</f>
        <v/>
      </c>
      <c r="H90" s="53">
        <f>IF(IFERROR(MATCH(86,'List B'!$R$5:$R$204,0)+4,"")="","",INDEX('List B'!$H$5:$H$204,IFERROR(MATCH(86,'List B'!$R$5:$R$204,0)+4,"")-4))</f>
        <v/>
      </c>
      <c r="I90" s="61" t="n"/>
      <c r="J90" s="61" t="n"/>
    </row>
    <row r="91" ht="17" customHeight="1">
      <c r="A91" s="87">
        <f>IF(IFERROR(MATCH(87,'List B'!$R$5:$R$204,0)+4,"")="","",INDEX('List B'!$A$5:$A$204,IFERROR(MATCH(87,'List B'!$R$5:$R$204,0)+4,"")-4))</f>
        <v/>
      </c>
      <c r="B91" s="53">
        <f>IF(IFERROR(MATCH(87,'List B'!$R$5:$R$204,0)+4,"")="","",INDEX('List B'!$B$5:$B$204,IFERROR(MATCH(87,'List B'!$R$5:$R$204,0)+4,"")-4))</f>
        <v/>
      </c>
      <c r="C91" s="52">
        <f>IF(IFERROR(MATCH(87,'List B'!$R$5:$R$204,0)+4,"")="","",INDEX('List B'!$C$5:$C$204,IFERROR(MATCH(87,'List B'!$R$5:$R$204,0)+4,"")-4))</f>
        <v/>
      </c>
      <c r="D91" s="53">
        <f>IF(IFERROR(MATCH(87,'List B'!$R$5:$R$204,0)+4,"")="","",INDEX('List B'!$D$5:$D$204,IFERROR(MATCH(87,'List B'!$R$5:$R$204,0)+4,"")-4))</f>
        <v/>
      </c>
      <c r="E91" s="53">
        <f>IF(IFERROR(MATCH(87,'List B'!$R$5:$R$204,0)+4,"")="","",INDEX('List B'!$E$5:$E$204,IFERROR(MATCH(87,'List B'!$R$5:$R$204,0)+4,"")-4))</f>
        <v/>
      </c>
      <c r="F91" s="53">
        <f>IF(IFERROR(MATCH(87,'List B'!$R$5:$R$204,0)+4,"")="","",INDEX('List B'!$F$5:$F$204,IFERROR(MATCH(87,'List B'!$R$5:$R$204,0)+4,"")-4))</f>
        <v/>
      </c>
      <c r="G91" s="50">
        <f>IF(IFERROR(MATCH(87,'List B'!$R$5:$R$204,0)+4,"")="","",INDEX('List B'!$G$5:$G$204,IFERROR(MATCH(87,'List B'!$R$5:$R$204,0)+4,"")-4))</f>
        <v/>
      </c>
      <c r="H91" s="53">
        <f>IF(IFERROR(MATCH(87,'List B'!$R$5:$R$204,0)+4,"")="","",INDEX('List B'!$H$5:$H$204,IFERROR(MATCH(87,'List B'!$R$5:$R$204,0)+4,"")-4))</f>
        <v/>
      </c>
      <c r="I91" s="61" t="n"/>
      <c r="J91" s="61" t="n"/>
    </row>
    <row r="92" ht="17" customHeight="1">
      <c r="A92" s="87">
        <f>IF(IFERROR(MATCH(88,'List B'!$R$5:$R$204,0)+4,"")="","",INDEX('List B'!$A$5:$A$204,IFERROR(MATCH(88,'List B'!$R$5:$R$204,0)+4,"")-4))</f>
        <v/>
      </c>
      <c r="B92" s="53">
        <f>IF(IFERROR(MATCH(88,'List B'!$R$5:$R$204,0)+4,"")="","",INDEX('List B'!$B$5:$B$204,IFERROR(MATCH(88,'List B'!$R$5:$R$204,0)+4,"")-4))</f>
        <v/>
      </c>
      <c r="C92" s="52">
        <f>IF(IFERROR(MATCH(88,'List B'!$R$5:$R$204,0)+4,"")="","",INDEX('List B'!$C$5:$C$204,IFERROR(MATCH(88,'List B'!$R$5:$R$204,0)+4,"")-4))</f>
        <v/>
      </c>
      <c r="D92" s="53">
        <f>IF(IFERROR(MATCH(88,'List B'!$R$5:$R$204,0)+4,"")="","",INDEX('List B'!$D$5:$D$204,IFERROR(MATCH(88,'List B'!$R$5:$R$204,0)+4,"")-4))</f>
        <v/>
      </c>
      <c r="E92" s="53">
        <f>IF(IFERROR(MATCH(88,'List B'!$R$5:$R$204,0)+4,"")="","",INDEX('List B'!$E$5:$E$204,IFERROR(MATCH(88,'List B'!$R$5:$R$204,0)+4,"")-4))</f>
        <v/>
      </c>
      <c r="F92" s="53">
        <f>IF(IFERROR(MATCH(88,'List B'!$R$5:$R$204,0)+4,"")="","",INDEX('List B'!$F$5:$F$204,IFERROR(MATCH(88,'List B'!$R$5:$R$204,0)+4,"")-4))</f>
        <v/>
      </c>
      <c r="G92" s="50">
        <f>IF(IFERROR(MATCH(88,'List B'!$R$5:$R$204,0)+4,"")="","",INDEX('List B'!$G$5:$G$204,IFERROR(MATCH(88,'List B'!$R$5:$R$204,0)+4,"")-4))</f>
        <v/>
      </c>
      <c r="H92" s="53">
        <f>IF(IFERROR(MATCH(88,'List B'!$R$5:$R$204,0)+4,"")="","",INDEX('List B'!$H$5:$H$204,IFERROR(MATCH(88,'List B'!$R$5:$R$204,0)+4,"")-4))</f>
        <v/>
      </c>
      <c r="I92" s="61" t="n"/>
      <c r="J92" s="61" t="n"/>
    </row>
    <row r="93" ht="17" customHeight="1">
      <c r="A93" s="87">
        <f>IF(IFERROR(MATCH(89,'List B'!$R$5:$R$204,0)+4,"")="","",INDEX('List B'!$A$5:$A$204,IFERROR(MATCH(89,'List B'!$R$5:$R$204,0)+4,"")-4))</f>
        <v/>
      </c>
      <c r="B93" s="53">
        <f>IF(IFERROR(MATCH(89,'List B'!$R$5:$R$204,0)+4,"")="","",INDEX('List B'!$B$5:$B$204,IFERROR(MATCH(89,'List B'!$R$5:$R$204,0)+4,"")-4))</f>
        <v/>
      </c>
      <c r="C93" s="52">
        <f>IF(IFERROR(MATCH(89,'List B'!$R$5:$R$204,0)+4,"")="","",INDEX('List B'!$C$5:$C$204,IFERROR(MATCH(89,'List B'!$R$5:$R$204,0)+4,"")-4))</f>
        <v/>
      </c>
      <c r="D93" s="53">
        <f>IF(IFERROR(MATCH(89,'List B'!$R$5:$R$204,0)+4,"")="","",INDEX('List B'!$D$5:$D$204,IFERROR(MATCH(89,'List B'!$R$5:$R$204,0)+4,"")-4))</f>
        <v/>
      </c>
      <c r="E93" s="53">
        <f>IF(IFERROR(MATCH(89,'List B'!$R$5:$R$204,0)+4,"")="","",INDEX('List B'!$E$5:$E$204,IFERROR(MATCH(89,'List B'!$R$5:$R$204,0)+4,"")-4))</f>
        <v/>
      </c>
      <c r="F93" s="53">
        <f>IF(IFERROR(MATCH(89,'List B'!$R$5:$R$204,0)+4,"")="","",INDEX('List B'!$F$5:$F$204,IFERROR(MATCH(89,'List B'!$R$5:$R$204,0)+4,"")-4))</f>
        <v/>
      </c>
      <c r="G93" s="50">
        <f>IF(IFERROR(MATCH(89,'List B'!$R$5:$R$204,0)+4,"")="","",INDEX('List B'!$G$5:$G$204,IFERROR(MATCH(89,'List B'!$R$5:$R$204,0)+4,"")-4))</f>
        <v/>
      </c>
      <c r="H93" s="53">
        <f>IF(IFERROR(MATCH(89,'List B'!$R$5:$R$204,0)+4,"")="","",INDEX('List B'!$H$5:$H$204,IFERROR(MATCH(89,'List B'!$R$5:$R$204,0)+4,"")-4))</f>
        <v/>
      </c>
      <c r="I93" s="61" t="n"/>
      <c r="J93" s="61" t="n"/>
    </row>
    <row r="94" ht="17" customHeight="1">
      <c r="A94" s="87">
        <f>IF(IFERROR(MATCH(90,'List B'!$R$5:$R$204,0)+4,"")="","",INDEX('List B'!$A$5:$A$204,IFERROR(MATCH(90,'List B'!$R$5:$R$204,0)+4,"")-4))</f>
        <v/>
      </c>
      <c r="B94" s="53">
        <f>IF(IFERROR(MATCH(90,'List B'!$R$5:$R$204,0)+4,"")="","",INDEX('List B'!$B$5:$B$204,IFERROR(MATCH(90,'List B'!$R$5:$R$204,0)+4,"")-4))</f>
        <v/>
      </c>
      <c r="C94" s="52">
        <f>IF(IFERROR(MATCH(90,'List B'!$R$5:$R$204,0)+4,"")="","",INDEX('List B'!$C$5:$C$204,IFERROR(MATCH(90,'List B'!$R$5:$R$204,0)+4,"")-4))</f>
        <v/>
      </c>
      <c r="D94" s="53">
        <f>IF(IFERROR(MATCH(90,'List B'!$R$5:$R$204,0)+4,"")="","",INDEX('List B'!$D$5:$D$204,IFERROR(MATCH(90,'List B'!$R$5:$R$204,0)+4,"")-4))</f>
        <v/>
      </c>
      <c r="E94" s="53">
        <f>IF(IFERROR(MATCH(90,'List B'!$R$5:$R$204,0)+4,"")="","",INDEX('List B'!$E$5:$E$204,IFERROR(MATCH(90,'List B'!$R$5:$R$204,0)+4,"")-4))</f>
        <v/>
      </c>
      <c r="F94" s="53">
        <f>IF(IFERROR(MATCH(90,'List B'!$R$5:$R$204,0)+4,"")="","",INDEX('List B'!$F$5:$F$204,IFERROR(MATCH(90,'List B'!$R$5:$R$204,0)+4,"")-4))</f>
        <v/>
      </c>
      <c r="G94" s="50">
        <f>IF(IFERROR(MATCH(90,'List B'!$R$5:$R$204,0)+4,"")="","",INDEX('List B'!$G$5:$G$204,IFERROR(MATCH(90,'List B'!$R$5:$R$204,0)+4,"")-4))</f>
        <v/>
      </c>
      <c r="H94" s="53">
        <f>IF(IFERROR(MATCH(90,'List B'!$R$5:$R$204,0)+4,"")="","",INDEX('List B'!$H$5:$H$204,IFERROR(MATCH(90,'List B'!$R$5:$R$204,0)+4,"")-4))</f>
        <v/>
      </c>
      <c r="I94" s="61" t="n"/>
      <c r="J94" s="61" t="n"/>
    </row>
    <row r="95" ht="17" customHeight="1">
      <c r="A95" s="87">
        <f>IF(IFERROR(MATCH(91,'List B'!$R$5:$R$204,0)+4,"")="","",INDEX('List B'!$A$5:$A$204,IFERROR(MATCH(91,'List B'!$R$5:$R$204,0)+4,"")-4))</f>
        <v/>
      </c>
      <c r="B95" s="53">
        <f>IF(IFERROR(MATCH(91,'List B'!$R$5:$R$204,0)+4,"")="","",INDEX('List B'!$B$5:$B$204,IFERROR(MATCH(91,'List B'!$R$5:$R$204,0)+4,"")-4))</f>
        <v/>
      </c>
      <c r="C95" s="52">
        <f>IF(IFERROR(MATCH(91,'List B'!$R$5:$R$204,0)+4,"")="","",INDEX('List B'!$C$5:$C$204,IFERROR(MATCH(91,'List B'!$R$5:$R$204,0)+4,"")-4))</f>
        <v/>
      </c>
      <c r="D95" s="53">
        <f>IF(IFERROR(MATCH(91,'List B'!$R$5:$R$204,0)+4,"")="","",INDEX('List B'!$D$5:$D$204,IFERROR(MATCH(91,'List B'!$R$5:$R$204,0)+4,"")-4))</f>
        <v/>
      </c>
      <c r="E95" s="53">
        <f>IF(IFERROR(MATCH(91,'List B'!$R$5:$R$204,0)+4,"")="","",INDEX('List B'!$E$5:$E$204,IFERROR(MATCH(91,'List B'!$R$5:$R$204,0)+4,"")-4))</f>
        <v/>
      </c>
      <c r="F95" s="53">
        <f>IF(IFERROR(MATCH(91,'List B'!$R$5:$R$204,0)+4,"")="","",INDEX('List B'!$F$5:$F$204,IFERROR(MATCH(91,'List B'!$R$5:$R$204,0)+4,"")-4))</f>
        <v/>
      </c>
      <c r="G95" s="50">
        <f>IF(IFERROR(MATCH(91,'List B'!$R$5:$R$204,0)+4,"")="","",INDEX('List B'!$G$5:$G$204,IFERROR(MATCH(91,'List B'!$R$5:$R$204,0)+4,"")-4))</f>
        <v/>
      </c>
      <c r="H95" s="53">
        <f>IF(IFERROR(MATCH(91,'List B'!$R$5:$R$204,0)+4,"")="","",INDEX('List B'!$H$5:$H$204,IFERROR(MATCH(91,'List B'!$R$5:$R$204,0)+4,"")-4))</f>
        <v/>
      </c>
      <c r="I95" s="61" t="n"/>
      <c r="J95" s="61" t="n"/>
    </row>
    <row r="96" ht="17" customHeight="1">
      <c r="A96" s="87">
        <f>IF(IFERROR(MATCH(92,'List B'!$R$5:$R$204,0)+4,"")="","",INDEX('List B'!$A$5:$A$204,IFERROR(MATCH(92,'List B'!$R$5:$R$204,0)+4,"")-4))</f>
        <v/>
      </c>
      <c r="B96" s="53">
        <f>IF(IFERROR(MATCH(92,'List B'!$R$5:$R$204,0)+4,"")="","",INDEX('List B'!$B$5:$B$204,IFERROR(MATCH(92,'List B'!$R$5:$R$204,0)+4,"")-4))</f>
        <v/>
      </c>
      <c r="C96" s="52">
        <f>IF(IFERROR(MATCH(92,'List B'!$R$5:$R$204,0)+4,"")="","",INDEX('List B'!$C$5:$C$204,IFERROR(MATCH(92,'List B'!$R$5:$R$204,0)+4,"")-4))</f>
        <v/>
      </c>
      <c r="D96" s="53">
        <f>IF(IFERROR(MATCH(92,'List B'!$R$5:$R$204,0)+4,"")="","",INDEX('List B'!$D$5:$D$204,IFERROR(MATCH(92,'List B'!$R$5:$R$204,0)+4,"")-4))</f>
        <v/>
      </c>
      <c r="E96" s="53">
        <f>IF(IFERROR(MATCH(92,'List B'!$R$5:$R$204,0)+4,"")="","",INDEX('List B'!$E$5:$E$204,IFERROR(MATCH(92,'List B'!$R$5:$R$204,0)+4,"")-4))</f>
        <v/>
      </c>
      <c r="F96" s="53">
        <f>IF(IFERROR(MATCH(92,'List B'!$R$5:$R$204,0)+4,"")="","",INDEX('List B'!$F$5:$F$204,IFERROR(MATCH(92,'List B'!$R$5:$R$204,0)+4,"")-4))</f>
        <v/>
      </c>
      <c r="G96" s="50">
        <f>IF(IFERROR(MATCH(92,'List B'!$R$5:$R$204,0)+4,"")="","",INDEX('List B'!$G$5:$G$204,IFERROR(MATCH(92,'List B'!$R$5:$R$204,0)+4,"")-4))</f>
        <v/>
      </c>
      <c r="H96" s="53">
        <f>IF(IFERROR(MATCH(92,'List B'!$R$5:$R$204,0)+4,"")="","",INDEX('List B'!$H$5:$H$204,IFERROR(MATCH(92,'List B'!$R$5:$R$204,0)+4,"")-4))</f>
        <v/>
      </c>
      <c r="I96" s="61" t="n"/>
      <c r="J96" s="61" t="n"/>
    </row>
    <row r="97" ht="17" customHeight="1">
      <c r="A97" s="87">
        <f>IF(IFERROR(MATCH(93,'List B'!$R$5:$R$204,0)+4,"")="","",INDEX('List B'!$A$5:$A$204,IFERROR(MATCH(93,'List B'!$R$5:$R$204,0)+4,"")-4))</f>
        <v/>
      </c>
      <c r="B97" s="53">
        <f>IF(IFERROR(MATCH(93,'List B'!$R$5:$R$204,0)+4,"")="","",INDEX('List B'!$B$5:$B$204,IFERROR(MATCH(93,'List B'!$R$5:$R$204,0)+4,"")-4))</f>
        <v/>
      </c>
      <c r="C97" s="52">
        <f>IF(IFERROR(MATCH(93,'List B'!$R$5:$R$204,0)+4,"")="","",INDEX('List B'!$C$5:$C$204,IFERROR(MATCH(93,'List B'!$R$5:$R$204,0)+4,"")-4))</f>
        <v/>
      </c>
      <c r="D97" s="53">
        <f>IF(IFERROR(MATCH(93,'List B'!$R$5:$R$204,0)+4,"")="","",INDEX('List B'!$D$5:$D$204,IFERROR(MATCH(93,'List B'!$R$5:$R$204,0)+4,"")-4))</f>
        <v/>
      </c>
      <c r="E97" s="53">
        <f>IF(IFERROR(MATCH(93,'List B'!$R$5:$R$204,0)+4,"")="","",INDEX('List B'!$E$5:$E$204,IFERROR(MATCH(93,'List B'!$R$5:$R$204,0)+4,"")-4))</f>
        <v/>
      </c>
      <c r="F97" s="53">
        <f>IF(IFERROR(MATCH(93,'List B'!$R$5:$R$204,0)+4,"")="","",INDEX('List B'!$F$5:$F$204,IFERROR(MATCH(93,'List B'!$R$5:$R$204,0)+4,"")-4))</f>
        <v/>
      </c>
      <c r="G97" s="50">
        <f>IF(IFERROR(MATCH(93,'List B'!$R$5:$R$204,0)+4,"")="","",INDEX('List B'!$G$5:$G$204,IFERROR(MATCH(93,'List B'!$R$5:$R$204,0)+4,"")-4))</f>
        <v/>
      </c>
      <c r="H97" s="53">
        <f>IF(IFERROR(MATCH(93,'List B'!$R$5:$R$204,0)+4,"")="","",INDEX('List B'!$H$5:$H$204,IFERROR(MATCH(93,'List B'!$R$5:$R$204,0)+4,"")-4))</f>
        <v/>
      </c>
      <c r="I97" s="61" t="n"/>
      <c r="J97" s="61" t="n"/>
    </row>
    <row r="98" ht="17" customHeight="1">
      <c r="A98" s="87">
        <f>IF(IFERROR(MATCH(94,'List B'!$R$5:$R$204,0)+4,"")="","",INDEX('List B'!$A$5:$A$204,IFERROR(MATCH(94,'List B'!$R$5:$R$204,0)+4,"")-4))</f>
        <v/>
      </c>
      <c r="B98" s="53">
        <f>IF(IFERROR(MATCH(94,'List B'!$R$5:$R$204,0)+4,"")="","",INDEX('List B'!$B$5:$B$204,IFERROR(MATCH(94,'List B'!$R$5:$R$204,0)+4,"")-4))</f>
        <v/>
      </c>
      <c r="C98" s="52">
        <f>IF(IFERROR(MATCH(94,'List B'!$R$5:$R$204,0)+4,"")="","",INDEX('List B'!$C$5:$C$204,IFERROR(MATCH(94,'List B'!$R$5:$R$204,0)+4,"")-4))</f>
        <v/>
      </c>
      <c r="D98" s="53">
        <f>IF(IFERROR(MATCH(94,'List B'!$R$5:$R$204,0)+4,"")="","",INDEX('List B'!$D$5:$D$204,IFERROR(MATCH(94,'List B'!$R$5:$R$204,0)+4,"")-4))</f>
        <v/>
      </c>
      <c r="E98" s="53">
        <f>IF(IFERROR(MATCH(94,'List B'!$R$5:$R$204,0)+4,"")="","",INDEX('List B'!$E$5:$E$204,IFERROR(MATCH(94,'List B'!$R$5:$R$204,0)+4,"")-4))</f>
        <v/>
      </c>
      <c r="F98" s="53">
        <f>IF(IFERROR(MATCH(94,'List B'!$R$5:$R$204,0)+4,"")="","",INDEX('List B'!$F$5:$F$204,IFERROR(MATCH(94,'List B'!$R$5:$R$204,0)+4,"")-4))</f>
        <v/>
      </c>
      <c r="G98" s="50">
        <f>IF(IFERROR(MATCH(94,'List B'!$R$5:$R$204,0)+4,"")="","",INDEX('List B'!$G$5:$G$204,IFERROR(MATCH(94,'List B'!$R$5:$R$204,0)+4,"")-4))</f>
        <v/>
      </c>
      <c r="H98" s="53">
        <f>IF(IFERROR(MATCH(94,'List B'!$R$5:$R$204,0)+4,"")="","",INDEX('List B'!$H$5:$H$204,IFERROR(MATCH(94,'List B'!$R$5:$R$204,0)+4,"")-4))</f>
        <v/>
      </c>
      <c r="I98" s="61" t="n"/>
      <c r="J98" s="61" t="n"/>
    </row>
    <row r="99" ht="17" customHeight="1">
      <c r="A99" s="87">
        <f>IF(IFERROR(MATCH(95,'List B'!$R$5:$R$204,0)+4,"")="","",INDEX('List B'!$A$5:$A$204,IFERROR(MATCH(95,'List B'!$R$5:$R$204,0)+4,"")-4))</f>
        <v/>
      </c>
      <c r="B99" s="53">
        <f>IF(IFERROR(MATCH(95,'List B'!$R$5:$R$204,0)+4,"")="","",INDEX('List B'!$B$5:$B$204,IFERROR(MATCH(95,'List B'!$R$5:$R$204,0)+4,"")-4))</f>
        <v/>
      </c>
      <c r="C99" s="52">
        <f>IF(IFERROR(MATCH(95,'List B'!$R$5:$R$204,0)+4,"")="","",INDEX('List B'!$C$5:$C$204,IFERROR(MATCH(95,'List B'!$R$5:$R$204,0)+4,"")-4))</f>
        <v/>
      </c>
      <c r="D99" s="53">
        <f>IF(IFERROR(MATCH(95,'List B'!$R$5:$R$204,0)+4,"")="","",INDEX('List B'!$D$5:$D$204,IFERROR(MATCH(95,'List B'!$R$5:$R$204,0)+4,"")-4))</f>
        <v/>
      </c>
      <c r="E99" s="53">
        <f>IF(IFERROR(MATCH(95,'List B'!$R$5:$R$204,0)+4,"")="","",INDEX('List B'!$E$5:$E$204,IFERROR(MATCH(95,'List B'!$R$5:$R$204,0)+4,"")-4))</f>
        <v/>
      </c>
      <c r="F99" s="53">
        <f>IF(IFERROR(MATCH(95,'List B'!$R$5:$R$204,0)+4,"")="","",INDEX('List B'!$F$5:$F$204,IFERROR(MATCH(95,'List B'!$R$5:$R$204,0)+4,"")-4))</f>
        <v/>
      </c>
      <c r="G99" s="50">
        <f>IF(IFERROR(MATCH(95,'List B'!$R$5:$R$204,0)+4,"")="","",INDEX('List B'!$G$5:$G$204,IFERROR(MATCH(95,'List B'!$R$5:$R$204,0)+4,"")-4))</f>
        <v/>
      </c>
      <c r="H99" s="53">
        <f>IF(IFERROR(MATCH(95,'List B'!$R$5:$R$204,0)+4,"")="","",INDEX('List B'!$H$5:$H$204,IFERROR(MATCH(95,'List B'!$R$5:$R$204,0)+4,"")-4))</f>
        <v/>
      </c>
      <c r="I99" s="61" t="n"/>
      <c r="J99" s="61" t="n"/>
    </row>
    <row r="100" ht="17" customHeight="1">
      <c r="A100" s="87">
        <f>IF(IFERROR(MATCH(96,'List B'!$R$5:$R$204,0)+4,"")="","",INDEX('List B'!$A$5:$A$204,IFERROR(MATCH(96,'List B'!$R$5:$R$204,0)+4,"")-4))</f>
        <v/>
      </c>
      <c r="B100" s="53">
        <f>IF(IFERROR(MATCH(96,'List B'!$R$5:$R$204,0)+4,"")="","",INDEX('List B'!$B$5:$B$204,IFERROR(MATCH(96,'List B'!$R$5:$R$204,0)+4,"")-4))</f>
        <v/>
      </c>
      <c r="C100" s="52">
        <f>IF(IFERROR(MATCH(96,'List B'!$R$5:$R$204,0)+4,"")="","",INDEX('List B'!$C$5:$C$204,IFERROR(MATCH(96,'List B'!$R$5:$R$204,0)+4,"")-4))</f>
        <v/>
      </c>
      <c r="D100" s="53">
        <f>IF(IFERROR(MATCH(96,'List B'!$R$5:$R$204,0)+4,"")="","",INDEX('List B'!$D$5:$D$204,IFERROR(MATCH(96,'List B'!$R$5:$R$204,0)+4,"")-4))</f>
        <v/>
      </c>
      <c r="E100" s="53">
        <f>IF(IFERROR(MATCH(96,'List B'!$R$5:$R$204,0)+4,"")="","",INDEX('List B'!$E$5:$E$204,IFERROR(MATCH(96,'List B'!$R$5:$R$204,0)+4,"")-4))</f>
        <v/>
      </c>
      <c r="F100" s="53">
        <f>IF(IFERROR(MATCH(96,'List B'!$R$5:$R$204,0)+4,"")="","",INDEX('List B'!$F$5:$F$204,IFERROR(MATCH(96,'List B'!$R$5:$R$204,0)+4,"")-4))</f>
        <v/>
      </c>
      <c r="G100" s="50">
        <f>IF(IFERROR(MATCH(96,'List B'!$R$5:$R$204,0)+4,"")="","",INDEX('List B'!$G$5:$G$204,IFERROR(MATCH(96,'List B'!$R$5:$R$204,0)+4,"")-4))</f>
        <v/>
      </c>
      <c r="H100" s="53">
        <f>IF(IFERROR(MATCH(96,'List B'!$R$5:$R$204,0)+4,"")="","",INDEX('List B'!$H$5:$H$204,IFERROR(MATCH(96,'List B'!$R$5:$R$204,0)+4,"")-4))</f>
        <v/>
      </c>
      <c r="I100" s="61" t="n"/>
      <c r="J100" s="61" t="n"/>
    </row>
    <row r="101" ht="17" customHeight="1">
      <c r="A101" s="87">
        <f>IF(IFERROR(MATCH(97,'List B'!$R$5:$R$204,0)+4,"")="","",INDEX('List B'!$A$5:$A$204,IFERROR(MATCH(97,'List B'!$R$5:$R$204,0)+4,"")-4))</f>
        <v/>
      </c>
      <c r="B101" s="53">
        <f>IF(IFERROR(MATCH(97,'List B'!$R$5:$R$204,0)+4,"")="","",INDEX('List B'!$B$5:$B$204,IFERROR(MATCH(97,'List B'!$R$5:$R$204,0)+4,"")-4))</f>
        <v/>
      </c>
      <c r="C101" s="52">
        <f>IF(IFERROR(MATCH(97,'List B'!$R$5:$R$204,0)+4,"")="","",INDEX('List B'!$C$5:$C$204,IFERROR(MATCH(97,'List B'!$R$5:$R$204,0)+4,"")-4))</f>
        <v/>
      </c>
      <c r="D101" s="53">
        <f>IF(IFERROR(MATCH(97,'List B'!$R$5:$R$204,0)+4,"")="","",INDEX('List B'!$D$5:$D$204,IFERROR(MATCH(97,'List B'!$R$5:$R$204,0)+4,"")-4))</f>
        <v/>
      </c>
      <c r="E101" s="53">
        <f>IF(IFERROR(MATCH(97,'List B'!$R$5:$R$204,0)+4,"")="","",INDEX('List B'!$E$5:$E$204,IFERROR(MATCH(97,'List B'!$R$5:$R$204,0)+4,"")-4))</f>
        <v/>
      </c>
      <c r="F101" s="53">
        <f>IF(IFERROR(MATCH(97,'List B'!$R$5:$R$204,0)+4,"")="","",INDEX('List B'!$F$5:$F$204,IFERROR(MATCH(97,'List B'!$R$5:$R$204,0)+4,"")-4))</f>
        <v/>
      </c>
      <c r="G101" s="50">
        <f>IF(IFERROR(MATCH(97,'List B'!$R$5:$R$204,0)+4,"")="","",INDEX('List B'!$G$5:$G$204,IFERROR(MATCH(97,'List B'!$R$5:$R$204,0)+4,"")-4))</f>
        <v/>
      </c>
      <c r="H101" s="53">
        <f>IF(IFERROR(MATCH(97,'List B'!$R$5:$R$204,0)+4,"")="","",INDEX('List B'!$H$5:$H$204,IFERROR(MATCH(97,'List B'!$R$5:$R$204,0)+4,"")-4))</f>
        <v/>
      </c>
      <c r="I101" s="61" t="n"/>
      <c r="J101" s="61" t="n"/>
    </row>
    <row r="102" ht="17" customHeight="1">
      <c r="A102" s="87">
        <f>IF(IFERROR(MATCH(98,'List B'!$R$5:$R$204,0)+4,"")="","",INDEX('List B'!$A$5:$A$204,IFERROR(MATCH(98,'List B'!$R$5:$R$204,0)+4,"")-4))</f>
        <v/>
      </c>
      <c r="B102" s="53">
        <f>IF(IFERROR(MATCH(98,'List B'!$R$5:$R$204,0)+4,"")="","",INDEX('List B'!$B$5:$B$204,IFERROR(MATCH(98,'List B'!$R$5:$R$204,0)+4,"")-4))</f>
        <v/>
      </c>
      <c r="C102" s="52">
        <f>IF(IFERROR(MATCH(98,'List B'!$R$5:$R$204,0)+4,"")="","",INDEX('List B'!$C$5:$C$204,IFERROR(MATCH(98,'List B'!$R$5:$R$204,0)+4,"")-4))</f>
        <v/>
      </c>
      <c r="D102" s="53">
        <f>IF(IFERROR(MATCH(98,'List B'!$R$5:$R$204,0)+4,"")="","",INDEX('List B'!$D$5:$D$204,IFERROR(MATCH(98,'List B'!$R$5:$R$204,0)+4,"")-4))</f>
        <v/>
      </c>
      <c r="E102" s="53">
        <f>IF(IFERROR(MATCH(98,'List B'!$R$5:$R$204,0)+4,"")="","",INDEX('List B'!$E$5:$E$204,IFERROR(MATCH(98,'List B'!$R$5:$R$204,0)+4,"")-4))</f>
        <v/>
      </c>
      <c r="F102" s="53">
        <f>IF(IFERROR(MATCH(98,'List B'!$R$5:$R$204,0)+4,"")="","",INDEX('List B'!$F$5:$F$204,IFERROR(MATCH(98,'List B'!$R$5:$R$204,0)+4,"")-4))</f>
        <v/>
      </c>
      <c r="G102" s="50">
        <f>IF(IFERROR(MATCH(98,'List B'!$R$5:$R$204,0)+4,"")="","",INDEX('List B'!$G$5:$G$204,IFERROR(MATCH(98,'List B'!$R$5:$R$204,0)+4,"")-4))</f>
        <v/>
      </c>
      <c r="H102" s="53">
        <f>IF(IFERROR(MATCH(98,'List B'!$R$5:$R$204,0)+4,"")="","",INDEX('List B'!$H$5:$H$204,IFERROR(MATCH(98,'List B'!$R$5:$R$204,0)+4,"")-4))</f>
        <v/>
      </c>
      <c r="I102" s="61" t="n"/>
      <c r="J102" s="61" t="n"/>
    </row>
    <row r="103" ht="17" customHeight="1">
      <c r="A103" s="87">
        <f>IF(IFERROR(MATCH(99,'List B'!$R$5:$R$204,0)+4,"")="","",INDEX('List B'!$A$5:$A$204,IFERROR(MATCH(99,'List B'!$R$5:$R$204,0)+4,"")-4))</f>
        <v/>
      </c>
      <c r="B103" s="53">
        <f>IF(IFERROR(MATCH(99,'List B'!$R$5:$R$204,0)+4,"")="","",INDEX('List B'!$B$5:$B$204,IFERROR(MATCH(99,'List B'!$R$5:$R$204,0)+4,"")-4))</f>
        <v/>
      </c>
      <c r="C103" s="52">
        <f>IF(IFERROR(MATCH(99,'List B'!$R$5:$R$204,0)+4,"")="","",INDEX('List B'!$C$5:$C$204,IFERROR(MATCH(99,'List B'!$R$5:$R$204,0)+4,"")-4))</f>
        <v/>
      </c>
      <c r="D103" s="53">
        <f>IF(IFERROR(MATCH(99,'List B'!$R$5:$R$204,0)+4,"")="","",INDEX('List B'!$D$5:$D$204,IFERROR(MATCH(99,'List B'!$R$5:$R$204,0)+4,"")-4))</f>
        <v/>
      </c>
      <c r="E103" s="53">
        <f>IF(IFERROR(MATCH(99,'List B'!$R$5:$R$204,0)+4,"")="","",INDEX('List B'!$E$5:$E$204,IFERROR(MATCH(99,'List B'!$R$5:$R$204,0)+4,"")-4))</f>
        <v/>
      </c>
      <c r="F103" s="53">
        <f>IF(IFERROR(MATCH(99,'List B'!$R$5:$R$204,0)+4,"")="","",INDEX('List B'!$F$5:$F$204,IFERROR(MATCH(99,'List B'!$R$5:$R$204,0)+4,"")-4))</f>
        <v/>
      </c>
      <c r="G103" s="50">
        <f>IF(IFERROR(MATCH(99,'List B'!$R$5:$R$204,0)+4,"")="","",INDEX('List B'!$G$5:$G$204,IFERROR(MATCH(99,'List B'!$R$5:$R$204,0)+4,"")-4))</f>
        <v/>
      </c>
      <c r="H103" s="53">
        <f>IF(IFERROR(MATCH(99,'List B'!$R$5:$R$204,0)+4,"")="","",INDEX('List B'!$H$5:$H$204,IFERROR(MATCH(99,'List B'!$R$5:$R$204,0)+4,"")-4))</f>
        <v/>
      </c>
      <c r="I103" s="61" t="n"/>
      <c r="J103" s="61" t="n"/>
    </row>
    <row r="104" ht="17" customHeight="1">
      <c r="A104" s="87">
        <f>IF(IFERROR(MATCH(100,'List B'!$R$5:$R$204,0)+4,"")="","",INDEX('List B'!$A$5:$A$204,IFERROR(MATCH(100,'List B'!$R$5:$R$204,0)+4,"")-4))</f>
        <v/>
      </c>
      <c r="B104" s="53">
        <f>IF(IFERROR(MATCH(100,'List B'!$R$5:$R$204,0)+4,"")="","",INDEX('List B'!$B$5:$B$204,IFERROR(MATCH(100,'List B'!$R$5:$R$204,0)+4,"")-4))</f>
        <v/>
      </c>
      <c r="C104" s="52">
        <f>IF(IFERROR(MATCH(100,'List B'!$R$5:$R$204,0)+4,"")="","",INDEX('List B'!$C$5:$C$204,IFERROR(MATCH(100,'List B'!$R$5:$R$204,0)+4,"")-4))</f>
        <v/>
      </c>
      <c r="D104" s="53">
        <f>IF(IFERROR(MATCH(100,'List B'!$R$5:$R$204,0)+4,"")="","",INDEX('List B'!$D$5:$D$204,IFERROR(MATCH(100,'List B'!$R$5:$R$204,0)+4,"")-4))</f>
        <v/>
      </c>
      <c r="E104" s="53">
        <f>IF(IFERROR(MATCH(100,'List B'!$R$5:$R$204,0)+4,"")="","",INDEX('List B'!$E$5:$E$204,IFERROR(MATCH(100,'List B'!$R$5:$R$204,0)+4,"")-4))</f>
        <v/>
      </c>
      <c r="F104" s="53">
        <f>IF(IFERROR(MATCH(100,'List B'!$R$5:$R$204,0)+4,"")="","",INDEX('List B'!$F$5:$F$204,IFERROR(MATCH(100,'List B'!$R$5:$R$204,0)+4,"")-4))</f>
        <v/>
      </c>
      <c r="G104" s="50">
        <f>IF(IFERROR(MATCH(100,'List B'!$R$5:$R$204,0)+4,"")="","",INDEX('List B'!$G$5:$G$204,IFERROR(MATCH(100,'List B'!$R$5:$R$204,0)+4,"")-4))</f>
        <v/>
      </c>
      <c r="H104" s="53">
        <f>IF(IFERROR(MATCH(100,'List B'!$R$5:$R$204,0)+4,"")="","",INDEX('List B'!$H$5:$H$204,IFERROR(MATCH(100,'List B'!$R$5:$R$204,0)+4,"")-4))</f>
        <v/>
      </c>
      <c r="I104" s="61" t="n"/>
      <c r="J104" s="61" t="n"/>
    </row>
    <row r="105" ht="17" customHeight="1">
      <c r="A105" s="87">
        <f>IF(IFERROR(MATCH(101,'List B'!$R$5:$R$204,0)+4,"")="","",INDEX('List B'!$A$5:$A$204,IFERROR(MATCH(101,'List B'!$R$5:$R$204,0)+4,"")-4))</f>
        <v/>
      </c>
      <c r="B105" s="53">
        <f>IF(IFERROR(MATCH(101,'List B'!$R$5:$R$204,0)+4,"")="","",INDEX('List B'!$B$5:$B$204,IFERROR(MATCH(101,'List B'!$R$5:$R$204,0)+4,"")-4))</f>
        <v/>
      </c>
      <c r="C105" s="52">
        <f>IF(IFERROR(MATCH(101,'List B'!$R$5:$R$204,0)+4,"")="","",INDEX('List B'!$C$5:$C$204,IFERROR(MATCH(101,'List B'!$R$5:$R$204,0)+4,"")-4))</f>
        <v/>
      </c>
      <c r="D105" s="53">
        <f>IF(IFERROR(MATCH(101,'List B'!$R$5:$R$204,0)+4,"")="","",INDEX('List B'!$D$5:$D$204,IFERROR(MATCH(101,'List B'!$R$5:$R$204,0)+4,"")-4))</f>
        <v/>
      </c>
      <c r="E105" s="53">
        <f>IF(IFERROR(MATCH(101,'List B'!$R$5:$R$204,0)+4,"")="","",INDEX('List B'!$E$5:$E$204,IFERROR(MATCH(101,'List B'!$R$5:$R$204,0)+4,"")-4))</f>
        <v/>
      </c>
      <c r="F105" s="53">
        <f>IF(IFERROR(MATCH(101,'List B'!$R$5:$R$204,0)+4,"")="","",INDEX('List B'!$F$5:$F$204,IFERROR(MATCH(101,'List B'!$R$5:$R$204,0)+4,"")-4))</f>
        <v/>
      </c>
      <c r="G105" s="50">
        <f>IF(IFERROR(MATCH(101,'List B'!$R$5:$R$204,0)+4,"")="","",INDEX('List B'!$G$5:$G$204,IFERROR(MATCH(101,'List B'!$R$5:$R$204,0)+4,"")-4))</f>
        <v/>
      </c>
      <c r="H105" s="53">
        <f>IF(IFERROR(MATCH(101,'List B'!$R$5:$R$204,0)+4,"")="","",INDEX('List B'!$H$5:$H$204,IFERROR(MATCH(101,'List B'!$R$5:$R$204,0)+4,"")-4))</f>
        <v/>
      </c>
      <c r="I105" s="61" t="n"/>
      <c r="J105" s="61" t="n"/>
    </row>
    <row r="106" ht="17" customHeight="1">
      <c r="A106" s="87">
        <f>IF(IFERROR(MATCH(102,'List B'!$R$5:$R$204,0)+4,"")="","",INDEX('List B'!$A$5:$A$204,IFERROR(MATCH(102,'List B'!$R$5:$R$204,0)+4,"")-4))</f>
        <v/>
      </c>
      <c r="B106" s="53">
        <f>IF(IFERROR(MATCH(102,'List B'!$R$5:$R$204,0)+4,"")="","",INDEX('List B'!$B$5:$B$204,IFERROR(MATCH(102,'List B'!$R$5:$R$204,0)+4,"")-4))</f>
        <v/>
      </c>
      <c r="C106" s="52">
        <f>IF(IFERROR(MATCH(102,'List B'!$R$5:$R$204,0)+4,"")="","",INDEX('List B'!$C$5:$C$204,IFERROR(MATCH(102,'List B'!$R$5:$R$204,0)+4,"")-4))</f>
        <v/>
      </c>
      <c r="D106" s="53">
        <f>IF(IFERROR(MATCH(102,'List B'!$R$5:$R$204,0)+4,"")="","",INDEX('List B'!$D$5:$D$204,IFERROR(MATCH(102,'List B'!$R$5:$R$204,0)+4,"")-4))</f>
        <v/>
      </c>
      <c r="E106" s="53">
        <f>IF(IFERROR(MATCH(102,'List B'!$R$5:$R$204,0)+4,"")="","",INDEX('List B'!$E$5:$E$204,IFERROR(MATCH(102,'List B'!$R$5:$R$204,0)+4,"")-4))</f>
        <v/>
      </c>
      <c r="F106" s="53">
        <f>IF(IFERROR(MATCH(102,'List B'!$R$5:$R$204,0)+4,"")="","",INDEX('List B'!$F$5:$F$204,IFERROR(MATCH(102,'List B'!$R$5:$R$204,0)+4,"")-4))</f>
        <v/>
      </c>
      <c r="G106" s="50">
        <f>IF(IFERROR(MATCH(102,'List B'!$R$5:$R$204,0)+4,"")="","",INDEX('List B'!$G$5:$G$204,IFERROR(MATCH(102,'List B'!$R$5:$R$204,0)+4,"")-4))</f>
        <v/>
      </c>
      <c r="H106" s="53">
        <f>IF(IFERROR(MATCH(102,'List B'!$R$5:$R$204,0)+4,"")="","",INDEX('List B'!$H$5:$H$204,IFERROR(MATCH(102,'List B'!$R$5:$R$204,0)+4,"")-4))</f>
        <v/>
      </c>
      <c r="I106" s="61" t="n"/>
      <c r="J106" s="61" t="n"/>
    </row>
    <row r="107" ht="17" customHeight="1">
      <c r="A107" s="87">
        <f>IF(IFERROR(MATCH(103,'List B'!$R$5:$R$204,0)+4,"")="","",INDEX('List B'!$A$5:$A$204,IFERROR(MATCH(103,'List B'!$R$5:$R$204,0)+4,"")-4))</f>
        <v/>
      </c>
      <c r="B107" s="53">
        <f>IF(IFERROR(MATCH(103,'List B'!$R$5:$R$204,0)+4,"")="","",INDEX('List B'!$B$5:$B$204,IFERROR(MATCH(103,'List B'!$R$5:$R$204,0)+4,"")-4))</f>
        <v/>
      </c>
      <c r="C107" s="52">
        <f>IF(IFERROR(MATCH(103,'List B'!$R$5:$R$204,0)+4,"")="","",INDEX('List B'!$C$5:$C$204,IFERROR(MATCH(103,'List B'!$R$5:$R$204,0)+4,"")-4))</f>
        <v/>
      </c>
      <c r="D107" s="53">
        <f>IF(IFERROR(MATCH(103,'List B'!$R$5:$R$204,0)+4,"")="","",INDEX('List B'!$D$5:$D$204,IFERROR(MATCH(103,'List B'!$R$5:$R$204,0)+4,"")-4))</f>
        <v/>
      </c>
      <c r="E107" s="53">
        <f>IF(IFERROR(MATCH(103,'List B'!$R$5:$R$204,0)+4,"")="","",INDEX('List B'!$E$5:$E$204,IFERROR(MATCH(103,'List B'!$R$5:$R$204,0)+4,"")-4))</f>
        <v/>
      </c>
      <c r="F107" s="53">
        <f>IF(IFERROR(MATCH(103,'List B'!$R$5:$R$204,0)+4,"")="","",INDEX('List B'!$F$5:$F$204,IFERROR(MATCH(103,'List B'!$R$5:$R$204,0)+4,"")-4))</f>
        <v/>
      </c>
      <c r="G107" s="50">
        <f>IF(IFERROR(MATCH(103,'List B'!$R$5:$R$204,0)+4,"")="","",INDEX('List B'!$G$5:$G$204,IFERROR(MATCH(103,'List B'!$R$5:$R$204,0)+4,"")-4))</f>
        <v/>
      </c>
      <c r="H107" s="53">
        <f>IF(IFERROR(MATCH(103,'List B'!$R$5:$R$204,0)+4,"")="","",INDEX('List B'!$H$5:$H$204,IFERROR(MATCH(103,'List B'!$R$5:$R$204,0)+4,"")-4))</f>
        <v/>
      </c>
      <c r="I107" s="61" t="n"/>
      <c r="J107" s="61" t="n"/>
    </row>
    <row r="108" ht="17" customHeight="1">
      <c r="A108" s="87">
        <f>IF(IFERROR(MATCH(104,'List B'!$R$5:$R$204,0)+4,"")="","",INDEX('List B'!$A$5:$A$204,IFERROR(MATCH(104,'List B'!$R$5:$R$204,0)+4,"")-4))</f>
        <v/>
      </c>
      <c r="B108" s="53">
        <f>IF(IFERROR(MATCH(104,'List B'!$R$5:$R$204,0)+4,"")="","",INDEX('List B'!$B$5:$B$204,IFERROR(MATCH(104,'List B'!$R$5:$R$204,0)+4,"")-4))</f>
        <v/>
      </c>
      <c r="C108" s="52">
        <f>IF(IFERROR(MATCH(104,'List B'!$R$5:$R$204,0)+4,"")="","",INDEX('List B'!$C$5:$C$204,IFERROR(MATCH(104,'List B'!$R$5:$R$204,0)+4,"")-4))</f>
        <v/>
      </c>
      <c r="D108" s="53">
        <f>IF(IFERROR(MATCH(104,'List B'!$R$5:$R$204,0)+4,"")="","",INDEX('List B'!$D$5:$D$204,IFERROR(MATCH(104,'List B'!$R$5:$R$204,0)+4,"")-4))</f>
        <v/>
      </c>
      <c r="E108" s="53">
        <f>IF(IFERROR(MATCH(104,'List B'!$R$5:$R$204,0)+4,"")="","",INDEX('List B'!$E$5:$E$204,IFERROR(MATCH(104,'List B'!$R$5:$R$204,0)+4,"")-4))</f>
        <v/>
      </c>
      <c r="F108" s="53">
        <f>IF(IFERROR(MATCH(104,'List B'!$R$5:$R$204,0)+4,"")="","",INDEX('List B'!$F$5:$F$204,IFERROR(MATCH(104,'List B'!$R$5:$R$204,0)+4,"")-4))</f>
        <v/>
      </c>
      <c r="G108" s="50">
        <f>IF(IFERROR(MATCH(104,'List B'!$R$5:$R$204,0)+4,"")="","",INDEX('List B'!$G$5:$G$204,IFERROR(MATCH(104,'List B'!$R$5:$R$204,0)+4,"")-4))</f>
        <v/>
      </c>
      <c r="H108" s="53">
        <f>IF(IFERROR(MATCH(104,'List B'!$R$5:$R$204,0)+4,"")="","",INDEX('List B'!$H$5:$H$204,IFERROR(MATCH(104,'List B'!$R$5:$R$204,0)+4,"")-4))</f>
        <v/>
      </c>
      <c r="I108" s="61" t="n"/>
      <c r="J108" s="61" t="n"/>
    </row>
    <row r="109" ht="17" customHeight="1">
      <c r="A109" s="87">
        <f>IF(IFERROR(MATCH(105,'List B'!$R$5:$R$204,0)+4,"")="","",INDEX('List B'!$A$5:$A$204,IFERROR(MATCH(105,'List B'!$R$5:$R$204,0)+4,"")-4))</f>
        <v/>
      </c>
      <c r="B109" s="53">
        <f>IF(IFERROR(MATCH(105,'List B'!$R$5:$R$204,0)+4,"")="","",INDEX('List B'!$B$5:$B$204,IFERROR(MATCH(105,'List B'!$R$5:$R$204,0)+4,"")-4))</f>
        <v/>
      </c>
      <c r="C109" s="52">
        <f>IF(IFERROR(MATCH(105,'List B'!$R$5:$R$204,0)+4,"")="","",INDEX('List B'!$C$5:$C$204,IFERROR(MATCH(105,'List B'!$R$5:$R$204,0)+4,"")-4))</f>
        <v/>
      </c>
      <c r="D109" s="53">
        <f>IF(IFERROR(MATCH(105,'List B'!$R$5:$R$204,0)+4,"")="","",INDEX('List B'!$D$5:$D$204,IFERROR(MATCH(105,'List B'!$R$5:$R$204,0)+4,"")-4))</f>
        <v/>
      </c>
      <c r="E109" s="53">
        <f>IF(IFERROR(MATCH(105,'List B'!$R$5:$R$204,0)+4,"")="","",INDEX('List B'!$E$5:$E$204,IFERROR(MATCH(105,'List B'!$R$5:$R$204,0)+4,"")-4))</f>
        <v/>
      </c>
      <c r="F109" s="53">
        <f>IF(IFERROR(MATCH(105,'List B'!$R$5:$R$204,0)+4,"")="","",INDEX('List B'!$F$5:$F$204,IFERROR(MATCH(105,'List B'!$R$5:$R$204,0)+4,"")-4))</f>
        <v/>
      </c>
      <c r="G109" s="50">
        <f>IF(IFERROR(MATCH(105,'List B'!$R$5:$R$204,0)+4,"")="","",INDEX('List B'!$G$5:$G$204,IFERROR(MATCH(105,'List B'!$R$5:$R$204,0)+4,"")-4))</f>
        <v/>
      </c>
      <c r="H109" s="53">
        <f>IF(IFERROR(MATCH(105,'List B'!$R$5:$R$204,0)+4,"")="","",INDEX('List B'!$H$5:$H$204,IFERROR(MATCH(105,'List B'!$R$5:$R$204,0)+4,"")-4))</f>
        <v/>
      </c>
      <c r="I109" s="61" t="n"/>
      <c r="J109" s="61" t="n"/>
    </row>
    <row r="110" ht="17" customHeight="1">
      <c r="A110" s="87">
        <f>IF(IFERROR(MATCH(106,'List B'!$R$5:$R$204,0)+4,"")="","",INDEX('List B'!$A$5:$A$204,IFERROR(MATCH(106,'List B'!$R$5:$R$204,0)+4,"")-4))</f>
        <v/>
      </c>
      <c r="B110" s="53">
        <f>IF(IFERROR(MATCH(106,'List B'!$R$5:$R$204,0)+4,"")="","",INDEX('List B'!$B$5:$B$204,IFERROR(MATCH(106,'List B'!$R$5:$R$204,0)+4,"")-4))</f>
        <v/>
      </c>
      <c r="C110" s="52">
        <f>IF(IFERROR(MATCH(106,'List B'!$R$5:$R$204,0)+4,"")="","",INDEX('List B'!$C$5:$C$204,IFERROR(MATCH(106,'List B'!$R$5:$R$204,0)+4,"")-4))</f>
        <v/>
      </c>
      <c r="D110" s="53">
        <f>IF(IFERROR(MATCH(106,'List B'!$R$5:$R$204,0)+4,"")="","",INDEX('List B'!$D$5:$D$204,IFERROR(MATCH(106,'List B'!$R$5:$R$204,0)+4,"")-4))</f>
        <v/>
      </c>
      <c r="E110" s="53">
        <f>IF(IFERROR(MATCH(106,'List B'!$R$5:$R$204,0)+4,"")="","",INDEX('List B'!$E$5:$E$204,IFERROR(MATCH(106,'List B'!$R$5:$R$204,0)+4,"")-4))</f>
        <v/>
      </c>
      <c r="F110" s="53">
        <f>IF(IFERROR(MATCH(106,'List B'!$R$5:$R$204,0)+4,"")="","",INDEX('List B'!$F$5:$F$204,IFERROR(MATCH(106,'List B'!$R$5:$R$204,0)+4,"")-4))</f>
        <v/>
      </c>
      <c r="G110" s="50">
        <f>IF(IFERROR(MATCH(106,'List B'!$R$5:$R$204,0)+4,"")="","",INDEX('List B'!$G$5:$G$204,IFERROR(MATCH(106,'List B'!$R$5:$R$204,0)+4,"")-4))</f>
        <v/>
      </c>
      <c r="H110" s="53">
        <f>IF(IFERROR(MATCH(106,'List B'!$R$5:$R$204,0)+4,"")="","",INDEX('List B'!$H$5:$H$204,IFERROR(MATCH(106,'List B'!$R$5:$R$204,0)+4,"")-4))</f>
        <v/>
      </c>
      <c r="I110" s="61" t="n"/>
      <c r="J110" s="61" t="n"/>
    </row>
    <row r="111" ht="17" customHeight="1">
      <c r="A111" s="87">
        <f>IF(IFERROR(MATCH(107,'List B'!$R$5:$R$204,0)+4,"")="","",INDEX('List B'!$A$5:$A$204,IFERROR(MATCH(107,'List B'!$R$5:$R$204,0)+4,"")-4))</f>
        <v/>
      </c>
      <c r="B111" s="53">
        <f>IF(IFERROR(MATCH(107,'List B'!$R$5:$R$204,0)+4,"")="","",INDEX('List B'!$B$5:$B$204,IFERROR(MATCH(107,'List B'!$R$5:$R$204,0)+4,"")-4))</f>
        <v/>
      </c>
      <c r="C111" s="52">
        <f>IF(IFERROR(MATCH(107,'List B'!$R$5:$R$204,0)+4,"")="","",INDEX('List B'!$C$5:$C$204,IFERROR(MATCH(107,'List B'!$R$5:$R$204,0)+4,"")-4))</f>
        <v/>
      </c>
      <c r="D111" s="53">
        <f>IF(IFERROR(MATCH(107,'List B'!$R$5:$R$204,0)+4,"")="","",INDEX('List B'!$D$5:$D$204,IFERROR(MATCH(107,'List B'!$R$5:$R$204,0)+4,"")-4))</f>
        <v/>
      </c>
      <c r="E111" s="53">
        <f>IF(IFERROR(MATCH(107,'List B'!$R$5:$R$204,0)+4,"")="","",INDEX('List B'!$E$5:$E$204,IFERROR(MATCH(107,'List B'!$R$5:$R$204,0)+4,"")-4))</f>
        <v/>
      </c>
      <c r="F111" s="53">
        <f>IF(IFERROR(MATCH(107,'List B'!$R$5:$R$204,0)+4,"")="","",INDEX('List B'!$F$5:$F$204,IFERROR(MATCH(107,'List B'!$R$5:$R$204,0)+4,"")-4))</f>
        <v/>
      </c>
      <c r="G111" s="50">
        <f>IF(IFERROR(MATCH(107,'List B'!$R$5:$R$204,0)+4,"")="","",INDEX('List B'!$G$5:$G$204,IFERROR(MATCH(107,'List B'!$R$5:$R$204,0)+4,"")-4))</f>
        <v/>
      </c>
      <c r="H111" s="53">
        <f>IF(IFERROR(MATCH(107,'List B'!$R$5:$R$204,0)+4,"")="","",INDEX('List B'!$H$5:$H$204,IFERROR(MATCH(107,'List B'!$R$5:$R$204,0)+4,"")-4))</f>
        <v/>
      </c>
      <c r="I111" s="61" t="n"/>
      <c r="J111" s="61" t="n"/>
    </row>
    <row r="112" ht="17" customHeight="1">
      <c r="A112" s="87">
        <f>IF(IFERROR(MATCH(108,'List B'!$R$5:$R$204,0)+4,"")="","",INDEX('List B'!$A$5:$A$204,IFERROR(MATCH(108,'List B'!$R$5:$R$204,0)+4,"")-4))</f>
        <v/>
      </c>
      <c r="B112" s="53">
        <f>IF(IFERROR(MATCH(108,'List B'!$R$5:$R$204,0)+4,"")="","",INDEX('List B'!$B$5:$B$204,IFERROR(MATCH(108,'List B'!$R$5:$R$204,0)+4,"")-4))</f>
        <v/>
      </c>
      <c r="C112" s="52">
        <f>IF(IFERROR(MATCH(108,'List B'!$R$5:$R$204,0)+4,"")="","",INDEX('List B'!$C$5:$C$204,IFERROR(MATCH(108,'List B'!$R$5:$R$204,0)+4,"")-4))</f>
        <v/>
      </c>
      <c r="D112" s="53">
        <f>IF(IFERROR(MATCH(108,'List B'!$R$5:$R$204,0)+4,"")="","",INDEX('List B'!$D$5:$D$204,IFERROR(MATCH(108,'List B'!$R$5:$R$204,0)+4,"")-4))</f>
        <v/>
      </c>
      <c r="E112" s="53">
        <f>IF(IFERROR(MATCH(108,'List B'!$R$5:$R$204,0)+4,"")="","",INDEX('List B'!$E$5:$E$204,IFERROR(MATCH(108,'List B'!$R$5:$R$204,0)+4,"")-4))</f>
        <v/>
      </c>
      <c r="F112" s="53">
        <f>IF(IFERROR(MATCH(108,'List B'!$R$5:$R$204,0)+4,"")="","",INDEX('List B'!$F$5:$F$204,IFERROR(MATCH(108,'List B'!$R$5:$R$204,0)+4,"")-4))</f>
        <v/>
      </c>
      <c r="G112" s="50">
        <f>IF(IFERROR(MATCH(108,'List B'!$R$5:$R$204,0)+4,"")="","",INDEX('List B'!$G$5:$G$204,IFERROR(MATCH(108,'List B'!$R$5:$R$204,0)+4,"")-4))</f>
        <v/>
      </c>
      <c r="H112" s="53">
        <f>IF(IFERROR(MATCH(108,'List B'!$R$5:$R$204,0)+4,"")="","",INDEX('List B'!$H$5:$H$204,IFERROR(MATCH(108,'List B'!$R$5:$R$204,0)+4,"")-4))</f>
        <v/>
      </c>
      <c r="I112" s="61" t="n"/>
      <c r="J112" s="61" t="n"/>
    </row>
    <row r="113" ht="17" customHeight="1">
      <c r="A113" s="87">
        <f>IF(IFERROR(MATCH(109,'List B'!$R$5:$R$204,0)+4,"")="","",INDEX('List B'!$A$5:$A$204,IFERROR(MATCH(109,'List B'!$R$5:$R$204,0)+4,"")-4))</f>
        <v/>
      </c>
      <c r="B113" s="53">
        <f>IF(IFERROR(MATCH(109,'List B'!$R$5:$R$204,0)+4,"")="","",INDEX('List B'!$B$5:$B$204,IFERROR(MATCH(109,'List B'!$R$5:$R$204,0)+4,"")-4))</f>
        <v/>
      </c>
      <c r="C113" s="52">
        <f>IF(IFERROR(MATCH(109,'List B'!$R$5:$R$204,0)+4,"")="","",INDEX('List B'!$C$5:$C$204,IFERROR(MATCH(109,'List B'!$R$5:$R$204,0)+4,"")-4))</f>
        <v/>
      </c>
      <c r="D113" s="53">
        <f>IF(IFERROR(MATCH(109,'List B'!$R$5:$R$204,0)+4,"")="","",INDEX('List B'!$D$5:$D$204,IFERROR(MATCH(109,'List B'!$R$5:$R$204,0)+4,"")-4))</f>
        <v/>
      </c>
      <c r="E113" s="53">
        <f>IF(IFERROR(MATCH(109,'List B'!$R$5:$R$204,0)+4,"")="","",INDEX('List B'!$E$5:$E$204,IFERROR(MATCH(109,'List B'!$R$5:$R$204,0)+4,"")-4))</f>
        <v/>
      </c>
      <c r="F113" s="53">
        <f>IF(IFERROR(MATCH(109,'List B'!$R$5:$R$204,0)+4,"")="","",INDEX('List B'!$F$5:$F$204,IFERROR(MATCH(109,'List B'!$R$5:$R$204,0)+4,"")-4))</f>
        <v/>
      </c>
      <c r="G113" s="50">
        <f>IF(IFERROR(MATCH(109,'List B'!$R$5:$R$204,0)+4,"")="","",INDEX('List B'!$G$5:$G$204,IFERROR(MATCH(109,'List B'!$R$5:$R$204,0)+4,"")-4))</f>
        <v/>
      </c>
      <c r="H113" s="53">
        <f>IF(IFERROR(MATCH(109,'List B'!$R$5:$R$204,0)+4,"")="","",INDEX('List B'!$H$5:$H$204,IFERROR(MATCH(109,'List B'!$R$5:$R$204,0)+4,"")-4))</f>
        <v/>
      </c>
      <c r="I113" s="61" t="n"/>
      <c r="J113" s="61" t="n"/>
    </row>
    <row r="114" ht="17" customHeight="1">
      <c r="A114" s="87">
        <f>IF(IFERROR(MATCH(110,'List B'!$R$5:$R$204,0)+4,"")="","",INDEX('List B'!$A$5:$A$204,IFERROR(MATCH(110,'List B'!$R$5:$R$204,0)+4,"")-4))</f>
        <v/>
      </c>
      <c r="B114" s="53">
        <f>IF(IFERROR(MATCH(110,'List B'!$R$5:$R$204,0)+4,"")="","",INDEX('List B'!$B$5:$B$204,IFERROR(MATCH(110,'List B'!$R$5:$R$204,0)+4,"")-4))</f>
        <v/>
      </c>
      <c r="C114" s="52">
        <f>IF(IFERROR(MATCH(110,'List B'!$R$5:$R$204,0)+4,"")="","",INDEX('List B'!$C$5:$C$204,IFERROR(MATCH(110,'List B'!$R$5:$R$204,0)+4,"")-4))</f>
        <v/>
      </c>
      <c r="D114" s="53">
        <f>IF(IFERROR(MATCH(110,'List B'!$R$5:$R$204,0)+4,"")="","",INDEX('List B'!$D$5:$D$204,IFERROR(MATCH(110,'List B'!$R$5:$R$204,0)+4,"")-4))</f>
        <v/>
      </c>
      <c r="E114" s="53">
        <f>IF(IFERROR(MATCH(110,'List B'!$R$5:$R$204,0)+4,"")="","",INDEX('List B'!$E$5:$E$204,IFERROR(MATCH(110,'List B'!$R$5:$R$204,0)+4,"")-4))</f>
        <v/>
      </c>
      <c r="F114" s="53">
        <f>IF(IFERROR(MATCH(110,'List B'!$R$5:$R$204,0)+4,"")="","",INDEX('List B'!$F$5:$F$204,IFERROR(MATCH(110,'List B'!$R$5:$R$204,0)+4,"")-4))</f>
        <v/>
      </c>
      <c r="G114" s="50">
        <f>IF(IFERROR(MATCH(110,'List B'!$R$5:$R$204,0)+4,"")="","",INDEX('List B'!$G$5:$G$204,IFERROR(MATCH(110,'List B'!$R$5:$R$204,0)+4,"")-4))</f>
        <v/>
      </c>
      <c r="H114" s="53">
        <f>IF(IFERROR(MATCH(110,'List B'!$R$5:$R$204,0)+4,"")="","",INDEX('List B'!$H$5:$H$204,IFERROR(MATCH(110,'List B'!$R$5:$R$204,0)+4,"")-4))</f>
        <v/>
      </c>
      <c r="I114" s="61" t="n"/>
      <c r="J114" s="61" t="n"/>
    </row>
    <row r="115" ht="17" customHeight="1">
      <c r="A115" s="87">
        <f>IF(IFERROR(MATCH(111,'List B'!$R$5:$R$204,0)+4,"")="","",INDEX('List B'!$A$5:$A$204,IFERROR(MATCH(111,'List B'!$R$5:$R$204,0)+4,"")-4))</f>
        <v/>
      </c>
      <c r="B115" s="53">
        <f>IF(IFERROR(MATCH(111,'List B'!$R$5:$R$204,0)+4,"")="","",INDEX('List B'!$B$5:$B$204,IFERROR(MATCH(111,'List B'!$R$5:$R$204,0)+4,"")-4))</f>
        <v/>
      </c>
      <c r="C115" s="52">
        <f>IF(IFERROR(MATCH(111,'List B'!$R$5:$R$204,0)+4,"")="","",INDEX('List B'!$C$5:$C$204,IFERROR(MATCH(111,'List B'!$R$5:$R$204,0)+4,"")-4))</f>
        <v/>
      </c>
      <c r="D115" s="53">
        <f>IF(IFERROR(MATCH(111,'List B'!$R$5:$R$204,0)+4,"")="","",INDEX('List B'!$D$5:$D$204,IFERROR(MATCH(111,'List B'!$R$5:$R$204,0)+4,"")-4))</f>
        <v/>
      </c>
      <c r="E115" s="53">
        <f>IF(IFERROR(MATCH(111,'List B'!$R$5:$R$204,0)+4,"")="","",INDEX('List B'!$E$5:$E$204,IFERROR(MATCH(111,'List B'!$R$5:$R$204,0)+4,"")-4))</f>
        <v/>
      </c>
      <c r="F115" s="53">
        <f>IF(IFERROR(MATCH(111,'List B'!$R$5:$R$204,0)+4,"")="","",INDEX('List B'!$F$5:$F$204,IFERROR(MATCH(111,'List B'!$R$5:$R$204,0)+4,"")-4))</f>
        <v/>
      </c>
      <c r="G115" s="50">
        <f>IF(IFERROR(MATCH(111,'List B'!$R$5:$R$204,0)+4,"")="","",INDEX('List B'!$G$5:$G$204,IFERROR(MATCH(111,'List B'!$R$5:$R$204,0)+4,"")-4))</f>
        <v/>
      </c>
      <c r="H115" s="53">
        <f>IF(IFERROR(MATCH(111,'List B'!$R$5:$R$204,0)+4,"")="","",INDEX('List B'!$H$5:$H$204,IFERROR(MATCH(111,'List B'!$R$5:$R$204,0)+4,"")-4))</f>
        <v/>
      </c>
      <c r="I115" s="61" t="n"/>
      <c r="J115" s="61" t="n"/>
    </row>
    <row r="116" ht="17" customHeight="1">
      <c r="A116" s="87">
        <f>IF(IFERROR(MATCH(112,'List B'!$R$5:$R$204,0)+4,"")="","",INDEX('List B'!$A$5:$A$204,IFERROR(MATCH(112,'List B'!$R$5:$R$204,0)+4,"")-4))</f>
        <v/>
      </c>
      <c r="B116" s="53">
        <f>IF(IFERROR(MATCH(112,'List B'!$R$5:$R$204,0)+4,"")="","",INDEX('List B'!$B$5:$B$204,IFERROR(MATCH(112,'List B'!$R$5:$R$204,0)+4,"")-4))</f>
        <v/>
      </c>
      <c r="C116" s="52">
        <f>IF(IFERROR(MATCH(112,'List B'!$R$5:$R$204,0)+4,"")="","",INDEX('List B'!$C$5:$C$204,IFERROR(MATCH(112,'List B'!$R$5:$R$204,0)+4,"")-4))</f>
        <v/>
      </c>
      <c r="D116" s="53">
        <f>IF(IFERROR(MATCH(112,'List B'!$R$5:$R$204,0)+4,"")="","",INDEX('List B'!$D$5:$D$204,IFERROR(MATCH(112,'List B'!$R$5:$R$204,0)+4,"")-4))</f>
        <v/>
      </c>
      <c r="E116" s="53">
        <f>IF(IFERROR(MATCH(112,'List B'!$R$5:$R$204,0)+4,"")="","",INDEX('List B'!$E$5:$E$204,IFERROR(MATCH(112,'List B'!$R$5:$R$204,0)+4,"")-4))</f>
        <v/>
      </c>
      <c r="F116" s="53">
        <f>IF(IFERROR(MATCH(112,'List B'!$R$5:$R$204,0)+4,"")="","",INDEX('List B'!$F$5:$F$204,IFERROR(MATCH(112,'List B'!$R$5:$R$204,0)+4,"")-4))</f>
        <v/>
      </c>
      <c r="G116" s="50">
        <f>IF(IFERROR(MATCH(112,'List B'!$R$5:$R$204,0)+4,"")="","",INDEX('List B'!$G$5:$G$204,IFERROR(MATCH(112,'List B'!$R$5:$R$204,0)+4,"")-4))</f>
        <v/>
      </c>
      <c r="H116" s="53">
        <f>IF(IFERROR(MATCH(112,'List B'!$R$5:$R$204,0)+4,"")="","",INDEX('List B'!$H$5:$H$204,IFERROR(MATCH(112,'List B'!$R$5:$R$204,0)+4,"")-4))</f>
        <v/>
      </c>
      <c r="I116" s="61" t="n"/>
      <c r="J116" s="61" t="n"/>
    </row>
    <row r="117" ht="17" customHeight="1">
      <c r="A117" s="87">
        <f>IF(IFERROR(MATCH(113,'List B'!$R$5:$R$204,0)+4,"")="","",INDEX('List B'!$A$5:$A$204,IFERROR(MATCH(113,'List B'!$R$5:$R$204,0)+4,"")-4))</f>
        <v/>
      </c>
      <c r="B117" s="53">
        <f>IF(IFERROR(MATCH(113,'List B'!$R$5:$R$204,0)+4,"")="","",INDEX('List B'!$B$5:$B$204,IFERROR(MATCH(113,'List B'!$R$5:$R$204,0)+4,"")-4))</f>
        <v/>
      </c>
      <c r="C117" s="52">
        <f>IF(IFERROR(MATCH(113,'List B'!$R$5:$R$204,0)+4,"")="","",INDEX('List B'!$C$5:$C$204,IFERROR(MATCH(113,'List B'!$R$5:$R$204,0)+4,"")-4))</f>
        <v/>
      </c>
      <c r="D117" s="53">
        <f>IF(IFERROR(MATCH(113,'List B'!$R$5:$R$204,0)+4,"")="","",INDEX('List B'!$D$5:$D$204,IFERROR(MATCH(113,'List B'!$R$5:$R$204,0)+4,"")-4))</f>
        <v/>
      </c>
      <c r="E117" s="53">
        <f>IF(IFERROR(MATCH(113,'List B'!$R$5:$R$204,0)+4,"")="","",INDEX('List B'!$E$5:$E$204,IFERROR(MATCH(113,'List B'!$R$5:$R$204,0)+4,"")-4))</f>
        <v/>
      </c>
      <c r="F117" s="53">
        <f>IF(IFERROR(MATCH(113,'List B'!$R$5:$R$204,0)+4,"")="","",INDEX('List B'!$F$5:$F$204,IFERROR(MATCH(113,'List B'!$R$5:$R$204,0)+4,"")-4))</f>
        <v/>
      </c>
      <c r="G117" s="50">
        <f>IF(IFERROR(MATCH(113,'List B'!$R$5:$R$204,0)+4,"")="","",INDEX('List B'!$G$5:$G$204,IFERROR(MATCH(113,'List B'!$R$5:$R$204,0)+4,"")-4))</f>
        <v/>
      </c>
      <c r="H117" s="53">
        <f>IF(IFERROR(MATCH(113,'List B'!$R$5:$R$204,0)+4,"")="","",INDEX('List B'!$H$5:$H$204,IFERROR(MATCH(113,'List B'!$R$5:$R$204,0)+4,"")-4))</f>
        <v/>
      </c>
      <c r="I117" s="61" t="n"/>
      <c r="J117" s="61" t="n"/>
    </row>
    <row r="118" ht="17" customHeight="1">
      <c r="A118" s="87">
        <f>IF(IFERROR(MATCH(114,'List B'!$R$5:$R$204,0)+4,"")="","",INDEX('List B'!$A$5:$A$204,IFERROR(MATCH(114,'List B'!$R$5:$R$204,0)+4,"")-4))</f>
        <v/>
      </c>
      <c r="B118" s="53">
        <f>IF(IFERROR(MATCH(114,'List B'!$R$5:$R$204,0)+4,"")="","",INDEX('List B'!$B$5:$B$204,IFERROR(MATCH(114,'List B'!$R$5:$R$204,0)+4,"")-4))</f>
        <v/>
      </c>
      <c r="C118" s="52">
        <f>IF(IFERROR(MATCH(114,'List B'!$R$5:$R$204,0)+4,"")="","",INDEX('List B'!$C$5:$C$204,IFERROR(MATCH(114,'List B'!$R$5:$R$204,0)+4,"")-4))</f>
        <v/>
      </c>
      <c r="D118" s="53">
        <f>IF(IFERROR(MATCH(114,'List B'!$R$5:$R$204,0)+4,"")="","",INDEX('List B'!$D$5:$D$204,IFERROR(MATCH(114,'List B'!$R$5:$R$204,0)+4,"")-4))</f>
        <v/>
      </c>
      <c r="E118" s="53">
        <f>IF(IFERROR(MATCH(114,'List B'!$R$5:$R$204,0)+4,"")="","",INDEX('List B'!$E$5:$E$204,IFERROR(MATCH(114,'List B'!$R$5:$R$204,0)+4,"")-4))</f>
        <v/>
      </c>
      <c r="F118" s="53">
        <f>IF(IFERROR(MATCH(114,'List B'!$R$5:$R$204,0)+4,"")="","",INDEX('List B'!$F$5:$F$204,IFERROR(MATCH(114,'List B'!$R$5:$R$204,0)+4,"")-4))</f>
        <v/>
      </c>
      <c r="G118" s="50">
        <f>IF(IFERROR(MATCH(114,'List B'!$R$5:$R$204,0)+4,"")="","",INDEX('List B'!$G$5:$G$204,IFERROR(MATCH(114,'List B'!$R$5:$R$204,0)+4,"")-4))</f>
        <v/>
      </c>
      <c r="H118" s="53">
        <f>IF(IFERROR(MATCH(114,'List B'!$R$5:$R$204,0)+4,"")="","",INDEX('List B'!$H$5:$H$204,IFERROR(MATCH(114,'List B'!$R$5:$R$204,0)+4,"")-4))</f>
        <v/>
      </c>
      <c r="I118" s="61" t="n"/>
      <c r="J118" s="61" t="n"/>
    </row>
    <row r="119" ht="17" customHeight="1">
      <c r="A119" s="87">
        <f>IF(IFERROR(MATCH(115,'List B'!$R$5:$R$204,0)+4,"")="","",INDEX('List B'!$A$5:$A$204,IFERROR(MATCH(115,'List B'!$R$5:$R$204,0)+4,"")-4))</f>
        <v/>
      </c>
      <c r="B119" s="53">
        <f>IF(IFERROR(MATCH(115,'List B'!$R$5:$R$204,0)+4,"")="","",INDEX('List B'!$B$5:$B$204,IFERROR(MATCH(115,'List B'!$R$5:$R$204,0)+4,"")-4))</f>
        <v/>
      </c>
      <c r="C119" s="52">
        <f>IF(IFERROR(MATCH(115,'List B'!$R$5:$R$204,0)+4,"")="","",INDEX('List B'!$C$5:$C$204,IFERROR(MATCH(115,'List B'!$R$5:$R$204,0)+4,"")-4))</f>
        <v/>
      </c>
      <c r="D119" s="53">
        <f>IF(IFERROR(MATCH(115,'List B'!$R$5:$R$204,0)+4,"")="","",INDEX('List B'!$D$5:$D$204,IFERROR(MATCH(115,'List B'!$R$5:$R$204,0)+4,"")-4))</f>
        <v/>
      </c>
      <c r="E119" s="53">
        <f>IF(IFERROR(MATCH(115,'List B'!$R$5:$R$204,0)+4,"")="","",INDEX('List B'!$E$5:$E$204,IFERROR(MATCH(115,'List B'!$R$5:$R$204,0)+4,"")-4))</f>
        <v/>
      </c>
      <c r="F119" s="53">
        <f>IF(IFERROR(MATCH(115,'List B'!$R$5:$R$204,0)+4,"")="","",INDEX('List B'!$F$5:$F$204,IFERROR(MATCH(115,'List B'!$R$5:$R$204,0)+4,"")-4))</f>
        <v/>
      </c>
      <c r="G119" s="50">
        <f>IF(IFERROR(MATCH(115,'List B'!$R$5:$R$204,0)+4,"")="","",INDEX('List B'!$G$5:$G$204,IFERROR(MATCH(115,'List B'!$R$5:$R$204,0)+4,"")-4))</f>
        <v/>
      </c>
      <c r="H119" s="53">
        <f>IF(IFERROR(MATCH(115,'List B'!$R$5:$R$204,0)+4,"")="","",INDEX('List B'!$H$5:$H$204,IFERROR(MATCH(115,'List B'!$R$5:$R$204,0)+4,"")-4))</f>
        <v/>
      </c>
      <c r="I119" s="61" t="n"/>
      <c r="J119" s="61" t="n"/>
    </row>
    <row r="120" ht="17" customHeight="1">
      <c r="A120" s="87">
        <f>IF(IFERROR(MATCH(116,'List B'!$R$5:$R$204,0)+4,"")="","",INDEX('List B'!$A$5:$A$204,IFERROR(MATCH(116,'List B'!$R$5:$R$204,0)+4,"")-4))</f>
        <v/>
      </c>
      <c r="B120" s="53">
        <f>IF(IFERROR(MATCH(116,'List B'!$R$5:$R$204,0)+4,"")="","",INDEX('List B'!$B$5:$B$204,IFERROR(MATCH(116,'List B'!$R$5:$R$204,0)+4,"")-4))</f>
        <v/>
      </c>
      <c r="C120" s="52">
        <f>IF(IFERROR(MATCH(116,'List B'!$R$5:$R$204,0)+4,"")="","",INDEX('List B'!$C$5:$C$204,IFERROR(MATCH(116,'List B'!$R$5:$R$204,0)+4,"")-4))</f>
        <v/>
      </c>
      <c r="D120" s="53">
        <f>IF(IFERROR(MATCH(116,'List B'!$R$5:$R$204,0)+4,"")="","",INDEX('List B'!$D$5:$D$204,IFERROR(MATCH(116,'List B'!$R$5:$R$204,0)+4,"")-4))</f>
        <v/>
      </c>
      <c r="E120" s="53">
        <f>IF(IFERROR(MATCH(116,'List B'!$R$5:$R$204,0)+4,"")="","",INDEX('List B'!$E$5:$E$204,IFERROR(MATCH(116,'List B'!$R$5:$R$204,0)+4,"")-4))</f>
        <v/>
      </c>
      <c r="F120" s="53">
        <f>IF(IFERROR(MATCH(116,'List B'!$R$5:$R$204,0)+4,"")="","",INDEX('List B'!$F$5:$F$204,IFERROR(MATCH(116,'List B'!$R$5:$R$204,0)+4,"")-4))</f>
        <v/>
      </c>
      <c r="G120" s="50">
        <f>IF(IFERROR(MATCH(116,'List B'!$R$5:$R$204,0)+4,"")="","",INDEX('List B'!$G$5:$G$204,IFERROR(MATCH(116,'List B'!$R$5:$R$204,0)+4,"")-4))</f>
        <v/>
      </c>
      <c r="H120" s="53">
        <f>IF(IFERROR(MATCH(116,'List B'!$R$5:$R$204,0)+4,"")="","",INDEX('List B'!$H$5:$H$204,IFERROR(MATCH(116,'List B'!$R$5:$R$204,0)+4,"")-4))</f>
        <v/>
      </c>
      <c r="I120" s="61" t="n"/>
      <c r="J120" s="61" t="n"/>
    </row>
    <row r="121" ht="17" customHeight="1">
      <c r="A121" s="87">
        <f>IF(IFERROR(MATCH(117,'List B'!$R$5:$R$204,0)+4,"")="","",INDEX('List B'!$A$5:$A$204,IFERROR(MATCH(117,'List B'!$R$5:$R$204,0)+4,"")-4))</f>
        <v/>
      </c>
      <c r="B121" s="53">
        <f>IF(IFERROR(MATCH(117,'List B'!$R$5:$R$204,0)+4,"")="","",INDEX('List B'!$B$5:$B$204,IFERROR(MATCH(117,'List B'!$R$5:$R$204,0)+4,"")-4))</f>
        <v/>
      </c>
      <c r="C121" s="52">
        <f>IF(IFERROR(MATCH(117,'List B'!$R$5:$R$204,0)+4,"")="","",INDEX('List B'!$C$5:$C$204,IFERROR(MATCH(117,'List B'!$R$5:$R$204,0)+4,"")-4))</f>
        <v/>
      </c>
      <c r="D121" s="53">
        <f>IF(IFERROR(MATCH(117,'List B'!$R$5:$R$204,0)+4,"")="","",INDEX('List B'!$D$5:$D$204,IFERROR(MATCH(117,'List B'!$R$5:$R$204,0)+4,"")-4))</f>
        <v/>
      </c>
      <c r="E121" s="53">
        <f>IF(IFERROR(MATCH(117,'List B'!$R$5:$R$204,0)+4,"")="","",INDEX('List B'!$E$5:$E$204,IFERROR(MATCH(117,'List B'!$R$5:$R$204,0)+4,"")-4))</f>
        <v/>
      </c>
      <c r="F121" s="53">
        <f>IF(IFERROR(MATCH(117,'List B'!$R$5:$R$204,0)+4,"")="","",INDEX('List B'!$F$5:$F$204,IFERROR(MATCH(117,'List B'!$R$5:$R$204,0)+4,"")-4))</f>
        <v/>
      </c>
      <c r="G121" s="50">
        <f>IF(IFERROR(MATCH(117,'List B'!$R$5:$R$204,0)+4,"")="","",INDEX('List B'!$G$5:$G$204,IFERROR(MATCH(117,'List B'!$R$5:$R$204,0)+4,"")-4))</f>
        <v/>
      </c>
      <c r="H121" s="53">
        <f>IF(IFERROR(MATCH(117,'List B'!$R$5:$R$204,0)+4,"")="","",INDEX('List B'!$H$5:$H$204,IFERROR(MATCH(117,'List B'!$R$5:$R$204,0)+4,"")-4))</f>
        <v/>
      </c>
      <c r="I121" s="61" t="n"/>
      <c r="J121" s="61" t="n"/>
    </row>
    <row r="122" ht="17" customHeight="1">
      <c r="A122" s="87">
        <f>IF(IFERROR(MATCH(118,'List B'!$R$5:$R$204,0)+4,"")="","",INDEX('List B'!$A$5:$A$204,IFERROR(MATCH(118,'List B'!$R$5:$R$204,0)+4,"")-4))</f>
        <v/>
      </c>
      <c r="B122" s="53">
        <f>IF(IFERROR(MATCH(118,'List B'!$R$5:$R$204,0)+4,"")="","",INDEX('List B'!$B$5:$B$204,IFERROR(MATCH(118,'List B'!$R$5:$R$204,0)+4,"")-4))</f>
        <v/>
      </c>
      <c r="C122" s="52">
        <f>IF(IFERROR(MATCH(118,'List B'!$R$5:$R$204,0)+4,"")="","",INDEX('List B'!$C$5:$C$204,IFERROR(MATCH(118,'List B'!$R$5:$R$204,0)+4,"")-4))</f>
        <v/>
      </c>
      <c r="D122" s="53">
        <f>IF(IFERROR(MATCH(118,'List B'!$R$5:$R$204,0)+4,"")="","",INDEX('List B'!$D$5:$D$204,IFERROR(MATCH(118,'List B'!$R$5:$R$204,0)+4,"")-4))</f>
        <v/>
      </c>
      <c r="E122" s="53">
        <f>IF(IFERROR(MATCH(118,'List B'!$R$5:$R$204,0)+4,"")="","",INDEX('List B'!$E$5:$E$204,IFERROR(MATCH(118,'List B'!$R$5:$R$204,0)+4,"")-4))</f>
        <v/>
      </c>
      <c r="F122" s="53">
        <f>IF(IFERROR(MATCH(118,'List B'!$R$5:$R$204,0)+4,"")="","",INDEX('List B'!$F$5:$F$204,IFERROR(MATCH(118,'List B'!$R$5:$R$204,0)+4,"")-4))</f>
        <v/>
      </c>
      <c r="G122" s="50">
        <f>IF(IFERROR(MATCH(118,'List B'!$R$5:$R$204,0)+4,"")="","",INDEX('List B'!$G$5:$G$204,IFERROR(MATCH(118,'List B'!$R$5:$R$204,0)+4,"")-4))</f>
        <v/>
      </c>
      <c r="H122" s="53">
        <f>IF(IFERROR(MATCH(118,'List B'!$R$5:$R$204,0)+4,"")="","",INDEX('List B'!$H$5:$H$204,IFERROR(MATCH(118,'List B'!$R$5:$R$204,0)+4,"")-4))</f>
        <v/>
      </c>
      <c r="I122" s="61" t="n"/>
      <c r="J122" s="61" t="n"/>
    </row>
    <row r="123" ht="17" customHeight="1">
      <c r="A123" s="87">
        <f>IF(IFERROR(MATCH(119,'List B'!$R$5:$R$204,0)+4,"")="","",INDEX('List B'!$A$5:$A$204,IFERROR(MATCH(119,'List B'!$R$5:$R$204,0)+4,"")-4))</f>
        <v/>
      </c>
      <c r="B123" s="53">
        <f>IF(IFERROR(MATCH(119,'List B'!$R$5:$R$204,0)+4,"")="","",INDEX('List B'!$B$5:$B$204,IFERROR(MATCH(119,'List B'!$R$5:$R$204,0)+4,"")-4))</f>
        <v/>
      </c>
      <c r="C123" s="52">
        <f>IF(IFERROR(MATCH(119,'List B'!$R$5:$R$204,0)+4,"")="","",INDEX('List B'!$C$5:$C$204,IFERROR(MATCH(119,'List B'!$R$5:$R$204,0)+4,"")-4))</f>
        <v/>
      </c>
      <c r="D123" s="53">
        <f>IF(IFERROR(MATCH(119,'List B'!$R$5:$R$204,0)+4,"")="","",INDEX('List B'!$D$5:$D$204,IFERROR(MATCH(119,'List B'!$R$5:$R$204,0)+4,"")-4))</f>
        <v/>
      </c>
      <c r="E123" s="53">
        <f>IF(IFERROR(MATCH(119,'List B'!$R$5:$R$204,0)+4,"")="","",INDEX('List B'!$E$5:$E$204,IFERROR(MATCH(119,'List B'!$R$5:$R$204,0)+4,"")-4))</f>
        <v/>
      </c>
      <c r="F123" s="53">
        <f>IF(IFERROR(MATCH(119,'List B'!$R$5:$R$204,0)+4,"")="","",INDEX('List B'!$F$5:$F$204,IFERROR(MATCH(119,'List B'!$R$5:$R$204,0)+4,"")-4))</f>
        <v/>
      </c>
      <c r="G123" s="50">
        <f>IF(IFERROR(MATCH(119,'List B'!$R$5:$R$204,0)+4,"")="","",INDEX('List B'!$G$5:$G$204,IFERROR(MATCH(119,'List B'!$R$5:$R$204,0)+4,"")-4))</f>
        <v/>
      </c>
      <c r="H123" s="53">
        <f>IF(IFERROR(MATCH(119,'List B'!$R$5:$R$204,0)+4,"")="","",INDEX('List B'!$H$5:$H$204,IFERROR(MATCH(119,'List B'!$R$5:$R$204,0)+4,"")-4))</f>
        <v/>
      </c>
      <c r="I123" s="61" t="n"/>
      <c r="J123" s="61" t="n"/>
    </row>
    <row r="124" ht="17" customHeight="1">
      <c r="A124" s="87">
        <f>IF(IFERROR(MATCH(120,'List B'!$R$5:$R$204,0)+4,"")="","",INDEX('List B'!$A$5:$A$204,IFERROR(MATCH(120,'List B'!$R$5:$R$204,0)+4,"")-4))</f>
        <v/>
      </c>
      <c r="B124" s="53">
        <f>IF(IFERROR(MATCH(120,'List B'!$R$5:$R$204,0)+4,"")="","",INDEX('List B'!$B$5:$B$204,IFERROR(MATCH(120,'List B'!$R$5:$R$204,0)+4,"")-4))</f>
        <v/>
      </c>
      <c r="C124" s="52">
        <f>IF(IFERROR(MATCH(120,'List B'!$R$5:$R$204,0)+4,"")="","",INDEX('List B'!$C$5:$C$204,IFERROR(MATCH(120,'List B'!$R$5:$R$204,0)+4,"")-4))</f>
        <v/>
      </c>
      <c r="D124" s="53">
        <f>IF(IFERROR(MATCH(120,'List B'!$R$5:$R$204,0)+4,"")="","",INDEX('List B'!$D$5:$D$204,IFERROR(MATCH(120,'List B'!$R$5:$R$204,0)+4,"")-4))</f>
        <v/>
      </c>
      <c r="E124" s="53">
        <f>IF(IFERROR(MATCH(120,'List B'!$R$5:$R$204,0)+4,"")="","",INDEX('List B'!$E$5:$E$204,IFERROR(MATCH(120,'List B'!$R$5:$R$204,0)+4,"")-4))</f>
        <v/>
      </c>
      <c r="F124" s="53">
        <f>IF(IFERROR(MATCH(120,'List B'!$R$5:$R$204,0)+4,"")="","",INDEX('List B'!$F$5:$F$204,IFERROR(MATCH(120,'List B'!$R$5:$R$204,0)+4,"")-4))</f>
        <v/>
      </c>
      <c r="G124" s="50">
        <f>IF(IFERROR(MATCH(120,'List B'!$R$5:$R$204,0)+4,"")="","",INDEX('List B'!$G$5:$G$204,IFERROR(MATCH(120,'List B'!$R$5:$R$204,0)+4,"")-4))</f>
        <v/>
      </c>
      <c r="H124" s="53">
        <f>IF(IFERROR(MATCH(120,'List B'!$R$5:$R$204,0)+4,"")="","",INDEX('List B'!$H$5:$H$204,IFERROR(MATCH(120,'List B'!$R$5:$R$204,0)+4,"")-4))</f>
        <v/>
      </c>
      <c r="I124" s="61" t="n"/>
      <c r="J124" s="61" t="n"/>
    </row>
    <row r="125" ht="17" customHeight="1">
      <c r="A125" s="87">
        <f>IF(IFERROR(MATCH(121,'List B'!$R$5:$R$204,0)+4,"")="","",INDEX('List B'!$A$5:$A$204,IFERROR(MATCH(121,'List B'!$R$5:$R$204,0)+4,"")-4))</f>
        <v/>
      </c>
      <c r="B125" s="53">
        <f>IF(IFERROR(MATCH(121,'List B'!$R$5:$R$204,0)+4,"")="","",INDEX('List B'!$B$5:$B$204,IFERROR(MATCH(121,'List B'!$R$5:$R$204,0)+4,"")-4))</f>
        <v/>
      </c>
      <c r="C125" s="52">
        <f>IF(IFERROR(MATCH(121,'List B'!$R$5:$R$204,0)+4,"")="","",INDEX('List B'!$C$5:$C$204,IFERROR(MATCH(121,'List B'!$R$5:$R$204,0)+4,"")-4))</f>
        <v/>
      </c>
      <c r="D125" s="53">
        <f>IF(IFERROR(MATCH(121,'List B'!$R$5:$R$204,0)+4,"")="","",INDEX('List B'!$D$5:$D$204,IFERROR(MATCH(121,'List B'!$R$5:$R$204,0)+4,"")-4))</f>
        <v/>
      </c>
      <c r="E125" s="53">
        <f>IF(IFERROR(MATCH(121,'List B'!$R$5:$R$204,0)+4,"")="","",INDEX('List B'!$E$5:$E$204,IFERROR(MATCH(121,'List B'!$R$5:$R$204,0)+4,"")-4))</f>
        <v/>
      </c>
      <c r="F125" s="53">
        <f>IF(IFERROR(MATCH(121,'List B'!$R$5:$R$204,0)+4,"")="","",INDEX('List B'!$F$5:$F$204,IFERROR(MATCH(121,'List B'!$R$5:$R$204,0)+4,"")-4))</f>
        <v/>
      </c>
      <c r="G125" s="50">
        <f>IF(IFERROR(MATCH(121,'List B'!$R$5:$R$204,0)+4,"")="","",INDEX('List B'!$G$5:$G$204,IFERROR(MATCH(121,'List B'!$R$5:$R$204,0)+4,"")-4))</f>
        <v/>
      </c>
      <c r="H125" s="53">
        <f>IF(IFERROR(MATCH(121,'List B'!$R$5:$R$204,0)+4,"")="","",INDEX('List B'!$H$5:$H$204,IFERROR(MATCH(121,'List B'!$R$5:$R$204,0)+4,"")-4))</f>
        <v/>
      </c>
      <c r="I125" s="61" t="n"/>
      <c r="J125" s="61" t="n"/>
    </row>
    <row r="126" ht="17" customHeight="1">
      <c r="A126" s="87">
        <f>IF(IFERROR(MATCH(122,'List B'!$R$5:$R$204,0)+4,"")="","",INDEX('List B'!$A$5:$A$204,IFERROR(MATCH(122,'List B'!$R$5:$R$204,0)+4,"")-4))</f>
        <v/>
      </c>
      <c r="B126" s="53">
        <f>IF(IFERROR(MATCH(122,'List B'!$R$5:$R$204,0)+4,"")="","",INDEX('List B'!$B$5:$B$204,IFERROR(MATCH(122,'List B'!$R$5:$R$204,0)+4,"")-4))</f>
        <v/>
      </c>
      <c r="C126" s="52">
        <f>IF(IFERROR(MATCH(122,'List B'!$R$5:$R$204,0)+4,"")="","",INDEX('List B'!$C$5:$C$204,IFERROR(MATCH(122,'List B'!$R$5:$R$204,0)+4,"")-4))</f>
        <v/>
      </c>
      <c r="D126" s="53">
        <f>IF(IFERROR(MATCH(122,'List B'!$R$5:$R$204,0)+4,"")="","",INDEX('List B'!$D$5:$D$204,IFERROR(MATCH(122,'List B'!$R$5:$R$204,0)+4,"")-4))</f>
        <v/>
      </c>
      <c r="E126" s="53">
        <f>IF(IFERROR(MATCH(122,'List B'!$R$5:$R$204,0)+4,"")="","",INDEX('List B'!$E$5:$E$204,IFERROR(MATCH(122,'List B'!$R$5:$R$204,0)+4,"")-4))</f>
        <v/>
      </c>
      <c r="F126" s="53">
        <f>IF(IFERROR(MATCH(122,'List B'!$R$5:$R$204,0)+4,"")="","",INDEX('List B'!$F$5:$F$204,IFERROR(MATCH(122,'List B'!$R$5:$R$204,0)+4,"")-4))</f>
        <v/>
      </c>
      <c r="G126" s="50">
        <f>IF(IFERROR(MATCH(122,'List B'!$R$5:$R$204,0)+4,"")="","",INDEX('List B'!$G$5:$G$204,IFERROR(MATCH(122,'List B'!$R$5:$R$204,0)+4,"")-4))</f>
        <v/>
      </c>
      <c r="H126" s="53">
        <f>IF(IFERROR(MATCH(122,'List B'!$R$5:$R$204,0)+4,"")="","",INDEX('List B'!$H$5:$H$204,IFERROR(MATCH(122,'List B'!$R$5:$R$204,0)+4,"")-4))</f>
        <v/>
      </c>
      <c r="I126" s="61" t="n"/>
      <c r="J126" s="61" t="n"/>
    </row>
    <row r="127" ht="17" customHeight="1">
      <c r="A127" s="87">
        <f>IF(IFERROR(MATCH(123,'List B'!$R$5:$R$204,0)+4,"")="","",INDEX('List B'!$A$5:$A$204,IFERROR(MATCH(123,'List B'!$R$5:$R$204,0)+4,"")-4))</f>
        <v/>
      </c>
      <c r="B127" s="53">
        <f>IF(IFERROR(MATCH(123,'List B'!$R$5:$R$204,0)+4,"")="","",INDEX('List B'!$B$5:$B$204,IFERROR(MATCH(123,'List B'!$R$5:$R$204,0)+4,"")-4))</f>
        <v/>
      </c>
      <c r="C127" s="52">
        <f>IF(IFERROR(MATCH(123,'List B'!$R$5:$R$204,0)+4,"")="","",INDEX('List B'!$C$5:$C$204,IFERROR(MATCH(123,'List B'!$R$5:$R$204,0)+4,"")-4))</f>
        <v/>
      </c>
      <c r="D127" s="53">
        <f>IF(IFERROR(MATCH(123,'List B'!$R$5:$R$204,0)+4,"")="","",INDEX('List B'!$D$5:$D$204,IFERROR(MATCH(123,'List B'!$R$5:$R$204,0)+4,"")-4))</f>
        <v/>
      </c>
      <c r="E127" s="53">
        <f>IF(IFERROR(MATCH(123,'List B'!$R$5:$R$204,0)+4,"")="","",INDEX('List B'!$E$5:$E$204,IFERROR(MATCH(123,'List B'!$R$5:$R$204,0)+4,"")-4))</f>
        <v/>
      </c>
      <c r="F127" s="53">
        <f>IF(IFERROR(MATCH(123,'List B'!$R$5:$R$204,0)+4,"")="","",INDEX('List B'!$F$5:$F$204,IFERROR(MATCH(123,'List B'!$R$5:$R$204,0)+4,"")-4))</f>
        <v/>
      </c>
      <c r="G127" s="50">
        <f>IF(IFERROR(MATCH(123,'List B'!$R$5:$R$204,0)+4,"")="","",INDEX('List B'!$G$5:$G$204,IFERROR(MATCH(123,'List B'!$R$5:$R$204,0)+4,"")-4))</f>
        <v/>
      </c>
      <c r="H127" s="53">
        <f>IF(IFERROR(MATCH(123,'List B'!$R$5:$R$204,0)+4,"")="","",INDEX('List B'!$H$5:$H$204,IFERROR(MATCH(123,'List B'!$R$5:$R$204,0)+4,"")-4))</f>
        <v/>
      </c>
      <c r="I127" s="61" t="n"/>
      <c r="J127" s="61" t="n"/>
    </row>
    <row r="128" ht="17" customHeight="1">
      <c r="A128" s="87">
        <f>IF(IFERROR(MATCH(124,'List B'!$R$5:$R$204,0)+4,"")="","",INDEX('List B'!$A$5:$A$204,IFERROR(MATCH(124,'List B'!$R$5:$R$204,0)+4,"")-4))</f>
        <v/>
      </c>
      <c r="B128" s="53">
        <f>IF(IFERROR(MATCH(124,'List B'!$R$5:$R$204,0)+4,"")="","",INDEX('List B'!$B$5:$B$204,IFERROR(MATCH(124,'List B'!$R$5:$R$204,0)+4,"")-4))</f>
        <v/>
      </c>
      <c r="C128" s="52">
        <f>IF(IFERROR(MATCH(124,'List B'!$R$5:$R$204,0)+4,"")="","",INDEX('List B'!$C$5:$C$204,IFERROR(MATCH(124,'List B'!$R$5:$R$204,0)+4,"")-4))</f>
        <v/>
      </c>
      <c r="D128" s="53">
        <f>IF(IFERROR(MATCH(124,'List B'!$R$5:$R$204,0)+4,"")="","",INDEX('List B'!$D$5:$D$204,IFERROR(MATCH(124,'List B'!$R$5:$R$204,0)+4,"")-4))</f>
        <v/>
      </c>
      <c r="E128" s="53">
        <f>IF(IFERROR(MATCH(124,'List B'!$R$5:$R$204,0)+4,"")="","",INDEX('List B'!$E$5:$E$204,IFERROR(MATCH(124,'List B'!$R$5:$R$204,0)+4,"")-4))</f>
        <v/>
      </c>
      <c r="F128" s="53">
        <f>IF(IFERROR(MATCH(124,'List B'!$R$5:$R$204,0)+4,"")="","",INDEX('List B'!$F$5:$F$204,IFERROR(MATCH(124,'List B'!$R$5:$R$204,0)+4,"")-4))</f>
        <v/>
      </c>
      <c r="G128" s="50">
        <f>IF(IFERROR(MATCH(124,'List B'!$R$5:$R$204,0)+4,"")="","",INDEX('List B'!$G$5:$G$204,IFERROR(MATCH(124,'List B'!$R$5:$R$204,0)+4,"")-4))</f>
        <v/>
      </c>
      <c r="H128" s="53">
        <f>IF(IFERROR(MATCH(124,'List B'!$R$5:$R$204,0)+4,"")="","",INDEX('List B'!$H$5:$H$204,IFERROR(MATCH(124,'List B'!$R$5:$R$204,0)+4,"")-4))</f>
        <v/>
      </c>
      <c r="I128" s="61" t="n"/>
      <c r="J128" s="61" t="n"/>
    </row>
    <row r="129" ht="17" customHeight="1">
      <c r="A129" s="87">
        <f>IF(IFERROR(MATCH(125,'List B'!$R$5:$R$204,0)+4,"")="","",INDEX('List B'!$A$5:$A$204,IFERROR(MATCH(125,'List B'!$R$5:$R$204,0)+4,"")-4))</f>
        <v/>
      </c>
      <c r="B129" s="53">
        <f>IF(IFERROR(MATCH(125,'List B'!$R$5:$R$204,0)+4,"")="","",INDEX('List B'!$B$5:$B$204,IFERROR(MATCH(125,'List B'!$R$5:$R$204,0)+4,"")-4))</f>
        <v/>
      </c>
      <c r="C129" s="52">
        <f>IF(IFERROR(MATCH(125,'List B'!$R$5:$R$204,0)+4,"")="","",INDEX('List B'!$C$5:$C$204,IFERROR(MATCH(125,'List B'!$R$5:$R$204,0)+4,"")-4))</f>
        <v/>
      </c>
      <c r="D129" s="53">
        <f>IF(IFERROR(MATCH(125,'List B'!$R$5:$R$204,0)+4,"")="","",INDEX('List B'!$D$5:$D$204,IFERROR(MATCH(125,'List B'!$R$5:$R$204,0)+4,"")-4))</f>
        <v/>
      </c>
      <c r="E129" s="53">
        <f>IF(IFERROR(MATCH(125,'List B'!$R$5:$R$204,0)+4,"")="","",INDEX('List B'!$E$5:$E$204,IFERROR(MATCH(125,'List B'!$R$5:$R$204,0)+4,"")-4))</f>
        <v/>
      </c>
      <c r="F129" s="53">
        <f>IF(IFERROR(MATCH(125,'List B'!$R$5:$R$204,0)+4,"")="","",INDEX('List B'!$F$5:$F$204,IFERROR(MATCH(125,'List B'!$R$5:$R$204,0)+4,"")-4))</f>
        <v/>
      </c>
      <c r="G129" s="50">
        <f>IF(IFERROR(MATCH(125,'List B'!$R$5:$R$204,0)+4,"")="","",INDEX('List B'!$G$5:$G$204,IFERROR(MATCH(125,'List B'!$R$5:$R$204,0)+4,"")-4))</f>
        <v/>
      </c>
      <c r="H129" s="53">
        <f>IF(IFERROR(MATCH(125,'List B'!$R$5:$R$204,0)+4,"")="","",INDEX('List B'!$H$5:$H$204,IFERROR(MATCH(125,'List B'!$R$5:$R$204,0)+4,"")-4))</f>
        <v/>
      </c>
      <c r="I129" s="61" t="n"/>
      <c r="J129" s="61" t="n"/>
    </row>
    <row r="130" ht="17" customHeight="1">
      <c r="A130" s="87">
        <f>IF(IFERROR(MATCH(126,'List B'!$R$5:$R$204,0)+4,"")="","",INDEX('List B'!$A$5:$A$204,IFERROR(MATCH(126,'List B'!$R$5:$R$204,0)+4,"")-4))</f>
        <v/>
      </c>
      <c r="B130" s="53">
        <f>IF(IFERROR(MATCH(126,'List B'!$R$5:$R$204,0)+4,"")="","",INDEX('List B'!$B$5:$B$204,IFERROR(MATCH(126,'List B'!$R$5:$R$204,0)+4,"")-4))</f>
        <v/>
      </c>
      <c r="C130" s="52">
        <f>IF(IFERROR(MATCH(126,'List B'!$R$5:$R$204,0)+4,"")="","",INDEX('List B'!$C$5:$C$204,IFERROR(MATCH(126,'List B'!$R$5:$R$204,0)+4,"")-4))</f>
        <v/>
      </c>
      <c r="D130" s="53">
        <f>IF(IFERROR(MATCH(126,'List B'!$R$5:$R$204,0)+4,"")="","",INDEX('List B'!$D$5:$D$204,IFERROR(MATCH(126,'List B'!$R$5:$R$204,0)+4,"")-4))</f>
        <v/>
      </c>
      <c r="E130" s="53">
        <f>IF(IFERROR(MATCH(126,'List B'!$R$5:$R$204,0)+4,"")="","",INDEX('List B'!$E$5:$E$204,IFERROR(MATCH(126,'List B'!$R$5:$R$204,0)+4,"")-4))</f>
        <v/>
      </c>
      <c r="F130" s="53">
        <f>IF(IFERROR(MATCH(126,'List B'!$R$5:$R$204,0)+4,"")="","",INDEX('List B'!$F$5:$F$204,IFERROR(MATCH(126,'List B'!$R$5:$R$204,0)+4,"")-4))</f>
        <v/>
      </c>
      <c r="G130" s="50">
        <f>IF(IFERROR(MATCH(126,'List B'!$R$5:$R$204,0)+4,"")="","",INDEX('List B'!$G$5:$G$204,IFERROR(MATCH(126,'List B'!$R$5:$R$204,0)+4,"")-4))</f>
        <v/>
      </c>
      <c r="H130" s="53">
        <f>IF(IFERROR(MATCH(126,'List B'!$R$5:$R$204,0)+4,"")="","",INDEX('List B'!$H$5:$H$204,IFERROR(MATCH(126,'List B'!$R$5:$R$204,0)+4,"")-4))</f>
        <v/>
      </c>
      <c r="I130" s="61" t="n"/>
      <c r="J130" s="61" t="n"/>
    </row>
    <row r="131" ht="17" customHeight="1">
      <c r="A131" s="87">
        <f>IF(IFERROR(MATCH(127,'List B'!$R$5:$R$204,0)+4,"")="","",INDEX('List B'!$A$5:$A$204,IFERROR(MATCH(127,'List B'!$R$5:$R$204,0)+4,"")-4))</f>
        <v/>
      </c>
      <c r="B131" s="53">
        <f>IF(IFERROR(MATCH(127,'List B'!$R$5:$R$204,0)+4,"")="","",INDEX('List B'!$B$5:$B$204,IFERROR(MATCH(127,'List B'!$R$5:$R$204,0)+4,"")-4))</f>
        <v/>
      </c>
      <c r="C131" s="52">
        <f>IF(IFERROR(MATCH(127,'List B'!$R$5:$R$204,0)+4,"")="","",INDEX('List B'!$C$5:$C$204,IFERROR(MATCH(127,'List B'!$R$5:$R$204,0)+4,"")-4))</f>
        <v/>
      </c>
      <c r="D131" s="53">
        <f>IF(IFERROR(MATCH(127,'List B'!$R$5:$R$204,0)+4,"")="","",INDEX('List B'!$D$5:$D$204,IFERROR(MATCH(127,'List B'!$R$5:$R$204,0)+4,"")-4))</f>
        <v/>
      </c>
      <c r="E131" s="53">
        <f>IF(IFERROR(MATCH(127,'List B'!$R$5:$R$204,0)+4,"")="","",INDEX('List B'!$E$5:$E$204,IFERROR(MATCH(127,'List B'!$R$5:$R$204,0)+4,"")-4))</f>
        <v/>
      </c>
      <c r="F131" s="53">
        <f>IF(IFERROR(MATCH(127,'List B'!$R$5:$R$204,0)+4,"")="","",INDEX('List B'!$F$5:$F$204,IFERROR(MATCH(127,'List B'!$R$5:$R$204,0)+4,"")-4))</f>
        <v/>
      </c>
      <c r="G131" s="50">
        <f>IF(IFERROR(MATCH(127,'List B'!$R$5:$R$204,0)+4,"")="","",INDEX('List B'!$G$5:$G$204,IFERROR(MATCH(127,'List B'!$R$5:$R$204,0)+4,"")-4))</f>
        <v/>
      </c>
      <c r="H131" s="53">
        <f>IF(IFERROR(MATCH(127,'List B'!$R$5:$R$204,0)+4,"")="","",INDEX('List B'!$H$5:$H$204,IFERROR(MATCH(127,'List B'!$R$5:$R$204,0)+4,"")-4))</f>
        <v/>
      </c>
      <c r="I131" s="61" t="n"/>
      <c r="J131" s="61" t="n"/>
    </row>
    <row r="132" ht="17" customHeight="1">
      <c r="A132" s="87">
        <f>IF(IFERROR(MATCH(128,'List B'!$R$5:$R$204,0)+4,"")="","",INDEX('List B'!$A$5:$A$204,IFERROR(MATCH(128,'List B'!$R$5:$R$204,0)+4,"")-4))</f>
        <v/>
      </c>
      <c r="B132" s="53">
        <f>IF(IFERROR(MATCH(128,'List B'!$R$5:$R$204,0)+4,"")="","",INDEX('List B'!$B$5:$B$204,IFERROR(MATCH(128,'List B'!$R$5:$R$204,0)+4,"")-4))</f>
        <v/>
      </c>
      <c r="C132" s="52">
        <f>IF(IFERROR(MATCH(128,'List B'!$R$5:$R$204,0)+4,"")="","",INDEX('List B'!$C$5:$C$204,IFERROR(MATCH(128,'List B'!$R$5:$R$204,0)+4,"")-4))</f>
        <v/>
      </c>
      <c r="D132" s="53">
        <f>IF(IFERROR(MATCH(128,'List B'!$R$5:$R$204,0)+4,"")="","",INDEX('List B'!$D$5:$D$204,IFERROR(MATCH(128,'List B'!$R$5:$R$204,0)+4,"")-4))</f>
        <v/>
      </c>
      <c r="E132" s="53">
        <f>IF(IFERROR(MATCH(128,'List B'!$R$5:$R$204,0)+4,"")="","",INDEX('List B'!$E$5:$E$204,IFERROR(MATCH(128,'List B'!$R$5:$R$204,0)+4,"")-4))</f>
        <v/>
      </c>
      <c r="F132" s="53">
        <f>IF(IFERROR(MATCH(128,'List B'!$R$5:$R$204,0)+4,"")="","",INDEX('List B'!$F$5:$F$204,IFERROR(MATCH(128,'List B'!$R$5:$R$204,0)+4,"")-4))</f>
        <v/>
      </c>
      <c r="G132" s="50">
        <f>IF(IFERROR(MATCH(128,'List B'!$R$5:$R$204,0)+4,"")="","",INDEX('List B'!$G$5:$G$204,IFERROR(MATCH(128,'List B'!$R$5:$R$204,0)+4,"")-4))</f>
        <v/>
      </c>
      <c r="H132" s="53">
        <f>IF(IFERROR(MATCH(128,'List B'!$R$5:$R$204,0)+4,"")="","",INDEX('List B'!$H$5:$H$204,IFERROR(MATCH(128,'List B'!$R$5:$R$204,0)+4,"")-4))</f>
        <v/>
      </c>
      <c r="I132" s="61" t="n"/>
      <c r="J132" s="61" t="n"/>
    </row>
    <row r="133" ht="17" customHeight="1">
      <c r="A133" s="87">
        <f>IF(IFERROR(MATCH(129,'List B'!$R$5:$R$204,0)+4,"")="","",INDEX('List B'!$A$5:$A$204,IFERROR(MATCH(129,'List B'!$R$5:$R$204,0)+4,"")-4))</f>
        <v/>
      </c>
      <c r="B133" s="53">
        <f>IF(IFERROR(MATCH(129,'List B'!$R$5:$R$204,0)+4,"")="","",INDEX('List B'!$B$5:$B$204,IFERROR(MATCH(129,'List B'!$R$5:$R$204,0)+4,"")-4))</f>
        <v/>
      </c>
      <c r="C133" s="52">
        <f>IF(IFERROR(MATCH(129,'List B'!$R$5:$R$204,0)+4,"")="","",INDEX('List B'!$C$5:$C$204,IFERROR(MATCH(129,'List B'!$R$5:$R$204,0)+4,"")-4))</f>
        <v/>
      </c>
      <c r="D133" s="53">
        <f>IF(IFERROR(MATCH(129,'List B'!$R$5:$R$204,0)+4,"")="","",INDEX('List B'!$D$5:$D$204,IFERROR(MATCH(129,'List B'!$R$5:$R$204,0)+4,"")-4))</f>
        <v/>
      </c>
      <c r="E133" s="53">
        <f>IF(IFERROR(MATCH(129,'List B'!$R$5:$R$204,0)+4,"")="","",INDEX('List B'!$E$5:$E$204,IFERROR(MATCH(129,'List B'!$R$5:$R$204,0)+4,"")-4))</f>
        <v/>
      </c>
      <c r="F133" s="53">
        <f>IF(IFERROR(MATCH(129,'List B'!$R$5:$R$204,0)+4,"")="","",INDEX('List B'!$F$5:$F$204,IFERROR(MATCH(129,'List B'!$R$5:$R$204,0)+4,"")-4))</f>
        <v/>
      </c>
      <c r="G133" s="50">
        <f>IF(IFERROR(MATCH(129,'List B'!$R$5:$R$204,0)+4,"")="","",INDEX('List B'!$G$5:$G$204,IFERROR(MATCH(129,'List B'!$R$5:$R$204,0)+4,"")-4))</f>
        <v/>
      </c>
      <c r="H133" s="53">
        <f>IF(IFERROR(MATCH(129,'List B'!$R$5:$R$204,0)+4,"")="","",INDEX('List B'!$H$5:$H$204,IFERROR(MATCH(129,'List B'!$R$5:$R$204,0)+4,"")-4))</f>
        <v/>
      </c>
      <c r="I133" s="61" t="n"/>
      <c r="J133" s="61" t="n"/>
    </row>
    <row r="134" ht="17" customHeight="1">
      <c r="A134" s="87">
        <f>IF(IFERROR(MATCH(130,'List B'!$R$5:$R$204,0)+4,"")="","",INDEX('List B'!$A$5:$A$204,IFERROR(MATCH(130,'List B'!$R$5:$R$204,0)+4,"")-4))</f>
        <v/>
      </c>
      <c r="B134" s="53">
        <f>IF(IFERROR(MATCH(130,'List B'!$R$5:$R$204,0)+4,"")="","",INDEX('List B'!$B$5:$B$204,IFERROR(MATCH(130,'List B'!$R$5:$R$204,0)+4,"")-4))</f>
        <v/>
      </c>
      <c r="C134" s="52">
        <f>IF(IFERROR(MATCH(130,'List B'!$R$5:$R$204,0)+4,"")="","",INDEX('List B'!$C$5:$C$204,IFERROR(MATCH(130,'List B'!$R$5:$R$204,0)+4,"")-4))</f>
        <v/>
      </c>
      <c r="D134" s="53">
        <f>IF(IFERROR(MATCH(130,'List B'!$R$5:$R$204,0)+4,"")="","",INDEX('List B'!$D$5:$D$204,IFERROR(MATCH(130,'List B'!$R$5:$R$204,0)+4,"")-4))</f>
        <v/>
      </c>
      <c r="E134" s="53">
        <f>IF(IFERROR(MATCH(130,'List B'!$R$5:$R$204,0)+4,"")="","",INDEX('List B'!$E$5:$E$204,IFERROR(MATCH(130,'List B'!$R$5:$R$204,0)+4,"")-4))</f>
        <v/>
      </c>
      <c r="F134" s="53">
        <f>IF(IFERROR(MATCH(130,'List B'!$R$5:$R$204,0)+4,"")="","",INDEX('List B'!$F$5:$F$204,IFERROR(MATCH(130,'List B'!$R$5:$R$204,0)+4,"")-4))</f>
        <v/>
      </c>
      <c r="G134" s="50">
        <f>IF(IFERROR(MATCH(130,'List B'!$R$5:$R$204,0)+4,"")="","",INDEX('List B'!$G$5:$G$204,IFERROR(MATCH(130,'List B'!$R$5:$R$204,0)+4,"")-4))</f>
        <v/>
      </c>
      <c r="H134" s="53">
        <f>IF(IFERROR(MATCH(130,'List B'!$R$5:$R$204,0)+4,"")="","",INDEX('List B'!$H$5:$H$204,IFERROR(MATCH(130,'List B'!$R$5:$R$204,0)+4,"")-4))</f>
        <v/>
      </c>
      <c r="I134" s="61" t="n"/>
      <c r="J134" s="61" t="n"/>
    </row>
    <row r="135" ht="17" customHeight="1">
      <c r="A135" s="87">
        <f>IF(IFERROR(MATCH(131,'List B'!$R$5:$R$204,0)+4,"")="","",INDEX('List B'!$A$5:$A$204,IFERROR(MATCH(131,'List B'!$R$5:$R$204,0)+4,"")-4))</f>
        <v/>
      </c>
      <c r="B135" s="53">
        <f>IF(IFERROR(MATCH(131,'List B'!$R$5:$R$204,0)+4,"")="","",INDEX('List B'!$B$5:$B$204,IFERROR(MATCH(131,'List B'!$R$5:$R$204,0)+4,"")-4))</f>
        <v/>
      </c>
      <c r="C135" s="52">
        <f>IF(IFERROR(MATCH(131,'List B'!$R$5:$R$204,0)+4,"")="","",INDEX('List B'!$C$5:$C$204,IFERROR(MATCH(131,'List B'!$R$5:$R$204,0)+4,"")-4))</f>
        <v/>
      </c>
      <c r="D135" s="53">
        <f>IF(IFERROR(MATCH(131,'List B'!$R$5:$R$204,0)+4,"")="","",INDEX('List B'!$D$5:$D$204,IFERROR(MATCH(131,'List B'!$R$5:$R$204,0)+4,"")-4))</f>
        <v/>
      </c>
      <c r="E135" s="53">
        <f>IF(IFERROR(MATCH(131,'List B'!$R$5:$R$204,0)+4,"")="","",INDEX('List B'!$E$5:$E$204,IFERROR(MATCH(131,'List B'!$R$5:$R$204,0)+4,"")-4))</f>
        <v/>
      </c>
      <c r="F135" s="53">
        <f>IF(IFERROR(MATCH(131,'List B'!$R$5:$R$204,0)+4,"")="","",INDEX('List B'!$F$5:$F$204,IFERROR(MATCH(131,'List B'!$R$5:$R$204,0)+4,"")-4))</f>
        <v/>
      </c>
      <c r="G135" s="50">
        <f>IF(IFERROR(MATCH(131,'List B'!$R$5:$R$204,0)+4,"")="","",INDEX('List B'!$G$5:$G$204,IFERROR(MATCH(131,'List B'!$R$5:$R$204,0)+4,"")-4))</f>
        <v/>
      </c>
      <c r="H135" s="53">
        <f>IF(IFERROR(MATCH(131,'List B'!$R$5:$R$204,0)+4,"")="","",INDEX('List B'!$H$5:$H$204,IFERROR(MATCH(131,'List B'!$R$5:$R$204,0)+4,"")-4))</f>
        <v/>
      </c>
      <c r="I135" s="61" t="n"/>
      <c r="J135" s="61" t="n"/>
    </row>
    <row r="136" ht="17" customHeight="1">
      <c r="A136" s="87">
        <f>IF(IFERROR(MATCH(132,'List B'!$R$5:$R$204,0)+4,"")="","",INDEX('List B'!$A$5:$A$204,IFERROR(MATCH(132,'List B'!$R$5:$R$204,0)+4,"")-4))</f>
        <v/>
      </c>
      <c r="B136" s="53">
        <f>IF(IFERROR(MATCH(132,'List B'!$R$5:$R$204,0)+4,"")="","",INDEX('List B'!$B$5:$B$204,IFERROR(MATCH(132,'List B'!$R$5:$R$204,0)+4,"")-4))</f>
        <v/>
      </c>
      <c r="C136" s="52">
        <f>IF(IFERROR(MATCH(132,'List B'!$R$5:$R$204,0)+4,"")="","",INDEX('List B'!$C$5:$C$204,IFERROR(MATCH(132,'List B'!$R$5:$R$204,0)+4,"")-4))</f>
        <v/>
      </c>
      <c r="D136" s="53">
        <f>IF(IFERROR(MATCH(132,'List B'!$R$5:$R$204,0)+4,"")="","",INDEX('List B'!$D$5:$D$204,IFERROR(MATCH(132,'List B'!$R$5:$R$204,0)+4,"")-4))</f>
        <v/>
      </c>
      <c r="E136" s="53">
        <f>IF(IFERROR(MATCH(132,'List B'!$R$5:$R$204,0)+4,"")="","",INDEX('List B'!$E$5:$E$204,IFERROR(MATCH(132,'List B'!$R$5:$R$204,0)+4,"")-4))</f>
        <v/>
      </c>
      <c r="F136" s="53">
        <f>IF(IFERROR(MATCH(132,'List B'!$R$5:$R$204,0)+4,"")="","",INDEX('List B'!$F$5:$F$204,IFERROR(MATCH(132,'List B'!$R$5:$R$204,0)+4,"")-4))</f>
        <v/>
      </c>
      <c r="G136" s="50">
        <f>IF(IFERROR(MATCH(132,'List B'!$R$5:$R$204,0)+4,"")="","",INDEX('List B'!$G$5:$G$204,IFERROR(MATCH(132,'List B'!$R$5:$R$204,0)+4,"")-4))</f>
        <v/>
      </c>
      <c r="H136" s="53">
        <f>IF(IFERROR(MATCH(132,'List B'!$R$5:$R$204,0)+4,"")="","",INDEX('List B'!$H$5:$H$204,IFERROR(MATCH(132,'List B'!$R$5:$R$204,0)+4,"")-4))</f>
        <v/>
      </c>
      <c r="I136" s="61" t="n"/>
      <c r="J136" s="61" t="n"/>
    </row>
    <row r="137" ht="17" customHeight="1">
      <c r="A137" s="87">
        <f>IF(IFERROR(MATCH(133,'List B'!$R$5:$R$204,0)+4,"")="","",INDEX('List B'!$A$5:$A$204,IFERROR(MATCH(133,'List B'!$R$5:$R$204,0)+4,"")-4))</f>
        <v/>
      </c>
      <c r="B137" s="53">
        <f>IF(IFERROR(MATCH(133,'List B'!$R$5:$R$204,0)+4,"")="","",INDEX('List B'!$B$5:$B$204,IFERROR(MATCH(133,'List B'!$R$5:$R$204,0)+4,"")-4))</f>
        <v/>
      </c>
      <c r="C137" s="52">
        <f>IF(IFERROR(MATCH(133,'List B'!$R$5:$R$204,0)+4,"")="","",INDEX('List B'!$C$5:$C$204,IFERROR(MATCH(133,'List B'!$R$5:$R$204,0)+4,"")-4))</f>
        <v/>
      </c>
      <c r="D137" s="53">
        <f>IF(IFERROR(MATCH(133,'List B'!$R$5:$R$204,0)+4,"")="","",INDEX('List B'!$D$5:$D$204,IFERROR(MATCH(133,'List B'!$R$5:$R$204,0)+4,"")-4))</f>
        <v/>
      </c>
      <c r="E137" s="53">
        <f>IF(IFERROR(MATCH(133,'List B'!$R$5:$R$204,0)+4,"")="","",INDEX('List B'!$E$5:$E$204,IFERROR(MATCH(133,'List B'!$R$5:$R$204,0)+4,"")-4))</f>
        <v/>
      </c>
      <c r="F137" s="53">
        <f>IF(IFERROR(MATCH(133,'List B'!$R$5:$R$204,0)+4,"")="","",INDEX('List B'!$F$5:$F$204,IFERROR(MATCH(133,'List B'!$R$5:$R$204,0)+4,"")-4))</f>
        <v/>
      </c>
      <c r="G137" s="50">
        <f>IF(IFERROR(MATCH(133,'List B'!$R$5:$R$204,0)+4,"")="","",INDEX('List B'!$G$5:$G$204,IFERROR(MATCH(133,'List B'!$R$5:$R$204,0)+4,"")-4))</f>
        <v/>
      </c>
      <c r="H137" s="53">
        <f>IF(IFERROR(MATCH(133,'List B'!$R$5:$R$204,0)+4,"")="","",INDEX('List B'!$H$5:$H$204,IFERROR(MATCH(133,'List B'!$R$5:$R$204,0)+4,"")-4))</f>
        <v/>
      </c>
      <c r="I137" s="61" t="n"/>
      <c r="J137" s="61" t="n"/>
    </row>
    <row r="138" ht="17" customHeight="1">
      <c r="A138" s="87">
        <f>IF(IFERROR(MATCH(134,'List B'!$R$5:$R$204,0)+4,"")="","",INDEX('List B'!$A$5:$A$204,IFERROR(MATCH(134,'List B'!$R$5:$R$204,0)+4,"")-4))</f>
        <v/>
      </c>
      <c r="B138" s="53">
        <f>IF(IFERROR(MATCH(134,'List B'!$R$5:$R$204,0)+4,"")="","",INDEX('List B'!$B$5:$B$204,IFERROR(MATCH(134,'List B'!$R$5:$R$204,0)+4,"")-4))</f>
        <v/>
      </c>
      <c r="C138" s="52">
        <f>IF(IFERROR(MATCH(134,'List B'!$R$5:$R$204,0)+4,"")="","",INDEX('List B'!$C$5:$C$204,IFERROR(MATCH(134,'List B'!$R$5:$R$204,0)+4,"")-4))</f>
        <v/>
      </c>
      <c r="D138" s="53">
        <f>IF(IFERROR(MATCH(134,'List B'!$R$5:$R$204,0)+4,"")="","",INDEX('List B'!$D$5:$D$204,IFERROR(MATCH(134,'List B'!$R$5:$R$204,0)+4,"")-4))</f>
        <v/>
      </c>
      <c r="E138" s="53">
        <f>IF(IFERROR(MATCH(134,'List B'!$R$5:$R$204,0)+4,"")="","",INDEX('List B'!$E$5:$E$204,IFERROR(MATCH(134,'List B'!$R$5:$R$204,0)+4,"")-4))</f>
        <v/>
      </c>
      <c r="F138" s="53">
        <f>IF(IFERROR(MATCH(134,'List B'!$R$5:$R$204,0)+4,"")="","",INDEX('List B'!$F$5:$F$204,IFERROR(MATCH(134,'List B'!$R$5:$R$204,0)+4,"")-4))</f>
        <v/>
      </c>
      <c r="G138" s="50">
        <f>IF(IFERROR(MATCH(134,'List B'!$R$5:$R$204,0)+4,"")="","",INDEX('List B'!$G$5:$G$204,IFERROR(MATCH(134,'List B'!$R$5:$R$204,0)+4,"")-4))</f>
        <v/>
      </c>
      <c r="H138" s="53">
        <f>IF(IFERROR(MATCH(134,'List B'!$R$5:$R$204,0)+4,"")="","",INDEX('List B'!$H$5:$H$204,IFERROR(MATCH(134,'List B'!$R$5:$R$204,0)+4,"")-4))</f>
        <v/>
      </c>
      <c r="I138" s="61" t="n"/>
      <c r="J138" s="61" t="n"/>
    </row>
    <row r="139" ht="17" customHeight="1">
      <c r="A139" s="87">
        <f>IF(IFERROR(MATCH(135,'List B'!$R$5:$R$204,0)+4,"")="","",INDEX('List B'!$A$5:$A$204,IFERROR(MATCH(135,'List B'!$R$5:$R$204,0)+4,"")-4))</f>
        <v/>
      </c>
      <c r="B139" s="53">
        <f>IF(IFERROR(MATCH(135,'List B'!$R$5:$R$204,0)+4,"")="","",INDEX('List B'!$B$5:$B$204,IFERROR(MATCH(135,'List B'!$R$5:$R$204,0)+4,"")-4))</f>
        <v/>
      </c>
      <c r="C139" s="52">
        <f>IF(IFERROR(MATCH(135,'List B'!$R$5:$R$204,0)+4,"")="","",INDEX('List B'!$C$5:$C$204,IFERROR(MATCH(135,'List B'!$R$5:$R$204,0)+4,"")-4))</f>
        <v/>
      </c>
      <c r="D139" s="53">
        <f>IF(IFERROR(MATCH(135,'List B'!$R$5:$R$204,0)+4,"")="","",INDEX('List B'!$D$5:$D$204,IFERROR(MATCH(135,'List B'!$R$5:$R$204,0)+4,"")-4))</f>
        <v/>
      </c>
      <c r="E139" s="53">
        <f>IF(IFERROR(MATCH(135,'List B'!$R$5:$R$204,0)+4,"")="","",INDEX('List B'!$E$5:$E$204,IFERROR(MATCH(135,'List B'!$R$5:$R$204,0)+4,"")-4))</f>
        <v/>
      </c>
      <c r="F139" s="53">
        <f>IF(IFERROR(MATCH(135,'List B'!$R$5:$R$204,0)+4,"")="","",INDEX('List B'!$F$5:$F$204,IFERROR(MATCH(135,'List B'!$R$5:$R$204,0)+4,"")-4))</f>
        <v/>
      </c>
      <c r="G139" s="50">
        <f>IF(IFERROR(MATCH(135,'List B'!$R$5:$R$204,0)+4,"")="","",INDEX('List B'!$G$5:$G$204,IFERROR(MATCH(135,'List B'!$R$5:$R$204,0)+4,"")-4))</f>
        <v/>
      </c>
      <c r="H139" s="53">
        <f>IF(IFERROR(MATCH(135,'List B'!$R$5:$R$204,0)+4,"")="","",INDEX('List B'!$H$5:$H$204,IFERROR(MATCH(135,'List B'!$R$5:$R$204,0)+4,"")-4))</f>
        <v/>
      </c>
      <c r="I139" s="61" t="n"/>
      <c r="J139" s="61" t="n"/>
    </row>
    <row r="140" ht="17" customHeight="1">
      <c r="A140" s="87">
        <f>IF(IFERROR(MATCH(136,'List B'!$R$5:$R$204,0)+4,"")="","",INDEX('List B'!$A$5:$A$204,IFERROR(MATCH(136,'List B'!$R$5:$R$204,0)+4,"")-4))</f>
        <v/>
      </c>
      <c r="B140" s="53">
        <f>IF(IFERROR(MATCH(136,'List B'!$R$5:$R$204,0)+4,"")="","",INDEX('List B'!$B$5:$B$204,IFERROR(MATCH(136,'List B'!$R$5:$R$204,0)+4,"")-4))</f>
        <v/>
      </c>
      <c r="C140" s="52">
        <f>IF(IFERROR(MATCH(136,'List B'!$R$5:$R$204,0)+4,"")="","",INDEX('List B'!$C$5:$C$204,IFERROR(MATCH(136,'List B'!$R$5:$R$204,0)+4,"")-4))</f>
        <v/>
      </c>
      <c r="D140" s="53">
        <f>IF(IFERROR(MATCH(136,'List B'!$R$5:$R$204,0)+4,"")="","",INDEX('List B'!$D$5:$D$204,IFERROR(MATCH(136,'List B'!$R$5:$R$204,0)+4,"")-4))</f>
        <v/>
      </c>
      <c r="E140" s="53">
        <f>IF(IFERROR(MATCH(136,'List B'!$R$5:$R$204,0)+4,"")="","",INDEX('List B'!$E$5:$E$204,IFERROR(MATCH(136,'List B'!$R$5:$R$204,0)+4,"")-4))</f>
        <v/>
      </c>
      <c r="F140" s="53">
        <f>IF(IFERROR(MATCH(136,'List B'!$R$5:$R$204,0)+4,"")="","",INDEX('List B'!$F$5:$F$204,IFERROR(MATCH(136,'List B'!$R$5:$R$204,0)+4,"")-4))</f>
        <v/>
      </c>
      <c r="G140" s="50">
        <f>IF(IFERROR(MATCH(136,'List B'!$R$5:$R$204,0)+4,"")="","",INDEX('List B'!$G$5:$G$204,IFERROR(MATCH(136,'List B'!$R$5:$R$204,0)+4,"")-4))</f>
        <v/>
      </c>
      <c r="H140" s="53">
        <f>IF(IFERROR(MATCH(136,'List B'!$R$5:$R$204,0)+4,"")="","",INDEX('List B'!$H$5:$H$204,IFERROR(MATCH(136,'List B'!$R$5:$R$204,0)+4,"")-4))</f>
        <v/>
      </c>
      <c r="I140" s="61" t="n"/>
      <c r="J140" s="61" t="n"/>
    </row>
    <row r="141" ht="17" customHeight="1">
      <c r="A141" s="87">
        <f>IF(IFERROR(MATCH(137,'List B'!$R$5:$R$204,0)+4,"")="","",INDEX('List B'!$A$5:$A$204,IFERROR(MATCH(137,'List B'!$R$5:$R$204,0)+4,"")-4))</f>
        <v/>
      </c>
      <c r="B141" s="53">
        <f>IF(IFERROR(MATCH(137,'List B'!$R$5:$R$204,0)+4,"")="","",INDEX('List B'!$B$5:$B$204,IFERROR(MATCH(137,'List B'!$R$5:$R$204,0)+4,"")-4))</f>
        <v/>
      </c>
      <c r="C141" s="52">
        <f>IF(IFERROR(MATCH(137,'List B'!$R$5:$R$204,0)+4,"")="","",INDEX('List B'!$C$5:$C$204,IFERROR(MATCH(137,'List B'!$R$5:$R$204,0)+4,"")-4))</f>
        <v/>
      </c>
      <c r="D141" s="53">
        <f>IF(IFERROR(MATCH(137,'List B'!$R$5:$R$204,0)+4,"")="","",INDEX('List B'!$D$5:$D$204,IFERROR(MATCH(137,'List B'!$R$5:$R$204,0)+4,"")-4))</f>
        <v/>
      </c>
      <c r="E141" s="53">
        <f>IF(IFERROR(MATCH(137,'List B'!$R$5:$R$204,0)+4,"")="","",INDEX('List B'!$E$5:$E$204,IFERROR(MATCH(137,'List B'!$R$5:$R$204,0)+4,"")-4))</f>
        <v/>
      </c>
      <c r="F141" s="53">
        <f>IF(IFERROR(MATCH(137,'List B'!$R$5:$R$204,0)+4,"")="","",INDEX('List B'!$F$5:$F$204,IFERROR(MATCH(137,'List B'!$R$5:$R$204,0)+4,"")-4))</f>
        <v/>
      </c>
      <c r="G141" s="50">
        <f>IF(IFERROR(MATCH(137,'List B'!$R$5:$R$204,0)+4,"")="","",INDEX('List B'!$G$5:$G$204,IFERROR(MATCH(137,'List B'!$R$5:$R$204,0)+4,"")-4))</f>
        <v/>
      </c>
      <c r="H141" s="53">
        <f>IF(IFERROR(MATCH(137,'List B'!$R$5:$R$204,0)+4,"")="","",INDEX('List B'!$H$5:$H$204,IFERROR(MATCH(137,'List B'!$R$5:$R$204,0)+4,"")-4))</f>
        <v/>
      </c>
      <c r="I141" s="61" t="n"/>
      <c r="J141" s="61" t="n"/>
    </row>
    <row r="142" ht="17" customHeight="1">
      <c r="A142" s="87">
        <f>IF(IFERROR(MATCH(138,'List B'!$R$5:$R$204,0)+4,"")="","",INDEX('List B'!$A$5:$A$204,IFERROR(MATCH(138,'List B'!$R$5:$R$204,0)+4,"")-4))</f>
        <v/>
      </c>
      <c r="B142" s="53">
        <f>IF(IFERROR(MATCH(138,'List B'!$R$5:$R$204,0)+4,"")="","",INDEX('List B'!$B$5:$B$204,IFERROR(MATCH(138,'List B'!$R$5:$R$204,0)+4,"")-4))</f>
        <v/>
      </c>
      <c r="C142" s="52">
        <f>IF(IFERROR(MATCH(138,'List B'!$R$5:$R$204,0)+4,"")="","",INDEX('List B'!$C$5:$C$204,IFERROR(MATCH(138,'List B'!$R$5:$R$204,0)+4,"")-4))</f>
        <v/>
      </c>
      <c r="D142" s="53">
        <f>IF(IFERROR(MATCH(138,'List B'!$R$5:$R$204,0)+4,"")="","",INDEX('List B'!$D$5:$D$204,IFERROR(MATCH(138,'List B'!$R$5:$R$204,0)+4,"")-4))</f>
        <v/>
      </c>
      <c r="E142" s="53">
        <f>IF(IFERROR(MATCH(138,'List B'!$R$5:$R$204,0)+4,"")="","",INDEX('List B'!$E$5:$E$204,IFERROR(MATCH(138,'List B'!$R$5:$R$204,0)+4,"")-4))</f>
        <v/>
      </c>
      <c r="F142" s="53">
        <f>IF(IFERROR(MATCH(138,'List B'!$R$5:$R$204,0)+4,"")="","",INDEX('List B'!$F$5:$F$204,IFERROR(MATCH(138,'List B'!$R$5:$R$204,0)+4,"")-4))</f>
        <v/>
      </c>
      <c r="G142" s="50">
        <f>IF(IFERROR(MATCH(138,'List B'!$R$5:$R$204,0)+4,"")="","",INDEX('List B'!$G$5:$G$204,IFERROR(MATCH(138,'List B'!$R$5:$R$204,0)+4,"")-4))</f>
        <v/>
      </c>
      <c r="H142" s="53">
        <f>IF(IFERROR(MATCH(138,'List B'!$R$5:$R$204,0)+4,"")="","",INDEX('List B'!$H$5:$H$204,IFERROR(MATCH(138,'List B'!$R$5:$R$204,0)+4,"")-4))</f>
        <v/>
      </c>
      <c r="I142" s="61" t="n"/>
      <c r="J142" s="61" t="n"/>
    </row>
    <row r="143" ht="17" customHeight="1">
      <c r="A143" s="87">
        <f>IF(IFERROR(MATCH(139,'List B'!$R$5:$R$204,0)+4,"")="","",INDEX('List B'!$A$5:$A$204,IFERROR(MATCH(139,'List B'!$R$5:$R$204,0)+4,"")-4))</f>
        <v/>
      </c>
      <c r="B143" s="53">
        <f>IF(IFERROR(MATCH(139,'List B'!$R$5:$R$204,0)+4,"")="","",INDEX('List B'!$B$5:$B$204,IFERROR(MATCH(139,'List B'!$R$5:$R$204,0)+4,"")-4))</f>
        <v/>
      </c>
      <c r="C143" s="52">
        <f>IF(IFERROR(MATCH(139,'List B'!$R$5:$R$204,0)+4,"")="","",INDEX('List B'!$C$5:$C$204,IFERROR(MATCH(139,'List B'!$R$5:$R$204,0)+4,"")-4))</f>
        <v/>
      </c>
      <c r="D143" s="53">
        <f>IF(IFERROR(MATCH(139,'List B'!$R$5:$R$204,0)+4,"")="","",INDEX('List B'!$D$5:$D$204,IFERROR(MATCH(139,'List B'!$R$5:$R$204,0)+4,"")-4))</f>
        <v/>
      </c>
      <c r="E143" s="53">
        <f>IF(IFERROR(MATCH(139,'List B'!$R$5:$R$204,0)+4,"")="","",INDEX('List B'!$E$5:$E$204,IFERROR(MATCH(139,'List B'!$R$5:$R$204,0)+4,"")-4))</f>
        <v/>
      </c>
      <c r="F143" s="53">
        <f>IF(IFERROR(MATCH(139,'List B'!$R$5:$R$204,0)+4,"")="","",INDEX('List B'!$F$5:$F$204,IFERROR(MATCH(139,'List B'!$R$5:$R$204,0)+4,"")-4))</f>
        <v/>
      </c>
      <c r="G143" s="50">
        <f>IF(IFERROR(MATCH(139,'List B'!$R$5:$R$204,0)+4,"")="","",INDEX('List B'!$G$5:$G$204,IFERROR(MATCH(139,'List B'!$R$5:$R$204,0)+4,"")-4))</f>
        <v/>
      </c>
      <c r="H143" s="53">
        <f>IF(IFERROR(MATCH(139,'List B'!$R$5:$R$204,0)+4,"")="","",INDEX('List B'!$H$5:$H$204,IFERROR(MATCH(139,'List B'!$R$5:$R$204,0)+4,"")-4))</f>
        <v/>
      </c>
      <c r="I143" s="61" t="n"/>
      <c r="J143" s="61" t="n"/>
    </row>
    <row r="144" ht="17" customHeight="1">
      <c r="A144" s="87">
        <f>IF(IFERROR(MATCH(140,'List B'!$R$5:$R$204,0)+4,"")="","",INDEX('List B'!$A$5:$A$204,IFERROR(MATCH(140,'List B'!$R$5:$R$204,0)+4,"")-4))</f>
        <v/>
      </c>
      <c r="B144" s="53">
        <f>IF(IFERROR(MATCH(140,'List B'!$R$5:$R$204,0)+4,"")="","",INDEX('List B'!$B$5:$B$204,IFERROR(MATCH(140,'List B'!$R$5:$R$204,0)+4,"")-4))</f>
        <v/>
      </c>
      <c r="C144" s="52">
        <f>IF(IFERROR(MATCH(140,'List B'!$R$5:$R$204,0)+4,"")="","",INDEX('List B'!$C$5:$C$204,IFERROR(MATCH(140,'List B'!$R$5:$R$204,0)+4,"")-4))</f>
        <v/>
      </c>
      <c r="D144" s="53">
        <f>IF(IFERROR(MATCH(140,'List B'!$R$5:$R$204,0)+4,"")="","",INDEX('List B'!$D$5:$D$204,IFERROR(MATCH(140,'List B'!$R$5:$R$204,0)+4,"")-4))</f>
        <v/>
      </c>
      <c r="E144" s="53">
        <f>IF(IFERROR(MATCH(140,'List B'!$R$5:$R$204,0)+4,"")="","",INDEX('List B'!$E$5:$E$204,IFERROR(MATCH(140,'List B'!$R$5:$R$204,0)+4,"")-4))</f>
        <v/>
      </c>
      <c r="F144" s="53">
        <f>IF(IFERROR(MATCH(140,'List B'!$R$5:$R$204,0)+4,"")="","",INDEX('List B'!$F$5:$F$204,IFERROR(MATCH(140,'List B'!$R$5:$R$204,0)+4,"")-4))</f>
        <v/>
      </c>
      <c r="G144" s="50">
        <f>IF(IFERROR(MATCH(140,'List B'!$R$5:$R$204,0)+4,"")="","",INDEX('List B'!$G$5:$G$204,IFERROR(MATCH(140,'List B'!$R$5:$R$204,0)+4,"")-4))</f>
        <v/>
      </c>
      <c r="H144" s="53">
        <f>IF(IFERROR(MATCH(140,'List B'!$R$5:$R$204,0)+4,"")="","",INDEX('List B'!$H$5:$H$204,IFERROR(MATCH(140,'List B'!$R$5:$R$204,0)+4,"")-4))</f>
        <v/>
      </c>
      <c r="I144" s="61" t="n"/>
      <c r="J144" s="61" t="n"/>
    </row>
    <row r="145" ht="17" customHeight="1">
      <c r="A145" s="87">
        <f>IF(IFERROR(MATCH(141,'List B'!$R$5:$R$204,0)+4,"")="","",INDEX('List B'!$A$5:$A$204,IFERROR(MATCH(141,'List B'!$R$5:$R$204,0)+4,"")-4))</f>
        <v/>
      </c>
      <c r="B145" s="53">
        <f>IF(IFERROR(MATCH(141,'List B'!$R$5:$R$204,0)+4,"")="","",INDEX('List B'!$B$5:$B$204,IFERROR(MATCH(141,'List B'!$R$5:$R$204,0)+4,"")-4))</f>
        <v/>
      </c>
      <c r="C145" s="52">
        <f>IF(IFERROR(MATCH(141,'List B'!$R$5:$R$204,0)+4,"")="","",INDEX('List B'!$C$5:$C$204,IFERROR(MATCH(141,'List B'!$R$5:$R$204,0)+4,"")-4))</f>
        <v/>
      </c>
      <c r="D145" s="53">
        <f>IF(IFERROR(MATCH(141,'List B'!$R$5:$R$204,0)+4,"")="","",INDEX('List B'!$D$5:$D$204,IFERROR(MATCH(141,'List B'!$R$5:$R$204,0)+4,"")-4))</f>
        <v/>
      </c>
      <c r="E145" s="53">
        <f>IF(IFERROR(MATCH(141,'List B'!$R$5:$R$204,0)+4,"")="","",INDEX('List B'!$E$5:$E$204,IFERROR(MATCH(141,'List B'!$R$5:$R$204,0)+4,"")-4))</f>
        <v/>
      </c>
      <c r="F145" s="53">
        <f>IF(IFERROR(MATCH(141,'List B'!$R$5:$R$204,0)+4,"")="","",INDEX('List B'!$F$5:$F$204,IFERROR(MATCH(141,'List B'!$R$5:$R$204,0)+4,"")-4))</f>
        <v/>
      </c>
      <c r="G145" s="50">
        <f>IF(IFERROR(MATCH(141,'List B'!$R$5:$R$204,0)+4,"")="","",INDEX('List B'!$G$5:$G$204,IFERROR(MATCH(141,'List B'!$R$5:$R$204,0)+4,"")-4))</f>
        <v/>
      </c>
      <c r="H145" s="53">
        <f>IF(IFERROR(MATCH(141,'List B'!$R$5:$R$204,0)+4,"")="","",INDEX('List B'!$H$5:$H$204,IFERROR(MATCH(141,'List B'!$R$5:$R$204,0)+4,"")-4))</f>
        <v/>
      </c>
      <c r="I145" s="61" t="n"/>
      <c r="J145" s="61" t="n"/>
    </row>
    <row r="146" ht="17" customHeight="1">
      <c r="A146" s="87">
        <f>IF(IFERROR(MATCH(142,'List B'!$R$5:$R$204,0)+4,"")="","",INDEX('List B'!$A$5:$A$204,IFERROR(MATCH(142,'List B'!$R$5:$R$204,0)+4,"")-4))</f>
        <v/>
      </c>
      <c r="B146" s="53">
        <f>IF(IFERROR(MATCH(142,'List B'!$R$5:$R$204,0)+4,"")="","",INDEX('List B'!$B$5:$B$204,IFERROR(MATCH(142,'List B'!$R$5:$R$204,0)+4,"")-4))</f>
        <v/>
      </c>
      <c r="C146" s="52">
        <f>IF(IFERROR(MATCH(142,'List B'!$R$5:$R$204,0)+4,"")="","",INDEX('List B'!$C$5:$C$204,IFERROR(MATCH(142,'List B'!$R$5:$R$204,0)+4,"")-4))</f>
        <v/>
      </c>
      <c r="D146" s="53">
        <f>IF(IFERROR(MATCH(142,'List B'!$R$5:$R$204,0)+4,"")="","",INDEX('List B'!$D$5:$D$204,IFERROR(MATCH(142,'List B'!$R$5:$R$204,0)+4,"")-4))</f>
        <v/>
      </c>
      <c r="E146" s="53">
        <f>IF(IFERROR(MATCH(142,'List B'!$R$5:$R$204,0)+4,"")="","",INDEX('List B'!$E$5:$E$204,IFERROR(MATCH(142,'List B'!$R$5:$R$204,0)+4,"")-4))</f>
        <v/>
      </c>
      <c r="F146" s="53">
        <f>IF(IFERROR(MATCH(142,'List B'!$R$5:$R$204,0)+4,"")="","",INDEX('List B'!$F$5:$F$204,IFERROR(MATCH(142,'List B'!$R$5:$R$204,0)+4,"")-4))</f>
        <v/>
      </c>
      <c r="G146" s="50">
        <f>IF(IFERROR(MATCH(142,'List B'!$R$5:$R$204,0)+4,"")="","",INDEX('List B'!$G$5:$G$204,IFERROR(MATCH(142,'List B'!$R$5:$R$204,0)+4,"")-4))</f>
        <v/>
      </c>
      <c r="H146" s="53">
        <f>IF(IFERROR(MATCH(142,'List B'!$R$5:$R$204,0)+4,"")="","",INDEX('List B'!$H$5:$H$204,IFERROR(MATCH(142,'List B'!$R$5:$R$204,0)+4,"")-4))</f>
        <v/>
      </c>
      <c r="I146" s="61" t="n"/>
      <c r="J146" s="61" t="n"/>
    </row>
    <row r="147" ht="17" customHeight="1">
      <c r="A147" s="87">
        <f>IF(IFERROR(MATCH(143,'List B'!$R$5:$R$204,0)+4,"")="","",INDEX('List B'!$A$5:$A$204,IFERROR(MATCH(143,'List B'!$R$5:$R$204,0)+4,"")-4))</f>
        <v/>
      </c>
      <c r="B147" s="53">
        <f>IF(IFERROR(MATCH(143,'List B'!$R$5:$R$204,0)+4,"")="","",INDEX('List B'!$B$5:$B$204,IFERROR(MATCH(143,'List B'!$R$5:$R$204,0)+4,"")-4))</f>
        <v/>
      </c>
      <c r="C147" s="52">
        <f>IF(IFERROR(MATCH(143,'List B'!$R$5:$R$204,0)+4,"")="","",INDEX('List B'!$C$5:$C$204,IFERROR(MATCH(143,'List B'!$R$5:$R$204,0)+4,"")-4))</f>
        <v/>
      </c>
      <c r="D147" s="53">
        <f>IF(IFERROR(MATCH(143,'List B'!$R$5:$R$204,0)+4,"")="","",INDEX('List B'!$D$5:$D$204,IFERROR(MATCH(143,'List B'!$R$5:$R$204,0)+4,"")-4))</f>
        <v/>
      </c>
      <c r="E147" s="53">
        <f>IF(IFERROR(MATCH(143,'List B'!$R$5:$R$204,0)+4,"")="","",INDEX('List B'!$E$5:$E$204,IFERROR(MATCH(143,'List B'!$R$5:$R$204,0)+4,"")-4))</f>
        <v/>
      </c>
      <c r="F147" s="53">
        <f>IF(IFERROR(MATCH(143,'List B'!$R$5:$R$204,0)+4,"")="","",INDEX('List B'!$F$5:$F$204,IFERROR(MATCH(143,'List B'!$R$5:$R$204,0)+4,"")-4))</f>
        <v/>
      </c>
      <c r="G147" s="50">
        <f>IF(IFERROR(MATCH(143,'List B'!$R$5:$R$204,0)+4,"")="","",INDEX('List B'!$G$5:$G$204,IFERROR(MATCH(143,'List B'!$R$5:$R$204,0)+4,"")-4))</f>
        <v/>
      </c>
      <c r="H147" s="53">
        <f>IF(IFERROR(MATCH(143,'List B'!$R$5:$R$204,0)+4,"")="","",INDEX('List B'!$H$5:$H$204,IFERROR(MATCH(143,'List B'!$R$5:$R$204,0)+4,"")-4))</f>
        <v/>
      </c>
      <c r="I147" s="61" t="n"/>
      <c r="J147" s="61" t="n"/>
    </row>
    <row r="148" ht="17" customHeight="1">
      <c r="A148" s="87">
        <f>IF(IFERROR(MATCH(144,'List B'!$R$5:$R$204,0)+4,"")="","",INDEX('List B'!$A$5:$A$204,IFERROR(MATCH(144,'List B'!$R$5:$R$204,0)+4,"")-4))</f>
        <v/>
      </c>
      <c r="B148" s="53">
        <f>IF(IFERROR(MATCH(144,'List B'!$R$5:$R$204,0)+4,"")="","",INDEX('List B'!$B$5:$B$204,IFERROR(MATCH(144,'List B'!$R$5:$R$204,0)+4,"")-4))</f>
        <v/>
      </c>
      <c r="C148" s="52">
        <f>IF(IFERROR(MATCH(144,'List B'!$R$5:$R$204,0)+4,"")="","",INDEX('List B'!$C$5:$C$204,IFERROR(MATCH(144,'List B'!$R$5:$R$204,0)+4,"")-4))</f>
        <v/>
      </c>
      <c r="D148" s="53">
        <f>IF(IFERROR(MATCH(144,'List B'!$R$5:$R$204,0)+4,"")="","",INDEX('List B'!$D$5:$D$204,IFERROR(MATCH(144,'List B'!$R$5:$R$204,0)+4,"")-4))</f>
        <v/>
      </c>
      <c r="E148" s="53">
        <f>IF(IFERROR(MATCH(144,'List B'!$R$5:$R$204,0)+4,"")="","",INDEX('List B'!$E$5:$E$204,IFERROR(MATCH(144,'List B'!$R$5:$R$204,0)+4,"")-4))</f>
        <v/>
      </c>
      <c r="F148" s="53">
        <f>IF(IFERROR(MATCH(144,'List B'!$R$5:$R$204,0)+4,"")="","",INDEX('List B'!$F$5:$F$204,IFERROR(MATCH(144,'List B'!$R$5:$R$204,0)+4,"")-4))</f>
        <v/>
      </c>
      <c r="G148" s="50">
        <f>IF(IFERROR(MATCH(144,'List B'!$R$5:$R$204,0)+4,"")="","",INDEX('List B'!$G$5:$G$204,IFERROR(MATCH(144,'List B'!$R$5:$R$204,0)+4,"")-4))</f>
        <v/>
      </c>
      <c r="H148" s="53">
        <f>IF(IFERROR(MATCH(144,'List B'!$R$5:$R$204,0)+4,"")="","",INDEX('List B'!$H$5:$H$204,IFERROR(MATCH(144,'List B'!$R$5:$R$204,0)+4,"")-4))</f>
        <v/>
      </c>
      <c r="I148" s="61" t="n"/>
      <c r="J148" s="61" t="n"/>
    </row>
    <row r="149" ht="17" customHeight="1">
      <c r="A149" s="87">
        <f>IF(IFERROR(MATCH(145,'List B'!$R$5:$R$204,0)+4,"")="","",INDEX('List B'!$A$5:$A$204,IFERROR(MATCH(145,'List B'!$R$5:$R$204,0)+4,"")-4))</f>
        <v/>
      </c>
      <c r="B149" s="53">
        <f>IF(IFERROR(MATCH(145,'List B'!$R$5:$R$204,0)+4,"")="","",INDEX('List B'!$B$5:$B$204,IFERROR(MATCH(145,'List B'!$R$5:$R$204,0)+4,"")-4))</f>
        <v/>
      </c>
      <c r="C149" s="52">
        <f>IF(IFERROR(MATCH(145,'List B'!$R$5:$R$204,0)+4,"")="","",INDEX('List B'!$C$5:$C$204,IFERROR(MATCH(145,'List B'!$R$5:$R$204,0)+4,"")-4))</f>
        <v/>
      </c>
      <c r="D149" s="53">
        <f>IF(IFERROR(MATCH(145,'List B'!$R$5:$R$204,0)+4,"")="","",INDEX('List B'!$D$5:$D$204,IFERROR(MATCH(145,'List B'!$R$5:$R$204,0)+4,"")-4))</f>
        <v/>
      </c>
      <c r="E149" s="53">
        <f>IF(IFERROR(MATCH(145,'List B'!$R$5:$R$204,0)+4,"")="","",INDEX('List B'!$E$5:$E$204,IFERROR(MATCH(145,'List B'!$R$5:$R$204,0)+4,"")-4))</f>
        <v/>
      </c>
      <c r="F149" s="53">
        <f>IF(IFERROR(MATCH(145,'List B'!$R$5:$R$204,0)+4,"")="","",INDEX('List B'!$F$5:$F$204,IFERROR(MATCH(145,'List B'!$R$5:$R$204,0)+4,"")-4))</f>
        <v/>
      </c>
      <c r="G149" s="50">
        <f>IF(IFERROR(MATCH(145,'List B'!$R$5:$R$204,0)+4,"")="","",INDEX('List B'!$G$5:$G$204,IFERROR(MATCH(145,'List B'!$R$5:$R$204,0)+4,"")-4))</f>
        <v/>
      </c>
      <c r="H149" s="53">
        <f>IF(IFERROR(MATCH(145,'List B'!$R$5:$R$204,0)+4,"")="","",INDEX('List B'!$H$5:$H$204,IFERROR(MATCH(145,'List B'!$R$5:$R$204,0)+4,"")-4))</f>
        <v/>
      </c>
      <c r="I149" s="61" t="n"/>
      <c r="J149" s="61" t="n"/>
    </row>
    <row r="150" ht="17" customHeight="1">
      <c r="A150" s="87">
        <f>IF(IFERROR(MATCH(146,'List B'!$R$5:$R$204,0)+4,"")="","",INDEX('List B'!$A$5:$A$204,IFERROR(MATCH(146,'List B'!$R$5:$R$204,0)+4,"")-4))</f>
        <v/>
      </c>
      <c r="B150" s="53">
        <f>IF(IFERROR(MATCH(146,'List B'!$R$5:$R$204,0)+4,"")="","",INDEX('List B'!$B$5:$B$204,IFERROR(MATCH(146,'List B'!$R$5:$R$204,0)+4,"")-4))</f>
        <v/>
      </c>
      <c r="C150" s="52">
        <f>IF(IFERROR(MATCH(146,'List B'!$R$5:$R$204,0)+4,"")="","",INDEX('List B'!$C$5:$C$204,IFERROR(MATCH(146,'List B'!$R$5:$R$204,0)+4,"")-4))</f>
        <v/>
      </c>
      <c r="D150" s="53">
        <f>IF(IFERROR(MATCH(146,'List B'!$R$5:$R$204,0)+4,"")="","",INDEX('List B'!$D$5:$D$204,IFERROR(MATCH(146,'List B'!$R$5:$R$204,0)+4,"")-4))</f>
        <v/>
      </c>
      <c r="E150" s="53">
        <f>IF(IFERROR(MATCH(146,'List B'!$R$5:$R$204,0)+4,"")="","",INDEX('List B'!$E$5:$E$204,IFERROR(MATCH(146,'List B'!$R$5:$R$204,0)+4,"")-4))</f>
        <v/>
      </c>
      <c r="F150" s="53">
        <f>IF(IFERROR(MATCH(146,'List B'!$R$5:$R$204,0)+4,"")="","",INDEX('List B'!$F$5:$F$204,IFERROR(MATCH(146,'List B'!$R$5:$R$204,0)+4,"")-4))</f>
        <v/>
      </c>
      <c r="G150" s="50">
        <f>IF(IFERROR(MATCH(146,'List B'!$R$5:$R$204,0)+4,"")="","",INDEX('List B'!$G$5:$G$204,IFERROR(MATCH(146,'List B'!$R$5:$R$204,0)+4,"")-4))</f>
        <v/>
      </c>
      <c r="H150" s="53">
        <f>IF(IFERROR(MATCH(146,'List B'!$R$5:$R$204,0)+4,"")="","",INDEX('List B'!$H$5:$H$204,IFERROR(MATCH(146,'List B'!$R$5:$R$204,0)+4,"")-4))</f>
        <v/>
      </c>
      <c r="I150" s="61" t="n"/>
      <c r="J150" s="61" t="n"/>
    </row>
    <row r="151" ht="17" customHeight="1">
      <c r="A151" s="87">
        <f>IF(IFERROR(MATCH(147,'List B'!$R$5:$R$204,0)+4,"")="","",INDEX('List B'!$A$5:$A$204,IFERROR(MATCH(147,'List B'!$R$5:$R$204,0)+4,"")-4))</f>
        <v/>
      </c>
      <c r="B151" s="53">
        <f>IF(IFERROR(MATCH(147,'List B'!$R$5:$R$204,0)+4,"")="","",INDEX('List B'!$B$5:$B$204,IFERROR(MATCH(147,'List B'!$R$5:$R$204,0)+4,"")-4))</f>
        <v/>
      </c>
      <c r="C151" s="52">
        <f>IF(IFERROR(MATCH(147,'List B'!$R$5:$R$204,0)+4,"")="","",INDEX('List B'!$C$5:$C$204,IFERROR(MATCH(147,'List B'!$R$5:$R$204,0)+4,"")-4))</f>
        <v/>
      </c>
      <c r="D151" s="53">
        <f>IF(IFERROR(MATCH(147,'List B'!$R$5:$R$204,0)+4,"")="","",INDEX('List B'!$D$5:$D$204,IFERROR(MATCH(147,'List B'!$R$5:$R$204,0)+4,"")-4))</f>
        <v/>
      </c>
      <c r="E151" s="53">
        <f>IF(IFERROR(MATCH(147,'List B'!$R$5:$R$204,0)+4,"")="","",INDEX('List B'!$E$5:$E$204,IFERROR(MATCH(147,'List B'!$R$5:$R$204,0)+4,"")-4))</f>
        <v/>
      </c>
      <c r="F151" s="53">
        <f>IF(IFERROR(MATCH(147,'List B'!$R$5:$R$204,0)+4,"")="","",INDEX('List B'!$F$5:$F$204,IFERROR(MATCH(147,'List B'!$R$5:$R$204,0)+4,"")-4))</f>
        <v/>
      </c>
      <c r="G151" s="50">
        <f>IF(IFERROR(MATCH(147,'List B'!$R$5:$R$204,0)+4,"")="","",INDEX('List B'!$G$5:$G$204,IFERROR(MATCH(147,'List B'!$R$5:$R$204,0)+4,"")-4))</f>
        <v/>
      </c>
      <c r="H151" s="53">
        <f>IF(IFERROR(MATCH(147,'List B'!$R$5:$R$204,0)+4,"")="","",INDEX('List B'!$H$5:$H$204,IFERROR(MATCH(147,'List B'!$R$5:$R$204,0)+4,"")-4))</f>
        <v/>
      </c>
      <c r="I151" s="61" t="n"/>
      <c r="J151" s="61" t="n"/>
    </row>
    <row r="152" ht="17" customHeight="1">
      <c r="A152" s="87">
        <f>IF(IFERROR(MATCH(148,'List B'!$R$5:$R$204,0)+4,"")="","",INDEX('List B'!$A$5:$A$204,IFERROR(MATCH(148,'List B'!$R$5:$R$204,0)+4,"")-4))</f>
        <v/>
      </c>
      <c r="B152" s="53">
        <f>IF(IFERROR(MATCH(148,'List B'!$R$5:$R$204,0)+4,"")="","",INDEX('List B'!$B$5:$B$204,IFERROR(MATCH(148,'List B'!$R$5:$R$204,0)+4,"")-4))</f>
        <v/>
      </c>
      <c r="C152" s="52">
        <f>IF(IFERROR(MATCH(148,'List B'!$R$5:$R$204,0)+4,"")="","",INDEX('List B'!$C$5:$C$204,IFERROR(MATCH(148,'List B'!$R$5:$R$204,0)+4,"")-4))</f>
        <v/>
      </c>
      <c r="D152" s="53">
        <f>IF(IFERROR(MATCH(148,'List B'!$R$5:$R$204,0)+4,"")="","",INDEX('List B'!$D$5:$D$204,IFERROR(MATCH(148,'List B'!$R$5:$R$204,0)+4,"")-4))</f>
        <v/>
      </c>
      <c r="E152" s="53">
        <f>IF(IFERROR(MATCH(148,'List B'!$R$5:$R$204,0)+4,"")="","",INDEX('List B'!$E$5:$E$204,IFERROR(MATCH(148,'List B'!$R$5:$R$204,0)+4,"")-4))</f>
        <v/>
      </c>
      <c r="F152" s="53">
        <f>IF(IFERROR(MATCH(148,'List B'!$R$5:$R$204,0)+4,"")="","",INDEX('List B'!$F$5:$F$204,IFERROR(MATCH(148,'List B'!$R$5:$R$204,0)+4,"")-4))</f>
        <v/>
      </c>
      <c r="G152" s="50">
        <f>IF(IFERROR(MATCH(148,'List B'!$R$5:$R$204,0)+4,"")="","",INDEX('List B'!$G$5:$G$204,IFERROR(MATCH(148,'List B'!$R$5:$R$204,0)+4,"")-4))</f>
        <v/>
      </c>
      <c r="H152" s="53">
        <f>IF(IFERROR(MATCH(148,'List B'!$R$5:$R$204,0)+4,"")="","",INDEX('List B'!$H$5:$H$204,IFERROR(MATCH(148,'List B'!$R$5:$R$204,0)+4,"")-4))</f>
        <v/>
      </c>
      <c r="I152" s="61" t="n"/>
      <c r="J152" s="61" t="n"/>
    </row>
    <row r="153" ht="17" customHeight="1">
      <c r="A153" s="87">
        <f>IF(IFERROR(MATCH(149,'List B'!$R$5:$R$204,0)+4,"")="","",INDEX('List B'!$A$5:$A$204,IFERROR(MATCH(149,'List B'!$R$5:$R$204,0)+4,"")-4))</f>
        <v/>
      </c>
      <c r="B153" s="53">
        <f>IF(IFERROR(MATCH(149,'List B'!$R$5:$R$204,0)+4,"")="","",INDEX('List B'!$B$5:$B$204,IFERROR(MATCH(149,'List B'!$R$5:$R$204,0)+4,"")-4))</f>
        <v/>
      </c>
      <c r="C153" s="52">
        <f>IF(IFERROR(MATCH(149,'List B'!$R$5:$R$204,0)+4,"")="","",INDEX('List B'!$C$5:$C$204,IFERROR(MATCH(149,'List B'!$R$5:$R$204,0)+4,"")-4))</f>
        <v/>
      </c>
      <c r="D153" s="53">
        <f>IF(IFERROR(MATCH(149,'List B'!$R$5:$R$204,0)+4,"")="","",INDEX('List B'!$D$5:$D$204,IFERROR(MATCH(149,'List B'!$R$5:$R$204,0)+4,"")-4))</f>
        <v/>
      </c>
      <c r="E153" s="53">
        <f>IF(IFERROR(MATCH(149,'List B'!$R$5:$R$204,0)+4,"")="","",INDEX('List B'!$E$5:$E$204,IFERROR(MATCH(149,'List B'!$R$5:$R$204,0)+4,"")-4))</f>
        <v/>
      </c>
      <c r="F153" s="53">
        <f>IF(IFERROR(MATCH(149,'List B'!$R$5:$R$204,0)+4,"")="","",INDEX('List B'!$F$5:$F$204,IFERROR(MATCH(149,'List B'!$R$5:$R$204,0)+4,"")-4))</f>
        <v/>
      </c>
      <c r="G153" s="50">
        <f>IF(IFERROR(MATCH(149,'List B'!$R$5:$R$204,0)+4,"")="","",INDEX('List B'!$G$5:$G$204,IFERROR(MATCH(149,'List B'!$R$5:$R$204,0)+4,"")-4))</f>
        <v/>
      </c>
      <c r="H153" s="53">
        <f>IF(IFERROR(MATCH(149,'List B'!$R$5:$R$204,0)+4,"")="","",INDEX('List B'!$H$5:$H$204,IFERROR(MATCH(149,'List B'!$R$5:$R$204,0)+4,"")-4))</f>
        <v/>
      </c>
      <c r="I153" s="61" t="n"/>
      <c r="J153" s="61" t="n"/>
    </row>
    <row r="154" ht="17" customHeight="1">
      <c r="A154" s="87">
        <f>IF(IFERROR(MATCH(150,'List B'!$R$5:$R$204,0)+4,"")="","",INDEX('List B'!$A$5:$A$204,IFERROR(MATCH(150,'List B'!$R$5:$R$204,0)+4,"")-4))</f>
        <v/>
      </c>
      <c r="B154" s="53">
        <f>IF(IFERROR(MATCH(150,'List B'!$R$5:$R$204,0)+4,"")="","",INDEX('List B'!$B$5:$B$204,IFERROR(MATCH(150,'List B'!$R$5:$R$204,0)+4,"")-4))</f>
        <v/>
      </c>
      <c r="C154" s="52">
        <f>IF(IFERROR(MATCH(150,'List B'!$R$5:$R$204,0)+4,"")="","",INDEX('List B'!$C$5:$C$204,IFERROR(MATCH(150,'List B'!$R$5:$R$204,0)+4,"")-4))</f>
        <v/>
      </c>
      <c r="D154" s="53">
        <f>IF(IFERROR(MATCH(150,'List B'!$R$5:$R$204,0)+4,"")="","",INDEX('List B'!$D$5:$D$204,IFERROR(MATCH(150,'List B'!$R$5:$R$204,0)+4,"")-4))</f>
        <v/>
      </c>
      <c r="E154" s="53">
        <f>IF(IFERROR(MATCH(150,'List B'!$R$5:$R$204,0)+4,"")="","",INDEX('List B'!$E$5:$E$204,IFERROR(MATCH(150,'List B'!$R$5:$R$204,0)+4,"")-4))</f>
        <v/>
      </c>
      <c r="F154" s="53">
        <f>IF(IFERROR(MATCH(150,'List B'!$R$5:$R$204,0)+4,"")="","",INDEX('List B'!$F$5:$F$204,IFERROR(MATCH(150,'List B'!$R$5:$R$204,0)+4,"")-4))</f>
        <v/>
      </c>
      <c r="G154" s="50">
        <f>IF(IFERROR(MATCH(150,'List B'!$R$5:$R$204,0)+4,"")="","",INDEX('List B'!$G$5:$G$204,IFERROR(MATCH(150,'List B'!$R$5:$R$204,0)+4,"")-4))</f>
        <v/>
      </c>
      <c r="H154" s="53">
        <f>IF(IFERROR(MATCH(150,'List B'!$R$5:$R$204,0)+4,"")="","",INDEX('List B'!$H$5:$H$204,IFERROR(MATCH(150,'List B'!$R$5:$R$204,0)+4,"")-4))</f>
        <v/>
      </c>
      <c r="I154" s="61" t="n"/>
      <c r="J154" s="61" t="n"/>
    </row>
    <row r="155" ht="17" customHeight="1">
      <c r="A155" s="87">
        <f>IF(IFERROR(MATCH(151,'List B'!$R$5:$R$204,0)+4,"")="","",INDEX('List B'!$A$5:$A$204,IFERROR(MATCH(151,'List B'!$R$5:$R$204,0)+4,"")-4))</f>
        <v/>
      </c>
      <c r="B155" s="53">
        <f>IF(IFERROR(MATCH(151,'List B'!$R$5:$R$204,0)+4,"")="","",INDEX('List B'!$B$5:$B$204,IFERROR(MATCH(151,'List B'!$R$5:$R$204,0)+4,"")-4))</f>
        <v/>
      </c>
      <c r="C155" s="52">
        <f>IF(IFERROR(MATCH(151,'List B'!$R$5:$R$204,0)+4,"")="","",INDEX('List B'!$C$5:$C$204,IFERROR(MATCH(151,'List B'!$R$5:$R$204,0)+4,"")-4))</f>
        <v/>
      </c>
      <c r="D155" s="53">
        <f>IF(IFERROR(MATCH(151,'List B'!$R$5:$R$204,0)+4,"")="","",INDEX('List B'!$D$5:$D$204,IFERROR(MATCH(151,'List B'!$R$5:$R$204,0)+4,"")-4))</f>
        <v/>
      </c>
      <c r="E155" s="53">
        <f>IF(IFERROR(MATCH(151,'List B'!$R$5:$R$204,0)+4,"")="","",INDEX('List B'!$E$5:$E$204,IFERROR(MATCH(151,'List B'!$R$5:$R$204,0)+4,"")-4))</f>
        <v/>
      </c>
      <c r="F155" s="53">
        <f>IF(IFERROR(MATCH(151,'List B'!$R$5:$R$204,0)+4,"")="","",INDEX('List B'!$F$5:$F$204,IFERROR(MATCH(151,'List B'!$R$5:$R$204,0)+4,"")-4))</f>
        <v/>
      </c>
      <c r="G155" s="50">
        <f>IF(IFERROR(MATCH(151,'List B'!$R$5:$R$204,0)+4,"")="","",INDEX('List B'!$G$5:$G$204,IFERROR(MATCH(151,'List B'!$R$5:$R$204,0)+4,"")-4))</f>
        <v/>
      </c>
      <c r="H155" s="53">
        <f>IF(IFERROR(MATCH(151,'List B'!$R$5:$R$204,0)+4,"")="","",INDEX('List B'!$H$5:$H$204,IFERROR(MATCH(151,'List B'!$R$5:$R$204,0)+4,"")-4))</f>
        <v/>
      </c>
      <c r="I155" s="61" t="n"/>
      <c r="J155" s="61" t="n"/>
    </row>
    <row r="156" ht="17" customHeight="1">
      <c r="A156" s="87">
        <f>IF(IFERROR(MATCH(152,'List B'!$R$5:$R$204,0)+4,"")="","",INDEX('List B'!$A$5:$A$204,IFERROR(MATCH(152,'List B'!$R$5:$R$204,0)+4,"")-4))</f>
        <v/>
      </c>
      <c r="B156" s="53">
        <f>IF(IFERROR(MATCH(152,'List B'!$R$5:$R$204,0)+4,"")="","",INDEX('List B'!$B$5:$B$204,IFERROR(MATCH(152,'List B'!$R$5:$R$204,0)+4,"")-4))</f>
        <v/>
      </c>
      <c r="C156" s="52">
        <f>IF(IFERROR(MATCH(152,'List B'!$R$5:$R$204,0)+4,"")="","",INDEX('List B'!$C$5:$C$204,IFERROR(MATCH(152,'List B'!$R$5:$R$204,0)+4,"")-4))</f>
        <v/>
      </c>
      <c r="D156" s="53">
        <f>IF(IFERROR(MATCH(152,'List B'!$R$5:$R$204,0)+4,"")="","",INDEX('List B'!$D$5:$D$204,IFERROR(MATCH(152,'List B'!$R$5:$R$204,0)+4,"")-4))</f>
        <v/>
      </c>
      <c r="E156" s="53">
        <f>IF(IFERROR(MATCH(152,'List B'!$R$5:$R$204,0)+4,"")="","",INDEX('List B'!$E$5:$E$204,IFERROR(MATCH(152,'List B'!$R$5:$R$204,0)+4,"")-4))</f>
        <v/>
      </c>
      <c r="F156" s="53">
        <f>IF(IFERROR(MATCH(152,'List B'!$R$5:$R$204,0)+4,"")="","",INDEX('List B'!$F$5:$F$204,IFERROR(MATCH(152,'List B'!$R$5:$R$204,0)+4,"")-4))</f>
        <v/>
      </c>
      <c r="G156" s="50">
        <f>IF(IFERROR(MATCH(152,'List B'!$R$5:$R$204,0)+4,"")="","",INDEX('List B'!$G$5:$G$204,IFERROR(MATCH(152,'List B'!$R$5:$R$204,0)+4,"")-4))</f>
        <v/>
      </c>
      <c r="H156" s="53">
        <f>IF(IFERROR(MATCH(152,'List B'!$R$5:$R$204,0)+4,"")="","",INDEX('List B'!$H$5:$H$204,IFERROR(MATCH(152,'List B'!$R$5:$R$204,0)+4,"")-4))</f>
        <v/>
      </c>
      <c r="I156" s="61" t="n"/>
      <c r="J156" s="61" t="n"/>
    </row>
    <row r="157" ht="17" customHeight="1">
      <c r="A157" s="87">
        <f>IF(IFERROR(MATCH(153,'List B'!$R$5:$R$204,0)+4,"")="","",INDEX('List B'!$A$5:$A$204,IFERROR(MATCH(153,'List B'!$R$5:$R$204,0)+4,"")-4))</f>
        <v/>
      </c>
      <c r="B157" s="53">
        <f>IF(IFERROR(MATCH(153,'List B'!$R$5:$R$204,0)+4,"")="","",INDEX('List B'!$B$5:$B$204,IFERROR(MATCH(153,'List B'!$R$5:$R$204,0)+4,"")-4))</f>
        <v/>
      </c>
      <c r="C157" s="52">
        <f>IF(IFERROR(MATCH(153,'List B'!$R$5:$R$204,0)+4,"")="","",INDEX('List B'!$C$5:$C$204,IFERROR(MATCH(153,'List B'!$R$5:$R$204,0)+4,"")-4))</f>
        <v/>
      </c>
      <c r="D157" s="53">
        <f>IF(IFERROR(MATCH(153,'List B'!$R$5:$R$204,0)+4,"")="","",INDEX('List B'!$D$5:$D$204,IFERROR(MATCH(153,'List B'!$R$5:$R$204,0)+4,"")-4))</f>
        <v/>
      </c>
      <c r="E157" s="53">
        <f>IF(IFERROR(MATCH(153,'List B'!$R$5:$R$204,0)+4,"")="","",INDEX('List B'!$E$5:$E$204,IFERROR(MATCH(153,'List B'!$R$5:$R$204,0)+4,"")-4))</f>
        <v/>
      </c>
      <c r="F157" s="53">
        <f>IF(IFERROR(MATCH(153,'List B'!$R$5:$R$204,0)+4,"")="","",INDEX('List B'!$F$5:$F$204,IFERROR(MATCH(153,'List B'!$R$5:$R$204,0)+4,"")-4))</f>
        <v/>
      </c>
      <c r="G157" s="50">
        <f>IF(IFERROR(MATCH(153,'List B'!$R$5:$R$204,0)+4,"")="","",INDEX('List B'!$G$5:$G$204,IFERROR(MATCH(153,'List B'!$R$5:$R$204,0)+4,"")-4))</f>
        <v/>
      </c>
      <c r="H157" s="53">
        <f>IF(IFERROR(MATCH(153,'List B'!$R$5:$R$204,0)+4,"")="","",INDEX('List B'!$H$5:$H$204,IFERROR(MATCH(153,'List B'!$R$5:$R$204,0)+4,"")-4))</f>
        <v/>
      </c>
      <c r="I157" s="61" t="n"/>
      <c r="J157" s="61" t="n"/>
    </row>
    <row r="158" ht="17" customHeight="1">
      <c r="A158" s="87">
        <f>IF(IFERROR(MATCH(154,'List B'!$R$5:$R$204,0)+4,"")="","",INDEX('List B'!$A$5:$A$204,IFERROR(MATCH(154,'List B'!$R$5:$R$204,0)+4,"")-4))</f>
        <v/>
      </c>
      <c r="B158" s="53">
        <f>IF(IFERROR(MATCH(154,'List B'!$R$5:$R$204,0)+4,"")="","",INDEX('List B'!$B$5:$B$204,IFERROR(MATCH(154,'List B'!$R$5:$R$204,0)+4,"")-4))</f>
        <v/>
      </c>
      <c r="C158" s="52">
        <f>IF(IFERROR(MATCH(154,'List B'!$R$5:$R$204,0)+4,"")="","",INDEX('List B'!$C$5:$C$204,IFERROR(MATCH(154,'List B'!$R$5:$R$204,0)+4,"")-4))</f>
        <v/>
      </c>
      <c r="D158" s="53">
        <f>IF(IFERROR(MATCH(154,'List B'!$R$5:$R$204,0)+4,"")="","",INDEX('List B'!$D$5:$D$204,IFERROR(MATCH(154,'List B'!$R$5:$R$204,0)+4,"")-4))</f>
        <v/>
      </c>
      <c r="E158" s="53">
        <f>IF(IFERROR(MATCH(154,'List B'!$R$5:$R$204,0)+4,"")="","",INDEX('List B'!$E$5:$E$204,IFERROR(MATCH(154,'List B'!$R$5:$R$204,0)+4,"")-4))</f>
        <v/>
      </c>
      <c r="F158" s="53">
        <f>IF(IFERROR(MATCH(154,'List B'!$R$5:$R$204,0)+4,"")="","",INDEX('List B'!$F$5:$F$204,IFERROR(MATCH(154,'List B'!$R$5:$R$204,0)+4,"")-4))</f>
        <v/>
      </c>
      <c r="G158" s="50">
        <f>IF(IFERROR(MATCH(154,'List B'!$R$5:$R$204,0)+4,"")="","",INDEX('List B'!$G$5:$G$204,IFERROR(MATCH(154,'List B'!$R$5:$R$204,0)+4,"")-4))</f>
        <v/>
      </c>
      <c r="H158" s="53">
        <f>IF(IFERROR(MATCH(154,'List B'!$R$5:$R$204,0)+4,"")="","",INDEX('List B'!$H$5:$H$204,IFERROR(MATCH(154,'List B'!$R$5:$R$204,0)+4,"")-4))</f>
        <v/>
      </c>
      <c r="I158" s="61" t="n"/>
      <c r="J158" s="61" t="n"/>
    </row>
    <row r="159" ht="17" customHeight="1">
      <c r="A159" s="87">
        <f>IF(IFERROR(MATCH(155,'List B'!$R$5:$R$204,0)+4,"")="","",INDEX('List B'!$A$5:$A$204,IFERROR(MATCH(155,'List B'!$R$5:$R$204,0)+4,"")-4))</f>
        <v/>
      </c>
      <c r="B159" s="53">
        <f>IF(IFERROR(MATCH(155,'List B'!$R$5:$R$204,0)+4,"")="","",INDEX('List B'!$B$5:$B$204,IFERROR(MATCH(155,'List B'!$R$5:$R$204,0)+4,"")-4))</f>
        <v/>
      </c>
      <c r="C159" s="52">
        <f>IF(IFERROR(MATCH(155,'List B'!$R$5:$R$204,0)+4,"")="","",INDEX('List B'!$C$5:$C$204,IFERROR(MATCH(155,'List B'!$R$5:$R$204,0)+4,"")-4))</f>
        <v/>
      </c>
      <c r="D159" s="53">
        <f>IF(IFERROR(MATCH(155,'List B'!$R$5:$R$204,0)+4,"")="","",INDEX('List B'!$D$5:$D$204,IFERROR(MATCH(155,'List B'!$R$5:$R$204,0)+4,"")-4))</f>
        <v/>
      </c>
      <c r="E159" s="53">
        <f>IF(IFERROR(MATCH(155,'List B'!$R$5:$R$204,0)+4,"")="","",INDEX('List B'!$E$5:$E$204,IFERROR(MATCH(155,'List B'!$R$5:$R$204,0)+4,"")-4))</f>
        <v/>
      </c>
      <c r="F159" s="53">
        <f>IF(IFERROR(MATCH(155,'List B'!$R$5:$R$204,0)+4,"")="","",INDEX('List B'!$F$5:$F$204,IFERROR(MATCH(155,'List B'!$R$5:$R$204,0)+4,"")-4))</f>
        <v/>
      </c>
      <c r="G159" s="50">
        <f>IF(IFERROR(MATCH(155,'List B'!$R$5:$R$204,0)+4,"")="","",INDEX('List B'!$G$5:$G$204,IFERROR(MATCH(155,'List B'!$R$5:$R$204,0)+4,"")-4))</f>
        <v/>
      </c>
      <c r="H159" s="53">
        <f>IF(IFERROR(MATCH(155,'List B'!$R$5:$R$204,0)+4,"")="","",INDEX('List B'!$H$5:$H$204,IFERROR(MATCH(155,'List B'!$R$5:$R$204,0)+4,"")-4))</f>
        <v/>
      </c>
      <c r="I159" s="61" t="n"/>
      <c r="J159" s="61" t="n"/>
    </row>
    <row r="160" ht="17" customHeight="1">
      <c r="A160" s="87">
        <f>IF(IFERROR(MATCH(156,'List B'!$R$5:$R$204,0)+4,"")="","",INDEX('List B'!$A$5:$A$204,IFERROR(MATCH(156,'List B'!$R$5:$R$204,0)+4,"")-4))</f>
        <v/>
      </c>
      <c r="B160" s="53">
        <f>IF(IFERROR(MATCH(156,'List B'!$R$5:$R$204,0)+4,"")="","",INDEX('List B'!$B$5:$B$204,IFERROR(MATCH(156,'List B'!$R$5:$R$204,0)+4,"")-4))</f>
        <v/>
      </c>
      <c r="C160" s="52">
        <f>IF(IFERROR(MATCH(156,'List B'!$R$5:$R$204,0)+4,"")="","",INDEX('List B'!$C$5:$C$204,IFERROR(MATCH(156,'List B'!$R$5:$R$204,0)+4,"")-4))</f>
        <v/>
      </c>
      <c r="D160" s="53">
        <f>IF(IFERROR(MATCH(156,'List B'!$R$5:$R$204,0)+4,"")="","",INDEX('List B'!$D$5:$D$204,IFERROR(MATCH(156,'List B'!$R$5:$R$204,0)+4,"")-4))</f>
        <v/>
      </c>
      <c r="E160" s="53">
        <f>IF(IFERROR(MATCH(156,'List B'!$R$5:$R$204,0)+4,"")="","",INDEX('List B'!$E$5:$E$204,IFERROR(MATCH(156,'List B'!$R$5:$R$204,0)+4,"")-4))</f>
        <v/>
      </c>
      <c r="F160" s="53">
        <f>IF(IFERROR(MATCH(156,'List B'!$R$5:$R$204,0)+4,"")="","",INDEX('List B'!$F$5:$F$204,IFERROR(MATCH(156,'List B'!$R$5:$R$204,0)+4,"")-4))</f>
        <v/>
      </c>
      <c r="G160" s="50">
        <f>IF(IFERROR(MATCH(156,'List B'!$R$5:$R$204,0)+4,"")="","",INDEX('List B'!$G$5:$G$204,IFERROR(MATCH(156,'List B'!$R$5:$R$204,0)+4,"")-4))</f>
        <v/>
      </c>
      <c r="H160" s="53">
        <f>IF(IFERROR(MATCH(156,'List B'!$R$5:$R$204,0)+4,"")="","",INDEX('List B'!$H$5:$H$204,IFERROR(MATCH(156,'List B'!$R$5:$R$204,0)+4,"")-4))</f>
        <v/>
      </c>
      <c r="I160" s="61" t="n"/>
      <c r="J160" s="61" t="n"/>
    </row>
    <row r="161" ht="17" customHeight="1">
      <c r="A161" s="87">
        <f>IF(IFERROR(MATCH(157,'List B'!$R$5:$R$204,0)+4,"")="","",INDEX('List B'!$A$5:$A$204,IFERROR(MATCH(157,'List B'!$R$5:$R$204,0)+4,"")-4))</f>
        <v/>
      </c>
      <c r="B161" s="53">
        <f>IF(IFERROR(MATCH(157,'List B'!$R$5:$R$204,0)+4,"")="","",INDEX('List B'!$B$5:$B$204,IFERROR(MATCH(157,'List B'!$R$5:$R$204,0)+4,"")-4))</f>
        <v/>
      </c>
      <c r="C161" s="52">
        <f>IF(IFERROR(MATCH(157,'List B'!$R$5:$R$204,0)+4,"")="","",INDEX('List B'!$C$5:$C$204,IFERROR(MATCH(157,'List B'!$R$5:$R$204,0)+4,"")-4))</f>
        <v/>
      </c>
      <c r="D161" s="53">
        <f>IF(IFERROR(MATCH(157,'List B'!$R$5:$R$204,0)+4,"")="","",INDEX('List B'!$D$5:$D$204,IFERROR(MATCH(157,'List B'!$R$5:$R$204,0)+4,"")-4))</f>
        <v/>
      </c>
      <c r="E161" s="53">
        <f>IF(IFERROR(MATCH(157,'List B'!$R$5:$R$204,0)+4,"")="","",INDEX('List B'!$E$5:$E$204,IFERROR(MATCH(157,'List B'!$R$5:$R$204,0)+4,"")-4))</f>
        <v/>
      </c>
      <c r="F161" s="53">
        <f>IF(IFERROR(MATCH(157,'List B'!$R$5:$R$204,0)+4,"")="","",INDEX('List B'!$F$5:$F$204,IFERROR(MATCH(157,'List B'!$R$5:$R$204,0)+4,"")-4))</f>
        <v/>
      </c>
      <c r="G161" s="50">
        <f>IF(IFERROR(MATCH(157,'List B'!$R$5:$R$204,0)+4,"")="","",INDEX('List B'!$G$5:$G$204,IFERROR(MATCH(157,'List B'!$R$5:$R$204,0)+4,"")-4))</f>
        <v/>
      </c>
      <c r="H161" s="53">
        <f>IF(IFERROR(MATCH(157,'List B'!$R$5:$R$204,0)+4,"")="","",INDEX('List B'!$H$5:$H$204,IFERROR(MATCH(157,'List B'!$R$5:$R$204,0)+4,"")-4))</f>
        <v/>
      </c>
      <c r="I161" s="61" t="n"/>
      <c r="J161" s="61" t="n"/>
    </row>
    <row r="162" ht="17" customHeight="1">
      <c r="A162" s="87">
        <f>IF(IFERROR(MATCH(158,'List B'!$R$5:$R$204,0)+4,"")="","",INDEX('List B'!$A$5:$A$204,IFERROR(MATCH(158,'List B'!$R$5:$R$204,0)+4,"")-4))</f>
        <v/>
      </c>
      <c r="B162" s="53">
        <f>IF(IFERROR(MATCH(158,'List B'!$R$5:$R$204,0)+4,"")="","",INDEX('List B'!$B$5:$B$204,IFERROR(MATCH(158,'List B'!$R$5:$R$204,0)+4,"")-4))</f>
        <v/>
      </c>
      <c r="C162" s="52">
        <f>IF(IFERROR(MATCH(158,'List B'!$R$5:$R$204,0)+4,"")="","",INDEX('List B'!$C$5:$C$204,IFERROR(MATCH(158,'List B'!$R$5:$R$204,0)+4,"")-4))</f>
        <v/>
      </c>
      <c r="D162" s="53">
        <f>IF(IFERROR(MATCH(158,'List B'!$R$5:$R$204,0)+4,"")="","",INDEX('List B'!$D$5:$D$204,IFERROR(MATCH(158,'List B'!$R$5:$R$204,0)+4,"")-4))</f>
        <v/>
      </c>
      <c r="E162" s="53">
        <f>IF(IFERROR(MATCH(158,'List B'!$R$5:$R$204,0)+4,"")="","",INDEX('List B'!$E$5:$E$204,IFERROR(MATCH(158,'List B'!$R$5:$R$204,0)+4,"")-4))</f>
        <v/>
      </c>
      <c r="F162" s="53">
        <f>IF(IFERROR(MATCH(158,'List B'!$R$5:$R$204,0)+4,"")="","",INDEX('List B'!$F$5:$F$204,IFERROR(MATCH(158,'List B'!$R$5:$R$204,0)+4,"")-4))</f>
        <v/>
      </c>
      <c r="G162" s="50">
        <f>IF(IFERROR(MATCH(158,'List B'!$R$5:$R$204,0)+4,"")="","",INDEX('List B'!$G$5:$G$204,IFERROR(MATCH(158,'List B'!$R$5:$R$204,0)+4,"")-4))</f>
        <v/>
      </c>
      <c r="H162" s="53">
        <f>IF(IFERROR(MATCH(158,'List B'!$R$5:$R$204,0)+4,"")="","",INDEX('List B'!$H$5:$H$204,IFERROR(MATCH(158,'List B'!$R$5:$R$204,0)+4,"")-4))</f>
        <v/>
      </c>
      <c r="I162" s="61" t="n"/>
      <c r="J162" s="61" t="n"/>
    </row>
    <row r="163" ht="17" customHeight="1">
      <c r="A163" s="87">
        <f>IF(IFERROR(MATCH(159,'List B'!$R$5:$R$204,0)+4,"")="","",INDEX('List B'!$A$5:$A$204,IFERROR(MATCH(159,'List B'!$R$5:$R$204,0)+4,"")-4))</f>
        <v/>
      </c>
      <c r="B163" s="53">
        <f>IF(IFERROR(MATCH(159,'List B'!$R$5:$R$204,0)+4,"")="","",INDEX('List B'!$B$5:$B$204,IFERROR(MATCH(159,'List B'!$R$5:$R$204,0)+4,"")-4))</f>
        <v/>
      </c>
      <c r="C163" s="52">
        <f>IF(IFERROR(MATCH(159,'List B'!$R$5:$R$204,0)+4,"")="","",INDEX('List B'!$C$5:$C$204,IFERROR(MATCH(159,'List B'!$R$5:$R$204,0)+4,"")-4))</f>
        <v/>
      </c>
      <c r="D163" s="53">
        <f>IF(IFERROR(MATCH(159,'List B'!$R$5:$R$204,0)+4,"")="","",INDEX('List B'!$D$5:$D$204,IFERROR(MATCH(159,'List B'!$R$5:$R$204,0)+4,"")-4))</f>
        <v/>
      </c>
      <c r="E163" s="53">
        <f>IF(IFERROR(MATCH(159,'List B'!$R$5:$R$204,0)+4,"")="","",INDEX('List B'!$E$5:$E$204,IFERROR(MATCH(159,'List B'!$R$5:$R$204,0)+4,"")-4))</f>
        <v/>
      </c>
      <c r="F163" s="53">
        <f>IF(IFERROR(MATCH(159,'List B'!$R$5:$R$204,0)+4,"")="","",INDEX('List B'!$F$5:$F$204,IFERROR(MATCH(159,'List B'!$R$5:$R$204,0)+4,"")-4))</f>
        <v/>
      </c>
      <c r="G163" s="50">
        <f>IF(IFERROR(MATCH(159,'List B'!$R$5:$R$204,0)+4,"")="","",INDEX('List B'!$G$5:$G$204,IFERROR(MATCH(159,'List B'!$R$5:$R$204,0)+4,"")-4))</f>
        <v/>
      </c>
      <c r="H163" s="53">
        <f>IF(IFERROR(MATCH(159,'List B'!$R$5:$R$204,0)+4,"")="","",INDEX('List B'!$H$5:$H$204,IFERROR(MATCH(159,'List B'!$R$5:$R$204,0)+4,"")-4))</f>
        <v/>
      </c>
      <c r="I163" s="61" t="n"/>
      <c r="J163" s="61" t="n"/>
    </row>
    <row r="164" ht="17" customHeight="1">
      <c r="A164" s="87">
        <f>IF(IFERROR(MATCH(160,'List B'!$R$5:$R$204,0)+4,"")="","",INDEX('List B'!$A$5:$A$204,IFERROR(MATCH(160,'List B'!$R$5:$R$204,0)+4,"")-4))</f>
        <v/>
      </c>
      <c r="B164" s="53">
        <f>IF(IFERROR(MATCH(160,'List B'!$R$5:$R$204,0)+4,"")="","",INDEX('List B'!$B$5:$B$204,IFERROR(MATCH(160,'List B'!$R$5:$R$204,0)+4,"")-4))</f>
        <v/>
      </c>
      <c r="C164" s="52">
        <f>IF(IFERROR(MATCH(160,'List B'!$R$5:$R$204,0)+4,"")="","",INDEX('List B'!$C$5:$C$204,IFERROR(MATCH(160,'List B'!$R$5:$R$204,0)+4,"")-4))</f>
        <v/>
      </c>
      <c r="D164" s="53">
        <f>IF(IFERROR(MATCH(160,'List B'!$R$5:$R$204,0)+4,"")="","",INDEX('List B'!$D$5:$D$204,IFERROR(MATCH(160,'List B'!$R$5:$R$204,0)+4,"")-4))</f>
        <v/>
      </c>
      <c r="E164" s="53">
        <f>IF(IFERROR(MATCH(160,'List B'!$R$5:$R$204,0)+4,"")="","",INDEX('List B'!$E$5:$E$204,IFERROR(MATCH(160,'List B'!$R$5:$R$204,0)+4,"")-4))</f>
        <v/>
      </c>
      <c r="F164" s="53">
        <f>IF(IFERROR(MATCH(160,'List B'!$R$5:$R$204,0)+4,"")="","",INDEX('List B'!$F$5:$F$204,IFERROR(MATCH(160,'List B'!$R$5:$R$204,0)+4,"")-4))</f>
        <v/>
      </c>
      <c r="G164" s="50">
        <f>IF(IFERROR(MATCH(160,'List B'!$R$5:$R$204,0)+4,"")="","",INDEX('List B'!$G$5:$G$204,IFERROR(MATCH(160,'List B'!$R$5:$R$204,0)+4,"")-4))</f>
        <v/>
      </c>
      <c r="H164" s="53">
        <f>IF(IFERROR(MATCH(160,'List B'!$R$5:$R$204,0)+4,"")="","",INDEX('List B'!$H$5:$H$204,IFERROR(MATCH(160,'List B'!$R$5:$R$204,0)+4,"")-4))</f>
        <v/>
      </c>
      <c r="I164" s="61" t="n"/>
      <c r="J164" s="61" t="n"/>
    </row>
    <row r="165" ht="17" customHeight="1">
      <c r="A165" s="87">
        <f>IF(IFERROR(MATCH(161,'List B'!$R$5:$R$204,0)+4,"")="","",INDEX('List B'!$A$5:$A$204,IFERROR(MATCH(161,'List B'!$R$5:$R$204,0)+4,"")-4))</f>
        <v/>
      </c>
      <c r="B165" s="53">
        <f>IF(IFERROR(MATCH(161,'List B'!$R$5:$R$204,0)+4,"")="","",INDEX('List B'!$B$5:$B$204,IFERROR(MATCH(161,'List B'!$R$5:$R$204,0)+4,"")-4))</f>
        <v/>
      </c>
      <c r="C165" s="52">
        <f>IF(IFERROR(MATCH(161,'List B'!$R$5:$R$204,0)+4,"")="","",INDEX('List B'!$C$5:$C$204,IFERROR(MATCH(161,'List B'!$R$5:$R$204,0)+4,"")-4))</f>
        <v/>
      </c>
      <c r="D165" s="53">
        <f>IF(IFERROR(MATCH(161,'List B'!$R$5:$R$204,0)+4,"")="","",INDEX('List B'!$D$5:$D$204,IFERROR(MATCH(161,'List B'!$R$5:$R$204,0)+4,"")-4))</f>
        <v/>
      </c>
      <c r="E165" s="53">
        <f>IF(IFERROR(MATCH(161,'List B'!$R$5:$R$204,0)+4,"")="","",INDEX('List B'!$E$5:$E$204,IFERROR(MATCH(161,'List B'!$R$5:$R$204,0)+4,"")-4))</f>
        <v/>
      </c>
      <c r="F165" s="53">
        <f>IF(IFERROR(MATCH(161,'List B'!$R$5:$R$204,0)+4,"")="","",INDEX('List B'!$F$5:$F$204,IFERROR(MATCH(161,'List B'!$R$5:$R$204,0)+4,"")-4))</f>
        <v/>
      </c>
      <c r="G165" s="50">
        <f>IF(IFERROR(MATCH(161,'List B'!$R$5:$R$204,0)+4,"")="","",INDEX('List B'!$G$5:$G$204,IFERROR(MATCH(161,'List B'!$R$5:$R$204,0)+4,"")-4))</f>
        <v/>
      </c>
      <c r="H165" s="53">
        <f>IF(IFERROR(MATCH(161,'List B'!$R$5:$R$204,0)+4,"")="","",INDEX('List B'!$H$5:$H$204,IFERROR(MATCH(161,'List B'!$R$5:$R$204,0)+4,"")-4))</f>
        <v/>
      </c>
      <c r="I165" s="61" t="n"/>
      <c r="J165" s="61" t="n"/>
    </row>
    <row r="166" ht="17" customHeight="1">
      <c r="A166" s="87">
        <f>IF(IFERROR(MATCH(162,'List B'!$R$5:$R$204,0)+4,"")="","",INDEX('List B'!$A$5:$A$204,IFERROR(MATCH(162,'List B'!$R$5:$R$204,0)+4,"")-4))</f>
        <v/>
      </c>
      <c r="B166" s="53">
        <f>IF(IFERROR(MATCH(162,'List B'!$R$5:$R$204,0)+4,"")="","",INDEX('List B'!$B$5:$B$204,IFERROR(MATCH(162,'List B'!$R$5:$R$204,0)+4,"")-4))</f>
        <v/>
      </c>
      <c r="C166" s="52">
        <f>IF(IFERROR(MATCH(162,'List B'!$R$5:$R$204,0)+4,"")="","",INDEX('List B'!$C$5:$C$204,IFERROR(MATCH(162,'List B'!$R$5:$R$204,0)+4,"")-4))</f>
        <v/>
      </c>
      <c r="D166" s="53">
        <f>IF(IFERROR(MATCH(162,'List B'!$R$5:$R$204,0)+4,"")="","",INDEX('List B'!$D$5:$D$204,IFERROR(MATCH(162,'List B'!$R$5:$R$204,0)+4,"")-4))</f>
        <v/>
      </c>
      <c r="E166" s="53">
        <f>IF(IFERROR(MATCH(162,'List B'!$R$5:$R$204,0)+4,"")="","",INDEX('List B'!$E$5:$E$204,IFERROR(MATCH(162,'List B'!$R$5:$R$204,0)+4,"")-4))</f>
        <v/>
      </c>
      <c r="F166" s="53">
        <f>IF(IFERROR(MATCH(162,'List B'!$R$5:$R$204,0)+4,"")="","",INDEX('List B'!$F$5:$F$204,IFERROR(MATCH(162,'List B'!$R$5:$R$204,0)+4,"")-4))</f>
        <v/>
      </c>
      <c r="G166" s="50">
        <f>IF(IFERROR(MATCH(162,'List B'!$R$5:$R$204,0)+4,"")="","",INDEX('List B'!$G$5:$G$204,IFERROR(MATCH(162,'List B'!$R$5:$R$204,0)+4,"")-4))</f>
        <v/>
      </c>
      <c r="H166" s="53">
        <f>IF(IFERROR(MATCH(162,'List B'!$R$5:$R$204,0)+4,"")="","",INDEX('List B'!$H$5:$H$204,IFERROR(MATCH(162,'List B'!$R$5:$R$204,0)+4,"")-4))</f>
        <v/>
      </c>
      <c r="I166" s="61" t="n"/>
      <c r="J166" s="61" t="n"/>
    </row>
    <row r="167" ht="17" customHeight="1">
      <c r="A167" s="87">
        <f>IF(IFERROR(MATCH(163,'List B'!$R$5:$R$204,0)+4,"")="","",INDEX('List B'!$A$5:$A$204,IFERROR(MATCH(163,'List B'!$R$5:$R$204,0)+4,"")-4))</f>
        <v/>
      </c>
      <c r="B167" s="53">
        <f>IF(IFERROR(MATCH(163,'List B'!$R$5:$R$204,0)+4,"")="","",INDEX('List B'!$B$5:$B$204,IFERROR(MATCH(163,'List B'!$R$5:$R$204,0)+4,"")-4))</f>
        <v/>
      </c>
      <c r="C167" s="52">
        <f>IF(IFERROR(MATCH(163,'List B'!$R$5:$R$204,0)+4,"")="","",INDEX('List B'!$C$5:$C$204,IFERROR(MATCH(163,'List B'!$R$5:$R$204,0)+4,"")-4))</f>
        <v/>
      </c>
      <c r="D167" s="53">
        <f>IF(IFERROR(MATCH(163,'List B'!$R$5:$R$204,0)+4,"")="","",INDEX('List B'!$D$5:$D$204,IFERROR(MATCH(163,'List B'!$R$5:$R$204,0)+4,"")-4))</f>
        <v/>
      </c>
      <c r="E167" s="53">
        <f>IF(IFERROR(MATCH(163,'List B'!$R$5:$R$204,0)+4,"")="","",INDEX('List B'!$E$5:$E$204,IFERROR(MATCH(163,'List B'!$R$5:$R$204,0)+4,"")-4))</f>
        <v/>
      </c>
      <c r="F167" s="53">
        <f>IF(IFERROR(MATCH(163,'List B'!$R$5:$R$204,0)+4,"")="","",INDEX('List B'!$F$5:$F$204,IFERROR(MATCH(163,'List B'!$R$5:$R$204,0)+4,"")-4))</f>
        <v/>
      </c>
      <c r="G167" s="50">
        <f>IF(IFERROR(MATCH(163,'List B'!$R$5:$R$204,0)+4,"")="","",INDEX('List B'!$G$5:$G$204,IFERROR(MATCH(163,'List B'!$R$5:$R$204,0)+4,"")-4))</f>
        <v/>
      </c>
      <c r="H167" s="53">
        <f>IF(IFERROR(MATCH(163,'List B'!$R$5:$R$204,0)+4,"")="","",INDEX('List B'!$H$5:$H$204,IFERROR(MATCH(163,'List B'!$R$5:$R$204,0)+4,"")-4))</f>
        <v/>
      </c>
      <c r="I167" s="61" t="n"/>
      <c r="J167" s="61" t="n"/>
    </row>
    <row r="168" ht="17" customHeight="1">
      <c r="A168" s="87">
        <f>IF(IFERROR(MATCH(164,'List B'!$R$5:$R$204,0)+4,"")="","",INDEX('List B'!$A$5:$A$204,IFERROR(MATCH(164,'List B'!$R$5:$R$204,0)+4,"")-4))</f>
        <v/>
      </c>
      <c r="B168" s="53">
        <f>IF(IFERROR(MATCH(164,'List B'!$R$5:$R$204,0)+4,"")="","",INDEX('List B'!$B$5:$B$204,IFERROR(MATCH(164,'List B'!$R$5:$R$204,0)+4,"")-4))</f>
        <v/>
      </c>
      <c r="C168" s="52">
        <f>IF(IFERROR(MATCH(164,'List B'!$R$5:$R$204,0)+4,"")="","",INDEX('List B'!$C$5:$C$204,IFERROR(MATCH(164,'List B'!$R$5:$R$204,0)+4,"")-4))</f>
        <v/>
      </c>
      <c r="D168" s="53">
        <f>IF(IFERROR(MATCH(164,'List B'!$R$5:$R$204,0)+4,"")="","",INDEX('List B'!$D$5:$D$204,IFERROR(MATCH(164,'List B'!$R$5:$R$204,0)+4,"")-4))</f>
        <v/>
      </c>
      <c r="E168" s="53">
        <f>IF(IFERROR(MATCH(164,'List B'!$R$5:$R$204,0)+4,"")="","",INDEX('List B'!$E$5:$E$204,IFERROR(MATCH(164,'List B'!$R$5:$R$204,0)+4,"")-4))</f>
        <v/>
      </c>
      <c r="F168" s="53">
        <f>IF(IFERROR(MATCH(164,'List B'!$R$5:$R$204,0)+4,"")="","",INDEX('List B'!$F$5:$F$204,IFERROR(MATCH(164,'List B'!$R$5:$R$204,0)+4,"")-4))</f>
        <v/>
      </c>
      <c r="G168" s="50">
        <f>IF(IFERROR(MATCH(164,'List B'!$R$5:$R$204,0)+4,"")="","",INDEX('List B'!$G$5:$G$204,IFERROR(MATCH(164,'List B'!$R$5:$R$204,0)+4,"")-4))</f>
        <v/>
      </c>
      <c r="H168" s="53">
        <f>IF(IFERROR(MATCH(164,'List B'!$R$5:$R$204,0)+4,"")="","",INDEX('List B'!$H$5:$H$204,IFERROR(MATCH(164,'List B'!$R$5:$R$204,0)+4,"")-4))</f>
        <v/>
      </c>
      <c r="I168" s="61" t="n"/>
      <c r="J168" s="61" t="n"/>
    </row>
    <row r="169" ht="17" customHeight="1">
      <c r="A169" s="87">
        <f>IF(IFERROR(MATCH(165,'List B'!$R$5:$R$204,0)+4,"")="","",INDEX('List B'!$A$5:$A$204,IFERROR(MATCH(165,'List B'!$R$5:$R$204,0)+4,"")-4))</f>
        <v/>
      </c>
      <c r="B169" s="53">
        <f>IF(IFERROR(MATCH(165,'List B'!$R$5:$R$204,0)+4,"")="","",INDEX('List B'!$B$5:$B$204,IFERROR(MATCH(165,'List B'!$R$5:$R$204,0)+4,"")-4))</f>
        <v/>
      </c>
      <c r="C169" s="52">
        <f>IF(IFERROR(MATCH(165,'List B'!$R$5:$R$204,0)+4,"")="","",INDEX('List B'!$C$5:$C$204,IFERROR(MATCH(165,'List B'!$R$5:$R$204,0)+4,"")-4))</f>
        <v/>
      </c>
      <c r="D169" s="53">
        <f>IF(IFERROR(MATCH(165,'List B'!$R$5:$R$204,0)+4,"")="","",INDEX('List B'!$D$5:$D$204,IFERROR(MATCH(165,'List B'!$R$5:$R$204,0)+4,"")-4))</f>
        <v/>
      </c>
      <c r="E169" s="53">
        <f>IF(IFERROR(MATCH(165,'List B'!$R$5:$R$204,0)+4,"")="","",INDEX('List B'!$E$5:$E$204,IFERROR(MATCH(165,'List B'!$R$5:$R$204,0)+4,"")-4))</f>
        <v/>
      </c>
      <c r="F169" s="53">
        <f>IF(IFERROR(MATCH(165,'List B'!$R$5:$R$204,0)+4,"")="","",INDEX('List B'!$F$5:$F$204,IFERROR(MATCH(165,'List B'!$R$5:$R$204,0)+4,"")-4))</f>
        <v/>
      </c>
      <c r="G169" s="50">
        <f>IF(IFERROR(MATCH(165,'List B'!$R$5:$R$204,0)+4,"")="","",INDEX('List B'!$G$5:$G$204,IFERROR(MATCH(165,'List B'!$R$5:$R$204,0)+4,"")-4))</f>
        <v/>
      </c>
      <c r="H169" s="53">
        <f>IF(IFERROR(MATCH(165,'List B'!$R$5:$R$204,0)+4,"")="","",INDEX('List B'!$H$5:$H$204,IFERROR(MATCH(165,'List B'!$R$5:$R$204,0)+4,"")-4))</f>
        <v/>
      </c>
      <c r="I169" s="61" t="n"/>
      <c r="J169" s="61" t="n"/>
    </row>
    <row r="170" ht="17" customHeight="1">
      <c r="A170" s="87">
        <f>IF(IFERROR(MATCH(166,'List B'!$R$5:$R$204,0)+4,"")="","",INDEX('List B'!$A$5:$A$204,IFERROR(MATCH(166,'List B'!$R$5:$R$204,0)+4,"")-4))</f>
        <v/>
      </c>
      <c r="B170" s="53">
        <f>IF(IFERROR(MATCH(166,'List B'!$R$5:$R$204,0)+4,"")="","",INDEX('List B'!$B$5:$B$204,IFERROR(MATCH(166,'List B'!$R$5:$R$204,0)+4,"")-4))</f>
        <v/>
      </c>
      <c r="C170" s="52">
        <f>IF(IFERROR(MATCH(166,'List B'!$R$5:$R$204,0)+4,"")="","",INDEX('List B'!$C$5:$C$204,IFERROR(MATCH(166,'List B'!$R$5:$R$204,0)+4,"")-4))</f>
        <v/>
      </c>
      <c r="D170" s="53">
        <f>IF(IFERROR(MATCH(166,'List B'!$R$5:$R$204,0)+4,"")="","",INDEX('List B'!$D$5:$D$204,IFERROR(MATCH(166,'List B'!$R$5:$R$204,0)+4,"")-4))</f>
        <v/>
      </c>
      <c r="E170" s="53">
        <f>IF(IFERROR(MATCH(166,'List B'!$R$5:$R$204,0)+4,"")="","",INDEX('List B'!$E$5:$E$204,IFERROR(MATCH(166,'List B'!$R$5:$R$204,0)+4,"")-4))</f>
        <v/>
      </c>
      <c r="F170" s="53">
        <f>IF(IFERROR(MATCH(166,'List B'!$R$5:$R$204,0)+4,"")="","",INDEX('List B'!$F$5:$F$204,IFERROR(MATCH(166,'List B'!$R$5:$R$204,0)+4,"")-4))</f>
        <v/>
      </c>
      <c r="G170" s="50">
        <f>IF(IFERROR(MATCH(166,'List B'!$R$5:$R$204,0)+4,"")="","",INDEX('List B'!$G$5:$G$204,IFERROR(MATCH(166,'List B'!$R$5:$R$204,0)+4,"")-4))</f>
        <v/>
      </c>
      <c r="H170" s="53">
        <f>IF(IFERROR(MATCH(166,'List B'!$R$5:$R$204,0)+4,"")="","",INDEX('List B'!$H$5:$H$204,IFERROR(MATCH(166,'List B'!$R$5:$R$204,0)+4,"")-4))</f>
        <v/>
      </c>
      <c r="I170" s="61" t="n"/>
      <c r="J170" s="61" t="n"/>
    </row>
    <row r="171" ht="17" customHeight="1">
      <c r="A171" s="87">
        <f>IF(IFERROR(MATCH(167,'List B'!$R$5:$R$204,0)+4,"")="","",INDEX('List B'!$A$5:$A$204,IFERROR(MATCH(167,'List B'!$R$5:$R$204,0)+4,"")-4))</f>
        <v/>
      </c>
      <c r="B171" s="53">
        <f>IF(IFERROR(MATCH(167,'List B'!$R$5:$R$204,0)+4,"")="","",INDEX('List B'!$B$5:$B$204,IFERROR(MATCH(167,'List B'!$R$5:$R$204,0)+4,"")-4))</f>
        <v/>
      </c>
      <c r="C171" s="52">
        <f>IF(IFERROR(MATCH(167,'List B'!$R$5:$R$204,0)+4,"")="","",INDEX('List B'!$C$5:$C$204,IFERROR(MATCH(167,'List B'!$R$5:$R$204,0)+4,"")-4))</f>
        <v/>
      </c>
      <c r="D171" s="53">
        <f>IF(IFERROR(MATCH(167,'List B'!$R$5:$R$204,0)+4,"")="","",INDEX('List B'!$D$5:$D$204,IFERROR(MATCH(167,'List B'!$R$5:$R$204,0)+4,"")-4))</f>
        <v/>
      </c>
      <c r="E171" s="53">
        <f>IF(IFERROR(MATCH(167,'List B'!$R$5:$R$204,0)+4,"")="","",INDEX('List B'!$E$5:$E$204,IFERROR(MATCH(167,'List B'!$R$5:$R$204,0)+4,"")-4))</f>
        <v/>
      </c>
      <c r="F171" s="53">
        <f>IF(IFERROR(MATCH(167,'List B'!$R$5:$R$204,0)+4,"")="","",INDEX('List B'!$F$5:$F$204,IFERROR(MATCH(167,'List B'!$R$5:$R$204,0)+4,"")-4))</f>
        <v/>
      </c>
      <c r="G171" s="50">
        <f>IF(IFERROR(MATCH(167,'List B'!$R$5:$R$204,0)+4,"")="","",INDEX('List B'!$G$5:$G$204,IFERROR(MATCH(167,'List B'!$R$5:$R$204,0)+4,"")-4))</f>
        <v/>
      </c>
      <c r="H171" s="53">
        <f>IF(IFERROR(MATCH(167,'List B'!$R$5:$R$204,0)+4,"")="","",INDEX('List B'!$H$5:$H$204,IFERROR(MATCH(167,'List B'!$R$5:$R$204,0)+4,"")-4))</f>
        <v/>
      </c>
      <c r="I171" s="61" t="n"/>
      <c r="J171" s="61" t="n"/>
    </row>
    <row r="172" ht="17" customHeight="1">
      <c r="A172" s="87">
        <f>IF(IFERROR(MATCH(168,'List B'!$R$5:$R$204,0)+4,"")="","",INDEX('List B'!$A$5:$A$204,IFERROR(MATCH(168,'List B'!$R$5:$R$204,0)+4,"")-4))</f>
        <v/>
      </c>
      <c r="B172" s="53">
        <f>IF(IFERROR(MATCH(168,'List B'!$R$5:$R$204,0)+4,"")="","",INDEX('List B'!$B$5:$B$204,IFERROR(MATCH(168,'List B'!$R$5:$R$204,0)+4,"")-4))</f>
        <v/>
      </c>
      <c r="C172" s="52">
        <f>IF(IFERROR(MATCH(168,'List B'!$R$5:$R$204,0)+4,"")="","",INDEX('List B'!$C$5:$C$204,IFERROR(MATCH(168,'List B'!$R$5:$R$204,0)+4,"")-4))</f>
        <v/>
      </c>
      <c r="D172" s="53">
        <f>IF(IFERROR(MATCH(168,'List B'!$R$5:$R$204,0)+4,"")="","",INDEX('List B'!$D$5:$D$204,IFERROR(MATCH(168,'List B'!$R$5:$R$204,0)+4,"")-4))</f>
        <v/>
      </c>
      <c r="E172" s="53">
        <f>IF(IFERROR(MATCH(168,'List B'!$R$5:$R$204,0)+4,"")="","",INDEX('List B'!$E$5:$E$204,IFERROR(MATCH(168,'List B'!$R$5:$R$204,0)+4,"")-4))</f>
        <v/>
      </c>
      <c r="F172" s="53">
        <f>IF(IFERROR(MATCH(168,'List B'!$R$5:$R$204,0)+4,"")="","",INDEX('List B'!$F$5:$F$204,IFERROR(MATCH(168,'List B'!$R$5:$R$204,0)+4,"")-4))</f>
        <v/>
      </c>
      <c r="G172" s="50">
        <f>IF(IFERROR(MATCH(168,'List B'!$R$5:$R$204,0)+4,"")="","",INDEX('List B'!$G$5:$G$204,IFERROR(MATCH(168,'List B'!$R$5:$R$204,0)+4,"")-4))</f>
        <v/>
      </c>
      <c r="H172" s="53">
        <f>IF(IFERROR(MATCH(168,'List B'!$R$5:$R$204,0)+4,"")="","",INDEX('List B'!$H$5:$H$204,IFERROR(MATCH(168,'List B'!$R$5:$R$204,0)+4,"")-4))</f>
        <v/>
      </c>
      <c r="I172" s="61" t="n"/>
      <c r="J172" s="61" t="n"/>
    </row>
    <row r="173" ht="17" customHeight="1">
      <c r="A173" s="87">
        <f>IF(IFERROR(MATCH(169,'List B'!$R$5:$R$204,0)+4,"")="","",INDEX('List B'!$A$5:$A$204,IFERROR(MATCH(169,'List B'!$R$5:$R$204,0)+4,"")-4))</f>
        <v/>
      </c>
      <c r="B173" s="53">
        <f>IF(IFERROR(MATCH(169,'List B'!$R$5:$R$204,0)+4,"")="","",INDEX('List B'!$B$5:$B$204,IFERROR(MATCH(169,'List B'!$R$5:$R$204,0)+4,"")-4))</f>
        <v/>
      </c>
      <c r="C173" s="52">
        <f>IF(IFERROR(MATCH(169,'List B'!$R$5:$R$204,0)+4,"")="","",INDEX('List B'!$C$5:$C$204,IFERROR(MATCH(169,'List B'!$R$5:$R$204,0)+4,"")-4))</f>
        <v/>
      </c>
      <c r="D173" s="53">
        <f>IF(IFERROR(MATCH(169,'List B'!$R$5:$R$204,0)+4,"")="","",INDEX('List B'!$D$5:$D$204,IFERROR(MATCH(169,'List B'!$R$5:$R$204,0)+4,"")-4))</f>
        <v/>
      </c>
      <c r="E173" s="53">
        <f>IF(IFERROR(MATCH(169,'List B'!$R$5:$R$204,0)+4,"")="","",INDEX('List B'!$E$5:$E$204,IFERROR(MATCH(169,'List B'!$R$5:$R$204,0)+4,"")-4))</f>
        <v/>
      </c>
      <c r="F173" s="53">
        <f>IF(IFERROR(MATCH(169,'List B'!$R$5:$R$204,0)+4,"")="","",INDEX('List B'!$F$5:$F$204,IFERROR(MATCH(169,'List B'!$R$5:$R$204,0)+4,"")-4))</f>
        <v/>
      </c>
      <c r="G173" s="50">
        <f>IF(IFERROR(MATCH(169,'List B'!$R$5:$R$204,0)+4,"")="","",INDEX('List B'!$G$5:$G$204,IFERROR(MATCH(169,'List B'!$R$5:$R$204,0)+4,"")-4))</f>
        <v/>
      </c>
      <c r="H173" s="53">
        <f>IF(IFERROR(MATCH(169,'List B'!$R$5:$R$204,0)+4,"")="","",INDEX('List B'!$H$5:$H$204,IFERROR(MATCH(169,'List B'!$R$5:$R$204,0)+4,"")-4))</f>
        <v/>
      </c>
      <c r="I173" s="61" t="n"/>
      <c r="J173" s="61" t="n"/>
    </row>
    <row r="174" ht="17" customHeight="1">
      <c r="A174" s="87">
        <f>IF(IFERROR(MATCH(170,'List B'!$R$5:$R$204,0)+4,"")="","",INDEX('List B'!$A$5:$A$204,IFERROR(MATCH(170,'List B'!$R$5:$R$204,0)+4,"")-4))</f>
        <v/>
      </c>
      <c r="B174" s="53">
        <f>IF(IFERROR(MATCH(170,'List B'!$R$5:$R$204,0)+4,"")="","",INDEX('List B'!$B$5:$B$204,IFERROR(MATCH(170,'List B'!$R$5:$R$204,0)+4,"")-4))</f>
        <v/>
      </c>
      <c r="C174" s="52">
        <f>IF(IFERROR(MATCH(170,'List B'!$R$5:$R$204,0)+4,"")="","",INDEX('List B'!$C$5:$C$204,IFERROR(MATCH(170,'List B'!$R$5:$R$204,0)+4,"")-4))</f>
        <v/>
      </c>
      <c r="D174" s="53">
        <f>IF(IFERROR(MATCH(170,'List B'!$R$5:$R$204,0)+4,"")="","",INDEX('List B'!$D$5:$D$204,IFERROR(MATCH(170,'List B'!$R$5:$R$204,0)+4,"")-4))</f>
        <v/>
      </c>
      <c r="E174" s="53">
        <f>IF(IFERROR(MATCH(170,'List B'!$R$5:$R$204,0)+4,"")="","",INDEX('List B'!$E$5:$E$204,IFERROR(MATCH(170,'List B'!$R$5:$R$204,0)+4,"")-4))</f>
        <v/>
      </c>
      <c r="F174" s="53">
        <f>IF(IFERROR(MATCH(170,'List B'!$R$5:$R$204,0)+4,"")="","",INDEX('List B'!$F$5:$F$204,IFERROR(MATCH(170,'List B'!$R$5:$R$204,0)+4,"")-4))</f>
        <v/>
      </c>
      <c r="G174" s="50">
        <f>IF(IFERROR(MATCH(170,'List B'!$R$5:$R$204,0)+4,"")="","",INDEX('List B'!$G$5:$G$204,IFERROR(MATCH(170,'List B'!$R$5:$R$204,0)+4,"")-4))</f>
        <v/>
      </c>
      <c r="H174" s="53">
        <f>IF(IFERROR(MATCH(170,'List B'!$R$5:$R$204,0)+4,"")="","",INDEX('List B'!$H$5:$H$204,IFERROR(MATCH(170,'List B'!$R$5:$R$204,0)+4,"")-4))</f>
        <v/>
      </c>
      <c r="I174" s="61" t="n"/>
      <c r="J174" s="61" t="n"/>
    </row>
    <row r="175" ht="17" customHeight="1">
      <c r="A175" s="87">
        <f>IF(IFERROR(MATCH(171,'List B'!$R$5:$R$204,0)+4,"")="","",INDEX('List B'!$A$5:$A$204,IFERROR(MATCH(171,'List B'!$R$5:$R$204,0)+4,"")-4))</f>
        <v/>
      </c>
      <c r="B175" s="53">
        <f>IF(IFERROR(MATCH(171,'List B'!$R$5:$R$204,0)+4,"")="","",INDEX('List B'!$B$5:$B$204,IFERROR(MATCH(171,'List B'!$R$5:$R$204,0)+4,"")-4))</f>
        <v/>
      </c>
      <c r="C175" s="52">
        <f>IF(IFERROR(MATCH(171,'List B'!$R$5:$R$204,0)+4,"")="","",INDEX('List B'!$C$5:$C$204,IFERROR(MATCH(171,'List B'!$R$5:$R$204,0)+4,"")-4))</f>
        <v/>
      </c>
      <c r="D175" s="53">
        <f>IF(IFERROR(MATCH(171,'List B'!$R$5:$R$204,0)+4,"")="","",INDEX('List B'!$D$5:$D$204,IFERROR(MATCH(171,'List B'!$R$5:$R$204,0)+4,"")-4))</f>
        <v/>
      </c>
      <c r="E175" s="53">
        <f>IF(IFERROR(MATCH(171,'List B'!$R$5:$R$204,0)+4,"")="","",INDEX('List B'!$E$5:$E$204,IFERROR(MATCH(171,'List B'!$R$5:$R$204,0)+4,"")-4))</f>
        <v/>
      </c>
      <c r="F175" s="53">
        <f>IF(IFERROR(MATCH(171,'List B'!$R$5:$R$204,0)+4,"")="","",INDEX('List B'!$F$5:$F$204,IFERROR(MATCH(171,'List B'!$R$5:$R$204,0)+4,"")-4))</f>
        <v/>
      </c>
      <c r="G175" s="50">
        <f>IF(IFERROR(MATCH(171,'List B'!$R$5:$R$204,0)+4,"")="","",INDEX('List B'!$G$5:$G$204,IFERROR(MATCH(171,'List B'!$R$5:$R$204,0)+4,"")-4))</f>
        <v/>
      </c>
      <c r="H175" s="53">
        <f>IF(IFERROR(MATCH(171,'List B'!$R$5:$R$204,0)+4,"")="","",INDEX('List B'!$H$5:$H$204,IFERROR(MATCH(171,'List B'!$R$5:$R$204,0)+4,"")-4))</f>
        <v/>
      </c>
      <c r="I175" s="61" t="n"/>
      <c r="J175" s="61" t="n"/>
    </row>
    <row r="176" ht="17" customHeight="1">
      <c r="A176" s="87">
        <f>IF(IFERROR(MATCH(172,'List B'!$R$5:$R$204,0)+4,"")="","",INDEX('List B'!$A$5:$A$204,IFERROR(MATCH(172,'List B'!$R$5:$R$204,0)+4,"")-4))</f>
        <v/>
      </c>
      <c r="B176" s="53">
        <f>IF(IFERROR(MATCH(172,'List B'!$R$5:$R$204,0)+4,"")="","",INDEX('List B'!$B$5:$B$204,IFERROR(MATCH(172,'List B'!$R$5:$R$204,0)+4,"")-4))</f>
        <v/>
      </c>
      <c r="C176" s="52">
        <f>IF(IFERROR(MATCH(172,'List B'!$R$5:$R$204,0)+4,"")="","",INDEX('List B'!$C$5:$C$204,IFERROR(MATCH(172,'List B'!$R$5:$R$204,0)+4,"")-4))</f>
        <v/>
      </c>
      <c r="D176" s="53">
        <f>IF(IFERROR(MATCH(172,'List B'!$R$5:$R$204,0)+4,"")="","",INDEX('List B'!$D$5:$D$204,IFERROR(MATCH(172,'List B'!$R$5:$R$204,0)+4,"")-4))</f>
        <v/>
      </c>
      <c r="E176" s="53">
        <f>IF(IFERROR(MATCH(172,'List B'!$R$5:$R$204,0)+4,"")="","",INDEX('List B'!$E$5:$E$204,IFERROR(MATCH(172,'List B'!$R$5:$R$204,0)+4,"")-4))</f>
        <v/>
      </c>
      <c r="F176" s="53">
        <f>IF(IFERROR(MATCH(172,'List B'!$R$5:$R$204,0)+4,"")="","",INDEX('List B'!$F$5:$F$204,IFERROR(MATCH(172,'List B'!$R$5:$R$204,0)+4,"")-4))</f>
        <v/>
      </c>
      <c r="G176" s="50">
        <f>IF(IFERROR(MATCH(172,'List B'!$R$5:$R$204,0)+4,"")="","",INDEX('List B'!$G$5:$G$204,IFERROR(MATCH(172,'List B'!$R$5:$R$204,0)+4,"")-4))</f>
        <v/>
      </c>
      <c r="H176" s="53">
        <f>IF(IFERROR(MATCH(172,'List B'!$R$5:$R$204,0)+4,"")="","",INDEX('List B'!$H$5:$H$204,IFERROR(MATCH(172,'List B'!$R$5:$R$204,0)+4,"")-4))</f>
        <v/>
      </c>
      <c r="I176" s="61" t="n"/>
      <c r="J176" s="61" t="n"/>
    </row>
    <row r="177" ht="17" customHeight="1">
      <c r="A177" s="87">
        <f>IF(IFERROR(MATCH(173,'List B'!$R$5:$R$204,0)+4,"")="","",INDEX('List B'!$A$5:$A$204,IFERROR(MATCH(173,'List B'!$R$5:$R$204,0)+4,"")-4))</f>
        <v/>
      </c>
      <c r="B177" s="53">
        <f>IF(IFERROR(MATCH(173,'List B'!$R$5:$R$204,0)+4,"")="","",INDEX('List B'!$B$5:$B$204,IFERROR(MATCH(173,'List B'!$R$5:$R$204,0)+4,"")-4))</f>
        <v/>
      </c>
      <c r="C177" s="52">
        <f>IF(IFERROR(MATCH(173,'List B'!$R$5:$R$204,0)+4,"")="","",INDEX('List B'!$C$5:$C$204,IFERROR(MATCH(173,'List B'!$R$5:$R$204,0)+4,"")-4))</f>
        <v/>
      </c>
      <c r="D177" s="53">
        <f>IF(IFERROR(MATCH(173,'List B'!$R$5:$R$204,0)+4,"")="","",INDEX('List B'!$D$5:$D$204,IFERROR(MATCH(173,'List B'!$R$5:$R$204,0)+4,"")-4))</f>
        <v/>
      </c>
      <c r="E177" s="53">
        <f>IF(IFERROR(MATCH(173,'List B'!$R$5:$R$204,0)+4,"")="","",INDEX('List B'!$E$5:$E$204,IFERROR(MATCH(173,'List B'!$R$5:$R$204,0)+4,"")-4))</f>
        <v/>
      </c>
      <c r="F177" s="53">
        <f>IF(IFERROR(MATCH(173,'List B'!$R$5:$R$204,0)+4,"")="","",INDEX('List B'!$F$5:$F$204,IFERROR(MATCH(173,'List B'!$R$5:$R$204,0)+4,"")-4))</f>
        <v/>
      </c>
      <c r="G177" s="50">
        <f>IF(IFERROR(MATCH(173,'List B'!$R$5:$R$204,0)+4,"")="","",INDEX('List B'!$G$5:$G$204,IFERROR(MATCH(173,'List B'!$R$5:$R$204,0)+4,"")-4))</f>
        <v/>
      </c>
      <c r="H177" s="53">
        <f>IF(IFERROR(MATCH(173,'List B'!$R$5:$R$204,0)+4,"")="","",INDEX('List B'!$H$5:$H$204,IFERROR(MATCH(173,'List B'!$R$5:$R$204,0)+4,"")-4))</f>
        <v/>
      </c>
      <c r="I177" s="61" t="n"/>
      <c r="J177" s="61" t="n"/>
    </row>
    <row r="178" ht="17" customHeight="1">
      <c r="A178" s="87">
        <f>IF(IFERROR(MATCH(174,'List B'!$R$5:$R$204,0)+4,"")="","",INDEX('List B'!$A$5:$A$204,IFERROR(MATCH(174,'List B'!$R$5:$R$204,0)+4,"")-4))</f>
        <v/>
      </c>
      <c r="B178" s="53">
        <f>IF(IFERROR(MATCH(174,'List B'!$R$5:$R$204,0)+4,"")="","",INDEX('List B'!$B$5:$B$204,IFERROR(MATCH(174,'List B'!$R$5:$R$204,0)+4,"")-4))</f>
        <v/>
      </c>
      <c r="C178" s="52">
        <f>IF(IFERROR(MATCH(174,'List B'!$R$5:$R$204,0)+4,"")="","",INDEX('List B'!$C$5:$C$204,IFERROR(MATCH(174,'List B'!$R$5:$R$204,0)+4,"")-4))</f>
        <v/>
      </c>
      <c r="D178" s="53">
        <f>IF(IFERROR(MATCH(174,'List B'!$R$5:$R$204,0)+4,"")="","",INDEX('List B'!$D$5:$D$204,IFERROR(MATCH(174,'List B'!$R$5:$R$204,0)+4,"")-4))</f>
        <v/>
      </c>
      <c r="E178" s="53">
        <f>IF(IFERROR(MATCH(174,'List B'!$R$5:$R$204,0)+4,"")="","",INDEX('List B'!$E$5:$E$204,IFERROR(MATCH(174,'List B'!$R$5:$R$204,0)+4,"")-4))</f>
        <v/>
      </c>
      <c r="F178" s="53">
        <f>IF(IFERROR(MATCH(174,'List B'!$R$5:$R$204,0)+4,"")="","",INDEX('List B'!$F$5:$F$204,IFERROR(MATCH(174,'List B'!$R$5:$R$204,0)+4,"")-4))</f>
        <v/>
      </c>
      <c r="G178" s="50">
        <f>IF(IFERROR(MATCH(174,'List B'!$R$5:$R$204,0)+4,"")="","",INDEX('List B'!$G$5:$G$204,IFERROR(MATCH(174,'List B'!$R$5:$R$204,0)+4,"")-4))</f>
        <v/>
      </c>
      <c r="H178" s="53">
        <f>IF(IFERROR(MATCH(174,'List B'!$R$5:$R$204,0)+4,"")="","",INDEX('List B'!$H$5:$H$204,IFERROR(MATCH(174,'List B'!$R$5:$R$204,0)+4,"")-4))</f>
        <v/>
      </c>
      <c r="I178" s="61" t="n"/>
      <c r="J178" s="61" t="n"/>
    </row>
    <row r="179" ht="17" customHeight="1">
      <c r="A179" s="87">
        <f>IF(IFERROR(MATCH(175,'List B'!$R$5:$R$204,0)+4,"")="","",INDEX('List B'!$A$5:$A$204,IFERROR(MATCH(175,'List B'!$R$5:$R$204,0)+4,"")-4))</f>
        <v/>
      </c>
      <c r="B179" s="53">
        <f>IF(IFERROR(MATCH(175,'List B'!$R$5:$R$204,0)+4,"")="","",INDEX('List B'!$B$5:$B$204,IFERROR(MATCH(175,'List B'!$R$5:$R$204,0)+4,"")-4))</f>
        <v/>
      </c>
      <c r="C179" s="52">
        <f>IF(IFERROR(MATCH(175,'List B'!$R$5:$R$204,0)+4,"")="","",INDEX('List B'!$C$5:$C$204,IFERROR(MATCH(175,'List B'!$R$5:$R$204,0)+4,"")-4))</f>
        <v/>
      </c>
      <c r="D179" s="53">
        <f>IF(IFERROR(MATCH(175,'List B'!$R$5:$R$204,0)+4,"")="","",INDEX('List B'!$D$5:$D$204,IFERROR(MATCH(175,'List B'!$R$5:$R$204,0)+4,"")-4))</f>
        <v/>
      </c>
      <c r="E179" s="53">
        <f>IF(IFERROR(MATCH(175,'List B'!$R$5:$R$204,0)+4,"")="","",INDEX('List B'!$E$5:$E$204,IFERROR(MATCH(175,'List B'!$R$5:$R$204,0)+4,"")-4))</f>
        <v/>
      </c>
      <c r="F179" s="53">
        <f>IF(IFERROR(MATCH(175,'List B'!$R$5:$R$204,0)+4,"")="","",INDEX('List B'!$F$5:$F$204,IFERROR(MATCH(175,'List B'!$R$5:$R$204,0)+4,"")-4))</f>
        <v/>
      </c>
      <c r="G179" s="50">
        <f>IF(IFERROR(MATCH(175,'List B'!$R$5:$R$204,0)+4,"")="","",INDEX('List B'!$G$5:$G$204,IFERROR(MATCH(175,'List B'!$R$5:$R$204,0)+4,"")-4))</f>
        <v/>
      </c>
      <c r="H179" s="53">
        <f>IF(IFERROR(MATCH(175,'List B'!$R$5:$R$204,0)+4,"")="","",INDEX('List B'!$H$5:$H$204,IFERROR(MATCH(175,'List B'!$R$5:$R$204,0)+4,"")-4))</f>
        <v/>
      </c>
      <c r="I179" s="61" t="n"/>
      <c r="J179" s="61" t="n"/>
    </row>
    <row r="180" ht="17" customHeight="1">
      <c r="A180" s="87">
        <f>IF(IFERROR(MATCH(176,'List B'!$R$5:$R$204,0)+4,"")="","",INDEX('List B'!$A$5:$A$204,IFERROR(MATCH(176,'List B'!$R$5:$R$204,0)+4,"")-4))</f>
        <v/>
      </c>
      <c r="B180" s="53">
        <f>IF(IFERROR(MATCH(176,'List B'!$R$5:$R$204,0)+4,"")="","",INDEX('List B'!$B$5:$B$204,IFERROR(MATCH(176,'List B'!$R$5:$R$204,0)+4,"")-4))</f>
        <v/>
      </c>
      <c r="C180" s="52">
        <f>IF(IFERROR(MATCH(176,'List B'!$R$5:$R$204,0)+4,"")="","",INDEX('List B'!$C$5:$C$204,IFERROR(MATCH(176,'List B'!$R$5:$R$204,0)+4,"")-4))</f>
        <v/>
      </c>
      <c r="D180" s="53">
        <f>IF(IFERROR(MATCH(176,'List B'!$R$5:$R$204,0)+4,"")="","",INDEX('List B'!$D$5:$D$204,IFERROR(MATCH(176,'List B'!$R$5:$R$204,0)+4,"")-4))</f>
        <v/>
      </c>
      <c r="E180" s="53">
        <f>IF(IFERROR(MATCH(176,'List B'!$R$5:$R$204,0)+4,"")="","",INDEX('List B'!$E$5:$E$204,IFERROR(MATCH(176,'List B'!$R$5:$R$204,0)+4,"")-4))</f>
        <v/>
      </c>
      <c r="F180" s="53">
        <f>IF(IFERROR(MATCH(176,'List B'!$R$5:$R$204,0)+4,"")="","",INDEX('List B'!$F$5:$F$204,IFERROR(MATCH(176,'List B'!$R$5:$R$204,0)+4,"")-4))</f>
        <v/>
      </c>
      <c r="G180" s="50">
        <f>IF(IFERROR(MATCH(176,'List B'!$R$5:$R$204,0)+4,"")="","",INDEX('List B'!$G$5:$G$204,IFERROR(MATCH(176,'List B'!$R$5:$R$204,0)+4,"")-4))</f>
        <v/>
      </c>
      <c r="H180" s="53">
        <f>IF(IFERROR(MATCH(176,'List B'!$R$5:$R$204,0)+4,"")="","",INDEX('List B'!$H$5:$H$204,IFERROR(MATCH(176,'List B'!$R$5:$R$204,0)+4,"")-4))</f>
        <v/>
      </c>
      <c r="I180" s="61" t="n"/>
      <c r="J180" s="61" t="n"/>
    </row>
    <row r="181" ht="17" customHeight="1">
      <c r="A181" s="87">
        <f>IF(IFERROR(MATCH(177,'List B'!$R$5:$R$204,0)+4,"")="","",INDEX('List B'!$A$5:$A$204,IFERROR(MATCH(177,'List B'!$R$5:$R$204,0)+4,"")-4))</f>
        <v/>
      </c>
      <c r="B181" s="53">
        <f>IF(IFERROR(MATCH(177,'List B'!$R$5:$R$204,0)+4,"")="","",INDEX('List B'!$B$5:$B$204,IFERROR(MATCH(177,'List B'!$R$5:$R$204,0)+4,"")-4))</f>
        <v/>
      </c>
      <c r="C181" s="52">
        <f>IF(IFERROR(MATCH(177,'List B'!$R$5:$R$204,0)+4,"")="","",INDEX('List B'!$C$5:$C$204,IFERROR(MATCH(177,'List B'!$R$5:$R$204,0)+4,"")-4))</f>
        <v/>
      </c>
      <c r="D181" s="53">
        <f>IF(IFERROR(MATCH(177,'List B'!$R$5:$R$204,0)+4,"")="","",INDEX('List B'!$D$5:$D$204,IFERROR(MATCH(177,'List B'!$R$5:$R$204,0)+4,"")-4))</f>
        <v/>
      </c>
      <c r="E181" s="53">
        <f>IF(IFERROR(MATCH(177,'List B'!$R$5:$R$204,0)+4,"")="","",INDEX('List B'!$E$5:$E$204,IFERROR(MATCH(177,'List B'!$R$5:$R$204,0)+4,"")-4))</f>
        <v/>
      </c>
      <c r="F181" s="53">
        <f>IF(IFERROR(MATCH(177,'List B'!$R$5:$R$204,0)+4,"")="","",INDEX('List B'!$F$5:$F$204,IFERROR(MATCH(177,'List B'!$R$5:$R$204,0)+4,"")-4))</f>
        <v/>
      </c>
      <c r="G181" s="50">
        <f>IF(IFERROR(MATCH(177,'List B'!$R$5:$R$204,0)+4,"")="","",INDEX('List B'!$G$5:$G$204,IFERROR(MATCH(177,'List B'!$R$5:$R$204,0)+4,"")-4))</f>
        <v/>
      </c>
      <c r="H181" s="53">
        <f>IF(IFERROR(MATCH(177,'List B'!$R$5:$R$204,0)+4,"")="","",INDEX('List B'!$H$5:$H$204,IFERROR(MATCH(177,'List B'!$R$5:$R$204,0)+4,"")-4))</f>
        <v/>
      </c>
      <c r="I181" s="61" t="n"/>
      <c r="J181" s="61" t="n"/>
    </row>
    <row r="182" ht="17" customHeight="1">
      <c r="A182" s="87">
        <f>IF(IFERROR(MATCH(178,'List B'!$R$5:$R$204,0)+4,"")="","",INDEX('List B'!$A$5:$A$204,IFERROR(MATCH(178,'List B'!$R$5:$R$204,0)+4,"")-4))</f>
        <v/>
      </c>
      <c r="B182" s="53">
        <f>IF(IFERROR(MATCH(178,'List B'!$R$5:$R$204,0)+4,"")="","",INDEX('List B'!$B$5:$B$204,IFERROR(MATCH(178,'List B'!$R$5:$R$204,0)+4,"")-4))</f>
        <v/>
      </c>
      <c r="C182" s="52">
        <f>IF(IFERROR(MATCH(178,'List B'!$R$5:$R$204,0)+4,"")="","",INDEX('List B'!$C$5:$C$204,IFERROR(MATCH(178,'List B'!$R$5:$R$204,0)+4,"")-4))</f>
        <v/>
      </c>
      <c r="D182" s="53">
        <f>IF(IFERROR(MATCH(178,'List B'!$R$5:$R$204,0)+4,"")="","",INDEX('List B'!$D$5:$D$204,IFERROR(MATCH(178,'List B'!$R$5:$R$204,0)+4,"")-4))</f>
        <v/>
      </c>
      <c r="E182" s="53">
        <f>IF(IFERROR(MATCH(178,'List B'!$R$5:$R$204,0)+4,"")="","",INDEX('List B'!$E$5:$E$204,IFERROR(MATCH(178,'List B'!$R$5:$R$204,0)+4,"")-4))</f>
        <v/>
      </c>
      <c r="F182" s="53">
        <f>IF(IFERROR(MATCH(178,'List B'!$R$5:$R$204,0)+4,"")="","",INDEX('List B'!$F$5:$F$204,IFERROR(MATCH(178,'List B'!$R$5:$R$204,0)+4,"")-4))</f>
        <v/>
      </c>
      <c r="G182" s="50">
        <f>IF(IFERROR(MATCH(178,'List B'!$R$5:$R$204,0)+4,"")="","",INDEX('List B'!$G$5:$G$204,IFERROR(MATCH(178,'List B'!$R$5:$R$204,0)+4,"")-4))</f>
        <v/>
      </c>
      <c r="H182" s="53">
        <f>IF(IFERROR(MATCH(178,'List B'!$R$5:$R$204,0)+4,"")="","",INDEX('List B'!$H$5:$H$204,IFERROR(MATCH(178,'List B'!$R$5:$R$204,0)+4,"")-4))</f>
        <v/>
      </c>
      <c r="I182" s="61" t="n"/>
      <c r="J182" s="61" t="n"/>
    </row>
    <row r="183" ht="17" customHeight="1">
      <c r="A183" s="87">
        <f>IF(IFERROR(MATCH(179,'List B'!$R$5:$R$204,0)+4,"")="","",INDEX('List B'!$A$5:$A$204,IFERROR(MATCH(179,'List B'!$R$5:$R$204,0)+4,"")-4))</f>
        <v/>
      </c>
      <c r="B183" s="53">
        <f>IF(IFERROR(MATCH(179,'List B'!$R$5:$R$204,0)+4,"")="","",INDEX('List B'!$B$5:$B$204,IFERROR(MATCH(179,'List B'!$R$5:$R$204,0)+4,"")-4))</f>
        <v/>
      </c>
      <c r="C183" s="52">
        <f>IF(IFERROR(MATCH(179,'List B'!$R$5:$R$204,0)+4,"")="","",INDEX('List B'!$C$5:$C$204,IFERROR(MATCH(179,'List B'!$R$5:$R$204,0)+4,"")-4))</f>
        <v/>
      </c>
      <c r="D183" s="53">
        <f>IF(IFERROR(MATCH(179,'List B'!$R$5:$R$204,0)+4,"")="","",INDEX('List B'!$D$5:$D$204,IFERROR(MATCH(179,'List B'!$R$5:$R$204,0)+4,"")-4))</f>
        <v/>
      </c>
      <c r="E183" s="53">
        <f>IF(IFERROR(MATCH(179,'List B'!$R$5:$R$204,0)+4,"")="","",INDEX('List B'!$E$5:$E$204,IFERROR(MATCH(179,'List B'!$R$5:$R$204,0)+4,"")-4))</f>
        <v/>
      </c>
      <c r="F183" s="53">
        <f>IF(IFERROR(MATCH(179,'List B'!$R$5:$R$204,0)+4,"")="","",INDEX('List B'!$F$5:$F$204,IFERROR(MATCH(179,'List B'!$R$5:$R$204,0)+4,"")-4))</f>
        <v/>
      </c>
      <c r="G183" s="50">
        <f>IF(IFERROR(MATCH(179,'List B'!$R$5:$R$204,0)+4,"")="","",INDEX('List B'!$G$5:$G$204,IFERROR(MATCH(179,'List B'!$R$5:$R$204,0)+4,"")-4))</f>
        <v/>
      </c>
      <c r="H183" s="53">
        <f>IF(IFERROR(MATCH(179,'List B'!$R$5:$R$204,0)+4,"")="","",INDEX('List B'!$H$5:$H$204,IFERROR(MATCH(179,'List B'!$R$5:$R$204,0)+4,"")-4))</f>
        <v/>
      </c>
      <c r="I183" s="61" t="n"/>
      <c r="J183" s="61" t="n"/>
    </row>
    <row r="184" ht="17" customHeight="1">
      <c r="A184" s="87">
        <f>IF(IFERROR(MATCH(180,'List B'!$R$5:$R$204,0)+4,"")="","",INDEX('List B'!$A$5:$A$204,IFERROR(MATCH(180,'List B'!$R$5:$R$204,0)+4,"")-4))</f>
        <v/>
      </c>
      <c r="B184" s="53">
        <f>IF(IFERROR(MATCH(180,'List B'!$R$5:$R$204,0)+4,"")="","",INDEX('List B'!$B$5:$B$204,IFERROR(MATCH(180,'List B'!$R$5:$R$204,0)+4,"")-4))</f>
        <v/>
      </c>
      <c r="C184" s="52">
        <f>IF(IFERROR(MATCH(180,'List B'!$R$5:$R$204,0)+4,"")="","",INDEX('List B'!$C$5:$C$204,IFERROR(MATCH(180,'List B'!$R$5:$R$204,0)+4,"")-4))</f>
        <v/>
      </c>
      <c r="D184" s="53">
        <f>IF(IFERROR(MATCH(180,'List B'!$R$5:$R$204,0)+4,"")="","",INDEX('List B'!$D$5:$D$204,IFERROR(MATCH(180,'List B'!$R$5:$R$204,0)+4,"")-4))</f>
        <v/>
      </c>
      <c r="E184" s="53">
        <f>IF(IFERROR(MATCH(180,'List B'!$R$5:$R$204,0)+4,"")="","",INDEX('List B'!$E$5:$E$204,IFERROR(MATCH(180,'List B'!$R$5:$R$204,0)+4,"")-4))</f>
        <v/>
      </c>
      <c r="F184" s="53">
        <f>IF(IFERROR(MATCH(180,'List B'!$R$5:$R$204,0)+4,"")="","",INDEX('List B'!$F$5:$F$204,IFERROR(MATCH(180,'List B'!$R$5:$R$204,0)+4,"")-4))</f>
        <v/>
      </c>
      <c r="G184" s="50">
        <f>IF(IFERROR(MATCH(180,'List B'!$R$5:$R$204,0)+4,"")="","",INDEX('List B'!$G$5:$G$204,IFERROR(MATCH(180,'List B'!$R$5:$R$204,0)+4,"")-4))</f>
        <v/>
      </c>
      <c r="H184" s="53">
        <f>IF(IFERROR(MATCH(180,'List B'!$R$5:$R$204,0)+4,"")="","",INDEX('List B'!$H$5:$H$204,IFERROR(MATCH(180,'List B'!$R$5:$R$204,0)+4,"")-4))</f>
        <v/>
      </c>
      <c r="I184" s="61" t="n"/>
      <c r="J184" s="61" t="n"/>
    </row>
    <row r="185" ht="17" customHeight="1">
      <c r="A185" s="87">
        <f>IF(IFERROR(MATCH(181,'List B'!$R$5:$R$204,0)+4,"")="","",INDEX('List B'!$A$5:$A$204,IFERROR(MATCH(181,'List B'!$R$5:$R$204,0)+4,"")-4))</f>
        <v/>
      </c>
      <c r="B185" s="53">
        <f>IF(IFERROR(MATCH(181,'List B'!$R$5:$R$204,0)+4,"")="","",INDEX('List B'!$B$5:$B$204,IFERROR(MATCH(181,'List B'!$R$5:$R$204,0)+4,"")-4))</f>
        <v/>
      </c>
      <c r="C185" s="52">
        <f>IF(IFERROR(MATCH(181,'List B'!$R$5:$R$204,0)+4,"")="","",INDEX('List B'!$C$5:$C$204,IFERROR(MATCH(181,'List B'!$R$5:$R$204,0)+4,"")-4))</f>
        <v/>
      </c>
      <c r="D185" s="53">
        <f>IF(IFERROR(MATCH(181,'List B'!$R$5:$R$204,0)+4,"")="","",INDEX('List B'!$D$5:$D$204,IFERROR(MATCH(181,'List B'!$R$5:$R$204,0)+4,"")-4))</f>
        <v/>
      </c>
      <c r="E185" s="53">
        <f>IF(IFERROR(MATCH(181,'List B'!$R$5:$R$204,0)+4,"")="","",INDEX('List B'!$E$5:$E$204,IFERROR(MATCH(181,'List B'!$R$5:$R$204,0)+4,"")-4))</f>
        <v/>
      </c>
      <c r="F185" s="53">
        <f>IF(IFERROR(MATCH(181,'List B'!$R$5:$R$204,0)+4,"")="","",INDEX('List B'!$F$5:$F$204,IFERROR(MATCH(181,'List B'!$R$5:$R$204,0)+4,"")-4))</f>
        <v/>
      </c>
      <c r="G185" s="50">
        <f>IF(IFERROR(MATCH(181,'List B'!$R$5:$R$204,0)+4,"")="","",INDEX('List B'!$G$5:$G$204,IFERROR(MATCH(181,'List B'!$R$5:$R$204,0)+4,"")-4))</f>
        <v/>
      </c>
      <c r="H185" s="53">
        <f>IF(IFERROR(MATCH(181,'List B'!$R$5:$R$204,0)+4,"")="","",INDEX('List B'!$H$5:$H$204,IFERROR(MATCH(181,'List B'!$R$5:$R$204,0)+4,"")-4))</f>
        <v/>
      </c>
      <c r="I185" s="61" t="n"/>
      <c r="J185" s="61" t="n"/>
    </row>
    <row r="186" ht="17" customHeight="1">
      <c r="A186" s="87">
        <f>IF(IFERROR(MATCH(182,'List B'!$R$5:$R$204,0)+4,"")="","",INDEX('List B'!$A$5:$A$204,IFERROR(MATCH(182,'List B'!$R$5:$R$204,0)+4,"")-4))</f>
        <v/>
      </c>
      <c r="B186" s="53">
        <f>IF(IFERROR(MATCH(182,'List B'!$R$5:$R$204,0)+4,"")="","",INDEX('List B'!$B$5:$B$204,IFERROR(MATCH(182,'List B'!$R$5:$R$204,0)+4,"")-4))</f>
        <v/>
      </c>
      <c r="C186" s="52">
        <f>IF(IFERROR(MATCH(182,'List B'!$R$5:$R$204,0)+4,"")="","",INDEX('List B'!$C$5:$C$204,IFERROR(MATCH(182,'List B'!$R$5:$R$204,0)+4,"")-4))</f>
        <v/>
      </c>
      <c r="D186" s="53">
        <f>IF(IFERROR(MATCH(182,'List B'!$R$5:$R$204,0)+4,"")="","",INDEX('List B'!$D$5:$D$204,IFERROR(MATCH(182,'List B'!$R$5:$R$204,0)+4,"")-4))</f>
        <v/>
      </c>
      <c r="E186" s="53">
        <f>IF(IFERROR(MATCH(182,'List B'!$R$5:$R$204,0)+4,"")="","",INDEX('List B'!$E$5:$E$204,IFERROR(MATCH(182,'List B'!$R$5:$R$204,0)+4,"")-4))</f>
        <v/>
      </c>
      <c r="F186" s="53">
        <f>IF(IFERROR(MATCH(182,'List B'!$R$5:$R$204,0)+4,"")="","",INDEX('List B'!$F$5:$F$204,IFERROR(MATCH(182,'List B'!$R$5:$R$204,0)+4,"")-4))</f>
        <v/>
      </c>
      <c r="G186" s="50">
        <f>IF(IFERROR(MATCH(182,'List B'!$R$5:$R$204,0)+4,"")="","",INDEX('List B'!$G$5:$G$204,IFERROR(MATCH(182,'List B'!$R$5:$R$204,0)+4,"")-4))</f>
        <v/>
      </c>
      <c r="H186" s="53">
        <f>IF(IFERROR(MATCH(182,'List B'!$R$5:$R$204,0)+4,"")="","",INDEX('List B'!$H$5:$H$204,IFERROR(MATCH(182,'List B'!$R$5:$R$204,0)+4,"")-4))</f>
        <v/>
      </c>
      <c r="I186" s="61" t="n"/>
      <c r="J186" s="61" t="n"/>
    </row>
    <row r="187" ht="17" customHeight="1">
      <c r="A187" s="87">
        <f>IF(IFERROR(MATCH(183,'List B'!$R$5:$R$204,0)+4,"")="","",INDEX('List B'!$A$5:$A$204,IFERROR(MATCH(183,'List B'!$R$5:$R$204,0)+4,"")-4))</f>
        <v/>
      </c>
      <c r="B187" s="53">
        <f>IF(IFERROR(MATCH(183,'List B'!$R$5:$R$204,0)+4,"")="","",INDEX('List B'!$B$5:$B$204,IFERROR(MATCH(183,'List B'!$R$5:$R$204,0)+4,"")-4))</f>
        <v/>
      </c>
      <c r="C187" s="52">
        <f>IF(IFERROR(MATCH(183,'List B'!$R$5:$R$204,0)+4,"")="","",INDEX('List B'!$C$5:$C$204,IFERROR(MATCH(183,'List B'!$R$5:$R$204,0)+4,"")-4))</f>
        <v/>
      </c>
      <c r="D187" s="53">
        <f>IF(IFERROR(MATCH(183,'List B'!$R$5:$R$204,0)+4,"")="","",INDEX('List B'!$D$5:$D$204,IFERROR(MATCH(183,'List B'!$R$5:$R$204,0)+4,"")-4))</f>
        <v/>
      </c>
      <c r="E187" s="53">
        <f>IF(IFERROR(MATCH(183,'List B'!$R$5:$R$204,0)+4,"")="","",INDEX('List B'!$E$5:$E$204,IFERROR(MATCH(183,'List B'!$R$5:$R$204,0)+4,"")-4))</f>
        <v/>
      </c>
      <c r="F187" s="53">
        <f>IF(IFERROR(MATCH(183,'List B'!$R$5:$R$204,0)+4,"")="","",INDEX('List B'!$F$5:$F$204,IFERROR(MATCH(183,'List B'!$R$5:$R$204,0)+4,"")-4))</f>
        <v/>
      </c>
      <c r="G187" s="50">
        <f>IF(IFERROR(MATCH(183,'List B'!$R$5:$R$204,0)+4,"")="","",INDEX('List B'!$G$5:$G$204,IFERROR(MATCH(183,'List B'!$R$5:$R$204,0)+4,"")-4))</f>
        <v/>
      </c>
      <c r="H187" s="53">
        <f>IF(IFERROR(MATCH(183,'List B'!$R$5:$R$204,0)+4,"")="","",INDEX('List B'!$H$5:$H$204,IFERROR(MATCH(183,'List B'!$R$5:$R$204,0)+4,"")-4))</f>
        <v/>
      </c>
      <c r="I187" s="61" t="n"/>
      <c r="J187" s="61" t="n"/>
    </row>
    <row r="188" ht="17" customHeight="1">
      <c r="A188" s="87">
        <f>IF(IFERROR(MATCH(184,'List B'!$R$5:$R$204,0)+4,"")="","",INDEX('List B'!$A$5:$A$204,IFERROR(MATCH(184,'List B'!$R$5:$R$204,0)+4,"")-4))</f>
        <v/>
      </c>
      <c r="B188" s="53">
        <f>IF(IFERROR(MATCH(184,'List B'!$R$5:$R$204,0)+4,"")="","",INDEX('List B'!$B$5:$B$204,IFERROR(MATCH(184,'List B'!$R$5:$R$204,0)+4,"")-4))</f>
        <v/>
      </c>
      <c r="C188" s="52">
        <f>IF(IFERROR(MATCH(184,'List B'!$R$5:$R$204,0)+4,"")="","",INDEX('List B'!$C$5:$C$204,IFERROR(MATCH(184,'List B'!$R$5:$R$204,0)+4,"")-4))</f>
        <v/>
      </c>
      <c r="D188" s="53">
        <f>IF(IFERROR(MATCH(184,'List B'!$R$5:$R$204,0)+4,"")="","",INDEX('List B'!$D$5:$D$204,IFERROR(MATCH(184,'List B'!$R$5:$R$204,0)+4,"")-4))</f>
        <v/>
      </c>
      <c r="E188" s="53">
        <f>IF(IFERROR(MATCH(184,'List B'!$R$5:$R$204,0)+4,"")="","",INDEX('List B'!$E$5:$E$204,IFERROR(MATCH(184,'List B'!$R$5:$R$204,0)+4,"")-4))</f>
        <v/>
      </c>
      <c r="F188" s="53">
        <f>IF(IFERROR(MATCH(184,'List B'!$R$5:$R$204,0)+4,"")="","",INDEX('List B'!$F$5:$F$204,IFERROR(MATCH(184,'List B'!$R$5:$R$204,0)+4,"")-4))</f>
        <v/>
      </c>
      <c r="G188" s="50">
        <f>IF(IFERROR(MATCH(184,'List B'!$R$5:$R$204,0)+4,"")="","",INDEX('List B'!$G$5:$G$204,IFERROR(MATCH(184,'List B'!$R$5:$R$204,0)+4,"")-4))</f>
        <v/>
      </c>
      <c r="H188" s="53">
        <f>IF(IFERROR(MATCH(184,'List B'!$R$5:$R$204,0)+4,"")="","",INDEX('List B'!$H$5:$H$204,IFERROR(MATCH(184,'List B'!$R$5:$R$204,0)+4,"")-4))</f>
        <v/>
      </c>
      <c r="I188" s="61" t="n"/>
      <c r="J188" s="61" t="n"/>
    </row>
    <row r="189" ht="17" customHeight="1">
      <c r="A189" s="87">
        <f>IF(IFERROR(MATCH(185,'List B'!$R$5:$R$204,0)+4,"")="","",INDEX('List B'!$A$5:$A$204,IFERROR(MATCH(185,'List B'!$R$5:$R$204,0)+4,"")-4))</f>
        <v/>
      </c>
      <c r="B189" s="53">
        <f>IF(IFERROR(MATCH(185,'List B'!$R$5:$R$204,0)+4,"")="","",INDEX('List B'!$B$5:$B$204,IFERROR(MATCH(185,'List B'!$R$5:$R$204,0)+4,"")-4))</f>
        <v/>
      </c>
      <c r="C189" s="52">
        <f>IF(IFERROR(MATCH(185,'List B'!$R$5:$R$204,0)+4,"")="","",INDEX('List B'!$C$5:$C$204,IFERROR(MATCH(185,'List B'!$R$5:$R$204,0)+4,"")-4))</f>
        <v/>
      </c>
      <c r="D189" s="53">
        <f>IF(IFERROR(MATCH(185,'List B'!$R$5:$R$204,0)+4,"")="","",INDEX('List B'!$D$5:$D$204,IFERROR(MATCH(185,'List B'!$R$5:$R$204,0)+4,"")-4))</f>
        <v/>
      </c>
      <c r="E189" s="53">
        <f>IF(IFERROR(MATCH(185,'List B'!$R$5:$R$204,0)+4,"")="","",INDEX('List B'!$E$5:$E$204,IFERROR(MATCH(185,'List B'!$R$5:$R$204,0)+4,"")-4))</f>
        <v/>
      </c>
      <c r="F189" s="53">
        <f>IF(IFERROR(MATCH(185,'List B'!$R$5:$R$204,0)+4,"")="","",INDEX('List B'!$F$5:$F$204,IFERROR(MATCH(185,'List B'!$R$5:$R$204,0)+4,"")-4))</f>
        <v/>
      </c>
      <c r="G189" s="50">
        <f>IF(IFERROR(MATCH(185,'List B'!$R$5:$R$204,0)+4,"")="","",INDEX('List B'!$G$5:$G$204,IFERROR(MATCH(185,'List B'!$R$5:$R$204,0)+4,"")-4))</f>
        <v/>
      </c>
      <c r="H189" s="53">
        <f>IF(IFERROR(MATCH(185,'List B'!$R$5:$R$204,0)+4,"")="","",INDEX('List B'!$H$5:$H$204,IFERROR(MATCH(185,'List B'!$R$5:$R$204,0)+4,"")-4))</f>
        <v/>
      </c>
      <c r="I189" s="61" t="n"/>
      <c r="J189" s="61" t="n"/>
    </row>
    <row r="190" ht="17" customHeight="1">
      <c r="A190" s="87">
        <f>IF(IFERROR(MATCH(186,'List B'!$R$5:$R$204,0)+4,"")="","",INDEX('List B'!$A$5:$A$204,IFERROR(MATCH(186,'List B'!$R$5:$R$204,0)+4,"")-4))</f>
        <v/>
      </c>
      <c r="B190" s="53">
        <f>IF(IFERROR(MATCH(186,'List B'!$R$5:$R$204,0)+4,"")="","",INDEX('List B'!$B$5:$B$204,IFERROR(MATCH(186,'List B'!$R$5:$R$204,0)+4,"")-4))</f>
        <v/>
      </c>
      <c r="C190" s="52">
        <f>IF(IFERROR(MATCH(186,'List B'!$R$5:$R$204,0)+4,"")="","",INDEX('List B'!$C$5:$C$204,IFERROR(MATCH(186,'List B'!$R$5:$R$204,0)+4,"")-4))</f>
        <v/>
      </c>
      <c r="D190" s="53">
        <f>IF(IFERROR(MATCH(186,'List B'!$R$5:$R$204,0)+4,"")="","",INDEX('List B'!$D$5:$D$204,IFERROR(MATCH(186,'List B'!$R$5:$R$204,0)+4,"")-4))</f>
        <v/>
      </c>
      <c r="E190" s="53">
        <f>IF(IFERROR(MATCH(186,'List B'!$R$5:$R$204,0)+4,"")="","",INDEX('List B'!$E$5:$E$204,IFERROR(MATCH(186,'List B'!$R$5:$R$204,0)+4,"")-4))</f>
        <v/>
      </c>
      <c r="F190" s="53">
        <f>IF(IFERROR(MATCH(186,'List B'!$R$5:$R$204,0)+4,"")="","",INDEX('List B'!$F$5:$F$204,IFERROR(MATCH(186,'List B'!$R$5:$R$204,0)+4,"")-4))</f>
        <v/>
      </c>
      <c r="G190" s="50">
        <f>IF(IFERROR(MATCH(186,'List B'!$R$5:$R$204,0)+4,"")="","",INDEX('List B'!$G$5:$G$204,IFERROR(MATCH(186,'List B'!$R$5:$R$204,0)+4,"")-4))</f>
        <v/>
      </c>
      <c r="H190" s="53">
        <f>IF(IFERROR(MATCH(186,'List B'!$R$5:$R$204,0)+4,"")="","",INDEX('List B'!$H$5:$H$204,IFERROR(MATCH(186,'List B'!$R$5:$R$204,0)+4,"")-4))</f>
        <v/>
      </c>
      <c r="I190" s="61" t="n"/>
      <c r="J190" s="61" t="n"/>
    </row>
    <row r="191" ht="17" customHeight="1">
      <c r="A191" s="87">
        <f>IF(IFERROR(MATCH(187,'List B'!$R$5:$R$204,0)+4,"")="","",INDEX('List B'!$A$5:$A$204,IFERROR(MATCH(187,'List B'!$R$5:$R$204,0)+4,"")-4))</f>
        <v/>
      </c>
      <c r="B191" s="53">
        <f>IF(IFERROR(MATCH(187,'List B'!$R$5:$R$204,0)+4,"")="","",INDEX('List B'!$B$5:$B$204,IFERROR(MATCH(187,'List B'!$R$5:$R$204,0)+4,"")-4))</f>
        <v/>
      </c>
      <c r="C191" s="52">
        <f>IF(IFERROR(MATCH(187,'List B'!$R$5:$R$204,0)+4,"")="","",INDEX('List B'!$C$5:$C$204,IFERROR(MATCH(187,'List B'!$R$5:$R$204,0)+4,"")-4))</f>
        <v/>
      </c>
      <c r="D191" s="53">
        <f>IF(IFERROR(MATCH(187,'List B'!$R$5:$R$204,0)+4,"")="","",INDEX('List B'!$D$5:$D$204,IFERROR(MATCH(187,'List B'!$R$5:$R$204,0)+4,"")-4))</f>
        <v/>
      </c>
      <c r="E191" s="53">
        <f>IF(IFERROR(MATCH(187,'List B'!$R$5:$R$204,0)+4,"")="","",INDEX('List B'!$E$5:$E$204,IFERROR(MATCH(187,'List B'!$R$5:$R$204,0)+4,"")-4))</f>
        <v/>
      </c>
      <c r="F191" s="53">
        <f>IF(IFERROR(MATCH(187,'List B'!$R$5:$R$204,0)+4,"")="","",INDEX('List B'!$F$5:$F$204,IFERROR(MATCH(187,'List B'!$R$5:$R$204,0)+4,"")-4))</f>
        <v/>
      </c>
      <c r="G191" s="50">
        <f>IF(IFERROR(MATCH(187,'List B'!$R$5:$R$204,0)+4,"")="","",INDEX('List B'!$G$5:$G$204,IFERROR(MATCH(187,'List B'!$R$5:$R$204,0)+4,"")-4))</f>
        <v/>
      </c>
      <c r="H191" s="53">
        <f>IF(IFERROR(MATCH(187,'List B'!$R$5:$R$204,0)+4,"")="","",INDEX('List B'!$H$5:$H$204,IFERROR(MATCH(187,'List B'!$R$5:$R$204,0)+4,"")-4))</f>
        <v/>
      </c>
      <c r="I191" s="61" t="n"/>
      <c r="J191" s="61" t="n"/>
    </row>
    <row r="192" ht="17" customHeight="1">
      <c r="A192" s="87">
        <f>IF(IFERROR(MATCH(188,'List B'!$R$5:$R$204,0)+4,"")="","",INDEX('List B'!$A$5:$A$204,IFERROR(MATCH(188,'List B'!$R$5:$R$204,0)+4,"")-4))</f>
        <v/>
      </c>
      <c r="B192" s="53">
        <f>IF(IFERROR(MATCH(188,'List B'!$R$5:$R$204,0)+4,"")="","",INDEX('List B'!$B$5:$B$204,IFERROR(MATCH(188,'List B'!$R$5:$R$204,0)+4,"")-4))</f>
        <v/>
      </c>
      <c r="C192" s="52">
        <f>IF(IFERROR(MATCH(188,'List B'!$R$5:$R$204,0)+4,"")="","",INDEX('List B'!$C$5:$C$204,IFERROR(MATCH(188,'List B'!$R$5:$R$204,0)+4,"")-4))</f>
        <v/>
      </c>
      <c r="D192" s="53">
        <f>IF(IFERROR(MATCH(188,'List B'!$R$5:$R$204,0)+4,"")="","",INDEX('List B'!$D$5:$D$204,IFERROR(MATCH(188,'List B'!$R$5:$R$204,0)+4,"")-4))</f>
        <v/>
      </c>
      <c r="E192" s="53">
        <f>IF(IFERROR(MATCH(188,'List B'!$R$5:$R$204,0)+4,"")="","",INDEX('List B'!$E$5:$E$204,IFERROR(MATCH(188,'List B'!$R$5:$R$204,0)+4,"")-4))</f>
        <v/>
      </c>
      <c r="F192" s="53">
        <f>IF(IFERROR(MATCH(188,'List B'!$R$5:$R$204,0)+4,"")="","",INDEX('List B'!$F$5:$F$204,IFERROR(MATCH(188,'List B'!$R$5:$R$204,0)+4,"")-4))</f>
        <v/>
      </c>
      <c r="G192" s="50">
        <f>IF(IFERROR(MATCH(188,'List B'!$R$5:$R$204,0)+4,"")="","",INDEX('List B'!$G$5:$G$204,IFERROR(MATCH(188,'List B'!$R$5:$R$204,0)+4,"")-4))</f>
        <v/>
      </c>
      <c r="H192" s="53">
        <f>IF(IFERROR(MATCH(188,'List B'!$R$5:$R$204,0)+4,"")="","",INDEX('List B'!$H$5:$H$204,IFERROR(MATCH(188,'List B'!$R$5:$R$204,0)+4,"")-4))</f>
        <v/>
      </c>
      <c r="I192" s="61" t="n"/>
      <c r="J192" s="61" t="n"/>
    </row>
    <row r="193" ht="17" customHeight="1">
      <c r="A193" s="87">
        <f>IF(IFERROR(MATCH(189,'List B'!$R$5:$R$204,0)+4,"")="","",INDEX('List B'!$A$5:$A$204,IFERROR(MATCH(189,'List B'!$R$5:$R$204,0)+4,"")-4))</f>
        <v/>
      </c>
      <c r="B193" s="53">
        <f>IF(IFERROR(MATCH(189,'List B'!$R$5:$R$204,0)+4,"")="","",INDEX('List B'!$B$5:$B$204,IFERROR(MATCH(189,'List B'!$R$5:$R$204,0)+4,"")-4))</f>
        <v/>
      </c>
      <c r="C193" s="52">
        <f>IF(IFERROR(MATCH(189,'List B'!$R$5:$R$204,0)+4,"")="","",INDEX('List B'!$C$5:$C$204,IFERROR(MATCH(189,'List B'!$R$5:$R$204,0)+4,"")-4))</f>
        <v/>
      </c>
      <c r="D193" s="53">
        <f>IF(IFERROR(MATCH(189,'List B'!$R$5:$R$204,0)+4,"")="","",INDEX('List B'!$D$5:$D$204,IFERROR(MATCH(189,'List B'!$R$5:$R$204,0)+4,"")-4))</f>
        <v/>
      </c>
      <c r="E193" s="53">
        <f>IF(IFERROR(MATCH(189,'List B'!$R$5:$R$204,0)+4,"")="","",INDEX('List B'!$E$5:$E$204,IFERROR(MATCH(189,'List B'!$R$5:$R$204,0)+4,"")-4))</f>
        <v/>
      </c>
      <c r="F193" s="53">
        <f>IF(IFERROR(MATCH(189,'List B'!$R$5:$R$204,0)+4,"")="","",INDEX('List B'!$F$5:$F$204,IFERROR(MATCH(189,'List B'!$R$5:$R$204,0)+4,"")-4))</f>
        <v/>
      </c>
      <c r="G193" s="50">
        <f>IF(IFERROR(MATCH(189,'List B'!$R$5:$R$204,0)+4,"")="","",INDEX('List B'!$G$5:$G$204,IFERROR(MATCH(189,'List B'!$R$5:$R$204,0)+4,"")-4))</f>
        <v/>
      </c>
      <c r="H193" s="53">
        <f>IF(IFERROR(MATCH(189,'List B'!$R$5:$R$204,0)+4,"")="","",INDEX('List B'!$H$5:$H$204,IFERROR(MATCH(189,'List B'!$R$5:$R$204,0)+4,"")-4))</f>
        <v/>
      </c>
      <c r="I193" s="61" t="n"/>
      <c r="J193" s="61" t="n"/>
    </row>
    <row r="194" ht="17" customHeight="1">
      <c r="A194" s="87">
        <f>IF(IFERROR(MATCH(190,'List B'!$R$5:$R$204,0)+4,"")="","",INDEX('List B'!$A$5:$A$204,IFERROR(MATCH(190,'List B'!$R$5:$R$204,0)+4,"")-4))</f>
        <v/>
      </c>
      <c r="B194" s="53">
        <f>IF(IFERROR(MATCH(190,'List B'!$R$5:$R$204,0)+4,"")="","",INDEX('List B'!$B$5:$B$204,IFERROR(MATCH(190,'List B'!$R$5:$R$204,0)+4,"")-4))</f>
        <v/>
      </c>
      <c r="C194" s="52">
        <f>IF(IFERROR(MATCH(190,'List B'!$R$5:$R$204,0)+4,"")="","",INDEX('List B'!$C$5:$C$204,IFERROR(MATCH(190,'List B'!$R$5:$R$204,0)+4,"")-4))</f>
        <v/>
      </c>
      <c r="D194" s="53">
        <f>IF(IFERROR(MATCH(190,'List B'!$R$5:$R$204,0)+4,"")="","",INDEX('List B'!$D$5:$D$204,IFERROR(MATCH(190,'List B'!$R$5:$R$204,0)+4,"")-4))</f>
        <v/>
      </c>
      <c r="E194" s="53">
        <f>IF(IFERROR(MATCH(190,'List B'!$R$5:$R$204,0)+4,"")="","",INDEX('List B'!$E$5:$E$204,IFERROR(MATCH(190,'List B'!$R$5:$R$204,0)+4,"")-4))</f>
        <v/>
      </c>
      <c r="F194" s="53">
        <f>IF(IFERROR(MATCH(190,'List B'!$R$5:$R$204,0)+4,"")="","",INDEX('List B'!$F$5:$F$204,IFERROR(MATCH(190,'List B'!$R$5:$R$204,0)+4,"")-4))</f>
        <v/>
      </c>
      <c r="G194" s="50">
        <f>IF(IFERROR(MATCH(190,'List B'!$R$5:$R$204,0)+4,"")="","",INDEX('List B'!$G$5:$G$204,IFERROR(MATCH(190,'List B'!$R$5:$R$204,0)+4,"")-4))</f>
        <v/>
      </c>
      <c r="H194" s="53">
        <f>IF(IFERROR(MATCH(190,'List B'!$R$5:$R$204,0)+4,"")="","",INDEX('List B'!$H$5:$H$204,IFERROR(MATCH(190,'List B'!$R$5:$R$204,0)+4,"")-4))</f>
        <v/>
      </c>
      <c r="I194" s="61" t="n"/>
      <c r="J194" s="61" t="n"/>
    </row>
    <row r="195" ht="17" customHeight="1">
      <c r="A195" s="87">
        <f>IF(IFERROR(MATCH(191,'List B'!$R$5:$R$204,0)+4,"")="","",INDEX('List B'!$A$5:$A$204,IFERROR(MATCH(191,'List B'!$R$5:$R$204,0)+4,"")-4))</f>
        <v/>
      </c>
      <c r="B195" s="53">
        <f>IF(IFERROR(MATCH(191,'List B'!$R$5:$R$204,0)+4,"")="","",INDEX('List B'!$B$5:$B$204,IFERROR(MATCH(191,'List B'!$R$5:$R$204,0)+4,"")-4))</f>
        <v/>
      </c>
      <c r="C195" s="52">
        <f>IF(IFERROR(MATCH(191,'List B'!$R$5:$R$204,0)+4,"")="","",INDEX('List B'!$C$5:$C$204,IFERROR(MATCH(191,'List B'!$R$5:$R$204,0)+4,"")-4))</f>
        <v/>
      </c>
      <c r="D195" s="53">
        <f>IF(IFERROR(MATCH(191,'List B'!$R$5:$R$204,0)+4,"")="","",INDEX('List B'!$D$5:$D$204,IFERROR(MATCH(191,'List B'!$R$5:$R$204,0)+4,"")-4))</f>
        <v/>
      </c>
      <c r="E195" s="53">
        <f>IF(IFERROR(MATCH(191,'List B'!$R$5:$R$204,0)+4,"")="","",INDEX('List B'!$E$5:$E$204,IFERROR(MATCH(191,'List B'!$R$5:$R$204,0)+4,"")-4))</f>
        <v/>
      </c>
      <c r="F195" s="53">
        <f>IF(IFERROR(MATCH(191,'List B'!$R$5:$R$204,0)+4,"")="","",INDEX('List B'!$F$5:$F$204,IFERROR(MATCH(191,'List B'!$R$5:$R$204,0)+4,"")-4))</f>
        <v/>
      </c>
      <c r="G195" s="50">
        <f>IF(IFERROR(MATCH(191,'List B'!$R$5:$R$204,0)+4,"")="","",INDEX('List B'!$G$5:$G$204,IFERROR(MATCH(191,'List B'!$R$5:$R$204,0)+4,"")-4))</f>
        <v/>
      </c>
      <c r="H195" s="53">
        <f>IF(IFERROR(MATCH(191,'List B'!$R$5:$R$204,0)+4,"")="","",INDEX('List B'!$H$5:$H$204,IFERROR(MATCH(191,'List B'!$R$5:$R$204,0)+4,"")-4))</f>
        <v/>
      </c>
      <c r="I195" s="61" t="n"/>
      <c r="J195" s="61" t="n"/>
    </row>
    <row r="196" ht="17" customHeight="1">
      <c r="A196" s="87">
        <f>IF(IFERROR(MATCH(192,'List B'!$R$5:$R$204,0)+4,"")="","",INDEX('List B'!$A$5:$A$204,IFERROR(MATCH(192,'List B'!$R$5:$R$204,0)+4,"")-4))</f>
        <v/>
      </c>
      <c r="B196" s="53">
        <f>IF(IFERROR(MATCH(192,'List B'!$R$5:$R$204,0)+4,"")="","",INDEX('List B'!$B$5:$B$204,IFERROR(MATCH(192,'List B'!$R$5:$R$204,0)+4,"")-4))</f>
        <v/>
      </c>
      <c r="C196" s="52">
        <f>IF(IFERROR(MATCH(192,'List B'!$R$5:$R$204,0)+4,"")="","",INDEX('List B'!$C$5:$C$204,IFERROR(MATCH(192,'List B'!$R$5:$R$204,0)+4,"")-4))</f>
        <v/>
      </c>
      <c r="D196" s="53">
        <f>IF(IFERROR(MATCH(192,'List B'!$R$5:$R$204,0)+4,"")="","",INDEX('List B'!$D$5:$D$204,IFERROR(MATCH(192,'List B'!$R$5:$R$204,0)+4,"")-4))</f>
        <v/>
      </c>
      <c r="E196" s="53">
        <f>IF(IFERROR(MATCH(192,'List B'!$R$5:$R$204,0)+4,"")="","",INDEX('List B'!$E$5:$E$204,IFERROR(MATCH(192,'List B'!$R$5:$R$204,0)+4,"")-4))</f>
        <v/>
      </c>
      <c r="F196" s="53">
        <f>IF(IFERROR(MATCH(192,'List B'!$R$5:$R$204,0)+4,"")="","",INDEX('List B'!$F$5:$F$204,IFERROR(MATCH(192,'List B'!$R$5:$R$204,0)+4,"")-4))</f>
        <v/>
      </c>
      <c r="G196" s="50">
        <f>IF(IFERROR(MATCH(192,'List B'!$R$5:$R$204,0)+4,"")="","",INDEX('List B'!$G$5:$G$204,IFERROR(MATCH(192,'List B'!$R$5:$R$204,0)+4,"")-4))</f>
        <v/>
      </c>
      <c r="H196" s="53">
        <f>IF(IFERROR(MATCH(192,'List B'!$R$5:$R$204,0)+4,"")="","",INDEX('List B'!$H$5:$H$204,IFERROR(MATCH(192,'List B'!$R$5:$R$204,0)+4,"")-4))</f>
        <v/>
      </c>
      <c r="I196" s="61" t="n"/>
      <c r="J196" s="61" t="n"/>
    </row>
    <row r="197" ht="17" customHeight="1">
      <c r="A197" s="87">
        <f>IF(IFERROR(MATCH(193,'List B'!$R$5:$R$204,0)+4,"")="","",INDEX('List B'!$A$5:$A$204,IFERROR(MATCH(193,'List B'!$R$5:$R$204,0)+4,"")-4))</f>
        <v/>
      </c>
      <c r="B197" s="53">
        <f>IF(IFERROR(MATCH(193,'List B'!$R$5:$R$204,0)+4,"")="","",INDEX('List B'!$B$5:$B$204,IFERROR(MATCH(193,'List B'!$R$5:$R$204,0)+4,"")-4))</f>
        <v/>
      </c>
      <c r="C197" s="52">
        <f>IF(IFERROR(MATCH(193,'List B'!$R$5:$R$204,0)+4,"")="","",INDEX('List B'!$C$5:$C$204,IFERROR(MATCH(193,'List B'!$R$5:$R$204,0)+4,"")-4))</f>
        <v/>
      </c>
      <c r="D197" s="53">
        <f>IF(IFERROR(MATCH(193,'List B'!$R$5:$R$204,0)+4,"")="","",INDEX('List B'!$D$5:$D$204,IFERROR(MATCH(193,'List B'!$R$5:$R$204,0)+4,"")-4))</f>
        <v/>
      </c>
      <c r="E197" s="53">
        <f>IF(IFERROR(MATCH(193,'List B'!$R$5:$R$204,0)+4,"")="","",INDEX('List B'!$E$5:$E$204,IFERROR(MATCH(193,'List B'!$R$5:$R$204,0)+4,"")-4))</f>
        <v/>
      </c>
      <c r="F197" s="53">
        <f>IF(IFERROR(MATCH(193,'List B'!$R$5:$R$204,0)+4,"")="","",INDEX('List B'!$F$5:$F$204,IFERROR(MATCH(193,'List B'!$R$5:$R$204,0)+4,"")-4))</f>
        <v/>
      </c>
      <c r="G197" s="50">
        <f>IF(IFERROR(MATCH(193,'List B'!$R$5:$R$204,0)+4,"")="","",INDEX('List B'!$G$5:$G$204,IFERROR(MATCH(193,'List B'!$R$5:$R$204,0)+4,"")-4))</f>
        <v/>
      </c>
      <c r="H197" s="53">
        <f>IF(IFERROR(MATCH(193,'List B'!$R$5:$R$204,0)+4,"")="","",INDEX('List B'!$H$5:$H$204,IFERROR(MATCH(193,'List B'!$R$5:$R$204,0)+4,"")-4))</f>
        <v/>
      </c>
      <c r="I197" s="61" t="n"/>
      <c r="J197" s="61" t="n"/>
    </row>
    <row r="198" ht="17" customHeight="1">
      <c r="A198" s="87">
        <f>IF(IFERROR(MATCH(194,'List B'!$R$5:$R$204,0)+4,"")="","",INDEX('List B'!$A$5:$A$204,IFERROR(MATCH(194,'List B'!$R$5:$R$204,0)+4,"")-4))</f>
        <v/>
      </c>
      <c r="B198" s="53">
        <f>IF(IFERROR(MATCH(194,'List B'!$R$5:$R$204,0)+4,"")="","",INDEX('List B'!$B$5:$B$204,IFERROR(MATCH(194,'List B'!$R$5:$R$204,0)+4,"")-4))</f>
        <v/>
      </c>
      <c r="C198" s="52">
        <f>IF(IFERROR(MATCH(194,'List B'!$R$5:$R$204,0)+4,"")="","",INDEX('List B'!$C$5:$C$204,IFERROR(MATCH(194,'List B'!$R$5:$R$204,0)+4,"")-4))</f>
        <v/>
      </c>
      <c r="D198" s="53">
        <f>IF(IFERROR(MATCH(194,'List B'!$R$5:$R$204,0)+4,"")="","",INDEX('List B'!$D$5:$D$204,IFERROR(MATCH(194,'List B'!$R$5:$R$204,0)+4,"")-4))</f>
        <v/>
      </c>
      <c r="E198" s="53">
        <f>IF(IFERROR(MATCH(194,'List B'!$R$5:$R$204,0)+4,"")="","",INDEX('List B'!$E$5:$E$204,IFERROR(MATCH(194,'List B'!$R$5:$R$204,0)+4,"")-4))</f>
        <v/>
      </c>
      <c r="F198" s="53">
        <f>IF(IFERROR(MATCH(194,'List B'!$R$5:$R$204,0)+4,"")="","",INDEX('List B'!$F$5:$F$204,IFERROR(MATCH(194,'List B'!$R$5:$R$204,0)+4,"")-4))</f>
        <v/>
      </c>
      <c r="G198" s="50">
        <f>IF(IFERROR(MATCH(194,'List B'!$R$5:$R$204,0)+4,"")="","",INDEX('List B'!$G$5:$G$204,IFERROR(MATCH(194,'List B'!$R$5:$R$204,0)+4,"")-4))</f>
        <v/>
      </c>
      <c r="H198" s="53">
        <f>IF(IFERROR(MATCH(194,'List B'!$R$5:$R$204,0)+4,"")="","",INDEX('List B'!$H$5:$H$204,IFERROR(MATCH(194,'List B'!$R$5:$R$204,0)+4,"")-4))</f>
        <v/>
      </c>
      <c r="I198" s="61" t="n"/>
      <c r="J198" s="61" t="n"/>
    </row>
    <row r="199" ht="17" customHeight="1">
      <c r="A199" s="87">
        <f>IF(IFERROR(MATCH(195,'List B'!$R$5:$R$204,0)+4,"")="","",INDEX('List B'!$A$5:$A$204,IFERROR(MATCH(195,'List B'!$R$5:$R$204,0)+4,"")-4))</f>
        <v/>
      </c>
      <c r="B199" s="53">
        <f>IF(IFERROR(MATCH(195,'List B'!$R$5:$R$204,0)+4,"")="","",INDEX('List B'!$B$5:$B$204,IFERROR(MATCH(195,'List B'!$R$5:$R$204,0)+4,"")-4))</f>
        <v/>
      </c>
      <c r="C199" s="52">
        <f>IF(IFERROR(MATCH(195,'List B'!$R$5:$R$204,0)+4,"")="","",INDEX('List B'!$C$5:$C$204,IFERROR(MATCH(195,'List B'!$R$5:$R$204,0)+4,"")-4))</f>
        <v/>
      </c>
      <c r="D199" s="53">
        <f>IF(IFERROR(MATCH(195,'List B'!$R$5:$R$204,0)+4,"")="","",INDEX('List B'!$D$5:$D$204,IFERROR(MATCH(195,'List B'!$R$5:$R$204,0)+4,"")-4))</f>
        <v/>
      </c>
      <c r="E199" s="53">
        <f>IF(IFERROR(MATCH(195,'List B'!$R$5:$R$204,0)+4,"")="","",INDEX('List B'!$E$5:$E$204,IFERROR(MATCH(195,'List B'!$R$5:$R$204,0)+4,"")-4))</f>
        <v/>
      </c>
      <c r="F199" s="53">
        <f>IF(IFERROR(MATCH(195,'List B'!$R$5:$R$204,0)+4,"")="","",INDEX('List B'!$F$5:$F$204,IFERROR(MATCH(195,'List B'!$R$5:$R$204,0)+4,"")-4))</f>
        <v/>
      </c>
      <c r="G199" s="50">
        <f>IF(IFERROR(MATCH(195,'List B'!$R$5:$R$204,0)+4,"")="","",INDEX('List B'!$G$5:$G$204,IFERROR(MATCH(195,'List B'!$R$5:$R$204,0)+4,"")-4))</f>
        <v/>
      </c>
      <c r="H199" s="53">
        <f>IF(IFERROR(MATCH(195,'List B'!$R$5:$R$204,0)+4,"")="","",INDEX('List B'!$H$5:$H$204,IFERROR(MATCH(195,'List B'!$R$5:$R$204,0)+4,"")-4))</f>
        <v/>
      </c>
      <c r="I199" s="61" t="n"/>
      <c r="J199" s="61" t="n"/>
    </row>
    <row r="200" ht="17" customHeight="1">
      <c r="A200" s="87">
        <f>IF(IFERROR(MATCH(196,'List B'!$R$5:$R$204,0)+4,"")="","",INDEX('List B'!$A$5:$A$204,IFERROR(MATCH(196,'List B'!$R$5:$R$204,0)+4,"")-4))</f>
        <v/>
      </c>
      <c r="B200" s="53">
        <f>IF(IFERROR(MATCH(196,'List B'!$R$5:$R$204,0)+4,"")="","",INDEX('List B'!$B$5:$B$204,IFERROR(MATCH(196,'List B'!$R$5:$R$204,0)+4,"")-4))</f>
        <v/>
      </c>
      <c r="C200" s="52">
        <f>IF(IFERROR(MATCH(196,'List B'!$R$5:$R$204,0)+4,"")="","",INDEX('List B'!$C$5:$C$204,IFERROR(MATCH(196,'List B'!$R$5:$R$204,0)+4,"")-4))</f>
        <v/>
      </c>
      <c r="D200" s="53">
        <f>IF(IFERROR(MATCH(196,'List B'!$R$5:$R$204,0)+4,"")="","",INDEX('List B'!$D$5:$D$204,IFERROR(MATCH(196,'List B'!$R$5:$R$204,0)+4,"")-4))</f>
        <v/>
      </c>
      <c r="E200" s="53">
        <f>IF(IFERROR(MATCH(196,'List B'!$R$5:$R$204,0)+4,"")="","",INDEX('List B'!$E$5:$E$204,IFERROR(MATCH(196,'List B'!$R$5:$R$204,0)+4,"")-4))</f>
        <v/>
      </c>
      <c r="F200" s="53">
        <f>IF(IFERROR(MATCH(196,'List B'!$R$5:$R$204,0)+4,"")="","",INDEX('List B'!$F$5:$F$204,IFERROR(MATCH(196,'List B'!$R$5:$R$204,0)+4,"")-4))</f>
        <v/>
      </c>
      <c r="G200" s="50">
        <f>IF(IFERROR(MATCH(196,'List B'!$R$5:$R$204,0)+4,"")="","",INDEX('List B'!$G$5:$G$204,IFERROR(MATCH(196,'List B'!$R$5:$R$204,0)+4,"")-4))</f>
        <v/>
      </c>
      <c r="H200" s="53">
        <f>IF(IFERROR(MATCH(196,'List B'!$R$5:$R$204,0)+4,"")="","",INDEX('List B'!$H$5:$H$204,IFERROR(MATCH(196,'List B'!$R$5:$R$204,0)+4,"")-4))</f>
        <v/>
      </c>
      <c r="I200" s="61" t="n"/>
      <c r="J200" s="61" t="n"/>
    </row>
    <row r="201" ht="17" customHeight="1">
      <c r="A201" s="87">
        <f>IF(IFERROR(MATCH(197,'List B'!$R$5:$R$204,0)+4,"")="","",INDEX('List B'!$A$5:$A$204,IFERROR(MATCH(197,'List B'!$R$5:$R$204,0)+4,"")-4))</f>
        <v/>
      </c>
      <c r="B201" s="53">
        <f>IF(IFERROR(MATCH(197,'List B'!$R$5:$R$204,0)+4,"")="","",INDEX('List B'!$B$5:$B$204,IFERROR(MATCH(197,'List B'!$R$5:$R$204,0)+4,"")-4))</f>
        <v/>
      </c>
      <c r="C201" s="52">
        <f>IF(IFERROR(MATCH(197,'List B'!$R$5:$R$204,0)+4,"")="","",INDEX('List B'!$C$5:$C$204,IFERROR(MATCH(197,'List B'!$R$5:$R$204,0)+4,"")-4))</f>
        <v/>
      </c>
      <c r="D201" s="53">
        <f>IF(IFERROR(MATCH(197,'List B'!$R$5:$R$204,0)+4,"")="","",INDEX('List B'!$D$5:$D$204,IFERROR(MATCH(197,'List B'!$R$5:$R$204,0)+4,"")-4))</f>
        <v/>
      </c>
      <c r="E201" s="53">
        <f>IF(IFERROR(MATCH(197,'List B'!$R$5:$R$204,0)+4,"")="","",INDEX('List B'!$E$5:$E$204,IFERROR(MATCH(197,'List B'!$R$5:$R$204,0)+4,"")-4))</f>
        <v/>
      </c>
      <c r="F201" s="53">
        <f>IF(IFERROR(MATCH(197,'List B'!$R$5:$R$204,0)+4,"")="","",INDEX('List B'!$F$5:$F$204,IFERROR(MATCH(197,'List B'!$R$5:$R$204,0)+4,"")-4))</f>
        <v/>
      </c>
      <c r="G201" s="50">
        <f>IF(IFERROR(MATCH(197,'List B'!$R$5:$R$204,0)+4,"")="","",INDEX('List B'!$G$5:$G$204,IFERROR(MATCH(197,'List B'!$R$5:$R$204,0)+4,"")-4))</f>
        <v/>
      </c>
      <c r="H201" s="53">
        <f>IF(IFERROR(MATCH(197,'List B'!$R$5:$R$204,0)+4,"")="","",INDEX('List B'!$H$5:$H$204,IFERROR(MATCH(197,'List B'!$R$5:$R$204,0)+4,"")-4))</f>
        <v/>
      </c>
      <c r="I201" s="61" t="n"/>
      <c r="J201" s="61" t="n"/>
    </row>
    <row r="202" ht="17" customHeight="1">
      <c r="A202" s="87">
        <f>IF(IFERROR(MATCH(198,'List B'!$R$5:$R$204,0)+4,"")="","",INDEX('List B'!$A$5:$A$204,IFERROR(MATCH(198,'List B'!$R$5:$R$204,0)+4,"")-4))</f>
        <v/>
      </c>
      <c r="B202" s="53">
        <f>IF(IFERROR(MATCH(198,'List B'!$R$5:$R$204,0)+4,"")="","",INDEX('List B'!$B$5:$B$204,IFERROR(MATCH(198,'List B'!$R$5:$R$204,0)+4,"")-4))</f>
        <v/>
      </c>
      <c r="C202" s="52">
        <f>IF(IFERROR(MATCH(198,'List B'!$R$5:$R$204,0)+4,"")="","",INDEX('List B'!$C$5:$C$204,IFERROR(MATCH(198,'List B'!$R$5:$R$204,0)+4,"")-4))</f>
        <v/>
      </c>
      <c r="D202" s="53">
        <f>IF(IFERROR(MATCH(198,'List B'!$R$5:$R$204,0)+4,"")="","",INDEX('List B'!$D$5:$D$204,IFERROR(MATCH(198,'List B'!$R$5:$R$204,0)+4,"")-4))</f>
        <v/>
      </c>
      <c r="E202" s="53">
        <f>IF(IFERROR(MATCH(198,'List B'!$R$5:$R$204,0)+4,"")="","",INDEX('List B'!$E$5:$E$204,IFERROR(MATCH(198,'List B'!$R$5:$R$204,0)+4,"")-4))</f>
        <v/>
      </c>
      <c r="F202" s="53">
        <f>IF(IFERROR(MATCH(198,'List B'!$R$5:$R$204,0)+4,"")="","",INDEX('List B'!$F$5:$F$204,IFERROR(MATCH(198,'List B'!$R$5:$R$204,0)+4,"")-4))</f>
        <v/>
      </c>
      <c r="G202" s="50">
        <f>IF(IFERROR(MATCH(198,'List B'!$R$5:$R$204,0)+4,"")="","",INDEX('List B'!$G$5:$G$204,IFERROR(MATCH(198,'List B'!$R$5:$R$204,0)+4,"")-4))</f>
        <v/>
      </c>
      <c r="H202" s="53">
        <f>IF(IFERROR(MATCH(198,'List B'!$R$5:$R$204,0)+4,"")="","",INDEX('List B'!$H$5:$H$204,IFERROR(MATCH(198,'List B'!$R$5:$R$204,0)+4,"")-4))</f>
        <v/>
      </c>
      <c r="I202" s="61" t="n"/>
      <c r="J202" s="61" t="n"/>
    </row>
    <row r="203" ht="17" customHeight="1">
      <c r="A203" s="87">
        <f>IF(IFERROR(MATCH(199,'List B'!$R$5:$R$204,0)+4,"")="","",INDEX('List B'!$A$5:$A$204,IFERROR(MATCH(199,'List B'!$R$5:$R$204,0)+4,"")-4))</f>
        <v/>
      </c>
      <c r="B203" s="53">
        <f>IF(IFERROR(MATCH(199,'List B'!$R$5:$R$204,0)+4,"")="","",INDEX('List B'!$B$5:$B$204,IFERROR(MATCH(199,'List B'!$R$5:$R$204,0)+4,"")-4))</f>
        <v/>
      </c>
      <c r="C203" s="52">
        <f>IF(IFERROR(MATCH(199,'List B'!$R$5:$R$204,0)+4,"")="","",INDEX('List B'!$C$5:$C$204,IFERROR(MATCH(199,'List B'!$R$5:$R$204,0)+4,"")-4))</f>
        <v/>
      </c>
      <c r="D203" s="53">
        <f>IF(IFERROR(MATCH(199,'List B'!$R$5:$R$204,0)+4,"")="","",INDEX('List B'!$D$5:$D$204,IFERROR(MATCH(199,'List B'!$R$5:$R$204,0)+4,"")-4))</f>
        <v/>
      </c>
      <c r="E203" s="53">
        <f>IF(IFERROR(MATCH(199,'List B'!$R$5:$R$204,0)+4,"")="","",INDEX('List B'!$E$5:$E$204,IFERROR(MATCH(199,'List B'!$R$5:$R$204,0)+4,"")-4))</f>
        <v/>
      </c>
      <c r="F203" s="53">
        <f>IF(IFERROR(MATCH(199,'List B'!$R$5:$R$204,0)+4,"")="","",INDEX('List B'!$F$5:$F$204,IFERROR(MATCH(199,'List B'!$R$5:$R$204,0)+4,"")-4))</f>
        <v/>
      </c>
      <c r="G203" s="50">
        <f>IF(IFERROR(MATCH(199,'List B'!$R$5:$R$204,0)+4,"")="","",INDEX('List B'!$G$5:$G$204,IFERROR(MATCH(199,'List B'!$R$5:$R$204,0)+4,"")-4))</f>
        <v/>
      </c>
      <c r="H203" s="53">
        <f>IF(IFERROR(MATCH(199,'List B'!$R$5:$R$204,0)+4,"")="","",INDEX('List B'!$H$5:$H$204,IFERROR(MATCH(199,'List B'!$R$5:$R$204,0)+4,"")-4))</f>
        <v/>
      </c>
      <c r="I203" s="61" t="n"/>
      <c r="J203" s="61" t="n"/>
    </row>
    <row r="204" ht="17" customHeight="1">
      <c r="A204" s="87">
        <f>IF(IFERROR(MATCH(200,'List B'!$R$5:$R$204,0)+4,"")="","",INDEX('List B'!$A$5:$A$204,IFERROR(MATCH(200,'List B'!$R$5:$R$204,0)+4,"")-4))</f>
        <v/>
      </c>
      <c r="B204" s="53">
        <f>IF(IFERROR(MATCH(200,'List B'!$R$5:$R$204,0)+4,"")="","",INDEX('List B'!$B$5:$B$204,IFERROR(MATCH(200,'List B'!$R$5:$R$204,0)+4,"")-4))</f>
        <v/>
      </c>
      <c r="C204" s="52">
        <f>IF(IFERROR(MATCH(200,'List B'!$R$5:$R$204,0)+4,"")="","",INDEX('List B'!$C$5:$C$204,IFERROR(MATCH(200,'List B'!$R$5:$R$204,0)+4,"")-4))</f>
        <v/>
      </c>
      <c r="D204" s="53">
        <f>IF(IFERROR(MATCH(200,'List B'!$R$5:$R$204,0)+4,"")="","",INDEX('List B'!$D$5:$D$204,IFERROR(MATCH(200,'List B'!$R$5:$R$204,0)+4,"")-4))</f>
        <v/>
      </c>
      <c r="E204" s="53">
        <f>IF(IFERROR(MATCH(200,'List B'!$R$5:$R$204,0)+4,"")="","",INDEX('List B'!$E$5:$E$204,IFERROR(MATCH(200,'List B'!$R$5:$R$204,0)+4,"")-4))</f>
        <v/>
      </c>
      <c r="F204" s="53">
        <f>IF(IFERROR(MATCH(200,'List B'!$R$5:$R$204,0)+4,"")="","",INDEX('List B'!$F$5:$F$204,IFERROR(MATCH(200,'List B'!$R$5:$R$204,0)+4,"")-4))</f>
        <v/>
      </c>
      <c r="G204" s="50">
        <f>IF(IFERROR(MATCH(200,'List B'!$R$5:$R$204,0)+4,"")="","",INDEX('List B'!$G$5:$G$204,IFERROR(MATCH(200,'List B'!$R$5:$R$204,0)+4,"")-4))</f>
        <v/>
      </c>
      <c r="H204" s="53">
        <f>IF(IFERROR(MATCH(200,'List B'!$R$5:$R$204,0)+4,"")="","",INDEX('List B'!$H$5:$H$204,IFERROR(MATCH(200,'List B'!$R$5:$R$204,0)+4,"")-4))</f>
        <v/>
      </c>
      <c r="I204" s="61" t="n"/>
      <c r="J204" s="61" t="n"/>
    </row>
  </sheetData>
  <mergeCells count="3">
    <mergeCell ref="A1:J1"/>
    <mergeCell ref="A3:J3"/>
    <mergeCell ref="A2:J2"/>
  </mergeCells>
  <conditionalFormatting sqref="A5:J204">
    <cfRule type="expression" priority="1" dxfId="6">
      <formula>$A5&lt;&gt;""</formula>
    </cfRule>
  </conditionalFormatting>
  <printOptions horizontalCentered="1"/>
  <pageMargins left="0.5" right="0.5" top="0.55" bottom="0.55" header="0.3" footer="0.3"/>
  <pageSetup orientation="landscape" paperSize="1" fitToHeight="0" fitToWidth="1"/>
  <headerFooter>
    <oddHeader>&amp;LUnmatched B</oddHeader>
    <oddFooter>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J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4" customWidth="1" min="4" max="4"/>
    <col width="13" customWidth="1" min="5" max="5"/>
    <col width="28" customWidth="1" min="6" max="6"/>
    <col width="13" customWidth="1" min="7" max="7"/>
    <col width="14" customWidth="1" min="8" max="8"/>
    <col width="12" customWidth="1" min="9" max="9"/>
    <col width="16" customWidth="1" min="10" max="10"/>
  </cols>
  <sheetData>
    <row r="1" ht="30" customHeight="1">
      <c r="A1" s="1" t="inlineStr">
        <is>
          <t>Differences</t>
        </is>
      </c>
    </row>
    <row r="2">
      <c r="A2" s="59" t="inlineStr">
        <is>
          <t>This sheet is calculated. Do not type here. It updates when List A / List B change.</t>
        </is>
      </c>
    </row>
    <row r="3">
      <c r="A3" s="43">
        <f>COUNTIF('List A'!$L$5:$L$204,"Difference")&amp;" row(s)   ·   Change Match method on the Dashboard if the wrong items appear here."</f>
        <v/>
      </c>
    </row>
    <row r="4" ht="28" customHeight="1">
      <c r="A4" s="44" t="inlineStr">
        <is>
          <t>List A date</t>
        </is>
      </c>
      <c r="B4" s="44" t="inlineStr">
        <is>
          <t>List A description</t>
        </is>
      </c>
      <c r="C4" s="44" t="inlineStr">
        <is>
          <t>List A amount</t>
        </is>
      </c>
      <c r="D4" s="44" t="inlineStr">
        <is>
          <t>List A ID</t>
        </is>
      </c>
      <c r="E4" s="44" t="inlineStr">
        <is>
          <t>List B date</t>
        </is>
      </c>
      <c r="F4" s="44" t="inlineStr">
        <is>
          <t>List B description</t>
        </is>
      </c>
      <c r="G4" s="44" t="inlineStr">
        <is>
          <t>List B amount</t>
        </is>
      </c>
      <c r="H4" s="44" t="inlineStr">
        <is>
          <t>List B ID</t>
        </is>
      </c>
      <c r="I4" s="44" t="inlineStr">
        <is>
          <t>Difference</t>
        </is>
      </c>
      <c r="J4" s="44" t="inlineStr">
        <is>
          <t>How matched</t>
        </is>
      </c>
    </row>
    <row r="5" ht="17" customHeight="1">
      <c r="A5" s="87">
        <f>IF(IFERROR(MATCH(1,'List A'!$S$5:$S$204,0)+4,"")="","",INDEX('List A'!$A$5:$A$204,IFERROR(MATCH(1,'List A'!$S$5:$S$204,0)+4,"")-4))</f>
        <v/>
      </c>
      <c r="B5" s="53">
        <f>IF(IFERROR(MATCH(1,'List A'!$S$5:$S$204,0)+4,"")="","",INDEX('List A'!$B$5:$B$204,IFERROR(MATCH(1,'List A'!$S$5:$S$204,0)+4,"")-4))</f>
        <v/>
      </c>
      <c r="C5" s="52">
        <f>IF(IFERROR(MATCH(1,'List A'!$S$5:$S$204,0)+4,"")="","",INDEX('List A'!$C$5:$C$204,IFERROR(MATCH(1,'List A'!$S$5:$S$204,0)+4,"")-4))</f>
        <v/>
      </c>
      <c r="D5" s="53">
        <f>IF(IFERROR(MATCH(1,'List A'!$S$5:$S$204,0)+4,"")="","",INDEX('List A'!$D$5:$D$204,IFERROR(MATCH(1,'List A'!$S$5:$S$204,0)+4,"")-4))</f>
        <v/>
      </c>
      <c r="E5" s="87">
        <f>IF(OR(IFERROR(MATCH(1,'List A'!$S$5:$S$204,0)+4,"")="",IF(IFERROR(MATCH(1,'List A'!$S$5:$S$204,0)+4,"")="","",INDEX('List A'!$K$5:$K$204,IFERROR(MATCH(1,'List A'!$S$5:$S$204,0)+4,"")-4))=""),"",INDEX('List B'!$A$5:$A$204,IF(IFERROR(MATCH(1,'List A'!$S$5:$S$204,0)+4,"")="","",INDEX('List A'!$K$5:$K$204,IFERROR(MATCH(1,'List A'!$S$5:$S$204,0)+4,"")-4))-4))</f>
        <v/>
      </c>
      <c r="F5" s="53">
        <f>IF(OR(IFERROR(MATCH(1,'List A'!$S$5:$S$204,0)+4,"")="",IF(IFERROR(MATCH(1,'List A'!$S$5:$S$204,0)+4,"")="","",INDEX('List A'!$K$5:$K$204,IFERROR(MATCH(1,'List A'!$S$5:$S$204,0)+4,"")-4))=""),"",INDEX('List B'!$B$5:$B$204,IF(IFERROR(MATCH(1,'List A'!$S$5:$S$204,0)+4,"")="","",INDEX('List A'!$K$5:$K$204,IFERROR(MATCH(1,'List A'!$S$5:$S$204,0)+4,"")-4))-4))</f>
        <v/>
      </c>
      <c r="G5" s="52">
        <f>IF(OR(IFERROR(MATCH(1,'List A'!$S$5:$S$204,0)+4,"")="",IF(IFERROR(MATCH(1,'List A'!$S$5:$S$204,0)+4,"")="","",INDEX('List A'!$K$5:$K$204,IFERROR(MATCH(1,'List A'!$S$5:$S$204,0)+4,"")-4))=""),"",INDEX('List B'!$C$5:$C$204,IF(IFERROR(MATCH(1,'List A'!$S$5:$S$204,0)+4,"")="","",INDEX('List A'!$K$5:$K$204,IFERROR(MATCH(1,'List A'!$S$5:$S$204,0)+4,"")-4))-4))</f>
        <v/>
      </c>
      <c r="H5" s="53">
        <f>IF(OR(IFERROR(MATCH(1,'List A'!$S$5:$S$204,0)+4,"")="",IF(IFERROR(MATCH(1,'List A'!$S$5:$S$204,0)+4,"")="","",INDEX('List A'!$K$5:$K$204,IFERROR(MATCH(1,'List A'!$S$5:$S$204,0)+4,"")-4))=""),"",INDEX('List B'!$D$5:$D$204,IF(IFERROR(MATCH(1,'List A'!$S$5:$S$204,0)+4,"")="","",INDEX('List A'!$K$5:$K$204,IFERROR(MATCH(1,'List A'!$S$5:$S$204,0)+4,"")-4))-4))</f>
        <v/>
      </c>
      <c r="I5" s="52">
        <f>IF(IFERROR(MATCH(1,'List A'!$S$5:$S$204,0)+4,"")="","",INDEX('List A'!$N$5:$N$204,IFERROR(MATCH(1,'List A'!$S$5:$S$204,0)+4,"")-4))</f>
        <v/>
      </c>
      <c r="J5" s="53">
        <f>IF(IFERROR(MATCH(1,'List A'!$S$5:$S$204,0)+4,"")="","",INDEX('List A'!$O$5:$O$204,IFERROR(MATCH(1,'List A'!$S$5:$S$204,0)+4,"")-4))</f>
        <v/>
      </c>
    </row>
    <row r="6" ht="17" customHeight="1">
      <c r="A6" s="87">
        <f>IF(IFERROR(MATCH(2,'List A'!$S$5:$S$204,0)+4,"")="","",INDEX('List A'!$A$5:$A$204,IFERROR(MATCH(2,'List A'!$S$5:$S$204,0)+4,"")-4))</f>
        <v/>
      </c>
      <c r="B6" s="53">
        <f>IF(IFERROR(MATCH(2,'List A'!$S$5:$S$204,0)+4,"")="","",INDEX('List A'!$B$5:$B$204,IFERROR(MATCH(2,'List A'!$S$5:$S$204,0)+4,"")-4))</f>
        <v/>
      </c>
      <c r="C6" s="52">
        <f>IF(IFERROR(MATCH(2,'List A'!$S$5:$S$204,0)+4,"")="","",INDEX('List A'!$C$5:$C$204,IFERROR(MATCH(2,'List A'!$S$5:$S$204,0)+4,"")-4))</f>
        <v/>
      </c>
      <c r="D6" s="53">
        <f>IF(IFERROR(MATCH(2,'List A'!$S$5:$S$204,0)+4,"")="","",INDEX('List A'!$D$5:$D$204,IFERROR(MATCH(2,'List A'!$S$5:$S$204,0)+4,"")-4))</f>
        <v/>
      </c>
      <c r="E6" s="87">
        <f>IF(OR(IFERROR(MATCH(2,'List A'!$S$5:$S$204,0)+4,"")="",IF(IFERROR(MATCH(2,'List A'!$S$5:$S$204,0)+4,"")="","",INDEX('List A'!$K$5:$K$204,IFERROR(MATCH(2,'List A'!$S$5:$S$204,0)+4,"")-4))=""),"",INDEX('List B'!$A$5:$A$204,IF(IFERROR(MATCH(2,'List A'!$S$5:$S$204,0)+4,"")="","",INDEX('List A'!$K$5:$K$204,IFERROR(MATCH(2,'List A'!$S$5:$S$204,0)+4,"")-4))-4))</f>
        <v/>
      </c>
      <c r="F6" s="53">
        <f>IF(OR(IFERROR(MATCH(2,'List A'!$S$5:$S$204,0)+4,"")="",IF(IFERROR(MATCH(2,'List A'!$S$5:$S$204,0)+4,"")="","",INDEX('List A'!$K$5:$K$204,IFERROR(MATCH(2,'List A'!$S$5:$S$204,0)+4,"")-4))=""),"",INDEX('List B'!$B$5:$B$204,IF(IFERROR(MATCH(2,'List A'!$S$5:$S$204,0)+4,"")="","",INDEX('List A'!$K$5:$K$204,IFERROR(MATCH(2,'List A'!$S$5:$S$204,0)+4,"")-4))-4))</f>
        <v/>
      </c>
      <c r="G6" s="52">
        <f>IF(OR(IFERROR(MATCH(2,'List A'!$S$5:$S$204,0)+4,"")="",IF(IFERROR(MATCH(2,'List A'!$S$5:$S$204,0)+4,"")="","",INDEX('List A'!$K$5:$K$204,IFERROR(MATCH(2,'List A'!$S$5:$S$204,0)+4,"")-4))=""),"",INDEX('List B'!$C$5:$C$204,IF(IFERROR(MATCH(2,'List A'!$S$5:$S$204,0)+4,"")="","",INDEX('List A'!$K$5:$K$204,IFERROR(MATCH(2,'List A'!$S$5:$S$204,0)+4,"")-4))-4))</f>
        <v/>
      </c>
      <c r="H6" s="53">
        <f>IF(OR(IFERROR(MATCH(2,'List A'!$S$5:$S$204,0)+4,"")="",IF(IFERROR(MATCH(2,'List A'!$S$5:$S$204,0)+4,"")="","",INDEX('List A'!$K$5:$K$204,IFERROR(MATCH(2,'List A'!$S$5:$S$204,0)+4,"")-4))=""),"",INDEX('List B'!$D$5:$D$204,IF(IFERROR(MATCH(2,'List A'!$S$5:$S$204,0)+4,"")="","",INDEX('List A'!$K$5:$K$204,IFERROR(MATCH(2,'List A'!$S$5:$S$204,0)+4,"")-4))-4))</f>
        <v/>
      </c>
      <c r="I6" s="52">
        <f>IF(IFERROR(MATCH(2,'List A'!$S$5:$S$204,0)+4,"")="","",INDEX('List A'!$N$5:$N$204,IFERROR(MATCH(2,'List A'!$S$5:$S$204,0)+4,"")-4))</f>
        <v/>
      </c>
      <c r="J6" s="53">
        <f>IF(IFERROR(MATCH(2,'List A'!$S$5:$S$204,0)+4,"")="","",INDEX('List A'!$O$5:$O$204,IFERROR(MATCH(2,'List A'!$S$5:$S$204,0)+4,"")-4))</f>
        <v/>
      </c>
    </row>
    <row r="7" ht="17" customHeight="1">
      <c r="A7" s="87">
        <f>IF(IFERROR(MATCH(3,'List A'!$S$5:$S$204,0)+4,"")="","",INDEX('List A'!$A$5:$A$204,IFERROR(MATCH(3,'List A'!$S$5:$S$204,0)+4,"")-4))</f>
        <v/>
      </c>
      <c r="B7" s="53">
        <f>IF(IFERROR(MATCH(3,'List A'!$S$5:$S$204,0)+4,"")="","",INDEX('List A'!$B$5:$B$204,IFERROR(MATCH(3,'List A'!$S$5:$S$204,0)+4,"")-4))</f>
        <v/>
      </c>
      <c r="C7" s="52">
        <f>IF(IFERROR(MATCH(3,'List A'!$S$5:$S$204,0)+4,"")="","",INDEX('List A'!$C$5:$C$204,IFERROR(MATCH(3,'List A'!$S$5:$S$204,0)+4,"")-4))</f>
        <v/>
      </c>
      <c r="D7" s="53">
        <f>IF(IFERROR(MATCH(3,'List A'!$S$5:$S$204,0)+4,"")="","",INDEX('List A'!$D$5:$D$204,IFERROR(MATCH(3,'List A'!$S$5:$S$204,0)+4,"")-4))</f>
        <v/>
      </c>
      <c r="E7" s="87">
        <f>IF(OR(IFERROR(MATCH(3,'List A'!$S$5:$S$204,0)+4,"")="",IF(IFERROR(MATCH(3,'List A'!$S$5:$S$204,0)+4,"")="","",INDEX('List A'!$K$5:$K$204,IFERROR(MATCH(3,'List A'!$S$5:$S$204,0)+4,"")-4))=""),"",INDEX('List B'!$A$5:$A$204,IF(IFERROR(MATCH(3,'List A'!$S$5:$S$204,0)+4,"")="","",INDEX('List A'!$K$5:$K$204,IFERROR(MATCH(3,'List A'!$S$5:$S$204,0)+4,"")-4))-4))</f>
        <v/>
      </c>
      <c r="F7" s="53">
        <f>IF(OR(IFERROR(MATCH(3,'List A'!$S$5:$S$204,0)+4,"")="",IF(IFERROR(MATCH(3,'List A'!$S$5:$S$204,0)+4,"")="","",INDEX('List A'!$K$5:$K$204,IFERROR(MATCH(3,'List A'!$S$5:$S$204,0)+4,"")-4))=""),"",INDEX('List B'!$B$5:$B$204,IF(IFERROR(MATCH(3,'List A'!$S$5:$S$204,0)+4,"")="","",INDEX('List A'!$K$5:$K$204,IFERROR(MATCH(3,'List A'!$S$5:$S$204,0)+4,"")-4))-4))</f>
        <v/>
      </c>
      <c r="G7" s="52">
        <f>IF(OR(IFERROR(MATCH(3,'List A'!$S$5:$S$204,0)+4,"")="",IF(IFERROR(MATCH(3,'List A'!$S$5:$S$204,0)+4,"")="","",INDEX('List A'!$K$5:$K$204,IFERROR(MATCH(3,'List A'!$S$5:$S$204,0)+4,"")-4))=""),"",INDEX('List B'!$C$5:$C$204,IF(IFERROR(MATCH(3,'List A'!$S$5:$S$204,0)+4,"")="","",INDEX('List A'!$K$5:$K$204,IFERROR(MATCH(3,'List A'!$S$5:$S$204,0)+4,"")-4))-4))</f>
        <v/>
      </c>
      <c r="H7" s="53">
        <f>IF(OR(IFERROR(MATCH(3,'List A'!$S$5:$S$204,0)+4,"")="",IF(IFERROR(MATCH(3,'List A'!$S$5:$S$204,0)+4,"")="","",INDEX('List A'!$K$5:$K$204,IFERROR(MATCH(3,'List A'!$S$5:$S$204,0)+4,"")-4))=""),"",INDEX('List B'!$D$5:$D$204,IF(IFERROR(MATCH(3,'List A'!$S$5:$S$204,0)+4,"")="","",INDEX('List A'!$K$5:$K$204,IFERROR(MATCH(3,'List A'!$S$5:$S$204,0)+4,"")-4))-4))</f>
        <v/>
      </c>
      <c r="I7" s="52">
        <f>IF(IFERROR(MATCH(3,'List A'!$S$5:$S$204,0)+4,"")="","",INDEX('List A'!$N$5:$N$204,IFERROR(MATCH(3,'List A'!$S$5:$S$204,0)+4,"")-4))</f>
        <v/>
      </c>
      <c r="J7" s="53">
        <f>IF(IFERROR(MATCH(3,'List A'!$S$5:$S$204,0)+4,"")="","",INDEX('List A'!$O$5:$O$204,IFERROR(MATCH(3,'List A'!$S$5:$S$204,0)+4,"")-4))</f>
        <v/>
      </c>
    </row>
    <row r="8" ht="17" customHeight="1">
      <c r="A8" s="87">
        <f>IF(IFERROR(MATCH(4,'List A'!$S$5:$S$204,0)+4,"")="","",INDEX('List A'!$A$5:$A$204,IFERROR(MATCH(4,'List A'!$S$5:$S$204,0)+4,"")-4))</f>
        <v/>
      </c>
      <c r="B8" s="53">
        <f>IF(IFERROR(MATCH(4,'List A'!$S$5:$S$204,0)+4,"")="","",INDEX('List A'!$B$5:$B$204,IFERROR(MATCH(4,'List A'!$S$5:$S$204,0)+4,"")-4))</f>
        <v/>
      </c>
      <c r="C8" s="52">
        <f>IF(IFERROR(MATCH(4,'List A'!$S$5:$S$204,0)+4,"")="","",INDEX('List A'!$C$5:$C$204,IFERROR(MATCH(4,'List A'!$S$5:$S$204,0)+4,"")-4))</f>
        <v/>
      </c>
      <c r="D8" s="53">
        <f>IF(IFERROR(MATCH(4,'List A'!$S$5:$S$204,0)+4,"")="","",INDEX('List A'!$D$5:$D$204,IFERROR(MATCH(4,'List A'!$S$5:$S$204,0)+4,"")-4))</f>
        <v/>
      </c>
      <c r="E8" s="87">
        <f>IF(OR(IFERROR(MATCH(4,'List A'!$S$5:$S$204,0)+4,"")="",IF(IFERROR(MATCH(4,'List A'!$S$5:$S$204,0)+4,"")="","",INDEX('List A'!$K$5:$K$204,IFERROR(MATCH(4,'List A'!$S$5:$S$204,0)+4,"")-4))=""),"",INDEX('List B'!$A$5:$A$204,IF(IFERROR(MATCH(4,'List A'!$S$5:$S$204,0)+4,"")="","",INDEX('List A'!$K$5:$K$204,IFERROR(MATCH(4,'List A'!$S$5:$S$204,0)+4,"")-4))-4))</f>
        <v/>
      </c>
      <c r="F8" s="53">
        <f>IF(OR(IFERROR(MATCH(4,'List A'!$S$5:$S$204,0)+4,"")="",IF(IFERROR(MATCH(4,'List A'!$S$5:$S$204,0)+4,"")="","",INDEX('List A'!$K$5:$K$204,IFERROR(MATCH(4,'List A'!$S$5:$S$204,0)+4,"")-4))=""),"",INDEX('List B'!$B$5:$B$204,IF(IFERROR(MATCH(4,'List A'!$S$5:$S$204,0)+4,"")="","",INDEX('List A'!$K$5:$K$204,IFERROR(MATCH(4,'List A'!$S$5:$S$204,0)+4,"")-4))-4))</f>
        <v/>
      </c>
      <c r="G8" s="52">
        <f>IF(OR(IFERROR(MATCH(4,'List A'!$S$5:$S$204,0)+4,"")="",IF(IFERROR(MATCH(4,'List A'!$S$5:$S$204,0)+4,"")="","",INDEX('List A'!$K$5:$K$204,IFERROR(MATCH(4,'List A'!$S$5:$S$204,0)+4,"")-4))=""),"",INDEX('List B'!$C$5:$C$204,IF(IFERROR(MATCH(4,'List A'!$S$5:$S$204,0)+4,"")="","",INDEX('List A'!$K$5:$K$204,IFERROR(MATCH(4,'List A'!$S$5:$S$204,0)+4,"")-4))-4))</f>
        <v/>
      </c>
      <c r="H8" s="53">
        <f>IF(OR(IFERROR(MATCH(4,'List A'!$S$5:$S$204,0)+4,"")="",IF(IFERROR(MATCH(4,'List A'!$S$5:$S$204,0)+4,"")="","",INDEX('List A'!$K$5:$K$204,IFERROR(MATCH(4,'List A'!$S$5:$S$204,0)+4,"")-4))=""),"",INDEX('List B'!$D$5:$D$204,IF(IFERROR(MATCH(4,'List A'!$S$5:$S$204,0)+4,"")="","",INDEX('List A'!$K$5:$K$204,IFERROR(MATCH(4,'List A'!$S$5:$S$204,0)+4,"")-4))-4))</f>
        <v/>
      </c>
      <c r="I8" s="52">
        <f>IF(IFERROR(MATCH(4,'List A'!$S$5:$S$204,0)+4,"")="","",INDEX('List A'!$N$5:$N$204,IFERROR(MATCH(4,'List A'!$S$5:$S$204,0)+4,"")-4))</f>
        <v/>
      </c>
      <c r="J8" s="53">
        <f>IF(IFERROR(MATCH(4,'List A'!$S$5:$S$204,0)+4,"")="","",INDEX('List A'!$O$5:$O$204,IFERROR(MATCH(4,'List A'!$S$5:$S$204,0)+4,"")-4))</f>
        <v/>
      </c>
    </row>
    <row r="9" ht="17" customHeight="1">
      <c r="A9" s="87">
        <f>IF(IFERROR(MATCH(5,'List A'!$S$5:$S$204,0)+4,"")="","",INDEX('List A'!$A$5:$A$204,IFERROR(MATCH(5,'List A'!$S$5:$S$204,0)+4,"")-4))</f>
        <v/>
      </c>
      <c r="B9" s="53">
        <f>IF(IFERROR(MATCH(5,'List A'!$S$5:$S$204,0)+4,"")="","",INDEX('List A'!$B$5:$B$204,IFERROR(MATCH(5,'List A'!$S$5:$S$204,0)+4,"")-4))</f>
        <v/>
      </c>
      <c r="C9" s="52">
        <f>IF(IFERROR(MATCH(5,'List A'!$S$5:$S$204,0)+4,"")="","",INDEX('List A'!$C$5:$C$204,IFERROR(MATCH(5,'List A'!$S$5:$S$204,0)+4,"")-4))</f>
        <v/>
      </c>
      <c r="D9" s="53">
        <f>IF(IFERROR(MATCH(5,'List A'!$S$5:$S$204,0)+4,"")="","",INDEX('List A'!$D$5:$D$204,IFERROR(MATCH(5,'List A'!$S$5:$S$204,0)+4,"")-4))</f>
        <v/>
      </c>
      <c r="E9" s="87">
        <f>IF(OR(IFERROR(MATCH(5,'List A'!$S$5:$S$204,0)+4,"")="",IF(IFERROR(MATCH(5,'List A'!$S$5:$S$204,0)+4,"")="","",INDEX('List A'!$K$5:$K$204,IFERROR(MATCH(5,'List A'!$S$5:$S$204,0)+4,"")-4))=""),"",INDEX('List B'!$A$5:$A$204,IF(IFERROR(MATCH(5,'List A'!$S$5:$S$204,0)+4,"")="","",INDEX('List A'!$K$5:$K$204,IFERROR(MATCH(5,'List A'!$S$5:$S$204,0)+4,"")-4))-4))</f>
        <v/>
      </c>
      <c r="F9" s="53">
        <f>IF(OR(IFERROR(MATCH(5,'List A'!$S$5:$S$204,0)+4,"")="",IF(IFERROR(MATCH(5,'List A'!$S$5:$S$204,0)+4,"")="","",INDEX('List A'!$K$5:$K$204,IFERROR(MATCH(5,'List A'!$S$5:$S$204,0)+4,"")-4))=""),"",INDEX('List B'!$B$5:$B$204,IF(IFERROR(MATCH(5,'List A'!$S$5:$S$204,0)+4,"")="","",INDEX('List A'!$K$5:$K$204,IFERROR(MATCH(5,'List A'!$S$5:$S$204,0)+4,"")-4))-4))</f>
        <v/>
      </c>
      <c r="G9" s="52">
        <f>IF(OR(IFERROR(MATCH(5,'List A'!$S$5:$S$204,0)+4,"")="",IF(IFERROR(MATCH(5,'List A'!$S$5:$S$204,0)+4,"")="","",INDEX('List A'!$K$5:$K$204,IFERROR(MATCH(5,'List A'!$S$5:$S$204,0)+4,"")-4))=""),"",INDEX('List B'!$C$5:$C$204,IF(IFERROR(MATCH(5,'List A'!$S$5:$S$204,0)+4,"")="","",INDEX('List A'!$K$5:$K$204,IFERROR(MATCH(5,'List A'!$S$5:$S$204,0)+4,"")-4))-4))</f>
        <v/>
      </c>
      <c r="H9" s="53">
        <f>IF(OR(IFERROR(MATCH(5,'List A'!$S$5:$S$204,0)+4,"")="",IF(IFERROR(MATCH(5,'List A'!$S$5:$S$204,0)+4,"")="","",INDEX('List A'!$K$5:$K$204,IFERROR(MATCH(5,'List A'!$S$5:$S$204,0)+4,"")-4))=""),"",INDEX('List B'!$D$5:$D$204,IF(IFERROR(MATCH(5,'List A'!$S$5:$S$204,0)+4,"")="","",INDEX('List A'!$K$5:$K$204,IFERROR(MATCH(5,'List A'!$S$5:$S$204,0)+4,"")-4))-4))</f>
        <v/>
      </c>
      <c r="I9" s="52">
        <f>IF(IFERROR(MATCH(5,'List A'!$S$5:$S$204,0)+4,"")="","",INDEX('List A'!$N$5:$N$204,IFERROR(MATCH(5,'List A'!$S$5:$S$204,0)+4,"")-4))</f>
        <v/>
      </c>
      <c r="J9" s="53">
        <f>IF(IFERROR(MATCH(5,'List A'!$S$5:$S$204,0)+4,"")="","",INDEX('List A'!$O$5:$O$204,IFERROR(MATCH(5,'List A'!$S$5:$S$204,0)+4,"")-4))</f>
        <v/>
      </c>
    </row>
    <row r="10" ht="17" customHeight="1">
      <c r="A10" s="87">
        <f>IF(IFERROR(MATCH(6,'List A'!$S$5:$S$204,0)+4,"")="","",INDEX('List A'!$A$5:$A$204,IFERROR(MATCH(6,'List A'!$S$5:$S$204,0)+4,"")-4))</f>
        <v/>
      </c>
      <c r="B10" s="53">
        <f>IF(IFERROR(MATCH(6,'List A'!$S$5:$S$204,0)+4,"")="","",INDEX('List A'!$B$5:$B$204,IFERROR(MATCH(6,'List A'!$S$5:$S$204,0)+4,"")-4))</f>
        <v/>
      </c>
      <c r="C10" s="52">
        <f>IF(IFERROR(MATCH(6,'List A'!$S$5:$S$204,0)+4,"")="","",INDEX('List A'!$C$5:$C$204,IFERROR(MATCH(6,'List A'!$S$5:$S$204,0)+4,"")-4))</f>
        <v/>
      </c>
      <c r="D10" s="53">
        <f>IF(IFERROR(MATCH(6,'List A'!$S$5:$S$204,0)+4,"")="","",INDEX('List A'!$D$5:$D$204,IFERROR(MATCH(6,'List A'!$S$5:$S$204,0)+4,"")-4))</f>
        <v/>
      </c>
      <c r="E10" s="87">
        <f>IF(OR(IFERROR(MATCH(6,'List A'!$S$5:$S$204,0)+4,"")="",IF(IFERROR(MATCH(6,'List A'!$S$5:$S$204,0)+4,"")="","",INDEX('List A'!$K$5:$K$204,IFERROR(MATCH(6,'List A'!$S$5:$S$204,0)+4,"")-4))=""),"",INDEX('List B'!$A$5:$A$204,IF(IFERROR(MATCH(6,'List A'!$S$5:$S$204,0)+4,"")="","",INDEX('List A'!$K$5:$K$204,IFERROR(MATCH(6,'List A'!$S$5:$S$204,0)+4,"")-4))-4))</f>
        <v/>
      </c>
      <c r="F10" s="53">
        <f>IF(OR(IFERROR(MATCH(6,'List A'!$S$5:$S$204,0)+4,"")="",IF(IFERROR(MATCH(6,'List A'!$S$5:$S$204,0)+4,"")="","",INDEX('List A'!$K$5:$K$204,IFERROR(MATCH(6,'List A'!$S$5:$S$204,0)+4,"")-4))=""),"",INDEX('List B'!$B$5:$B$204,IF(IFERROR(MATCH(6,'List A'!$S$5:$S$204,0)+4,"")="","",INDEX('List A'!$K$5:$K$204,IFERROR(MATCH(6,'List A'!$S$5:$S$204,0)+4,"")-4))-4))</f>
        <v/>
      </c>
      <c r="G10" s="52">
        <f>IF(OR(IFERROR(MATCH(6,'List A'!$S$5:$S$204,0)+4,"")="",IF(IFERROR(MATCH(6,'List A'!$S$5:$S$204,0)+4,"")="","",INDEX('List A'!$K$5:$K$204,IFERROR(MATCH(6,'List A'!$S$5:$S$204,0)+4,"")-4))=""),"",INDEX('List B'!$C$5:$C$204,IF(IFERROR(MATCH(6,'List A'!$S$5:$S$204,0)+4,"")="","",INDEX('List A'!$K$5:$K$204,IFERROR(MATCH(6,'List A'!$S$5:$S$204,0)+4,"")-4))-4))</f>
        <v/>
      </c>
      <c r="H10" s="53">
        <f>IF(OR(IFERROR(MATCH(6,'List A'!$S$5:$S$204,0)+4,"")="",IF(IFERROR(MATCH(6,'List A'!$S$5:$S$204,0)+4,"")="","",INDEX('List A'!$K$5:$K$204,IFERROR(MATCH(6,'List A'!$S$5:$S$204,0)+4,"")-4))=""),"",INDEX('List B'!$D$5:$D$204,IF(IFERROR(MATCH(6,'List A'!$S$5:$S$204,0)+4,"")="","",INDEX('List A'!$K$5:$K$204,IFERROR(MATCH(6,'List A'!$S$5:$S$204,0)+4,"")-4))-4))</f>
        <v/>
      </c>
      <c r="I10" s="52">
        <f>IF(IFERROR(MATCH(6,'List A'!$S$5:$S$204,0)+4,"")="","",INDEX('List A'!$N$5:$N$204,IFERROR(MATCH(6,'List A'!$S$5:$S$204,0)+4,"")-4))</f>
        <v/>
      </c>
      <c r="J10" s="53">
        <f>IF(IFERROR(MATCH(6,'List A'!$S$5:$S$204,0)+4,"")="","",INDEX('List A'!$O$5:$O$204,IFERROR(MATCH(6,'List A'!$S$5:$S$204,0)+4,"")-4))</f>
        <v/>
      </c>
    </row>
    <row r="11" ht="17" customHeight="1">
      <c r="A11" s="87">
        <f>IF(IFERROR(MATCH(7,'List A'!$S$5:$S$204,0)+4,"")="","",INDEX('List A'!$A$5:$A$204,IFERROR(MATCH(7,'List A'!$S$5:$S$204,0)+4,"")-4))</f>
        <v/>
      </c>
      <c r="B11" s="53">
        <f>IF(IFERROR(MATCH(7,'List A'!$S$5:$S$204,0)+4,"")="","",INDEX('List A'!$B$5:$B$204,IFERROR(MATCH(7,'List A'!$S$5:$S$204,0)+4,"")-4))</f>
        <v/>
      </c>
      <c r="C11" s="52">
        <f>IF(IFERROR(MATCH(7,'List A'!$S$5:$S$204,0)+4,"")="","",INDEX('List A'!$C$5:$C$204,IFERROR(MATCH(7,'List A'!$S$5:$S$204,0)+4,"")-4))</f>
        <v/>
      </c>
      <c r="D11" s="53">
        <f>IF(IFERROR(MATCH(7,'List A'!$S$5:$S$204,0)+4,"")="","",INDEX('List A'!$D$5:$D$204,IFERROR(MATCH(7,'List A'!$S$5:$S$204,0)+4,"")-4))</f>
        <v/>
      </c>
      <c r="E11" s="87">
        <f>IF(OR(IFERROR(MATCH(7,'List A'!$S$5:$S$204,0)+4,"")="",IF(IFERROR(MATCH(7,'List A'!$S$5:$S$204,0)+4,"")="","",INDEX('List A'!$K$5:$K$204,IFERROR(MATCH(7,'List A'!$S$5:$S$204,0)+4,"")-4))=""),"",INDEX('List B'!$A$5:$A$204,IF(IFERROR(MATCH(7,'List A'!$S$5:$S$204,0)+4,"")="","",INDEX('List A'!$K$5:$K$204,IFERROR(MATCH(7,'List A'!$S$5:$S$204,0)+4,"")-4))-4))</f>
        <v/>
      </c>
      <c r="F11" s="53">
        <f>IF(OR(IFERROR(MATCH(7,'List A'!$S$5:$S$204,0)+4,"")="",IF(IFERROR(MATCH(7,'List A'!$S$5:$S$204,0)+4,"")="","",INDEX('List A'!$K$5:$K$204,IFERROR(MATCH(7,'List A'!$S$5:$S$204,0)+4,"")-4))=""),"",INDEX('List B'!$B$5:$B$204,IF(IFERROR(MATCH(7,'List A'!$S$5:$S$204,0)+4,"")="","",INDEX('List A'!$K$5:$K$204,IFERROR(MATCH(7,'List A'!$S$5:$S$204,0)+4,"")-4))-4))</f>
        <v/>
      </c>
      <c r="G11" s="52">
        <f>IF(OR(IFERROR(MATCH(7,'List A'!$S$5:$S$204,0)+4,"")="",IF(IFERROR(MATCH(7,'List A'!$S$5:$S$204,0)+4,"")="","",INDEX('List A'!$K$5:$K$204,IFERROR(MATCH(7,'List A'!$S$5:$S$204,0)+4,"")-4))=""),"",INDEX('List B'!$C$5:$C$204,IF(IFERROR(MATCH(7,'List A'!$S$5:$S$204,0)+4,"")="","",INDEX('List A'!$K$5:$K$204,IFERROR(MATCH(7,'List A'!$S$5:$S$204,0)+4,"")-4))-4))</f>
        <v/>
      </c>
      <c r="H11" s="53">
        <f>IF(OR(IFERROR(MATCH(7,'List A'!$S$5:$S$204,0)+4,"")="",IF(IFERROR(MATCH(7,'List A'!$S$5:$S$204,0)+4,"")="","",INDEX('List A'!$K$5:$K$204,IFERROR(MATCH(7,'List A'!$S$5:$S$204,0)+4,"")-4))=""),"",INDEX('List B'!$D$5:$D$204,IF(IFERROR(MATCH(7,'List A'!$S$5:$S$204,0)+4,"")="","",INDEX('List A'!$K$5:$K$204,IFERROR(MATCH(7,'List A'!$S$5:$S$204,0)+4,"")-4))-4))</f>
        <v/>
      </c>
      <c r="I11" s="52">
        <f>IF(IFERROR(MATCH(7,'List A'!$S$5:$S$204,0)+4,"")="","",INDEX('List A'!$N$5:$N$204,IFERROR(MATCH(7,'List A'!$S$5:$S$204,0)+4,"")-4))</f>
        <v/>
      </c>
      <c r="J11" s="53">
        <f>IF(IFERROR(MATCH(7,'List A'!$S$5:$S$204,0)+4,"")="","",INDEX('List A'!$O$5:$O$204,IFERROR(MATCH(7,'List A'!$S$5:$S$204,0)+4,"")-4))</f>
        <v/>
      </c>
    </row>
    <row r="12" ht="17" customHeight="1">
      <c r="A12" s="87">
        <f>IF(IFERROR(MATCH(8,'List A'!$S$5:$S$204,0)+4,"")="","",INDEX('List A'!$A$5:$A$204,IFERROR(MATCH(8,'List A'!$S$5:$S$204,0)+4,"")-4))</f>
        <v/>
      </c>
      <c r="B12" s="53">
        <f>IF(IFERROR(MATCH(8,'List A'!$S$5:$S$204,0)+4,"")="","",INDEX('List A'!$B$5:$B$204,IFERROR(MATCH(8,'List A'!$S$5:$S$204,0)+4,"")-4))</f>
        <v/>
      </c>
      <c r="C12" s="52">
        <f>IF(IFERROR(MATCH(8,'List A'!$S$5:$S$204,0)+4,"")="","",INDEX('List A'!$C$5:$C$204,IFERROR(MATCH(8,'List A'!$S$5:$S$204,0)+4,"")-4))</f>
        <v/>
      </c>
      <c r="D12" s="53">
        <f>IF(IFERROR(MATCH(8,'List A'!$S$5:$S$204,0)+4,"")="","",INDEX('List A'!$D$5:$D$204,IFERROR(MATCH(8,'List A'!$S$5:$S$204,0)+4,"")-4))</f>
        <v/>
      </c>
      <c r="E12" s="87">
        <f>IF(OR(IFERROR(MATCH(8,'List A'!$S$5:$S$204,0)+4,"")="",IF(IFERROR(MATCH(8,'List A'!$S$5:$S$204,0)+4,"")="","",INDEX('List A'!$K$5:$K$204,IFERROR(MATCH(8,'List A'!$S$5:$S$204,0)+4,"")-4))=""),"",INDEX('List B'!$A$5:$A$204,IF(IFERROR(MATCH(8,'List A'!$S$5:$S$204,0)+4,"")="","",INDEX('List A'!$K$5:$K$204,IFERROR(MATCH(8,'List A'!$S$5:$S$204,0)+4,"")-4))-4))</f>
        <v/>
      </c>
      <c r="F12" s="53">
        <f>IF(OR(IFERROR(MATCH(8,'List A'!$S$5:$S$204,0)+4,"")="",IF(IFERROR(MATCH(8,'List A'!$S$5:$S$204,0)+4,"")="","",INDEX('List A'!$K$5:$K$204,IFERROR(MATCH(8,'List A'!$S$5:$S$204,0)+4,"")-4))=""),"",INDEX('List B'!$B$5:$B$204,IF(IFERROR(MATCH(8,'List A'!$S$5:$S$204,0)+4,"")="","",INDEX('List A'!$K$5:$K$204,IFERROR(MATCH(8,'List A'!$S$5:$S$204,0)+4,"")-4))-4))</f>
        <v/>
      </c>
      <c r="G12" s="52">
        <f>IF(OR(IFERROR(MATCH(8,'List A'!$S$5:$S$204,0)+4,"")="",IF(IFERROR(MATCH(8,'List A'!$S$5:$S$204,0)+4,"")="","",INDEX('List A'!$K$5:$K$204,IFERROR(MATCH(8,'List A'!$S$5:$S$204,0)+4,"")-4))=""),"",INDEX('List B'!$C$5:$C$204,IF(IFERROR(MATCH(8,'List A'!$S$5:$S$204,0)+4,"")="","",INDEX('List A'!$K$5:$K$204,IFERROR(MATCH(8,'List A'!$S$5:$S$204,0)+4,"")-4))-4))</f>
        <v/>
      </c>
      <c r="H12" s="53">
        <f>IF(OR(IFERROR(MATCH(8,'List A'!$S$5:$S$204,0)+4,"")="",IF(IFERROR(MATCH(8,'List A'!$S$5:$S$204,0)+4,"")="","",INDEX('List A'!$K$5:$K$204,IFERROR(MATCH(8,'List A'!$S$5:$S$204,0)+4,"")-4))=""),"",INDEX('List B'!$D$5:$D$204,IF(IFERROR(MATCH(8,'List A'!$S$5:$S$204,0)+4,"")="","",INDEX('List A'!$K$5:$K$204,IFERROR(MATCH(8,'List A'!$S$5:$S$204,0)+4,"")-4))-4))</f>
        <v/>
      </c>
      <c r="I12" s="52">
        <f>IF(IFERROR(MATCH(8,'List A'!$S$5:$S$204,0)+4,"")="","",INDEX('List A'!$N$5:$N$204,IFERROR(MATCH(8,'List A'!$S$5:$S$204,0)+4,"")-4))</f>
        <v/>
      </c>
      <c r="J12" s="53">
        <f>IF(IFERROR(MATCH(8,'List A'!$S$5:$S$204,0)+4,"")="","",INDEX('List A'!$O$5:$O$204,IFERROR(MATCH(8,'List A'!$S$5:$S$204,0)+4,"")-4))</f>
        <v/>
      </c>
    </row>
    <row r="13" ht="17" customHeight="1">
      <c r="A13" s="87">
        <f>IF(IFERROR(MATCH(9,'List A'!$S$5:$S$204,0)+4,"")="","",INDEX('List A'!$A$5:$A$204,IFERROR(MATCH(9,'List A'!$S$5:$S$204,0)+4,"")-4))</f>
        <v/>
      </c>
      <c r="B13" s="53">
        <f>IF(IFERROR(MATCH(9,'List A'!$S$5:$S$204,0)+4,"")="","",INDEX('List A'!$B$5:$B$204,IFERROR(MATCH(9,'List A'!$S$5:$S$204,0)+4,"")-4))</f>
        <v/>
      </c>
      <c r="C13" s="52">
        <f>IF(IFERROR(MATCH(9,'List A'!$S$5:$S$204,0)+4,"")="","",INDEX('List A'!$C$5:$C$204,IFERROR(MATCH(9,'List A'!$S$5:$S$204,0)+4,"")-4))</f>
        <v/>
      </c>
      <c r="D13" s="53">
        <f>IF(IFERROR(MATCH(9,'List A'!$S$5:$S$204,0)+4,"")="","",INDEX('List A'!$D$5:$D$204,IFERROR(MATCH(9,'List A'!$S$5:$S$204,0)+4,"")-4))</f>
        <v/>
      </c>
      <c r="E13" s="87">
        <f>IF(OR(IFERROR(MATCH(9,'List A'!$S$5:$S$204,0)+4,"")="",IF(IFERROR(MATCH(9,'List A'!$S$5:$S$204,0)+4,"")="","",INDEX('List A'!$K$5:$K$204,IFERROR(MATCH(9,'List A'!$S$5:$S$204,0)+4,"")-4))=""),"",INDEX('List B'!$A$5:$A$204,IF(IFERROR(MATCH(9,'List A'!$S$5:$S$204,0)+4,"")="","",INDEX('List A'!$K$5:$K$204,IFERROR(MATCH(9,'List A'!$S$5:$S$204,0)+4,"")-4))-4))</f>
        <v/>
      </c>
      <c r="F13" s="53">
        <f>IF(OR(IFERROR(MATCH(9,'List A'!$S$5:$S$204,0)+4,"")="",IF(IFERROR(MATCH(9,'List A'!$S$5:$S$204,0)+4,"")="","",INDEX('List A'!$K$5:$K$204,IFERROR(MATCH(9,'List A'!$S$5:$S$204,0)+4,"")-4))=""),"",INDEX('List B'!$B$5:$B$204,IF(IFERROR(MATCH(9,'List A'!$S$5:$S$204,0)+4,"")="","",INDEX('List A'!$K$5:$K$204,IFERROR(MATCH(9,'List A'!$S$5:$S$204,0)+4,"")-4))-4))</f>
        <v/>
      </c>
      <c r="G13" s="52">
        <f>IF(OR(IFERROR(MATCH(9,'List A'!$S$5:$S$204,0)+4,"")="",IF(IFERROR(MATCH(9,'List A'!$S$5:$S$204,0)+4,"")="","",INDEX('List A'!$K$5:$K$204,IFERROR(MATCH(9,'List A'!$S$5:$S$204,0)+4,"")-4))=""),"",INDEX('List B'!$C$5:$C$204,IF(IFERROR(MATCH(9,'List A'!$S$5:$S$204,0)+4,"")="","",INDEX('List A'!$K$5:$K$204,IFERROR(MATCH(9,'List A'!$S$5:$S$204,0)+4,"")-4))-4))</f>
        <v/>
      </c>
      <c r="H13" s="53">
        <f>IF(OR(IFERROR(MATCH(9,'List A'!$S$5:$S$204,0)+4,"")="",IF(IFERROR(MATCH(9,'List A'!$S$5:$S$204,0)+4,"")="","",INDEX('List A'!$K$5:$K$204,IFERROR(MATCH(9,'List A'!$S$5:$S$204,0)+4,"")-4))=""),"",INDEX('List B'!$D$5:$D$204,IF(IFERROR(MATCH(9,'List A'!$S$5:$S$204,0)+4,"")="","",INDEX('List A'!$K$5:$K$204,IFERROR(MATCH(9,'List A'!$S$5:$S$204,0)+4,"")-4))-4))</f>
        <v/>
      </c>
      <c r="I13" s="52">
        <f>IF(IFERROR(MATCH(9,'List A'!$S$5:$S$204,0)+4,"")="","",INDEX('List A'!$N$5:$N$204,IFERROR(MATCH(9,'List A'!$S$5:$S$204,0)+4,"")-4))</f>
        <v/>
      </c>
      <c r="J13" s="53">
        <f>IF(IFERROR(MATCH(9,'List A'!$S$5:$S$204,0)+4,"")="","",INDEX('List A'!$O$5:$O$204,IFERROR(MATCH(9,'List A'!$S$5:$S$204,0)+4,"")-4))</f>
        <v/>
      </c>
    </row>
    <row r="14" ht="17" customHeight="1">
      <c r="A14" s="87">
        <f>IF(IFERROR(MATCH(10,'List A'!$S$5:$S$204,0)+4,"")="","",INDEX('List A'!$A$5:$A$204,IFERROR(MATCH(10,'List A'!$S$5:$S$204,0)+4,"")-4))</f>
        <v/>
      </c>
      <c r="B14" s="53">
        <f>IF(IFERROR(MATCH(10,'List A'!$S$5:$S$204,0)+4,"")="","",INDEX('List A'!$B$5:$B$204,IFERROR(MATCH(10,'List A'!$S$5:$S$204,0)+4,"")-4))</f>
        <v/>
      </c>
      <c r="C14" s="52">
        <f>IF(IFERROR(MATCH(10,'List A'!$S$5:$S$204,0)+4,"")="","",INDEX('List A'!$C$5:$C$204,IFERROR(MATCH(10,'List A'!$S$5:$S$204,0)+4,"")-4))</f>
        <v/>
      </c>
      <c r="D14" s="53">
        <f>IF(IFERROR(MATCH(10,'List A'!$S$5:$S$204,0)+4,"")="","",INDEX('List A'!$D$5:$D$204,IFERROR(MATCH(10,'List A'!$S$5:$S$204,0)+4,"")-4))</f>
        <v/>
      </c>
      <c r="E14" s="87">
        <f>IF(OR(IFERROR(MATCH(10,'List A'!$S$5:$S$204,0)+4,"")="",IF(IFERROR(MATCH(10,'List A'!$S$5:$S$204,0)+4,"")="","",INDEX('List A'!$K$5:$K$204,IFERROR(MATCH(10,'List A'!$S$5:$S$204,0)+4,"")-4))=""),"",INDEX('List B'!$A$5:$A$204,IF(IFERROR(MATCH(10,'List A'!$S$5:$S$204,0)+4,"")="","",INDEX('List A'!$K$5:$K$204,IFERROR(MATCH(10,'List A'!$S$5:$S$204,0)+4,"")-4))-4))</f>
        <v/>
      </c>
      <c r="F14" s="53">
        <f>IF(OR(IFERROR(MATCH(10,'List A'!$S$5:$S$204,0)+4,"")="",IF(IFERROR(MATCH(10,'List A'!$S$5:$S$204,0)+4,"")="","",INDEX('List A'!$K$5:$K$204,IFERROR(MATCH(10,'List A'!$S$5:$S$204,0)+4,"")-4))=""),"",INDEX('List B'!$B$5:$B$204,IF(IFERROR(MATCH(10,'List A'!$S$5:$S$204,0)+4,"")="","",INDEX('List A'!$K$5:$K$204,IFERROR(MATCH(10,'List A'!$S$5:$S$204,0)+4,"")-4))-4))</f>
        <v/>
      </c>
      <c r="G14" s="52">
        <f>IF(OR(IFERROR(MATCH(10,'List A'!$S$5:$S$204,0)+4,"")="",IF(IFERROR(MATCH(10,'List A'!$S$5:$S$204,0)+4,"")="","",INDEX('List A'!$K$5:$K$204,IFERROR(MATCH(10,'List A'!$S$5:$S$204,0)+4,"")-4))=""),"",INDEX('List B'!$C$5:$C$204,IF(IFERROR(MATCH(10,'List A'!$S$5:$S$204,0)+4,"")="","",INDEX('List A'!$K$5:$K$204,IFERROR(MATCH(10,'List A'!$S$5:$S$204,0)+4,"")-4))-4))</f>
        <v/>
      </c>
      <c r="H14" s="53">
        <f>IF(OR(IFERROR(MATCH(10,'List A'!$S$5:$S$204,0)+4,"")="",IF(IFERROR(MATCH(10,'List A'!$S$5:$S$204,0)+4,"")="","",INDEX('List A'!$K$5:$K$204,IFERROR(MATCH(10,'List A'!$S$5:$S$204,0)+4,"")-4))=""),"",INDEX('List B'!$D$5:$D$204,IF(IFERROR(MATCH(10,'List A'!$S$5:$S$204,0)+4,"")="","",INDEX('List A'!$K$5:$K$204,IFERROR(MATCH(10,'List A'!$S$5:$S$204,0)+4,"")-4))-4))</f>
        <v/>
      </c>
      <c r="I14" s="52">
        <f>IF(IFERROR(MATCH(10,'List A'!$S$5:$S$204,0)+4,"")="","",INDEX('List A'!$N$5:$N$204,IFERROR(MATCH(10,'List A'!$S$5:$S$204,0)+4,"")-4))</f>
        <v/>
      </c>
      <c r="J14" s="53">
        <f>IF(IFERROR(MATCH(10,'List A'!$S$5:$S$204,0)+4,"")="","",INDEX('List A'!$O$5:$O$204,IFERROR(MATCH(10,'List A'!$S$5:$S$204,0)+4,"")-4))</f>
        <v/>
      </c>
    </row>
    <row r="15" ht="17" customHeight="1">
      <c r="A15" s="87">
        <f>IF(IFERROR(MATCH(11,'List A'!$S$5:$S$204,0)+4,"")="","",INDEX('List A'!$A$5:$A$204,IFERROR(MATCH(11,'List A'!$S$5:$S$204,0)+4,"")-4))</f>
        <v/>
      </c>
      <c r="B15" s="53">
        <f>IF(IFERROR(MATCH(11,'List A'!$S$5:$S$204,0)+4,"")="","",INDEX('List A'!$B$5:$B$204,IFERROR(MATCH(11,'List A'!$S$5:$S$204,0)+4,"")-4))</f>
        <v/>
      </c>
      <c r="C15" s="52">
        <f>IF(IFERROR(MATCH(11,'List A'!$S$5:$S$204,0)+4,"")="","",INDEX('List A'!$C$5:$C$204,IFERROR(MATCH(11,'List A'!$S$5:$S$204,0)+4,"")-4))</f>
        <v/>
      </c>
      <c r="D15" s="53">
        <f>IF(IFERROR(MATCH(11,'List A'!$S$5:$S$204,0)+4,"")="","",INDEX('List A'!$D$5:$D$204,IFERROR(MATCH(11,'List A'!$S$5:$S$204,0)+4,"")-4))</f>
        <v/>
      </c>
      <c r="E15" s="87">
        <f>IF(OR(IFERROR(MATCH(11,'List A'!$S$5:$S$204,0)+4,"")="",IF(IFERROR(MATCH(11,'List A'!$S$5:$S$204,0)+4,"")="","",INDEX('List A'!$K$5:$K$204,IFERROR(MATCH(11,'List A'!$S$5:$S$204,0)+4,"")-4))=""),"",INDEX('List B'!$A$5:$A$204,IF(IFERROR(MATCH(11,'List A'!$S$5:$S$204,0)+4,"")="","",INDEX('List A'!$K$5:$K$204,IFERROR(MATCH(11,'List A'!$S$5:$S$204,0)+4,"")-4))-4))</f>
        <v/>
      </c>
      <c r="F15" s="53">
        <f>IF(OR(IFERROR(MATCH(11,'List A'!$S$5:$S$204,0)+4,"")="",IF(IFERROR(MATCH(11,'List A'!$S$5:$S$204,0)+4,"")="","",INDEX('List A'!$K$5:$K$204,IFERROR(MATCH(11,'List A'!$S$5:$S$204,0)+4,"")-4))=""),"",INDEX('List B'!$B$5:$B$204,IF(IFERROR(MATCH(11,'List A'!$S$5:$S$204,0)+4,"")="","",INDEX('List A'!$K$5:$K$204,IFERROR(MATCH(11,'List A'!$S$5:$S$204,0)+4,"")-4))-4))</f>
        <v/>
      </c>
      <c r="G15" s="52">
        <f>IF(OR(IFERROR(MATCH(11,'List A'!$S$5:$S$204,0)+4,"")="",IF(IFERROR(MATCH(11,'List A'!$S$5:$S$204,0)+4,"")="","",INDEX('List A'!$K$5:$K$204,IFERROR(MATCH(11,'List A'!$S$5:$S$204,0)+4,"")-4))=""),"",INDEX('List B'!$C$5:$C$204,IF(IFERROR(MATCH(11,'List A'!$S$5:$S$204,0)+4,"")="","",INDEX('List A'!$K$5:$K$204,IFERROR(MATCH(11,'List A'!$S$5:$S$204,0)+4,"")-4))-4))</f>
        <v/>
      </c>
      <c r="H15" s="53">
        <f>IF(OR(IFERROR(MATCH(11,'List A'!$S$5:$S$204,0)+4,"")="",IF(IFERROR(MATCH(11,'List A'!$S$5:$S$204,0)+4,"")="","",INDEX('List A'!$K$5:$K$204,IFERROR(MATCH(11,'List A'!$S$5:$S$204,0)+4,"")-4))=""),"",INDEX('List B'!$D$5:$D$204,IF(IFERROR(MATCH(11,'List A'!$S$5:$S$204,0)+4,"")="","",INDEX('List A'!$K$5:$K$204,IFERROR(MATCH(11,'List A'!$S$5:$S$204,0)+4,"")-4))-4))</f>
        <v/>
      </c>
      <c r="I15" s="52">
        <f>IF(IFERROR(MATCH(11,'List A'!$S$5:$S$204,0)+4,"")="","",INDEX('List A'!$N$5:$N$204,IFERROR(MATCH(11,'List A'!$S$5:$S$204,0)+4,"")-4))</f>
        <v/>
      </c>
      <c r="J15" s="53">
        <f>IF(IFERROR(MATCH(11,'List A'!$S$5:$S$204,0)+4,"")="","",INDEX('List A'!$O$5:$O$204,IFERROR(MATCH(11,'List A'!$S$5:$S$204,0)+4,"")-4))</f>
        <v/>
      </c>
    </row>
    <row r="16" ht="17" customHeight="1">
      <c r="A16" s="87">
        <f>IF(IFERROR(MATCH(12,'List A'!$S$5:$S$204,0)+4,"")="","",INDEX('List A'!$A$5:$A$204,IFERROR(MATCH(12,'List A'!$S$5:$S$204,0)+4,"")-4))</f>
        <v/>
      </c>
      <c r="B16" s="53">
        <f>IF(IFERROR(MATCH(12,'List A'!$S$5:$S$204,0)+4,"")="","",INDEX('List A'!$B$5:$B$204,IFERROR(MATCH(12,'List A'!$S$5:$S$204,0)+4,"")-4))</f>
        <v/>
      </c>
      <c r="C16" s="52">
        <f>IF(IFERROR(MATCH(12,'List A'!$S$5:$S$204,0)+4,"")="","",INDEX('List A'!$C$5:$C$204,IFERROR(MATCH(12,'List A'!$S$5:$S$204,0)+4,"")-4))</f>
        <v/>
      </c>
      <c r="D16" s="53">
        <f>IF(IFERROR(MATCH(12,'List A'!$S$5:$S$204,0)+4,"")="","",INDEX('List A'!$D$5:$D$204,IFERROR(MATCH(12,'List A'!$S$5:$S$204,0)+4,"")-4))</f>
        <v/>
      </c>
      <c r="E16" s="87">
        <f>IF(OR(IFERROR(MATCH(12,'List A'!$S$5:$S$204,0)+4,"")="",IF(IFERROR(MATCH(12,'List A'!$S$5:$S$204,0)+4,"")="","",INDEX('List A'!$K$5:$K$204,IFERROR(MATCH(12,'List A'!$S$5:$S$204,0)+4,"")-4))=""),"",INDEX('List B'!$A$5:$A$204,IF(IFERROR(MATCH(12,'List A'!$S$5:$S$204,0)+4,"")="","",INDEX('List A'!$K$5:$K$204,IFERROR(MATCH(12,'List A'!$S$5:$S$204,0)+4,"")-4))-4))</f>
        <v/>
      </c>
      <c r="F16" s="53">
        <f>IF(OR(IFERROR(MATCH(12,'List A'!$S$5:$S$204,0)+4,"")="",IF(IFERROR(MATCH(12,'List A'!$S$5:$S$204,0)+4,"")="","",INDEX('List A'!$K$5:$K$204,IFERROR(MATCH(12,'List A'!$S$5:$S$204,0)+4,"")-4))=""),"",INDEX('List B'!$B$5:$B$204,IF(IFERROR(MATCH(12,'List A'!$S$5:$S$204,0)+4,"")="","",INDEX('List A'!$K$5:$K$204,IFERROR(MATCH(12,'List A'!$S$5:$S$204,0)+4,"")-4))-4))</f>
        <v/>
      </c>
      <c r="G16" s="52">
        <f>IF(OR(IFERROR(MATCH(12,'List A'!$S$5:$S$204,0)+4,"")="",IF(IFERROR(MATCH(12,'List A'!$S$5:$S$204,0)+4,"")="","",INDEX('List A'!$K$5:$K$204,IFERROR(MATCH(12,'List A'!$S$5:$S$204,0)+4,"")-4))=""),"",INDEX('List B'!$C$5:$C$204,IF(IFERROR(MATCH(12,'List A'!$S$5:$S$204,0)+4,"")="","",INDEX('List A'!$K$5:$K$204,IFERROR(MATCH(12,'List A'!$S$5:$S$204,0)+4,"")-4))-4))</f>
        <v/>
      </c>
      <c r="H16" s="53">
        <f>IF(OR(IFERROR(MATCH(12,'List A'!$S$5:$S$204,0)+4,"")="",IF(IFERROR(MATCH(12,'List A'!$S$5:$S$204,0)+4,"")="","",INDEX('List A'!$K$5:$K$204,IFERROR(MATCH(12,'List A'!$S$5:$S$204,0)+4,"")-4))=""),"",INDEX('List B'!$D$5:$D$204,IF(IFERROR(MATCH(12,'List A'!$S$5:$S$204,0)+4,"")="","",INDEX('List A'!$K$5:$K$204,IFERROR(MATCH(12,'List A'!$S$5:$S$204,0)+4,"")-4))-4))</f>
        <v/>
      </c>
      <c r="I16" s="52">
        <f>IF(IFERROR(MATCH(12,'List A'!$S$5:$S$204,0)+4,"")="","",INDEX('List A'!$N$5:$N$204,IFERROR(MATCH(12,'List A'!$S$5:$S$204,0)+4,"")-4))</f>
        <v/>
      </c>
      <c r="J16" s="53">
        <f>IF(IFERROR(MATCH(12,'List A'!$S$5:$S$204,0)+4,"")="","",INDEX('List A'!$O$5:$O$204,IFERROR(MATCH(12,'List A'!$S$5:$S$204,0)+4,"")-4))</f>
        <v/>
      </c>
    </row>
    <row r="17" ht="17" customHeight="1">
      <c r="A17" s="87">
        <f>IF(IFERROR(MATCH(13,'List A'!$S$5:$S$204,0)+4,"")="","",INDEX('List A'!$A$5:$A$204,IFERROR(MATCH(13,'List A'!$S$5:$S$204,0)+4,"")-4))</f>
        <v/>
      </c>
      <c r="B17" s="53">
        <f>IF(IFERROR(MATCH(13,'List A'!$S$5:$S$204,0)+4,"")="","",INDEX('List A'!$B$5:$B$204,IFERROR(MATCH(13,'List A'!$S$5:$S$204,0)+4,"")-4))</f>
        <v/>
      </c>
      <c r="C17" s="52">
        <f>IF(IFERROR(MATCH(13,'List A'!$S$5:$S$204,0)+4,"")="","",INDEX('List A'!$C$5:$C$204,IFERROR(MATCH(13,'List A'!$S$5:$S$204,0)+4,"")-4))</f>
        <v/>
      </c>
      <c r="D17" s="53">
        <f>IF(IFERROR(MATCH(13,'List A'!$S$5:$S$204,0)+4,"")="","",INDEX('List A'!$D$5:$D$204,IFERROR(MATCH(13,'List A'!$S$5:$S$204,0)+4,"")-4))</f>
        <v/>
      </c>
      <c r="E17" s="87">
        <f>IF(OR(IFERROR(MATCH(13,'List A'!$S$5:$S$204,0)+4,"")="",IF(IFERROR(MATCH(13,'List A'!$S$5:$S$204,0)+4,"")="","",INDEX('List A'!$K$5:$K$204,IFERROR(MATCH(13,'List A'!$S$5:$S$204,0)+4,"")-4))=""),"",INDEX('List B'!$A$5:$A$204,IF(IFERROR(MATCH(13,'List A'!$S$5:$S$204,0)+4,"")="","",INDEX('List A'!$K$5:$K$204,IFERROR(MATCH(13,'List A'!$S$5:$S$204,0)+4,"")-4))-4))</f>
        <v/>
      </c>
      <c r="F17" s="53">
        <f>IF(OR(IFERROR(MATCH(13,'List A'!$S$5:$S$204,0)+4,"")="",IF(IFERROR(MATCH(13,'List A'!$S$5:$S$204,0)+4,"")="","",INDEX('List A'!$K$5:$K$204,IFERROR(MATCH(13,'List A'!$S$5:$S$204,0)+4,"")-4))=""),"",INDEX('List B'!$B$5:$B$204,IF(IFERROR(MATCH(13,'List A'!$S$5:$S$204,0)+4,"")="","",INDEX('List A'!$K$5:$K$204,IFERROR(MATCH(13,'List A'!$S$5:$S$204,0)+4,"")-4))-4))</f>
        <v/>
      </c>
      <c r="G17" s="52">
        <f>IF(OR(IFERROR(MATCH(13,'List A'!$S$5:$S$204,0)+4,"")="",IF(IFERROR(MATCH(13,'List A'!$S$5:$S$204,0)+4,"")="","",INDEX('List A'!$K$5:$K$204,IFERROR(MATCH(13,'List A'!$S$5:$S$204,0)+4,"")-4))=""),"",INDEX('List B'!$C$5:$C$204,IF(IFERROR(MATCH(13,'List A'!$S$5:$S$204,0)+4,"")="","",INDEX('List A'!$K$5:$K$204,IFERROR(MATCH(13,'List A'!$S$5:$S$204,0)+4,"")-4))-4))</f>
        <v/>
      </c>
      <c r="H17" s="53">
        <f>IF(OR(IFERROR(MATCH(13,'List A'!$S$5:$S$204,0)+4,"")="",IF(IFERROR(MATCH(13,'List A'!$S$5:$S$204,0)+4,"")="","",INDEX('List A'!$K$5:$K$204,IFERROR(MATCH(13,'List A'!$S$5:$S$204,0)+4,"")-4))=""),"",INDEX('List B'!$D$5:$D$204,IF(IFERROR(MATCH(13,'List A'!$S$5:$S$204,0)+4,"")="","",INDEX('List A'!$K$5:$K$204,IFERROR(MATCH(13,'List A'!$S$5:$S$204,0)+4,"")-4))-4))</f>
        <v/>
      </c>
      <c r="I17" s="52">
        <f>IF(IFERROR(MATCH(13,'List A'!$S$5:$S$204,0)+4,"")="","",INDEX('List A'!$N$5:$N$204,IFERROR(MATCH(13,'List A'!$S$5:$S$204,0)+4,"")-4))</f>
        <v/>
      </c>
      <c r="J17" s="53">
        <f>IF(IFERROR(MATCH(13,'List A'!$S$5:$S$204,0)+4,"")="","",INDEX('List A'!$O$5:$O$204,IFERROR(MATCH(13,'List A'!$S$5:$S$204,0)+4,"")-4))</f>
        <v/>
      </c>
    </row>
    <row r="18" ht="17" customHeight="1">
      <c r="A18" s="87">
        <f>IF(IFERROR(MATCH(14,'List A'!$S$5:$S$204,0)+4,"")="","",INDEX('List A'!$A$5:$A$204,IFERROR(MATCH(14,'List A'!$S$5:$S$204,0)+4,"")-4))</f>
        <v/>
      </c>
      <c r="B18" s="53">
        <f>IF(IFERROR(MATCH(14,'List A'!$S$5:$S$204,0)+4,"")="","",INDEX('List A'!$B$5:$B$204,IFERROR(MATCH(14,'List A'!$S$5:$S$204,0)+4,"")-4))</f>
        <v/>
      </c>
      <c r="C18" s="52">
        <f>IF(IFERROR(MATCH(14,'List A'!$S$5:$S$204,0)+4,"")="","",INDEX('List A'!$C$5:$C$204,IFERROR(MATCH(14,'List A'!$S$5:$S$204,0)+4,"")-4))</f>
        <v/>
      </c>
      <c r="D18" s="53">
        <f>IF(IFERROR(MATCH(14,'List A'!$S$5:$S$204,0)+4,"")="","",INDEX('List A'!$D$5:$D$204,IFERROR(MATCH(14,'List A'!$S$5:$S$204,0)+4,"")-4))</f>
        <v/>
      </c>
      <c r="E18" s="87">
        <f>IF(OR(IFERROR(MATCH(14,'List A'!$S$5:$S$204,0)+4,"")="",IF(IFERROR(MATCH(14,'List A'!$S$5:$S$204,0)+4,"")="","",INDEX('List A'!$K$5:$K$204,IFERROR(MATCH(14,'List A'!$S$5:$S$204,0)+4,"")-4))=""),"",INDEX('List B'!$A$5:$A$204,IF(IFERROR(MATCH(14,'List A'!$S$5:$S$204,0)+4,"")="","",INDEX('List A'!$K$5:$K$204,IFERROR(MATCH(14,'List A'!$S$5:$S$204,0)+4,"")-4))-4))</f>
        <v/>
      </c>
      <c r="F18" s="53">
        <f>IF(OR(IFERROR(MATCH(14,'List A'!$S$5:$S$204,0)+4,"")="",IF(IFERROR(MATCH(14,'List A'!$S$5:$S$204,0)+4,"")="","",INDEX('List A'!$K$5:$K$204,IFERROR(MATCH(14,'List A'!$S$5:$S$204,0)+4,"")-4))=""),"",INDEX('List B'!$B$5:$B$204,IF(IFERROR(MATCH(14,'List A'!$S$5:$S$204,0)+4,"")="","",INDEX('List A'!$K$5:$K$204,IFERROR(MATCH(14,'List A'!$S$5:$S$204,0)+4,"")-4))-4))</f>
        <v/>
      </c>
      <c r="G18" s="52">
        <f>IF(OR(IFERROR(MATCH(14,'List A'!$S$5:$S$204,0)+4,"")="",IF(IFERROR(MATCH(14,'List A'!$S$5:$S$204,0)+4,"")="","",INDEX('List A'!$K$5:$K$204,IFERROR(MATCH(14,'List A'!$S$5:$S$204,0)+4,"")-4))=""),"",INDEX('List B'!$C$5:$C$204,IF(IFERROR(MATCH(14,'List A'!$S$5:$S$204,0)+4,"")="","",INDEX('List A'!$K$5:$K$204,IFERROR(MATCH(14,'List A'!$S$5:$S$204,0)+4,"")-4))-4))</f>
        <v/>
      </c>
      <c r="H18" s="53">
        <f>IF(OR(IFERROR(MATCH(14,'List A'!$S$5:$S$204,0)+4,"")="",IF(IFERROR(MATCH(14,'List A'!$S$5:$S$204,0)+4,"")="","",INDEX('List A'!$K$5:$K$204,IFERROR(MATCH(14,'List A'!$S$5:$S$204,0)+4,"")-4))=""),"",INDEX('List B'!$D$5:$D$204,IF(IFERROR(MATCH(14,'List A'!$S$5:$S$204,0)+4,"")="","",INDEX('List A'!$K$5:$K$204,IFERROR(MATCH(14,'List A'!$S$5:$S$204,0)+4,"")-4))-4))</f>
        <v/>
      </c>
      <c r="I18" s="52">
        <f>IF(IFERROR(MATCH(14,'List A'!$S$5:$S$204,0)+4,"")="","",INDEX('List A'!$N$5:$N$204,IFERROR(MATCH(14,'List A'!$S$5:$S$204,0)+4,"")-4))</f>
        <v/>
      </c>
      <c r="J18" s="53">
        <f>IF(IFERROR(MATCH(14,'List A'!$S$5:$S$204,0)+4,"")="","",INDEX('List A'!$O$5:$O$204,IFERROR(MATCH(14,'List A'!$S$5:$S$204,0)+4,"")-4))</f>
        <v/>
      </c>
    </row>
    <row r="19" ht="17" customHeight="1">
      <c r="A19" s="87">
        <f>IF(IFERROR(MATCH(15,'List A'!$S$5:$S$204,0)+4,"")="","",INDEX('List A'!$A$5:$A$204,IFERROR(MATCH(15,'List A'!$S$5:$S$204,0)+4,"")-4))</f>
        <v/>
      </c>
      <c r="B19" s="53">
        <f>IF(IFERROR(MATCH(15,'List A'!$S$5:$S$204,0)+4,"")="","",INDEX('List A'!$B$5:$B$204,IFERROR(MATCH(15,'List A'!$S$5:$S$204,0)+4,"")-4))</f>
        <v/>
      </c>
      <c r="C19" s="52">
        <f>IF(IFERROR(MATCH(15,'List A'!$S$5:$S$204,0)+4,"")="","",INDEX('List A'!$C$5:$C$204,IFERROR(MATCH(15,'List A'!$S$5:$S$204,0)+4,"")-4))</f>
        <v/>
      </c>
      <c r="D19" s="53">
        <f>IF(IFERROR(MATCH(15,'List A'!$S$5:$S$204,0)+4,"")="","",INDEX('List A'!$D$5:$D$204,IFERROR(MATCH(15,'List A'!$S$5:$S$204,0)+4,"")-4))</f>
        <v/>
      </c>
      <c r="E19" s="87">
        <f>IF(OR(IFERROR(MATCH(15,'List A'!$S$5:$S$204,0)+4,"")="",IF(IFERROR(MATCH(15,'List A'!$S$5:$S$204,0)+4,"")="","",INDEX('List A'!$K$5:$K$204,IFERROR(MATCH(15,'List A'!$S$5:$S$204,0)+4,"")-4))=""),"",INDEX('List B'!$A$5:$A$204,IF(IFERROR(MATCH(15,'List A'!$S$5:$S$204,0)+4,"")="","",INDEX('List A'!$K$5:$K$204,IFERROR(MATCH(15,'List A'!$S$5:$S$204,0)+4,"")-4))-4))</f>
        <v/>
      </c>
      <c r="F19" s="53">
        <f>IF(OR(IFERROR(MATCH(15,'List A'!$S$5:$S$204,0)+4,"")="",IF(IFERROR(MATCH(15,'List A'!$S$5:$S$204,0)+4,"")="","",INDEX('List A'!$K$5:$K$204,IFERROR(MATCH(15,'List A'!$S$5:$S$204,0)+4,"")-4))=""),"",INDEX('List B'!$B$5:$B$204,IF(IFERROR(MATCH(15,'List A'!$S$5:$S$204,0)+4,"")="","",INDEX('List A'!$K$5:$K$204,IFERROR(MATCH(15,'List A'!$S$5:$S$204,0)+4,"")-4))-4))</f>
        <v/>
      </c>
      <c r="G19" s="52">
        <f>IF(OR(IFERROR(MATCH(15,'List A'!$S$5:$S$204,0)+4,"")="",IF(IFERROR(MATCH(15,'List A'!$S$5:$S$204,0)+4,"")="","",INDEX('List A'!$K$5:$K$204,IFERROR(MATCH(15,'List A'!$S$5:$S$204,0)+4,"")-4))=""),"",INDEX('List B'!$C$5:$C$204,IF(IFERROR(MATCH(15,'List A'!$S$5:$S$204,0)+4,"")="","",INDEX('List A'!$K$5:$K$204,IFERROR(MATCH(15,'List A'!$S$5:$S$204,0)+4,"")-4))-4))</f>
        <v/>
      </c>
      <c r="H19" s="53">
        <f>IF(OR(IFERROR(MATCH(15,'List A'!$S$5:$S$204,0)+4,"")="",IF(IFERROR(MATCH(15,'List A'!$S$5:$S$204,0)+4,"")="","",INDEX('List A'!$K$5:$K$204,IFERROR(MATCH(15,'List A'!$S$5:$S$204,0)+4,"")-4))=""),"",INDEX('List B'!$D$5:$D$204,IF(IFERROR(MATCH(15,'List A'!$S$5:$S$204,0)+4,"")="","",INDEX('List A'!$K$5:$K$204,IFERROR(MATCH(15,'List A'!$S$5:$S$204,0)+4,"")-4))-4))</f>
        <v/>
      </c>
      <c r="I19" s="52">
        <f>IF(IFERROR(MATCH(15,'List A'!$S$5:$S$204,0)+4,"")="","",INDEX('List A'!$N$5:$N$204,IFERROR(MATCH(15,'List A'!$S$5:$S$204,0)+4,"")-4))</f>
        <v/>
      </c>
      <c r="J19" s="53">
        <f>IF(IFERROR(MATCH(15,'List A'!$S$5:$S$204,0)+4,"")="","",INDEX('List A'!$O$5:$O$204,IFERROR(MATCH(15,'List A'!$S$5:$S$204,0)+4,"")-4))</f>
        <v/>
      </c>
    </row>
    <row r="20" ht="17" customHeight="1">
      <c r="A20" s="87">
        <f>IF(IFERROR(MATCH(16,'List A'!$S$5:$S$204,0)+4,"")="","",INDEX('List A'!$A$5:$A$204,IFERROR(MATCH(16,'List A'!$S$5:$S$204,0)+4,"")-4))</f>
        <v/>
      </c>
      <c r="B20" s="53">
        <f>IF(IFERROR(MATCH(16,'List A'!$S$5:$S$204,0)+4,"")="","",INDEX('List A'!$B$5:$B$204,IFERROR(MATCH(16,'List A'!$S$5:$S$204,0)+4,"")-4))</f>
        <v/>
      </c>
      <c r="C20" s="52">
        <f>IF(IFERROR(MATCH(16,'List A'!$S$5:$S$204,0)+4,"")="","",INDEX('List A'!$C$5:$C$204,IFERROR(MATCH(16,'List A'!$S$5:$S$204,0)+4,"")-4))</f>
        <v/>
      </c>
      <c r="D20" s="53">
        <f>IF(IFERROR(MATCH(16,'List A'!$S$5:$S$204,0)+4,"")="","",INDEX('List A'!$D$5:$D$204,IFERROR(MATCH(16,'List A'!$S$5:$S$204,0)+4,"")-4))</f>
        <v/>
      </c>
      <c r="E20" s="87">
        <f>IF(OR(IFERROR(MATCH(16,'List A'!$S$5:$S$204,0)+4,"")="",IF(IFERROR(MATCH(16,'List A'!$S$5:$S$204,0)+4,"")="","",INDEX('List A'!$K$5:$K$204,IFERROR(MATCH(16,'List A'!$S$5:$S$204,0)+4,"")-4))=""),"",INDEX('List B'!$A$5:$A$204,IF(IFERROR(MATCH(16,'List A'!$S$5:$S$204,0)+4,"")="","",INDEX('List A'!$K$5:$K$204,IFERROR(MATCH(16,'List A'!$S$5:$S$204,0)+4,"")-4))-4))</f>
        <v/>
      </c>
      <c r="F20" s="53">
        <f>IF(OR(IFERROR(MATCH(16,'List A'!$S$5:$S$204,0)+4,"")="",IF(IFERROR(MATCH(16,'List A'!$S$5:$S$204,0)+4,"")="","",INDEX('List A'!$K$5:$K$204,IFERROR(MATCH(16,'List A'!$S$5:$S$204,0)+4,"")-4))=""),"",INDEX('List B'!$B$5:$B$204,IF(IFERROR(MATCH(16,'List A'!$S$5:$S$204,0)+4,"")="","",INDEX('List A'!$K$5:$K$204,IFERROR(MATCH(16,'List A'!$S$5:$S$204,0)+4,"")-4))-4))</f>
        <v/>
      </c>
      <c r="G20" s="52">
        <f>IF(OR(IFERROR(MATCH(16,'List A'!$S$5:$S$204,0)+4,"")="",IF(IFERROR(MATCH(16,'List A'!$S$5:$S$204,0)+4,"")="","",INDEX('List A'!$K$5:$K$204,IFERROR(MATCH(16,'List A'!$S$5:$S$204,0)+4,"")-4))=""),"",INDEX('List B'!$C$5:$C$204,IF(IFERROR(MATCH(16,'List A'!$S$5:$S$204,0)+4,"")="","",INDEX('List A'!$K$5:$K$204,IFERROR(MATCH(16,'List A'!$S$5:$S$204,0)+4,"")-4))-4))</f>
        <v/>
      </c>
      <c r="H20" s="53">
        <f>IF(OR(IFERROR(MATCH(16,'List A'!$S$5:$S$204,0)+4,"")="",IF(IFERROR(MATCH(16,'List A'!$S$5:$S$204,0)+4,"")="","",INDEX('List A'!$K$5:$K$204,IFERROR(MATCH(16,'List A'!$S$5:$S$204,0)+4,"")-4))=""),"",INDEX('List B'!$D$5:$D$204,IF(IFERROR(MATCH(16,'List A'!$S$5:$S$204,0)+4,"")="","",INDEX('List A'!$K$5:$K$204,IFERROR(MATCH(16,'List A'!$S$5:$S$204,0)+4,"")-4))-4))</f>
        <v/>
      </c>
      <c r="I20" s="52">
        <f>IF(IFERROR(MATCH(16,'List A'!$S$5:$S$204,0)+4,"")="","",INDEX('List A'!$N$5:$N$204,IFERROR(MATCH(16,'List A'!$S$5:$S$204,0)+4,"")-4))</f>
        <v/>
      </c>
      <c r="J20" s="53">
        <f>IF(IFERROR(MATCH(16,'List A'!$S$5:$S$204,0)+4,"")="","",INDEX('List A'!$O$5:$O$204,IFERROR(MATCH(16,'List A'!$S$5:$S$204,0)+4,"")-4))</f>
        <v/>
      </c>
    </row>
    <row r="21" ht="17" customHeight="1">
      <c r="A21" s="87">
        <f>IF(IFERROR(MATCH(17,'List A'!$S$5:$S$204,0)+4,"")="","",INDEX('List A'!$A$5:$A$204,IFERROR(MATCH(17,'List A'!$S$5:$S$204,0)+4,"")-4))</f>
        <v/>
      </c>
      <c r="B21" s="53">
        <f>IF(IFERROR(MATCH(17,'List A'!$S$5:$S$204,0)+4,"")="","",INDEX('List A'!$B$5:$B$204,IFERROR(MATCH(17,'List A'!$S$5:$S$204,0)+4,"")-4))</f>
        <v/>
      </c>
      <c r="C21" s="52">
        <f>IF(IFERROR(MATCH(17,'List A'!$S$5:$S$204,0)+4,"")="","",INDEX('List A'!$C$5:$C$204,IFERROR(MATCH(17,'List A'!$S$5:$S$204,0)+4,"")-4))</f>
        <v/>
      </c>
      <c r="D21" s="53">
        <f>IF(IFERROR(MATCH(17,'List A'!$S$5:$S$204,0)+4,"")="","",INDEX('List A'!$D$5:$D$204,IFERROR(MATCH(17,'List A'!$S$5:$S$204,0)+4,"")-4))</f>
        <v/>
      </c>
      <c r="E21" s="87">
        <f>IF(OR(IFERROR(MATCH(17,'List A'!$S$5:$S$204,0)+4,"")="",IF(IFERROR(MATCH(17,'List A'!$S$5:$S$204,0)+4,"")="","",INDEX('List A'!$K$5:$K$204,IFERROR(MATCH(17,'List A'!$S$5:$S$204,0)+4,"")-4))=""),"",INDEX('List B'!$A$5:$A$204,IF(IFERROR(MATCH(17,'List A'!$S$5:$S$204,0)+4,"")="","",INDEX('List A'!$K$5:$K$204,IFERROR(MATCH(17,'List A'!$S$5:$S$204,0)+4,"")-4))-4))</f>
        <v/>
      </c>
      <c r="F21" s="53">
        <f>IF(OR(IFERROR(MATCH(17,'List A'!$S$5:$S$204,0)+4,"")="",IF(IFERROR(MATCH(17,'List A'!$S$5:$S$204,0)+4,"")="","",INDEX('List A'!$K$5:$K$204,IFERROR(MATCH(17,'List A'!$S$5:$S$204,0)+4,"")-4))=""),"",INDEX('List B'!$B$5:$B$204,IF(IFERROR(MATCH(17,'List A'!$S$5:$S$204,0)+4,"")="","",INDEX('List A'!$K$5:$K$204,IFERROR(MATCH(17,'List A'!$S$5:$S$204,0)+4,"")-4))-4))</f>
        <v/>
      </c>
      <c r="G21" s="52">
        <f>IF(OR(IFERROR(MATCH(17,'List A'!$S$5:$S$204,0)+4,"")="",IF(IFERROR(MATCH(17,'List A'!$S$5:$S$204,0)+4,"")="","",INDEX('List A'!$K$5:$K$204,IFERROR(MATCH(17,'List A'!$S$5:$S$204,0)+4,"")-4))=""),"",INDEX('List B'!$C$5:$C$204,IF(IFERROR(MATCH(17,'List A'!$S$5:$S$204,0)+4,"")="","",INDEX('List A'!$K$5:$K$204,IFERROR(MATCH(17,'List A'!$S$5:$S$204,0)+4,"")-4))-4))</f>
        <v/>
      </c>
      <c r="H21" s="53">
        <f>IF(OR(IFERROR(MATCH(17,'List A'!$S$5:$S$204,0)+4,"")="",IF(IFERROR(MATCH(17,'List A'!$S$5:$S$204,0)+4,"")="","",INDEX('List A'!$K$5:$K$204,IFERROR(MATCH(17,'List A'!$S$5:$S$204,0)+4,"")-4))=""),"",INDEX('List B'!$D$5:$D$204,IF(IFERROR(MATCH(17,'List A'!$S$5:$S$204,0)+4,"")="","",INDEX('List A'!$K$5:$K$204,IFERROR(MATCH(17,'List A'!$S$5:$S$204,0)+4,"")-4))-4))</f>
        <v/>
      </c>
      <c r="I21" s="52">
        <f>IF(IFERROR(MATCH(17,'List A'!$S$5:$S$204,0)+4,"")="","",INDEX('List A'!$N$5:$N$204,IFERROR(MATCH(17,'List A'!$S$5:$S$204,0)+4,"")-4))</f>
        <v/>
      </c>
      <c r="J21" s="53">
        <f>IF(IFERROR(MATCH(17,'List A'!$S$5:$S$204,0)+4,"")="","",INDEX('List A'!$O$5:$O$204,IFERROR(MATCH(17,'List A'!$S$5:$S$204,0)+4,"")-4))</f>
        <v/>
      </c>
    </row>
    <row r="22" ht="17" customHeight="1">
      <c r="A22" s="87">
        <f>IF(IFERROR(MATCH(18,'List A'!$S$5:$S$204,0)+4,"")="","",INDEX('List A'!$A$5:$A$204,IFERROR(MATCH(18,'List A'!$S$5:$S$204,0)+4,"")-4))</f>
        <v/>
      </c>
      <c r="B22" s="53">
        <f>IF(IFERROR(MATCH(18,'List A'!$S$5:$S$204,0)+4,"")="","",INDEX('List A'!$B$5:$B$204,IFERROR(MATCH(18,'List A'!$S$5:$S$204,0)+4,"")-4))</f>
        <v/>
      </c>
      <c r="C22" s="52">
        <f>IF(IFERROR(MATCH(18,'List A'!$S$5:$S$204,0)+4,"")="","",INDEX('List A'!$C$5:$C$204,IFERROR(MATCH(18,'List A'!$S$5:$S$204,0)+4,"")-4))</f>
        <v/>
      </c>
      <c r="D22" s="53">
        <f>IF(IFERROR(MATCH(18,'List A'!$S$5:$S$204,0)+4,"")="","",INDEX('List A'!$D$5:$D$204,IFERROR(MATCH(18,'List A'!$S$5:$S$204,0)+4,"")-4))</f>
        <v/>
      </c>
      <c r="E22" s="87">
        <f>IF(OR(IFERROR(MATCH(18,'List A'!$S$5:$S$204,0)+4,"")="",IF(IFERROR(MATCH(18,'List A'!$S$5:$S$204,0)+4,"")="","",INDEX('List A'!$K$5:$K$204,IFERROR(MATCH(18,'List A'!$S$5:$S$204,0)+4,"")-4))=""),"",INDEX('List B'!$A$5:$A$204,IF(IFERROR(MATCH(18,'List A'!$S$5:$S$204,0)+4,"")="","",INDEX('List A'!$K$5:$K$204,IFERROR(MATCH(18,'List A'!$S$5:$S$204,0)+4,"")-4))-4))</f>
        <v/>
      </c>
      <c r="F22" s="53">
        <f>IF(OR(IFERROR(MATCH(18,'List A'!$S$5:$S$204,0)+4,"")="",IF(IFERROR(MATCH(18,'List A'!$S$5:$S$204,0)+4,"")="","",INDEX('List A'!$K$5:$K$204,IFERROR(MATCH(18,'List A'!$S$5:$S$204,0)+4,"")-4))=""),"",INDEX('List B'!$B$5:$B$204,IF(IFERROR(MATCH(18,'List A'!$S$5:$S$204,0)+4,"")="","",INDEX('List A'!$K$5:$K$204,IFERROR(MATCH(18,'List A'!$S$5:$S$204,0)+4,"")-4))-4))</f>
        <v/>
      </c>
      <c r="G22" s="52">
        <f>IF(OR(IFERROR(MATCH(18,'List A'!$S$5:$S$204,0)+4,"")="",IF(IFERROR(MATCH(18,'List A'!$S$5:$S$204,0)+4,"")="","",INDEX('List A'!$K$5:$K$204,IFERROR(MATCH(18,'List A'!$S$5:$S$204,0)+4,"")-4))=""),"",INDEX('List B'!$C$5:$C$204,IF(IFERROR(MATCH(18,'List A'!$S$5:$S$204,0)+4,"")="","",INDEX('List A'!$K$5:$K$204,IFERROR(MATCH(18,'List A'!$S$5:$S$204,0)+4,"")-4))-4))</f>
        <v/>
      </c>
      <c r="H22" s="53">
        <f>IF(OR(IFERROR(MATCH(18,'List A'!$S$5:$S$204,0)+4,"")="",IF(IFERROR(MATCH(18,'List A'!$S$5:$S$204,0)+4,"")="","",INDEX('List A'!$K$5:$K$204,IFERROR(MATCH(18,'List A'!$S$5:$S$204,0)+4,"")-4))=""),"",INDEX('List B'!$D$5:$D$204,IF(IFERROR(MATCH(18,'List A'!$S$5:$S$204,0)+4,"")="","",INDEX('List A'!$K$5:$K$204,IFERROR(MATCH(18,'List A'!$S$5:$S$204,0)+4,"")-4))-4))</f>
        <v/>
      </c>
      <c r="I22" s="52">
        <f>IF(IFERROR(MATCH(18,'List A'!$S$5:$S$204,0)+4,"")="","",INDEX('List A'!$N$5:$N$204,IFERROR(MATCH(18,'List A'!$S$5:$S$204,0)+4,"")-4))</f>
        <v/>
      </c>
      <c r="J22" s="53">
        <f>IF(IFERROR(MATCH(18,'List A'!$S$5:$S$204,0)+4,"")="","",INDEX('List A'!$O$5:$O$204,IFERROR(MATCH(18,'List A'!$S$5:$S$204,0)+4,"")-4))</f>
        <v/>
      </c>
    </row>
    <row r="23" ht="17" customHeight="1">
      <c r="A23" s="87">
        <f>IF(IFERROR(MATCH(19,'List A'!$S$5:$S$204,0)+4,"")="","",INDEX('List A'!$A$5:$A$204,IFERROR(MATCH(19,'List A'!$S$5:$S$204,0)+4,"")-4))</f>
        <v/>
      </c>
      <c r="B23" s="53">
        <f>IF(IFERROR(MATCH(19,'List A'!$S$5:$S$204,0)+4,"")="","",INDEX('List A'!$B$5:$B$204,IFERROR(MATCH(19,'List A'!$S$5:$S$204,0)+4,"")-4))</f>
        <v/>
      </c>
      <c r="C23" s="52">
        <f>IF(IFERROR(MATCH(19,'List A'!$S$5:$S$204,0)+4,"")="","",INDEX('List A'!$C$5:$C$204,IFERROR(MATCH(19,'List A'!$S$5:$S$204,0)+4,"")-4))</f>
        <v/>
      </c>
      <c r="D23" s="53">
        <f>IF(IFERROR(MATCH(19,'List A'!$S$5:$S$204,0)+4,"")="","",INDEX('List A'!$D$5:$D$204,IFERROR(MATCH(19,'List A'!$S$5:$S$204,0)+4,"")-4))</f>
        <v/>
      </c>
      <c r="E23" s="87">
        <f>IF(OR(IFERROR(MATCH(19,'List A'!$S$5:$S$204,0)+4,"")="",IF(IFERROR(MATCH(19,'List A'!$S$5:$S$204,0)+4,"")="","",INDEX('List A'!$K$5:$K$204,IFERROR(MATCH(19,'List A'!$S$5:$S$204,0)+4,"")-4))=""),"",INDEX('List B'!$A$5:$A$204,IF(IFERROR(MATCH(19,'List A'!$S$5:$S$204,0)+4,"")="","",INDEX('List A'!$K$5:$K$204,IFERROR(MATCH(19,'List A'!$S$5:$S$204,0)+4,"")-4))-4))</f>
        <v/>
      </c>
      <c r="F23" s="53">
        <f>IF(OR(IFERROR(MATCH(19,'List A'!$S$5:$S$204,0)+4,"")="",IF(IFERROR(MATCH(19,'List A'!$S$5:$S$204,0)+4,"")="","",INDEX('List A'!$K$5:$K$204,IFERROR(MATCH(19,'List A'!$S$5:$S$204,0)+4,"")-4))=""),"",INDEX('List B'!$B$5:$B$204,IF(IFERROR(MATCH(19,'List A'!$S$5:$S$204,0)+4,"")="","",INDEX('List A'!$K$5:$K$204,IFERROR(MATCH(19,'List A'!$S$5:$S$204,0)+4,"")-4))-4))</f>
        <v/>
      </c>
      <c r="G23" s="52">
        <f>IF(OR(IFERROR(MATCH(19,'List A'!$S$5:$S$204,0)+4,"")="",IF(IFERROR(MATCH(19,'List A'!$S$5:$S$204,0)+4,"")="","",INDEX('List A'!$K$5:$K$204,IFERROR(MATCH(19,'List A'!$S$5:$S$204,0)+4,"")-4))=""),"",INDEX('List B'!$C$5:$C$204,IF(IFERROR(MATCH(19,'List A'!$S$5:$S$204,0)+4,"")="","",INDEX('List A'!$K$5:$K$204,IFERROR(MATCH(19,'List A'!$S$5:$S$204,0)+4,"")-4))-4))</f>
        <v/>
      </c>
      <c r="H23" s="53">
        <f>IF(OR(IFERROR(MATCH(19,'List A'!$S$5:$S$204,0)+4,"")="",IF(IFERROR(MATCH(19,'List A'!$S$5:$S$204,0)+4,"")="","",INDEX('List A'!$K$5:$K$204,IFERROR(MATCH(19,'List A'!$S$5:$S$204,0)+4,"")-4))=""),"",INDEX('List B'!$D$5:$D$204,IF(IFERROR(MATCH(19,'List A'!$S$5:$S$204,0)+4,"")="","",INDEX('List A'!$K$5:$K$204,IFERROR(MATCH(19,'List A'!$S$5:$S$204,0)+4,"")-4))-4))</f>
        <v/>
      </c>
      <c r="I23" s="52">
        <f>IF(IFERROR(MATCH(19,'List A'!$S$5:$S$204,0)+4,"")="","",INDEX('List A'!$N$5:$N$204,IFERROR(MATCH(19,'List A'!$S$5:$S$204,0)+4,"")-4))</f>
        <v/>
      </c>
      <c r="J23" s="53">
        <f>IF(IFERROR(MATCH(19,'List A'!$S$5:$S$204,0)+4,"")="","",INDEX('List A'!$O$5:$O$204,IFERROR(MATCH(19,'List A'!$S$5:$S$204,0)+4,"")-4))</f>
        <v/>
      </c>
    </row>
    <row r="24" ht="17" customHeight="1">
      <c r="A24" s="87">
        <f>IF(IFERROR(MATCH(20,'List A'!$S$5:$S$204,0)+4,"")="","",INDEX('List A'!$A$5:$A$204,IFERROR(MATCH(20,'List A'!$S$5:$S$204,0)+4,"")-4))</f>
        <v/>
      </c>
      <c r="B24" s="53">
        <f>IF(IFERROR(MATCH(20,'List A'!$S$5:$S$204,0)+4,"")="","",INDEX('List A'!$B$5:$B$204,IFERROR(MATCH(20,'List A'!$S$5:$S$204,0)+4,"")-4))</f>
        <v/>
      </c>
      <c r="C24" s="52">
        <f>IF(IFERROR(MATCH(20,'List A'!$S$5:$S$204,0)+4,"")="","",INDEX('List A'!$C$5:$C$204,IFERROR(MATCH(20,'List A'!$S$5:$S$204,0)+4,"")-4))</f>
        <v/>
      </c>
      <c r="D24" s="53">
        <f>IF(IFERROR(MATCH(20,'List A'!$S$5:$S$204,0)+4,"")="","",INDEX('List A'!$D$5:$D$204,IFERROR(MATCH(20,'List A'!$S$5:$S$204,0)+4,"")-4))</f>
        <v/>
      </c>
      <c r="E24" s="87">
        <f>IF(OR(IFERROR(MATCH(20,'List A'!$S$5:$S$204,0)+4,"")="",IF(IFERROR(MATCH(20,'List A'!$S$5:$S$204,0)+4,"")="","",INDEX('List A'!$K$5:$K$204,IFERROR(MATCH(20,'List A'!$S$5:$S$204,0)+4,"")-4))=""),"",INDEX('List B'!$A$5:$A$204,IF(IFERROR(MATCH(20,'List A'!$S$5:$S$204,0)+4,"")="","",INDEX('List A'!$K$5:$K$204,IFERROR(MATCH(20,'List A'!$S$5:$S$204,0)+4,"")-4))-4))</f>
        <v/>
      </c>
      <c r="F24" s="53">
        <f>IF(OR(IFERROR(MATCH(20,'List A'!$S$5:$S$204,0)+4,"")="",IF(IFERROR(MATCH(20,'List A'!$S$5:$S$204,0)+4,"")="","",INDEX('List A'!$K$5:$K$204,IFERROR(MATCH(20,'List A'!$S$5:$S$204,0)+4,"")-4))=""),"",INDEX('List B'!$B$5:$B$204,IF(IFERROR(MATCH(20,'List A'!$S$5:$S$204,0)+4,"")="","",INDEX('List A'!$K$5:$K$204,IFERROR(MATCH(20,'List A'!$S$5:$S$204,0)+4,"")-4))-4))</f>
        <v/>
      </c>
      <c r="G24" s="52">
        <f>IF(OR(IFERROR(MATCH(20,'List A'!$S$5:$S$204,0)+4,"")="",IF(IFERROR(MATCH(20,'List A'!$S$5:$S$204,0)+4,"")="","",INDEX('List A'!$K$5:$K$204,IFERROR(MATCH(20,'List A'!$S$5:$S$204,0)+4,"")-4))=""),"",INDEX('List B'!$C$5:$C$204,IF(IFERROR(MATCH(20,'List A'!$S$5:$S$204,0)+4,"")="","",INDEX('List A'!$K$5:$K$204,IFERROR(MATCH(20,'List A'!$S$5:$S$204,0)+4,"")-4))-4))</f>
        <v/>
      </c>
      <c r="H24" s="53">
        <f>IF(OR(IFERROR(MATCH(20,'List A'!$S$5:$S$204,0)+4,"")="",IF(IFERROR(MATCH(20,'List A'!$S$5:$S$204,0)+4,"")="","",INDEX('List A'!$K$5:$K$204,IFERROR(MATCH(20,'List A'!$S$5:$S$204,0)+4,"")-4))=""),"",INDEX('List B'!$D$5:$D$204,IF(IFERROR(MATCH(20,'List A'!$S$5:$S$204,0)+4,"")="","",INDEX('List A'!$K$5:$K$204,IFERROR(MATCH(20,'List A'!$S$5:$S$204,0)+4,"")-4))-4))</f>
        <v/>
      </c>
      <c r="I24" s="52">
        <f>IF(IFERROR(MATCH(20,'List A'!$S$5:$S$204,0)+4,"")="","",INDEX('List A'!$N$5:$N$204,IFERROR(MATCH(20,'List A'!$S$5:$S$204,0)+4,"")-4))</f>
        <v/>
      </c>
      <c r="J24" s="53">
        <f>IF(IFERROR(MATCH(20,'List A'!$S$5:$S$204,0)+4,"")="","",INDEX('List A'!$O$5:$O$204,IFERROR(MATCH(20,'List A'!$S$5:$S$204,0)+4,"")-4))</f>
        <v/>
      </c>
    </row>
    <row r="25" ht="17" customHeight="1">
      <c r="A25" s="87">
        <f>IF(IFERROR(MATCH(21,'List A'!$S$5:$S$204,0)+4,"")="","",INDEX('List A'!$A$5:$A$204,IFERROR(MATCH(21,'List A'!$S$5:$S$204,0)+4,"")-4))</f>
        <v/>
      </c>
      <c r="B25" s="53">
        <f>IF(IFERROR(MATCH(21,'List A'!$S$5:$S$204,0)+4,"")="","",INDEX('List A'!$B$5:$B$204,IFERROR(MATCH(21,'List A'!$S$5:$S$204,0)+4,"")-4))</f>
        <v/>
      </c>
      <c r="C25" s="52">
        <f>IF(IFERROR(MATCH(21,'List A'!$S$5:$S$204,0)+4,"")="","",INDEX('List A'!$C$5:$C$204,IFERROR(MATCH(21,'List A'!$S$5:$S$204,0)+4,"")-4))</f>
        <v/>
      </c>
      <c r="D25" s="53">
        <f>IF(IFERROR(MATCH(21,'List A'!$S$5:$S$204,0)+4,"")="","",INDEX('List A'!$D$5:$D$204,IFERROR(MATCH(21,'List A'!$S$5:$S$204,0)+4,"")-4))</f>
        <v/>
      </c>
      <c r="E25" s="87">
        <f>IF(OR(IFERROR(MATCH(21,'List A'!$S$5:$S$204,0)+4,"")="",IF(IFERROR(MATCH(21,'List A'!$S$5:$S$204,0)+4,"")="","",INDEX('List A'!$K$5:$K$204,IFERROR(MATCH(21,'List A'!$S$5:$S$204,0)+4,"")-4))=""),"",INDEX('List B'!$A$5:$A$204,IF(IFERROR(MATCH(21,'List A'!$S$5:$S$204,0)+4,"")="","",INDEX('List A'!$K$5:$K$204,IFERROR(MATCH(21,'List A'!$S$5:$S$204,0)+4,"")-4))-4))</f>
        <v/>
      </c>
      <c r="F25" s="53">
        <f>IF(OR(IFERROR(MATCH(21,'List A'!$S$5:$S$204,0)+4,"")="",IF(IFERROR(MATCH(21,'List A'!$S$5:$S$204,0)+4,"")="","",INDEX('List A'!$K$5:$K$204,IFERROR(MATCH(21,'List A'!$S$5:$S$204,0)+4,"")-4))=""),"",INDEX('List B'!$B$5:$B$204,IF(IFERROR(MATCH(21,'List A'!$S$5:$S$204,0)+4,"")="","",INDEX('List A'!$K$5:$K$204,IFERROR(MATCH(21,'List A'!$S$5:$S$204,0)+4,"")-4))-4))</f>
        <v/>
      </c>
      <c r="G25" s="52">
        <f>IF(OR(IFERROR(MATCH(21,'List A'!$S$5:$S$204,0)+4,"")="",IF(IFERROR(MATCH(21,'List A'!$S$5:$S$204,0)+4,"")="","",INDEX('List A'!$K$5:$K$204,IFERROR(MATCH(21,'List A'!$S$5:$S$204,0)+4,"")-4))=""),"",INDEX('List B'!$C$5:$C$204,IF(IFERROR(MATCH(21,'List A'!$S$5:$S$204,0)+4,"")="","",INDEX('List A'!$K$5:$K$204,IFERROR(MATCH(21,'List A'!$S$5:$S$204,0)+4,"")-4))-4))</f>
        <v/>
      </c>
      <c r="H25" s="53">
        <f>IF(OR(IFERROR(MATCH(21,'List A'!$S$5:$S$204,0)+4,"")="",IF(IFERROR(MATCH(21,'List A'!$S$5:$S$204,0)+4,"")="","",INDEX('List A'!$K$5:$K$204,IFERROR(MATCH(21,'List A'!$S$5:$S$204,0)+4,"")-4))=""),"",INDEX('List B'!$D$5:$D$204,IF(IFERROR(MATCH(21,'List A'!$S$5:$S$204,0)+4,"")="","",INDEX('List A'!$K$5:$K$204,IFERROR(MATCH(21,'List A'!$S$5:$S$204,0)+4,"")-4))-4))</f>
        <v/>
      </c>
      <c r="I25" s="52">
        <f>IF(IFERROR(MATCH(21,'List A'!$S$5:$S$204,0)+4,"")="","",INDEX('List A'!$N$5:$N$204,IFERROR(MATCH(21,'List A'!$S$5:$S$204,0)+4,"")-4))</f>
        <v/>
      </c>
      <c r="J25" s="53">
        <f>IF(IFERROR(MATCH(21,'List A'!$S$5:$S$204,0)+4,"")="","",INDEX('List A'!$O$5:$O$204,IFERROR(MATCH(21,'List A'!$S$5:$S$204,0)+4,"")-4))</f>
        <v/>
      </c>
    </row>
    <row r="26" ht="17" customHeight="1">
      <c r="A26" s="87">
        <f>IF(IFERROR(MATCH(22,'List A'!$S$5:$S$204,0)+4,"")="","",INDEX('List A'!$A$5:$A$204,IFERROR(MATCH(22,'List A'!$S$5:$S$204,0)+4,"")-4))</f>
        <v/>
      </c>
      <c r="B26" s="53">
        <f>IF(IFERROR(MATCH(22,'List A'!$S$5:$S$204,0)+4,"")="","",INDEX('List A'!$B$5:$B$204,IFERROR(MATCH(22,'List A'!$S$5:$S$204,0)+4,"")-4))</f>
        <v/>
      </c>
      <c r="C26" s="52">
        <f>IF(IFERROR(MATCH(22,'List A'!$S$5:$S$204,0)+4,"")="","",INDEX('List A'!$C$5:$C$204,IFERROR(MATCH(22,'List A'!$S$5:$S$204,0)+4,"")-4))</f>
        <v/>
      </c>
      <c r="D26" s="53">
        <f>IF(IFERROR(MATCH(22,'List A'!$S$5:$S$204,0)+4,"")="","",INDEX('List A'!$D$5:$D$204,IFERROR(MATCH(22,'List A'!$S$5:$S$204,0)+4,"")-4))</f>
        <v/>
      </c>
      <c r="E26" s="87">
        <f>IF(OR(IFERROR(MATCH(22,'List A'!$S$5:$S$204,0)+4,"")="",IF(IFERROR(MATCH(22,'List A'!$S$5:$S$204,0)+4,"")="","",INDEX('List A'!$K$5:$K$204,IFERROR(MATCH(22,'List A'!$S$5:$S$204,0)+4,"")-4))=""),"",INDEX('List B'!$A$5:$A$204,IF(IFERROR(MATCH(22,'List A'!$S$5:$S$204,0)+4,"")="","",INDEX('List A'!$K$5:$K$204,IFERROR(MATCH(22,'List A'!$S$5:$S$204,0)+4,"")-4))-4))</f>
        <v/>
      </c>
      <c r="F26" s="53">
        <f>IF(OR(IFERROR(MATCH(22,'List A'!$S$5:$S$204,0)+4,"")="",IF(IFERROR(MATCH(22,'List A'!$S$5:$S$204,0)+4,"")="","",INDEX('List A'!$K$5:$K$204,IFERROR(MATCH(22,'List A'!$S$5:$S$204,0)+4,"")-4))=""),"",INDEX('List B'!$B$5:$B$204,IF(IFERROR(MATCH(22,'List A'!$S$5:$S$204,0)+4,"")="","",INDEX('List A'!$K$5:$K$204,IFERROR(MATCH(22,'List A'!$S$5:$S$204,0)+4,"")-4))-4))</f>
        <v/>
      </c>
      <c r="G26" s="52">
        <f>IF(OR(IFERROR(MATCH(22,'List A'!$S$5:$S$204,0)+4,"")="",IF(IFERROR(MATCH(22,'List A'!$S$5:$S$204,0)+4,"")="","",INDEX('List A'!$K$5:$K$204,IFERROR(MATCH(22,'List A'!$S$5:$S$204,0)+4,"")-4))=""),"",INDEX('List B'!$C$5:$C$204,IF(IFERROR(MATCH(22,'List A'!$S$5:$S$204,0)+4,"")="","",INDEX('List A'!$K$5:$K$204,IFERROR(MATCH(22,'List A'!$S$5:$S$204,0)+4,"")-4))-4))</f>
        <v/>
      </c>
      <c r="H26" s="53">
        <f>IF(OR(IFERROR(MATCH(22,'List A'!$S$5:$S$204,0)+4,"")="",IF(IFERROR(MATCH(22,'List A'!$S$5:$S$204,0)+4,"")="","",INDEX('List A'!$K$5:$K$204,IFERROR(MATCH(22,'List A'!$S$5:$S$204,0)+4,"")-4))=""),"",INDEX('List B'!$D$5:$D$204,IF(IFERROR(MATCH(22,'List A'!$S$5:$S$204,0)+4,"")="","",INDEX('List A'!$K$5:$K$204,IFERROR(MATCH(22,'List A'!$S$5:$S$204,0)+4,"")-4))-4))</f>
        <v/>
      </c>
      <c r="I26" s="52">
        <f>IF(IFERROR(MATCH(22,'List A'!$S$5:$S$204,0)+4,"")="","",INDEX('List A'!$N$5:$N$204,IFERROR(MATCH(22,'List A'!$S$5:$S$204,0)+4,"")-4))</f>
        <v/>
      </c>
      <c r="J26" s="53">
        <f>IF(IFERROR(MATCH(22,'List A'!$S$5:$S$204,0)+4,"")="","",INDEX('List A'!$O$5:$O$204,IFERROR(MATCH(22,'List A'!$S$5:$S$204,0)+4,"")-4))</f>
        <v/>
      </c>
    </row>
    <row r="27" ht="17" customHeight="1">
      <c r="A27" s="87">
        <f>IF(IFERROR(MATCH(23,'List A'!$S$5:$S$204,0)+4,"")="","",INDEX('List A'!$A$5:$A$204,IFERROR(MATCH(23,'List A'!$S$5:$S$204,0)+4,"")-4))</f>
        <v/>
      </c>
      <c r="B27" s="53">
        <f>IF(IFERROR(MATCH(23,'List A'!$S$5:$S$204,0)+4,"")="","",INDEX('List A'!$B$5:$B$204,IFERROR(MATCH(23,'List A'!$S$5:$S$204,0)+4,"")-4))</f>
        <v/>
      </c>
      <c r="C27" s="52">
        <f>IF(IFERROR(MATCH(23,'List A'!$S$5:$S$204,0)+4,"")="","",INDEX('List A'!$C$5:$C$204,IFERROR(MATCH(23,'List A'!$S$5:$S$204,0)+4,"")-4))</f>
        <v/>
      </c>
      <c r="D27" s="53">
        <f>IF(IFERROR(MATCH(23,'List A'!$S$5:$S$204,0)+4,"")="","",INDEX('List A'!$D$5:$D$204,IFERROR(MATCH(23,'List A'!$S$5:$S$204,0)+4,"")-4))</f>
        <v/>
      </c>
      <c r="E27" s="87">
        <f>IF(OR(IFERROR(MATCH(23,'List A'!$S$5:$S$204,0)+4,"")="",IF(IFERROR(MATCH(23,'List A'!$S$5:$S$204,0)+4,"")="","",INDEX('List A'!$K$5:$K$204,IFERROR(MATCH(23,'List A'!$S$5:$S$204,0)+4,"")-4))=""),"",INDEX('List B'!$A$5:$A$204,IF(IFERROR(MATCH(23,'List A'!$S$5:$S$204,0)+4,"")="","",INDEX('List A'!$K$5:$K$204,IFERROR(MATCH(23,'List A'!$S$5:$S$204,0)+4,"")-4))-4))</f>
        <v/>
      </c>
      <c r="F27" s="53">
        <f>IF(OR(IFERROR(MATCH(23,'List A'!$S$5:$S$204,0)+4,"")="",IF(IFERROR(MATCH(23,'List A'!$S$5:$S$204,0)+4,"")="","",INDEX('List A'!$K$5:$K$204,IFERROR(MATCH(23,'List A'!$S$5:$S$204,0)+4,"")-4))=""),"",INDEX('List B'!$B$5:$B$204,IF(IFERROR(MATCH(23,'List A'!$S$5:$S$204,0)+4,"")="","",INDEX('List A'!$K$5:$K$204,IFERROR(MATCH(23,'List A'!$S$5:$S$204,0)+4,"")-4))-4))</f>
        <v/>
      </c>
      <c r="G27" s="52">
        <f>IF(OR(IFERROR(MATCH(23,'List A'!$S$5:$S$204,0)+4,"")="",IF(IFERROR(MATCH(23,'List A'!$S$5:$S$204,0)+4,"")="","",INDEX('List A'!$K$5:$K$204,IFERROR(MATCH(23,'List A'!$S$5:$S$204,0)+4,"")-4))=""),"",INDEX('List B'!$C$5:$C$204,IF(IFERROR(MATCH(23,'List A'!$S$5:$S$204,0)+4,"")="","",INDEX('List A'!$K$5:$K$204,IFERROR(MATCH(23,'List A'!$S$5:$S$204,0)+4,"")-4))-4))</f>
        <v/>
      </c>
      <c r="H27" s="53">
        <f>IF(OR(IFERROR(MATCH(23,'List A'!$S$5:$S$204,0)+4,"")="",IF(IFERROR(MATCH(23,'List A'!$S$5:$S$204,0)+4,"")="","",INDEX('List A'!$K$5:$K$204,IFERROR(MATCH(23,'List A'!$S$5:$S$204,0)+4,"")-4))=""),"",INDEX('List B'!$D$5:$D$204,IF(IFERROR(MATCH(23,'List A'!$S$5:$S$204,0)+4,"")="","",INDEX('List A'!$K$5:$K$204,IFERROR(MATCH(23,'List A'!$S$5:$S$204,0)+4,"")-4))-4))</f>
        <v/>
      </c>
      <c r="I27" s="52">
        <f>IF(IFERROR(MATCH(23,'List A'!$S$5:$S$204,0)+4,"")="","",INDEX('List A'!$N$5:$N$204,IFERROR(MATCH(23,'List A'!$S$5:$S$204,0)+4,"")-4))</f>
        <v/>
      </c>
      <c r="J27" s="53">
        <f>IF(IFERROR(MATCH(23,'List A'!$S$5:$S$204,0)+4,"")="","",INDEX('List A'!$O$5:$O$204,IFERROR(MATCH(23,'List A'!$S$5:$S$204,0)+4,"")-4))</f>
        <v/>
      </c>
    </row>
    <row r="28" ht="17" customHeight="1">
      <c r="A28" s="87">
        <f>IF(IFERROR(MATCH(24,'List A'!$S$5:$S$204,0)+4,"")="","",INDEX('List A'!$A$5:$A$204,IFERROR(MATCH(24,'List A'!$S$5:$S$204,0)+4,"")-4))</f>
        <v/>
      </c>
      <c r="B28" s="53">
        <f>IF(IFERROR(MATCH(24,'List A'!$S$5:$S$204,0)+4,"")="","",INDEX('List A'!$B$5:$B$204,IFERROR(MATCH(24,'List A'!$S$5:$S$204,0)+4,"")-4))</f>
        <v/>
      </c>
      <c r="C28" s="52">
        <f>IF(IFERROR(MATCH(24,'List A'!$S$5:$S$204,0)+4,"")="","",INDEX('List A'!$C$5:$C$204,IFERROR(MATCH(24,'List A'!$S$5:$S$204,0)+4,"")-4))</f>
        <v/>
      </c>
      <c r="D28" s="53">
        <f>IF(IFERROR(MATCH(24,'List A'!$S$5:$S$204,0)+4,"")="","",INDEX('List A'!$D$5:$D$204,IFERROR(MATCH(24,'List A'!$S$5:$S$204,0)+4,"")-4))</f>
        <v/>
      </c>
      <c r="E28" s="87">
        <f>IF(OR(IFERROR(MATCH(24,'List A'!$S$5:$S$204,0)+4,"")="",IF(IFERROR(MATCH(24,'List A'!$S$5:$S$204,0)+4,"")="","",INDEX('List A'!$K$5:$K$204,IFERROR(MATCH(24,'List A'!$S$5:$S$204,0)+4,"")-4))=""),"",INDEX('List B'!$A$5:$A$204,IF(IFERROR(MATCH(24,'List A'!$S$5:$S$204,0)+4,"")="","",INDEX('List A'!$K$5:$K$204,IFERROR(MATCH(24,'List A'!$S$5:$S$204,0)+4,"")-4))-4))</f>
        <v/>
      </c>
      <c r="F28" s="53">
        <f>IF(OR(IFERROR(MATCH(24,'List A'!$S$5:$S$204,0)+4,"")="",IF(IFERROR(MATCH(24,'List A'!$S$5:$S$204,0)+4,"")="","",INDEX('List A'!$K$5:$K$204,IFERROR(MATCH(24,'List A'!$S$5:$S$204,0)+4,"")-4))=""),"",INDEX('List B'!$B$5:$B$204,IF(IFERROR(MATCH(24,'List A'!$S$5:$S$204,0)+4,"")="","",INDEX('List A'!$K$5:$K$204,IFERROR(MATCH(24,'List A'!$S$5:$S$204,0)+4,"")-4))-4))</f>
        <v/>
      </c>
      <c r="G28" s="52">
        <f>IF(OR(IFERROR(MATCH(24,'List A'!$S$5:$S$204,0)+4,"")="",IF(IFERROR(MATCH(24,'List A'!$S$5:$S$204,0)+4,"")="","",INDEX('List A'!$K$5:$K$204,IFERROR(MATCH(24,'List A'!$S$5:$S$204,0)+4,"")-4))=""),"",INDEX('List B'!$C$5:$C$204,IF(IFERROR(MATCH(24,'List A'!$S$5:$S$204,0)+4,"")="","",INDEX('List A'!$K$5:$K$204,IFERROR(MATCH(24,'List A'!$S$5:$S$204,0)+4,"")-4))-4))</f>
        <v/>
      </c>
      <c r="H28" s="53">
        <f>IF(OR(IFERROR(MATCH(24,'List A'!$S$5:$S$204,0)+4,"")="",IF(IFERROR(MATCH(24,'List A'!$S$5:$S$204,0)+4,"")="","",INDEX('List A'!$K$5:$K$204,IFERROR(MATCH(24,'List A'!$S$5:$S$204,0)+4,"")-4))=""),"",INDEX('List B'!$D$5:$D$204,IF(IFERROR(MATCH(24,'List A'!$S$5:$S$204,0)+4,"")="","",INDEX('List A'!$K$5:$K$204,IFERROR(MATCH(24,'List A'!$S$5:$S$204,0)+4,"")-4))-4))</f>
        <v/>
      </c>
      <c r="I28" s="52">
        <f>IF(IFERROR(MATCH(24,'List A'!$S$5:$S$204,0)+4,"")="","",INDEX('List A'!$N$5:$N$204,IFERROR(MATCH(24,'List A'!$S$5:$S$204,0)+4,"")-4))</f>
        <v/>
      </c>
      <c r="J28" s="53">
        <f>IF(IFERROR(MATCH(24,'List A'!$S$5:$S$204,0)+4,"")="","",INDEX('List A'!$O$5:$O$204,IFERROR(MATCH(24,'List A'!$S$5:$S$204,0)+4,"")-4))</f>
        <v/>
      </c>
    </row>
    <row r="29" ht="17" customHeight="1">
      <c r="A29" s="87">
        <f>IF(IFERROR(MATCH(25,'List A'!$S$5:$S$204,0)+4,"")="","",INDEX('List A'!$A$5:$A$204,IFERROR(MATCH(25,'List A'!$S$5:$S$204,0)+4,"")-4))</f>
        <v/>
      </c>
      <c r="B29" s="53">
        <f>IF(IFERROR(MATCH(25,'List A'!$S$5:$S$204,0)+4,"")="","",INDEX('List A'!$B$5:$B$204,IFERROR(MATCH(25,'List A'!$S$5:$S$204,0)+4,"")-4))</f>
        <v/>
      </c>
      <c r="C29" s="52">
        <f>IF(IFERROR(MATCH(25,'List A'!$S$5:$S$204,0)+4,"")="","",INDEX('List A'!$C$5:$C$204,IFERROR(MATCH(25,'List A'!$S$5:$S$204,0)+4,"")-4))</f>
        <v/>
      </c>
      <c r="D29" s="53">
        <f>IF(IFERROR(MATCH(25,'List A'!$S$5:$S$204,0)+4,"")="","",INDEX('List A'!$D$5:$D$204,IFERROR(MATCH(25,'List A'!$S$5:$S$204,0)+4,"")-4))</f>
        <v/>
      </c>
      <c r="E29" s="87">
        <f>IF(OR(IFERROR(MATCH(25,'List A'!$S$5:$S$204,0)+4,"")="",IF(IFERROR(MATCH(25,'List A'!$S$5:$S$204,0)+4,"")="","",INDEX('List A'!$K$5:$K$204,IFERROR(MATCH(25,'List A'!$S$5:$S$204,0)+4,"")-4))=""),"",INDEX('List B'!$A$5:$A$204,IF(IFERROR(MATCH(25,'List A'!$S$5:$S$204,0)+4,"")="","",INDEX('List A'!$K$5:$K$204,IFERROR(MATCH(25,'List A'!$S$5:$S$204,0)+4,"")-4))-4))</f>
        <v/>
      </c>
      <c r="F29" s="53">
        <f>IF(OR(IFERROR(MATCH(25,'List A'!$S$5:$S$204,0)+4,"")="",IF(IFERROR(MATCH(25,'List A'!$S$5:$S$204,0)+4,"")="","",INDEX('List A'!$K$5:$K$204,IFERROR(MATCH(25,'List A'!$S$5:$S$204,0)+4,"")-4))=""),"",INDEX('List B'!$B$5:$B$204,IF(IFERROR(MATCH(25,'List A'!$S$5:$S$204,0)+4,"")="","",INDEX('List A'!$K$5:$K$204,IFERROR(MATCH(25,'List A'!$S$5:$S$204,0)+4,"")-4))-4))</f>
        <v/>
      </c>
      <c r="G29" s="52">
        <f>IF(OR(IFERROR(MATCH(25,'List A'!$S$5:$S$204,0)+4,"")="",IF(IFERROR(MATCH(25,'List A'!$S$5:$S$204,0)+4,"")="","",INDEX('List A'!$K$5:$K$204,IFERROR(MATCH(25,'List A'!$S$5:$S$204,0)+4,"")-4))=""),"",INDEX('List B'!$C$5:$C$204,IF(IFERROR(MATCH(25,'List A'!$S$5:$S$204,0)+4,"")="","",INDEX('List A'!$K$5:$K$204,IFERROR(MATCH(25,'List A'!$S$5:$S$204,0)+4,"")-4))-4))</f>
        <v/>
      </c>
      <c r="H29" s="53">
        <f>IF(OR(IFERROR(MATCH(25,'List A'!$S$5:$S$204,0)+4,"")="",IF(IFERROR(MATCH(25,'List A'!$S$5:$S$204,0)+4,"")="","",INDEX('List A'!$K$5:$K$204,IFERROR(MATCH(25,'List A'!$S$5:$S$204,0)+4,"")-4))=""),"",INDEX('List B'!$D$5:$D$204,IF(IFERROR(MATCH(25,'List A'!$S$5:$S$204,0)+4,"")="","",INDEX('List A'!$K$5:$K$204,IFERROR(MATCH(25,'List A'!$S$5:$S$204,0)+4,"")-4))-4))</f>
        <v/>
      </c>
      <c r="I29" s="52">
        <f>IF(IFERROR(MATCH(25,'List A'!$S$5:$S$204,0)+4,"")="","",INDEX('List A'!$N$5:$N$204,IFERROR(MATCH(25,'List A'!$S$5:$S$204,0)+4,"")-4))</f>
        <v/>
      </c>
      <c r="J29" s="53">
        <f>IF(IFERROR(MATCH(25,'List A'!$S$5:$S$204,0)+4,"")="","",INDEX('List A'!$O$5:$O$204,IFERROR(MATCH(25,'List A'!$S$5:$S$204,0)+4,"")-4))</f>
        <v/>
      </c>
    </row>
    <row r="30" ht="17" customHeight="1">
      <c r="A30" s="87">
        <f>IF(IFERROR(MATCH(26,'List A'!$S$5:$S$204,0)+4,"")="","",INDEX('List A'!$A$5:$A$204,IFERROR(MATCH(26,'List A'!$S$5:$S$204,0)+4,"")-4))</f>
        <v/>
      </c>
      <c r="B30" s="53">
        <f>IF(IFERROR(MATCH(26,'List A'!$S$5:$S$204,0)+4,"")="","",INDEX('List A'!$B$5:$B$204,IFERROR(MATCH(26,'List A'!$S$5:$S$204,0)+4,"")-4))</f>
        <v/>
      </c>
      <c r="C30" s="52">
        <f>IF(IFERROR(MATCH(26,'List A'!$S$5:$S$204,0)+4,"")="","",INDEX('List A'!$C$5:$C$204,IFERROR(MATCH(26,'List A'!$S$5:$S$204,0)+4,"")-4))</f>
        <v/>
      </c>
      <c r="D30" s="53">
        <f>IF(IFERROR(MATCH(26,'List A'!$S$5:$S$204,0)+4,"")="","",INDEX('List A'!$D$5:$D$204,IFERROR(MATCH(26,'List A'!$S$5:$S$204,0)+4,"")-4))</f>
        <v/>
      </c>
      <c r="E30" s="87">
        <f>IF(OR(IFERROR(MATCH(26,'List A'!$S$5:$S$204,0)+4,"")="",IF(IFERROR(MATCH(26,'List A'!$S$5:$S$204,0)+4,"")="","",INDEX('List A'!$K$5:$K$204,IFERROR(MATCH(26,'List A'!$S$5:$S$204,0)+4,"")-4))=""),"",INDEX('List B'!$A$5:$A$204,IF(IFERROR(MATCH(26,'List A'!$S$5:$S$204,0)+4,"")="","",INDEX('List A'!$K$5:$K$204,IFERROR(MATCH(26,'List A'!$S$5:$S$204,0)+4,"")-4))-4))</f>
        <v/>
      </c>
      <c r="F30" s="53">
        <f>IF(OR(IFERROR(MATCH(26,'List A'!$S$5:$S$204,0)+4,"")="",IF(IFERROR(MATCH(26,'List A'!$S$5:$S$204,0)+4,"")="","",INDEX('List A'!$K$5:$K$204,IFERROR(MATCH(26,'List A'!$S$5:$S$204,0)+4,"")-4))=""),"",INDEX('List B'!$B$5:$B$204,IF(IFERROR(MATCH(26,'List A'!$S$5:$S$204,0)+4,"")="","",INDEX('List A'!$K$5:$K$204,IFERROR(MATCH(26,'List A'!$S$5:$S$204,0)+4,"")-4))-4))</f>
        <v/>
      </c>
      <c r="G30" s="52">
        <f>IF(OR(IFERROR(MATCH(26,'List A'!$S$5:$S$204,0)+4,"")="",IF(IFERROR(MATCH(26,'List A'!$S$5:$S$204,0)+4,"")="","",INDEX('List A'!$K$5:$K$204,IFERROR(MATCH(26,'List A'!$S$5:$S$204,0)+4,"")-4))=""),"",INDEX('List B'!$C$5:$C$204,IF(IFERROR(MATCH(26,'List A'!$S$5:$S$204,0)+4,"")="","",INDEX('List A'!$K$5:$K$204,IFERROR(MATCH(26,'List A'!$S$5:$S$204,0)+4,"")-4))-4))</f>
        <v/>
      </c>
      <c r="H30" s="53">
        <f>IF(OR(IFERROR(MATCH(26,'List A'!$S$5:$S$204,0)+4,"")="",IF(IFERROR(MATCH(26,'List A'!$S$5:$S$204,0)+4,"")="","",INDEX('List A'!$K$5:$K$204,IFERROR(MATCH(26,'List A'!$S$5:$S$204,0)+4,"")-4))=""),"",INDEX('List B'!$D$5:$D$204,IF(IFERROR(MATCH(26,'List A'!$S$5:$S$204,0)+4,"")="","",INDEX('List A'!$K$5:$K$204,IFERROR(MATCH(26,'List A'!$S$5:$S$204,0)+4,"")-4))-4))</f>
        <v/>
      </c>
      <c r="I30" s="52">
        <f>IF(IFERROR(MATCH(26,'List A'!$S$5:$S$204,0)+4,"")="","",INDEX('List A'!$N$5:$N$204,IFERROR(MATCH(26,'List A'!$S$5:$S$204,0)+4,"")-4))</f>
        <v/>
      </c>
      <c r="J30" s="53">
        <f>IF(IFERROR(MATCH(26,'List A'!$S$5:$S$204,0)+4,"")="","",INDEX('List A'!$O$5:$O$204,IFERROR(MATCH(26,'List A'!$S$5:$S$204,0)+4,"")-4))</f>
        <v/>
      </c>
    </row>
    <row r="31" ht="17" customHeight="1">
      <c r="A31" s="87">
        <f>IF(IFERROR(MATCH(27,'List A'!$S$5:$S$204,0)+4,"")="","",INDEX('List A'!$A$5:$A$204,IFERROR(MATCH(27,'List A'!$S$5:$S$204,0)+4,"")-4))</f>
        <v/>
      </c>
      <c r="B31" s="53">
        <f>IF(IFERROR(MATCH(27,'List A'!$S$5:$S$204,0)+4,"")="","",INDEX('List A'!$B$5:$B$204,IFERROR(MATCH(27,'List A'!$S$5:$S$204,0)+4,"")-4))</f>
        <v/>
      </c>
      <c r="C31" s="52">
        <f>IF(IFERROR(MATCH(27,'List A'!$S$5:$S$204,0)+4,"")="","",INDEX('List A'!$C$5:$C$204,IFERROR(MATCH(27,'List A'!$S$5:$S$204,0)+4,"")-4))</f>
        <v/>
      </c>
      <c r="D31" s="53">
        <f>IF(IFERROR(MATCH(27,'List A'!$S$5:$S$204,0)+4,"")="","",INDEX('List A'!$D$5:$D$204,IFERROR(MATCH(27,'List A'!$S$5:$S$204,0)+4,"")-4))</f>
        <v/>
      </c>
      <c r="E31" s="87">
        <f>IF(OR(IFERROR(MATCH(27,'List A'!$S$5:$S$204,0)+4,"")="",IF(IFERROR(MATCH(27,'List A'!$S$5:$S$204,0)+4,"")="","",INDEX('List A'!$K$5:$K$204,IFERROR(MATCH(27,'List A'!$S$5:$S$204,0)+4,"")-4))=""),"",INDEX('List B'!$A$5:$A$204,IF(IFERROR(MATCH(27,'List A'!$S$5:$S$204,0)+4,"")="","",INDEX('List A'!$K$5:$K$204,IFERROR(MATCH(27,'List A'!$S$5:$S$204,0)+4,"")-4))-4))</f>
        <v/>
      </c>
      <c r="F31" s="53">
        <f>IF(OR(IFERROR(MATCH(27,'List A'!$S$5:$S$204,0)+4,"")="",IF(IFERROR(MATCH(27,'List A'!$S$5:$S$204,0)+4,"")="","",INDEX('List A'!$K$5:$K$204,IFERROR(MATCH(27,'List A'!$S$5:$S$204,0)+4,"")-4))=""),"",INDEX('List B'!$B$5:$B$204,IF(IFERROR(MATCH(27,'List A'!$S$5:$S$204,0)+4,"")="","",INDEX('List A'!$K$5:$K$204,IFERROR(MATCH(27,'List A'!$S$5:$S$204,0)+4,"")-4))-4))</f>
        <v/>
      </c>
      <c r="G31" s="52">
        <f>IF(OR(IFERROR(MATCH(27,'List A'!$S$5:$S$204,0)+4,"")="",IF(IFERROR(MATCH(27,'List A'!$S$5:$S$204,0)+4,"")="","",INDEX('List A'!$K$5:$K$204,IFERROR(MATCH(27,'List A'!$S$5:$S$204,0)+4,"")-4))=""),"",INDEX('List B'!$C$5:$C$204,IF(IFERROR(MATCH(27,'List A'!$S$5:$S$204,0)+4,"")="","",INDEX('List A'!$K$5:$K$204,IFERROR(MATCH(27,'List A'!$S$5:$S$204,0)+4,"")-4))-4))</f>
        <v/>
      </c>
      <c r="H31" s="53">
        <f>IF(OR(IFERROR(MATCH(27,'List A'!$S$5:$S$204,0)+4,"")="",IF(IFERROR(MATCH(27,'List A'!$S$5:$S$204,0)+4,"")="","",INDEX('List A'!$K$5:$K$204,IFERROR(MATCH(27,'List A'!$S$5:$S$204,0)+4,"")-4))=""),"",INDEX('List B'!$D$5:$D$204,IF(IFERROR(MATCH(27,'List A'!$S$5:$S$204,0)+4,"")="","",INDEX('List A'!$K$5:$K$204,IFERROR(MATCH(27,'List A'!$S$5:$S$204,0)+4,"")-4))-4))</f>
        <v/>
      </c>
      <c r="I31" s="52">
        <f>IF(IFERROR(MATCH(27,'List A'!$S$5:$S$204,0)+4,"")="","",INDEX('List A'!$N$5:$N$204,IFERROR(MATCH(27,'List A'!$S$5:$S$204,0)+4,"")-4))</f>
        <v/>
      </c>
      <c r="J31" s="53">
        <f>IF(IFERROR(MATCH(27,'List A'!$S$5:$S$204,0)+4,"")="","",INDEX('List A'!$O$5:$O$204,IFERROR(MATCH(27,'List A'!$S$5:$S$204,0)+4,"")-4))</f>
        <v/>
      </c>
    </row>
    <row r="32" ht="17" customHeight="1">
      <c r="A32" s="87">
        <f>IF(IFERROR(MATCH(28,'List A'!$S$5:$S$204,0)+4,"")="","",INDEX('List A'!$A$5:$A$204,IFERROR(MATCH(28,'List A'!$S$5:$S$204,0)+4,"")-4))</f>
        <v/>
      </c>
      <c r="B32" s="53">
        <f>IF(IFERROR(MATCH(28,'List A'!$S$5:$S$204,0)+4,"")="","",INDEX('List A'!$B$5:$B$204,IFERROR(MATCH(28,'List A'!$S$5:$S$204,0)+4,"")-4))</f>
        <v/>
      </c>
      <c r="C32" s="52">
        <f>IF(IFERROR(MATCH(28,'List A'!$S$5:$S$204,0)+4,"")="","",INDEX('List A'!$C$5:$C$204,IFERROR(MATCH(28,'List A'!$S$5:$S$204,0)+4,"")-4))</f>
        <v/>
      </c>
      <c r="D32" s="53">
        <f>IF(IFERROR(MATCH(28,'List A'!$S$5:$S$204,0)+4,"")="","",INDEX('List A'!$D$5:$D$204,IFERROR(MATCH(28,'List A'!$S$5:$S$204,0)+4,"")-4))</f>
        <v/>
      </c>
      <c r="E32" s="87">
        <f>IF(OR(IFERROR(MATCH(28,'List A'!$S$5:$S$204,0)+4,"")="",IF(IFERROR(MATCH(28,'List A'!$S$5:$S$204,0)+4,"")="","",INDEX('List A'!$K$5:$K$204,IFERROR(MATCH(28,'List A'!$S$5:$S$204,0)+4,"")-4))=""),"",INDEX('List B'!$A$5:$A$204,IF(IFERROR(MATCH(28,'List A'!$S$5:$S$204,0)+4,"")="","",INDEX('List A'!$K$5:$K$204,IFERROR(MATCH(28,'List A'!$S$5:$S$204,0)+4,"")-4))-4))</f>
        <v/>
      </c>
      <c r="F32" s="53">
        <f>IF(OR(IFERROR(MATCH(28,'List A'!$S$5:$S$204,0)+4,"")="",IF(IFERROR(MATCH(28,'List A'!$S$5:$S$204,0)+4,"")="","",INDEX('List A'!$K$5:$K$204,IFERROR(MATCH(28,'List A'!$S$5:$S$204,0)+4,"")-4))=""),"",INDEX('List B'!$B$5:$B$204,IF(IFERROR(MATCH(28,'List A'!$S$5:$S$204,0)+4,"")="","",INDEX('List A'!$K$5:$K$204,IFERROR(MATCH(28,'List A'!$S$5:$S$204,0)+4,"")-4))-4))</f>
        <v/>
      </c>
      <c r="G32" s="52">
        <f>IF(OR(IFERROR(MATCH(28,'List A'!$S$5:$S$204,0)+4,"")="",IF(IFERROR(MATCH(28,'List A'!$S$5:$S$204,0)+4,"")="","",INDEX('List A'!$K$5:$K$204,IFERROR(MATCH(28,'List A'!$S$5:$S$204,0)+4,"")-4))=""),"",INDEX('List B'!$C$5:$C$204,IF(IFERROR(MATCH(28,'List A'!$S$5:$S$204,0)+4,"")="","",INDEX('List A'!$K$5:$K$204,IFERROR(MATCH(28,'List A'!$S$5:$S$204,0)+4,"")-4))-4))</f>
        <v/>
      </c>
      <c r="H32" s="53">
        <f>IF(OR(IFERROR(MATCH(28,'List A'!$S$5:$S$204,0)+4,"")="",IF(IFERROR(MATCH(28,'List A'!$S$5:$S$204,0)+4,"")="","",INDEX('List A'!$K$5:$K$204,IFERROR(MATCH(28,'List A'!$S$5:$S$204,0)+4,"")-4))=""),"",INDEX('List B'!$D$5:$D$204,IF(IFERROR(MATCH(28,'List A'!$S$5:$S$204,0)+4,"")="","",INDEX('List A'!$K$5:$K$204,IFERROR(MATCH(28,'List A'!$S$5:$S$204,0)+4,"")-4))-4))</f>
        <v/>
      </c>
      <c r="I32" s="52">
        <f>IF(IFERROR(MATCH(28,'List A'!$S$5:$S$204,0)+4,"")="","",INDEX('List A'!$N$5:$N$204,IFERROR(MATCH(28,'List A'!$S$5:$S$204,0)+4,"")-4))</f>
        <v/>
      </c>
      <c r="J32" s="53">
        <f>IF(IFERROR(MATCH(28,'List A'!$S$5:$S$204,0)+4,"")="","",INDEX('List A'!$O$5:$O$204,IFERROR(MATCH(28,'List A'!$S$5:$S$204,0)+4,"")-4))</f>
        <v/>
      </c>
    </row>
    <row r="33" ht="17" customHeight="1">
      <c r="A33" s="87">
        <f>IF(IFERROR(MATCH(29,'List A'!$S$5:$S$204,0)+4,"")="","",INDEX('List A'!$A$5:$A$204,IFERROR(MATCH(29,'List A'!$S$5:$S$204,0)+4,"")-4))</f>
        <v/>
      </c>
      <c r="B33" s="53">
        <f>IF(IFERROR(MATCH(29,'List A'!$S$5:$S$204,0)+4,"")="","",INDEX('List A'!$B$5:$B$204,IFERROR(MATCH(29,'List A'!$S$5:$S$204,0)+4,"")-4))</f>
        <v/>
      </c>
      <c r="C33" s="52">
        <f>IF(IFERROR(MATCH(29,'List A'!$S$5:$S$204,0)+4,"")="","",INDEX('List A'!$C$5:$C$204,IFERROR(MATCH(29,'List A'!$S$5:$S$204,0)+4,"")-4))</f>
        <v/>
      </c>
      <c r="D33" s="53">
        <f>IF(IFERROR(MATCH(29,'List A'!$S$5:$S$204,0)+4,"")="","",INDEX('List A'!$D$5:$D$204,IFERROR(MATCH(29,'List A'!$S$5:$S$204,0)+4,"")-4))</f>
        <v/>
      </c>
      <c r="E33" s="87">
        <f>IF(OR(IFERROR(MATCH(29,'List A'!$S$5:$S$204,0)+4,"")="",IF(IFERROR(MATCH(29,'List A'!$S$5:$S$204,0)+4,"")="","",INDEX('List A'!$K$5:$K$204,IFERROR(MATCH(29,'List A'!$S$5:$S$204,0)+4,"")-4))=""),"",INDEX('List B'!$A$5:$A$204,IF(IFERROR(MATCH(29,'List A'!$S$5:$S$204,0)+4,"")="","",INDEX('List A'!$K$5:$K$204,IFERROR(MATCH(29,'List A'!$S$5:$S$204,0)+4,"")-4))-4))</f>
        <v/>
      </c>
      <c r="F33" s="53">
        <f>IF(OR(IFERROR(MATCH(29,'List A'!$S$5:$S$204,0)+4,"")="",IF(IFERROR(MATCH(29,'List A'!$S$5:$S$204,0)+4,"")="","",INDEX('List A'!$K$5:$K$204,IFERROR(MATCH(29,'List A'!$S$5:$S$204,0)+4,"")-4))=""),"",INDEX('List B'!$B$5:$B$204,IF(IFERROR(MATCH(29,'List A'!$S$5:$S$204,0)+4,"")="","",INDEX('List A'!$K$5:$K$204,IFERROR(MATCH(29,'List A'!$S$5:$S$204,0)+4,"")-4))-4))</f>
        <v/>
      </c>
      <c r="G33" s="52">
        <f>IF(OR(IFERROR(MATCH(29,'List A'!$S$5:$S$204,0)+4,"")="",IF(IFERROR(MATCH(29,'List A'!$S$5:$S$204,0)+4,"")="","",INDEX('List A'!$K$5:$K$204,IFERROR(MATCH(29,'List A'!$S$5:$S$204,0)+4,"")-4))=""),"",INDEX('List B'!$C$5:$C$204,IF(IFERROR(MATCH(29,'List A'!$S$5:$S$204,0)+4,"")="","",INDEX('List A'!$K$5:$K$204,IFERROR(MATCH(29,'List A'!$S$5:$S$204,0)+4,"")-4))-4))</f>
        <v/>
      </c>
      <c r="H33" s="53">
        <f>IF(OR(IFERROR(MATCH(29,'List A'!$S$5:$S$204,0)+4,"")="",IF(IFERROR(MATCH(29,'List A'!$S$5:$S$204,0)+4,"")="","",INDEX('List A'!$K$5:$K$204,IFERROR(MATCH(29,'List A'!$S$5:$S$204,0)+4,"")-4))=""),"",INDEX('List B'!$D$5:$D$204,IF(IFERROR(MATCH(29,'List A'!$S$5:$S$204,0)+4,"")="","",INDEX('List A'!$K$5:$K$204,IFERROR(MATCH(29,'List A'!$S$5:$S$204,0)+4,"")-4))-4))</f>
        <v/>
      </c>
      <c r="I33" s="52">
        <f>IF(IFERROR(MATCH(29,'List A'!$S$5:$S$204,0)+4,"")="","",INDEX('List A'!$N$5:$N$204,IFERROR(MATCH(29,'List A'!$S$5:$S$204,0)+4,"")-4))</f>
        <v/>
      </c>
      <c r="J33" s="53">
        <f>IF(IFERROR(MATCH(29,'List A'!$S$5:$S$204,0)+4,"")="","",INDEX('List A'!$O$5:$O$204,IFERROR(MATCH(29,'List A'!$S$5:$S$204,0)+4,"")-4))</f>
        <v/>
      </c>
    </row>
    <row r="34" ht="17" customHeight="1">
      <c r="A34" s="87">
        <f>IF(IFERROR(MATCH(30,'List A'!$S$5:$S$204,0)+4,"")="","",INDEX('List A'!$A$5:$A$204,IFERROR(MATCH(30,'List A'!$S$5:$S$204,0)+4,"")-4))</f>
        <v/>
      </c>
      <c r="B34" s="53">
        <f>IF(IFERROR(MATCH(30,'List A'!$S$5:$S$204,0)+4,"")="","",INDEX('List A'!$B$5:$B$204,IFERROR(MATCH(30,'List A'!$S$5:$S$204,0)+4,"")-4))</f>
        <v/>
      </c>
      <c r="C34" s="52">
        <f>IF(IFERROR(MATCH(30,'List A'!$S$5:$S$204,0)+4,"")="","",INDEX('List A'!$C$5:$C$204,IFERROR(MATCH(30,'List A'!$S$5:$S$204,0)+4,"")-4))</f>
        <v/>
      </c>
      <c r="D34" s="53">
        <f>IF(IFERROR(MATCH(30,'List A'!$S$5:$S$204,0)+4,"")="","",INDEX('List A'!$D$5:$D$204,IFERROR(MATCH(30,'List A'!$S$5:$S$204,0)+4,"")-4))</f>
        <v/>
      </c>
      <c r="E34" s="87">
        <f>IF(OR(IFERROR(MATCH(30,'List A'!$S$5:$S$204,0)+4,"")="",IF(IFERROR(MATCH(30,'List A'!$S$5:$S$204,0)+4,"")="","",INDEX('List A'!$K$5:$K$204,IFERROR(MATCH(30,'List A'!$S$5:$S$204,0)+4,"")-4))=""),"",INDEX('List B'!$A$5:$A$204,IF(IFERROR(MATCH(30,'List A'!$S$5:$S$204,0)+4,"")="","",INDEX('List A'!$K$5:$K$204,IFERROR(MATCH(30,'List A'!$S$5:$S$204,0)+4,"")-4))-4))</f>
        <v/>
      </c>
      <c r="F34" s="53">
        <f>IF(OR(IFERROR(MATCH(30,'List A'!$S$5:$S$204,0)+4,"")="",IF(IFERROR(MATCH(30,'List A'!$S$5:$S$204,0)+4,"")="","",INDEX('List A'!$K$5:$K$204,IFERROR(MATCH(30,'List A'!$S$5:$S$204,0)+4,"")-4))=""),"",INDEX('List B'!$B$5:$B$204,IF(IFERROR(MATCH(30,'List A'!$S$5:$S$204,0)+4,"")="","",INDEX('List A'!$K$5:$K$204,IFERROR(MATCH(30,'List A'!$S$5:$S$204,0)+4,"")-4))-4))</f>
        <v/>
      </c>
      <c r="G34" s="52">
        <f>IF(OR(IFERROR(MATCH(30,'List A'!$S$5:$S$204,0)+4,"")="",IF(IFERROR(MATCH(30,'List A'!$S$5:$S$204,0)+4,"")="","",INDEX('List A'!$K$5:$K$204,IFERROR(MATCH(30,'List A'!$S$5:$S$204,0)+4,"")-4))=""),"",INDEX('List B'!$C$5:$C$204,IF(IFERROR(MATCH(30,'List A'!$S$5:$S$204,0)+4,"")="","",INDEX('List A'!$K$5:$K$204,IFERROR(MATCH(30,'List A'!$S$5:$S$204,0)+4,"")-4))-4))</f>
        <v/>
      </c>
      <c r="H34" s="53">
        <f>IF(OR(IFERROR(MATCH(30,'List A'!$S$5:$S$204,0)+4,"")="",IF(IFERROR(MATCH(30,'List A'!$S$5:$S$204,0)+4,"")="","",INDEX('List A'!$K$5:$K$204,IFERROR(MATCH(30,'List A'!$S$5:$S$204,0)+4,"")-4))=""),"",INDEX('List B'!$D$5:$D$204,IF(IFERROR(MATCH(30,'List A'!$S$5:$S$204,0)+4,"")="","",INDEX('List A'!$K$5:$K$204,IFERROR(MATCH(30,'List A'!$S$5:$S$204,0)+4,"")-4))-4))</f>
        <v/>
      </c>
      <c r="I34" s="52">
        <f>IF(IFERROR(MATCH(30,'List A'!$S$5:$S$204,0)+4,"")="","",INDEX('List A'!$N$5:$N$204,IFERROR(MATCH(30,'List A'!$S$5:$S$204,0)+4,"")-4))</f>
        <v/>
      </c>
      <c r="J34" s="53">
        <f>IF(IFERROR(MATCH(30,'List A'!$S$5:$S$204,0)+4,"")="","",INDEX('List A'!$O$5:$O$204,IFERROR(MATCH(30,'List A'!$S$5:$S$204,0)+4,"")-4))</f>
        <v/>
      </c>
    </row>
    <row r="35" ht="17" customHeight="1">
      <c r="A35" s="87">
        <f>IF(IFERROR(MATCH(31,'List A'!$S$5:$S$204,0)+4,"")="","",INDEX('List A'!$A$5:$A$204,IFERROR(MATCH(31,'List A'!$S$5:$S$204,0)+4,"")-4))</f>
        <v/>
      </c>
      <c r="B35" s="53">
        <f>IF(IFERROR(MATCH(31,'List A'!$S$5:$S$204,0)+4,"")="","",INDEX('List A'!$B$5:$B$204,IFERROR(MATCH(31,'List A'!$S$5:$S$204,0)+4,"")-4))</f>
        <v/>
      </c>
      <c r="C35" s="52">
        <f>IF(IFERROR(MATCH(31,'List A'!$S$5:$S$204,0)+4,"")="","",INDEX('List A'!$C$5:$C$204,IFERROR(MATCH(31,'List A'!$S$5:$S$204,0)+4,"")-4))</f>
        <v/>
      </c>
      <c r="D35" s="53">
        <f>IF(IFERROR(MATCH(31,'List A'!$S$5:$S$204,0)+4,"")="","",INDEX('List A'!$D$5:$D$204,IFERROR(MATCH(31,'List A'!$S$5:$S$204,0)+4,"")-4))</f>
        <v/>
      </c>
      <c r="E35" s="87">
        <f>IF(OR(IFERROR(MATCH(31,'List A'!$S$5:$S$204,0)+4,"")="",IF(IFERROR(MATCH(31,'List A'!$S$5:$S$204,0)+4,"")="","",INDEX('List A'!$K$5:$K$204,IFERROR(MATCH(31,'List A'!$S$5:$S$204,0)+4,"")-4))=""),"",INDEX('List B'!$A$5:$A$204,IF(IFERROR(MATCH(31,'List A'!$S$5:$S$204,0)+4,"")="","",INDEX('List A'!$K$5:$K$204,IFERROR(MATCH(31,'List A'!$S$5:$S$204,0)+4,"")-4))-4))</f>
        <v/>
      </c>
      <c r="F35" s="53">
        <f>IF(OR(IFERROR(MATCH(31,'List A'!$S$5:$S$204,0)+4,"")="",IF(IFERROR(MATCH(31,'List A'!$S$5:$S$204,0)+4,"")="","",INDEX('List A'!$K$5:$K$204,IFERROR(MATCH(31,'List A'!$S$5:$S$204,0)+4,"")-4))=""),"",INDEX('List B'!$B$5:$B$204,IF(IFERROR(MATCH(31,'List A'!$S$5:$S$204,0)+4,"")="","",INDEX('List A'!$K$5:$K$204,IFERROR(MATCH(31,'List A'!$S$5:$S$204,0)+4,"")-4))-4))</f>
        <v/>
      </c>
      <c r="G35" s="52">
        <f>IF(OR(IFERROR(MATCH(31,'List A'!$S$5:$S$204,0)+4,"")="",IF(IFERROR(MATCH(31,'List A'!$S$5:$S$204,0)+4,"")="","",INDEX('List A'!$K$5:$K$204,IFERROR(MATCH(31,'List A'!$S$5:$S$204,0)+4,"")-4))=""),"",INDEX('List B'!$C$5:$C$204,IF(IFERROR(MATCH(31,'List A'!$S$5:$S$204,0)+4,"")="","",INDEX('List A'!$K$5:$K$204,IFERROR(MATCH(31,'List A'!$S$5:$S$204,0)+4,"")-4))-4))</f>
        <v/>
      </c>
      <c r="H35" s="53">
        <f>IF(OR(IFERROR(MATCH(31,'List A'!$S$5:$S$204,0)+4,"")="",IF(IFERROR(MATCH(31,'List A'!$S$5:$S$204,0)+4,"")="","",INDEX('List A'!$K$5:$K$204,IFERROR(MATCH(31,'List A'!$S$5:$S$204,0)+4,"")-4))=""),"",INDEX('List B'!$D$5:$D$204,IF(IFERROR(MATCH(31,'List A'!$S$5:$S$204,0)+4,"")="","",INDEX('List A'!$K$5:$K$204,IFERROR(MATCH(31,'List A'!$S$5:$S$204,0)+4,"")-4))-4))</f>
        <v/>
      </c>
      <c r="I35" s="52">
        <f>IF(IFERROR(MATCH(31,'List A'!$S$5:$S$204,0)+4,"")="","",INDEX('List A'!$N$5:$N$204,IFERROR(MATCH(31,'List A'!$S$5:$S$204,0)+4,"")-4))</f>
        <v/>
      </c>
      <c r="J35" s="53">
        <f>IF(IFERROR(MATCH(31,'List A'!$S$5:$S$204,0)+4,"")="","",INDEX('List A'!$O$5:$O$204,IFERROR(MATCH(31,'List A'!$S$5:$S$204,0)+4,"")-4))</f>
        <v/>
      </c>
    </row>
    <row r="36" ht="17" customHeight="1">
      <c r="A36" s="87">
        <f>IF(IFERROR(MATCH(32,'List A'!$S$5:$S$204,0)+4,"")="","",INDEX('List A'!$A$5:$A$204,IFERROR(MATCH(32,'List A'!$S$5:$S$204,0)+4,"")-4))</f>
        <v/>
      </c>
      <c r="B36" s="53">
        <f>IF(IFERROR(MATCH(32,'List A'!$S$5:$S$204,0)+4,"")="","",INDEX('List A'!$B$5:$B$204,IFERROR(MATCH(32,'List A'!$S$5:$S$204,0)+4,"")-4))</f>
        <v/>
      </c>
      <c r="C36" s="52">
        <f>IF(IFERROR(MATCH(32,'List A'!$S$5:$S$204,0)+4,"")="","",INDEX('List A'!$C$5:$C$204,IFERROR(MATCH(32,'List A'!$S$5:$S$204,0)+4,"")-4))</f>
        <v/>
      </c>
      <c r="D36" s="53">
        <f>IF(IFERROR(MATCH(32,'List A'!$S$5:$S$204,0)+4,"")="","",INDEX('List A'!$D$5:$D$204,IFERROR(MATCH(32,'List A'!$S$5:$S$204,0)+4,"")-4))</f>
        <v/>
      </c>
      <c r="E36" s="87">
        <f>IF(OR(IFERROR(MATCH(32,'List A'!$S$5:$S$204,0)+4,"")="",IF(IFERROR(MATCH(32,'List A'!$S$5:$S$204,0)+4,"")="","",INDEX('List A'!$K$5:$K$204,IFERROR(MATCH(32,'List A'!$S$5:$S$204,0)+4,"")-4))=""),"",INDEX('List B'!$A$5:$A$204,IF(IFERROR(MATCH(32,'List A'!$S$5:$S$204,0)+4,"")="","",INDEX('List A'!$K$5:$K$204,IFERROR(MATCH(32,'List A'!$S$5:$S$204,0)+4,"")-4))-4))</f>
        <v/>
      </c>
      <c r="F36" s="53">
        <f>IF(OR(IFERROR(MATCH(32,'List A'!$S$5:$S$204,0)+4,"")="",IF(IFERROR(MATCH(32,'List A'!$S$5:$S$204,0)+4,"")="","",INDEX('List A'!$K$5:$K$204,IFERROR(MATCH(32,'List A'!$S$5:$S$204,0)+4,"")-4))=""),"",INDEX('List B'!$B$5:$B$204,IF(IFERROR(MATCH(32,'List A'!$S$5:$S$204,0)+4,"")="","",INDEX('List A'!$K$5:$K$204,IFERROR(MATCH(32,'List A'!$S$5:$S$204,0)+4,"")-4))-4))</f>
        <v/>
      </c>
      <c r="G36" s="52">
        <f>IF(OR(IFERROR(MATCH(32,'List A'!$S$5:$S$204,0)+4,"")="",IF(IFERROR(MATCH(32,'List A'!$S$5:$S$204,0)+4,"")="","",INDEX('List A'!$K$5:$K$204,IFERROR(MATCH(32,'List A'!$S$5:$S$204,0)+4,"")-4))=""),"",INDEX('List B'!$C$5:$C$204,IF(IFERROR(MATCH(32,'List A'!$S$5:$S$204,0)+4,"")="","",INDEX('List A'!$K$5:$K$204,IFERROR(MATCH(32,'List A'!$S$5:$S$204,0)+4,"")-4))-4))</f>
        <v/>
      </c>
      <c r="H36" s="53">
        <f>IF(OR(IFERROR(MATCH(32,'List A'!$S$5:$S$204,0)+4,"")="",IF(IFERROR(MATCH(32,'List A'!$S$5:$S$204,0)+4,"")="","",INDEX('List A'!$K$5:$K$204,IFERROR(MATCH(32,'List A'!$S$5:$S$204,0)+4,"")-4))=""),"",INDEX('List B'!$D$5:$D$204,IF(IFERROR(MATCH(32,'List A'!$S$5:$S$204,0)+4,"")="","",INDEX('List A'!$K$5:$K$204,IFERROR(MATCH(32,'List A'!$S$5:$S$204,0)+4,"")-4))-4))</f>
        <v/>
      </c>
      <c r="I36" s="52">
        <f>IF(IFERROR(MATCH(32,'List A'!$S$5:$S$204,0)+4,"")="","",INDEX('List A'!$N$5:$N$204,IFERROR(MATCH(32,'List A'!$S$5:$S$204,0)+4,"")-4))</f>
        <v/>
      </c>
      <c r="J36" s="53">
        <f>IF(IFERROR(MATCH(32,'List A'!$S$5:$S$204,0)+4,"")="","",INDEX('List A'!$O$5:$O$204,IFERROR(MATCH(32,'List A'!$S$5:$S$204,0)+4,"")-4))</f>
        <v/>
      </c>
    </row>
    <row r="37" ht="17" customHeight="1">
      <c r="A37" s="87">
        <f>IF(IFERROR(MATCH(33,'List A'!$S$5:$S$204,0)+4,"")="","",INDEX('List A'!$A$5:$A$204,IFERROR(MATCH(33,'List A'!$S$5:$S$204,0)+4,"")-4))</f>
        <v/>
      </c>
      <c r="B37" s="53">
        <f>IF(IFERROR(MATCH(33,'List A'!$S$5:$S$204,0)+4,"")="","",INDEX('List A'!$B$5:$B$204,IFERROR(MATCH(33,'List A'!$S$5:$S$204,0)+4,"")-4))</f>
        <v/>
      </c>
      <c r="C37" s="52">
        <f>IF(IFERROR(MATCH(33,'List A'!$S$5:$S$204,0)+4,"")="","",INDEX('List A'!$C$5:$C$204,IFERROR(MATCH(33,'List A'!$S$5:$S$204,0)+4,"")-4))</f>
        <v/>
      </c>
      <c r="D37" s="53">
        <f>IF(IFERROR(MATCH(33,'List A'!$S$5:$S$204,0)+4,"")="","",INDEX('List A'!$D$5:$D$204,IFERROR(MATCH(33,'List A'!$S$5:$S$204,0)+4,"")-4))</f>
        <v/>
      </c>
      <c r="E37" s="87">
        <f>IF(OR(IFERROR(MATCH(33,'List A'!$S$5:$S$204,0)+4,"")="",IF(IFERROR(MATCH(33,'List A'!$S$5:$S$204,0)+4,"")="","",INDEX('List A'!$K$5:$K$204,IFERROR(MATCH(33,'List A'!$S$5:$S$204,0)+4,"")-4))=""),"",INDEX('List B'!$A$5:$A$204,IF(IFERROR(MATCH(33,'List A'!$S$5:$S$204,0)+4,"")="","",INDEX('List A'!$K$5:$K$204,IFERROR(MATCH(33,'List A'!$S$5:$S$204,0)+4,"")-4))-4))</f>
        <v/>
      </c>
      <c r="F37" s="53">
        <f>IF(OR(IFERROR(MATCH(33,'List A'!$S$5:$S$204,0)+4,"")="",IF(IFERROR(MATCH(33,'List A'!$S$5:$S$204,0)+4,"")="","",INDEX('List A'!$K$5:$K$204,IFERROR(MATCH(33,'List A'!$S$5:$S$204,0)+4,"")-4))=""),"",INDEX('List B'!$B$5:$B$204,IF(IFERROR(MATCH(33,'List A'!$S$5:$S$204,0)+4,"")="","",INDEX('List A'!$K$5:$K$204,IFERROR(MATCH(33,'List A'!$S$5:$S$204,0)+4,"")-4))-4))</f>
        <v/>
      </c>
      <c r="G37" s="52">
        <f>IF(OR(IFERROR(MATCH(33,'List A'!$S$5:$S$204,0)+4,"")="",IF(IFERROR(MATCH(33,'List A'!$S$5:$S$204,0)+4,"")="","",INDEX('List A'!$K$5:$K$204,IFERROR(MATCH(33,'List A'!$S$5:$S$204,0)+4,"")-4))=""),"",INDEX('List B'!$C$5:$C$204,IF(IFERROR(MATCH(33,'List A'!$S$5:$S$204,0)+4,"")="","",INDEX('List A'!$K$5:$K$204,IFERROR(MATCH(33,'List A'!$S$5:$S$204,0)+4,"")-4))-4))</f>
        <v/>
      </c>
      <c r="H37" s="53">
        <f>IF(OR(IFERROR(MATCH(33,'List A'!$S$5:$S$204,0)+4,"")="",IF(IFERROR(MATCH(33,'List A'!$S$5:$S$204,0)+4,"")="","",INDEX('List A'!$K$5:$K$204,IFERROR(MATCH(33,'List A'!$S$5:$S$204,0)+4,"")-4))=""),"",INDEX('List B'!$D$5:$D$204,IF(IFERROR(MATCH(33,'List A'!$S$5:$S$204,0)+4,"")="","",INDEX('List A'!$K$5:$K$204,IFERROR(MATCH(33,'List A'!$S$5:$S$204,0)+4,"")-4))-4))</f>
        <v/>
      </c>
      <c r="I37" s="52">
        <f>IF(IFERROR(MATCH(33,'List A'!$S$5:$S$204,0)+4,"")="","",INDEX('List A'!$N$5:$N$204,IFERROR(MATCH(33,'List A'!$S$5:$S$204,0)+4,"")-4))</f>
        <v/>
      </c>
      <c r="J37" s="53">
        <f>IF(IFERROR(MATCH(33,'List A'!$S$5:$S$204,0)+4,"")="","",INDEX('List A'!$O$5:$O$204,IFERROR(MATCH(33,'List A'!$S$5:$S$204,0)+4,"")-4))</f>
        <v/>
      </c>
    </row>
    <row r="38" ht="17" customHeight="1">
      <c r="A38" s="87">
        <f>IF(IFERROR(MATCH(34,'List A'!$S$5:$S$204,0)+4,"")="","",INDEX('List A'!$A$5:$A$204,IFERROR(MATCH(34,'List A'!$S$5:$S$204,0)+4,"")-4))</f>
        <v/>
      </c>
      <c r="B38" s="53">
        <f>IF(IFERROR(MATCH(34,'List A'!$S$5:$S$204,0)+4,"")="","",INDEX('List A'!$B$5:$B$204,IFERROR(MATCH(34,'List A'!$S$5:$S$204,0)+4,"")-4))</f>
        <v/>
      </c>
      <c r="C38" s="52">
        <f>IF(IFERROR(MATCH(34,'List A'!$S$5:$S$204,0)+4,"")="","",INDEX('List A'!$C$5:$C$204,IFERROR(MATCH(34,'List A'!$S$5:$S$204,0)+4,"")-4))</f>
        <v/>
      </c>
      <c r="D38" s="53">
        <f>IF(IFERROR(MATCH(34,'List A'!$S$5:$S$204,0)+4,"")="","",INDEX('List A'!$D$5:$D$204,IFERROR(MATCH(34,'List A'!$S$5:$S$204,0)+4,"")-4))</f>
        <v/>
      </c>
      <c r="E38" s="87">
        <f>IF(OR(IFERROR(MATCH(34,'List A'!$S$5:$S$204,0)+4,"")="",IF(IFERROR(MATCH(34,'List A'!$S$5:$S$204,0)+4,"")="","",INDEX('List A'!$K$5:$K$204,IFERROR(MATCH(34,'List A'!$S$5:$S$204,0)+4,"")-4))=""),"",INDEX('List B'!$A$5:$A$204,IF(IFERROR(MATCH(34,'List A'!$S$5:$S$204,0)+4,"")="","",INDEX('List A'!$K$5:$K$204,IFERROR(MATCH(34,'List A'!$S$5:$S$204,0)+4,"")-4))-4))</f>
        <v/>
      </c>
      <c r="F38" s="53">
        <f>IF(OR(IFERROR(MATCH(34,'List A'!$S$5:$S$204,0)+4,"")="",IF(IFERROR(MATCH(34,'List A'!$S$5:$S$204,0)+4,"")="","",INDEX('List A'!$K$5:$K$204,IFERROR(MATCH(34,'List A'!$S$5:$S$204,0)+4,"")-4))=""),"",INDEX('List B'!$B$5:$B$204,IF(IFERROR(MATCH(34,'List A'!$S$5:$S$204,0)+4,"")="","",INDEX('List A'!$K$5:$K$204,IFERROR(MATCH(34,'List A'!$S$5:$S$204,0)+4,"")-4))-4))</f>
        <v/>
      </c>
      <c r="G38" s="52">
        <f>IF(OR(IFERROR(MATCH(34,'List A'!$S$5:$S$204,0)+4,"")="",IF(IFERROR(MATCH(34,'List A'!$S$5:$S$204,0)+4,"")="","",INDEX('List A'!$K$5:$K$204,IFERROR(MATCH(34,'List A'!$S$5:$S$204,0)+4,"")-4))=""),"",INDEX('List B'!$C$5:$C$204,IF(IFERROR(MATCH(34,'List A'!$S$5:$S$204,0)+4,"")="","",INDEX('List A'!$K$5:$K$204,IFERROR(MATCH(34,'List A'!$S$5:$S$204,0)+4,"")-4))-4))</f>
        <v/>
      </c>
      <c r="H38" s="53">
        <f>IF(OR(IFERROR(MATCH(34,'List A'!$S$5:$S$204,0)+4,"")="",IF(IFERROR(MATCH(34,'List A'!$S$5:$S$204,0)+4,"")="","",INDEX('List A'!$K$5:$K$204,IFERROR(MATCH(34,'List A'!$S$5:$S$204,0)+4,"")-4))=""),"",INDEX('List B'!$D$5:$D$204,IF(IFERROR(MATCH(34,'List A'!$S$5:$S$204,0)+4,"")="","",INDEX('List A'!$K$5:$K$204,IFERROR(MATCH(34,'List A'!$S$5:$S$204,0)+4,"")-4))-4))</f>
        <v/>
      </c>
      <c r="I38" s="52">
        <f>IF(IFERROR(MATCH(34,'List A'!$S$5:$S$204,0)+4,"")="","",INDEX('List A'!$N$5:$N$204,IFERROR(MATCH(34,'List A'!$S$5:$S$204,0)+4,"")-4))</f>
        <v/>
      </c>
      <c r="J38" s="53">
        <f>IF(IFERROR(MATCH(34,'List A'!$S$5:$S$204,0)+4,"")="","",INDEX('List A'!$O$5:$O$204,IFERROR(MATCH(34,'List A'!$S$5:$S$204,0)+4,"")-4))</f>
        <v/>
      </c>
    </row>
    <row r="39" ht="17" customHeight="1">
      <c r="A39" s="87">
        <f>IF(IFERROR(MATCH(35,'List A'!$S$5:$S$204,0)+4,"")="","",INDEX('List A'!$A$5:$A$204,IFERROR(MATCH(35,'List A'!$S$5:$S$204,0)+4,"")-4))</f>
        <v/>
      </c>
      <c r="B39" s="53">
        <f>IF(IFERROR(MATCH(35,'List A'!$S$5:$S$204,0)+4,"")="","",INDEX('List A'!$B$5:$B$204,IFERROR(MATCH(35,'List A'!$S$5:$S$204,0)+4,"")-4))</f>
        <v/>
      </c>
      <c r="C39" s="52">
        <f>IF(IFERROR(MATCH(35,'List A'!$S$5:$S$204,0)+4,"")="","",INDEX('List A'!$C$5:$C$204,IFERROR(MATCH(35,'List A'!$S$5:$S$204,0)+4,"")-4))</f>
        <v/>
      </c>
      <c r="D39" s="53">
        <f>IF(IFERROR(MATCH(35,'List A'!$S$5:$S$204,0)+4,"")="","",INDEX('List A'!$D$5:$D$204,IFERROR(MATCH(35,'List A'!$S$5:$S$204,0)+4,"")-4))</f>
        <v/>
      </c>
      <c r="E39" s="87">
        <f>IF(OR(IFERROR(MATCH(35,'List A'!$S$5:$S$204,0)+4,"")="",IF(IFERROR(MATCH(35,'List A'!$S$5:$S$204,0)+4,"")="","",INDEX('List A'!$K$5:$K$204,IFERROR(MATCH(35,'List A'!$S$5:$S$204,0)+4,"")-4))=""),"",INDEX('List B'!$A$5:$A$204,IF(IFERROR(MATCH(35,'List A'!$S$5:$S$204,0)+4,"")="","",INDEX('List A'!$K$5:$K$204,IFERROR(MATCH(35,'List A'!$S$5:$S$204,0)+4,"")-4))-4))</f>
        <v/>
      </c>
      <c r="F39" s="53">
        <f>IF(OR(IFERROR(MATCH(35,'List A'!$S$5:$S$204,0)+4,"")="",IF(IFERROR(MATCH(35,'List A'!$S$5:$S$204,0)+4,"")="","",INDEX('List A'!$K$5:$K$204,IFERROR(MATCH(35,'List A'!$S$5:$S$204,0)+4,"")-4))=""),"",INDEX('List B'!$B$5:$B$204,IF(IFERROR(MATCH(35,'List A'!$S$5:$S$204,0)+4,"")="","",INDEX('List A'!$K$5:$K$204,IFERROR(MATCH(35,'List A'!$S$5:$S$204,0)+4,"")-4))-4))</f>
        <v/>
      </c>
      <c r="G39" s="52">
        <f>IF(OR(IFERROR(MATCH(35,'List A'!$S$5:$S$204,0)+4,"")="",IF(IFERROR(MATCH(35,'List A'!$S$5:$S$204,0)+4,"")="","",INDEX('List A'!$K$5:$K$204,IFERROR(MATCH(35,'List A'!$S$5:$S$204,0)+4,"")-4))=""),"",INDEX('List B'!$C$5:$C$204,IF(IFERROR(MATCH(35,'List A'!$S$5:$S$204,0)+4,"")="","",INDEX('List A'!$K$5:$K$204,IFERROR(MATCH(35,'List A'!$S$5:$S$204,0)+4,"")-4))-4))</f>
        <v/>
      </c>
      <c r="H39" s="53">
        <f>IF(OR(IFERROR(MATCH(35,'List A'!$S$5:$S$204,0)+4,"")="",IF(IFERROR(MATCH(35,'List A'!$S$5:$S$204,0)+4,"")="","",INDEX('List A'!$K$5:$K$204,IFERROR(MATCH(35,'List A'!$S$5:$S$204,0)+4,"")-4))=""),"",INDEX('List B'!$D$5:$D$204,IF(IFERROR(MATCH(35,'List A'!$S$5:$S$204,0)+4,"")="","",INDEX('List A'!$K$5:$K$204,IFERROR(MATCH(35,'List A'!$S$5:$S$204,0)+4,"")-4))-4))</f>
        <v/>
      </c>
      <c r="I39" s="52">
        <f>IF(IFERROR(MATCH(35,'List A'!$S$5:$S$204,0)+4,"")="","",INDEX('List A'!$N$5:$N$204,IFERROR(MATCH(35,'List A'!$S$5:$S$204,0)+4,"")-4))</f>
        <v/>
      </c>
      <c r="J39" s="53">
        <f>IF(IFERROR(MATCH(35,'List A'!$S$5:$S$204,0)+4,"")="","",INDEX('List A'!$O$5:$O$204,IFERROR(MATCH(35,'List A'!$S$5:$S$204,0)+4,"")-4))</f>
        <v/>
      </c>
    </row>
    <row r="40" ht="17" customHeight="1">
      <c r="A40" s="87">
        <f>IF(IFERROR(MATCH(36,'List A'!$S$5:$S$204,0)+4,"")="","",INDEX('List A'!$A$5:$A$204,IFERROR(MATCH(36,'List A'!$S$5:$S$204,0)+4,"")-4))</f>
        <v/>
      </c>
      <c r="B40" s="53">
        <f>IF(IFERROR(MATCH(36,'List A'!$S$5:$S$204,0)+4,"")="","",INDEX('List A'!$B$5:$B$204,IFERROR(MATCH(36,'List A'!$S$5:$S$204,0)+4,"")-4))</f>
        <v/>
      </c>
      <c r="C40" s="52">
        <f>IF(IFERROR(MATCH(36,'List A'!$S$5:$S$204,0)+4,"")="","",INDEX('List A'!$C$5:$C$204,IFERROR(MATCH(36,'List A'!$S$5:$S$204,0)+4,"")-4))</f>
        <v/>
      </c>
      <c r="D40" s="53">
        <f>IF(IFERROR(MATCH(36,'List A'!$S$5:$S$204,0)+4,"")="","",INDEX('List A'!$D$5:$D$204,IFERROR(MATCH(36,'List A'!$S$5:$S$204,0)+4,"")-4))</f>
        <v/>
      </c>
      <c r="E40" s="87">
        <f>IF(OR(IFERROR(MATCH(36,'List A'!$S$5:$S$204,0)+4,"")="",IF(IFERROR(MATCH(36,'List A'!$S$5:$S$204,0)+4,"")="","",INDEX('List A'!$K$5:$K$204,IFERROR(MATCH(36,'List A'!$S$5:$S$204,0)+4,"")-4))=""),"",INDEX('List B'!$A$5:$A$204,IF(IFERROR(MATCH(36,'List A'!$S$5:$S$204,0)+4,"")="","",INDEX('List A'!$K$5:$K$204,IFERROR(MATCH(36,'List A'!$S$5:$S$204,0)+4,"")-4))-4))</f>
        <v/>
      </c>
      <c r="F40" s="53">
        <f>IF(OR(IFERROR(MATCH(36,'List A'!$S$5:$S$204,0)+4,"")="",IF(IFERROR(MATCH(36,'List A'!$S$5:$S$204,0)+4,"")="","",INDEX('List A'!$K$5:$K$204,IFERROR(MATCH(36,'List A'!$S$5:$S$204,0)+4,"")-4))=""),"",INDEX('List B'!$B$5:$B$204,IF(IFERROR(MATCH(36,'List A'!$S$5:$S$204,0)+4,"")="","",INDEX('List A'!$K$5:$K$204,IFERROR(MATCH(36,'List A'!$S$5:$S$204,0)+4,"")-4))-4))</f>
        <v/>
      </c>
      <c r="G40" s="52">
        <f>IF(OR(IFERROR(MATCH(36,'List A'!$S$5:$S$204,0)+4,"")="",IF(IFERROR(MATCH(36,'List A'!$S$5:$S$204,0)+4,"")="","",INDEX('List A'!$K$5:$K$204,IFERROR(MATCH(36,'List A'!$S$5:$S$204,0)+4,"")-4))=""),"",INDEX('List B'!$C$5:$C$204,IF(IFERROR(MATCH(36,'List A'!$S$5:$S$204,0)+4,"")="","",INDEX('List A'!$K$5:$K$204,IFERROR(MATCH(36,'List A'!$S$5:$S$204,0)+4,"")-4))-4))</f>
        <v/>
      </c>
      <c r="H40" s="53">
        <f>IF(OR(IFERROR(MATCH(36,'List A'!$S$5:$S$204,0)+4,"")="",IF(IFERROR(MATCH(36,'List A'!$S$5:$S$204,0)+4,"")="","",INDEX('List A'!$K$5:$K$204,IFERROR(MATCH(36,'List A'!$S$5:$S$204,0)+4,"")-4))=""),"",INDEX('List B'!$D$5:$D$204,IF(IFERROR(MATCH(36,'List A'!$S$5:$S$204,0)+4,"")="","",INDEX('List A'!$K$5:$K$204,IFERROR(MATCH(36,'List A'!$S$5:$S$204,0)+4,"")-4))-4))</f>
        <v/>
      </c>
      <c r="I40" s="52">
        <f>IF(IFERROR(MATCH(36,'List A'!$S$5:$S$204,0)+4,"")="","",INDEX('List A'!$N$5:$N$204,IFERROR(MATCH(36,'List A'!$S$5:$S$204,0)+4,"")-4))</f>
        <v/>
      </c>
      <c r="J40" s="53">
        <f>IF(IFERROR(MATCH(36,'List A'!$S$5:$S$204,0)+4,"")="","",INDEX('List A'!$O$5:$O$204,IFERROR(MATCH(36,'List A'!$S$5:$S$204,0)+4,"")-4))</f>
        <v/>
      </c>
    </row>
    <row r="41" ht="17" customHeight="1">
      <c r="A41" s="87">
        <f>IF(IFERROR(MATCH(37,'List A'!$S$5:$S$204,0)+4,"")="","",INDEX('List A'!$A$5:$A$204,IFERROR(MATCH(37,'List A'!$S$5:$S$204,0)+4,"")-4))</f>
        <v/>
      </c>
      <c r="B41" s="53">
        <f>IF(IFERROR(MATCH(37,'List A'!$S$5:$S$204,0)+4,"")="","",INDEX('List A'!$B$5:$B$204,IFERROR(MATCH(37,'List A'!$S$5:$S$204,0)+4,"")-4))</f>
        <v/>
      </c>
      <c r="C41" s="52">
        <f>IF(IFERROR(MATCH(37,'List A'!$S$5:$S$204,0)+4,"")="","",INDEX('List A'!$C$5:$C$204,IFERROR(MATCH(37,'List A'!$S$5:$S$204,0)+4,"")-4))</f>
        <v/>
      </c>
      <c r="D41" s="53">
        <f>IF(IFERROR(MATCH(37,'List A'!$S$5:$S$204,0)+4,"")="","",INDEX('List A'!$D$5:$D$204,IFERROR(MATCH(37,'List A'!$S$5:$S$204,0)+4,"")-4))</f>
        <v/>
      </c>
      <c r="E41" s="87">
        <f>IF(OR(IFERROR(MATCH(37,'List A'!$S$5:$S$204,0)+4,"")="",IF(IFERROR(MATCH(37,'List A'!$S$5:$S$204,0)+4,"")="","",INDEX('List A'!$K$5:$K$204,IFERROR(MATCH(37,'List A'!$S$5:$S$204,0)+4,"")-4))=""),"",INDEX('List B'!$A$5:$A$204,IF(IFERROR(MATCH(37,'List A'!$S$5:$S$204,0)+4,"")="","",INDEX('List A'!$K$5:$K$204,IFERROR(MATCH(37,'List A'!$S$5:$S$204,0)+4,"")-4))-4))</f>
        <v/>
      </c>
      <c r="F41" s="53">
        <f>IF(OR(IFERROR(MATCH(37,'List A'!$S$5:$S$204,0)+4,"")="",IF(IFERROR(MATCH(37,'List A'!$S$5:$S$204,0)+4,"")="","",INDEX('List A'!$K$5:$K$204,IFERROR(MATCH(37,'List A'!$S$5:$S$204,0)+4,"")-4))=""),"",INDEX('List B'!$B$5:$B$204,IF(IFERROR(MATCH(37,'List A'!$S$5:$S$204,0)+4,"")="","",INDEX('List A'!$K$5:$K$204,IFERROR(MATCH(37,'List A'!$S$5:$S$204,0)+4,"")-4))-4))</f>
        <v/>
      </c>
      <c r="G41" s="52">
        <f>IF(OR(IFERROR(MATCH(37,'List A'!$S$5:$S$204,0)+4,"")="",IF(IFERROR(MATCH(37,'List A'!$S$5:$S$204,0)+4,"")="","",INDEX('List A'!$K$5:$K$204,IFERROR(MATCH(37,'List A'!$S$5:$S$204,0)+4,"")-4))=""),"",INDEX('List B'!$C$5:$C$204,IF(IFERROR(MATCH(37,'List A'!$S$5:$S$204,0)+4,"")="","",INDEX('List A'!$K$5:$K$204,IFERROR(MATCH(37,'List A'!$S$5:$S$204,0)+4,"")-4))-4))</f>
        <v/>
      </c>
      <c r="H41" s="53">
        <f>IF(OR(IFERROR(MATCH(37,'List A'!$S$5:$S$204,0)+4,"")="",IF(IFERROR(MATCH(37,'List A'!$S$5:$S$204,0)+4,"")="","",INDEX('List A'!$K$5:$K$204,IFERROR(MATCH(37,'List A'!$S$5:$S$204,0)+4,"")-4))=""),"",INDEX('List B'!$D$5:$D$204,IF(IFERROR(MATCH(37,'List A'!$S$5:$S$204,0)+4,"")="","",INDEX('List A'!$K$5:$K$204,IFERROR(MATCH(37,'List A'!$S$5:$S$204,0)+4,"")-4))-4))</f>
        <v/>
      </c>
      <c r="I41" s="52">
        <f>IF(IFERROR(MATCH(37,'List A'!$S$5:$S$204,0)+4,"")="","",INDEX('List A'!$N$5:$N$204,IFERROR(MATCH(37,'List A'!$S$5:$S$204,0)+4,"")-4))</f>
        <v/>
      </c>
      <c r="J41" s="53">
        <f>IF(IFERROR(MATCH(37,'List A'!$S$5:$S$204,0)+4,"")="","",INDEX('List A'!$O$5:$O$204,IFERROR(MATCH(37,'List A'!$S$5:$S$204,0)+4,"")-4))</f>
        <v/>
      </c>
    </row>
    <row r="42" ht="17" customHeight="1">
      <c r="A42" s="87">
        <f>IF(IFERROR(MATCH(38,'List A'!$S$5:$S$204,0)+4,"")="","",INDEX('List A'!$A$5:$A$204,IFERROR(MATCH(38,'List A'!$S$5:$S$204,0)+4,"")-4))</f>
        <v/>
      </c>
      <c r="B42" s="53">
        <f>IF(IFERROR(MATCH(38,'List A'!$S$5:$S$204,0)+4,"")="","",INDEX('List A'!$B$5:$B$204,IFERROR(MATCH(38,'List A'!$S$5:$S$204,0)+4,"")-4))</f>
        <v/>
      </c>
      <c r="C42" s="52">
        <f>IF(IFERROR(MATCH(38,'List A'!$S$5:$S$204,0)+4,"")="","",INDEX('List A'!$C$5:$C$204,IFERROR(MATCH(38,'List A'!$S$5:$S$204,0)+4,"")-4))</f>
        <v/>
      </c>
      <c r="D42" s="53">
        <f>IF(IFERROR(MATCH(38,'List A'!$S$5:$S$204,0)+4,"")="","",INDEX('List A'!$D$5:$D$204,IFERROR(MATCH(38,'List A'!$S$5:$S$204,0)+4,"")-4))</f>
        <v/>
      </c>
      <c r="E42" s="87">
        <f>IF(OR(IFERROR(MATCH(38,'List A'!$S$5:$S$204,0)+4,"")="",IF(IFERROR(MATCH(38,'List A'!$S$5:$S$204,0)+4,"")="","",INDEX('List A'!$K$5:$K$204,IFERROR(MATCH(38,'List A'!$S$5:$S$204,0)+4,"")-4))=""),"",INDEX('List B'!$A$5:$A$204,IF(IFERROR(MATCH(38,'List A'!$S$5:$S$204,0)+4,"")="","",INDEX('List A'!$K$5:$K$204,IFERROR(MATCH(38,'List A'!$S$5:$S$204,0)+4,"")-4))-4))</f>
        <v/>
      </c>
      <c r="F42" s="53">
        <f>IF(OR(IFERROR(MATCH(38,'List A'!$S$5:$S$204,0)+4,"")="",IF(IFERROR(MATCH(38,'List A'!$S$5:$S$204,0)+4,"")="","",INDEX('List A'!$K$5:$K$204,IFERROR(MATCH(38,'List A'!$S$5:$S$204,0)+4,"")-4))=""),"",INDEX('List B'!$B$5:$B$204,IF(IFERROR(MATCH(38,'List A'!$S$5:$S$204,0)+4,"")="","",INDEX('List A'!$K$5:$K$204,IFERROR(MATCH(38,'List A'!$S$5:$S$204,0)+4,"")-4))-4))</f>
        <v/>
      </c>
      <c r="G42" s="52">
        <f>IF(OR(IFERROR(MATCH(38,'List A'!$S$5:$S$204,0)+4,"")="",IF(IFERROR(MATCH(38,'List A'!$S$5:$S$204,0)+4,"")="","",INDEX('List A'!$K$5:$K$204,IFERROR(MATCH(38,'List A'!$S$5:$S$204,0)+4,"")-4))=""),"",INDEX('List B'!$C$5:$C$204,IF(IFERROR(MATCH(38,'List A'!$S$5:$S$204,0)+4,"")="","",INDEX('List A'!$K$5:$K$204,IFERROR(MATCH(38,'List A'!$S$5:$S$204,0)+4,"")-4))-4))</f>
        <v/>
      </c>
      <c r="H42" s="53">
        <f>IF(OR(IFERROR(MATCH(38,'List A'!$S$5:$S$204,0)+4,"")="",IF(IFERROR(MATCH(38,'List A'!$S$5:$S$204,0)+4,"")="","",INDEX('List A'!$K$5:$K$204,IFERROR(MATCH(38,'List A'!$S$5:$S$204,0)+4,"")-4))=""),"",INDEX('List B'!$D$5:$D$204,IF(IFERROR(MATCH(38,'List A'!$S$5:$S$204,0)+4,"")="","",INDEX('List A'!$K$5:$K$204,IFERROR(MATCH(38,'List A'!$S$5:$S$204,0)+4,"")-4))-4))</f>
        <v/>
      </c>
      <c r="I42" s="52">
        <f>IF(IFERROR(MATCH(38,'List A'!$S$5:$S$204,0)+4,"")="","",INDEX('List A'!$N$5:$N$204,IFERROR(MATCH(38,'List A'!$S$5:$S$204,0)+4,"")-4))</f>
        <v/>
      </c>
      <c r="J42" s="53">
        <f>IF(IFERROR(MATCH(38,'List A'!$S$5:$S$204,0)+4,"")="","",INDEX('List A'!$O$5:$O$204,IFERROR(MATCH(38,'List A'!$S$5:$S$204,0)+4,"")-4))</f>
        <v/>
      </c>
    </row>
    <row r="43" ht="17" customHeight="1">
      <c r="A43" s="87">
        <f>IF(IFERROR(MATCH(39,'List A'!$S$5:$S$204,0)+4,"")="","",INDEX('List A'!$A$5:$A$204,IFERROR(MATCH(39,'List A'!$S$5:$S$204,0)+4,"")-4))</f>
        <v/>
      </c>
      <c r="B43" s="53">
        <f>IF(IFERROR(MATCH(39,'List A'!$S$5:$S$204,0)+4,"")="","",INDEX('List A'!$B$5:$B$204,IFERROR(MATCH(39,'List A'!$S$5:$S$204,0)+4,"")-4))</f>
        <v/>
      </c>
      <c r="C43" s="52">
        <f>IF(IFERROR(MATCH(39,'List A'!$S$5:$S$204,0)+4,"")="","",INDEX('List A'!$C$5:$C$204,IFERROR(MATCH(39,'List A'!$S$5:$S$204,0)+4,"")-4))</f>
        <v/>
      </c>
      <c r="D43" s="53">
        <f>IF(IFERROR(MATCH(39,'List A'!$S$5:$S$204,0)+4,"")="","",INDEX('List A'!$D$5:$D$204,IFERROR(MATCH(39,'List A'!$S$5:$S$204,0)+4,"")-4))</f>
        <v/>
      </c>
      <c r="E43" s="87">
        <f>IF(OR(IFERROR(MATCH(39,'List A'!$S$5:$S$204,0)+4,"")="",IF(IFERROR(MATCH(39,'List A'!$S$5:$S$204,0)+4,"")="","",INDEX('List A'!$K$5:$K$204,IFERROR(MATCH(39,'List A'!$S$5:$S$204,0)+4,"")-4))=""),"",INDEX('List B'!$A$5:$A$204,IF(IFERROR(MATCH(39,'List A'!$S$5:$S$204,0)+4,"")="","",INDEX('List A'!$K$5:$K$204,IFERROR(MATCH(39,'List A'!$S$5:$S$204,0)+4,"")-4))-4))</f>
        <v/>
      </c>
      <c r="F43" s="53">
        <f>IF(OR(IFERROR(MATCH(39,'List A'!$S$5:$S$204,0)+4,"")="",IF(IFERROR(MATCH(39,'List A'!$S$5:$S$204,0)+4,"")="","",INDEX('List A'!$K$5:$K$204,IFERROR(MATCH(39,'List A'!$S$5:$S$204,0)+4,"")-4))=""),"",INDEX('List B'!$B$5:$B$204,IF(IFERROR(MATCH(39,'List A'!$S$5:$S$204,0)+4,"")="","",INDEX('List A'!$K$5:$K$204,IFERROR(MATCH(39,'List A'!$S$5:$S$204,0)+4,"")-4))-4))</f>
        <v/>
      </c>
      <c r="G43" s="52">
        <f>IF(OR(IFERROR(MATCH(39,'List A'!$S$5:$S$204,0)+4,"")="",IF(IFERROR(MATCH(39,'List A'!$S$5:$S$204,0)+4,"")="","",INDEX('List A'!$K$5:$K$204,IFERROR(MATCH(39,'List A'!$S$5:$S$204,0)+4,"")-4))=""),"",INDEX('List B'!$C$5:$C$204,IF(IFERROR(MATCH(39,'List A'!$S$5:$S$204,0)+4,"")="","",INDEX('List A'!$K$5:$K$204,IFERROR(MATCH(39,'List A'!$S$5:$S$204,0)+4,"")-4))-4))</f>
        <v/>
      </c>
      <c r="H43" s="53">
        <f>IF(OR(IFERROR(MATCH(39,'List A'!$S$5:$S$204,0)+4,"")="",IF(IFERROR(MATCH(39,'List A'!$S$5:$S$204,0)+4,"")="","",INDEX('List A'!$K$5:$K$204,IFERROR(MATCH(39,'List A'!$S$5:$S$204,0)+4,"")-4))=""),"",INDEX('List B'!$D$5:$D$204,IF(IFERROR(MATCH(39,'List A'!$S$5:$S$204,0)+4,"")="","",INDEX('List A'!$K$5:$K$204,IFERROR(MATCH(39,'List A'!$S$5:$S$204,0)+4,"")-4))-4))</f>
        <v/>
      </c>
      <c r="I43" s="52">
        <f>IF(IFERROR(MATCH(39,'List A'!$S$5:$S$204,0)+4,"")="","",INDEX('List A'!$N$5:$N$204,IFERROR(MATCH(39,'List A'!$S$5:$S$204,0)+4,"")-4))</f>
        <v/>
      </c>
      <c r="J43" s="53">
        <f>IF(IFERROR(MATCH(39,'List A'!$S$5:$S$204,0)+4,"")="","",INDEX('List A'!$O$5:$O$204,IFERROR(MATCH(39,'List A'!$S$5:$S$204,0)+4,"")-4))</f>
        <v/>
      </c>
    </row>
    <row r="44" ht="17" customHeight="1">
      <c r="A44" s="87">
        <f>IF(IFERROR(MATCH(40,'List A'!$S$5:$S$204,0)+4,"")="","",INDEX('List A'!$A$5:$A$204,IFERROR(MATCH(40,'List A'!$S$5:$S$204,0)+4,"")-4))</f>
        <v/>
      </c>
      <c r="B44" s="53">
        <f>IF(IFERROR(MATCH(40,'List A'!$S$5:$S$204,0)+4,"")="","",INDEX('List A'!$B$5:$B$204,IFERROR(MATCH(40,'List A'!$S$5:$S$204,0)+4,"")-4))</f>
        <v/>
      </c>
      <c r="C44" s="52">
        <f>IF(IFERROR(MATCH(40,'List A'!$S$5:$S$204,0)+4,"")="","",INDEX('List A'!$C$5:$C$204,IFERROR(MATCH(40,'List A'!$S$5:$S$204,0)+4,"")-4))</f>
        <v/>
      </c>
      <c r="D44" s="53">
        <f>IF(IFERROR(MATCH(40,'List A'!$S$5:$S$204,0)+4,"")="","",INDEX('List A'!$D$5:$D$204,IFERROR(MATCH(40,'List A'!$S$5:$S$204,0)+4,"")-4))</f>
        <v/>
      </c>
      <c r="E44" s="87">
        <f>IF(OR(IFERROR(MATCH(40,'List A'!$S$5:$S$204,0)+4,"")="",IF(IFERROR(MATCH(40,'List A'!$S$5:$S$204,0)+4,"")="","",INDEX('List A'!$K$5:$K$204,IFERROR(MATCH(40,'List A'!$S$5:$S$204,0)+4,"")-4))=""),"",INDEX('List B'!$A$5:$A$204,IF(IFERROR(MATCH(40,'List A'!$S$5:$S$204,0)+4,"")="","",INDEX('List A'!$K$5:$K$204,IFERROR(MATCH(40,'List A'!$S$5:$S$204,0)+4,"")-4))-4))</f>
        <v/>
      </c>
      <c r="F44" s="53">
        <f>IF(OR(IFERROR(MATCH(40,'List A'!$S$5:$S$204,0)+4,"")="",IF(IFERROR(MATCH(40,'List A'!$S$5:$S$204,0)+4,"")="","",INDEX('List A'!$K$5:$K$204,IFERROR(MATCH(40,'List A'!$S$5:$S$204,0)+4,"")-4))=""),"",INDEX('List B'!$B$5:$B$204,IF(IFERROR(MATCH(40,'List A'!$S$5:$S$204,0)+4,"")="","",INDEX('List A'!$K$5:$K$204,IFERROR(MATCH(40,'List A'!$S$5:$S$204,0)+4,"")-4))-4))</f>
        <v/>
      </c>
      <c r="G44" s="52">
        <f>IF(OR(IFERROR(MATCH(40,'List A'!$S$5:$S$204,0)+4,"")="",IF(IFERROR(MATCH(40,'List A'!$S$5:$S$204,0)+4,"")="","",INDEX('List A'!$K$5:$K$204,IFERROR(MATCH(40,'List A'!$S$5:$S$204,0)+4,"")-4))=""),"",INDEX('List B'!$C$5:$C$204,IF(IFERROR(MATCH(40,'List A'!$S$5:$S$204,0)+4,"")="","",INDEX('List A'!$K$5:$K$204,IFERROR(MATCH(40,'List A'!$S$5:$S$204,0)+4,"")-4))-4))</f>
        <v/>
      </c>
      <c r="H44" s="53">
        <f>IF(OR(IFERROR(MATCH(40,'List A'!$S$5:$S$204,0)+4,"")="",IF(IFERROR(MATCH(40,'List A'!$S$5:$S$204,0)+4,"")="","",INDEX('List A'!$K$5:$K$204,IFERROR(MATCH(40,'List A'!$S$5:$S$204,0)+4,"")-4))=""),"",INDEX('List B'!$D$5:$D$204,IF(IFERROR(MATCH(40,'List A'!$S$5:$S$204,0)+4,"")="","",INDEX('List A'!$K$5:$K$204,IFERROR(MATCH(40,'List A'!$S$5:$S$204,0)+4,"")-4))-4))</f>
        <v/>
      </c>
      <c r="I44" s="52">
        <f>IF(IFERROR(MATCH(40,'List A'!$S$5:$S$204,0)+4,"")="","",INDEX('List A'!$N$5:$N$204,IFERROR(MATCH(40,'List A'!$S$5:$S$204,0)+4,"")-4))</f>
        <v/>
      </c>
      <c r="J44" s="53">
        <f>IF(IFERROR(MATCH(40,'List A'!$S$5:$S$204,0)+4,"")="","",INDEX('List A'!$O$5:$O$204,IFERROR(MATCH(40,'List A'!$S$5:$S$204,0)+4,"")-4))</f>
        <v/>
      </c>
    </row>
    <row r="45" ht="17" customHeight="1">
      <c r="A45" s="87">
        <f>IF(IFERROR(MATCH(41,'List A'!$S$5:$S$204,0)+4,"")="","",INDEX('List A'!$A$5:$A$204,IFERROR(MATCH(41,'List A'!$S$5:$S$204,0)+4,"")-4))</f>
        <v/>
      </c>
      <c r="B45" s="53">
        <f>IF(IFERROR(MATCH(41,'List A'!$S$5:$S$204,0)+4,"")="","",INDEX('List A'!$B$5:$B$204,IFERROR(MATCH(41,'List A'!$S$5:$S$204,0)+4,"")-4))</f>
        <v/>
      </c>
      <c r="C45" s="52">
        <f>IF(IFERROR(MATCH(41,'List A'!$S$5:$S$204,0)+4,"")="","",INDEX('List A'!$C$5:$C$204,IFERROR(MATCH(41,'List A'!$S$5:$S$204,0)+4,"")-4))</f>
        <v/>
      </c>
      <c r="D45" s="53">
        <f>IF(IFERROR(MATCH(41,'List A'!$S$5:$S$204,0)+4,"")="","",INDEX('List A'!$D$5:$D$204,IFERROR(MATCH(41,'List A'!$S$5:$S$204,0)+4,"")-4))</f>
        <v/>
      </c>
      <c r="E45" s="87">
        <f>IF(OR(IFERROR(MATCH(41,'List A'!$S$5:$S$204,0)+4,"")="",IF(IFERROR(MATCH(41,'List A'!$S$5:$S$204,0)+4,"")="","",INDEX('List A'!$K$5:$K$204,IFERROR(MATCH(41,'List A'!$S$5:$S$204,0)+4,"")-4))=""),"",INDEX('List B'!$A$5:$A$204,IF(IFERROR(MATCH(41,'List A'!$S$5:$S$204,0)+4,"")="","",INDEX('List A'!$K$5:$K$204,IFERROR(MATCH(41,'List A'!$S$5:$S$204,0)+4,"")-4))-4))</f>
        <v/>
      </c>
      <c r="F45" s="53">
        <f>IF(OR(IFERROR(MATCH(41,'List A'!$S$5:$S$204,0)+4,"")="",IF(IFERROR(MATCH(41,'List A'!$S$5:$S$204,0)+4,"")="","",INDEX('List A'!$K$5:$K$204,IFERROR(MATCH(41,'List A'!$S$5:$S$204,0)+4,"")-4))=""),"",INDEX('List B'!$B$5:$B$204,IF(IFERROR(MATCH(41,'List A'!$S$5:$S$204,0)+4,"")="","",INDEX('List A'!$K$5:$K$204,IFERROR(MATCH(41,'List A'!$S$5:$S$204,0)+4,"")-4))-4))</f>
        <v/>
      </c>
      <c r="G45" s="52">
        <f>IF(OR(IFERROR(MATCH(41,'List A'!$S$5:$S$204,0)+4,"")="",IF(IFERROR(MATCH(41,'List A'!$S$5:$S$204,0)+4,"")="","",INDEX('List A'!$K$5:$K$204,IFERROR(MATCH(41,'List A'!$S$5:$S$204,0)+4,"")-4))=""),"",INDEX('List B'!$C$5:$C$204,IF(IFERROR(MATCH(41,'List A'!$S$5:$S$204,0)+4,"")="","",INDEX('List A'!$K$5:$K$204,IFERROR(MATCH(41,'List A'!$S$5:$S$204,0)+4,"")-4))-4))</f>
        <v/>
      </c>
      <c r="H45" s="53">
        <f>IF(OR(IFERROR(MATCH(41,'List A'!$S$5:$S$204,0)+4,"")="",IF(IFERROR(MATCH(41,'List A'!$S$5:$S$204,0)+4,"")="","",INDEX('List A'!$K$5:$K$204,IFERROR(MATCH(41,'List A'!$S$5:$S$204,0)+4,"")-4))=""),"",INDEX('List B'!$D$5:$D$204,IF(IFERROR(MATCH(41,'List A'!$S$5:$S$204,0)+4,"")="","",INDEX('List A'!$K$5:$K$204,IFERROR(MATCH(41,'List A'!$S$5:$S$204,0)+4,"")-4))-4))</f>
        <v/>
      </c>
      <c r="I45" s="52">
        <f>IF(IFERROR(MATCH(41,'List A'!$S$5:$S$204,0)+4,"")="","",INDEX('List A'!$N$5:$N$204,IFERROR(MATCH(41,'List A'!$S$5:$S$204,0)+4,"")-4))</f>
        <v/>
      </c>
      <c r="J45" s="53">
        <f>IF(IFERROR(MATCH(41,'List A'!$S$5:$S$204,0)+4,"")="","",INDEX('List A'!$O$5:$O$204,IFERROR(MATCH(41,'List A'!$S$5:$S$204,0)+4,"")-4))</f>
        <v/>
      </c>
    </row>
    <row r="46" ht="17" customHeight="1">
      <c r="A46" s="87">
        <f>IF(IFERROR(MATCH(42,'List A'!$S$5:$S$204,0)+4,"")="","",INDEX('List A'!$A$5:$A$204,IFERROR(MATCH(42,'List A'!$S$5:$S$204,0)+4,"")-4))</f>
        <v/>
      </c>
      <c r="B46" s="53">
        <f>IF(IFERROR(MATCH(42,'List A'!$S$5:$S$204,0)+4,"")="","",INDEX('List A'!$B$5:$B$204,IFERROR(MATCH(42,'List A'!$S$5:$S$204,0)+4,"")-4))</f>
        <v/>
      </c>
      <c r="C46" s="52">
        <f>IF(IFERROR(MATCH(42,'List A'!$S$5:$S$204,0)+4,"")="","",INDEX('List A'!$C$5:$C$204,IFERROR(MATCH(42,'List A'!$S$5:$S$204,0)+4,"")-4))</f>
        <v/>
      </c>
      <c r="D46" s="53">
        <f>IF(IFERROR(MATCH(42,'List A'!$S$5:$S$204,0)+4,"")="","",INDEX('List A'!$D$5:$D$204,IFERROR(MATCH(42,'List A'!$S$5:$S$204,0)+4,"")-4))</f>
        <v/>
      </c>
      <c r="E46" s="87">
        <f>IF(OR(IFERROR(MATCH(42,'List A'!$S$5:$S$204,0)+4,"")="",IF(IFERROR(MATCH(42,'List A'!$S$5:$S$204,0)+4,"")="","",INDEX('List A'!$K$5:$K$204,IFERROR(MATCH(42,'List A'!$S$5:$S$204,0)+4,"")-4))=""),"",INDEX('List B'!$A$5:$A$204,IF(IFERROR(MATCH(42,'List A'!$S$5:$S$204,0)+4,"")="","",INDEX('List A'!$K$5:$K$204,IFERROR(MATCH(42,'List A'!$S$5:$S$204,0)+4,"")-4))-4))</f>
        <v/>
      </c>
      <c r="F46" s="53">
        <f>IF(OR(IFERROR(MATCH(42,'List A'!$S$5:$S$204,0)+4,"")="",IF(IFERROR(MATCH(42,'List A'!$S$5:$S$204,0)+4,"")="","",INDEX('List A'!$K$5:$K$204,IFERROR(MATCH(42,'List A'!$S$5:$S$204,0)+4,"")-4))=""),"",INDEX('List B'!$B$5:$B$204,IF(IFERROR(MATCH(42,'List A'!$S$5:$S$204,0)+4,"")="","",INDEX('List A'!$K$5:$K$204,IFERROR(MATCH(42,'List A'!$S$5:$S$204,0)+4,"")-4))-4))</f>
        <v/>
      </c>
      <c r="G46" s="52">
        <f>IF(OR(IFERROR(MATCH(42,'List A'!$S$5:$S$204,0)+4,"")="",IF(IFERROR(MATCH(42,'List A'!$S$5:$S$204,0)+4,"")="","",INDEX('List A'!$K$5:$K$204,IFERROR(MATCH(42,'List A'!$S$5:$S$204,0)+4,"")-4))=""),"",INDEX('List B'!$C$5:$C$204,IF(IFERROR(MATCH(42,'List A'!$S$5:$S$204,0)+4,"")="","",INDEX('List A'!$K$5:$K$204,IFERROR(MATCH(42,'List A'!$S$5:$S$204,0)+4,"")-4))-4))</f>
        <v/>
      </c>
      <c r="H46" s="53">
        <f>IF(OR(IFERROR(MATCH(42,'List A'!$S$5:$S$204,0)+4,"")="",IF(IFERROR(MATCH(42,'List A'!$S$5:$S$204,0)+4,"")="","",INDEX('List A'!$K$5:$K$204,IFERROR(MATCH(42,'List A'!$S$5:$S$204,0)+4,"")-4))=""),"",INDEX('List B'!$D$5:$D$204,IF(IFERROR(MATCH(42,'List A'!$S$5:$S$204,0)+4,"")="","",INDEX('List A'!$K$5:$K$204,IFERROR(MATCH(42,'List A'!$S$5:$S$204,0)+4,"")-4))-4))</f>
        <v/>
      </c>
      <c r="I46" s="52">
        <f>IF(IFERROR(MATCH(42,'List A'!$S$5:$S$204,0)+4,"")="","",INDEX('List A'!$N$5:$N$204,IFERROR(MATCH(42,'List A'!$S$5:$S$204,0)+4,"")-4))</f>
        <v/>
      </c>
      <c r="J46" s="53">
        <f>IF(IFERROR(MATCH(42,'List A'!$S$5:$S$204,0)+4,"")="","",INDEX('List A'!$O$5:$O$204,IFERROR(MATCH(42,'List A'!$S$5:$S$204,0)+4,"")-4))</f>
        <v/>
      </c>
    </row>
    <row r="47" ht="17" customHeight="1">
      <c r="A47" s="87">
        <f>IF(IFERROR(MATCH(43,'List A'!$S$5:$S$204,0)+4,"")="","",INDEX('List A'!$A$5:$A$204,IFERROR(MATCH(43,'List A'!$S$5:$S$204,0)+4,"")-4))</f>
        <v/>
      </c>
      <c r="B47" s="53">
        <f>IF(IFERROR(MATCH(43,'List A'!$S$5:$S$204,0)+4,"")="","",INDEX('List A'!$B$5:$B$204,IFERROR(MATCH(43,'List A'!$S$5:$S$204,0)+4,"")-4))</f>
        <v/>
      </c>
      <c r="C47" s="52">
        <f>IF(IFERROR(MATCH(43,'List A'!$S$5:$S$204,0)+4,"")="","",INDEX('List A'!$C$5:$C$204,IFERROR(MATCH(43,'List A'!$S$5:$S$204,0)+4,"")-4))</f>
        <v/>
      </c>
      <c r="D47" s="53">
        <f>IF(IFERROR(MATCH(43,'List A'!$S$5:$S$204,0)+4,"")="","",INDEX('List A'!$D$5:$D$204,IFERROR(MATCH(43,'List A'!$S$5:$S$204,0)+4,"")-4))</f>
        <v/>
      </c>
      <c r="E47" s="87">
        <f>IF(OR(IFERROR(MATCH(43,'List A'!$S$5:$S$204,0)+4,"")="",IF(IFERROR(MATCH(43,'List A'!$S$5:$S$204,0)+4,"")="","",INDEX('List A'!$K$5:$K$204,IFERROR(MATCH(43,'List A'!$S$5:$S$204,0)+4,"")-4))=""),"",INDEX('List B'!$A$5:$A$204,IF(IFERROR(MATCH(43,'List A'!$S$5:$S$204,0)+4,"")="","",INDEX('List A'!$K$5:$K$204,IFERROR(MATCH(43,'List A'!$S$5:$S$204,0)+4,"")-4))-4))</f>
        <v/>
      </c>
      <c r="F47" s="53">
        <f>IF(OR(IFERROR(MATCH(43,'List A'!$S$5:$S$204,0)+4,"")="",IF(IFERROR(MATCH(43,'List A'!$S$5:$S$204,0)+4,"")="","",INDEX('List A'!$K$5:$K$204,IFERROR(MATCH(43,'List A'!$S$5:$S$204,0)+4,"")-4))=""),"",INDEX('List B'!$B$5:$B$204,IF(IFERROR(MATCH(43,'List A'!$S$5:$S$204,0)+4,"")="","",INDEX('List A'!$K$5:$K$204,IFERROR(MATCH(43,'List A'!$S$5:$S$204,0)+4,"")-4))-4))</f>
        <v/>
      </c>
      <c r="G47" s="52">
        <f>IF(OR(IFERROR(MATCH(43,'List A'!$S$5:$S$204,0)+4,"")="",IF(IFERROR(MATCH(43,'List A'!$S$5:$S$204,0)+4,"")="","",INDEX('List A'!$K$5:$K$204,IFERROR(MATCH(43,'List A'!$S$5:$S$204,0)+4,"")-4))=""),"",INDEX('List B'!$C$5:$C$204,IF(IFERROR(MATCH(43,'List A'!$S$5:$S$204,0)+4,"")="","",INDEX('List A'!$K$5:$K$204,IFERROR(MATCH(43,'List A'!$S$5:$S$204,0)+4,"")-4))-4))</f>
        <v/>
      </c>
      <c r="H47" s="53">
        <f>IF(OR(IFERROR(MATCH(43,'List A'!$S$5:$S$204,0)+4,"")="",IF(IFERROR(MATCH(43,'List A'!$S$5:$S$204,0)+4,"")="","",INDEX('List A'!$K$5:$K$204,IFERROR(MATCH(43,'List A'!$S$5:$S$204,0)+4,"")-4))=""),"",INDEX('List B'!$D$5:$D$204,IF(IFERROR(MATCH(43,'List A'!$S$5:$S$204,0)+4,"")="","",INDEX('List A'!$K$5:$K$204,IFERROR(MATCH(43,'List A'!$S$5:$S$204,0)+4,"")-4))-4))</f>
        <v/>
      </c>
      <c r="I47" s="52">
        <f>IF(IFERROR(MATCH(43,'List A'!$S$5:$S$204,0)+4,"")="","",INDEX('List A'!$N$5:$N$204,IFERROR(MATCH(43,'List A'!$S$5:$S$204,0)+4,"")-4))</f>
        <v/>
      </c>
      <c r="J47" s="53">
        <f>IF(IFERROR(MATCH(43,'List A'!$S$5:$S$204,0)+4,"")="","",INDEX('List A'!$O$5:$O$204,IFERROR(MATCH(43,'List A'!$S$5:$S$204,0)+4,"")-4))</f>
        <v/>
      </c>
    </row>
    <row r="48" ht="17" customHeight="1">
      <c r="A48" s="87">
        <f>IF(IFERROR(MATCH(44,'List A'!$S$5:$S$204,0)+4,"")="","",INDEX('List A'!$A$5:$A$204,IFERROR(MATCH(44,'List A'!$S$5:$S$204,0)+4,"")-4))</f>
        <v/>
      </c>
      <c r="B48" s="53">
        <f>IF(IFERROR(MATCH(44,'List A'!$S$5:$S$204,0)+4,"")="","",INDEX('List A'!$B$5:$B$204,IFERROR(MATCH(44,'List A'!$S$5:$S$204,0)+4,"")-4))</f>
        <v/>
      </c>
      <c r="C48" s="52">
        <f>IF(IFERROR(MATCH(44,'List A'!$S$5:$S$204,0)+4,"")="","",INDEX('List A'!$C$5:$C$204,IFERROR(MATCH(44,'List A'!$S$5:$S$204,0)+4,"")-4))</f>
        <v/>
      </c>
      <c r="D48" s="53">
        <f>IF(IFERROR(MATCH(44,'List A'!$S$5:$S$204,0)+4,"")="","",INDEX('List A'!$D$5:$D$204,IFERROR(MATCH(44,'List A'!$S$5:$S$204,0)+4,"")-4))</f>
        <v/>
      </c>
      <c r="E48" s="87">
        <f>IF(OR(IFERROR(MATCH(44,'List A'!$S$5:$S$204,0)+4,"")="",IF(IFERROR(MATCH(44,'List A'!$S$5:$S$204,0)+4,"")="","",INDEX('List A'!$K$5:$K$204,IFERROR(MATCH(44,'List A'!$S$5:$S$204,0)+4,"")-4))=""),"",INDEX('List B'!$A$5:$A$204,IF(IFERROR(MATCH(44,'List A'!$S$5:$S$204,0)+4,"")="","",INDEX('List A'!$K$5:$K$204,IFERROR(MATCH(44,'List A'!$S$5:$S$204,0)+4,"")-4))-4))</f>
        <v/>
      </c>
      <c r="F48" s="53">
        <f>IF(OR(IFERROR(MATCH(44,'List A'!$S$5:$S$204,0)+4,"")="",IF(IFERROR(MATCH(44,'List A'!$S$5:$S$204,0)+4,"")="","",INDEX('List A'!$K$5:$K$204,IFERROR(MATCH(44,'List A'!$S$5:$S$204,0)+4,"")-4))=""),"",INDEX('List B'!$B$5:$B$204,IF(IFERROR(MATCH(44,'List A'!$S$5:$S$204,0)+4,"")="","",INDEX('List A'!$K$5:$K$204,IFERROR(MATCH(44,'List A'!$S$5:$S$204,0)+4,"")-4))-4))</f>
        <v/>
      </c>
      <c r="G48" s="52">
        <f>IF(OR(IFERROR(MATCH(44,'List A'!$S$5:$S$204,0)+4,"")="",IF(IFERROR(MATCH(44,'List A'!$S$5:$S$204,0)+4,"")="","",INDEX('List A'!$K$5:$K$204,IFERROR(MATCH(44,'List A'!$S$5:$S$204,0)+4,"")-4))=""),"",INDEX('List B'!$C$5:$C$204,IF(IFERROR(MATCH(44,'List A'!$S$5:$S$204,0)+4,"")="","",INDEX('List A'!$K$5:$K$204,IFERROR(MATCH(44,'List A'!$S$5:$S$204,0)+4,"")-4))-4))</f>
        <v/>
      </c>
      <c r="H48" s="53">
        <f>IF(OR(IFERROR(MATCH(44,'List A'!$S$5:$S$204,0)+4,"")="",IF(IFERROR(MATCH(44,'List A'!$S$5:$S$204,0)+4,"")="","",INDEX('List A'!$K$5:$K$204,IFERROR(MATCH(44,'List A'!$S$5:$S$204,0)+4,"")-4))=""),"",INDEX('List B'!$D$5:$D$204,IF(IFERROR(MATCH(44,'List A'!$S$5:$S$204,0)+4,"")="","",INDEX('List A'!$K$5:$K$204,IFERROR(MATCH(44,'List A'!$S$5:$S$204,0)+4,"")-4))-4))</f>
        <v/>
      </c>
      <c r="I48" s="52">
        <f>IF(IFERROR(MATCH(44,'List A'!$S$5:$S$204,0)+4,"")="","",INDEX('List A'!$N$5:$N$204,IFERROR(MATCH(44,'List A'!$S$5:$S$204,0)+4,"")-4))</f>
        <v/>
      </c>
      <c r="J48" s="53">
        <f>IF(IFERROR(MATCH(44,'List A'!$S$5:$S$204,0)+4,"")="","",INDEX('List A'!$O$5:$O$204,IFERROR(MATCH(44,'List A'!$S$5:$S$204,0)+4,"")-4))</f>
        <v/>
      </c>
    </row>
    <row r="49" ht="17" customHeight="1">
      <c r="A49" s="87">
        <f>IF(IFERROR(MATCH(45,'List A'!$S$5:$S$204,0)+4,"")="","",INDEX('List A'!$A$5:$A$204,IFERROR(MATCH(45,'List A'!$S$5:$S$204,0)+4,"")-4))</f>
        <v/>
      </c>
      <c r="B49" s="53">
        <f>IF(IFERROR(MATCH(45,'List A'!$S$5:$S$204,0)+4,"")="","",INDEX('List A'!$B$5:$B$204,IFERROR(MATCH(45,'List A'!$S$5:$S$204,0)+4,"")-4))</f>
        <v/>
      </c>
      <c r="C49" s="52">
        <f>IF(IFERROR(MATCH(45,'List A'!$S$5:$S$204,0)+4,"")="","",INDEX('List A'!$C$5:$C$204,IFERROR(MATCH(45,'List A'!$S$5:$S$204,0)+4,"")-4))</f>
        <v/>
      </c>
      <c r="D49" s="53">
        <f>IF(IFERROR(MATCH(45,'List A'!$S$5:$S$204,0)+4,"")="","",INDEX('List A'!$D$5:$D$204,IFERROR(MATCH(45,'List A'!$S$5:$S$204,0)+4,"")-4))</f>
        <v/>
      </c>
      <c r="E49" s="87">
        <f>IF(OR(IFERROR(MATCH(45,'List A'!$S$5:$S$204,0)+4,"")="",IF(IFERROR(MATCH(45,'List A'!$S$5:$S$204,0)+4,"")="","",INDEX('List A'!$K$5:$K$204,IFERROR(MATCH(45,'List A'!$S$5:$S$204,0)+4,"")-4))=""),"",INDEX('List B'!$A$5:$A$204,IF(IFERROR(MATCH(45,'List A'!$S$5:$S$204,0)+4,"")="","",INDEX('List A'!$K$5:$K$204,IFERROR(MATCH(45,'List A'!$S$5:$S$204,0)+4,"")-4))-4))</f>
        <v/>
      </c>
      <c r="F49" s="53">
        <f>IF(OR(IFERROR(MATCH(45,'List A'!$S$5:$S$204,0)+4,"")="",IF(IFERROR(MATCH(45,'List A'!$S$5:$S$204,0)+4,"")="","",INDEX('List A'!$K$5:$K$204,IFERROR(MATCH(45,'List A'!$S$5:$S$204,0)+4,"")-4))=""),"",INDEX('List B'!$B$5:$B$204,IF(IFERROR(MATCH(45,'List A'!$S$5:$S$204,0)+4,"")="","",INDEX('List A'!$K$5:$K$204,IFERROR(MATCH(45,'List A'!$S$5:$S$204,0)+4,"")-4))-4))</f>
        <v/>
      </c>
      <c r="G49" s="52">
        <f>IF(OR(IFERROR(MATCH(45,'List A'!$S$5:$S$204,0)+4,"")="",IF(IFERROR(MATCH(45,'List A'!$S$5:$S$204,0)+4,"")="","",INDEX('List A'!$K$5:$K$204,IFERROR(MATCH(45,'List A'!$S$5:$S$204,0)+4,"")-4))=""),"",INDEX('List B'!$C$5:$C$204,IF(IFERROR(MATCH(45,'List A'!$S$5:$S$204,0)+4,"")="","",INDEX('List A'!$K$5:$K$204,IFERROR(MATCH(45,'List A'!$S$5:$S$204,0)+4,"")-4))-4))</f>
        <v/>
      </c>
      <c r="H49" s="53">
        <f>IF(OR(IFERROR(MATCH(45,'List A'!$S$5:$S$204,0)+4,"")="",IF(IFERROR(MATCH(45,'List A'!$S$5:$S$204,0)+4,"")="","",INDEX('List A'!$K$5:$K$204,IFERROR(MATCH(45,'List A'!$S$5:$S$204,0)+4,"")-4))=""),"",INDEX('List B'!$D$5:$D$204,IF(IFERROR(MATCH(45,'List A'!$S$5:$S$204,0)+4,"")="","",INDEX('List A'!$K$5:$K$204,IFERROR(MATCH(45,'List A'!$S$5:$S$204,0)+4,"")-4))-4))</f>
        <v/>
      </c>
      <c r="I49" s="52">
        <f>IF(IFERROR(MATCH(45,'List A'!$S$5:$S$204,0)+4,"")="","",INDEX('List A'!$N$5:$N$204,IFERROR(MATCH(45,'List A'!$S$5:$S$204,0)+4,"")-4))</f>
        <v/>
      </c>
      <c r="J49" s="53">
        <f>IF(IFERROR(MATCH(45,'List A'!$S$5:$S$204,0)+4,"")="","",INDEX('List A'!$O$5:$O$204,IFERROR(MATCH(45,'List A'!$S$5:$S$204,0)+4,"")-4))</f>
        <v/>
      </c>
    </row>
    <row r="50" ht="17" customHeight="1">
      <c r="A50" s="87">
        <f>IF(IFERROR(MATCH(46,'List A'!$S$5:$S$204,0)+4,"")="","",INDEX('List A'!$A$5:$A$204,IFERROR(MATCH(46,'List A'!$S$5:$S$204,0)+4,"")-4))</f>
        <v/>
      </c>
      <c r="B50" s="53">
        <f>IF(IFERROR(MATCH(46,'List A'!$S$5:$S$204,0)+4,"")="","",INDEX('List A'!$B$5:$B$204,IFERROR(MATCH(46,'List A'!$S$5:$S$204,0)+4,"")-4))</f>
        <v/>
      </c>
      <c r="C50" s="52">
        <f>IF(IFERROR(MATCH(46,'List A'!$S$5:$S$204,0)+4,"")="","",INDEX('List A'!$C$5:$C$204,IFERROR(MATCH(46,'List A'!$S$5:$S$204,0)+4,"")-4))</f>
        <v/>
      </c>
      <c r="D50" s="53">
        <f>IF(IFERROR(MATCH(46,'List A'!$S$5:$S$204,0)+4,"")="","",INDEX('List A'!$D$5:$D$204,IFERROR(MATCH(46,'List A'!$S$5:$S$204,0)+4,"")-4))</f>
        <v/>
      </c>
      <c r="E50" s="87">
        <f>IF(OR(IFERROR(MATCH(46,'List A'!$S$5:$S$204,0)+4,"")="",IF(IFERROR(MATCH(46,'List A'!$S$5:$S$204,0)+4,"")="","",INDEX('List A'!$K$5:$K$204,IFERROR(MATCH(46,'List A'!$S$5:$S$204,0)+4,"")-4))=""),"",INDEX('List B'!$A$5:$A$204,IF(IFERROR(MATCH(46,'List A'!$S$5:$S$204,0)+4,"")="","",INDEX('List A'!$K$5:$K$204,IFERROR(MATCH(46,'List A'!$S$5:$S$204,0)+4,"")-4))-4))</f>
        <v/>
      </c>
      <c r="F50" s="53">
        <f>IF(OR(IFERROR(MATCH(46,'List A'!$S$5:$S$204,0)+4,"")="",IF(IFERROR(MATCH(46,'List A'!$S$5:$S$204,0)+4,"")="","",INDEX('List A'!$K$5:$K$204,IFERROR(MATCH(46,'List A'!$S$5:$S$204,0)+4,"")-4))=""),"",INDEX('List B'!$B$5:$B$204,IF(IFERROR(MATCH(46,'List A'!$S$5:$S$204,0)+4,"")="","",INDEX('List A'!$K$5:$K$204,IFERROR(MATCH(46,'List A'!$S$5:$S$204,0)+4,"")-4))-4))</f>
        <v/>
      </c>
      <c r="G50" s="52">
        <f>IF(OR(IFERROR(MATCH(46,'List A'!$S$5:$S$204,0)+4,"")="",IF(IFERROR(MATCH(46,'List A'!$S$5:$S$204,0)+4,"")="","",INDEX('List A'!$K$5:$K$204,IFERROR(MATCH(46,'List A'!$S$5:$S$204,0)+4,"")-4))=""),"",INDEX('List B'!$C$5:$C$204,IF(IFERROR(MATCH(46,'List A'!$S$5:$S$204,0)+4,"")="","",INDEX('List A'!$K$5:$K$204,IFERROR(MATCH(46,'List A'!$S$5:$S$204,0)+4,"")-4))-4))</f>
        <v/>
      </c>
      <c r="H50" s="53">
        <f>IF(OR(IFERROR(MATCH(46,'List A'!$S$5:$S$204,0)+4,"")="",IF(IFERROR(MATCH(46,'List A'!$S$5:$S$204,0)+4,"")="","",INDEX('List A'!$K$5:$K$204,IFERROR(MATCH(46,'List A'!$S$5:$S$204,0)+4,"")-4))=""),"",INDEX('List B'!$D$5:$D$204,IF(IFERROR(MATCH(46,'List A'!$S$5:$S$204,0)+4,"")="","",INDEX('List A'!$K$5:$K$204,IFERROR(MATCH(46,'List A'!$S$5:$S$204,0)+4,"")-4))-4))</f>
        <v/>
      </c>
      <c r="I50" s="52">
        <f>IF(IFERROR(MATCH(46,'List A'!$S$5:$S$204,0)+4,"")="","",INDEX('List A'!$N$5:$N$204,IFERROR(MATCH(46,'List A'!$S$5:$S$204,0)+4,"")-4))</f>
        <v/>
      </c>
      <c r="J50" s="53">
        <f>IF(IFERROR(MATCH(46,'List A'!$S$5:$S$204,0)+4,"")="","",INDEX('List A'!$O$5:$O$204,IFERROR(MATCH(46,'List A'!$S$5:$S$204,0)+4,"")-4))</f>
        <v/>
      </c>
    </row>
    <row r="51" ht="17" customHeight="1">
      <c r="A51" s="87">
        <f>IF(IFERROR(MATCH(47,'List A'!$S$5:$S$204,0)+4,"")="","",INDEX('List A'!$A$5:$A$204,IFERROR(MATCH(47,'List A'!$S$5:$S$204,0)+4,"")-4))</f>
        <v/>
      </c>
      <c r="B51" s="53">
        <f>IF(IFERROR(MATCH(47,'List A'!$S$5:$S$204,0)+4,"")="","",INDEX('List A'!$B$5:$B$204,IFERROR(MATCH(47,'List A'!$S$5:$S$204,0)+4,"")-4))</f>
        <v/>
      </c>
      <c r="C51" s="52">
        <f>IF(IFERROR(MATCH(47,'List A'!$S$5:$S$204,0)+4,"")="","",INDEX('List A'!$C$5:$C$204,IFERROR(MATCH(47,'List A'!$S$5:$S$204,0)+4,"")-4))</f>
        <v/>
      </c>
      <c r="D51" s="53">
        <f>IF(IFERROR(MATCH(47,'List A'!$S$5:$S$204,0)+4,"")="","",INDEX('List A'!$D$5:$D$204,IFERROR(MATCH(47,'List A'!$S$5:$S$204,0)+4,"")-4))</f>
        <v/>
      </c>
      <c r="E51" s="87">
        <f>IF(OR(IFERROR(MATCH(47,'List A'!$S$5:$S$204,0)+4,"")="",IF(IFERROR(MATCH(47,'List A'!$S$5:$S$204,0)+4,"")="","",INDEX('List A'!$K$5:$K$204,IFERROR(MATCH(47,'List A'!$S$5:$S$204,0)+4,"")-4))=""),"",INDEX('List B'!$A$5:$A$204,IF(IFERROR(MATCH(47,'List A'!$S$5:$S$204,0)+4,"")="","",INDEX('List A'!$K$5:$K$204,IFERROR(MATCH(47,'List A'!$S$5:$S$204,0)+4,"")-4))-4))</f>
        <v/>
      </c>
      <c r="F51" s="53">
        <f>IF(OR(IFERROR(MATCH(47,'List A'!$S$5:$S$204,0)+4,"")="",IF(IFERROR(MATCH(47,'List A'!$S$5:$S$204,0)+4,"")="","",INDEX('List A'!$K$5:$K$204,IFERROR(MATCH(47,'List A'!$S$5:$S$204,0)+4,"")-4))=""),"",INDEX('List B'!$B$5:$B$204,IF(IFERROR(MATCH(47,'List A'!$S$5:$S$204,0)+4,"")="","",INDEX('List A'!$K$5:$K$204,IFERROR(MATCH(47,'List A'!$S$5:$S$204,0)+4,"")-4))-4))</f>
        <v/>
      </c>
      <c r="G51" s="52">
        <f>IF(OR(IFERROR(MATCH(47,'List A'!$S$5:$S$204,0)+4,"")="",IF(IFERROR(MATCH(47,'List A'!$S$5:$S$204,0)+4,"")="","",INDEX('List A'!$K$5:$K$204,IFERROR(MATCH(47,'List A'!$S$5:$S$204,0)+4,"")-4))=""),"",INDEX('List B'!$C$5:$C$204,IF(IFERROR(MATCH(47,'List A'!$S$5:$S$204,0)+4,"")="","",INDEX('List A'!$K$5:$K$204,IFERROR(MATCH(47,'List A'!$S$5:$S$204,0)+4,"")-4))-4))</f>
        <v/>
      </c>
      <c r="H51" s="53">
        <f>IF(OR(IFERROR(MATCH(47,'List A'!$S$5:$S$204,0)+4,"")="",IF(IFERROR(MATCH(47,'List A'!$S$5:$S$204,0)+4,"")="","",INDEX('List A'!$K$5:$K$204,IFERROR(MATCH(47,'List A'!$S$5:$S$204,0)+4,"")-4))=""),"",INDEX('List B'!$D$5:$D$204,IF(IFERROR(MATCH(47,'List A'!$S$5:$S$204,0)+4,"")="","",INDEX('List A'!$K$5:$K$204,IFERROR(MATCH(47,'List A'!$S$5:$S$204,0)+4,"")-4))-4))</f>
        <v/>
      </c>
      <c r="I51" s="52">
        <f>IF(IFERROR(MATCH(47,'List A'!$S$5:$S$204,0)+4,"")="","",INDEX('List A'!$N$5:$N$204,IFERROR(MATCH(47,'List A'!$S$5:$S$204,0)+4,"")-4))</f>
        <v/>
      </c>
      <c r="J51" s="53">
        <f>IF(IFERROR(MATCH(47,'List A'!$S$5:$S$204,0)+4,"")="","",INDEX('List A'!$O$5:$O$204,IFERROR(MATCH(47,'List A'!$S$5:$S$204,0)+4,"")-4))</f>
        <v/>
      </c>
    </row>
    <row r="52" ht="17" customHeight="1">
      <c r="A52" s="87">
        <f>IF(IFERROR(MATCH(48,'List A'!$S$5:$S$204,0)+4,"")="","",INDEX('List A'!$A$5:$A$204,IFERROR(MATCH(48,'List A'!$S$5:$S$204,0)+4,"")-4))</f>
        <v/>
      </c>
      <c r="B52" s="53">
        <f>IF(IFERROR(MATCH(48,'List A'!$S$5:$S$204,0)+4,"")="","",INDEX('List A'!$B$5:$B$204,IFERROR(MATCH(48,'List A'!$S$5:$S$204,0)+4,"")-4))</f>
        <v/>
      </c>
      <c r="C52" s="52">
        <f>IF(IFERROR(MATCH(48,'List A'!$S$5:$S$204,0)+4,"")="","",INDEX('List A'!$C$5:$C$204,IFERROR(MATCH(48,'List A'!$S$5:$S$204,0)+4,"")-4))</f>
        <v/>
      </c>
      <c r="D52" s="53">
        <f>IF(IFERROR(MATCH(48,'List A'!$S$5:$S$204,0)+4,"")="","",INDEX('List A'!$D$5:$D$204,IFERROR(MATCH(48,'List A'!$S$5:$S$204,0)+4,"")-4))</f>
        <v/>
      </c>
      <c r="E52" s="87">
        <f>IF(OR(IFERROR(MATCH(48,'List A'!$S$5:$S$204,0)+4,"")="",IF(IFERROR(MATCH(48,'List A'!$S$5:$S$204,0)+4,"")="","",INDEX('List A'!$K$5:$K$204,IFERROR(MATCH(48,'List A'!$S$5:$S$204,0)+4,"")-4))=""),"",INDEX('List B'!$A$5:$A$204,IF(IFERROR(MATCH(48,'List A'!$S$5:$S$204,0)+4,"")="","",INDEX('List A'!$K$5:$K$204,IFERROR(MATCH(48,'List A'!$S$5:$S$204,0)+4,"")-4))-4))</f>
        <v/>
      </c>
      <c r="F52" s="53">
        <f>IF(OR(IFERROR(MATCH(48,'List A'!$S$5:$S$204,0)+4,"")="",IF(IFERROR(MATCH(48,'List A'!$S$5:$S$204,0)+4,"")="","",INDEX('List A'!$K$5:$K$204,IFERROR(MATCH(48,'List A'!$S$5:$S$204,0)+4,"")-4))=""),"",INDEX('List B'!$B$5:$B$204,IF(IFERROR(MATCH(48,'List A'!$S$5:$S$204,0)+4,"")="","",INDEX('List A'!$K$5:$K$204,IFERROR(MATCH(48,'List A'!$S$5:$S$204,0)+4,"")-4))-4))</f>
        <v/>
      </c>
      <c r="G52" s="52">
        <f>IF(OR(IFERROR(MATCH(48,'List A'!$S$5:$S$204,0)+4,"")="",IF(IFERROR(MATCH(48,'List A'!$S$5:$S$204,0)+4,"")="","",INDEX('List A'!$K$5:$K$204,IFERROR(MATCH(48,'List A'!$S$5:$S$204,0)+4,"")-4))=""),"",INDEX('List B'!$C$5:$C$204,IF(IFERROR(MATCH(48,'List A'!$S$5:$S$204,0)+4,"")="","",INDEX('List A'!$K$5:$K$204,IFERROR(MATCH(48,'List A'!$S$5:$S$204,0)+4,"")-4))-4))</f>
        <v/>
      </c>
      <c r="H52" s="53">
        <f>IF(OR(IFERROR(MATCH(48,'List A'!$S$5:$S$204,0)+4,"")="",IF(IFERROR(MATCH(48,'List A'!$S$5:$S$204,0)+4,"")="","",INDEX('List A'!$K$5:$K$204,IFERROR(MATCH(48,'List A'!$S$5:$S$204,0)+4,"")-4))=""),"",INDEX('List B'!$D$5:$D$204,IF(IFERROR(MATCH(48,'List A'!$S$5:$S$204,0)+4,"")="","",INDEX('List A'!$K$5:$K$204,IFERROR(MATCH(48,'List A'!$S$5:$S$204,0)+4,"")-4))-4))</f>
        <v/>
      </c>
      <c r="I52" s="52">
        <f>IF(IFERROR(MATCH(48,'List A'!$S$5:$S$204,0)+4,"")="","",INDEX('List A'!$N$5:$N$204,IFERROR(MATCH(48,'List A'!$S$5:$S$204,0)+4,"")-4))</f>
        <v/>
      </c>
      <c r="J52" s="53">
        <f>IF(IFERROR(MATCH(48,'List A'!$S$5:$S$204,0)+4,"")="","",INDEX('List A'!$O$5:$O$204,IFERROR(MATCH(48,'List A'!$S$5:$S$204,0)+4,"")-4))</f>
        <v/>
      </c>
    </row>
    <row r="53" ht="17" customHeight="1">
      <c r="A53" s="87">
        <f>IF(IFERROR(MATCH(49,'List A'!$S$5:$S$204,0)+4,"")="","",INDEX('List A'!$A$5:$A$204,IFERROR(MATCH(49,'List A'!$S$5:$S$204,0)+4,"")-4))</f>
        <v/>
      </c>
      <c r="B53" s="53">
        <f>IF(IFERROR(MATCH(49,'List A'!$S$5:$S$204,0)+4,"")="","",INDEX('List A'!$B$5:$B$204,IFERROR(MATCH(49,'List A'!$S$5:$S$204,0)+4,"")-4))</f>
        <v/>
      </c>
      <c r="C53" s="52">
        <f>IF(IFERROR(MATCH(49,'List A'!$S$5:$S$204,0)+4,"")="","",INDEX('List A'!$C$5:$C$204,IFERROR(MATCH(49,'List A'!$S$5:$S$204,0)+4,"")-4))</f>
        <v/>
      </c>
      <c r="D53" s="53">
        <f>IF(IFERROR(MATCH(49,'List A'!$S$5:$S$204,0)+4,"")="","",INDEX('List A'!$D$5:$D$204,IFERROR(MATCH(49,'List A'!$S$5:$S$204,0)+4,"")-4))</f>
        <v/>
      </c>
      <c r="E53" s="87">
        <f>IF(OR(IFERROR(MATCH(49,'List A'!$S$5:$S$204,0)+4,"")="",IF(IFERROR(MATCH(49,'List A'!$S$5:$S$204,0)+4,"")="","",INDEX('List A'!$K$5:$K$204,IFERROR(MATCH(49,'List A'!$S$5:$S$204,0)+4,"")-4))=""),"",INDEX('List B'!$A$5:$A$204,IF(IFERROR(MATCH(49,'List A'!$S$5:$S$204,0)+4,"")="","",INDEX('List A'!$K$5:$K$204,IFERROR(MATCH(49,'List A'!$S$5:$S$204,0)+4,"")-4))-4))</f>
        <v/>
      </c>
      <c r="F53" s="53">
        <f>IF(OR(IFERROR(MATCH(49,'List A'!$S$5:$S$204,0)+4,"")="",IF(IFERROR(MATCH(49,'List A'!$S$5:$S$204,0)+4,"")="","",INDEX('List A'!$K$5:$K$204,IFERROR(MATCH(49,'List A'!$S$5:$S$204,0)+4,"")-4))=""),"",INDEX('List B'!$B$5:$B$204,IF(IFERROR(MATCH(49,'List A'!$S$5:$S$204,0)+4,"")="","",INDEX('List A'!$K$5:$K$204,IFERROR(MATCH(49,'List A'!$S$5:$S$204,0)+4,"")-4))-4))</f>
        <v/>
      </c>
      <c r="G53" s="52">
        <f>IF(OR(IFERROR(MATCH(49,'List A'!$S$5:$S$204,0)+4,"")="",IF(IFERROR(MATCH(49,'List A'!$S$5:$S$204,0)+4,"")="","",INDEX('List A'!$K$5:$K$204,IFERROR(MATCH(49,'List A'!$S$5:$S$204,0)+4,"")-4))=""),"",INDEX('List B'!$C$5:$C$204,IF(IFERROR(MATCH(49,'List A'!$S$5:$S$204,0)+4,"")="","",INDEX('List A'!$K$5:$K$204,IFERROR(MATCH(49,'List A'!$S$5:$S$204,0)+4,"")-4))-4))</f>
        <v/>
      </c>
      <c r="H53" s="53">
        <f>IF(OR(IFERROR(MATCH(49,'List A'!$S$5:$S$204,0)+4,"")="",IF(IFERROR(MATCH(49,'List A'!$S$5:$S$204,0)+4,"")="","",INDEX('List A'!$K$5:$K$204,IFERROR(MATCH(49,'List A'!$S$5:$S$204,0)+4,"")-4))=""),"",INDEX('List B'!$D$5:$D$204,IF(IFERROR(MATCH(49,'List A'!$S$5:$S$204,0)+4,"")="","",INDEX('List A'!$K$5:$K$204,IFERROR(MATCH(49,'List A'!$S$5:$S$204,0)+4,"")-4))-4))</f>
        <v/>
      </c>
      <c r="I53" s="52">
        <f>IF(IFERROR(MATCH(49,'List A'!$S$5:$S$204,0)+4,"")="","",INDEX('List A'!$N$5:$N$204,IFERROR(MATCH(49,'List A'!$S$5:$S$204,0)+4,"")-4))</f>
        <v/>
      </c>
      <c r="J53" s="53">
        <f>IF(IFERROR(MATCH(49,'List A'!$S$5:$S$204,0)+4,"")="","",INDEX('List A'!$O$5:$O$204,IFERROR(MATCH(49,'List A'!$S$5:$S$204,0)+4,"")-4))</f>
        <v/>
      </c>
    </row>
    <row r="54" ht="17" customHeight="1">
      <c r="A54" s="87">
        <f>IF(IFERROR(MATCH(50,'List A'!$S$5:$S$204,0)+4,"")="","",INDEX('List A'!$A$5:$A$204,IFERROR(MATCH(50,'List A'!$S$5:$S$204,0)+4,"")-4))</f>
        <v/>
      </c>
      <c r="B54" s="53">
        <f>IF(IFERROR(MATCH(50,'List A'!$S$5:$S$204,0)+4,"")="","",INDEX('List A'!$B$5:$B$204,IFERROR(MATCH(50,'List A'!$S$5:$S$204,0)+4,"")-4))</f>
        <v/>
      </c>
      <c r="C54" s="52">
        <f>IF(IFERROR(MATCH(50,'List A'!$S$5:$S$204,0)+4,"")="","",INDEX('List A'!$C$5:$C$204,IFERROR(MATCH(50,'List A'!$S$5:$S$204,0)+4,"")-4))</f>
        <v/>
      </c>
      <c r="D54" s="53">
        <f>IF(IFERROR(MATCH(50,'List A'!$S$5:$S$204,0)+4,"")="","",INDEX('List A'!$D$5:$D$204,IFERROR(MATCH(50,'List A'!$S$5:$S$204,0)+4,"")-4))</f>
        <v/>
      </c>
      <c r="E54" s="87">
        <f>IF(OR(IFERROR(MATCH(50,'List A'!$S$5:$S$204,0)+4,"")="",IF(IFERROR(MATCH(50,'List A'!$S$5:$S$204,0)+4,"")="","",INDEX('List A'!$K$5:$K$204,IFERROR(MATCH(50,'List A'!$S$5:$S$204,0)+4,"")-4))=""),"",INDEX('List B'!$A$5:$A$204,IF(IFERROR(MATCH(50,'List A'!$S$5:$S$204,0)+4,"")="","",INDEX('List A'!$K$5:$K$204,IFERROR(MATCH(50,'List A'!$S$5:$S$204,0)+4,"")-4))-4))</f>
        <v/>
      </c>
      <c r="F54" s="53">
        <f>IF(OR(IFERROR(MATCH(50,'List A'!$S$5:$S$204,0)+4,"")="",IF(IFERROR(MATCH(50,'List A'!$S$5:$S$204,0)+4,"")="","",INDEX('List A'!$K$5:$K$204,IFERROR(MATCH(50,'List A'!$S$5:$S$204,0)+4,"")-4))=""),"",INDEX('List B'!$B$5:$B$204,IF(IFERROR(MATCH(50,'List A'!$S$5:$S$204,0)+4,"")="","",INDEX('List A'!$K$5:$K$204,IFERROR(MATCH(50,'List A'!$S$5:$S$204,0)+4,"")-4))-4))</f>
        <v/>
      </c>
      <c r="G54" s="52">
        <f>IF(OR(IFERROR(MATCH(50,'List A'!$S$5:$S$204,0)+4,"")="",IF(IFERROR(MATCH(50,'List A'!$S$5:$S$204,0)+4,"")="","",INDEX('List A'!$K$5:$K$204,IFERROR(MATCH(50,'List A'!$S$5:$S$204,0)+4,"")-4))=""),"",INDEX('List B'!$C$5:$C$204,IF(IFERROR(MATCH(50,'List A'!$S$5:$S$204,0)+4,"")="","",INDEX('List A'!$K$5:$K$204,IFERROR(MATCH(50,'List A'!$S$5:$S$204,0)+4,"")-4))-4))</f>
        <v/>
      </c>
      <c r="H54" s="53">
        <f>IF(OR(IFERROR(MATCH(50,'List A'!$S$5:$S$204,0)+4,"")="",IF(IFERROR(MATCH(50,'List A'!$S$5:$S$204,0)+4,"")="","",INDEX('List A'!$K$5:$K$204,IFERROR(MATCH(50,'List A'!$S$5:$S$204,0)+4,"")-4))=""),"",INDEX('List B'!$D$5:$D$204,IF(IFERROR(MATCH(50,'List A'!$S$5:$S$204,0)+4,"")="","",INDEX('List A'!$K$5:$K$204,IFERROR(MATCH(50,'List A'!$S$5:$S$204,0)+4,"")-4))-4))</f>
        <v/>
      </c>
      <c r="I54" s="52">
        <f>IF(IFERROR(MATCH(50,'List A'!$S$5:$S$204,0)+4,"")="","",INDEX('List A'!$N$5:$N$204,IFERROR(MATCH(50,'List A'!$S$5:$S$204,0)+4,"")-4))</f>
        <v/>
      </c>
      <c r="J54" s="53">
        <f>IF(IFERROR(MATCH(50,'List A'!$S$5:$S$204,0)+4,"")="","",INDEX('List A'!$O$5:$O$204,IFERROR(MATCH(50,'List A'!$S$5:$S$204,0)+4,"")-4))</f>
        <v/>
      </c>
    </row>
    <row r="55" ht="17" customHeight="1">
      <c r="A55" s="87">
        <f>IF(IFERROR(MATCH(51,'List A'!$S$5:$S$204,0)+4,"")="","",INDEX('List A'!$A$5:$A$204,IFERROR(MATCH(51,'List A'!$S$5:$S$204,0)+4,"")-4))</f>
        <v/>
      </c>
      <c r="B55" s="53">
        <f>IF(IFERROR(MATCH(51,'List A'!$S$5:$S$204,0)+4,"")="","",INDEX('List A'!$B$5:$B$204,IFERROR(MATCH(51,'List A'!$S$5:$S$204,0)+4,"")-4))</f>
        <v/>
      </c>
      <c r="C55" s="52">
        <f>IF(IFERROR(MATCH(51,'List A'!$S$5:$S$204,0)+4,"")="","",INDEX('List A'!$C$5:$C$204,IFERROR(MATCH(51,'List A'!$S$5:$S$204,0)+4,"")-4))</f>
        <v/>
      </c>
      <c r="D55" s="53">
        <f>IF(IFERROR(MATCH(51,'List A'!$S$5:$S$204,0)+4,"")="","",INDEX('List A'!$D$5:$D$204,IFERROR(MATCH(51,'List A'!$S$5:$S$204,0)+4,"")-4))</f>
        <v/>
      </c>
      <c r="E55" s="87">
        <f>IF(OR(IFERROR(MATCH(51,'List A'!$S$5:$S$204,0)+4,"")="",IF(IFERROR(MATCH(51,'List A'!$S$5:$S$204,0)+4,"")="","",INDEX('List A'!$K$5:$K$204,IFERROR(MATCH(51,'List A'!$S$5:$S$204,0)+4,"")-4))=""),"",INDEX('List B'!$A$5:$A$204,IF(IFERROR(MATCH(51,'List A'!$S$5:$S$204,0)+4,"")="","",INDEX('List A'!$K$5:$K$204,IFERROR(MATCH(51,'List A'!$S$5:$S$204,0)+4,"")-4))-4))</f>
        <v/>
      </c>
      <c r="F55" s="53">
        <f>IF(OR(IFERROR(MATCH(51,'List A'!$S$5:$S$204,0)+4,"")="",IF(IFERROR(MATCH(51,'List A'!$S$5:$S$204,0)+4,"")="","",INDEX('List A'!$K$5:$K$204,IFERROR(MATCH(51,'List A'!$S$5:$S$204,0)+4,"")-4))=""),"",INDEX('List B'!$B$5:$B$204,IF(IFERROR(MATCH(51,'List A'!$S$5:$S$204,0)+4,"")="","",INDEX('List A'!$K$5:$K$204,IFERROR(MATCH(51,'List A'!$S$5:$S$204,0)+4,"")-4))-4))</f>
        <v/>
      </c>
      <c r="G55" s="52">
        <f>IF(OR(IFERROR(MATCH(51,'List A'!$S$5:$S$204,0)+4,"")="",IF(IFERROR(MATCH(51,'List A'!$S$5:$S$204,0)+4,"")="","",INDEX('List A'!$K$5:$K$204,IFERROR(MATCH(51,'List A'!$S$5:$S$204,0)+4,"")-4))=""),"",INDEX('List B'!$C$5:$C$204,IF(IFERROR(MATCH(51,'List A'!$S$5:$S$204,0)+4,"")="","",INDEX('List A'!$K$5:$K$204,IFERROR(MATCH(51,'List A'!$S$5:$S$204,0)+4,"")-4))-4))</f>
        <v/>
      </c>
      <c r="H55" s="53">
        <f>IF(OR(IFERROR(MATCH(51,'List A'!$S$5:$S$204,0)+4,"")="",IF(IFERROR(MATCH(51,'List A'!$S$5:$S$204,0)+4,"")="","",INDEX('List A'!$K$5:$K$204,IFERROR(MATCH(51,'List A'!$S$5:$S$204,0)+4,"")-4))=""),"",INDEX('List B'!$D$5:$D$204,IF(IFERROR(MATCH(51,'List A'!$S$5:$S$204,0)+4,"")="","",INDEX('List A'!$K$5:$K$204,IFERROR(MATCH(51,'List A'!$S$5:$S$204,0)+4,"")-4))-4))</f>
        <v/>
      </c>
      <c r="I55" s="52">
        <f>IF(IFERROR(MATCH(51,'List A'!$S$5:$S$204,0)+4,"")="","",INDEX('List A'!$N$5:$N$204,IFERROR(MATCH(51,'List A'!$S$5:$S$204,0)+4,"")-4))</f>
        <v/>
      </c>
      <c r="J55" s="53">
        <f>IF(IFERROR(MATCH(51,'List A'!$S$5:$S$204,0)+4,"")="","",INDEX('List A'!$O$5:$O$204,IFERROR(MATCH(51,'List A'!$S$5:$S$204,0)+4,"")-4))</f>
        <v/>
      </c>
    </row>
    <row r="56" ht="17" customHeight="1">
      <c r="A56" s="87">
        <f>IF(IFERROR(MATCH(52,'List A'!$S$5:$S$204,0)+4,"")="","",INDEX('List A'!$A$5:$A$204,IFERROR(MATCH(52,'List A'!$S$5:$S$204,0)+4,"")-4))</f>
        <v/>
      </c>
      <c r="B56" s="53">
        <f>IF(IFERROR(MATCH(52,'List A'!$S$5:$S$204,0)+4,"")="","",INDEX('List A'!$B$5:$B$204,IFERROR(MATCH(52,'List A'!$S$5:$S$204,0)+4,"")-4))</f>
        <v/>
      </c>
      <c r="C56" s="52">
        <f>IF(IFERROR(MATCH(52,'List A'!$S$5:$S$204,0)+4,"")="","",INDEX('List A'!$C$5:$C$204,IFERROR(MATCH(52,'List A'!$S$5:$S$204,0)+4,"")-4))</f>
        <v/>
      </c>
      <c r="D56" s="53">
        <f>IF(IFERROR(MATCH(52,'List A'!$S$5:$S$204,0)+4,"")="","",INDEX('List A'!$D$5:$D$204,IFERROR(MATCH(52,'List A'!$S$5:$S$204,0)+4,"")-4))</f>
        <v/>
      </c>
      <c r="E56" s="87">
        <f>IF(OR(IFERROR(MATCH(52,'List A'!$S$5:$S$204,0)+4,"")="",IF(IFERROR(MATCH(52,'List A'!$S$5:$S$204,0)+4,"")="","",INDEX('List A'!$K$5:$K$204,IFERROR(MATCH(52,'List A'!$S$5:$S$204,0)+4,"")-4))=""),"",INDEX('List B'!$A$5:$A$204,IF(IFERROR(MATCH(52,'List A'!$S$5:$S$204,0)+4,"")="","",INDEX('List A'!$K$5:$K$204,IFERROR(MATCH(52,'List A'!$S$5:$S$204,0)+4,"")-4))-4))</f>
        <v/>
      </c>
      <c r="F56" s="53">
        <f>IF(OR(IFERROR(MATCH(52,'List A'!$S$5:$S$204,0)+4,"")="",IF(IFERROR(MATCH(52,'List A'!$S$5:$S$204,0)+4,"")="","",INDEX('List A'!$K$5:$K$204,IFERROR(MATCH(52,'List A'!$S$5:$S$204,0)+4,"")-4))=""),"",INDEX('List B'!$B$5:$B$204,IF(IFERROR(MATCH(52,'List A'!$S$5:$S$204,0)+4,"")="","",INDEX('List A'!$K$5:$K$204,IFERROR(MATCH(52,'List A'!$S$5:$S$204,0)+4,"")-4))-4))</f>
        <v/>
      </c>
      <c r="G56" s="52">
        <f>IF(OR(IFERROR(MATCH(52,'List A'!$S$5:$S$204,0)+4,"")="",IF(IFERROR(MATCH(52,'List A'!$S$5:$S$204,0)+4,"")="","",INDEX('List A'!$K$5:$K$204,IFERROR(MATCH(52,'List A'!$S$5:$S$204,0)+4,"")-4))=""),"",INDEX('List B'!$C$5:$C$204,IF(IFERROR(MATCH(52,'List A'!$S$5:$S$204,0)+4,"")="","",INDEX('List A'!$K$5:$K$204,IFERROR(MATCH(52,'List A'!$S$5:$S$204,0)+4,"")-4))-4))</f>
        <v/>
      </c>
      <c r="H56" s="53">
        <f>IF(OR(IFERROR(MATCH(52,'List A'!$S$5:$S$204,0)+4,"")="",IF(IFERROR(MATCH(52,'List A'!$S$5:$S$204,0)+4,"")="","",INDEX('List A'!$K$5:$K$204,IFERROR(MATCH(52,'List A'!$S$5:$S$204,0)+4,"")-4))=""),"",INDEX('List B'!$D$5:$D$204,IF(IFERROR(MATCH(52,'List A'!$S$5:$S$204,0)+4,"")="","",INDEX('List A'!$K$5:$K$204,IFERROR(MATCH(52,'List A'!$S$5:$S$204,0)+4,"")-4))-4))</f>
        <v/>
      </c>
      <c r="I56" s="52">
        <f>IF(IFERROR(MATCH(52,'List A'!$S$5:$S$204,0)+4,"")="","",INDEX('List A'!$N$5:$N$204,IFERROR(MATCH(52,'List A'!$S$5:$S$204,0)+4,"")-4))</f>
        <v/>
      </c>
      <c r="J56" s="53">
        <f>IF(IFERROR(MATCH(52,'List A'!$S$5:$S$204,0)+4,"")="","",INDEX('List A'!$O$5:$O$204,IFERROR(MATCH(52,'List A'!$S$5:$S$204,0)+4,"")-4))</f>
        <v/>
      </c>
    </row>
    <row r="57" ht="17" customHeight="1">
      <c r="A57" s="87">
        <f>IF(IFERROR(MATCH(53,'List A'!$S$5:$S$204,0)+4,"")="","",INDEX('List A'!$A$5:$A$204,IFERROR(MATCH(53,'List A'!$S$5:$S$204,0)+4,"")-4))</f>
        <v/>
      </c>
      <c r="B57" s="53">
        <f>IF(IFERROR(MATCH(53,'List A'!$S$5:$S$204,0)+4,"")="","",INDEX('List A'!$B$5:$B$204,IFERROR(MATCH(53,'List A'!$S$5:$S$204,0)+4,"")-4))</f>
        <v/>
      </c>
      <c r="C57" s="52">
        <f>IF(IFERROR(MATCH(53,'List A'!$S$5:$S$204,0)+4,"")="","",INDEX('List A'!$C$5:$C$204,IFERROR(MATCH(53,'List A'!$S$5:$S$204,0)+4,"")-4))</f>
        <v/>
      </c>
      <c r="D57" s="53">
        <f>IF(IFERROR(MATCH(53,'List A'!$S$5:$S$204,0)+4,"")="","",INDEX('List A'!$D$5:$D$204,IFERROR(MATCH(53,'List A'!$S$5:$S$204,0)+4,"")-4))</f>
        <v/>
      </c>
      <c r="E57" s="87">
        <f>IF(OR(IFERROR(MATCH(53,'List A'!$S$5:$S$204,0)+4,"")="",IF(IFERROR(MATCH(53,'List A'!$S$5:$S$204,0)+4,"")="","",INDEX('List A'!$K$5:$K$204,IFERROR(MATCH(53,'List A'!$S$5:$S$204,0)+4,"")-4))=""),"",INDEX('List B'!$A$5:$A$204,IF(IFERROR(MATCH(53,'List A'!$S$5:$S$204,0)+4,"")="","",INDEX('List A'!$K$5:$K$204,IFERROR(MATCH(53,'List A'!$S$5:$S$204,0)+4,"")-4))-4))</f>
        <v/>
      </c>
      <c r="F57" s="53">
        <f>IF(OR(IFERROR(MATCH(53,'List A'!$S$5:$S$204,0)+4,"")="",IF(IFERROR(MATCH(53,'List A'!$S$5:$S$204,0)+4,"")="","",INDEX('List A'!$K$5:$K$204,IFERROR(MATCH(53,'List A'!$S$5:$S$204,0)+4,"")-4))=""),"",INDEX('List B'!$B$5:$B$204,IF(IFERROR(MATCH(53,'List A'!$S$5:$S$204,0)+4,"")="","",INDEX('List A'!$K$5:$K$204,IFERROR(MATCH(53,'List A'!$S$5:$S$204,0)+4,"")-4))-4))</f>
        <v/>
      </c>
      <c r="G57" s="52">
        <f>IF(OR(IFERROR(MATCH(53,'List A'!$S$5:$S$204,0)+4,"")="",IF(IFERROR(MATCH(53,'List A'!$S$5:$S$204,0)+4,"")="","",INDEX('List A'!$K$5:$K$204,IFERROR(MATCH(53,'List A'!$S$5:$S$204,0)+4,"")-4))=""),"",INDEX('List B'!$C$5:$C$204,IF(IFERROR(MATCH(53,'List A'!$S$5:$S$204,0)+4,"")="","",INDEX('List A'!$K$5:$K$204,IFERROR(MATCH(53,'List A'!$S$5:$S$204,0)+4,"")-4))-4))</f>
        <v/>
      </c>
      <c r="H57" s="53">
        <f>IF(OR(IFERROR(MATCH(53,'List A'!$S$5:$S$204,0)+4,"")="",IF(IFERROR(MATCH(53,'List A'!$S$5:$S$204,0)+4,"")="","",INDEX('List A'!$K$5:$K$204,IFERROR(MATCH(53,'List A'!$S$5:$S$204,0)+4,"")-4))=""),"",INDEX('List B'!$D$5:$D$204,IF(IFERROR(MATCH(53,'List A'!$S$5:$S$204,0)+4,"")="","",INDEX('List A'!$K$5:$K$204,IFERROR(MATCH(53,'List A'!$S$5:$S$204,0)+4,"")-4))-4))</f>
        <v/>
      </c>
      <c r="I57" s="52">
        <f>IF(IFERROR(MATCH(53,'List A'!$S$5:$S$204,0)+4,"")="","",INDEX('List A'!$N$5:$N$204,IFERROR(MATCH(53,'List A'!$S$5:$S$204,0)+4,"")-4))</f>
        <v/>
      </c>
      <c r="J57" s="53">
        <f>IF(IFERROR(MATCH(53,'List A'!$S$5:$S$204,0)+4,"")="","",INDEX('List A'!$O$5:$O$204,IFERROR(MATCH(53,'List A'!$S$5:$S$204,0)+4,"")-4))</f>
        <v/>
      </c>
    </row>
    <row r="58" ht="17" customHeight="1">
      <c r="A58" s="87">
        <f>IF(IFERROR(MATCH(54,'List A'!$S$5:$S$204,0)+4,"")="","",INDEX('List A'!$A$5:$A$204,IFERROR(MATCH(54,'List A'!$S$5:$S$204,0)+4,"")-4))</f>
        <v/>
      </c>
      <c r="B58" s="53">
        <f>IF(IFERROR(MATCH(54,'List A'!$S$5:$S$204,0)+4,"")="","",INDEX('List A'!$B$5:$B$204,IFERROR(MATCH(54,'List A'!$S$5:$S$204,0)+4,"")-4))</f>
        <v/>
      </c>
      <c r="C58" s="52">
        <f>IF(IFERROR(MATCH(54,'List A'!$S$5:$S$204,0)+4,"")="","",INDEX('List A'!$C$5:$C$204,IFERROR(MATCH(54,'List A'!$S$5:$S$204,0)+4,"")-4))</f>
        <v/>
      </c>
      <c r="D58" s="53">
        <f>IF(IFERROR(MATCH(54,'List A'!$S$5:$S$204,0)+4,"")="","",INDEX('List A'!$D$5:$D$204,IFERROR(MATCH(54,'List A'!$S$5:$S$204,0)+4,"")-4))</f>
        <v/>
      </c>
      <c r="E58" s="87">
        <f>IF(OR(IFERROR(MATCH(54,'List A'!$S$5:$S$204,0)+4,"")="",IF(IFERROR(MATCH(54,'List A'!$S$5:$S$204,0)+4,"")="","",INDEX('List A'!$K$5:$K$204,IFERROR(MATCH(54,'List A'!$S$5:$S$204,0)+4,"")-4))=""),"",INDEX('List B'!$A$5:$A$204,IF(IFERROR(MATCH(54,'List A'!$S$5:$S$204,0)+4,"")="","",INDEX('List A'!$K$5:$K$204,IFERROR(MATCH(54,'List A'!$S$5:$S$204,0)+4,"")-4))-4))</f>
        <v/>
      </c>
      <c r="F58" s="53">
        <f>IF(OR(IFERROR(MATCH(54,'List A'!$S$5:$S$204,0)+4,"")="",IF(IFERROR(MATCH(54,'List A'!$S$5:$S$204,0)+4,"")="","",INDEX('List A'!$K$5:$K$204,IFERROR(MATCH(54,'List A'!$S$5:$S$204,0)+4,"")-4))=""),"",INDEX('List B'!$B$5:$B$204,IF(IFERROR(MATCH(54,'List A'!$S$5:$S$204,0)+4,"")="","",INDEX('List A'!$K$5:$K$204,IFERROR(MATCH(54,'List A'!$S$5:$S$204,0)+4,"")-4))-4))</f>
        <v/>
      </c>
      <c r="G58" s="52">
        <f>IF(OR(IFERROR(MATCH(54,'List A'!$S$5:$S$204,0)+4,"")="",IF(IFERROR(MATCH(54,'List A'!$S$5:$S$204,0)+4,"")="","",INDEX('List A'!$K$5:$K$204,IFERROR(MATCH(54,'List A'!$S$5:$S$204,0)+4,"")-4))=""),"",INDEX('List B'!$C$5:$C$204,IF(IFERROR(MATCH(54,'List A'!$S$5:$S$204,0)+4,"")="","",INDEX('List A'!$K$5:$K$204,IFERROR(MATCH(54,'List A'!$S$5:$S$204,0)+4,"")-4))-4))</f>
        <v/>
      </c>
      <c r="H58" s="53">
        <f>IF(OR(IFERROR(MATCH(54,'List A'!$S$5:$S$204,0)+4,"")="",IF(IFERROR(MATCH(54,'List A'!$S$5:$S$204,0)+4,"")="","",INDEX('List A'!$K$5:$K$204,IFERROR(MATCH(54,'List A'!$S$5:$S$204,0)+4,"")-4))=""),"",INDEX('List B'!$D$5:$D$204,IF(IFERROR(MATCH(54,'List A'!$S$5:$S$204,0)+4,"")="","",INDEX('List A'!$K$5:$K$204,IFERROR(MATCH(54,'List A'!$S$5:$S$204,0)+4,"")-4))-4))</f>
        <v/>
      </c>
      <c r="I58" s="52">
        <f>IF(IFERROR(MATCH(54,'List A'!$S$5:$S$204,0)+4,"")="","",INDEX('List A'!$N$5:$N$204,IFERROR(MATCH(54,'List A'!$S$5:$S$204,0)+4,"")-4))</f>
        <v/>
      </c>
      <c r="J58" s="53">
        <f>IF(IFERROR(MATCH(54,'List A'!$S$5:$S$204,0)+4,"")="","",INDEX('List A'!$O$5:$O$204,IFERROR(MATCH(54,'List A'!$S$5:$S$204,0)+4,"")-4))</f>
        <v/>
      </c>
    </row>
    <row r="59" ht="17" customHeight="1">
      <c r="A59" s="87">
        <f>IF(IFERROR(MATCH(55,'List A'!$S$5:$S$204,0)+4,"")="","",INDEX('List A'!$A$5:$A$204,IFERROR(MATCH(55,'List A'!$S$5:$S$204,0)+4,"")-4))</f>
        <v/>
      </c>
      <c r="B59" s="53">
        <f>IF(IFERROR(MATCH(55,'List A'!$S$5:$S$204,0)+4,"")="","",INDEX('List A'!$B$5:$B$204,IFERROR(MATCH(55,'List A'!$S$5:$S$204,0)+4,"")-4))</f>
        <v/>
      </c>
      <c r="C59" s="52">
        <f>IF(IFERROR(MATCH(55,'List A'!$S$5:$S$204,0)+4,"")="","",INDEX('List A'!$C$5:$C$204,IFERROR(MATCH(55,'List A'!$S$5:$S$204,0)+4,"")-4))</f>
        <v/>
      </c>
      <c r="D59" s="53">
        <f>IF(IFERROR(MATCH(55,'List A'!$S$5:$S$204,0)+4,"")="","",INDEX('List A'!$D$5:$D$204,IFERROR(MATCH(55,'List A'!$S$5:$S$204,0)+4,"")-4))</f>
        <v/>
      </c>
      <c r="E59" s="87">
        <f>IF(OR(IFERROR(MATCH(55,'List A'!$S$5:$S$204,0)+4,"")="",IF(IFERROR(MATCH(55,'List A'!$S$5:$S$204,0)+4,"")="","",INDEX('List A'!$K$5:$K$204,IFERROR(MATCH(55,'List A'!$S$5:$S$204,0)+4,"")-4))=""),"",INDEX('List B'!$A$5:$A$204,IF(IFERROR(MATCH(55,'List A'!$S$5:$S$204,0)+4,"")="","",INDEX('List A'!$K$5:$K$204,IFERROR(MATCH(55,'List A'!$S$5:$S$204,0)+4,"")-4))-4))</f>
        <v/>
      </c>
      <c r="F59" s="53">
        <f>IF(OR(IFERROR(MATCH(55,'List A'!$S$5:$S$204,0)+4,"")="",IF(IFERROR(MATCH(55,'List A'!$S$5:$S$204,0)+4,"")="","",INDEX('List A'!$K$5:$K$204,IFERROR(MATCH(55,'List A'!$S$5:$S$204,0)+4,"")-4))=""),"",INDEX('List B'!$B$5:$B$204,IF(IFERROR(MATCH(55,'List A'!$S$5:$S$204,0)+4,"")="","",INDEX('List A'!$K$5:$K$204,IFERROR(MATCH(55,'List A'!$S$5:$S$204,0)+4,"")-4))-4))</f>
        <v/>
      </c>
      <c r="G59" s="52">
        <f>IF(OR(IFERROR(MATCH(55,'List A'!$S$5:$S$204,0)+4,"")="",IF(IFERROR(MATCH(55,'List A'!$S$5:$S$204,0)+4,"")="","",INDEX('List A'!$K$5:$K$204,IFERROR(MATCH(55,'List A'!$S$5:$S$204,0)+4,"")-4))=""),"",INDEX('List B'!$C$5:$C$204,IF(IFERROR(MATCH(55,'List A'!$S$5:$S$204,0)+4,"")="","",INDEX('List A'!$K$5:$K$204,IFERROR(MATCH(55,'List A'!$S$5:$S$204,0)+4,"")-4))-4))</f>
        <v/>
      </c>
      <c r="H59" s="53">
        <f>IF(OR(IFERROR(MATCH(55,'List A'!$S$5:$S$204,0)+4,"")="",IF(IFERROR(MATCH(55,'List A'!$S$5:$S$204,0)+4,"")="","",INDEX('List A'!$K$5:$K$204,IFERROR(MATCH(55,'List A'!$S$5:$S$204,0)+4,"")-4))=""),"",INDEX('List B'!$D$5:$D$204,IF(IFERROR(MATCH(55,'List A'!$S$5:$S$204,0)+4,"")="","",INDEX('List A'!$K$5:$K$204,IFERROR(MATCH(55,'List A'!$S$5:$S$204,0)+4,"")-4))-4))</f>
        <v/>
      </c>
      <c r="I59" s="52">
        <f>IF(IFERROR(MATCH(55,'List A'!$S$5:$S$204,0)+4,"")="","",INDEX('List A'!$N$5:$N$204,IFERROR(MATCH(55,'List A'!$S$5:$S$204,0)+4,"")-4))</f>
        <v/>
      </c>
      <c r="J59" s="53">
        <f>IF(IFERROR(MATCH(55,'List A'!$S$5:$S$204,0)+4,"")="","",INDEX('List A'!$O$5:$O$204,IFERROR(MATCH(55,'List A'!$S$5:$S$204,0)+4,"")-4))</f>
        <v/>
      </c>
    </row>
    <row r="60" ht="17" customHeight="1">
      <c r="A60" s="87">
        <f>IF(IFERROR(MATCH(56,'List A'!$S$5:$S$204,0)+4,"")="","",INDEX('List A'!$A$5:$A$204,IFERROR(MATCH(56,'List A'!$S$5:$S$204,0)+4,"")-4))</f>
        <v/>
      </c>
      <c r="B60" s="53">
        <f>IF(IFERROR(MATCH(56,'List A'!$S$5:$S$204,0)+4,"")="","",INDEX('List A'!$B$5:$B$204,IFERROR(MATCH(56,'List A'!$S$5:$S$204,0)+4,"")-4))</f>
        <v/>
      </c>
      <c r="C60" s="52">
        <f>IF(IFERROR(MATCH(56,'List A'!$S$5:$S$204,0)+4,"")="","",INDEX('List A'!$C$5:$C$204,IFERROR(MATCH(56,'List A'!$S$5:$S$204,0)+4,"")-4))</f>
        <v/>
      </c>
      <c r="D60" s="53">
        <f>IF(IFERROR(MATCH(56,'List A'!$S$5:$S$204,0)+4,"")="","",INDEX('List A'!$D$5:$D$204,IFERROR(MATCH(56,'List A'!$S$5:$S$204,0)+4,"")-4))</f>
        <v/>
      </c>
      <c r="E60" s="87">
        <f>IF(OR(IFERROR(MATCH(56,'List A'!$S$5:$S$204,0)+4,"")="",IF(IFERROR(MATCH(56,'List A'!$S$5:$S$204,0)+4,"")="","",INDEX('List A'!$K$5:$K$204,IFERROR(MATCH(56,'List A'!$S$5:$S$204,0)+4,"")-4))=""),"",INDEX('List B'!$A$5:$A$204,IF(IFERROR(MATCH(56,'List A'!$S$5:$S$204,0)+4,"")="","",INDEX('List A'!$K$5:$K$204,IFERROR(MATCH(56,'List A'!$S$5:$S$204,0)+4,"")-4))-4))</f>
        <v/>
      </c>
      <c r="F60" s="53">
        <f>IF(OR(IFERROR(MATCH(56,'List A'!$S$5:$S$204,0)+4,"")="",IF(IFERROR(MATCH(56,'List A'!$S$5:$S$204,0)+4,"")="","",INDEX('List A'!$K$5:$K$204,IFERROR(MATCH(56,'List A'!$S$5:$S$204,0)+4,"")-4))=""),"",INDEX('List B'!$B$5:$B$204,IF(IFERROR(MATCH(56,'List A'!$S$5:$S$204,0)+4,"")="","",INDEX('List A'!$K$5:$K$204,IFERROR(MATCH(56,'List A'!$S$5:$S$204,0)+4,"")-4))-4))</f>
        <v/>
      </c>
      <c r="G60" s="52">
        <f>IF(OR(IFERROR(MATCH(56,'List A'!$S$5:$S$204,0)+4,"")="",IF(IFERROR(MATCH(56,'List A'!$S$5:$S$204,0)+4,"")="","",INDEX('List A'!$K$5:$K$204,IFERROR(MATCH(56,'List A'!$S$5:$S$204,0)+4,"")-4))=""),"",INDEX('List B'!$C$5:$C$204,IF(IFERROR(MATCH(56,'List A'!$S$5:$S$204,0)+4,"")="","",INDEX('List A'!$K$5:$K$204,IFERROR(MATCH(56,'List A'!$S$5:$S$204,0)+4,"")-4))-4))</f>
        <v/>
      </c>
      <c r="H60" s="53">
        <f>IF(OR(IFERROR(MATCH(56,'List A'!$S$5:$S$204,0)+4,"")="",IF(IFERROR(MATCH(56,'List A'!$S$5:$S$204,0)+4,"")="","",INDEX('List A'!$K$5:$K$204,IFERROR(MATCH(56,'List A'!$S$5:$S$204,0)+4,"")-4))=""),"",INDEX('List B'!$D$5:$D$204,IF(IFERROR(MATCH(56,'List A'!$S$5:$S$204,0)+4,"")="","",INDEX('List A'!$K$5:$K$204,IFERROR(MATCH(56,'List A'!$S$5:$S$204,0)+4,"")-4))-4))</f>
        <v/>
      </c>
      <c r="I60" s="52">
        <f>IF(IFERROR(MATCH(56,'List A'!$S$5:$S$204,0)+4,"")="","",INDEX('List A'!$N$5:$N$204,IFERROR(MATCH(56,'List A'!$S$5:$S$204,0)+4,"")-4))</f>
        <v/>
      </c>
      <c r="J60" s="53">
        <f>IF(IFERROR(MATCH(56,'List A'!$S$5:$S$204,0)+4,"")="","",INDEX('List A'!$O$5:$O$204,IFERROR(MATCH(56,'List A'!$S$5:$S$204,0)+4,"")-4))</f>
        <v/>
      </c>
    </row>
    <row r="61" ht="17" customHeight="1">
      <c r="A61" s="87">
        <f>IF(IFERROR(MATCH(57,'List A'!$S$5:$S$204,0)+4,"")="","",INDEX('List A'!$A$5:$A$204,IFERROR(MATCH(57,'List A'!$S$5:$S$204,0)+4,"")-4))</f>
        <v/>
      </c>
      <c r="B61" s="53">
        <f>IF(IFERROR(MATCH(57,'List A'!$S$5:$S$204,0)+4,"")="","",INDEX('List A'!$B$5:$B$204,IFERROR(MATCH(57,'List A'!$S$5:$S$204,0)+4,"")-4))</f>
        <v/>
      </c>
      <c r="C61" s="52">
        <f>IF(IFERROR(MATCH(57,'List A'!$S$5:$S$204,0)+4,"")="","",INDEX('List A'!$C$5:$C$204,IFERROR(MATCH(57,'List A'!$S$5:$S$204,0)+4,"")-4))</f>
        <v/>
      </c>
      <c r="D61" s="53">
        <f>IF(IFERROR(MATCH(57,'List A'!$S$5:$S$204,0)+4,"")="","",INDEX('List A'!$D$5:$D$204,IFERROR(MATCH(57,'List A'!$S$5:$S$204,0)+4,"")-4))</f>
        <v/>
      </c>
      <c r="E61" s="87">
        <f>IF(OR(IFERROR(MATCH(57,'List A'!$S$5:$S$204,0)+4,"")="",IF(IFERROR(MATCH(57,'List A'!$S$5:$S$204,0)+4,"")="","",INDEX('List A'!$K$5:$K$204,IFERROR(MATCH(57,'List A'!$S$5:$S$204,0)+4,"")-4))=""),"",INDEX('List B'!$A$5:$A$204,IF(IFERROR(MATCH(57,'List A'!$S$5:$S$204,0)+4,"")="","",INDEX('List A'!$K$5:$K$204,IFERROR(MATCH(57,'List A'!$S$5:$S$204,0)+4,"")-4))-4))</f>
        <v/>
      </c>
      <c r="F61" s="53">
        <f>IF(OR(IFERROR(MATCH(57,'List A'!$S$5:$S$204,0)+4,"")="",IF(IFERROR(MATCH(57,'List A'!$S$5:$S$204,0)+4,"")="","",INDEX('List A'!$K$5:$K$204,IFERROR(MATCH(57,'List A'!$S$5:$S$204,0)+4,"")-4))=""),"",INDEX('List B'!$B$5:$B$204,IF(IFERROR(MATCH(57,'List A'!$S$5:$S$204,0)+4,"")="","",INDEX('List A'!$K$5:$K$204,IFERROR(MATCH(57,'List A'!$S$5:$S$204,0)+4,"")-4))-4))</f>
        <v/>
      </c>
      <c r="G61" s="52">
        <f>IF(OR(IFERROR(MATCH(57,'List A'!$S$5:$S$204,0)+4,"")="",IF(IFERROR(MATCH(57,'List A'!$S$5:$S$204,0)+4,"")="","",INDEX('List A'!$K$5:$K$204,IFERROR(MATCH(57,'List A'!$S$5:$S$204,0)+4,"")-4))=""),"",INDEX('List B'!$C$5:$C$204,IF(IFERROR(MATCH(57,'List A'!$S$5:$S$204,0)+4,"")="","",INDEX('List A'!$K$5:$K$204,IFERROR(MATCH(57,'List A'!$S$5:$S$204,0)+4,"")-4))-4))</f>
        <v/>
      </c>
      <c r="H61" s="53">
        <f>IF(OR(IFERROR(MATCH(57,'List A'!$S$5:$S$204,0)+4,"")="",IF(IFERROR(MATCH(57,'List A'!$S$5:$S$204,0)+4,"")="","",INDEX('List A'!$K$5:$K$204,IFERROR(MATCH(57,'List A'!$S$5:$S$204,0)+4,"")-4))=""),"",INDEX('List B'!$D$5:$D$204,IF(IFERROR(MATCH(57,'List A'!$S$5:$S$204,0)+4,"")="","",INDEX('List A'!$K$5:$K$204,IFERROR(MATCH(57,'List A'!$S$5:$S$204,0)+4,"")-4))-4))</f>
        <v/>
      </c>
      <c r="I61" s="52">
        <f>IF(IFERROR(MATCH(57,'List A'!$S$5:$S$204,0)+4,"")="","",INDEX('List A'!$N$5:$N$204,IFERROR(MATCH(57,'List A'!$S$5:$S$204,0)+4,"")-4))</f>
        <v/>
      </c>
      <c r="J61" s="53">
        <f>IF(IFERROR(MATCH(57,'List A'!$S$5:$S$204,0)+4,"")="","",INDEX('List A'!$O$5:$O$204,IFERROR(MATCH(57,'List A'!$S$5:$S$204,0)+4,"")-4))</f>
        <v/>
      </c>
    </row>
    <row r="62" ht="17" customHeight="1">
      <c r="A62" s="87">
        <f>IF(IFERROR(MATCH(58,'List A'!$S$5:$S$204,0)+4,"")="","",INDEX('List A'!$A$5:$A$204,IFERROR(MATCH(58,'List A'!$S$5:$S$204,0)+4,"")-4))</f>
        <v/>
      </c>
      <c r="B62" s="53">
        <f>IF(IFERROR(MATCH(58,'List A'!$S$5:$S$204,0)+4,"")="","",INDEX('List A'!$B$5:$B$204,IFERROR(MATCH(58,'List A'!$S$5:$S$204,0)+4,"")-4))</f>
        <v/>
      </c>
      <c r="C62" s="52">
        <f>IF(IFERROR(MATCH(58,'List A'!$S$5:$S$204,0)+4,"")="","",INDEX('List A'!$C$5:$C$204,IFERROR(MATCH(58,'List A'!$S$5:$S$204,0)+4,"")-4))</f>
        <v/>
      </c>
      <c r="D62" s="53">
        <f>IF(IFERROR(MATCH(58,'List A'!$S$5:$S$204,0)+4,"")="","",INDEX('List A'!$D$5:$D$204,IFERROR(MATCH(58,'List A'!$S$5:$S$204,0)+4,"")-4))</f>
        <v/>
      </c>
      <c r="E62" s="87">
        <f>IF(OR(IFERROR(MATCH(58,'List A'!$S$5:$S$204,0)+4,"")="",IF(IFERROR(MATCH(58,'List A'!$S$5:$S$204,0)+4,"")="","",INDEX('List A'!$K$5:$K$204,IFERROR(MATCH(58,'List A'!$S$5:$S$204,0)+4,"")-4))=""),"",INDEX('List B'!$A$5:$A$204,IF(IFERROR(MATCH(58,'List A'!$S$5:$S$204,0)+4,"")="","",INDEX('List A'!$K$5:$K$204,IFERROR(MATCH(58,'List A'!$S$5:$S$204,0)+4,"")-4))-4))</f>
        <v/>
      </c>
      <c r="F62" s="53">
        <f>IF(OR(IFERROR(MATCH(58,'List A'!$S$5:$S$204,0)+4,"")="",IF(IFERROR(MATCH(58,'List A'!$S$5:$S$204,0)+4,"")="","",INDEX('List A'!$K$5:$K$204,IFERROR(MATCH(58,'List A'!$S$5:$S$204,0)+4,"")-4))=""),"",INDEX('List B'!$B$5:$B$204,IF(IFERROR(MATCH(58,'List A'!$S$5:$S$204,0)+4,"")="","",INDEX('List A'!$K$5:$K$204,IFERROR(MATCH(58,'List A'!$S$5:$S$204,0)+4,"")-4))-4))</f>
        <v/>
      </c>
      <c r="G62" s="52">
        <f>IF(OR(IFERROR(MATCH(58,'List A'!$S$5:$S$204,0)+4,"")="",IF(IFERROR(MATCH(58,'List A'!$S$5:$S$204,0)+4,"")="","",INDEX('List A'!$K$5:$K$204,IFERROR(MATCH(58,'List A'!$S$5:$S$204,0)+4,"")-4))=""),"",INDEX('List B'!$C$5:$C$204,IF(IFERROR(MATCH(58,'List A'!$S$5:$S$204,0)+4,"")="","",INDEX('List A'!$K$5:$K$204,IFERROR(MATCH(58,'List A'!$S$5:$S$204,0)+4,"")-4))-4))</f>
        <v/>
      </c>
      <c r="H62" s="53">
        <f>IF(OR(IFERROR(MATCH(58,'List A'!$S$5:$S$204,0)+4,"")="",IF(IFERROR(MATCH(58,'List A'!$S$5:$S$204,0)+4,"")="","",INDEX('List A'!$K$5:$K$204,IFERROR(MATCH(58,'List A'!$S$5:$S$204,0)+4,"")-4))=""),"",INDEX('List B'!$D$5:$D$204,IF(IFERROR(MATCH(58,'List A'!$S$5:$S$204,0)+4,"")="","",INDEX('List A'!$K$5:$K$204,IFERROR(MATCH(58,'List A'!$S$5:$S$204,0)+4,"")-4))-4))</f>
        <v/>
      </c>
      <c r="I62" s="52">
        <f>IF(IFERROR(MATCH(58,'List A'!$S$5:$S$204,0)+4,"")="","",INDEX('List A'!$N$5:$N$204,IFERROR(MATCH(58,'List A'!$S$5:$S$204,0)+4,"")-4))</f>
        <v/>
      </c>
      <c r="J62" s="53">
        <f>IF(IFERROR(MATCH(58,'List A'!$S$5:$S$204,0)+4,"")="","",INDEX('List A'!$O$5:$O$204,IFERROR(MATCH(58,'List A'!$S$5:$S$204,0)+4,"")-4))</f>
        <v/>
      </c>
    </row>
    <row r="63" ht="17" customHeight="1">
      <c r="A63" s="87">
        <f>IF(IFERROR(MATCH(59,'List A'!$S$5:$S$204,0)+4,"")="","",INDEX('List A'!$A$5:$A$204,IFERROR(MATCH(59,'List A'!$S$5:$S$204,0)+4,"")-4))</f>
        <v/>
      </c>
      <c r="B63" s="53">
        <f>IF(IFERROR(MATCH(59,'List A'!$S$5:$S$204,0)+4,"")="","",INDEX('List A'!$B$5:$B$204,IFERROR(MATCH(59,'List A'!$S$5:$S$204,0)+4,"")-4))</f>
        <v/>
      </c>
      <c r="C63" s="52">
        <f>IF(IFERROR(MATCH(59,'List A'!$S$5:$S$204,0)+4,"")="","",INDEX('List A'!$C$5:$C$204,IFERROR(MATCH(59,'List A'!$S$5:$S$204,0)+4,"")-4))</f>
        <v/>
      </c>
      <c r="D63" s="53">
        <f>IF(IFERROR(MATCH(59,'List A'!$S$5:$S$204,0)+4,"")="","",INDEX('List A'!$D$5:$D$204,IFERROR(MATCH(59,'List A'!$S$5:$S$204,0)+4,"")-4))</f>
        <v/>
      </c>
      <c r="E63" s="87">
        <f>IF(OR(IFERROR(MATCH(59,'List A'!$S$5:$S$204,0)+4,"")="",IF(IFERROR(MATCH(59,'List A'!$S$5:$S$204,0)+4,"")="","",INDEX('List A'!$K$5:$K$204,IFERROR(MATCH(59,'List A'!$S$5:$S$204,0)+4,"")-4))=""),"",INDEX('List B'!$A$5:$A$204,IF(IFERROR(MATCH(59,'List A'!$S$5:$S$204,0)+4,"")="","",INDEX('List A'!$K$5:$K$204,IFERROR(MATCH(59,'List A'!$S$5:$S$204,0)+4,"")-4))-4))</f>
        <v/>
      </c>
      <c r="F63" s="53">
        <f>IF(OR(IFERROR(MATCH(59,'List A'!$S$5:$S$204,0)+4,"")="",IF(IFERROR(MATCH(59,'List A'!$S$5:$S$204,0)+4,"")="","",INDEX('List A'!$K$5:$K$204,IFERROR(MATCH(59,'List A'!$S$5:$S$204,0)+4,"")-4))=""),"",INDEX('List B'!$B$5:$B$204,IF(IFERROR(MATCH(59,'List A'!$S$5:$S$204,0)+4,"")="","",INDEX('List A'!$K$5:$K$204,IFERROR(MATCH(59,'List A'!$S$5:$S$204,0)+4,"")-4))-4))</f>
        <v/>
      </c>
      <c r="G63" s="52">
        <f>IF(OR(IFERROR(MATCH(59,'List A'!$S$5:$S$204,0)+4,"")="",IF(IFERROR(MATCH(59,'List A'!$S$5:$S$204,0)+4,"")="","",INDEX('List A'!$K$5:$K$204,IFERROR(MATCH(59,'List A'!$S$5:$S$204,0)+4,"")-4))=""),"",INDEX('List B'!$C$5:$C$204,IF(IFERROR(MATCH(59,'List A'!$S$5:$S$204,0)+4,"")="","",INDEX('List A'!$K$5:$K$204,IFERROR(MATCH(59,'List A'!$S$5:$S$204,0)+4,"")-4))-4))</f>
        <v/>
      </c>
      <c r="H63" s="53">
        <f>IF(OR(IFERROR(MATCH(59,'List A'!$S$5:$S$204,0)+4,"")="",IF(IFERROR(MATCH(59,'List A'!$S$5:$S$204,0)+4,"")="","",INDEX('List A'!$K$5:$K$204,IFERROR(MATCH(59,'List A'!$S$5:$S$204,0)+4,"")-4))=""),"",INDEX('List B'!$D$5:$D$204,IF(IFERROR(MATCH(59,'List A'!$S$5:$S$204,0)+4,"")="","",INDEX('List A'!$K$5:$K$204,IFERROR(MATCH(59,'List A'!$S$5:$S$204,0)+4,"")-4))-4))</f>
        <v/>
      </c>
      <c r="I63" s="52">
        <f>IF(IFERROR(MATCH(59,'List A'!$S$5:$S$204,0)+4,"")="","",INDEX('List A'!$N$5:$N$204,IFERROR(MATCH(59,'List A'!$S$5:$S$204,0)+4,"")-4))</f>
        <v/>
      </c>
      <c r="J63" s="53">
        <f>IF(IFERROR(MATCH(59,'List A'!$S$5:$S$204,0)+4,"")="","",INDEX('List A'!$O$5:$O$204,IFERROR(MATCH(59,'List A'!$S$5:$S$204,0)+4,"")-4))</f>
        <v/>
      </c>
    </row>
    <row r="64" ht="17" customHeight="1">
      <c r="A64" s="87">
        <f>IF(IFERROR(MATCH(60,'List A'!$S$5:$S$204,0)+4,"")="","",INDEX('List A'!$A$5:$A$204,IFERROR(MATCH(60,'List A'!$S$5:$S$204,0)+4,"")-4))</f>
        <v/>
      </c>
      <c r="B64" s="53">
        <f>IF(IFERROR(MATCH(60,'List A'!$S$5:$S$204,0)+4,"")="","",INDEX('List A'!$B$5:$B$204,IFERROR(MATCH(60,'List A'!$S$5:$S$204,0)+4,"")-4))</f>
        <v/>
      </c>
      <c r="C64" s="52">
        <f>IF(IFERROR(MATCH(60,'List A'!$S$5:$S$204,0)+4,"")="","",INDEX('List A'!$C$5:$C$204,IFERROR(MATCH(60,'List A'!$S$5:$S$204,0)+4,"")-4))</f>
        <v/>
      </c>
      <c r="D64" s="53">
        <f>IF(IFERROR(MATCH(60,'List A'!$S$5:$S$204,0)+4,"")="","",INDEX('List A'!$D$5:$D$204,IFERROR(MATCH(60,'List A'!$S$5:$S$204,0)+4,"")-4))</f>
        <v/>
      </c>
      <c r="E64" s="87">
        <f>IF(OR(IFERROR(MATCH(60,'List A'!$S$5:$S$204,0)+4,"")="",IF(IFERROR(MATCH(60,'List A'!$S$5:$S$204,0)+4,"")="","",INDEX('List A'!$K$5:$K$204,IFERROR(MATCH(60,'List A'!$S$5:$S$204,0)+4,"")-4))=""),"",INDEX('List B'!$A$5:$A$204,IF(IFERROR(MATCH(60,'List A'!$S$5:$S$204,0)+4,"")="","",INDEX('List A'!$K$5:$K$204,IFERROR(MATCH(60,'List A'!$S$5:$S$204,0)+4,"")-4))-4))</f>
        <v/>
      </c>
      <c r="F64" s="53">
        <f>IF(OR(IFERROR(MATCH(60,'List A'!$S$5:$S$204,0)+4,"")="",IF(IFERROR(MATCH(60,'List A'!$S$5:$S$204,0)+4,"")="","",INDEX('List A'!$K$5:$K$204,IFERROR(MATCH(60,'List A'!$S$5:$S$204,0)+4,"")-4))=""),"",INDEX('List B'!$B$5:$B$204,IF(IFERROR(MATCH(60,'List A'!$S$5:$S$204,0)+4,"")="","",INDEX('List A'!$K$5:$K$204,IFERROR(MATCH(60,'List A'!$S$5:$S$204,0)+4,"")-4))-4))</f>
        <v/>
      </c>
      <c r="G64" s="52">
        <f>IF(OR(IFERROR(MATCH(60,'List A'!$S$5:$S$204,0)+4,"")="",IF(IFERROR(MATCH(60,'List A'!$S$5:$S$204,0)+4,"")="","",INDEX('List A'!$K$5:$K$204,IFERROR(MATCH(60,'List A'!$S$5:$S$204,0)+4,"")-4))=""),"",INDEX('List B'!$C$5:$C$204,IF(IFERROR(MATCH(60,'List A'!$S$5:$S$204,0)+4,"")="","",INDEX('List A'!$K$5:$K$204,IFERROR(MATCH(60,'List A'!$S$5:$S$204,0)+4,"")-4))-4))</f>
        <v/>
      </c>
      <c r="H64" s="53">
        <f>IF(OR(IFERROR(MATCH(60,'List A'!$S$5:$S$204,0)+4,"")="",IF(IFERROR(MATCH(60,'List A'!$S$5:$S$204,0)+4,"")="","",INDEX('List A'!$K$5:$K$204,IFERROR(MATCH(60,'List A'!$S$5:$S$204,0)+4,"")-4))=""),"",INDEX('List B'!$D$5:$D$204,IF(IFERROR(MATCH(60,'List A'!$S$5:$S$204,0)+4,"")="","",INDEX('List A'!$K$5:$K$204,IFERROR(MATCH(60,'List A'!$S$5:$S$204,0)+4,"")-4))-4))</f>
        <v/>
      </c>
      <c r="I64" s="52">
        <f>IF(IFERROR(MATCH(60,'List A'!$S$5:$S$204,0)+4,"")="","",INDEX('List A'!$N$5:$N$204,IFERROR(MATCH(60,'List A'!$S$5:$S$204,0)+4,"")-4))</f>
        <v/>
      </c>
      <c r="J64" s="53">
        <f>IF(IFERROR(MATCH(60,'List A'!$S$5:$S$204,0)+4,"")="","",INDEX('List A'!$O$5:$O$204,IFERROR(MATCH(60,'List A'!$S$5:$S$204,0)+4,"")-4))</f>
        <v/>
      </c>
    </row>
    <row r="65" ht="17" customHeight="1">
      <c r="A65" s="87">
        <f>IF(IFERROR(MATCH(61,'List A'!$S$5:$S$204,0)+4,"")="","",INDEX('List A'!$A$5:$A$204,IFERROR(MATCH(61,'List A'!$S$5:$S$204,0)+4,"")-4))</f>
        <v/>
      </c>
      <c r="B65" s="53">
        <f>IF(IFERROR(MATCH(61,'List A'!$S$5:$S$204,0)+4,"")="","",INDEX('List A'!$B$5:$B$204,IFERROR(MATCH(61,'List A'!$S$5:$S$204,0)+4,"")-4))</f>
        <v/>
      </c>
      <c r="C65" s="52">
        <f>IF(IFERROR(MATCH(61,'List A'!$S$5:$S$204,0)+4,"")="","",INDEX('List A'!$C$5:$C$204,IFERROR(MATCH(61,'List A'!$S$5:$S$204,0)+4,"")-4))</f>
        <v/>
      </c>
      <c r="D65" s="53">
        <f>IF(IFERROR(MATCH(61,'List A'!$S$5:$S$204,0)+4,"")="","",INDEX('List A'!$D$5:$D$204,IFERROR(MATCH(61,'List A'!$S$5:$S$204,0)+4,"")-4))</f>
        <v/>
      </c>
      <c r="E65" s="87">
        <f>IF(OR(IFERROR(MATCH(61,'List A'!$S$5:$S$204,0)+4,"")="",IF(IFERROR(MATCH(61,'List A'!$S$5:$S$204,0)+4,"")="","",INDEX('List A'!$K$5:$K$204,IFERROR(MATCH(61,'List A'!$S$5:$S$204,0)+4,"")-4))=""),"",INDEX('List B'!$A$5:$A$204,IF(IFERROR(MATCH(61,'List A'!$S$5:$S$204,0)+4,"")="","",INDEX('List A'!$K$5:$K$204,IFERROR(MATCH(61,'List A'!$S$5:$S$204,0)+4,"")-4))-4))</f>
        <v/>
      </c>
      <c r="F65" s="53">
        <f>IF(OR(IFERROR(MATCH(61,'List A'!$S$5:$S$204,0)+4,"")="",IF(IFERROR(MATCH(61,'List A'!$S$5:$S$204,0)+4,"")="","",INDEX('List A'!$K$5:$K$204,IFERROR(MATCH(61,'List A'!$S$5:$S$204,0)+4,"")-4))=""),"",INDEX('List B'!$B$5:$B$204,IF(IFERROR(MATCH(61,'List A'!$S$5:$S$204,0)+4,"")="","",INDEX('List A'!$K$5:$K$204,IFERROR(MATCH(61,'List A'!$S$5:$S$204,0)+4,"")-4))-4))</f>
        <v/>
      </c>
      <c r="G65" s="52">
        <f>IF(OR(IFERROR(MATCH(61,'List A'!$S$5:$S$204,0)+4,"")="",IF(IFERROR(MATCH(61,'List A'!$S$5:$S$204,0)+4,"")="","",INDEX('List A'!$K$5:$K$204,IFERROR(MATCH(61,'List A'!$S$5:$S$204,0)+4,"")-4))=""),"",INDEX('List B'!$C$5:$C$204,IF(IFERROR(MATCH(61,'List A'!$S$5:$S$204,0)+4,"")="","",INDEX('List A'!$K$5:$K$204,IFERROR(MATCH(61,'List A'!$S$5:$S$204,0)+4,"")-4))-4))</f>
        <v/>
      </c>
      <c r="H65" s="53">
        <f>IF(OR(IFERROR(MATCH(61,'List A'!$S$5:$S$204,0)+4,"")="",IF(IFERROR(MATCH(61,'List A'!$S$5:$S$204,0)+4,"")="","",INDEX('List A'!$K$5:$K$204,IFERROR(MATCH(61,'List A'!$S$5:$S$204,0)+4,"")-4))=""),"",INDEX('List B'!$D$5:$D$204,IF(IFERROR(MATCH(61,'List A'!$S$5:$S$204,0)+4,"")="","",INDEX('List A'!$K$5:$K$204,IFERROR(MATCH(61,'List A'!$S$5:$S$204,0)+4,"")-4))-4))</f>
        <v/>
      </c>
      <c r="I65" s="52">
        <f>IF(IFERROR(MATCH(61,'List A'!$S$5:$S$204,0)+4,"")="","",INDEX('List A'!$N$5:$N$204,IFERROR(MATCH(61,'List A'!$S$5:$S$204,0)+4,"")-4))</f>
        <v/>
      </c>
      <c r="J65" s="53">
        <f>IF(IFERROR(MATCH(61,'List A'!$S$5:$S$204,0)+4,"")="","",INDEX('List A'!$O$5:$O$204,IFERROR(MATCH(61,'List A'!$S$5:$S$204,0)+4,"")-4))</f>
        <v/>
      </c>
    </row>
    <row r="66" ht="17" customHeight="1">
      <c r="A66" s="87">
        <f>IF(IFERROR(MATCH(62,'List A'!$S$5:$S$204,0)+4,"")="","",INDEX('List A'!$A$5:$A$204,IFERROR(MATCH(62,'List A'!$S$5:$S$204,0)+4,"")-4))</f>
        <v/>
      </c>
      <c r="B66" s="53">
        <f>IF(IFERROR(MATCH(62,'List A'!$S$5:$S$204,0)+4,"")="","",INDEX('List A'!$B$5:$B$204,IFERROR(MATCH(62,'List A'!$S$5:$S$204,0)+4,"")-4))</f>
        <v/>
      </c>
      <c r="C66" s="52">
        <f>IF(IFERROR(MATCH(62,'List A'!$S$5:$S$204,0)+4,"")="","",INDEX('List A'!$C$5:$C$204,IFERROR(MATCH(62,'List A'!$S$5:$S$204,0)+4,"")-4))</f>
        <v/>
      </c>
      <c r="D66" s="53">
        <f>IF(IFERROR(MATCH(62,'List A'!$S$5:$S$204,0)+4,"")="","",INDEX('List A'!$D$5:$D$204,IFERROR(MATCH(62,'List A'!$S$5:$S$204,0)+4,"")-4))</f>
        <v/>
      </c>
      <c r="E66" s="87">
        <f>IF(OR(IFERROR(MATCH(62,'List A'!$S$5:$S$204,0)+4,"")="",IF(IFERROR(MATCH(62,'List A'!$S$5:$S$204,0)+4,"")="","",INDEX('List A'!$K$5:$K$204,IFERROR(MATCH(62,'List A'!$S$5:$S$204,0)+4,"")-4))=""),"",INDEX('List B'!$A$5:$A$204,IF(IFERROR(MATCH(62,'List A'!$S$5:$S$204,0)+4,"")="","",INDEX('List A'!$K$5:$K$204,IFERROR(MATCH(62,'List A'!$S$5:$S$204,0)+4,"")-4))-4))</f>
        <v/>
      </c>
      <c r="F66" s="53">
        <f>IF(OR(IFERROR(MATCH(62,'List A'!$S$5:$S$204,0)+4,"")="",IF(IFERROR(MATCH(62,'List A'!$S$5:$S$204,0)+4,"")="","",INDEX('List A'!$K$5:$K$204,IFERROR(MATCH(62,'List A'!$S$5:$S$204,0)+4,"")-4))=""),"",INDEX('List B'!$B$5:$B$204,IF(IFERROR(MATCH(62,'List A'!$S$5:$S$204,0)+4,"")="","",INDEX('List A'!$K$5:$K$204,IFERROR(MATCH(62,'List A'!$S$5:$S$204,0)+4,"")-4))-4))</f>
        <v/>
      </c>
      <c r="G66" s="52">
        <f>IF(OR(IFERROR(MATCH(62,'List A'!$S$5:$S$204,0)+4,"")="",IF(IFERROR(MATCH(62,'List A'!$S$5:$S$204,0)+4,"")="","",INDEX('List A'!$K$5:$K$204,IFERROR(MATCH(62,'List A'!$S$5:$S$204,0)+4,"")-4))=""),"",INDEX('List B'!$C$5:$C$204,IF(IFERROR(MATCH(62,'List A'!$S$5:$S$204,0)+4,"")="","",INDEX('List A'!$K$5:$K$204,IFERROR(MATCH(62,'List A'!$S$5:$S$204,0)+4,"")-4))-4))</f>
        <v/>
      </c>
      <c r="H66" s="53">
        <f>IF(OR(IFERROR(MATCH(62,'List A'!$S$5:$S$204,0)+4,"")="",IF(IFERROR(MATCH(62,'List A'!$S$5:$S$204,0)+4,"")="","",INDEX('List A'!$K$5:$K$204,IFERROR(MATCH(62,'List A'!$S$5:$S$204,0)+4,"")-4))=""),"",INDEX('List B'!$D$5:$D$204,IF(IFERROR(MATCH(62,'List A'!$S$5:$S$204,0)+4,"")="","",INDEX('List A'!$K$5:$K$204,IFERROR(MATCH(62,'List A'!$S$5:$S$204,0)+4,"")-4))-4))</f>
        <v/>
      </c>
      <c r="I66" s="52">
        <f>IF(IFERROR(MATCH(62,'List A'!$S$5:$S$204,0)+4,"")="","",INDEX('List A'!$N$5:$N$204,IFERROR(MATCH(62,'List A'!$S$5:$S$204,0)+4,"")-4))</f>
        <v/>
      </c>
      <c r="J66" s="53">
        <f>IF(IFERROR(MATCH(62,'List A'!$S$5:$S$204,0)+4,"")="","",INDEX('List A'!$O$5:$O$204,IFERROR(MATCH(62,'List A'!$S$5:$S$204,0)+4,"")-4))</f>
        <v/>
      </c>
    </row>
    <row r="67" ht="17" customHeight="1">
      <c r="A67" s="87">
        <f>IF(IFERROR(MATCH(63,'List A'!$S$5:$S$204,0)+4,"")="","",INDEX('List A'!$A$5:$A$204,IFERROR(MATCH(63,'List A'!$S$5:$S$204,0)+4,"")-4))</f>
        <v/>
      </c>
      <c r="B67" s="53">
        <f>IF(IFERROR(MATCH(63,'List A'!$S$5:$S$204,0)+4,"")="","",INDEX('List A'!$B$5:$B$204,IFERROR(MATCH(63,'List A'!$S$5:$S$204,0)+4,"")-4))</f>
        <v/>
      </c>
      <c r="C67" s="52">
        <f>IF(IFERROR(MATCH(63,'List A'!$S$5:$S$204,0)+4,"")="","",INDEX('List A'!$C$5:$C$204,IFERROR(MATCH(63,'List A'!$S$5:$S$204,0)+4,"")-4))</f>
        <v/>
      </c>
      <c r="D67" s="53">
        <f>IF(IFERROR(MATCH(63,'List A'!$S$5:$S$204,0)+4,"")="","",INDEX('List A'!$D$5:$D$204,IFERROR(MATCH(63,'List A'!$S$5:$S$204,0)+4,"")-4))</f>
        <v/>
      </c>
      <c r="E67" s="87">
        <f>IF(OR(IFERROR(MATCH(63,'List A'!$S$5:$S$204,0)+4,"")="",IF(IFERROR(MATCH(63,'List A'!$S$5:$S$204,0)+4,"")="","",INDEX('List A'!$K$5:$K$204,IFERROR(MATCH(63,'List A'!$S$5:$S$204,0)+4,"")-4))=""),"",INDEX('List B'!$A$5:$A$204,IF(IFERROR(MATCH(63,'List A'!$S$5:$S$204,0)+4,"")="","",INDEX('List A'!$K$5:$K$204,IFERROR(MATCH(63,'List A'!$S$5:$S$204,0)+4,"")-4))-4))</f>
        <v/>
      </c>
      <c r="F67" s="53">
        <f>IF(OR(IFERROR(MATCH(63,'List A'!$S$5:$S$204,0)+4,"")="",IF(IFERROR(MATCH(63,'List A'!$S$5:$S$204,0)+4,"")="","",INDEX('List A'!$K$5:$K$204,IFERROR(MATCH(63,'List A'!$S$5:$S$204,0)+4,"")-4))=""),"",INDEX('List B'!$B$5:$B$204,IF(IFERROR(MATCH(63,'List A'!$S$5:$S$204,0)+4,"")="","",INDEX('List A'!$K$5:$K$204,IFERROR(MATCH(63,'List A'!$S$5:$S$204,0)+4,"")-4))-4))</f>
        <v/>
      </c>
      <c r="G67" s="52">
        <f>IF(OR(IFERROR(MATCH(63,'List A'!$S$5:$S$204,0)+4,"")="",IF(IFERROR(MATCH(63,'List A'!$S$5:$S$204,0)+4,"")="","",INDEX('List A'!$K$5:$K$204,IFERROR(MATCH(63,'List A'!$S$5:$S$204,0)+4,"")-4))=""),"",INDEX('List B'!$C$5:$C$204,IF(IFERROR(MATCH(63,'List A'!$S$5:$S$204,0)+4,"")="","",INDEX('List A'!$K$5:$K$204,IFERROR(MATCH(63,'List A'!$S$5:$S$204,0)+4,"")-4))-4))</f>
        <v/>
      </c>
      <c r="H67" s="53">
        <f>IF(OR(IFERROR(MATCH(63,'List A'!$S$5:$S$204,0)+4,"")="",IF(IFERROR(MATCH(63,'List A'!$S$5:$S$204,0)+4,"")="","",INDEX('List A'!$K$5:$K$204,IFERROR(MATCH(63,'List A'!$S$5:$S$204,0)+4,"")-4))=""),"",INDEX('List B'!$D$5:$D$204,IF(IFERROR(MATCH(63,'List A'!$S$5:$S$204,0)+4,"")="","",INDEX('List A'!$K$5:$K$204,IFERROR(MATCH(63,'List A'!$S$5:$S$204,0)+4,"")-4))-4))</f>
        <v/>
      </c>
      <c r="I67" s="52">
        <f>IF(IFERROR(MATCH(63,'List A'!$S$5:$S$204,0)+4,"")="","",INDEX('List A'!$N$5:$N$204,IFERROR(MATCH(63,'List A'!$S$5:$S$204,0)+4,"")-4))</f>
        <v/>
      </c>
      <c r="J67" s="53">
        <f>IF(IFERROR(MATCH(63,'List A'!$S$5:$S$204,0)+4,"")="","",INDEX('List A'!$O$5:$O$204,IFERROR(MATCH(63,'List A'!$S$5:$S$204,0)+4,"")-4))</f>
        <v/>
      </c>
    </row>
    <row r="68" ht="17" customHeight="1">
      <c r="A68" s="87">
        <f>IF(IFERROR(MATCH(64,'List A'!$S$5:$S$204,0)+4,"")="","",INDEX('List A'!$A$5:$A$204,IFERROR(MATCH(64,'List A'!$S$5:$S$204,0)+4,"")-4))</f>
        <v/>
      </c>
      <c r="B68" s="53">
        <f>IF(IFERROR(MATCH(64,'List A'!$S$5:$S$204,0)+4,"")="","",INDEX('List A'!$B$5:$B$204,IFERROR(MATCH(64,'List A'!$S$5:$S$204,0)+4,"")-4))</f>
        <v/>
      </c>
      <c r="C68" s="52">
        <f>IF(IFERROR(MATCH(64,'List A'!$S$5:$S$204,0)+4,"")="","",INDEX('List A'!$C$5:$C$204,IFERROR(MATCH(64,'List A'!$S$5:$S$204,0)+4,"")-4))</f>
        <v/>
      </c>
      <c r="D68" s="53">
        <f>IF(IFERROR(MATCH(64,'List A'!$S$5:$S$204,0)+4,"")="","",INDEX('List A'!$D$5:$D$204,IFERROR(MATCH(64,'List A'!$S$5:$S$204,0)+4,"")-4))</f>
        <v/>
      </c>
      <c r="E68" s="87">
        <f>IF(OR(IFERROR(MATCH(64,'List A'!$S$5:$S$204,0)+4,"")="",IF(IFERROR(MATCH(64,'List A'!$S$5:$S$204,0)+4,"")="","",INDEX('List A'!$K$5:$K$204,IFERROR(MATCH(64,'List A'!$S$5:$S$204,0)+4,"")-4))=""),"",INDEX('List B'!$A$5:$A$204,IF(IFERROR(MATCH(64,'List A'!$S$5:$S$204,0)+4,"")="","",INDEX('List A'!$K$5:$K$204,IFERROR(MATCH(64,'List A'!$S$5:$S$204,0)+4,"")-4))-4))</f>
        <v/>
      </c>
      <c r="F68" s="53">
        <f>IF(OR(IFERROR(MATCH(64,'List A'!$S$5:$S$204,0)+4,"")="",IF(IFERROR(MATCH(64,'List A'!$S$5:$S$204,0)+4,"")="","",INDEX('List A'!$K$5:$K$204,IFERROR(MATCH(64,'List A'!$S$5:$S$204,0)+4,"")-4))=""),"",INDEX('List B'!$B$5:$B$204,IF(IFERROR(MATCH(64,'List A'!$S$5:$S$204,0)+4,"")="","",INDEX('List A'!$K$5:$K$204,IFERROR(MATCH(64,'List A'!$S$5:$S$204,0)+4,"")-4))-4))</f>
        <v/>
      </c>
      <c r="G68" s="52">
        <f>IF(OR(IFERROR(MATCH(64,'List A'!$S$5:$S$204,0)+4,"")="",IF(IFERROR(MATCH(64,'List A'!$S$5:$S$204,0)+4,"")="","",INDEX('List A'!$K$5:$K$204,IFERROR(MATCH(64,'List A'!$S$5:$S$204,0)+4,"")-4))=""),"",INDEX('List B'!$C$5:$C$204,IF(IFERROR(MATCH(64,'List A'!$S$5:$S$204,0)+4,"")="","",INDEX('List A'!$K$5:$K$204,IFERROR(MATCH(64,'List A'!$S$5:$S$204,0)+4,"")-4))-4))</f>
        <v/>
      </c>
      <c r="H68" s="53">
        <f>IF(OR(IFERROR(MATCH(64,'List A'!$S$5:$S$204,0)+4,"")="",IF(IFERROR(MATCH(64,'List A'!$S$5:$S$204,0)+4,"")="","",INDEX('List A'!$K$5:$K$204,IFERROR(MATCH(64,'List A'!$S$5:$S$204,0)+4,"")-4))=""),"",INDEX('List B'!$D$5:$D$204,IF(IFERROR(MATCH(64,'List A'!$S$5:$S$204,0)+4,"")="","",INDEX('List A'!$K$5:$K$204,IFERROR(MATCH(64,'List A'!$S$5:$S$204,0)+4,"")-4))-4))</f>
        <v/>
      </c>
      <c r="I68" s="52">
        <f>IF(IFERROR(MATCH(64,'List A'!$S$5:$S$204,0)+4,"")="","",INDEX('List A'!$N$5:$N$204,IFERROR(MATCH(64,'List A'!$S$5:$S$204,0)+4,"")-4))</f>
        <v/>
      </c>
      <c r="J68" s="53">
        <f>IF(IFERROR(MATCH(64,'List A'!$S$5:$S$204,0)+4,"")="","",INDEX('List A'!$O$5:$O$204,IFERROR(MATCH(64,'List A'!$S$5:$S$204,0)+4,"")-4))</f>
        <v/>
      </c>
    </row>
    <row r="69" ht="17" customHeight="1">
      <c r="A69" s="87">
        <f>IF(IFERROR(MATCH(65,'List A'!$S$5:$S$204,0)+4,"")="","",INDEX('List A'!$A$5:$A$204,IFERROR(MATCH(65,'List A'!$S$5:$S$204,0)+4,"")-4))</f>
        <v/>
      </c>
      <c r="B69" s="53">
        <f>IF(IFERROR(MATCH(65,'List A'!$S$5:$S$204,0)+4,"")="","",INDEX('List A'!$B$5:$B$204,IFERROR(MATCH(65,'List A'!$S$5:$S$204,0)+4,"")-4))</f>
        <v/>
      </c>
      <c r="C69" s="52">
        <f>IF(IFERROR(MATCH(65,'List A'!$S$5:$S$204,0)+4,"")="","",INDEX('List A'!$C$5:$C$204,IFERROR(MATCH(65,'List A'!$S$5:$S$204,0)+4,"")-4))</f>
        <v/>
      </c>
      <c r="D69" s="53">
        <f>IF(IFERROR(MATCH(65,'List A'!$S$5:$S$204,0)+4,"")="","",INDEX('List A'!$D$5:$D$204,IFERROR(MATCH(65,'List A'!$S$5:$S$204,0)+4,"")-4))</f>
        <v/>
      </c>
      <c r="E69" s="87">
        <f>IF(OR(IFERROR(MATCH(65,'List A'!$S$5:$S$204,0)+4,"")="",IF(IFERROR(MATCH(65,'List A'!$S$5:$S$204,0)+4,"")="","",INDEX('List A'!$K$5:$K$204,IFERROR(MATCH(65,'List A'!$S$5:$S$204,0)+4,"")-4))=""),"",INDEX('List B'!$A$5:$A$204,IF(IFERROR(MATCH(65,'List A'!$S$5:$S$204,0)+4,"")="","",INDEX('List A'!$K$5:$K$204,IFERROR(MATCH(65,'List A'!$S$5:$S$204,0)+4,"")-4))-4))</f>
        <v/>
      </c>
      <c r="F69" s="53">
        <f>IF(OR(IFERROR(MATCH(65,'List A'!$S$5:$S$204,0)+4,"")="",IF(IFERROR(MATCH(65,'List A'!$S$5:$S$204,0)+4,"")="","",INDEX('List A'!$K$5:$K$204,IFERROR(MATCH(65,'List A'!$S$5:$S$204,0)+4,"")-4))=""),"",INDEX('List B'!$B$5:$B$204,IF(IFERROR(MATCH(65,'List A'!$S$5:$S$204,0)+4,"")="","",INDEX('List A'!$K$5:$K$204,IFERROR(MATCH(65,'List A'!$S$5:$S$204,0)+4,"")-4))-4))</f>
        <v/>
      </c>
      <c r="G69" s="52">
        <f>IF(OR(IFERROR(MATCH(65,'List A'!$S$5:$S$204,0)+4,"")="",IF(IFERROR(MATCH(65,'List A'!$S$5:$S$204,0)+4,"")="","",INDEX('List A'!$K$5:$K$204,IFERROR(MATCH(65,'List A'!$S$5:$S$204,0)+4,"")-4))=""),"",INDEX('List B'!$C$5:$C$204,IF(IFERROR(MATCH(65,'List A'!$S$5:$S$204,0)+4,"")="","",INDEX('List A'!$K$5:$K$204,IFERROR(MATCH(65,'List A'!$S$5:$S$204,0)+4,"")-4))-4))</f>
        <v/>
      </c>
      <c r="H69" s="53">
        <f>IF(OR(IFERROR(MATCH(65,'List A'!$S$5:$S$204,0)+4,"")="",IF(IFERROR(MATCH(65,'List A'!$S$5:$S$204,0)+4,"")="","",INDEX('List A'!$K$5:$K$204,IFERROR(MATCH(65,'List A'!$S$5:$S$204,0)+4,"")-4))=""),"",INDEX('List B'!$D$5:$D$204,IF(IFERROR(MATCH(65,'List A'!$S$5:$S$204,0)+4,"")="","",INDEX('List A'!$K$5:$K$204,IFERROR(MATCH(65,'List A'!$S$5:$S$204,0)+4,"")-4))-4))</f>
        <v/>
      </c>
      <c r="I69" s="52">
        <f>IF(IFERROR(MATCH(65,'List A'!$S$5:$S$204,0)+4,"")="","",INDEX('List A'!$N$5:$N$204,IFERROR(MATCH(65,'List A'!$S$5:$S$204,0)+4,"")-4))</f>
        <v/>
      </c>
      <c r="J69" s="53">
        <f>IF(IFERROR(MATCH(65,'List A'!$S$5:$S$204,0)+4,"")="","",INDEX('List A'!$O$5:$O$204,IFERROR(MATCH(65,'List A'!$S$5:$S$204,0)+4,"")-4))</f>
        <v/>
      </c>
    </row>
    <row r="70" ht="17" customHeight="1">
      <c r="A70" s="87">
        <f>IF(IFERROR(MATCH(66,'List A'!$S$5:$S$204,0)+4,"")="","",INDEX('List A'!$A$5:$A$204,IFERROR(MATCH(66,'List A'!$S$5:$S$204,0)+4,"")-4))</f>
        <v/>
      </c>
      <c r="B70" s="53">
        <f>IF(IFERROR(MATCH(66,'List A'!$S$5:$S$204,0)+4,"")="","",INDEX('List A'!$B$5:$B$204,IFERROR(MATCH(66,'List A'!$S$5:$S$204,0)+4,"")-4))</f>
        <v/>
      </c>
      <c r="C70" s="52">
        <f>IF(IFERROR(MATCH(66,'List A'!$S$5:$S$204,0)+4,"")="","",INDEX('List A'!$C$5:$C$204,IFERROR(MATCH(66,'List A'!$S$5:$S$204,0)+4,"")-4))</f>
        <v/>
      </c>
      <c r="D70" s="53">
        <f>IF(IFERROR(MATCH(66,'List A'!$S$5:$S$204,0)+4,"")="","",INDEX('List A'!$D$5:$D$204,IFERROR(MATCH(66,'List A'!$S$5:$S$204,0)+4,"")-4))</f>
        <v/>
      </c>
      <c r="E70" s="87">
        <f>IF(OR(IFERROR(MATCH(66,'List A'!$S$5:$S$204,0)+4,"")="",IF(IFERROR(MATCH(66,'List A'!$S$5:$S$204,0)+4,"")="","",INDEX('List A'!$K$5:$K$204,IFERROR(MATCH(66,'List A'!$S$5:$S$204,0)+4,"")-4))=""),"",INDEX('List B'!$A$5:$A$204,IF(IFERROR(MATCH(66,'List A'!$S$5:$S$204,0)+4,"")="","",INDEX('List A'!$K$5:$K$204,IFERROR(MATCH(66,'List A'!$S$5:$S$204,0)+4,"")-4))-4))</f>
        <v/>
      </c>
      <c r="F70" s="53">
        <f>IF(OR(IFERROR(MATCH(66,'List A'!$S$5:$S$204,0)+4,"")="",IF(IFERROR(MATCH(66,'List A'!$S$5:$S$204,0)+4,"")="","",INDEX('List A'!$K$5:$K$204,IFERROR(MATCH(66,'List A'!$S$5:$S$204,0)+4,"")-4))=""),"",INDEX('List B'!$B$5:$B$204,IF(IFERROR(MATCH(66,'List A'!$S$5:$S$204,0)+4,"")="","",INDEX('List A'!$K$5:$K$204,IFERROR(MATCH(66,'List A'!$S$5:$S$204,0)+4,"")-4))-4))</f>
        <v/>
      </c>
      <c r="G70" s="52">
        <f>IF(OR(IFERROR(MATCH(66,'List A'!$S$5:$S$204,0)+4,"")="",IF(IFERROR(MATCH(66,'List A'!$S$5:$S$204,0)+4,"")="","",INDEX('List A'!$K$5:$K$204,IFERROR(MATCH(66,'List A'!$S$5:$S$204,0)+4,"")-4))=""),"",INDEX('List B'!$C$5:$C$204,IF(IFERROR(MATCH(66,'List A'!$S$5:$S$204,0)+4,"")="","",INDEX('List A'!$K$5:$K$204,IFERROR(MATCH(66,'List A'!$S$5:$S$204,0)+4,"")-4))-4))</f>
        <v/>
      </c>
      <c r="H70" s="53">
        <f>IF(OR(IFERROR(MATCH(66,'List A'!$S$5:$S$204,0)+4,"")="",IF(IFERROR(MATCH(66,'List A'!$S$5:$S$204,0)+4,"")="","",INDEX('List A'!$K$5:$K$204,IFERROR(MATCH(66,'List A'!$S$5:$S$204,0)+4,"")-4))=""),"",INDEX('List B'!$D$5:$D$204,IF(IFERROR(MATCH(66,'List A'!$S$5:$S$204,0)+4,"")="","",INDEX('List A'!$K$5:$K$204,IFERROR(MATCH(66,'List A'!$S$5:$S$204,0)+4,"")-4))-4))</f>
        <v/>
      </c>
      <c r="I70" s="52">
        <f>IF(IFERROR(MATCH(66,'List A'!$S$5:$S$204,0)+4,"")="","",INDEX('List A'!$N$5:$N$204,IFERROR(MATCH(66,'List A'!$S$5:$S$204,0)+4,"")-4))</f>
        <v/>
      </c>
      <c r="J70" s="53">
        <f>IF(IFERROR(MATCH(66,'List A'!$S$5:$S$204,0)+4,"")="","",INDEX('List A'!$O$5:$O$204,IFERROR(MATCH(66,'List A'!$S$5:$S$204,0)+4,"")-4))</f>
        <v/>
      </c>
    </row>
    <row r="71" ht="17" customHeight="1">
      <c r="A71" s="87">
        <f>IF(IFERROR(MATCH(67,'List A'!$S$5:$S$204,0)+4,"")="","",INDEX('List A'!$A$5:$A$204,IFERROR(MATCH(67,'List A'!$S$5:$S$204,0)+4,"")-4))</f>
        <v/>
      </c>
      <c r="B71" s="53">
        <f>IF(IFERROR(MATCH(67,'List A'!$S$5:$S$204,0)+4,"")="","",INDEX('List A'!$B$5:$B$204,IFERROR(MATCH(67,'List A'!$S$5:$S$204,0)+4,"")-4))</f>
        <v/>
      </c>
      <c r="C71" s="52">
        <f>IF(IFERROR(MATCH(67,'List A'!$S$5:$S$204,0)+4,"")="","",INDEX('List A'!$C$5:$C$204,IFERROR(MATCH(67,'List A'!$S$5:$S$204,0)+4,"")-4))</f>
        <v/>
      </c>
      <c r="D71" s="53">
        <f>IF(IFERROR(MATCH(67,'List A'!$S$5:$S$204,0)+4,"")="","",INDEX('List A'!$D$5:$D$204,IFERROR(MATCH(67,'List A'!$S$5:$S$204,0)+4,"")-4))</f>
        <v/>
      </c>
      <c r="E71" s="87">
        <f>IF(OR(IFERROR(MATCH(67,'List A'!$S$5:$S$204,0)+4,"")="",IF(IFERROR(MATCH(67,'List A'!$S$5:$S$204,0)+4,"")="","",INDEX('List A'!$K$5:$K$204,IFERROR(MATCH(67,'List A'!$S$5:$S$204,0)+4,"")-4))=""),"",INDEX('List B'!$A$5:$A$204,IF(IFERROR(MATCH(67,'List A'!$S$5:$S$204,0)+4,"")="","",INDEX('List A'!$K$5:$K$204,IFERROR(MATCH(67,'List A'!$S$5:$S$204,0)+4,"")-4))-4))</f>
        <v/>
      </c>
      <c r="F71" s="53">
        <f>IF(OR(IFERROR(MATCH(67,'List A'!$S$5:$S$204,0)+4,"")="",IF(IFERROR(MATCH(67,'List A'!$S$5:$S$204,0)+4,"")="","",INDEX('List A'!$K$5:$K$204,IFERROR(MATCH(67,'List A'!$S$5:$S$204,0)+4,"")-4))=""),"",INDEX('List B'!$B$5:$B$204,IF(IFERROR(MATCH(67,'List A'!$S$5:$S$204,0)+4,"")="","",INDEX('List A'!$K$5:$K$204,IFERROR(MATCH(67,'List A'!$S$5:$S$204,0)+4,"")-4))-4))</f>
        <v/>
      </c>
      <c r="G71" s="52">
        <f>IF(OR(IFERROR(MATCH(67,'List A'!$S$5:$S$204,0)+4,"")="",IF(IFERROR(MATCH(67,'List A'!$S$5:$S$204,0)+4,"")="","",INDEX('List A'!$K$5:$K$204,IFERROR(MATCH(67,'List A'!$S$5:$S$204,0)+4,"")-4))=""),"",INDEX('List B'!$C$5:$C$204,IF(IFERROR(MATCH(67,'List A'!$S$5:$S$204,0)+4,"")="","",INDEX('List A'!$K$5:$K$204,IFERROR(MATCH(67,'List A'!$S$5:$S$204,0)+4,"")-4))-4))</f>
        <v/>
      </c>
      <c r="H71" s="53">
        <f>IF(OR(IFERROR(MATCH(67,'List A'!$S$5:$S$204,0)+4,"")="",IF(IFERROR(MATCH(67,'List A'!$S$5:$S$204,0)+4,"")="","",INDEX('List A'!$K$5:$K$204,IFERROR(MATCH(67,'List A'!$S$5:$S$204,0)+4,"")-4))=""),"",INDEX('List B'!$D$5:$D$204,IF(IFERROR(MATCH(67,'List A'!$S$5:$S$204,0)+4,"")="","",INDEX('List A'!$K$5:$K$204,IFERROR(MATCH(67,'List A'!$S$5:$S$204,0)+4,"")-4))-4))</f>
        <v/>
      </c>
      <c r="I71" s="52">
        <f>IF(IFERROR(MATCH(67,'List A'!$S$5:$S$204,0)+4,"")="","",INDEX('List A'!$N$5:$N$204,IFERROR(MATCH(67,'List A'!$S$5:$S$204,0)+4,"")-4))</f>
        <v/>
      </c>
      <c r="J71" s="53">
        <f>IF(IFERROR(MATCH(67,'List A'!$S$5:$S$204,0)+4,"")="","",INDEX('List A'!$O$5:$O$204,IFERROR(MATCH(67,'List A'!$S$5:$S$204,0)+4,"")-4))</f>
        <v/>
      </c>
    </row>
    <row r="72" ht="17" customHeight="1">
      <c r="A72" s="87">
        <f>IF(IFERROR(MATCH(68,'List A'!$S$5:$S$204,0)+4,"")="","",INDEX('List A'!$A$5:$A$204,IFERROR(MATCH(68,'List A'!$S$5:$S$204,0)+4,"")-4))</f>
        <v/>
      </c>
      <c r="B72" s="53">
        <f>IF(IFERROR(MATCH(68,'List A'!$S$5:$S$204,0)+4,"")="","",INDEX('List A'!$B$5:$B$204,IFERROR(MATCH(68,'List A'!$S$5:$S$204,0)+4,"")-4))</f>
        <v/>
      </c>
      <c r="C72" s="52">
        <f>IF(IFERROR(MATCH(68,'List A'!$S$5:$S$204,0)+4,"")="","",INDEX('List A'!$C$5:$C$204,IFERROR(MATCH(68,'List A'!$S$5:$S$204,0)+4,"")-4))</f>
        <v/>
      </c>
      <c r="D72" s="53">
        <f>IF(IFERROR(MATCH(68,'List A'!$S$5:$S$204,0)+4,"")="","",INDEX('List A'!$D$5:$D$204,IFERROR(MATCH(68,'List A'!$S$5:$S$204,0)+4,"")-4))</f>
        <v/>
      </c>
      <c r="E72" s="87">
        <f>IF(OR(IFERROR(MATCH(68,'List A'!$S$5:$S$204,0)+4,"")="",IF(IFERROR(MATCH(68,'List A'!$S$5:$S$204,0)+4,"")="","",INDEX('List A'!$K$5:$K$204,IFERROR(MATCH(68,'List A'!$S$5:$S$204,0)+4,"")-4))=""),"",INDEX('List B'!$A$5:$A$204,IF(IFERROR(MATCH(68,'List A'!$S$5:$S$204,0)+4,"")="","",INDEX('List A'!$K$5:$K$204,IFERROR(MATCH(68,'List A'!$S$5:$S$204,0)+4,"")-4))-4))</f>
        <v/>
      </c>
      <c r="F72" s="53">
        <f>IF(OR(IFERROR(MATCH(68,'List A'!$S$5:$S$204,0)+4,"")="",IF(IFERROR(MATCH(68,'List A'!$S$5:$S$204,0)+4,"")="","",INDEX('List A'!$K$5:$K$204,IFERROR(MATCH(68,'List A'!$S$5:$S$204,0)+4,"")-4))=""),"",INDEX('List B'!$B$5:$B$204,IF(IFERROR(MATCH(68,'List A'!$S$5:$S$204,0)+4,"")="","",INDEX('List A'!$K$5:$K$204,IFERROR(MATCH(68,'List A'!$S$5:$S$204,0)+4,"")-4))-4))</f>
        <v/>
      </c>
      <c r="G72" s="52">
        <f>IF(OR(IFERROR(MATCH(68,'List A'!$S$5:$S$204,0)+4,"")="",IF(IFERROR(MATCH(68,'List A'!$S$5:$S$204,0)+4,"")="","",INDEX('List A'!$K$5:$K$204,IFERROR(MATCH(68,'List A'!$S$5:$S$204,0)+4,"")-4))=""),"",INDEX('List B'!$C$5:$C$204,IF(IFERROR(MATCH(68,'List A'!$S$5:$S$204,0)+4,"")="","",INDEX('List A'!$K$5:$K$204,IFERROR(MATCH(68,'List A'!$S$5:$S$204,0)+4,"")-4))-4))</f>
        <v/>
      </c>
      <c r="H72" s="53">
        <f>IF(OR(IFERROR(MATCH(68,'List A'!$S$5:$S$204,0)+4,"")="",IF(IFERROR(MATCH(68,'List A'!$S$5:$S$204,0)+4,"")="","",INDEX('List A'!$K$5:$K$204,IFERROR(MATCH(68,'List A'!$S$5:$S$204,0)+4,"")-4))=""),"",INDEX('List B'!$D$5:$D$204,IF(IFERROR(MATCH(68,'List A'!$S$5:$S$204,0)+4,"")="","",INDEX('List A'!$K$5:$K$204,IFERROR(MATCH(68,'List A'!$S$5:$S$204,0)+4,"")-4))-4))</f>
        <v/>
      </c>
      <c r="I72" s="52">
        <f>IF(IFERROR(MATCH(68,'List A'!$S$5:$S$204,0)+4,"")="","",INDEX('List A'!$N$5:$N$204,IFERROR(MATCH(68,'List A'!$S$5:$S$204,0)+4,"")-4))</f>
        <v/>
      </c>
      <c r="J72" s="53">
        <f>IF(IFERROR(MATCH(68,'List A'!$S$5:$S$204,0)+4,"")="","",INDEX('List A'!$O$5:$O$204,IFERROR(MATCH(68,'List A'!$S$5:$S$204,0)+4,"")-4))</f>
        <v/>
      </c>
    </row>
    <row r="73" ht="17" customHeight="1">
      <c r="A73" s="87">
        <f>IF(IFERROR(MATCH(69,'List A'!$S$5:$S$204,0)+4,"")="","",INDEX('List A'!$A$5:$A$204,IFERROR(MATCH(69,'List A'!$S$5:$S$204,0)+4,"")-4))</f>
        <v/>
      </c>
      <c r="B73" s="53">
        <f>IF(IFERROR(MATCH(69,'List A'!$S$5:$S$204,0)+4,"")="","",INDEX('List A'!$B$5:$B$204,IFERROR(MATCH(69,'List A'!$S$5:$S$204,0)+4,"")-4))</f>
        <v/>
      </c>
      <c r="C73" s="52">
        <f>IF(IFERROR(MATCH(69,'List A'!$S$5:$S$204,0)+4,"")="","",INDEX('List A'!$C$5:$C$204,IFERROR(MATCH(69,'List A'!$S$5:$S$204,0)+4,"")-4))</f>
        <v/>
      </c>
      <c r="D73" s="53">
        <f>IF(IFERROR(MATCH(69,'List A'!$S$5:$S$204,0)+4,"")="","",INDEX('List A'!$D$5:$D$204,IFERROR(MATCH(69,'List A'!$S$5:$S$204,0)+4,"")-4))</f>
        <v/>
      </c>
      <c r="E73" s="87">
        <f>IF(OR(IFERROR(MATCH(69,'List A'!$S$5:$S$204,0)+4,"")="",IF(IFERROR(MATCH(69,'List A'!$S$5:$S$204,0)+4,"")="","",INDEX('List A'!$K$5:$K$204,IFERROR(MATCH(69,'List A'!$S$5:$S$204,0)+4,"")-4))=""),"",INDEX('List B'!$A$5:$A$204,IF(IFERROR(MATCH(69,'List A'!$S$5:$S$204,0)+4,"")="","",INDEX('List A'!$K$5:$K$204,IFERROR(MATCH(69,'List A'!$S$5:$S$204,0)+4,"")-4))-4))</f>
        <v/>
      </c>
      <c r="F73" s="53">
        <f>IF(OR(IFERROR(MATCH(69,'List A'!$S$5:$S$204,0)+4,"")="",IF(IFERROR(MATCH(69,'List A'!$S$5:$S$204,0)+4,"")="","",INDEX('List A'!$K$5:$K$204,IFERROR(MATCH(69,'List A'!$S$5:$S$204,0)+4,"")-4))=""),"",INDEX('List B'!$B$5:$B$204,IF(IFERROR(MATCH(69,'List A'!$S$5:$S$204,0)+4,"")="","",INDEX('List A'!$K$5:$K$204,IFERROR(MATCH(69,'List A'!$S$5:$S$204,0)+4,"")-4))-4))</f>
        <v/>
      </c>
      <c r="G73" s="52">
        <f>IF(OR(IFERROR(MATCH(69,'List A'!$S$5:$S$204,0)+4,"")="",IF(IFERROR(MATCH(69,'List A'!$S$5:$S$204,0)+4,"")="","",INDEX('List A'!$K$5:$K$204,IFERROR(MATCH(69,'List A'!$S$5:$S$204,0)+4,"")-4))=""),"",INDEX('List B'!$C$5:$C$204,IF(IFERROR(MATCH(69,'List A'!$S$5:$S$204,0)+4,"")="","",INDEX('List A'!$K$5:$K$204,IFERROR(MATCH(69,'List A'!$S$5:$S$204,0)+4,"")-4))-4))</f>
        <v/>
      </c>
      <c r="H73" s="53">
        <f>IF(OR(IFERROR(MATCH(69,'List A'!$S$5:$S$204,0)+4,"")="",IF(IFERROR(MATCH(69,'List A'!$S$5:$S$204,0)+4,"")="","",INDEX('List A'!$K$5:$K$204,IFERROR(MATCH(69,'List A'!$S$5:$S$204,0)+4,"")-4))=""),"",INDEX('List B'!$D$5:$D$204,IF(IFERROR(MATCH(69,'List A'!$S$5:$S$204,0)+4,"")="","",INDEX('List A'!$K$5:$K$204,IFERROR(MATCH(69,'List A'!$S$5:$S$204,0)+4,"")-4))-4))</f>
        <v/>
      </c>
      <c r="I73" s="52">
        <f>IF(IFERROR(MATCH(69,'List A'!$S$5:$S$204,0)+4,"")="","",INDEX('List A'!$N$5:$N$204,IFERROR(MATCH(69,'List A'!$S$5:$S$204,0)+4,"")-4))</f>
        <v/>
      </c>
      <c r="J73" s="53">
        <f>IF(IFERROR(MATCH(69,'List A'!$S$5:$S$204,0)+4,"")="","",INDEX('List A'!$O$5:$O$204,IFERROR(MATCH(69,'List A'!$S$5:$S$204,0)+4,"")-4))</f>
        <v/>
      </c>
    </row>
    <row r="74" ht="17" customHeight="1">
      <c r="A74" s="87">
        <f>IF(IFERROR(MATCH(70,'List A'!$S$5:$S$204,0)+4,"")="","",INDEX('List A'!$A$5:$A$204,IFERROR(MATCH(70,'List A'!$S$5:$S$204,0)+4,"")-4))</f>
        <v/>
      </c>
      <c r="B74" s="53">
        <f>IF(IFERROR(MATCH(70,'List A'!$S$5:$S$204,0)+4,"")="","",INDEX('List A'!$B$5:$B$204,IFERROR(MATCH(70,'List A'!$S$5:$S$204,0)+4,"")-4))</f>
        <v/>
      </c>
      <c r="C74" s="52">
        <f>IF(IFERROR(MATCH(70,'List A'!$S$5:$S$204,0)+4,"")="","",INDEX('List A'!$C$5:$C$204,IFERROR(MATCH(70,'List A'!$S$5:$S$204,0)+4,"")-4))</f>
        <v/>
      </c>
      <c r="D74" s="53">
        <f>IF(IFERROR(MATCH(70,'List A'!$S$5:$S$204,0)+4,"")="","",INDEX('List A'!$D$5:$D$204,IFERROR(MATCH(70,'List A'!$S$5:$S$204,0)+4,"")-4))</f>
        <v/>
      </c>
      <c r="E74" s="87">
        <f>IF(OR(IFERROR(MATCH(70,'List A'!$S$5:$S$204,0)+4,"")="",IF(IFERROR(MATCH(70,'List A'!$S$5:$S$204,0)+4,"")="","",INDEX('List A'!$K$5:$K$204,IFERROR(MATCH(70,'List A'!$S$5:$S$204,0)+4,"")-4))=""),"",INDEX('List B'!$A$5:$A$204,IF(IFERROR(MATCH(70,'List A'!$S$5:$S$204,0)+4,"")="","",INDEX('List A'!$K$5:$K$204,IFERROR(MATCH(70,'List A'!$S$5:$S$204,0)+4,"")-4))-4))</f>
        <v/>
      </c>
      <c r="F74" s="53">
        <f>IF(OR(IFERROR(MATCH(70,'List A'!$S$5:$S$204,0)+4,"")="",IF(IFERROR(MATCH(70,'List A'!$S$5:$S$204,0)+4,"")="","",INDEX('List A'!$K$5:$K$204,IFERROR(MATCH(70,'List A'!$S$5:$S$204,0)+4,"")-4))=""),"",INDEX('List B'!$B$5:$B$204,IF(IFERROR(MATCH(70,'List A'!$S$5:$S$204,0)+4,"")="","",INDEX('List A'!$K$5:$K$204,IFERROR(MATCH(70,'List A'!$S$5:$S$204,0)+4,"")-4))-4))</f>
        <v/>
      </c>
      <c r="G74" s="52">
        <f>IF(OR(IFERROR(MATCH(70,'List A'!$S$5:$S$204,0)+4,"")="",IF(IFERROR(MATCH(70,'List A'!$S$5:$S$204,0)+4,"")="","",INDEX('List A'!$K$5:$K$204,IFERROR(MATCH(70,'List A'!$S$5:$S$204,0)+4,"")-4))=""),"",INDEX('List B'!$C$5:$C$204,IF(IFERROR(MATCH(70,'List A'!$S$5:$S$204,0)+4,"")="","",INDEX('List A'!$K$5:$K$204,IFERROR(MATCH(70,'List A'!$S$5:$S$204,0)+4,"")-4))-4))</f>
        <v/>
      </c>
      <c r="H74" s="53">
        <f>IF(OR(IFERROR(MATCH(70,'List A'!$S$5:$S$204,0)+4,"")="",IF(IFERROR(MATCH(70,'List A'!$S$5:$S$204,0)+4,"")="","",INDEX('List A'!$K$5:$K$204,IFERROR(MATCH(70,'List A'!$S$5:$S$204,0)+4,"")-4))=""),"",INDEX('List B'!$D$5:$D$204,IF(IFERROR(MATCH(70,'List A'!$S$5:$S$204,0)+4,"")="","",INDEX('List A'!$K$5:$K$204,IFERROR(MATCH(70,'List A'!$S$5:$S$204,0)+4,"")-4))-4))</f>
        <v/>
      </c>
      <c r="I74" s="52">
        <f>IF(IFERROR(MATCH(70,'List A'!$S$5:$S$204,0)+4,"")="","",INDEX('List A'!$N$5:$N$204,IFERROR(MATCH(70,'List A'!$S$5:$S$204,0)+4,"")-4))</f>
        <v/>
      </c>
      <c r="J74" s="53">
        <f>IF(IFERROR(MATCH(70,'List A'!$S$5:$S$204,0)+4,"")="","",INDEX('List A'!$O$5:$O$204,IFERROR(MATCH(70,'List A'!$S$5:$S$204,0)+4,"")-4))</f>
        <v/>
      </c>
    </row>
    <row r="75" ht="17" customHeight="1">
      <c r="A75" s="87">
        <f>IF(IFERROR(MATCH(71,'List A'!$S$5:$S$204,0)+4,"")="","",INDEX('List A'!$A$5:$A$204,IFERROR(MATCH(71,'List A'!$S$5:$S$204,0)+4,"")-4))</f>
        <v/>
      </c>
      <c r="B75" s="53">
        <f>IF(IFERROR(MATCH(71,'List A'!$S$5:$S$204,0)+4,"")="","",INDEX('List A'!$B$5:$B$204,IFERROR(MATCH(71,'List A'!$S$5:$S$204,0)+4,"")-4))</f>
        <v/>
      </c>
      <c r="C75" s="52">
        <f>IF(IFERROR(MATCH(71,'List A'!$S$5:$S$204,0)+4,"")="","",INDEX('List A'!$C$5:$C$204,IFERROR(MATCH(71,'List A'!$S$5:$S$204,0)+4,"")-4))</f>
        <v/>
      </c>
      <c r="D75" s="53">
        <f>IF(IFERROR(MATCH(71,'List A'!$S$5:$S$204,0)+4,"")="","",INDEX('List A'!$D$5:$D$204,IFERROR(MATCH(71,'List A'!$S$5:$S$204,0)+4,"")-4))</f>
        <v/>
      </c>
      <c r="E75" s="87">
        <f>IF(OR(IFERROR(MATCH(71,'List A'!$S$5:$S$204,0)+4,"")="",IF(IFERROR(MATCH(71,'List A'!$S$5:$S$204,0)+4,"")="","",INDEX('List A'!$K$5:$K$204,IFERROR(MATCH(71,'List A'!$S$5:$S$204,0)+4,"")-4))=""),"",INDEX('List B'!$A$5:$A$204,IF(IFERROR(MATCH(71,'List A'!$S$5:$S$204,0)+4,"")="","",INDEX('List A'!$K$5:$K$204,IFERROR(MATCH(71,'List A'!$S$5:$S$204,0)+4,"")-4))-4))</f>
        <v/>
      </c>
      <c r="F75" s="53">
        <f>IF(OR(IFERROR(MATCH(71,'List A'!$S$5:$S$204,0)+4,"")="",IF(IFERROR(MATCH(71,'List A'!$S$5:$S$204,0)+4,"")="","",INDEX('List A'!$K$5:$K$204,IFERROR(MATCH(71,'List A'!$S$5:$S$204,0)+4,"")-4))=""),"",INDEX('List B'!$B$5:$B$204,IF(IFERROR(MATCH(71,'List A'!$S$5:$S$204,0)+4,"")="","",INDEX('List A'!$K$5:$K$204,IFERROR(MATCH(71,'List A'!$S$5:$S$204,0)+4,"")-4))-4))</f>
        <v/>
      </c>
      <c r="G75" s="52">
        <f>IF(OR(IFERROR(MATCH(71,'List A'!$S$5:$S$204,0)+4,"")="",IF(IFERROR(MATCH(71,'List A'!$S$5:$S$204,0)+4,"")="","",INDEX('List A'!$K$5:$K$204,IFERROR(MATCH(71,'List A'!$S$5:$S$204,0)+4,"")-4))=""),"",INDEX('List B'!$C$5:$C$204,IF(IFERROR(MATCH(71,'List A'!$S$5:$S$204,0)+4,"")="","",INDEX('List A'!$K$5:$K$204,IFERROR(MATCH(71,'List A'!$S$5:$S$204,0)+4,"")-4))-4))</f>
        <v/>
      </c>
      <c r="H75" s="53">
        <f>IF(OR(IFERROR(MATCH(71,'List A'!$S$5:$S$204,0)+4,"")="",IF(IFERROR(MATCH(71,'List A'!$S$5:$S$204,0)+4,"")="","",INDEX('List A'!$K$5:$K$204,IFERROR(MATCH(71,'List A'!$S$5:$S$204,0)+4,"")-4))=""),"",INDEX('List B'!$D$5:$D$204,IF(IFERROR(MATCH(71,'List A'!$S$5:$S$204,0)+4,"")="","",INDEX('List A'!$K$5:$K$204,IFERROR(MATCH(71,'List A'!$S$5:$S$204,0)+4,"")-4))-4))</f>
        <v/>
      </c>
      <c r="I75" s="52">
        <f>IF(IFERROR(MATCH(71,'List A'!$S$5:$S$204,0)+4,"")="","",INDEX('List A'!$N$5:$N$204,IFERROR(MATCH(71,'List A'!$S$5:$S$204,0)+4,"")-4))</f>
        <v/>
      </c>
      <c r="J75" s="53">
        <f>IF(IFERROR(MATCH(71,'List A'!$S$5:$S$204,0)+4,"")="","",INDEX('List A'!$O$5:$O$204,IFERROR(MATCH(71,'List A'!$S$5:$S$204,0)+4,"")-4))</f>
        <v/>
      </c>
    </row>
    <row r="76" ht="17" customHeight="1">
      <c r="A76" s="87">
        <f>IF(IFERROR(MATCH(72,'List A'!$S$5:$S$204,0)+4,"")="","",INDEX('List A'!$A$5:$A$204,IFERROR(MATCH(72,'List A'!$S$5:$S$204,0)+4,"")-4))</f>
        <v/>
      </c>
      <c r="B76" s="53">
        <f>IF(IFERROR(MATCH(72,'List A'!$S$5:$S$204,0)+4,"")="","",INDEX('List A'!$B$5:$B$204,IFERROR(MATCH(72,'List A'!$S$5:$S$204,0)+4,"")-4))</f>
        <v/>
      </c>
      <c r="C76" s="52">
        <f>IF(IFERROR(MATCH(72,'List A'!$S$5:$S$204,0)+4,"")="","",INDEX('List A'!$C$5:$C$204,IFERROR(MATCH(72,'List A'!$S$5:$S$204,0)+4,"")-4))</f>
        <v/>
      </c>
      <c r="D76" s="53">
        <f>IF(IFERROR(MATCH(72,'List A'!$S$5:$S$204,0)+4,"")="","",INDEX('List A'!$D$5:$D$204,IFERROR(MATCH(72,'List A'!$S$5:$S$204,0)+4,"")-4))</f>
        <v/>
      </c>
      <c r="E76" s="87">
        <f>IF(OR(IFERROR(MATCH(72,'List A'!$S$5:$S$204,0)+4,"")="",IF(IFERROR(MATCH(72,'List A'!$S$5:$S$204,0)+4,"")="","",INDEX('List A'!$K$5:$K$204,IFERROR(MATCH(72,'List A'!$S$5:$S$204,0)+4,"")-4))=""),"",INDEX('List B'!$A$5:$A$204,IF(IFERROR(MATCH(72,'List A'!$S$5:$S$204,0)+4,"")="","",INDEX('List A'!$K$5:$K$204,IFERROR(MATCH(72,'List A'!$S$5:$S$204,0)+4,"")-4))-4))</f>
        <v/>
      </c>
      <c r="F76" s="53">
        <f>IF(OR(IFERROR(MATCH(72,'List A'!$S$5:$S$204,0)+4,"")="",IF(IFERROR(MATCH(72,'List A'!$S$5:$S$204,0)+4,"")="","",INDEX('List A'!$K$5:$K$204,IFERROR(MATCH(72,'List A'!$S$5:$S$204,0)+4,"")-4))=""),"",INDEX('List B'!$B$5:$B$204,IF(IFERROR(MATCH(72,'List A'!$S$5:$S$204,0)+4,"")="","",INDEX('List A'!$K$5:$K$204,IFERROR(MATCH(72,'List A'!$S$5:$S$204,0)+4,"")-4))-4))</f>
        <v/>
      </c>
      <c r="G76" s="52">
        <f>IF(OR(IFERROR(MATCH(72,'List A'!$S$5:$S$204,0)+4,"")="",IF(IFERROR(MATCH(72,'List A'!$S$5:$S$204,0)+4,"")="","",INDEX('List A'!$K$5:$K$204,IFERROR(MATCH(72,'List A'!$S$5:$S$204,0)+4,"")-4))=""),"",INDEX('List B'!$C$5:$C$204,IF(IFERROR(MATCH(72,'List A'!$S$5:$S$204,0)+4,"")="","",INDEX('List A'!$K$5:$K$204,IFERROR(MATCH(72,'List A'!$S$5:$S$204,0)+4,"")-4))-4))</f>
        <v/>
      </c>
      <c r="H76" s="53">
        <f>IF(OR(IFERROR(MATCH(72,'List A'!$S$5:$S$204,0)+4,"")="",IF(IFERROR(MATCH(72,'List A'!$S$5:$S$204,0)+4,"")="","",INDEX('List A'!$K$5:$K$204,IFERROR(MATCH(72,'List A'!$S$5:$S$204,0)+4,"")-4))=""),"",INDEX('List B'!$D$5:$D$204,IF(IFERROR(MATCH(72,'List A'!$S$5:$S$204,0)+4,"")="","",INDEX('List A'!$K$5:$K$204,IFERROR(MATCH(72,'List A'!$S$5:$S$204,0)+4,"")-4))-4))</f>
        <v/>
      </c>
      <c r="I76" s="52">
        <f>IF(IFERROR(MATCH(72,'List A'!$S$5:$S$204,0)+4,"")="","",INDEX('List A'!$N$5:$N$204,IFERROR(MATCH(72,'List A'!$S$5:$S$204,0)+4,"")-4))</f>
        <v/>
      </c>
      <c r="J76" s="53">
        <f>IF(IFERROR(MATCH(72,'List A'!$S$5:$S$204,0)+4,"")="","",INDEX('List A'!$O$5:$O$204,IFERROR(MATCH(72,'List A'!$S$5:$S$204,0)+4,"")-4))</f>
        <v/>
      </c>
    </row>
    <row r="77" ht="17" customHeight="1">
      <c r="A77" s="87">
        <f>IF(IFERROR(MATCH(73,'List A'!$S$5:$S$204,0)+4,"")="","",INDEX('List A'!$A$5:$A$204,IFERROR(MATCH(73,'List A'!$S$5:$S$204,0)+4,"")-4))</f>
        <v/>
      </c>
      <c r="B77" s="53">
        <f>IF(IFERROR(MATCH(73,'List A'!$S$5:$S$204,0)+4,"")="","",INDEX('List A'!$B$5:$B$204,IFERROR(MATCH(73,'List A'!$S$5:$S$204,0)+4,"")-4))</f>
        <v/>
      </c>
      <c r="C77" s="52">
        <f>IF(IFERROR(MATCH(73,'List A'!$S$5:$S$204,0)+4,"")="","",INDEX('List A'!$C$5:$C$204,IFERROR(MATCH(73,'List A'!$S$5:$S$204,0)+4,"")-4))</f>
        <v/>
      </c>
      <c r="D77" s="53">
        <f>IF(IFERROR(MATCH(73,'List A'!$S$5:$S$204,0)+4,"")="","",INDEX('List A'!$D$5:$D$204,IFERROR(MATCH(73,'List A'!$S$5:$S$204,0)+4,"")-4))</f>
        <v/>
      </c>
      <c r="E77" s="87">
        <f>IF(OR(IFERROR(MATCH(73,'List A'!$S$5:$S$204,0)+4,"")="",IF(IFERROR(MATCH(73,'List A'!$S$5:$S$204,0)+4,"")="","",INDEX('List A'!$K$5:$K$204,IFERROR(MATCH(73,'List A'!$S$5:$S$204,0)+4,"")-4))=""),"",INDEX('List B'!$A$5:$A$204,IF(IFERROR(MATCH(73,'List A'!$S$5:$S$204,0)+4,"")="","",INDEX('List A'!$K$5:$K$204,IFERROR(MATCH(73,'List A'!$S$5:$S$204,0)+4,"")-4))-4))</f>
        <v/>
      </c>
      <c r="F77" s="53">
        <f>IF(OR(IFERROR(MATCH(73,'List A'!$S$5:$S$204,0)+4,"")="",IF(IFERROR(MATCH(73,'List A'!$S$5:$S$204,0)+4,"")="","",INDEX('List A'!$K$5:$K$204,IFERROR(MATCH(73,'List A'!$S$5:$S$204,0)+4,"")-4))=""),"",INDEX('List B'!$B$5:$B$204,IF(IFERROR(MATCH(73,'List A'!$S$5:$S$204,0)+4,"")="","",INDEX('List A'!$K$5:$K$204,IFERROR(MATCH(73,'List A'!$S$5:$S$204,0)+4,"")-4))-4))</f>
        <v/>
      </c>
      <c r="G77" s="52">
        <f>IF(OR(IFERROR(MATCH(73,'List A'!$S$5:$S$204,0)+4,"")="",IF(IFERROR(MATCH(73,'List A'!$S$5:$S$204,0)+4,"")="","",INDEX('List A'!$K$5:$K$204,IFERROR(MATCH(73,'List A'!$S$5:$S$204,0)+4,"")-4))=""),"",INDEX('List B'!$C$5:$C$204,IF(IFERROR(MATCH(73,'List A'!$S$5:$S$204,0)+4,"")="","",INDEX('List A'!$K$5:$K$204,IFERROR(MATCH(73,'List A'!$S$5:$S$204,0)+4,"")-4))-4))</f>
        <v/>
      </c>
      <c r="H77" s="53">
        <f>IF(OR(IFERROR(MATCH(73,'List A'!$S$5:$S$204,0)+4,"")="",IF(IFERROR(MATCH(73,'List A'!$S$5:$S$204,0)+4,"")="","",INDEX('List A'!$K$5:$K$204,IFERROR(MATCH(73,'List A'!$S$5:$S$204,0)+4,"")-4))=""),"",INDEX('List B'!$D$5:$D$204,IF(IFERROR(MATCH(73,'List A'!$S$5:$S$204,0)+4,"")="","",INDEX('List A'!$K$5:$K$204,IFERROR(MATCH(73,'List A'!$S$5:$S$204,0)+4,"")-4))-4))</f>
        <v/>
      </c>
      <c r="I77" s="52">
        <f>IF(IFERROR(MATCH(73,'List A'!$S$5:$S$204,0)+4,"")="","",INDEX('List A'!$N$5:$N$204,IFERROR(MATCH(73,'List A'!$S$5:$S$204,0)+4,"")-4))</f>
        <v/>
      </c>
      <c r="J77" s="53">
        <f>IF(IFERROR(MATCH(73,'List A'!$S$5:$S$204,0)+4,"")="","",INDEX('List A'!$O$5:$O$204,IFERROR(MATCH(73,'List A'!$S$5:$S$204,0)+4,"")-4))</f>
        <v/>
      </c>
    </row>
    <row r="78" ht="17" customHeight="1">
      <c r="A78" s="87">
        <f>IF(IFERROR(MATCH(74,'List A'!$S$5:$S$204,0)+4,"")="","",INDEX('List A'!$A$5:$A$204,IFERROR(MATCH(74,'List A'!$S$5:$S$204,0)+4,"")-4))</f>
        <v/>
      </c>
      <c r="B78" s="53">
        <f>IF(IFERROR(MATCH(74,'List A'!$S$5:$S$204,0)+4,"")="","",INDEX('List A'!$B$5:$B$204,IFERROR(MATCH(74,'List A'!$S$5:$S$204,0)+4,"")-4))</f>
        <v/>
      </c>
      <c r="C78" s="52">
        <f>IF(IFERROR(MATCH(74,'List A'!$S$5:$S$204,0)+4,"")="","",INDEX('List A'!$C$5:$C$204,IFERROR(MATCH(74,'List A'!$S$5:$S$204,0)+4,"")-4))</f>
        <v/>
      </c>
      <c r="D78" s="53">
        <f>IF(IFERROR(MATCH(74,'List A'!$S$5:$S$204,0)+4,"")="","",INDEX('List A'!$D$5:$D$204,IFERROR(MATCH(74,'List A'!$S$5:$S$204,0)+4,"")-4))</f>
        <v/>
      </c>
      <c r="E78" s="87">
        <f>IF(OR(IFERROR(MATCH(74,'List A'!$S$5:$S$204,0)+4,"")="",IF(IFERROR(MATCH(74,'List A'!$S$5:$S$204,0)+4,"")="","",INDEX('List A'!$K$5:$K$204,IFERROR(MATCH(74,'List A'!$S$5:$S$204,0)+4,"")-4))=""),"",INDEX('List B'!$A$5:$A$204,IF(IFERROR(MATCH(74,'List A'!$S$5:$S$204,0)+4,"")="","",INDEX('List A'!$K$5:$K$204,IFERROR(MATCH(74,'List A'!$S$5:$S$204,0)+4,"")-4))-4))</f>
        <v/>
      </c>
      <c r="F78" s="53">
        <f>IF(OR(IFERROR(MATCH(74,'List A'!$S$5:$S$204,0)+4,"")="",IF(IFERROR(MATCH(74,'List A'!$S$5:$S$204,0)+4,"")="","",INDEX('List A'!$K$5:$K$204,IFERROR(MATCH(74,'List A'!$S$5:$S$204,0)+4,"")-4))=""),"",INDEX('List B'!$B$5:$B$204,IF(IFERROR(MATCH(74,'List A'!$S$5:$S$204,0)+4,"")="","",INDEX('List A'!$K$5:$K$204,IFERROR(MATCH(74,'List A'!$S$5:$S$204,0)+4,"")-4))-4))</f>
        <v/>
      </c>
      <c r="G78" s="52">
        <f>IF(OR(IFERROR(MATCH(74,'List A'!$S$5:$S$204,0)+4,"")="",IF(IFERROR(MATCH(74,'List A'!$S$5:$S$204,0)+4,"")="","",INDEX('List A'!$K$5:$K$204,IFERROR(MATCH(74,'List A'!$S$5:$S$204,0)+4,"")-4))=""),"",INDEX('List B'!$C$5:$C$204,IF(IFERROR(MATCH(74,'List A'!$S$5:$S$204,0)+4,"")="","",INDEX('List A'!$K$5:$K$204,IFERROR(MATCH(74,'List A'!$S$5:$S$204,0)+4,"")-4))-4))</f>
        <v/>
      </c>
      <c r="H78" s="53">
        <f>IF(OR(IFERROR(MATCH(74,'List A'!$S$5:$S$204,0)+4,"")="",IF(IFERROR(MATCH(74,'List A'!$S$5:$S$204,0)+4,"")="","",INDEX('List A'!$K$5:$K$204,IFERROR(MATCH(74,'List A'!$S$5:$S$204,0)+4,"")-4))=""),"",INDEX('List B'!$D$5:$D$204,IF(IFERROR(MATCH(74,'List A'!$S$5:$S$204,0)+4,"")="","",INDEX('List A'!$K$5:$K$204,IFERROR(MATCH(74,'List A'!$S$5:$S$204,0)+4,"")-4))-4))</f>
        <v/>
      </c>
      <c r="I78" s="52">
        <f>IF(IFERROR(MATCH(74,'List A'!$S$5:$S$204,0)+4,"")="","",INDEX('List A'!$N$5:$N$204,IFERROR(MATCH(74,'List A'!$S$5:$S$204,0)+4,"")-4))</f>
        <v/>
      </c>
      <c r="J78" s="53">
        <f>IF(IFERROR(MATCH(74,'List A'!$S$5:$S$204,0)+4,"")="","",INDEX('List A'!$O$5:$O$204,IFERROR(MATCH(74,'List A'!$S$5:$S$204,0)+4,"")-4))</f>
        <v/>
      </c>
    </row>
    <row r="79" ht="17" customHeight="1">
      <c r="A79" s="87">
        <f>IF(IFERROR(MATCH(75,'List A'!$S$5:$S$204,0)+4,"")="","",INDEX('List A'!$A$5:$A$204,IFERROR(MATCH(75,'List A'!$S$5:$S$204,0)+4,"")-4))</f>
        <v/>
      </c>
      <c r="B79" s="53">
        <f>IF(IFERROR(MATCH(75,'List A'!$S$5:$S$204,0)+4,"")="","",INDEX('List A'!$B$5:$B$204,IFERROR(MATCH(75,'List A'!$S$5:$S$204,0)+4,"")-4))</f>
        <v/>
      </c>
      <c r="C79" s="52">
        <f>IF(IFERROR(MATCH(75,'List A'!$S$5:$S$204,0)+4,"")="","",INDEX('List A'!$C$5:$C$204,IFERROR(MATCH(75,'List A'!$S$5:$S$204,0)+4,"")-4))</f>
        <v/>
      </c>
      <c r="D79" s="53">
        <f>IF(IFERROR(MATCH(75,'List A'!$S$5:$S$204,0)+4,"")="","",INDEX('List A'!$D$5:$D$204,IFERROR(MATCH(75,'List A'!$S$5:$S$204,0)+4,"")-4))</f>
        <v/>
      </c>
      <c r="E79" s="87">
        <f>IF(OR(IFERROR(MATCH(75,'List A'!$S$5:$S$204,0)+4,"")="",IF(IFERROR(MATCH(75,'List A'!$S$5:$S$204,0)+4,"")="","",INDEX('List A'!$K$5:$K$204,IFERROR(MATCH(75,'List A'!$S$5:$S$204,0)+4,"")-4))=""),"",INDEX('List B'!$A$5:$A$204,IF(IFERROR(MATCH(75,'List A'!$S$5:$S$204,0)+4,"")="","",INDEX('List A'!$K$5:$K$204,IFERROR(MATCH(75,'List A'!$S$5:$S$204,0)+4,"")-4))-4))</f>
        <v/>
      </c>
      <c r="F79" s="53">
        <f>IF(OR(IFERROR(MATCH(75,'List A'!$S$5:$S$204,0)+4,"")="",IF(IFERROR(MATCH(75,'List A'!$S$5:$S$204,0)+4,"")="","",INDEX('List A'!$K$5:$K$204,IFERROR(MATCH(75,'List A'!$S$5:$S$204,0)+4,"")-4))=""),"",INDEX('List B'!$B$5:$B$204,IF(IFERROR(MATCH(75,'List A'!$S$5:$S$204,0)+4,"")="","",INDEX('List A'!$K$5:$K$204,IFERROR(MATCH(75,'List A'!$S$5:$S$204,0)+4,"")-4))-4))</f>
        <v/>
      </c>
      <c r="G79" s="52">
        <f>IF(OR(IFERROR(MATCH(75,'List A'!$S$5:$S$204,0)+4,"")="",IF(IFERROR(MATCH(75,'List A'!$S$5:$S$204,0)+4,"")="","",INDEX('List A'!$K$5:$K$204,IFERROR(MATCH(75,'List A'!$S$5:$S$204,0)+4,"")-4))=""),"",INDEX('List B'!$C$5:$C$204,IF(IFERROR(MATCH(75,'List A'!$S$5:$S$204,0)+4,"")="","",INDEX('List A'!$K$5:$K$204,IFERROR(MATCH(75,'List A'!$S$5:$S$204,0)+4,"")-4))-4))</f>
        <v/>
      </c>
      <c r="H79" s="53">
        <f>IF(OR(IFERROR(MATCH(75,'List A'!$S$5:$S$204,0)+4,"")="",IF(IFERROR(MATCH(75,'List A'!$S$5:$S$204,0)+4,"")="","",INDEX('List A'!$K$5:$K$204,IFERROR(MATCH(75,'List A'!$S$5:$S$204,0)+4,"")-4))=""),"",INDEX('List B'!$D$5:$D$204,IF(IFERROR(MATCH(75,'List A'!$S$5:$S$204,0)+4,"")="","",INDEX('List A'!$K$5:$K$204,IFERROR(MATCH(75,'List A'!$S$5:$S$204,0)+4,"")-4))-4))</f>
        <v/>
      </c>
      <c r="I79" s="52">
        <f>IF(IFERROR(MATCH(75,'List A'!$S$5:$S$204,0)+4,"")="","",INDEX('List A'!$N$5:$N$204,IFERROR(MATCH(75,'List A'!$S$5:$S$204,0)+4,"")-4))</f>
        <v/>
      </c>
      <c r="J79" s="53">
        <f>IF(IFERROR(MATCH(75,'List A'!$S$5:$S$204,0)+4,"")="","",INDEX('List A'!$O$5:$O$204,IFERROR(MATCH(75,'List A'!$S$5:$S$204,0)+4,"")-4))</f>
        <v/>
      </c>
    </row>
    <row r="80" ht="17" customHeight="1">
      <c r="A80" s="87">
        <f>IF(IFERROR(MATCH(76,'List A'!$S$5:$S$204,0)+4,"")="","",INDEX('List A'!$A$5:$A$204,IFERROR(MATCH(76,'List A'!$S$5:$S$204,0)+4,"")-4))</f>
        <v/>
      </c>
      <c r="B80" s="53">
        <f>IF(IFERROR(MATCH(76,'List A'!$S$5:$S$204,0)+4,"")="","",INDEX('List A'!$B$5:$B$204,IFERROR(MATCH(76,'List A'!$S$5:$S$204,0)+4,"")-4))</f>
        <v/>
      </c>
      <c r="C80" s="52">
        <f>IF(IFERROR(MATCH(76,'List A'!$S$5:$S$204,0)+4,"")="","",INDEX('List A'!$C$5:$C$204,IFERROR(MATCH(76,'List A'!$S$5:$S$204,0)+4,"")-4))</f>
        <v/>
      </c>
      <c r="D80" s="53">
        <f>IF(IFERROR(MATCH(76,'List A'!$S$5:$S$204,0)+4,"")="","",INDEX('List A'!$D$5:$D$204,IFERROR(MATCH(76,'List A'!$S$5:$S$204,0)+4,"")-4))</f>
        <v/>
      </c>
      <c r="E80" s="87">
        <f>IF(OR(IFERROR(MATCH(76,'List A'!$S$5:$S$204,0)+4,"")="",IF(IFERROR(MATCH(76,'List A'!$S$5:$S$204,0)+4,"")="","",INDEX('List A'!$K$5:$K$204,IFERROR(MATCH(76,'List A'!$S$5:$S$204,0)+4,"")-4))=""),"",INDEX('List B'!$A$5:$A$204,IF(IFERROR(MATCH(76,'List A'!$S$5:$S$204,0)+4,"")="","",INDEX('List A'!$K$5:$K$204,IFERROR(MATCH(76,'List A'!$S$5:$S$204,0)+4,"")-4))-4))</f>
        <v/>
      </c>
      <c r="F80" s="53">
        <f>IF(OR(IFERROR(MATCH(76,'List A'!$S$5:$S$204,0)+4,"")="",IF(IFERROR(MATCH(76,'List A'!$S$5:$S$204,0)+4,"")="","",INDEX('List A'!$K$5:$K$204,IFERROR(MATCH(76,'List A'!$S$5:$S$204,0)+4,"")-4))=""),"",INDEX('List B'!$B$5:$B$204,IF(IFERROR(MATCH(76,'List A'!$S$5:$S$204,0)+4,"")="","",INDEX('List A'!$K$5:$K$204,IFERROR(MATCH(76,'List A'!$S$5:$S$204,0)+4,"")-4))-4))</f>
        <v/>
      </c>
      <c r="G80" s="52">
        <f>IF(OR(IFERROR(MATCH(76,'List A'!$S$5:$S$204,0)+4,"")="",IF(IFERROR(MATCH(76,'List A'!$S$5:$S$204,0)+4,"")="","",INDEX('List A'!$K$5:$K$204,IFERROR(MATCH(76,'List A'!$S$5:$S$204,0)+4,"")-4))=""),"",INDEX('List B'!$C$5:$C$204,IF(IFERROR(MATCH(76,'List A'!$S$5:$S$204,0)+4,"")="","",INDEX('List A'!$K$5:$K$204,IFERROR(MATCH(76,'List A'!$S$5:$S$204,0)+4,"")-4))-4))</f>
        <v/>
      </c>
      <c r="H80" s="53">
        <f>IF(OR(IFERROR(MATCH(76,'List A'!$S$5:$S$204,0)+4,"")="",IF(IFERROR(MATCH(76,'List A'!$S$5:$S$204,0)+4,"")="","",INDEX('List A'!$K$5:$K$204,IFERROR(MATCH(76,'List A'!$S$5:$S$204,0)+4,"")-4))=""),"",INDEX('List B'!$D$5:$D$204,IF(IFERROR(MATCH(76,'List A'!$S$5:$S$204,0)+4,"")="","",INDEX('List A'!$K$5:$K$204,IFERROR(MATCH(76,'List A'!$S$5:$S$204,0)+4,"")-4))-4))</f>
        <v/>
      </c>
      <c r="I80" s="52">
        <f>IF(IFERROR(MATCH(76,'List A'!$S$5:$S$204,0)+4,"")="","",INDEX('List A'!$N$5:$N$204,IFERROR(MATCH(76,'List A'!$S$5:$S$204,0)+4,"")-4))</f>
        <v/>
      </c>
      <c r="J80" s="53">
        <f>IF(IFERROR(MATCH(76,'List A'!$S$5:$S$204,0)+4,"")="","",INDEX('List A'!$O$5:$O$204,IFERROR(MATCH(76,'List A'!$S$5:$S$204,0)+4,"")-4))</f>
        <v/>
      </c>
    </row>
    <row r="81" ht="17" customHeight="1">
      <c r="A81" s="87">
        <f>IF(IFERROR(MATCH(77,'List A'!$S$5:$S$204,0)+4,"")="","",INDEX('List A'!$A$5:$A$204,IFERROR(MATCH(77,'List A'!$S$5:$S$204,0)+4,"")-4))</f>
        <v/>
      </c>
      <c r="B81" s="53">
        <f>IF(IFERROR(MATCH(77,'List A'!$S$5:$S$204,0)+4,"")="","",INDEX('List A'!$B$5:$B$204,IFERROR(MATCH(77,'List A'!$S$5:$S$204,0)+4,"")-4))</f>
        <v/>
      </c>
      <c r="C81" s="52">
        <f>IF(IFERROR(MATCH(77,'List A'!$S$5:$S$204,0)+4,"")="","",INDEX('List A'!$C$5:$C$204,IFERROR(MATCH(77,'List A'!$S$5:$S$204,0)+4,"")-4))</f>
        <v/>
      </c>
      <c r="D81" s="53">
        <f>IF(IFERROR(MATCH(77,'List A'!$S$5:$S$204,0)+4,"")="","",INDEX('List A'!$D$5:$D$204,IFERROR(MATCH(77,'List A'!$S$5:$S$204,0)+4,"")-4))</f>
        <v/>
      </c>
      <c r="E81" s="87">
        <f>IF(OR(IFERROR(MATCH(77,'List A'!$S$5:$S$204,0)+4,"")="",IF(IFERROR(MATCH(77,'List A'!$S$5:$S$204,0)+4,"")="","",INDEX('List A'!$K$5:$K$204,IFERROR(MATCH(77,'List A'!$S$5:$S$204,0)+4,"")-4))=""),"",INDEX('List B'!$A$5:$A$204,IF(IFERROR(MATCH(77,'List A'!$S$5:$S$204,0)+4,"")="","",INDEX('List A'!$K$5:$K$204,IFERROR(MATCH(77,'List A'!$S$5:$S$204,0)+4,"")-4))-4))</f>
        <v/>
      </c>
      <c r="F81" s="53">
        <f>IF(OR(IFERROR(MATCH(77,'List A'!$S$5:$S$204,0)+4,"")="",IF(IFERROR(MATCH(77,'List A'!$S$5:$S$204,0)+4,"")="","",INDEX('List A'!$K$5:$K$204,IFERROR(MATCH(77,'List A'!$S$5:$S$204,0)+4,"")-4))=""),"",INDEX('List B'!$B$5:$B$204,IF(IFERROR(MATCH(77,'List A'!$S$5:$S$204,0)+4,"")="","",INDEX('List A'!$K$5:$K$204,IFERROR(MATCH(77,'List A'!$S$5:$S$204,0)+4,"")-4))-4))</f>
        <v/>
      </c>
      <c r="G81" s="52">
        <f>IF(OR(IFERROR(MATCH(77,'List A'!$S$5:$S$204,0)+4,"")="",IF(IFERROR(MATCH(77,'List A'!$S$5:$S$204,0)+4,"")="","",INDEX('List A'!$K$5:$K$204,IFERROR(MATCH(77,'List A'!$S$5:$S$204,0)+4,"")-4))=""),"",INDEX('List B'!$C$5:$C$204,IF(IFERROR(MATCH(77,'List A'!$S$5:$S$204,0)+4,"")="","",INDEX('List A'!$K$5:$K$204,IFERROR(MATCH(77,'List A'!$S$5:$S$204,0)+4,"")-4))-4))</f>
        <v/>
      </c>
      <c r="H81" s="53">
        <f>IF(OR(IFERROR(MATCH(77,'List A'!$S$5:$S$204,0)+4,"")="",IF(IFERROR(MATCH(77,'List A'!$S$5:$S$204,0)+4,"")="","",INDEX('List A'!$K$5:$K$204,IFERROR(MATCH(77,'List A'!$S$5:$S$204,0)+4,"")-4))=""),"",INDEX('List B'!$D$5:$D$204,IF(IFERROR(MATCH(77,'List A'!$S$5:$S$204,0)+4,"")="","",INDEX('List A'!$K$5:$K$204,IFERROR(MATCH(77,'List A'!$S$5:$S$204,0)+4,"")-4))-4))</f>
        <v/>
      </c>
      <c r="I81" s="52">
        <f>IF(IFERROR(MATCH(77,'List A'!$S$5:$S$204,0)+4,"")="","",INDEX('List A'!$N$5:$N$204,IFERROR(MATCH(77,'List A'!$S$5:$S$204,0)+4,"")-4))</f>
        <v/>
      </c>
      <c r="J81" s="53">
        <f>IF(IFERROR(MATCH(77,'List A'!$S$5:$S$204,0)+4,"")="","",INDEX('List A'!$O$5:$O$204,IFERROR(MATCH(77,'List A'!$S$5:$S$204,0)+4,"")-4))</f>
        <v/>
      </c>
    </row>
    <row r="82" ht="17" customHeight="1">
      <c r="A82" s="87">
        <f>IF(IFERROR(MATCH(78,'List A'!$S$5:$S$204,0)+4,"")="","",INDEX('List A'!$A$5:$A$204,IFERROR(MATCH(78,'List A'!$S$5:$S$204,0)+4,"")-4))</f>
        <v/>
      </c>
      <c r="B82" s="53">
        <f>IF(IFERROR(MATCH(78,'List A'!$S$5:$S$204,0)+4,"")="","",INDEX('List A'!$B$5:$B$204,IFERROR(MATCH(78,'List A'!$S$5:$S$204,0)+4,"")-4))</f>
        <v/>
      </c>
      <c r="C82" s="52">
        <f>IF(IFERROR(MATCH(78,'List A'!$S$5:$S$204,0)+4,"")="","",INDEX('List A'!$C$5:$C$204,IFERROR(MATCH(78,'List A'!$S$5:$S$204,0)+4,"")-4))</f>
        <v/>
      </c>
      <c r="D82" s="53">
        <f>IF(IFERROR(MATCH(78,'List A'!$S$5:$S$204,0)+4,"")="","",INDEX('List A'!$D$5:$D$204,IFERROR(MATCH(78,'List A'!$S$5:$S$204,0)+4,"")-4))</f>
        <v/>
      </c>
      <c r="E82" s="87">
        <f>IF(OR(IFERROR(MATCH(78,'List A'!$S$5:$S$204,0)+4,"")="",IF(IFERROR(MATCH(78,'List A'!$S$5:$S$204,0)+4,"")="","",INDEX('List A'!$K$5:$K$204,IFERROR(MATCH(78,'List A'!$S$5:$S$204,0)+4,"")-4))=""),"",INDEX('List B'!$A$5:$A$204,IF(IFERROR(MATCH(78,'List A'!$S$5:$S$204,0)+4,"")="","",INDEX('List A'!$K$5:$K$204,IFERROR(MATCH(78,'List A'!$S$5:$S$204,0)+4,"")-4))-4))</f>
        <v/>
      </c>
      <c r="F82" s="53">
        <f>IF(OR(IFERROR(MATCH(78,'List A'!$S$5:$S$204,0)+4,"")="",IF(IFERROR(MATCH(78,'List A'!$S$5:$S$204,0)+4,"")="","",INDEX('List A'!$K$5:$K$204,IFERROR(MATCH(78,'List A'!$S$5:$S$204,0)+4,"")-4))=""),"",INDEX('List B'!$B$5:$B$204,IF(IFERROR(MATCH(78,'List A'!$S$5:$S$204,0)+4,"")="","",INDEX('List A'!$K$5:$K$204,IFERROR(MATCH(78,'List A'!$S$5:$S$204,0)+4,"")-4))-4))</f>
        <v/>
      </c>
      <c r="G82" s="52">
        <f>IF(OR(IFERROR(MATCH(78,'List A'!$S$5:$S$204,0)+4,"")="",IF(IFERROR(MATCH(78,'List A'!$S$5:$S$204,0)+4,"")="","",INDEX('List A'!$K$5:$K$204,IFERROR(MATCH(78,'List A'!$S$5:$S$204,0)+4,"")-4))=""),"",INDEX('List B'!$C$5:$C$204,IF(IFERROR(MATCH(78,'List A'!$S$5:$S$204,0)+4,"")="","",INDEX('List A'!$K$5:$K$204,IFERROR(MATCH(78,'List A'!$S$5:$S$204,0)+4,"")-4))-4))</f>
        <v/>
      </c>
      <c r="H82" s="53">
        <f>IF(OR(IFERROR(MATCH(78,'List A'!$S$5:$S$204,0)+4,"")="",IF(IFERROR(MATCH(78,'List A'!$S$5:$S$204,0)+4,"")="","",INDEX('List A'!$K$5:$K$204,IFERROR(MATCH(78,'List A'!$S$5:$S$204,0)+4,"")-4))=""),"",INDEX('List B'!$D$5:$D$204,IF(IFERROR(MATCH(78,'List A'!$S$5:$S$204,0)+4,"")="","",INDEX('List A'!$K$5:$K$204,IFERROR(MATCH(78,'List A'!$S$5:$S$204,0)+4,"")-4))-4))</f>
        <v/>
      </c>
      <c r="I82" s="52">
        <f>IF(IFERROR(MATCH(78,'List A'!$S$5:$S$204,0)+4,"")="","",INDEX('List A'!$N$5:$N$204,IFERROR(MATCH(78,'List A'!$S$5:$S$204,0)+4,"")-4))</f>
        <v/>
      </c>
      <c r="J82" s="53">
        <f>IF(IFERROR(MATCH(78,'List A'!$S$5:$S$204,0)+4,"")="","",INDEX('List A'!$O$5:$O$204,IFERROR(MATCH(78,'List A'!$S$5:$S$204,0)+4,"")-4))</f>
        <v/>
      </c>
    </row>
    <row r="83" ht="17" customHeight="1">
      <c r="A83" s="87">
        <f>IF(IFERROR(MATCH(79,'List A'!$S$5:$S$204,0)+4,"")="","",INDEX('List A'!$A$5:$A$204,IFERROR(MATCH(79,'List A'!$S$5:$S$204,0)+4,"")-4))</f>
        <v/>
      </c>
      <c r="B83" s="53">
        <f>IF(IFERROR(MATCH(79,'List A'!$S$5:$S$204,0)+4,"")="","",INDEX('List A'!$B$5:$B$204,IFERROR(MATCH(79,'List A'!$S$5:$S$204,0)+4,"")-4))</f>
        <v/>
      </c>
      <c r="C83" s="52">
        <f>IF(IFERROR(MATCH(79,'List A'!$S$5:$S$204,0)+4,"")="","",INDEX('List A'!$C$5:$C$204,IFERROR(MATCH(79,'List A'!$S$5:$S$204,0)+4,"")-4))</f>
        <v/>
      </c>
      <c r="D83" s="53">
        <f>IF(IFERROR(MATCH(79,'List A'!$S$5:$S$204,0)+4,"")="","",INDEX('List A'!$D$5:$D$204,IFERROR(MATCH(79,'List A'!$S$5:$S$204,0)+4,"")-4))</f>
        <v/>
      </c>
      <c r="E83" s="87">
        <f>IF(OR(IFERROR(MATCH(79,'List A'!$S$5:$S$204,0)+4,"")="",IF(IFERROR(MATCH(79,'List A'!$S$5:$S$204,0)+4,"")="","",INDEX('List A'!$K$5:$K$204,IFERROR(MATCH(79,'List A'!$S$5:$S$204,0)+4,"")-4))=""),"",INDEX('List B'!$A$5:$A$204,IF(IFERROR(MATCH(79,'List A'!$S$5:$S$204,0)+4,"")="","",INDEX('List A'!$K$5:$K$204,IFERROR(MATCH(79,'List A'!$S$5:$S$204,0)+4,"")-4))-4))</f>
        <v/>
      </c>
      <c r="F83" s="53">
        <f>IF(OR(IFERROR(MATCH(79,'List A'!$S$5:$S$204,0)+4,"")="",IF(IFERROR(MATCH(79,'List A'!$S$5:$S$204,0)+4,"")="","",INDEX('List A'!$K$5:$K$204,IFERROR(MATCH(79,'List A'!$S$5:$S$204,0)+4,"")-4))=""),"",INDEX('List B'!$B$5:$B$204,IF(IFERROR(MATCH(79,'List A'!$S$5:$S$204,0)+4,"")="","",INDEX('List A'!$K$5:$K$204,IFERROR(MATCH(79,'List A'!$S$5:$S$204,0)+4,"")-4))-4))</f>
        <v/>
      </c>
      <c r="G83" s="52">
        <f>IF(OR(IFERROR(MATCH(79,'List A'!$S$5:$S$204,0)+4,"")="",IF(IFERROR(MATCH(79,'List A'!$S$5:$S$204,0)+4,"")="","",INDEX('List A'!$K$5:$K$204,IFERROR(MATCH(79,'List A'!$S$5:$S$204,0)+4,"")-4))=""),"",INDEX('List B'!$C$5:$C$204,IF(IFERROR(MATCH(79,'List A'!$S$5:$S$204,0)+4,"")="","",INDEX('List A'!$K$5:$K$204,IFERROR(MATCH(79,'List A'!$S$5:$S$204,0)+4,"")-4))-4))</f>
        <v/>
      </c>
      <c r="H83" s="53">
        <f>IF(OR(IFERROR(MATCH(79,'List A'!$S$5:$S$204,0)+4,"")="",IF(IFERROR(MATCH(79,'List A'!$S$5:$S$204,0)+4,"")="","",INDEX('List A'!$K$5:$K$204,IFERROR(MATCH(79,'List A'!$S$5:$S$204,0)+4,"")-4))=""),"",INDEX('List B'!$D$5:$D$204,IF(IFERROR(MATCH(79,'List A'!$S$5:$S$204,0)+4,"")="","",INDEX('List A'!$K$5:$K$204,IFERROR(MATCH(79,'List A'!$S$5:$S$204,0)+4,"")-4))-4))</f>
        <v/>
      </c>
      <c r="I83" s="52">
        <f>IF(IFERROR(MATCH(79,'List A'!$S$5:$S$204,0)+4,"")="","",INDEX('List A'!$N$5:$N$204,IFERROR(MATCH(79,'List A'!$S$5:$S$204,0)+4,"")-4))</f>
        <v/>
      </c>
      <c r="J83" s="53">
        <f>IF(IFERROR(MATCH(79,'List A'!$S$5:$S$204,0)+4,"")="","",INDEX('List A'!$O$5:$O$204,IFERROR(MATCH(79,'List A'!$S$5:$S$204,0)+4,"")-4))</f>
        <v/>
      </c>
    </row>
    <row r="84" ht="17" customHeight="1">
      <c r="A84" s="87">
        <f>IF(IFERROR(MATCH(80,'List A'!$S$5:$S$204,0)+4,"")="","",INDEX('List A'!$A$5:$A$204,IFERROR(MATCH(80,'List A'!$S$5:$S$204,0)+4,"")-4))</f>
        <v/>
      </c>
      <c r="B84" s="53">
        <f>IF(IFERROR(MATCH(80,'List A'!$S$5:$S$204,0)+4,"")="","",INDEX('List A'!$B$5:$B$204,IFERROR(MATCH(80,'List A'!$S$5:$S$204,0)+4,"")-4))</f>
        <v/>
      </c>
      <c r="C84" s="52">
        <f>IF(IFERROR(MATCH(80,'List A'!$S$5:$S$204,0)+4,"")="","",INDEX('List A'!$C$5:$C$204,IFERROR(MATCH(80,'List A'!$S$5:$S$204,0)+4,"")-4))</f>
        <v/>
      </c>
      <c r="D84" s="53">
        <f>IF(IFERROR(MATCH(80,'List A'!$S$5:$S$204,0)+4,"")="","",INDEX('List A'!$D$5:$D$204,IFERROR(MATCH(80,'List A'!$S$5:$S$204,0)+4,"")-4))</f>
        <v/>
      </c>
      <c r="E84" s="87">
        <f>IF(OR(IFERROR(MATCH(80,'List A'!$S$5:$S$204,0)+4,"")="",IF(IFERROR(MATCH(80,'List A'!$S$5:$S$204,0)+4,"")="","",INDEX('List A'!$K$5:$K$204,IFERROR(MATCH(80,'List A'!$S$5:$S$204,0)+4,"")-4))=""),"",INDEX('List B'!$A$5:$A$204,IF(IFERROR(MATCH(80,'List A'!$S$5:$S$204,0)+4,"")="","",INDEX('List A'!$K$5:$K$204,IFERROR(MATCH(80,'List A'!$S$5:$S$204,0)+4,"")-4))-4))</f>
        <v/>
      </c>
      <c r="F84" s="53">
        <f>IF(OR(IFERROR(MATCH(80,'List A'!$S$5:$S$204,0)+4,"")="",IF(IFERROR(MATCH(80,'List A'!$S$5:$S$204,0)+4,"")="","",INDEX('List A'!$K$5:$K$204,IFERROR(MATCH(80,'List A'!$S$5:$S$204,0)+4,"")-4))=""),"",INDEX('List B'!$B$5:$B$204,IF(IFERROR(MATCH(80,'List A'!$S$5:$S$204,0)+4,"")="","",INDEX('List A'!$K$5:$K$204,IFERROR(MATCH(80,'List A'!$S$5:$S$204,0)+4,"")-4))-4))</f>
        <v/>
      </c>
      <c r="G84" s="52">
        <f>IF(OR(IFERROR(MATCH(80,'List A'!$S$5:$S$204,0)+4,"")="",IF(IFERROR(MATCH(80,'List A'!$S$5:$S$204,0)+4,"")="","",INDEX('List A'!$K$5:$K$204,IFERROR(MATCH(80,'List A'!$S$5:$S$204,0)+4,"")-4))=""),"",INDEX('List B'!$C$5:$C$204,IF(IFERROR(MATCH(80,'List A'!$S$5:$S$204,0)+4,"")="","",INDEX('List A'!$K$5:$K$204,IFERROR(MATCH(80,'List A'!$S$5:$S$204,0)+4,"")-4))-4))</f>
        <v/>
      </c>
      <c r="H84" s="53">
        <f>IF(OR(IFERROR(MATCH(80,'List A'!$S$5:$S$204,0)+4,"")="",IF(IFERROR(MATCH(80,'List A'!$S$5:$S$204,0)+4,"")="","",INDEX('List A'!$K$5:$K$204,IFERROR(MATCH(80,'List A'!$S$5:$S$204,0)+4,"")-4))=""),"",INDEX('List B'!$D$5:$D$204,IF(IFERROR(MATCH(80,'List A'!$S$5:$S$204,0)+4,"")="","",INDEX('List A'!$K$5:$K$204,IFERROR(MATCH(80,'List A'!$S$5:$S$204,0)+4,"")-4))-4))</f>
        <v/>
      </c>
      <c r="I84" s="52">
        <f>IF(IFERROR(MATCH(80,'List A'!$S$5:$S$204,0)+4,"")="","",INDEX('List A'!$N$5:$N$204,IFERROR(MATCH(80,'List A'!$S$5:$S$204,0)+4,"")-4))</f>
        <v/>
      </c>
      <c r="J84" s="53">
        <f>IF(IFERROR(MATCH(80,'List A'!$S$5:$S$204,0)+4,"")="","",INDEX('List A'!$O$5:$O$204,IFERROR(MATCH(80,'List A'!$S$5:$S$204,0)+4,"")-4))</f>
        <v/>
      </c>
    </row>
    <row r="85" ht="17" customHeight="1">
      <c r="A85" s="87">
        <f>IF(IFERROR(MATCH(81,'List A'!$S$5:$S$204,0)+4,"")="","",INDEX('List A'!$A$5:$A$204,IFERROR(MATCH(81,'List A'!$S$5:$S$204,0)+4,"")-4))</f>
        <v/>
      </c>
      <c r="B85" s="53">
        <f>IF(IFERROR(MATCH(81,'List A'!$S$5:$S$204,0)+4,"")="","",INDEX('List A'!$B$5:$B$204,IFERROR(MATCH(81,'List A'!$S$5:$S$204,0)+4,"")-4))</f>
        <v/>
      </c>
      <c r="C85" s="52">
        <f>IF(IFERROR(MATCH(81,'List A'!$S$5:$S$204,0)+4,"")="","",INDEX('List A'!$C$5:$C$204,IFERROR(MATCH(81,'List A'!$S$5:$S$204,0)+4,"")-4))</f>
        <v/>
      </c>
      <c r="D85" s="53">
        <f>IF(IFERROR(MATCH(81,'List A'!$S$5:$S$204,0)+4,"")="","",INDEX('List A'!$D$5:$D$204,IFERROR(MATCH(81,'List A'!$S$5:$S$204,0)+4,"")-4))</f>
        <v/>
      </c>
      <c r="E85" s="87">
        <f>IF(OR(IFERROR(MATCH(81,'List A'!$S$5:$S$204,0)+4,"")="",IF(IFERROR(MATCH(81,'List A'!$S$5:$S$204,0)+4,"")="","",INDEX('List A'!$K$5:$K$204,IFERROR(MATCH(81,'List A'!$S$5:$S$204,0)+4,"")-4))=""),"",INDEX('List B'!$A$5:$A$204,IF(IFERROR(MATCH(81,'List A'!$S$5:$S$204,0)+4,"")="","",INDEX('List A'!$K$5:$K$204,IFERROR(MATCH(81,'List A'!$S$5:$S$204,0)+4,"")-4))-4))</f>
        <v/>
      </c>
      <c r="F85" s="53">
        <f>IF(OR(IFERROR(MATCH(81,'List A'!$S$5:$S$204,0)+4,"")="",IF(IFERROR(MATCH(81,'List A'!$S$5:$S$204,0)+4,"")="","",INDEX('List A'!$K$5:$K$204,IFERROR(MATCH(81,'List A'!$S$5:$S$204,0)+4,"")-4))=""),"",INDEX('List B'!$B$5:$B$204,IF(IFERROR(MATCH(81,'List A'!$S$5:$S$204,0)+4,"")="","",INDEX('List A'!$K$5:$K$204,IFERROR(MATCH(81,'List A'!$S$5:$S$204,0)+4,"")-4))-4))</f>
        <v/>
      </c>
      <c r="G85" s="52">
        <f>IF(OR(IFERROR(MATCH(81,'List A'!$S$5:$S$204,0)+4,"")="",IF(IFERROR(MATCH(81,'List A'!$S$5:$S$204,0)+4,"")="","",INDEX('List A'!$K$5:$K$204,IFERROR(MATCH(81,'List A'!$S$5:$S$204,0)+4,"")-4))=""),"",INDEX('List B'!$C$5:$C$204,IF(IFERROR(MATCH(81,'List A'!$S$5:$S$204,0)+4,"")="","",INDEX('List A'!$K$5:$K$204,IFERROR(MATCH(81,'List A'!$S$5:$S$204,0)+4,"")-4))-4))</f>
        <v/>
      </c>
      <c r="H85" s="53">
        <f>IF(OR(IFERROR(MATCH(81,'List A'!$S$5:$S$204,0)+4,"")="",IF(IFERROR(MATCH(81,'List A'!$S$5:$S$204,0)+4,"")="","",INDEX('List A'!$K$5:$K$204,IFERROR(MATCH(81,'List A'!$S$5:$S$204,0)+4,"")-4))=""),"",INDEX('List B'!$D$5:$D$204,IF(IFERROR(MATCH(81,'List A'!$S$5:$S$204,0)+4,"")="","",INDEX('List A'!$K$5:$K$204,IFERROR(MATCH(81,'List A'!$S$5:$S$204,0)+4,"")-4))-4))</f>
        <v/>
      </c>
      <c r="I85" s="52">
        <f>IF(IFERROR(MATCH(81,'List A'!$S$5:$S$204,0)+4,"")="","",INDEX('List A'!$N$5:$N$204,IFERROR(MATCH(81,'List A'!$S$5:$S$204,0)+4,"")-4))</f>
        <v/>
      </c>
      <c r="J85" s="53">
        <f>IF(IFERROR(MATCH(81,'List A'!$S$5:$S$204,0)+4,"")="","",INDEX('List A'!$O$5:$O$204,IFERROR(MATCH(81,'List A'!$S$5:$S$204,0)+4,"")-4))</f>
        <v/>
      </c>
    </row>
    <row r="86" ht="17" customHeight="1">
      <c r="A86" s="87">
        <f>IF(IFERROR(MATCH(82,'List A'!$S$5:$S$204,0)+4,"")="","",INDEX('List A'!$A$5:$A$204,IFERROR(MATCH(82,'List A'!$S$5:$S$204,0)+4,"")-4))</f>
        <v/>
      </c>
      <c r="B86" s="53">
        <f>IF(IFERROR(MATCH(82,'List A'!$S$5:$S$204,0)+4,"")="","",INDEX('List A'!$B$5:$B$204,IFERROR(MATCH(82,'List A'!$S$5:$S$204,0)+4,"")-4))</f>
        <v/>
      </c>
      <c r="C86" s="52">
        <f>IF(IFERROR(MATCH(82,'List A'!$S$5:$S$204,0)+4,"")="","",INDEX('List A'!$C$5:$C$204,IFERROR(MATCH(82,'List A'!$S$5:$S$204,0)+4,"")-4))</f>
        <v/>
      </c>
      <c r="D86" s="53">
        <f>IF(IFERROR(MATCH(82,'List A'!$S$5:$S$204,0)+4,"")="","",INDEX('List A'!$D$5:$D$204,IFERROR(MATCH(82,'List A'!$S$5:$S$204,0)+4,"")-4))</f>
        <v/>
      </c>
      <c r="E86" s="87">
        <f>IF(OR(IFERROR(MATCH(82,'List A'!$S$5:$S$204,0)+4,"")="",IF(IFERROR(MATCH(82,'List A'!$S$5:$S$204,0)+4,"")="","",INDEX('List A'!$K$5:$K$204,IFERROR(MATCH(82,'List A'!$S$5:$S$204,0)+4,"")-4))=""),"",INDEX('List B'!$A$5:$A$204,IF(IFERROR(MATCH(82,'List A'!$S$5:$S$204,0)+4,"")="","",INDEX('List A'!$K$5:$K$204,IFERROR(MATCH(82,'List A'!$S$5:$S$204,0)+4,"")-4))-4))</f>
        <v/>
      </c>
      <c r="F86" s="53">
        <f>IF(OR(IFERROR(MATCH(82,'List A'!$S$5:$S$204,0)+4,"")="",IF(IFERROR(MATCH(82,'List A'!$S$5:$S$204,0)+4,"")="","",INDEX('List A'!$K$5:$K$204,IFERROR(MATCH(82,'List A'!$S$5:$S$204,0)+4,"")-4))=""),"",INDEX('List B'!$B$5:$B$204,IF(IFERROR(MATCH(82,'List A'!$S$5:$S$204,0)+4,"")="","",INDEX('List A'!$K$5:$K$204,IFERROR(MATCH(82,'List A'!$S$5:$S$204,0)+4,"")-4))-4))</f>
        <v/>
      </c>
      <c r="G86" s="52">
        <f>IF(OR(IFERROR(MATCH(82,'List A'!$S$5:$S$204,0)+4,"")="",IF(IFERROR(MATCH(82,'List A'!$S$5:$S$204,0)+4,"")="","",INDEX('List A'!$K$5:$K$204,IFERROR(MATCH(82,'List A'!$S$5:$S$204,0)+4,"")-4))=""),"",INDEX('List B'!$C$5:$C$204,IF(IFERROR(MATCH(82,'List A'!$S$5:$S$204,0)+4,"")="","",INDEX('List A'!$K$5:$K$204,IFERROR(MATCH(82,'List A'!$S$5:$S$204,0)+4,"")-4))-4))</f>
        <v/>
      </c>
      <c r="H86" s="53">
        <f>IF(OR(IFERROR(MATCH(82,'List A'!$S$5:$S$204,0)+4,"")="",IF(IFERROR(MATCH(82,'List A'!$S$5:$S$204,0)+4,"")="","",INDEX('List A'!$K$5:$K$204,IFERROR(MATCH(82,'List A'!$S$5:$S$204,0)+4,"")-4))=""),"",INDEX('List B'!$D$5:$D$204,IF(IFERROR(MATCH(82,'List A'!$S$5:$S$204,0)+4,"")="","",INDEX('List A'!$K$5:$K$204,IFERROR(MATCH(82,'List A'!$S$5:$S$204,0)+4,"")-4))-4))</f>
        <v/>
      </c>
      <c r="I86" s="52">
        <f>IF(IFERROR(MATCH(82,'List A'!$S$5:$S$204,0)+4,"")="","",INDEX('List A'!$N$5:$N$204,IFERROR(MATCH(82,'List A'!$S$5:$S$204,0)+4,"")-4))</f>
        <v/>
      </c>
      <c r="J86" s="53">
        <f>IF(IFERROR(MATCH(82,'List A'!$S$5:$S$204,0)+4,"")="","",INDEX('List A'!$O$5:$O$204,IFERROR(MATCH(82,'List A'!$S$5:$S$204,0)+4,"")-4))</f>
        <v/>
      </c>
    </row>
    <row r="87" ht="17" customHeight="1">
      <c r="A87" s="87">
        <f>IF(IFERROR(MATCH(83,'List A'!$S$5:$S$204,0)+4,"")="","",INDEX('List A'!$A$5:$A$204,IFERROR(MATCH(83,'List A'!$S$5:$S$204,0)+4,"")-4))</f>
        <v/>
      </c>
      <c r="B87" s="53">
        <f>IF(IFERROR(MATCH(83,'List A'!$S$5:$S$204,0)+4,"")="","",INDEX('List A'!$B$5:$B$204,IFERROR(MATCH(83,'List A'!$S$5:$S$204,0)+4,"")-4))</f>
        <v/>
      </c>
      <c r="C87" s="52">
        <f>IF(IFERROR(MATCH(83,'List A'!$S$5:$S$204,0)+4,"")="","",INDEX('List A'!$C$5:$C$204,IFERROR(MATCH(83,'List A'!$S$5:$S$204,0)+4,"")-4))</f>
        <v/>
      </c>
      <c r="D87" s="53">
        <f>IF(IFERROR(MATCH(83,'List A'!$S$5:$S$204,0)+4,"")="","",INDEX('List A'!$D$5:$D$204,IFERROR(MATCH(83,'List A'!$S$5:$S$204,0)+4,"")-4))</f>
        <v/>
      </c>
      <c r="E87" s="87">
        <f>IF(OR(IFERROR(MATCH(83,'List A'!$S$5:$S$204,0)+4,"")="",IF(IFERROR(MATCH(83,'List A'!$S$5:$S$204,0)+4,"")="","",INDEX('List A'!$K$5:$K$204,IFERROR(MATCH(83,'List A'!$S$5:$S$204,0)+4,"")-4))=""),"",INDEX('List B'!$A$5:$A$204,IF(IFERROR(MATCH(83,'List A'!$S$5:$S$204,0)+4,"")="","",INDEX('List A'!$K$5:$K$204,IFERROR(MATCH(83,'List A'!$S$5:$S$204,0)+4,"")-4))-4))</f>
        <v/>
      </c>
      <c r="F87" s="53">
        <f>IF(OR(IFERROR(MATCH(83,'List A'!$S$5:$S$204,0)+4,"")="",IF(IFERROR(MATCH(83,'List A'!$S$5:$S$204,0)+4,"")="","",INDEX('List A'!$K$5:$K$204,IFERROR(MATCH(83,'List A'!$S$5:$S$204,0)+4,"")-4))=""),"",INDEX('List B'!$B$5:$B$204,IF(IFERROR(MATCH(83,'List A'!$S$5:$S$204,0)+4,"")="","",INDEX('List A'!$K$5:$K$204,IFERROR(MATCH(83,'List A'!$S$5:$S$204,0)+4,"")-4))-4))</f>
        <v/>
      </c>
      <c r="G87" s="52">
        <f>IF(OR(IFERROR(MATCH(83,'List A'!$S$5:$S$204,0)+4,"")="",IF(IFERROR(MATCH(83,'List A'!$S$5:$S$204,0)+4,"")="","",INDEX('List A'!$K$5:$K$204,IFERROR(MATCH(83,'List A'!$S$5:$S$204,0)+4,"")-4))=""),"",INDEX('List B'!$C$5:$C$204,IF(IFERROR(MATCH(83,'List A'!$S$5:$S$204,0)+4,"")="","",INDEX('List A'!$K$5:$K$204,IFERROR(MATCH(83,'List A'!$S$5:$S$204,0)+4,"")-4))-4))</f>
        <v/>
      </c>
      <c r="H87" s="53">
        <f>IF(OR(IFERROR(MATCH(83,'List A'!$S$5:$S$204,0)+4,"")="",IF(IFERROR(MATCH(83,'List A'!$S$5:$S$204,0)+4,"")="","",INDEX('List A'!$K$5:$K$204,IFERROR(MATCH(83,'List A'!$S$5:$S$204,0)+4,"")-4))=""),"",INDEX('List B'!$D$5:$D$204,IF(IFERROR(MATCH(83,'List A'!$S$5:$S$204,0)+4,"")="","",INDEX('List A'!$K$5:$K$204,IFERROR(MATCH(83,'List A'!$S$5:$S$204,0)+4,"")-4))-4))</f>
        <v/>
      </c>
      <c r="I87" s="52">
        <f>IF(IFERROR(MATCH(83,'List A'!$S$5:$S$204,0)+4,"")="","",INDEX('List A'!$N$5:$N$204,IFERROR(MATCH(83,'List A'!$S$5:$S$204,0)+4,"")-4))</f>
        <v/>
      </c>
      <c r="J87" s="53">
        <f>IF(IFERROR(MATCH(83,'List A'!$S$5:$S$204,0)+4,"")="","",INDEX('List A'!$O$5:$O$204,IFERROR(MATCH(83,'List A'!$S$5:$S$204,0)+4,"")-4))</f>
        <v/>
      </c>
    </row>
    <row r="88" ht="17" customHeight="1">
      <c r="A88" s="87">
        <f>IF(IFERROR(MATCH(84,'List A'!$S$5:$S$204,0)+4,"")="","",INDEX('List A'!$A$5:$A$204,IFERROR(MATCH(84,'List A'!$S$5:$S$204,0)+4,"")-4))</f>
        <v/>
      </c>
      <c r="B88" s="53">
        <f>IF(IFERROR(MATCH(84,'List A'!$S$5:$S$204,0)+4,"")="","",INDEX('List A'!$B$5:$B$204,IFERROR(MATCH(84,'List A'!$S$5:$S$204,0)+4,"")-4))</f>
        <v/>
      </c>
      <c r="C88" s="52">
        <f>IF(IFERROR(MATCH(84,'List A'!$S$5:$S$204,0)+4,"")="","",INDEX('List A'!$C$5:$C$204,IFERROR(MATCH(84,'List A'!$S$5:$S$204,0)+4,"")-4))</f>
        <v/>
      </c>
      <c r="D88" s="53">
        <f>IF(IFERROR(MATCH(84,'List A'!$S$5:$S$204,0)+4,"")="","",INDEX('List A'!$D$5:$D$204,IFERROR(MATCH(84,'List A'!$S$5:$S$204,0)+4,"")-4))</f>
        <v/>
      </c>
      <c r="E88" s="87">
        <f>IF(OR(IFERROR(MATCH(84,'List A'!$S$5:$S$204,0)+4,"")="",IF(IFERROR(MATCH(84,'List A'!$S$5:$S$204,0)+4,"")="","",INDEX('List A'!$K$5:$K$204,IFERROR(MATCH(84,'List A'!$S$5:$S$204,0)+4,"")-4))=""),"",INDEX('List B'!$A$5:$A$204,IF(IFERROR(MATCH(84,'List A'!$S$5:$S$204,0)+4,"")="","",INDEX('List A'!$K$5:$K$204,IFERROR(MATCH(84,'List A'!$S$5:$S$204,0)+4,"")-4))-4))</f>
        <v/>
      </c>
      <c r="F88" s="53">
        <f>IF(OR(IFERROR(MATCH(84,'List A'!$S$5:$S$204,0)+4,"")="",IF(IFERROR(MATCH(84,'List A'!$S$5:$S$204,0)+4,"")="","",INDEX('List A'!$K$5:$K$204,IFERROR(MATCH(84,'List A'!$S$5:$S$204,0)+4,"")-4))=""),"",INDEX('List B'!$B$5:$B$204,IF(IFERROR(MATCH(84,'List A'!$S$5:$S$204,0)+4,"")="","",INDEX('List A'!$K$5:$K$204,IFERROR(MATCH(84,'List A'!$S$5:$S$204,0)+4,"")-4))-4))</f>
        <v/>
      </c>
      <c r="G88" s="52">
        <f>IF(OR(IFERROR(MATCH(84,'List A'!$S$5:$S$204,0)+4,"")="",IF(IFERROR(MATCH(84,'List A'!$S$5:$S$204,0)+4,"")="","",INDEX('List A'!$K$5:$K$204,IFERROR(MATCH(84,'List A'!$S$5:$S$204,0)+4,"")-4))=""),"",INDEX('List B'!$C$5:$C$204,IF(IFERROR(MATCH(84,'List A'!$S$5:$S$204,0)+4,"")="","",INDEX('List A'!$K$5:$K$204,IFERROR(MATCH(84,'List A'!$S$5:$S$204,0)+4,"")-4))-4))</f>
        <v/>
      </c>
      <c r="H88" s="53">
        <f>IF(OR(IFERROR(MATCH(84,'List A'!$S$5:$S$204,0)+4,"")="",IF(IFERROR(MATCH(84,'List A'!$S$5:$S$204,0)+4,"")="","",INDEX('List A'!$K$5:$K$204,IFERROR(MATCH(84,'List A'!$S$5:$S$204,0)+4,"")-4))=""),"",INDEX('List B'!$D$5:$D$204,IF(IFERROR(MATCH(84,'List A'!$S$5:$S$204,0)+4,"")="","",INDEX('List A'!$K$5:$K$204,IFERROR(MATCH(84,'List A'!$S$5:$S$204,0)+4,"")-4))-4))</f>
        <v/>
      </c>
      <c r="I88" s="52">
        <f>IF(IFERROR(MATCH(84,'List A'!$S$5:$S$204,0)+4,"")="","",INDEX('List A'!$N$5:$N$204,IFERROR(MATCH(84,'List A'!$S$5:$S$204,0)+4,"")-4))</f>
        <v/>
      </c>
      <c r="J88" s="53">
        <f>IF(IFERROR(MATCH(84,'List A'!$S$5:$S$204,0)+4,"")="","",INDEX('List A'!$O$5:$O$204,IFERROR(MATCH(84,'List A'!$S$5:$S$204,0)+4,"")-4))</f>
        <v/>
      </c>
    </row>
    <row r="89" ht="17" customHeight="1">
      <c r="A89" s="87">
        <f>IF(IFERROR(MATCH(85,'List A'!$S$5:$S$204,0)+4,"")="","",INDEX('List A'!$A$5:$A$204,IFERROR(MATCH(85,'List A'!$S$5:$S$204,0)+4,"")-4))</f>
        <v/>
      </c>
      <c r="B89" s="53">
        <f>IF(IFERROR(MATCH(85,'List A'!$S$5:$S$204,0)+4,"")="","",INDEX('List A'!$B$5:$B$204,IFERROR(MATCH(85,'List A'!$S$5:$S$204,0)+4,"")-4))</f>
        <v/>
      </c>
      <c r="C89" s="52">
        <f>IF(IFERROR(MATCH(85,'List A'!$S$5:$S$204,0)+4,"")="","",INDEX('List A'!$C$5:$C$204,IFERROR(MATCH(85,'List A'!$S$5:$S$204,0)+4,"")-4))</f>
        <v/>
      </c>
      <c r="D89" s="53">
        <f>IF(IFERROR(MATCH(85,'List A'!$S$5:$S$204,0)+4,"")="","",INDEX('List A'!$D$5:$D$204,IFERROR(MATCH(85,'List A'!$S$5:$S$204,0)+4,"")-4))</f>
        <v/>
      </c>
      <c r="E89" s="87">
        <f>IF(OR(IFERROR(MATCH(85,'List A'!$S$5:$S$204,0)+4,"")="",IF(IFERROR(MATCH(85,'List A'!$S$5:$S$204,0)+4,"")="","",INDEX('List A'!$K$5:$K$204,IFERROR(MATCH(85,'List A'!$S$5:$S$204,0)+4,"")-4))=""),"",INDEX('List B'!$A$5:$A$204,IF(IFERROR(MATCH(85,'List A'!$S$5:$S$204,0)+4,"")="","",INDEX('List A'!$K$5:$K$204,IFERROR(MATCH(85,'List A'!$S$5:$S$204,0)+4,"")-4))-4))</f>
        <v/>
      </c>
      <c r="F89" s="53">
        <f>IF(OR(IFERROR(MATCH(85,'List A'!$S$5:$S$204,0)+4,"")="",IF(IFERROR(MATCH(85,'List A'!$S$5:$S$204,0)+4,"")="","",INDEX('List A'!$K$5:$K$204,IFERROR(MATCH(85,'List A'!$S$5:$S$204,0)+4,"")-4))=""),"",INDEX('List B'!$B$5:$B$204,IF(IFERROR(MATCH(85,'List A'!$S$5:$S$204,0)+4,"")="","",INDEX('List A'!$K$5:$K$204,IFERROR(MATCH(85,'List A'!$S$5:$S$204,0)+4,"")-4))-4))</f>
        <v/>
      </c>
      <c r="G89" s="52">
        <f>IF(OR(IFERROR(MATCH(85,'List A'!$S$5:$S$204,0)+4,"")="",IF(IFERROR(MATCH(85,'List A'!$S$5:$S$204,0)+4,"")="","",INDEX('List A'!$K$5:$K$204,IFERROR(MATCH(85,'List A'!$S$5:$S$204,0)+4,"")-4))=""),"",INDEX('List B'!$C$5:$C$204,IF(IFERROR(MATCH(85,'List A'!$S$5:$S$204,0)+4,"")="","",INDEX('List A'!$K$5:$K$204,IFERROR(MATCH(85,'List A'!$S$5:$S$204,0)+4,"")-4))-4))</f>
        <v/>
      </c>
      <c r="H89" s="53">
        <f>IF(OR(IFERROR(MATCH(85,'List A'!$S$5:$S$204,0)+4,"")="",IF(IFERROR(MATCH(85,'List A'!$S$5:$S$204,0)+4,"")="","",INDEX('List A'!$K$5:$K$204,IFERROR(MATCH(85,'List A'!$S$5:$S$204,0)+4,"")-4))=""),"",INDEX('List B'!$D$5:$D$204,IF(IFERROR(MATCH(85,'List A'!$S$5:$S$204,0)+4,"")="","",INDEX('List A'!$K$5:$K$204,IFERROR(MATCH(85,'List A'!$S$5:$S$204,0)+4,"")-4))-4))</f>
        <v/>
      </c>
      <c r="I89" s="52">
        <f>IF(IFERROR(MATCH(85,'List A'!$S$5:$S$204,0)+4,"")="","",INDEX('List A'!$N$5:$N$204,IFERROR(MATCH(85,'List A'!$S$5:$S$204,0)+4,"")-4))</f>
        <v/>
      </c>
      <c r="J89" s="53">
        <f>IF(IFERROR(MATCH(85,'List A'!$S$5:$S$204,0)+4,"")="","",INDEX('List A'!$O$5:$O$204,IFERROR(MATCH(85,'List A'!$S$5:$S$204,0)+4,"")-4))</f>
        <v/>
      </c>
    </row>
    <row r="90" ht="17" customHeight="1">
      <c r="A90" s="87">
        <f>IF(IFERROR(MATCH(86,'List A'!$S$5:$S$204,0)+4,"")="","",INDEX('List A'!$A$5:$A$204,IFERROR(MATCH(86,'List A'!$S$5:$S$204,0)+4,"")-4))</f>
        <v/>
      </c>
      <c r="B90" s="53">
        <f>IF(IFERROR(MATCH(86,'List A'!$S$5:$S$204,0)+4,"")="","",INDEX('List A'!$B$5:$B$204,IFERROR(MATCH(86,'List A'!$S$5:$S$204,0)+4,"")-4))</f>
        <v/>
      </c>
      <c r="C90" s="52">
        <f>IF(IFERROR(MATCH(86,'List A'!$S$5:$S$204,0)+4,"")="","",INDEX('List A'!$C$5:$C$204,IFERROR(MATCH(86,'List A'!$S$5:$S$204,0)+4,"")-4))</f>
        <v/>
      </c>
      <c r="D90" s="53">
        <f>IF(IFERROR(MATCH(86,'List A'!$S$5:$S$204,0)+4,"")="","",INDEX('List A'!$D$5:$D$204,IFERROR(MATCH(86,'List A'!$S$5:$S$204,0)+4,"")-4))</f>
        <v/>
      </c>
      <c r="E90" s="87">
        <f>IF(OR(IFERROR(MATCH(86,'List A'!$S$5:$S$204,0)+4,"")="",IF(IFERROR(MATCH(86,'List A'!$S$5:$S$204,0)+4,"")="","",INDEX('List A'!$K$5:$K$204,IFERROR(MATCH(86,'List A'!$S$5:$S$204,0)+4,"")-4))=""),"",INDEX('List B'!$A$5:$A$204,IF(IFERROR(MATCH(86,'List A'!$S$5:$S$204,0)+4,"")="","",INDEX('List A'!$K$5:$K$204,IFERROR(MATCH(86,'List A'!$S$5:$S$204,0)+4,"")-4))-4))</f>
        <v/>
      </c>
      <c r="F90" s="53">
        <f>IF(OR(IFERROR(MATCH(86,'List A'!$S$5:$S$204,0)+4,"")="",IF(IFERROR(MATCH(86,'List A'!$S$5:$S$204,0)+4,"")="","",INDEX('List A'!$K$5:$K$204,IFERROR(MATCH(86,'List A'!$S$5:$S$204,0)+4,"")-4))=""),"",INDEX('List B'!$B$5:$B$204,IF(IFERROR(MATCH(86,'List A'!$S$5:$S$204,0)+4,"")="","",INDEX('List A'!$K$5:$K$204,IFERROR(MATCH(86,'List A'!$S$5:$S$204,0)+4,"")-4))-4))</f>
        <v/>
      </c>
      <c r="G90" s="52">
        <f>IF(OR(IFERROR(MATCH(86,'List A'!$S$5:$S$204,0)+4,"")="",IF(IFERROR(MATCH(86,'List A'!$S$5:$S$204,0)+4,"")="","",INDEX('List A'!$K$5:$K$204,IFERROR(MATCH(86,'List A'!$S$5:$S$204,0)+4,"")-4))=""),"",INDEX('List B'!$C$5:$C$204,IF(IFERROR(MATCH(86,'List A'!$S$5:$S$204,0)+4,"")="","",INDEX('List A'!$K$5:$K$204,IFERROR(MATCH(86,'List A'!$S$5:$S$204,0)+4,"")-4))-4))</f>
        <v/>
      </c>
      <c r="H90" s="53">
        <f>IF(OR(IFERROR(MATCH(86,'List A'!$S$5:$S$204,0)+4,"")="",IF(IFERROR(MATCH(86,'List A'!$S$5:$S$204,0)+4,"")="","",INDEX('List A'!$K$5:$K$204,IFERROR(MATCH(86,'List A'!$S$5:$S$204,0)+4,"")-4))=""),"",INDEX('List B'!$D$5:$D$204,IF(IFERROR(MATCH(86,'List A'!$S$5:$S$204,0)+4,"")="","",INDEX('List A'!$K$5:$K$204,IFERROR(MATCH(86,'List A'!$S$5:$S$204,0)+4,"")-4))-4))</f>
        <v/>
      </c>
      <c r="I90" s="52">
        <f>IF(IFERROR(MATCH(86,'List A'!$S$5:$S$204,0)+4,"")="","",INDEX('List A'!$N$5:$N$204,IFERROR(MATCH(86,'List A'!$S$5:$S$204,0)+4,"")-4))</f>
        <v/>
      </c>
      <c r="J90" s="53">
        <f>IF(IFERROR(MATCH(86,'List A'!$S$5:$S$204,0)+4,"")="","",INDEX('List A'!$O$5:$O$204,IFERROR(MATCH(86,'List A'!$S$5:$S$204,0)+4,"")-4))</f>
        <v/>
      </c>
    </row>
    <row r="91" ht="17" customHeight="1">
      <c r="A91" s="87">
        <f>IF(IFERROR(MATCH(87,'List A'!$S$5:$S$204,0)+4,"")="","",INDEX('List A'!$A$5:$A$204,IFERROR(MATCH(87,'List A'!$S$5:$S$204,0)+4,"")-4))</f>
        <v/>
      </c>
      <c r="B91" s="53">
        <f>IF(IFERROR(MATCH(87,'List A'!$S$5:$S$204,0)+4,"")="","",INDEX('List A'!$B$5:$B$204,IFERROR(MATCH(87,'List A'!$S$5:$S$204,0)+4,"")-4))</f>
        <v/>
      </c>
      <c r="C91" s="52">
        <f>IF(IFERROR(MATCH(87,'List A'!$S$5:$S$204,0)+4,"")="","",INDEX('List A'!$C$5:$C$204,IFERROR(MATCH(87,'List A'!$S$5:$S$204,0)+4,"")-4))</f>
        <v/>
      </c>
      <c r="D91" s="53">
        <f>IF(IFERROR(MATCH(87,'List A'!$S$5:$S$204,0)+4,"")="","",INDEX('List A'!$D$5:$D$204,IFERROR(MATCH(87,'List A'!$S$5:$S$204,0)+4,"")-4))</f>
        <v/>
      </c>
      <c r="E91" s="87">
        <f>IF(OR(IFERROR(MATCH(87,'List A'!$S$5:$S$204,0)+4,"")="",IF(IFERROR(MATCH(87,'List A'!$S$5:$S$204,0)+4,"")="","",INDEX('List A'!$K$5:$K$204,IFERROR(MATCH(87,'List A'!$S$5:$S$204,0)+4,"")-4))=""),"",INDEX('List B'!$A$5:$A$204,IF(IFERROR(MATCH(87,'List A'!$S$5:$S$204,0)+4,"")="","",INDEX('List A'!$K$5:$K$204,IFERROR(MATCH(87,'List A'!$S$5:$S$204,0)+4,"")-4))-4))</f>
        <v/>
      </c>
      <c r="F91" s="53">
        <f>IF(OR(IFERROR(MATCH(87,'List A'!$S$5:$S$204,0)+4,"")="",IF(IFERROR(MATCH(87,'List A'!$S$5:$S$204,0)+4,"")="","",INDEX('List A'!$K$5:$K$204,IFERROR(MATCH(87,'List A'!$S$5:$S$204,0)+4,"")-4))=""),"",INDEX('List B'!$B$5:$B$204,IF(IFERROR(MATCH(87,'List A'!$S$5:$S$204,0)+4,"")="","",INDEX('List A'!$K$5:$K$204,IFERROR(MATCH(87,'List A'!$S$5:$S$204,0)+4,"")-4))-4))</f>
        <v/>
      </c>
      <c r="G91" s="52">
        <f>IF(OR(IFERROR(MATCH(87,'List A'!$S$5:$S$204,0)+4,"")="",IF(IFERROR(MATCH(87,'List A'!$S$5:$S$204,0)+4,"")="","",INDEX('List A'!$K$5:$K$204,IFERROR(MATCH(87,'List A'!$S$5:$S$204,0)+4,"")-4))=""),"",INDEX('List B'!$C$5:$C$204,IF(IFERROR(MATCH(87,'List A'!$S$5:$S$204,0)+4,"")="","",INDEX('List A'!$K$5:$K$204,IFERROR(MATCH(87,'List A'!$S$5:$S$204,0)+4,"")-4))-4))</f>
        <v/>
      </c>
      <c r="H91" s="53">
        <f>IF(OR(IFERROR(MATCH(87,'List A'!$S$5:$S$204,0)+4,"")="",IF(IFERROR(MATCH(87,'List A'!$S$5:$S$204,0)+4,"")="","",INDEX('List A'!$K$5:$K$204,IFERROR(MATCH(87,'List A'!$S$5:$S$204,0)+4,"")-4))=""),"",INDEX('List B'!$D$5:$D$204,IF(IFERROR(MATCH(87,'List A'!$S$5:$S$204,0)+4,"")="","",INDEX('List A'!$K$5:$K$204,IFERROR(MATCH(87,'List A'!$S$5:$S$204,0)+4,"")-4))-4))</f>
        <v/>
      </c>
      <c r="I91" s="52">
        <f>IF(IFERROR(MATCH(87,'List A'!$S$5:$S$204,0)+4,"")="","",INDEX('List A'!$N$5:$N$204,IFERROR(MATCH(87,'List A'!$S$5:$S$204,0)+4,"")-4))</f>
        <v/>
      </c>
      <c r="J91" s="53">
        <f>IF(IFERROR(MATCH(87,'List A'!$S$5:$S$204,0)+4,"")="","",INDEX('List A'!$O$5:$O$204,IFERROR(MATCH(87,'List A'!$S$5:$S$204,0)+4,"")-4))</f>
        <v/>
      </c>
    </row>
    <row r="92" ht="17" customHeight="1">
      <c r="A92" s="87">
        <f>IF(IFERROR(MATCH(88,'List A'!$S$5:$S$204,0)+4,"")="","",INDEX('List A'!$A$5:$A$204,IFERROR(MATCH(88,'List A'!$S$5:$S$204,0)+4,"")-4))</f>
        <v/>
      </c>
      <c r="B92" s="53">
        <f>IF(IFERROR(MATCH(88,'List A'!$S$5:$S$204,0)+4,"")="","",INDEX('List A'!$B$5:$B$204,IFERROR(MATCH(88,'List A'!$S$5:$S$204,0)+4,"")-4))</f>
        <v/>
      </c>
      <c r="C92" s="52">
        <f>IF(IFERROR(MATCH(88,'List A'!$S$5:$S$204,0)+4,"")="","",INDEX('List A'!$C$5:$C$204,IFERROR(MATCH(88,'List A'!$S$5:$S$204,0)+4,"")-4))</f>
        <v/>
      </c>
      <c r="D92" s="53">
        <f>IF(IFERROR(MATCH(88,'List A'!$S$5:$S$204,0)+4,"")="","",INDEX('List A'!$D$5:$D$204,IFERROR(MATCH(88,'List A'!$S$5:$S$204,0)+4,"")-4))</f>
        <v/>
      </c>
      <c r="E92" s="87">
        <f>IF(OR(IFERROR(MATCH(88,'List A'!$S$5:$S$204,0)+4,"")="",IF(IFERROR(MATCH(88,'List A'!$S$5:$S$204,0)+4,"")="","",INDEX('List A'!$K$5:$K$204,IFERROR(MATCH(88,'List A'!$S$5:$S$204,0)+4,"")-4))=""),"",INDEX('List B'!$A$5:$A$204,IF(IFERROR(MATCH(88,'List A'!$S$5:$S$204,0)+4,"")="","",INDEX('List A'!$K$5:$K$204,IFERROR(MATCH(88,'List A'!$S$5:$S$204,0)+4,"")-4))-4))</f>
        <v/>
      </c>
      <c r="F92" s="53">
        <f>IF(OR(IFERROR(MATCH(88,'List A'!$S$5:$S$204,0)+4,"")="",IF(IFERROR(MATCH(88,'List A'!$S$5:$S$204,0)+4,"")="","",INDEX('List A'!$K$5:$K$204,IFERROR(MATCH(88,'List A'!$S$5:$S$204,0)+4,"")-4))=""),"",INDEX('List B'!$B$5:$B$204,IF(IFERROR(MATCH(88,'List A'!$S$5:$S$204,0)+4,"")="","",INDEX('List A'!$K$5:$K$204,IFERROR(MATCH(88,'List A'!$S$5:$S$204,0)+4,"")-4))-4))</f>
        <v/>
      </c>
      <c r="G92" s="52">
        <f>IF(OR(IFERROR(MATCH(88,'List A'!$S$5:$S$204,0)+4,"")="",IF(IFERROR(MATCH(88,'List A'!$S$5:$S$204,0)+4,"")="","",INDEX('List A'!$K$5:$K$204,IFERROR(MATCH(88,'List A'!$S$5:$S$204,0)+4,"")-4))=""),"",INDEX('List B'!$C$5:$C$204,IF(IFERROR(MATCH(88,'List A'!$S$5:$S$204,0)+4,"")="","",INDEX('List A'!$K$5:$K$204,IFERROR(MATCH(88,'List A'!$S$5:$S$204,0)+4,"")-4))-4))</f>
        <v/>
      </c>
      <c r="H92" s="53">
        <f>IF(OR(IFERROR(MATCH(88,'List A'!$S$5:$S$204,0)+4,"")="",IF(IFERROR(MATCH(88,'List A'!$S$5:$S$204,0)+4,"")="","",INDEX('List A'!$K$5:$K$204,IFERROR(MATCH(88,'List A'!$S$5:$S$204,0)+4,"")-4))=""),"",INDEX('List B'!$D$5:$D$204,IF(IFERROR(MATCH(88,'List A'!$S$5:$S$204,0)+4,"")="","",INDEX('List A'!$K$5:$K$204,IFERROR(MATCH(88,'List A'!$S$5:$S$204,0)+4,"")-4))-4))</f>
        <v/>
      </c>
      <c r="I92" s="52">
        <f>IF(IFERROR(MATCH(88,'List A'!$S$5:$S$204,0)+4,"")="","",INDEX('List A'!$N$5:$N$204,IFERROR(MATCH(88,'List A'!$S$5:$S$204,0)+4,"")-4))</f>
        <v/>
      </c>
      <c r="J92" s="53">
        <f>IF(IFERROR(MATCH(88,'List A'!$S$5:$S$204,0)+4,"")="","",INDEX('List A'!$O$5:$O$204,IFERROR(MATCH(88,'List A'!$S$5:$S$204,0)+4,"")-4))</f>
        <v/>
      </c>
    </row>
    <row r="93" ht="17" customHeight="1">
      <c r="A93" s="87">
        <f>IF(IFERROR(MATCH(89,'List A'!$S$5:$S$204,0)+4,"")="","",INDEX('List A'!$A$5:$A$204,IFERROR(MATCH(89,'List A'!$S$5:$S$204,0)+4,"")-4))</f>
        <v/>
      </c>
      <c r="B93" s="53">
        <f>IF(IFERROR(MATCH(89,'List A'!$S$5:$S$204,0)+4,"")="","",INDEX('List A'!$B$5:$B$204,IFERROR(MATCH(89,'List A'!$S$5:$S$204,0)+4,"")-4))</f>
        <v/>
      </c>
      <c r="C93" s="52">
        <f>IF(IFERROR(MATCH(89,'List A'!$S$5:$S$204,0)+4,"")="","",INDEX('List A'!$C$5:$C$204,IFERROR(MATCH(89,'List A'!$S$5:$S$204,0)+4,"")-4))</f>
        <v/>
      </c>
      <c r="D93" s="53">
        <f>IF(IFERROR(MATCH(89,'List A'!$S$5:$S$204,0)+4,"")="","",INDEX('List A'!$D$5:$D$204,IFERROR(MATCH(89,'List A'!$S$5:$S$204,0)+4,"")-4))</f>
        <v/>
      </c>
      <c r="E93" s="87">
        <f>IF(OR(IFERROR(MATCH(89,'List A'!$S$5:$S$204,0)+4,"")="",IF(IFERROR(MATCH(89,'List A'!$S$5:$S$204,0)+4,"")="","",INDEX('List A'!$K$5:$K$204,IFERROR(MATCH(89,'List A'!$S$5:$S$204,0)+4,"")-4))=""),"",INDEX('List B'!$A$5:$A$204,IF(IFERROR(MATCH(89,'List A'!$S$5:$S$204,0)+4,"")="","",INDEX('List A'!$K$5:$K$204,IFERROR(MATCH(89,'List A'!$S$5:$S$204,0)+4,"")-4))-4))</f>
        <v/>
      </c>
      <c r="F93" s="53">
        <f>IF(OR(IFERROR(MATCH(89,'List A'!$S$5:$S$204,0)+4,"")="",IF(IFERROR(MATCH(89,'List A'!$S$5:$S$204,0)+4,"")="","",INDEX('List A'!$K$5:$K$204,IFERROR(MATCH(89,'List A'!$S$5:$S$204,0)+4,"")-4))=""),"",INDEX('List B'!$B$5:$B$204,IF(IFERROR(MATCH(89,'List A'!$S$5:$S$204,0)+4,"")="","",INDEX('List A'!$K$5:$K$204,IFERROR(MATCH(89,'List A'!$S$5:$S$204,0)+4,"")-4))-4))</f>
        <v/>
      </c>
      <c r="G93" s="52">
        <f>IF(OR(IFERROR(MATCH(89,'List A'!$S$5:$S$204,0)+4,"")="",IF(IFERROR(MATCH(89,'List A'!$S$5:$S$204,0)+4,"")="","",INDEX('List A'!$K$5:$K$204,IFERROR(MATCH(89,'List A'!$S$5:$S$204,0)+4,"")-4))=""),"",INDEX('List B'!$C$5:$C$204,IF(IFERROR(MATCH(89,'List A'!$S$5:$S$204,0)+4,"")="","",INDEX('List A'!$K$5:$K$204,IFERROR(MATCH(89,'List A'!$S$5:$S$204,0)+4,"")-4))-4))</f>
        <v/>
      </c>
      <c r="H93" s="53">
        <f>IF(OR(IFERROR(MATCH(89,'List A'!$S$5:$S$204,0)+4,"")="",IF(IFERROR(MATCH(89,'List A'!$S$5:$S$204,0)+4,"")="","",INDEX('List A'!$K$5:$K$204,IFERROR(MATCH(89,'List A'!$S$5:$S$204,0)+4,"")-4))=""),"",INDEX('List B'!$D$5:$D$204,IF(IFERROR(MATCH(89,'List A'!$S$5:$S$204,0)+4,"")="","",INDEX('List A'!$K$5:$K$204,IFERROR(MATCH(89,'List A'!$S$5:$S$204,0)+4,"")-4))-4))</f>
        <v/>
      </c>
      <c r="I93" s="52">
        <f>IF(IFERROR(MATCH(89,'List A'!$S$5:$S$204,0)+4,"")="","",INDEX('List A'!$N$5:$N$204,IFERROR(MATCH(89,'List A'!$S$5:$S$204,0)+4,"")-4))</f>
        <v/>
      </c>
      <c r="J93" s="53">
        <f>IF(IFERROR(MATCH(89,'List A'!$S$5:$S$204,0)+4,"")="","",INDEX('List A'!$O$5:$O$204,IFERROR(MATCH(89,'List A'!$S$5:$S$204,0)+4,"")-4))</f>
        <v/>
      </c>
    </row>
    <row r="94" ht="17" customHeight="1">
      <c r="A94" s="87">
        <f>IF(IFERROR(MATCH(90,'List A'!$S$5:$S$204,0)+4,"")="","",INDEX('List A'!$A$5:$A$204,IFERROR(MATCH(90,'List A'!$S$5:$S$204,0)+4,"")-4))</f>
        <v/>
      </c>
      <c r="B94" s="53">
        <f>IF(IFERROR(MATCH(90,'List A'!$S$5:$S$204,0)+4,"")="","",INDEX('List A'!$B$5:$B$204,IFERROR(MATCH(90,'List A'!$S$5:$S$204,0)+4,"")-4))</f>
        <v/>
      </c>
      <c r="C94" s="52">
        <f>IF(IFERROR(MATCH(90,'List A'!$S$5:$S$204,0)+4,"")="","",INDEX('List A'!$C$5:$C$204,IFERROR(MATCH(90,'List A'!$S$5:$S$204,0)+4,"")-4))</f>
        <v/>
      </c>
      <c r="D94" s="53">
        <f>IF(IFERROR(MATCH(90,'List A'!$S$5:$S$204,0)+4,"")="","",INDEX('List A'!$D$5:$D$204,IFERROR(MATCH(90,'List A'!$S$5:$S$204,0)+4,"")-4))</f>
        <v/>
      </c>
      <c r="E94" s="87">
        <f>IF(OR(IFERROR(MATCH(90,'List A'!$S$5:$S$204,0)+4,"")="",IF(IFERROR(MATCH(90,'List A'!$S$5:$S$204,0)+4,"")="","",INDEX('List A'!$K$5:$K$204,IFERROR(MATCH(90,'List A'!$S$5:$S$204,0)+4,"")-4))=""),"",INDEX('List B'!$A$5:$A$204,IF(IFERROR(MATCH(90,'List A'!$S$5:$S$204,0)+4,"")="","",INDEX('List A'!$K$5:$K$204,IFERROR(MATCH(90,'List A'!$S$5:$S$204,0)+4,"")-4))-4))</f>
        <v/>
      </c>
      <c r="F94" s="53">
        <f>IF(OR(IFERROR(MATCH(90,'List A'!$S$5:$S$204,0)+4,"")="",IF(IFERROR(MATCH(90,'List A'!$S$5:$S$204,0)+4,"")="","",INDEX('List A'!$K$5:$K$204,IFERROR(MATCH(90,'List A'!$S$5:$S$204,0)+4,"")-4))=""),"",INDEX('List B'!$B$5:$B$204,IF(IFERROR(MATCH(90,'List A'!$S$5:$S$204,0)+4,"")="","",INDEX('List A'!$K$5:$K$204,IFERROR(MATCH(90,'List A'!$S$5:$S$204,0)+4,"")-4))-4))</f>
        <v/>
      </c>
      <c r="G94" s="52">
        <f>IF(OR(IFERROR(MATCH(90,'List A'!$S$5:$S$204,0)+4,"")="",IF(IFERROR(MATCH(90,'List A'!$S$5:$S$204,0)+4,"")="","",INDEX('List A'!$K$5:$K$204,IFERROR(MATCH(90,'List A'!$S$5:$S$204,0)+4,"")-4))=""),"",INDEX('List B'!$C$5:$C$204,IF(IFERROR(MATCH(90,'List A'!$S$5:$S$204,0)+4,"")="","",INDEX('List A'!$K$5:$K$204,IFERROR(MATCH(90,'List A'!$S$5:$S$204,0)+4,"")-4))-4))</f>
        <v/>
      </c>
      <c r="H94" s="53">
        <f>IF(OR(IFERROR(MATCH(90,'List A'!$S$5:$S$204,0)+4,"")="",IF(IFERROR(MATCH(90,'List A'!$S$5:$S$204,0)+4,"")="","",INDEX('List A'!$K$5:$K$204,IFERROR(MATCH(90,'List A'!$S$5:$S$204,0)+4,"")-4))=""),"",INDEX('List B'!$D$5:$D$204,IF(IFERROR(MATCH(90,'List A'!$S$5:$S$204,0)+4,"")="","",INDEX('List A'!$K$5:$K$204,IFERROR(MATCH(90,'List A'!$S$5:$S$204,0)+4,"")-4))-4))</f>
        <v/>
      </c>
      <c r="I94" s="52">
        <f>IF(IFERROR(MATCH(90,'List A'!$S$5:$S$204,0)+4,"")="","",INDEX('List A'!$N$5:$N$204,IFERROR(MATCH(90,'List A'!$S$5:$S$204,0)+4,"")-4))</f>
        <v/>
      </c>
      <c r="J94" s="53">
        <f>IF(IFERROR(MATCH(90,'List A'!$S$5:$S$204,0)+4,"")="","",INDEX('List A'!$O$5:$O$204,IFERROR(MATCH(90,'List A'!$S$5:$S$204,0)+4,"")-4))</f>
        <v/>
      </c>
    </row>
    <row r="95" ht="17" customHeight="1">
      <c r="A95" s="87">
        <f>IF(IFERROR(MATCH(91,'List A'!$S$5:$S$204,0)+4,"")="","",INDEX('List A'!$A$5:$A$204,IFERROR(MATCH(91,'List A'!$S$5:$S$204,0)+4,"")-4))</f>
        <v/>
      </c>
      <c r="B95" s="53">
        <f>IF(IFERROR(MATCH(91,'List A'!$S$5:$S$204,0)+4,"")="","",INDEX('List A'!$B$5:$B$204,IFERROR(MATCH(91,'List A'!$S$5:$S$204,0)+4,"")-4))</f>
        <v/>
      </c>
      <c r="C95" s="52">
        <f>IF(IFERROR(MATCH(91,'List A'!$S$5:$S$204,0)+4,"")="","",INDEX('List A'!$C$5:$C$204,IFERROR(MATCH(91,'List A'!$S$5:$S$204,0)+4,"")-4))</f>
        <v/>
      </c>
      <c r="D95" s="53">
        <f>IF(IFERROR(MATCH(91,'List A'!$S$5:$S$204,0)+4,"")="","",INDEX('List A'!$D$5:$D$204,IFERROR(MATCH(91,'List A'!$S$5:$S$204,0)+4,"")-4))</f>
        <v/>
      </c>
      <c r="E95" s="87">
        <f>IF(OR(IFERROR(MATCH(91,'List A'!$S$5:$S$204,0)+4,"")="",IF(IFERROR(MATCH(91,'List A'!$S$5:$S$204,0)+4,"")="","",INDEX('List A'!$K$5:$K$204,IFERROR(MATCH(91,'List A'!$S$5:$S$204,0)+4,"")-4))=""),"",INDEX('List B'!$A$5:$A$204,IF(IFERROR(MATCH(91,'List A'!$S$5:$S$204,0)+4,"")="","",INDEX('List A'!$K$5:$K$204,IFERROR(MATCH(91,'List A'!$S$5:$S$204,0)+4,"")-4))-4))</f>
        <v/>
      </c>
      <c r="F95" s="53">
        <f>IF(OR(IFERROR(MATCH(91,'List A'!$S$5:$S$204,0)+4,"")="",IF(IFERROR(MATCH(91,'List A'!$S$5:$S$204,0)+4,"")="","",INDEX('List A'!$K$5:$K$204,IFERROR(MATCH(91,'List A'!$S$5:$S$204,0)+4,"")-4))=""),"",INDEX('List B'!$B$5:$B$204,IF(IFERROR(MATCH(91,'List A'!$S$5:$S$204,0)+4,"")="","",INDEX('List A'!$K$5:$K$204,IFERROR(MATCH(91,'List A'!$S$5:$S$204,0)+4,"")-4))-4))</f>
        <v/>
      </c>
      <c r="G95" s="52">
        <f>IF(OR(IFERROR(MATCH(91,'List A'!$S$5:$S$204,0)+4,"")="",IF(IFERROR(MATCH(91,'List A'!$S$5:$S$204,0)+4,"")="","",INDEX('List A'!$K$5:$K$204,IFERROR(MATCH(91,'List A'!$S$5:$S$204,0)+4,"")-4))=""),"",INDEX('List B'!$C$5:$C$204,IF(IFERROR(MATCH(91,'List A'!$S$5:$S$204,0)+4,"")="","",INDEX('List A'!$K$5:$K$204,IFERROR(MATCH(91,'List A'!$S$5:$S$204,0)+4,"")-4))-4))</f>
        <v/>
      </c>
      <c r="H95" s="53">
        <f>IF(OR(IFERROR(MATCH(91,'List A'!$S$5:$S$204,0)+4,"")="",IF(IFERROR(MATCH(91,'List A'!$S$5:$S$204,0)+4,"")="","",INDEX('List A'!$K$5:$K$204,IFERROR(MATCH(91,'List A'!$S$5:$S$204,0)+4,"")-4))=""),"",INDEX('List B'!$D$5:$D$204,IF(IFERROR(MATCH(91,'List A'!$S$5:$S$204,0)+4,"")="","",INDEX('List A'!$K$5:$K$204,IFERROR(MATCH(91,'List A'!$S$5:$S$204,0)+4,"")-4))-4))</f>
        <v/>
      </c>
      <c r="I95" s="52">
        <f>IF(IFERROR(MATCH(91,'List A'!$S$5:$S$204,0)+4,"")="","",INDEX('List A'!$N$5:$N$204,IFERROR(MATCH(91,'List A'!$S$5:$S$204,0)+4,"")-4))</f>
        <v/>
      </c>
      <c r="J95" s="53">
        <f>IF(IFERROR(MATCH(91,'List A'!$S$5:$S$204,0)+4,"")="","",INDEX('List A'!$O$5:$O$204,IFERROR(MATCH(91,'List A'!$S$5:$S$204,0)+4,"")-4))</f>
        <v/>
      </c>
    </row>
    <row r="96" ht="17" customHeight="1">
      <c r="A96" s="87">
        <f>IF(IFERROR(MATCH(92,'List A'!$S$5:$S$204,0)+4,"")="","",INDEX('List A'!$A$5:$A$204,IFERROR(MATCH(92,'List A'!$S$5:$S$204,0)+4,"")-4))</f>
        <v/>
      </c>
      <c r="B96" s="53">
        <f>IF(IFERROR(MATCH(92,'List A'!$S$5:$S$204,0)+4,"")="","",INDEX('List A'!$B$5:$B$204,IFERROR(MATCH(92,'List A'!$S$5:$S$204,0)+4,"")-4))</f>
        <v/>
      </c>
      <c r="C96" s="52">
        <f>IF(IFERROR(MATCH(92,'List A'!$S$5:$S$204,0)+4,"")="","",INDEX('List A'!$C$5:$C$204,IFERROR(MATCH(92,'List A'!$S$5:$S$204,0)+4,"")-4))</f>
        <v/>
      </c>
      <c r="D96" s="53">
        <f>IF(IFERROR(MATCH(92,'List A'!$S$5:$S$204,0)+4,"")="","",INDEX('List A'!$D$5:$D$204,IFERROR(MATCH(92,'List A'!$S$5:$S$204,0)+4,"")-4))</f>
        <v/>
      </c>
      <c r="E96" s="87">
        <f>IF(OR(IFERROR(MATCH(92,'List A'!$S$5:$S$204,0)+4,"")="",IF(IFERROR(MATCH(92,'List A'!$S$5:$S$204,0)+4,"")="","",INDEX('List A'!$K$5:$K$204,IFERROR(MATCH(92,'List A'!$S$5:$S$204,0)+4,"")-4))=""),"",INDEX('List B'!$A$5:$A$204,IF(IFERROR(MATCH(92,'List A'!$S$5:$S$204,0)+4,"")="","",INDEX('List A'!$K$5:$K$204,IFERROR(MATCH(92,'List A'!$S$5:$S$204,0)+4,"")-4))-4))</f>
        <v/>
      </c>
      <c r="F96" s="53">
        <f>IF(OR(IFERROR(MATCH(92,'List A'!$S$5:$S$204,0)+4,"")="",IF(IFERROR(MATCH(92,'List A'!$S$5:$S$204,0)+4,"")="","",INDEX('List A'!$K$5:$K$204,IFERROR(MATCH(92,'List A'!$S$5:$S$204,0)+4,"")-4))=""),"",INDEX('List B'!$B$5:$B$204,IF(IFERROR(MATCH(92,'List A'!$S$5:$S$204,0)+4,"")="","",INDEX('List A'!$K$5:$K$204,IFERROR(MATCH(92,'List A'!$S$5:$S$204,0)+4,"")-4))-4))</f>
        <v/>
      </c>
      <c r="G96" s="52">
        <f>IF(OR(IFERROR(MATCH(92,'List A'!$S$5:$S$204,0)+4,"")="",IF(IFERROR(MATCH(92,'List A'!$S$5:$S$204,0)+4,"")="","",INDEX('List A'!$K$5:$K$204,IFERROR(MATCH(92,'List A'!$S$5:$S$204,0)+4,"")-4))=""),"",INDEX('List B'!$C$5:$C$204,IF(IFERROR(MATCH(92,'List A'!$S$5:$S$204,0)+4,"")="","",INDEX('List A'!$K$5:$K$204,IFERROR(MATCH(92,'List A'!$S$5:$S$204,0)+4,"")-4))-4))</f>
        <v/>
      </c>
      <c r="H96" s="53">
        <f>IF(OR(IFERROR(MATCH(92,'List A'!$S$5:$S$204,0)+4,"")="",IF(IFERROR(MATCH(92,'List A'!$S$5:$S$204,0)+4,"")="","",INDEX('List A'!$K$5:$K$204,IFERROR(MATCH(92,'List A'!$S$5:$S$204,0)+4,"")-4))=""),"",INDEX('List B'!$D$5:$D$204,IF(IFERROR(MATCH(92,'List A'!$S$5:$S$204,0)+4,"")="","",INDEX('List A'!$K$5:$K$204,IFERROR(MATCH(92,'List A'!$S$5:$S$204,0)+4,"")-4))-4))</f>
        <v/>
      </c>
      <c r="I96" s="52">
        <f>IF(IFERROR(MATCH(92,'List A'!$S$5:$S$204,0)+4,"")="","",INDEX('List A'!$N$5:$N$204,IFERROR(MATCH(92,'List A'!$S$5:$S$204,0)+4,"")-4))</f>
        <v/>
      </c>
      <c r="J96" s="53">
        <f>IF(IFERROR(MATCH(92,'List A'!$S$5:$S$204,0)+4,"")="","",INDEX('List A'!$O$5:$O$204,IFERROR(MATCH(92,'List A'!$S$5:$S$204,0)+4,"")-4))</f>
        <v/>
      </c>
    </row>
    <row r="97" ht="17" customHeight="1">
      <c r="A97" s="87">
        <f>IF(IFERROR(MATCH(93,'List A'!$S$5:$S$204,0)+4,"")="","",INDEX('List A'!$A$5:$A$204,IFERROR(MATCH(93,'List A'!$S$5:$S$204,0)+4,"")-4))</f>
        <v/>
      </c>
      <c r="B97" s="53">
        <f>IF(IFERROR(MATCH(93,'List A'!$S$5:$S$204,0)+4,"")="","",INDEX('List A'!$B$5:$B$204,IFERROR(MATCH(93,'List A'!$S$5:$S$204,0)+4,"")-4))</f>
        <v/>
      </c>
      <c r="C97" s="52">
        <f>IF(IFERROR(MATCH(93,'List A'!$S$5:$S$204,0)+4,"")="","",INDEX('List A'!$C$5:$C$204,IFERROR(MATCH(93,'List A'!$S$5:$S$204,0)+4,"")-4))</f>
        <v/>
      </c>
      <c r="D97" s="53">
        <f>IF(IFERROR(MATCH(93,'List A'!$S$5:$S$204,0)+4,"")="","",INDEX('List A'!$D$5:$D$204,IFERROR(MATCH(93,'List A'!$S$5:$S$204,0)+4,"")-4))</f>
        <v/>
      </c>
      <c r="E97" s="87">
        <f>IF(OR(IFERROR(MATCH(93,'List A'!$S$5:$S$204,0)+4,"")="",IF(IFERROR(MATCH(93,'List A'!$S$5:$S$204,0)+4,"")="","",INDEX('List A'!$K$5:$K$204,IFERROR(MATCH(93,'List A'!$S$5:$S$204,0)+4,"")-4))=""),"",INDEX('List B'!$A$5:$A$204,IF(IFERROR(MATCH(93,'List A'!$S$5:$S$204,0)+4,"")="","",INDEX('List A'!$K$5:$K$204,IFERROR(MATCH(93,'List A'!$S$5:$S$204,0)+4,"")-4))-4))</f>
        <v/>
      </c>
      <c r="F97" s="53">
        <f>IF(OR(IFERROR(MATCH(93,'List A'!$S$5:$S$204,0)+4,"")="",IF(IFERROR(MATCH(93,'List A'!$S$5:$S$204,0)+4,"")="","",INDEX('List A'!$K$5:$K$204,IFERROR(MATCH(93,'List A'!$S$5:$S$204,0)+4,"")-4))=""),"",INDEX('List B'!$B$5:$B$204,IF(IFERROR(MATCH(93,'List A'!$S$5:$S$204,0)+4,"")="","",INDEX('List A'!$K$5:$K$204,IFERROR(MATCH(93,'List A'!$S$5:$S$204,0)+4,"")-4))-4))</f>
        <v/>
      </c>
      <c r="G97" s="52">
        <f>IF(OR(IFERROR(MATCH(93,'List A'!$S$5:$S$204,0)+4,"")="",IF(IFERROR(MATCH(93,'List A'!$S$5:$S$204,0)+4,"")="","",INDEX('List A'!$K$5:$K$204,IFERROR(MATCH(93,'List A'!$S$5:$S$204,0)+4,"")-4))=""),"",INDEX('List B'!$C$5:$C$204,IF(IFERROR(MATCH(93,'List A'!$S$5:$S$204,0)+4,"")="","",INDEX('List A'!$K$5:$K$204,IFERROR(MATCH(93,'List A'!$S$5:$S$204,0)+4,"")-4))-4))</f>
        <v/>
      </c>
      <c r="H97" s="53">
        <f>IF(OR(IFERROR(MATCH(93,'List A'!$S$5:$S$204,0)+4,"")="",IF(IFERROR(MATCH(93,'List A'!$S$5:$S$204,0)+4,"")="","",INDEX('List A'!$K$5:$K$204,IFERROR(MATCH(93,'List A'!$S$5:$S$204,0)+4,"")-4))=""),"",INDEX('List B'!$D$5:$D$204,IF(IFERROR(MATCH(93,'List A'!$S$5:$S$204,0)+4,"")="","",INDEX('List A'!$K$5:$K$204,IFERROR(MATCH(93,'List A'!$S$5:$S$204,0)+4,"")-4))-4))</f>
        <v/>
      </c>
      <c r="I97" s="52">
        <f>IF(IFERROR(MATCH(93,'List A'!$S$5:$S$204,0)+4,"")="","",INDEX('List A'!$N$5:$N$204,IFERROR(MATCH(93,'List A'!$S$5:$S$204,0)+4,"")-4))</f>
        <v/>
      </c>
      <c r="J97" s="53">
        <f>IF(IFERROR(MATCH(93,'List A'!$S$5:$S$204,0)+4,"")="","",INDEX('List A'!$O$5:$O$204,IFERROR(MATCH(93,'List A'!$S$5:$S$204,0)+4,"")-4))</f>
        <v/>
      </c>
    </row>
    <row r="98" ht="17" customHeight="1">
      <c r="A98" s="87">
        <f>IF(IFERROR(MATCH(94,'List A'!$S$5:$S$204,0)+4,"")="","",INDEX('List A'!$A$5:$A$204,IFERROR(MATCH(94,'List A'!$S$5:$S$204,0)+4,"")-4))</f>
        <v/>
      </c>
      <c r="B98" s="53">
        <f>IF(IFERROR(MATCH(94,'List A'!$S$5:$S$204,0)+4,"")="","",INDEX('List A'!$B$5:$B$204,IFERROR(MATCH(94,'List A'!$S$5:$S$204,0)+4,"")-4))</f>
        <v/>
      </c>
      <c r="C98" s="52">
        <f>IF(IFERROR(MATCH(94,'List A'!$S$5:$S$204,0)+4,"")="","",INDEX('List A'!$C$5:$C$204,IFERROR(MATCH(94,'List A'!$S$5:$S$204,0)+4,"")-4))</f>
        <v/>
      </c>
      <c r="D98" s="53">
        <f>IF(IFERROR(MATCH(94,'List A'!$S$5:$S$204,0)+4,"")="","",INDEX('List A'!$D$5:$D$204,IFERROR(MATCH(94,'List A'!$S$5:$S$204,0)+4,"")-4))</f>
        <v/>
      </c>
      <c r="E98" s="87">
        <f>IF(OR(IFERROR(MATCH(94,'List A'!$S$5:$S$204,0)+4,"")="",IF(IFERROR(MATCH(94,'List A'!$S$5:$S$204,0)+4,"")="","",INDEX('List A'!$K$5:$K$204,IFERROR(MATCH(94,'List A'!$S$5:$S$204,0)+4,"")-4))=""),"",INDEX('List B'!$A$5:$A$204,IF(IFERROR(MATCH(94,'List A'!$S$5:$S$204,0)+4,"")="","",INDEX('List A'!$K$5:$K$204,IFERROR(MATCH(94,'List A'!$S$5:$S$204,0)+4,"")-4))-4))</f>
        <v/>
      </c>
      <c r="F98" s="53">
        <f>IF(OR(IFERROR(MATCH(94,'List A'!$S$5:$S$204,0)+4,"")="",IF(IFERROR(MATCH(94,'List A'!$S$5:$S$204,0)+4,"")="","",INDEX('List A'!$K$5:$K$204,IFERROR(MATCH(94,'List A'!$S$5:$S$204,0)+4,"")-4))=""),"",INDEX('List B'!$B$5:$B$204,IF(IFERROR(MATCH(94,'List A'!$S$5:$S$204,0)+4,"")="","",INDEX('List A'!$K$5:$K$204,IFERROR(MATCH(94,'List A'!$S$5:$S$204,0)+4,"")-4))-4))</f>
        <v/>
      </c>
      <c r="G98" s="52">
        <f>IF(OR(IFERROR(MATCH(94,'List A'!$S$5:$S$204,0)+4,"")="",IF(IFERROR(MATCH(94,'List A'!$S$5:$S$204,0)+4,"")="","",INDEX('List A'!$K$5:$K$204,IFERROR(MATCH(94,'List A'!$S$5:$S$204,0)+4,"")-4))=""),"",INDEX('List B'!$C$5:$C$204,IF(IFERROR(MATCH(94,'List A'!$S$5:$S$204,0)+4,"")="","",INDEX('List A'!$K$5:$K$204,IFERROR(MATCH(94,'List A'!$S$5:$S$204,0)+4,"")-4))-4))</f>
        <v/>
      </c>
      <c r="H98" s="53">
        <f>IF(OR(IFERROR(MATCH(94,'List A'!$S$5:$S$204,0)+4,"")="",IF(IFERROR(MATCH(94,'List A'!$S$5:$S$204,0)+4,"")="","",INDEX('List A'!$K$5:$K$204,IFERROR(MATCH(94,'List A'!$S$5:$S$204,0)+4,"")-4))=""),"",INDEX('List B'!$D$5:$D$204,IF(IFERROR(MATCH(94,'List A'!$S$5:$S$204,0)+4,"")="","",INDEX('List A'!$K$5:$K$204,IFERROR(MATCH(94,'List A'!$S$5:$S$204,0)+4,"")-4))-4))</f>
        <v/>
      </c>
      <c r="I98" s="52">
        <f>IF(IFERROR(MATCH(94,'List A'!$S$5:$S$204,0)+4,"")="","",INDEX('List A'!$N$5:$N$204,IFERROR(MATCH(94,'List A'!$S$5:$S$204,0)+4,"")-4))</f>
        <v/>
      </c>
      <c r="J98" s="53">
        <f>IF(IFERROR(MATCH(94,'List A'!$S$5:$S$204,0)+4,"")="","",INDEX('List A'!$O$5:$O$204,IFERROR(MATCH(94,'List A'!$S$5:$S$204,0)+4,"")-4))</f>
        <v/>
      </c>
    </row>
    <row r="99" ht="17" customHeight="1">
      <c r="A99" s="87">
        <f>IF(IFERROR(MATCH(95,'List A'!$S$5:$S$204,0)+4,"")="","",INDEX('List A'!$A$5:$A$204,IFERROR(MATCH(95,'List A'!$S$5:$S$204,0)+4,"")-4))</f>
        <v/>
      </c>
      <c r="B99" s="53">
        <f>IF(IFERROR(MATCH(95,'List A'!$S$5:$S$204,0)+4,"")="","",INDEX('List A'!$B$5:$B$204,IFERROR(MATCH(95,'List A'!$S$5:$S$204,0)+4,"")-4))</f>
        <v/>
      </c>
      <c r="C99" s="52">
        <f>IF(IFERROR(MATCH(95,'List A'!$S$5:$S$204,0)+4,"")="","",INDEX('List A'!$C$5:$C$204,IFERROR(MATCH(95,'List A'!$S$5:$S$204,0)+4,"")-4))</f>
        <v/>
      </c>
      <c r="D99" s="53">
        <f>IF(IFERROR(MATCH(95,'List A'!$S$5:$S$204,0)+4,"")="","",INDEX('List A'!$D$5:$D$204,IFERROR(MATCH(95,'List A'!$S$5:$S$204,0)+4,"")-4))</f>
        <v/>
      </c>
      <c r="E99" s="87">
        <f>IF(OR(IFERROR(MATCH(95,'List A'!$S$5:$S$204,0)+4,"")="",IF(IFERROR(MATCH(95,'List A'!$S$5:$S$204,0)+4,"")="","",INDEX('List A'!$K$5:$K$204,IFERROR(MATCH(95,'List A'!$S$5:$S$204,0)+4,"")-4))=""),"",INDEX('List B'!$A$5:$A$204,IF(IFERROR(MATCH(95,'List A'!$S$5:$S$204,0)+4,"")="","",INDEX('List A'!$K$5:$K$204,IFERROR(MATCH(95,'List A'!$S$5:$S$204,0)+4,"")-4))-4))</f>
        <v/>
      </c>
      <c r="F99" s="53">
        <f>IF(OR(IFERROR(MATCH(95,'List A'!$S$5:$S$204,0)+4,"")="",IF(IFERROR(MATCH(95,'List A'!$S$5:$S$204,0)+4,"")="","",INDEX('List A'!$K$5:$K$204,IFERROR(MATCH(95,'List A'!$S$5:$S$204,0)+4,"")-4))=""),"",INDEX('List B'!$B$5:$B$204,IF(IFERROR(MATCH(95,'List A'!$S$5:$S$204,0)+4,"")="","",INDEX('List A'!$K$5:$K$204,IFERROR(MATCH(95,'List A'!$S$5:$S$204,0)+4,"")-4))-4))</f>
        <v/>
      </c>
      <c r="G99" s="52">
        <f>IF(OR(IFERROR(MATCH(95,'List A'!$S$5:$S$204,0)+4,"")="",IF(IFERROR(MATCH(95,'List A'!$S$5:$S$204,0)+4,"")="","",INDEX('List A'!$K$5:$K$204,IFERROR(MATCH(95,'List A'!$S$5:$S$204,0)+4,"")-4))=""),"",INDEX('List B'!$C$5:$C$204,IF(IFERROR(MATCH(95,'List A'!$S$5:$S$204,0)+4,"")="","",INDEX('List A'!$K$5:$K$204,IFERROR(MATCH(95,'List A'!$S$5:$S$204,0)+4,"")-4))-4))</f>
        <v/>
      </c>
      <c r="H99" s="53">
        <f>IF(OR(IFERROR(MATCH(95,'List A'!$S$5:$S$204,0)+4,"")="",IF(IFERROR(MATCH(95,'List A'!$S$5:$S$204,0)+4,"")="","",INDEX('List A'!$K$5:$K$204,IFERROR(MATCH(95,'List A'!$S$5:$S$204,0)+4,"")-4))=""),"",INDEX('List B'!$D$5:$D$204,IF(IFERROR(MATCH(95,'List A'!$S$5:$S$204,0)+4,"")="","",INDEX('List A'!$K$5:$K$204,IFERROR(MATCH(95,'List A'!$S$5:$S$204,0)+4,"")-4))-4))</f>
        <v/>
      </c>
      <c r="I99" s="52">
        <f>IF(IFERROR(MATCH(95,'List A'!$S$5:$S$204,0)+4,"")="","",INDEX('List A'!$N$5:$N$204,IFERROR(MATCH(95,'List A'!$S$5:$S$204,0)+4,"")-4))</f>
        <v/>
      </c>
      <c r="J99" s="53">
        <f>IF(IFERROR(MATCH(95,'List A'!$S$5:$S$204,0)+4,"")="","",INDEX('List A'!$O$5:$O$204,IFERROR(MATCH(95,'List A'!$S$5:$S$204,0)+4,"")-4))</f>
        <v/>
      </c>
    </row>
    <row r="100" ht="17" customHeight="1">
      <c r="A100" s="87">
        <f>IF(IFERROR(MATCH(96,'List A'!$S$5:$S$204,0)+4,"")="","",INDEX('List A'!$A$5:$A$204,IFERROR(MATCH(96,'List A'!$S$5:$S$204,0)+4,"")-4))</f>
        <v/>
      </c>
      <c r="B100" s="53">
        <f>IF(IFERROR(MATCH(96,'List A'!$S$5:$S$204,0)+4,"")="","",INDEX('List A'!$B$5:$B$204,IFERROR(MATCH(96,'List A'!$S$5:$S$204,0)+4,"")-4))</f>
        <v/>
      </c>
      <c r="C100" s="52">
        <f>IF(IFERROR(MATCH(96,'List A'!$S$5:$S$204,0)+4,"")="","",INDEX('List A'!$C$5:$C$204,IFERROR(MATCH(96,'List A'!$S$5:$S$204,0)+4,"")-4))</f>
        <v/>
      </c>
      <c r="D100" s="53">
        <f>IF(IFERROR(MATCH(96,'List A'!$S$5:$S$204,0)+4,"")="","",INDEX('List A'!$D$5:$D$204,IFERROR(MATCH(96,'List A'!$S$5:$S$204,0)+4,"")-4))</f>
        <v/>
      </c>
      <c r="E100" s="87">
        <f>IF(OR(IFERROR(MATCH(96,'List A'!$S$5:$S$204,0)+4,"")="",IF(IFERROR(MATCH(96,'List A'!$S$5:$S$204,0)+4,"")="","",INDEX('List A'!$K$5:$K$204,IFERROR(MATCH(96,'List A'!$S$5:$S$204,0)+4,"")-4))=""),"",INDEX('List B'!$A$5:$A$204,IF(IFERROR(MATCH(96,'List A'!$S$5:$S$204,0)+4,"")="","",INDEX('List A'!$K$5:$K$204,IFERROR(MATCH(96,'List A'!$S$5:$S$204,0)+4,"")-4))-4))</f>
        <v/>
      </c>
      <c r="F100" s="53">
        <f>IF(OR(IFERROR(MATCH(96,'List A'!$S$5:$S$204,0)+4,"")="",IF(IFERROR(MATCH(96,'List A'!$S$5:$S$204,0)+4,"")="","",INDEX('List A'!$K$5:$K$204,IFERROR(MATCH(96,'List A'!$S$5:$S$204,0)+4,"")-4))=""),"",INDEX('List B'!$B$5:$B$204,IF(IFERROR(MATCH(96,'List A'!$S$5:$S$204,0)+4,"")="","",INDEX('List A'!$K$5:$K$204,IFERROR(MATCH(96,'List A'!$S$5:$S$204,0)+4,"")-4))-4))</f>
        <v/>
      </c>
      <c r="G100" s="52">
        <f>IF(OR(IFERROR(MATCH(96,'List A'!$S$5:$S$204,0)+4,"")="",IF(IFERROR(MATCH(96,'List A'!$S$5:$S$204,0)+4,"")="","",INDEX('List A'!$K$5:$K$204,IFERROR(MATCH(96,'List A'!$S$5:$S$204,0)+4,"")-4))=""),"",INDEX('List B'!$C$5:$C$204,IF(IFERROR(MATCH(96,'List A'!$S$5:$S$204,0)+4,"")="","",INDEX('List A'!$K$5:$K$204,IFERROR(MATCH(96,'List A'!$S$5:$S$204,0)+4,"")-4))-4))</f>
        <v/>
      </c>
      <c r="H100" s="53">
        <f>IF(OR(IFERROR(MATCH(96,'List A'!$S$5:$S$204,0)+4,"")="",IF(IFERROR(MATCH(96,'List A'!$S$5:$S$204,0)+4,"")="","",INDEX('List A'!$K$5:$K$204,IFERROR(MATCH(96,'List A'!$S$5:$S$204,0)+4,"")-4))=""),"",INDEX('List B'!$D$5:$D$204,IF(IFERROR(MATCH(96,'List A'!$S$5:$S$204,0)+4,"")="","",INDEX('List A'!$K$5:$K$204,IFERROR(MATCH(96,'List A'!$S$5:$S$204,0)+4,"")-4))-4))</f>
        <v/>
      </c>
      <c r="I100" s="52">
        <f>IF(IFERROR(MATCH(96,'List A'!$S$5:$S$204,0)+4,"")="","",INDEX('List A'!$N$5:$N$204,IFERROR(MATCH(96,'List A'!$S$5:$S$204,0)+4,"")-4))</f>
        <v/>
      </c>
      <c r="J100" s="53">
        <f>IF(IFERROR(MATCH(96,'List A'!$S$5:$S$204,0)+4,"")="","",INDEX('List A'!$O$5:$O$204,IFERROR(MATCH(96,'List A'!$S$5:$S$204,0)+4,"")-4))</f>
        <v/>
      </c>
    </row>
    <row r="101" ht="17" customHeight="1">
      <c r="A101" s="87">
        <f>IF(IFERROR(MATCH(97,'List A'!$S$5:$S$204,0)+4,"")="","",INDEX('List A'!$A$5:$A$204,IFERROR(MATCH(97,'List A'!$S$5:$S$204,0)+4,"")-4))</f>
        <v/>
      </c>
      <c r="B101" s="53">
        <f>IF(IFERROR(MATCH(97,'List A'!$S$5:$S$204,0)+4,"")="","",INDEX('List A'!$B$5:$B$204,IFERROR(MATCH(97,'List A'!$S$5:$S$204,0)+4,"")-4))</f>
        <v/>
      </c>
      <c r="C101" s="52">
        <f>IF(IFERROR(MATCH(97,'List A'!$S$5:$S$204,0)+4,"")="","",INDEX('List A'!$C$5:$C$204,IFERROR(MATCH(97,'List A'!$S$5:$S$204,0)+4,"")-4))</f>
        <v/>
      </c>
      <c r="D101" s="53">
        <f>IF(IFERROR(MATCH(97,'List A'!$S$5:$S$204,0)+4,"")="","",INDEX('List A'!$D$5:$D$204,IFERROR(MATCH(97,'List A'!$S$5:$S$204,0)+4,"")-4))</f>
        <v/>
      </c>
      <c r="E101" s="87">
        <f>IF(OR(IFERROR(MATCH(97,'List A'!$S$5:$S$204,0)+4,"")="",IF(IFERROR(MATCH(97,'List A'!$S$5:$S$204,0)+4,"")="","",INDEX('List A'!$K$5:$K$204,IFERROR(MATCH(97,'List A'!$S$5:$S$204,0)+4,"")-4))=""),"",INDEX('List B'!$A$5:$A$204,IF(IFERROR(MATCH(97,'List A'!$S$5:$S$204,0)+4,"")="","",INDEX('List A'!$K$5:$K$204,IFERROR(MATCH(97,'List A'!$S$5:$S$204,0)+4,"")-4))-4))</f>
        <v/>
      </c>
      <c r="F101" s="53">
        <f>IF(OR(IFERROR(MATCH(97,'List A'!$S$5:$S$204,0)+4,"")="",IF(IFERROR(MATCH(97,'List A'!$S$5:$S$204,0)+4,"")="","",INDEX('List A'!$K$5:$K$204,IFERROR(MATCH(97,'List A'!$S$5:$S$204,0)+4,"")-4))=""),"",INDEX('List B'!$B$5:$B$204,IF(IFERROR(MATCH(97,'List A'!$S$5:$S$204,0)+4,"")="","",INDEX('List A'!$K$5:$K$204,IFERROR(MATCH(97,'List A'!$S$5:$S$204,0)+4,"")-4))-4))</f>
        <v/>
      </c>
      <c r="G101" s="52">
        <f>IF(OR(IFERROR(MATCH(97,'List A'!$S$5:$S$204,0)+4,"")="",IF(IFERROR(MATCH(97,'List A'!$S$5:$S$204,0)+4,"")="","",INDEX('List A'!$K$5:$K$204,IFERROR(MATCH(97,'List A'!$S$5:$S$204,0)+4,"")-4))=""),"",INDEX('List B'!$C$5:$C$204,IF(IFERROR(MATCH(97,'List A'!$S$5:$S$204,0)+4,"")="","",INDEX('List A'!$K$5:$K$204,IFERROR(MATCH(97,'List A'!$S$5:$S$204,0)+4,"")-4))-4))</f>
        <v/>
      </c>
      <c r="H101" s="53">
        <f>IF(OR(IFERROR(MATCH(97,'List A'!$S$5:$S$204,0)+4,"")="",IF(IFERROR(MATCH(97,'List A'!$S$5:$S$204,0)+4,"")="","",INDEX('List A'!$K$5:$K$204,IFERROR(MATCH(97,'List A'!$S$5:$S$204,0)+4,"")-4))=""),"",INDEX('List B'!$D$5:$D$204,IF(IFERROR(MATCH(97,'List A'!$S$5:$S$204,0)+4,"")="","",INDEX('List A'!$K$5:$K$204,IFERROR(MATCH(97,'List A'!$S$5:$S$204,0)+4,"")-4))-4))</f>
        <v/>
      </c>
      <c r="I101" s="52">
        <f>IF(IFERROR(MATCH(97,'List A'!$S$5:$S$204,0)+4,"")="","",INDEX('List A'!$N$5:$N$204,IFERROR(MATCH(97,'List A'!$S$5:$S$204,0)+4,"")-4))</f>
        <v/>
      </c>
      <c r="J101" s="53">
        <f>IF(IFERROR(MATCH(97,'List A'!$S$5:$S$204,0)+4,"")="","",INDEX('List A'!$O$5:$O$204,IFERROR(MATCH(97,'List A'!$S$5:$S$204,0)+4,"")-4))</f>
        <v/>
      </c>
    </row>
    <row r="102" ht="17" customHeight="1">
      <c r="A102" s="87">
        <f>IF(IFERROR(MATCH(98,'List A'!$S$5:$S$204,0)+4,"")="","",INDEX('List A'!$A$5:$A$204,IFERROR(MATCH(98,'List A'!$S$5:$S$204,0)+4,"")-4))</f>
        <v/>
      </c>
      <c r="B102" s="53">
        <f>IF(IFERROR(MATCH(98,'List A'!$S$5:$S$204,0)+4,"")="","",INDEX('List A'!$B$5:$B$204,IFERROR(MATCH(98,'List A'!$S$5:$S$204,0)+4,"")-4))</f>
        <v/>
      </c>
      <c r="C102" s="52">
        <f>IF(IFERROR(MATCH(98,'List A'!$S$5:$S$204,0)+4,"")="","",INDEX('List A'!$C$5:$C$204,IFERROR(MATCH(98,'List A'!$S$5:$S$204,0)+4,"")-4))</f>
        <v/>
      </c>
      <c r="D102" s="53">
        <f>IF(IFERROR(MATCH(98,'List A'!$S$5:$S$204,0)+4,"")="","",INDEX('List A'!$D$5:$D$204,IFERROR(MATCH(98,'List A'!$S$5:$S$204,0)+4,"")-4))</f>
        <v/>
      </c>
      <c r="E102" s="87">
        <f>IF(OR(IFERROR(MATCH(98,'List A'!$S$5:$S$204,0)+4,"")="",IF(IFERROR(MATCH(98,'List A'!$S$5:$S$204,0)+4,"")="","",INDEX('List A'!$K$5:$K$204,IFERROR(MATCH(98,'List A'!$S$5:$S$204,0)+4,"")-4))=""),"",INDEX('List B'!$A$5:$A$204,IF(IFERROR(MATCH(98,'List A'!$S$5:$S$204,0)+4,"")="","",INDEX('List A'!$K$5:$K$204,IFERROR(MATCH(98,'List A'!$S$5:$S$204,0)+4,"")-4))-4))</f>
        <v/>
      </c>
      <c r="F102" s="53">
        <f>IF(OR(IFERROR(MATCH(98,'List A'!$S$5:$S$204,0)+4,"")="",IF(IFERROR(MATCH(98,'List A'!$S$5:$S$204,0)+4,"")="","",INDEX('List A'!$K$5:$K$204,IFERROR(MATCH(98,'List A'!$S$5:$S$204,0)+4,"")-4))=""),"",INDEX('List B'!$B$5:$B$204,IF(IFERROR(MATCH(98,'List A'!$S$5:$S$204,0)+4,"")="","",INDEX('List A'!$K$5:$K$204,IFERROR(MATCH(98,'List A'!$S$5:$S$204,0)+4,"")-4))-4))</f>
        <v/>
      </c>
      <c r="G102" s="52">
        <f>IF(OR(IFERROR(MATCH(98,'List A'!$S$5:$S$204,0)+4,"")="",IF(IFERROR(MATCH(98,'List A'!$S$5:$S$204,0)+4,"")="","",INDEX('List A'!$K$5:$K$204,IFERROR(MATCH(98,'List A'!$S$5:$S$204,0)+4,"")-4))=""),"",INDEX('List B'!$C$5:$C$204,IF(IFERROR(MATCH(98,'List A'!$S$5:$S$204,0)+4,"")="","",INDEX('List A'!$K$5:$K$204,IFERROR(MATCH(98,'List A'!$S$5:$S$204,0)+4,"")-4))-4))</f>
        <v/>
      </c>
      <c r="H102" s="53">
        <f>IF(OR(IFERROR(MATCH(98,'List A'!$S$5:$S$204,0)+4,"")="",IF(IFERROR(MATCH(98,'List A'!$S$5:$S$204,0)+4,"")="","",INDEX('List A'!$K$5:$K$204,IFERROR(MATCH(98,'List A'!$S$5:$S$204,0)+4,"")-4))=""),"",INDEX('List B'!$D$5:$D$204,IF(IFERROR(MATCH(98,'List A'!$S$5:$S$204,0)+4,"")="","",INDEX('List A'!$K$5:$K$204,IFERROR(MATCH(98,'List A'!$S$5:$S$204,0)+4,"")-4))-4))</f>
        <v/>
      </c>
      <c r="I102" s="52">
        <f>IF(IFERROR(MATCH(98,'List A'!$S$5:$S$204,0)+4,"")="","",INDEX('List A'!$N$5:$N$204,IFERROR(MATCH(98,'List A'!$S$5:$S$204,0)+4,"")-4))</f>
        <v/>
      </c>
      <c r="J102" s="53">
        <f>IF(IFERROR(MATCH(98,'List A'!$S$5:$S$204,0)+4,"")="","",INDEX('List A'!$O$5:$O$204,IFERROR(MATCH(98,'List A'!$S$5:$S$204,0)+4,"")-4))</f>
        <v/>
      </c>
    </row>
    <row r="103" ht="17" customHeight="1">
      <c r="A103" s="87">
        <f>IF(IFERROR(MATCH(99,'List A'!$S$5:$S$204,0)+4,"")="","",INDEX('List A'!$A$5:$A$204,IFERROR(MATCH(99,'List A'!$S$5:$S$204,0)+4,"")-4))</f>
        <v/>
      </c>
      <c r="B103" s="53">
        <f>IF(IFERROR(MATCH(99,'List A'!$S$5:$S$204,0)+4,"")="","",INDEX('List A'!$B$5:$B$204,IFERROR(MATCH(99,'List A'!$S$5:$S$204,0)+4,"")-4))</f>
        <v/>
      </c>
      <c r="C103" s="52">
        <f>IF(IFERROR(MATCH(99,'List A'!$S$5:$S$204,0)+4,"")="","",INDEX('List A'!$C$5:$C$204,IFERROR(MATCH(99,'List A'!$S$5:$S$204,0)+4,"")-4))</f>
        <v/>
      </c>
      <c r="D103" s="53">
        <f>IF(IFERROR(MATCH(99,'List A'!$S$5:$S$204,0)+4,"")="","",INDEX('List A'!$D$5:$D$204,IFERROR(MATCH(99,'List A'!$S$5:$S$204,0)+4,"")-4))</f>
        <v/>
      </c>
      <c r="E103" s="87">
        <f>IF(OR(IFERROR(MATCH(99,'List A'!$S$5:$S$204,0)+4,"")="",IF(IFERROR(MATCH(99,'List A'!$S$5:$S$204,0)+4,"")="","",INDEX('List A'!$K$5:$K$204,IFERROR(MATCH(99,'List A'!$S$5:$S$204,0)+4,"")-4))=""),"",INDEX('List B'!$A$5:$A$204,IF(IFERROR(MATCH(99,'List A'!$S$5:$S$204,0)+4,"")="","",INDEX('List A'!$K$5:$K$204,IFERROR(MATCH(99,'List A'!$S$5:$S$204,0)+4,"")-4))-4))</f>
        <v/>
      </c>
      <c r="F103" s="53">
        <f>IF(OR(IFERROR(MATCH(99,'List A'!$S$5:$S$204,0)+4,"")="",IF(IFERROR(MATCH(99,'List A'!$S$5:$S$204,0)+4,"")="","",INDEX('List A'!$K$5:$K$204,IFERROR(MATCH(99,'List A'!$S$5:$S$204,0)+4,"")-4))=""),"",INDEX('List B'!$B$5:$B$204,IF(IFERROR(MATCH(99,'List A'!$S$5:$S$204,0)+4,"")="","",INDEX('List A'!$K$5:$K$204,IFERROR(MATCH(99,'List A'!$S$5:$S$204,0)+4,"")-4))-4))</f>
        <v/>
      </c>
      <c r="G103" s="52">
        <f>IF(OR(IFERROR(MATCH(99,'List A'!$S$5:$S$204,0)+4,"")="",IF(IFERROR(MATCH(99,'List A'!$S$5:$S$204,0)+4,"")="","",INDEX('List A'!$K$5:$K$204,IFERROR(MATCH(99,'List A'!$S$5:$S$204,0)+4,"")-4))=""),"",INDEX('List B'!$C$5:$C$204,IF(IFERROR(MATCH(99,'List A'!$S$5:$S$204,0)+4,"")="","",INDEX('List A'!$K$5:$K$204,IFERROR(MATCH(99,'List A'!$S$5:$S$204,0)+4,"")-4))-4))</f>
        <v/>
      </c>
      <c r="H103" s="53">
        <f>IF(OR(IFERROR(MATCH(99,'List A'!$S$5:$S$204,0)+4,"")="",IF(IFERROR(MATCH(99,'List A'!$S$5:$S$204,0)+4,"")="","",INDEX('List A'!$K$5:$K$204,IFERROR(MATCH(99,'List A'!$S$5:$S$204,0)+4,"")-4))=""),"",INDEX('List B'!$D$5:$D$204,IF(IFERROR(MATCH(99,'List A'!$S$5:$S$204,0)+4,"")="","",INDEX('List A'!$K$5:$K$204,IFERROR(MATCH(99,'List A'!$S$5:$S$204,0)+4,"")-4))-4))</f>
        <v/>
      </c>
      <c r="I103" s="52">
        <f>IF(IFERROR(MATCH(99,'List A'!$S$5:$S$204,0)+4,"")="","",INDEX('List A'!$N$5:$N$204,IFERROR(MATCH(99,'List A'!$S$5:$S$204,0)+4,"")-4))</f>
        <v/>
      </c>
      <c r="J103" s="53">
        <f>IF(IFERROR(MATCH(99,'List A'!$S$5:$S$204,0)+4,"")="","",INDEX('List A'!$O$5:$O$204,IFERROR(MATCH(99,'List A'!$S$5:$S$204,0)+4,"")-4))</f>
        <v/>
      </c>
    </row>
    <row r="104" ht="17" customHeight="1">
      <c r="A104" s="87">
        <f>IF(IFERROR(MATCH(100,'List A'!$S$5:$S$204,0)+4,"")="","",INDEX('List A'!$A$5:$A$204,IFERROR(MATCH(100,'List A'!$S$5:$S$204,0)+4,"")-4))</f>
        <v/>
      </c>
      <c r="B104" s="53">
        <f>IF(IFERROR(MATCH(100,'List A'!$S$5:$S$204,0)+4,"")="","",INDEX('List A'!$B$5:$B$204,IFERROR(MATCH(100,'List A'!$S$5:$S$204,0)+4,"")-4))</f>
        <v/>
      </c>
      <c r="C104" s="52">
        <f>IF(IFERROR(MATCH(100,'List A'!$S$5:$S$204,0)+4,"")="","",INDEX('List A'!$C$5:$C$204,IFERROR(MATCH(100,'List A'!$S$5:$S$204,0)+4,"")-4))</f>
        <v/>
      </c>
      <c r="D104" s="53">
        <f>IF(IFERROR(MATCH(100,'List A'!$S$5:$S$204,0)+4,"")="","",INDEX('List A'!$D$5:$D$204,IFERROR(MATCH(100,'List A'!$S$5:$S$204,0)+4,"")-4))</f>
        <v/>
      </c>
      <c r="E104" s="87">
        <f>IF(OR(IFERROR(MATCH(100,'List A'!$S$5:$S$204,0)+4,"")="",IF(IFERROR(MATCH(100,'List A'!$S$5:$S$204,0)+4,"")="","",INDEX('List A'!$K$5:$K$204,IFERROR(MATCH(100,'List A'!$S$5:$S$204,0)+4,"")-4))=""),"",INDEX('List B'!$A$5:$A$204,IF(IFERROR(MATCH(100,'List A'!$S$5:$S$204,0)+4,"")="","",INDEX('List A'!$K$5:$K$204,IFERROR(MATCH(100,'List A'!$S$5:$S$204,0)+4,"")-4))-4))</f>
        <v/>
      </c>
      <c r="F104" s="53">
        <f>IF(OR(IFERROR(MATCH(100,'List A'!$S$5:$S$204,0)+4,"")="",IF(IFERROR(MATCH(100,'List A'!$S$5:$S$204,0)+4,"")="","",INDEX('List A'!$K$5:$K$204,IFERROR(MATCH(100,'List A'!$S$5:$S$204,0)+4,"")-4))=""),"",INDEX('List B'!$B$5:$B$204,IF(IFERROR(MATCH(100,'List A'!$S$5:$S$204,0)+4,"")="","",INDEX('List A'!$K$5:$K$204,IFERROR(MATCH(100,'List A'!$S$5:$S$204,0)+4,"")-4))-4))</f>
        <v/>
      </c>
      <c r="G104" s="52">
        <f>IF(OR(IFERROR(MATCH(100,'List A'!$S$5:$S$204,0)+4,"")="",IF(IFERROR(MATCH(100,'List A'!$S$5:$S$204,0)+4,"")="","",INDEX('List A'!$K$5:$K$204,IFERROR(MATCH(100,'List A'!$S$5:$S$204,0)+4,"")-4))=""),"",INDEX('List B'!$C$5:$C$204,IF(IFERROR(MATCH(100,'List A'!$S$5:$S$204,0)+4,"")="","",INDEX('List A'!$K$5:$K$204,IFERROR(MATCH(100,'List A'!$S$5:$S$204,0)+4,"")-4))-4))</f>
        <v/>
      </c>
      <c r="H104" s="53">
        <f>IF(OR(IFERROR(MATCH(100,'List A'!$S$5:$S$204,0)+4,"")="",IF(IFERROR(MATCH(100,'List A'!$S$5:$S$204,0)+4,"")="","",INDEX('List A'!$K$5:$K$204,IFERROR(MATCH(100,'List A'!$S$5:$S$204,0)+4,"")-4))=""),"",INDEX('List B'!$D$5:$D$204,IF(IFERROR(MATCH(100,'List A'!$S$5:$S$204,0)+4,"")="","",INDEX('List A'!$K$5:$K$204,IFERROR(MATCH(100,'List A'!$S$5:$S$204,0)+4,"")-4))-4))</f>
        <v/>
      </c>
      <c r="I104" s="52">
        <f>IF(IFERROR(MATCH(100,'List A'!$S$5:$S$204,0)+4,"")="","",INDEX('List A'!$N$5:$N$204,IFERROR(MATCH(100,'List A'!$S$5:$S$204,0)+4,"")-4))</f>
        <v/>
      </c>
      <c r="J104" s="53">
        <f>IF(IFERROR(MATCH(100,'List A'!$S$5:$S$204,0)+4,"")="","",INDEX('List A'!$O$5:$O$204,IFERROR(MATCH(100,'List A'!$S$5:$S$204,0)+4,"")-4))</f>
        <v/>
      </c>
    </row>
    <row r="105" ht="17" customHeight="1">
      <c r="A105" s="87">
        <f>IF(IFERROR(MATCH(101,'List A'!$S$5:$S$204,0)+4,"")="","",INDEX('List A'!$A$5:$A$204,IFERROR(MATCH(101,'List A'!$S$5:$S$204,0)+4,"")-4))</f>
        <v/>
      </c>
      <c r="B105" s="53">
        <f>IF(IFERROR(MATCH(101,'List A'!$S$5:$S$204,0)+4,"")="","",INDEX('List A'!$B$5:$B$204,IFERROR(MATCH(101,'List A'!$S$5:$S$204,0)+4,"")-4))</f>
        <v/>
      </c>
      <c r="C105" s="52">
        <f>IF(IFERROR(MATCH(101,'List A'!$S$5:$S$204,0)+4,"")="","",INDEX('List A'!$C$5:$C$204,IFERROR(MATCH(101,'List A'!$S$5:$S$204,0)+4,"")-4))</f>
        <v/>
      </c>
      <c r="D105" s="53">
        <f>IF(IFERROR(MATCH(101,'List A'!$S$5:$S$204,0)+4,"")="","",INDEX('List A'!$D$5:$D$204,IFERROR(MATCH(101,'List A'!$S$5:$S$204,0)+4,"")-4))</f>
        <v/>
      </c>
      <c r="E105" s="87">
        <f>IF(OR(IFERROR(MATCH(101,'List A'!$S$5:$S$204,0)+4,"")="",IF(IFERROR(MATCH(101,'List A'!$S$5:$S$204,0)+4,"")="","",INDEX('List A'!$K$5:$K$204,IFERROR(MATCH(101,'List A'!$S$5:$S$204,0)+4,"")-4))=""),"",INDEX('List B'!$A$5:$A$204,IF(IFERROR(MATCH(101,'List A'!$S$5:$S$204,0)+4,"")="","",INDEX('List A'!$K$5:$K$204,IFERROR(MATCH(101,'List A'!$S$5:$S$204,0)+4,"")-4))-4))</f>
        <v/>
      </c>
      <c r="F105" s="53">
        <f>IF(OR(IFERROR(MATCH(101,'List A'!$S$5:$S$204,0)+4,"")="",IF(IFERROR(MATCH(101,'List A'!$S$5:$S$204,0)+4,"")="","",INDEX('List A'!$K$5:$K$204,IFERROR(MATCH(101,'List A'!$S$5:$S$204,0)+4,"")-4))=""),"",INDEX('List B'!$B$5:$B$204,IF(IFERROR(MATCH(101,'List A'!$S$5:$S$204,0)+4,"")="","",INDEX('List A'!$K$5:$K$204,IFERROR(MATCH(101,'List A'!$S$5:$S$204,0)+4,"")-4))-4))</f>
        <v/>
      </c>
      <c r="G105" s="52">
        <f>IF(OR(IFERROR(MATCH(101,'List A'!$S$5:$S$204,0)+4,"")="",IF(IFERROR(MATCH(101,'List A'!$S$5:$S$204,0)+4,"")="","",INDEX('List A'!$K$5:$K$204,IFERROR(MATCH(101,'List A'!$S$5:$S$204,0)+4,"")-4))=""),"",INDEX('List B'!$C$5:$C$204,IF(IFERROR(MATCH(101,'List A'!$S$5:$S$204,0)+4,"")="","",INDEX('List A'!$K$5:$K$204,IFERROR(MATCH(101,'List A'!$S$5:$S$204,0)+4,"")-4))-4))</f>
        <v/>
      </c>
      <c r="H105" s="53">
        <f>IF(OR(IFERROR(MATCH(101,'List A'!$S$5:$S$204,0)+4,"")="",IF(IFERROR(MATCH(101,'List A'!$S$5:$S$204,0)+4,"")="","",INDEX('List A'!$K$5:$K$204,IFERROR(MATCH(101,'List A'!$S$5:$S$204,0)+4,"")-4))=""),"",INDEX('List B'!$D$5:$D$204,IF(IFERROR(MATCH(101,'List A'!$S$5:$S$204,0)+4,"")="","",INDEX('List A'!$K$5:$K$204,IFERROR(MATCH(101,'List A'!$S$5:$S$204,0)+4,"")-4))-4))</f>
        <v/>
      </c>
      <c r="I105" s="52">
        <f>IF(IFERROR(MATCH(101,'List A'!$S$5:$S$204,0)+4,"")="","",INDEX('List A'!$N$5:$N$204,IFERROR(MATCH(101,'List A'!$S$5:$S$204,0)+4,"")-4))</f>
        <v/>
      </c>
      <c r="J105" s="53">
        <f>IF(IFERROR(MATCH(101,'List A'!$S$5:$S$204,0)+4,"")="","",INDEX('List A'!$O$5:$O$204,IFERROR(MATCH(101,'List A'!$S$5:$S$204,0)+4,"")-4))</f>
        <v/>
      </c>
    </row>
    <row r="106" ht="17" customHeight="1">
      <c r="A106" s="87">
        <f>IF(IFERROR(MATCH(102,'List A'!$S$5:$S$204,0)+4,"")="","",INDEX('List A'!$A$5:$A$204,IFERROR(MATCH(102,'List A'!$S$5:$S$204,0)+4,"")-4))</f>
        <v/>
      </c>
      <c r="B106" s="53">
        <f>IF(IFERROR(MATCH(102,'List A'!$S$5:$S$204,0)+4,"")="","",INDEX('List A'!$B$5:$B$204,IFERROR(MATCH(102,'List A'!$S$5:$S$204,0)+4,"")-4))</f>
        <v/>
      </c>
      <c r="C106" s="52">
        <f>IF(IFERROR(MATCH(102,'List A'!$S$5:$S$204,0)+4,"")="","",INDEX('List A'!$C$5:$C$204,IFERROR(MATCH(102,'List A'!$S$5:$S$204,0)+4,"")-4))</f>
        <v/>
      </c>
      <c r="D106" s="53">
        <f>IF(IFERROR(MATCH(102,'List A'!$S$5:$S$204,0)+4,"")="","",INDEX('List A'!$D$5:$D$204,IFERROR(MATCH(102,'List A'!$S$5:$S$204,0)+4,"")-4))</f>
        <v/>
      </c>
      <c r="E106" s="87">
        <f>IF(OR(IFERROR(MATCH(102,'List A'!$S$5:$S$204,0)+4,"")="",IF(IFERROR(MATCH(102,'List A'!$S$5:$S$204,0)+4,"")="","",INDEX('List A'!$K$5:$K$204,IFERROR(MATCH(102,'List A'!$S$5:$S$204,0)+4,"")-4))=""),"",INDEX('List B'!$A$5:$A$204,IF(IFERROR(MATCH(102,'List A'!$S$5:$S$204,0)+4,"")="","",INDEX('List A'!$K$5:$K$204,IFERROR(MATCH(102,'List A'!$S$5:$S$204,0)+4,"")-4))-4))</f>
        <v/>
      </c>
      <c r="F106" s="53">
        <f>IF(OR(IFERROR(MATCH(102,'List A'!$S$5:$S$204,0)+4,"")="",IF(IFERROR(MATCH(102,'List A'!$S$5:$S$204,0)+4,"")="","",INDEX('List A'!$K$5:$K$204,IFERROR(MATCH(102,'List A'!$S$5:$S$204,0)+4,"")-4))=""),"",INDEX('List B'!$B$5:$B$204,IF(IFERROR(MATCH(102,'List A'!$S$5:$S$204,0)+4,"")="","",INDEX('List A'!$K$5:$K$204,IFERROR(MATCH(102,'List A'!$S$5:$S$204,0)+4,"")-4))-4))</f>
        <v/>
      </c>
      <c r="G106" s="52">
        <f>IF(OR(IFERROR(MATCH(102,'List A'!$S$5:$S$204,0)+4,"")="",IF(IFERROR(MATCH(102,'List A'!$S$5:$S$204,0)+4,"")="","",INDEX('List A'!$K$5:$K$204,IFERROR(MATCH(102,'List A'!$S$5:$S$204,0)+4,"")-4))=""),"",INDEX('List B'!$C$5:$C$204,IF(IFERROR(MATCH(102,'List A'!$S$5:$S$204,0)+4,"")="","",INDEX('List A'!$K$5:$K$204,IFERROR(MATCH(102,'List A'!$S$5:$S$204,0)+4,"")-4))-4))</f>
        <v/>
      </c>
      <c r="H106" s="53">
        <f>IF(OR(IFERROR(MATCH(102,'List A'!$S$5:$S$204,0)+4,"")="",IF(IFERROR(MATCH(102,'List A'!$S$5:$S$204,0)+4,"")="","",INDEX('List A'!$K$5:$K$204,IFERROR(MATCH(102,'List A'!$S$5:$S$204,0)+4,"")-4))=""),"",INDEX('List B'!$D$5:$D$204,IF(IFERROR(MATCH(102,'List A'!$S$5:$S$204,0)+4,"")="","",INDEX('List A'!$K$5:$K$204,IFERROR(MATCH(102,'List A'!$S$5:$S$204,0)+4,"")-4))-4))</f>
        <v/>
      </c>
      <c r="I106" s="52">
        <f>IF(IFERROR(MATCH(102,'List A'!$S$5:$S$204,0)+4,"")="","",INDEX('List A'!$N$5:$N$204,IFERROR(MATCH(102,'List A'!$S$5:$S$204,0)+4,"")-4))</f>
        <v/>
      </c>
      <c r="J106" s="53">
        <f>IF(IFERROR(MATCH(102,'List A'!$S$5:$S$204,0)+4,"")="","",INDEX('List A'!$O$5:$O$204,IFERROR(MATCH(102,'List A'!$S$5:$S$204,0)+4,"")-4))</f>
        <v/>
      </c>
    </row>
    <row r="107" ht="17" customHeight="1">
      <c r="A107" s="87">
        <f>IF(IFERROR(MATCH(103,'List A'!$S$5:$S$204,0)+4,"")="","",INDEX('List A'!$A$5:$A$204,IFERROR(MATCH(103,'List A'!$S$5:$S$204,0)+4,"")-4))</f>
        <v/>
      </c>
      <c r="B107" s="53">
        <f>IF(IFERROR(MATCH(103,'List A'!$S$5:$S$204,0)+4,"")="","",INDEX('List A'!$B$5:$B$204,IFERROR(MATCH(103,'List A'!$S$5:$S$204,0)+4,"")-4))</f>
        <v/>
      </c>
      <c r="C107" s="52">
        <f>IF(IFERROR(MATCH(103,'List A'!$S$5:$S$204,0)+4,"")="","",INDEX('List A'!$C$5:$C$204,IFERROR(MATCH(103,'List A'!$S$5:$S$204,0)+4,"")-4))</f>
        <v/>
      </c>
      <c r="D107" s="53">
        <f>IF(IFERROR(MATCH(103,'List A'!$S$5:$S$204,0)+4,"")="","",INDEX('List A'!$D$5:$D$204,IFERROR(MATCH(103,'List A'!$S$5:$S$204,0)+4,"")-4))</f>
        <v/>
      </c>
      <c r="E107" s="87">
        <f>IF(OR(IFERROR(MATCH(103,'List A'!$S$5:$S$204,0)+4,"")="",IF(IFERROR(MATCH(103,'List A'!$S$5:$S$204,0)+4,"")="","",INDEX('List A'!$K$5:$K$204,IFERROR(MATCH(103,'List A'!$S$5:$S$204,0)+4,"")-4))=""),"",INDEX('List B'!$A$5:$A$204,IF(IFERROR(MATCH(103,'List A'!$S$5:$S$204,0)+4,"")="","",INDEX('List A'!$K$5:$K$204,IFERROR(MATCH(103,'List A'!$S$5:$S$204,0)+4,"")-4))-4))</f>
        <v/>
      </c>
      <c r="F107" s="53">
        <f>IF(OR(IFERROR(MATCH(103,'List A'!$S$5:$S$204,0)+4,"")="",IF(IFERROR(MATCH(103,'List A'!$S$5:$S$204,0)+4,"")="","",INDEX('List A'!$K$5:$K$204,IFERROR(MATCH(103,'List A'!$S$5:$S$204,0)+4,"")-4))=""),"",INDEX('List B'!$B$5:$B$204,IF(IFERROR(MATCH(103,'List A'!$S$5:$S$204,0)+4,"")="","",INDEX('List A'!$K$5:$K$204,IFERROR(MATCH(103,'List A'!$S$5:$S$204,0)+4,"")-4))-4))</f>
        <v/>
      </c>
      <c r="G107" s="52">
        <f>IF(OR(IFERROR(MATCH(103,'List A'!$S$5:$S$204,0)+4,"")="",IF(IFERROR(MATCH(103,'List A'!$S$5:$S$204,0)+4,"")="","",INDEX('List A'!$K$5:$K$204,IFERROR(MATCH(103,'List A'!$S$5:$S$204,0)+4,"")-4))=""),"",INDEX('List B'!$C$5:$C$204,IF(IFERROR(MATCH(103,'List A'!$S$5:$S$204,0)+4,"")="","",INDEX('List A'!$K$5:$K$204,IFERROR(MATCH(103,'List A'!$S$5:$S$204,0)+4,"")-4))-4))</f>
        <v/>
      </c>
      <c r="H107" s="53">
        <f>IF(OR(IFERROR(MATCH(103,'List A'!$S$5:$S$204,0)+4,"")="",IF(IFERROR(MATCH(103,'List A'!$S$5:$S$204,0)+4,"")="","",INDEX('List A'!$K$5:$K$204,IFERROR(MATCH(103,'List A'!$S$5:$S$204,0)+4,"")-4))=""),"",INDEX('List B'!$D$5:$D$204,IF(IFERROR(MATCH(103,'List A'!$S$5:$S$204,0)+4,"")="","",INDEX('List A'!$K$5:$K$204,IFERROR(MATCH(103,'List A'!$S$5:$S$204,0)+4,"")-4))-4))</f>
        <v/>
      </c>
      <c r="I107" s="52">
        <f>IF(IFERROR(MATCH(103,'List A'!$S$5:$S$204,0)+4,"")="","",INDEX('List A'!$N$5:$N$204,IFERROR(MATCH(103,'List A'!$S$5:$S$204,0)+4,"")-4))</f>
        <v/>
      </c>
      <c r="J107" s="53">
        <f>IF(IFERROR(MATCH(103,'List A'!$S$5:$S$204,0)+4,"")="","",INDEX('List A'!$O$5:$O$204,IFERROR(MATCH(103,'List A'!$S$5:$S$204,0)+4,"")-4))</f>
        <v/>
      </c>
    </row>
    <row r="108" ht="17" customHeight="1">
      <c r="A108" s="87">
        <f>IF(IFERROR(MATCH(104,'List A'!$S$5:$S$204,0)+4,"")="","",INDEX('List A'!$A$5:$A$204,IFERROR(MATCH(104,'List A'!$S$5:$S$204,0)+4,"")-4))</f>
        <v/>
      </c>
      <c r="B108" s="53">
        <f>IF(IFERROR(MATCH(104,'List A'!$S$5:$S$204,0)+4,"")="","",INDEX('List A'!$B$5:$B$204,IFERROR(MATCH(104,'List A'!$S$5:$S$204,0)+4,"")-4))</f>
        <v/>
      </c>
      <c r="C108" s="52">
        <f>IF(IFERROR(MATCH(104,'List A'!$S$5:$S$204,0)+4,"")="","",INDEX('List A'!$C$5:$C$204,IFERROR(MATCH(104,'List A'!$S$5:$S$204,0)+4,"")-4))</f>
        <v/>
      </c>
      <c r="D108" s="53">
        <f>IF(IFERROR(MATCH(104,'List A'!$S$5:$S$204,0)+4,"")="","",INDEX('List A'!$D$5:$D$204,IFERROR(MATCH(104,'List A'!$S$5:$S$204,0)+4,"")-4))</f>
        <v/>
      </c>
      <c r="E108" s="87">
        <f>IF(OR(IFERROR(MATCH(104,'List A'!$S$5:$S$204,0)+4,"")="",IF(IFERROR(MATCH(104,'List A'!$S$5:$S$204,0)+4,"")="","",INDEX('List A'!$K$5:$K$204,IFERROR(MATCH(104,'List A'!$S$5:$S$204,0)+4,"")-4))=""),"",INDEX('List B'!$A$5:$A$204,IF(IFERROR(MATCH(104,'List A'!$S$5:$S$204,0)+4,"")="","",INDEX('List A'!$K$5:$K$204,IFERROR(MATCH(104,'List A'!$S$5:$S$204,0)+4,"")-4))-4))</f>
        <v/>
      </c>
      <c r="F108" s="53">
        <f>IF(OR(IFERROR(MATCH(104,'List A'!$S$5:$S$204,0)+4,"")="",IF(IFERROR(MATCH(104,'List A'!$S$5:$S$204,0)+4,"")="","",INDEX('List A'!$K$5:$K$204,IFERROR(MATCH(104,'List A'!$S$5:$S$204,0)+4,"")-4))=""),"",INDEX('List B'!$B$5:$B$204,IF(IFERROR(MATCH(104,'List A'!$S$5:$S$204,0)+4,"")="","",INDEX('List A'!$K$5:$K$204,IFERROR(MATCH(104,'List A'!$S$5:$S$204,0)+4,"")-4))-4))</f>
        <v/>
      </c>
      <c r="G108" s="52">
        <f>IF(OR(IFERROR(MATCH(104,'List A'!$S$5:$S$204,0)+4,"")="",IF(IFERROR(MATCH(104,'List A'!$S$5:$S$204,0)+4,"")="","",INDEX('List A'!$K$5:$K$204,IFERROR(MATCH(104,'List A'!$S$5:$S$204,0)+4,"")-4))=""),"",INDEX('List B'!$C$5:$C$204,IF(IFERROR(MATCH(104,'List A'!$S$5:$S$204,0)+4,"")="","",INDEX('List A'!$K$5:$K$204,IFERROR(MATCH(104,'List A'!$S$5:$S$204,0)+4,"")-4))-4))</f>
        <v/>
      </c>
      <c r="H108" s="53">
        <f>IF(OR(IFERROR(MATCH(104,'List A'!$S$5:$S$204,0)+4,"")="",IF(IFERROR(MATCH(104,'List A'!$S$5:$S$204,0)+4,"")="","",INDEX('List A'!$K$5:$K$204,IFERROR(MATCH(104,'List A'!$S$5:$S$204,0)+4,"")-4))=""),"",INDEX('List B'!$D$5:$D$204,IF(IFERROR(MATCH(104,'List A'!$S$5:$S$204,0)+4,"")="","",INDEX('List A'!$K$5:$K$204,IFERROR(MATCH(104,'List A'!$S$5:$S$204,0)+4,"")-4))-4))</f>
        <v/>
      </c>
      <c r="I108" s="52">
        <f>IF(IFERROR(MATCH(104,'List A'!$S$5:$S$204,0)+4,"")="","",INDEX('List A'!$N$5:$N$204,IFERROR(MATCH(104,'List A'!$S$5:$S$204,0)+4,"")-4))</f>
        <v/>
      </c>
      <c r="J108" s="53">
        <f>IF(IFERROR(MATCH(104,'List A'!$S$5:$S$204,0)+4,"")="","",INDEX('List A'!$O$5:$O$204,IFERROR(MATCH(104,'List A'!$S$5:$S$204,0)+4,"")-4))</f>
        <v/>
      </c>
    </row>
    <row r="109" ht="17" customHeight="1">
      <c r="A109" s="87">
        <f>IF(IFERROR(MATCH(105,'List A'!$S$5:$S$204,0)+4,"")="","",INDEX('List A'!$A$5:$A$204,IFERROR(MATCH(105,'List A'!$S$5:$S$204,0)+4,"")-4))</f>
        <v/>
      </c>
      <c r="B109" s="53">
        <f>IF(IFERROR(MATCH(105,'List A'!$S$5:$S$204,0)+4,"")="","",INDEX('List A'!$B$5:$B$204,IFERROR(MATCH(105,'List A'!$S$5:$S$204,0)+4,"")-4))</f>
        <v/>
      </c>
      <c r="C109" s="52">
        <f>IF(IFERROR(MATCH(105,'List A'!$S$5:$S$204,0)+4,"")="","",INDEX('List A'!$C$5:$C$204,IFERROR(MATCH(105,'List A'!$S$5:$S$204,0)+4,"")-4))</f>
        <v/>
      </c>
      <c r="D109" s="53">
        <f>IF(IFERROR(MATCH(105,'List A'!$S$5:$S$204,0)+4,"")="","",INDEX('List A'!$D$5:$D$204,IFERROR(MATCH(105,'List A'!$S$5:$S$204,0)+4,"")-4))</f>
        <v/>
      </c>
      <c r="E109" s="87">
        <f>IF(OR(IFERROR(MATCH(105,'List A'!$S$5:$S$204,0)+4,"")="",IF(IFERROR(MATCH(105,'List A'!$S$5:$S$204,0)+4,"")="","",INDEX('List A'!$K$5:$K$204,IFERROR(MATCH(105,'List A'!$S$5:$S$204,0)+4,"")-4))=""),"",INDEX('List B'!$A$5:$A$204,IF(IFERROR(MATCH(105,'List A'!$S$5:$S$204,0)+4,"")="","",INDEX('List A'!$K$5:$K$204,IFERROR(MATCH(105,'List A'!$S$5:$S$204,0)+4,"")-4))-4))</f>
        <v/>
      </c>
      <c r="F109" s="53">
        <f>IF(OR(IFERROR(MATCH(105,'List A'!$S$5:$S$204,0)+4,"")="",IF(IFERROR(MATCH(105,'List A'!$S$5:$S$204,0)+4,"")="","",INDEX('List A'!$K$5:$K$204,IFERROR(MATCH(105,'List A'!$S$5:$S$204,0)+4,"")-4))=""),"",INDEX('List B'!$B$5:$B$204,IF(IFERROR(MATCH(105,'List A'!$S$5:$S$204,0)+4,"")="","",INDEX('List A'!$K$5:$K$204,IFERROR(MATCH(105,'List A'!$S$5:$S$204,0)+4,"")-4))-4))</f>
        <v/>
      </c>
      <c r="G109" s="52">
        <f>IF(OR(IFERROR(MATCH(105,'List A'!$S$5:$S$204,0)+4,"")="",IF(IFERROR(MATCH(105,'List A'!$S$5:$S$204,0)+4,"")="","",INDEX('List A'!$K$5:$K$204,IFERROR(MATCH(105,'List A'!$S$5:$S$204,0)+4,"")-4))=""),"",INDEX('List B'!$C$5:$C$204,IF(IFERROR(MATCH(105,'List A'!$S$5:$S$204,0)+4,"")="","",INDEX('List A'!$K$5:$K$204,IFERROR(MATCH(105,'List A'!$S$5:$S$204,0)+4,"")-4))-4))</f>
        <v/>
      </c>
      <c r="H109" s="53">
        <f>IF(OR(IFERROR(MATCH(105,'List A'!$S$5:$S$204,0)+4,"")="",IF(IFERROR(MATCH(105,'List A'!$S$5:$S$204,0)+4,"")="","",INDEX('List A'!$K$5:$K$204,IFERROR(MATCH(105,'List A'!$S$5:$S$204,0)+4,"")-4))=""),"",INDEX('List B'!$D$5:$D$204,IF(IFERROR(MATCH(105,'List A'!$S$5:$S$204,0)+4,"")="","",INDEX('List A'!$K$5:$K$204,IFERROR(MATCH(105,'List A'!$S$5:$S$204,0)+4,"")-4))-4))</f>
        <v/>
      </c>
      <c r="I109" s="52">
        <f>IF(IFERROR(MATCH(105,'List A'!$S$5:$S$204,0)+4,"")="","",INDEX('List A'!$N$5:$N$204,IFERROR(MATCH(105,'List A'!$S$5:$S$204,0)+4,"")-4))</f>
        <v/>
      </c>
      <c r="J109" s="53">
        <f>IF(IFERROR(MATCH(105,'List A'!$S$5:$S$204,0)+4,"")="","",INDEX('List A'!$O$5:$O$204,IFERROR(MATCH(105,'List A'!$S$5:$S$204,0)+4,"")-4))</f>
        <v/>
      </c>
    </row>
    <row r="110" ht="17" customHeight="1">
      <c r="A110" s="87">
        <f>IF(IFERROR(MATCH(106,'List A'!$S$5:$S$204,0)+4,"")="","",INDEX('List A'!$A$5:$A$204,IFERROR(MATCH(106,'List A'!$S$5:$S$204,0)+4,"")-4))</f>
        <v/>
      </c>
      <c r="B110" s="53">
        <f>IF(IFERROR(MATCH(106,'List A'!$S$5:$S$204,0)+4,"")="","",INDEX('List A'!$B$5:$B$204,IFERROR(MATCH(106,'List A'!$S$5:$S$204,0)+4,"")-4))</f>
        <v/>
      </c>
      <c r="C110" s="52">
        <f>IF(IFERROR(MATCH(106,'List A'!$S$5:$S$204,0)+4,"")="","",INDEX('List A'!$C$5:$C$204,IFERROR(MATCH(106,'List A'!$S$5:$S$204,0)+4,"")-4))</f>
        <v/>
      </c>
      <c r="D110" s="53">
        <f>IF(IFERROR(MATCH(106,'List A'!$S$5:$S$204,0)+4,"")="","",INDEX('List A'!$D$5:$D$204,IFERROR(MATCH(106,'List A'!$S$5:$S$204,0)+4,"")-4))</f>
        <v/>
      </c>
      <c r="E110" s="87">
        <f>IF(OR(IFERROR(MATCH(106,'List A'!$S$5:$S$204,0)+4,"")="",IF(IFERROR(MATCH(106,'List A'!$S$5:$S$204,0)+4,"")="","",INDEX('List A'!$K$5:$K$204,IFERROR(MATCH(106,'List A'!$S$5:$S$204,0)+4,"")-4))=""),"",INDEX('List B'!$A$5:$A$204,IF(IFERROR(MATCH(106,'List A'!$S$5:$S$204,0)+4,"")="","",INDEX('List A'!$K$5:$K$204,IFERROR(MATCH(106,'List A'!$S$5:$S$204,0)+4,"")-4))-4))</f>
        <v/>
      </c>
      <c r="F110" s="53">
        <f>IF(OR(IFERROR(MATCH(106,'List A'!$S$5:$S$204,0)+4,"")="",IF(IFERROR(MATCH(106,'List A'!$S$5:$S$204,0)+4,"")="","",INDEX('List A'!$K$5:$K$204,IFERROR(MATCH(106,'List A'!$S$5:$S$204,0)+4,"")-4))=""),"",INDEX('List B'!$B$5:$B$204,IF(IFERROR(MATCH(106,'List A'!$S$5:$S$204,0)+4,"")="","",INDEX('List A'!$K$5:$K$204,IFERROR(MATCH(106,'List A'!$S$5:$S$204,0)+4,"")-4))-4))</f>
        <v/>
      </c>
      <c r="G110" s="52">
        <f>IF(OR(IFERROR(MATCH(106,'List A'!$S$5:$S$204,0)+4,"")="",IF(IFERROR(MATCH(106,'List A'!$S$5:$S$204,0)+4,"")="","",INDEX('List A'!$K$5:$K$204,IFERROR(MATCH(106,'List A'!$S$5:$S$204,0)+4,"")-4))=""),"",INDEX('List B'!$C$5:$C$204,IF(IFERROR(MATCH(106,'List A'!$S$5:$S$204,0)+4,"")="","",INDEX('List A'!$K$5:$K$204,IFERROR(MATCH(106,'List A'!$S$5:$S$204,0)+4,"")-4))-4))</f>
        <v/>
      </c>
      <c r="H110" s="53">
        <f>IF(OR(IFERROR(MATCH(106,'List A'!$S$5:$S$204,0)+4,"")="",IF(IFERROR(MATCH(106,'List A'!$S$5:$S$204,0)+4,"")="","",INDEX('List A'!$K$5:$K$204,IFERROR(MATCH(106,'List A'!$S$5:$S$204,0)+4,"")-4))=""),"",INDEX('List B'!$D$5:$D$204,IF(IFERROR(MATCH(106,'List A'!$S$5:$S$204,0)+4,"")="","",INDEX('List A'!$K$5:$K$204,IFERROR(MATCH(106,'List A'!$S$5:$S$204,0)+4,"")-4))-4))</f>
        <v/>
      </c>
      <c r="I110" s="52">
        <f>IF(IFERROR(MATCH(106,'List A'!$S$5:$S$204,0)+4,"")="","",INDEX('List A'!$N$5:$N$204,IFERROR(MATCH(106,'List A'!$S$5:$S$204,0)+4,"")-4))</f>
        <v/>
      </c>
      <c r="J110" s="53">
        <f>IF(IFERROR(MATCH(106,'List A'!$S$5:$S$204,0)+4,"")="","",INDEX('List A'!$O$5:$O$204,IFERROR(MATCH(106,'List A'!$S$5:$S$204,0)+4,"")-4))</f>
        <v/>
      </c>
    </row>
    <row r="111" ht="17" customHeight="1">
      <c r="A111" s="87">
        <f>IF(IFERROR(MATCH(107,'List A'!$S$5:$S$204,0)+4,"")="","",INDEX('List A'!$A$5:$A$204,IFERROR(MATCH(107,'List A'!$S$5:$S$204,0)+4,"")-4))</f>
        <v/>
      </c>
      <c r="B111" s="53">
        <f>IF(IFERROR(MATCH(107,'List A'!$S$5:$S$204,0)+4,"")="","",INDEX('List A'!$B$5:$B$204,IFERROR(MATCH(107,'List A'!$S$5:$S$204,0)+4,"")-4))</f>
        <v/>
      </c>
      <c r="C111" s="52">
        <f>IF(IFERROR(MATCH(107,'List A'!$S$5:$S$204,0)+4,"")="","",INDEX('List A'!$C$5:$C$204,IFERROR(MATCH(107,'List A'!$S$5:$S$204,0)+4,"")-4))</f>
        <v/>
      </c>
      <c r="D111" s="53">
        <f>IF(IFERROR(MATCH(107,'List A'!$S$5:$S$204,0)+4,"")="","",INDEX('List A'!$D$5:$D$204,IFERROR(MATCH(107,'List A'!$S$5:$S$204,0)+4,"")-4))</f>
        <v/>
      </c>
      <c r="E111" s="87">
        <f>IF(OR(IFERROR(MATCH(107,'List A'!$S$5:$S$204,0)+4,"")="",IF(IFERROR(MATCH(107,'List A'!$S$5:$S$204,0)+4,"")="","",INDEX('List A'!$K$5:$K$204,IFERROR(MATCH(107,'List A'!$S$5:$S$204,0)+4,"")-4))=""),"",INDEX('List B'!$A$5:$A$204,IF(IFERROR(MATCH(107,'List A'!$S$5:$S$204,0)+4,"")="","",INDEX('List A'!$K$5:$K$204,IFERROR(MATCH(107,'List A'!$S$5:$S$204,0)+4,"")-4))-4))</f>
        <v/>
      </c>
      <c r="F111" s="53">
        <f>IF(OR(IFERROR(MATCH(107,'List A'!$S$5:$S$204,0)+4,"")="",IF(IFERROR(MATCH(107,'List A'!$S$5:$S$204,0)+4,"")="","",INDEX('List A'!$K$5:$K$204,IFERROR(MATCH(107,'List A'!$S$5:$S$204,0)+4,"")-4))=""),"",INDEX('List B'!$B$5:$B$204,IF(IFERROR(MATCH(107,'List A'!$S$5:$S$204,0)+4,"")="","",INDEX('List A'!$K$5:$K$204,IFERROR(MATCH(107,'List A'!$S$5:$S$204,0)+4,"")-4))-4))</f>
        <v/>
      </c>
      <c r="G111" s="52">
        <f>IF(OR(IFERROR(MATCH(107,'List A'!$S$5:$S$204,0)+4,"")="",IF(IFERROR(MATCH(107,'List A'!$S$5:$S$204,0)+4,"")="","",INDEX('List A'!$K$5:$K$204,IFERROR(MATCH(107,'List A'!$S$5:$S$204,0)+4,"")-4))=""),"",INDEX('List B'!$C$5:$C$204,IF(IFERROR(MATCH(107,'List A'!$S$5:$S$204,0)+4,"")="","",INDEX('List A'!$K$5:$K$204,IFERROR(MATCH(107,'List A'!$S$5:$S$204,0)+4,"")-4))-4))</f>
        <v/>
      </c>
      <c r="H111" s="53">
        <f>IF(OR(IFERROR(MATCH(107,'List A'!$S$5:$S$204,0)+4,"")="",IF(IFERROR(MATCH(107,'List A'!$S$5:$S$204,0)+4,"")="","",INDEX('List A'!$K$5:$K$204,IFERROR(MATCH(107,'List A'!$S$5:$S$204,0)+4,"")-4))=""),"",INDEX('List B'!$D$5:$D$204,IF(IFERROR(MATCH(107,'List A'!$S$5:$S$204,0)+4,"")="","",INDEX('List A'!$K$5:$K$204,IFERROR(MATCH(107,'List A'!$S$5:$S$204,0)+4,"")-4))-4))</f>
        <v/>
      </c>
      <c r="I111" s="52">
        <f>IF(IFERROR(MATCH(107,'List A'!$S$5:$S$204,0)+4,"")="","",INDEX('List A'!$N$5:$N$204,IFERROR(MATCH(107,'List A'!$S$5:$S$204,0)+4,"")-4))</f>
        <v/>
      </c>
      <c r="J111" s="53">
        <f>IF(IFERROR(MATCH(107,'List A'!$S$5:$S$204,0)+4,"")="","",INDEX('List A'!$O$5:$O$204,IFERROR(MATCH(107,'List A'!$S$5:$S$204,0)+4,"")-4))</f>
        <v/>
      </c>
    </row>
    <row r="112" ht="17" customHeight="1">
      <c r="A112" s="87">
        <f>IF(IFERROR(MATCH(108,'List A'!$S$5:$S$204,0)+4,"")="","",INDEX('List A'!$A$5:$A$204,IFERROR(MATCH(108,'List A'!$S$5:$S$204,0)+4,"")-4))</f>
        <v/>
      </c>
      <c r="B112" s="53">
        <f>IF(IFERROR(MATCH(108,'List A'!$S$5:$S$204,0)+4,"")="","",INDEX('List A'!$B$5:$B$204,IFERROR(MATCH(108,'List A'!$S$5:$S$204,0)+4,"")-4))</f>
        <v/>
      </c>
      <c r="C112" s="52">
        <f>IF(IFERROR(MATCH(108,'List A'!$S$5:$S$204,0)+4,"")="","",INDEX('List A'!$C$5:$C$204,IFERROR(MATCH(108,'List A'!$S$5:$S$204,0)+4,"")-4))</f>
        <v/>
      </c>
      <c r="D112" s="53">
        <f>IF(IFERROR(MATCH(108,'List A'!$S$5:$S$204,0)+4,"")="","",INDEX('List A'!$D$5:$D$204,IFERROR(MATCH(108,'List A'!$S$5:$S$204,0)+4,"")-4))</f>
        <v/>
      </c>
      <c r="E112" s="87">
        <f>IF(OR(IFERROR(MATCH(108,'List A'!$S$5:$S$204,0)+4,"")="",IF(IFERROR(MATCH(108,'List A'!$S$5:$S$204,0)+4,"")="","",INDEX('List A'!$K$5:$K$204,IFERROR(MATCH(108,'List A'!$S$5:$S$204,0)+4,"")-4))=""),"",INDEX('List B'!$A$5:$A$204,IF(IFERROR(MATCH(108,'List A'!$S$5:$S$204,0)+4,"")="","",INDEX('List A'!$K$5:$K$204,IFERROR(MATCH(108,'List A'!$S$5:$S$204,0)+4,"")-4))-4))</f>
        <v/>
      </c>
      <c r="F112" s="53">
        <f>IF(OR(IFERROR(MATCH(108,'List A'!$S$5:$S$204,0)+4,"")="",IF(IFERROR(MATCH(108,'List A'!$S$5:$S$204,0)+4,"")="","",INDEX('List A'!$K$5:$K$204,IFERROR(MATCH(108,'List A'!$S$5:$S$204,0)+4,"")-4))=""),"",INDEX('List B'!$B$5:$B$204,IF(IFERROR(MATCH(108,'List A'!$S$5:$S$204,0)+4,"")="","",INDEX('List A'!$K$5:$K$204,IFERROR(MATCH(108,'List A'!$S$5:$S$204,0)+4,"")-4))-4))</f>
        <v/>
      </c>
      <c r="G112" s="52">
        <f>IF(OR(IFERROR(MATCH(108,'List A'!$S$5:$S$204,0)+4,"")="",IF(IFERROR(MATCH(108,'List A'!$S$5:$S$204,0)+4,"")="","",INDEX('List A'!$K$5:$K$204,IFERROR(MATCH(108,'List A'!$S$5:$S$204,0)+4,"")-4))=""),"",INDEX('List B'!$C$5:$C$204,IF(IFERROR(MATCH(108,'List A'!$S$5:$S$204,0)+4,"")="","",INDEX('List A'!$K$5:$K$204,IFERROR(MATCH(108,'List A'!$S$5:$S$204,0)+4,"")-4))-4))</f>
        <v/>
      </c>
      <c r="H112" s="53">
        <f>IF(OR(IFERROR(MATCH(108,'List A'!$S$5:$S$204,0)+4,"")="",IF(IFERROR(MATCH(108,'List A'!$S$5:$S$204,0)+4,"")="","",INDEX('List A'!$K$5:$K$204,IFERROR(MATCH(108,'List A'!$S$5:$S$204,0)+4,"")-4))=""),"",INDEX('List B'!$D$5:$D$204,IF(IFERROR(MATCH(108,'List A'!$S$5:$S$204,0)+4,"")="","",INDEX('List A'!$K$5:$K$204,IFERROR(MATCH(108,'List A'!$S$5:$S$204,0)+4,"")-4))-4))</f>
        <v/>
      </c>
      <c r="I112" s="52">
        <f>IF(IFERROR(MATCH(108,'List A'!$S$5:$S$204,0)+4,"")="","",INDEX('List A'!$N$5:$N$204,IFERROR(MATCH(108,'List A'!$S$5:$S$204,0)+4,"")-4))</f>
        <v/>
      </c>
      <c r="J112" s="53">
        <f>IF(IFERROR(MATCH(108,'List A'!$S$5:$S$204,0)+4,"")="","",INDEX('List A'!$O$5:$O$204,IFERROR(MATCH(108,'List A'!$S$5:$S$204,0)+4,"")-4))</f>
        <v/>
      </c>
    </row>
    <row r="113" ht="17" customHeight="1">
      <c r="A113" s="87">
        <f>IF(IFERROR(MATCH(109,'List A'!$S$5:$S$204,0)+4,"")="","",INDEX('List A'!$A$5:$A$204,IFERROR(MATCH(109,'List A'!$S$5:$S$204,0)+4,"")-4))</f>
        <v/>
      </c>
      <c r="B113" s="53">
        <f>IF(IFERROR(MATCH(109,'List A'!$S$5:$S$204,0)+4,"")="","",INDEX('List A'!$B$5:$B$204,IFERROR(MATCH(109,'List A'!$S$5:$S$204,0)+4,"")-4))</f>
        <v/>
      </c>
      <c r="C113" s="52">
        <f>IF(IFERROR(MATCH(109,'List A'!$S$5:$S$204,0)+4,"")="","",INDEX('List A'!$C$5:$C$204,IFERROR(MATCH(109,'List A'!$S$5:$S$204,0)+4,"")-4))</f>
        <v/>
      </c>
      <c r="D113" s="53">
        <f>IF(IFERROR(MATCH(109,'List A'!$S$5:$S$204,0)+4,"")="","",INDEX('List A'!$D$5:$D$204,IFERROR(MATCH(109,'List A'!$S$5:$S$204,0)+4,"")-4))</f>
        <v/>
      </c>
      <c r="E113" s="87">
        <f>IF(OR(IFERROR(MATCH(109,'List A'!$S$5:$S$204,0)+4,"")="",IF(IFERROR(MATCH(109,'List A'!$S$5:$S$204,0)+4,"")="","",INDEX('List A'!$K$5:$K$204,IFERROR(MATCH(109,'List A'!$S$5:$S$204,0)+4,"")-4))=""),"",INDEX('List B'!$A$5:$A$204,IF(IFERROR(MATCH(109,'List A'!$S$5:$S$204,0)+4,"")="","",INDEX('List A'!$K$5:$K$204,IFERROR(MATCH(109,'List A'!$S$5:$S$204,0)+4,"")-4))-4))</f>
        <v/>
      </c>
      <c r="F113" s="53">
        <f>IF(OR(IFERROR(MATCH(109,'List A'!$S$5:$S$204,0)+4,"")="",IF(IFERROR(MATCH(109,'List A'!$S$5:$S$204,0)+4,"")="","",INDEX('List A'!$K$5:$K$204,IFERROR(MATCH(109,'List A'!$S$5:$S$204,0)+4,"")-4))=""),"",INDEX('List B'!$B$5:$B$204,IF(IFERROR(MATCH(109,'List A'!$S$5:$S$204,0)+4,"")="","",INDEX('List A'!$K$5:$K$204,IFERROR(MATCH(109,'List A'!$S$5:$S$204,0)+4,"")-4))-4))</f>
        <v/>
      </c>
      <c r="G113" s="52">
        <f>IF(OR(IFERROR(MATCH(109,'List A'!$S$5:$S$204,0)+4,"")="",IF(IFERROR(MATCH(109,'List A'!$S$5:$S$204,0)+4,"")="","",INDEX('List A'!$K$5:$K$204,IFERROR(MATCH(109,'List A'!$S$5:$S$204,0)+4,"")-4))=""),"",INDEX('List B'!$C$5:$C$204,IF(IFERROR(MATCH(109,'List A'!$S$5:$S$204,0)+4,"")="","",INDEX('List A'!$K$5:$K$204,IFERROR(MATCH(109,'List A'!$S$5:$S$204,0)+4,"")-4))-4))</f>
        <v/>
      </c>
      <c r="H113" s="53">
        <f>IF(OR(IFERROR(MATCH(109,'List A'!$S$5:$S$204,0)+4,"")="",IF(IFERROR(MATCH(109,'List A'!$S$5:$S$204,0)+4,"")="","",INDEX('List A'!$K$5:$K$204,IFERROR(MATCH(109,'List A'!$S$5:$S$204,0)+4,"")-4))=""),"",INDEX('List B'!$D$5:$D$204,IF(IFERROR(MATCH(109,'List A'!$S$5:$S$204,0)+4,"")="","",INDEX('List A'!$K$5:$K$204,IFERROR(MATCH(109,'List A'!$S$5:$S$204,0)+4,"")-4))-4))</f>
        <v/>
      </c>
      <c r="I113" s="52">
        <f>IF(IFERROR(MATCH(109,'List A'!$S$5:$S$204,0)+4,"")="","",INDEX('List A'!$N$5:$N$204,IFERROR(MATCH(109,'List A'!$S$5:$S$204,0)+4,"")-4))</f>
        <v/>
      </c>
      <c r="J113" s="53">
        <f>IF(IFERROR(MATCH(109,'List A'!$S$5:$S$204,0)+4,"")="","",INDEX('List A'!$O$5:$O$204,IFERROR(MATCH(109,'List A'!$S$5:$S$204,0)+4,"")-4))</f>
        <v/>
      </c>
    </row>
    <row r="114" ht="17" customHeight="1">
      <c r="A114" s="87">
        <f>IF(IFERROR(MATCH(110,'List A'!$S$5:$S$204,0)+4,"")="","",INDEX('List A'!$A$5:$A$204,IFERROR(MATCH(110,'List A'!$S$5:$S$204,0)+4,"")-4))</f>
        <v/>
      </c>
      <c r="B114" s="53">
        <f>IF(IFERROR(MATCH(110,'List A'!$S$5:$S$204,0)+4,"")="","",INDEX('List A'!$B$5:$B$204,IFERROR(MATCH(110,'List A'!$S$5:$S$204,0)+4,"")-4))</f>
        <v/>
      </c>
      <c r="C114" s="52">
        <f>IF(IFERROR(MATCH(110,'List A'!$S$5:$S$204,0)+4,"")="","",INDEX('List A'!$C$5:$C$204,IFERROR(MATCH(110,'List A'!$S$5:$S$204,0)+4,"")-4))</f>
        <v/>
      </c>
      <c r="D114" s="53">
        <f>IF(IFERROR(MATCH(110,'List A'!$S$5:$S$204,0)+4,"")="","",INDEX('List A'!$D$5:$D$204,IFERROR(MATCH(110,'List A'!$S$5:$S$204,0)+4,"")-4))</f>
        <v/>
      </c>
      <c r="E114" s="87">
        <f>IF(OR(IFERROR(MATCH(110,'List A'!$S$5:$S$204,0)+4,"")="",IF(IFERROR(MATCH(110,'List A'!$S$5:$S$204,0)+4,"")="","",INDEX('List A'!$K$5:$K$204,IFERROR(MATCH(110,'List A'!$S$5:$S$204,0)+4,"")-4))=""),"",INDEX('List B'!$A$5:$A$204,IF(IFERROR(MATCH(110,'List A'!$S$5:$S$204,0)+4,"")="","",INDEX('List A'!$K$5:$K$204,IFERROR(MATCH(110,'List A'!$S$5:$S$204,0)+4,"")-4))-4))</f>
        <v/>
      </c>
      <c r="F114" s="53">
        <f>IF(OR(IFERROR(MATCH(110,'List A'!$S$5:$S$204,0)+4,"")="",IF(IFERROR(MATCH(110,'List A'!$S$5:$S$204,0)+4,"")="","",INDEX('List A'!$K$5:$K$204,IFERROR(MATCH(110,'List A'!$S$5:$S$204,0)+4,"")-4))=""),"",INDEX('List B'!$B$5:$B$204,IF(IFERROR(MATCH(110,'List A'!$S$5:$S$204,0)+4,"")="","",INDEX('List A'!$K$5:$K$204,IFERROR(MATCH(110,'List A'!$S$5:$S$204,0)+4,"")-4))-4))</f>
        <v/>
      </c>
      <c r="G114" s="52">
        <f>IF(OR(IFERROR(MATCH(110,'List A'!$S$5:$S$204,0)+4,"")="",IF(IFERROR(MATCH(110,'List A'!$S$5:$S$204,0)+4,"")="","",INDEX('List A'!$K$5:$K$204,IFERROR(MATCH(110,'List A'!$S$5:$S$204,0)+4,"")-4))=""),"",INDEX('List B'!$C$5:$C$204,IF(IFERROR(MATCH(110,'List A'!$S$5:$S$204,0)+4,"")="","",INDEX('List A'!$K$5:$K$204,IFERROR(MATCH(110,'List A'!$S$5:$S$204,0)+4,"")-4))-4))</f>
        <v/>
      </c>
      <c r="H114" s="53">
        <f>IF(OR(IFERROR(MATCH(110,'List A'!$S$5:$S$204,0)+4,"")="",IF(IFERROR(MATCH(110,'List A'!$S$5:$S$204,0)+4,"")="","",INDEX('List A'!$K$5:$K$204,IFERROR(MATCH(110,'List A'!$S$5:$S$204,0)+4,"")-4))=""),"",INDEX('List B'!$D$5:$D$204,IF(IFERROR(MATCH(110,'List A'!$S$5:$S$204,0)+4,"")="","",INDEX('List A'!$K$5:$K$204,IFERROR(MATCH(110,'List A'!$S$5:$S$204,0)+4,"")-4))-4))</f>
        <v/>
      </c>
      <c r="I114" s="52">
        <f>IF(IFERROR(MATCH(110,'List A'!$S$5:$S$204,0)+4,"")="","",INDEX('List A'!$N$5:$N$204,IFERROR(MATCH(110,'List A'!$S$5:$S$204,0)+4,"")-4))</f>
        <v/>
      </c>
      <c r="J114" s="53">
        <f>IF(IFERROR(MATCH(110,'List A'!$S$5:$S$204,0)+4,"")="","",INDEX('List A'!$O$5:$O$204,IFERROR(MATCH(110,'List A'!$S$5:$S$204,0)+4,"")-4))</f>
        <v/>
      </c>
    </row>
    <row r="115" ht="17" customHeight="1">
      <c r="A115" s="87">
        <f>IF(IFERROR(MATCH(111,'List A'!$S$5:$S$204,0)+4,"")="","",INDEX('List A'!$A$5:$A$204,IFERROR(MATCH(111,'List A'!$S$5:$S$204,0)+4,"")-4))</f>
        <v/>
      </c>
      <c r="B115" s="53">
        <f>IF(IFERROR(MATCH(111,'List A'!$S$5:$S$204,0)+4,"")="","",INDEX('List A'!$B$5:$B$204,IFERROR(MATCH(111,'List A'!$S$5:$S$204,0)+4,"")-4))</f>
        <v/>
      </c>
      <c r="C115" s="52">
        <f>IF(IFERROR(MATCH(111,'List A'!$S$5:$S$204,0)+4,"")="","",INDEX('List A'!$C$5:$C$204,IFERROR(MATCH(111,'List A'!$S$5:$S$204,0)+4,"")-4))</f>
        <v/>
      </c>
      <c r="D115" s="53">
        <f>IF(IFERROR(MATCH(111,'List A'!$S$5:$S$204,0)+4,"")="","",INDEX('List A'!$D$5:$D$204,IFERROR(MATCH(111,'List A'!$S$5:$S$204,0)+4,"")-4))</f>
        <v/>
      </c>
      <c r="E115" s="87">
        <f>IF(OR(IFERROR(MATCH(111,'List A'!$S$5:$S$204,0)+4,"")="",IF(IFERROR(MATCH(111,'List A'!$S$5:$S$204,0)+4,"")="","",INDEX('List A'!$K$5:$K$204,IFERROR(MATCH(111,'List A'!$S$5:$S$204,0)+4,"")-4))=""),"",INDEX('List B'!$A$5:$A$204,IF(IFERROR(MATCH(111,'List A'!$S$5:$S$204,0)+4,"")="","",INDEX('List A'!$K$5:$K$204,IFERROR(MATCH(111,'List A'!$S$5:$S$204,0)+4,"")-4))-4))</f>
        <v/>
      </c>
      <c r="F115" s="53">
        <f>IF(OR(IFERROR(MATCH(111,'List A'!$S$5:$S$204,0)+4,"")="",IF(IFERROR(MATCH(111,'List A'!$S$5:$S$204,0)+4,"")="","",INDEX('List A'!$K$5:$K$204,IFERROR(MATCH(111,'List A'!$S$5:$S$204,0)+4,"")-4))=""),"",INDEX('List B'!$B$5:$B$204,IF(IFERROR(MATCH(111,'List A'!$S$5:$S$204,0)+4,"")="","",INDEX('List A'!$K$5:$K$204,IFERROR(MATCH(111,'List A'!$S$5:$S$204,0)+4,"")-4))-4))</f>
        <v/>
      </c>
      <c r="G115" s="52">
        <f>IF(OR(IFERROR(MATCH(111,'List A'!$S$5:$S$204,0)+4,"")="",IF(IFERROR(MATCH(111,'List A'!$S$5:$S$204,0)+4,"")="","",INDEX('List A'!$K$5:$K$204,IFERROR(MATCH(111,'List A'!$S$5:$S$204,0)+4,"")-4))=""),"",INDEX('List B'!$C$5:$C$204,IF(IFERROR(MATCH(111,'List A'!$S$5:$S$204,0)+4,"")="","",INDEX('List A'!$K$5:$K$204,IFERROR(MATCH(111,'List A'!$S$5:$S$204,0)+4,"")-4))-4))</f>
        <v/>
      </c>
      <c r="H115" s="53">
        <f>IF(OR(IFERROR(MATCH(111,'List A'!$S$5:$S$204,0)+4,"")="",IF(IFERROR(MATCH(111,'List A'!$S$5:$S$204,0)+4,"")="","",INDEX('List A'!$K$5:$K$204,IFERROR(MATCH(111,'List A'!$S$5:$S$204,0)+4,"")-4))=""),"",INDEX('List B'!$D$5:$D$204,IF(IFERROR(MATCH(111,'List A'!$S$5:$S$204,0)+4,"")="","",INDEX('List A'!$K$5:$K$204,IFERROR(MATCH(111,'List A'!$S$5:$S$204,0)+4,"")-4))-4))</f>
        <v/>
      </c>
      <c r="I115" s="52">
        <f>IF(IFERROR(MATCH(111,'List A'!$S$5:$S$204,0)+4,"")="","",INDEX('List A'!$N$5:$N$204,IFERROR(MATCH(111,'List A'!$S$5:$S$204,0)+4,"")-4))</f>
        <v/>
      </c>
      <c r="J115" s="53">
        <f>IF(IFERROR(MATCH(111,'List A'!$S$5:$S$204,0)+4,"")="","",INDEX('List A'!$O$5:$O$204,IFERROR(MATCH(111,'List A'!$S$5:$S$204,0)+4,"")-4))</f>
        <v/>
      </c>
    </row>
    <row r="116" ht="17" customHeight="1">
      <c r="A116" s="87">
        <f>IF(IFERROR(MATCH(112,'List A'!$S$5:$S$204,0)+4,"")="","",INDEX('List A'!$A$5:$A$204,IFERROR(MATCH(112,'List A'!$S$5:$S$204,0)+4,"")-4))</f>
        <v/>
      </c>
      <c r="B116" s="53">
        <f>IF(IFERROR(MATCH(112,'List A'!$S$5:$S$204,0)+4,"")="","",INDEX('List A'!$B$5:$B$204,IFERROR(MATCH(112,'List A'!$S$5:$S$204,0)+4,"")-4))</f>
        <v/>
      </c>
      <c r="C116" s="52">
        <f>IF(IFERROR(MATCH(112,'List A'!$S$5:$S$204,0)+4,"")="","",INDEX('List A'!$C$5:$C$204,IFERROR(MATCH(112,'List A'!$S$5:$S$204,0)+4,"")-4))</f>
        <v/>
      </c>
      <c r="D116" s="53">
        <f>IF(IFERROR(MATCH(112,'List A'!$S$5:$S$204,0)+4,"")="","",INDEX('List A'!$D$5:$D$204,IFERROR(MATCH(112,'List A'!$S$5:$S$204,0)+4,"")-4))</f>
        <v/>
      </c>
      <c r="E116" s="87">
        <f>IF(OR(IFERROR(MATCH(112,'List A'!$S$5:$S$204,0)+4,"")="",IF(IFERROR(MATCH(112,'List A'!$S$5:$S$204,0)+4,"")="","",INDEX('List A'!$K$5:$K$204,IFERROR(MATCH(112,'List A'!$S$5:$S$204,0)+4,"")-4))=""),"",INDEX('List B'!$A$5:$A$204,IF(IFERROR(MATCH(112,'List A'!$S$5:$S$204,0)+4,"")="","",INDEX('List A'!$K$5:$K$204,IFERROR(MATCH(112,'List A'!$S$5:$S$204,0)+4,"")-4))-4))</f>
        <v/>
      </c>
      <c r="F116" s="53">
        <f>IF(OR(IFERROR(MATCH(112,'List A'!$S$5:$S$204,0)+4,"")="",IF(IFERROR(MATCH(112,'List A'!$S$5:$S$204,0)+4,"")="","",INDEX('List A'!$K$5:$K$204,IFERROR(MATCH(112,'List A'!$S$5:$S$204,0)+4,"")-4))=""),"",INDEX('List B'!$B$5:$B$204,IF(IFERROR(MATCH(112,'List A'!$S$5:$S$204,0)+4,"")="","",INDEX('List A'!$K$5:$K$204,IFERROR(MATCH(112,'List A'!$S$5:$S$204,0)+4,"")-4))-4))</f>
        <v/>
      </c>
      <c r="G116" s="52">
        <f>IF(OR(IFERROR(MATCH(112,'List A'!$S$5:$S$204,0)+4,"")="",IF(IFERROR(MATCH(112,'List A'!$S$5:$S$204,0)+4,"")="","",INDEX('List A'!$K$5:$K$204,IFERROR(MATCH(112,'List A'!$S$5:$S$204,0)+4,"")-4))=""),"",INDEX('List B'!$C$5:$C$204,IF(IFERROR(MATCH(112,'List A'!$S$5:$S$204,0)+4,"")="","",INDEX('List A'!$K$5:$K$204,IFERROR(MATCH(112,'List A'!$S$5:$S$204,0)+4,"")-4))-4))</f>
        <v/>
      </c>
      <c r="H116" s="53">
        <f>IF(OR(IFERROR(MATCH(112,'List A'!$S$5:$S$204,0)+4,"")="",IF(IFERROR(MATCH(112,'List A'!$S$5:$S$204,0)+4,"")="","",INDEX('List A'!$K$5:$K$204,IFERROR(MATCH(112,'List A'!$S$5:$S$204,0)+4,"")-4))=""),"",INDEX('List B'!$D$5:$D$204,IF(IFERROR(MATCH(112,'List A'!$S$5:$S$204,0)+4,"")="","",INDEX('List A'!$K$5:$K$204,IFERROR(MATCH(112,'List A'!$S$5:$S$204,0)+4,"")-4))-4))</f>
        <v/>
      </c>
      <c r="I116" s="52">
        <f>IF(IFERROR(MATCH(112,'List A'!$S$5:$S$204,0)+4,"")="","",INDEX('List A'!$N$5:$N$204,IFERROR(MATCH(112,'List A'!$S$5:$S$204,0)+4,"")-4))</f>
        <v/>
      </c>
      <c r="J116" s="53">
        <f>IF(IFERROR(MATCH(112,'List A'!$S$5:$S$204,0)+4,"")="","",INDEX('List A'!$O$5:$O$204,IFERROR(MATCH(112,'List A'!$S$5:$S$204,0)+4,"")-4))</f>
        <v/>
      </c>
    </row>
    <row r="117" ht="17" customHeight="1">
      <c r="A117" s="87">
        <f>IF(IFERROR(MATCH(113,'List A'!$S$5:$S$204,0)+4,"")="","",INDEX('List A'!$A$5:$A$204,IFERROR(MATCH(113,'List A'!$S$5:$S$204,0)+4,"")-4))</f>
        <v/>
      </c>
      <c r="B117" s="53">
        <f>IF(IFERROR(MATCH(113,'List A'!$S$5:$S$204,0)+4,"")="","",INDEX('List A'!$B$5:$B$204,IFERROR(MATCH(113,'List A'!$S$5:$S$204,0)+4,"")-4))</f>
        <v/>
      </c>
      <c r="C117" s="52">
        <f>IF(IFERROR(MATCH(113,'List A'!$S$5:$S$204,0)+4,"")="","",INDEX('List A'!$C$5:$C$204,IFERROR(MATCH(113,'List A'!$S$5:$S$204,0)+4,"")-4))</f>
        <v/>
      </c>
      <c r="D117" s="53">
        <f>IF(IFERROR(MATCH(113,'List A'!$S$5:$S$204,0)+4,"")="","",INDEX('List A'!$D$5:$D$204,IFERROR(MATCH(113,'List A'!$S$5:$S$204,0)+4,"")-4))</f>
        <v/>
      </c>
      <c r="E117" s="87">
        <f>IF(OR(IFERROR(MATCH(113,'List A'!$S$5:$S$204,0)+4,"")="",IF(IFERROR(MATCH(113,'List A'!$S$5:$S$204,0)+4,"")="","",INDEX('List A'!$K$5:$K$204,IFERROR(MATCH(113,'List A'!$S$5:$S$204,0)+4,"")-4))=""),"",INDEX('List B'!$A$5:$A$204,IF(IFERROR(MATCH(113,'List A'!$S$5:$S$204,0)+4,"")="","",INDEX('List A'!$K$5:$K$204,IFERROR(MATCH(113,'List A'!$S$5:$S$204,0)+4,"")-4))-4))</f>
        <v/>
      </c>
      <c r="F117" s="53">
        <f>IF(OR(IFERROR(MATCH(113,'List A'!$S$5:$S$204,0)+4,"")="",IF(IFERROR(MATCH(113,'List A'!$S$5:$S$204,0)+4,"")="","",INDEX('List A'!$K$5:$K$204,IFERROR(MATCH(113,'List A'!$S$5:$S$204,0)+4,"")-4))=""),"",INDEX('List B'!$B$5:$B$204,IF(IFERROR(MATCH(113,'List A'!$S$5:$S$204,0)+4,"")="","",INDEX('List A'!$K$5:$K$204,IFERROR(MATCH(113,'List A'!$S$5:$S$204,0)+4,"")-4))-4))</f>
        <v/>
      </c>
      <c r="G117" s="52">
        <f>IF(OR(IFERROR(MATCH(113,'List A'!$S$5:$S$204,0)+4,"")="",IF(IFERROR(MATCH(113,'List A'!$S$5:$S$204,0)+4,"")="","",INDEX('List A'!$K$5:$K$204,IFERROR(MATCH(113,'List A'!$S$5:$S$204,0)+4,"")-4))=""),"",INDEX('List B'!$C$5:$C$204,IF(IFERROR(MATCH(113,'List A'!$S$5:$S$204,0)+4,"")="","",INDEX('List A'!$K$5:$K$204,IFERROR(MATCH(113,'List A'!$S$5:$S$204,0)+4,"")-4))-4))</f>
        <v/>
      </c>
      <c r="H117" s="53">
        <f>IF(OR(IFERROR(MATCH(113,'List A'!$S$5:$S$204,0)+4,"")="",IF(IFERROR(MATCH(113,'List A'!$S$5:$S$204,0)+4,"")="","",INDEX('List A'!$K$5:$K$204,IFERROR(MATCH(113,'List A'!$S$5:$S$204,0)+4,"")-4))=""),"",INDEX('List B'!$D$5:$D$204,IF(IFERROR(MATCH(113,'List A'!$S$5:$S$204,0)+4,"")="","",INDEX('List A'!$K$5:$K$204,IFERROR(MATCH(113,'List A'!$S$5:$S$204,0)+4,"")-4))-4))</f>
        <v/>
      </c>
      <c r="I117" s="52">
        <f>IF(IFERROR(MATCH(113,'List A'!$S$5:$S$204,0)+4,"")="","",INDEX('List A'!$N$5:$N$204,IFERROR(MATCH(113,'List A'!$S$5:$S$204,0)+4,"")-4))</f>
        <v/>
      </c>
      <c r="J117" s="53">
        <f>IF(IFERROR(MATCH(113,'List A'!$S$5:$S$204,0)+4,"")="","",INDEX('List A'!$O$5:$O$204,IFERROR(MATCH(113,'List A'!$S$5:$S$204,0)+4,"")-4))</f>
        <v/>
      </c>
    </row>
    <row r="118" ht="17" customHeight="1">
      <c r="A118" s="87">
        <f>IF(IFERROR(MATCH(114,'List A'!$S$5:$S$204,0)+4,"")="","",INDEX('List A'!$A$5:$A$204,IFERROR(MATCH(114,'List A'!$S$5:$S$204,0)+4,"")-4))</f>
        <v/>
      </c>
      <c r="B118" s="53">
        <f>IF(IFERROR(MATCH(114,'List A'!$S$5:$S$204,0)+4,"")="","",INDEX('List A'!$B$5:$B$204,IFERROR(MATCH(114,'List A'!$S$5:$S$204,0)+4,"")-4))</f>
        <v/>
      </c>
      <c r="C118" s="52">
        <f>IF(IFERROR(MATCH(114,'List A'!$S$5:$S$204,0)+4,"")="","",INDEX('List A'!$C$5:$C$204,IFERROR(MATCH(114,'List A'!$S$5:$S$204,0)+4,"")-4))</f>
        <v/>
      </c>
      <c r="D118" s="53">
        <f>IF(IFERROR(MATCH(114,'List A'!$S$5:$S$204,0)+4,"")="","",INDEX('List A'!$D$5:$D$204,IFERROR(MATCH(114,'List A'!$S$5:$S$204,0)+4,"")-4))</f>
        <v/>
      </c>
      <c r="E118" s="87">
        <f>IF(OR(IFERROR(MATCH(114,'List A'!$S$5:$S$204,0)+4,"")="",IF(IFERROR(MATCH(114,'List A'!$S$5:$S$204,0)+4,"")="","",INDEX('List A'!$K$5:$K$204,IFERROR(MATCH(114,'List A'!$S$5:$S$204,0)+4,"")-4))=""),"",INDEX('List B'!$A$5:$A$204,IF(IFERROR(MATCH(114,'List A'!$S$5:$S$204,0)+4,"")="","",INDEX('List A'!$K$5:$K$204,IFERROR(MATCH(114,'List A'!$S$5:$S$204,0)+4,"")-4))-4))</f>
        <v/>
      </c>
      <c r="F118" s="53">
        <f>IF(OR(IFERROR(MATCH(114,'List A'!$S$5:$S$204,0)+4,"")="",IF(IFERROR(MATCH(114,'List A'!$S$5:$S$204,0)+4,"")="","",INDEX('List A'!$K$5:$K$204,IFERROR(MATCH(114,'List A'!$S$5:$S$204,0)+4,"")-4))=""),"",INDEX('List B'!$B$5:$B$204,IF(IFERROR(MATCH(114,'List A'!$S$5:$S$204,0)+4,"")="","",INDEX('List A'!$K$5:$K$204,IFERROR(MATCH(114,'List A'!$S$5:$S$204,0)+4,"")-4))-4))</f>
        <v/>
      </c>
      <c r="G118" s="52">
        <f>IF(OR(IFERROR(MATCH(114,'List A'!$S$5:$S$204,0)+4,"")="",IF(IFERROR(MATCH(114,'List A'!$S$5:$S$204,0)+4,"")="","",INDEX('List A'!$K$5:$K$204,IFERROR(MATCH(114,'List A'!$S$5:$S$204,0)+4,"")-4))=""),"",INDEX('List B'!$C$5:$C$204,IF(IFERROR(MATCH(114,'List A'!$S$5:$S$204,0)+4,"")="","",INDEX('List A'!$K$5:$K$204,IFERROR(MATCH(114,'List A'!$S$5:$S$204,0)+4,"")-4))-4))</f>
        <v/>
      </c>
      <c r="H118" s="53">
        <f>IF(OR(IFERROR(MATCH(114,'List A'!$S$5:$S$204,0)+4,"")="",IF(IFERROR(MATCH(114,'List A'!$S$5:$S$204,0)+4,"")="","",INDEX('List A'!$K$5:$K$204,IFERROR(MATCH(114,'List A'!$S$5:$S$204,0)+4,"")-4))=""),"",INDEX('List B'!$D$5:$D$204,IF(IFERROR(MATCH(114,'List A'!$S$5:$S$204,0)+4,"")="","",INDEX('List A'!$K$5:$K$204,IFERROR(MATCH(114,'List A'!$S$5:$S$204,0)+4,"")-4))-4))</f>
        <v/>
      </c>
      <c r="I118" s="52">
        <f>IF(IFERROR(MATCH(114,'List A'!$S$5:$S$204,0)+4,"")="","",INDEX('List A'!$N$5:$N$204,IFERROR(MATCH(114,'List A'!$S$5:$S$204,0)+4,"")-4))</f>
        <v/>
      </c>
      <c r="J118" s="53">
        <f>IF(IFERROR(MATCH(114,'List A'!$S$5:$S$204,0)+4,"")="","",INDEX('List A'!$O$5:$O$204,IFERROR(MATCH(114,'List A'!$S$5:$S$204,0)+4,"")-4))</f>
        <v/>
      </c>
    </row>
    <row r="119" ht="17" customHeight="1">
      <c r="A119" s="87">
        <f>IF(IFERROR(MATCH(115,'List A'!$S$5:$S$204,0)+4,"")="","",INDEX('List A'!$A$5:$A$204,IFERROR(MATCH(115,'List A'!$S$5:$S$204,0)+4,"")-4))</f>
        <v/>
      </c>
      <c r="B119" s="53">
        <f>IF(IFERROR(MATCH(115,'List A'!$S$5:$S$204,0)+4,"")="","",INDEX('List A'!$B$5:$B$204,IFERROR(MATCH(115,'List A'!$S$5:$S$204,0)+4,"")-4))</f>
        <v/>
      </c>
      <c r="C119" s="52">
        <f>IF(IFERROR(MATCH(115,'List A'!$S$5:$S$204,0)+4,"")="","",INDEX('List A'!$C$5:$C$204,IFERROR(MATCH(115,'List A'!$S$5:$S$204,0)+4,"")-4))</f>
        <v/>
      </c>
      <c r="D119" s="53">
        <f>IF(IFERROR(MATCH(115,'List A'!$S$5:$S$204,0)+4,"")="","",INDEX('List A'!$D$5:$D$204,IFERROR(MATCH(115,'List A'!$S$5:$S$204,0)+4,"")-4))</f>
        <v/>
      </c>
      <c r="E119" s="87">
        <f>IF(OR(IFERROR(MATCH(115,'List A'!$S$5:$S$204,0)+4,"")="",IF(IFERROR(MATCH(115,'List A'!$S$5:$S$204,0)+4,"")="","",INDEX('List A'!$K$5:$K$204,IFERROR(MATCH(115,'List A'!$S$5:$S$204,0)+4,"")-4))=""),"",INDEX('List B'!$A$5:$A$204,IF(IFERROR(MATCH(115,'List A'!$S$5:$S$204,0)+4,"")="","",INDEX('List A'!$K$5:$K$204,IFERROR(MATCH(115,'List A'!$S$5:$S$204,0)+4,"")-4))-4))</f>
        <v/>
      </c>
      <c r="F119" s="53">
        <f>IF(OR(IFERROR(MATCH(115,'List A'!$S$5:$S$204,0)+4,"")="",IF(IFERROR(MATCH(115,'List A'!$S$5:$S$204,0)+4,"")="","",INDEX('List A'!$K$5:$K$204,IFERROR(MATCH(115,'List A'!$S$5:$S$204,0)+4,"")-4))=""),"",INDEX('List B'!$B$5:$B$204,IF(IFERROR(MATCH(115,'List A'!$S$5:$S$204,0)+4,"")="","",INDEX('List A'!$K$5:$K$204,IFERROR(MATCH(115,'List A'!$S$5:$S$204,0)+4,"")-4))-4))</f>
        <v/>
      </c>
      <c r="G119" s="52">
        <f>IF(OR(IFERROR(MATCH(115,'List A'!$S$5:$S$204,0)+4,"")="",IF(IFERROR(MATCH(115,'List A'!$S$5:$S$204,0)+4,"")="","",INDEX('List A'!$K$5:$K$204,IFERROR(MATCH(115,'List A'!$S$5:$S$204,0)+4,"")-4))=""),"",INDEX('List B'!$C$5:$C$204,IF(IFERROR(MATCH(115,'List A'!$S$5:$S$204,0)+4,"")="","",INDEX('List A'!$K$5:$K$204,IFERROR(MATCH(115,'List A'!$S$5:$S$204,0)+4,"")-4))-4))</f>
        <v/>
      </c>
      <c r="H119" s="53">
        <f>IF(OR(IFERROR(MATCH(115,'List A'!$S$5:$S$204,0)+4,"")="",IF(IFERROR(MATCH(115,'List A'!$S$5:$S$204,0)+4,"")="","",INDEX('List A'!$K$5:$K$204,IFERROR(MATCH(115,'List A'!$S$5:$S$204,0)+4,"")-4))=""),"",INDEX('List B'!$D$5:$D$204,IF(IFERROR(MATCH(115,'List A'!$S$5:$S$204,0)+4,"")="","",INDEX('List A'!$K$5:$K$204,IFERROR(MATCH(115,'List A'!$S$5:$S$204,0)+4,"")-4))-4))</f>
        <v/>
      </c>
      <c r="I119" s="52">
        <f>IF(IFERROR(MATCH(115,'List A'!$S$5:$S$204,0)+4,"")="","",INDEX('List A'!$N$5:$N$204,IFERROR(MATCH(115,'List A'!$S$5:$S$204,0)+4,"")-4))</f>
        <v/>
      </c>
      <c r="J119" s="53">
        <f>IF(IFERROR(MATCH(115,'List A'!$S$5:$S$204,0)+4,"")="","",INDEX('List A'!$O$5:$O$204,IFERROR(MATCH(115,'List A'!$S$5:$S$204,0)+4,"")-4))</f>
        <v/>
      </c>
    </row>
    <row r="120" ht="17" customHeight="1">
      <c r="A120" s="87">
        <f>IF(IFERROR(MATCH(116,'List A'!$S$5:$S$204,0)+4,"")="","",INDEX('List A'!$A$5:$A$204,IFERROR(MATCH(116,'List A'!$S$5:$S$204,0)+4,"")-4))</f>
        <v/>
      </c>
      <c r="B120" s="53">
        <f>IF(IFERROR(MATCH(116,'List A'!$S$5:$S$204,0)+4,"")="","",INDEX('List A'!$B$5:$B$204,IFERROR(MATCH(116,'List A'!$S$5:$S$204,0)+4,"")-4))</f>
        <v/>
      </c>
      <c r="C120" s="52">
        <f>IF(IFERROR(MATCH(116,'List A'!$S$5:$S$204,0)+4,"")="","",INDEX('List A'!$C$5:$C$204,IFERROR(MATCH(116,'List A'!$S$5:$S$204,0)+4,"")-4))</f>
        <v/>
      </c>
      <c r="D120" s="53">
        <f>IF(IFERROR(MATCH(116,'List A'!$S$5:$S$204,0)+4,"")="","",INDEX('List A'!$D$5:$D$204,IFERROR(MATCH(116,'List A'!$S$5:$S$204,0)+4,"")-4))</f>
        <v/>
      </c>
      <c r="E120" s="87">
        <f>IF(OR(IFERROR(MATCH(116,'List A'!$S$5:$S$204,0)+4,"")="",IF(IFERROR(MATCH(116,'List A'!$S$5:$S$204,0)+4,"")="","",INDEX('List A'!$K$5:$K$204,IFERROR(MATCH(116,'List A'!$S$5:$S$204,0)+4,"")-4))=""),"",INDEX('List B'!$A$5:$A$204,IF(IFERROR(MATCH(116,'List A'!$S$5:$S$204,0)+4,"")="","",INDEX('List A'!$K$5:$K$204,IFERROR(MATCH(116,'List A'!$S$5:$S$204,0)+4,"")-4))-4))</f>
        <v/>
      </c>
      <c r="F120" s="53">
        <f>IF(OR(IFERROR(MATCH(116,'List A'!$S$5:$S$204,0)+4,"")="",IF(IFERROR(MATCH(116,'List A'!$S$5:$S$204,0)+4,"")="","",INDEX('List A'!$K$5:$K$204,IFERROR(MATCH(116,'List A'!$S$5:$S$204,0)+4,"")-4))=""),"",INDEX('List B'!$B$5:$B$204,IF(IFERROR(MATCH(116,'List A'!$S$5:$S$204,0)+4,"")="","",INDEX('List A'!$K$5:$K$204,IFERROR(MATCH(116,'List A'!$S$5:$S$204,0)+4,"")-4))-4))</f>
        <v/>
      </c>
      <c r="G120" s="52">
        <f>IF(OR(IFERROR(MATCH(116,'List A'!$S$5:$S$204,0)+4,"")="",IF(IFERROR(MATCH(116,'List A'!$S$5:$S$204,0)+4,"")="","",INDEX('List A'!$K$5:$K$204,IFERROR(MATCH(116,'List A'!$S$5:$S$204,0)+4,"")-4))=""),"",INDEX('List B'!$C$5:$C$204,IF(IFERROR(MATCH(116,'List A'!$S$5:$S$204,0)+4,"")="","",INDEX('List A'!$K$5:$K$204,IFERROR(MATCH(116,'List A'!$S$5:$S$204,0)+4,"")-4))-4))</f>
        <v/>
      </c>
      <c r="H120" s="53">
        <f>IF(OR(IFERROR(MATCH(116,'List A'!$S$5:$S$204,0)+4,"")="",IF(IFERROR(MATCH(116,'List A'!$S$5:$S$204,0)+4,"")="","",INDEX('List A'!$K$5:$K$204,IFERROR(MATCH(116,'List A'!$S$5:$S$204,0)+4,"")-4))=""),"",INDEX('List B'!$D$5:$D$204,IF(IFERROR(MATCH(116,'List A'!$S$5:$S$204,0)+4,"")="","",INDEX('List A'!$K$5:$K$204,IFERROR(MATCH(116,'List A'!$S$5:$S$204,0)+4,"")-4))-4))</f>
        <v/>
      </c>
      <c r="I120" s="52">
        <f>IF(IFERROR(MATCH(116,'List A'!$S$5:$S$204,0)+4,"")="","",INDEX('List A'!$N$5:$N$204,IFERROR(MATCH(116,'List A'!$S$5:$S$204,0)+4,"")-4))</f>
        <v/>
      </c>
      <c r="J120" s="53">
        <f>IF(IFERROR(MATCH(116,'List A'!$S$5:$S$204,0)+4,"")="","",INDEX('List A'!$O$5:$O$204,IFERROR(MATCH(116,'List A'!$S$5:$S$204,0)+4,"")-4))</f>
        <v/>
      </c>
    </row>
    <row r="121" ht="17" customHeight="1">
      <c r="A121" s="87">
        <f>IF(IFERROR(MATCH(117,'List A'!$S$5:$S$204,0)+4,"")="","",INDEX('List A'!$A$5:$A$204,IFERROR(MATCH(117,'List A'!$S$5:$S$204,0)+4,"")-4))</f>
        <v/>
      </c>
      <c r="B121" s="53">
        <f>IF(IFERROR(MATCH(117,'List A'!$S$5:$S$204,0)+4,"")="","",INDEX('List A'!$B$5:$B$204,IFERROR(MATCH(117,'List A'!$S$5:$S$204,0)+4,"")-4))</f>
        <v/>
      </c>
      <c r="C121" s="52">
        <f>IF(IFERROR(MATCH(117,'List A'!$S$5:$S$204,0)+4,"")="","",INDEX('List A'!$C$5:$C$204,IFERROR(MATCH(117,'List A'!$S$5:$S$204,0)+4,"")-4))</f>
        <v/>
      </c>
      <c r="D121" s="53">
        <f>IF(IFERROR(MATCH(117,'List A'!$S$5:$S$204,0)+4,"")="","",INDEX('List A'!$D$5:$D$204,IFERROR(MATCH(117,'List A'!$S$5:$S$204,0)+4,"")-4))</f>
        <v/>
      </c>
      <c r="E121" s="87">
        <f>IF(OR(IFERROR(MATCH(117,'List A'!$S$5:$S$204,0)+4,"")="",IF(IFERROR(MATCH(117,'List A'!$S$5:$S$204,0)+4,"")="","",INDEX('List A'!$K$5:$K$204,IFERROR(MATCH(117,'List A'!$S$5:$S$204,0)+4,"")-4))=""),"",INDEX('List B'!$A$5:$A$204,IF(IFERROR(MATCH(117,'List A'!$S$5:$S$204,0)+4,"")="","",INDEX('List A'!$K$5:$K$204,IFERROR(MATCH(117,'List A'!$S$5:$S$204,0)+4,"")-4))-4))</f>
        <v/>
      </c>
      <c r="F121" s="53">
        <f>IF(OR(IFERROR(MATCH(117,'List A'!$S$5:$S$204,0)+4,"")="",IF(IFERROR(MATCH(117,'List A'!$S$5:$S$204,0)+4,"")="","",INDEX('List A'!$K$5:$K$204,IFERROR(MATCH(117,'List A'!$S$5:$S$204,0)+4,"")-4))=""),"",INDEX('List B'!$B$5:$B$204,IF(IFERROR(MATCH(117,'List A'!$S$5:$S$204,0)+4,"")="","",INDEX('List A'!$K$5:$K$204,IFERROR(MATCH(117,'List A'!$S$5:$S$204,0)+4,"")-4))-4))</f>
        <v/>
      </c>
      <c r="G121" s="52">
        <f>IF(OR(IFERROR(MATCH(117,'List A'!$S$5:$S$204,0)+4,"")="",IF(IFERROR(MATCH(117,'List A'!$S$5:$S$204,0)+4,"")="","",INDEX('List A'!$K$5:$K$204,IFERROR(MATCH(117,'List A'!$S$5:$S$204,0)+4,"")-4))=""),"",INDEX('List B'!$C$5:$C$204,IF(IFERROR(MATCH(117,'List A'!$S$5:$S$204,0)+4,"")="","",INDEX('List A'!$K$5:$K$204,IFERROR(MATCH(117,'List A'!$S$5:$S$204,0)+4,"")-4))-4))</f>
        <v/>
      </c>
      <c r="H121" s="53">
        <f>IF(OR(IFERROR(MATCH(117,'List A'!$S$5:$S$204,0)+4,"")="",IF(IFERROR(MATCH(117,'List A'!$S$5:$S$204,0)+4,"")="","",INDEX('List A'!$K$5:$K$204,IFERROR(MATCH(117,'List A'!$S$5:$S$204,0)+4,"")-4))=""),"",INDEX('List B'!$D$5:$D$204,IF(IFERROR(MATCH(117,'List A'!$S$5:$S$204,0)+4,"")="","",INDEX('List A'!$K$5:$K$204,IFERROR(MATCH(117,'List A'!$S$5:$S$204,0)+4,"")-4))-4))</f>
        <v/>
      </c>
      <c r="I121" s="52">
        <f>IF(IFERROR(MATCH(117,'List A'!$S$5:$S$204,0)+4,"")="","",INDEX('List A'!$N$5:$N$204,IFERROR(MATCH(117,'List A'!$S$5:$S$204,0)+4,"")-4))</f>
        <v/>
      </c>
      <c r="J121" s="53">
        <f>IF(IFERROR(MATCH(117,'List A'!$S$5:$S$204,0)+4,"")="","",INDEX('List A'!$O$5:$O$204,IFERROR(MATCH(117,'List A'!$S$5:$S$204,0)+4,"")-4))</f>
        <v/>
      </c>
    </row>
    <row r="122" ht="17" customHeight="1">
      <c r="A122" s="87">
        <f>IF(IFERROR(MATCH(118,'List A'!$S$5:$S$204,0)+4,"")="","",INDEX('List A'!$A$5:$A$204,IFERROR(MATCH(118,'List A'!$S$5:$S$204,0)+4,"")-4))</f>
        <v/>
      </c>
      <c r="B122" s="53">
        <f>IF(IFERROR(MATCH(118,'List A'!$S$5:$S$204,0)+4,"")="","",INDEX('List A'!$B$5:$B$204,IFERROR(MATCH(118,'List A'!$S$5:$S$204,0)+4,"")-4))</f>
        <v/>
      </c>
      <c r="C122" s="52">
        <f>IF(IFERROR(MATCH(118,'List A'!$S$5:$S$204,0)+4,"")="","",INDEX('List A'!$C$5:$C$204,IFERROR(MATCH(118,'List A'!$S$5:$S$204,0)+4,"")-4))</f>
        <v/>
      </c>
      <c r="D122" s="53">
        <f>IF(IFERROR(MATCH(118,'List A'!$S$5:$S$204,0)+4,"")="","",INDEX('List A'!$D$5:$D$204,IFERROR(MATCH(118,'List A'!$S$5:$S$204,0)+4,"")-4))</f>
        <v/>
      </c>
      <c r="E122" s="87">
        <f>IF(OR(IFERROR(MATCH(118,'List A'!$S$5:$S$204,0)+4,"")="",IF(IFERROR(MATCH(118,'List A'!$S$5:$S$204,0)+4,"")="","",INDEX('List A'!$K$5:$K$204,IFERROR(MATCH(118,'List A'!$S$5:$S$204,0)+4,"")-4))=""),"",INDEX('List B'!$A$5:$A$204,IF(IFERROR(MATCH(118,'List A'!$S$5:$S$204,0)+4,"")="","",INDEX('List A'!$K$5:$K$204,IFERROR(MATCH(118,'List A'!$S$5:$S$204,0)+4,"")-4))-4))</f>
        <v/>
      </c>
      <c r="F122" s="53">
        <f>IF(OR(IFERROR(MATCH(118,'List A'!$S$5:$S$204,0)+4,"")="",IF(IFERROR(MATCH(118,'List A'!$S$5:$S$204,0)+4,"")="","",INDEX('List A'!$K$5:$K$204,IFERROR(MATCH(118,'List A'!$S$5:$S$204,0)+4,"")-4))=""),"",INDEX('List B'!$B$5:$B$204,IF(IFERROR(MATCH(118,'List A'!$S$5:$S$204,0)+4,"")="","",INDEX('List A'!$K$5:$K$204,IFERROR(MATCH(118,'List A'!$S$5:$S$204,0)+4,"")-4))-4))</f>
        <v/>
      </c>
      <c r="G122" s="52">
        <f>IF(OR(IFERROR(MATCH(118,'List A'!$S$5:$S$204,0)+4,"")="",IF(IFERROR(MATCH(118,'List A'!$S$5:$S$204,0)+4,"")="","",INDEX('List A'!$K$5:$K$204,IFERROR(MATCH(118,'List A'!$S$5:$S$204,0)+4,"")-4))=""),"",INDEX('List B'!$C$5:$C$204,IF(IFERROR(MATCH(118,'List A'!$S$5:$S$204,0)+4,"")="","",INDEX('List A'!$K$5:$K$204,IFERROR(MATCH(118,'List A'!$S$5:$S$204,0)+4,"")-4))-4))</f>
        <v/>
      </c>
      <c r="H122" s="53">
        <f>IF(OR(IFERROR(MATCH(118,'List A'!$S$5:$S$204,0)+4,"")="",IF(IFERROR(MATCH(118,'List A'!$S$5:$S$204,0)+4,"")="","",INDEX('List A'!$K$5:$K$204,IFERROR(MATCH(118,'List A'!$S$5:$S$204,0)+4,"")-4))=""),"",INDEX('List B'!$D$5:$D$204,IF(IFERROR(MATCH(118,'List A'!$S$5:$S$204,0)+4,"")="","",INDEX('List A'!$K$5:$K$204,IFERROR(MATCH(118,'List A'!$S$5:$S$204,0)+4,"")-4))-4))</f>
        <v/>
      </c>
      <c r="I122" s="52">
        <f>IF(IFERROR(MATCH(118,'List A'!$S$5:$S$204,0)+4,"")="","",INDEX('List A'!$N$5:$N$204,IFERROR(MATCH(118,'List A'!$S$5:$S$204,0)+4,"")-4))</f>
        <v/>
      </c>
      <c r="J122" s="53">
        <f>IF(IFERROR(MATCH(118,'List A'!$S$5:$S$204,0)+4,"")="","",INDEX('List A'!$O$5:$O$204,IFERROR(MATCH(118,'List A'!$S$5:$S$204,0)+4,"")-4))</f>
        <v/>
      </c>
    </row>
    <row r="123" ht="17" customHeight="1">
      <c r="A123" s="87">
        <f>IF(IFERROR(MATCH(119,'List A'!$S$5:$S$204,0)+4,"")="","",INDEX('List A'!$A$5:$A$204,IFERROR(MATCH(119,'List A'!$S$5:$S$204,0)+4,"")-4))</f>
        <v/>
      </c>
      <c r="B123" s="53">
        <f>IF(IFERROR(MATCH(119,'List A'!$S$5:$S$204,0)+4,"")="","",INDEX('List A'!$B$5:$B$204,IFERROR(MATCH(119,'List A'!$S$5:$S$204,0)+4,"")-4))</f>
        <v/>
      </c>
      <c r="C123" s="52">
        <f>IF(IFERROR(MATCH(119,'List A'!$S$5:$S$204,0)+4,"")="","",INDEX('List A'!$C$5:$C$204,IFERROR(MATCH(119,'List A'!$S$5:$S$204,0)+4,"")-4))</f>
        <v/>
      </c>
      <c r="D123" s="53">
        <f>IF(IFERROR(MATCH(119,'List A'!$S$5:$S$204,0)+4,"")="","",INDEX('List A'!$D$5:$D$204,IFERROR(MATCH(119,'List A'!$S$5:$S$204,0)+4,"")-4))</f>
        <v/>
      </c>
      <c r="E123" s="87">
        <f>IF(OR(IFERROR(MATCH(119,'List A'!$S$5:$S$204,0)+4,"")="",IF(IFERROR(MATCH(119,'List A'!$S$5:$S$204,0)+4,"")="","",INDEX('List A'!$K$5:$K$204,IFERROR(MATCH(119,'List A'!$S$5:$S$204,0)+4,"")-4))=""),"",INDEX('List B'!$A$5:$A$204,IF(IFERROR(MATCH(119,'List A'!$S$5:$S$204,0)+4,"")="","",INDEX('List A'!$K$5:$K$204,IFERROR(MATCH(119,'List A'!$S$5:$S$204,0)+4,"")-4))-4))</f>
        <v/>
      </c>
      <c r="F123" s="53">
        <f>IF(OR(IFERROR(MATCH(119,'List A'!$S$5:$S$204,0)+4,"")="",IF(IFERROR(MATCH(119,'List A'!$S$5:$S$204,0)+4,"")="","",INDEX('List A'!$K$5:$K$204,IFERROR(MATCH(119,'List A'!$S$5:$S$204,0)+4,"")-4))=""),"",INDEX('List B'!$B$5:$B$204,IF(IFERROR(MATCH(119,'List A'!$S$5:$S$204,0)+4,"")="","",INDEX('List A'!$K$5:$K$204,IFERROR(MATCH(119,'List A'!$S$5:$S$204,0)+4,"")-4))-4))</f>
        <v/>
      </c>
      <c r="G123" s="52">
        <f>IF(OR(IFERROR(MATCH(119,'List A'!$S$5:$S$204,0)+4,"")="",IF(IFERROR(MATCH(119,'List A'!$S$5:$S$204,0)+4,"")="","",INDEX('List A'!$K$5:$K$204,IFERROR(MATCH(119,'List A'!$S$5:$S$204,0)+4,"")-4))=""),"",INDEX('List B'!$C$5:$C$204,IF(IFERROR(MATCH(119,'List A'!$S$5:$S$204,0)+4,"")="","",INDEX('List A'!$K$5:$K$204,IFERROR(MATCH(119,'List A'!$S$5:$S$204,0)+4,"")-4))-4))</f>
        <v/>
      </c>
      <c r="H123" s="53">
        <f>IF(OR(IFERROR(MATCH(119,'List A'!$S$5:$S$204,0)+4,"")="",IF(IFERROR(MATCH(119,'List A'!$S$5:$S$204,0)+4,"")="","",INDEX('List A'!$K$5:$K$204,IFERROR(MATCH(119,'List A'!$S$5:$S$204,0)+4,"")-4))=""),"",INDEX('List B'!$D$5:$D$204,IF(IFERROR(MATCH(119,'List A'!$S$5:$S$204,0)+4,"")="","",INDEX('List A'!$K$5:$K$204,IFERROR(MATCH(119,'List A'!$S$5:$S$204,0)+4,"")-4))-4))</f>
        <v/>
      </c>
      <c r="I123" s="52">
        <f>IF(IFERROR(MATCH(119,'List A'!$S$5:$S$204,0)+4,"")="","",INDEX('List A'!$N$5:$N$204,IFERROR(MATCH(119,'List A'!$S$5:$S$204,0)+4,"")-4))</f>
        <v/>
      </c>
      <c r="J123" s="53">
        <f>IF(IFERROR(MATCH(119,'List A'!$S$5:$S$204,0)+4,"")="","",INDEX('List A'!$O$5:$O$204,IFERROR(MATCH(119,'List A'!$S$5:$S$204,0)+4,"")-4))</f>
        <v/>
      </c>
    </row>
    <row r="124" ht="17" customHeight="1">
      <c r="A124" s="87">
        <f>IF(IFERROR(MATCH(120,'List A'!$S$5:$S$204,0)+4,"")="","",INDEX('List A'!$A$5:$A$204,IFERROR(MATCH(120,'List A'!$S$5:$S$204,0)+4,"")-4))</f>
        <v/>
      </c>
      <c r="B124" s="53">
        <f>IF(IFERROR(MATCH(120,'List A'!$S$5:$S$204,0)+4,"")="","",INDEX('List A'!$B$5:$B$204,IFERROR(MATCH(120,'List A'!$S$5:$S$204,0)+4,"")-4))</f>
        <v/>
      </c>
      <c r="C124" s="52">
        <f>IF(IFERROR(MATCH(120,'List A'!$S$5:$S$204,0)+4,"")="","",INDEX('List A'!$C$5:$C$204,IFERROR(MATCH(120,'List A'!$S$5:$S$204,0)+4,"")-4))</f>
        <v/>
      </c>
      <c r="D124" s="53">
        <f>IF(IFERROR(MATCH(120,'List A'!$S$5:$S$204,0)+4,"")="","",INDEX('List A'!$D$5:$D$204,IFERROR(MATCH(120,'List A'!$S$5:$S$204,0)+4,"")-4))</f>
        <v/>
      </c>
      <c r="E124" s="87">
        <f>IF(OR(IFERROR(MATCH(120,'List A'!$S$5:$S$204,0)+4,"")="",IF(IFERROR(MATCH(120,'List A'!$S$5:$S$204,0)+4,"")="","",INDEX('List A'!$K$5:$K$204,IFERROR(MATCH(120,'List A'!$S$5:$S$204,0)+4,"")-4))=""),"",INDEX('List B'!$A$5:$A$204,IF(IFERROR(MATCH(120,'List A'!$S$5:$S$204,0)+4,"")="","",INDEX('List A'!$K$5:$K$204,IFERROR(MATCH(120,'List A'!$S$5:$S$204,0)+4,"")-4))-4))</f>
        <v/>
      </c>
      <c r="F124" s="53">
        <f>IF(OR(IFERROR(MATCH(120,'List A'!$S$5:$S$204,0)+4,"")="",IF(IFERROR(MATCH(120,'List A'!$S$5:$S$204,0)+4,"")="","",INDEX('List A'!$K$5:$K$204,IFERROR(MATCH(120,'List A'!$S$5:$S$204,0)+4,"")-4))=""),"",INDEX('List B'!$B$5:$B$204,IF(IFERROR(MATCH(120,'List A'!$S$5:$S$204,0)+4,"")="","",INDEX('List A'!$K$5:$K$204,IFERROR(MATCH(120,'List A'!$S$5:$S$204,0)+4,"")-4))-4))</f>
        <v/>
      </c>
      <c r="G124" s="52">
        <f>IF(OR(IFERROR(MATCH(120,'List A'!$S$5:$S$204,0)+4,"")="",IF(IFERROR(MATCH(120,'List A'!$S$5:$S$204,0)+4,"")="","",INDEX('List A'!$K$5:$K$204,IFERROR(MATCH(120,'List A'!$S$5:$S$204,0)+4,"")-4))=""),"",INDEX('List B'!$C$5:$C$204,IF(IFERROR(MATCH(120,'List A'!$S$5:$S$204,0)+4,"")="","",INDEX('List A'!$K$5:$K$204,IFERROR(MATCH(120,'List A'!$S$5:$S$204,0)+4,"")-4))-4))</f>
        <v/>
      </c>
      <c r="H124" s="53">
        <f>IF(OR(IFERROR(MATCH(120,'List A'!$S$5:$S$204,0)+4,"")="",IF(IFERROR(MATCH(120,'List A'!$S$5:$S$204,0)+4,"")="","",INDEX('List A'!$K$5:$K$204,IFERROR(MATCH(120,'List A'!$S$5:$S$204,0)+4,"")-4))=""),"",INDEX('List B'!$D$5:$D$204,IF(IFERROR(MATCH(120,'List A'!$S$5:$S$204,0)+4,"")="","",INDEX('List A'!$K$5:$K$204,IFERROR(MATCH(120,'List A'!$S$5:$S$204,0)+4,"")-4))-4))</f>
        <v/>
      </c>
      <c r="I124" s="52">
        <f>IF(IFERROR(MATCH(120,'List A'!$S$5:$S$204,0)+4,"")="","",INDEX('List A'!$N$5:$N$204,IFERROR(MATCH(120,'List A'!$S$5:$S$204,0)+4,"")-4))</f>
        <v/>
      </c>
      <c r="J124" s="53">
        <f>IF(IFERROR(MATCH(120,'List A'!$S$5:$S$204,0)+4,"")="","",INDEX('List A'!$O$5:$O$204,IFERROR(MATCH(120,'List A'!$S$5:$S$204,0)+4,"")-4))</f>
        <v/>
      </c>
    </row>
    <row r="125" ht="17" customHeight="1">
      <c r="A125" s="87">
        <f>IF(IFERROR(MATCH(121,'List A'!$S$5:$S$204,0)+4,"")="","",INDEX('List A'!$A$5:$A$204,IFERROR(MATCH(121,'List A'!$S$5:$S$204,0)+4,"")-4))</f>
        <v/>
      </c>
      <c r="B125" s="53">
        <f>IF(IFERROR(MATCH(121,'List A'!$S$5:$S$204,0)+4,"")="","",INDEX('List A'!$B$5:$B$204,IFERROR(MATCH(121,'List A'!$S$5:$S$204,0)+4,"")-4))</f>
        <v/>
      </c>
      <c r="C125" s="52">
        <f>IF(IFERROR(MATCH(121,'List A'!$S$5:$S$204,0)+4,"")="","",INDEX('List A'!$C$5:$C$204,IFERROR(MATCH(121,'List A'!$S$5:$S$204,0)+4,"")-4))</f>
        <v/>
      </c>
      <c r="D125" s="53">
        <f>IF(IFERROR(MATCH(121,'List A'!$S$5:$S$204,0)+4,"")="","",INDEX('List A'!$D$5:$D$204,IFERROR(MATCH(121,'List A'!$S$5:$S$204,0)+4,"")-4))</f>
        <v/>
      </c>
      <c r="E125" s="87">
        <f>IF(OR(IFERROR(MATCH(121,'List A'!$S$5:$S$204,0)+4,"")="",IF(IFERROR(MATCH(121,'List A'!$S$5:$S$204,0)+4,"")="","",INDEX('List A'!$K$5:$K$204,IFERROR(MATCH(121,'List A'!$S$5:$S$204,0)+4,"")-4))=""),"",INDEX('List B'!$A$5:$A$204,IF(IFERROR(MATCH(121,'List A'!$S$5:$S$204,0)+4,"")="","",INDEX('List A'!$K$5:$K$204,IFERROR(MATCH(121,'List A'!$S$5:$S$204,0)+4,"")-4))-4))</f>
        <v/>
      </c>
      <c r="F125" s="53">
        <f>IF(OR(IFERROR(MATCH(121,'List A'!$S$5:$S$204,0)+4,"")="",IF(IFERROR(MATCH(121,'List A'!$S$5:$S$204,0)+4,"")="","",INDEX('List A'!$K$5:$K$204,IFERROR(MATCH(121,'List A'!$S$5:$S$204,0)+4,"")-4))=""),"",INDEX('List B'!$B$5:$B$204,IF(IFERROR(MATCH(121,'List A'!$S$5:$S$204,0)+4,"")="","",INDEX('List A'!$K$5:$K$204,IFERROR(MATCH(121,'List A'!$S$5:$S$204,0)+4,"")-4))-4))</f>
        <v/>
      </c>
      <c r="G125" s="52">
        <f>IF(OR(IFERROR(MATCH(121,'List A'!$S$5:$S$204,0)+4,"")="",IF(IFERROR(MATCH(121,'List A'!$S$5:$S$204,0)+4,"")="","",INDEX('List A'!$K$5:$K$204,IFERROR(MATCH(121,'List A'!$S$5:$S$204,0)+4,"")-4))=""),"",INDEX('List B'!$C$5:$C$204,IF(IFERROR(MATCH(121,'List A'!$S$5:$S$204,0)+4,"")="","",INDEX('List A'!$K$5:$K$204,IFERROR(MATCH(121,'List A'!$S$5:$S$204,0)+4,"")-4))-4))</f>
        <v/>
      </c>
      <c r="H125" s="53">
        <f>IF(OR(IFERROR(MATCH(121,'List A'!$S$5:$S$204,0)+4,"")="",IF(IFERROR(MATCH(121,'List A'!$S$5:$S$204,0)+4,"")="","",INDEX('List A'!$K$5:$K$204,IFERROR(MATCH(121,'List A'!$S$5:$S$204,0)+4,"")-4))=""),"",INDEX('List B'!$D$5:$D$204,IF(IFERROR(MATCH(121,'List A'!$S$5:$S$204,0)+4,"")="","",INDEX('List A'!$K$5:$K$204,IFERROR(MATCH(121,'List A'!$S$5:$S$204,0)+4,"")-4))-4))</f>
        <v/>
      </c>
      <c r="I125" s="52">
        <f>IF(IFERROR(MATCH(121,'List A'!$S$5:$S$204,0)+4,"")="","",INDEX('List A'!$N$5:$N$204,IFERROR(MATCH(121,'List A'!$S$5:$S$204,0)+4,"")-4))</f>
        <v/>
      </c>
      <c r="J125" s="53">
        <f>IF(IFERROR(MATCH(121,'List A'!$S$5:$S$204,0)+4,"")="","",INDEX('List A'!$O$5:$O$204,IFERROR(MATCH(121,'List A'!$S$5:$S$204,0)+4,"")-4))</f>
        <v/>
      </c>
    </row>
    <row r="126" ht="17" customHeight="1">
      <c r="A126" s="87">
        <f>IF(IFERROR(MATCH(122,'List A'!$S$5:$S$204,0)+4,"")="","",INDEX('List A'!$A$5:$A$204,IFERROR(MATCH(122,'List A'!$S$5:$S$204,0)+4,"")-4))</f>
        <v/>
      </c>
      <c r="B126" s="53">
        <f>IF(IFERROR(MATCH(122,'List A'!$S$5:$S$204,0)+4,"")="","",INDEX('List A'!$B$5:$B$204,IFERROR(MATCH(122,'List A'!$S$5:$S$204,0)+4,"")-4))</f>
        <v/>
      </c>
      <c r="C126" s="52">
        <f>IF(IFERROR(MATCH(122,'List A'!$S$5:$S$204,0)+4,"")="","",INDEX('List A'!$C$5:$C$204,IFERROR(MATCH(122,'List A'!$S$5:$S$204,0)+4,"")-4))</f>
        <v/>
      </c>
      <c r="D126" s="53">
        <f>IF(IFERROR(MATCH(122,'List A'!$S$5:$S$204,0)+4,"")="","",INDEX('List A'!$D$5:$D$204,IFERROR(MATCH(122,'List A'!$S$5:$S$204,0)+4,"")-4))</f>
        <v/>
      </c>
      <c r="E126" s="87">
        <f>IF(OR(IFERROR(MATCH(122,'List A'!$S$5:$S$204,0)+4,"")="",IF(IFERROR(MATCH(122,'List A'!$S$5:$S$204,0)+4,"")="","",INDEX('List A'!$K$5:$K$204,IFERROR(MATCH(122,'List A'!$S$5:$S$204,0)+4,"")-4))=""),"",INDEX('List B'!$A$5:$A$204,IF(IFERROR(MATCH(122,'List A'!$S$5:$S$204,0)+4,"")="","",INDEX('List A'!$K$5:$K$204,IFERROR(MATCH(122,'List A'!$S$5:$S$204,0)+4,"")-4))-4))</f>
        <v/>
      </c>
      <c r="F126" s="53">
        <f>IF(OR(IFERROR(MATCH(122,'List A'!$S$5:$S$204,0)+4,"")="",IF(IFERROR(MATCH(122,'List A'!$S$5:$S$204,0)+4,"")="","",INDEX('List A'!$K$5:$K$204,IFERROR(MATCH(122,'List A'!$S$5:$S$204,0)+4,"")-4))=""),"",INDEX('List B'!$B$5:$B$204,IF(IFERROR(MATCH(122,'List A'!$S$5:$S$204,0)+4,"")="","",INDEX('List A'!$K$5:$K$204,IFERROR(MATCH(122,'List A'!$S$5:$S$204,0)+4,"")-4))-4))</f>
        <v/>
      </c>
      <c r="G126" s="52">
        <f>IF(OR(IFERROR(MATCH(122,'List A'!$S$5:$S$204,0)+4,"")="",IF(IFERROR(MATCH(122,'List A'!$S$5:$S$204,0)+4,"")="","",INDEX('List A'!$K$5:$K$204,IFERROR(MATCH(122,'List A'!$S$5:$S$204,0)+4,"")-4))=""),"",INDEX('List B'!$C$5:$C$204,IF(IFERROR(MATCH(122,'List A'!$S$5:$S$204,0)+4,"")="","",INDEX('List A'!$K$5:$K$204,IFERROR(MATCH(122,'List A'!$S$5:$S$204,0)+4,"")-4))-4))</f>
        <v/>
      </c>
      <c r="H126" s="53">
        <f>IF(OR(IFERROR(MATCH(122,'List A'!$S$5:$S$204,0)+4,"")="",IF(IFERROR(MATCH(122,'List A'!$S$5:$S$204,0)+4,"")="","",INDEX('List A'!$K$5:$K$204,IFERROR(MATCH(122,'List A'!$S$5:$S$204,0)+4,"")-4))=""),"",INDEX('List B'!$D$5:$D$204,IF(IFERROR(MATCH(122,'List A'!$S$5:$S$204,0)+4,"")="","",INDEX('List A'!$K$5:$K$204,IFERROR(MATCH(122,'List A'!$S$5:$S$204,0)+4,"")-4))-4))</f>
        <v/>
      </c>
      <c r="I126" s="52">
        <f>IF(IFERROR(MATCH(122,'List A'!$S$5:$S$204,0)+4,"")="","",INDEX('List A'!$N$5:$N$204,IFERROR(MATCH(122,'List A'!$S$5:$S$204,0)+4,"")-4))</f>
        <v/>
      </c>
      <c r="J126" s="53">
        <f>IF(IFERROR(MATCH(122,'List A'!$S$5:$S$204,0)+4,"")="","",INDEX('List A'!$O$5:$O$204,IFERROR(MATCH(122,'List A'!$S$5:$S$204,0)+4,"")-4))</f>
        <v/>
      </c>
    </row>
    <row r="127" ht="17" customHeight="1">
      <c r="A127" s="87">
        <f>IF(IFERROR(MATCH(123,'List A'!$S$5:$S$204,0)+4,"")="","",INDEX('List A'!$A$5:$A$204,IFERROR(MATCH(123,'List A'!$S$5:$S$204,0)+4,"")-4))</f>
        <v/>
      </c>
      <c r="B127" s="53">
        <f>IF(IFERROR(MATCH(123,'List A'!$S$5:$S$204,0)+4,"")="","",INDEX('List A'!$B$5:$B$204,IFERROR(MATCH(123,'List A'!$S$5:$S$204,0)+4,"")-4))</f>
        <v/>
      </c>
      <c r="C127" s="52">
        <f>IF(IFERROR(MATCH(123,'List A'!$S$5:$S$204,0)+4,"")="","",INDEX('List A'!$C$5:$C$204,IFERROR(MATCH(123,'List A'!$S$5:$S$204,0)+4,"")-4))</f>
        <v/>
      </c>
      <c r="D127" s="53">
        <f>IF(IFERROR(MATCH(123,'List A'!$S$5:$S$204,0)+4,"")="","",INDEX('List A'!$D$5:$D$204,IFERROR(MATCH(123,'List A'!$S$5:$S$204,0)+4,"")-4))</f>
        <v/>
      </c>
      <c r="E127" s="87">
        <f>IF(OR(IFERROR(MATCH(123,'List A'!$S$5:$S$204,0)+4,"")="",IF(IFERROR(MATCH(123,'List A'!$S$5:$S$204,0)+4,"")="","",INDEX('List A'!$K$5:$K$204,IFERROR(MATCH(123,'List A'!$S$5:$S$204,0)+4,"")-4))=""),"",INDEX('List B'!$A$5:$A$204,IF(IFERROR(MATCH(123,'List A'!$S$5:$S$204,0)+4,"")="","",INDEX('List A'!$K$5:$K$204,IFERROR(MATCH(123,'List A'!$S$5:$S$204,0)+4,"")-4))-4))</f>
        <v/>
      </c>
      <c r="F127" s="53">
        <f>IF(OR(IFERROR(MATCH(123,'List A'!$S$5:$S$204,0)+4,"")="",IF(IFERROR(MATCH(123,'List A'!$S$5:$S$204,0)+4,"")="","",INDEX('List A'!$K$5:$K$204,IFERROR(MATCH(123,'List A'!$S$5:$S$204,0)+4,"")-4))=""),"",INDEX('List B'!$B$5:$B$204,IF(IFERROR(MATCH(123,'List A'!$S$5:$S$204,0)+4,"")="","",INDEX('List A'!$K$5:$K$204,IFERROR(MATCH(123,'List A'!$S$5:$S$204,0)+4,"")-4))-4))</f>
        <v/>
      </c>
      <c r="G127" s="52">
        <f>IF(OR(IFERROR(MATCH(123,'List A'!$S$5:$S$204,0)+4,"")="",IF(IFERROR(MATCH(123,'List A'!$S$5:$S$204,0)+4,"")="","",INDEX('List A'!$K$5:$K$204,IFERROR(MATCH(123,'List A'!$S$5:$S$204,0)+4,"")-4))=""),"",INDEX('List B'!$C$5:$C$204,IF(IFERROR(MATCH(123,'List A'!$S$5:$S$204,0)+4,"")="","",INDEX('List A'!$K$5:$K$204,IFERROR(MATCH(123,'List A'!$S$5:$S$204,0)+4,"")-4))-4))</f>
        <v/>
      </c>
      <c r="H127" s="53">
        <f>IF(OR(IFERROR(MATCH(123,'List A'!$S$5:$S$204,0)+4,"")="",IF(IFERROR(MATCH(123,'List A'!$S$5:$S$204,0)+4,"")="","",INDEX('List A'!$K$5:$K$204,IFERROR(MATCH(123,'List A'!$S$5:$S$204,0)+4,"")-4))=""),"",INDEX('List B'!$D$5:$D$204,IF(IFERROR(MATCH(123,'List A'!$S$5:$S$204,0)+4,"")="","",INDEX('List A'!$K$5:$K$204,IFERROR(MATCH(123,'List A'!$S$5:$S$204,0)+4,"")-4))-4))</f>
        <v/>
      </c>
      <c r="I127" s="52">
        <f>IF(IFERROR(MATCH(123,'List A'!$S$5:$S$204,0)+4,"")="","",INDEX('List A'!$N$5:$N$204,IFERROR(MATCH(123,'List A'!$S$5:$S$204,0)+4,"")-4))</f>
        <v/>
      </c>
      <c r="J127" s="53">
        <f>IF(IFERROR(MATCH(123,'List A'!$S$5:$S$204,0)+4,"")="","",INDEX('List A'!$O$5:$O$204,IFERROR(MATCH(123,'List A'!$S$5:$S$204,0)+4,"")-4))</f>
        <v/>
      </c>
    </row>
    <row r="128" ht="17" customHeight="1">
      <c r="A128" s="87">
        <f>IF(IFERROR(MATCH(124,'List A'!$S$5:$S$204,0)+4,"")="","",INDEX('List A'!$A$5:$A$204,IFERROR(MATCH(124,'List A'!$S$5:$S$204,0)+4,"")-4))</f>
        <v/>
      </c>
      <c r="B128" s="53">
        <f>IF(IFERROR(MATCH(124,'List A'!$S$5:$S$204,0)+4,"")="","",INDEX('List A'!$B$5:$B$204,IFERROR(MATCH(124,'List A'!$S$5:$S$204,0)+4,"")-4))</f>
        <v/>
      </c>
      <c r="C128" s="52">
        <f>IF(IFERROR(MATCH(124,'List A'!$S$5:$S$204,0)+4,"")="","",INDEX('List A'!$C$5:$C$204,IFERROR(MATCH(124,'List A'!$S$5:$S$204,0)+4,"")-4))</f>
        <v/>
      </c>
      <c r="D128" s="53">
        <f>IF(IFERROR(MATCH(124,'List A'!$S$5:$S$204,0)+4,"")="","",INDEX('List A'!$D$5:$D$204,IFERROR(MATCH(124,'List A'!$S$5:$S$204,0)+4,"")-4))</f>
        <v/>
      </c>
      <c r="E128" s="87">
        <f>IF(OR(IFERROR(MATCH(124,'List A'!$S$5:$S$204,0)+4,"")="",IF(IFERROR(MATCH(124,'List A'!$S$5:$S$204,0)+4,"")="","",INDEX('List A'!$K$5:$K$204,IFERROR(MATCH(124,'List A'!$S$5:$S$204,0)+4,"")-4))=""),"",INDEX('List B'!$A$5:$A$204,IF(IFERROR(MATCH(124,'List A'!$S$5:$S$204,0)+4,"")="","",INDEX('List A'!$K$5:$K$204,IFERROR(MATCH(124,'List A'!$S$5:$S$204,0)+4,"")-4))-4))</f>
        <v/>
      </c>
      <c r="F128" s="53">
        <f>IF(OR(IFERROR(MATCH(124,'List A'!$S$5:$S$204,0)+4,"")="",IF(IFERROR(MATCH(124,'List A'!$S$5:$S$204,0)+4,"")="","",INDEX('List A'!$K$5:$K$204,IFERROR(MATCH(124,'List A'!$S$5:$S$204,0)+4,"")-4))=""),"",INDEX('List B'!$B$5:$B$204,IF(IFERROR(MATCH(124,'List A'!$S$5:$S$204,0)+4,"")="","",INDEX('List A'!$K$5:$K$204,IFERROR(MATCH(124,'List A'!$S$5:$S$204,0)+4,"")-4))-4))</f>
        <v/>
      </c>
      <c r="G128" s="52">
        <f>IF(OR(IFERROR(MATCH(124,'List A'!$S$5:$S$204,0)+4,"")="",IF(IFERROR(MATCH(124,'List A'!$S$5:$S$204,0)+4,"")="","",INDEX('List A'!$K$5:$K$204,IFERROR(MATCH(124,'List A'!$S$5:$S$204,0)+4,"")-4))=""),"",INDEX('List B'!$C$5:$C$204,IF(IFERROR(MATCH(124,'List A'!$S$5:$S$204,0)+4,"")="","",INDEX('List A'!$K$5:$K$204,IFERROR(MATCH(124,'List A'!$S$5:$S$204,0)+4,"")-4))-4))</f>
        <v/>
      </c>
      <c r="H128" s="53">
        <f>IF(OR(IFERROR(MATCH(124,'List A'!$S$5:$S$204,0)+4,"")="",IF(IFERROR(MATCH(124,'List A'!$S$5:$S$204,0)+4,"")="","",INDEX('List A'!$K$5:$K$204,IFERROR(MATCH(124,'List A'!$S$5:$S$204,0)+4,"")-4))=""),"",INDEX('List B'!$D$5:$D$204,IF(IFERROR(MATCH(124,'List A'!$S$5:$S$204,0)+4,"")="","",INDEX('List A'!$K$5:$K$204,IFERROR(MATCH(124,'List A'!$S$5:$S$204,0)+4,"")-4))-4))</f>
        <v/>
      </c>
      <c r="I128" s="52">
        <f>IF(IFERROR(MATCH(124,'List A'!$S$5:$S$204,0)+4,"")="","",INDEX('List A'!$N$5:$N$204,IFERROR(MATCH(124,'List A'!$S$5:$S$204,0)+4,"")-4))</f>
        <v/>
      </c>
      <c r="J128" s="53">
        <f>IF(IFERROR(MATCH(124,'List A'!$S$5:$S$204,0)+4,"")="","",INDEX('List A'!$O$5:$O$204,IFERROR(MATCH(124,'List A'!$S$5:$S$204,0)+4,"")-4))</f>
        <v/>
      </c>
    </row>
    <row r="129" ht="17" customHeight="1">
      <c r="A129" s="87">
        <f>IF(IFERROR(MATCH(125,'List A'!$S$5:$S$204,0)+4,"")="","",INDEX('List A'!$A$5:$A$204,IFERROR(MATCH(125,'List A'!$S$5:$S$204,0)+4,"")-4))</f>
        <v/>
      </c>
      <c r="B129" s="53">
        <f>IF(IFERROR(MATCH(125,'List A'!$S$5:$S$204,0)+4,"")="","",INDEX('List A'!$B$5:$B$204,IFERROR(MATCH(125,'List A'!$S$5:$S$204,0)+4,"")-4))</f>
        <v/>
      </c>
      <c r="C129" s="52">
        <f>IF(IFERROR(MATCH(125,'List A'!$S$5:$S$204,0)+4,"")="","",INDEX('List A'!$C$5:$C$204,IFERROR(MATCH(125,'List A'!$S$5:$S$204,0)+4,"")-4))</f>
        <v/>
      </c>
      <c r="D129" s="53">
        <f>IF(IFERROR(MATCH(125,'List A'!$S$5:$S$204,0)+4,"")="","",INDEX('List A'!$D$5:$D$204,IFERROR(MATCH(125,'List A'!$S$5:$S$204,0)+4,"")-4))</f>
        <v/>
      </c>
      <c r="E129" s="87">
        <f>IF(OR(IFERROR(MATCH(125,'List A'!$S$5:$S$204,0)+4,"")="",IF(IFERROR(MATCH(125,'List A'!$S$5:$S$204,0)+4,"")="","",INDEX('List A'!$K$5:$K$204,IFERROR(MATCH(125,'List A'!$S$5:$S$204,0)+4,"")-4))=""),"",INDEX('List B'!$A$5:$A$204,IF(IFERROR(MATCH(125,'List A'!$S$5:$S$204,0)+4,"")="","",INDEX('List A'!$K$5:$K$204,IFERROR(MATCH(125,'List A'!$S$5:$S$204,0)+4,"")-4))-4))</f>
        <v/>
      </c>
      <c r="F129" s="53">
        <f>IF(OR(IFERROR(MATCH(125,'List A'!$S$5:$S$204,0)+4,"")="",IF(IFERROR(MATCH(125,'List A'!$S$5:$S$204,0)+4,"")="","",INDEX('List A'!$K$5:$K$204,IFERROR(MATCH(125,'List A'!$S$5:$S$204,0)+4,"")-4))=""),"",INDEX('List B'!$B$5:$B$204,IF(IFERROR(MATCH(125,'List A'!$S$5:$S$204,0)+4,"")="","",INDEX('List A'!$K$5:$K$204,IFERROR(MATCH(125,'List A'!$S$5:$S$204,0)+4,"")-4))-4))</f>
        <v/>
      </c>
      <c r="G129" s="52">
        <f>IF(OR(IFERROR(MATCH(125,'List A'!$S$5:$S$204,0)+4,"")="",IF(IFERROR(MATCH(125,'List A'!$S$5:$S$204,0)+4,"")="","",INDEX('List A'!$K$5:$K$204,IFERROR(MATCH(125,'List A'!$S$5:$S$204,0)+4,"")-4))=""),"",INDEX('List B'!$C$5:$C$204,IF(IFERROR(MATCH(125,'List A'!$S$5:$S$204,0)+4,"")="","",INDEX('List A'!$K$5:$K$204,IFERROR(MATCH(125,'List A'!$S$5:$S$204,0)+4,"")-4))-4))</f>
        <v/>
      </c>
      <c r="H129" s="53">
        <f>IF(OR(IFERROR(MATCH(125,'List A'!$S$5:$S$204,0)+4,"")="",IF(IFERROR(MATCH(125,'List A'!$S$5:$S$204,0)+4,"")="","",INDEX('List A'!$K$5:$K$204,IFERROR(MATCH(125,'List A'!$S$5:$S$204,0)+4,"")-4))=""),"",INDEX('List B'!$D$5:$D$204,IF(IFERROR(MATCH(125,'List A'!$S$5:$S$204,0)+4,"")="","",INDEX('List A'!$K$5:$K$204,IFERROR(MATCH(125,'List A'!$S$5:$S$204,0)+4,"")-4))-4))</f>
        <v/>
      </c>
      <c r="I129" s="52">
        <f>IF(IFERROR(MATCH(125,'List A'!$S$5:$S$204,0)+4,"")="","",INDEX('List A'!$N$5:$N$204,IFERROR(MATCH(125,'List A'!$S$5:$S$204,0)+4,"")-4))</f>
        <v/>
      </c>
      <c r="J129" s="53">
        <f>IF(IFERROR(MATCH(125,'List A'!$S$5:$S$204,0)+4,"")="","",INDEX('List A'!$O$5:$O$204,IFERROR(MATCH(125,'List A'!$S$5:$S$204,0)+4,"")-4))</f>
        <v/>
      </c>
    </row>
    <row r="130" ht="17" customHeight="1">
      <c r="A130" s="87">
        <f>IF(IFERROR(MATCH(126,'List A'!$S$5:$S$204,0)+4,"")="","",INDEX('List A'!$A$5:$A$204,IFERROR(MATCH(126,'List A'!$S$5:$S$204,0)+4,"")-4))</f>
        <v/>
      </c>
      <c r="B130" s="53">
        <f>IF(IFERROR(MATCH(126,'List A'!$S$5:$S$204,0)+4,"")="","",INDEX('List A'!$B$5:$B$204,IFERROR(MATCH(126,'List A'!$S$5:$S$204,0)+4,"")-4))</f>
        <v/>
      </c>
      <c r="C130" s="52">
        <f>IF(IFERROR(MATCH(126,'List A'!$S$5:$S$204,0)+4,"")="","",INDEX('List A'!$C$5:$C$204,IFERROR(MATCH(126,'List A'!$S$5:$S$204,0)+4,"")-4))</f>
        <v/>
      </c>
      <c r="D130" s="53">
        <f>IF(IFERROR(MATCH(126,'List A'!$S$5:$S$204,0)+4,"")="","",INDEX('List A'!$D$5:$D$204,IFERROR(MATCH(126,'List A'!$S$5:$S$204,0)+4,"")-4))</f>
        <v/>
      </c>
      <c r="E130" s="87">
        <f>IF(OR(IFERROR(MATCH(126,'List A'!$S$5:$S$204,0)+4,"")="",IF(IFERROR(MATCH(126,'List A'!$S$5:$S$204,0)+4,"")="","",INDEX('List A'!$K$5:$K$204,IFERROR(MATCH(126,'List A'!$S$5:$S$204,0)+4,"")-4))=""),"",INDEX('List B'!$A$5:$A$204,IF(IFERROR(MATCH(126,'List A'!$S$5:$S$204,0)+4,"")="","",INDEX('List A'!$K$5:$K$204,IFERROR(MATCH(126,'List A'!$S$5:$S$204,0)+4,"")-4))-4))</f>
        <v/>
      </c>
      <c r="F130" s="53">
        <f>IF(OR(IFERROR(MATCH(126,'List A'!$S$5:$S$204,0)+4,"")="",IF(IFERROR(MATCH(126,'List A'!$S$5:$S$204,0)+4,"")="","",INDEX('List A'!$K$5:$K$204,IFERROR(MATCH(126,'List A'!$S$5:$S$204,0)+4,"")-4))=""),"",INDEX('List B'!$B$5:$B$204,IF(IFERROR(MATCH(126,'List A'!$S$5:$S$204,0)+4,"")="","",INDEX('List A'!$K$5:$K$204,IFERROR(MATCH(126,'List A'!$S$5:$S$204,0)+4,"")-4))-4))</f>
        <v/>
      </c>
      <c r="G130" s="52">
        <f>IF(OR(IFERROR(MATCH(126,'List A'!$S$5:$S$204,0)+4,"")="",IF(IFERROR(MATCH(126,'List A'!$S$5:$S$204,0)+4,"")="","",INDEX('List A'!$K$5:$K$204,IFERROR(MATCH(126,'List A'!$S$5:$S$204,0)+4,"")-4))=""),"",INDEX('List B'!$C$5:$C$204,IF(IFERROR(MATCH(126,'List A'!$S$5:$S$204,0)+4,"")="","",INDEX('List A'!$K$5:$K$204,IFERROR(MATCH(126,'List A'!$S$5:$S$204,0)+4,"")-4))-4))</f>
        <v/>
      </c>
      <c r="H130" s="53">
        <f>IF(OR(IFERROR(MATCH(126,'List A'!$S$5:$S$204,0)+4,"")="",IF(IFERROR(MATCH(126,'List A'!$S$5:$S$204,0)+4,"")="","",INDEX('List A'!$K$5:$K$204,IFERROR(MATCH(126,'List A'!$S$5:$S$204,0)+4,"")-4))=""),"",INDEX('List B'!$D$5:$D$204,IF(IFERROR(MATCH(126,'List A'!$S$5:$S$204,0)+4,"")="","",INDEX('List A'!$K$5:$K$204,IFERROR(MATCH(126,'List A'!$S$5:$S$204,0)+4,"")-4))-4))</f>
        <v/>
      </c>
      <c r="I130" s="52">
        <f>IF(IFERROR(MATCH(126,'List A'!$S$5:$S$204,0)+4,"")="","",INDEX('List A'!$N$5:$N$204,IFERROR(MATCH(126,'List A'!$S$5:$S$204,0)+4,"")-4))</f>
        <v/>
      </c>
      <c r="J130" s="53">
        <f>IF(IFERROR(MATCH(126,'List A'!$S$5:$S$204,0)+4,"")="","",INDEX('List A'!$O$5:$O$204,IFERROR(MATCH(126,'List A'!$S$5:$S$204,0)+4,"")-4))</f>
        <v/>
      </c>
    </row>
    <row r="131" ht="17" customHeight="1">
      <c r="A131" s="87">
        <f>IF(IFERROR(MATCH(127,'List A'!$S$5:$S$204,0)+4,"")="","",INDEX('List A'!$A$5:$A$204,IFERROR(MATCH(127,'List A'!$S$5:$S$204,0)+4,"")-4))</f>
        <v/>
      </c>
      <c r="B131" s="53">
        <f>IF(IFERROR(MATCH(127,'List A'!$S$5:$S$204,0)+4,"")="","",INDEX('List A'!$B$5:$B$204,IFERROR(MATCH(127,'List A'!$S$5:$S$204,0)+4,"")-4))</f>
        <v/>
      </c>
      <c r="C131" s="52">
        <f>IF(IFERROR(MATCH(127,'List A'!$S$5:$S$204,0)+4,"")="","",INDEX('List A'!$C$5:$C$204,IFERROR(MATCH(127,'List A'!$S$5:$S$204,0)+4,"")-4))</f>
        <v/>
      </c>
      <c r="D131" s="53">
        <f>IF(IFERROR(MATCH(127,'List A'!$S$5:$S$204,0)+4,"")="","",INDEX('List A'!$D$5:$D$204,IFERROR(MATCH(127,'List A'!$S$5:$S$204,0)+4,"")-4))</f>
        <v/>
      </c>
      <c r="E131" s="87">
        <f>IF(OR(IFERROR(MATCH(127,'List A'!$S$5:$S$204,0)+4,"")="",IF(IFERROR(MATCH(127,'List A'!$S$5:$S$204,0)+4,"")="","",INDEX('List A'!$K$5:$K$204,IFERROR(MATCH(127,'List A'!$S$5:$S$204,0)+4,"")-4))=""),"",INDEX('List B'!$A$5:$A$204,IF(IFERROR(MATCH(127,'List A'!$S$5:$S$204,0)+4,"")="","",INDEX('List A'!$K$5:$K$204,IFERROR(MATCH(127,'List A'!$S$5:$S$204,0)+4,"")-4))-4))</f>
        <v/>
      </c>
      <c r="F131" s="53">
        <f>IF(OR(IFERROR(MATCH(127,'List A'!$S$5:$S$204,0)+4,"")="",IF(IFERROR(MATCH(127,'List A'!$S$5:$S$204,0)+4,"")="","",INDEX('List A'!$K$5:$K$204,IFERROR(MATCH(127,'List A'!$S$5:$S$204,0)+4,"")-4))=""),"",INDEX('List B'!$B$5:$B$204,IF(IFERROR(MATCH(127,'List A'!$S$5:$S$204,0)+4,"")="","",INDEX('List A'!$K$5:$K$204,IFERROR(MATCH(127,'List A'!$S$5:$S$204,0)+4,"")-4))-4))</f>
        <v/>
      </c>
      <c r="G131" s="52">
        <f>IF(OR(IFERROR(MATCH(127,'List A'!$S$5:$S$204,0)+4,"")="",IF(IFERROR(MATCH(127,'List A'!$S$5:$S$204,0)+4,"")="","",INDEX('List A'!$K$5:$K$204,IFERROR(MATCH(127,'List A'!$S$5:$S$204,0)+4,"")-4))=""),"",INDEX('List B'!$C$5:$C$204,IF(IFERROR(MATCH(127,'List A'!$S$5:$S$204,0)+4,"")="","",INDEX('List A'!$K$5:$K$204,IFERROR(MATCH(127,'List A'!$S$5:$S$204,0)+4,"")-4))-4))</f>
        <v/>
      </c>
      <c r="H131" s="53">
        <f>IF(OR(IFERROR(MATCH(127,'List A'!$S$5:$S$204,0)+4,"")="",IF(IFERROR(MATCH(127,'List A'!$S$5:$S$204,0)+4,"")="","",INDEX('List A'!$K$5:$K$204,IFERROR(MATCH(127,'List A'!$S$5:$S$204,0)+4,"")-4))=""),"",INDEX('List B'!$D$5:$D$204,IF(IFERROR(MATCH(127,'List A'!$S$5:$S$204,0)+4,"")="","",INDEX('List A'!$K$5:$K$204,IFERROR(MATCH(127,'List A'!$S$5:$S$204,0)+4,"")-4))-4))</f>
        <v/>
      </c>
      <c r="I131" s="52">
        <f>IF(IFERROR(MATCH(127,'List A'!$S$5:$S$204,0)+4,"")="","",INDEX('List A'!$N$5:$N$204,IFERROR(MATCH(127,'List A'!$S$5:$S$204,0)+4,"")-4))</f>
        <v/>
      </c>
      <c r="J131" s="53">
        <f>IF(IFERROR(MATCH(127,'List A'!$S$5:$S$204,0)+4,"")="","",INDEX('List A'!$O$5:$O$204,IFERROR(MATCH(127,'List A'!$S$5:$S$204,0)+4,"")-4))</f>
        <v/>
      </c>
    </row>
    <row r="132" ht="17" customHeight="1">
      <c r="A132" s="87">
        <f>IF(IFERROR(MATCH(128,'List A'!$S$5:$S$204,0)+4,"")="","",INDEX('List A'!$A$5:$A$204,IFERROR(MATCH(128,'List A'!$S$5:$S$204,0)+4,"")-4))</f>
        <v/>
      </c>
      <c r="B132" s="53">
        <f>IF(IFERROR(MATCH(128,'List A'!$S$5:$S$204,0)+4,"")="","",INDEX('List A'!$B$5:$B$204,IFERROR(MATCH(128,'List A'!$S$5:$S$204,0)+4,"")-4))</f>
        <v/>
      </c>
      <c r="C132" s="52">
        <f>IF(IFERROR(MATCH(128,'List A'!$S$5:$S$204,0)+4,"")="","",INDEX('List A'!$C$5:$C$204,IFERROR(MATCH(128,'List A'!$S$5:$S$204,0)+4,"")-4))</f>
        <v/>
      </c>
      <c r="D132" s="53">
        <f>IF(IFERROR(MATCH(128,'List A'!$S$5:$S$204,0)+4,"")="","",INDEX('List A'!$D$5:$D$204,IFERROR(MATCH(128,'List A'!$S$5:$S$204,0)+4,"")-4))</f>
        <v/>
      </c>
      <c r="E132" s="87">
        <f>IF(OR(IFERROR(MATCH(128,'List A'!$S$5:$S$204,0)+4,"")="",IF(IFERROR(MATCH(128,'List A'!$S$5:$S$204,0)+4,"")="","",INDEX('List A'!$K$5:$K$204,IFERROR(MATCH(128,'List A'!$S$5:$S$204,0)+4,"")-4))=""),"",INDEX('List B'!$A$5:$A$204,IF(IFERROR(MATCH(128,'List A'!$S$5:$S$204,0)+4,"")="","",INDEX('List A'!$K$5:$K$204,IFERROR(MATCH(128,'List A'!$S$5:$S$204,0)+4,"")-4))-4))</f>
        <v/>
      </c>
      <c r="F132" s="53">
        <f>IF(OR(IFERROR(MATCH(128,'List A'!$S$5:$S$204,0)+4,"")="",IF(IFERROR(MATCH(128,'List A'!$S$5:$S$204,0)+4,"")="","",INDEX('List A'!$K$5:$K$204,IFERROR(MATCH(128,'List A'!$S$5:$S$204,0)+4,"")-4))=""),"",INDEX('List B'!$B$5:$B$204,IF(IFERROR(MATCH(128,'List A'!$S$5:$S$204,0)+4,"")="","",INDEX('List A'!$K$5:$K$204,IFERROR(MATCH(128,'List A'!$S$5:$S$204,0)+4,"")-4))-4))</f>
        <v/>
      </c>
      <c r="G132" s="52">
        <f>IF(OR(IFERROR(MATCH(128,'List A'!$S$5:$S$204,0)+4,"")="",IF(IFERROR(MATCH(128,'List A'!$S$5:$S$204,0)+4,"")="","",INDEX('List A'!$K$5:$K$204,IFERROR(MATCH(128,'List A'!$S$5:$S$204,0)+4,"")-4))=""),"",INDEX('List B'!$C$5:$C$204,IF(IFERROR(MATCH(128,'List A'!$S$5:$S$204,0)+4,"")="","",INDEX('List A'!$K$5:$K$204,IFERROR(MATCH(128,'List A'!$S$5:$S$204,0)+4,"")-4))-4))</f>
        <v/>
      </c>
      <c r="H132" s="53">
        <f>IF(OR(IFERROR(MATCH(128,'List A'!$S$5:$S$204,0)+4,"")="",IF(IFERROR(MATCH(128,'List A'!$S$5:$S$204,0)+4,"")="","",INDEX('List A'!$K$5:$K$204,IFERROR(MATCH(128,'List A'!$S$5:$S$204,0)+4,"")-4))=""),"",INDEX('List B'!$D$5:$D$204,IF(IFERROR(MATCH(128,'List A'!$S$5:$S$204,0)+4,"")="","",INDEX('List A'!$K$5:$K$204,IFERROR(MATCH(128,'List A'!$S$5:$S$204,0)+4,"")-4))-4))</f>
        <v/>
      </c>
      <c r="I132" s="52">
        <f>IF(IFERROR(MATCH(128,'List A'!$S$5:$S$204,0)+4,"")="","",INDEX('List A'!$N$5:$N$204,IFERROR(MATCH(128,'List A'!$S$5:$S$204,0)+4,"")-4))</f>
        <v/>
      </c>
      <c r="J132" s="53">
        <f>IF(IFERROR(MATCH(128,'List A'!$S$5:$S$204,0)+4,"")="","",INDEX('List A'!$O$5:$O$204,IFERROR(MATCH(128,'List A'!$S$5:$S$204,0)+4,"")-4))</f>
        <v/>
      </c>
    </row>
    <row r="133" ht="17" customHeight="1">
      <c r="A133" s="87">
        <f>IF(IFERROR(MATCH(129,'List A'!$S$5:$S$204,0)+4,"")="","",INDEX('List A'!$A$5:$A$204,IFERROR(MATCH(129,'List A'!$S$5:$S$204,0)+4,"")-4))</f>
        <v/>
      </c>
      <c r="B133" s="53">
        <f>IF(IFERROR(MATCH(129,'List A'!$S$5:$S$204,0)+4,"")="","",INDEX('List A'!$B$5:$B$204,IFERROR(MATCH(129,'List A'!$S$5:$S$204,0)+4,"")-4))</f>
        <v/>
      </c>
      <c r="C133" s="52">
        <f>IF(IFERROR(MATCH(129,'List A'!$S$5:$S$204,0)+4,"")="","",INDEX('List A'!$C$5:$C$204,IFERROR(MATCH(129,'List A'!$S$5:$S$204,0)+4,"")-4))</f>
        <v/>
      </c>
      <c r="D133" s="53">
        <f>IF(IFERROR(MATCH(129,'List A'!$S$5:$S$204,0)+4,"")="","",INDEX('List A'!$D$5:$D$204,IFERROR(MATCH(129,'List A'!$S$5:$S$204,0)+4,"")-4))</f>
        <v/>
      </c>
      <c r="E133" s="87">
        <f>IF(OR(IFERROR(MATCH(129,'List A'!$S$5:$S$204,0)+4,"")="",IF(IFERROR(MATCH(129,'List A'!$S$5:$S$204,0)+4,"")="","",INDEX('List A'!$K$5:$K$204,IFERROR(MATCH(129,'List A'!$S$5:$S$204,0)+4,"")-4))=""),"",INDEX('List B'!$A$5:$A$204,IF(IFERROR(MATCH(129,'List A'!$S$5:$S$204,0)+4,"")="","",INDEX('List A'!$K$5:$K$204,IFERROR(MATCH(129,'List A'!$S$5:$S$204,0)+4,"")-4))-4))</f>
        <v/>
      </c>
      <c r="F133" s="53">
        <f>IF(OR(IFERROR(MATCH(129,'List A'!$S$5:$S$204,0)+4,"")="",IF(IFERROR(MATCH(129,'List A'!$S$5:$S$204,0)+4,"")="","",INDEX('List A'!$K$5:$K$204,IFERROR(MATCH(129,'List A'!$S$5:$S$204,0)+4,"")-4))=""),"",INDEX('List B'!$B$5:$B$204,IF(IFERROR(MATCH(129,'List A'!$S$5:$S$204,0)+4,"")="","",INDEX('List A'!$K$5:$K$204,IFERROR(MATCH(129,'List A'!$S$5:$S$204,0)+4,"")-4))-4))</f>
        <v/>
      </c>
      <c r="G133" s="52">
        <f>IF(OR(IFERROR(MATCH(129,'List A'!$S$5:$S$204,0)+4,"")="",IF(IFERROR(MATCH(129,'List A'!$S$5:$S$204,0)+4,"")="","",INDEX('List A'!$K$5:$K$204,IFERROR(MATCH(129,'List A'!$S$5:$S$204,0)+4,"")-4))=""),"",INDEX('List B'!$C$5:$C$204,IF(IFERROR(MATCH(129,'List A'!$S$5:$S$204,0)+4,"")="","",INDEX('List A'!$K$5:$K$204,IFERROR(MATCH(129,'List A'!$S$5:$S$204,0)+4,"")-4))-4))</f>
        <v/>
      </c>
      <c r="H133" s="53">
        <f>IF(OR(IFERROR(MATCH(129,'List A'!$S$5:$S$204,0)+4,"")="",IF(IFERROR(MATCH(129,'List A'!$S$5:$S$204,0)+4,"")="","",INDEX('List A'!$K$5:$K$204,IFERROR(MATCH(129,'List A'!$S$5:$S$204,0)+4,"")-4))=""),"",INDEX('List B'!$D$5:$D$204,IF(IFERROR(MATCH(129,'List A'!$S$5:$S$204,0)+4,"")="","",INDEX('List A'!$K$5:$K$204,IFERROR(MATCH(129,'List A'!$S$5:$S$204,0)+4,"")-4))-4))</f>
        <v/>
      </c>
      <c r="I133" s="52">
        <f>IF(IFERROR(MATCH(129,'List A'!$S$5:$S$204,0)+4,"")="","",INDEX('List A'!$N$5:$N$204,IFERROR(MATCH(129,'List A'!$S$5:$S$204,0)+4,"")-4))</f>
        <v/>
      </c>
      <c r="J133" s="53">
        <f>IF(IFERROR(MATCH(129,'List A'!$S$5:$S$204,0)+4,"")="","",INDEX('List A'!$O$5:$O$204,IFERROR(MATCH(129,'List A'!$S$5:$S$204,0)+4,"")-4))</f>
        <v/>
      </c>
    </row>
    <row r="134" ht="17" customHeight="1">
      <c r="A134" s="87">
        <f>IF(IFERROR(MATCH(130,'List A'!$S$5:$S$204,0)+4,"")="","",INDEX('List A'!$A$5:$A$204,IFERROR(MATCH(130,'List A'!$S$5:$S$204,0)+4,"")-4))</f>
        <v/>
      </c>
      <c r="B134" s="53">
        <f>IF(IFERROR(MATCH(130,'List A'!$S$5:$S$204,0)+4,"")="","",INDEX('List A'!$B$5:$B$204,IFERROR(MATCH(130,'List A'!$S$5:$S$204,0)+4,"")-4))</f>
        <v/>
      </c>
      <c r="C134" s="52">
        <f>IF(IFERROR(MATCH(130,'List A'!$S$5:$S$204,0)+4,"")="","",INDEX('List A'!$C$5:$C$204,IFERROR(MATCH(130,'List A'!$S$5:$S$204,0)+4,"")-4))</f>
        <v/>
      </c>
      <c r="D134" s="53">
        <f>IF(IFERROR(MATCH(130,'List A'!$S$5:$S$204,0)+4,"")="","",INDEX('List A'!$D$5:$D$204,IFERROR(MATCH(130,'List A'!$S$5:$S$204,0)+4,"")-4))</f>
        <v/>
      </c>
      <c r="E134" s="87">
        <f>IF(OR(IFERROR(MATCH(130,'List A'!$S$5:$S$204,0)+4,"")="",IF(IFERROR(MATCH(130,'List A'!$S$5:$S$204,0)+4,"")="","",INDEX('List A'!$K$5:$K$204,IFERROR(MATCH(130,'List A'!$S$5:$S$204,0)+4,"")-4))=""),"",INDEX('List B'!$A$5:$A$204,IF(IFERROR(MATCH(130,'List A'!$S$5:$S$204,0)+4,"")="","",INDEX('List A'!$K$5:$K$204,IFERROR(MATCH(130,'List A'!$S$5:$S$204,0)+4,"")-4))-4))</f>
        <v/>
      </c>
      <c r="F134" s="53">
        <f>IF(OR(IFERROR(MATCH(130,'List A'!$S$5:$S$204,0)+4,"")="",IF(IFERROR(MATCH(130,'List A'!$S$5:$S$204,0)+4,"")="","",INDEX('List A'!$K$5:$K$204,IFERROR(MATCH(130,'List A'!$S$5:$S$204,0)+4,"")-4))=""),"",INDEX('List B'!$B$5:$B$204,IF(IFERROR(MATCH(130,'List A'!$S$5:$S$204,0)+4,"")="","",INDEX('List A'!$K$5:$K$204,IFERROR(MATCH(130,'List A'!$S$5:$S$204,0)+4,"")-4))-4))</f>
        <v/>
      </c>
      <c r="G134" s="52">
        <f>IF(OR(IFERROR(MATCH(130,'List A'!$S$5:$S$204,0)+4,"")="",IF(IFERROR(MATCH(130,'List A'!$S$5:$S$204,0)+4,"")="","",INDEX('List A'!$K$5:$K$204,IFERROR(MATCH(130,'List A'!$S$5:$S$204,0)+4,"")-4))=""),"",INDEX('List B'!$C$5:$C$204,IF(IFERROR(MATCH(130,'List A'!$S$5:$S$204,0)+4,"")="","",INDEX('List A'!$K$5:$K$204,IFERROR(MATCH(130,'List A'!$S$5:$S$204,0)+4,"")-4))-4))</f>
        <v/>
      </c>
      <c r="H134" s="53">
        <f>IF(OR(IFERROR(MATCH(130,'List A'!$S$5:$S$204,0)+4,"")="",IF(IFERROR(MATCH(130,'List A'!$S$5:$S$204,0)+4,"")="","",INDEX('List A'!$K$5:$K$204,IFERROR(MATCH(130,'List A'!$S$5:$S$204,0)+4,"")-4))=""),"",INDEX('List B'!$D$5:$D$204,IF(IFERROR(MATCH(130,'List A'!$S$5:$S$204,0)+4,"")="","",INDEX('List A'!$K$5:$K$204,IFERROR(MATCH(130,'List A'!$S$5:$S$204,0)+4,"")-4))-4))</f>
        <v/>
      </c>
      <c r="I134" s="52">
        <f>IF(IFERROR(MATCH(130,'List A'!$S$5:$S$204,0)+4,"")="","",INDEX('List A'!$N$5:$N$204,IFERROR(MATCH(130,'List A'!$S$5:$S$204,0)+4,"")-4))</f>
        <v/>
      </c>
      <c r="J134" s="53">
        <f>IF(IFERROR(MATCH(130,'List A'!$S$5:$S$204,0)+4,"")="","",INDEX('List A'!$O$5:$O$204,IFERROR(MATCH(130,'List A'!$S$5:$S$204,0)+4,"")-4))</f>
        <v/>
      </c>
    </row>
    <row r="135" ht="17" customHeight="1">
      <c r="A135" s="87">
        <f>IF(IFERROR(MATCH(131,'List A'!$S$5:$S$204,0)+4,"")="","",INDEX('List A'!$A$5:$A$204,IFERROR(MATCH(131,'List A'!$S$5:$S$204,0)+4,"")-4))</f>
        <v/>
      </c>
      <c r="B135" s="53">
        <f>IF(IFERROR(MATCH(131,'List A'!$S$5:$S$204,0)+4,"")="","",INDEX('List A'!$B$5:$B$204,IFERROR(MATCH(131,'List A'!$S$5:$S$204,0)+4,"")-4))</f>
        <v/>
      </c>
      <c r="C135" s="52">
        <f>IF(IFERROR(MATCH(131,'List A'!$S$5:$S$204,0)+4,"")="","",INDEX('List A'!$C$5:$C$204,IFERROR(MATCH(131,'List A'!$S$5:$S$204,0)+4,"")-4))</f>
        <v/>
      </c>
      <c r="D135" s="53">
        <f>IF(IFERROR(MATCH(131,'List A'!$S$5:$S$204,0)+4,"")="","",INDEX('List A'!$D$5:$D$204,IFERROR(MATCH(131,'List A'!$S$5:$S$204,0)+4,"")-4))</f>
        <v/>
      </c>
      <c r="E135" s="87">
        <f>IF(OR(IFERROR(MATCH(131,'List A'!$S$5:$S$204,0)+4,"")="",IF(IFERROR(MATCH(131,'List A'!$S$5:$S$204,0)+4,"")="","",INDEX('List A'!$K$5:$K$204,IFERROR(MATCH(131,'List A'!$S$5:$S$204,0)+4,"")-4))=""),"",INDEX('List B'!$A$5:$A$204,IF(IFERROR(MATCH(131,'List A'!$S$5:$S$204,0)+4,"")="","",INDEX('List A'!$K$5:$K$204,IFERROR(MATCH(131,'List A'!$S$5:$S$204,0)+4,"")-4))-4))</f>
        <v/>
      </c>
      <c r="F135" s="53">
        <f>IF(OR(IFERROR(MATCH(131,'List A'!$S$5:$S$204,0)+4,"")="",IF(IFERROR(MATCH(131,'List A'!$S$5:$S$204,0)+4,"")="","",INDEX('List A'!$K$5:$K$204,IFERROR(MATCH(131,'List A'!$S$5:$S$204,0)+4,"")-4))=""),"",INDEX('List B'!$B$5:$B$204,IF(IFERROR(MATCH(131,'List A'!$S$5:$S$204,0)+4,"")="","",INDEX('List A'!$K$5:$K$204,IFERROR(MATCH(131,'List A'!$S$5:$S$204,0)+4,"")-4))-4))</f>
        <v/>
      </c>
      <c r="G135" s="52">
        <f>IF(OR(IFERROR(MATCH(131,'List A'!$S$5:$S$204,0)+4,"")="",IF(IFERROR(MATCH(131,'List A'!$S$5:$S$204,0)+4,"")="","",INDEX('List A'!$K$5:$K$204,IFERROR(MATCH(131,'List A'!$S$5:$S$204,0)+4,"")-4))=""),"",INDEX('List B'!$C$5:$C$204,IF(IFERROR(MATCH(131,'List A'!$S$5:$S$204,0)+4,"")="","",INDEX('List A'!$K$5:$K$204,IFERROR(MATCH(131,'List A'!$S$5:$S$204,0)+4,"")-4))-4))</f>
        <v/>
      </c>
      <c r="H135" s="53">
        <f>IF(OR(IFERROR(MATCH(131,'List A'!$S$5:$S$204,0)+4,"")="",IF(IFERROR(MATCH(131,'List A'!$S$5:$S$204,0)+4,"")="","",INDEX('List A'!$K$5:$K$204,IFERROR(MATCH(131,'List A'!$S$5:$S$204,0)+4,"")-4))=""),"",INDEX('List B'!$D$5:$D$204,IF(IFERROR(MATCH(131,'List A'!$S$5:$S$204,0)+4,"")="","",INDEX('List A'!$K$5:$K$204,IFERROR(MATCH(131,'List A'!$S$5:$S$204,0)+4,"")-4))-4))</f>
        <v/>
      </c>
      <c r="I135" s="52">
        <f>IF(IFERROR(MATCH(131,'List A'!$S$5:$S$204,0)+4,"")="","",INDEX('List A'!$N$5:$N$204,IFERROR(MATCH(131,'List A'!$S$5:$S$204,0)+4,"")-4))</f>
        <v/>
      </c>
      <c r="J135" s="53">
        <f>IF(IFERROR(MATCH(131,'List A'!$S$5:$S$204,0)+4,"")="","",INDEX('List A'!$O$5:$O$204,IFERROR(MATCH(131,'List A'!$S$5:$S$204,0)+4,"")-4))</f>
        <v/>
      </c>
    </row>
    <row r="136" ht="17" customHeight="1">
      <c r="A136" s="87">
        <f>IF(IFERROR(MATCH(132,'List A'!$S$5:$S$204,0)+4,"")="","",INDEX('List A'!$A$5:$A$204,IFERROR(MATCH(132,'List A'!$S$5:$S$204,0)+4,"")-4))</f>
        <v/>
      </c>
      <c r="B136" s="53">
        <f>IF(IFERROR(MATCH(132,'List A'!$S$5:$S$204,0)+4,"")="","",INDEX('List A'!$B$5:$B$204,IFERROR(MATCH(132,'List A'!$S$5:$S$204,0)+4,"")-4))</f>
        <v/>
      </c>
      <c r="C136" s="52">
        <f>IF(IFERROR(MATCH(132,'List A'!$S$5:$S$204,0)+4,"")="","",INDEX('List A'!$C$5:$C$204,IFERROR(MATCH(132,'List A'!$S$5:$S$204,0)+4,"")-4))</f>
        <v/>
      </c>
      <c r="D136" s="53">
        <f>IF(IFERROR(MATCH(132,'List A'!$S$5:$S$204,0)+4,"")="","",INDEX('List A'!$D$5:$D$204,IFERROR(MATCH(132,'List A'!$S$5:$S$204,0)+4,"")-4))</f>
        <v/>
      </c>
      <c r="E136" s="87">
        <f>IF(OR(IFERROR(MATCH(132,'List A'!$S$5:$S$204,0)+4,"")="",IF(IFERROR(MATCH(132,'List A'!$S$5:$S$204,0)+4,"")="","",INDEX('List A'!$K$5:$K$204,IFERROR(MATCH(132,'List A'!$S$5:$S$204,0)+4,"")-4))=""),"",INDEX('List B'!$A$5:$A$204,IF(IFERROR(MATCH(132,'List A'!$S$5:$S$204,0)+4,"")="","",INDEX('List A'!$K$5:$K$204,IFERROR(MATCH(132,'List A'!$S$5:$S$204,0)+4,"")-4))-4))</f>
        <v/>
      </c>
      <c r="F136" s="53">
        <f>IF(OR(IFERROR(MATCH(132,'List A'!$S$5:$S$204,0)+4,"")="",IF(IFERROR(MATCH(132,'List A'!$S$5:$S$204,0)+4,"")="","",INDEX('List A'!$K$5:$K$204,IFERROR(MATCH(132,'List A'!$S$5:$S$204,0)+4,"")-4))=""),"",INDEX('List B'!$B$5:$B$204,IF(IFERROR(MATCH(132,'List A'!$S$5:$S$204,0)+4,"")="","",INDEX('List A'!$K$5:$K$204,IFERROR(MATCH(132,'List A'!$S$5:$S$204,0)+4,"")-4))-4))</f>
        <v/>
      </c>
      <c r="G136" s="52">
        <f>IF(OR(IFERROR(MATCH(132,'List A'!$S$5:$S$204,0)+4,"")="",IF(IFERROR(MATCH(132,'List A'!$S$5:$S$204,0)+4,"")="","",INDEX('List A'!$K$5:$K$204,IFERROR(MATCH(132,'List A'!$S$5:$S$204,0)+4,"")-4))=""),"",INDEX('List B'!$C$5:$C$204,IF(IFERROR(MATCH(132,'List A'!$S$5:$S$204,0)+4,"")="","",INDEX('List A'!$K$5:$K$204,IFERROR(MATCH(132,'List A'!$S$5:$S$204,0)+4,"")-4))-4))</f>
        <v/>
      </c>
      <c r="H136" s="53">
        <f>IF(OR(IFERROR(MATCH(132,'List A'!$S$5:$S$204,0)+4,"")="",IF(IFERROR(MATCH(132,'List A'!$S$5:$S$204,0)+4,"")="","",INDEX('List A'!$K$5:$K$204,IFERROR(MATCH(132,'List A'!$S$5:$S$204,0)+4,"")-4))=""),"",INDEX('List B'!$D$5:$D$204,IF(IFERROR(MATCH(132,'List A'!$S$5:$S$204,0)+4,"")="","",INDEX('List A'!$K$5:$K$204,IFERROR(MATCH(132,'List A'!$S$5:$S$204,0)+4,"")-4))-4))</f>
        <v/>
      </c>
      <c r="I136" s="52">
        <f>IF(IFERROR(MATCH(132,'List A'!$S$5:$S$204,0)+4,"")="","",INDEX('List A'!$N$5:$N$204,IFERROR(MATCH(132,'List A'!$S$5:$S$204,0)+4,"")-4))</f>
        <v/>
      </c>
      <c r="J136" s="53">
        <f>IF(IFERROR(MATCH(132,'List A'!$S$5:$S$204,0)+4,"")="","",INDEX('List A'!$O$5:$O$204,IFERROR(MATCH(132,'List A'!$S$5:$S$204,0)+4,"")-4))</f>
        <v/>
      </c>
    </row>
    <row r="137" ht="17" customHeight="1">
      <c r="A137" s="87">
        <f>IF(IFERROR(MATCH(133,'List A'!$S$5:$S$204,0)+4,"")="","",INDEX('List A'!$A$5:$A$204,IFERROR(MATCH(133,'List A'!$S$5:$S$204,0)+4,"")-4))</f>
        <v/>
      </c>
      <c r="B137" s="53">
        <f>IF(IFERROR(MATCH(133,'List A'!$S$5:$S$204,0)+4,"")="","",INDEX('List A'!$B$5:$B$204,IFERROR(MATCH(133,'List A'!$S$5:$S$204,0)+4,"")-4))</f>
        <v/>
      </c>
      <c r="C137" s="52">
        <f>IF(IFERROR(MATCH(133,'List A'!$S$5:$S$204,0)+4,"")="","",INDEX('List A'!$C$5:$C$204,IFERROR(MATCH(133,'List A'!$S$5:$S$204,0)+4,"")-4))</f>
        <v/>
      </c>
      <c r="D137" s="53">
        <f>IF(IFERROR(MATCH(133,'List A'!$S$5:$S$204,0)+4,"")="","",INDEX('List A'!$D$5:$D$204,IFERROR(MATCH(133,'List A'!$S$5:$S$204,0)+4,"")-4))</f>
        <v/>
      </c>
      <c r="E137" s="87">
        <f>IF(OR(IFERROR(MATCH(133,'List A'!$S$5:$S$204,0)+4,"")="",IF(IFERROR(MATCH(133,'List A'!$S$5:$S$204,0)+4,"")="","",INDEX('List A'!$K$5:$K$204,IFERROR(MATCH(133,'List A'!$S$5:$S$204,0)+4,"")-4))=""),"",INDEX('List B'!$A$5:$A$204,IF(IFERROR(MATCH(133,'List A'!$S$5:$S$204,0)+4,"")="","",INDEX('List A'!$K$5:$K$204,IFERROR(MATCH(133,'List A'!$S$5:$S$204,0)+4,"")-4))-4))</f>
        <v/>
      </c>
      <c r="F137" s="53">
        <f>IF(OR(IFERROR(MATCH(133,'List A'!$S$5:$S$204,0)+4,"")="",IF(IFERROR(MATCH(133,'List A'!$S$5:$S$204,0)+4,"")="","",INDEX('List A'!$K$5:$K$204,IFERROR(MATCH(133,'List A'!$S$5:$S$204,0)+4,"")-4))=""),"",INDEX('List B'!$B$5:$B$204,IF(IFERROR(MATCH(133,'List A'!$S$5:$S$204,0)+4,"")="","",INDEX('List A'!$K$5:$K$204,IFERROR(MATCH(133,'List A'!$S$5:$S$204,0)+4,"")-4))-4))</f>
        <v/>
      </c>
      <c r="G137" s="52">
        <f>IF(OR(IFERROR(MATCH(133,'List A'!$S$5:$S$204,0)+4,"")="",IF(IFERROR(MATCH(133,'List A'!$S$5:$S$204,0)+4,"")="","",INDEX('List A'!$K$5:$K$204,IFERROR(MATCH(133,'List A'!$S$5:$S$204,0)+4,"")-4))=""),"",INDEX('List B'!$C$5:$C$204,IF(IFERROR(MATCH(133,'List A'!$S$5:$S$204,0)+4,"")="","",INDEX('List A'!$K$5:$K$204,IFERROR(MATCH(133,'List A'!$S$5:$S$204,0)+4,"")-4))-4))</f>
        <v/>
      </c>
      <c r="H137" s="53">
        <f>IF(OR(IFERROR(MATCH(133,'List A'!$S$5:$S$204,0)+4,"")="",IF(IFERROR(MATCH(133,'List A'!$S$5:$S$204,0)+4,"")="","",INDEX('List A'!$K$5:$K$204,IFERROR(MATCH(133,'List A'!$S$5:$S$204,0)+4,"")-4))=""),"",INDEX('List B'!$D$5:$D$204,IF(IFERROR(MATCH(133,'List A'!$S$5:$S$204,0)+4,"")="","",INDEX('List A'!$K$5:$K$204,IFERROR(MATCH(133,'List A'!$S$5:$S$204,0)+4,"")-4))-4))</f>
        <v/>
      </c>
      <c r="I137" s="52">
        <f>IF(IFERROR(MATCH(133,'List A'!$S$5:$S$204,0)+4,"")="","",INDEX('List A'!$N$5:$N$204,IFERROR(MATCH(133,'List A'!$S$5:$S$204,0)+4,"")-4))</f>
        <v/>
      </c>
      <c r="J137" s="53">
        <f>IF(IFERROR(MATCH(133,'List A'!$S$5:$S$204,0)+4,"")="","",INDEX('List A'!$O$5:$O$204,IFERROR(MATCH(133,'List A'!$S$5:$S$204,0)+4,"")-4))</f>
        <v/>
      </c>
    </row>
    <row r="138" ht="17" customHeight="1">
      <c r="A138" s="87">
        <f>IF(IFERROR(MATCH(134,'List A'!$S$5:$S$204,0)+4,"")="","",INDEX('List A'!$A$5:$A$204,IFERROR(MATCH(134,'List A'!$S$5:$S$204,0)+4,"")-4))</f>
        <v/>
      </c>
      <c r="B138" s="53">
        <f>IF(IFERROR(MATCH(134,'List A'!$S$5:$S$204,0)+4,"")="","",INDEX('List A'!$B$5:$B$204,IFERROR(MATCH(134,'List A'!$S$5:$S$204,0)+4,"")-4))</f>
        <v/>
      </c>
      <c r="C138" s="52">
        <f>IF(IFERROR(MATCH(134,'List A'!$S$5:$S$204,0)+4,"")="","",INDEX('List A'!$C$5:$C$204,IFERROR(MATCH(134,'List A'!$S$5:$S$204,0)+4,"")-4))</f>
        <v/>
      </c>
      <c r="D138" s="53">
        <f>IF(IFERROR(MATCH(134,'List A'!$S$5:$S$204,0)+4,"")="","",INDEX('List A'!$D$5:$D$204,IFERROR(MATCH(134,'List A'!$S$5:$S$204,0)+4,"")-4))</f>
        <v/>
      </c>
      <c r="E138" s="87">
        <f>IF(OR(IFERROR(MATCH(134,'List A'!$S$5:$S$204,0)+4,"")="",IF(IFERROR(MATCH(134,'List A'!$S$5:$S$204,0)+4,"")="","",INDEX('List A'!$K$5:$K$204,IFERROR(MATCH(134,'List A'!$S$5:$S$204,0)+4,"")-4))=""),"",INDEX('List B'!$A$5:$A$204,IF(IFERROR(MATCH(134,'List A'!$S$5:$S$204,0)+4,"")="","",INDEX('List A'!$K$5:$K$204,IFERROR(MATCH(134,'List A'!$S$5:$S$204,0)+4,"")-4))-4))</f>
        <v/>
      </c>
      <c r="F138" s="53">
        <f>IF(OR(IFERROR(MATCH(134,'List A'!$S$5:$S$204,0)+4,"")="",IF(IFERROR(MATCH(134,'List A'!$S$5:$S$204,0)+4,"")="","",INDEX('List A'!$K$5:$K$204,IFERROR(MATCH(134,'List A'!$S$5:$S$204,0)+4,"")-4))=""),"",INDEX('List B'!$B$5:$B$204,IF(IFERROR(MATCH(134,'List A'!$S$5:$S$204,0)+4,"")="","",INDEX('List A'!$K$5:$K$204,IFERROR(MATCH(134,'List A'!$S$5:$S$204,0)+4,"")-4))-4))</f>
        <v/>
      </c>
      <c r="G138" s="52">
        <f>IF(OR(IFERROR(MATCH(134,'List A'!$S$5:$S$204,0)+4,"")="",IF(IFERROR(MATCH(134,'List A'!$S$5:$S$204,0)+4,"")="","",INDEX('List A'!$K$5:$K$204,IFERROR(MATCH(134,'List A'!$S$5:$S$204,0)+4,"")-4))=""),"",INDEX('List B'!$C$5:$C$204,IF(IFERROR(MATCH(134,'List A'!$S$5:$S$204,0)+4,"")="","",INDEX('List A'!$K$5:$K$204,IFERROR(MATCH(134,'List A'!$S$5:$S$204,0)+4,"")-4))-4))</f>
        <v/>
      </c>
      <c r="H138" s="53">
        <f>IF(OR(IFERROR(MATCH(134,'List A'!$S$5:$S$204,0)+4,"")="",IF(IFERROR(MATCH(134,'List A'!$S$5:$S$204,0)+4,"")="","",INDEX('List A'!$K$5:$K$204,IFERROR(MATCH(134,'List A'!$S$5:$S$204,0)+4,"")-4))=""),"",INDEX('List B'!$D$5:$D$204,IF(IFERROR(MATCH(134,'List A'!$S$5:$S$204,0)+4,"")="","",INDEX('List A'!$K$5:$K$204,IFERROR(MATCH(134,'List A'!$S$5:$S$204,0)+4,"")-4))-4))</f>
        <v/>
      </c>
      <c r="I138" s="52">
        <f>IF(IFERROR(MATCH(134,'List A'!$S$5:$S$204,0)+4,"")="","",INDEX('List A'!$N$5:$N$204,IFERROR(MATCH(134,'List A'!$S$5:$S$204,0)+4,"")-4))</f>
        <v/>
      </c>
      <c r="J138" s="53">
        <f>IF(IFERROR(MATCH(134,'List A'!$S$5:$S$204,0)+4,"")="","",INDEX('List A'!$O$5:$O$204,IFERROR(MATCH(134,'List A'!$S$5:$S$204,0)+4,"")-4))</f>
        <v/>
      </c>
    </row>
    <row r="139" ht="17" customHeight="1">
      <c r="A139" s="87">
        <f>IF(IFERROR(MATCH(135,'List A'!$S$5:$S$204,0)+4,"")="","",INDEX('List A'!$A$5:$A$204,IFERROR(MATCH(135,'List A'!$S$5:$S$204,0)+4,"")-4))</f>
        <v/>
      </c>
      <c r="B139" s="53">
        <f>IF(IFERROR(MATCH(135,'List A'!$S$5:$S$204,0)+4,"")="","",INDEX('List A'!$B$5:$B$204,IFERROR(MATCH(135,'List A'!$S$5:$S$204,0)+4,"")-4))</f>
        <v/>
      </c>
      <c r="C139" s="52">
        <f>IF(IFERROR(MATCH(135,'List A'!$S$5:$S$204,0)+4,"")="","",INDEX('List A'!$C$5:$C$204,IFERROR(MATCH(135,'List A'!$S$5:$S$204,0)+4,"")-4))</f>
        <v/>
      </c>
      <c r="D139" s="53">
        <f>IF(IFERROR(MATCH(135,'List A'!$S$5:$S$204,0)+4,"")="","",INDEX('List A'!$D$5:$D$204,IFERROR(MATCH(135,'List A'!$S$5:$S$204,0)+4,"")-4))</f>
        <v/>
      </c>
      <c r="E139" s="87">
        <f>IF(OR(IFERROR(MATCH(135,'List A'!$S$5:$S$204,0)+4,"")="",IF(IFERROR(MATCH(135,'List A'!$S$5:$S$204,0)+4,"")="","",INDEX('List A'!$K$5:$K$204,IFERROR(MATCH(135,'List A'!$S$5:$S$204,0)+4,"")-4))=""),"",INDEX('List B'!$A$5:$A$204,IF(IFERROR(MATCH(135,'List A'!$S$5:$S$204,0)+4,"")="","",INDEX('List A'!$K$5:$K$204,IFERROR(MATCH(135,'List A'!$S$5:$S$204,0)+4,"")-4))-4))</f>
        <v/>
      </c>
      <c r="F139" s="53">
        <f>IF(OR(IFERROR(MATCH(135,'List A'!$S$5:$S$204,0)+4,"")="",IF(IFERROR(MATCH(135,'List A'!$S$5:$S$204,0)+4,"")="","",INDEX('List A'!$K$5:$K$204,IFERROR(MATCH(135,'List A'!$S$5:$S$204,0)+4,"")-4))=""),"",INDEX('List B'!$B$5:$B$204,IF(IFERROR(MATCH(135,'List A'!$S$5:$S$204,0)+4,"")="","",INDEX('List A'!$K$5:$K$204,IFERROR(MATCH(135,'List A'!$S$5:$S$204,0)+4,"")-4))-4))</f>
        <v/>
      </c>
      <c r="G139" s="52">
        <f>IF(OR(IFERROR(MATCH(135,'List A'!$S$5:$S$204,0)+4,"")="",IF(IFERROR(MATCH(135,'List A'!$S$5:$S$204,0)+4,"")="","",INDEX('List A'!$K$5:$K$204,IFERROR(MATCH(135,'List A'!$S$5:$S$204,0)+4,"")-4))=""),"",INDEX('List B'!$C$5:$C$204,IF(IFERROR(MATCH(135,'List A'!$S$5:$S$204,0)+4,"")="","",INDEX('List A'!$K$5:$K$204,IFERROR(MATCH(135,'List A'!$S$5:$S$204,0)+4,"")-4))-4))</f>
        <v/>
      </c>
      <c r="H139" s="53">
        <f>IF(OR(IFERROR(MATCH(135,'List A'!$S$5:$S$204,0)+4,"")="",IF(IFERROR(MATCH(135,'List A'!$S$5:$S$204,0)+4,"")="","",INDEX('List A'!$K$5:$K$204,IFERROR(MATCH(135,'List A'!$S$5:$S$204,0)+4,"")-4))=""),"",INDEX('List B'!$D$5:$D$204,IF(IFERROR(MATCH(135,'List A'!$S$5:$S$204,0)+4,"")="","",INDEX('List A'!$K$5:$K$204,IFERROR(MATCH(135,'List A'!$S$5:$S$204,0)+4,"")-4))-4))</f>
        <v/>
      </c>
      <c r="I139" s="52">
        <f>IF(IFERROR(MATCH(135,'List A'!$S$5:$S$204,0)+4,"")="","",INDEX('List A'!$N$5:$N$204,IFERROR(MATCH(135,'List A'!$S$5:$S$204,0)+4,"")-4))</f>
        <v/>
      </c>
      <c r="J139" s="53">
        <f>IF(IFERROR(MATCH(135,'List A'!$S$5:$S$204,0)+4,"")="","",INDEX('List A'!$O$5:$O$204,IFERROR(MATCH(135,'List A'!$S$5:$S$204,0)+4,"")-4))</f>
        <v/>
      </c>
    </row>
    <row r="140" ht="17" customHeight="1">
      <c r="A140" s="87">
        <f>IF(IFERROR(MATCH(136,'List A'!$S$5:$S$204,0)+4,"")="","",INDEX('List A'!$A$5:$A$204,IFERROR(MATCH(136,'List A'!$S$5:$S$204,0)+4,"")-4))</f>
        <v/>
      </c>
      <c r="B140" s="53">
        <f>IF(IFERROR(MATCH(136,'List A'!$S$5:$S$204,0)+4,"")="","",INDEX('List A'!$B$5:$B$204,IFERROR(MATCH(136,'List A'!$S$5:$S$204,0)+4,"")-4))</f>
        <v/>
      </c>
      <c r="C140" s="52">
        <f>IF(IFERROR(MATCH(136,'List A'!$S$5:$S$204,0)+4,"")="","",INDEX('List A'!$C$5:$C$204,IFERROR(MATCH(136,'List A'!$S$5:$S$204,0)+4,"")-4))</f>
        <v/>
      </c>
      <c r="D140" s="53">
        <f>IF(IFERROR(MATCH(136,'List A'!$S$5:$S$204,0)+4,"")="","",INDEX('List A'!$D$5:$D$204,IFERROR(MATCH(136,'List A'!$S$5:$S$204,0)+4,"")-4))</f>
        <v/>
      </c>
      <c r="E140" s="87">
        <f>IF(OR(IFERROR(MATCH(136,'List A'!$S$5:$S$204,0)+4,"")="",IF(IFERROR(MATCH(136,'List A'!$S$5:$S$204,0)+4,"")="","",INDEX('List A'!$K$5:$K$204,IFERROR(MATCH(136,'List A'!$S$5:$S$204,0)+4,"")-4))=""),"",INDEX('List B'!$A$5:$A$204,IF(IFERROR(MATCH(136,'List A'!$S$5:$S$204,0)+4,"")="","",INDEX('List A'!$K$5:$K$204,IFERROR(MATCH(136,'List A'!$S$5:$S$204,0)+4,"")-4))-4))</f>
        <v/>
      </c>
      <c r="F140" s="53">
        <f>IF(OR(IFERROR(MATCH(136,'List A'!$S$5:$S$204,0)+4,"")="",IF(IFERROR(MATCH(136,'List A'!$S$5:$S$204,0)+4,"")="","",INDEX('List A'!$K$5:$K$204,IFERROR(MATCH(136,'List A'!$S$5:$S$204,0)+4,"")-4))=""),"",INDEX('List B'!$B$5:$B$204,IF(IFERROR(MATCH(136,'List A'!$S$5:$S$204,0)+4,"")="","",INDEX('List A'!$K$5:$K$204,IFERROR(MATCH(136,'List A'!$S$5:$S$204,0)+4,"")-4))-4))</f>
        <v/>
      </c>
      <c r="G140" s="52">
        <f>IF(OR(IFERROR(MATCH(136,'List A'!$S$5:$S$204,0)+4,"")="",IF(IFERROR(MATCH(136,'List A'!$S$5:$S$204,0)+4,"")="","",INDEX('List A'!$K$5:$K$204,IFERROR(MATCH(136,'List A'!$S$5:$S$204,0)+4,"")-4))=""),"",INDEX('List B'!$C$5:$C$204,IF(IFERROR(MATCH(136,'List A'!$S$5:$S$204,0)+4,"")="","",INDEX('List A'!$K$5:$K$204,IFERROR(MATCH(136,'List A'!$S$5:$S$204,0)+4,"")-4))-4))</f>
        <v/>
      </c>
      <c r="H140" s="53">
        <f>IF(OR(IFERROR(MATCH(136,'List A'!$S$5:$S$204,0)+4,"")="",IF(IFERROR(MATCH(136,'List A'!$S$5:$S$204,0)+4,"")="","",INDEX('List A'!$K$5:$K$204,IFERROR(MATCH(136,'List A'!$S$5:$S$204,0)+4,"")-4))=""),"",INDEX('List B'!$D$5:$D$204,IF(IFERROR(MATCH(136,'List A'!$S$5:$S$204,0)+4,"")="","",INDEX('List A'!$K$5:$K$204,IFERROR(MATCH(136,'List A'!$S$5:$S$204,0)+4,"")-4))-4))</f>
        <v/>
      </c>
      <c r="I140" s="52">
        <f>IF(IFERROR(MATCH(136,'List A'!$S$5:$S$204,0)+4,"")="","",INDEX('List A'!$N$5:$N$204,IFERROR(MATCH(136,'List A'!$S$5:$S$204,0)+4,"")-4))</f>
        <v/>
      </c>
      <c r="J140" s="53">
        <f>IF(IFERROR(MATCH(136,'List A'!$S$5:$S$204,0)+4,"")="","",INDEX('List A'!$O$5:$O$204,IFERROR(MATCH(136,'List A'!$S$5:$S$204,0)+4,"")-4))</f>
        <v/>
      </c>
    </row>
    <row r="141" ht="17" customHeight="1">
      <c r="A141" s="87">
        <f>IF(IFERROR(MATCH(137,'List A'!$S$5:$S$204,0)+4,"")="","",INDEX('List A'!$A$5:$A$204,IFERROR(MATCH(137,'List A'!$S$5:$S$204,0)+4,"")-4))</f>
        <v/>
      </c>
      <c r="B141" s="53">
        <f>IF(IFERROR(MATCH(137,'List A'!$S$5:$S$204,0)+4,"")="","",INDEX('List A'!$B$5:$B$204,IFERROR(MATCH(137,'List A'!$S$5:$S$204,0)+4,"")-4))</f>
        <v/>
      </c>
      <c r="C141" s="52">
        <f>IF(IFERROR(MATCH(137,'List A'!$S$5:$S$204,0)+4,"")="","",INDEX('List A'!$C$5:$C$204,IFERROR(MATCH(137,'List A'!$S$5:$S$204,0)+4,"")-4))</f>
        <v/>
      </c>
      <c r="D141" s="53">
        <f>IF(IFERROR(MATCH(137,'List A'!$S$5:$S$204,0)+4,"")="","",INDEX('List A'!$D$5:$D$204,IFERROR(MATCH(137,'List A'!$S$5:$S$204,0)+4,"")-4))</f>
        <v/>
      </c>
      <c r="E141" s="87">
        <f>IF(OR(IFERROR(MATCH(137,'List A'!$S$5:$S$204,0)+4,"")="",IF(IFERROR(MATCH(137,'List A'!$S$5:$S$204,0)+4,"")="","",INDEX('List A'!$K$5:$K$204,IFERROR(MATCH(137,'List A'!$S$5:$S$204,0)+4,"")-4))=""),"",INDEX('List B'!$A$5:$A$204,IF(IFERROR(MATCH(137,'List A'!$S$5:$S$204,0)+4,"")="","",INDEX('List A'!$K$5:$K$204,IFERROR(MATCH(137,'List A'!$S$5:$S$204,0)+4,"")-4))-4))</f>
        <v/>
      </c>
      <c r="F141" s="53">
        <f>IF(OR(IFERROR(MATCH(137,'List A'!$S$5:$S$204,0)+4,"")="",IF(IFERROR(MATCH(137,'List A'!$S$5:$S$204,0)+4,"")="","",INDEX('List A'!$K$5:$K$204,IFERROR(MATCH(137,'List A'!$S$5:$S$204,0)+4,"")-4))=""),"",INDEX('List B'!$B$5:$B$204,IF(IFERROR(MATCH(137,'List A'!$S$5:$S$204,0)+4,"")="","",INDEX('List A'!$K$5:$K$204,IFERROR(MATCH(137,'List A'!$S$5:$S$204,0)+4,"")-4))-4))</f>
        <v/>
      </c>
      <c r="G141" s="52">
        <f>IF(OR(IFERROR(MATCH(137,'List A'!$S$5:$S$204,0)+4,"")="",IF(IFERROR(MATCH(137,'List A'!$S$5:$S$204,0)+4,"")="","",INDEX('List A'!$K$5:$K$204,IFERROR(MATCH(137,'List A'!$S$5:$S$204,0)+4,"")-4))=""),"",INDEX('List B'!$C$5:$C$204,IF(IFERROR(MATCH(137,'List A'!$S$5:$S$204,0)+4,"")="","",INDEX('List A'!$K$5:$K$204,IFERROR(MATCH(137,'List A'!$S$5:$S$204,0)+4,"")-4))-4))</f>
        <v/>
      </c>
      <c r="H141" s="53">
        <f>IF(OR(IFERROR(MATCH(137,'List A'!$S$5:$S$204,0)+4,"")="",IF(IFERROR(MATCH(137,'List A'!$S$5:$S$204,0)+4,"")="","",INDEX('List A'!$K$5:$K$204,IFERROR(MATCH(137,'List A'!$S$5:$S$204,0)+4,"")-4))=""),"",INDEX('List B'!$D$5:$D$204,IF(IFERROR(MATCH(137,'List A'!$S$5:$S$204,0)+4,"")="","",INDEX('List A'!$K$5:$K$204,IFERROR(MATCH(137,'List A'!$S$5:$S$204,0)+4,"")-4))-4))</f>
        <v/>
      </c>
      <c r="I141" s="52">
        <f>IF(IFERROR(MATCH(137,'List A'!$S$5:$S$204,0)+4,"")="","",INDEX('List A'!$N$5:$N$204,IFERROR(MATCH(137,'List A'!$S$5:$S$204,0)+4,"")-4))</f>
        <v/>
      </c>
      <c r="J141" s="53">
        <f>IF(IFERROR(MATCH(137,'List A'!$S$5:$S$204,0)+4,"")="","",INDEX('List A'!$O$5:$O$204,IFERROR(MATCH(137,'List A'!$S$5:$S$204,0)+4,"")-4))</f>
        <v/>
      </c>
    </row>
    <row r="142" ht="17" customHeight="1">
      <c r="A142" s="87">
        <f>IF(IFERROR(MATCH(138,'List A'!$S$5:$S$204,0)+4,"")="","",INDEX('List A'!$A$5:$A$204,IFERROR(MATCH(138,'List A'!$S$5:$S$204,0)+4,"")-4))</f>
        <v/>
      </c>
      <c r="B142" s="53">
        <f>IF(IFERROR(MATCH(138,'List A'!$S$5:$S$204,0)+4,"")="","",INDEX('List A'!$B$5:$B$204,IFERROR(MATCH(138,'List A'!$S$5:$S$204,0)+4,"")-4))</f>
        <v/>
      </c>
      <c r="C142" s="52">
        <f>IF(IFERROR(MATCH(138,'List A'!$S$5:$S$204,0)+4,"")="","",INDEX('List A'!$C$5:$C$204,IFERROR(MATCH(138,'List A'!$S$5:$S$204,0)+4,"")-4))</f>
        <v/>
      </c>
      <c r="D142" s="53">
        <f>IF(IFERROR(MATCH(138,'List A'!$S$5:$S$204,0)+4,"")="","",INDEX('List A'!$D$5:$D$204,IFERROR(MATCH(138,'List A'!$S$5:$S$204,0)+4,"")-4))</f>
        <v/>
      </c>
      <c r="E142" s="87">
        <f>IF(OR(IFERROR(MATCH(138,'List A'!$S$5:$S$204,0)+4,"")="",IF(IFERROR(MATCH(138,'List A'!$S$5:$S$204,0)+4,"")="","",INDEX('List A'!$K$5:$K$204,IFERROR(MATCH(138,'List A'!$S$5:$S$204,0)+4,"")-4))=""),"",INDEX('List B'!$A$5:$A$204,IF(IFERROR(MATCH(138,'List A'!$S$5:$S$204,0)+4,"")="","",INDEX('List A'!$K$5:$K$204,IFERROR(MATCH(138,'List A'!$S$5:$S$204,0)+4,"")-4))-4))</f>
        <v/>
      </c>
      <c r="F142" s="53">
        <f>IF(OR(IFERROR(MATCH(138,'List A'!$S$5:$S$204,0)+4,"")="",IF(IFERROR(MATCH(138,'List A'!$S$5:$S$204,0)+4,"")="","",INDEX('List A'!$K$5:$K$204,IFERROR(MATCH(138,'List A'!$S$5:$S$204,0)+4,"")-4))=""),"",INDEX('List B'!$B$5:$B$204,IF(IFERROR(MATCH(138,'List A'!$S$5:$S$204,0)+4,"")="","",INDEX('List A'!$K$5:$K$204,IFERROR(MATCH(138,'List A'!$S$5:$S$204,0)+4,"")-4))-4))</f>
        <v/>
      </c>
      <c r="G142" s="52">
        <f>IF(OR(IFERROR(MATCH(138,'List A'!$S$5:$S$204,0)+4,"")="",IF(IFERROR(MATCH(138,'List A'!$S$5:$S$204,0)+4,"")="","",INDEX('List A'!$K$5:$K$204,IFERROR(MATCH(138,'List A'!$S$5:$S$204,0)+4,"")-4))=""),"",INDEX('List B'!$C$5:$C$204,IF(IFERROR(MATCH(138,'List A'!$S$5:$S$204,0)+4,"")="","",INDEX('List A'!$K$5:$K$204,IFERROR(MATCH(138,'List A'!$S$5:$S$204,0)+4,"")-4))-4))</f>
        <v/>
      </c>
      <c r="H142" s="53">
        <f>IF(OR(IFERROR(MATCH(138,'List A'!$S$5:$S$204,0)+4,"")="",IF(IFERROR(MATCH(138,'List A'!$S$5:$S$204,0)+4,"")="","",INDEX('List A'!$K$5:$K$204,IFERROR(MATCH(138,'List A'!$S$5:$S$204,0)+4,"")-4))=""),"",INDEX('List B'!$D$5:$D$204,IF(IFERROR(MATCH(138,'List A'!$S$5:$S$204,0)+4,"")="","",INDEX('List A'!$K$5:$K$204,IFERROR(MATCH(138,'List A'!$S$5:$S$204,0)+4,"")-4))-4))</f>
        <v/>
      </c>
      <c r="I142" s="52">
        <f>IF(IFERROR(MATCH(138,'List A'!$S$5:$S$204,0)+4,"")="","",INDEX('List A'!$N$5:$N$204,IFERROR(MATCH(138,'List A'!$S$5:$S$204,0)+4,"")-4))</f>
        <v/>
      </c>
      <c r="J142" s="53">
        <f>IF(IFERROR(MATCH(138,'List A'!$S$5:$S$204,0)+4,"")="","",INDEX('List A'!$O$5:$O$204,IFERROR(MATCH(138,'List A'!$S$5:$S$204,0)+4,"")-4))</f>
        <v/>
      </c>
    </row>
    <row r="143" ht="17" customHeight="1">
      <c r="A143" s="87">
        <f>IF(IFERROR(MATCH(139,'List A'!$S$5:$S$204,0)+4,"")="","",INDEX('List A'!$A$5:$A$204,IFERROR(MATCH(139,'List A'!$S$5:$S$204,0)+4,"")-4))</f>
        <v/>
      </c>
      <c r="B143" s="53">
        <f>IF(IFERROR(MATCH(139,'List A'!$S$5:$S$204,0)+4,"")="","",INDEX('List A'!$B$5:$B$204,IFERROR(MATCH(139,'List A'!$S$5:$S$204,0)+4,"")-4))</f>
        <v/>
      </c>
      <c r="C143" s="52">
        <f>IF(IFERROR(MATCH(139,'List A'!$S$5:$S$204,0)+4,"")="","",INDEX('List A'!$C$5:$C$204,IFERROR(MATCH(139,'List A'!$S$5:$S$204,0)+4,"")-4))</f>
        <v/>
      </c>
      <c r="D143" s="53">
        <f>IF(IFERROR(MATCH(139,'List A'!$S$5:$S$204,0)+4,"")="","",INDEX('List A'!$D$5:$D$204,IFERROR(MATCH(139,'List A'!$S$5:$S$204,0)+4,"")-4))</f>
        <v/>
      </c>
      <c r="E143" s="87">
        <f>IF(OR(IFERROR(MATCH(139,'List A'!$S$5:$S$204,0)+4,"")="",IF(IFERROR(MATCH(139,'List A'!$S$5:$S$204,0)+4,"")="","",INDEX('List A'!$K$5:$K$204,IFERROR(MATCH(139,'List A'!$S$5:$S$204,0)+4,"")-4))=""),"",INDEX('List B'!$A$5:$A$204,IF(IFERROR(MATCH(139,'List A'!$S$5:$S$204,0)+4,"")="","",INDEX('List A'!$K$5:$K$204,IFERROR(MATCH(139,'List A'!$S$5:$S$204,0)+4,"")-4))-4))</f>
        <v/>
      </c>
      <c r="F143" s="53">
        <f>IF(OR(IFERROR(MATCH(139,'List A'!$S$5:$S$204,0)+4,"")="",IF(IFERROR(MATCH(139,'List A'!$S$5:$S$204,0)+4,"")="","",INDEX('List A'!$K$5:$K$204,IFERROR(MATCH(139,'List A'!$S$5:$S$204,0)+4,"")-4))=""),"",INDEX('List B'!$B$5:$B$204,IF(IFERROR(MATCH(139,'List A'!$S$5:$S$204,0)+4,"")="","",INDEX('List A'!$K$5:$K$204,IFERROR(MATCH(139,'List A'!$S$5:$S$204,0)+4,"")-4))-4))</f>
        <v/>
      </c>
      <c r="G143" s="52">
        <f>IF(OR(IFERROR(MATCH(139,'List A'!$S$5:$S$204,0)+4,"")="",IF(IFERROR(MATCH(139,'List A'!$S$5:$S$204,0)+4,"")="","",INDEX('List A'!$K$5:$K$204,IFERROR(MATCH(139,'List A'!$S$5:$S$204,0)+4,"")-4))=""),"",INDEX('List B'!$C$5:$C$204,IF(IFERROR(MATCH(139,'List A'!$S$5:$S$204,0)+4,"")="","",INDEX('List A'!$K$5:$K$204,IFERROR(MATCH(139,'List A'!$S$5:$S$204,0)+4,"")-4))-4))</f>
        <v/>
      </c>
      <c r="H143" s="53">
        <f>IF(OR(IFERROR(MATCH(139,'List A'!$S$5:$S$204,0)+4,"")="",IF(IFERROR(MATCH(139,'List A'!$S$5:$S$204,0)+4,"")="","",INDEX('List A'!$K$5:$K$204,IFERROR(MATCH(139,'List A'!$S$5:$S$204,0)+4,"")-4))=""),"",INDEX('List B'!$D$5:$D$204,IF(IFERROR(MATCH(139,'List A'!$S$5:$S$204,0)+4,"")="","",INDEX('List A'!$K$5:$K$204,IFERROR(MATCH(139,'List A'!$S$5:$S$204,0)+4,"")-4))-4))</f>
        <v/>
      </c>
      <c r="I143" s="52">
        <f>IF(IFERROR(MATCH(139,'List A'!$S$5:$S$204,0)+4,"")="","",INDEX('List A'!$N$5:$N$204,IFERROR(MATCH(139,'List A'!$S$5:$S$204,0)+4,"")-4))</f>
        <v/>
      </c>
      <c r="J143" s="53">
        <f>IF(IFERROR(MATCH(139,'List A'!$S$5:$S$204,0)+4,"")="","",INDEX('List A'!$O$5:$O$204,IFERROR(MATCH(139,'List A'!$S$5:$S$204,0)+4,"")-4))</f>
        <v/>
      </c>
    </row>
    <row r="144" ht="17" customHeight="1">
      <c r="A144" s="87">
        <f>IF(IFERROR(MATCH(140,'List A'!$S$5:$S$204,0)+4,"")="","",INDEX('List A'!$A$5:$A$204,IFERROR(MATCH(140,'List A'!$S$5:$S$204,0)+4,"")-4))</f>
        <v/>
      </c>
      <c r="B144" s="53">
        <f>IF(IFERROR(MATCH(140,'List A'!$S$5:$S$204,0)+4,"")="","",INDEX('List A'!$B$5:$B$204,IFERROR(MATCH(140,'List A'!$S$5:$S$204,0)+4,"")-4))</f>
        <v/>
      </c>
      <c r="C144" s="52">
        <f>IF(IFERROR(MATCH(140,'List A'!$S$5:$S$204,0)+4,"")="","",INDEX('List A'!$C$5:$C$204,IFERROR(MATCH(140,'List A'!$S$5:$S$204,0)+4,"")-4))</f>
        <v/>
      </c>
      <c r="D144" s="53">
        <f>IF(IFERROR(MATCH(140,'List A'!$S$5:$S$204,0)+4,"")="","",INDEX('List A'!$D$5:$D$204,IFERROR(MATCH(140,'List A'!$S$5:$S$204,0)+4,"")-4))</f>
        <v/>
      </c>
      <c r="E144" s="87">
        <f>IF(OR(IFERROR(MATCH(140,'List A'!$S$5:$S$204,0)+4,"")="",IF(IFERROR(MATCH(140,'List A'!$S$5:$S$204,0)+4,"")="","",INDEX('List A'!$K$5:$K$204,IFERROR(MATCH(140,'List A'!$S$5:$S$204,0)+4,"")-4))=""),"",INDEX('List B'!$A$5:$A$204,IF(IFERROR(MATCH(140,'List A'!$S$5:$S$204,0)+4,"")="","",INDEX('List A'!$K$5:$K$204,IFERROR(MATCH(140,'List A'!$S$5:$S$204,0)+4,"")-4))-4))</f>
        <v/>
      </c>
      <c r="F144" s="53">
        <f>IF(OR(IFERROR(MATCH(140,'List A'!$S$5:$S$204,0)+4,"")="",IF(IFERROR(MATCH(140,'List A'!$S$5:$S$204,0)+4,"")="","",INDEX('List A'!$K$5:$K$204,IFERROR(MATCH(140,'List A'!$S$5:$S$204,0)+4,"")-4))=""),"",INDEX('List B'!$B$5:$B$204,IF(IFERROR(MATCH(140,'List A'!$S$5:$S$204,0)+4,"")="","",INDEX('List A'!$K$5:$K$204,IFERROR(MATCH(140,'List A'!$S$5:$S$204,0)+4,"")-4))-4))</f>
        <v/>
      </c>
      <c r="G144" s="52">
        <f>IF(OR(IFERROR(MATCH(140,'List A'!$S$5:$S$204,0)+4,"")="",IF(IFERROR(MATCH(140,'List A'!$S$5:$S$204,0)+4,"")="","",INDEX('List A'!$K$5:$K$204,IFERROR(MATCH(140,'List A'!$S$5:$S$204,0)+4,"")-4))=""),"",INDEX('List B'!$C$5:$C$204,IF(IFERROR(MATCH(140,'List A'!$S$5:$S$204,0)+4,"")="","",INDEX('List A'!$K$5:$K$204,IFERROR(MATCH(140,'List A'!$S$5:$S$204,0)+4,"")-4))-4))</f>
        <v/>
      </c>
      <c r="H144" s="53">
        <f>IF(OR(IFERROR(MATCH(140,'List A'!$S$5:$S$204,0)+4,"")="",IF(IFERROR(MATCH(140,'List A'!$S$5:$S$204,0)+4,"")="","",INDEX('List A'!$K$5:$K$204,IFERROR(MATCH(140,'List A'!$S$5:$S$204,0)+4,"")-4))=""),"",INDEX('List B'!$D$5:$D$204,IF(IFERROR(MATCH(140,'List A'!$S$5:$S$204,0)+4,"")="","",INDEX('List A'!$K$5:$K$204,IFERROR(MATCH(140,'List A'!$S$5:$S$204,0)+4,"")-4))-4))</f>
        <v/>
      </c>
      <c r="I144" s="52">
        <f>IF(IFERROR(MATCH(140,'List A'!$S$5:$S$204,0)+4,"")="","",INDEX('List A'!$N$5:$N$204,IFERROR(MATCH(140,'List A'!$S$5:$S$204,0)+4,"")-4))</f>
        <v/>
      </c>
      <c r="J144" s="53">
        <f>IF(IFERROR(MATCH(140,'List A'!$S$5:$S$204,0)+4,"")="","",INDEX('List A'!$O$5:$O$204,IFERROR(MATCH(140,'List A'!$S$5:$S$204,0)+4,"")-4))</f>
        <v/>
      </c>
    </row>
    <row r="145" ht="17" customHeight="1">
      <c r="A145" s="87">
        <f>IF(IFERROR(MATCH(141,'List A'!$S$5:$S$204,0)+4,"")="","",INDEX('List A'!$A$5:$A$204,IFERROR(MATCH(141,'List A'!$S$5:$S$204,0)+4,"")-4))</f>
        <v/>
      </c>
      <c r="B145" s="53">
        <f>IF(IFERROR(MATCH(141,'List A'!$S$5:$S$204,0)+4,"")="","",INDEX('List A'!$B$5:$B$204,IFERROR(MATCH(141,'List A'!$S$5:$S$204,0)+4,"")-4))</f>
        <v/>
      </c>
      <c r="C145" s="52">
        <f>IF(IFERROR(MATCH(141,'List A'!$S$5:$S$204,0)+4,"")="","",INDEX('List A'!$C$5:$C$204,IFERROR(MATCH(141,'List A'!$S$5:$S$204,0)+4,"")-4))</f>
        <v/>
      </c>
      <c r="D145" s="53">
        <f>IF(IFERROR(MATCH(141,'List A'!$S$5:$S$204,0)+4,"")="","",INDEX('List A'!$D$5:$D$204,IFERROR(MATCH(141,'List A'!$S$5:$S$204,0)+4,"")-4))</f>
        <v/>
      </c>
      <c r="E145" s="87">
        <f>IF(OR(IFERROR(MATCH(141,'List A'!$S$5:$S$204,0)+4,"")="",IF(IFERROR(MATCH(141,'List A'!$S$5:$S$204,0)+4,"")="","",INDEX('List A'!$K$5:$K$204,IFERROR(MATCH(141,'List A'!$S$5:$S$204,0)+4,"")-4))=""),"",INDEX('List B'!$A$5:$A$204,IF(IFERROR(MATCH(141,'List A'!$S$5:$S$204,0)+4,"")="","",INDEX('List A'!$K$5:$K$204,IFERROR(MATCH(141,'List A'!$S$5:$S$204,0)+4,"")-4))-4))</f>
        <v/>
      </c>
      <c r="F145" s="53">
        <f>IF(OR(IFERROR(MATCH(141,'List A'!$S$5:$S$204,0)+4,"")="",IF(IFERROR(MATCH(141,'List A'!$S$5:$S$204,0)+4,"")="","",INDEX('List A'!$K$5:$K$204,IFERROR(MATCH(141,'List A'!$S$5:$S$204,0)+4,"")-4))=""),"",INDEX('List B'!$B$5:$B$204,IF(IFERROR(MATCH(141,'List A'!$S$5:$S$204,0)+4,"")="","",INDEX('List A'!$K$5:$K$204,IFERROR(MATCH(141,'List A'!$S$5:$S$204,0)+4,"")-4))-4))</f>
        <v/>
      </c>
      <c r="G145" s="52">
        <f>IF(OR(IFERROR(MATCH(141,'List A'!$S$5:$S$204,0)+4,"")="",IF(IFERROR(MATCH(141,'List A'!$S$5:$S$204,0)+4,"")="","",INDEX('List A'!$K$5:$K$204,IFERROR(MATCH(141,'List A'!$S$5:$S$204,0)+4,"")-4))=""),"",INDEX('List B'!$C$5:$C$204,IF(IFERROR(MATCH(141,'List A'!$S$5:$S$204,0)+4,"")="","",INDEX('List A'!$K$5:$K$204,IFERROR(MATCH(141,'List A'!$S$5:$S$204,0)+4,"")-4))-4))</f>
        <v/>
      </c>
      <c r="H145" s="53">
        <f>IF(OR(IFERROR(MATCH(141,'List A'!$S$5:$S$204,0)+4,"")="",IF(IFERROR(MATCH(141,'List A'!$S$5:$S$204,0)+4,"")="","",INDEX('List A'!$K$5:$K$204,IFERROR(MATCH(141,'List A'!$S$5:$S$204,0)+4,"")-4))=""),"",INDEX('List B'!$D$5:$D$204,IF(IFERROR(MATCH(141,'List A'!$S$5:$S$204,0)+4,"")="","",INDEX('List A'!$K$5:$K$204,IFERROR(MATCH(141,'List A'!$S$5:$S$204,0)+4,"")-4))-4))</f>
        <v/>
      </c>
      <c r="I145" s="52">
        <f>IF(IFERROR(MATCH(141,'List A'!$S$5:$S$204,0)+4,"")="","",INDEX('List A'!$N$5:$N$204,IFERROR(MATCH(141,'List A'!$S$5:$S$204,0)+4,"")-4))</f>
        <v/>
      </c>
      <c r="J145" s="53">
        <f>IF(IFERROR(MATCH(141,'List A'!$S$5:$S$204,0)+4,"")="","",INDEX('List A'!$O$5:$O$204,IFERROR(MATCH(141,'List A'!$S$5:$S$204,0)+4,"")-4))</f>
        <v/>
      </c>
    </row>
    <row r="146" ht="17" customHeight="1">
      <c r="A146" s="87">
        <f>IF(IFERROR(MATCH(142,'List A'!$S$5:$S$204,0)+4,"")="","",INDEX('List A'!$A$5:$A$204,IFERROR(MATCH(142,'List A'!$S$5:$S$204,0)+4,"")-4))</f>
        <v/>
      </c>
      <c r="B146" s="53">
        <f>IF(IFERROR(MATCH(142,'List A'!$S$5:$S$204,0)+4,"")="","",INDEX('List A'!$B$5:$B$204,IFERROR(MATCH(142,'List A'!$S$5:$S$204,0)+4,"")-4))</f>
        <v/>
      </c>
      <c r="C146" s="52">
        <f>IF(IFERROR(MATCH(142,'List A'!$S$5:$S$204,0)+4,"")="","",INDEX('List A'!$C$5:$C$204,IFERROR(MATCH(142,'List A'!$S$5:$S$204,0)+4,"")-4))</f>
        <v/>
      </c>
      <c r="D146" s="53">
        <f>IF(IFERROR(MATCH(142,'List A'!$S$5:$S$204,0)+4,"")="","",INDEX('List A'!$D$5:$D$204,IFERROR(MATCH(142,'List A'!$S$5:$S$204,0)+4,"")-4))</f>
        <v/>
      </c>
      <c r="E146" s="87">
        <f>IF(OR(IFERROR(MATCH(142,'List A'!$S$5:$S$204,0)+4,"")="",IF(IFERROR(MATCH(142,'List A'!$S$5:$S$204,0)+4,"")="","",INDEX('List A'!$K$5:$K$204,IFERROR(MATCH(142,'List A'!$S$5:$S$204,0)+4,"")-4))=""),"",INDEX('List B'!$A$5:$A$204,IF(IFERROR(MATCH(142,'List A'!$S$5:$S$204,0)+4,"")="","",INDEX('List A'!$K$5:$K$204,IFERROR(MATCH(142,'List A'!$S$5:$S$204,0)+4,"")-4))-4))</f>
        <v/>
      </c>
      <c r="F146" s="53">
        <f>IF(OR(IFERROR(MATCH(142,'List A'!$S$5:$S$204,0)+4,"")="",IF(IFERROR(MATCH(142,'List A'!$S$5:$S$204,0)+4,"")="","",INDEX('List A'!$K$5:$K$204,IFERROR(MATCH(142,'List A'!$S$5:$S$204,0)+4,"")-4))=""),"",INDEX('List B'!$B$5:$B$204,IF(IFERROR(MATCH(142,'List A'!$S$5:$S$204,0)+4,"")="","",INDEX('List A'!$K$5:$K$204,IFERROR(MATCH(142,'List A'!$S$5:$S$204,0)+4,"")-4))-4))</f>
        <v/>
      </c>
      <c r="G146" s="52">
        <f>IF(OR(IFERROR(MATCH(142,'List A'!$S$5:$S$204,0)+4,"")="",IF(IFERROR(MATCH(142,'List A'!$S$5:$S$204,0)+4,"")="","",INDEX('List A'!$K$5:$K$204,IFERROR(MATCH(142,'List A'!$S$5:$S$204,0)+4,"")-4))=""),"",INDEX('List B'!$C$5:$C$204,IF(IFERROR(MATCH(142,'List A'!$S$5:$S$204,0)+4,"")="","",INDEX('List A'!$K$5:$K$204,IFERROR(MATCH(142,'List A'!$S$5:$S$204,0)+4,"")-4))-4))</f>
        <v/>
      </c>
      <c r="H146" s="53">
        <f>IF(OR(IFERROR(MATCH(142,'List A'!$S$5:$S$204,0)+4,"")="",IF(IFERROR(MATCH(142,'List A'!$S$5:$S$204,0)+4,"")="","",INDEX('List A'!$K$5:$K$204,IFERROR(MATCH(142,'List A'!$S$5:$S$204,0)+4,"")-4))=""),"",INDEX('List B'!$D$5:$D$204,IF(IFERROR(MATCH(142,'List A'!$S$5:$S$204,0)+4,"")="","",INDEX('List A'!$K$5:$K$204,IFERROR(MATCH(142,'List A'!$S$5:$S$204,0)+4,"")-4))-4))</f>
        <v/>
      </c>
      <c r="I146" s="52">
        <f>IF(IFERROR(MATCH(142,'List A'!$S$5:$S$204,0)+4,"")="","",INDEX('List A'!$N$5:$N$204,IFERROR(MATCH(142,'List A'!$S$5:$S$204,0)+4,"")-4))</f>
        <v/>
      </c>
      <c r="J146" s="53">
        <f>IF(IFERROR(MATCH(142,'List A'!$S$5:$S$204,0)+4,"")="","",INDEX('List A'!$O$5:$O$204,IFERROR(MATCH(142,'List A'!$S$5:$S$204,0)+4,"")-4))</f>
        <v/>
      </c>
    </row>
    <row r="147" ht="17" customHeight="1">
      <c r="A147" s="87">
        <f>IF(IFERROR(MATCH(143,'List A'!$S$5:$S$204,0)+4,"")="","",INDEX('List A'!$A$5:$A$204,IFERROR(MATCH(143,'List A'!$S$5:$S$204,0)+4,"")-4))</f>
        <v/>
      </c>
      <c r="B147" s="53">
        <f>IF(IFERROR(MATCH(143,'List A'!$S$5:$S$204,0)+4,"")="","",INDEX('List A'!$B$5:$B$204,IFERROR(MATCH(143,'List A'!$S$5:$S$204,0)+4,"")-4))</f>
        <v/>
      </c>
      <c r="C147" s="52">
        <f>IF(IFERROR(MATCH(143,'List A'!$S$5:$S$204,0)+4,"")="","",INDEX('List A'!$C$5:$C$204,IFERROR(MATCH(143,'List A'!$S$5:$S$204,0)+4,"")-4))</f>
        <v/>
      </c>
      <c r="D147" s="53">
        <f>IF(IFERROR(MATCH(143,'List A'!$S$5:$S$204,0)+4,"")="","",INDEX('List A'!$D$5:$D$204,IFERROR(MATCH(143,'List A'!$S$5:$S$204,0)+4,"")-4))</f>
        <v/>
      </c>
      <c r="E147" s="87">
        <f>IF(OR(IFERROR(MATCH(143,'List A'!$S$5:$S$204,0)+4,"")="",IF(IFERROR(MATCH(143,'List A'!$S$5:$S$204,0)+4,"")="","",INDEX('List A'!$K$5:$K$204,IFERROR(MATCH(143,'List A'!$S$5:$S$204,0)+4,"")-4))=""),"",INDEX('List B'!$A$5:$A$204,IF(IFERROR(MATCH(143,'List A'!$S$5:$S$204,0)+4,"")="","",INDEX('List A'!$K$5:$K$204,IFERROR(MATCH(143,'List A'!$S$5:$S$204,0)+4,"")-4))-4))</f>
        <v/>
      </c>
      <c r="F147" s="53">
        <f>IF(OR(IFERROR(MATCH(143,'List A'!$S$5:$S$204,0)+4,"")="",IF(IFERROR(MATCH(143,'List A'!$S$5:$S$204,0)+4,"")="","",INDEX('List A'!$K$5:$K$204,IFERROR(MATCH(143,'List A'!$S$5:$S$204,0)+4,"")-4))=""),"",INDEX('List B'!$B$5:$B$204,IF(IFERROR(MATCH(143,'List A'!$S$5:$S$204,0)+4,"")="","",INDEX('List A'!$K$5:$K$204,IFERROR(MATCH(143,'List A'!$S$5:$S$204,0)+4,"")-4))-4))</f>
        <v/>
      </c>
      <c r="G147" s="52">
        <f>IF(OR(IFERROR(MATCH(143,'List A'!$S$5:$S$204,0)+4,"")="",IF(IFERROR(MATCH(143,'List A'!$S$5:$S$204,0)+4,"")="","",INDEX('List A'!$K$5:$K$204,IFERROR(MATCH(143,'List A'!$S$5:$S$204,0)+4,"")-4))=""),"",INDEX('List B'!$C$5:$C$204,IF(IFERROR(MATCH(143,'List A'!$S$5:$S$204,0)+4,"")="","",INDEX('List A'!$K$5:$K$204,IFERROR(MATCH(143,'List A'!$S$5:$S$204,0)+4,"")-4))-4))</f>
        <v/>
      </c>
      <c r="H147" s="53">
        <f>IF(OR(IFERROR(MATCH(143,'List A'!$S$5:$S$204,0)+4,"")="",IF(IFERROR(MATCH(143,'List A'!$S$5:$S$204,0)+4,"")="","",INDEX('List A'!$K$5:$K$204,IFERROR(MATCH(143,'List A'!$S$5:$S$204,0)+4,"")-4))=""),"",INDEX('List B'!$D$5:$D$204,IF(IFERROR(MATCH(143,'List A'!$S$5:$S$204,0)+4,"")="","",INDEX('List A'!$K$5:$K$204,IFERROR(MATCH(143,'List A'!$S$5:$S$204,0)+4,"")-4))-4))</f>
        <v/>
      </c>
      <c r="I147" s="52">
        <f>IF(IFERROR(MATCH(143,'List A'!$S$5:$S$204,0)+4,"")="","",INDEX('List A'!$N$5:$N$204,IFERROR(MATCH(143,'List A'!$S$5:$S$204,0)+4,"")-4))</f>
        <v/>
      </c>
      <c r="J147" s="53">
        <f>IF(IFERROR(MATCH(143,'List A'!$S$5:$S$204,0)+4,"")="","",INDEX('List A'!$O$5:$O$204,IFERROR(MATCH(143,'List A'!$S$5:$S$204,0)+4,"")-4))</f>
        <v/>
      </c>
    </row>
    <row r="148" ht="17" customHeight="1">
      <c r="A148" s="87">
        <f>IF(IFERROR(MATCH(144,'List A'!$S$5:$S$204,0)+4,"")="","",INDEX('List A'!$A$5:$A$204,IFERROR(MATCH(144,'List A'!$S$5:$S$204,0)+4,"")-4))</f>
        <v/>
      </c>
      <c r="B148" s="53">
        <f>IF(IFERROR(MATCH(144,'List A'!$S$5:$S$204,0)+4,"")="","",INDEX('List A'!$B$5:$B$204,IFERROR(MATCH(144,'List A'!$S$5:$S$204,0)+4,"")-4))</f>
        <v/>
      </c>
      <c r="C148" s="52">
        <f>IF(IFERROR(MATCH(144,'List A'!$S$5:$S$204,0)+4,"")="","",INDEX('List A'!$C$5:$C$204,IFERROR(MATCH(144,'List A'!$S$5:$S$204,0)+4,"")-4))</f>
        <v/>
      </c>
      <c r="D148" s="53">
        <f>IF(IFERROR(MATCH(144,'List A'!$S$5:$S$204,0)+4,"")="","",INDEX('List A'!$D$5:$D$204,IFERROR(MATCH(144,'List A'!$S$5:$S$204,0)+4,"")-4))</f>
        <v/>
      </c>
      <c r="E148" s="87">
        <f>IF(OR(IFERROR(MATCH(144,'List A'!$S$5:$S$204,0)+4,"")="",IF(IFERROR(MATCH(144,'List A'!$S$5:$S$204,0)+4,"")="","",INDEX('List A'!$K$5:$K$204,IFERROR(MATCH(144,'List A'!$S$5:$S$204,0)+4,"")-4))=""),"",INDEX('List B'!$A$5:$A$204,IF(IFERROR(MATCH(144,'List A'!$S$5:$S$204,0)+4,"")="","",INDEX('List A'!$K$5:$K$204,IFERROR(MATCH(144,'List A'!$S$5:$S$204,0)+4,"")-4))-4))</f>
        <v/>
      </c>
      <c r="F148" s="53">
        <f>IF(OR(IFERROR(MATCH(144,'List A'!$S$5:$S$204,0)+4,"")="",IF(IFERROR(MATCH(144,'List A'!$S$5:$S$204,0)+4,"")="","",INDEX('List A'!$K$5:$K$204,IFERROR(MATCH(144,'List A'!$S$5:$S$204,0)+4,"")-4))=""),"",INDEX('List B'!$B$5:$B$204,IF(IFERROR(MATCH(144,'List A'!$S$5:$S$204,0)+4,"")="","",INDEX('List A'!$K$5:$K$204,IFERROR(MATCH(144,'List A'!$S$5:$S$204,0)+4,"")-4))-4))</f>
        <v/>
      </c>
      <c r="G148" s="52">
        <f>IF(OR(IFERROR(MATCH(144,'List A'!$S$5:$S$204,0)+4,"")="",IF(IFERROR(MATCH(144,'List A'!$S$5:$S$204,0)+4,"")="","",INDEX('List A'!$K$5:$K$204,IFERROR(MATCH(144,'List A'!$S$5:$S$204,0)+4,"")-4))=""),"",INDEX('List B'!$C$5:$C$204,IF(IFERROR(MATCH(144,'List A'!$S$5:$S$204,0)+4,"")="","",INDEX('List A'!$K$5:$K$204,IFERROR(MATCH(144,'List A'!$S$5:$S$204,0)+4,"")-4))-4))</f>
        <v/>
      </c>
      <c r="H148" s="53">
        <f>IF(OR(IFERROR(MATCH(144,'List A'!$S$5:$S$204,0)+4,"")="",IF(IFERROR(MATCH(144,'List A'!$S$5:$S$204,0)+4,"")="","",INDEX('List A'!$K$5:$K$204,IFERROR(MATCH(144,'List A'!$S$5:$S$204,0)+4,"")-4))=""),"",INDEX('List B'!$D$5:$D$204,IF(IFERROR(MATCH(144,'List A'!$S$5:$S$204,0)+4,"")="","",INDEX('List A'!$K$5:$K$204,IFERROR(MATCH(144,'List A'!$S$5:$S$204,0)+4,"")-4))-4))</f>
        <v/>
      </c>
      <c r="I148" s="52">
        <f>IF(IFERROR(MATCH(144,'List A'!$S$5:$S$204,0)+4,"")="","",INDEX('List A'!$N$5:$N$204,IFERROR(MATCH(144,'List A'!$S$5:$S$204,0)+4,"")-4))</f>
        <v/>
      </c>
      <c r="J148" s="53">
        <f>IF(IFERROR(MATCH(144,'List A'!$S$5:$S$204,0)+4,"")="","",INDEX('List A'!$O$5:$O$204,IFERROR(MATCH(144,'List A'!$S$5:$S$204,0)+4,"")-4))</f>
        <v/>
      </c>
    </row>
    <row r="149" ht="17" customHeight="1">
      <c r="A149" s="87">
        <f>IF(IFERROR(MATCH(145,'List A'!$S$5:$S$204,0)+4,"")="","",INDEX('List A'!$A$5:$A$204,IFERROR(MATCH(145,'List A'!$S$5:$S$204,0)+4,"")-4))</f>
        <v/>
      </c>
      <c r="B149" s="53">
        <f>IF(IFERROR(MATCH(145,'List A'!$S$5:$S$204,0)+4,"")="","",INDEX('List A'!$B$5:$B$204,IFERROR(MATCH(145,'List A'!$S$5:$S$204,0)+4,"")-4))</f>
        <v/>
      </c>
      <c r="C149" s="52">
        <f>IF(IFERROR(MATCH(145,'List A'!$S$5:$S$204,0)+4,"")="","",INDEX('List A'!$C$5:$C$204,IFERROR(MATCH(145,'List A'!$S$5:$S$204,0)+4,"")-4))</f>
        <v/>
      </c>
      <c r="D149" s="53">
        <f>IF(IFERROR(MATCH(145,'List A'!$S$5:$S$204,0)+4,"")="","",INDEX('List A'!$D$5:$D$204,IFERROR(MATCH(145,'List A'!$S$5:$S$204,0)+4,"")-4))</f>
        <v/>
      </c>
      <c r="E149" s="87">
        <f>IF(OR(IFERROR(MATCH(145,'List A'!$S$5:$S$204,0)+4,"")="",IF(IFERROR(MATCH(145,'List A'!$S$5:$S$204,0)+4,"")="","",INDEX('List A'!$K$5:$K$204,IFERROR(MATCH(145,'List A'!$S$5:$S$204,0)+4,"")-4))=""),"",INDEX('List B'!$A$5:$A$204,IF(IFERROR(MATCH(145,'List A'!$S$5:$S$204,0)+4,"")="","",INDEX('List A'!$K$5:$K$204,IFERROR(MATCH(145,'List A'!$S$5:$S$204,0)+4,"")-4))-4))</f>
        <v/>
      </c>
      <c r="F149" s="53">
        <f>IF(OR(IFERROR(MATCH(145,'List A'!$S$5:$S$204,0)+4,"")="",IF(IFERROR(MATCH(145,'List A'!$S$5:$S$204,0)+4,"")="","",INDEX('List A'!$K$5:$K$204,IFERROR(MATCH(145,'List A'!$S$5:$S$204,0)+4,"")-4))=""),"",INDEX('List B'!$B$5:$B$204,IF(IFERROR(MATCH(145,'List A'!$S$5:$S$204,0)+4,"")="","",INDEX('List A'!$K$5:$K$204,IFERROR(MATCH(145,'List A'!$S$5:$S$204,0)+4,"")-4))-4))</f>
        <v/>
      </c>
      <c r="G149" s="52">
        <f>IF(OR(IFERROR(MATCH(145,'List A'!$S$5:$S$204,0)+4,"")="",IF(IFERROR(MATCH(145,'List A'!$S$5:$S$204,0)+4,"")="","",INDEX('List A'!$K$5:$K$204,IFERROR(MATCH(145,'List A'!$S$5:$S$204,0)+4,"")-4))=""),"",INDEX('List B'!$C$5:$C$204,IF(IFERROR(MATCH(145,'List A'!$S$5:$S$204,0)+4,"")="","",INDEX('List A'!$K$5:$K$204,IFERROR(MATCH(145,'List A'!$S$5:$S$204,0)+4,"")-4))-4))</f>
        <v/>
      </c>
      <c r="H149" s="53">
        <f>IF(OR(IFERROR(MATCH(145,'List A'!$S$5:$S$204,0)+4,"")="",IF(IFERROR(MATCH(145,'List A'!$S$5:$S$204,0)+4,"")="","",INDEX('List A'!$K$5:$K$204,IFERROR(MATCH(145,'List A'!$S$5:$S$204,0)+4,"")-4))=""),"",INDEX('List B'!$D$5:$D$204,IF(IFERROR(MATCH(145,'List A'!$S$5:$S$204,0)+4,"")="","",INDEX('List A'!$K$5:$K$204,IFERROR(MATCH(145,'List A'!$S$5:$S$204,0)+4,"")-4))-4))</f>
        <v/>
      </c>
      <c r="I149" s="52">
        <f>IF(IFERROR(MATCH(145,'List A'!$S$5:$S$204,0)+4,"")="","",INDEX('List A'!$N$5:$N$204,IFERROR(MATCH(145,'List A'!$S$5:$S$204,0)+4,"")-4))</f>
        <v/>
      </c>
      <c r="J149" s="53">
        <f>IF(IFERROR(MATCH(145,'List A'!$S$5:$S$204,0)+4,"")="","",INDEX('List A'!$O$5:$O$204,IFERROR(MATCH(145,'List A'!$S$5:$S$204,0)+4,"")-4))</f>
        <v/>
      </c>
    </row>
    <row r="150" ht="17" customHeight="1">
      <c r="A150" s="87">
        <f>IF(IFERROR(MATCH(146,'List A'!$S$5:$S$204,0)+4,"")="","",INDEX('List A'!$A$5:$A$204,IFERROR(MATCH(146,'List A'!$S$5:$S$204,0)+4,"")-4))</f>
        <v/>
      </c>
      <c r="B150" s="53">
        <f>IF(IFERROR(MATCH(146,'List A'!$S$5:$S$204,0)+4,"")="","",INDEX('List A'!$B$5:$B$204,IFERROR(MATCH(146,'List A'!$S$5:$S$204,0)+4,"")-4))</f>
        <v/>
      </c>
      <c r="C150" s="52">
        <f>IF(IFERROR(MATCH(146,'List A'!$S$5:$S$204,0)+4,"")="","",INDEX('List A'!$C$5:$C$204,IFERROR(MATCH(146,'List A'!$S$5:$S$204,0)+4,"")-4))</f>
        <v/>
      </c>
      <c r="D150" s="53">
        <f>IF(IFERROR(MATCH(146,'List A'!$S$5:$S$204,0)+4,"")="","",INDEX('List A'!$D$5:$D$204,IFERROR(MATCH(146,'List A'!$S$5:$S$204,0)+4,"")-4))</f>
        <v/>
      </c>
      <c r="E150" s="87">
        <f>IF(OR(IFERROR(MATCH(146,'List A'!$S$5:$S$204,0)+4,"")="",IF(IFERROR(MATCH(146,'List A'!$S$5:$S$204,0)+4,"")="","",INDEX('List A'!$K$5:$K$204,IFERROR(MATCH(146,'List A'!$S$5:$S$204,0)+4,"")-4))=""),"",INDEX('List B'!$A$5:$A$204,IF(IFERROR(MATCH(146,'List A'!$S$5:$S$204,0)+4,"")="","",INDEX('List A'!$K$5:$K$204,IFERROR(MATCH(146,'List A'!$S$5:$S$204,0)+4,"")-4))-4))</f>
        <v/>
      </c>
      <c r="F150" s="53">
        <f>IF(OR(IFERROR(MATCH(146,'List A'!$S$5:$S$204,0)+4,"")="",IF(IFERROR(MATCH(146,'List A'!$S$5:$S$204,0)+4,"")="","",INDEX('List A'!$K$5:$K$204,IFERROR(MATCH(146,'List A'!$S$5:$S$204,0)+4,"")-4))=""),"",INDEX('List B'!$B$5:$B$204,IF(IFERROR(MATCH(146,'List A'!$S$5:$S$204,0)+4,"")="","",INDEX('List A'!$K$5:$K$204,IFERROR(MATCH(146,'List A'!$S$5:$S$204,0)+4,"")-4))-4))</f>
        <v/>
      </c>
      <c r="G150" s="52">
        <f>IF(OR(IFERROR(MATCH(146,'List A'!$S$5:$S$204,0)+4,"")="",IF(IFERROR(MATCH(146,'List A'!$S$5:$S$204,0)+4,"")="","",INDEX('List A'!$K$5:$K$204,IFERROR(MATCH(146,'List A'!$S$5:$S$204,0)+4,"")-4))=""),"",INDEX('List B'!$C$5:$C$204,IF(IFERROR(MATCH(146,'List A'!$S$5:$S$204,0)+4,"")="","",INDEX('List A'!$K$5:$K$204,IFERROR(MATCH(146,'List A'!$S$5:$S$204,0)+4,"")-4))-4))</f>
        <v/>
      </c>
      <c r="H150" s="53">
        <f>IF(OR(IFERROR(MATCH(146,'List A'!$S$5:$S$204,0)+4,"")="",IF(IFERROR(MATCH(146,'List A'!$S$5:$S$204,0)+4,"")="","",INDEX('List A'!$K$5:$K$204,IFERROR(MATCH(146,'List A'!$S$5:$S$204,0)+4,"")-4))=""),"",INDEX('List B'!$D$5:$D$204,IF(IFERROR(MATCH(146,'List A'!$S$5:$S$204,0)+4,"")="","",INDEX('List A'!$K$5:$K$204,IFERROR(MATCH(146,'List A'!$S$5:$S$204,0)+4,"")-4))-4))</f>
        <v/>
      </c>
      <c r="I150" s="52">
        <f>IF(IFERROR(MATCH(146,'List A'!$S$5:$S$204,0)+4,"")="","",INDEX('List A'!$N$5:$N$204,IFERROR(MATCH(146,'List A'!$S$5:$S$204,0)+4,"")-4))</f>
        <v/>
      </c>
      <c r="J150" s="53">
        <f>IF(IFERROR(MATCH(146,'List A'!$S$5:$S$204,0)+4,"")="","",INDEX('List A'!$O$5:$O$204,IFERROR(MATCH(146,'List A'!$S$5:$S$204,0)+4,"")-4))</f>
        <v/>
      </c>
    </row>
    <row r="151" ht="17" customHeight="1">
      <c r="A151" s="87">
        <f>IF(IFERROR(MATCH(147,'List A'!$S$5:$S$204,0)+4,"")="","",INDEX('List A'!$A$5:$A$204,IFERROR(MATCH(147,'List A'!$S$5:$S$204,0)+4,"")-4))</f>
        <v/>
      </c>
      <c r="B151" s="53">
        <f>IF(IFERROR(MATCH(147,'List A'!$S$5:$S$204,0)+4,"")="","",INDEX('List A'!$B$5:$B$204,IFERROR(MATCH(147,'List A'!$S$5:$S$204,0)+4,"")-4))</f>
        <v/>
      </c>
      <c r="C151" s="52">
        <f>IF(IFERROR(MATCH(147,'List A'!$S$5:$S$204,0)+4,"")="","",INDEX('List A'!$C$5:$C$204,IFERROR(MATCH(147,'List A'!$S$5:$S$204,0)+4,"")-4))</f>
        <v/>
      </c>
      <c r="D151" s="53">
        <f>IF(IFERROR(MATCH(147,'List A'!$S$5:$S$204,0)+4,"")="","",INDEX('List A'!$D$5:$D$204,IFERROR(MATCH(147,'List A'!$S$5:$S$204,0)+4,"")-4))</f>
        <v/>
      </c>
      <c r="E151" s="87">
        <f>IF(OR(IFERROR(MATCH(147,'List A'!$S$5:$S$204,0)+4,"")="",IF(IFERROR(MATCH(147,'List A'!$S$5:$S$204,0)+4,"")="","",INDEX('List A'!$K$5:$K$204,IFERROR(MATCH(147,'List A'!$S$5:$S$204,0)+4,"")-4))=""),"",INDEX('List B'!$A$5:$A$204,IF(IFERROR(MATCH(147,'List A'!$S$5:$S$204,0)+4,"")="","",INDEX('List A'!$K$5:$K$204,IFERROR(MATCH(147,'List A'!$S$5:$S$204,0)+4,"")-4))-4))</f>
        <v/>
      </c>
      <c r="F151" s="53">
        <f>IF(OR(IFERROR(MATCH(147,'List A'!$S$5:$S$204,0)+4,"")="",IF(IFERROR(MATCH(147,'List A'!$S$5:$S$204,0)+4,"")="","",INDEX('List A'!$K$5:$K$204,IFERROR(MATCH(147,'List A'!$S$5:$S$204,0)+4,"")-4))=""),"",INDEX('List B'!$B$5:$B$204,IF(IFERROR(MATCH(147,'List A'!$S$5:$S$204,0)+4,"")="","",INDEX('List A'!$K$5:$K$204,IFERROR(MATCH(147,'List A'!$S$5:$S$204,0)+4,"")-4))-4))</f>
        <v/>
      </c>
      <c r="G151" s="52">
        <f>IF(OR(IFERROR(MATCH(147,'List A'!$S$5:$S$204,0)+4,"")="",IF(IFERROR(MATCH(147,'List A'!$S$5:$S$204,0)+4,"")="","",INDEX('List A'!$K$5:$K$204,IFERROR(MATCH(147,'List A'!$S$5:$S$204,0)+4,"")-4))=""),"",INDEX('List B'!$C$5:$C$204,IF(IFERROR(MATCH(147,'List A'!$S$5:$S$204,0)+4,"")="","",INDEX('List A'!$K$5:$K$204,IFERROR(MATCH(147,'List A'!$S$5:$S$204,0)+4,"")-4))-4))</f>
        <v/>
      </c>
      <c r="H151" s="53">
        <f>IF(OR(IFERROR(MATCH(147,'List A'!$S$5:$S$204,0)+4,"")="",IF(IFERROR(MATCH(147,'List A'!$S$5:$S$204,0)+4,"")="","",INDEX('List A'!$K$5:$K$204,IFERROR(MATCH(147,'List A'!$S$5:$S$204,0)+4,"")-4))=""),"",INDEX('List B'!$D$5:$D$204,IF(IFERROR(MATCH(147,'List A'!$S$5:$S$204,0)+4,"")="","",INDEX('List A'!$K$5:$K$204,IFERROR(MATCH(147,'List A'!$S$5:$S$204,0)+4,"")-4))-4))</f>
        <v/>
      </c>
      <c r="I151" s="52">
        <f>IF(IFERROR(MATCH(147,'List A'!$S$5:$S$204,0)+4,"")="","",INDEX('List A'!$N$5:$N$204,IFERROR(MATCH(147,'List A'!$S$5:$S$204,0)+4,"")-4))</f>
        <v/>
      </c>
      <c r="J151" s="53">
        <f>IF(IFERROR(MATCH(147,'List A'!$S$5:$S$204,0)+4,"")="","",INDEX('List A'!$O$5:$O$204,IFERROR(MATCH(147,'List A'!$S$5:$S$204,0)+4,"")-4))</f>
        <v/>
      </c>
    </row>
    <row r="152" ht="17" customHeight="1">
      <c r="A152" s="87">
        <f>IF(IFERROR(MATCH(148,'List A'!$S$5:$S$204,0)+4,"")="","",INDEX('List A'!$A$5:$A$204,IFERROR(MATCH(148,'List A'!$S$5:$S$204,0)+4,"")-4))</f>
        <v/>
      </c>
      <c r="B152" s="53">
        <f>IF(IFERROR(MATCH(148,'List A'!$S$5:$S$204,0)+4,"")="","",INDEX('List A'!$B$5:$B$204,IFERROR(MATCH(148,'List A'!$S$5:$S$204,0)+4,"")-4))</f>
        <v/>
      </c>
      <c r="C152" s="52">
        <f>IF(IFERROR(MATCH(148,'List A'!$S$5:$S$204,0)+4,"")="","",INDEX('List A'!$C$5:$C$204,IFERROR(MATCH(148,'List A'!$S$5:$S$204,0)+4,"")-4))</f>
        <v/>
      </c>
      <c r="D152" s="53">
        <f>IF(IFERROR(MATCH(148,'List A'!$S$5:$S$204,0)+4,"")="","",INDEX('List A'!$D$5:$D$204,IFERROR(MATCH(148,'List A'!$S$5:$S$204,0)+4,"")-4))</f>
        <v/>
      </c>
      <c r="E152" s="87">
        <f>IF(OR(IFERROR(MATCH(148,'List A'!$S$5:$S$204,0)+4,"")="",IF(IFERROR(MATCH(148,'List A'!$S$5:$S$204,0)+4,"")="","",INDEX('List A'!$K$5:$K$204,IFERROR(MATCH(148,'List A'!$S$5:$S$204,0)+4,"")-4))=""),"",INDEX('List B'!$A$5:$A$204,IF(IFERROR(MATCH(148,'List A'!$S$5:$S$204,0)+4,"")="","",INDEX('List A'!$K$5:$K$204,IFERROR(MATCH(148,'List A'!$S$5:$S$204,0)+4,"")-4))-4))</f>
        <v/>
      </c>
      <c r="F152" s="53">
        <f>IF(OR(IFERROR(MATCH(148,'List A'!$S$5:$S$204,0)+4,"")="",IF(IFERROR(MATCH(148,'List A'!$S$5:$S$204,0)+4,"")="","",INDEX('List A'!$K$5:$K$204,IFERROR(MATCH(148,'List A'!$S$5:$S$204,0)+4,"")-4))=""),"",INDEX('List B'!$B$5:$B$204,IF(IFERROR(MATCH(148,'List A'!$S$5:$S$204,0)+4,"")="","",INDEX('List A'!$K$5:$K$204,IFERROR(MATCH(148,'List A'!$S$5:$S$204,0)+4,"")-4))-4))</f>
        <v/>
      </c>
      <c r="G152" s="52">
        <f>IF(OR(IFERROR(MATCH(148,'List A'!$S$5:$S$204,0)+4,"")="",IF(IFERROR(MATCH(148,'List A'!$S$5:$S$204,0)+4,"")="","",INDEX('List A'!$K$5:$K$204,IFERROR(MATCH(148,'List A'!$S$5:$S$204,0)+4,"")-4))=""),"",INDEX('List B'!$C$5:$C$204,IF(IFERROR(MATCH(148,'List A'!$S$5:$S$204,0)+4,"")="","",INDEX('List A'!$K$5:$K$204,IFERROR(MATCH(148,'List A'!$S$5:$S$204,0)+4,"")-4))-4))</f>
        <v/>
      </c>
      <c r="H152" s="53">
        <f>IF(OR(IFERROR(MATCH(148,'List A'!$S$5:$S$204,0)+4,"")="",IF(IFERROR(MATCH(148,'List A'!$S$5:$S$204,0)+4,"")="","",INDEX('List A'!$K$5:$K$204,IFERROR(MATCH(148,'List A'!$S$5:$S$204,0)+4,"")-4))=""),"",INDEX('List B'!$D$5:$D$204,IF(IFERROR(MATCH(148,'List A'!$S$5:$S$204,0)+4,"")="","",INDEX('List A'!$K$5:$K$204,IFERROR(MATCH(148,'List A'!$S$5:$S$204,0)+4,"")-4))-4))</f>
        <v/>
      </c>
      <c r="I152" s="52">
        <f>IF(IFERROR(MATCH(148,'List A'!$S$5:$S$204,0)+4,"")="","",INDEX('List A'!$N$5:$N$204,IFERROR(MATCH(148,'List A'!$S$5:$S$204,0)+4,"")-4))</f>
        <v/>
      </c>
      <c r="J152" s="53">
        <f>IF(IFERROR(MATCH(148,'List A'!$S$5:$S$204,0)+4,"")="","",INDEX('List A'!$O$5:$O$204,IFERROR(MATCH(148,'List A'!$S$5:$S$204,0)+4,"")-4))</f>
        <v/>
      </c>
    </row>
    <row r="153" ht="17" customHeight="1">
      <c r="A153" s="87">
        <f>IF(IFERROR(MATCH(149,'List A'!$S$5:$S$204,0)+4,"")="","",INDEX('List A'!$A$5:$A$204,IFERROR(MATCH(149,'List A'!$S$5:$S$204,0)+4,"")-4))</f>
        <v/>
      </c>
      <c r="B153" s="53">
        <f>IF(IFERROR(MATCH(149,'List A'!$S$5:$S$204,0)+4,"")="","",INDEX('List A'!$B$5:$B$204,IFERROR(MATCH(149,'List A'!$S$5:$S$204,0)+4,"")-4))</f>
        <v/>
      </c>
      <c r="C153" s="52">
        <f>IF(IFERROR(MATCH(149,'List A'!$S$5:$S$204,0)+4,"")="","",INDEX('List A'!$C$5:$C$204,IFERROR(MATCH(149,'List A'!$S$5:$S$204,0)+4,"")-4))</f>
        <v/>
      </c>
      <c r="D153" s="53">
        <f>IF(IFERROR(MATCH(149,'List A'!$S$5:$S$204,0)+4,"")="","",INDEX('List A'!$D$5:$D$204,IFERROR(MATCH(149,'List A'!$S$5:$S$204,0)+4,"")-4))</f>
        <v/>
      </c>
      <c r="E153" s="87">
        <f>IF(OR(IFERROR(MATCH(149,'List A'!$S$5:$S$204,0)+4,"")="",IF(IFERROR(MATCH(149,'List A'!$S$5:$S$204,0)+4,"")="","",INDEX('List A'!$K$5:$K$204,IFERROR(MATCH(149,'List A'!$S$5:$S$204,0)+4,"")-4))=""),"",INDEX('List B'!$A$5:$A$204,IF(IFERROR(MATCH(149,'List A'!$S$5:$S$204,0)+4,"")="","",INDEX('List A'!$K$5:$K$204,IFERROR(MATCH(149,'List A'!$S$5:$S$204,0)+4,"")-4))-4))</f>
        <v/>
      </c>
      <c r="F153" s="53">
        <f>IF(OR(IFERROR(MATCH(149,'List A'!$S$5:$S$204,0)+4,"")="",IF(IFERROR(MATCH(149,'List A'!$S$5:$S$204,0)+4,"")="","",INDEX('List A'!$K$5:$K$204,IFERROR(MATCH(149,'List A'!$S$5:$S$204,0)+4,"")-4))=""),"",INDEX('List B'!$B$5:$B$204,IF(IFERROR(MATCH(149,'List A'!$S$5:$S$204,0)+4,"")="","",INDEX('List A'!$K$5:$K$204,IFERROR(MATCH(149,'List A'!$S$5:$S$204,0)+4,"")-4))-4))</f>
        <v/>
      </c>
      <c r="G153" s="52">
        <f>IF(OR(IFERROR(MATCH(149,'List A'!$S$5:$S$204,0)+4,"")="",IF(IFERROR(MATCH(149,'List A'!$S$5:$S$204,0)+4,"")="","",INDEX('List A'!$K$5:$K$204,IFERROR(MATCH(149,'List A'!$S$5:$S$204,0)+4,"")-4))=""),"",INDEX('List B'!$C$5:$C$204,IF(IFERROR(MATCH(149,'List A'!$S$5:$S$204,0)+4,"")="","",INDEX('List A'!$K$5:$K$204,IFERROR(MATCH(149,'List A'!$S$5:$S$204,0)+4,"")-4))-4))</f>
        <v/>
      </c>
      <c r="H153" s="53">
        <f>IF(OR(IFERROR(MATCH(149,'List A'!$S$5:$S$204,0)+4,"")="",IF(IFERROR(MATCH(149,'List A'!$S$5:$S$204,0)+4,"")="","",INDEX('List A'!$K$5:$K$204,IFERROR(MATCH(149,'List A'!$S$5:$S$204,0)+4,"")-4))=""),"",INDEX('List B'!$D$5:$D$204,IF(IFERROR(MATCH(149,'List A'!$S$5:$S$204,0)+4,"")="","",INDEX('List A'!$K$5:$K$204,IFERROR(MATCH(149,'List A'!$S$5:$S$204,0)+4,"")-4))-4))</f>
        <v/>
      </c>
      <c r="I153" s="52">
        <f>IF(IFERROR(MATCH(149,'List A'!$S$5:$S$204,0)+4,"")="","",INDEX('List A'!$N$5:$N$204,IFERROR(MATCH(149,'List A'!$S$5:$S$204,0)+4,"")-4))</f>
        <v/>
      </c>
      <c r="J153" s="53">
        <f>IF(IFERROR(MATCH(149,'List A'!$S$5:$S$204,0)+4,"")="","",INDEX('List A'!$O$5:$O$204,IFERROR(MATCH(149,'List A'!$S$5:$S$204,0)+4,"")-4))</f>
        <v/>
      </c>
    </row>
    <row r="154" ht="17" customHeight="1">
      <c r="A154" s="87">
        <f>IF(IFERROR(MATCH(150,'List A'!$S$5:$S$204,0)+4,"")="","",INDEX('List A'!$A$5:$A$204,IFERROR(MATCH(150,'List A'!$S$5:$S$204,0)+4,"")-4))</f>
        <v/>
      </c>
      <c r="B154" s="53">
        <f>IF(IFERROR(MATCH(150,'List A'!$S$5:$S$204,0)+4,"")="","",INDEX('List A'!$B$5:$B$204,IFERROR(MATCH(150,'List A'!$S$5:$S$204,0)+4,"")-4))</f>
        <v/>
      </c>
      <c r="C154" s="52">
        <f>IF(IFERROR(MATCH(150,'List A'!$S$5:$S$204,0)+4,"")="","",INDEX('List A'!$C$5:$C$204,IFERROR(MATCH(150,'List A'!$S$5:$S$204,0)+4,"")-4))</f>
        <v/>
      </c>
      <c r="D154" s="53">
        <f>IF(IFERROR(MATCH(150,'List A'!$S$5:$S$204,0)+4,"")="","",INDEX('List A'!$D$5:$D$204,IFERROR(MATCH(150,'List A'!$S$5:$S$204,0)+4,"")-4))</f>
        <v/>
      </c>
      <c r="E154" s="87">
        <f>IF(OR(IFERROR(MATCH(150,'List A'!$S$5:$S$204,0)+4,"")="",IF(IFERROR(MATCH(150,'List A'!$S$5:$S$204,0)+4,"")="","",INDEX('List A'!$K$5:$K$204,IFERROR(MATCH(150,'List A'!$S$5:$S$204,0)+4,"")-4))=""),"",INDEX('List B'!$A$5:$A$204,IF(IFERROR(MATCH(150,'List A'!$S$5:$S$204,0)+4,"")="","",INDEX('List A'!$K$5:$K$204,IFERROR(MATCH(150,'List A'!$S$5:$S$204,0)+4,"")-4))-4))</f>
        <v/>
      </c>
      <c r="F154" s="53">
        <f>IF(OR(IFERROR(MATCH(150,'List A'!$S$5:$S$204,0)+4,"")="",IF(IFERROR(MATCH(150,'List A'!$S$5:$S$204,0)+4,"")="","",INDEX('List A'!$K$5:$K$204,IFERROR(MATCH(150,'List A'!$S$5:$S$204,0)+4,"")-4))=""),"",INDEX('List B'!$B$5:$B$204,IF(IFERROR(MATCH(150,'List A'!$S$5:$S$204,0)+4,"")="","",INDEX('List A'!$K$5:$K$204,IFERROR(MATCH(150,'List A'!$S$5:$S$204,0)+4,"")-4))-4))</f>
        <v/>
      </c>
      <c r="G154" s="52">
        <f>IF(OR(IFERROR(MATCH(150,'List A'!$S$5:$S$204,0)+4,"")="",IF(IFERROR(MATCH(150,'List A'!$S$5:$S$204,0)+4,"")="","",INDEX('List A'!$K$5:$K$204,IFERROR(MATCH(150,'List A'!$S$5:$S$204,0)+4,"")-4))=""),"",INDEX('List B'!$C$5:$C$204,IF(IFERROR(MATCH(150,'List A'!$S$5:$S$204,0)+4,"")="","",INDEX('List A'!$K$5:$K$204,IFERROR(MATCH(150,'List A'!$S$5:$S$204,0)+4,"")-4))-4))</f>
        <v/>
      </c>
      <c r="H154" s="53">
        <f>IF(OR(IFERROR(MATCH(150,'List A'!$S$5:$S$204,0)+4,"")="",IF(IFERROR(MATCH(150,'List A'!$S$5:$S$204,0)+4,"")="","",INDEX('List A'!$K$5:$K$204,IFERROR(MATCH(150,'List A'!$S$5:$S$204,0)+4,"")-4))=""),"",INDEX('List B'!$D$5:$D$204,IF(IFERROR(MATCH(150,'List A'!$S$5:$S$204,0)+4,"")="","",INDEX('List A'!$K$5:$K$204,IFERROR(MATCH(150,'List A'!$S$5:$S$204,0)+4,"")-4))-4))</f>
        <v/>
      </c>
      <c r="I154" s="52">
        <f>IF(IFERROR(MATCH(150,'List A'!$S$5:$S$204,0)+4,"")="","",INDEX('List A'!$N$5:$N$204,IFERROR(MATCH(150,'List A'!$S$5:$S$204,0)+4,"")-4))</f>
        <v/>
      </c>
      <c r="J154" s="53">
        <f>IF(IFERROR(MATCH(150,'List A'!$S$5:$S$204,0)+4,"")="","",INDEX('List A'!$O$5:$O$204,IFERROR(MATCH(150,'List A'!$S$5:$S$204,0)+4,"")-4))</f>
        <v/>
      </c>
    </row>
    <row r="155" ht="17" customHeight="1">
      <c r="A155" s="87">
        <f>IF(IFERROR(MATCH(151,'List A'!$S$5:$S$204,0)+4,"")="","",INDEX('List A'!$A$5:$A$204,IFERROR(MATCH(151,'List A'!$S$5:$S$204,0)+4,"")-4))</f>
        <v/>
      </c>
      <c r="B155" s="53">
        <f>IF(IFERROR(MATCH(151,'List A'!$S$5:$S$204,0)+4,"")="","",INDEX('List A'!$B$5:$B$204,IFERROR(MATCH(151,'List A'!$S$5:$S$204,0)+4,"")-4))</f>
        <v/>
      </c>
      <c r="C155" s="52">
        <f>IF(IFERROR(MATCH(151,'List A'!$S$5:$S$204,0)+4,"")="","",INDEX('List A'!$C$5:$C$204,IFERROR(MATCH(151,'List A'!$S$5:$S$204,0)+4,"")-4))</f>
        <v/>
      </c>
      <c r="D155" s="53">
        <f>IF(IFERROR(MATCH(151,'List A'!$S$5:$S$204,0)+4,"")="","",INDEX('List A'!$D$5:$D$204,IFERROR(MATCH(151,'List A'!$S$5:$S$204,0)+4,"")-4))</f>
        <v/>
      </c>
      <c r="E155" s="87">
        <f>IF(OR(IFERROR(MATCH(151,'List A'!$S$5:$S$204,0)+4,"")="",IF(IFERROR(MATCH(151,'List A'!$S$5:$S$204,0)+4,"")="","",INDEX('List A'!$K$5:$K$204,IFERROR(MATCH(151,'List A'!$S$5:$S$204,0)+4,"")-4))=""),"",INDEX('List B'!$A$5:$A$204,IF(IFERROR(MATCH(151,'List A'!$S$5:$S$204,0)+4,"")="","",INDEX('List A'!$K$5:$K$204,IFERROR(MATCH(151,'List A'!$S$5:$S$204,0)+4,"")-4))-4))</f>
        <v/>
      </c>
      <c r="F155" s="53">
        <f>IF(OR(IFERROR(MATCH(151,'List A'!$S$5:$S$204,0)+4,"")="",IF(IFERROR(MATCH(151,'List A'!$S$5:$S$204,0)+4,"")="","",INDEX('List A'!$K$5:$K$204,IFERROR(MATCH(151,'List A'!$S$5:$S$204,0)+4,"")-4))=""),"",INDEX('List B'!$B$5:$B$204,IF(IFERROR(MATCH(151,'List A'!$S$5:$S$204,0)+4,"")="","",INDEX('List A'!$K$5:$K$204,IFERROR(MATCH(151,'List A'!$S$5:$S$204,0)+4,"")-4))-4))</f>
        <v/>
      </c>
      <c r="G155" s="52">
        <f>IF(OR(IFERROR(MATCH(151,'List A'!$S$5:$S$204,0)+4,"")="",IF(IFERROR(MATCH(151,'List A'!$S$5:$S$204,0)+4,"")="","",INDEX('List A'!$K$5:$K$204,IFERROR(MATCH(151,'List A'!$S$5:$S$204,0)+4,"")-4))=""),"",INDEX('List B'!$C$5:$C$204,IF(IFERROR(MATCH(151,'List A'!$S$5:$S$204,0)+4,"")="","",INDEX('List A'!$K$5:$K$204,IFERROR(MATCH(151,'List A'!$S$5:$S$204,0)+4,"")-4))-4))</f>
        <v/>
      </c>
      <c r="H155" s="53">
        <f>IF(OR(IFERROR(MATCH(151,'List A'!$S$5:$S$204,0)+4,"")="",IF(IFERROR(MATCH(151,'List A'!$S$5:$S$204,0)+4,"")="","",INDEX('List A'!$K$5:$K$204,IFERROR(MATCH(151,'List A'!$S$5:$S$204,0)+4,"")-4))=""),"",INDEX('List B'!$D$5:$D$204,IF(IFERROR(MATCH(151,'List A'!$S$5:$S$204,0)+4,"")="","",INDEX('List A'!$K$5:$K$204,IFERROR(MATCH(151,'List A'!$S$5:$S$204,0)+4,"")-4))-4))</f>
        <v/>
      </c>
      <c r="I155" s="52">
        <f>IF(IFERROR(MATCH(151,'List A'!$S$5:$S$204,0)+4,"")="","",INDEX('List A'!$N$5:$N$204,IFERROR(MATCH(151,'List A'!$S$5:$S$204,0)+4,"")-4))</f>
        <v/>
      </c>
      <c r="J155" s="53">
        <f>IF(IFERROR(MATCH(151,'List A'!$S$5:$S$204,0)+4,"")="","",INDEX('List A'!$O$5:$O$204,IFERROR(MATCH(151,'List A'!$S$5:$S$204,0)+4,"")-4))</f>
        <v/>
      </c>
    </row>
    <row r="156" ht="17" customHeight="1">
      <c r="A156" s="87">
        <f>IF(IFERROR(MATCH(152,'List A'!$S$5:$S$204,0)+4,"")="","",INDEX('List A'!$A$5:$A$204,IFERROR(MATCH(152,'List A'!$S$5:$S$204,0)+4,"")-4))</f>
        <v/>
      </c>
      <c r="B156" s="53">
        <f>IF(IFERROR(MATCH(152,'List A'!$S$5:$S$204,0)+4,"")="","",INDEX('List A'!$B$5:$B$204,IFERROR(MATCH(152,'List A'!$S$5:$S$204,0)+4,"")-4))</f>
        <v/>
      </c>
      <c r="C156" s="52">
        <f>IF(IFERROR(MATCH(152,'List A'!$S$5:$S$204,0)+4,"")="","",INDEX('List A'!$C$5:$C$204,IFERROR(MATCH(152,'List A'!$S$5:$S$204,0)+4,"")-4))</f>
        <v/>
      </c>
      <c r="D156" s="53">
        <f>IF(IFERROR(MATCH(152,'List A'!$S$5:$S$204,0)+4,"")="","",INDEX('List A'!$D$5:$D$204,IFERROR(MATCH(152,'List A'!$S$5:$S$204,0)+4,"")-4))</f>
        <v/>
      </c>
      <c r="E156" s="87">
        <f>IF(OR(IFERROR(MATCH(152,'List A'!$S$5:$S$204,0)+4,"")="",IF(IFERROR(MATCH(152,'List A'!$S$5:$S$204,0)+4,"")="","",INDEX('List A'!$K$5:$K$204,IFERROR(MATCH(152,'List A'!$S$5:$S$204,0)+4,"")-4))=""),"",INDEX('List B'!$A$5:$A$204,IF(IFERROR(MATCH(152,'List A'!$S$5:$S$204,0)+4,"")="","",INDEX('List A'!$K$5:$K$204,IFERROR(MATCH(152,'List A'!$S$5:$S$204,0)+4,"")-4))-4))</f>
        <v/>
      </c>
      <c r="F156" s="53">
        <f>IF(OR(IFERROR(MATCH(152,'List A'!$S$5:$S$204,0)+4,"")="",IF(IFERROR(MATCH(152,'List A'!$S$5:$S$204,0)+4,"")="","",INDEX('List A'!$K$5:$K$204,IFERROR(MATCH(152,'List A'!$S$5:$S$204,0)+4,"")-4))=""),"",INDEX('List B'!$B$5:$B$204,IF(IFERROR(MATCH(152,'List A'!$S$5:$S$204,0)+4,"")="","",INDEX('List A'!$K$5:$K$204,IFERROR(MATCH(152,'List A'!$S$5:$S$204,0)+4,"")-4))-4))</f>
        <v/>
      </c>
      <c r="G156" s="52">
        <f>IF(OR(IFERROR(MATCH(152,'List A'!$S$5:$S$204,0)+4,"")="",IF(IFERROR(MATCH(152,'List A'!$S$5:$S$204,0)+4,"")="","",INDEX('List A'!$K$5:$K$204,IFERROR(MATCH(152,'List A'!$S$5:$S$204,0)+4,"")-4))=""),"",INDEX('List B'!$C$5:$C$204,IF(IFERROR(MATCH(152,'List A'!$S$5:$S$204,0)+4,"")="","",INDEX('List A'!$K$5:$K$204,IFERROR(MATCH(152,'List A'!$S$5:$S$204,0)+4,"")-4))-4))</f>
        <v/>
      </c>
      <c r="H156" s="53">
        <f>IF(OR(IFERROR(MATCH(152,'List A'!$S$5:$S$204,0)+4,"")="",IF(IFERROR(MATCH(152,'List A'!$S$5:$S$204,0)+4,"")="","",INDEX('List A'!$K$5:$K$204,IFERROR(MATCH(152,'List A'!$S$5:$S$204,0)+4,"")-4))=""),"",INDEX('List B'!$D$5:$D$204,IF(IFERROR(MATCH(152,'List A'!$S$5:$S$204,0)+4,"")="","",INDEX('List A'!$K$5:$K$204,IFERROR(MATCH(152,'List A'!$S$5:$S$204,0)+4,"")-4))-4))</f>
        <v/>
      </c>
      <c r="I156" s="52">
        <f>IF(IFERROR(MATCH(152,'List A'!$S$5:$S$204,0)+4,"")="","",INDEX('List A'!$N$5:$N$204,IFERROR(MATCH(152,'List A'!$S$5:$S$204,0)+4,"")-4))</f>
        <v/>
      </c>
      <c r="J156" s="53">
        <f>IF(IFERROR(MATCH(152,'List A'!$S$5:$S$204,0)+4,"")="","",INDEX('List A'!$O$5:$O$204,IFERROR(MATCH(152,'List A'!$S$5:$S$204,0)+4,"")-4))</f>
        <v/>
      </c>
    </row>
    <row r="157" ht="17" customHeight="1">
      <c r="A157" s="87">
        <f>IF(IFERROR(MATCH(153,'List A'!$S$5:$S$204,0)+4,"")="","",INDEX('List A'!$A$5:$A$204,IFERROR(MATCH(153,'List A'!$S$5:$S$204,0)+4,"")-4))</f>
        <v/>
      </c>
      <c r="B157" s="53">
        <f>IF(IFERROR(MATCH(153,'List A'!$S$5:$S$204,0)+4,"")="","",INDEX('List A'!$B$5:$B$204,IFERROR(MATCH(153,'List A'!$S$5:$S$204,0)+4,"")-4))</f>
        <v/>
      </c>
      <c r="C157" s="52">
        <f>IF(IFERROR(MATCH(153,'List A'!$S$5:$S$204,0)+4,"")="","",INDEX('List A'!$C$5:$C$204,IFERROR(MATCH(153,'List A'!$S$5:$S$204,0)+4,"")-4))</f>
        <v/>
      </c>
      <c r="D157" s="53">
        <f>IF(IFERROR(MATCH(153,'List A'!$S$5:$S$204,0)+4,"")="","",INDEX('List A'!$D$5:$D$204,IFERROR(MATCH(153,'List A'!$S$5:$S$204,0)+4,"")-4))</f>
        <v/>
      </c>
      <c r="E157" s="87">
        <f>IF(OR(IFERROR(MATCH(153,'List A'!$S$5:$S$204,0)+4,"")="",IF(IFERROR(MATCH(153,'List A'!$S$5:$S$204,0)+4,"")="","",INDEX('List A'!$K$5:$K$204,IFERROR(MATCH(153,'List A'!$S$5:$S$204,0)+4,"")-4))=""),"",INDEX('List B'!$A$5:$A$204,IF(IFERROR(MATCH(153,'List A'!$S$5:$S$204,0)+4,"")="","",INDEX('List A'!$K$5:$K$204,IFERROR(MATCH(153,'List A'!$S$5:$S$204,0)+4,"")-4))-4))</f>
        <v/>
      </c>
      <c r="F157" s="53">
        <f>IF(OR(IFERROR(MATCH(153,'List A'!$S$5:$S$204,0)+4,"")="",IF(IFERROR(MATCH(153,'List A'!$S$5:$S$204,0)+4,"")="","",INDEX('List A'!$K$5:$K$204,IFERROR(MATCH(153,'List A'!$S$5:$S$204,0)+4,"")-4))=""),"",INDEX('List B'!$B$5:$B$204,IF(IFERROR(MATCH(153,'List A'!$S$5:$S$204,0)+4,"")="","",INDEX('List A'!$K$5:$K$204,IFERROR(MATCH(153,'List A'!$S$5:$S$204,0)+4,"")-4))-4))</f>
        <v/>
      </c>
      <c r="G157" s="52">
        <f>IF(OR(IFERROR(MATCH(153,'List A'!$S$5:$S$204,0)+4,"")="",IF(IFERROR(MATCH(153,'List A'!$S$5:$S$204,0)+4,"")="","",INDEX('List A'!$K$5:$K$204,IFERROR(MATCH(153,'List A'!$S$5:$S$204,0)+4,"")-4))=""),"",INDEX('List B'!$C$5:$C$204,IF(IFERROR(MATCH(153,'List A'!$S$5:$S$204,0)+4,"")="","",INDEX('List A'!$K$5:$K$204,IFERROR(MATCH(153,'List A'!$S$5:$S$204,0)+4,"")-4))-4))</f>
        <v/>
      </c>
      <c r="H157" s="53">
        <f>IF(OR(IFERROR(MATCH(153,'List A'!$S$5:$S$204,0)+4,"")="",IF(IFERROR(MATCH(153,'List A'!$S$5:$S$204,0)+4,"")="","",INDEX('List A'!$K$5:$K$204,IFERROR(MATCH(153,'List A'!$S$5:$S$204,0)+4,"")-4))=""),"",INDEX('List B'!$D$5:$D$204,IF(IFERROR(MATCH(153,'List A'!$S$5:$S$204,0)+4,"")="","",INDEX('List A'!$K$5:$K$204,IFERROR(MATCH(153,'List A'!$S$5:$S$204,0)+4,"")-4))-4))</f>
        <v/>
      </c>
      <c r="I157" s="52">
        <f>IF(IFERROR(MATCH(153,'List A'!$S$5:$S$204,0)+4,"")="","",INDEX('List A'!$N$5:$N$204,IFERROR(MATCH(153,'List A'!$S$5:$S$204,0)+4,"")-4))</f>
        <v/>
      </c>
      <c r="J157" s="53">
        <f>IF(IFERROR(MATCH(153,'List A'!$S$5:$S$204,0)+4,"")="","",INDEX('List A'!$O$5:$O$204,IFERROR(MATCH(153,'List A'!$S$5:$S$204,0)+4,"")-4))</f>
        <v/>
      </c>
    </row>
    <row r="158" ht="17" customHeight="1">
      <c r="A158" s="87">
        <f>IF(IFERROR(MATCH(154,'List A'!$S$5:$S$204,0)+4,"")="","",INDEX('List A'!$A$5:$A$204,IFERROR(MATCH(154,'List A'!$S$5:$S$204,0)+4,"")-4))</f>
        <v/>
      </c>
      <c r="B158" s="53">
        <f>IF(IFERROR(MATCH(154,'List A'!$S$5:$S$204,0)+4,"")="","",INDEX('List A'!$B$5:$B$204,IFERROR(MATCH(154,'List A'!$S$5:$S$204,0)+4,"")-4))</f>
        <v/>
      </c>
      <c r="C158" s="52">
        <f>IF(IFERROR(MATCH(154,'List A'!$S$5:$S$204,0)+4,"")="","",INDEX('List A'!$C$5:$C$204,IFERROR(MATCH(154,'List A'!$S$5:$S$204,0)+4,"")-4))</f>
        <v/>
      </c>
      <c r="D158" s="53">
        <f>IF(IFERROR(MATCH(154,'List A'!$S$5:$S$204,0)+4,"")="","",INDEX('List A'!$D$5:$D$204,IFERROR(MATCH(154,'List A'!$S$5:$S$204,0)+4,"")-4))</f>
        <v/>
      </c>
      <c r="E158" s="87">
        <f>IF(OR(IFERROR(MATCH(154,'List A'!$S$5:$S$204,0)+4,"")="",IF(IFERROR(MATCH(154,'List A'!$S$5:$S$204,0)+4,"")="","",INDEX('List A'!$K$5:$K$204,IFERROR(MATCH(154,'List A'!$S$5:$S$204,0)+4,"")-4))=""),"",INDEX('List B'!$A$5:$A$204,IF(IFERROR(MATCH(154,'List A'!$S$5:$S$204,0)+4,"")="","",INDEX('List A'!$K$5:$K$204,IFERROR(MATCH(154,'List A'!$S$5:$S$204,0)+4,"")-4))-4))</f>
        <v/>
      </c>
      <c r="F158" s="53">
        <f>IF(OR(IFERROR(MATCH(154,'List A'!$S$5:$S$204,0)+4,"")="",IF(IFERROR(MATCH(154,'List A'!$S$5:$S$204,0)+4,"")="","",INDEX('List A'!$K$5:$K$204,IFERROR(MATCH(154,'List A'!$S$5:$S$204,0)+4,"")-4))=""),"",INDEX('List B'!$B$5:$B$204,IF(IFERROR(MATCH(154,'List A'!$S$5:$S$204,0)+4,"")="","",INDEX('List A'!$K$5:$K$204,IFERROR(MATCH(154,'List A'!$S$5:$S$204,0)+4,"")-4))-4))</f>
        <v/>
      </c>
      <c r="G158" s="52">
        <f>IF(OR(IFERROR(MATCH(154,'List A'!$S$5:$S$204,0)+4,"")="",IF(IFERROR(MATCH(154,'List A'!$S$5:$S$204,0)+4,"")="","",INDEX('List A'!$K$5:$K$204,IFERROR(MATCH(154,'List A'!$S$5:$S$204,0)+4,"")-4))=""),"",INDEX('List B'!$C$5:$C$204,IF(IFERROR(MATCH(154,'List A'!$S$5:$S$204,0)+4,"")="","",INDEX('List A'!$K$5:$K$204,IFERROR(MATCH(154,'List A'!$S$5:$S$204,0)+4,"")-4))-4))</f>
        <v/>
      </c>
      <c r="H158" s="53">
        <f>IF(OR(IFERROR(MATCH(154,'List A'!$S$5:$S$204,0)+4,"")="",IF(IFERROR(MATCH(154,'List A'!$S$5:$S$204,0)+4,"")="","",INDEX('List A'!$K$5:$K$204,IFERROR(MATCH(154,'List A'!$S$5:$S$204,0)+4,"")-4))=""),"",INDEX('List B'!$D$5:$D$204,IF(IFERROR(MATCH(154,'List A'!$S$5:$S$204,0)+4,"")="","",INDEX('List A'!$K$5:$K$204,IFERROR(MATCH(154,'List A'!$S$5:$S$204,0)+4,"")-4))-4))</f>
        <v/>
      </c>
      <c r="I158" s="52">
        <f>IF(IFERROR(MATCH(154,'List A'!$S$5:$S$204,0)+4,"")="","",INDEX('List A'!$N$5:$N$204,IFERROR(MATCH(154,'List A'!$S$5:$S$204,0)+4,"")-4))</f>
        <v/>
      </c>
      <c r="J158" s="53">
        <f>IF(IFERROR(MATCH(154,'List A'!$S$5:$S$204,0)+4,"")="","",INDEX('List A'!$O$5:$O$204,IFERROR(MATCH(154,'List A'!$S$5:$S$204,0)+4,"")-4))</f>
        <v/>
      </c>
    </row>
    <row r="159" ht="17" customHeight="1">
      <c r="A159" s="87">
        <f>IF(IFERROR(MATCH(155,'List A'!$S$5:$S$204,0)+4,"")="","",INDEX('List A'!$A$5:$A$204,IFERROR(MATCH(155,'List A'!$S$5:$S$204,0)+4,"")-4))</f>
        <v/>
      </c>
      <c r="B159" s="53">
        <f>IF(IFERROR(MATCH(155,'List A'!$S$5:$S$204,0)+4,"")="","",INDEX('List A'!$B$5:$B$204,IFERROR(MATCH(155,'List A'!$S$5:$S$204,0)+4,"")-4))</f>
        <v/>
      </c>
      <c r="C159" s="52">
        <f>IF(IFERROR(MATCH(155,'List A'!$S$5:$S$204,0)+4,"")="","",INDEX('List A'!$C$5:$C$204,IFERROR(MATCH(155,'List A'!$S$5:$S$204,0)+4,"")-4))</f>
        <v/>
      </c>
      <c r="D159" s="53">
        <f>IF(IFERROR(MATCH(155,'List A'!$S$5:$S$204,0)+4,"")="","",INDEX('List A'!$D$5:$D$204,IFERROR(MATCH(155,'List A'!$S$5:$S$204,0)+4,"")-4))</f>
        <v/>
      </c>
      <c r="E159" s="87">
        <f>IF(OR(IFERROR(MATCH(155,'List A'!$S$5:$S$204,0)+4,"")="",IF(IFERROR(MATCH(155,'List A'!$S$5:$S$204,0)+4,"")="","",INDEX('List A'!$K$5:$K$204,IFERROR(MATCH(155,'List A'!$S$5:$S$204,0)+4,"")-4))=""),"",INDEX('List B'!$A$5:$A$204,IF(IFERROR(MATCH(155,'List A'!$S$5:$S$204,0)+4,"")="","",INDEX('List A'!$K$5:$K$204,IFERROR(MATCH(155,'List A'!$S$5:$S$204,0)+4,"")-4))-4))</f>
        <v/>
      </c>
      <c r="F159" s="53">
        <f>IF(OR(IFERROR(MATCH(155,'List A'!$S$5:$S$204,0)+4,"")="",IF(IFERROR(MATCH(155,'List A'!$S$5:$S$204,0)+4,"")="","",INDEX('List A'!$K$5:$K$204,IFERROR(MATCH(155,'List A'!$S$5:$S$204,0)+4,"")-4))=""),"",INDEX('List B'!$B$5:$B$204,IF(IFERROR(MATCH(155,'List A'!$S$5:$S$204,0)+4,"")="","",INDEX('List A'!$K$5:$K$204,IFERROR(MATCH(155,'List A'!$S$5:$S$204,0)+4,"")-4))-4))</f>
        <v/>
      </c>
      <c r="G159" s="52">
        <f>IF(OR(IFERROR(MATCH(155,'List A'!$S$5:$S$204,0)+4,"")="",IF(IFERROR(MATCH(155,'List A'!$S$5:$S$204,0)+4,"")="","",INDEX('List A'!$K$5:$K$204,IFERROR(MATCH(155,'List A'!$S$5:$S$204,0)+4,"")-4))=""),"",INDEX('List B'!$C$5:$C$204,IF(IFERROR(MATCH(155,'List A'!$S$5:$S$204,0)+4,"")="","",INDEX('List A'!$K$5:$K$204,IFERROR(MATCH(155,'List A'!$S$5:$S$204,0)+4,"")-4))-4))</f>
        <v/>
      </c>
      <c r="H159" s="53">
        <f>IF(OR(IFERROR(MATCH(155,'List A'!$S$5:$S$204,0)+4,"")="",IF(IFERROR(MATCH(155,'List A'!$S$5:$S$204,0)+4,"")="","",INDEX('List A'!$K$5:$K$204,IFERROR(MATCH(155,'List A'!$S$5:$S$204,0)+4,"")-4))=""),"",INDEX('List B'!$D$5:$D$204,IF(IFERROR(MATCH(155,'List A'!$S$5:$S$204,0)+4,"")="","",INDEX('List A'!$K$5:$K$204,IFERROR(MATCH(155,'List A'!$S$5:$S$204,0)+4,"")-4))-4))</f>
        <v/>
      </c>
      <c r="I159" s="52">
        <f>IF(IFERROR(MATCH(155,'List A'!$S$5:$S$204,0)+4,"")="","",INDEX('List A'!$N$5:$N$204,IFERROR(MATCH(155,'List A'!$S$5:$S$204,0)+4,"")-4))</f>
        <v/>
      </c>
      <c r="J159" s="53">
        <f>IF(IFERROR(MATCH(155,'List A'!$S$5:$S$204,0)+4,"")="","",INDEX('List A'!$O$5:$O$204,IFERROR(MATCH(155,'List A'!$S$5:$S$204,0)+4,"")-4))</f>
        <v/>
      </c>
    </row>
    <row r="160" ht="17" customHeight="1">
      <c r="A160" s="87">
        <f>IF(IFERROR(MATCH(156,'List A'!$S$5:$S$204,0)+4,"")="","",INDEX('List A'!$A$5:$A$204,IFERROR(MATCH(156,'List A'!$S$5:$S$204,0)+4,"")-4))</f>
        <v/>
      </c>
      <c r="B160" s="53">
        <f>IF(IFERROR(MATCH(156,'List A'!$S$5:$S$204,0)+4,"")="","",INDEX('List A'!$B$5:$B$204,IFERROR(MATCH(156,'List A'!$S$5:$S$204,0)+4,"")-4))</f>
        <v/>
      </c>
      <c r="C160" s="52">
        <f>IF(IFERROR(MATCH(156,'List A'!$S$5:$S$204,0)+4,"")="","",INDEX('List A'!$C$5:$C$204,IFERROR(MATCH(156,'List A'!$S$5:$S$204,0)+4,"")-4))</f>
        <v/>
      </c>
      <c r="D160" s="53">
        <f>IF(IFERROR(MATCH(156,'List A'!$S$5:$S$204,0)+4,"")="","",INDEX('List A'!$D$5:$D$204,IFERROR(MATCH(156,'List A'!$S$5:$S$204,0)+4,"")-4))</f>
        <v/>
      </c>
      <c r="E160" s="87">
        <f>IF(OR(IFERROR(MATCH(156,'List A'!$S$5:$S$204,0)+4,"")="",IF(IFERROR(MATCH(156,'List A'!$S$5:$S$204,0)+4,"")="","",INDEX('List A'!$K$5:$K$204,IFERROR(MATCH(156,'List A'!$S$5:$S$204,0)+4,"")-4))=""),"",INDEX('List B'!$A$5:$A$204,IF(IFERROR(MATCH(156,'List A'!$S$5:$S$204,0)+4,"")="","",INDEX('List A'!$K$5:$K$204,IFERROR(MATCH(156,'List A'!$S$5:$S$204,0)+4,"")-4))-4))</f>
        <v/>
      </c>
      <c r="F160" s="53">
        <f>IF(OR(IFERROR(MATCH(156,'List A'!$S$5:$S$204,0)+4,"")="",IF(IFERROR(MATCH(156,'List A'!$S$5:$S$204,0)+4,"")="","",INDEX('List A'!$K$5:$K$204,IFERROR(MATCH(156,'List A'!$S$5:$S$204,0)+4,"")-4))=""),"",INDEX('List B'!$B$5:$B$204,IF(IFERROR(MATCH(156,'List A'!$S$5:$S$204,0)+4,"")="","",INDEX('List A'!$K$5:$K$204,IFERROR(MATCH(156,'List A'!$S$5:$S$204,0)+4,"")-4))-4))</f>
        <v/>
      </c>
      <c r="G160" s="52">
        <f>IF(OR(IFERROR(MATCH(156,'List A'!$S$5:$S$204,0)+4,"")="",IF(IFERROR(MATCH(156,'List A'!$S$5:$S$204,0)+4,"")="","",INDEX('List A'!$K$5:$K$204,IFERROR(MATCH(156,'List A'!$S$5:$S$204,0)+4,"")-4))=""),"",INDEX('List B'!$C$5:$C$204,IF(IFERROR(MATCH(156,'List A'!$S$5:$S$204,0)+4,"")="","",INDEX('List A'!$K$5:$K$204,IFERROR(MATCH(156,'List A'!$S$5:$S$204,0)+4,"")-4))-4))</f>
        <v/>
      </c>
      <c r="H160" s="53">
        <f>IF(OR(IFERROR(MATCH(156,'List A'!$S$5:$S$204,0)+4,"")="",IF(IFERROR(MATCH(156,'List A'!$S$5:$S$204,0)+4,"")="","",INDEX('List A'!$K$5:$K$204,IFERROR(MATCH(156,'List A'!$S$5:$S$204,0)+4,"")-4))=""),"",INDEX('List B'!$D$5:$D$204,IF(IFERROR(MATCH(156,'List A'!$S$5:$S$204,0)+4,"")="","",INDEX('List A'!$K$5:$K$204,IFERROR(MATCH(156,'List A'!$S$5:$S$204,0)+4,"")-4))-4))</f>
        <v/>
      </c>
      <c r="I160" s="52">
        <f>IF(IFERROR(MATCH(156,'List A'!$S$5:$S$204,0)+4,"")="","",INDEX('List A'!$N$5:$N$204,IFERROR(MATCH(156,'List A'!$S$5:$S$204,0)+4,"")-4))</f>
        <v/>
      </c>
      <c r="J160" s="53">
        <f>IF(IFERROR(MATCH(156,'List A'!$S$5:$S$204,0)+4,"")="","",INDEX('List A'!$O$5:$O$204,IFERROR(MATCH(156,'List A'!$S$5:$S$204,0)+4,"")-4))</f>
        <v/>
      </c>
    </row>
    <row r="161" ht="17" customHeight="1">
      <c r="A161" s="87">
        <f>IF(IFERROR(MATCH(157,'List A'!$S$5:$S$204,0)+4,"")="","",INDEX('List A'!$A$5:$A$204,IFERROR(MATCH(157,'List A'!$S$5:$S$204,0)+4,"")-4))</f>
        <v/>
      </c>
      <c r="B161" s="53">
        <f>IF(IFERROR(MATCH(157,'List A'!$S$5:$S$204,0)+4,"")="","",INDEX('List A'!$B$5:$B$204,IFERROR(MATCH(157,'List A'!$S$5:$S$204,0)+4,"")-4))</f>
        <v/>
      </c>
      <c r="C161" s="52">
        <f>IF(IFERROR(MATCH(157,'List A'!$S$5:$S$204,0)+4,"")="","",INDEX('List A'!$C$5:$C$204,IFERROR(MATCH(157,'List A'!$S$5:$S$204,0)+4,"")-4))</f>
        <v/>
      </c>
      <c r="D161" s="53">
        <f>IF(IFERROR(MATCH(157,'List A'!$S$5:$S$204,0)+4,"")="","",INDEX('List A'!$D$5:$D$204,IFERROR(MATCH(157,'List A'!$S$5:$S$204,0)+4,"")-4))</f>
        <v/>
      </c>
      <c r="E161" s="87">
        <f>IF(OR(IFERROR(MATCH(157,'List A'!$S$5:$S$204,0)+4,"")="",IF(IFERROR(MATCH(157,'List A'!$S$5:$S$204,0)+4,"")="","",INDEX('List A'!$K$5:$K$204,IFERROR(MATCH(157,'List A'!$S$5:$S$204,0)+4,"")-4))=""),"",INDEX('List B'!$A$5:$A$204,IF(IFERROR(MATCH(157,'List A'!$S$5:$S$204,0)+4,"")="","",INDEX('List A'!$K$5:$K$204,IFERROR(MATCH(157,'List A'!$S$5:$S$204,0)+4,"")-4))-4))</f>
        <v/>
      </c>
      <c r="F161" s="53">
        <f>IF(OR(IFERROR(MATCH(157,'List A'!$S$5:$S$204,0)+4,"")="",IF(IFERROR(MATCH(157,'List A'!$S$5:$S$204,0)+4,"")="","",INDEX('List A'!$K$5:$K$204,IFERROR(MATCH(157,'List A'!$S$5:$S$204,0)+4,"")-4))=""),"",INDEX('List B'!$B$5:$B$204,IF(IFERROR(MATCH(157,'List A'!$S$5:$S$204,0)+4,"")="","",INDEX('List A'!$K$5:$K$204,IFERROR(MATCH(157,'List A'!$S$5:$S$204,0)+4,"")-4))-4))</f>
        <v/>
      </c>
      <c r="G161" s="52">
        <f>IF(OR(IFERROR(MATCH(157,'List A'!$S$5:$S$204,0)+4,"")="",IF(IFERROR(MATCH(157,'List A'!$S$5:$S$204,0)+4,"")="","",INDEX('List A'!$K$5:$K$204,IFERROR(MATCH(157,'List A'!$S$5:$S$204,0)+4,"")-4))=""),"",INDEX('List B'!$C$5:$C$204,IF(IFERROR(MATCH(157,'List A'!$S$5:$S$204,0)+4,"")="","",INDEX('List A'!$K$5:$K$204,IFERROR(MATCH(157,'List A'!$S$5:$S$204,0)+4,"")-4))-4))</f>
        <v/>
      </c>
      <c r="H161" s="53">
        <f>IF(OR(IFERROR(MATCH(157,'List A'!$S$5:$S$204,0)+4,"")="",IF(IFERROR(MATCH(157,'List A'!$S$5:$S$204,0)+4,"")="","",INDEX('List A'!$K$5:$K$204,IFERROR(MATCH(157,'List A'!$S$5:$S$204,0)+4,"")-4))=""),"",INDEX('List B'!$D$5:$D$204,IF(IFERROR(MATCH(157,'List A'!$S$5:$S$204,0)+4,"")="","",INDEX('List A'!$K$5:$K$204,IFERROR(MATCH(157,'List A'!$S$5:$S$204,0)+4,"")-4))-4))</f>
        <v/>
      </c>
      <c r="I161" s="52">
        <f>IF(IFERROR(MATCH(157,'List A'!$S$5:$S$204,0)+4,"")="","",INDEX('List A'!$N$5:$N$204,IFERROR(MATCH(157,'List A'!$S$5:$S$204,0)+4,"")-4))</f>
        <v/>
      </c>
      <c r="J161" s="53">
        <f>IF(IFERROR(MATCH(157,'List A'!$S$5:$S$204,0)+4,"")="","",INDEX('List A'!$O$5:$O$204,IFERROR(MATCH(157,'List A'!$S$5:$S$204,0)+4,"")-4))</f>
        <v/>
      </c>
    </row>
    <row r="162" ht="17" customHeight="1">
      <c r="A162" s="87">
        <f>IF(IFERROR(MATCH(158,'List A'!$S$5:$S$204,0)+4,"")="","",INDEX('List A'!$A$5:$A$204,IFERROR(MATCH(158,'List A'!$S$5:$S$204,0)+4,"")-4))</f>
        <v/>
      </c>
      <c r="B162" s="53">
        <f>IF(IFERROR(MATCH(158,'List A'!$S$5:$S$204,0)+4,"")="","",INDEX('List A'!$B$5:$B$204,IFERROR(MATCH(158,'List A'!$S$5:$S$204,0)+4,"")-4))</f>
        <v/>
      </c>
      <c r="C162" s="52">
        <f>IF(IFERROR(MATCH(158,'List A'!$S$5:$S$204,0)+4,"")="","",INDEX('List A'!$C$5:$C$204,IFERROR(MATCH(158,'List A'!$S$5:$S$204,0)+4,"")-4))</f>
        <v/>
      </c>
      <c r="D162" s="53">
        <f>IF(IFERROR(MATCH(158,'List A'!$S$5:$S$204,0)+4,"")="","",INDEX('List A'!$D$5:$D$204,IFERROR(MATCH(158,'List A'!$S$5:$S$204,0)+4,"")-4))</f>
        <v/>
      </c>
      <c r="E162" s="87">
        <f>IF(OR(IFERROR(MATCH(158,'List A'!$S$5:$S$204,0)+4,"")="",IF(IFERROR(MATCH(158,'List A'!$S$5:$S$204,0)+4,"")="","",INDEX('List A'!$K$5:$K$204,IFERROR(MATCH(158,'List A'!$S$5:$S$204,0)+4,"")-4))=""),"",INDEX('List B'!$A$5:$A$204,IF(IFERROR(MATCH(158,'List A'!$S$5:$S$204,0)+4,"")="","",INDEX('List A'!$K$5:$K$204,IFERROR(MATCH(158,'List A'!$S$5:$S$204,0)+4,"")-4))-4))</f>
        <v/>
      </c>
      <c r="F162" s="53">
        <f>IF(OR(IFERROR(MATCH(158,'List A'!$S$5:$S$204,0)+4,"")="",IF(IFERROR(MATCH(158,'List A'!$S$5:$S$204,0)+4,"")="","",INDEX('List A'!$K$5:$K$204,IFERROR(MATCH(158,'List A'!$S$5:$S$204,0)+4,"")-4))=""),"",INDEX('List B'!$B$5:$B$204,IF(IFERROR(MATCH(158,'List A'!$S$5:$S$204,0)+4,"")="","",INDEX('List A'!$K$5:$K$204,IFERROR(MATCH(158,'List A'!$S$5:$S$204,0)+4,"")-4))-4))</f>
        <v/>
      </c>
      <c r="G162" s="52">
        <f>IF(OR(IFERROR(MATCH(158,'List A'!$S$5:$S$204,0)+4,"")="",IF(IFERROR(MATCH(158,'List A'!$S$5:$S$204,0)+4,"")="","",INDEX('List A'!$K$5:$K$204,IFERROR(MATCH(158,'List A'!$S$5:$S$204,0)+4,"")-4))=""),"",INDEX('List B'!$C$5:$C$204,IF(IFERROR(MATCH(158,'List A'!$S$5:$S$204,0)+4,"")="","",INDEX('List A'!$K$5:$K$204,IFERROR(MATCH(158,'List A'!$S$5:$S$204,0)+4,"")-4))-4))</f>
        <v/>
      </c>
      <c r="H162" s="53">
        <f>IF(OR(IFERROR(MATCH(158,'List A'!$S$5:$S$204,0)+4,"")="",IF(IFERROR(MATCH(158,'List A'!$S$5:$S$204,0)+4,"")="","",INDEX('List A'!$K$5:$K$204,IFERROR(MATCH(158,'List A'!$S$5:$S$204,0)+4,"")-4))=""),"",INDEX('List B'!$D$5:$D$204,IF(IFERROR(MATCH(158,'List A'!$S$5:$S$204,0)+4,"")="","",INDEX('List A'!$K$5:$K$204,IFERROR(MATCH(158,'List A'!$S$5:$S$204,0)+4,"")-4))-4))</f>
        <v/>
      </c>
      <c r="I162" s="52">
        <f>IF(IFERROR(MATCH(158,'List A'!$S$5:$S$204,0)+4,"")="","",INDEX('List A'!$N$5:$N$204,IFERROR(MATCH(158,'List A'!$S$5:$S$204,0)+4,"")-4))</f>
        <v/>
      </c>
      <c r="J162" s="53">
        <f>IF(IFERROR(MATCH(158,'List A'!$S$5:$S$204,0)+4,"")="","",INDEX('List A'!$O$5:$O$204,IFERROR(MATCH(158,'List A'!$S$5:$S$204,0)+4,"")-4))</f>
        <v/>
      </c>
    </row>
    <row r="163" ht="17" customHeight="1">
      <c r="A163" s="87">
        <f>IF(IFERROR(MATCH(159,'List A'!$S$5:$S$204,0)+4,"")="","",INDEX('List A'!$A$5:$A$204,IFERROR(MATCH(159,'List A'!$S$5:$S$204,0)+4,"")-4))</f>
        <v/>
      </c>
      <c r="B163" s="53">
        <f>IF(IFERROR(MATCH(159,'List A'!$S$5:$S$204,0)+4,"")="","",INDEX('List A'!$B$5:$B$204,IFERROR(MATCH(159,'List A'!$S$5:$S$204,0)+4,"")-4))</f>
        <v/>
      </c>
      <c r="C163" s="52">
        <f>IF(IFERROR(MATCH(159,'List A'!$S$5:$S$204,0)+4,"")="","",INDEX('List A'!$C$5:$C$204,IFERROR(MATCH(159,'List A'!$S$5:$S$204,0)+4,"")-4))</f>
        <v/>
      </c>
      <c r="D163" s="53">
        <f>IF(IFERROR(MATCH(159,'List A'!$S$5:$S$204,0)+4,"")="","",INDEX('List A'!$D$5:$D$204,IFERROR(MATCH(159,'List A'!$S$5:$S$204,0)+4,"")-4))</f>
        <v/>
      </c>
      <c r="E163" s="87">
        <f>IF(OR(IFERROR(MATCH(159,'List A'!$S$5:$S$204,0)+4,"")="",IF(IFERROR(MATCH(159,'List A'!$S$5:$S$204,0)+4,"")="","",INDEX('List A'!$K$5:$K$204,IFERROR(MATCH(159,'List A'!$S$5:$S$204,0)+4,"")-4))=""),"",INDEX('List B'!$A$5:$A$204,IF(IFERROR(MATCH(159,'List A'!$S$5:$S$204,0)+4,"")="","",INDEX('List A'!$K$5:$K$204,IFERROR(MATCH(159,'List A'!$S$5:$S$204,0)+4,"")-4))-4))</f>
        <v/>
      </c>
      <c r="F163" s="53">
        <f>IF(OR(IFERROR(MATCH(159,'List A'!$S$5:$S$204,0)+4,"")="",IF(IFERROR(MATCH(159,'List A'!$S$5:$S$204,0)+4,"")="","",INDEX('List A'!$K$5:$K$204,IFERROR(MATCH(159,'List A'!$S$5:$S$204,0)+4,"")-4))=""),"",INDEX('List B'!$B$5:$B$204,IF(IFERROR(MATCH(159,'List A'!$S$5:$S$204,0)+4,"")="","",INDEX('List A'!$K$5:$K$204,IFERROR(MATCH(159,'List A'!$S$5:$S$204,0)+4,"")-4))-4))</f>
        <v/>
      </c>
      <c r="G163" s="52">
        <f>IF(OR(IFERROR(MATCH(159,'List A'!$S$5:$S$204,0)+4,"")="",IF(IFERROR(MATCH(159,'List A'!$S$5:$S$204,0)+4,"")="","",INDEX('List A'!$K$5:$K$204,IFERROR(MATCH(159,'List A'!$S$5:$S$204,0)+4,"")-4))=""),"",INDEX('List B'!$C$5:$C$204,IF(IFERROR(MATCH(159,'List A'!$S$5:$S$204,0)+4,"")="","",INDEX('List A'!$K$5:$K$204,IFERROR(MATCH(159,'List A'!$S$5:$S$204,0)+4,"")-4))-4))</f>
        <v/>
      </c>
      <c r="H163" s="53">
        <f>IF(OR(IFERROR(MATCH(159,'List A'!$S$5:$S$204,0)+4,"")="",IF(IFERROR(MATCH(159,'List A'!$S$5:$S$204,0)+4,"")="","",INDEX('List A'!$K$5:$K$204,IFERROR(MATCH(159,'List A'!$S$5:$S$204,0)+4,"")-4))=""),"",INDEX('List B'!$D$5:$D$204,IF(IFERROR(MATCH(159,'List A'!$S$5:$S$204,0)+4,"")="","",INDEX('List A'!$K$5:$K$204,IFERROR(MATCH(159,'List A'!$S$5:$S$204,0)+4,"")-4))-4))</f>
        <v/>
      </c>
      <c r="I163" s="52">
        <f>IF(IFERROR(MATCH(159,'List A'!$S$5:$S$204,0)+4,"")="","",INDEX('List A'!$N$5:$N$204,IFERROR(MATCH(159,'List A'!$S$5:$S$204,0)+4,"")-4))</f>
        <v/>
      </c>
      <c r="J163" s="53">
        <f>IF(IFERROR(MATCH(159,'List A'!$S$5:$S$204,0)+4,"")="","",INDEX('List A'!$O$5:$O$204,IFERROR(MATCH(159,'List A'!$S$5:$S$204,0)+4,"")-4))</f>
        <v/>
      </c>
    </row>
    <row r="164" ht="17" customHeight="1">
      <c r="A164" s="87">
        <f>IF(IFERROR(MATCH(160,'List A'!$S$5:$S$204,0)+4,"")="","",INDEX('List A'!$A$5:$A$204,IFERROR(MATCH(160,'List A'!$S$5:$S$204,0)+4,"")-4))</f>
        <v/>
      </c>
      <c r="B164" s="53">
        <f>IF(IFERROR(MATCH(160,'List A'!$S$5:$S$204,0)+4,"")="","",INDEX('List A'!$B$5:$B$204,IFERROR(MATCH(160,'List A'!$S$5:$S$204,0)+4,"")-4))</f>
        <v/>
      </c>
      <c r="C164" s="52">
        <f>IF(IFERROR(MATCH(160,'List A'!$S$5:$S$204,0)+4,"")="","",INDEX('List A'!$C$5:$C$204,IFERROR(MATCH(160,'List A'!$S$5:$S$204,0)+4,"")-4))</f>
        <v/>
      </c>
      <c r="D164" s="53">
        <f>IF(IFERROR(MATCH(160,'List A'!$S$5:$S$204,0)+4,"")="","",INDEX('List A'!$D$5:$D$204,IFERROR(MATCH(160,'List A'!$S$5:$S$204,0)+4,"")-4))</f>
        <v/>
      </c>
      <c r="E164" s="87">
        <f>IF(OR(IFERROR(MATCH(160,'List A'!$S$5:$S$204,0)+4,"")="",IF(IFERROR(MATCH(160,'List A'!$S$5:$S$204,0)+4,"")="","",INDEX('List A'!$K$5:$K$204,IFERROR(MATCH(160,'List A'!$S$5:$S$204,0)+4,"")-4))=""),"",INDEX('List B'!$A$5:$A$204,IF(IFERROR(MATCH(160,'List A'!$S$5:$S$204,0)+4,"")="","",INDEX('List A'!$K$5:$K$204,IFERROR(MATCH(160,'List A'!$S$5:$S$204,0)+4,"")-4))-4))</f>
        <v/>
      </c>
      <c r="F164" s="53">
        <f>IF(OR(IFERROR(MATCH(160,'List A'!$S$5:$S$204,0)+4,"")="",IF(IFERROR(MATCH(160,'List A'!$S$5:$S$204,0)+4,"")="","",INDEX('List A'!$K$5:$K$204,IFERROR(MATCH(160,'List A'!$S$5:$S$204,0)+4,"")-4))=""),"",INDEX('List B'!$B$5:$B$204,IF(IFERROR(MATCH(160,'List A'!$S$5:$S$204,0)+4,"")="","",INDEX('List A'!$K$5:$K$204,IFERROR(MATCH(160,'List A'!$S$5:$S$204,0)+4,"")-4))-4))</f>
        <v/>
      </c>
      <c r="G164" s="52">
        <f>IF(OR(IFERROR(MATCH(160,'List A'!$S$5:$S$204,0)+4,"")="",IF(IFERROR(MATCH(160,'List A'!$S$5:$S$204,0)+4,"")="","",INDEX('List A'!$K$5:$K$204,IFERROR(MATCH(160,'List A'!$S$5:$S$204,0)+4,"")-4))=""),"",INDEX('List B'!$C$5:$C$204,IF(IFERROR(MATCH(160,'List A'!$S$5:$S$204,0)+4,"")="","",INDEX('List A'!$K$5:$K$204,IFERROR(MATCH(160,'List A'!$S$5:$S$204,0)+4,"")-4))-4))</f>
        <v/>
      </c>
      <c r="H164" s="53">
        <f>IF(OR(IFERROR(MATCH(160,'List A'!$S$5:$S$204,0)+4,"")="",IF(IFERROR(MATCH(160,'List A'!$S$5:$S$204,0)+4,"")="","",INDEX('List A'!$K$5:$K$204,IFERROR(MATCH(160,'List A'!$S$5:$S$204,0)+4,"")-4))=""),"",INDEX('List B'!$D$5:$D$204,IF(IFERROR(MATCH(160,'List A'!$S$5:$S$204,0)+4,"")="","",INDEX('List A'!$K$5:$K$204,IFERROR(MATCH(160,'List A'!$S$5:$S$204,0)+4,"")-4))-4))</f>
        <v/>
      </c>
      <c r="I164" s="52">
        <f>IF(IFERROR(MATCH(160,'List A'!$S$5:$S$204,0)+4,"")="","",INDEX('List A'!$N$5:$N$204,IFERROR(MATCH(160,'List A'!$S$5:$S$204,0)+4,"")-4))</f>
        <v/>
      </c>
      <c r="J164" s="53">
        <f>IF(IFERROR(MATCH(160,'List A'!$S$5:$S$204,0)+4,"")="","",INDEX('List A'!$O$5:$O$204,IFERROR(MATCH(160,'List A'!$S$5:$S$204,0)+4,"")-4))</f>
        <v/>
      </c>
    </row>
    <row r="165" ht="17" customHeight="1">
      <c r="A165" s="87">
        <f>IF(IFERROR(MATCH(161,'List A'!$S$5:$S$204,0)+4,"")="","",INDEX('List A'!$A$5:$A$204,IFERROR(MATCH(161,'List A'!$S$5:$S$204,0)+4,"")-4))</f>
        <v/>
      </c>
      <c r="B165" s="53">
        <f>IF(IFERROR(MATCH(161,'List A'!$S$5:$S$204,0)+4,"")="","",INDEX('List A'!$B$5:$B$204,IFERROR(MATCH(161,'List A'!$S$5:$S$204,0)+4,"")-4))</f>
        <v/>
      </c>
      <c r="C165" s="52">
        <f>IF(IFERROR(MATCH(161,'List A'!$S$5:$S$204,0)+4,"")="","",INDEX('List A'!$C$5:$C$204,IFERROR(MATCH(161,'List A'!$S$5:$S$204,0)+4,"")-4))</f>
        <v/>
      </c>
      <c r="D165" s="53">
        <f>IF(IFERROR(MATCH(161,'List A'!$S$5:$S$204,0)+4,"")="","",INDEX('List A'!$D$5:$D$204,IFERROR(MATCH(161,'List A'!$S$5:$S$204,0)+4,"")-4))</f>
        <v/>
      </c>
      <c r="E165" s="87">
        <f>IF(OR(IFERROR(MATCH(161,'List A'!$S$5:$S$204,0)+4,"")="",IF(IFERROR(MATCH(161,'List A'!$S$5:$S$204,0)+4,"")="","",INDEX('List A'!$K$5:$K$204,IFERROR(MATCH(161,'List A'!$S$5:$S$204,0)+4,"")-4))=""),"",INDEX('List B'!$A$5:$A$204,IF(IFERROR(MATCH(161,'List A'!$S$5:$S$204,0)+4,"")="","",INDEX('List A'!$K$5:$K$204,IFERROR(MATCH(161,'List A'!$S$5:$S$204,0)+4,"")-4))-4))</f>
        <v/>
      </c>
      <c r="F165" s="53">
        <f>IF(OR(IFERROR(MATCH(161,'List A'!$S$5:$S$204,0)+4,"")="",IF(IFERROR(MATCH(161,'List A'!$S$5:$S$204,0)+4,"")="","",INDEX('List A'!$K$5:$K$204,IFERROR(MATCH(161,'List A'!$S$5:$S$204,0)+4,"")-4))=""),"",INDEX('List B'!$B$5:$B$204,IF(IFERROR(MATCH(161,'List A'!$S$5:$S$204,0)+4,"")="","",INDEX('List A'!$K$5:$K$204,IFERROR(MATCH(161,'List A'!$S$5:$S$204,0)+4,"")-4))-4))</f>
        <v/>
      </c>
      <c r="G165" s="52">
        <f>IF(OR(IFERROR(MATCH(161,'List A'!$S$5:$S$204,0)+4,"")="",IF(IFERROR(MATCH(161,'List A'!$S$5:$S$204,0)+4,"")="","",INDEX('List A'!$K$5:$K$204,IFERROR(MATCH(161,'List A'!$S$5:$S$204,0)+4,"")-4))=""),"",INDEX('List B'!$C$5:$C$204,IF(IFERROR(MATCH(161,'List A'!$S$5:$S$204,0)+4,"")="","",INDEX('List A'!$K$5:$K$204,IFERROR(MATCH(161,'List A'!$S$5:$S$204,0)+4,"")-4))-4))</f>
        <v/>
      </c>
      <c r="H165" s="53">
        <f>IF(OR(IFERROR(MATCH(161,'List A'!$S$5:$S$204,0)+4,"")="",IF(IFERROR(MATCH(161,'List A'!$S$5:$S$204,0)+4,"")="","",INDEX('List A'!$K$5:$K$204,IFERROR(MATCH(161,'List A'!$S$5:$S$204,0)+4,"")-4))=""),"",INDEX('List B'!$D$5:$D$204,IF(IFERROR(MATCH(161,'List A'!$S$5:$S$204,0)+4,"")="","",INDEX('List A'!$K$5:$K$204,IFERROR(MATCH(161,'List A'!$S$5:$S$204,0)+4,"")-4))-4))</f>
        <v/>
      </c>
      <c r="I165" s="52">
        <f>IF(IFERROR(MATCH(161,'List A'!$S$5:$S$204,0)+4,"")="","",INDEX('List A'!$N$5:$N$204,IFERROR(MATCH(161,'List A'!$S$5:$S$204,0)+4,"")-4))</f>
        <v/>
      </c>
      <c r="J165" s="53">
        <f>IF(IFERROR(MATCH(161,'List A'!$S$5:$S$204,0)+4,"")="","",INDEX('List A'!$O$5:$O$204,IFERROR(MATCH(161,'List A'!$S$5:$S$204,0)+4,"")-4))</f>
        <v/>
      </c>
    </row>
    <row r="166" ht="17" customHeight="1">
      <c r="A166" s="87">
        <f>IF(IFERROR(MATCH(162,'List A'!$S$5:$S$204,0)+4,"")="","",INDEX('List A'!$A$5:$A$204,IFERROR(MATCH(162,'List A'!$S$5:$S$204,0)+4,"")-4))</f>
        <v/>
      </c>
      <c r="B166" s="53">
        <f>IF(IFERROR(MATCH(162,'List A'!$S$5:$S$204,0)+4,"")="","",INDEX('List A'!$B$5:$B$204,IFERROR(MATCH(162,'List A'!$S$5:$S$204,0)+4,"")-4))</f>
        <v/>
      </c>
      <c r="C166" s="52">
        <f>IF(IFERROR(MATCH(162,'List A'!$S$5:$S$204,0)+4,"")="","",INDEX('List A'!$C$5:$C$204,IFERROR(MATCH(162,'List A'!$S$5:$S$204,0)+4,"")-4))</f>
        <v/>
      </c>
      <c r="D166" s="53">
        <f>IF(IFERROR(MATCH(162,'List A'!$S$5:$S$204,0)+4,"")="","",INDEX('List A'!$D$5:$D$204,IFERROR(MATCH(162,'List A'!$S$5:$S$204,0)+4,"")-4))</f>
        <v/>
      </c>
      <c r="E166" s="87">
        <f>IF(OR(IFERROR(MATCH(162,'List A'!$S$5:$S$204,0)+4,"")="",IF(IFERROR(MATCH(162,'List A'!$S$5:$S$204,0)+4,"")="","",INDEX('List A'!$K$5:$K$204,IFERROR(MATCH(162,'List A'!$S$5:$S$204,0)+4,"")-4))=""),"",INDEX('List B'!$A$5:$A$204,IF(IFERROR(MATCH(162,'List A'!$S$5:$S$204,0)+4,"")="","",INDEX('List A'!$K$5:$K$204,IFERROR(MATCH(162,'List A'!$S$5:$S$204,0)+4,"")-4))-4))</f>
        <v/>
      </c>
      <c r="F166" s="53">
        <f>IF(OR(IFERROR(MATCH(162,'List A'!$S$5:$S$204,0)+4,"")="",IF(IFERROR(MATCH(162,'List A'!$S$5:$S$204,0)+4,"")="","",INDEX('List A'!$K$5:$K$204,IFERROR(MATCH(162,'List A'!$S$5:$S$204,0)+4,"")-4))=""),"",INDEX('List B'!$B$5:$B$204,IF(IFERROR(MATCH(162,'List A'!$S$5:$S$204,0)+4,"")="","",INDEX('List A'!$K$5:$K$204,IFERROR(MATCH(162,'List A'!$S$5:$S$204,0)+4,"")-4))-4))</f>
        <v/>
      </c>
      <c r="G166" s="52">
        <f>IF(OR(IFERROR(MATCH(162,'List A'!$S$5:$S$204,0)+4,"")="",IF(IFERROR(MATCH(162,'List A'!$S$5:$S$204,0)+4,"")="","",INDEX('List A'!$K$5:$K$204,IFERROR(MATCH(162,'List A'!$S$5:$S$204,0)+4,"")-4))=""),"",INDEX('List B'!$C$5:$C$204,IF(IFERROR(MATCH(162,'List A'!$S$5:$S$204,0)+4,"")="","",INDEX('List A'!$K$5:$K$204,IFERROR(MATCH(162,'List A'!$S$5:$S$204,0)+4,"")-4))-4))</f>
        <v/>
      </c>
      <c r="H166" s="53">
        <f>IF(OR(IFERROR(MATCH(162,'List A'!$S$5:$S$204,0)+4,"")="",IF(IFERROR(MATCH(162,'List A'!$S$5:$S$204,0)+4,"")="","",INDEX('List A'!$K$5:$K$204,IFERROR(MATCH(162,'List A'!$S$5:$S$204,0)+4,"")-4))=""),"",INDEX('List B'!$D$5:$D$204,IF(IFERROR(MATCH(162,'List A'!$S$5:$S$204,0)+4,"")="","",INDEX('List A'!$K$5:$K$204,IFERROR(MATCH(162,'List A'!$S$5:$S$204,0)+4,"")-4))-4))</f>
        <v/>
      </c>
      <c r="I166" s="52">
        <f>IF(IFERROR(MATCH(162,'List A'!$S$5:$S$204,0)+4,"")="","",INDEX('List A'!$N$5:$N$204,IFERROR(MATCH(162,'List A'!$S$5:$S$204,0)+4,"")-4))</f>
        <v/>
      </c>
      <c r="J166" s="53">
        <f>IF(IFERROR(MATCH(162,'List A'!$S$5:$S$204,0)+4,"")="","",INDEX('List A'!$O$5:$O$204,IFERROR(MATCH(162,'List A'!$S$5:$S$204,0)+4,"")-4))</f>
        <v/>
      </c>
    </row>
    <row r="167" ht="17" customHeight="1">
      <c r="A167" s="87">
        <f>IF(IFERROR(MATCH(163,'List A'!$S$5:$S$204,0)+4,"")="","",INDEX('List A'!$A$5:$A$204,IFERROR(MATCH(163,'List A'!$S$5:$S$204,0)+4,"")-4))</f>
        <v/>
      </c>
      <c r="B167" s="53">
        <f>IF(IFERROR(MATCH(163,'List A'!$S$5:$S$204,0)+4,"")="","",INDEX('List A'!$B$5:$B$204,IFERROR(MATCH(163,'List A'!$S$5:$S$204,0)+4,"")-4))</f>
        <v/>
      </c>
      <c r="C167" s="52">
        <f>IF(IFERROR(MATCH(163,'List A'!$S$5:$S$204,0)+4,"")="","",INDEX('List A'!$C$5:$C$204,IFERROR(MATCH(163,'List A'!$S$5:$S$204,0)+4,"")-4))</f>
        <v/>
      </c>
      <c r="D167" s="53">
        <f>IF(IFERROR(MATCH(163,'List A'!$S$5:$S$204,0)+4,"")="","",INDEX('List A'!$D$5:$D$204,IFERROR(MATCH(163,'List A'!$S$5:$S$204,0)+4,"")-4))</f>
        <v/>
      </c>
      <c r="E167" s="87">
        <f>IF(OR(IFERROR(MATCH(163,'List A'!$S$5:$S$204,0)+4,"")="",IF(IFERROR(MATCH(163,'List A'!$S$5:$S$204,0)+4,"")="","",INDEX('List A'!$K$5:$K$204,IFERROR(MATCH(163,'List A'!$S$5:$S$204,0)+4,"")-4))=""),"",INDEX('List B'!$A$5:$A$204,IF(IFERROR(MATCH(163,'List A'!$S$5:$S$204,0)+4,"")="","",INDEX('List A'!$K$5:$K$204,IFERROR(MATCH(163,'List A'!$S$5:$S$204,0)+4,"")-4))-4))</f>
        <v/>
      </c>
      <c r="F167" s="53">
        <f>IF(OR(IFERROR(MATCH(163,'List A'!$S$5:$S$204,0)+4,"")="",IF(IFERROR(MATCH(163,'List A'!$S$5:$S$204,0)+4,"")="","",INDEX('List A'!$K$5:$K$204,IFERROR(MATCH(163,'List A'!$S$5:$S$204,0)+4,"")-4))=""),"",INDEX('List B'!$B$5:$B$204,IF(IFERROR(MATCH(163,'List A'!$S$5:$S$204,0)+4,"")="","",INDEX('List A'!$K$5:$K$204,IFERROR(MATCH(163,'List A'!$S$5:$S$204,0)+4,"")-4))-4))</f>
        <v/>
      </c>
      <c r="G167" s="52">
        <f>IF(OR(IFERROR(MATCH(163,'List A'!$S$5:$S$204,0)+4,"")="",IF(IFERROR(MATCH(163,'List A'!$S$5:$S$204,0)+4,"")="","",INDEX('List A'!$K$5:$K$204,IFERROR(MATCH(163,'List A'!$S$5:$S$204,0)+4,"")-4))=""),"",INDEX('List B'!$C$5:$C$204,IF(IFERROR(MATCH(163,'List A'!$S$5:$S$204,0)+4,"")="","",INDEX('List A'!$K$5:$K$204,IFERROR(MATCH(163,'List A'!$S$5:$S$204,0)+4,"")-4))-4))</f>
        <v/>
      </c>
      <c r="H167" s="53">
        <f>IF(OR(IFERROR(MATCH(163,'List A'!$S$5:$S$204,0)+4,"")="",IF(IFERROR(MATCH(163,'List A'!$S$5:$S$204,0)+4,"")="","",INDEX('List A'!$K$5:$K$204,IFERROR(MATCH(163,'List A'!$S$5:$S$204,0)+4,"")-4))=""),"",INDEX('List B'!$D$5:$D$204,IF(IFERROR(MATCH(163,'List A'!$S$5:$S$204,0)+4,"")="","",INDEX('List A'!$K$5:$K$204,IFERROR(MATCH(163,'List A'!$S$5:$S$204,0)+4,"")-4))-4))</f>
        <v/>
      </c>
      <c r="I167" s="52">
        <f>IF(IFERROR(MATCH(163,'List A'!$S$5:$S$204,0)+4,"")="","",INDEX('List A'!$N$5:$N$204,IFERROR(MATCH(163,'List A'!$S$5:$S$204,0)+4,"")-4))</f>
        <v/>
      </c>
      <c r="J167" s="53">
        <f>IF(IFERROR(MATCH(163,'List A'!$S$5:$S$204,0)+4,"")="","",INDEX('List A'!$O$5:$O$204,IFERROR(MATCH(163,'List A'!$S$5:$S$204,0)+4,"")-4))</f>
        <v/>
      </c>
    </row>
    <row r="168" ht="17" customHeight="1">
      <c r="A168" s="87">
        <f>IF(IFERROR(MATCH(164,'List A'!$S$5:$S$204,0)+4,"")="","",INDEX('List A'!$A$5:$A$204,IFERROR(MATCH(164,'List A'!$S$5:$S$204,0)+4,"")-4))</f>
        <v/>
      </c>
      <c r="B168" s="53">
        <f>IF(IFERROR(MATCH(164,'List A'!$S$5:$S$204,0)+4,"")="","",INDEX('List A'!$B$5:$B$204,IFERROR(MATCH(164,'List A'!$S$5:$S$204,0)+4,"")-4))</f>
        <v/>
      </c>
      <c r="C168" s="52">
        <f>IF(IFERROR(MATCH(164,'List A'!$S$5:$S$204,0)+4,"")="","",INDEX('List A'!$C$5:$C$204,IFERROR(MATCH(164,'List A'!$S$5:$S$204,0)+4,"")-4))</f>
        <v/>
      </c>
      <c r="D168" s="53">
        <f>IF(IFERROR(MATCH(164,'List A'!$S$5:$S$204,0)+4,"")="","",INDEX('List A'!$D$5:$D$204,IFERROR(MATCH(164,'List A'!$S$5:$S$204,0)+4,"")-4))</f>
        <v/>
      </c>
      <c r="E168" s="87">
        <f>IF(OR(IFERROR(MATCH(164,'List A'!$S$5:$S$204,0)+4,"")="",IF(IFERROR(MATCH(164,'List A'!$S$5:$S$204,0)+4,"")="","",INDEX('List A'!$K$5:$K$204,IFERROR(MATCH(164,'List A'!$S$5:$S$204,0)+4,"")-4))=""),"",INDEX('List B'!$A$5:$A$204,IF(IFERROR(MATCH(164,'List A'!$S$5:$S$204,0)+4,"")="","",INDEX('List A'!$K$5:$K$204,IFERROR(MATCH(164,'List A'!$S$5:$S$204,0)+4,"")-4))-4))</f>
        <v/>
      </c>
      <c r="F168" s="53">
        <f>IF(OR(IFERROR(MATCH(164,'List A'!$S$5:$S$204,0)+4,"")="",IF(IFERROR(MATCH(164,'List A'!$S$5:$S$204,0)+4,"")="","",INDEX('List A'!$K$5:$K$204,IFERROR(MATCH(164,'List A'!$S$5:$S$204,0)+4,"")-4))=""),"",INDEX('List B'!$B$5:$B$204,IF(IFERROR(MATCH(164,'List A'!$S$5:$S$204,0)+4,"")="","",INDEX('List A'!$K$5:$K$204,IFERROR(MATCH(164,'List A'!$S$5:$S$204,0)+4,"")-4))-4))</f>
        <v/>
      </c>
      <c r="G168" s="52">
        <f>IF(OR(IFERROR(MATCH(164,'List A'!$S$5:$S$204,0)+4,"")="",IF(IFERROR(MATCH(164,'List A'!$S$5:$S$204,0)+4,"")="","",INDEX('List A'!$K$5:$K$204,IFERROR(MATCH(164,'List A'!$S$5:$S$204,0)+4,"")-4))=""),"",INDEX('List B'!$C$5:$C$204,IF(IFERROR(MATCH(164,'List A'!$S$5:$S$204,0)+4,"")="","",INDEX('List A'!$K$5:$K$204,IFERROR(MATCH(164,'List A'!$S$5:$S$204,0)+4,"")-4))-4))</f>
        <v/>
      </c>
      <c r="H168" s="53">
        <f>IF(OR(IFERROR(MATCH(164,'List A'!$S$5:$S$204,0)+4,"")="",IF(IFERROR(MATCH(164,'List A'!$S$5:$S$204,0)+4,"")="","",INDEX('List A'!$K$5:$K$204,IFERROR(MATCH(164,'List A'!$S$5:$S$204,0)+4,"")-4))=""),"",INDEX('List B'!$D$5:$D$204,IF(IFERROR(MATCH(164,'List A'!$S$5:$S$204,0)+4,"")="","",INDEX('List A'!$K$5:$K$204,IFERROR(MATCH(164,'List A'!$S$5:$S$204,0)+4,"")-4))-4))</f>
        <v/>
      </c>
      <c r="I168" s="52">
        <f>IF(IFERROR(MATCH(164,'List A'!$S$5:$S$204,0)+4,"")="","",INDEX('List A'!$N$5:$N$204,IFERROR(MATCH(164,'List A'!$S$5:$S$204,0)+4,"")-4))</f>
        <v/>
      </c>
      <c r="J168" s="53">
        <f>IF(IFERROR(MATCH(164,'List A'!$S$5:$S$204,0)+4,"")="","",INDEX('List A'!$O$5:$O$204,IFERROR(MATCH(164,'List A'!$S$5:$S$204,0)+4,"")-4))</f>
        <v/>
      </c>
    </row>
    <row r="169" ht="17" customHeight="1">
      <c r="A169" s="87">
        <f>IF(IFERROR(MATCH(165,'List A'!$S$5:$S$204,0)+4,"")="","",INDEX('List A'!$A$5:$A$204,IFERROR(MATCH(165,'List A'!$S$5:$S$204,0)+4,"")-4))</f>
        <v/>
      </c>
      <c r="B169" s="53">
        <f>IF(IFERROR(MATCH(165,'List A'!$S$5:$S$204,0)+4,"")="","",INDEX('List A'!$B$5:$B$204,IFERROR(MATCH(165,'List A'!$S$5:$S$204,0)+4,"")-4))</f>
        <v/>
      </c>
      <c r="C169" s="52">
        <f>IF(IFERROR(MATCH(165,'List A'!$S$5:$S$204,0)+4,"")="","",INDEX('List A'!$C$5:$C$204,IFERROR(MATCH(165,'List A'!$S$5:$S$204,0)+4,"")-4))</f>
        <v/>
      </c>
      <c r="D169" s="53">
        <f>IF(IFERROR(MATCH(165,'List A'!$S$5:$S$204,0)+4,"")="","",INDEX('List A'!$D$5:$D$204,IFERROR(MATCH(165,'List A'!$S$5:$S$204,0)+4,"")-4))</f>
        <v/>
      </c>
      <c r="E169" s="87">
        <f>IF(OR(IFERROR(MATCH(165,'List A'!$S$5:$S$204,0)+4,"")="",IF(IFERROR(MATCH(165,'List A'!$S$5:$S$204,0)+4,"")="","",INDEX('List A'!$K$5:$K$204,IFERROR(MATCH(165,'List A'!$S$5:$S$204,0)+4,"")-4))=""),"",INDEX('List B'!$A$5:$A$204,IF(IFERROR(MATCH(165,'List A'!$S$5:$S$204,0)+4,"")="","",INDEX('List A'!$K$5:$K$204,IFERROR(MATCH(165,'List A'!$S$5:$S$204,0)+4,"")-4))-4))</f>
        <v/>
      </c>
      <c r="F169" s="53">
        <f>IF(OR(IFERROR(MATCH(165,'List A'!$S$5:$S$204,0)+4,"")="",IF(IFERROR(MATCH(165,'List A'!$S$5:$S$204,0)+4,"")="","",INDEX('List A'!$K$5:$K$204,IFERROR(MATCH(165,'List A'!$S$5:$S$204,0)+4,"")-4))=""),"",INDEX('List B'!$B$5:$B$204,IF(IFERROR(MATCH(165,'List A'!$S$5:$S$204,0)+4,"")="","",INDEX('List A'!$K$5:$K$204,IFERROR(MATCH(165,'List A'!$S$5:$S$204,0)+4,"")-4))-4))</f>
        <v/>
      </c>
      <c r="G169" s="52">
        <f>IF(OR(IFERROR(MATCH(165,'List A'!$S$5:$S$204,0)+4,"")="",IF(IFERROR(MATCH(165,'List A'!$S$5:$S$204,0)+4,"")="","",INDEX('List A'!$K$5:$K$204,IFERROR(MATCH(165,'List A'!$S$5:$S$204,0)+4,"")-4))=""),"",INDEX('List B'!$C$5:$C$204,IF(IFERROR(MATCH(165,'List A'!$S$5:$S$204,0)+4,"")="","",INDEX('List A'!$K$5:$K$204,IFERROR(MATCH(165,'List A'!$S$5:$S$204,0)+4,"")-4))-4))</f>
        <v/>
      </c>
      <c r="H169" s="53">
        <f>IF(OR(IFERROR(MATCH(165,'List A'!$S$5:$S$204,0)+4,"")="",IF(IFERROR(MATCH(165,'List A'!$S$5:$S$204,0)+4,"")="","",INDEX('List A'!$K$5:$K$204,IFERROR(MATCH(165,'List A'!$S$5:$S$204,0)+4,"")-4))=""),"",INDEX('List B'!$D$5:$D$204,IF(IFERROR(MATCH(165,'List A'!$S$5:$S$204,0)+4,"")="","",INDEX('List A'!$K$5:$K$204,IFERROR(MATCH(165,'List A'!$S$5:$S$204,0)+4,"")-4))-4))</f>
        <v/>
      </c>
      <c r="I169" s="52">
        <f>IF(IFERROR(MATCH(165,'List A'!$S$5:$S$204,0)+4,"")="","",INDEX('List A'!$N$5:$N$204,IFERROR(MATCH(165,'List A'!$S$5:$S$204,0)+4,"")-4))</f>
        <v/>
      </c>
      <c r="J169" s="53">
        <f>IF(IFERROR(MATCH(165,'List A'!$S$5:$S$204,0)+4,"")="","",INDEX('List A'!$O$5:$O$204,IFERROR(MATCH(165,'List A'!$S$5:$S$204,0)+4,"")-4))</f>
        <v/>
      </c>
    </row>
    <row r="170" ht="17" customHeight="1">
      <c r="A170" s="87">
        <f>IF(IFERROR(MATCH(166,'List A'!$S$5:$S$204,0)+4,"")="","",INDEX('List A'!$A$5:$A$204,IFERROR(MATCH(166,'List A'!$S$5:$S$204,0)+4,"")-4))</f>
        <v/>
      </c>
      <c r="B170" s="53">
        <f>IF(IFERROR(MATCH(166,'List A'!$S$5:$S$204,0)+4,"")="","",INDEX('List A'!$B$5:$B$204,IFERROR(MATCH(166,'List A'!$S$5:$S$204,0)+4,"")-4))</f>
        <v/>
      </c>
      <c r="C170" s="52">
        <f>IF(IFERROR(MATCH(166,'List A'!$S$5:$S$204,0)+4,"")="","",INDEX('List A'!$C$5:$C$204,IFERROR(MATCH(166,'List A'!$S$5:$S$204,0)+4,"")-4))</f>
        <v/>
      </c>
      <c r="D170" s="53">
        <f>IF(IFERROR(MATCH(166,'List A'!$S$5:$S$204,0)+4,"")="","",INDEX('List A'!$D$5:$D$204,IFERROR(MATCH(166,'List A'!$S$5:$S$204,0)+4,"")-4))</f>
        <v/>
      </c>
      <c r="E170" s="87">
        <f>IF(OR(IFERROR(MATCH(166,'List A'!$S$5:$S$204,0)+4,"")="",IF(IFERROR(MATCH(166,'List A'!$S$5:$S$204,0)+4,"")="","",INDEX('List A'!$K$5:$K$204,IFERROR(MATCH(166,'List A'!$S$5:$S$204,0)+4,"")-4))=""),"",INDEX('List B'!$A$5:$A$204,IF(IFERROR(MATCH(166,'List A'!$S$5:$S$204,0)+4,"")="","",INDEX('List A'!$K$5:$K$204,IFERROR(MATCH(166,'List A'!$S$5:$S$204,0)+4,"")-4))-4))</f>
        <v/>
      </c>
      <c r="F170" s="53">
        <f>IF(OR(IFERROR(MATCH(166,'List A'!$S$5:$S$204,0)+4,"")="",IF(IFERROR(MATCH(166,'List A'!$S$5:$S$204,0)+4,"")="","",INDEX('List A'!$K$5:$K$204,IFERROR(MATCH(166,'List A'!$S$5:$S$204,0)+4,"")-4))=""),"",INDEX('List B'!$B$5:$B$204,IF(IFERROR(MATCH(166,'List A'!$S$5:$S$204,0)+4,"")="","",INDEX('List A'!$K$5:$K$204,IFERROR(MATCH(166,'List A'!$S$5:$S$204,0)+4,"")-4))-4))</f>
        <v/>
      </c>
      <c r="G170" s="52">
        <f>IF(OR(IFERROR(MATCH(166,'List A'!$S$5:$S$204,0)+4,"")="",IF(IFERROR(MATCH(166,'List A'!$S$5:$S$204,0)+4,"")="","",INDEX('List A'!$K$5:$K$204,IFERROR(MATCH(166,'List A'!$S$5:$S$204,0)+4,"")-4))=""),"",INDEX('List B'!$C$5:$C$204,IF(IFERROR(MATCH(166,'List A'!$S$5:$S$204,0)+4,"")="","",INDEX('List A'!$K$5:$K$204,IFERROR(MATCH(166,'List A'!$S$5:$S$204,0)+4,"")-4))-4))</f>
        <v/>
      </c>
      <c r="H170" s="53">
        <f>IF(OR(IFERROR(MATCH(166,'List A'!$S$5:$S$204,0)+4,"")="",IF(IFERROR(MATCH(166,'List A'!$S$5:$S$204,0)+4,"")="","",INDEX('List A'!$K$5:$K$204,IFERROR(MATCH(166,'List A'!$S$5:$S$204,0)+4,"")-4))=""),"",INDEX('List B'!$D$5:$D$204,IF(IFERROR(MATCH(166,'List A'!$S$5:$S$204,0)+4,"")="","",INDEX('List A'!$K$5:$K$204,IFERROR(MATCH(166,'List A'!$S$5:$S$204,0)+4,"")-4))-4))</f>
        <v/>
      </c>
      <c r="I170" s="52">
        <f>IF(IFERROR(MATCH(166,'List A'!$S$5:$S$204,0)+4,"")="","",INDEX('List A'!$N$5:$N$204,IFERROR(MATCH(166,'List A'!$S$5:$S$204,0)+4,"")-4))</f>
        <v/>
      </c>
      <c r="J170" s="53">
        <f>IF(IFERROR(MATCH(166,'List A'!$S$5:$S$204,0)+4,"")="","",INDEX('List A'!$O$5:$O$204,IFERROR(MATCH(166,'List A'!$S$5:$S$204,0)+4,"")-4))</f>
        <v/>
      </c>
    </row>
    <row r="171" ht="17" customHeight="1">
      <c r="A171" s="87">
        <f>IF(IFERROR(MATCH(167,'List A'!$S$5:$S$204,0)+4,"")="","",INDEX('List A'!$A$5:$A$204,IFERROR(MATCH(167,'List A'!$S$5:$S$204,0)+4,"")-4))</f>
        <v/>
      </c>
      <c r="B171" s="53">
        <f>IF(IFERROR(MATCH(167,'List A'!$S$5:$S$204,0)+4,"")="","",INDEX('List A'!$B$5:$B$204,IFERROR(MATCH(167,'List A'!$S$5:$S$204,0)+4,"")-4))</f>
        <v/>
      </c>
      <c r="C171" s="52">
        <f>IF(IFERROR(MATCH(167,'List A'!$S$5:$S$204,0)+4,"")="","",INDEX('List A'!$C$5:$C$204,IFERROR(MATCH(167,'List A'!$S$5:$S$204,0)+4,"")-4))</f>
        <v/>
      </c>
      <c r="D171" s="53">
        <f>IF(IFERROR(MATCH(167,'List A'!$S$5:$S$204,0)+4,"")="","",INDEX('List A'!$D$5:$D$204,IFERROR(MATCH(167,'List A'!$S$5:$S$204,0)+4,"")-4))</f>
        <v/>
      </c>
      <c r="E171" s="87">
        <f>IF(OR(IFERROR(MATCH(167,'List A'!$S$5:$S$204,0)+4,"")="",IF(IFERROR(MATCH(167,'List A'!$S$5:$S$204,0)+4,"")="","",INDEX('List A'!$K$5:$K$204,IFERROR(MATCH(167,'List A'!$S$5:$S$204,0)+4,"")-4))=""),"",INDEX('List B'!$A$5:$A$204,IF(IFERROR(MATCH(167,'List A'!$S$5:$S$204,0)+4,"")="","",INDEX('List A'!$K$5:$K$204,IFERROR(MATCH(167,'List A'!$S$5:$S$204,0)+4,"")-4))-4))</f>
        <v/>
      </c>
      <c r="F171" s="53">
        <f>IF(OR(IFERROR(MATCH(167,'List A'!$S$5:$S$204,0)+4,"")="",IF(IFERROR(MATCH(167,'List A'!$S$5:$S$204,0)+4,"")="","",INDEX('List A'!$K$5:$K$204,IFERROR(MATCH(167,'List A'!$S$5:$S$204,0)+4,"")-4))=""),"",INDEX('List B'!$B$5:$B$204,IF(IFERROR(MATCH(167,'List A'!$S$5:$S$204,0)+4,"")="","",INDEX('List A'!$K$5:$K$204,IFERROR(MATCH(167,'List A'!$S$5:$S$204,0)+4,"")-4))-4))</f>
        <v/>
      </c>
      <c r="G171" s="52">
        <f>IF(OR(IFERROR(MATCH(167,'List A'!$S$5:$S$204,0)+4,"")="",IF(IFERROR(MATCH(167,'List A'!$S$5:$S$204,0)+4,"")="","",INDEX('List A'!$K$5:$K$204,IFERROR(MATCH(167,'List A'!$S$5:$S$204,0)+4,"")-4))=""),"",INDEX('List B'!$C$5:$C$204,IF(IFERROR(MATCH(167,'List A'!$S$5:$S$204,0)+4,"")="","",INDEX('List A'!$K$5:$K$204,IFERROR(MATCH(167,'List A'!$S$5:$S$204,0)+4,"")-4))-4))</f>
        <v/>
      </c>
      <c r="H171" s="53">
        <f>IF(OR(IFERROR(MATCH(167,'List A'!$S$5:$S$204,0)+4,"")="",IF(IFERROR(MATCH(167,'List A'!$S$5:$S$204,0)+4,"")="","",INDEX('List A'!$K$5:$K$204,IFERROR(MATCH(167,'List A'!$S$5:$S$204,0)+4,"")-4))=""),"",INDEX('List B'!$D$5:$D$204,IF(IFERROR(MATCH(167,'List A'!$S$5:$S$204,0)+4,"")="","",INDEX('List A'!$K$5:$K$204,IFERROR(MATCH(167,'List A'!$S$5:$S$204,0)+4,"")-4))-4))</f>
        <v/>
      </c>
      <c r="I171" s="52">
        <f>IF(IFERROR(MATCH(167,'List A'!$S$5:$S$204,0)+4,"")="","",INDEX('List A'!$N$5:$N$204,IFERROR(MATCH(167,'List A'!$S$5:$S$204,0)+4,"")-4))</f>
        <v/>
      </c>
      <c r="J171" s="53">
        <f>IF(IFERROR(MATCH(167,'List A'!$S$5:$S$204,0)+4,"")="","",INDEX('List A'!$O$5:$O$204,IFERROR(MATCH(167,'List A'!$S$5:$S$204,0)+4,"")-4))</f>
        <v/>
      </c>
    </row>
    <row r="172" ht="17" customHeight="1">
      <c r="A172" s="87">
        <f>IF(IFERROR(MATCH(168,'List A'!$S$5:$S$204,0)+4,"")="","",INDEX('List A'!$A$5:$A$204,IFERROR(MATCH(168,'List A'!$S$5:$S$204,0)+4,"")-4))</f>
        <v/>
      </c>
      <c r="B172" s="53">
        <f>IF(IFERROR(MATCH(168,'List A'!$S$5:$S$204,0)+4,"")="","",INDEX('List A'!$B$5:$B$204,IFERROR(MATCH(168,'List A'!$S$5:$S$204,0)+4,"")-4))</f>
        <v/>
      </c>
      <c r="C172" s="52">
        <f>IF(IFERROR(MATCH(168,'List A'!$S$5:$S$204,0)+4,"")="","",INDEX('List A'!$C$5:$C$204,IFERROR(MATCH(168,'List A'!$S$5:$S$204,0)+4,"")-4))</f>
        <v/>
      </c>
      <c r="D172" s="53">
        <f>IF(IFERROR(MATCH(168,'List A'!$S$5:$S$204,0)+4,"")="","",INDEX('List A'!$D$5:$D$204,IFERROR(MATCH(168,'List A'!$S$5:$S$204,0)+4,"")-4))</f>
        <v/>
      </c>
      <c r="E172" s="87">
        <f>IF(OR(IFERROR(MATCH(168,'List A'!$S$5:$S$204,0)+4,"")="",IF(IFERROR(MATCH(168,'List A'!$S$5:$S$204,0)+4,"")="","",INDEX('List A'!$K$5:$K$204,IFERROR(MATCH(168,'List A'!$S$5:$S$204,0)+4,"")-4))=""),"",INDEX('List B'!$A$5:$A$204,IF(IFERROR(MATCH(168,'List A'!$S$5:$S$204,0)+4,"")="","",INDEX('List A'!$K$5:$K$204,IFERROR(MATCH(168,'List A'!$S$5:$S$204,0)+4,"")-4))-4))</f>
        <v/>
      </c>
      <c r="F172" s="53">
        <f>IF(OR(IFERROR(MATCH(168,'List A'!$S$5:$S$204,0)+4,"")="",IF(IFERROR(MATCH(168,'List A'!$S$5:$S$204,0)+4,"")="","",INDEX('List A'!$K$5:$K$204,IFERROR(MATCH(168,'List A'!$S$5:$S$204,0)+4,"")-4))=""),"",INDEX('List B'!$B$5:$B$204,IF(IFERROR(MATCH(168,'List A'!$S$5:$S$204,0)+4,"")="","",INDEX('List A'!$K$5:$K$204,IFERROR(MATCH(168,'List A'!$S$5:$S$204,0)+4,"")-4))-4))</f>
        <v/>
      </c>
      <c r="G172" s="52">
        <f>IF(OR(IFERROR(MATCH(168,'List A'!$S$5:$S$204,0)+4,"")="",IF(IFERROR(MATCH(168,'List A'!$S$5:$S$204,0)+4,"")="","",INDEX('List A'!$K$5:$K$204,IFERROR(MATCH(168,'List A'!$S$5:$S$204,0)+4,"")-4))=""),"",INDEX('List B'!$C$5:$C$204,IF(IFERROR(MATCH(168,'List A'!$S$5:$S$204,0)+4,"")="","",INDEX('List A'!$K$5:$K$204,IFERROR(MATCH(168,'List A'!$S$5:$S$204,0)+4,"")-4))-4))</f>
        <v/>
      </c>
      <c r="H172" s="53">
        <f>IF(OR(IFERROR(MATCH(168,'List A'!$S$5:$S$204,0)+4,"")="",IF(IFERROR(MATCH(168,'List A'!$S$5:$S$204,0)+4,"")="","",INDEX('List A'!$K$5:$K$204,IFERROR(MATCH(168,'List A'!$S$5:$S$204,0)+4,"")-4))=""),"",INDEX('List B'!$D$5:$D$204,IF(IFERROR(MATCH(168,'List A'!$S$5:$S$204,0)+4,"")="","",INDEX('List A'!$K$5:$K$204,IFERROR(MATCH(168,'List A'!$S$5:$S$204,0)+4,"")-4))-4))</f>
        <v/>
      </c>
      <c r="I172" s="52">
        <f>IF(IFERROR(MATCH(168,'List A'!$S$5:$S$204,0)+4,"")="","",INDEX('List A'!$N$5:$N$204,IFERROR(MATCH(168,'List A'!$S$5:$S$204,0)+4,"")-4))</f>
        <v/>
      </c>
      <c r="J172" s="53">
        <f>IF(IFERROR(MATCH(168,'List A'!$S$5:$S$204,0)+4,"")="","",INDEX('List A'!$O$5:$O$204,IFERROR(MATCH(168,'List A'!$S$5:$S$204,0)+4,"")-4))</f>
        <v/>
      </c>
    </row>
    <row r="173" ht="17" customHeight="1">
      <c r="A173" s="87">
        <f>IF(IFERROR(MATCH(169,'List A'!$S$5:$S$204,0)+4,"")="","",INDEX('List A'!$A$5:$A$204,IFERROR(MATCH(169,'List A'!$S$5:$S$204,0)+4,"")-4))</f>
        <v/>
      </c>
      <c r="B173" s="53">
        <f>IF(IFERROR(MATCH(169,'List A'!$S$5:$S$204,0)+4,"")="","",INDEX('List A'!$B$5:$B$204,IFERROR(MATCH(169,'List A'!$S$5:$S$204,0)+4,"")-4))</f>
        <v/>
      </c>
      <c r="C173" s="52">
        <f>IF(IFERROR(MATCH(169,'List A'!$S$5:$S$204,0)+4,"")="","",INDEX('List A'!$C$5:$C$204,IFERROR(MATCH(169,'List A'!$S$5:$S$204,0)+4,"")-4))</f>
        <v/>
      </c>
      <c r="D173" s="53">
        <f>IF(IFERROR(MATCH(169,'List A'!$S$5:$S$204,0)+4,"")="","",INDEX('List A'!$D$5:$D$204,IFERROR(MATCH(169,'List A'!$S$5:$S$204,0)+4,"")-4))</f>
        <v/>
      </c>
      <c r="E173" s="87">
        <f>IF(OR(IFERROR(MATCH(169,'List A'!$S$5:$S$204,0)+4,"")="",IF(IFERROR(MATCH(169,'List A'!$S$5:$S$204,0)+4,"")="","",INDEX('List A'!$K$5:$K$204,IFERROR(MATCH(169,'List A'!$S$5:$S$204,0)+4,"")-4))=""),"",INDEX('List B'!$A$5:$A$204,IF(IFERROR(MATCH(169,'List A'!$S$5:$S$204,0)+4,"")="","",INDEX('List A'!$K$5:$K$204,IFERROR(MATCH(169,'List A'!$S$5:$S$204,0)+4,"")-4))-4))</f>
        <v/>
      </c>
      <c r="F173" s="53">
        <f>IF(OR(IFERROR(MATCH(169,'List A'!$S$5:$S$204,0)+4,"")="",IF(IFERROR(MATCH(169,'List A'!$S$5:$S$204,0)+4,"")="","",INDEX('List A'!$K$5:$K$204,IFERROR(MATCH(169,'List A'!$S$5:$S$204,0)+4,"")-4))=""),"",INDEX('List B'!$B$5:$B$204,IF(IFERROR(MATCH(169,'List A'!$S$5:$S$204,0)+4,"")="","",INDEX('List A'!$K$5:$K$204,IFERROR(MATCH(169,'List A'!$S$5:$S$204,0)+4,"")-4))-4))</f>
        <v/>
      </c>
      <c r="G173" s="52">
        <f>IF(OR(IFERROR(MATCH(169,'List A'!$S$5:$S$204,0)+4,"")="",IF(IFERROR(MATCH(169,'List A'!$S$5:$S$204,0)+4,"")="","",INDEX('List A'!$K$5:$K$204,IFERROR(MATCH(169,'List A'!$S$5:$S$204,0)+4,"")-4))=""),"",INDEX('List B'!$C$5:$C$204,IF(IFERROR(MATCH(169,'List A'!$S$5:$S$204,0)+4,"")="","",INDEX('List A'!$K$5:$K$204,IFERROR(MATCH(169,'List A'!$S$5:$S$204,0)+4,"")-4))-4))</f>
        <v/>
      </c>
      <c r="H173" s="53">
        <f>IF(OR(IFERROR(MATCH(169,'List A'!$S$5:$S$204,0)+4,"")="",IF(IFERROR(MATCH(169,'List A'!$S$5:$S$204,0)+4,"")="","",INDEX('List A'!$K$5:$K$204,IFERROR(MATCH(169,'List A'!$S$5:$S$204,0)+4,"")-4))=""),"",INDEX('List B'!$D$5:$D$204,IF(IFERROR(MATCH(169,'List A'!$S$5:$S$204,0)+4,"")="","",INDEX('List A'!$K$5:$K$204,IFERROR(MATCH(169,'List A'!$S$5:$S$204,0)+4,"")-4))-4))</f>
        <v/>
      </c>
      <c r="I173" s="52">
        <f>IF(IFERROR(MATCH(169,'List A'!$S$5:$S$204,0)+4,"")="","",INDEX('List A'!$N$5:$N$204,IFERROR(MATCH(169,'List A'!$S$5:$S$204,0)+4,"")-4))</f>
        <v/>
      </c>
      <c r="J173" s="53">
        <f>IF(IFERROR(MATCH(169,'List A'!$S$5:$S$204,0)+4,"")="","",INDEX('List A'!$O$5:$O$204,IFERROR(MATCH(169,'List A'!$S$5:$S$204,0)+4,"")-4))</f>
        <v/>
      </c>
    </row>
    <row r="174" ht="17" customHeight="1">
      <c r="A174" s="87">
        <f>IF(IFERROR(MATCH(170,'List A'!$S$5:$S$204,0)+4,"")="","",INDEX('List A'!$A$5:$A$204,IFERROR(MATCH(170,'List A'!$S$5:$S$204,0)+4,"")-4))</f>
        <v/>
      </c>
      <c r="B174" s="53">
        <f>IF(IFERROR(MATCH(170,'List A'!$S$5:$S$204,0)+4,"")="","",INDEX('List A'!$B$5:$B$204,IFERROR(MATCH(170,'List A'!$S$5:$S$204,0)+4,"")-4))</f>
        <v/>
      </c>
      <c r="C174" s="52">
        <f>IF(IFERROR(MATCH(170,'List A'!$S$5:$S$204,0)+4,"")="","",INDEX('List A'!$C$5:$C$204,IFERROR(MATCH(170,'List A'!$S$5:$S$204,0)+4,"")-4))</f>
        <v/>
      </c>
      <c r="D174" s="53">
        <f>IF(IFERROR(MATCH(170,'List A'!$S$5:$S$204,0)+4,"")="","",INDEX('List A'!$D$5:$D$204,IFERROR(MATCH(170,'List A'!$S$5:$S$204,0)+4,"")-4))</f>
        <v/>
      </c>
      <c r="E174" s="87">
        <f>IF(OR(IFERROR(MATCH(170,'List A'!$S$5:$S$204,0)+4,"")="",IF(IFERROR(MATCH(170,'List A'!$S$5:$S$204,0)+4,"")="","",INDEX('List A'!$K$5:$K$204,IFERROR(MATCH(170,'List A'!$S$5:$S$204,0)+4,"")-4))=""),"",INDEX('List B'!$A$5:$A$204,IF(IFERROR(MATCH(170,'List A'!$S$5:$S$204,0)+4,"")="","",INDEX('List A'!$K$5:$K$204,IFERROR(MATCH(170,'List A'!$S$5:$S$204,0)+4,"")-4))-4))</f>
        <v/>
      </c>
      <c r="F174" s="53">
        <f>IF(OR(IFERROR(MATCH(170,'List A'!$S$5:$S$204,0)+4,"")="",IF(IFERROR(MATCH(170,'List A'!$S$5:$S$204,0)+4,"")="","",INDEX('List A'!$K$5:$K$204,IFERROR(MATCH(170,'List A'!$S$5:$S$204,0)+4,"")-4))=""),"",INDEX('List B'!$B$5:$B$204,IF(IFERROR(MATCH(170,'List A'!$S$5:$S$204,0)+4,"")="","",INDEX('List A'!$K$5:$K$204,IFERROR(MATCH(170,'List A'!$S$5:$S$204,0)+4,"")-4))-4))</f>
        <v/>
      </c>
      <c r="G174" s="52">
        <f>IF(OR(IFERROR(MATCH(170,'List A'!$S$5:$S$204,0)+4,"")="",IF(IFERROR(MATCH(170,'List A'!$S$5:$S$204,0)+4,"")="","",INDEX('List A'!$K$5:$K$204,IFERROR(MATCH(170,'List A'!$S$5:$S$204,0)+4,"")-4))=""),"",INDEX('List B'!$C$5:$C$204,IF(IFERROR(MATCH(170,'List A'!$S$5:$S$204,0)+4,"")="","",INDEX('List A'!$K$5:$K$204,IFERROR(MATCH(170,'List A'!$S$5:$S$204,0)+4,"")-4))-4))</f>
        <v/>
      </c>
      <c r="H174" s="53">
        <f>IF(OR(IFERROR(MATCH(170,'List A'!$S$5:$S$204,0)+4,"")="",IF(IFERROR(MATCH(170,'List A'!$S$5:$S$204,0)+4,"")="","",INDEX('List A'!$K$5:$K$204,IFERROR(MATCH(170,'List A'!$S$5:$S$204,0)+4,"")-4))=""),"",INDEX('List B'!$D$5:$D$204,IF(IFERROR(MATCH(170,'List A'!$S$5:$S$204,0)+4,"")="","",INDEX('List A'!$K$5:$K$204,IFERROR(MATCH(170,'List A'!$S$5:$S$204,0)+4,"")-4))-4))</f>
        <v/>
      </c>
      <c r="I174" s="52">
        <f>IF(IFERROR(MATCH(170,'List A'!$S$5:$S$204,0)+4,"")="","",INDEX('List A'!$N$5:$N$204,IFERROR(MATCH(170,'List A'!$S$5:$S$204,0)+4,"")-4))</f>
        <v/>
      </c>
      <c r="J174" s="53">
        <f>IF(IFERROR(MATCH(170,'List A'!$S$5:$S$204,0)+4,"")="","",INDEX('List A'!$O$5:$O$204,IFERROR(MATCH(170,'List A'!$S$5:$S$204,0)+4,"")-4))</f>
        <v/>
      </c>
    </row>
    <row r="175" ht="17" customHeight="1">
      <c r="A175" s="87">
        <f>IF(IFERROR(MATCH(171,'List A'!$S$5:$S$204,0)+4,"")="","",INDEX('List A'!$A$5:$A$204,IFERROR(MATCH(171,'List A'!$S$5:$S$204,0)+4,"")-4))</f>
        <v/>
      </c>
      <c r="B175" s="53">
        <f>IF(IFERROR(MATCH(171,'List A'!$S$5:$S$204,0)+4,"")="","",INDEX('List A'!$B$5:$B$204,IFERROR(MATCH(171,'List A'!$S$5:$S$204,0)+4,"")-4))</f>
        <v/>
      </c>
      <c r="C175" s="52">
        <f>IF(IFERROR(MATCH(171,'List A'!$S$5:$S$204,0)+4,"")="","",INDEX('List A'!$C$5:$C$204,IFERROR(MATCH(171,'List A'!$S$5:$S$204,0)+4,"")-4))</f>
        <v/>
      </c>
      <c r="D175" s="53">
        <f>IF(IFERROR(MATCH(171,'List A'!$S$5:$S$204,0)+4,"")="","",INDEX('List A'!$D$5:$D$204,IFERROR(MATCH(171,'List A'!$S$5:$S$204,0)+4,"")-4))</f>
        <v/>
      </c>
      <c r="E175" s="87">
        <f>IF(OR(IFERROR(MATCH(171,'List A'!$S$5:$S$204,0)+4,"")="",IF(IFERROR(MATCH(171,'List A'!$S$5:$S$204,0)+4,"")="","",INDEX('List A'!$K$5:$K$204,IFERROR(MATCH(171,'List A'!$S$5:$S$204,0)+4,"")-4))=""),"",INDEX('List B'!$A$5:$A$204,IF(IFERROR(MATCH(171,'List A'!$S$5:$S$204,0)+4,"")="","",INDEX('List A'!$K$5:$K$204,IFERROR(MATCH(171,'List A'!$S$5:$S$204,0)+4,"")-4))-4))</f>
        <v/>
      </c>
      <c r="F175" s="53">
        <f>IF(OR(IFERROR(MATCH(171,'List A'!$S$5:$S$204,0)+4,"")="",IF(IFERROR(MATCH(171,'List A'!$S$5:$S$204,0)+4,"")="","",INDEX('List A'!$K$5:$K$204,IFERROR(MATCH(171,'List A'!$S$5:$S$204,0)+4,"")-4))=""),"",INDEX('List B'!$B$5:$B$204,IF(IFERROR(MATCH(171,'List A'!$S$5:$S$204,0)+4,"")="","",INDEX('List A'!$K$5:$K$204,IFERROR(MATCH(171,'List A'!$S$5:$S$204,0)+4,"")-4))-4))</f>
        <v/>
      </c>
      <c r="G175" s="52">
        <f>IF(OR(IFERROR(MATCH(171,'List A'!$S$5:$S$204,0)+4,"")="",IF(IFERROR(MATCH(171,'List A'!$S$5:$S$204,0)+4,"")="","",INDEX('List A'!$K$5:$K$204,IFERROR(MATCH(171,'List A'!$S$5:$S$204,0)+4,"")-4))=""),"",INDEX('List B'!$C$5:$C$204,IF(IFERROR(MATCH(171,'List A'!$S$5:$S$204,0)+4,"")="","",INDEX('List A'!$K$5:$K$204,IFERROR(MATCH(171,'List A'!$S$5:$S$204,0)+4,"")-4))-4))</f>
        <v/>
      </c>
      <c r="H175" s="53">
        <f>IF(OR(IFERROR(MATCH(171,'List A'!$S$5:$S$204,0)+4,"")="",IF(IFERROR(MATCH(171,'List A'!$S$5:$S$204,0)+4,"")="","",INDEX('List A'!$K$5:$K$204,IFERROR(MATCH(171,'List A'!$S$5:$S$204,0)+4,"")-4))=""),"",INDEX('List B'!$D$5:$D$204,IF(IFERROR(MATCH(171,'List A'!$S$5:$S$204,0)+4,"")="","",INDEX('List A'!$K$5:$K$204,IFERROR(MATCH(171,'List A'!$S$5:$S$204,0)+4,"")-4))-4))</f>
        <v/>
      </c>
      <c r="I175" s="52">
        <f>IF(IFERROR(MATCH(171,'List A'!$S$5:$S$204,0)+4,"")="","",INDEX('List A'!$N$5:$N$204,IFERROR(MATCH(171,'List A'!$S$5:$S$204,0)+4,"")-4))</f>
        <v/>
      </c>
      <c r="J175" s="53">
        <f>IF(IFERROR(MATCH(171,'List A'!$S$5:$S$204,0)+4,"")="","",INDEX('List A'!$O$5:$O$204,IFERROR(MATCH(171,'List A'!$S$5:$S$204,0)+4,"")-4))</f>
        <v/>
      </c>
    </row>
    <row r="176" ht="17" customHeight="1">
      <c r="A176" s="87">
        <f>IF(IFERROR(MATCH(172,'List A'!$S$5:$S$204,0)+4,"")="","",INDEX('List A'!$A$5:$A$204,IFERROR(MATCH(172,'List A'!$S$5:$S$204,0)+4,"")-4))</f>
        <v/>
      </c>
      <c r="B176" s="53">
        <f>IF(IFERROR(MATCH(172,'List A'!$S$5:$S$204,0)+4,"")="","",INDEX('List A'!$B$5:$B$204,IFERROR(MATCH(172,'List A'!$S$5:$S$204,0)+4,"")-4))</f>
        <v/>
      </c>
      <c r="C176" s="52">
        <f>IF(IFERROR(MATCH(172,'List A'!$S$5:$S$204,0)+4,"")="","",INDEX('List A'!$C$5:$C$204,IFERROR(MATCH(172,'List A'!$S$5:$S$204,0)+4,"")-4))</f>
        <v/>
      </c>
      <c r="D176" s="53">
        <f>IF(IFERROR(MATCH(172,'List A'!$S$5:$S$204,0)+4,"")="","",INDEX('List A'!$D$5:$D$204,IFERROR(MATCH(172,'List A'!$S$5:$S$204,0)+4,"")-4))</f>
        <v/>
      </c>
      <c r="E176" s="87">
        <f>IF(OR(IFERROR(MATCH(172,'List A'!$S$5:$S$204,0)+4,"")="",IF(IFERROR(MATCH(172,'List A'!$S$5:$S$204,0)+4,"")="","",INDEX('List A'!$K$5:$K$204,IFERROR(MATCH(172,'List A'!$S$5:$S$204,0)+4,"")-4))=""),"",INDEX('List B'!$A$5:$A$204,IF(IFERROR(MATCH(172,'List A'!$S$5:$S$204,0)+4,"")="","",INDEX('List A'!$K$5:$K$204,IFERROR(MATCH(172,'List A'!$S$5:$S$204,0)+4,"")-4))-4))</f>
        <v/>
      </c>
      <c r="F176" s="53">
        <f>IF(OR(IFERROR(MATCH(172,'List A'!$S$5:$S$204,0)+4,"")="",IF(IFERROR(MATCH(172,'List A'!$S$5:$S$204,0)+4,"")="","",INDEX('List A'!$K$5:$K$204,IFERROR(MATCH(172,'List A'!$S$5:$S$204,0)+4,"")-4))=""),"",INDEX('List B'!$B$5:$B$204,IF(IFERROR(MATCH(172,'List A'!$S$5:$S$204,0)+4,"")="","",INDEX('List A'!$K$5:$K$204,IFERROR(MATCH(172,'List A'!$S$5:$S$204,0)+4,"")-4))-4))</f>
        <v/>
      </c>
      <c r="G176" s="52">
        <f>IF(OR(IFERROR(MATCH(172,'List A'!$S$5:$S$204,0)+4,"")="",IF(IFERROR(MATCH(172,'List A'!$S$5:$S$204,0)+4,"")="","",INDEX('List A'!$K$5:$K$204,IFERROR(MATCH(172,'List A'!$S$5:$S$204,0)+4,"")-4))=""),"",INDEX('List B'!$C$5:$C$204,IF(IFERROR(MATCH(172,'List A'!$S$5:$S$204,0)+4,"")="","",INDEX('List A'!$K$5:$K$204,IFERROR(MATCH(172,'List A'!$S$5:$S$204,0)+4,"")-4))-4))</f>
        <v/>
      </c>
      <c r="H176" s="53">
        <f>IF(OR(IFERROR(MATCH(172,'List A'!$S$5:$S$204,0)+4,"")="",IF(IFERROR(MATCH(172,'List A'!$S$5:$S$204,0)+4,"")="","",INDEX('List A'!$K$5:$K$204,IFERROR(MATCH(172,'List A'!$S$5:$S$204,0)+4,"")-4))=""),"",INDEX('List B'!$D$5:$D$204,IF(IFERROR(MATCH(172,'List A'!$S$5:$S$204,0)+4,"")="","",INDEX('List A'!$K$5:$K$204,IFERROR(MATCH(172,'List A'!$S$5:$S$204,0)+4,"")-4))-4))</f>
        <v/>
      </c>
      <c r="I176" s="52">
        <f>IF(IFERROR(MATCH(172,'List A'!$S$5:$S$204,0)+4,"")="","",INDEX('List A'!$N$5:$N$204,IFERROR(MATCH(172,'List A'!$S$5:$S$204,0)+4,"")-4))</f>
        <v/>
      </c>
      <c r="J176" s="53">
        <f>IF(IFERROR(MATCH(172,'List A'!$S$5:$S$204,0)+4,"")="","",INDEX('List A'!$O$5:$O$204,IFERROR(MATCH(172,'List A'!$S$5:$S$204,0)+4,"")-4))</f>
        <v/>
      </c>
    </row>
    <row r="177" ht="17" customHeight="1">
      <c r="A177" s="87">
        <f>IF(IFERROR(MATCH(173,'List A'!$S$5:$S$204,0)+4,"")="","",INDEX('List A'!$A$5:$A$204,IFERROR(MATCH(173,'List A'!$S$5:$S$204,0)+4,"")-4))</f>
        <v/>
      </c>
      <c r="B177" s="53">
        <f>IF(IFERROR(MATCH(173,'List A'!$S$5:$S$204,0)+4,"")="","",INDEX('List A'!$B$5:$B$204,IFERROR(MATCH(173,'List A'!$S$5:$S$204,0)+4,"")-4))</f>
        <v/>
      </c>
      <c r="C177" s="52">
        <f>IF(IFERROR(MATCH(173,'List A'!$S$5:$S$204,0)+4,"")="","",INDEX('List A'!$C$5:$C$204,IFERROR(MATCH(173,'List A'!$S$5:$S$204,0)+4,"")-4))</f>
        <v/>
      </c>
      <c r="D177" s="53">
        <f>IF(IFERROR(MATCH(173,'List A'!$S$5:$S$204,0)+4,"")="","",INDEX('List A'!$D$5:$D$204,IFERROR(MATCH(173,'List A'!$S$5:$S$204,0)+4,"")-4))</f>
        <v/>
      </c>
      <c r="E177" s="87">
        <f>IF(OR(IFERROR(MATCH(173,'List A'!$S$5:$S$204,0)+4,"")="",IF(IFERROR(MATCH(173,'List A'!$S$5:$S$204,0)+4,"")="","",INDEX('List A'!$K$5:$K$204,IFERROR(MATCH(173,'List A'!$S$5:$S$204,0)+4,"")-4))=""),"",INDEX('List B'!$A$5:$A$204,IF(IFERROR(MATCH(173,'List A'!$S$5:$S$204,0)+4,"")="","",INDEX('List A'!$K$5:$K$204,IFERROR(MATCH(173,'List A'!$S$5:$S$204,0)+4,"")-4))-4))</f>
        <v/>
      </c>
      <c r="F177" s="53">
        <f>IF(OR(IFERROR(MATCH(173,'List A'!$S$5:$S$204,0)+4,"")="",IF(IFERROR(MATCH(173,'List A'!$S$5:$S$204,0)+4,"")="","",INDEX('List A'!$K$5:$K$204,IFERROR(MATCH(173,'List A'!$S$5:$S$204,0)+4,"")-4))=""),"",INDEX('List B'!$B$5:$B$204,IF(IFERROR(MATCH(173,'List A'!$S$5:$S$204,0)+4,"")="","",INDEX('List A'!$K$5:$K$204,IFERROR(MATCH(173,'List A'!$S$5:$S$204,0)+4,"")-4))-4))</f>
        <v/>
      </c>
      <c r="G177" s="52">
        <f>IF(OR(IFERROR(MATCH(173,'List A'!$S$5:$S$204,0)+4,"")="",IF(IFERROR(MATCH(173,'List A'!$S$5:$S$204,0)+4,"")="","",INDEX('List A'!$K$5:$K$204,IFERROR(MATCH(173,'List A'!$S$5:$S$204,0)+4,"")-4))=""),"",INDEX('List B'!$C$5:$C$204,IF(IFERROR(MATCH(173,'List A'!$S$5:$S$204,0)+4,"")="","",INDEX('List A'!$K$5:$K$204,IFERROR(MATCH(173,'List A'!$S$5:$S$204,0)+4,"")-4))-4))</f>
        <v/>
      </c>
      <c r="H177" s="53">
        <f>IF(OR(IFERROR(MATCH(173,'List A'!$S$5:$S$204,0)+4,"")="",IF(IFERROR(MATCH(173,'List A'!$S$5:$S$204,0)+4,"")="","",INDEX('List A'!$K$5:$K$204,IFERROR(MATCH(173,'List A'!$S$5:$S$204,0)+4,"")-4))=""),"",INDEX('List B'!$D$5:$D$204,IF(IFERROR(MATCH(173,'List A'!$S$5:$S$204,0)+4,"")="","",INDEX('List A'!$K$5:$K$204,IFERROR(MATCH(173,'List A'!$S$5:$S$204,0)+4,"")-4))-4))</f>
        <v/>
      </c>
      <c r="I177" s="52">
        <f>IF(IFERROR(MATCH(173,'List A'!$S$5:$S$204,0)+4,"")="","",INDEX('List A'!$N$5:$N$204,IFERROR(MATCH(173,'List A'!$S$5:$S$204,0)+4,"")-4))</f>
        <v/>
      </c>
      <c r="J177" s="53">
        <f>IF(IFERROR(MATCH(173,'List A'!$S$5:$S$204,0)+4,"")="","",INDEX('List A'!$O$5:$O$204,IFERROR(MATCH(173,'List A'!$S$5:$S$204,0)+4,"")-4))</f>
        <v/>
      </c>
    </row>
    <row r="178" ht="17" customHeight="1">
      <c r="A178" s="87">
        <f>IF(IFERROR(MATCH(174,'List A'!$S$5:$S$204,0)+4,"")="","",INDEX('List A'!$A$5:$A$204,IFERROR(MATCH(174,'List A'!$S$5:$S$204,0)+4,"")-4))</f>
        <v/>
      </c>
      <c r="B178" s="53">
        <f>IF(IFERROR(MATCH(174,'List A'!$S$5:$S$204,0)+4,"")="","",INDEX('List A'!$B$5:$B$204,IFERROR(MATCH(174,'List A'!$S$5:$S$204,0)+4,"")-4))</f>
        <v/>
      </c>
      <c r="C178" s="52">
        <f>IF(IFERROR(MATCH(174,'List A'!$S$5:$S$204,0)+4,"")="","",INDEX('List A'!$C$5:$C$204,IFERROR(MATCH(174,'List A'!$S$5:$S$204,0)+4,"")-4))</f>
        <v/>
      </c>
      <c r="D178" s="53">
        <f>IF(IFERROR(MATCH(174,'List A'!$S$5:$S$204,0)+4,"")="","",INDEX('List A'!$D$5:$D$204,IFERROR(MATCH(174,'List A'!$S$5:$S$204,0)+4,"")-4))</f>
        <v/>
      </c>
      <c r="E178" s="87">
        <f>IF(OR(IFERROR(MATCH(174,'List A'!$S$5:$S$204,0)+4,"")="",IF(IFERROR(MATCH(174,'List A'!$S$5:$S$204,0)+4,"")="","",INDEX('List A'!$K$5:$K$204,IFERROR(MATCH(174,'List A'!$S$5:$S$204,0)+4,"")-4))=""),"",INDEX('List B'!$A$5:$A$204,IF(IFERROR(MATCH(174,'List A'!$S$5:$S$204,0)+4,"")="","",INDEX('List A'!$K$5:$K$204,IFERROR(MATCH(174,'List A'!$S$5:$S$204,0)+4,"")-4))-4))</f>
        <v/>
      </c>
      <c r="F178" s="53">
        <f>IF(OR(IFERROR(MATCH(174,'List A'!$S$5:$S$204,0)+4,"")="",IF(IFERROR(MATCH(174,'List A'!$S$5:$S$204,0)+4,"")="","",INDEX('List A'!$K$5:$K$204,IFERROR(MATCH(174,'List A'!$S$5:$S$204,0)+4,"")-4))=""),"",INDEX('List B'!$B$5:$B$204,IF(IFERROR(MATCH(174,'List A'!$S$5:$S$204,0)+4,"")="","",INDEX('List A'!$K$5:$K$204,IFERROR(MATCH(174,'List A'!$S$5:$S$204,0)+4,"")-4))-4))</f>
        <v/>
      </c>
      <c r="G178" s="52">
        <f>IF(OR(IFERROR(MATCH(174,'List A'!$S$5:$S$204,0)+4,"")="",IF(IFERROR(MATCH(174,'List A'!$S$5:$S$204,0)+4,"")="","",INDEX('List A'!$K$5:$K$204,IFERROR(MATCH(174,'List A'!$S$5:$S$204,0)+4,"")-4))=""),"",INDEX('List B'!$C$5:$C$204,IF(IFERROR(MATCH(174,'List A'!$S$5:$S$204,0)+4,"")="","",INDEX('List A'!$K$5:$K$204,IFERROR(MATCH(174,'List A'!$S$5:$S$204,0)+4,"")-4))-4))</f>
        <v/>
      </c>
      <c r="H178" s="53">
        <f>IF(OR(IFERROR(MATCH(174,'List A'!$S$5:$S$204,0)+4,"")="",IF(IFERROR(MATCH(174,'List A'!$S$5:$S$204,0)+4,"")="","",INDEX('List A'!$K$5:$K$204,IFERROR(MATCH(174,'List A'!$S$5:$S$204,0)+4,"")-4))=""),"",INDEX('List B'!$D$5:$D$204,IF(IFERROR(MATCH(174,'List A'!$S$5:$S$204,0)+4,"")="","",INDEX('List A'!$K$5:$K$204,IFERROR(MATCH(174,'List A'!$S$5:$S$204,0)+4,"")-4))-4))</f>
        <v/>
      </c>
      <c r="I178" s="52">
        <f>IF(IFERROR(MATCH(174,'List A'!$S$5:$S$204,0)+4,"")="","",INDEX('List A'!$N$5:$N$204,IFERROR(MATCH(174,'List A'!$S$5:$S$204,0)+4,"")-4))</f>
        <v/>
      </c>
      <c r="J178" s="53">
        <f>IF(IFERROR(MATCH(174,'List A'!$S$5:$S$204,0)+4,"")="","",INDEX('List A'!$O$5:$O$204,IFERROR(MATCH(174,'List A'!$S$5:$S$204,0)+4,"")-4))</f>
        <v/>
      </c>
    </row>
    <row r="179" ht="17" customHeight="1">
      <c r="A179" s="87">
        <f>IF(IFERROR(MATCH(175,'List A'!$S$5:$S$204,0)+4,"")="","",INDEX('List A'!$A$5:$A$204,IFERROR(MATCH(175,'List A'!$S$5:$S$204,0)+4,"")-4))</f>
        <v/>
      </c>
      <c r="B179" s="53">
        <f>IF(IFERROR(MATCH(175,'List A'!$S$5:$S$204,0)+4,"")="","",INDEX('List A'!$B$5:$B$204,IFERROR(MATCH(175,'List A'!$S$5:$S$204,0)+4,"")-4))</f>
        <v/>
      </c>
      <c r="C179" s="52">
        <f>IF(IFERROR(MATCH(175,'List A'!$S$5:$S$204,0)+4,"")="","",INDEX('List A'!$C$5:$C$204,IFERROR(MATCH(175,'List A'!$S$5:$S$204,0)+4,"")-4))</f>
        <v/>
      </c>
      <c r="D179" s="53">
        <f>IF(IFERROR(MATCH(175,'List A'!$S$5:$S$204,0)+4,"")="","",INDEX('List A'!$D$5:$D$204,IFERROR(MATCH(175,'List A'!$S$5:$S$204,0)+4,"")-4))</f>
        <v/>
      </c>
      <c r="E179" s="87">
        <f>IF(OR(IFERROR(MATCH(175,'List A'!$S$5:$S$204,0)+4,"")="",IF(IFERROR(MATCH(175,'List A'!$S$5:$S$204,0)+4,"")="","",INDEX('List A'!$K$5:$K$204,IFERROR(MATCH(175,'List A'!$S$5:$S$204,0)+4,"")-4))=""),"",INDEX('List B'!$A$5:$A$204,IF(IFERROR(MATCH(175,'List A'!$S$5:$S$204,0)+4,"")="","",INDEX('List A'!$K$5:$K$204,IFERROR(MATCH(175,'List A'!$S$5:$S$204,0)+4,"")-4))-4))</f>
        <v/>
      </c>
      <c r="F179" s="53">
        <f>IF(OR(IFERROR(MATCH(175,'List A'!$S$5:$S$204,0)+4,"")="",IF(IFERROR(MATCH(175,'List A'!$S$5:$S$204,0)+4,"")="","",INDEX('List A'!$K$5:$K$204,IFERROR(MATCH(175,'List A'!$S$5:$S$204,0)+4,"")-4))=""),"",INDEX('List B'!$B$5:$B$204,IF(IFERROR(MATCH(175,'List A'!$S$5:$S$204,0)+4,"")="","",INDEX('List A'!$K$5:$K$204,IFERROR(MATCH(175,'List A'!$S$5:$S$204,0)+4,"")-4))-4))</f>
        <v/>
      </c>
      <c r="G179" s="52">
        <f>IF(OR(IFERROR(MATCH(175,'List A'!$S$5:$S$204,0)+4,"")="",IF(IFERROR(MATCH(175,'List A'!$S$5:$S$204,0)+4,"")="","",INDEX('List A'!$K$5:$K$204,IFERROR(MATCH(175,'List A'!$S$5:$S$204,0)+4,"")-4))=""),"",INDEX('List B'!$C$5:$C$204,IF(IFERROR(MATCH(175,'List A'!$S$5:$S$204,0)+4,"")="","",INDEX('List A'!$K$5:$K$204,IFERROR(MATCH(175,'List A'!$S$5:$S$204,0)+4,"")-4))-4))</f>
        <v/>
      </c>
      <c r="H179" s="53">
        <f>IF(OR(IFERROR(MATCH(175,'List A'!$S$5:$S$204,0)+4,"")="",IF(IFERROR(MATCH(175,'List A'!$S$5:$S$204,0)+4,"")="","",INDEX('List A'!$K$5:$K$204,IFERROR(MATCH(175,'List A'!$S$5:$S$204,0)+4,"")-4))=""),"",INDEX('List B'!$D$5:$D$204,IF(IFERROR(MATCH(175,'List A'!$S$5:$S$204,0)+4,"")="","",INDEX('List A'!$K$5:$K$204,IFERROR(MATCH(175,'List A'!$S$5:$S$204,0)+4,"")-4))-4))</f>
        <v/>
      </c>
      <c r="I179" s="52">
        <f>IF(IFERROR(MATCH(175,'List A'!$S$5:$S$204,0)+4,"")="","",INDEX('List A'!$N$5:$N$204,IFERROR(MATCH(175,'List A'!$S$5:$S$204,0)+4,"")-4))</f>
        <v/>
      </c>
      <c r="J179" s="53">
        <f>IF(IFERROR(MATCH(175,'List A'!$S$5:$S$204,0)+4,"")="","",INDEX('List A'!$O$5:$O$204,IFERROR(MATCH(175,'List A'!$S$5:$S$204,0)+4,"")-4))</f>
        <v/>
      </c>
    </row>
    <row r="180" ht="17" customHeight="1">
      <c r="A180" s="87">
        <f>IF(IFERROR(MATCH(176,'List A'!$S$5:$S$204,0)+4,"")="","",INDEX('List A'!$A$5:$A$204,IFERROR(MATCH(176,'List A'!$S$5:$S$204,0)+4,"")-4))</f>
        <v/>
      </c>
      <c r="B180" s="53">
        <f>IF(IFERROR(MATCH(176,'List A'!$S$5:$S$204,0)+4,"")="","",INDEX('List A'!$B$5:$B$204,IFERROR(MATCH(176,'List A'!$S$5:$S$204,0)+4,"")-4))</f>
        <v/>
      </c>
      <c r="C180" s="52">
        <f>IF(IFERROR(MATCH(176,'List A'!$S$5:$S$204,0)+4,"")="","",INDEX('List A'!$C$5:$C$204,IFERROR(MATCH(176,'List A'!$S$5:$S$204,0)+4,"")-4))</f>
        <v/>
      </c>
      <c r="D180" s="53">
        <f>IF(IFERROR(MATCH(176,'List A'!$S$5:$S$204,0)+4,"")="","",INDEX('List A'!$D$5:$D$204,IFERROR(MATCH(176,'List A'!$S$5:$S$204,0)+4,"")-4))</f>
        <v/>
      </c>
      <c r="E180" s="87">
        <f>IF(OR(IFERROR(MATCH(176,'List A'!$S$5:$S$204,0)+4,"")="",IF(IFERROR(MATCH(176,'List A'!$S$5:$S$204,0)+4,"")="","",INDEX('List A'!$K$5:$K$204,IFERROR(MATCH(176,'List A'!$S$5:$S$204,0)+4,"")-4))=""),"",INDEX('List B'!$A$5:$A$204,IF(IFERROR(MATCH(176,'List A'!$S$5:$S$204,0)+4,"")="","",INDEX('List A'!$K$5:$K$204,IFERROR(MATCH(176,'List A'!$S$5:$S$204,0)+4,"")-4))-4))</f>
        <v/>
      </c>
      <c r="F180" s="53">
        <f>IF(OR(IFERROR(MATCH(176,'List A'!$S$5:$S$204,0)+4,"")="",IF(IFERROR(MATCH(176,'List A'!$S$5:$S$204,0)+4,"")="","",INDEX('List A'!$K$5:$K$204,IFERROR(MATCH(176,'List A'!$S$5:$S$204,0)+4,"")-4))=""),"",INDEX('List B'!$B$5:$B$204,IF(IFERROR(MATCH(176,'List A'!$S$5:$S$204,0)+4,"")="","",INDEX('List A'!$K$5:$K$204,IFERROR(MATCH(176,'List A'!$S$5:$S$204,0)+4,"")-4))-4))</f>
        <v/>
      </c>
      <c r="G180" s="52">
        <f>IF(OR(IFERROR(MATCH(176,'List A'!$S$5:$S$204,0)+4,"")="",IF(IFERROR(MATCH(176,'List A'!$S$5:$S$204,0)+4,"")="","",INDEX('List A'!$K$5:$K$204,IFERROR(MATCH(176,'List A'!$S$5:$S$204,0)+4,"")-4))=""),"",INDEX('List B'!$C$5:$C$204,IF(IFERROR(MATCH(176,'List A'!$S$5:$S$204,0)+4,"")="","",INDEX('List A'!$K$5:$K$204,IFERROR(MATCH(176,'List A'!$S$5:$S$204,0)+4,"")-4))-4))</f>
        <v/>
      </c>
      <c r="H180" s="53">
        <f>IF(OR(IFERROR(MATCH(176,'List A'!$S$5:$S$204,0)+4,"")="",IF(IFERROR(MATCH(176,'List A'!$S$5:$S$204,0)+4,"")="","",INDEX('List A'!$K$5:$K$204,IFERROR(MATCH(176,'List A'!$S$5:$S$204,0)+4,"")-4))=""),"",INDEX('List B'!$D$5:$D$204,IF(IFERROR(MATCH(176,'List A'!$S$5:$S$204,0)+4,"")="","",INDEX('List A'!$K$5:$K$204,IFERROR(MATCH(176,'List A'!$S$5:$S$204,0)+4,"")-4))-4))</f>
        <v/>
      </c>
      <c r="I180" s="52">
        <f>IF(IFERROR(MATCH(176,'List A'!$S$5:$S$204,0)+4,"")="","",INDEX('List A'!$N$5:$N$204,IFERROR(MATCH(176,'List A'!$S$5:$S$204,0)+4,"")-4))</f>
        <v/>
      </c>
      <c r="J180" s="53">
        <f>IF(IFERROR(MATCH(176,'List A'!$S$5:$S$204,0)+4,"")="","",INDEX('List A'!$O$5:$O$204,IFERROR(MATCH(176,'List A'!$S$5:$S$204,0)+4,"")-4))</f>
        <v/>
      </c>
    </row>
    <row r="181" ht="17" customHeight="1">
      <c r="A181" s="87">
        <f>IF(IFERROR(MATCH(177,'List A'!$S$5:$S$204,0)+4,"")="","",INDEX('List A'!$A$5:$A$204,IFERROR(MATCH(177,'List A'!$S$5:$S$204,0)+4,"")-4))</f>
        <v/>
      </c>
      <c r="B181" s="53">
        <f>IF(IFERROR(MATCH(177,'List A'!$S$5:$S$204,0)+4,"")="","",INDEX('List A'!$B$5:$B$204,IFERROR(MATCH(177,'List A'!$S$5:$S$204,0)+4,"")-4))</f>
        <v/>
      </c>
      <c r="C181" s="52">
        <f>IF(IFERROR(MATCH(177,'List A'!$S$5:$S$204,0)+4,"")="","",INDEX('List A'!$C$5:$C$204,IFERROR(MATCH(177,'List A'!$S$5:$S$204,0)+4,"")-4))</f>
        <v/>
      </c>
      <c r="D181" s="53">
        <f>IF(IFERROR(MATCH(177,'List A'!$S$5:$S$204,0)+4,"")="","",INDEX('List A'!$D$5:$D$204,IFERROR(MATCH(177,'List A'!$S$5:$S$204,0)+4,"")-4))</f>
        <v/>
      </c>
      <c r="E181" s="87">
        <f>IF(OR(IFERROR(MATCH(177,'List A'!$S$5:$S$204,0)+4,"")="",IF(IFERROR(MATCH(177,'List A'!$S$5:$S$204,0)+4,"")="","",INDEX('List A'!$K$5:$K$204,IFERROR(MATCH(177,'List A'!$S$5:$S$204,0)+4,"")-4))=""),"",INDEX('List B'!$A$5:$A$204,IF(IFERROR(MATCH(177,'List A'!$S$5:$S$204,0)+4,"")="","",INDEX('List A'!$K$5:$K$204,IFERROR(MATCH(177,'List A'!$S$5:$S$204,0)+4,"")-4))-4))</f>
        <v/>
      </c>
      <c r="F181" s="53">
        <f>IF(OR(IFERROR(MATCH(177,'List A'!$S$5:$S$204,0)+4,"")="",IF(IFERROR(MATCH(177,'List A'!$S$5:$S$204,0)+4,"")="","",INDEX('List A'!$K$5:$K$204,IFERROR(MATCH(177,'List A'!$S$5:$S$204,0)+4,"")-4))=""),"",INDEX('List B'!$B$5:$B$204,IF(IFERROR(MATCH(177,'List A'!$S$5:$S$204,0)+4,"")="","",INDEX('List A'!$K$5:$K$204,IFERROR(MATCH(177,'List A'!$S$5:$S$204,0)+4,"")-4))-4))</f>
        <v/>
      </c>
      <c r="G181" s="52">
        <f>IF(OR(IFERROR(MATCH(177,'List A'!$S$5:$S$204,0)+4,"")="",IF(IFERROR(MATCH(177,'List A'!$S$5:$S$204,0)+4,"")="","",INDEX('List A'!$K$5:$K$204,IFERROR(MATCH(177,'List A'!$S$5:$S$204,0)+4,"")-4))=""),"",INDEX('List B'!$C$5:$C$204,IF(IFERROR(MATCH(177,'List A'!$S$5:$S$204,0)+4,"")="","",INDEX('List A'!$K$5:$K$204,IFERROR(MATCH(177,'List A'!$S$5:$S$204,0)+4,"")-4))-4))</f>
        <v/>
      </c>
      <c r="H181" s="53">
        <f>IF(OR(IFERROR(MATCH(177,'List A'!$S$5:$S$204,0)+4,"")="",IF(IFERROR(MATCH(177,'List A'!$S$5:$S$204,0)+4,"")="","",INDEX('List A'!$K$5:$K$204,IFERROR(MATCH(177,'List A'!$S$5:$S$204,0)+4,"")-4))=""),"",INDEX('List B'!$D$5:$D$204,IF(IFERROR(MATCH(177,'List A'!$S$5:$S$204,0)+4,"")="","",INDEX('List A'!$K$5:$K$204,IFERROR(MATCH(177,'List A'!$S$5:$S$204,0)+4,"")-4))-4))</f>
        <v/>
      </c>
      <c r="I181" s="52">
        <f>IF(IFERROR(MATCH(177,'List A'!$S$5:$S$204,0)+4,"")="","",INDEX('List A'!$N$5:$N$204,IFERROR(MATCH(177,'List A'!$S$5:$S$204,0)+4,"")-4))</f>
        <v/>
      </c>
      <c r="J181" s="53">
        <f>IF(IFERROR(MATCH(177,'List A'!$S$5:$S$204,0)+4,"")="","",INDEX('List A'!$O$5:$O$204,IFERROR(MATCH(177,'List A'!$S$5:$S$204,0)+4,"")-4))</f>
        <v/>
      </c>
    </row>
    <row r="182" ht="17" customHeight="1">
      <c r="A182" s="87">
        <f>IF(IFERROR(MATCH(178,'List A'!$S$5:$S$204,0)+4,"")="","",INDEX('List A'!$A$5:$A$204,IFERROR(MATCH(178,'List A'!$S$5:$S$204,0)+4,"")-4))</f>
        <v/>
      </c>
      <c r="B182" s="53">
        <f>IF(IFERROR(MATCH(178,'List A'!$S$5:$S$204,0)+4,"")="","",INDEX('List A'!$B$5:$B$204,IFERROR(MATCH(178,'List A'!$S$5:$S$204,0)+4,"")-4))</f>
        <v/>
      </c>
      <c r="C182" s="52">
        <f>IF(IFERROR(MATCH(178,'List A'!$S$5:$S$204,0)+4,"")="","",INDEX('List A'!$C$5:$C$204,IFERROR(MATCH(178,'List A'!$S$5:$S$204,0)+4,"")-4))</f>
        <v/>
      </c>
      <c r="D182" s="53">
        <f>IF(IFERROR(MATCH(178,'List A'!$S$5:$S$204,0)+4,"")="","",INDEX('List A'!$D$5:$D$204,IFERROR(MATCH(178,'List A'!$S$5:$S$204,0)+4,"")-4))</f>
        <v/>
      </c>
      <c r="E182" s="87">
        <f>IF(OR(IFERROR(MATCH(178,'List A'!$S$5:$S$204,0)+4,"")="",IF(IFERROR(MATCH(178,'List A'!$S$5:$S$204,0)+4,"")="","",INDEX('List A'!$K$5:$K$204,IFERROR(MATCH(178,'List A'!$S$5:$S$204,0)+4,"")-4))=""),"",INDEX('List B'!$A$5:$A$204,IF(IFERROR(MATCH(178,'List A'!$S$5:$S$204,0)+4,"")="","",INDEX('List A'!$K$5:$K$204,IFERROR(MATCH(178,'List A'!$S$5:$S$204,0)+4,"")-4))-4))</f>
        <v/>
      </c>
      <c r="F182" s="53">
        <f>IF(OR(IFERROR(MATCH(178,'List A'!$S$5:$S$204,0)+4,"")="",IF(IFERROR(MATCH(178,'List A'!$S$5:$S$204,0)+4,"")="","",INDEX('List A'!$K$5:$K$204,IFERROR(MATCH(178,'List A'!$S$5:$S$204,0)+4,"")-4))=""),"",INDEX('List B'!$B$5:$B$204,IF(IFERROR(MATCH(178,'List A'!$S$5:$S$204,0)+4,"")="","",INDEX('List A'!$K$5:$K$204,IFERROR(MATCH(178,'List A'!$S$5:$S$204,0)+4,"")-4))-4))</f>
        <v/>
      </c>
      <c r="G182" s="52">
        <f>IF(OR(IFERROR(MATCH(178,'List A'!$S$5:$S$204,0)+4,"")="",IF(IFERROR(MATCH(178,'List A'!$S$5:$S$204,0)+4,"")="","",INDEX('List A'!$K$5:$K$204,IFERROR(MATCH(178,'List A'!$S$5:$S$204,0)+4,"")-4))=""),"",INDEX('List B'!$C$5:$C$204,IF(IFERROR(MATCH(178,'List A'!$S$5:$S$204,0)+4,"")="","",INDEX('List A'!$K$5:$K$204,IFERROR(MATCH(178,'List A'!$S$5:$S$204,0)+4,"")-4))-4))</f>
        <v/>
      </c>
      <c r="H182" s="53">
        <f>IF(OR(IFERROR(MATCH(178,'List A'!$S$5:$S$204,0)+4,"")="",IF(IFERROR(MATCH(178,'List A'!$S$5:$S$204,0)+4,"")="","",INDEX('List A'!$K$5:$K$204,IFERROR(MATCH(178,'List A'!$S$5:$S$204,0)+4,"")-4))=""),"",INDEX('List B'!$D$5:$D$204,IF(IFERROR(MATCH(178,'List A'!$S$5:$S$204,0)+4,"")="","",INDEX('List A'!$K$5:$K$204,IFERROR(MATCH(178,'List A'!$S$5:$S$204,0)+4,"")-4))-4))</f>
        <v/>
      </c>
      <c r="I182" s="52">
        <f>IF(IFERROR(MATCH(178,'List A'!$S$5:$S$204,0)+4,"")="","",INDEX('List A'!$N$5:$N$204,IFERROR(MATCH(178,'List A'!$S$5:$S$204,0)+4,"")-4))</f>
        <v/>
      </c>
      <c r="J182" s="53">
        <f>IF(IFERROR(MATCH(178,'List A'!$S$5:$S$204,0)+4,"")="","",INDEX('List A'!$O$5:$O$204,IFERROR(MATCH(178,'List A'!$S$5:$S$204,0)+4,"")-4))</f>
        <v/>
      </c>
    </row>
    <row r="183" ht="17" customHeight="1">
      <c r="A183" s="87">
        <f>IF(IFERROR(MATCH(179,'List A'!$S$5:$S$204,0)+4,"")="","",INDEX('List A'!$A$5:$A$204,IFERROR(MATCH(179,'List A'!$S$5:$S$204,0)+4,"")-4))</f>
        <v/>
      </c>
      <c r="B183" s="53">
        <f>IF(IFERROR(MATCH(179,'List A'!$S$5:$S$204,0)+4,"")="","",INDEX('List A'!$B$5:$B$204,IFERROR(MATCH(179,'List A'!$S$5:$S$204,0)+4,"")-4))</f>
        <v/>
      </c>
      <c r="C183" s="52">
        <f>IF(IFERROR(MATCH(179,'List A'!$S$5:$S$204,0)+4,"")="","",INDEX('List A'!$C$5:$C$204,IFERROR(MATCH(179,'List A'!$S$5:$S$204,0)+4,"")-4))</f>
        <v/>
      </c>
      <c r="D183" s="53">
        <f>IF(IFERROR(MATCH(179,'List A'!$S$5:$S$204,0)+4,"")="","",INDEX('List A'!$D$5:$D$204,IFERROR(MATCH(179,'List A'!$S$5:$S$204,0)+4,"")-4))</f>
        <v/>
      </c>
      <c r="E183" s="87">
        <f>IF(OR(IFERROR(MATCH(179,'List A'!$S$5:$S$204,0)+4,"")="",IF(IFERROR(MATCH(179,'List A'!$S$5:$S$204,0)+4,"")="","",INDEX('List A'!$K$5:$K$204,IFERROR(MATCH(179,'List A'!$S$5:$S$204,0)+4,"")-4))=""),"",INDEX('List B'!$A$5:$A$204,IF(IFERROR(MATCH(179,'List A'!$S$5:$S$204,0)+4,"")="","",INDEX('List A'!$K$5:$K$204,IFERROR(MATCH(179,'List A'!$S$5:$S$204,0)+4,"")-4))-4))</f>
        <v/>
      </c>
      <c r="F183" s="53">
        <f>IF(OR(IFERROR(MATCH(179,'List A'!$S$5:$S$204,0)+4,"")="",IF(IFERROR(MATCH(179,'List A'!$S$5:$S$204,0)+4,"")="","",INDEX('List A'!$K$5:$K$204,IFERROR(MATCH(179,'List A'!$S$5:$S$204,0)+4,"")-4))=""),"",INDEX('List B'!$B$5:$B$204,IF(IFERROR(MATCH(179,'List A'!$S$5:$S$204,0)+4,"")="","",INDEX('List A'!$K$5:$K$204,IFERROR(MATCH(179,'List A'!$S$5:$S$204,0)+4,"")-4))-4))</f>
        <v/>
      </c>
      <c r="G183" s="52">
        <f>IF(OR(IFERROR(MATCH(179,'List A'!$S$5:$S$204,0)+4,"")="",IF(IFERROR(MATCH(179,'List A'!$S$5:$S$204,0)+4,"")="","",INDEX('List A'!$K$5:$K$204,IFERROR(MATCH(179,'List A'!$S$5:$S$204,0)+4,"")-4))=""),"",INDEX('List B'!$C$5:$C$204,IF(IFERROR(MATCH(179,'List A'!$S$5:$S$204,0)+4,"")="","",INDEX('List A'!$K$5:$K$204,IFERROR(MATCH(179,'List A'!$S$5:$S$204,0)+4,"")-4))-4))</f>
        <v/>
      </c>
      <c r="H183" s="53">
        <f>IF(OR(IFERROR(MATCH(179,'List A'!$S$5:$S$204,0)+4,"")="",IF(IFERROR(MATCH(179,'List A'!$S$5:$S$204,0)+4,"")="","",INDEX('List A'!$K$5:$K$204,IFERROR(MATCH(179,'List A'!$S$5:$S$204,0)+4,"")-4))=""),"",INDEX('List B'!$D$5:$D$204,IF(IFERROR(MATCH(179,'List A'!$S$5:$S$204,0)+4,"")="","",INDEX('List A'!$K$5:$K$204,IFERROR(MATCH(179,'List A'!$S$5:$S$204,0)+4,"")-4))-4))</f>
        <v/>
      </c>
      <c r="I183" s="52">
        <f>IF(IFERROR(MATCH(179,'List A'!$S$5:$S$204,0)+4,"")="","",INDEX('List A'!$N$5:$N$204,IFERROR(MATCH(179,'List A'!$S$5:$S$204,0)+4,"")-4))</f>
        <v/>
      </c>
      <c r="J183" s="53">
        <f>IF(IFERROR(MATCH(179,'List A'!$S$5:$S$204,0)+4,"")="","",INDEX('List A'!$O$5:$O$204,IFERROR(MATCH(179,'List A'!$S$5:$S$204,0)+4,"")-4))</f>
        <v/>
      </c>
    </row>
    <row r="184" ht="17" customHeight="1">
      <c r="A184" s="87">
        <f>IF(IFERROR(MATCH(180,'List A'!$S$5:$S$204,0)+4,"")="","",INDEX('List A'!$A$5:$A$204,IFERROR(MATCH(180,'List A'!$S$5:$S$204,0)+4,"")-4))</f>
        <v/>
      </c>
      <c r="B184" s="53">
        <f>IF(IFERROR(MATCH(180,'List A'!$S$5:$S$204,0)+4,"")="","",INDEX('List A'!$B$5:$B$204,IFERROR(MATCH(180,'List A'!$S$5:$S$204,0)+4,"")-4))</f>
        <v/>
      </c>
      <c r="C184" s="52">
        <f>IF(IFERROR(MATCH(180,'List A'!$S$5:$S$204,0)+4,"")="","",INDEX('List A'!$C$5:$C$204,IFERROR(MATCH(180,'List A'!$S$5:$S$204,0)+4,"")-4))</f>
        <v/>
      </c>
      <c r="D184" s="53">
        <f>IF(IFERROR(MATCH(180,'List A'!$S$5:$S$204,0)+4,"")="","",INDEX('List A'!$D$5:$D$204,IFERROR(MATCH(180,'List A'!$S$5:$S$204,0)+4,"")-4))</f>
        <v/>
      </c>
      <c r="E184" s="87">
        <f>IF(OR(IFERROR(MATCH(180,'List A'!$S$5:$S$204,0)+4,"")="",IF(IFERROR(MATCH(180,'List A'!$S$5:$S$204,0)+4,"")="","",INDEX('List A'!$K$5:$K$204,IFERROR(MATCH(180,'List A'!$S$5:$S$204,0)+4,"")-4))=""),"",INDEX('List B'!$A$5:$A$204,IF(IFERROR(MATCH(180,'List A'!$S$5:$S$204,0)+4,"")="","",INDEX('List A'!$K$5:$K$204,IFERROR(MATCH(180,'List A'!$S$5:$S$204,0)+4,"")-4))-4))</f>
        <v/>
      </c>
      <c r="F184" s="53">
        <f>IF(OR(IFERROR(MATCH(180,'List A'!$S$5:$S$204,0)+4,"")="",IF(IFERROR(MATCH(180,'List A'!$S$5:$S$204,0)+4,"")="","",INDEX('List A'!$K$5:$K$204,IFERROR(MATCH(180,'List A'!$S$5:$S$204,0)+4,"")-4))=""),"",INDEX('List B'!$B$5:$B$204,IF(IFERROR(MATCH(180,'List A'!$S$5:$S$204,0)+4,"")="","",INDEX('List A'!$K$5:$K$204,IFERROR(MATCH(180,'List A'!$S$5:$S$204,0)+4,"")-4))-4))</f>
        <v/>
      </c>
      <c r="G184" s="52">
        <f>IF(OR(IFERROR(MATCH(180,'List A'!$S$5:$S$204,0)+4,"")="",IF(IFERROR(MATCH(180,'List A'!$S$5:$S$204,0)+4,"")="","",INDEX('List A'!$K$5:$K$204,IFERROR(MATCH(180,'List A'!$S$5:$S$204,0)+4,"")-4))=""),"",INDEX('List B'!$C$5:$C$204,IF(IFERROR(MATCH(180,'List A'!$S$5:$S$204,0)+4,"")="","",INDEX('List A'!$K$5:$K$204,IFERROR(MATCH(180,'List A'!$S$5:$S$204,0)+4,"")-4))-4))</f>
        <v/>
      </c>
      <c r="H184" s="53">
        <f>IF(OR(IFERROR(MATCH(180,'List A'!$S$5:$S$204,0)+4,"")="",IF(IFERROR(MATCH(180,'List A'!$S$5:$S$204,0)+4,"")="","",INDEX('List A'!$K$5:$K$204,IFERROR(MATCH(180,'List A'!$S$5:$S$204,0)+4,"")-4))=""),"",INDEX('List B'!$D$5:$D$204,IF(IFERROR(MATCH(180,'List A'!$S$5:$S$204,0)+4,"")="","",INDEX('List A'!$K$5:$K$204,IFERROR(MATCH(180,'List A'!$S$5:$S$204,0)+4,"")-4))-4))</f>
        <v/>
      </c>
      <c r="I184" s="52">
        <f>IF(IFERROR(MATCH(180,'List A'!$S$5:$S$204,0)+4,"")="","",INDEX('List A'!$N$5:$N$204,IFERROR(MATCH(180,'List A'!$S$5:$S$204,0)+4,"")-4))</f>
        <v/>
      </c>
      <c r="J184" s="53">
        <f>IF(IFERROR(MATCH(180,'List A'!$S$5:$S$204,0)+4,"")="","",INDEX('List A'!$O$5:$O$204,IFERROR(MATCH(180,'List A'!$S$5:$S$204,0)+4,"")-4))</f>
        <v/>
      </c>
    </row>
    <row r="185" ht="17" customHeight="1">
      <c r="A185" s="87">
        <f>IF(IFERROR(MATCH(181,'List A'!$S$5:$S$204,0)+4,"")="","",INDEX('List A'!$A$5:$A$204,IFERROR(MATCH(181,'List A'!$S$5:$S$204,0)+4,"")-4))</f>
        <v/>
      </c>
      <c r="B185" s="53">
        <f>IF(IFERROR(MATCH(181,'List A'!$S$5:$S$204,0)+4,"")="","",INDEX('List A'!$B$5:$B$204,IFERROR(MATCH(181,'List A'!$S$5:$S$204,0)+4,"")-4))</f>
        <v/>
      </c>
      <c r="C185" s="52">
        <f>IF(IFERROR(MATCH(181,'List A'!$S$5:$S$204,0)+4,"")="","",INDEX('List A'!$C$5:$C$204,IFERROR(MATCH(181,'List A'!$S$5:$S$204,0)+4,"")-4))</f>
        <v/>
      </c>
      <c r="D185" s="53">
        <f>IF(IFERROR(MATCH(181,'List A'!$S$5:$S$204,0)+4,"")="","",INDEX('List A'!$D$5:$D$204,IFERROR(MATCH(181,'List A'!$S$5:$S$204,0)+4,"")-4))</f>
        <v/>
      </c>
      <c r="E185" s="87">
        <f>IF(OR(IFERROR(MATCH(181,'List A'!$S$5:$S$204,0)+4,"")="",IF(IFERROR(MATCH(181,'List A'!$S$5:$S$204,0)+4,"")="","",INDEX('List A'!$K$5:$K$204,IFERROR(MATCH(181,'List A'!$S$5:$S$204,0)+4,"")-4))=""),"",INDEX('List B'!$A$5:$A$204,IF(IFERROR(MATCH(181,'List A'!$S$5:$S$204,0)+4,"")="","",INDEX('List A'!$K$5:$K$204,IFERROR(MATCH(181,'List A'!$S$5:$S$204,0)+4,"")-4))-4))</f>
        <v/>
      </c>
      <c r="F185" s="53">
        <f>IF(OR(IFERROR(MATCH(181,'List A'!$S$5:$S$204,0)+4,"")="",IF(IFERROR(MATCH(181,'List A'!$S$5:$S$204,0)+4,"")="","",INDEX('List A'!$K$5:$K$204,IFERROR(MATCH(181,'List A'!$S$5:$S$204,0)+4,"")-4))=""),"",INDEX('List B'!$B$5:$B$204,IF(IFERROR(MATCH(181,'List A'!$S$5:$S$204,0)+4,"")="","",INDEX('List A'!$K$5:$K$204,IFERROR(MATCH(181,'List A'!$S$5:$S$204,0)+4,"")-4))-4))</f>
        <v/>
      </c>
      <c r="G185" s="52">
        <f>IF(OR(IFERROR(MATCH(181,'List A'!$S$5:$S$204,0)+4,"")="",IF(IFERROR(MATCH(181,'List A'!$S$5:$S$204,0)+4,"")="","",INDEX('List A'!$K$5:$K$204,IFERROR(MATCH(181,'List A'!$S$5:$S$204,0)+4,"")-4))=""),"",INDEX('List B'!$C$5:$C$204,IF(IFERROR(MATCH(181,'List A'!$S$5:$S$204,0)+4,"")="","",INDEX('List A'!$K$5:$K$204,IFERROR(MATCH(181,'List A'!$S$5:$S$204,0)+4,"")-4))-4))</f>
        <v/>
      </c>
      <c r="H185" s="53">
        <f>IF(OR(IFERROR(MATCH(181,'List A'!$S$5:$S$204,0)+4,"")="",IF(IFERROR(MATCH(181,'List A'!$S$5:$S$204,0)+4,"")="","",INDEX('List A'!$K$5:$K$204,IFERROR(MATCH(181,'List A'!$S$5:$S$204,0)+4,"")-4))=""),"",INDEX('List B'!$D$5:$D$204,IF(IFERROR(MATCH(181,'List A'!$S$5:$S$204,0)+4,"")="","",INDEX('List A'!$K$5:$K$204,IFERROR(MATCH(181,'List A'!$S$5:$S$204,0)+4,"")-4))-4))</f>
        <v/>
      </c>
      <c r="I185" s="52">
        <f>IF(IFERROR(MATCH(181,'List A'!$S$5:$S$204,0)+4,"")="","",INDEX('List A'!$N$5:$N$204,IFERROR(MATCH(181,'List A'!$S$5:$S$204,0)+4,"")-4))</f>
        <v/>
      </c>
      <c r="J185" s="53">
        <f>IF(IFERROR(MATCH(181,'List A'!$S$5:$S$204,0)+4,"")="","",INDEX('List A'!$O$5:$O$204,IFERROR(MATCH(181,'List A'!$S$5:$S$204,0)+4,"")-4))</f>
        <v/>
      </c>
    </row>
    <row r="186" ht="17" customHeight="1">
      <c r="A186" s="87">
        <f>IF(IFERROR(MATCH(182,'List A'!$S$5:$S$204,0)+4,"")="","",INDEX('List A'!$A$5:$A$204,IFERROR(MATCH(182,'List A'!$S$5:$S$204,0)+4,"")-4))</f>
        <v/>
      </c>
      <c r="B186" s="53">
        <f>IF(IFERROR(MATCH(182,'List A'!$S$5:$S$204,0)+4,"")="","",INDEX('List A'!$B$5:$B$204,IFERROR(MATCH(182,'List A'!$S$5:$S$204,0)+4,"")-4))</f>
        <v/>
      </c>
      <c r="C186" s="52">
        <f>IF(IFERROR(MATCH(182,'List A'!$S$5:$S$204,0)+4,"")="","",INDEX('List A'!$C$5:$C$204,IFERROR(MATCH(182,'List A'!$S$5:$S$204,0)+4,"")-4))</f>
        <v/>
      </c>
      <c r="D186" s="53">
        <f>IF(IFERROR(MATCH(182,'List A'!$S$5:$S$204,0)+4,"")="","",INDEX('List A'!$D$5:$D$204,IFERROR(MATCH(182,'List A'!$S$5:$S$204,0)+4,"")-4))</f>
        <v/>
      </c>
      <c r="E186" s="87">
        <f>IF(OR(IFERROR(MATCH(182,'List A'!$S$5:$S$204,0)+4,"")="",IF(IFERROR(MATCH(182,'List A'!$S$5:$S$204,0)+4,"")="","",INDEX('List A'!$K$5:$K$204,IFERROR(MATCH(182,'List A'!$S$5:$S$204,0)+4,"")-4))=""),"",INDEX('List B'!$A$5:$A$204,IF(IFERROR(MATCH(182,'List A'!$S$5:$S$204,0)+4,"")="","",INDEX('List A'!$K$5:$K$204,IFERROR(MATCH(182,'List A'!$S$5:$S$204,0)+4,"")-4))-4))</f>
        <v/>
      </c>
      <c r="F186" s="53">
        <f>IF(OR(IFERROR(MATCH(182,'List A'!$S$5:$S$204,0)+4,"")="",IF(IFERROR(MATCH(182,'List A'!$S$5:$S$204,0)+4,"")="","",INDEX('List A'!$K$5:$K$204,IFERROR(MATCH(182,'List A'!$S$5:$S$204,0)+4,"")-4))=""),"",INDEX('List B'!$B$5:$B$204,IF(IFERROR(MATCH(182,'List A'!$S$5:$S$204,0)+4,"")="","",INDEX('List A'!$K$5:$K$204,IFERROR(MATCH(182,'List A'!$S$5:$S$204,0)+4,"")-4))-4))</f>
        <v/>
      </c>
      <c r="G186" s="52">
        <f>IF(OR(IFERROR(MATCH(182,'List A'!$S$5:$S$204,0)+4,"")="",IF(IFERROR(MATCH(182,'List A'!$S$5:$S$204,0)+4,"")="","",INDEX('List A'!$K$5:$K$204,IFERROR(MATCH(182,'List A'!$S$5:$S$204,0)+4,"")-4))=""),"",INDEX('List B'!$C$5:$C$204,IF(IFERROR(MATCH(182,'List A'!$S$5:$S$204,0)+4,"")="","",INDEX('List A'!$K$5:$K$204,IFERROR(MATCH(182,'List A'!$S$5:$S$204,0)+4,"")-4))-4))</f>
        <v/>
      </c>
      <c r="H186" s="53">
        <f>IF(OR(IFERROR(MATCH(182,'List A'!$S$5:$S$204,0)+4,"")="",IF(IFERROR(MATCH(182,'List A'!$S$5:$S$204,0)+4,"")="","",INDEX('List A'!$K$5:$K$204,IFERROR(MATCH(182,'List A'!$S$5:$S$204,0)+4,"")-4))=""),"",INDEX('List B'!$D$5:$D$204,IF(IFERROR(MATCH(182,'List A'!$S$5:$S$204,0)+4,"")="","",INDEX('List A'!$K$5:$K$204,IFERROR(MATCH(182,'List A'!$S$5:$S$204,0)+4,"")-4))-4))</f>
        <v/>
      </c>
      <c r="I186" s="52">
        <f>IF(IFERROR(MATCH(182,'List A'!$S$5:$S$204,0)+4,"")="","",INDEX('List A'!$N$5:$N$204,IFERROR(MATCH(182,'List A'!$S$5:$S$204,0)+4,"")-4))</f>
        <v/>
      </c>
      <c r="J186" s="53">
        <f>IF(IFERROR(MATCH(182,'List A'!$S$5:$S$204,0)+4,"")="","",INDEX('List A'!$O$5:$O$204,IFERROR(MATCH(182,'List A'!$S$5:$S$204,0)+4,"")-4))</f>
        <v/>
      </c>
    </row>
    <row r="187" ht="17" customHeight="1">
      <c r="A187" s="87">
        <f>IF(IFERROR(MATCH(183,'List A'!$S$5:$S$204,0)+4,"")="","",INDEX('List A'!$A$5:$A$204,IFERROR(MATCH(183,'List A'!$S$5:$S$204,0)+4,"")-4))</f>
        <v/>
      </c>
      <c r="B187" s="53">
        <f>IF(IFERROR(MATCH(183,'List A'!$S$5:$S$204,0)+4,"")="","",INDEX('List A'!$B$5:$B$204,IFERROR(MATCH(183,'List A'!$S$5:$S$204,0)+4,"")-4))</f>
        <v/>
      </c>
      <c r="C187" s="52">
        <f>IF(IFERROR(MATCH(183,'List A'!$S$5:$S$204,0)+4,"")="","",INDEX('List A'!$C$5:$C$204,IFERROR(MATCH(183,'List A'!$S$5:$S$204,0)+4,"")-4))</f>
        <v/>
      </c>
      <c r="D187" s="53">
        <f>IF(IFERROR(MATCH(183,'List A'!$S$5:$S$204,0)+4,"")="","",INDEX('List A'!$D$5:$D$204,IFERROR(MATCH(183,'List A'!$S$5:$S$204,0)+4,"")-4))</f>
        <v/>
      </c>
      <c r="E187" s="87">
        <f>IF(OR(IFERROR(MATCH(183,'List A'!$S$5:$S$204,0)+4,"")="",IF(IFERROR(MATCH(183,'List A'!$S$5:$S$204,0)+4,"")="","",INDEX('List A'!$K$5:$K$204,IFERROR(MATCH(183,'List A'!$S$5:$S$204,0)+4,"")-4))=""),"",INDEX('List B'!$A$5:$A$204,IF(IFERROR(MATCH(183,'List A'!$S$5:$S$204,0)+4,"")="","",INDEX('List A'!$K$5:$K$204,IFERROR(MATCH(183,'List A'!$S$5:$S$204,0)+4,"")-4))-4))</f>
        <v/>
      </c>
      <c r="F187" s="53">
        <f>IF(OR(IFERROR(MATCH(183,'List A'!$S$5:$S$204,0)+4,"")="",IF(IFERROR(MATCH(183,'List A'!$S$5:$S$204,0)+4,"")="","",INDEX('List A'!$K$5:$K$204,IFERROR(MATCH(183,'List A'!$S$5:$S$204,0)+4,"")-4))=""),"",INDEX('List B'!$B$5:$B$204,IF(IFERROR(MATCH(183,'List A'!$S$5:$S$204,0)+4,"")="","",INDEX('List A'!$K$5:$K$204,IFERROR(MATCH(183,'List A'!$S$5:$S$204,0)+4,"")-4))-4))</f>
        <v/>
      </c>
      <c r="G187" s="52">
        <f>IF(OR(IFERROR(MATCH(183,'List A'!$S$5:$S$204,0)+4,"")="",IF(IFERROR(MATCH(183,'List A'!$S$5:$S$204,0)+4,"")="","",INDEX('List A'!$K$5:$K$204,IFERROR(MATCH(183,'List A'!$S$5:$S$204,0)+4,"")-4))=""),"",INDEX('List B'!$C$5:$C$204,IF(IFERROR(MATCH(183,'List A'!$S$5:$S$204,0)+4,"")="","",INDEX('List A'!$K$5:$K$204,IFERROR(MATCH(183,'List A'!$S$5:$S$204,0)+4,"")-4))-4))</f>
        <v/>
      </c>
      <c r="H187" s="53">
        <f>IF(OR(IFERROR(MATCH(183,'List A'!$S$5:$S$204,0)+4,"")="",IF(IFERROR(MATCH(183,'List A'!$S$5:$S$204,0)+4,"")="","",INDEX('List A'!$K$5:$K$204,IFERROR(MATCH(183,'List A'!$S$5:$S$204,0)+4,"")-4))=""),"",INDEX('List B'!$D$5:$D$204,IF(IFERROR(MATCH(183,'List A'!$S$5:$S$204,0)+4,"")="","",INDEX('List A'!$K$5:$K$204,IFERROR(MATCH(183,'List A'!$S$5:$S$204,0)+4,"")-4))-4))</f>
        <v/>
      </c>
      <c r="I187" s="52">
        <f>IF(IFERROR(MATCH(183,'List A'!$S$5:$S$204,0)+4,"")="","",INDEX('List A'!$N$5:$N$204,IFERROR(MATCH(183,'List A'!$S$5:$S$204,0)+4,"")-4))</f>
        <v/>
      </c>
      <c r="J187" s="53">
        <f>IF(IFERROR(MATCH(183,'List A'!$S$5:$S$204,0)+4,"")="","",INDEX('List A'!$O$5:$O$204,IFERROR(MATCH(183,'List A'!$S$5:$S$204,0)+4,"")-4))</f>
        <v/>
      </c>
    </row>
    <row r="188" ht="17" customHeight="1">
      <c r="A188" s="87">
        <f>IF(IFERROR(MATCH(184,'List A'!$S$5:$S$204,0)+4,"")="","",INDEX('List A'!$A$5:$A$204,IFERROR(MATCH(184,'List A'!$S$5:$S$204,0)+4,"")-4))</f>
        <v/>
      </c>
      <c r="B188" s="53">
        <f>IF(IFERROR(MATCH(184,'List A'!$S$5:$S$204,0)+4,"")="","",INDEX('List A'!$B$5:$B$204,IFERROR(MATCH(184,'List A'!$S$5:$S$204,0)+4,"")-4))</f>
        <v/>
      </c>
      <c r="C188" s="52">
        <f>IF(IFERROR(MATCH(184,'List A'!$S$5:$S$204,0)+4,"")="","",INDEX('List A'!$C$5:$C$204,IFERROR(MATCH(184,'List A'!$S$5:$S$204,0)+4,"")-4))</f>
        <v/>
      </c>
      <c r="D188" s="53">
        <f>IF(IFERROR(MATCH(184,'List A'!$S$5:$S$204,0)+4,"")="","",INDEX('List A'!$D$5:$D$204,IFERROR(MATCH(184,'List A'!$S$5:$S$204,0)+4,"")-4))</f>
        <v/>
      </c>
      <c r="E188" s="87">
        <f>IF(OR(IFERROR(MATCH(184,'List A'!$S$5:$S$204,0)+4,"")="",IF(IFERROR(MATCH(184,'List A'!$S$5:$S$204,0)+4,"")="","",INDEX('List A'!$K$5:$K$204,IFERROR(MATCH(184,'List A'!$S$5:$S$204,0)+4,"")-4))=""),"",INDEX('List B'!$A$5:$A$204,IF(IFERROR(MATCH(184,'List A'!$S$5:$S$204,0)+4,"")="","",INDEX('List A'!$K$5:$K$204,IFERROR(MATCH(184,'List A'!$S$5:$S$204,0)+4,"")-4))-4))</f>
        <v/>
      </c>
      <c r="F188" s="53">
        <f>IF(OR(IFERROR(MATCH(184,'List A'!$S$5:$S$204,0)+4,"")="",IF(IFERROR(MATCH(184,'List A'!$S$5:$S$204,0)+4,"")="","",INDEX('List A'!$K$5:$K$204,IFERROR(MATCH(184,'List A'!$S$5:$S$204,0)+4,"")-4))=""),"",INDEX('List B'!$B$5:$B$204,IF(IFERROR(MATCH(184,'List A'!$S$5:$S$204,0)+4,"")="","",INDEX('List A'!$K$5:$K$204,IFERROR(MATCH(184,'List A'!$S$5:$S$204,0)+4,"")-4))-4))</f>
        <v/>
      </c>
      <c r="G188" s="52">
        <f>IF(OR(IFERROR(MATCH(184,'List A'!$S$5:$S$204,0)+4,"")="",IF(IFERROR(MATCH(184,'List A'!$S$5:$S$204,0)+4,"")="","",INDEX('List A'!$K$5:$K$204,IFERROR(MATCH(184,'List A'!$S$5:$S$204,0)+4,"")-4))=""),"",INDEX('List B'!$C$5:$C$204,IF(IFERROR(MATCH(184,'List A'!$S$5:$S$204,0)+4,"")="","",INDEX('List A'!$K$5:$K$204,IFERROR(MATCH(184,'List A'!$S$5:$S$204,0)+4,"")-4))-4))</f>
        <v/>
      </c>
      <c r="H188" s="53">
        <f>IF(OR(IFERROR(MATCH(184,'List A'!$S$5:$S$204,0)+4,"")="",IF(IFERROR(MATCH(184,'List A'!$S$5:$S$204,0)+4,"")="","",INDEX('List A'!$K$5:$K$204,IFERROR(MATCH(184,'List A'!$S$5:$S$204,0)+4,"")-4))=""),"",INDEX('List B'!$D$5:$D$204,IF(IFERROR(MATCH(184,'List A'!$S$5:$S$204,0)+4,"")="","",INDEX('List A'!$K$5:$K$204,IFERROR(MATCH(184,'List A'!$S$5:$S$204,0)+4,"")-4))-4))</f>
        <v/>
      </c>
      <c r="I188" s="52">
        <f>IF(IFERROR(MATCH(184,'List A'!$S$5:$S$204,0)+4,"")="","",INDEX('List A'!$N$5:$N$204,IFERROR(MATCH(184,'List A'!$S$5:$S$204,0)+4,"")-4))</f>
        <v/>
      </c>
      <c r="J188" s="53">
        <f>IF(IFERROR(MATCH(184,'List A'!$S$5:$S$204,0)+4,"")="","",INDEX('List A'!$O$5:$O$204,IFERROR(MATCH(184,'List A'!$S$5:$S$204,0)+4,"")-4))</f>
        <v/>
      </c>
    </row>
    <row r="189" ht="17" customHeight="1">
      <c r="A189" s="87">
        <f>IF(IFERROR(MATCH(185,'List A'!$S$5:$S$204,0)+4,"")="","",INDEX('List A'!$A$5:$A$204,IFERROR(MATCH(185,'List A'!$S$5:$S$204,0)+4,"")-4))</f>
        <v/>
      </c>
      <c r="B189" s="53">
        <f>IF(IFERROR(MATCH(185,'List A'!$S$5:$S$204,0)+4,"")="","",INDEX('List A'!$B$5:$B$204,IFERROR(MATCH(185,'List A'!$S$5:$S$204,0)+4,"")-4))</f>
        <v/>
      </c>
      <c r="C189" s="52">
        <f>IF(IFERROR(MATCH(185,'List A'!$S$5:$S$204,0)+4,"")="","",INDEX('List A'!$C$5:$C$204,IFERROR(MATCH(185,'List A'!$S$5:$S$204,0)+4,"")-4))</f>
        <v/>
      </c>
      <c r="D189" s="53">
        <f>IF(IFERROR(MATCH(185,'List A'!$S$5:$S$204,0)+4,"")="","",INDEX('List A'!$D$5:$D$204,IFERROR(MATCH(185,'List A'!$S$5:$S$204,0)+4,"")-4))</f>
        <v/>
      </c>
      <c r="E189" s="87">
        <f>IF(OR(IFERROR(MATCH(185,'List A'!$S$5:$S$204,0)+4,"")="",IF(IFERROR(MATCH(185,'List A'!$S$5:$S$204,0)+4,"")="","",INDEX('List A'!$K$5:$K$204,IFERROR(MATCH(185,'List A'!$S$5:$S$204,0)+4,"")-4))=""),"",INDEX('List B'!$A$5:$A$204,IF(IFERROR(MATCH(185,'List A'!$S$5:$S$204,0)+4,"")="","",INDEX('List A'!$K$5:$K$204,IFERROR(MATCH(185,'List A'!$S$5:$S$204,0)+4,"")-4))-4))</f>
        <v/>
      </c>
      <c r="F189" s="53">
        <f>IF(OR(IFERROR(MATCH(185,'List A'!$S$5:$S$204,0)+4,"")="",IF(IFERROR(MATCH(185,'List A'!$S$5:$S$204,0)+4,"")="","",INDEX('List A'!$K$5:$K$204,IFERROR(MATCH(185,'List A'!$S$5:$S$204,0)+4,"")-4))=""),"",INDEX('List B'!$B$5:$B$204,IF(IFERROR(MATCH(185,'List A'!$S$5:$S$204,0)+4,"")="","",INDEX('List A'!$K$5:$K$204,IFERROR(MATCH(185,'List A'!$S$5:$S$204,0)+4,"")-4))-4))</f>
        <v/>
      </c>
      <c r="G189" s="52">
        <f>IF(OR(IFERROR(MATCH(185,'List A'!$S$5:$S$204,0)+4,"")="",IF(IFERROR(MATCH(185,'List A'!$S$5:$S$204,0)+4,"")="","",INDEX('List A'!$K$5:$K$204,IFERROR(MATCH(185,'List A'!$S$5:$S$204,0)+4,"")-4))=""),"",INDEX('List B'!$C$5:$C$204,IF(IFERROR(MATCH(185,'List A'!$S$5:$S$204,0)+4,"")="","",INDEX('List A'!$K$5:$K$204,IFERROR(MATCH(185,'List A'!$S$5:$S$204,0)+4,"")-4))-4))</f>
        <v/>
      </c>
      <c r="H189" s="53">
        <f>IF(OR(IFERROR(MATCH(185,'List A'!$S$5:$S$204,0)+4,"")="",IF(IFERROR(MATCH(185,'List A'!$S$5:$S$204,0)+4,"")="","",INDEX('List A'!$K$5:$K$204,IFERROR(MATCH(185,'List A'!$S$5:$S$204,0)+4,"")-4))=""),"",INDEX('List B'!$D$5:$D$204,IF(IFERROR(MATCH(185,'List A'!$S$5:$S$204,0)+4,"")="","",INDEX('List A'!$K$5:$K$204,IFERROR(MATCH(185,'List A'!$S$5:$S$204,0)+4,"")-4))-4))</f>
        <v/>
      </c>
      <c r="I189" s="52">
        <f>IF(IFERROR(MATCH(185,'List A'!$S$5:$S$204,0)+4,"")="","",INDEX('List A'!$N$5:$N$204,IFERROR(MATCH(185,'List A'!$S$5:$S$204,0)+4,"")-4))</f>
        <v/>
      </c>
      <c r="J189" s="53">
        <f>IF(IFERROR(MATCH(185,'List A'!$S$5:$S$204,0)+4,"")="","",INDEX('List A'!$O$5:$O$204,IFERROR(MATCH(185,'List A'!$S$5:$S$204,0)+4,"")-4))</f>
        <v/>
      </c>
    </row>
    <row r="190" ht="17" customHeight="1">
      <c r="A190" s="87">
        <f>IF(IFERROR(MATCH(186,'List A'!$S$5:$S$204,0)+4,"")="","",INDEX('List A'!$A$5:$A$204,IFERROR(MATCH(186,'List A'!$S$5:$S$204,0)+4,"")-4))</f>
        <v/>
      </c>
      <c r="B190" s="53">
        <f>IF(IFERROR(MATCH(186,'List A'!$S$5:$S$204,0)+4,"")="","",INDEX('List A'!$B$5:$B$204,IFERROR(MATCH(186,'List A'!$S$5:$S$204,0)+4,"")-4))</f>
        <v/>
      </c>
      <c r="C190" s="52">
        <f>IF(IFERROR(MATCH(186,'List A'!$S$5:$S$204,0)+4,"")="","",INDEX('List A'!$C$5:$C$204,IFERROR(MATCH(186,'List A'!$S$5:$S$204,0)+4,"")-4))</f>
        <v/>
      </c>
      <c r="D190" s="53">
        <f>IF(IFERROR(MATCH(186,'List A'!$S$5:$S$204,0)+4,"")="","",INDEX('List A'!$D$5:$D$204,IFERROR(MATCH(186,'List A'!$S$5:$S$204,0)+4,"")-4))</f>
        <v/>
      </c>
      <c r="E190" s="87">
        <f>IF(OR(IFERROR(MATCH(186,'List A'!$S$5:$S$204,0)+4,"")="",IF(IFERROR(MATCH(186,'List A'!$S$5:$S$204,0)+4,"")="","",INDEX('List A'!$K$5:$K$204,IFERROR(MATCH(186,'List A'!$S$5:$S$204,0)+4,"")-4))=""),"",INDEX('List B'!$A$5:$A$204,IF(IFERROR(MATCH(186,'List A'!$S$5:$S$204,0)+4,"")="","",INDEX('List A'!$K$5:$K$204,IFERROR(MATCH(186,'List A'!$S$5:$S$204,0)+4,"")-4))-4))</f>
        <v/>
      </c>
      <c r="F190" s="53">
        <f>IF(OR(IFERROR(MATCH(186,'List A'!$S$5:$S$204,0)+4,"")="",IF(IFERROR(MATCH(186,'List A'!$S$5:$S$204,0)+4,"")="","",INDEX('List A'!$K$5:$K$204,IFERROR(MATCH(186,'List A'!$S$5:$S$204,0)+4,"")-4))=""),"",INDEX('List B'!$B$5:$B$204,IF(IFERROR(MATCH(186,'List A'!$S$5:$S$204,0)+4,"")="","",INDEX('List A'!$K$5:$K$204,IFERROR(MATCH(186,'List A'!$S$5:$S$204,0)+4,"")-4))-4))</f>
        <v/>
      </c>
      <c r="G190" s="52">
        <f>IF(OR(IFERROR(MATCH(186,'List A'!$S$5:$S$204,0)+4,"")="",IF(IFERROR(MATCH(186,'List A'!$S$5:$S$204,0)+4,"")="","",INDEX('List A'!$K$5:$K$204,IFERROR(MATCH(186,'List A'!$S$5:$S$204,0)+4,"")-4))=""),"",INDEX('List B'!$C$5:$C$204,IF(IFERROR(MATCH(186,'List A'!$S$5:$S$204,0)+4,"")="","",INDEX('List A'!$K$5:$K$204,IFERROR(MATCH(186,'List A'!$S$5:$S$204,0)+4,"")-4))-4))</f>
        <v/>
      </c>
      <c r="H190" s="53">
        <f>IF(OR(IFERROR(MATCH(186,'List A'!$S$5:$S$204,0)+4,"")="",IF(IFERROR(MATCH(186,'List A'!$S$5:$S$204,0)+4,"")="","",INDEX('List A'!$K$5:$K$204,IFERROR(MATCH(186,'List A'!$S$5:$S$204,0)+4,"")-4))=""),"",INDEX('List B'!$D$5:$D$204,IF(IFERROR(MATCH(186,'List A'!$S$5:$S$204,0)+4,"")="","",INDEX('List A'!$K$5:$K$204,IFERROR(MATCH(186,'List A'!$S$5:$S$204,0)+4,"")-4))-4))</f>
        <v/>
      </c>
      <c r="I190" s="52">
        <f>IF(IFERROR(MATCH(186,'List A'!$S$5:$S$204,0)+4,"")="","",INDEX('List A'!$N$5:$N$204,IFERROR(MATCH(186,'List A'!$S$5:$S$204,0)+4,"")-4))</f>
        <v/>
      </c>
      <c r="J190" s="53">
        <f>IF(IFERROR(MATCH(186,'List A'!$S$5:$S$204,0)+4,"")="","",INDEX('List A'!$O$5:$O$204,IFERROR(MATCH(186,'List A'!$S$5:$S$204,0)+4,"")-4))</f>
        <v/>
      </c>
    </row>
    <row r="191" ht="17" customHeight="1">
      <c r="A191" s="87">
        <f>IF(IFERROR(MATCH(187,'List A'!$S$5:$S$204,0)+4,"")="","",INDEX('List A'!$A$5:$A$204,IFERROR(MATCH(187,'List A'!$S$5:$S$204,0)+4,"")-4))</f>
        <v/>
      </c>
      <c r="B191" s="53">
        <f>IF(IFERROR(MATCH(187,'List A'!$S$5:$S$204,0)+4,"")="","",INDEX('List A'!$B$5:$B$204,IFERROR(MATCH(187,'List A'!$S$5:$S$204,0)+4,"")-4))</f>
        <v/>
      </c>
      <c r="C191" s="52">
        <f>IF(IFERROR(MATCH(187,'List A'!$S$5:$S$204,0)+4,"")="","",INDEX('List A'!$C$5:$C$204,IFERROR(MATCH(187,'List A'!$S$5:$S$204,0)+4,"")-4))</f>
        <v/>
      </c>
      <c r="D191" s="53">
        <f>IF(IFERROR(MATCH(187,'List A'!$S$5:$S$204,0)+4,"")="","",INDEX('List A'!$D$5:$D$204,IFERROR(MATCH(187,'List A'!$S$5:$S$204,0)+4,"")-4))</f>
        <v/>
      </c>
      <c r="E191" s="87">
        <f>IF(OR(IFERROR(MATCH(187,'List A'!$S$5:$S$204,0)+4,"")="",IF(IFERROR(MATCH(187,'List A'!$S$5:$S$204,0)+4,"")="","",INDEX('List A'!$K$5:$K$204,IFERROR(MATCH(187,'List A'!$S$5:$S$204,0)+4,"")-4))=""),"",INDEX('List B'!$A$5:$A$204,IF(IFERROR(MATCH(187,'List A'!$S$5:$S$204,0)+4,"")="","",INDEX('List A'!$K$5:$K$204,IFERROR(MATCH(187,'List A'!$S$5:$S$204,0)+4,"")-4))-4))</f>
        <v/>
      </c>
      <c r="F191" s="53">
        <f>IF(OR(IFERROR(MATCH(187,'List A'!$S$5:$S$204,0)+4,"")="",IF(IFERROR(MATCH(187,'List A'!$S$5:$S$204,0)+4,"")="","",INDEX('List A'!$K$5:$K$204,IFERROR(MATCH(187,'List A'!$S$5:$S$204,0)+4,"")-4))=""),"",INDEX('List B'!$B$5:$B$204,IF(IFERROR(MATCH(187,'List A'!$S$5:$S$204,0)+4,"")="","",INDEX('List A'!$K$5:$K$204,IFERROR(MATCH(187,'List A'!$S$5:$S$204,0)+4,"")-4))-4))</f>
        <v/>
      </c>
      <c r="G191" s="52">
        <f>IF(OR(IFERROR(MATCH(187,'List A'!$S$5:$S$204,0)+4,"")="",IF(IFERROR(MATCH(187,'List A'!$S$5:$S$204,0)+4,"")="","",INDEX('List A'!$K$5:$K$204,IFERROR(MATCH(187,'List A'!$S$5:$S$204,0)+4,"")-4))=""),"",INDEX('List B'!$C$5:$C$204,IF(IFERROR(MATCH(187,'List A'!$S$5:$S$204,0)+4,"")="","",INDEX('List A'!$K$5:$K$204,IFERROR(MATCH(187,'List A'!$S$5:$S$204,0)+4,"")-4))-4))</f>
        <v/>
      </c>
      <c r="H191" s="53">
        <f>IF(OR(IFERROR(MATCH(187,'List A'!$S$5:$S$204,0)+4,"")="",IF(IFERROR(MATCH(187,'List A'!$S$5:$S$204,0)+4,"")="","",INDEX('List A'!$K$5:$K$204,IFERROR(MATCH(187,'List A'!$S$5:$S$204,0)+4,"")-4))=""),"",INDEX('List B'!$D$5:$D$204,IF(IFERROR(MATCH(187,'List A'!$S$5:$S$204,0)+4,"")="","",INDEX('List A'!$K$5:$K$204,IFERROR(MATCH(187,'List A'!$S$5:$S$204,0)+4,"")-4))-4))</f>
        <v/>
      </c>
      <c r="I191" s="52">
        <f>IF(IFERROR(MATCH(187,'List A'!$S$5:$S$204,0)+4,"")="","",INDEX('List A'!$N$5:$N$204,IFERROR(MATCH(187,'List A'!$S$5:$S$204,0)+4,"")-4))</f>
        <v/>
      </c>
      <c r="J191" s="53">
        <f>IF(IFERROR(MATCH(187,'List A'!$S$5:$S$204,0)+4,"")="","",INDEX('List A'!$O$5:$O$204,IFERROR(MATCH(187,'List A'!$S$5:$S$204,0)+4,"")-4))</f>
        <v/>
      </c>
    </row>
    <row r="192" ht="17" customHeight="1">
      <c r="A192" s="87">
        <f>IF(IFERROR(MATCH(188,'List A'!$S$5:$S$204,0)+4,"")="","",INDEX('List A'!$A$5:$A$204,IFERROR(MATCH(188,'List A'!$S$5:$S$204,0)+4,"")-4))</f>
        <v/>
      </c>
      <c r="B192" s="53">
        <f>IF(IFERROR(MATCH(188,'List A'!$S$5:$S$204,0)+4,"")="","",INDEX('List A'!$B$5:$B$204,IFERROR(MATCH(188,'List A'!$S$5:$S$204,0)+4,"")-4))</f>
        <v/>
      </c>
      <c r="C192" s="52">
        <f>IF(IFERROR(MATCH(188,'List A'!$S$5:$S$204,0)+4,"")="","",INDEX('List A'!$C$5:$C$204,IFERROR(MATCH(188,'List A'!$S$5:$S$204,0)+4,"")-4))</f>
        <v/>
      </c>
      <c r="D192" s="53">
        <f>IF(IFERROR(MATCH(188,'List A'!$S$5:$S$204,0)+4,"")="","",INDEX('List A'!$D$5:$D$204,IFERROR(MATCH(188,'List A'!$S$5:$S$204,0)+4,"")-4))</f>
        <v/>
      </c>
      <c r="E192" s="87">
        <f>IF(OR(IFERROR(MATCH(188,'List A'!$S$5:$S$204,0)+4,"")="",IF(IFERROR(MATCH(188,'List A'!$S$5:$S$204,0)+4,"")="","",INDEX('List A'!$K$5:$K$204,IFERROR(MATCH(188,'List A'!$S$5:$S$204,0)+4,"")-4))=""),"",INDEX('List B'!$A$5:$A$204,IF(IFERROR(MATCH(188,'List A'!$S$5:$S$204,0)+4,"")="","",INDEX('List A'!$K$5:$K$204,IFERROR(MATCH(188,'List A'!$S$5:$S$204,0)+4,"")-4))-4))</f>
        <v/>
      </c>
      <c r="F192" s="53">
        <f>IF(OR(IFERROR(MATCH(188,'List A'!$S$5:$S$204,0)+4,"")="",IF(IFERROR(MATCH(188,'List A'!$S$5:$S$204,0)+4,"")="","",INDEX('List A'!$K$5:$K$204,IFERROR(MATCH(188,'List A'!$S$5:$S$204,0)+4,"")-4))=""),"",INDEX('List B'!$B$5:$B$204,IF(IFERROR(MATCH(188,'List A'!$S$5:$S$204,0)+4,"")="","",INDEX('List A'!$K$5:$K$204,IFERROR(MATCH(188,'List A'!$S$5:$S$204,0)+4,"")-4))-4))</f>
        <v/>
      </c>
      <c r="G192" s="52">
        <f>IF(OR(IFERROR(MATCH(188,'List A'!$S$5:$S$204,0)+4,"")="",IF(IFERROR(MATCH(188,'List A'!$S$5:$S$204,0)+4,"")="","",INDEX('List A'!$K$5:$K$204,IFERROR(MATCH(188,'List A'!$S$5:$S$204,0)+4,"")-4))=""),"",INDEX('List B'!$C$5:$C$204,IF(IFERROR(MATCH(188,'List A'!$S$5:$S$204,0)+4,"")="","",INDEX('List A'!$K$5:$K$204,IFERROR(MATCH(188,'List A'!$S$5:$S$204,0)+4,"")-4))-4))</f>
        <v/>
      </c>
      <c r="H192" s="53">
        <f>IF(OR(IFERROR(MATCH(188,'List A'!$S$5:$S$204,0)+4,"")="",IF(IFERROR(MATCH(188,'List A'!$S$5:$S$204,0)+4,"")="","",INDEX('List A'!$K$5:$K$204,IFERROR(MATCH(188,'List A'!$S$5:$S$204,0)+4,"")-4))=""),"",INDEX('List B'!$D$5:$D$204,IF(IFERROR(MATCH(188,'List A'!$S$5:$S$204,0)+4,"")="","",INDEX('List A'!$K$5:$K$204,IFERROR(MATCH(188,'List A'!$S$5:$S$204,0)+4,"")-4))-4))</f>
        <v/>
      </c>
      <c r="I192" s="52">
        <f>IF(IFERROR(MATCH(188,'List A'!$S$5:$S$204,0)+4,"")="","",INDEX('List A'!$N$5:$N$204,IFERROR(MATCH(188,'List A'!$S$5:$S$204,0)+4,"")-4))</f>
        <v/>
      </c>
      <c r="J192" s="53">
        <f>IF(IFERROR(MATCH(188,'List A'!$S$5:$S$204,0)+4,"")="","",INDEX('List A'!$O$5:$O$204,IFERROR(MATCH(188,'List A'!$S$5:$S$204,0)+4,"")-4))</f>
        <v/>
      </c>
    </row>
    <row r="193" ht="17" customHeight="1">
      <c r="A193" s="87">
        <f>IF(IFERROR(MATCH(189,'List A'!$S$5:$S$204,0)+4,"")="","",INDEX('List A'!$A$5:$A$204,IFERROR(MATCH(189,'List A'!$S$5:$S$204,0)+4,"")-4))</f>
        <v/>
      </c>
      <c r="B193" s="53">
        <f>IF(IFERROR(MATCH(189,'List A'!$S$5:$S$204,0)+4,"")="","",INDEX('List A'!$B$5:$B$204,IFERROR(MATCH(189,'List A'!$S$5:$S$204,0)+4,"")-4))</f>
        <v/>
      </c>
      <c r="C193" s="52">
        <f>IF(IFERROR(MATCH(189,'List A'!$S$5:$S$204,0)+4,"")="","",INDEX('List A'!$C$5:$C$204,IFERROR(MATCH(189,'List A'!$S$5:$S$204,0)+4,"")-4))</f>
        <v/>
      </c>
      <c r="D193" s="53">
        <f>IF(IFERROR(MATCH(189,'List A'!$S$5:$S$204,0)+4,"")="","",INDEX('List A'!$D$5:$D$204,IFERROR(MATCH(189,'List A'!$S$5:$S$204,0)+4,"")-4))</f>
        <v/>
      </c>
      <c r="E193" s="87">
        <f>IF(OR(IFERROR(MATCH(189,'List A'!$S$5:$S$204,0)+4,"")="",IF(IFERROR(MATCH(189,'List A'!$S$5:$S$204,0)+4,"")="","",INDEX('List A'!$K$5:$K$204,IFERROR(MATCH(189,'List A'!$S$5:$S$204,0)+4,"")-4))=""),"",INDEX('List B'!$A$5:$A$204,IF(IFERROR(MATCH(189,'List A'!$S$5:$S$204,0)+4,"")="","",INDEX('List A'!$K$5:$K$204,IFERROR(MATCH(189,'List A'!$S$5:$S$204,0)+4,"")-4))-4))</f>
        <v/>
      </c>
      <c r="F193" s="53">
        <f>IF(OR(IFERROR(MATCH(189,'List A'!$S$5:$S$204,0)+4,"")="",IF(IFERROR(MATCH(189,'List A'!$S$5:$S$204,0)+4,"")="","",INDEX('List A'!$K$5:$K$204,IFERROR(MATCH(189,'List A'!$S$5:$S$204,0)+4,"")-4))=""),"",INDEX('List B'!$B$5:$B$204,IF(IFERROR(MATCH(189,'List A'!$S$5:$S$204,0)+4,"")="","",INDEX('List A'!$K$5:$K$204,IFERROR(MATCH(189,'List A'!$S$5:$S$204,0)+4,"")-4))-4))</f>
        <v/>
      </c>
      <c r="G193" s="52">
        <f>IF(OR(IFERROR(MATCH(189,'List A'!$S$5:$S$204,0)+4,"")="",IF(IFERROR(MATCH(189,'List A'!$S$5:$S$204,0)+4,"")="","",INDEX('List A'!$K$5:$K$204,IFERROR(MATCH(189,'List A'!$S$5:$S$204,0)+4,"")-4))=""),"",INDEX('List B'!$C$5:$C$204,IF(IFERROR(MATCH(189,'List A'!$S$5:$S$204,0)+4,"")="","",INDEX('List A'!$K$5:$K$204,IFERROR(MATCH(189,'List A'!$S$5:$S$204,0)+4,"")-4))-4))</f>
        <v/>
      </c>
      <c r="H193" s="53">
        <f>IF(OR(IFERROR(MATCH(189,'List A'!$S$5:$S$204,0)+4,"")="",IF(IFERROR(MATCH(189,'List A'!$S$5:$S$204,0)+4,"")="","",INDEX('List A'!$K$5:$K$204,IFERROR(MATCH(189,'List A'!$S$5:$S$204,0)+4,"")-4))=""),"",INDEX('List B'!$D$5:$D$204,IF(IFERROR(MATCH(189,'List A'!$S$5:$S$204,0)+4,"")="","",INDEX('List A'!$K$5:$K$204,IFERROR(MATCH(189,'List A'!$S$5:$S$204,0)+4,"")-4))-4))</f>
        <v/>
      </c>
      <c r="I193" s="52">
        <f>IF(IFERROR(MATCH(189,'List A'!$S$5:$S$204,0)+4,"")="","",INDEX('List A'!$N$5:$N$204,IFERROR(MATCH(189,'List A'!$S$5:$S$204,0)+4,"")-4))</f>
        <v/>
      </c>
      <c r="J193" s="53">
        <f>IF(IFERROR(MATCH(189,'List A'!$S$5:$S$204,0)+4,"")="","",INDEX('List A'!$O$5:$O$204,IFERROR(MATCH(189,'List A'!$S$5:$S$204,0)+4,"")-4))</f>
        <v/>
      </c>
    </row>
    <row r="194" ht="17" customHeight="1">
      <c r="A194" s="87">
        <f>IF(IFERROR(MATCH(190,'List A'!$S$5:$S$204,0)+4,"")="","",INDEX('List A'!$A$5:$A$204,IFERROR(MATCH(190,'List A'!$S$5:$S$204,0)+4,"")-4))</f>
        <v/>
      </c>
      <c r="B194" s="53">
        <f>IF(IFERROR(MATCH(190,'List A'!$S$5:$S$204,0)+4,"")="","",INDEX('List A'!$B$5:$B$204,IFERROR(MATCH(190,'List A'!$S$5:$S$204,0)+4,"")-4))</f>
        <v/>
      </c>
      <c r="C194" s="52">
        <f>IF(IFERROR(MATCH(190,'List A'!$S$5:$S$204,0)+4,"")="","",INDEX('List A'!$C$5:$C$204,IFERROR(MATCH(190,'List A'!$S$5:$S$204,0)+4,"")-4))</f>
        <v/>
      </c>
      <c r="D194" s="53">
        <f>IF(IFERROR(MATCH(190,'List A'!$S$5:$S$204,0)+4,"")="","",INDEX('List A'!$D$5:$D$204,IFERROR(MATCH(190,'List A'!$S$5:$S$204,0)+4,"")-4))</f>
        <v/>
      </c>
      <c r="E194" s="87">
        <f>IF(OR(IFERROR(MATCH(190,'List A'!$S$5:$S$204,0)+4,"")="",IF(IFERROR(MATCH(190,'List A'!$S$5:$S$204,0)+4,"")="","",INDEX('List A'!$K$5:$K$204,IFERROR(MATCH(190,'List A'!$S$5:$S$204,0)+4,"")-4))=""),"",INDEX('List B'!$A$5:$A$204,IF(IFERROR(MATCH(190,'List A'!$S$5:$S$204,0)+4,"")="","",INDEX('List A'!$K$5:$K$204,IFERROR(MATCH(190,'List A'!$S$5:$S$204,0)+4,"")-4))-4))</f>
        <v/>
      </c>
      <c r="F194" s="53">
        <f>IF(OR(IFERROR(MATCH(190,'List A'!$S$5:$S$204,0)+4,"")="",IF(IFERROR(MATCH(190,'List A'!$S$5:$S$204,0)+4,"")="","",INDEX('List A'!$K$5:$K$204,IFERROR(MATCH(190,'List A'!$S$5:$S$204,0)+4,"")-4))=""),"",INDEX('List B'!$B$5:$B$204,IF(IFERROR(MATCH(190,'List A'!$S$5:$S$204,0)+4,"")="","",INDEX('List A'!$K$5:$K$204,IFERROR(MATCH(190,'List A'!$S$5:$S$204,0)+4,"")-4))-4))</f>
        <v/>
      </c>
      <c r="G194" s="52">
        <f>IF(OR(IFERROR(MATCH(190,'List A'!$S$5:$S$204,0)+4,"")="",IF(IFERROR(MATCH(190,'List A'!$S$5:$S$204,0)+4,"")="","",INDEX('List A'!$K$5:$K$204,IFERROR(MATCH(190,'List A'!$S$5:$S$204,0)+4,"")-4))=""),"",INDEX('List B'!$C$5:$C$204,IF(IFERROR(MATCH(190,'List A'!$S$5:$S$204,0)+4,"")="","",INDEX('List A'!$K$5:$K$204,IFERROR(MATCH(190,'List A'!$S$5:$S$204,0)+4,"")-4))-4))</f>
        <v/>
      </c>
      <c r="H194" s="53">
        <f>IF(OR(IFERROR(MATCH(190,'List A'!$S$5:$S$204,0)+4,"")="",IF(IFERROR(MATCH(190,'List A'!$S$5:$S$204,0)+4,"")="","",INDEX('List A'!$K$5:$K$204,IFERROR(MATCH(190,'List A'!$S$5:$S$204,0)+4,"")-4))=""),"",INDEX('List B'!$D$5:$D$204,IF(IFERROR(MATCH(190,'List A'!$S$5:$S$204,0)+4,"")="","",INDEX('List A'!$K$5:$K$204,IFERROR(MATCH(190,'List A'!$S$5:$S$204,0)+4,"")-4))-4))</f>
        <v/>
      </c>
      <c r="I194" s="52">
        <f>IF(IFERROR(MATCH(190,'List A'!$S$5:$S$204,0)+4,"")="","",INDEX('List A'!$N$5:$N$204,IFERROR(MATCH(190,'List A'!$S$5:$S$204,0)+4,"")-4))</f>
        <v/>
      </c>
      <c r="J194" s="53">
        <f>IF(IFERROR(MATCH(190,'List A'!$S$5:$S$204,0)+4,"")="","",INDEX('List A'!$O$5:$O$204,IFERROR(MATCH(190,'List A'!$S$5:$S$204,0)+4,"")-4))</f>
        <v/>
      </c>
    </row>
    <row r="195" ht="17" customHeight="1">
      <c r="A195" s="87">
        <f>IF(IFERROR(MATCH(191,'List A'!$S$5:$S$204,0)+4,"")="","",INDEX('List A'!$A$5:$A$204,IFERROR(MATCH(191,'List A'!$S$5:$S$204,0)+4,"")-4))</f>
        <v/>
      </c>
      <c r="B195" s="53">
        <f>IF(IFERROR(MATCH(191,'List A'!$S$5:$S$204,0)+4,"")="","",INDEX('List A'!$B$5:$B$204,IFERROR(MATCH(191,'List A'!$S$5:$S$204,0)+4,"")-4))</f>
        <v/>
      </c>
      <c r="C195" s="52">
        <f>IF(IFERROR(MATCH(191,'List A'!$S$5:$S$204,0)+4,"")="","",INDEX('List A'!$C$5:$C$204,IFERROR(MATCH(191,'List A'!$S$5:$S$204,0)+4,"")-4))</f>
        <v/>
      </c>
      <c r="D195" s="53">
        <f>IF(IFERROR(MATCH(191,'List A'!$S$5:$S$204,0)+4,"")="","",INDEX('List A'!$D$5:$D$204,IFERROR(MATCH(191,'List A'!$S$5:$S$204,0)+4,"")-4))</f>
        <v/>
      </c>
      <c r="E195" s="87">
        <f>IF(OR(IFERROR(MATCH(191,'List A'!$S$5:$S$204,0)+4,"")="",IF(IFERROR(MATCH(191,'List A'!$S$5:$S$204,0)+4,"")="","",INDEX('List A'!$K$5:$K$204,IFERROR(MATCH(191,'List A'!$S$5:$S$204,0)+4,"")-4))=""),"",INDEX('List B'!$A$5:$A$204,IF(IFERROR(MATCH(191,'List A'!$S$5:$S$204,0)+4,"")="","",INDEX('List A'!$K$5:$K$204,IFERROR(MATCH(191,'List A'!$S$5:$S$204,0)+4,"")-4))-4))</f>
        <v/>
      </c>
      <c r="F195" s="53">
        <f>IF(OR(IFERROR(MATCH(191,'List A'!$S$5:$S$204,0)+4,"")="",IF(IFERROR(MATCH(191,'List A'!$S$5:$S$204,0)+4,"")="","",INDEX('List A'!$K$5:$K$204,IFERROR(MATCH(191,'List A'!$S$5:$S$204,0)+4,"")-4))=""),"",INDEX('List B'!$B$5:$B$204,IF(IFERROR(MATCH(191,'List A'!$S$5:$S$204,0)+4,"")="","",INDEX('List A'!$K$5:$K$204,IFERROR(MATCH(191,'List A'!$S$5:$S$204,0)+4,"")-4))-4))</f>
        <v/>
      </c>
      <c r="G195" s="52">
        <f>IF(OR(IFERROR(MATCH(191,'List A'!$S$5:$S$204,0)+4,"")="",IF(IFERROR(MATCH(191,'List A'!$S$5:$S$204,0)+4,"")="","",INDEX('List A'!$K$5:$K$204,IFERROR(MATCH(191,'List A'!$S$5:$S$204,0)+4,"")-4))=""),"",INDEX('List B'!$C$5:$C$204,IF(IFERROR(MATCH(191,'List A'!$S$5:$S$204,0)+4,"")="","",INDEX('List A'!$K$5:$K$204,IFERROR(MATCH(191,'List A'!$S$5:$S$204,0)+4,"")-4))-4))</f>
        <v/>
      </c>
      <c r="H195" s="53">
        <f>IF(OR(IFERROR(MATCH(191,'List A'!$S$5:$S$204,0)+4,"")="",IF(IFERROR(MATCH(191,'List A'!$S$5:$S$204,0)+4,"")="","",INDEX('List A'!$K$5:$K$204,IFERROR(MATCH(191,'List A'!$S$5:$S$204,0)+4,"")-4))=""),"",INDEX('List B'!$D$5:$D$204,IF(IFERROR(MATCH(191,'List A'!$S$5:$S$204,0)+4,"")="","",INDEX('List A'!$K$5:$K$204,IFERROR(MATCH(191,'List A'!$S$5:$S$204,0)+4,"")-4))-4))</f>
        <v/>
      </c>
      <c r="I195" s="52">
        <f>IF(IFERROR(MATCH(191,'List A'!$S$5:$S$204,0)+4,"")="","",INDEX('List A'!$N$5:$N$204,IFERROR(MATCH(191,'List A'!$S$5:$S$204,0)+4,"")-4))</f>
        <v/>
      </c>
      <c r="J195" s="53">
        <f>IF(IFERROR(MATCH(191,'List A'!$S$5:$S$204,0)+4,"")="","",INDEX('List A'!$O$5:$O$204,IFERROR(MATCH(191,'List A'!$S$5:$S$204,0)+4,"")-4))</f>
        <v/>
      </c>
    </row>
    <row r="196" ht="17" customHeight="1">
      <c r="A196" s="87">
        <f>IF(IFERROR(MATCH(192,'List A'!$S$5:$S$204,0)+4,"")="","",INDEX('List A'!$A$5:$A$204,IFERROR(MATCH(192,'List A'!$S$5:$S$204,0)+4,"")-4))</f>
        <v/>
      </c>
      <c r="B196" s="53">
        <f>IF(IFERROR(MATCH(192,'List A'!$S$5:$S$204,0)+4,"")="","",INDEX('List A'!$B$5:$B$204,IFERROR(MATCH(192,'List A'!$S$5:$S$204,0)+4,"")-4))</f>
        <v/>
      </c>
      <c r="C196" s="52">
        <f>IF(IFERROR(MATCH(192,'List A'!$S$5:$S$204,0)+4,"")="","",INDEX('List A'!$C$5:$C$204,IFERROR(MATCH(192,'List A'!$S$5:$S$204,0)+4,"")-4))</f>
        <v/>
      </c>
      <c r="D196" s="53">
        <f>IF(IFERROR(MATCH(192,'List A'!$S$5:$S$204,0)+4,"")="","",INDEX('List A'!$D$5:$D$204,IFERROR(MATCH(192,'List A'!$S$5:$S$204,0)+4,"")-4))</f>
        <v/>
      </c>
      <c r="E196" s="87">
        <f>IF(OR(IFERROR(MATCH(192,'List A'!$S$5:$S$204,0)+4,"")="",IF(IFERROR(MATCH(192,'List A'!$S$5:$S$204,0)+4,"")="","",INDEX('List A'!$K$5:$K$204,IFERROR(MATCH(192,'List A'!$S$5:$S$204,0)+4,"")-4))=""),"",INDEX('List B'!$A$5:$A$204,IF(IFERROR(MATCH(192,'List A'!$S$5:$S$204,0)+4,"")="","",INDEX('List A'!$K$5:$K$204,IFERROR(MATCH(192,'List A'!$S$5:$S$204,0)+4,"")-4))-4))</f>
        <v/>
      </c>
      <c r="F196" s="53">
        <f>IF(OR(IFERROR(MATCH(192,'List A'!$S$5:$S$204,0)+4,"")="",IF(IFERROR(MATCH(192,'List A'!$S$5:$S$204,0)+4,"")="","",INDEX('List A'!$K$5:$K$204,IFERROR(MATCH(192,'List A'!$S$5:$S$204,0)+4,"")-4))=""),"",INDEX('List B'!$B$5:$B$204,IF(IFERROR(MATCH(192,'List A'!$S$5:$S$204,0)+4,"")="","",INDEX('List A'!$K$5:$K$204,IFERROR(MATCH(192,'List A'!$S$5:$S$204,0)+4,"")-4))-4))</f>
        <v/>
      </c>
      <c r="G196" s="52">
        <f>IF(OR(IFERROR(MATCH(192,'List A'!$S$5:$S$204,0)+4,"")="",IF(IFERROR(MATCH(192,'List A'!$S$5:$S$204,0)+4,"")="","",INDEX('List A'!$K$5:$K$204,IFERROR(MATCH(192,'List A'!$S$5:$S$204,0)+4,"")-4))=""),"",INDEX('List B'!$C$5:$C$204,IF(IFERROR(MATCH(192,'List A'!$S$5:$S$204,0)+4,"")="","",INDEX('List A'!$K$5:$K$204,IFERROR(MATCH(192,'List A'!$S$5:$S$204,0)+4,"")-4))-4))</f>
        <v/>
      </c>
      <c r="H196" s="53">
        <f>IF(OR(IFERROR(MATCH(192,'List A'!$S$5:$S$204,0)+4,"")="",IF(IFERROR(MATCH(192,'List A'!$S$5:$S$204,0)+4,"")="","",INDEX('List A'!$K$5:$K$204,IFERROR(MATCH(192,'List A'!$S$5:$S$204,0)+4,"")-4))=""),"",INDEX('List B'!$D$5:$D$204,IF(IFERROR(MATCH(192,'List A'!$S$5:$S$204,0)+4,"")="","",INDEX('List A'!$K$5:$K$204,IFERROR(MATCH(192,'List A'!$S$5:$S$204,0)+4,"")-4))-4))</f>
        <v/>
      </c>
      <c r="I196" s="52">
        <f>IF(IFERROR(MATCH(192,'List A'!$S$5:$S$204,0)+4,"")="","",INDEX('List A'!$N$5:$N$204,IFERROR(MATCH(192,'List A'!$S$5:$S$204,0)+4,"")-4))</f>
        <v/>
      </c>
      <c r="J196" s="53">
        <f>IF(IFERROR(MATCH(192,'List A'!$S$5:$S$204,0)+4,"")="","",INDEX('List A'!$O$5:$O$204,IFERROR(MATCH(192,'List A'!$S$5:$S$204,0)+4,"")-4))</f>
        <v/>
      </c>
    </row>
    <row r="197" ht="17" customHeight="1">
      <c r="A197" s="87">
        <f>IF(IFERROR(MATCH(193,'List A'!$S$5:$S$204,0)+4,"")="","",INDEX('List A'!$A$5:$A$204,IFERROR(MATCH(193,'List A'!$S$5:$S$204,0)+4,"")-4))</f>
        <v/>
      </c>
      <c r="B197" s="53">
        <f>IF(IFERROR(MATCH(193,'List A'!$S$5:$S$204,0)+4,"")="","",INDEX('List A'!$B$5:$B$204,IFERROR(MATCH(193,'List A'!$S$5:$S$204,0)+4,"")-4))</f>
        <v/>
      </c>
      <c r="C197" s="52">
        <f>IF(IFERROR(MATCH(193,'List A'!$S$5:$S$204,0)+4,"")="","",INDEX('List A'!$C$5:$C$204,IFERROR(MATCH(193,'List A'!$S$5:$S$204,0)+4,"")-4))</f>
        <v/>
      </c>
      <c r="D197" s="53">
        <f>IF(IFERROR(MATCH(193,'List A'!$S$5:$S$204,0)+4,"")="","",INDEX('List A'!$D$5:$D$204,IFERROR(MATCH(193,'List A'!$S$5:$S$204,0)+4,"")-4))</f>
        <v/>
      </c>
      <c r="E197" s="87">
        <f>IF(OR(IFERROR(MATCH(193,'List A'!$S$5:$S$204,0)+4,"")="",IF(IFERROR(MATCH(193,'List A'!$S$5:$S$204,0)+4,"")="","",INDEX('List A'!$K$5:$K$204,IFERROR(MATCH(193,'List A'!$S$5:$S$204,0)+4,"")-4))=""),"",INDEX('List B'!$A$5:$A$204,IF(IFERROR(MATCH(193,'List A'!$S$5:$S$204,0)+4,"")="","",INDEX('List A'!$K$5:$K$204,IFERROR(MATCH(193,'List A'!$S$5:$S$204,0)+4,"")-4))-4))</f>
        <v/>
      </c>
      <c r="F197" s="53">
        <f>IF(OR(IFERROR(MATCH(193,'List A'!$S$5:$S$204,0)+4,"")="",IF(IFERROR(MATCH(193,'List A'!$S$5:$S$204,0)+4,"")="","",INDEX('List A'!$K$5:$K$204,IFERROR(MATCH(193,'List A'!$S$5:$S$204,0)+4,"")-4))=""),"",INDEX('List B'!$B$5:$B$204,IF(IFERROR(MATCH(193,'List A'!$S$5:$S$204,0)+4,"")="","",INDEX('List A'!$K$5:$K$204,IFERROR(MATCH(193,'List A'!$S$5:$S$204,0)+4,"")-4))-4))</f>
        <v/>
      </c>
      <c r="G197" s="52">
        <f>IF(OR(IFERROR(MATCH(193,'List A'!$S$5:$S$204,0)+4,"")="",IF(IFERROR(MATCH(193,'List A'!$S$5:$S$204,0)+4,"")="","",INDEX('List A'!$K$5:$K$204,IFERROR(MATCH(193,'List A'!$S$5:$S$204,0)+4,"")-4))=""),"",INDEX('List B'!$C$5:$C$204,IF(IFERROR(MATCH(193,'List A'!$S$5:$S$204,0)+4,"")="","",INDEX('List A'!$K$5:$K$204,IFERROR(MATCH(193,'List A'!$S$5:$S$204,0)+4,"")-4))-4))</f>
        <v/>
      </c>
      <c r="H197" s="53">
        <f>IF(OR(IFERROR(MATCH(193,'List A'!$S$5:$S$204,0)+4,"")="",IF(IFERROR(MATCH(193,'List A'!$S$5:$S$204,0)+4,"")="","",INDEX('List A'!$K$5:$K$204,IFERROR(MATCH(193,'List A'!$S$5:$S$204,0)+4,"")-4))=""),"",INDEX('List B'!$D$5:$D$204,IF(IFERROR(MATCH(193,'List A'!$S$5:$S$204,0)+4,"")="","",INDEX('List A'!$K$5:$K$204,IFERROR(MATCH(193,'List A'!$S$5:$S$204,0)+4,"")-4))-4))</f>
        <v/>
      </c>
      <c r="I197" s="52">
        <f>IF(IFERROR(MATCH(193,'List A'!$S$5:$S$204,0)+4,"")="","",INDEX('List A'!$N$5:$N$204,IFERROR(MATCH(193,'List A'!$S$5:$S$204,0)+4,"")-4))</f>
        <v/>
      </c>
      <c r="J197" s="53">
        <f>IF(IFERROR(MATCH(193,'List A'!$S$5:$S$204,0)+4,"")="","",INDEX('List A'!$O$5:$O$204,IFERROR(MATCH(193,'List A'!$S$5:$S$204,0)+4,"")-4))</f>
        <v/>
      </c>
    </row>
    <row r="198" ht="17" customHeight="1">
      <c r="A198" s="87">
        <f>IF(IFERROR(MATCH(194,'List A'!$S$5:$S$204,0)+4,"")="","",INDEX('List A'!$A$5:$A$204,IFERROR(MATCH(194,'List A'!$S$5:$S$204,0)+4,"")-4))</f>
        <v/>
      </c>
      <c r="B198" s="53">
        <f>IF(IFERROR(MATCH(194,'List A'!$S$5:$S$204,0)+4,"")="","",INDEX('List A'!$B$5:$B$204,IFERROR(MATCH(194,'List A'!$S$5:$S$204,0)+4,"")-4))</f>
        <v/>
      </c>
      <c r="C198" s="52">
        <f>IF(IFERROR(MATCH(194,'List A'!$S$5:$S$204,0)+4,"")="","",INDEX('List A'!$C$5:$C$204,IFERROR(MATCH(194,'List A'!$S$5:$S$204,0)+4,"")-4))</f>
        <v/>
      </c>
      <c r="D198" s="53">
        <f>IF(IFERROR(MATCH(194,'List A'!$S$5:$S$204,0)+4,"")="","",INDEX('List A'!$D$5:$D$204,IFERROR(MATCH(194,'List A'!$S$5:$S$204,0)+4,"")-4))</f>
        <v/>
      </c>
      <c r="E198" s="87">
        <f>IF(OR(IFERROR(MATCH(194,'List A'!$S$5:$S$204,0)+4,"")="",IF(IFERROR(MATCH(194,'List A'!$S$5:$S$204,0)+4,"")="","",INDEX('List A'!$K$5:$K$204,IFERROR(MATCH(194,'List A'!$S$5:$S$204,0)+4,"")-4))=""),"",INDEX('List B'!$A$5:$A$204,IF(IFERROR(MATCH(194,'List A'!$S$5:$S$204,0)+4,"")="","",INDEX('List A'!$K$5:$K$204,IFERROR(MATCH(194,'List A'!$S$5:$S$204,0)+4,"")-4))-4))</f>
        <v/>
      </c>
      <c r="F198" s="53">
        <f>IF(OR(IFERROR(MATCH(194,'List A'!$S$5:$S$204,0)+4,"")="",IF(IFERROR(MATCH(194,'List A'!$S$5:$S$204,0)+4,"")="","",INDEX('List A'!$K$5:$K$204,IFERROR(MATCH(194,'List A'!$S$5:$S$204,0)+4,"")-4))=""),"",INDEX('List B'!$B$5:$B$204,IF(IFERROR(MATCH(194,'List A'!$S$5:$S$204,0)+4,"")="","",INDEX('List A'!$K$5:$K$204,IFERROR(MATCH(194,'List A'!$S$5:$S$204,0)+4,"")-4))-4))</f>
        <v/>
      </c>
      <c r="G198" s="52">
        <f>IF(OR(IFERROR(MATCH(194,'List A'!$S$5:$S$204,0)+4,"")="",IF(IFERROR(MATCH(194,'List A'!$S$5:$S$204,0)+4,"")="","",INDEX('List A'!$K$5:$K$204,IFERROR(MATCH(194,'List A'!$S$5:$S$204,0)+4,"")-4))=""),"",INDEX('List B'!$C$5:$C$204,IF(IFERROR(MATCH(194,'List A'!$S$5:$S$204,0)+4,"")="","",INDEX('List A'!$K$5:$K$204,IFERROR(MATCH(194,'List A'!$S$5:$S$204,0)+4,"")-4))-4))</f>
        <v/>
      </c>
      <c r="H198" s="53">
        <f>IF(OR(IFERROR(MATCH(194,'List A'!$S$5:$S$204,0)+4,"")="",IF(IFERROR(MATCH(194,'List A'!$S$5:$S$204,0)+4,"")="","",INDEX('List A'!$K$5:$K$204,IFERROR(MATCH(194,'List A'!$S$5:$S$204,0)+4,"")-4))=""),"",INDEX('List B'!$D$5:$D$204,IF(IFERROR(MATCH(194,'List A'!$S$5:$S$204,0)+4,"")="","",INDEX('List A'!$K$5:$K$204,IFERROR(MATCH(194,'List A'!$S$5:$S$204,0)+4,"")-4))-4))</f>
        <v/>
      </c>
      <c r="I198" s="52">
        <f>IF(IFERROR(MATCH(194,'List A'!$S$5:$S$204,0)+4,"")="","",INDEX('List A'!$N$5:$N$204,IFERROR(MATCH(194,'List A'!$S$5:$S$204,0)+4,"")-4))</f>
        <v/>
      </c>
      <c r="J198" s="53">
        <f>IF(IFERROR(MATCH(194,'List A'!$S$5:$S$204,0)+4,"")="","",INDEX('List A'!$O$5:$O$204,IFERROR(MATCH(194,'List A'!$S$5:$S$204,0)+4,"")-4))</f>
        <v/>
      </c>
    </row>
    <row r="199" ht="17" customHeight="1">
      <c r="A199" s="87">
        <f>IF(IFERROR(MATCH(195,'List A'!$S$5:$S$204,0)+4,"")="","",INDEX('List A'!$A$5:$A$204,IFERROR(MATCH(195,'List A'!$S$5:$S$204,0)+4,"")-4))</f>
        <v/>
      </c>
      <c r="B199" s="53">
        <f>IF(IFERROR(MATCH(195,'List A'!$S$5:$S$204,0)+4,"")="","",INDEX('List A'!$B$5:$B$204,IFERROR(MATCH(195,'List A'!$S$5:$S$204,0)+4,"")-4))</f>
        <v/>
      </c>
      <c r="C199" s="52">
        <f>IF(IFERROR(MATCH(195,'List A'!$S$5:$S$204,0)+4,"")="","",INDEX('List A'!$C$5:$C$204,IFERROR(MATCH(195,'List A'!$S$5:$S$204,0)+4,"")-4))</f>
        <v/>
      </c>
      <c r="D199" s="53">
        <f>IF(IFERROR(MATCH(195,'List A'!$S$5:$S$204,0)+4,"")="","",INDEX('List A'!$D$5:$D$204,IFERROR(MATCH(195,'List A'!$S$5:$S$204,0)+4,"")-4))</f>
        <v/>
      </c>
      <c r="E199" s="87">
        <f>IF(OR(IFERROR(MATCH(195,'List A'!$S$5:$S$204,0)+4,"")="",IF(IFERROR(MATCH(195,'List A'!$S$5:$S$204,0)+4,"")="","",INDEX('List A'!$K$5:$K$204,IFERROR(MATCH(195,'List A'!$S$5:$S$204,0)+4,"")-4))=""),"",INDEX('List B'!$A$5:$A$204,IF(IFERROR(MATCH(195,'List A'!$S$5:$S$204,0)+4,"")="","",INDEX('List A'!$K$5:$K$204,IFERROR(MATCH(195,'List A'!$S$5:$S$204,0)+4,"")-4))-4))</f>
        <v/>
      </c>
      <c r="F199" s="53">
        <f>IF(OR(IFERROR(MATCH(195,'List A'!$S$5:$S$204,0)+4,"")="",IF(IFERROR(MATCH(195,'List A'!$S$5:$S$204,0)+4,"")="","",INDEX('List A'!$K$5:$K$204,IFERROR(MATCH(195,'List A'!$S$5:$S$204,0)+4,"")-4))=""),"",INDEX('List B'!$B$5:$B$204,IF(IFERROR(MATCH(195,'List A'!$S$5:$S$204,0)+4,"")="","",INDEX('List A'!$K$5:$K$204,IFERROR(MATCH(195,'List A'!$S$5:$S$204,0)+4,"")-4))-4))</f>
        <v/>
      </c>
      <c r="G199" s="52">
        <f>IF(OR(IFERROR(MATCH(195,'List A'!$S$5:$S$204,0)+4,"")="",IF(IFERROR(MATCH(195,'List A'!$S$5:$S$204,0)+4,"")="","",INDEX('List A'!$K$5:$K$204,IFERROR(MATCH(195,'List A'!$S$5:$S$204,0)+4,"")-4))=""),"",INDEX('List B'!$C$5:$C$204,IF(IFERROR(MATCH(195,'List A'!$S$5:$S$204,0)+4,"")="","",INDEX('List A'!$K$5:$K$204,IFERROR(MATCH(195,'List A'!$S$5:$S$204,0)+4,"")-4))-4))</f>
        <v/>
      </c>
      <c r="H199" s="53">
        <f>IF(OR(IFERROR(MATCH(195,'List A'!$S$5:$S$204,0)+4,"")="",IF(IFERROR(MATCH(195,'List A'!$S$5:$S$204,0)+4,"")="","",INDEX('List A'!$K$5:$K$204,IFERROR(MATCH(195,'List A'!$S$5:$S$204,0)+4,"")-4))=""),"",INDEX('List B'!$D$5:$D$204,IF(IFERROR(MATCH(195,'List A'!$S$5:$S$204,0)+4,"")="","",INDEX('List A'!$K$5:$K$204,IFERROR(MATCH(195,'List A'!$S$5:$S$204,0)+4,"")-4))-4))</f>
        <v/>
      </c>
      <c r="I199" s="52">
        <f>IF(IFERROR(MATCH(195,'List A'!$S$5:$S$204,0)+4,"")="","",INDEX('List A'!$N$5:$N$204,IFERROR(MATCH(195,'List A'!$S$5:$S$204,0)+4,"")-4))</f>
        <v/>
      </c>
      <c r="J199" s="53">
        <f>IF(IFERROR(MATCH(195,'List A'!$S$5:$S$204,0)+4,"")="","",INDEX('List A'!$O$5:$O$204,IFERROR(MATCH(195,'List A'!$S$5:$S$204,0)+4,"")-4))</f>
        <v/>
      </c>
    </row>
    <row r="200" ht="17" customHeight="1">
      <c r="A200" s="87">
        <f>IF(IFERROR(MATCH(196,'List A'!$S$5:$S$204,0)+4,"")="","",INDEX('List A'!$A$5:$A$204,IFERROR(MATCH(196,'List A'!$S$5:$S$204,0)+4,"")-4))</f>
        <v/>
      </c>
      <c r="B200" s="53">
        <f>IF(IFERROR(MATCH(196,'List A'!$S$5:$S$204,0)+4,"")="","",INDEX('List A'!$B$5:$B$204,IFERROR(MATCH(196,'List A'!$S$5:$S$204,0)+4,"")-4))</f>
        <v/>
      </c>
      <c r="C200" s="52">
        <f>IF(IFERROR(MATCH(196,'List A'!$S$5:$S$204,0)+4,"")="","",INDEX('List A'!$C$5:$C$204,IFERROR(MATCH(196,'List A'!$S$5:$S$204,0)+4,"")-4))</f>
        <v/>
      </c>
      <c r="D200" s="53">
        <f>IF(IFERROR(MATCH(196,'List A'!$S$5:$S$204,0)+4,"")="","",INDEX('List A'!$D$5:$D$204,IFERROR(MATCH(196,'List A'!$S$5:$S$204,0)+4,"")-4))</f>
        <v/>
      </c>
      <c r="E200" s="87">
        <f>IF(OR(IFERROR(MATCH(196,'List A'!$S$5:$S$204,0)+4,"")="",IF(IFERROR(MATCH(196,'List A'!$S$5:$S$204,0)+4,"")="","",INDEX('List A'!$K$5:$K$204,IFERROR(MATCH(196,'List A'!$S$5:$S$204,0)+4,"")-4))=""),"",INDEX('List B'!$A$5:$A$204,IF(IFERROR(MATCH(196,'List A'!$S$5:$S$204,0)+4,"")="","",INDEX('List A'!$K$5:$K$204,IFERROR(MATCH(196,'List A'!$S$5:$S$204,0)+4,"")-4))-4))</f>
        <v/>
      </c>
      <c r="F200" s="53">
        <f>IF(OR(IFERROR(MATCH(196,'List A'!$S$5:$S$204,0)+4,"")="",IF(IFERROR(MATCH(196,'List A'!$S$5:$S$204,0)+4,"")="","",INDEX('List A'!$K$5:$K$204,IFERROR(MATCH(196,'List A'!$S$5:$S$204,0)+4,"")-4))=""),"",INDEX('List B'!$B$5:$B$204,IF(IFERROR(MATCH(196,'List A'!$S$5:$S$204,0)+4,"")="","",INDEX('List A'!$K$5:$K$204,IFERROR(MATCH(196,'List A'!$S$5:$S$204,0)+4,"")-4))-4))</f>
        <v/>
      </c>
      <c r="G200" s="52">
        <f>IF(OR(IFERROR(MATCH(196,'List A'!$S$5:$S$204,0)+4,"")="",IF(IFERROR(MATCH(196,'List A'!$S$5:$S$204,0)+4,"")="","",INDEX('List A'!$K$5:$K$204,IFERROR(MATCH(196,'List A'!$S$5:$S$204,0)+4,"")-4))=""),"",INDEX('List B'!$C$5:$C$204,IF(IFERROR(MATCH(196,'List A'!$S$5:$S$204,0)+4,"")="","",INDEX('List A'!$K$5:$K$204,IFERROR(MATCH(196,'List A'!$S$5:$S$204,0)+4,"")-4))-4))</f>
        <v/>
      </c>
      <c r="H200" s="53">
        <f>IF(OR(IFERROR(MATCH(196,'List A'!$S$5:$S$204,0)+4,"")="",IF(IFERROR(MATCH(196,'List A'!$S$5:$S$204,0)+4,"")="","",INDEX('List A'!$K$5:$K$204,IFERROR(MATCH(196,'List A'!$S$5:$S$204,0)+4,"")-4))=""),"",INDEX('List B'!$D$5:$D$204,IF(IFERROR(MATCH(196,'List A'!$S$5:$S$204,0)+4,"")="","",INDEX('List A'!$K$5:$K$204,IFERROR(MATCH(196,'List A'!$S$5:$S$204,0)+4,"")-4))-4))</f>
        <v/>
      </c>
      <c r="I200" s="52">
        <f>IF(IFERROR(MATCH(196,'List A'!$S$5:$S$204,0)+4,"")="","",INDEX('List A'!$N$5:$N$204,IFERROR(MATCH(196,'List A'!$S$5:$S$204,0)+4,"")-4))</f>
        <v/>
      </c>
      <c r="J200" s="53">
        <f>IF(IFERROR(MATCH(196,'List A'!$S$5:$S$204,0)+4,"")="","",INDEX('List A'!$O$5:$O$204,IFERROR(MATCH(196,'List A'!$S$5:$S$204,0)+4,"")-4))</f>
        <v/>
      </c>
    </row>
    <row r="201" ht="17" customHeight="1">
      <c r="A201" s="87">
        <f>IF(IFERROR(MATCH(197,'List A'!$S$5:$S$204,0)+4,"")="","",INDEX('List A'!$A$5:$A$204,IFERROR(MATCH(197,'List A'!$S$5:$S$204,0)+4,"")-4))</f>
        <v/>
      </c>
      <c r="B201" s="53">
        <f>IF(IFERROR(MATCH(197,'List A'!$S$5:$S$204,0)+4,"")="","",INDEX('List A'!$B$5:$B$204,IFERROR(MATCH(197,'List A'!$S$5:$S$204,0)+4,"")-4))</f>
        <v/>
      </c>
      <c r="C201" s="52">
        <f>IF(IFERROR(MATCH(197,'List A'!$S$5:$S$204,0)+4,"")="","",INDEX('List A'!$C$5:$C$204,IFERROR(MATCH(197,'List A'!$S$5:$S$204,0)+4,"")-4))</f>
        <v/>
      </c>
      <c r="D201" s="53">
        <f>IF(IFERROR(MATCH(197,'List A'!$S$5:$S$204,0)+4,"")="","",INDEX('List A'!$D$5:$D$204,IFERROR(MATCH(197,'List A'!$S$5:$S$204,0)+4,"")-4))</f>
        <v/>
      </c>
      <c r="E201" s="87">
        <f>IF(OR(IFERROR(MATCH(197,'List A'!$S$5:$S$204,0)+4,"")="",IF(IFERROR(MATCH(197,'List A'!$S$5:$S$204,0)+4,"")="","",INDEX('List A'!$K$5:$K$204,IFERROR(MATCH(197,'List A'!$S$5:$S$204,0)+4,"")-4))=""),"",INDEX('List B'!$A$5:$A$204,IF(IFERROR(MATCH(197,'List A'!$S$5:$S$204,0)+4,"")="","",INDEX('List A'!$K$5:$K$204,IFERROR(MATCH(197,'List A'!$S$5:$S$204,0)+4,"")-4))-4))</f>
        <v/>
      </c>
      <c r="F201" s="53">
        <f>IF(OR(IFERROR(MATCH(197,'List A'!$S$5:$S$204,0)+4,"")="",IF(IFERROR(MATCH(197,'List A'!$S$5:$S$204,0)+4,"")="","",INDEX('List A'!$K$5:$K$204,IFERROR(MATCH(197,'List A'!$S$5:$S$204,0)+4,"")-4))=""),"",INDEX('List B'!$B$5:$B$204,IF(IFERROR(MATCH(197,'List A'!$S$5:$S$204,0)+4,"")="","",INDEX('List A'!$K$5:$K$204,IFERROR(MATCH(197,'List A'!$S$5:$S$204,0)+4,"")-4))-4))</f>
        <v/>
      </c>
      <c r="G201" s="52">
        <f>IF(OR(IFERROR(MATCH(197,'List A'!$S$5:$S$204,0)+4,"")="",IF(IFERROR(MATCH(197,'List A'!$S$5:$S$204,0)+4,"")="","",INDEX('List A'!$K$5:$K$204,IFERROR(MATCH(197,'List A'!$S$5:$S$204,0)+4,"")-4))=""),"",INDEX('List B'!$C$5:$C$204,IF(IFERROR(MATCH(197,'List A'!$S$5:$S$204,0)+4,"")="","",INDEX('List A'!$K$5:$K$204,IFERROR(MATCH(197,'List A'!$S$5:$S$204,0)+4,"")-4))-4))</f>
        <v/>
      </c>
      <c r="H201" s="53">
        <f>IF(OR(IFERROR(MATCH(197,'List A'!$S$5:$S$204,0)+4,"")="",IF(IFERROR(MATCH(197,'List A'!$S$5:$S$204,0)+4,"")="","",INDEX('List A'!$K$5:$K$204,IFERROR(MATCH(197,'List A'!$S$5:$S$204,0)+4,"")-4))=""),"",INDEX('List B'!$D$5:$D$204,IF(IFERROR(MATCH(197,'List A'!$S$5:$S$204,0)+4,"")="","",INDEX('List A'!$K$5:$K$204,IFERROR(MATCH(197,'List A'!$S$5:$S$204,0)+4,"")-4))-4))</f>
        <v/>
      </c>
      <c r="I201" s="52">
        <f>IF(IFERROR(MATCH(197,'List A'!$S$5:$S$204,0)+4,"")="","",INDEX('List A'!$N$5:$N$204,IFERROR(MATCH(197,'List A'!$S$5:$S$204,0)+4,"")-4))</f>
        <v/>
      </c>
      <c r="J201" s="53">
        <f>IF(IFERROR(MATCH(197,'List A'!$S$5:$S$204,0)+4,"")="","",INDEX('List A'!$O$5:$O$204,IFERROR(MATCH(197,'List A'!$S$5:$S$204,0)+4,"")-4))</f>
        <v/>
      </c>
    </row>
    <row r="202" ht="17" customHeight="1">
      <c r="A202" s="87">
        <f>IF(IFERROR(MATCH(198,'List A'!$S$5:$S$204,0)+4,"")="","",INDEX('List A'!$A$5:$A$204,IFERROR(MATCH(198,'List A'!$S$5:$S$204,0)+4,"")-4))</f>
        <v/>
      </c>
      <c r="B202" s="53">
        <f>IF(IFERROR(MATCH(198,'List A'!$S$5:$S$204,0)+4,"")="","",INDEX('List A'!$B$5:$B$204,IFERROR(MATCH(198,'List A'!$S$5:$S$204,0)+4,"")-4))</f>
        <v/>
      </c>
      <c r="C202" s="52">
        <f>IF(IFERROR(MATCH(198,'List A'!$S$5:$S$204,0)+4,"")="","",INDEX('List A'!$C$5:$C$204,IFERROR(MATCH(198,'List A'!$S$5:$S$204,0)+4,"")-4))</f>
        <v/>
      </c>
      <c r="D202" s="53">
        <f>IF(IFERROR(MATCH(198,'List A'!$S$5:$S$204,0)+4,"")="","",INDEX('List A'!$D$5:$D$204,IFERROR(MATCH(198,'List A'!$S$5:$S$204,0)+4,"")-4))</f>
        <v/>
      </c>
      <c r="E202" s="87">
        <f>IF(OR(IFERROR(MATCH(198,'List A'!$S$5:$S$204,0)+4,"")="",IF(IFERROR(MATCH(198,'List A'!$S$5:$S$204,0)+4,"")="","",INDEX('List A'!$K$5:$K$204,IFERROR(MATCH(198,'List A'!$S$5:$S$204,0)+4,"")-4))=""),"",INDEX('List B'!$A$5:$A$204,IF(IFERROR(MATCH(198,'List A'!$S$5:$S$204,0)+4,"")="","",INDEX('List A'!$K$5:$K$204,IFERROR(MATCH(198,'List A'!$S$5:$S$204,0)+4,"")-4))-4))</f>
        <v/>
      </c>
      <c r="F202" s="53">
        <f>IF(OR(IFERROR(MATCH(198,'List A'!$S$5:$S$204,0)+4,"")="",IF(IFERROR(MATCH(198,'List A'!$S$5:$S$204,0)+4,"")="","",INDEX('List A'!$K$5:$K$204,IFERROR(MATCH(198,'List A'!$S$5:$S$204,0)+4,"")-4))=""),"",INDEX('List B'!$B$5:$B$204,IF(IFERROR(MATCH(198,'List A'!$S$5:$S$204,0)+4,"")="","",INDEX('List A'!$K$5:$K$204,IFERROR(MATCH(198,'List A'!$S$5:$S$204,0)+4,"")-4))-4))</f>
        <v/>
      </c>
      <c r="G202" s="52">
        <f>IF(OR(IFERROR(MATCH(198,'List A'!$S$5:$S$204,0)+4,"")="",IF(IFERROR(MATCH(198,'List A'!$S$5:$S$204,0)+4,"")="","",INDEX('List A'!$K$5:$K$204,IFERROR(MATCH(198,'List A'!$S$5:$S$204,0)+4,"")-4))=""),"",INDEX('List B'!$C$5:$C$204,IF(IFERROR(MATCH(198,'List A'!$S$5:$S$204,0)+4,"")="","",INDEX('List A'!$K$5:$K$204,IFERROR(MATCH(198,'List A'!$S$5:$S$204,0)+4,"")-4))-4))</f>
        <v/>
      </c>
      <c r="H202" s="53">
        <f>IF(OR(IFERROR(MATCH(198,'List A'!$S$5:$S$204,0)+4,"")="",IF(IFERROR(MATCH(198,'List A'!$S$5:$S$204,0)+4,"")="","",INDEX('List A'!$K$5:$K$204,IFERROR(MATCH(198,'List A'!$S$5:$S$204,0)+4,"")-4))=""),"",INDEX('List B'!$D$5:$D$204,IF(IFERROR(MATCH(198,'List A'!$S$5:$S$204,0)+4,"")="","",INDEX('List A'!$K$5:$K$204,IFERROR(MATCH(198,'List A'!$S$5:$S$204,0)+4,"")-4))-4))</f>
        <v/>
      </c>
      <c r="I202" s="52">
        <f>IF(IFERROR(MATCH(198,'List A'!$S$5:$S$204,0)+4,"")="","",INDEX('List A'!$N$5:$N$204,IFERROR(MATCH(198,'List A'!$S$5:$S$204,0)+4,"")-4))</f>
        <v/>
      </c>
      <c r="J202" s="53">
        <f>IF(IFERROR(MATCH(198,'List A'!$S$5:$S$204,0)+4,"")="","",INDEX('List A'!$O$5:$O$204,IFERROR(MATCH(198,'List A'!$S$5:$S$204,0)+4,"")-4))</f>
        <v/>
      </c>
    </row>
    <row r="203" ht="17" customHeight="1">
      <c r="A203" s="87">
        <f>IF(IFERROR(MATCH(199,'List A'!$S$5:$S$204,0)+4,"")="","",INDEX('List A'!$A$5:$A$204,IFERROR(MATCH(199,'List A'!$S$5:$S$204,0)+4,"")-4))</f>
        <v/>
      </c>
      <c r="B203" s="53">
        <f>IF(IFERROR(MATCH(199,'List A'!$S$5:$S$204,0)+4,"")="","",INDEX('List A'!$B$5:$B$204,IFERROR(MATCH(199,'List A'!$S$5:$S$204,0)+4,"")-4))</f>
        <v/>
      </c>
      <c r="C203" s="52">
        <f>IF(IFERROR(MATCH(199,'List A'!$S$5:$S$204,0)+4,"")="","",INDEX('List A'!$C$5:$C$204,IFERROR(MATCH(199,'List A'!$S$5:$S$204,0)+4,"")-4))</f>
        <v/>
      </c>
      <c r="D203" s="53">
        <f>IF(IFERROR(MATCH(199,'List A'!$S$5:$S$204,0)+4,"")="","",INDEX('List A'!$D$5:$D$204,IFERROR(MATCH(199,'List A'!$S$5:$S$204,0)+4,"")-4))</f>
        <v/>
      </c>
      <c r="E203" s="87">
        <f>IF(OR(IFERROR(MATCH(199,'List A'!$S$5:$S$204,0)+4,"")="",IF(IFERROR(MATCH(199,'List A'!$S$5:$S$204,0)+4,"")="","",INDEX('List A'!$K$5:$K$204,IFERROR(MATCH(199,'List A'!$S$5:$S$204,0)+4,"")-4))=""),"",INDEX('List B'!$A$5:$A$204,IF(IFERROR(MATCH(199,'List A'!$S$5:$S$204,0)+4,"")="","",INDEX('List A'!$K$5:$K$204,IFERROR(MATCH(199,'List A'!$S$5:$S$204,0)+4,"")-4))-4))</f>
        <v/>
      </c>
      <c r="F203" s="53">
        <f>IF(OR(IFERROR(MATCH(199,'List A'!$S$5:$S$204,0)+4,"")="",IF(IFERROR(MATCH(199,'List A'!$S$5:$S$204,0)+4,"")="","",INDEX('List A'!$K$5:$K$204,IFERROR(MATCH(199,'List A'!$S$5:$S$204,0)+4,"")-4))=""),"",INDEX('List B'!$B$5:$B$204,IF(IFERROR(MATCH(199,'List A'!$S$5:$S$204,0)+4,"")="","",INDEX('List A'!$K$5:$K$204,IFERROR(MATCH(199,'List A'!$S$5:$S$204,0)+4,"")-4))-4))</f>
        <v/>
      </c>
      <c r="G203" s="52">
        <f>IF(OR(IFERROR(MATCH(199,'List A'!$S$5:$S$204,0)+4,"")="",IF(IFERROR(MATCH(199,'List A'!$S$5:$S$204,0)+4,"")="","",INDEX('List A'!$K$5:$K$204,IFERROR(MATCH(199,'List A'!$S$5:$S$204,0)+4,"")-4))=""),"",INDEX('List B'!$C$5:$C$204,IF(IFERROR(MATCH(199,'List A'!$S$5:$S$204,0)+4,"")="","",INDEX('List A'!$K$5:$K$204,IFERROR(MATCH(199,'List A'!$S$5:$S$204,0)+4,"")-4))-4))</f>
        <v/>
      </c>
      <c r="H203" s="53">
        <f>IF(OR(IFERROR(MATCH(199,'List A'!$S$5:$S$204,0)+4,"")="",IF(IFERROR(MATCH(199,'List A'!$S$5:$S$204,0)+4,"")="","",INDEX('List A'!$K$5:$K$204,IFERROR(MATCH(199,'List A'!$S$5:$S$204,0)+4,"")-4))=""),"",INDEX('List B'!$D$5:$D$204,IF(IFERROR(MATCH(199,'List A'!$S$5:$S$204,0)+4,"")="","",INDEX('List A'!$K$5:$K$204,IFERROR(MATCH(199,'List A'!$S$5:$S$204,0)+4,"")-4))-4))</f>
        <v/>
      </c>
      <c r="I203" s="52">
        <f>IF(IFERROR(MATCH(199,'List A'!$S$5:$S$204,0)+4,"")="","",INDEX('List A'!$N$5:$N$204,IFERROR(MATCH(199,'List A'!$S$5:$S$204,0)+4,"")-4))</f>
        <v/>
      </c>
      <c r="J203" s="53">
        <f>IF(IFERROR(MATCH(199,'List A'!$S$5:$S$204,0)+4,"")="","",INDEX('List A'!$O$5:$O$204,IFERROR(MATCH(199,'List A'!$S$5:$S$204,0)+4,"")-4))</f>
        <v/>
      </c>
    </row>
    <row r="204" ht="17" customHeight="1">
      <c r="A204" s="87">
        <f>IF(IFERROR(MATCH(200,'List A'!$S$5:$S$204,0)+4,"")="","",INDEX('List A'!$A$5:$A$204,IFERROR(MATCH(200,'List A'!$S$5:$S$204,0)+4,"")-4))</f>
        <v/>
      </c>
      <c r="B204" s="53">
        <f>IF(IFERROR(MATCH(200,'List A'!$S$5:$S$204,0)+4,"")="","",INDEX('List A'!$B$5:$B$204,IFERROR(MATCH(200,'List A'!$S$5:$S$204,0)+4,"")-4))</f>
        <v/>
      </c>
      <c r="C204" s="52">
        <f>IF(IFERROR(MATCH(200,'List A'!$S$5:$S$204,0)+4,"")="","",INDEX('List A'!$C$5:$C$204,IFERROR(MATCH(200,'List A'!$S$5:$S$204,0)+4,"")-4))</f>
        <v/>
      </c>
      <c r="D204" s="53">
        <f>IF(IFERROR(MATCH(200,'List A'!$S$5:$S$204,0)+4,"")="","",INDEX('List A'!$D$5:$D$204,IFERROR(MATCH(200,'List A'!$S$5:$S$204,0)+4,"")-4))</f>
        <v/>
      </c>
      <c r="E204" s="87">
        <f>IF(OR(IFERROR(MATCH(200,'List A'!$S$5:$S$204,0)+4,"")="",IF(IFERROR(MATCH(200,'List A'!$S$5:$S$204,0)+4,"")="","",INDEX('List A'!$K$5:$K$204,IFERROR(MATCH(200,'List A'!$S$5:$S$204,0)+4,"")-4))=""),"",INDEX('List B'!$A$5:$A$204,IF(IFERROR(MATCH(200,'List A'!$S$5:$S$204,0)+4,"")="","",INDEX('List A'!$K$5:$K$204,IFERROR(MATCH(200,'List A'!$S$5:$S$204,0)+4,"")-4))-4))</f>
        <v/>
      </c>
      <c r="F204" s="53">
        <f>IF(OR(IFERROR(MATCH(200,'List A'!$S$5:$S$204,0)+4,"")="",IF(IFERROR(MATCH(200,'List A'!$S$5:$S$204,0)+4,"")="","",INDEX('List A'!$K$5:$K$204,IFERROR(MATCH(200,'List A'!$S$5:$S$204,0)+4,"")-4))=""),"",INDEX('List B'!$B$5:$B$204,IF(IFERROR(MATCH(200,'List A'!$S$5:$S$204,0)+4,"")="","",INDEX('List A'!$K$5:$K$204,IFERROR(MATCH(200,'List A'!$S$5:$S$204,0)+4,"")-4))-4))</f>
        <v/>
      </c>
      <c r="G204" s="52">
        <f>IF(OR(IFERROR(MATCH(200,'List A'!$S$5:$S$204,0)+4,"")="",IF(IFERROR(MATCH(200,'List A'!$S$5:$S$204,0)+4,"")="","",INDEX('List A'!$K$5:$K$204,IFERROR(MATCH(200,'List A'!$S$5:$S$204,0)+4,"")-4))=""),"",INDEX('List B'!$C$5:$C$204,IF(IFERROR(MATCH(200,'List A'!$S$5:$S$204,0)+4,"")="","",INDEX('List A'!$K$5:$K$204,IFERROR(MATCH(200,'List A'!$S$5:$S$204,0)+4,"")-4))-4))</f>
        <v/>
      </c>
      <c r="H204" s="53">
        <f>IF(OR(IFERROR(MATCH(200,'List A'!$S$5:$S$204,0)+4,"")="",IF(IFERROR(MATCH(200,'List A'!$S$5:$S$204,0)+4,"")="","",INDEX('List A'!$K$5:$K$204,IFERROR(MATCH(200,'List A'!$S$5:$S$204,0)+4,"")-4))=""),"",INDEX('List B'!$D$5:$D$204,IF(IFERROR(MATCH(200,'List A'!$S$5:$S$204,0)+4,"")="","",INDEX('List A'!$K$5:$K$204,IFERROR(MATCH(200,'List A'!$S$5:$S$204,0)+4,"")-4))-4))</f>
        <v/>
      </c>
      <c r="I204" s="52">
        <f>IF(IFERROR(MATCH(200,'List A'!$S$5:$S$204,0)+4,"")="","",INDEX('List A'!$N$5:$N$204,IFERROR(MATCH(200,'List A'!$S$5:$S$204,0)+4,"")-4))</f>
        <v/>
      </c>
      <c r="J204" s="53">
        <f>IF(IFERROR(MATCH(200,'List A'!$S$5:$S$204,0)+4,"")="","",INDEX('List A'!$O$5:$O$204,IFERROR(MATCH(200,'List A'!$S$5:$S$204,0)+4,"")-4))</f>
        <v/>
      </c>
    </row>
  </sheetData>
  <mergeCells count="3">
    <mergeCell ref="A1:J1"/>
    <mergeCell ref="A3:J3"/>
    <mergeCell ref="A2:J2"/>
  </mergeCells>
  <conditionalFormatting sqref="A5:J204">
    <cfRule type="expression" priority="1" dxfId="5">
      <formula>$A5&lt;&gt;""</formula>
    </cfRule>
  </conditionalFormatting>
  <printOptions horizontalCentered="1"/>
  <pageMargins left="0.5" right="0.5" top="0.55" bottom="0.55" header="0.3" footer="0.3"/>
  <pageSetup orientation="landscape" paperSize="1" fitToHeight="0" fitToWidth="1"/>
  <headerFooter>
    <oddHeader>&amp;LDifferences</oddHeader>
    <oddFooter>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H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30" customHeight="1">
      <c r="A1" s="62" t="inlineStr">
        <is>
          <t>How to use this template</t>
        </is>
      </c>
      <c r="B1" s="88" t="n"/>
      <c r="C1" s="88" t="n"/>
      <c r="D1" s="88" t="n"/>
      <c r="E1" s="88" t="n"/>
      <c r="F1" s="88" t="n"/>
      <c r="G1" s="88" t="n"/>
      <c r="H1" s="88" t="n"/>
    </row>
    <row r="2">
      <c r="A2" s="63" t="n"/>
      <c r="B2" s="64" t="inlineStr">
        <is>
          <t>Match two transaction lists (bank vs books, card vs expense log, two exports) and see what ties out.</t>
        </is>
      </c>
      <c r="C2" s="88" t="n"/>
      <c r="D2" s="88" t="n"/>
      <c r="E2" s="88" t="n"/>
      <c r="F2" s="88" t="n"/>
      <c r="G2" s="88" t="n"/>
      <c r="H2" s="63" t="n"/>
    </row>
    <row r="3">
      <c r="A3" s="63" t="n"/>
      <c r="B3" s="63" t="n"/>
      <c r="C3" s="63" t="n"/>
      <c r="D3" s="63" t="n"/>
      <c r="E3" s="63" t="n"/>
      <c r="F3" s="63" t="n"/>
      <c r="G3" s="63" t="n"/>
      <c r="H3" s="63" t="n"/>
    </row>
    <row r="4" ht="22" customHeight="1">
      <c r="A4" s="63" t="n"/>
      <c r="B4" s="65" t="inlineStr">
        <is>
          <t>1. Five-minute start</t>
        </is>
      </c>
      <c r="C4" s="88" t="n"/>
      <c r="D4" s="88" t="n"/>
      <c r="E4" s="88" t="n"/>
      <c r="F4" s="88" t="n"/>
      <c r="G4" s="88" t="n"/>
      <c r="H4" s="63" t="n"/>
    </row>
    <row r="5" ht="40" customHeight="1">
      <c r="A5" s="63" t="n"/>
      <c r="B5" s="66" t="inlineStr">
        <is>
          <t>1. On the Dashboard, name List A and List B (e.g. Bank statement / Books). Leave Match method on Date + amount unless you know you need something else.</t>
        </is>
      </c>
      <c r="C5" s="84" t="n"/>
      <c r="D5" s="84" t="n"/>
      <c r="E5" s="84" t="n"/>
      <c r="F5" s="84" t="n"/>
      <c r="G5" s="85" t="n"/>
      <c r="H5" s="63" t="n"/>
    </row>
    <row r="6" ht="40" customHeight="1">
      <c r="A6" s="63" t="n"/>
      <c r="B6" s="66" t="inlineStr">
        <is>
          <t>2. Open List A. Replace the sample (or delete columns A–H) and paste your first export: Date, Description, Amount. Add Transaction ID when you have a check # or invoice #.</t>
        </is>
      </c>
      <c r="C6" s="84" t="n"/>
      <c r="D6" s="84" t="n"/>
      <c r="E6" s="84" t="n"/>
      <c r="F6" s="84" t="n"/>
      <c r="G6" s="85" t="n"/>
      <c r="H6" s="63" t="n"/>
    </row>
    <row r="7" ht="40" customHeight="1">
      <c r="A7" s="63" t="n"/>
      <c r="B7" s="66" t="inlineStr">
        <is>
          <t>3. Open List B and paste the second export the same way. Use the same sign convention on both lists (money in +, money out −).</t>
        </is>
      </c>
      <c r="C7" s="84" t="n"/>
      <c r="D7" s="84" t="n"/>
      <c r="E7" s="84" t="n"/>
      <c r="F7" s="84" t="n"/>
      <c r="G7" s="85" t="n"/>
      <c r="H7" s="63" t="n"/>
    </row>
    <row r="8" ht="40" customHeight="1">
      <c r="A8" s="63" t="n"/>
      <c r="B8" s="66" t="inlineStr">
        <is>
          <t>4. Return to the Dashboard. Progress, unmatched counts, and variance update immediately.</t>
        </is>
      </c>
      <c r="C8" s="84" t="n"/>
      <c r="D8" s="84" t="n"/>
      <c r="E8" s="84" t="n"/>
      <c r="F8" s="84" t="n"/>
      <c r="G8" s="85" t="n"/>
      <c r="H8" s="63" t="n"/>
    </row>
    <row r="9" ht="40" customHeight="1">
      <c r="A9" s="63" t="n"/>
      <c r="B9" s="66" t="inlineStr">
        <is>
          <t>5. Work Unmatched A, Unmatched B, then Differences. Mark leftovers Reviewed when you have explained them.</t>
        </is>
      </c>
      <c r="C9" s="84" t="n"/>
      <c r="D9" s="84" t="n"/>
      <c r="E9" s="84" t="n"/>
      <c r="F9" s="84" t="n"/>
      <c r="G9" s="85" t="n"/>
      <c r="H9" s="63" t="n"/>
    </row>
    <row r="10" ht="50" customHeight="1">
      <c r="A10" s="63" t="n"/>
      <c r="B10" s="67" t="inlineStr">
        <is>
          <t>[Screenshot: Dashboard progress and unmatched cards]</t>
        </is>
      </c>
      <c r="C10" s="89" t="n"/>
      <c r="D10" s="89" t="n"/>
      <c r="E10" s="89" t="n"/>
      <c r="F10" s="89" t="n"/>
      <c r="G10" s="90" t="n"/>
      <c r="H10" s="63" t="n"/>
    </row>
    <row r="11">
      <c r="A11" s="63" t="n"/>
      <c r="B11" s="63" t="n"/>
      <c r="C11" s="63" t="n"/>
      <c r="D11" s="63" t="n"/>
      <c r="E11" s="63" t="n"/>
      <c r="F11" s="63" t="n"/>
      <c r="G11" s="63" t="n"/>
      <c r="H11" s="63" t="n"/>
    </row>
    <row r="12" ht="22" customHeight="1">
      <c r="A12" s="63" t="n"/>
      <c r="B12" s="65" t="inlineStr">
        <is>
          <t>2. How matching works</t>
        </is>
      </c>
      <c r="C12" s="88" t="n"/>
      <c r="D12" s="88" t="n"/>
      <c r="E12" s="88" t="n"/>
      <c r="F12" s="88" t="n"/>
      <c r="G12" s="88" t="n"/>
      <c r="H12" s="63" t="n"/>
    </row>
    <row r="13" ht="32" customHeight="1">
      <c r="A13" s="63" t="n"/>
      <c r="B13" s="66" t="inlineStr">
        <is>
          <t>Each row builds a match key, then a running count so two identical $50 charges become pair 1 and pair 2 — they do not collapse into one.</t>
        </is>
      </c>
      <c r="C13" s="84" t="n"/>
      <c r="D13" s="84" t="n"/>
      <c r="E13" s="84" t="n"/>
      <c r="F13" s="84" t="n"/>
      <c r="G13" s="85" t="n"/>
      <c r="H13" s="63" t="n"/>
    </row>
    <row r="14" ht="32" customHeight="1">
      <c r="A14" s="63" t="n"/>
      <c r="B14" s="66" t="inlineStr">
        <is>
          <t>Priority: (1) Manual pair code if you typed one. (2) Transaction ID if that cell is filled. (3) The Match method on the Dashboard.</t>
        </is>
      </c>
      <c r="C14" s="84" t="n"/>
      <c r="D14" s="84" t="n"/>
      <c r="E14" s="84" t="n"/>
      <c r="F14" s="84" t="n"/>
      <c r="G14" s="85" t="n"/>
      <c r="H14" s="63" t="n"/>
    </row>
    <row r="15" ht="24" customHeight="1">
      <c r="A15" s="63" t="n"/>
      <c r="B15" s="66" t="inlineStr">
        <is>
          <t>Date + amount — same day and same amount. Best default for a bank rec.</t>
        </is>
      </c>
      <c r="C15" s="84" t="n"/>
      <c r="D15" s="84" t="n"/>
      <c r="E15" s="84" t="n"/>
      <c r="F15" s="84" t="n"/>
      <c r="G15" s="85" t="n"/>
      <c r="H15" s="63" t="n"/>
    </row>
    <row r="16" ht="24" customHeight="1">
      <c r="A16" s="63" t="n"/>
      <c r="B16" s="66" t="inlineStr">
        <is>
          <t>Amount only — ignores date. Use when one file is missing dates or dates are off by a day.</t>
        </is>
      </c>
      <c r="C16" s="84" t="n"/>
      <c r="D16" s="84" t="n"/>
      <c r="E16" s="84" t="n"/>
      <c r="F16" s="84" t="n"/>
      <c r="G16" s="85" t="n"/>
      <c r="H16" s="63" t="n"/>
    </row>
    <row r="17" ht="48" customHeight="1">
      <c r="A17" s="63" t="n"/>
      <c r="B17" s="66" t="inlineStr">
        <is>
          <t>Tolerance methods — amounts that round into the same bucket (Amount ÷ Tolerance) pair. $100.00 and $100.02 match at $0.05. $100.00 and $100.04 may not. This is bucket matching, not “every pair within $0.05.”</t>
        </is>
      </c>
      <c r="C17" s="84" t="n"/>
      <c r="D17" s="84" t="n"/>
      <c r="E17" s="84" t="n"/>
      <c r="F17" s="84" t="n"/>
      <c r="G17" s="85" t="n"/>
      <c r="H17" s="63" t="n"/>
    </row>
    <row r="18" ht="24" customHeight="1">
      <c r="A18" s="63" t="n"/>
      <c r="B18" s="66" t="inlineStr">
        <is>
          <t>Description (exact) — trimmed, case-insensitive full description. Fragile; prefer IDs.</t>
        </is>
      </c>
      <c r="C18" s="84" t="n"/>
      <c r="D18" s="84" t="n"/>
      <c r="E18" s="84" t="n"/>
      <c r="F18" s="84" t="n"/>
      <c r="G18" s="85" t="n"/>
      <c r="H18" s="63" t="n"/>
    </row>
    <row r="19" ht="24" customHeight="1">
      <c r="A19" s="63" t="n"/>
      <c r="B19" s="66" t="inlineStr">
        <is>
          <t>Reference / ID only — only rows with a Transaction ID pair. Everything else stays unmatched.</t>
        </is>
      </c>
      <c r="C19" s="84" t="n"/>
      <c r="D19" s="84" t="n"/>
      <c r="E19" s="84" t="n"/>
      <c r="F19" s="84" t="n"/>
      <c r="G19" s="85" t="n"/>
      <c r="H19" s="63" t="n"/>
    </row>
    <row r="20" ht="32" customHeight="1">
      <c r="A20" s="63" t="n"/>
      <c r="B20" s="66" t="inlineStr">
        <is>
          <t>Matched = pair found and |A − B| ≤ Tolerance. Difference = pair found but amounts disagree. Unmatched = no pair.</t>
        </is>
      </c>
      <c r="C20" s="84" t="n"/>
      <c r="D20" s="84" t="n"/>
      <c r="E20" s="84" t="n"/>
      <c r="F20" s="84" t="n"/>
      <c r="G20" s="85" t="n"/>
      <c r="H20" s="63" t="n"/>
    </row>
    <row r="21" ht="50" customHeight="1">
      <c r="A21" s="63" t="n"/>
      <c r="B21" s="67" t="inlineStr">
        <is>
          <t>[Screenshot: List A with green matched, amber difference, red unmatched]</t>
        </is>
      </c>
      <c r="C21" s="89" t="n"/>
      <c r="D21" s="89" t="n"/>
      <c r="E21" s="89" t="n"/>
      <c r="F21" s="89" t="n"/>
      <c r="G21" s="90" t="n"/>
      <c r="H21" s="63" t="n"/>
    </row>
    <row r="22">
      <c r="A22" s="63" t="n"/>
      <c r="B22" s="63" t="n"/>
      <c r="C22" s="63" t="n"/>
      <c r="D22" s="63" t="n"/>
      <c r="E22" s="63" t="n"/>
      <c r="F22" s="63" t="n"/>
      <c r="G22" s="63" t="n"/>
      <c r="H22" s="63" t="n"/>
    </row>
    <row r="23" ht="22" customHeight="1">
      <c r="A23" s="63" t="n"/>
      <c r="B23" s="65" t="inlineStr">
        <is>
          <t>3. Manual pairs and Reviewed</t>
        </is>
      </c>
      <c r="C23" s="88" t="n"/>
      <c r="D23" s="88" t="n"/>
      <c r="E23" s="88" t="n"/>
      <c r="F23" s="88" t="n"/>
      <c r="G23" s="88" t="n"/>
      <c r="H23" s="63" t="n"/>
    </row>
    <row r="24" ht="44" customHeight="1">
      <c r="A24" s="63" t="n"/>
      <c r="B24" s="66" t="inlineStr">
        <is>
          <t>To force two rows together, type the same short code (M1, M2, …) in Manual pair on one List A row and one List B row. They pair even if date and amount differ. If the amounts disagree, the pair lands on Differences.</t>
        </is>
      </c>
      <c r="C24" s="84" t="n"/>
      <c r="D24" s="84" t="n"/>
      <c r="E24" s="84" t="n"/>
      <c r="F24" s="84" t="n"/>
      <c r="G24" s="85" t="n"/>
      <c r="H24" s="63" t="n"/>
    </row>
    <row r="25" ht="32" customHeight="1">
      <c r="A25" s="63" t="n"/>
      <c r="B25" s="66" t="inlineStr">
        <is>
          <t>Reviewed? is a tick for you. It does not create a match. Use it on unexplained unmatched items you have already looked at.</t>
        </is>
      </c>
      <c r="C25" s="84" t="n"/>
      <c r="D25" s="84" t="n"/>
      <c r="E25" s="84" t="n"/>
      <c r="F25" s="84" t="n"/>
      <c r="G25" s="85" t="n"/>
      <c r="H25" s="63" t="n"/>
    </row>
    <row r="26">
      <c r="A26" s="63" t="n"/>
      <c r="B26" s="63" t="n"/>
      <c r="C26" s="63" t="n"/>
      <c r="D26" s="63" t="n"/>
      <c r="E26" s="63" t="n"/>
      <c r="F26" s="63" t="n"/>
      <c r="G26" s="63" t="n"/>
      <c r="H26" s="63" t="n"/>
    </row>
    <row r="27" ht="22" customHeight="1">
      <c r="A27" s="63" t="n"/>
      <c r="B27" s="65" t="inlineStr">
        <is>
          <t>4. Color key</t>
        </is>
      </c>
      <c r="C27" s="88" t="n"/>
      <c r="D27" s="88" t="n"/>
      <c r="E27" s="88" t="n"/>
      <c r="F27" s="88" t="n"/>
      <c r="G27" s="88" t="n"/>
      <c r="H27" s="63" t="n"/>
    </row>
    <row r="28" ht="22" customHeight="1">
      <c r="A28" s="63" t="n"/>
      <c r="B28" s="66" t="inlineStr">
        <is>
          <t>Blue = type or paste.    Gray = formula.</t>
        </is>
      </c>
      <c r="C28" s="84" t="n"/>
      <c r="D28" s="84" t="n"/>
      <c r="E28" s="84" t="n"/>
      <c r="F28" s="84" t="n"/>
      <c r="G28" s="85" t="n"/>
      <c r="H28" s="63" t="n"/>
    </row>
    <row r="29" ht="24" customHeight="1">
      <c r="A29" s="63" t="n"/>
      <c r="B29" s="66" t="inlineStr">
        <is>
          <t>Green = fully matched.    Amber = paired with an amount difference.    Red = unmatched.</t>
        </is>
      </c>
      <c r="C29" s="84" t="n"/>
      <c r="D29" s="84" t="n"/>
      <c r="E29" s="84" t="n"/>
      <c r="F29" s="84" t="n"/>
      <c r="G29" s="85" t="n"/>
      <c r="H29" s="63" t="n"/>
    </row>
    <row r="30">
      <c r="A30" s="63" t="n"/>
      <c r="B30" s="63" t="n"/>
      <c r="C30" s="63" t="n"/>
      <c r="D30" s="63" t="n"/>
      <c r="E30" s="63" t="n"/>
      <c r="F30" s="63" t="n"/>
      <c r="G30" s="63" t="n"/>
      <c r="H30" s="63" t="n"/>
    </row>
    <row r="31" ht="22" customHeight="1">
      <c r="A31" s="63" t="n"/>
      <c r="B31" s="65" t="inlineStr">
        <is>
          <t>5. Start a new reconciliation</t>
        </is>
      </c>
      <c r="C31" s="88" t="n"/>
      <c r="D31" s="88" t="n"/>
      <c r="E31" s="88" t="n"/>
      <c r="F31" s="88" t="n"/>
      <c r="G31" s="88" t="n"/>
      <c r="H31" s="63" t="n"/>
    </row>
    <row r="32" ht="28" customHeight="1">
      <c r="A32" s="63" t="n"/>
      <c r="B32" s="66" t="inlineStr">
        <is>
          <t>•  Save As / Make a copy if you need a history of this period.</t>
        </is>
      </c>
      <c r="C32" s="84" t="n"/>
      <c r="D32" s="84" t="n"/>
      <c r="E32" s="84" t="n"/>
      <c r="F32" s="84" t="n"/>
      <c r="G32" s="85" t="n"/>
      <c r="H32" s="63" t="n"/>
    </row>
    <row r="33" ht="28" customHeight="1">
      <c r="A33" s="63" t="n"/>
      <c r="B33" s="66" t="inlineStr">
        <is>
          <t>•  On List A and List B, select columns A–H and press Delete. Do not clear gray columns.</t>
        </is>
      </c>
      <c r="C33" s="84" t="n"/>
      <c r="D33" s="84" t="n"/>
      <c r="E33" s="84" t="n"/>
      <c r="F33" s="84" t="n"/>
      <c r="G33" s="85" t="n"/>
      <c r="H33" s="63" t="n"/>
    </row>
    <row r="34" ht="28" customHeight="1">
      <c r="A34" s="63" t="n"/>
      <c r="B34" s="66" t="inlineStr">
        <is>
          <t>•  Paste the new files. Set names, method, and tolerance on the Dashboard.</t>
        </is>
      </c>
      <c r="C34" s="84" t="n"/>
      <c r="D34" s="84" t="n"/>
      <c r="E34" s="84" t="n"/>
      <c r="F34" s="84" t="n"/>
      <c r="G34" s="85" t="n"/>
      <c r="H34" s="63" t="n"/>
    </row>
    <row r="35" ht="28" customHeight="1">
      <c r="A35" s="63" t="n"/>
      <c r="B35" s="66" t="inlineStr">
        <is>
          <t>•  Result tabs (Matched, Unmatched, Differences) refill themselves.</t>
        </is>
      </c>
      <c r="C35" s="84" t="n"/>
      <c r="D35" s="84" t="n"/>
      <c r="E35" s="84" t="n"/>
      <c r="F35" s="84" t="n"/>
      <c r="G35" s="85" t="n"/>
      <c r="H35" s="63" t="n"/>
    </row>
    <row r="36">
      <c r="A36" s="63" t="n"/>
      <c r="B36" s="63" t="n"/>
      <c r="C36" s="63" t="n"/>
      <c r="D36" s="63" t="n"/>
      <c r="E36" s="63" t="n"/>
      <c r="F36" s="63" t="n"/>
      <c r="G36" s="63" t="n"/>
      <c r="H36" s="63" t="n"/>
    </row>
    <row r="37" ht="22" customHeight="1">
      <c r="A37" s="63" t="n"/>
      <c r="B37" s="65" t="inlineStr">
        <is>
          <t>6. Tips for real accounting work</t>
        </is>
      </c>
      <c r="C37" s="88" t="n"/>
      <c r="D37" s="88" t="n"/>
      <c r="E37" s="88" t="n"/>
      <c r="F37" s="88" t="n"/>
      <c r="G37" s="88" t="n"/>
      <c r="H37" s="63" t="n"/>
    </row>
    <row r="38" ht="36" customHeight="1">
      <c r="A38" s="63" t="n"/>
      <c r="B38" s="66" t="inlineStr">
        <is>
          <t>•  Put check numbers and invoice numbers in Transaction ID on both lists whenever you can. That is the most reliable match.</t>
        </is>
      </c>
      <c r="C38" s="84" t="n"/>
      <c r="D38" s="84" t="n"/>
      <c r="E38" s="84" t="n"/>
      <c r="F38" s="84" t="n"/>
      <c r="G38" s="85" t="n"/>
      <c r="H38" s="63" t="n"/>
    </row>
    <row r="39" ht="36" customHeight="1">
      <c r="A39" s="63" t="n"/>
      <c r="B39" s="66" t="inlineStr">
        <is>
          <t>•  If the bank total and the books total already disagree, the Net variance card is that gap. Unmatched items should explain it.</t>
        </is>
      </c>
      <c r="C39" s="84" t="n"/>
      <c r="D39" s="84" t="n"/>
      <c r="E39" s="84" t="n"/>
      <c r="F39" s="84" t="n"/>
      <c r="G39" s="85" t="n"/>
      <c r="H39" s="63" t="n"/>
    </row>
    <row r="40" ht="36" customHeight="1">
      <c r="A40" s="63" t="n"/>
      <c r="B40" s="66" t="inlineStr">
        <is>
          <t>•  This is a working paper, not a general ledger. Export or print Unmatched and Differences for the rec package.</t>
        </is>
      </c>
      <c r="C40" s="84" t="n"/>
      <c r="D40" s="84" t="n"/>
      <c r="E40" s="84" t="n"/>
      <c r="F40" s="84" t="n"/>
      <c r="G40" s="85" t="n"/>
      <c r="H40" s="63" t="n"/>
    </row>
    <row r="41" ht="36" customHeight="1">
      <c r="A41" s="63" t="n"/>
      <c r="B41" s="66" t="inlineStr">
        <is>
          <t>•  Google Sheets: upload the file. Formulas and dropdowns come across. Re-apply a dropdown from Dashboard column N if one is missing.</t>
        </is>
      </c>
      <c r="C41" s="84" t="n"/>
      <c r="D41" s="84" t="n"/>
      <c r="E41" s="84" t="n"/>
      <c r="F41" s="84" t="n"/>
      <c r="G41" s="85" t="n"/>
      <c r="H41" s="63" t="n"/>
    </row>
    <row r="42">
      <c r="A42" s="63" t="n"/>
      <c r="B42" s="63" t="n"/>
      <c r="C42" s="63" t="n"/>
      <c r="D42" s="63" t="n"/>
      <c r="E42" s="63" t="n"/>
      <c r="F42" s="63" t="n"/>
      <c r="G42" s="63" t="n"/>
      <c r="H42" s="63" t="n"/>
    </row>
    <row r="43" ht="22" customHeight="1">
      <c r="A43" s="63" t="n"/>
      <c r="B43" s="65" t="inlineStr">
        <is>
          <t>7. What this template does not do</t>
        </is>
      </c>
      <c r="C43" s="88" t="n"/>
      <c r="D43" s="88" t="n"/>
      <c r="E43" s="88" t="n"/>
      <c r="F43" s="88" t="n"/>
      <c r="G43" s="88" t="n"/>
      <c r="H43" s="63" t="n"/>
    </row>
    <row r="44" ht="48" customHeight="1">
      <c r="A44" s="63" t="n"/>
      <c r="B44" s="66" t="inlineStr">
        <is>
          <t>It does not import bank CSVs by itself, match many-to-one splits (one deposit vs three invoices) automatically, or post adjusting entries. Split deposits: either combine them on one side or use Manual pair after you have identified the pieces.</t>
        </is>
      </c>
      <c r="C44" s="84" t="n"/>
      <c r="D44" s="84" t="n"/>
      <c r="E44" s="84" t="n"/>
      <c r="F44" s="84" t="n"/>
      <c r="G44" s="85" t="n"/>
      <c r="H44" s="63" t="n"/>
    </row>
    <row r="45">
      <c r="A45" s="63" t="n"/>
      <c r="B45" s="63" t="n"/>
      <c r="C45" s="63" t="n"/>
      <c r="D45" s="63" t="n"/>
      <c r="E45" s="63" t="n"/>
      <c r="F45" s="63" t="n"/>
      <c r="G45" s="63" t="n"/>
      <c r="H45" s="63" t="n"/>
    </row>
    <row r="46">
      <c r="A46" s="63" t="n"/>
      <c r="B46" s="64" t="inlineStr">
        <is>
          <t>Empty blue rows are unused. You do not need to fill the sheet.</t>
        </is>
      </c>
      <c r="C46" s="88" t="n"/>
      <c r="D46" s="88" t="n"/>
      <c r="E46" s="88" t="n"/>
      <c r="F46" s="88" t="n"/>
      <c r="G46" s="88" t="n"/>
      <c r="H46" s="63" t="n"/>
    </row>
    <row r="47">
      <c r="A47" s="63" t="n"/>
      <c r="B47" s="63" t="n"/>
      <c r="C47" s="63" t="n"/>
      <c r="D47" s="63" t="n"/>
      <c r="E47" s="63" t="n"/>
      <c r="F47" s="63" t="n"/>
      <c r="G47" s="63" t="n"/>
      <c r="H47" s="63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</row>
    <row r="82">
      <c r="A82" s="25" t="n"/>
      <c r="B82" s="25" t="n"/>
      <c r="C82" s="25" t="n"/>
      <c r="D82" s="25" t="n"/>
      <c r="E82" s="25" t="n"/>
      <c r="F82" s="25" t="n"/>
      <c r="G82" s="25" t="n"/>
      <c r="H82" s="25" t="n"/>
    </row>
    <row r="83">
      <c r="A83" s="25" t="n"/>
      <c r="B83" s="25" t="n"/>
      <c r="C83" s="25" t="n"/>
      <c r="D83" s="25" t="n"/>
      <c r="E83" s="25" t="n"/>
      <c r="F83" s="25" t="n"/>
      <c r="G83" s="25" t="n"/>
      <c r="H83" s="25" t="n"/>
    </row>
    <row r="84">
      <c r="A84" s="25" t="n"/>
      <c r="B84" s="25" t="n"/>
      <c r="C84" s="25" t="n"/>
      <c r="D84" s="25" t="n"/>
      <c r="E84" s="25" t="n"/>
      <c r="F84" s="25" t="n"/>
      <c r="G84" s="25" t="n"/>
      <c r="H84" s="25" t="n"/>
    </row>
    <row r="85">
      <c r="A85" s="25" t="n"/>
      <c r="B85" s="25" t="n"/>
      <c r="C85" s="25" t="n"/>
      <c r="D85" s="25" t="n"/>
      <c r="E85" s="25" t="n"/>
      <c r="F85" s="25" t="n"/>
      <c r="G85" s="25" t="n"/>
      <c r="H85" s="25" t="n"/>
    </row>
    <row r="86">
      <c r="A86" s="25" t="n"/>
      <c r="B86" s="25" t="n"/>
      <c r="C86" s="25" t="n"/>
      <c r="D86" s="25" t="n"/>
      <c r="E86" s="25" t="n"/>
      <c r="F86" s="25" t="n"/>
      <c r="G86" s="25" t="n"/>
      <c r="H86" s="25" t="n"/>
    </row>
    <row r="87">
      <c r="A87" s="25" t="n"/>
      <c r="B87" s="25" t="n"/>
      <c r="C87" s="25" t="n"/>
      <c r="D87" s="25" t="n"/>
      <c r="E87" s="25" t="n"/>
      <c r="F87" s="25" t="n"/>
      <c r="G87" s="25" t="n"/>
      <c r="H87" s="25" t="n"/>
    </row>
    <row r="88">
      <c r="A88" s="25" t="n"/>
      <c r="B88" s="25" t="n"/>
      <c r="C88" s="25" t="n"/>
      <c r="D88" s="25" t="n"/>
      <c r="E88" s="25" t="n"/>
      <c r="F88" s="25" t="n"/>
      <c r="G88" s="25" t="n"/>
      <c r="H88" s="25" t="n"/>
    </row>
    <row r="89">
      <c r="A89" s="25" t="n"/>
      <c r="B89" s="25" t="n"/>
      <c r="C89" s="25" t="n"/>
      <c r="D89" s="25" t="n"/>
      <c r="E89" s="25" t="n"/>
      <c r="F89" s="25" t="n"/>
      <c r="G89" s="25" t="n"/>
      <c r="H89" s="25" t="n"/>
    </row>
    <row r="90">
      <c r="A90" s="25" t="n"/>
      <c r="B90" s="25" t="n"/>
      <c r="C90" s="25" t="n"/>
      <c r="D90" s="25" t="n"/>
      <c r="E90" s="25" t="n"/>
      <c r="F90" s="25" t="n"/>
      <c r="G90" s="25" t="n"/>
      <c r="H90" s="25" t="n"/>
    </row>
  </sheetData>
  <mergeCells count="38">
    <mergeCell ref="B2:G2"/>
    <mergeCell ref="B14:G14"/>
    <mergeCell ref="B17:G17"/>
    <mergeCell ref="B23:G23"/>
    <mergeCell ref="B8:G8"/>
    <mergeCell ref="B13:G13"/>
    <mergeCell ref="A1:H1"/>
    <mergeCell ref="B44:G44"/>
    <mergeCell ref="B29:G29"/>
    <mergeCell ref="B38:G38"/>
    <mergeCell ref="B19:G19"/>
    <mergeCell ref="B34:G34"/>
    <mergeCell ref="B10:G10"/>
    <mergeCell ref="B28:G28"/>
    <mergeCell ref="B37:G37"/>
    <mergeCell ref="B9:G9"/>
    <mergeCell ref="B40:G40"/>
    <mergeCell ref="B15:G15"/>
    <mergeCell ref="B33:G33"/>
    <mergeCell ref="B6:G6"/>
    <mergeCell ref="B24:G24"/>
    <mergeCell ref="B20:G20"/>
    <mergeCell ref="B5:G5"/>
    <mergeCell ref="B41:G41"/>
    <mergeCell ref="B32:G32"/>
    <mergeCell ref="B4:G4"/>
    <mergeCell ref="B35:G35"/>
    <mergeCell ref="B7:G7"/>
    <mergeCell ref="B25:G25"/>
    <mergeCell ref="B16:G16"/>
    <mergeCell ref="B46:G46"/>
    <mergeCell ref="B31:G31"/>
    <mergeCell ref="B27:G27"/>
    <mergeCell ref="B43:G43"/>
    <mergeCell ref="B12:G12"/>
    <mergeCell ref="B18:G18"/>
    <mergeCell ref="B21:G21"/>
    <mergeCell ref="B39:G39"/>
  </mergeCells>
  <printOptions horizontalCentered="1"/>
  <pageMargins left="0.5" right="0.5" top="0.55" bottom="0.55" header="0.3" footer="0.3"/>
  <pageSetup orientation="portrait" paperSize="1" fitToHeight="0" fitToWidth="1"/>
  <headerFooter>
    <oddHeader>&amp;LInstructions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Transaction Reconciliation Matcher</dc:creator>
  <dc:title>Transaction Reconciliation Matcher</dc:title>
  <dc:description>Match two transaction lists and show matched, unmatched, and differences. Works in Microsoft Excel and Google Sheets.</dc:description>
  <dcterms:created xsi:type="dcterms:W3CDTF">2026-08-12T22:54:11Z</dcterms:created>
  <dcterms:modified xsi:type="dcterms:W3CDTF">2026-08-20T17:58:53Z</dcterms:modified>
</cp:coreProperties>
</file>