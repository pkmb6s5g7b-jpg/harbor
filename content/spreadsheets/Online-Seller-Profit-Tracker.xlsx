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les Log" sheetId="2" state="visible" r:id="rId2"/>
    <sheet name="Products" sheetId="3" state="visible" r:id="rId3"/>
    <sheet name="Fees &amp; Expenses" sheetId="4" state="visible" r:id="rId4"/>
    <sheet name="Monthly Summary" sheetId="5" state="visible" r:id="rId5"/>
    <sheet name="Instructions" sheetId="6" state="visible" r:id="rId6"/>
  </sheets>
  <definedNames>
    <definedName name="ShopName">Products!$B$2</definedName>
    <definedName name="FocusMonth">Dashboard!$B$3</definedName>
    <definedName name="ThisMonthStart">Dashboard!$N$2</definedName>
    <definedName name="PriorMonthStart">Dashboard!$N$3</definedName>
    <definedName name="TotalRevenue">Dashboard!$N$5</definedName>
    <definedName name="TotalSalesProfit">Dashboard!$N$6</definedName>
    <definedName name="TotalExpenses">Dashboard!$N$7</definedName>
    <definedName name="TotalNetProfit">Dashboard!$N$8</definedName>
    <definedName name="TotalCOGS">Dashboard!$N$9</definedName>
    <definedName name="TotalFees">Dashboard!$N$10</definedName>
    <definedName name="TotalOrders">Dashboard!$N$11</definedName>
    <definedName name="TotalUnits">Dashboard!$N$12</definedName>
    <definedName name="AvgMargin">Dashboard!$N$13</definedName>
    <definedName name="FocusRevenue">Dashboard!$N$15</definedName>
    <definedName name="FocusSalesProfit">Dashboard!$N$16</definedName>
    <definedName name="FocusExpenses">Dashboard!$N$17</definedName>
    <definedName name="FocusNet">Dashboard!$N$18</definedName>
    <definedName name="FocusFees">Dashboard!$N$19</definedName>
    <definedName name="FocusCOGS">Dashboard!$N$20</definedName>
    <definedName name="FocusShip">Dashboard!$N$21</definedName>
    <definedName name="FocusOrders">Dashboard!$N$22</definedName>
    <definedName name="FocusUnits">Dashboard!$N$23</definedName>
    <definedName name="PriorRevenue">Dashboard!$N$25</definedName>
    <definedName name="PriorNet">Dashboard!$N$28</definedName>
    <definedName name="MoMChange">Dashboard!$N$29</definedName>
    <definedName name="BestSeller">Dashboard!$N$31</definedName>
    <definedName name="BestSellerUnits">Dashboard!$N$32</definedName>
    <definedName name="List_Products">Products!$A$5:$A$34</definedName>
    <definedName name="List_Platforms">Products!$N$2:$N$7</definedName>
    <definedName name="List_ExpCat">Products!$N$9:$N$16</definedName>
    <definedName name="List_ProdTypes">Products!$N$18:$N$20</definedName>
    <definedName name="ProdNames">Products!$A$5:$A$34</definedName>
    <definedName name="ProdCOGS">Products!$D$5:$D$34</definedName>
    <definedName name="ProdUnits">Products!$G$5:$G$34</definedName>
    <definedName name="SalesDates">'Sales Log'!$A$5:$A$204</definedName>
    <definedName name="SalesProducts">'Sales Log'!$C$5:$C$204</definedName>
    <definedName name="SalesQty">'Sales Log'!$D$5:$D$204</definedName>
    <definedName name="SalesFees">'Sales Log'!$H$5:$H$204</definedName>
    <definedName name="SalesShipPaid">'Sales Log'!$I$5:$I$204</definedName>
    <definedName name="SalesCOGS">'Sales Log'!$K$5:$K$204</definedName>
    <definedName name="SalesGross">'Sales Log'!$L$5:$L$204</definedName>
    <definedName name="SalesNet">'Sales Log'!$M$5:$M$204</definedName>
    <definedName name="SalesMonth">'Sales Log'!$O$5:$O$204</definedName>
    <definedName name="SalesNewOrder">'Sales Log'!$P$5:$P$204</definedName>
    <definedName name="ExpAmounts">'Fees &amp; Expenses'!$D$5:$D$84</definedName>
    <definedName name="ExpMonth">'Fees &amp; Expenses'!$G$5:$G$84</definedName>
    <definedName name="_xlnm.Print_Area" localSheetId="0">'Dashboard'!$A$1:$L$62</definedName>
    <definedName name="_xlnm._FilterDatabase" localSheetId="1" hidden="1">'Sales Log'!$A$4:$N$204</definedName>
    <definedName name="_xlnm.Print_Area" localSheetId="1">'Sales Log'!$A$1:$O$40</definedName>
    <definedName name="_xlnm._FilterDatabase" localSheetId="2" hidden="1">'Products'!$A$4:$J$34</definedName>
    <definedName name="_xlnm.Print_Area" localSheetId="2">'Products'!$A$1:$J$37</definedName>
    <definedName name="_xlnm._FilterDatabase" localSheetId="3" hidden="1">'Fees &amp; Expenses'!$A$4:$F$84</definedName>
    <definedName name="_xlnm.Print_Area" localSheetId="3">'Fees &amp; Expenses'!$A$1:$G$87</definedName>
    <definedName name="_xlnm._FilterDatabase" localSheetId="4" hidden="1">'Monthly Summary'!$A$4:$K$52</definedName>
    <definedName name="_xlnm.Print_Area" localSheetId="4">'Monthly Summary'!$A$1:$K$53</definedName>
    <definedName name="_xlnm.Print_Area" localSheetId="5">'Instructions'!$A$1:$H$50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 d, yyyy"/>
    <numFmt numFmtId="165" formatCode="mmm yyyy"/>
    <numFmt numFmtId="166" formatCode="&quot;$&quot;#,##0.00"/>
    <numFmt numFmtId="167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color rgb="00FFFFFF"/>
      <sz val="10"/>
    </font>
    <font>
      <name val="Calibri"/>
      <color rgb="005D6D7E"/>
      <sz val="10"/>
    </font>
    <font>
      <name val="Calibri"/>
      <b val="1"/>
      <color rgb="001F2A33"/>
      <sz val="11"/>
    </font>
    <font>
      <name val="Calibri"/>
      <i val="1"/>
      <color rgb="005D6D7E"/>
      <sz val="9"/>
    </font>
    <font>
      <name val="Calibri"/>
      <b val="1"/>
      <color rgb="00FFFFFF"/>
      <sz val="9"/>
    </font>
    <font>
      <name val="Calibri"/>
      <b val="1"/>
      <color rgb="001F2A33"/>
      <sz val="18"/>
    </font>
    <font>
      <name val="Calibri"/>
      <b val="1"/>
      <color rgb="00176257"/>
      <sz val="10"/>
    </font>
    <font>
      <name val="Calibri"/>
      <i val="1"/>
      <color rgb="005D6D7E"/>
      <sz val="8"/>
    </font>
    <font>
      <name val="Calibri"/>
      <b val="1"/>
      <color rgb="00FFFFFF"/>
      <sz val="8"/>
    </font>
    <font>
      <name val="Calibri"/>
      <b val="1"/>
      <color rgb="001F2A33"/>
      <sz val="16"/>
    </font>
    <font>
      <name val="Calibri"/>
      <b val="1"/>
      <color rgb="00FFFFFF"/>
      <sz val="11"/>
    </font>
    <font>
      <name val="Calibri"/>
      <color rgb="001F2A33"/>
      <sz val="10"/>
    </font>
    <font>
      <name val="Calibri"/>
      <b val="1"/>
      <color rgb="001F2A33"/>
      <sz val="10"/>
    </font>
    <font>
      <name val="Calibri"/>
      <b val="1"/>
      <color rgb="005D6D7E"/>
      <sz val="8"/>
    </font>
    <font>
      <name val="Calibri"/>
      <color rgb="001F2A33"/>
      <sz val="8"/>
    </font>
    <font>
      <name val="Calibri"/>
      <color rgb="001F2A33"/>
      <sz val="9"/>
    </font>
    <font>
      <name val="Calibri"/>
      <b val="1"/>
      <color rgb="001F2A33"/>
      <sz val="9"/>
    </font>
    <font>
      <name val="Calibri"/>
      <color rgb="005D6D7E"/>
      <sz val="8"/>
    </font>
    <font>
      <name val="Calibri"/>
      <b val="1"/>
      <color rgb="00FFFFFF"/>
      <sz val="10"/>
    </font>
    <font>
      <name val="Calibri"/>
      <i val="1"/>
      <color rgb="005D6D7E"/>
      <sz val="10"/>
    </font>
    <font>
      <name val="Calibri"/>
      <b val="1"/>
      <color rgb="00FFFFFF"/>
      <sz val="12"/>
    </font>
    <font>
      <name val="Calibri"/>
      <color rgb="001F2A33"/>
      <sz val="11"/>
    </font>
    <font>
      <name val="Calibri"/>
      <i val="1"/>
      <color rgb="005D6D7E"/>
      <sz val="11"/>
    </font>
  </fonts>
  <fills count="11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53E59"/>
      </patternFill>
    </fill>
    <fill>
      <patternFill patternType="solid">
        <fgColor rgb="00FFFFFF"/>
      </patternFill>
    </fill>
    <fill>
      <patternFill patternType="solid">
        <fgColor rgb="00E8F4FC"/>
      </patternFill>
    </fill>
    <fill>
      <patternFill patternType="solid">
        <fgColor rgb="00F7F9FB"/>
      </patternFill>
    </fill>
    <fill>
      <patternFill patternType="solid">
        <fgColor rgb="00F4F6F8"/>
      </patternFill>
    </fill>
    <fill>
      <patternFill patternType="solid">
        <fgColor rgb="001F7A6B"/>
      </patternFill>
    </fill>
    <fill>
      <patternFill patternType="solid">
        <fgColor rgb="00E8F5F2"/>
      </patternFill>
    </fill>
    <fill>
      <patternFill patternType="solid">
        <fgColor rgb="00EEF2F5"/>
      </patternFill>
    </fill>
  </fills>
  <borders count="2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/>
      <top style="thin">
        <color rgb="00D5D8DC"/>
      </top>
      <bottom/>
    </border>
    <border>
      <left/>
      <right/>
      <top style="thin">
        <color rgb="00D5D8DC"/>
      </top>
      <bottom/>
    </border>
    <border>
      <left/>
      <right style="thin">
        <color rgb="00D5D8DC"/>
      </right>
      <top style="thin">
        <color rgb="00D5D8DC"/>
      </top>
      <bottom/>
    </border>
    <border>
      <left style="thin">
        <color rgb="00D5D8DC"/>
      </left>
      <right/>
      <top/>
      <bottom/>
    </border>
    <border>
      <left/>
      <right/>
      <top/>
      <bottom/>
    </border>
    <border>
      <left/>
      <right style="thin">
        <color rgb="00D5D8DC"/>
      </right>
      <top/>
      <bottom/>
    </border>
    <border>
      <left style="thin">
        <color rgb="00D5D8DC"/>
      </left>
      <right/>
      <top/>
      <bottom style="thin">
        <color rgb="00D5D8DC"/>
      </bottom>
    </border>
    <border>
      <left/>
      <right/>
      <top/>
      <bottom style="thin">
        <color rgb="00D5D8DC"/>
      </bottom>
    </border>
    <border>
      <left/>
      <right style="thin">
        <color rgb="00D5D8DC"/>
      </right>
      <top/>
      <bottom style="thin">
        <color rgb="00D5D8DC"/>
      </bottom>
    </border>
    <border>
      <left style="dashed">
        <color rgb="00B0B8C1"/>
      </left>
      <right style="dashed">
        <color rgb="00B0B8C1"/>
      </right>
      <top style="dashed">
        <color rgb="00B0B8C1"/>
      </top>
      <bottom style="dashed">
        <color rgb="00B0B8C1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thin">
        <color rgb="00D5D8DC"/>
      </left>
      <right style="thin">
        <color rgb="00D5D8DC"/>
      </right>
      <top/>
      <bottom/>
    </border>
    <border>
      <left/>
      <right style="thin">
        <color rgb="00D5D8DC"/>
      </right>
      <top/>
      <bottom/>
      <diagonal/>
    </border>
    <border>
      <left style="thin">
        <color rgb="00D5D8DC"/>
      </left>
      <right style="thin">
        <color rgb="00D5D8DC"/>
      </right>
      <top/>
      <bottom style="thin">
        <color rgb="00D5D8DC"/>
      </bottom>
    </border>
    <border>
      <left/>
      <right/>
      <top/>
      <bottom style="thin">
        <color rgb="00D5D8DC"/>
      </bottom>
      <diagonal/>
    </border>
    <border>
      <left/>
      <right style="thin">
        <color rgb="00D5D8DC"/>
      </right>
      <top/>
      <bottom style="thin">
        <color rgb="00D5D8DC"/>
      </bottom>
      <diagonal/>
    </border>
    <border>
      <left/>
      <right/>
      <top style="thin">
        <color rgb="00D5D8DC"/>
      </top>
      <bottom style="thin">
        <color rgb="00D5D8DC"/>
      </bottom>
      <diagonal/>
    </border>
    <border>
      <left style="thin">
        <color rgb="00D5D8DC"/>
      </left>
      <right style="thin">
        <color rgb="00D5D8DC"/>
      </right>
      <top style="thin">
        <color rgb="00D5D8DC"/>
      </top>
      <bottom/>
    </border>
    <border>
      <left/>
      <right/>
      <top style="dashed">
        <color rgb="00B0B8C1"/>
      </top>
      <bottom/>
      <diagonal/>
    </border>
    <border>
      <left/>
      <right style="dashed">
        <color rgb="00B0B8C1"/>
      </right>
      <top style="dashed">
        <color rgb="00B0B8C1"/>
      </top>
      <bottom/>
      <diagonal/>
    </border>
    <border>
      <left/>
      <right/>
      <top style="dashed">
        <color rgb="00B0B8C1"/>
      </top>
      <bottom style="dashed">
        <color rgb="00B0B8C1"/>
      </bottom>
      <diagonal/>
    </border>
    <border>
      <left/>
      <right style="dashed">
        <color rgb="00B0B8C1"/>
      </right>
      <top style="dashed">
        <color rgb="00B0B8C1"/>
      </top>
      <bottom style="dashed">
        <color rgb="00B0B8C1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6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164" fontId="0" fillId="0" borderId="0" pivotButton="0" quotePrefix="0" xfId="0"/>
    <xf numFmtId="0" fontId="4" fillId="4" borderId="1" applyAlignment="1" pivotButton="0" quotePrefix="0" xfId="0">
      <alignment horizontal="left" vertical="center"/>
    </xf>
    <xf numFmtId="165" fontId="5" fillId="5" borderId="1" applyAlignment="1" applyProtection="1" pivotButton="0" quotePrefix="0" xfId="0">
      <alignment horizontal="center" vertical="center"/>
      <protection locked="0" hidden="0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166" fontId="0" fillId="0" borderId="0" pivotButton="0" quotePrefix="0" xfId="0"/>
    <xf numFmtId="166" fontId="8" fillId="4" borderId="5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167" fontId="8" fillId="4" borderId="5" applyAlignment="1" pivotButton="0" quotePrefix="0" xfId="0">
      <alignment horizontal="center" vertical="center"/>
    </xf>
    <xf numFmtId="3" fontId="8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10" fillId="7" borderId="8" applyAlignment="1" pivotButton="0" quotePrefix="0" xfId="0">
      <alignment horizontal="center" vertical="center"/>
    </xf>
    <xf numFmtId="0" fontId="10" fillId="7" borderId="9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166" fontId="12" fillId="4" borderId="5" applyAlignment="1" pivotButton="0" quotePrefix="0" xfId="0">
      <alignment horizontal="center" vertical="center"/>
    </xf>
    <xf numFmtId="0" fontId="12" fillId="4" borderId="6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167" fontId="12" fillId="4" borderId="5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3" fontId="15" fillId="7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14" fillId="4" borderId="1" pivotButton="0" quotePrefix="0" xfId="0"/>
    <xf numFmtId="0" fontId="14" fillId="4" borderId="1" applyAlignment="1" pivotButton="0" quotePrefix="0" xfId="0">
      <alignment horizontal="center" vertical="center"/>
    </xf>
    <xf numFmtId="166" fontId="14" fillId="4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right" vertical="center"/>
    </xf>
    <xf numFmtId="166" fontId="15" fillId="7" borderId="1" applyAlignment="1" pivotButton="0" quotePrefix="0" xfId="0">
      <alignment horizontal="right" vertical="center"/>
    </xf>
    <xf numFmtId="167" fontId="15" fillId="7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wrapText="1"/>
    </xf>
    <xf numFmtId="165" fontId="17" fillId="0" borderId="0" pivotButton="0" quotePrefix="0" xfId="0"/>
    <xf numFmtId="166" fontId="17" fillId="0" borderId="0" pivotButton="0" quotePrefix="0" xfId="0"/>
    <xf numFmtId="0" fontId="17" fillId="0" borderId="0" pivotButton="0" quotePrefix="0" xfId="0"/>
    <xf numFmtId="0" fontId="9" fillId="9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164" fontId="18" fillId="5" borderId="1" applyProtection="1" pivotButton="0" quotePrefix="0" xfId="0">
      <protection locked="0" hidden="0"/>
    </xf>
    <xf numFmtId="0" fontId="18" fillId="5" borderId="1" applyProtection="1" pivotButton="0" quotePrefix="0" xfId="0">
      <protection locked="0" hidden="0"/>
    </xf>
    <xf numFmtId="0" fontId="18" fillId="5" borderId="1" applyAlignment="1" applyProtection="1" pivotButton="0" quotePrefix="0" xfId="0">
      <alignment horizontal="center" vertical="center"/>
      <protection locked="0" hidden="0"/>
    </xf>
    <xf numFmtId="166" fontId="18" fillId="5" borderId="1" applyAlignment="1" applyProtection="1" pivotButton="0" quotePrefix="0" xfId="0">
      <alignment horizontal="right" vertical="center"/>
      <protection locked="0" hidden="0"/>
    </xf>
    <xf numFmtId="166" fontId="18" fillId="7" borderId="1" applyAlignment="1" pivotButton="0" quotePrefix="0" xfId="0">
      <alignment horizontal="right" vertical="center"/>
    </xf>
    <xf numFmtId="166" fontId="19" fillId="7" borderId="1" applyAlignment="1" pivotButton="0" quotePrefix="0" xfId="0">
      <alignment horizontal="right" vertical="center"/>
    </xf>
    <xf numFmtId="167" fontId="18" fillId="7" borderId="1" applyAlignment="1" pivotButton="0" quotePrefix="0" xfId="0">
      <alignment horizontal="center" vertical="center"/>
    </xf>
    <xf numFmtId="165" fontId="18" fillId="7" borderId="1" applyAlignment="1" pivotButton="0" quotePrefix="0" xfId="0">
      <alignment horizontal="center" vertical="center"/>
    </xf>
    <xf numFmtId="0" fontId="20" fillId="7" borderId="0" pivotButton="0" quotePrefix="0" xfId="0"/>
    <xf numFmtId="0" fontId="7" fillId="8" borderId="1" pivotButton="0" quotePrefix="0" xfId="0"/>
    <xf numFmtId="0" fontId="0" fillId="8" borderId="1" pivotButton="0" quotePrefix="0" xfId="0"/>
    <xf numFmtId="166" fontId="7" fillId="8" borderId="1" pivotButton="0" quotePrefix="0" xfId="0"/>
    <xf numFmtId="167" fontId="7" fillId="8" borderId="1" applyAlignment="1" pivotButton="0" quotePrefix="0" xfId="0">
      <alignment horizontal="center" vertical="center"/>
    </xf>
    <xf numFmtId="0" fontId="21" fillId="2" borderId="0" applyProtection="1" pivotButton="0" quotePrefix="0" xfId="0">
      <protection locked="0" hidden="0"/>
    </xf>
    <xf numFmtId="0" fontId="10" fillId="0" borderId="0" pivotButton="0" quotePrefix="0" xfId="0"/>
    <xf numFmtId="0" fontId="4" fillId="4" borderId="1" pivotButton="0" quotePrefix="0" xfId="0"/>
    <xf numFmtId="0" fontId="5" fillId="5" borderId="1" applyAlignment="1" applyProtection="1" pivotButton="0" quotePrefix="0" xfId="0">
      <alignment horizontal="left" vertical="center"/>
      <protection locked="0" hidden="0"/>
    </xf>
    <xf numFmtId="0" fontId="14" fillId="5" borderId="1" applyProtection="1" pivotButton="0" quotePrefix="0" xfId="0">
      <protection locked="0" hidden="0"/>
    </xf>
    <xf numFmtId="0" fontId="21" fillId="2" borderId="1" applyAlignment="1" pivotButton="0" quotePrefix="0" xfId="0">
      <alignment horizontal="center" vertical="center" wrapText="1"/>
    </xf>
    <xf numFmtId="0" fontId="14" fillId="5" borderId="1" applyAlignment="1" applyProtection="1" pivotButton="0" quotePrefix="0" xfId="0">
      <alignment horizontal="center" vertical="center"/>
      <protection locked="0" hidden="0"/>
    </xf>
    <xf numFmtId="166" fontId="14" fillId="5" borderId="1" applyAlignment="1" applyProtection="1" pivotButton="0" quotePrefix="0" xfId="0">
      <alignment horizontal="right" vertical="center"/>
      <protection locked="0" hidden="0"/>
    </xf>
    <xf numFmtId="0" fontId="14" fillId="7" borderId="1" applyAlignment="1" pivotButton="0" quotePrefix="0" xfId="0">
      <alignment horizontal="center" vertical="center"/>
    </xf>
    <xf numFmtId="166" fontId="14" fillId="7" borderId="1" applyAlignment="1" pivotButton="0" quotePrefix="0" xfId="0">
      <alignment horizontal="right" vertical="center"/>
    </xf>
    <xf numFmtId="167" fontId="14" fillId="7" borderId="1" applyAlignment="1" pivotButton="0" quotePrefix="0" xfId="0">
      <alignment horizontal="center" vertical="center"/>
    </xf>
    <xf numFmtId="0" fontId="21" fillId="8" borderId="1" pivotButton="0" quotePrefix="0" xfId="0"/>
    <xf numFmtId="0" fontId="21" fillId="8" borderId="1" applyAlignment="1" pivotButton="0" quotePrefix="0" xfId="0">
      <alignment horizontal="center" vertical="center"/>
    </xf>
    <xf numFmtId="166" fontId="21" fillId="8" borderId="1" pivotButton="0" quotePrefix="0" xfId="0"/>
    <xf numFmtId="167" fontId="21" fillId="8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164" fontId="14" fillId="5" borderId="1" applyProtection="1" pivotButton="0" quotePrefix="0" xfId="0">
      <protection locked="0" hidden="0"/>
    </xf>
    <xf numFmtId="165" fontId="14" fillId="7" borderId="1" applyAlignment="1" pivotButton="0" quotePrefix="0" xfId="0">
      <alignment horizontal="center" vertical="center"/>
    </xf>
    <xf numFmtId="0" fontId="6" fillId="6" borderId="0" pivotButton="0" quotePrefix="0" xfId="0"/>
    <xf numFmtId="1" fontId="7" fillId="8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right" vertical="center"/>
    </xf>
    <xf numFmtId="0" fontId="1" fillId="2" borderId="0" applyAlignment="1" applyProtection="1" pivotButton="0" quotePrefix="0" xfId="0">
      <alignment horizontal="left" vertical="center"/>
      <protection locked="0" hidden="0"/>
    </xf>
    <xf numFmtId="0" fontId="0" fillId="6" borderId="0" applyProtection="1" pivotButton="0" quotePrefix="0" xfId="0">
      <protection locked="0" hidden="0"/>
    </xf>
    <xf numFmtId="0" fontId="22" fillId="6" borderId="0" applyProtection="1" pivotButton="0" quotePrefix="0" xfId="0">
      <protection locked="0" hidden="0"/>
    </xf>
    <xf numFmtId="0" fontId="23" fillId="2" borderId="0" applyAlignment="1" applyProtection="1" pivotButton="0" quotePrefix="0" xfId="0">
      <alignment horizontal="left" vertical="center"/>
      <protection locked="0" hidden="0"/>
    </xf>
    <xf numFmtId="0" fontId="24" fillId="4" borderId="1" applyAlignment="1" applyProtection="1" pivotButton="0" quotePrefix="0" xfId="0">
      <alignment horizontal="left" vertical="center" wrapText="1"/>
      <protection locked="0" hidden="0"/>
    </xf>
    <xf numFmtId="0" fontId="25" fillId="10" borderId="11" applyAlignment="1" applyProtection="1" pivotButton="0" quotePrefix="0" xfId="0">
      <alignment horizontal="center" vertical="center" wrapText="1"/>
      <protection locked="0" hidden="0"/>
    </xf>
    <xf numFmtId="164" fontId="0" fillId="0" borderId="0" pivotButton="0" quotePrefix="0" xfId="0"/>
    <xf numFmtId="0" fontId="7" fillId="2" borderId="2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7" fillId="8" borderId="21" applyAlignment="1" pivotButton="0" quotePrefix="0" xfId="0">
      <alignment horizontal="center" vertical="center"/>
    </xf>
    <xf numFmtId="166" fontId="8" fillId="4" borderId="15" applyAlignment="1" pivotButton="0" quotePrefix="0" xfId="0">
      <alignment horizontal="center" vertical="center"/>
    </xf>
    <xf numFmtId="0" fontId="0" fillId="0" borderId="16" pivotButton="0" quotePrefix="0" xfId="0"/>
    <xf numFmtId="167" fontId="8" fillId="4" borderId="15" applyAlignment="1" pivotButton="0" quotePrefix="0" xfId="0">
      <alignment horizontal="center" vertical="center"/>
    </xf>
    <xf numFmtId="3" fontId="8" fillId="4" borderId="15" applyAlignment="1" pivotButton="0" quotePrefix="0" xfId="0">
      <alignment horizontal="center" vertical="center"/>
    </xf>
    <xf numFmtId="0" fontId="9" fillId="4" borderId="15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1" fillId="8" borderId="21" applyAlignment="1" pivotButton="0" quotePrefix="0" xfId="0">
      <alignment horizontal="center" vertical="center"/>
    </xf>
    <xf numFmtId="0" fontId="11" fillId="2" borderId="21" applyAlignment="1" pivotButton="0" quotePrefix="0" xfId="0">
      <alignment horizontal="center" vertical="center"/>
    </xf>
    <xf numFmtId="166" fontId="12" fillId="4" borderId="15" applyAlignment="1" pivotButton="0" quotePrefix="0" xfId="0">
      <alignment horizontal="center" vertical="center"/>
    </xf>
    <xf numFmtId="167" fontId="12" fillId="4" borderId="15" applyAlignment="1" pivotButton="0" quotePrefix="0" xfId="0">
      <alignment horizontal="center" vertical="center"/>
    </xf>
    <xf numFmtId="0" fontId="12" fillId="4" borderId="15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4" pivotButton="0" quotePrefix="0" xfId="0"/>
    <xf numFmtId="164" fontId="18" fillId="5" borderId="1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164" fontId="14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</cellXfs>
  <cellStyles count="1">
    <cellStyle name="Normal" xfId="0" builtinId="0" hidden="0"/>
  </cellStyles>
  <dxfs count="10">
    <dxf>
      <font>
        <name val="Calibri"/>
        <b val="1"/>
        <color rgb="00C0392B"/>
        <sz val="18"/>
      </font>
      <fill>
        <patternFill patternType="solid">
          <fgColor rgb="00FDECEA"/>
        </patternFill>
      </fill>
    </dxf>
    <dxf>
      <font>
        <name val="Calibri"/>
        <b val="1"/>
        <color rgb="00C0392B"/>
        <sz val="16"/>
      </font>
      <fill>
        <patternFill patternType="solid">
          <fgColor rgb="00FDECEA"/>
        </patternFill>
      </fill>
    </dxf>
    <dxf>
      <font>
        <name val="Calibri"/>
        <b val="1"/>
        <color rgb="001B7A4E"/>
        <sz val="16"/>
      </font>
      <fill>
        <patternFill patternType="solid">
          <fgColor rgb="00E8F8F0"/>
        </patternFill>
      </fill>
    </dxf>
    <dxf>
      <font>
        <name val="Calibri"/>
        <b val="1"/>
        <color rgb="00C0392B"/>
        <sz val="10"/>
      </font>
      <fill>
        <patternFill patternType="solid">
          <fgColor rgb="00FDECEA"/>
        </patternFill>
      </fill>
    </dxf>
    <dxf>
      <font>
        <name val="Calibri"/>
        <b val="1"/>
        <color rgb="001B7A4E"/>
        <sz val="10"/>
      </font>
      <fill>
        <patternFill patternType="solid">
          <fgColor rgb="00E8F8F0"/>
        </patternFill>
      </fill>
    </dxf>
    <dxf>
      <font>
        <name val="Calibri"/>
        <color rgb="00C0392B"/>
        <sz val="10"/>
      </font>
      <fill>
        <patternFill patternType="solid">
          <fgColor rgb="00FDECEA"/>
        </patternFill>
      </fill>
    </dxf>
    <dxf>
      <font>
        <name val="Calibri"/>
        <color rgb="001B7A4E"/>
        <sz val="10"/>
      </font>
      <fill>
        <patternFill patternType="solid">
          <fgColor rgb="00E8F8F0"/>
        </patternFill>
      </fill>
    </dxf>
    <dxf>
      <font>
        <name val="Calibri"/>
        <color rgb="00C0392B"/>
        <sz val="9"/>
      </font>
      <fill>
        <patternFill patternType="solid">
          <fgColor rgb="00FDECEA"/>
        </patternFill>
      </fill>
    </dxf>
    <dxf>
      <font>
        <name val="Calibri"/>
        <color rgb="001B7A4E"/>
        <sz val="9"/>
      </font>
      <fill>
        <patternFill patternType="solid">
          <fgColor rgb="00E8F8F0"/>
        </patternFill>
      </fill>
    </dxf>
    <dxf>
      <font>
        <name val="Calibri"/>
        <color rgb="00D68910"/>
        <sz val="9"/>
      </font>
      <fill>
        <patternFill patternType="solid">
          <fgColor rgb="00FEF5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strRef>
              <f>'Dashboard'!B70</f>
            </strRef>
          </tx>
          <spPr>
            <a:solidFill>
              <a:srgbClr val="1B4F72"/>
            </a:solidFill>
            <a:ln>
              <a:prstDash val="solid"/>
            </a:ln>
          </spPr>
          <cat>
            <numRef>
              <f>'Dashboard'!$A$71:$A$82</f>
            </numRef>
          </cat>
          <val>
            <numRef>
              <f>'Dashboard'!$B$71:$B$82</f>
            </numRef>
          </val>
        </ser>
        <ser>
          <idx val="1"/>
          <order val="1"/>
          <tx>
            <strRef>
              <f>'Dashboard'!C70</f>
            </strRef>
          </tx>
          <spPr>
            <a:solidFill>
              <a:srgbClr val="1F7A6B"/>
            </a:solidFill>
            <a:ln>
              <a:prstDash val="solid"/>
            </a:ln>
          </spPr>
          <cat>
            <numRef>
              <f>'Dashboard'!$A$71:$A$82</f>
            </numRef>
          </cat>
          <val>
            <numRef>
              <f>'Dashboard'!$C$71:$C$82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strRef>
              <f>'Dashboard'!F70</f>
            </strRef>
          </tx>
          <spPr>
            <a:solidFill>
              <a:srgbClr val="1F7A6B"/>
            </a:solidFill>
            <a:ln>
              <a:prstDash val="solid"/>
            </a:ln>
          </spPr>
          <cat>
            <numRef>
              <f>'Dashboard'!$E$71:$E$82</f>
            </numRef>
          </cat>
          <val>
            <numRef>
              <f>'Dashboard'!$F$71:$F$82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'Dashboard'!C70</f>
            </strRef>
          </tx>
          <spPr>
            <a:solidFill>
              <a:srgbClr val="1F7A6B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'Dashboard'!$A$71:$A$82</f>
            </numRef>
          </cat>
          <val>
            <numRef>
              <f>'Dashboard'!$C$71:$C$82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Profit Tracker</author>
  </authors>
  <commentList>
    <comment ref="B3" authorId="0" shapeId="0">
      <text>
        <t>Type the first of any month (or just the month). The comparison cards and month detail follow this date.</t>
      </text>
    </comment>
  </commentList>
</comments>
</file>

<file path=xl/comments/comment2.xml><?xml version="1.0" encoding="utf-8"?>
<comments xmlns="http://schemas.openxmlformats.org/spreadsheetml/2006/main">
  <authors>
    <author>Profit Tracker</author>
  </authors>
  <commentList>
    <comment ref="H4" authorId="0" shapeId="0">
      <text>
        <t>Listing + transaction + payment processing taken from this sale. Check your payout.</t>
      </text>
    </comment>
    <comment ref="I4" authorId="0" shapeId="0">
      <text>
        <t>What you actually paid to ship. $0 for digital or if shipping is baked into COGS (many POD items).</t>
      </text>
    </comment>
    <comment ref="J4" authorId="0" shapeId="0">
      <text>
        <t>Leave blank to use Products cost × qty. Type a dollar amount to override for this line.</t>
      </text>
    </comment>
  </commentList>
</comments>
</file>

<file path=xl/comments/comment3.xml><?xml version="1.0" encoding="utf-8"?>
<comments xmlns="http://schemas.openxmlformats.org/spreadsheetml/2006/main">
  <authors>
    <author>Profit Tracker</author>
  </authors>
  <commentList>
    <comment ref="B2" authorId="0" shapeId="0">
      <text>
        <t>Shown on the Dashboard. Your shop or seller name.</t>
      </text>
    </comment>
    <comment ref="D5" authorId="0" shapeId="0">
      <text>
        <t>What one unit costs you: materials, print-on-demand base, or $0 for digital.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27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N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4" customWidth="1" min="10" max="10"/>
    <col width="13" customWidth="1" min="11" max="11"/>
    <col width="14" customWidth="1" min="12" max="12"/>
    <col hidden="1" width="18" customWidth="1" min="14" max="14"/>
  </cols>
  <sheetData>
    <row r="1" ht="32" customHeight="1">
      <c r="A1" s="1" t="inlineStr">
        <is>
          <t>Online Seller Profit Tracker</t>
        </is>
      </c>
      <c r="N1" s="2" t="inlineStr">
        <is>
          <t>HELPERS</t>
        </is>
      </c>
    </row>
    <row r="2" ht="20" customHeight="1">
      <c r="A2" s="3">
        <f>IF(ShopName="","Your shop overview",ShopName)&amp;"  ·  All-time snapshot"</f>
        <v/>
      </c>
      <c r="I2" s="4">
        <f>"As of "&amp;TEXT(TODAY(),"mmm d, yyyy")</f>
        <v/>
      </c>
      <c r="N2" s="96">
        <f>DATE(YEAR(FocusMonth),MONTH(FocusMonth),1)</f>
        <v/>
      </c>
    </row>
    <row r="3" ht="20" customHeight="1">
      <c r="A3" s="6" t="inlineStr">
        <is>
          <t>Review month</t>
        </is>
      </c>
      <c r="B3" s="7" t="n">
        <v>46204</v>
      </c>
      <c r="C3" s="8">
        <f>"Comparing "&amp;TEXT(DATE(YEAR(FocusMonth),MONTH(FocusMonth),1),"mmm yyyy")&amp;" with "&amp;TEXT(EDATE(DATE(YEAR(FocusMonth),MONTH(FocusMonth),1),-1),"mmm yyyy")&amp;"   ·   Change the blue Review month to look at any period."</f>
        <v/>
      </c>
      <c r="N3" s="96">
        <f>EDATE(N2,-1)</f>
        <v/>
      </c>
    </row>
    <row r="4" ht="8" customHeight="1">
      <c r="A4" s="9" t="n"/>
    </row>
    <row r="5" ht="18" customHeight="1">
      <c r="A5" s="97" t="inlineStr">
        <is>
          <t>ALL-TIME REVENUE</t>
        </is>
      </c>
      <c r="B5" s="98" t="n"/>
      <c r="C5" s="99" t="n"/>
      <c r="D5" s="100" t="inlineStr">
        <is>
          <t>ALL-TIME NET PROFIT</t>
        </is>
      </c>
      <c r="E5" s="98" t="n"/>
      <c r="F5" s="99" t="n"/>
      <c r="G5" s="100" t="inlineStr">
        <is>
          <t>PROFIT MARGIN</t>
        </is>
      </c>
      <c r="H5" s="98" t="n"/>
      <c r="I5" s="99" t="n"/>
      <c r="J5" s="97" t="inlineStr">
        <is>
          <t>ORDERS</t>
        </is>
      </c>
      <c r="K5" s="98" t="n"/>
      <c r="L5" s="99" t="n"/>
      <c r="N5" s="16">
        <f>'Sales Log'!L205</f>
        <v/>
      </c>
    </row>
    <row r="6" ht="26" customHeight="1">
      <c r="A6" s="101">
        <f>TotalRevenue</f>
        <v/>
      </c>
      <c r="C6" s="102" t="n"/>
      <c r="D6" s="101">
        <f>TotalNetProfit</f>
        <v/>
      </c>
      <c r="F6" s="102" t="n"/>
      <c r="G6" s="103">
        <f>AvgMargin</f>
        <v/>
      </c>
      <c r="I6" s="102" t="n"/>
      <c r="J6" s="104">
        <f>TotalOrders</f>
        <v/>
      </c>
      <c r="L6" s="102" t="n"/>
      <c r="N6">
        <f>'Sales Log'!M205</f>
        <v/>
      </c>
    </row>
    <row r="7" ht="18" customHeight="1">
      <c r="A7" s="105">
        <f>"Fees  "&amp;TEXT(TotalFees,"$#,##0.00")</f>
        <v/>
      </c>
      <c r="C7" s="102" t="n"/>
      <c r="D7" s="105">
        <f>"After expenses  "&amp;TEXT(TotalExpenses,"$#,##0.00")</f>
        <v/>
      </c>
      <c r="F7" s="102" t="n"/>
      <c r="G7" s="105" t="inlineStr">
        <is>
          <t>Net profit ÷ revenue</t>
        </is>
      </c>
      <c r="I7" s="102" t="n"/>
      <c r="J7" s="105">
        <f>"Units  "&amp;TEXT(TotalUnits,"#,##0")</f>
        <v/>
      </c>
      <c r="L7" s="102" t="n"/>
      <c r="N7">
        <f>'Fees &amp; Expenses'!D85</f>
        <v/>
      </c>
    </row>
    <row r="8" ht="16" customHeight="1">
      <c r="A8" s="106" t="inlineStr">
        <is>
          <t>Product sales + shipping charged</t>
        </is>
      </c>
      <c r="B8" s="107" t="n"/>
      <c r="C8" s="108" t="n"/>
      <c r="D8" s="106" t="inlineStr">
        <is>
          <t>Sales profit minus shop expenses</t>
        </is>
      </c>
      <c r="E8" s="107" t="n"/>
      <c r="F8" s="108" t="n"/>
      <c r="G8" s="106" t="inlineStr">
        <is>
          <t>All-time, after expenses</t>
        </is>
      </c>
      <c r="H8" s="107" t="n"/>
      <c r="I8" s="108" t="n"/>
      <c r="J8" s="106" t="inlineStr">
        <is>
          <t>Unique order IDs</t>
        </is>
      </c>
      <c r="K8" s="107" t="n"/>
      <c r="L8" s="108" t="n"/>
      <c r="N8">
        <f>N6-N7</f>
        <v/>
      </c>
    </row>
    <row r="9" ht="8" customHeight="1">
      <c r="A9" s="9" t="n"/>
      <c r="N9">
        <f>'Sales Log'!K205</f>
        <v/>
      </c>
    </row>
    <row r="10" ht="18" customHeight="1">
      <c r="A10" s="109">
        <f>UPPER(TEXT(DATE(YEAR(FocusMonth),MONTH(FocusMonth),1),"mmm yyyy"))&amp;" NET"</f>
        <v/>
      </c>
      <c r="B10" s="98" t="n"/>
      <c r="C10" s="99" t="n"/>
      <c r="D10" s="110">
        <f>UPPER(TEXT(EDATE(DATE(YEAR(FocusMonth),MONTH(FocusMonth),1),-1),"mmm yyyy"))&amp;" NET"</f>
        <v/>
      </c>
      <c r="E10" s="98" t="n"/>
      <c r="F10" s="99" t="n"/>
      <c r="G10" s="109" t="inlineStr">
        <is>
          <t>MONTH-OVER-MONTH</t>
        </is>
      </c>
      <c r="H10" s="98" t="n"/>
      <c r="I10" s="99" t="n"/>
      <c r="J10" s="110" t="inlineStr">
        <is>
          <t>BEST SELLER</t>
        </is>
      </c>
      <c r="K10" s="98" t="n"/>
      <c r="L10" s="99" t="n"/>
      <c r="N10">
        <f>SUM('Sales Log'!H5:H204)</f>
        <v/>
      </c>
    </row>
    <row r="11" ht="24" customHeight="1">
      <c r="A11" s="111">
        <f>FocusNet</f>
        <v/>
      </c>
      <c r="C11" s="102" t="n"/>
      <c r="D11" s="111">
        <f>PriorNet</f>
        <v/>
      </c>
      <c r="F11" s="102" t="n"/>
      <c r="G11" s="112">
        <f>MoMChange</f>
        <v/>
      </c>
      <c r="I11" s="102" t="n"/>
      <c r="J11" s="113">
        <f>BestSeller</f>
        <v/>
      </c>
      <c r="L11" s="102" t="n"/>
      <c r="N11">
        <f>SUM('Sales Log'!P5:P204)</f>
        <v/>
      </c>
    </row>
    <row r="12" ht="18" customHeight="1">
      <c r="A12" s="105">
        <f>"Revenue  "&amp;TEXT(FocusRevenue,"$#,##0.00")</f>
        <v/>
      </c>
      <c r="C12" s="102" t="n"/>
      <c r="D12" s="105">
        <f>"Revenue  "&amp;TEXT(PriorRevenue,"$#,##0.00")</f>
        <v/>
      </c>
      <c r="F12" s="102" t="n"/>
      <c r="G12" s="105">
        <f>IF(N(MoMChange)&lt;0,"Down vs prior month","Up vs prior month")</f>
        <v/>
      </c>
      <c r="I12" s="102" t="n"/>
      <c r="J12" s="105">
        <f>"Units  "&amp;TEXT(BestSellerUnits,"#,##0")</f>
        <v/>
      </c>
      <c r="L12" s="102" t="n"/>
      <c r="N12">
        <f>SUM('Sales Log'!D5:D204)</f>
        <v/>
      </c>
    </row>
    <row r="13" ht="16" customHeight="1">
      <c r="A13" s="106" t="inlineStr">
        <is>
          <t>Sales profit − expenses this month</t>
        </is>
      </c>
      <c r="B13" s="107" t="n"/>
      <c r="C13" s="108" t="n"/>
      <c r="D13" s="106" t="inlineStr">
        <is>
          <t>The month before Review month</t>
        </is>
      </c>
      <c r="E13" s="107" t="n"/>
      <c r="F13" s="108" t="n"/>
      <c r="G13" s="106" t="inlineStr">
        <is>
          <t>Change in net profit</t>
        </is>
      </c>
      <c r="H13" s="107" t="n"/>
      <c r="I13" s="108" t="n"/>
      <c r="J13" s="106" t="inlineStr">
        <is>
          <t>Most units sold, all time</t>
        </is>
      </c>
      <c r="K13" s="107" t="n"/>
      <c r="L13" s="108" t="n"/>
      <c r="N13">
        <f>IF(N5=0,"",N8/N5)</f>
        <v/>
      </c>
    </row>
    <row r="14" ht="8" customHeight="1">
      <c r="A14" s="9" t="n"/>
    </row>
    <row r="15">
      <c r="A15" s="39" t="inlineStr">
        <is>
          <t>REVIEW MONTH DETAIL</t>
        </is>
      </c>
      <c r="F15" s="9" t="n"/>
      <c r="G15" s="39" t="inlineStr">
        <is>
          <t>PROFIT BY PRODUCT</t>
        </is>
      </c>
      <c r="N15">
        <f>SUMIFS(SalesGross,SalesMonth,N2)</f>
        <v/>
      </c>
    </row>
    <row r="16" ht="18" customHeight="1">
      <c r="A16" s="40" t="inlineStr">
        <is>
          <t>Orders</t>
        </is>
      </c>
      <c r="B16" s="114" t="n"/>
      <c r="C16" s="115" t="n"/>
      <c r="D16" s="41">
        <f>FocusOrders</f>
        <v/>
      </c>
      <c r="E16" s="115" t="n"/>
      <c r="F16" s="9" t="n"/>
      <c r="G16" s="43" t="inlineStr">
        <is>
          <t>Product</t>
        </is>
      </c>
      <c r="H16" s="115" t="n"/>
      <c r="I16" s="43" t="inlineStr">
        <is>
          <t>Units</t>
        </is>
      </c>
      <c r="J16" s="43" t="inlineStr">
        <is>
          <t>Revenue</t>
        </is>
      </c>
      <c r="K16" s="43" t="inlineStr">
        <is>
          <t>Profit</t>
        </is>
      </c>
      <c r="L16" s="115" t="n"/>
      <c r="N16">
        <f>SUMIFS(SalesNet,SalesMonth,N2)</f>
        <v/>
      </c>
    </row>
    <row r="17" ht="18" customHeight="1">
      <c r="A17" s="40" t="inlineStr">
        <is>
          <t>Units sold</t>
        </is>
      </c>
      <c r="B17" s="114" t="n"/>
      <c r="C17" s="115" t="n"/>
      <c r="D17" s="41">
        <f>FocusUnits</f>
        <v/>
      </c>
      <c r="E17" s="115" t="n"/>
      <c r="F17" s="9" t="n"/>
      <c r="G17" s="44">
        <f>IF('Products'!A5="","",'Products'!A5)</f>
        <v/>
      </c>
      <c r="H17" s="115" t="n"/>
      <c r="I17" s="45">
        <f>IF(G17="","",'Products'!G5)</f>
        <v/>
      </c>
      <c r="J17" s="46">
        <f>IF(G17="","",'Products'!H5)</f>
        <v/>
      </c>
      <c r="K17" s="46">
        <f>IF(G17="","",'Products'!I5)</f>
        <v/>
      </c>
      <c r="L17" s="115" t="n"/>
      <c r="N17">
        <f>SUMIFS(ExpAmounts,ExpMonth,N2)</f>
        <v/>
      </c>
    </row>
    <row r="18" ht="18" customHeight="1">
      <c r="A18" s="40" t="inlineStr">
        <is>
          <t>Revenue</t>
        </is>
      </c>
      <c r="B18" s="114" t="n"/>
      <c r="C18" s="115" t="n"/>
      <c r="D18" s="48">
        <f>FocusRevenue</f>
        <v/>
      </c>
      <c r="E18" s="115" t="n"/>
      <c r="F18" s="9" t="n"/>
      <c r="G18" s="44">
        <f>IF('Products'!A6="","",'Products'!A6)</f>
        <v/>
      </c>
      <c r="H18" s="115" t="n"/>
      <c r="I18" s="45">
        <f>IF(G18="","",'Products'!G6)</f>
        <v/>
      </c>
      <c r="J18" s="46">
        <f>IF(G18="","",'Products'!H6)</f>
        <v/>
      </c>
      <c r="K18" s="46">
        <f>IF(G18="","",'Products'!I6)</f>
        <v/>
      </c>
      <c r="L18" s="115" t="n"/>
      <c r="N18">
        <f>N16-N17</f>
        <v/>
      </c>
    </row>
    <row r="19" ht="18" customHeight="1">
      <c r="A19" s="40" t="inlineStr">
        <is>
          <t>Platform fees</t>
        </is>
      </c>
      <c r="B19" s="114" t="n"/>
      <c r="C19" s="115" t="n"/>
      <c r="D19" s="48">
        <f>FocusFees</f>
        <v/>
      </c>
      <c r="E19" s="115" t="n"/>
      <c r="F19" s="9" t="n"/>
      <c r="G19" s="44">
        <f>IF('Products'!A7="","",'Products'!A7)</f>
        <v/>
      </c>
      <c r="H19" s="115" t="n"/>
      <c r="I19" s="45">
        <f>IF(G19="","",'Products'!G7)</f>
        <v/>
      </c>
      <c r="J19" s="46">
        <f>IF(G19="","",'Products'!H7)</f>
        <v/>
      </c>
      <c r="K19" s="46">
        <f>IF(G19="","",'Products'!I7)</f>
        <v/>
      </c>
      <c r="L19" s="115" t="n"/>
      <c r="N19">
        <f>SUMIFS(SalesFees,SalesMonth,N2)</f>
        <v/>
      </c>
    </row>
    <row r="20" ht="18" customHeight="1">
      <c r="A20" s="40" t="inlineStr">
        <is>
          <t>COGS</t>
        </is>
      </c>
      <c r="B20" s="114" t="n"/>
      <c r="C20" s="115" t="n"/>
      <c r="D20" s="48">
        <f>FocusCOGS</f>
        <v/>
      </c>
      <c r="E20" s="115" t="n"/>
      <c r="F20" s="9" t="n"/>
      <c r="G20" s="44">
        <f>IF('Products'!A8="","",'Products'!A8)</f>
        <v/>
      </c>
      <c r="H20" s="115" t="n"/>
      <c r="I20" s="45">
        <f>IF(G20="","",'Products'!G8)</f>
        <v/>
      </c>
      <c r="J20" s="46">
        <f>IF(G20="","",'Products'!H8)</f>
        <v/>
      </c>
      <c r="K20" s="46">
        <f>IF(G20="","",'Products'!I8)</f>
        <v/>
      </c>
      <c r="L20" s="115" t="n"/>
      <c r="N20">
        <f>SUMIFS(SalesCOGS,SalesMonth,N2)</f>
        <v/>
      </c>
    </row>
    <row r="21" ht="18" customHeight="1">
      <c r="A21" s="40" t="inlineStr">
        <is>
          <t>Shipping you paid</t>
        </is>
      </c>
      <c r="B21" s="114" t="n"/>
      <c r="C21" s="115" t="n"/>
      <c r="D21" s="48">
        <f>FocusShip</f>
        <v/>
      </c>
      <c r="E21" s="115" t="n"/>
      <c r="F21" s="9" t="n"/>
      <c r="G21" s="44">
        <f>IF('Products'!A9="","",'Products'!A9)</f>
        <v/>
      </c>
      <c r="H21" s="115" t="n"/>
      <c r="I21" s="45">
        <f>IF(G21="","",'Products'!G9)</f>
        <v/>
      </c>
      <c r="J21" s="46">
        <f>IF(G21="","",'Products'!H9)</f>
        <v/>
      </c>
      <c r="K21" s="46">
        <f>IF(G21="","",'Products'!I9)</f>
        <v/>
      </c>
      <c r="L21" s="115" t="n"/>
      <c r="N21">
        <f>SUMIFS(SalesShipPaid,SalesMonth,N2)</f>
        <v/>
      </c>
    </row>
    <row r="22" ht="18" customHeight="1">
      <c r="A22" s="40" t="inlineStr">
        <is>
          <t>Sales profit</t>
        </is>
      </c>
      <c r="B22" s="114" t="n"/>
      <c r="C22" s="115" t="n"/>
      <c r="D22" s="48">
        <f>FocusSalesProfit</f>
        <v/>
      </c>
      <c r="E22" s="115" t="n"/>
      <c r="F22" s="9" t="n"/>
      <c r="G22" s="44">
        <f>IF('Products'!A10="","",'Products'!A10)</f>
        <v/>
      </c>
      <c r="H22" s="115" t="n"/>
      <c r="I22" s="45">
        <f>IF(G22="","",'Products'!G10)</f>
        <v/>
      </c>
      <c r="J22" s="46">
        <f>IF(G22="","",'Products'!H10)</f>
        <v/>
      </c>
      <c r="K22" s="46">
        <f>IF(G22="","",'Products'!I10)</f>
        <v/>
      </c>
      <c r="L22" s="115" t="n"/>
      <c r="N22">
        <f>SUMIFS(SalesNewOrder,SalesMonth,N2)</f>
        <v/>
      </c>
    </row>
    <row r="23" ht="18" customHeight="1">
      <c r="A23" s="40" t="inlineStr">
        <is>
          <t>Other expenses</t>
        </is>
      </c>
      <c r="B23" s="114" t="n"/>
      <c r="C23" s="115" t="n"/>
      <c r="D23" s="48">
        <f>FocusExpenses</f>
        <v/>
      </c>
      <c r="E23" s="115" t="n"/>
      <c r="F23" s="9" t="n"/>
      <c r="G23" s="44">
        <f>IF('Products'!A11="","",'Products'!A11)</f>
        <v/>
      </c>
      <c r="H23" s="115" t="n"/>
      <c r="I23" s="45">
        <f>IF(G23="","",'Products'!G11)</f>
        <v/>
      </c>
      <c r="J23" s="46">
        <f>IF(G23="","",'Products'!H11)</f>
        <v/>
      </c>
      <c r="K23" s="46">
        <f>IF(G23="","",'Products'!I11)</f>
        <v/>
      </c>
      <c r="L23" s="115" t="n"/>
      <c r="N23">
        <f>SUMIFS(SalesQty,SalesMonth,N2)</f>
        <v/>
      </c>
    </row>
    <row r="24" ht="18" customHeight="1">
      <c r="A24" s="40" t="inlineStr">
        <is>
          <t>Net profit</t>
        </is>
      </c>
      <c r="B24" s="114" t="n"/>
      <c r="C24" s="115" t="n"/>
      <c r="D24" s="48">
        <f>FocusNet</f>
        <v/>
      </c>
      <c r="E24" s="115" t="n"/>
      <c r="F24" s="9" t="n"/>
      <c r="G24" s="44">
        <f>IF('Products'!A12="","",'Products'!A12)</f>
        <v/>
      </c>
      <c r="H24" s="115" t="n"/>
      <c r="I24" s="45">
        <f>IF(G24="","",'Products'!G12)</f>
        <v/>
      </c>
      <c r="J24" s="46">
        <f>IF(G24="","",'Products'!H12)</f>
        <v/>
      </c>
      <c r="K24" s="46">
        <f>IF(G24="","",'Products'!I12)</f>
        <v/>
      </c>
      <c r="L24" s="115" t="n"/>
    </row>
    <row r="25" ht="18" customHeight="1">
      <c r="A25" s="40" t="inlineStr">
        <is>
          <t>Margin</t>
        </is>
      </c>
      <c r="B25" s="114" t="n"/>
      <c r="C25" s="115" t="n"/>
      <c r="D25" s="49">
        <f>IF(FocusRevenue=0,"",FocusNet/FocusRevenue)</f>
        <v/>
      </c>
      <c r="E25" s="115" t="n"/>
      <c r="F25" s="9" t="n"/>
      <c r="G25" s="9" t="n"/>
      <c r="H25" s="9" t="n"/>
      <c r="I25" s="9" t="n"/>
      <c r="J25" s="9" t="n"/>
      <c r="K25" s="9" t="n"/>
      <c r="L25" s="9" t="n"/>
      <c r="N25">
        <f>SUMIFS(SalesGross,SalesMonth,N3)</f>
        <v/>
      </c>
    </row>
    <row r="26" ht="8" customHeight="1">
      <c r="A26" s="9" t="n"/>
      <c r="N26">
        <f>SUMIFS(SalesNet,SalesMonth,N3)</f>
        <v/>
      </c>
    </row>
    <row r="27">
      <c r="A27" s="39" t="inlineStr">
        <is>
          <t>REVENUE VS PROFIT  (last 12 months)</t>
        </is>
      </c>
      <c r="G27" s="39" t="inlineStr">
        <is>
          <t>PROFIT BY PRODUCT</t>
        </is>
      </c>
      <c r="N27">
        <f>SUMIFS(ExpAmounts,ExpMonth,N3)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N28">
        <f>N26-N27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N29">
        <f>IF(N28=0,IF(N18=0,0,1),(N18-N28)/ABS(N28))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N31">
        <f>IFERROR(INDEX(ProdNames,MATCH(MAX(ProdUnits),ProdUnits,0)),"—")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N32">
        <f>IFERROR(MAX(ProdUnits),0)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8" customHeight="1">
      <c r="A44" s="9" t="n"/>
    </row>
    <row r="45">
      <c r="A45" s="39" t="inlineStr">
        <is>
          <t>MONTHLY NET PROFIT TREND  (last 12 months)</t>
        </is>
      </c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 ht="28" customHeight="1">
      <c r="A62" s="50" t="inlineStr">
        <is>
          <t>Blue Review month (B3) changes the comparison cards and the 12-month charts. All-time cards always include every sale and expense. Gray cells calculate. See Instructions for the 5-minute start.</t>
        </is>
      </c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70">
      <c r="A70" s="2" t="inlineStr">
        <is>
          <t>Month</t>
        </is>
      </c>
      <c r="B70" s="2" t="inlineStr">
        <is>
          <t>Revenue</t>
        </is>
      </c>
      <c r="C70" s="2" t="inlineStr">
        <is>
          <t>Net profit</t>
        </is>
      </c>
      <c r="E70" s="2" t="inlineStr">
        <is>
          <t>Product</t>
        </is>
      </c>
      <c r="F70" s="2" t="inlineStr">
        <is>
          <t>Profit</t>
        </is>
      </c>
    </row>
    <row r="71">
      <c r="A71" s="51">
        <f>EDATE(DATE(YEAR(FocusMonth),MONTH(FocusMonth),1),-11)</f>
        <v/>
      </c>
      <c r="B71" s="52">
        <f>IF(SUMIFS(SalesGross,SalesMonth,A71)+SUMIFS(ExpAmounts,ExpMonth,A71)=0,NA(),SUMIFS(SalesGross,SalesMonth,A71))</f>
        <v/>
      </c>
      <c r="C71" s="52">
        <f>IF(SUMIFS(SalesGross,SalesMonth,A71)+SUMIFS(ExpAmounts,ExpMonth,A71)=0,NA(),SUMIFS(SalesNet,SalesMonth,A71)-SUMIFS(ExpAmounts,ExpMonth,A71))</f>
        <v/>
      </c>
      <c r="E71" s="53">
        <f>IF('Products'!A5="","",'Products'!A5)</f>
        <v/>
      </c>
      <c r="F71" s="52">
        <f>IF(OR(E71="",'Products'!I5=0),NA(),'Products'!I5)</f>
        <v/>
      </c>
    </row>
    <row r="72">
      <c r="A72" s="51">
        <f>EDATE(A71,1)</f>
        <v/>
      </c>
      <c r="B72" s="52">
        <f>IF(SUMIFS(SalesGross,SalesMonth,A72)+SUMIFS(ExpAmounts,ExpMonth,A72)=0,NA(),SUMIFS(SalesGross,SalesMonth,A72))</f>
        <v/>
      </c>
      <c r="C72" s="52">
        <f>IF(SUMIFS(SalesGross,SalesMonth,A72)+SUMIFS(ExpAmounts,ExpMonth,A72)=0,NA(),SUMIFS(SalesNet,SalesMonth,A72)-SUMIFS(ExpAmounts,ExpMonth,A72))</f>
        <v/>
      </c>
      <c r="E72" s="53">
        <f>IF('Products'!A6="","",'Products'!A6)</f>
        <v/>
      </c>
      <c r="F72" s="52">
        <f>IF(OR(E72="",'Products'!I6=0),NA(),'Products'!I6)</f>
        <v/>
      </c>
    </row>
    <row r="73">
      <c r="A73" s="51">
        <f>EDATE(A72,1)</f>
        <v/>
      </c>
      <c r="B73" s="52">
        <f>IF(SUMIFS(SalesGross,SalesMonth,A73)+SUMIFS(ExpAmounts,ExpMonth,A73)=0,NA(),SUMIFS(SalesGross,SalesMonth,A73))</f>
        <v/>
      </c>
      <c r="C73" s="52">
        <f>IF(SUMIFS(SalesGross,SalesMonth,A73)+SUMIFS(ExpAmounts,ExpMonth,A73)=0,NA(),SUMIFS(SalesNet,SalesMonth,A73)-SUMIFS(ExpAmounts,ExpMonth,A73))</f>
        <v/>
      </c>
      <c r="E73" s="53">
        <f>IF('Products'!A7="","",'Products'!A7)</f>
        <v/>
      </c>
      <c r="F73" s="52">
        <f>IF(OR(E73="",'Products'!I7=0),NA(),'Products'!I7)</f>
        <v/>
      </c>
    </row>
    <row r="74">
      <c r="A74" s="51">
        <f>EDATE(A73,1)</f>
        <v/>
      </c>
      <c r="B74" s="52">
        <f>IF(SUMIFS(SalesGross,SalesMonth,A74)+SUMIFS(ExpAmounts,ExpMonth,A74)=0,NA(),SUMIFS(SalesGross,SalesMonth,A74))</f>
        <v/>
      </c>
      <c r="C74" s="52">
        <f>IF(SUMIFS(SalesGross,SalesMonth,A74)+SUMIFS(ExpAmounts,ExpMonth,A74)=0,NA(),SUMIFS(SalesNet,SalesMonth,A74)-SUMIFS(ExpAmounts,ExpMonth,A74))</f>
        <v/>
      </c>
      <c r="E74" s="53">
        <f>IF('Products'!A8="","",'Products'!A8)</f>
        <v/>
      </c>
      <c r="F74" s="52">
        <f>IF(OR(E74="",'Products'!I8=0),NA(),'Products'!I8)</f>
        <v/>
      </c>
    </row>
    <row r="75">
      <c r="A75" s="51">
        <f>EDATE(A74,1)</f>
        <v/>
      </c>
      <c r="B75" s="52">
        <f>IF(SUMIFS(SalesGross,SalesMonth,A75)+SUMIFS(ExpAmounts,ExpMonth,A75)=0,NA(),SUMIFS(SalesGross,SalesMonth,A75))</f>
        <v/>
      </c>
      <c r="C75" s="52">
        <f>IF(SUMIFS(SalesGross,SalesMonth,A75)+SUMIFS(ExpAmounts,ExpMonth,A75)=0,NA(),SUMIFS(SalesNet,SalesMonth,A75)-SUMIFS(ExpAmounts,ExpMonth,A75))</f>
        <v/>
      </c>
      <c r="E75" s="53">
        <f>IF('Products'!A9="","",'Products'!A9)</f>
        <v/>
      </c>
      <c r="F75" s="52">
        <f>IF(OR(E75="",'Products'!I9=0),NA(),'Products'!I9)</f>
        <v/>
      </c>
    </row>
    <row r="76">
      <c r="A76" s="51">
        <f>EDATE(A75,1)</f>
        <v/>
      </c>
      <c r="B76" s="52">
        <f>IF(SUMIFS(SalesGross,SalesMonth,A76)+SUMIFS(ExpAmounts,ExpMonth,A76)=0,NA(),SUMIFS(SalesGross,SalesMonth,A76))</f>
        <v/>
      </c>
      <c r="C76" s="52">
        <f>IF(SUMIFS(SalesGross,SalesMonth,A76)+SUMIFS(ExpAmounts,ExpMonth,A76)=0,NA(),SUMIFS(SalesNet,SalesMonth,A76)-SUMIFS(ExpAmounts,ExpMonth,A76))</f>
        <v/>
      </c>
      <c r="E76" s="53">
        <f>IF('Products'!A10="","",'Products'!A10)</f>
        <v/>
      </c>
      <c r="F76" s="52">
        <f>IF(OR(E76="",'Products'!I10=0),NA(),'Products'!I10)</f>
        <v/>
      </c>
    </row>
    <row r="77">
      <c r="A77" s="51">
        <f>EDATE(A76,1)</f>
        <v/>
      </c>
      <c r="B77" s="52">
        <f>IF(SUMIFS(SalesGross,SalesMonth,A77)+SUMIFS(ExpAmounts,ExpMonth,A77)=0,NA(),SUMIFS(SalesGross,SalesMonth,A77))</f>
        <v/>
      </c>
      <c r="C77" s="52">
        <f>IF(SUMIFS(SalesGross,SalesMonth,A77)+SUMIFS(ExpAmounts,ExpMonth,A77)=0,NA(),SUMIFS(SalesNet,SalesMonth,A77)-SUMIFS(ExpAmounts,ExpMonth,A77))</f>
        <v/>
      </c>
      <c r="E77" s="53">
        <f>IF('Products'!A11="","",'Products'!A11)</f>
        <v/>
      </c>
      <c r="F77" s="52">
        <f>IF(OR(E77="",'Products'!I11=0),NA(),'Products'!I11)</f>
        <v/>
      </c>
    </row>
    <row r="78">
      <c r="A78" s="51">
        <f>EDATE(A77,1)</f>
        <v/>
      </c>
      <c r="B78" s="52">
        <f>IF(SUMIFS(SalesGross,SalesMonth,A78)+SUMIFS(ExpAmounts,ExpMonth,A78)=0,NA(),SUMIFS(SalesGross,SalesMonth,A78))</f>
        <v/>
      </c>
      <c r="C78" s="52">
        <f>IF(SUMIFS(SalesGross,SalesMonth,A78)+SUMIFS(ExpAmounts,ExpMonth,A78)=0,NA(),SUMIFS(SalesNet,SalesMonth,A78)-SUMIFS(ExpAmounts,ExpMonth,A78))</f>
        <v/>
      </c>
      <c r="E78" s="53">
        <f>IF('Products'!A12="","",'Products'!A12)</f>
        <v/>
      </c>
      <c r="F78" s="52">
        <f>IF(OR(E78="",'Products'!I12=0),NA(),'Products'!I12)</f>
        <v/>
      </c>
    </row>
    <row r="79">
      <c r="A79" s="51">
        <f>EDATE(A78,1)</f>
        <v/>
      </c>
      <c r="B79" s="52">
        <f>IF(SUMIFS(SalesGross,SalesMonth,A79)+SUMIFS(ExpAmounts,ExpMonth,A79)=0,NA(),SUMIFS(SalesGross,SalesMonth,A79))</f>
        <v/>
      </c>
      <c r="C79" s="52">
        <f>IF(SUMIFS(SalesGross,SalesMonth,A79)+SUMIFS(ExpAmounts,ExpMonth,A79)=0,NA(),SUMIFS(SalesNet,SalesMonth,A79)-SUMIFS(ExpAmounts,ExpMonth,A79))</f>
        <v/>
      </c>
      <c r="E79" s="53">
        <f>IF('Products'!A13="","",'Products'!A13)</f>
        <v/>
      </c>
      <c r="F79" s="52">
        <f>IF(OR(E79="",'Products'!I13=0),NA(),'Products'!I13)</f>
        <v/>
      </c>
    </row>
    <row r="80">
      <c r="A80" s="51">
        <f>EDATE(A79,1)</f>
        <v/>
      </c>
      <c r="B80" s="52">
        <f>IF(SUMIFS(SalesGross,SalesMonth,A80)+SUMIFS(ExpAmounts,ExpMonth,A80)=0,NA(),SUMIFS(SalesGross,SalesMonth,A80))</f>
        <v/>
      </c>
      <c r="C80" s="52">
        <f>IF(SUMIFS(SalesGross,SalesMonth,A80)+SUMIFS(ExpAmounts,ExpMonth,A80)=0,NA(),SUMIFS(SalesNet,SalesMonth,A80)-SUMIFS(ExpAmounts,ExpMonth,A80))</f>
        <v/>
      </c>
      <c r="E80" s="53">
        <f>IF('Products'!A14="","",'Products'!A14)</f>
        <v/>
      </c>
      <c r="F80" s="52">
        <f>IF(OR(E80="",'Products'!I14=0),NA(),'Products'!I14)</f>
        <v/>
      </c>
    </row>
    <row r="81">
      <c r="A81" s="51">
        <f>EDATE(A80,1)</f>
        <v/>
      </c>
      <c r="B81" s="52">
        <f>IF(SUMIFS(SalesGross,SalesMonth,A81)+SUMIFS(ExpAmounts,ExpMonth,A81)=0,NA(),SUMIFS(SalesGross,SalesMonth,A81))</f>
        <v/>
      </c>
      <c r="C81" s="52">
        <f>IF(SUMIFS(SalesGross,SalesMonth,A81)+SUMIFS(ExpAmounts,ExpMonth,A81)=0,NA(),SUMIFS(SalesNet,SalesMonth,A81)-SUMIFS(ExpAmounts,ExpMonth,A81))</f>
        <v/>
      </c>
      <c r="E81" s="53">
        <f>IF('Products'!A15="","",'Products'!A15)</f>
        <v/>
      </c>
      <c r="F81" s="52">
        <f>IF(OR(E81="",'Products'!I15=0),NA(),'Products'!I15)</f>
        <v/>
      </c>
    </row>
    <row r="82">
      <c r="A82" s="51">
        <f>EDATE(A81,1)</f>
        <v/>
      </c>
      <c r="B82" s="52">
        <f>IF(SUMIFS(SalesGross,SalesMonth,A82)+SUMIFS(ExpAmounts,ExpMonth,A82)=0,NA(),SUMIFS(SalesGross,SalesMonth,A82))</f>
        <v/>
      </c>
      <c r="C82" s="52">
        <f>IF(SUMIFS(SalesGross,SalesMonth,A82)+SUMIFS(ExpAmounts,ExpMonth,A82)=0,NA(),SUMIFS(SalesNet,SalesMonth,A82)-SUMIFS(ExpAmounts,ExpMonth,A82))</f>
        <v/>
      </c>
      <c r="E82" s="53">
        <f>IF('Products'!A16="","",'Products'!A16)</f>
        <v/>
      </c>
      <c r="F82" s="52">
        <f>IF(OR(E82="",'Products'!I16=0),NA(),'Products'!I16)</f>
        <v/>
      </c>
    </row>
  </sheetData>
  <mergeCells count="85">
    <mergeCell ref="D20:E20"/>
    <mergeCell ref="G21:H21"/>
    <mergeCell ref="D11:F11"/>
    <mergeCell ref="G13:I13"/>
    <mergeCell ref="K24:L24"/>
    <mergeCell ref="A21:C21"/>
    <mergeCell ref="D22:E22"/>
    <mergeCell ref="G23:H23"/>
    <mergeCell ref="J11:L11"/>
    <mergeCell ref="A26:L26"/>
    <mergeCell ref="A23:C23"/>
    <mergeCell ref="D12:F12"/>
    <mergeCell ref="G18:H18"/>
    <mergeCell ref="G20:H20"/>
    <mergeCell ref="D24:E24"/>
    <mergeCell ref="J13:L13"/>
    <mergeCell ref="A6:C6"/>
    <mergeCell ref="G22:H22"/>
    <mergeCell ref="G6:I6"/>
    <mergeCell ref="D19:E19"/>
    <mergeCell ref="A27:F27"/>
    <mergeCell ref="A12:C12"/>
    <mergeCell ref="K21:L21"/>
    <mergeCell ref="J7:L7"/>
    <mergeCell ref="A5:C5"/>
    <mergeCell ref="A14:L14"/>
    <mergeCell ref="A4:L4"/>
    <mergeCell ref="A13:C13"/>
    <mergeCell ref="D5:F5"/>
    <mergeCell ref="G24:H24"/>
    <mergeCell ref="A2:H2"/>
    <mergeCell ref="A24:C24"/>
    <mergeCell ref="K17:L17"/>
    <mergeCell ref="J5:L5"/>
    <mergeCell ref="G16:H16"/>
    <mergeCell ref="D23:E23"/>
    <mergeCell ref="G8:I8"/>
    <mergeCell ref="K19:L19"/>
    <mergeCell ref="A7:C7"/>
    <mergeCell ref="A16:C16"/>
    <mergeCell ref="K16:L16"/>
    <mergeCell ref="A25:C25"/>
    <mergeCell ref="J6:L6"/>
    <mergeCell ref="G10:I10"/>
    <mergeCell ref="A18:C18"/>
    <mergeCell ref="D7:F7"/>
    <mergeCell ref="G5:I5"/>
    <mergeCell ref="A22:C22"/>
    <mergeCell ref="I2:L2"/>
    <mergeCell ref="D8:F8"/>
    <mergeCell ref="D17:E17"/>
    <mergeCell ref="A20:C20"/>
    <mergeCell ref="A44:L44"/>
    <mergeCell ref="J8:L8"/>
    <mergeCell ref="G12:I12"/>
    <mergeCell ref="K23:L23"/>
    <mergeCell ref="D25:E25"/>
    <mergeCell ref="J10:L10"/>
    <mergeCell ref="D6:F6"/>
    <mergeCell ref="G7:I7"/>
    <mergeCell ref="K18:L18"/>
    <mergeCell ref="D13:F13"/>
    <mergeCell ref="A15:E15"/>
    <mergeCell ref="G17:H17"/>
    <mergeCell ref="D21:E21"/>
    <mergeCell ref="G15:L15"/>
    <mergeCell ref="K20:L20"/>
    <mergeCell ref="A8:C8"/>
    <mergeCell ref="C3:L3"/>
    <mergeCell ref="A17:C17"/>
    <mergeCell ref="G19:H19"/>
    <mergeCell ref="J12:L12"/>
    <mergeCell ref="K22:L22"/>
    <mergeCell ref="A62:L62"/>
    <mergeCell ref="A10:C10"/>
    <mergeCell ref="D16:E16"/>
    <mergeCell ref="A19:C19"/>
    <mergeCell ref="A9:L9"/>
    <mergeCell ref="D18:E18"/>
    <mergeCell ref="D10:F10"/>
    <mergeCell ref="G11:I11"/>
    <mergeCell ref="A11:C11"/>
    <mergeCell ref="G27:L27"/>
    <mergeCell ref="A1:L1"/>
    <mergeCell ref="A45:L45"/>
  </mergeCells>
  <conditionalFormatting sqref="D6:F6">
    <cfRule type="expression" priority="1" dxfId="0">
      <formula>TotalNetProfit&lt;0</formula>
    </cfRule>
  </conditionalFormatting>
  <conditionalFormatting sqref="G11:I11">
    <cfRule type="expression" priority="2" dxfId="1">
      <formula>MoMChange&lt;0</formula>
    </cfRule>
    <cfRule type="expression" priority="3" dxfId="2">
      <formula>MoMChange&gt;=0</formula>
    </cfRule>
  </conditionalFormatting>
  <conditionalFormatting sqref="D24:E24">
    <cfRule type="expression" priority="4" dxfId="3">
      <formula>FocusNet&lt;0</formula>
    </cfRule>
    <cfRule type="expression" priority="5" dxfId="4">
      <formula>FocusNet&gt;=0</formula>
    </cfRule>
  </conditionalFormatting>
  <conditionalFormatting sqref="K17:L24">
    <cfRule type="expression" priority="6" dxfId="5">
      <formula>AND(G17&lt;&gt;"",K17&lt;0)</formula>
    </cfRule>
    <cfRule type="expression" priority="7" dxfId="6">
      <formula>AND(G17&lt;&gt;"",K17&gt;0)</formula>
    </cfRule>
  </conditionalFormatting>
  <printOptions horizontalCentered="1"/>
  <pageMargins left="0.5" right="0.5" top="0.55" bottom="0.55" header="0.3" footer="0.3"/>
  <pageSetup orientation="landscape" paperSize="1" fitToHeight="1" fitToWidth="1"/>
  <headerFooter>
    <oddHeader>&amp;LDashboard</oddHeader>
    <oddFooter>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3D7EAA"/>
    <outlinePr summaryBelow="1" summaryRight="1"/>
    <pageSetUpPr fitToPage="1"/>
  </sheetPr>
  <dimension ref="A1:P2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8" customWidth="1" min="4" max="4"/>
    <col width="12" customWidth="1" min="5" max="5"/>
    <col width="13" customWidth="1" min="6" max="6"/>
    <col width="11" customWidth="1" min="7" max="7"/>
    <col width="12" customWidth="1" min="8" max="8"/>
    <col width="14" customWidth="1" min="9" max="9"/>
    <col width="13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hidden="1" width="8" customWidth="1" min="16" max="16"/>
  </cols>
  <sheetData>
    <row r="1" ht="30" customHeight="1">
      <c r="A1" s="1" t="inlineStr">
        <is>
          <t>Sales Log</t>
        </is>
      </c>
    </row>
    <row r="2" ht="28" customHeight="1">
      <c r="A2" s="50" t="inlineStr">
        <is>
          <t>One row per line item. If an order has two products, use two rows and the same Order ID. Do not log ads or subscriptions here — those go on Fees &amp; Expenses.</t>
        </is>
      </c>
    </row>
    <row r="3">
      <c r="A3" s="54">
        <f>IF(SUM(L5:L204)=0,"Add your first sale in the blue cells below.","Lines: "&amp;COUNTA(A5:A204)&amp;"   ·   Orders: "&amp;TEXT(SUM(P5:P204),"#,##0")&amp;"   ·   Gross: "&amp;TEXT(SUM(L5:L204),"$#,##0.00")&amp;"   ·   Sales profit: "&amp;TEXT(SUM(M5:M204),"$#,##0.00"))</f>
        <v/>
      </c>
    </row>
    <row r="4" ht="32" customHeight="1">
      <c r="A4" s="55" t="inlineStr">
        <is>
          <t>Date</t>
        </is>
      </c>
      <c r="B4" s="55" t="inlineStr">
        <is>
          <t>Order ID</t>
        </is>
      </c>
      <c r="C4" s="55" t="inlineStr">
        <is>
          <t>Product</t>
        </is>
      </c>
      <c r="D4" s="55" t="inlineStr">
        <is>
          <t>Qty</t>
        </is>
      </c>
      <c r="E4" s="55" t="inlineStr">
        <is>
          <t>Unit price</t>
        </is>
      </c>
      <c r="F4" s="55" t="inlineStr">
        <is>
          <t>Shipping charged</t>
        </is>
      </c>
      <c r="G4" s="55" t="inlineStr">
        <is>
          <t>Platform</t>
        </is>
      </c>
      <c r="H4" s="55" t="inlineStr">
        <is>
          <t>Platform fees</t>
        </is>
      </c>
      <c r="I4" s="55" t="inlineStr">
        <is>
          <t>Shipping you paid</t>
        </is>
      </c>
      <c r="J4" s="55" t="inlineStr">
        <is>
          <t>COGS override</t>
        </is>
      </c>
      <c r="K4" s="55" t="inlineStr">
        <is>
          <t>COGS</t>
        </is>
      </c>
      <c r="L4" s="55" t="inlineStr">
        <is>
          <t>Gross</t>
        </is>
      </c>
      <c r="M4" s="55" t="inlineStr">
        <is>
          <t>Net profit</t>
        </is>
      </c>
      <c r="N4" s="55" t="inlineStr">
        <is>
          <t>Margin</t>
        </is>
      </c>
      <c r="O4" s="55" t="inlineStr">
        <is>
          <t>Month</t>
        </is>
      </c>
      <c r="P4" s="55" t="inlineStr">
        <is>
          <t>New order</t>
        </is>
      </c>
    </row>
    <row r="5" ht="17" customHeight="1">
      <c r="A5" s="116" t="n">
        <v>46176</v>
      </c>
      <c r="B5" s="57" t="inlineStr">
        <is>
          <t>E-10201</t>
        </is>
      </c>
      <c r="C5" s="57" t="inlineStr">
        <is>
          <t>Floral Sticker Pack</t>
        </is>
      </c>
      <c r="D5" s="58" t="n">
        <v>2</v>
      </c>
      <c r="E5" s="59" t="n">
        <v>8</v>
      </c>
      <c r="F5" s="59" t="n">
        <v>3.5</v>
      </c>
      <c r="G5" s="58" t="inlineStr">
        <is>
          <t>Etsy</t>
        </is>
      </c>
      <c r="H5" s="59" t="n">
        <v>2.15</v>
      </c>
      <c r="I5" s="59" t="n">
        <v>2.1</v>
      </c>
      <c r="J5" s="59" t="n"/>
      <c r="K5" s="60">
        <f>IF(C5="","",IF(J5&lt;&gt;"",J5,N(D5)*IFERROR(INDEX(ProdCOGS,MATCH(C5,ProdNames,0)),0)))</f>
        <v/>
      </c>
      <c r="L5" s="60">
        <f>IF(A5="","",N(D5)*N(E5)+N(F5))</f>
        <v/>
      </c>
      <c r="M5" s="61">
        <f>IF(A5="","",L5-N(H5)-N(I5)-N(K5))</f>
        <v/>
      </c>
      <c r="N5" s="62">
        <f>IF(OR(A5="",N(L5)=0),"",M5/L5)</f>
        <v/>
      </c>
      <c r="O5" s="63">
        <f>IF(A5="","",DATE(YEAR(A5),MONTH(A5),1))</f>
        <v/>
      </c>
      <c r="P5" s="64">
        <f>IF(OR(A5="",B5=""),"",IF(COUNTIF($B$5:B5,B5)=1,1,0))</f>
        <v/>
      </c>
    </row>
    <row r="6" ht="17" customHeight="1">
      <c r="A6" s="116" t="n">
        <v>46176</v>
      </c>
      <c r="B6" s="57" t="inlineStr">
        <is>
          <t>E-10201</t>
        </is>
      </c>
      <c r="C6" s="57" t="inlineStr">
        <is>
          <t>Gift Wrap Add-on</t>
        </is>
      </c>
      <c r="D6" s="58" t="n">
        <v>1</v>
      </c>
      <c r="E6" s="59" t="n">
        <v>4</v>
      </c>
      <c r="F6" s="59" t="n">
        <v>0</v>
      </c>
      <c r="G6" s="58" t="inlineStr">
        <is>
          <t>Etsy</t>
        </is>
      </c>
      <c r="H6" s="59" t="n">
        <v>0.45</v>
      </c>
      <c r="I6" s="59" t="n">
        <v>0</v>
      </c>
      <c r="J6" s="59" t="n"/>
      <c r="K6" s="60">
        <f>IF(C6="","",IF(J6&lt;&gt;"",J6,N(D6)*IFERROR(INDEX(ProdCOGS,MATCH(C6,ProdNames,0)),0)))</f>
        <v/>
      </c>
      <c r="L6" s="60">
        <f>IF(A6="","",N(D6)*N(E6)+N(F6))</f>
        <v/>
      </c>
      <c r="M6" s="61">
        <f>IF(A6="","",L6-N(H6)-N(I6)-N(K6))</f>
        <v/>
      </c>
      <c r="N6" s="62">
        <f>IF(OR(A6="",N(L6)=0),"",M6/L6)</f>
        <v/>
      </c>
      <c r="O6" s="63">
        <f>IF(A6="","",DATE(YEAR(A6),MONTH(A6),1))</f>
        <v/>
      </c>
      <c r="P6" s="64">
        <f>IF(OR(A6="",B6=""),"",IF(COUNTIF($B$5:B6,B6)=1,1,0))</f>
        <v/>
      </c>
    </row>
    <row r="7" ht="17" customHeight="1">
      <c r="A7" s="116" t="n">
        <v>46178</v>
      </c>
      <c r="B7" s="57" t="inlineStr">
        <is>
          <t>E-10214</t>
        </is>
      </c>
      <c r="C7" s="57" t="inlineStr">
        <is>
          <t>Mini Art Print</t>
        </is>
      </c>
      <c r="D7" s="58" t="n">
        <v>1</v>
      </c>
      <c r="E7" s="59" t="n">
        <v>12</v>
      </c>
      <c r="F7" s="59" t="n">
        <v>5</v>
      </c>
      <c r="G7" s="58" t="inlineStr">
        <is>
          <t>Etsy</t>
        </is>
      </c>
      <c r="H7" s="59" t="n">
        <v>2.05</v>
      </c>
      <c r="I7" s="59" t="n">
        <v>3.8</v>
      </c>
      <c r="J7" s="59" t="n"/>
      <c r="K7" s="60">
        <f>IF(C7="","",IF(J7&lt;&gt;"",J7,N(D7)*IFERROR(INDEX(ProdCOGS,MATCH(C7,ProdNames,0)),0)))</f>
        <v/>
      </c>
      <c r="L7" s="60">
        <f>IF(A7="","",N(D7)*N(E7)+N(F7))</f>
        <v/>
      </c>
      <c r="M7" s="61">
        <f>IF(A7="","",L7-N(H7)-N(I7)-N(K7))</f>
        <v/>
      </c>
      <c r="N7" s="62">
        <f>IF(OR(A7="",N(L7)=0),"",M7/L7)</f>
        <v/>
      </c>
      <c r="O7" s="63">
        <f>IF(A7="","",DATE(YEAR(A7),MONTH(A7),1))</f>
        <v/>
      </c>
      <c r="P7" s="64">
        <f>IF(OR(A7="",B7=""),"",IF(COUNTIF($B$5:B7,B7)=1,1,0))</f>
        <v/>
      </c>
    </row>
    <row r="8" ht="17" customHeight="1">
      <c r="A8" s="116" t="n">
        <v>46180</v>
      </c>
      <c r="B8" s="57" t="inlineStr">
        <is>
          <t>G-4401</t>
        </is>
      </c>
      <c r="C8" s="57" t="inlineStr">
        <is>
          <t>Digital Planner (PDF)</t>
        </is>
      </c>
      <c r="D8" s="58" t="n">
        <v>1</v>
      </c>
      <c r="E8" s="59" t="n">
        <v>12</v>
      </c>
      <c r="F8" s="59" t="n">
        <v>0</v>
      </c>
      <c r="G8" s="58" t="inlineStr">
        <is>
          <t>Gumroad</t>
        </is>
      </c>
      <c r="H8" s="59" t="n">
        <v>1.2</v>
      </c>
      <c r="I8" s="59" t="n">
        <v>0</v>
      </c>
      <c r="J8" s="59" t="n"/>
      <c r="K8" s="60">
        <f>IF(C8="","",IF(J8&lt;&gt;"",J8,N(D8)*IFERROR(INDEX(ProdCOGS,MATCH(C8,ProdNames,0)),0)))</f>
        <v/>
      </c>
      <c r="L8" s="60">
        <f>IF(A8="","",N(D8)*N(E8)+N(F8))</f>
        <v/>
      </c>
      <c r="M8" s="61">
        <f>IF(A8="","",L8-N(H8)-N(I8)-N(K8))</f>
        <v/>
      </c>
      <c r="N8" s="62">
        <f>IF(OR(A8="",N(L8)=0),"",M8/L8)</f>
        <v/>
      </c>
      <c r="O8" s="63">
        <f>IF(A8="","",DATE(YEAR(A8),MONTH(A8),1))</f>
        <v/>
      </c>
      <c r="P8" s="64">
        <f>IF(OR(A8="",B8=""),"",IF(COUNTIF($B$5:B8,B8)=1,1,0))</f>
        <v/>
      </c>
    </row>
    <row r="9" ht="17" customHeight="1">
      <c r="A9" s="116" t="n">
        <v>46182</v>
      </c>
      <c r="B9" s="57" t="inlineStr">
        <is>
          <t>E-10233</t>
        </is>
      </c>
      <c r="C9" s="57" t="inlineStr">
        <is>
          <t>Floral Sticker Pack</t>
        </is>
      </c>
      <c r="D9" s="58" t="n">
        <v>1</v>
      </c>
      <c r="E9" s="59" t="n">
        <v>8</v>
      </c>
      <c r="F9" s="59" t="n">
        <v>3.5</v>
      </c>
      <c r="G9" s="58" t="inlineStr">
        <is>
          <t>Etsy</t>
        </is>
      </c>
      <c r="H9" s="59" t="n">
        <v>1.55</v>
      </c>
      <c r="I9" s="59" t="n">
        <v>2.1</v>
      </c>
      <c r="J9" s="59" t="n"/>
      <c r="K9" s="60">
        <f>IF(C9="","",IF(J9&lt;&gt;"",J9,N(D9)*IFERROR(INDEX(ProdCOGS,MATCH(C9,ProdNames,0)),0)))</f>
        <v/>
      </c>
      <c r="L9" s="60">
        <f>IF(A9="","",N(D9)*N(E9)+N(F9))</f>
        <v/>
      </c>
      <c r="M9" s="61">
        <f>IF(A9="","",L9-N(H9)-N(I9)-N(K9))</f>
        <v/>
      </c>
      <c r="N9" s="62">
        <f>IF(OR(A9="",N(L9)=0),"",M9/L9)</f>
        <v/>
      </c>
      <c r="O9" s="63">
        <f>IF(A9="","",DATE(YEAR(A9),MONTH(A9),1))</f>
        <v/>
      </c>
      <c r="P9" s="64">
        <f>IF(OR(A9="",B9=""),"",IF(COUNTIF($B$5:B9,B9)=1,1,0))</f>
        <v/>
      </c>
    </row>
    <row r="10" ht="17" customHeight="1">
      <c r="A10" s="116" t="n">
        <v>46185</v>
      </c>
      <c r="B10" s="57" t="inlineStr">
        <is>
          <t>S-881</t>
        </is>
      </c>
      <c r="C10" s="57" t="inlineStr">
        <is>
          <t>Mini Art Print</t>
        </is>
      </c>
      <c r="D10" s="58" t="n">
        <v>2</v>
      </c>
      <c r="E10" s="59" t="n">
        <v>12</v>
      </c>
      <c r="F10" s="59" t="n">
        <v>6</v>
      </c>
      <c r="G10" s="58" t="inlineStr">
        <is>
          <t>Shopify</t>
        </is>
      </c>
      <c r="H10" s="59" t="n">
        <v>1.1</v>
      </c>
      <c r="I10" s="59" t="n">
        <v>4.2</v>
      </c>
      <c r="J10" s="59" t="n"/>
      <c r="K10" s="60">
        <f>IF(C10="","",IF(J10&lt;&gt;"",J10,N(D10)*IFERROR(INDEX(ProdCOGS,MATCH(C10,ProdNames,0)),0)))</f>
        <v/>
      </c>
      <c r="L10" s="60">
        <f>IF(A10="","",N(D10)*N(E10)+N(F10))</f>
        <v/>
      </c>
      <c r="M10" s="61">
        <f>IF(A10="","",L10-N(H10)-N(I10)-N(K10))</f>
        <v/>
      </c>
      <c r="N10" s="62">
        <f>IF(OR(A10="",N(L10)=0),"",M10/L10)</f>
        <v/>
      </c>
      <c r="O10" s="63">
        <f>IF(A10="","",DATE(YEAR(A10),MONTH(A10),1))</f>
        <v/>
      </c>
      <c r="P10" s="64">
        <f>IF(OR(A10="",B10=""),"",IF(COUNTIF($B$5:B10,B10)=1,1,0))</f>
        <v/>
      </c>
    </row>
    <row r="11" ht="17" customHeight="1">
      <c r="A11" s="116" t="n">
        <v>46187</v>
      </c>
      <c r="B11" s="57" t="inlineStr">
        <is>
          <t>E-10250</t>
        </is>
      </c>
      <c r="C11" s="57" t="inlineStr">
        <is>
          <t>Pattern Brush Set</t>
        </is>
      </c>
      <c r="D11" s="58" t="n">
        <v>1</v>
      </c>
      <c r="E11" s="59" t="n">
        <v>15</v>
      </c>
      <c r="F11" s="59" t="n">
        <v>0</v>
      </c>
      <c r="G11" s="58" t="inlineStr">
        <is>
          <t>Etsy</t>
        </is>
      </c>
      <c r="H11" s="59" t="n">
        <v>1.5</v>
      </c>
      <c r="I11" s="59" t="n">
        <v>0</v>
      </c>
      <c r="J11" s="59" t="n"/>
      <c r="K11" s="60">
        <f>IF(C11="","",IF(J11&lt;&gt;"",J11,N(D11)*IFERROR(INDEX(ProdCOGS,MATCH(C11,ProdNames,0)),0)))</f>
        <v/>
      </c>
      <c r="L11" s="60">
        <f>IF(A11="","",N(D11)*N(E11)+N(F11))</f>
        <v/>
      </c>
      <c r="M11" s="61">
        <f>IF(A11="","",L11-N(H11)-N(I11)-N(K11))</f>
        <v/>
      </c>
      <c r="N11" s="62">
        <f>IF(OR(A11="",N(L11)=0),"",M11/L11)</f>
        <v/>
      </c>
      <c r="O11" s="63">
        <f>IF(A11="","",DATE(YEAR(A11),MONTH(A11),1))</f>
        <v/>
      </c>
      <c r="P11" s="64">
        <f>IF(OR(A11="",B11=""),"",IF(COUNTIF($B$5:B11,B11)=1,1,0))</f>
        <v/>
      </c>
    </row>
    <row r="12" ht="17" customHeight="1">
      <c r="A12" s="116" t="n">
        <v>46191</v>
      </c>
      <c r="B12" s="57" t="inlineStr">
        <is>
          <t>E-10261</t>
        </is>
      </c>
      <c r="C12" s="57" t="inlineStr">
        <is>
          <t>Floral Sticker Pack</t>
        </is>
      </c>
      <c r="D12" s="58" t="n">
        <v>3</v>
      </c>
      <c r="E12" s="59" t="n">
        <v>8</v>
      </c>
      <c r="F12" s="59" t="n">
        <v>4</v>
      </c>
      <c r="G12" s="58" t="inlineStr">
        <is>
          <t>Etsy</t>
        </is>
      </c>
      <c r="H12" s="59" t="n">
        <v>3.1</v>
      </c>
      <c r="I12" s="59" t="n">
        <v>2.4</v>
      </c>
      <c r="J12" s="59" t="n"/>
      <c r="K12" s="60">
        <f>IF(C12="","",IF(J12&lt;&gt;"",J12,N(D12)*IFERROR(INDEX(ProdCOGS,MATCH(C12,ProdNames,0)),0)))</f>
        <v/>
      </c>
      <c r="L12" s="60">
        <f>IF(A12="","",N(D12)*N(E12)+N(F12))</f>
        <v/>
      </c>
      <c r="M12" s="61">
        <f>IF(A12="","",L12-N(H12)-N(I12)-N(K12))</f>
        <v/>
      </c>
      <c r="N12" s="62">
        <f>IF(OR(A12="",N(L12)=0),"",M12/L12)</f>
        <v/>
      </c>
      <c r="O12" s="63">
        <f>IF(A12="","",DATE(YEAR(A12),MONTH(A12),1))</f>
        <v/>
      </c>
      <c r="P12" s="64">
        <f>IF(OR(A12="",B12=""),"",IF(COUNTIF($B$5:B12,B12)=1,1,0))</f>
        <v/>
      </c>
    </row>
    <row r="13" ht="17" customHeight="1">
      <c r="A13" s="116" t="n">
        <v>46194</v>
      </c>
      <c r="B13" s="57" t="inlineStr">
        <is>
          <t>E-10270</t>
        </is>
      </c>
      <c r="C13" s="57" t="inlineStr">
        <is>
          <t>Minimalist Print 8x10</t>
        </is>
      </c>
      <c r="D13" s="58" t="n">
        <v>1</v>
      </c>
      <c r="E13" s="59" t="n">
        <v>18</v>
      </c>
      <c r="F13" s="59" t="n">
        <v>5</v>
      </c>
      <c r="G13" s="58" t="inlineStr">
        <is>
          <t>Etsy</t>
        </is>
      </c>
      <c r="H13" s="59" t="n">
        <v>2.7</v>
      </c>
      <c r="I13" s="59" t="n">
        <v>3.8</v>
      </c>
      <c r="J13" s="59" t="n"/>
      <c r="K13" s="60">
        <f>IF(C13="","",IF(J13&lt;&gt;"",J13,N(D13)*IFERROR(INDEX(ProdCOGS,MATCH(C13,ProdNames,0)),0)))</f>
        <v/>
      </c>
      <c r="L13" s="60">
        <f>IF(A13="","",N(D13)*N(E13)+N(F13))</f>
        <v/>
      </c>
      <c r="M13" s="61">
        <f>IF(A13="","",L13-N(H13)-N(I13)-N(K13))</f>
        <v/>
      </c>
      <c r="N13" s="62">
        <f>IF(OR(A13="",N(L13)=0),"",M13/L13)</f>
        <v/>
      </c>
      <c r="O13" s="63">
        <f>IF(A13="","",DATE(YEAR(A13),MONTH(A13),1))</f>
        <v/>
      </c>
      <c r="P13" s="64">
        <f>IF(OR(A13="",B13=""),"",IF(COUNTIF($B$5:B13,B13)=1,1,0))</f>
        <v/>
      </c>
    </row>
    <row r="14" ht="17" customHeight="1">
      <c r="A14" s="116" t="n">
        <v>46198</v>
      </c>
      <c r="B14" s="57" t="inlineStr">
        <is>
          <t>G-4418</t>
        </is>
      </c>
      <c r="C14" s="57" t="inlineStr">
        <is>
          <t>Digital Planner (PDF)</t>
        </is>
      </c>
      <c r="D14" s="58" t="n">
        <v>1</v>
      </c>
      <c r="E14" s="59" t="n">
        <v>12</v>
      </c>
      <c r="F14" s="59" t="n">
        <v>0</v>
      </c>
      <c r="G14" s="58" t="inlineStr">
        <is>
          <t>Gumroad</t>
        </is>
      </c>
      <c r="H14" s="59" t="n">
        <v>1.2</v>
      </c>
      <c r="I14" s="59" t="n">
        <v>0</v>
      </c>
      <c r="J14" s="59" t="n"/>
      <c r="K14" s="60">
        <f>IF(C14="","",IF(J14&lt;&gt;"",J14,N(D14)*IFERROR(INDEX(ProdCOGS,MATCH(C14,ProdNames,0)),0)))</f>
        <v/>
      </c>
      <c r="L14" s="60">
        <f>IF(A14="","",N(D14)*N(E14)+N(F14))</f>
        <v/>
      </c>
      <c r="M14" s="61">
        <f>IF(A14="","",L14-N(H14)-N(I14)-N(K14))</f>
        <v/>
      </c>
      <c r="N14" s="62">
        <f>IF(OR(A14="",N(L14)=0),"",M14/L14)</f>
        <v/>
      </c>
      <c r="O14" s="63">
        <f>IF(A14="","",DATE(YEAR(A14),MONTH(A14),1))</f>
        <v/>
      </c>
      <c r="P14" s="64">
        <f>IF(OR(A14="",B14=""),"",IF(COUNTIF($B$5:B14,B14)=1,1,0))</f>
        <v/>
      </c>
    </row>
    <row r="15" ht="17" customHeight="1">
      <c r="A15" s="116" t="n">
        <v>46201</v>
      </c>
      <c r="B15" s="57" t="inlineStr">
        <is>
          <t>E-10288</t>
        </is>
      </c>
      <c r="C15" s="57" t="inlineStr">
        <is>
          <t>Floral Sticker Pack</t>
        </is>
      </c>
      <c r="D15" s="58" t="n">
        <v>1</v>
      </c>
      <c r="E15" s="59" t="n">
        <v>8</v>
      </c>
      <c r="F15" s="59" t="n">
        <v>3.5</v>
      </c>
      <c r="G15" s="58" t="inlineStr">
        <is>
          <t>Etsy</t>
        </is>
      </c>
      <c r="H15" s="59" t="n">
        <v>1.55</v>
      </c>
      <c r="I15" s="59" t="n">
        <v>2.1</v>
      </c>
      <c r="J15" s="59" t="n"/>
      <c r="K15" s="60">
        <f>IF(C15="","",IF(J15&lt;&gt;"",J15,N(D15)*IFERROR(INDEX(ProdCOGS,MATCH(C15,ProdNames,0)),0)))</f>
        <v/>
      </c>
      <c r="L15" s="60">
        <f>IF(A15="","",N(D15)*N(E15)+N(F15))</f>
        <v/>
      </c>
      <c r="M15" s="61">
        <f>IF(A15="","",L15-N(H15)-N(I15)-N(K15))</f>
        <v/>
      </c>
      <c r="N15" s="62">
        <f>IF(OR(A15="",N(L15)=0),"",M15/L15)</f>
        <v/>
      </c>
      <c r="O15" s="63">
        <f>IF(A15="","",DATE(YEAR(A15),MONTH(A15),1))</f>
        <v/>
      </c>
      <c r="P15" s="64">
        <f>IF(OR(A15="",B15=""),"",IF(COUNTIF($B$5:B15,B15)=1,1,0))</f>
        <v/>
      </c>
    </row>
    <row r="16" ht="17" customHeight="1">
      <c r="A16" s="116" t="n">
        <v>46203</v>
      </c>
      <c r="B16" s="57" t="inlineStr">
        <is>
          <t>E-10295</t>
        </is>
      </c>
      <c r="C16" s="57" t="inlineStr">
        <is>
          <t>Mini Art Print</t>
        </is>
      </c>
      <c r="D16" s="58" t="n">
        <v>1</v>
      </c>
      <c r="E16" s="59" t="n">
        <v>12</v>
      </c>
      <c r="F16" s="59" t="n">
        <v>5</v>
      </c>
      <c r="G16" s="58" t="inlineStr">
        <is>
          <t>Etsy</t>
        </is>
      </c>
      <c r="H16" s="59" t="n">
        <v>2.05</v>
      </c>
      <c r="I16" s="59" t="n">
        <v>3.8</v>
      </c>
      <c r="J16" s="59" t="n"/>
      <c r="K16" s="60">
        <f>IF(C16="","",IF(J16&lt;&gt;"",J16,N(D16)*IFERROR(INDEX(ProdCOGS,MATCH(C16,ProdNames,0)),0)))</f>
        <v/>
      </c>
      <c r="L16" s="60">
        <f>IF(A16="","",N(D16)*N(E16)+N(F16))</f>
        <v/>
      </c>
      <c r="M16" s="61">
        <f>IF(A16="","",L16-N(H16)-N(I16)-N(K16))</f>
        <v/>
      </c>
      <c r="N16" s="62">
        <f>IF(OR(A16="",N(L16)=0),"",M16/L16)</f>
        <v/>
      </c>
      <c r="O16" s="63">
        <f>IF(A16="","",DATE(YEAR(A16),MONTH(A16),1))</f>
        <v/>
      </c>
      <c r="P16" s="64">
        <f>IF(OR(A16="",B16=""),"",IF(COUNTIF($B$5:B16,B16)=1,1,0))</f>
        <v/>
      </c>
    </row>
    <row r="17" ht="17" customHeight="1">
      <c r="A17" s="116" t="n">
        <v>46205</v>
      </c>
      <c r="B17" s="57" t="inlineStr">
        <is>
          <t>E-10310</t>
        </is>
      </c>
      <c r="C17" s="57" t="inlineStr">
        <is>
          <t>Floral Sticker Pack</t>
        </is>
      </c>
      <c r="D17" s="58" t="n">
        <v>4</v>
      </c>
      <c r="E17" s="59" t="n">
        <v>8</v>
      </c>
      <c r="F17" s="59" t="n">
        <v>4.5</v>
      </c>
      <c r="G17" s="58" t="inlineStr">
        <is>
          <t>Etsy</t>
        </is>
      </c>
      <c r="H17" s="59" t="n">
        <v>3.8</v>
      </c>
      <c r="I17" s="59" t="n">
        <v>2.6</v>
      </c>
      <c r="J17" s="59" t="n"/>
      <c r="K17" s="60">
        <f>IF(C17="","",IF(J17&lt;&gt;"",J17,N(D17)*IFERROR(INDEX(ProdCOGS,MATCH(C17,ProdNames,0)),0)))</f>
        <v/>
      </c>
      <c r="L17" s="60">
        <f>IF(A17="","",N(D17)*N(E17)+N(F17))</f>
        <v/>
      </c>
      <c r="M17" s="61">
        <f>IF(A17="","",L17-N(H17)-N(I17)-N(K17))</f>
        <v/>
      </c>
      <c r="N17" s="62">
        <f>IF(OR(A17="",N(L17)=0),"",M17/L17)</f>
        <v/>
      </c>
      <c r="O17" s="63">
        <f>IF(A17="","",DATE(YEAR(A17),MONTH(A17),1))</f>
        <v/>
      </c>
      <c r="P17" s="64">
        <f>IF(OR(A17="",B17=""),"",IF(COUNTIF($B$5:B17,B17)=1,1,0))</f>
        <v/>
      </c>
    </row>
    <row r="18" ht="17" customHeight="1">
      <c r="A18" s="116" t="n">
        <v>46205</v>
      </c>
      <c r="B18" s="57" t="inlineStr">
        <is>
          <t>E-10310</t>
        </is>
      </c>
      <c r="C18" s="57" t="inlineStr">
        <is>
          <t>Gift Wrap Add-on</t>
        </is>
      </c>
      <c r="D18" s="58" t="n">
        <v>2</v>
      </c>
      <c r="E18" s="59" t="n">
        <v>4</v>
      </c>
      <c r="F18" s="59" t="n">
        <v>0</v>
      </c>
      <c r="G18" s="58" t="inlineStr">
        <is>
          <t>Etsy</t>
        </is>
      </c>
      <c r="H18" s="59" t="n">
        <v>0.8</v>
      </c>
      <c r="I18" s="59" t="n">
        <v>0</v>
      </c>
      <c r="J18" s="59" t="n"/>
      <c r="K18" s="60">
        <f>IF(C18="","",IF(J18&lt;&gt;"",J18,N(D18)*IFERROR(INDEX(ProdCOGS,MATCH(C18,ProdNames,0)),0)))</f>
        <v/>
      </c>
      <c r="L18" s="60">
        <f>IF(A18="","",N(D18)*N(E18)+N(F18))</f>
        <v/>
      </c>
      <c r="M18" s="61">
        <f>IF(A18="","",L18-N(H18)-N(I18)-N(K18))</f>
        <v/>
      </c>
      <c r="N18" s="62">
        <f>IF(OR(A18="",N(L18)=0),"",M18/L18)</f>
        <v/>
      </c>
      <c r="O18" s="63">
        <f>IF(A18="","",DATE(YEAR(A18),MONTH(A18),1))</f>
        <v/>
      </c>
      <c r="P18" s="64">
        <f>IF(OR(A18="",B18=""),"",IF(COUNTIF($B$5:B18,B18)=1,1,0))</f>
        <v/>
      </c>
    </row>
    <row r="19" ht="17" customHeight="1">
      <c r="A19" s="116" t="n">
        <v>46208</v>
      </c>
      <c r="B19" s="57" t="inlineStr">
        <is>
          <t>E-10322</t>
        </is>
      </c>
      <c r="C19" s="57" t="inlineStr">
        <is>
          <t>Custom Portrait</t>
        </is>
      </c>
      <c r="D19" s="58" t="n">
        <v>1</v>
      </c>
      <c r="E19" s="59" t="n">
        <v>45</v>
      </c>
      <c r="F19" s="59" t="n">
        <v>8</v>
      </c>
      <c r="G19" s="58" t="inlineStr">
        <is>
          <t>Etsy</t>
        </is>
      </c>
      <c r="H19" s="59" t="n">
        <v>5.9</v>
      </c>
      <c r="I19" s="59" t="n">
        <v>6.5</v>
      </c>
      <c r="J19" s="59" t="n"/>
      <c r="K19" s="60">
        <f>IF(C19="","",IF(J19&lt;&gt;"",J19,N(D19)*IFERROR(INDEX(ProdCOGS,MATCH(C19,ProdNames,0)),0)))</f>
        <v/>
      </c>
      <c r="L19" s="60">
        <f>IF(A19="","",N(D19)*N(E19)+N(F19))</f>
        <v/>
      </c>
      <c r="M19" s="61">
        <f>IF(A19="","",L19-N(H19)-N(I19)-N(K19))</f>
        <v/>
      </c>
      <c r="N19" s="62">
        <f>IF(OR(A19="",N(L19)=0),"",M19/L19)</f>
        <v/>
      </c>
      <c r="O19" s="63">
        <f>IF(A19="","",DATE(YEAR(A19),MONTH(A19),1))</f>
        <v/>
      </c>
      <c r="P19" s="64">
        <f>IF(OR(A19="",B19=""),"",IF(COUNTIF($B$5:B19,B19)=1,1,0))</f>
        <v/>
      </c>
    </row>
    <row r="20" ht="17" customHeight="1">
      <c r="A20" s="116" t="n">
        <v>46209</v>
      </c>
      <c r="B20" s="57" t="inlineStr">
        <is>
          <t>S-902</t>
        </is>
      </c>
      <c r="C20" s="57" t="inlineStr">
        <is>
          <t>Everyday POD Tee</t>
        </is>
      </c>
      <c r="D20" s="58" t="n">
        <v>1</v>
      </c>
      <c r="E20" s="59" t="n">
        <v>28</v>
      </c>
      <c r="F20" s="59" t="n">
        <v>5.99</v>
      </c>
      <c r="G20" s="58" t="inlineStr">
        <is>
          <t>Shopify</t>
        </is>
      </c>
      <c r="H20" s="59" t="n">
        <v>1.15</v>
      </c>
      <c r="I20" s="59" t="n">
        <v>0</v>
      </c>
      <c r="J20" s="59" t="n"/>
      <c r="K20" s="60">
        <f>IF(C20="","",IF(J20&lt;&gt;"",J20,N(D20)*IFERROR(INDEX(ProdCOGS,MATCH(C20,ProdNames,0)),0)))</f>
        <v/>
      </c>
      <c r="L20" s="60">
        <f>IF(A20="","",N(D20)*N(E20)+N(F20))</f>
        <v/>
      </c>
      <c r="M20" s="61">
        <f>IF(A20="","",L20-N(H20)-N(I20)-N(K20))</f>
        <v/>
      </c>
      <c r="N20" s="62">
        <f>IF(OR(A20="",N(L20)=0),"",M20/L20)</f>
        <v/>
      </c>
      <c r="O20" s="63">
        <f>IF(A20="","",DATE(YEAR(A20),MONTH(A20),1))</f>
        <v/>
      </c>
      <c r="P20" s="64">
        <f>IF(OR(A20="",B20=""),"",IF(COUNTIF($B$5:B20,B20)=1,1,0))</f>
        <v/>
      </c>
    </row>
    <row r="21" ht="17" customHeight="1">
      <c r="A21" s="116" t="n">
        <v>46211</v>
      </c>
      <c r="B21" s="57" t="inlineStr">
        <is>
          <t>E-10340</t>
        </is>
      </c>
      <c r="C21" s="57" t="inlineStr">
        <is>
          <t>Digital Planner (PDF)</t>
        </is>
      </c>
      <c r="D21" s="58" t="n">
        <v>2</v>
      </c>
      <c r="E21" s="59" t="n">
        <v>12</v>
      </c>
      <c r="F21" s="59" t="n">
        <v>0</v>
      </c>
      <c r="G21" s="58" t="inlineStr">
        <is>
          <t>Etsy</t>
        </is>
      </c>
      <c r="H21" s="59" t="n">
        <v>2.4</v>
      </c>
      <c r="I21" s="59" t="n">
        <v>0</v>
      </c>
      <c r="J21" s="59" t="n"/>
      <c r="K21" s="60">
        <f>IF(C21="","",IF(J21&lt;&gt;"",J21,N(D21)*IFERROR(INDEX(ProdCOGS,MATCH(C21,ProdNames,0)),0)))</f>
        <v/>
      </c>
      <c r="L21" s="60">
        <f>IF(A21="","",N(D21)*N(E21)+N(F21))</f>
        <v/>
      </c>
      <c r="M21" s="61">
        <f>IF(A21="","",L21-N(H21)-N(I21)-N(K21))</f>
        <v/>
      </c>
      <c r="N21" s="62">
        <f>IF(OR(A21="",N(L21)=0),"",M21/L21)</f>
        <v/>
      </c>
      <c r="O21" s="63">
        <f>IF(A21="","",DATE(YEAR(A21),MONTH(A21),1))</f>
        <v/>
      </c>
      <c r="P21" s="64">
        <f>IF(OR(A21="",B21=""),"",IF(COUNTIF($B$5:B21,B21)=1,1,0))</f>
        <v/>
      </c>
    </row>
    <row r="22" ht="17" customHeight="1">
      <c r="A22" s="116" t="n">
        <v>46213</v>
      </c>
      <c r="B22" s="57" t="inlineStr">
        <is>
          <t>E-10351</t>
        </is>
      </c>
      <c r="C22" s="57" t="inlineStr">
        <is>
          <t>Floral Sticker Pack</t>
        </is>
      </c>
      <c r="D22" s="58" t="n">
        <v>2</v>
      </c>
      <c r="E22" s="59" t="n">
        <v>8</v>
      </c>
      <c r="F22" s="59" t="n">
        <v>3.5</v>
      </c>
      <c r="G22" s="58" t="inlineStr">
        <is>
          <t>Etsy</t>
        </is>
      </c>
      <c r="H22" s="59" t="n">
        <v>2.15</v>
      </c>
      <c r="I22" s="59" t="n">
        <v>2.1</v>
      </c>
      <c r="J22" s="59" t="n"/>
      <c r="K22" s="60">
        <f>IF(C22="","",IF(J22&lt;&gt;"",J22,N(D22)*IFERROR(INDEX(ProdCOGS,MATCH(C22,ProdNames,0)),0)))</f>
        <v/>
      </c>
      <c r="L22" s="60">
        <f>IF(A22="","",N(D22)*N(E22)+N(F22))</f>
        <v/>
      </c>
      <c r="M22" s="61">
        <f>IF(A22="","",L22-N(H22)-N(I22)-N(K22))</f>
        <v/>
      </c>
      <c r="N22" s="62">
        <f>IF(OR(A22="",N(L22)=0),"",M22/L22)</f>
        <v/>
      </c>
      <c r="O22" s="63">
        <f>IF(A22="","",DATE(YEAR(A22),MONTH(A22),1))</f>
        <v/>
      </c>
      <c r="P22" s="64">
        <f>IF(OR(A22="",B22=""),"",IF(COUNTIF($B$5:B22,B22)=1,1,0))</f>
        <v/>
      </c>
    </row>
    <row r="23" ht="17" customHeight="1">
      <c r="A23" s="116" t="n">
        <v>46214</v>
      </c>
      <c r="B23" s="57" t="inlineStr">
        <is>
          <t>E-10358</t>
        </is>
      </c>
      <c r="C23" s="57" t="inlineStr">
        <is>
          <t>Minimalist Print 8x10</t>
        </is>
      </c>
      <c r="D23" s="58" t="n">
        <v>1</v>
      </c>
      <c r="E23" s="59" t="n">
        <v>18</v>
      </c>
      <c r="F23" s="59" t="n">
        <v>5</v>
      </c>
      <c r="G23" s="58" t="inlineStr">
        <is>
          <t>Etsy</t>
        </is>
      </c>
      <c r="H23" s="59" t="n">
        <v>2.7</v>
      </c>
      <c r="I23" s="59" t="n">
        <v>3.8</v>
      </c>
      <c r="J23" s="59" t="n"/>
      <c r="K23" s="60">
        <f>IF(C23="","",IF(J23&lt;&gt;"",J23,N(D23)*IFERROR(INDEX(ProdCOGS,MATCH(C23,ProdNames,0)),0)))</f>
        <v/>
      </c>
      <c r="L23" s="60">
        <f>IF(A23="","",N(D23)*N(E23)+N(F23))</f>
        <v/>
      </c>
      <c r="M23" s="61">
        <f>IF(A23="","",L23-N(H23)-N(I23)-N(K23))</f>
        <v/>
      </c>
      <c r="N23" s="62">
        <f>IF(OR(A23="",N(L23)=0),"",M23/L23)</f>
        <v/>
      </c>
      <c r="O23" s="63">
        <f>IF(A23="","",DATE(YEAR(A23),MONTH(A23),1))</f>
        <v/>
      </c>
      <c r="P23" s="64">
        <f>IF(OR(A23="",B23=""),"",IF(COUNTIF($B$5:B23,B23)=1,1,0))</f>
        <v/>
      </c>
    </row>
    <row r="24" ht="17" customHeight="1">
      <c r="A24" s="116" t="n">
        <v>46217</v>
      </c>
      <c r="B24" s="57" t="inlineStr">
        <is>
          <t>G-4502</t>
        </is>
      </c>
      <c r="C24" s="57" t="inlineStr">
        <is>
          <t>Pattern Brush Set</t>
        </is>
      </c>
      <c r="D24" s="58" t="n">
        <v>1</v>
      </c>
      <c r="E24" s="59" t="n">
        <v>15</v>
      </c>
      <c r="F24" s="59" t="n">
        <v>0</v>
      </c>
      <c r="G24" s="58" t="inlineStr">
        <is>
          <t>Gumroad</t>
        </is>
      </c>
      <c r="H24" s="59" t="n">
        <v>1.5</v>
      </c>
      <c r="I24" s="59" t="n">
        <v>0</v>
      </c>
      <c r="J24" s="59" t="n"/>
      <c r="K24" s="60">
        <f>IF(C24="","",IF(J24&lt;&gt;"",J24,N(D24)*IFERROR(INDEX(ProdCOGS,MATCH(C24,ProdNames,0)),0)))</f>
        <v/>
      </c>
      <c r="L24" s="60">
        <f>IF(A24="","",N(D24)*N(E24)+N(F24))</f>
        <v/>
      </c>
      <c r="M24" s="61">
        <f>IF(A24="","",L24-N(H24)-N(I24)-N(K24))</f>
        <v/>
      </c>
      <c r="N24" s="62">
        <f>IF(OR(A24="",N(L24)=0),"",M24/L24)</f>
        <v/>
      </c>
      <c r="O24" s="63">
        <f>IF(A24="","",DATE(YEAR(A24),MONTH(A24),1))</f>
        <v/>
      </c>
      <c r="P24" s="64">
        <f>IF(OR(A24="",B24=""),"",IF(COUNTIF($B$5:B24,B24)=1,1,0))</f>
        <v/>
      </c>
    </row>
    <row r="25" ht="17" customHeight="1">
      <c r="A25" s="116" t="n">
        <v>46219</v>
      </c>
      <c r="B25" s="57" t="inlineStr">
        <is>
          <t>E-10370</t>
        </is>
      </c>
      <c r="C25" s="57" t="inlineStr">
        <is>
          <t>Floral Sticker Pack</t>
        </is>
      </c>
      <c r="D25" s="58" t="n">
        <v>3</v>
      </c>
      <c r="E25" s="59" t="n">
        <v>8</v>
      </c>
      <c r="F25" s="59" t="n">
        <v>4</v>
      </c>
      <c r="G25" s="58" t="inlineStr">
        <is>
          <t>Etsy</t>
        </is>
      </c>
      <c r="H25" s="59" t="n">
        <v>3.1</v>
      </c>
      <c r="I25" s="59" t="n">
        <v>2.4</v>
      </c>
      <c r="J25" s="59" t="n"/>
      <c r="K25" s="60">
        <f>IF(C25="","",IF(J25&lt;&gt;"",J25,N(D25)*IFERROR(INDEX(ProdCOGS,MATCH(C25,ProdNames,0)),0)))</f>
        <v/>
      </c>
      <c r="L25" s="60">
        <f>IF(A25="","",N(D25)*N(E25)+N(F25))</f>
        <v/>
      </c>
      <c r="M25" s="61">
        <f>IF(A25="","",L25-N(H25)-N(I25)-N(K25))</f>
        <v/>
      </c>
      <c r="N25" s="62">
        <f>IF(OR(A25="",N(L25)=0),"",M25/L25)</f>
        <v/>
      </c>
      <c r="O25" s="63">
        <f>IF(A25="","",DATE(YEAR(A25),MONTH(A25),1))</f>
        <v/>
      </c>
      <c r="P25" s="64">
        <f>IF(OR(A25="",B25=""),"",IF(COUNTIF($B$5:B25,B25)=1,1,0))</f>
        <v/>
      </c>
    </row>
    <row r="26" ht="17" customHeight="1">
      <c r="A26" s="116" t="n">
        <v>46221</v>
      </c>
      <c r="B26" s="57" t="inlineStr">
        <is>
          <t>S-918</t>
        </is>
      </c>
      <c r="C26" s="57" t="inlineStr">
        <is>
          <t>Everyday POD Tee</t>
        </is>
      </c>
      <c r="D26" s="58" t="n">
        <v>2</v>
      </c>
      <c r="E26" s="59" t="n">
        <v>28</v>
      </c>
      <c r="F26" s="59" t="n">
        <v>8</v>
      </c>
      <c r="G26" s="58" t="inlineStr">
        <is>
          <t>Shopify</t>
        </is>
      </c>
      <c r="H26" s="59" t="n">
        <v>2</v>
      </c>
      <c r="I26" s="59" t="n">
        <v>0</v>
      </c>
      <c r="J26" s="59" t="n"/>
      <c r="K26" s="60">
        <f>IF(C26="","",IF(J26&lt;&gt;"",J26,N(D26)*IFERROR(INDEX(ProdCOGS,MATCH(C26,ProdNames,0)),0)))</f>
        <v/>
      </c>
      <c r="L26" s="60">
        <f>IF(A26="","",N(D26)*N(E26)+N(F26))</f>
        <v/>
      </c>
      <c r="M26" s="61">
        <f>IF(A26="","",L26-N(H26)-N(I26)-N(K26))</f>
        <v/>
      </c>
      <c r="N26" s="62">
        <f>IF(OR(A26="",N(L26)=0),"",M26/L26)</f>
        <v/>
      </c>
      <c r="O26" s="63">
        <f>IF(A26="","",DATE(YEAR(A26),MONTH(A26),1))</f>
        <v/>
      </c>
      <c r="P26" s="64">
        <f>IF(OR(A26="",B26=""),"",IF(COUNTIF($B$5:B26,B26)=1,1,0))</f>
        <v/>
      </c>
    </row>
    <row r="27" ht="17" customHeight="1">
      <c r="A27" s="116" t="n">
        <v>46223</v>
      </c>
      <c r="B27" s="57" t="inlineStr">
        <is>
          <t>E-10391</t>
        </is>
      </c>
      <c r="C27" s="57" t="inlineStr">
        <is>
          <t>Mini Art Print</t>
        </is>
      </c>
      <c r="D27" s="58" t="n">
        <v>2</v>
      </c>
      <c r="E27" s="59" t="n">
        <v>12</v>
      </c>
      <c r="F27" s="59" t="n">
        <v>6</v>
      </c>
      <c r="G27" s="58" t="inlineStr">
        <is>
          <t>Etsy</t>
        </is>
      </c>
      <c r="H27" s="59" t="n">
        <v>3.2</v>
      </c>
      <c r="I27" s="59" t="n">
        <v>4.2</v>
      </c>
      <c r="J27" s="59" t="n"/>
      <c r="K27" s="60">
        <f>IF(C27="","",IF(J27&lt;&gt;"",J27,N(D27)*IFERROR(INDEX(ProdCOGS,MATCH(C27,ProdNames,0)),0)))</f>
        <v/>
      </c>
      <c r="L27" s="60">
        <f>IF(A27="","",N(D27)*N(E27)+N(F27))</f>
        <v/>
      </c>
      <c r="M27" s="61">
        <f>IF(A27="","",L27-N(H27)-N(I27)-N(K27))</f>
        <v/>
      </c>
      <c r="N27" s="62">
        <f>IF(OR(A27="",N(L27)=0),"",M27/L27)</f>
        <v/>
      </c>
      <c r="O27" s="63">
        <f>IF(A27="","",DATE(YEAR(A27),MONTH(A27),1))</f>
        <v/>
      </c>
      <c r="P27" s="64">
        <f>IF(OR(A27="",B27=""),"",IF(COUNTIF($B$5:B27,B27)=1,1,0))</f>
        <v/>
      </c>
    </row>
    <row r="28" ht="17" customHeight="1">
      <c r="A28" s="116" t="n">
        <v>46226</v>
      </c>
      <c r="B28" s="57" t="inlineStr">
        <is>
          <t>E-10402</t>
        </is>
      </c>
      <c r="C28" s="57" t="inlineStr">
        <is>
          <t>Custom Portrait</t>
        </is>
      </c>
      <c r="D28" s="58" t="n">
        <v>1</v>
      </c>
      <c r="E28" s="59" t="n">
        <v>45</v>
      </c>
      <c r="F28" s="59" t="n">
        <v>8</v>
      </c>
      <c r="G28" s="58" t="inlineStr">
        <is>
          <t>Etsy</t>
        </is>
      </c>
      <c r="H28" s="59" t="n">
        <v>5.9</v>
      </c>
      <c r="I28" s="59" t="n">
        <v>6.5</v>
      </c>
      <c r="J28" s="59" t="n"/>
      <c r="K28" s="60">
        <f>IF(C28="","",IF(J28&lt;&gt;"",J28,N(D28)*IFERROR(INDEX(ProdCOGS,MATCH(C28,ProdNames,0)),0)))</f>
        <v/>
      </c>
      <c r="L28" s="60">
        <f>IF(A28="","",N(D28)*N(E28)+N(F28))</f>
        <v/>
      </c>
      <c r="M28" s="61">
        <f>IF(A28="","",L28-N(H28)-N(I28)-N(K28))</f>
        <v/>
      </c>
      <c r="N28" s="62">
        <f>IF(OR(A28="",N(L28)=0),"",M28/L28)</f>
        <v/>
      </c>
      <c r="O28" s="63">
        <f>IF(A28="","",DATE(YEAR(A28),MONTH(A28),1))</f>
        <v/>
      </c>
      <c r="P28" s="64">
        <f>IF(OR(A28="",B28=""),"",IF(COUNTIF($B$5:B28,B28)=1,1,0))</f>
        <v/>
      </c>
    </row>
    <row r="29" ht="17" customHeight="1">
      <c r="A29" s="116" t="n">
        <v>46228</v>
      </c>
      <c r="B29" s="57" t="inlineStr">
        <is>
          <t>E-10415</t>
        </is>
      </c>
      <c r="C29" s="57" t="inlineStr">
        <is>
          <t>Floral Sticker Pack</t>
        </is>
      </c>
      <c r="D29" s="58" t="n">
        <v>2</v>
      </c>
      <c r="E29" s="59" t="n">
        <v>8</v>
      </c>
      <c r="F29" s="59" t="n">
        <v>3.5</v>
      </c>
      <c r="G29" s="58" t="inlineStr">
        <is>
          <t>Etsy</t>
        </is>
      </c>
      <c r="H29" s="59" t="n">
        <v>2.15</v>
      </c>
      <c r="I29" s="59" t="n">
        <v>2.1</v>
      </c>
      <c r="J29" s="59" t="n"/>
      <c r="K29" s="60">
        <f>IF(C29="","",IF(J29&lt;&gt;"",J29,N(D29)*IFERROR(INDEX(ProdCOGS,MATCH(C29,ProdNames,0)),0)))</f>
        <v/>
      </c>
      <c r="L29" s="60">
        <f>IF(A29="","",N(D29)*N(E29)+N(F29))</f>
        <v/>
      </c>
      <c r="M29" s="61">
        <f>IF(A29="","",L29-N(H29)-N(I29)-N(K29))</f>
        <v/>
      </c>
      <c r="N29" s="62">
        <f>IF(OR(A29="",N(L29)=0),"",M29/L29)</f>
        <v/>
      </c>
      <c r="O29" s="63">
        <f>IF(A29="","",DATE(YEAR(A29),MONTH(A29),1))</f>
        <v/>
      </c>
      <c r="P29" s="64">
        <f>IF(OR(A29="",B29=""),"",IF(COUNTIF($B$5:B29,B29)=1,1,0))</f>
        <v/>
      </c>
    </row>
    <row r="30" ht="17" customHeight="1">
      <c r="A30" s="116" t="n">
        <v>46231</v>
      </c>
      <c r="B30" s="57" t="inlineStr">
        <is>
          <t>E-10428</t>
        </is>
      </c>
      <c r="C30" s="57" t="inlineStr">
        <is>
          <t>Digital Planner (PDF)</t>
        </is>
      </c>
      <c r="D30" s="58" t="n">
        <v>1</v>
      </c>
      <c r="E30" s="59" t="n">
        <v>12</v>
      </c>
      <c r="F30" s="59" t="n">
        <v>0</v>
      </c>
      <c r="G30" s="58" t="inlineStr">
        <is>
          <t>Etsy</t>
        </is>
      </c>
      <c r="H30" s="59" t="n">
        <v>1.2</v>
      </c>
      <c r="I30" s="59" t="n">
        <v>0</v>
      </c>
      <c r="J30" s="59" t="n"/>
      <c r="K30" s="60">
        <f>IF(C30="","",IF(J30&lt;&gt;"",J30,N(D30)*IFERROR(INDEX(ProdCOGS,MATCH(C30,ProdNames,0)),0)))</f>
        <v/>
      </c>
      <c r="L30" s="60">
        <f>IF(A30="","",N(D30)*N(E30)+N(F30))</f>
        <v/>
      </c>
      <c r="M30" s="61">
        <f>IF(A30="","",L30-N(H30)-N(I30)-N(K30))</f>
        <v/>
      </c>
      <c r="N30" s="62">
        <f>IF(OR(A30="",N(L30)=0),"",M30/L30)</f>
        <v/>
      </c>
      <c r="O30" s="63">
        <f>IF(A30="","",DATE(YEAR(A30),MONTH(A30),1))</f>
        <v/>
      </c>
      <c r="P30" s="64">
        <f>IF(OR(A30="",B30=""),"",IF(COUNTIF($B$5:B30,B30)=1,1,0))</f>
        <v/>
      </c>
    </row>
    <row r="31" ht="17" customHeight="1">
      <c r="A31" s="116" t="n">
        <v>46234</v>
      </c>
      <c r="B31" s="57" t="inlineStr">
        <is>
          <t>E-10440</t>
        </is>
      </c>
      <c r="C31" s="57" t="inlineStr">
        <is>
          <t>Minimalist Print 8x10</t>
        </is>
      </c>
      <c r="D31" s="58" t="n">
        <v>1</v>
      </c>
      <c r="E31" s="59" t="n">
        <v>18</v>
      </c>
      <c r="F31" s="59" t="n">
        <v>5</v>
      </c>
      <c r="G31" s="58" t="inlineStr">
        <is>
          <t>Etsy</t>
        </is>
      </c>
      <c r="H31" s="59" t="n">
        <v>2.7</v>
      </c>
      <c r="I31" s="59" t="n">
        <v>3.8</v>
      </c>
      <c r="J31" s="59" t="n"/>
      <c r="K31" s="60">
        <f>IF(C31="","",IF(J31&lt;&gt;"",J31,N(D31)*IFERROR(INDEX(ProdCOGS,MATCH(C31,ProdNames,0)),0)))</f>
        <v/>
      </c>
      <c r="L31" s="60">
        <f>IF(A31="","",N(D31)*N(E31)+N(F31))</f>
        <v/>
      </c>
      <c r="M31" s="61">
        <f>IF(A31="","",L31-N(H31)-N(I31)-N(K31))</f>
        <v/>
      </c>
      <c r="N31" s="62">
        <f>IF(OR(A31="",N(L31)=0),"",M31/L31)</f>
        <v/>
      </c>
      <c r="O31" s="63">
        <f>IF(A31="","",DATE(YEAR(A31),MONTH(A31),1))</f>
        <v/>
      </c>
      <c r="P31" s="64">
        <f>IF(OR(A31="",B31=""),"",IF(COUNTIF($B$5:B31,B31)=1,1,0))</f>
        <v/>
      </c>
    </row>
    <row r="32" ht="17" customHeight="1">
      <c r="A32" s="116" t="n">
        <v>46236</v>
      </c>
      <c r="B32" s="57" t="inlineStr">
        <is>
          <t>E-10455</t>
        </is>
      </c>
      <c r="C32" s="57" t="inlineStr">
        <is>
          <t>Floral Sticker Pack</t>
        </is>
      </c>
      <c r="D32" s="58" t="n">
        <v>2</v>
      </c>
      <c r="E32" s="59" t="n">
        <v>8</v>
      </c>
      <c r="F32" s="59" t="n">
        <v>3.5</v>
      </c>
      <c r="G32" s="58" t="inlineStr">
        <is>
          <t>Etsy</t>
        </is>
      </c>
      <c r="H32" s="59" t="n">
        <v>2.15</v>
      </c>
      <c r="I32" s="59" t="n">
        <v>2.1</v>
      </c>
      <c r="J32" s="59" t="n"/>
      <c r="K32" s="60">
        <f>IF(C32="","",IF(J32&lt;&gt;"",J32,N(D32)*IFERROR(INDEX(ProdCOGS,MATCH(C32,ProdNames,0)),0)))</f>
        <v/>
      </c>
      <c r="L32" s="60">
        <f>IF(A32="","",N(D32)*N(E32)+N(F32))</f>
        <v/>
      </c>
      <c r="M32" s="61">
        <f>IF(A32="","",L32-N(H32)-N(I32)-N(K32))</f>
        <v/>
      </c>
      <c r="N32" s="62">
        <f>IF(OR(A32="",N(L32)=0),"",M32/L32)</f>
        <v/>
      </c>
      <c r="O32" s="63">
        <f>IF(A32="","",DATE(YEAR(A32),MONTH(A32),1))</f>
        <v/>
      </c>
      <c r="P32" s="64">
        <f>IF(OR(A32="",B32=""),"",IF(COUNTIF($B$5:B32,B32)=1,1,0))</f>
        <v/>
      </c>
    </row>
    <row r="33" ht="17" customHeight="1">
      <c r="A33" s="116" t="n">
        <v>46236</v>
      </c>
      <c r="B33" s="57" t="inlineStr">
        <is>
          <t>E-10455</t>
        </is>
      </c>
      <c r="C33" s="57" t="inlineStr">
        <is>
          <t>Gift Wrap Add-on</t>
        </is>
      </c>
      <c r="D33" s="58" t="n">
        <v>1</v>
      </c>
      <c r="E33" s="59" t="n">
        <v>4</v>
      </c>
      <c r="F33" s="59" t="n">
        <v>0</v>
      </c>
      <c r="G33" s="58" t="inlineStr">
        <is>
          <t>Etsy</t>
        </is>
      </c>
      <c r="H33" s="59" t="n">
        <v>0.45</v>
      </c>
      <c r="I33" s="59" t="n">
        <v>0</v>
      </c>
      <c r="J33" s="59" t="n"/>
      <c r="K33" s="60">
        <f>IF(C33="","",IF(J33&lt;&gt;"",J33,N(D33)*IFERROR(INDEX(ProdCOGS,MATCH(C33,ProdNames,0)),0)))</f>
        <v/>
      </c>
      <c r="L33" s="60">
        <f>IF(A33="","",N(D33)*N(E33)+N(F33))</f>
        <v/>
      </c>
      <c r="M33" s="61">
        <f>IF(A33="","",L33-N(H33)-N(I33)-N(K33))</f>
        <v/>
      </c>
      <c r="N33" s="62">
        <f>IF(OR(A33="",N(L33)=0),"",M33/L33)</f>
        <v/>
      </c>
      <c r="O33" s="63">
        <f>IF(A33="","",DATE(YEAR(A33),MONTH(A33),1))</f>
        <v/>
      </c>
      <c r="P33" s="64">
        <f>IF(OR(A33="",B33=""),"",IF(COUNTIF($B$5:B33,B33)=1,1,0))</f>
        <v/>
      </c>
    </row>
    <row r="34" ht="17" customHeight="1">
      <c r="A34" s="116" t="n">
        <v>46239</v>
      </c>
      <c r="B34" s="57" t="inlineStr">
        <is>
          <t>E-10470</t>
        </is>
      </c>
      <c r="C34" s="57" t="inlineStr">
        <is>
          <t>Everyday POD Tee</t>
        </is>
      </c>
      <c r="D34" s="58" t="n">
        <v>1</v>
      </c>
      <c r="E34" s="59" t="n">
        <v>28</v>
      </c>
      <c r="F34" s="59" t="n">
        <v>5.99</v>
      </c>
      <c r="G34" s="58" t="inlineStr">
        <is>
          <t>Etsy</t>
        </is>
      </c>
      <c r="H34" s="59" t="n">
        <v>3.8</v>
      </c>
      <c r="I34" s="59" t="n">
        <v>0</v>
      </c>
      <c r="J34" s="59" t="n"/>
      <c r="K34" s="60">
        <f>IF(C34="","",IF(J34&lt;&gt;"",J34,N(D34)*IFERROR(INDEX(ProdCOGS,MATCH(C34,ProdNames,0)),0)))</f>
        <v/>
      </c>
      <c r="L34" s="60">
        <f>IF(A34="","",N(D34)*N(E34)+N(F34))</f>
        <v/>
      </c>
      <c r="M34" s="61">
        <f>IF(A34="","",L34-N(H34)-N(I34)-N(K34))</f>
        <v/>
      </c>
      <c r="N34" s="62">
        <f>IF(OR(A34="",N(L34)=0),"",M34/L34)</f>
        <v/>
      </c>
      <c r="O34" s="63">
        <f>IF(A34="","",DATE(YEAR(A34),MONTH(A34),1))</f>
        <v/>
      </c>
      <c r="P34" s="64">
        <f>IF(OR(A34="",B34=""),"",IF(COUNTIF($B$5:B34,B34)=1,1,0))</f>
        <v/>
      </c>
    </row>
    <row r="35" ht="17" customHeight="1">
      <c r="A35" s="116" t="n">
        <v>46241</v>
      </c>
      <c r="B35" s="57" t="inlineStr">
        <is>
          <t>G-4601</t>
        </is>
      </c>
      <c r="C35" s="57" t="inlineStr">
        <is>
          <t>Digital Planner (PDF)</t>
        </is>
      </c>
      <c r="D35" s="58" t="n">
        <v>1</v>
      </c>
      <c r="E35" s="59" t="n">
        <v>12</v>
      </c>
      <c r="F35" s="59" t="n">
        <v>0</v>
      </c>
      <c r="G35" s="58" t="inlineStr">
        <is>
          <t>Gumroad</t>
        </is>
      </c>
      <c r="H35" s="59" t="n">
        <v>1.2</v>
      </c>
      <c r="I35" s="59" t="n">
        <v>0</v>
      </c>
      <c r="J35" s="59" t="n"/>
      <c r="K35" s="60">
        <f>IF(C35="","",IF(J35&lt;&gt;"",J35,N(D35)*IFERROR(INDEX(ProdCOGS,MATCH(C35,ProdNames,0)),0)))</f>
        <v/>
      </c>
      <c r="L35" s="60">
        <f>IF(A35="","",N(D35)*N(E35)+N(F35))</f>
        <v/>
      </c>
      <c r="M35" s="61">
        <f>IF(A35="","",L35-N(H35)-N(I35)-N(K35))</f>
        <v/>
      </c>
      <c r="N35" s="62">
        <f>IF(OR(A35="",N(L35)=0),"",M35/L35)</f>
        <v/>
      </c>
      <c r="O35" s="63">
        <f>IF(A35="","",DATE(YEAR(A35),MONTH(A35),1))</f>
        <v/>
      </c>
      <c r="P35" s="64">
        <f>IF(OR(A35="",B35=""),"",IF(COUNTIF($B$5:B35,B35)=1,1,0))</f>
        <v/>
      </c>
    </row>
    <row r="36" ht="17" customHeight="1">
      <c r="A36" s="116" t="n">
        <v>46242</v>
      </c>
      <c r="B36" s="57" t="inlineStr">
        <is>
          <t>E-10488</t>
        </is>
      </c>
      <c r="C36" s="57" t="inlineStr">
        <is>
          <t>Mini Art Print</t>
        </is>
      </c>
      <c r="D36" s="58" t="n">
        <v>1</v>
      </c>
      <c r="E36" s="59" t="n">
        <v>12</v>
      </c>
      <c r="F36" s="59" t="n">
        <v>5</v>
      </c>
      <c r="G36" s="58" t="inlineStr">
        <is>
          <t>Etsy</t>
        </is>
      </c>
      <c r="H36" s="59" t="n">
        <v>2.05</v>
      </c>
      <c r="I36" s="59" t="n">
        <v>3.8</v>
      </c>
      <c r="J36" s="59" t="n"/>
      <c r="K36" s="60">
        <f>IF(C36="","",IF(J36&lt;&gt;"",J36,N(D36)*IFERROR(INDEX(ProdCOGS,MATCH(C36,ProdNames,0)),0)))</f>
        <v/>
      </c>
      <c r="L36" s="60">
        <f>IF(A36="","",N(D36)*N(E36)+N(F36))</f>
        <v/>
      </c>
      <c r="M36" s="61">
        <f>IF(A36="","",L36-N(H36)-N(I36)-N(K36))</f>
        <v/>
      </c>
      <c r="N36" s="62">
        <f>IF(OR(A36="",N(L36)=0),"",M36/L36)</f>
        <v/>
      </c>
      <c r="O36" s="63">
        <f>IF(A36="","",DATE(YEAR(A36),MONTH(A36),1))</f>
        <v/>
      </c>
      <c r="P36" s="64">
        <f>IF(OR(A36="",B36=""),"",IF(COUNTIF($B$5:B36,B36)=1,1,0))</f>
        <v/>
      </c>
    </row>
    <row r="37" ht="17" customHeight="1">
      <c r="A37" s="116" t="n">
        <v>46244</v>
      </c>
      <c r="B37" s="57" t="inlineStr">
        <is>
          <t>E-10501</t>
        </is>
      </c>
      <c r="C37" s="57" t="inlineStr">
        <is>
          <t>Floral Sticker Pack</t>
        </is>
      </c>
      <c r="D37" s="58" t="n">
        <v>3</v>
      </c>
      <c r="E37" s="59" t="n">
        <v>8</v>
      </c>
      <c r="F37" s="59" t="n">
        <v>4</v>
      </c>
      <c r="G37" s="58" t="inlineStr">
        <is>
          <t>Etsy</t>
        </is>
      </c>
      <c r="H37" s="59" t="n">
        <v>3.1</v>
      </c>
      <c r="I37" s="59" t="n">
        <v>2.4</v>
      </c>
      <c r="J37" s="59" t="n"/>
      <c r="K37" s="60">
        <f>IF(C37="","",IF(J37&lt;&gt;"",J37,N(D37)*IFERROR(INDEX(ProdCOGS,MATCH(C37,ProdNames,0)),0)))</f>
        <v/>
      </c>
      <c r="L37" s="60">
        <f>IF(A37="","",N(D37)*N(E37)+N(F37))</f>
        <v/>
      </c>
      <c r="M37" s="61">
        <f>IF(A37="","",L37-N(H37)-N(I37)-N(K37))</f>
        <v/>
      </c>
      <c r="N37" s="62">
        <f>IF(OR(A37="",N(L37)=0),"",M37/L37)</f>
        <v/>
      </c>
      <c r="O37" s="63">
        <f>IF(A37="","",DATE(YEAR(A37),MONTH(A37),1))</f>
        <v/>
      </c>
      <c r="P37" s="64">
        <f>IF(OR(A37="",B37=""),"",IF(COUNTIF($B$5:B37,B37)=1,1,0))</f>
        <v/>
      </c>
    </row>
    <row r="38" ht="17" customHeight="1">
      <c r="A38" s="116" t="n">
        <v>46245</v>
      </c>
      <c r="B38" s="57" t="inlineStr">
        <is>
          <t>E-10510</t>
        </is>
      </c>
      <c r="C38" s="57" t="inlineStr">
        <is>
          <t>Pattern Brush Set</t>
        </is>
      </c>
      <c r="D38" s="58" t="n">
        <v>1</v>
      </c>
      <c r="E38" s="59" t="n">
        <v>15</v>
      </c>
      <c r="F38" s="59" t="n">
        <v>0</v>
      </c>
      <c r="G38" s="58" t="inlineStr">
        <is>
          <t>Etsy</t>
        </is>
      </c>
      <c r="H38" s="59" t="n">
        <v>1.5</v>
      </c>
      <c r="I38" s="59" t="n">
        <v>0</v>
      </c>
      <c r="J38" s="59" t="n"/>
      <c r="K38" s="60">
        <f>IF(C38="","",IF(J38&lt;&gt;"",J38,N(D38)*IFERROR(INDEX(ProdCOGS,MATCH(C38,ProdNames,0)),0)))</f>
        <v/>
      </c>
      <c r="L38" s="60">
        <f>IF(A38="","",N(D38)*N(E38)+N(F38))</f>
        <v/>
      </c>
      <c r="M38" s="61">
        <f>IF(A38="","",L38-N(H38)-N(I38)-N(K38))</f>
        <v/>
      </c>
      <c r="N38" s="62">
        <f>IF(OR(A38="",N(L38)=0),"",M38/L38)</f>
        <v/>
      </c>
      <c r="O38" s="63">
        <f>IF(A38="","",DATE(YEAR(A38),MONTH(A38),1))</f>
        <v/>
      </c>
      <c r="P38" s="64">
        <f>IF(OR(A38="",B38=""),"",IF(COUNTIF($B$5:B38,B38)=1,1,0))</f>
        <v/>
      </c>
    </row>
    <row r="39" ht="17" customHeight="1">
      <c r="A39" s="116" t="n">
        <v>46246</v>
      </c>
      <c r="B39" s="57" t="inlineStr">
        <is>
          <t>E-10522</t>
        </is>
      </c>
      <c r="C39" s="57" t="inlineStr">
        <is>
          <t>Minimalist Print 8x10</t>
        </is>
      </c>
      <c r="D39" s="58" t="n">
        <v>1</v>
      </c>
      <c r="E39" s="59" t="n">
        <v>18</v>
      </c>
      <c r="F39" s="59" t="n">
        <v>5</v>
      </c>
      <c r="G39" s="58" t="inlineStr">
        <is>
          <t>Etsy</t>
        </is>
      </c>
      <c r="H39" s="59" t="n">
        <v>2.7</v>
      </c>
      <c r="I39" s="59" t="n">
        <v>3.8</v>
      </c>
      <c r="J39" s="59" t="n"/>
      <c r="K39" s="60">
        <f>IF(C39="","",IF(J39&lt;&gt;"",J39,N(D39)*IFERROR(INDEX(ProdCOGS,MATCH(C39,ProdNames,0)),0)))</f>
        <v/>
      </c>
      <c r="L39" s="60">
        <f>IF(A39="","",N(D39)*N(E39)+N(F39))</f>
        <v/>
      </c>
      <c r="M39" s="61">
        <f>IF(A39="","",L39-N(H39)-N(I39)-N(K39))</f>
        <v/>
      </c>
      <c r="N39" s="62">
        <f>IF(OR(A39="",N(L39)=0),"",M39/L39)</f>
        <v/>
      </c>
      <c r="O39" s="63">
        <f>IF(A39="","",DATE(YEAR(A39),MONTH(A39),1))</f>
        <v/>
      </c>
      <c r="P39" s="64">
        <f>IF(OR(A39="",B39=""),"",IF(COUNTIF($B$5:B39,B39)=1,1,0))</f>
        <v/>
      </c>
    </row>
    <row r="40" ht="17" customHeight="1">
      <c r="A40" s="116" t="n"/>
      <c r="B40" s="57" t="n"/>
      <c r="C40" s="57" t="n"/>
      <c r="D40" s="58" t="n"/>
      <c r="E40" s="59" t="n"/>
      <c r="F40" s="59" t="n"/>
      <c r="G40" s="58" t="n"/>
      <c r="H40" s="59" t="n"/>
      <c r="I40" s="59" t="n"/>
      <c r="J40" s="59" t="n"/>
      <c r="K40" s="60">
        <f>IF(C40="","",IF(J40&lt;&gt;"",J40,N(D40)*IFERROR(INDEX(ProdCOGS,MATCH(C40,ProdNames,0)),0)))</f>
        <v/>
      </c>
      <c r="L40" s="60">
        <f>IF(A40="","",N(D40)*N(E40)+N(F40))</f>
        <v/>
      </c>
      <c r="M40" s="61">
        <f>IF(A40="","",L40-N(H40)-N(I40)-N(K40))</f>
        <v/>
      </c>
      <c r="N40" s="62">
        <f>IF(OR(A40="",N(L40)=0),"",M40/L40)</f>
        <v/>
      </c>
      <c r="O40" s="63">
        <f>IF(A40="","",DATE(YEAR(A40),MONTH(A40),1))</f>
        <v/>
      </c>
      <c r="P40" s="64">
        <f>IF(OR(A40="",B40=""),"",IF(COUNTIF($B$5:B40,B40)=1,1,0))</f>
        <v/>
      </c>
    </row>
    <row r="41" ht="17" customHeight="1">
      <c r="A41" s="116" t="n"/>
      <c r="B41" s="57" t="n"/>
      <c r="C41" s="57" t="n"/>
      <c r="D41" s="58" t="n"/>
      <c r="E41" s="59" t="n"/>
      <c r="F41" s="59" t="n"/>
      <c r="G41" s="58" t="n"/>
      <c r="H41" s="59" t="n"/>
      <c r="I41" s="59" t="n"/>
      <c r="J41" s="59" t="n"/>
      <c r="K41" s="60">
        <f>IF(C41="","",IF(J41&lt;&gt;"",J41,N(D41)*IFERROR(INDEX(ProdCOGS,MATCH(C41,ProdNames,0)),0)))</f>
        <v/>
      </c>
      <c r="L41" s="60">
        <f>IF(A41="","",N(D41)*N(E41)+N(F41))</f>
        <v/>
      </c>
      <c r="M41" s="61">
        <f>IF(A41="","",L41-N(H41)-N(I41)-N(K41))</f>
        <v/>
      </c>
      <c r="N41" s="62">
        <f>IF(OR(A41="",N(L41)=0),"",M41/L41)</f>
        <v/>
      </c>
      <c r="O41" s="63">
        <f>IF(A41="","",DATE(YEAR(A41),MONTH(A41),1))</f>
        <v/>
      </c>
      <c r="P41" s="64">
        <f>IF(OR(A41="",B41=""),"",IF(COUNTIF($B$5:B41,B41)=1,1,0))</f>
        <v/>
      </c>
    </row>
    <row r="42" ht="17" customHeight="1">
      <c r="A42" s="116" t="n"/>
      <c r="B42" s="57" t="n"/>
      <c r="C42" s="57" t="n"/>
      <c r="D42" s="58" t="n"/>
      <c r="E42" s="59" t="n"/>
      <c r="F42" s="59" t="n"/>
      <c r="G42" s="58" t="n"/>
      <c r="H42" s="59" t="n"/>
      <c r="I42" s="59" t="n"/>
      <c r="J42" s="59" t="n"/>
      <c r="K42" s="60">
        <f>IF(C42="","",IF(J42&lt;&gt;"",J42,N(D42)*IFERROR(INDEX(ProdCOGS,MATCH(C42,ProdNames,0)),0)))</f>
        <v/>
      </c>
      <c r="L42" s="60">
        <f>IF(A42="","",N(D42)*N(E42)+N(F42))</f>
        <v/>
      </c>
      <c r="M42" s="61">
        <f>IF(A42="","",L42-N(H42)-N(I42)-N(K42))</f>
        <v/>
      </c>
      <c r="N42" s="62">
        <f>IF(OR(A42="",N(L42)=0),"",M42/L42)</f>
        <v/>
      </c>
      <c r="O42" s="63">
        <f>IF(A42="","",DATE(YEAR(A42),MONTH(A42),1))</f>
        <v/>
      </c>
      <c r="P42" s="64">
        <f>IF(OR(A42="",B42=""),"",IF(COUNTIF($B$5:B42,B42)=1,1,0))</f>
        <v/>
      </c>
    </row>
    <row r="43" ht="17" customHeight="1">
      <c r="A43" s="116" t="n"/>
      <c r="B43" s="57" t="n"/>
      <c r="C43" s="57" t="n"/>
      <c r="D43" s="58" t="n"/>
      <c r="E43" s="59" t="n"/>
      <c r="F43" s="59" t="n"/>
      <c r="G43" s="58" t="n"/>
      <c r="H43" s="59" t="n"/>
      <c r="I43" s="59" t="n"/>
      <c r="J43" s="59" t="n"/>
      <c r="K43" s="60">
        <f>IF(C43="","",IF(J43&lt;&gt;"",J43,N(D43)*IFERROR(INDEX(ProdCOGS,MATCH(C43,ProdNames,0)),0)))</f>
        <v/>
      </c>
      <c r="L43" s="60">
        <f>IF(A43="","",N(D43)*N(E43)+N(F43))</f>
        <v/>
      </c>
      <c r="M43" s="61">
        <f>IF(A43="","",L43-N(H43)-N(I43)-N(K43))</f>
        <v/>
      </c>
      <c r="N43" s="62">
        <f>IF(OR(A43="",N(L43)=0),"",M43/L43)</f>
        <v/>
      </c>
      <c r="O43" s="63">
        <f>IF(A43="","",DATE(YEAR(A43),MONTH(A43),1))</f>
        <v/>
      </c>
      <c r="P43" s="64">
        <f>IF(OR(A43="",B43=""),"",IF(COUNTIF($B$5:B43,B43)=1,1,0))</f>
        <v/>
      </c>
    </row>
    <row r="44" ht="17" customHeight="1">
      <c r="A44" s="116" t="n"/>
      <c r="B44" s="57" t="n"/>
      <c r="C44" s="57" t="n"/>
      <c r="D44" s="58" t="n"/>
      <c r="E44" s="59" t="n"/>
      <c r="F44" s="59" t="n"/>
      <c r="G44" s="58" t="n"/>
      <c r="H44" s="59" t="n"/>
      <c r="I44" s="59" t="n"/>
      <c r="J44" s="59" t="n"/>
      <c r="K44" s="60">
        <f>IF(C44="","",IF(J44&lt;&gt;"",J44,N(D44)*IFERROR(INDEX(ProdCOGS,MATCH(C44,ProdNames,0)),0)))</f>
        <v/>
      </c>
      <c r="L44" s="60">
        <f>IF(A44="","",N(D44)*N(E44)+N(F44))</f>
        <v/>
      </c>
      <c r="M44" s="61">
        <f>IF(A44="","",L44-N(H44)-N(I44)-N(K44))</f>
        <v/>
      </c>
      <c r="N44" s="62">
        <f>IF(OR(A44="",N(L44)=0),"",M44/L44)</f>
        <v/>
      </c>
      <c r="O44" s="63">
        <f>IF(A44="","",DATE(YEAR(A44),MONTH(A44),1))</f>
        <v/>
      </c>
      <c r="P44" s="64">
        <f>IF(OR(A44="",B44=""),"",IF(COUNTIF($B$5:B44,B44)=1,1,0))</f>
        <v/>
      </c>
    </row>
    <row r="45" ht="17" customHeight="1">
      <c r="A45" s="116" t="n"/>
      <c r="B45" s="57" t="n"/>
      <c r="C45" s="57" t="n"/>
      <c r="D45" s="58" t="n"/>
      <c r="E45" s="59" t="n"/>
      <c r="F45" s="59" t="n"/>
      <c r="G45" s="58" t="n"/>
      <c r="H45" s="59" t="n"/>
      <c r="I45" s="59" t="n"/>
      <c r="J45" s="59" t="n"/>
      <c r="K45" s="60">
        <f>IF(C45="","",IF(J45&lt;&gt;"",J45,N(D45)*IFERROR(INDEX(ProdCOGS,MATCH(C45,ProdNames,0)),0)))</f>
        <v/>
      </c>
      <c r="L45" s="60">
        <f>IF(A45="","",N(D45)*N(E45)+N(F45))</f>
        <v/>
      </c>
      <c r="M45" s="61">
        <f>IF(A45="","",L45-N(H45)-N(I45)-N(K45))</f>
        <v/>
      </c>
      <c r="N45" s="62">
        <f>IF(OR(A45="",N(L45)=0),"",M45/L45)</f>
        <v/>
      </c>
      <c r="O45" s="63">
        <f>IF(A45="","",DATE(YEAR(A45),MONTH(A45),1))</f>
        <v/>
      </c>
      <c r="P45" s="64">
        <f>IF(OR(A45="",B45=""),"",IF(COUNTIF($B$5:B45,B45)=1,1,0))</f>
        <v/>
      </c>
    </row>
    <row r="46" ht="17" customHeight="1">
      <c r="A46" s="116" t="n"/>
      <c r="B46" s="57" t="n"/>
      <c r="C46" s="57" t="n"/>
      <c r="D46" s="58" t="n"/>
      <c r="E46" s="59" t="n"/>
      <c r="F46" s="59" t="n"/>
      <c r="G46" s="58" t="n"/>
      <c r="H46" s="59" t="n"/>
      <c r="I46" s="59" t="n"/>
      <c r="J46" s="59" t="n"/>
      <c r="K46" s="60">
        <f>IF(C46="","",IF(J46&lt;&gt;"",J46,N(D46)*IFERROR(INDEX(ProdCOGS,MATCH(C46,ProdNames,0)),0)))</f>
        <v/>
      </c>
      <c r="L46" s="60">
        <f>IF(A46="","",N(D46)*N(E46)+N(F46))</f>
        <v/>
      </c>
      <c r="M46" s="61">
        <f>IF(A46="","",L46-N(H46)-N(I46)-N(K46))</f>
        <v/>
      </c>
      <c r="N46" s="62">
        <f>IF(OR(A46="",N(L46)=0),"",M46/L46)</f>
        <v/>
      </c>
      <c r="O46" s="63">
        <f>IF(A46="","",DATE(YEAR(A46),MONTH(A46),1))</f>
        <v/>
      </c>
      <c r="P46" s="64">
        <f>IF(OR(A46="",B46=""),"",IF(COUNTIF($B$5:B46,B46)=1,1,0))</f>
        <v/>
      </c>
    </row>
    <row r="47" ht="17" customHeight="1">
      <c r="A47" s="116" t="n"/>
      <c r="B47" s="57" t="n"/>
      <c r="C47" s="57" t="n"/>
      <c r="D47" s="58" t="n"/>
      <c r="E47" s="59" t="n"/>
      <c r="F47" s="59" t="n"/>
      <c r="G47" s="58" t="n"/>
      <c r="H47" s="59" t="n"/>
      <c r="I47" s="59" t="n"/>
      <c r="J47" s="59" t="n"/>
      <c r="K47" s="60">
        <f>IF(C47="","",IF(J47&lt;&gt;"",J47,N(D47)*IFERROR(INDEX(ProdCOGS,MATCH(C47,ProdNames,0)),0)))</f>
        <v/>
      </c>
      <c r="L47" s="60">
        <f>IF(A47="","",N(D47)*N(E47)+N(F47))</f>
        <v/>
      </c>
      <c r="M47" s="61">
        <f>IF(A47="","",L47-N(H47)-N(I47)-N(K47))</f>
        <v/>
      </c>
      <c r="N47" s="62">
        <f>IF(OR(A47="",N(L47)=0),"",M47/L47)</f>
        <v/>
      </c>
      <c r="O47" s="63">
        <f>IF(A47="","",DATE(YEAR(A47),MONTH(A47),1))</f>
        <v/>
      </c>
      <c r="P47" s="64">
        <f>IF(OR(A47="",B47=""),"",IF(COUNTIF($B$5:B47,B47)=1,1,0))</f>
        <v/>
      </c>
    </row>
    <row r="48" ht="17" customHeight="1">
      <c r="A48" s="116" t="n"/>
      <c r="B48" s="57" t="n"/>
      <c r="C48" s="57" t="n"/>
      <c r="D48" s="58" t="n"/>
      <c r="E48" s="59" t="n"/>
      <c r="F48" s="59" t="n"/>
      <c r="G48" s="58" t="n"/>
      <c r="H48" s="59" t="n"/>
      <c r="I48" s="59" t="n"/>
      <c r="J48" s="59" t="n"/>
      <c r="K48" s="60">
        <f>IF(C48="","",IF(J48&lt;&gt;"",J48,N(D48)*IFERROR(INDEX(ProdCOGS,MATCH(C48,ProdNames,0)),0)))</f>
        <v/>
      </c>
      <c r="L48" s="60">
        <f>IF(A48="","",N(D48)*N(E48)+N(F48))</f>
        <v/>
      </c>
      <c r="M48" s="61">
        <f>IF(A48="","",L48-N(H48)-N(I48)-N(K48))</f>
        <v/>
      </c>
      <c r="N48" s="62">
        <f>IF(OR(A48="",N(L48)=0),"",M48/L48)</f>
        <v/>
      </c>
      <c r="O48" s="63">
        <f>IF(A48="","",DATE(YEAR(A48),MONTH(A48),1))</f>
        <v/>
      </c>
      <c r="P48" s="64">
        <f>IF(OR(A48="",B48=""),"",IF(COUNTIF($B$5:B48,B48)=1,1,0))</f>
        <v/>
      </c>
    </row>
    <row r="49" ht="17" customHeight="1">
      <c r="A49" s="116" t="n"/>
      <c r="B49" s="57" t="n"/>
      <c r="C49" s="57" t="n"/>
      <c r="D49" s="58" t="n"/>
      <c r="E49" s="59" t="n"/>
      <c r="F49" s="59" t="n"/>
      <c r="G49" s="58" t="n"/>
      <c r="H49" s="59" t="n"/>
      <c r="I49" s="59" t="n"/>
      <c r="J49" s="59" t="n"/>
      <c r="K49" s="60">
        <f>IF(C49="","",IF(J49&lt;&gt;"",J49,N(D49)*IFERROR(INDEX(ProdCOGS,MATCH(C49,ProdNames,0)),0)))</f>
        <v/>
      </c>
      <c r="L49" s="60">
        <f>IF(A49="","",N(D49)*N(E49)+N(F49))</f>
        <v/>
      </c>
      <c r="M49" s="61">
        <f>IF(A49="","",L49-N(H49)-N(I49)-N(K49))</f>
        <v/>
      </c>
      <c r="N49" s="62">
        <f>IF(OR(A49="",N(L49)=0),"",M49/L49)</f>
        <v/>
      </c>
      <c r="O49" s="63">
        <f>IF(A49="","",DATE(YEAR(A49),MONTH(A49),1))</f>
        <v/>
      </c>
      <c r="P49" s="64">
        <f>IF(OR(A49="",B49=""),"",IF(COUNTIF($B$5:B49,B49)=1,1,0))</f>
        <v/>
      </c>
    </row>
    <row r="50" ht="17" customHeight="1">
      <c r="A50" s="116" t="n"/>
      <c r="B50" s="57" t="n"/>
      <c r="C50" s="57" t="n"/>
      <c r="D50" s="58" t="n"/>
      <c r="E50" s="59" t="n"/>
      <c r="F50" s="59" t="n"/>
      <c r="G50" s="58" t="n"/>
      <c r="H50" s="59" t="n"/>
      <c r="I50" s="59" t="n"/>
      <c r="J50" s="59" t="n"/>
      <c r="K50" s="60">
        <f>IF(C50="","",IF(J50&lt;&gt;"",J50,N(D50)*IFERROR(INDEX(ProdCOGS,MATCH(C50,ProdNames,0)),0)))</f>
        <v/>
      </c>
      <c r="L50" s="60">
        <f>IF(A50="","",N(D50)*N(E50)+N(F50))</f>
        <v/>
      </c>
      <c r="M50" s="61">
        <f>IF(A50="","",L50-N(H50)-N(I50)-N(K50))</f>
        <v/>
      </c>
      <c r="N50" s="62">
        <f>IF(OR(A50="",N(L50)=0),"",M50/L50)</f>
        <v/>
      </c>
      <c r="O50" s="63">
        <f>IF(A50="","",DATE(YEAR(A50),MONTH(A50),1))</f>
        <v/>
      </c>
      <c r="P50" s="64">
        <f>IF(OR(A50="",B50=""),"",IF(COUNTIF($B$5:B50,B50)=1,1,0))</f>
        <v/>
      </c>
    </row>
    <row r="51" ht="17" customHeight="1">
      <c r="A51" s="116" t="n"/>
      <c r="B51" s="57" t="n"/>
      <c r="C51" s="57" t="n"/>
      <c r="D51" s="58" t="n"/>
      <c r="E51" s="59" t="n"/>
      <c r="F51" s="59" t="n"/>
      <c r="G51" s="58" t="n"/>
      <c r="H51" s="59" t="n"/>
      <c r="I51" s="59" t="n"/>
      <c r="J51" s="59" t="n"/>
      <c r="K51" s="60">
        <f>IF(C51="","",IF(J51&lt;&gt;"",J51,N(D51)*IFERROR(INDEX(ProdCOGS,MATCH(C51,ProdNames,0)),0)))</f>
        <v/>
      </c>
      <c r="L51" s="60">
        <f>IF(A51="","",N(D51)*N(E51)+N(F51))</f>
        <v/>
      </c>
      <c r="M51" s="61">
        <f>IF(A51="","",L51-N(H51)-N(I51)-N(K51))</f>
        <v/>
      </c>
      <c r="N51" s="62">
        <f>IF(OR(A51="",N(L51)=0),"",M51/L51)</f>
        <v/>
      </c>
      <c r="O51" s="63">
        <f>IF(A51="","",DATE(YEAR(A51),MONTH(A51),1))</f>
        <v/>
      </c>
      <c r="P51" s="64">
        <f>IF(OR(A51="",B51=""),"",IF(COUNTIF($B$5:B51,B51)=1,1,0))</f>
        <v/>
      </c>
    </row>
    <row r="52" ht="17" customHeight="1">
      <c r="A52" s="116" t="n"/>
      <c r="B52" s="57" t="n"/>
      <c r="C52" s="57" t="n"/>
      <c r="D52" s="58" t="n"/>
      <c r="E52" s="59" t="n"/>
      <c r="F52" s="59" t="n"/>
      <c r="G52" s="58" t="n"/>
      <c r="H52" s="59" t="n"/>
      <c r="I52" s="59" t="n"/>
      <c r="J52" s="59" t="n"/>
      <c r="K52" s="60">
        <f>IF(C52="","",IF(J52&lt;&gt;"",J52,N(D52)*IFERROR(INDEX(ProdCOGS,MATCH(C52,ProdNames,0)),0)))</f>
        <v/>
      </c>
      <c r="L52" s="60">
        <f>IF(A52="","",N(D52)*N(E52)+N(F52))</f>
        <v/>
      </c>
      <c r="M52" s="61">
        <f>IF(A52="","",L52-N(H52)-N(I52)-N(K52))</f>
        <v/>
      </c>
      <c r="N52" s="62">
        <f>IF(OR(A52="",N(L52)=0),"",M52/L52)</f>
        <v/>
      </c>
      <c r="O52" s="63">
        <f>IF(A52="","",DATE(YEAR(A52),MONTH(A52),1))</f>
        <v/>
      </c>
      <c r="P52" s="64">
        <f>IF(OR(A52="",B52=""),"",IF(COUNTIF($B$5:B52,B52)=1,1,0))</f>
        <v/>
      </c>
    </row>
    <row r="53" ht="17" customHeight="1">
      <c r="A53" s="116" t="n"/>
      <c r="B53" s="57" t="n"/>
      <c r="C53" s="57" t="n"/>
      <c r="D53" s="58" t="n"/>
      <c r="E53" s="59" t="n"/>
      <c r="F53" s="59" t="n"/>
      <c r="G53" s="58" t="n"/>
      <c r="H53" s="59" t="n"/>
      <c r="I53" s="59" t="n"/>
      <c r="J53" s="59" t="n"/>
      <c r="K53" s="60">
        <f>IF(C53="","",IF(J53&lt;&gt;"",J53,N(D53)*IFERROR(INDEX(ProdCOGS,MATCH(C53,ProdNames,0)),0)))</f>
        <v/>
      </c>
      <c r="L53" s="60">
        <f>IF(A53="","",N(D53)*N(E53)+N(F53))</f>
        <v/>
      </c>
      <c r="M53" s="61">
        <f>IF(A53="","",L53-N(H53)-N(I53)-N(K53))</f>
        <v/>
      </c>
      <c r="N53" s="62">
        <f>IF(OR(A53="",N(L53)=0),"",M53/L53)</f>
        <v/>
      </c>
      <c r="O53" s="63">
        <f>IF(A53="","",DATE(YEAR(A53),MONTH(A53),1))</f>
        <v/>
      </c>
      <c r="P53" s="64">
        <f>IF(OR(A53="",B53=""),"",IF(COUNTIF($B$5:B53,B53)=1,1,0))</f>
        <v/>
      </c>
    </row>
    <row r="54" ht="17" customHeight="1">
      <c r="A54" s="116" t="n"/>
      <c r="B54" s="57" t="n"/>
      <c r="C54" s="57" t="n"/>
      <c r="D54" s="58" t="n"/>
      <c r="E54" s="59" t="n"/>
      <c r="F54" s="59" t="n"/>
      <c r="G54" s="58" t="n"/>
      <c r="H54" s="59" t="n"/>
      <c r="I54" s="59" t="n"/>
      <c r="J54" s="59" t="n"/>
      <c r="K54" s="60">
        <f>IF(C54="","",IF(J54&lt;&gt;"",J54,N(D54)*IFERROR(INDEX(ProdCOGS,MATCH(C54,ProdNames,0)),0)))</f>
        <v/>
      </c>
      <c r="L54" s="60">
        <f>IF(A54="","",N(D54)*N(E54)+N(F54))</f>
        <v/>
      </c>
      <c r="M54" s="61">
        <f>IF(A54="","",L54-N(H54)-N(I54)-N(K54))</f>
        <v/>
      </c>
      <c r="N54" s="62">
        <f>IF(OR(A54="",N(L54)=0),"",M54/L54)</f>
        <v/>
      </c>
      <c r="O54" s="63">
        <f>IF(A54="","",DATE(YEAR(A54),MONTH(A54),1))</f>
        <v/>
      </c>
      <c r="P54" s="64">
        <f>IF(OR(A54="",B54=""),"",IF(COUNTIF($B$5:B54,B54)=1,1,0))</f>
        <v/>
      </c>
    </row>
    <row r="55" ht="17" customHeight="1">
      <c r="A55" s="116" t="n"/>
      <c r="B55" s="57" t="n"/>
      <c r="C55" s="57" t="n"/>
      <c r="D55" s="58" t="n"/>
      <c r="E55" s="59" t="n"/>
      <c r="F55" s="59" t="n"/>
      <c r="G55" s="58" t="n"/>
      <c r="H55" s="59" t="n"/>
      <c r="I55" s="59" t="n"/>
      <c r="J55" s="59" t="n"/>
      <c r="K55" s="60">
        <f>IF(C55="","",IF(J55&lt;&gt;"",J55,N(D55)*IFERROR(INDEX(ProdCOGS,MATCH(C55,ProdNames,0)),0)))</f>
        <v/>
      </c>
      <c r="L55" s="60">
        <f>IF(A55="","",N(D55)*N(E55)+N(F55))</f>
        <v/>
      </c>
      <c r="M55" s="61">
        <f>IF(A55="","",L55-N(H55)-N(I55)-N(K55))</f>
        <v/>
      </c>
      <c r="N55" s="62">
        <f>IF(OR(A55="",N(L55)=0),"",M55/L55)</f>
        <v/>
      </c>
      <c r="O55" s="63">
        <f>IF(A55="","",DATE(YEAR(A55),MONTH(A55),1))</f>
        <v/>
      </c>
      <c r="P55" s="64">
        <f>IF(OR(A55="",B55=""),"",IF(COUNTIF($B$5:B55,B55)=1,1,0))</f>
        <v/>
      </c>
    </row>
    <row r="56" ht="17" customHeight="1">
      <c r="A56" s="116" t="n"/>
      <c r="B56" s="57" t="n"/>
      <c r="C56" s="57" t="n"/>
      <c r="D56" s="58" t="n"/>
      <c r="E56" s="59" t="n"/>
      <c r="F56" s="59" t="n"/>
      <c r="G56" s="58" t="n"/>
      <c r="H56" s="59" t="n"/>
      <c r="I56" s="59" t="n"/>
      <c r="J56" s="59" t="n"/>
      <c r="K56" s="60">
        <f>IF(C56="","",IF(J56&lt;&gt;"",J56,N(D56)*IFERROR(INDEX(ProdCOGS,MATCH(C56,ProdNames,0)),0)))</f>
        <v/>
      </c>
      <c r="L56" s="60">
        <f>IF(A56="","",N(D56)*N(E56)+N(F56))</f>
        <v/>
      </c>
      <c r="M56" s="61">
        <f>IF(A56="","",L56-N(H56)-N(I56)-N(K56))</f>
        <v/>
      </c>
      <c r="N56" s="62">
        <f>IF(OR(A56="",N(L56)=0),"",M56/L56)</f>
        <v/>
      </c>
      <c r="O56" s="63">
        <f>IF(A56="","",DATE(YEAR(A56),MONTH(A56),1))</f>
        <v/>
      </c>
      <c r="P56" s="64">
        <f>IF(OR(A56="",B56=""),"",IF(COUNTIF($B$5:B56,B56)=1,1,0))</f>
        <v/>
      </c>
    </row>
    <row r="57" ht="17" customHeight="1">
      <c r="A57" s="116" t="n"/>
      <c r="B57" s="57" t="n"/>
      <c r="C57" s="57" t="n"/>
      <c r="D57" s="58" t="n"/>
      <c r="E57" s="59" t="n"/>
      <c r="F57" s="59" t="n"/>
      <c r="G57" s="58" t="n"/>
      <c r="H57" s="59" t="n"/>
      <c r="I57" s="59" t="n"/>
      <c r="J57" s="59" t="n"/>
      <c r="K57" s="60">
        <f>IF(C57="","",IF(J57&lt;&gt;"",J57,N(D57)*IFERROR(INDEX(ProdCOGS,MATCH(C57,ProdNames,0)),0)))</f>
        <v/>
      </c>
      <c r="L57" s="60">
        <f>IF(A57="","",N(D57)*N(E57)+N(F57))</f>
        <v/>
      </c>
      <c r="M57" s="61">
        <f>IF(A57="","",L57-N(H57)-N(I57)-N(K57))</f>
        <v/>
      </c>
      <c r="N57" s="62">
        <f>IF(OR(A57="",N(L57)=0),"",M57/L57)</f>
        <v/>
      </c>
      <c r="O57" s="63">
        <f>IF(A57="","",DATE(YEAR(A57),MONTH(A57),1))</f>
        <v/>
      </c>
      <c r="P57" s="64">
        <f>IF(OR(A57="",B57=""),"",IF(COUNTIF($B$5:B57,B57)=1,1,0))</f>
        <v/>
      </c>
    </row>
    <row r="58" ht="17" customHeight="1">
      <c r="A58" s="116" t="n"/>
      <c r="B58" s="57" t="n"/>
      <c r="C58" s="57" t="n"/>
      <c r="D58" s="58" t="n"/>
      <c r="E58" s="59" t="n"/>
      <c r="F58" s="59" t="n"/>
      <c r="G58" s="58" t="n"/>
      <c r="H58" s="59" t="n"/>
      <c r="I58" s="59" t="n"/>
      <c r="J58" s="59" t="n"/>
      <c r="K58" s="60">
        <f>IF(C58="","",IF(J58&lt;&gt;"",J58,N(D58)*IFERROR(INDEX(ProdCOGS,MATCH(C58,ProdNames,0)),0)))</f>
        <v/>
      </c>
      <c r="L58" s="60">
        <f>IF(A58="","",N(D58)*N(E58)+N(F58))</f>
        <v/>
      </c>
      <c r="M58" s="61">
        <f>IF(A58="","",L58-N(H58)-N(I58)-N(K58))</f>
        <v/>
      </c>
      <c r="N58" s="62">
        <f>IF(OR(A58="",N(L58)=0),"",M58/L58)</f>
        <v/>
      </c>
      <c r="O58" s="63">
        <f>IF(A58="","",DATE(YEAR(A58),MONTH(A58),1))</f>
        <v/>
      </c>
      <c r="P58" s="64">
        <f>IF(OR(A58="",B58=""),"",IF(COUNTIF($B$5:B58,B58)=1,1,0))</f>
        <v/>
      </c>
    </row>
    <row r="59" ht="17" customHeight="1">
      <c r="A59" s="116" t="n"/>
      <c r="B59" s="57" t="n"/>
      <c r="C59" s="57" t="n"/>
      <c r="D59" s="58" t="n"/>
      <c r="E59" s="59" t="n"/>
      <c r="F59" s="59" t="n"/>
      <c r="G59" s="58" t="n"/>
      <c r="H59" s="59" t="n"/>
      <c r="I59" s="59" t="n"/>
      <c r="J59" s="59" t="n"/>
      <c r="K59" s="60">
        <f>IF(C59="","",IF(J59&lt;&gt;"",J59,N(D59)*IFERROR(INDEX(ProdCOGS,MATCH(C59,ProdNames,0)),0)))</f>
        <v/>
      </c>
      <c r="L59" s="60">
        <f>IF(A59="","",N(D59)*N(E59)+N(F59))</f>
        <v/>
      </c>
      <c r="M59" s="61">
        <f>IF(A59="","",L59-N(H59)-N(I59)-N(K59))</f>
        <v/>
      </c>
      <c r="N59" s="62">
        <f>IF(OR(A59="",N(L59)=0),"",M59/L59)</f>
        <v/>
      </c>
      <c r="O59" s="63">
        <f>IF(A59="","",DATE(YEAR(A59),MONTH(A59),1))</f>
        <v/>
      </c>
      <c r="P59" s="64">
        <f>IF(OR(A59="",B59=""),"",IF(COUNTIF($B$5:B59,B59)=1,1,0))</f>
        <v/>
      </c>
    </row>
    <row r="60" ht="17" customHeight="1">
      <c r="A60" s="116" t="n"/>
      <c r="B60" s="57" t="n"/>
      <c r="C60" s="57" t="n"/>
      <c r="D60" s="58" t="n"/>
      <c r="E60" s="59" t="n"/>
      <c r="F60" s="59" t="n"/>
      <c r="G60" s="58" t="n"/>
      <c r="H60" s="59" t="n"/>
      <c r="I60" s="59" t="n"/>
      <c r="J60" s="59" t="n"/>
      <c r="K60" s="60">
        <f>IF(C60="","",IF(J60&lt;&gt;"",J60,N(D60)*IFERROR(INDEX(ProdCOGS,MATCH(C60,ProdNames,0)),0)))</f>
        <v/>
      </c>
      <c r="L60" s="60">
        <f>IF(A60="","",N(D60)*N(E60)+N(F60))</f>
        <v/>
      </c>
      <c r="M60" s="61">
        <f>IF(A60="","",L60-N(H60)-N(I60)-N(K60))</f>
        <v/>
      </c>
      <c r="N60" s="62">
        <f>IF(OR(A60="",N(L60)=0),"",M60/L60)</f>
        <v/>
      </c>
      <c r="O60" s="63">
        <f>IF(A60="","",DATE(YEAR(A60),MONTH(A60),1))</f>
        <v/>
      </c>
      <c r="P60" s="64">
        <f>IF(OR(A60="",B60=""),"",IF(COUNTIF($B$5:B60,B60)=1,1,0))</f>
        <v/>
      </c>
    </row>
    <row r="61" ht="17" customHeight="1">
      <c r="A61" s="116" t="n"/>
      <c r="B61" s="57" t="n"/>
      <c r="C61" s="57" t="n"/>
      <c r="D61" s="58" t="n"/>
      <c r="E61" s="59" t="n"/>
      <c r="F61" s="59" t="n"/>
      <c r="G61" s="58" t="n"/>
      <c r="H61" s="59" t="n"/>
      <c r="I61" s="59" t="n"/>
      <c r="J61" s="59" t="n"/>
      <c r="K61" s="60">
        <f>IF(C61="","",IF(J61&lt;&gt;"",J61,N(D61)*IFERROR(INDEX(ProdCOGS,MATCH(C61,ProdNames,0)),0)))</f>
        <v/>
      </c>
      <c r="L61" s="60">
        <f>IF(A61="","",N(D61)*N(E61)+N(F61))</f>
        <v/>
      </c>
      <c r="M61" s="61">
        <f>IF(A61="","",L61-N(H61)-N(I61)-N(K61))</f>
        <v/>
      </c>
      <c r="N61" s="62">
        <f>IF(OR(A61="",N(L61)=0),"",M61/L61)</f>
        <v/>
      </c>
      <c r="O61" s="63">
        <f>IF(A61="","",DATE(YEAR(A61),MONTH(A61),1))</f>
        <v/>
      </c>
      <c r="P61" s="64">
        <f>IF(OR(A61="",B61=""),"",IF(COUNTIF($B$5:B61,B61)=1,1,0))</f>
        <v/>
      </c>
    </row>
    <row r="62" ht="17" customHeight="1">
      <c r="A62" s="116" t="n"/>
      <c r="B62" s="57" t="n"/>
      <c r="C62" s="57" t="n"/>
      <c r="D62" s="58" t="n"/>
      <c r="E62" s="59" t="n"/>
      <c r="F62" s="59" t="n"/>
      <c r="G62" s="58" t="n"/>
      <c r="H62" s="59" t="n"/>
      <c r="I62" s="59" t="n"/>
      <c r="J62" s="59" t="n"/>
      <c r="K62" s="60">
        <f>IF(C62="","",IF(J62&lt;&gt;"",J62,N(D62)*IFERROR(INDEX(ProdCOGS,MATCH(C62,ProdNames,0)),0)))</f>
        <v/>
      </c>
      <c r="L62" s="60">
        <f>IF(A62="","",N(D62)*N(E62)+N(F62))</f>
        <v/>
      </c>
      <c r="M62" s="61">
        <f>IF(A62="","",L62-N(H62)-N(I62)-N(K62))</f>
        <v/>
      </c>
      <c r="N62" s="62">
        <f>IF(OR(A62="",N(L62)=0),"",M62/L62)</f>
        <v/>
      </c>
      <c r="O62" s="63">
        <f>IF(A62="","",DATE(YEAR(A62),MONTH(A62),1))</f>
        <v/>
      </c>
      <c r="P62" s="64">
        <f>IF(OR(A62="",B62=""),"",IF(COUNTIF($B$5:B62,B62)=1,1,0))</f>
        <v/>
      </c>
    </row>
    <row r="63" ht="17" customHeight="1">
      <c r="A63" s="116" t="n"/>
      <c r="B63" s="57" t="n"/>
      <c r="C63" s="57" t="n"/>
      <c r="D63" s="58" t="n"/>
      <c r="E63" s="59" t="n"/>
      <c r="F63" s="59" t="n"/>
      <c r="G63" s="58" t="n"/>
      <c r="H63" s="59" t="n"/>
      <c r="I63" s="59" t="n"/>
      <c r="J63" s="59" t="n"/>
      <c r="K63" s="60">
        <f>IF(C63="","",IF(J63&lt;&gt;"",J63,N(D63)*IFERROR(INDEX(ProdCOGS,MATCH(C63,ProdNames,0)),0)))</f>
        <v/>
      </c>
      <c r="L63" s="60">
        <f>IF(A63="","",N(D63)*N(E63)+N(F63))</f>
        <v/>
      </c>
      <c r="M63" s="61">
        <f>IF(A63="","",L63-N(H63)-N(I63)-N(K63))</f>
        <v/>
      </c>
      <c r="N63" s="62">
        <f>IF(OR(A63="",N(L63)=0),"",M63/L63)</f>
        <v/>
      </c>
      <c r="O63" s="63">
        <f>IF(A63="","",DATE(YEAR(A63),MONTH(A63),1))</f>
        <v/>
      </c>
      <c r="P63" s="64">
        <f>IF(OR(A63="",B63=""),"",IF(COUNTIF($B$5:B63,B63)=1,1,0))</f>
        <v/>
      </c>
    </row>
    <row r="64" ht="17" customHeight="1">
      <c r="A64" s="116" t="n"/>
      <c r="B64" s="57" t="n"/>
      <c r="C64" s="57" t="n"/>
      <c r="D64" s="58" t="n"/>
      <c r="E64" s="59" t="n"/>
      <c r="F64" s="59" t="n"/>
      <c r="G64" s="58" t="n"/>
      <c r="H64" s="59" t="n"/>
      <c r="I64" s="59" t="n"/>
      <c r="J64" s="59" t="n"/>
      <c r="K64" s="60">
        <f>IF(C64="","",IF(J64&lt;&gt;"",J64,N(D64)*IFERROR(INDEX(ProdCOGS,MATCH(C64,ProdNames,0)),0)))</f>
        <v/>
      </c>
      <c r="L64" s="60">
        <f>IF(A64="","",N(D64)*N(E64)+N(F64))</f>
        <v/>
      </c>
      <c r="M64" s="61">
        <f>IF(A64="","",L64-N(H64)-N(I64)-N(K64))</f>
        <v/>
      </c>
      <c r="N64" s="62">
        <f>IF(OR(A64="",N(L64)=0),"",M64/L64)</f>
        <v/>
      </c>
      <c r="O64" s="63">
        <f>IF(A64="","",DATE(YEAR(A64),MONTH(A64),1))</f>
        <v/>
      </c>
      <c r="P64" s="64">
        <f>IF(OR(A64="",B64=""),"",IF(COUNTIF($B$5:B64,B64)=1,1,0))</f>
        <v/>
      </c>
    </row>
    <row r="65" ht="17" customHeight="1">
      <c r="A65" s="116" t="n"/>
      <c r="B65" s="57" t="n"/>
      <c r="C65" s="57" t="n"/>
      <c r="D65" s="58" t="n"/>
      <c r="E65" s="59" t="n"/>
      <c r="F65" s="59" t="n"/>
      <c r="G65" s="58" t="n"/>
      <c r="H65" s="59" t="n"/>
      <c r="I65" s="59" t="n"/>
      <c r="J65" s="59" t="n"/>
      <c r="K65" s="60">
        <f>IF(C65="","",IF(J65&lt;&gt;"",J65,N(D65)*IFERROR(INDEX(ProdCOGS,MATCH(C65,ProdNames,0)),0)))</f>
        <v/>
      </c>
      <c r="L65" s="60">
        <f>IF(A65="","",N(D65)*N(E65)+N(F65))</f>
        <v/>
      </c>
      <c r="M65" s="61">
        <f>IF(A65="","",L65-N(H65)-N(I65)-N(K65))</f>
        <v/>
      </c>
      <c r="N65" s="62">
        <f>IF(OR(A65="",N(L65)=0),"",M65/L65)</f>
        <v/>
      </c>
      <c r="O65" s="63">
        <f>IF(A65="","",DATE(YEAR(A65),MONTH(A65),1))</f>
        <v/>
      </c>
      <c r="P65" s="64">
        <f>IF(OR(A65="",B65=""),"",IF(COUNTIF($B$5:B65,B65)=1,1,0))</f>
        <v/>
      </c>
    </row>
    <row r="66" ht="17" customHeight="1">
      <c r="A66" s="116" t="n"/>
      <c r="B66" s="57" t="n"/>
      <c r="C66" s="57" t="n"/>
      <c r="D66" s="58" t="n"/>
      <c r="E66" s="59" t="n"/>
      <c r="F66" s="59" t="n"/>
      <c r="G66" s="58" t="n"/>
      <c r="H66" s="59" t="n"/>
      <c r="I66" s="59" t="n"/>
      <c r="J66" s="59" t="n"/>
      <c r="K66" s="60">
        <f>IF(C66="","",IF(J66&lt;&gt;"",J66,N(D66)*IFERROR(INDEX(ProdCOGS,MATCH(C66,ProdNames,0)),0)))</f>
        <v/>
      </c>
      <c r="L66" s="60">
        <f>IF(A66="","",N(D66)*N(E66)+N(F66))</f>
        <v/>
      </c>
      <c r="M66" s="61">
        <f>IF(A66="","",L66-N(H66)-N(I66)-N(K66))</f>
        <v/>
      </c>
      <c r="N66" s="62">
        <f>IF(OR(A66="",N(L66)=0),"",M66/L66)</f>
        <v/>
      </c>
      <c r="O66" s="63">
        <f>IF(A66="","",DATE(YEAR(A66),MONTH(A66),1))</f>
        <v/>
      </c>
      <c r="P66" s="64">
        <f>IF(OR(A66="",B66=""),"",IF(COUNTIF($B$5:B66,B66)=1,1,0))</f>
        <v/>
      </c>
    </row>
    <row r="67" ht="17" customHeight="1">
      <c r="A67" s="116" t="n"/>
      <c r="B67" s="57" t="n"/>
      <c r="C67" s="57" t="n"/>
      <c r="D67" s="58" t="n"/>
      <c r="E67" s="59" t="n"/>
      <c r="F67" s="59" t="n"/>
      <c r="G67" s="58" t="n"/>
      <c r="H67" s="59" t="n"/>
      <c r="I67" s="59" t="n"/>
      <c r="J67" s="59" t="n"/>
      <c r="K67" s="60">
        <f>IF(C67="","",IF(J67&lt;&gt;"",J67,N(D67)*IFERROR(INDEX(ProdCOGS,MATCH(C67,ProdNames,0)),0)))</f>
        <v/>
      </c>
      <c r="L67" s="60">
        <f>IF(A67="","",N(D67)*N(E67)+N(F67))</f>
        <v/>
      </c>
      <c r="M67" s="61">
        <f>IF(A67="","",L67-N(H67)-N(I67)-N(K67))</f>
        <v/>
      </c>
      <c r="N67" s="62">
        <f>IF(OR(A67="",N(L67)=0),"",M67/L67)</f>
        <v/>
      </c>
      <c r="O67" s="63">
        <f>IF(A67="","",DATE(YEAR(A67),MONTH(A67),1))</f>
        <v/>
      </c>
      <c r="P67" s="64">
        <f>IF(OR(A67="",B67=""),"",IF(COUNTIF($B$5:B67,B67)=1,1,0))</f>
        <v/>
      </c>
    </row>
    <row r="68" ht="17" customHeight="1">
      <c r="A68" s="116" t="n"/>
      <c r="B68" s="57" t="n"/>
      <c r="C68" s="57" t="n"/>
      <c r="D68" s="58" t="n"/>
      <c r="E68" s="59" t="n"/>
      <c r="F68" s="59" t="n"/>
      <c r="G68" s="58" t="n"/>
      <c r="H68" s="59" t="n"/>
      <c r="I68" s="59" t="n"/>
      <c r="J68" s="59" t="n"/>
      <c r="K68" s="60">
        <f>IF(C68="","",IF(J68&lt;&gt;"",J68,N(D68)*IFERROR(INDEX(ProdCOGS,MATCH(C68,ProdNames,0)),0)))</f>
        <v/>
      </c>
      <c r="L68" s="60">
        <f>IF(A68="","",N(D68)*N(E68)+N(F68))</f>
        <v/>
      </c>
      <c r="M68" s="61">
        <f>IF(A68="","",L68-N(H68)-N(I68)-N(K68))</f>
        <v/>
      </c>
      <c r="N68" s="62">
        <f>IF(OR(A68="",N(L68)=0),"",M68/L68)</f>
        <v/>
      </c>
      <c r="O68" s="63">
        <f>IF(A68="","",DATE(YEAR(A68),MONTH(A68),1))</f>
        <v/>
      </c>
      <c r="P68" s="64">
        <f>IF(OR(A68="",B68=""),"",IF(COUNTIF($B$5:B68,B68)=1,1,0))</f>
        <v/>
      </c>
    </row>
    <row r="69" ht="17" customHeight="1">
      <c r="A69" s="116" t="n"/>
      <c r="B69" s="57" t="n"/>
      <c r="C69" s="57" t="n"/>
      <c r="D69" s="58" t="n"/>
      <c r="E69" s="59" t="n"/>
      <c r="F69" s="59" t="n"/>
      <c r="G69" s="58" t="n"/>
      <c r="H69" s="59" t="n"/>
      <c r="I69" s="59" t="n"/>
      <c r="J69" s="59" t="n"/>
      <c r="K69" s="60">
        <f>IF(C69="","",IF(J69&lt;&gt;"",J69,N(D69)*IFERROR(INDEX(ProdCOGS,MATCH(C69,ProdNames,0)),0)))</f>
        <v/>
      </c>
      <c r="L69" s="60">
        <f>IF(A69="","",N(D69)*N(E69)+N(F69))</f>
        <v/>
      </c>
      <c r="M69" s="61">
        <f>IF(A69="","",L69-N(H69)-N(I69)-N(K69))</f>
        <v/>
      </c>
      <c r="N69" s="62">
        <f>IF(OR(A69="",N(L69)=0),"",M69/L69)</f>
        <v/>
      </c>
      <c r="O69" s="63">
        <f>IF(A69="","",DATE(YEAR(A69),MONTH(A69),1))</f>
        <v/>
      </c>
      <c r="P69" s="64">
        <f>IF(OR(A69="",B69=""),"",IF(COUNTIF($B$5:B69,B69)=1,1,0))</f>
        <v/>
      </c>
    </row>
    <row r="70" ht="17" customHeight="1">
      <c r="A70" s="116" t="n"/>
      <c r="B70" s="57" t="n"/>
      <c r="C70" s="57" t="n"/>
      <c r="D70" s="58" t="n"/>
      <c r="E70" s="59" t="n"/>
      <c r="F70" s="59" t="n"/>
      <c r="G70" s="58" t="n"/>
      <c r="H70" s="59" t="n"/>
      <c r="I70" s="59" t="n"/>
      <c r="J70" s="59" t="n"/>
      <c r="K70" s="60">
        <f>IF(C70="","",IF(J70&lt;&gt;"",J70,N(D70)*IFERROR(INDEX(ProdCOGS,MATCH(C70,ProdNames,0)),0)))</f>
        <v/>
      </c>
      <c r="L70" s="60">
        <f>IF(A70="","",N(D70)*N(E70)+N(F70))</f>
        <v/>
      </c>
      <c r="M70" s="61">
        <f>IF(A70="","",L70-N(H70)-N(I70)-N(K70))</f>
        <v/>
      </c>
      <c r="N70" s="62">
        <f>IF(OR(A70="",N(L70)=0),"",M70/L70)</f>
        <v/>
      </c>
      <c r="O70" s="63">
        <f>IF(A70="","",DATE(YEAR(A70),MONTH(A70),1))</f>
        <v/>
      </c>
      <c r="P70" s="64">
        <f>IF(OR(A70="",B70=""),"",IF(COUNTIF($B$5:B70,B70)=1,1,0))</f>
        <v/>
      </c>
    </row>
    <row r="71" ht="17" customHeight="1">
      <c r="A71" s="116" t="n"/>
      <c r="B71" s="57" t="n"/>
      <c r="C71" s="57" t="n"/>
      <c r="D71" s="58" t="n"/>
      <c r="E71" s="59" t="n"/>
      <c r="F71" s="59" t="n"/>
      <c r="G71" s="58" t="n"/>
      <c r="H71" s="59" t="n"/>
      <c r="I71" s="59" t="n"/>
      <c r="J71" s="59" t="n"/>
      <c r="K71" s="60">
        <f>IF(C71="","",IF(J71&lt;&gt;"",J71,N(D71)*IFERROR(INDEX(ProdCOGS,MATCH(C71,ProdNames,0)),0)))</f>
        <v/>
      </c>
      <c r="L71" s="60">
        <f>IF(A71="","",N(D71)*N(E71)+N(F71))</f>
        <v/>
      </c>
      <c r="M71" s="61">
        <f>IF(A71="","",L71-N(H71)-N(I71)-N(K71))</f>
        <v/>
      </c>
      <c r="N71" s="62">
        <f>IF(OR(A71="",N(L71)=0),"",M71/L71)</f>
        <v/>
      </c>
      <c r="O71" s="63">
        <f>IF(A71="","",DATE(YEAR(A71),MONTH(A71),1))</f>
        <v/>
      </c>
      <c r="P71" s="64">
        <f>IF(OR(A71="",B71=""),"",IF(COUNTIF($B$5:B71,B71)=1,1,0))</f>
        <v/>
      </c>
    </row>
    <row r="72" ht="17" customHeight="1">
      <c r="A72" s="116" t="n"/>
      <c r="B72" s="57" t="n"/>
      <c r="C72" s="57" t="n"/>
      <c r="D72" s="58" t="n"/>
      <c r="E72" s="59" t="n"/>
      <c r="F72" s="59" t="n"/>
      <c r="G72" s="58" t="n"/>
      <c r="H72" s="59" t="n"/>
      <c r="I72" s="59" t="n"/>
      <c r="J72" s="59" t="n"/>
      <c r="K72" s="60">
        <f>IF(C72="","",IF(J72&lt;&gt;"",J72,N(D72)*IFERROR(INDEX(ProdCOGS,MATCH(C72,ProdNames,0)),0)))</f>
        <v/>
      </c>
      <c r="L72" s="60">
        <f>IF(A72="","",N(D72)*N(E72)+N(F72))</f>
        <v/>
      </c>
      <c r="M72" s="61">
        <f>IF(A72="","",L72-N(H72)-N(I72)-N(K72))</f>
        <v/>
      </c>
      <c r="N72" s="62">
        <f>IF(OR(A72="",N(L72)=0),"",M72/L72)</f>
        <v/>
      </c>
      <c r="O72" s="63">
        <f>IF(A72="","",DATE(YEAR(A72),MONTH(A72),1))</f>
        <v/>
      </c>
      <c r="P72" s="64">
        <f>IF(OR(A72="",B72=""),"",IF(COUNTIF($B$5:B72,B72)=1,1,0))</f>
        <v/>
      </c>
    </row>
    <row r="73" ht="17" customHeight="1">
      <c r="A73" s="116" t="n"/>
      <c r="B73" s="57" t="n"/>
      <c r="C73" s="57" t="n"/>
      <c r="D73" s="58" t="n"/>
      <c r="E73" s="59" t="n"/>
      <c r="F73" s="59" t="n"/>
      <c r="G73" s="58" t="n"/>
      <c r="H73" s="59" t="n"/>
      <c r="I73" s="59" t="n"/>
      <c r="J73" s="59" t="n"/>
      <c r="K73" s="60">
        <f>IF(C73="","",IF(J73&lt;&gt;"",J73,N(D73)*IFERROR(INDEX(ProdCOGS,MATCH(C73,ProdNames,0)),0)))</f>
        <v/>
      </c>
      <c r="L73" s="60">
        <f>IF(A73="","",N(D73)*N(E73)+N(F73))</f>
        <v/>
      </c>
      <c r="M73" s="61">
        <f>IF(A73="","",L73-N(H73)-N(I73)-N(K73))</f>
        <v/>
      </c>
      <c r="N73" s="62">
        <f>IF(OR(A73="",N(L73)=0),"",M73/L73)</f>
        <v/>
      </c>
      <c r="O73" s="63">
        <f>IF(A73="","",DATE(YEAR(A73),MONTH(A73),1))</f>
        <v/>
      </c>
      <c r="P73" s="64">
        <f>IF(OR(A73="",B73=""),"",IF(COUNTIF($B$5:B73,B73)=1,1,0))</f>
        <v/>
      </c>
    </row>
    <row r="74" ht="17" customHeight="1">
      <c r="A74" s="116" t="n"/>
      <c r="B74" s="57" t="n"/>
      <c r="C74" s="57" t="n"/>
      <c r="D74" s="58" t="n"/>
      <c r="E74" s="59" t="n"/>
      <c r="F74" s="59" t="n"/>
      <c r="G74" s="58" t="n"/>
      <c r="H74" s="59" t="n"/>
      <c r="I74" s="59" t="n"/>
      <c r="J74" s="59" t="n"/>
      <c r="K74" s="60">
        <f>IF(C74="","",IF(J74&lt;&gt;"",J74,N(D74)*IFERROR(INDEX(ProdCOGS,MATCH(C74,ProdNames,0)),0)))</f>
        <v/>
      </c>
      <c r="L74" s="60">
        <f>IF(A74="","",N(D74)*N(E74)+N(F74))</f>
        <v/>
      </c>
      <c r="M74" s="61">
        <f>IF(A74="","",L74-N(H74)-N(I74)-N(K74))</f>
        <v/>
      </c>
      <c r="N74" s="62">
        <f>IF(OR(A74="",N(L74)=0),"",M74/L74)</f>
        <v/>
      </c>
      <c r="O74" s="63">
        <f>IF(A74="","",DATE(YEAR(A74),MONTH(A74),1))</f>
        <v/>
      </c>
      <c r="P74" s="64">
        <f>IF(OR(A74="",B74=""),"",IF(COUNTIF($B$5:B74,B74)=1,1,0))</f>
        <v/>
      </c>
    </row>
    <row r="75" ht="17" customHeight="1">
      <c r="A75" s="116" t="n"/>
      <c r="B75" s="57" t="n"/>
      <c r="C75" s="57" t="n"/>
      <c r="D75" s="58" t="n"/>
      <c r="E75" s="59" t="n"/>
      <c r="F75" s="59" t="n"/>
      <c r="G75" s="58" t="n"/>
      <c r="H75" s="59" t="n"/>
      <c r="I75" s="59" t="n"/>
      <c r="J75" s="59" t="n"/>
      <c r="K75" s="60">
        <f>IF(C75="","",IF(J75&lt;&gt;"",J75,N(D75)*IFERROR(INDEX(ProdCOGS,MATCH(C75,ProdNames,0)),0)))</f>
        <v/>
      </c>
      <c r="L75" s="60">
        <f>IF(A75="","",N(D75)*N(E75)+N(F75))</f>
        <v/>
      </c>
      <c r="M75" s="61">
        <f>IF(A75="","",L75-N(H75)-N(I75)-N(K75))</f>
        <v/>
      </c>
      <c r="N75" s="62">
        <f>IF(OR(A75="",N(L75)=0),"",M75/L75)</f>
        <v/>
      </c>
      <c r="O75" s="63">
        <f>IF(A75="","",DATE(YEAR(A75),MONTH(A75),1))</f>
        <v/>
      </c>
      <c r="P75" s="64">
        <f>IF(OR(A75="",B75=""),"",IF(COUNTIF($B$5:B75,B75)=1,1,0))</f>
        <v/>
      </c>
    </row>
    <row r="76" ht="17" customHeight="1">
      <c r="A76" s="116" t="n"/>
      <c r="B76" s="57" t="n"/>
      <c r="C76" s="57" t="n"/>
      <c r="D76" s="58" t="n"/>
      <c r="E76" s="59" t="n"/>
      <c r="F76" s="59" t="n"/>
      <c r="G76" s="58" t="n"/>
      <c r="H76" s="59" t="n"/>
      <c r="I76" s="59" t="n"/>
      <c r="J76" s="59" t="n"/>
      <c r="K76" s="60">
        <f>IF(C76="","",IF(J76&lt;&gt;"",J76,N(D76)*IFERROR(INDEX(ProdCOGS,MATCH(C76,ProdNames,0)),0)))</f>
        <v/>
      </c>
      <c r="L76" s="60">
        <f>IF(A76="","",N(D76)*N(E76)+N(F76))</f>
        <v/>
      </c>
      <c r="M76" s="61">
        <f>IF(A76="","",L76-N(H76)-N(I76)-N(K76))</f>
        <v/>
      </c>
      <c r="N76" s="62">
        <f>IF(OR(A76="",N(L76)=0),"",M76/L76)</f>
        <v/>
      </c>
      <c r="O76" s="63">
        <f>IF(A76="","",DATE(YEAR(A76),MONTH(A76),1))</f>
        <v/>
      </c>
      <c r="P76" s="64">
        <f>IF(OR(A76="",B76=""),"",IF(COUNTIF($B$5:B76,B76)=1,1,0))</f>
        <v/>
      </c>
    </row>
    <row r="77" ht="17" customHeight="1">
      <c r="A77" s="116" t="n"/>
      <c r="B77" s="57" t="n"/>
      <c r="C77" s="57" t="n"/>
      <c r="D77" s="58" t="n"/>
      <c r="E77" s="59" t="n"/>
      <c r="F77" s="59" t="n"/>
      <c r="G77" s="58" t="n"/>
      <c r="H77" s="59" t="n"/>
      <c r="I77" s="59" t="n"/>
      <c r="J77" s="59" t="n"/>
      <c r="K77" s="60">
        <f>IF(C77="","",IF(J77&lt;&gt;"",J77,N(D77)*IFERROR(INDEX(ProdCOGS,MATCH(C77,ProdNames,0)),0)))</f>
        <v/>
      </c>
      <c r="L77" s="60">
        <f>IF(A77="","",N(D77)*N(E77)+N(F77))</f>
        <v/>
      </c>
      <c r="M77" s="61">
        <f>IF(A77="","",L77-N(H77)-N(I77)-N(K77))</f>
        <v/>
      </c>
      <c r="N77" s="62">
        <f>IF(OR(A77="",N(L77)=0),"",M77/L77)</f>
        <v/>
      </c>
      <c r="O77" s="63">
        <f>IF(A77="","",DATE(YEAR(A77),MONTH(A77),1))</f>
        <v/>
      </c>
      <c r="P77" s="64">
        <f>IF(OR(A77="",B77=""),"",IF(COUNTIF($B$5:B77,B77)=1,1,0))</f>
        <v/>
      </c>
    </row>
    <row r="78" ht="17" customHeight="1">
      <c r="A78" s="116" t="n"/>
      <c r="B78" s="57" t="n"/>
      <c r="C78" s="57" t="n"/>
      <c r="D78" s="58" t="n"/>
      <c r="E78" s="59" t="n"/>
      <c r="F78" s="59" t="n"/>
      <c r="G78" s="58" t="n"/>
      <c r="H78" s="59" t="n"/>
      <c r="I78" s="59" t="n"/>
      <c r="J78" s="59" t="n"/>
      <c r="K78" s="60">
        <f>IF(C78="","",IF(J78&lt;&gt;"",J78,N(D78)*IFERROR(INDEX(ProdCOGS,MATCH(C78,ProdNames,0)),0)))</f>
        <v/>
      </c>
      <c r="L78" s="60">
        <f>IF(A78="","",N(D78)*N(E78)+N(F78))</f>
        <v/>
      </c>
      <c r="M78" s="61">
        <f>IF(A78="","",L78-N(H78)-N(I78)-N(K78))</f>
        <v/>
      </c>
      <c r="N78" s="62">
        <f>IF(OR(A78="",N(L78)=0),"",M78/L78)</f>
        <v/>
      </c>
      <c r="O78" s="63">
        <f>IF(A78="","",DATE(YEAR(A78),MONTH(A78),1))</f>
        <v/>
      </c>
      <c r="P78" s="64">
        <f>IF(OR(A78="",B78=""),"",IF(COUNTIF($B$5:B78,B78)=1,1,0))</f>
        <v/>
      </c>
    </row>
    <row r="79" ht="17" customHeight="1">
      <c r="A79" s="116" t="n"/>
      <c r="B79" s="57" t="n"/>
      <c r="C79" s="57" t="n"/>
      <c r="D79" s="58" t="n"/>
      <c r="E79" s="59" t="n"/>
      <c r="F79" s="59" t="n"/>
      <c r="G79" s="58" t="n"/>
      <c r="H79" s="59" t="n"/>
      <c r="I79" s="59" t="n"/>
      <c r="J79" s="59" t="n"/>
      <c r="K79" s="60">
        <f>IF(C79="","",IF(J79&lt;&gt;"",J79,N(D79)*IFERROR(INDEX(ProdCOGS,MATCH(C79,ProdNames,0)),0)))</f>
        <v/>
      </c>
      <c r="L79" s="60">
        <f>IF(A79="","",N(D79)*N(E79)+N(F79))</f>
        <v/>
      </c>
      <c r="M79" s="61">
        <f>IF(A79="","",L79-N(H79)-N(I79)-N(K79))</f>
        <v/>
      </c>
      <c r="N79" s="62">
        <f>IF(OR(A79="",N(L79)=0),"",M79/L79)</f>
        <v/>
      </c>
      <c r="O79" s="63">
        <f>IF(A79="","",DATE(YEAR(A79),MONTH(A79),1))</f>
        <v/>
      </c>
      <c r="P79" s="64">
        <f>IF(OR(A79="",B79=""),"",IF(COUNTIF($B$5:B79,B79)=1,1,0))</f>
        <v/>
      </c>
    </row>
    <row r="80" ht="17" customHeight="1">
      <c r="A80" s="116" t="n"/>
      <c r="B80" s="57" t="n"/>
      <c r="C80" s="57" t="n"/>
      <c r="D80" s="58" t="n"/>
      <c r="E80" s="59" t="n"/>
      <c r="F80" s="59" t="n"/>
      <c r="G80" s="58" t="n"/>
      <c r="H80" s="59" t="n"/>
      <c r="I80" s="59" t="n"/>
      <c r="J80" s="59" t="n"/>
      <c r="K80" s="60">
        <f>IF(C80="","",IF(J80&lt;&gt;"",J80,N(D80)*IFERROR(INDEX(ProdCOGS,MATCH(C80,ProdNames,0)),0)))</f>
        <v/>
      </c>
      <c r="L80" s="60">
        <f>IF(A80="","",N(D80)*N(E80)+N(F80))</f>
        <v/>
      </c>
      <c r="M80" s="61">
        <f>IF(A80="","",L80-N(H80)-N(I80)-N(K80))</f>
        <v/>
      </c>
      <c r="N80" s="62">
        <f>IF(OR(A80="",N(L80)=0),"",M80/L80)</f>
        <v/>
      </c>
      <c r="O80" s="63">
        <f>IF(A80="","",DATE(YEAR(A80),MONTH(A80),1))</f>
        <v/>
      </c>
      <c r="P80" s="64">
        <f>IF(OR(A80="",B80=""),"",IF(COUNTIF($B$5:B80,B80)=1,1,0))</f>
        <v/>
      </c>
    </row>
    <row r="81" ht="17" customHeight="1">
      <c r="A81" s="116" t="n"/>
      <c r="B81" s="57" t="n"/>
      <c r="C81" s="57" t="n"/>
      <c r="D81" s="58" t="n"/>
      <c r="E81" s="59" t="n"/>
      <c r="F81" s="59" t="n"/>
      <c r="G81" s="58" t="n"/>
      <c r="H81" s="59" t="n"/>
      <c r="I81" s="59" t="n"/>
      <c r="J81" s="59" t="n"/>
      <c r="K81" s="60">
        <f>IF(C81="","",IF(J81&lt;&gt;"",J81,N(D81)*IFERROR(INDEX(ProdCOGS,MATCH(C81,ProdNames,0)),0)))</f>
        <v/>
      </c>
      <c r="L81" s="60">
        <f>IF(A81="","",N(D81)*N(E81)+N(F81))</f>
        <v/>
      </c>
      <c r="M81" s="61">
        <f>IF(A81="","",L81-N(H81)-N(I81)-N(K81))</f>
        <v/>
      </c>
      <c r="N81" s="62">
        <f>IF(OR(A81="",N(L81)=0),"",M81/L81)</f>
        <v/>
      </c>
      <c r="O81" s="63">
        <f>IF(A81="","",DATE(YEAR(A81),MONTH(A81),1))</f>
        <v/>
      </c>
      <c r="P81" s="64">
        <f>IF(OR(A81="",B81=""),"",IF(COUNTIF($B$5:B81,B81)=1,1,0))</f>
        <v/>
      </c>
    </row>
    <row r="82" ht="17" customHeight="1">
      <c r="A82" s="116" t="n"/>
      <c r="B82" s="57" t="n"/>
      <c r="C82" s="57" t="n"/>
      <c r="D82" s="58" t="n"/>
      <c r="E82" s="59" t="n"/>
      <c r="F82" s="59" t="n"/>
      <c r="G82" s="58" t="n"/>
      <c r="H82" s="59" t="n"/>
      <c r="I82" s="59" t="n"/>
      <c r="J82" s="59" t="n"/>
      <c r="K82" s="60">
        <f>IF(C82="","",IF(J82&lt;&gt;"",J82,N(D82)*IFERROR(INDEX(ProdCOGS,MATCH(C82,ProdNames,0)),0)))</f>
        <v/>
      </c>
      <c r="L82" s="60">
        <f>IF(A82="","",N(D82)*N(E82)+N(F82))</f>
        <v/>
      </c>
      <c r="M82" s="61">
        <f>IF(A82="","",L82-N(H82)-N(I82)-N(K82))</f>
        <v/>
      </c>
      <c r="N82" s="62">
        <f>IF(OR(A82="",N(L82)=0),"",M82/L82)</f>
        <v/>
      </c>
      <c r="O82" s="63">
        <f>IF(A82="","",DATE(YEAR(A82),MONTH(A82),1))</f>
        <v/>
      </c>
      <c r="P82" s="64">
        <f>IF(OR(A82="",B82=""),"",IF(COUNTIF($B$5:B82,B82)=1,1,0))</f>
        <v/>
      </c>
    </row>
    <row r="83" ht="17" customHeight="1">
      <c r="A83" s="116" t="n"/>
      <c r="B83" s="57" t="n"/>
      <c r="C83" s="57" t="n"/>
      <c r="D83" s="58" t="n"/>
      <c r="E83" s="59" t="n"/>
      <c r="F83" s="59" t="n"/>
      <c r="G83" s="58" t="n"/>
      <c r="H83" s="59" t="n"/>
      <c r="I83" s="59" t="n"/>
      <c r="J83" s="59" t="n"/>
      <c r="K83" s="60">
        <f>IF(C83="","",IF(J83&lt;&gt;"",J83,N(D83)*IFERROR(INDEX(ProdCOGS,MATCH(C83,ProdNames,0)),0)))</f>
        <v/>
      </c>
      <c r="L83" s="60">
        <f>IF(A83="","",N(D83)*N(E83)+N(F83))</f>
        <v/>
      </c>
      <c r="M83" s="61">
        <f>IF(A83="","",L83-N(H83)-N(I83)-N(K83))</f>
        <v/>
      </c>
      <c r="N83" s="62">
        <f>IF(OR(A83="",N(L83)=0),"",M83/L83)</f>
        <v/>
      </c>
      <c r="O83" s="63">
        <f>IF(A83="","",DATE(YEAR(A83),MONTH(A83),1))</f>
        <v/>
      </c>
      <c r="P83" s="64">
        <f>IF(OR(A83="",B83=""),"",IF(COUNTIF($B$5:B83,B83)=1,1,0))</f>
        <v/>
      </c>
    </row>
    <row r="84" ht="17" customHeight="1">
      <c r="A84" s="116" t="n"/>
      <c r="B84" s="57" t="n"/>
      <c r="C84" s="57" t="n"/>
      <c r="D84" s="58" t="n"/>
      <c r="E84" s="59" t="n"/>
      <c r="F84" s="59" t="n"/>
      <c r="G84" s="58" t="n"/>
      <c r="H84" s="59" t="n"/>
      <c r="I84" s="59" t="n"/>
      <c r="J84" s="59" t="n"/>
      <c r="K84" s="60">
        <f>IF(C84="","",IF(J84&lt;&gt;"",J84,N(D84)*IFERROR(INDEX(ProdCOGS,MATCH(C84,ProdNames,0)),0)))</f>
        <v/>
      </c>
      <c r="L84" s="60">
        <f>IF(A84="","",N(D84)*N(E84)+N(F84))</f>
        <v/>
      </c>
      <c r="M84" s="61">
        <f>IF(A84="","",L84-N(H84)-N(I84)-N(K84))</f>
        <v/>
      </c>
      <c r="N84" s="62">
        <f>IF(OR(A84="",N(L84)=0),"",M84/L84)</f>
        <v/>
      </c>
      <c r="O84" s="63">
        <f>IF(A84="","",DATE(YEAR(A84),MONTH(A84),1))</f>
        <v/>
      </c>
      <c r="P84" s="64">
        <f>IF(OR(A84="",B84=""),"",IF(COUNTIF($B$5:B84,B84)=1,1,0))</f>
        <v/>
      </c>
    </row>
    <row r="85" ht="17" customHeight="1">
      <c r="A85" s="116" t="n"/>
      <c r="B85" s="57" t="n"/>
      <c r="C85" s="57" t="n"/>
      <c r="D85" s="58" t="n"/>
      <c r="E85" s="59" t="n"/>
      <c r="F85" s="59" t="n"/>
      <c r="G85" s="58" t="n"/>
      <c r="H85" s="59" t="n"/>
      <c r="I85" s="59" t="n"/>
      <c r="J85" s="59" t="n"/>
      <c r="K85" s="60">
        <f>IF(C85="","",IF(J85&lt;&gt;"",J85,N(D85)*IFERROR(INDEX(ProdCOGS,MATCH(C85,ProdNames,0)),0)))</f>
        <v/>
      </c>
      <c r="L85" s="60">
        <f>IF(A85="","",N(D85)*N(E85)+N(F85))</f>
        <v/>
      </c>
      <c r="M85" s="61">
        <f>IF(A85="","",L85-N(H85)-N(I85)-N(K85))</f>
        <v/>
      </c>
      <c r="N85" s="62">
        <f>IF(OR(A85="",N(L85)=0),"",M85/L85)</f>
        <v/>
      </c>
      <c r="O85" s="63">
        <f>IF(A85="","",DATE(YEAR(A85),MONTH(A85),1))</f>
        <v/>
      </c>
      <c r="P85" s="64">
        <f>IF(OR(A85="",B85=""),"",IF(COUNTIF($B$5:B85,B85)=1,1,0))</f>
        <v/>
      </c>
    </row>
    <row r="86" ht="17" customHeight="1">
      <c r="A86" s="116" t="n"/>
      <c r="B86" s="57" t="n"/>
      <c r="C86" s="57" t="n"/>
      <c r="D86" s="58" t="n"/>
      <c r="E86" s="59" t="n"/>
      <c r="F86" s="59" t="n"/>
      <c r="G86" s="58" t="n"/>
      <c r="H86" s="59" t="n"/>
      <c r="I86" s="59" t="n"/>
      <c r="J86" s="59" t="n"/>
      <c r="K86" s="60">
        <f>IF(C86="","",IF(J86&lt;&gt;"",J86,N(D86)*IFERROR(INDEX(ProdCOGS,MATCH(C86,ProdNames,0)),0)))</f>
        <v/>
      </c>
      <c r="L86" s="60">
        <f>IF(A86="","",N(D86)*N(E86)+N(F86))</f>
        <v/>
      </c>
      <c r="M86" s="61">
        <f>IF(A86="","",L86-N(H86)-N(I86)-N(K86))</f>
        <v/>
      </c>
      <c r="N86" s="62">
        <f>IF(OR(A86="",N(L86)=0),"",M86/L86)</f>
        <v/>
      </c>
      <c r="O86" s="63">
        <f>IF(A86="","",DATE(YEAR(A86),MONTH(A86),1))</f>
        <v/>
      </c>
      <c r="P86" s="64">
        <f>IF(OR(A86="",B86=""),"",IF(COUNTIF($B$5:B86,B86)=1,1,0))</f>
        <v/>
      </c>
    </row>
    <row r="87" ht="17" customHeight="1">
      <c r="A87" s="116" t="n"/>
      <c r="B87" s="57" t="n"/>
      <c r="C87" s="57" t="n"/>
      <c r="D87" s="58" t="n"/>
      <c r="E87" s="59" t="n"/>
      <c r="F87" s="59" t="n"/>
      <c r="G87" s="58" t="n"/>
      <c r="H87" s="59" t="n"/>
      <c r="I87" s="59" t="n"/>
      <c r="J87" s="59" t="n"/>
      <c r="K87" s="60">
        <f>IF(C87="","",IF(J87&lt;&gt;"",J87,N(D87)*IFERROR(INDEX(ProdCOGS,MATCH(C87,ProdNames,0)),0)))</f>
        <v/>
      </c>
      <c r="L87" s="60">
        <f>IF(A87="","",N(D87)*N(E87)+N(F87))</f>
        <v/>
      </c>
      <c r="M87" s="61">
        <f>IF(A87="","",L87-N(H87)-N(I87)-N(K87))</f>
        <v/>
      </c>
      <c r="N87" s="62">
        <f>IF(OR(A87="",N(L87)=0),"",M87/L87)</f>
        <v/>
      </c>
      <c r="O87" s="63">
        <f>IF(A87="","",DATE(YEAR(A87),MONTH(A87),1))</f>
        <v/>
      </c>
      <c r="P87" s="64">
        <f>IF(OR(A87="",B87=""),"",IF(COUNTIF($B$5:B87,B87)=1,1,0))</f>
        <v/>
      </c>
    </row>
    <row r="88" ht="17" customHeight="1">
      <c r="A88" s="116" t="n"/>
      <c r="B88" s="57" t="n"/>
      <c r="C88" s="57" t="n"/>
      <c r="D88" s="58" t="n"/>
      <c r="E88" s="59" t="n"/>
      <c r="F88" s="59" t="n"/>
      <c r="G88" s="58" t="n"/>
      <c r="H88" s="59" t="n"/>
      <c r="I88" s="59" t="n"/>
      <c r="J88" s="59" t="n"/>
      <c r="K88" s="60">
        <f>IF(C88="","",IF(J88&lt;&gt;"",J88,N(D88)*IFERROR(INDEX(ProdCOGS,MATCH(C88,ProdNames,0)),0)))</f>
        <v/>
      </c>
      <c r="L88" s="60">
        <f>IF(A88="","",N(D88)*N(E88)+N(F88))</f>
        <v/>
      </c>
      <c r="M88" s="61">
        <f>IF(A88="","",L88-N(H88)-N(I88)-N(K88))</f>
        <v/>
      </c>
      <c r="N88" s="62">
        <f>IF(OR(A88="",N(L88)=0),"",M88/L88)</f>
        <v/>
      </c>
      <c r="O88" s="63">
        <f>IF(A88="","",DATE(YEAR(A88),MONTH(A88),1))</f>
        <v/>
      </c>
      <c r="P88" s="64">
        <f>IF(OR(A88="",B88=""),"",IF(COUNTIF($B$5:B88,B88)=1,1,0))</f>
        <v/>
      </c>
    </row>
    <row r="89" ht="17" customHeight="1">
      <c r="A89" s="116" t="n"/>
      <c r="B89" s="57" t="n"/>
      <c r="C89" s="57" t="n"/>
      <c r="D89" s="58" t="n"/>
      <c r="E89" s="59" t="n"/>
      <c r="F89" s="59" t="n"/>
      <c r="G89" s="58" t="n"/>
      <c r="H89" s="59" t="n"/>
      <c r="I89" s="59" t="n"/>
      <c r="J89" s="59" t="n"/>
      <c r="K89" s="60">
        <f>IF(C89="","",IF(J89&lt;&gt;"",J89,N(D89)*IFERROR(INDEX(ProdCOGS,MATCH(C89,ProdNames,0)),0)))</f>
        <v/>
      </c>
      <c r="L89" s="60">
        <f>IF(A89="","",N(D89)*N(E89)+N(F89))</f>
        <v/>
      </c>
      <c r="M89" s="61">
        <f>IF(A89="","",L89-N(H89)-N(I89)-N(K89))</f>
        <v/>
      </c>
      <c r="N89" s="62">
        <f>IF(OR(A89="",N(L89)=0),"",M89/L89)</f>
        <v/>
      </c>
      <c r="O89" s="63">
        <f>IF(A89="","",DATE(YEAR(A89),MONTH(A89),1))</f>
        <v/>
      </c>
      <c r="P89" s="64">
        <f>IF(OR(A89="",B89=""),"",IF(COUNTIF($B$5:B89,B89)=1,1,0))</f>
        <v/>
      </c>
    </row>
    <row r="90" ht="17" customHeight="1">
      <c r="A90" s="116" t="n"/>
      <c r="B90" s="57" t="n"/>
      <c r="C90" s="57" t="n"/>
      <c r="D90" s="58" t="n"/>
      <c r="E90" s="59" t="n"/>
      <c r="F90" s="59" t="n"/>
      <c r="G90" s="58" t="n"/>
      <c r="H90" s="59" t="n"/>
      <c r="I90" s="59" t="n"/>
      <c r="J90" s="59" t="n"/>
      <c r="K90" s="60">
        <f>IF(C90="","",IF(J90&lt;&gt;"",J90,N(D90)*IFERROR(INDEX(ProdCOGS,MATCH(C90,ProdNames,0)),0)))</f>
        <v/>
      </c>
      <c r="L90" s="60">
        <f>IF(A90="","",N(D90)*N(E90)+N(F90))</f>
        <v/>
      </c>
      <c r="M90" s="61">
        <f>IF(A90="","",L90-N(H90)-N(I90)-N(K90))</f>
        <v/>
      </c>
      <c r="N90" s="62">
        <f>IF(OR(A90="",N(L90)=0),"",M90/L90)</f>
        <v/>
      </c>
      <c r="O90" s="63">
        <f>IF(A90="","",DATE(YEAR(A90),MONTH(A90),1))</f>
        <v/>
      </c>
      <c r="P90" s="64">
        <f>IF(OR(A90="",B90=""),"",IF(COUNTIF($B$5:B90,B90)=1,1,0))</f>
        <v/>
      </c>
    </row>
    <row r="91" ht="17" customHeight="1">
      <c r="A91" s="116" t="n"/>
      <c r="B91" s="57" t="n"/>
      <c r="C91" s="57" t="n"/>
      <c r="D91" s="58" t="n"/>
      <c r="E91" s="59" t="n"/>
      <c r="F91" s="59" t="n"/>
      <c r="G91" s="58" t="n"/>
      <c r="H91" s="59" t="n"/>
      <c r="I91" s="59" t="n"/>
      <c r="J91" s="59" t="n"/>
      <c r="K91" s="60">
        <f>IF(C91="","",IF(J91&lt;&gt;"",J91,N(D91)*IFERROR(INDEX(ProdCOGS,MATCH(C91,ProdNames,0)),0)))</f>
        <v/>
      </c>
      <c r="L91" s="60">
        <f>IF(A91="","",N(D91)*N(E91)+N(F91))</f>
        <v/>
      </c>
      <c r="M91" s="61">
        <f>IF(A91="","",L91-N(H91)-N(I91)-N(K91))</f>
        <v/>
      </c>
      <c r="N91" s="62">
        <f>IF(OR(A91="",N(L91)=0),"",M91/L91)</f>
        <v/>
      </c>
      <c r="O91" s="63">
        <f>IF(A91="","",DATE(YEAR(A91),MONTH(A91),1))</f>
        <v/>
      </c>
      <c r="P91" s="64">
        <f>IF(OR(A91="",B91=""),"",IF(COUNTIF($B$5:B91,B91)=1,1,0))</f>
        <v/>
      </c>
    </row>
    <row r="92" ht="17" customHeight="1">
      <c r="A92" s="116" t="n"/>
      <c r="B92" s="57" t="n"/>
      <c r="C92" s="57" t="n"/>
      <c r="D92" s="58" t="n"/>
      <c r="E92" s="59" t="n"/>
      <c r="F92" s="59" t="n"/>
      <c r="G92" s="58" t="n"/>
      <c r="H92" s="59" t="n"/>
      <c r="I92" s="59" t="n"/>
      <c r="J92" s="59" t="n"/>
      <c r="K92" s="60">
        <f>IF(C92="","",IF(J92&lt;&gt;"",J92,N(D92)*IFERROR(INDEX(ProdCOGS,MATCH(C92,ProdNames,0)),0)))</f>
        <v/>
      </c>
      <c r="L92" s="60">
        <f>IF(A92="","",N(D92)*N(E92)+N(F92))</f>
        <v/>
      </c>
      <c r="M92" s="61">
        <f>IF(A92="","",L92-N(H92)-N(I92)-N(K92))</f>
        <v/>
      </c>
      <c r="N92" s="62">
        <f>IF(OR(A92="",N(L92)=0),"",M92/L92)</f>
        <v/>
      </c>
      <c r="O92" s="63">
        <f>IF(A92="","",DATE(YEAR(A92),MONTH(A92),1))</f>
        <v/>
      </c>
      <c r="P92" s="64">
        <f>IF(OR(A92="",B92=""),"",IF(COUNTIF($B$5:B92,B92)=1,1,0))</f>
        <v/>
      </c>
    </row>
    <row r="93" ht="17" customHeight="1">
      <c r="A93" s="116" t="n"/>
      <c r="B93" s="57" t="n"/>
      <c r="C93" s="57" t="n"/>
      <c r="D93" s="58" t="n"/>
      <c r="E93" s="59" t="n"/>
      <c r="F93" s="59" t="n"/>
      <c r="G93" s="58" t="n"/>
      <c r="H93" s="59" t="n"/>
      <c r="I93" s="59" t="n"/>
      <c r="J93" s="59" t="n"/>
      <c r="K93" s="60">
        <f>IF(C93="","",IF(J93&lt;&gt;"",J93,N(D93)*IFERROR(INDEX(ProdCOGS,MATCH(C93,ProdNames,0)),0)))</f>
        <v/>
      </c>
      <c r="L93" s="60">
        <f>IF(A93="","",N(D93)*N(E93)+N(F93))</f>
        <v/>
      </c>
      <c r="M93" s="61">
        <f>IF(A93="","",L93-N(H93)-N(I93)-N(K93))</f>
        <v/>
      </c>
      <c r="N93" s="62">
        <f>IF(OR(A93="",N(L93)=0),"",M93/L93)</f>
        <v/>
      </c>
      <c r="O93" s="63">
        <f>IF(A93="","",DATE(YEAR(A93),MONTH(A93),1))</f>
        <v/>
      </c>
      <c r="P93" s="64">
        <f>IF(OR(A93="",B93=""),"",IF(COUNTIF($B$5:B93,B93)=1,1,0))</f>
        <v/>
      </c>
    </row>
    <row r="94" ht="17" customHeight="1">
      <c r="A94" s="116" t="n"/>
      <c r="B94" s="57" t="n"/>
      <c r="C94" s="57" t="n"/>
      <c r="D94" s="58" t="n"/>
      <c r="E94" s="59" t="n"/>
      <c r="F94" s="59" t="n"/>
      <c r="G94" s="58" t="n"/>
      <c r="H94" s="59" t="n"/>
      <c r="I94" s="59" t="n"/>
      <c r="J94" s="59" t="n"/>
      <c r="K94" s="60">
        <f>IF(C94="","",IF(J94&lt;&gt;"",J94,N(D94)*IFERROR(INDEX(ProdCOGS,MATCH(C94,ProdNames,0)),0)))</f>
        <v/>
      </c>
      <c r="L94" s="60">
        <f>IF(A94="","",N(D94)*N(E94)+N(F94))</f>
        <v/>
      </c>
      <c r="M94" s="61">
        <f>IF(A94="","",L94-N(H94)-N(I94)-N(K94))</f>
        <v/>
      </c>
      <c r="N94" s="62">
        <f>IF(OR(A94="",N(L94)=0),"",M94/L94)</f>
        <v/>
      </c>
      <c r="O94" s="63">
        <f>IF(A94="","",DATE(YEAR(A94),MONTH(A94),1))</f>
        <v/>
      </c>
      <c r="P94" s="64">
        <f>IF(OR(A94="",B94=""),"",IF(COUNTIF($B$5:B94,B94)=1,1,0))</f>
        <v/>
      </c>
    </row>
    <row r="95" ht="17" customHeight="1">
      <c r="A95" s="116" t="n"/>
      <c r="B95" s="57" t="n"/>
      <c r="C95" s="57" t="n"/>
      <c r="D95" s="58" t="n"/>
      <c r="E95" s="59" t="n"/>
      <c r="F95" s="59" t="n"/>
      <c r="G95" s="58" t="n"/>
      <c r="H95" s="59" t="n"/>
      <c r="I95" s="59" t="n"/>
      <c r="J95" s="59" t="n"/>
      <c r="K95" s="60">
        <f>IF(C95="","",IF(J95&lt;&gt;"",J95,N(D95)*IFERROR(INDEX(ProdCOGS,MATCH(C95,ProdNames,0)),0)))</f>
        <v/>
      </c>
      <c r="L95" s="60">
        <f>IF(A95="","",N(D95)*N(E95)+N(F95))</f>
        <v/>
      </c>
      <c r="M95" s="61">
        <f>IF(A95="","",L95-N(H95)-N(I95)-N(K95))</f>
        <v/>
      </c>
      <c r="N95" s="62">
        <f>IF(OR(A95="",N(L95)=0),"",M95/L95)</f>
        <v/>
      </c>
      <c r="O95" s="63">
        <f>IF(A95="","",DATE(YEAR(A95),MONTH(A95),1))</f>
        <v/>
      </c>
      <c r="P95" s="64">
        <f>IF(OR(A95="",B95=""),"",IF(COUNTIF($B$5:B95,B95)=1,1,0))</f>
        <v/>
      </c>
    </row>
    <row r="96" ht="17" customHeight="1">
      <c r="A96" s="116" t="n"/>
      <c r="B96" s="57" t="n"/>
      <c r="C96" s="57" t="n"/>
      <c r="D96" s="58" t="n"/>
      <c r="E96" s="59" t="n"/>
      <c r="F96" s="59" t="n"/>
      <c r="G96" s="58" t="n"/>
      <c r="H96" s="59" t="n"/>
      <c r="I96" s="59" t="n"/>
      <c r="J96" s="59" t="n"/>
      <c r="K96" s="60">
        <f>IF(C96="","",IF(J96&lt;&gt;"",J96,N(D96)*IFERROR(INDEX(ProdCOGS,MATCH(C96,ProdNames,0)),0)))</f>
        <v/>
      </c>
      <c r="L96" s="60">
        <f>IF(A96="","",N(D96)*N(E96)+N(F96))</f>
        <v/>
      </c>
      <c r="M96" s="61">
        <f>IF(A96="","",L96-N(H96)-N(I96)-N(K96))</f>
        <v/>
      </c>
      <c r="N96" s="62">
        <f>IF(OR(A96="",N(L96)=0),"",M96/L96)</f>
        <v/>
      </c>
      <c r="O96" s="63">
        <f>IF(A96="","",DATE(YEAR(A96),MONTH(A96),1))</f>
        <v/>
      </c>
      <c r="P96" s="64">
        <f>IF(OR(A96="",B96=""),"",IF(COUNTIF($B$5:B96,B96)=1,1,0))</f>
        <v/>
      </c>
    </row>
    <row r="97" ht="17" customHeight="1">
      <c r="A97" s="116" t="n"/>
      <c r="B97" s="57" t="n"/>
      <c r="C97" s="57" t="n"/>
      <c r="D97" s="58" t="n"/>
      <c r="E97" s="59" t="n"/>
      <c r="F97" s="59" t="n"/>
      <c r="G97" s="58" t="n"/>
      <c r="H97" s="59" t="n"/>
      <c r="I97" s="59" t="n"/>
      <c r="J97" s="59" t="n"/>
      <c r="K97" s="60">
        <f>IF(C97="","",IF(J97&lt;&gt;"",J97,N(D97)*IFERROR(INDEX(ProdCOGS,MATCH(C97,ProdNames,0)),0)))</f>
        <v/>
      </c>
      <c r="L97" s="60">
        <f>IF(A97="","",N(D97)*N(E97)+N(F97))</f>
        <v/>
      </c>
      <c r="M97" s="61">
        <f>IF(A97="","",L97-N(H97)-N(I97)-N(K97))</f>
        <v/>
      </c>
      <c r="N97" s="62">
        <f>IF(OR(A97="",N(L97)=0),"",M97/L97)</f>
        <v/>
      </c>
      <c r="O97" s="63">
        <f>IF(A97="","",DATE(YEAR(A97),MONTH(A97),1))</f>
        <v/>
      </c>
      <c r="P97" s="64">
        <f>IF(OR(A97="",B97=""),"",IF(COUNTIF($B$5:B97,B97)=1,1,0))</f>
        <v/>
      </c>
    </row>
    <row r="98" ht="17" customHeight="1">
      <c r="A98" s="116" t="n"/>
      <c r="B98" s="57" t="n"/>
      <c r="C98" s="57" t="n"/>
      <c r="D98" s="58" t="n"/>
      <c r="E98" s="59" t="n"/>
      <c r="F98" s="59" t="n"/>
      <c r="G98" s="58" t="n"/>
      <c r="H98" s="59" t="n"/>
      <c r="I98" s="59" t="n"/>
      <c r="J98" s="59" t="n"/>
      <c r="K98" s="60">
        <f>IF(C98="","",IF(J98&lt;&gt;"",J98,N(D98)*IFERROR(INDEX(ProdCOGS,MATCH(C98,ProdNames,0)),0)))</f>
        <v/>
      </c>
      <c r="L98" s="60">
        <f>IF(A98="","",N(D98)*N(E98)+N(F98))</f>
        <v/>
      </c>
      <c r="M98" s="61">
        <f>IF(A98="","",L98-N(H98)-N(I98)-N(K98))</f>
        <v/>
      </c>
      <c r="N98" s="62">
        <f>IF(OR(A98="",N(L98)=0),"",M98/L98)</f>
        <v/>
      </c>
      <c r="O98" s="63">
        <f>IF(A98="","",DATE(YEAR(A98),MONTH(A98),1))</f>
        <v/>
      </c>
      <c r="P98" s="64">
        <f>IF(OR(A98="",B98=""),"",IF(COUNTIF($B$5:B98,B98)=1,1,0))</f>
        <v/>
      </c>
    </row>
    <row r="99" ht="17" customHeight="1">
      <c r="A99" s="116" t="n"/>
      <c r="B99" s="57" t="n"/>
      <c r="C99" s="57" t="n"/>
      <c r="D99" s="58" t="n"/>
      <c r="E99" s="59" t="n"/>
      <c r="F99" s="59" t="n"/>
      <c r="G99" s="58" t="n"/>
      <c r="H99" s="59" t="n"/>
      <c r="I99" s="59" t="n"/>
      <c r="J99" s="59" t="n"/>
      <c r="K99" s="60">
        <f>IF(C99="","",IF(J99&lt;&gt;"",J99,N(D99)*IFERROR(INDEX(ProdCOGS,MATCH(C99,ProdNames,0)),0)))</f>
        <v/>
      </c>
      <c r="L99" s="60">
        <f>IF(A99="","",N(D99)*N(E99)+N(F99))</f>
        <v/>
      </c>
      <c r="M99" s="61">
        <f>IF(A99="","",L99-N(H99)-N(I99)-N(K99))</f>
        <v/>
      </c>
      <c r="N99" s="62">
        <f>IF(OR(A99="",N(L99)=0),"",M99/L99)</f>
        <v/>
      </c>
      <c r="O99" s="63">
        <f>IF(A99="","",DATE(YEAR(A99),MONTH(A99),1))</f>
        <v/>
      </c>
      <c r="P99" s="64">
        <f>IF(OR(A99="",B99=""),"",IF(COUNTIF($B$5:B99,B99)=1,1,0))</f>
        <v/>
      </c>
    </row>
    <row r="100" ht="17" customHeight="1">
      <c r="A100" s="116" t="n"/>
      <c r="B100" s="57" t="n"/>
      <c r="C100" s="57" t="n"/>
      <c r="D100" s="58" t="n"/>
      <c r="E100" s="59" t="n"/>
      <c r="F100" s="59" t="n"/>
      <c r="G100" s="58" t="n"/>
      <c r="H100" s="59" t="n"/>
      <c r="I100" s="59" t="n"/>
      <c r="J100" s="59" t="n"/>
      <c r="K100" s="60">
        <f>IF(C100="","",IF(J100&lt;&gt;"",J100,N(D100)*IFERROR(INDEX(ProdCOGS,MATCH(C100,ProdNames,0)),0)))</f>
        <v/>
      </c>
      <c r="L100" s="60">
        <f>IF(A100="","",N(D100)*N(E100)+N(F100))</f>
        <v/>
      </c>
      <c r="M100" s="61">
        <f>IF(A100="","",L100-N(H100)-N(I100)-N(K100))</f>
        <v/>
      </c>
      <c r="N100" s="62">
        <f>IF(OR(A100="",N(L100)=0),"",M100/L100)</f>
        <v/>
      </c>
      <c r="O100" s="63">
        <f>IF(A100="","",DATE(YEAR(A100),MONTH(A100),1))</f>
        <v/>
      </c>
      <c r="P100" s="64">
        <f>IF(OR(A100="",B100=""),"",IF(COUNTIF($B$5:B100,B100)=1,1,0))</f>
        <v/>
      </c>
    </row>
    <row r="101" ht="17" customHeight="1">
      <c r="A101" s="116" t="n"/>
      <c r="B101" s="57" t="n"/>
      <c r="C101" s="57" t="n"/>
      <c r="D101" s="58" t="n"/>
      <c r="E101" s="59" t="n"/>
      <c r="F101" s="59" t="n"/>
      <c r="G101" s="58" t="n"/>
      <c r="H101" s="59" t="n"/>
      <c r="I101" s="59" t="n"/>
      <c r="J101" s="59" t="n"/>
      <c r="K101" s="60">
        <f>IF(C101="","",IF(J101&lt;&gt;"",J101,N(D101)*IFERROR(INDEX(ProdCOGS,MATCH(C101,ProdNames,0)),0)))</f>
        <v/>
      </c>
      <c r="L101" s="60">
        <f>IF(A101="","",N(D101)*N(E101)+N(F101))</f>
        <v/>
      </c>
      <c r="M101" s="61">
        <f>IF(A101="","",L101-N(H101)-N(I101)-N(K101))</f>
        <v/>
      </c>
      <c r="N101" s="62">
        <f>IF(OR(A101="",N(L101)=0),"",M101/L101)</f>
        <v/>
      </c>
      <c r="O101" s="63">
        <f>IF(A101="","",DATE(YEAR(A101),MONTH(A101),1))</f>
        <v/>
      </c>
      <c r="P101" s="64">
        <f>IF(OR(A101="",B101=""),"",IF(COUNTIF($B$5:B101,B101)=1,1,0))</f>
        <v/>
      </c>
    </row>
    <row r="102" ht="17" customHeight="1">
      <c r="A102" s="116" t="n"/>
      <c r="B102" s="57" t="n"/>
      <c r="C102" s="57" t="n"/>
      <c r="D102" s="58" t="n"/>
      <c r="E102" s="59" t="n"/>
      <c r="F102" s="59" t="n"/>
      <c r="G102" s="58" t="n"/>
      <c r="H102" s="59" t="n"/>
      <c r="I102" s="59" t="n"/>
      <c r="J102" s="59" t="n"/>
      <c r="K102" s="60">
        <f>IF(C102="","",IF(J102&lt;&gt;"",J102,N(D102)*IFERROR(INDEX(ProdCOGS,MATCH(C102,ProdNames,0)),0)))</f>
        <v/>
      </c>
      <c r="L102" s="60">
        <f>IF(A102="","",N(D102)*N(E102)+N(F102))</f>
        <v/>
      </c>
      <c r="M102" s="61">
        <f>IF(A102="","",L102-N(H102)-N(I102)-N(K102))</f>
        <v/>
      </c>
      <c r="N102" s="62">
        <f>IF(OR(A102="",N(L102)=0),"",M102/L102)</f>
        <v/>
      </c>
      <c r="O102" s="63">
        <f>IF(A102="","",DATE(YEAR(A102),MONTH(A102),1))</f>
        <v/>
      </c>
      <c r="P102" s="64">
        <f>IF(OR(A102="",B102=""),"",IF(COUNTIF($B$5:B102,B102)=1,1,0))</f>
        <v/>
      </c>
    </row>
    <row r="103" ht="17" customHeight="1">
      <c r="A103" s="116" t="n"/>
      <c r="B103" s="57" t="n"/>
      <c r="C103" s="57" t="n"/>
      <c r="D103" s="58" t="n"/>
      <c r="E103" s="59" t="n"/>
      <c r="F103" s="59" t="n"/>
      <c r="G103" s="58" t="n"/>
      <c r="H103" s="59" t="n"/>
      <c r="I103" s="59" t="n"/>
      <c r="J103" s="59" t="n"/>
      <c r="K103" s="60">
        <f>IF(C103="","",IF(J103&lt;&gt;"",J103,N(D103)*IFERROR(INDEX(ProdCOGS,MATCH(C103,ProdNames,0)),0)))</f>
        <v/>
      </c>
      <c r="L103" s="60">
        <f>IF(A103="","",N(D103)*N(E103)+N(F103))</f>
        <v/>
      </c>
      <c r="M103" s="61">
        <f>IF(A103="","",L103-N(H103)-N(I103)-N(K103))</f>
        <v/>
      </c>
      <c r="N103" s="62">
        <f>IF(OR(A103="",N(L103)=0),"",M103/L103)</f>
        <v/>
      </c>
      <c r="O103" s="63">
        <f>IF(A103="","",DATE(YEAR(A103),MONTH(A103),1))</f>
        <v/>
      </c>
      <c r="P103" s="64">
        <f>IF(OR(A103="",B103=""),"",IF(COUNTIF($B$5:B103,B103)=1,1,0))</f>
        <v/>
      </c>
    </row>
    <row r="104" ht="17" customHeight="1">
      <c r="A104" s="116" t="n"/>
      <c r="B104" s="57" t="n"/>
      <c r="C104" s="57" t="n"/>
      <c r="D104" s="58" t="n"/>
      <c r="E104" s="59" t="n"/>
      <c r="F104" s="59" t="n"/>
      <c r="G104" s="58" t="n"/>
      <c r="H104" s="59" t="n"/>
      <c r="I104" s="59" t="n"/>
      <c r="J104" s="59" t="n"/>
      <c r="K104" s="60">
        <f>IF(C104="","",IF(J104&lt;&gt;"",J104,N(D104)*IFERROR(INDEX(ProdCOGS,MATCH(C104,ProdNames,0)),0)))</f>
        <v/>
      </c>
      <c r="L104" s="60">
        <f>IF(A104="","",N(D104)*N(E104)+N(F104))</f>
        <v/>
      </c>
      <c r="M104" s="61">
        <f>IF(A104="","",L104-N(H104)-N(I104)-N(K104))</f>
        <v/>
      </c>
      <c r="N104" s="62">
        <f>IF(OR(A104="",N(L104)=0),"",M104/L104)</f>
        <v/>
      </c>
      <c r="O104" s="63">
        <f>IF(A104="","",DATE(YEAR(A104),MONTH(A104),1))</f>
        <v/>
      </c>
      <c r="P104" s="64">
        <f>IF(OR(A104="",B104=""),"",IF(COUNTIF($B$5:B104,B104)=1,1,0))</f>
        <v/>
      </c>
    </row>
    <row r="105" ht="17" customHeight="1">
      <c r="A105" s="116" t="n"/>
      <c r="B105" s="57" t="n"/>
      <c r="C105" s="57" t="n"/>
      <c r="D105" s="58" t="n"/>
      <c r="E105" s="59" t="n"/>
      <c r="F105" s="59" t="n"/>
      <c r="G105" s="58" t="n"/>
      <c r="H105" s="59" t="n"/>
      <c r="I105" s="59" t="n"/>
      <c r="J105" s="59" t="n"/>
      <c r="K105" s="60">
        <f>IF(C105="","",IF(J105&lt;&gt;"",J105,N(D105)*IFERROR(INDEX(ProdCOGS,MATCH(C105,ProdNames,0)),0)))</f>
        <v/>
      </c>
      <c r="L105" s="60">
        <f>IF(A105="","",N(D105)*N(E105)+N(F105))</f>
        <v/>
      </c>
      <c r="M105" s="61">
        <f>IF(A105="","",L105-N(H105)-N(I105)-N(K105))</f>
        <v/>
      </c>
      <c r="N105" s="62">
        <f>IF(OR(A105="",N(L105)=0),"",M105/L105)</f>
        <v/>
      </c>
      <c r="O105" s="63">
        <f>IF(A105="","",DATE(YEAR(A105),MONTH(A105),1))</f>
        <v/>
      </c>
      <c r="P105" s="64">
        <f>IF(OR(A105="",B105=""),"",IF(COUNTIF($B$5:B105,B105)=1,1,0))</f>
        <v/>
      </c>
    </row>
    <row r="106" ht="17" customHeight="1">
      <c r="A106" s="116" t="n"/>
      <c r="B106" s="57" t="n"/>
      <c r="C106" s="57" t="n"/>
      <c r="D106" s="58" t="n"/>
      <c r="E106" s="59" t="n"/>
      <c r="F106" s="59" t="n"/>
      <c r="G106" s="58" t="n"/>
      <c r="H106" s="59" t="n"/>
      <c r="I106" s="59" t="n"/>
      <c r="J106" s="59" t="n"/>
      <c r="K106" s="60">
        <f>IF(C106="","",IF(J106&lt;&gt;"",J106,N(D106)*IFERROR(INDEX(ProdCOGS,MATCH(C106,ProdNames,0)),0)))</f>
        <v/>
      </c>
      <c r="L106" s="60">
        <f>IF(A106="","",N(D106)*N(E106)+N(F106))</f>
        <v/>
      </c>
      <c r="M106" s="61">
        <f>IF(A106="","",L106-N(H106)-N(I106)-N(K106))</f>
        <v/>
      </c>
      <c r="N106" s="62">
        <f>IF(OR(A106="",N(L106)=0),"",M106/L106)</f>
        <v/>
      </c>
      <c r="O106" s="63">
        <f>IF(A106="","",DATE(YEAR(A106),MONTH(A106),1))</f>
        <v/>
      </c>
      <c r="P106" s="64">
        <f>IF(OR(A106="",B106=""),"",IF(COUNTIF($B$5:B106,B106)=1,1,0))</f>
        <v/>
      </c>
    </row>
    <row r="107" ht="17" customHeight="1">
      <c r="A107" s="116" t="n"/>
      <c r="B107" s="57" t="n"/>
      <c r="C107" s="57" t="n"/>
      <c r="D107" s="58" t="n"/>
      <c r="E107" s="59" t="n"/>
      <c r="F107" s="59" t="n"/>
      <c r="G107" s="58" t="n"/>
      <c r="H107" s="59" t="n"/>
      <c r="I107" s="59" t="n"/>
      <c r="J107" s="59" t="n"/>
      <c r="K107" s="60">
        <f>IF(C107="","",IF(J107&lt;&gt;"",J107,N(D107)*IFERROR(INDEX(ProdCOGS,MATCH(C107,ProdNames,0)),0)))</f>
        <v/>
      </c>
      <c r="L107" s="60">
        <f>IF(A107="","",N(D107)*N(E107)+N(F107))</f>
        <v/>
      </c>
      <c r="M107" s="61">
        <f>IF(A107="","",L107-N(H107)-N(I107)-N(K107))</f>
        <v/>
      </c>
      <c r="N107" s="62">
        <f>IF(OR(A107="",N(L107)=0),"",M107/L107)</f>
        <v/>
      </c>
      <c r="O107" s="63">
        <f>IF(A107="","",DATE(YEAR(A107),MONTH(A107),1))</f>
        <v/>
      </c>
      <c r="P107" s="64">
        <f>IF(OR(A107="",B107=""),"",IF(COUNTIF($B$5:B107,B107)=1,1,0))</f>
        <v/>
      </c>
    </row>
    <row r="108" ht="17" customHeight="1">
      <c r="A108" s="116" t="n"/>
      <c r="B108" s="57" t="n"/>
      <c r="C108" s="57" t="n"/>
      <c r="D108" s="58" t="n"/>
      <c r="E108" s="59" t="n"/>
      <c r="F108" s="59" t="n"/>
      <c r="G108" s="58" t="n"/>
      <c r="H108" s="59" t="n"/>
      <c r="I108" s="59" t="n"/>
      <c r="J108" s="59" t="n"/>
      <c r="K108" s="60">
        <f>IF(C108="","",IF(J108&lt;&gt;"",J108,N(D108)*IFERROR(INDEX(ProdCOGS,MATCH(C108,ProdNames,0)),0)))</f>
        <v/>
      </c>
      <c r="L108" s="60">
        <f>IF(A108="","",N(D108)*N(E108)+N(F108))</f>
        <v/>
      </c>
      <c r="M108" s="61">
        <f>IF(A108="","",L108-N(H108)-N(I108)-N(K108))</f>
        <v/>
      </c>
      <c r="N108" s="62">
        <f>IF(OR(A108="",N(L108)=0),"",M108/L108)</f>
        <v/>
      </c>
      <c r="O108" s="63">
        <f>IF(A108="","",DATE(YEAR(A108),MONTH(A108),1))</f>
        <v/>
      </c>
      <c r="P108" s="64">
        <f>IF(OR(A108="",B108=""),"",IF(COUNTIF($B$5:B108,B108)=1,1,0))</f>
        <v/>
      </c>
    </row>
    <row r="109" ht="17" customHeight="1">
      <c r="A109" s="116" t="n"/>
      <c r="B109" s="57" t="n"/>
      <c r="C109" s="57" t="n"/>
      <c r="D109" s="58" t="n"/>
      <c r="E109" s="59" t="n"/>
      <c r="F109" s="59" t="n"/>
      <c r="G109" s="58" t="n"/>
      <c r="H109" s="59" t="n"/>
      <c r="I109" s="59" t="n"/>
      <c r="J109" s="59" t="n"/>
      <c r="K109" s="60">
        <f>IF(C109="","",IF(J109&lt;&gt;"",J109,N(D109)*IFERROR(INDEX(ProdCOGS,MATCH(C109,ProdNames,0)),0)))</f>
        <v/>
      </c>
      <c r="L109" s="60">
        <f>IF(A109="","",N(D109)*N(E109)+N(F109))</f>
        <v/>
      </c>
      <c r="M109" s="61">
        <f>IF(A109="","",L109-N(H109)-N(I109)-N(K109))</f>
        <v/>
      </c>
      <c r="N109" s="62">
        <f>IF(OR(A109="",N(L109)=0),"",M109/L109)</f>
        <v/>
      </c>
      <c r="O109" s="63">
        <f>IF(A109="","",DATE(YEAR(A109),MONTH(A109),1))</f>
        <v/>
      </c>
      <c r="P109" s="64">
        <f>IF(OR(A109="",B109=""),"",IF(COUNTIF($B$5:B109,B109)=1,1,0))</f>
        <v/>
      </c>
    </row>
    <row r="110" ht="17" customHeight="1">
      <c r="A110" s="116" t="n"/>
      <c r="B110" s="57" t="n"/>
      <c r="C110" s="57" t="n"/>
      <c r="D110" s="58" t="n"/>
      <c r="E110" s="59" t="n"/>
      <c r="F110" s="59" t="n"/>
      <c r="G110" s="58" t="n"/>
      <c r="H110" s="59" t="n"/>
      <c r="I110" s="59" t="n"/>
      <c r="J110" s="59" t="n"/>
      <c r="K110" s="60">
        <f>IF(C110="","",IF(J110&lt;&gt;"",J110,N(D110)*IFERROR(INDEX(ProdCOGS,MATCH(C110,ProdNames,0)),0)))</f>
        <v/>
      </c>
      <c r="L110" s="60">
        <f>IF(A110="","",N(D110)*N(E110)+N(F110))</f>
        <v/>
      </c>
      <c r="M110" s="61">
        <f>IF(A110="","",L110-N(H110)-N(I110)-N(K110))</f>
        <v/>
      </c>
      <c r="N110" s="62">
        <f>IF(OR(A110="",N(L110)=0),"",M110/L110)</f>
        <v/>
      </c>
      <c r="O110" s="63">
        <f>IF(A110="","",DATE(YEAR(A110),MONTH(A110),1))</f>
        <v/>
      </c>
      <c r="P110" s="64">
        <f>IF(OR(A110="",B110=""),"",IF(COUNTIF($B$5:B110,B110)=1,1,0))</f>
        <v/>
      </c>
    </row>
    <row r="111" ht="17" customHeight="1">
      <c r="A111" s="116" t="n"/>
      <c r="B111" s="57" t="n"/>
      <c r="C111" s="57" t="n"/>
      <c r="D111" s="58" t="n"/>
      <c r="E111" s="59" t="n"/>
      <c r="F111" s="59" t="n"/>
      <c r="G111" s="58" t="n"/>
      <c r="H111" s="59" t="n"/>
      <c r="I111" s="59" t="n"/>
      <c r="J111" s="59" t="n"/>
      <c r="K111" s="60">
        <f>IF(C111="","",IF(J111&lt;&gt;"",J111,N(D111)*IFERROR(INDEX(ProdCOGS,MATCH(C111,ProdNames,0)),0)))</f>
        <v/>
      </c>
      <c r="L111" s="60">
        <f>IF(A111="","",N(D111)*N(E111)+N(F111))</f>
        <v/>
      </c>
      <c r="M111" s="61">
        <f>IF(A111="","",L111-N(H111)-N(I111)-N(K111))</f>
        <v/>
      </c>
      <c r="N111" s="62">
        <f>IF(OR(A111="",N(L111)=0),"",M111/L111)</f>
        <v/>
      </c>
      <c r="O111" s="63">
        <f>IF(A111="","",DATE(YEAR(A111),MONTH(A111),1))</f>
        <v/>
      </c>
      <c r="P111" s="64">
        <f>IF(OR(A111="",B111=""),"",IF(COUNTIF($B$5:B111,B111)=1,1,0))</f>
        <v/>
      </c>
    </row>
    <row r="112" ht="17" customHeight="1">
      <c r="A112" s="116" t="n"/>
      <c r="B112" s="57" t="n"/>
      <c r="C112" s="57" t="n"/>
      <c r="D112" s="58" t="n"/>
      <c r="E112" s="59" t="n"/>
      <c r="F112" s="59" t="n"/>
      <c r="G112" s="58" t="n"/>
      <c r="H112" s="59" t="n"/>
      <c r="I112" s="59" t="n"/>
      <c r="J112" s="59" t="n"/>
      <c r="K112" s="60">
        <f>IF(C112="","",IF(J112&lt;&gt;"",J112,N(D112)*IFERROR(INDEX(ProdCOGS,MATCH(C112,ProdNames,0)),0)))</f>
        <v/>
      </c>
      <c r="L112" s="60">
        <f>IF(A112="","",N(D112)*N(E112)+N(F112))</f>
        <v/>
      </c>
      <c r="M112" s="61">
        <f>IF(A112="","",L112-N(H112)-N(I112)-N(K112))</f>
        <v/>
      </c>
      <c r="N112" s="62">
        <f>IF(OR(A112="",N(L112)=0),"",M112/L112)</f>
        <v/>
      </c>
      <c r="O112" s="63">
        <f>IF(A112="","",DATE(YEAR(A112),MONTH(A112),1))</f>
        <v/>
      </c>
      <c r="P112" s="64">
        <f>IF(OR(A112="",B112=""),"",IF(COUNTIF($B$5:B112,B112)=1,1,0))</f>
        <v/>
      </c>
    </row>
    <row r="113" ht="17" customHeight="1">
      <c r="A113" s="116" t="n"/>
      <c r="B113" s="57" t="n"/>
      <c r="C113" s="57" t="n"/>
      <c r="D113" s="58" t="n"/>
      <c r="E113" s="59" t="n"/>
      <c r="F113" s="59" t="n"/>
      <c r="G113" s="58" t="n"/>
      <c r="H113" s="59" t="n"/>
      <c r="I113" s="59" t="n"/>
      <c r="J113" s="59" t="n"/>
      <c r="K113" s="60">
        <f>IF(C113="","",IF(J113&lt;&gt;"",J113,N(D113)*IFERROR(INDEX(ProdCOGS,MATCH(C113,ProdNames,0)),0)))</f>
        <v/>
      </c>
      <c r="L113" s="60">
        <f>IF(A113="","",N(D113)*N(E113)+N(F113))</f>
        <v/>
      </c>
      <c r="M113" s="61">
        <f>IF(A113="","",L113-N(H113)-N(I113)-N(K113))</f>
        <v/>
      </c>
      <c r="N113" s="62">
        <f>IF(OR(A113="",N(L113)=0),"",M113/L113)</f>
        <v/>
      </c>
      <c r="O113" s="63">
        <f>IF(A113="","",DATE(YEAR(A113),MONTH(A113),1))</f>
        <v/>
      </c>
      <c r="P113" s="64">
        <f>IF(OR(A113="",B113=""),"",IF(COUNTIF($B$5:B113,B113)=1,1,0))</f>
        <v/>
      </c>
    </row>
    <row r="114" ht="17" customHeight="1">
      <c r="A114" s="116" t="n"/>
      <c r="B114" s="57" t="n"/>
      <c r="C114" s="57" t="n"/>
      <c r="D114" s="58" t="n"/>
      <c r="E114" s="59" t="n"/>
      <c r="F114" s="59" t="n"/>
      <c r="G114" s="58" t="n"/>
      <c r="H114" s="59" t="n"/>
      <c r="I114" s="59" t="n"/>
      <c r="J114" s="59" t="n"/>
      <c r="K114" s="60">
        <f>IF(C114="","",IF(J114&lt;&gt;"",J114,N(D114)*IFERROR(INDEX(ProdCOGS,MATCH(C114,ProdNames,0)),0)))</f>
        <v/>
      </c>
      <c r="L114" s="60">
        <f>IF(A114="","",N(D114)*N(E114)+N(F114))</f>
        <v/>
      </c>
      <c r="M114" s="61">
        <f>IF(A114="","",L114-N(H114)-N(I114)-N(K114))</f>
        <v/>
      </c>
      <c r="N114" s="62">
        <f>IF(OR(A114="",N(L114)=0),"",M114/L114)</f>
        <v/>
      </c>
      <c r="O114" s="63">
        <f>IF(A114="","",DATE(YEAR(A114),MONTH(A114),1))</f>
        <v/>
      </c>
      <c r="P114" s="64">
        <f>IF(OR(A114="",B114=""),"",IF(COUNTIF($B$5:B114,B114)=1,1,0))</f>
        <v/>
      </c>
    </row>
    <row r="115" ht="17" customHeight="1">
      <c r="A115" s="116" t="n"/>
      <c r="B115" s="57" t="n"/>
      <c r="C115" s="57" t="n"/>
      <c r="D115" s="58" t="n"/>
      <c r="E115" s="59" t="n"/>
      <c r="F115" s="59" t="n"/>
      <c r="G115" s="58" t="n"/>
      <c r="H115" s="59" t="n"/>
      <c r="I115" s="59" t="n"/>
      <c r="J115" s="59" t="n"/>
      <c r="K115" s="60">
        <f>IF(C115="","",IF(J115&lt;&gt;"",J115,N(D115)*IFERROR(INDEX(ProdCOGS,MATCH(C115,ProdNames,0)),0)))</f>
        <v/>
      </c>
      <c r="L115" s="60">
        <f>IF(A115="","",N(D115)*N(E115)+N(F115))</f>
        <v/>
      </c>
      <c r="M115" s="61">
        <f>IF(A115="","",L115-N(H115)-N(I115)-N(K115))</f>
        <v/>
      </c>
      <c r="N115" s="62">
        <f>IF(OR(A115="",N(L115)=0),"",M115/L115)</f>
        <v/>
      </c>
      <c r="O115" s="63">
        <f>IF(A115="","",DATE(YEAR(A115),MONTH(A115),1))</f>
        <v/>
      </c>
      <c r="P115" s="64">
        <f>IF(OR(A115="",B115=""),"",IF(COUNTIF($B$5:B115,B115)=1,1,0))</f>
        <v/>
      </c>
    </row>
    <row r="116" ht="17" customHeight="1">
      <c r="A116" s="116" t="n"/>
      <c r="B116" s="57" t="n"/>
      <c r="C116" s="57" t="n"/>
      <c r="D116" s="58" t="n"/>
      <c r="E116" s="59" t="n"/>
      <c r="F116" s="59" t="n"/>
      <c r="G116" s="58" t="n"/>
      <c r="H116" s="59" t="n"/>
      <c r="I116" s="59" t="n"/>
      <c r="J116" s="59" t="n"/>
      <c r="K116" s="60">
        <f>IF(C116="","",IF(J116&lt;&gt;"",J116,N(D116)*IFERROR(INDEX(ProdCOGS,MATCH(C116,ProdNames,0)),0)))</f>
        <v/>
      </c>
      <c r="L116" s="60">
        <f>IF(A116="","",N(D116)*N(E116)+N(F116))</f>
        <v/>
      </c>
      <c r="M116" s="61">
        <f>IF(A116="","",L116-N(H116)-N(I116)-N(K116))</f>
        <v/>
      </c>
      <c r="N116" s="62">
        <f>IF(OR(A116="",N(L116)=0),"",M116/L116)</f>
        <v/>
      </c>
      <c r="O116" s="63">
        <f>IF(A116="","",DATE(YEAR(A116),MONTH(A116),1))</f>
        <v/>
      </c>
      <c r="P116" s="64">
        <f>IF(OR(A116="",B116=""),"",IF(COUNTIF($B$5:B116,B116)=1,1,0))</f>
        <v/>
      </c>
    </row>
    <row r="117" ht="17" customHeight="1">
      <c r="A117" s="116" t="n"/>
      <c r="B117" s="57" t="n"/>
      <c r="C117" s="57" t="n"/>
      <c r="D117" s="58" t="n"/>
      <c r="E117" s="59" t="n"/>
      <c r="F117" s="59" t="n"/>
      <c r="G117" s="58" t="n"/>
      <c r="H117" s="59" t="n"/>
      <c r="I117" s="59" t="n"/>
      <c r="J117" s="59" t="n"/>
      <c r="K117" s="60">
        <f>IF(C117="","",IF(J117&lt;&gt;"",J117,N(D117)*IFERROR(INDEX(ProdCOGS,MATCH(C117,ProdNames,0)),0)))</f>
        <v/>
      </c>
      <c r="L117" s="60">
        <f>IF(A117="","",N(D117)*N(E117)+N(F117))</f>
        <v/>
      </c>
      <c r="M117" s="61">
        <f>IF(A117="","",L117-N(H117)-N(I117)-N(K117))</f>
        <v/>
      </c>
      <c r="N117" s="62">
        <f>IF(OR(A117="",N(L117)=0),"",M117/L117)</f>
        <v/>
      </c>
      <c r="O117" s="63">
        <f>IF(A117="","",DATE(YEAR(A117),MONTH(A117),1))</f>
        <v/>
      </c>
      <c r="P117" s="64">
        <f>IF(OR(A117="",B117=""),"",IF(COUNTIF($B$5:B117,B117)=1,1,0))</f>
        <v/>
      </c>
    </row>
    <row r="118" ht="17" customHeight="1">
      <c r="A118" s="116" t="n"/>
      <c r="B118" s="57" t="n"/>
      <c r="C118" s="57" t="n"/>
      <c r="D118" s="58" t="n"/>
      <c r="E118" s="59" t="n"/>
      <c r="F118" s="59" t="n"/>
      <c r="G118" s="58" t="n"/>
      <c r="H118" s="59" t="n"/>
      <c r="I118" s="59" t="n"/>
      <c r="J118" s="59" t="n"/>
      <c r="K118" s="60">
        <f>IF(C118="","",IF(J118&lt;&gt;"",J118,N(D118)*IFERROR(INDEX(ProdCOGS,MATCH(C118,ProdNames,0)),0)))</f>
        <v/>
      </c>
      <c r="L118" s="60">
        <f>IF(A118="","",N(D118)*N(E118)+N(F118))</f>
        <v/>
      </c>
      <c r="M118" s="61">
        <f>IF(A118="","",L118-N(H118)-N(I118)-N(K118))</f>
        <v/>
      </c>
      <c r="N118" s="62">
        <f>IF(OR(A118="",N(L118)=0),"",M118/L118)</f>
        <v/>
      </c>
      <c r="O118" s="63">
        <f>IF(A118="","",DATE(YEAR(A118),MONTH(A118),1))</f>
        <v/>
      </c>
      <c r="P118" s="64">
        <f>IF(OR(A118="",B118=""),"",IF(COUNTIF($B$5:B118,B118)=1,1,0))</f>
        <v/>
      </c>
    </row>
    <row r="119" ht="17" customHeight="1">
      <c r="A119" s="116" t="n"/>
      <c r="B119" s="57" t="n"/>
      <c r="C119" s="57" t="n"/>
      <c r="D119" s="58" t="n"/>
      <c r="E119" s="59" t="n"/>
      <c r="F119" s="59" t="n"/>
      <c r="G119" s="58" t="n"/>
      <c r="H119" s="59" t="n"/>
      <c r="I119" s="59" t="n"/>
      <c r="J119" s="59" t="n"/>
      <c r="K119" s="60">
        <f>IF(C119="","",IF(J119&lt;&gt;"",J119,N(D119)*IFERROR(INDEX(ProdCOGS,MATCH(C119,ProdNames,0)),0)))</f>
        <v/>
      </c>
      <c r="L119" s="60">
        <f>IF(A119="","",N(D119)*N(E119)+N(F119))</f>
        <v/>
      </c>
      <c r="M119" s="61">
        <f>IF(A119="","",L119-N(H119)-N(I119)-N(K119))</f>
        <v/>
      </c>
      <c r="N119" s="62">
        <f>IF(OR(A119="",N(L119)=0),"",M119/L119)</f>
        <v/>
      </c>
      <c r="O119" s="63">
        <f>IF(A119="","",DATE(YEAR(A119),MONTH(A119),1))</f>
        <v/>
      </c>
      <c r="P119" s="64">
        <f>IF(OR(A119="",B119=""),"",IF(COUNTIF($B$5:B119,B119)=1,1,0))</f>
        <v/>
      </c>
    </row>
    <row r="120" ht="17" customHeight="1">
      <c r="A120" s="116" t="n"/>
      <c r="B120" s="57" t="n"/>
      <c r="C120" s="57" t="n"/>
      <c r="D120" s="58" t="n"/>
      <c r="E120" s="59" t="n"/>
      <c r="F120" s="59" t="n"/>
      <c r="G120" s="58" t="n"/>
      <c r="H120" s="59" t="n"/>
      <c r="I120" s="59" t="n"/>
      <c r="J120" s="59" t="n"/>
      <c r="K120" s="60">
        <f>IF(C120="","",IF(J120&lt;&gt;"",J120,N(D120)*IFERROR(INDEX(ProdCOGS,MATCH(C120,ProdNames,0)),0)))</f>
        <v/>
      </c>
      <c r="L120" s="60">
        <f>IF(A120="","",N(D120)*N(E120)+N(F120))</f>
        <v/>
      </c>
      <c r="M120" s="61">
        <f>IF(A120="","",L120-N(H120)-N(I120)-N(K120))</f>
        <v/>
      </c>
      <c r="N120" s="62">
        <f>IF(OR(A120="",N(L120)=0),"",M120/L120)</f>
        <v/>
      </c>
      <c r="O120" s="63">
        <f>IF(A120="","",DATE(YEAR(A120),MONTH(A120),1))</f>
        <v/>
      </c>
      <c r="P120" s="64">
        <f>IF(OR(A120="",B120=""),"",IF(COUNTIF($B$5:B120,B120)=1,1,0))</f>
        <v/>
      </c>
    </row>
    <row r="121" ht="17" customHeight="1">
      <c r="A121" s="116" t="n"/>
      <c r="B121" s="57" t="n"/>
      <c r="C121" s="57" t="n"/>
      <c r="D121" s="58" t="n"/>
      <c r="E121" s="59" t="n"/>
      <c r="F121" s="59" t="n"/>
      <c r="G121" s="58" t="n"/>
      <c r="H121" s="59" t="n"/>
      <c r="I121" s="59" t="n"/>
      <c r="J121" s="59" t="n"/>
      <c r="K121" s="60">
        <f>IF(C121="","",IF(J121&lt;&gt;"",J121,N(D121)*IFERROR(INDEX(ProdCOGS,MATCH(C121,ProdNames,0)),0)))</f>
        <v/>
      </c>
      <c r="L121" s="60">
        <f>IF(A121="","",N(D121)*N(E121)+N(F121))</f>
        <v/>
      </c>
      <c r="M121" s="61">
        <f>IF(A121="","",L121-N(H121)-N(I121)-N(K121))</f>
        <v/>
      </c>
      <c r="N121" s="62">
        <f>IF(OR(A121="",N(L121)=0),"",M121/L121)</f>
        <v/>
      </c>
      <c r="O121" s="63">
        <f>IF(A121="","",DATE(YEAR(A121),MONTH(A121),1))</f>
        <v/>
      </c>
      <c r="P121" s="64">
        <f>IF(OR(A121="",B121=""),"",IF(COUNTIF($B$5:B121,B121)=1,1,0))</f>
        <v/>
      </c>
    </row>
    <row r="122" ht="17" customHeight="1">
      <c r="A122" s="116" t="n"/>
      <c r="B122" s="57" t="n"/>
      <c r="C122" s="57" t="n"/>
      <c r="D122" s="58" t="n"/>
      <c r="E122" s="59" t="n"/>
      <c r="F122" s="59" t="n"/>
      <c r="G122" s="58" t="n"/>
      <c r="H122" s="59" t="n"/>
      <c r="I122" s="59" t="n"/>
      <c r="J122" s="59" t="n"/>
      <c r="K122" s="60">
        <f>IF(C122="","",IF(J122&lt;&gt;"",J122,N(D122)*IFERROR(INDEX(ProdCOGS,MATCH(C122,ProdNames,0)),0)))</f>
        <v/>
      </c>
      <c r="L122" s="60">
        <f>IF(A122="","",N(D122)*N(E122)+N(F122))</f>
        <v/>
      </c>
      <c r="M122" s="61">
        <f>IF(A122="","",L122-N(H122)-N(I122)-N(K122))</f>
        <v/>
      </c>
      <c r="N122" s="62">
        <f>IF(OR(A122="",N(L122)=0),"",M122/L122)</f>
        <v/>
      </c>
      <c r="O122" s="63">
        <f>IF(A122="","",DATE(YEAR(A122),MONTH(A122),1))</f>
        <v/>
      </c>
      <c r="P122" s="64">
        <f>IF(OR(A122="",B122=""),"",IF(COUNTIF($B$5:B122,B122)=1,1,0))</f>
        <v/>
      </c>
    </row>
    <row r="123" ht="17" customHeight="1">
      <c r="A123" s="116" t="n"/>
      <c r="B123" s="57" t="n"/>
      <c r="C123" s="57" t="n"/>
      <c r="D123" s="58" t="n"/>
      <c r="E123" s="59" t="n"/>
      <c r="F123" s="59" t="n"/>
      <c r="G123" s="58" t="n"/>
      <c r="H123" s="59" t="n"/>
      <c r="I123" s="59" t="n"/>
      <c r="J123" s="59" t="n"/>
      <c r="K123" s="60">
        <f>IF(C123="","",IF(J123&lt;&gt;"",J123,N(D123)*IFERROR(INDEX(ProdCOGS,MATCH(C123,ProdNames,0)),0)))</f>
        <v/>
      </c>
      <c r="L123" s="60">
        <f>IF(A123="","",N(D123)*N(E123)+N(F123))</f>
        <v/>
      </c>
      <c r="M123" s="61">
        <f>IF(A123="","",L123-N(H123)-N(I123)-N(K123))</f>
        <v/>
      </c>
      <c r="N123" s="62">
        <f>IF(OR(A123="",N(L123)=0),"",M123/L123)</f>
        <v/>
      </c>
      <c r="O123" s="63">
        <f>IF(A123="","",DATE(YEAR(A123),MONTH(A123),1))</f>
        <v/>
      </c>
      <c r="P123" s="64">
        <f>IF(OR(A123="",B123=""),"",IF(COUNTIF($B$5:B123,B123)=1,1,0))</f>
        <v/>
      </c>
    </row>
    <row r="124" ht="17" customHeight="1">
      <c r="A124" s="116" t="n"/>
      <c r="B124" s="57" t="n"/>
      <c r="C124" s="57" t="n"/>
      <c r="D124" s="58" t="n"/>
      <c r="E124" s="59" t="n"/>
      <c r="F124" s="59" t="n"/>
      <c r="G124" s="58" t="n"/>
      <c r="H124" s="59" t="n"/>
      <c r="I124" s="59" t="n"/>
      <c r="J124" s="59" t="n"/>
      <c r="K124" s="60">
        <f>IF(C124="","",IF(J124&lt;&gt;"",J124,N(D124)*IFERROR(INDEX(ProdCOGS,MATCH(C124,ProdNames,0)),0)))</f>
        <v/>
      </c>
      <c r="L124" s="60">
        <f>IF(A124="","",N(D124)*N(E124)+N(F124))</f>
        <v/>
      </c>
      <c r="M124" s="61">
        <f>IF(A124="","",L124-N(H124)-N(I124)-N(K124))</f>
        <v/>
      </c>
      <c r="N124" s="62">
        <f>IF(OR(A124="",N(L124)=0),"",M124/L124)</f>
        <v/>
      </c>
      <c r="O124" s="63">
        <f>IF(A124="","",DATE(YEAR(A124),MONTH(A124),1))</f>
        <v/>
      </c>
      <c r="P124" s="64">
        <f>IF(OR(A124="",B124=""),"",IF(COUNTIF($B$5:B124,B124)=1,1,0))</f>
        <v/>
      </c>
    </row>
    <row r="125" ht="17" customHeight="1">
      <c r="A125" s="116" t="n"/>
      <c r="B125" s="57" t="n"/>
      <c r="C125" s="57" t="n"/>
      <c r="D125" s="58" t="n"/>
      <c r="E125" s="59" t="n"/>
      <c r="F125" s="59" t="n"/>
      <c r="G125" s="58" t="n"/>
      <c r="H125" s="59" t="n"/>
      <c r="I125" s="59" t="n"/>
      <c r="J125" s="59" t="n"/>
      <c r="K125" s="60">
        <f>IF(C125="","",IF(J125&lt;&gt;"",J125,N(D125)*IFERROR(INDEX(ProdCOGS,MATCH(C125,ProdNames,0)),0)))</f>
        <v/>
      </c>
      <c r="L125" s="60">
        <f>IF(A125="","",N(D125)*N(E125)+N(F125))</f>
        <v/>
      </c>
      <c r="M125" s="61">
        <f>IF(A125="","",L125-N(H125)-N(I125)-N(K125))</f>
        <v/>
      </c>
      <c r="N125" s="62">
        <f>IF(OR(A125="",N(L125)=0),"",M125/L125)</f>
        <v/>
      </c>
      <c r="O125" s="63">
        <f>IF(A125="","",DATE(YEAR(A125),MONTH(A125),1))</f>
        <v/>
      </c>
      <c r="P125" s="64">
        <f>IF(OR(A125="",B125=""),"",IF(COUNTIF($B$5:B125,B125)=1,1,0))</f>
        <v/>
      </c>
    </row>
    <row r="126" ht="17" customHeight="1">
      <c r="A126" s="116" t="n"/>
      <c r="B126" s="57" t="n"/>
      <c r="C126" s="57" t="n"/>
      <c r="D126" s="58" t="n"/>
      <c r="E126" s="59" t="n"/>
      <c r="F126" s="59" t="n"/>
      <c r="G126" s="58" t="n"/>
      <c r="H126" s="59" t="n"/>
      <c r="I126" s="59" t="n"/>
      <c r="J126" s="59" t="n"/>
      <c r="K126" s="60">
        <f>IF(C126="","",IF(J126&lt;&gt;"",J126,N(D126)*IFERROR(INDEX(ProdCOGS,MATCH(C126,ProdNames,0)),0)))</f>
        <v/>
      </c>
      <c r="L126" s="60">
        <f>IF(A126="","",N(D126)*N(E126)+N(F126))</f>
        <v/>
      </c>
      <c r="M126" s="61">
        <f>IF(A126="","",L126-N(H126)-N(I126)-N(K126))</f>
        <v/>
      </c>
      <c r="N126" s="62">
        <f>IF(OR(A126="",N(L126)=0),"",M126/L126)</f>
        <v/>
      </c>
      <c r="O126" s="63">
        <f>IF(A126="","",DATE(YEAR(A126),MONTH(A126),1))</f>
        <v/>
      </c>
      <c r="P126" s="64">
        <f>IF(OR(A126="",B126=""),"",IF(COUNTIF($B$5:B126,B126)=1,1,0))</f>
        <v/>
      </c>
    </row>
    <row r="127" ht="17" customHeight="1">
      <c r="A127" s="116" t="n"/>
      <c r="B127" s="57" t="n"/>
      <c r="C127" s="57" t="n"/>
      <c r="D127" s="58" t="n"/>
      <c r="E127" s="59" t="n"/>
      <c r="F127" s="59" t="n"/>
      <c r="G127" s="58" t="n"/>
      <c r="H127" s="59" t="n"/>
      <c r="I127" s="59" t="n"/>
      <c r="J127" s="59" t="n"/>
      <c r="K127" s="60">
        <f>IF(C127="","",IF(J127&lt;&gt;"",J127,N(D127)*IFERROR(INDEX(ProdCOGS,MATCH(C127,ProdNames,0)),0)))</f>
        <v/>
      </c>
      <c r="L127" s="60">
        <f>IF(A127="","",N(D127)*N(E127)+N(F127))</f>
        <v/>
      </c>
      <c r="M127" s="61">
        <f>IF(A127="","",L127-N(H127)-N(I127)-N(K127))</f>
        <v/>
      </c>
      <c r="N127" s="62">
        <f>IF(OR(A127="",N(L127)=0),"",M127/L127)</f>
        <v/>
      </c>
      <c r="O127" s="63">
        <f>IF(A127="","",DATE(YEAR(A127),MONTH(A127),1))</f>
        <v/>
      </c>
      <c r="P127" s="64">
        <f>IF(OR(A127="",B127=""),"",IF(COUNTIF($B$5:B127,B127)=1,1,0))</f>
        <v/>
      </c>
    </row>
    <row r="128" ht="17" customHeight="1">
      <c r="A128" s="116" t="n"/>
      <c r="B128" s="57" t="n"/>
      <c r="C128" s="57" t="n"/>
      <c r="D128" s="58" t="n"/>
      <c r="E128" s="59" t="n"/>
      <c r="F128" s="59" t="n"/>
      <c r="G128" s="58" t="n"/>
      <c r="H128" s="59" t="n"/>
      <c r="I128" s="59" t="n"/>
      <c r="J128" s="59" t="n"/>
      <c r="K128" s="60">
        <f>IF(C128="","",IF(J128&lt;&gt;"",J128,N(D128)*IFERROR(INDEX(ProdCOGS,MATCH(C128,ProdNames,0)),0)))</f>
        <v/>
      </c>
      <c r="L128" s="60">
        <f>IF(A128="","",N(D128)*N(E128)+N(F128))</f>
        <v/>
      </c>
      <c r="M128" s="61">
        <f>IF(A128="","",L128-N(H128)-N(I128)-N(K128))</f>
        <v/>
      </c>
      <c r="N128" s="62">
        <f>IF(OR(A128="",N(L128)=0),"",M128/L128)</f>
        <v/>
      </c>
      <c r="O128" s="63">
        <f>IF(A128="","",DATE(YEAR(A128),MONTH(A128),1))</f>
        <v/>
      </c>
      <c r="P128" s="64">
        <f>IF(OR(A128="",B128=""),"",IF(COUNTIF($B$5:B128,B128)=1,1,0))</f>
        <v/>
      </c>
    </row>
    <row r="129" ht="17" customHeight="1">
      <c r="A129" s="116" t="n"/>
      <c r="B129" s="57" t="n"/>
      <c r="C129" s="57" t="n"/>
      <c r="D129" s="58" t="n"/>
      <c r="E129" s="59" t="n"/>
      <c r="F129" s="59" t="n"/>
      <c r="G129" s="58" t="n"/>
      <c r="H129" s="59" t="n"/>
      <c r="I129" s="59" t="n"/>
      <c r="J129" s="59" t="n"/>
      <c r="K129" s="60">
        <f>IF(C129="","",IF(J129&lt;&gt;"",J129,N(D129)*IFERROR(INDEX(ProdCOGS,MATCH(C129,ProdNames,0)),0)))</f>
        <v/>
      </c>
      <c r="L129" s="60">
        <f>IF(A129="","",N(D129)*N(E129)+N(F129))</f>
        <v/>
      </c>
      <c r="M129" s="61">
        <f>IF(A129="","",L129-N(H129)-N(I129)-N(K129))</f>
        <v/>
      </c>
      <c r="N129" s="62">
        <f>IF(OR(A129="",N(L129)=0),"",M129/L129)</f>
        <v/>
      </c>
      <c r="O129" s="63">
        <f>IF(A129="","",DATE(YEAR(A129),MONTH(A129),1))</f>
        <v/>
      </c>
      <c r="P129" s="64">
        <f>IF(OR(A129="",B129=""),"",IF(COUNTIF($B$5:B129,B129)=1,1,0))</f>
        <v/>
      </c>
    </row>
    <row r="130" ht="17" customHeight="1">
      <c r="A130" s="116" t="n"/>
      <c r="B130" s="57" t="n"/>
      <c r="C130" s="57" t="n"/>
      <c r="D130" s="58" t="n"/>
      <c r="E130" s="59" t="n"/>
      <c r="F130" s="59" t="n"/>
      <c r="G130" s="58" t="n"/>
      <c r="H130" s="59" t="n"/>
      <c r="I130" s="59" t="n"/>
      <c r="J130" s="59" t="n"/>
      <c r="K130" s="60">
        <f>IF(C130="","",IF(J130&lt;&gt;"",J130,N(D130)*IFERROR(INDEX(ProdCOGS,MATCH(C130,ProdNames,0)),0)))</f>
        <v/>
      </c>
      <c r="L130" s="60">
        <f>IF(A130="","",N(D130)*N(E130)+N(F130))</f>
        <v/>
      </c>
      <c r="M130" s="61">
        <f>IF(A130="","",L130-N(H130)-N(I130)-N(K130))</f>
        <v/>
      </c>
      <c r="N130" s="62">
        <f>IF(OR(A130="",N(L130)=0),"",M130/L130)</f>
        <v/>
      </c>
      <c r="O130" s="63">
        <f>IF(A130="","",DATE(YEAR(A130),MONTH(A130),1))</f>
        <v/>
      </c>
      <c r="P130" s="64">
        <f>IF(OR(A130="",B130=""),"",IF(COUNTIF($B$5:B130,B130)=1,1,0))</f>
        <v/>
      </c>
    </row>
    <row r="131" ht="17" customHeight="1">
      <c r="A131" s="116" t="n"/>
      <c r="B131" s="57" t="n"/>
      <c r="C131" s="57" t="n"/>
      <c r="D131" s="58" t="n"/>
      <c r="E131" s="59" t="n"/>
      <c r="F131" s="59" t="n"/>
      <c r="G131" s="58" t="n"/>
      <c r="H131" s="59" t="n"/>
      <c r="I131" s="59" t="n"/>
      <c r="J131" s="59" t="n"/>
      <c r="K131" s="60">
        <f>IF(C131="","",IF(J131&lt;&gt;"",J131,N(D131)*IFERROR(INDEX(ProdCOGS,MATCH(C131,ProdNames,0)),0)))</f>
        <v/>
      </c>
      <c r="L131" s="60">
        <f>IF(A131="","",N(D131)*N(E131)+N(F131))</f>
        <v/>
      </c>
      <c r="M131" s="61">
        <f>IF(A131="","",L131-N(H131)-N(I131)-N(K131))</f>
        <v/>
      </c>
      <c r="N131" s="62">
        <f>IF(OR(A131="",N(L131)=0),"",M131/L131)</f>
        <v/>
      </c>
      <c r="O131" s="63">
        <f>IF(A131="","",DATE(YEAR(A131),MONTH(A131),1))</f>
        <v/>
      </c>
      <c r="P131" s="64">
        <f>IF(OR(A131="",B131=""),"",IF(COUNTIF($B$5:B131,B131)=1,1,0))</f>
        <v/>
      </c>
    </row>
    <row r="132" ht="17" customHeight="1">
      <c r="A132" s="116" t="n"/>
      <c r="B132" s="57" t="n"/>
      <c r="C132" s="57" t="n"/>
      <c r="D132" s="58" t="n"/>
      <c r="E132" s="59" t="n"/>
      <c r="F132" s="59" t="n"/>
      <c r="G132" s="58" t="n"/>
      <c r="H132" s="59" t="n"/>
      <c r="I132" s="59" t="n"/>
      <c r="J132" s="59" t="n"/>
      <c r="K132" s="60">
        <f>IF(C132="","",IF(J132&lt;&gt;"",J132,N(D132)*IFERROR(INDEX(ProdCOGS,MATCH(C132,ProdNames,0)),0)))</f>
        <v/>
      </c>
      <c r="L132" s="60">
        <f>IF(A132="","",N(D132)*N(E132)+N(F132))</f>
        <v/>
      </c>
      <c r="M132" s="61">
        <f>IF(A132="","",L132-N(H132)-N(I132)-N(K132))</f>
        <v/>
      </c>
      <c r="N132" s="62">
        <f>IF(OR(A132="",N(L132)=0),"",M132/L132)</f>
        <v/>
      </c>
      <c r="O132" s="63">
        <f>IF(A132="","",DATE(YEAR(A132),MONTH(A132),1))</f>
        <v/>
      </c>
      <c r="P132" s="64">
        <f>IF(OR(A132="",B132=""),"",IF(COUNTIF($B$5:B132,B132)=1,1,0))</f>
        <v/>
      </c>
    </row>
    <row r="133" ht="17" customHeight="1">
      <c r="A133" s="116" t="n"/>
      <c r="B133" s="57" t="n"/>
      <c r="C133" s="57" t="n"/>
      <c r="D133" s="58" t="n"/>
      <c r="E133" s="59" t="n"/>
      <c r="F133" s="59" t="n"/>
      <c r="G133" s="58" t="n"/>
      <c r="H133" s="59" t="n"/>
      <c r="I133" s="59" t="n"/>
      <c r="J133" s="59" t="n"/>
      <c r="K133" s="60">
        <f>IF(C133="","",IF(J133&lt;&gt;"",J133,N(D133)*IFERROR(INDEX(ProdCOGS,MATCH(C133,ProdNames,0)),0)))</f>
        <v/>
      </c>
      <c r="L133" s="60">
        <f>IF(A133="","",N(D133)*N(E133)+N(F133))</f>
        <v/>
      </c>
      <c r="M133" s="61">
        <f>IF(A133="","",L133-N(H133)-N(I133)-N(K133))</f>
        <v/>
      </c>
      <c r="N133" s="62">
        <f>IF(OR(A133="",N(L133)=0),"",M133/L133)</f>
        <v/>
      </c>
      <c r="O133" s="63">
        <f>IF(A133="","",DATE(YEAR(A133),MONTH(A133),1))</f>
        <v/>
      </c>
      <c r="P133" s="64">
        <f>IF(OR(A133="",B133=""),"",IF(COUNTIF($B$5:B133,B133)=1,1,0))</f>
        <v/>
      </c>
    </row>
    <row r="134" ht="17" customHeight="1">
      <c r="A134" s="116" t="n"/>
      <c r="B134" s="57" t="n"/>
      <c r="C134" s="57" t="n"/>
      <c r="D134" s="58" t="n"/>
      <c r="E134" s="59" t="n"/>
      <c r="F134" s="59" t="n"/>
      <c r="G134" s="58" t="n"/>
      <c r="H134" s="59" t="n"/>
      <c r="I134" s="59" t="n"/>
      <c r="J134" s="59" t="n"/>
      <c r="K134" s="60">
        <f>IF(C134="","",IF(J134&lt;&gt;"",J134,N(D134)*IFERROR(INDEX(ProdCOGS,MATCH(C134,ProdNames,0)),0)))</f>
        <v/>
      </c>
      <c r="L134" s="60">
        <f>IF(A134="","",N(D134)*N(E134)+N(F134))</f>
        <v/>
      </c>
      <c r="M134" s="61">
        <f>IF(A134="","",L134-N(H134)-N(I134)-N(K134))</f>
        <v/>
      </c>
      <c r="N134" s="62">
        <f>IF(OR(A134="",N(L134)=0),"",M134/L134)</f>
        <v/>
      </c>
      <c r="O134" s="63">
        <f>IF(A134="","",DATE(YEAR(A134),MONTH(A134),1))</f>
        <v/>
      </c>
      <c r="P134" s="64">
        <f>IF(OR(A134="",B134=""),"",IF(COUNTIF($B$5:B134,B134)=1,1,0))</f>
        <v/>
      </c>
    </row>
    <row r="135" ht="17" customHeight="1">
      <c r="A135" s="116" t="n"/>
      <c r="B135" s="57" t="n"/>
      <c r="C135" s="57" t="n"/>
      <c r="D135" s="58" t="n"/>
      <c r="E135" s="59" t="n"/>
      <c r="F135" s="59" t="n"/>
      <c r="G135" s="58" t="n"/>
      <c r="H135" s="59" t="n"/>
      <c r="I135" s="59" t="n"/>
      <c r="J135" s="59" t="n"/>
      <c r="K135" s="60">
        <f>IF(C135="","",IF(J135&lt;&gt;"",J135,N(D135)*IFERROR(INDEX(ProdCOGS,MATCH(C135,ProdNames,0)),0)))</f>
        <v/>
      </c>
      <c r="L135" s="60">
        <f>IF(A135="","",N(D135)*N(E135)+N(F135))</f>
        <v/>
      </c>
      <c r="M135" s="61">
        <f>IF(A135="","",L135-N(H135)-N(I135)-N(K135))</f>
        <v/>
      </c>
      <c r="N135" s="62">
        <f>IF(OR(A135="",N(L135)=0),"",M135/L135)</f>
        <v/>
      </c>
      <c r="O135" s="63">
        <f>IF(A135="","",DATE(YEAR(A135),MONTH(A135),1))</f>
        <v/>
      </c>
      <c r="P135" s="64">
        <f>IF(OR(A135="",B135=""),"",IF(COUNTIF($B$5:B135,B135)=1,1,0))</f>
        <v/>
      </c>
    </row>
    <row r="136" ht="17" customHeight="1">
      <c r="A136" s="116" t="n"/>
      <c r="B136" s="57" t="n"/>
      <c r="C136" s="57" t="n"/>
      <c r="D136" s="58" t="n"/>
      <c r="E136" s="59" t="n"/>
      <c r="F136" s="59" t="n"/>
      <c r="G136" s="58" t="n"/>
      <c r="H136" s="59" t="n"/>
      <c r="I136" s="59" t="n"/>
      <c r="J136" s="59" t="n"/>
      <c r="K136" s="60">
        <f>IF(C136="","",IF(J136&lt;&gt;"",J136,N(D136)*IFERROR(INDEX(ProdCOGS,MATCH(C136,ProdNames,0)),0)))</f>
        <v/>
      </c>
      <c r="L136" s="60">
        <f>IF(A136="","",N(D136)*N(E136)+N(F136))</f>
        <v/>
      </c>
      <c r="M136" s="61">
        <f>IF(A136="","",L136-N(H136)-N(I136)-N(K136))</f>
        <v/>
      </c>
      <c r="N136" s="62">
        <f>IF(OR(A136="",N(L136)=0),"",M136/L136)</f>
        <v/>
      </c>
      <c r="O136" s="63">
        <f>IF(A136="","",DATE(YEAR(A136),MONTH(A136),1))</f>
        <v/>
      </c>
      <c r="P136" s="64">
        <f>IF(OR(A136="",B136=""),"",IF(COUNTIF($B$5:B136,B136)=1,1,0))</f>
        <v/>
      </c>
    </row>
    <row r="137" ht="17" customHeight="1">
      <c r="A137" s="116" t="n"/>
      <c r="B137" s="57" t="n"/>
      <c r="C137" s="57" t="n"/>
      <c r="D137" s="58" t="n"/>
      <c r="E137" s="59" t="n"/>
      <c r="F137" s="59" t="n"/>
      <c r="G137" s="58" t="n"/>
      <c r="H137" s="59" t="n"/>
      <c r="I137" s="59" t="n"/>
      <c r="J137" s="59" t="n"/>
      <c r="K137" s="60">
        <f>IF(C137="","",IF(J137&lt;&gt;"",J137,N(D137)*IFERROR(INDEX(ProdCOGS,MATCH(C137,ProdNames,0)),0)))</f>
        <v/>
      </c>
      <c r="L137" s="60">
        <f>IF(A137="","",N(D137)*N(E137)+N(F137))</f>
        <v/>
      </c>
      <c r="M137" s="61">
        <f>IF(A137="","",L137-N(H137)-N(I137)-N(K137))</f>
        <v/>
      </c>
      <c r="N137" s="62">
        <f>IF(OR(A137="",N(L137)=0),"",M137/L137)</f>
        <v/>
      </c>
      <c r="O137" s="63">
        <f>IF(A137="","",DATE(YEAR(A137),MONTH(A137),1))</f>
        <v/>
      </c>
      <c r="P137" s="64">
        <f>IF(OR(A137="",B137=""),"",IF(COUNTIF($B$5:B137,B137)=1,1,0))</f>
        <v/>
      </c>
    </row>
    <row r="138" ht="17" customHeight="1">
      <c r="A138" s="116" t="n"/>
      <c r="B138" s="57" t="n"/>
      <c r="C138" s="57" t="n"/>
      <c r="D138" s="58" t="n"/>
      <c r="E138" s="59" t="n"/>
      <c r="F138" s="59" t="n"/>
      <c r="G138" s="58" t="n"/>
      <c r="H138" s="59" t="n"/>
      <c r="I138" s="59" t="n"/>
      <c r="J138" s="59" t="n"/>
      <c r="K138" s="60">
        <f>IF(C138="","",IF(J138&lt;&gt;"",J138,N(D138)*IFERROR(INDEX(ProdCOGS,MATCH(C138,ProdNames,0)),0)))</f>
        <v/>
      </c>
      <c r="L138" s="60">
        <f>IF(A138="","",N(D138)*N(E138)+N(F138))</f>
        <v/>
      </c>
      <c r="M138" s="61">
        <f>IF(A138="","",L138-N(H138)-N(I138)-N(K138))</f>
        <v/>
      </c>
      <c r="N138" s="62">
        <f>IF(OR(A138="",N(L138)=0),"",M138/L138)</f>
        <v/>
      </c>
      <c r="O138" s="63">
        <f>IF(A138="","",DATE(YEAR(A138),MONTH(A138),1))</f>
        <v/>
      </c>
      <c r="P138" s="64">
        <f>IF(OR(A138="",B138=""),"",IF(COUNTIF($B$5:B138,B138)=1,1,0))</f>
        <v/>
      </c>
    </row>
    <row r="139" ht="17" customHeight="1">
      <c r="A139" s="116" t="n"/>
      <c r="B139" s="57" t="n"/>
      <c r="C139" s="57" t="n"/>
      <c r="D139" s="58" t="n"/>
      <c r="E139" s="59" t="n"/>
      <c r="F139" s="59" t="n"/>
      <c r="G139" s="58" t="n"/>
      <c r="H139" s="59" t="n"/>
      <c r="I139" s="59" t="n"/>
      <c r="J139" s="59" t="n"/>
      <c r="K139" s="60">
        <f>IF(C139="","",IF(J139&lt;&gt;"",J139,N(D139)*IFERROR(INDEX(ProdCOGS,MATCH(C139,ProdNames,0)),0)))</f>
        <v/>
      </c>
      <c r="L139" s="60">
        <f>IF(A139="","",N(D139)*N(E139)+N(F139))</f>
        <v/>
      </c>
      <c r="M139" s="61">
        <f>IF(A139="","",L139-N(H139)-N(I139)-N(K139))</f>
        <v/>
      </c>
      <c r="N139" s="62">
        <f>IF(OR(A139="",N(L139)=0),"",M139/L139)</f>
        <v/>
      </c>
      <c r="O139" s="63">
        <f>IF(A139="","",DATE(YEAR(A139),MONTH(A139),1))</f>
        <v/>
      </c>
      <c r="P139" s="64">
        <f>IF(OR(A139="",B139=""),"",IF(COUNTIF($B$5:B139,B139)=1,1,0))</f>
        <v/>
      </c>
    </row>
    <row r="140" ht="17" customHeight="1">
      <c r="A140" s="116" t="n"/>
      <c r="B140" s="57" t="n"/>
      <c r="C140" s="57" t="n"/>
      <c r="D140" s="58" t="n"/>
      <c r="E140" s="59" t="n"/>
      <c r="F140" s="59" t="n"/>
      <c r="G140" s="58" t="n"/>
      <c r="H140" s="59" t="n"/>
      <c r="I140" s="59" t="n"/>
      <c r="J140" s="59" t="n"/>
      <c r="K140" s="60">
        <f>IF(C140="","",IF(J140&lt;&gt;"",J140,N(D140)*IFERROR(INDEX(ProdCOGS,MATCH(C140,ProdNames,0)),0)))</f>
        <v/>
      </c>
      <c r="L140" s="60">
        <f>IF(A140="","",N(D140)*N(E140)+N(F140))</f>
        <v/>
      </c>
      <c r="M140" s="61">
        <f>IF(A140="","",L140-N(H140)-N(I140)-N(K140))</f>
        <v/>
      </c>
      <c r="N140" s="62">
        <f>IF(OR(A140="",N(L140)=0),"",M140/L140)</f>
        <v/>
      </c>
      <c r="O140" s="63">
        <f>IF(A140="","",DATE(YEAR(A140),MONTH(A140),1))</f>
        <v/>
      </c>
      <c r="P140" s="64">
        <f>IF(OR(A140="",B140=""),"",IF(COUNTIF($B$5:B140,B140)=1,1,0))</f>
        <v/>
      </c>
    </row>
    <row r="141" ht="17" customHeight="1">
      <c r="A141" s="116" t="n"/>
      <c r="B141" s="57" t="n"/>
      <c r="C141" s="57" t="n"/>
      <c r="D141" s="58" t="n"/>
      <c r="E141" s="59" t="n"/>
      <c r="F141" s="59" t="n"/>
      <c r="G141" s="58" t="n"/>
      <c r="H141" s="59" t="n"/>
      <c r="I141" s="59" t="n"/>
      <c r="J141" s="59" t="n"/>
      <c r="K141" s="60">
        <f>IF(C141="","",IF(J141&lt;&gt;"",J141,N(D141)*IFERROR(INDEX(ProdCOGS,MATCH(C141,ProdNames,0)),0)))</f>
        <v/>
      </c>
      <c r="L141" s="60">
        <f>IF(A141="","",N(D141)*N(E141)+N(F141))</f>
        <v/>
      </c>
      <c r="M141" s="61">
        <f>IF(A141="","",L141-N(H141)-N(I141)-N(K141))</f>
        <v/>
      </c>
      <c r="N141" s="62">
        <f>IF(OR(A141="",N(L141)=0),"",M141/L141)</f>
        <v/>
      </c>
      <c r="O141" s="63">
        <f>IF(A141="","",DATE(YEAR(A141),MONTH(A141),1))</f>
        <v/>
      </c>
      <c r="P141" s="64">
        <f>IF(OR(A141="",B141=""),"",IF(COUNTIF($B$5:B141,B141)=1,1,0))</f>
        <v/>
      </c>
    </row>
    <row r="142" ht="17" customHeight="1">
      <c r="A142" s="116" t="n"/>
      <c r="B142" s="57" t="n"/>
      <c r="C142" s="57" t="n"/>
      <c r="D142" s="58" t="n"/>
      <c r="E142" s="59" t="n"/>
      <c r="F142" s="59" t="n"/>
      <c r="G142" s="58" t="n"/>
      <c r="H142" s="59" t="n"/>
      <c r="I142" s="59" t="n"/>
      <c r="J142" s="59" t="n"/>
      <c r="K142" s="60">
        <f>IF(C142="","",IF(J142&lt;&gt;"",J142,N(D142)*IFERROR(INDEX(ProdCOGS,MATCH(C142,ProdNames,0)),0)))</f>
        <v/>
      </c>
      <c r="L142" s="60">
        <f>IF(A142="","",N(D142)*N(E142)+N(F142))</f>
        <v/>
      </c>
      <c r="M142" s="61">
        <f>IF(A142="","",L142-N(H142)-N(I142)-N(K142))</f>
        <v/>
      </c>
      <c r="N142" s="62">
        <f>IF(OR(A142="",N(L142)=0),"",M142/L142)</f>
        <v/>
      </c>
      <c r="O142" s="63">
        <f>IF(A142="","",DATE(YEAR(A142),MONTH(A142),1))</f>
        <v/>
      </c>
      <c r="P142" s="64">
        <f>IF(OR(A142="",B142=""),"",IF(COUNTIF($B$5:B142,B142)=1,1,0))</f>
        <v/>
      </c>
    </row>
    <row r="143" ht="17" customHeight="1">
      <c r="A143" s="116" t="n"/>
      <c r="B143" s="57" t="n"/>
      <c r="C143" s="57" t="n"/>
      <c r="D143" s="58" t="n"/>
      <c r="E143" s="59" t="n"/>
      <c r="F143" s="59" t="n"/>
      <c r="G143" s="58" t="n"/>
      <c r="H143" s="59" t="n"/>
      <c r="I143" s="59" t="n"/>
      <c r="J143" s="59" t="n"/>
      <c r="K143" s="60">
        <f>IF(C143="","",IF(J143&lt;&gt;"",J143,N(D143)*IFERROR(INDEX(ProdCOGS,MATCH(C143,ProdNames,0)),0)))</f>
        <v/>
      </c>
      <c r="L143" s="60">
        <f>IF(A143="","",N(D143)*N(E143)+N(F143))</f>
        <v/>
      </c>
      <c r="M143" s="61">
        <f>IF(A143="","",L143-N(H143)-N(I143)-N(K143))</f>
        <v/>
      </c>
      <c r="N143" s="62">
        <f>IF(OR(A143="",N(L143)=0),"",M143/L143)</f>
        <v/>
      </c>
      <c r="O143" s="63">
        <f>IF(A143="","",DATE(YEAR(A143),MONTH(A143),1))</f>
        <v/>
      </c>
      <c r="P143" s="64">
        <f>IF(OR(A143="",B143=""),"",IF(COUNTIF($B$5:B143,B143)=1,1,0))</f>
        <v/>
      </c>
    </row>
    <row r="144" ht="17" customHeight="1">
      <c r="A144" s="116" t="n"/>
      <c r="B144" s="57" t="n"/>
      <c r="C144" s="57" t="n"/>
      <c r="D144" s="58" t="n"/>
      <c r="E144" s="59" t="n"/>
      <c r="F144" s="59" t="n"/>
      <c r="G144" s="58" t="n"/>
      <c r="H144" s="59" t="n"/>
      <c r="I144" s="59" t="n"/>
      <c r="J144" s="59" t="n"/>
      <c r="K144" s="60">
        <f>IF(C144="","",IF(J144&lt;&gt;"",J144,N(D144)*IFERROR(INDEX(ProdCOGS,MATCH(C144,ProdNames,0)),0)))</f>
        <v/>
      </c>
      <c r="L144" s="60">
        <f>IF(A144="","",N(D144)*N(E144)+N(F144))</f>
        <v/>
      </c>
      <c r="M144" s="61">
        <f>IF(A144="","",L144-N(H144)-N(I144)-N(K144))</f>
        <v/>
      </c>
      <c r="N144" s="62">
        <f>IF(OR(A144="",N(L144)=0),"",M144/L144)</f>
        <v/>
      </c>
      <c r="O144" s="63">
        <f>IF(A144="","",DATE(YEAR(A144),MONTH(A144),1))</f>
        <v/>
      </c>
      <c r="P144" s="64">
        <f>IF(OR(A144="",B144=""),"",IF(COUNTIF($B$5:B144,B144)=1,1,0))</f>
        <v/>
      </c>
    </row>
    <row r="145" ht="17" customHeight="1">
      <c r="A145" s="116" t="n"/>
      <c r="B145" s="57" t="n"/>
      <c r="C145" s="57" t="n"/>
      <c r="D145" s="58" t="n"/>
      <c r="E145" s="59" t="n"/>
      <c r="F145" s="59" t="n"/>
      <c r="G145" s="58" t="n"/>
      <c r="H145" s="59" t="n"/>
      <c r="I145" s="59" t="n"/>
      <c r="J145" s="59" t="n"/>
      <c r="K145" s="60">
        <f>IF(C145="","",IF(J145&lt;&gt;"",J145,N(D145)*IFERROR(INDEX(ProdCOGS,MATCH(C145,ProdNames,0)),0)))</f>
        <v/>
      </c>
      <c r="L145" s="60">
        <f>IF(A145="","",N(D145)*N(E145)+N(F145))</f>
        <v/>
      </c>
      <c r="M145" s="61">
        <f>IF(A145="","",L145-N(H145)-N(I145)-N(K145))</f>
        <v/>
      </c>
      <c r="N145" s="62">
        <f>IF(OR(A145="",N(L145)=0),"",M145/L145)</f>
        <v/>
      </c>
      <c r="O145" s="63">
        <f>IF(A145="","",DATE(YEAR(A145),MONTH(A145),1))</f>
        <v/>
      </c>
      <c r="P145" s="64">
        <f>IF(OR(A145="",B145=""),"",IF(COUNTIF($B$5:B145,B145)=1,1,0))</f>
        <v/>
      </c>
    </row>
    <row r="146" ht="17" customHeight="1">
      <c r="A146" s="116" t="n"/>
      <c r="B146" s="57" t="n"/>
      <c r="C146" s="57" t="n"/>
      <c r="D146" s="58" t="n"/>
      <c r="E146" s="59" t="n"/>
      <c r="F146" s="59" t="n"/>
      <c r="G146" s="58" t="n"/>
      <c r="H146" s="59" t="n"/>
      <c r="I146" s="59" t="n"/>
      <c r="J146" s="59" t="n"/>
      <c r="K146" s="60">
        <f>IF(C146="","",IF(J146&lt;&gt;"",J146,N(D146)*IFERROR(INDEX(ProdCOGS,MATCH(C146,ProdNames,0)),0)))</f>
        <v/>
      </c>
      <c r="L146" s="60">
        <f>IF(A146="","",N(D146)*N(E146)+N(F146))</f>
        <v/>
      </c>
      <c r="M146" s="61">
        <f>IF(A146="","",L146-N(H146)-N(I146)-N(K146))</f>
        <v/>
      </c>
      <c r="N146" s="62">
        <f>IF(OR(A146="",N(L146)=0),"",M146/L146)</f>
        <v/>
      </c>
      <c r="O146" s="63">
        <f>IF(A146="","",DATE(YEAR(A146),MONTH(A146),1))</f>
        <v/>
      </c>
      <c r="P146" s="64">
        <f>IF(OR(A146="",B146=""),"",IF(COUNTIF($B$5:B146,B146)=1,1,0))</f>
        <v/>
      </c>
    </row>
    <row r="147" ht="17" customHeight="1">
      <c r="A147" s="116" t="n"/>
      <c r="B147" s="57" t="n"/>
      <c r="C147" s="57" t="n"/>
      <c r="D147" s="58" t="n"/>
      <c r="E147" s="59" t="n"/>
      <c r="F147" s="59" t="n"/>
      <c r="G147" s="58" t="n"/>
      <c r="H147" s="59" t="n"/>
      <c r="I147" s="59" t="n"/>
      <c r="J147" s="59" t="n"/>
      <c r="K147" s="60">
        <f>IF(C147="","",IF(J147&lt;&gt;"",J147,N(D147)*IFERROR(INDEX(ProdCOGS,MATCH(C147,ProdNames,0)),0)))</f>
        <v/>
      </c>
      <c r="L147" s="60">
        <f>IF(A147="","",N(D147)*N(E147)+N(F147))</f>
        <v/>
      </c>
      <c r="M147" s="61">
        <f>IF(A147="","",L147-N(H147)-N(I147)-N(K147))</f>
        <v/>
      </c>
      <c r="N147" s="62">
        <f>IF(OR(A147="",N(L147)=0),"",M147/L147)</f>
        <v/>
      </c>
      <c r="O147" s="63">
        <f>IF(A147="","",DATE(YEAR(A147),MONTH(A147),1))</f>
        <v/>
      </c>
      <c r="P147" s="64">
        <f>IF(OR(A147="",B147=""),"",IF(COUNTIF($B$5:B147,B147)=1,1,0))</f>
        <v/>
      </c>
    </row>
    <row r="148" ht="17" customHeight="1">
      <c r="A148" s="116" t="n"/>
      <c r="B148" s="57" t="n"/>
      <c r="C148" s="57" t="n"/>
      <c r="D148" s="58" t="n"/>
      <c r="E148" s="59" t="n"/>
      <c r="F148" s="59" t="n"/>
      <c r="G148" s="58" t="n"/>
      <c r="H148" s="59" t="n"/>
      <c r="I148" s="59" t="n"/>
      <c r="J148" s="59" t="n"/>
      <c r="K148" s="60">
        <f>IF(C148="","",IF(J148&lt;&gt;"",J148,N(D148)*IFERROR(INDEX(ProdCOGS,MATCH(C148,ProdNames,0)),0)))</f>
        <v/>
      </c>
      <c r="L148" s="60">
        <f>IF(A148="","",N(D148)*N(E148)+N(F148))</f>
        <v/>
      </c>
      <c r="M148" s="61">
        <f>IF(A148="","",L148-N(H148)-N(I148)-N(K148))</f>
        <v/>
      </c>
      <c r="N148" s="62">
        <f>IF(OR(A148="",N(L148)=0),"",M148/L148)</f>
        <v/>
      </c>
      <c r="O148" s="63">
        <f>IF(A148="","",DATE(YEAR(A148),MONTH(A148),1))</f>
        <v/>
      </c>
      <c r="P148" s="64">
        <f>IF(OR(A148="",B148=""),"",IF(COUNTIF($B$5:B148,B148)=1,1,0))</f>
        <v/>
      </c>
    </row>
    <row r="149" ht="17" customHeight="1">
      <c r="A149" s="116" t="n"/>
      <c r="B149" s="57" t="n"/>
      <c r="C149" s="57" t="n"/>
      <c r="D149" s="58" t="n"/>
      <c r="E149" s="59" t="n"/>
      <c r="F149" s="59" t="n"/>
      <c r="G149" s="58" t="n"/>
      <c r="H149" s="59" t="n"/>
      <c r="I149" s="59" t="n"/>
      <c r="J149" s="59" t="n"/>
      <c r="K149" s="60">
        <f>IF(C149="","",IF(J149&lt;&gt;"",J149,N(D149)*IFERROR(INDEX(ProdCOGS,MATCH(C149,ProdNames,0)),0)))</f>
        <v/>
      </c>
      <c r="L149" s="60">
        <f>IF(A149="","",N(D149)*N(E149)+N(F149))</f>
        <v/>
      </c>
      <c r="M149" s="61">
        <f>IF(A149="","",L149-N(H149)-N(I149)-N(K149))</f>
        <v/>
      </c>
      <c r="N149" s="62">
        <f>IF(OR(A149="",N(L149)=0),"",M149/L149)</f>
        <v/>
      </c>
      <c r="O149" s="63">
        <f>IF(A149="","",DATE(YEAR(A149),MONTH(A149),1))</f>
        <v/>
      </c>
      <c r="P149" s="64">
        <f>IF(OR(A149="",B149=""),"",IF(COUNTIF($B$5:B149,B149)=1,1,0))</f>
        <v/>
      </c>
    </row>
    <row r="150" ht="17" customHeight="1">
      <c r="A150" s="116" t="n"/>
      <c r="B150" s="57" t="n"/>
      <c r="C150" s="57" t="n"/>
      <c r="D150" s="58" t="n"/>
      <c r="E150" s="59" t="n"/>
      <c r="F150" s="59" t="n"/>
      <c r="G150" s="58" t="n"/>
      <c r="H150" s="59" t="n"/>
      <c r="I150" s="59" t="n"/>
      <c r="J150" s="59" t="n"/>
      <c r="K150" s="60">
        <f>IF(C150="","",IF(J150&lt;&gt;"",J150,N(D150)*IFERROR(INDEX(ProdCOGS,MATCH(C150,ProdNames,0)),0)))</f>
        <v/>
      </c>
      <c r="L150" s="60">
        <f>IF(A150="","",N(D150)*N(E150)+N(F150))</f>
        <v/>
      </c>
      <c r="M150" s="61">
        <f>IF(A150="","",L150-N(H150)-N(I150)-N(K150))</f>
        <v/>
      </c>
      <c r="N150" s="62">
        <f>IF(OR(A150="",N(L150)=0),"",M150/L150)</f>
        <v/>
      </c>
      <c r="O150" s="63">
        <f>IF(A150="","",DATE(YEAR(A150),MONTH(A150),1))</f>
        <v/>
      </c>
      <c r="P150" s="64">
        <f>IF(OR(A150="",B150=""),"",IF(COUNTIF($B$5:B150,B150)=1,1,0))</f>
        <v/>
      </c>
    </row>
    <row r="151" ht="17" customHeight="1">
      <c r="A151" s="116" t="n"/>
      <c r="B151" s="57" t="n"/>
      <c r="C151" s="57" t="n"/>
      <c r="D151" s="58" t="n"/>
      <c r="E151" s="59" t="n"/>
      <c r="F151" s="59" t="n"/>
      <c r="G151" s="58" t="n"/>
      <c r="H151" s="59" t="n"/>
      <c r="I151" s="59" t="n"/>
      <c r="J151" s="59" t="n"/>
      <c r="K151" s="60">
        <f>IF(C151="","",IF(J151&lt;&gt;"",J151,N(D151)*IFERROR(INDEX(ProdCOGS,MATCH(C151,ProdNames,0)),0)))</f>
        <v/>
      </c>
      <c r="L151" s="60">
        <f>IF(A151="","",N(D151)*N(E151)+N(F151))</f>
        <v/>
      </c>
      <c r="M151" s="61">
        <f>IF(A151="","",L151-N(H151)-N(I151)-N(K151))</f>
        <v/>
      </c>
      <c r="N151" s="62">
        <f>IF(OR(A151="",N(L151)=0),"",M151/L151)</f>
        <v/>
      </c>
      <c r="O151" s="63">
        <f>IF(A151="","",DATE(YEAR(A151),MONTH(A151),1))</f>
        <v/>
      </c>
      <c r="P151" s="64">
        <f>IF(OR(A151="",B151=""),"",IF(COUNTIF($B$5:B151,B151)=1,1,0))</f>
        <v/>
      </c>
    </row>
    <row r="152" ht="17" customHeight="1">
      <c r="A152" s="116" t="n"/>
      <c r="B152" s="57" t="n"/>
      <c r="C152" s="57" t="n"/>
      <c r="D152" s="58" t="n"/>
      <c r="E152" s="59" t="n"/>
      <c r="F152" s="59" t="n"/>
      <c r="G152" s="58" t="n"/>
      <c r="H152" s="59" t="n"/>
      <c r="I152" s="59" t="n"/>
      <c r="J152" s="59" t="n"/>
      <c r="K152" s="60">
        <f>IF(C152="","",IF(J152&lt;&gt;"",J152,N(D152)*IFERROR(INDEX(ProdCOGS,MATCH(C152,ProdNames,0)),0)))</f>
        <v/>
      </c>
      <c r="L152" s="60">
        <f>IF(A152="","",N(D152)*N(E152)+N(F152))</f>
        <v/>
      </c>
      <c r="M152" s="61">
        <f>IF(A152="","",L152-N(H152)-N(I152)-N(K152))</f>
        <v/>
      </c>
      <c r="N152" s="62">
        <f>IF(OR(A152="",N(L152)=0),"",M152/L152)</f>
        <v/>
      </c>
      <c r="O152" s="63">
        <f>IF(A152="","",DATE(YEAR(A152),MONTH(A152),1))</f>
        <v/>
      </c>
      <c r="P152" s="64">
        <f>IF(OR(A152="",B152=""),"",IF(COUNTIF($B$5:B152,B152)=1,1,0))</f>
        <v/>
      </c>
    </row>
    <row r="153" ht="17" customHeight="1">
      <c r="A153" s="116" t="n"/>
      <c r="B153" s="57" t="n"/>
      <c r="C153" s="57" t="n"/>
      <c r="D153" s="58" t="n"/>
      <c r="E153" s="59" t="n"/>
      <c r="F153" s="59" t="n"/>
      <c r="G153" s="58" t="n"/>
      <c r="H153" s="59" t="n"/>
      <c r="I153" s="59" t="n"/>
      <c r="J153" s="59" t="n"/>
      <c r="K153" s="60">
        <f>IF(C153="","",IF(J153&lt;&gt;"",J153,N(D153)*IFERROR(INDEX(ProdCOGS,MATCH(C153,ProdNames,0)),0)))</f>
        <v/>
      </c>
      <c r="L153" s="60">
        <f>IF(A153="","",N(D153)*N(E153)+N(F153))</f>
        <v/>
      </c>
      <c r="M153" s="61">
        <f>IF(A153="","",L153-N(H153)-N(I153)-N(K153))</f>
        <v/>
      </c>
      <c r="N153" s="62">
        <f>IF(OR(A153="",N(L153)=0),"",M153/L153)</f>
        <v/>
      </c>
      <c r="O153" s="63">
        <f>IF(A153="","",DATE(YEAR(A153),MONTH(A153),1))</f>
        <v/>
      </c>
      <c r="P153" s="64">
        <f>IF(OR(A153="",B153=""),"",IF(COUNTIF($B$5:B153,B153)=1,1,0))</f>
        <v/>
      </c>
    </row>
    <row r="154" ht="17" customHeight="1">
      <c r="A154" s="116" t="n"/>
      <c r="B154" s="57" t="n"/>
      <c r="C154" s="57" t="n"/>
      <c r="D154" s="58" t="n"/>
      <c r="E154" s="59" t="n"/>
      <c r="F154" s="59" t="n"/>
      <c r="G154" s="58" t="n"/>
      <c r="H154" s="59" t="n"/>
      <c r="I154" s="59" t="n"/>
      <c r="J154" s="59" t="n"/>
      <c r="K154" s="60">
        <f>IF(C154="","",IF(J154&lt;&gt;"",J154,N(D154)*IFERROR(INDEX(ProdCOGS,MATCH(C154,ProdNames,0)),0)))</f>
        <v/>
      </c>
      <c r="L154" s="60">
        <f>IF(A154="","",N(D154)*N(E154)+N(F154))</f>
        <v/>
      </c>
      <c r="M154" s="61">
        <f>IF(A154="","",L154-N(H154)-N(I154)-N(K154))</f>
        <v/>
      </c>
      <c r="N154" s="62">
        <f>IF(OR(A154="",N(L154)=0),"",M154/L154)</f>
        <v/>
      </c>
      <c r="O154" s="63">
        <f>IF(A154="","",DATE(YEAR(A154),MONTH(A154),1))</f>
        <v/>
      </c>
      <c r="P154" s="64">
        <f>IF(OR(A154="",B154=""),"",IF(COUNTIF($B$5:B154,B154)=1,1,0))</f>
        <v/>
      </c>
    </row>
    <row r="155" ht="17" customHeight="1">
      <c r="A155" s="116" t="n"/>
      <c r="B155" s="57" t="n"/>
      <c r="C155" s="57" t="n"/>
      <c r="D155" s="58" t="n"/>
      <c r="E155" s="59" t="n"/>
      <c r="F155" s="59" t="n"/>
      <c r="G155" s="58" t="n"/>
      <c r="H155" s="59" t="n"/>
      <c r="I155" s="59" t="n"/>
      <c r="J155" s="59" t="n"/>
      <c r="K155" s="60">
        <f>IF(C155="","",IF(J155&lt;&gt;"",J155,N(D155)*IFERROR(INDEX(ProdCOGS,MATCH(C155,ProdNames,0)),0)))</f>
        <v/>
      </c>
      <c r="L155" s="60">
        <f>IF(A155="","",N(D155)*N(E155)+N(F155))</f>
        <v/>
      </c>
      <c r="M155" s="61">
        <f>IF(A155="","",L155-N(H155)-N(I155)-N(K155))</f>
        <v/>
      </c>
      <c r="N155" s="62">
        <f>IF(OR(A155="",N(L155)=0),"",M155/L155)</f>
        <v/>
      </c>
      <c r="O155" s="63">
        <f>IF(A155="","",DATE(YEAR(A155),MONTH(A155),1))</f>
        <v/>
      </c>
      <c r="P155" s="64">
        <f>IF(OR(A155="",B155=""),"",IF(COUNTIF($B$5:B155,B155)=1,1,0))</f>
        <v/>
      </c>
    </row>
    <row r="156" ht="17" customHeight="1">
      <c r="A156" s="116" t="n"/>
      <c r="B156" s="57" t="n"/>
      <c r="C156" s="57" t="n"/>
      <c r="D156" s="58" t="n"/>
      <c r="E156" s="59" t="n"/>
      <c r="F156" s="59" t="n"/>
      <c r="G156" s="58" t="n"/>
      <c r="H156" s="59" t="n"/>
      <c r="I156" s="59" t="n"/>
      <c r="J156" s="59" t="n"/>
      <c r="K156" s="60">
        <f>IF(C156="","",IF(J156&lt;&gt;"",J156,N(D156)*IFERROR(INDEX(ProdCOGS,MATCH(C156,ProdNames,0)),0)))</f>
        <v/>
      </c>
      <c r="L156" s="60">
        <f>IF(A156="","",N(D156)*N(E156)+N(F156))</f>
        <v/>
      </c>
      <c r="M156" s="61">
        <f>IF(A156="","",L156-N(H156)-N(I156)-N(K156))</f>
        <v/>
      </c>
      <c r="N156" s="62">
        <f>IF(OR(A156="",N(L156)=0),"",M156/L156)</f>
        <v/>
      </c>
      <c r="O156" s="63">
        <f>IF(A156="","",DATE(YEAR(A156),MONTH(A156),1))</f>
        <v/>
      </c>
      <c r="P156" s="64">
        <f>IF(OR(A156="",B156=""),"",IF(COUNTIF($B$5:B156,B156)=1,1,0))</f>
        <v/>
      </c>
    </row>
    <row r="157" ht="17" customHeight="1">
      <c r="A157" s="116" t="n"/>
      <c r="B157" s="57" t="n"/>
      <c r="C157" s="57" t="n"/>
      <c r="D157" s="58" t="n"/>
      <c r="E157" s="59" t="n"/>
      <c r="F157" s="59" t="n"/>
      <c r="G157" s="58" t="n"/>
      <c r="H157" s="59" t="n"/>
      <c r="I157" s="59" t="n"/>
      <c r="J157" s="59" t="n"/>
      <c r="K157" s="60">
        <f>IF(C157="","",IF(J157&lt;&gt;"",J157,N(D157)*IFERROR(INDEX(ProdCOGS,MATCH(C157,ProdNames,0)),0)))</f>
        <v/>
      </c>
      <c r="L157" s="60">
        <f>IF(A157="","",N(D157)*N(E157)+N(F157))</f>
        <v/>
      </c>
      <c r="M157" s="61">
        <f>IF(A157="","",L157-N(H157)-N(I157)-N(K157))</f>
        <v/>
      </c>
      <c r="N157" s="62">
        <f>IF(OR(A157="",N(L157)=0),"",M157/L157)</f>
        <v/>
      </c>
      <c r="O157" s="63">
        <f>IF(A157="","",DATE(YEAR(A157),MONTH(A157),1))</f>
        <v/>
      </c>
      <c r="P157" s="64">
        <f>IF(OR(A157="",B157=""),"",IF(COUNTIF($B$5:B157,B157)=1,1,0))</f>
        <v/>
      </c>
    </row>
    <row r="158" ht="17" customHeight="1">
      <c r="A158" s="116" t="n"/>
      <c r="B158" s="57" t="n"/>
      <c r="C158" s="57" t="n"/>
      <c r="D158" s="58" t="n"/>
      <c r="E158" s="59" t="n"/>
      <c r="F158" s="59" t="n"/>
      <c r="G158" s="58" t="n"/>
      <c r="H158" s="59" t="n"/>
      <c r="I158" s="59" t="n"/>
      <c r="J158" s="59" t="n"/>
      <c r="K158" s="60">
        <f>IF(C158="","",IF(J158&lt;&gt;"",J158,N(D158)*IFERROR(INDEX(ProdCOGS,MATCH(C158,ProdNames,0)),0)))</f>
        <v/>
      </c>
      <c r="L158" s="60">
        <f>IF(A158="","",N(D158)*N(E158)+N(F158))</f>
        <v/>
      </c>
      <c r="M158" s="61">
        <f>IF(A158="","",L158-N(H158)-N(I158)-N(K158))</f>
        <v/>
      </c>
      <c r="N158" s="62">
        <f>IF(OR(A158="",N(L158)=0),"",M158/L158)</f>
        <v/>
      </c>
      <c r="O158" s="63">
        <f>IF(A158="","",DATE(YEAR(A158),MONTH(A158),1))</f>
        <v/>
      </c>
      <c r="P158" s="64">
        <f>IF(OR(A158="",B158=""),"",IF(COUNTIF($B$5:B158,B158)=1,1,0))</f>
        <v/>
      </c>
    </row>
    <row r="159" ht="17" customHeight="1">
      <c r="A159" s="116" t="n"/>
      <c r="B159" s="57" t="n"/>
      <c r="C159" s="57" t="n"/>
      <c r="D159" s="58" t="n"/>
      <c r="E159" s="59" t="n"/>
      <c r="F159" s="59" t="n"/>
      <c r="G159" s="58" t="n"/>
      <c r="H159" s="59" t="n"/>
      <c r="I159" s="59" t="n"/>
      <c r="J159" s="59" t="n"/>
      <c r="K159" s="60">
        <f>IF(C159="","",IF(J159&lt;&gt;"",J159,N(D159)*IFERROR(INDEX(ProdCOGS,MATCH(C159,ProdNames,0)),0)))</f>
        <v/>
      </c>
      <c r="L159" s="60">
        <f>IF(A159="","",N(D159)*N(E159)+N(F159))</f>
        <v/>
      </c>
      <c r="M159" s="61">
        <f>IF(A159="","",L159-N(H159)-N(I159)-N(K159))</f>
        <v/>
      </c>
      <c r="N159" s="62">
        <f>IF(OR(A159="",N(L159)=0),"",M159/L159)</f>
        <v/>
      </c>
      <c r="O159" s="63">
        <f>IF(A159="","",DATE(YEAR(A159),MONTH(A159),1))</f>
        <v/>
      </c>
      <c r="P159" s="64">
        <f>IF(OR(A159="",B159=""),"",IF(COUNTIF($B$5:B159,B159)=1,1,0))</f>
        <v/>
      </c>
    </row>
    <row r="160" ht="17" customHeight="1">
      <c r="A160" s="116" t="n"/>
      <c r="B160" s="57" t="n"/>
      <c r="C160" s="57" t="n"/>
      <c r="D160" s="58" t="n"/>
      <c r="E160" s="59" t="n"/>
      <c r="F160" s="59" t="n"/>
      <c r="G160" s="58" t="n"/>
      <c r="H160" s="59" t="n"/>
      <c r="I160" s="59" t="n"/>
      <c r="J160" s="59" t="n"/>
      <c r="K160" s="60">
        <f>IF(C160="","",IF(J160&lt;&gt;"",J160,N(D160)*IFERROR(INDEX(ProdCOGS,MATCH(C160,ProdNames,0)),0)))</f>
        <v/>
      </c>
      <c r="L160" s="60">
        <f>IF(A160="","",N(D160)*N(E160)+N(F160))</f>
        <v/>
      </c>
      <c r="M160" s="61">
        <f>IF(A160="","",L160-N(H160)-N(I160)-N(K160))</f>
        <v/>
      </c>
      <c r="N160" s="62">
        <f>IF(OR(A160="",N(L160)=0),"",M160/L160)</f>
        <v/>
      </c>
      <c r="O160" s="63">
        <f>IF(A160="","",DATE(YEAR(A160),MONTH(A160),1))</f>
        <v/>
      </c>
      <c r="P160" s="64">
        <f>IF(OR(A160="",B160=""),"",IF(COUNTIF($B$5:B160,B160)=1,1,0))</f>
        <v/>
      </c>
    </row>
    <row r="161" ht="17" customHeight="1">
      <c r="A161" s="116" t="n"/>
      <c r="B161" s="57" t="n"/>
      <c r="C161" s="57" t="n"/>
      <c r="D161" s="58" t="n"/>
      <c r="E161" s="59" t="n"/>
      <c r="F161" s="59" t="n"/>
      <c r="G161" s="58" t="n"/>
      <c r="H161" s="59" t="n"/>
      <c r="I161" s="59" t="n"/>
      <c r="J161" s="59" t="n"/>
      <c r="K161" s="60">
        <f>IF(C161="","",IF(J161&lt;&gt;"",J161,N(D161)*IFERROR(INDEX(ProdCOGS,MATCH(C161,ProdNames,0)),0)))</f>
        <v/>
      </c>
      <c r="L161" s="60">
        <f>IF(A161="","",N(D161)*N(E161)+N(F161))</f>
        <v/>
      </c>
      <c r="M161" s="61">
        <f>IF(A161="","",L161-N(H161)-N(I161)-N(K161))</f>
        <v/>
      </c>
      <c r="N161" s="62">
        <f>IF(OR(A161="",N(L161)=0),"",M161/L161)</f>
        <v/>
      </c>
      <c r="O161" s="63">
        <f>IF(A161="","",DATE(YEAR(A161),MONTH(A161),1))</f>
        <v/>
      </c>
      <c r="P161" s="64">
        <f>IF(OR(A161="",B161=""),"",IF(COUNTIF($B$5:B161,B161)=1,1,0))</f>
        <v/>
      </c>
    </row>
    <row r="162" ht="17" customHeight="1">
      <c r="A162" s="116" t="n"/>
      <c r="B162" s="57" t="n"/>
      <c r="C162" s="57" t="n"/>
      <c r="D162" s="58" t="n"/>
      <c r="E162" s="59" t="n"/>
      <c r="F162" s="59" t="n"/>
      <c r="G162" s="58" t="n"/>
      <c r="H162" s="59" t="n"/>
      <c r="I162" s="59" t="n"/>
      <c r="J162" s="59" t="n"/>
      <c r="K162" s="60">
        <f>IF(C162="","",IF(J162&lt;&gt;"",J162,N(D162)*IFERROR(INDEX(ProdCOGS,MATCH(C162,ProdNames,0)),0)))</f>
        <v/>
      </c>
      <c r="L162" s="60">
        <f>IF(A162="","",N(D162)*N(E162)+N(F162))</f>
        <v/>
      </c>
      <c r="M162" s="61">
        <f>IF(A162="","",L162-N(H162)-N(I162)-N(K162))</f>
        <v/>
      </c>
      <c r="N162" s="62">
        <f>IF(OR(A162="",N(L162)=0),"",M162/L162)</f>
        <v/>
      </c>
      <c r="O162" s="63">
        <f>IF(A162="","",DATE(YEAR(A162),MONTH(A162),1))</f>
        <v/>
      </c>
      <c r="P162" s="64">
        <f>IF(OR(A162="",B162=""),"",IF(COUNTIF($B$5:B162,B162)=1,1,0))</f>
        <v/>
      </c>
    </row>
    <row r="163" ht="17" customHeight="1">
      <c r="A163" s="116" t="n"/>
      <c r="B163" s="57" t="n"/>
      <c r="C163" s="57" t="n"/>
      <c r="D163" s="58" t="n"/>
      <c r="E163" s="59" t="n"/>
      <c r="F163" s="59" t="n"/>
      <c r="G163" s="58" t="n"/>
      <c r="H163" s="59" t="n"/>
      <c r="I163" s="59" t="n"/>
      <c r="J163" s="59" t="n"/>
      <c r="K163" s="60">
        <f>IF(C163="","",IF(J163&lt;&gt;"",J163,N(D163)*IFERROR(INDEX(ProdCOGS,MATCH(C163,ProdNames,0)),0)))</f>
        <v/>
      </c>
      <c r="L163" s="60">
        <f>IF(A163="","",N(D163)*N(E163)+N(F163))</f>
        <v/>
      </c>
      <c r="M163" s="61">
        <f>IF(A163="","",L163-N(H163)-N(I163)-N(K163))</f>
        <v/>
      </c>
      <c r="N163" s="62">
        <f>IF(OR(A163="",N(L163)=0),"",M163/L163)</f>
        <v/>
      </c>
      <c r="O163" s="63">
        <f>IF(A163="","",DATE(YEAR(A163),MONTH(A163),1))</f>
        <v/>
      </c>
      <c r="P163" s="64">
        <f>IF(OR(A163="",B163=""),"",IF(COUNTIF($B$5:B163,B163)=1,1,0))</f>
        <v/>
      </c>
    </row>
    <row r="164" ht="17" customHeight="1">
      <c r="A164" s="116" t="n"/>
      <c r="B164" s="57" t="n"/>
      <c r="C164" s="57" t="n"/>
      <c r="D164" s="58" t="n"/>
      <c r="E164" s="59" t="n"/>
      <c r="F164" s="59" t="n"/>
      <c r="G164" s="58" t="n"/>
      <c r="H164" s="59" t="n"/>
      <c r="I164" s="59" t="n"/>
      <c r="J164" s="59" t="n"/>
      <c r="K164" s="60">
        <f>IF(C164="","",IF(J164&lt;&gt;"",J164,N(D164)*IFERROR(INDEX(ProdCOGS,MATCH(C164,ProdNames,0)),0)))</f>
        <v/>
      </c>
      <c r="L164" s="60">
        <f>IF(A164="","",N(D164)*N(E164)+N(F164))</f>
        <v/>
      </c>
      <c r="M164" s="61">
        <f>IF(A164="","",L164-N(H164)-N(I164)-N(K164))</f>
        <v/>
      </c>
      <c r="N164" s="62">
        <f>IF(OR(A164="",N(L164)=0),"",M164/L164)</f>
        <v/>
      </c>
      <c r="O164" s="63">
        <f>IF(A164="","",DATE(YEAR(A164),MONTH(A164),1))</f>
        <v/>
      </c>
      <c r="P164" s="64">
        <f>IF(OR(A164="",B164=""),"",IF(COUNTIF($B$5:B164,B164)=1,1,0))</f>
        <v/>
      </c>
    </row>
    <row r="165" ht="17" customHeight="1">
      <c r="A165" s="116" t="n"/>
      <c r="B165" s="57" t="n"/>
      <c r="C165" s="57" t="n"/>
      <c r="D165" s="58" t="n"/>
      <c r="E165" s="59" t="n"/>
      <c r="F165" s="59" t="n"/>
      <c r="G165" s="58" t="n"/>
      <c r="H165" s="59" t="n"/>
      <c r="I165" s="59" t="n"/>
      <c r="J165" s="59" t="n"/>
      <c r="K165" s="60">
        <f>IF(C165="","",IF(J165&lt;&gt;"",J165,N(D165)*IFERROR(INDEX(ProdCOGS,MATCH(C165,ProdNames,0)),0)))</f>
        <v/>
      </c>
      <c r="L165" s="60">
        <f>IF(A165="","",N(D165)*N(E165)+N(F165))</f>
        <v/>
      </c>
      <c r="M165" s="61">
        <f>IF(A165="","",L165-N(H165)-N(I165)-N(K165))</f>
        <v/>
      </c>
      <c r="N165" s="62">
        <f>IF(OR(A165="",N(L165)=0),"",M165/L165)</f>
        <v/>
      </c>
      <c r="O165" s="63">
        <f>IF(A165="","",DATE(YEAR(A165),MONTH(A165),1))</f>
        <v/>
      </c>
      <c r="P165" s="64">
        <f>IF(OR(A165="",B165=""),"",IF(COUNTIF($B$5:B165,B165)=1,1,0))</f>
        <v/>
      </c>
    </row>
    <row r="166" ht="17" customHeight="1">
      <c r="A166" s="116" t="n"/>
      <c r="B166" s="57" t="n"/>
      <c r="C166" s="57" t="n"/>
      <c r="D166" s="58" t="n"/>
      <c r="E166" s="59" t="n"/>
      <c r="F166" s="59" t="n"/>
      <c r="G166" s="58" t="n"/>
      <c r="H166" s="59" t="n"/>
      <c r="I166" s="59" t="n"/>
      <c r="J166" s="59" t="n"/>
      <c r="K166" s="60">
        <f>IF(C166="","",IF(J166&lt;&gt;"",J166,N(D166)*IFERROR(INDEX(ProdCOGS,MATCH(C166,ProdNames,0)),0)))</f>
        <v/>
      </c>
      <c r="L166" s="60">
        <f>IF(A166="","",N(D166)*N(E166)+N(F166))</f>
        <v/>
      </c>
      <c r="M166" s="61">
        <f>IF(A166="","",L166-N(H166)-N(I166)-N(K166))</f>
        <v/>
      </c>
      <c r="N166" s="62">
        <f>IF(OR(A166="",N(L166)=0),"",M166/L166)</f>
        <v/>
      </c>
      <c r="O166" s="63">
        <f>IF(A166="","",DATE(YEAR(A166),MONTH(A166),1))</f>
        <v/>
      </c>
      <c r="P166" s="64">
        <f>IF(OR(A166="",B166=""),"",IF(COUNTIF($B$5:B166,B166)=1,1,0))</f>
        <v/>
      </c>
    </row>
    <row r="167" ht="17" customHeight="1">
      <c r="A167" s="116" t="n"/>
      <c r="B167" s="57" t="n"/>
      <c r="C167" s="57" t="n"/>
      <c r="D167" s="58" t="n"/>
      <c r="E167" s="59" t="n"/>
      <c r="F167" s="59" t="n"/>
      <c r="G167" s="58" t="n"/>
      <c r="H167" s="59" t="n"/>
      <c r="I167" s="59" t="n"/>
      <c r="J167" s="59" t="n"/>
      <c r="K167" s="60">
        <f>IF(C167="","",IF(J167&lt;&gt;"",J167,N(D167)*IFERROR(INDEX(ProdCOGS,MATCH(C167,ProdNames,0)),0)))</f>
        <v/>
      </c>
      <c r="L167" s="60">
        <f>IF(A167="","",N(D167)*N(E167)+N(F167))</f>
        <v/>
      </c>
      <c r="M167" s="61">
        <f>IF(A167="","",L167-N(H167)-N(I167)-N(K167))</f>
        <v/>
      </c>
      <c r="N167" s="62">
        <f>IF(OR(A167="",N(L167)=0),"",M167/L167)</f>
        <v/>
      </c>
      <c r="O167" s="63">
        <f>IF(A167="","",DATE(YEAR(A167),MONTH(A167),1))</f>
        <v/>
      </c>
      <c r="P167" s="64">
        <f>IF(OR(A167="",B167=""),"",IF(COUNTIF($B$5:B167,B167)=1,1,0))</f>
        <v/>
      </c>
    </row>
    <row r="168" ht="17" customHeight="1">
      <c r="A168" s="116" t="n"/>
      <c r="B168" s="57" t="n"/>
      <c r="C168" s="57" t="n"/>
      <c r="D168" s="58" t="n"/>
      <c r="E168" s="59" t="n"/>
      <c r="F168" s="59" t="n"/>
      <c r="G168" s="58" t="n"/>
      <c r="H168" s="59" t="n"/>
      <c r="I168" s="59" t="n"/>
      <c r="J168" s="59" t="n"/>
      <c r="K168" s="60">
        <f>IF(C168="","",IF(J168&lt;&gt;"",J168,N(D168)*IFERROR(INDEX(ProdCOGS,MATCH(C168,ProdNames,0)),0)))</f>
        <v/>
      </c>
      <c r="L168" s="60">
        <f>IF(A168="","",N(D168)*N(E168)+N(F168))</f>
        <v/>
      </c>
      <c r="M168" s="61">
        <f>IF(A168="","",L168-N(H168)-N(I168)-N(K168))</f>
        <v/>
      </c>
      <c r="N168" s="62">
        <f>IF(OR(A168="",N(L168)=0),"",M168/L168)</f>
        <v/>
      </c>
      <c r="O168" s="63">
        <f>IF(A168="","",DATE(YEAR(A168),MONTH(A168),1))</f>
        <v/>
      </c>
      <c r="P168" s="64">
        <f>IF(OR(A168="",B168=""),"",IF(COUNTIF($B$5:B168,B168)=1,1,0))</f>
        <v/>
      </c>
    </row>
    <row r="169" ht="17" customHeight="1">
      <c r="A169" s="116" t="n"/>
      <c r="B169" s="57" t="n"/>
      <c r="C169" s="57" t="n"/>
      <c r="D169" s="58" t="n"/>
      <c r="E169" s="59" t="n"/>
      <c r="F169" s="59" t="n"/>
      <c r="G169" s="58" t="n"/>
      <c r="H169" s="59" t="n"/>
      <c r="I169" s="59" t="n"/>
      <c r="J169" s="59" t="n"/>
      <c r="K169" s="60">
        <f>IF(C169="","",IF(J169&lt;&gt;"",J169,N(D169)*IFERROR(INDEX(ProdCOGS,MATCH(C169,ProdNames,0)),0)))</f>
        <v/>
      </c>
      <c r="L169" s="60">
        <f>IF(A169="","",N(D169)*N(E169)+N(F169))</f>
        <v/>
      </c>
      <c r="M169" s="61">
        <f>IF(A169="","",L169-N(H169)-N(I169)-N(K169))</f>
        <v/>
      </c>
      <c r="N169" s="62">
        <f>IF(OR(A169="",N(L169)=0),"",M169/L169)</f>
        <v/>
      </c>
      <c r="O169" s="63">
        <f>IF(A169="","",DATE(YEAR(A169),MONTH(A169),1))</f>
        <v/>
      </c>
      <c r="P169" s="64">
        <f>IF(OR(A169="",B169=""),"",IF(COUNTIF($B$5:B169,B169)=1,1,0))</f>
        <v/>
      </c>
    </row>
    <row r="170" ht="17" customHeight="1">
      <c r="A170" s="116" t="n"/>
      <c r="B170" s="57" t="n"/>
      <c r="C170" s="57" t="n"/>
      <c r="D170" s="58" t="n"/>
      <c r="E170" s="59" t="n"/>
      <c r="F170" s="59" t="n"/>
      <c r="G170" s="58" t="n"/>
      <c r="H170" s="59" t="n"/>
      <c r="I170" s="59" t="n"/>
      <c r="J170" s="59" t="n"/>
      <c r="K170" s="60">
        <f>IF(C170="","",IF(J170&lt;&gt;"",J170,N(D170)*IFERROR(INDEX(ProdCOGS,MATCH(C170,ProdNames,0)),0)))</f>
        <v/>
      </c>
      <c r="L170" s="60">
        <f>IF(A170="","",N(D170)*N(E170)+N(F170))</f>
        <v/>
      </c>
      <c r="M170" s="61">
        <f>IF(A170="","",L170-N(H170)-N(I170)-N(K170))</f>
        <v/>
      </c>
      <c r="N170" s="62">
        <f>IF(OR(A170="",N(L170)=0),"",M170/L170)</f>
        <v/>
      </c>
      <c r="O170" s="63">
        <f>IF(A170="","",DATE(YEAR(A170),MONTH(A170),1))</f>
        <v/>
      </c>
      <c r="P170" s="64">
        <f>IF(OR(A170="",B170=""),"",IF(COUNTIF($B$5:B170,B170)=1,1,0))</f>
        <v/>
      </c>
    </row>
    <row r="171" ht="17" customHeight="1">
      <c r="A171" s="116" t="n"/>
      <c r="B171" s="57" t="n"/>
      <c r="C171" s="57" t="n"/>
      <c r="D171" s="58" t="n"/>
      <c r="E171" s="59" t="n"/>
      <c r="F171" s="59" t="n"/>
      <c r="G171" s="58" t="n"/>
      <c r="H171" s="59" t="n"/>
      <c r="I171" s="59" t="n"/>
      <c r="J171" s="59" t="n"/>
      <c r="K171" s="60">
        <f>IF(C171="","",IF(J171&lt;&gt;"",J171,N(D171)*IFERROR(INDEX(ProdCOGS,MATCH(C171,ProdNames,0)),0)))</f>
        <v/>
      </c>
      <c r="L171" s="60">
        <f>IF(A171="","",N(D171)*N(E171)+N(F171))</f>
        <v/>
      </c>
      <c r="M171" s="61">
        <f>IF(A171="","",L171-N(H171)-N(I171)-N(K171))</f>
        <v/>
      </c>
      <c r="N171" s="62">
        <f>IF(OR(A171="",N(L171)=0),"",M171/L171)</f>
        <v/>
      </c>
      <c r="O171" s="63">
        <f>IF(A171="","",DATE(YEAR(A171),MONTH(A171),1))</f>
        <v/>
      </c>
      <c r="P171" s="64">
        <f>IF(OR(A171="",B171=""),"",IF(COUNTIF($B$5:B171,B171)=1,1,0))</f>
        <v/>
      </c>
    </row>
    <row r="172" ht="17" customHeight="1">
      <c r="A172" s="116" t="n"/>
      <c r="B172" s="57" t="n"/>
      <c r="C172" s="57" t="n"/>
      <c r="D172" s="58" t="n"/>
      <c r="E172" s="59" t="n"/>
      <c r="F172" s="59" t="n"/>
      <c r="G172" s="58" t="n"/>
      <c r="H172" s="59" t="n"/>
      <c r="I172" s="59" t="n"/>
      <c r="J172" s="59" t="n"/>
      <c r="K172" s="60">
        <f>IF(C172="","",IF(J172&lt;&gt;"",J172,N(D172)*IFERROR(INDEX(ProdCOGS,MATCH(C172,ProdNames,0)),0)))</f>
        <v/>
      </c>
      <c r="L172" s="60">
        <f>IF(A172="","",N(D172)*N(E172)+N(F172))</f>
        <v/>
      </c>
      <c r="M172" s="61">
        <f>IF(A172="","",L172-N(H172)-N(I172)-N(K172))</f>
        <v/>
      </c>
      <c r="N172" s="62">
        <f>IF(OR(A172="",N(L172)=0),"",M172/L172)</f>
        <v/>
      </c>
      <c r="O172" s="63">
        <f>IF(A172="","",DATE(YEAR(A172),MONTH(A172),1))</f>
        <v/>
      </c>
      <c r="P172" s="64">
        <f>IF(OR(A172="",B172=""),"",IF(COUNTIF($B$5:B172,B172)=1,1,0))</f>
        <v/>
      </c>
    </row>
    <row r="173" ht="17" customHeight="1">
      <c r="A173" s="116" t="n"/>
      <c r="B173" s="57" t="n"/>
      <c r="C173" s="57" t="n"/>
      <c r="D173" s="58" t="n"/>
      <c r="E173" s="59" t="n"/>
      <c r="F173" s="59" t="n"/>
      <c r="G173" s="58" t="n"/>
      <c r="H173" s="59" t="n"/>
      <c r="I173" s="59" t="n"/>
      <c r="J173" s="59" t="n"/>
      <c r="K173" s="60">
        <f>IF(C173="","",IF(J173&lt;&gt;"",J173,N(D173)*IFERROR(INDEX(ProdCOGS,MATCH(C173,ProdNames,0)),0)))</f>
        <v/>
      </c>
      <c r="L173" s="60">
        <f>IF(A173="","",N(D173)*N(E173)+N(F173))</f>
        <v/>
      </c>
      <c r="M173" s="61">
        <f>IF(A173="","",L173-N(H173)-N(I173)-N(K173))</f>
        <v/>
      </c>
      <c r="N173" s="62">
        <f>IF(OR(A173="",N(L173)=0),"",M173/L173)</f>
        <v/>
      </c>
      <c r="O173" s="63">
        <f>IF(A173="","",DATE(YEAR(A173),MONTH(A173),1))</f>
        <v/>
      </c>
      <c r="P173" s="64">
        <f>IF(OR(A173="",B173=""),"",IF(COUNTIF($B$5:B173,B173)=1,1,0))</f>
        <v/>
      </c>
    </row>
    <row r="174" ht="17" customHeight="1">
      <c r="A174" s="116" t="n"/>
      <c r="B174" s="57" t="n"/>
      <c r="C174" s="57" t="n"/>
      <c r="D174" s="58" t="n"/>
      <c r="E174" s="59" t="n"/>
      <c r="F174" s="59" t="n"/>
      <c r="G174" s="58" t="n"/>
      <c r="H174" s="59" t="n"/>
      <c r="I174" s="59" t="n"/>
      <c r="J174" s="59" t="n"/>
      <c r="K174" s="60">
        <f>IF(C174="","",IF(J174&lt;&gt;"",J174,N(D174)*IFERROR(INDEX(ProdCOGS,MATCH(C174,ProdNames,0)),0)))</f>
        <v/>
      </c>
      <c r="L174" s="60">
        <f>IF(A174="","",N(D174)*N(E174)+N(F174))</f>
        <v/>
      </c>
      <c r="M174" s="61">
        <f>IF(A174="","",L174-N(H174)-N(I174)-N(K174))</f>
        <v/>
      </c>
      <c r="N174" s="62">
        <f>IF(OR(A174="",N(L174)=0),"",M174/L174)</f>
        <v/>
      </c>
      <c r="O174" s="63">
        <f>IF(A174="","",DATE(YEAR(A174),MONTH(A174),1))</f>
        <v/>
      </c>
      <c r="P174" s="64">
        <f>IF(OR(A174="",B174=""),"",IF(COUNTIF($B$5:B174,B174)=1,1,0))</f>
        <v/>
      </c>
    </row>
    <row r="175" ht="17" customHeight="1">
      <c r="A175" s="116" t="n"/>
      <c r="B175" s="57" t="n"/>
      <c r="C175" s="57" t="n"/>
      <c r="D175" s="58" t="n"/>
      <c r="E175" s="59" t="n"/>
      <c r="F175" s="59" t="n"/>
      <c r="G175" s="58" t="n"/>
      <c r="H175" s="59" t="n"/>
      <c r="I175" s="59" t="n"/>
      <c r="J175" s="59" t="n"/>
      <c r="K175" s="60">
        <f>IF(C175="","",IF(J175&lt;&gt;"",J175,N(D175)*IFERROR(INDEX(ProdCOGS,MATCH(C175,ProdNames,0)),0)))</f>
        <v/>
      </c>
      <c r="L175" s="60">
        <f>IF(A175="","",N(D175)*N(E175)+N(F175))</f>
        <v/>
      </c>
      <c r="M175" s="61">
        <f>IF(A175="","",L175-N(H175)-N(I175)-N(K175))</f>
        <v/>
      </c>
      <c r="N175" s="62">
        <f>IF(OR(A175="",N(L175)=0),"",M175/L175)</f>
        <v/>
      </c>
      <c r="O175" s="63">
        <f>IF(A175="","",DATE(YEAR(A175),MONTH(A175),1))</f>
        <v/>
      </c>
      <c r="P175" s="64">
        <f>IF(OR(A175="",B175=""),"",IF(COUNTIF($B$5:B175,B175)=1,1,0))</f>
        <v/>
      </c>
    </row>
    <row r="176" ht="17" customHeight="1">
      <c r="A176" s="116" t="n"/>
      <c r="B176" s="57" t="n"/>
      <c r="C176" s="57" t="n"/>
      <c r="D176" s="58" t="n"/>
      <c r="E176" s="59" t="n"/>
      <c r="F176" s="59" t="n"/>
      <c r="G176" s="58" t="n"/>
      <c r="H176" s="59" t="n"/>
      <c r="I176" s="59" t="n"/>
      <c r="J176" s="59" t="n"/>
      <c r="K176" s="60">
        <f>IF(C176="","",IF(J176&lt;&gt;"",J176,N(D176)*IFERROR(INDEX(ProdCOGS,MATCH(C176,ProdNames,0)),0)))</f>
        <v/>
      </c>
      <c r="L176" s="60">
        <f>IF(A176="","",N(D176)*N(E176)+N(F176))</f>
        <v/>
      </c>
      <c r="M176" s="61">
        <f>IF(A176="","",L176-N(H176)-N(I176)-N(K176))</f>
        <v/>
      </c>
      <c r="N176" s="62">
        <f>IF(OR(A176="",N(L176)=0),"",M176/L176)</f>
        <v/>
      </c>
      <c r="O176" s="63">
        <f>IF(A176="","",DATE(YEAR(A176),MONTH(A176),1))</f>
        <v/>
      </c>
      <c r="P176" s="64">
        <f>IF(OR(A176="",B176=""),"",IF(COUNTIF($B$5:B176,B176)=1,1,0))</f>
        <v/>
      </c>
    </row>
    <row r="177" ht="17" customHeight="1">
      <c r="A177" s="116" t="n"/>
      <c r="B177" s="57" t="n"/>
      <c r="C177" s="57" t="n"/>
      <c r="D177" s="58" t="n"/>
      <c r="E177" s="59" t="n"/>
      <c r="F177" s="59" t="n"/>
      <c r="G177" s="58" t="n"/>
      <c r="H177" s="59" t="n"/>
      <c r="I177" s="59" t="n"/>
      <c r="J177" s="59" t="n"/>
      <c r="K177" s="60">
        <f>IF(C177="","",IF(J177&lt;&gt;"",J177,N(D177)*IFERROR(INDEX(ProdCOGS,MATCH(C177,ProdNames,0)),0)))</f>
        <v/>
      </c>
      <c r="L177" s="60">
        <f>IF(A177="","",N(D177)*N(E177)+N(F177))</f>
        <v/>
      </c>
      <c r="M177" s="61">
        <f>IF(A177="","",L177-N(H177)-N(I177)-N(K177))</f>
        <v/>
      </c>
      <c r="N177" s="62">
        <f>IF(OR(A177="",N(L177)=0),"",M177/L177)</f>
        <v/>
      </c>
      <c r="O177" s="63">
        <f>IF(A177="","",DATE(YEAR(A177),MONTH(A177),1))</f>
        <v/>
      </c>
      <c r="P177" s="64">
        <f>IF(OR(A177="",B177=""),"",IF(COUNTIF($B$5:B177,B177)=1,1,0))</f>
        <v/>
      </c>
    </row>
    <row r="178" ht="17" customHeight="1">
      <c r="A178" s="116" t="n"/>
      <c r="B178" s="57" t="n"/>
      <c r="C178" s="57" t="n"/>
      <c r="D178" s="58" t="n"/>
      <c r="E178" s="59" t="n"/>
      <c r="F178" s="59" t="n"/>
      <c r="G178" s="58" t="n"/>
      <c r="H178" s="59" t="n"/>
      <c r="I178" s="59" t="n"/>
      <c r="J178" s="59" t="n"/>
      <c r="K178" s="60">
        <f>IF(C178="","",IF(J178&lt;&gt;"",J178,N(D178)*IFERROR(INDEX(ProdCOGS,MATCH(C178,ProdNames,0)),0)))</f>
        <v/>
      </c>
      <c r="L178" s="60">
        <f>IF(A178="","",N(D178)*N(E178)+N(F178))</f>
        <v/>
      </c>
      <c r="M178" s="61">
        <f>IF(A178="","",L178-N(H178)-N(I178)-N(K178))</f>
        <v/>
      </c>
      <c r="N178" s="62">
        <f>IF(OR(A178="",N(L178)=0),"",M178/L178)</f>
        <v/>
      </c>
      <c r="O178" s="63">
        <f>IF(A178="","",DATE(YEAR(A178),MONTH(A178),1))</f>
        <v/>
      </c>
      <c r="P178" s="64">
        <f>IF(OR(A178="",B178=""),"",IF(COUNTIF($B$5:B178,B178)=1,1,0))</f>
        <v/>
      </c>
    </row>
    <row r="179" ht="17" customHeight="1">
      <c r="A179" s="116" t="n"/>
      <c r="B179" s="57" t="n"/>
      <c r="C179" s="57" t="n"/>
      <c r="D179" s="58" t="n"/>
      <c r="E179" s="59" t="n"/>
      <c r="F179" s="59" t="n"/>
      <c r="G179" s="58" t="n"/>
      <c r="H179" s="59" t="n"/>
      <c r="I179" s="59" t="n"/>
      <c r="J179" s="59" t="n"/>
      <c r="K179" s="60">
        <f>IF(C179="","",IF(J179&lt;&gt;"",J179,N(D179)*IFERROR(INDEX(ProdCOGS,MATCH(C179,ProdNames,0)),0)))</f>
        <v/>
      </c>
      <c r="L179" s="60">
        <f>IF(A179="","",N(D179)*N(E179)+N(F179))</f>
        <v/>
      </c>
      <c r="M179" s="61">
        <f>IF(A179="","",L179-N(H179)-N(I179)-N(K179))</f>
        <v/>
      </c>
      <c r="N179" s="62">
        <f>IF(OR(A179="",N(L179)=0),"",M179/L179)</f>
        <v/>
      </c>
      <c r="O179" s="63">
        <f>IF(A179="","",DATE(YEAR(A179),MONTH(A179),1))</f>
        <v/>
      </c>
      <c r="P179" s="64">
        <f>IF(OR(A179="",B179=""),"",IF(COUNTIF($B$5:B179,B179)=1,1,0))</f>
        <v/>
      </c>
    </row>
    <row r="180" ht="17" customHeight="1">
      <c r="A180" s="116" t="n"/>
      <c r="B180" s="57" t="n"/>
      <c r="C180" s="57" t="n"/>
      <c r="D180" s="58" t="n"/>
      <c r="E180" s="59" t="n"/>
      <c r="F180" s="59" t="n"/>
      <c r="G180" s="58" t="n"/>
      <c r="H180" s="59" t="n"/>
      <c r="I180" s="59" t="n"/>
      <c r="J180" s="59" t="n"/>
      <c r="K180" s="60">
        <f>IF(C180="","",IF(J180&lt;&gt;"",J180,N(D180)*IFERROR(INDEX(ProdCOGS,MATCH(C180,ProdNames,0)),0)))</f>
        <v/>
      </c>
      <c r="L180" s="60">
        <f>IF(A180="","",N(D180)*N(E180)+N(F180))</f>
        <v/>
      </c>
      <c r="M180" s="61">
        <f>IF(A180="","",L180-N(H180)-N(I180)-N(K180))</f>
        <v/>
      </c>
      <c r="N180" s="62">
        <f>IF(OR(A180="",N(L180)=0),"",M180/L180)</f>
        <v/>
      </c>
      <c r="O180" s="63">
        <f>IF(A180="","",DATE(YEAR(A180),MONTH(A180),1))</f>
        <v/>
      </c>
      <c r="P180" s="64">
        <f>IF(OR(A180="",B180=""),"",IF(COUNTIF($B$5:B180,B180)=1,1,0))</f>
        <v/>
      </c>
    </row>
    <row r="181" ht="17" customHeight="1">
      <c r="A181" s="116" t="n"/>
      <c r="B181" s="57" t="n"/>
      <c r="C181" s="57" t="n"/>
      <c r="D181" s="58" t="n"/>
      <c r="E181" s="59" t="n"/>
      <c r="F181" s="59" t="n"/>
      <c r="G181" s="58" t="n"/>
      <c r="H181" s="59" t="n"/>
      <c r="I181" s="59" t="n"/>
      <c r="J181" s="59" t="n"/>
      <c r="K181" s="60">
        <f>IF(C181="","",IF(J181&lt;&gt;"",J181,N(D181)*IFERROR(INDEX(ProdCOGS,MATCH(C181,ProdNames,0)),0)))</f>
        <v/>
      </c>
      <c r="L181" s="60">
        <f>IF(A181="","",N(D181)*N(E181)+N(F181))</f>
        <v/>
      </c>
      <c r="M181" s="61">
        <f>IF(A181="","",L181-N(H181)-N(I181)-N(K181))</f>
        <v/>
      </c>
      <c r="N181" s="62">
        <f>IF(OR(A181="",N(L181)=0),"",M181/L181)</f>
        <v/>
      </c>
      <c r="O181" s="63">
        <f>IF(A181="","",DATE(YEAR(A181),MONTH(A181),1))</f>
        <v/>
      </c>
      <c r="P181" s="64">
        <f>IF(OR(A181="",B181=""),"",IF(COUNTIF($B$5:B181,B181)=1,1,0))</f>
        <v/>
      </c>
    </row>
    <row r="182" ht="17" customHeight="1">
      <c r="A182" s="116" t="n"/>
      <c r="B182" s="57" t="n"/>
      <c r="C182" s="57" t="n"/>
      <c r="D182" s="58" t="n"/>
      <c r="E182" s="59" t="n"/>
      <c r="F182" s="59" t="n"/>
      <c r="G182" s="58" t="n"/>
      <c r="H182" s="59" t="n"/>
      <c r="I182" s="59" t="n"/>
      <c r="J182" s="59" t="n"/>
      <c r="K182" s="60">
        <f>IF(C182="","",IF(J182&lt;&gt;"",J182,N(D182)*IFERROR(INDEX(ProdCOGS,MATCH(C182,ProdNames,0)),0)))</f>
        <v/>
      </c>
      <c r="L182" s="60">
        <f>IF(A182="","",N(D182)*N(E182)+N(F182))</f>
        <v/>
      </c>
      <c r="M182" s="61">
        <f>IF(A182="","",L182-N(H182)-N(I182)-N(K182))</f>
        <v/>
      </c>
      <c r="N182" s="62">
        <f>IF(OR(A182="",N(L182)=0),"",M182/L182)</f>
        <v/>
      </c>
      <c r="O182" s="63">
        <f>IF(A182="","",DATE(YEAR(A182),MONTH(A182),1))</f>
        <v/>
      </c>
      <c r="P182" s="64">
        <f>IF(OR(A182="",B182=""),"",IF(COUNTIF($B$5:B182,B182)=1,1,0))</f>
        <v/>
      </c>
    </row>
    <row r="183" ht="17" customHeight="1">
      <c r="A183" s="116" t="n"/>
      <c r="B183" s="57" t="n"/>
      <c r="C183" s="57" t="n"/>
      <c r="D183" s="58" t="n"/>
      <c r="E183" s="59" t="n"/>
      <c r="F183" s="59" t="n"/>
      <c r="G183" s="58" t="n"/>
      <c r="H183" s="59" t="n"/>
      <c r="I183" s="59" t="n"/>
      <c r="J183" s="59" t="n"/>
      <c r="K183" s="60">
        <f>IF(C183="","",IF(J183&lt;&gt;"",J183,N(D183)*IFERROR(INDEX(ProdCOGS,MATCH(C183,ProdNames,0)),0)))</f>
        <v/>
      </c>
      <c r="L183" s="60">
        <f>IF(A183="","",N(D183)*N(E183)+N(F183))</f>
        <v/>
      </c>
      <c r="M183" s="61">
        <f>IF(A183="","",L183-N(H183)-N(I183)-N(K183))</f>
        <v/>
      </c>
      <c r="N183" s="62">
        <f>IF(OR(A183="",N(L183)=0),"",M183/L183)</f>
        <v/>
      </c>
      <c r="O183" s="63">
        <f>IF(A183="","",DATE(YEAR(A183),MONTH(A183),1))</f>
        <v/>
      </c>
      <c r="P183" s="64">
        <f>IF(OR(A183="",B183=""),"",IF(COUNTIF($B$5:B183,B183)=1,1,0))</f>
        <v/>
      </c>
    </row>
    <row r="184" ht="17" customHeight="1">
      <c r="A184" s="116" t="n"/>
      <c r="B184" s="57" t="n"/>
      <c r="C184" s="57" t="n"/>
      <c r="D184" s="58" t="n"/>
      <c r="E184" s="59" t="n"/>
      <c r="F184" s="59" t="n"/>
      <c r="G184" s="58" t="n"/>
      <c r="H184" s="59" t="n"/>
      <c r="I184" s="59" t="n"/>
      <c r="J184" s="59" t="n"/>
      <c r="K184" s="60">
        <f>IF(C184="","",IF(J184&lt;&gt;"",J184,N(D184)*IFERROR(INDEX(ProdCOGS,MATCH(C184,ProdNames,0)),0)))</f>
        <v/>
      </c>
      <c r="L184" s="60">
        <f>IF(A184="","",N(D184)*N(E184)+N(F184))</f>
        <v/>
      </c>
      <c r="M184" s="61">
        <f>IF(A184="","",L184-N(H184)-N(I184)-N(K184))</f>
        <v/>
      </c>
      <c r="N184" s="62">
        <f>IF(OR(A184="",N(L184)=0),"",M184/L184)</f>
        <v/>
      </c>
      <c r="O184" s="63">
        <f>IF(A184="","",DATE(YEAR(A184),MONTH(A184),1))</f>
        <v/>
      </c>
      <c r="P184" s="64">
        <f>IF(OR(A184="",B184=""),"",IF(COUNTIF($B$5:B184,B184)=1,1,0))</f>
        <v/>
      </c>
    </row>
    <row r="185" ht="17" customHeight="1">
      <c r="A185" s="116" t="n"/>
      <c r="B185" s="57" t="n"/>
      <c r="C185" s="57" t="n"/>
      <c r="D185" s="58" t="n"/>
      <c r="E185" s="59" t="n"/>
      <c r="F185" s="59" t="n"/>
      <c r="G185" s="58" t="n"/>
      <c r="H185" s="59" t="n"/>
      <c r="I185" s="59" t="n"/>
      <c r="J185" s="59" t="n"/>
      <c r="K185" s="60">
        <f>IF(C185="","",IF(J185&lt;&gt;"",J185,N(D185)*IFERROR(INDEX(ProdCOGS,MATCH(C185,ProdNames,0)),0)))</f>
        <v/>
      </c>
      <c r="L185" s="60">
        <f>IF(A185="","",N(D185)*N(E185)+N(F185))</f>
        <v/>
      </c>
      <c r="M185" s="61">
        <f>IF(A185="","",L185-N(H185)-N(I185)-N(K185))</f>
        <v/>
      </c>
      <c r="N185" s="62">
        <f>IF(OR(A185="",N(L185)=0),"",M185/L185)</f>
        <v/>
      </c>
      <c r="O185" s="63">
        <f>IF(A185="","",DATE(YEAR(A185),MONTH(A185),1))</f>
        <v/>
      </c>
      <c r="P185" s="64">
        <f>IF(OR(A185="",B185=""),"",IF(COUNTIF($B$5:B185,B185)=1,1,0))</f>
        <v/>
      </c>
    </row>
    <row r="186" ht="17" customHeight="1">
      <c r="A186" s="116" t="n"/>
      <c r="B186" s="57" t="n"/>
      <c r="C186" s="57" t="n"/>
      <c r="D186" s="58" t="n"/>
      <c r="E186" s="59" t="n"/>
      <c r="F186" s="59" t="n"/>
      <c r="G186" s="58" t="n"/>
      <c r="H186" s="59" t="n"/>
      <c r="I186" s="59" t="n"/>
      <c r="J186" s="59" t="n"/>
      <c r="K186" s="60">
        <f>IF(C186="","",IF(J186&lt;&gt;"",J186,N(D186)*IFERROR(INDEX(ProdCOGS,MATCH(C186,ProdNames,0)),0)))</f>
        <v/>
      </c>
      <c r="L186" s="60">
        <f>IF(A186="","",N(D186)*N(E186)+N(F186))</f>
        <v/>
      </c>
      <c r="M186" s="61">
        <f>IF(A186="","",L186-N(H186)-N(I186)-N(K186))</f>
        <v/>
      </c>
      <c r="N186" s="62">
        <f>IF(OR(A186="",N(L186)=0),"",M186/L186)</f>
        <v/>
      </c>
      <c r="O186" s="63">
        <f>IF(A186="","",DATE(YEAR(A186),MONTH(A186),1))</f>
        <v/>
      </c>
      <c r="P186" s="64">
        <f>IF(OR(A186="",B186=""),"",IF(COUNTIF($B$5:B186,B186)=1,1,0))</f>
        <v/>
      </c>
    </row>
    <row r="187" ht="17" customHeight="1">
      <c r="A187" s="116" t="n"/>
      <c r="B187" s="57" t="n"/>
      <c r="C187" s="57" t="n"/>
      <c r="D187" s="58" t="n"/>
      <c r="E187" s="59" t="n"/>
      <c r="F187" s="59" t="n"/>
      <c r="G187" s="58" t="n"/>
      <c r="H187" s="59" t="n"/>
      <c r="I187" s="59" t="n"/>
      <c r="J187" s="59" t="n"/>
      <c r="K187" s="60">
        <f>IF(C187="","",IF(J187&lt;&gt;"",J187,N(D187)*IFERROR(INDEX(ProdCOGS,MATCH(C187,ProdNames,0)),0)))</f>
        <v/>
      </c>
      <c r="L187" s="60">
        <f>IF(A187="","",N(D187)*N(E187)+N(F187))</f>
        <v/>
      </c>
      <c r="M187" s="61">
        <f>IF(A187="","",L187-N(H187)-N(I187)-N(K187))</f>
        <v/>
      </c>
      <c r="N187" s="62">
        <f>IF(OR(A187="",N(L187)=0),"",M187/L187)</f>
        <v/>
      </c>
      <c r="O187" s="63">
        <f>IF(A187="","",DATE(YEAR(A187),MONTH(A187),1))</f>
        <v/>
      </c>
      <c r="P187" s="64">
        <f>IF(OR(A187="",B187=""),"",IF(COUNTIF($B$5:B187,B187)=1,1,0))</f>
        <v/>
      </c>
    </row>
    <row r="188" ht="17" customHeight="1">
      <c r="A188" s="116" t="n"/>
      <c r="B188" s="57" t="n"/>
      <c r="C188" s="57" t="n"/>
      <c r="D188" s="58" t="n"/>
      <c r="E188" s="59" t="n"/>
      <c r="F188" s="59" t="n"/>
      <c r="G188" s="58" t="n"/>
      <c r="H188" s="59" t="n"/>
      <c r="I188" s="59" t="n"/>
      <c r="J188" s="59" t="n"/>
      <c r="K188" s="60">
        <f>IF(C188="","",IF(J188&lt;&gt;"",J188,N(D188)*IFERROR(INDEX(ProdCOGS,MATCH(C188,ProdNames,0)),0)))</f>
        <v/>
      </c>
      <c r="L188" s="60">
        <f>IF(A188="","",N(D188)*N(E188)+N(F188))</f>
        <v/>
      </c>
      <c r="M188" s="61">
        <f>IF(A188="","",L188-N(H188)-N(I188)-N(K188))</f>
        <v/>
      </c>
      <c r="N188" s="62">
        <f>IF(OR(A188="",N(L188)=0),"",M188/L188)</f>
        <v/>
      </c>
      <c r="O188" s="63">
        <f>IF(A188="","",DATE(YEAR(A188),MONTH(A188),1))</f>
        <v/>
      </c>
      <c r="P188" s="64">
        <f>IF(OR(A188="",B188=""),"",IF(COUNTIF($B$5:B188,B188)=1,1,0))</f>
        <v/>
      </c>
    </row>
    <row r="189" ht="17" customHeight="1">
      <c r="A189" s="116" t="n"/>
      <c r="B189" s="57" t="n"/>
      <c r="C189" s="57" t="n"/>
      <c r="D189" s="58" t="n"/>
      <c r="E189" s="59" t="n"/>
      <c r="F189" s="59" t="n"/>
      <c r="G189" s="58" t="n"/>
      <c r="H189" s="59" t="n"/>
      <c r="I189" s="59" t="n"/>
      <c r="J189" s="59" t="n"/>
      <c r="K189" s="60">
        <f>IF(C189="","",IF(J189&lt;&gt;"",J189,N(D189)*IFERROR(INDEX(ProdCOGS,MATCH(C189,ProdNames,0)),0)))</f>
        <v/>
      </c>
      <c r="L189" s="60">
        <f>IF(A189="","",N(D189)*N(E189)+N(F189))</f>
        <v/>
      </c>
      <c r="M189" s="61">
        <f>IF(A189="","",L189-N(H189)-N(I189)-N(K189))</f>
        <v/>
      </c>
      <c r="N189" s="62">
        <f>IF(OR(A189="",N(L189)=0),"",M189/L189)</f>
        <v/>
      </c>
      <c r="O189" s="63">
        <f>IF(A189="","",DATE(YEAR(A189),MONTH(A189),1))</f>
        <v/>
      </c>
      <c r="P189" s="64">
        <f>IF(OR(A189="",B189=""),"",IF(COUNTIF($B$5:B189,B189)=1,1,0))</f>
        <v/>
      </c>
    </row>
    <row r="190" ht="17" customHeight="1">
      <c r="A190" s="116" t="n"/>
      <c r="B190" s="57" t="n"/>
      <c r="C190" s="57" t="n"/>
      <c r="D190" s="58" t="n"/>
      <c r="E190" s="59" t="n"/>
      <c r="F190" s="59" t="n"/>
      <c r="G190" s="58" t="n"/>
      <c r="H190" s="59" t="n"/>
      <c r="I190" s="59" t="n"/>
      <c r="J190" s="59" t="n"/>
      <c r="K190" s="60">
        <f>IF(C190="","",IF(J190&lt;&gt;"",J190,N(D190)*IFERROR(INDEX(ProdCOGS,MATCH(C190,ProdNames,0)),0)))</f>
        <v/>
      </c>
      <c r="L190" s="60">
        <f>IF(A190="","",N(D190)*N(E190)+N(F190))</f>
        <v/>
      </c>
      <c r="M190" s="61">
        <f>IF(A190="","",L190-N(H190)-N(I190)-N(K190))</f>
        <v/>
      </c>
      <c r="N190" s="62">
        <f>IF(OR(A190="",N(L190)=0),"",M190/L190)</f>
        <v/>
      </c>
      <c r="O190" s="63">
        <f>IF(A190="","",DATE(YEAR(A190),MONTH(A190),1))</f>
        <v/>
      </c>
      <c r="P190" s="64">
        <f>IF(OR(A190="",B190=""),"",IF(COUNTIF($B$5:B190,B190)=1,1,0))</f>
        <v/>
      </c>
    </row>
    <row r="191" ht="17" customHeight="1">
      <c r="A191" s="116" t="n"/>
      <c r="B191" s="57" t="n"/>
      <c r="C191" s="57" t="n"/>
      <c r="D191" s="58" t="n"/>
      <c r="E191" s="59" t="n"/>
      <c r="F191" s="59" t="n"/>
      <c r="G191" s="58" t="n"/>
      <c r="H191" s="59" t="n"/>
      <c r="I191" s="59" t="n"/>
      <c r="J191" s="59" t="n"/>
      <c r="K191" s="60">
        <f>IF(C191="","",IF(J191&lt;&gt;"",J191,N(D191)*IFERROR(INDEX(ProdCOGS,MATCH(C191,ProdNames,0)),0)))</f>
        <v/>
      </c>
      <c r="L191" s="60">
        <f>IF(A191="","",N(D191)*N(E191)+N(F191))</f>
        <v/>
      </c>
      <c r="M191" s="61">
        <f>IF(A191="","",L191-N(H191)-N(I191)-N(K191))</f>
        <v/>
      </c>
      <c r="N191" s="62">
        <f>IF(OR(A191="",N(L191)=0),"",M191/L191)</f>
        <v/>
      </c>
      <c r="O191" s="63">
        <f>IF(A191="","",DATE(YEAR(A191),MONTH(A191),1))</f>
        <v/>
      </c>
      <c r="P191" s="64">
        <f>IF(OR(A191="",B191=""),"",IF(COUNTIF($B$5:B191,B191)=1,1,0))</f>
        <v/>
      </c>
    </row>
    <row r="192" ht="17" customHeight="1">
      <c r="A192" s="116" t="n"/>
      <c r="B192" s="57" t="n"/>
      <c r="C192" s="57" t="n"/>
      <c r="D192" s="58" t="n"/>
      <c r="E192" s="59" t="n"/>
      <c r="F192" s="59" t="n"/>
      <c r="G192" s="58" t="n"/>
      <c r="H192" s="59" t="n"/>
      <c r="I192" s="59" t="n"/>
      <c r="J192" s="59" t="n"/>
      <c r="K192" s="60">
        <f>IF(C192="","",IF(J192&lt;&gt;"",J192,N(D192)*IFERROR(INDEX(ProdCOGS,MATCH(C192,ProdNames,0)),0)))</f>
        <v/>
      </c>
      <c r="L192" s="60">
        <f>IF(A192="","",N(D192)*N(E192)+N(F192))</f>
        <v/>
      </c>
      <c r="M192" s="61">
        <f>IF(A192="","",L192-N(H192)-N(I192)-N(K192))</f>
        <v/>
      </c>
      <c r="N192" s="62">
        <f>IF(OR(A192="",N(L192)=0),"",M192/L192)</f>
        <v/>
      </c>
      <c r="O192" s="63">
        <f>IF(A192="","",DATE(YEAR(A192),MONTH(A192),1))</f>
        <v/>
      </c>
      <c r="P192" s="64">
        <f>IF(OR(A192="",B192=""),"",IF(COUNTIF($B$5:B192,B192)=1,1,0))</f>
        <v/>
      </c>
    </row>
    <row r="193" ht="17" customHeight="1">
      <c r="A193" s="116" t="n"/>
      <c r="B193" s="57" t="n"/>
      <c r="C193" s="57" t="n"/>
      <c r="D193" s="58" t="n"/>
      <c r="E193" s="59" t="n"/>
      <c r="F193" s="59" t="n"/>
      <c r="G193" s="58" t="n"/>
      <c r="H193" s="59" t="n"/>
      <c r="I193" s="59" t="n"/>
      <c r="J193" s="59" t="n"/>
      <c r="K193" s="60">
        <f>IF(C193="","",IF(J193&lt;&gt;"",J193,N(D193)*IFERROR(INDEX(ProdCOGS,MATCH(C193,ProdNames,0)),0)))</f>
        <v/>
      </c>
      <c r="L193" s="60">
        <f>IF(A193="","",N(D193)*N(E193)+N(F193))</f>
        <v/>
      </c>
      <c r="M193" s="61">
        <f>IF(A193="","",L193-N(H193)-N(I193)-N(K193))</f>
        <v/>
      </c>
      <c r="N193" s="62">
        <f>IF(OR(A193="",N(L193)=0),"",M193/L193)</f>
        <v/>
      </c>
      <c r="O193" s="63">
        <f>IF(A193="","",DATE(YEAR(A193),MONTH(A193),1))</f>
        <v/>
      </c>
      <c r="P193" s="64">
        <f>IF(OR(A193="",B193=""),"",IF(COUNTIF($B$5:B193,B193)=1,1,0))</f>
        <v/>
      </c>
    </row>
    <row r="194" ht="17" customHeight="1">
      <c r="A194" s="116" t="n"/>
      <c r="B194" s="57" t="n"/>
      <c r="C194" s="57" t="n"/>
      <c r="D194" s="58" t="n"/>
      <c r="E194" s="59" t="n"/>
      <c r="F194" s="59" t="n"/>
      <c r="G194" s="58" t="n"/>
      <c r="H194" s="59" t="n"/>
      <c r="I194" s="59" t="n"/>
      <c r="J194" s="59" t="n"/>
      <c r="K194" s="60">
        <f>IF(C194="","",IF(J194&lt;&gt;"",J194,N(D194)*IFERROR(INDEX(ProdCOGS,MATCH(C194,ProdNames,0)),0)))</f>
        <v/>
      </c>
      <c r="L194" s="60">
        <f>IF(A194="","",N(D194)*N(E194)+N(F194))</f>
        <v/>
      </c>
      <c r="M194" s="61">
        <f>IF(A194="","",L194-N(H194)-N(I194)-N(K194))</f>
        <v/>
      </c>
      <c r="N194" s="62">
        <f>IF(OR(A194="",N(L194)=0),"",M194/L194)</f>
        <v/>
      </c>
      <c r="O194" s="63">
        <f>IF(A194="","",DATE(YEAR(A194),MONTH(A194),1))</f>
        <v/>
      </c>
      <c r="P194" s="64">
        <f>IF(OR(A194="",B194=""),"",IF(COUNTIF($B$5:B194,B194)=1,1,0))</f>
        <v/>
      </c>
    </row>
    <row r="195" ht="17" customHeight="1">
      <c r="A195" s="116" t="n"/>
      <c r="B195" s="57" t="n"/>
      <c r="C195" s="57" t="n"/>
      <c r="D195" s="58" t="n"/>
      <c r="E195" s="59" t="n"/>
      <c r="F195" s="59" t="n"/>
      <c r="G195" s="58" t="n"/>
      <c r="H195" s="59" t="n"/>
      <c r="I195" s="59" t="n"/>
      <c r="J195" s="59" t="n"/>
      <c r="K195" s="60">
        <f>IF(C195="","",IF(J195&lt;&gt;"",J195,N(D195)*IFERROR(INDEX(ProdCOGS,MATCH(C195,ProdNames,0)),0)))</f>
        <v/>
      </c>
      <c r="L195" s="60">
        <f>IF(A195="","",N(D195)*N(E195)+N(F195))</f>
        <v/>
      </c>
      <c r="M195" s="61">
        <f>IF(A195="","",L195-N(H195)-N(I195)-N(K195))</f>
        <v/>
      </c>
      <c r="N195" s="62">
        <f>IF(OR(A195="",N(L195)=0),"",M195/L195)</f>
        <v/>
      </c>
      <c r="O195" s="63">
        <f>IF(A195="","",DATE(YEAR(A195),MONTH(A195),1))</f>
        <v/>
      </c>
      <c r="P195" s="64">
        <f>IF(OR(A195="",B195=""),"",IF(COUNTIF($B$5:B195,B195)=1,1,0))</f>
        <v/>
      </c>
    </row>
    <row r="196" ht="17" customHeight="1">
      <c r="A196" s="116" t="n"/>
      <c r="B196" s="57" t="n"/>
      <c r="C196" s="57" t="n"/>
      <c r="D196" s="58" t="n"/>
      <c r="E196" s="59" t="n"/>
      <c r="F196" s="59" t="n"/>
      <c r="G196" s="58" t="n"/>
      <c r="H196" s="59" t="n"/>
      <c r="I196" s="59" t="n"/>
      <c r="J196" s="59" t="n"/>
      <c r="K196" s="60">
        <f>IF(C196="","",IF(J196&lt;&gt;"",J196,N(D196)*IFERROR(INDEX(ProdCOGS,MATCH(C196,ProdNames,0)),0)))</f>
        <v/>
      </c>
      <c r="L196" s="60">
        <f>IF(A196="","",N(D196)*N(E196)+N(F196))</f>
        <v/>
      </c>
      <c r="M196" s="61">
        <f>IF(A196="","",L196-N(H196)-N(I196)-N(K196))</f>
        <v/>
      </c>
      <c r="N196" s="62">
        <f>IF(OR(A196="",N(L196)=0),"",M196/L196)</f>
        <v/>
      </c>
      <c r="O196" s="63">
        <f>IF(A196="","",DATE(YEAR(A196),MONTH(A196),1))</f>
        <v/>
      </c>
      <c r="P196" s="64">
        <f>IF(OR(A196="",B196=""),"",IF(COUNTIF($B$5:B196,B196)=1,1,0))</f>
        <v/>
      </c>
    </row>
    <row r="197" ht="17" customHeight="1">
      <c r="A197" s="116" t="n"/>
      <c r="B197" s="57" t="n"/>
      <c r="C197" s="57" t="n"/>
      <c r="D197" s="58" t="n"/>
      <c r="E197" s="59" t="n"/>
      <c r="F197" s="59" t="n"/>
      <c r="G197" s="58" t="n"/>
      <c r="H197" s="59" t="n"/>
      <c r="I197" s="59" t="n"/>
      <c r="J197" s="59" t="n"/>
      <c r="K197" s="60">
        <f>IF(C197="","",IF(J197&lt;&gt;"",J197,N(D197)*IFERROR(INDEX(ProdCOGS,MATCH(C197,ProdNames,0)),0)))</f>
        <v/>
      </c>
      <c r="L197" s="60">
        <f>IF(A197="","",N(D197)*N(E197)+N(F197))</f>
        <v/>
      </c>
      <c r="M197" s="61">
        <f>IF(A197="","",L197-N(H197)-N(I197)-N(K197))</f>
        <v/>
      </c>
      <c r="N197" s="62">
        <f>IF(OR(A197="",N(L197)=0),"",M197/L197)</f>
        <v/>
      </c>
      <c r="O197" s="63">
        <f>IF(A197="","",DATE(YEAR(A197),MONTH(A197),1))</f>
        <v/>
      </c>
      <c r="P197" s="64">
        <f>IF(OR(A197="",B197=""),"",IF(COUNTIF($B$5:B197,B197)=1,1,0))</f>
        <v/>
      </c>
    </row>
    <row r="198" ht="17" customHeight="1">
      <c r="A198" s="116" t="n"/>
      <c r="B198" s="57" t="n"/>
      <c r="C198" s="57" t="n"/>
      <c r="D198" s="58" t="n"/>
      <c r="E198" s="59" t="n"/>
      <c r="F198" s="59" t="n"/>
      <c r="G198" s="58" t="n"/>
      <c r="H198" s="59" t="n"/>
      <c r="I198" s="59" t="n"/>
      <c r="J198" s="59" t="n"/>
      <c r="K198" s="60">
        <f>IF(C198="","",IF(J198&lt;&gt;"",J198,N(D198)*IFERROR(INDEX(ProdCOGS,MATCH(C198,ProdNames,0)),0)))</f>
        <v/>
      </c>
      <c r="L198" s="60">
        <f>IF(A198="","",N(D198)*N(E198)+N(F198))</f>
        <v/>
      </c>
      <c r="M198" s="61">
        <f>IF(A198="","",L198-N(H198)-N(I198)-N(K198))</f>
        <v/>
      </c>
      <c r="N198" s="62">
        <f>IF(OR(A198="",N(L198)=0),"",M198/L198)</f>
        <v/>
      </c>
      <c r="O198" s="63">
        <f>IF(A198="","",DATE(YEAR(A198),MONTH(A198),1))</f>
        <v/>
      </c>
      <c r="P198" s="64">
        <f>IF(OR(A198="",B198=""),"",IF(COUNTIF($B$5:B198,B198)=1,1,0))</f>
        <v/>
      </c>
    </row>
    <row r="199" ht="17" customHeight="1">
      <c r="A199" s="116" t="n"/>
      <c r="B199" s="57" t="n"/>
      <c r="C199" s="57" t="n"/>
      <c r="D199" s="58" t="n"/>
      <c r="E199" s="59" t="n"/>
      <c r="F199" s="59" t="n"/>
      <c r="G199" s="58" t="n"/>
      <c r="H199" s="59" t="n"/>
      <c r="I199" s="59" t="n"/>
      <c r="J199" s="59" t="n"/>
      <c r="K199" s="60">
        <f>IF(C199="","",IF(J199&lt;&gt;"",J199,N(D199)*IFERROR(INDEX(ProdCOGS,MATCH(C199,ProdNames,0)),0)))</f>
        <v/>
      </c>
      <c r="L199" s="60">
        <f>IF(A199="","",N(D199)*N(E199)+N(F199))</f>
        <v/>
      </c>
      <c r="M199" s="61">
        <f>IF(A199="","",L199-N(H199)-N(I199)-N(K199))</f>
        <v/>
      </c>
      <c r="N199" s="62">
        <f>IF(OR(A199="",N(L199)=0),"",M199/L199)</f>
        <v/>
      </c>
      <c r="O199" s="63">
        <f>IF(A199="","",DATE(YEAR(A199),MONTH(A199),1))</f>
        <v/>
      </c>
      <c r="P199" s="64">
        <f>IF(OR(A199="",B199=""),"",IF(COUNTIF($B$5:B199,B199)=1,1,0))</f>
        <v/>
      </c>
    </row>
    <row r="200" ht="17" customHeight="1">
      <c r="A200" s="116" t="n"/>
      <c r="B200" s="57" t="n"/>
      <c r="C200" s="57" t="n"/>
      <c r="D200" s="58" t="n"/>
      <c r="E200" s="59" t="n"/>
      <c r="F200" s="59" t="n"/>
      <c r="G200" s="58" t="n"/>
      <c r="H200" s="59" t="n"/>
      <c r="I200" s="59" t="n"/>
      <c r="J200" s="59" t="n"/>
      <c r="K200" s="60">
        <f>IF(C200="","",IF(J200&lt;&gt;"",J200,N(D200)*IFERROR(INDEX(ProdCOGS,MATCH(C200,ProdNames,0)),0)))</f>
        <v/>
      </c>
      <c r="L200" s="60">
        <f>IF(A200="","",N(D200)*N(E200)+N(F200))</f>
        <v/>
      </c>
      <c r="M200" s="61">
        <f>IF(A200="","",L200-N(H200)-N(I200)-N(K200))</f>
        <v/>
      </c>
      <c r="N200" s="62">
        <f>IF(OR(A200="",N(L200)=0),"",M200/L200)</f>
        <v/>
      </c>
      <c r="O200" s="63">
        <f>IF(A200="","",DATE(YEAR(A200),MONTH(A200),1))</f>
        <v/>
      </c>
      <c r="P200" s="64">
        <f>IF(OR(A200="",B200=""),"",IF(COUNTIF($B$5:B200,B200)=1,1,0))</f>
        <v/>
      </c>
    </row>
    <row r="201" ht="17" customHeight="1">
      <c r="A201" s="116" t="n"/>
      <c r="B201" s="57" t="n"/>
      <c r="C201" s="57" t="n"/>
      <c r="D201" s="58" t="n"/>
      <c r="E201" s="59" t="n"/>
      <c r="F201" s="59" t="n"/>
      <c r="G201" s="58" t="n"/>
      <c r="H201" s="59" t="n"/>
      <c r="I201" s="59" t="n"/>
      <c r="J201" s="59" t="n"/>
      <c r="K201" s="60">
        <f>IF(C201="","",IF(J201&lt;&gt;"",J201,N(D201)*IFERROR(INDEX(ProdCOGS,MATCH(C201,ProdNames,0)),0)))</f>
        <v/>
      </c>
      <c r="L201" s="60">
        <f>IF(A201="","",N(D201)*N(E201)+N(F201))</f>
        <v/>
      </c>
      <c r="M201" s="61">
        <f>IF(A201="","",L201-N(H201)-N(I201)-N(K201))</f>
        <v/>
      </c>
      <c r="N201" s="62">
        <f>IF(OR(A201="",N(L201)=0),"",M201/L201)</f>
        <v/>
      </c>
      <c r="O201" s="63">
        <f>IF(A201="","",DATE(YEAR(A201),MONTH(A201),1))</f>
        <v/>
      </c>
      <c r="P201" s="64">
        <f>IF(OR(A201="",B201=""),"",IF(COUNTIF($B$5:B201,B201)=1,1,0))</f>
        <v/>
      </c>
    </row>
    <row r="202" ht="17" customHeight="1">
      <c r="A202" s="116" t="n"/>
      <c r="B202" s="57" t="n"/>
      <c r="C202" s="57" t="n"/>
      <c r="D202" s="58" t="n"/>
      <c r="E202" s="59" t="n"/>
      <c r="F202" s="59" t="n"/>
      <c r="G202" s="58" t="n"/>
      <c r="H202" s="59" t="n"/>
      <c r="I202" s="59" t="n"/>
      <c r="J202" s="59" t="n"/>
      <c r="K202" s="60">
        <f>IF(C202="","",IF(J202&lt;&gt;"",J202,N(D202)*IFERROR(INDEX(ProdCOGS,MATCH(C202,ProdNames,0)),0)))</f>
        <v/>
      </c>
      <c r="L202" s="60">
        <f>IF(A202="","",N(D202)*N(E202)+N(F202))</f>
        <v/>
      </c>
      <c r="M202" s="61">
        <f>IF(A202="","",L202-N(H202)-N(I202)-N(K202))</f>
        <v/>
      </c>
      <c r="N202" s="62">
        <f>IF(OR(A202="",N(L202)=0),"",M202/L202)</f>
        <v/>
      </c>
      <c r="O202" s="63">
        <f>IF(A202="","",DATE(YEAR(A202),MONTH(A202),1))</f>
        <v/>
      </c>
      <c r="P202" s="64">
        <f>IF(OR(A202="",B202=""),"",IF(COUNTIF($B$5:B202,B202)=1,1,0))</f>
        <v/>
      </c>
    </row>
    <row r="203" ht="17" customHeight="1">
      <c r="A203" s="116" t="n"/>
      <c r="B203" s="57" t="n"/>
      <c r="C203" s="57" t="n"/>
      <c r="D203" s="58" t="n"/>
      <c r="E203" s="59" t="n"/>
      <c r="F203" s="59" t="n"/>
      <c r="G203" s="58" t="n"/>
      <c r="H203" s="59" t="n"/>
      <c r="I203" s="59" t="n"/>
      <c r="J203" s="59" t="n"/>
      <c r="K203" s="60">
        <f>IF(C203="","",IF(J203&lt;&gt;"",J203,N(D203)*IFERROR(INDEX(ProdCOGS,MATCH(C203,ProdNames,0)),0)))</f>
        <v/>
      </c>
      <c r="L203" s="60">
        <f>IF(A203="","",N(D203)*N(E203)+N(F203))</f>
        <v/>
      </c>
      <c r="M203" s="61">
        <f>IF(A203="","",L203-N(H203)-N(I203)-N(K203))</f>
        <v/>
      </c>
      <c r="N203" s="62">
        <f>IF(OR(A203="",N(L203)=0),"",M203/L203)</f>
        <v/>
      </c>
      <c r="O203" s="63">
        <f>IF(A203="","",DATE(YEAR(A203),MONTH(A203),1))</f>
        <v/>
      </c>
      <c r="P203" s="64">
        <f>IF(OR(A203="",B203=""),"",IF(COUNTIF($B$5:B203,B203)=1,1,0))</f>
        <v/>
      </c>
    </row>
    <row r="204" ht="17" customHeight="1">
      <c r="A204" s="116" t="n"/>
      <c r="B204" s="57" t="n"/>
      <c r="C204" s="57" t="n"/>
      <c r="D204" s="58" t="n"/>
      <c r="E204" s="59" t="n"/>
      <c r="F204" s="59" t="n"/>
      <c r="G204" s="58" t="n"/>
      <c r="H204" s="59" t="n"/>
      <c r="I204" s="59" t="n"/>
      <c r="J204" s="59" t="n"/>
      <c r="K204" s="60">
        <f>IF(C204="","",IF(J204&lt;&gt;"",J204,N(D204)*IFERROR(INDEX(ProdCOGS,MATCH(C204,ProdNames,0)),0)))</f>
        <v/>
      </c>
      <c r="L204" s="60">
        <f>IF(A204="","",N(D204)*N(E204)+N(F204))</f>
        <v/>
      </c>
      <c r="M204" s="61">
        <f>IF(A204="","",L204-N(H204)-N(I204)-N(K204))</f>
        <v/>
      </c>
      <c r="N204" s="62">
        <f>IF(OR(A204="",N(L204)=0),"",M204/L204)</f>
        <v/>
      </c>
      <c r="O204" s="63">
        <f>IF(A204="","",DATE(YEAR(A204),MONTH(A204),1))</f>
        <v/>
      </c>
      <c r="P204" s="64">
        <f>IF(OR(A204="",B204=""),"",IF(COUNTIF($B$5:B204,B204)=1,1,0))</f>
        <v/>
      </c>
    </row>
    <row r="205">
      <c r="A205" s="65" t="inlineStr">
        <is>
          <t>TOTAL</t>
        </is>
      </c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7">
        <f>SUM(K5:K204)</f>
        <v/>
      </c>
      <c r="L205" s="67">
        <f>SUM(L5:L204)</f>
        <v/>
      </c>
      <c r="M205" s="67">
        <f>SUM(M5:M204)</f>
        <v/>
      </c>
      <c r="N205" s="68">
        <f>IF(L205=0,"",M205/L205)</f>
        <v/>
      </c>
      <c r="O205" s="66" t="n"/>
    </row>
    <row r="207" ht="26" customHeight="1">
      <c r="A207" s="50" t="inlineStr">
        <is>
          <t>Gross = qty × unit price + shipping charged. Net = gross − fees − shipping you paid − COGS. Same Order ID on two rows = one order (gift wrap add-on is the sample).</t>
        </is>
      </c>
    </row>
  </sheetData>
  <autoFilter ref="A4:N204"/>
  <mergeCells count="4">
    <mergeCell ref="A1:P1"/>
    <mergeCell ref="A207:O207"/>
    <mergeCell ref="A3:P3"/>
    <mergeCell ref="A2:P2"/>
  </mergeCells>
  <conditionalFormatting sqref="A5:O204">
    <cfRule type="expression" priority="1" dxfId="7">
      <formula>AND($A5&lt;&gt;"",$M5&lt;0)</formula>
    </cfRule>
  </conditionalFormatting>
  <conditionalFormatting sqref="M5:M204">
    <cfRule type="expression" priority="2" dxfId="8">
      <formula>AND($A5&lt;&gt;"",$M5&gt;0)</formula>
    </cfRule>
  </conditionalFormatting>
  <conditionalFormatting sqref="H5:H204">
    <cfRule type="expression" priority="3" dxfId="9">
      <formula>AND($L5&lt;&gt;"",$L5&lt;&gt;0,$H5/$L5&gt;=0.2)</formula>
    </cfRule>
  </conditionalFormatting>
  <dataValidations count="4">
    <dataValidation sqref="C5:C204" showDropDown="0" showInputMessage="0" showErrorMessage="0" allowBlank="1" type="list">
      <formula1>=Products!$A$5:$A$34</formula1>
    </dataValidation>
    <dataValidation sqref="G5:G204" showDropDown="0" showInputMessage="0" showErrorMessage="0" allowBlank="1" type="list">
      <formula1>=Products!$N$2:$N$7</formula1>
    </dataValidation>
    <dataValidation sqref="A5:A204" showDropDown="0" showInputMessage="0" showErrorMessage="0" allowBlank="1" type="date" operator="greaterThanOrEqual">
      <formula1>DATE(2000,1,1)</formula1>
    </dataValidation>
    <dataValidation sqref="D5:J204" showDropDown="0" showInputMessage="0" showErrorMessage="0" allowBlank="1" type="decimal" operator="greaterThanOrEqual">
      <formula1>0</formula1>
    </dataValidation>
  </dataValidations>
  <printOptions horizontalCentered="1"/>
  <pageMargins left="0.5" right="0.5" top="0.55" bottom="0.55" header="0.3" footer="0.3"/>
  <pageSetup orientation="landscape" paperSize="1" fitToHeight="0" fitToWidth="1"/>
  <headerFooter>
    <oddHeader>&amp;LSales Log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7A6B"/>
    <outlinePr summaryBelow="1" summaryRight="1"/>
    <pageSetUpPr fitToPage="1"/>
  </sheetPr>
  <dimension ref="A1:O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6" customWidth="1" min="14" max="14"/>
    <col width="36" customWidth="1" min="15" max="15"/>
  </cols>
  <sheetData>
    <row r="1" ht="30" customHeight="1">
      <c r="A1" s="1" t="inlineStr">
        <is>
          <t>Products</t>
        </is>
      </c>
      <c r="N1" s="69" t="inlineStr">
        <is>
          <t>DROPDOWN LISTS</t>
        </is>
      </c>
      <c r="O1" s="70" t="inlineStr">
        <is>
          <t>Edit these if you need extra options.</t>
        </is>
      </c>
    </row>
    <row r="2">
      <c r="A2" s="71" t="inlineStr">
        <is>
          <t>Shop name</t>
        </is>
      </c>
      <c r="B2" s="72" t="inlineStr">
        <is>
          <t>Hearth &amp; Holly Studio</t>
        </is>
      </c>
      <c r="C2" s="117" t="n"/>
      <c r="D2" s="118" t="n"/>
      <c r="E2" s="8" t="inlineStr">
        <is>
          <t>Blue = type. Gray = calculated from the Sales Log. Stock is optional — update it yourself; it does not auto-decrement.</t>
        </is>
      </c>
      <c r="N2" s="73" t="inlineStr">
        <is>
          <t>Etsy</t>
        </is>
      </c>
      <c r="O2" s="70" t="inlineStr">
        <is>
          <t>Platforms</t>
        </is>
      </c>
    </row>
    <row r="3">
      <c r="A3" s="54">
        <f>IF(ShopName="","","Catalog for "&amp;ShopName&amp;"   ·   "&amp;COUNTA(A5:A34)&amp;" products   ·   Units sold (all time): "&amp;TEXT(SUM(G5:G34),"#,##0"))</f>
        <v/>
      </c>
      <c r="N3" s="73" t="inlineStr">
        <is>
          <t>Shopify</t>
        </is>
      </c>
    </row>
    <row r="4" ht="28" customHeight="1">
      <c r="A4" s="74" t="inlineStr">
        <is>
          <t>Product name</t>
        </is>
      </c>
      <c r="B4" s="74" t="inlineStr">
        <is>
          <t>SKU</t>
        </is>
      </c>
      <c r="C4" s="74" t="inlineStr">
        <is>
          <t>Type</t>
        </is>
      </c>
      <c r="D4" s="74" t="inlineStr">
        <is>
          <t>COGS / unit</t>
        </is>
      </c>
      <c r="E4" s="74" t="inlineStr">
        <is>
          <t>Selling price</t>
        </is>
      </c>
      <c r="F4" s="74" t="inlineStr">
        <is>
          <t>Stock (optional)</t>
        </is>
      </c>
      <c r="G4" s="74" t="inlineStr">
        <is>
          <t>Units sold</t>
        </is>
      </c>
      <c r="H4" s="74" t="inlineStr">
        <is>
          <t>Revenue</t>
        </is>
      </c>
      <c r="I4" s="74" t="inlineStr">
        <is>
          <t>Profit</t>
        </is>
      </c>
      <c r="J4" s="74" t="inlineStr">
        <is>
          <t>Margin</t>
        </is>
      </c>
      <c r="N4" s="73" t="inlineStr">
        <is>
          <t>Gumroad</t>
        </is>
      </c>
    </row>
    <row r="5" ht="18" customHeight="1">
      <c r="A5" s="73" t="inlineStr">
        <is>
          <t>Floral Sticker Pack</t>
        </is>
      </c>
      <c r="B5" s="73" t="inlineStr">
        <is>
          <t>STK-01</t>
        </is>
      </c>
      <c r="C5" s="75" t="inlineStr">
        <is>
          <t>Physical</t>
        </is>
      </c>
      <c r="D5" s="76" t="n">
        <v>1.2</v>
      </c>
      <c r="E5" s="76" t="n">
        <v>8</v>
      </c>
      <c r="F5" s="75" t="n">
        <v>140</v>
      </c>
      <c r="G5" s="77">
        <f>IF(A5="","",SUMIFS(SalesQty,SalesProducts,A5))</f>
        <v/>
      </c>
      <c r="H5" s="78">
        <f>IF(A5="","",SUMIFS(SalesGross,SalesProducts,A5))</f>
        <v/>
      </c>
      <c r="I5" s="78">
        <f>IF(A5="","",SUMIFS(SalesNet,SalesProducts,A5))</f>
        <v/>
      </c>
      <c r="J5" s="79">
        <f>IF(OR(A5="",N(H5)=0),"",I5/H5)</f>
        <v/>
      </c>
      <c r="N5" s="73" t="inlineStr">
        <is>
          <t>Amazon</t>
        </is>
      </c>
    </row>
    <row r="6" ht="18" customHeight="1">
      <c r="A6" s="73" t="inlineStr">
        <is>
          <t>Minimalist Print 8x10</t>
        </is>
      </c>
      <c r="B6" s="73" t="inlineStr">
        <is>
          <t>PRT-10</t>
        </is>
      </c>
      <c r="C6" s="75" t="inlineStr">
        <is>
          <t>Physical</t>
        </is>
      </c>
      <c r="D6" s="76" t="n">
        <v>3.5</v>
      </c>
      <c r="E6" s="76" t="n">
        <v>18</v>
      </c>
      <c r="F6" s="75" t="n">
        <v>45</v>
      </c>
      <c r="G6" s="77">
        <f>IF(A6="","",SUMIFS(SalesQty,SalesProducts,A6))</f>
        <v/>
      </c>
      <c r="H6" s="78">
        <f>IF(A6="","",SUMIFS(SalesGross,SalesProducts,A6))</f>
        <v/>
      </c>
      <c r="I6" s="78">
        <f>IF(A6="","",SUMIFS(SalesNet,SalesProducts,A6))</f>
        <v/>
      </c>
      <c r="J6" s="79">
        <f>IF(OR(A6="",N(H6)=0),"",I6/H6)</f>
        <v/>
      </c>
      <c r="N6" s="73" t="inlineStr">
        <is>
          <t>eBay</t>
        </is>
      </c>
    </row>
    <row r="7" ht="18" customHeight="1">
      <c r="A7" s="73" t="inlineStr">
        <is>
          <t>Digital Planner (PDF)</t>
        </is>
      </c>
      <c r="B7" s="73" t="inlineStr">
        <is>
          <t>DIG-PL</t>
        </is>
      </c>
      <c r="C7" s="75" t="inlineStr">
        <is>
          <t>Digital</t>
        </is>
      </c>
      <c r="D7" s="76" t="n">
        <v>0</v>
      </c>
      <c r="E7" s="76" t="n">
        <v>12</v>
      </c>
      <c r="F7" s="75" t="n"/>
      <c r="G7" s="77">
        <f>IF(A7="","",SUMIFS(SalesQty,SalesProducts,A7))</f>
        <v/>
      </c>
      <c r="H7" s="78">
        <f>IF(A7="","",SUMIFS(SalesGross,SalesProducts,A7))</f>
        <v/>
      </c>
      <c r="I7" s="78">
        <f>IF(A7="","",SUMIFS(SalesNet,SalesProducts,A7))</f>
        <v/>
      </c>
      <c r="J7" s="79">
        <f>IF(OR(A7="",N(H7)=0),"",I7/H7)</f>
        <v/>
      </c>
      <c r="N7" s="73" t="inlineStr">
        <is>
          <t>Other</t>
        </is>
      </c>
    </row>
    <row r="8" ht="18" customHeight="1">
      <c r="A8" s="73" t="inlineStr">
        <is>
          <t>Custom Portrait</t>
        </is>
      </c>
      <c r="B8" s="73" t="inlineStr">
        <is>
          <t>ART-CP</t>
        </is>
      </c>
      <c r="C8" s="75" t="inlineStr">
        <is>
          <t>Physical</t>
        </is>
      </c>
      <c r="D8" s="76" t="n">
        <v>8</v>
      </c>
      <c r="E8" s="76" t="n">
        <v>45</v>
      </c>
      <c r="F8" s="75" t="n">
        <v>12</v>
      </c>
      <c r="G8" s="77">
        <f>IF(A8="","",SUMIFS(SalesQty,SalesProducts,A8))</f>
        <v/>
      </c>
      <c r="H8" s="78">
        <f>IF(A8="","",SUMIFS(SalesGross,SalesProducts,A8))</f>
        <v/>
      </c>
      <c r="I8" s="78">
        <f>IF(A8="","",SUMIFS(SalesNet,SalesProducts,A8))</f>
        <v/>
      </c>
      <c r="J8" s="79">
        <f>IF(OR(A8="",N(H8)=0),"",I8/H8)</f>
        <v/>
      </c>
    </row>
    <row r="9" ht="18" customHeight="1">
      <c r="A9" s="73" t="inlineStr">
        <is>
          <t>Everyday POD Tee</t>
        </is>
      </c>
      <c r="B9" s="73" t="inlineStr">
        <is>
          <t>POD-T1</t>
        </is>
      </c>
      <c r="C9" s="75" t="inlineStr">
        <is>
          <t>POD</t>
        </is>
      </c>
      <c r="D9" s="76" t="n">
        <v>14.5</v>
      </c>
      <c r="E9" s="76" t="n">
        <v>28</v>
      </c>
      <c r="F9" s="75" t="n"/>
      <c r="G9" s="77">
        <f>IF(A9="","",SUMIFS(SalesQty,SalesProducts,A9))</f>
        <v/>
      </c>
      <c r="H9" s="78">
        <f>IF(A9="","",SUMIFS(SalesGross,SalesProducts,A9))</f>
        <v/>
      </c>
      <c r="I9" s="78">
        <f>IF(A9="","",SUMIFS(SalesNet,SalesProducts,A9))</f>
        <v/>
      </c>
      <c r="J9" s="79">
        <f>IF(OR(A9="",N(H9)=0),"",I9/H9)</f>
        <v/>
      </c>
      <c r="N9" s="73" t="inlineStr">
        <is>
          <t>Ads</t>
        </is>
      </c>
      <c r="O9" s="70" t="inlineStr">
        <is>
          <t>Expense categories</t>
        </is>
      </c>
    </row>
    <row r="10" ht="18" customHeight="1">
      <c r="A10" s="73" t="inlineStr">
        <is>
          <t>Gift Wrap Add-on</t>
        </is>
      </c>
      <c r="B10" s="73" t="inlineStr">
        <is>
          <t>ADD-GW</t>
        </is>
      </c>
      <c r="C10" s="75" t="inlineStr">
        <is>
          <t>Physical</t>
        </is>
      </c>
      <c r="D10" s="76" t="n">
        <v>0.8</v>
      </c>
      <c r="E10" s="76" t="n">
        <v>4</v>
      </c>
      <c r="F10" s="75" t="n">
        <v>80</v>
      </c>
      <c r="G10" s="77">
        <f>IF(A10="","",SUMIFS(SalesQty,SalesProducts,A10))</f>
        <v/>
      </c>
      <c r="H10" s="78">
        <f>IF(A10="","",SUMIFS(SalesGross,SalesProducts,A10))</f>
        <v/>
      </c>
      <c r="I10" s="78">
        <f>IF(A10="","",SUMIFS(SalesNet,SalesProducts,A10))</f>
        <v/>
      </c>
      <c r="J10" s="79">
        <f>IF(OR(A10="",N(H10)=0),"",I10/H10)</f>
        <v/>
      </c>
      <c r="N10" s="73" t="inlineStr">
        <is>
          <t>Packaging</t>
        </is>
      </c>
    </row>
    <row r="11" ht="18" customHeight="1">
      <c r="A11" s="73" t="inlineStr">
        <is>
          <t>Pattern Brush Set</t>
        </is>
      </c>
      <c r="B11" s="73" t="inlineStr">
        <is>
          <t>DIG-BR</t>
        </is>
      </c>
      <c r="C11" s="75" t="inlineStr">
        <is>
          <t>Digital</t>
        </is>
      </c>
      <c r="D11" s="76" t="n">
        <v>0</v>
      </c>
      <c r="E11" s="76" t="n">
        <v>15</v>
      </c>
      <c r="F11" s="75" t="n"/>
      <c r="G11" s="77">
        <f>IF(A11="","",SUMIFS(SalesQty,SalesProducts,A11))</f>
        <v/>
      </c>
      <c r="H11" s="78">
        <f>IF(A11="","",SUMIFS(SalesGross,SalesProducts,A11))</f>
        <v/>
      </c>
      <c r="I11" s="78">
        <f>IF(A11="","",SUMIFS(SalesNet,SalesProducts,A11))</f>
        <v/>
      </c>
      <c r="J11" s="79">
        <f>IF(OR(A11="",N(H11)=0),"",I11/H11)</f>
        <v/>
      </c>
      <c r="N11" s="73" t="inlineStr">
        <is>
          <t>Subscriptions</t>
        </is>
      </c>
    </row>
    <row r="12" ht="18" customHeight="1">
      <c r="A12" s="73" t="inlineStr">
        <is>
          <t>Mini Art Print</t>
        </is>
      </c>
      <c r="B12" s="73" t="inlineStr">
        <is>
          <t>PRT-MN</t>
        </is>
      </c>
      <c r="C12" s="75" t="inlineStr">
        <is>
          <t>Physical</t>
        </is>
      </c>
      <c r="D12" s="76" t="n">
        <v>2.1</v>
      </c>
      <c r="E12" s="76" t="n">
        <v>12</v>
      </c>
      <c r="F12" s="75" t="n">
        <v>60</v>
      </c>
      <c r="G12" s="77">
        <f>IF(A12="","",SUMIFS(SalesQty,SalesProducts,A12))</f>
        <v/>
      </c>
      <c r="H12" s="78">
        <f>IF(A12="","",SUMIFS(SalesGross,SalesProducts,A12))</f>
        <v/>
      </c>
      <c r="I12" s="78">
        <f>IF(A12="","",SUMIFS(SalesNet,SalesProducts,A12))</f>
        <v/>
      </c>
      <c r="J12" s="79">
        <f>IF(OR(A12="",N(H12)=0),"",I12/H12)</f>
        <v/>
      </c>
      <c r="N12" s="73" t="inlineStr">
        <is>
          <t>Supplies</t>
        </is>
      </c>
    </row>
    <row r="13" ht="18" customHeight="1">
      <c r="A13" s="73" t="n"/>
      <c r="B13" s="73" t="n"/>
      <c r="C13" s="75" t="n"/>
      <c r="D13" s="76" t="n"/>
      <c r="E13" s="76" t="n"/>
      <c r="F13" s="75" t="n"/>
      <c r="G13" s="77">
        <f>IF(A13="","",SUMIFS(SalesQty,SalesProducts,A13))</f>
        <v/>
      </c>
      <c r="H13" s="78">
        <f>IF(A13="","",SUMIFS(SalesGross,SalesProducts,A13))</f>
        <v/>
      </c>
      <c r="I13" s="78">
        <f>IF(A13="","",SUMIFS(SalesNet,SalesProducts,A13))</f>
        <v/>
      </c>
      <c r="J13" s="79">
        <f>IF(OR(A13="",N(H13)=0),"",I13/H13)</f>
        <v/>
      </c>
      <c r="N13" s="73" t="inlineStr">
        <is>
          <t>Software</t>
        </is>
      </c>
    </row>
    <row r="14" ht="18" customHeight="1">
      <c r="A14" s="73" t="n"/>
      <c r="B14" s="73" t="n"/>
      <c r="C14" s="75" t="n"/>
      <c r="D14" s="76" t="n"/>
      <c r="E14" s="76" t="n"/>
      <c r="F14" s="75" t="n"/>
      <c r="G14" s="77">
        <f>IF(A14="","",SUMIFS(SalesQty,SalesProducts,A14))</f>
        <v/>
      </c>
      <c r="H14" s="78">
        <f>IF(A14="","",SUMIFS(SalesGross,SalesProducts,A14))</f>
        <v/>
      </c>
      <c r="I14" s="78">
        <f>IF(A14="","",SUMIFS(SalesNet,SalesProducts,A14))</f>
        <v/>
      </c>
      <c r="J14" s="79">
        <f>IF(OR(A14="",N(H14)=0),"",I14/H14)</f>
        <v/>
      </c>
      <c r="N14" s="73" t="inlineStr">
        <is>
          <t>Shipping supplies</t>
        </is>
      </c>
    </row>
    <row r="15" ht="18" customHeight="1">
      <c r="A15" s="73" t="n"/>
      <c r="B15" s="73" t="n"/>
      <c r="C15" s="75" t="n"/>
      <c r="D15" s="76" t="n"/>
      <c r="E15" s="76" t="n"/>
      <c r="F15" s="75" t="n"/>
      <c r="G15" s="77">
        <f>IF(A15="","",SUMIFS(SalesQty,SalesProducts,A15))</f>
        <v/>
      </c>
      <c r="H15" s="78">
        <f>IF(A15="","",SUMIFS(SalesGross,SalesProducts,A15))</f>
        <v/>
      </c>
      <c r="I15" s="78">
        <f>IF(A15="","",SUMIFS(SalesNet,SalesProducts,A15))</f>
        <v/>
      </c>
      <c r="J15" s="79">
        <f>IF(OR(A15="",N(H15)=0),"",I15/H15)</f>
        <v/>
      </c>
      <c r="N15" s="73" t="inlineStr">
        <is>
          <t>Taxes</t>
        </is>
      </c>
    </row>
    <row r="16" ht="18" customHeight="1">
      <c r="A16" s="73" t="n"/>
      <c r="B16" s="73" t="n"/>
      <c r="C16" s="75" t="n"/>
      <c r="D16" s="76" t="n"/>
      <c r="E16" s="76" t="n"/>
      <c r="F16" s="75" t="n"/>
      <c r="G16" s="77">
        <f>IF(A16="","",SUMIFS(SalesQty,SalesProducts,A16))</f>
        <v/>
      </c>
      <c r="H16" s="78">
        <f>IF(A16="","",SUMIFS(SalesGross,SalesProducts,A16))</f>
        <v/>
      </c>
      <c r="I16" s="78">
        <f>IF(A16="","",SUMIFS(SalesNet,SalesProducts,A16))</f>
        <v/>
      </c>
      <c r="J16" s="79">
        <f>IF(OR(A16="",N(H16)=0),"",I16/H16)</f>
        <v/>
      </c>
      <c r="N16" s="73" t="inlineStr">
        <is>
          <t>Other</t>
        </is>
      </c>
    </row>
    <row r="17" ht="18" customHeight="1">
      <c r="A17" s="73" t="n"/>
      <c r="B17" s="73" t="n"/>
      <c r="C17" s="75" t="n"/>
      <c r="D17" s="76" t="n"/>
      <c r="E17" s="76" t="n"/>
      <c r="F17" s="75" t="n"/>
      <c r="G17" s="77">
        <f>IF(A17="","",SUMIFS(SalesQty,SalesProducts,A17))</f>
        <v/>
      </c>
      <c r="H17" s="78">
        <f>IF(A17="","",SUMIFS(SalesGross,SalesProducts,A17))</f>
        <v/>
      </c>
      <c r="I17" s="78">
        <f>IF(A17="","",SUMIFS(SalesNet,SalesProducts,A17))</f>
        <v/>
      </c>
      <c r="J17" s="79">
        <f>IF(OR(A17="",N(H17)=0),"",I17/H17)</f>
        <v/>
      </c>
    </row>
    <row r="18" ht="18" customHeight="1">
      <c r="A18" s="73" t="n"/>
      <c r="B18" s="73" t="n"/>
      <c r="C18" s="75" t="n"/>
      <c r="D18" s="76" t="n"/>
      <c r="E18" s="76" t="n"/>
      <c r="F18" s="75" t="n"/>
      <c r="G18" s="77">
        <f>IF(A18="","",SUMIFS(SalesQty,SalesProducts,A18))</f>
        <v/>
      </c>
      <c r="H18" s="78">
        <f>IF(A18="","",SUMIFS(SalesGross,SalesProducts,A18))</f>
        <v/>
      </c>
      <c r="I18" s="78">
        <f>IF(A18="","",SUMIFS(SalesNet,SalesProducts,A18))</f>
        <v/>
      </c>
      <c r="J18" s="79">
        <f>IF(OR(A18="",N(H18)=0),"",I18/H18)</f>
        <v/>
      </c>
      <c r="N18" s="73" t="inlineStr">
        <is>
          <t>Physical</t>
        </is>
      </c>
      <c r="O18" s="70" t="inlineStr">
        <is>
          <t>Product types</t>
        </is>
      </c>
    </row>
    <row r="19" ht="18" customHeight="1">
      <c r="A19" s="73" t="n"/>
      <c r="B19" s="73" t="n"/>
      <c r="C19" s="75" t="n"/>
      <c r="D19" s="76" t="n"/>
      <c r="E19" s="76" t="n"/>
      <c r="F19" s="75" t="n"/>
      <c r="G19" s="77">
        <f>IF(A19="","",SUMIFS(SalesQty,SalesProducts,A19))</f>
        <v/>
      </c>
      <c r="H19" s="78">
        <f>IF(A19="","",SUMIFS(SalesGross,SalesProducts,A19))</f>
        <v/>
      </c>
      <c r="I19" s="78">
        <f>IF(A19="","",SUMIFS(SalesNet,SalesProducts,A19))</f>
        <v/>
      </c>
      <c r="J19" s="79">
        <f>IF(OR(A19="",N(H19)=0),"",I19/H19)</f>
        <v/>
      </c>
      <c r="N19" s="73" t="inlineStr">
        <is>
          <t>Digital</t>
        </is>
      </c>
    </row>
    <row r="20" ht="18" customHeight="1">
      <c r="A20" s="73" t="n"/>
      <c r="B20" s="73" t="n"/>
      <c r="C20" s="75" t="n"/>
      <c r="D20" s="76" t="n"/>
      <c r="E20" s="76" t="n"/>
      <c r="F20" s="75" t="n"/>
      <c r="G20" s="77">
        <f>IF(A20="","",SUMIFS(SalesQty,SalesProducts,A20))</f>
        <v/>
      </c>
      <c r="H20" s="78">
        <f>IF(A20="","",SUMIFS(SalesGross,SalesProducts,A20))</f>
        <v/>
      </c>
      <c r="I20" s="78">
        <f>IF(A20="","",SUMIFS(SalesNet,SalesProducts,A20))</f>
        <v/>
      </c>
      <c r="J20" s="79">
        <f>IF(OR(A20="",N(H20)=0),"",I20/H20)</f>
        <v/>
      </c>
      <c r="N20" s="73" t="inlineStr">
        <is>
          <t>POD</t>
        </is>
      </c>
    </row>
    <row r="21" ht="18" customHeight="1">
      <c r="A21" s="73" t="n"/>
      <c r="B21" s="73" t="n"/>
      <c r="C21" s="75" t="n"/>
      <c r="D21" s="76" t="n"/>
      <c r="E21" s="76" t="n"/>
      <c r="F21" s="75" t="n"/>
      <c r="G21" s="77">
        <f>IF(A21="","",SUMIFS(SalesQty,SalesProducts,A21))</f>
        <v/>
      </c>
      <c r="H21" s="78">
        <f>IF(A21="","",SUMIFS(SalesGross,SalesProducts,A21))</f>
        <v/>
      </c>
      <c r="I21" s="78">
        <f>IF(A21="","",SUMIFS(SalesNet,SalesProducts,A21))</f>
        <v/>
      </c>
      <c r="J21" s="79">
        <f>IF(OR(A21="",N(H21)=0),"",I21/H21)</f>
        <v/>
      </c>
    </row>
    <row r="22" ht="18" customHeight="1">
      <c r="A22" s="73" t="n"/>
      <c r="B22" s="73" t="n"/>
      <c r="C22" s="75" t="n"/>
      <c r="D22" s="76" t="n"/>
      <c r="E22" s="76" t="n"/>
      <c r="F22" s="75" t="n"/>
      <c r="G22" s="77">
        <f>IF(A22="","",SUMIFS(SalesQty,SalesProducts,A22))</f>
        <v/>
      </c>
      <c r="H22" s="78">
        <f>IF(A22="","",SUMIFS(SalesGross,SalesProducts,A22))</f>
        <v/>
      </c>
      <c r="I22" s="78">
        <f>IF(A22="","",SUMIFS(SalesNet,SalesProducts,A22))</f>
        <v/>
      </c>
      <c r="J22" s="79">
        <f>IF(OR(A22="",N(H22)=0),"",I22/H22)</f>
        <v/>
      </c>
    </row>
    <row r="23" ht="18" customHeight="1">
      <c r="A23" s="73" t="n"/>
      <c r="B23" s="73" t="n"/>
      <c r="C23" s="75" t="n"/>
      <c r="D23" s="76" t="n"/>
      <c r="E23" s="76" t="n"/>
      <c r="F23" s="75" t="n"/>
      <c r="G23" s="77">
        <f>IF(A23="","",SUMIFS(SalesQty,SalesProducts,A23))</f>
        <v/>
      </c>
      <c r="H23" s="78">
        <f>IF(A23="","",SUMIFS(SalesGross,SalesProducts,A23))</f>
        <v/>
      </c>
      <c r="I23" s="78">
        <f>IF(A23="","",SUMIFS(SalesNet,SalesProducts,A23))</f>
        <v/>
      </c>
      <c r="J23" s="79">
        <f>IF(OR(A23="",N(H23)=0),"",I23/H23)</f>
        <v/>
      </c>
    </row>
    <row r="24" ht="18" customHeight="1">
      <c r="A24" s="73" t="n"/>
      <c r="B24" s="73" t="n"/>
      <c r="C24" s="75" t="n"/>
      <c r="D24" s="76" t="n"/>
      <c r="E24" s="76" t="n"/>
      <c r="F24" s="75" t="n"/>
      <c r="G24" s="77">
        <f>IF(A24="","",SUMIFS(SalesQty,SalesProducts,A24))</f>
        <v/>
      </c>
      <c r="H24" s="78">
        <f>IF(A24="","",SUMIFS(SalesGross,SalesProducts,A24))</f>
        <v/>
      </c>
      <c r="I24" s="78">
        <f>IF(A24="","",SUMIFS(SalesNet,SalesProducts,A24))</f>
        <v/>
      </c>
      <c r="J24" s="79">
        <f>IF(OR(A24="",N(H24)=0),"",I24/H24)</f>
        <v/>
      </c>
    </row>
    <row r="25" ht="18" customHeight="1">
      <c r="A25" s="73" t="n"/>
      <c r="B25" s="73" t="n"/>
      <c r="C25" s="75" t="n"/>
      <c r="D25" s="76" t="n"/>
      <c r="E25" s="76" t="n"/>
      <c r="F25" s="75" t="n"/>
      <c r="G25" s="77">
        <f>IF(A25="","",SUMIFS(SalesQty,SalesProducts,A25))</f>
        <v/>
      </c>
      <c r="H25" s="78">
        <f>IF(A25="","",SUMIFS(SalesGross,SalesProducts,A25))</f>
        <v/>
      </c>
      <c r="I25" s="78">
        <f>IF(A25="","",SUMIFS(SalesNet,SalesProducts,A25))</f>
        <v/>
      </c>
      <c r="J25" s="79">
        <f>IF(OR(A25="",N(H25)=0),"",I25/H25)</f>
        <v/>
      </c>
    </row>
    <row r="26" ht="18" customHeight="1">
      <c r="A26" s="73" t="n"/>
      <c r="B26" s="73" t="n"/>
      <c r="C26" s="75" t="n"/>
      <c r="D26" s="76" t="n"/>
      <c r="E26" s="76" t="n"/>
      <c r="F26" s="75" t="n"/>
      <c r="G26" s="77">
        <f>IF(A26="","",SUMIFS(SalesQty,SalesProducts,A26))</f>
        <v/>
      </c>
      <c r="H26" s="78">
        <f>IF(A26="","",SUMIFS(SalesGross,SalesProducts,A26))</f>
        <v/>
      </c>
      <c r="I26" s="78">
        <f>IF(A26="","",SUMIFS(SalesNet,SalesProducts,A26))</f>
        <v/>
      </c>
      <c r="J26" s="79">
        <f>IF(OR(A26="",N(H26)=0),"",I26/H26)</f>
        <v/>
      </c>
    </row>
    <row r="27" ht="18" customHeight="1">
      <c r="A27" s="73" t="n"/>
      <c r="B27" s="73" t="n"/>
      <c r="C27" s="75" t="n"/>
      <c r="D27" s="76" t="n"/>
      <c r="E27" s="76" t="n"/>
      <c r="F27" s="75" t="n"/>
      <c r="G27" s="77">
        <f>IF(A27="","",SUMIFS(SalesQty,SalesProducts,A27))</f>
        <v/>
      </c>
      <c r="H27" s="78">
        <f>IF(A27="","",SUMIFS(SalesGross,SalesProducts,A27))</f>
        <v/>
      </c>
      <c r="I27" s="78">
        <f>IF(A27="","",SUMIFS(SalesNet,SalesProducts,A27))</f>
        <v/>
      </c>
      <c r="J27" s="79">
        <f>IF(OR(A27="",N(H27)=0),"",I27/H27)</f>
        <v/>
      </c>
    </row>
    <row r="28" ht="18" customHeight="1">
      <c r="A28" s="73" t="n"/>
      <c r="B28" s="73" t="n"/>
      <c r="C28" s="75" t="n"/>
      <c r="D28" s="76" t="n"/>
      <c r="E28" s="76" t="n"/>
      <c r="F28" s="75" t="n"/>
      <c r="G28" s="77">
        <f>IF(A28="","",SUMIFS(SalesQty,SalesProducts,A28))</f>
        <v/>
      </c>
      <c r="H28" s="78">
        <f>IF(A28="","",SUMIFS(SalesGross,SalesProducts,A28))</f>
        <v/>
      </c>
      <c r="I28" s="78">
        <f>IF(A28="","",SUMIFS(SalesNet,SalesProducts,A28))</f>
        <v/>
      </c>
      <c r="J28" s="79">
        <f>IF(OR(A28="",N(H28)=0),"",I28/H28)</f>
        <v/>
      </c>
    </row>
    <row r="29" ht="18" customHeight="1">
      <c r="A29" s="73" t="n"/>
      <c r="B29" s="73" t="n"/>
      <c r="C29" s="75" t="n"/>
      <c r="D29" s="76" t="n"/>
      <c r="E29" s="76" t="n"/>
      <c r="F29" s="75" t="n"/>
      <c r="G29" s="77">
        <f>IF(A29="","",SUMIFS(SalesQty,SalesProducts,A29))</f>
        <v/>
      </c>
      <c r="H29" s="78">
        <f>IF(A29="","",SUMIFS(SalesGross,SalesProducts,A29))</f>
        <v/>
      </c>
      <c r="I29" s="78">
        <f>IF(A29="","",SUMIFS(SalesNet,SalesProducts,A29))</f>
        <v/>
      </c>
      <c r="J29" s="79">
        <f>IF(OR(A29="",N(H29)=0),"",I29/H29)</f>
        <v/>
      </c>
    </row>
    <row r="30" ht="18" customHeight="1">
      <c r="A30" s="73" t="n"/>
      <c r="B30" s="73" t="n"/>
      <c r="C30" s="75" t="n"/>
      <c r="D30" s="76" t="n"/>
      <c r="E30" s="76" t="n"/>
      <c r="F30" s="75" t="n"/>
      <c r="G30" s="77">
        <f>IF(A30="","",SUMIFS(SalesQty,SalesProducts,A30))</f>
        <v/>
      </c>
      <c r="H30" s="78">
        <f>IF(A30="","",SUMIFS(SalesGross,SalesProducts,A30))</f>
        <v/>
      </c>
      <c r="I30" s="78">
        <f>IF(A30="","",SUMIFS(SalesNet,SalesProducts,A30))</f>
        <v/>
      </c>
      <c r="J30" s="79">
        <f>IF(OR(A30="",N(H30)=0),"",I30/H30)</f>
        <v/>
      </c>
    </row>
    <row r="31" ht="18" customHeight="1">
      <c r="A31" s="73" t="n"/>
      <c r="B31" s="73" t="n"/>
      <c r="C31" s="75" t="n"/>
      <c r="D31" s="76" t="n"/>
      <c r="E31" s="76" t="n"/>
      <c r="F31" s="75" t="n"/>
      <c r="G31" s="77">
        <f>IF(A31="","",SUMIFS(SalesQty,SalesProducts,A31))</f>
        <v/>
      </c>
      <c r="H31" s="78">
        <f>IF(A31="","",SUMIFS(SalesGross,SalesProducts,A31))</f>
        <v/>
      </c>
      <c r="I31" s="78">
        <f>IF(A31="","",SUMIFS(SalesNet,SalesProducts,A31))</f>
        <v/>
      </c>
      <c r="J31" s="79">
        <f>IF(OR(A31="",N(H31)=0),"",I31/H31)</f>
        <v/>
      </c>
    </row>
    <row r="32" ht="18" customHeight="1">
      <c r="A32" s="73" t="n"/>
      <c r="B32" s="73" t="n"/>
      <c r="C32" s="75" t="n"/>
      <c r="D32" s="76" t="n"/>
      <c r="E32" s="76" t="n"/>
      <c r="F32" s="75" t="n"/>
      <c r="G32" s="77">
        <f>IF(A32="","",SUMIFS(SalesQty,SalesProducts,A32))</f>
        <v/>
      </c>
      <c r="H32" s="78">
        <f>IF(A32="","",SUMIFS(SalesGross,SalesProducts,A32))</f>
        <v/>
      </c>
      <c r="I32" s="78">
        <f>IF(A32="","",SUMIFS(SalesNet,SalesProducts,A32))</f>
        <v/>
      </c>
      <c r="J32" s="79">
        <f>IF(OR(A32="",N(H32)=0),"",I32/H32)</f>
        <v/>
      </c>
    </row>
    <row r="33" ht="18" customHeight="1">
      <c r="A33" s="73" t="n"/>
      <c r="B33" s="73" t="n"/>
      <c r="C33" s="75" t="n"/>
      <c r="D33" s="76" t="n"/>
      <c r="E33" s="76" t="n"/>
      <c r="F33" s="75" t="n"/>
      <c r="G33" s="77">
        <f>IF(A33="","",SUMIFS(SalesQty,SalesProducts,A33))</f>
        <v/>
      </c>
      <c r="H33" s="78">
        <f>IF(A33="","",SUMIFS(SalesGross,SalesProducts,A33))</f>
        <v/>
      </c>
      <c r="I33" s="78">
        <f>IF(A33="","",SUMIFS(SalesNet,SalesProducts,A33))</f>
        <v/>
      </c>
      <c r="J33" s="79">
        <f>IF(OR(A33="",N(H33)=0),"",I33/H33)</f>
        <v/>
      </c>
    </row>
    <row r="34" ht="18" customHeight="1">
      <c r="A34" s="73" t="n"/>
      <c r="B34" s="73" t="n"/>
      <c r="C34" s="75" t="n"/>
      <c r="D34" s="76" t="n"/>
      <c r="E34" s="76" t="n"/>
      <c r="F34" s="75" t="n"/>
      <c r="G34" s="77">
        <f>IF(A34="","",SUMIFS(SalesQty,SalesProducts,A34))</f>
        <v/>
      </c>
      <c r="H34" s="78">
        <f>IF(A34="","",SUMIFS(SalesGross,SalesProducts,A34))</f>
        <v/>
      </c>
      <c r="I34" s="78">
        <f>IF(A34="","",SUMIFS(SalesNet,SalesProducts,A34))</f>
        <v/>
      </c>
      <c r="J34" s="79">
        <f>IF(OR(A34="",N(H34)=0),"",I34/H34)</f>
        <v/>
      </c>
    </row>
    <row r="35">
      <c r="A35" s="80" t="inlineStr">
        <is>
          <t>TOTAL</t>
        </is>
      </c>
      <c r="B35" s="66" t="n"/>
      <c r="C35" s="66" t="n"/>
      <c r="D35" s="66" t="n"/>
      <c r="E35" s="66" t="n"/>
      <c r="F35" s="66" t="n"/>
      <c r="G35" s="81">
        <f>SUM(G5:G34)</f>
        <v/>
      </c>
      <c r="H35" s="82">
        <f>SUM(H5:H34)</f>
        <v/>
      </c>
      <c r="I35" s="82">
        <f>SUM(I5:I34)</f>
        <v/>
      </c>
      <c r="J35" s="83">
        <f>IF(H35=0,"",I35/H35)</f>
        <v/>
      </c>
    </row>
    <row r="37" ht="28" customHeight="1">
      <c r="A37" s="50" t="inlineStr">
        <is>
          <t>Add a product: type in the next blank blue row. The Sales Log dropdown picks it up automatically. Rename a product here and update matching rows on the Sales Log so totals still match.</t>
        </is>
      </c>
    </row>
  </sheetData>
  <autoFilter ref="A4:J34"/>
  <mergeCells count="5">
    <mergeCell ref="A1:J1"/>
    <mergeCell ref="A37:J37"/>
    <mergeCell ref="E2:J2"/>
    <mergeCell ref="A3:J3"/>
    <mergeCell ref="B2:D2"/>
  </mergeCells>
  <conditionalFormatting sqref="I5:I34">
    <cfRule type="expression" priority="1" dxfId="5">
      <formula>AND($A5&lt;&gt;"",$I5&lt;0)</formula>
    </cfRule>
    <cfRule type="expression" priority="2" dxfId="6">
      <formula>AND($A5&lt;&gt;"",$I5&gt;0)</formula>
    </cfRule>
  </conditionalFormatting>
  <conditionalFormatting sqref="J5:J34">
    <cfRule type="dataBar" priority="3">
      <dataBar showValue="1">
        <cfvo type="num" val="0"/>
        <cfvo type="num" val="1"/>
        <color rgb="001F7A6B"/>
      </dataBar>
    </cfRule>
  </conditionalFormatting>
  <dataValidations count="2">
    <dataValidation sqref="C5:C34" showDropDown="0" showInputMessage="0" showErrorMessage="0" allowBlank="1" type="list">
      <formula1>=Products!$N$18:$N$20</formula1>
    </dataValidation>
    <dataValidation sqref="D5:E34" showDropDown="0" showInputMessage="0" showErrorMessage="0" allowBlank="1" type="decimal" operator="greaterThanOrEqual">
      <formula1>0</formula1>
    </dataValidation>
  </dataValidations>
  <printOptions horizontalCentered="1"/>
  <pageMargins left="0.5" right="0.5" top="0.55" bottom="0.55" header="0.3" footer="0.3"/>
  <pageSetup orientation="landscape" paperSize="1" fitToHeight="0" fitToWidth="1"/>
  <headerFooter>
    <oddHeader>&amp;LProducts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68910"/>
    <outlinePr summaryBelow="1" summaryRight="1"/>
    <pageSetUpPr fitToPage="1"/>
  </sheetPr>
  <dimension ref="A1:G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Fees &amp; Expenses</t>
        </is>
      </c>
    </row>
    <row r="2" ht="28" customHeight="1">
      <c r="A2" s="50" t="inlineStr">
        <is>
          <t>Shop overhead that is not tied to one order: ads, packaging stock, subscriptions, software. Per-sale platform fees and postage belong on the Sales Log.</t>
        </is>
      </c>
    </row>
    <row r="3">
      <c r="A3" s="54">
        <f>"Operating expenses (all time): "&amp;TEXT(SUM(D5:D84),"$#,##0.00")&amp;"   ·   These are subtracted from sales profit to get true net profit."</f>
        <v/>
      </c>
    </row>
    <row r="4" ht="22" customHeight="1">
      <c r="A4" s="84" t="inlineStr">
        <is>
          <t>Date</t>
        </is>
      </c>
      <c r="B4" s="84" t="inlineStr">
        <is>
          <t>Category</t>
        </is>
      </c>
      <c r="C4" s="84" t="inlineStr">
        <is>
          <t>Description</t>
        </is>
      </c>
      <c r="D4" s="84" t="inlineStr">
        <is>
          <t>Amount</t>
        </is>
      </c>
      <c r="E4" s="84" t="inlineStr">
        <is>
          <t>Platform</t>
        </is>
      </c>
      <c r="F4" s="84" t="inlineStr">
        <is>
          <t>Notes</t>
        </is>
      </c>
      <c r="G4" s="84" t="inlineStr">
        <is>
          <t>Month</t>
        </is>
      </c>
    </row>
    <row r="5" ht="18" customHeight="1">
      <c r="A5" s="119" t="n">
        <v>46174</v>
      </c>
      <c r="B5" s="73" t="inlineStr">
        <is>
          <t>Subscriptions</t>
        </is>
      </c>
      <c r="C5" s="73" t="inlineStr">
        <is>
          <t>Etsy Plus</t>
        </is>
      </c>
      <c r="D5" s="76" t="n">
        <v>10</v>
      </c>
      <c r="E5" s="75" t="inlineStr">
        <is>
          <t>Etsy</t>
        </is>
      </c>
      <c r="F5" s="73" t="inlineStr">
        <is>
          <t>Monthly</t>
        </is>
      </c>
      <c r="G5" s="86">
        <f>IF(A5="","",DATE(YEAR(A5),MONTH(A5),1))</f>
        <v/>
      </c>
    </row>
    <row r="6" ht="18" customHeight="1">
      <c r="A6" s="119" t="n">
        <v>46181</v>
      </c>
      <c r="B6" s="73" t="inlineStr">
        <is>
          <t>Packaging</t>
        </is>
      </c>
      <c r="C6" s="73" t="inlineStr">
        <is>
          <t>Poly mailers + tissue</t>
        </is>
      </c>
      <c r="D6" s="76" t="n">
        <v>28.4</v>
      </c>
      <c r="E6" s="75" t="inlineStr"/>
      <c r="F6" s="73" t="inlineStr">
        <is>
          <t>Stock up</t>
        </is>
      </c>
      <c r="G6" s="86">
        <f>IF(A6="","",DATE(YEAR(A6),MONTH(A6),1))</f>
        <v/>
      </c>
    </row>
    <row r="7" ht="18" customHeight="1">
      <c r="A7" s="119" t="n">
        <v>46188</v>
      </c>
      <c r="B7" s="73" t="inlineStr">
        <is>
          <t>Ads</t>
        </is>
      </c>
      <c r="C7" s="73" t="inlineStr">
        <is>
          <t>Facebook ads</t>
        </is>
      </c>
      <c r="D7" s="76" t="n">
        <v>35</v>
      </c>
      <c r="E7" s="75" t="inlineStr">
        <is>
          <t>Etsy</t>
        </is>
      </c>
      <c r="F7" s="73" t="inlineStr"/>
      <c r="G7" s="86">
        <f>IF(A7="","",DATE(YEAR(A7),MONTH(A7),1))</f>
        <v/>
      </c>
    </row>
    <row r="8" ht="18" customHeight="1">
      <c r="A8" s="119" t="n">
        <v>46193</v>
      </c>
      <c r="B8" s="73" t="inlineStr">
        <is>
          <t>Software</t>
        </is>
      </c>
      <c r="C8" s="73" t="inlineStr">
        <is>
          <t>Canva Pro</t>
        </is>
      </c>
      <c r="D8" s="76" t="n">
        <v>13</v>
      </c>
      <c r="E8" s="75" t="inlineStr"/>
      <c r="F8" s="73" t="inlineStr"/>
      <c r="G8" s="86">
        <f>IF(A8="","",DATE(YEAR(A8),MONTH(A8),1))</f>
        <v/>
      </c>
    </row>
    <row r="9" ht="18" customHeight="1">
      <c r="A9" s="119" t="n">
        <v>46204</v>
      </c>
      <c r="B9" s="73" t="inlineStr">
        <is>
          <t>Subscriptions</t>
        </is>
      </c>
      <c r="C9" s="73" t="inlineStr">
        <is>
          <t>Etsy Plus</t>
        </is>
      </c>
      <c r="D9" s="76" t="n">
        <v>10</v>
      </c>
      <c r="E9" s="75" t="inlineStr">
        <is>
          <t>Etsy</t>
        </is>
      </c>
      <c r="F9" s="73" t="inlineStr">
        <is>
          <t>Monthly</t>
        </is>
      </c>
      <c r="G9" s="86">
        <f>IF(A9="","",DATE(YEAR(A9),MONTH(A9),1))</f>
        <v/>
      </c>
    </row>
    <row r="10" ht="18" customHeight="1">
      <c r="A10" s="119" t="n">
        <v>46209</v>
      </c>
      <c r="B10" s="73" t="inlineStr">
        <is>
          <t>Packaging</t>
        </is>
      </c>
      <c r="C10" s="73" t="inlineStr">
        <is>
          <t>Mailers + stickers</t>
        </is>
      </c>
      <c r="D10" s="76" t="n">
        <v>32.1</v>
      </c>
      <c r="E10" s="75" t="inlineStr"/>
      <c r="F10" s="73" t="inlineStr"/>
      <c r="G10" s="86">
        <f>IF(A10="","",DATE(YEAR(A10),MONTH(A10),1))</f>
        <v/>
      </c>
    </row>
    <row r="11" ht="18" customHeight="1">
      <c r="A11" s="119" t="n">
        <v>46215</v>
      </c>
      <c r="B11" s="73" t="inlineStr">
        <is>
          <t>Ads</t>
        </is>
      </c>
      <c r="C11" s="73" t="inlineStr">
        <is>
          <t>Facebook ads</t>
        </is>
      </c>
      <c r="D11" s="76" t="n">
        <v>48</v>
      </c>
      <c r="E11" s="75" t="inlineStr">
        <is>
          <t>Etsy</t>
        </is>
      </c>
      <c r="F11" s="73" t="inlineStr">
        <is>
          <t>July push</t>
        </is>
      </c>
      <c r="G11" s="86">
        <f>IF(A11="","",DATE(YEAR(A11),MONTH(A11),1))</f>
        <v/>
      </c>
    </row>
    <row r="12" ht="18" customHeight="1">
      <c r="A12" s="119" t="n">
        <v>46221</v>
      </c>
      <c r="B12" s="73" t="inlineStr">
        <is>
          <t>Ads</t>
        </is>
      </c>
      <c r="C12" s="73" t="inlineStr">
        <is>
          <t>Pinterest ads</t>
        </is>
      </c>
      <c r="D12" s="76" t="n">
        <v>22</v>
      </c>
      <c r="E12" s="75" t="inlineStr">
        <is>
          <t>Etsy</t>
        </is>
      </c>
      <c r="F12" s="73" t="inlineStr"/>
      <c r="G12" s="86">
        <f>IF(A12="","",DATE(YEAR(A12),MONTH(A12),1))</f>
        <v/>
      </c>
    </row>
    <row r="13" ht="18" customHeight="1">
      <c r="A13" s="119" t="n">
        <v>46225</v>
      </c>
      <c r="B13" s="73" t="inlineStr">
        <is>
          <t>Supplies</t>
        </is>
      </c>
      <c r="C13" s="73" t="inlineStr">
        <is>
          <t>Cardstock restock</t>
        </is>
      </c>
      <c r="D13" s="76" t="n">
        <v>19.8</v>
      </c>
      <c r="E13" s="75" t="inlineStr"/>
      <c r="F13" s="73" t="inlineStr"/>
      <c r="G13" s="86">
        <f>IF(A13="","",DATE(YEAR(A13),MONTH(A13),1))</f>
        <v/>
      </c>
    </row>
    <row r="14" ht="18" customHeight="1">
      <c r="A14" s="119" t="n">
        <v>46235</v>
      </c>
      <c r="B14" s="73" t="inlineStr">
        <is>
          <t>Subscriptions</t>
        </is>
      </c>
      <c r="C14" s="73" t="inlineStr">
        <is>
          <t>Etsy Plus</t>
        </is>
      </c>
      <c r="D14" s="76" t="n">
        <v>10</v>
      </c>
      <c r="E14" s="75" t="inlineStr">
        <is>
          <t>Etsy</t>
        </is>
      </c>
      <c r="F14" s="73" t="inlineStr">
        <is>
          <t>Monthly</t>
        </is>
      </c>
      <c r="G14" s="86">
        <f>IF(A14="","",DATE(YEAR(A14),MONTH(A14),1))</f>
        <v/>
      </c>
    </row>
    <row r="15" ht="18" customHeight="1">
      <c r="A15" s="119" t="n">
        <v>46238</v>
      </c>
      <c r="B15" s="73" t="inlineStr">
        <is>
          <t>Packaging</t>
        </is>
      </c>
      <c r="C15" s="73" t="inlineStr">
        <is>
          <t>Mailers</t>
        </is>
      </c>
      <c r="D15" s="76" t="n">
        <v>24.5</v>
      </c>
      <c r="E15" s="75" t="inlineStr"/>
      <c r="F15" s="73" t="inlineStr"/>
      <c r="G15" s="86">
        <f>IF(A15="","",DATE(YEAR(A15),MONTH(A15),1))</f>
        <v/>
      </c>
    </row>
    <row r="16" ht="18" customHeight="1">
      <c r="A16" s="119" t="n">
        <v>46243</v>
      </c>
      <c r="B16" s="73" t="inlineStr">
        <is>
          <t>Ads</t>
        </is>
      </c>
      <c r="C16" s="73" t="inlineStr">
        <is>
          <t>Instagram ads</t>
        </is>
      </c>
      <c r="D16" s="76" t="n">
        <v>30</v>
      </c>
      <c r="E16" s="75" t="inlineStr">
        <is>
          <t>Etsy</t>
        </is>
      </c>
      <c r="F16" s="73" t="inlineStr"/>
      <c r="G16" s="86">
        <f>IF(A16="","",DATE(YEAR(A16),MONTH(A16),1))</f>
        <v/>
      </c>
    </row>
    <row r="17" ht="18" customHeight="1">
      <c r="A17" s="119" t="n"/>
      <c r="B17" s="73" t="n"/>
      <c r="C17" s="73" t="n"/>
      <c r="D17" s="76" t="n"/>
      <c r="E17" s="75" t="n"/>
      <c r="F17" s="73" t="n"/>
      <c r="G17" s="86">
        <f>IF(A17="","",DATE(YEAR(A17),MONTH(A17),1))</f>
        <v/>
      </c>
    </row>
    <row r="18" ht="18" customHeight="1">
      <c r="A18" s="119" t="n"/>
      <c r="B18" s="73" t="n"/>
      <c r="C18" s="73" t="n"/>
      <c r="D18" s="76" t="n"/>
      <c r="E18" s="75" t="n"/>
      <c r="F18" s="73" t="n"/>
      <c r="G18" s="86">
        <f>IF(A18="","",DATE(YEAR(A18),MONTH(A18),1))</f>
        <v/>
      </c>
    </row>
    <row r="19" ht="18" customHeight="1">
      <c r="A19" s="119" t="n"/>
      <c r="B19" s="73" t="n"/>
      <c r="C19" s="73" t="n"/>
      <c r="D19" s="76" t="n"/>
      <c r="E19" s="75" t="n"/>
      <c r="F19" s="73" t="n"/>
      <c r="G19" s="86">
        <f>IF(A19="","",DATE(YEAR(A19),MONTH(A19),1))</f>
        <v/>
      </c>
    </row>
    <row r="20" ht="18" customHeight="1">
      <c r="A20" s="119" t="n"/>
      <c r="B20" s="73" t="n"/>
      <c r="C20" s="73" t="n"/>
      <c r="D20" s="76" t="n"/>
      <c r="E20" s="75" t="n"/>
      <c r="F20" s="73" t="n"/>
      <c r="G20" s="86">
        <f>IF(A20="","",DATE(YEAR(A20),MONTH(A20),1))</f>
        <v/>
      </c>
    </row>
    <row r="21" ht="18" customHeight="1">
      <c r="A21" s="119" t="n"/>
      <c r="B21" s="73" t="n"/>
      <c r="C21" s="73" t="n"/>
      <c r="D21" s="76" t="n"/>
      <c r="E21" s="75" t="n"/>
      <c r="F21" s="73" t="n"/>
      <c r="G21" s="86">
        <f>IF(A21="","",DATE(YEAR(A21),MONTH(A21),1))</f>
        <v/>
      </c>
    </row>
    <row r="22" ht="18" customHeight="1">
      <c r="A22" s="119" t="n"/>
      <c r="B22" s="73" t="n"/>
      <c r="C22" s="73" t="n"/>
      <c r="D22" s="76" t="n"/>
      <c r="E22" s="75" t="n"/>
      <c r="F22" s="73" t="n"/>
      <c r="G22" s="86">
        <f>IF(A22="","",DATE(YEAR(A22),MONTH(A22),1))</f>
        <v/>
      </c>
    </row>
    <row r="23" ht="18" customHeight="1">
      <c r="A23" s="119" t="n"/>
      <c r="B23" s="73" t="n"/>
      <c r="C23" s="73" t="n"/>
      <c r="D23" s="76" t="n"/>
      <c r="E23" s="75" t="n"/>
      <c r="F23" s="73" t="n"/>
      <c r="G23" s="86">
        <f>IF(A23="","",DATE(YEAR(A23),MONTH(A23),1))</f>
        <v/>
      </c>
    </row>
    <row r="24" ht="18" customHeight="1">
      <c r="A24" s="119" t="n"/>
      <c r="B24" s="73" t="n"/>
      <c r="C24" s="73" t="n"/>
      <c r="D24" s="76" t="n"/>
      <c r="E24" s="75" t="n"/>
      <c r="F24" s="73" t="n"/>
      <c r="G24" s="86">
        <f>IF(A24="","",DATE(YEAR(A24),MONTH(A24),1))</f>
        <v/>
      </c>
    </row>
    <row r="25" ht="18" customHeight="1">
      <c r="A25" s="119" t="n"/>
      <c r="B25" s="73" t="n"/>
      <c r="C25" s="73" t="n"/>
      <c r="D25" s="76" t="n"/>
      <c r="E25" s="75" t="n"/>
      <c r="F25" s="73" t="n"/>
      <c r="G25" s="86">
        <f>IF(A25="","",DATE(YEAR(A25),MONTH(A25),1))</f>
        <v/>
      </c>
    </row>
    <row r="26" ht="18" customHeight="1">
      <c r="A26" s="119" t="n"/>
      <c r="B26" s="73" t="n"/>
      <c r="C26" s="73" t="n"/>
      <c r="D26" s="76" t="n"/>
      <c r="E26" s="75" t="n"/>
      <c r="F26" s="73" t="n"/>
      <c r="G26" s="86">
        <f>IF(A26="","",DATE(YEAR(A26),MONTH(A26),1))</f>
        <v/>
      </c>
    </row>
    <row r="27" ht="18" customHeight="1">
      <c r="A27" s="119" t="n"/>
      <c r="B27" s="73" t="n"/>
      <c r="C27" s="73" t="n"/>
      <c r="D27" s="76" t="n"/>
      <c r="E27" s="75" t="n"/>
      <c r="F27" s="73" t="n"/>
      <c r="G27" s="86">
        <f>IF(A27="","",DATE(YEAR(A27),MONTH(A27),1))</f>
        <v/>
      </c>
    </row>
    <row r="28" ht="18" customHeight="1">
      <c r="A28" s="119" t="n"/>
      <c r="B28" s="73" t="n"/>
      <c r="C28" s="73" t="n"/>
      <c r="D28" s="76" t="n"/>
      <c r="E28" s="75" t="n"/>
      <c r="F28" s="73" t="n"/>
      <c r="G28" s="86">
        <f>IF(A28="","",DATE(YEAR(A28),MONTH(A28),1))</f>
        <v/>
      </c>
    </row>
    <row r="29" ht="18" customHeight="1">
      <c r="A29" s="119" t="n"/>
      <c r="B29" s="73" t="n"/>
      <c r="C29" s="73" t="n"/>
      <c r="D29" s="76" t="n"/>
      <c r="E29" s="75" t="n"/>
      <c r="F29" s="73" t="n"/>
      <c r="G29" s="86">
        <f>IF(A29="","",DATE(YEAR(A29),MONTH(A29),1))</f>
        <v/>
      </c>
    </row>
    <row r="30" ht="18" customHeight="1">
      <c r="A30" s="119" t="n"/>
      <c r="B30" s="73" t="n"/>
      <c r="C30" s="73" t="n"/>
      <c r="D30" s="76" t="n"/>
      <c r="E30" s="75" t="n"/>
      <c r="F30" s="73" t="n"/>
      <c r="G30" s="86">
        <f>IF(A30="","",DATE(YEAR(A30),MONTH(A30),1))</f>
        <v/>
      </c>
    </row>
    <row r="31" ht="18" customHeight="1">
      <c r="A31" s="119" t="n"/>
      <c r="B31" s="73" t="n"/>
      <c r="C31" s="73" t="n"/>
      <c r="D31" s="76" t="n"/>
      <c r="E31" s="75" t="n"/>
      <c r="F31" s="73" t="n"/>
      <c r="G31" s="86">
        <f>IF(A31="","",DATE(YEAR(A31),MONTH(A31),1))</f>
        <v/>
      </c>
    </row>
    <row r="32" ht="18" customHeight="1">
      <c r="A32" s="119" t="n"/>
      <c r="B32" s="73" t="n"/>
      <c r="C32" s="73" t="n"/>
      <c r="D32" s="76" t="n"/>
      <c r="E32" s="75" t="n"/>
      <c r="F32" s="73" t="n"/>
      <c r="G32" s="86">
        <f>IF(A32="","",DATE(YEAR(A32),MONTH(A32),1))</f>
        <v/>
      </c>
    </row>
    <row r="33" ht="18" customHeight="1">
      <c r="A33" s="119" t="n"/>
      <c r="B33" s="73" t="n"/>
      <c r="C33" s="73" t="n"/>
      <c r="D33" s="76" t="n"/>
      <c r="E33" s="75" t="n"/>
      <c r="F33" s="73" t="n"/>
      <c r="G33" s="86">
        <f>IF(A33="","",DATE(YEAR(A33),MONTH(A33),1))</f>
        <v/>
      </c>
    </row>
    <row r="34" ht="18" customHeight="1">
      <c r="A34" s="119" t="n"/>
      <c r="B34" s="73" t="n"/>
      <c r="C34" s="73" t="n"/>
      <c r="D34" s="76" t="n"/>
      <c r="E34" s="75" t="n"/>
      <c r="F34" s="73" t="n"/>
      <c r="G34" s="86">
        <f>IF(A34="","",DATE(YEAR(A34),MONTH(A34),1))</f>
        <v/>
      </c>
    </row>
    <row r="35" ht="18" customHeight="1">
      <c r="A35" s="119" t="n"/>
      <c r="B35" s="73" t="n"/>
      <c r="C35" s="73" t="n"/>
      <c r="D35" s="76" t="n"/>
      <c r="E35" s="75" t="n"/>
      <c r="F35" s="73" t="n"/>
      <c r="G35" s="86">
        <f>IF(A35="","",DATE(YEAR(A35),MONTH(A35),1))</f>
        <v/>
      </c>
    </row>
    <row r="36" ht="18" customHeight="1">
      <c r="A36" s="119" t="n"/>
      <c r="B36" s="73" t="n"/>
      <c r="C36" s="73" t="n"/>
      <c r="D36" s="76" t="n"/>
      <c r="E36" s="75" t="n"/>
      <c r="F36" s="73" t="n"/>
      <c r="G36" s="86">
        <f>IF(A36="","",DATE(YEAR(A36),MONTH(A36),1))</f>
        <v/>
      </c>
    </row>
    <row r="37" ht="18" customHeight="1">
      <c r="A37" s="119" t="n"/>
      <c r="B37" s="73" t="n"/>
      <c r="C37" s="73" t="n"/>
      <c r="D37" s="76" t="n"/>
      <c r="E37" s="75" t="n"/>
      <c r="F37" s="73" t="n"/>
      <c r="G37" s="86">
        <f>IF(A37="","",DATE(YEAR(A37),MONTH(A37),1))</f>
        <v/>
      </c>
    </row>
    <row r="38" ht="18" customHeight="1">
      <c r="A38" s="119" t="n"/>
      <c r="B38" s="73" t="n"/>
      <c r="C38" s="73" t="n"/>
      <c r="D38" s="76" t="n"/>
      <c r="E38" s="75" t="n"/>
      <c r="F38" s="73" t="n"/>
      <c r="G38" s="86">
        <f>IF(A38="","",DATE(YEAR(A38),MONTH(A38),1))</f>
        <v/>
      </c>
    </row>
    <row r="39" ht="18" customHeight="1">
      <c r="A39" s="119" t="n"/>
      <c r="B39" s="73" t="n"/>
      <c r="C39" s="73" t="n"/>
      <c r="D39" s="76" t="n"/>
      <c r="E39" s="75" t="n"/>
      <c r="F39" s="73" t="n"/>
      <c r="G39" s="86">
        <f>IF(A39="","",DATE(YEAR(A39),MONTH(A39),1))</f>
        <v/>
      </c>
    </row>
    <row r="40" ht="18" customHeight="1">
      <c r="A40" s="119" t="n"/>
      <c r="B40" s="73" t="n"/>
      <c r="C40" s="73" t="n"/>
      <c r="D40" s="76" t="n"/>
      <c r="E40" s="75" t="n"/>
      <c r="F40" s="73" t="n"/>
      <c r="G40" s="86">
        <f>IF(A40="","",DATE(YEAR(A40),MONTH(A40),1))</f>
        <v/>
      </c>
    </row>
    <row r="41" ht="18" customHeight="1">
      <c r="A41" s="119" t="n"/>
      <c r="B41" s="73" t="n"/>
      <c r="C41" s="73" t="n"/>
      <c r="D41" s="76" t="n"/>
      <c r="E41" s="75" t="n"/>
      <c r="F41" s="73" t="n"/>
      <c r="G41" s="86">
        <f>IF(A41="","",DATE(YEAR(A41),MONTH(A41),1))</f>
        <v/>
      </c>
    </row>
    <row r="42" ht="18" customHeight="1">
      <c r="A42" s="119" t="n"/>
      <c r="B42" s="73" t="n"/>
      <c r="C42" s="73" t="n"/>
      <c r="D42" s="76" t="n"/>
      <c r="E42" s="75" t="n"/>
      <c r="F42" s="73" t="n"/>
      <c r="G42" s="86">
        <f>IF(A42="","",DATE(YEAR(A42),MONTH(A42),1))</f>
        <v/>
      </c>
    </row>
    <row r="43" ht="18" customHeight="1">
      <c r="A43" s="119" t="n"/>
      <c r="B43" s="73" t="n"/>
      <c r="C43" s="73" t="n"/>
      <c r="D43" s="76" t="n"/>
      <c r="E43" s="75" t="n"/>
      <c r="F43" s="73" t="n"/>
      <c r="G43" s="86">
        <f>IF(A43="","",DATE(YEAR(A43),MONTH(A43),1))</f>
        <v/>
      </c>
    </row>
    <row r="44" ht="18" customHeight="1">
      <c r="A44" s="119" t="n"/>
      <c r="B44" s="73" t="n"/>
      <c r="C44" s="73" t="n"/>
      <c r="D44" s="76" t="n"/>
      <c r="E44" s="75" t="n"/>
      <c r="F44" s="73" t="n"/>
      <c r="G44" s="86">
        <f>IF(A44="","",DATE(YEAR(A44),MONTH(A44),1))</f>
        <v/>
      </c>
    </row>
    <row r="45" ht="18" customHeight="1">
      <c r="A45" s="119" t="n"/>
      <c r="B45" s="73" t="n"/>
      <c r="C45" s="73" t="n"/>
      <c r="D45" s="76" t="n"/>
      <c r="E45" s="75" t="n"/>
      <c r="F45" s="73" t="n"/>
      <c r="G45" s="86">
        <f>IF(A45="","",DATE(YEAR(A45),MONTH(A45),1))</f>
        <v/>
      </c>
    </row>
    <row r="46" ht="18" customHeight="1">
      <c r="A46" s="119" t="n"/>
      <c r="B46" s="73" t="n"/>
      <c r="C46" s="73" t="n"/>
      <c r="D46" s="76" t="n"/>
      <c r="E46" s="75" t="n"/>
      <c r="F46" s="73" t="n"/>
      <c r="G46" s="86">
        <f>IF(A46="","",DATE(YEAR(A46),MONTH(A46),1))</f>
        <v/>
      </c>
    </row>
    <row r="47" ht="18" customHeight="1">
      <c r="A47" s="119" t="n"/>
      <c r="B47" s="73" t="n"/>
      <c r="C47" s="73" t="n"/>
      <c r="D47" s="76" t="n"/>
      <c r="E47" s="75" t="n"/>
      <c r="F47" s="73" t="n"/>
      <c r="G47" s="86">
        <f>IF(A47="","",DATE(YEAR(A47),MONTH(A47),1))</f>
        <v/>
      </c>
    </row>
    <row r="48" ht="18" customHeight="1">
      <c r="A48" s="119" t="n"/>
      <c r="B48" s="73" t="n"/>
      <c r="C48" s="73" t="n"/>
      <c r="D48" s="76" t="n"/>
      <c r="E48" s="75" t="n"/>
      <c r="F48" s="73" t="n"/>
      <c r="G48" s="86">
        <f>IF(A48="","",DATE(YEAR(A48),MONTH(A48),1))</f>
        <v/>
      </c>
    </row>
    <row r="49" ht="18" customHeight="1">
      <c r="A49" s="119" t="n"/>
      <c r="B49" s="73" t="n"/>
      <c r="C49" s="73" t="n"/>
      <c r="D49" s="76" t="n"/>
      <c r="E49" s="75" t="n"/>
      <c r="F49" s="73" t="n"/>
      <c r="G49" s="86">
        <f>IF(A49="","",DATE(YEAR(A49),MONTH(A49),1))</f>
        <v/>
      </c>
    </row>
    <row r="50" ht="18" customHeight="1">
      <c r="A50" s="119" t="n"/>
      <c r="B50" s="73" t="n"/>
      <c r="C50" s="73" t="n"/>
      <c r="D50" s="76" t="n"/>
      <c r="E50" s="75" t="n"/>
      <c r="F50" s="73" t="n"/>
      <c r="G50" s="86">
        <f>IF(A50="","",DATE(YEAR(A50),MONTH(A50),1))</f>
        <v/>
      </c>
    </row>
    <row r="51" ht="18" customHeight="1">
      <c r="A51" s="119" t="n"/>
      <c r="B51" s="73" t="n"/>
      <c r="C51" s="73" t="n"/>
      <c r="D51" s="76" t="n"/>
      <c r="E51" s="75" t="n"/>
      <c r="F51" s="73" t="n"/>
      <c r="G51" s="86">
        <f>IF(A51="","",DATE(YEAR(A51),MONTH(A51),1))</f>
        <v/>
      </c>
    </row>
    <row r="52" ht="18" customHeight="1">
      <c r="A52" s="119" t="n"/>
      <c r="B52" s="73" t="n"/>
      <c r="C52" s="73" t="n"/>
      <c r="D52" s="76" t="n"/>
      <c r="E52" s="75" t="n"/>
      <c r="F52" s="73" t="n"/>
      <c r="G52" s="86">
        <f>IF(A52="","",DATE(YEAR(A52),MONTH(A52),1))</f>
        <v/>
      </c>
    </row>
    <row r="53" ht="18" customHeight="1">
      <c r="A53" s="119" t="n"/>
      <c r="B53" s="73" t="n"/>
      <c r="C53" s="73" t="n"/>
      <c r="D53" s="76" t="n"/>
      <c r="E53" s="75" t="n"/>
      <c r="F53" s="73" t="n"/>
      <c r="G53" s="86">
        <f>IF(A53="","",DATE(YEAR(A53),MONTH(A53),1))</f>
        <v/>
      </c>
    </row>
    <row r="54" ht="18" customHeight="1">
      <c r="A54" s="119" t="n"/>
      <c r="B54" s="73" t="n"/>
      <c r="C54" s="73" t="n"/>
      <c r="D54" s="76" t="n"/>
      <c r="E54" s="75" t="n"/>
      <c r="F54" s="73" t="n"/>
      <c r="G54" s="86">
        <f>IF(A54="","",DATE(YEAR(A54),MONTH(A54),1))</f>
        <v/>
      </c>
    </row>
    <row r="55" ht="18" customHeight="1">
      <c r="A55" s="119" t="n"/>
      <c r="B55" s="73" t="n"/>
      <c r="C55" s="73" t="n"/>
      <c r="D55" s="76" t="n"/>
      <c r="E55" s="75" t="n"/>
      <c r="F55" s="73" t="n"/>
      <c r="G55" s="86">
        <f>IF(A55="","",DATE(YEAR(A55),MONTH(A55),1))</f>
        <v/>
      </c>
    </row>
    <row r="56" ht="18" customHeight="1">
      <c r="A56" s="119" t="n"/>
      <c r="B56" s="73" t="n"/>
      <c r="C56" s="73" t="n"/>
      <c r="D56" s="76" t="n"/>
      <c r="E56" s="75" t="n"/>
      <c r="F56" s="73" t="n"/>
      <c r="G56" s="86">
        <f>IF(A56="","",DATE(YEAR(A56),MONTH(A56),1))</f>
        <v/>
      </c>
    </row>
    <row r="57" ht="18" customHeight="1">
      <c r="A57" s="119" t="n"/>
      <c r="B57" s="73" t="n"/>
      <c r="C57" s="73" t="n"/>
      <c r="D57" s="76" t="n"/>
      <c r="E57" s="75" t="n"/>
      <c r="F57" s="73" t="n"/>
      <c r="G57" s="86">
        <f>IF(A57="","",DATE(YEAR(A57),MONTH(A57),1))</f>
        <v/>
      </c>
    </row>
    <row r="58" ht="18" customHeight="1">
      <c r="A58" s="119" t="n"/>
      <c r="B58" s="73" t="n"/>
      <c r="C58" s="73" t="n"/>
      <c r="D58" s="76" t="n"/>
      <c r="E58" s="75" t="n"/>
      <c r="F58" s="73" t="n"/>
      <c r="G58" s="86">
        <f>IF(A58="","",DATE(YEAR(A58),MONTH(A58),1))</f>
        <v/>
      </c>
    </row>
    <row r="59" ht="18" customHeight="1">
      <c r="A59" s="119" t="n"/>
      <c r="B59" s="73" t="n"/>
      <c r="C59" s="73" t="n"/>
      <c r="D59" s="76" t="n"/>
      <c r="E59" s="75" t="n"/>
      <c r="F59" s="73" t="n"/>
      <c r="G59" s="86">
        <f>IF(A59="","",DATE(YEAR(A59),MONTH(A59),1))</f>
        <v/>
      </c>
    </row>
    <row r="60" ht="18" customHeight="1">
      <c r="A60" s="119" t="n"/>
      <c r="B60" s="73" t="n"/>
      <c r="C60" s="73" t="n"/>
      <c r="D60" s="76" t="n"/>
      <c r="E60" s="75" t="n"/>
      <c r="F60" s="73" t="n"/>
      <c r="G60" s="86">
        <f>IF(A60="","",DATE(YEAR(A60),MONTH(A60),1))</f>
        <v/>
      </c>
    </row>
    <row r="61" ht="18" customHeight="1">
      <c r="A61" s="119" t="n"/>
      <c r="B61" s="73" t="n"/>
      <c r="C61" s="73" t="n"/>
      <c r="D61" s="76" t="n"/>
      <c r="E61" s="75" t="n"/>
      <c r="F61" s="73" t="n"/>
      <c r="G61" s="86">
        <f>IF(A61="","",DATE(YEAR(A61),MONTH(A61),1))</f>
        <v/>
      </c>
    </row>
    <row r="62" ht="18" customHeight="1">
      <c r="A62" s="119" t="n"/>
      <c r="B62" s="73" t="n"/>
      <c r="C62" s="73" t="n"/>
      <c r="D62" s="76" t="n"/>
      <c r="E62" s="75" t="n"/>
      <c r="F62" s="73" t="n"/>
      <c r="G62" s="86">
        <f>IF(A62="","",DATE(YEAR(A62),MONTH(A62),1))</f>
        <v/>
      </c>
    </row>
    <row r="63" ht="18" customHeight="1">
      <c r="A63" s="119" t="n"/>
      <c r="B63" s="73" t="n"/>
      <c r="C63" s="73" t="n"/>
      <c r="D63" s="76" t="n"/>
      <c r="E63" s="75" t="n"/>
      <c r="F63" s="73" t="n"/>
      <c r="G63" s="86">
        <f>IF(A63="","",DATE(YEAR(A63),MONTH(A63),1))</f>
        <v/>
      </c>
    </row>
    <row r="64" ht="18" customHeight="1">
      <c r="A64" s="119" t="n"/>
      <c r="B64" s="73" t="n"/>
      <c r="C64" s="73" t="n"/>
      <c r="D64" s="76" t="n"/>
      <c r="E64" s="75" t="n"/>
      <c r="F64" s="73" t="n"/>
      <c r="G64" s="86">
        <f>IF(A64="","",DATE(YEAR(A64),MONTH(A64),1))</f>
        <v/>
      </c>
    </row>
    <row r="65" ht="18" customHeight="1">
      <c r="A65" s="119" t="n"/>
      <c r="B65" s="73" t="n"/>
      <c r="C65" s="73" t="n"/>
      <c r="D65" s="76" t="n"/>
      <c r="E65" s="75" t="n"/>
      <c r="F65" s="73" t="n"/>
      <c r="G65" s="86">
        <f>IF(A65="","",DATE(YEAR(A65),MONTH(A65),1))</f>
        <v/>
      </c>
    </row>
    <row r="66" ht="18" customHeight="1">
      <c r="A66" s="119" t="n"/>
      <c r="B66" s="73" t="n"/>
      <c r="C66" s="73" t="n"/>
      <c r="D66" s="76" t="n"/>
      <c r="E66" s="75" t="n"/>
      <c r="F66" s="73" t="n"/>
      <c r="G66" s="86">
        <f>IF(A66="","",DATE(YEAR(A66),MONTH(A66),1))</f>
        <v/>
      </c>
    </row>
    <row r="67" ht="18" customHeight="1">
      <c r="A67" s="119" t="n"/>
      <c r="B67" s="73" t="n"/>
      <c r="C67" s="73" t="n"/>
      <c r="D67" s="76" t="n"/>
      <c r="E67" s="75" t="n"/>
      <c r="F67" s="73" t="n"/>
      <c r="G67" s="86">
        <f>IF(A67="","",DATE(YEAR(A67),MONTH(A67),1))</f>
        <v/>
      </c>
    </row>
    <row r="68" ht="18" customHeight="1">
      <c r="A68" s="119" t="n"/>
      <c r="B68" s="73" t="n"/>
      <c r="C68" s="73" t="n"/>
      <c r="D68" s="76" t="n"/>
      <c r="E68" s="75" t="n"/>
      <c r="F68" s="73" t="n"/>
      <c r="G68" s="86">
        <f>IF(A68="","",DATE(YEAR(A68),MONTH(A68),1))</f>
        <v/>
      </c>
    </row>
    <row r="69" ht="18" customHeight="1">
      <c r="A69" s="119" t="n"/>
      <c r="B69" s="73" t="n"/>
      <c r="C69" s="73" t="n"/>
      <c r="D69" s="76" t="n"/>
      <c r="E69" s="75" t="n"/>
      <c r="F69" s="73" t="n"/>
      <c r="G69" s="86">
        <f>IF(A69="","",DATE(YEAR(A69),MONTH(A69),1))</f>
        <v/>
      </c>
    </row>
    <row r="70" ht="18" customHeight="1">
      <c r="A70" s="119" t="n"/>
      <c r="B70" s="73" t="n"/>
      <c r="C70" s="73" t="n"/>
      <c r="D70" s="76" t="n"/>
      <c r="E70" s="75" t="n"/>
      <c r="F70" s="73" t="n"/>
      <c r="G70" s="86">
        <f>IF(A70="","",DATE(YEAR(A70),MONTH(A70),1))</f>
        <v/>
      </c>
    </row>
    <row r="71" ht="18" customHeight="1">
      <c r="A71" s="119" t="n"/>
      <c r="B71" s="73" t="n"/>
      <c r="C71" s="73" t="n"/>
      <c r="D71" s="76" t="n"/>
      <c r="E71" s="75" t="n"/>
      <c r="F71" s="73" t="n"/>
      <c r="G71" s="86">
        <f>IF(A71="","",DATE(YEAR(A71),MONTH(A71),1))</f>
        <v/>
      </c>
    </row>
    <row r="72" ht="18" customHeight="1">
      <c r="A72" s="119" t="n"/>
      <c r="B72" s="73" t="n"/>
      <c r="C72" s="73" t="n"/>
      <c r="D72" s="76" t="n"/>
      <c r="E72" s="75" t="n"/>
      <c r="F72" s="73" t="n"/>
      <c r="G72" s="86">
        <f>IF(A72="","",DATE(YEAR(A72),MONTH(A72),1))</f>
        <v/>
      </c>
    </row>
    <row r="73" ht="18" customHeight="1">
      <c r="A73" s="119" t="n"/>
      <c r="B73" s="73" t="n"/>
      <c r="C73" s="73" t="n"/>
      <c r="D73" s="76" t="n"/>
      <c r="E73" s="75" t="n"/>
      <c r="F73" s="73" t="n"/>
      <c r="G73" s="86">
        <f>IF(A73="","",DATE(YEAR(A73),MONTH(A73),1))</f>
        <v/>
      </c>
    </row>
    <row r="74" ht="18" customHeight="1">
      <c r="A74" s="119" t="n"/>
      <c r="B74" s="73" t="n"/>
      <c r="C74" s="73" t="n"/>
      <c r="D74" s="76" t="n"/>
      <c r="E74" s="75" t="n"/>
      <c r="F74" s="73" t="n"/>
      <c r="G74" s="86">
        <f>IF(A74="","",DATE(YEAR(A74),MONTH(A74),1))</f>
        <v/>
      </c>
    </row>
    <row r="75" ht="18" customHeight="1">
      <c r="A75" s="119" t="n"/>
      <c r="B75" s="73" t="n"/>
      <c r="C75" s="73" t="n"/>
      <c r="D75" s="76" t="n"/>
      <c r="E75" s="75" t="n"/>
      <c r="F75" s="73" t="n"/>
      <c r="G75" s="86">
        <f>IF(A75="","",DATE(YEAR(A75),MONTH(A75),1))</f>
        <v/>
      </c>
    </row>
    <row r="76" ht="18" customHeight="1">
      <c r="A76" s="119" t="n"/>
      <c r="B76" s="73" t="n"/>
      <c r="C76" s="73" t="n"/>
      <c r="D76" s="76" t="n"/>
      <c r="E76" s="75" t="n"/>
      <c r="F76" s="73" t="n"/>
      <c r="G76" s="86">
        <f>IF(A76="","",DATE(YEAR(A76),MONTH(A76),1))</f>
        <v/>
      </c>
    </row>
    <row r="77" ht="18" customHeight="1">
      <c r="A77" s="119" t="n"/>
      <c r="B77" s="73" t="n"/>
      <c r="C77" s="73" t="n"/>
      <c r="D77" s="76" t="n"/>
      <c r="E77" s="75" t="n"/>
      <c r="F77" s="73" t="n"/>
      <c r="G77" s="86">
        <f>IF(A77="","",DATE(YEAR(A77),MONTH(A77),1))</f>
        <v/>
      </c>
    </row>
    <row r="78" ht="18" customHeight="1">
      <c r="A78" s="119" t="n"/>
      <c r="B78" s="73" t="n"/>
      <c r="C78" s="73" t="n"/>
      <c r="D78" s="76" t="n"/>
      <c r="E78" s="75" t="n"/>
      <c r="F78" s="73" t="n"/>
      <c r="G78" s="86">
        <f>IF(A78="","",DATE(YEAR(A78),MONTH(A78),1))</f>
        <v/>
      </c>
    </row>
    <row r="79" ht="18" customHeight="1">
      <c r="A79" s="119" t="n"/>
      <c r="B79" s="73" t="n"/>
      <c r="C79" s="73" t="n"/>
      <c r="D79" s="76" t="n"/>
      <c r="E79" s="75" t="n"/>
      <c r="F79" s="73" t="n"/>
      <c r="G79" s="86">
        <f>IF(A79="","",DATE(YEAR(A79),MONTH(A79),1))</f>
        <v/>
      </c>
    </row>
    <row r="80" ht="18" customHeight="1">
      <c r="A80" s="119" t="n"/>
      <c r="B80" s="73" t="n"/>
      <c r="C80" s="73" t="n"/>
      <c r="D80" s="76" t="n"/>
      <c r="E80" s="75" t="n"/>
      <c r="F80" s="73" t="n"/>
      <c r="G80" s="86">
        <f>IF(A80="","",DATE(YEAR(A80),MONTH(A80),1))</f>
        <v/>
      </c>
    </row>
    <row r="81" ht="18" customHeight="1">
      <c r="A81" s="119" t="n"/>
      <c r="B81" s="73" t="n"/>
      <c r="C81" s="73" t="n"/>
      <c r="D81" s="76" t="n"/>
      <c r="E81" s="75" t="n"/>
      <c r="F81" s="73" t="n"/>
      <c r="G81" s="86">
        <f>IF(A81="","",DATE(YEAR(A81),MONTH(A81),1))</f>
        <v/>
      </c>
    </row>
    <row r="82" ht="18" customHeight="1">
      <c r="A82" s="119" t="n"/>
      <c r="B82" s="73" t="n"/>
      <c r="C82" s="73" t="n"/>
      <c r="D82" s="76" t="n"/>
      <c r="E82" s="75" t="n"/>
      <c r="F82" s="73" t="n"/>
      <c r="G82" s="86">
        <f>IF(A82="","",DATE(YEAR(A82),MONTH(A82),1))</f>
        <v/>
      </c>
    </row>
    <row r="83" ht="18" customHeight="1">
      <c r="A83" s="119" t="n"/>
      <c r="B83" s="73" t="n"/>
      <c r="C83" s="73" t="n"/>
      <c r="D83" s="76" t="n"/>
      <c r="E83" s="75" t="n"/>
      <c r="F83" s="73" t="n"/>
      <c r="G83" s="86">
        <f>IF(A83="","",DATE(YEAR(A83),MONTH(A83),1))</f>
        <v/>
      </c>
    </row>
    <row r="84" ht="18" customHeight="1">
      <c r="A84" s="119" t="n"/>
      <c r="B84" s="73" t="n"/>
      <c r="C84" s="73" t="n"/>
      <c r="D84" s="76" t="n"/>
      <c r="E84" s="75" t="n"/>
      <c r="F84" s="73" t="n"/>
      <c r="G84" s="86">
        <f>IF(A84="","",DATE(YEAR(A84),MONTH(A84),1))</f>
        <v/>
      </c>
    </row>
    <row r="85">
      <c r="A85" s="80" t="inlineStr">
        <is>
          <t>TOTAL</t>
        </is>
      </c>
      <c r="B85" s="66" t="n"/>
      <c r="C85" s="66" t="n"/>
      <c r="D85" s="82">
        <f>SUM(D5:D84)</f>
        <v/>
      </c>
      <c r="E85" s="66" t="n"/>
      <c r="F85" s="66" t="n"/>
      <c r="G85" s="66" t="n"/>
    </row>
    <row r="87">
      <c r="A87" s="87" t="inlineStr">
        <is>
          <t>At tax time, filter by Category or Month. This is a bookkeeping aid, not tax advice.</t>
        </is>
      </c>
    </row>
  </sheetData>
  <autoFilter ref="A4:F84"/>
  <mergeCells count="4">
    <mergeCell ref="A3:G3"/>
    <mergeCell ref="A2:G2"/>
    <mergeCell ref="A1:G1"/>
    <mergeCell ref="A87:G87"/>
  </mergeCells>
  <dataValidations count="4">
    <dataValidation sqref="B5:B84" showDropDown="0" showInputMessage="0" showErrorMessage="0" allowBlank="1" type="list">
      <formula1>=Products!$N$9:$N$16</formula1>
    </dataValidation>
    <dataValidation sqref="E5:E84" showDropDown="0" showInputMessage="0" showErrorMessage="0" allowBlank="1" type="list">
      <formula1>=Products!$N$2:$N$7</formula1>
    </dataValidation>
    <dataValidation sqref="A5:A84" showDropDown="0" showInputMessage="0" showErrorMessage="0" allowBlank="1" type="date" operator="greaterThanOrEqual">
      <formula1>DATE(2000,1,1)</formula1>
    </dataValidation>
    <dataValidation sqref="D5:D84" showDropDown="0" showInputMessage="0" showErrorMessage="0" allowBlank="1" type="decimal" operator="greaterThanOrEqual">
      <formula1>0</formula1>
    </dataValidation>
  </dataValidations>
  <printOptions horizontalCentered="1"/>
  <pageMargins left="0.5" right="0.5" top="0.55" bottom="0.55" header="0.3" footer="0.3"/>
  <pageSetup orientation="landscape" paperSize="1" fitToHeight="0" fitToWidth="1"/>
  <headerFooter>
    <oddHeader>&amp;LFees &amp; Expenses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B7A4E"/>
    <outlinePr summaryBelow="1" summaryRight="1"/>
    <pageSetUpPr fitToPage="1"/>
  </sheetPr>
  <dimension ref="A1:K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3" customWidth="1" min="4" max="4"/>
    <col width="12" customWidth="1" min="5" max="5"/>
    <col width="12" customWidth="1" min="6" max="6"/>
    <col width="13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 ht="30" customHeight="1">
      <c r="A1" s="1" t="inlineStr">
        <is>
          <t>Monthly Summary</t>
        </is>
      </c>
    </row>
    <row r="2" ht="26" customHeight="1">
      <c r="A2" s="50" t="inlineStr">
        <is>
          <t>Auto-calculated. Jan 2025 – Dec 2028 is already here. To add 2029+, copy the last row down — the Month formula is =EDATE(cell_above,1).</t>
        </is>
      </c>
    </row>
    <row r="3">
      <c r="A3" s="54" t="inlineStr">
        <is>
          <t>Sales profit is from the Sales Log. Other expenses come from Fees &amp; Expenses. Net = sales profit − other expenses.</t>
        </is>
      </c>
    </row>
    <row r="4" ht="30" customHeight="1">
      <c r="A4" s="55" t="inlineStr">
        <is>
          <t>Month</t>
        </is>
      </c>
      <c r="B4" s="55" t="inlineStr">
        <is>
          <t>Orders</t>
        </is>
      </c>
      <c r="C4" s="55" t="inlineStr">
        <is>
          <t>Units</t>
        </is>
      </c>
      <c r="D4" s="55" t="inlineStr">
        <is>
          <t>Revenue</t>
        </is>
      </c>
      <c r="E4" s="55" t="inlineStr">
        <is>
          <t>Fees</t>
        </is>
      </c>
      <c r="F4" s="55" t="inlineStr">
        <is>
          <t>COGS</t>
        </is>
      </c>
      <c r="G4" s="55" t="inlineStr">
        <is>
          <t>Ship cost</t>
        </is>
      </c>
      <c r="H4" s="55" t="inlineStr">
        <is>
          <t>Sales profit</t>
        </is>
      </c>
      <c r="I4" s="55" t="inlineStr">
        <is>
          <t>Other expenses</t>
        </is>
      </c>
      <c r="J4" s="55" t="inlineStr">
        <is>
          <t>Net profit</t>
        </is>
      </c>
      <c r="K4" s="55" t="inlineStr">
        <is>
          <t>Margin</t>
        </is>
      </c>
    </row>
    <row r="5" ht="17" customHeight="1">
      <c r="A5" s="86" t="n">
        <v>45658</v>
      </c>
      <c r="B5" s="77">
        <f>SUMIFS(SalesNewOrder,SalesMonth,A5)</f>
        <v/>
      </c>
      <c r="C5" s="77">
        <f>SUMIFS(SalesQty,SalesMonth,A5)</f>
        <v/>
      </c>
      <c r="D5" s="78">
        <f>SUMIFS(SalesGross,SalesMonth,A5)</f>
        <v/>
      </c>
      <c r="E5" s="78">
        <f>SUMIFS(SalesFees,SalesMonth,A5)</f>
        <v/>
      </c>
      <c r="F5" s="78">
        <f>SUMIFS(SalesCOGS,SalesMonth,A5)</f>
        <v/>
      </c>
      <c r="G5" s="78">
        <f>SUMIFS(SalesShipPaid,SalesMonth,A5)</f>
        <v/>
      </c>
      <c r="H5" s="78">
        <f>SUMIFS(SalesNet,SalesMonth,A5)</f>
        <v/>
      </c>
      <c r="I5" s="78">
        <f>SUMIFS(ExpAmounts,ExpMonth,A5)</f>
        <v/>
      </c>
      <c r="J5" s="48">
        <f>H5-I5</f>
        <v/>
      </c>
      <c r="K5" s="79">
        <f>IF(N(D5)=0,"",J5/D5)</f>
        <v/>
      </c>
    </row>
    <row r="6" ht="17" customHeight="1">
      <c r="A6" s="86">
        <f>EDATE(A5,1)</f>
        <v/>
      </c>
      <c r="B6" s="77">
        <f>SUMIFS(SalesNewOrder,SalesMonth,A6)</f>
        <v/>
      </c>
      <c r="C6" s="77">
        <f>SUMIFS(SalesQty,SalesMonth,A6)</f>
        <v/>
      </c>
      <c r="D6" s="78">
        <f>SUMIFS(SalesGross,SalesMonth,A6)</f>
        <v/>
      </c>
      <c r="E6" s="78">
        <f>SUMIFS(SalesFees,SalesMonth,A6)</f>
        <v/>
      </c>
      <c r="F6" s="78">
        <f>SUMIFS(SalesCOGS,SalesMonth,A6)</f>
        <v/>
      </c>
      <c r="G6" s="78">
        <f>SUMIFS(SalesShipPaid,SalesMonth,A6)</f>
        <v/>
      </c>
      <c r="H6" s="78">
        <f>SUMIFS(SalesNet,SalesMonth,A6)</f>
        <v/>
      </c>
      <c r="I6" s="78">
        <f>SUMIFS(ExpAmounts,ExpMonth,A6)</f>
        <v/>
      </c>
      <c r="J6" s="48">
        <f>H6-I6</f>
        <v/>
      </c>
      <c r="K6" s="79">
        <f>IF(N(D6)=0,"",J6/D6)</f>
        <v/>
      </c>
    </row>
    <row r="7" ht="17" customHeight="1">
      <c r="A7" s="86">
        <f>EDATE(A6,1)</f>
        <v/>
      </c>
      <c r="B7" s="77">
        <f>SUMIFS(SalesNewOrder,SalesMonth,A7)</f>
        <v/>
      </c>
      <c r="C7" s="77">
        <f>SUMIFS(SalesQty,SalesMonth,A7)</f>
        <v/>
      </c>
      <c r="D7" s="78">
        <f>SUMIFS(SalesGross,SalesMonth,A7)</f>
        <v/>
      </c>
      <c r="E7" s="78">
        <f>SUMIFS(SalesFees,SalesMonth,A7)</f>
        <v/>
      </c>
      <c r="F7" s="78">
        <f>SUMIFS(SalesCOGS,SalesMonth,A7)</f>
        <v/>
      </c>
      <c r="G7" s="78">
        <f>SUMIFS(SalesShipPaid,SalesMonth,A7)</f>
        <v/>
      </c>
      <c r="H7" s="78">
        <f>SUMIFS(SalesNet,SalesMonth,A7)</f>
        <v/>
      </c>
      <c r="I7" s="78">
        <f>SUMIFS(ExpAmounts,ExpMonth,A7)</f>
        <v/>
      </c>
      <c r="J7" s="48">
        <f>H7-I7</f>
        <v/>
      </c>
      <c r="K7" s="79">
        <f>IF(N(D7)=0,"",J7/D7)</f>
        <v/>
      </c>
    </row>
    <row r="8" ht="17" customHeight="1">
      <c r="A8" s="86">
        <f>EDATE(A7,1)</f>
        <v/>
      </c>
      <c r="B8" s="77">
        <f>SUMIFS(SalesNewOrder,SalesMonth,A8)</f>
        <v/>
      </c>
      <c r="C8" s="77">
        <f>SUMIFS(SalesQty,SalesMonth,A8)</f>
        <v/>
      </c>
      <c r="D8" s="78">
        <f>SUMIFS(SalesGross,SalesMonth,A8)</f>
        <v/>
      </c>
      <c r="E8" s="78">
        <f>SUMIFS(SalesFees,SalesMonth,A8)</f>
        <v/>
      </c>
      <c r="F8" s="78">
        <f>SUMIFS(SalesCOGS,SalesMonth,A8)</f>
        <v/>
      </c>
      <c r="G8" s="78">
        <f>SUMIFS(SalesShipPaid,SalesMonth,A8)</f>
        <v/>
      </c>
      <c r="H8" s="78">
        <f>SUMIFS(SalesNet,SalesMonth,A8)</f>
        <v/>
      </c>
      <c r="I8" s="78">
        <f>SUMIFS(ExpAmounts,ExpMonth,A8)</f>
        <v/>
      </c>
      <c r="J8" s="48">
        <f>H8-I8</f>
        <v/>
      </c>
      <c r="K8" s="79">
        <f>IF(N(D8)=0,"",J8/D8)</f>
        <v/>
      </c>
    </row>
    <row r="9" ht="17" customHeight="1">
      <c r="A9" s="86">
        <f>EDATE(A8,1)</f>
        <v/>
      </c>
      <c r="B9" s="77">
        <f>SUMIFS(SalesNewOrder,SalesMonth,A9)</f>
        <v/>
      </c>
      <c r="C9" s="77">
        <f>SUMIFS(SalesQty,SalesMonth,A9)</f>
        <v/>
      </c>
      <c r="D9" s="78">
        <f>SUMIFS(SalesGross,SalesMonth,A9)</f>
        <v/>
      </c>
      <c r="E9" s="78">
        <f>SUMIFS(SalesFees,SalesMonth,A9)</f>
        <v/>
      </c>
      <c r="F9" s="78">
        <f>SUMIFS(SalesCOGS,SalesMonth,A9)</f>
        <v/>
      </c>
      <c r="G9" s="78">
        <f>SUMIFS(SalesShipPaid,SalesMonth,A9)</f>
        <v/>
      </c>
      <c r="H9" s="78">
        <f>SUMIFS(SalesNet,SalesMonth,A9)</f>
        <v/>
      </c>
      <c r="I9" s="78">
        <f>SUMIFS(ExpAmounts,ExpMonth,A9)</f>
        <v/>
      </c>
      <c r="J9" s="48">
        <f>H9-I9</f>
        <v/>
      </c>
      <c r="K9" s="79">
        <f>IF(N(D9)=0,"",J9/D9)</f>
        <v/>
      </c>
    </row>
    <row r="10" ht="17" customHeight="1">
      <c r="A10" s="86">
        <f>EDATE(A9,1)</f>
        <v/>
      </c>
      <c r="B10" s="77">
        <f>SUMIFS(SalesNewOrder,SalesMonth,A10)</f>
        <v/>
      </c>
      <c r="C10" s="77">
        <f>SUMIFS(SalesQty,SalesMonth,A10)</f>
        <v/>
      </c>
      <c r="D10" s="78">
        <f>SUMIFS(SalesGross,SalesMonth,A10)</f>
        <v/>
      </c>
      <c r="E10" s="78">
        <f>SUMIFS(SalesFees,SalesMonth,A10)</f>
        <v/>
      </c>
      <c r="F10" s="78">
        <f>SUMIFS(SalesCOGS,SalesMonth,A10)</f>
        <v/>
      </c>
      <c r="G10" s="78">
        <f>SUMIFS(SalesShipPaid,SalesMonth,A10)</f>
        <v/>
      </c>
      <c r="H10" s="78">
        <f>SUMIFS(SalesNet,SalesMonth,A10)</f>
        <v/>
      </c>
      <c r="I10" s="78">
        <f>SUMIFS(ExpAmounts,ExpMonth,A10)</f>
        <v/>
      </c>
      <c r="J10" s="48">
        <f>H10-I10</f>
        <v/>
      </c>
      <c r="K10" s="79">
        <f>IF(N(D10)=0,"",J10/D10)</f>
        <v/>
      </c>
    </row>
    <row r="11" ht="17" customHeight="1">
      <c r="A11" s="86">
        <f>EDATE(A10,1)</f>
        <v/>
      </c>
      <c r="B11" s="77">
        <f>SUMIFS(SalesNewOrder,SalesMonth,A11)</f>
        <v/>
      </c>
      <c r="C11" s="77">
        <f>SUMIFS(SalesQty,SalesMonth,A11)</f>
        <v/>
      </c>
      <c r="D11" s="78">
        <f>SUMIFS(SalesGross,SalesMonth,A11)</f>
        <v/>
      </c>
      <c r="E11" s="78">
        <f>SUMIFS(SalesFees,SalesMonth,A11)</f>
        <v/>
      </c>
      <c r="F11" s="78">
        <f>SUMIFS(SalesCOGS,SalesMonth,A11)</f>
        <v/>
      </c>
      <c r="G11" s="78">
        <f>SUMIFS(SalesShipPaid,SalesMonth,A11)</f>
        <v/>
      </c>
      <c r="H11" s="78">
        <f>SUMIFS(SalesNet,SalesMonth,A11)</f>
        <v/>
      </c>
      <c r="I11" s="78">
        <f>SUMIFS(ExpAmounts,ExpMonth,A11)</f>
        <v/>
      </c>
      <c r="J11" s="48">
        <f>H11-I11</f>
        <v/>
      </c>
      <c r="K11" s="79">
        <f>IF(N(D11)=0,"",J11/D11)</f>
        <v/>
      </c>
    </row>
    <row r="12" ht="17" customHeight="1">
      <c r="A12" s="86">
        <f>EDATE(A11,1)</f>
        <v/>
      </c>
      <c r="B12" s="77">
        <f>SUMIFS(SalesNewOrder,SalesMonth,A12)</f>
        <v/>
      </c>
      <c r="C12" s="77">
        <f>SUMIFS(SalesQty,SalesMonth,A12)</f>
        <v/>
      </c>
      <c r="D12" s="78">
        <f>SUMIFS(SalesGross,SalesMonth,A12)</f>
        <v/>
      </c>
      <c r="E12" s="78">
        <f>SUMIFS(SalesFees,SalesMonth,A12)</f>
        <v/>
      </c>
      <c r="F12" s="78">
        <f>SUMIFS(SalesCOGS,SalesMonth,A12)</f>
        <v/>
      </c>
      <c r="G12" s="78">
        <f>SUMIFS(SalesShipPaid,SalesMonth,A12)</f>
        <v/>
      </c>
      <c r="H12" s="78">
        <f>SUMIFS(SalesNet,SalesMonth,A12)</f>
        <v/>
      </c>
      <c r="I12" s="78">
        <f>SUMIFS(ExpAmounts,ExpMonth,A12)</f>
        <v/>
      </c>
      <c r="J12" s="48">
        <f>H12-I12</f>
        <v/>
      </c>
      <c r="K12" s="79">
        <f>IF(N(D12)=0,"",J12/D12)</f>
        <v/>
      </c>
    </row>
    <row r="13" ht="17" customHeight="1">
      <c r="A13" s="86">
        <f>EDATE(A12,1)</f>
        <v/>
      </c>
      <c r="B13" s="77">
        <f>SUMIFS(SalesNewOrder,SalesMonth,A13)</f>
        <v/>
      </c>
      <c r="C13" s="77">
        <f>SUMIFS(SalesQty,SalesMonth,A13)</f>
        <v/>
      </c>
      <c r="D13" s="78">
        <f>SUMIFS(SalesGross,SalesMonth,A13)</f>
        <v/>
      </c>
      <c r="E13" s="78">
        <f>SUMIFS(SalesFees,SalesMonth,A13)</f>
        <v/>
      </c>
      <c r="F13" s="78">
        <f>SUMIFS(SalesCOGS,SalesMonth,A13)</f>
        <v/>
      </c>
      <c r="G13" s="78">
        <f>SUMIFS(SalesShipPaid,SalesMonth,A13)</f>
        <v/>
      </c>
      <c r="H13" s="78">
        <f>SUMIFS(SalesNet,SalesMonth,A13)</f>
        <v/>
      </c>
      <c r="I13" s="78">
        <f>SUMIFS(ExpAmounts,ExpMonth,A13)</f>
        <v/>
      </c>
      <c r="J13" s="48">
        <f>H13-I13</f>
        <v/>
      </c>
      <c r="K13" s="79">
        <f>IF(N(D13)=0,"",J13/D13)</f>
        <v/>
      </c>
    </row>
    <row r="14" ht="17" customHeight="1">
      <c r="A14" s="86">
        <f>EDATE(A13,1)</f>
        <v/>
      </c>
      <c r="B14" s="77">
        <f>SUMIFS(SalesNewOrder,SalesMonth,A14)</f>
        <v/>
      </c>
      <c r="C14" s="77">
        <f>SUMIFS(SalesQty,SalesMonth,A14)</f>
        <v/>
      </c>
      <c r="D14" s="78">
        <f>SUMIFS(SalesGross,SalesMonth,A14)</f>
        <v/>
      </c>
      <c r="E14" s="78">
        <f>SUMIFS(SalesFees,SalesMonth,A14)</f>
        <v/>
      </c>
      <c r="F14" s="78">
        <f>SUMIFS(SalesCOGS,SalesMonth,A14)</f>
        <v/>
      </c>
      <c r="G14" s="78">
        <f>SUMIFS(SalesShipPaid,SalesMonth,A14)</f>
        <v/>
      </c>
      <c r="H14" s="78">
        <f>SUMIFS(SalesNet,SalesMonth,A14)</f>
        <v/>
      </c>
      <c r="I14" s="78">
        <f>SUMIFS(ExpAmounts,ExpMonth,A14)</f>
        <v/>
      </c>
      <c r="J14" s="48">
        <f>H14-I14</f>
        <v/>
      </c>
      <c r="K14" s="79">
        <f>IF(N(D14)=0,"",J14/D14)</f>
        <v/>
      </c>
    </row>
    <row r="15" ht="17" customHeight="1">
      <c r="A15" s="86">
        <f>EDATE(A14,1)</f>
        <v/>
      </c>
      <c r="B15" s="77">
        <f>SUMIFS(SalesNewOrder,SalesMonth,A15)</f>
        <v/>
      </c>
      <c r="C15" s="77">
        <f>SUMIFS(SalesQty,SalesMonth,A15)</f>
        <v/>
      </c>
      <c r="D15" s="78">
        <f>SUMIFS(SalesGross,SalesMonth,A15)</f>
        <v/>
      </c>
      <c r="E15" s="78">
        <f>SUMIFS(SalesFees,SalesMonth,A15)</f>
        <v/>
      </c>
      <c r="F15" s="78">
        <f>SUMIFS(SalesCOGS,SalesMonth,A15)</f>
        <v/>
      </c>
      <c r="G15" s="78">
        <f>SUMIFS(SalesShipPaid,SalesMonth,A15)</f>
        <v/>
      </c>
      <c r="H15" s="78">
        <f>SUMIFS(SalesNet,SalesMonth,A15)</f>
        <v/>
      </c>
      <c r="I15" s="78">
        <f>SUMIFS(ExpAmounts,ExpMonth,A15)</f>
        <v/>
      </c>
      <c r="J15" s="48">
        <f>H15-I15</f>
        <v/>
      </c>
      <c r="K15" s="79">
        <f>IF(N(D15)=0,"",J15/D15)</f>
        <v/>
      </c>
    </row>
    <row r="16" ht="17" customHeight="1">
      <c r="A16" s="86">
        <f>EDATE(A15,1)</f>
        <v/>
      </c>
      <c r="B16" s="77">
        <f>SUMIFS(SalesNewOrder,SalesMonth,A16)</f>
        <v/>
      </c>
      <c r="C16" s="77">
        <f>SUMIFS(SalesQty,SalesMonth,A16)</f>
        <v/>
      </c>
      <c r="D16" s="78">
        <f>SUMIFS(SalesGross,SalesMonth,A16)</f>
        <v/>
      </c>
      <c r="E16" s="78">
        <f>SUMIFS(SalesFees,SalesMonth,A16)</f>
        <v/>
      </c>
      <c r="F16" s="78">
        <f>SUMIFS(SalesCOGS,SalesMonth,A16)</f>
        <v/>
      </c>
      <c r="G16" s="78">
        <f>SUMIFS(SalesShipPaid,SalesMonth,A16)</f>
        <v/>
      </c>
      <c r="H16" s="78">
        <f>SUMIFS(SalesNet,SalesMonth,A16)</f>
        <v/>
      </c>
      <c r="I16" s="78">
        <f>SUMIFS(ExpAmounts,ExpMonth,A16)</f>
        <v/>
      </c>
      <c r="J16" s="48">
        <f>H16-I16</f>
        <v/>
      </c>
      <c r="K16" s="79">
        <f>IF(N(D16)=0,"",J16/D16)</f>
        <v/>
      </c>
    </row>
    <row r="17" ht="17" customHeight="1">
      <c r="A17" s="86">
        <f>EDATE(A16,1)</f>
        <v/>
      </c>
      <c r="B17" s="77">
        <f>SUMIFS(SalesNewOrder,SalesMonth,A17)</f>
        <v/>
      </c>
      <c r="C17" s="77">
        <f>SUMIFS(SalesQty,SalesMonth,A17)</f>
        <v/>
      </c>
      <c r="D17" s="78">
        <f>SUMIFS(SalesGross,SalesMonth,A17)</f>
        <v/>
      </c>
      <c r="E17" s="78">
        <f>SUMIFS(SalesFees,SalesMonth,A17)</f>
        <v/>
      </c>
      <c r="F17" s="78">
        <f>SUMIFS(SalesCOGS,SalesMonth,A17)</f>
        <v/>
      </c>
      <c r="G17" s="78">
        <f>SUMIFS(SalesShipPaid,SalesMonth,A17)</f>
        <v/>
      </c>
      <c r="H17" s="78">
        <f>SUMIFS(SalesNet,SalesMonth,A17)</f>
        <v/>
      </c>
      <c r="I17" s="78">
        <f>SUMIFS(ExpAmounts,ExpMonth,A17)</f>
        <v/>
      </c>
      <c r="J17" s="48">
        <f>H17-I17</f>
        <v/>
      </c>
      <c r="K17" s="79">
        <f>IF(N(D17)=0,"",J17/D17)</f>
        <v/>
      </c>
    </row>
    <row r="18" ht="17" customHeight="1">
      <c r="A18" s="86">
        <f>EDATE(A17,1)</f>
        <v/>
      </c>
      <c r="B18" s="77">
        <f>SUMIFS(SalesNewOrder,SalesMonth,A18)</f>
        <v/>
      </c>
      <c r="C18" s="77">
        <f>SUMIFS(SalesQty,SalesMonth,A18)</f>
        <v/>
      </c>
      <c r="D18" s="78">
        <f>SUMIFS(SalesGross,SalesMonth,A18)</f>
        <v/>
      </c>
      <c r="E18" s="78">
        <f>SUMIFS(SalesFees,SalesMonth,A18)</f>
        <v/>
      </c>
      <c r="F18" s="78">
        <f>SUMIFS(SalesCOGS,SalesMonth,A18)</f>
        <v/>
      </c>
      <c r="G18" s="78">
        <f>SUMIFS(SalesShipPaid,SalesMonth,A18)</f>
        <v/>
      </c>
      <c r="H18" s="78">
        <f>SUMIFS(SalesNet,SalesMonth,A18)</f>
        <v/>
      </c>
      <c r="I18" s="78">
        <f>SUMIFS(ExpAmounts,ExpMonth,A18)</f>
        <v/>
      </c>
      <c r="J18" s="48">
        <f>H18-I18</f>
        <v/>
      </c>
      <c r="K18" s="79">
        <f>IF(N(D18)=0,"",J18/D18)</f>
        <v/>
      </c>
    </row>
    <row r="19" ht="17" customHeight="1">
      <c r="A19" s="86">
        <f>EDATE(A18,1)</f>
        <v/>
      </c>
      <c r="B19" s="77">
        <f>SUMIFS(SalesNewOrder,SalesMonth,A19)</f>
        <v/>
      </c>
      <c r="C19" s="77">
        <f>SUMIFS(SalesQty,SalesMonth,A19)</f>
        <v/>
      </c>
      <c r="D19" s="78">
        <f>SUMIFS(SalesGross,SalesMonth,A19)</f>
        <v/>
      </c>
      <c r="E19" s="78">
        <f>SUMIFS(SalesFees,SalesMonth,A19)</f>
        <v/>
      </c>
      <c r="F19" s="78">
        <f>SUMIFS(SalesCOGS,SalesMonth,A19)</f>
        <v/>
      </c>
      <c r="G19" s="78">
        <f>SUMIFS(SalesShipPaid,SalesMonth,A19)</f>
        <v/>
      </c>
      <c r="H19" s="78">
        <f>SUMIFS(SalesNet,SalesMonth,A19)</f>
        <v/>
      </c>
      <c r="I19" s="78">
        <f>SUMIFS(ExpAmounts,ExpMonth,A19)</f>
        <v/>
      </c>
      <c r="J19" s="48">
        <f>H19-I19</f>
        <v/>
      </c>
      <c r="K19" s="79">
        <f>IF(N(D19)=0,"",J19/D19)</f>
        <v/>
      </c>
    </row>
    <row r="20" ht="17" customHeight="1">
      <c r="A20" s="86">
        <f>EDATE(A19,1)</f>
        <v/>
      </c>
      <c r="B20" s="77">
        <f>SUMIFS(SalesNewOrder,SalesMonth,A20)</f>
        <v/>
      </c>
      <c r="C20" s="77">
        <f>SUMIFS(SalesQty,SalesMonth,A20)</f>
        <v/>
      </c>
      <c r="D20" s="78">
        <f>SUMIFS(SalesGross,SalesMonth,A20)</f>
        <v/>
      </c>
      <c r="E20" s="78">
        <f>SUMIFS(SalesFees,SalesMonth,A20)</f>
        <v/>
      </c>
      <c r="F20" s="78">
        <f>SUMIFS(SalesCOGS,SalesMonth,A20)</f>
        <v/>
      </c>
      <c r="G20" s="78">
        <f>SUMIFS(SalesShipPaid,SalesMonth,A20)</f>
        <v/>
      </c>
      <c r="H20" s="78">
        <f>SUMIFS(SalesNet,SalesMonth,A20)</f>
        <v/>
      </c>
      <c r="I20" s="78">
        <f>SUMIFS(ExpAmounts,ExpMonth,A20)</f>
        <v/>
      </c>
      <c r="J20" s="48">
        <f>H20-I20</f>
        <v/>
      </c>
      <c r="K20" s="79">
        <f>IF(N(D20)=0,"",J20/D20)</f>
        <v/>
      </c>
    </row>
    <row r="21" ht="17" customHeight="1">
      <c r="A21" s="86">
        <f>EDATE(A20,1)</f>
        <v/>
      </c>
      <c r="B21" s="77">
        <f>SUMIFS(SalesNewOrder,SalesMonth,A21)</f>
        <v/>
      </c>
      <c r="C21" s="77">
        <f>SUMIFS(SalesQty,SalesMonth,A21)</f>
        <v/>
      </c>
      <c r="D21" s="78">
        <f>SUMIFS(SalesGross,SalesMonth,A21)</f>
        <v/>
      </c>
      <c r="E21" s="78">
        <f>SUMIFS(SalesFees,SalesMonth,A21)</f>
        <v/>
      </c>
      <c r="F21" s="78">
        <f>SUMIFS(SalesCOGS,SalesMonth,A21)</f>
        <v/>
      </c>
      <c r="G21" s="78">
        <f>SUMIFS(SalesShipPaid,SalesMonth,A21)</f>
        <v/>
      </c>
      <c r="H21" s="78">
        <f>SUMIFS(SalesNet,SalesMonth,A21)</f>
        <v/>
      </c>
      <c r="I21" s="78">
        <f>SUMIFS(ExpAmounts,ExpMonth,A21)</f>
        <v/>
      </c>
      <c r="J21" s="48">
        <f>H21-I21</f>
        <v/>
      </c>
      <c r="K21" s="79">
        <f>IF(N(D21)=0,"",J21/D21)</f>
        <v/>
      </c>
    </row>
    <row r="22" ht="17" customHeight="1">
      <c r="A22" s="86">
        <f>EDATE(A21,1)</f>
        <v/>
      </c>
      <c r="B22" s="77">
        <f>SUMIFS(SalesNewOrder,SalesMonth,A22)</f>
        <v/>
      </c>
      <c r="C22" s="77">
        <f>SUMIFS(SalesQty,SalesMonth,A22)</f>
        <v/>
      </c>
      <c r="D22" s="78">
        <f>SUMIFS(SalesGross,SalesMonth,A22)</f>
        <v/>
      </c>
      <c r="E22" s="78">
        <f>SUMIFS(SalesFees,SalesMonth,A22)</f>
        <v/>
      </c>
      <c r="F22" s="78">
        <f>SUMIFS(SalesCOGS,SalesMonth,A22)</f>
        <v/>
      </c>
      <c r="G22" s="78">
        <f>SUMIFS(SalesShipPaid,SalesMonth,A22)</f>
        <v/>
      </c>
      <c r="H22" s="78">
        <f>SUMIFS(SalesNet,SalesMonth,A22)</f>
        <v/>
      </c>
      <c r="I22" s="78">
        <f>SUMIFS(ExpAmounts,ExpMonth,A22)</f>
        <v/>
      </c>
      <c r="J22" s="48">
        <f>H22-I22</f>
        <v/>
      </c>
      <c r="K22" s="79">
        <f>IF(N(D22)=0,"",J22/D22)</f>
        <v/>
      </c>
    </row>
    <row r="23" ht="17" customHeight="1">
      <c r="A23" s="86">
        <f>EDATE(A22,1)</f>
        <v/>
      </c>
      <c r="B23" s="77">
        <f>SUMIFS(SalesNewOrder,SalesMonth,A23)</f>
        <v/>
      </c>
      <c r="C23" s="77">
        <f>SUMIFS(SalesQty,SalesMonth,A23)</f>
        <v/>
      </c>
      <c r="D23" s="78">
        <f>SUMIFS(SalesGross,SalesMonth,A23)</f>
        <v/>
      </c>
      <c r="E23" s="78">
        <f>SUMIFS(SalesFees,SalesMonth,A23)</f>
        <v/>
      </c>
      <c r="F23" s="78">
        <f>SUMIFS(SalesCOGS,SalesMonth,A23)</f>
        <v/>
      </c>
      <c r="G23" s="78">
        <f>SUMIFS(SalesShipPaid,SalesMonth,A23)</f>
        <v/>
      </c>
      <c r="H23" s="78">
        <f>SUMIFS(SalesNet,SalesMonth,A23)</f>
        <v/>
      </c>
      <c r="I23" s="78">
        <f>SUMIFS(ExpAmounts,ExpMonth,A23)</f>
        <v/>
      </c>
      <c r="J23" s="48">
        <f>H23-I23</f>
        <v/>
      </c>
      <c r="K23" s="79">
        <f>IF(N(D23)=0,"",J23/D23)</f>
        <v/>
      </c>
    </row>
    <row r="24" ht="17" customHeight="1">
      <c r="A24" s="86">
        <f>EDATE(A23,1)</f>
        <v/>
      </c>
      <c r="B24" s="77">
        <f>SUMIFS(SalesNewOrder,SalesMonth,A24)</f>
        <v/>
      </c>
      <c r="C24" s="77">
        <f>SUMIFS(SalesQty,SalesMonth,A24)</f>
        <v/>
      </c>
      <c r="D24" s="78">
        <f>SUMIFS(SalesGross,SalesMonth,A24)</f>
        <v/>
      </c>
      <c r="E24" s="78">
        <f>SUMIFS(SalesFees,SalesMonth,A24)</f>
        <v/>
      </c>
      <c r="F24" s="78">
        <f>SUMIFS(SalesCOGS,SalesMonth,A24)</f>
        <v/>
      </c>
      <c r="G24" s="78">
        <f>SUMIFS(SalesShipPaid,SalesMonth,A24)</f>
        <v/>
      </c>
      <c r="H24" s="78">
        <f>SUMIFS(SalesNet,SalesMonth,A24)</f>
        <v/>
      </c>
      <c r="I24" s="78">
        <f>SUMIFS(ExpAmounts,ExpMonth,A24)</f>
        <v/>
      </c>
      <c r="J24" s="48">
        <f>H24-I24</f>
        <v/>
      </c>
      <c r="K24" s="79">
        <f>IF(N(D24)=0,"",J24/D24)</f>
        <v/>
      </c>
    </row>
    <row r="25" ht="17" customHeight="1">
      <c r="A25" s="86">
        <f>EDATE(A24,1)</f>
        <v/>
      </c>
      <c r="B25" s="77">
        <f>SUMIFS(SalesNewOrder,SalesMonth,A25)</f>
        <v/>
      </c>
      <c r="C25" s="77">
        <f>SUMIFS(SalesQty,SalesMonth,A25)</f>
        <v/>
      </c>
      <c r="D25" s="78">
        <f>SUMIFS(SalesGross,SalesMonth,A25)</f>
        <v/>
      </c>
      <c r="E25" s="78">
        <f>SUMIFS(SalesFees,SalesMonth,A25)</f>
        <v/>
      </c>
      <c r="F25" s="78">
        <f>SUMIFS(SalesCOGS,SalesMonth,A25)</f>
        <v/>
      </c>
      <c r="G25" s="78">
        <f>SUMIFS(SalesShipPaid,SalesMonth,A25)</f>
        <v/>
      </c>
      <c r="H25" s="78">
        <f>SUMIFS(SalesNet,SalesMonth,A25)</f>
        <v/>
      </c>
      <c r="I25" s="78">
        <f>SUMIFS(ExpAmounts,ExpMonth,A25)</f>
        <v/>
      </c>
      <c r="J25" s="48">
        <f>H25-I25</f>
        <v/>
      </c>
      <c r="K25" s="79">
        <f>IF(N(D25)=0,"",J25/D25)</f>
        <v/>
      </c>
    </row>
    <row r="26" ht="17" customHeight="1">
      <c r="A26" s="86">
        <f>EDATE(A25,1)</f>
        <v/>
      </c>
      <c r="B26" s="77">
        <f>SUMIFS(SalesNewOrder,SalesMonth,A26)</f>
        <v/>
      </c>
      <c r="C26" s="77">
        <f>SUMIFS(SalesQty,SalesMonth,A26)</f>
        <v/>
      </c>
      <c r="D26" s="78">
        <f>SUMIFS(SalesGross,SalesMonth,A26)</f>
        <v/>
      </c>
      <c r="E26" s="78">
        <f>SUMIFS(SalesFees,SalesMonth,A26)</f>
        <v/>
      </c>
      <c r="F26" s="78">
        <f>SUMIFS(SalesCOGS,SalesMonth,A26)</f>
        <v/>
      </c>
      <c r="G26" s="78">
        <f>SUMIFS(SalesShipPaid,SalesMonth,A26)</f>
        <v/>
      </c>
      <c r="H26" s="78">
        <f>SUMIFS(SalesNet,SalesMonth,A26)</f>
        <v/>
      </c>
      <c r="I26" s="78">
        <f>SUMIFS(ExpAmounts,ExpMonth,A26)</f>
        <v/>
      </c>
      <c r="J26" s="48">
        <f>H26-I26</f>
        <v/>
      </c>
      <c r="K26" s="79">
        <f>IF(N(D26)=0,"",J26/D26)</f>
        <v/>
      </c>
    </row>
    <row r="27" ht="17" customHeight="1">
      <c r="A27" s="86">
        <f>EDATE(A26,1)</f>
        <v/>
      </c>
      <c r="B27" s="77">
        <f>SUMIFS(SalesNewOrder,SalesMonth,A27)</f>
        <v/>
      </c>
      <c r="C27" s="77">
        <f>SUMIFS(SalesQty,SalesMonth,A27)</f>
        <v/>
      </c>
      <c r="D27" s="78">
        <f>SUMIFS(SalesGross,SalesMonth,A27)</f>
        <v/>
      </c>
      <c r="E27" s="78">
        <f>SUMIFS(SalesFees,SalesMonth,A27)</f>
        <v/>
      </c>
      <c r="F27" s="78">
        <f>SUMIFS(SalesCOGS,SalesMonth,A27)</f>
        <v/>
      </c>
      <c r="G27" s="78">
        <f>SUMIFS(SalesShipPaid,SalesMonth,A27)</f>
        <v/>
      </c>
      <c r="H27" s="78">
        <f>SUMIFS(SalesNet,SalesMonth,A27)</f>
        <v/>
      </c>
      <c r="I27" s="78">
        <f>SUMIFS(ExpAmounts,ExpMonth,A27)</f>
        <v/>
      </c>
      <c r="J27" s="48">
        <f>H27-I27</f>
        <v/>
      </c>
      <c r="K27" s="79">
        <f>IF(N(D27)=0,"",J27/D27)</f>
        <v/>
      </c>
    </row>
    <row r="28" ht="17" customHeight="1">
      <c r="A28" s="86">
        <f>EDATE(A27,1)</f>
        <v/>
      </c>
      <c r="B28" s="77">
        <f>SUMIFS(SalesNewOrder,SalesMonth,A28)</f>
        <v/>
      </c>
      <c r="C28" s="77">
        <f>SUMIFS(SalesQty,SalesMonth,A28)</f>
        <v/>
      </c>
      <c r="D28" s="78">
        <f>SUMIFS(SalesGross,SalesMonth,A28)</f>
        <v/>
      </c>
      <c r="E28" s="78">
        <f>SUMIFS(SalesFees,SalesMonth,A28)</f>
        <v/>
      </c>
      <c r="F28" s="78">
        <f>SUMIFS(SalesCOGS,SalesMonth,A28)</f>
        <v/>
      </c>
      <c r="G28" s="78">
        <f>SUMIFS(SalesShipPaid,SalesMonth,A28)</f>
        <v/>
      </c>
      <c r="H28" s="78">
        <f>SUMIFS(SalesNet,SalesMonth,A28)</f>
        <v/>
      </c>
      <c r="I28" s="78">
        <f>SUMIFS(ExpAmounts,ExpMonth,A28)</f>
        <v/>
      </c>
      <c r="J28" s="48">
        <f>H28-I28</f>
        <v/>
      </c>
      <c r="K28" s="79">
        <f>IF(N(D28)=0,"",J28/D28)</f>
        <v/>
      </c>
    </row>
    <row r="29" ht="17" customHeight="1">
      <c r="A29" s="86">
        <f>EDATE(A28,1)</f>
        <v/>
      </c>
      <c r="B29" s="77">
        <f>SUMIFS(SalesNewOrder,SalesMonth,A29)</f>
        <v/>
      </c>
      <c r="C29" s="77">
        <f>SUMIFS(SalesQty,SalesMonth,A29)</f>
        <v/>
      </c>
      <c r="D29" s="78">
        <f>SUMIFS(SalesGross,SalesMonth,A29)</f>
        <v/>
      </c>
      <c r="E29" s="78">
        <f>SUMIFS(SalesFees,SalesMonth,A29)</f>
        <v/>
      </c>
      <c r="F29" s="78">
        <f>SUMIFS(SalesCOGS,SalesMonth,A29)</f>
        <v/>
      </c>
      <c r="G29" s="78">
        <f>SUMIFS(SalesShipPaid,SalesMonth,A29)</f>
        <v/>
      </c>
      <c r="H29" s="78">
        <f>SUMIFS(SalesNet,SalesMonth,A29)</f>
        <v/>
      </c>
      <c r="I29" s="78">
        <f>SUMIFS(ExpAmounts,ExpMonth,A29)</f>
        <v/>
      </c>
      <c r="J29" s="48">
        <f>H29-I29</f>
        <v/>
      </c>
      <c r="K29" s="79">
        <f>IF(N(D29)=0,"",J29/D29)</f>
        <v/>
      </c>
    </row>
    <row r="30" ht="17" customHeight="1">
      <c r="A30" s="86">
        <f>EDATE(A29,1)</f>
        <v/>
      </c>
      <c r="B30" s="77">
        <f>SUMIFS(SalesNewOrder,SalesMonth,A30)</f>
        <v/>
      </c>
      <c r="C30" s="77">
        <f>SUMIFS(SalesQty,SalesMonth,A30)</f>
        <v/>
      </c>
      <c r="D30" s="78">
        <f>SUMIFS(SalesGross,SalesMonth,A30)</f>
        <v/>
      </c>
      <c r="E30" s="78">
        <f>SUMIFS(SalesFees,SalesMonth,A30)</f>
        <v/>
      </c>
      <c r="F30" s="78">
        <f>SUMIFS(SalesCOGS,SalesMonth,A30)</f>
        <v/>
      </c>
      <c r="G30" s="78">
        <f>SUMIFS(SalesShipPaid,SalesMonth,A30)</f>
        <v/>
      </c>
      <c r="H30" s="78">
        <f>SUMIFS(SalesNet,SalesMonth,A30)</f>
        <v/>
      </c>
      <c r="I30" s="78">
        <f>SUMIFS(ExpAmounts,ExpMonth,A30)</f>
        <v/>
      </c>
      <c r="J30" s="48">
        <f>H30-I30</f>
        <v/>
      </c>
      <c r="K30" s="79">
        <f>IF(N(D30)=0,"",J30/D30)</f>
        <v/>
      </c>
    </row>
    <row r="31" ht="17" customHeight="1">
      <c r="A31" s="86">
        <f>EDATE(A30,1)</f>
        <v/>
      </c>
      <c r="B31" s="77">
        <f>SUMIFS(SalesNewOrder,SalesMonth,A31)</f>
        <v/>
      </c>
      <c r="C31" s="77">
        <f>SUMIFS(SalesQty,SalesMonth,A31)</f>
        <v/>
      </c>
      <c r="D31" s="78">
        <f>SUMIFS(SalesGross,SalesMonth,A31)</f>
        <v/>
      </c>
      <c r="E31" s="78">
        <f>SUMIFS(SalesFees,SalesMonth,A31)</f>
        <v/>
      </c>
      <c r="F31" s="78">
        <f>SUMIFS(SalesCOGS,SalesMonth,A31)</f>
        <v/>
      </c>
      <c r="G31" s="78">
        <f>SUMIFS(SalesShipPaid,SalesMonth,A31)</f>
        <v/>
      </c>
      <c r="H31" s="78">
        <f>SUMIFS(SalesNet,SalesMonth,A31)</f>
        <v/>
      </c>
      <c r="I31" s="78">
        <f>SUMIFS(ExpAmounts,ExpMonth,A31)</f>
        <v/>
      </c>
      <c r="J31" s="48">
        <f>H31-I31</f>
        <v/>
      </c>
      <c r="K31" s="79">
        <f>IF(N(D31)=0,"",J31/D31)</f>
        <v/>
      </c>
    </row>
    <row r="32" ht="17" customHeight="1">
      <c r="A32" s="86">
        <f>EDATE(A31,1)</f>
        <v/>
      </c>
      <c r="B32" s="77">
        <f>SUMIFS(SalesNewOrder,SalesMonth,A32)</f>
        <v/>
      </c>
      <c r="C32" s="77">
        <f>SUMIFS(SalesQty,SalesMonth,A32)</f>
        <v/>
      </c>
      <c r="D32" s="78">
        <f>SUMIFS(SalesGross,SalesMonth,A32)</f>
        <v/>
      </c>
      <c r="E32" s="78">
        <f>SUMIFS(SalesFees,SalesMonth,A32)</f>
        <v/>
      </c>
      <c r="F32" s="78">
        <f>SUMIFS(SalesCOGS,SalesMonth,A32)</f>
        <v/>
      </c>
      <c r="G32" s="78">
        <f>SUMIFS(SalesShipPaid,SalesMonth,A32)</f>
        <v/>
      </c>
      <c r="H32" s="78">
        <f>SUMIFS(SalesNet,SalesMonth,A32)</f>
        <v/>
      </c>
      <c r="I32" s="78">
        <f>SUMIFS(ExpAmounts,ExpMonth,A32)</f>
        <v/>
      </c>
      <c r="J32" s="48">
        <f>H32-I32</f>
        <v/>
      </c>
      <c r="K32" s="79">
        <f>IF(N(D32)=0,"",J32/D32)</f>
        <v/>
      </c>
    </row>
    <row r="33" ht="17" customHeight="1">
      <c r="A33" s="86">
        <f>EDATE(A32,1)</f>
        <v/>
      </c>
      <c r="B33" s="77">
        <f>SUMIFS(SalesNewOrder,SalesMonth,A33)</f>
        <v/>
      </c>
      <c r="C33" s="77">
        <f>SUMIFS(SalesQty,SalesMonth,A33)</f>
        <v/>
      </c>
      <c r="D33" s="78">
        <f>SUMIFS(SalesGross,SalesMonth,A33)</f>
        <v/>
      </c>
      <c r="E33" s="78">
        <f>SUMIFS(SalesFees,SalesMonth,A33)</f>
        <v/>
      </c>
      <c r="F33" s="78">
        <f>SUMIFS(SalesCOGS,SalesMonth,A33)</f>
        <v/>
      </c>
      <c r="G33" s="78">
        <f>SUMIFS(SalesShipPaid,SalesMonth,A33)</f>
        <v/>
      </c>
      <c r="H33" s="78">
        <f>SUMIFS(SalesNet,SalesMonth,A33)</f>
        <v/>
      </c>
      <c r="I33" s="78">
        <f>SUMIFS(ExpAmounts,ExpMonth,A33)</f>
        <v/>
      </c>
      <c r="J33" s="48">
        <f>H33-I33</f>
        <v/>
      </c>
      <c r="K33" s="79">
        <f>IF(N(D33)=0,"",J33/D33)</f>
        <v/>
      </c>
    </row>
    <row r="34" ht="17" customHeight="1">
      <c r="A34" s="86">
        <f>EDATE(A33,1)</f>
        <v/>
      </c>
      <c r="B34" s="77">
        <f>SUMIFS(SalesNewOrder,SalesMonth,A34)</f>
        <v/>
      </c>
      <c r="C34" s="77">
        <f>SUMIFS(SalesQty,SalesMonth,A34)</f>
        <v/>
      </c>
      <c r="D34" s="78">
        <f>SUMIFS(SalesGross,SalesMonth,A34)</f>
        <v/>
      </c>
      <c r="E34" s="78">
        <f>SUMIFS(SalesFees,SalesMonth,A34)</f>
        <v/>
      </c>
      <c r="F34" s="78">
        <f>SUMIFS(SalesCOGS,SalesMonth,A34)</f>
        <v/>
      </c>
      <c r="G34" s="78">
        <f>SUMIFS(SalesShipPaid,SalesMonth,A34)</f>
        <v/>
      </c>
      <c r="H34" s="78">
        <f>SUMIFS(SalesNet,SalesMonth,A34)</f>
        <v/>
      </c>
      <c r="I34" s="78">
        <f>SUMIFS(ExpAmounts,ExpMonth,A34)</f>
        <v/>
      </c>
      <c r="J34" s="48">
        <f>H34-I34</f>
        <v/>
      </c>
      <c r="K34" s="79">
        <f>IF(N(D34)=0,"",J34/D34)</f>
        <v/>
      </c>
    </row>
    <row r="35" ht="17" customHeight="1">
      <c r="A35" s="86">
        <f>EDATE(A34,1)</f>
        <v/>
      </c>
      <c r="B35" s="77">
        <f>SUMIFS(SalesNewOrder,SalesMonth,A35)</f>
        <v/>
      </c>
      <c r="C35" s="77">
        <f>SUMIFS(SalesQty,SalesMonth,A35)</f>
        <v/>
      </c>
      <c r="D35" s="78">
        <f>SUMIFS(SalesGross,SalesMonth,A35)</f>
        <v/>
      </c>
      <c r="E35" s="78">
        <f>SUMIFS(SalesFees,SalesMonth,A35)</f>
        <v/>
      </c>
      <c r="F35" s="78">
        <f>SUMIFS(SalesCOGS,SalesMonth,A35)</f>
        <v/>
      </c>
      <c r="G35" s="78">
        <f>SUMIFS(SalesShipPaid,SalesMonth,A35)</f>
        <v/>
      </c>
      <c r="H35" s="78">
        <f>SUMIFS(SalesNet,SalesMonth,A35)</f>
        <v/>
      </c>
      <c r="I35" s="78">
        <f>SUMIFS(ExpAmounts,ExpMonth,A35)</f>
        <v/>
      </c>
      <c r="J35" s="48">
        <f>H35-I35</f>
        <v/>
      </c>
      <c r="K35" s="79">
        <f>IF(N(D35)=0,"",J35/D35)</f>
        <v/>
      </c>
    </row>
    <row r="36" ht="17" customHeight="1">
      <c r="A36" s="86">
        <f>EDATE(A35,1)</f>
        <v/>
      </c>
      <c r="B36" s="77">
        <f>SUMIFS(SalesNewOrder,SalesMonth,A36)</f>
        <v/>
      </c>
      <c r="C36" s="77">
        <f>SUMIFS(SalesQty,SalesMonth,A36)</f>
        <v/>
      </c>
      <c r="D36" s="78">
        <f>SUMIFS(SalesGross,SalesMonth,A36)</f>
        <v/>
      </c>
      <c r="E36" s="78">
        <f>SUMIFS(SalesFees,SalesMonth,A36)</f>
        <v/>
      </c>
      <c r="F36" s="78">
        <f>SUMIFS(SalesCOGS,SalesMonth,A36)</f>
        <v/>
      </c>
      <c r="G36" s="78">
        <f>SUMIFS(SalesShipPaid,SalesMonth,A36)</f>
        <v/>
      </c>
      <c r="H36" s="78">
        <f>SUMIFS(SalesNet,SalesMonth,A36)</f>
        <v/>
      </c>
      <c r="I36" s="78">
        <f>SUMIFS(ExpAmounts,ExpMonth,A36)</f>
        <v/>
      </c>
      <c r="J36" s="48">
        <f>H36-I36</f>
        <v/>
      </c>
      <c r="K36" s="79">
        <f>IF(N(D36)=0,"",J36/D36)</f>
        <v/>
      </c>
    </row>
    <row r="37" ht="17" customHeight="1">
      <c r="A37" s="86">
        <f>EDATE(A36,1)</f>
        <v/>
      </c>
      <c r="B37" s="77">
        <f>SUMIFS(SalesNewOrder,SalesMonth,A37)</f>
        <v/>
      </c>
      <c r="C37" s="77">
        <f>SUMIFS(SalesQty,SalesMonth,A37)</f>
        <v/>
      </c>
      <c r="D37" s="78">
        <f>SUMIFS(SalesGross,SalesMonth,A37)</f>
        <v/>
      </c>
      <c r="E37" s="78">
        <f>SUMIFS(SalesFees,SalesMonth,A37)</f>
        <v/>
      </c>
      <c r="F37" s="78">
        <f>SUMIFS(SalesCOGS,SalesMonth,A37)</f>
        <v/>
      </c>
      <c r="G37" s="78">
        <f>SUMIFS(SalesShipPaid,SalesMonth,A37)</f>
        <v/>
      </c>
      <c r="H37" s="78">
        <f>SUMIFS(SalesNet,SalesMonth,A37)</f>
        <v/>
      </c>
      <c r="I37" s="78">
        <f>SUMIFS(ExpAmounts,ExpMonth,A37)</f>
        <v/>
      </c>
      <c r="J37" s="48">
        <f>H37-I37</f>
        <v/>
      </c>
      <c r="K37" s="79">
        <f>IF(N(D37)=0,"",J37/D37)</f>
        <v/>
      </c>
    </row>
    <row r="38" ht="17" customHeight="1">
      <c r="A38" s="86">
        <f>EDATE(A37,1)</f>
        <v/>
      </c>
      <c r="B38" s="77">
        <f>SUMIFS(SalesNewOrder,SalesMonth,A38)</f>
        <v/>
      </c>
      <c r="C38" s="77">
        <f>SUMIFS(SalesQty,SalesMonth,A38)</f>
        <v/>
      </c>
      <c r="D38" s="78">
        <f>SUMIFS(SalesGross,SalesMonth,A38)</f>
        <v/>
      </c>
      <c r="E38" s="78">
        <f>SUMIFS(SalesFees,SalesMonth,A38)</f>
        <v/>
      </c>
      <c r="F38" s="78">
        <f>SUMIFS(SalesCOGS,SalesMonth,A38)</f>
        <v/>
      </c>
      <c r="G38" s="78">
        <f>SUMIFS(SalesShipPaid,SalesMonth,A38)</f>
        <v/>
      </c>
      <c r="H38" s="78">
        <f>SUMIFS(SalesNet,SalesMonth,A38)</f>
        <v/>
      </c>
      <c r="I38" s="78">
        <f>SUMIFS(ExpAmounts,ExpMonth,A38)</f>
        <v/>
      </c>
      <c r="J38" s="48">
        <f>H38-I38</f>
        <v/>
      </c>
      <c r="K38" s="79">
        <f>IF(N(D38)=0,"",J38/D38)</f>
        <v/>
      </c>
    </row>
    <row r="39" ht="17" customHeight="1">
      <c r="A39" s="86">
        <f>EDATE(A38,1)</f>
        <v/>
      </c>
      <c r="B39" s="77">
        <f>SUMIFS(SalesNewOrder,SalesMonth,A39)</f>
        <v/>
      </c>
      <c r="C39" s="77">
        <f>SUMIFS(SalesQty,SalesMonth,A39)</f>
        <v/>
      </c>
      <c r="D39" s="78">
        <f>SUMIFS(SalesGross,SalesMonth,A39)</f>
        <v/>
      </c>
      <c r="E39" s="78">
        <f>SUMIFS(SalesFees,SalesMonth,A39)</f>
        <v/>
      </c>
      <c r="F39" s="78">
        <f>SUMIFS(SalesCOGS,SalesMonth,A39)</f>
        <v/>
      </c>
      <c r="G39" s="78">
        <f>SUMIFS(SalesShipPaid,SalesMonth,A39)</f>
        <v/>
      </c>
      <c r="H39" s="78">
        <f>SUMIFS(SalesNet,SalesMonth,A39)</f>
        <v/>
      </c>
      <c r="I39" s="78">
        <f>SUMIFS(ExpAmounts,ExpMonth,A39)</f>
        <v/>
      </c>
      <c r="J39" s="48">
        <f>H39-I39</f>
        <v/>
      </c>
      <c r="K39" s="79">
        <f>IF(N(D39)=0,"",J39/D39)</f>
        <v/>
      </c>
    </row>
    <row r="40" ht="17" customHeight="1">
      <c r="A40" s="86">
        <f>EDATE(A39,1)</f>
        <v/>
      </c>
      <c r="B40" s="77">
        <f>SUMIFS(SalesNewOrder,SalesMonth,A40)</f>
        <v/>
      </c>
      <c r="C40" s="77">
        <f>SUMIFS(SalesQty,SalesMonth,A40)</f>
        <v/>
      </c>
      <c r="D40" s="78">
        <f>SUMIFS(SalesGross,SalesMonth,A40)</f>
        <v/>
      </c>
      <c r="E40" s="78">
        <f>SUMIFS(SalesFees,SalesMonth,A40)</f>
        <v/>
      </c>
      <c r="F40" s="78">
        <f>SUMIFS(SalesCOGS,SalesMonth,A40)</f>
        <v/>
      </c>
      <c r="G40" s="78">
        <f>SUMIFS(SalesShipPaid,SalesMonth,A40)</f>
        <v/>
      </c>
      <c r="H40" s="78">
        <f>SUMIFS(SalesNet,SalesMonth,A40)</f>
        <v/>
      </c>
      <c r="I40" s="78">
        <f>SUMIFS(ExpAmounts,ExpMonth,A40)</f>
        <v/>
      </c>
      <c r="J40" s="48">
        <f>H40-I40</f>
        <v/>
      </c>
      <c r="K40" s="79">
        <f>IF(N(D40)=0,"",J40/D40)</f>
        <v/>
      </c>
    </row>
    <row r="41" ht="17" customHeight="1">
      <c r="A41" s="86">
        <f>EDATE(A40,1)</f>
        <v/>
      </c>
      <c r="B41" s="77">
        <f>SUMIFS(SalesNewOrder,SalesMonth,A41)</f>
        <v/>
      </c>
      <c r="C41" s="77">
        <f>SUMIFS(SalesQty,SalesMonth,A41)</f>
        <v/>
      </c>
      <c r="D41" s="78">
        <f>SUMIFS(SalesGross,SalesMonth,A41)</f>
        <v/>
      </c>
      <c r="E41" s="78">
        <f>SUMIFS(SalesFees,SalesMonth,A41)</f>
        <v/>
      </c>
      <c r="F41" s="78">
        <f>SUMIFS(SalesCOGS,SalesMonth,A41)</f>
        <v/>
      </c>
      <c r="G41" s="78">
        <f>SUMIFS(SalesShipPaid,SalesMonth,A41)</f>
        <v/>
      </c>
      <c r="H41" s="78">
        <f>SUMIFS(SalesNet,SalesMonth,A41)</f>
        <v/>
      </c>
      <c r="I41" s="78">
        <f>SUMIFS(ExpAmounts,ExpMonth,A41)</f>
        <v/>
      </c>
      <c r="J41" s="48">
        <f>H41-I41</f>
        <v/>
      </c>
      <c r="K41" s="79">
        <f>IF(N(D41)=0,"",J41/D41)</f>
        <v/>
      </c>
    </row>
    <row r="42" ht="17" customHeight="1">
      <c r="A42" s="86">
        <f>EDATE(A41,1)</f>
        <v/>
      </c>
      <c r="B42" s="77">
        <f>SUMIFS(SalesNewOrder,SalesMonth,A42)</f>
        <v/>
      </c>
      <c r="C42" s="77">
        <f>SUMIFS(SalesQty,SalesMonth,A42)</f>
        <v/>
      </c>
      <c r="D42" s="78">
        <f>SUMIFS(SalesGross,SalesMonth,A42)</f>
        <v/>
      </c>
      <c r="E42" s="78">
        <f>SUMIFS(SalesFees,SalesMonth,A42)</f>
        <v/>
      </c>
      <c r="F42" s="78">
        <f>SUMIFS(SalesCOGS,SalesMonth,A42)</f>
        <v/>
      </c>
      <c r="G42" s="78">
        <f>SUMIFS(SalesShipPaid,SalesMonth,A42)</f>
        <v/>
      </c>
      <c r="H42" s="78">
        <f>SUMIFS(SalesNet,SalesMonth,A42)</f>
        <v/>
      </c>
      <c r="I42" s="78">
        <f>SUMIFS(ExpAmounts,ExpMonth,A42)</f>
        <v/>
      </c>
      <c r="J42" s="48">
        <f>H42-I42</f>
        <v/>
      </c>
      <c r="K42" s="79">
        <f>IF(N(D42)=0,"",J42/D42)</f>
        <v/>
      </c>
    </row>
    <row r="43" ht="17" customHeight="1">
      <c r="A43" s="86">
        <f>EDATE(A42,1)</f>
        <v/>
      </c>
      <c r="B43" s="77">
        <f>SUMIFS(SalesNewOrder,SalesMonth,A43)</f>
        <v/>
      </c>
      <c r="C43" s="77">
        <f>SUMIFS(SalesQty,SalesMonth,A43)</f>
        <v/>
      </c>
      <c r="D43" s="78">
        <f>SUMIFS(SalesGross,SalesMonth,A43)</f>
        <v/>
      </c>
      <c r="E43" s="78">
        <f>SUMIFS(SalesFees,SalesMonth,A43)</f>
        <v/>
      </c>
      <c r="F43" s="78">
        <f>SUMIFS(SalesCOGS,SalesMonth,A43)</f>
        <v/>
      </c>
      <c r="G43" s="78">
        <f>SUMIFS(SalesShipPaid,SalesMonth,A43)</f>
        <v/>
      </c>
      <c r="H43" s="78">
        <f>SUMIFS(SalesNet,SalesMonth,A43)</f>
        <v/>
      </c>
      <c r="I43" s="78">
        <f>SUMIFS(ExpAmounts,ExpMonth,A43)</f>
        <v/>
      </c>
      <c r="J43" s="48">
        <f>H43-I43</f>
        <v/>
      </c>
      <c r="K43" s="79">
        <f>IF(N(D43)=0,"",J43/D43)</f>
        <v/>
      </c>
    </row>
    <row r="44" ht="17" customHeight="1">
      <c r="A44" s="86">
        <f>EDATE(A43,1)</f>
        <v/>
      </c>
      <c r="B44" s="77">
        <f>SUMIFS(SalesNewOrder,SalesMonth,A44)</f>
        <v/>
      </c>
      <c r="C44" s="77">
        <f>SUMIFS(SalesQty,SalesMonth,A44)</f>
        <v/>
      </c>
      <c r="D44" s="78">
        <f>SUMIFS(SalesGross,SalesMonth,A44)</f>
        <v/>
      </c>
      <c r="E44" s="78">
        <f>SUMIFS(SalesFees,SalesMonth,A44)</f>
        <v/>
      </c>
      <c r="F44" s="78">
        <f>SUMIFS(SalesCOGS,SalesMonth,A44)</f>
        <v/>
      </c>
      <c r="G44" s="78">
        <f>SUMIFS(SalesShipPaid,SalesMonth,A44)</f>
        <v/>
      </c>
      <c r="H44" s="78">
        <f>SUMIFS(SalesNet,SalesMonth,A44)</f>
        <v/>
      </c>
      <c r="I44" s="78">
        <f>SUMIFS(ExpAmounts,ExpMonth,A44)</f>
        <v/>
      </c>
      <c r="J44" s="48">
        <f>H44-I44</f>
        <v/>
      </c>
      <c r="K44" s="79">
        <f>IF(N(D44)=0,"",J44/D44)</f>
        <v/>
      </c>
    </row>
    <row r="45" ht="17" customHeight="1">
      <c r="A45" s="86">
        <f>EDATE(A44,1)</f>
        <v/>
      </c>
      <c r="B45" s="77">
        <f>SUMIFS(SalesNewOrder,SalesMonth,A45)</f>
        <v/>
      </c>
      <c r="C45" s="77">
        <f>SUMIFS(SalesQty,SalesMonth,A45)</f>
        <v/>
      </c>
      <c r="D45" s="78">
        <f>SUMIFS(SalesGross,SalesMonth,A45)</f>
        <v/>
      </c>
      <c r="E45" s="78">
        <f>SUMIFS(SalesFees,SalesMonth,A45)</f>
        <v/>
      </c>
      <c r="F45" s="78">
        <f>SUMIFS(SalesCOGS,SalesMonth,A45)</f>
        <v/>
      </c>
      <c r="G45" s="78">
        <f>SUMIFS(SalesShipPaid,SalesMonth,A45)</f>
        <v/>
      </c>
      <c r="H45" s="78">
        <f>SUMIFS(SalesNet,SalesMonth,A45)</f>
        <v/>
      </c>
      <c r="I45" s="78">
        <f>SUMIFS(ExpAmounts,ExpMonth,A45)</f>
        <v/>
      </c>
      <c r="J45" s="48">
        <f>H45-I45</f>
        <v/>
      </c>
      <c r="K45" s="79">
        <f>IF(N(D45)=0,"",J45/D45)</f>
        <v/>
      </c>
    </row>
    <row r="46" ht="17" customHeight="1">
      <c r="A46" s="86">
        <f>EDATE(A45,1)</f>
        <v/>
      </c>
      <c r="B46" s="77">
        <f>SUMIFS(SalesNewOrder,SalesMonth,A46)</f>
        <v/>
      </c>
      <c r="C46" s="77">
        <f>SUMIFS(SalesQty,SalesMonth,A46)</f>
        <v/>
      </c>
      <c r="D46" s="78">
        <f>SUMIFS(SalesGross,SalesMonth,A46)</f>
        <v/>
      </c>
      <c r="E46" s="78">
        <f>SUMIFS(SalesFees,SalesMonth,A46)</f>
        <v/>
      </c>
      <c r="F46" s="78">
        <f>SUMIFS(SalesCOGS,SalesMonth,A46)</f>
        <v/>
      </c>
      <c r="G46" s="78">
        <f>SUMIFS(SalesShipPaid,SalesMonth,A46)</f>
        <v/>
      </c>
      <c r="H46" s="78">
        <f>SUMIFS(SalesNet,SalesMonth,A46)</f>
        <v/>
      </c>
      <c r="I46" s="78">
        <f>SUMIFS(ExpAmounts,ExpMonth,A46)</f>
        <v/>
      </c>
      <c r="J46" s="48">
        <f>H46-I46</f>
        <v/>
      </c>
      <c r="K46" s="79">
        <f>IF(N(D46)=0,"",J46/D46)</f>
        <v/>
      </c>
    </row>
    <row r="47" ht="17" customHeight="1">
      <c r="A47" s="86">
        <f>EDATE(A46,1)</f>
        <v/>
      </c>
      <c r="B47" s="77">
        <f>SUMIFS(SalesNewOrder,SalesMonth,A47)</f>
        <v/>
      </c>
      <c r="C47" s="77">
        <f>SUMIFS(SalesQty,SalesMonth,A47)</f>
        <v/>
      </c>
      <c r="D47" s="78">
        <f>SUMIFS(SalesGross,SalesMonth,A47)</f>
        <v/>
      </c>
      <c r="E47" s="78">
        <f>SUMIFS(SalesFees,SalesMonth,A47)</f>
        <v/>
      </c>
      <c r="F47" s="78">
        <f>SUMIFS(SalesCOGS,SalesMonth,A47)</f>
        <v/>
      </c>
      <c r="G47" s="78">
        <f>SUMIFS(SalesShipPaid,SalesMonth,A47)</f>
        <v/>
      </c>
      <c r="H47" s="78">
        <f>SUMIFS(SalesNet,SalesMonth,A47)</f>
        <v/>
      </c>
      <c r="I47" s="78">
        <f>SUMIFS(ExpAmounts,ExpMonth,A47)</f>
        <v/>
      </c>
      <c r="J47" s="48">
        <f>H47-I47</f>
        <v/>
      </c>
      <c r="K47" s="79">
        <f>IF(N(D47)=0,"",J47/D47)</f>
        <v/>
      </c>
    </row>
    <row r="48" ht="17" customHeight="1">
      <c r="A48" s="86">
        <f>EDATE(A47,1)</f>
        <v/>
      </c>
      <c r="B48" s="77">
        <f>SUMIFS(SalesNewOrder,SalesMonth,A48)</f>
        <v/>
      </c>
      <c r="C48" s="77">
        <f>SUMIFS(SalesQty,SalesMonth,A48)</f>
        <v/>
      </c>
      <c r="D48" s="78">
        <f>SUMIFS(SalesGross,SalesMonth,A48)</f>
        <v/>
      </c>
      <c r="E48" s="78">
        <f>SUMIFS(SalesFees,SalesMonth,A48)</f>
        <v/>
      </c>
      <c r="F48" s="78">
        <f>SUMIFS(SalesCOGS,SalesMonth,A48)</f>
        <v/>
      </c>
      <c r="G48" s="78">
        <f>SUMIFS(SalesShipPaid,SalesMonth,A48)</f>
        <v/>
      </c>
      <c r="H48" s="78">
        <f>SUMIFS(SalesNet,SalesMonth,A48)</f>
        <v/>
      </c>
      <c r="I48" s="78">
        <f>SUMIFS(ExpAmounts,ExpMonth,A48)</f>
        <v/>
      </c>
      <c r="J48" s="48">
        <f>H48-I48</f>
        <v/>
      </c>
      <c r="K48" s="79">
        <f>IF(N(D48)=0,"",J48/D48)</f>
        <v/>
      </c>
    </row>
    <row r="49" ht="17" customHeight="1">
      <c r="A49" s="86">
        <f>EDATE(A48,1)</f>
        <v/>
      </c>
      <c r="B49" s="77">
        <f>SUMIFS(SalesNewOrder,SalesMonth,A49)</f>
        <v/>
      </c>
      <c r="C49" s="77">
        <f>SUMIFS(SalesQty,SalesMonth,A49)</f>
        <v/>
      </c>
      <c r="D49" s="78">
        <f>SUMIFS(SalesGross,SalesMonth,A49)</f>
        <v/>
      </c>
      <c r="E49" s="78">
        <f>SUMIFS(SalesFees,SalesMonth,A49)</f>
        <v/>
      </c>
      <c r="F49" s="78">
        <f>SUMIFS(SalesCOGS,SalesMonth,A49)</f>
        <v/>
      </c>
      <c r="G49" s="78">
        <f>SUMIFS(SalesShipPaid,SalesMonth,A49)</f>
        <v/>
      </c>
      <c r="H49" s="78">
        <f>SUMIFS(SalesNet,SalesMonth,A49)</f>
        <v/>
      </c>
      <c r="I49" s="78">
        <f>SUMIFS(ExpAmounts,ExpMonth,A49)</f>
        <v/>
      </c>
      <c r="J49" s="48">
        <f>H49-I49</f>
        <v/>
      </c>
      <c r="K49" s="79">
        <f>IF(N(D49)=0,"",J49/D49)</f>
        <v/>
      </c>
    </row>
    <row r="50" ht="17" customHeight="1">
      <c r="A50" s="86">
        <f>EDATE(A49,1)</f>
        <v/>
      </c>
      <c r="B50" s="77">
        <f>SUMIFS(SalesNewOrder,SalesMonth,A50)</f>
        <v/>
      </c>
      <c r="C50" s="77">
        <f>SUMIFS(SalesQty,SalesMonth,A50)</f>
        <v/>
      </c>
      <c r="D50" s="78">
        <f>SUMIFS(SalesGross,SalesMonth,A50)</f>
        <v/>
      </c>
      <c r="E50" s="78">
        <f>SUMIFS(SalesFees,SalesMonth,A50)</f>
        <v/>
      </c>
      <c r="F50" s="78">
        <f>SUMIFS(SalesCOGS,SalesMonth,A50)</f>
        <v/>
      </c>
      <c r="G50" s="78">
        <f>SUMIFS(SalesShipPaid,SalesMonth,A50)</f>
        <v/>
      </c>
      <c r="H50" s="78">
        <f>SUMIFS(SalesNet,SalesMonth,A50)</f>
        <v/>
      </c>
      <c r="I50" s="78">
        <f>SUMIFS(ExpAmounts,ExpMonth,A50)</f>
        <v/>
      </c>
      <c r="J50" s="48">
        <f>H50-I50</f>
        <v/>
      </c>
      <c r="K50" s="79">
        <f>IF(N(D50)=0,"",J50/D50)</f>
        <v/>
      </c>
    </row>
    <row r="51" ht="17" customHeight="1">
      <c r="A51" s="86">
        <f>EDATE(A50,1)</f>
        <v/>
      </c>
      <c r="B51" s="77">
        <f>SUMIFS(SalesNewOrder,SalesMonth,A51)</f>
        <v/>
      </c>
      <c r="C51" s="77">
        <f>SUMIFS(SalesQty,SalesMonth,A51)</f>
        <v/>
      </c>
      <c r="D51" s="78">
        <f>SUMIFS(SalesGross,SalesMonth,A51)</f>
        <v/>
      </c>
      <c r="E51" s="78">
        <f>SUMIFS(SalesFees,SalesMonth,A51)</f>
        <v/>
      </c>
      <c r="F51" s="78">
        <f>SUMIFS(SalesCOGS,SalesMonth,A51)</f>
        <v/>
      </c>
      <c r="G51" s="78">
        <f>SUMIFS(SalesShipPaid,SalesMonth,A51)</f>
        <v/>
      </c>
      <c r="H51" s="78">
        <f>SUMIFS(SalesNet,SalesMonth,A51)</f>
        <v/>
      </c>
      <c r="I51" s="78">
        <f>SUMIFS(ExpAmounts,ExpMonth,A51)</f>
        <v/>
      </c>
      <c r="J51" s="48">
        <f>H51-I51</f>
        <v/>
      </c>
      <c r="K51" s="79">
        <f>IF(N(D51)=0,"",J51/D51)</f>
        <v/>
      </c>
    </row>
    <row r="52" ht="17" customHeight="1">
      <c r="A52" s="86">
        <f>EDATE(A51,1)</f>
        <v/>
      </c>
      <c r="B52" s="77">
        <f>SUMIFS(SalesNewOrder,SalesMonth,A52)</f>
        <v/>
      </c>
      <c r="C52" s="77">
        <f>SUMIFS(SalesQty,SalesMonth,A52)</f>
        <v/>
      </c>
      <c r="D52" s="78">
        <f>SUMIFS(SalesGross,SalesMonth,A52)</f>
        <v/>
      </c>
      <c r="E52" s="78">
        <f>SUMIFS(SalesFees,SalesMonth,A52)</f>
        <v/>
      </c>
      <c r="F52" s="78">
        <f>SUMIFS(SalesCOGS,SalesMonth,A52)</f>
        <v/>
      </c>
      <c r="G52" s="78">
        <f>SUMIFS(SalesShipPaid,SalesMonth,A52)</f>
        <v/>
      </c>
      <c r="H52" s="78">
        <f>SUMIFS(SalesNet,SalesMonth,A52)</f>
        <v/>
      </c>
      <c r="I52" s="78">
        <f>SUMIFS(ExpAmounts,ExpMonth,A52)</f>
        <v/>
      </c>
      <c r="J52" s="48">
        <f>H52-I52</f>
        <v/>
      </c>
      <c r="K52" s="79">
        <f>IF(N(D52)=0,"",J52/D52)</f>
        <v/>
      </c>
    </row>
    <row r="53">
      <c r="A53" s="80" t="inlineStr">
        <is>
          <t>TOTAL</t>
        </is>
      </c>
      <c r="B53" s="88">
        <f>SUM(B5:B52)</f>
        <v/>
      </c>
      <c r="C53" s="88">
        <f>SUM(C5:C52)</f>
        <v/>
      </c>
      <c r="D53" s="89">
        <f>SUM(D5:D52)</f>
        <v/>
      </c>
      <c r="E53" s="89">
        <f>SUM(E5:E52)</f>
        <v/>
      </c>
      <c r="F53" s="89">
        <f>SUM(F5:F52)</f>
        <v/>
      </c>
      <c r="G53" s="89">
        <f>SUM(G5:G52)</f>
        <v/>
      </c>
      <c r="H53" s="89">
        <f>SUM(H5:H52)</f>
        <v/>
      </c>
      <c r="I53" s="89">
        <f>SUM(I5:I52)</f>
        <v/>
      </c>
      <c r="J53" s="89">
        <f>SUM(J5:J52)</f>
        <v/>
      </c>
      <c r="K53" s="68">
        <f>IF(D53=0,"",J53/D53)</f>
        <v/>
      </c>
    </row>
  </sheetData>
  <autoFilter ref="A4:K52"/>
  <mergeCells count="3">
    <mergeCell ref="A2:K2"/>
    <mergeCell ref="A1:K1"/>
    <mergeCell ref="A3:K3"/>
  </mergeCells>
  <conditionalFormatting sqref="J5:J52">
    <cfRule type="expression" priority="1" dxfId="5">
      <formula>AND($D5+$I5&lt;&gt;0,$J5&lt;0)</formula>
    </cfRule>
    <cfRule type="expression" priority="2" dxfId="6">
      <formula>AND($D5&lt;&gt;0,$J5&gt;0)</formula>
    </cfRule>
  </conditionalFormatting>
  <printOptions horizontalCentered="1"/>
  <pageMargins left="0.5" right="0.5" top="0.55" bottom="0.55" header="0.3" footer="0.3"/>
  <pageSetup orientation="landscape" paperSize="1" fitToHeight="0" fitToWidth="1"/>
  <headerFooter>
    <oddHeader>&amp;LMonthly Summary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H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30" customHeight="1">
      <c r="A1" s="90" t="inlineStr">
        <is>
          <t>How to use this template</t>
        </is>
      </c>
      <c r="B1" s="120" t="n"/>
      <c r="C1" s="120" t="n"/>
      <c r="D1" s="120" t="n"/>
      <c r="E1" s="120" t="n"/>
      <c r="F1" s="120" t="n"/>
      <c r="G1" s="120" t="n"/>
      <c r="H1" s="120" t="n"/>
    </row>
    <row r="2">
      <c r="A2" s="91" t="n"/>
      <c r="B2" s="92" t="inlineStr">
        <is>
          <t>Track every sale, fee, and expense so you know what you actually keep. Built for Etsy, Shopify, Gumroad, and similar shops.</t>
        </is>
      </c>
      <c r="C2" s="120" t="n"/>
      <c r="D2" s="120" t="n"/>
      <c r="E2" s="120" t="n"/>
      <c r="F2" s="120" t="n"/>
      <c r="G2" s="120" t="n"/>
      <c r="H2" s="91" t="n"/>
    </row>
    <row r="3">
      <c r="A3" s="91" t="n"/>
      <c r="B3" s="91" t="n"/>
      <c r="C3" s="91" t="n"/>
      <c r="D3" s="91" t="n"/>
      <c r="E3" s="91" t="n"/>
      <c r="F3" s="91" t="n"/>
      <c r="G3" s="91" t="n"/>
      <c r="H3" s="91" t="n"/>
    </row>
    <row r="4" ht="22" customHeight="1">
      <c r="A4" s="91" t="n"/>
      <c r="B4" s="93" t="inlineStr">
        <is>
          <t>1. Five-minute start</t>
        </is>
      </c>
      <c r="C4" s="120" t="n"/>
      <c r="D4" s="120" t="n"/>
      <c r="E4" s="120" t="n"/>
      <c r="F4" s="120" t="n"/>
      <c r="G4" s="120" t="n"/>
      <c r="H4" s="91" t="n"/>
    </row>
    <row r="5" ht="38" customHeight="1">
      <c r="A5" s="91" t="n"/>
      <c r="B5" s="94" t="inlineStr">
        <is>
          <t>1. Open Products. Type your shop name, then replace the sample catalog with your items — name, cost of goods per unit, and selling price. Stock is optional.</t>
        </is>
      </c>
      <c r="C5" s="117" t="n"/>
      <c r="D5" s="117" t="n"/>
      <c r="E5" s="117" t="n"/>
      <c r="F5" s="117" t="n"/>
      <c r="G5" s="118" t="n"/>
      <c r="H5" s="91" t="n"/>
    </row>
    <row r="6" ht="38" customHeight="1">
      <c r="A6" s="91" t="n"/>
      <c r="B6" s="94" t="inlineStr">
        <is>
          <t>2. Open Sales Log. Delete the sample rows (values only) or overwrite them. Each sale needs a date, order ID, product, qty, unit price, shipping charged, platform fees, and shipping you paid.</t>
        </is>
      </c>
      <c r="C6" s="117" t="n"/>
      <c r="D6" s="117" t="n"/>
      <c r="E6" s="117" t="n"/>
      <c r="F6" s="117" t="n"/>
      <c r="G6" s="118" t="n"/>
      <c r="H6" s="91" t="n"/>
    </row>
    <row r="7" ht="38" customHeight="1">
      <c r="A7" s="91" t="n"/>
      <c r="B7" s="94" t="inlineStr">
        <is>
          <t>3. Open Fees &amp; Expenses. Log ads, packaging stock, Etsy Plus / Shopify, software — anything not attached to one order.</t>
        </is>
      </c>
      <c r="C7" s="117" t="n"/>
      <c r="D7" s="117" t="n"/>
      <c r="E7" s="117" t="n"/>
      <c r="F7" s="117" t="n"/>
      <c r="G7" s="118" t="n"/>
      <c r="H7" s="91" t="n"/>
    </row>
    <row r="8" ht="38" customHeight="1">
      <c r="A8" s="91" t="n"/>
      <c r="B8" s="94" t="inlineStr">
        <is>
          <t>4. Live on the Dashboard. All-time cards are your real earnings. Change Review month (blue cell) to compare any two months.</t>
        </is>
      </c>
      <c r="C8" s="117" t="n"/>
      <c r="D8" s="117" t="n"/>
      <c r="E8" s="117" t="n"/>
      <c r="F8" s="117" t="n"/>
      <c r="G8" s="118" t="n"/>
      <c r="H8" s="91" t="n"/>
    </row>
    <row r="9" ht="38" customHeight="1">
      <c r="A9" s="91" t="n"/>
      <c r="B9" s="94" t="inlineStr">
        <is>
          <t>5. Monthly Summary is already calculating. Use it at month-end or tax time.</t>
        </is>
      </c>
      <c r="C9" s="117" t="n"/>
      <c r="D9" s="117" t="n"/>
      <c r="E9" s="117" t="n"/>
      <c r="F9" s="117" t="n"/>
      <c r="G9" s="118" t="n"/>
      <c r="H9" s="91" t="n"/>
    </row>
    <row r="10" ht="52" customHeight="1">
      <c r="A10" s="91" t="n"/>
      <c r="B10" s="95" t="inlineStr">
        <is>
          <t>[Screenshot: Dashboard cards — revenue, net profit, margin, orders]</t>
        </is>
      </c>
      <c r="C10" s="121" t="n"/>
      <c r="D10" s="121" t="n"/>
      <c r="E10" s="121" t="n"/>
      <c r="F10" s="121" t="n"/>
      <c r="G10" s="122" t="n"/>
      <c r="H10" s="91" t="n"/>
    </row>
    <row r="11">
      <c r="A11" s="91" t="n"/>
      <c r="B11" s="91" t="n"/>
      <c r="C11" s="91" t="n"/>
      <c r="D11" s="91" t="n"/>
      <c r="E11" s="91" t="n"/>
      <c r="F11" s="91" t="n"/>
      <c r="G11" s="91" t="n"/>
      <c r="H11" s="91" t="n"/>
    </row>
    <row r="12" ht="22" customHeight="1">
      <c r="A12" s="91" t="n"/>
      <c r="B12" s="93" t="inlineStr">
        <is>
          <t>2. What each tab does</t>
        </is>
      </c>
      <c r="C12" s="120" t="n"/>
      <c r="D12" s="120" t="n"/>
      <c r="E12" s="120" t="n"/>
      <c r="F12" s="120" t="n"/>
      <c r="G12" s="120" t="n"/>
      <c r="H12" s="91" t="n"/>
    </row>
    <row r="13" ht="24" customHeight="1">
      <c r="A13" s="91" t="n"/>
      <c r="B13" s="94" t="inlineStr">
        <is>
          <t>Dashboard — High-level numbers and charts. The only thing to type is Review month.</t>
        </is>
      </c>
      <c r="C13" s="117" t="n"/>
      <c r="D13" s="117" t="n"/>
      <c r="E13" s="117" t="n"/>
      <c r="F13" s="117" t="n"/>
      <c r="G13" s="118" t="n"/>
      <c r="H13" s="91" t="n"/>
    </row>
    <row r="14" ht="24" customHeight="1">
      <c r="A14" s="91" t="n"/>
      <c r="B14" s="94" t="inlineStr">
        <is>
          <t>Sales Log — Every order line. This is where daily selling gets recorded.</t>
        </is>
      </c>
      <c r="C14" s="117" t="n"/>
      <c r="D14" s="117" t="n"/>
      <c r="E14" s="117" t="n"/>
      <c r="F14" s="117" t="n"/>
      <c r="G14" s="118" t="n"/>
      <c r="H14" s="91" t="n"/>
    </row>
    <row r="15" ht="24" customHeight="1">
      <c r="A15" s="91" t="n"/>
      <c r="B15" s="94" t="inlineStr">
        <is>
          <t>Products — Your catalog and cost of goods. Sales Log picks names from here.</t>
        </is>
      </c>
      <c r="C15" s="117" t="n"/>
      <c r="D15" s="117" t="n"/>
      <c r="E15" s="117" t="n"/>
      <c r="F15" s="117" t="n"/>
      <c r="G15" s="118" t="n"/>
      <c r="H15" s="91" t="n"/>
    </row>
    <row r="16" ht="24" customHeight="1">
      <c r="A16" s="91" t="n"/>
      <c r="B16" s="94" t="inlineStr">
        <is>
          <t>Fees &amp; Expenses — Ads, packaging, subscriptions, software, other overhead.</t>
        </is>
      </c>
      <c r="C16" s="117" t="n"/>
      <c r="D16" s="117" t="n"/>
      <c r="E16" s="117" t="n"/>
      <c r="F16" s="117" t="n"/>
      <c r="G16" s="118" t="n"/>
      <c r="H16" s="91" t="n"/>
    </row>
    <row r="17" ht="24" customHeight="1">
      <c r="A17" s="91" t="n"/>
      <c r="B17" s="94" t="inlineStr">
        <is>
          <t>Monthly Summary — Auto breakdown by month. Already covers 2025–2028.</t>
        </is>
      </c>
      <c r="C17" s="117" t="n"/>
      <c r="D17" s="117" t="n"/>
      <c r="E17" s="117" t="n"/>
      <c r="F17" s="117" t="n"/>
      <c r="G17" s="118" t="n"/>
      <c r="H17" s="91" t="n"/>
    </row>
    <row r="18" ht="24" customHeight="1">
      <c r="A18" s="91" t="n"/>
      <c r="B18" s="94" t="inlineStr">
        <is>
          <t>Instructions — This guide.</t>
        </is>
      </c>
      <c r="C18" s="117" t="n"/>
      <c r="D18" s="117" t="n"/>
      <c r="E18" s="117" t="n"/>
      <c r="F18" s="117" t="n"/>
      <c r="G18" s="118" t="n"/>
      <c r="H18" s="91" t="n"/>
    </row>
    <row r="19">
      <c r="A19" s="91" t="n"/>
      <c r="B19" s="91" t="n"/>
      <c r="C19" s="91" t="n"/>
      <c r="D19" s="91" t="n"/>
      <c r="E19" s="91" t="n"/>
      <c r="F19" s="91" t="n"/>
      <c r="G19" s="91" t="n"/>
      <c r="H19" s="91" t="n"/>
    </row>
    <row r="20" ht="22" customHeight="1">
      <c r="A20" s="91" t="n"/>
      <c r="B20" s="93" t="inlineStr">
        <is>
          <t>3. How profit is calculated</t>
        </is>
      </c>
      <c r="C20" s="120" t="n"/>
      <c r="D20" s="120" t="n"/>
      <c r="E20" s="120" t="n"/>
      <c r="F20" s="120" t="n"/>
      <c r="G20" s="120" t="n"/>
      <c r="H20" s="91" t="n"/>
    </row>
    <row r="21" ht="26" customHeight="1">
      <c r="A21" s="91" t="n"/>
      <c r="B21" s="94" t="inlineStr">
        <is>
          <t>Gross (one sale) = quantity × unit price + shipping the customer paid.</t>
        </is>
      </c>
      <c r="C21" s="117" t="n"/>
      <c r="D21" s="117" t="n"/>
      <c r="E21" s="117" t="n"/>
      <c r="F21" s="117" t="n"/>
      <c r="G21" s="118" t="n"/>
      <c r="H21" s="91" t="n"/>
    </row>
    <row r="22" ht="32" customHeight="1">
      <c r="A22" s="91" t="n"/>
      <c r="B22" s="94" t="inlineStr">
        <is>
          <t>COGS = quantity × the product’s cost on the Products sheet. Override it on that sales row if this unit cost something different.</t>
        </is>
      </c>
      <c r="C22" s="117" t="n"/>
      <c r="D22" s="117" t="n"/>
      <c r="E22" s="117" t="n"/>
      <c r="F22" s="117" t="n"/>
      <c r="G22" s="118" t="n"/>
      <c r="H22" s="91" t="n"/>
    </row>
    <row r="23" ht="24" customHeight="1">
      <c r="A23" s="91" t="n"/>
      <c r="B23" s="94" t="inlineStr">
        <is>
          <t>Sales profit = gross − platform fees − shipping you paid − COGS.</t>
        </is>
      </c>
      <c r="C23" s="117" t="n"/>
      <c r="D23" s="117" t="n"/>
      <c r="E23" s="117" t="n"/>
      <c r="F23" s="117" t="n"/>
      <c r="G23" s="118" t="n"/>
      <c r="H23" s="91" t="n"/>
    </row>
    <row r="24" ht="28" customHeight="1">
      <c r="A24" s="91" t="n"/>
      <c r="B24" s="94" t="inlineStr">
        <is>
          <t>True net profit (Dashboard) = all sales profit − Fees &amp; Expenses. That is the number that matters.</t>
        </is>
      </c>
      <c r="C24" s="117" t="n"/>
      <c r="D24" s="117" t="n"/>
      <c r="E24" s="117" t="n"/>
      <c r="F24" s="117" t="n"/>
      <c r="G24" s="118" t="n"/>
      <c r="H24" s="91" t="n"/>
    </row>
    <row r="25" ht="32" customHeight="1">
      <c r="A25" s="91" t="n"/>
      <c r="B25" s="94" t="inlineStr">
        <is>
          <t>Digital products: COGS $0, shipping $0. POD: put the maker’s base price in COGS and usually $0 in Shipping you paid.</t>
        </is>
      </c>
      <c r="C25" s="117" t="n"/>
      <c r="D25" s="117" t="n"/>
      <c r="E25" s="117" t="n"/>
      <c r="F25" s="117" t="n"/>
      <c r="G25" s="118" t="n"/>
      <c r="H25" s="91" t="n"/>
    </row>
    <row r="26" ht="26" customHeight="1">
      <c r="A26" s="91" t="n"/>
      <c r="B26" s="94" t="inlineStr">
        <is>
          <t>Two items in one order: two Sales Log rows, same Order ID. They count as one order.</t>
        </is>
      </c>
      <c r="C26" s="117" t="n"/>
      <c r="D26" s="117" t="n"/>
      <c r="E26" s="117" t="n"/>
      <c r="F26" s="117" t="n"/>
      <c r="G26" s="118" t="n"/>
      <c r="H26" s="91" t="n"/>
    </row>
    <row r="27" ht="52" customHeight="1">
      <c r="A27" s="91" t="n"/>
      <c r="B27" s="95" t="inlineStr">
        <is>
          <t>[Screenshot: Sales Log with a two-line order and calculated Net profit]</t>
        </is>
      </c>
      <c r="C27" s="121" t="n"/>
      <c r="D27" s="121" t="n"/>
      <c r="E27" s="121" t="n"/>
      <c r="F27" s="121" t="n"/>
      <c r="G27" s="122" t="n"/>
      <c r="H27" s="91" t="n"/>
    </row>
    <row r="28">
      <c r="A28" s="91" t="n"/>
      <c r="B28" s="91" t="n"/>
      <c r="C28" s="91" t="n"/>
      <c r="D28" s="91" t="n"/>
      <c r="E28" s="91" t="n"/>
      <c r="F28" s="91" t="n"/>
      <c r="G28" s="91" t="n"/>
      <c r="H28" s="91" t="n"/>
    </row>
    <row r="29" ht="22" customHeight="1">
      <c r="A29" s="91" t="n"/>
      <c r="B29" s="93" t="inlineStr">
        <is>
          <t>4. Color key</t>
        </is>
      </c>
      <c r="C29" s="120" t="n"/>
      <c r="D29" s="120" t="n"/>
      <c r="E29" s="120" t="n"/>
      <c r="F29" s="120" t="n"/>
      <c r="G29" s="120" t="n"/>
      <c r="H29" s="91" t="n"/>
    </row>
    <row r="30" ht="22" customHeight="1">
      <c r="A30" s="91" t="n"/>
      <c r="B30" s="94" t="inlineStr">
        <is>
          <t>Blue cell = type here.    Gray cell = formula, leave it alone.</t>
        </is>
      </c>
      <c r="C30" s="117" t="n"/>
      <c r="D30" s="117" t="n"/>
      <c r="E30" s="117" t="n"/>
      <c r="F30" s="117" t="n"/>
      <c r="G30" s="118" t="n"/>
      <c r="H30" s="91" t="n"/>
    </row>
    <row r="31" ht="22" customHeight="1">
      <c r="A31" s="91" t="n"/>
      <c r="B31" s="94" t="inlineStr">
        <is>
          <t>Green = profitable sale, product, or month.</t>
        </is>
      </c>
      <c r="C31" s="117" t="n"/>
      <c r="D31" s="117" t="n"/>
      <c r="E31" s="117" t="n"/>
      <c r="F31" s="117" t="n"/>
      <c r="G31" s="118" t="n"/>
      <c r="H31" s="91" t="n"/>
    </row>
    <row r="32" ht="24" customHeight="1">
      <c r="A32" s="91" t="n"/>
      <c r="B32" s="94" t="inlineStr">
        <is>
          <t>Amber = platform fees are 20% or more of that sale’s gross — worth a look.</t>
        </is>
      </c>
      <c r="C32" s="117" t="n"/>
      <c r="D32" s="117" t="n"/>
      <c r="E32" s="117" t="n"/>
      <c r="F32" s="117" t="n"/>
      <c r="G32" s="118" t="n"/>
      <c r="H32" s="91" t="n"/>
    </row>
    <row r="33" ht="22" customHeight="1">
      <c r="A33" s="91" t="n"/>
      <c r="B33" s="94" t="inlineStr">
        <is>
          <t>Red = that sale, product, or month lost money.</t>
        </is>
      </c>
      <c r="C33" s="117" t="n"/>
      <c r="D33" s="117" t="n"/>
      <c r="E33" s="117" t="n"/>
      <c r="F33" s="117" t="n"/>
      <c r="G33" s="118" t="n"/>
      <c r="H33" s="91" t="n"/>
    </row>
    <row r="34">
      <c r="A34" s="91" t="n"/>
      <c r="B34" s="91" t="n"/>
      <c r="C34" s="91" t="n"/>
      <c r="D34" s="91" t="n"/>
      <c r="E34" s="91" t="n"/>
      <c r="F34" s="91" t="n"/>
      <c r="G34" s="91" t="n"/>
      <c r="H34" s="91" t="n"/>
    </row>
    <row r="35" ht="22" customHeight="1">
      <c r="A35" s="91" t="n"/>
      <c r="B35" s="93" t="inlineStr">
        <is>
          <t>5. How to customize</t>
        </is>
      </c>
      <c r="C35" s="120" t="n"/>
      <c r="D35" s="120" t="n"/>
      <c r="E35" s="120" t="n"/>
      <c r="F35" s="120" t="n"/>
      <c r="G35" s="120" t="n"/>
      <c r="H35" s="91" t="n"/>
    </row>
    <row r="36" ht="38" customHeight="1">
      <c r="A36" s="91" t="n"/>
      <c r="B36" s="94" t="inlineStr">
        <is>
          <t>•  Add a product or sale: type in the next blank blue row. Formulas are already in the gray columns.</t>
        </is>
      </c>
      <c r="C36" s="117" t="n"/>
      <c r="D36" s="117" t="n"/>
      <c r="E36" s="117" t="n"/>
      <c r="F36" s="117" t="n"/>
      <c r="G36" s="118" t="n"/>
      <c r="H36" s="91" t="n"/>
    </row>
    <row r="37" ht="38" customHeight="1">
      <c r="A37" s="91" t="n"/>
      <c r="B37" s="94" t="inlineStr">
        <is>
          <t>•  Add expense categories or platforms: edit the lists in column N on Products.</t>
        </is>
      </c>
      <c r="C37" s="117" t="n"/>
      <c r="D37" s="117" t="n"/>
      <c r="E37" s="117" t="n"/>
      <c r="F37" s="117" t="n"/>
      <c r="G37" s="118" t="n"/>
      <c r="H37" s="91" t="n"/>
    </row>
    <row r="38" ht="38" customHeight="1">
      <c r="A38" s="91" t="n"/>
      <c r="B38" s="94" t="inlineStr">
        <is>
          <t>•  Add months after Dec 2028: on Monthly Summary, copy the last row down. The Month cell is =EDATE(the cell above, 1).</t>
        </is>
      </c>
      <c r="C38" s="117" t="n"/>
      <c r="D38" s="117" t="n"/>
      <c r="E38" s="117" t="n"/>
      <c r="F38" s="117" t="n"/>
      <c r="G38" s="118" t="n"/>
      <c r="H38" s="91" t="n"/>
    </row>
    <row r="39" ht="38" customHeight="1">
      <c r="A39" s="91" t="n"/>
      <c r="B39" s="94" t="inlineStr">
        <is>
          <t>•  Review a different month: change Dashboard cell B3. Charts follow the 12 months ending on that month.</t>
        </is>
      </c>
      <c r="C39" s="117" t="n"/>
      <c r="D39" s="117" t="n"/>
      <c r="E39" s="117" t="n"/>
      <c r="F39" s="117" t="n"/>
      <c r="G39" s="118" t="n"/>
      <c r="H39" s="91" t="n"/>
    </row>
    <row r="40" ht="38" customHeight="1">
      <c r="A40" s="91" t="n"/>
      <c r="B40" s="94" t="inlineStr">
        <is>
          <t>•  Unprotect to restyle: Review → Unprotect Sheet (no password).</t>
        </is>
      </c>
      <c r="C40" s="117" t="n"/>
      <c r="D40" s="117" t="n"/>
      <c r="E40" s="117" t="n"/>
      <c r="F40" s="117" t="n"/>
      <c r="G40" s="118" t="n"/>
      <c r="H40" s="91" t="n"/>
    </row>
    <row r="41" ht="38" customHeight="1">
      <c r="A41" s="91" t="n"/>
      <c r="B41" s="94" t="inlineStr">
        <is>
          <t>•  Google Sheets: upload this file to Drive. Formulas and dropdowns come across. Re-apply a dropdown from Products column N if one is missing. Protection often does not transfer.</t>
        </is>
      </c>
      <c r="C41" s="117" t="n"/>
      <c r="D41" s="117" t="n"/>
      <c r="E41" s="117" t="n"/>
      <c r="F41" s="117" t="n"/>
      <c r="G41" s="118" t="n"/>
      <c r="H41" s="91" t="n"/>
    </row>
    <row r="42">
      <c r="A42" s="91" t="n"/>
      <c r="B42" s="91" t="n"/>
      <c r="C42" s="91" t="n"/>
      <c r="D42" s="91" t="n"/>
      <c r="E42" s="91" t="n"/>
      <c r="F42" s="91" t="n"/>
      <c r="G42" s="91" t="n"/>
      <c r="H42" s="91" t="n"/>
    </row>
    <row r="43" ht="22" customHeight="1">
      <c r="A43" s="91" t="n"/>
      <c r="B43" s="93" t="inlineStr">
        <is>
          <t>6. Tax-time notes</t>
        </is>
      </c>
      <c r="C43" s="120" t="n"/>
      <c r="D43" s="120" t="n"/>
      <c r="E43" s="120" t="n"/>
      <c r="F43" s="120" t="n"/>
      <c r="G43" s="120" t="n"/>
      <c r="H43" s="91" t="n"/>
    </row>
    <row r="44" ht="48" customHeight="1">
      <c r="A44" s="91" t="n"/>
      <c r="B44" s="94" t="inlineStr">
        <is>
          <t>Monthly Summary plus Fees &amp; Expenses (filter by Category) is a clean year view. Export or print those two tabs. This template is a bookkeeping aid, not tax advice — confirm deductible categories with your preparer.</t>
        </is>
      </c>
      <c r="C44" s="117" t="n"/>
      <c r="D44" s="117" t="n"/>
      <c r="E44" s="117" t="n"/>
      <c r="F44" s="117" t="n"/>
      <c r="G44" s="118" t="n"/>
      <c r="H44" s="91" t="n"/>
    </row>
    <row r="45" ht="52" customHeight="1">
      <c r="A45" s="91" t="n"/>
      <c r="B45" s="95" t="inlineStr">
        <is>
          <t>[Screenshot: Monthly Summary with a profitable month in green]</t>
        </is>
      </c>
      <c r="C45" s="121" t="n"/>
      <c r="D45" s="121" t="n"/>
      <c r="E45" s="121" t="n"/>
      <c r="F45" s="121" t="n"/>
      <c r="G45" s="122" t="n"/>
      <c r="H45" s="91" t="n"/>
    </row>
    <row r="46">
      <c r="A46" s="91" t="n"/>
      <c r="B46" s="91" t="n"/>
      <c r="C46" s="91" t="n"/>
      <c r="D46" s="91" t="n"/>
      <c r="E46" s="91" t="n"/>
      <c r="F46" s="91" t="n"/>
      <c r="G46" s="91" t="n"/>
      <c r="H46" s="91" t="n"/>
    </row>
    <row r="47" ht="22" customHeight="1">
      <c r="A47" s="91" t="n"/>
      <c r="B47" s="93" t="inlineStr">
        <is>
          <t>7. A few things this template does not do</t>
        </is>
      </c>
      <c r="C47" s="120" t="n"/>
      <c r="D47" s="120" t="n"/>
      <c r="E47" s="120" t="n"/>
      <c r="F47" s="120" t="n"/>
      <c r="G47" s="120" t="n"/>
      <c r="H47" s="91" t="n"/>
    </row>
    <row r="48" ht="40" customHeight="1">
      <c r="A48" s="91" t="n"/>
      <c r="B48" s="94" t="inlineStr">
        <is>
          <t>It does not import Etsy/Shopify CSVs, split sales tax automatically, or track inventory decrements. Update Stock on Products when you restock if you want a running count.</t>
        </is>
      </c>
      <c r="C48" s="117" t="n"/>
      <c r="D48" s="117" t="n"/>
      <c r="E48" s="117" t="n"/>
      <c r="F48" s="117" t="n"/>
      <c r="G48" s="118" t="n"/>
      <c r="H48" s="91" t="n"/>
    </row>
    <row r="49">
      <c r="A49" s="91" t="n"/>
      <c r="B49" s="91" t="n"/>
      <c r="C49" s="91" t="n"/>
      <c r="D49" s="91" t="n"/>
      <c r="E49" s="91" t="n"/>
      <c r="F49" s="91" t="n"/>
      <c r="G49" s="91" t="n"/>
      <c r="H49" s="91" t="n"/>
    </row>
    <row r="50">
      <c r="A50" s="91" t="n"/>
      <c r="B50" s="92" t="inlineStr">
        <is>
          <t>You do not need to fill every row. Empty blue rows are waiting for the next sale.</t>
        </is>
      </c>
      <c r="C50" s="120" t="n"/>
      <c r="D50" s="120" t="n"/>
      <c r="E50" s="120" t="n"/>
      <c r="F50" s="120" t="n"/>
      <c r="G50" s="120" t="n"/>
      <c r="H50" s="91" t="n"/>
    </row>
    <row r="51">
      <c r="A51" s="91" t="n"/>
      <c r="B51" s="91" t="n"/>
      <c r="C51" s="91" t="n"/>
      <c r="D51" s="91" t="n"/>
      <c r="E51" s="91" t="n"/>
      <c r="F51" s="91" t="n"/>
      <c r="G51" s="91" t="n"/>
      <c r="H51" s="91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</row>
  </sheetData>
  <mergeCells count="42">
    <mergeCell ref="B2:G2"/>
    <mergeCell ref="B14:G14"/>
    <mergeCell ref="B17:G17"/>
    <mergeCell ref="B23:G23"/>
    <mergeCell ref="B8:G8"/>
    <mergeCell ref="B13:G13"/>
    <mergeCell ref="A1:H1"/>
    <mergeCell ref="B44:G44"/>
    <mergeCell ref="B29:G29"/>
    <mergeCell ref="B38:G38"/>
    <mergeCell ref="B10:G10"/>
    <mergeCell ref="B37:G37"/>
    <mergeCell ref="B9:G9"/>
    <mergeCell ref="B40:G40"/>
    <mergeCell ref="B30:G30"/>
    <mergeCell ref="B15:G15"/>
    <mergeCell ref="B33:G33"/>
    <mergeCell ref="B6:G6"/>
    <mergeCell ref="B24:G24"/>
    <mergeCell ref="B20:G20"/>
    <mergeCell ref="B5:G5"/>
    <mergeCell ref="B36:G36"/>
    <mergeCell ref="B45:G45"/>
    <mergeCell ref="B41:G41"/>
    <mergeCell ref="B32:G32"/>
    <mergeCell ref="B4:G4"/>
    <mergeCell ref="B35:G35"/>
    <mergeCell ref="B26:G26"/>
    <mergeCell ref="B50:G50"/>
    <mergeCell ref="B7:G7"/>
    <mergeCell ref="B25:G25"/>
    <mergeCell ref="B47:G47"/>
    <mergeCell ref="B16:G16"/>
    <mergeCell ref="B22:G22"/>
    <mergeCell ref="B31:G31"/>
    <mergeCell ref="B27:G27"/>
    <mergeCell ref="B43:G43"/>
    <mergeCell ref="B12:G12"/>
    <mergeCell ref="B18:G18"/>
    <mergeCell ref="B21:G21"/>
    <mergeCell ref="B48:G48"/>
    <mergeCell ref="B39:G39"/>
  </mergeCells>
  <printOptions horizontalCentered="1"/>
  <pageMargins left="0.5" right="0.5" top="0.55" bottom="0.55" header="0.3" footer="0.3"/>
  <pageSetup orientation="portrait" paperSize="1" fitToHeight="0" fitToWidth="1"/>
  <headerFooter>
    <oddHeader>&amp;LInstructions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Online Seller Profit Tracker</dc:creator>
  <dc:title>Online Seller Profit Tracker</dc:title>
  <dc:description>Track sales, fees, COGS, shipping, and net profit. Works in Microsoft Excel and Google Sheets.</dc:description>
  <dcterms:created xsi:type="dcterms:W3CDTF">2026-08-12T22:40:00Z</dcterms:created>
  <dcterms:modified xsi:type="dcterms:W3CDTF">2026-08-20T17:58:51Z</dcterms:modified>
</cp:coreProperties>
</file>