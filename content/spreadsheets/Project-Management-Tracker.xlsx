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jects" sheetId="2" state="visible" r:id="rId2"/>
    <sheet name="Task List" sheetId="3" state="visible" r:id="rId3"/>
    <sheet name="Timeline" sheetId="4" state="visible" r:id="rId4"/>
    <sheet name="Milestones" sheetId="5" state="visible" r:id="rId5"/>
    <sheet name="Instructions" sheetId="6" state="visible" r:id="rId6"/>
  </sheets>
  <definedNames>
    <definedName name="List_Projects">Projects!$A$5:$A$24</definedName>
    <definedName name="List_People">Projects!$N$2:$N$6</definedName>
    <definedName name="List_ProjStatus">Projects!$N$8:$N$11</definedName>
    <definedName name="List_TaskStatus">Projects!$N$13:$N$17</definedName>
    <definedName name="List_Priority">Projects!$N$19:$N$21</definedName>
    <definedName name="List_MileStatus">Projects!$N$23:$N$25</definedName>
    <definedName name="TaskProjects">'Task List'!$B$5:$B$84</definedName>
    <definedName name="TaskStatus">'Task List'!$E$5:$E$84</definedName>
    <definedName name="TaskDue">'Task List'!$G$5:$G$84</definedName>
    <definedName name="TaskOverdue">'Task List'!$M$5:$M$84</definedName>
    <definedName name="TaskEffPct">'Task List'!$P$5:$P$84</definedName>
    <definedName name="TimelineStart">Timeline!$D$2</definedName>
    <definedName name="CountProjects">Dashboard!$N$2</definedName>
    <definedName name="CountTasks">Dashboard!$N$3</definedName>
    <definedName name="OpenTasks">Dashboard!$N$4</definedName>
    <definedName name="OverallPct">Dashboard!$N$5</definedName>
    <definedName name="OverdueTasks">Dashboard!$N$6</definedName>
    <definedName name="UpcomingTasks">Dashboard!$N$7</definedName>
    <definedName name="AtRiskProjects">Dashboard!$N$8</definedName>
    <definedName name="ProgressBar">Dashboard!$N$9</definedName>
    <definedName name="_xlnm.Print_Area" localSheetId="0">'Dashboard'!$A$1:$L$42</definedName>
    <definedName name="_xlnm._FilterDatabase" localSheetId="1" hidden="1">'Projects'!$A$4:$L$24</definedName>
    <definedName name="_xlnm.Print_Area" localSheetId="1">'Projects'!$A$1:$L$27</definedName>
    <definedName name="_xlnm._FilterDatabase" localSheetId="2" hidden="1">'Task List'!$A$4:$K$84</definedName>
    <definedName name="_xlnm.Print_Area" localSheetId="2">'Task List'!$A$1:$K$36</definedName>
    <definedName name="_xlnm.Print_Area" localSheetId="3">'Timeline'!$A$1:$W$46</definedName>
    <definedName name="_xlnm._FilterDatabase" localSheetId="4" hidden="1">'Milestones'!$A$4:$F$34</definedName>
    <definedName name="_xlnm.Print_Area" localSheetId="4">'Milestones'!$A$1:$G$34</definedName>
    <definedName name="_xlnm.Print_Area" localSheetId="5">'Instructions'!$A$1:$H$33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1"/>
    </font>
    <font>
      <name val="Calibri"/>
      <b val="1"/>
      <color rgb="00FFFFFF"/>
      <sz val="8"/>
    </font>
    <font>
      <name val="Calibri"/>
      <b val="1"/>
      <color rgb="001F2A33"/>
      <sz val="18"/>
    </font>
    <font>
      <name val="Calibri"/>
      <b val="1"/>
      <color rgb="001F6B5A"/>
      <sz val="10"/>
    </font>
    <font>
      <name val="Calibri"/>
      <i val="1"/>
      <color rgb="005D6D7E"/>
      <sz val="8"/>
    </font>
    <font>
      <name val="Calibri"/>
      <b val="1"/>
      <color rgb="001F2A33"/>
      <sz val="16"/>
    </font>
    <font>
      <name val="Calibri"/>
      <b val="1"/>
      <color rgb="00FFFFFF"/>
      <sz val="11"/>
    </font>
    <font>
      <name val="Calibri"/>
      <color rgb="001F2A33"/>
      <sz val="9"/>
    </font>
    <font>
      <name val="Calibri"/>
      <b val="1"/>
      <color rgb="005D6D7E"/>
      <sz val="8"/>
    </font>
    <font>
      <name val="Calibri"/>
      <i val="1"/>
      <color rgb="005D6D7E"/>
      <sz val="9"/>
    </font>
    <font>
      <name val="Calibri"/>
      <b val="1"/>
      <color rgb="00FFFFFF"/>
      <sz val="9"/>
    </font>
    <font>
      <name val="Calibri"/>
      <color rgb="001F2A33"/>
      <sz val="10"/>
    </font>
    <font>
      <name val="Calibri"/>
      <b val="1"/>
      <color rgb="001F2A33"/>
      <sz val="10"/>
    </font>
    <font>
      <name val="Calibri"/>
      <color rgb="001F2A33"/>
      <sz val="8"/>
    </font>
    <font>
      <name val="Calibri"/>
      <color rgb="005D6D7E"/>
      <sz val="9"/>
    </font>
    <font>
      <name val="Calibri"/>
      <b val="1"/>
      <color rgb="001F2A33"/>
      <sz val="11"/>
    </font>
    <font>
      <name val="Calibri"/>
      <b val="1"/>
      <color rgb="00FFFFFF"/>
      <sz val="7"/>
    </font>
    <font>
      <name val="Calibri"/>
      <color rgb="001B365D"/>
      <sz val="8"/>
    </font>
    <font>
      <name val="Calibri"/>
      <i val="1"/>
      <color rgb="005D6D7E"/>
      <sz val="10"/>
    </font>
    <font>
      <name val="Calibri"/>
      <b val="1"/>
      <color rgb="00FFFFFF"/>
      <sz val="12"/>
    </font>
    <font>
      <name val="Calibri"/>
      <color rgb="001F2A33"/>
      <sz val="11"/>
    </font>
  </fonts>
  <fills count="11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142848"/>
      </patternFill>
    </fill>
    <fill>
      <patternFill patternType="solid">
        <fgColor rgb="00F6F8FA"/>
      </patternFill>
    </fill>
    <fill>
      <patternFill patternType="solid">
        <fgColor rgb="00FFFFFF"/>
      </patternFill>
    </fill>
    <fill>
      <patternFill patternType="solid">
        <fgColor rgb="00F3F5F7"/>
      </patternFill>
    </fill>
    <fill>
      <patternFill patternType="solid">
        <fgColor rgb="001F6B5A"/>
      </patternFill>
    </fill>
    <fill>
      <patternFill patternType="solid">
        <fgColor rgb="00B9770E"/>
      </patternFill>
    </fill>
    <fill>
      <patternFill patternType="solid">
        <fgColor rgb="00EAF2F0"/>
      </patternFill>
    </fill>
    <fill>
      <patternFill patternType="solid">
        <fgColor rgb="00E8F1F8"/>
      </patternFill>
    </fill>
  </fills>
  <borders count="21">
    <border>
      <left/>
      <right/>
      <top/>
      <bottom/>
      <diagonal/>
    </border>
    <border>
      <left style="thin">
        <color rgb="00D0D5DD"/>
      </left>
      <right/>
      <top style="thin">
        <color rgb="00D0D5DD"/>
      </top>
      <bottom/>
    </border>
    <border>
      <left/>
      <right/>
      <top style="thin">
        <color rgb="00D0D5DD"/>
      </top>
      <bottom/>
    </border>
    <border>
      <left/>
      <right style="thin">
        <color rgb="00D0D5DD"/>
      </right>
      <top style="thin">
        <color rgb="00D0D5DD"/>
      </top>
      <bottom/>
    </border>
    <border>
      <left style="thin">
        <color rgb="00D0D5DD"/>
      </left>
      <right/>
      <top/>
      <bottom/>
    </border>
    <border>
      <left/>
      <right/>
      <top/>
      <bottom/>
    </border>
    <border>
      <left/>
      <right style="thin">
        <color rgb="00D0D5DD"/>
      </right>
      <top/>
      <bottom/>
    </border>
    <border>
      <left style="thin">
        <color rgb="00D0D5DD"/>
      </left>
      <right/>
      <top/>
      <bottom style="thin">
        <color rgb="00D0D5DD"/>
      </bottom>
    </border>
    <border>
      <left/>
      <right/>
      <top/>
      <bottom style="thin">
        <color rgb="00D0D5DD"/>
      </bottom>
    </border>
    <border>
      <left/>
      <right style="thin">
        <color rgb="00D0D5DD"/>
      </right>
      <top/>
      <bottom style="thin">
        <color rgb="00D0D5D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>
      <left style="thin">
        <color rgb="00D0D5DD"/>
      </left>
      <right style="thin">
        <color rgb="00D0D5DD"/>
      </right>
      <top/>
      <bottom/>
    </border>
    <border>
      <left/>
      <right style="thin">
        <color rgb="00D0D5DD"/>
      </right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/>
    </border>
    <border>
      <left style="thin">
        <color rgb="00D0D5DD"/>
      </left>
      <right style="thin">
        <color rgb="00D0D5DD"/>
      </right>
      <top/>
      <bottom style="thin">
        <color rgb="00D0D5DD"/>
      </bottom>
    </border>
    <border>
      <left/>
      <right/>
      <top/>
      <bottom style="thin">
        <color rgb="00D0D5DD"/>
      </bottom>
      <diagonal/>
    </border>
    <border>
      <left/>
      <right style="thin">
        <color rgb="00D0D5DD"/>
      </right>
      <top/>
      <bottom style="thin">
        <color rgb="00D0D5DD"/>
      </bottom>
      <diagonal/>
    </border>
    <border>
      <left/>
      <right/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1" fontId="4" fillId="5" borderId="4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4" fillId="5" borderId="6" applyAlignment="1" pivotButton="0" quotePrefix="0" xfId="0">
      <alignment horizontal="center" vertical="center"/>
    </xf>
    <xf numFmtId="9" fontId="4" fillId="5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/>
    </xf>
    <xf numFmtId="0" fontId="6" fillId="6" borderId="8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1" fontId="7" fillId="5" borderId="4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3" fillId="3" borderId="10" applyAlignment="1" pivotButton="0" quotePrefix="0" xfId="0">
      <alignment horizontal="center" vertical="center"/>
    </xf>
    <xf numFmtId="0" fontId="9" fillId="5" borderId="10" pivotButton="0" quotePrefix="0" xfId="0"/>
    <xf numFmtId="164" fontId="9" fillId="5" borderId="10" pivotButton="0" quotePrefix="0" xfId="0"/>
    <xf numFmtId="0" fontId="9" fillId="5" borderId="1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wrapText="1"/>
    </xf>
    <xf numFmtId="0" fontId="10" fillId="0" borderId="0" pivotButton="0" quotePrefix="0" xfId="0"/>
    <xf numFmtId="9" fontId="0" fillId="0" borderId="0" pivotButton="0" quotePrefix="0" xfId="0"/>
    <xf numFmtId="0" fontId="12" fillId="2" borderId="0" applyProtection="1" pivotButton="0" quotePrefix="0" xfId="0">
      <protection locked="0" hidden="0"/>
    </xf>
    <xf numFmtId="0" fontId="6" fillId="0" borderId="0" pivotButton="0" quotePrefix="0" xfId="0"/>
    <xf numFmtId="0" fontId="13" fillId="10" borderId="10" applyProtection="1" pivotButton="0" quotePrefix="0" xfId="0">
      <protection locked="0" hidden="0"/>
    </xf>
    <xf numFmtId="0" fontId="5" fillId="9" borderId="0" applyAlignment="1" pivotButton="0" quotePrefix="0" xfId="0">
      <alignment horizontal="left" vertical="center"/>
    </xf>
    <xf numFmtId="0" fontId="12" fillId="2" borderId="10" applyAlignment="1" pivotButton="0" quotePrefix="0" xfId="0">
      <alignment horizontal="center" vertical="center" wrapText="1"/>
    </xf>
    <xf numFmtId="164" fontId="13" fillId="10" borderId="10" applyProtection="1" pivotButton="0" quotePrefix="0" xfId="0">
      <protection locked="0" hidden="0"/>
    </xf>
    <xf numFmtId="0" fontId="13" fillId="10" borderId="10" applyAlignment="1" applyProtection="1" pivotButton="0" quotePrefix="0" xfId="0">
      <alignment horizontal="center" vertical="center"/>
      <protection locked="0" hidden="0"/>
    </xf>
    <xf numFmtId="9" fontId="14" fillId="6" borderId="10" applyAlignment="1" pivotButton="0" quotePrefix="0" xfId="0">
      <alignment horizontal="center" vertical="center"/>
    </xf>
    <xf numFmtId="0" fontId="13" fillId="6" borderId="10" applyAlignment="1" pivotButton="0" quotePrefix="0" xfId="0">
      <alignment horizontal="center" vertical="center"/>
    </xf>
    <xf numFmtId="0" fontId="14" fillId="6" borderId="10" applyAlignment="1" pivotButton="0" quotePrefix="0" xfId="0">
      <alignment horizontal="center" vertical="center"/>
    </xf>
    <xf numFmtId="0" fontId="12" fillId="7" borderId="10" pivotButton="0" quotePrefix="0" xfId="0"/>
    <xf numFmtId="0" fontId="0" fillId="7" borderId="10" pivotButton="0" quotePrefix="0" xfId="0"/>
    <xf numFmtId="0" fontId="12" fillId="7" borderId="10" applyAlignment="1" pivotButton="0" quotePrefix="0" xfId="0">
      <alignment horizontal="center" vertical="center"/>
    </xf>
    <xf numFmtId="0" fontId="11" fillId="4" borderId="0" pivotButton="0" quotePrefix="0" xfId="0"/>
    <xf numFmtId="0" fontId="3" fillId="2" borderId="10" applyAlignment="1" pivotButton="0" quotePrefix="0" xfId="0">
      <alignment horizontal="center" vertical="center" wrapText="1"/>
    </xf>
    <xf numFmtId="0" fontId="9" fillId="10" borderId="10" applyProtection="1" pivotButton="0" quotePrefix="0" xfId="0">
      <protection locked="0" hidden="0"/>
    </xf>
    <xf numFmtId="0" fontId="9" fillId="10" borderId="10" applyAlignment="1" applyProtection="1" pivotButton="0" quotePrefix="0" xfId="0">
      <alignment horizontal="center" vertical="center"/>
      <protection locked="0" hidden="0"/>
    </xf>
    <xf numFmtId="164" fontId="9" fillId="10" borderId="10" applyProtection="1" pivotButton="0" quotePrefix="0" xfId="0">
      <protection locked="0" hidden="0"/>
    </xf>
    <xf numFmtId="9" fontId="9" fillId="10" borderId="10" applyAlignment="1" applyProtection="1" pivotButton="0" quotePrefix="0" xfId="0">
      <alignment horizontal="center" vertical="center"/>
      <protection locked="0" hidden="0"/>
    </xf>
    <xf numFmtId="0" fontId="15" fillId="6" borderId="10" applyAlignment="1" pivotButton="0" quotePrefix="0" xfId="0">
      <alignment horizontal="center" vertical="center"/>
    </xf>
    <xf numFmtId="0" fontId="15" fillId="6" borderId="0" pivotButton="0" quotePrefix="0" xfId="0"/>
    <xf numFmtId="9" fontId="15" fillId="6" borderId="0" pivotButton="0" quotePrefix="0" xfId="0"/>
    <xf numFmtId="0" fontId="16" fillId="5" borderId="10" applyAlignment="1" pivotButton="0" quotePrefix="0" xfId="0">
      <alignment horizontal="left" vertical="center"/>
    </xf>
    <xf numFmtId="164" fontId="17" fillId="10" borderId="10" applyProtection="1" pivotButton="0" quotePrefix="0" xfId="0">
      <protection locked="0" hidden="0"/>
    </xf>
    <xf numFmtId="0" fontId="11" fillId="4" borderId="0" applyAlignment="1" pivotButton="0" quotePrefix="0" xfId="0">
      <alignment horizontal="left" vertical="center"/>
    </xf>
    <xf numFmtId="0" fontId="12" fillId="2" borderId="10" applyAlignment="1" pivotButton="0" quotePrefix="0" xfId="0">
      <alignment horizontal="center" vertical="center"/>
    </xf>
    <xf numFmtId="16" fontId="18" fillId="2" borderId="10" applyAlignment="1" pivotButton="0" quotePrefix="0" xfId="0">
      <alignment horizontal="center" vertical="center" wrapText="1"/>
    </xf>
    <xf numFmtId="0" fontId="15" fillId="6" borderId="10" pivotButton="0" quotePrefix="0" xfId="0"/>
    <xf numFmtId="164" fontId="15" fillId="6" borderId="10" pivotButton="0" quotePrefix="0" xfId="0"/>
    <xf numFmtId="0" fontId="19" fillId="5" borderId="10" applyAlignment="1" pivotButton="0" quotePrefix="0" xfId="0">
      <alignment horizontal="center" vertical="center"/>
    </xf>
    <xf numFmtId="0" fontId="1" fillId="2" borderId="0" applyAlignment="1" applyProtection="1" pivotButton="0" quotePrefix="0" xfId="0">
      <alignment horizontal="left" vertical="center"/>
      <protection locked="0" hidden="0"/>
    </xf>
    <xf numFmtId="0" fontId="0" fillId="4" borderId="0" applyProtection="1" pivotButton="0" quotePrefix="0" xfId="0">
      <protection locked="0" hidden="0"/>
    </xf>
    <xf numFmtId="0" fontId="20" fillId="4" borderId="0" applyProtection="1" pivotButton="0" quotePrefix="0" xfId="0">
      <protection locked="0" hidden="0"/>
    </xf>
    <xf numFmtId="0" fontId="21" fillId="2" borderId="0" applyAlignment="1" applyProtection="1" pivotButton="0" quotePrefix="0" xfId="0">
      <alignment horizontal="left" vertical="center"/>
      <protection locked="0" hidden="0"/>
    </xf>
    <xf numFmtId="0" fontId="22" fillId="5" borderId="10" applyAlignment="1" applyProtection="1" pivotButton="0" quotePrefix="0" xfId="0">
      <alignment horizontal="left" vertical="center" wrapText="1"/>
      <protection locked="0" hidden="0"/>
    </xf>
    <xf numFmtId="0" fontId="3" fillId="2" borderId="1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" fillId="7" borderId="16" applyAlignment="1" pivotButton="0" quotePrefix="0" xfId="0">
      <alignment horizontal="center" vertical="center"/>
    </xf>
    <xf numFmtId="1" fontId="4" fillId="5" borderId="14" applyAlignment="1" pivotButton="0" quotePrefix="0" xfId="0">
      <alignment horizontal="center" vertical="center"/>
    </xf>
    <xf numFmtId="0" fontId="0" fillId="0" borderId="15" pivotButton="0" quotePrefix="0" xfId="0"/>
    <xf numFmtId="9" fontId="4" fillId="5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3" fillId="8" borderId="16" applyAlignment="1" pivotButton="0" quotePrefix="0" xfId="0">
      <alignment horizontal="center" vertical="center"/>
    </xf>
    <xf numFmtId="1" fontId="7" fillId="5" borderId="1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0" pivotButton="0" quotePrefix="0" xfId="0"/>
    <xf numFmtId="0" fontId="0" fillId="0" borderId="0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</cellXfs>
  <cellStyles count="1">
    <cellStyle name="Normal" xfId="0" builtinId="0" hidden="0"/>
  </cellStyles>
  <dxfs count="17">
    <dxf>
      <font>
        <name val="Calibri"/>
        <b val="1"/>
        <color rgb="00C0392B"/>
        <sz val="18"/>
      </font>
      <fill>
        <patternFill patternType="solid">
          <fgColor rgb="00FDECEA"/>
        </patternFill>
      </fill>
    </dxf>
    <dxf>
      <font>
        <name val="Calibri"/>
        <b val="1"/>
        <color rgb="00B9770E"/>
        <sz val="16"/>
      </font>
      <fill>
        <patternFill patternType="solid">
          <fgColor rgb="00FEF5E0"/>
        </patternFill>
      </fill>
    </dxf>
    <dxf>
      <font>
        <name val="Calibri"/>
        <color rgb="00C0392B"/>
        <sz val="9"/>
      </font>
      <fill>
        <patternFill patternType="solid">
          <fgColor rgb="00FDECEA"/>
        </patternFill>
      </fill>
    </dxf>
    <dxf>
      <font>
        <name val="Calibri"/>
        <color rgb="001B7A4E"/>
        <sz val="10"/>
      </font>
      <fill>
        <patternFill patternType="solid">
          <fgColor rgb="00E7F6EE"/>
        </patternFill>
      </fill>
    </dxf>
    <dxf>
      <font>
        <name val="Calibri"/>
        <color rgb="00C0392B"/>
        <sz val="10"/>
      </font>
      <fill>
        <patternFill patternType="solid">
          <fgColor rgb="00FDECEA"/>
        </patternFill>
      </fill>
    </dxf>
    <dxf>
      <font>
        <name val="Calibri"/>
        <color rgb="00B9770E"/>
        <sz val="10"/>
      </font>
      <fill>
        <patternFill patternType="solid">
          <fgColor rgb="00FEF5E0"/>
        </patternFill>
      </fill>
    </dxf>
    <dxf>
      <font>
        <name val="Calibri"/>
        <color rgb="001B7A4E"/>
        <sz val="9"/>
      </font>
      <fill>
        <patternFill patternType="solid">
          <fgColor rgb="00E7F6EE"/>
        </patternFill>
      </fill>
    </dxf>
    <dxf>
      <font>
        <name val="Calibri"/>
        <color rgb="002E6B9A"/>
        <sz val="9"/>
      </font>
      <fill>
        <patternFill patternType="solid">
          <fgColor rgb="00E4EEF7"/>
        </patternFill>
      </fill>
    </dxf>
    <dxf>
      <font>
        <name val="Calibri"/>
        <color rgb="00B9770E"/>
        <sz val="9"/>
      </font>
      <fill>
        <patternFill patternType="solid">
          <fgColor rgb="00FEF5E0"/>
        </patternFill>
      </fill>
    </dxf>
    <dxf>
      <font>
        <name val="Calibri"/>
        <color rgb="006C3483"/>
        <sz val="9"/>
      </font>
      <fill>
        <patternFill patternType="solid">
          <fgColor rgb="00F0EAF6"/>
        </patternFill>
      </fill>
    </dxf>
    <dxf>
      <font>
        <name val="Calibri"/>
        <b val="1"/>
        <color rgb="00B9770E"/>
        <sz val="9"/>
      </font>
      <fill>
        <patternFill patternType="solid">
          <fgColor rgb="00FEF5E0"/>
        </patternFill>
      </fill>
    </dxf>
    <dxf>
      <font>
        <name val="Calibri"/>
        <color rgb="001B7A4E"/>
        <sz val="8"/>
      </font>
      <fill>
        <patternFill patternType="solid">
          <fgColor rgb="00E7F6EE"/>
        </patternFill>
      </fill>
    </dxf>
    <dxf>
      <font>
        <name val="Calibri"/>
        <color rgb="002E6B9A"/>
        <sz val="8"/>
      </font>
      <fill>
        <patternFill patternType="solid">
          <fgColor rgb="00E4EEF7"/>
        </patternFill>
      </fill>
    </dxf>
    <dxf>
      <font>
        <name val="Calibri"/>
        <color rgb="00B9770E"/>
        <sz val="8"/>
      </font>
      <fill>
        <patternFill patternType="solid">
          <fgColor rgb="00FEF5E0"/>
        </patternFill>
      </fill>
    </dxf>
    <dxf>
      <font>
        <name val="Calibri"/>
        <color rgb="006C3483"/>
        <sz val="8"/>
      </font>
      <fill>
        <patternFill patternType="solid">
          <fgColor rgb="00F0EAF6"/>
        </patternFill>
      </fill>
    </dxf>
    <dxf>
      <font>
        <name val="Calibri"/>
        <color rgb="005D6D7E"/>
        <sz val="8"/>
      </font>
      <fill>
        <patternFill patternType="solid">
          <fgColor rgb="00EEF0F2"/>
        </patternFill>
      </fill>
    </dxf>
    <dxf>
      <font>
        <name val="Calibri"/>
        <b val="1"/>
        <color rgb="00FFFFFF"/>
        <sz val="7"/>
      </font>
      <fill>
        <patternFill patternType="solid">
          <fgColor rgb="001F6B5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0"/>
        <ser>
          <idx val="0"/>
          <order val="0"/>
          <tx>
            <strRef>
              <f>'Dashboard'!B55</f>
            </strRef>
          </tx>
          <spPr>
            <a:solidFill>
              <a:srgbClr val="1F6B5A"/>
            </a:solidFill>
            <a:ln>
              <a:prstDash val="solid"/>
            </a:ln>
          </spPr>
          <cat>
            <numRef>
              <f>'Dashboard'!$A$56:$A$63</f>
            </numRef>
          </cat>
          <val>
            <numRef>
              <f>'Dashboard'!$B$56:$B$63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0"/>
        <ser>
          <idx val="0"/>
          <order val="0"/>
          <tx>
            <strRef>
              <f>'Dashboard'!E55</f>
            </strRef>
          </tx>
          <spPr>
            <a:solidFill>
              <a:srgbClr val="1B365D"/>
            </a:solidFill>
            <a:ln>
              <a:prstDash val="solid"/>
            </a:ln>
          </spPr>
          <cat>
            <numRef>
              <f>'Dashboard'!$D$56:$D$60</f>
            </numRef>
          </cat>
          <val>
            <numRef>
              <f>'Dashboard'!$E$56:$E$60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PM Tracker</author>
  </authors>
  <commentList>
    <comment ref="G4" authorId="0" shapeId="0">
      <text>
        <t>Average of task % on the Task List. Completed tasks count as 100%.</t>
      </text>
    </comment>
    <comment ref="L4" authorId="0" shapeId="0">
      <text>
        <t>Done / Overdue (end date passed) / At risk (due within 14 days and under 75%) / On track.</t>
      </text>
    </comment>
  </commentList>
</comments>
</file>

<file path=xl/comments/comment2.xml><?xml version="1.0" encoding="utf-8"?>
<comments xmlns="http://schemas.openxmlformats.org/spreadsheetml/2006/main">
  <authors>
    <author>PM Tracker</author>
  </authors>
  <commentList>
    <comment ref="B4" authorId="0" shapeId="0">
      <text>
        <t>Must match a name on the Projects sheet. Add the project there first.</t>
      </text>
    </comment>
    <comment ref="H4" authorId="0" shapeId="0">
      <text>
        <t>0 to 100%. When Status is Completed this is treated as 100% even if you leave it blank.</t>
      </text>
    </comment>
  </commentList>
</comments>
</file>

<file path=xl/comments/comment3.xml><?xml version="1.0" encoding="utf-8"?>
<comments xmlns="http://schemas.openxmlformats.org/spreadsheetml/2006/main">
  <authors>
    <author>PM Tracker</author>
  </authors>
  <commentList>
    <comment ref="D2" authorId="0" shapeId="0">
      <text>
        <t>First Monday of the Gantt. Change this to slide the window. 18 weeks are shown.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N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6" customWidth="1" min="7" max="7"/>
    <col width="13" customWidth="1" min="8" max="8"/>
    <col width="13" customWidth="1" min="9" max="9"/>
    <col width="14" customWidth="1" min="10" max="10"/>
    <col width="13" customWidth="1" min="11" max="11"/>
    <col width="14" customWidth="1" min="12" max="12"/>
    <col hidden="1" width="13" customWidth="1" min="14" max="14"/>
  </cols>
  <sheetData>
    <row r="1" ht="32" customHeight="1">
      <c r="A1" s="1" t="inlineStr">
        <is>
          <t>Project Management Tracker</t>
        </is>
      </c>
      <c r="N1" s="2" t="inlineStr">
        <is>
          <t>HELPERS</t>
        </is>
      </c>
    </row>
    <row r="2">
      <c r="A2" s="3">
        <f>"As of "&amp;TEXT(TODAY(),"mmm d, yyyy")&amp;"   ·   "&amp;CountProjects&amp;" projects   ·   "&amp;CountTasks&amp;" tasks   ·   Change dates on Projects and Task List — this page follows."</f>
        <v/>
      </c>
      <c r="N2">
        <f>COUNTA(Projects!$A$5:$A$24)</f>
        <v/>
      </c>
    </row>
    <row r="3" ht="8" customHeight="1">
      <c r="A3" s="4" t="n"/>
      <c r="N3">
        <f>COUNTA('Task List'!$A$5:$A$84)</f>
        <v/>
      </c>
    </row>
    <row r="4" ht="18" customHeight="1">
      <c r="A4" s="70" t="inlineStr">
        <is>
          <t>PROJECTS</t>
        </is>
      </c>
      <c r="B4" s="71" t="n"/>
      <c r="C4" s="72" t="n"/>
      <c r="D4" s="70" t="inlineStr">
        <is>
          <t>TASKS</t>
        </is>
      </c>
      <c r="E4" s="71" t="n"/>
      <c r="F4" s="72" t="n"/>
      <c r="G4" s="73" t="inlineStr">
        <is>
          <t>OVERALL PROGRESS</t>
        </is>
      </c>
      <c r="H4" s="71" t="n"/>
      <c r="I4" s="72" t="n"/>
      <c r="J4" s="70" t="inlineStr">
        <is>
          <t>OVERDUE TASKS</t>
        </is>
      </c>
      <c r="K4" s="71" t="n"/>
      <c r="L4" s="72" t="n"/>
      <c r="N4">
        <f>COUNTIFS('Task List'!$E$5:$E$84,"&lt;&gt;Completed",'Task List'!$A$5:$A$84,"&lt;&gt;")</f>
        <v/>
      </c>
    </row>
    <row r="5" ht="26" customHeight="1">
      <c r="A5" s="74">
        <f>CountProjects</f>
        <v/>
      </c>
      <c r="C5" s="75" t="n"/>
      <c r="D5" s="74">
        <f>CountTasks</f>
        <v/>
      </c>
      <c r="F5" s="75" t="n"/>
      <c r="G5" s="76">
        <f>OverallPct</f>
        <v/>
      </c>
      <c r="I5" s="75" t="n"/>
      <c r="J5" s="74">
        <f>OverdueTasks</f>
        <v/>
      </c>
      <c r="L5" s="75" t="n"/>
      <c r="N5">
        <f>IF(N3=0,"",AVERAGE('Task List'!$P$5:$P$84))</f>
        <v/>
      </c>
    </row>
    <row r="6" ht="18" customHeight="1">
      <c r="A6" s="77">
        <f>"In progress  "&amp;TEXT(COUNTIF('Projects'!$E$5:$E$24,"In Progress"),"0")</f>
        <v/>
      </c>
      <c r="C6" s="75" t="n"/>
      <c r="D6" s="77">
        <f>"Open  "&amp;TEXT(OpenTasks,"0")</f>
        <v/>
      </c>
      <c r="F6" s="75" t="n"/>
      <c r="G6" s="77">
        <f>ProgressBar</f>
        <v/>
      </c>
      <c r="I6" s="75" t="n"/>
      <c r="J6" s="77" t="inlineStr">
        <is>
          <t>Due date passed, not done</t>
        </is>
      </c>
      <c r="L6" s="75" t="n"/>
      <c r="N6">
        <f>COUNTIF('Task List'!$M$5:$M$84,"Yes")</f>
        <v/>
      </c>
    </row>
    <row r="7" ht="16" customHeight="1">
      <c r="A7" s="78" t="inlineStr">
        <is>
          <t>Rows on the Projects sheet</t>
        </is>
      </c>
      <c r="B7" s="79" t="n"/>
      <c r="C7" s="80" t="n"/>
      <c r="D7" s="78" t="inlineStr">
        <is>
          <t>Rows on the Task List</t>
        </is>
      </c>
      <c r="E7" s="79" t="n"/>
      <c r="F7" s="80" t="n"/>
      <c r="G7" s="78" t="inlineStr">
        <is>
          <t>Average of task % complete</t>
        </is>
      </c>
      <c r="H7" s="79" t="n"/>
      <c r="I7" s="80" t="n"/>
      <c r="J7" s="78" t="inlineStr">
        <is>
          <t>Work these first</t>
        </is>
      </c>
      <c r="K7" s="79" t="n"/>
      <c r="L7" s="80" t="n"/>
      <c r="N7">
        <f>COUNTIFS('Task List'!$G$5:$G$84,"&gt;="&amp;TODAY(),'Task List'!$G$5:$G$84,"&lt;="&amp;TODAY()+14,'Task List'!$E$5:$E$84,"&lt;&gt;Completed")</f>
        <v/>
      </c>
    </row>
    <row r="8" ht="8" customHeight="1">
      <c r="A8" s="4" t="n"/>
      <c r="N8">
        <f>COUNTIF(Projects!$L$5:$L$24,"At risk")+COUNTIF(Projects!$L$5:$L$24,"Overdue")</f>
        <v/>
      </c>
    </row>
    <row r="9" ht="18" customHeight="1">
      <c r="A9" s="73" t="inlineStr">
        <is>
          <t>DUE IN 14 DAYS</t>
        </is>
      </c>
      <c r="B9" s="71" t="n"/>
      <c r="C9" s="72" t="n"/>
      <c r="D9" s="70" t="inlineStr">
        <is>
          <t>PROJECTS AT RISK</t>
        </is>
      </c>
      <c r="E9" s="71" t="n"/>
      <c r="F9" s="72" t="n"/>
      <c r="G9" s="81" t="inlineStr">
        <is>
          <t>WAITING</t>
        </is>
      </c>
      <c r="H9" s="71" t="n"/>
      <c r="I9" s="72" t="n"/>
      <c r="J9" s="73" t="inlineStr">
        <is>
          <t>COMPLETED</t>
        </is>
      </c>
      <c r="K9" s="71" t="n"/>
      <c r="L9" s="72" t="n"/>
      <c r="N9">
        <f>IF(OR(N5="",N5&lt;0),"",REPT("█",ROUND(MIN(1,N5)*16,0))&amp;REPT("░",16-ROUND(MIN(1,N5)*16,0)))</f>
        <v/>
      </c>
    </row>
    <row r="10" ht="24" customHeight="1">
      <c r="A10" s="82">
        <f>UpcomingTasks</f>
        <v/>
      </c>
      <c r="C10" s="75" t="n"/>
      <c r="D10" s="82">
        <f>AtRiskProjects</f>
        <v/>
      </c>
      <c r="F10" s="75" t="n"/>
      <c r="G10" s="82">
        <f>COUNTIF('Task List'!$E$5:$E$84,"Waiting")</f>
        <v/>
      </c>
      <c r="I10" s="75" t="n"/>
      <c r="J10" s="82">
        <f>COUNTIF('Task List'!$E$5:$E$84,"Completed")</f>
        <v/>
      </c>
      <c r="L10" s="75" t="n"/>
    </row>
    <row r="11" ht="16" customHeight="1">
      <c r="A11" s="77" t="inlineStr">
        <is>
          <t>Not completed</t>
        </is>
      </c>
      <c r="C11" s="75" t="n"/>
      <c r="D11" s="77" t="inlineStr">
        <is>
          <t>Overdue or due soon and behind</t>
        </is>
      </c>
      <c r="F11" s="75" t="n"/>
      <c r="G11" s="77" t="inlineStr">
        <is>
          <t>Blocked on someone else</t>
        </is>
      </c>
      <c r="I11" s="75" t="n"/>
      <c r="J11" s="77" t="inlineStr">
        <is>
          <t>Closed tasks</t>
        </is>
      </c>
      <c r="L11" s="75" t="n"/>
    </row>
    <row r="12" ht="16" customHeight="1">
      <c r="A12" s="78" t="inlineStr">
        <is>
          <t>Look at Upcoming below</t>
        </is>
      </c>
      <c r="B12" s="79" t="n"/>
      <c r="C12" s="80" t="n"/>
      <c r="D12" s="78" t="inlineStr">
        <is>
          <t>Health on Projects sheet</t>
        </is>
      </c>
      <c r="E12" s="79" t="n"/>
      <c r="F12" s="80" t="n"/>
      <c r="G12" s="78" t="inlineStr">
        <is>
          <t>Nudge the owner</t>
        </is>
      </c>
      <c r="H12" s="79" t="n"/>
      <c r="I12" s="80" t="n"/>
      <c r="J12" s="78" t="inlineStr">
        <is>
          <t>Keep this number moving</t>
        </is>
      </c>
      <c r="K12" s="79" t="n"/>
      <c r="L12" s="80" t="n"/>
    </row>
    <row r="13" ht="8" customHeight="1">
      <c r="A13" s="4" t="n"/>
    </row>
    <row r="14">
      <c r="A14" s="27" t="inlineStr">
        <is>
          <t>UPCOMING (NEXT 14 DAYS)</t>
        </is>
      </c>
      <c r="G14" s="27" t="inlineStr">
        <is>
          <t>OVERDUE</t>
        </is>
      </c>
    </row>
    <row r="15">
      <c r="A15" s="28" t="inlineStr">
        <is>
          <t>Task</t>
        </is>
      </c>
      <c r="B15" s="28" t="inlineStr">
        <is>
          <t>Project</t>
        </is>
      </c>
      <c r="C15" s="28" t="inlineStr">
        <is>
          <t>Due</t>
        </is>
      </c>
      <c r="D15" s="28" t="inlineStr">
        <is>
          <t>Owner</t>
        </is>
      </c>
      <c r="E15" s="83" t="n"/>
      <c r="F15" s="28" t="inlineStr">
        <is>
          <t>Status</t>
        </is>
      </c>
      <c r="G15" s="28" t="inlineStr">
        <is>
          <t>Task</t>
        </is>
      </c>
      <c r="H15" s="28" t="inlineStr">
        <is>
          <t>Project</t>
        </is>
      </c>
      <c r="I15" s="28" t="inlineStr">
        <is>
          <t>Due</t>
        </is>
      </c>
      <c r="J15" s="28" t="inlineStr">
        <is>
          <t>Owner</t>
        </is>
      </c>
      <c r="K15" s="83" t="n"/>
      <c r="L15" s="28" t="inlineStr">
        <is>
          <t>Days late</t>
        </is>
      </c>
    </row>
    <row r="16" ht="17" customHeight="1">
      <c r="A16" s="29">
        <f>IFERROR(INDEX('Task List'!$A$5:$A$84,MATCH(1,'Task List'!$O$5:$O$84,0)),"")</f>
        <v/>
      </c>
      <c r="B16" s="29">
        <f>IF(A16="","",IFERROR(INDEX('Task List'!$B$5:$B$84,MATCH(1,'Task List'!$O$5:$O$84,0)),""))</f>
        <v/>
      </c>
      <c r="C16" s="30">
        <f>IF(A16="","",IFERROR(INDEX('Task List'!$G$5:$G$84,MATCH(1,'Task List'!$O$5:$O$84,0)),""))</f>
        <v/>
      </c>
      <c r="D16" s="29">
        <f>IF(A16="","",IFERROR(INDEX('Task List'!$C$5:$C$84,MATCH(1,'Task List'!$O$5:$O$84,0)),""))</f>
        <v/>
      </c>
      <c r="E16" s="83" t="n"/>
      <c r="F16" s="31">
        <f>IF(A16="","",IFERROR(INDEX('Task List'!$E$5:$E$84,MATCH(1,'Task List'!$O$5:$O$84,0)),""))</f>
        <v/>
      </c>
      <c r="G16" s="29">
        <f>IFERROR(INDEX('Task List'!$A$5:$A$84,MATCH(1,'Task List'!$N$5:$N$84,0)),"")</f>
        <v/>
      </c>
      <c r="H16" s="29">
        <f>IF(G16="","",IFERROR(INDEX('Task List'!$B$5:$B$84,MATCH(1,'Task List'!$N$5:$N$84,0)),""))</f>
        <v/>
      </c>
      <c r="I16" s="30">
        <f>IF(G16="","",IFERROR(INDEX('Task List'!$G$5:$G$84,MATCH(1,'Task List'!$N$5:$N$84,0)),""))</f>
        <v/>
      </c>
      <c r="J16" s="29">
        <f>IF(G16="","",IFERROR(INDEX('Task List'!$C$5:$C$84,MATCH(1,'Task List'!$N$5:$N$84,0)),""))</f>
        <v/>
      </c>
      <c r="K16" s="83" t="n"/>
      <c r="L16" s="31">
        <f>IF(I16="","",TODAY()-I16)</f>
        <v/>
      </c>
    </row>
    <row r="17" ht="17" customHeight="1">
      <c r="A17" s="29">
        <f>IFERROR(INDEX('Task List'!$A$5:$A$84,MATCH(2,'Task List'!$O$5:$O$84,0)),"")</f>
        <v/>
      </c>
      <c r="B17" s="29">
        <f>IF(A17="","",IFERROR(INDEX('Task List'!$B$5:$B$84,MATCH(2,'Task List'!$O$5:$O$84,0)),""))</f>
        <v/>
      </c>
      <c r="C17" s="30">
        <f>IF(A17="","",IFERROR(INDEX('Task List'!$G$5:$G$84,MATCH(2,'Task List'!$O$5:$O$84,0)),""))</f>
        <v/>
      </c>
      <c r="D17" s="29">
        <f>IF(A17="","",IFERROR(INDEX('Task List'!$C$5:$C$84,MATCH(2,'Task List'!$O$5:$O$84,0)),""))</f>
        <v/>
      </c>
      <c r="E17" s="83" t="n"/>
      <c r="F17" s="31">
        <f>IF(A17="","",IFERROR(INDEX('Task List'!$E$5:$E$84,MATCH(2,'Task List'!$O$5:$O$84,0)),""))</f>
        <v/>
      </c>
      <c r="G17" s="29">
        <f>IFERROR(INDEX('Task List'!$A$5:$A$84,MATCH(2,'Task List'!$N$5:$N$84,0)),"")</f>
        <v/>
      </c>
      <c r="H17" s="29">
        <f>IF(G17="","",IFERROR(INDEX('Task List'!$B$5:$B$84,MATCH(2,'Task List'!$N$5:$N$84,0)),""))</f>
        <v/>
      </c>
      <c r="I17" s="30">
        <f>IF(G17="","",IFERROR(INDEX('Task List'!$G$5:$G$84,MATCH(2,'Task List'!$N$5:$N$84,0)),""))</f>
        <v/>
      </c>
      <c r="J17" s="29">
        <f>IF(G17="","",IFERROR(INDEX('Task List'!$C$5:$C$84,MATCH(2,'Task List'!$N$5:$N$84,0)),""))</f>
        <v/>
      </c>
      <c r="K17" s="83" t="n"/>
      <c r="L17" s="31">
        <f>IF(I17="","",TODAY()-I17)</f>
        <v/>
      </c>
    </row>
    <row r="18" ht="17" customHeight="1">
      <c r="A18" s="29">
        <f>IFERROR(INDEX('Task List'!$A$5:$A$84,MATCH(3,'Task List'!$O$5:$O$84,0)),"")</f>
        <v/>
      </c>
      <c r="B18" s="29">
        <f>IF(A18="","",IFERROR(INDEX('Task List'!$B$5:$B$84,MATCH(3,'Task List'!$O$5:$O$84,0)),""))</f>
        <v/>
      </c>
      <c r="C18" s="30">
        <f>IF(A18="","",IFERROR(INDEX('Task List'!$G$5:$G$84,MATCH(3,'Task List'!$O$5:$O$84,0)),""))</f>
        <v/>
      </c>
      <c r="D18" s="29">
        <f>IF(A18="","",IFERROR(INDEX('Task List'!$C$5:$C$84,MATCH(3,'Task List'!$O$5:$O$84,0)),""))</f>
        <v/>
      </c>
      <c r="E18" s="83" t="n"/>
      <c r="F18" s="31">
        <f>IF(A18="","",IFERROR(INDEX('Task List'!$E$5:$E$84,MATCH(3,'Task List'!$O$5:$O$84,0)),""))</f>
        <v/>
      </c>
      <c r="G18" s="29">
        <f>IFERROR(INDEX('Task List'!$A$5:$A$84,MATCH(3,'Task List'!$N$5:$N$84,0)),"")</f>
        <v/>
      </c>
      <c r="H18" s="29">
        <f>IF(G18="","",IFERROR(INDEX('Task List'!$B$5:$B$84,MATCH(3,'Task List'!$N$5:$N$84,0)),""))</f>
        <v/>
      </c>
      <c r="I18" s="30">
        <f>IF(G18="","",IFERROR(INDEX('Task List'!$G$5:$G$84,MATCH(3,'Task List'!$N$5:$N$84,0)),""))</f>
        <v/>
      </c>
      <c r="J18" s="29">
        <f>IF(G18="","",IFERROR(INDEX('Task List'!$C$5:$C$84,MATCH(3,'Task List'!$N$5:$N$84,0)),""))</f>
        <v/>
      </c>
      <c r="K18" s="83" t="n"/>
      <c r="L18" s="31">
        <f>IF(I18="","",TODAY()-I18)</f>
        <v/>
      </c>
    </row>
    <row r="19" ht="17" customHeight="1">
      <c r="A19" s="29">
        <f>IFERROR(INDEX('Task List'!$A$5:$A$84,MATCH(4,'Task List'!$O$5:$O$84,0)),"")</f>
        <v/>
      </c>
      <c r="B19" s="29">
        <f>IF(A19="","",IFERROR(INDEX('Task List'!$B$5:$B$84,MATCH(4,'Task List'!$O$5:$O$84,0)),""))</f>
        <v/>
      </c>
      <c r="C19" s="30">
        <f>IF(A19="","",IFERROR(INDEX('Task List'!$G$5:$G$84,MATCH(4,'Task List'!$O$5:$O$84,0)),""))</f>
        <v/>
      </c>
      <c r="D19" s="29">
        <f>IF(A19="","",IFERROR(INDEX('Task List'!$C$5:$C$84,MATCH(4,'Task List'!$O$5:$O$84,0)),""))</f>
        <v/>
      </c>
      <c r="E19" s="83" t="n"/>
      <c r="F19" s="31">
        <f>IF(A19="","",IFERROR(INDEX('Task List'!$E$5:$E$84,MATCH(4,'Task List'!$O$5:$O$84,0)),""))</f>
        <v/>
      </c>
      <c r="G19" s="29">
        <f>IFERROR(INDEX('Task List'!$A$5:$A$84,MATCH(4,'Task List'!$N$5:$N$84,0)),"")</f>
        <v/>
      </c>
      <c r="H19" s="29">
        <f>IF(G19="","",IFERROR(INDEX('Task List'!$B$5:$B$84,MATCH(4,'Task List'!$N$5:$N$84,0)),""))</f>
        <v/>
      </c>
      <c r="I19" s="30">
        <f>IF(G19="","",IFERROR(INDEX('Task List'!$G$5:$G$84,MATCH(4,'Task List'!$N$5:$N$84,0)),""))</f>
        <v/>
      </c>
      <c r="J19" s="29">
        <f>IF(G19="","",IFERROR(INDEX('Task List'!$C$5:$C$84,MATCH(4,'Task List'!$N$5:$N$84,0)),""))</f>
        <v/>
      </c>
      <c r="K19" s="83" t="n"/>
      <c r="L19" s="31">
        <f>IF(I19="","",TODAY()-I19)</f>
        <v/>
      </c>
    </row>
    <row r="20" ht="17" customHeight="1">
      <c r="A20" s="29">
        <f>IFERROR(INDEX('Task List'!$A$5:$A$84,MATCH(5,'Task List'!$O$5:$O$84,0)),"")</f>
        <v/>
      </c>
      <c r="B20" s="29">
        <f>IF(A20="","",IFERROR(INDEX('Task List'!$B$5:$B$84,MATCH(5,'Task List'!$O$5:$O$84,0)),""))</f>
        <v/>
      </c>
      <c r="C20" s="30">
        <f>IF(A20="","",IFERROR(INDEX('Task List'!$G$5:$G$84,MATCH(5,'Task List'!$O$5:$O$84,0)),""))</f>
        <v/>
      </c>
      <c r="D20" s="29">
        <f>IF(A20="","",IFERROR(INDEX('Task List'!$C$5:$C$84,MATCH(5,'Task List'!$O$5:$O$84,0)),""))</f>
        <v/>
      </c>
      <c r="E20" s="83" t="n"/>
      <c r="F20" s="31">
        <f>IF(A20="","",IFERROR(INDEX('Task List'!$E$5:$E$84,MATCH(5,'Task List'!$O$5:$O$84,0)),""))</f>
        <v/>
      </c>
      <c r="G20" s="29">
        <f>IFERROR(INDEX('Task List'!$A$5:$A$84,MATCH(5,'Task List'!$N$5:$N$84,0)),"")</f>
        <v/>
      </c>
      <c r="H20" s="29">
        <f>IF(G20="","",IFERROR(INDEX('Task List'!$B$5:$B$84,MATCH(5,'Task List'!$N$5:$N$84,0)),""))</f>
        <v/>
      </c>
      <c r="I20" s="30">
        <f>IF(G20="","",IFERROR(INDEX('Task List'!$G$5:$G$84,MATCH(5,'Task List'!$N$5:$N$84,0)),""))</f>
        <v/>
      </c>
      <c r="J20" s="29">
        <f>IF(G20="","",IFERROR(INDEX('Task List'!$C$5:$C$84,MATCH(5,'Task List'!$N$5:$N$84,0)),""))</f>
        <v/>
      </c>
      <c r="K20" s="83" t="n"/>
      <c r="L20" s="31">
        <f>IF(I20="","",TODAY()-I20)</f>
        <v/>
      </c>
    </row>
    <row r="21" ht="17" customHeight="1">
      <c r="A21" s="29">
        <f>IFERROR(INDEX('Task List'!$A$5:$A$84,MATCH(6,'Task List'!$O$5:$O$84,0)),"")</f>
        <v/>
      </c>
      <c r="B21" s="29">
        <f>IF(A21="","",IFERROR(INDEX('Task List'!$B$5:$B$84,MATCH(6,'Task List'!$O$5:$O$84,0)),""))</f>
        <v/>
      </c>
      <c r="C21" s="30">
        <f>IF(A21="","",IFERROR(INDEX('Task List'!$G$5:$G$84,MATCH(6,'Task List'!$O$5:$O$84,0)),""))</f>
        <v/>
      </c>
      <c r="D21" s="29">
        <f>IF(A21="","",IFERROR(INDEX('Task List'!$C$5:$C$84,MATCH(6,'Task List'!$O$5:$O$84,0)),""))</f>
        <v/>
      </c>
      <c r="E21" s="83" t="n"/>
      <c r="F21" s="31">
        <f>IF(A21="","",IFERROR(INDEX('Task List'!$E$5:$E$84,MATCH(6,'Task List'!$O$5:$O$84,0)),""))</f>
        <v/>
      </c>
      <c r="G21" s="29">
        <f>IFERROR(INDEX('Task List'!$A$5:$A$84,MATCH(6,'Task List'!$N$5:$N$84,0)),"")</f>
        <v/>
      </c>
      <c r="H21" s="29">
        <f>IF(G21="","",IFERROR(INDEX('Task List'!$B$5:$B$84,MATCH(6,'Task List'!$N$5:$N$84,0)),""))</f>
        <v/>
      </c>
      <c r="I21" s="30">
        <f>IF(G21="","",IFERROR(INDEX('Task List'!$G$5:$G$84,MATCH(6,'Task List'!$N$5:$N$84,0)),""))</f>
        <v/>
      </c>
      <c r="J21" s="29">
        <f>IF(G21="","",IFERROR(INDEX('Task List'!$C$5:$C$84,MATCH(6,'Task List'!$N$5:$N$84,0)),""))</f>
        <v/>
      </c>
      <c r="K21" s="83" t="n"/>
      <c r="L21" s="31">
        <f>IF(I21="","",TODAY()-I21)</f>
        <v/>
      </c>
    </row>
    <row r="22" ht="17" customHeight="1">
      <c r="A22" s="29">
        <f>IFERROR(INDEX('Task List'!$A$5:$A$84,MATCH(7,'Task List'!$O$5:$O$84,0)),"")</f>
        <v/>
      </c>
      <c r="B22" s="29">
        <f>IF(A22="","",IFERROR(INDEX('Task List'!$B$5:$B$84,MATCH(7,'Task List'!$O$5:$O$84,0)),""))</f>
        <v/>
      </c>
      <c r="C22" s="30">
        <f>IF(A22="","",IFERROR(INDEX('Task List'!$G$5:$G$84,MATCH(7,'Task List'!$O$5:$O$84,0)),""))</f>
        <v/>
      </c>
      <c r="D22" s="29">
        <f>IF(A22="","",IFERROR(INDEX('Task List'!$C$5:$C$84,MATCH(7,'Task List'!$O$5:$O$84,0)),""))</f>
        <v/>
      </c>
      <c r="E22" s="83" t="n"/>
      <c r="F22" s="31">
        <f>IF(A22="","",IFERROR(INDEX('Task List'!$E$5:$E$84,MATCH(7,'Task List'!$O$5:$O$84,0)),""))</f>
        <v/>
      </c>
      <c r="G22" s="29">
        <f>IFERROR(INDEX('Task List'!$A$5:$A$84,MATCH(7,'Task List'!$N$5:$N$84,0)),"")</f>
        <v/>
      </c>
      <c r="H22" s="29">
        <f>IF(G22="","",IFERROR(INDEX('Task List'!$B$5:$B$84,MATCH(7,'Task List'!$N$5:$N$84,0)),""))</f>
        <v/>
      </c>
      <c r="I22" s="30">
        <f>IF(G22="","",IFERROR(INDEX('Task List'!$G$5:$G$84,MATCH(7,'Task List'!$N$5:$N$84,0)),""))</f>
        <v/>
      </c>
      <c r="J22" s="29">
        <f>IF(G22="","",IFERROR(INDEX('Task List'!$C$5:$C$84,MATCH(7,'Task List'!$N$5:$N$84,0)),""))</f>
        <v/>
      </c>
      <c r="K22" s="83" t="n"/>
      <c r="L22" s="31">
        <f>IF(I22="","",TODAY()-I22)</f>
        <v/>
      </c>
    </row>
    <row r="23" ht="17" customHeight="1">
      <c r="A23" s="29">
        <f>IFERROR(INDEX('Task List'!$A$5:$A$84,MATCH(8,'Task List'!$O$5:$O$84,0)),"")</f>
        <v/>
      </c>
      <c r="B23" s="29">
        <f>IF(A23="","",IFERROR(INDEX('Task List'!$B$5:$B$84,MATCH(8,'Task List'!$O$5:$O$84,0)),""))</f>
        <v/>
      </c>
      <c r="C23" s="30">
        <f>IF(A23="","",IFERROR(INDEX('Task List'!$G$5:$G$84,MATCH(8,'Task List'!$O$5:$O$84,0)),""))</f>
        <v/>
      </c>
      <c r="D23" s="29">
        <f>IF(A23="","",IFERROR(INDEX('Task List'!$C$5:$C$84,MATCH(8,'Task List'!$O$5:$O$84,0)),""))</f>
        <v/>
      </c>
      <c r="E23" s="83" t="n"/>
      <c r="F23" s="31">
        <f>IF(A23="","",IFERROR(INDEX('Task List'!$E$5:$E$84,MATCH(8,'Task List'!$O$5:$O$84,0)),""))</f>
        <v/>
      </c>
      <c r="G23" s="29">
        <f>IFERROR(INDEX('Task List'!$A$5:$A$84,MATCH(8,'Task List'!$N$5:$N$84,0)),"")</f>
        <v/>
      </c>
      <c r="H23" s="29">
        <f>IF(G23="","",IFERROR(INDEX('Task List'!$B$5:$B$84,MATCH(8,'Task List'!$N$5:$N$84,0)),""))</f>
        <v/>
      </c>
      <c r="I23" s="30">
        <f>IF(G23="","",IFERROR(INDEX('Task List'!$G$5:$G$84,MATCH(8,'Task List'!$N$5:$N$84,0)),""))</f>
        <v/>
      </c>
      <c r="J23" s="29">
        <f>IF(G23="","",IFERROR(INDEX('Task List'!$C$5:$C$84,MATCH(8,'Task List'!$N$5:$N$84,0)),""))</f>
        <v/>
      </c>
      <c r="K23" s="83" t="n"/>
      <c r="L23" s="31">
        <f>IF(I23="","",TODAY()-I23)</f>
        <v/>
      </c>
    </row>
    <row r="24" ht="8" customHeight="1">
      <c r="A24" s="4" t="n"/>
    </row>
    <row r="25">
      <c r="A25" s="27" t="inlineStr">
        <is>
          <t>PROGRESS BY PROJECT</t>
        </is>
      </c>
      <c r="G25" s="27" t="inlineStr">
        <is>
          <t>TASKS BY STATUS</t>
        </is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22" customHeight="1">
      <c r="A42" s="32" t="inlineStr">
        <is>
          <t>Start on Projects, add tasks, then live here. Overdue is red until Status is Completed. See Instructions for the 5-minute start.</t>
        </is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55">
      <c r="A55" s="33" t="inlineStr">
        <is>
          <t>Project</t>
        </is>
      </c>
      <c r="B55" s="33" t="inlineStr">
        <is>
          <t>Progress</t>
        </is>
      </c>
      <c r="D55" s="33" t="inlineStr">
        <is>
          <t>Status</t>
        </is>
      </c>
      <c r="E55" s="33" t="inlineStr">
        <is>
          <t>Count</t>
        </is>
      </c>
    </row>
    <row r="56">
      <c r="A56">
        <f>IF(Projects!A5="","",Projects!A5)</f>
        <v/>
      </c>
      <c r="B56" s="34">
        <f>IF(OR(A56="",Projects!G5=""),NA(),Projects!G5)</f>
        <v/>
      </c>
      <c r="D56" t="inlineStr">
        <is>
          <t>Not Started</t>
        </is>
      </c>
      <c r="E56">
        <f>COUNTIF(TaskStatus,"Not Started")</f>
        <v/>
      </c>
    </row>
    <row r="57">
      <c r="A57">
        <f>IF(Projects!A6="","",Projects!A6)</f>
        <v/>
      </c>
      <c r="B57" s="34">
        <f>IF(OR(A57="",Projects!G6=""),NA(),Projects!G6)</f>
        <v/>
      </c>
      <c r="D57" t="inlineStr">
        <is>
          <t>In Progress</t>
        </is>
      </c>
      <c r="E57">
        <f>COUNTIF(TaskStatus,"In Progress")</f>
        <v/>
      </c>
    </row>
    <row r="58">
      <c r="A58">
        <f>IF(Projects!A7="","",Projects!A7)</f>
        <v/>
      </c>
      <c r="B58" s="34">
        <f>IF(OR(A58="",Projects!G7=""),NA(),Projects!G7)</f>
        <v/>
      </c>
      <c r="D58" t="inlineStr">
        <is>
          <t>Waiting</t>
        </is>
      </c>
      <c r="E58">
        <f>COUNTIF(TaskStatus,"Waiting")</f>
        <v/>
      </c>
    </row>
    <row r="59">
      <c r="A59">
        <f>IF(Projects!A8="","",Projects!A8)</f>
        <v/>
      </c>
      <c r="B59" s="34">
        <f>IF(OR(A59="",Projects!G8=""),NA(),Projects!G8)</f>
        <v/>
      </c>
      <c r="D59" t="inlineStr">
        <is>
          <t>On Hold</t>
        </is>
      </c>
      <c r="E59">
        <f>COUNTIF(TaskStatus,"On Hold")</f>
        <v/>
      </c>
    </row>
    <row r="60">
      <c r="A60">
        <f>IF(Projects!A9="","",Projects!A9)</f>
        <v/>
      </c>
      <c r="B60" s="34">
        <f>IF(OR(A60="",Projects!G9=""),NA(),Projects!G9)</f>
        <v/>
      </c>
      <c r="D60" t="inlineStr">
        <is>
          <t>Completed</t>
        </is>
      </c>
      <c r="E60">
        <f>COUNTIF(TaskStatus,"Completed")</f>
        <v/>
      </c>
    </row>
    <row r="61">
      <c r="A61">
        <f>IF(Projects!A10="","",Projects!A10)</f>
        <v/>
      </c>
      <c r="B61" s="34">
        <f>IF(OR(A61="",Projects!G10=""),NA(),Projects!G10)</f>
        <v/>
      </c>
    </row>
    <row r="62">
      <c r="A62">
        <f>IF(Projects!A11="","",Projects!A11)</f>
        <v/>
      </c>
      <c r="B62" s="34">
        <f>IF(OR(A62="",Projects!G11=""),NA(),Projects!G11)</f>
        <v/>
      </c>
    </row>
    <row r="63">
      <c r="A63">
        <f>IF(Projects!A12="","",Projects!A12)</f>
        <v/>
      </c>
      <c r="B63" s="34">
        <f>IF(OR(A63="",Projects!G12=""),NA(),Projects!G12)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70">
    <mergeCell ref="D20:E20"/>
    <mergeCell ref="J6:L6"/>
    <mergeCell ref="D11:F11"/>
    <mergeCell ref="G10:I10"/>
    <mergeCell ref="A17"/>
    <mergeCell ref="A22"/>
    <mergeCell ref="G6:I6"/>
    <mergeCell ref="D19:E19"/>
    <mergeCell ref="A20"/>
    <mergeCell ref="J19:K19"/>
    <mergeCell ref="J4:L4"/>
    <mergeCell ref="D22:E22"/>
    <mergeCell ref="A23"/>
    <mergeCell ref="D7:F7"/>
    <mergeCell ref="A12:C12"/>
    <mergeCell ref="A3:L3"/>
    <mergeCell ref="A19"/>
    <mergeCell ref="J11:L11"/>
    <mergeCell ref="D21:E21"/>
    <mergeCell ref="J7:L7"/>
    <mergeCell ref="A2:L2"/>
    <mergeCell ref="A42:L42"/>
    <mergeCell ref="A5:C5"/>
    <mergeCell ref="G5:I5"/>
    <mergeCell ref="A14:F14"/>
    <mergeCell ref="G14:L14"/>
    <mergeCell ref="D4:F4"/>
    <mergeCell ref="A15"/>
    <mergeCell ref="J15:K15"/>
    <mergeCell ref="D12:F12"/>
    <mergeCell ref="A8:L8"/>
    <mergeCell ref="G4:I4"/>
    <mergeCell ref="D9:F9"/>
    <mergeCell ref="A25:F25"/>
    <mergeCell ref="J12:L12"/>
    <mergeCell ref="A4:C4"/>
    <mergeCell ref="D17:E17"/>
    <mergeCell ref="A10:C10"/>
    <mergeCell ref="D16:E16"/>
    <mergeCell ref="G25:L25"/>
    <mergeCell ref="J20:K20"/>
    <mergeCell ref="D5:F5"/>
    <mergeCell ref="J16:K16"/>
    <mergeCell ref="A13:L13"/>
    <mergeCell ref="A9:C9"/>
    <mergeCell ref="G9:I9"/>
    <mergeCell ref="A16"/>
    <mergeCell ref="G12:I12"/>
    <mergeCell ref="D18:E18"/>
    <mergeCell ref="J22:K22"/>
    <mergeCell ref="D10:F10"/>
    <mergeCell ref="G11:I11"/>
    <mergeCell ref="J5:L5"/>
    <mergeCell ref="A24:L24"/>
    <mergeCell ref="J21:K21"/>
    <mergeCell ref="A11:C11"/>
    <mergeCell ref="A18"/>
    <mergeCell ref="J10:L10"/>
    <mergeCell ref="D15:E15"/>
    <mergeCell ref="A21"/>
    <mergeCell ref="A1:L1"/>
    <mergeCell ref="A6:C6"/>
    <mergeCell ref="D23:E23"/>
    <mergeCell ref="D6:F6"/>
    <mergeCell ref="J18:K18"/>
    <mergeCell ref="J23:K23"/>
    <mergeCell ref="J9:L9"/>
    <mergeCell ref="A7:C7"/>
    <mergeCell ref="G7:I7"/>
    <mergeCell ref="J17:K17"/>
  </mergeCells>
  <conditionalFormatting sqref="J5:L5">
    <cfRule type="expression" priority="1" dxfId="0">
      <formula>OverdueTasks&gt;0</formula>
    </cfRule>
  </conditionalFormatting>
  <conditionalFormatting sqref="D10:F10">
    <cfRule type="expression" priority="2" dxfId="1">
      <formula>AtRiskProjects&gt;0</formula>
    </cfRule>
  </conditionalFormatting>
  <conditionalFormatting sqref="G16:L23">
    <cfRule type="expression" priority="3" dxfId="2">
      <formula>$G16&lt;&gt;""</formula>
    </cfRule>
  </conditionalFormatting>
  <printOptions horizontalCentered="1"/>
  <pageMargins left="0.45" right="0.45" top="0.5" bottom="0.5" header="0.25" footer="0.25"/>
  <pageSetup orientation="landscape" paperSize="1" fitToHeight="1" fitToWidth="1"/>
  <headerFooter>
    <oddHeader>&amp;LDashboard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6B5A"/>
    <outlinePr summaryBelow="1" summaryRight="1"/>
    <pageSetUpPr fitToPage="1"/>
  </sheetPr>
  <dimension ref="A1:O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3" customWidth="1" min="4" max="4"/>
    <col width="13" customWidth="1" min="5" max="5"/>
    <col width="11" customWidth="1" min="6" max="6"/>
    <col width="12" customWidth="1" min="7" max="7"/>
    <col width="10" customWidth="1" min="8" max="8"/>
    <col width="10" customWidth="1" min="9" max="9"/>
    <col width="10" customWidth="1" min="10" max="10"/>
    <col width="28" customWidth="1" min="11" max="11"/>
    <col width="12" customWidth="1" min="12" max="12"/>
    <col width="18" customWidth="1" min="14" max="14"/>
    <col width="28" customWidth="1" min="15" max="15"/>
  </cols>
  <sheetData>
    <row r="1" ht="30" customHeight="1">
      <c r="A1" s="1" t="inlineStr">
        <is>
          <t>Projects</t>
        </is>
      </c>
      <c r="N1" s="35" t="inlineStr">
        <is>
          <t>DROPDOWN LISTS</t>
        </is>
      </c>
      <c r="O1" s="36" t="inlineStr">
        <is>
          <t>Edit these if you need extra options.</t>
        </is>
      </c>
    </row>
    <row r="2" ht="24" customHeight="1">
      <c r="A2" s="32" t="inlineStr">
        <is>
          <t>One row per project. % Complete, task counts, and Health come from the Task List. Blue = type. Gray = calculated.</t>
        </is>
      </c>
      <c r="N2" s="37" t="inlineStr">
        <is>
          <t>Maya Chen</t>
        </is>
      </c>
      <c r="O2" s="36" t="inlineStr">
        <is>
          <t>People (Assigned to / Owner)</t>
        </is>
      </c>
    </row>
    <row r="3">
      <c r="A3" s="38">
        <f>COUNTA(A5:A24)&amp;" projects   ·   "&amp;COUNTIF(E5:E24,"In Progress")&amp;" in progress   ·   "&amp;COUNTIF(L5:L24,"At risk")+COUNTIF(L5:L24,"Overdue")&amp;" need attention"</f>
        <v/>
      </c>
      <c r="N3" s="37" t="inlineStr">
        <is>
          <t>Jordan Blake</t>
        </is>
      </c>
    </row>
    <row r="4" ht="28" customHeight="1">
      <c r="A4" s="39" t="inlineStr">
        <is>
          <t>Project name</t>
        </is>
      </c>
      <c r="B4" s="39" t="inlineStr">
        <is>
          <t>Owner / lead</t>
        </is>
      </c>
      <c r="C4" s="39" t="inlineStr">
        <is>
          <t>Start</t>
        </is>
      </c>
      <c r="D4" s="39" t="inlineStr">
        <is>
          <t>End</t>
        </is>
      </c>
      <c r="E4" s="39" t="inlineStr">
        <is>
          <t>Status</t>
        </is>
      </c>
      <c r="F4" s="39" t="inlineStr">
        <is>
          <t>Priority</t>
        </is>
      </c>
      <c r="G4" s="39" t="inlineStr">
        <is>
          <t>% Complete</t>
        </is>
      </c>
      <c r="H4" s="39" t="inlineStr">
        <is>
          <t>Tasks</t>
        </is>
      </c>
      <c r="I4" s="39" t="inlineStr">
        <is>
          <t>Open</t>
        </is>
      </c>
      <c r="J4" s="39" t="inlineStr">
        <is>
          <t>Overdue</t>
        </is>
      </c>
      <c r="K4" s="39" t="inlineStr">
        <is>
          <t>Notes</t>
        </is>
      </c>
      <c r="L4" s="39" t="inlineStr">
        <is>
          <t>Health</t>
        </is>
      </c>
      <c r="N4" s="37" t="inlineStr">
        <is>
          <t>Sam Okonkwo</t>
        </is>
      </c>
    </row>
    <row r="5" ht="18" customHeight="1">
      <c r="A5" s="37" t="inlineStr">
        <is>
          <t>Website Redesign</t>
        </is>
      </c>
      <c r="B5" s="37" t="inlineStr">
        <is>
          <t>Maya Chen</t>
        </is>
      </c>
      <c r="C5" s="40" t="n">
        <v>46204</v>
      </c>
      <c r="D5" s="40" t="n">
        <v>46295</v>
      </c>
      <c r="E5" s="41" t="inlineStr">
        <is>
          <t>In Progress</t>
        </is>
      </c>
      <c r="F5" s="41" t="inlineStr">
        <is>
          <t>High</t>
        </is>
      </c>
      <c r="G5" s="42">
        <f>IF(A5="","",IF(COUNTIF(TaskProjects,A5)=0,"",AVERAGEIFS(TaskEffPct,TaskProjects,A5)))</f>
        <v/>
      </c>
      <c r="H5" s="43">
        <f>IF(A5="","",COUNTIF(TaskProjects,A5))</f>
        <v/>
      </c>
      <c r="I5" s="43">
        <f>IF(A5="","",COUNTIFS(TaskProjects,A5,TaskStatus,"&lt;&gt;Completed"))</f>
        <v/>
      </c>
      <c r="J5" s="43">
        <f>IF(A5="","",COUNTIFS(TaskProjects,A5,TaskOverdue,"Yes"))</f>
        <v/>
      </c>
      <c r="K5" s="37" t="inlineStr">
        <is>
          <t>Public site + CMS</t>
        </is>
      </c>
      <c r="L5" s="44">
        <f>IF(A5="","",IF(E5="Completed","Done",IF(AND(D5&lt;&gt;"",D5&lt;TODAY()),"Overdue",IF(AND(D5&lt;&gt;"",D5&lt;=TODAY()+14,N(G5)&lt;0.75),"At risk","On track"))))</f>
        <v/>
      </c>
      <c r="N5" s="37" t="inlineStr">
        <is>
          <t>Riley Patel</t>
        </is>
      </c>
    </row>
    <row r="6" ht="18" customHeight="1">
      <c r="A6" s="37" t="inlineStr">
        <is>
          <t>Q3 Client Launch</t>
        </is>
      </c>
      <c r="B6" s="37" t="inlineStr">
        <is>
          <t>Jordan Blake</t>
        </is>
      </c>
      <c r="C6" s="40" t="n">
        <v>46235</v>
      </c>
      <c r="D6" s="40" t="n">
        <v>46260</v>
      </c>
      <c r="E6" s="41" t="inlineStr">
        <is>
          <t>In Progress</t>
        </is>
      </c>
      <c r="F6" s="41" t="inlineStr">
        <is>
          <t>High</t>
        </is>
      </c>
      <c r="G6" s="42">
        <f>IF(A6="","",IF(COUNTIF(TaskProjects,A6)=0,"",AVERAGEIFS(TaskEffPct,TaskProjects,A6)))</f>
        <v/>
      </c>
      <c r="H6" s="43">
        <f>IF(A6="","",COUNTIF(TaskProjects,A6))</f>
        <v/>
      </c>
      <c r="I6" s="43">
        <f>IF(A6="","",COUNTIFS(TaskProjects,A6,TaskStatus,"&lt;&gt;Completed"))</f>
        <v/>
      </c>
      <c r="J6" s="43">
        <f>IF(A6="","",COUNTIFS(TaskProjects,A6,TaskOverdue,"Yes"))</f>
        <v/>
      </c>
      <c r="K6" s="37" t="inlineStr">
        <is>
          <t>Acme Co. go-live</t>
        </is>
      </c>
      <c r="L6" s="44">
        <f>IF(A6="","",IF(E6="Completed","Done",IF(AND(D6&lt;&gt;"",D6&lt;TODAY()),"Overdue",IF(AND(D6&lt;&gt;"",D6&lt;=TODAY()+14,N(G6)&lt;0.75),"At risk","On track"))))</f>
        <v/>
      </c>
      <c r="N6" s="37" t="inlineStr">
        <is>
          <t>Alex Rivera</t>
        </is>
      </c>
    </row>
    <row r="7" ht="18" customHeight="1">
      <c r="A7" s="37" t="inlineStr">
        <is>
          <t>Hiring Pipeline</t>
        </is>
      </c>
      <c r="B7" s="37" t="inlineStr">
        <is>
          <t>Sam Okonkwo</t>
        </is>
      </c>
      <c r="C7" s="40" t="n">
        <v>46235</v>
      </c>
      <c r="D7" s="40" t="n">
        <v>46310</v>
      </c>
      <c r="E7" s="41" t="inlineStr">
        <is>
          <t>On Hold</t>
        </is>
      </c>
      <c r="F7" s="41" t="inlineStr">
        <is>
          <t>Medium</t>
        </is>
      </c>
      <c r="G7" s="42">
        <f>IF(A7="","",IF(COUNTIF(TaskProjects,A7)=0,"",AVERAGEIFS(TaskEffPct,TaskProjects,A7)))</f>
        <v/>
      </c>
      <c r="H7" s="43">
        <f>IF(A7="","",COUNTIF(TaskProjects,A7))</f>
        <v/>
      </c>
      <c r="I7" s="43">
        <f>IF(A7="","",COUNTIFS(TaskProjects,A7,TaskStatus,"&lt;&gt;Completed"))</f>
        <v/>
      </c>
      <c r="J7" s="43">
        <f>IF(A7="","",COUNTIFS(TaskProjects,A7,TaskOverdue,"Yes"))</f>
        <v/>
      </c>
      <c r="K7" s="37" t="inlineStr">
        <is>
          <t>Paused pending budget</t>
        </is>
      </c>
      <c r="L7" s="44">
        <f>IF(A7="","",IF(E7="Completed","Done",IF(AND(D7&lt;&gt;"",D7&lt;TODAY()),"Overdue",IF(AND(D7&lt;&gt;"",D7&lt;=TODAY()+14,N(G7)&lt;0.75),"At risk","On track"))))</f>
        <v/>
      </c>
    </row>
    <row r="8" ht="18" customHeight="1">
      <c r="A8" s="37" t="inlineStr">
        <is>
          <t>Brand Guidelines</t>
        </is>
      </c>
      <c r="B8" s="37" t="inlineStr">
        <is>
          <t>Riley Patel</t>
        </is>
      </c>
      <c r="C8" s="40" t="n">
        <v>46266</v>
      </c>
      <c r="D8" s="40" t="n">
        <v>46326</v>
      </c>
      <c r="E8" s="41" t="inlineStr">
        <is>
          <t>Not Started</t>
        </is>
      </c>
      <c r="F8" s="41" t="inlineStr">
        <is>
          <t>Low</t>
        </is>
      </c>
      <c r="G8" s="42">
        <f>IF(A8="","",IF(COUNTIF(TaskProjects,A8)=0,"",AVERAGEIFS(TaskEffPct,TaskProjects,A8)))</f>
        <v/>
      </c>
      <c r="H8" s="43">
        <f>IF(A8="","",COUNTIF(TaskProjects,A8))</f>
        <v/>
      </c>
      <c r="I8" s="43">
        <f>IF(A8="","",COUNTIFS(TaskProjects,A8,TaskStatus,"&lt;&gt;Completed"))</f>
        <v/>
      </c>
      <c r="J8" s="43">
        <f>IF(A8="","",COUNTIFS(TaskProjects,A8,TaskOverdue,"Yes"))</f>
        <v/>
      </c>
      <c r="K8" s="37" t="inlineStr">
        <is>
          <t>Internal + client kit</t>
        </is>
      </c>
      <c r="L8" s="44">
        <f>IF(A8="","",IF(E8="Completed","Done",IF(AND(D8&lt;&gt;"",D8&lt;TODAY()),"Overdue",IF(AND(D8&lt;&gt;"",D8&lt;=TODAY()+14,N(G8)&lt;0.75),"At risk","On track"))))</f>
        <v/>
      </c>
      <c r="N8" s="37" t="inlineStr">
        <is>
          <t>Not Started</t>
        </is>
      </c>
      <c r="O8" s="36" t="inlineStr">
        <is>
          <t>Project status</t>
        </is>
      </c>
    </row>
    <row r="9" ht="18" customHeight="1">
      <c r="A9" s="37" t="n"/>
      <c r="B9" s="37" t="n"/>
      <c r="C9" s="40" t="n"/>
      <c r="D9" s="40" t="n"/>
      <c r="E9" s="41" t="n"/>
      <c r="F9" s="41" t="n"/>
      <c r="G9" s="42">
        <f>IF(A9="","",IF(COUNTIF(TaskProjects,A9)=0,"",AVERAGEIFS(TaskEffPct,TaskProjects,A9)))</f>
        <v/>
      </c>
      <c r="H9" s="43">
        <f>IF(A9="","",COUNTIF(TaskProjects,A9))</f>
        <v/>
      </c>
      <c r="I9" s="43">
        <f>IF(A9="","",COUNTIFS(TaskProjects,A9,TaskStatus,"&lt;&gt;Completed"))</f>
        <v/>
      </c>
      <c r="J9" s="43">
        <f>IF(A9="","",COUNTIFS(TaskProjects,A9,TaskOverdue,"Yes"))</f>
        <v/>
      </c>
      <c r="K9" s="37" t="n"/>
      <c r="L9" s="44">
        <f>IF(A9="","",IF(E9="Completed","Done",IF(AND(D9&lt;&gt;"",D9&lt;TODAY()),"Overdue",IF(AND(D9&lt;&gt;"",D9&lt;=TODAY()+14,N(G9)&lt;0.75),"At risk","On track"))))</f>
        <v/>
      </c>
      <c r="N9" s="37" t="inlineStr">
        <is>
          <t>In Progress</t>
        </is>
      </c>
    </row>
    <row r="10" ht="18" customHeight="1">
      <c r="A10" s="37" t="n"/>
      <c r="B10" s="37" t="n"/>
      <c r="C10" s="40" t="n"/>
      <c r="D10" s="40" t="n"/>
      <c r="E10" s="41" t="n"/>
      <c r="F10" s="41" t="n"/>
      <c r="G10" s="42">
        <f>IF(A10="","",IF(COUNTIF(TaskProjects,A10)=0,"",AVERAGEIFS(TaskEffPct,TaskProjects,A10)))</f>
        <v/>
      </c>
      <c r="H10" s="43">
        <f>IF(A10="","",COUNTIF(TaskProjects,A10))</f>
        <v/>
      </c>
      <c r="I10" s="43">
        <f>IF(A10="","",COUNTIFS(TaskProjects,A10,TaskStatus,"&lt;&gt;Completed"))</f>
        <v/>
      </c>
      <c r="J10" s="43">
        <f>IF(A10="","",COUNTIFS(TaskProjects,A10,TaskOverdue,"Yes"))</f>
        <v/>
      </c>
      <c r="K10" s="37" t="n"/>
      <c r="L10" s="44">
        <f>IF(A10="","",IF(E10="Completed","Done",IF(AND(D10&lt;&gt;"",D10&lt;TODAY()),"Overdue",IF(AND(D10&lt;&gt;"",D10&lt;=TODAY()+14,N(G10)&lt;0.75),"At risk","On track"))))</f>
        <v/>
      </c>
      <c r="N10" s="37" t="inlineStr">
        <is>
          <t>On Hold</t>
        </is>
      </c>
    </row>
    <row r="11" ht="18" customHeight="1">
      <c r="A11" s="37" t="n"/>
      <c r="B11" s="37" t="n"/>
      <c r="C11" s="40" t="n"/>
      <c r="D11" s="40" t="n"/>
      <c r="E11" s="41" t="n"/>
      <c r="F11" s="41" t="n"/>
      <c r="G11" s="42">
        <f>IF(A11="","",IF(COUNTIF(TaskProjects,A11)=0,"",AVERAGEIFS(TaskEffPct,TaskProjects,A11)))</f>
        <v/>
      </c>
      <c r="H11" s="43">
        <f>IF(A11="","",COUNTIF(TaskProjects,A11))</f>
        <v/>
      </c>
      <c r="I11" s="43">
        <f>IF(A11="","",COUNTIFS(TaskProjects,A11,TaskStatus,"&lt;&gt;Completed"))</f>
        <v/>
      </c>
      <c r="J11" s="43">
        <f>IF(A11="","",COUNTIFS(TaskProjects,A11,TaskOverdue,"Yes"))</f>
        <v/>
      </c>
      <c r="K11" s="37" t="n"/>
      <c r="L11" s="44">
        <f>IF(A11="","",IF(E11="Completed","Done",IF(AND(D11&lt;&gt;"",D11&lt;TODAY()),"Overdue",IF(AND(D11&lt;&gt;"",D11&lt;=TODAY()+14,N(G11)&lt;0.75),"At risk","On track"))))</f>
        <v/>
      </c>
      <c r="N11" s="37" t="inlineStr">
        <is>
          <t>Completed</t>
        </is>
      </c>
    </row>
    <row r="12" ht="18" customHeight="1">
      <c r="A12" s="37" t="n"/>
      <c r="B12" s="37" t="n"/>
      <c r="C12" s="40" t="n"/>
      <c r="D12" s="40" t="n"/>
      <c r="E12" s="41" t="n"/>
      <c r="F12" s="41" t="n"/>
      <c r="G12" s="42">
        <f>IF(A12="","",IF(COUNTIF(TaskProjects,A12)=0,"",AVERAGEIFS(TaskEffPct,TaskProjects,A12)))</f>
        <v/>
      </c>
      <c r="H12" s="43">
        <f>IF(A12="","",COUNTIF(TaskProjects,A12))</f>
        <v/>
      </c>
      <c r="I12" s="43">
        <f>IF(A12="","",COUNTIFS(TaskProjects,A12,TaskStatus,"&lt;&gt;Completed"))</f>
        <v/>
      </c>
      <c r="J12" s="43">
        <f>IF(A12="","",COUNTIFS(TaskProjects,A12,TaskOverdue,"Yes"))</f>
        <v/>
      </c>
      <c r="K12" s="37" t="n"/>
      <c r="L12" s="44">
        <f>IF(A12="","",IF(E12="Completed","Done",IF(AND(D12&lt;&gt;"",D12&lt;TODAY()),"Overdue",IF(AND(D12&lt;&gt;"",D12&lt;=TODAY()+14,N(G12)&lt;0.75),"At risk","On track"))))</f>
        <v/>
      </c>
    </row>
    <row r="13" ht="18" customHeight="1">
      <c r="A13" s="37" t="n"/>
      <c r="B13" s="37" t="n"/>
      <c r="C13" s="40" t="n"/>
      <c r="D13" s="40" t="n"/>
      <c r="E13" s="41" t="n"/>
      <c r="F13" s="41" t="n"/>
      <c r="G13" s="42">
        <f>IF(A13="","",IF(COUNTIF(TaskProjects,A13)=0,"",AVERAGEIFS(TaskEffPct,TaskProjects,A13)))</f>
        <v/>
      </c>
      <c r="H13" s="43">
        <f>IF(A13="","",COUNTIF(TaskProjects,A13))</f>
        <v/>
      </c>
      <c r="I13" s="43">
        <f>IF(A13="","",COUNTIFS(TaskProjects,A13,TaskStatus,"&lt;&gt;Completed"))</f>
        <v/>
      </c>
      <c r="J13" s="43">
        <f>IF(A13="","",COUNTIFS(TaskProjects,A13,TaskOverdue,"Yes"))</f>
        <v/>
      </c>
      <c r="K13" s="37" t="n"/>
      <c r="L13" s="44">
        <f>IF(A13="","",IF(E13="Completed","Done",IF(AND(D13&lt;&gt;"",D13&lt;TODAY()),"Overdue",IF(AND(D13&lt;&gt;"",D13&lt;=TODAY()+14,N(G13)&lt;0.75),"At risk","On track"))))</f>
        <v/>
      </c>
      <c r="N13" s="37" t="inlineStr">
        <is>
          <t>Not Started</t>
        </is>
      </c>
      <c r="O13" s="36" t="inlineStr">
        <is>
          <t>Task status</t>
        </is>
      </c>
    </row>
    <row r="14" ht="18" customHeight="1">
      <c r="A14" s="37" t="n"/>
      <c r="B14" s="37" t="n"/>
      <c r="C14" s="40" t="n"/>
      <c r="D14" s="40" t="n"/>
      <c r="E14" s="41" t="n"/>
      <c r="F14" s="41" t="n"/>
      <c r="G14" s="42">
        <f>IF(A14="","",IF(COUNTIF(TaskProjects,A14)=0,"",AVERAGEIFS(TaskEffPct,TaskProjects,A14)))</f>
        <v/>
      </c>
      <c r="H14" s="43">
        <f>IF(A14="","",COUNTIF(TaskProjects,A14))</f>
        <v/>
      </c>
      <c r="I14" s="43">
        <f>IF(A14="","",COUNTIFS(TaskProjects,A14,TaskStatus,"&lt;&gt;Completed"))</f>
        <v/>
      </c>
      <c r="J14" s="43">
        <f>IF(A14="","",COUNTIFS(TaskProjects,A14,TaskOverdue,"Yes"))</f>
        <v/>
      </c>
      <c r="K14" s="37" t="n"/>
      <c r="L14" s="44">
        <f>IF(A14="","",IF(E14="Completed","Done",IF(AND(D14&lt;&gt;"",D14&lt;TODAY()),"Overdue",IF(AND(D14&lt;&gt;"",D14&lt;=TODAY()+14,N(G14)&lt;0.75),"At risk","On track"))))</f>
        <v/>
      </c>
      <c r="N14" s="37" t="inlineStr">
        <is>
          <t>In Progress</t>
        </is>
      </c>
    </row>
    <row r="15" ht="18" customHeight="1">
      <c r="A15" s="37" t="n"/>
      <c r="B15" s="37" t="n"/>
      <c r="C15" s="40" t="n"/>
      <c r="D15" s="40" t="n"/>
      <c r="E15" s="41" t="n"/>
      <c r="F15" s="41" t="n"/>
      <c r="G15" s="42">
        <f>IF(A15="","",IF(COUNTIF(TaskProjects,A15)=0,"",AVERAGEIFS(TaskEffPct,TaskProjects,A15)))</f>
        <v/>
      </c>
      <c r="H15" s="43">
        <f>IF(A15="","",COUNTIF(TaskProjects,A15))</f>
        <v/>
      </c>
      <c r="I15" s="43">
        <f>IF(A15="","",COUNTIFS(TaskProjects,A15,TaskStatus,"&lt;&gt;Completed"))</f>
        <v/>
      </c>
      <c r="J15" s="43">
        <f>IF(A15="","",COUNTIFS(TaskProjects,A15,TaskOverdue,"Yes"))</f>
        <v/>
      </c>
      <c r="K15" s="37" t="n"/>
      <c r="L15" s="44">
        <f>IF(A15="","",IF(E15="Completed","Done",IF(AND(D15&lt;&gt;"",D15&lt;TODAY()),"Overdue",IF(AND(D15&lt;&gt;"",D15&lt;=TODAY()+14,N(G15)&lt;0.75),"At risk","On track"))))</f>
        <v/>
      </c>
      <c r="N15" s="37" t="inlineStr">
        <is>
          <t>Waiting</t>
        </is>
      </c>
    </row>
    <row r="16" ht="18" customHeight="1">
      <c r="A16" s="37" t="n"/>
      <c r="B16" s="37" t="n"/>
      <c r="C16" s="40" t="n"/>
      <c r="D16" s="40" t="n"/>
      <c r="E16" s="41" t="n"/>
      <c r="F16" s="41" t="n"/>
      <c r="G16" s="42">
        <f>IF(A16="","",IF(COUNTIF(TaskProjects,A16)=0,"",AVERAGEIFS(TaskEffPct,TaskProjects,A16)))</f>
        <v/>
      </c>
      <c r="H16" s="43">
        <f>IF(A16="","",COUNTIF(TaskProjects,A16))</f>
        <v/>
      </c>
      <c r="I16" s="43">
        <f>IF(A16="","",COUNTIFS(TaskProjects,A16,TaskStatus,"&lt;&gt;Completed"))</f>
        <v/>
      </c>
      <c r="J16" s="43">
        <f>IF(A16="","",COUNTIFS(TaskProjects,A16,TaskOverdue,"Yes"))</f>
        <v/>
      </c>
      <c r="K16" s="37" t="n"/>
      <c r="L16" s="44">
        <f>IF(A16="","",IF(E16="Completed","Done",IF(AND(D16&lt;&gt;"",D16&lt;TODAY()),"Overdue",IF(AND(D16&lt;&gt;"",D16&lt;=TODAY()+14,N(G16)&lt;0.75),"At risk","On track"))))</f>
        <v/>
      </c>
      <c r="N16" s="37" t="inlineStr">
        <is>
          <t>On Hold</t>
        </is>
      </c>
    </row>
    <row r="17" ht="18" customHeight="1">
      <c r="A17" s="37" t="n"/>
      <c r="B17" s="37" t="n"/>
      <c r="C17" s="40" t="n"/>
      <c r="D17" s="40" t="n"/>
      <c r="E17" s="41" t="n"/>
      <c r="F17" s="41" t="n"/>
      <c r="G17" s="42">
        <f>IF(A17="","",IF(COUNTIF(TaskProjects,A17)=0,"",AVERAGEIFS(TaskEffPct,TaskProjects,A17)))</f>
        <v/>
      </c>
      <c r="H17" s="43">
        <f>IF(A17="","",COUNTIF(TaskProjects,A17))</f>
        <v/>
      </c>
      <c r="I17" s="43">
        <f>IF(A17="","",COUNTIFS(TaskProjects,A17,TaskStatus,"&lt;&gt;Completed"))</f>
        <v/>
      </c>
      <c r="J17" s="43">
        <f>IF(A17="","",COUNTIFS(TaskProjects,A17,TaskOverdue,"Yes"))</f>
        <v/>
      </c>
      <c r="K17" s="37" t="n"/>
      <c r="L17" s="44">
        <f>IF(A17="","",IF(E17="Completed","Done",IF(AND(D17&lt;&gt;"",D17&lt;TODAY()),"Overdue",IF(AND(D17&lt;&gt;"",D17&lt;=TODAY()+14,N(G17)&lt;0.75),"At risk","On track"))))</f>
        <v/>
      </c>
      <c r="N17" s="37" t="inlineStr">
        <is>
          <t>Completed</t>
        </is>
      </c>
    </row>
    <row r="18" ht="18" customHeight="1">
      <c r="A18" s="37" t="n"/>
      <c r="B18" s="37" t="n"/>
      <c r="C18" s="40" t="n"/>
      <c r="D18" s="40" t="n"/>
      <c r="E18" s="41" t="n"/>
      <c r="F18" s="41" t="n"/>
      <c r="G18" s="42">
        <f>IF(A18="","",IF(COUNTIF(TaskProjects,A18)=0,"",AVERAGEIFS(TaskEffPct,TaskProjects,A18)))</f>
        <v/>
      </c>
      <c r="H18" s="43">
        <f>IF(A18="","",COUNTIF(TaskProjects,A18))</f>
        <v/>
      </c>
      <c r="I18" s="43">
        <f>IF(A18="","",COUNTIFS(TaskProjects,A18,TaskStatus,"&lt;&gt;Completed"))</f>
        <v/>
      </c>
      <c r="J18" s="43">
        <f>IF(A18="","",COUNTIFS(TaskProjects,A18,TaskOverdue,"Yes"))</f>
        <v/>
      </c>
      <c r="K18" s="37" t="n"/>
      <c r="L18" s="44">
        <f>IF(A18="","",IF(E18="Completed","Done",IF(AND(D18&lt;&gt;"",D18&lt;TODAY()),"Overdue",IF(AND(D18&lt;&gt;"",D18&lt;=TODAY()+14,N(G18)&lt;0.75),"At risk","On track"))))</f>
        <v/>
      </c>
    </row>
    <row r="19" ht="18" customHeight="1">
      <c r="A19" s="37" t="n"/>
      <c r="B19" s="37" t="n"/>
      <c r="C19" s="40" t="n"/>
      <c r="D19" s="40" t="n"/>
      <c r="E19" s="41" t="n"/>
      <c r="F19" s="41" t="n"/>
      <c r="G19" s="42">
        <f>IF(A19="","",IF(COUNTIF(TaskProjects,A19)=0,"",AVERAGEIFS(TaskEffPct,TaskProjects,A19)))</f>
        <v/>
      </c>
      <c r="H19" s="43">
        <f>IF(A19="","",COUNTIF(TaskProjects,A19))</f>
        <v/>
      </c>
      <c r="I19" s="43">
        <f>IF(A19="","",COUNTIFS(TaskProjects,A19,TaskStatus,"&lt;&gt;Completed"))</f>
        <v/>
      </c>
      <c r="J19" s="43">
        <f>IF(A19="","",COUNTIFS(TaskProjects,A19,TaskOverdue,"Yes"))</f>
        <v/>
      </c>
      <c r="K19" s="37" t="n"/>
      <c r="L19" s="44">
        <f>IF(A19="","",IF(E19="Completed","Done",IF(AND(D19&lt;&gt;"",D19&lt;TODAY()),"Overdue",IF(AND(D19&lt;&gt;"",D19&lt;=TODAY()+14,N(G19)&lt;0.75),"At risk","On track"))))</f>
        <v/>
      </c>
      <c r="N19" s="37" t="inlineStr">
        <is>
          <t>High</t>
        </is>
      </c>
      <c r="O19" s="36" t="inlineStr">
        <is>
          <t>Priority</t>
        </is>
      </c>
    </row>
    <row r="20" ht="18" customHeight="1">
      <c r="A20" s="37" t="n"/>
      <c r="B20" s="37" t="n"/>
      <c r="C20" s="40" t="n"/>
      <c r="D20" s="40" t="n"/>
      <c r="E20" s="41" t="n"/>
      <c r="F20" s="41" t="n"/>
      <c r="G20" s="42">
        <f>IF(A20="","",IF(COUNTIF(TaskProjects,A20)=0,"",AVERAGEIFS(TaskEffPct,TaskProjects,A20)))</f>
        <v/>
      </c>
      <c r="H20" s="43">
        <f>IF(A20="","",COUNTIF(TaskProjects,A20))</f>
        <v/>
      </c>
      <c r="I20" s="43">
        <f>IF(A20="","",COUNTIFS(TaskProjects,A20,TaskStatus,"&lt;&gt;Completed"))</f>
        <v/>
      </c>
      <c r="J20" s="43">
        <f>IF(A20="","",COUNTIFS(TaskProjects,A20,TaskOverdue,"Yes"))</f>
        <v/>
      </c>
      <c r="K20" s="37" t="n"/>
      <c r="L20" s="44">
        <f>IF(A20="","",IF(E20="Completed","Done",IF(AND(D20&lt;&gt;"",D20&lt;TODAY()),"Overdue",IF(AND(D20&lt;&gt;"",D20&lt;=TODAY()+14,N(G20)&lt;0.75),"At risk","On track"))))</f>
        <v/>
      </c>
      <c r="N20" s="37" t="inlineStr">
        <is>
          <t>Medium</t>
        </is>
      </c>
    </row>
    <row r="21" ht="18" customHeight="1">
      <c r="A21" s="37" t="n"/>
      <c r="B21" s="37" t="n"/>
      <c r="C21" s="40" t="n"/>
      <c r="D21" s="40" t="n"/>
      <c r="E21" s="41" t="n"/>
      <c r="F21" s="41" t="n"/>
      <c r="G21" s="42">
        <f>IF(A21="","",IF(COUNTIF(TaskProjects,A21)=0,"",AVERAGEIFS(TaskEffPct,TaskProjects,A21)))</f>
        <v/>
      </c>
      <c r="H21" s="43">
        <f>IF(A21="","",COUNTIF(TaskProjects,A21))</f>
        <v/>
      </c>
      <c r="I21" s="43">
        <f>IF(A21="","",COUNTIFS(TaskProjects,A21,TaskStatus,"&lt;&gt;Completed"))</f>
        <v/>
      </c>
      <c r="J21" s="43">
        <f>IF(A21="","",COUNTIFS(TaskProjects,A21,TaskOverdue,"Yes"))</f>
        <v/>
      </c>
      <c r="K21" s="37" t="n"/>
      <c r="L21" s="44">
        <f>IF(A21="","",IF(E21="Completed","Done",IF(AND(D21&lt;&gt;"",D21&lt;TODAY()),"Overdue",IF(AND(D21&lt;&gt;"",D21&lt;=TODAY()+14,N(G21)&lt;0.75),"At risk","On track"))))</f>
        <v/>
      </c>
      <c r="N21" s="37" t="inlineStr">
        <is>
          <t>Low</t>
        </is>
      </c>
    </row>
    <row r="22" ht="18" customHeight="1">
      <c r="A22" s="37" t="n"/>
      <c r="B22" s="37" t="n"/>
      <c r="C22" s="40" t="n"/>
      <c r="D22" s="40" t="n"/>
      <c r="E22" s="41" t="n"/>
      <c r="F22" s="41" t="n"/>
      <c r="G22" s="42">
        <f>IF(A22="","",IF(COUNTIF(TaskProjects,A22)=0,"",AVERAGEIFS(TaskEffPct,TaskProjects,A22)))</f>
        <v/>
      </c>
      <c r="H22" s="43">
        <f>IF(A22="","",COUNTIF(TaskProjects,A22))</f>
        <v/>
      </c>
      <c r="I22" s="43">
        <f>IF(A22="","",COUNTIFS(TaskProjects,A22,TaskStatus,"&lt;&gt;Completed"))</f>
        <v/>
      </c>
      <c r="J22" s="43">
        <f>IF(A22="","",COUNTIFS(TaskProjects,A22,TaskOverdue,"Yes"))</f>
        <v/>
      </c>
      <c r="K22" s="37" t="n"/>
      <c r="L22" s="44">
        <f>IF(A22="","",IF(E22="Completed","Done",IF(AND(D22&lt;&gt;"",D22&lt;TODAY()),"Overdue",IF(AND(D22&lt;&gt;"",D22&lt;=TODAY()+14,N(G22)&lt;0.75),"At risk","On track"))))</f>
        <v/>
      </c>
    </row>
    <row r="23" ht="18" customHeight="1">
      <c r="A23" s="37" t="n"/>
      <c r="B23" s="37" t="n"/>
      <c r="C23" s="40" t="n"/>
      <c r="D23" s="40" t="n"/>
      <c r="E23" s="41" t="n"/>
      <c r="F23" s="41" t="n"/>
      <c r="G23" s="42">
        <f>IF(A23="","",IF(COUNTIF(TaskProjects,A23)=0,"",AVERAGEIFS(TaskEffPct,TaskProjects,A23)))</f>
        <v/>
      </c>
      <c r="H23" s="43">
        <f>IF(A23="","",COUNTIF(TaskProjects,A23))</f>
        <v/>
      </c>
      <c r="I23" s="43">
        <f>IF(A23="","",COUNTIFS(TaskProjects,A23,TaskStatus,"&lt;&gt;Completed"))</f>
        <v/>
      </c>
      <c r="J23" s="43">
        <f>IF(A23="","",COUNTIFS(TaskProjects,A23,TaskOverdue,"Yes"))</f>
        <v/>
      </c>
      <c r="K23" s="37" t="n"/>
      <c r="L23" s="44">
        <f>IF(A23="","",IF(E23="Completed","Done",IF(AND(D23&lt;&gt;"",D23&lt;TODAY()),"Overdue",IF(AND(D23&lt;&gt;"",D23&lt;=TODAY()+14,N(G23)&lt;0.75),"At risk","On track"))))</f>
        <v/>
      </c>
      <c r="N23" s="37" t="inlineStr">
        <is>
          <t>Upcoming</t>
        </is>
      </c>
      <c r="O23" s="36" t="inlineStr">
        <is>
          <t>Milestone status</t>
        </is>
      </c>
    </row>
    <row r="24" ht="18" customHeight="1">
      <c r="A24" s="37" t="n"/>
      <c r="B24" s="37" t="n"/>
      <c r="C24" s="40" t="n"/>
      <c r="D24" s="40" t="n"/>
      <c r="E24" s="41" t="n"/>
      <c r="F24" s="41" t="n"/>
      <c r="G24" s="42">
        <f>IF(A24="","",IF(COUNTIF(TaskProjects,A24)=0,"",AVERAGEIFS(TaskEffPct,TaskProjects,A24)))</f>
        <v/>
      </c>
      <c r="H24" s="43">
        <f>IF(A24="","",COUNTIF(TaskProjects,A24))</f>
        <v/>
      </c>
      <c r="I24" s="43">
        <f>IF(A24="","",COUNTIFS(TaskProjects,A24,TaskStatus,"&lt;&gt;Completed"))</f>
        <v/>
      </c>
      <c r="J24" s="43">
        <f>IF(A24="","",COUNTIFS(TaskProjects,A24,TaskOverdue,"Yes"))</f>
        <v/>
      </c>
      <c r="K24" s="37" t="n"/>
      <c r="L24" s="44">
        <f>IF(A24="","",IF(E24="Completed","Done",IF(AND(D24&lt;&gt;"",D24&lt;TODAY()),"Overdue",IF(AND(D24&lt;&gt;"",D24&lt;=TODAY()+14,N(G24)&lt;0.75),"At risk","On track"))))</f>
        <v/>
      </c>
      <c r="N24" s="37" t="inlineStr">
        <is>
          <t>Done</t>
        </is>
      </c>
    </row>
    <row r="25">
      <c r="A25" s="45" t="inlineStr">
        <is>
          <t>TOTAL</t>
        </is>
      </c>
      <c r="B25" s="46" t="n"/>
      <c r="C25" s="46" t="n"/>
      <c r="D25" s="46" t="n"/>
      <c r="E25" s="46" t="n"/>
      <c r="F25" s="46" t="n"/>
      <c r="G25" s="46" t="n"/>
      <c r="H25" s="47">
        <f>SUM(H5:H24)</f>
        <v/>
      </c>
      <c r="I25" s="47">
        <f>SUM(I5:I24)</f>
        <v/>
      </c>
      <c r="J25" s="47">
        <f>SUM(J5:J24)</f>
        <v/>
      </c>
      <c r="K25" s="46" t="n"/>
      <c r="L25" s="46" t="n"/>
      <c r="N25" s="37" t="inlineStr">
        <is>
          <t>Missed</t>
        </is>
      </c>
    </row>
    <row r="27">
      <c r="A27" s="48" t="inlineStr">
        <is>
          <t>Add a project in the next blank blue row. Then add tasks on the Task List and pick this name from the Project dropdown.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4:L24"/>
  <mergeCells count="4">
    <mergeCell ref="A3:L3"/>
    <mergeCell ref="A2:L2"/>
    <mergeCell ref="A1:L1"/>
    <mergeCell ref="A27:L27"/>
  </mergeCells>
  <conditionalFormatting sqref="A5:L24">
    <cfRule type="expression" priority="1" dxfId="3">
      <formula>$L5="Done"</formula>
    </cfRule>
    <cfRule type="expression" priority="2" dxfId="4">
      <formula>$L5="Overdue"</formula>
    </cfRule>
    <cfRule type="expression" priority="3" dxfId="5">
      <formula>$L5="At risk"</formula>
    </cfRule>
  </conditionalFormatting>
  <conditionalFormatting sqref="G5:G24">
    <cfRule type="dataBar" priority="4">
      <dataBar showValue="1">
        <cfvo type="num" val="0"/>
        <cfvo type="num" val="1"/>
        <color rgb="001F6B5A"/>
      </dataBar>
    </cfRule>
  </conditionalFormatting>
  <dataValidations count="3">
    <dataValidation sqref="E5:E24" showDropDown="0" showInputMessage="0" showErrorMessage="0" allowBlank="1" type="list">
      <formula1>=Projects!$N$8:$N$11</formula1>
    </dataValidation>
    <dataValidation sqref="F5:F24" showDropDown="0" showInputMessage="0" showErrorMessage="0" allowBlank="1" type="list">
      <formula1>=Projects!$N$19:$N$21</formula1>
    </dataValidation>
    <dataValidation sqref="B5:B24" showDropDown="0" showInputMessage="0" showErrorMessage="0" allowBlank="1" type="list">
      <formula1>=Projects!$N$2:$N$6</formula1>
    </dataValidation>
  </dataValidations>
  <printOptions horizontalCentered="1"/>
  <pageMargins left="0.45" right="0.45" top="0.5" bottom="0.5" header="0.25" footer="0.25"/>
  <pageSetup orientation="landscape" paperSize="1" fitToHeight="0" fitToWidth="1"/>
  <headerFooter>
    <oddHeader>&amp;LProjects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6B9A"/>
    <outlinePr summaryBelow="1" summaryRight="1"/>
    <pageSetUpPr fitToPage="1"/>
  </sheetPr>
  <dimension ref="A1:P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0" customWidth="1" min="10" max="10"/>
    <col width="22" customWidth="1" min="11" max="11"/>
    <col width="10" customWidth="1" min="12" max="12"/>
    <col width="10" customWidth="1" min="13" max="13"/>
    <col hidden="1" width="6" customWidth="1" min="14" max="14"/>
    <col hidden="1" width="6" customWidth="1" min="15" max="15"/>
    <col hidden="1" width="8" customWidth="1" min="16" max="16"/>
  </cols>
  <sheetData>
    <row r="1" ht="30" customHeight="1">
      <c r="A1" s="1" t="inlineStr">
        <is>
          <t>Task List</t>
        </is>
      </c>
    </row>
    <row r="2" ht="24" customHeight="1">
      <c r="A2" s="32" t="inlineStr">
        <is>
          <t>One row per task. Pick the Project from the dropdown so Dashboard and project % stay in sync. Filter and sort freely.</t>
        </is>
      </c>
    </row>
    <row r="3">
      <c r="A3" s="38">
        <f>COUNTA(A5:A84)&amp;" tasks   ·   "&amp;COUNTIF(E5:E84,"Completed")&amp;" done   ·   "&amp;COUNTIF(M5:M84,"Yes")&amp;" overdue   ·   "&amp;COUNTIFS(G5:G84,"&gt;="&amp;TODAY(),G5:G84,"&lt;="&amp;TODAY()+14,E5:E84,"&lt;&gt;Completed")&amp;" due in 14 days"</f>
        <v/>
      </c>
    </row>
    <row r="4" ht="30" customHeight="1">
      <c r="A4" s="39" t="inlineStr">
        <is>
          <t>Task name</t>
        </is>
      </c>
      <c r="B4" s="39" t="inlineStr">
        <is>
          <t>Project</t>
        </is>
      </c>
      <c r="C4" s="39" t="inlineStr">
        <is>
          <t>Assigned to</t>
        </is>
      </c>
      <c r="D4" s="39" t="inlineStr">
        <is>
          <t>Priority</t>
        </is>
      </c>
      <c r="E4" s="39" t="inlineStr">
        <is>
          <t>Status</t>
        </is>
      </c>
      <c r="F4" s="39" t="inlineStr">
        <is>
          <t>Start</t>
        </is>
      </c>
      <c r="G4" s="39" t="inlineStr">
        <is>
          <t>Due</t>
        </is>
      </c>
      <c r="H4" s="39" t="inlineStr">
        <is>
          <t>% Complete</t>
        </is>
      </c>
      <c r="I4" s="39" t="inlineStr">
        <is>
          <t>Est. hrs</t>
        </is>
      </c>
      <c r="J4" s="39" t="inlineStr">
        <is>
          <t>Actual hrs</t>
        </is>
      </c>
      <c r="K4" s="39" t="inlineStr">
        <is>
          <t>Notes</t>
        </is>
      </c>
      <c r="L4" s="49" t="inlineStr">
        <is>
          <t>Days left</t>
        </is>
      </c>
      <c r="M4" s="49" t="inlineStr">
        <is>
          <t>Overdue?</t>
        </is>
      </c>
    </row>
    <row r="5" ht="17" customHeight="1">
      <c r="A5" s="50" t="inlineStr">
        <is>
          <t>Kickoff workshop</t>
        </is>
      </c>
      <c r="B5" s="50" t="inlineStr">
        <is>
          <t>Website Redesign</t>
        </is>
      </c>
      <c r="C5" s="50" t="inlineStr">
        <is>
          <t>Maya Chen</t>
        </is>
      </c>
      <c r="D5" s="51" t="inlineStr">
        <is>
          <t>High</t>
        </is>
      </c>
      <c r="E5" s="51" t="inlineStr">
        <is>
          <t>Completed</t>
        </is>
      </c>
      <c r="F5" s="52" t="n">
        <v>46204</v>
      </c>
      <c r="G5" s="52" t="n">
        <v>46206</v>
      </c>
      <c r="H5" s="53" t="n">
        <v>1</v>
      </c>
      <c r="I5" s="51" t="n">
        <v>6</v>
      </c>
      <c r="J5" s="51" t="n">
        <v>5.5</v>
      </c>
      <c r="K5" s="50" t="inlineStr"/>
      <c r="L5" s="54">
        <f>IF(OR(A5="",G5=""),"",G5-TODAY())</f>
        <v/>
      </c>
      <c r="M5" s="54">
        <f>IF(A5="","",IF(AND(G5&lt;&gt;"",G5&lt;TODAY(),E5&lt;&gt;"Completed"),"Yes",""))</f>
        <v/>
      </c>
      <c r="N5" s="55">
        <f>IF(M5&lt;&gt;"Yes","",COUNTIF($M$5:M5,"Yes"))</f>
        <v/>
      </c>
      <c r="O5" s="55">
        <f>IF(OR(A5="",E5="Completed",G5="",G5&lt;TODAY(),G5&gt;TODAY()+14),"",COUNTIFS($G$5:G5,"&gt;="&amp;TODAY(),$G$5:G5,"&lt;="&amp;TODAY()+14,$E$5:E5,"&lt;&gt;Completed",$A$5:A5,"&lt;&gt;"))</f>
        <v/>
      </c>
      <c r="P5" s="56">
        <f>IF(A5="","",IF(E5="Completed",1,N(H5)))</f>
        <v/>
      </c>
    </row>
    <row r="6" ht="17" customHeight="1">
      <c r="A6" s="50" t="inlineStr">
        <is>
          <t>Sitemap and IA</t>
        </is>
      </c>
      <c r="B6" s="50" t="inlineStr">
        <is>
          <t>Website Redesign</t>
        </is>
      </c>
      <c r="C6" s="50" t="inlineStr">
        <is>
          <t>Maya Chen</t>
        </is>
      </c>
      <c r="D6" s="51" t="inlineStr">
        <is>
          <t>High</t>
        </is>
      </c>
      <c r="E6" s="51" t="inlineStr">
        <is>
          <t>Completed</t>
        </is>
      </c>
      <c r="F6" s="52" t="n">
        <v>46209</v>
      </c>
      <c r="G6" s="52" t="n">
        <v>46221</v>
      </c>
      <c r="H6" s="53" t="n">
        <v>1</v>
      </c>
      <c r="I6" s="51" t="n">
        <v>12</v>
      </c>
      <c r="J6" s="51" t="n">
        <v>14</v>
      </c>
      <c r="K6" s="50" t="inlineStr"/>
      <c r="L6" s="54">
        <f>IF(OR(A6="",G6=""),"",G6-TODAY())</f>
        <v/>
      </c>
      <c r="M6" s="54">
        <f>IF(A6="","",IF(AND(G6&lt;&gt;"",G6&lt;TODAY(),E6&lt;&gt;"Completed"),"Yes",""))</f>
        <v/>
      </c>
      <c r="N6" s="55">
        <f>IF(M6&lt;&gt;"Yes","",COUNTIF($M$5:M6,"Yes"))</f>
        <v/>
      </c>
      <c r="O6" s="55">
        <f>IF(OR(A6="",E6="Completed",G6="",G6&lt;TODAY(),G6&gt;TODAY()+14),"",COUNTIFS($G$5:G6,"&gt;="&amp;TODAY(),$G$5:G6,"&lt;="&amp;TODAY()+14,$E$5:E6,"&lt;&gt;Completed",$A$5:A6,"&lt;&gt;"))</f>
        <v/>
      </c>
      <c r="P6" s="56">
        <f>IF(A6="","",IF(E6="Completed",1,N(H6)))</f>
        <v/>
      </c>
    </row>
    <row r="7" ht="17" customHeight="1">
      <c r="A7" s="50" t="inlineStr">
        <is>
          <t>Visual mockups</t>
        </is>
      </c>
      <c r="B7" s="50" t="inlineStr">
        <is>
          <t>Website Redesign</t>
        </is>
      </c>
      <c r="C7" s="50" t="inlineStr">
        <is>
          <t>Riley Patel</t>
        </is>
      </c>
      <c r="D7" s="51" t="inlineStr">
        <is>
          <t>High</t>
        </is>
      </c>
      <c r="E7" s="51" t="inlineStr">
        <is>
          <t>In Progress</t>
        </is>
      </c>
      <c r="F7" s="52" t="n">
        <v>46223</v>
      </c>
      <c r="G7" s="52" t="n">
        <v>46249</v>
      </c>
      <c r="H7" s="53" t="n">
        <v>0.7</v>
      </c>
      <c r="I7" s="51" t="n">
        <v>24</v>
      </c>
      <c r="J7" s="51" t="n">
        <v>18</v>
      </c>
      <c r="K7" s="50" t="inlineStr">
        <is>
          <t>Homepage + 3 inner</t>
        </is>
      </c>
      <c r="L7" s="54">
        <f>IF(OR(A7="",G7=""),"",G7-TODAY())</f>
        <v/>
      </c>
      <c r="M7" s="54">
        <f>IF(A7="","",IF(AND(G7&lt;&gt;"",G7&lt;TODAY(),E7&lt;&gt;"Completed"),"Yes",""))</f>
        <v/>
      </c>
      <c r="N7" s="55">
        <f>IF(M7&lt;&gt;"Yes","",COUNTIF($M$5:M7,"Yes"))</f>
        <v/>
      </c>
      <c r="O7" s="55">
        <f>IF(OR(A7="",E7="Completed",G7="",G7&lt;TODAY(),G7&gt;TODAY()+14),"",COUNTIFS($G$5:G7,"&gt;="&amp;TODAY(),$G$5:G7,"&lt;="&amp;TODAY()+14,$E$5:E7,"&lt;&gt;Completed",$A$5:A7,"&lt;&gt;"))</f>
        <v/>
      </c>
      <c r="P7" s="56">
        <f>IF(A7="","",IF(E7="Completed",1,N(H7)))</f>
        <v/>
      </c>
    </row>
    <row r="8" ht="17" customHeight="1">
      <c r="A8" s="50" t="inlineStr">
        <is>
          <t>Stakeholder review</t>
        </is>
      </c>
      <c r="B8" s="50" t="inlineStr">
        <is>
          <t>Website Redesign</t>
        </is>
      </c>
      <c r="C8" s="50" t="inlineStr">
        <is>
          <t>Maya Chen</t>
        </is>
      </c>
      <c r="D8" s="51" t="inlineStr">
        <is>
          <t>High</t>
        </is>
      </c>
      <c r="E8" s="51" t="inlineStr">
        <is>
          <t>Waiting</t>
        </is>
      </c>
      <c r="F8" s="52" t="n">
        <v>46239</v>
      </c>
      <c r="G8" s="52" t="n">
        <v>46246</v>
      </c>
      <c r="H8" s="53" t="n">
        <v>0.4</v>
      </c>
      <c r="I8" s="51" t="n">
        <v>3</v>
      </c>
      <c r="J8" s="51" t="n">
        <v>2</v>
      </c>
      <c r="K8" s="50" t="inlineStr">
        <is>
          <t>Waiting on legal</t>
        </is>
      </c>
      <c r="L8" s="54">
        <f>IF(OR(A8="",G8=""),"",G8-TODAY())</f>
        <v/>
      </c>
      <c r="M8" s="54">
        <f>IF(A8="","",IF(AND(G8&lt;&gt;"",G8&lt;TODAY(),E8&lt;&gt;"Completed"),"Yes",""))</f>
        <v/>
      </c>
      <c r="N8" s="55">
        <f>IF(M8&lt;&gt;"Yes","",COUNTIF($M$5:M8,"Yes"))</f>
        <v/>
      </c>
      <c r="O8" s="55">
        <f>IF(OR(A8="",E8="Completed",G8="",G8&lt;TODAY(),G8&gt;TODAY()+14),"",COUNTIFS($G$5:G8,"&gt;="&amp;TODAY(),$G$5:G8,"&lt;="&amp;TODAY()+14,$E$5:E8,"&lt;&gt;Completed",$A$5:A8,"&lt;&gt;"))</f>
        <v/>
      </c>
      <c r="P8" s="56">
        <f>IF(A8="","",IF(E8="Completed",1,N(H8)))</f>
        <v/>
      </c>
    </row>
    <row r="9" ht="17" customHeight="1">
      <c r="A9" s="50" t="inlineStr">
        <is>
          <t>Homepage build</t>
        </is>
      </c>
      <c r="B9" s="50" t="inlineStr">
        <is>
          <t>Website Redesign</t>
        </is>
      </c>
      <c r="C9" s="50" t="inlineStr">
        <is>
          <t>Jordan Blake</t>
        </is>
      </c>
      <c r="D9" s="51" t="inlineStr">
        <is>
          <t>High</t>
        </is>
      </c>
      <c r="E9" s="51" t="inlineStr">
        <is>
          <t>In Progress</t>
        </is>
      </c>
      <c r="F9" s="52" t="n">
        <v>46238</v>
      </c>
      <c r="G9" s="52" t="n">
        <v>46256</v>
      </c>
      <c r="H9" s="53" t="n">
        <v>0.4</v>
      </c>
      <c r="I9" s="51" t="n">
        <v>20</v>
      </c>
      <c r="J9" s="51" t="n">
        <v>8</v>
      </c>
      <c r="K9" s="50" t="inlineStr"/>
      <c r="L9" s="54">
        <f>IF(OR(A9="",G9=""),"",G9-TODAY())</f>
        <v/>
      </c>
      <c r="M9" s="54">
        <f>IF(A9="","",IF(AND(G9&lt;&gt;"",G9&lt;TODAY(),E9&lt;&gt;"Completed"),"Yes",""))</f>
        <v/>
      </c>
      <c r="N9" s="55">
        <f>IF(M9&lt;&gt;"Yes","",COUNTIF($M$5:M9,"Yes"))</f>
        <v/>
      </c>
      <c r="O9" s="55">
        <f>IF(OR(A9="",E9="Completed",G9="",G9&lt;TODAY(),G9&gt;TODAY()+14),"",COUNTIFS($G$5:G9,"&gt;="&amp;TODAY(),$G$5:G9,"&lt;="&amp;TODAY()+14,$E$5:E9,"&lt;&gt;Completed",$A$5:A9,"&lt;&gt;"))</f>
        <v/>
      </c>
      <c r="P9" s="56">
        <f>IF(A9="","",IF(E9="Completed",1,N(H9)))</f>
        <v/>
      </c>
    </row>
    <row r="10" ht="17" customHeight="1">
      <c r="A10" s="50" t="inlineStr">
        <is>
          <t>Dev handoff packet</t>
        </is>
      </c>
      <c r="B10" s="50" t="inlineStr">
        <is>
          <t>Website Redesign</t>
        </is>
      </c>
      <c r="C10" s="50" t="inlineStr">
        <is>
          <t>Jordan Blake</t>
        </is>
      </c>
      <c r="D10" s="51" t="inlineStr">
        <is>
          <t>Medium</t>
        </is>
      </c>
      <c r="E10" s="51" t="inlineStr">
        <is>
          <t>Not Started</t>
        </is>
      </c>
      <c r="F10" s="52" t="n">
        <v>46252</v>
      </c>
      <c r="G10" s="52" t="n">
        <v>46263</v>
      </c>
      <c r="H10" s="53" t="n">
        <v>0</v>
      </c>
      <c r="I10" s="51" t="n">
        <v>6</v>
      </c>
      <c r="J10" s="51" t="n"/>
      <c r="K10" s="50" t="inlineStr"/>
      <c r="L10" s="54">
        <f>IF(OR(A10="",G10=""),"",G10-TODAY())</f>
        <v/>
      </c>
      <c r="M10" s="54">
        <f>IF(A10="","",IF(AND(G10&lt;&gt;"",G10&lt;TODAY(),E10&lt;&gt;"Completed"),"Yes",""))</f>
        <v/>
      </c>
      <c r="N10" s="55">
        <f>IF(M10&lt;&gt;"Yes","",COUNTIF($M$5:M10,"Yes"))</f>
        <v/>
      </c>
      <c r="O10" s="55">
        <f>IF(OR(A10="",E10="Completed",G10="",G10&lt;TODAY(),G10&gt;TODAY()+14),"",COUNTIFS($G$5:G10,"&gt;="&amp;TODAY(),$G$5:G10,"&lt;="&amp;TODAY()+14,$E$5:E10,"&lt;&gt;Completed",$A$5:A10,"&lt;&gt;"))</f>
        <v/>
      </c>
      <c r="P10" s="56">
        <f>IF(A10="","",IF(E10="Completed",1,N(H10)))</f>
        <v/>
      </c>
    </row>
    <row r="11" ht="17" customHeight="1">
      <c r="A11" s="50" t="inlineStr">
        <is>
          <t>CMS training</t>
        </is>
      </c>
      <c r="B11" s="50" t="inlineStr">
        <is>
          <t>Website Redesign</t>
        </is>
      </c>
      <c r="C11" s="50" t="inlineStr">
        <is>
          <t>Maya Chen</t>
        </is>
      </c>
      <c r="D11" s="51" t="inlineStr">
        <is>
          <t>Medium</t>
        </is>
      </c>
      <c r="E11" s="51" t="inlineStr">
        <is>
          <t>Not Started</t>
        </is>
      </c>
      <c r="F11" s="52" t="n">
        <v>46273</v>
      </c>
      <c r="G11" s="52" t="n">
        <v>46277</v>
      </c>
      <c r="H11" s="53" t="n">
        <v>0</v>
      </c>
      <c r="I11" s="51" t="n">
        <v>4</v>
      </c>
      <c r="J11" s="51" t="n"/>
      <c r="K11" s="50" t="inlineStr"/>
      <c r="L11" s="54">
        <f>IF(OR(A11="",G11=""),"",G11-TODAY())</f>
        <v/>
      </c>
      <c r="M11" s="54">
        <f>IF(A11="","",IF(AND(G11&lt;&gt;"",G11&lt;TODAY(),E11&lt;&gt;"Completed"),"Yes",""))</f>
        <v/>
      </c>
      <c r="N11" s="55">
        <f>IF(M11&lt;&gt;"Yes","",COUNTIF($M$5:M11,"Yes"))</f>
        <v/>
      </c>
      <c r="O11" s="55">
        <f>IF(OR(A11="",E11="Completed",G11="",G11&lt;TODAY(),G11&gt;TODAY()+14),"",COUNTIFS($G$5:G11,"&gt;="&amp;TODAY(),$G$5:G11,"&lt;="&amp;TODAY()+14,$E$5:E11,"&lt;&gt;Completed",$A$5:A11,"&lt;&gt;"))</f>
        <v/>
      </c>
      <c r="P11" s="56">
        <f>IF(A11="","",IF(E11="Completed",1,N(H11)))</f>
        <v/>
      </c>
    </row>
    <row r="12" ht="17" customHeight="1">
      <c r="A12" s="50" t="inlineStr">
        <is>
          <t>QA pass</t>
        </is>
      </c>
      <c r="B12" s="50" t="inlineStr">
        <is>
          <t>Website Redesign</t>
        </is>
      </c>
      <c r="C12" s="50" t="inlineStr">
        <is>
          <t>Sam Okonkwo</t>
        </is>
      </c>
      <c r="D12" s="51" t="inlineStr">
        <is>
          <t>High</t>
        </is>
      </c>
      <c r="E12" s="51" t="inlineStr">
        <is>
          <t>Not Started</t>
        </is>
      </c>
      <c r="F12" s="52" t="n">
        <v>46280</v>
      </c>
      <c r="G12" s="52" t="n">
        <v>46290</v>
      </c>
      <c r="H12" s="53" t="n">
        <v>0</v>
      </c>
      <c r="I12" s="51" t="n">
        <v>10</v>
      </c>
      <c r="J12" s="51" t="n"/>
      <c r="K12" s="50" t="inlineStr"/>
      <c r="L12" s="54">
        <f>IF(OR(A12="",G12=""),"",G12-TODAY())</f>
        <v/>
      </c>
      <c r="M12" s="54">
        <f>IF(A12="","",IF(AND(G12&lt;&gt;"",G12&lt;TODAY(),E12&lt;&gt;"Completed"),"Yes",""))</f>
        <v/>
      </c>
      <c r="N12" s="55">
        <f>IF(M12&lt;&gt;"Yes","",COUNTIF($M$5:M12,"Yes"))</f>
        <v/>
      </c>
      <c r="O12" s="55">
        <f>IF(OR(A12="",E12="Completed",G12="",G12&lt;TODAY(),G12&gt;TODAY()+14),"",COUNTIFS($G$5:G12,"&gt;="&amp;TODAY(),$G$5:G12,"&lt;="&amp;TODAY()+14,$E$5:E12,"&lt;&gt;Completed",$A$5:A12,"&lt;&gt;"))</f>
        <v/>
      </c>
      <c r="P12" s="56">
        <f>IF(A12="","",IF(E12="Completed",1,N(H12)))</f>
        <v/>
      </c>
    </row>
    <row r="13" ht="17" customHeight="1">
      <c r="A13" s="50" t="inlineStr">
        <is>
          <t>Asset list from client</t>
        </is>
      </c>
      <c r="B13" s="50" t="inlineStr">
        <is>
          <t>Q3 Client Launch</t>
        </is>
      </c>
      <c r="C13" s="50" t="inlineStr">
        <is>
          <t>Jordan Blake</t>
        </is>
      </c>
      <c r="D13" s="51" t="inlineStr">
        <is>
          <t>High</t>
        </is>
      </c>
      <c r="E13" s="51" t="inlineStr">
        <is>
          <t>Waiting</t>
        </is>
      </c>
      <c r="F13" s="52" t="n">
        <v>46235</v>
      </c>
      <c r="G13" s="52" t="n">
        <v>46242</v>
      </c>
      <c r="H13" s="53" t="n">
        <v>0.5</v>
      </c>
      <c r="I13" s="51" t="n">
        <v>2</v>
      </c>
      <c r="J13" s="51" t="n">
        <v>1</v>
      </c>
      <c r="K13" s="50" t="inlineStr">
        <is>
          <t>Logos still missing</t>
        </is>
      </c>
      <c r="L13" s="54">
        <f>IF(OR(A13="",G13=""),"",G13-TODAY())</f>
        <v/>
      </c>
      <c r="M13" s="54">
        <f>IF(A13="","",IF(AND(G13&lt;&gt;"",G13&lt;TODAY(),E13&lt;&gt;"Completed"),"Yes",""))</f>
        <v/>
      </c>
      <c r="N13" s="55">
        <f>IF(M13&lt;&gt;"Yes","",COUNTIF($M$5:M13,"Yes"))</f>
        <v/>
      </c>
      <c r="O13" s="55">
        <f>IF(OR(A13="",E13="Completed",G13="",G13&lt;TODAY(),G13&gt;TODAY()+14),"",COUNTIFS($G$5:G13,"&gt;="&amp;TODAY(),$G$5:G13,"&lt;="&amp;TODAY()+14,$E$5:E13,"&lt;&gt;Completed",$A$5:A13,"&lt;&gt;"))</f>
        <v/>
      </c>
      <c r="P13" s="56">
        <f>IF(A13="","",IF(E13="Completed",1,N(H13)))</f>
        <v/>
      </c>
    </row>
    <row r="14" ht="17" customHeight="1">
      <c r="A14" s="50" t="inlineStr">
        <is>
          <t>Landing page copy</t>
        </is>
      </c>
      <c r="B14" s="50" t="inlineStr">
        <is>
          <t>Q3 Client Launch</t>
        </is>
      </c>
      <c r="C14" s="50" t="inlineStr">
        <is>
          <t>Maya Chen</t>
        </is>
      </c>
      <c r="D14" s="51" t="inlineStr">
        <is>
          <t>High</t>
        </is>
      </c>
      <c r="E14" s="51" t="inlineStr">
        <is>
          <t>Completed</t>
        </is>
      </c>
      <c r="F14" s="52" t="n">
        <v>46235</v>
      </c>
      <c r="G14" s="52" t="n">
        <v>46244</v>
      </c>
      <c r="H14" s="53" t="n">
        <v>1</v>
      </c>
      <c r="I14" s="51" t="n">
        <v>8</v>
      </c>
      <c r="J14" s="51" t="n">
        <v>7</v>
      </c>
      <c r="K14" s="50" t="inlineStr"/>
      <c r="L14" s="54">
        <f>IF(OR(A14="",G14=""),"",G14-TODAY())</f>
        <v/>
      </c>
      <c r="M14" s="54">
        <f>IF(A14="","",IF(AND(G14&lt;&gt;"",G14&lt;TODAY(),E14&lt;&gt;"Completed"),"Yes",""))</f>
        <v/>
      </c>
      <c r="N14" s="55">
        <f>IF(M14&lt;&gt;"Yes","",COUNTIF($M$5:M14,"Yes"))</f>
        <v/>
      </c>
      <c r="O14" s="55">
        <f>IF(OR(A14="",E14="Completed",G14="",G14&lt;TODAY(),G14&gt;TODAY()+14),"",COUNTIFS($G$5:G14,"&gt;="&amp;TODAY(),$G$5:G14,"&lt;="&amp;TODAY()+14,$E$5:E14,"&lt;&gt;Completed",$A$5:A14,"&lt;&gt;"))</f>
        <v/>
      </c>
      <c r="P14" s="56">
        <f>IF(A14="","",IF(E14="Completed",1,N(H14)))</f>
        <v/>
      </c>
    </row>
    <row r="15" ht="17" customHeight="1">
      <c r="A15" s="50" t="inlineStr">
        <is>
          <t>Landing page build</t>
        </is>
      </c>
      <c r="B15" s="50" t="inlineStr">
        <is>
          <t>Q3 Client Launch</t>
        </is>
      </c>
      <c r="C15" s="50" t="inlineStr">
        <is>
          <t>Jordan Blake</t>
        </is>
      </c>
      <c r="D15" s="51" t="inlineStr">
        <is>
          <t>High</t>
        </is>
      </c>
      <c r="E15" s="51" t="inlineStr">
        <is>
          <t>In Progress</t>
        </is>
      </c>
      <c r="F15" s="52" t="n">
        <v>46242</v>
      </c>
      <c r="G15" s="52" t="n">
        <v>46254</v>
      </c>
      <c r="H15" s="53" t="n">
        <v>0.55</v>
      </c>
      <c r="I15" s="51" t="n">
        <v>16</v>
      </c>
      <c r="J15" s="51" t="n">
        <v>10</v>
      </c>
      <c r="K15" s="50" t="inlineStr"/>
      <c r="L15" s="54">
        <f>IF(OR(A15="",G15=""),"",G15-TODAY())</f>
        <v/>
      </c>
      <c r="M15" s="54">
        <f>IF(A15="","",IF(AND(G15&lt;&gt;"",G15&lt;TODAY(),E15&lt;&gt;"Completed"),"Yes",""))</f>
        <v/>
      </c>
      <c r="N15" s="55">
        <f>IF(M15&lt;&gt;"Yes","",COUNTIF($M$5:M15,"Yes"))</f>
        <v/>
      </c>
      <c r="O15" s="55">
        <f>IF(OR(A15="",E15="Completed",G15="",G15&lt;TODAY(),G15&gt;TODAY()+14),"",COUNTIFS($G$5:G15,"&gt;="&amp;TODAY(),$G$5:G15,"&lt;="&amp;TODAY()+14,$E$5:E15,"&lt;&gt;Completed",$A$5:A15,"&lt;&gt;"))</f>
        <v/>
      </c>
      <c r="P15" s="56">
        <f>IF(A15="","",IF(E15="Completed",1,N(H15)))</f>
        <v/>
      </c>
    </row>
    <row r="16" ht="17" customHeight="1">
      <c r="A16" s="50" t="inlineStr">
        <is>
          <t>Email sequence</t>
        </is>
      </c>
      <c r="B16" s="50" t="inlineStr">
        <is>
          <t>Q3 Client Launch</t>
        </is>
      </c>
      <c r="C16" s="50" t="inlineStr">
        <is>
          <t>Riley Patel</t>
        </is>
      </c>
      <c r="D16" s="51" t="inlineStr">
        <is>
          <t>Medium</t>
        </is>
      </c>
      <c r="E16" s="51" t="inlineStr">
        <is>
          <t>In Progress</t>
        </is>
      </c>
      <c r="F16" s="52" t="n">
        <v>46245</v>
      </c>
      <c r="G16" s="52" t="n">
        <v>46252</v>
      </c>
      <c r="H16" s="53" t="n">
        <v>0.3</v>
      </c>
      <c r="I16" s="51" t="n">
        <v>8</v>
      </c>
      <c r="J16" s="51" t="n">
        <v>3</v>
      </c>
      <c r="K16" s="50" t="inlineStr"/>
      <c r="L16" s="54">
        <f>IF(OR(A16="",G16=""),"",G16-TODAY())</f>
        <v/>
      </c>
      <c r="M16" s="54">
        <f>IF(A16="","",IF(AND(G16&lt;&gt;"",G16&lt;TODAY(),E16&lt;&gt;"Completed"),"Yes",""))</f>
        <v/>
      </c>
      <c r="N16" s="55">
        <f>IF(M16&lt;&gt;"Yes","",COUNTIF($M$5:M16,"Yes"))</f>
        <v/>
      </c>
      <c r="O16" s="55">
        <f>IF(OR(A16="",E16="Completed",G16="",G16&lt;TODAY(),G16&gt;TODAY()+14),"",COUNTIFS($G$5:G16,"&gt;="&amp;TODAY(),$G$5:G16,"&lt;="&amp;TODAY()+14,$E$5:E16,"&lt;&gt;Completed",$A$5:A16,"&lt;&gt;"))</f>
        <v/>
      </c>
      <c r="P16" s="56">
        <f>IF(A16="","",IF(E16="Completed",1,N(H16)))</f>
        <v/>
      </c>
    </row>
    <row r="17" ht="17" customHeight="1">
      <c r="A17" s="50" t="inlineStr">
        <is>
          <t>QA / UAT</t>
        </is>
      </c>
      <c r="B17" s="50" t="inlineStr">
        <is>
          <t>Q3 Client Launch</t>
        </is>
      </c>
      <c r="C17" s="50" t="inlineStr">
        <is>
          <t>Sam Okonkwo</t>
        </is>
      </c>
      <c r="D17" s="51" t="inlineStr">
        <is>
          <t>High</t>
        </is>
      </c>
      <c r="E17" s="51" t="inlineStr">
        <is>
          <t>Not Started</t>
        </is>
      </c>
      <c r="F17" s="52" t="n">
        <v>46253</v>
      </c>
      <c r="G17" s="52" t="n">
        <v>46259</v>
      </c>
      <c r="H17" s="53" t="n">
        <v>0</v>
      </c>
      <c r="I17" s="51" t="n">
        <v>6</v>
      </c>
      <c r="J17" s="51" t="n"/>
      <c r="K17" s="50" t="inlineStr"/>
      <c r="L17" s="54">
        <f>IF(OR(A17="",G17=""),"",G17-TODAY())</f>
        <v/>
      </c>
      <c r="M17" s="54">
        <f>IF(A17="","",IF(AND(G17&lt;&gt;"",G17&lt;TODAY(),E17&lt;&gt;"Completed"),"Yes",""))</f>
        <v/>
      </c>
      <c r="N17" s="55">
        <f>IF(M17&lt;&gt;"Yes","",COUNTIF($M$5:M17,"Yes"))</f>
        <v/>
      </c>
      <c r="O17" s="55">
        <f>IF(OR(A17="",E17="Completed",G17="",G17&lt;TODAY(),G17&gt;TODAY()+14),"",COUNTIFS($G$5:G17,"&gt;="&amp;TODAY(),$G$5:G17,"&lt;="&amp;TODAY()+14,$E$5:E17,"&lt;&gt;Completed",$A$5:A17,"&lt;&gt;"))</f>
        <v/>
      </c>
      <c r="P17" s="56">
        <f>IF(A17="","",IF(E17="Completed",1,N(H17)))</f>
        <v/>
      </c>
    </row>
    <row r="18" ht="17" customHeight="1">
      <c r="A18" s="50" t="inlineStr">
        <is>
          <t>Launch checklist</t>
        </is>
      </c>
      <c r="B18" s="50" t="inlineStr">
        <is>
          <t>Q3 Client Launch</t>
        </is>
      </c>
      <c r="C18" s="50" t="inlineStr">
        <is>
          <t>Jordan Blake</t>
        </is>
      </c>
      <c r="D18" s="51" t="inlineStr">
        <is>
          <t>High</t>
        </is>
      </c>
      <c r="E18" s="51" t="inlineStr">
        <is>
          <t>Not Started</t>
        </is>
      </c>
      <c r="F18" s="52" t="n">
        <v>46260</v>
      </c>
      <c r="G18" s="52" t="n">
        <v>46262</v>
      </c>
      <c r="H18" s="53" t="n">
        <v>0</v>
      </c>
      <c r="I18" s="51" t="n">
        <v>3</v>
      </c>
      <c r="J18" s="51" t="n"/>
      <c r="K18" s="50" t="inlineStr"/>
      <c r="L18" s="54">
        <f>IF(OR(A18="",G18=""),"",G18-TODAY())</f>
        <v/>
      </c>
      <c r="M18" s="54">
        <f>IF(A18="","",IF(AND(G18&lt;&gt;"",G18&lt;TODAY(),E18&lt;&gt;"Completed"),"Yes",""))</f>
        <v/>
      </c>
      <c r="N18" s="55">
        <f>IF(M18&lt;&gt;"Yes","",COUNTIF($M$5:M18,"Yes"))</f>
        <v/>
      </c>
      <c r="O18" s="55">
        <f>IF(OR(A18="",E18="Completed",G18="",G18&lt;TODAY(),G18&gt;TODAY()+14),"",COUNTIFS($G$5:G18,"&gt;="&amp;TODAY(),$G$5:G18,"&lt;="&amp;TODAY()+14,$E$5:E18,"&lt;&gt;Completed",$A$5:A18,"&lt;&gt;"))</f>
        <v/>
      </c>
      <c r="P18" s="56">
        <f>IF(A18="","",IF(E18="Completed",1,N(H18)))</f>
        <v/>
      </c>
    </row>
    <row r="19" ht="17" customHeight="1">
      <c r="A19" s="50" t="inlineStr">
        <is>
          <t>Role scorecard</t>
        </is>
      </c>
      <c r="B19" s="50" t="inlineStr">
        <is>
          <t>Hiring Pipeline</t>
        </is>
      </c>
      <c r="C19" s="50" t="inlineStr">
        <is>
          <t>Sam Okonkwo</t>
        </is>
      </c>
      <c r="D19" s="51" t="inlineStr">
        <is>
          <t>Medium</t>
        </is>
      </c>
      <c r="E19" s="51" t="inlineStr">
        <is>
          <t>Completed</t>
        </is>
      </c>
      <c r="F19" s="52" t="n">
        <v>46235</v>
      </c>
      <c r="G19" s="52" t="n">
        <v>46238</v>
      </c>
      <c r="H19" s="53" t="n">
        <v>1</v>
      </c>
      <c r="I19" s="51" t="n">
        <v>4</v>
      </c>
      <c r="J19" s="51" t="n">
        <v>3</v>
      </c>
      <c r="K19" s="50" t="inlineStr"/>
      <c r="L19" s="54">
        <f>IF(OR(A19="",G19=""),"",G19-TODAY())</f>
        <v/>
      </c>
      <c r="M19" s="54">
        <f>IF(A19="","",IF(AND(G19&lt;&gt;"",G19&lt;TODAY(),E19&lt;&gt;"Completed"),"Yes",""))</f>
        <v/>
      </c>
      <c r="N19" s="55">
        <f>IF(M19&lt;&gt;"Yes","",COUNTIF($M$5:M19,"Yes"))</f>
        <v/>
      </c>
      <c r="O19" s="55">
        <f>IF(OR(A19="",E19="Completed",G19="",G19&lt;TODAY(),G19&gt;TODAY()+14),"",COUNTIFS($G$5:G19,"&gt;="&amp;TODAY(),$G$5:G19,"&lt;="&amp;TODAY()+14,$E$5:E19,"&lt;&gt;Completed",$A$5:A19,"&lt;&gt;"))</f>
        <v/>
      </c>
      <c r="P19" s="56">
        <f>IF(A19="","",IF(E19="Completed",1,N(H19)))</f>
        <v/>
      </c>
    </row>
    <row r="20" ht="17" customHeight="1">
      <c r="A20" s="50" t="inlineStr">
        <is>
          <t>Post the role</t>
        </is>
      </c>
      <c r="B20" s="50" t="inlineStr">
        <is>
          <t>Hiring Pipeline</t>
        </is>
      </c>
      <c r="C20" s="50" t="inlineStr">
        <is>
          <t>Sam Okonkwo</t>
        </is>
      </c>
      <c r="D20" s="51" t="inlineStr">
        <is>
          <t>Medium</t>
        </is>
      </c>
      <c r="E20" s="51" t="inlineStr">
        <is>
          <t>Completed</t>
        </is>
      </c>
      <c r="F20" s="52" t="n">
        <v>46238</v>
      </c>
      <c r="G20" s="52" t="n">
        <v>46239</v>
      </c>
      <c r="H20" s="53" t="n">
        <v>1</v>
      </c>
      <c r="I20" s="51" t="n">
        <v>2</v>
      </c>
      <c r="J20" s="51" t="n">
        <v>2</v>
      </c>
      <c r="K20" s="50" t="inlineStr"/>
      <c r="L20" s="54">
        <f>IF(OR(A20="",G20=""),"",G20-TODAY())</f>
        <v/>
      </c>
      <c r="M20" s="54">
        <f>IF(A20="","",IF(AND(G20&lt;&gt;"",G20&lt;TODAY(),E20&lt;&gt;"Completed"),"Yes",""))</f>
        <v/>
      </c>
      <c r="N20" s="55">
        <f>IF(M20&lt;&gt;"Yes","",COUNTIF($M$5:M20,"Yes"))</f>
        <v/>
      </c>
      <c r="O20" s="55">
        <f>IF(OR(A20="",E20="Completed",G20="",G20&lt;TODAY(),G20&gt;TODAY()+14),"",COUNTIFS($G$5:G20,"&gt;="&amp;TODAY(),$G$5:G20,"&lt;="&amp;TODAY()+14,$E$5:E20,"&lt;&gt;Completed",$A$5:A20,"&lt;&gt;"))</f>
        <v/>
      </c>
      <c r="P20" s="56">
        <f>IF(A20="","",IF(E20="Completed",1,N(H20)))</f>
        <v/>
      </c>
    </row>
    <row r="21" ht="17" customHeight="1">
      <c r="A21" s="50" t="inlineStr">
        <is>
          <t>Screen resumes</t>
        </is>
      </c>
      <c r="B21" s="50" t="inlineStr">
        <is>
          <t>Hiring Pipeline</t>
        </is>
      </c>
      <c r="C21" s="50" t="inlineStr">
        <is>
          <t>Sam Okonkwo</t>
        </is>
      </c>
      <c r="D21" s="51" t="inlineStr">
        <is>
          <t>Medium</t>
        </is>
      </c>
      <c r="E21" s="51" t="inlineStr">
        <is>
          <t>On Hold</t>
        </is>
      </c>
      <c r="F21" s="52" t="n">
        <v>46240</v>
      </c>
      <c r="G21" s="52" t="n">
        <v>46254</v>
      </c>
      <c r="H21" s="53" t="n">
        <v>0.2</v>
      </c>
      <c r="I21" s="51" t="n">
        <v>8</v>
      </c>
      <c r="J21" s="51" t="n">
        <v>2</v>
      </c>
      <c r="K21" s="50" t="inlineStr">
        <is>
          <t>Budget hold</t>
        </is>
      </c>
      <c r="L21" s="54">
        <f>IF(OR(A21="",G21=""),"",G21-TODAY())</f>
        <v/>
      </c>
      <c r="M21" s="54">
        <f>IF(A21="","",IF(AND(G21&lt;&gt;"",G21&lt;TODAY(),E21&lt;&gt;"Completed"),"Yes",""))</f>
        <v/>
      </c>
      <c r="N21" s="55">
        <f>IF(M21&lt;&gt;"Yes","",COUNTIF($M$5:M21,"Yes"))</f>
        <v/>
      </c>
      <c r="O21" s="55">
        <f>IF(OR(A21="",E21="Completed",G21="",G21&lt;TODAY(),G21&gt;TODAY()+14),"",COUNTIFS($G$5:G21,"&gt;="&amp;TODAY(),$G$5:G21,"&lt;="&amp;TODAY()+14,$E$5:E21,"&lt;&gt;Completed",$A$5:A21,"&lt;&gt;"))</f>
        <v/>
      </c>
      <c r="P21" s="56">
        <f>IF(A21="","",IF(E21="Completed",1,N(H21)))</f>
        <v/>
      </c>
    </row>
    <row r="22" ht="17" customHeight="1">
      <c r="A22" s="50" t="inlineStr">
        <is>
          <t>First interviews</t>
        </is>
      </c>
      <c r="B22" s="50" t="inlineStr">
        <is>
          <t>Hiring Pipeline</t>
        </is>
      </c>
      <c r="C22" s="50" t="inlineStr">
        <is>
          <t>Maya Chen</t>
        </is>
      </c>
      <c r="D22" s="51" t="inlineStr">
        <is>
          <t>Medium</t>
        </is>
      </c>
      <c r="E22" s="51" t="inlineStr">
        <is>
          <t>On Hold</t>
        </is>
      </c>
      <c r="F22" s="52" t="n">
        <v>46252</v>
      </c>
      <c r="G22" s="52" t="n">
        <v>46270</v>
      </c>
      <c r="H22" s="53" t="n">
        <v>0</v>
      </c>
      <c r="I22" s="51" t="n">
        <v>10</v>
      </c>
      <c r="J22" s="51" t="n"/>
      <c r="K22" s="50" t="inlineStr"/>
      <c r="L22" s="54">
        <f>IF(OR(A22="",G22=""),"",G22-TODAY())</f>
        <v/>
      </c>
      <c r="M22" s="54">
        <f>IF(A22="","",IF(AND(G22&lt;&gt;"",G22&lt;TODAY(),E22&lt;&gt;"Completed"),"Yes",""))</f>
        <v/>
      </c>
      <c r="N22" s="55">
        <f>IF(M22&lt;&gt;"Yes","",COUNTIF($M$5:M22,"Yes"))</f>
        <v/>
      </c>
      <c r="O22" s="55">
        <f>IF(OR(A22="",E22="Completed",G22="",G22&lt;TODAY(),G22&gt;TODAY()+14),"",COUNTIFS($G$5:G22,"&gt;="&amp;TODAY(),$G$5:G22,"&lt;="&amp;TODAY()+14,$E$5:E22,"&lt;&gt;Completed",$A$5:A22,"&lt;&gt;"))</f>
        <v/>
      </c>
      <c r="P22" s="56">
        <f>IF(A22="","",IF(E22="Completed",1,N(H22)))</f>
        <v/>
      </c>
    </row>
    <row r="23" ht="17" customHeight="1">
      <c r="A23" s="50" t="inlineStr">
        <is>
          <t>Competitive scan</t>
        </is>
      </c>
      <c r="B23" s="50" t="inlineStr">
        <is>
          <t>Brand Guidelines</t>
        </is>
      </c>
      <c r="C23" s="50" t="inlineStr">
        <is>
          <t>Riley Patel</t>
        </is>
      </c>
      <c r="D23" s="51" t="inlineStr">
        <is>
          <t>Low</t>
        </is>
      </c>
      <c r="E23" s="51" t="inlineStr">
        <is>
          <t>Not Started</t>
        </is>
      </c>
      <c r="F23" s="52" t="n">
        <v>46266</v>
      </c>
      <c r="G23" s="52" t="n">
        <v>46277</v>
      </c>
      <c r="H23" s="53" t="n">
        <v>0</v>
      </c>
      <c r="I23" s="51" t="n">
        <v>8</v>
      </c>
      <c r="J23" s="51" t="n"/>
      <c r="K23" s="50" t="inlineStr"/>
      <c r="L23" s="54">
        <f>IF(OR(A23="",G23=""),"",G23-TODAY())</f>
        <v/>
      </c>
      <c r="M23" s="54">
        <f>IF(A23="","",IF(AND(G23&lt;&gt;"",G23&lt;TODAY(),E23&lt;&gt;"Completed"),"Yes",""))</f>
        <v/>
      </c>
      <c r="N23" s="55">
        <f>IF(M23&lt;&gt;"Yes","",COUNTIF($M$5:M23,"Yes"))</f>
        <v/>
      </c>
      <c r="O23" s="55">
        <f>IF(OR(A23="",E23="Completed",G23="",G23&lt;TODAY(),G23&gt;TODAY()+14),"",COUNTIFS($G$5:G23,"&gt;="&amp;TODAY(),$G$5:G23,"&lt;="&amp;TODAY()+14,$E$5:E23,"&lt;&gt;Completed",$A$5:A23,"&lt;&gt;"))</f>
        <v/>
      </c>
      <c r="P23" s="56">
        <f>IF(A23="","",IF(E23="Completed",1,N(H23)))</f>
        <v/>
      </c>
    </row>
    <row r="24" ht="17" customHeight="1">
      <c r="A24" s="50" t="inlineStr">
        <is>
          <t>Type and color system</t>
        </is>
      </c>
      <c r="B24" s="50" t="inlineStr">
        <is>
          <t>Brand Guidelines</t>
        </is>
      </c>
      <c r="C24" s="50" t="inlineStr">
        <is>
          <t>Riley Patel</t>
        </is>
      </c>
      <c r="D24" s="51" t="inlineStr">
        <is>
          <t>Medium</t>
        </is>
      </c>
      <c r="E24" s="51" t="inlineStr">
        <is>
          <t>Not Started</t>
        </is>
      </c>
      <c r="F24" s="52" t="n">
        <v>46280</v>
      </c>
      <c r="G24" s="52" t="n">
        <v>46298</v>
      </c>
      <c r="H24" s="53" t="n">
        <v>0</v>
      </c>
      <c r="I24" s="51" t="n">
        <v>16</v>
      </c>
      <c r="J24" s="51" t="n"/>
      <c r="K24" s="50" t="inlineStr"/>
      <c r="L24" s="54">
        <f>IF(OR(A24="",G24=""),"",G24-TODAY())</f>
        <v/>
      </c>
      <c r="M24" s="54">
        <f>IF(A24="","",IF(AND(G24&lt;&gt;"",G24&lt;TODAY(),E24&lt;&gt;"Completed"),"Yes",""))</f>
        <v/>
      </c>
      <c r="N24" s="55">
        <f>IF(M24&lt;&gt;"Yes","",COUNTIF($M$5:M24,"Yes"))</f>
        <v/>
      </c>
      <c r="O24" s="55">
        <f>IF(OR(A24="",E24="Completed",G24="",G24&lt;TODAY(),G24&gt;TODAY()+14),"",COUNTIFS($G$5:G24,"&gt;="&amp;TODAY(),$G$5:G24,"&lt;="&amp;TODAY()+14,$E$5:E24,"&lt;&gt;Completed",$A$5:A24,"&lt;&gt;"))</f>
        <v/>
      </c>
      <c r="P24" s="56">
        <f>IF(A24="","",IF(E24="Completed",1,N(H24)))</f>
        <v/>
      </c>
    </row>
    <row r="25" ht="17" customHeight="1">
      <c r="A25" s="50" t="inlineStr">
        <is>
          <t>Component examples</t>
        </is>
      </c>
      <c r="B25" s="50" t="inlineStr">
        <is>
          <t>Brand Guidelines</t>
        </is>
      </c>
      <c r="C25" s="50" t="inlineStr">
        <is>
          <t>Jordan Blake</t>
        </is>
      </c>
      <c r="D25" s="51" t="inlineStr">
        <is>
          <t>Low</t>
        </is>
      </c>
      <c r="E25" s="51" t="inlineStr">
        <is>
          <t>Not Started</t>
        </is>
      </c>
      <c r="F25" s="52" t="n">
        <v>46301</v>
      </c>
      <c r="G25" s="52" t="n">
        <v>46319</v>
      </c>
      <c r="H25" s="53" t="n">
        <v>0</v>
      </c>
      <c r="I25" s="51" t="n">
        <v>12</v>
      </c>
      <c r="J25" s="51" t="n"/>
      <c r="K25" s="50" t="inlineStr"/>
      <c r="L25" s="54">
        <f>IF(OR(A25="",G25=""),"",G25-TODAY())</f>
        <v/>
      </c>
      <c r="M25" s="54">
        <f>IF(A25="","",IF(AND(G25&lt;&gt;"",G25&lt;TODAY(),E25&lt;&gt;"Completed"),"Yes",""))</f>
        <v/>
      </c>
      <c r="N25" s="55">
        <f>IF(M25&lt;&gt;"Yes","",COUNTIF($M$5:M25,"Yes"))</f>
        <v/>
      </c>
      <c r="O25" s="55">
        <f>IF(OR(A25="",E25="Completed",G25="",G25&lt;TODAY(),G25&gt;TODAY()+14),"",COUNTIFS($G$5:G25,"&gt;="&amp;TODAY(),$G$5:G25,"&lt;="&amp;TODAY()+14,$E$5:E25,"&lt;&gt;Completed",$A$5:A25,"&lt;&gt;"))</f>
        <v/>
      </c>
      <c r="P25" s="56">
        <f>IF(A25="","",IF(E25="Completed",1,N(H25)))</f>
        <v/>
      </c>
    </row>
    <row r="26" ht="17" customHeight="1">
      <c r="A26" s="50" t="inlineStr">
        <is>
          <t>Internal review deck</t>
        </is>
      </c>
      <c r="B26" s="50" t="inlineStr">
        <is>
          <t>Brand Guidelines</t>
        </is>
      </c>
      <c r="C26" s="50" t="inlineStr">
        <is>
          <t>Riley Patel</t>
        </is>
      </c>
      <c r="D26" s="51" t="inlineStr">
        <is>
          <t>Low</t>
        </is>
      </c>
      <c r="E26" s="51" t="inlineStr">
        <is>
          <t>Not Started</t>
        </is>
      </c>
      <c r="F26" s="52" t="n">
        <v>46315</v>
      </c>
      <c r="G26" s="52" t="n">
        <v>46326</v>
      </c>
      <c r="H26" s="53" t="n">
        <v>0</v>
      </c>
      <c r="I26" s="51" t="n">
        <v>6</v>
      </c>
      <c r="J26" s="51" t="n"/>
      <c r="K26" s="50" t="inlineStr"/>
      <c r="L26" s="54">
        <f>IF(OR(A26="",G26=""),"",G26-TODAY())</f>
        <v/>
      </c>
      <c r="M26" s="54">
        <f>IF(A26="","",IF(AND(G26&lt;&gt;"",G26&lt;TODAY(),E26&lt;&gt;"Completed"),"Yes",""))</f>
        <v/>
      </c>
      <c r="N26" s="55">
        <f>IF(M26&lt;&gt;"Yes","",COUNTIF($M$5:M26,"Yes"))</f>
        <v/>
      </c>
      <c r="O26" s="55">
        <f>IF(OR(A26="",E26="Completed",G26="",G26&lt;TODAY(),G26&gt;TODAY()+14),"",COUNTIFS($G$5:G26,"&gt;="&amp;TODAY(),$G$5:G26,"&lt;="&amp;TODAY()+14,$E$5:E26,"&lt;&gt;Completed",$A$5:A26,"&lt;&gt;"))</f>
        <v/>
      </c>
      <c r="P26" s="56">
        <f>IF(A26="","",IF(E26="Completed",1,N(H26)))</f>
        <v/>
      </c>
    </row>
    <row r="27" ht="17" customHeight="1">
      <c r="A27" s="50" t="n"/>
      <c r="B27" s="50" t="n"/>
      <c r="C27" s="50" t="n"/>
      <c r="D27" s="51" t="n"/>
      <c r="E27" s="51" t="n"/>
      <c r="F27" s="52" t="n"/>
      <c r="G27" s="52" t="n"/>
      <c r="H27" s="53" t="n"/>
      <c r="I27" s="51" t="n"/>
      <c r="J27" s="51" t="n"/>
      <c r="K27" s="50" t="n"/>
      <c r="L27" s="54">
        <f>IF(OR(A27="",G27=""),"",G27-TODAY())</f>
        <v/>
      </c>
      <c r="M27" s="54">
        <f>IF(A27="","",IF(AND(G27&lt;&gt;"",G27&lt;TODAY(),E27&lt;&gt;"Completed"),"Yes",""))</f>
        <v/>
      </c>
      <c r="N27" s="55">
        <f>IF(M27&lt;&gt;"Yes","",COUNTIF($M$5:M27,"Yes"))</f>
        <v/>
      </c>
      <c r="O27" s="55">
        <f>IF(OR(A27="",E27="Completed",G27="",G27&lt;TODAY(),G27&gt;TODAY()+14),"",COUNTIFS($G$5:G27,"&gt;="&amp;TODAY(),$G$5:G27,"&lt;="&amp;TODAY()+14,$E$5:E27,"&lt;&gt;Completed",$A$5:A27,"&lt;&gt;"))</f>
        <v/>
      </c>
      <c r="P27" s="56">
        <f>IF(A27="","",IF(E27="Completed",1,N(H27)))</f>
        <v/>
      </c>
    </row>
    <row r="28" ht="17" customHeight="1">
      <c r="A28" s="50" t="n"/>
      <c r="B28" s="50" t="n"/>
      <c r="C28" s="50" t="n"/>
      <c r="D28" s="51" t="n"/>
      <c r="E28" s="51" t="n"/>
      <c r="F28" s="52" t="n"/>
      <c r="G28" s="52" t="n"/>
      <c r="H28" s="53" t="n"/>
      <c r="I28" s="51" t="n"/>
      <c r="J28" s="51" t="n"/>
      <c r="K28" s="50" t="n"/>
      <c r="L28" s="54">
        <f>IF(OR(A28="",G28=""),"",G28-TODAY())</f>
        <v/>
      </c>
      <c r="M28" s="54">
        <f>IF(A28="","",IF(AND(G28&lt;&gt;"",G28&lt;TODAY(),E28&lt;&gt;"Completed"),"Yes",""))</f>
        <v/>
      </c>
      <c r="N28" s="55">
        <f>IF(M28&lt;&gt;"Yes","",COUNTIF($M$5:M28,"Yes"))</f>
        <v/>
      </c>
      <c r="O28" s="55">
        <f>IF(OR(A28="",E28="Completed",G28="",G28&lt;TODAY(),G28&gt;TODAY()+14),"",COUNTIFS($G$5:G28,"&gt;="&amp;TODAY(),$G$5:G28,"&lt;="&amp;TODAY()+14,$E$5:E28,"&lt;&gt;Completed",$A$5:A28,"&lt;&gt;"))</f>
        <v/>
      </c>
      <c r="P28" s="56">
        <f>IF(A28="","",IF(E28="Completed",1,N(H28)))</f>
        <v/>
      </c>
    </row>
    <row r="29" ht="17" customHeight="1">
      <c r="A29" s="50" t="n"/>
      <c r="B29" s="50" t="n"/>
      <c r="C29" s="50" t="n"/>
      <c r="D29" s="51" t="n"/>
      <c r="E29" s="51" t="n"/>
      <c r="F29" s="52" t="n"/>
      <c r="G29" s="52" t="n"/>
      <c r="H29" s="53" t="n"/>
      <c r="I29" s="51" t="n"/>
      <c r="J29" s="51" t="n"/>
      <c r="K29" s="50" t="n"/>
      <c r="L29" s="54">
        <f>IF(OR(A29="",G29=""),"",G29-TODAY())</f>
        <v/>
      </c>
      <c r="M29" s="54">
        <f>IF(A29="","",IF(AND(G29&lt;&gt;"",G29&lt;TODAY(),E29&lt;&gt;"Completed"),"Yes",""))</f>
        <v/>
      </c>
      <c r="N29" s="55">
        <f>IF(M29&lt;&gt;"Yes","",COUNTIF($M$5:M29,"Yes"))</f>
        <v/>
      </c>
      <c r="O29" s="55">
        <f>IF(OR(A29="",E29="Completed",G29="",G29&lt;TODAY(),G29&gt;TODAY()+14),"",COUNTIFS($G$5:G29,"&gt;="&amp;TODAY(),$G$5:G29,"&lt;="&amp;TODAY()+14,$E$5:E29,"&lt;&gt;Completed",$A$5:A29,"&lt;&gt;"))</f>
        <v/>
      </c>
      <c r="P29" s="56">
        <f>IF(A29="","",IF(E29="Completed",1,N(H29)))</f>
        <v/>
      </c>
    </row>
    <row r="30" ht="17" customHeight="1">
      <c r="A30" s="50" t="n"/>
      <c r="B30" s="50" t="n"/>
      <c r="C30" s="50" t="n"/>
      <c r="D30" s="51" t="n"/>
      <c r="E30" s="51" t="n"/>
      <c r="F30" s="52" t="n"/>
      <c r="G30" s="52" t="n"/>
      <c r="H30" s="53" t="n"/>
      <c r="I30" s="51" t="n"/>
      <c r="J30" s="51" t="n"/>
      <c r="K30" s="50" t="n"/>
      <c r="L30" s="54">
        <f>IF(OR(A30="",G30=""),"",G30-TODAY())</f>
        <v/>
      </c>
      <c r="M30" s="54">
        <f>IF(A30="","",IF(AND(G30&lt;&gt;"",G30&lt;TODAY(),E30&lt;&gt;"Completed"),"Yes",""))</f>
        <v/>
      </c>
      <c r="N30" s="55">
        <f>IF(M30&lt;&gt;"Yes","",COUNTIF($M$5:M30,"Yes"))</f>
        <v/>
      </c>
      <c r="O30" s="55">
        <f>IF(OR(A30="",E30="Completed",G30="",G30&lt;TODAY(),G30&gt;TODAY()+14),"",COUNTIFS($G$5:G30,"&gt;="&amp;TODAY(),$G$5:G30,"&lt;="&amp;TODAY()+14,$E$5:E30,"&lt;&gt;Completed",$A$5:A30,"&lt;&gt;"))</f>
        <v/>
      </c>
      <c r="P30" s="56">
        <f>IF(A30="","",IF(E30="Completed",1,N(H30)))</f>
        <v/>
      </c>
    </row>
    <row r="31" ht="17" customHeight="1">
      <c r="A31" s="50" t="n"/>
      <c r="B31" s="50" t="n"/>
      <c r="C31" s="50" t="n"/>
      <c r="D31" s="51" t="n"/>
      <c r="E31" s="51" t="n"/>
      <c r="F31" s="52" t="n"/>
      <c r="G31" s="52" t="n"/>
      <c r="H31" s="53" t="n"/>
      <c r="I31" s="51" t="n"/>
      <c r="J31" s="51" t="n"/>
      <c r="K31" s="50" t="n"/>
      <c r="L31" s="54">
        <f>IF(OR(A31="",G31=""),"",G31-TODAY())</f>
        <v/>
      </c>
      <c r="M31" s="54">
        <f>IF(A31="","",IF(AND(G31&lt;&gt;"",G31&lt;TODAY(),E31&lt;&gt;"Completed"),"Yes",""))</f>
        <v/>
      </c>
      <c r="N31" s="55">
        <f>IF(M31&lt;&gt;"Yes","",COUNTIF($M$5:M31,"Yes"))</f>
        <v/>
      </c>
      <c r="O31" s="55">
        <f>IF(OR(A31="",E31="Completed",G31="",G31&lt;TODAY(),G31&gt;TODAY()+14),"",COUNTIFS($G$5:G31,"&gt;="&amp;TODAY(),$G$5:G31,"&lt;="&amp;TODAY()+14,$E$5:E31,"&lt;&gt;Completed",$A$5:A31,"&lt;&gt;"))</f>
        <v/>
      </c>
      <c r="P31" s="56">
        <f>IF(A31="","",IF(E31="Completed",1,N(H31)))</f>
        <v/>
      </c>
    </row>
    <row r="32" ht="17" customHeight="1">
      <c r="A32" s="50" t="n"/>
      <c r="B32" s="50" t="n"/>
      <c r="C32" s="50" t="n"/>
      <c r="D32" s="51" t="n"/>
      <c r="E32" s="51" t="n"/>
      <c r="F32" s="52" t="n"/>
      <c r="G32" s="52" t="n"/>
      <c r="H32" s="53" t="n"/>
      <c r="I32" s="51" t="n"/>
      <c r="J32" s="51" t="n"/>
      <c r="K32" s="50" t="n"/>
      <c r="L32" s="54">
        <f>IF(OR(A32="",G32=""),"",G32-TODAY())</f>
        <v/>
      </c>
      <c r="M32" s="54">
        <f>IF(A32="","",IF(AND(G32&lt;&gt;"",G32&lt;TODAY(),E32&lt;&gt;"Completed"),"Yes",""))</f>
        <v/>
      </c>
      <c r="N32" s="55">
        <f>IF(M32&lt;&gt;"Yes","",COUNTIF($M$5:M32,"Yes"))</f>
        <v/>
      </c>
      <c r="O32" s="55">
        <f>IF(OR(A32="",E32="Completed",G32="",G32&lt;TODAY(),G32&gt;TODAY()+14),"",COUNTIFS($G$5:G32,"&gt;="&amp;TODAY(),$G$5:G32,"&lt;="&amp;TODAY()+14,$E$5:E32,"&lt;&gt;Completed",$A$5:A32,"&lt;&gt;"))</f>
        <v/>
      </c>
      <c r="P32" s="56">
        <f>IF(A32="","",IF(E32="Completed",1,N(H32)))</f>
        <v/>
      </c>
    </row>
    <row r="33" ht="17" customHeight="1">
      <c r="A33" s="50" t="n"/>
      <c r="B33" s="50" t="n"/>
      <c r="C33" s="50" t="n"/>
      <c r="D33" s="51" t="n"/>
      <c r="E33" s="51" t="n"/>
      <c r="F33" s="52" t="n"/>
      <c r="G33" s="52" t="n"/>
      <c r="H33" s="53" t="n"/>
      <c r="I33" s="51" t="n"/>
      <c r="J33" s="51" t="n"/>
      <c r="K33" s="50" t="n"/>
      <c r="L33" s="54">
        <f>IF(OR(A33="",G33=""),"",G33-TODAY())</f>
        <v/>
      </c>
      <c r="M33" s="54">
        <f>IF(A33="","",IF(AND(G33&lt;&gt;"",G33&lt;TODAY(),E33&lt;&gt;"Completed"),"Yes",""))</f>
        <v/>
      </c>
      <c r="N33" s="55">
        <f>IF(M33&lt;&gt;"Yes","",COUNTIF($M$5:M33,"Yes"))</f>
        <v/>
      </c>
      <c r="O33" s="55">
        <f>IF(OR(A33="",E33="Completed",G33="",G33&lt;TODAY(),G33&gt;TODAY()+14),"",COUNTIFS($G$5:G33,"&gt;="&amp;TODAY(),$G$5:G33,"&lt;="&amp;TODAY()+14,$E$5:E33,"&lt;&gt;Completed",$A$5:A33,"&lt;&gt;"))</f>
        <v/>
      </c>
      <c r="P33" s="56">
        <f>IF(A33="","",IF(E33="Completed",1,N(H33)))</f>
        <v/>
      </c>
    </row>
    <row r="34" ht="17" customHeight="1">
      <c r="A34" s="50" t="n"/>
      <c r="B34" s="50" t="n"/>
      <c r="C34" s="50" t="n"/>
      <c r="D34" s="51" t="n"/>
      <c r="E34" s="51" t="n"/>
      <c r="F34" s="52" t="n"/>
      <c r="G34" s="52" t="n"/>
      <c r="H34" s="53" t="n"/>
      <c r="I34" s="51" t="n"/>
      <c r="J34" s="51" t="n"/>
      <c r="K34" s="50" t="n"/>
      <c r="L34" s="54">
        <f>IF(OR(A34="",G34=""),"",G34-TODAY())</f>
        <v/>
      </c>
      <c r="M34" s="54">
        <f>IF(A34="","",IF(AND(G34&lt;&gt;"",G34&lt;TODAY(),E34&lt;&gt;"Completed"),"Yes",""))</f>
        <v/>
      </c>
      <c r="N34" s="55">
        <f>IF(M34&lt;&gt;"Yes","",COUNTIF($M$5:M34,"Yes"))</f>
        <v/>
      </c>
      <c r="O34" s="55">
        <f>IF(OR(A34="",E34="Completed",G34="",G34&lt;TODAY(),G34&gt;TODAY()+14),"",COUNTIFS($G$5:G34,"&gt;="&amp;TODAY(),$G$5:G34,"&lt;="&amp;TODAY()+14,$E$5:E34,"&lt;&gt;Completed",$A$5:A34,"&lt;&gt;"))</f>
        <v/>
      </c>
      <c r="P34" s="56">
        <f>IF(A34="","",IF(E34="Completed",1,N(H34)))</f>
        <v/>
      </c>
    </row>
    <row r="35" ht="17" customHeight="1">
      <c r="A35" s="50" t="n"/>
      <c r="B35" s="50" t="n"/>
      <c r="C35" s="50" t="n"/>
      <c r="D35" s="51" t="n"/>
      <c r="E35" s="51" t="n"/>
      <c r="F35" s="52" t="n"/>
      <c r="G35" s="52" t="n"/>
      <c r="H35" s="53" t="n"/>
      <c r="I35" s="51" t="n"/>
      <c r="J35" s="51" t="n"/>
      <c r="K35" s="50" t="n"/>
      <c r="L35" s="54">
        <f>IF(OR(A35="",G35=""),"",G35-TODAY())</f>
        <v/>
      </c>
      <c r="M35" s="54">
        <f>IF(A35="","",IF(AND(G35&lt;&gt;"",G35&lt;TODAY(),E35&lt;&gt;"Completed"),"Yes",""))</f>
        <v/>
      </c>
      <c r="N35" s="55">
        <f>IF(M35&lt;&gt;"Yes","",COUNTIF($M$5:M35,"Yes"))</f>
        <v/>
      </c>
      <c r="O35" s="55">
        <f>IF(OR(A35="",E35="Completed",G35="",G35&lt;TODAY(),G35&gt;TODAY()+14),"",COUNTIFS($G$5:G35,"&gt;="&amp;TODAY(),$G$5:G35,"&lt;="&amp;TODAY()+14,$E$5:E35,"&lt;&gt;Completed",$A$5:A35,"&lt;&gt;"))</f>
        <v/>
      </c>
      <c r="P35" s="56">
        <f>IF(A35="","",IF(E35="Completed",1,N(H35)))</f>
        <v/>
      </c>
    </row>
    <row r="36" ht="17" customHeight="1">
      <c r="A36" s="50" t="n"/>
      <c r="B36" s="50" t="n"/>
      <c r="C36" s="50" t="n"/>
      <c r="D36" s="51" t="n"/>
      <c r="E36" s="51" t="n"/>
      <c r="F36" s="52" t="n"/>
      <c r="G36" s="52" t="n"/>
      <c r="H36" s="53" t="n"/>
      <c r="I36" s="51" t="n"/>
      <c r="J36" s="51" t="n"/>
      <c r="K36" s="50" t="n"/>
      <c r="L36" s="54">
        <f>IF(OR(A36="",G36=""),"",G36-TODAY())</f>
        <v/>
      </c>
      <c r="M36" s="54">
        <f>IF(A36="","",IF(AND(G36&lt;&gt;"",G36&lt;TODAY(),E36&lt;&gt;"Completed"),"Yes",""))</f>
        <v/>
      </c>
      <c r="N36" s="55">
        <f>IF(M36&lt;&gt;"Yes","",COUNTIF($M$5:M36,"Yes"))</f>
        <v/>
      </c>
      <c r="O36" s="55">
        <f>IF(OR(A36="",E36="Completed",G36="",G36&lt;TODAY(),G36&gt;TODAY()+14),"",COUNTIFS($G$5:G36,"&gt;="&amp;TODAY(),$G$5:G36,"&lt;="&amp;TODAY()+14,$E$5:E36,"&lt;&gt;Completed",$A$5:A36,"&lt;&gt;"))</f>
        <v/>
      </c>
      <c r="P36" s="56">
        <f>IF(A36="","",IF(E36="Completed",1,N(H36)))</f>
        <v/>
      </c>
    </row>
    <row r="37" ht="17" customHeight="1">
      <c r="A37" s="50" t="n"/>
      <c r="B37" s="50" t="n"/>
      <c r="C37" s="50" t="n"/>
      <c r="D37" s="51" t="n"/>
      <c r="E37" s="51" t="n"/>
      <c r="F37" s="52" t="n"/>
      <c r="G37" s="52" t="n"/>
      <c r="H37" s="53" t="n"/>
      <c r="I37" s="51" t="n"/>
      <c r="J37" s="51" t="n"/>
      <c r="K37" s="50" t="n"/>
      <c r="L37" s="54">
        <f>IF(OR(A37="",G37=""),"",G37-TODAY())</f>
        <v/>
      </c>
      <c r="M37" s="54">
        <f>IF(A37="","",IF(AND(G37&lt;&gt;"",G37&lt;TODAY(),E37&lt;&gt;"Completed"),"Yes",""))</f>
        <v/>
      </c>
      <c r="N37" s="55">
        <f>IF(M37&lt;&gt;"Yes","",COUNTIF($M$5:M37,"Yes"))</f>
        <v/>
      </c>
      <c r="O37" s="55">
        <f>IF(OR(A37="",E37="Completed",G37="",G37&lt;TODAY(),G37&gt;TODAY()+14),"",COUNTIFS($G$5:G37,"&gt;="&amp;TODAY(),$G$5:G37,"&lt;="&amp;TODAY()+14,$E$5:E37,"&lt;&gt;Completed",$A$5:A37,"&lt;&gt;"))</f>
        <v/>
      </c>
      <c r="P37" s="56">
        <f>IF(A37="","",IF(E37="Completed",1,N(H37)))</f>
        <v/>
      </c>
    </row>
    <row r="38" ht="17" customHeight="1">
      <c r="A38" s="50" t="n"/>
      <c r="B38" s="50" t="n"/>
      <c r="C38" s="50" t="n"/>
      <c r="D38" s="51" t="n"/>
      <c r="E38" s="51" t="n"/>
      <c r="F38" s="52" t="n"/>
      <c r="G38" s="52" t="n"/>
      <c r="H38" s="53" t="n"/>
      <c r="I38" s="51" t="n"/>
      <c r="J38" s="51" t="n"/>
      <c r="K38" s="50" t="n"/>
      <c r="L38" s="54">
        <f>IF(OR(A38="",G38=""),"",G38-TODAY())</f>
        <v/>
      </c>
      <c r="M38" s="54">
        <f>IF(A38="","",IF(AND(G38&lt;&gt;"",G38&lt;TODAY(),E38&lt;&gt;"Completed"),"Yes",""))</f>
        <v/>
      </c>
      <c r="N38" s="55">
        <f>IF(M38&lt;&gt;"Yes","",COUNTIF($M$5:M38,"Yes"))</f>
        <v/>
      </c>
      <c r="O38" s="55">
        <f>IF(OR(A38="",E38="Completed",G38="",G38&lt;TODAY(),G38&gt;TODAY()+14),"",COUNTIFS($G$5:G38,"&gt;="&amp;TODAY(),$G$5:G38,"&lt;="&amp;TODAY()+14,$E$5:E38,"&lt;&gt;Completed",$A$5:A38,"&lt;&gt;"))</f>
        <v/>
      </c>
      <c r="P38" s="56">
        <f>IF(A38="","",IF(E38="Completed",1,N(H38)))</f>
        <v/>
      </c>
    </row>
    <row r="39" ht="17" customHeight="1">
      <c r="A39" s="50" t="n"/>
      <c r="B39" s="50" t="n"/>
      <c r="C39" s="50" t="n"/>
      <c r="D39" s="51" t="n"/>
      <c r="E39" s="51" t="n"/>
      <c r="F39" s="52" t="n"/>
      <c r="G39" s="52" t="n"/>
      <c r="H39" s="53" t="n"/>
      <c r="I39" s="51" t="n"/>
      <c r="J39" s="51" t="n"/>
      <c r="K39" s="50" t="n"/>
      <c r="L39" s="54">
        <f>IF(OR(A39="",G39=""),"",G39-TODAY())</f>
        <v/>
      </c>
      <c r="M39" s="54">
        <f>IF(A39="","",IF(AND(G39&lt;&gt;"",G39&lt;TODAY(),E39&lt;&gt;"Completed"),"Yes",""))</f>
        <v/>
      </c>
      <c r="N39" s="55">
        <f>IF(M39&lt;&gt;"Yes","",COUNTIF($M$5:M39,"Yes"))</f>
        <v/>
      </c>
      <c r="O39" s="55">
        <f>IF(OR(A39="",E39="Completed",G39="",G39&lt;TODAY(),G39&gt;TODAY()+14),"",COUNTIFS($G$5:G39,"&gt;="&amp;TODAY(),$G$5:G39,"&lt;="&amp;TODAY()+14,$E$5:E39,"&lt;&gt;Completed",$A$5:A39,"&lt;&gt;"))</f>
        <v/>
      </c>
      <c r="P39" s="56">
        <f>IF(A39="","",IF(E39="Completed",1,N(H39)))</f>
        <v/>
      </c>
    </row>
    <row r="40" ht="17" customHeight="1">
      <c r="A40" s="50" t="n"/>
      <c r="B40" s="50" t="n"/>
      <c r="C40" s="50" t="n"/>
      <c r="D40" s="51" t="n"/>
      <c r="E40" s="51" t="n"/>
      <c r="F40" s="52" t="n"/>
      <c r="G40" s="52" t="n"/>
      <c r="H40" s="53" t="n"/>
      <c r="I40" s="51" t="n"/>
      <c r="J40" s="51" t="n"/>
      <c r="K40" s="50" t="n"/>
      <c r="L40" s="54">
        <f>IF(OR(A40="",G40=""),"",G40-TODAY())</f>
        <v/>
      </c>
      <c r="M40" s="54">
        <f>IF(A40="","",IF(AND(G40&lt;&gt;"",G40&lt;TODAY(),E40&lt;&gt;"Completed"),"Yes",""))</f>
        <v/>
      </c>
      <c r="N40" s="55">
        <f>IF(M40&lt;&gt;"Yes","",COUNTIF($M$5:M40,"Yes"))</f>
        <v/>
      </c>
      <c r="O40" s="55">
        <f>IF(OR(A40="",E40="Completed",G40="",G40&lt;TODAY(),G40&gt;TODAY()+14),"",COUNTIFS($G$5:G40,"&gt;="&amp;TODAY(),$G$5:G40,"&lt;="&amp;TODAY()+14,$E$5:E40,"&lt;&gt;Completed",$A$5:A40,"&lt;&gt;"))</f>
        <v/>
      </c>
      <c r="P40" s="56">
        <f>IF(A40="","",IF(E40="Completed",1,N(H40)))</f>
        <v/>
      </c>
    </row>
    <row r="41" ht="17" customHeight="1">
      <c r="A41" s="50" t="n"/>
      <c r="B41" s="50" t="n"/>
      <c r="C41" s="50" t="n"/>
      <c r="D41" s="51" t="n"/>
      <c r="E41" s="51" t="n"/>
      <c r="F41" s="52" t="n"/>
      <c r="G41" s="52" t="n"/>
      <c r="H41" s="53" t="n"/>
      <c r="I41" s="51" t="n"/>
      <c r="J41" s="51" t="n"/>
      <c r="K41" s="50" t="n"/>
      <c r="L41" s="54">
        <f>IF(OR(A41="",G41=""),"",G41-TODAY())</f>
        <v/>
      </c>
      <c r="M41" s="54">
        <f>IF(A41="","",IF(AND(G41&lt;&gt;"",G41&lt;TODAY(),E41&lt;&gt;"Completed"),"Yes",""))</f>
        <v/>
      </c>
      <c r="N41" s="55">
        <f>IF(M41&lt;&gt;"Yes","",COUNTIF($M$5:M41,"Yes"))</f>
        <v/>
      </c>
      <c r="O41" s="55">
        <f>IF(OR(A41="",E41="Completed",G41="",G41&lt;TODAY(),G41&gt;TODAY()+14),"",COUNTIFS($G$5:G41,"&gt;="&amp;TODAY(),$G$5:G41,"&lt;="&amp;TODAY()+14,$E$5:E41,"&lt;&gt;Completed",$A$5:A41,"&lt;&gt;"))</f>
        <v/>
      </c>
      <c r="P41" s="56">
        <f>IF(A41="","",IF(E41="Completed",1,N(H41)))</f>
        <v/>
      </c>
    </row>
    <row r="42" ht="17" customHeight="1">
      <c r="A42" s="50" t="n"/>
      <c r="B42" s="50" t="n"/>
      <c r="C42" s="50" t="n"/>
      <c r="D42" s="51" t="n"/>
      <c r="E42" s="51" t="n"/>
      <c r="F42" s="52" t="n"/>
      <c r="G42" s="52" t="n"/>
      <c r="H42" s="53" t="n"/>
      <c r="I42" s="51" t="n"/>
      <c r="J42" s="51" t="n"/>
      <c r="K42" s="50" t="n"/>
      <c r="L42" s="54">
        <f>IF(OR(A42="",G42=""),"",G42-TODAY())</f>
        <v/>
      </c>
      <c r="M42" s="54">
        <f>IF(A42="","",IF(AND(G42&lt;&gt;"",G42&lt;TODAY(),E42&lt;&gt;"Completed"),"Yes",""))</f>
        <v/>
      </c>
      <c r="N42" s="55">
        <f>IF(M42&lt;&gt;"Yes","",COUNTIF($M$5:M42,"Yes"))</f>
        <v/>
      </c>
      <c r="O42" s="55">
        <f>IF(OR(A42="",E42="Completed",G42="",G42&lt;TODAY(),G42&gt;TODAY()+14),"",COUNTIFS($G$5:G42,"&gt;="&amp;TODAY(),$G$5:G42,"&lt;="&amp;TODAY()+14,$E$5:E42,"&lt;&gt;Completed",$A$5:A42,"&lt;&gt;"))</f>
        <v/>
      </c>
      <c r="P42" s="56">
        <f>IF(A42="","",IF(E42="Completed",1,N(H42)))</f>
        <v/>
      </c>
    </row>
    <row r="43" ht="17" customHeight="1">
      <c r="A43" s="50" t="n"/>
      <c r="B43" s="50" t="n"/>
      <c r="C43" s="50" t="n"/>
      <c r="D43" s="51" t="n"/>
      <c r="E43" s="51" t="n"/>
      <c r="F43" s="52" t="n"/>
      <c r="G43" s="52" t="n"/>
      <c r="H43" s="53" t="n"/>
      <c r="I43" s="51" t="n"/>
      <c r="J43" s="51" t="n"/>
      <c r="K43" s="50" t="n"/>
      <c r="L43" s="54">
        <f>IF(OR(A43="",G43=""),"",G43-TODAY())</f>
        <v/>
      </c>
      <c r="M43" s="54">
        <f>IF(A43="","",IF(AND(G43&lt;&gt;"",G43&lt;TODAY(),E43&lt;&gt;"Completed"),"Yes",""))</f>
        <v/>
      </c>
      <c r="N43" s="55">
        <f>IF(M43&lt;&gt;"Yes","",COUNTIF($M$5:M43,"Yes"))</f>
        <v/>
      </c>
      <c r="O43" s="55">
        <f>IF(OR(A43="",E43="Completed",G43="",G43&lt;TODAY(),G43&gt;TODAY()+14),"",COUNTIFS($G$5:G43,"&gt;="&amp;TODAY(),$G$5:G43,"&lt;="&amp;TODAY()+14,$E$5:E43,"&lt;&gt;Completed",$A$5:A43,"&lt;&gt;"))</f>
        <v/>
      </c>
      <c r="P43" s="56">
        <f>IF(A43="","",IF(E43="Completed",1,N(H43)))</f>
        <v/>
      </c>
    </row>
    <row r="44" ht="17" customHeight="1">
      <c r="A44" s="50" t="n"/>
      <c r="B44" s="50" t="n"/>
      <c r="C44" s="50" t="n"/>
      <c r="D44" s="51" t="n"/>
      <c r="E44" s="51" t="n"/>
      <c r="F44" s="52" t="n"/>
      <c r="G44" s="52" t="n"/>
      <c r="H44" s="53" t="n"/>
      <c r="I44" s="51" t="n"/>
      <c r="J44" s="51" t="n"/>
      <c r="K44" s="50" t="n"/>
      <c r="L44" s="54">
        <f>IF(OR(A44="",G44=""),"",G44-TODAY())</f>
        <v/>
      </c>
      <c r="M44" s="54">
        <f>IF(A44="","",IF(AND(G44&lt;&gt;"",G44&lt;TODAY(),E44&lt;&gt;"Completed"),"Yes",""))</f>
        <v/>
      </c>
      <c r="N44" s="55">
        <f>IF(M44&lt;&gt;"Yes","",COUNTIF($M$5:M44,"Yes"))</f>
        <v/>
      </c>
      <c r="O44" s="55">
        <f>IF(OR(A44="",E44="Completed",G44="",G44&lt;TODAY(),G44&gt;TODAY()+14),"",COUNTIFS($G$5:G44,"&gt;="&amp;TODAY(),$G$5:G44,"&lt;="&amp;TODAY()+14,$E$5:E44,"&lt;&gt;Completed",$A$5:A44,"&lt;&gt;"))</f>
        <v/>
      </c>
      <c r="P44" s="56">
        <f>IF(A44="","",IF(E44="Completed",1,N(H44)))</f>
        <v/>
      </c>
    </row>
    <row r="45" ht="17" customHeight="1">
      <c r="A45" s="50" t="n"/>
      <c r="B45" s="50" t="n"/>
      <c r="C45" s="50" t="n"/>
      <c r="D45" s="51" t="n"/>
      <c r="E45" s="51" t="n"/>
      <c r="F45" s="52" t="n"/>
      <c r="G45" s="52" t="n"/>
      <c r="H45" s="53" t="n"/>
      <c r="I45" s="51" t="n"/>
      <c r="J45" s="51" t="n"/>
      <c r="K45" s="50" t="n"/>
      <c r="L45" s="54">
        <f>IF(OR(A45="",G45=""),"",G45-TODAY())</f>
        <v/>
      </c>
      <c r="M45" s="54">
        <f>IF(A45="","",IF(AND(G45&lt;&gt;"",G45&lt;TODAY(),E45&lt;&gt;"Completed"),"Yes",""))</f>
        <v/>
      </c>
      <c r="N45" s="55">
        <f>IF(M45&lt;&gt;"Yes","",COUNTIF($M$5:M45,"Yes"))</f>
        <v/>
      </c>
      <c r="O45" s="55">
        <f>IF(OR(A45="",E45="Completed",G45="",G45&lt;TODAY(),G45&gt;TODAY()+14),"",COUNTIFS($G$5:G45,"&gt;="&amp;TODAY(),$G$5:G45,"&lt;="&amp;TODAY()+14,$E$5:E45,"&lt;&gt;Completed",$A$5:A45,"&lt;&gt;"))</f>
        <v/>
      </c>
      <c r="P45" s="56">
        <f>IF(A45="","",IF(E45="Completed",1,N(H45)))</f>
        <v/>
      </c>
    </row>
    <row r="46" ht="17" customHeight="1">
      <c r="A46" s="50" t="n"/>
      <c r="B46" s="50" t="n"/>
      <c r="C46" s="50" t="n"/>
      <c r="D46" s="51" t="n"/>
      <c r="E46" s="51" t="n"/>
      <c r="F46" s="52" t="n"/>
      <c r="G46" s="52" t="n"/>
      <c r="H46" s="53" t="n"/>
      <c r="I46" s="51" t="n"/>
      <c r="J46" s="51" t="n"/>
      <c r="K46" s="50" t="n"/>
      <c r="L46" s="54">
        <f>IF(OR(A46="",G46=""),"",G46-TODAY())</f>
        <v/>
      </c>
      <c r="M46" s="54">
        <f>IF(A46="","",IF(AND(G46&lt;&gt;"",G46&lt;TODAY(),E46&lt;&gt;"Completed"),"Yes",""))</f>
        <v/>
      </c>
      <c r="N46" s="55">
        <f>IF(M46&lt;&gt;"Yes","",COUNTIF($M$5:M46,"Yes"))</f>
        <v/>
      </c>
      <c r="O46" s="55">
        <f>IF(OR(A46="",E46="Completed",G46="",G46&lt;TODAY(),G46&gt;TODAY()+14),"",COUNTIFS($G$5:G46,"&gt;="&amp;TODAY(),$G$5:G46,"&lt;="&amp;TODAY()+14,$E$5:E46,"&lt;&gt;Completed",$A$5:A46,"&lt;&gt;"))</f>
        <v/>
      </c>
      <c r="P46" s="56">
        <f>IF(A46="","",IF(E46="Completed",1,N(H46)))</f>
        <v/>
      </c>
    </row>
    <row r="47" ht="17" customHeight="1">
      <c r="A47" s="50" t="n"/>
      <c r="B47" s="50" t="n"/>
      <c r="C47" s="50" t="n"/>
      <c r="D47" s="51" t="n"/>
      <c r="E47" s="51" t="n"/>
      <c r="F47" s="52" t="n"/>
      <c r="G47" s="52" t="n"/>
      <c r="H47" s="53" t="n"/>
      <c r="I47" s="51" t="n"/>
      <c r="J47" s="51" t="n"/>
      <c r="K47" s="50" t="n"/>
      <c r="L47" s="54">
        <f>IF(OR(A47="",G47=""),"",G47-TODAY())</f>
        <v/>
      </c>
      <c r="M47" s="54">
        <f>IF(A47="","",IF(AND(G47&lt;&gt;"",G47&lt;TODAY(),E47&lt;&gt;"Completed"),"Yes",""))</f>
        <v/>
      </c>
      <c r="N47" s="55">
        <f>IF(M47&lt;&gt;"Yes","",COUNTIF($M$5:M47,"Yes"))</f>
        <v/>
      </c>
      <c r="O47" s="55">
        <f>IF(OR(A47="",E47="Completed",G47="",G47&lt;TODAY(),G47&gt;TODAY()+14),"",COUNTIFS($G$5:G47,"&gt;="&amp;TODAY(),$G$5:G47,"&lt;="&amp;TODAY()+14,$E$5:E47,"&lt;&gt;Completed",$A$5:A47,"&lt;&gt;"))</f>
        <v/>
      </c>
      <c r="P47" s="56">
        <f>IF(A47="","",IF(E47="Completed",1,N(H47)))</f>
        <v/>
      </c>
    </row>
    <row r="48" ht="17" customHeight="1">
      <c r="A48" s="50" t="n"/>
      <c r="B48" s="50" t="n"/>
      <c r="C48" s="50" t="n"/>
      <c r="D48" s="51" t="n"/>
      <c r="E48" s="51" t="n"/>
      <c r="F48" s="52" t="n"/>
      <c r="G48" s="52" t="n"/>
      <c r="H48" s="53" t="n"/>
      <c r="I48" s="51" t="n"/>
      <c r="J48" s="51" t="n"/>
      <c r="K48" s="50" t="n"/>
      <c r="L48" s="54">
        <f>IF(OR(A48="",G48=""),"",G48-TODAY())</f>
        <v/>
      </c>
      <c r="M48" s="54">
        <f>IF(A48="","",IF(AND(G48&lt;&gt;"",G48&lt;TODAY(),E48&lt;&gt;"Completed"),"Yes",""))</f>
        <v/>
      </c>
      <c r="N48" s="55">
        <f>IF(M48&lt;&gt;"Yes","",COUNTIF($M$5:M48,"Yes"))</f>
        <v/>
      </c>
      <c r="O48" s="55">
        <f>IF(OR(A48="",E48="Completed",G48="",G48&lt;TODAY(),G48&gt;TODAY()+14),"",COUNTIFS($G$5:G48,"&gt;="&amp;TODAY(),$G$5:G48,"&lt;="&amp;TODAY()+14,$E$5:E48,"&lt;&gt;Completed",$A$5:A48,"&lt;&gt;"))</f>
        <v/>
      </c>
      <c r="P48" s="56">
        <f>IF(A48="","",IF(E48="Completed",1,N(H48)))</f>
        <v/>
      </c>
    </row>
    <row r="49" ht="17" customHeight="1">
      <c r="A49" s="50" t="n"/>
      <c r="B49" s="50" t="n"/>
      <c r="C49" s="50" t="n"/>
      <c r="D49" s="51" t="n"/>
      <c r="E49" s="51" t="n"/>
      <c r="F49" s="52" t="n"/>
      <c r="G49" s="52" t="n"/>
      <c r="H49" s="53" t="n"/>
      <c r="I49" s="51" t="n"/>
      <c r="J49" s="51" t="n"/>
      <c r="K49" s="50" t="n"/>
      <c r="L49" s="54">
        <f>IF(OR(A49="",G49=""),"",G49-TODAY())</f>
        <v/>
      </c>
      <c r="M49" s="54">
        <f>IF(A49="","",IF(AND(G49&lt;&gt;"",G49&lt;TODAY(),E49&lt;&gt;"Completed"),"Yes",""))</f>
        <v/>
      </c>
      <c r="N49" s="55">
        <f>IF(M49&lt;&gt;"Yes","",COUNTIF($M$5:M49,"Yes"))</f>
        <v/>
      </c>
      <c r="O49" s="55">
        <f>IF(OR(A49="",E49="Completed",G49="",G49&lt;TODAY(),G49&gt;TODAY()+14),"",COUNTIFS($G$5:G49,"&gt;="&amp;TODAY(),$G$5:G49,"&lt;="&amp;TODAY()+14,$E$5:E49,"&lt;&gt;Completed",$A$5:A49,"&lt;&gt;"))</f>
        <v/>
      </c>
      <c r="P49" s="56">
        <f>IF(A49="","",IF(E49="Completed",1,N(H49)))</f>
        <v/>
      </c>
    </row>
    <row r="50" ht="17" customHeight="1">
      <c r="A50" s="50" t="n"/>
      <c r="B50" s="50" t="n"/>
      <c r="C50" s="50" t="n"/>
      <c r="D50" s="51" t="n"/>
      <c r="E50" s="51" t="n"/>
      <c r="F50" s="52" t="n"/>
      <c r="G50" s="52" t="n"/>
      <c r="H50" s="53" t="n"/>
      <c r="I50" s="51" t="n"/>
      <c r="J50" s="51" t="n"/>
      <c r="K50" s="50" t="n"/>
      <c r="L50" s="54">
        <f>IF(OR(A50="",G50=""),"",G50-TODAY())</f>
        <v/>
      </c>
      <c r="M50" s="54">
        <f>IF(A50="","",IF(AND(G50&lt;&gt;"",G50&lt;TODAY(),E50&lt;&gt;"Completed"),"Yes",""))</f>
        <v/>
      </c>
      <c r="N50" s="55">
        <f>IF(M50&lt;&gt;"Yes","",COUNTIF($M$5:M50,"Yes"))</f>
        <v/>
      </c>
      <c r="O50" s="55">
        <f>IF(OR(A50="",E50="Completed",G50="",G50&lt;TODAY(),G50&gt;TODAY()+14),"",COUNTIFS($G$5:G50,"&gt;="&amp;TODAY(),$G$5:G50,"&lt;="&amp;TODAY()+14,$E$5:E50,"&lt;&gt;Completed",$A$5:A50,"&lt;&gt;"))</f>
        <v/>
      </c>
      <c r="P50" s="56">
        <f>IF(A50="","",IF(E50="Completed",1,N(H50)))</f>
        <v/>
      </c>
    </row>
    <row r="51" ht="17" customHeight="1">
      <c r="A51" s="50" t="n"/>
      <c r="B51" s="50" t="n"/>
      <c r="C51" s="50" t="n"/>
      <c r="D51" s="51" t="n"/>
      <c r="E51" s="51" t="n"/>
      <c r="F51" s="52" t="n"/>
      <c r="G51" s="52" t="n"/>
      <c r="H51" s="53" t="n"/>
      <c r="I51" s="51" t="n"/>
      <c r="J51" s="51" t="n"/>
      <c r="K51" s="50" t="n"/>
      <c r="L51" s="54">
        <f>IF(OR(A51="",G51=""),"",G51-TODAY())</f>
        <v/>
      </c>
      <c r="M51" s="54">
        <f>IF(A51="","",IF(AND(G51&lt;&gt;"",G51&lt;TODAY(),E51&lt;&gt;"Completed"),"Yes",""))</f>
        <v/>
      </c>
      <c r="N51" s="55">
        <f>IF(M51&lt;&gt;"Yes","",COUNTIF($M$5:M51,"Yes"))</f>
        <v/>
      </c>
      <c r="O51" s="55">
        <f>IF(OR(A51="",E51="Completed",G51="",G51&lt;TODAY(),G51&gt;TODAY()+14),"",COUNTIFS($G$5:G51,"&gt;="&amp;TODAY(),$G$5:G51,"&lt;="&amp;TODAY()+14,$E$5:E51,"&lt;&gt;Completed",$A$5:A51,"&lt;&gt;"))</f>
        <v/>
      </c>
      <c r="P51" s="56">
        <f>IF(A51="","",IF(E51="Completed",1,N(H51)))</f>
        <v/>
      </c>
    </row>
    <row r="52" ht="17" customHeight="1">
      <c r="A52" s="50" t="n"/>
      <c r="B52" s="50" t="n"/>
      <c r="C52" s="50" t="n"/>
      <c r="D52" s="51" t="n"/>
      <c r="E52" s="51" t="n"/>
      <c r="F52" s="52" t="n"/>
      <c r="G52" s="52" t="n"/>
      <c r="H52" s="53" t="n"/>
      <c r="I52" s="51" t="n"/>
      <c r="J52" s="51" t="n"/>
      <c r="K52" s="50" t="n"/>
      <c r="L52" s="54">
        <f>IF(OR(A52="",G52=""),"",G52-TODAY())</f>
        <v/>
      </c>
      <c r="M52" s="54">
        <f>IF(A52="","",IF(AND(G52&lt;&gt;"",G52&lt;TODAY(),E52&lt;&gt;"Completed"),"Yes",""))</f>
        <v/>
      </c>
      <c r="N52" s="55">
        <f>IF(M52&lt;&gt;"Yes","",COUNTIF($M$5:M52,"Yes"))</f>
        <v/>
      </c>
      <c r="O52" s="55">
        <f>IF(OR(A52="",E52="Completed",G52="",G52&lt;TODAY(),G52&gt;TODAY()+14),"",COUNTIFS($G$5:G52,"&gt;="&amp;TODAY(),$G$5:G52,"&lt;="&amp;TODAY()+14,$E$5:E52,"&lt;&gt;Completed",$A$5:A52,"&lt;&gt;"))</f>
        <v/>
      </c>
      <c r="P52" s="56">
        <f>IF(A52="","",IF(E52="Completed",1,N(H52)))</f>
        <v/>
      </c>
    </row>
    <row r="53" ht="17" customHeight="1">
      <c r="A53" s="50" t="n"/>
      <c r="B53" s="50" t="n"/>
      <c r="C53" s="50" t="n"/>
      <c r="D53" s="51" t="n"/>
      <c r="E53" s="51" t="n"/>
      <c r="F53" s="52" t="n"/>
      <c r="G53" s="52" t="n"/>
      <c r="H53" s="53" t="n"/>
      <c r="I53" s="51" t="n"/>
      <c r="J53" s="51" t="n"/>
      <c r="K53" s="50" t="n"/>
      <c r="L53" s="54">
        <f>IF(OR(A53="",G53=""),"",G53-TODAY())</f>
        <v/>
      </c>
      <c r="M53" s="54">
        <f>IF(A53="","",IF(AND(G53&lt;&gt;"",G53&lt;TODAY(),E53&lt;&gt;"Completed"),"Yes",""))</f>
        <v/>
      </c>
      <c r="N53" s="55">
        <f>IF(M53&lt;&gt;"Yes","",COUNTIF($M$5:M53,"Yes"))</f>
        <v/>
      </c>
      <c r="O53" s="55">
        <f>IF(OR(A53="",E53="Completed",G53="",G53&lt;TODAY(),G53&gt;TODAY()+14),"",COUNTIFS($G$5:G53,"&gt;="&amp;TODAY(),$G$5:G53,"&lt;="&amp;TODAY()+14,$E$5:E53,"&lt;&gt;Completed",$A$5:A53,"&lt;&gt;"))</f>
        <v/>
      </c>
      <c r="P53" s="56">
        <f>IF(A53="","",IF(E53="Completed",1,N(H53)))</f>
        <v/>
      </c>
    </row>
    <row r="54" ht="17" customHeight="1">
      <c r="A54" s="50" t="n"/>
      <c r="B54" s="50" t="n"/>
      <c r="C54" s="50" t="n"/>
      <c r="D54" s="51" t="n"/>
      <c r="E54" s="51" t="n"/>
      <c r="F54" s="52" t="n"/>
      <c r="G54" s="52" t="n"/>
      <c r="H54" s="53" t="n"/>
      <c r="I54" s="51" t="n"/>
      <c r="J54" s="51" t="n"/>
      <c r="K54" s="50" t="n"/>
      <c r="L54" s="54">
        <f>IF(OR(A54="",G54=""),"",G54-TODAY())</f>
        <v/>
      </c>
      <c r="M54" s="54">
        <f>IF(A54="","",IF(AND(G54&lt;&gt;"",G54&lt;TODAY(),E54&lt;&gt;"Completed"),"Yes",""))</f>
        <v/>
      </c>
      <c r="N54" s="55">
        <f>IF(M54&lt;&gt;"Yes","",COUNTIF($M$5:M54,"Yes"))</f>
        <v/>
      </c>
      <c r="O54" s="55">
        <f>IF(OR(A54="",E54="Completed",G54="",G54&lt;TODAY(),G54&gt;TODAY()+14),"",COUNTIFS($G$5:G54,"&gt;="&amp;TODAY(),$G$5:G54,"&lt;="&amp;TODAY()+14,$E$5:E54,"&lt;&gt;Completed",$A$5:A54,"&lt;&gt;"))</f>
        <v/>
      </c>
      <c r="P54" s="56">
        <f>IF(A54="","",IF(E54="Completed",1,N(H54)))</f>
        <v/>
      </c>
    </row>
    <row r="55" ht="17" customHeight="1">
      <c r="A55" s="50" t="n"/>
      <c r="B55" s="50" t="n"/>
      <c r="C55" s="50" t="n"/>
      <c r="D55" s="51" t="n"/>
      <c r="E55" s="51" t="n"/>
      <c r="F55" s="52" t="n"/>
      <c r="G55" s="52" t="n"/>
      <c r="H55" s="53" t="n"/>
      <c r="I55" s="51" t="n"/>
      <c r="J55" s="51" t="n"/>
      <c r="K55" s="50" t="n"/>
      <c r="L55" s="54">
        <f>IF(OR(A55="",G55=""),"",G55-TODAY())</f>
        <v/>
      </c>
      <c r="M55" s="54">
        <f>IF(A55="","",IF(AND(G55&lt;&gt;"",G55&lt;TODAY(),E55&lt;&gt;"Completed"),"Yes",""))</f>
        <v/>
      </c>
      <c r="N55" s="55">
        <f>IF(M55&lt;&gt;"Yes","",COUNTIF($M$5:M55,"Yes"))</f>
        <v/>
      </c>
      <c r="O55" s="55">
        <f>IF(OR(A55="",E55="Completed",G55="",G55&lt;TODAY(),G55&gt;TODAY()+14),"",COUNTIFS($G$5:G55,"&gt;="&amp;TODAY(),$G$5:G55,"&lt;="&amp;TODAY()+14,$E$5:E55,"&lt;&gt;Completed",$A$5:A55,"&lt;&gt;"))</f>
        <v/>
      </c>
      <c r="P55" s="56">
        <f>IF(A55="","",IF(E55="Completed",1,N(H55)))</f>
        <v/>
      </c>
    </row>
    <row r="56" ht="17" customHeight="1">
      <c r="A56" s="50" t="n"/>
      <c r="B56" s="50" t="n"/>
      <c r="C56" s="50" t="n"/>
      <c r="D56" s="51" t="n"/>
      <c r="E56" s="51" t="n"/>
      <c r="F56" s="52" t="n"/>
      <c r="G56" s="52" t="n"/>
      <c r="H56" s="53" t="n"/>
      <c r="I56" s="51" t="n"/>
      <c r="J56" s="51" t="n"/>
      <c r="K56" s="50" t="n"/>
      <c r="L56" s="54">
        <f>IF(OR(A56="",G56=""),"",G56-TODAY())</f>
        <v/>
      </c>
      <c r="M56" s="54">
        <f>IF(A56="","",IF(AND(G56&lt;&gt;"",G56&lt;TODAY(),E56&lt;&gt;"Completed"),"Yes",""))</f>
        <v/>
      </c>
      <c r="N56" s="55">
        <f>IF(M56&lt;&gt;"Yes","",COUNTIF($M$5:M56,"Yes"))</f>
        <v/>
      </c>
      <c r="O56" s="55">
        <f>IF(OR(A56="",E56="Completed",G56="",G56&lt;TODAY(),G56&gt;TODAY()+14),"",COUNTIFS($G$5:G56,"&gt;="&amp;TODAY(),$G$5:G56,"&lt;="&amp;TODAY()+14,$E$5:E56,"&lt;&gt;Completed",$A$5:A56,"&lt;&gt;"))</f>
        <v/>
      </c>
      <c r="P56" s="56">
        <f>IF(A56="","",IF(E56="Completed",1,N(H56)))</f>
        <v/>
      </c>
    </row>
    <row r="57" ht="17" customHeight="1">
      <c r="A57" s="50" t="n"/>
      <c r="B57" s="50" t="n"/>
      <c r="C57" s="50" t="n"/>
      <c r="D57" s="51" t="n"/>
      <c r="E57" s="51" t="n"/>
      <c r="F57" s="52" t="n"/>
      <c r="G57" s="52" t="n"/>
      <c r="H57" s="53" t="n"/>
      <c r="I57" s="51" t="n"/>
      <c r="J57" s="51" t="n"/>
      <c r="K57" s="50" t="n"/>
      <c r="L57" s="54">
        <f>IF(OR(A57="",G57=""),"",G57-TODAY())</f>
        <v/>
      </c>
      <c r="M57" s="54">
        <f>IF(A57="","",IF(AND(G57&lt;&gt;"",G57&lt;TODAY(),E57&lt;&gt;"Completed"),"Yes",""))</f>
        <v/>
      </c>
      <c r="N57" s="55">
        <f>IF(M57&lt;&gt;"Yes","",COUNTIF($M$5:M57,"Yes"))</f>
        <v/>
      </c>
      <c r="O57" s="55">
        <f>IF(OR(A57="",E57="Completed",G57="",G57&lt;TODAY(),G57&gt;TODAY()+14),"",COUNTIFS($G$5:G57,"&gt;="&amp;TODAY(),$G$5:G57,"&lt;="&amp;TODAY()+14,$E$5:E57,"&lt;&gt;Completed",$A$5:A57,"&lt;&gt;"))</f>
        <v/>
      </c>
      <c r="P57" s="56">
        <f>IF(A57="","",IF(E57="Completed",1,N(H57)))</f>
        <v/>
      </c>
    </row>
    <row r="58" ht="17" customHeight="1">
      <c r="A58" s="50" t="n"/>
      <c r="B58" s="50" t="n"/>
      <c r="C58" s="50" t="n"/>
      <c r="D58" s="51" t="n"/>
      <c r="E58" s="51" t="n"/>
      <c r="F58" s="52" t="n"/>
      <c r="G58" s="52" t="n"/>
      <c r="H58" s="53" t="n"/>
      <c r="I58" s="51" t="n"/>
      <c r="J58" s="51" t="n"/>
      <c r="K58" s="50" t="n"/>
      <c r="L58" s="54">
        <f>IF(OR(A58="",G58=""),"",G58-TODAY())</f>
        <v/>
      </c>
      <c r="M58" s="54">
        <f>IF(A58="","",IF(AND(G58&lt;&gt;"",G58&lt;TODAY(),E58&lt;&gt;"Completed"),"Yes",""))</f>
        <v/>
      </c>
      <c r="N58" s="55">
        <f>IF(M58&lt;&gt;"Yes","",COUNTIF($M$5:M58,"Yes"))</f>
        <v/>
      </c>
      <c r="O58" s="55">
        <f>IF(OR(A58="",E58="Completed",G58="",G58&lt;TODAY(),G58&gt;TODAY()+14),"",COUNTIFS($G$5:G58,"&gt;="&amp;TODAY(),$G$5:G58,"&lt;="&amp;TODAY()+14,$E$5:E58,"&lt;&gt;Completed",$A$5:A58,"&lt;&gt;"))</f>
        <v/>
      </c>
      <c r="P58" s="56">
        <f>IF(A58="","",IF(E58="Completed",1,N(H58)))</f>
        <v/>
      </c>
    </row>
    <row r="59" ht="17" customHeight="1">
      <c r="A59" s="50" t="n"/>
      <c r="B59" s="50" t="n"/>
      <c r="C59" s="50" t="n"/>
      <c r="D59" s="51" t="n"/>
      <c r="E59" s="51" t="n"/>
      <c r="F59" s="52" t="n"/>
      <c r="G59" s="52" t="n"/>
      <c r="H59" s="53" t="n"/>
      <c r="I59" s="51" t="n"/>
      <c r="J59" s="51" t="n"/>
      <c r="K59" s="50" t="n"/>
      <c r="L59" s="54">
        <f>IF(OR(A59="",G59=""),"",G59-TODAY())</f>
        <v/>
      </c>
      <c r="M59" s="54">
        <f>IF(A59="","",IF(AND(G59&lt;&gt;"",G59&lt;TODAY(),E59&lt;&gt;"Completed"),"Yes",""))</f>
        <v/>
      </c>
      <c r="N59" s="55">
        <f>IF(M59&lt;&gt;"Yes","",COUNTIF($M$5:M59,"Yes"))</f>
        <v/>
      </c>
      <c r="O59" s="55">
        <f>IF(OR(A59="",E59="Completed",G59="",G59&lt;TODAY(),G59&gt;TODAY()+14),"",COUNTIFS($G$5:G59,"&gt;="&amp;TODAY(),$G$5:G59,"&lt;="&amp;TODAY()+14,$E$5:E59,"&lt;&gt;Completed",$A$5:A59,"&lt;&gt;"))</f>
        <v/>
      </c>
      <c r="P59" s="56">
        <f>IF(A59="","",IF(E59="Completed",1,N(H59)))</f>
        <v/>
      </c>
    </row>
    <row r="60" ht="17" customHeight="1">
      <c r="A60" s="50" t="n"/>
      <c r="B60" s="50" t="n"/>
      <c r="C60" s="50" t="n"/>
      <c r="D60" s="51" t="n"/>
      <c r="E60" s="51" t="n"/>
      <c r="F60" s="52" t="n"/>
      <c r="G60" s="52" t="n"/>
      <c r="H60" s="53" t="n"/>
      <c r="I60" s="51" t="n"/>
      <c r="J60" s="51" t="n"/>
      <c r="K60" s="50" t="n"/>
      <c r="L60" s="54">
        <f>IF(OR(A60="",G60=""),"",G60-TODAY())</f>
        <v/>
      </c>
      <c r="M60" s="54">
        <f>IF(A60="","",IF(AND(G60&lt;&gt;"",G60&lt;TODAY(),E60&lt;&gt;"Completed"),"Yes",""))</f>
        <v/>
      </c>
      <c r="N60" s="55">
        <f>IF(M60&lt;&gt;"Yes","",COUNTIF($M$5:M60,"Yes"))</f>
        <v/>
      </c>
      <c r="O60" s="55">
        <f>IF(OR(A60="",E60="Completed",G60="",G60&lt;TODAY(),G60&gt;TODAY()+14),"",COUNTIFS($G$5:G60,"&gt;="&amp;TODAY(),$G$5:G60,"&lt;="&amp;TODAY()+14,$E$5:E60,"&lt;&gt;Completed",$A$5:A60,"&lt;&gt;"))</f>
        <v/>
      </c>
      <c r="P60" s="56">
        <f>IF(A60="","",IF(E60="Completed",1,N(H60)))</f>
        <v/>
      </c>
    </row>
    <row r="61" ht="17" customHeight="1">
      <c r="A61" s="50" t="n"/>
      <c r="B61" s="50" t="n"/>
      <c r="C61" s="50" t="n"/>
      <c r="D61" s="51" t="n"/>
      <c r="E61" s="51" t="n"/>
      <c r="F61" s="52" t="n"/>
      <c r="G61" s="52" t="n"/>
      <c r="H61" s="53" t="n"/>
      <c r="I61" s="51" t="n"/>
      <c r="J61" s="51" t="n"/>
      <c r="K61" s="50" t="n"/>
      <c r="L61" s="54">
        <f>IF(OR(A61="",G61=""),"",G61-TODAY())</f>
        <v/>
      </c>
      <c r="M61" s="54">
        <f>IF(A61="","",IF(AND(G61&lt;&gt;"",G61&lt;TODAY(),E61&lt;&gt;"Completed"),"Yes",""))</f>
        <v/>
      </c>
      <c r="N61" s="55">
        <f>IF(M61&lt;&gt;"Yes","",COUNTIF($M$5:M61,"Yes"))</f>
        <v/>
      </c>
      <c r="O61" s="55">
        <f>IF(OR(A61="",E61="Completed",G61="",G61&lt;TODAY(),G61&gt;TODAY()+14),"",COUNTIFS($G$5:G61,"&gt;="&amp;TODAY(),$G$5:G61,"&lt;="&amp;TODAY()+14,$E$5:E61,"&lt;&gt;Completed",$A$5:A61,"&lt;&gt;"))</f>
        <v/>
      </c>
      <c r="P61" s="56">
        <f>IF(A61="","",IF(E61="Completed",1,N(H61)))</f>
        <v/>
      </c>
    </row>
    <row r="62" ht="17" customHeight="1">
      <c r="A62" s="50" t="n"/>
      <c r="B62" s="50" t="n"/>
      <c r="C62" s="50" t="n"/>
      <c r="D62" s="51" t="n"/>
      <c r="E62" s="51" t="n"/>
      <c r="F62" s="52" t="n"/>
      <c r="G62" s="52" t="n"/>
      <c r="H62" s="53" t="n"/>
      <c r="I62" s="51" t="n"/>
      <c r="J62" s="51" t="n"/>
      <c r="K62" s="50" t="n"/>
      <c r="L62" s="54">
        <f>IF(OR(A62="",G62=""),"",G62-TODAY())</f>
        <v/>
      </c>
      <c r="M62" s="54">
        <f>IF(A62="","",IF(AND(G62&lt;&gt;"",G62&lt;TODAY(),E62&lt;&gt;"Completed"),"Yes",""))</f>
        <v/>
      </c>
      <c r="N62" s="55">
        <f>IF(M62&lt;&gt;"Yes","",COUNTIF($M$5:M62,"Yes"))</f>
        <v/>
      </c>
      <c r="O62" s="55">
        <f>IF(OR(A62="",E62="Completed",G62="",G62&lt;TODAY(),G62&gt;TODAY()+14),"",COUNTIFS($G$5:G62,"&gt;="&amp;TODAY(),$G$5:G62,"&lt;="&amp;TODAY()+14,$E$5:E62,"&lt;&gt;Completed",$A$5:A62,"&lt;&gt;"))</f>
        <v/>
      </c>
      <c r="P62" s="56">
        <f>IF(A62="","",IF(E62="Completed",1,N(H62)))</f>
        <v/>
      </c>
    </row>
    <row r="63" ht="17" customHeight="1">
      <c r="A63" s="50" t="n"/>
      <c r="B63" s="50" t="n"/>
      <c r="C63" s="50" t="n"/>
      <c r="D63" s="51" t="n"/>
      <c r="E63" s="51" t="n"/>
      <c r="F63" s="52" t="n"/>
      <c r="G63" s="52" t="n"/>
      <c r="H63" s="53" t="n"/>
      <c r="I63" s="51" t="n"/>
      <c r="J63" s="51" t="n"/>
      <c r="K63" s="50" t="n"/>
      <c r="L63" s="54">
        <f>IF(OR(A63="",G63=""),"",G63-TODAY())</f>
        <v/>
      </c>
      <c r="M63" s="54">
        <f>IF(A63="","",IF(AND(G63&lt;&gt;"",G63&lt;TODAY(),E63&lt;&gt;"Completed"),"Yes",""))</f>
        <v/>
      </c>
      <c r="N63" s="55">
        <f>IF(M63&lt;&gt;"Yes","",COUNTIF($M$5:M63,"Yes"))</f>
        <v/>
      </c>
      <c r="O63" s="55">
        <f>IF(OR(A63="",E63="Completed",G63="",G63&lt;TODAY(),G63&gt;TODAY()+14),"",COUNTIFS($G$5:G63,"&gt;="&amp;TODAY(),$G$5:G63,"&lt;="&amp;TODAY()+14,$E$5:E63,"&lt;&gt;Completed",$A$5:A63,"&lt;&gt;"))</f>
        <v/>
      </c>
      <c r="P63" s="56">
        <f>IF(A63="","",IF(E63="Completed",1,N(H63)))</f>
        <v/>
      </c>
    </row>
    <row r="64" ht="17" customHeight="1">
      <c r="A64" s="50" t="n"/>
      <c r="B64" s="50" t="n"/>
      <c r="C64" s="50" t="n"/>
      <c r="D64" s="51" t="n"/>
      <c r="E64" s="51" t="n"/>
      <c r="F64" s="52" t="n"/>
      <c r="G64" s="52" t="n"/>
      <c r="H64" s="53" t="n"/>
      <c r="I64" s="51" t="n"/>
      <c r="J64" s="51" t="n"/>
      <c r="K64" s="50" t="n"/>
      <c r="L64" s="54">
        <f>IF(OR(A64="",G64=""),"",G64-TODAY())</f>
        <v/>
      </c>
      <c r="M64" s="54">
        <f>IF(A64="","",IF(AND(G64&lt;&gt;"",G64&lt;TODAY(),E64&lt;&gt;"Completed"),"Yes",""))</f>
        <v/>
      </c>
      <c r="N64" s="55">
        <f>IF(M64&lt;&gt;"Yes","",COUNTIF($M$5:M64,"Yes"))</f>
        <v/>
      </c>
      <c r="O64" s="55">
        <f>IF(OR(A64="",E64="Completed",G64="",G64&lt;TODAY(),G64&gt;TODAY()+14),"",COUNTIFS($G$5:G64,"&gt;="&amp;TODAY(),$G$5:G64,"&lt;="&amp;TODAY()+14,$E$5:E64,"&lt;&gt;Completed",$A$5:A64,"&lt;&gt;"))</f>
        <v/>
      </c>
      <c r="P64" s="56">
        <f>IF(A64="","",IF(E64="Completed",1,N(H64)))</f>
        <v/>
      </c>
    </row>
    <row r="65" ht="17" customHeight="1">
      <c r="A65" s="50" t="n"/>
      <c r="B65" s="50" t="n"/>
      <c r="C65" s="50" t="n"/>
      <c r="D65" s="51" t="n"/>
      <c r="E65" s="51" t="n"/>
      <c r="F65" s="52" t="n"/>
      <c r="G65" s="52" t="n"/>
      <c r="H65" s="53" t="n"/>
      <c r="I65" s="51" t="n"/>
      <c r="J65" s="51" t="n"/>
      <c r="K65" s="50" t="n"/>
      <c r="L65" s="54">
        <f>IF(OR(A65="",G65=""),"",G65-TODAY())</f>
        <v/>
      </c>
      <c r="M65" s="54">
        <f>IF(A65="","",IF(AND(G65&lt;&gt;"",G65&lt;TODAY(),E65&lt;&gt;"Completed"),"Yes",""))</f>
        <v/>
      </c>
      <c r="N65" s="55">
        <f>IF(M65&lt;&gt;"Yes","",COUNTIF($M$5:M65,"Yes"))</f>
        <v/>
      </c>
      <c r="O65" s="55">
        <f>IF(OR(A65="",E65="Completed",G65="",G65&lt;TODAY(),G65&gt;TODAY()+14),"",COUNTIFS($G$5:G65,"&gt;="&amp;TODAY(),$G$5:G65,"&lt;="&amp;TODAY()+14,$E$5:E65,"&lt;&gt;Completed",$A$5:A65,"&lt;&gt;"))</f>
        <v/>
      </c>
      <c r="P65" s="56">
        <f>IF(A65="","",IF(E65="Completed",1,N(H65)))</f>
        <v/>
      </c>
    </row>
    <row r="66" ht="17" customHeight="1">
      <c r="A66" s="50" t="n"/>
      <c r="B66" s="50" t="n"/>
      <c r="C66" s="50" t="n"/>
      <c r="D66" s="51" t="n"/>
      <c r="E66" s="51" t="n"/>
      <c r="F66" s="52" t="n"/>
      <c r="G66" s="52" t="n"/>
      <c r="H66" s="53" t="n"/>
      <c r="I66" s="51" t="n"/>
      <c r="J66" s="51" t="n"/>
      <c r="K66" s="50" t="n"/>
      <c r="L66" s="54">
        <f>IF(OR(A66="",G66=""),"",G66-TODAY())</f>
        <v/>
      </c>
      <c r="M66" s="54">
        <f>IF(A66="","",IF(AND(G66&lt;&gt;"",G66&lt;TODAY(),E66&lt;&gt;"Completed"),"Yes",""))</f>
        <v/>
      </c>
      <c r="N66" s="55">
        <f>IF(M66&lt;&gt;"Yes","",COUNTIF($M$5:M66,"Yes"))</f>
        <v/>
      </c>
      <c r="O66" s="55">
        <f>IF(OR(A66="",E66="Completed",G66="",G66&lt;TODAY(),G66&gt;TODAY()+14),"",COUNTIFS($G$5:G66,"&gt;="&amp;TODAY(),$G$5:G66,"&lt;="&amp;TODAY()+14,$E$5:E66,"&lt;&gt;Completed",$A$5:A66,"&lt;&gt;"))</f>
        <v/>
      </c>
      <c r="P66" s="56">
        <f>IF(A66="","",IF(E66="Completed",1,N(H66)))</f>
        <v/>
      </c>
    </row>
    <row r="67" ht="17" customHeight="1">
      <c r="A67" s="50" t="n"/>
      <c r="B67" s="50" t="n"/>
      <c r="C67" s="50" t="n"/>
      <c r="D67" s="51" t="n"/>
      <c r="E67" s="51" t="n"/>
      <c r="F67" s="52" t="n"/>
      <c r="G67" s="52" t="n"/>
      <c r="H67" s="53" t="n"/>
      <c r="I67" s="51" t="n"/>
      <c r="J67" s="51" t="n"/>
      <c r="K67" s="50" t="n"/>
      <c r="L67" s="54">
        <f>IF(OR(A67="",G67=""),"",G67-TODAY())</f>
        <v/>
      </c>
      <c r="M67" s="54">
        <f>IF(A67="","",IF(AND(G67&lt;&gt;"",G67&lt;TODAY(),E67&lt;&gt;"Completed"),"Yes",""))</f>
        <v/>
      </c>
      <c r="N67" s="55">
        <f>IF(M67&lt;&gt;"Yes","",COUNTIF($M$5:M67,"Yes"))</f>
        <v/>
      </c>
      <c r="O67" s="55">
        <f>IF(OR(A67="",E67="Completed",G67="",G67&lt;TODAY(),G67&gt;TODAY()+14),"",COUNTIFS($G$5:G67,"&gt;="&amp;TODAY(),$G$5:G67,"&lt;="&amp;TODAY()+14,$E$5:E67,"&lt;&gt;Completed",$A$5:A67,"&lt;&gt;"))</f>
        <v/>
      </c>
      <c r="P67" s="56">
        <f>IF(A67="","",IF(E67="Completed",1,N(H67)))</f>
        <v/>
      </c>
    </row>
    <row r="68" ht="17" customHeight="1">
      <c r="A68" s="50" t="n"/>
      <c r="B68" s="50" t="n"/>
      <c r="C68" s="50" t="n"/>
      <c r="D68" s="51" t="n"/>
      <c r="E68" s="51" t="n"/>
      <c r="F68" s="52" t="n"/>
      <c r="G68" s="52" t="n"/>
      <c r="H68" s="53" t="n"/>
      <c r="I68" s="51" t="n"/>
      <c r="J68" s="51" t="n"/>
      <c r="K68" s="50" t="n"/>
      <c r="L68" s="54">
        <f>IF(OR(A68="",G68=""),"",G68-TODAY())</f>
        <v/>
      </c>
      <c r="M68" s="54">
        <f>IF(A68="","",IF(AND(G68&lt;&gt;"",G68&lt;TODAY(),E68&lt;&gt;"Completed"),"Yes",""))</f>
        <v/>
      </c>
      <c r="N68" s="55">
        <f>IF(M68&lt;&gt;"Yes","",COUNTIF($M$5:M68,"Yes"))</f>
        <v/>
      </c>
      <c r="O68" s="55">
        <f>IF(OR(A68="",E68="Completed",G68="",G68&lt;TODAY(),G68&gt;TODAY()+14),"",COUNTIFS($G$5:G68,"&gt;="&amp;TODAY(),$G$5:G68,"&lt;="&amp;TODAY()+14,$E$5:E68,"&lt;&gt;Completed",$A$5:A68,"&lt;&gt;"))</f>
        <v/>
      </c>
      <c r="P68" s="56">
        <f>IF(A68="","",IF(E68="Completed",1,N(H68)))</f>
        <v/>
      </c>
    </row>
    <row r="69" ht="17" customHeight="1">
      <c r="A69" s="50" t="n"/>
      <c r="B69" s="50" t="n"/>
      <c r="C69" s="50" t="n"/>
      <c r="D69" s="51" t="n"/>
      <c r="E69" s="51" t="n"/>
      <c r="F69" s="52" t="n"/>
      <c r="G69" s="52" t="n"/>
      <c r="H69" s="53" t="n"/>
      <c r="I69" s="51" t="n"/>
      <c r="J69" s="51" t="n"/>
      <c r="K69" s="50" t="n"/>
      <c r="L69" s="54">
        <f>IF(OR(A69="",G69=""),"",G69-TODAY())</f>
        <v/>
      </c>
      <c r="M69" s="54">
        <f>IF(A69="","",IF(AND(G69&lt;&gt;"",G69&lt;TODAY(),E69&lt;&gt;"Completed"),"Yes",""))</f>
        <v/>
      </c>
      <c r="N69" s="55">
        <f>IF(M69&lt;&gt;"Yes","",COUNTIF($M$5:M69,"Yes"))</f>
        <v/>
      </c>
      <c r="O69" s="55">
        <f>IF(OR(A69="",E69="Completed",G69="",G69&lt;TODAY(),G69&gt;TODAY()+14),"",COUNTIFS($G$5:G69,"&gt;="&amp;TODAY(),$G$5:G69,"&lt;="&amp;TODAY()+14,$E$5:E69,"&lt;&gt;Completed",$A$5:A69,"&lt;&gt;"))</f>
        <v/>
      </c>
      <c r="P69" s="56">
        <f>IF(A69="","",IF(E69="Completed",1,N(H69)))</f>
        <v/>
      </c>
    </row>
    <row r="70" ht="17" customHeight="1">
      <c r="A70" s="50" t="n"/>
      <c r="B70" s="50" t="n"/>
      <c r="C70" s="50" t="n"/>
      <c r="D70" s="51" t="n"/>
      <c r="E70" s="51" t="n"/>
      <c r="F70" s="52" t="n"/>
      <c r="G70" s="52" t="n"/>
      <c r="H70" s="53" t="n"/>
      <c r="I70" s="51" t="n"/>
      <c r="J70" s="51" t="n"/>
      <c r="K70" s="50" t="n"/>
      <c r="L70" s="54">
        <f>IF(OR(A70="",G70=""),"",G70-TODAY())</f>
        <v/>
      </c>
      <c r="M70" s="54">
        <f>IF(A70="","",IF(AND(G70&lt;&gt;"",G70&lt;TODAY(),E70&lt;&gt;"Completed"),"Yes",""))</f>
        <v/>
      </c>
      <c r="N70" s="55">
        <f>IF(M70&lt;&gt;"Yes","",COUNTIF($M$5:M70,"Yes"))</f>
        <v/>
      </c>
      <c r="O70" s="55">
        <f>IF(OR(A70="",E70="Completed",G70="",G70&lt;TODAY(),G70&gt;TODAY()+14),"",COUNTIFS($G$5:G70,"&gt;="&amp;TODAY(),$G$5:G70,"&lt;="&amp;TODAY()+14,$E$5:E70,"&lt;&gt;Completed",$A$5:A70,"&lt;&gt;"))</f>
        <v/>
      </c>
      <c r="P70" s="56">
        <f>IF(A70="","",IF(E70="Completed",1,N(H70)))</f>
        <v/>
      </c>
    </row>
    <row r="71" ht="17" customHeight="1">
      <c r="A71" s="50" t="n"/>
      <c r="B71" s="50" t="n"/>
      <c r="C71" s="50" t="n"/>
      <c r="D71" s="51" t="n"/>
      <c r="E71" s="51" t="n"/>
      <c r="F71" s="52" t="n"/>
      <c r="G71" s="52" t="n"/>
      <c r="H71" s="53" t="n"/>
      <c r="I71" s="51" t="n"/>
      <c r="J71" s="51" t="n"/>
      <c r="K71" s="50" t="n"/>
      <c r="L71" s="54">
        <f>IF(OR(A71="",G71=""),"",G71-TODAY())</f>
        <v/>
      </c>
      <c r="M71" s="54">
        <f>IF(A71="","",IF(AND(G71&lt;&gt;"",G71&lt;TODAY(),E71&lt;&gt;"Completed"),"Yes",""))</f>
        <v/>
      </c>
      <c r="N71" s="55">
        <f>IF(M71&lt;&gt;"Yes","",COUNTIF($M$5:M71,"Yes"))</f>
        <v/>
      </c>
      <c r="O71" s="55">
        <f>IF(OR(A71="",E71="Completed",G71="",G71&lt;TODAY(),G71&gt;TODAY()+14),"",COUNTIFS($G$5:G71,"&gt;="&amp;TODAY(),$G$5:G71,"&lt;="&amp;TODAY()+14,$E$5:E71,"&lt;&gt;Completed",$A$5:A71,"&lt;&gt;"))</f>
        <v/>
      </c>
      <c r="P71" s="56">
        <f>IF(A71="","",IF(E71="Completed",1,N(H71)))</f>
        <v/>
      </c>
    </row>
    <row r="72" ht="17" customHeight="1">
      <c r="A72" s="50" t="n"/>
      <c r="B72" s="50" t="n"/>
      <c r="C72" s="50" t="n"/>
      <c r="D72" s="51" t="n"/>
      <c r="E72" s="51" t="n"/>
      <c r="F72" s="52" t="n"/>
      <c r="G72" s="52" t="n"/>
      <c r="H72" s="53" t="n"/>
      <c r="I72" s="51" t="n"/>
      <c r="J72" s="51" t="n"/>
      <c r="K72" s="50" t="n"/>
      <c r="L72" s="54">
        <f>IF(OR(A72="",G72=""),"",G72-TODAY())</f>
        <v/>
      </c>
      <c r="M72" s="54">
        <f>IF(A72="","",IF(AND(G72&lt;&gt;"",G72&lt;TODAY(),E72&lt;&gt;"Completed"),"Yes",""))</f>
        <v/>
      </c>
      <c r="N72" s="55">
        <f>IF(M72&lt;&gt;"Yes","",COUNTIF($M$5:M72,"Yes"))</f>
        <v/>
      </c>
      <c r="O72" s="55">
        <f>IF(OR(A72="",E72="Completed",G72="",G72&lt;TODAY(),G72&gt;TODAY()+14),"",COUNTIFS($G$5:G72,"&gt;="&amp;TODAY(),$G$5:G72,"&lt;="&amp;TODAY()+14,$E$5:E72,"&lt;&gt;Completed",$A$5:A72,"&lt;&gt;"))</f>
        <v/>
      </c>
      <c r="P72" s="56">
        <f>IF(A72="","",IF(E72="Completed",1,N(H72)))</f>
        <v/>
      </c>
    </row>
    <row r="73" ht="17" customHeight="1">
      <c r="A73" s="50" t="n"/>
      <c r="B73" s="50" t="n"/>
      <c r="C73" s="50" t="n"/>
      <c r="D73" s="51" t="n"/>
      <c r="E73" s="51" t="n"/>
      <c r="F73" s="52" t="n"/>
      <c r="G73" s="52" t="n"/>
      <c r="H73" s="53" t="n"/>
      <c r="I73" s="51" t="n"/>
      <c r="J73" s="51" t="n"/>
      <c r="K73" s="50" t="n"/>
      <c r="L73" s="54">
        <f>IF(OR(A73="",G73=""),"",G73-TODAY())</f>
        <v/>
      </c>
      <c r="M73" s="54">
        <f>IF(A73="","",IF(AND(G73&lt;&gt;"",G73&lt;TODAY(),E73&lt;&gt;"Completed"),"Yes",""))</f>
        <v/>
      </c>
      <c r="N73" s="55">
        <f>IF(M73&lt;&gt;"Yes","",COUNTIF($M$5:M73,"Yes"))</f>
        <v/>
      </c>
      <c r="O73" s="55">
        <f>IF(OR(A73="",E73="Completed",G73="",G73&lt;TODAY(),G73&gt;TODAY()+14),"",COUNTIFS($G$5:G73,"&gt;="&amp;TODAY(),$G$5:G73,"&lt;="&amp;TODAY()+14,$E$5:E73,"&lt;&gt;Completed",$A$5:A73,"&lt;&gt;"))</f>
        <v/>
      </c>
      <c r="P73" s="56">
        <f>IF(A73="","",IF(E73="Completed",1,N(H73)))</f>
        <v/>
      </c>
    </row>
    <row r="74" ht="17" customHeight="1">
      <c r="A74" s="50" t="n"/>
      <c r="B74" s="50" t="n"/>
      <c r="C74" s="50" t="n"/>
      <c r="D74" s="51" t="n"/>
      <c r="E74" s="51" t="n"/>
      <c r="F74" s="52" t="n"/>
      <c r="G74" s="52" t="n"/>
      <c r="H74" s="53" t="n"/>
      <c r="I74" s="51" t="n"/>
      <c r="J74" s="51" t="n"/>
      <c r="K74" s="50" t="n"/>
      <c r="L74" s="54">
        <f>IF(OR(A74="",G74=""),"",G74-TODAY())</f>
        <v/>
      </c>
      <c r="M74" s="54">
        <f>IF(A74="","",IF(AND(G74&lt;&gt;"",G74&lt;TODAY(),E74&lt;&gt;"Completed"),"Yes",""))</f>
        <v/>
      </c>
      <c r="N74" s="55">
        <f>IF(M74&lt;&gt;"Yes","",COUNTIF($M$5:M74,"Yes"))</f>
        <v/>
      </c>
      <c r="O74" s="55">
        <f>IF(OR(A74="",E74="Completed",G74="",G74&lt;TODAY(),G74&gt;TODAY()+14),"",COUNTIFS($G$5:G74,"&gt;="&amp;TODAY(),$G$5:G74,"&lt;="&amp;TODAY()+14,$E$5:E74,"&lt;&gt;Completed",$A$5:A74,"&lt;&gt;"))</f>
        <v/>
      </c>
      <c r="P74" s="56">
        <f>IF(A74="","",IF(E74="Completed",1,N(H74)))</f>
        <v/>
      </c>
    </row>
    <row r="75" ht="17" customHeight="1">
      <c r="A75" s="50" t="n"/>
      <c r="B75" s="50" t="n"/>
      <c r="C75" s="50" t="n"/>
      <c r="D75" s="51" t="n"/>
      <c r="E75" s="51" t="n"/>
      <c r="F75" s="52" t="n"/>
      <c r="G75" s="52" t="n"/>
      <c r="H75" s="53" t="n"/>
      <c r="I75" s="51" t="n"/>
      <c r="J75" s="51" t="n"/>
      <c r="K75" s="50" t="n"/>
      <c r="L75" s="54">
        <f>IF(OR(A75="",G75=""),"",G75-TODAY())</f>
        <v/>
      </c>
      <c r="M75" s="54">
        <f>IF(A75="","",IF(AND(G75&lt;&gt;"",G75&lt;TODAY(),E75&lt;&gt;"Completed"),"Yes",""))</f>
        <v/>
      </c>
      <c r="N75" s="55">
        <f>IF(M75&lt;&gt;"Yes","",COUNTIF($M$5:M75,"Yes"))</f>
        <v/>
      </c>
      <c r="O75" s="55">
        <f>IF(OR(A75="",E75="Completed",G75="",G75&lt;TODAY(),G75&gt;TODAY()+14),"",COUNTIFS($G$5:G75,"&gt;="&amp;TODAY(),$G$5:G75,"&lt;="&amp;TODAY()+14,$E$5:E75,"&lt;&gt;Completed",$A$5:A75,"&lt;&gt;"))</f>
        <v/>
      </c>
      <c r="P75" s="56">
        <f>IF(A75="","",IF(E75="Completed",1,N(H75)))</f>
        <v/>
      </c>
    </row>
    <row r="76" ht="17" customHeight="1">
      <c r="A76" s="50" t="n"/>
      <c r="B76" s="50" t="n"/>
      <c r="C76" s="50" t="n"/>
      <c r="D76" s="51" t="n"/>
      <c r="E76" s="51" t="n"/>
      <c r="F76" s="52" t="n"/>
      <c r="G76" s="52" t="n"/>
      <c r="H76" s="53" t="n"/>
      <c r="I76" s="51" t="n"/>
      <c r="J76" s="51" t="n"/>
      <c r="K76" s="50" t="n"/>
      <c r="L76" s="54">
        <f>IF(OR(A76="",G76=""),"",G76-TODAY())</f>
        <v/>
      </c>
      <c r="M76" s="54">
        <f>IF(A76="","",IF(AND(G76&lt;&gt;"",G76&lt;TODAY(),E76&lt;&gt;"Completed"),"Yes",""))</f>
        <v/>
      </c>
      <c r="N76" s="55">
        <f>IF(M76&lt;&gt;"Yes","",COUNTIF($M$5:M76,"Yes"))</f>
        <v/>
      </c>
      <c r="O76" s="55">
        <f>IF(OR(A76="",E76="Completed",G76="",G76&lt;TODAY(),G76&gt;TODAY()+14),"",COUNTIFS($G$5:G76,"&gt;="&amp;TODAY(),$G$5:G76,"&lt;="&amp;TODAY()+14,$E$5:E76,"&lt;&gt;Completed",$A$5:A76,"&lt;&gt;"))</f>
        <v/>
      </c>
      <c r="P76" s="56">
        <f>IF(A76="","",IF(E76="Completed",1,N(H76)))</f>
        <v/>
      </c>
    </row>
    <row r="77" ht="17" customHeight="1">
      <c r="A77" s="50" t="n"/>
      <c r="B77" s="50" t="n"/>
      <c r="C77" s="50" t="n"/>
      <c r="D77" s="51" t="n"/>
      <c r="E77" s="51" t="n"/>
      <c r="F77" s="52" t="n"/>
      <c r="G77" s="52" t="n"/>
      <c r="H77" s="53" t="n"/>
      <c r="I77" s="51" t="n"/>
      <c r="J77" s="51" t="n"/>
      <c r="K77" s="50" t="n"/>
      <c r="L77" s="54">
        <f>IF(OR(A77="",G77=""),"",G77-TODAY())</f>
        <v/>
      </c>
      <c r="M77" s="54">
        <f>IF(A77="","",IF(AND(G77&lt;&gt;"",G77&lt;TODAY(),E77&lt;&gt;"Completed"),"Yes",""))</f>
        <v/>
      </c>
      <c r="N77" s="55">
        <f>IF(M77&lt;&gt;"Yes","",COUNTIF($M$5:M77,"Yes"))</f>
        <v/>
      </c>
      <c r="O77" s="55">
        <f>IF(OR(A77="",E77="Completed",G77="",G77&lt;TODAY(),G77&gt;TODAY()+14),"",COUNTIFS($G$5:G77,"&gt;="&amp;TODAY(),$G$5:G77,"&lt;="&amp;TODAY()+14,$E$5:E77,"&lt;&gt;Completed",$A$5:A77,"&lt;&gt;"))</f>
        <v/>
      </c>
      <c r="P77" s="56">
        <f>IF(A77="","",IF(E77="Completed",1,N(H77)))</f>
        <v/>
      </c>
    </row>
    <row r="78" ht="17" customHeight="1">
      <c r="A78" s="50" t="n"/>
      <c r="B78" s="50" t="n"/>
      <c r="C78" s="50" t="n"/>
      <c r="D78" s="51" t="n"/>
      <c r="E78" s="51" t="n"/>
      <c r="F78" s="52" t="n"/>
      <c r="G78" s="52" t="n"/>
      <c r="H78" s="53" t="n"/>
      <c r="I78" s="51" t="n"/>
      <c r="J78" s="51" t="n"/>
      <c r="K78" s="50" t="n"/>
      <c r="L78" s="54">
        <f>IF(OR(A78="",G78=""),"",G78-TODAY())</f>
        <v/>
      </c>
      <c r="M78" s="54">
        <f>IF(A78="","",IF(AND(G78&lt;&gt;"",G78&lt;TODAY(),E78&lt;&gt;"Completed"),"Yes",""))</f>
        <v/>
      </c>
      <c r="N78" s="55">
        <f>IF(M78&lt;&gt;"Yes","",COUNTIF($M$5:M78,"Yes"))</f>
        <v/>
      </c>
      <c r="O78" s="55">
        <f>IF(OR(A78="",E78="Completed",G78="",G78&lt;TODAY(),G78&gt;TODAY()+14),"",COUNTIFS($G$5:G78,"&gt;="&amp;TODAY(),$G$5:G78,"&lt;="&amp;TODAY()+14,$E$5:E78,"&lt;&gt;Completed",$A$5:A78,"&lt;&gt;"))</f>
        <v/>
      </c>
      <c r="P78" s="56">
        <f>IF(A78="","",IF(E78="Completed",1,N(H78)))</f>
        <v/>
      </c>
    </row>
    <row r="79" ht="17" customHeight="1">
      <c r="A79" s="50" t="n"/>
      <c r="B79" s="50" t="n"/>
      <c r="C79" s="50" t="n"/>
      <c r="D79" s="51" t="n"/>
      <c r="E79" s="51" t="n"/>
      <c r="F79" s="52" t="n"/>
      <c r="G79" s="52" t="n"/>
      <c r="H79" s="53" t="n"/>
      <c r="I79" s="51" t="n"/>
      <c r="J79" s="51" t="n"/>
      <c r="K79" s="50" t="n"/>
      <c r="L79" s="54">
        <f>IF(OR(A79="",G79=""),"",G79-TODAY())</f>
        <v/>
      </c>
      <c r="M79" s="54">
        <f>IF(A79="","",IF(AND(G79&lt;&gt;"",G79&lt;TODAY(),E79&lt;&gt;"Completed"),"Yes",""))</f>
        <v/>
      </c>
      <c r="N79" s="55">
        <f>IF(M79&lt;&gt;"Yes","",COUNTIF($M$5:M79,"Yes"))</f>
        <v/>
      </c>
      <c r="O79" s="55">
        <f>IF(OR(A79="",E79="Completed",G79="",G79&lt;TODAY(),G79&gt;TODAY()+14),"",COUNTIFS($G$5:G79,"&gt;="&amp;TODAY(),$G$5:G79,"&lt;="&amp;TODAY()+14,$E$5:E79,"&lt;&gt;Completed",$A$5:A79,"&lt;&gt;"))</f>
        <v/>
      </c>
      <c r="P79" s="56">
        <f>IF(A79="","",IF(E79="Completed",1,N(H79)))</f>
        <v/>
      </c>
    </row>
    <row r="80" ht="17" customHeight="1">
      <c r="A80" s="50" t="n"/>
      <c r="B80" s="50" t="n"/>
      <c r="C80" s="50" t="n"/>
      <c r="D80" s="51" t="n"/>
      <c r="E80" s="51" t="n"/>
      <c r="F80" s="52" t="n"/>
      <c r="G80" s="52" t="n"/>
      <c r="H80" s="53" t="n"/>
      <c r="I80" s="51" t="n"/>
      <c r="J80" s="51" t="n"/>
      <c r="K80" s="50" t="n"/>
      <c r="L80" s="54">
        <f>IF(OR(A80="",G80=""),"",G80-TODAY())</f>
        <v/>
      </c>
      <c r="M80" s="54">
        <f>IF(A80="","",IF(AND(G80&lt;&gt;"",G80&lt;TODAY(),E80&lt;&gt;"Completed"),"Yes",""))</f>
        <v/>
      </c>
      <c r="N80" s="55">
        <f>IF(M80&lt;&gt;"Yes","",COUNTIF($M$5:M80,"Yes"))</f>
        <v/>
      </c>
      <c r="O80" s="55">
        <f>IF(OR(A80="",E80="Completed",G80="",G80&lt;TODAY(),G80&gt;TODAY()+14),"",COUNTIFS($G$5:G80,"&gt;="&amp;TODAY(),$G$5:G80,"&lt;="&amp;TODAY()+14,$E$5:E80,"&lt;&gt;Completed",$A$5:A80,"&lt;&gt;"))</f>
        <v/>
      </c>
      <c r="P80" s="56">
        <f>IF(A80="","",IF(E80="Completed",1,N(H80)))</f>
        <v/>
      </c>
    </row>
    <row r="81" ht="17" customHeight="1">
      <c r="A81" s="50" t="n"/>
      <c r="B81" s="50" t="n"/>
      <c r="C81" s="50" t="n"/>
      <c r="D81" s="51" t="n"/>
      <c r="E81" s="51" t="n"/>
      <c r="F81" s="52" t="n"/>
      <c r="G81" s="52" t="n"/>
      <c r="H81" s="53" t="n"/>
      <c r="I81" s="51" t="n"/>
      <c r="J81" s="51" t="n"/>
      <c r="K81" s="50" t="n"/>
      <c r="L81" s="54">
        <f>IF(OR(A81="",G81=""),"",G81-TODAY())</f>
        <v/>
      </c>
      <c r="M81" s="54">
        <f>IF(A81="","",IF(AND(G81&lt;&gt;"",G81&lt;TODAY(),E81&lt;&gt;"Completed"),"Yes",""))</f>
        <v/>
      </c>
      <c r="N81" s="55">
        <f>IF(M81&lt;&gt;"Yes","",COUNTIF($M$5:M81,"Yes"))</f>
        <v/>
      </c>
      <c r="O81" s="55">
        <f>IF(OR(A81="",E81="Completed",G81="",G81&lt;TODAY(),G81&gt;TODAY()+14),"",COUNTIFS($G$5:G81,"&gt;="&amp;TODAY(),$G$5:G81,"&lt;="&amp;TODAY()+14,$E$5:E81,"&lt;&gt;Completed",$A$5:A81,"&lt;&gt;"))</f>
        <v/>
      </c>
      <c r="P81" s="56">
        <f>IF(A81="","",IF(E81="Completed",1,N(H81)))</f>
        <v/>
      </c>
    </row>
    <row r="82" ht="17" customHeight="1">
      <c r="A82" s="50" t="n"/>
      <c r="B82" s="50" t="n"/>
      <c r="C82" s="50" t="n"/>
      <c r="D82" s="51" t="n"/>
      <c r="E82" s="51" t="n"/>
      <c r="F82" s="52" t="n"/>
      <c r="G82" s="52" t="n"/>
      <c r="H82" s="53" t="n"/>
      <c r="I82" s="51" t="n"/>
      <c r="J82" s="51" t="n"/>
      <c r="K82" s="50" t="n"/>
      <c r="L82" s="54">
        <f>IF(OR(A82="",G82=""),"",G82-TODAY())</f>
        <v/>
      </c>
      <c r="M82" s="54">
        <f>IF(A82="","",IF(AND(G82&lt;&gt;"",G82&lt;TODAY(),E82&lt;&gt;"Completed"),"Yes",""))</f>
        <v/>
      </c>
      <c r="N82" s="55">
        <f>IF(M82&lt;&gt;"Yes","",COUNTIF($M$5:M82,"Yes"))</f>
        <v/>
      </c>
      <c r="O82" s="55">
        <f>IF(OR(A82="",E82="Completed",G82="",G82&lt;TODAY(),G82&gt;TODAY()+14),"",COUNTIFS($G$5:G82,"&gt;="&amp;TODAY(),$G$5:G82,"&lt;="&amp;TODAY()+14,$E$5:E82,"&lt;&gt;Completed",$A$5:A82,"&lt;&gt;"))</f>
        <v/>
      </c>
      <c r="P82" s="56">
        <f>IF(A82="","",IF(E82="Completed",1,N(H82)))</f>
        <v/>
      </c>
    </row>
    <row r="83" ht="17" customHeight="1">
      <c r="A83" s="50" t="n"/>
      <c r="B83" s="50" t="n"/>
      <c r="C83" s="50" t="n"/>
      <c r="D83" s="51" t="n"/>
      <c r="E83" s="51" t="n"/>
      <c r="F83" s="52" t="n"/>
      <c r="G83" s="52" t="n"/>
      <c r="H83" s="53" t="n"/>
      <c r="I83" s="51" t="n"/>
      <c r="J83" s="51" t="n"/>
      <c r="K83" s="50" t="n"/>
      <c r="L83" s="54">
        <f>IF(OR(A83="",G83=""),"",G83-TODAY())</f>
        <v/>
      </c>
      <c r="M83" s="54">
        <f>IF(A83="","",IF(AND(G83&lt;&gt;"",G83&lt;TODAY(),E83&lt;&gt;"Completed"),"Yes",""))</f>
        <v/>
      </c>
      <c r="N83" s="55">
        <f>IF(M83&lt;&gt;"Yes","",COUNTIF($M$5:M83,"Yes"))</f>
        <v/>
      </c>
      <c r="O83" s="55">
        <f>IF(OR(A83="",E83="Completed",G83="",G83&lt;TODAY(),G83&gt;TODAY()+14),"",COUNTIFS($G$5:G83,"&gt;="&amp;TODAY(),$G$5:G83,"&lt;="&amp;TODAY()+14,$E$5:E83,"&lt;&gt;Completed",$A$5:A83,"&lt;&gt;"))</f>
        <v/>
      </c>
      <c r="P83" s="56">
        <f>IF(A83="","",IF(E83="Completed",1,N(H83)))</f>
        <v/>
      </c>
    </row>
    <row r="84" ht="17" customHeight="1">
      <c r="A84" s="50" t="n"/>
      <c r="B84" s="50" t="n"/>
      <c r="C84" s="50" t="n"/>
      <c r="D84" s="51" t="n"/>
      <c r="E84" s="51" t="n"/>
      <c r="F84" s="52" t="n"/>
      <c r="G84" s="52" t="n"/>
      <c r="H84" s="53" t="n"/>
      <c r="I84" s="51" t="n"/>
      <c r="J84" s="51" t="n"/>
      <c r="K84" s="50" t="n"/>
      <c r="L84" s="54">
        <f>IF(OR(A84="",G84=""),"",G84-TODAY())</f>
        <v/>
      </c>
      <c r="M84" s="54">
        <f>IF(A84="","",IF(AND(G84&lt;&gt;"",G84&lt;TODAY(),E84&lt;&gt;"Completed"),"Yes",""))</f>
        <v/>
      </c>
      <c r="N84" s="55">
        <f>IF(M84&lt;&gt;"Yes","",COUNTIF($M$5:M84,"Yes"))</f>
        <v/>
      </c>
      <c r="O84" s="55">
        <f>IF(OR(A84="",E84="Completed",G84="",G84&lt;TODAY(),G84&gt;TODAY()+14),"",COUNTIFS($G$5:G84,"&gt;="&amp;TODAY(),$G$5:G84,"&lt;="&amp;TODAY()+14,$E$5:E84,"&lt;&gt;Completed",$A$5:A84,"&lt;&gt;"))</f>
        <v/>
      </c>
      <c r="P84" s="56">
        <f>IF(A84="","",IF(E84="Completed",1,N(H84)))</f>
        <v/>
      </c>
    </row>
    <row r="85">
      <c r="A85" s="45" t="inlineStr">
        <is>
          <t>TOTAL</t>
        </is>
      </c>
      <c r="B85" s="46" t="n"/>
      <c r="C85" s="46" t="n"/>
      <c r="D85" s="46" t="n"/>
      <c r="E85" s="46" t="n"/>
      <c r="F85" s="46" t="n"/>
      <c r="G85" s="46" t="n"/>
      <c r="H85" s="46" t="n"/>
      <c r="I85" s="47">
        <f>SUM(I5:I84)</f>
        <v/>
      </c>
      <c r="J85" s="47">
        <f>SUM(J5:J84)</f>
        <v/>
      </c>
      <c r="K85" s="46" t="n"/>
    </row>
    <row r="87">
      <c r="A87" s="48" t="inlineStr">
        <is>
          <t>Add a task in the next blank blue row. Days left is negative when overdue. Use the filter arrows to focus on one project or person.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4:K84"/>
  <mergeCells count="4">
    <mergeCell ref="A2:K2"/>
    <mergeCell ref="A87:K87"/>
    <mergeCell ref="A1:K1"/>
    <mergeCell ref="A3:K3"/>
  </mergeCells>
  <conditionalFormatting sqref="A5:K84">
    <cfRule type="expression" priority="1" dxfId="6">
      <formula>$E5="Completed"</formula>
    </cfRule>
    <cfRule type="expression" priority="2" dxfId="2">
      <formula>$M5="Yes"</formula>
    </cfRule>
    <cfRule type="expression" priority="3" dxfId="7">
      <formula>$E5="In Progress"</formula>
    </cfRule>
    <cfRule type="expression" priority="4" dxfId="8">
      <formula>$E5="Waiting"</formula>
    </cfRule>
    <cfRule type="expression" priority="5" dxfId="9">
      <formula>$E5="On Hold"</formula>
    </cfRule>
  </conditionalFormatting>
  <conditionalFormatting sqref="D5:D84">
    <cfRule type="expression" priority="6" dxfId="10">
      <formula>$D5="High"</formula>
    </cfRule>
  </conditionalFormatting>
  <conditionalFormatting sqref="H5:H84">
    <cfRule type="dataBar" priority="7">
      <dataBar showValue="1">
        <cfvo type="num" val="0"/>
        <cfvo type="num" val="1"/>
        <color rgb="001F6B5A"/>
      </dataBar>
    </cfRule>
  </conditionalFormatting>
  <dataValidations count="4">
    <dataValidation sqref="B5:B84" showDropDown="0" showInputMessage="0" showErrorMessage="0" allowBlank="1" type="list">
      <formula1>=Projects!$A$5:$A$24</formula1>
    </dataValidation>
    <dataValidation sqref="C5:C84" showDropDown="0" showInputMessage="0" showErrorMessage="0" allowBlank="1" type="list">
      <formula1>=Projects!$N$2:$N$6</formula1>
    </dataValidation>
    <dataValidation sqref="D5:D84" showDropDown="0" showInputMessage="0" showErrorMessage="0" allowBlank="1" type="list">
      <formula1>=Projects!$N$19:$N$21</formula1>
    </dataValidation>
    <dataValidation sqref="E5:E84" showDropDown="0" showInputMessage="0" showErrorMessage="0" allowBlank="1" type="list">
      <formula1>=Projects!$N$13:$N$17</formula1>
    </dataValidation>
  </dataValidations>
  <printOptions horizontalCentered="1"/>
  <pageMargins left="0.45" right="0.45" top="0.5" bottom="0.5" header="0.25" footer="0.25"/>
  <pageSetup orientation="landscape" paperSize="1" fitToHeight="0" fitToWidth="1"/>
  <headerFooter>
    <oddHeader>&amp;LTask List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6C3483"/>
    <outlinePr summaryBelow="1" summaryRight="1"/>
    <pageSetUpPr fitToPage="1"/>
  </sheetPr>
  <dimension ref="A1:W46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</cols>
  <sheetData>
    <row r="1" ht="30" customHeight="1">
      <c r="A1" s="1" t="inlineStr">
        <is>
          <t>Timeline / Gantt</t>
        </is>
      </c>
    </row>
    <row r="2">
      <c r="A2" s="57" t="inlineStr">
        <is>
          <t>Timeline start (Monday)</t>
        </is>
      </c>
      <c r="B2" s="84" t="n"/>
      <c r="C2" s="83" t="n"/>
      <c r="D2" s="58" t="n">
        <v>46244</v>
      </c>
      <c r="E2" s="59" t="inlineStr">
        <is>
          <t>Each column is one week. A block means the task is scheduled that week. Color follows Status. First 40 tasks from the Task List.</t>
        </is>
      </c>
    </row>
    <row r="3">
      <c r="A3" s="38">
        <f>"Weeks of "&amp;TEXT(TimelineStart,"mmm d, yyyy")&amp;" – "&amp;TEXT(TimelineStart+7*17,"mmm d, yyyy")</f>
        <v/>
      </c>
    </row>
    <row r="4" ht="32" customHeight="1">
      <c r="A4" s="60" t="inlineStr">
        <is>
          <t>Task</t>
        </is>
      </c>
      <c r="B4" s="60" t="inlineStr">
        <is>
          <t>Project</t>
        </is>
      </c>
      <c r="C4" s="60" t="inlineStr">
        <is>
          <t>Start</t>
        </is>
      </c>
      <c r="D4" s="60" t="inlineStr">
        <is>
          <t>Due</t>
        </is>
      </c>
      <c r="E4" s="60" t="inlineStr">
        <is>
          <t>Status</t>
        </is>
      </c>
      <c r="F4" s="61">
        <f>TimelineStart+0*7</f>
        <v/>
      </c>
      <c r="G4" s="61">
        <f>TimelineStart+1*7</f>
        <v/>
      </c>
      <c r="H4" s="61">
        <f>TimelineStart+2*7</f>
        <v/>
      </c>
      <c r="I4" s="61">
        <f>TimelineStart+3*7</f>
        <v/>
      </c>
      <c r="J4" s="61">
        <f>TimelineStart+4*7</f>
        <v/>
      </c>
      <c r="K4" s="61">
        <f>TimelineStart+5*7</f>
        <v/>
      </c>
      <c r="L4" s="61">
        <f>TimelineStart+6*7</f>
        <v/>
      </c>
      <c r="M4" s="61">
        <f>TimelineStart+7*7</f>
        <v/>
      </c>
      <c r="N4" s="61">
        <f>TimelineStart+8*7</f>
        <v/>
      </c>
      <c r="O4" s="61">
        <f>TimelineStart+9*7</f>
        <v/>
      </c>
      <c r="P4" s="61">
        <f>TimelineStart+10*7</f>
        <v/>
      </c>
      <c r="Q4" s="61">
        <f>TimelineStart+11*7</f>
        <v/>
      </c>
      <c r="R4" s="61">
        <f>TimelineStart+12*7</f>
        <v/>
      </c>
      <c r="S4" s="61">
        <f>TimelineStart+13*7</f>
        <v/>
      </c>
      <c r="T4" s="61">
        <f>TimelineStart+14*7</f>
        <v/>
      </c>
      <c r="U4" s="61">
        <f>TimelineStart+15*7</f>
        <v/>
      </c>
      <c r="V4" s="61">
        <f>TimelineStart+16*7</f>
        <v/>
      </c>
      <c r="W4" s="61">
        <f>TimelineStart+17*7</f>
        <v/>
      </c>
    </row>
    <row r="5" ht="16" customHeight="1">
      <c r="A5" s="62">
        <f>IF('Task List'!A5="","",'Task List'!A5)</f>
        <v/>
      </c>
      <c r="B5" s="62">
        <f>IF(A5="","",'Task List'!B5)</f>
        <v/>
      </c>
      <c r="C5" s="63">
        <f>IF(A5="","",'Task List'!F5)</f>
        <v/>
      </c>
      <c r="D5" s="63">
        <f>IF(A5="","",'Task List'!G5)</f>
        <v/>
      </c>
      <c r="E5" s="54">
        <f>IF(A5="","",'Task List'!E5)</f>
        <v/>
      </c>
      <c r="F5" s="64">
        <f>IF(OR(A5="",C5="",D5=""),"",IF(AND(C5&lt;=F$4+6,D5&gt;=F$4),"█",""))</f>
        <v/>
      </c>
      <c r="G5" s="64">
        <f>IF(OR(A5="",C5="",D5=""),"",IF(AND(C5&lt;=G$4+6,D5&gt;=G$4),"█",""))</f>
        <v/>
      </c>
      <c r="H5" s="64">
        <f>IF(OR(A5="",C5="",D5=""),"",IF(AND(C5&lt;=H$4+6,D5&gt;=H$4),"█",""))</f>
        <v/>
      </c>
      <c r="I5" s="64">
        <f>IF(OR(A5="",C5="",D5=""),"",IF(AND(C5&lt;=I$4+6,D5&gt;=I$4),"█",""))</f>
        <v/>
      </c>
      <c r="J5" s="64">
        <f>IF(OR(A5="",C5="",D5=""),"",IF(AND(C5&lt;=J$4+6,D5&gt;=J$4),"█",""))</f>
        <v/>
      </c>
      <c r="K5" s="64">
        <f>IF(OR(A5="",C5="",D5=""),"",IF(AND(C5&lt;=K$4+6,D5&gt;=K$4),"█",""))</f>
        <v/>
      </c>
      <c r="L5" s="64">
        <f>IF(OR(A5="",C5="",D5=""),"",IF(AND(C5&lt;=L$4+6,D5&gt;=L$4),"█",""))</f>
        <v/>
      </c>
      <c r="M5" s="64">
        <f>IF(OR(A5="",C5="",D5=""),"",IF(AND(C5&lt;=M$4+6,D5&gt;=M$4),"█",""))</f>
        <v/>
      </c>
      <c r="N5" s="64">
        <f>IF(OR(A5="",C5="",D5=""),"",IF(AND(C5&lt;=N$4+6,D5&gt;=N$4),"█",""))</f>
        <v/>
      </c>
      <c r="O5" s="64">
        <f>IF(OR(A5="",C5="",D5=""),"",IF(AND(C5&lt;=O$4+6,D5&gt;=O$4),"█",""))</f>
        <v/>
      </c>
      <c r="P5" s="64">
        <f>IF(OR(A5="",C5="",D5=""),"",IF(AND(C5&lt;=P$4+6,D5&gt;=P$4),"█",""))</f>
        <v/>
      </c>
      <c r="Q5" s="64">
        <f>IF(OR(A5="",C5="",D5=""),"",IF(AND(C5&lt;=Q$4+6,D5&gt;=Q$4),"█",""))</f>
        <v/>
      </c>
      <c r="R5" s="64">
        <f>IF(OR(A5="",C5="",D5=""),"",IF(AND(C5&lt;=R$4+6,D5&gt;=R$4),"█",""))</f>
        <v/>
      </c>
      <c r="S5" s="64">
        <f>IF(OR(A5="",C5="",D5=""),"",IF(AND(C5&lt;=S$4+6,D5&gt;=S$4),"█",""))</f>
        <v/>
      </c>
      <c r="T5" s="64">
        <f>IF(OR(A5="",C5="",D5=""),"",IF(AND(C5&lt;=T$4+6,D5&gt;=T$4),"█",""))</f>
        <v/>
      </c>
      <c r="U5" s="64">
        <f>IF(OR(A5="",C5="",D5=""),"",IF(AND(C5&lt;=U$4+6,D5&gt;=U$4),"█",""))</f>
        <v/>
      </c>
      <c r="V5" s="64">
        <f>IF(OR(A5="",C5="",D5=""),"",IF(AND(C5&lt;=V$4+6,D5&gt;=V$4),"█",""))</f>
        <v/>
      </c>
      <c r="W5" s="64">
        <f>IF(OR(A5="",C5="",D5=""),"",IF(AND(C5&lt;=W$4+6,D5&gt;=W$4),"█",""))</f>
        <v/>
      </c>
    </row>
    <row r="6" ht="16" customHeight="1">
      <c r="A6" s="62">
        <f>IF('Task List'!A6="","",'Task List'!A6)</f>
        <v/>
      </c>
      <c r="B6" s="62">
        <f>IF(A6="","",'Task List'!B6)</f>
        <v/>
      </c>
      <c r="C6" s="63">
        <f>IF(A6="","",'Task List'!F6)</f>
        <v/>
      </c>
      <c r="D6" s="63">
        <f>IF(A6="","",'Task List'!G6)</f>
        <v/>
      </c>
      <c r="E6" s="54">
        <f>IF(A6="","",'Task List'!E6)</f>
        <v/>
      </c>
      <c r="F6" s="64">
        <f>IF(OR(A6="",C6="",D6=""),"",IF(AND(C6&lt;=F$4+6,D6&gt;=F$4),"█",""))</f>
        <v/>
      </c>
      <c r="G6" s="64">
        <f>IF(OR(A6="",C6="",D6=""),"",IF(AND(C6&lt;=G$4+6,D6&gt;=G$4),"█",""))</f>
        <v/>
      </c>
      <c r="H6" s="64">
        <f>IF(OR(A6="",C6="",D6=""),"",IF(AND(C6&lt;=H$4+6,D6&gt;=H$4),"█",""))</f>
        <v/>
      </c>
      <c r="I6" s="64">
        <f>IF(OR(A6="",C6="",D6=""),"",IF(AND(C6&lt;=I$4+6,D6&gt;=I$4),"█",""))</f>
        <v/>
      </c>
      <c r="J6" s="64">
        <f>IF(OR(A6="",C6="",D6=""),"",IF(AND(C6&lt;=J$4+6,D6&gt;=J$4),"█",""))</f>
        <v/>
      </c>
      <c r="K6" s="64">
        <f>IF(OR(A6="",C6="",D6=""),"",IF(AND(C6&lt;=K$4+6,D6&gt;=K$4),"█",""))</f>
        <v/>
      </c>
      <c r="L6" s="64">
        <f>IF(OR(A6="",C6="",D6=""),"",IF(AND(C6&lt;=L$4+6,D6&gt;=L$4),"█",""))</f>
        <v/>
      </c>
      <c r="M6" s="64">
        <f>IF(OR(A6="",C6="",D6=""),"",IF(AND(C6&lt;=M$4+6,D6&gt;=M$4),"█",""))</f>
        <v/>
      </c>
      <c r="N6" s="64">
        <f>IF(OR(A6="",C6="",D6=""),"",IF(AND(C6&lt;=N$4+6,D6&gt;=N$4),"█",""))</f>
        <v/>
      </c>
      <c r="O6" s="64">
        <f>IF(OR(A6="",C6="",D6=""),"",IF(AND(C6&lt;=O$4+6,D6&gt;=O$4),"█",""))</f>
        <v/>
      </c>
      <c r="P6" s="64">
        <f>IF(OR(A6="",C6="",D6=""),"",IF(AND(C6&lt;=P$4+6,D6&gt;=P$4),"█",""))</f>
        <v/>
      </c>
      <c r="Q6" s="64">
        <f>IF(OR(A6="",C6="",D6=""),"",IF(AND(C6&lt;=Q$4+6,D6&gt;=Q$4),"█",""))</f>
        <v/>
      </c>
      <c r="R6" s="64">
        <f>IF(OR(A6="",C6="",D6=""),"",IF(AND(C6&lt;=R$4+6,D6&gt;=R$4),"█",""))</f>
        <v/>
      </c>
      <c r="S6" s="64">
        <f>IF(OR(A6="",C6="",D6=""),"",IF(AND(C6&lt;=S$4+6,D6&gt;=S$4),"█",""))</f>
        <v/>
      </c>
      <c r="T6" s="64">
        <f>IF(OR(A6="",C6="",D6=""),"",IF(AND(C6&lt;=T$4+6,D6&gt;=T$4),"█",""))</f>
        <v/>
      </c>
      <c r="U6" s="64">
        <f>IF(OR(A6="",C6="",D6=""),"",IF(AND(C6&lt;=U$4+6,D6&gt;=U$4),"█",""))</f>
        <v/>
      </c>
      <c r="V6" s="64">
        <f>IF(OR(A6="",C6="",D6=""),"",IF(AND(C6&lt;=V$4+6,D6&gt;=V$4),"█",""))</f>
        <v/>
      </c>
      <c r="W6" s="64">
        <f>IF(OR(A6="",C6="",D6=""),"",IF(AND(C6&lt;=W$4+6,D6&gt;=W$4),"█",""))</f>
        <v/>
      </c>
    </row>
    <row r="7" ht="16" customHeight="1">
      <c r="A7" s="62">
        <f>IF('Task List'!A7="","",'Task List'!A7)</f>
        <v/>
      </c>
      <c r="B7" s="62">
        <f>IF(A7="","",'Task List'!B7)</f>
        <v/>
      </c>
      <c r="C7" s="63">
        <f>IF(A7="","",'Task List'!F7)</f>
        <v/>
      </c>
      <c r="D7" s="63">
        <f>IF(A7="","",'Task List'!G7)</f>
        <v/>
      </c>
      <c r="E7" s="54">
        <f>IF(A7="","",'Task List'!E7)</f>
        <v/>
      </c>
      <c r="F7" s="64">
        <f>IF(OR(A7="",C7="",D7=""),"",IF(AND(C7&lt;=F$4+6,D7&gt;=F$4),"█",""))</f>
        <v/>
      </c>
      <c r="G7" s="64">
        <f>IF(OR(A7="",C7="",D7=""),"",IF(AND(C7&lt;=G$4+6,D7&gt;=G$4),"█",""))</f>
        <v/>
      </c>
      <c r="H7" s="64">
        <f>IF(OR(A7="",C7="",D7=""),"",IF(AND(C7&lt;=H$4+6,D7&gt;=H$4),"█",""))</f>
        <v/>
      </c>
      <c r="I7" s="64">
        <f>IF(OR(A7="",C7="",D7=""),"",IF(AND(C7&lt;=I$4+6,D7&gt;=I$4),"█",""))</f>
        <v/>
      </c>
      <c r="J7" s="64">
        <f>IF(OR(A7="",C7="",D7=""),"",IF(AND(C7&lt;=J$4+6,D7&gt;=J$4),"█",""))</f>
        <v/>
      </c>
      <c r="K7" s="64">
        <f>IF(OR(A7="",C7="",D7=""),"",IF(AND(C7&lt;=K$4+6,D7&gt;=K$4),"█",""))</f>
        <v/>
      </c>
      <c r="L7" s="64">
        <f>IF(OR(A7="",C7="",D7=""),"",IF(AND(C7&lt;=L$4+6,D7&gt;=L$4),"█",""))</f>
        <v/>
      </c>
      <c r="M7" s="64">
        <f>IF(OR(A7="",C7="",D7=""),"",IF(AND(C7&lt;=M$4+6,D7&gt;=M$4),"█",""))</f>
        <v/>
      </c>
      <c r="N7" s="64">
        <f>IF(OR(A7="",C7="",D7=""),"",IF(AND(C7&lt;=N$4+6,D7&gt;=N$4),"█",""))</f>
        <v/>
      </c>
      <c r="O7" s="64">
        <f>IF(OR(A7="",C7="",D7=""),"",IF(AND(C7&lt;=O$4+6,D7&gt;=O$4),"█",""))</f>
        <v/>
      </c>
      <c r="P7" s="64">
        <f>IF(OR(A7="",C7="",D7=""),"",IF(AND(C7&lt;=P$4+6,D7&gt;=P$4),"█",""))</f>
        <v/>
      </c>
      <c r="Q7" s="64">
        <f>IF(OR(A7="",C7="",D7=""),"",IF(AND(C7&lt;=Q$4+6,D7&gt;=Q$4),"█",""))</f>
        <v/>
      </c>
      <c r="R7" s="64">
        <f>IF(OR(A7="",C7="",D7=""),"",IF(AND(C7&lt;=R$4+6,D7&gt;=R$4),"█",""))</f>
        <v/>
      </c>
      <c r="S7" s="64">
        <f>IF(OR(A7="",C7="",D7=""),"",IF(AND(C7&lt;=S$4+6,D7&gt;=S$4),"█",""))</f>
        <v/>
      </c>
      <c r="T7" s="64">
        <f>IF(OR(A7="",C7="",D7=""),"",IF(AND(C7&lt;=T$4+6,D7&gt;=T$4),"█",""))</f>
        <v/>
      </c>
      <c r="U7" s="64">
        <f>IF(OR(A7="",C7="",D7=""),"",IF(AND(C7&lt;=U$4+6,D7&gt;=U$4),"█",""))</f>
        <v/>
      </c>
      <c r="V7" s="64">
        <f>IF(OR(A7="",C7="",D7=""),"",IF(AND(C7&lt;=V$4+6,D7&gt;=V$4),"█",""))</f>
        <v/>
      </c>
      <c r="W7" s="64">
        <f>IF(OR(A7="",C7="",D7=""),"",IF(AND(C7&lt;=W$4+6,D7&gt;=W$4),"█",""))</f>
        <v/>
      </c>
    </row>
    <row r="8" ht="16" customHeight="1">
      <c r="A8" s="62">
        <f>IF('Task List'!A8="","",'Task List'!A8)</f>
        <v/>
      </c>
      <c r="B8" s="62">
        <f>IF(A8="","",'Task List'!B8)</f>
        <v/>
      </c>
      <c r="C8" s="63">
        <f>IF(A8="","",'Task List'!F8)</f>
        <v/>
      </c>
      <c r="D8" s="63">
        <f>IF(A8="","",'Task List'!G8)</f>
        <v/>
      </c>
      <c r="E8" s="54">
        <f>IF(A8="","",'Task List'!E8)</f>
        <v/>
      </c>
      <c r="F8" s="64">
        <f>IF(OR(A8="",C8="",D8=""),"",IF(AND(C8&lt;=F$4+6,D8&gt;=F$4),"█",""))</f>
        <v/>
      </c>
      <c r="G8" s="64">
        <f>IF(OR(A8="",C8="",D8=""),"",IF(AND(C8&lt;=G$4+6,D8&gt;=G$4),"█",""))</f>
        <v/>
      </c>
      <c r="H8" s="64">
        <f>IF(OR(A8="",C8="",D8=""),"",IF(AND(C8&lt;=H$4+6,D8&gt;=H$4),"█",""))</f>
        <v/>
      </c>
      <c r="I8" s="64">
        <f>IF(OR(A8="",C8="",D8=""),"",IF(AND(C8&lt;=I$4+6,D8&gt;=I$4),"█",""))</f>
        <v/>
      </c>
      <c r="J8" s="64">
        <f>IF(OR(A8="",C8="",D8=""),"",IF(AND(C8&lt;=J$4+6,D8&gt;=J$4),"█",""))</f>
        <v/>
      </c>
      <c r="K8" s="64">
        <f>IF(OR(A8="",C8="",D8=""),"",IF(AND(C8&lt;=K$4+6,D8&gt;=K$4),"█",""))</f>
        <v/>
      </c>
      <c r="L8" s="64">
        <f>IF(OR(A8="",C8="",D8=""),"",IF(AND(C8&lt;=L$4+6,D8&gt;=L$4),"█",""))</f>
        <v/>
      </c>
      <c r="M8" s="64">
        <f>IF(OR(A8="",C8="",D8=""),"",IF(AND(C8&lt;=M$4+6,D8&gt;=M$4),"█",""))</f>
        <v/>
      </c>
      <c r="N8" s="64">
        <f>IF(OR(A8="",C8="",D8=""),"",IF(AND(C8&lt;=N$4+6,D8&gt;=N$4),"█",""))</f>
        <v/>
      </c>
      <c r="O8" s="64">
        <f>IF(OR(A8="",C8="",D8=""),"",IF(AND(C8&lt;=O$4+6,D8&gt;=O$4),"█",""))</f>
        <v/>
      </c>
      <c r="P8" s="64">
        <f>IF(OR(A8="",C8="",D8=""),"",IF(AND(C8&lt;=P$4+6,D8&gt;=P$4),"█",""))</f>
        <v/>
      </c>
      <c r="Q8" s="64">
        <f>IF(OR(A8="",C8="",D8=""),"",IF(AND(C8&lt;=Q$4+6,D8&gt;=Q$4),"█",""))</f>
        <v/>
      </c>
      <c r="R8" s="64">
        <f>IF(OR(A8="",C8="",D8=""),"",IF(AND(C8&lt;=R$4+6,D8&gt;=R$4),"█",""))</f>
        <v/>
      </c>
      <c r="S8" s="64">
        <f>IF(OR(A8="",C8="",D8=""),"",IF(AND(C8&lt;=S$4+6,D8&gt;=S$4),"█",""))</f>
        <v/>
      </c>
      <c r="T8" s="64">
        <f>IF(OR(A8="",C8="",D8=""),"",IF(AND(C8&lt;=T$4+6,D8&gt;=T$4),"█",""))</f>
        <v/>
      </c>
      <c r="U8" s="64">
        <f>IF(OR(A8="",C8="",D8=""),"",IF(AND(C8&lt;=U$4+6,D8&gt;=U$4),"█",""))</f>
        <v/>
      </c>
      <c r="V8" s="64">
        <f>IF(OR(A8="",C8="",D8=""),"",IF(AND(C8&lt;=V$4+6,D8&gt;=V$4),"█",""))</f>
        <v/>
      </c>
      <c r="W8" s="64">
        <f>IF(OR(A8="",C8="",D8=""),"",IF(AND(C8&lt;=W$4+6,D8&gt;=W$4),"█",""))</f>
        <v/>
      </c>
    </row>
    <row r="9" ht="16" customHeight="1">
      <c r="A9" s="62">
        <f>IF('Task List'!A9="","",'Task List'!A9)</f>
        <v/>
      </c>
      <c r="B9" s="62">
        <f>IF(A9="","",'Task List'!B9)</f>
        <v/>
      </c>
      <c r="C9" s="63">
        <f>IF(A9="","",'Task List'!F9)</f>
        <v/>
      </c>
      <c r="D9" s="63">
        <f>IF(A9="","",'Task List'!G9)</f>
        <v/>
      </c>
      <c r="E9" s="54">
        <f>IF(A9="","",'Task List'!E9)</f>
        <v/>
      </c>
      <c r="F9" s="64">
        <f>IF(OR(A9="",C9="",D9=""),"",IF(AND(C9&lt;=F$4+6,D9&gt;=F$4),"█",""))</f>
        <v/>
      </c>
      <c r="G9" s="64">
        <f>IF(OR(A9="",C9="",D9=""),"",IF(AND(C9&lt;=G$4+6,D9&gt;=G$4),"█",""))</f>
        <v/>
      </c>
      <c r="H9" s="64">
        <f>IF(OR(A9="",C9="",D9=""),"",IF(AND(C9&lt;=H$4+6,D9&gt;=H$4),"█",""))</f>
        <v/>
      </c>
      <c r="I9" s="64">
        <f>IF(OR(A9="",C9="",D9=""),"",IF(AND(C9&lt;=I$4+6,D9&gt;=I$4),"█",""))</f>
        <v/>
      </c>
      <c r="J9" s="64">
        <f>IF(OR(A9="",C9="",D9=""),"",IF(AND(C9&lt;=J$4+6,D9&gt;=J$4),"█",""))</f>
        <v/>
      </c>
      <c r="K9" s="64">
        <f>IF(OR(A9="",C9="",D9=""),"",IF(AND(C9&lt;=K$4+6,D9&gt;=K$4),"█",""))</f>
        <v/>
      </c>
      <c r="L9" s="64">
        <f>IF(OR(A9="",C9="",D9=""),"",IF(AND(C9&lt;=L$4+6,D9&gt;=L$4),"█",""))</f>
        <v/>
      </c>
      <c r="M9" s="64">
        <f>IF(OR(A9="",C9="",D9=""),"",IF(AND(C9&lt;=M$4+6,D9&gt;=M$4),"█",""))</f>
        <v/>
      </c>
      <c r="N9" s="64">
        <f>IF(OR(A9="",C9="",D9=""),"",IF(AND(C9&lt;=N$4+6,D9&gt;=N$4),"█",""))</f>
        <v/>
      </c>
      <c r="O9" s="64">
        <f>IF(OR(A9="",C9="",D9=""),"",IF(AND(C9&lt;=O$4+6,D9&gt;=O$4),"█",""))</f>
        <v/>
      </c>
      <c r="P9" s="64">
        <f>IF(OR(A9="",C9="",D9=""),"",IF(AND(C9&lt;=P$4+6,D9&gt;=P$4),"█",""))</f>
        <v/>
      </c>
      <c r="Q9" s="64">
        <f>IF(OR(A9="",C9="",D9=""),"",IF(AND(C9&lt;=Q$4+6,D9&gt;=Q$4),"█",""))</f>
        <v/>
      </c>
      <c r="R9" s="64">
        <f>IF(OR(A9="",C9="",D9=""),"",IF(AND(C9&lt;=R$4+6,D9&gt;=R$4),"█",""))</f>
        <v/>
      </c>
      <c r="S9" s="64">
        <f>IF(OR(A9="",C9="",D9=""),"",IF(AND(C9&lt;=S$4+6,D9&gt;=S$4),"█",""))</f>
        <v/>
      </c>
      <c r="T9" s="64">
        <f>IF(OR(A9="",C9="",D9=""),"",IF(AND(C9&lt;=T$4+6,D9&gt;=T$4),"█",""))</f>
        <v/>
      </c>
      <c r="U9" s="64">
        <f>IF(OR(A9="",C9="",D9=""),"",IF(AND(C9&lt;=U$4+6,D9&gt;=U$4),"█",""))</f>
        <v/>
      </c>
      <c r="V9" s="64">
        <f>IF(OR(A9="",C9="",D9=""),"",IF(AND(C9&lt;=V$4+6,D9&gt;=V$4),"█",""))</f>
        <v/>
      </c>
      <c r="W9" s="64">
        <f>IF(OR(A9="",C9="",D9=""),"",IF(AND(C9&lt;=W$4+6,D9&gt;=W$4),"█",""))</f>
        <v/>
      </c>
    </row>
    <row r="10" ht="16" customHeight="1">
      <c r="A10" s="62">
        <f>IF('Task List'!A10="","",'Task List'!A10)</f>
        <v/>
      </c>
      <c r="B10" s="62">
        <f>IF(A10="","",'Task List'!B10)</f>
        <v/>
      </c>
      <c r="C10" s="63">
        <f>IF(A10="","",'Task List'!F10)</f>
        <v/>
      </c>
      <c r="D10" s="63">
        <f>IF(A10="","",'Task List'!G10)</f>
        <v/>
      </c>
      <c r="E10" s="54">
        <f>IF(A10="","",'Task List'!E10)</f>
        <v/>
      </c>
      <c r="F10" s="64">
        <f>IF(OR(A10="",C10="",D10=""),"",IF(AND(C10&lt;=F$4+6,D10&gt;=F$4),"█",""))</f>
        <v/>
      </c>
      <c r="G10" s="64">
        <f>IF(OR(A10="",C10="",D10=""),"",IF(AND(C10&lt;=G$4+6,D10&gt;=G$4),"█",""))</f>
        <v/>
      </c>
      <c r="H10" s="64">
        <f>IF(OR(A10="",C10="",D10=""),"",IF(AND(C10&lt;=H$4+6,D10&gt;=H$4),"█",""))</f>
        <v/>
      </c>
      <c r="I10" s="64">
        <f>IF(OR(A10="",C10="",D10=""),"",IF(AND(C10&lt;=I$4+6,D10&gt;=I$4),"█",""))</f>
        <v/>
      </c>
      <c r="J10" s="64">
        <f>IF(OR(A10="",C10="",D10=""),"",IF(AND(C10&lt;=J$4+6,D10&gt;=J$4),"█",""))</f>
        <v/>
      </c>
      <c r="K10" s="64">
        <f>IF(OR(A10="",C10="",D10=""),"",IF(AND(C10&lt;=K$4+6,D10&gt;=K$4),"█",""))</f>
        <v/>
      </c>
      <c r="L10" s="64">
        <f>IF(OR(A10="",C10="",D10=""),"",IF(AND(C10&lt;=L$4+6,D10&gt;=L$4),"█",""))</f>
        <v/>
      </c>
      <c r="M10" s="64">
        <f>IF(OR(A10="",C10="",D10=""),"",IF(AND(C10&lt;=M$4+6,D10&gt;=M$4),"█",""))</f>
        <v/>
      </c>
      <c r="N10" s="64">
        <f>IF(OR(A10="",C10="",D10=""),"",IF(AND(C10&lt;=N$4+6,D10&gt;=N$4),"█",""))</f>
        <v/>
      </c>
      <c r="O10" s="64">
        <f>IF(OR(A10="",C10="",D10=""),"",IF(AND(C10&lt;=O$4+6,D10&gt;=O$4),"█",""))</f>
        <v/>
      </c>
      <c r="P10" s="64">
        <f>IF(OR(A10="",C10="",D10=""),"",IF(AND(C10&lt;=P$4+6,D10&gt;=P$4),"█",""))</f>
        <v/>
      </c>
      <c r="Q10" s="64">
        <f>IF(OR(A10="",C10="",D10=""),"",IF(AND(C10&lt;=Q$4+6,D10&gt;=Q$4),"█",""))</f>
        <v/>
      </c>
      <c r="R10" s="64">
        <f>IF(OR(A10="",C10="",D10=""),"",IF(AND(C10&lt;=R$4+6,D10&gt;=R$4),"█",""))</f>
        <v/>
      </c>
      <c r="S10" s="64">
        <f>IF(OR(A10="",C10="",D10=""),"",IF(AND(C10&lt;=S$4+6,D10&gt;=S$4),"█",""))</f>
        <v/>
      </c>
      <c r="T10" s="64">
        <f>IF(OR(A10="",C10="",D10=""),"",IF(AND(C10&lt;=T$4+6,D10&gt;=T$4),"█",""))</f>
        <v/>
      </c>
      <c r="U10" s="64">
        <f>IF(OR(A10="",C10="",D10=""),"",IF(AND(C10&lt;=U$4+6,D10&gt;=U$4),"█",""))</f>
        <v/>
      </c>
      <c r="V10" s="64">
        <f>IF(OR(A10="",C10="",D10=""),"",IF(AND(C10&lt;=V$4+6,D10&gt;=V$4),"█",""))</f>
        <v/>
      </c>
      <c r="W10" s="64">
        <f>IF(OR(A10="",C10="",D10=""),"",IF(AND(C10&lt;=W$4+6,D10&gt;=W$4),"█",""))</f>
        <v/>
      </c>
    </row>
    <row r="11" ht="16" customHeight="1">
      <c r="A11" s="62">
        <f>IF('Task List'!A11="","",'Task List'!A11)</f>
        <v/>
      </c>
      <c r="B11" s="62">
        <f>IF(A11="","",'Task List'!B11)</f>
        <v/>
      </c>
      <c r="C11" s="63">
        <f>IF(A11="","",'Task List'!F11)</f>
        <v/>
      </c>
      <c r="D11" s="63">
        <f>IF(A11="","",'Task List'!G11)</f>
        <v/>
      </c>
      <c r="E11" s="54">
        <f>IF(A11="","",'Task List'!E11)</f>
        <v/>
      </c>
      <c r="F11" s="64">
        <f>IF(OR(A11="",C11="",D11=""),"",IF(AND(C11&lt;=F$4+6,D11&gt;=F$4),"█",""))</f>
        <v/>
      </c>
      <c r="G11" s="64">
        <f>IF(OR(A11="",C11="",D11=""),"",IF(AND(C11&lt;=G$4+6,D11&gt;=G$4),"█",""))</f>
        <v/>
      </c>
      <c r="H11" s="64">
        <f>IF(OR(A11="",C11="",D11=""),"",IF(AND(C11&lt;=H$4+6,D11&gt;=H$4),"█",""))</f>
        <v/>
      </c>
      <c r="I11" s="64">
        <f>IF(OR(A11="",C11="",D11=""),"",IF(AND(C11&lt;=I$4+6,D11&gt;=I$4),"█",""))</f>
        <v/>
      </c>
      <c r="J11" s="64">
        <f>IF(OR(A11="",C11="",D11=""),"",IF(AND(C11&lt;=J$4+6,D11&gt;=J$4),"█",""))</f>
        <v/>
      </c>
      <c r="K11" s="64">
        <f>IF(OR(A11="",C11="",D11=""),"",IF(AND(C11&lt;=K$4+6,D11&gt;=K$4),"█",""))</f>
        <v/>
      </c>
      <c r="L11" s="64">
        <f>IF(OR(A11="",C11="",D11=""),"",IF(AND(C11&lt;=L$4+6,D11&gt;=L$4),"█",""))</f>
        <v/>
      </c>
      <c r="M11" s="64">
        <f>IF(OR(A11="",C11="",D11=""),"",IF(AND(C11&lt;=M$4+6,D11&gt;=M$4),"█",""))</f>
        <v/>
      </c>
      <c r="N11" s="64">
        <f>IF(OR(A11="",C11="",D11=""),"",IF(AND(C11&lt;=N$4+6,D11&gt;=N$4),"█",""))</f>
        <v/>
      </c>
      <c r="O11" s="64">
        <f>IF(OR(A11="",C11="",D11=""),"",IF(AND(C11&lt;=O$4+6,D11&gt;=O$4),"█",""))</f>
        <v/>
      </c>
      <c r="P11" s="64">
        <f>IF(OR(A11="",C11="",D11=""),"",IF(AND(C11&lt;=P$4+6,D11&gt;=P$4),"█",""))</f>
        <v/>
      </c>
      <c r="Q11" s="64">
        <f>IF(OR(A11="",C11="",D11=""),"",IF(AND(C11&lt;=Q$4+6,D11&gt;=Q$4),"█",""))</f>
        <v/>
      </c>
      <c r="R11" s="64">
        <f>IF(OR(A11="",C11="",D11=""),"",IF(AND(C11&lt;=R$4+6,D11&gt;=R$4),"█",""))</f>
        <v/>
      </c>
      <c r="S11" s="64">
        <f>IF(OR(A11="",C11="",D11=""),"",IF(AND(C11&lt;=S$4+6,D11&gt;=S$4),"█",""))</f>
        <v/>
      </c>
      <c r="T11" s="64">
        <f>IF(OR(A11="",C11="",D11=""),"",IF(AND(C11&lt;=T$4+6,D11&gt;=T$4),"█",""))</f>
        <v/>
      </c>
      <c r="U11" s="64">
        <f>IF(OR(A11="",C11="",D11=""),"",IF(AND(C11&lt;=U$4+6,D11&gt;=U$4),"█",""))</f>
        <v/>
      </c>
      <c r="V11" s="64">
        <f>IF(OR(A11="",C11="",D11=""),"",IF(AND(C11&lt;=V$4+6,D11&gt;=V$4),"█",""))</f>
        <v/>
      </c>
      <c r="W11" s="64">
        <f>IF(OR(A11="",C11="",D11=""),"",IF(AND(C11&lt;=W$4+6,D11&gt;=W$4),"█",""))</f>
        <v/>
      </c>
    </row>
    <row r="12" ht="16" customHeight="1">
      <c r="A12" s="62">
        <f>IF('Task List'!A12="","",'Task List'!A12)</f>
        <v/>
      </c>
      <c r="B12" s="62">
        <f>IF(A12="","",'Task List'!B12)</f>
        <v/>
      </c>
      <c r="C12" s="63">
        <f>IF(A12="","",'Task List'!F12)</f>
        <v/>
      </c>
      <c r="D12" s="63">
        <f>IF(A12="","",'Task List'!G12)</f>
        <v/>
      </c>
      <c r="E12" s="54">
        <f>IF(A12="","",'Task List'!E12)</f>
        <v/>
      </c>
      <c r="F12" s="64">
        <f>IF(OR(A12="",C12="",D12=""),"",IF(AND(C12&lt;=F$4+6,D12&gt;=F$4),"█",""))</f>
        <v/>
      </c>
      <c r="G12" s="64">
        <f>IF(OR(A12="",C12="",D12=""),"",IF(AND(C12&lt;=G$4+6,D12&gt;=G$4),"█",""))</f>
        <v/>
      </c>
      <c r="H12" s="64">
        <f>IF(OR(A12="",C12="",D12=""),"",IF(AND(C12&lt;=H$4+6,D12&gt;=H$4),"█",""))</f>
        <v/>
      </c>
      <c r="I12" s="64">
        <f>IF(OR(A12="",C12="",D12=""),"",IF(AND(C12&lt;=I$4+6,D12&gt;=I$4),"█",""))</f>
        <v/>
      </c>
      <c r="J12" s="64">
        <f>IF(OR(A12="",C12="",D12=""),"",IF(AND(C12&lt;=J$4+6,D12&gt;=J$4),"█",""))</f>
        <v/>
      </c>
      <c r="K12" s="64">
        <f>IF(OR(A12="",C12="",D12=""),"",IF(AND(C12&lt;=K$4+6,D12&gt;=K$4),"█",""))</f>
        <v/>
      </c>
      <c r="L12" s="64">
        <f>IF(OR(A12="",C12="",D12=""),"",IF(AND(C12&lt;=L$4+6,D12&gt;=L$4),"█",""))</f>
        <v/>
      </c>
      <c r="M12" s="64">
        <f>IF(OR(A12="",C12="",D12=""),"",IF(AND(C12&lt;=M$4+6,D12&gt;=M$4),"█",""))</f>
        <v/>
      </c>
      <c r="N12" s="64">
        <f>IF(OR(A12="",C12="",D12=""),"",IF(AND(C12&lt;=N$4+6,D12&gt;=N$4),"█",""))</f>
        <v/>
      </c>
      <c r="O12" s="64">
        <f>IF(OR(A12="",C12="",D12=""),"",IF(AND(C12&lt;=O$4+6,D12&gt;=O$4),"█",""))</f>
        <v/>
      </c>
      <c r="P12" s="64">
        <f>IF(OR(A12="",C12="",D12=""),"",IF(AND(C12&lt;=P$4+6,D12&gt;=P$4),"█",""))</f>
        <v/>
      </c>
      <c r="Q12" s="64">
        <f>IF(OR(A12="",C12="",D12=""),"",IF(AND(C12&lt;=Q$4+6,D12&gt;=Q$4),"█",""))</f>
        <v/>
      </c>
      <c r="R12" s="64">
        <f>IF(OR(A12="",C12="",D12=""),"",IF(AND(C12&lt;=R$4+6,D12&gt;=R$4),"█",""))</f>
        <v/>
      </c>
      <c r="S12" s="64">
        <f>IF(OR(A12="",C12="",D12=""),"",IF(AND(C12&lt;=S$4+6,D12&gt;=S$4),"█",""))</f>
        <v/>
      </c>
      <c r="T12" s="64">
        <f>IF(OR(A12="",C12="",D12=""),"",IF(AND(C12&lt;=T$4+6,D12&gt;=T$4),"█",""))</f>
        <v/>
      </c>
      <c r="U12" s="64">
        <f>IF(OR(A12="",C12="",D12=""),"",IF(AND(C12&lt;=U$4+6,D12&gt;=U$4),"█",""))</f>
        <v/>
      </c>
      <c r="V12" s="64">
        <f>IF(OR(A12="",C12="",D12=""),"",IF(AND(C12&lt;=V$4+6,D12&gt;=V$4),"█",""))</f>
        <v/>
      </c>
      <c r="W12" s="64">
        <f>IF(OR(A12="",C12="",D12=""),"",IF(AND(C12&lt;=W$4+6,D12&gt;=W$4),"█",""))</f>
        <v/>
      </c>
    </row>
    <row r="13" ht="16" customHeight="1">
      <c r="A13" s="62">
        <f>IF('Task List'!A13="","",'Task List'!A13)</f>
        <v/>
      </c>
      <c r="B13" s="62">
        <f>IF(A13="","",'Task List'!B13)</f>
        <v/>
      </c>
      <c r="C13" s="63">
        <f>IF(A13="","",'Task List'!F13)</f>
        <v/>
      </c>
      <c r="D13" s="63">
        <f>IF(A13="","",'Task List'!G13)</f>
        <v/>
      </c>
      <c r="E13" s="54">
        <f>IF(A13="","",'Task List'!E13)</f>
        <v/>
      </c>
      <c r="F13" s="64">
        <f>IF(OR(A13="",C13="",D13=""),"",IF(AND(C13&lt;=F$4+6,D13&gt;=F$4),"█",""))</f>
        <v/>
      </c>
      <c r="G13" s="64">
        <f>IF(OR(A13="",C13="",D13=""),"",IF(AND(C13&lt;=G$4+6,D13&gt;=G$4),"█",""))</f>
        <v/>
      </c>
      <c r="H13" s="64">
        <f>IF(OR(A13="",C13="",D13=""),"",IF(AND(C13&lt;=H$4+6,D13&gt;=H$4),"█",""))</f>
        <v/>
      </c>
      <c r="I13" s="64">
        <f>IF(OR(A13="",C13="",D13=""),"",IF(AND(C13&lt;=I$4+6,D13&gt;=I$4),"█",""))</f>
        <v/>
      </c>
      <c r="J13" s="64">
        <f>IF(OR(A13="",C13="",D13=""),"",IF(AND(C13&lt;=J$4+6,D13&gt;=J$4),"█",""))</f>
        <v/>
      </c>
      <c r="K13" s="64">
        <f>IF(OR(A13="",C13="",D13=""),"",IF(AND(C13&lt;=K$4+6,D13&gt;=K$4),"█",""))</f>
        <v/>
      </c>
      <c r="L13" s="64">
        <f>IF(OR(A13="",C13="",D13=""),"",IF(AND(C13&lt;=L$4+6,D13&gt;=L$4),"█",""))</f>
        <v/>
      </c>
      <c r="M13" s="64">
        <f>IF(OR(A13="",C13="",D13=""),"",IF(AND(C13&lt;=M$4+6,D13&gt;=M$4),"█",""))</f>
        <v/>
      </c>
      <c r="N13" s="64">
        <f>IF(OR(A13="",C13="",D13=""),"",IF(AND(C13&lt;=N$4+6,D13&gt;=N$4),"█",""))</f>
        <v/>
      </c>
      <c r="O13" s="64">
        <f>IF(OR(A13="",C13="",D13=""),"",IF(AND(C13&lt;=O$4+6,D13&gt;=O$4),"█",""))</f>
        <v/>
      </c>
      <c r="P13" s="64">
        <f>IF(OR(A13="",C13="",D13=""),"",IF(AND(C13&lt;=P$4+6,D13&gt;=P$4),"█",""))</f>
        <v/>
      </c>
      <c r="Q13" s="64">
        <f>IF(OR(A13="",C13="",D13=""),"",IF(AND(C13&lt;=Q$4+6,D13&gt;=Q$4),"█",""))</f>
        <v/>
      </c>
      <c r="R13" s="64">
        <f>IF(OR(A13="",C13="",D13=""),"",IF(AND(C13&lt;=R$4+6,D13&gt;=R$4),"█",""))</f>
        <v/>
      </c>
      <c r="S13" s="64">
        <f>IF(OR(A13="",C13="",D13=""),"",IF(AND(C13&lt;=S$4+6,D13&gt;=S$4),"█",""))</f>
        <v/>
      </c>
      <c r="T13" s="64">
        <f>IF(OR(A13="",C13="",D13=""),"",IF(AND(C13&lt;=T$4+6,D13&gt;=T$4),"█",""))</f>
        <v/>
      </c>
      <c r="U13" s="64">
        <f>IF(OR(A13="",C13="",D13=""),"",IF(AND(C13&lt;=U$4+6,D13&gt;=U$4),"█",""))</f>
        <v/>
      </c>
      <c r="V13" s="64">
        <f>IF(OR(A13="",C13="",D13=""),"",IF(AND(C13&lt;=V$4+6,D13&gt;=V$4),"█",""))</f>
        <v/>
      </c>
      <c r="W13" s="64">
        <f>IF(OR(A13="",C13="",D13=""),"",IF(AND(C13&lt;=W$4+6,D13&gt;=W$4),"█",""))</f>
        <v/>
      </c>
    </row>
    <row r="14" ht="16" customHeight="1">
      <c r="A14" s="62">
        <f>IF('Task List'!A14="","",'Task List'!A14)</f>
        <v/>
      </c>
      <c r="B14" s="62">
        <f>IF(A14="","",'Task List'!B14)</f>
        <v/>
      </c>
      <c r="C14" s="63">
        <f>IF(A14="","",'Task List'!F14)</f>
        <v/>
      </c>
      <c r="D14" s="63">
        <f>IF(A14="","",'Task List'!G14)</f>
        <v/>
      </c>
      <c r="E14" s="54">
        <f>IF(A14="","",'Task List'!E14)</f>
        <v/>
      </c>
      <c r="F14" s="64">
        <f>IF(OR(A14="",C14="",D14=""),"",IF(AND(C14&lt;=F$4+6,D14&gt;=F$4),"█",""))</f>
        <v/>
      </c>
      <c r="G14" s="64">
        <f>IF(OR(A14="",C14="",D14=""),"",IF(AND(C14&lt;=G$4+6,D14&gt;=G$4),"█",""))</f>
        <v/>
      </c>
      <c r="H14" s="64">
        <f>IF(OR(A14="",C14="",D14=""),"",IF(AND(C14&lt;=H$4+6,D14&gt;=H$4),"█",""))</f>
        <v/>
      </c>
      <c r="I14" s="64">
        <f>IF(OR(A14="",C14="",D14=""),"",IF(AND(C14&lt;=I$4+6,D14&gt;=I$4),"█",""))</f>
        <v/>
      </c>
      <c r="J14" s="64">
        <f>IF(OR(A14="",C14="",D14=""),"",IF(AND(C14&lt;=J$4+6,D14&gt;=J$4),"█",""))</f>
        <v/>
      </c>
      <c r="K14" s="64">
        <f>IF(OR(A14="",C14="",D14=""),"",IF(AND(C14&lt;=K$4+6,D14&gt;=K$4),"█",""))</f>
        <v/>
      </c>
      <c r="L14" s="64">
        <f>IF(OR(A14="",C14="",D14=""),"",IF(AND(C14&lt;=L$4+6,D14&gt;=L$4),"█",""))</f>
        <v/>
      </c>
      <c r="M14" s="64">
        <f>IF(OR(A14="",C14="",D14=""),"",IF(AND(C14&lt;=M$4+6,D14&gt;=M$4),"█",""))</f>
        <v/>
      </c>
      <c r="N14" s="64">
        <f>IF(OR(A14="",C14="",D14=""),"",IF(AND(C14&lt;=N$4+6,D14&gt;=N$4),"█",""))</f>
        <v/>
      </c>
      <c r="O14" s="64">
        <f>IF(OR(A14="",C14="",D14=""),"",IF(AND(C14&lt;=O$4+6,D14&gt;=O$4),"█",""))</f>
        <v/>
      </c>
      <c r="P14" s="64">
        <f>IF(OR(A14="",C14="",D14=""),"",IF(AND(C14&lt;=P$4+6,D14&gt;=P$4),"█",""))</f>
        <v/>
      </c>
      <c r="Q14" s="64">
        <f>IF(OR(A14="",C14="",D14=""),"",IF(AND(C14&lt;=Q$4+6,D14&gt;=Q$4),"█",""))</f>
        <v/>
      </c>
      <c r="R14" s="64">
        <f>IF(OR(A14="",C14="",D14=""),"",IF(AND(C14&lt;=R$4+6,D14&gt;=R$4),"█",""))</f>
        <v/>
      </c>
      <c r="S14" s="64">
        <f>IF(OR(A14="",C14="",D14=""),"",IF(AND(C14&lt;=S$4+6,D14&gt;=S$4),"█",""))</f>
        <v/>
      </c>
      <c r="T14" s="64">
        <f>IF(OR(A14="",C14="",D14=""),"",IF(AND(C14&lt;=T$4+6,D14&gt;=T$4),"█",""))</f>
        <v/>
      </c>
      <c r="U14" s="64">
        <f>IF(OR(A14="",C14="",D14=""),"",IF(AND(C14&lt;=U$4+6,D14&gt;=U$4),"█",""))</f>
        <v/>
      </c>
      <c r="V14" s="64">
        <f>IF(OR(A14="",C14="",D14=""),"",IF(AND(C14&lt;=V$4+6,D14&gt;=V$4),"█",""))</f>
        <v/>
      </c>
      <c r="W14" s="64">
        <f>IF(OR(A14="",C14="",D14=""),"",IF(AND(C14&lt;=W$4+6,D14&gt;=W$4),"█",""))</f>
        <v/>
      </c>
    </row>
    <row r="15" ht="16" customHeight="1">
      <c r="A15" s="62">
        <f>IF('Task List'!A15="","",'Task List'!A15)</f>
        <v/>
      </c>
      <c r="B15" s="62">
        <f>IF(A15="","",'Task List'!B15)</f>
        <v/>
      </c>
      <c r="C15" s="63">
        <f>IF(A15="","",'Task List'!F15)</f>
        <v/>
      </c>
      <c r="D15" s="63">
        <f>IF(A15="","",'Task List'!G15)</f>
        <v/>
      </c>
      <c r="E15" s="54">
        <f>IF(A15="","",'Task List'!E15)</f>
        <v/>
      </c>
      <c r="F15" s="64">
        <f>IF(OR(A15="",C15="",D15=""),"",IF(AND(C15&lt;=F$4+6,D15&gt;=F$4),"█",""))</f>
        <v/>
      </c>
      <c r="G15" s="64">
        <f>IF(OR(A15="",C15="",D15=""),"",IF(AND(C15&lt;=G$4+6,D15&gt;=G$4),"█",""))</f>
        <v/>
      </c>
      <c r="H15" s="64">
        <f>IF(OR(A15="",C15="",D15=""),"",IF(AND(C15&lt;=H$4+6,D15&gt;=H$4),"█",""))</f>
        <v/>
      </c>
      <c r="I15" s="64">
        <f>IF(OR(A15="",C15="",D15=""),"",IF(AND(C15&lt;=I$4+6,D15&gt;=I$4),"█",""))</f>
        <v/>
      </c>
      <c r="J15" s="64">
        <f>IF(OR(A15="",C15="",D15=""),"",IF(AND(C15&lt;=J$4+6,D15&gt;=J$4),"█",""))</f>
        <v/>
      </c>
      <c r="K15" s="64">
        <f>IF(OR(A15="",C15="",D15=""),"",IF(AND(C15&lt;=K$4+6,D15&gt;=K$4),"█",""))</f>
        <v/>
      </c>
      <c r="L15" s="64">
        <f>IF(OR(A15="",C15="",D15=""),"",IF(AND(C15&lt;=L$4+6,D15&gt;=L$4),"█",""))</f>
        <v/>
      </c>
      <c r="M15" s="64">
        <f>IF(OR(A15="",C15="",D15=""),"",IF(AND(C15&lt;=M$4+6,D15&gt;=M$4),"█",""))</f>
        <v/>
      </c>
      <c r="N15" s="64">
        <f>IF(OR(A15="",C15="",D15=""),"",IF(AND(C15&lt;=N$4+6,D15&gt;=N$4),"█",""))</f>
        <v/>
      </c>
      <c r="O15" s="64">
        <f>IF(OR(A15="",C15="",D15=""),"",IF(AND(C15&lt;=O$4+6,D15&gt;=O$4),"█",""))</f>
        <v/>
      </c>
      <c r="P15" s="64">
        <f>IF(OR(A15="",C15="",D15=""),"",IF(AND(C15&lt;=P$4+6,D15&gt;=P$4),"█",""))</f>
        <v/>
      </c>
      <c r="Q15" s="64">
        <f>IF(OR(A15="",C15="",D15=""),"",IF(AND(C15&lt;=Q$4+6,D15&gt;=Q$4),"█",""))</f>
        <v/>
      </c>
      <c r="R15" s="64">
        <f>IF(OR(A15="",C15="",D15=""),"",IF(AND(C15&lt;=R$4+6,D15&gt;=R$4),"█",""))</f>
        <v/>
      </c>
      <c r="S15" s="64">
        <f>IF(OR(A15="",C15="",D15=""),"",IF(AND(C15&lt;=S$4+6,D15&gt;=S$4),"█",""))</f>
        <v/>
      </c>
      <c r="T15" s="64">
        <f>IF(OR(A15="",C15="",D15=""),"",IF(AND(C15&lt;=T$4+6,D15&gt;=T$4),"█",""))</f>
        <v/>
      </c>
      <c r="U15" s="64">
        <f>IF(OR(A15="",C15="",D15=""),"",IF(AND(C15&lt;=U$4+6,D15&gt;=U$4),"█",""))</f>
        <v/>
      </c>
      <c r="V15" s="64">
        <f>IF(OR(A15="",C15="",D15=""),"",IF(AND(C15&lt;=V$4+6,D15&gt;=V$4),"█",""))</f>
        <v/>
      </c>
      <c r="W15" s="64">
        <f>IF(OR(A15="",C15="",D15=""),"",IF(AND(C15&lt;=W$4+6,D15&gt;=W$4),"█",""))</f>
        <v/>
      </c>
    </row>
    <row r="16" ht="16" customHeight="1">
      <c r="A16" s="62">
        <f>IF('Task List'!A16="","",'Task List'!A16)</f>
        <v/>
      </c>
      <c r="B16" s="62">
        <f>IF(A16="","",'Task List'!B16)</f>
        <v/>
      </c>
      <c r="C16" s="63">
        <f>IF(A16="","",'Task List'!F16)</f>
        <v/>
      </c>
      <c r="D16" s="63">
        <f>IF(A16="","",'Task List'!G16)</f>
        <v/>
      </c>
      <c r="E16" s="54">
        <f>IF(A16="","",'Task List'!E16)</f>
        <v/>
      </c>
      <c r="F16" s="64">
        <f>IF(OR(A16="",C16="",D16=""),"",IF(AND(C16&lt;=F$4+6,D16&gt;=F$4),"█",""))</f>
        <v/>
      </c>
      <c r="G16" s="64">
        <f>IF(OR(A16="",C16="",D16=""),"",IF(AND(C16&lt;=G$4+6,D16&gt;=G$4),"█",""))</f>
        <v/>
      </c>
      <c r="H16" s="64">
        <f>IF(OR(A16="",C16="",D16=""),"",IF(AND(C16&lt;=H$4+6,D16&gt;=H$4),"█",""))</f>
        <v/>
      </c>
      <c r="I16" s="64">
        <f>IF(OR(A16="",C16="",D16=""),"",IF(AND(C16&lt;=I$4+6,D16&gt;=I$4),"█",""))</f>
        <v/>
      </c>
      <c r="J16" s="64">
        <f>IF(OR(A16="",C16="",D16=""),"",IF(AND(C16&lt;=J$4+6,D16&gt;=J$4),"█",""))</f>
        <v/>
      </c>
      <c r="K16" s="64">
        <f>IF(OR(A16="",C16="",D16=""),"",IF(AND(C16&lt;=K$4+6,D16&gt;=K$4),"█",""))</f>
        <v/>
      </c>
      <c r="L16" s="64">
        <f>IF(OR(A16="",C16="",D16=""),"",IF(AND(C16&lt;=L$4+6,D16&gt;=L$4),"█",""))</f>
        <v/>
      </c>
      <c r="M16" s="64">
        <f>IF(OR(A16="",C16="",D16=""),"",IF(AND(C16&lt;=M$4+6,D16&gt;=M$4),"█",""))</f>
        <v/>
      </c>
      <c r="N16" s="64">
        <f>IF(OR(A16="",C16="",D16=""),"",IF(AND(C16&lt;=N$4+6,D16&gt;=N$4),"█",""))</f>
        <v/>
      </c>
      <c r="O16" s="64">
        <f>IF(OR(A16="",C16="",D16=""),"",IF(AND(C16&lt;=O$4+6,D16&gt;=O$4),"█",""))</f>
        <v/>
      </c>
      <c r="P16" s="64">
        <f>IF(OR(A16="",C16="",D16=""),"",IF(AND(C16&lt;=P$4+6,D16&gt;=P$4),"█",""))</f>
        <v/>
      </c>
      <c r="Q16" s="64">
        <f>IF(OR(A16="",C16="",D16=""),"",IF(AND(C16&lt;=Q$4+6,D16&gt;=Q$4),"█",""))</f>
        <v/>
      </c>
      <c r="R16" s="64">
        <f>IF(OR(A16="",C16="",D16=""),"",IF(AND(C16&lt;=R$4+6,D16&gt;=R$4),"█",""))</f>
        <v/>
      </c>
      <c r="S16" s="64">
        <f>IF(OR(A16="",C16="",D16=""),"",IF(AND(C16&lt;=S$4+6,D16&gt;=S$4),"█",""))</f>
        <v/>
      </c>
      <c r="T16" s="64">
        <f>IF(OR(A16="",C16="",D16=""),"",IF(AND(C16&lt;=T$4+6,D16&gt;=T$4),"█",""))</f>
        <v/>
      </c>
      <c r="U16" s="64">
        <f>IF(OR(A16="",C16="",D16=""),"",IF(AND(C16&lt;=U$4+6,D16&gt;=U$4),"█",""))</f>
        <v/>
      </c>
      <c r="V16" s="64">
        <f>IF(OR(A16="",C16="",D16=""),"",IF(AND(C16&lt;=V$4+6,D16&gt;=V$4),"█",""))</f>
        <v/>
      </c>
      <c r="W16" s="64">
        <f>IF(OR(A16="",C16="",D16=""),"",IF(AND(C16&lt;=W$4+6,D16&gt;=W$4),"█",""))</f>
        <v/>
      </c>
    </row>
    <row r="17" ht="16" customHeight="1">
      <c r="A17" s="62">
        <f>IF('Task List'!A17="","",'Task List'!A17)</f>
        <v/>
      </c>
      <c r="B17" s="62">
        <f>IF(A17="","",'Task List'!B17)</f>
        <v/>
      </c>
      <c r="C17" s="63">
        <f>IF(A17="","",'Task List'!F17)</f>
        <v/>
      </c>
      <c r="D17" s="63">
        <f>IF(A17="","",'Task List'!G17)</f>
        <v/>
      </c>
      <c r="E17" s="54">
        <f>IF(A17="","",'Task List'!E17)</f>
        <v/>
      </c>
      <c r="F17" s="64">
        <f>IF(OR(A17="",C17="",D17=""),"",IF(AND(C17&lt;=F$4+6,D17&gt;=F$4),"█",""))</f>
        <v/>
      </c>
      <c r="G17" s="64">
        <f>IF(OR(A17="",C17="",D17=""),"",IF(AND(C17&lt;=G$4+6,D17&gt;=G$4),"█",""))</f>
        <v/>
      </c>
      <c r="H17" s="64">
        <f>IF(OR(A17="",C17="",D17=""),"",IF(AND(C17&lt;=H$4+6,D17&gt;=H$4),"█",""))</f>
        <v/>
      </c>
      <c r="I17" s="64">
        <f>IF(OR(A17="",C17="",D17=""),"",IF(AND(C17&lt;=I$4+6,D17&gt;=I$4),"█",""))</f>
        <v/>
      </c>
      <c r="J17" s="64">
        <f>IF(OR(A17="",C17="",D17=""),"",IF(AND(C17&lt;=J$4+6,D17&gt;=J$4),"█",""))</f>
        <v/>
      </c>
      <c r="K17" s="64">
        <f>IF(OR(A17="",C17="",D17=""),"",IF(AND(C17&lt;=K$4+6,D17&gt;=K$4),"█",""))</f>
        <v/>
      </c>
      <c r="L17" s="64">
        <f>IF(OR(A17="",C17="",D17=""),"",IF(AND(C17&lt;=L$4+6,D17&gt;=L$4),"█",""))</f>
        <v/>
      </c>
      <c r="M17" s="64">
        <f>IF(OR(A17="",C17="",D17=""),"",IF(AND(C17&lt;=M$4+6,D17&gt;=M$4),"█",""))</f>
        <v/>
      </c>
      <c r="N17" s="64">
        <f>IF(OR(A17="",C17="",D17=""),"",IF(AND(C17&lt;=N$4+6,D17&gt;=N$4),"█",""))</f>
        <v/>
      </c>
      <c r="O17" s="64">
        <f>IF(OR(A17="",C17="",D17=""),"",IF(AND(C17&lt;=O$4+6,D17&gt;=O$4),"█",""))</f>
        <v/>
      </c>
      <c r="P17" s="64">
        <f>IF(OR(A17="",C17="",D17=""),"",IF(AND(C17&lt;=P$4+6,D17&gt;=P$4),"█",""))</f>
        <v/>
      </c>
      <c r="Q17" s="64">
        <f>IF(OR(A17="",C17="",D17=""),"",IF(AND(C17&lt;=Q$4+6,D17&gt;=Q$4),"█",""))</f>
        <v/>
      </c>
      <c r="R17" s="64">
        <f>IF(OR(A17="",C17="",D17=""),"",IF(AND(C17&lt;=R$4+6,D17&gt;=R$4),"█",""))</f>
        <v/>
      </c>
      <c r="S17" s="64">
        <f>IF(OR(A17="",C17="",D17=""),"",IF(AND(C17&lt;=S$4+6,D17&gt;=S$4),"█",""))</f>
        <v/>
      </c>
      <c r="T17" s="64">
        <f>IF(OR(A17="",C17="",D17=""),"",IF(AND(C17&lt;=T$4+6,D17&gt;=T$4),"█",""))</f>
        <v/>
      </c>
      <c r="U17" s="64">
        <f>IF(OR(A17="",C17="",D17=""),"",IF(AND(C17&lt;=U$4+6,D17&gt;=U$4),"█",""))</f>
        <v/>
      </c>
      <c r="V17" s="64">
        <f>IF(OR(A17="",C17="",D17=""),"",IF(AND(C17&lt;=V$4+6,D17&gt;=V$4),"█",""))</f>
        <v/>
      </c>
      <c r="W17" s="64">
        <f>IF(OR(A17="",C17="",D17=""),"",IF(AND(C17&lt;=W$4+6,D17&gt;=W$4),"█",""))</f>
        <v/>
      </c>
    </row>
    <row r="18" ht="16" customHeight="1">
      <c r="A18" s="62">
        <f>IF('Task List'!A18="","",'Task List'!A18)</f>
        <v/>
      </c>
      <c r="B18" s="62">
        <f>IF(A18="","",'Task List'!B18)</f>
        <v/>
      </c>
      <c r="C18" s="63">
        <f>IF(A18="","",'Task List'!F18)</f>
        <v/>
      </c>
      <c r="D18" s="63">
        <f>IF(A18="","",'Task List'!G18)</f>
        <v/>
      </c>
      <c r="E18" s="54">
        <f>IF(A18="","",'Task List'!E18)</f>
        <v/>
      </c>
      <c r="F18" s="64">
        <f>IF(OR(A18="",C18="",D18=""),"",IF(AND(C18&lt;=F$4+6,D18&gt;=F$4),"█",""))</f>
        <v/>
      </c>
      <c r="G18" s="64">
        <f>IF(OR(A18="",C18="",D18=""),"",IF(AND(C18&lt;=G$4+6,D18&gt;=G$4),"█",""))</f>
        <v/>
      </c>
      <c r="H18" s="64">
        <f>IF(OR(A18="",C18="",D18=""),"",IF(AND(C18&lt;=H$4+6,D18&gt;=H$4),"█",""))</f>
        <v/>
      </c>
      <c r="I18" s="64">
        <f>IF(OR(A18="",C18="",D18=""),"",IF(AND(C18&lt;=I$4+6,D18&gt;=I$4),"█",""))</f>
        <v/>
      </c>
      <c r="J18" s="64">
        <f>IF(OR(A18="",C18="",D18=""),"",IF(AND(C18&lt;=J$4+6,D18&gt;=J$4),"█",""))</f>
        <v/>
      </c>
      <c r="K18" s="64">
        <f>IF(OR(A18="",C18="",D18=""),"",IF(AND(C18&lt;=K$4+6,D18&gt;=K$4),"█",""))</f>
        <v/>
      </c>
      <c r="L18" s="64">
        <f>IF(OR(A18="",C18="",D18=""),"",IF(AND(C18&lt;=L$4+6,D18&gt;=L$4),"█",""))</f>
        <v/>
      </c>
      <c r="M18" s="64">
        <f>IF(OR(A18="",C18="",D18=""),"",IF(AND(C18&lt;=M$4+6,D18&gt;=M$4),"█",""))</f>
        <v/>
      </c>
      <c r="N18" s="64">
        <f>IF(OR(A18="",C18="",D18=""),"",IF(AND(C18&lt;=N$4+6,D18&gt;=N$4),"█",""))</f>
        <v/>
      </c>
      <c r="O18" s="64">
        <f>IF(OR(A18="",C18="",D18=""),"",IF(AND(C18&lt;=O$4+6,D18&gt;=O$4),"█",""))</f>
        <v/>
      </c>
      <c r="P18" s="64">
        <f>IF(OR(A18="",C18="",D18=""),"",IF(AND(C18&lt;=P$4+6,D18&gt;=P$4),"█",""))</f>
        <v/>
      </c>
      <c r="Q18" s="64">
        <f>IF(OR(A18="",C18="",D18=""),"",IF(AND(C18&lt;=Q$4+6,D18&gt;=Q$4),"█",""))</f>
        <v/>
      </c>
      <c r="R18" s="64">
        <f>IF(OR(A18="",C18="",D18=""),"",IF(AND(C18&lt;=R$4+6,D18&gt;=R$4),"█",""))</f>
        <v/>
      </c>
      <c r="S18" s="64">
        <f>IF(OR(A18="",C18="",D18=""),"",IF(AND(C18&lt;=S$4+6,D18&gt;=S$4),"█",""))</f>
        <v/>
      </c>
      <c r="T18" s="64">
        <f>IF(OR(A18="",C18="",D18=""),"",IF(AND(C18&lt;=T$4+6,D18&gt;=T$4),"█",""))</f>
        <v/>
      </c>
      <c r="U18" s="64">
        <f>IF(OR(A18="",C18="",D18=""),"",IF(AND(C18&lt;=U$4+6,D18&gt;=U$4),"█",""))</f>
        <v/>
      </c>
      <c r="V18" s="64">
        <f>IF(OR(A18="",C18="",D18=""),"",IF(AND(C18&lt;=V$4+6,D18&gt;=V$4),"█",""))</f>
        <v/>
      </c>
      <c r="W18" s="64">
        <f>IF(OR(A18="",C18="",D18=""),"",IF(AND(C18&lt;=W$4+6,D18&gt;=W$4),"█",""))</f>
        <v/>
      </c>
    </row>
    <row r="19" ht="16" customHeight="1">
      <c r="A19" s="62">
        <f>IF('Task List'!A19="","",'Task List'!A19)</f>
        <v/>
      </c>
      <c r="B19" s="62">
        <f>IF(A19="","",'Task List'!B19)</f>
        <v/>
      </c>
      <c r="C19" s="63">
        <f>IF(A19="","",'Task List'!F19)</f>
        <v/>
      </c>
      <c r="D19" s="63">
        <f>IF(A19="","",'Task List'!G19)</f>
        <v/>
      </c>
      <c r="E19" s="54">
        <f>IF(A19="","",'Task List'!E19)</f>
        <v/>
      </c>
      <c r="F19" s="64">
        <f>IF(OR(A19="",C19="",D19=""),"",IF(AND(C19&lt;=F$4+6,D19&gt;=F$4),"█",""))</f>
        <v/>
      </c>
      <c r="G19" s="64">
        <f>IF(OR(A19="",C19="",D19=""),"",IF(AND(C19&lt;=G$4+6,D19&gt;=G$4),"█",""))</f>
        <v/>
      </c>
      <c r="H19" s="64">
        <f>IF(OR(A19="",C19="",D19=""),"",IF(AND(C19&lt;=H$4+6,D19&gt;=H$4),"█",""))</f>
        <v/>
      </c>
      <c r="I19" s="64">
        <f>IF(OR(A19="",C19="",D19=""),"",IF(AND(C19&lt;=I$4+6,D19&gt;=I$4),"█",""))</f>
        <v/>
      </c>
      <c r="J19" s="64">
        <f>IF(OR(A19="",C19="",D19=""),"",IF(AND(C19&lt;=J$4+6,D19&gt;=J$4),"█",""))</f>
        <v/>
      </c>
      <c r="K19" s="64">
        <f>IF(OR(A19="",C19="",D19=""),"",IF(AND(C19&lt;=K$4+6,D19&gt;=K$4),"█",""))</f>
        <v/>
      </c>
      <c r="L19" s="64">
        <f>IF(OR(A19="",C19="",D19=""),"",IF(AND(C19&lt;=L$4+6,D19&gt;=L$4),"█",""))</f>
        <v/>
      </c>
      <c r="M19" s="64">
        <f>IF(OR(A19="",C19="",D19=""),"",IF(AND(C19&lt;=M$4+6,D19&gt;=M$4),"█",""))</f>
        <v/>
      </c>
      <c r="N19" s="64">
        <f>IF(OR(A19="",C19="",D19=""),"",IF(AND(C19&lt;=N$4+6,D19&gt;=N$4),"█",""))</f>
        <v/>
      </c>
      <c r="O19" s="64">
        <f>IF(OR(A19="",C19="",D19=""),"",IF(AND(C19&lt;=O$4+6,D19&gt;=O$4),"█",""))</f>
        <v/>
      </c>
      <c r="P19" s="64">
        <f>IF(OR(A19="",C19="",D19=""),"",IF(AND(C19&lt;=P$4+6,D19&gt;=P$4),"█",""))</f>
        <v/>
      </c>
      <c r="Q19" s="64">
        <f>IF(OR(A19="",C19="",D19=""),"",IF(AND(C19&lt;=Q$4+6,D19&gt;=Q$4),"█",""))</f>
        <v/>
      </c>
      <c r="R19" s="64">
        <f>IF(OR(A19="",C19="",D19=""),"",IF(AND(C19&lt;=R$4+6,D19&gt;=R$4),"█",""))</f>
        <v/>
      </c>
      <c r="S19" s="64">
        <f>IF(OR(A19="",C19="",D19=""),"",IF(AND(C19&lt;=S$4+6,D19&gt;=S$4),"█",""))</f>
        <v/>
      </c>
      <c r="T19" s="64">
        <f>IF(OR(A19="",C19="",D19=""),"",IF(AND(C19&lt;=T$4+6,D19&gt;=T$4),"█",""))</f>
        <v/>
      </c>
      <c r="U19" s="64">
        <f>IF(OR(A19="",C19="",D19=""),"",IF(AND(C19&lt;=U$4+6,D19&gt;=U$4),"█",""))</f>
        <v/>
      </c>
      <c r="V19" s="64">
        <f>IF(OR(A19="",C19="",D19=""),"",IF(AND(C19&lt;=V$4+6,D19&gt;=V$4),"█",""))</f>
        <v/>
      </c>
      <c r="W19" s="64">
        <f>IF(OR(A19="",C19="",D19=""),"",IF(AND(C19&lt;=W$4+6,D19&gt;=W$4),"█",""))</f>
        <v/>
      </c>
    </row>
    <row r="20" ht="16" customHeight="1">
      <c r="A20" s="62">
        <f>IF('Task List'!A20="","",'Task List'!A20)</f>
        <v/>
      </c>
      <c r="B20" s="62">
        <f>IF(A20="","",'Task List'!B20)</f>
        <v/>
      </c>
      <c r="C20" s="63">
        <f>IF(A20="","",'Task List'!F20)</f>
        <v/>
      </c>
      <c r="D20" s="63">
        <f>IF(A20="","",'Task List'!G20)</f>
        <v/>
      </c>
      <c r="E20" s="54">
        <f>IF(A20="","",'Task List'!E20)</f>
        <v/>
      </c>
      <c r="F20" s="64">
        <f>IF(OR(A20="",C20="",D20=""),"",IF(AND(C20&lt;=F$4+6,D20&gt;=F$4),"█",""))</f>
        <v/>
      </c>
      <c r="G20" s="64">
        <f>IF(OR(A20="",C20="",D20=""),"",IF(AND(C20&lt;=G$4+6,D20&gt;=G$4),"█",""))</f>
        <v/>
      </c>
      <c r="H20" s="64">
        <f>IF(OR(A20="",C20="",D20=""),"",IF(AND(C20&lt;=H$4+6,D20&gt;=H$4),"█",""))</f>
        <v/>
      </c>
      <c r="I20" s="64">
        <f>IF(OR(A20="",C20="",D20=""),"",IF(AND(C20&lt;=I$4+6,D20&gt;=I$4),"█",""))</f>
        <v/>
      </c>
      <c r="J20" s="64">
        <f>IF(OR(A20="",C20="",D20=""),"",IF(AND(C20&lt;=J$4+6,D20&gt;=J$4),"█",""))</f>
        <v/>
      </c>
      <c r="K20" s="64">
        <f>IF(OR(A20="",C20="",D20=""),"",IF(AND(C20&lt;=K$4+6,D20&gt;=K$4),"█",""))</f>
        <v/>
      </c>
      <c r="L20" s="64">
        <f>IF(OR(A20="",C20="",D20=""),"",IF(AND(C20&lt;=L$4+6,D20&gt;=L$4),"█",""))</f>
        <v/>
      </c>
      <c r="M20" s="64">
        <f>IF(OR(A20="",C20="",D20=""),"",IF(AND(C20&lt;=M$4+6,D20&gt;=M$4),"█",""))</f>
        <v/>
      </c>
      <c r="N20" s="64">
        <f>IF(OR(A20="",C20="",D20=""),"",IF(AND(C20&lt;=N$4+6,D20&gt;=N$4),"█",""))</f>
        <v/>
      </c>
      <c r="O20" s="64">
        <f>IF(OR(A20="",C20="",D20=""),"",IF(AND(C20&lt;=O$4+6,D20&gt;=O$4),"█",""))</f>
        <v/>
      </c>
      <c r="P20" s="64">
        <f>IF(OR(A20="",C20="",D20=""),"",IF(AND(C20&lt;=P$4+6,D20&gt;=P$4),"█",""))</f>
        <v/>
      </c>
      <c r="Q20" s="64">
        <f>IF(OR(A20="",C20="",D20=""),"",IF(AND(C20&lt;=Q$4+6,D20&gt;=Q$4),"█",""))</f>
        <v/>
      </c>
      <c r="R20" s="64">
        <f>IF(OR(A20="",C20="",D20=""),"",IF(AND(C20&lt;=R$4+6,D20&gt;=R$4),"█",""))</f>
        <v/>
      </c>
      <c r="S20" s="64">
        <f>IF(OR(A20="",C20="",D20=""),"",IF(AND(C20&lt;=S$4+6,D20&gt;=S$4),"█",""))</f>
        <v/>
      </c>
      <c r="T20" s="64">
        <f>IF(OR(A20="",C20="",D20=""),"",IF(AND(C20&lt;=T$4+6,D20&gt;=T$4),"█",""))</f>
        <v/>
      </c>
      <c r="U20" s="64">
        <f>IF(OR(A20="",C20="",D20=""),"",IF(AND(C20&lt;=U$4+6,D20&gt;=U$4),"█",""))</f>
        <v/>
      </c>
      <c r="V20" s="64">
        <f>IF(OR(A20="",C20="",D20=""),"",IF(AND(C20&lt;=V$4+6,D20&gt;=V$4),"█",""))</f>
        <v/>
      </c>
      <c r="W20" s="64">
        <f>IF(OR(A20="",C20="",D20=""),"",IF(AND(C20&lt;=W$4+6,D20&gt;=W$4),"█",""))</f>
        <v/>
      </c>
    </row>
    <row r="21" ht="16" customHeight="1">
      <c r="A21" s="62">
        <f>IF('Task List'!A21="","",'Task List'!A21)</f>
        <v/>
      </c>
      <c r="B21" s="62">
        <f>IF(A21="","",'Task List'!B21)</f>
        <v/>
      </c>
      <c r="C21" s="63">
        <f>IF(A21="","",'Task List'!F21)</f>
        <v/>
      </c>
      <c r="D21" s="63">
        <f>IF(A21="","",'Task List'!G21)</f>
        <v/>
      </c>
      <c r="E21" s="54">
        <f>IF(A21="","",'Task List'!E21)</f>
        <v/>
      </c>
      <c r="F21" s="64">
        <f>IF(OR(A21="",C21="",D21=""),"",IF(AND(C21&lt;=F$4+6,D21&gt;=F$4),"█",""))</f>
        <v/>
      </c>
      <c r="G21" s="64">
        <f>IF(OR(A21="",C21="",D21=""),"",IF(AND(C21&lt;=G$4+6,D21&gt;=G$4),"█",""))</f>
        <v/>
      </c>
      <c r="H21" s="64">
        <f>IF(OR(A21="",C21="",D21=""),"",IF(AND(C21&lt;=H$4+6,D21&gt;=H$4),"█",""))</f>
        <v/>
      </c>
      <c r="I21" s="64">
        <f>IF(OR(A21="",C21="",D21=""),"",IF(AND(C21&lt;=I$4+6,D21&gt;=I$4),"█",""))</f>
        <v/>
      </c>
      <c r="J21" s="64">
        <f>IF(OR(A21="",C21="",D21=""),"",IF(AND(C21&lt;=J$4+6,D21&gt;=J$4),"█",""))</f>
        <v/>
      </c>
      <c r="K21" s="64">
        <f>IF(OR(A21="",C21="",D21=""),"",IF(AND(C21&lt;=K$4+6,D21&gt;=K$4),"█",""))</f>
        <v/>
      </c>
      <c r="L21" s="64">
        <f>IF(OR(A21="",C21="",D21=""),"",IF(AND(C21&lt;=L$4+6,D21&gt;=L$4),"█",""))</f>
        <v/>
      </c>
      <c r="M21" s="64">
        <f>IF(OR(A21="",C21="",D21=""),"",IF(AND(C21&lt;=M$4+6,D21&gt;=M$4),"█",""))</f>
        <v/>
      </c>
      <c r="N21" s="64">
        <f>IF(OR(A21="",C21="",D21=""),"",IF(AND(C21&lt;=N$4+6,D21&gt;=N$4),"█",""))</f>
        <v/>
      </c>
      <c r="O21" s="64">
        <f>IF(OR(A21="",C21="",D21=""),"",IF(AND(C21&lt;=O$4+6,D21&gt;=O$4),"█",""))</f>
        <v/>
      </c>
      <c r="P21" s="64">
        <f>IF(OR(A21="",C21="",D21=""),"",IF(AND(C21&lt;=P$4+6,D21&gt;=P$4),"█",""))</f>
        <v/>
      </c>
      <c r="Q21" s="64">
        <f>IF(OR(A21="",C21="",D21=""),"",IF(AND(C21&lt;=Q$4+6,D21&gt;=Q$4),"█",""))</f>
        <v/>
      </c>
      <c r="R21" s="64">
        <f>IF(OR(A21="",C21="",D21=""),"",IF(AND(C21&lt;=R$4+6,D21&gt;=R$4),"█",""))</f>
        <v/>
      </c>
      <c r="S21" s="64">
        <f>IF(OR(A21="",C21="",D21=""),"",IF(AND(C21&lt;=S$4+6,D21&gt;=S$4),"█",""))</f>
        <v/>
      </c>
      <c r="T21" s="64">
        <f>IF(OR(A21="",C21="",D21=""),"",IF(AND(C21&lt;=T$4+6,D21&gt;=T$4),"█",""))</f>
        <v/>
      </c>
      <c r="U21" s="64">
        <f>IF(OR(A21="",C21="",D21=""),"",IF(AND(C21&lt;=U$4+6,D21&gt;=U$4),"█",""))</f>
        <v/>
      </c>
      <c r="V21" s="64">
        <f>IF(OR(A21="",C21="",D21=""),"",IF(AND(C21&lt;=V$4+6,D21&gt;=V$4),"█",""))</f>
        <v/>
      </c>
      <c r="W21" s="64">
        <f>IF(OR(A21="",C21="",D21=""),"",IF(AND(C21&lt;=W$4+6,D21&gt;=W$4),"█",""))</f>
        <v/>
      </c>
    </row>
    <row r="22" ht="16" customHeight="1">
      <c r="A22" s="62">
        <f>IF('Task List'!A22="","",'Task List'!A22)</f>
        <v/>
      </c>
      <c r="B22" s="62">
        <f>IF(A22="","",'Task List'!B22)</f>
        <v/>
      </c>
      <c r="C22" s="63">
        <f>IF(A22="","",'Task List'!F22)</f>
        <v/>
      </c>
      <c r="D22" s="63">
        <f>IF(A22="","",'Task List'!G22)</f>
        <v/>
      </c>
      <c r="E22" s="54">
        <f>IF(A22="","",'Task List'!E22)</f>
        <v/>
      </c>
      <c r="F22" s="64">
        <f>IF(OR(A22="",C22="",D22=""),"",IF(AND(C22&lt;=F$4+6,D22&gt;=F$4),"█",""))</f>
        <v/>
      </c>
      <c r="G22" s="64">
        <f>IF(OR(A22="",C22="",D22=""),"",IF(AND(C22&lt;=G$4+6,D22&gt;=G$4),"█",""))</f>
        <v/>
      </c>
      <c r="H22" s="64">
        <f>IF(OR(A22="",C22="",D22=""),"",IF(AND(C22&lt;=H$4+6,D22&gt;=H$4),"█",""))</f>
        <v/>
      </c>
      <c r="I22" s="64">
        <f>IF(OR(A22="",C22="",D22=""),"",IF(AND(C22&lt;=I$4+6,D22&gt;=I$4),"█",""))</f>
        <v/>
      </c>
      <c r="J22" s="64">
        <f>IF(OR(A22="",C22="",D22=""),"",IF(AND(C22&lt;=J$4+6,D22&gt;=J$4),"█",""))</f>
        <v/>
      </c>
      <c r="K22" s="64">
        <f>IF(OR(A22="",C22="",D22=""),"",IF(AND(C22&lt;=K$4+6,D22&gt;=K$4),"█",""))</f>
        <v/>
      </c>
      <c r="L22" s="64">
        <f>IF(OR(A22="",C22="",D22=""),"",IF(AND(C22&lt;=L$4+6,D22&gt;=L$4),"█",""))</f>
        <v/>
      </c>
      <c r="M22" s="64">
        <f>IF(OR(A22="",C22="",D22=""),"",IF(AND(C22&lt;=M$4+6,D22&gt;=M$4),"█",""))</f>
        <v/>
      </c>
      <c r="N22" s="64">
        <f>IF(OR(A22="",C22="",D22=""),"",IF(AND(C22&lt;=N$4+6,D22&gt;=N$4),"█",""))</f>
        <v/>
      </c>
      <c r="O22" s="64">
        <f>IF(OR(A22="",C22="",D22=""),"",IF(AND(C22&lt;=O$4+6,D22&gt;=O$4),"█",""))</f>
        <v/>
      </c>
      <c r="P22" s="64">
        <f>IF(OR(A22="",C22="",D22=""),"",IF(AND(C22&lt;=P$4+6,D22&gt;=P$4),"█",""))</f>
        <v/>
      </c>
      <c r="Q22" s="64">
        <f>IF(OR(A22="",C22="",D22=""),"",IF(AND(C22&lt;=Q$4+6,D22&gt;=Q$4),"█",""))</f>
        <v/>
      </c>
      <c r="R22" s="64">
        <f>IF(OR(A22="",C22="",D22=""),"",IF(AND(C22&lt;=R$4+6,D22&gt;=R$4),"█",""))</f>
        <v/>
      </c>
      <c r="S22" s="64">
        <f>IF(OR(A22="",C22="",D22=""),"",IF(AND(C22&lt;=S$4+6,D22&gt;=S$4),"█",""))</f>
        <v/>
      </c>
      <c r="T22" s="64">
        <f>IF(OR(A22="",C22="",D22=""),"",IF(AND(C22&lt;=T$4+6,D22&gt;=T$4),"█",""))</f>
        <v/>
      </c>
      <c r="U22" s="64">
        <f>IF(OR(A22="",C22="",D22=""),"",IF(AND(C22&lt;=U$4+6,D22&gt;=U$4),"█",""))</f>
        <v/>
      </c>
      <c r="V22" s="64">
        <f>IF(OR(A22="",C22="",D22=""),"",IF(AND(C22&lt;=V$4+6,D22&gt;=V$4),"█",""))</f>
        <v/>
      </c>
      <c r="W22" s="64">
        <f>IF(OR(A22="",C22="",D22=""),"",IF(AND(C22&lt;=W$4+6,D22&gt;=W$4),"█",""))</f>
        <v/>
      </c>
    </row>
    <row r="23" ht="16" customHeight="1">
      <c r="A23" s="62">
        <f>IF('Task List'!A23="","",'Task List'!A23)</f>
        <v/>
      </c>
      <c r="B23" s="62">
        <f>IF(A23="","",'Task List'!B23)</f>
        <v/>
      </c>
      <c r="C23" s="63">
        <f>IF(A23="","",'Task List'!F23)</f>
        <v/>
      </c>
      <c r="D23" s="63">
        <f>IF(A23="","",'Task List'!G23)</f>
        <v/>
      </c>
      <c r="E23" s="54">
        <f>IF(A23="","",'Task List'!E23)</f>
        <v/>
      </c>
      <c r="F23" s="64">
        <f>IF(OR(A23="",C23="",D23=""),"",IF(AND(C23&lt;=F$4+6,D23&gt;=F$4),"█",""))</f>
        <v/>
      </c>
      <c r="G23" s="64">
        <f>IF(OR(A23="",C23="",D23=""),"",IF(AND(C23&lt;=G$4+6,D23&gt;=G$4),"█",""))</f>
        <v/>
      </c>
      <c r="H23" s="64">
        <f>IF(OR(A23="",C23="",D23=""),"",IF(AND(C23&lt;=H$4+6,D23&gt;=H$4),"█",""))</f>
        <v/>
      </c>
      <c r="I23" s="64">
        <f>IF(OR(A23="",C23="",D23=""),"",IF(AND(C23&lt;=I$4+6,D23&gt;=I$4),"█",""))</f>
        <v/>
      </c>
      <c r="J23" s="64">
        <f>IF(OR(A23="",C23="",D23=""),"",IF(AND(C23&lt;=J$4+6,D23&gt;=J$4),"█",""))</f>
        <v/>
      </c>
      <c r="K23" s="64">
        <f>IF(OR(A23="",C23="",D23=""),"",IF(AND(C23&lt;=K$4+6,D23&gt;=K$4),"█",""))</f>
        <v/>
      </c>
      <c r="L23" s="64">
        <f>IF(OR(A23="",C23="",D23=""),"",IF(AND(C23&lt;=L$4+6,D23&gt;=L$4),"█",""))</f>
        <v/>
      </c>
      <c r="M23" s="64">
        <f>IF(OR(A23="",C23="",D23=""),"",IF(AND(C23&lt;=M$4+6,D23&gt;=M$4),"█",""))</f>
        <v/>
      </c>
      <c r="N23" s="64">
        <f>IF(OR(A23="",C23="",D23=""),"",IF(AND(C23&lt;=N$4+6,D23&gt;=N$4),"█",""))</f>
        <v/>
      </c>
      <c r="O23" s="64">
        <f>IF(OR(A23="",C23="",D23=""),"",IF(AND(C23&lt;=O$4+6,D23&gt;=O$4),"█",""))</f>
        <v/>
      </c>
      <c r="P23" s="64">
        <f>IF(OR(A23="",C23="",D23=""),"",IF(AND(C23&lt;=P$4+6,D23&gt;=P$4),"█",""))</f>
        <v/>
      </c>
      <c r="Q23" s="64">
        <f>IF(OR(A23="",C23="",D23=""),"",IF(AND(C23&lt;=Q$4+6,D23&gt;=Q$4),"█",""))</f>
        <v/>
      </c>
      <c r="R23" s="64">
        <f>IF(OR(A23="",C23="",D23=""),"",IF(AND(C23&lt;=R$4+6,D23&gt;=R$4),"█",""))</f>
        <v/>
      </c>
      <c r="S23" s="64">
        <f>IF(OR(A23="",C23="",D23=""),"",IF(AND(C23&lt;=S$4+6,D23&gt;=S$4),"█",""))</f>
        <v/>
      </c>
      <c r="T23" s="64">
        <f>IF(OR(A23="",C23="",D23=""),"",IF(AND(C23&lt;=T$4+6,D23&gt;=T$4),"█",""))</f>
        <v/>
      </c>
      <c r="U23" s="64">
        <f>IF(OR(A23="",C23="",D23=""),"",IF(AND(C23&lt;=U$4+6,D23&gt;=U$4),"█",""))</f>
        <v/>
      </c>
      <c r="V23" s="64">
        <f>IF(OR(A23="",C23="",D23=""),"",IF(AND(C23&lt;=V$4+6,D23&gt;=V$4),"█",""))</f>
        <v/>
      </c>
      <c r="W23" s="64">
        <f>IF(OR(A23="",C23="",D23=""),"",IF(AND(C23&lt;=W$4+6,D23&gt;=W$4),"█",""))</f>
        <v/>
      </c>
    </row>
    <row r="24" ht="16" customHeight="1">
      <c r="A24" s="62">
        <f>IF('Task List'!A24="","",'Task List'!A24)</f>
        <v/>
      </c>
      <c r="B24" s="62">
        <f>IF(A24="","",'Task List'!B24)</f>
        <v/>
      </c>
      <c r="C24" s="63">
        <f>IF(A24="","",'Task List'!F24)</f>
        <v/>
      </c>
      <c r="D24" s="63">
        <f>IF(A24="","",'Task List'!G24)</f>
        <v/>
      </c>
      <c r="E24" s="54">
        <f>IF(A24="","",'Task List'!E24)</f>
        <v/>
      </c>
      <c r="F24" s="64">
        <f>IF(OR(A24="",C24="",D24=""),"",IF(AND(C24&lt;=F$4+6,D24&gt;=F$4),"█",""))</f>
        <v/>
      </c>
      <c r="G24" s="64">
        <f>IF(OR(A24="",C24="",D24=""),"",IF(AND(C24&lt;=G$4+6,D24&gt;=G$4),"█",""))</f>
        <v/>
      </c>
      <c r="H24" s="64">
        <f>IF(OR(A24="",C24="",D24=""),"",IF(AND(C24&lt;=H$4+6,D24&gt;=H$4),"█",""))</f>
        <v/>
      </c>
      <c r="I24" s="64">
        <f>IF(OR(A24="",C24="",D24=""),"",IF(AND(C24&lt;=I$4+6,D24&gt;=I$4),"█",""))</f>
        <v/>
      </c>
      <c r="J24" s="64">
        <f>IF(OR(A24="",C24="",D24=""),"",IF(AND(C24&lt;=J$4+6,D24&gt;=J$4),"█",""))</f>
        <v/>
      </c>
      <c r="K24" s="64">
        <f>IF(OR(A24="",C24="",D24=""),"",IF(AND(C24&lt;=K$4+6,D24&gt;=K$4),"█",""))</f>
        <v/>
      </c>
      <c r="L24" s="64">
        <f>IF(OR(A24="",C24="",D24=""),"",IF(AND(C24&lt;=L$4+6,D24&gt;=L$4),"█",""))</f>
        <v/>
      </c>
      <c r="M24" s="64">
        <f>IF(OR(A24="",C24="",D24=""),"",IF(AND(C24&lt;=M$4+6,D24&gt;=M$4),"█",""))</f>
        <v/>
      </c>
      <c r="N24" s="64">
        <f>IF(OR(A24="",C24="",D24=""),"",IF(AND(C24&lt;=N$4+6,D24&gt;=N$4),"█",""))</f>
        <v/>
      </c>
      <c r="O24" s="64">
        <f>IF(OR(A24="",C24="",D24=""),"",IF(AND(C24&lt;=O$4+6,D24&gt;=O$4),"█",""))</f>
        <v/>
      </c>
      <c r="P24" s="64">
        <f>IF(OR(A24="",C24="",D24=""),"",IF(AND(C24&lt;=P$4+6,D24&gt;=P$4),"█",""))</f>
        <v/>
      </c>
      <c r="Q24" s="64">
        <f>IF(OR(A24="",C24="",D24=""),"",IF(AND(C24&lt;=Q$4+6,D24&gt;=Q$4),"█",""))</f>
        <v/>
      </c>
      <c r="R24" s="64">
        <f>IF(OR(A24="",C24="",D24=""),"",IF(AND(C24&lt;=R$4+6,D24&gt;=R$4),"█",""))</f>
        <v/>
      </c>
      <c r="S24" s="64">
        <f>IF(OR(A24="",C24="",D24=""),"",IF(AND(C24&lt;=S$4+6,D24&gt;=S$4),"█",""))</f>
        <v/>
      </c>
      <c r="T24" s="64">
        <f>IF(OR(A24="",C24="",D24=""),"",IF(AND(C24&lt;=T$4+6,D24&gt;=T$4),"█",""))</f>
        <v/>
      </c>
      <c r="U24" s="64">
        <f>IF(OR(A24="",C24="",D24=""),"",IF(AND(C24&lt;=U$4+6,D24&gt;=U$4),"█",""))</f>
        <v/>
      </c>
      <c r="V24" s="64">
        <f>IF(OR(A24="",C24="",D24=""),"",IF(AND(C24&lt;=V$4+6,D24&gt;=V$4),"█",""))</f>
        <v/>
      </c>
      <c r="W24" s="64">
        <f>IF(OR(A24="",C24="",D24=""),"",IF(AND(C24&lt;=W$4+6,D24&gt;=W$4),"█",""))</f>
        <v/>
      </c>
    </row>
    <row r="25" ht="16" customHeight="1">
      <c r="A25" s="62">
        <f>IF('Task List'!A25="","",'Task List'!A25)</f>
        <v/>
      </c>
      <c r="B25" s="62">
        <f>IF(A25="","",'Task List'!B25)</f>
        <v/>
      </c>
      <c r="C25" s="63">
        <f>IF(A25="","",'Task List'!F25)</f>
        <v/>
      </c>
      <c r="D25" s="63">
        <f>IF(A25="","",'Task List'!G25)</f>
        <v/>
      </c>
      <c r="E25" s="54">
        <f>IF(A25="","",'Task List'!E25)</f>
        <v/>
      </c>
      <c r="F25" s="64">
        <f>IF(OR(A25="",C25="",D25=""),"",IF(AND(C25&lt;=F$4+6,D25&gt;=F$4),"█",""))</f>
        <v/>
      </c>
      <c r="G25" s="64">
        <f>IF(OR(A25="",C25="",D25=""),"",IF(AND(C25&lt;=G$4+6,D25&gt;=G$4),"█",""))</f>
        <v/>
      </c>
      <c r="H25" s="64">
        <f>IF(OR(A25="",C25="",D25=""),"",IF(AND(C25&lt;=H$4+6,D25&gt;=H$4),"█",""))</f>
        <v/>
      </c>
      <c r="I25" s="64">
        <f>IF(OR(A25="",C25="",D25=""),"",IF(AND(C25&lt;=I$4+6,D25&gt;=I$4),"█",""))</f>
        <v/>
      </c>
      <c r="J25" s="64">
        <f>IF(OR(A25="",C25="",D25=""),"",IF(AND(C25&lt;=J$4+6,D25&gt;=J$4),"█",""))</f>
        <v/>
      </c>
      <c r="K25" s="64">
        <f>IF(OR(A25="",C25="",D25=""),"",IF(AND(C25&lt;=K$4+6,D25&gt;=K$4),"█",""))</f>
        <v/>
      </c>
      <c r="L25" s="64">
        <f>IF(OR(A25="",C25="",D25=""),"",IF(AND(C25&lt;=L$4+6,D25&gt;=L$4),"█",""))</f>
        <v/>
      </c>
      <c r="M25" s="64">
        <f>IF(OR(A25="",C25="",D25=""),"",IF(AND(C25&lt;=M$4+6,D25&gt;=M$4),"█",""))</f>
        <v/>
      </c>
      <c r="N25" s="64">
        <f>IF(OR(A25="",C25="",D25=""),"",IF(AND(C25&lt;=N$4+6,D25&gt;=N$4),"█",""))</f>
        <v/>
      </c>
      <c r="O25" s="64">
        <f>IF(OR(A25="",C25="",D25=""),"",IF(AND(C25&lt;=O$4+6,D25&gt;=O$4),"█",""))</f>
        <v/>
      </c>
      <c r="P25" s="64">
        <f>IF(OR(A25="",C25="",D25=""),"",IF(AND(C25&lt;=P$4+6,D25&gt;=P$4),"█",""))</f>
        <v/>
      </c>
      <c r="Q25" s="64">
        <f>IF(OR(A25="",C25="",D25=""),"",IF(AND(C25&lt;=Q$4+6,D25&gt;=Q$4),"█",""))</f>
        <v/>
      </c>
      <c r="R25" s="64">
        <f>IF(OR(A25="",C25="",D25=""),"",IF(AND(C25&lt;=R$4+6,D25&gt;=R$4),"█",""))</f>
        <v/>
      </c>
      <c r="S25" s="64">
        <f>IF(OR(A25="",C25="",D25=""),"",IF(AND(C25&lt;=S$4+6,D25&gt;=S$4),"█",""))</f>
        <v/>
      </c>
      <c r="T25" s="64">
        <f>IF(OR(A25="",C25="",D25=""),"",IF(AND(C25&lt;=T$4+6,D25&gt;=T$4),"█",""))</f>
        <v/>
      </c>
      <c r="U25" s="64">
        <f>IF(OR(A25="",C25="",D25=""),"",IF(AND(C25&lt;=U$4+6,D25&gt;=U$4),"█",""))</f>
        <v/>
      </c>
      <c r="V25" s="64">
        <f>IF(OR(A25="",C25="",D25=""),"",IF(AND(C25&lt;=V$4+6,D25&gt;=V$4),"█",""))</f>
        <v/>
      </c>
      <c r="W25" s="64">
        <f>IF(OR(A25="",C25="",D25=""),"",IF(AND(C25&lt;=W$4+6,D25&gt;=W$4),"█",""))</f>
        <v/>
      </c>
    </row>
    <row r="26" ht="16" customHeight="1">
      <c r="A26" s="62">
        <f>IF('Task List'!A26="","",'Task List'!A26)</f>
        <v/>
      </c>
      <c r="B26" s="62">
        <f>IF(A26="","",'Task List'!B26)</f>
        <v/>
      </c>
      <c r="C26" s="63">
        <f>IF(A26="","",'Task List'!F26)</f>
        <v/>
      </c>
      <c r="D26" s="63">
        <f>IF(A26="","",'Task List'!G26)</f>
        <v/>
      </c>
      <c r="E26" s="54">
        <f>IF(A26="","",'Task List'!E26)</f>
        <v/>
      </c>
      <c r="F26" s="64">
        <f>IF(OR(A26="",C26="",D26=""),"",IF(AND(C26&lt;=F$4+6,D26&gt;=F$4),"█",""))</f>
        <v/>
      </c>
      <c r="G26" s="64">
        <f>IF(OR(A26="",C26="",D26=""),"",IF(AND(C26&lt;=G$4+6,D26&gt;=G$4),"█",""))</f>
        <v/>
      </c>
      <c r="H26" s="64">
        <f>IF(OR(A26="",C26="",D26=""),"",IF(AND(C26&lt;=H$4+6,D26&gt;=H$4),"█",""))</f>
        <v/>
      </c>
      <c r="I26" s="64">
        <f>IF(OR(A26="",C26="",D26=""),"",IF(AND(C26&lt;=I$4+6,D26&gt;=I$4),"█",""))</f>
        <v/>
      </c>
      <c r="J26" s="64">
        <f>IF(OR(A26="",C26="",D26=""),"",IF(AND(C26&lt;=J$4+6,D26&gt;=J$4),"█",""))</f>
        <v/>
      </c>
      <c r="K26" s="64">
        <f>IF(OR(A26="",C26="",D26=""),"",IF(AND(C26&lt;=K$4+6,D26&gt;=K$4),"█",""))</f>
        <v/>
      </c>
      <c r="L26" s="64">
        <f>IF(OR(A26="",C26="",D26=""),"",IF(AND(C26&lt;=L$4+6,D26&gt;=L$4),"█",""))</f>
        <v/>
      </c>
      <c r="M26" s="64">
        <f>IF(OR(A26="",C26="",D26=""),"",IF(AND(C26&lt;=M$4+6,D26&gt;=M$4),"█",""))</f>
        <v/>
      </c>
      <c r="N26" s="64">
        <f>IF(OR(A26="",C26="",D26=""),"",IF(AND(C26&lt;=N$4+6,D26&gt;=N$4),"█",""))</f>
        <v/>
      </c>
      <c r="O26" s="64">
        <f>IF(OR(A26="",C26="",D26=""),"",IF(AND(C26&lt;=O$4+6,D26&gt;=O$4),"█",""))</f>
        <v/>
      </c>
      <c r="P26" s="64">
        <f>IF(OR(A26="",C26="",D26=""),"",IF(AND(C26&lt;=P$4+6,D26&gt;=P$4),"█",""))</f>
        <v/>
      </c>
      <c r="Q26" s="64">
        <f>IF(OR(A26="",C26="",D26=""),"",IF(AND(C26&lt;=Q$4+6,D26&gt;=Q$4),"█",""))</f>
        <v/>
      </c>
      <c r="R26" s="64">
        <f>IF(OR(A26="",C26="",D26=""),"",IF(AND(C26&lt;=R$4+6,D26&gt;=R$4),"█",""))</f>
        <v/>
      </c>
      <c r="S26" s="64">
        <f>IF(OR(A26="",C26="",D26=""),"",IF(AND(C26&lt;=S$4+6,D26&gt;=S$4),"█",""))</f>
        <v/>
      </c>
      <c r="T26" s="64">
        <f>IF(OR(A26="",C26="",D26=""),"",IF(AND(C26&lt;=T$4+6,D26&gt;=T$4),"█",""))</f>
        <v/>
      </c>
      <c r="U26" s="64">
        <f>IF(OR(A26="",C26="",D26=""),"",IF(AND(C26&lt;=U$4+6,D26&gt;=U$4),"█",""))</f>
        <v/>
      </c>
      <c r="V26" s="64">
        <f>IF(OR(A26="",C26="",D26=""),"",IF(AND(C26&lt;=V$4+6,D26&gt;=V$4),"█",""))</f>
        <v/>
      </c>
      <c r="W26" s="64">
        <f>IF(OR(A26="",C26="",D26=""),"",IF(AND(C26&lt;=W$4+6,D26&gt;=W$4),"█",""))</f>
        <v/>
      </c>
    </row>
    <row r="27" ht="16" customHeight="1">
      <c r="A27" s="62">
        <f>IF('Task List'!A27="","",'Task List'!A27)</f>
        <v/>
      </c>
      <c r="B27" s="62">
        <f>IF(A27="","",'Task List'!B27)</f>
        <v/>
      </c>
      <c r="C27" s="63">
        <f>IF(A27="","",'Task List'!F27)</f>
        <v/>
      </c>
      <c r="D27" s="63">
        <f>IF(A27="","",'Task List'!G27)</f>
        <v/>
      </c>
      <c r="E27" s="54">
        <f>IF(A27="","",'Task List'!E27)</f>
        <v/>
      </c>
      <c r="F27" s="64">
        <f>IF(OR(A27="",C27="",D27=""),"",IF(AND(C27&lt;=F$4+6,D27&gt;=F$4),"█",""))</f>
        <v/>
      </c>
      <c r="G27" s="64">
        <f>IF(OR(A27="",C27="",D27=""),"",IF(AND(C27&lt;=G$4+6,D27&gt;=G$4),"█",""))</f>
        <v/>
      </c>
      <c r="H27" s="64">
        <f>IF(OR(A27="",C27="",D27=""),"",IF(AND(C27&lt;=H$4+6,D27&gt;=H$4),"█",""))</f>
        <v/>
      </c>
      <c r="I27" s="64">
        <f>IF(OR(A27="",C27="",D27=""),"",IF(AND(C27&lt;=I$4+6,D27&gt;=I$4),"█",""))</f>
        <v/>
      </c>
      <c r="J27" s="64">
        <f>IF(OR(A27="",C27="",D27=""),"",IF(AND(C27&lt;=J$4+6,D27&gt;=J$4),"█",""))</f>
        <v/>
      </c>
      <c r="K27" s="64">
        <f>IF(OR(A27="",C27="",D27=""),"",IF(AND(C27&lt;=K$4+6,D27&gt;=K$4),"█",""))</f>
        <v/>
      </c>
      <c r="L27" s="64">
        <f>IF(OR(A27="",C27="",D27=""),"",IF(AND(C27&lt;=L$4+6,D27&gt;=L$4),"█",""))</f>
        <v/>
      </c>
      <c r="M27" s="64">
        <f>IF(OR(A27="",C27="",D27=""),"",IF(AND(C27&lt;=M$4+6,D27&gt;=M$4),"█",""))</f>
        <v/>
      </c>
      <c r="N27" s="64">
        <f>IF(OR(A27="",C27="",D27=""),"",IF(AND(C27&lt;=N$4+6,D27&gt;=N$4),"█",""))</f>
        <v/>
      </c>
      <c r="O27" s="64">
        <f>IF(OR(A27="",C27="",D27=""),"",IF(AND(C27&lt;=O$4+6,D27&gt;=O$4),"█",""))</f>
        <v/>
      </c>
      <c r="P27" s="64">
        <f>IF(OR(A27="",C27="",D27=""),"",IF(AND(C27&lt;=P$4+6,D27&gt;=P$4),"█",""))</f>
        <v/>
      </c>
      <c r="Q27" s="64">
        <f>IF(OR(A27="",C27="",D27=""),"",IF(AND(C27&lt;=Q$4+6,D27&gt;=Q$4),"█",""))</f>
        <v/>
      </c>
      <c r="R27" s="64">
        <f>IF(OR(A27="",C27="",D27=""),"",IF(AND(C27&lt;=R$4+6,D27&gt;=R$4),"█",""))</f>
        <v/>
      </c>
      <c r="S27" s="64">
        <f>IF(OR(A27="",C27="",D27=""),"",IF(AND(C27&lt;=S$4+6,D27&gt;=S$4),"█",""))</f>
        <v/>
      </c>
      <c r="T27" s="64">
        <f>IF(OR(A27="",C27="",D27=""),"",IF(AND(C27&lt;=T$4+6,D27&gt;=T$4),"█",""))</f>
        <v/>
      </c>
      <c r="U27" s="64">
        <f>IF(OR(A27="",C27="",D27=""),"",IF(AND(C27&lt;=U$4+6,D27&gt;=U$4),"█",""))</f>
        <v/>
      </c>
      <c r="V27" s="64">
        <f>IF(OR(A27="",C27="",D27=""),"",IF(AND(C27&lt;=V$4+6,D27&gt;=V$4),"█",""))</f>
        <v/>
      </c>
      <c r="W27" s="64">
        <f>IF(OR(A27="",C27="",D27=""),"",IF(AND(C27&lt;=W$4+6,D27&gt;=W$4),"█",""))</f>
        <v/>
      </c>
    </row>
    <row r="28" ht="16" customHeight="1">
      <c r="A28" s="62">
        <f>IF('Task List'!A28="","",'Task List'!A28)</f>
        <v/>
      </c>
      <c r="B28" s="62">
        <f>IF(A28="","",'Task List'!B28)</f>
        <v/>
      </c>
      <c r="C28" s="63">
        <f>IF(A28="","",'Task List'!F28)</f>
        <v/>
      </c>
      <c r="D28" s="63">
        <f>IF(A28="","",'Task List'!G28)</f>
        <v/>
      </c>
      <c r="E28" s="54">
        <f>IF(A28="","",'Task List'!E28)</f>
        <v/>
      </c>
      <c r="F28" s="64">
        <f>IF(OR(A28="",C28="",D28=""),"",IF(AND(C28&lt;=F$4+6,D28&gt;=F$4),"█",""))</f>
        <v/>
      </c>
      <c r="G28" s="64">
        <f>IF(OR(A28="",C28="",D28=""),"",IF(AND(C28&lt;=G$4+6,D28&gt;=G$4),"█",""))</f>
        <v/>
      </c>
      <c r="H28" s="64">
        <f>IF(OR(A28="",C28="",D28=""),"",IF(AND(C28&lt;=H$4+6,D28&gt;=H$4),"█",""))</f>
        <v/>
      </c>
      <c r="I28" s="64">
        <f>IF(OR(A28="",C28="",D28=""),"",IF(AND(C28&lt;=I$4+6,D28&gt;=I$4),"█",""))</f>
        <v/>
      </c>
      <c r="J28" s="64">
        <f>IF(OR(A28="",C28="",D28=""),"",IF(AND(C28&lt;=J$4+6,D28&gt;=J$4),"█",""))</f>
        <v/>
      </c>
      <c r="K28" s="64">
        <f>IF(OR(A28="",C28="",D28=""),"",IF(AND(C28&lt;=K$4+6,D28&gt;=K$4),"█",""))</f>
        <v/>
      </c>
      <c r="L28" s="64">
        <f>IF(OR(A28="",C28="",D28=""),"",IF(AND(C28&lt;=L$4+6,D28&gt;=L$4),"█",""))</f>
        <v/>
      </c>
      <c r="M28" s="64">
        <f>IF(OR(A28="",C28="",D28=""),"",IF(AND(C28&lt;=M$4+6,D28&gt;=M$4),"█",""))</f>
        <v/>
      </c>
      <c r="N28" s="64">
        <f>IF(OR(A28="",C28="",D28=""),"",IF(AND(C28&lt;=N$4+6,D28&gt;=N$4),"█",""))</f>
        <v/>
      </c>
      <c r="O28" s="64">
        <f>IF(OR(A28="",C28="",D28=""),"",IF(AND(C28&lt;=O$4+6,D28&gt;=O$4),"█",""))</f>
        <v/>
      </c>
      <c r="P28" s="64">
        <f>IF(OR(A28="",C28="",D28=""),"",IF(AND(C28&lt;=P$4+6,D28&gt;=P$4),"█",""))</f>
        <v/>
      </c>
      <c r="Q28" s="64">
        <f>IF(OR(A28="",C28="",D28=""),"",IF(AND(C28&lt;=Q$4+6,D28&gt;=Q$4),"█",""))</f>
        <v/>
      </c>
      <c r="R28" s="64">
        <f>IF(OR(A28="",C28="",D28=""),"",IF(AND(C28&lt;=R$4+6,D28&gt;=R$4),"█",""))</f>
        <v/>
      </c>
      <c r="S28" s="64">
        <f>IF(OR(A28="",C28="",D28=""),"",IF(AND(C28&lt;=S$4+6,D28&gt;=S$4),"█",""))</f>
        <v/>
      </c>
      <c r="T28" s="64">
        <f>IF(OR(A28="",C28="",D28=""),"",IF(AND(C28&lt;=T$4+6,D28&gt;=T$4),"█",""))</f>
        <v/>
      </c>
      <c r="U28" s="64">
        <f>IF(OR(A28="",C28="",D28=""),"",IF(AND(C28&lt;=U$4+6,D28&gt;=U$4),"█",""))</f>
        <v/>
      </c>
      <c r="V28" s="64">
        <f>IF(OR(A28="",C28="",D28=""),"",IF(AND(C28&lt;=V$4+6,D28&gt;=V$4),"█",""))</f>
        <v/>
      </c>
      <c r="W28" s="64">
        <f>IF(OR(A28="",C28="",D28=""),"",IF(AND(C28&lt;=W$4+6,D28&gt;=W$4),"█",""))</f>
        <v/>
      </c>
    </row>
    <row r="29" ht="16" customHeight="1">
      <c r="A29" s="62">
        <f>IF('Task List'!A29="","",'Task List'!A29)</f>
        <v/>
      </c>
      <c r="B29" s="62">
        <f>IF(A29="","",'Task List'!B29)</f>
        <v/>
      </c>
      <c r="C29" s="63">
        <f>IF(A29="","",'Task List'!F29)</f>
        <v/>
      </c>
      <c r="D29" s="63">
        <f>IF(A29="","",'Task List'!G29)</f>
        <v/>
      </c>
      <c r="E29" s="54">
        <f>IF(A29="","",'Task List'!E29)</f>
        <v/>
      </c>
      <c r="F29" s="64">
        <f>IF(OR(A29="",C29="",D29=""),"",IF(AND(C29&lt;=F$4+6,D29&gt;=F$4),"█",""))</f>
        <v/>
      </c>
      <c r="G29" s="64">
        <f>IF(OR(A29="",C29="",D29=""),"",IF(AND(C29&lt;=G$4+6,D29&gt;=G$4),"█",""))</f>
        <v/>
      </c>
      <c r="H29" s="64">
        <f>IF(OR(A29="",C29="",D29=""),"",IF(AND(C29&lt;=H$4+6,D29&gt;=H$4),"█",""))</f>
        <v/>
      </c>
      <c r="I29" s="64">
        <f>IF(OR(A29="",C29="",D29=""),"",IF(AND(C29&lt;=I$4+6,D29&gt;=I$4),"█",""))</f>
        <v/>
      </c>
      <c r="J29" s="64">
        <f>IF(OR(A29="",C29="",D29=""),"",IF(AND(C29&lt;=J$4+6,D29&gt;=J$4),"█",""))</f>
        <v/>
      </c>
      <c r="K29" s="64">
        <f>IF(OR(A29="",C29="",D29=""),"",IF(AND(C29&lt;=K$4+6,D29&gt;=K$4),"█",""))</f>
        <v/>
      </c>
      <c r="L29" s="64">
        <f>IF(OR(A29="",C29="",D29=""),"",IF(AND(C29&lt;=L$4+6,D29&gt;=L$4),"█",""))</f>
        <v/>
      </c>
      <c r="M29" s="64">
        <f>IF(OR(A29="",C29="",D29=""),"",IF(AND(C29&lt;=M$4+6,D29&gt;=M$4),"█",""))</f>
        <v/>
      </c>
      <c r="N29" s="64">
        <f>IF(OR(A29="",C29="",D29=""),"",IF(AND(C29&lt;=N$4+6,D29&gt;=N$4),"█",""))</f>
        <v/>
      </c>
      <c r="O29" s="64">
        <f>IF(OR(A29="",C29="",D29=""),"",IF(AND(C29&lt;=O$4+6,D29&gt;=O$4),"█",""))</f>
        <v/>
      </c>
      <c r="P29" s="64">
        <f>IF(OR(A29="",C29="",D29=""),"",IF(AND(C29&lt;=P$4+6,D29&gt;=P$4),"█",""))</f>
        <v/>
      </c>
      <c r="Q29" s="64">
        <f>IF(OR(A29="",C29="",D29=""),"",IF(AND(C29&lt;=Q$4+6,D29&gt;=Q$4),"█",""))</f>
        <v/>
      </c>
      <c r="R29" s="64">
        <f>IF(OR(A29="",C29="",D29=""),"",IF(AND(C29&lt;=R$4+6,D29&gt;=R$4),"█",""))</f>
        <v/>
      </c>
      <c r="S29" s="64">
        <f>IF(OR(A29="",C29="",D29=""),"",IF(AND(C29&lt;=S$4+6,D29&gt;=S$4),"█",""))</f>
        <v/>
      </c>
      <c r="T29" s="64">
        <f>IF(OR(A29="",C29="",D29=""),"",IF(AND(C29&lt;=T$4+6,D29&gt;=T$4),"█",""))</f>
        <v/>
      </c>
      <c r="U29" s="64">
        <f>IF(OR(A29="",C29="",D29=""),"",IF(AND(C29&lt;=U$4+6,D29&gt;=U$4),"█",""))</f>
        <v/>
      </c>
      <c r="V29" s="64">
        <f>IF(OR(A29="",C29="",D29=""),"",IF(AND(C29&lt;=V$4+6,D29&gt;=V$4),"█",""))</f>
        <v/>
      </c>
      <c r="W29" s="64">
        <f>IF(OR(A29="",C29="",D29=""),"",IF(AND(C29&lt;=W$4+6,D29&gt;=W$4),"█",""))</f>
        <v/>
      </c>
    </row>
    <row r="30" ht="16" customHeight="1">
      <c r="A30" s="62">
        <f>IF('Task List'!A30="","",'Task List'!A30)</f>
        <v/>
      </c>
      <c r="B30" s="62">
        <f>IF(A30="","",'Task List'!B30)</f>
        <v/>
      </c>
      <c r="C30" s="63">
        <f>IF(A30="","",'Task List'!F30)</f>
        <v/>
      </c>
      <c r="D30" s="63">
        <f>IF(A30="","",'Task List'!G30)</f>
        <v/>
      </c>
      <c r="E30" s="54">
        <f>IF(A30="","",'Task List'!E30)</f>
        <v/>
      </c>
      <c r="F30" s="64">
        <f>IF(OR(A30="",C30="",D30=""),"",IF(AND(C30&lt;=F$4+6,D30&gt;=F$4),"█",""))</f>
        <v/>
      </c>
      <c r="G30" s="64">
        <f>IF(OR(A30="",C30="",D30=""),"",IF(AND(C30&lt;=G$4+6,D30&gt;=G$4),"█",""))</f>
        <v/>
      </c>
      <c r="H30" s="64">
        <f>IF(OR(A30="",C30="",D30=""),"",IF(AND(C30&lt;=H$4+6,D30&gt;=H$4),"█",""))</f>
        <v/>
      </c>
      <c r="I30" s="64">
        <f>IF(OR(A30="",C30="",D30=""),"",IF(AND(C30&lt;=I$4+6,D30&gt;=I$4),"█",""))</f>
        <v/>
      </c>
      <c r="J30" s="64">
        <f>IF(OR(A30="",C30="",D30=""),"",IF(AND(C30&lt;=J$4+6,D30&gt;=J$4),"█",""))</f>
        <v/>
      </c>
      <c r="K30" s="64">
        <f>IF(OR(A30="",C30="",D30=""),"",IF(AND(C30&lt;=K$4+6,D30&gt;=K$4),"█",""))</f>
        <v/>
      </c>
      <c r="L30" s="64">
        <f>IF(OR(A30="",C30="",D30=""),"",IF(AND(C30&lt;=L$4+6,D30&gt;=L$4),"█",""))</f>
        <v/>
      </c>
      <c r="M30" s="64">
        <f>IF(OR(A30="",C30="",D30=""),"",IF(AND(C30&lt;=M$4+6,D30&gt;=M$4),"█",""))</f>
        <v/>
      </c>
      <c r="N30" s="64">
        <f>IF(OR(A30="",C30="",D30=""),"",IF(AND(C30&lt;=N$4+6,D30&gt;=N$4),"█",""))</f>
        <v/>
      </c>
      <c r="O30" s="64">
        <f>IF(OR(A30="",C30="",D30=""),"",IF(AND(C30&lt;=O$4+6,D30&gt;=O$4),"█",""))</f>
        <v/>
      </c>
      <c r="P30" s="64">
        <f>IF(OR(A30="",C30="",D30=""),"",IF(AND(C30&lt;=P$4+6,D30&gt;=P$4),"█",""))</f>
        <v/>
      </c>
      <c r="Q30" s="64">
        <f>IF(OR(A30="",C30="",D30=""),"",IF(AND(C30&lt;=Q$4+6,D30&gt;=Q$4),"█",""))</f>
        <v/>
      </c>
      <c r="R30" s="64">
        <f>IF(OR(A30="",C30="",D30=""),"",IF(AND(C30&lt;=R$4+6,D30&gt;=R$4),"█",""))</f>
        <v/>
      </c>
      <c r="S30" s="64">
        <f>IF(OR(A30="",C30="",D30=""),"",IF(AND(C30&lt;=S$4+6,D30&gt;=S$4),"█",""))</f>
        <v/>
      </c>
      <c r="T30" s="64">
        <f>IF(OR(A30="",C30="",D30=""),"",IF(AND(C30&lt;=T$4+6,D30&gt;=T$4),"█",""))</f>
        <v/>
      </c>
      <c r="U30" s="64">
        <f>IF(OR(A30="",C30="",D30=""),"",IF(AND(C30&lt;=U$4+6,D30&gt;=U$4),"█",""))</f>
        <v/>
      </c>
      <c r="V30" s="64">
        <f>IF(OR(A30="",C30="",D30=""),"",IF(AND(C30&lt;=V$4+6,D30&gt;=V$4),"█",""))</f>
        <v/>
      </c>
      <c r="W30" s="64">
        <f>IF(OR(A30="",C30="",D30=""),"",IF(AND(C30&lt;=W$4+6,D30&gt;=W$4),"█",""))</f>
        <v/>
      </c>
    </row>
    <row r="31" ht="16" customHeight="1">
      <c r="A31" s="62">
        <f>IF('Task List'!A31="","",'Task List'!A31)</f>
        <v/>
      </c>
      <c r="B31" s="62">
        <f>IF(A31="","",'Task List'!B31)</f>
        <v/>
      </c>
      <c r="C31" s="63">
        <f>IF(A31="","",'Task List'!F31)</f>
        <v/>
      </c>
      <c r="D31" s="63">
        <f>IF(A31="","",'Task List'!G31)</f>
        <v/>
      </c>
      <c r="E31" s="54">
        <f>IF(A31="","",'Task List'!E31)</f>
        <v/>
      </c>
      <c r="F31" s="64">
        <f>IF(OR(A31="",C31="",D31=""),"",IF(AND(C31&lt;=F$4+6,D31&gt;=F$4),"█",""))</f>
        <v/>
      </c>
      <c r="G31" s="64">
        <f>IF(OR(A31="",C31="",D31=""),"",IF(AND(C31&lt;=G$4+6,D31&gt;=G$4),"█",""))</f>
        <v/>
      </c>
      <c r="H31" s="64">
        <f>IF(OR(A31="",C31="",D31=""),"",IF(AND(C31&lt;=H$4+6,D31&gt;=H$4),"█",""))</f>
        <v/>
      </c>
      <c r="I31" s="64">
        <f>IF(OR(A31="",C31="",D31=""),"",IF(AND(C31&lt;=I$4+6,D31&gt;=I$4),"█",""))</f>
        <v/>
      </c>
      <c r="J31" s="64">
        <f>IF(OR(A31="",C31="",D31=""),"",IF(AND(C31&lt;=J$4+6,D31&gt;=J$4),"█",""))</f>
        <v/>
      </c>
      <c r="K31" s="64">
        <f>IF(OR(A31="",C31="",D31=""),"",IF(AND(C31&lt;=K$4+6,D31&gt;=K$4),"█",""))</f>
        <v/>
      </c>
      <c r="L31" s="64">
        <f>IF(OR(A31="",C31="",D31=""),"",IF(AND(C31&lt;=L$4+6,D31&gt;=L$4),"█",""))</f>
        <v/>
      </c>
      <c r="M31" s="64">
        <f>IF(OR(A31="",C31="",D31=""),"",IF(AND(C31&lt;=M$4+6,D31&gt;=M$4),"█",""))</f>
        <v/>
      </c>
      <c r="N31" s="64">
        <f>IF(OR(A31="",C31="",D31=""),"",IF(AND(C31&lt;=N$4+6,D31&gt;=N$4),"█",""))</f>
        <v/>
      </c>
      <c r="O31" s="64">
        <f>IF(OR(A31="",C31="",D31=""),"",IF(AND(C31&lt;=O$4+6,D31&gt;=O$4),"█",""))</f>
        <v/>
      </c>
      <c r="P31" s="64">
        <f>IF(OR(A31="",C31="",D31=""),"",IF(AND(C31&lt;=P$4+6,D31&gt;=P$4),"█",""))</f>
        <v/>
      </c>
      <c r="Q31" s="64">
        <f>IF(OR(A31="",C31="",D31=""),"",IF(AND(C31&lt;=Q$4+6,D31&gt;=Q$4),"█",""))</f>
        <v/>
      </c>
      <c r="R31" s="64">
        <f>IF(OR(A31="",C31="",D31=""),"",IF(AND(C31&lt;=R$4+6,D31&gt;=R$4),"█",""))</f>
        <v/>
      </c>
      <c r="S31" s="64">
        <f>IF(OR(A31="",C31="",D31=""),"",IF(AND(C31&lt;=S$4+6,D31&gt;=S$4),"█",""))</f>
        <v/>
      </c>
      <c r="T31" s="64">
        <f>IF(OR(A31="",C31="",D31=""),"",IF(AND(C31&lt;=T$4+6,D31&gt;=T$4),"█",""))</f>
        <v/>
      </c>
      <c r="U31" s="64">
        <f>IF(OR(A31="",C31="",D31=""),"",IF(AND(C31&lt;=U$4+6,D31&gt;=U$4),"█",""))</f>
        <v/>
      </c>
      <c r="V31" s="64">
        <f>IF(OR(A31="",C31="",D31=""),"",IF(AND(C31&lt;=V$4+6,D31&gt;=V$4),"█",""))</f>
        <v/>
      </c>
      <c r="W31" s="64">
        <f>IF(OR(A31="",C31="",D31=""),"",IF(AND(C31&lt;=W$4+6,D31&gt;=W$4),"█",""))</f>
        <v/>
      </c>
    </row>
    <row r="32" ht="16" customHeight="1">
      <c r="A32" s="62">
        <f>IF('Task List'!A32="","",'Task List'!A32)</f>
        <v/>
      </c>
      <c r="B32" s="62">
        <f>IF(A32="","",'Task List'!B32)</f>
        <v/>
      </c>
      <c r="C32" s="63">
        <f>IF(A32="","",'Task List'!F32)</f>
        <v/>
      </c>
      <c r="D32" s="63">
        <f>IF(A32="","",'Task List'!G32)</f>
        <v/>
      </c>
      <c r="E32" s="54">
        <f>IF(A32="","",'Task List'!E32)</f>
        <v/>
      </c>
      <c r="F32" s="64">
        <f>IF(OR(A32="",C32="",D32=""),"",IF(AND(C32&lt;=F$4+6,D32&gt;=F$4),"█",""))</f>
        <v/>
      </c>
      <c r="G32" s="64">
        <f>IF(OR(A32="",C32="",D32=""),"",IF(AND(C32&lt;=G$4+6,D32&gt;=G$4),"█",""))</f>
        <v/>
      </c>
      <c r="H32" s="64">
        <f>IF(OR(A32="",C32="",D32=""),"",IF(AND(C32&lt;=H$4+6,D32&gt;=H$4),"█",""))</f>
        <v/>
      </c>
      <c r="I32" s="64">
        <f>IF(OR(A32="",C32="",D32=""),"",IF(AND(C32&lt;=I$4+6,D32&gt;=I$4),"█",""))</f>
        <v/>
      </c>
      <c r="J32" s="64">
        <f>IF(OR(A32="",C32="",D32=""),"",IF(AND(C32&lt;=J$4+6,D32&gt;=J$4),"█",""))</f>
        <v/>
      </c>
      <c r="K32" s="64">
        <f>IF(OR(A32="",C32="",D32=""),"",IF(AND(C32&lt;=K$4+6,D32&gt;=K$4),"█",""))</f>
        <v/>
      </c>
      <c r="L32" s="64">
        <f>IF(OR(A32="",C32="",D32=""),"",IF(AND(C32&lt;=L$4+6,D32&gt;=L$4),"█",""))</f>
        <v/>
      </c>
      <c r="M32" s="64">
        <f>IF(OR(A32="",C32="",D32=""),"",IF(AND(C32&lt;=M$4+6,D32&gt;=M$4),"█",""))</f>
        <v/>
      </c>
      <c r="N32" s="64">
        <f>IF(OR(A32="",C32="",D32=""),"",IF(AND(C32&lt;=N$4+6,D32&gt;=N$4),"█",""))</f>
        <v/>
      </c>
      <c r="O32" s="64">
        <f>IF(OR(A32="",C32="",D32=""),"",IF(AND(C32&lt;=O$4+6,D32&gt;=O$4),"█",""))</f>
        <v/>
      </c>
      <c r="P32" s="64">
        <f>IF(OR(A32="",C32="",D32=""),"",IF(AND(C32&lt;=P$4+6,D32&gt;=P$4),"█",""))</f>
        <v/>
      </c>
      <c r="Q32" s="64">
        <f>IF(OR(A32="",C32="",D32=""),"",IF(AND(C32&lt;=Q$4+6,D32&gt;=Q$4),"█",""))</f>
        <v/>
      </c>
      <c r="R32" s="64">
        <f>IF(OR(A32="",C32="",D32=""),"",IF(AND(C32&lt;=R$4+6,D32&gt;=R$4),"█",""))</f>
        <v/>
      </c>
      <c r="S32" s="64">
        <f>IF(OR(A32="",C32="",D32=""),"",IF(AND(C32&lt;=S$4+6,D32&gt;=S$4),"█",""))</f>
        <v/>
      </c>
      <c r="T32" s="64">
        <f>IF(OR(A32="",C32="",D32=""),"",IF(AND(C32&lt;=T$4+6,D32&gt;=T$4),"█",""))</f>
        <v/>
      </c>
      <c r="U32" s="64">
        <f>IF(OR(A32="",C32="",D32=""),"",IF(AND(C32&lt;=U$4+6,D32&gt;=U$4),"█",""))</f>
        <v/>
      </c>
      <c r="V32" s="64">
        <f>IF(OR(A32="",C32="",D32=""),"",IF(AND(C32&lt;=V$4+6,D32&gt;=V$4),"█",""))</f>
        <v/>
      </c>
      <c r="W32" s="64">
        <f>IF(OR(A32="",C32="",D32=""),"",IF(AND(C32&lt;=W$4+6,D32&gt;=W$4),"█",""))</f>
        <v/>
      </c>
    </row>
    <row r="33" ht="16" customHeight="1">
      <c r="A33" s="62">
        <f>IF('Task List'!A33="","",'Task List'!A33)</f>
        <v/>
      </c>
      <c r="B33" s="62">
        <f>IF(A33="","",'Task List'!B33)</f>
        <v/>
      </c>
      <c r="C33" s="63">
        <f>IF(A33="","",'Task List'!F33)</f>
        <v/>
      </c>
      <c r="D33" s="63">
        <f>IF(A33="","",'Task List'!G33)</f>
        <v/>
      </c>
      <c r="E33" s="54">
        <f>IF(A33="","",'Task List'!E33)</f>
        <v/>
      </c>
      <c r="F33" s="64">
        <f>IF(OR(A33="",C33="",D33=""),"",IF(AND(C33&lt;=F$4+6,D33&gt;=F$4),"█",""))</f>
        <v/>
      </c>
      <c r="G33" s="64">
        <f>IF(OR(A33="",C33="",D33=""),"",IF(AND(C33&lt;=G$4+6,D33&gt;=G$4),"█",""))</f>
        <v/>
      </c>
      <c r="H33" s="64">
        <f>IF(OR(A33="",C33="",D33=""),"",IF(AND(C33&lt;=H$4+6,D33&gt;=H$4),"█",""))</f>
        <v/>
      </c>
      <c r="I33" s="64">
        <f>IF(OR(A33="",C33="",D33=""),"",IF(AND(C33&lt;=I$4+6,D33&gt;=I$4),"█",""))</f>
        <v/>
      </c>
      <c r="J33" s="64">
        <f>IF(OR(A33="",C33="",D33=""),"",IF(AND(C33&lt;=J$4+6,D33&gt;=J$4),"█",""))</f>
        <v/>
      </c>
      <c r="K33" s="64">
        <f>IF(OR(A33="",C33="",D33=""),"",IF(AND(C33&lt;=K$4+6,D33&gt;=K$4),"█",""))</f>
        <v/>
      </c>
      <c r="L33" s="64">
        <f>IF(OR(A33="",C33="",D33=""),"",IF(AND(C33&lt;=L$4+6,D33&gt;=L$4),"█",""))</f>
        <v/>
      </c>
      <c r="M33" s="64">
        <f>IF(OR(A33="",C33="",D33=""),"",IF(AND(C33&lt;=M$4+6,D33&gt;=M$4),"█",""))</f>
        <v/>
      </c>
      <c r="N33" s="64">
        <f>IF(OR(A33="",C33="",D33=""),"",IF(AND(C33&lt;=N$4+6,D33&gt;=N$4),"█",""))</f>
        <v/>
      </c>
      <c r="O33" s="64">
        <f>IF(OR(A33="",C33="",D33=""),"",IF(AND(C33&lt;=O$4+6,D33&gt;=O$4),"█",""))</f>
        <v/>
      </c>
      <c r="P33" s="64">
        <f>IF(OR(A33="",C33="",D33=""),"",IF(AND(C33&lt;=P$4+6,D33&gt;=P$4),"█",""))</f>
        <v/>
      </c>
      <c r="Q33" s="64">
        <f>IF(OR(A33="",C33="",D33=""),"",IF(AND(C33&lt;=Q$4+6,D33&gt;=Q$4),"█",""))</f>
        <v/>
      </c>
      <c r="R33" s="64">
        <f>IF(OR(A33="",C33="",D33=""),"",IF(AND(C33&lt;=R$4+6,D33&gt;=R$4),"█",""))</f>
        <v/>
      </c>
      <c r="S33" s="64">
        <f>IF(OR(A33="",C33="",D33=""),"",IF(AND(C33&lt;=S$4+6,D33&gt;=S$4),"█",""))</f>
        <v/>
      </c>
      <c r="T33" s="64">
        <f>IF(OR(A33="",C33="",D33=""),"",IF(AND(C33&lt;=T$4+6,D33&gt;=T$4),"█",""))</f>
        <v/>
      </c>
      <c r="U33" s="64">
        <f>IF(OR(A33="",C33="",D33=""),"",IF(AND(C33&lt;=U$4+6,D33&gt;=U$4),"█",""))</f>
        <v/>
      </c>
      <c r="V33" s="64">
        <f>IF(OR(A33="",C33="",D33=""),"",IF(AND(C33&lt;=V$4+6,D33&gt;=V$4),"█",""))</f>
        <v/>
      </c>
      <c r="W33" s="64">
        <f>IF(OR(A33="",C33="",D33=""),"",IF(AND(C33&lt;=W$4+6,D33&gt;=W$4),"█",""))</f>
        <v/>
      </c>
    </row>
    <row r="34" ht="16" customHeight="1">
      <c r="A34" s="62">
        <f>IF('Task List'!A34="","",'Task List'!A34)</f>
        <v/>
      </c>
      <c r="B34" s="62">
        <f>IF(A34="","",'Task List'!B34)</f>
        <v/>
      </c>
      <c r="C34" s="63">
        <f>IF(A34="","",'Task List'!F34)</f>
        <v/>
      </c>
      <c r="D34" s="63">
        <f>IF(A34="","",'Task List'!G34)</f>
        <v/>
      </c>
      <c r="E34" s="54">
        <f>IF(A34="","",'Task List'!E34)</f>
        <v/>
      </c>
      <c r="F34" s="64">
        <f>IF(OR(A34="",C34="",D34=""),"",IF(AND(C34&lt;=F$4+6,D34&gt;=F$4),"█",""))</f>
        <v/>
      </c>
      <c r="G34" s="64">
        <f>IF(OR(A34="",C34="",D34=""),"",IF(AND(C34&lt;=G$4+6,D34&gt;=G$4),"█",""))</f>
        <v/>
      </c>
      <c r="H34" s="64">
        <f>IF(OR(A34="",C34="",D34=""),"",IF(AND(C34&lt;=H$4+6,D34&gt;=H$4),"█",""))</f>
        <v/>
      </c>
      <c r="I34" s="64">
        <f>IF(OR(A34="",C34="",D34=""),"",IF(AND(C34&lt;=I$4+6,D34&gt;=I$4),"█",""))</f>
        <v/>
      </c>
      <c r="J34" s="64">
        <f>IF(OR(A34="",C34="",D34=""),"",IF(AND(C34&lt;=J$4+6,D34&gt;=J$4),"█",""))</f>
        <v/>
      </c>
      <c r="K34" s="64">
        <f>IF(OR(A34="",C34="",D34=""),"",IF(AND(C34&lt;=K$4+6,D34&gt;=K$4),"█",""))</f>
        <v/>
      </c>
      <c r="L34" s="64">
        <f>IF(OR(A34="",C34="",D34=""),"",IF(AND(C34&lt;=L$4+6,D34&gt;=L$4),"█",""))</f>
        <v/>
      </c>
      <c r="M34" s="64">
        <f>IF(OR(A34="",C34="",D34=""),"",IF(AND(C34&lt;=M$4+6,D34&gt;=M$4),"█",""))</f>
        <v/>
      </c>
      <c r="N34" s="64">
        <f>IF(OR(A34="",C34="",D34=""),"",IF(AND(C34&lt;=N$4+6,D34&gt;=N$4),"█",""))</f>
        <v/>
      </c>
      <c r="O34" s="64">
        <f>IF(OR(A34="",C34="",D34=""),"",IF(AND(C34&lt;=O$4+6,D34&gt;=O$4),"█",""))</f>
        <v/>
      </c>
      <c r="P34" s="64">
        <f>IF(OR(A34="",C34="",D34=""),"",IF(AND(C34&lt;=P$4+6,D34&gt;=P$4),"█",""))</f>
        <v/>
      </c>
      <c r="Q34" s="64">
        <f>IF(OR(A34="",C34="",D34=""),"",IF(AND(C34&lt;=Q$4+6,D34&gt;=Q$4),"█",""))</f>
        <v/>
      </c>
      <c r="R34" s="64">
        <f>IF(OR(A34="",C34="",D34=""),"",IF(AND(C34&lt;=R$4+6,D34&gt;=R$4),"█",""))</f>
        <v/>
      </c>
      <c r="S34" s="64">
        <f>IF(OR(A34="",C34="",D34=""),"",IF(AND(C34&lt;=S$4+6,D34&gt;=S$4),"█",""))</f>
        <v/>
      </c>
      <c r="T34" s="64">
        <f>IF(OR(A34="",C34="",D34=""),"",IF(AND(C34&lt;=T$4+6,D34&gt;=T$4),"█",""))</f>
        <v/>
      </c>
      <c r="U34" s="64">
        <f>IF(OR(A34="",C34="",D34=""),"",IF(AND(C34&lt;=U$4+6,D34&gt;=U$4),"█",""))</f>
        <v/>
      </c>
      <c r="V34" s="64">
        <f>IF(OR(A34="",C34="",D34=""),"",IF(AND(C34&lt;=V$4+6,D34&gt;=V$4),"█",""))</f>
        <v/>
      </c>
      <c r="W34" s="64">
        <f>IF(OR(A34="",C34="",D34=""),"",IF(AND(C34&lt;=W$4+6,D34&gt;=W$4),"█",""))</f>
        <v/>
      </c>
    </row>
    <row r="35" ht="16" customHeight="1">
      <c r="A35" s="62">
        <f>IF('Task List'!A35="","",'Task List'!A35)</f>
        <v/>
      </c>
      <c r="B35" s="62">
        <f>IF(A35="","",'Task List'!B35)</f>
        <v/>
      </c>
      <c r="C35" s="63">
        <f>IF(A35="","",'Task List'!F35)</f>
        <v/>
      </c>
      <c r="D35" s="63">
        <f>IF(A35="","",'Task List'!G35)</f>
        <v/>
      </c>
      <c r="E35" s="54">
        <f>IF(A35="","",'Task List'!E35)</f>
        <v/>
      </c>
      <c r="F35" s="64">
        <f>IF(OR(A35="",C35="",D35=""),"",IF(AND(C35&lt;=F$4+6,D35&gt;=F$4),"█",""))</f>
        <v/>
      </c>
      <c r="G35" s="64">
        <f>IF(OR(A35="",C35="",D35=""),"",IF(AND(C35&lt;=G$4+6,D35&gt;=G$4),"█",""))</f>
        <v/>
      </c>
      <c r="H35" s="64">
        <f>IF(OR(A35="",C35="",D35=""),"",IF(AND(C35&lt;=H$4+6,D35&gt;=H$4),"█",""))</f>
        <v/>
      </c>
      <c r="I35" s="64">
        <f>IF(OR(A35="",C35="",D35=""),"",IF(AND(C35&lt;=I$4+6,D35&gt;=I$4),"█",""))</f>
        <v/>
      </c>
      <c r="J35" s="64">
        <f>IF(OR(A35="",C35="",D35=""),"",IF(AND(C35&lt;=J$4+6,D35&gt;=J$4),"█",""))</f>
        <v/>
      </c>
      <c r="K35" s="64">
        <f>IF(OR(A35="",C35="",D35=""),"",IF(AND(C35&lt;=K$4+6,D35&gt;=K$4),"█",""))</f>
        <v/>
      </c>
      <c r="L35" s="64">
        <f>IF(OR(A35="",C35="",D35=""),"",IF(AND(C35&lt;=L$4+6,D35&gt;=L$4),"█",""))</f>
        <v/>
      </c>
      <c r="M35" s="64">
        <f>IF(OR(A35="",C35="",D35=""),"",IF(AND(C35&lt;=M$4+6,D35&gt;=M$4),"█",""))</f>
        <v/>
      </c>
      <c r="N35" s="64">
        <f>IF(OR(A35="",C35="",D35=""),"",IF(AND(C35&lt;=N$4+6,D35&gt;=N$4),"█",""))</f>
        <v/>
      </c>
      <c r="O35" s="64">
        <f>IF(OR(A35="",C35="",D35=""),"",IF(AND(C35&lt;=O$4+6,D35&gt;=O$4),"█",""))</f>
        <v/>
      </c>
      <c r="P35" s="64">
        <f>IF(OR(A35="",C35="",D35=""),"",IF(AND(C35&lt;=P$4+6,D35&gt;=P$4),"█",""))</f>
        <v/>
      </c>
      <c r="Q35" s="64">
        <f>IF(OR(A35="",C35="",D35=""),"",IF(AND(C35&lt;=Q$4+6,D35&gt;=Q$4),"█",""))</f>
        <v/>
      </c>
      <c r="R35" s="64">
        <f>IF(OR(A35="",C35="",D35=""),"",IF(AND(C35&lt;=R$4+6,D35&gt;=R$4),"█",""))</f>
        <v/>
      </c>
      <c r="S35" s="64">
        <f>IF(OR(A35="",C35="",D35=""),"",IF(AND(C35&lt;=S$4+6,D35&gt;=S$4),"█",""))</f>
        <v/>
      </c>
      <c r="T35" s="64">
        <f>IF(OR(A35="",C35="",D35=""),"",IF(AND(C35&lt;=T$4+6,D35&gt;=T$4),"█",""))</f>
        <v/>
      </c>
      <c r="U35" s="64">
        <f>IF(OR(A35="",C35="",D35=""),"",IF(AND(C35&lt;=U$4+6,D35&gt;=U$4),"█",""))</f>
        <v/>
      </c>
      <c r="V35" s="64">
        <f>IF(OR(A35="",C35="",D35=""),"",IF(AND(C35&lt;=V$4+6,D35&gt;=V$4),"█",""))</f>
        <v/>
      </c>
      <c r="W35" s="64">
        <f>IF(OR(A35="",C35="",D35=""),"",IF(AND(C35&lt;=W$4+6,D35&gt;=W$4),"█",""))</f>
        <v/>
      </c>
    </row>
    <row r="36" ht="16" customHeight="1">
      <c r="A36" s="62">
        <f>IF('Task List'!A36="","",'Task List'!A36)</f>
        <v/>
      </c>
      <c r="B36" s="62">
        <f>IF(A36="","",'Task List'!B36)</f>
        <v/>
      </c>
      <c r="C36" s="63">
        <f>IF(A36="","",'Task List'!F36)</f>
        <v/>
      </c>
      <c r="D36" s="63">
        <f>IF(A36="","",'Task List'!G36)</f>
        <v/>
      </c>
      <c r="E36" s="54">
        <f>IF(A36="","",'Task List'!E36)</f>
        <v/>
      </c>
      <c r="F36" s="64">
        <f>IF(OR(A36="",C36="",D36=""),"",IF(AND(C36&lt;=F$4+6,D36&gt;=F$4),"█",""))</f>
        <v/>
      </c>
      <c r="G36" s="64">
        <f>IF(OR(A36="",C36="",D36=""),"",IF(AND(C36&lt;=G$4+6,D36&gt;=G$4),"█",""))</f>
        <v/>
      </c>
      <c r="H36" s="64">
        <f>IF(OR(A36="",C36="",D36=""),"",IF(AND(C36&lt;=H$4+6,D36&gt;=H$4),"█",""))</f>
        <v/>
      </c>
      <c r="I36" s="64">
        <f>IF(OR(A36="",C36="",D36=""),"",IF(AND(C36&lt;=I$4+6,D36&gt;=I$4),"█",""))</f>
        <v/>
      </c>
      <c r="J36" s="64">
        <f>IF(OR(A36="",C36="",D36=""),"",IF(AND(C36&lt;=J$4+6,D36&gt;=J$4),"█",""))</f>
        <v/>
      </c>
      <c r="K36" s="64">
        <f>IF(OR(A36="",C36="",D36=""),"",IF(AND(C36&lt;=K$4+6,D36&gt;=K$4),"█",""))</f>
        <v/>
      </c>
      <c r="L36" s="64">
        <f>IF(OR(A36="",C36="",D36=""),"",IF(AND(C36&lt;=L$4+6,D36&gt;=L$4),"█",""))</f>
        <v/>
      </c>
      <c r="M36" s="64">
        <f>IF(OR(A36="",C36="",D36=""),"",IF(AND(C36&lt;=M$4+6,D36&gt;=M$4),"█",""))</f>
        <v/>
      </c>
      <c r="N36" s="64">
        <f>IF(OR(A36="",C36="",D36=""),"",IF(AND(C36&lt;=N$4+6,D36&gt;=N$4),"█",""))</f>
        <v/>
      </c>
      <c r="O36" s="64">
        <f>IF(OR(A36="",C36="",D36=""),"",IF(AND(C36&lt;=O$4+6,D36&gt;=O$4),"█",""))</f>
        <v/>
      </c>
      <c r="P36" s="64">
        <f>IF(OR(A36="",C36="",D36=""),"",IF(AND(C36&lt;=P$4+6,D36&gt;=P$4),"█",""))</f>
        <v/>
      </c>
      <c r="Q36" s="64">
        <f>IF(OR(A36="",C36="",D36=""),"",IF(AND(C36&lt;=Q$4+6,D36&gt;=Q$4),"█",""))</f>
        <v/>
      </c>
      <c r="R36" s="64">
        <f>IF(OR(A36="",C36="",D36=""),"",IF(AND(C36&lt;=R$4+6,D36&gt;=R$4),"█",""))</f>
        <v/>
      </c>
      <c r="S36" s="64">
        <f>IF(OR(A36="",C36="",D36=""),"",IF(AND(C36&lt;=S$4+6,D36&gt;=S$4),"█",""))</f>
        <v/>
      </c>
      <c r="T36" s="64">
        <f>IF(OR(A36="",C36="",D36=""),"",IF(AND(C36&lt;=T$4+6,D36&gt;=T$4),"█",""))</f>
        <v/>
      </c>
      <c r="U36" s="64">
        <f>IF(OR(A36="",C36="",D36=""),"",IF(AND(C36&lt;=U$4+6,D36&gt;=U$4),"█",""))</f>
        <v/>
      </c>
      <c r="V36" s="64">
        <f>IF(OR(A36="",C36="",D36=""),"",IF(AND(C36&lt;=V$4+6,D36&gt;=V$4),"█",""))</f>
        <v/>
      </c>
      <c r="W36" s="64">
        <f>IF(OR(A36="",C36="",D36=""),"",IF(AND(C36&lt;=W$4+6,D36&gt;=W$4),"█",""))</f>
        <v/>
      </c>
    </row>
    <row r="37" ht="16" customHeight="1">
      <c r="A37" s="62">
        <f>IF('Task List'!A37="","",'Task List'!A37)</f>
        <v/>
      </c>
      <c r="B37" s="62">
        <f>IF(A37="","",'Task List'!B37)</f>
        <v/>
      </c>
      <c r="C37" s="63">
        <f>IF(A37="","",'Task List'!F37)</f>
        <v/>
      </c>
      <c r="D37" s="63">
        <f>IF(A37="","",'Task List'!G37)</f>
        <v/>
      </c>
      <c r="E37" s="54">
        <f>IF(A37="","",'Task List'!E37)</f>
        <v/>
      </c>
      <c r="F37" s="64">
        <f>IF(OR(A37="",C37="",D37=""),"",IF(AND(C37&lt;=F$4+6,D37&gt;=F$4),"█",""))</f>
        <v/>
      </c>
      <c r="G37" s="64">
        <f>IF(OR(A37="",C37="",D37=""),"",IF(AND(C37&lt;=G$4+6,D37&gt;=G$4),"█",""))</f>
        <v/>
      </c>
      <c r="H37" s="64">
        <f>IF(OR(A37="",C37="",D37=""),"",IF(AND(C37&lt;=H$4+6,D37&gt;=H$4),"█",""))</f>
        <v/>
      </c>
      <c r="I37" s="64">
        <f>IF(OR(A37="",C37="",D37=""),"",IF(AND(C37&lt;=I$4+6,D37&gt;=I$4),"█",""))</f>
        <v/>
      </c>
      <c r="J37" s="64">
        <f>IF(OR(A37="",C37="",D37=""),"",IF(AND(C37&lt;=J$4+6,D37&gt;=J$4),"█",""))</f>
        <v/>
      </c>
      <c r="K37" s="64">
        <f>IF(OR(A37="",C37="",D37=""),"",IF(AND(C37&lt;=K$4+6,D37&gt;=K$4),"█",""))</f>
        <v/>
      </c>
      <c r="L37" s="64">
        <f>IF(OR(A37="",C37="",D37=""),"",IF(AND(C37&lt;=L$4+6,D37&gt;=L$4),"█",""))</f>
        <v/>
      </c>
      <c r="M37" s="64">
        <f>IF(OR(A37="",C37="",D37=""),"",IF(AND(C37&lt;=M$4+6,D37&gt;=M$4),"█",""))</f>
        <v/>
      </c>
      <c r="N37" s="64">
        <f>IF(OR(A37="",C37="",D37=""),"",IF(AND(C37&lt;=N$4+6,D37&gt;=N$4),"█",""))</f>
        <v/>
      </c>
      <c r="O37" s="64">
        <f>IF(OR(A37="",C37="",D37=""),"",IF(AND(C37&lt;=O$4+6,D37&gt;=O$4),"█",""))</f>
        <v/>
      </c>
      <c r="P37" s="64">
        <f>IF(OR(A37="",C37="",D37=""),"",IF(AND(C37&lt;=P$4+6,D37&gt;=P$4),"█",""))</f>
        <v/>
      </c>
      <c r="Q37" s="64">
        <f>IF(OR(A37="",C37="",D37=""),"",IF(AND(C37&lt;=Q$4+6,D37&gt;=Q$4),"█",""))</f>
        <v/>
      </c>
      <c r="R37" s="64">
        <f>IF(OR(A37="",C37="",D37=""),"",IF(AND(C37&lt;=R$4+6,D37&gt;=R$4),"█",""))</f>
        <v/>
      </c>
      <c r="S37" s="64">
        <f>IF(OR(A37="",C37="",D37=""),"",IF(AND(C37&lt;=S$4+6,D37&gt;=S$4),"█",""))</f>
        <v/>
      </c>
      <c r="T37" s="64">
        <f>IF(OR(A37="",C37="",D37=""),"",IF(AND(C37&lt;=T$4+6,D37&gt;=T$4),"█",""))</f>
        <v/>
      </c>
      <c r="U37" s="64">
        <f>IF(OR(A37="",C37="",D37=""),"",IF(AND(C37&lt;=U$4+6,D37&gt;=U$4),"█",""))</f>
        <v/>
      </c>
      <c r="V37" s="64">
        <f>IF(OR(A37="",C37="",D37=""),"",IF(AND(C37&lt;=V$4+6,D37&gt;=V$4),"█",""))</f>
        <v/>
      </c>
      <c r="W37" s="64">
        <f>IF(OR(A37="",C37="",D37=""),"",IF(AND(C37&lt;=W$4+6,D37&gt;=W$4),"█",""))</f>
        <v/>
      </c>
    </row>
    <row r="38" ht="16" customHeight="1">
      <c r="A38" s="62">
        <f>IF('Task List'!A38="","",'Task List'!A38)</f>
        <v/>
      </c>
      <c r="B38" s="62">
        <f>IF(A38="","",'Task List'!B38)</f>
        <v/>
      </c>
      <c r="C38" s="63">
        <f>IF(A38="","",'Task List'!F38)</f>
        <v/>
      </c>
      <c r="D38" s="63">
        <f>IF(A38="","",'Task List'!G38)</f>
        <v/>
      </c>
      <c r="E38" s="54">
        <f>IF(A38="","",'Task List'!E38)</f>
        <v/>
      </c>
      <c r="F38" s="64">
        <f>IF(OR(A38="",C38="",D38=""),"",IF(AND(C38&lt;=F$4+6,D38&gt;=F$4),"█",""))</f>
        <v/>
      </c>
      <c r="G38" s="64">
        <f>IF(OR(A38="",C38="",D38=""),"",IF(AND(C38&lt;=G$4+6,D38&gt;=G$4),"█",""))</f>
        <v/>
      </c>
      <c r="H38" s="64">
        <f>IF(OR(A38="",C38="",D38=""),"",IF(AND(C38&lt;=H$4+6,D38&gt;=H$4),"█",""))</f>
        <v/>
      </c>
      <c r="I38" s="64">
        <f>IF(OR(A38="",C38="",D38=""),"",IF(AND(C38&lt;=I$4+6,D38&gt;=I$4),"█",""))</f>
        <v/>
      </c>
      <c r="J38" s="64">
        <f>IF(OR(A38="",C38="",D38=""),"",IF(AND(C38&lt;=J$4+6,D38&gt;=J$4),"█",""))</f>
        <v/>
      </c>
      <c r="K38" s="64">
        <f>IF(OR(A38="",C38="",D38=""),"",IF(AND(C38&lt;=K$4+6,D38&gt;=K$4),"█",""))</f>
        <v/>
      </c>
      <c r="L38" s="64">
        <f>IF(OR(A38="",C38="",D38=""),"",IF(AND(C38&lt;=L$4+6,D38&gt;=L$4),"█",""))</f>
        <v/>
      </c>
      <c r="M38" s="64">
        <f>IF(OR(A38="",C38="",D38=""),"",IF(AND(C38&lt;=M$4+6,D38&gt;=M$4),"█",""))</f>
        <v/>
      </c>
      <c r="N38" s="64">
        <f>IF(OR(A38="",C38="",D38=""),"",IF(AND(C38&lt;=N$4+6,D38&gt;=N$4),"█",""))</f>
        <v/>
      </c>
      <c r="O38" s="64">
        <f>IF(OR(A38="",C38="",D38=""),"",IF(AND(C38&lt;=O$4+6,D38&gt;=O$4),"█",""))</f>
        <v/>
      </c>
      <c r="P38" s="64">
        <f>IF(OR(A38="",C38="",D38=""),"",IF(AND(C38&lt;=P$4+6,D38&gt;=P$4),"█",""))</f>
        <v/>
      </c>
      <c r="Q38" s="64">
        <f>IF(OR(A38="",C38="",D38=""),"",IF(AND(C38&lt;=Q$4+6,D38&gt;=Q$4),"█",""))</f>
        <v/>
      </c>
      <c r="R38" s="64">
        <f>IF(OR(A38="",C38="",D38=""),"",IF(AND(C38&lt;=R$4+6,D38&gt;=R$4),"█",""))</f>
        <v/>
      </c>
      <c r="S38" s="64">
        <f>IF(OR(A38="",C38="",D38=""),"",IF(AND(C38&lt;=S$4+6,D38&gt;=S$4),"█",""))</f>
        <v/>
      </c>
      <c r="T38" s="64">
        <f>IF(OR(A38="",C38="",D38=""),"",IF(AND(C38&lt;=T$4+6,D38&gt;=T$4),"█",""))</f>
        <v/>
      </c>
      <c r="U38" s="64">
        <f>IF(OR(A38="",C38="",D38=""),"",IF(AND(C38&lt;=U$4+6,D38&gt;=U$4),"█",""))</f>
        <v/>
      </c>
      <c r="V38" s="64">
        <f>IF(OR(A38="",C38="",D38=""),"",IF(AND(C38&lt;=V$4+6,D38&gt;=V$4),"█",""))</f>
        <v/>
      </c>
      <c r="W38" s="64">
        <f>IF(OR(A38="",C38="",D38=""),"",IF(AND(C38&lt;=W$4+6,D38&gt;=W$4),"█",""))</f>
        <v/>
      </c>
    </row>
    <row r="39" ht="16" customHeight="1">
      <c r="A39" s="62">
        <f>IF('Task List'!A39="","",'Task List'!A39)</f>
        <v/>
      </c>
      <c r="B39" s="62">
        <f>IF(A39="","",'Task List'!B39)</f>
        <v/>
      </c>
      <c r="C39" s="63">
        <f>IF(A39="","",'Task List'!F39)</f>
        <v/>
      </c>
      <c r="D39" s="63">
        <f>IF(A39="","",'Task List'!G39)</f>
        <v/>
      </c>
      <c r="E39" s="54">
        <f>IF(A39="","",'Task List'!E39)</f>
        <v/>
      </c>
      <c r="F39" s="64">
        <f>IF(OR(A39="",C39="",D39=""),"",IF(AND(C39&lt;=F$4+6,D39&gt;=F$4),"█",""))</f>
        <v/>
      </c>
      <c r="G39" s="64">
        <f>IF(OR(A39="",C39="",D39=""),"",IF(AND(C39&lt;=G$4+6,D39&gt;=G$4),"█",""))</f>
        <v/>
      </c>
      <c r="H39" s="64">
        <f>IF(OR(A39="",C39="",D39=""),"",IF(AND(C39&lt;=H$4+6,D39&gt;=H$4),"█",""))</f>
        <v/>
      </c>
      <c r="I39" s="64">
        <f>IF(OR(A39="",C39="",D39=""),"",IF(AND(C39&lt;=I$4+6,D39&gt;=I$4),"█",""))</f>
        <v/>
      </c>
      <c r="J39" s="64">
        <f>IF(OR(A39="",C39="",D39=""),"",IF(AND(C39&lt;=J$4+6,D39&gt;=J$4),"█",""))</f>
        <v/>
      </c>
      <c r="K39" s="64">
        <f>IF(OR(A39="",C39="",D39=""),"",IF(AND(C39&lt;=K$4+6,D39&gt;=K$4),"█",""))</f>
        <v/>
      </c>
      <c r="L39" s="64">
        <f>IF(OR(A39="",C39="",D39=""),"",IF(AND(C39&lt;=L$4+6,D39&gt;=L$4),"█",""))</f>
        <v/>
      </c>
      <c r="M39" s="64">
        <f>IF(OR(A39="",C39="",D39=""),"",IF(AND(C39&lt;=M$4+6,D39&gt;=M$4),"█",""))</f>
        <v/>
      </c>
      <c r="N39" s="64">
        <f>IF(OR(A39="",C39="",D39=""),"",IF(AND(C39&lt;=N$4+6,D39&gt;=N$4),"█",""))</f>
        <v/>
      </c>
      <c r="O39" s="64">
        <f>IF(OR(A39="",C39="",D39=""),"",IF(AND(C39&lt;=O$4+6,D39&gt;=O$4),"█",""))</f>
        <v/>
      </c>
      <c r="P39" s="64">
        <f>IF(OR(A39="",C39="",D39=""),"",IF(AND(C39&lt;=P$4+6,D39&gt;=P$4),"█",""))</f>
        <v/>
      </c>
      <c r="Q39" s="64">
        <f>IF(OR(A39="",C39="",D39=""),"",IF(AND(C39&lt;=Q$4+6,D39&gt;=Q$4),"█",""))</f>
        <v/>
      </c>
      <c r="R39" s="64">
        <f>IF(OR(A39="",C39="",D39=""),"",IF(AND(C39&lt;=R$4+6,D39&gt;=R$4),"█",""))</f>
        <v/>
      </c>
      <c r="S39" s="64">
        <f>IF(OR(A39="",C39="",D39=""),"",IF(AND(C39&lt;=S$4+6,D39&gt;=S$4),"█",""))</f>
        <v/>
      </c>
      <c r="T39" s="64">
        <f>IF(OR(A39="",C39="",D39=""),"",IF(AND(C39&lt;=T$4+6,D39&gt;=T$4),"█",""))</f>
        <v/>
      </c>
      <c r="U39" s="64">
        <f>IF(OR(A39="",C39="",D39=""),"",IF(AND(C39&lt;=U$4+6,D39&gt;=U$4),"█",""))</f>
        <v/>
      </c>
      <c r="V39" s="64">
        <f>IF(OR(A39="",C39="",D39=""),"",IF(AND(C39&lt;=V$4+6,D39&gt;=V$4),"█",""))</f>
        <v/>
      </c>
      <c r="W39" s="64">
        <f>IF(OR(A39="",C39="",D39=""),"",IF(AND(C39&lt;=W$4+6,D39&gt;=W$4),"█",""))</f>
        <v/>
      </c>
    </row>
    <row r="40" ht="16" customHeight="1">
      <c r="A40" s="62">
        <f>IF('Task List'!A40="","",'Task List'!A40)</f>
        <v/>
      </c>
      <c r="B40" s="62">
        <f>IF(A40="","",'Task List'!B40)</f>
        <v/>
      </c>
      <c r="C40" s="63">
        <f>IF(A40="","",'Task List'!F40)</f>
        <v/>
      </c>
      <c r="D40" s="63">
        <f>IF(A40="","",'Task List'!G40)</f>
        <v/>
      </c>
      <c r="E40" s="54">
        <f>IF(A40="","",'Task List'!E40)</f>
        <v/>
      </c>
      <c r="F40" s="64">
        <f>IF(OR(A40="",C40="",D40=""),"",IF(AND(C40&lt;=F$4+6,D40&gt;=F$4),"█",""))</f>
        <v/>
      </c>
      <c r="G40" s="64">
        <f>IF(OR(A40="",C40="",D40=""),"",IF(AND(C40&lt;=G$4+6,D40&gt;=G$4),"█",""))</f>
        <v/>
      </c>
      <c r="H40" s="64">
        <f>IF(OR(A40="",C40="",D40=""),"",IF(AND(C40&lt;=H$4+6,D40&gt;=H$4),"█",""))</f>
        <v/>
      </c>
      <c r="I40" s="64">
        <f>IF(OR(A40="",C40="",D40=""),"",IF(AND(C40&lt;=I$4+6,D40&gt;=I$4),"█",""))</f>
        <v/>
      </c>
      <c r="J40" s="64">
        <f>IF(OR(A40="",C40="",D40=""),"",IF(AND(C40&lt;=J$4+6,D40&gt;=J$4),"█",""))</f>
        <v/>
      </c>
      <c r="K40" s="64">
        <f>IF(OR(A40="",C40="",D40=""),"",IF(AND(C40&lt;=K$4+6,D40&gt;=K$4),"█",""))</f>
        <v/>
      </c>
      <c r="L40" s="64">
        <f>IF(OR(A40="",C40="",D40=""),"",IF(AND(C40&lt;=L$4+6,D40&gt;=L$4),"█",""))</f>
        <v/>
      </c>
      <c r="M40" s="64">
        <f>IF(OR(A40="",C40="",D40=""),"",IF(AND(C40&lt;=M$4+6,D40&gt;=M$4),"█",""))</f>
        <v/>
      </c>
      <c r="N40" s="64">
        <f>IF(OR(A40="",C40="",D40=""),"",IF(AND(C40&lt;=N$4+6,D40&gt;=N$4),"█",""))</f>
        <v/>
      </c>
      <c r="O40" s="64">
        <f>IF(OR(A40="",C40="",D40=""),"",IF(AND(C40&lt;=O$4+6,D40&gt;=O$4),"█",""))</f>
        <v/>
      </c>
      <c r="P40" s="64">
        <f>IF(OR(A40="",C40="",D40=""),"",IF(AND(C40&lt;=P$4+6,D40&gt;=P$4),"█",""))</f>
        <v/>
      </c>
      <c r="Q40" s="64">
        <f>IF(OR(A40="",C40="",D40=""),"",IF(AND(C40&lt;=Q$4+6,D40&gt;=Q$4),"█",""))</f>
        <v/>
      </c>
      <c r="R40" s="64">
        <f>IF(OR(A40="",C40="",D40=""),"",IF(AND(C40&lt;=R$4+6,D40&gt;=R$4),"█",""))</f>
        <v/>
      </c>
      <c r="S40" s="64">
        <f>IF(OR(A40="",C40="",D40=""),"",IF(AND(C40&lt;=S$4+6,D40&gt;=S$4),"█",""))</f>
        <v/>
      </c>
      <c r="T40" s="64">
        <f>IF(OR(A40="",C40="",D40=""),"",IF(AND(C40&lt;=T$4+6,D40&gt;=T$4),"█",""))</f>
        <v/>
      </c>
      <c r="U40" s="64">
        <f>IF(OR(A40="",C40="",D40=""),"",IF(AND(C40&lt;=U$4+6,D40&gt;=U$4),"█",""))</f>
        <v/>
      </c>
      <c r="V40" s="64">
        <f>IF(OR(A40="",C40="",D40=""),"",IF(AND(C40&lt;=V$4+6,D40&gt;=V$4),"█",""))</f>
        <v/>
      </c>
      <c r="W40" s="64">
        <f>IF(OR(A40="",C40="",D40=""),"",IF(AND(C40&lt;=W$4+6,D40&gt;=W$4),"█",""))</f>
        <v/>
      </c>
    </row>
    <row r="41" ht="16" customHeight="1">
      <c r="A41" s="62">
        <f>IF('Task List'!A41="","",'Task List'!A41)</f>
        <v/>
      </c>
      <c r="B41" s="62">
        <f>IF(A41="","",'Task List'!B41)</f>
        <v/>
      </c>
      <c r="C41" s="63">
        <f>IF(A41="","",'Task List'!F41)</f>
        <v/>
      </c>
      <c r="D41" s="63">
        <f>IF(A41="","",'Task List'!G41)</f>
        <v/>
      </c>
      <c r="E41" s="54">
        <f>IF(A41="","",'Task List'!E41)</f>
        <v/>
      </c>
      <c r="F41" s="64">
        <f>IF(OR(A41="",C41="",D41=""),"",IF(AND(C41&lt;=F$4+6,D41&gt;=F$4),"█",""))</f>
        <v/>
      </c>
      <c r="G41" s="64">
        <f>IF(OR(A41="",C41="",D41=""),"",IF(AND(C41&lt;=G$4+6,D41&gt;=G$4),"█",""))</f>
        <v/>
      </c>
      <c r="H41" s="64">
        <f>IF(OR(A41="",C41="",D41=""),"",IF(AND(C41&lt;=H$4+6,D41&gt;=H$4),"█",""))</f>
        <v/>
      </c>
      <c r="I41" s="64">
        <f>IF(OR(A41="",C41="",D41=""),"",IF(AND(C41&lt;=I$4+6,D41&gt;=I$4),"█",""))</f>
        <v/>
      </c>
      <c r="J41" s="64">
        <f>IF(OR(A41="",C41="",D41=""),"",IF(AND(C41&lt;=J$4+6,D41&gt;=J$4),"█",""))</f>
        <v/>
      </c>
      <c r="K41" s="64">
        <f>IF(OR(A41="",C41="",D41=""),"",IF(AND(C41&lt;=K$4+6,D41&gt;=K$4),"█",""))</f>
        <v/>
      </c>
      <c r="L41" s="64">
        <f>IF(OR(A41="",C41="",D41=""),"",IF(AND(C41&lt;=L$4+6,D41&gt;=L$4),"█",""))</f>
        <v/>
      </c>
      <c r="M41" s="64">
        <f>IF(OR(A41="",C41="",D41=""),"",IF(AND(C41&lt;=M$4+6,D41&gt;=M$4),"█",""))</f>
        <v/>
      </c>
      <c r="N41" s="64">
        <f>IF(OR(A41="",C41="",D41=""),"",IF(AND(C41&lt;=N$4+6,D41&gt;=N$4),"█",""))</f>
        <v/>
      </c>
      <c r="O41" s="64">
        <f>IF(OR(A41="",C41="",D41=""),"",IF(AND(C41&lt;=O$4+6,D41&gt;=O$4),"█",""))</f>
        <v/>
      </c>
      <c r="P41" s="64">
        <f>IF(OR(A41="",C41="",D41=""),"",IF(AND(C41&lt;=P$4+6,D41&gt;=P$4),"█",""))</f>
        <v/>
      </c>
      <c r="Q41" s="64">
        <f>IF(OR(A41="",C41="",D41=""),"",IF(AND(C41&lt;=Q$4+6,D41&gt;=Q$4),"█",""))</f>
        <v/>
      </c>
      <c r="R41" s="64">
        <f>IF(OR(A41="",C41="",D41=""),"",IF(AND(C41&lt;=R$4+6,D41&gt;=R$4),"█",""))</f>
        <v/>
      </c>
      <c r="S41" s="64">
        <f>IF(OR(A41="",C41="",D41=""),"",IF(AND(C41&lt;=S$4+6,D41&gt;=S$4),"█",""))</f>
        <v/>
      </c>
      <c r="T41" s="64">
        <f>IF(OR(A41="",C41="",D41=""),"",IF(AND(C41&lt;=T$4+6,D41&gt;=T$4),"█",""))</f>
        <v/>
      </c>
      <c r="U41" s="64">
        <f>IF(OR(A41="",C41="",D41=""),"",IF(AND(C41&lt;=U$4+6,D41&gt;=U$4),"█",""))</f>
        <v/>
      </c>
      <c r="V41" s="64">
        <f>IF(OR(A41="",C41="",D41=""),"",IF(AND(C41&lt;=V$4+6,D41&gt;=V$4),"█",""))</f>
        <v/>
      </c>
      <c r="W41" s="64">
        <f>IF(OR(A41="",C41="",D41=""),"",IF(AND(C41&lt;=W$4+6,D41&gt;=W$4),"█",""))</f>
        <v/>
      </c>
    </row>
    <row r="42" ht="16" customHeight="1">
      <c r="A42" s="62">
        <f>IF('Task List'!A42="","",'Task List'!A42)</f>
        <v/>
      </c>
      <c r="B42" s="62">
        <f>IF(A42="","",'Task List'!B42)</f>
        <v/>
      </c>
      <c r="C42" s="63">
        <f>IF(A42="","",'Task List'!F42)</f>
        <v/>
      </c>
      <c r="D42" s="63">
        <f>IF(A42="","",'Task List'!G42)</f>
        <v/>
      </c>
      <c r="E42" s="54">
        <f>IF(A42="","",'Task List'!E42)</f>
        <v/>
      </c>
      <c r="F42" s="64">
        <f>IF(OR(A42="",C42="",D42=""),"",IF(AND(C42&lt;=F$4+6,D42&gt;=F$4),"█",""))</f>
        <v/>
      </c>
      <c r="G42" s="64">
        <f>IF(OR(A42="",C42="",D42=""),"",IF(AND(C42&lt;=G$4+6,D42&gt;=G$4),"█",""))</f>
        <v/>
      </c>
      <c r="H42" s="64">
        <f>IF(OR(A42="",C42="",D42=""),"",IF(AND(C42&lt;=H$4+6,D42&gt;=H$4),"█",""))</f>
        <v/>
      </c>
      <c r="I42" s="64">
        <f>IF(OR(A42="",C42="",D42=""),"",IF(AND(C42&lt;=I$4+6,D42&gt;=I$4),"█",""))</f>
        <v/>
      </c>
      <c r="J42" s="64">
        <f>IF(OR(A42="",C42="",D42=""),"",IF(AND(C42&lt;=J$4+6,D42&gt;=J$4),"█",""))</f>
        <v/>
      </c>
      <c r="K42" s="64">
        <f>IF(OR(A42="",C42="",D42=""),"",IF(AND(C42&lt;=K$4+6,D42&gt;=K$4),"█",""))</f>
        <v/>
      </c>
      <c r="L42" s="64">
        <f>IF(OR(A42="",C42="",D42=""),"",IF(AND(C42&lt;=L$4+6,D42&gt;=L$4),"█",""))</f>
        <v/>
      </c>
      <c r="M42" s="64">
        <f>IF(OR(A42="",C42="",D42=""),"",IF(AND(C42&lt;=M$4+6,D42&gt;=M$4),"█",""))</f>
        <v/>
      </c>
      <c r="N42" s="64">
        <f>IF(OR(A42="",C42="",D42=""),"",IF(AND(C42&lt;=N$4+6,D42&gt;=N$4),"█",""))</f>
        <v/>
      </c>
      <c r="O42" s="64">
        <f>IF(OR(A42="",C42="",D42=""),"",IF(AND(C42&lt;=O$4+6,D42&gt;=O$4),"█",""))</f>
        <v/>
      </c>
      <c r="P42" s="64">
        <f>IF(OR(A42="",C42="",D42=""),"",IF(AND(C42&lt;=P$4+6,D42&gt;=P$4),"█",""))</f>
        <v/>
      </c>
      <c r="Q42" s="64">
        <f>IF(OR(A42="",C42="",D42=""),"",IF(AND(C42&lt;=Q$4+6,D42&gt;=Q$4),"█",""))</f>
        <v/>
      </c>
      <c r="R42" s="64">
        <f>IF(OR(A42="",C42="",D42=""),"",IF(AND(C42&lt;=R$4+6,D42&gt;=R$4),"█",""))</f>
        <v/>
      </c>
      <c r="S42" s="64">
        <f>IF(OR(A42="",C42="",D42=""),"",IF(AND(C42&lt;=S$4+6,D42&gt;=S$4),"█",""))</f>
        <v/>
      </c>
      <c r="T42" s="64">
        <f>IF(OR(A42="",C42="",D42=""),"",IF(AND(C42&lt;=T$4+6,D42&gt;=T$4),"█",""))</f>
        <v/>
      </c>
      <c r="U42" s="64">
        <f>IF(OR(A42="",C42="",D42=""),"",IF(AND(C42&lt;=U$4+6,D42&gt;=U$4),"█",""))</f>
        <v/>
      </c>
      <c r="V42" s="64">
        <f>IF(OR(A42="",C42="",D42=""),"",IF(AND(C42&lt;=V$4+6,D42&gt;=V$4),"█",""))</f>
        <v/>
      </c>
      <c r="W42" s="64">
        <f>IF(OR(A42="",C42="",D42=""),"",IF(AND(C42&lt;=W$4+6,D42&gt;=W$4),"█",""))</f>
        <v/>
      </c>
    </row>
    <row r="43" ht="16" customHeight="1">
      <c r="A43" s="62">
        <f>IF('Task List'!A43="","",'Task List'!A43)</f>
        <v/>
      </c>
      <c r="B43" s="62">
        <f>IF(A43="","",'Task List'!B43)</f>
        <v/>
      </c>
      <c r="C43" s="63">
        <f>IF(A43="","",'Task List'!F43)</f>
        <v/>
      </c>
      <c r="D43" s="63">
        <f>IF(A43="","",'Task List'!G43)</f>
        <v/>
      </c>
      <c r="E43" s="54">
        <f>IF(A43="","",'Task List'!E43)</f>
        <v/>
      </c>
      <c r="F43" s="64">
        <f>IF(OR(A43="",C43="",D43=""),"",IF(AND(C43&lt;=F$4+6,D43&gt;=F$4),"█",""))</f>
        <v/>
      </c>
      <c r="G43" s="64">
        <f>IF(OR(A43="",C43="",D43=""),"",IF(AND(C43&lt;=G$4+6,D43&gt;=G$4),"█",""))</f>
        <v/>
      </c>
      <c r="H43" s="64">
        <f>IF(OR(A43="",C43="",D43=""),"",IF(AND(C43&lt;=H$4+6,D43&gt;=H$4),"█",""))</f>
        <v/>
      </c>
      <c r="I43" s="64">
        <f>IF(OR(A43="",C43="",D43=""),"",IF(AND(C43&lt;=I$4+6,D43&gt;=I$4),"█",""))</f>
        <v/>
      </c>
      <c r="J43" s="64">
        <f>IF(OR(A43="",C43="",D43=""),"",IF(AND(C43&lt;=J$4+6,D43&gt;=J$4),"█",""))</f>
        <v/>
      </c>
      <c r="K43" s="64">
        <f>IF(OR(A43="",C43="",D43=""),"",IF(AND(C43&lt;=K$4+6,D43&gt;=K$4),"█",""))</f>
        <v/>
      </c>
      <c r="L43" s="64">
        <f>IF(OR(A43="",C43="",D43=""),"",IF(AND(C43&lt;=L$4+6,D43&gt;=L$4),"█",""))</f>
        <v/>
      </c>
      <c r="M43" s="64">
        <f>IF(OR(A43="",C43="",D43=""),"",IF(AND(C43&lt;=M$4+6,D43&gt;=M$4),"█",""))</f>
        <v/>
      </c>
      <c r="N43" s="64">
        <f>IF(OR(A43="",C43="",D43=""),"",IF(AND(C43&lt;=N$4+6,D43&gt;=N$4),"█",""))</f>
        <v/>
      </c>
      <c r="O43" s="64">
        <f>IF(OR(A43="",C43="",D43=""),"",IF(AND(C43&lt;=O$4+6,D43&gt;=O$4),"█",""))</f>
        <v/>
      </c>
      <c r="P43" s="64">
        <f>IF(OR(A43="",C43="",D43=""),"",IF(AND(C43&lt;=P$4+6,D43&gt;=P$4),"█",""))</f>
        <v/>
      </c>
      <c r="Q43" s="64">
        <f>IF(OR(A43="",C43="",D43=""),"",IF(AND(C43&lt;=Q$4+6,D43&gt;=Q$4),"█",""))</f>
        <v/>
      </c>
      <c r="R43" s="64">
        <f>IF(OR(A43="",C43="",D43=""),"",IF(AND(C43&lt;=R$4+6,D43&gt;=R$4),"█",""))</f>
        <v/>
      </c>
      <c r="S43" s="64">
        <f>IF(OR(A43="",C43="",D43=""),"",IF(AND(C43&lt;=S$4+6,D43&gt;=S$4),"█",""))</f>
        <v/>
      </c>
      <c r="T43" s="64">
        <f>IF(OR(A43="",C43="",D43=""),"",IF(AND(C43&lt;=T$4+6,D43&gt;=T$4),"█",""))</f>
        <v/>
      </c>
      <c r="U43" s="64">
        <f>IF(OR(A43="",C43="",D43=""),"",IF(AND(C43&lt;=U$4+6,D43&gt;=U$4),"█",""))</f>
        <v/>
      </c>
      <c r="V43" s="64">
        <f>IF(OR(A43="",C43="",D43=""),"",IF(AND(C43&lt;=V$4+6,D43&gt;=V$4),"█",""))</f>
        <v/>
      </c>
      <c r="W43" s="64">
        <f>IF(OR(A43="",C43="",D43=""),"",IF(AND(C43&lt;=W$4+6,D43&gt;=W$4),"█",""))</f>
        <v/>
      </c>
    </row>
    <row r="44" ht="16" customHeight="1">
      <c r="A44" s="62">
        <f>IF('Task List'!A44="","",'Task List'!A44)</f>
        <v/>
      </c>
      <c r="B44" s="62">
        <f>IF(A44="","",'Task List'!B44)</f>
        <v/>
      </c>
      <c r="C44" s="63">
        <f>IF(A44="","",'Task List'!F44)</f>
        <v/>
      </c>
      <c r="D44" s="63">
        <f>IF(A44="","",'Task List'!G44)</f>
        <v/>
      </c>
      <c r="E44" s="54">
        <f>IF(A44="","",'Task List'!E44)</f>
        <v/>
      </c>
      <c r="F44" s="64">
        <f>IF(OR(A44="",C44="",D44=""),"",IF(AND(C44&lt;=F$4+6,D44&gt;=F$4),"█",""))</f>
        <v/>
      </c>
      <c r="G44" s="64">
        <f>IF(OR(A44="",C44="",D44=""),"",IF(AND(C44&lt;=G$4+6,D44&gt;=G$4),"█",""))</f>
        <v/>
      </c>
      <c r="H44" s="64">
        <f>IF(OR(A44="",C44="",D44=""),"",IF(AND(C44&lt;=H$4+6,D44&gt;=H$4),"█",""))</f>
        <v/>
      </c>
      <c r="I44" s="64">
        <f>IF(OR(A44="",C44="",D44=""),"",IF(AND(C44&lt;=I$4+6,D44&gt;=I$4),"█",""))</f>
        <v/>
      </c>
      <c r="J44" s="64">
        <f>IF(OR(A44="",C44="",D44=""),"",IF(AND(C44&lt;=J$4+6,D44&gt;=J$4),"█",""))</f>
        <v/>
      </c>
      <c r="K44" s="64">
        <f>IF(OR(A44="",C44="",D44=""),"",IF(AND(C44&lt;=K$4+6,D44&gt;=K$4),"█",""))</f>
        <v/>
      </c>
      <c r="L44" s="64">
        <f>IF(OR(A44="",C44="",D44=""),"",IF(AND(C44&lt;=L$4+6,D44&gt;=L$4),"█",""))</f>
        <v/>
      </c>
      <c r="M44" s="64">
        <f>IF(OR(A44="",C44="",D44=""),"",IF(AND(C44&lt;=M$4+6,D44&gt;=M$4),"█",""))</f>
        <v/>
      </c>
      <c r="N44" s="64">
        <f>IF(OR(A44="",C44="",D44=""),"",IF(AND(C44&lt;=N$4+6,D44&gt;=N$4),"█",""))</f>
        <v/>
      </c>
      <c r="O44" s="64">
        <f>IF(OR(A44="",C44="",D44=""),"",IF(AND(C44&lt;=O$4+6,D44&gt;=O$4),"█",""))</f>
        <v/>
      </c>
      <c r="P44" s="64">
        <f>IF(OR(A44="",C44="",D44=""),"",IF(AND(C44&lt;=P$4+6,D44&gt;=P$4),"█",""))</f>
        <v/>
      </c>
      <c r="Q44" s="64">
        <f>IF(OR(A44="",C44="",D44=""),"",IF(AND(C44&lt;=Q$4+6,D44&gt;=Q$4),"█",""))</f>
        <v/>
      </c>
      <c r="R44" s="64">
        <f>IF(OR(A44="",C44="",D44=""),"",IF(AND(C44&lt;=R$4+6,D44&gt;=R$4),"█",""))</f>
        <v/>
      </c>
      <c r="S44" s="64">
        <f>IF(OR(A44="",C44="",D44=""),"",IF(AND(C44&lt;=S$4+6,D44&gt;=S$4),"█",""))</f>
        <v/>
      </c>
      <c r="T44" s="64">
        <f>IF(OR(A44="",C44="",D44=""),"",IF(AND(C44&lt;=T$4+6,D44&gt;=T$4),"█",""))</f>
        <v/>
      </c>
      <c r="U44" s="64">
        <f>IF(OR(A44="",C44="",D44=""),"",IF(AND(C44&lt;=U$4+6,D44&gt;=U$4),"█",""))</f>
        <v/>
      </c>
      <c r="V44" s="64">
        <f>IF(OR(A44="",C44="",D44=""),"",IF(AND(C44&lt;=V$4+6,D44&gt;=V$4),"█",""))</f>
        <v/>
      </c>
      <c r="W44" s="64">
        <f>IF(OR(A44="",C44="",D44=""),"",IF(AND(C44&lt;=W$4+6,D44&gt;=W$4),"█",""))</f>
        <v/>
      </c>
    </row>
    <row r="46">
      <c r="A46" s="48" t="inlineStr">
        <is>
          <t>Slide the window by changing Timeline start. Overlaps are expected — that is the point. Empty task rows stay blank.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5">
    <mergeCell ref="E2:W2"/>
    <mergeCell ref="A1:W1"/>
    <mergeCell ref="A3:W3"/>
    <mergeCell ref="A2:C2"/>
    <mergeCell ref="A46:W46"/>
  </mergeCells>
  <conditionalFormatting sqref="F5:W44">
    <cfRule type="expression" priority="1" dxfId="11">
      <formula>AND(F5&lt;&gt;"",$E5="Completed")</formula>
    </cfRule>
    <cfRule type="expression" priority="2" dxfId="12">
      <formula>AND(F5&lt;&gt;"",$E5="In Progress")</formula>
    </cfRule>
    <cfRule type="expression" priority="3" dxfId="13">
      <formula>AND(F5&lt;&gt;"",$E5="Waiting")</formula>
    </cfRule>
    <cfRule type="expression" priority="4" dxfId="14">
      <formula>AND(F5&lt;&gt;"",$E5="On Hold")</formula>
    </cfRule>
    <cfRule type="expression" priority="5" dxfId="15">
      <formula>AND(F5&lt;&gt;"",$E5="Not Started")</formula>
    </cfRule>
  </conditionalFormatting>
  <conditionalFormatting sqref="A5:E44">
    <cfRule type="expression" priority="6" dxfId="11">
      <formula>$E5="Completed"</formula>
    </cfRule>
  </conditionalFormatting>
  <conditionalFormatting sqref="F4:W4">
    <cfRule type="expression" priority="7" dxfId="16">
      <formula>AND(F4&lt;=TODAY(),F4+6&gt;=TODAY())</formula>
    </cfRule>
  </conditionalFormatting>
  <printOptions horizontalCentered="1"/>
  <pageMargins left="0.45" right="0.45" top="0.5" bottom="0.5" header="0.25" footer="0.25"/>
  <pageSetup orientation="landscape" paperSize="1" fitToHeight="0" fitToWidth="1"/>
  <headerFooter>
    <oddHeader>&amp;LTimeline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2" customWidth="1" min="4" max="4"/>
    <col width="16" customWidth="1" min="5" max="5"/>
    <col width="28" customWidth="1" min="6" max="6"/>
    <col width="12" customWidth="1" min="7" max="7"/>
  </cols>
  <sheetData>
    <row r="1" ht="30" customHeight="1">
      <c r="A1" s="1" t="inlineStr">
        <is>
          <t>Milestones</t>
        </is>
      </c>
    </row>
    <row r="2">
      <c r="A2" s="48" t="inlineStr">
        <is>
          <t>Key dates only — not every task. Mark Done when it ships. Missed is for a date that passed without a finish.</t>
        </is>
      </c>
    </row>
    <row r="3">
      <c r="A3" s="38">
        <f>COUNTA(A5:A34)&amp;" milestones   ·   "&amp;COUNTIF(D5:D34,"Done")&amp;" done   ·   "&amp;COUNTIF(D5:D34,"Missed")&amp;" missed"</f>
        <v/>
      </c>
    </row>
    <row r="4">
      <c r="A4" s="60" t="inlineStr">
        <is>
          <t>Milestone</t>
        </is>
      </c>
      <c r="B4" s="60" t="inlineStr">
        <is>
          <t>Project</t>
        </is>
      </c>
      <c r="C4" s="60" t="inlineStr">
        <is>
          <t>Due</t>
        </is>
      </c>
      <c r="D4" s="60" t="inlineStr">
        <is>
          <t>Status</t>
        </is>
      </c>
      <c r="E4" s="60" t="inlineStr">
        <is>
          <t>Owner</t>
        </is>
      </c>
      <c r="F4" s="60" t="inlineStr">
        <is>
          <t>Notes</t>
        </is>
      </c>
      <c r="G4" s="60" t="inlineStr">
        <is>
          <t>Days left</t>
        </is>
      </c>
    </row>
    <row r="5" ht="18" customHeight="1">
      <c r="A5" s="37" t="inlineStr">
        <is>
          <t>Design approval</t>
        </is>
      </c>
      <c r="B5" s="37" t="inlineStr">
        <is>
          <t>Website Redesign</t>
        </is>
      </c>
      <c r="C5" s="40" t="n">
        <v>46249</v>
      </c>
      <c r="D5" s="41" t="inlineStr">
        <is>
          <t>Upcoming</t>
        </is>
      </c>
      <c r="E5" s="37" t="inlineStr">
        <is>
          <t>Maya Chen</t>
        </is>
      </c>
      <c r="F5" s="37" t="inlineStr">
        <is>
          <t>Sign-off on mockups</t>
        </is>
      </c>
      <c r="G5" s="43">
        <f>IF(OR(A5="",C5=""),"",C5-TODAY())</f>
        <v/>
      </c>
    </row>
    <row r="6" ht="18" customHeight="1">
      <c r="A6" s="37" t="inlineStr">
        <is>
          <t>Development complete</t>
        </is>
      </c>
      <c r="B6" s="37" t="inlineStr">
        <is>
          <t>Website Redesign</t>
        </is>
      </c>
      <c r="C6" s="40" t="n">
        <v>46285</v>
      </c>
      <c r="D6" s="41" t="inlineStr">
        <is>
          <t>Upcoming</t>
        </is>
      </c>
      <c r="E6" s="37" t="inlineStr">
        <is>
          <t>Jordan Blake</t>
        </is>
      </c>
      <c r="F6" s="37" t="inlineStr"/>
      <c r="G6" s="43">
        <f>IF(OR(A6="",C6=""),"",C6-TODAY())</f>
        <v/>
      </c>
    </row>
    <row r="7" ht="18" customHeight="1">
      <c r="A7" s="37" t="inlineStr">
        <is>
          <t>Site go-live</t>
        </is>
      </c>
      <c r="B7" s="37" t="inlineStr">
        <is>
          <t>Website Redesign</t>
        </is>
      </c>
      <c r="C7" s="40" t="n">
        <v>46295</v>
      </c>
      <c r="D7" s="41" t="inlineStr">
        <is>
          <t>Upcoming</t>
        </is>
      </c>
      <c r="E7" s="37" t="inlineStr">
        <is>
          <t>Maya Chen</t>
        </is>
      </c>
      <c r="F7" s="37" t="inlineStr">
        <is>
          <t>Public launch</t>
        </is>
      </c>
      <c r="G7" s="43">
        <f>IF(OR(A7="",C7=""),"",C7-TODAY())</f>
        <v/>
      </c>
    </row>
    <row r="8" ht="18" customHeight="1">
      <c r="A8" s="37" t="inlineStr">
        <is>
          <t>Client UAT starts</t>
        </is>
      </c>
      <c r="B8" s="37" t="inlineStr">
        <is>
          <t>Q3 Client Launch</t>
        </is>
      </c>
      <c r="C8" s="40" t="n">
        <v>46253</v>
      </c>
      <c r="D8" s="41" t="inlineStr">
        <is>
          <t>Upcoming</t>
        </is>
      </c>
      <c r="E8" s="37" t="inlineStr">
        <is>
          <t>Sam Okonkwo</t>
        </is>
      </c>
      <c r="F8" s="37" t="inlineStr"/>
      <c r="G8" s="43">
        <f>IF(OR(A8="",C8=""),"",C8-TODAY())</f>
        <v/>
      </c>
    </row>
    <row r="9" ht="18" customHeight="1">
      <c r="A9" s="37" t="inlineStr">
        <is>
          <t>Public launch</t>
        </is>
      </c>
      <c r="B9" s="37" t="inlineStr">
        <is>
          <t>Q3 Client Launch</t>
        </is>
      </c>
      <c r="C9" s="40" t="n">
        <v>46262</v>
      </c>
      <c r="D9" s="41" t="inlineStr">
        <is>
          <t>Upcoming</t>
        </is>
      </c>
      <c r="E9" s="37" t="inlineStr">
        <is>
          <t>Jordan Blake</t>
        </is>
      </c>
      <c r="F9" s="37" t="inlineStr">
        <is>
          <t>Do not slip</t>
        </is>
      </c>
      <c r="G9" s="43">
        <f>IF(OR(A9="",C9=""),"",C9-TODAY())</f>
        <v/>
      </c>
    </row>
    <row r="10" ht="18" customHeight="1">
      <c r="A10" s="37" t="inlineStr">
        <is>
          <t>Asset lock</t>
        </is>
      </c>
      <c r="B10" s="37" t="inlineStr">
        <is>
          <t>Q3 Client Launch</t>
        </is>
      </c>
      <c r="C10" s="40" t="n">
        <v>46242</v>
      </c>
      <c r="D10" s="41" t="inlineStr">
        <is>
          <t>Missed</t>
        </is>
      </c>
      <c r="E10" s="37" t="inlineStr">
        <is>
          <t>Jordan Blake</t>
        </is>
      </c>
      <c r="F10" s="37" t="inlineStr">
        <is>
          <t>Client late</t>
        </is>
      </c>
      <c r="G10" s="43">
        <f>IF(OR(A10="",C10=""),"",C10-TODAY())</f>
        <v/>
      </c>
    </row>
    <row r="11" ht="18" customHeight="1">
      <c r="A11" s="37" t="inlineStr">
        <is>
          <t>Offer out</t>
        </is>
      </c>
      <c r="B11" s="37" t="inlineStr">
        <is>
          <t>Hiring Pipeline</t>
        </is>
      </c>
      <c r="C11" s="40" t="n">
        <v>46296</v>
      </c>
      <c r="D11" s="41" t="inlineStr">
        <is>
          <t>Upcoming</t>
        </is>
      </c>
      <c r="E11" s="37" t="inlineStr">
        <is>
          <t>Sam Okonkwo</t>
        </is>
      </c>
      <c r="F11" s="37" t="inlineStr"/>
      <c r="G11" s="43">
        <f>IF(OR(A11="",C11=""),"",C11-TODAY())</f>
        <v/>
      </c>
    </row>
    <row r="12" ht="18" customHeight="1">
      <c r="A12" s="37" t="inlineStr">
        <is>
          <t>First draft</t>
        </is>
      </c>
      <c r="B12" s="37" t="inlineStr">
        <is>
          <t>Brand Guidelines</t>
        </is>
      </c>
      <c r="C12" s="40" t="n">
        <v>46305</v>
      </c>
      <c r="D12" s="41" t="inlineStr">
        <is>
          <t>Upcoming</t>
        </is>
      </c>
      <c r="E12" s="37" t="inlineStr">
        <is>
          <t>Riley Patel</t>
        </is>
      </c>
      <c r="F12" s="37" t="inlineStr"/>
      <c r="G12" s="43">
        <f>IF(OR(A12="",C12=""),"",C12-TODAY())</f>
        <v/>
      </c>
    </row>
    <row r="13" ht="18" customHeight="1">
      <c r="A13" s="37" t="inlineStr">
        <is>
          <t>Final delivery</t>
        </is>
      </c>
      <c r="B13" s="37" t="inlineStr">
        <is>
          <t>Brand Guidelines</t>
        </is>
      </c>
      <c r="C13" s="40" t="n">
        <v>46326</v>
      </c>
      <c r="D13" s="41" t="inlineStr">
        <is>
          <t>Upcoming</t>
        </is>
      </c>
      <c r="E13" s="37" t="inlineStr">
        <is>
          <t>Riley Patel</t>
        </is>
      </c>
      <c r="F13" s="37" t="inlineStr"/>
      <c r="G13" s="43">
        <f>IF(OR(A13="",C13=""),"",C13-TODAY())</f>
        <v/>
      </c>
    </row>
    <row r="14" ht="18" customHeight="1">
      <c r="A14" s="37" t="n"/>
      <c r="B14" s="37" t="n"/>
      <c r="C14" s="40" t="n"/>
      <c r="D14" s="41" t="n"/>
      <c r="E14" s="37" t="n"/>
      <c r="F14" s="37" t="n"/>
      <c r="G14" s="43">
        <f>IF(OR(A14="",C14=""),"",C14-TODAY())</f>
        <v/>
      </c>
    </row>
    <row r="15" ht="18" customHeight="1">
      <c r="A15" s="37" t="n"/>
      <c r="B15" s="37" t="n"/>
      <c r="C15" s="40" t="n"/>
      <c r="D15" s="41" t="n"/>
      <c r="E15" s="37" t="n"/>
      <c r="F15" s="37" t="n"/>
      <c r="G15" s="43">
        <f>IF(OR(A15="",C15=""),"",C15-TODAY())</f>
        <v/>
      </c>
    </row>
    <row r="16" ht="18" customHeight="1">
      <c r="A16" s="37" t="n"/>
      <c r="B16" s="37" t="n"/>
      <c r="C16" s="40" t="n"/>
      <c r="D16" s="41" t="n"/>
      <c r="E16" s="37" t="n"/>
      <c r="F16" s="37" t="n"/>
      <c r="G16" s="43">
        <f>IF(OR(A16="",C16=""),"",C16-TODAY())</f>
        <v/>
      </c>
    </row>
    <row r="17" ht="18" customHeight="1">
      <c r="A17" s="37" t="n"/>
      <c r="B17" s="37" t="n"/>
      <c r="C17" s="40" t="n"/>
      <c r="D17" s="41" t="n"/>
      <c r="E17" s="37" t="n"/>
      <c r="F17" s="37" t="n"/>
      <c r="G17" s="43">
        <f>IF(OR(A17="",C17=""),"",C17-TODAY())</f>
        <v/>
      </c>
    </row>
    <row r="18" ht="18" customHeight="1">
      <c r="A18" s="37" t="n"/>
      <c r="B18" s="37" t="n"/>
      <c r="C18" s="40" t="n"/>
      <c r="D18" s="41" t="n"/>
      <c r="E18" s="37" t="n"/>
      <c r="F18" s="37" t="n"/>
      <c r="G18" s="43">
        <f>IF(OR(A18="",C18=""),"",C18-TODAY())</f>
        <v/>
      </c>
    </row>
    <row r="19" ht="18" customHeight="1">
      <c r="A19" s="37" t="n"/>
      <c r="B19" s="37" t="n"/>
      <c r="C19" s="40" t="n"/>
      <c r="D19" s="41" t="n"/>
      <c r="E19" s="37" t="n"/>
      <c r="F19" s="37" t="n"/>
      <c r="G19" s="43">
        <f>IF(OR(A19="",C19=""),"",C19-TODAY())</f>
        <v/>
      </c>
    </row>
    <row r="20" ht="18" customHeight="1">
      <c r="A20" s="37" t="n"/>
      <c r="B20" s="37" t="n"/>
      <c r="C20" s="40" t="n"/>
      <c r="D20" s="41" t="n"/>
      <c r="E20" s="37" t="n"/>
      <c r="F20" s="37" t="n"/>
      <c r="G20" s="43">
        <f>IF(OR(A20="",C20=""),"",C20-TODAY())</f>
        <v/>
      </c>
    </row>
    <row r="21" ht="18" customHeight="1">
      <c r="A21" s="37" t="n"/>
      <c r="B21" s="37" t="n"/>
      <c r="C21" s="40" t="n"/>
      <c r="D21" s="41" t="n"/>
      <c r="E21" s="37" t="n"/>
      <c r="F21" s="37" t="n"/>
      <c r="G21" s="43">
        <f>IF(OR(A21="",C21=""),"",C21-TODAY())</f>
        <v/>
      </c>
    </row>
    <row r="22" ht="18" customHeight="1">
      <c r="A22" s="37" t="n"/>
      <c r="B22" s="37" t="n"/>
      <c r="C22" s="40" t="n"/>
      <c r="D22" s="41" t="n"/>
      <c r="E22" s="37" t="n"/>
      <c r="F22" s="37" t="n"/>
      <c r="G22" s="43">
        <f>IF(OR(A22="",C22=""),"",C22-TODAY())</f>
        <v/>
      </c>
    </row>
    <row r="23" ht="18" customHeight="1">
      <c r="A23" s="37" t="n"/>
      <c r="B23" s="37" t="n"/>
      <c r="C23" s="40" t="n"/>
      <c r="D23" s="41" t="n"/>
      <c r="E23" s="37" t="n"/>
      <c r="F23" s="37" t="n"/>
      <c r="G23" s="43">
        <f>IF(OR(A23="",C23=""),"",C23-TODAY())</f>
        <v/>
      </c>
    </row>
    <row r="24" ht="18" customHeight="1">
      <c r="A24" s="37" t="n"/>
      <c r="B24" s="37" t="n"/>
      <c r="C24" s="40" t="n"/>
      <c r="D24" s="41" t="n"/>
      <c r="E24" s="37" t="n"/>
      <c r="F24" s="37" t="n"/>
      <c r="G24" s="43">
        <f>IF(OR(A24="",C24=""),"",C24-TODAY())</f>
        <v/>
      </c>
    </row>
    <row r="25" ht="18" customHeight="1">
      <c r="A25" s="37" t="n"/>
      <c r="B25" s="37" t="n"/>
      <c r="C25" s="40" t="n"/>
      <c r="D25" s="41" t="n"/>
      <c r="E25" s="37" t="n"/>
      <c r="F25" s="37" t="n"/>
      <c r="G25" s="43">
        <f>IF(OR(A25="",C25=""),"",C25-TODAY())</f>
        <v/>
      </c>
    </row>
    <row r="26" ht="18" customHeight="1">
      <c r="A26" s="37" t="n"/>
      <c r="B26" s="37" t="n"/>
      <c r="C26" s="40" t="n"/>
      <c r="D26" s="41" t="n"/>
      <c r="E26" s="37" t="n"/>
      <c r="F26" s="37" t="n"/>
      <c r="G26" s="43">
        <f>IF(OR(A26="",C26=""),"",C26-TODAY())</f>
        <v/>
      </c>
    </row>
    <row r="27" ht="18" customHeight="1">
      <c r="A27" s="37" t="n"/>
      <c r="B27" s="37" t="n"/>
      <c r="C27" s="40" t="n"/>
      <c r="D27" s="41" t="n"/>
      <c r="E27" s="37" t="n"/>
      <c r="F27" s="37" t="n"/>
      <c r="G27" s="43">
        <f>IF(OR(A27="",C27=""),"",C27-TODAY())</f>
        <v/>
      </c>
    </row>
    <row r="28" ht="18" customHeight="1">
      <c r="A28" s="37" t="n"/>
      <c r="B28" s="37" t="n"/>
      <c r="C28" s="40" t="n"/>
      <c r="D28" s="41" t="n"/>
      <c r="E28" s="37" t="n"/>
      <c r="F28" s="37" t="n"/>
      <c r="G28" s="43">
        <f>IF(OR(A28="",C28=""),"",C28-TODAY())</f>
        <v/>
      </c>
    </row>
    <row r="29" ht="18" customHeight="1">
      <c r="A29" s="37" t="n"/>
      <c r="B29" s="37" t="n"/>
      <c r="C29" s="40" t="n"/>
      <c r="D29" s="41" t="n"/>
      <c r="E29" s="37" t="n"/>
      <c r="F29" s="37" t="n"/>
      <c r="G29" s="43">
        <f>IF(OR(A29="",C29=""),"",C29-TODAY())</f>
        <v/>
      </c>
    </row>
    <row r="30" ht="18" customHeight="1">
      <c r="A30" s="37" t="n"/>
      <c r="B30" s="37" t="n"/>
      <c r="C30" s="40" t="n"/>
      <c r="D30" s="41" t="n"/>
      <c r="E30" s="37" t="n"/>
      <c r="F30" s="37" t="n"/>
      <c r="G30" s="43">
        <f>IF(OR(A30="",C30=""),"",C30-TODAY())</f>
        <v/>
      </c>
    </row>
    <row r="31" ht="18" customHeight="1">
      <c r="A31" s="37" t="n"/>
      <c r="B31" s="37" t="n"/>
      <c r="C31" s="40" t="n"/>
      <c r="D31" s="41" t="n"/>
      <c r="E31" s="37" t="n"/>
      <c r="F31" s="37" t="n"/>
      <c r="G31" s="43">
        <f>IF(OR(A31="",C31=""),"",C31-TODAY())</f>
        <v/>
      </c>
    </row>
    <row r="32" ht="18" customHeight="1">
      <c r="A32" s="37" t="n"/>
      <c r="B32" s="37" t="n"/>
      <c r="C32" s="40" t="n"/>
      <c r="D32" s="41" t="n"/>
      <c r="E32" s="37" t="n"/>
      <c r="F32" s="37" t="n"/>
      <c r="G32" s="43">
        <f>IF(OR(A32="",C32=""),"",C32-TODAY())</f>
        <v/>
      </c>
    </row>
    <row r="33" ht="18" customHeight="1">
      <c r="A33" s="37" t="n"/>
      <c r="B33" s="37" t="n"/>
      <c r="C33" s="40" t="n"/>
      <c r="D33" s="41" t="n"/>
      <c r="E33" s="37" t="n"/>
      <c r="F33" s="37" t="n"/>
      <c r="G33" s="43">
        <f>IF(OR(A33="",C33=""),"",C33-TODAY())</f>
        <v/>
      </c>
    </row>
    <row r="34" ht="18" customHeight="1">
      <c r="A34" s="37" t="n"/>
      <c r="B34" s="37" t="n"/>
      <c r="C34" s="40" t="n"/>
      <c r="D34" s="41" t="n"/>
      <c r="E34" s="37" t="n"/>
      <c r="F34" s="37" t="n"/>
      <c r="G34" s="43">
        <f>IF(OR(A34="",C34=""),"",C34-TODAY())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4:F34"/>
  <mergeCells count="3">
    <mergeCell ref="A3:G3"/>
    <mergeCell ref="A2:G2"/>
    <mergeCell ref="A1:G1"/>
  </mergeCells>
  <conditionalFormatting sqref="A5:G34">
    <cfRule type="expression" priority="1" dxfId="3">
      <formula>$D5="Done"</formula>
    </cfRule>
    <cfRule type="expression" priority="2" dxfId="4">
      <formula>$D5="Missed"</formula>
    </cfRule>
    <cfRule type="expression" priority="3" dxfId="5">
      <formula>AND($D5="Upcoming",$C5&lt;TODAY())</formula>
    </cfRule>
  </conditionalFormatting>
  <dataValidations count="3">
    <dataValidation sqref="B5:B34" showDropDown="0" showInputMessage="0" showErrorMessage="0" allowBlank="1" type="list">
      <formula1>=Projects!$A$5:$A$24</formula1>
    </dataValidation>
    <dataValidation sqref="D5:D34" showDropDown="0" showInputMessage="0" showErrorMessage="0" allowBlank="1" type="list">
      <formula1>=Projects!$N$23:$N$25</formula1>
    </dataValidation>
    <dataValidation sqref="E5:E34" showDropDown="0" showInputMessage="0" showErrorMessage="0" allowBlank="1" type="list">
      <formula1>=Projects!$N$2:$N$6</formula1>
    </dataValidation>
  </dataValidations>
  <printOptions horizontalCentered="1"/>
  <pageMargins left="0.45" right="0.45" top="0.5" bottom="0.5" header="0.25" footer="0.25"/>
  <pageSetup orientation="landscape" paperSize="1" fitToHeight="0" fitToWidth="1"/>
  <headerFooter>
    <oddHeader>&amp;LMilestones</oddHeader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H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 ht="30" customHeight="1">
      <c r="A1" s="65" t="inlineStr">
        <is>
          <t>How to use this template</t>
        </is>
      </c>
      <c r="B1" s="85" t="n"/>
      <c r="C1" s="85" t="n"/>
      <c r="D1" s="85" t="n"/>
      <c r="E1" s="85" t="n"/>
      <c r="F1" s="85" t="n"/>
      <c r="G1" s="85" t="n"/>
      <c r="H1" s="85" t="n"/>
    </row>
    <row r="2">
      <c r="A2" s="66" t="n"/>
      <c r="B2" s="67" t="inlineStr">
        <is>
          <t>A simple project system: projects, tasks, milestones, and a week-by-week timeline. No training required.</t>
        </is>
      </c>
      <c r="C2" s="85" t="n"/>
      <c r="D2" s="85" t="n"/>
      <c r="E2" s="85" t="n"/>
      <c r="F2" s="85" t="n"/>
      <c r="G2" s="85" t="n"/>
      <c r="H2" s="66" t="n"/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</row>
    <row r="4" ht="22" customHeight="1">
      <c r="A4" s="66" t="n"/>
      <c r="B4" s="68" t="inlineStr">
        <is>
          <t>1. Five-minute start</t>
        </is>
      </c>
      <c r="C4" s="85" t="n"/>
      <c r="D4" s="85" t="n"/>
      <c r="E4" s="85" t="n"/>
      <c r="F4" s="85" t="n"/>
      <c r="G4" s="85" t="n"/>
      <c r="H4" s="66" t="n"/>
    </row>
    <row r="5" ht="38" customHeight="1">
      <c r="A5" s="66" t="n"/>
      <c r="B5" s="69" t="inlineStr">
        <is>
          <t>1. Open Projects. Replace the sample rows with your projects: name, owner, start, end, status, priority.</t>
        </is>
      </c>
      <c r="C5" s="86" t="n"/>
      <c r="D5" s="86" t="n"/>
      <c r="E5" s="86" t="n"/>
      <c r="F5" s="86" t="n"/>
      <c r="G5" s="87" t="n"/>
      <c r="H5" s="66" t="n"/>
    </row>
    <row r="6" ht="38" customHeight="1">
      <c r="A6" s="66" t="n"/>
      <c r="B6" s="69" t="inlineStr">
        <is>
          <t>2. Open Task List. Delete or overwrite the sample. Each task needs a name, a Project from the dropdown, an owner, dates, and a status.</t>
        </is>
      </c>
      <c r="C6" s="86" t="n"/>
      <c r="D6" s="86" t="n"/>
      <c r="E6" s="86" t="n"/>
      <c r="F6" s="86" t="n"/>
      <c r="G6" s="87" t="n"/>
      <c r="H6" s="66" t="n"/>
    </row>
    <row r="7" ht="38" customHeight="1">
      <c r="A7" s="66" t="n"/>
      <c r="B7" s="69" t="inlineStr">
        <is>
          <t>3. Add the dates that actually matter on Milestones (launch, sign-off, go-live).</t>
        </is>
      </c>
      <c r="C7" s="86" t="n"/>
      <c r="D7" s="86" t="n"/>
      <c r="E7" s="86" t="n"/>
      <c r="F7" s="86" t="n"/>
      <c r="G7" s="87" t="n"/>
      <c r="H7" s="66" t="n"/>
    </row>
    <row r="8" ht="38" customHeight="1">
      <c r="A8" s="66" t="n"/>
      <c r="B8" s="69" t="inlineStr">
        <is>
          <t>4. Live on the Dashboard. Overdue is red. Upcoming is the next two weeks. At risk means a project end date is close and progress is thin.</t>
        </is>
      </c>
      <c r="C8" s="86" t="n"/>
      <c r="D8" s="86" t="n"/>
      <c r="E8" s="86" t="n"/>
      <c r="F8" s="86" t="n"/>
      <c r="G8" s="87" t="n"/>
      <c r="H8" s="66" t="n"/>
    </row>
    <row r="9" ht="38" customHeight="1">
      <c r="A9" s="66" t="n"/>
      <c r="B9" s="69" t="inlineStr">
        <is>
          <t>5. Open Timeline to see the next 18 weeks. Change Timeline start (a Monday) to slide the window.</t>
        </is>
      </c>
      <c r="C9" s="86" t="n"/>
      <c r="D9" s="86" t="n"/>
      <c r="E9" s="86" t="n"/>
      <c r="F9" s="86" t="n"/>
      <c r="G9" s="87" t="n"/>
      <c r="H9" s="66" t="n"/>
    </row>
    <row r="10">
      <c r="A10" s="66" t="n"/>
      <c r="B10" s="66" t="n"/>
      <c r="C10" s="66" t="n"/>
      <c r="D10" s="66" t="n"/>
      <c r="E10" s="66" t="n"/>
      <c r="F10" s="66" t="n"/>
      <c r="G10" s="66" t="n"/>
      <c r="H10" s="66" t="n"/>
    </row>
    <row r="11" ht="22" customHeight="1">
      <c r="A11" s="66" t="n"/>
      <c r="B11" s="68" t="inlineStr">
        <is>
          <t>2. What each tab does</t>
        </is>
      </c>
      <c r="C11" s="85" t="n"/>
      <c r="D11" s="85" t="n"/>
      <c r="E11" s="85" t="n"/>
      <c r="F11" s="85" t="n"/>
      <c r="G11" s="85" t="n"/>
      <c r="H11" s="66" t="n"/>
    </row>
    <row r="12" ht="24" customHeight="1">
      <c r="A12" s="66" t="n"/>
      <c r="B12" s="69" t="inlineStr">
        <is>
          <t>Dashboard — counts, progress, overdue, upcoming. Nothing to type.</t>
        </is>
      </c>
      <c r="C12" s="86" t="n"/>
      <c r="D12" s="86" t="n"/>
      <c r="E12" s="86" t="n"/>
      <c r="F12" s="86" t="n"/>
      <c r="G12" s="87" t="n"/>
      <c r="H12" s="66" t="n"/>
    </row>
    <row r="13" ht="24" customHeight="1">
      <c r="A13" s="66" t="n"/>
      <c r="B13" s="69" t="inlineStr">
        <is>
          <t>Projects — the portfolio. % Complete and Health calculate from tasks.</t>
        </is>
      </c>
      <c r="C13" s="86" t="n"/>
      <c r="D13" s="86" t="n"/>
      <c r="E13" s="86" t="n"/>
      <c r="F13" s="86" t="n"/>
      <c r="G13" s="87" t="n"/>
      <c r="H13" s="66" t="n"/>
    </row>
    <row r="14" ht="24" customHeight="1">
      <c r="A14" s="66" t="n"/>
      <c r="B14" s="69" t="inlineStr">
        <is>
          <t>Task List — the work. Filter by project or person with the arrows on the header row.</t>
        </is>
      </c>
      <c r="C14" s="86" t="n"/>
      <c r="D14" s="86" t="n"/>
      <c r="E14" s="86" t="n"/>
      <c r="F14" s="86" t="n"/>
      <c r="G14" s="87" t="n"/>
      <c r="H14" s="66" t="n"/>
    </row>
    <row r="15" ht="24" customHeight="1">
      <c r="A15" s="66" t="n"/>
      <c r="B15" s="69" t="inlineStr">
        <is>
          <t>Timeline / Gantt — same tasks, drawn across weeks. Color = status.</t>
        </is>
      </c>
      <c r="C15" s="86" t="n"/>
      <c r="D15" s="86" t="n"/>
      <c r="E15" s="86" t="n"/>
      <c r="F15" s="86" t="n"/>
      <c r="G15" s="87" t="n"/>
      <c r="H15" s="66" t="n"/>
    </row>
    <row r="16" ht="24" customHeight="1">
      <c r="A16" s="66" t="n"/>
      <c r="B16" s="69" t="inlineStr">
        <is>
          <t>Milestones — the few dates you would put on a slide.</t>
        </is>
      </c>
      <c r="C16" s="86" t="n"/>
      <c r="D16" s="86" t="n"/>
      <c r="E16" s="86" t="n"/>
      <c r="F16" s="86" t="n"/>
      <c r="G16" s="87" t="n"/>
      <c r="H16" s="66" t="n"/>
    </row>
    <row r="17" ht="24" customHeight="1">
      <c r="A17" s="66" t="n"/>
      <c r="B17" s="69" t="inlineStr">
        <is>
          <t>Instructions — this guide.</t>
        </is>
      </c>
      <c r="C17" s="86" t="n"/>
      <c r="D17" s="86" t="n"/>
      <c r="E17" s="86" t="n"/>
      <c r="F17" s="86" t="n"/>
      <c r="G17" s="87" t="n"/>
      <c r="H17" s="66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</row>
    <row r="19" ht="22" customHeight="1">
      <c r="A19" s="66" t="n"/>
      <c r="B19" s="68" t="inlineStr">
        <is>
          <t>3. Color key</t>
        </is>
      </c>
      <c r="C19" s="85" t="n"/>
      <c r="D19" s="85" t="n"/>
      <c r="E19" s="85" t="n"/>
      <c r="F19" s="85" t="n"/>
      <c r="G19" s="85" t="n"/>
      <c r="H19" s="66" t="n"/>
    </row>
    <row r="20" ht="22" customHeight="1">
      <c r="A20" s="66" t="n"/>
      <c r="B20" s="69" t="inlineStr">
        <is>
          <t>Blue cell = type.    Gray cell = formula.</t>
        </is>
      </c>
      <c r="C20" s="86" t="n"/>
      <c r="D20" s="86" t="n"/>
      <c r="E20" s="86" t="n"/>
      <c r="F20" s="86" t="n"/>
      <c r="G20" s="87" t="n"/>
      <c r="H20" s="66" t="n"/>
    </row>
    <row r="21" ht="28" customHeight="1">
      <c r="A21" s="66" t="n"/>
      <c r="B21" s="69" t="inlineStr">
        <is>
          <t>Green = completed.    Blue row = in progress.    Amber = waiting or at risk.    Purple = on hold.    Red = overdue or missed.</t>
        </is>
      </c>
      <c r="C21" s="86" t="n"/>
      <c r="D21" s="86" t="n"/>
      <c r="E21" s="86" t="n"/>
      <c r="F21" s="86" t="n"/>
      <c r="G21" s="87" t="n"/>
      <c r="H21" s="66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</row>
    <row r="23" ht="22" customHeight="1">
      <c r="A23" s="66" t="n"/>
      <c r="B23" s="68" t="inlineStr">
        <is>
          <t>4. Add a project or task</t>
        </is>
      </c>
      <c r="C23" s="85" t="n"/>
      <c r="D23" s="85" t="n"/>
      <c r="E23" s="85" t="n"/>
      <c r="F23" s="85" t="n"/>
      <c r="G23" s="85" t="n"/>
      <c r="H23" s="66" t="n"/>
    </row>
    <row r="24" ht="36" customHeight="1">
      <c r="A24" s="66" t="n"/>
      <c r="B24" s="69" t="inlineStr">
        <is>
          <t>Add a project on Projects first (next blank blue row). Then on Task List, pick that name from the Project dropdown. The Dashboard and the project % update themselves.</t>
        </is>
      </c>
      <c r="C24" s="86" t="n"/>
      <c r="D24" s="86" t="n"/>
      <c r="E24" s="86" t="n"/>
      <c r="F24" s="86" t="n"/>
      <c r="G24" s="87" t="n"/>
      <c r="H24" s="66" t="n"/>
    </row>
    <row r="25" ht="24" customHeight="1">
      <c r="A25" s="66" t="n"/>
      <c r="B25" s="69" t="inlineStr">
        <is>
          <t>Add people or statuses in column N on Projects if the dropdown is missing a name.</t>
        </is>
      </c>
      <c r="C25" s="86" t="n"/>
      <c r="D25" s="86" t="n"/>
      <c r="E25" s="86" t="n"/>
      <c r="F25" s="86" t="n"/>
      <c r="G25" s="87" t="n"/>
      <c r="H25" s="66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</row>
    <row r="27" ht="22" customHeight="1">
      <c r="A27" s="66" t="n"/>
      <c r="B27" s="68" t="inlineStr">
        <is>
          <t>5. How Health is decided</t>
        </is>
      </c>
      <c r="C27" s="85" t="n"/>
      <c r="D27" s="85" t="n"/>
      <c r="E27" s="85" t="n"/>
      <c r="F27" s="85" t="n"/>
      <c r="G27" s="85" t="n"/>
      <c r="H27" s="66" t="n"/>
    </row>
    <row r="28" ht="40" customHeight="1">
      <c r="A28" s="66" t="n"/>
      <c r="B28" s="69" t="inlineStr">
        <is>
          <t>Done — project Status is Completed.    Overdue — end date is in the past and it is not Done.    At risk — end date is within 14 days and % Complete is under 75%.    Otherwise On track.</t>
        </is>
      </c>
      <c r="C28" s="86" t="n"/>
      <c r="D28" s="86" t="n"/>
      <c r="E28" s="86" t="n"/>
      <c r="F28" s="86" t="n"/>
      <c r="G28" s="87" t="n"/>
      <c r="H28" s="66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</row>
    <row r="30" ht="22" customHeight="1">
      <c r="A30" s="66" t="n"/>
      <c r="B30" s="68" t="inlineStr">
        <is>
          <t>6. Google Sheets</t>
        </is>
      </c>
      <c r="C30" s="85" t="n"/>
      <c r="D30" s="85" t="n"/>
      <c r="E30" s="85" t="n"/>
      <c r="F30" s="85" t="n"/>
      <c r="G30" s="85" t="n"/>
      <c r="H30" s="66" t="n"/>
    </row>
    <row r="31" ht="40" customHeight="1">
      <c r="A31" s="66" t="n"/>
      <c r="B31" s="69" t="inlineStr">
        <is>
          <t>Upload this file to Drive. Formulas, dropdowns, and the Gantt blocks come across. Sheet protection often does not — the blue/gray colors still show what to edit. If a dropdown is missing, point it at Projects column N.</t>
        </is>
      </c>
      <c r="C31" s="86" t="n"/>
      <c r="D31" s="86" t="n"/>
      <c r="E31" s="86" t="n"/>
      <c r="F31" s="86" t="n"/>
      <c r="G31" s="87" t="n"/>
      <c r="H31" s="66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</row>
    <row r="33">
      <c r="A33" s="66" t="n"/>
      <c r="B33" s="67" t="inlineStr">
        <is>
          <t>Empty blue rows are unused. You do not need to fill the sheet.</t>
        </is>
      </c>
      <c r="C33" s="85" t="n"/>
      <c r="D33" s="85" t="n"/>
      <c r="E33" s="85" t="n"/>
      <c r="F33" s="85" t="n"/>
      <c r="G33" s="85" t="n"/>
      <c r="H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26">
    <mergeCell ref="B2:G2"/>
    <mergeCell ref="B14:G14"/>
    <mergeCell ref="B17:G17"/>
    <mergeCell ref="B23:G23"/>
    <mergeCell ref="B8:G8"/>
    <mergeCell ref="B13:G13"/>
    <mergeCell ref="A1:H1"/>
    <mergeCell ref="B19:G19"/>
    <mergeCell ref="B28:G28"/>
    <mergeCell ref="B9:G9"/>
    <mergeCell ref="B30:G30"/>
    <mergeCell ref="B15:G15"/>
    <mergeCell ref="B33:G33"/>
    <mergeCell ref="B6:G6"/>
    <mergeCell ref="B24:G24"/>
    <mergeCell ref="B20:G20"/>
    <mergeCell ref="B5:G5"/>
    <mergeCell ref="B4:G4"/>
    <mergeCell ref="B7:G7"/>
    <mergeCell ref="B25:G25"/>
    <mergeCell ref="B16:G16"/>
    <mergeCell ref="B31:G31"/>
    <mergeCell ref="B27:G27"/>
    <mergeCell ref="B12:G12"/>
    <mergeCell ref="B21:G21"/>
    <mergeCell ref="B11:G11"/>
  </mergeCells>
  <printOptions horizontalCentered="1"/>
  <pageMargins left="0.45" right="0.45" top="0.5" bottom="0.5" header="0.25" footer="0.25"/>
  <pageSetup orientation="portrait" paperSize="1" fitToHeight="0" fitToWidth="1"/>
  <headerFooter>
    <oddHeader>&amp;LInstructions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Tracker</dc:creator>
  <dc:title>Project Management Tracker</dc:title>
  <dc:description>Plan and track projects, tasks, milestones, and a weekly timeline. Works in Microsoft Excel and Google Sheets.</dc:description>
  <dcterms:created xsi:type="dcterms:W3CDTF">2026-08-13T16:32:39Z</dcterms:created>
  <dcterms:modified xsi:type="dcterms:W3CDTF">2026-08-20T17:58:52Z</dcterms:modified>
</cp:coreProperties>
</file>