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m yyyy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1F2A33"/>
      <sz val="11"/>
    </font>
    <font>
      <name val="Calibri"/>
      <color rgb="005D6D7E"/>
      <sz val="10"/>
    </font>
    <font>
      <name val="Calibri"/>
      <b val="1"/>
      <color rgb="00FFFFFF"/>
      <sz val="10"/>
    </font>
    <font>
      <name val="Calibri"/>
      <b val="1"/>
      <color rgb="001B4F72"/>
      <sz val="16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8F4F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2" fillId="3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2" borderId="0" pivotButton="0" quotePrefix="0" xfId="0"/>
    <xf numFmtId="166" fontId="0" fillId="0" borderId="0" pivotButton="0" quotePrefix="0" xfId="0"/>
    <xf numFmtId="164" fontId="0" fillId="4" borderId="0" pivotButton="0" quotePrefix="0" xfId="0"/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Projected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'Monthly'!$B$2:$B$13</f>
            </numRef>
          </cat>
          <val>
            <numRef>
              <f>'Monthly'!$G$2:$G$13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Cash Flow Forecast</t>
        </is>
      </c>
    </row>
    <row r="3">
      <c r="A3" t="inlineStr">
        <is>
          <t>Starting balance</t>
        </is>
      </c>
      <c r="B3" s="2" t="n">
        <v>1100</v>
      </c>
    </row>
    <row r="4">
      <c r="A4" t="inlineStr">
        <is>
          <t>Monthly income</t>
        </is>
      </c>
      <c r="B4" s="2" t="n">
        <v>4010</v>
      </c>
    </row>
    <row r="5">
      <c r="A5" t="inlineStr">
        <is>
          <t>Monthly expenses</t>
        </is>
      </c>
      <c r="B5" s="2" t="n">
        <v>3635</v>
      </c>
    </row>
    <row r="6">
      <c r="A6" t="inlineStr">
        <is>
          <t>One-time (month 2)</t>
        </is>
      </c>
      <c r="B6" s="2" t="n">
        <v>2200</v>
      </c>
    </row>
    <row r="7">
      <c r="A7" t="inlineStr">
        <is>
          <t>Horizon (months)</t>
        </is>
      </c>
      <c r="B7" s="3" t="n">
        <v>12</v>
      </c>
    </row>
    <row r="9">
      <c r="A9" s="4" t="inlineStr">
        <is>
          <t>Blue cells are inputs. Monthly sheet projects the running balance.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Date</t>
        </is>
      </c>
      <c r="C1" s="5" t="inlineStr">
        <is>
          <t>Income</t>
        </is>
      </c>
      <c r="D1" s="5" t="inlineStr">
        <is>
          <t>Expenses</t>
        </is>
      </c>
      <c r="E1" s="5" t="inlineStr">
        <is>
          <t>One-time</t>
        </is>
      </c>
      <c r="F1" s="5" t="inlineStr">
        <is>
          <t>Net</t>
        </is>
      </c>
      <c r="G1" s="5" t="inlineStr">
        <is>
          <t>Ending</t>
        </is>
      </c>
      <c r="H1" s="5" t="inlineStr">
        <is>
          <t>Status</t>
        </is>
      </c>
    </row>
    <row r="2">
      <c r="A2" t="n">
        <v>1</v>
      </c>
      <c r="B2" s="6" t="n">
        <v>46266</v>
      </c>
      <c r="C2" s="7">
        <f>Dashboard!$B$4</f>
        <v/>
      </c>
      <c r="D2" s="7">
        <f>Dashboard!$B$5</f>
        <v/>
      </c>
      <c r="E2" s="7">
        <f>IF(A2=2,Dashboard!$B$6,0)</f>
        <v/>
      </c>
      <c r="F2" s="7">
        <f>C2-D2-E2</f>
        <v/>
      </c>
      <c r="G2" s="7">
        <f>Dashboard!$B$3+F2</f>
        <v/>
      </c>
      <c r="H2" s="8">
        <f>IF(G2&lt;0,"Negative","OK")</f>
        <v/>
      </c>
    </row>
    <row r="3">
      <c r="A3" t="n">
        <v>2</v>
      </c>
      <c r="B3" s="6" t="n">
        <v>46296</v>
      </c>
      <c r="C3" s="7">
        <f>Dashboard!$B$4</f>
        <v/>
      </c>
      <c r="D3" s="7">
        <f>Dashboard!$B$5</f>
        <v/>
      </c>
      <c r="E3" s="7">
        <f>IF(A3=2,Dashboard!$B$6,0)</f>
        <v/>
      </c>
      <c r="F3" s="7">
        <f>C3-D3-E3</f>
        <v/>
      </c>
      <c r="G3" s="7">
        <f>G2+F3</f>
        <v/>
      </c>
      <c r="H3" s="8">
        <f>IF(G3&lt;0,"Negative","OK")</f>
        <v/>
      </c>
    </row>
    <row r="4">
      <c r="A4" t="n">
        <v>3</v>
      </c>
      <c r="B4" s="6" t="n">
        <v>46327</v>
      </c>
      <c r="C4" s="7">
        <f>Dashboard!$B$4</f>
        <v/>
      </c>
      <c r="D4" s="7">
        <f>Dashboard!$B$5</f>
        <v/>
      </c>
      <c r="E4" s="7">
        <f>IF(A4=2,Dashboard!$B$6,0)</f>
        <v/>
      </c>
      <c r="F4" s="7">
        <f>C4-D4-E4</f>
        <v/>
      </c>
      <c r="G4" s="7">
        <f>G3+F4</f>
        <v/>
      </c>
      <c r="H4" s="8">
        <f>IF(G4&lt;0,"Negative","OK")</f>
        <v/>
      </c>
    </row>
    <row r="5">
      <c r="A5" t="n">
        <v>4</v>
      </c>
      <c r="B5" s="6" t="n">
        <v>46357</v>
      </c>
      <c r="C5" s="7">
        <f>Dashboard!$B$4</f>
        <v/>
      </c>
      <c r="D5" s="7">
        <f>Dashboard!$B$5</f>
        <v/>
      </c>
      <c r="E5" s="7">
        <f>IF(A5=2,Dashboard!$B$6,0)</f>
        <v/>
      </c>
      <c r="F5" s="7">
        <f>C5-D5-E5</f>
        <v/>
      </c>
      <c r="G5" s="7">
        <f>G4+F5</f>
        <v/>
      </c>
      <c r="H5" s="8">
        <f>IF(G5&lt;0,"Negative","OK")</f>
        <v/>
      </c>
    </row>
    <row r="6">
      <c r="A6" t="n">
        <v>5</v>
      </c>
      <c r="B6" s="6" t="n">
        <v>46388</v>
      </c>
      <c r="C6" s="7">
        <f>Dashboard!$B$4</f>
        <v/>
      </c>
      <c r="D6" s="7">
        <f>Dashboard!$B$5</f>
        <v/>
      </c>
      <c r="E6" s="7">
        <f>IF(A6=2,Dashboard!$B$6,0)</f>
        <v/>
      </c>
      <c r="F6" s="7">
        <f>C6-D6-E6</f>
        <v/>
      </c>
      <c r="G6" s="7">
        <f>G5+F6</f>
        <v/>
      </c>
      <c r="H6" s="8">
        <f>IF(G6&lt;0,"Negative","OK")</f>
        <v/>
      </c>
    </row>
    <row r="7">
      <c r="A7" t="n">
        <v>6</v>
      </c>
      <c r="B7" s="6" t="n">
        <v>46419</v>
      </c>
      <c r="C7" s="7">
        <f>Dashboard!$B$4</f>
        <v/>
      </c>
      <c r="D7" s="7">
        <f>Dashboard!$B$5</f>
        <v/>
      </c>
      <c r="E7" s="7">
        <f>IF(A7=2,Dashboard!$B$6,0)</f>
        <v/>
      </c>
      <c r="F7" s="7">
        <f>C7-D7-E7</f>
        <v/>
      </c>
      <c r="G7" s="7">
        <f>G6+F7</f>
        <v/>
      </c>
      <c r="H7" s="8">
        <f>IF(G7&lt;0,"Negative","OK")</f>
        <v/>
      </c>
    </row>
    <row r="8">
      <c r="A8" t="n">
        <v>7</v>
      </c>
      <c r="B8" s="6" t="n">
        <v>46447</v>
      </c>
      <c r="C8" s="7">
        <f>Dashboard!$B$4</f>
        <v/>
      </c>
      <c r="D8" s="7">
        <f>Dashboard!$B$5</f>
        <v/>
      </c>
      <c r="E8" s="7">
        <f>IF(A8=2,Dashboard!$B$6,0)</f>
        <v/>
      </c>
      <c r="F8" s="7">
        <f>C8-D8-E8</f>
        <v/>
      </c>
      <c r="G8" s="7">
        <f>G7+F8</f>
        <v/>
      </c>
      <c r="H8" s="8">
        <f>IF(G8&lt;0,"Negative","OK")</f>
        <v/>
      </c>
    </row>
    <row r="9">
      <c r="A9" t="n">
        <v>8</v>
      </c>
      <c r="B9" s="6" t="n">
        <v>46478</v>
      </c>
      <c r="C9" s="7">
        <f>Dashboard!$B$4</f>
        <v/>
      </c>
      <c r="D9" s="7">
        <f>Dashboard!$B$5</f>
        <v/>
      </c>
      <c r="E9" s="7">
        <f>IF(A9=2,Dashboard!$B$6,0)</f>
        <v/>
      </c>
      <c r="F9" s="7">
        <f>C9-D9-E9</f>
        <v/>
      </c>
      <c r="G9" s="7">
        <f>G8+F9</f>
        <v/>
      </c>
      <c r="H9" s="8">
        <f>IF(G9&lt;0,"Negative","OK")</f>
        <v/>
      </c>
    </row>
    <row r="10">
      <c r="A10" t="n">
        <v>9</v>
      </c>
      <c r="B10" s="6" t="n">
        <v>46508</v>
      </c>
      <c r="C10" s="7">
        <f>Dashboard!$B$4</f>
        <v/>
      </c>
      <c r="D10" s="7">
        <f>Dashboard!$B$5</f>
        <v/>
      </c>
      <c r="E10" s="7">
        <f>IF(A10=2,Dashboard!$B$6,0)</f>
        <v/>
      </c>
      <c r="F10" s="7">
        <f>C10-D10-E10</f>
        <v/>
      </c>
      <c r="G10" s="7">
        <f>G9+F10</f>
        <v/>
      </c>
      <c r="H10" s="8">
        <f>IF(G10&lt;0,"Negative","OK")</f>
        <v/>
      </c>
    </row>
    <row r="11">
      <c r="A11" t="n">
        <v>10</v>
      </c>
      <c r="B11" s="6" t="n">
        <v>46539</v>
      </c>
      <c r="C11" s="7">
        <f>Dashboard!$B$4</f>
        <v/>
      </c>
      <c r="D11" s="7">
        <f>Dashboard!$B$5</f>
        <v/>
      </c>
      <c r="E11" s="7">
        <f>IF(A11=2,Dashboard!$B$6,0)</f>
        <v/>
      </c>
      <c r="F11" s="7">
        <f>C11-D11-E11</f>
        <v/>
      </c>
      <c r="G11" s="7">
        <f>G10+F11</f>
        <v/>
      </c>
      <c r="H11" s="8">
        <f>IF(G11&lt;0,"Negative","OK")</f>
        <v/>
      </c>
    </row>
    <row r="12">
      <c r="A12" t="n">
        <v>11</v>
      </c>
      <c r="B12" s="6" t="n">
        <v>46569</v>
      </c>
      <c r="C12" s="7">
        <f>Dashboard!$B$4</f>
        <v/>
      </c>
      <c r="D12" s="7">
        <f>Dashboard!$B$5</f>
        <v/>
      </c>
      <c r="E12" s="7">
        <f>IF(A12=2,Dashboard!$B$6,0)</f>
        <v/>
      </c>
      <c r="F12" s="7">
        <f>C12-D12-E12</f>
        <v/>
      </c>
      <c r="G12" s="7">
        <f>G11+F12</f>
        <v/>
      </c>
      <c r="H12" s="8">
        <f>IF(G12&lt;0,"Negative","OK")</f>
        <v/>
      </c>
    </row>
    <row r="13">
      <c r="A13" t="n">
        <v>12</v>
      </c>
      <c r="B13" s="6" t="n">
        <v>46600</v>
      </c>
      <c r="C13" s="7">
        <f>Dashboard!$B$4</f>
        <v/>
      </c>
      <c r="D13" s="7">
        <f>Dashboard!$B$5</f>
        <v/>
      </c>
      <c r="E13" s="7">
        <f>IF(A13=2,Dashboard!$B$6,0)</f>
        <v/>
      </c>
      <c r="F13" s="7">
        <f>C13-D13-E13</f>
        <v/>
      </c>
      <c r="G13" s="7">
        <f>G12+F13</f>
        <v/>
      </c>
      <c r="H13" s="8">
        <f>IF(G13&lt;0,"Negative","OK")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Instructions</t>
        </is>
      </c>
    </row>
    <row r="3">
      <c r="A3" t="inlineStr">
        <is>
          <t>1. On Dashboard, type your starting balance, typical monthly income, and typical monthly expenses (blue cells).</t>
        </is>
      </c>
    </row>
    <row r="4">
      <c r="A4" t="inlineStr">
        <is>
          <t>2. Put a one-time hit (car repair, bonus as a negative one-time, etc.) in month 2 — or change the Monthly sheet formula in column E.</t>
        </is>
      </c>
    </row>
    <row r="5">
      <c r="A5" t="inlineStr">
        <is>
          <t>3. Ending balance on Monthly is the running cash. Status flags negative months in words.</t>
        </is>
      </c>
    </row>
    <row r="6">
      <c r="A6" t="inlineStr">
        <is>
          <t>4. This is the paid Harbor template companion to the free Cash Flow Forecast calculator.</t>
        </is>
      </c>
    </row>
    <row r="7">
      <c r="A7" t="inlineStr">
        <is>
          <t>5. Works in Excel and Google Sheets. Upload the .xlsx to Drive and Open with Google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2026-08-26T20:56:46Z</dcterms:created>
  <dcterms:modified xsi:type="dcterms:W3CDTF">2026-08-26T20:56:46Z</dcterms:modified>
</cp:coreProperties>
</file>